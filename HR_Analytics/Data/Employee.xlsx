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ouke\Desktop\Git_pros\HR_Analytics\CSV\"/>
    </mc:Choice>
  </mc:AlternateContent>
  <xr:revisionPtr revIDLastSave="0" documentId="13_ncr:1_{26243C57-5091-4005-ACB2-7F5055B6E0FE}" xr6:coauthVersionLast="47" xr6:coauthVersionMax="47" xr10:uidLastSave="{00000000-0000-0000-0000-000000000000}"/>
  <bookViews>
    <workbookView xWindow="-98" yWindow="-98" windowWidth="21795" windowHeight="13875" tabRatio="594" xr2:uid="{55FF8AC6-36E0-4EB7-8C02-E3DB5DA28E6F}"/>
  </bookViews>
  <sheets>
    <sheet name="PivotTable" sheetId="15" r:id="rId1"/>
    <sheet name="Employees" sheetId="2" r:id="rId2"/>
    <sheet name="PerfRate" sheetId="14" r:id="rId3"/>
    <sheet name="EducationLevel" sheetId="5" r:id="rId4"/>
    <sheet name="RatingLevel" sheetId="6" r:id="rId5"/>
    <sheet name="SatisfiedLevel" sheetId="7" r:id="rId6"/>
  </sheets>
  <definedNames>
    <definedName name="ExternalData_1" localSheetId="1" hidden="1">Employees!$A$1:$Y$1471</definedName>
    <definedName name="ExternalData_1" localSheetId="2" hidden="1">PerfRate!$A$1:$P$6710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4" l="1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R1003" i="14"/>
  <c r="R1004" i="14"/>
  <c r="R1005" i="14"/>
  <c r="R1006" i="14"/>
  <c r="R1007" i="14"/>
  <c r="R1008" i="14"/>
  <c r="R1009" i="14"/>
  <c r="R1010" i="14"/>
  <c r="R1011" i="14"/>
  <c r="R1012" i="14"/>
  <c r="R1013" i="14"/>
  <c r="R1014" i="14"/>
  <c r="R1015" i="14"/>
  <c r="R1016" i="14"/>
  <c r="R1017" i="14"/>
  <c r="R1018" i="14"/>
  <c r="R1019" i="14"/>
  <c r="R1020" i="14"/>
  <c r="R1021" i="14"/>
  <c r="R1022" i="14"/>
  <c r="R1023" i="14"/>
  <c r="R1024" i="14"/>
  <c r="R1025" i="14"/>
  <c r="R1026" i="14"/>
  <c r="R1027" i="14"/>
  <c r="R1028" i="14"/>
  <c r="R1029" i="14"/>
  <c r="R1030" i="14"/>
  <c r="R1031" i="14"/>
  <c r="R1032" i="14"/>
  <c r="R1033" i="14"/>
  <c r="R1034" i="14"/>
  <c r="R1035" i="14"/>
  <c r="R1036" i="14"/>
  <c r="R1037" i="14"/>
  <c r="R1038" i="14"/>
  <c r="R1039" i="14"/>
  <c r="R1040" i="14"/>
  <c r="R1041" i="14"/>
  <c r="R1042" i="14"/>
  <c r="R1043" i="14"/>
  <c r="R1044" i="14"/>
  <c r="R1045" i="14"/>
  <c r="R1046" i="14"/>
  <c r="R1047" i="14"/>
  <c r="R1048" i="14"/>
  <c r="R1049" i="14"/>
  <c r="R1050" i="14"/>
  <c r="R1051" i="14"/>
  <c r="R1052" i="14"/>
  <c r="R1053" i="14"/>
  <c r="R1054" i="14"/>
  <c r="R1055" i="14"/>
  <c r="R1056" i="14"/>
  <c r="R1057" i="14"/>
  <c r="R1058" i="14"/>
  <c r="R1059" i="14"/>
  <c r="R1060" i="14"/>
  <c r="R1061" i="14"/>
  <c r="R1062" i="14"/>
  <c r="R1063" i="14"/>
  <c r="R1064" i="14"/>
  <c r="R1065" i="14"/>
  <c r="R1066" i="14"/>
  <c r="R1067" i="14"/>
  <c r="R1068" i="14"/>
  <c r="R1069" i="14"/>
  <c r="R1070" i="14"/>
  <c r="R1071" i="14"/>
  <c r="R1072" i="14"/>
  <c r="R1073" i="14"/>
  <c r="R1074" i="14"/>
  <c r="R1075" i="14"/>
  <c r="R1076" i="14"/>
  <c r="R1077" i="14"/>
  <c r="R1078" i="14"/>
  <c r="R1079" i="14"/>
  <c r="R1080" i="14"/>
  <c r="R1081" i="14"/>
  <c r="R1082" i="14"/>
  <c r="R1083" i="14"/>
  <c r="R1084" i="14"/>
  <c r="R1085" i="14"/>
  <c r="R1086" i="14"/>
  <c r="R1087" i="14"/>
  <c r="R1088" i="14"/>
  <c r="R1089" i="14"/>
  <c r="R1090" i="14"/>
  <c r="R1091" i="14"/>
  <c r="R1092" i="14"/>
  <c r="R1093" i="14"/>
  <c r="R1094" i="14"/>
  <c r="R1095" i="14"/>
  <c r="R1096" i="14"/>
  <c r="R1097" i="14"/>
  <c r="R1098" i="14"/>
  <c r="R1099" i="14"/>
  <c r="R1100" i="14"/>
  <c r="R1101" i="14"/>
  <c r="R1102" i="14"/>
  <c r="R1103" i="14"/>
  <c r="R1104" i="14"/>
  <c r="R1105" i="14"/>
  <c r="R1106" i="14"/>
  <c r="R1107" i="14"/>
  <c r="R1108" i="14"/>
  <c r="R1109" i="14"/>
  <c r="R1110" i="14"/>
  <c r="R1111" i="14"/>
  <c r="R1112" i="14"/>
  <c r="R1113" i="14"/>
  <c r="R1114" i="14"/>
  <c r="R1115" i="14"/>
  <c r="R1116" i="14"/>
  <c r="R1117" i="14"/>
  <c r="R1118" i="14"/>
  <c r="R1119" i="14"/>
  <c r="R1120" i="14"/>
  <c r="R1121" i="14"/>
  <c r="R1122" i="14"/>
  <c r="R1123" i="14"/>
  <c r="R1124" i="14"/>
  <c r="R1125" i="14"/>
  <c r="R1126" i="14"/>
  <c r="R1127" i="14"/>
  <c r="R1128" i="14"/>
  <c r="R1129" i="14"/>
  <c r="R1130" i="14"/>
  <c r="R1131" i="14"/>
  <c r="R1132" i="14"/>
  <c r="R1133" i="14"/>
  <c r="R1134" i="14"/>
  <c r="R1135" i="14"/>
  <c r="R1136" i="14"/>
  <c r="R1137" i="14"/>
  <c r="R1138" i="14"/>
  <c r="R1139" i="14"/>
  <c r="R1140" i="14"/>
  <c r="R1141" i="14"/>
  <c r="R1142" i="14"/>
  <c r="R1143" i="14"/>
  <c r="R1144" i="14"/>
  <c r="R1145" i="14"/>
  <c r="R1146" i="14"/>
  <c r="R1147" i="14"/>
  <c r="R1148" i="14"/>
  <c r="R1149" i="14"/>
  <c r="R1150" i="14"/>
  <c r="R1151" i="14"/>
  <c r="R1152" i="14"/>
  <c r="R1153" i="14"/>
  <c r="R1154" i="14"/>
  <c r="R1155" i="14"/>
  <c r="R1156" i="14"/>
  <c r="R1157" i="14"/>
  <c r="R1158" i="14"/>
  <c r="R1159" i="14"/>
  <c r="R1160" i="14"/>
  <c r="R1161" i="14"/>
  <c r="R1162" i="14"/>
  <c r="R1163" i="14"/>
  <c r="R1164" i="14"/>
  <c r="R1165" i="14"/>
  <c r="R1166" i="14"/>
  <c r="R1167" i="14"/>
  <c r="R1168" i="14"/>
  <c r="R1169" i="14"/>
  <c r="R1170" i="14"/>
  <c r="R1171" i="14"/>
  <c r="R1172" i="14"/>
  <c r="R1173" i="14"/>
  <c r="R1174" i="14"/>
  <c r="R1175" i="14"/>
  <c r="R1176" i="14"/>
  <c r="R1177" i="14"/>
  <c r="R1178" i="14"/>
  <c r="R1179" i="14"/>
  <c r="R1180" i="14"/>
  <c r="R1181" i="14"/>
  <c r="R1182" i="14"/>
  <c r="R1183" i="14"/>
  <c r="R1184" i="14"/>
  <c r="R1185" i="14"/>
  <c r="R1186" i="14"/>
  <c r="R1187" i="14"/>
  <c r="R1188" i="14"/>
  <c r="R1189" i="14"/>
  <c r="R1190" i="14"/>
  <c r="R1191" i="14"/>
  <c r="R1192" i="14"/>
  <c r="R1193" i="14"/>
  <c r="R1194" i="14"/>
  <c r="R1195" i="14"/>
  <c r="R1196" i="14"/>
  <c r="R1197" i="14"/>
  <c r="R1198" i="14"/>
  <c r="R1199" i="14"/>
  <c r="R1200" i="14"/>
  <c r="R1201" i="14"/>
  <c r="R1202" i="14"/>
  <c r="R1203" i="14"/>
  <c r="R1204" i="14"/>
  <c r="R1205" i="14"/>
  <c r="R1206" i="14"/>
  <c r="R1207" i="14"/>
  <c r="R1208" i="14"/>
  <c r="R1209" i="14"/>
  <c r="R1210" i="14"/>
  <c r="R1211" i="14"/>
  <c r="R1212" i="14"/>
  <c r="R1213" i="14"/>
  <c r="R1214" i="14"/>
  <c r="R1215" i="14"/>
  <c r="R1216" i="14"/>
  <c r="R1217" i="14"/>
  <c r="R1218" i="14"/>
  <c r="R1219" i="14"/>
  <c r="R1220" i="14"/>
  <c r="R1221" i="14"/>
  <c r="R1222" i="14"/>
  <c r="R1223" i="14"/>
  <c r="R1224" i="14"/>
  <c r="R1225" i="14"/>
  <c r="R1226" i="14"/>
  <c r="R1227" i="14"/>
  <c r="R1228" i="14"/>
  <c r="R1229" i="14"/>
  <c r="R1230" i="14"/>
  <c r="R1231" i="14"/>
  <c r="R1232" i="14"/>
  <c r="R1233" i="14"/>
  <c r="R1234" i="14"/>
  <c r="R1235" i="14"/>
  <c r="R1236" i="14"/>
  <c r="R1237" i="14"/>
  <c r="R1238" i="14"/>
  <c r="R1239" i="14"/>
  <c r="R1240" i="14"/>
  <c r="R1241" i="14"/>
  <c r="R1242" i="14"/>
  <c r="R1243" i="14"/>
  <c r="R1244" i="14"/>
  <c r="R1245" i="14"/>
  <c r="R1246" i="14"/>
  <c r="R1247" i="14"/>
  <c r="R1248" i="14"/>
  <c r="R1249" i="14"/>
  <c r="R1250" i="14"/>
  <c r="R1251" i="14"/>
  <c r="R1252" i="14"/>
  <c r="R1253" i="14"/>
  <c r="R1254" i="14"/>
  <c r="R1255" i="14"/>
  <c r="R1256" i="14"/>
  <c r="R1257" i="14"/>
  <c r="R1258" i="14"/>
  <c r="R1259" i="14"/>
  <c r="R1260" i="14"/>
  <c r="R1261" i="14"/>
  <c r="R1262" i="14"/>
  <c r="R1263" i="14"/>
  <c r="R1264" i="14"/>
  <c r="R1265" i="14"/>
  <c r="R1266" i="14"/>
  <c r="R1267" i="14"/>
  <c r="R1268" i="14"/>
  <c r="R1269" i="14"/>
  <c r="R1270" i="14"/>
  <c r="R1271" i="14"/>
  <c r="R1272" i="14"/>
  <c r="R1273" i="14"/>
  <c r="R1274" i="14"/>
  <c r="R1275" i="14"/>
  <c r="R1276" i="14"/>
  <c r="R1277" i="14"/>
  <c r="R1278" i="14"/>
  <c r="R1279" i="14"/>
  <c r="R1280" i="14"/>
  <c r="R1281" i="14"/>
  <c r="R1282" i="14"/>
  <c r="R1283" i="14"/>
  <c r="R1284" i="14"/>
  <c r="R1285" i="14"/>
  <c r="R1286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299" i="14"/>
  <c r="R1300" i="14"/>
  <c r="R1301" i="14"/>
  <c r="R1302" i="14"/>
  <c r="R1303" i="14"/>
  <c r="R1304" i="14"/>
  <c r="R1305" i="14"/>
  <c r="R1306" i="14"/>
  <c r="R1307" i="14"/>
  <c r="R1308" i="14"/>
  <c r="R1309" i="14"/>
  <c r="R1310" i="14"/>
  <c r="R1311" i="14"/>
  <c r="R1312" i="14"/>
  <c r="R1313" i="14"/>
  <c r="R1314" i="14"/>
  <c r="R1315" i="14"/>
  <c r="R1316" i="14"/>
  <c r="R1317" i="14"/>
  <c r="R1318" i="14"/>
  <c r="R1319" i="14"/>
  <c r="R1320" i="14"/>
  <c r="R1321" i="14"/>
  <c r="R1322" i="14"/>
  <c r="R1323" i="14"/>
  <c r="R1324" i="14"/>
  <c r="R1325" i="14"/>
  <c r="R1326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R1346" i="14"/>
  <c r="R1347" i="14"/>
  <c r="R1348" i="14"/>
  <c r="R1349" i="14"/>
  <c r="R1350" i="14"/>
  <c r="R1351" i="14"/>
  <c r="R1352" i="14"/>
  <c r="R1353" i="14"/>
  <c r="R1354" i="14"/>
  <c r="R1355" i="14"/>
  <c r="R1356" i="14"/>
  <c r="R1357" i="14"/>
  <c r="R1358" i="14"/>
  <c r="R1359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6" i="14"/>
  <c r="R1387" i="14"/>
  <c r="R1388" i="14"/>
  <c r="R1389" i="14"/>
  <c r="R1390" i="14"/>
  <c r="R1391" i="14"/>
  <c r="R1392" i="14"/>
  <c r="R1393" i="14"/>
  <c r="R1394" i="14"/>
  <c r="R1395" i="14"/>
  <c r="R1396" i="14"/>
  <c r="R1397" i="14"/>
  <c r="R1398" i="14"/>
  <c r="R1399" i="14"/>
  <c r="R1400" i="14"/>
  <c r="R1401" i="14"/>
  <c r="R1402" i="14"/>
  <c r="R1403" i="14"/>
  <c r="R1404" i="14"/>
  <c r="R1405" i="14"/>
  <c r="R1406" i="14"/>
  <c r="R1407" i="14"/>
  <c r="R1408" i="14"/>
  <c r="R1409" i="14"/>
  <c r="R1410" i="14"/>
  <c r="R1411" i="14"/>
  <c r="R1412" i="14"/>
  <c r="R1413" i="14"/>
  <c r="R1414" i="14"/>
  <c r="R1415" i="14"/>
  <c r="R1416" i="14"/>
  <c r="R1417" i="14"/>
  <c r="R1418" i="14"/>
  <c r="R1419" i="14"/>
  <c r="R1420" i="14"/>
  <c r="R1421" i="14"/>
  <c r="R1422" i="14"/>
  <c r="R1423" i="14"/>
  <c r="R1424" i="14"/>
  <c r="R1425" i="14"/>
  <c r="R1426" i="14"/>
  <c r="R1427" i="14"/>
  <c r="R1428" i="14"/>
  <c r="R1429" i="14"/>
  <c r="R1430" i="14"/>
  <c r="R1431" i="14"/>
  <c r="R1432" i="14"/>
  <c r="R1433" i="14"/>
  <c r="R1434" i="14"/>
  <c r="R1435" i="14"/>
  <c r="R1436" i="14"/>
  <c r="R1437" i="14"/>
  <c r="R1438" i="14"/>
  <c r="R1439" i="14"/>
  <c r="R1440" i="14"/>
  <c r="R1441" i="14"/>
  <c r="R1442" i="14"/>
  <c r="R1443" i="14"/>
  <c r="R1444" i="14"/>
  <c r="R1445" i="14"/>
  <c r="R1446" i="14"/>
  <c r="R1447" i="14"/>
  <c r="R1448" i="14"/>
  <c r="R1449" i="14"/>
  <c r="R1450" i="14"/>
  <c r="R1451" i="14"/>
  <c r="R1452" i="14"/>
  <c r="R1453" i="14"/>
  <c r="R1454" i="14"/>
  <c r="R1455" i="14"/>
  <c r="R1456" i="14"/>
  <c r="R1457" i="14"/>
  <c r="R1458" i="14"/>
  <c r="R1459" i="14"/>
  <c r="R1460" i="14"/>
  <c r="R1461" i="14"/>
  <c r="R1462" i="14"/>
  <c r="R1463" i="14"/>
  <c r="R1464" i="14"/>
  <c r="R1465" i="14"/>
  <c r="R1466" i="14"/>
  <c r="R1467" i="14"/>
  <c r="R1468" i="14"/>
  <c r="R1469" i="14"/>
  <c r="R1470" i="14"/>
  <c r="R1471" i="14"/>
  <c r="R1472" i="14"/>
  <c r="R1473" i="14"/>
  <c r="R1474" i="14"/>
  <c r="R1475" i="14"/>
  <c r="R1476" i="14"/>
  <c r="R1477" i="14"/>
  <c r="R1478" i="14"/>
  <c r="R1479" i="14"/>
  <c r="R1480" i="14"/>
  <c r="R1481" i="14"/>
  <c r="R1482" i="14"/>
  <c r="R1483" i="14"/>
  <c r="R1484" i="14"/>
  <c r="R1485" i="14"/>
  <c r="R1486" i="14"/>
  <c r="R1487" i="14"/>
  <c r="R1488" i="14"/>
  <c r="R1489" i="14"/>
  <c r="R1490" i="14"/>
  <c r="R1491" i="14"/>
  <c r="R1492" i="14"/>
  <c r="R1493" i="14"/>
  <c r="R1494" i="14"/>
  <c r="R1495" i="14"/>
  <c r="R1496" i="14"/>
  <c r="R1497" i="14"/>
  <c r="R1498" i="14"/>
  <c r="R1499" i="14"/>
  <c r="R1500" i="14"/>
  <c r="R1501" i="14"/>
  <c r="R1502" i="14"/>
  <c r="R1503" i="14"/>
  <c r="R1504" i="14"/>
  <c r="R1505" i="14"/>
  <c r="R1506" i="14"/>
  <c r="R1507" i="14"/>
  <c r="R1508" i="14"/>
  <c r="R1509" i="14"/>
  <c r="R1510" i="14"/>
  <c r="R1511" i="14"/>
  <c r="R1512" i="14"/>
  <c r="R1513" i="14"/>
  <c r="R1514" i="14"/>
  <c r="R1515" i="14"/>
  <c r="R1516" i="14"/>
  <c r="R1517" i="14"/>
  <c r="R1518" i="14"/>
  <c r="R1519" i="14"/>
  <c r="R1520" i="14"/>
  <c r="R1521" i="14"/>
  <c r="R1522" i="14"/>
  <c r="R1523" i="14"/>
  <c r="R1524" i="14"/>
  <c r="R1525" i="14"/>
  <c r="R1526" i="14"/>
  <c r="R1527" i="14"/>
  <c r="R1528" i="14"/>
  <c r="R1529" i="14"/>
  <c r="R1530" i="14"/>
  <c r="R1531" i="14"/>
  <c r="R1532" i="14"/>
  <c r="R1533" i="14"/>
  <c r="R1534" i="14"/>
  <c r="R1535" i="14"/>
  <c r="R1536" i="14"/>
  <c r="R1537" i="14"/>
  <c r="R1538" i="14"/>
  <c r="R1539" i="14"/>
  <c r="R1540" i="14"/>
  <c r="R1541" i="14"/>
  <c r="R1542" i="14"/>
  <c r="R1543" i="14"/>
  <c r="R1544" i="14"/>
  <c r="R1545" i="14"/>
  <c r="R1546" i="14"/>
  <c r="R1547" i="14"/>
  <c r="R1548" i="14"/>
  <c r="R1549" i="14"/>
  <c r="R1550" i="14"/>
  <c r="R1551" i="14"/>
  <c r="R1552" i="14"/>
  <c r="R1553" i="14"/>
  <c r="R1554" i="14"/>
  <c r="R1555" i="14"/>
  <c r="R1556" i="14"/>
  <c r="R1557" i="14"/>
  <c r="R1558" i="14"/>
  <c r="R1559" i="14"/>
  <c r="R1560" i="14"/>
  <c r="R1561" i="14"/>
  <c r="R1562" i="14"/>
  <c r="R1563" i="14"/>
  <c r="R1564" i="14"/>
  <c r="R1565" i="14"/>
  <c r="R1566" i="14"/>
  <c r="R1567" i="14"/>
  <c r="R1568" i="14"/>
  <c r="R1569" i="14"/>
  <c r="R1570" i="14"/>
  <c r="R1571" i="14"/>
  <c r="R1572" i="14"/>
  <c r="R1573" i="14"/>
  <c r="R1574" i="14"/>
  <c r="R1575" i="14"/>
  <c r="R1576" i="14"/>
  <c r="R1577" i="14"/>
  <c r="R1578" i="14"/>
  <c r="R1579" i="14"/>
  <c r="R1580" i="14"/>
  <c r="R1581" i="14"/>
  <c r="R1582" i="14"/>
  <c r="R1583" i="14"/>
  <c r="R1584" i="14"/>
  <c r="R1585" i="14"/>
  <c r="R1586" i="14"/>
  <c r="R1587" i="14"/>
  <c r="R1588" i="14"/>
  <c r="R1589" i="14"/>
  <c r="R1590" i="14"/>
  <c r="R1591" i="14"/>
  <c r="R1592" i="14"/>
  <c r="R1593" i="14"/>
  <c r="R1594" i="14"/>
  <c r="R1595" i="14"/>
  <c r="R1596" i="14"/>
  <c r="R1597" i="14"/>
  <c r="R1598" i="14"/>
  <c r="R1599" i="14"/>
  <c r="R1600" i="14"/>
  <c r="R1601" i="14"/>
  <c r="R1602" i="14"/>
  <c r="R1603" i="14"/>
  <c r="R1604" i="14"/>
  <c r="R1605" i="14"/>
  <c r="R1606" i="14"/>
  <c r="R1607" i="14"/>
  <c r="R1608" i="14"/>
  <c r="R1609" i="14"/>
  <c r="R1610" i="14"/>
  <c r="R1611" i="14"/>
  <c r="R1612" i="14"/>
  <c r="R1613" i="14"/>
  <c r="R1614" i="14"/>
  <c r="R1615" i="14"/>
  <c r="R1616" i="14"/>
  <c r="R1617" i="14"/>
  <c r="R1618" i="14"/>
  <c r="R1619" i="14"/>
  <c r="R1620" i="14"/>
  <c r="R1621" i="14"/>
  <c r="R1622" i="14"/>
  <c r="R1623" i="14"/>
  <c r="R1624" i="14"/>
  <c r="R1625" i="14"/>
  <c r="R1626" i="14"/>
  <c r="R1627" i="14"/>
  <c r="R1628" i="14"/>
  <c r="R1629" i="14"/>
  <c r="R1630" i="14"/>
  <c r="R1631" i="14"/>
  <c r="R1632" i="14"/>
  <c r="R1633" i="14"/>
  <c r="R1634" i="14"/>
  <c r="R1635" i="14"/>
  <c r="R1636" i="14"/>
  <c r="R1637" i="14"/>
  <c r="R1638" i="14"/>
  <c r="R1639" i="14"/>
  <c r="R1640" i="14"/>
  <c r="R1641" i="14"/>
  <c r="R1642" i="14"/>
  <c r="R1643" i="14"/>
  <c r="R1644" i="14"/>
  <c r="R1645" i="14"/>
  <c r="R1646" i="14"/>
  <c r="R1647" i="14"/>
  <c r="R1648" i="14"/>
  <c r="R1649" i="14"/>
  <c r="R1650" i="14"/>
  <c r="R1651" i="14"/>
  <c r="R1652" i="14"/>
  <c r="R1653" i="14"/>
  <c r="R1654" i="14"/>
  <c r="R1655" i="14"/>
  <c r="R1656" i="14"/>
  <c r="R1657" i="14"/>
  <c r="R1658" i="14"/>
  <c r="R1659" i="14"/>
  <c r="R1660" i="14"/>
  <c r="R1661" i="14"/>
  <c r="R1662" i="14"/>
  <c r="R1663" i="14"/>
  <c r="R1664" i="14"/>
  <c r="R1665" i="14"/>
  <c r="R1666" i="14"/>
  <c r="R1667" i="14"/>
  <c r="R1668" i="14"/>
  <c r="R1669" i="14"/>
  <c r="R1670" i="14"/>
  <c r="R1671" i="14"/>
  <c r="R1672" i="14"/>
  <c r="R1673" i="14"/>
  <c r="R1674" i="14"/>
  <c r="R1675" i="14"/>
  <c r="R1676" i="14"/>
  <c r="R1677" i="14"/>
  <c r="R1678" i="14"/>
  <c r="R1679" i="14"/>
  <c r="R1680" i="14"/>
  <c r="R1681" i="14"/>
  <c r="R1682" i="14"/>
  <c r="R1683" i="14"/>
  <c r="R1684" i="14"/>
  <c r="R1685" i="14"/>
  <c r="R1686" i="14"/>
  <c r="R1687" i="14"/>
  <c r="R1688" i="14"/>
  <c r="R1689" i="14"/>
  <c r="R1690" i="14"/>
  <c r="R1691" i="14"/>
  <c r="R1692" i="14"/>
  <c r="R1693" i="14"/>
  <c r="R1694" i="14"/>
  <c r="R1695" i="14"/>
  <c r="R1696" i="14"/>
  <c r="R1697" i="14"/>
  <c r="R1698" i="14"/>
  <c r="R1699" i="14"/>
  <c r="R1700" i="14"/>
  <c r="R1701" i="14"/>
  <c r="R1702" i="14"/>
  <c r="R1703" i="14"/>
  <c r="R1704" i="14"/>
  <c r="R1705" i="14"/>
  <c r="R1706" i="14"/>
  <c r="R1707" i="14"/>
  <c r="R1708" i="14"/>
  <c r="R1709" i="14"/>
  <c r="R1710" i="14"/>
  <c r="R1711" i="14"/>
  <c r="R1712" i="14"/>
  <c r="R1713" i="14"/>
  <c r="R1714" i="14"/>
  <c r="R1715" i="14"/>
  <c r="R1716" i="14"/>
  <c r="R1717" i="14"/>
  <c r="R1718" i="14"/>
  <c r="R1719" i="14"/>
  <c r="R1720" i="14"/>
  <c r="R1721" i="14"/>
  <c r="R1722" i="14"/>
  <c r="R1723" i="14"/>
  <c r="R1724" i="14"/>
  <c r="R1725" i="14"/>
  <c r="R1726" i="14"/>
  <c r="R1727" i="14"/>
  <c r="R1728" i="14"/>
  <c r="R1729" i="14"/>
  <c r="R1730" i="14"/>
  <c r="R1731" i="14"/>
  <c r="R1732" i="14"/>
  <c r="R1733" i="14"/>
  <c r="R1734" i="14"/>
  <c r="R1735" i="14"/>
  <c r="R1736" i="14"/>
  <c r="R1737" i="14"/>
  <c r="R1738" i="14"/>
  <c r="R1739" i="14"/>
  <c r="R1740" i="14"/>
  <c r="R1741" i="14"/>
  <c r="R1742" i="14"/>
  <c r="R1743" i="14"/>
  <c r="R1744" i="14"/>
  <c r="R1745" i="14"/>
  <c r="R1746" i="14"/>
  <c r="R1747" i="14"/>
  <c r="R1748" i="14"/>
  <c r="R1749" i="14"/>
  <c r="R1750" i="14"/>
  <c r="R1751" i="14"/>
  <c r="R1752" i="14"/>
  <c r="R1753" i="14"/>
  <c r="R1754" i="14"/>
  <c r="R1755" i="14"/>
  <c r="R1756" i="14"/>
  <c r="R1757" i="14"/>
  <c r="R1758" i="14"/>
  <c r="R1759" i="14"/>
  <c r="R1760" i="14"/>
  <c r="R1761" i="14"/>
  <c r="R1762" i="14"/>
  <c r="R1763" i="14"/>
  <c r="R1764" i="14"/>
  <c r="R1765" i="14"/>
  <c r="R1766" i="14"/>
  <c r="R1767" i="14"/>
  <c r="R1768" i="14"/>
  <c r="R1769" i="14"/>
  <c r="R1770" i="14"/>
  <c r="R1771" i="14"/>
  <c r="R1772" i="14"/>
  <c r="R1773" i="14"/>
  <c r="R1774" i="14"/>
  <c r="R1775" i="14"/>
  <c r="R1776" i="14"/>
  <c r="R1777" i="14"/>
  <c r="R1778" i="14"/>
  <c r="R1779" i="14"/>
  <c r="R1780" i="14"/>
  <c r="R1781" i="14"/>
  <c r="R1782" i="14"/>
  <c r="R1783" i="14"/>
  <c r="R1784" i="14"/>
  <c r="R1785" i="14"/>
  <c r="R1786" i="14"/>
  <c r="R1787" i="14"/>
  <c r="R1788" i="14"/>
  <c r="R1789" i="14"/>
  <c r="R1790" i="14"/>
  <c r="R1791" i="14"/>
  <c r="R1792" i="14"/>
  <c r="R1793" i="14"/>
  <c r="R1794" i="14"/>
  <c r="R1795" i="14"/>
  <c r="R1796" i="14"/>
  <c r="R1797" i="14"/>
  <c r="R1798" i="14"/>
  <c r="R1799" i="14"/>
  <c r="R1800" i="14"/>
  <c r="R1801" i="14"/>
  <c r="R1802" i="14"/>
  <c r="R1803" i="14"/>
  <c r="R1804" i="14"/>
  <c r="R1805" i="14"/>
  <c r="R1806" i="14"/>
  <c r="R1807" i="14"/>
  <c r="R1808" i="14"/>
  <c r="R1809" i="14"/>
  <c r="R1810" i="14"/>
  <c r="R1811" i="14"/>
  <c r="R1812" i="14"/>
  <c r="R1813" i="14"/>
  <c r="R1814" i="14"/>
  <c r="R1815" i="14"/>
  <c r="R1816" i="14"/>
  <c r="R1817" i="14"/>
  <c r="R1818" i="14"/>
  <c r="R1819" i="14"/>
  <c r="R1820" i="14"/>
  <c r="R1821" i="14"/>
  <c r="R1822" i="14"/>
  <c r="R1823" i="14"/>
  <c r="R1824" i="14"/>
  <c r="R1825" i="14"/>
  <c r="R1826" i="14"/>
  <c r="R1827" i="14"/>
  <c r="R1828" i="14"/>
  <c r="R1829" i="14"/>
  <c r="R1830" i="14"/>
  <c r="R1831" i="14"/>
  <c r="R1832" i="14"/>
  <c r="R1833" i="14"/>
  <c r="R1834" i="14"/>
  <c r="R1835" i="14"/>
  <c r="R1836" i="14"/>
  <c r="R1837" i="14"/>
  <c r="R1838" i="14"/>
  <c r="R1839" i="14"/>
  <c r="R1840" i="14"/>
  <c r="R1841" i="14"/>
  <c r="R1842" i="14"/>
  <c r="R1843" i="14"/>
  <c r="R1844" i="14"/>
  <c r="R1845" i="14"/>
  <c r="R1846" i="14"/>
  <c r="R1847" i="14"/>
  <c r="R1848" i="14"/>
  <c r="R1849" i="14"/>
  <c r="R1850" i="14"/>
  <c r="R1851" i="14"/>
  <c r="R1852" i="14"/>
  <c r="R1853" i="14"/>
  <c r="R1854" i="14"/>
  <c r="R1855" i="14"/>
  <c r="R1856" i="14"/>
  <c r="R1857" i="14"/>
  <c r="R1858" i="14"/>
  <c r="R1859" i="14"/>
  <c r="R1860" i="14"/>
  <c r="R1861" i="14"/>
  <c r="R1862" i="14"/>
  <c r="R1863" i="14"/>
  <c r="R1864" i="14"/>
  <c r="R1865" i="14"/>
  <c r="R1866" i="14"/>
  <c r="R1867" i="14"/>
  <c r="R1868" i="14"/>
  <c r="R1869" i="14"/>
  <c r="R1870" i="14"/>
  <c r="R1871" i="14"/>
  <c r="R1872" i="14"/>
  <c r="R1873" i="14"/>
  <c r="R1874" i="14"/>
  <c r="R1875" i="14"/>
  <c r="R1876" i="14"/>
  <c r="R1877" i="14"/>
  <c r="R1878" i="14"/>
  <c r="R1879" i="14"/>
  <c r="R1880" i="14"/>
  <c r="R1881" i="14"/>
  <c r="R1882" i="14"/>
  <c r="R1883" i="14"/>
  <c r="R1884" i="14"/>
  <c r="R1885" i="14"/>
  <c r="R1886" i="14"/>
  <c r="R1887" i="14"/>
  <c r="R1888" i="14"/>
  <c r="R1889" i="14"/>
  <c r="R1890" i="14"/>
  <c r="R1891" i="14"/>
  <c r="R1892" i="14"/>
  <c r="R1893" i="14"/>
  <c r="R1894" i="14"/>
  <c r="R1895" i="14"/>
  <c r="R1896" i="14"/>
  <c r="R1897" i="14"/>
  <c r="R1898" i="14"/>
  <c r="R1899" i="14"/>
  <c r="R1900" i="14"/>
  <c r="R1901" i="14"/>
  <c r="R1902" i="14"/>
  <c r="R1903" i="14"/>
  <c r="R1904" i="14"/>
  <c r="R1905" i="14"/>
  <c r="R1906" i="14"/>
  <c r="R1907" i="14"/>
  <c r="R1908" i="14"/>
  <c r="R1909" i="14"/>
  <c r="R1910" i="14"/>
  <c r="R1911" i="14"/>
  <c r="R1912" i="14"/>
  <c r="R1913" i="14"/>
  <c r="R1914" i="14"/>
  <c r="R1915" i="14"/>
  <c r="R1916" i="14"/>
  <c r="R1917" i="14"/>
  <c r="R1918" i="14"/>
  <c r="R1919" i="14"/>
  <c r="R1920" i="14"/>
  <c r="R1921" i="14"/>
  <c r="R1922" i="14"/>
  <c r="R1923" i="14"/>
  <c r="R1924" i="14"/>
  <c r="R1925" i="14"/>
  <c r="R1926" i="14"/>
  <c r="R1927" i="14"/>
  <c r="R1928" i="14"/>
  <c r="R1929" i="14"/>
  <c r="R1930" i="14"/>
  <c r="R1931" i="14"/>
  <c r="R1932" i="14"/>
  <c r="R1933" i="14"/>
  <c r="R1934" i="14"/>
  <c r="R1935" i="14"/>
  <c r="R1936" i="14"/>
  <c r="R1937" i="14"/>
  <c r="R1938" i="14"/>
  <c r="R1939" i="14"/>
  <c r="R1940" i="14"/>
  <c r="R1941" i="14"/>
  <c r="R1942" i="14"/>
  <c r="R1943" i="14"/>
  <c r="R1944" i="14"/>
  <c r="R1945" i="14"/>
  <c r="R1946" i="14"/>
  <c r="R1947" i="14"/>
  <c r="R1948" i="14"/>
  <c r="R1949" i="14"/>
  <c r="R1950" i="14"/>
  <c r="R1951" i="14"/>
  <c r="R1952" i="14"/>
  <c r="R1953" i="14"/>
  <c r="R1954" i="14"/>
  <c r="R1955" i="14"/>
  <c r="R1956" i="14"/>
  <c r="R1957" i="14"/>
  <c r="R1958" i="14"/>
  <c r="R1959" i="14"/>
  <c r="R1960" i="14"/>
  <c r="R1961" i="14"/>
  <c r="R1962" i="14"/>
  <c r="R1963" i="14"/>
  <c r="R1964" i="14"/>
  <c r="R1965" i="14"/>
  <c r="R1966" i="14"/>
  <c r="R1967" i="14"/>
  <c r="R1968" i="14"/>
  <c r="R1969" i="14"/>
  <c r="R1970" i="14"/>
  <c r="R1971" i="14"/>
  <c r="R1972" i="14"/>
  <c r="R1973" i="14"/>
  <c r="R1974" i="14"/>
  <c r="R1975" i="14"/>
  <c r="R1976" i="14"/>
  <c r="R1977" i="14"/>
  <c r="R1978" i="14"/>
  <c r="R1979" i="14"/>
  <c r="R1980" i="14"/>
  <c r="R1981" i="14"/>
  <c r="R1982" i="14"/>
  <c r="R1983" i="14"/>
  <c r="R1984" i="14"/>
  <c r="R1985" i="14"/>
  <c r="R1986" i="14"/>
  <c r="R1987" i="14"/>
  <c r="R1988" i="14"/>
  <c r="R1989" i="14"/>
  <c r="R1990" i="14"/>
  <c r="R1991" i="14"/>
  <c r="R1992" i="14"/>
  <c r="R1993" i="14"/>
  <c r="R1994" i="14"/>
  <c r="R1995" i="14"/>
  <c r="R1996" i="14"/>
  <c r="R1997" i="14"/>
  <c r="R1998" i="14"/>
  <c r="R1999" i="14"/>
  <c r="R2000" i="14"/>
  <c r="R2001" i="14"/>
  <c r="R2002" i="14"/>
  <c r="R2003" i="14"/>
  <c r="R2004" i="14"/>
  <c r="R2005" i="14"/>
  <c r="R2006" i="14"/>
  <c r="R2007" i="14"/>
  <c r="R2008" i="14"/>
  <c r="R2009" i="14"/>
  <c r="R2010" i="14"/>
  <c r="R2011" i="14"/>
  <c r="R2012" i="14"/>
  <c r="R2013" i="14"/>
  <c r="R2014" i="14"/>
  <c r="R2015" i="14"/>
  <c r="R2016" i="14"/>
  <c r="R2017" i="14"/>
  <c r="R2018" i="14"/>
  <c r="R2019" i="14"/>
  <c r="R2020" i="14"/>
  <c r="R2021" i="14"/>
  <c r="R2022" i="14"/>
  <c r="R2023" i="14"/>
  <c r="R2024" i="14"/>
  <c r="R2025" i="14"/>
  <c r="R2026" i="14"/>
  <c r="R2027" i="14"/>
  <c r="R2028" i="14"/>
  <c r="R2029" i="14"/>
  <c r="R2030" i="14"/>
  <c r="R2031" i="14"/>
  <c r="R2032" i="14"/>
  <c r="R2033" i="14"/>
  <c r="R2034" i="14"/>
  <c r="R2035" i="14"/>
  <c r="R2036" i="14"/>
  <c r="R2037" i="14"/>
  <c r="R2038" i="14"/>
  <c r="R2039" i="14"/>
  <c r="R2040" i="14"/>
  <c r="R2041" i="14"/>
  <c r="R2042" i="14"/>
  <c r="R2043" i="14"/>
  <c r="R2044" i="14"/>
  <c r="R2045" i="14"/>
  <c r="R2046" i="14"/>
  <c r="R2047" i="14"/>
  <c r="R2048" i="14"/>
  <c r="R2049" i="14"/>
  <c r="R2050" i="14"/>
  <c r="R2051" i="14"/>
  <c r="R2052" i="14"/>
  <c r="R2053" i="14"/>
  <c r="R2054" i="14"/>
  <c r="R2055" i="14"/>
  <c r="R2056" i="14"/>
  <c r="R2057" i="14"/>
  <c r="R2058" i="14"/>
  <c r="R2059" i="14"/>
  <c r="R2060" i="14"/>
  <c r="R2061" i="14"/>
  <c r="R2062" i="14"/>
  <c r="R2063" i="14"/>
  <c r="R2064" i="14"/>
  <c r="R2065" i="14"/>
  <c r="R2066" i="14"/>
  <c r="R2067" i="14"/>
  <c r="R2068" i="14"/>
  <c r="R2069" i="14"/>
  <c r="R2070" i="14"/>
  <c r="R2071" i="14"/>
  <c r="R2072" i="14"/>
  <c r="R2073" i="14"/>
  <c r="R2074" i="14"/>
  <c r="R2075" i="14"/>
  <c r="R2076" i="14"/>
  <c r="R2077" i="14"/>
  <c r="R2078" i="14"/>
  <c r="R2079" i="14"/>
  <c r="R2080" i="14"/>
  <c r="R2081" i="14"/>
  <c r="R2082" i="14"/>
  <c r="R2083" i="14"/>
  <c r="R2084" i="14"/>
  <c r="R2085" i="14"/>
  <c r="R2086" i="14"/>
  <c r="R2087" i="14"/>
  <c r="R2088" i="14"/>
  <c r="R2089" i="14"/>
  <c r="R2090" i="14"/>
  <c r="R2091" i="14"/>
  <c r="R2092" i="14"/>
  <c r="R2093" i="14"/>
  <c r="R2094" i="14"/>
  <c r="R2095" i="14"/>
  <c r="R2096" i="14"/>
  <c r="R2097" i="14"/>
  <c r="R2098" i="14"/>
  <c r="R2099" i="14"/>
  <c r="R2100" i="14"/>
  <c r="R2101" i="14"/>
  <c r="R2102" i="14"/>
  <c r="R2103" i="14"/>
  <c r="R2104" i="14"/>
  <c r="R2105" i="14"/>
  <c r="R2106" i="14"/>
  <c r="R2107" i="14"/>
  <c r="R2108" i="14"/>
  <c r="R2109" i="14"/>
  <c r="R2110" i="14"/>
  <c r="R2111" i="14"/>
  <c r="R2112" i="14"/>
  <c r="R2113" i="14"/>
  <c r="R2114" i="14"/>
  <c r="R2115" i="14"/>
  <c r="R2116" i="14"/>
  <c r="R2117" i="14"/>
  <c r="R2118" i="14"/>
  <c r="R2119" i="14"/>
  <c r="R2120" i="14"/>
  <c r="R2121" i="14"/>
  <c r="R2122" i="14"/>
  <c r="R2123" i="14"/>
  <c r="R2124" i="14"/>
  <c r="R2125" i="14"/>
  <c r="R2126" i="14"/>
  <c r="R2127" i="14"/>
  <c r="R2128" i="14"/>
  <c r="R2129" i="14"/>
  <c r="R2130" i="14"/>
  <c r="R2131" i="14"/>
  <c r="R2132" i="14"/>
  <c r="R2133" i="14"/>
  <c r="R2134" i="14"/>
  <c r="R2135" i="14"/>
  <c r="R2136" i="14"/>
  <c r="R2137" i="14"/>
  <c r="R2138" i="14"/>
  <c r="R2139" i="14"/>
  <c r="R2140" i="14"/>
  <c r="R2141" i="14"/>
  <c r="R2142" i="14"/>
  <c r="R2143" i="14"/>
  <c r="R2144" i="14"/>
  <c r="R2145" i="14"/>
  <c r="R2146" i="14"/>
  <c r="R2147" i="14"/>
  <c r="R2148" i="14"/>
  <c r="R2149" i="14"/>
  <c r="R2150" i="14"/>
  <c r="R2151" i="14"/>
  <c r="R2152" i="14"/>
  <c r="R2153" i="14"/>
  <c r="R2154" i="14"/>
  <c r="R2155" i="14"/>
  <c r="R2156" i="14"/>
  <c r="R2157" i="14"/>
  <c r="R2158" i="14"/>
  <c r="R2159" i="14"/>
  <c r="R2160" i="14"/>
  <c r="R2161" i="14"/>
  <c r="R2162" i="14"/>
  <c r="R2163" i="14"/>
  <c r="R2164" i="14"/>
  <c r="R2165" i="14"/>
  <c r="R2166" i="14"/>
  <c r="R2167" i="14"/>
  <c r="R2168" i="14"/>
  <c r="R2169" i="14"/>
  <c r="R2170" i="14"/>
  <c r="R2171" i="14"/>
  <c r="R2172" i="14"/>
  <c r="R2173" i="14"/>
  <c r="R2174" i="14"/>
  <c r="R2175" i="14"/>
  <c r="R2176" i="14"/>
  <c r="R2177" i="14"/>
  <c r="R2178" i="14"/>
  <c r="R2179" i="14"/>
  <c r="R2180" i="14"/>
  <c r="R2181" i="14"/>
  <c r="R2182" i="14"/>
  <c r="R2183" i="14"/>
  <c r="R2184" i="14"/>
  <c r="R2185" i="14"/>
  <c r="R2186" i="14"/>
  <c r="R2187" i="14"/>
  <c r="R2188" i="14"/>
  <c r="R2189" i="14"/>
  <c r="R2190" i="14"/>
  <c r="R2191" i="14"/>
  <c r="R2192" i="14"/>
  <c r="R2193" i="14"/>
  <c r="R2194" i="14"/>
  <c r="R2195" i="14"/>
  <c r="R2196" i="14"/>
  <c r="R2197" i="14"/>
  <c r="R2198" i="14"/>
  <c r="R2199" i="14"/>
  <c r="R2200" i="14"/>
  <c r="R2201" i="14"/>
  <c r="R2202" i="14"/>
  <c r="R2203" i="14"/>
  <c r="R2204" i="14"/>
  <c r="R2205" i="14"/>
  <c r="R2206" i="14"/>
  <c r="R2207" i="14"/>
  <c r="R2208" i="14"/>
  <c r="R2209" i="14"/>
  <c r="R2210" i="14"/>
  <c r="R2211" i="14"/>
  <c r="R2212" i="14"/>
  <c r="R2213" i="14"/>
  <c r="R2214" i="14"/>
  <c r="R2215" i="14"/>
  <c r="R2216" i="14"/>
  <c r="R2217" i="14"/>
  <c r="R2218" i="14"/>
  <c r="R2219" i="14"/>
  <c r="R2220" i="14"/>
  <c r="R2221" i="14"/>
  <c r="R2222" i="14"/>
  <c r="R2223" i="14"/>
  <c r="R2224" i="14"/>
  <c r="R2225" i="14"/>
  <c r="R2226" i="14"/>
  <c r="R2227" i="14"/>
  <c r="R2228" i="14"/>
  <c r="R2229" i="14"/>
  <c r="R2230" i="14"/>
  <c r="R2231" i="14"/>
  <c r="R2232" i="14"/>
  <c r="R2233" i="14"/>
  <c r="R2234" i="14"/>
  <c r="R2235" i="14"/>
  <c r="R2236" i="14"/>
  <c r="R2237" i="14"/>
  <c r="R2238" i="14"/>
  <c r="R2239" i="14"/>
  <c r="R2240" i="14"/>
  <c r="R2241" i="14"/>
  <c r="R2242" i="14"/>
  <c r="R2243" i="14"/>
  <c r="R2244" i="14"/>
  <c r="R2245" i="14"/>
  <c r="R2246" i="14"/>
  <c r="R2247" i="14"/>
  <c r="R2248" i="14"/>
  <c r="R2249" i="14"/>
  <c r="R2250" i="14"/>
  <c r="R2251" i="14"/>
  <c r="R2252" i="14"/>
  <c r="R2253" i="14"/>
  <c r="R2254" i="14"/>
  <c r="R2255" i="14"/>
  <c r="R2256" i="14"/>
  <c r="R2257" i="14"/>
  <c r="R2258" i="14"/>
  <c r="R2259" i="14"/>
  <c r="R2260" i="14"/>
  <c r="R2261" i="14"/>
  <c r="R2262" i="14"/>
  <c r="R2263" i="14"/>
  <c r="R2264" i="14"/>
  <c r="R2265" i="14"/>
  <c r="R2266" i="14"/>
  <c r="R2267" i="14"/>
  <c r="R2268" i="14"/>
  <c r="R2269" i="14"/>
  <c r="R2270" i="14"/>
  <c r="R2271" i="14"/>
  <c r="R2272" i="14"/>
  <c r="R2273" i="14"/>
  <c r="R2274" i="14"/>
  <c r="R2275" i="14"/>
  <c r="R2276" i="14"/>
  <c r="R2277" i="14"/>
  <c r="R2278" i="14"/>
  <c r="R2279" i="14"/>
  <c r="R2280" i="14"/>
  <c r="R2281" i="14"/>
  <c r="R2282" i="14"/>
  <c r="R2283" i="14"/>
  <c r="R2284" i="14"/>
  <c r="R2285" i="14"/>
  <c r="R2286" i="14"/>
  <c r="R2287" i="14"/>
  <c r="R2288" i="14"/>
  <c r="R2289" i="14"/>
  <c r="R2290" i="14"/>
  <c r="R2291" i="14"/>
  <c r="R2292" i="14"/>
  <c r="R2293" i="14"/>
  <c r="R2294" i="14"/>
  <c r="R2295" i="14"/>
  <c r="R2296" i="14"/>
  <c r="R2297" i="14"/>
  <c r="R2298" i="14"/>
  <c r="R2299" i="14"/>
  <c r="R2300" i="14"/>
  <c r="R2301" i="14"/>
  <c r="R2302" i="14"/>
  <c r="R2303" i="14"/>
  <c r="R2304" i="14"/>
  <c r="R2305" i="14"/>
  <c r="R2306" i="14"/>
  <c r="R2307" i="14"/>
  <c r="R2308" i="14"/>
  <c r="R2309" i="14"/>
  <c r="R2310" i="14"/>
  <c r="R2311" i="14"/>
  <c r="R2312" i="14"/>
  <c r="R2313" i="14"/>
  <c r="R2314" i="14"/>
  <c r="R2315" i="14"/>
  <c r="R2316" i="14"/>
  <c r="R2317" i="14"/>
  <c r="R2318" i="14"/>
  <c r="R2319" i="14"/>
  <c r="R2320" i="14"/>
  <c r="R2321" i="14"/>
  <c r="R2322" i="14"/>
  <c r="R2323" i="14"/>
  <c r="R2324" i="14"/>
  <c r="R2325" i="14"/>
  <c r="R2326" i="14"/>
  <c r="R2327" i="14"/>
  <c r="R2328" i="14"/>
  <c r="R2329" i="14"/>
  <c r="R2330" i="14"/>
  <c r="R2331" i="14"/>
  <c r="R2332" i="14"/>
  <c r="R2333" i="14"/>
  <c r="R2334" i="14"/>
  <c r="R2335" i="14"/>
  <c r="R2336" i="14"/>
  <c r="R2337" i="14"/>
  <c r="R2338" i="14"/>
  <c r="R2339" i="14"/>
  <c r="R2340" i="14"/>
  <c r="R2341" i="14"/>
  <c r="R2342" i="14"/>
  <c r="R2343" i="14"/>
  <c r="R2344" i="14"/>
  <c r="R2345" i="14"/>
  <c r="R2346" i="14"/>
  <c r="R2347" i="14"/>
  <c r="R2348" i="14"/>
  <c r="R2349" i="14"/>
  <c r="R2350" i="14"/>
  <c r="R2351" i="14"/>
  <c r="R2352" i="14"/>
  <c r="R2353" i="14"/>
  <c r="R2354" i="14"/>
  <c r="R2355" i="14"/>
  <c r="R2356" i="14"/>
  <c r="R2357" i="14"/>
  <c r="R2358" i="14"/>
  <c r="R2359" i="14"/>
  <c r="R2360" i="14"/>
  <c r="R2361" i="14"/>
  <c r="R2362" i="14"/>
  <c r="R2363" i="14"/>
  <c r="R2364" i="14"/>
  <c r="R2365" i="14"/>
  <c r="R2366" i="14"/>
  <c r="R2367" i="14"/>
  <c r="R2368" i="14"/>
  <c r="R2369" i="14"/>
  <c r="R2370" i="14"/>
  <c r="R2371" i="14"/>
  <c r="R2372" i="14"/>
  <c r="R2373" i="14"/>
  <c r="R2374" i="14"/>
  <c r="R2375" i="14"/>
  <c r="R2376" i="14"/>
  <c r="R2377" i="14"/>
  <c r="R2378" i="14"/>
  <c r="R2379" i="14"/>
  <c r="R2380" i="14"/>
  <c r="R2381" i="14"/>
  <c r="R2382" i="14"/>
  <c r="R2383" i="14"/>
  <c r="R2384" i="14"/>
  <c r="R2385" i="14"/>
  <c r="R2386" i="14"/>
  <c r="R2387" i="14"/>
  <c r="R2388" i="14"/>
  <c r="R2389" i="14"/>
  <c r="R2390" i="14"/>
  <c r="R2391" i="14"/>
  <c r="R2392" i="14"/>
  <c r="R2393" i="14"/>
  <c r="R2394" i="14"/>
  <c r="R2395" i="14"/>
  <c r="R2396" i="14"/>
  <c r="R2397" i="14"/>
  <c r="R2398" i="14"/>
  <c r="R2399" i="14"/>
  <c r="R2400" i="14"/>
  <c r="R2401" i="14"/>
  <c r="R2402" i="14"/>
  <c r="R2403" i="14"/>
  <c r="R2404" i="14"/>
  <c r="R2405" i="14"/>
  <c r="R2406" i="14"/>
  <c r="R2407" i="14"/>
  <c r="R2408" i="14"/>
  <c r="R2409" i="14"/>
  <c r="R2410" i="14"/>
  <c r="R2411" i="14"/>
  <c r="R2412" i="14"/>
  <c r="R2413" i="14"/>
  <c r="R2414" i="14"/>
  <c r="R2415" i="14"/>
  <c r="R2416" i="14"/>
  <c r="R2417" i="14"/>
  <c r="R2418" i="14"/>
  <c r="R2419" i="14"/>
  <c r="R2420" i="14"/>
  <c r="R2421" i="14"/>
  <c r="R2422" i="14"/>
  <c r="R2423" i="14"/>
  <c r="R2424" i="14"/>
  <c r="R2425" i="14"/>
  <c r="R2426" i="14"/>
  <c r="R2427" i="14"/>
  <c r="R2428" i="14"/>
  <c r="R2429" i="14"/>
  <c r="R2430" i="14"/>
  <c r="R2431" i="14"/>
  <c r="R2432" i="14"/>
  <c r="R2433" i="14"/>
  <c r="R2434" i="14"/>
  <c r="R2435" i="14"/>
  <c r="R2436" i="14"/>
  <c r="R2437" i="14"/>
  <c r="R2438" i="14"/>
  <c r="R2439" i="14"/>
  <c r="R2440" i="14"/>
  <c r="R2441" i="14"/>
  <c r="R2442" i="14"/>
  <c r="R2443" i="14"/>
  <c r="R2444" i="14"/>
  <c r="R2445" i="14"/>
  <c r="R2446" i="14"/>
  <c r="R2447" i="14"/>
  <c r="R2448" i="14"/>
  <c r="R2449" i="14"/>
  <c r="R2450" i="14"/>
  <c r="R2451" i="14"/>
  <c r="R2452" i="14"/>
  <c r="R2453" i="14"/>
  <c r="R2454" i="14"/>
  <c r="R2455" i="14"/>
  <c r="R2456" i="14"/>
  <c r="R2457" i="14"/>
  <c r="R2458" i="14"/>
  <c r="R2459" i="14"/>
  <c r="R2460" i="14"/>
  <c r="R2461" i="14"/>
  <c r="R2462" i="14"/>
  <c r="R2463" i="14"/>
  <c r="R2464" i="14"/>
  <c r="R2465" i="14"/>
  <c r="R2466" i="14"/>
  <c r="R2467" i="14"/>
  <c r="R2468" i="14"/>
  <c r="R2469" i="14"/>
  <c r="R2470" i="14"/>
  <c r="R2471" i="14"/>
  <c r="R2472" i="14"/>
  <c r="R2473" i="14"/>
  <c r="R2474" i="14"/>
  <c r="R2475" i="14"/>
  <c r="R2476" i="14"/>
  <c r="R2477" i="14"/>
  <c r="R2478" i="14"/>
  <c r="R2479" i="14"/>
  <c r="R2480" i="14"/>
  <c r="R2481" i="14"/>
  <c r="R2482" i="14"/>
  <c r="R2483" i="14"/>
  <c r="R2484" i="14"/>
  <c r="R2485" i="14"/>
  <c r="R2486" i="14"/>
  <c r="R2487" i="14"/>
  <c r="R2488" i="14"/>
  <c r="R2489" i="14"/>
  <c r="R2490" i="14"/>
  <c r="R2491" i="14"/>
  <c r="R2492" i="14"/>
  <c r="R2493" i="14"/>
  <c r="R2494" i="14"/>
  <c r="R2495" i="14"/>
  <c r="R2496" i="14"/>
  <c r="R2497" i="14"/>
  <c r="R2498" i="14"/>
  <c r="R2499" i="14"/>
  <c r="R2500" i="14"/>
  <c r="R2501" i="14"/>
  <c r="R2502" i="14"/>
  <c r="R2503" i="14"/>
  <c r="R2504" i="14"/>
  <c r="R2505" i="14"/>
  <c r="R2506" i="14"/>
  <c r="R2507" i="14"/>
  <c r="R2508" i="14"/>
  <c r="R2509" i="14"/>
  <c r="R2510" i="14"/>
  <c r="R2511" i="14"/>
  <c r="R2512" i="14"/>
  <c r="R2513" i="14"/>
  <c r="R2514" i="14"/>
  <c r="R2515" i="14"/>
  <c r="R2516" i="14"/>
  <c r="R2517" i="14"/>
  <c r="R2518" i="14"/>
  <c r="R2519" i="14"/>
  <c r="R2520" i="14"/>
  <c r="R2521" i="14"/>
  <c r="R2522" i="14"/>
  <c r="R2523" i="14"/>
  <c r="R2524" i="14"/>
  <c r="R2525" i="14"/>
  <c r="R2526" i="14"/>
  <c r="R2527" i="14"/>
  <c r="R2528" i="14"/>
  <c r="R2529" i="14"/>
  <c r="R2530" i="14"/>
  <c r="R2531" i="14"/>
  <c r="R2532" i="14"/>
  <c r="R2533" i="14"/>
  <c r="R2534" i="14"/>
  <c r="R2535" i="14"/>
  <c r="R2536" i="14"/>
  <c r="R2537" i="14"/>
  <c r="R2538" i="14"/>
  <c r="R2539" i="14"/>
  <c r="R2540" i="14"/>
  <c r="R2541" i="14"/>
  <c r="R2542" i="14"/>
  <c r="R2543" i="14"/>
  <c r="R2544" i="14"/>
  <c r="R2545" i="14"/>
  <c r="R2546" i="14"/>
  <c r="R2547" i="14"/>
  <c r="R2548" i="14"/>
  <c r="R2549" i="14"/>
  <c r="R2550" i="14"/>
  <c r="R2551" i="14"/>
  <c r="R2552" i="14"/>
  <c r="R2553" i="14"/>
  <c r="R2554" i="14"/>
  <c r="R2555" i="14"/>
  <c r="R2556" i="14"/>
  <c r="R2557" i="14"/>
  <c r="R2558" i="14"/>
  <c r="R2559" i="14"/>
  <c r="R2560" i="14"/>
  <c r="R2561" i="14"/>
  <c r="R2562" i="14"/>
  <c r="R2563" i="14"/>
  <c r="R2564" i="14"/>
  <c r="R2565" i="14"/>
  <c r="R2566" i="14"/>
  <c r="R2567" i="14"/>
  <c r="R2568" i="14"/>
  <c r="R2569" i="14"/>
  <c r="R2570" i="14"/>
  <c r="R2571" i="14"/>
  <c r="R2572" i="14"/>
  <c r="R2573" i="14"/>
  <c r="R2574" i="14"/>
  <c r="R2575" i="14"/>
  <c r="R2576" i="14"/>
  <c r="R2577" i="14"/>
  <c r="R2578" i="14"/>
  <c r="R2579" i="14"/>
  <c r="R2580" i="14"/>
  <c r="R2581" i="14"/>
  <c r="R2582" i="14"/>
  <c r="R2583" i="14"/>
  <c r="R2584" i="14"/>
  <c r="R2585" i="14"/>
  <c r="R2586" i="14"/>
  <c r="R2587" i="14"/>
  <c r="R2588" i="14"/>
  <c r="R2589" i="14"/>
  <c r="R2590" i="14"/>
  <c r="R2591" i="14"/>
  <c r="R2592" i="14"/>
  <c r="R2593" i="14"/>
  <c r="R2594" i="14"/>
  <c r="R2595" i="14"/>
  <c r="R2596" i="14"/>
  <c r="R2597" i="14"/>
  <c r="R2598" i="14"/>
  <c r="R2599" i="14"/>
  <c r="R2600" i="14"/>
  <c r="R2601" i="14"/>
  <c r="R2602" i="14"/>
  <c r="R2603" i="14"/>
  <c r="R2604" i="14"/>
  <c r="R2605" i="14"/>
  <c r="R2606" i="14"/>
  <c r="R2607" i="14"/>
  <c r="R2608" i="14"/>
  <c r="R2609" i="14"/>
  <c r="R2610" i="14"/>
  <c r="R2611" i="14"/>
  <c r="R2612" i="14"/>
  <c r="R2613" i="14"/>
  <c r="R2614" i="14"/>
  <c r="R2615" i="14"/>
  <c r="R2616" i="14"/>
  <c r="R2617" i="14"/>
  <c r="R2618" i="14"/>
  <c r="R2619" i="14"/>
  <c r="R2620" i="14"/>
  <c r="R2621" i="14"/>
  <c r="R2622" i="14"/>
  <c r="R2623" i="14"/>
  <c r="R2624" i="14"/>
  <c r="R2625" i="14"/>
  <c r="R2626" i="14"/>
  <c r="R2627" i="14"/>
  <c r="R2628" i="14"/>
  <c r="R2629" i="14"/>
  <c r="R2630" i="14"/>
  <c r="R2631" i="14"/>
  <c r="R2632" i="14"/>
  <c r="R2633" i="14"/>
  <c r="R2634" i="14"/>
  <c r="R2635" i="14"/>
  <c r="R2636" i="14"/>
  <c r="R2637" i="14"/>
  <c r="R2638" i="14"/>
  <c r="R2639" i="14"/>
  <c r="R2640" i="14"/>
  <c r="R2641" i="14"/>
  <c r="R2642" i="14"/>
  <c r="R2643" i="14"/>
  <c r="R2644" i="14"/>
  <c r="R2645" i="14"/>
  <c r="R2646" i="14"/>
  <c r="R2647" i="14"/>
  <c r="R2648" i="14"/>
  <c r="R2649" i="14"/>
  <c r="R2650" i="14"/>
  <c r="R2651" i="14"/>
  <c r="R2652" i="14"/>
  <c r="R2653" i="14"/>
  <c r="R2654" i="14"/>
  <c r="R2655" i="14"/>
  <c r="R2656" i="14"/>
  <c r="R2657" i="14"/>
  <c r="R2658" i="14"/>
  <c r="R2659" i="14"/>
  <c r="R2660" i="14"/>
  <c r="R2661" i="14"/>
  <c r="R2662" i="14"/>
  <c r="R2663" i="14"/>
  <c r="R2664" i="14"/>
  <c r="R2665" i="14"/>
  <c r="R2666" i="14"/>
  <c r="R2667" i="14"/>
  <c r="R2668" i="14"/>
  <c r="R2669" i="14"/>
  <c r="R2670" i="14"/>
  <c r="R2671" i="14"/>
  <c r="R2672" i="14"/>
  <c r="R2673" i="14"/>
  <c r="R2674" i="14"/>
  <c r="R2675" i="14"/>
  <c r="R2676" i="14"/>
  <c r="R2677" i="14"/>
  <c r="R2678" i="14"/>
  <c r="R2679" i="14"/>
  <c r="R2680" i="14"/>
  <c r="R2681" i="14"/>
  <c r="R2682" i="14"/>
  <c r="R2683" i="14"/>
  <c r="R2684" i="14"/>
  <c r="R2685" i="14"/>
  <c r="R2686" i="14"/>
  <c r="R2687" i="14"/>
  <c r="R2688" i="14"/>
  <c r="R2689" i="14"/>
  <c r="R2690" i="14"/>
  <c r="R2691" i="14"/>
  <c r="R2692" i="14"/>
  <c r="R2693" i="14"/>
  <c r="R2694" i="14"/>
  <c r="R2695" i="14"/>
  <c r="R2696" i="14"/>
  <c r="R2697" i="14"/>
  <c r="R2698" i="14"/>
  <c r="R2699" i="14"/>
  <c r="R2700" i="14"/>
  <c r="R2701" i="14"/>
  <c r="R2702" i="14"/>
  <c r="R2703" i="14"/>
  <c r="R2704" i="14"/>
  <c r="R2705" i="14"/>
  <c r="R2706" i="14"/>
  <c r="R2707" i="14"/>
  <c r="R2708" i="14"/>
  <c r="R2709" i="14"/>
  <c r="R2710" i="14"/>
  <c r="R2711" i="14"/>
  <c r="R2712" i="14"/>
  <c r="R2713" i="14"/>
  <c r="R2714" i="14"/>
  <c r="R2715" i="14"/>
  <c r="R2716" i="14"/>
  <c r="R2717" i="14"/>
  <c r="R2718" i="14"/>
  <c r="R2719" i="14"/>
  <c r="R2720" i="14"/>
  <c r="R2721" i="14"/>
  <c r="R2722" i="14"/>
  <c r="R2723" i="14"/>
  <c r="R2724" i="14"/>
  <c r="R2725" i="14"/>
  <c r="R2726" i="14"/>
  <c r="R2727" i="14"/>
  <c r="R2728" i="14"/>
  <c r="R2729" i="14"/>
  <c r="R2730" i="14"/>
  <c r="R2731" i="14"/>
  <c r="R2732" i="14"/>
  <c r="R2733" i="14"/>
  <c r="R2734" i="14"/>
  <c r="R2735" i="14"/>
  <c r="R2736" i="14"/>
  <c r="R2737" i="14"/>
  <c r="R2738" i="14"/>
  <c r="R2739" i="14"/>
  <c r="R2740" i="14"/>
  <c r="R2741" i="14"/>
  <c r="R2742" i="14"/>
  <c r="R2743" i="14"/>
  <c r="R2744" i="14"/>
  <c r="R2745" i="14"/>
  <c r="R2746" i="14"/>
  <c r="R2747" i="14"/>
  <c r="R2748" i="14"/>
  <c r="R2749" i="14"/>
  <c r="R2750" i="14"/>
  <c r="R2751" i="14"/>
  <c r="R2752" i="14"/>
  <c r="R2753" i="14"/>
  <c r="R2754" i="14"/>
  <c r="R2755" i="14"/>
  <c r="R2756" i="14"/>
  <c r="R2757" i="14"/>
  <c r="R2758" i="14"/>
  <c r="R2759" i="14"/>
  <c r="R2760" i="14"/>
  <c r="R2761" i="14"/>
  <c r="R2762" i="14"/>
  <c r="R2763" i="14"/>
  <c r="R2764" i="14"/>
  <c r="R2765" i="14"/>
  <c r="R2766" i="14"/>
  <c r="R2767" i="14"/>
  <c r="R2768" i="14"/>
  <c r="R2769" i="14"/>
  <c r="R2770" i="14"/>
  <c r="R2771" i="14"/>
  <c r="R2772" i="14"/>
  <c r="R2773" i="14"/>
  <c r="R2774" i="14"/>
  <c r="R2775" i="14"/>
  <c r="R2776" i="14"/>
  <c r="R2777" i="14"/>
  <c r="R2778" i="14"/>
  <c r="R2779" i="14"/>
  <c r="R2780" i="14"/>
  <c r="R2781" i="14"/>
  <c r="R2782" i="14"/>
  <c r="R2783" i="14"/>
  <c r="R2784" i="14"/>
  <c r="R2785" i="14"/>
  <c r="R2786" i="14"/>
  <c r="R2787" i="14"/>
  <c r="R2788" i="14"/>
  <c r="R2789" i="14"/>
  <c r="R2790" i="14"/>
  <c r="R2791" i="14"/>
  <c r="R2792" i="14"/>
  <c r="R2793" i="14"/>
  <c r="R2794" i="14"/>
  <c r="R2795" i="14"/>
  <c r="R2796" i="14"/>
  <c r="R2797" i="14"/>
  <c r="R2798" i="14"/>
  <c r="R2799" i="14"/>
  <c r="R2800" i="14"/>
  <c r="R2801" i="14"/>
  <c r="R2802" i="14"/>
  <c r="R2803" i="14"/>
  <c r="R2804" i="14"/>
  <c r="R2805" i="14"/>
  <c r="R2806" i="14"/>
  <c r="R2807" i="14"/>
  <c r="R2808" i="14"/>
  <c r="R2809" i="14"/>
  <c r="R2810" i="14"/>
  <c r="R2811" i="14"/>
  <c r="R2812" i="14"/>
  <c r="R2813" i="14"/>
  <c r="R2814" i="14"/>
  <c r="R2815" i="14"/>
  <c r="R2816" i="14"/>
  <c r="R2817" i="14"/>
  <c r="R2818" i="14"/>
  <c r="R2819" i="14"/>
  <c r="R2820" i="14"/>
  <c r="R2821" i="14"/>
  <c r="R2822" i="14"/>
  <c r="R2823" i="14"/>
  <c r="R2824" i="14"/>
  <c r="R2825" i="14"/>
  <c r="R2826" i="14"/>
  <c r="R2827" i="14"/>
  <c r="R2828" i="14"/>
  <c r="R2829" i="14"/>
  <c r="R2830" i="14"/>
  <c r="R2831" i="14"/>
  <c r="R2832" i="14"/>
  <c r="R2833" i="14"/>
  <c r="R2834" i="14"/>
  <c r="R2835" i="14"/>
  <c r="R2836" i="14"/>
  <c r="R2837" i="14"/>
  <c r="R2838" i="14"/>
  <c r="R2839" i="14"/>
  <c r="R2840" i="14"/>
  <c r="R2841" i="14"/>
  <c r="R2842" i="14"/>
  <c r="R2843" i="14"/>
  <c r="R2844" i="14"/>
  <c r="R2845" i="14"/>
  <c r="R2846" i="14"/>
  <c r="R2847" i="14"/>
  <c r="R2848" i="14"/>
  <c r="R2849" i="14"/>
  <c r="R2850" i="14"/>
  <c r="R2851" i="14"/>
  <c r="R2852" i="14"/>
  <c r="R2853" i="14"/>
  <c r="R2854" i="14"/>
  <c r="R2855" i="14"/>
  <c r="R2856" i="14"/>
  <c r="R2857" i="14"/>
  <c r="R2858" i="14"/>
  <c r="R2859" i="14"/>
  <c r="R2860" i="14"/>
  <c r="R2861" i="14"/>
  <c r="R2862" i="14"/>
  <c r="R2863" i="14"/>
  <c r="R2864" i="14"/>
  <c r="R2865" i="14"/>
  <c r="R2866" i="14"/>
  <c r="R2867" i="14"/>
  <c r="R2868" i="14"/>
  <c r="R2869" i="14"/>
  <c r="R2870" i="14"/>
  <c r="R2871" i="14"/>
  <c r="R2872" i="14"/>
  <c r="R2873" i="14"/>
  <c r="R2874" i="14"/>
  <c r="R2875" i="14"/>
  <c r="R2876" i="14"/>
  <c r="R2877" i="14"/>
  <c r="R2878" i="14"/>
  <c r="R2879" i="14"/>
  <c r="R2880" i="14"/>
  <c r="R2881" i="14"/>
  <c r="R2882" i="14"/>
  <c r="R2883" i="14"/>
  <c r="R2884" i="14"/>
  <c r="R2885" i="14"/>
  <c r="R2886" i="14"/>
  <c r="R2887" i="14"/>
  <c r="R2888" i="14"/>
  <c r="R2889" i="14"/>
  <c r="R2890" i="14"/>
  <c r="R2891" i="14"/>
  <c r="R2892" i="14"/>
  <c r="R2893" i="14"/>
  <c r="R2894" i="14"/>
  <c r="R2895" i="14"/>
  <c r="R2896" i="14"/>
  <c r="R2897" i="14"/>
  <c r="R2898" i="14"/>
  <c r="R2899" i="14"/>
  <c r="R2900" i="14"/>
  <c r="R2901" i="14"/>
  <c r="R2902" i="14"/>
  <c r="R2903" i="14"/>
  <c r="R2904" i="14"/>
  <c r="R2905" i="14"/>
  <c r="R2906" i="14"/>
  <c r="R2907" i="14"/>
  <c r="R2908" i="14"/>
  <c r="R2909" i="14"/>
  <c r="R2910" i="14"/>
  <c r="R2911" i="14"/>
  <c r="R2912" i="14"/>
  <c r="R2913" i="14"/>
  <c r="R2914" i="14"/>
  <c r="R2915" i="14"/>
  <c r="R2916" i="14"/>
  <c r="R2917" i="14"/>
  <c r="R2918" i="14"/>
  <c r="R2919" i="14"/>
  <c r="R2920" i="14"/>
  <c r="R2921" i="14"/>
  <c r="R2922" i="14"/>
  <c r="R2923" i="14"/>
  <c r="R2924" i="14"/>
  <c r="R2925" i="14"/>
  <c r="R2926" i="14"/>
  <c r="R2927" i="14"/>
  <c r="R2928" i="14"/>
  <c r="R2929" i="14"/>
  <c r="R2930" i="14"/>
  <c r="R2931" i="14"/>
  <c r="R2932" i="14"/>
  <c r="R2933" i="14"/>
  <c r="R2934" i="14"/>
  <c r="R2935" i="14"/>
  <c r="R2936" i="14"/>
  <c r="R2937" i="14"/>
  <c r="R2938" i="14"/>
  <c r="R2939" i="14"/>
  <c r="R2940" i="14"/>
  <c r="R2941" i="14"/>
  <c r="R2942" i="14"/>
  <c r="R2943" i="14"/>
  <c r="R2944" i="14"/>
  <c r="R2945" i="14"/>
  <c r="R2946" i="14"/>
  <c r="R2947" i="14"/>
  <c r="R2948" i="14"/>
  <c r="R2949" i="14"/>
  <c r="R2950" i="14"/>
  <c r="R2951" i="14"/>
  <c r="R2952" i="14"/>
  <c r="R2953" i="14"/>
  <c r="R2954" i="14"/>
  <c r="R2955" i="14"/>
  <c r="R2956" i="14"/>
  <c r="R2957" i="14"/>
  <c r="R2958" i="14"/>
  <c r="R2959" i="14"/>
  <c r="R2960" i="14"/>
  <c r="R2961" i="14"/>
  <c r="R2962" i="14"/>
  <c r="R2963" i="14"/>
  <c r="R2964" i="14"/>
  <c r="R2965" i="14"/>
  <c r="R2966" i="14"/>
  <c r="R2967" i="14"/>
  <c r="R2968" i="14"/>
  <c r="R2969" i="14"/>
  <c r="R2970" i="14"/>
  <c r="R2971" i="14"/>
  <c r="R2972" i="14"/>
  <c r="R2973" i="14"/>
  <c r="R2974" i="14"/>
  <c r="R2975" i="14"/>
  <c r="R2976" i="14"/>
  <c r="R2977" i="14"/>
  <c r="R2978" i="14"/>
  <c r="R2979" i="14"/>
  <c r="R2980" i="14"/>
  <c r="R2981" i="14"/>
  <c r="R2982" i="14"/>
  <c r="R2983" i="14"/>
  <c r="R2984" i="14"/>
  <c r="R2985" i="14"/>
  <c r="R2986" i="14"/>
  <c r="R2987" i="14"/>
  <c r="R2988" i="14"/>
  <c r="R2989" i="14"/>
  <c r="R2990" i="14"/>
  <c r="R2991" i="14"/>
  <c r="R2992" i="14"/>
  <c r="R2993" i="14"/>
  <c r="R2994" i="14"/>
  <c r="R2995" i="14"/>
  <c r="R2996" i="14"/>
  <c r="R2997" i="14"/>
  <c r="R2998" i="14"/>
  <c r="R2999" i="14"/>
  <c r="R3000" i="14"/>
  <c r="R3001" i="14"/>
  <c r="R3002" i="14"/>
  <c r="R3003" i="14"/>
  <c r="R3004" i="14"/>
  <c r="R3005" i="14"/>
  <c r="R3006" i="14"/>
  <c r="R3007" i="14"/>
  <c r="R3008" i="14"/>
  <c r="R3009" i="14"/>
  <c r="R3010" i="14"/>
  <c r="R3011" i="14"/>
  <c r="R3012" i="14"/>
  <c r="R3013" i="14"/>
  <c r="R3014" i="14"/>
  <c r="R3015" i="14"/>
  <c r="R3016" i="14"/>
  <c r="R3017" i="14"/>
  <c r="R3018" i="14"/>
  <c r="R3019" i="14"/>
  <c r="R3020" i="14"/>
  <c r="R3021" i="14"/>
  <c r="R3022" i="14"/>
  <c r="R3023" i="14"/>
  <c r="R3024" i="14"/>
  <c r="R3025" i="14"/>
  <c r="R3026" i="14"/>
  <c r="R3027" i="14"/>
  <c r="R3028" i="14"/>
  <c r="R3029" i="14"/>
  <c r="R3030" i="14"/>
  <c r="R3031" i="14"/>
  <c r="R3032" i="14"/>
  <c r="R3033" i="14"/>
  <c r="R3034" i="14"/>
  <c r="R3035" i="14"/>
  <c r="R3036" i="14"/>
  <c r="R3037" i="14"/>
  <c r="R3038" i="14"/>
  <c r="R3039" i="14"/>
  <c r="R3040" i="14"/>
  <c r="R3041" i="14"/>
  <c r="R3042" i="14"/>
  <c r="R3043" i="14"/>
  <c r="R3044" i="14"/>
  <c r="R3045" i="14"/>
  <c r="R3046" i="14"/>
  <c r="R3047" i="14"/>
  <c r="R3048" i="14"/>
  <c r="R3049" i="14"/>
  <c r="R3050" i="14"/>
  <c r="R3051" i="14"/>
  <c r="R3052" i="14"/>
  <c r="R3053" i="14"/>
  <c r="R3054" i="14"/>
  <c r="R3055" i="14"/>
  <c r="R3056" i="14"/>
  <c r="R3057" i="14"/>
  <c r="R3058" i="14"/>
  <c r="R3059" i="14"/>
  <c r="R3060" i="14"/>
  <c r="R3061" i="14"/>
  <c r="R3062" i="14"/>
  <c r="R3063" i="14"/>
  <c r="R3064" i="14"/>
  <c r="R3065" i="14"/>
  <c r="R3066" i="14"/>
  <c r="R3067" i="14"/>
  <c r="R3068" i="14"/>
  <c r="R3069" i="14"/>
  <c r="R3070" i="14"/>
  <c r="R3071" i="14"/>
  <c r="R3072" i="14"/>
  <c r="R3073" i="14"/>
  <c r="R3074" i="14"/>
  <c r="R3075" i="14"/>
  <c r="R3076" i="14"/>
  <c r="R3077" i="14"/>
  <c r="R3078" i="14"/>
  <c r="R3079" i="14"/>
  <c r="R3080" i="14"/>
  <c r="R3081" i="14"/>
  <c r="R3082" i="14"/>
  <c r="R3083" i="14"/>
  <c r="R3084" i="14"/>
  <c r="R3085" i="14"/>
  <c r="R3086" i="14"/>
  <c r="R3087" i="14"/>
  <c r="R3088" i="14"/>
  <c r="R3089" i="14"/>
  <c r="R3090" i="14"/>
  <c r="R3091" i="14"/>
  <c r="R3092" i="14"/>
  <c r="R3093" i="14"/>
  <c r="R3094" i="14"/>
  <c r="R3095" i="14"/>
  <c r="R3096" i="14"/>
  <c r="R3097" i="14"/>
  <c r="R3098" i="14"/>
  <c r="R3099" i="14"/>
  <c r="R3100" i="14"/>
  <c r="R3101" i="14"/>
  <c r="R3102" i="14"/>
  <c r="R3103" i="14"/>
  <c r="R3104" i="14"/>
  <c r="R3105" i="14"/>
  <c r="R3106" i="14"/>
  <c r="R3107" i="14"/>
  <c r="R3108" i="14"/>
  <c r="R3109" i="14"/>
  <c r="R3110" i="14"/>
  <c r="R3111" i="14"/>
  <c r="R3112" i="14"/>
  <c r="R3113" i="14"/>
  <c r="R3114" i="14"/>
  <c r="R3115" i="14"/>
  <c r="R3116" i="14"/>
  <c r="R3117" i="14"/>
  <c r="R3118" i="14"/>
  <c r="R3119" i="14"/>
  <c r="R3120" i="14"/>
  <c r="R3121" i="14"/>
  <c r="R3122" i="14"/>
  <c r="R3123" i="14"/>
  <c r="R3124" i="14"/>
  <c r="R3125" i="14"/>
  <c r="R3126" i="14"/>
  <c r="R3127" i="14"/>
  <c r="R3128" i="14"/>
  <c r="R3129" i="14"/>
  <c r="R3130" i="14"/>
  <c r="R3131" i="14"/>
  <c r="R3132" i="14"/>
  <c r="R3133" i="14"/>
  <c r="R3134" i="14"/>
  <c r="R3135" i="14"/>
  <c r="R3136" i="14"/>
  <c r="R3137" i="14"/>
  <c r="R3138" i="14"/>
  <c r="R3139" i="14"/>
  <c r="R3140" i="14"/>
  <c r="R3141" i="14"/>
  <c r="R3142" i="14"/>
  <c r="R3143" i="14"/>
  <c r="R3144" i="14"/>
  <c r="R3145" i="14"/>
  <c r="R3146" i="14"/>
  <c r="R3147" i="14"/>
  <c r="R3148" i="14"/>
  <c r="R3149" i="14"/>
  <c r="R3150" i="14"/>
  <c r="R3151" i="14"/>
  <c r="R3152" i="14"/>
  <c r="R3153" i="14"/>
  <c r="R3154" i="14"/>
  <c r="R3155" i="14"/>
  <c r="R3156" i="14"/>
  <c r="R3157" i="14"/>
  <c r="R3158" i="14"/>
  <c r="R3159" i="14"/>
  <c r="R3160" i="14"/>
  <c r="R3161" i="14"/>
  <c r="R3162" i="14"/>
  <c r="R3163" i="14"/>
  <c r="R3164" i="14"/>
  <c r="R3165" i="14"/>
  <c r="R3166" i="14"/>
  <c r="R3167" i="14"/>
  <c r="R3168" i="14"/>
  <c r="R3169" i="14"/>
  <c r="R3170" i="14"/>
  <c r="R3171" i="14"/>
  <c r="R3172" i="14"/>
  <c r="R3173" i="14"/>
  <c r="R3174" i="14"/>
  <c r="R3175" i="14"/>
  <c r="R3176" i="14"/>
  <c r="R3177" i="14"/>
  <c r="R3178" i="14"/>
  <c r="R3179" i="14"/>
  <c r="R3180" i="14"/>
  <c r="R3181" i="14"/>
  <c r="R3182" i="14"/>
  <c r="R3183" i="14"/>
  <c r="R3184" i="14"/>
  <c r="R3185" i="14"/>
  <c r="R3186" i="14"/>
  <c r="R3187" i="14"/>
  <c r="R3188" i="14"/>
  <c r="R3189" i="14"/>
  <c r="R3190" i="14"/>
  <c r="R3191" i="14"/>
  <c r="R3192" i="14"/>
  <c r="R3193" i="14"/>
  <c r="R3194" i="14"/>
  <c r="R3195" i="14"/>
  <c r="R3196" i="14"/>
  <c r="R3197" i="14"/>
  <c r="R3198" i="14"/>
  <c r="R3199" i="14"/>
  <c r="R3200" i="14"/>
  <c r="R3201" i="14"/>
  <c r="R3202" i="14"/>
  <c r="R3203" i="14"/>
  <c r="R3204" i="14"/>
  <c r="R3205" i="14"/>
  <c r="R3206" i="14"/>
  <c r="R3207" i="14"/>
  <c r="R3208" i="14"/>
  <c r="R3209" i="14"/>
  <c r="R3210" i="14"/>
  <c r="R3211" i="14"/>
  <c r="R3212" i="14"/>
  <c r="R3213" i="14"/>
  <c r="R3214" i="14"/>
  <c r="R3215" i="14"/>
  <c r="R3216" i="14"/>
  <c r="R3217" i="14"/>
  <c r="R3218" i="14"/>
  <c r="R3219" i="14"/>
  <c r="R3220" i="14"/>
  <c r="R3221" i="14"/>
  <c r="R3222" i="14"/>
  <c r="R3223" i="14"/>
  <c r="R3224" i="14"/>
  <c r="R3225" i="14"/>
  <c r="R3226" i="14"/>
  <c r="R3227" i="14"/>
  <c r="R3228" i="14"/>
  <c r="R3229" i="14"/>
  <c r="R3230" i="14"/>
  <c r="R3231" i="14"/>
  <c r="R3232" i="14"/>
  <c r="R3233" i="14"/>
  <c r="R3234" i="14"/>
  <c r="R3235" i="14"/>
  <c r="R3236" i="14"/>
  <c r="R3237" i="14"/>
  <c r="R3238" i="14"/>
  <c r="R3239" i="14"/>
  <c r="R3240" i="14"/>
  <c r="R3241" i="14"/>
  <c r="R3242" i="14"/>
  <c r="R3243" i="14"/>
  <c r="R3244" i="14"/>
  <c r="R3245" i="14"/>
  <c r="R3246" i="14"/>
  <c r="R3247" i="14"/>
  <c r="R3248" i="14"/>
  <c r="R3249" i="14"/>
  <c r="R3250" i="14"/>
  <c r="R3251" i="14"/>
  <c r="R3252" i="14"/>
  <c r="R3253" i="14"/>
  <c r="R3254" i="14"/>
  <c r="R3255" i="14"/>
  <c r="R3256" i="14"/>
  <c r="R3257" i="14"/>
  <c r="R3258" i="14"/>
  <c r="R3259" i="14"/>
  <c r="R3260" i="14"/>
  <c r="R3261" i="14"/>
  <c r="R3262" i="14"/>
  <c r="R3263" i="14"/>
  <c r="R3264" i="14"/>
  <c r="R3265" i="14"/>
  <c r="R3266" i="14"/>
  <c r="R3267" i="14"/>
  <c r="R3268" i="14"/>
  <c r="R3269" i="14"/>
  <c r="R3270" i="14"/>
  <c r="R3271" i="14"/>
  <c r="R3272" i="14"/>
  <c r="R3273" i="14"/>
  <c r="R3274" i="14"/>
  <c r="R3275" i="14"/>
  <c r="R3276" i="14"/>
  <c r="R3277" i="14"/>
  <c r="R3278" i="14"/>
  <c r="R3279" i="14"/>
  <c r="R3280" i="14"/>
  <c r="R3281" i="14"/>
  <c r="R3282" i="14"/>
  <c r="R3283" i="14"/>
  <c r="R3284" i="14"/>
  <c r="R3285" i="14"/>
  <c r="R3286" i="14"/>
  <c r="R3287" i="14"/>
  <c r="R3288" i="14"/>
  <c r="R3289" i="14"/>
  <c r="R3290" i="14"/>
  <c r="R3291" i="14"/>
  <c r="R3292" i="14"/>
  <c r="R3293" i="14"/>
  <c r="R3294" i="14"/>
  <c r="R3295" i="14"/>
  <c r="R3296" i="14"/>
  <c r="R3297" i="14"/>
  <c r="R3298" i="14"/>
  <c r="R3299" i="14"/>
  <c r="R3300" i="14"/>
  <c r="R3301" i="14"/>
  <c r="R3302" i="14"/>
  <c r="R3303" i="14"/>
  <c r="R3304" i="14"/>
  <c r="R3305" i="14"/>
  <c r="R3306" i="14"/>
  <c r="R3307" i="14"/>
  <c r="R3308" i="14"/>
  <c r="R3309" i="14"/>
  <c r="R3310" i="14"/>
  <c r="R3311" i="14"/>
  <c r="R3312" i="14"/>
  <c r="R3313" i="14"/>
  <c r="R3314" i="14"/>
  <c r="R3315" i="14"/>
  <c r="R3316" i="14"/>
  <c r="R3317" i="14"/>
  <c r="R3318" i="14"/>
  <c r="R3319" i="14"/>
  <c r="R3320" i="14"/>
  <c r="R3321" i="14"/>
  <c r="R3322" i="14"/>
  <c r="R3323" i="14"/>
  <c r="R3324" i="14"/>
  <c r="R3325" i="14"/>
  <c r="R3326" i="14"/>
  <c r="R3327" i="14"/>
  <c r="R3328" i="14"/>
  <c r="R3329" i="14"/>
  <c r="R3330" i="14"/>
  <c r="R3331" i="14"/>
  <c r="R3332" i="14"/>
  <c r="R3333" i="14"/>
  <c r="R3334" i="14"/>
  <c r="R3335" i="14"/>
  <c r="R3336" i="14"/>
  <c r="R3337" i="14"/>
  <c r="R3338" i="14"/>
  <c r="R3339" i="14"/>
  <c r="R3340" i="14"/>
  <c r="R3341" i="14"/>
  <c r="R3342" i="14"/>
  <c r="R3343" i="14"/>
  <c r="R3344" i="14"/>
  <c r="R3345" i="14"/>
  <c r="R3346" i="14"/>
  <c r="R3347" i="14"/>
  <c r="R3348" i="14"/>
  <c r="R3349" i="14"/>
  <c r="R3350" i="14"/>
  <c r="R3351" i="14"/>
  <c r="R3352" i="14"/>
  <c r="R3353" i="14"/>
  <c r="R3354" i="14"/>
  <c r="R3355" i="14"/>
  <c r="R3356" i="14"/>
  <c r="R3357" i="14"/>
  <c r="R3358" i="14"/>
  <c r="R3359" i="14"/>
  <c r="R3360" i="14"/>
  <c r="R3361" i="14"/>
  <c r="R3362" i="14"/>
  <c r="R3363" i="14"/>
  <c r="R3364" i="14"/>
  <c r="R3365" i="14"/>
  <c r="R3366" i="14"/>
  <c r="R3367" i="14"/>
  <c r="R3368" i="14"/>
  <c r="R3369" i="14"/>
  <c r="R3370" i="14"/>
  <c r="R3371" i="14"/>
  <c r="R3372" i="14"/>
  <c r="R3373" i="14"/>
  <c r="R3374" i="14"/>
  <c r="R3375" i="14"/>
  <c r="R3376" i="14"/>
  <c r="R3377" i="14"/>
  <c r="R3378" i="14"/>
  <c r="R3379" i="14"/>
  <c r="R3380" i="14"/>
  <c r="R3381" i="14"/>
  <c r="R3382" i="14"/>
  <c r="R3383" i="14"/>
  <c r="R3384" i="14"/>
  <c r="R3385" i="14"/>
  <c r="R3386" i="14"/>
  <c r="R3387" i="14"/>
  <c r="R3388" i="14"/>
  <c r="R3389" i="14"/>
  <c r="R3390" i="14"/>
  <c r="R3391" i="14"/>
  <c r="R3392" i="14"/>
  <c r="R3393" i="14"/>
  <c r="R3394" i="14"/>
  <c r="R3395" i="14"/>
  <c r="R3396" i="14"/>
  <c r="R3397" i="14"/>
  <c r="R3398" i="14"/>
  <c r="R3399" i="14"/>
  <c r="R3400" i="14"/>
  <c r="R3401" i="14"/>
  <c r="R3402" i="14"/>
  <c r="R3403" i="14"/>
  <c r="R3404" i="14"/>
  <c r="R3405" i="14"/>
  <c r="R3406" i="14"/>
  <c r="R3407" i="14"/>
  <c r="R3408" i="14"/>
  <c r="R3409" i="14"/>
  <c r="R3410" i="14"/>
  <c r="R3411" i="14"/>
  <c r="R3412" i="14"/>
  <c r="R3413" i="14"/>
  <c r="R3414" i="14"/>
  <c r="R3415" i="14"/>
  <c r="R3416" i="14"/>
  <c r="R3417" i="14"/>
  <c r="R3418" i="14"/>
  <c r="R3419" i="14"/>
  <c r="R3420" i="14"/>
  <c r="R3421" i="14"/>
  <c r="R3422" i="14"/>
  <c r="R3423" i="14"/>
  <c r="R3424" i="14"/>
  <c r="R3425" i="14"/>
  <c r="R3426" i="14"/>
  <c r="R3427" i="14"/>
  <c r="R3428" i="14"/>
  <c r="R3429" i="14"/>
  <c r="R3430" i="14"/>
  <c r="R3431" i="14"/>
  <c r="R3432" i="14"/>
  <c r="R3433" i="14"/>
  <c r="R3434" i="14"/>
  <c r="R3435" i="14"/>
  <c r="R3436" i="14"/>
  <c r="R3437" i="14"/>
  <c r="R3438" i="14"/>
  <c r="R3439" i="14"/>
  <c r="R3440" i="14"/>
  <c r="R3441" i="14"/>
  <c r="R3442" i="14"/>
  <c r="R3443" i="14"/>
  <c r="R3444" i="14"/>
  <c r="R3445" i="14"/>
  <c r="R3446" i="14"/>
  <c r="R3447" i="14"/>
  <c r="R3448" i="14"/>
  <c r="R3449" i="14"/>
  <c r="R3450" i="14"/>
  <c r="R3451" i="14"/>
  <c r="R3452" i="14"/>
  <c r="R3453" i="14"/>
  <c r="R3454" i="14"/>
  <c r="R3455" i="14"/>
  <c r="R3456" i="14"/>
  <c r="R3457" i="14"/>
  <c r="R3458" i="14"/>
  <c r="R3459" i="14"/>
  <c r="R3460" i="14"/>
  <c r="R3461" i="14"/>
  <c r="R3462" i="14"/>
  <c r="R3463" i="14"/>
  <c r="R3464" i="14"/>
  <c r="R3465" i="14"/>
  <c r="R3466" i="14"/>
  <c r="R3467" i="14"/>
  <c r="R3468" i="14"/>
  <c r="R3469" i="14"/>
  <c r="R3470" i="14"/>
  <c r="R3471" i="14"/>
  <c r="R3472" i="14"/>
  <c r="R3473" i="14"/>
  <c r="R3474" i="14"/>
  <c r="R3475" i="14"/>
  <c r="R3476" i="14"/>
  <c r="R3477" i="14"/>
  <c r="R3478" i="14"/>
  <c r="R3479" i="14"/>
  <c r="R3480" i="14"/>
  <c r="R3481" i="14"/>
  <c r="R3482" i="14"/>
  <c r="R3483" i="14"/>
  <c r="R3484" i="14"/>
  <c r="R3485" i="14"/>
  <c r="R3486" i="14"/>
  <c r="R3487" i="14"/>
  <c r="R3488" i="14"/>
  <c r="R3489" i="14"/>
  <c r="R3490" i="14"/>
  <c r="R3491" i="14"/>
  <c r="R3492" i="14"/>
  <c r="R3493" i="14"/>
  <c r="R3494" i="14"/>
  <c r="R3495" i="14"/>
  <c r="R3496" i="14"/>
  <c r="R3497" i="14"/>
  <c r="R3498" i="14"/>
  <c r="R3499" i="14"/>
  <c r="R3500" i="14"/>
  <c r="R3501" i="14"/>
  <c r="R3502" i="14"/>
  <c r="R3503" i="14"/>
  <c r="R3504" i="14"/>
  <c r="R3505" i="14"/>
  <c r="R3506" i="14"/>
  <c r="R3507" i="14"/>
  <c r="R3508" i="14"/>
  <c r="R3509" i="14"/>
  <c r="R3510" i="14"/>
  <c r="R3511" i="14"/>
  <c r="R3512" i="14"/>
  <c r="R3513" i="14"/>
  <c r="R3514" i="14"/>
  <c r="R3515" i="14"/>
  <c r="R3516" i="14"/>
  <c r="R3517" i="14"/>
  <c r="R3518" i="14"/>
  <c r="R3519" i="14"/>
  <c r="R3520" i="14"/>
  <c r="R3521" i="14"/>
  <c r="R3522" i="14"/>
  <c r="R3523" i="14"/>
  <c r="R3524" i="14"/>
  <c r="R3525" i="14"/>
  <c r="R3526" i="14"/>
  <c r="R3527" i="14"/>
  <c r="R3528" i="14"/>
  <c r="R3529" i="14"/>
  <c r="R3530" i="14"/>
  <c r="R3531" i="14"/>
  <c r="R3532" i="14"/>
  <c r="R3533" i="14"/>
  <c r="R3534" i="14"/>
  <c r="R3535" i="14"/>
  <c r="R3536" i="14"/>
  <c r="R3537" i="14"/>
  <c r="R3538" i="14"/>
  <c r="R3539" i="14"/>
  <c r="R3540" i="14"/>
  <c r="R3541" i="14"/>
  <c r="R3542" i="14"/>
  <c r="R3543" i="14"/>
  <c r="R3544" i="14"/>
  <c r="R3545" i="14"/>
  <c r="R3546" i="14"/>
  <c r="R3547" i="14"/>
  <c r="R3548" i="14"/>
  <c r="R3549" i="14"/>
  <c r="R3550" i="14"/>
  <c r="R3551" i="14"/>
  <c r="R3552" i="14"/>
  <c r="R3553" i="14"/>
  <c r="R3554" i="14"/>
  <c r="R3555" i="14"/>
  <c r="R3556" i="14"/>
  <c r="R3557" i="14"/>
  <c r="R3558" i="14"/>
  <c r="R3559" i="14"/>
  <c r="R3560" i="14"/>
  <c r="R3561" i="14"/>
  <c r="R3562" i="14"/>
  <c r="R3563" i="14"/>
  <c r="R3564" i="14"/>
  <c r="R3565" i="14"/>
  <c r="R3566" i="14"/>
  <c r="R3567" i="14"/>
  <c r="R3568" i="14"/>
  <c r="R3569" i="14"/>
  <c r="R3570" i="14"/>
  <c r="R3571" i="14"/>
  <c r="R3572" i="14"/>
  <c r="R3573" i="14"/>
  <c r="R3574" i="14"/>
  <c r="R3575" i="14"/>
  <c r="R3576" i="14"/>
  <c r="R3577" i="14"/>
  <c r="R3578" i="14"/>
  <c r="R3579" i="14"/>
  <c r="R3580" i="14"/>
  <c r="R3581" i="14"/>
  <c r="R3582" i="14"/>
  <c r="R3583" i="14"/>
  <c r="R3584" i="14"/>
  <c r="R3585" i="14"/>
  <c r="R3586" i="14"/>
  <c r="R3587" i="14"/>
  <c r="R3588" i="14"/>
  <c r="R3589" i="14"/>
  <c r="R3590" i="14"/>
  <c r="R3591" i="14"/>
  <c r="R3592" i="14"/>
  <c r="R3593" i="14"/>
  <c r="R3594" i="14"/>
  <c r="R3595" i="14"/>
  <c r="R3596" i="14"/>
  <c r="R3597" i="14"/>
  <c r="R3598" i="14"/>
  <c r="R3599" i="14"/>
  <c r="R3600" i="14"/>
  <c r="R3601" i="14"/>
  <c r="R3602" i="14"/>
  <c r="R3603" i="14"/>
  <c r="R3604" i="14"/>
  <c r="R3605" i="14"/>
  <c r="R3606" i="14"/>
  <c r="R3607" i="14"/>
  <c r="R3608" i="14"/>
  <c r="R3609" i="14"/>
  <c r="R3610" i="14"/>
  <c r="R3611" i="14"/>
  <c r="R3612" i="14"/>
  <c r="R3613" i="14"/>
  <c r="R3614" i="14"/>
  <c r="R3615" i="14"/>
  <c r="R3616" i="14"/>
  <c r="R3617" i="14"/>
  <c r="R3618" i="14"/>
  <c r="R3619" i="14"/>
  <c r="R3620" i="14"/>
  <c r="R3621" i="14"/>
  <c r="R3622" i="14"/>
  <c r="R3623" i="14"/>
  <c r="R3624" i="14"/>
  <c r="R3625" i="14"/>
  <c r="R3626" i="14"/>
  <c r="R3627" i="14"/>
  <c r="R3628" i="14"/>
  <c r="R3629" i="14"/>
  <c r="R3630" i="14"/>
  <c r="R3631" i="14"/>
  <c r="R3632" i="14"/>
  <c r="R3633" i="14"/>
  <c r="R3634" i="14"/>
  <c r="R3635" i="14"/>
  <c r="R3636" i="14"/>
  <c r="R3637" i="14"/>
  <c r="R3638" i="14"/>
  <c r="R3639" i="14"/>
  <c r="R3640" i="14"/>
  <c r="R3641" i="14"/>
  <c r="R3642" i="14"/>
  <c r="R3643" i="14"/>
  <c r="R3644" i="14"/>
  <c r="R3645" i="14"/>
  <c r="R3646" i="14"/>
  <c r="R3647" i="14"/>
  <c r="R3648" i="14"/>
  <c r="R3649" i="14"/>
  <c r="R3650" i="14"/>
  <c r="R3651" i="14"/>
  <c r="R3652" i="14"/>
  <c r="R3653" i="14"/>
  <c r="R3654" i="14"/>
  <c r="R3655" i="14"/>
  <c r="R3656" i="14"/>
  <c r="R3657" i="14"/>
  <c r="R3658" i="14"/>
  <c r="R3659" i="14"/>
  <c r="R3660" i="14"/>
  <c r="R3661" i="14"/>
  <c r="R3662" i="14"/>
  <c r="R3663" i="14"/>
  <c r="R3664" i="14"/>
  <c r="R3665" i="14"/>
  <c r="R3666" i="14"/>
  <c r="R3667" i="14"/>
  <c r="R3668" i="14"/>
  <c r="R3669" i="14"/>
  <c r="R3670" i="14"/>
  <c r="R3671" i="14"/>
  <c r="R3672" i="14"/>
  <c r="R3673" i="14"/>
  <c r="R3674" i="14"/>
  <c r="R3675" i="14"/>
  <c r="R3676" i="14"/>
  <c r="R3677" i="14"/>
  <c r="R3678" i="14"/>
  <c r="R3679" i="14"/>
  <c r="R3680" i="14"/>
  <c r="R3681" i="14"/>
  <c r="R3682" i="14"/>
  <c r="R3683" i="14"/>
  <c r="R3684" i="14"/>
  <c r="R3685" i="14"/>
  <c r="R3686" i="14"/>
  <c r="R3687" i="14"/>
  <c r="R3688" i="14"/>
  <c r="R3689" i="14"/>
  <c r="R3690" i="14"/>
  <c r="R3691" i="14"/>
  <c r="R3692" i="14"/>
  <c r="R3693" i="14"/>
  <c r="R3694" i="14"/>
  <c r="R3695" i="14"/>
  <c r="R3696" i="14"/>
  <c r="R3697" i="14"/>
  <c r="R3698" i="14"/>
  <c r="R3699" i="14"/>
  <c r="R3700" i="14"/>
  <c r="R3701" i="14"/>
  <c r="R3702" i="14"/>
  <c r="R3703" i="14"/>
  <c r="R3704" i="14"/>
  <c r="R3705" i="14"/>
  <c r="R3706" i="14"/>
  <c r="R3707" i="14"/>
  <c r="R3708" i="14"/>
  <c r="R3709" i="14"/>
  <c r="R3710" i="14"/>
  <c r="R3711" i="14"/>
  <c r="R3712" i="14"/>
  <c r="R3713" i="14"/>
  <c r="R3714" i="14"/>
  <c r="R3715" i="14"/>
  <c r="R3716" i="14"/>
  <c r="R3717" i="14"/>
  <c r="R3718" i="14"/>
  <c r="R3719" i="14"/>
  <c r="R3720" i="14"/>
  <c r="R3721" i="14"/>
  <c r="R3722" i="14"/>
  <c r="R3723" i="14"/>
  <c r="R3724" i="14"/>
  <c r="R3725" i="14"/>
  <c r="R3726" i="14"/>
  <c r="R3727" i="14"/>
  <c r="R3728" i="14"/>
  <c r="R3729" i="14"/>
  <c r="R3730" i="14"/>
  <c r="R3731" i="14"/>
  <c r="R3732" i="14"/>
  <c r="R3733" i="14"/>
  <c r="R3734" i="14"/>
  <c r="R3735" i="14"/>
  <c r="R3736" i="14"/>
  <c r="R3737" i="14"/>
  <c r="R3738" i="14"/>
  <c r="R3739" i="14"/>
  <c r="R3740" i="14"/>
  <c r="R3741" i="14"/>
  <c r="R3742" i="14"/>
  <c r="R3743" i="14"/>
  <c r="R3744" i="14"/>
  <c r="R3745" i="14"/>
  <c r="R3746" i="14"/>
  <c r="R3747" i="14"/>
  <c r="R3748" i="14"/>
  <c r="R3749" i="14"/>
  <c r="R3750" i="14"/>
  <c r="R3751" i="14"/>
  <c r="R3752" i="14"/>
  <c r="R3753" i="14"/>
  <c r="R3754" i="14"/>
  <c r="R3755" i="14"/>
  <c r="R3756" i="14"/>
  <c r="R3757" i="14"/>
  <c r="R3758" i="14"/>
  <c r="R3759" i="14"/>
  <c r="R3760" i="14"/>
  <c r="R3761" i="14"/>
  <c r="R3762" i="14"/>
  <c r="R3763" i="14"/>
  <c r="R3764" i="14"/>
  <c r="R3765" i="14"/>
  <c r="R3766" i="14"/>
  <c r="R3767" i="14"/>
  <c r="R3768" i="14"/>
  <c r="R3769" i="14"/>
  <c r="R3770" i="14"/>
  <c r="R3771" i="14"/>
  <c r="R3772" i="14"/>
  <c r="R3773" i="14"/>
  <c r="R3774" i="14"/>
  <c r="R3775" i="14"/>
  <c r="R3776" i="14"/>
  <c r="R3777" i="14"/>
  <c r="R3778" i="14"/>
  <c r="R3779" i="14"/>
  <c r="R3780" i="14"/>
  <c r="R3781" i="14"/>
  <c r="R3782" i="14"/>
  <c r="R3783" i="14"/>
  <c r="R3784" i="14"/>
  <c r="R3785" i="14"/>
  <c r="R3786" i="14"/>
  <c r="R3787" i="14"/>
  <c r="R3788" i="14"/>
  <c r="R3789" i="14"/>
  <c r="R3790" i="14"/>
  <c r="R3791" i="14"/>
  <c r="R3792" i="14"/>
  <c r="R3793" i="14"/>
  <c r="R3794" i="14"/>
  <c r="R3795" i="14"/>
  <c r="R3796" i="14"/>
  <c r="R3797" i="14"/>
  <c r="R3798" i="14"/>
  <c r="R3799" i="14"/>
  <c r="R3800" i="14"/>
  <c r="R3801" i="14"/>
  <c r="R3802" i="14"/>
  <c r="R3803" i="14"/>
  <c r="R3804" i="14"/>
  <c r="R3805" i="14"/>
  <c r="R3806" i="14"/>
  <c r="R3807" i="14"/>
  <c r="R3808" i="14"/>
  <c r="R3809" i="14"/>
  <c r="R3810" i="14"/>
  <c r="R3811" i="14"/>
  <c r="R3812" i="14"/>
  <c r="R3813" i="14"/>
  <c r="R3814" i="14"/>
  <c r="R3815" i="14"/>
  <c r="R3816" i="14"/>
  <c r="R3817" i="14"/>
  <c r="R3818" i="14"/>
  <c r="R3819" i="14"/>
  <c r="R3820" i="14"/>
  <c r="R3821" i="14"/>
  <c r="R3822" i="14"/>
  <c r="R3823" i="14"/>
  <c r="R3824" i="14"/>
  <c r="R3825" i="14"/>
  <c r="R3826" i="14"/>
  <c r="R3827" i="14"/>
  <c r="R3828" i="14"/>
  <c r="R3829" i="14"/>
  <c r="R3830" i="14"/>
  <c r="R3831" i="14"/>
  <c r="R3832" i="14"/>
  <c r="R3833" i="14"/>
  <c r="R3834" i="14"/>
  <c r="R3835" i="14"/>
  <c r="R3836" i="14"/>
  <c r="R3837" i="14"/>
  <c r="R3838" i="14"/>
  <c r="R3839" i="14"/>
  <c r="R3840" i="14"/>
  <c r="R3841" i="14"/>
  <c r="R3842" i="14"/>
  <c r="R3843" i="14"/>
  <c r="R3844" i="14"/>
  <c r="R3845" i="14"/>
  <c r="R3846" i="14"/>
  <c r="R3847" i="14"/>
  <c r="R3848" i="14"/>
  <c r="R3849" i="14"/>
  <c r="R3850" i="14"/>
  <c r="R3851" i="14"/>
  <c r="R3852" i="14"/>
  <c r="R3853" i="14"/>
  <c r="R3854" i="14"/>
  <c r="R3855" i="14"/>
  <c r="R3856" i="14"/>
  <c r="R3857" i="14"/>
  <c r="R3858" i="14"/>
  <c r="R3859" i="14"/>
  <c r="R3860" i="14"/>
  <c r="R3861" i="14"/>
  <c r="R3862" i="14"/>
  <c r="R3863" i="14"/>
  <c r="R3864" i="14"/>
  <c r="R3865" i="14"/>
  <c r="R3866" i="14"/>
  <c r="R3867" i="14"/>
  <c r="R3868" i="14"/>
  <c r="R3869" i="14"/>
  <c r="R3870" i="14"/>
  <c r="R3871" i="14"/>
  <c r="R3872" i="14"/>
  <c r="R3873" i="14"/>
  <c r="R3874" i="14"/>
  <c r="R3875" i="14"/>
  <c r="R3876" i="14"/>
  <c r="R3877" i="14"/>
  <c r="R3878" i="14"/>
  <c r="R3879" i="14"/>
  <c r="R3880" i="14"/>
  <c r="R3881" i="14"/>
  <c r="R3882" i="14"/>
  <c r="R3883" i="14"/>
  <c r="R3884" i="14"/>
  <c r="R3885" i="14"/>
  <c r="R3886" i="14"/>
  <c r="R3887" i="14"/>
  <c r="R3888" i="14"/>
  <c r="R3889" i="14"/>
  <c r="R3890" i="14"/>
  <c r="R3891" i="14"/>
  <c r="R3892" i="14"/>
  <c r="R3893" i="14"/>
  <c r="R3894" i="14"/>
  <c r="R3895" i="14"/>
  <c r="R3896" i="14"/>
  <c r="R3897" i="14"/>
  <c r="R3898" i="14"/>
  <c r="R3899" i="14"/>
  <c r="R3900" i="14"/>
  <c r="R3901" i="14"/>
  <c r="R3902" i="14"/>
  <c r="R3903" i="14"/>
  <c r="R3904" i="14"/>
  <c r="R3905" i="14"/>
  <c r="R3906" i="14"/>
  <c r="R3907" i="14"/>
  <c r="R3908" i="14"/>
  <c r="R3909" i="14"/>
  <c r="R3910" i="14"/>
  <c r="R3911" i="14"/>
  <c r="R3912" i="14"/>
  <c r="R3913" i="14"/>
  <c r="R3914" i="14"/>
  <c r="R3915" i="14"/>
  <c r="R3916" i="14"/>
  <c r="R3917" i="14"/>
  <c r="R3918" i="14"/>
  <c r="R3919" i="14"/>
  <c r="R3920" i="14"/>
  <c r="R3921" i="14"/>
  <c r="R3922" i="14"/>
  <c r="R3923" i="14"/>
  <c r="R3924" i="14"/>
  <c r="R3925" i="14"/>
  <c r="R3926" i="14"/>
  <c r="R3927" i="14"/>
  <c r="R3928" i="14"/>
  <c r="R3929" i="14"/>
  <c r="R3930" i="14"/>
  <c r="R3931" i="14"/>
  <c r="R3932" i="14"/>
  <c r="R3933" i="14"/>
  <c r="R3934" i="14"/>
  <c r="R3935" i="14"/>
  <c r="R3936" i="14"/>
  <c r="R3937" i="14"/>
  <c r="R3938" i="14"/>
  <c r="R3939" i="14"/>
  <c r="R3940" i="14"/>
  <c r="R3941" i="14"/>
  <c r="R3942" i="14"/>
  <c r="R3943" i="14"/>
  <c r="R3944" i="14"/>
  <c r="R3945" i="14"/>
  <c r="R3946" i="14"/>
  <c r="R3947" i="14"/>
  <c r="R3948" i="14"/>
  <c r="R3949" i="14"/>
  <c r="R3950" i="14"/>
  <c r="R3951" i="14"/>
  <c r="R3952" i="14"/>
  <c r="R3953" i="14"/>
  <c r="R3954" i="14"/>
  <c r="R3955" i="14"/>
  <c r="R3956" i="14"/>
  <c r="R3957" i="14"/>
  <c r="R3958" i="14"/>
  <c r="R3959" i="14"/>
  <c r="R3960" i="14"/>
  <c r="R3961" i="14"/>
  <c r="R3962" i="14"/>
  <c r="R3963" i="14"/>
  <c r="R3964" i="14"/>
  <c r="R3965" i="14"/>
  <c r="R3966" i="14"/>
  <c r="R3967" i="14"/>
  <c r="R3968" i="14"/>
  <c r="R3969" i="14"/>
  <c r="R3970" i="14"/>
  <c r="R3971" i="14"/>
  <c r="R3972" i="14"/>
  <c r="R3973" i="14"/>
  <c r="R3974" i="14"/>
  <c r="R3975" i="14"/>
  <c r="R3976" i="14"/>
  <c r="R3977" i="14"/>
  <c r="R3978" i="14"/>
  <c r="R3979" i="14"/>
  <c r="R3980" i="14"/>
  <c r="R3981" i="14"/>
  <c r="R3982" i="14"/>
  <c r="R3983" i="14"/>
  <c r="R3984" i="14"/>
  <c r="R3985" i="14"/>
  <c r="R3986" i="14"/>
  <c r="R3987" i="14"/>
  <c r="R3988" i="14"/>
  <c r="R3989" i="14"/>
  <c r="R3990" i="14"/>
  <c r="R3991" i="14"/>
  <c r="R3992" i="14"/>
  <c r="R3993" i="14"/>
  <c r="R3994" i="14"/>
  <c r="R3995" i="14"/>
  <c r="R3996" i="14"/>
  <c r="R3997" i="14"/>
  <c r="R3998" i="14"/>
  <c r="R3999" i="14"/>
  <c r="R4000" i="14"/>
  <c r="R4001" i="14"/>
  <c r="R4002" i="14"/>
  <c r="R4003" i="14"/>
  <c r="R4004" i="14"/>
  <c r="R4005" i="14"/>
  <c r="R4006" i="14"/>
  <c r="R4007" i="14"/>
  <c r="R4008" i="14"/>
  <c r="R4009" i="14"/>
  <c r="R4010" i="14"/>
  <c r="R4011" i="14"/>
  <c r="R4012" i="14"/>
  <c r="R4013" i="14"/>
  <c r="R4014" i="14"/>
  <c r="R4015" i="14"/>
  <c r="R4016" i="14"/>
  <c r="R4017" i="14"/>
  <c r="R4018" i="14"/>
  <c r="R4019" i="14"/>
  <c r="R4020" i="14"/>
  <c r="R4021" i="14"/>
  <c r="R4022" i="14"/>
  <c r="R4023" i="14"/>
  <c r="R4024" i="14"/>
  <c r="R4025" i="14"/>
  <c r="R4026" i="14"/>
  <c r="R4027" i="14"/>
  <c r="R4028" i="14"/>
  <c r="R4029" i="14"/>
  <c r="R4030" i="14"/>
  <c r="R4031" i="14"/>
  <c r="R4032" i="14"/>
  <c r="R4033" i="14"/>
  <c r="R4034" i="14"/>
  <c r="R4035" i="14"/>
  <c r="R4036" i="14"/>
  <c r="R4037" i="14"/>
  <c r="R4038" i="14"/>
  <c r="R4039" i="14"/>
  <c r="R4040" i="14"/>
  <c r="R4041" i="14"/>
  <c r="R4042" i="14"/>
  <c r="R4043" i="14"/>
  <c r="R4044" i="14"/>
  <c r="R4045" i="14"/>
  <c r="R4046" i="14"/>
  <c r="R4047" i="14"/>
  <c r="R4048" i="14"/>
  <c r="R4049" i="14"/>
  <c r="R4050" i="14"/>
  <c r="R4051" i="14"/>
  <c r="R4052" i="14"/>
  <c r="R4053" i="14"/>
  <c r="R4054" i="14"/>
  <c r="R4055" i="14"/>
  <c r="R4056" i="14"/>
  <c r="R4057" i="14"/>
  <c r="R4058" i="14"/>
  <c r="R4059" i="14"/>
  <c r="R4060" i="14"/>
  <c r="R4061" i="14"/>
  <c r="R4062" i="14"/>
  <c r="R4063" i="14"/>
  <c r="R4064" i="14"/>
  <c r="R4065" i="14"/>
  <c r="R4066" i="14"/>
  <c r="R4067" i="14"/>
  <c r="R4068" i="14"/>
  <c r="R4069" i="14"/>
  <c r="R4070" i="14"/>
  <c r="R4071" i="14"/>
  <c r="R4072" i="14"/>
  <c r="R4073" i="14"/>
  <c r="R4074" i="14"/>
  <c r="R4075" i="14"/>
  <c r="R4076" i="14"/>
  <c r="R4077" i="14"/>
  <c r="R4078" i="14"/>
  <c r="R4079" i="14"/>
  <c r="R4080" i="14"/>
  <c r="R4081" i="14"/>
  <c r="R4082" i="14"/>
  <c r="R4083" i="14"/>
  <c r="R4084" i="14"/>
  <c r="R4085" i="14"/>
  <c r="R4086" i="14"/>
  <c r="R4087" i="14"/>
  <c r="R4088" i="14"/>
  <c r="R4089" i="14"/>
  <c r="R4090" i="14"/>
  <c r="R4091" i="14"/>
  <c r="R4092" i="14"/>
  <c r="R4093" i="14"/>
  <c r="R4094" i="14"/>
  <c r="R4095" i="14"/>
  <c r="R4096" i="14"/>
  <c r="R4097" i="14"/>
  <c r="R4098" i="14"/>
  <c r="R4099" i="14"/>
  <c r="R4100" i="14"/>
  <c r="R4101" i="14"/>
  <c r="R4102" i="14"/>
  <c r="R4103" i="14"/>
  <c r="R4104" i="14"/>
  <c r="R4105" i="14"/>
  <c r="R4106" i="14"/>
  <c r="R4107" i="14"/>
  <c r="R4108" i="14"/>
  <c r="R4109" i="14"/>
  <c r="R4110" i="14"/>
  <c r="R4111" i="14"/>
  <c r="R4112" i="14"/>
  <c r="R4113" i="14"/>
  <c r="R4114" i="14"/>
  <c r="R4115" i="14"/>
  <c r="R4116" i="14"/>
  <c r="R4117" i="14"/>
  <c r="R4118" i="14"/>
  <c r="R4119" i="14"/>
  <c r="R4120" i="14"/>
  <c r="R4121" i="14"/>
  <c r="R4122" i="14"/>
  <c r="R4123" i="14"/>
  <c r="R4124" i="14"/>
  <c r="R4125" i="14"/>
  <c r="R4126" i="14"/>
  <c r="R4127" i="14"/>
  <c r="R4128" i="14"/>
  <c r="R4129" i="14"/>
  <c r="R4130" i="14"/>
  <c r="R4131" i="14"/>
  <c r="R4132" i="14"/>
  <c r="R4133" i="14"/>
  <c r="R4134" i="14"/>
  <c r="R4135" i="14"/>
  <c r="R4136" i="14"/>
  <c r="R4137" i="14"/>
  <c r="R4138" i="14"/>
  <c r="R4139" i="14"/>
  <c r="R4140" i="14"/>
  <c r="R4141" i="14"/>
  <c r="R4142" i="14"/>
  <c r="R4143" i="14"/>
  <c r="R4144" i="14"/>
  <c r="R4145" i="14"/>
  <c r="R4146" i="14"/>
  <c r="R4147" i="14"/>
  <c r="R4148" i="14"/>
  <c r="R4149" i="14"/>
  <c r="R4150" i="14"/>
  <c r="R4151" i="14"/>
  <c r="R4152" i="14"/>
  <c r="R4153" i="14"/>
  <c r="R4154" i="14"/>
  <c r="R4155" i="14"/>
  <c r="R4156" i="14"/>
  <c r="R4157" i="14"/>
  <c r="R4158" i="14"/>
  <c r="R4159" i="14"/>
  <c r="R4160" i="14"/>
  <c r="R4161" i="14"/>
  <c r="R4162" i="14"/>
  <c r="R4163" i="14"/>
  <c r="R4164" i="14"/>
  <c r="R4165" i="14"/>
  <c r="R4166" i="14"/>
  <c r="R4167" i="14"/>
  <c r="R4168" i="14"/>
  <c r="R4169" i="14"/>
  <c r="R4170" i="14"/>
  <c r="R4171" i="14"/>
  <c r="R4172" i="14"/>
  <c r="R4173" i="14"/>
  <c r="R4174" i="14"/>
  <c r="R4175" i="14"/>
  <c r="R4176" i="14"/>
  <c r="R4177" i="14"/>
  <c r="R4178" i="14"/>
  <c r="R4179" i="14"/>
  <c r="R4180" i="14"/>
  <c r="R4181" i="14"/>
  <c r="R4182" i="14"/>
  <c r="R4183" i="14"/>
  <c r="R4184" i="14"/>
  <c r="R4185" i="14"/>
  <c r="R4186" i="14"/>
  <c r="R4187" i="14"/>
  <c r="R4188" i="14"/>
  <c r="R4189" i="14"/>
  <c r="R4190" i="14"/>
  <c r="R4191" i="14"/>
  <c r="R4192" i="14"/>
  <c r="R4193" i="14"/>
  <c r="R4194" i="14"/>
  <c r="R4195" i="14"/>
  <c r="R4196" i="14"/>
  <c r="R4197" i="14"/>
  <c r="R4198" i="14"/>
  <c r="R4199" i="14"/>
  <c r="R4200" i="14"/>
  <c r="R4201" i="14"/>
  <c r="R4202" i="14"/>
  <c r="R4203" i="14"/>
  <c r="R4204" i="14"/>
  <c r="R4205" i="14"/>
  <c r="R4206" i="14"/>
  <c r="R4207" i="14"/>
  <c r="R4208" i="14"/>
  <c r="R4209" i="14"/>
  <c r="R4210" i="14"/>
  <c r="R4211" i="14"/>
  <c r="R4212" i="14"/>
  <c r="R4213" i="14"/>
  <c r="R4214" i="14"/>
  <c r="R4215" i="14"/>
  <c r="R4216" i="14"/>
  <c r="R4217" i="14"/>
  <c r="R4218" i="14"/>
  <c r="R4219" i="14"/>
  <c r="R4220" i="14"/>
  <c r="R4221" i="14"/>
  <c r="R4222" i="14"/>
  <c r="R4223" i="14"/>
  <c r="R4224" i="14"/>
  <c r="R4225" i="14"/>
  <c r="R4226" i="14"/>
  <c r="R4227" i="14"/>
  <c r="R4228" i="14"/>
  <c r="R4229" i="14"/>
  <c r="R4230" i="14"/>
  <c r="R4231" i="14"/>
  <c r="R4232" i="14"/>
  <c r="R4233" i="14"/>
  <c r="R4234" i="14"/>
  <c r="R4235" i="14"/>
  <c r="R4236" i="14"/>
  <c r="R4237" i="14"/>
  <c r="R4238" i="14"/>
  <c r="R4239" i="14"/>
  <c r="R4240" i="14"/>
  <c r="R4241" i="14"/>
  <c r="R4242" i="14"/>
  <c r="R4243" i="14"/>
  <c r="R4244" i="14"/>
  <c r="R4245" i="14"/>
  <c r="R4246" i="14"/>
  <c r="R4247" i="14"/>
  <c r="R4248" i="14"/>
  <c r="R4249" i="14"/>
  <c r="R4250" i="14"/>
  <c r="R4251" i="14"/>
  <c r="R4252" i="14"/>
  <c r="R4253" i="14"/>
  <c r="R4254" i="14"/>
  <c r="R4255" i="14"/>
  <c r="R4256" i="14"/>
  <c r="R4257" i="14"/>
  <c r="R4258" i="14"/>
  <c r="R4259" i="14"/>
  <c r="R4260" i="14"/>
  <c r="R4261" i="14"/>
  <c r="R4262" i="14"/>
  <c r="R4263" i="14"/>
  <c r="R4264" i="14"/>
  <c r="R4265" i="14"/>
  <c r="R4266" i="14"/>
  <c r="R4267" i="14"/>
  <c r="R4268" i="14"/>
  <c r="R4269" i="14"/>
  <c r="R4270" i="14"/>
  <c r="R4271" i="14"/>
  <c r="R4272" i="14"/>
  <c r="R4273" i="14"/>
  <c r="R4274" i="14"/>
  <c r="R4275" i="14"/>
  <c r="R4276" i="14"/>
  <c r="R4277" i="14"/>
  <c r="R4278" i="14"/>
  <c r="R4279" i="14"/>
  <c r="R4280" i="14"/>
  <c r="R4281" i="14"/>
  <c r="R4282" i="14"/>
  <c r="R4283" i="14"/>
  <c r="R4284" i="14"/>
  <c r="R4285" i="14"/>
  <c r="R4286" i="14"/>
  <c r="R4287" i="14"/>
  <c r="R4288" i="14"/>
  <c r="R4289" i="14"/>
  <c r="R4290" i="14"/>
  <c r="R4291" i="14"/>
  <c r="R4292" i="14"/>
  <c r="R4293" i="14"/>
  <c r="R4294" i="14"/>
  <c r="R4295" i="14"/>
  <c r="R4296" i="14"/>
  <c r="R4297" i="14"/>
  <c r="R4298" i="14"/>
  <c r="R4299" i="14"/>
  <c r="R4300" i="14"/>
  <c r="R4301" i="14"/>
  <c r="R4302" i="14"/>
  <c r="R4303" i="14"/>
  <c r="R4304" i="14"/>
  <c r="R4305" i="14"/>
  <c r="R4306" i="14"/>
  <c r="R4307" i="14"/>
  <c r="R4308" i="14"/>
  <c r="R4309" i="14"/>
  <c r="R4310" i="14"/>
  <c r="R4311" i="14"/>
  <c r="R4312" i="14"/>
  <c r="R4313" i="14"/>
  <c r="R4314" i="14"/>
  <c r="R4315" i="14"/>
  <c r="R4316" i="14"/>
  <c r="R4317" i="14"/>
  <c r="R4318" i="14"/>
  <c r="R4319" i="14"/>
  <c r="R4320" i="14"/>
  <c r="R4321" i="14"/>
  <c r="R4322" i="14"/>
  <c r="R4323" i="14"/>
  <c r="R4324" i="14"/>
  <c r="R4325" i="14"/>
  <c r="R4326" i="14"/>
  <c r="R4327" i="14"/>
  <c r="R4328" i="14"/>
  <c r="R4329" i="14"/>
  <c r="R4330" i="14"/>
  <c r="R4331" i="14"/>
  <c r="R4332" i="14"/>
  <c r="R4333" i="14"/>
  <c r="R4334" i="14"/>
  <c r="R4335" i="14"/>
  <c r="R4336" i="14"/>
  <c r="R4337" i="14"/>
  <c r="R4338" i="14"/>
  <c r="R4339" i="14"/>
  <c r="R4340" i="14"/>
  <c r="R4341" i="14"/>
  <c r="R4342" i="14"/>
  <c r="R4343" i="14"/>
  <c r="R4344" i="14"/>
  <c r="R4345" i="14"/>
  <c r="R4346" i="14"/>
  <c r="R4347" i="14"/>
  <c r="R4348" i="14"/>
  <c r="R4349" i="14"/>
  <c r="R4350" i="14"/>
  <c r="R4351" i="14"/>
  <c r="R4352" i="14"/>
  <c r="R4353" i="14"/>
  <c r="R4354" i="14"/>
  <c r="R4355" i="14"/>
  <c r="R4356" i="14"/>
  <c r="R4357" i="14"/>
  <c r="R4358" i="14"/>
  <c r="R4359" i="14"/>
  <c r="R4360" i="14"/>
  <c r="R4361" i="14"/>
  <c r="R4362" i="14"/>
  <c r="R4363" i="14"/>
  <c r="R4364" i="14"/>
  <c r="R4365" i="14"/>
  <c r="R4366" i="14"/>
  <c r="R4367" i="14"/>
  <c r="R4368" i="14"/>
  <c r="R4369" i="14"/>
  <c r="R4370" i="14"/>
  <c r="R4371" i="14"/>
  <c r="R4372" i="14"/>
  <c r="R4373" i="14"/>
  <c r="R4374" i="14"/>
  <c r="R4375" i="14"/>
  <c r="R4376" i="14"/>
  <c r="R4377" i="14"/>
  <c r="R4378" i="14"/>
  <c r="R4379" i="14"/>
  <c r="R4380" i="14"/>
  <c r="R4381" i="14"/>
  <c r="R4382" i="14"/>
  <c r="R4383" i="14"/>
  <c r="R4384" i="14"/>
  <c r="R4385" i="14"/>
  <c r="R4386" i="14"/>
  <c r="R4387" i="14"/>
  <c r="R4388" i="14"/>
  <c r="R4389" i="14"/>
  <c r="R4390" i="14"/>
  <c r="R4391" i="14"/>
  <c r="R4392" i="14"/>
  <c r="R4393" i="14"/>
  <c r="R4394" i="14"/>
  <c r="R4395" i="14"/>
  <c r="R4396" i="14"/>
  <c r="R4397" i="14"/>
  <c r="R4398" i="14"/>
  <c r="R4399" i="14"/>
  <c r="R4400" i="14"/>
  <c r="R4401" i="14"/>
  <c r="R4402" i="14"/>
  <c r="R4403" i="14"/>
  <c r="R4404" i="14"/>
  <c r="R4405" i="14"/>
  <c r="R4406" i="14"/>
  <c r="R4407" i="14"/>
  <c r="R4408" i="14"/>
  <c r="R4409" i="14"/>
  <c r="R4410" i="14"/>
  <c r="R4411" i="14"/>
  <c r="R4412" i="14"/>
  <c r="R4413" i="14"/>
  <c r="R4414" i="14"/>
  <c r="R4415" i="14"/>
  <c r="R4416" i="14"/>
  <c r="R4417" i="14"/>
  <c r="R4418" i="14"/>
  <c r="R4419" i="14"/>
  <c r="R4420" i="14"/>
  <c r="R4421" i="14"/>
  <c r="R4422" i="14"/>
  <c r="R4423" i="14"/>
  <c r="R4424" i="14"/>
  <c r="R4425" i="14"/>
  <c r="R4426" i="14"/>
  <c r="R4427" i="14"/>
  <c r="R4428" i="14"/>
  <c r="R4429" i="14"/>
  <c r="R4430" i="14"/>
  <c r="R4431" i="14"/>
  <c r="R4432" i="14"/>
  <c r="R4433" i="14"/>
  <c r="R4434" i="14"/>
  <c r="R4435" i="14"/>
  <c r="R4436" i="14"/>
  <c r="R4437" i="14"/>
  <c r="R4438" i="14"/>
  <c r="R4439" i="14"/>
  <c r="R4440" i="14"/>
  <c r="R4441" i="14"/>
  <c r="R4442" i="14"/>
  <c r="R4443" i="14"/>
  <c r="R4444" i="14"/>
  <c r="R4445" i="14"/>
  <c r="R4446" i="14"/>
  <c r="R4447" i="14"/>
  <c r="R4448" i="14"/>
  <c r="R4449" i="14"/>
  <c r="R4450" i="14"/>
  <c r="R4451" i="14"/>
  <c r="R4452" i="14"/>
  <c r="R4453" i="14"/>
  <c r="R4454" i="14"/>
  <c r="R4455" i="14"/>
  <c r="R4456" i="14"/>
  <c r="R4457" i="14"/>
  <c r="R4458" i="14"/>
  <c r="R4459" i="14"/>
  <c r="R4460" i="14"/>
  <c r="R4461" i="14"/>
  <c r="R4462" i="14"/>
  <c r="R4463" i="14"/>
  <c r="R4464" i="14"/>
  <c r="R4465" i="14"/>
  <c r="R4466" i="14"/>
  <c r="R4467" i="14"/>
  <c r="R4468" i="14"/>
  <c r="R4469" i="14"/>
  <c r="R4470" i="14"/>
  <c r="R4471" i="14"/>
  <c r="R4472" i="14"/>
  <c r="R4473" i="14"/>
  <c r="R4474" i="14"/>
  <c r="R4475" i="14"/>
  <c r="R4476" i="14"/>
  <c r="R4477" i="14"/>
  <c r="R4478" i="14"/>
  <c r="R4479" i="14"/>
  <c r="R4480" i="14"/>
  <c r="R4481" i="14"/>
  <c r="R4482" i="14"/>
  <c r="R4483" i="14"/>
  <c r="R4484" i="14"/>
  <c r="R4485" i="14"/>
  <c r="R4486" i="14"/>
  <c r="R4487" i="14"/>
  <c r="R4488" i="14"/>
  <c r="R4489" i="14"/>
  <c r="R4490" i="14"/>
  <c r="R4491" i="14"/>
  <c r="R4492" i="14"/>
  <c r="R4493" i="14"/>
  <c r="R4494" i="14"/>
  <c r="R4495" i="14"/>
  <c r="R4496" i="14"/>
  <c r="R4497" i="14"/>
  <c r="R4498" i="14"/>
  <c r="R4499" i="14"/>
  <c r="R4500" i="14"/>
  <c r="R4501" i="14"/>
  <c r="R4502" i="14"/>
  <c r="R4503" i="14"/>
  <c r="R4504" i="14"/>
  <c r="R4505" i="14"/>
  <c r="R4506" i="14"/>
  <c r="R4507" i="14"/>
  <c r="R4508" i="14"/>
  <c r="R4509" i="14"/>
  <c r="R4510" i="14"/>
  <c r="R4511" i="14"/>
  <c r="R4512" i="14"/>
  <c r="R4513" i="14"/>
  <c r="R4514" i="14"/>
  <c r="R4515" i="14"/>
  <c r="R4516" i="14"/>
  <c r="R4517" i="14"/>
  <c r="R4518" i="14"/>
  <c r="R4519" i="14"/>
  <c r="R4520" i="14"/>
  <c r="R4521" i="14"/>
  <c r="R4522" i="14"/>
  <c r="R4523" i="14"/>
  <c r="R4524" i="14"/>
  <c r="R4525" i="14"/>
  <c r="R4526" i="14"/>
  <c r="R4527" i="14"/>
  <c r="R4528" i="14"/>
  <c r="R4529" i="14"/>
  <c r="R4530" i="14"/>
  <c r="R4531" i="14"/>
  <c r="R4532" i="14"/>
  <c r="R4533" i="14"/>
  <c r="R4534" i="14"/>
  <c r="R4535" i="14"/>
  <c r="R4536" i="14"/>
  <c r="R4537" i="14"/>
  <c r="R4538" i="14"/>
  <c r="R4539" i="14"/>
  <c r="R4540" i="14"/>
  <c r="R4541" i="14"/>
  <c r="R4542" i="14"/>
  <c r="R4543" i="14"/>
  <c r="R4544" i="14"/>
  <c r="R4545" i="14"/>
  <c r="R4546" i="14"/>
  <c r="R4547" i="14"/>
  <c r="R4548" i="14"/>
  <c r="R4549" i="14"/>
  <c r="R4550" i="14"/>
  <c r="R4551" i="14"/>
  <c r="R4552" i="14"/>
  <c r="R4553" i="14"/>
  <c r="R4554" i="14"/>
  <c r="R4555" i="14"/>
  <c r="R4556" i="14"/>
  <c r="R4557" i="14"/>
  <c r="R4558" i="14"/>
  <c r="R4559" i="14"/>
  <c r="R4560" i="14"/>
  <c r="R4561" i="14"/>
  <c r="R4562" i="14"/>
  <c r="R4563" i="14"/>
  <c r="R4564" i="14"/>
  <c r="R4565" i="14"/>
  <c r="R4566" i="14"/>
  <c r="R4567" i="14"/>
  <c r="R4568" i="14"/>
  <c r="R4569" i="14"/>
  <c r="R4570" i="14"/>
  <c r="R4571" i="14"/>
  <c r="R4572" i="14"/>
  <c r="R4573" i="14"/>
  <c r="R4574" i="14"/>
  <c r="R4575" i="14"/>
  <c r="R4576" i="14"/>
  <c r="R4577" i="14"/>
  <c r="R4578" i="14"/>
  <c r="R4579" i="14"/>
  <c r="R4580" i="14"/>
  <c r="R4581" i="14"/>
  <c r="R4582" i="14"/>
  <c r="R4583" i="14"/>
  <c r="R4584" i="14"/>
  <c r="R4585" i="14"/>
  <c r="R4586" i="14"/>
  <c r="R4587" i="14"/>
  <c r="R4588" i="14"/>
  <c r="R4589" i="14"/>
  <c r="R4590" i="14"/>
  <c r="R4591" i="14"/>
  <c r="R4592" i="14"/>
  <c r="R4593" i="14"/>
  <c r="R4594" i="14"/>
  <c r="R4595" i="14"/>
  <c r="R4596" i="14"/>
  <c r="R4597" i="14"/>
  <c r="R4598" i="14"/>
  <c r="R4599" i="14"/>
  <c r="R4600" i="14"/>
  <c r="R4601" i="14"/>
  <c r="R4602" i="14"/>
  <c r="R4603" i="14"/>
  <c r="R4604" i="14"/>
  <c r="R4605" i="14"/>
  <c r="R4606" i="14"/>
  <c r="R4607" i="14"/>
  <c r="R4608" i="14"/>
  <c r="R4609" i="14"/>
  <c r="R4610" i="14"/>
  <c r="R4611" i="14"/>
  <c r="R4612" i="14"/>
  <c r="R4613" i="14"/>
  <c r="R4614" i="14"/>
  <c r="R4615" i="14"/>
  <c r="R4616" i="14"/>
  <c r="R4617" i="14"/>
  <c r="R4618" i="14"/>
  <c r="R4619" i="14"/>
  <c r="R4620" i="14"/>
  <c r="R4621" i="14"/>
  <c r="R4622" i="14"/>
  <c r="R4623" i="14"/>
  <c r="R4624" i="14"/>
  <c r="R4625" i="14"/>
  <c r="R4626" i="14"/>
  <c r="R4627" i="14"/>
  <c r="R4628" i="14"/>
  <c r="R4629" i="14"/>
  <c r="R4630" i="14"/>
  <c r="R4631" i="14"/>
  <c r="R4632" i="14"/>
  <c r="R4633" i="14"/>
  <c r="R4634" i="14"/>
  <c r="R4635" i="14"/>
  <c r="R4636" i="14"/>
  <c r="R4637" i="14"/>
  <c r="R4638" i="14"/>
  <c r="R4639" i="14"/>
  <c r="R4640" i="14"/>
  <c r="R4641" i="14"/>
  <c r="R4642" i="14"/>
  <c r="R4643" i="14"/>
  <c r="R4644" i="14"/>
  <c r="R4645" i="14"/>
  <c r="R4646" i="14"/>
  <c r="R4647" i="14"/>
  <c r="R4648" i="14"/>
  <c r="R4649" i="14"/>
  <c r="R4650" i="14"/>
  <c r="R4651" i="14"/>
  <c r="R4652" i="14"/>
  <c r="R4653" i="14"/>
  <c r="R4654" i="14"/>
  <c r="R4655" i="14"/>
  <c r="R4656" i="14"/>
  <c r="R4657" i="14"/>
  <c r="R4658" i="14"/>
  <c r="R4659" i="14"/>
  <c r="R4660" i="14"/>
  <c r="R4661" i="14"/>
  <c r="R4662" i="14"/>
  <c r="R4663" i="14"/>
  <c r="R4664" i="14"/>
  <c r="R4665" i="14"/>
  <c r="R4666" i="14"/>
  <c r="R4667" i="14"/>
  <c r="R4668" i="14"/>
  <c r="R4669" i="14"/>
  <c r="R4670" i="14"/>
  <c r="R4671" i="14"/>
  <c r="R4672" i="14"/>
  <c r="R4673" i="14"/>
  <c r="R4674" i="14"/>
  <c r="R4675" i="14"/>
  <c r="R4676" i="14"/>
  <c r="R4677" i="14"/>
  <c r="R4678" i="14"/>
  <c r="R4679" i="14"/>
  <c r="R4680" i="14"/>
  <c r="R4681" i="14"/>
  <c r="R4682" i="14"/>
  <c r="R4683" i="14"/>
  <c r="R4684" i="14"/>
  <c r="R4685" i="14"/>
  <c r="R4686" i="14"/>
  <c r="R4687" i="14"/>
  <c r="R4688" i="14"/>
  <c r="R4689" i="14"/>
  <c r="R4690" i="14"/>
  <c r="R4691" i="14"/>
  <c r="R4692" i="14"/>
  <c r="R4693" i="14"/>
  <c r="R4694" i="14"/>
  <c r="R4695" i="14"/>
  <c r="R4696" i="14"/>
  <c r="R4697" i="14"/>
  <c r="R4698" i="14"/>
  <c r="R4699" i="14"/>
  <c r="R4700" i="14"/>
  <c r="R4701" i="14"/>
  <c r="R4702" i="14"/>
  <c r="R4703" i="14"/>
  <c r="R4704" i="14"/>
  <c r="R4705" i="14"/>
  <c r="R4706" i="14"/>
  <c r="R4707" i="14"/>
  <c r="R4708" i="14"/>
  <c r="R4709" i="14"/>
  <c r="R4710" i="14"/>
  <c r="R4711" i="14"/>
  <c r="R4712" i="14"/>
  <c r="R4713" i="14"/>
  <c r="R4714" i="14"/>
  <c r="R4715" i="14"/>
  <c r="R4716" i="14"/>
  <c r="R4717" i="14"/>
  <c r="R4718" i="14"/>
  <c r="R4719" i="14"/>
  <c r="R4720" i="14"/>
  <c r="R4721" i="14"/>
  <c r="R4722" i="14"/>
  <c r="R4723" i="14"/>
  <c r="R4724" i="14"/>
  <c r="R4725" i="14"/>
  <c r="R4726" i="14"/>
  <c r="R4727" i="14"/>
  <c r="R4728" i="14"/>
  <c r="R4729" i="14"/>
  <c r="R4730" i="14"/>
  <c r="R4731" i="14"/>
  <c r="R4732" i="14"/>
  <c r="R4733" i="14"/>
  <c r="R4734" i="14"/>
  <c r="R4735" i="14"/>
  <c r="R4736" i="14"/>
  <c r="R4737" i="14"/>
  <c r="R4738" i="14"/>
  <c r="R4739" i="14"/>
  <c r="R4740" i="14"/>
  <c r="R4741" i="14"/>
  <c r="R4742" i="14"/>
  <c r="R4743" i="14"/>
  <c r="R4744" i="14"/>
  <c r="R4745" i="14"/>
  <c r="R4746" i="14"/>
  <c r="R4747" i="14"/>
  <c r="R4748" i="14"/>
  <c r="R4749" i="14"/>
  <c r="R4750" i="14"/>
  <c r="R4751" i="14"/>
  <c r="R4752" i="14"/>
  <c r="R4753" i="14"/>
  <c r="R4754" i="14"/>
  <c r="R4755" i="14"/>
  <c r="R4756" i="14"/>
  <c r="R4757" i="14"/>
  <c r="R4758" i="14"/>
  <c r="R4759" i="14"/>
  <c r="R4760" i="14"/>
  <c r="R4761" i="14"/>
  <c r="R4762" i="14"/>
  <c r="R4763" i="14"/>
  <c r="R4764" i="14"/>
  <c r="R4765" i="14"/>
  <c r="R4766" i="14"/>
  <c r="R4767" i="14"/>
  <c r="R4768" i="14"/>
  <c r="R4769" i="14"/>
  <c r="R4770" i="14"/>
  <c r="R4771" i="14"/>
  <c r="R4772" i="14"/>
  <c r="R4773" i="14"/>
  <c r="R4774" i="14"/>
  <c r="R4775" i="14"/>
  <c r="R4776" i="14"/>
  <c r="R4777" i="14"/>
  <c r="R4778" i="14"/>
  <c r="R4779" i="14"/>
  <c r="R4780" i="14"/>
  <c r="R4781" i="14"/>
  <c r="R4782" i="14"/>
  <c r="R4783" i="14"/>
  <c r="R4784" i="14"/>
  <c r="R4785" i="14"/>
  <c r="R4786" i="14"/>
  <c r="R4787" i="14"/>
  <c r="R4788" i="14"/>
  <c r="R4789" i="14"/>
  <c r="R4790" i="14"/>
  <c r="R4791" i="14"/>
  <c r="R4792" i="14"/>
  <c r="R4793" i="14"/>
  <c r="R4794" i="14"/>
  <c r="R4795" i="14"/>
  <c r="R4796" i="14"/>
  <c r="R4797" i="14"/>
  <c r="R4798" i="14"/>
  <c r="R4799" i="14"/>
  <c r="R4800" i="14"/>
  <c r="R4801" i="14"/>
  <c r="R4802" i="14"/>
  <c r="R4803" i="14"/>
  <c r="R4804" i="14"/>
  <c r="R4805" i="14"/>
  <c r="R4806" i="14"/>
  <c r="R4807" i="14"/>
  <c r="R4808" i="14"/>
  <c r="R4809" i="14"/>
  <c r="R4810" i="14"/>
  <c r="R4811" i="14"/>
  <c r="R4812" i="14"/>
  <c r="R4813" i="14"/>
  <c r="R4814" i="14"/>
  <c r="R4815" i="14"/>
  <c r="R4816" i="14"/>
  <c r="R4817" i="14"/>
  <c r="R4818" i="14"/>
  <c r="R4819" i="14"/>
  <c r="R4820" i="14"/>
  <c r="R4821" i="14"/>
  <c r="R4822" i="14"/>
  <c r="R4823" i="14"/>
  <c r="R4824" i="14"/>
  <c r="R4825" i="14"/>
  <c r="R4826" i="14"/>
  <c r="R4827" i="14"/>
  <c r="R4828" i="14"/>
  <c r="R4829" i="14"/>
  <c r="R4830" i="14"/>
  <c r="R4831" i="14"/>
  <c r="R4832" i="14"/>
  <c r="R4833" i="14"/>
  <c r="R4834" i="14"/>
  <c r="R4835" i="14"/>
  <c r="R4836" i="14"/>
  <c r="R4837" i="14"/>
  <c r="R4838" i="14"/>
  <c r="R4839" i="14"/>
  <c r="R4840" i="14"/>
  <c r="R4841" i="14"/>
  <c r="R4842" i="14"/>
  <c r="R4843" i="14"/>
  <c r="R4844" i="14"/>
  <c r="R4845" i="14"/>
  <c r="R4846" i="14"/>
  <c r="R4847" i="14"/>
  <c r="R4848" i="14"/>
  <c r="R4849" i="14"/>
  <c r="R4850" i="14"/>
  <c r="R4851" i="14"/>
  <c r="R4852" i="14"/>
  <c r="R4853" i="14"/>
  <c r="R4854" i="14"/>
  <c r="R4855" i="14"/>
  <c r="R4856" i="14"/>
  <c r="R4857" i="14"/>
  <c r="R4858" i="14"/>
  <c r="R4859" i="14"/>
  <c r="R4860" i="14"/>
  <c r="R4861" i="14"/>
  <c r="R4862" i="14"/>
  <c r="R4863" i="14"/>
  <c r="R4864" i="14"/>
  <c r="R4865" i="14"/>
  <c r="R4866" i="14"/>
  <c r="R4867" i="14"/>
  <c r="R4868" i="14"/>
  <c r="R4869" i="14"/>
  <c r="R4870" i="14"/>
  <c r="R4871" i="14"/>
  <c r="R4872" i="14"/>
  <c r="R4873" i="14"/>
  <c r="R4874" i="14"/>
  <c r="R4875" i="14"/>
  <c r="R4876" i="14"/>
  <c r="R4877" i="14"/>
  <c r="R4878" i="14"/>
  <c r="R4879" i="14"/>
  <c r="R4880" i="14"/>
  <c r="R4881" i="14"/>
  <c r="R4882" i="14"/>
  <c r="R4883" i="14"/>
  <c r="R4884" i="14"/>
  <c r="R4885" i="14"/>
  <c r="R4886" i="14"/>
  <c r="R4887" i="14"/>
  <c r="R4888" i="14"/>
  <c r="R4889" i="14"/>
  <c r="R4890" i="14"/>
  <c r="R4891" i="14"/>
  <c r="R4892" i="14"/>
  <c r="R4893" i="14"/>
  <c r="R4894" i="14"/>
  <c r="R4895" i="14"/>
  <c r="R4896" i="14"/>
  <c r="R4897" i="14"/>
  <c r="R4898" i="14"/>
  <c r="R4899" i="14"/>
  <c r="R4900" i="14"/>
  <c r="R4901" i="14"/>
  <c r="R4902" i="14"/>
  <c r="R4903" i="14"/>
  <c r="R4904" i="14"/>
  <c r="R4905" i="14"/>
  <c r="R4906" i="14"/>
  <c r="R4907" i="14"/>
  <c r="R4908" i="14"/>
  <c r="R4909" i="14"/>
  <c r="R4910" i="14"/>
  <c r="R4911" i="14"/>
  <c r="R4912" i="14"/>
  <c r="R4913" i="14"/>
  <c r="R4914" i="14"/>
  <c r="R4915" i="14"/>
  <c r="R4916" i="14"/>
  <c r="R4917" i="14"/>
  <c r="R4918" i="14"/>
  <c r="R4919" i="14"/>
  <c r="R4920" i="14"/>
  <c r="R4921" i="14"/>
  <c r="R4922" i="14"/>
  <c r="R4923" i="14"/>
  <c r="R4924" i="14"/>
  <c r="R4925" i="14"/>
  <c r="R4926" i="14"/>
  <c r="R4927" i="14"/>
  <c r="R4928" i="14"/>
  <c r="R4929" i="14"/>
  <c r="R4930" i="14"/>
  <c r="R4931" i="14"/>
  <c r="R4932" i="14"/>
  <c r="R4933" i="14"/>
  <c r="R4934" i="14"/>
  <c r="R4935" i="14"/>
  <c r="R4936" i="14"/>
  <c r="R4937" i="14"/>
  <c r="R4938" i="14"/>
  <c r="R4939" i="14"/>
  <c r="R4940" i="14"/>
  <c r="R4941" i="14"/>
  <c r="R4942" i="14"/>
  <c r="R4943" i="14"/>
  <c r="R4944" i="14"/>
  <c r="R4945" i="14"/>
  <c r="R4946" i="14"/>
  <c r="R4947" i="14"/>
  <c r="R4948" i="14"/>
  <c r="R4949" i="14"/>
  <c r="R4950" i="14"/>
  <c r="R4951" i="14"/>
  <c r="R4952" i="14"/>
  <c r="R4953" i="14"/>
  <c r="R4954" i="14"/>
  <c r="R4955" i="14"/>
  <c r="R4956" i="14"/>
  <c r="R4957" i="14"/>
  <c r="R4958" i="14"/>
  <c r="R4959" i="14"/>
  <c r="R4960" i="14"/>
  <c r="R4961" i="14"/>
  <c r="R4962" i="14"/>
  <c r="R4963" i="14"/>
  <c r="R4964" i="14"/>
  <c r="R4965" i="14"/>
  <c r="R4966" i="14"/>
  <c r="R4967" i="14"/>
  <c r="R4968" i="14"/>
  <c r="R4969" i="14"/>
  <c r="R4970" i="14"/>
  <c r="R4971" i="14"/>
  <c r="R4972" i="14"/>
  <c r="R4973" i="14"/>
  <c r="R4974" i="14"/>
  <c r="R4975" i="14"/>
  <c r="R4976" i="14"/>
  <c r="R4977" i="14"/>
  <c r="R4978" i="14"/>
  <c r="R4979" i="14"/>
  <c r="R4980" i="14"/>
  <c r="R4981" i="14"/>
  <c r="R4982" i="14"/>
  <c r="R4983" i="14"/>
  <c r="R4984" i="14"/>
  <c r="R4985" i="14"/>
  <c r="R4986" i="14"/>
  <c r="R4987" i="14"/>
  <c r="R4988" i="14"/>
  <c r="R4989" i="14"/>
  <c r="R4990" i="14"/>
  <c r="R4991" i="14"/>
  <c r="R4992" i="14"/>
  <c r="R4993" i="14"/>
  <c r="R4994" i="14"/>
  <c r="R4995" i="14"/>
  <c r="R4996" i="14"/>
  <c r="R4997" i="14"/>
  <c r="R4998" i="14"/>
  <c r="R4999" i="14"/>
  <c r="R5000" i="14"/>
  <c r="R5001" i="14"/>
  <c r="R5002" i="14"/>
  <c r="R5003" i="14"/>
  <c r="R5004" i="14"/>
  <c r="R5005" i="14"/>
  <c r="R5006" i="14"/>
  <c r="R5007" i="14"/>
  <c r="R5008" i="14"/>
  <c r="R5009" i="14"/>
  <c r="R5010" i="14"/>
  <c r="R5011" i="14"/>
  <c r="R5012" i="14"/>
  <c r="R5013" i="14"/>
  <c r="R5014" i="14"/>
  <c r="R5015" i="14"/>
  <c r="R5016" i="14"/>
  <c r="R5017" i="14"/>
  <c r="R5018" i="14"/>
  <c r="R5019" i="14"/>
  <c r="R5020" i="14"/>
  <c r="R5021" i="14"/>
  <c r="R5022" i="14"/>
  <c r="R5023" i="14"/>
  <c r="R5024" i="14"/>
  <c r="R5025" i="14"/>
  <c r="R5026" i="14"/>
  <c r="R5027" i="14"/>
  <c r="R5028" i="14"/>
  <c r="R5029" i="14"/>
  <c r="R5030" i="14"/>
  <c r="R5031" i="14"/>
  <c r="R5032" i="14"/>
  <c r="R5033" i="14"/>
  <c r="R5034" i="14"/>
  <c r="R5035" i="14"/>
  <c r="R5036" i="14"/>
  <c r="R5037" i="14"/>
  <c r="R5038" i="14"/>
  <c r="R5039" i="14"/>
  <c r="R5040" i="14"/>
  <c r="R5041" i="14"/>
  <c r="R5042" i="14"/>
  <c r="R5043" i="14"/>
  <c r="R5044" i="14"/>
  <c r="R5045" i="14"/>
  <c r="R5046" i="14"/>
  <c r="R5047" i="14"/>
  <c r="R5048" i="14"/>
  <c r="R5049" i="14"/>
  <c r="R5050" i="14"/>
  <c r="R5051" i="14"/>
  <c r="R5052" i="14"/>
  <c r="R5053" i="14"/>
  <c r="R5054" i="14"/>
  <c r="R5055" i="14"/>
  <c r="R5056" i="14"/>
  <c r="R5057" i="14"/>
  <c r="R5058" i="14"/>
  <c r="R5059" i="14"/>
  <c r="R5060" i="14"/>
  <c r="R5061" i="14"/>
  <c r="R5062" i="14"/>
  <c r="R5063" i="14"/>
  <c r="R5064" i="14"/>
  <c r="R5065" i="14"/>
  <c r="R5066" i="14"/>
  <c r="R5067" i="14"/>
  <c r="R5068" i="14"/>
  <c r="R5069" i="14"/>
  <c r="R5070" i="14"/>
  <c r="R5071" i="14"/>
  <c r="R5072" i="14"/>
  <c r="R5073" i="14"/>
  <c r="R5074" i="14"/>
  <c r="R5075" i="14"/>
  <c r="R5076" i="14"/>
  <c r="R5077" i="14"/>
  <c r="R5078" i="14"/>
  <c r="R5079" i="14"/>
  <c r="R5080" i="14"/>
  <c r="R5081" i="14"/>
  <c r="R5082" i="14"/>
  <c r="R5083" i="14"/>
  <c r="R5084" i="14"/>
  <c r="R5085" i="14"/>
  <c r="R5086" i="14"/>
  <c r="R5087" i="14"/>
  <c r="R5088" i="14"/>
  <c r="R5089" i="14"/>
  <c r="R5090" i="14"/>
  <c r="R5091" i="14"/>
  <c r="R5092" i="14"/>
  <c r="R5093" i="14"/>
  <c r="R5094" i="14"/>
  <c r="R5095" i="14"/>
  <c r="R5096" i="14"/>
  <c r="R5097" i="14"/>
  <c r="R5098" i="14"/>
  <c r="R5099" i="14"/>
  <c r="R5100" i="14"/>
  <c r="R5101" i="14"/>
  <c r="R5102" i="14"/>
  <c r="R5103" i="14"/>
  <c r="R5104" i="14"/>
  <c r="R5105" i="14"/>
  <c r="R5106" i="14"/>
  <c r="R5107" i="14"/>
  <c r="R5108" i="14"/>
  <c r="R5109" i="14"/>
  <c r="R5110" i="14"/>
  <c r="R5111" i="14"/>
  <c r="R5112" i="14"/>
  <c r="R5113" i="14"/>
  <c r="R5114" i="14"/>
  <c r="R5115" i="14"/>
  <c r="R5116" i="14"/>
  <c r="R5117" i="14"/>
  <c r="R5118" i="14"/>
  <c r="R5119" i="14"/>
  <c r="R5120" i="14"/>
  <c r="R5121" i="14"/>
  <c r="R5122" i="14"/>
  <c r="R5123" i="14"/>
  <c r="R5124" i="14"/>
  <c r="R5125" i="14"/>
  <c r="R5126" i="14"/>
  <c r="R5127" i="14"/>
  <c r="R5128" i="14"/>
  <c r="R5129" i="14"/>
  <c r="R5130" i="14"/>
  <c r="R5131" i="14"/>
  <c r="R5132" i="14"/>
  <c r="R5133" i="14"/>
  <c r="R5134" i="14"/>
  <c r="R5135" i="14"/>
  <c r="R5136" i="14"/>
  <c r="R5137" i="14"/>
  <c r="R5138" i="14"/>
  <c r="R5139" i="14"/>
  <c r="R5140" i="14"/>
  <c r="R5141" i="14"/>
  <c r="R5142" i="14"/>
  <c r="R5143" i="14"/>
  <c r="R5144" i="14"/>
  <c r="R5145" i="14"/>
  <c r="R5146" i="14"/>
  <c r="R5147" i="14"/>
  <c r="R5148" i="14"/>
  <c r="R5149" i="14"/>
  <c r="R5150" i="14"/>
  <c r="R5151" i="14"/>
  <c r="R5152" i="14"/>
  <c r="R5153" i="14"/>
  <c r="R5154" i="14"/>
  <c r="R5155" i="14"/>
  <c r="R5156" i="14"/>
  <c r="R5157" i="14"/>
  <c r="R5158" i="14"/>
  <c r="R5159" i="14"/>
  <c r="R5160" i="14"/>
  <c r="R5161" i="14"/>
  <c r="R5162" i="14"/>
  <c r="R5163" i="14"/>
  <c r="R5164" i="14"/>
  <c r="R5165" i="14"/>
  <c r="R5166" i="14"/>
  <c r="R5167" i="14"/>
  <c r="R5168" i="14"/>
  <c r="R5169" i="14"/>
  <c r="R5170" i="14"/>
  <c r="R5171" i="14"/>
  <c r="R5172" i="14"/>
  <c r="R5173" i="14"/>
  <c r="R5174" i="14"/>
  <c r="R5175" i="14"/>
  <c r="R5176" i="14"/>
  <c r="R5177" i="14"/>
  <c r="R5178" i="14"/>
  <c r="R5179" i="14"/>
  <c r="R5180" i="14"/>
  <c r="R5181" i="14"/>
  <c r="R5182" i="14"/>
  <c r="R5183" i="14"/>
  <c r="R5184" i="14"/>
  <c r="R5185" i="14"/>
  <c r="R5186" i="14"/>
  <c r="R5187" i="14"/>
  <c r="R5188" i="14"/>
  <c r="R5189" i="14"/>
  <c r="R5190" i="14"/>
  <c r="R5191" i="14"/>
  <c r="R5192" i="14"/>
  <c r="R5193" i="14"/>
  <c r="R5194" i="14"/>
  <c r="R5195" i="14"/>
  <c r="R5196" i="14"/>
  <c r="R5197" i="14"/>
  <c r="R5198" i="14"/>
  <c r="R5199" i="14"/>
  <c r="R5200" i="14"/>
  <c r="R5201" i="14"/>
  <c r="R5202" i="14"/>
  <c r="R5203" i="14"/>
  <c r="R5204" i="14"/>
  <c r="R5205" i="14"/>
  <c r="R5206" i="14"/>
  <c r="R5207" i="14"/>
  <c r="R5208" i="14"/>
  <c r="R5209" i="14"/>
  <c r="R5210" i="14"/>
  <c r="R5211" i="14"/>
  <c r="R5212" i="14"/>
  <c r="R5213" i="14"/>
  <c r="R5214" i="14"/>
  <c r="R5215" i="14"/>
  <c r="R5216" i="14"/>
  <c r="R5217" i="14"/>
  <c r="R5218" i="14"/>
  <c r="R5219" i="14"/>
  <c r="R5220" i="14"/>
  <c r="R5221" i="14"/>
  <c r="R5222" i="14"/>
  <c r="R5223" i="14"/>
  <c r="R5224" i="14"/>
  <c r="R5225" i="14"/>
  <c r="R5226" i="14"/>
  <c r="R5227" i="14"/>
  <c r="R5228" i="14"/>
  <c r="R5229" i="14"/>
  <c r="R5230" i="14"/>
  <c r="R5231" i="14"/>
  <c r="R5232" i="14"/>
  <c r="R5233" i="14"/>
  <c r="R5234" i="14"/>
  <c r="R5235" i="14"/>
  <c r="R5236" i="14"/>
  <c r="R5237" i="14"/>
  <c r="R5238" i="14"/>
  <c r="R5239" i="14"/>
  <c r="R5240" i="14"/>
  <c r="R5241" i="14"/>
  <c r="R5242" i="14"/>
  <c r="R5243" i="14"/>
  <c r="R5244" i="14"/>
  <c r="R5245" i="14"/>
  <c r="R5246" i="14"/>
  <c r="R5247" i="14"/>
  <c r="R5248" i="14"/>
  <c r="R5249" i="14"/>
  <c r="R5250" i="14"/>
  <c r="R5251" i="14"/>
  <c r="R5252" i="14"/>
  <c r="R5253" i="14"/>
  <c r="R5254" i="14"/>
  <c r="R5255" i="14"/>
  <c r="R5256" i="14"/>
  <c r="R5257" i="14"/>
  <c r="R5258" i="14"/>
  <c r="R5259" i="14"/>
  <c r="R5260" i="14"/>
  <c r="R5261" i="14"/>
  <c r="R5262" i="14"/>
  <c r="R5263" i="14"/>
  <c r="R5264" i="14"/>
  <c r="R5265" i="14"/>
  <c r="R5266" i="14"/>
  <c r="R5267" i="14"/>
  <c r="R5268" i="14"/>
  <c r="R5269" i="14"/>
  <c r="R5270" i="14"/>
  <c r="R5271" i="14"/>
  <c r="R5272" i="14"/>
  <c r="R5273" i="14"/>
  <c r="R5274" i="14"/>
  <c r="R5275" i="14"/>
  <c r="R5276" i="14"/>
  <c r="R5277" i="14"/>
  <c r="R5278" i="14"/>
  <c r="R5279" i="14"/>
  <c r="R5280" i="14"/>
  <c r="R5281" i="14"/>
  <c r="R5282" i="14"/>
  <c r="R5283" i="14"/>
  <c r="R5284" i="14"/>
  <c r="R5285" i="14"/>
  <c r="R5286" i="14"/>
  <c r="R5287" i="14"/>
  <c r="R5288" i="14"/>
  <c r="R5289" i="14"/>
  <c r="R5290" i="14"/>
  <c r="R5291" i="14"/>
  <c r="R5292" i="14"/>
  <c r="R5293" i="14"/>
  <c r="R5294" i="14"/>
  <c r="R5295" i="14"/>
  <c r="R5296" i="14"/>
  <c r="R5297" i="14"/>
  <c r="R5298" i="14"/>
  <c r="R5299" i="14"/>
  <c r="R5300" i="14"/>
  <c r="R5301" i="14"/>
  <c r="R5302" i="14"/>
  <c r="R5303" i="14"/>
  <c r="R5304" i="14"/>
  <c r="R5305" i="14"/>
  <c r="R5306" i="14"/>
  <c r="R5307" i="14"/>
  <c r="R5308" i="14"/>
  <c r="R5309" i="14"/>
  <c r="R5310" i="14"/>
  <c r="R5311" i="14"/>
  <c r="R5312" i="14"/>
  <c r="R5313" i="14"/>
  <c r="R5314" i="14"/>
  <c r="R5315" i="14"/>
  <c r="R5316" i="14"/>
  <c r="R5317" i="14"/>
  <c r="R5318" i="14"/>
  <c r="R5319" i="14"/>
  <c r="R5320" i="14"/>
  <c r="R5321" i="14"/>
  <c r="R5322" i="14"/>
  <c r="R5323" i="14"/>
  <c r="R5324" i="14"/>
  <c r="R5325" i="14"/>
  <c r="R5326" i="14"/>
  <c r="R5327" i="14"/>
  <c r="R5328" i="14"/>
  <c r="R5329" i="14"/>
  <c r="R5330" i="14"/>
  <c r="R5331" i="14"/>
  <c r="R5332" i="14"/>
  <c r="R5333" i="14"/>
  <c r="R5334" i="14"/>
  <c r="R5335" i="14"/>
  <c r="R5336" i="14"/>
  <c r="R5337" i="14"/>
  <c r="R5338" i="14"/>
  <c r="R5339" i="14"/>
  <c r="R5340" i="14"/>
  <c r="R5341" i="14"/>
  <c r="R5342" i="14"/>
  <c r="R5343" i="14"/>
  <c r="R5344" i="14"/>
  <c r="R5345" i="14"/>
  <c r="R5346" i="14"/>
  <c r="R5347" i="14"/>
  <c r="R5348" i="14"/>
  <c r="R5349" i="14"/>
  <c r="R5350" i="14"/>
  <c r="R5351" i="14"/>
  <c r="R5352" i="14"/>
  <c r="R5353" i="14"/>
  <c r="R5354" i="14"/>
  <c r="R5355" i="14"/>
  <c r="R5356" i="14"/>
  <c r="R5357" i="14"/>
  <c r="R5358" i="14"/>
  <c r="R5359" i="14"/>
  <c r="R5360" i="14"/>
  <c r="R5361" i="14"/>
  <c r="R5362" i="14"/>
  <c r="R5363" i="14"/>
  <c r="R5364" i="14"/>
  <c r="R5365" i="14"/>
  <c r="R5366" i="14"/>
  <c r="R5367" i="14"/>
  <c r="R5368" i="14"/>
  <c r="R5369" i="14"/>
  <c r="R5370" i="14"/>
  <c r="R5371" i="14"/>
  <c r="R5372" i="14"/>
  <c r="R5373" i="14"/>
  <c r="R5374" i="14"/>
  <c r="R5375" i="14"/>
  <c r="R5376" i="14"/>
  <c r="R5377" i="14"/>
  <c r="R5378" i="14"/>
  <c r="R5379" i="14"/>
  <c r="R5380" i="14"/>
  <c r="R5381" i="14"/>
  <c r="R5382" i="14"/>
  <c r="R5383" i="14"/>
  <c r="R5384" i="14"/>
  <c r="R5385" i="14"/>
  <c r="R5386" i="14"/>
  <c r="R5387" i="14"/>
  <c r="R5388" i="14"/>
  <c r="R5389" i="14"/>
  <c r="R5390" i="14"/>
  <c r="R5391" i="14"/>
  <c r="R5392" i="14"/>
  <c r="R5393" i="14"/>
  <c r="R5394" i="14"/>
  <c r="R5395" i="14"/>
  <c r="R5396" i="14"/>
  <c r="R5397" i="14"/>
  <c r="R5398" i="14"/>
  <c r="R5399" i="14"/>
  <c r="R5400" i="14"/>
  <c r="R5401" i="14"/>
  <c r="R5402" i="14"/>
  <c r="R5403" i="14"/>
  <c r="R5404" i="14"/>
  <c r="R5405" i="14"/>
  <c r="R5406" i="14"/>
  <c r="R5407" i="14"/>
  <c r="R5408" i="14"/>
  <c r="R5409" i="14"/>
  <c r="R5410" i="14"/>
  <c r="R5411" i="14"/>
  <c r="R5412" i="14"/>
  <c r="R5413" i="14"/>
  <c r="R5414" i="14"/>
  <c r="R5415" i="14"/>
  <c r="R5416" i="14"/>
  <c r="R5417" i="14"/>
  <c r="R5418" i="14"/>
  <c r="R5419" i="14"/>
  <c r="R5420" i="14"/>
  <c r="R5421" i="14"/>
  <c r="R5422" i="14"/>
  <c r="R5423" i="14"/>
  <c r="R5424" i="14"/>
  <c r="R5425" i="14"/>
  <c r="R5426" i="14"/>
  <c r="R5427" i="14"/>
  <c r="R5428" i="14"/>
  <c r="R5429" i="14"/>
  <c r="R5430" i="14"/>
  <c r="R5431" i="14"/>
  <c r="R5432" i="14"/>
  <c r="R5433" i="14"/>
  <c r="R5434" i="14"/>
  <c r="R5435" i="14"/>
  <c r="R5436" i="14"/>
  <c r="R5437" i="14"/>
  <c r="R5438" i="14"/>
  <c r="R5439" i="14"/>
  <c r="R5440" i="14"/>
  <c r="R5441" i="14"/>
  <c r="R5442" i="14"/>
  <c r="R5443" i="14"/>
  <c r="R5444" i="14"/>
  <c r="R5445" i="14"/>
  <c r="R5446" i="14"/>
  <c r="R5447" i="14"/>
  <c r="R5448" i="14"/>
  <c r="R5449" i="14"/>
  <c r="R5450" i="14"/>
  <c r="R5451" i="14"/>
  <c r="R5452" i="14"/>
  <c r="R5453" i="14"/>
  <c r="R5454" i="14"/>
  <c r="R5455" i="14"/>
  <c r="R5456" i="14"/>
  <c r="R5457" i="14"/>
  <c r="R5458" i="14"/>
  <c r="R5459" i="14"/>
  <c r="R5460" i="14"/>
  <c r="R5461" i="14"/>
  <c r="R5462" i="14"/>
  <c r="R5463" i="14"/>
  <c r="R5464" i="14"/>
  <c r="R5465" i="14"/>
  <c r="R5466" i="14"/>
  <c r="R5467" i="14"/>
  <c r="R5468" i="14"/>
  <c r="R5469" i="14"/>
  <c r="R5470" i="14"/>
  <c r="R5471" i="14"/>
  <c r="R5472" i="14"/>
  <c r="R5473" i="14"/>
  <c r="R5474" i="14"/>
  <c r="R5475" i="14"/>
  <c r="R5476" i="14"/>
  <c r="R5477" i="14"/>
  <c r="R5478" i="14"/>
  <c r="R5479" i="14"/>
  <c r="R5480" i="14"/>
  <c r="R5481" i="14"/>
  <c r="R5482" i="14"/>
  <c r="R5483" i="14"/>
  <c r="R5484" i="14"/>
  <c r="R5485" i="14"/>
  <c r="R5486" i="14"/>
  <c r="R5487" i="14"/>
  <c r="R5488" i="14"/>
  <c r="R5489" i="14"/>
  <c r="R5490" i="14"/>
  <c r="R5491" i="14"/>
  <c r="R5492" i="14"/>
  <c r="R5493" i="14"/>
  <c r="R5494" i="14"/>
  <c r="R5495" i="14"/>
  <c r="R5496" i="14"/>
  <c r="R5497" i="14"/>
  <c r="R5498" i="14"/>
  <c r="R5499" i="14"/>
  <c r="R5500" i="14"/>
  <c r="R5501" i="14"/>
  <c r="R5502" i="14"/>
  <c r="R5503" i="14"/>
  <c r="R5504" i="14"/>
  <c r="R5505" i="14"/>
  <c r="R5506" i="14"/>
  <c r="R5507" i="14"/>
  <c r="R5508" i="14"/>
  <c r="R5509" i="14"/>
  <c r="R5510" i="14"/>
  <c r="R5511" i="14"/>
  <c r="R5512" i="14"/>
  <c r="R5513" i="14"/>
  <c r="R5514" i="14"/>
  <c r="R5515" i="14"/>
  <c r="R5516" i="14"/>
  <c r="R5517" i="14"/>
  <c r="R5518" i="14"/>
  <c r="R5519" i="14"/>
  <c r="R5520" i="14"/>
  <c r="R5521" i="14"/>
  <c r="R5522" i="14"/>
  <c r="R5523" i="14"/>
  <c r="R5524" i="14"/>
  <c r="R5525" i="14"/>
  <c r="R5526" i="14"/>
  <c r="R5527" i="14"/>
  <c r="R5528" i="14"/>
  <c r="R5529" i="14"/>
  <c r="R5530" i="14"/>
  <c r="R5531" i="14"/>
  <c r="R5532" i="14"/>
  <c r="R5533" i="14"/>
  <c r="R5534" i="14"/>
  <c r="R5535" i="14"/>
  <c r="R5536" i="14"/>
  <c r="R5537" i="14"/>
  <c r="R5538" i="14"/>
  <c r="R5539" i="14"/>
  <c r="R5540" i="14"/>
  <c r="R5541" i="14"/>
  <c r="R5542" i="14"/>
  <c r="R5543" i="14"/>
  <c r="R5544" i="14"/>
  <c r="R5545" i="14"/>
  <c r="R5546" i="14"/>
  <c r="R5547" i="14"/>
  <c r="R5548" i="14"/>
  <c r="R5549" i="14"/>
  <c r="R5550" i="14"/>
  <c r="R5551" i="14"/>
  <c r="R5552" i="14"/>
  <c r="R5553" i="14"/>
  <c r="R5554" i="14"/>
  <c r="R5555" i="14"/>
  <c r="R5556" i="14"/>
  <c r="R5557" i="14"/>
  <c r="R5558" i="14"/>
  <c r="R5559" i="14"/>
  <c r="R5560" i="14"/>
  <c r="R5561" i="14"/>
  <c r="R5562" i="14"/>
  <c r="R5563" i="14"/>
  <c r="R5564" i="14"/>
  <c r="R5565" i="14"/>
  <c r="R5566" i="14"/>
  <c r="R5567" i="14"/>
  <c r="R5568" i="14"/>
  <c r="R5569" i="14"/>
  <c r="R5570" i="14"/>
  <c r="R5571" i="14"/>
  <c r="R5572" i="14"/>
  <c r="R5573" i="14"/>
  <c r="R5574" i="14"/>
  <c r="R5575" i="14"/>
  <c r="R5576" i="14"/>
  <c r="R5577" i="14"/>
  <c r="R5578" i="14"/>
  <c r="R5579" i="14"/>
  <c r="R5580" i="14"/>
  <c r="R5581" i="14"/>
  <c r="R5582" i="14"/>
  <c r="R5583" i="14"/>
  <c r="R5584" i="14"/>
  <c r="R5585" i="14"/>
  <c r="R5586" i="14"/>
  <c r="R5587" i="14"/>
  <c r="R5588" i="14"/>
  <c r="R5589" i="14"/>
  <c r="R5590" i="14"/>
  <c r="R5591" i="14"/>
  <c r="R5592" i="14"/>
  <c r="R5593" i="14"/>
  <c r="R5594" i="14"/>
  <c r="R5595" i="14"/>
  <c r="R5596" i="14"/>
  <c r="R5597" i="14"/>
  <c r="R5598" i="14"/>
  <c r="R5599" i="14"/>
  <c r="R5600" i="14"/>
  <c r="R5601" i="14"/>
  <c r="R5602" i="14"/>
  <c r="R5603" i="14"/>
  <c r="R5604" i="14"/>
  <c r="R5605" i="14"/>
  <c r="R5606" i="14"/>
  <c r="R5607" i="14"/>
  <c r="R5608" i="14"/>
  <c r="R5609" i="14"/>
  <c r="R5610" i="14"/>
  <c r="R5611" i="14"/>
  <c r="R5612" i="14"/>
  <c r="R5613" i="14"/>
  <c r="R5614" i="14"/>
  <c r="R5615" i="14"/>
  <c r="R5616" i="14"/>
  <c r="R5617" i="14"/>
  <c r="R5618" i="14"/>
  <c r="R5619" i="14"/>
  <c r="R5620" i="14"/>
  <c r="R5621" i="14"/>
  <c r="R5622" i="14"/>
  <c r="R5623" i="14"/>
  <c r="R5624" i="14"/>
  <c r="R5625" i="14"/>
  <c r="R5626" i="14"/>
  <c r="R5627" i="14"/>
  <c r="R5628" i="14"/>
  <c r="R5629" i="14"/>
  <c r="R5630" i="14"/>
  <c r="R5631" i="14"/>
  <c r="R5632" i="14"/>
  <c r="R5633" i="14"/>
  <c r="R5634" i="14"/>
  <c r="R5635" i="14"/>
  <c r="R5636" i="14"/>
  <c r="R5637" i="14"/>
  <c r="R5638" i="14"/>
  <c r="R5639" i="14"/>
  <c r="R5640" i="14"/>
  <c r="R5641" i="14"/>
  <c r="R5642" i="14"/>
  <c r="R5643" i="14"/>
  <c r="R5644" i="14"/>
  <c r="R5645" i="14"/>
  <c r="R5646" i="14"/>
  <c r="R5647" i="14"/>
  <c r="R5648" i="14"/>
  <c r="R5649" i="14"/>
  <c r="R5650" i="14"/>
  <c r="R5651" i="14"/>
  <c r="R5652" i="14"/>
  <c r="R5653" i="14"/>
  <c r="R5654" i="14"/>
  <c r="R5655" i="14"/>
  <c r="R5656" i="14"/>
  <c r="R5657" i="14"/>
  <c r="R5658" i="14"/>
  <c r="R5659" i="14"/>
  <c r="R5660" i="14"/>
  <c r="R5661" i="14"/>
  <c r="R5662" i="14"/>
  <c r="R5663" i="14"/>
  <c r="R5664" i="14"/>
  <c r="R5665" i="14"/>
  <c r="R5666" i="14"/>
  <c r="R5667" i="14"/>
  <c r="R5668" i="14"/>
  <c r="R5669" i="14"/>
  <c r="R5670" i="14"/>
  <c r="R5671" i="14"/>
  <c r="R5672" i="14"/>
  <c r="R5673" i="14"/>
  <c r="R5674" i="14"/>
  <c r="R5675" i="14"/>
  <c r="R5676" i="14"/>
  <c r="R5677" i="14"/>
  <c r="R5678" i="14"/>
  <c r="R5679" i="14"/>
  <c r="R5680" i="14"/>
  <c r="R5681" i="14"/>
  <c r="R5682" i="14"/>
  <c r="R5683" i="14"/>
  <c r="R5684" i="14"/>
  <c r="R5685" i="14"/>
  <c r="R5686" i="14"/>
  <c r="R5687" i="14"/>
  <c r="R5688" i="14"/>
  <c r="R5689" i="14"/>
  <c r="R5690" i="14"/>
  <c r="R5691" i="14"/>
  <c r="R5692" i="14"/>
  <c r="R5693" i="14"/>
  <c r="R5694" i="14"/>
  <c r="R5695" i="14"/>
  <c r="R5696" i="14"/>
  <c r="R5697" i="14"/>
  <c r="R5698" i="14"/>
  <c r="R5699" i="14"/>
  <c r="R5700" i="14"/>
  <c r="R5701" i="14"/>
  <c r="R5702" i="14"/>
  <c r="R5703" i="14"/>
  <c r="R5704" i="14"/>
  <c r="R5705" i="14"/>
  <c r="R5706" i="14"/>
  <c r="R5707" i="14"/>
  <c r="R5708" i="14"/>
  <c r="R5709" i="14"/>
  <c r="R5710" i="14"/>
  <c r="R5711" i="14"/>
  <c r="R5712" i="14"/>
  <c r="R5713" i="14"/>
  <c r="R5714" i="14"/>
  <c r="R5715" i="14"/>
  <c r="R5716" i="14"/>
  <c r="R5717" i="14"/>
  <c r="R5718" i="14"/>
  <c r="R5719" i="14"/>
  <c r="R5720" i="14"/>
  <c r="R5721" i="14"/>
  <c r="R5722" i="14"/>
  <c r="R5723" i="14"/>
  <c r="R5724" i="14"/>
  <c r="R5725" i="14"/>
  <c r="R5726" i="14"/>
  <c r="R5727" i="14"/>
  <c r="R5728" i="14"/>
  <c r="R5729" i="14"/>
  <c r="R5730" i="14"/>
  <c r="R5731" i="14"/>
  <c r="R5732" i="14"/>
  <c r="R5733" i="14"/>
  <c r="R5734" i="14"/>
  <c r="R5735" i="14"/>
  <c r="R5736" i="14"/>
  <c r="R5737" i="14"/>
  <c r="R5738" i="14"/>
  <c r="R5739" i="14"/>
  <c r="R5740" i="14"/>
  <c r="R5741" i="14"/>
  <c r="R5742" i="14"/>
  <c r="R5743" i="14"/>
  <c r="R5744" i="14"/>
  <c r="R5745" i="14"/>
  <c r="R5746" i="14"/>
  <c r="R5747" i="14"/>
  <c r="R5748" i="14"/>
  <c r="R5749" i="14"/>
  <c r="R5750" i="14"/>
  <c r="R5751" i="14"/>
  <c r="R5752" i="14"/>
  <c r="R5753" i="14"/>
  <c r="R5754" i="14"/>
  <c r="R5755" i="14"/>
  <c r="R5756" i="14"/>
  <c r="R5757" i="14"/>
  <c r="R5758" i="14"/>
  <c r="R5759" i="14"/>
  <c r="R5760" i="14"/>
  <c r="R5761" i="14"/>
  <c r="R5762" i="14"/>
  <c r="R5763" i="14"/>
  <c r="R5764" i="14"/>
  <c r="R5765" i="14"/>
  <c r="R5766" i="14"/>
  <c r="R5767" i="14"/>
  <c r="R5768" i="14"/>
  <c r="R5769" i="14"/>
  <c r="R5770" i="14"/>
  <c r="R5771" i="14"/>
  <c r="R5772" i="14"/>
  <c r="R5773" i="14"/>
  <c r="R5774" i="14"/>
  <c r="R5775" i="14"/>
  <c r="R5776" i="14"/>
  <c r="R5777" i="14"/>
  <c r="R5778" i="14"/>
  <c r="R5779" i="14"/>
  <c r="R5780" i="14"/>
  <c r="R5781" i="14"/>
  <c r="R5782" i="14"/>
  <c r="R5783" i="14"/>
  <c r="R5784" i="14"/>
  <c r="R5785" i="14"/>
  <c r="R5786" i="14"/>
  <c r="R5787" i="14"/>
  <c r="R5788" i="14"/>
  <c r="R5789" i="14"/>
  <c r="R5790" i="14"/>
  <c r="R5791" i="14"/>
  <c r="R5792" i="14"/>
  <c r="R5793" i="14"/>
  <c r="R5794" i="14"/>
  <c r="R5795" i="14"/>
  <c r="R5796" i="14"/>
  <c r="R5797" i="14"/>
  <c r="R5798" i="14"/>
  <c r="R5799" i="14"/>
  <c r="R5800" i="14"/>
  <c r="R5801" i="14"/>
  <c r="R5802" i="14"/>
  <c r="R5803" i="14"/>
  <c r="R5804" i="14"/>
  <c r="R5805" i="14"/>
  <c r="R5806" i="14"/>
  <c r="R5807" i="14"/>
  <c r="R5808" i="14"/>
  <c r="R5809" i="14"/>
  <c r="R5810" i="14"/>
  <c r="R5811" i="14"/>
  <c r="R5812" i="14"/>
  <c r="R5813" i="14"/>
  <c r="R5814" i="14"/>
  <c r="R5815" i="14"/>
  <c r="R5816" i="14"/>
  <c r="R5817" i="14"/>
  <c r="R5818" i="14"/>
  <c r="R5819" i="14"/>
  <c r="R5820" i="14"/>
  <c r="R5821" i="14"/>
  <c r="R5822" i="14"/>
  <c r="R5823" i="14"/>
  <c r="R5824" i="14"/>
  <c r="R5825" i="14"/>
  <c r="R5826" i="14"/>
  <c r="R5827" i="14"/>
  <c r="R5828" i="14"/>
  <c r="R5829" i="14"/>
  <c r="R5830" i="14"/>
  <c r="R5831" i="14"/>
  <c r="R5832" i="14"/>
  <c r="R5833" i="14"/>
  <c r="R5834" i="14"/>
  <c r="R5835" i="14"/>
  <c r="R5836" i="14"/>
  <c r="R5837" i="14"/>
  <c r="R5838" i="14"/>
  <c r="R5839" i="14"/>
  <c r="R5840" i="14"/>
  <c r="R5841" i="14"/>
  <c r="R5842" i="14"/>
  <c r="R5843" i="14"/>
  <c r="R5844" i="14"/>
  <c r="R5845" i="14"/>
  <c r="R5846" i="14"/>
  <c r="R5847" i="14"/>
  <c r="R5848" i="14"/>
  <c r="R5849" i="14"/>
  <c r="R5850" i="14"/>
  <c r="R5851" i="14"/>
  <c r="R5852" i="14"/>
  <c r="R5853" i="14"/>
  <c r="R5854" i="14"/>
  <c r="R5855" i="14"/>
  <c r="R5856" i="14"/>
  <c r="R5857" i="14"/>
  <c r="R5858" i="14"/>
  <c r="R5859" i="14"/>
  <c r="R5860" i="14"/>
  <c r="R5861" i="14"/>
  <c r="R5862" i="14"/>
  <c r="R5863" i="14"/>
  <c r="R5864" i="14"/>
  <c r="R5865" i="14"/>
  <c r="R5866" i="14"/>
  <c r="R5867" i="14"/>
  <c r="R5868" i="14"/>
  <c r="R5869" i="14"/>
  <c r="R5870" i="14"/>
  <c r="R5871" i="14"/>
  <c r="R5872" i="14"/>
  <c r="R5873" i="14"/>
  <c r="R5874" i="14"/>
  <c r="R5875" i="14"/>
  <c r="R5876" i="14"/>
  <c r="R5877" i="14"/>
  <c r="R5878" i="14"/>
  <c r="R5879" i="14"/>
  <c r="R5880" i="14"/>
  <c r="R5881" i="14"/>
  <c r="R5882" i="14"/>
  <c r="R5883" i="14"/>
  <c r="R5884" i="14"/>
  <c r="R5885" i="14"/>
  <c r="R5886" i="14"/>
  <c r="R5887" i="14"/>
  <c r="R5888" i="14"/>
  <c r="R5889" i="14"/>
  <c r="R5890" i="14"/>
  <c r="R5891" i="14"/>
  <c r="R5892" i="14"/>
  <c r="R5893" i="14"/>
  <c r="R5894" i="14"/>
  <c r="R5895" i="14"/>
  <c r="R5896" i="14"/>
  <c r="R5897" i="14"/>
  <c r="R5898" i="14"/>
  <c r="R5899" i="14"/>
  <c r="R5900" i="14"/>
  <c r="R5901" i="14"/>
  <c r="R5902" i="14"/>
  <c r="R5903" i="14"/>
  <c r="R5904" i="14"/>
  <c r="R5905" i="14"/>
  <c r="R5906" i="14"/>
  <c r="R5907" i="14"/>
  <c r="R5908" i="14"/>
  <c r="R5909" i="14"/>
  <c r="R5910" i="14"/>
  <c r="R5911" i="14"/>
  <c r="R5912" i="14"/>
  <c r="R5913" i="14"/>
  <c r="R5914" i="14"/>
  <c r="R5915" i="14"/>
  <c r="R5916" i="14"/>
  <c r="R5917" i="14"/>
  <c r="R5918" i="14"/>
  <c r="R5919" i="14"/>
  <c r="R5920" i="14"/>
  <c r="R5921" i="14"/>
  <c r="R5922" i="14"/>
  <c r="R5923" i="14"/>
  <c r="R5924" i="14"/>
  <c r="R5925" i="14"/>
  <c r="R5926" i="14"/>
  <c r="R5927" i="14"/>
  <c r="R5928" i="14"/>
  <c r="R5929" i="14"/>
  <c r="R5930" i="14"/>
  <c r="R5931" i="14"/>
  <c r="R5932" i="14"/>
  <c r="R5933" i="14"/>
  <c r="R5934" i="14"/>
  <c r="R5935" i="14"/>
  <c r="R5936" i="14"/>
  <c r="R5937" i="14"/>
  <c r="R5938" i="14"/>
  <c r="R5939" i="14"/>
  <c r="R5940" i="14"/>
  <c r="R5941" i="14"/>
  <c r="R5942" i="14"/>
  <c r="R5943" i="14"/>
  <c r="R5944" i="14"/>
  <c r="R5945" i="14"/>
  <c r="R5946" i="14"/>
  <c r="R5947" i="14"/>
  <c r="R5948" i="14"/>
  <c r="R5949" i="14"/>
  <c r="R5950" i="14"/>
  <c r="R5951" i="14"/>
  <c r="R5952" i="14"/>
  <c r="R5953" i="14"/>
  <c r="R5954" i="14"/>
  <c r="R5955" i="14"/>
  <c r="R5956" i="14"/>
  <c r="R5957" i="14"/>
  <c r="R5958" i="14"/>
  <c r="R5959" i="14"/>
  <c r="R5960" i="14"/>
  <c r="R5961" i="14"/>
  <c r="R5962" i="14"/>
  <c r="R5963" i="14"/>
  <c r="R5964" i="14"/>
  <c r="R5965" i="14"/>
  <c r="R5966" i="14"/>
  <c r="R5967" i="14"/>
  <c r="R5968" i="14"/>
  <c r="R5969" i="14"/>
  <c r="R5970" i="14"/>
  <c r="R5971" i="14"/>
  <c r="R5972" i="14"/>
  <c r="R5973" i="14"/>
  <c r="R5974" i="14"/>
  <c r="R5975" i="14"/>
  <c r="R5976" i="14"/>
  <c r="R5977" i="14"/>
  <c r="R5978" i="14"/>
  <c r="R5979" i="14"/>
  <c r="R5980" i="14"/>
  <c r="R5981" i="14"/>
  <c r="R5982" i="14"/>
  <c r="R5983" i="14"/>
  <c r="R5984" i="14"/>
  <c r="R5985" i="14"/>
  <c r="R5986" i="14"/>
  <c r="R5987" i="14"/>
  <c r="R5988" i="14"/>
  <c r="R5989" i="14"/>
  <c r="R5990" i="14"/>
  <c r="R5991" i="14"/>
  <c r="R5992" i="14"/>
  <c r="R5993" i="14"/>
  <c r="R5994" i="14"/>
  <c r="R5995" i="14"/>
  <c r="R5996" i="14"/>
  <c r="R5997" i="14"/>
  <c r="R5998" i="14"/>
  <c r="R5999" i="14"/>
  <c r="R6000" i="14"/>
  <c r="R6001" i="14"/>
  <c r="R6002" i="14"/>
  <c r="R6003" i="14"/>
  <c r="R6004" i="14"/>
  <c r="R6005" i="14"/>
  <c r="R6006" i="14"/>
  <c r="R6007" i="14"/>
  <c r="R6008" i="14"/>
  <c r="R6009" i="14"/>
  <c r="R6010" i="14"/>
  <c r="R6011" i="14"/>
  <c r="R6012" i="14"/>
  <c r="R6013" i="14"/>
  <c r="R6014" i="14"/>
  <c r="R6015" i="14"/>
  <c r="R6016" i="14"/>
  <c r="R6017" i="14"/>
  <c r="R6018" i="14"/>
  <c r="R6019" i="14"/>
  <c r="R6020" i="14"/>
  <c r="R6021" i="14"/>
  <c r="R6022" i="14"/>
  <c r="R6023" i="14"/>
  <c r="R6024" i="14"/>
  <c r="R6025" i="14"/>
  <c r="R6026" i="14"/>
  <c r="R6027" i="14"/>
  <c r="R6028" i="14"/>
  <c r="R6029" i="14"/>
  <c r="R6030" i="14"/>
  <c r="R6031" i="14"/>
  <c r="R6032" i="14"/>
  <c r="R6033" i="14"/>
  <c r="R6034" i="14"/>
  <c r="R6035" i="14"/>
  <c r="R6036" i="14"/>
  <c r="R6037" i="14"/>
  <c r="R6038" i="14"/>
  <c r="R6039" i="14"/>
  <c r="R6040" i="14"/>
  <c r="R6041" i="14"/>
  <c r="R6042" i="14"/>
  <c r="R6043" i="14"/>
  <c r="R6044" i="14"/>
  <c r="R6045" i="14"/>
  <c r="R6046" i="14"/>
  <c r="R6047" i="14"/>
  <c r="R6048" i="14"/>
  <c r="R6049" i="14"/>
  <c r="R6050" i="14"/>
  <c r="R6051" i="14"/>
  <c r="R6052" i="14"/>
  <c r="R6053" i="14"/>
  <c r="R6054" i="14"/>
  <c r="R6055" i="14"/>
  <c r="R6056" i="14"/>
  <c r="R6057" i="14"/>
  <c r="R6058" i="14"/>
  <c r="R6059" i="14"/>
  <c r="R6060" i="14"/>
  <c r="R6061" i="14"/>
  <c r="R6062" i="14"/>
  <c r="R6063" i="14"/>
  <c r="R6064" i="14"/>
  <c r="R6065" i="14"/>
  <c r="R6066" i="14"/>
  <c r="R6067" i="14"/>
  <c r="R6068" i="14"/>
  <c r="R6069" i="14"/>
  <c r="R6070" i="14"/>
  <c r="R6071" i="14"/>
  <c r="R6072" i="14"/>
  <c r="R6073" i="14"/>
  <c r="R6074" i="14"/>
  <c r="R6075" i="14"/>
  <c r="R6076" i="14"/>
  <c r="R6077" i="14"/>
  <c r="R6078" i="14"/>
  <c r="R6079" i="14"/>
  <c r="R6080" i="14"/>
  <c r="R6081" i="14"/>
  <c r="R6082" i="14"/>
  <c r="R6083" i="14"/>
  <c r="R6084" i="14"/>
  <c r="R6085" i="14"/>
  <c r="R6086" i="14"/>
  <c r="R6087" i="14"/>
  <c r="R6088" i="14"/>
  <c r="R6089" i="14"/>
  <c r="R6090" i="14"/>
  <c r="R6091" i="14"/>
  <c r="R6092" i="14"/>
  <c r="R6093" i="14"/>
  <c r="R6094" i="14"/>
  <c r="R6095" i="14"/>
  <c r="R6096" i="14"/>
  <c r="R6097" i="14"/>
  <c r="R6098" i="14"/>
  <c r="R6099" i="14"/>
  <c r="R6100" i="14"/>
  <c r="R6101" i="14"/>
  <c r="R6102" i="14"/>
  <c r="R6103" i="14"/>
  <c r="R6104" i="14"/>
  <c r="R6105" i="14"/>
  <c r="R6106" i="14"/>
  <c r="R6107" i="14"/>
  <c r="R6108" i="14"/>
  <c r="R6109" i="14"/>
  <c r="R6110" i="14"/>
  <c r="R6111" i="14"/>
  <c r="R6112" i="14"/>
  <c r="R6113" i="14"/>
  <c r="R6114" i="14"/>
  <c r="R6115" i="14"/>
  <c r="R6116" i="14"/>
  <c r="R6117" i="14"/>
  <c r="R6118" i="14"/>
  <c r="R6119" i="14"/>
  <c r="R6120" i="14"/>
  <c r="R6121" i="14"/>
  <c r="R6122" i="14"/>
  <c r="R6123" i="14"/>
  <c r="R6124" i="14"/>
  <c r="R6125" i="14"/>
  <c r="R6126" i="14"/>
  <c r="R6127" i="14"/>
  <c r="R6128" i="14"/>
  <c r="R6129" i="14"/>
  <c r="R6130" i="14"/>
  <c r="R6131" i="14"/>
  <c r="R6132" i="14"/>
  <c r="R6133" i="14"/>
  <c r="R6134" i="14"/>
  <c r="R6135" i="14"/>
  <c r="R6136" i="14"/>
  <c r="R6137" i="14"/>
  <c r="R6138" i="14"/>
  <c r="R6139" i="14"/>
  <c r="R6140" i="14"/>
  <c r="R6141" i="14"/>
  <c r="R6142" i="14"/>
  <c r="R6143" i="14"/>
  <c r="R6144" i="14"/>
  <c r="R6145" i="14"/>
  <c r="R6146" i="14"/>
  <c r="R6147" i="14"/>
  <c r="R6148" i="14"/>
  <c r="R6149" i="14"/>
  <c r="R6150" i="14"/>
  <c r="R6151" i="14"/>
  <c r="R6152" i="14"/>
  <c r="R6153" i="14"/>
  <c r="R6154" i="14"/>
  <c r="R6155" i="14"/>
  <c r="R6156" i="14"/>
  <c r="R6157" i="14"/>
  <c r="R6158" i="14"/>
  <c r="R6159" i="14"/>
  <c r="R6160" i="14"/>
  <c r="R6161" i="14"/>
  <c r="R6162" i="14"/>
  <c r="R6163" i="14"/>
  <c r="R6164" i="14"/>
  <c r="R6165" i="14"/>
  <c r="R6166" i="14"/>
  <c r="R6167" i="14"/>
  <c r="R6168" i="14"/>
  <c r="R6169" i="14"/>
  <c r="R6170" i="14"/>
  <c r="R6171" i="14"/>
  <c r="R6172" i="14"/>
  <c r="R6173" i="14"/>
  <c r="R6174" i="14"/>
  <c r="R6175" i="14"/>
  <c r="R6176" i="14"/>
  <c r="R6177" i="14"/>
  <c r="R6178" i="14"/>
  <c r="R6179" i="14"/>
  <c r="R6180" i="14"/>
  <c r="R6181" i="14"/>
  <c r="R6182" i="14"/>
  <c r="R6183" i="14"/>
  <c r="R6184" i="14"/>
  <c r="R6185" i="14"/>
  <c r="R6186" i="14"/>
  <c r="R6187" i="14"/>
  <c r="R6188" i="14"/>
  <c r="R6189" i="14"/>
  <c r="R6190" i="14"/>
  <c r="R6191" i="14"/>
  <c r="R6192" i="14"/>
  <c r="R6193" i="14"/>
  <c r="R6194" i="14"/>
  <c r="R6195" i="14"/>
  <c r="R6196" i="14"/>
  <c r="R6197" i="14"/>
  <c r="R6198" i="14"/>
  <c r="R6199" i="14"/>
  <c r="R6200" i="14"/>
  <c r="R6201" i="14"/>
  <c r="R6202" i="14"/>
  <c r="R6203" i="14"/>
  <c r="R6204" i="14"/>
  <c r="R6205" i="14"/>
  <c r="R6206" i="14"/>
  <c r="R6207" i="14"/>
  <c r="R6208" i="14"/>
  <c r="R6209" i="14"/>
  <c r="R6210" i="14"/>
  <c r="R6211" i="14"/>
  <c r="R6212" i="14"/>
  <c r="R6213" i="14"/>
  <c r="R6214" i="14"/>
  <c r="R6215" i="14"/>
  <c r="R6216" i="14"/>
  <c r="R6217" i="14"/>
  <c r="R6218" i="14"/>
  <c r="R6219" i="14"/>
  <c r="R6220" i="14"/>
  <c r="R6221" i="14"/>
  <c r="R6222" i="14"/>
  <c r="R6223" i="14"/>
  <c r="R6224" i="14"/>
  <c r="R6225" i="14"/>
  <c r="R6226" i="14"/>
  <c r="R6227" i="14"/>
  <c r="R6228" i="14"/>
  <c r="R6229" i="14"/>
  <c r="R6230" i="14"/>
  <c r="R6231" i="14"/>
  <c r="R6232" i="14"/>
  <c r="R6233" i="14"/>
  <c r="R6234" i="14"/>
  <c r="R6235" i="14"/>
  <c r="R6236" i="14"/>
  <c r="R6237" i="14"/>
  <c r="R6238" i="14"/>
  <c r="R6239" i="14"/>
  <c r="R6240" i="14"/>
  <c r="R6241" i="14"/>
  <c r="R6242" i="14"/>
  <c r="R6243" i="14"/>
  <c r="R6244" i="14"/>
  <c r="R6245" i="14"/>
  <c r="R6246" i="14"/>
  <c r="R6247" i="14"/>
  <c r="R6248" i="14"/>
  <c r="R6249" i="14"/>
  <c r="R6250" i="14"/>
  <c r="R6251" i="14"/>
  <c r="R6252" i="14"/>
  <c r="R6253" i="14"/>
  <c r="R6254" i="14"/>
  <c r="R6255" i="14"/>
  <c r="R6256" i="14"/>
  <c r="R6257" i="14"/>
  <c r="R6258" i="14"/>
  <c r="R6259" i="14"/>
  <c r="R6260" i="14"/>
  <c r="R6261" i="14"/>
  <c r="R6262" i="14"/>
  <c r="R6263" i="14"/>
  <c r="R6264" i="14"/>
  <c r="R6265" i="14"/>
  <c r="R6266" i="14"/>
  <c r="R6267" i="14"/>
  <c r="R6268" i="14"/>
  <c r="R6269" i="14"/>
  <c r="R6270" i="14"/>
  <c r="R6271" i="14"/>
  <c r="R6272" i="14"/>
  <c r="R6273" i="14"/>
  <c r="R6274" i="14"/>
  <c r="R6275" i="14"/>
  <c r="R6276" i="14"/>
  <c r="R6277" i="14"/>
  <c r="R6278" i="14"/>
  <c r="R6279" i="14"/>
  <c r="R6280" i="14"/>
  <c r="R6281" i="14"/>
  <c r="R6282" i="14"/>
  <c r="R6283" i="14"/>
  <c r="R6284" i="14"/>
  <c r="R6285" i="14"/>
  <c r="R6286" i="14"/>
  <c r="R6287" i="14"/>
  <c r="R6288" i="14"/>
  <c r="R6289" i="14"/>
  <c r="R6290" i="14"/>
  <c r="R6291" i="14"/>
  <c r="R6292" i="14"/>
  <c r="R6293" i="14"/>
  <c r="R6294" i="14"/>
  <c r="R6295" i="14"/>
  <c r="R6296" i="14"/>
  <c r="R6297" i="14"/>
  <c r="R6298" i="14"/>
  <c r="R6299" i="14"/>
  <c r="R6300" i="14"/>
  <c r="R6301" i="14"/>
  <c r="R6302" i="14"/>
  <c r="R6303" i="14"/>
  <c r="R6304" i="14"/>
  <c r="R6305" i="14"/>
  <c r="R6306" i="14"/>
  <c r="R6307" i="14"/>
  <c r="R6308" i="14"/>
  <c r="R6309" i="14"/>
  <c r="R6310" i="14"/>
  <c r="R6311" i="14"/>
  <c r="R6312" i="14"/>
  <c r="R6313" i="14"/>
  <c r="R6314" i="14"/>
  <c r="R6315" i="14"/>
  <c r="R6316" i="14"/>
  <c r="R6317" i="14"/>
  <c r="R6318" i="14"/>
  <c r="R6319" i="14"/>
  <c r="R6320" i="14"/>
  <c r="R6321" i="14"/>
  <c r="R6322" i="14"/>
  <c r="R6323" i="14"/>
  <c r="R6324" i="14"/>
  <c r="R6325" i="14"/>
  <c r="R6326" i="14"/>
  <c r="R6327" i="14"/>
  <c r="R6328" i="14"/>
  <c r="R6329" i="14"/>
  <c r="R6330" i="14"/>
  <c r="R6331" i="14"/>
  <c r="R6332" i="14"/>
  <c r="R6333" i="14"/>
  <c r="R6334" i="14"/>
  <c r="R6335" i="14"/>
  <c r="R6336" i="14"/>
  <c r="R6337" i="14"/>
  <c r="R6338" i="14"/>
  <c r="R6339" i="14"/>
  <c r="R6340" i="14"/>
  <c r="R6341" i="14"/>
  <c r="R6342" i="14"/>
  <c r="R6343" i="14"/>
  <c r="R6344" i="14"/>
  <c r="R6345" i="14"/>
  <c r="R6346" i="14"/>
  <c r="R6347" i="14"/>
  <c r="R6348" i="14"/>
  <c r="R6349" i="14"/>
  <c r="R6350" i="14"/>
  <c r="R6351" i="14"/>
  <c r="R6352" i="14"/>
  <c r="R6353" i="14"/>
  <c r="R6354" i="14"/>
  <c r="R6355" i="14"/>
  <c r="R6356" i="14"/>
  <c r="R6357" i="14"/>
  <c r="R6358" i="14"/>
  <c r="R6359" i="14"/>
  <c r="R6360" i="14"/>
  <c r="R6361" i="14"/>
  <c r="R6362" i="14"/>
  <c r="R6363" i="14"/>
  <c r="R6364" i="14"/>
  <c r="R6365" i="14"/>
  <c r="R6366" i="14"/>
  <c r="R6367" i="14"/>
  <c r="R6368" i="14"/>
  <c r="R6369" i="14"/>
  <c r="R6370" i="14"/>
  <c r="R6371" i="14"/>
  <c r="R6372" i="14"/>
  <c r="R6373" i="14"/>
  <c r="R6374" i="14"/>
  <c r="R6375" i="14"/>
  <c r="R6376" i="14"/>
  <c r="R6377" i="14"/>
  <c r="R6378" i="14"/>
  <c r="R6379" i="14"/>
  <c r="R6380" i="14"/>
  <c r="R6381" i="14"/>
  <c r="R6382" i="14"/>
  <c r="R6383" i="14"/>
  <c r="R6384" i="14"/>
  <c r="R6385" i="14"/>
  <c r="R6386" i="14"/>
  <c r="R6387" i="14"/>
  <c r="R6388" i="14"/>
  <c r="R6389" i="14"/>
  <c r="R6390" i="14"/>
  <c r="R6391" i="14"/>
  <c r="R6392" i="14"/>
  <c r="R6393" i="14"/>
  <c r="R6394" i="14"/>
  <c r="R6395" i="14"/>
  <c r="R6396" i="14"/>
  <c r="R6397" i="14"/>
  <c r="R6398" i="14"/>
  <c r="R6399" i="14"/>
  <c r="R6400" i="14"/>
  <c r="R6401" i="14"/>
  <c r="R6402" i="14"/>
  <c r="R6403" i="14"/>
  <c r="R6404" i="14"/>
  <c r="R6405" i="14"/>
  <c r="R6406" i="14"/>
  <c r="R6407" i="14"/>
  <c r="R6408" i="14"/>
  <c r="R6409" i="14"/>
  <c r="R6410" i="14"/>
  <c r="R6411" i="14"/>
  <c r="R6412" i="14"/>
  <c r="R6413" i="14"/>
  <c r="R6414" i="14"/>
  <c r="R6415" i="14"/>
  <c r="R6416" i="14"/>
  <c r="R6417" i="14"/>
  <c r="R6418" i="14"/>
  <c r="R6419" i="14"/>
  <c r="R6420" i="14"/>
  <c r="R6421" i="14"/>
  <c r="R6422" i="14"/>
  <c r="R6423" i="14"/>
  <c r="R6424" i="14"/>
  <c r="R6425" i="14"/>
  <c r="R6426" i="14"/>
  <c r="R6427" i="14"/>
  <c r="R6428" i="14"/>
  <c r="R6429" i="14"/>
  <c r="R6430" i="14"/>
  <c r="R6431" i="14"/>
  <c r="R6432" i="14"/>
  <c r="R6433" i="14"/>
  <c r="R6434" i="14"/>
  <c r="R6435" i="14"/>
  <c r="R6436" i="14"/>
  <c r="R6437" i="14"/>
  <c r="R6438" i="14"/>
  <c r="R6439" i="14"/>
  <c r="R6440" i="14"/>
  <c r="R6441" i="14"/>
  <c r="R6442" i="14"/>
  <c r="R6443" i="14"/>
  <c r="R6444" i="14"/>
  <c r="R6445" i="14"/>
  <c r="R6446" i="14"/>
  <c r="R6447" i="14"/>
  <c r="R6448" i="14"/>
  <c r="R6449" i="14"/>
  <c r="R6450" i="14"/>
  <c r="R6451" i="14"/>
  <c r="R6452" i="14"/>
  <c r="R6453" i="14"/>
  <c r="R6454" i="14"/>
  <c r="R6455" i="14"/>
  <c r="R6456" i="14"/>
  <c r="R6457" i="14"/>
  <c r="R6458" i="14"/>
  <c r="R6459" i="14"/>
  <c r="R6460" i="14"/>
  <c r="R6461" i="14"/>
  <c r="R6462" i="14"/>
  <c r="R6463" i="14"/>
  <c r="R6464" i="14"/>
  <c r="R6465" i="14"/>
  <c r="R6466" i="14"/>
  <c r="R6467" i="14"/>
  <c r="R6468" i="14"/>
  <c r="R6469" i="14"/>
  <c r="R6470" i="14"/>
  <c r="R6471" i="14"/>
  <c r="R6472" i="14"/>
  <c r="R6473" i="14"/>
  <c r="R6474" i="14"/>
  <c r="R6475" i="14"/>
  <c r="R6476" i="14"/>
  <c r="R6477" i="14"/>
  <c r="R6478" i="14"/>
  <c r="R6479" i="14"/>
  <c r="R6480" i="14"/>
  <c r="R6481" i="14"/>
  <c r="R6482" i="14"/>
  <c r="R6483" i="14"/>
  <c r="R6484" i="14"/>
  <c r="R6485" i="14"/>
  <c r="R6486" i="14"/>
  <c r="R6487" i="14"/>
  <c r="R6488" i="14"/>
  <c r="R6489" i="14"/>
  <c r="R6490" i="14"/>
  <c r="R6491" i="14"/>
  <c r="R6492" i="14"/>
  <c r="R6493" i="14"/>
  <c r="R6494" i="14"/>
  <c r="R6495" i="14"/>
  <c r="R6496" i="14"/>
  <c r="R6497" i="14"/>
  <c r="R6498" i="14"/>
  <c r="R6499" i="14"/>
  <c r="R6500" i="14"/>
  <c r="R6501" i="14"/>
  <c r="R6502" i="14"/>
  <c r="R6503" i="14"/>
  <c r="R6504" i="14"/>
  <c r="R6505" i="14"/>
  <c r="R6506" i="14"/>
  <c r="R6507" i="14"/>
  <c r="R6508" i="14"/>
  <c r="R6509" i="14"/>
  <c r="R6510" i="14"/>
  <c r="R6511" i="14"/>
  <c r="R6512" i="14"/>
  <c r="R6513" i="14"/>
  <c r="R6514" i="14"/>
  <c r="R6515" i="14"/>
  <c r="R6516" i="14"/>
  <c r="R6517" i="14"/>
  <c r="R6518" i="14"/>
  <c r="R6519" i="14"/>
  <c r="R6520" i="14"/>
  <c r="R6521" i="14"/>
  <c r="R6522" i="14"/>
  <c r="R6523" i="14"/>
  <c r="R6524" i="14"/>
  <c r="R6525" i="14"/>
  <c r="R6526" i="14"/>
  <c r="R6527" i="14"/>
  <c r="R6528" i="14"/>
  <c r="R6529" i="14"/>
  <c r="R6530" i="14"/>
  <c r="R6531" i="14"/>
  <c r="R6532" i="14"/>
  <c r="R6533" i="14"/>
  <c r="R6534" i="14"/>
  <c r="R6535" i="14"/>
  <c r="R6536" i="14"/>
  <c r="R6537" i="14"/>
  <c r="R6538" i="14"/>
  <c r="R6539" i="14"/>
  <c r="R6540" i="14"/>
  <c r="R6541" i="14"/>
  <c r="R6542" i="14"/>
  <c r="R6543" i="14"/>
  <c r="R6544" i="14"/>
  <c r="R6545" i="14"/>
  <c r="R6546" i="14"/>
  <c r="R6547" i="14"/>
  <c r="R6548" i="14"/>
  <c r="R6549" i="14"/>
  <c r="R6550" i="14"/>
  <c r="R6551" i="14"/>
  <c r="R6552" i="14"/>
  <c r="R6553" i="14"/>
  <c r="R6554" i="14"/>
  <c r="R6555" i="14"/>
  <c r="R6556" i="14"/>
  <c r="R6557" i="14"/>
  <c r="R6558" i="14"/>
  <c r="R6559" i="14"/>
  <c r="R6560" i="14"/>
  <c r="R6561" i="14"/>
  <c r="R6562" i="14"/>
  <c r="R6563" i="14"/>
  <c r="R6564" i="14"/>
  <c r="R6565" i="14"/>
  <c r="R6566" i="14"/>
  <c r="R6567" i="14"/>
  <c r="R6568" i="14"/>
  <c r="R6569" i="14"/>
  <c r="R6570" i="14"/>
  <c r="R6571" i="14"/>
  <c r="R6572" i="14"/>
  <c r="R6573" i="14"/>
  <c r="R6574" i="14"/>
  <c r="R6575" i="14"/>
  <c r="R6576" i="14"/>
  <c r="R6577" i="14"/>
  <c r="R6578" i="14"/>
  <c r="R6579" i="14"/>
  <c r="R6580" i="14"/>
  <c r="R6581" i="14"/>
  <c r="R6582" i="14"/>
  <c r="R6583" i="14"/>
  <c r="R6584" i="14"/>
  <c r="R6585" i="14"/>
  <c r="R6586" i="14"/>
  <c r="R6587" i="14"/>
  <c r="R6588" i="14"/>
  <c r="R6589" i="14"/>
  <c r="R6590" i="14"/>
  <c r="R6591" i="14"/>
  <c r="R6592" i="14"/>
  <c r="R6593" i="14"/>
  <c r="R6594" i="14"/>
  <c r="R6595" i="14"/>
  <c r="R6596" i="14"/>
  <c r="R6597" i="14"/>
  <c r="R6598" i="14"/>
  <c r="R6599" i="14"/>
  <c r="R6600" i="14"/>
  <c r="R6601" i="14"/>
  <c r="R6602" i="14"/>
  <c r="R6603" i="14"/>
  <c r="R6604" i="14"/>
  <c r="R6605" i="14"/>
  <c r="R6606" i="14"/>
  <c r="R6607" i="14"/>
  <c r="R6608" i="14"/>
  <c r="R6609" i="14"/>
  <c r="R6610" i="14"/>
  <c r="R6611" i="14"/>
  <c r="R6612" i="14"/>
  <c r="R6613" i="14"/>
  <c r="R6614" i="14"/>
  <c r="R6615" i="14"/>
  <c r="R6616" i="14"/>
  <c r="R6617" i="14"/>
  <c r="R6618" i="14"/>
  <c r="R6619" i="14"/>
  <c r="R6620" i="14"/>
  <c r="R6621" i="14"/>
  <c r="R6622" i="14"/>
  <c r="R6623" i="14"/>
  <c r="R6624" i="14"/>
  <c r="R6625" i="14"/>
  <c r="R6626" i="14"/>
  <c r="R6627" i="14"/>
  <c r="R6628" i="14"/>
  <c r="R6629" i="14"/>
  <c r="R6630" i="14"/>
  <c r="R6631" i="14"/>
  <c r="R6632" i="14"/>
  <c r="R6633" i="14"/>
  <c r="R6634" i="14"/>
  <c r="R6635" i="14"/>
  <c r="R6636" i="14"/>
  <c r="R6637" i="14"/>
  <c r="R6638" i="14"/>
  <c r="R6639" i="14"/>
  <c r="R6640" i="14"/>
  <c r="R6641" i="14"/>
  <c r="R6642" i="14"/>
  <c r="R6643" i="14"/>
  <c r="R6644" i="14"/>
  <c r="R6645" i="14"/>
  <c r="R6646" i="14"/>
  <c r="R6647" i="14"/>
  <c r="R6648" i="14"/>
  <c r="R6649" i="14"/>
  <c r="R6650" i="14"/>
  <c r="R6651" i="14"/>
  <c r="R6652" i="14"/>
  <c r="R6653" i="14"/>
  <c r="R6654" i="14"/>
  <c r="R6655" i="14"/>
  <c r="R6656" i="14"/>
  <c r="R6657" i="14"/>
  <c r="R6658" i="14"/>
  <c r="R6659" i="14"/>
  <c r="R6660" i="14"/>
  <c r="R6661" i="14"/>
  <c r="R6662" i="14"/>
  <c r="R6663" i="14"/>
  <c r="R6664" i="14"/>
  <c r="R6665" i="14"/>
  <c r="R6666" i="14"/>
  <c r="R6667" i="14"/>
  <c r="R6668" i="14"/>
  <c r="R6669" i="14"/>
  <c r="R6670" i="14"/>
  <c r="R6671" i="14"/>
  <c r="R6672" i="14"/>
  <c r="R6673" i="14"/>
  <c r="R6674" i="14"/>
  <c r="R6675" i="14"/>
  <c r="R6676" i="14"/>
  <c r="R6677" i="14"/>
  <c r="R6678" i="14"/>
  <c r="R6679" i="14"/>
  <c r="R6680" i="14"/>
  <c r="R6681" i="14"/>
  <c r="R6682" i="14"/>
  <c r="R6683" i="14"/>
  <c r="R6684" i="14"/>
  <c r="R6685" i="14"/>
  <c r="R6686" i="14"/>
  <c r="R6687" i="14"/>
  <c r="R6688" i="14"/>
  <c r="R6689" i="14"/>
  <c r="R6690" i="14"/>
  <c r="R6691" i="14"/>
  <c r="R6692" i="14"/>
  <c r="R6693" i="14"/>
  <c r="R6694" i="14"/>
  <c r="R6695" i="14"/>
  <c r="R6696" i="14"/>
  <c r="R6697" i="14"/>
  <c r="R6698" i="14"/>
  <c r="R6699" i="14"/>
  <c r="R6700" i="14"/>
  <c r="R6701" i="14"/>
  <c r="R6702" i="14"/>
  <c r="R6703" i="14"/>
  <c r="R6704" i="14"/>
  <c r="R6705" i="14"/>
  <c r="R6706" i="14"/>
  <c r="R6707" i="14"/>
  <c r="R6708" i="14"/>
  <c r="R6709" i="14"/>
  <c r="R6710" i="14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364" i="14"/>
  <c r="Q365" i="14"/>
  <c r="Q366" i="14"/>
  <c r="Q367" i="14"/>
  <c r="Q368" i="14"/>
  <c r="Q369" i="14"/>
  <c r="Q370" i="14"/>
  <c r="Q371" i="14"/>
  <c r="Q372" i="14"/>
  <c r="Q373" i="14"/>
  <c r="Q374" i="14"/>
  <c r="Q375" i="14"/>
  <c r="Q376" i="14"/>
  <c r="Q377" i="14"/>
  <c r="Q378" i="14"/>
  <c r="Q379" i="14"/>
  <c r="Q380" i="14"/>
  <c r="Q381" i="14"/>
  <c r="Q382" i="14"/>
  <c r="Q383" i="14"/>
  <c r="Q384" i="14"/>
  <c r="Q385" i="14"/>
  <c r="Q386" i="14"/>
  <c r="Q387" i="14"/>
  <c r="Q388" i="14"/>
  <c r="Q389" i="14"/>
  <c r="Q390" i="14"/>
  <c r="Q391" i="14"/>
  <c r="Q392" i="14"/>
  <c r="Q393" i="14"/>
  <c r="Q394" i="14"/>
  <c r="Q395" i="14"/>
  <c r="Q396" i="14"/>
  <c r="Q397" i="14"/>
  <c r="Q398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6" i="14"/>
  <c r="Q427" i="14"/>
  <c r="Q428" i="14"/>
  <c r="Q429" i="14"/>
  <c r="Q430" i="14"/>
  <c r="Q431" i="14"/>
  <c r="Q432" i="14"/>
  <c r="Q433" i="14"/>
  <c r="Q434" i="14"/>
  <c r="Q435" i="14"/>
  <c r="Q436" i="14"/>
  <c r="Q437" i="14"/>
  <c r="Q438" i="14"/>
  <c r="Q439" i="14"/>
  <c r="Q440" i="14"/>
  <c r="Q441" i="14"/>
  <c r="Q442" i="14"/>
  <c r="Q443" i="14"/>
  <c r="Q444" i="14"/>
  <c r="Q445" i="14"/>
  <c r="Q446" i="14"/>
  <c r="Q447" i="14"/>
  <c r="Q448" i="14"/>
  <c r="Q449" i="14"/>
  <c r="Q450" i="14"/>
  <c r="Q451" i="14"/>
  <c r="Q452" i="14"/>
  <c r="Q453" i="14"/>
  <c r="Q454" i="14"/>
  <c r="Q455" i="14"/>
  <c r="Q456" i="14"/>
  <c r="Q457" i="14"/>
  <c r="Q458" i="14"/>
  <c r="Q459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500" i="14"/>
  <c r="Q501" i="14"/>
  <c r="Q502" i="14"/>
  <c r="Q503" i="14"/>
  <c r="Q504" i="14"/>
  <c r="Q505" i="14"/>
  <c r="Q506" i="14"/>
  <c r="Q507" i="14"/>
  <c r="Q508" i="14"/>
  <c r="Q509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583" i="14"/>
  <c r="Q584" i="14"/>
  <c r="Q585" i="14"/>
  <c r="Q586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609" i="14"/>
  <c r="Q610" i="14"/>
  <c r="Q611" i="14"/>
  <c r="Q612" i="14"/>
  <c r="Q613" i="14"/>
  <c r="Q614" i="14"/>
  <c r="Q615" i="14"/>
  <c r="Q616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5" i="14"/>
  <c r="Q806" i="14"/>
  <c r="Q807" i="14"/>
  <c r="Q808" i="14"/>
  <c r="Q809" i="14"/>
  <c r="Q810" i="14"/>
  <c r="Q811" i="14"/>
  <c r="Q812" i="14"/>
  <c r="Q813" i="14"/>
  <c r="Q814" i="14"/>
  <c r="Q815" i="14"/>
  <c r="Q816" i="14"/>
  <c r="Q817" i="14"/>
  <c r="Q818" i="14"/>
  <c r="Q819" i="14"/>
  <c r="Q820" i="14"/>
  <c r="Q821" i="14"/>
  <c r="Q822" i="14"/>
  <c r="Q823" i="14"/>
  <c r="Q824" i="14"/>
  <c r="Q825" i="14"/>
  <c r="Q826" i="14"/>
  <c r="Q827" i="14"/>
  <c r="Q828" i="14"/>
  <c r="Q829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52" i="14"/>
  <c r="Q853" i="14"/>
  <c r="Q854" i="14"/>
  <c r="Q855" i="14"/>
  <c r="Q856" i="14"/>
  <c r="Q857" i="14"/>
  <c r="Q858" i="14"/>
  <c r="Q859" i="14"/>
  <c r="Q860" i="14"/>
  <c r="Q861" i="14"/>
  <c r="Q862" i="14"/>
  <c r="Q863" i="14"/>
  <c r="Q864" i="14"/>
  <c r="Q865" i="14"/>
  <c r="Q866" i="14"/>
  <c r="Q867" i="14"/>
  <c r="Q868" i="14"/>
  <c r="Q869" i="14"/>
  <c r="Q870" i="14"/>
  <c r="Q871" i="14"/>
  <c r="Q872" i="14"/>
  <c r="Q873" i="14"/>
  <c r="Q874" i="14"/>
  <c r="Q875" i="14"/>
  <c r="Q876" i="14"/>
  <c r="Q877" i="14"/>
  <c r="Q878" i="14"/>
  <c r="Q879" i="14"/>
  <c r="Q880" i="14"/>
  <c r="Q881" i="14"/>
  <c r="Q882" i="14"/>
  <c r="Q883" i="14"/>
  <c r="Q884" i="14"/>
  <c r="Q885" i="14"/>
  <c r="Q886" i="14"/>
  <c r="Q887" i="14"/>
  <c r="Q888" i="14"/>
  <c r="Q889" i="14"/>
  <c r="Q890" i="14"/>
  <c r="Q891" i="14"/>
  <c r="Q892" i="14"/>
  <c r="Q893" i="14"/>
  <c r="Q894" i="14"/>
  <c r="Q895" i="14"/>
  <c r="Q896" i="14"/>
  <c r="Q897" i="14"/>
  <c r="Q898" i="14"/>
  <c r="Q899" i="14"/>
  <c r="Q900" i="14"/>
  <c r="Q901" i="14"/>
  <c r="Q902" i="14"/>
  <c r="Q903" i="14"/>
  <c r="Q904" i="14"/>
  <c r="Q905" i="14"/>
  <c r="Q906" i="14"/>
  <c r="Q907" i="14"/>
  <c r="Q908" i="14"/>
  <c r="Q909" i="14"/>
  <c r="Q910" i="14"/>
  <c r="Q911" i="14"/>
  <c r="Q912" i="14"/>
  <c r="Q913" i="14"/>
  <c r="Q914" i="14"/>
  <c r="Q915" i="14"/>
  <c r="Q916" i="14"/>
  <c r="Q917" i="14"/>
  <c r="Q918" i="14"/>
  <c r="Q919" i="14"/>
  <c r="Q920" i="14"/>
  <c r="Q921" i="14"/>
  <c r="Q922" i="14"/>
  <c r="Q923" i="14"/>
  <c r="Q924" i="14"/>
  <c r="Q925" i="14"/>
  <c r="Q926" i="14"/>
  <c r="Q927" i="14"/>
  <c r="Q928" i="14"/>
  <c r="Q929" i="14"/>
  <c r="Q930" i="14"/>
  <c r="Q931" i="14"/>
  <c r="Q932" i="14"/>
  <c r="Q933" i="14"/>
  <c r="Q934" i="14"/>
  <c r="Q935" i="14"/>
  <c r="Q936" i="14"/>
  <c r="Q937" i="14"/>
  <c r="Q938" i="14"/>
  <c r="Q939" i="14"/>
  <c r="Q940" i="14"/>
  <c r="Q941" i="14"/>
  <c r="Q942" i="14"/>
  <c r="Q943" i="14"/>
  <c r="Q944" i="14"/>
  <c r="Q945" i="14"/>
  <c r="Q946" i="14"/>
  <c r="Q947" i="14"/>
  <c r="Q948" i="14"/>
  <c r="Q949" i="14"/>
  <c r="Q950" i="14"/>
  <c r="Q951" i="14"/>
  <c r="Q952" i="14"/>
  <c r="Q953" i="14"/>
  <c r="Q954" i="14"/>
  <c r="Q955" i="14"/>
  <c r="Q956" i="14"/>
  <c r="Q957" i="14"/>
  <c r="Q958" i="14"/>
  <c r="Q959" i="14"/>
  <c r="Q960" i="14"/>
  <c r="Q961" i="14"/>
  <c r="Q962" i="14"/>
  <c r="Q963" i="14"/>
  <c r="Q964" i="14"/>
  <c r="Q965" i="14"/>
  <c r="Q966" i="14"/>
  <c r="Q967" i="14"/>
  <c r="Q968" i="14"/>
  <c r="Q969" i="14"/>
  <c r="Q970" i="14"/>
  <c r="Q971" i="14"/>
  <c r="Q972" i="14"/>
  <c r="Q973" i="14"/>
  <c r="Q974" i="14"/>
  <c r="Q975" i="14"/>
  <c r="Q976" i="14"/>
  <c r="Q977" i="14"/>
  <c r="Q978" i="14"/>
  <c r="Q979" i="14"/>
  <c r="Q980" i="14"/>
  <c r="Q981" i="14"/>
  <c r="Q982" i="14"/>
  <c r="Q983" i="14"/>
  <c r="Q984" i="14"/>
  <c r="Q985" i="14"/>
  <c r="Q986" i="14"/>
  <c r="Q987" i="14"/>
  <c r="Q988" i="14"/>
  <c r="Q989" i="14"/>
  <c r="Q990" i="14"/>
  <c r="Q991" i="14"/>
  <c r="Q992" i="14"/>
  <c r="Q993" i="14"/>
  <c r="Q994" i="14"/>
  <c r="Q995" i="14"/>
  <c r="Q996" i="14"/>
  <c r="Q997" i="14"/>
  <c r="Q998" i="14"/>
  <c r="Q999" i="14"/>
  <c r="Q1000" i="14"/>
  <c r="Q1001" i="14"/>
  <c r="Q1002" i="14"/>
  <c r="Q1003" i="14"/>
  <c r="Q1004" i="14"/>
  <c r="Q1005" i="14"/>
  <c r="Q1006" i="14"/>
  <c r="Q1007" i="14"/>
  <c r="Q1008" i="14"/>
  <c r="Q1009" i="14"/>
  <c r="Q1010" i="14"/>
  <c r="Q1011" i="14"/>
  <c r="Q1012" i="14"/>
  <c r="Q1013" i="14"/>
  <c r="Q1014" i="14"/>
  <c r="Q1015" i="14"/>
  <c r="Q1016" i="14"/>
  <c r="Q1017" i="14"/>
  <c r="Q1018" i="14"/>
  <c r="Q1019" i="14"/>
  <c r="Q1020" i="14"/>
  <c r="Q1021" i="14"/>
  <c r="Q1022" i="14"/>
  <c r="Q1023" i="14"/>
  <c r="Q1024" i="14"/>
  <c r="Q1025" i="14"/>
  <c r="Q1026" i="14"/>
  <c r="Q1027" i="14"/>
  <c r="Q1028" i="14"/>
  <c r="Q1029" i="14"/>
  <c r="Q1030" i="14"/>
  <c r="Q1031" i="14"/>
  <c r="Q1032" i="14"/>
  <c r="Q1033" i="14"/>
  <c r="Q1034" i="14"/>
  <c r="Q1035" i="14"/>
  <c r="Q1036" i="14"/>
  <c r="Q1037" i="14"/>
  <c r="Q1038" i="14"/>
  <c r="Q1039" i="14"/>
  <c r="Q1040" i="14"/>
  <c r="Q1041" i="14"/>
  <c r="Q1042" i="14"/>
  <c r="Q1043" i="14"/>
  <c r="Q1044" i="14"/>
  <c r="Q1045" i="14"/>
  <c r="Q1046" i="14"/>
  <c r="Q1047" i="14"/>
  <c r="Q1048" i="14"/>
  <c r="Q1049" i="14"/>
  <c r="Q1050" i="14"/>
  <c r="Q1051" i="14"/>
  <c r="Q1052" i="14"/>
  <c r="Q1053" i="14"/>
  <c r="Q1054" i="14"/>
  <c r="Q1055" i="14"/>
  <c r="Q1056" i="14"/>
  <c r="Q1057" i="14"/>
  <c r="Q1058" i="14"/>
  <c r="Q1059" i="14"/>
  <c r="Q1060" i="14"/>
  <c r="Q1061" i="14"/>
  <c r="Q1062" i="14"/>
  <c r="Q1063" i="14"/>
  <c r="Q1064" i="14"/>
  <c r="Q1065" i="14"/>
  <c r="Q1066" i="14"/>
  <c r="Q1067" i="14"/>
  <c r="Q1068" i="14"/>
  <c r="Q1069" i="14"/>
  <c r="Q1070" i="14"/>
  <c r="Q1071" i="14"/>
  <c r="Q1072" i="14"/>
  <c r="Q1073" i="14"/>
  <c r="Q1074" i="14"/>
  <c r="Q1075" i="14"/>
  <c r="Q1076" i="14"/>
  <c r="Q1077" i="14"/>
  <c r="Q1078" i="14"/>
  <c r="Q1079" i="14"/>
  <c r="Q1080" i="14"/>
  <c r="Q1081" i="14"/>
  <c r="Q1082" i="14"/>
  <c r="Q1083" i="14"/>
  <c r="Q1084" i="14"/>
  <c r="Q1085" i="14"/>
  <c r="Q1086" i="14"/>
  <c r="Q1087" i="14"/>
  <c r="Q1088" i="14"/>
  <c r="Q1089" i="14"/>
  <c r="Q1090" i="14"/>
  <c r="Q1091" i="14"/>
  <c r="Q1092" i="14"/>
  <c r="Q1093" i="14"/>
  <c r="Q1094" i="14"/>
  <c r="Q1095" i="14"/>
  <c r="Q1096" i="14"/>
  <c r="Q1097" i="14"/>
  <c r="Q1098" i="14"/>
  <c r="Q1099" i="14"/>
  <c r="Q1100" i="14"/>
  <c r="Q1101" i="14"/>
  <c r="Q1102" i="14"/>
  <c r="Q1103" i="14"/>
  <c r="Q1104" i="14"/>
  <c r="Q1105" i="14"/>
  <c r="Q1106" i="14"/>
  <c r="Q1107" i="14"/>
  <c r="Q1108" i="14"/>
  <c r="Q1109" i="14"/>
  <c r="Q1110" i="14"/>
  <c r="Q1111" i="14"/>
  <c r="Q1112" i="14"/>
  <c r="Q1113" i="14"/>
  <c r="Q1114" i="14"/>
  <c r="Q1115" i="14"/>
  <c r="Q1116" i="14"/>
  <c r="Q1117" i="14"/>
  <c r="Q1118" i="14"/>
  <c r="Q1119" i="14"/>
  <c r="Q1120" i="14"/>
  <c r="Q1121" i="14"/>
  <c r="Q1122" i="14"/>
  <c r="Q1123" i="14"/>
  <c r="Q1124" i="14"/>
  <c r="Q1125" i="14"/>
  <c r="Q1126" i="14"/>
  <c r="Q1127" i="14"/>
  <c r="Q1128" i="14"/>
  <c r="Q1129" i="14"/>
  <c r="Q1130" i="14"/>
  <c r="Q1131" i="14"/>
  <c r="Q1132" i="14"/>
  <c r="Q1133" i="14"/>
  <c r="Q1134" i="14"/>
  <c r="Q1135" i="14"/>
  <c r="Q1136" i="14"/>
  <c r="Q1137" i="14"/>
  <c r="Q1138" i="14"/>
  <c r="Q1139" i="14"/>
  <c r="Q1140" i="14"/>
  <c r="Q1141" i="14"/>
  <c r="Q1142" i="14"/>
  <c r="Q1143" i="14"/>
  <c r="Q1144" i="14"/>
  <c r="Q1145" i="14"/>
  <c r="Q1146" i="14"/>
  <c r="Q1147" i="14"/>
  <c r="Q1148" i="14"/>
  <c r="Q1149" i="14"/>
  <c r="Q1150" i="14"/>
  <c r="Q1151" i="14"/>
  <c r="Q1152" i="14"/>
  <c r="Q1153" i="14"/>
  <c r="Q1154" i="14"/>
  <c r="Q1155" i="14"/>
  <c r="Q1156" i="14"/>
  <c r="Q1157" i="14"/>
  <c r="Q1158" i="14"/>
  <c r="Q1159" i="14"/>
  <c r="Q1160" i="14"/>
  <c r="Q1161" i="14"/>
  <c r="Q1162" i="14"/>
  <c r="Q1163" i="14"/>
  <c r="Q1164" i="14"/>
  <c r="Q1165" i="14"/>
  <c r="Q1166" i="14"/>
  <c r="Q1167" i="14"/>
  <c r="Q1168" i="14"/>
  <c r="Q1169" i="14"/>
  <c r="Q1170" i="14"/>
  <c r="Q1171" i="14"/>
  <c r="Q1172" i="14"/>
  <c r="Q1173" i="14"/>
  <c r="Q1174" i="14"/>
  <c r="Q1175" i="14"/>
  <c r="Q1176" i="14"/>
  <c r="Q1177" i="14"/>
  <c r="Q1178" i="14"/>
  <c r="Q1179" i="14"/>
  <c r="Q1180" i="14"/>
  <c r="Q1181" i="14"/>
  <c r="Q1182" i="14"/>
  <c r="Q1183" i="14"/>
  <c r="Q1184" i="14"/>
  <c r="Q1185" i="14"/>
  <c r="Q1186" i="14"/>
  <c r="Q1187" i="14"/>
  <c r="Q1188" i="14"/>
  <c r="Q1189" i="14"/>
  <c r="Q1190" i="14"/>
  <c r="Q1191" i="14"/>
  <c r="Q1192" i="14"/>
  <c r="Q1193" i="14"/>
  <c r="Q1194" i="14"/>
  <c r="Q1195" i="14"/>
  <c r="Q1196" i="14"/>
  <c r="Q1197" i="14"/>
  <c r="Q1198" i="14"/>
  <c r="Q1199" i="14"/>
  <c r="Q1200" i="14"/>
  <c r="Q1201" i="14"/>
  <c r="Q1202" i="14"/>
  <c r="Q1203" i="14"/>
  <c r="Q1204" i="14"/>
  <c r="Q1205" i="14"/>
  <c r="Q1206" i="14"/>
  <c r="Q1207" i="14"/>
  <c r="Q1208" i="14"/>
  <c r="Q1209" i="14"/>
  <c r="Q1210" i="14"/>
  <c r="Q1211" i="14"/>
  <c r="Q1212" i="14"/>
  <c r="Q1213" i="14"/>
  <c r="Q1214" i="14"/>
  <c r="Q1215" i="14"/>
  <c r="Q1216" i="14"/>
  <c r="Q1217" i="14"/>
  <c r="Q1218" i="14"/>
  <c r="Q1219" i="14"/>
  <c r="Q1220" i="14"/>
  <c r="Q1221" i="14"/>
  <c r="Q1222" i="14"/>
  <c r="Q1223" i="14"/>
  <c r="Q1224" i="14"/>
  <c r="Q1225" i="14"/>
  <c r="Q1226" i="14"/>
  <c r="Q1227" i="14"/>
  <c r="Q1228" i="14"/>
  <c r="Q1229" i="14"/>
  <c r="Q1230" i="14"/>
  <c r="Q1231" i="14"/>
  <c r="Q1232" i="14"/>
  <c r="Q1233" i="14"/>
  <c r="Q1234" i="14"/>
  <c r="Q1235" i="14"/>
  <c r="Q1236" i="14"/>
  <c r="Q1237" i="14"/>
  <c r="Q1238" i="14"/>
  <c r="Q1239" i="14"/>
  <c r="Q1240" i="14"/>
  <c r="Q1241" i="14"/>
  <c r="Q1242" i="14"/>
  <c r="Q1243" i="14"/>
  <c r="Q1244" i="14"/>
  <c r="Q1245" i="14"/>
  <c r="Q1246" i="14"/>
  <c r="Q1247" i="14"/>
  <c r="Q1248" i="14"/>
  <c r="Q1249" i="14"/>
  <c r="Q1250" i="14"/>
  <c r="Q1251" i="14"/>
  <c r="Q1252" i="14"/>
  <c r="Q1253" i="14"/>
  <c r="Q1254" i="14"/>
  <c r="Q1255" i="14"/>
  <c r="Q1256" i="14"/>
  <c r="Q1257" i="14"/>
  <c r="Q1258" i="14"/>
  <c r="Q1259" i="14"/>
  <c r="Q1260" i="14"/>
  <c r="Q1261" i="14"/>
  <c r="Q1262" i="14"/>
  <c r="Q1263" i="14"/>
  <c r="Q1264" i="14"/>
  <c r="Q1265" i="14"/>
  <c r="Q1266" i="14"/>
  <c r="Q1267" i="14"/>
  <c r="Q1268" i="14"/>
  <c r="Q1269" i="14"/>
  <c r="Q1270" i="14"/>
  <c r="Q1271" i="14"/>
  <c r="Q1272" i="14"/>
  <c r="Q1273" i="14"/>
  <c r="Q1274" i="14"/>
  <c r="Q1275" i="14"/>
  <c r="Q1276" i="14"/>
  <c r="Q1277" i="14"/>
  <c r="Q1278" i="14"/>
  <c r="Q1279" i="14"/>
  <c r="Q1280" i="14"/>
  <c r="Q1281" i="14"/>
  <c r="Q1282" i="14"/>
  <c r="Q1283" i="14"/>
  <c r="Q1284" i="14"/>
  <c r="Q1285" i="14"/>
  <c r="Q1286" i="14"/>
  <c r="Q1287" i="14"/>
  <c r="Q1288" i="14"/>
  <c r="Q1289" i="14"/>
  <c r="Q1290" i="14"/>
  <c r="Q1291" i="14"/>
  <c r="Q1292" i="14"/>
  <c r="Q1293" i="14"/>
  <c r="Q1294" i="14"/>
  <c r="Q1295" i="14"/>
  <c r="Q1296" i="14"/>
  <c r="Q1297" i="14"/>
  <c r="Q1298" i="14"/>
  <c r="Q1299" i="14"/>
  <c r="Q1300" i="14"/>
  <c r="Q1301" i="14"/>
  <c r="Q1302" i="14"/>
  <c r="Q1303" i="14"/>
  <c r="Q1304" i="14"/>
  <c r="Q1305" i="14"/>
  <c r="Q1306" i="14"/>
  <c r="Q1307" i="14"/>
  <c r="Q1308" i="14"/>
  <c r="Q1309" i="14"/>
  <c r="Q1310" i="14"/>
  <c r="Q1311" i="14"/>
  <c r="Q1312" i="14"/>
  <c r="Q1313" i="14"/>
  <c r="Q1314" i="14"/>
  <c r="Q1315" i="14"/>
  <c r="Q1316" i="14"/>
  <c r="Q1317" i="14"/>
  <c r="Q1318" i="14"/>
  <c r="Q1319" i="14"/>
  <c r="Q1320" i="14"/>
  <c r="Q1321" i="14"/>
  <c r="Q1322" i="14"/>
  <c r="Q1323" i="14"/>
  <c r="Q1324" i="14"/>
  <c r="Q1325" i="14"/>
  <c r="Q1326" i="14"/>
  <c r="Q1327" i="14"/>
  <c r="Q1328" i="14"/>
  <c r="Q1329" i="14"/>
  <c r="Q1330" i="14"/>
  <c r="Q1331" i="14"/>
  <c r="Q1332" i="14"/>
  <c r="Q1333" i="14"/>
  <c r="Q1334" i="14"/>
  <c r="Q1335" i="14"/>
  <c r="Q1336" i="14"/>
  <c r="Q1337" i="14"/>
  <c r="Q1338" i="14"/>
  <c r="Q1339" i="14"/>
  <c r="Q1340" i="14"/>
  <c r="Q1341" i="14"/>
  <c r="Q1342" i="14"/>
  <c r="Q1343" i="14"/>
  <c r="Q1344" i="14"/>
  <c r="Q1345" i="14"/>
  <c r="Q1346" i="14"/>
  <c r="Q1347" i="14"/>
  <c r="Q1348" i="14"/>
  <c r="Q1349" i="14"/>
  <c r="Q1350" i="14"/>
  <c r="Q1351" i="14"/>
  <c r="Q1352" i="14"/>
  <c r="Q1353" i="14"/>
  <c r="Q1354" i="14"/>
  <c r="Q1355" i="14"/>
  <c r="Q1356" i="14"/>
  <c r="Q1357" i="14"/>
  <c r="Q1358" i="14"/>
  <c r="Q1359" i="14"/>
  <c r="Q1360" i="14"/>
  <c r="Q1361" i="14"/>
  <c r="Q1362" i="14"/>
  <c r="Q1363" i="14"/>
  <c r="Q1364" i="14"/>
  <c r="Q1365" i="14"/>
  <c r="Q1366" i="14"/>
  <c r="Q1367" i="14"/>
  <c r="Q1368" i="14"/>
  <c r="Q1369" i="14"/>
  <c r="Q1370" i="14"/>
  <c r="Q1371" i="14"/>
  <c r="Q1372" i="14"/>
  <c r="Q1373" i="14"/>
  <c r="Q1374" i="14"/>
  <c r="Q1375" i="14"/>
  <c r="Q1376" i="14"/>
  <c r="Q1377" i="14"/>
  <c r="Q1378" i="14"/>
  <c r="Q1379" i="14"/>
  <c r="Q1380" i="14"/>
  <c r="Q1381" i="14"/>
  <c r="Q1382" i="14"/>
  <c r="Q1383" i="14"/>
  <c r="Q1384" i="14"/>
  <c r="Q1385" i="14"/>
  <c r="Q1386" i="14"/>
  <c r="Q1387" i="14"/>
  <c r="Q1388" i="14"/>
  <c r="Q1389" i="14"/>
  <c r="Q1390" i="14"/>
  <c r="Q1391" i="14"/>
  <c r="Q1392" i="14"/>
  <c r="Q1393" i="14"/>
  <c r="Q1394" i="14"/>
  <c r="Q1395" i="14"/>
  <c r="Q1396" i="14"/>
  <c r="Q1397" i="14"/>
  <c r="Q1398" i="14"/>
  <c r="Q1399" i="14"/>
  <c r="Q1400" i="14"/>
  <c r="Q1401" i="14"/>
  <c r="Q1402" i="14"/>
  <c r="Q1403" i="14"/>
  <c r="Q1404" i="14"/>
  <c r="Q1405" i="14"/>
  <c r="Q1406" i="14"/>
  <c r="Q1407" i="14"/>
  <c r="Q1408" i="14"/>
  <c r="Q1409" i="14"/>
  <c r="Q1410" i="14"/>
  <c r="Q1411" i="14"/>
  <c r="Q1412" i="14"/>
  <c r="Q1413" i="14"/>
  <c r="Q1414" i="14"/>
  <c r="Q1415" i="14"/>
  <c r="Q1416" i="14"/>
  <c r="Q1417" i="14"/>
  <c r="Q1418" i="14"/>
  <c r="Q1419" i="14"/>
  <c r="Q1420" i="14"/>
  <c r="Q1421" i="14"/>
  <c r="Q1422" i="14"/>
  <c r="Q1423" i="14"/>
  <c r="Q1424" i="14"/>
  <c r="Q1425" i="14"/>
  <c r="Q1426" i="14"/>
  <c r="Q1427" i="14"/>
  <c r="Q1428" i="14"/>
  <c r="Q1429" i="14"/>
  <c r="Q1430" i="14"/>
  <c r="Q1431" i="14"/>
  <c r="Q1432" i="14"/>
  <c r="Q1433" i="14"/>
  <c r="Q1434" i="14"/>
  <c r="Q1435" i="14"/>
  <c r="Q1436" i="14"/>
  <c r="Q1437" i="14"/>
  <c r="Q1438" i="14"/>
  <c r="Q1439" i="14"/>
  <c r="Q1440" i="14"/>
  <c r="Q1441" i="14"/>
  <c r="Q1442" i="14"/>
  <c r="Q1443" i="14"/>
  <c r="Q1444" i="14"/>
  <c r="Q1445" i="14"/>
  <c r="Q1446" i="14"/>
  <c r="Q1447" i="14"/>
  <c r="Q1448" i="14"/>
  <c r="Q1449" i="14"/>
  <c r="Q1450" i="14"/>
  <c r="Q1451" i="14"/>
  <c r="Q1452" i="14"/>
  <c r="Q1453" i="14"/>
  <c r="Q1454" i="14"/>
  <c r="Q1455" i="14"/>
  <c r="Q1456" i="14"/>
  <c r="Q1457" i="14"/>
  <c r="Q1458" i="14"/>
  <c r="Q1459" i="14"/>
  <c r="Q1460" i="14"/>
  <c r="Q1461" i="14"/>
  <c r="Q1462" i="14"/>
  <c r="Q1463" i="14"/>
  <c r="Q1464" i="14"/>
  <c r="Q1465" i="14"/>
  <c r="Q1466" i="14"/>
  <c r="Q1467" i="14"/>
  <c r="Q1468" i="14"/>
  <c r="Q1469" i="14"/>
  <c r="Q1470" i="14"/>
  <c r="Q1471" i="14"/>
  <c r="Q1472" i="14"/>
  <c r="Q1473" i="14"/>
  <c r="Q1474" i="14"/>
  <c r="Q1475" i="14"/>
  <c r="Q1476" i="14"/>
  <c r="Q1477" i="14"/>
  <c r="Q1478" i="14"/>
  <c r="Q1479" i="14"/>
  <c r="Q1480" i="14"/>
  <c r="Q1481" i="14"/>
  <c r="Q1482" i="14"/>
  <c r="Q1483" i="14"/>
  <c r="Q1484" i="14"/>
  <c r="Q1485" i="14"/>
  <c r="Q1486" i="14"/>
  <c r="Q1487" i="14"/>
  <c r="Q1488" i="14"/>
  <c r="Q1489" i="14"/>
  <c r="Q1490" i="14"/>
  <c r="Q1491" i="14"/>
  <c r="Q1492" i="14"/>
  <c r="Q1493" i="14"/>
  <c r="Q1494" i="14"/>
  <c r="Q1495" i="14"/>
  <c r="Q1496" i="14"/>
  <c r="Q1497" i="14"/>
  <c r="Q1498" i="14"/>
  <c r="Q1499" i="14"/>
  <c r="Q1500" i="14"/>
  <c r="Q1501" i="14"/>
  <c r="Q1502" i="14"/>
  <c r="Q1503" i="14"/>
  <c r="Q1504" i="14"/>
  <c r="Q1505" i="14"/>
  <c r="Q1506" i="14"/>
  <c r="Q1507" i="14"/>
  <c r="Q1508" i="14"/>
  <c r="Q1509" i="14"/>
  <c r="Q1510" i="14"/>
  <c r="Q1511" i="14"/>
  <c r="Q1512" i="14"/>
  <c r="Q1513" i="14"/>
  <c r="Q1514" i="14"/>
  <c r="Q1515" i="14"/>
  <c r="Q1516" i="14"/>
  <c r="Q1517" i="14"/>
  <c r="Q1518" i="14"/>
  <c r="Q1519" i="14"/>
  <c r="Q1520" i="14"/>
  <c r="Q1521" i="14"/>
  <c r="Q1522" i="14"/>
  <c r="Q1523" i="14"/>
  <c r="Q1524" i="14"/>
  <c r="Q1525" i="14"/>
  <c r="Q1526" i="14"/>
  <c r="Q1527" i="14"/>
  <c r="Q1528" i="14"/>
  <c r="Q1529" i="14"/>
  <c r="Q1530" i="14"/>
  <c r="Q1531" i="14"/>
  <c r="Q1532" i="14"/>
  <c r="Q1533" i="14"/>
  <c r="Q1534" i="14"/>
  <c r="Q1535" i="14"/>
  <c r="Q1536" i="14"/>
  <c r="Q1537" i="14"/>
  <c r="Q1538" i="14"/>
  <c r="Q1539" i="14"/>
  <c r="Q1540" i="14"/>
  <c r="Q1541" i="14"/>
  <c r="Q1542" i="14"/>
  <c r="Q1543" i="14"/>
  <c r="Q1544" i="14"/>
  <c r="Q1545" i="14"/>
  <c r="Q1546" i="14"/>
  <c r="Q1547" i="14"/>
  <c r="Q1548" i="14"/>
  <c r="Q1549" i="14"/>
  <c r="Q1550" i="14"/>
  <c r="Q1551" i="14"/>
  <c r="Q1552" i="14"/>
  <c r="Q1553" i="14"/>
  <c r="Q1554" i="14"/>
  <c r="Q1555" i="14"/>
  <c r="Q1556" i="14"/>
  <c r="Q1557" i="14"/>
  <c r="Q1558" i="14"/>
  <c r="Q1559" i="14"/>
  <c r="Q1560" i="14"/>
  <c r="Q1561" i="14"/>
  <c r="Q1562" i="14"/>
  <c r="Q1563" i="14"/>
  <c r="Q1564" i="14"/>
  <c r="Q1565" i="14"/>
  <c r="Q1566" i="14"/>
  <c r="Q1567" i="14"/>
  <c r="Q1568" i="14"/>
  <c r="Q1569" i="14"/>
  <c r="Q1570" i="14"/>
  <c r="Q1571" i="14"/>
  <c r="Q1572" i="14"/>
  <c r="Q1573" i="14"/>
  <c r="Q1574" i="14"/>
  <c r="Q1575" i="14"/>
  <c r="Q1576" i="14"/>
  <c r="Q1577" i="14"/>
  <c r="Q1578" i="14"/>
  <c r="Q1579" i="14"/>
  <c r="Q1580" i="14"/>
  <c r="Q1581" i="14"/>
  <c r="Q1582" i="14"/>
  <c r="Q1583" i="14"/>
  <c r="Q1584" i="14"/>
  <c r="Q1585" i="14"/>
  <c r="Q1586" i="14"/>
  <c r="Q1587" i="14"/>
  <c r="Q1588" i="14"/>
  <c r="Q1589" i="14"/>
  <c r="Q1590" i="14"/>
  <c r="Q1591" i="14"/>
  <c r="Q1592" i="14"/>
  <c r="Q1593" i="14"/>
  <c r="Q1594" i="14"/>
  <c r="Q1595" i="14"/>
  <c r="Q1596" i="14"/>
  <c r="Q1597" i="14"/>
  <c r="Q1598" i="14"/>
  <c r="Q1599" i="14"/>
  <c r="Q1600" i="14"/>
  <c r="Q1601" i="14"/>
  <c r="Q1602" i="14"/>
  <c r="Q1603" i="14"/>
  <c r="Q1604" i="14"/>
  <c r="Q1605" i="14"/>
  <c r="Q1606" i="14"/>
  <c r="Q1607" i="14"/>
  <c r="Q1608" i="14"/>
  <c r="Q1609" i="14"/>
  <c r="Q1610" i="14"/>
  <c r="Q1611" i="14"/>
  <c r="Q1612" i="14"/>
  <c r="Q1613" i="14"/>
  <c r="Q1614" i="14"/>
  <c r="Q1615" i="14"/>
  <c r="Q1616" i="14"/>
  <c r="Q1617" i="14"/>
  <c r="Q1618" i="14"/>
  <c r="Q1619" i="14"/>
  <c r="Q1620" i="14"/>
  <c r="Q1621" i="14"/>
  <c r="Q1622" i="14"/>
  <c r="Q1623" i="14"/>
  <c r="Q1624" i="14"/>
  <c r="Q1625" i="14"/>
  <c r="Q1626" i="14"/>
  <c r="Q1627" i="14"/>
  <c r="Q1628" i="14"/>
  <c r="Q1629" i="14"/>
  <c r="Q1630" i="14"/>
  <c r="Q1631" i="14"/>
  <c r="Q1632" i="14"/>
  <c r="Q1633" i="14"/>
  <c r="Q1634" i="14"/>
  <c r="Q1635" i="14"/>
  <c r="Q1636" i="14"/>
  <c r="Q1637" i="14"/>
  <c r="Q1638" i="14"/>
  <c r="Q1639" i="14"/>
  <c r="Q1640" i="14"/>
  <c r="Q1641" i="14"/>
  <c r="Q1642" i="14"/>
  <c r="Q1643" i="14"/>
  <c r="Q1644" i="14"/>
  <c r="Q1645" i="14"/>
  <c r="Q1646" i="14"/>
  <c r="Q1647" i="14"/>
  <c r="Q1648" i="14"/>
  <c r="Q1649" i="14"/>
  <c r="Q1650" i="14"/>
  <c r="Q1651" i="14"/>
  <c r="Q1652" i="14"/>
  <c r="Q1653" i="14"/>
  <c r="Q1654" i="14"/>
  <c r="Q1655" i="14"/>
  <c r="Q1656" i="14"/>
  <c r="Q1657" i="14"/>
  <c r="Q1658" i="14"/>
  <c r="Q1659" i="14"/>
  <c r="Q1660" i="14"/>
  <c r="Q1661" i="14"/>
  <c r="Q1662" i="14"/>
  <c r="Q1663" i="14"/>
  <c r="Q1664" i="14"/>
  <c r="Q1665" i="14"/>
  <c r="Q1666" i="14"/>
  <c r="Q1667" i="14"/>
  <c r="Q1668" i="14"/>
  <c r="Q1669" i="14"/>
  <c r="Q1670" i="14"/>
  <c r="Q1671" i="14"/>
  <c r="Q1672" i="14"/>
  <c r="Q1673" i="14"/>
  <c r="Q1674" i="14"/>
  <c r="Q1675" i="14"/>
  <c r="Q1676" i="14"/>
  <c r="Q1677" i="14"/>
  <c r="Q1678" i="14"/>
  <c r="Q1679" i="14"/>
  <c r="Q1680" i="14"/>
  <c r="Q1681" i="14"/>
  <c r="Q1682" i="14"/>
  <c r="Q1683" i="14"/>
  <c r="Q1684" i="14"/>
  <c r="Q1685" i="14"/>
  <c r="Q1686" i="14"/>
  <c r="Q1687" i="14"/>
  <c r="Q1688" i="14"/>
  <c r="Q1689" i="14"/>
  <c r="Q1690" i="14"/>
  <c r="Q1691" i="14"/>
  <c r="Q1692" i="14"/>
  <c r="Q1693" i="14"/>
  <c r="Q1694" i="14"/>
  <c r="Q1695" i="14"/>
  <c r="Q1696" i="14"/>
  <c r="Q1697" i="14"/>
  <c r="Q1698" i="14"/>
  <c r="Q1699" i="14"/>
  <c r="Q1700" i="14"/>
  <c r="Q1701" i="14"/>
  <c r="Q1702" i="14"/>
  <c r="Q1703" i="14"/>
  <c r="Q1704" i="14"/>
  <c r="Q1705" i="14"/>
  <c r="Q1706" i="14"/>
  <c r="Q1707" i="14"/>
  <c r="Q1708" i="14"/>
  <c r="Q1709" i="14"/>
  <c r="Q1710" i="14"/>
  <c r="Q1711" i="14"/>
  <c r="Q1712" i="14"/>
  <c r="Q1713" i="14"/>
  <c r="Q1714" i="14"/>
  <c r="Q1715" i="14"/>
  <c r="Q1716" i="14"/>
  <c r="Q1717" i="14"/>
  <c r="Q1718" i="14"/>
  <c r="Q1719" i="14"/>
  <c r="Q1720" i="14"/>
  <c r="Q1721" i="14"/>
  <c r="Q1722" i="14"/>
  <c r="Q1723" i="14"/>
  <c r="Q1724" i="14"/>
  <c r="Q1725" i="14"/>
  <c r="Q1726" i="14"/>
  <c r="Q1727" i="14"/>
  <c r="Q1728" i="14"/>
  <c r="Q1729" i="14"/>
  <c r="Q1730" i="14"/>
  <c r="Q1731" i="14"/>
  <c r="Q1732" i="14"/>
  <c r="Q1733" i="14"/>
  <c r="Q1734" i="14"/>
  <c r="Q1735" i="14"/>
  <c r="Q1736" i="14"/>
  <c r="Q1737" i="14"/>
  <c r="Q1738" i="14"/>
  <c r="Q1739" i="14"/>
  <c r="Q1740" i="14"/>
  <c r="Q1741" i="14"/>
  <c r="Q1742" i="14"/>
  <c r="Q1743" i="14"/>
  <c r="Q1744" i="14"/>
  <c r="Q1745" i="14"/>
  <c r="Q1746" i="14"/>
  <c r="Q1747" i="14"/>
  <c r="Q1748" i="14"/>
  <c r="Q1749" i="14"/>
  <c r="Q1750" i="14"/>
  <c r="Q1751" i="14"/>
  <c r="Q1752" i="14"/>
  <c r="Q1753" i="14"/>
  <c r="Q1754" i="14"/>
  <c r="Q1755" i="14"/>
  <c r="Q1756" i="14"/>
  <c r="Q1757" i="14"/>
  <c r="Q1758" i="14"/>
  <c r="Q1759" i="14"/>
  <c r="Q1760" i="14"/>
  <c r="Q1761" i="14"/>
  <c r="Q1762" i="14"/>
  <c r="Q1763" i="14"/>
  <c r="Q1764" i="14"/>
  <c r="Q1765" i="14"/>
  <c r="Q1766" i="14"/>
  <c r="Q1767" i="14"/>
  <c r="Q1768" i="14"/>
  <c r="Q1769" i="14"/>
  <c r="Q1770" i="14"/>
  <c r="Q1771" i="14"/>
  <c r="Q1772" i="14"/>
  <c r="Q1773" i="14"/>
  <c r="Q1774" i="14"/>
  <c r="Q1775" i="14"/>
  <c r="Q1776" i="14"/>
  <c r="Q1777" i="14"/>
  <c r="Q1778" i="14"/>
  <c r="Q1779" i="14"/>
  <c r="Q1780" i="14"/>
  <c r="Q1781" i="14"/>
  <c r="Q1782" i="14"/>
  <c r="Q1783" i="14"/>
  <c r="Q1784" i="14"/>
  <c r="Q1785" i="14"/>
  <c r="Q1786" i="14"/>
  <c r="Q1787" i="14"/>
  <c r="Q1788" i="14"/>
  <c r="Q1789" i="14"/>
  <c r="Q1790" i="14"/>
  <c r="Q1791" i="14"/>
  <c r="Q1792" i="14"/>
  <c r="Q1793" i="14"/>
  <c r="Q1794" i="14"/>
  <c r="Q1795" i="14"/>
  <c r="Q1796" i="14"/>
  <c r="Q1797" i="14"/>
  <c r="Q1798" i="14"/>
  <c r="Q1799" i="14"/>
  <c r="Q1800" i="14"/>
  <c r="Q1801" i="14"/>
  <c r="Q1802" i="14"/>
  <c r="Q1803" i="14"/>
  <c r="Q1804" i="14"/>
  <c r="Q1805" i="14"/>
  <c r="Q1806" i="14"/>
  <c r="Q1807" i="14"/>
  <c r="Q1808" i="14"/>
  <c r="Q1809" i="14"/>
  <c r="Q1810" i="14"/>
  <c r="Q1811" i="14"/>
  <c r="Q1812" i="14"/>
  <c r="Q1813" i="14"/>
  <c r="Q1814" i="14"/>
  <c r="Q1815" i="14"/>
  <c r="Q1816" i="14"/>
  <c r="Q1817" i="14"/>
  <c r="Q1818" i="14"/>
  <c r="Q1819" i="14"/>
  <c r="Q1820" i="14"/>
  <c r="Q1821" i="14"/>
  <c r="Q1822" i="14"/>
  <c r="Q1823" i="14"/>
  <c r="Q1824" i="14"/>
  <c r="Q1825" i="14"/>
  <c r="Q1826" i="14"/>
  <c r="Q1827" i="14"/>
  <c r="Q1828" i="14"/>
  <c r="Q1829" i="14"/>
  <c r="Q1830" i="14"/>
  <c r="Q1831" i="14"/>
  <c r="Q1832" i="14"/>
  <c r="Q1833" i="14"/>
  <c r="Q1834" i="14"/>
  <c r="Q1835" i="14"/>
  <c r="Q1836" i="14"/>
  <c r="Q1837" i="14"/>
  <c r="Q1838" i="14"/>
  <c r="Q1839" i="14"/>
  <c r="Q1840" i="14"/>
  <c r="Q1841" i="14"/>
  <c r="Q1842" i="14"/>
  <c r="Q1843" i="14"/>
  <c r="Q1844" i="14"/>
  <c r="Q1845" i="14"/>
  <c r="Q1846" i="14"/>
  <c r="Q1847" i="14"/>
  <c r="Q1848" i="14"/>
  <c r="Q1849" i="14"/>
  <c r="Q1850" i="14"/>
  <c r="Q1851" i="14"/>
  <c r="Q1852" i="14"/>
  <c r="Q1853" i="14"/>
  <c r="Q1854" i="14"/>
  <c r="Q1855" i="14"/>
  <c r="Q1856" i="14"/>
  <c r="Q1857" i="14"/>
  <c r="Q1858" i="14"/>
  <c r="Q1859" i="14"/>
  <c r="Q1860" i="14"/>
  <c r="Q1861" i="14"/>
  <c r="Q1862" i="14"/>
  <c r="Q1863" i="14"/>
  <c r="Q1864" i="14"/>
  <c r="Q1865" i="14"/>
  <c r="Q1866" i="14"/>
  <c r="Q1867" i="14"/>
  <c r="Q1868" i="14"/>
  <c r="Q1869" i="14"/>
  <c r="Q1870" i="14"/>
  <c r="Q1871" i="14"/>
  <c r="Q1872" i="14"/>
  <c r="Q1873" i="14"/>
  <c r="Q1874" i="14"/>
  <c r="Q1875" i="14"/>
  <c r="Q1876" i="14"/>
  <c r="Q1877" i="14"/>
  <c r="Q1878" i="14"/>
  <c r="Q1879" i="14"/>
  <c r="Q1880" i="14"/>
  <c r="Q1881" i="14"/>
  <c r="Q1882" i="14"/>
  <c r="Q1883" i="14"/>
  <c r="Q1884" i="14"/>
  <c r="Q1885" i="14"/>
  <c r="Q1886" i="14"/>
  <c r="Q1887" i="14"/>
  <c r="Q1888" i="14"/>
  <c r="Q1889" i="14"/>
  <c r="Q1890" i="14"/>
  <c r="Q1891" i="14"/>
  <c r="Q1892" i="14"/>
  <c r="Q1893" i="14"/>
  <c r="Q1894" i="14"/>
  <c r="Q1895" i="14"/>
  <c r="Q1896" i="14"/>
  <c r="Q1897" i="14"/>
  <c r="Q1898" i="14"/>
  <c r="Q1899" i="14"/>
  <c r="Q1900" i="14"/>
  <c r="Q1901" i="14"/>
  <c r="Q1902" i="14"/>
  <c r="Q1903" i="14"/>
  <c r="Q1904" i="14"/>
  <c r="Q1905" i="14"/>
  <c r="Q1906" i="14"/>
  <c r="Q1907" i="14"/>
  <c r="Q1908" i="14"/>
  <c r="Q1909" i="14"/>
  <c r="Q1910" i="14"/>
  <c r="Q1911" i="14"/>
  <c r="Q1912" i="14"/>
  <c r="Q1913" i="14"/>
  <c r="Q1914" i="14"/>
  <c r="Q1915" i="14"/>
  <c r="Q1916" i="14"/>
  <c r="Q1917" i="14"/>
  <c r="Q1918" i="14"/>
  <c r="Q1919" i="14"/>
  <c r="Q1920" i="14"/>
  <c r="Q1921" i="14"/>
  <c r="Q1922" i="14"/>
  <c r="Q1923" i="14"/>
  <c r="Q1924" i="14"/>
  <c r="Q1925" i="14"/>
  <c r="Q1926" i="14"/>
  <c r="Q1927" i="14"/>
  <c r="Q1928" i="14"/>
  <c r="Q1929" i="14"/>
  <c r="Q1930" i="14"/>
  <c r="Q1931" i="14"/>
  <c r="Q1932" i="14"/>
  <c r="Q1933" i="14"/>
  <c r="Q1934" i="14"/>
  <c r="Q1935" i="14"/>
  <c r="Q1936" i="14"/>
  <c r="Q1937" i="14"/>
  <c r="Q1938" i="14"/>
  <c r="Q1939" i="14"/>
  <c r="Q1940" i="14"/>
  <c r="Q1941" i="14"/>
  <c r="Q1942" i="14"/>
  <c r="Q1943" i="14"/>
  <c r="Q1944" i="14"/>
  <c r="Q1945" i="14"/>
  <c r="Q1946" i="14"/>
  <c r="Q1947" i="14"/>
  <c r="Q1948" i="14"/>
  <c r="Q1949" i="14"/>
  <c r="Q1950" i="14"/>
  <c r="Q1951" i="14"/>
  <c r="Q1952" i="14"/>
  <c r="Q1953" i="14"/>
  <c r="Q1954" i="14"/>
  <c r="Q1955" i="14"/>
  <c r="Q1956" i="14"/>
  <c r="Q1957" i="14"/>
  <c r="Q1958" i="14"/>
  <c r="Q1959" i="14"/>
  <c r="Q1960" i="14"/>
  <c r="Q1961" i="14"/>
  <c r="Q1962" i="14"/>
  <c r="Q1963" i="14"/>
  <c r="Q1964" i="14"/>
  <c r="Q1965" i="14"/>
  <c r="Q1966" i="14"/>
  <c r="Q1967" i="14"/>
  <c r="Q1968" i="14"/>
  <c r="Q1969" i="14"/>
  <c r="Q1970" i="14"/>
  <c r="Q1971" i="14"/>
  <c r="Q1972" i="14"/>
  <c r="Q1973" i="14"/>
  <c r="Q1974" i="14"/>
  <c r="Q1975" i="14"/>
  <c r="Q1976" i="14"/>
  <c r="Q1977" i="14"/>
  <c r="Q1978" i="14"/>
  <c r="Q1979" i="14"/>
  <c r="Q1980" i="14"/>
  <c r="Q1981" i="14"/>
  <c r="Q1982" i="14"/>
  <c r="Q1983" i="14"/>
  <c r="Q1984" i="14"/>
  <c r="Q1985" i="14"/>
  <c r="Q1986" i="14"/>
  <c r="Q1987" i="14"/>
  <c r="Q1988" i="14"/>
  <c r="Q1989" i="14"/>
  <c r="Q1990" i="14"/>
  <c r="Q1991" i="14"/>
  <c r="Q1992" i="14"/>
  <c r="Q1993" i="14"/>
  <c r="Q1994" i="14"/>
  <c r="Q1995" i="14"/>
  <c r="Q1996" i="14"/>
  <c r="Q1997" i="14"/>
  <c r="Q1998" i="14"/>
  <c r="Q1999" i="14"/>
  <c r="Q2000" i="14"/>
  <c r="Q2001" i="14"/>
  <c r="Q2002" i="14"/>
  <c r="Q2003" i="14"/>
  <c r="Q2004" i="14"/>
  <c r="Q2005" i="14"/>
  <c r="Q2006" i="14"/>
  <c r="Q2007" i="14"/>
  <c r="Q2008" i="14"/>
  <c r="Q2009" i="14"/>
  <c r="Q2010" i="14"/>
  <c r="Q2011" i="14"/>
  <c r="Q2012" i="14"/>
  <c r="Q2013" i="14"/>
  <c r="Q2014" i="14"/>
  <c r="Q2015" i="14"/>
  <c r="Q2016" i="14"/>
  <c r="Q2017" i="14"/>
  <c r="Q2018" i="14"/>
  <c r="Q2019" i="14"/>
  <c r="Q2020" i="14"/>
  <c r="Q2021" i="14"/>
  <c r="Q2022" i="14"/>
  <c r="Q2023" i="14"/>
  <c r="Q2024" i="14"/>
  <c r="Q2025" i="14"/>
  <c r="Q2026" i="14"/>
  <c r="Q2027" i="14"/>
  <c r="Q2028" i="14"/>
  <c r="Q2029" i="14"/>
  <c r="Q2030" i="14"/>
  <c r="Q2031" i="14"/>
  <c r="Q2032" i="14"/>
  <c r="Q2033" i="14"/>
  <c r="Q2034" i="14"/>
  <c r="Q2035" i="14"/>
  <c r="Q2036" i="14"/>
  <c r="Q2037" i="14"/>
  <c r="Q2038" i="14"/>
  <c r="Q2039" i="14"/>
  <c r="Q2040" i="14"/>
  <c r="Q2041" i="14"/>
  <c r="Q2042" i="14"/>
  <c r="Q2043" i="14"/>
  <c r="Q2044" i="14"/>
  <c r="Q2045" i="14"/>
  <c r="Q2046" i="14"/>
  <c r="Q2047" i="14"/>
  <c r="Q2048" i="14"/>
  <c r="Q2049" i="14"/>
  <c r="Q2050" i="14"/>
  <c r="Q2051" i="14"/>
  <c r="Q2052" i="14"/>
  <c r="Q2053" i="14"/>
  <c r="Q2054" i="14"/>
  <c r="Q2055" i="14"/>
  <c r="Q2056" i="14"/>
  <c r="Q2057" i="14"/>
  <c r="Q2058" i="14"/>
  <c r="Q2059" i="14"/>
  <c r="Q2060" i="14"/>
  <c r="Q2061" i="14"/>
  <c r="Q2062" i="14"/>
  <c r="Q2063" i="14"/>
  <c r="Q2064" i="14"/>
  <c r="Q2065" i="14"/>
  <c r="Q2066" i="14"/>
  <c r="Q2067" i="14"/>
  <c r="Q2068" i="14"/>
  <c r="Q2069" i="14"/>
  <c r="Q2070" i="14"/>
  <c r="Q2071" i="14"/>
  <c r="Q2072" i="14"/>
  <c r="Q2073" i="14"/>
  <c r="Q2074" i="14"/>
  <c r="Q2075" i="14"/>
  <c r="Q2076" i="14"/>
  <c r="Q2077" i="14"/>
  <c r="Q2078" i="14"/>
  <c r="Q2079" i="14"/>
  <c r="Q2080" i="14"/>
  <c r="Q2081" i="14"/>
  <c r="Q2082" i="14"/>
  <c r="Q2083" i="14"/>
  <c r="Q2084" i="14"/>
  <c r="Q2085" i="14"/>
  <c r="Q2086" i="14"/>
  <c r="Q2087" i="14"/>
  <c r="Q2088" i="14"/>
  <c r="Q2089" i="14"/>
  <c r="Q2090" i="14"/>
  <c r="Q2091" i="14"/>
  <c r="Q2092" i="14"/>
  <c r="Q2093" i="14"/>
  <c r="Q2094" i="14"/>
  <c r="Q2095" i="14"/>
  <c r="Q2096" i="14"/>
  <c r="Q2097" i="14"/>
  <c r="Q2098" i="14"/>
  <c r="Q2099" i="14"/>
  <c r="Q2100" i="14"/>
  <c r="Q2101" i="14"/>
  <c r="Q2102" i="14"/>
  <c r="Q2103" i="14"/>
  <c r="Q2104" i="14"/>
  <c r="Q2105" i="14"/>
  <c r="Q2106" i="14"/>
  <c r="Q2107" i="14"/>
  <c r="Q2108" i="14"/>
  <c r="Q2109" i="14"/>
  <c r="Q2110" i="14"/>
  <c r="Q2111" i="14"/>
  <c r="Q2112" i="14"/>
  <c r="Q2113" i="14"/>
  <c r="Q2114" i="14"/>
  <c r="Q2115" i="14"/>
  <c r="Q2116" i="14"/>
  <c r="Q2117" i="14"/>
  <c r="Q2118" i="14"/>
  <c r="Q2119" i="14"/>
  <c r="Q2120" i="14"/>
  <c r="Q2121" i="14"/>
  <c r="Q2122" i="14"/>
  <c r="Q2123" i="14"/>
  <c r="Q2124" i="14"/>
  <c r="Q2125" i="14"/>
  <c r="Q2126" i="14"/>
  <c r="Q2127" i="14"/>
  <c r="Q2128" i="14"/>
  <c r="Q2129" i="14"/>
  <c r="Q2130" i="14"/>
  <c r="Q2131" i="14"/>
  <c r="Q2132" i="14"/>
  <c r="Q2133" i="14"/>
  <c r="Q2134" i="14"/>
  <c r="Q2135" i="14"/>
  <c r="Q2136" i="14"/>
  <c r="Q2137" i="14"/>
  <c r="Q2138" i="14"/>
  <c r="Q2139" i="14"/>
  <c r="Q2140" i="14"/>
  <c r="Q2141" i="14"/>
  <c r="Q2142" i="14"/>
  <c r="Q2143" i="14"/>
  <c r="Q2144" i="14"/>
  <c r="Q2145" i="14"/>
  <c r="Q2146" i="14"/>
  <c r="Q2147" i="14"/>
  <c r="Q2148" i="14"/>
  <c r="Q2149" i="14"/>
  <c r="Q2150" i="14"/>
  <c r="Q2151" i="14"/>
  <c r="Q2152" i="14"/>
  <c r="Q2153" i="14"/>
  <c r="Q2154" i="14"/>
  <c r="Q2155" i="14"/>
  <c r="Q2156" i="14"/>
  <c r="Q2157" i="14"/>
  <c r="Q2158" i="14"/>
  <c r="Q2159" i="14"/>
  <c r="Q2160" i="14"/>
  <c r="Q2161" i="14"/>
  <c r="Q2162" i="14"/>
  <c r="Q2163" i="14"/>
  <c r="Q2164" i="14"/>
  <c r="Q2165" i="14"/>
  <c r="Q2166" i="14"/>
  <c r="Q2167" i="14"/>
  <c r="Q2168" i="14"/>
  <c r="Q2169" i="14"/>
  <c r="Q2170" i="14"/>
  <c r="Q2171" i="14"/>
  <c r="Q2172" i="14"/>
  <c r="Q2173" i="14"/>
  <c r="Q2174" i="14"/>
  <c r="Q2175" i="14"/>
  <c r="Q2176" i="14"/>
  <c r="Q2177" i="14"/>
  <c r="Q2178" i="14"/>
  <c r="Q2179" i="14"/>
  <c r="Q2180" i="14"/>
  <c r="Q2181" i="14"/>
  <c r="Q2182" i="14"/>
  <c r="Q2183" i="14"/>
  <c r="Q2184" i="14"/>
  <c r="Q2185" i="14"/>
  <c r="Q2186" i="14"/>
  <c r="Q2187" i="14"/>
  <c r="Q2188" i="14"/>
  <c r="Q2189" i="14"/>
  <c r="Q2190" i="14"/>
  <c r="Q2191" i="14"/>
  <c r="Q2192" i="14"/>
  <c r="Q2193" i="14"/>
  <c r="Q2194" i="14"/>
  <c r="Q2195" i="14"/>
  <c r="Q2196" i="14"/>
  <c r="Q2197" i="14"/>
  <c r="Q2198" i="14"/>
  <c r="Q2199" i="14"/>
  <c r="Q2200" i="14"/>
  <c r="Q2201" i="14"/>
  <c r="Q2202" i="14"/>
  <c r="Q2203" i="14"/>
  <c r="Q2204" i="14"/>
  <c r="Q2205" i="14"/>
  <c r="Q2206" i="14"/>
  <c r="Q2207" i="14"/>
  <c r="Q2208" i="14"/>
  <c r="Q2209" i="14"/>
  <c r="Q2210" i="14"/>
  <c r="Q2211" i="14"/>
  <c r="Q2212" i="14"/>
  <c r="Q2213" i="14"/>
  <c r="Q2214" i="14"/>
  <c r="Q2215" i="14"/>
  <c r="Q2216" i="14"/>
  <c r="Q2217" i="14"/>
  <c r="Q2218" i="14"/>
  <c r="Q2219" i="14"/>
  <c r="Q2220" i="14"/>
  <c r="Q2221" i="14"/>
  <c r="Q2222" i="14"/>
  <c r="Q2223" i="14"/>
  <c r="Q2224" i="14"/>
  <c r="Q2225" i="14"/>
  <c r="Q2226" i="14"/>
  <c r="Q2227" i="14"/>
  <c r="Q2228" i="14"/>
  <c r="Q2229" i="14"/>
  <c r="Q2230" i="14"/>
  <c r="Q2231" i="14"/>
  <c r="Q2232" i="14"/>
  <c r="Q2233" i="14"/>
  <c r="Q2234" i="14"/>
  <c r="Q2235" i="14"/>
  <c r="Q2236" i="14"/>
  <c r="Q2237" i="14"/>
  <c r="Q2238" i="14"/>
  <c r="Q2239" i="14"/>
  <c r="Q2240" i="14"/>
  <c r="Q2241" i="14"/>
  <c r="Q2242" i="14"/>
  <c r="Q2243" i="14"/>
  <c r="Q2244" i="14"/>
  <c r="Q2245" i="14"/>
  <c r="Q2246" i="14"/>
  <c r="Q2247" i="14"/>
  <c r="Q2248" i="14"/>
  <c r="Q2249" i="14"/>
  <c r="Q2250" i="14"/>
  <c r="Q2251" i="14"/>
  <c r="Q2252" i="14"/>
  <c r="Q2253" i="14"/>
  <c r="Q2254" i="14"/>
  <c r="Q2255" i="14"/>
  <c r="Q2256" i="14"/>
  <c r="Q2257" i="14"/>
  <c r="Q2258" i="14"/>
  <c r="Q2259" i="14"/>
  <c r="Q2260" i="14"/>
  <c r="Q2261" i="14"/>
  <c r="Q2262" i="14"/>
  <c r="Q2263" i="14"/>
  <c r="Q2264" i="14"/>
  <c r="Q2265" i="14"/>
  <c r="Q2266" i="14"/>
  <c r="Q2267" i="14"/>
  <c r="Q2268" i="14"/>
  <c r="Q2269" i="14"/>
  <c r="Q2270" i="14"/>
  <c r="Q2271" i="14"/>
  <c r="Q2272" i="14"/>
  <c r="Q2273" i="14"/>
  <c r="Q2274" i="14"/>
  <c r="Q2275" i="14"/>
  <c r="Q2276" i="14"/>
  <c r="Q2277" i="14"/>
  <c r="Q2278" i="14"/>
  <c r="Q2279" i="14"/>
  <c r="Q2280" i="14"/>
  <c r="Q2281" i="14"/>
  <c r="Q2282" i="14"/>
  <c r="Q2283" i="14"/>
  <c r="Q2284" i="14"/>
  <c r="Q2285" i="14"/>
  <c r="Q2286" i="14"/>
  <c r="Q2287" i="14"/>
  <c r="Q2288" i="14"/>
  <c r="Q2289" i="14"/>
  <c r="Q2290" i="14"/>
  <c r="Q2291" i="14"/>
  <c r="Q2292" i="14"/>
  <c r="Q2293" i="14"/>
  <c r="Q2294" i="14"/>
  <c r="Q2295" i="14"/>
  <c r="Q2296" i="14"/>
  <c r="Q2297" i="14"/>
  <c r="Q2298" i="14"/>
  <c r="Q2299" i="14"/>
  <c r="Q2300" i="14"/>
  <c r="Q2301" i="14"/>
  <c r="Q2302" i="14"/>
  <c r="Q2303" i="14"/>
  <c r="Q2304" i="14"/>
  <c r="Q2305" i="14"/>
  <c r="Q2306" i="14"/>
  <c r="Q2307" i="14"/>
  <c r="Q2308" i="14"/>
  <c r="Q2309" i="14"/>
  <c r="Q2310" i="14"/>
  <c r="Q2311" i="14"/>
  <c r="Q2312" i="14"/>
  <c r="Q2313" i="14"/>
  <c r="Q2314" i="14"/>
  <c r="Q2315" i="14"/>
  <c r="Q2316" i="14"/>
  <c r="Q2317" i="14"/>
  <c r="Q2318" i="14"/>
  <c r="Q2319" i="14"/>
  <c r="Q2320" i="14"/>
  <c r="Q2321" i="14"/>
  <c r="Q2322" i="14"/>
  <c r="Q2323" i="14"/>
  <c r="Q2324" i="14"/>
  <c r="Q2325" i="14"/>
  <c r="Q2326" i="14"/>
  <c r="Q2327" i="14"/>
  <c r="Q2328" i="14"/>
  <c r="Q2329" i="14"/>
  <c r="Q2330" i="14"/>
  <c r="Q2331" i="14"/>
  <c r="Q2332" i="14"/>
  <c r="Q2333" i="14"/>
  <c r="Q2334" i="14"/>
  <c r="Q2335" i="14"/>
  <c r="Q2336" i="14"/>
  <c r="Q2337" i="14"/>
  <c r="Q2338" i="14"/>
  <c r="Q2339" i="14"/>
  <c r="Q2340" i="14"/>
  <c r="Q2341" i="14"/>
  <c r="Q2342" i="14"/>
  <c r="Q2343" i="14"/>
  <c r="Q2344" i="14"/>
  <c r="Q2345" i="14"/>
  <c r="Q2346" i="14"/>
  <c r="Q2347" i="14"/>
  <c r="Q2348" i="14"/>
  <c r="Q2349" i="14"/>
  <c r="Q2350" i="14"/>
  <c r="Q2351" i="14"/>
  <c r="Q2352" i="14"/>
  <c r="Q2353" i="14"/>
  <c r="Q2354" i="14"/>
  <c r="Q2355" i="14"/>
  <c r="Q2356" i="14"/>
  <c r="Q2357" i="14"/>
  <c r="Q2358" i="14"/>
  <c r="Q2359" i="14"/>
  <c r="Q2360" i="14"/>
  <c r="Q2361" i="14"/>
  <c r="Q2362" i="14"/>
  <c r="Q2363" i="14"/>
  <c r="Q2364" i="14"/>
  <c r="Q2365" i="14"/>
  <c r="Q2366" i="14"/>
  <c r="Q2367" i="14"/>
  <c r="Q2368" i="14"/>
  <c r="Q2369" i="14"/>
  <c r="Q2370" i="14"/>
  <c r="Q2371" i="14"/>
  <c r="Q2372" i="14"/>
  <c r="Q2373" i="14"/>
  <c r="Q2374" i="14"/>
  <c r="Q2375" i="14"/>
  <c r="Q2376" i="14"/>
  <c r="Q2377" i="14"/>
  <c r="Q2378" i="14"/>
  <c r="Q2379" i="14"/>
  <c r="Q2380" i="14"/>
  <c r="Q2381" i="14"/>
  <c r="Q2382" i="14"/>
  <c r="Q2383" i="14"/>
  <c r="Q2384" i="14"/>
  <c r="Q2385" i="14"/>
  <c r="Q2386" i="14"/>
  <c r="Q2387" i="14"/>
  <c r="Q2388" i="14"/>
  <c r="Q2389" i="14"/>
  <c r="Q2390" i="14"/>
  <c r="Q2391" i="14"/>
  <c r="Q2392" i="14"/>
  <c r="Q2393" i="14"/>
  <c r="Q2394" i="14"/>
  <c r="Q2395" i="14"/>
  <c r="Q2396" i="14"/>
  <c r="Q2397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413" i="14"/>
  <c r="Q2414" i="14"/>
  <c r="Q2415" i="14"/>
  <c r="Q2416" i="14"/>
  <c r="Q2417" i="14"/>
  <c r="Q2418" i="14"/>
  <c r="Q2419" i="14"/>
  <c r="Q2420" i="14"/>
  <c r="Q2421" i="14"/>
  <c r="Q2422" i="14"/>
  <c r="Q2423" i="14"/>
  <c r="Q2424" i="14"/>
  <c r="Q2425" i="14"/>
  <c r="Q2426" i="14"/>
  <c r="Q2427" i="14"/>
  <c r="Q2428" i="14"/>
  <c r="Q2429" i="14"/>
  <c r="Q2430" i="14"/>
  <c r="Q2431" i="14"/>
  <c r="Q2432" i="14"/>
  <c r="Q2433" i="14"/>
  <c r="Q2434" i="14"/>
  <c r="Q2435" i="14"/>
  <c r="Q2436" i="14"/>
  <c r="Q2437" i="14"/>
  <c r="Q2438" i="14"/>
  <c r="Q2439" i="14"/>
  <c r="Q2440" i="14"/>
  <c r="Q2441" i="14"/>
  <c r="Q2442" i="14"/>
  <c r="Q2443" i="14"/>
  <c r="Q2444" i="14"/>
  <c r="Q2445" i="14"/>
  <c r="Q2446" i="14"/>
  <c r="Q2447" i="14"/>
  <c r="Q2448" i="14"/>
  <c r="Q2449" i="14"/>
  <c r="Q2450" i="14"/>
  <c r="Q2451" i="14"/>
  <c r="Q2452" i="14"/>
  <c r="Q2453" i="14"/>
  <c r="Q2454" i="14"/>
  <c r="Q2455" i="14"/>
  <c r="Q2456" i="14"/>
  <c r="Q2457" i="14"/>
  <c r="Q2458" i="14"/>
  <c r="Q2459" i="14"/>
  <c r="Q2460" i="14"/>
  <c r="Q2461" i="14"/>
  <c r="Q2462" i="14"/>
  <c r="Q2463" i="14"/>
  <c r="Q2464" i="14"/>
  <c r="Q2465" i="14"/>
  <c r="Q2466" i="14"/>
  <c r="Q2467" i="14"/>
  <c r="Q2468" i="14"/>
  <c r="Q2469" i="14"/>
  <c r="Q2470" i="14"/>
  <c r="Q2471" i="14"/>
  <c r="Q2472" i="14"/>
  <c r="Q2473" i="14"/>
  <c r="Q2474" i="14"/>
  <c r="Q2475" i="14"/>
  <c r="Q2476" i="14"/>
  <c r="Q2477" i="14"/>
  <c r="Q2478" i="14"/>
  <c r="Q2479" i="14"/>
  <c r="Q2480" i="14"/>
  <c r="Q2481" i="14"/>
  <c r="Q2482" i="14"/>
  <c r="Q2483" i="14"/>
  <c r="Q2484" i="14"/>
  <c r="Q2485" i="14"/>
  <c r="Q2486" i="14"/>
  <c r="Q2487" i="14"/>
  <c r="Q2488" i="14"/>
  <c r="Q2489" i="14"/>
  <c r="Q2490" i="14"/>
  <c r="Q2491" i="14"/>
  <c r="Q2492" i="14"/>
  <c r="Q2493" i="14"/>
  <c r="Q2494" i="14"/>
  <c r="Q2495" i="14"/>
  <c r="Q2496" i="14"/>
  <c r="Q2497" i="14"/>
  <c r="Q2498" i="14"/>
  <c r="Q2499" i="14"/>
  <c r="Q2500" i="14"/>
  <c r="Q2501" i="14"/>
  <c r="Q2502" i="14"/>
  <c r="Q2503" i="14"/>
  <c r="Q2504" i="14"/>
  <c r="Q2505" i="14"/>
  <c r="Q2506" i="14"/>
  <c r="Q2507" i="14"/>
  <c r="Q2508" i="14"/>
  <c r="Q2509" i="14"/>
  <c r="Q2510" i="14"/>
  <c r="Q2511" i="14"/>
  <c r="Q2512" i="14"/>
  <c r="Q2513" i="14"/>
  <c r="Q2514" i="14"/>
  <c r="Q2515" i="14"/>
  <c r="Q2516" i="14"/>
  <c r="Q2517" i="14"/>
  <c r="Q2518" i="14"/>
  <c r="Q2519" i="14"/>
  <c r="Q2520" i="14"/>
  <c r="Q2521" i="14"/>
  <c r="Q2522" i="14"/>
  <c r="Q2523" i="14"/>
  <c r="Q2524" i="14"/>
  <c r="Q2525" i="14"/>
  <c r="Q2526" i="14"/>
  <c r="Q2527" i="14"/>
  <c r="Q2528" i="14"/>
  <c r="Q2529" i="14"/>
  <c r="Q2530" i="14"/>
  <c r="Q2531" i="14"/>
  <c r="Q2532" i="14"/>
  <c r="Q2533" i="14"/>
  <c r="Q2534" i="14"/>
  <c r="Q2535" i="14"/>
  <c r="Q2536" i="14"/>
  <c r="Q2537" i="14"/>
  <c r="Q2538" i="14"/>
  <c r="Q2539" i="14"/>
  <c r="Q2540" i="14"/>
  <c r="Q2541" i="14"/>
  <c r="Q2542" i="14"/>
  <c r="Q2543" i="14"/>
  <c r="Q2544" i="14"/>
  <c r="Q2545" i="14"/>
  <c r="Q2546" i="14"/>
  <c r="Q2547" i="14"/>
  <c r="Q2548" i="14"/>
  <c r="Q2549" i="14"/>
  <c r="Q2550" i="14"/>
  <c r="Q2551" i="14"/>
  <c r="Q2552" i="14"/>
  <c r="Q2553" i="14"/>
  <c r="Q2554" i="14"/>
  <c r="Q2555" i="14"/>
  <c r="Q2556" i="14"/>
  <c r="Q2557" i="14"/>
  <c r="Q2558" i="14"/>
  <c r="Q2559" i="14"/>
  <c r="Q2560" i="14"/>
  <c r="Q2561" i="14"/>
  <c r="Q2562" i="14"/>
  <c r="Q2563" i="14"/>
  <c r="Q2564" i="14"/>
  <c r="Q2565" i="14"/>
  <c r="Q2566" i="14"/>
  <c r="Q2567" i="14"/>
  <c r="Q2568" i="14"/>
  <c r="Q2569" i="14"/>
  <c r="Q2570" i="14"/>
  <c r="Q2571" i="14"/>
  <c r="Q2572" i="14"/>
  <c r="Q2573" i="14"/>
  <c r="Q2574" i="14"/>
  <c r="Q2575" i="14"/>
  <c r="Q2576" i="14"/>
  <c r="Q2577" i="14"/>
  <c r="Q2578" i="14"/>
  <c r="Q2579" i="14"/>
  <c r="Q2580" i="14"/>
  <c r="Q2581" i="14"/>
  <c r="Q2582" i="14"/>
  <c r="Q2583" i="14"/>
  <c r="Q2584" i="14"/>
  <c r="Q2585" i="14"/>
  <c r="Q2586" i="14"/>
  <c r="Q2587" i="14"/>
  <c r="Q2588" i="14"/>
  <c r="Q2589" i="14"/>
  <c r="Q2590" i="14"/>
  <c r="Q2591" i="14"/>
  <c r="Q2592" i="14"/>
  <c r="Q2593" i="14"/>
  <c r="Q2594" i="14"/>
  <c r="Q2595" i="14"/>
  <c r="Q2596" i="14"/>
  <c r="Q2597" i="14"/>
  <c r="Q2598" i="14"/>
  <c r="Q2599" i="14"/>
  <c r="Q2600" i="14"/>
  <c r="Q2601" i="14"/>
  <c r="Q2602" i="14"/>
  <c r="Q2603" i="14"/>
  <c r="Q2604" i="14"/>
  <c r="Q2605" i="14"/>
  <c r="Q2606" i="14"/>
  <c r="Q2607" i="14"/>
  <c r="Q2608" i="14"/>
  <c r="Q2609" i="14"/>
  <c r="Q2610" i="14"/>
  <c r="Q2611" i="14"/>
  <c r="Q2612" i="14"/>
  <c r="Q2613" i="14"/>
  <c r="Q2614" i="14"/>
  <c r="Q2615" i="14"/>
  <c r="Q2616" i="14"/>
  <c r="Q2617" i="14"/>
  <c r="Q2618" i="14"/>
  <c r="Q2619" i="14"/>
  <c r="Q2620" i="14"/>
  <c r="Q2621" i="14"/>
  <c r="Q2622" i="14"/>
  <c r="Q2623" i="14"/>
  <c r="Q2624" i="14"/>
  <c r="Q2625" i="14"/>
  <c r="Q2626" i="14"/>
  <c r="Q2627" i="14"/>
  <c r="Q2628" i="14"/>
  <c r="Q2629" i="14"/>
  <c r="Q2630" i="14"/>
  <c r="Q2631" i="14"/>
  <c r="Q2632" i="14"/>
  <c r="Q2633" i="14"/>
  <c r="Q2634" i="14"/>
  <c r="Q2635" i="14"/>
  <c r="Q2636" i="14"/>
  <c r="Q2637" i="14"/>
  <c r="Q2638" i="14"/>
  <c r="Q2639" i="14"/>
  <c r="Q2640" i="14"/>
  <c r="Q2641" i="14"/>
  <c r="Q2642" i="14"/>
  <c r="Q2643" i="14"/>
  <c r="Q2644" i="14"/>
  <c r="Q2645" i="14"/>
  <c r="Q2646" i="14"/>
  <c r="Q2647" i="14"/>
  <c r="Q2648" i="14"/>
  <c r="Q2649" i="14"/>
  <c r="Q2650" i="14"/>
  <c r="Q2651" i="14"/>
  <c r="Q2652" i="14"/>
  <c r="Q2653" i="14"/>
  <c r="Q2654" i="14"/>
  <c r="Q2655" i="14"/>
  <c r="Q2656" i="14"/>
  <c r="Q2657" i="14"/>
  <c r="Q2658" i="14"/>
  <c r="Q2659" i="14"/>
  <c r="Q2660" i="14"/>
  <c r="Q2661" i="14"/>
  <c r="Q2662" i="14"/>
  <c r="Q2663" i="14"/>
  <c r="Q2664" i="14"/>
  <c r="Q2665" i="14"/>
  <c r="Q2666" i="14"/>
  <c r="Q2667" i="14"/>
  <c r="Q2668" i="14"/>
  <c r="Q2669" i="14"/>
  <c r="Q2670" i="14"/>
  <c r="Q2671" i="14"/>
  <c r="Q2672" i="14"/>
  <c r="Q2673" i="14"/>
  <c r="Q2674" i="14"/>
  <c r="Q2675" i="14"/>
  <c r="Q2676" i="14"/>
  <c r="Q2677" i="14"/>
  <c r="Q2678" i="14"/>
  <c r="Q2679" i="14"/>
  <c r="Q2680" i="14"/>
  <c r="Q2681" i="14"/>
  <c r="Q2682" i="14"/>
  <c r="Q2683" i="14"/>
  <c r="Q2684" i="14"/>
  <c r="Q2685" i="14"/>
  <c r="Q2686" i="14"/>
  <c r="Q2687" i="14"/>
  <c r="Q2688" i="14"/>
  <c r="Q2689" i="14"/>
  <c r="Q2690" i="14"/>
  <c r="Q2691" i="14"/>
  <c r="Q2692" i="14"/>
  <c r="Q2693" i="14"/>
  <c r="Q2694" i="14"/>
  <c r="Q2695" i="14"/>
  <c r="Q2696" i="14"/>
  <c r="Q2697" i="14"/>
  <c r="Q2698" i="14"/>
  <c r="Q2699" i="14"/>
  <c r="Q2700" i="14"/>
  <c r="Q2701" i="14"/>
  <c r="Q2702" i="14"/>
  <c r="Q2703" i="14"/>
  <c r="Q2704" i="14"/>
  <c r="Q2705" i="14"/>
  <c r="Q2706" i="14"/>
  <c r="Q2707" i="14"/>
  <c r="Q2708" i="14"/>
  <c r="Q2709" i="14"/>
  <c r="Q2710" i="14"/>
  <c r="Q2711" i="14"/>
  <c r="Q2712" i="14"/>
  <c r="Q2713" i="14"/>
  <c r="Q2714" i="14"/>
  <c r="Q2715" i="14"/>
  <c r="Q2716" i="14"/>
  <c r="Q2717" i="14"/>
  <c r="Q2718" i="14"/>
  <c r="Q2719" i="14"/>
  <c r="Q2720" i="14"/>
  <c r="Q2721" i="14"/>
  <c r="Q2722" i="14"/>
  <c r="Q2723" i="14"/>
  <c r="Q2724" i="14"/>
  <c r="Q2725" i="14"/>
  <c r="Q2726" i="14"/>
  <c r="Q2727" i="14"/>
  <c r="Q2728" i="14"/>
  <c r="Q2729" i="14"/>
  <c r="Q2730" i="14"/>
  <c r="Q2731" i="14"/>
  <c r="Q2732" i="14"/>
  <c r="Q2733" i="14"/>
  <c r="Q2734" i="14"/>
  <c r="Q2735" i="14"/>
  <c r="Q2736" i="14"/>
  <c r="Q2737" i="14"/>
  <c r="Q2738" i="14"/>
  <c r="Q2739" i="14"/>
  <c r="Q2740" i="14"/>
  <c r="Q2741" i="14"/>
  <c r="Q2742" i="14"/>
  <c r="Q2743" i="14"/>
  <c r="Q2744" i="14"/>
  <c r="Q2745" i="14"/>
  <c r="Q2746" i="14"/>
  <c r="Q2747" i="14"/>
  <c r="Q2748" i="14"/>
  <c r="Q2749" i="14"/>
  <c r="Q2750" i="14"/>
  <c r="Q2751" i="14"/>
  <c r="Q2752" i="14"/>
  <c r="Q2753" i="14"/>
  <c r="Q2754" i="14"/>
  <c r="Q2755" i="14"/>
  <c r="Q2756" i="14"/>
  <c r="Q2757" i="14"/>
  <c r="Q2758" i="14"/>
  <c r="Q2759" i="14"/>
  <c r="Q2760" i="14"/>
  <c r="Q2761" i="14"/>
  <c r="Q2762" i="14"/>
  <c r="Q2763" i="14"/>
  <c r="Q2764" i="14"/>
  <c r="Q2765" i="14"/>
  <c r="Q2766" i="14"/>
  <c r="Q2767" i="14"/>
  <c r="Q2768" i="14"/>
  <c r="Q2769" i="14"/>
  <c r="Q2770" i="14"/>
  <c r="Q2771" i="14"/>
  <c r="Q2772" i="14"/>
  <c r="Q2773" i="14"/>
  <c r="Q2774" i="14"/>
  <c r="Q2775" i="14"/>
  <c r="Q2776" i="14"/>
  <c r="Q2777" i="14"/>
  <c r="Q2778" i="14"/>
  <c r="Q2779" i="14"/>
  <c r="Q2780" i="14"/>
  <c r="Q2781" i="14"/>
  <c r="Q2782" i="14"/>
  <c r="Q2783" i="14"/>
  <c r="Q2784" i="14"/>
  <c r="Q2785" i="14"/>
  <c r="Q2786" i="14"/>
  <c r="Q2787" i="14"/>
  <c r="Q2788" i="14"/>
  <c r="Q2789" i="14"/>
  <c r="Q2790" i="14"/>
  <c r="Q2791" i="14"/>
  <c r="Q2792" i="14"/>
  <c r="Q2793" i="14"/>
  <c r="Q2794" i="14"/>
  <c r="Q2795" i="14"/>
  <c r="Q2796" i="14"/>
  <c r="Q2797" i="14"/>
  <c r="Q2798" i="14"/>
  <c r="Q2799" i="14"/>
  <c r="Q2800" i="14"/>
  <c r="Q2801" i="14"/>
  <c r="Q2802" i="14"/>
  <c r="Q2803" i="14"/>
  <c r="Q2804" i="14"/>
  <c r="Q2805" i="14"/>
  <c r="Q2806" i="14"/>
  <c r="Q2807" i="14"/>
  <c r="Q2808" i="14"/>
  <c r="Q2809" i="14"/>
  <c r="Q2810" i="14"/>
  <c r="Q2811" i="14"/>
  <c r="Q2812" i="14"/>
  <c r="Q2813" i="14"/>
  <c r="Q2814" i="14"/>
  <c r="Q2815" i="14"/>
  <c r="Q2816" i="14"/>
  <c r="Q2817" i="14"/>
  <c r="Q2818" i="14"/>
  <c r="Q2819" i="14"/>
  <c r="Q2820" i="14"/>
  <c r="Q2821" i="14"/>
  <c r="Q2822" i="14"/>
  <c r="Q2823" i="14"/>
  <c r="Q2824" i="14"/>
  <c r="Q2825" i="14"/>
  <c r="Q2826" i="14"/>
  <c r="Q2827" i="14"/>
  <c r="Q2828" i="14"/>
  <c r="Q2829" i="14"/>
  <c r="Q2830" i="14"/>
  <c r="Q2831" i="14"/>
  <c r="Q2832" i="14"/>
  <c r="Q2833" i="14"/>
  <c r="Q2834" i="14"/>
  <c r="Q2835" i="14"/>
  <c r="Q2836" i="14"/>
  <c r="Q2837" i="14"/>
  <c r="Q2838" i="14"/>
  <c r="Q2839" i="14"/>
  <c r="Q2840" i="14"/>
  <c r="Q2841" i="14"/>
  <c r="Q2842" i="14"/>
  <c r="Q2843" i="14"/>
  <c r="Q2844" i="14"/>
  <c r="Q2845" i="14"/>
  <c r="Q2846" i="14"/>
  <c r="Q2847" i="14"/>
  <c r="Q2848" i="14"/>
  <c r="Q2849" i="14"/>
  <c r="Q2850" i="14"/>
  <c r="Q2851" i="14"/>
  <c r="Q2852" i="14"/>
  <c r="Q2853" i="14"/>
  <c r="Q2854" i="14"/>
  <c r="Q2855" i="14"/>
  <c r="Q2856" i="14"/>
  <c r="Q2857" i="14"/>
  <c r="Q2858" i="14"/>
  <c r="Q2859" i="14"/>
  <c r="Q2860" i="14"/>
  <c r="Q2861" i="14"/>
  <c r="Q2862" i="14"/>
  <c r="Q2863" i="14"/>
  <c r="Q2864" i="14"/>
  <c r="Q2865" i="14"/>
  <c r="Q2866" i="14"/>
  <c r="Q2867" i="14"/>
  <c r="Q2868" i="14"/>
  <c r="Q2869" i="14"/>
  <c r="Q2870" i="14"/>
  <c r="Q2871" i="14"/>
  <c r="Q2872" i="14"/>
  <c r="Q2873" i="14"/>
  <c r="Q2874" i="14"/>
  <c r="Q2875" i="14"/>
  <c r="Q2876" i="14"/>
  <c r="Q2877" i="14"/>
  <c r="Q2878" i="14"/>
  <c r="Q2879" i="14"/>
  <c r="Q2880" i="14"/>
  <c r="Q2881" i="14"/>
  <c r="Q2882" i="14"/>
  <c r="Q2883" i="14"/>
  <c r="Q2884" i="14"/>
  <c r="Q2885" i="14"/>
  <c r="Q2886" i="14"/>
  <c r="Q2887" i="14"/>
  <c r="Q2888" i="14"/>
  <c r="Q2889" i="14"/>
  <c r="Q2890" i="14"/>
  <c r="Q2891" i="14"/>
  <c r="Q2892" i="14"/>
  <c r="Q2893" i="14"/>
  <c r="Q2894" i="14"/>
  <c r="Q2895" i="14"/>
  <c r="Q2896" i="14"/>
  <c r="Q2897" i="14"/>
  <c r="Q2898" i="14"/>
  <c r="Q2899" i="14"/>
  <c r="Q2900" i="14"/>
  <c r="Q2901" i="14"/>
  <c r="Q2902" i="14"/>
  <c r="Q2903" i="14"/>
  <c r="Q2904" i="14"/>
  <c r="Q2905" i="14"/>
  <c r="Q2906" i="14"/>
  <c r="Q2907" i="14"/>
  <c r="Q2908" i="14"/>
  <c r="Q2909" i="14"/>
  <c r="Q2910" i="14"/>
  <c r="Q2911" i="14"/>
  <c r="Q2912" i="14"/>
  <c r="Q2913" i="14"/>
  <c r="Q2914" i="14"/>
  <c r="Q2915" i="14"/>
  <c r="Q2916" i="14"/>
  <c r="Q2917" i="14"/>
  <c r="Q2918" i="14"/>
  <c r="Q2919" i="14"/>
  <c r="Q2920" i="14"/>
  <c r="Q2921" i="14"/>
  <c r="Q2922" i="14"/>
  <c r="Q2923" i="14"/>
  <c r="Q2924" i="14"/>
  <c r="Q2925" i="14"/>
  <c r="Q2926" i="14"/>
  <c r="Q2927" i="14"/>
  <c r="Q2928" i="14"/>
  <c r="Q2929" i="14"/>
  <c r="Q2930" i="14"/>
  <c r="Q2931" i="14"/>
  <c r="Q2932" i="14"/>
  <c r="Q2933" i="14"/>
  <c r="Q2934" i="14"/>
  <c r="Q2935" i="14"/>
  <c r="Q2936" i="14"/>
  <c r="Q2937" i="14"/>
  <c r="Q2938" i="14"/>
  <c r="Q2939" i="14"/>
  <c r="Q2940" i="14"/>
  <c r="Q2941" i="14"/>
  <c r="Q2942" i="14"/>
  <c r="Q2943" i="14"/>
  <c r="Q2944" i="14"/>
  <c r="Q2945" i="14"/>
  <c r="Q2946" i="14"/>
  <c r="Q2947" i="14"/>
  <c r="Q2948" i="14"/>
  <c r="Q2949" i="14"/>
  <c r="Q2950" i="14"/>
  <c r="Q2951" i="14"/>
  <c r="Q2952" i="14"/>
  <c r="Q2953" i="14"/>
  <c r="Q2954" i="14"/>
  <c r="Q2955" i="14"/>
  <c r="Q2956" i="14"/>
  <c r="Q2957" i="14"/>
  <c r="Q2958" i="14"/>
  <c r="Q2959" i="14"/>
  <c r="Q2960" i="14"/>
  <c r="Q2961" i="14"/>
  <c r="Q2962" i="14"/>
  <c r="Q2963" i="14"/>
  <c r="Q2964" i="14"/>
  <c r="Q2965" i="14"/>
  <c r="Q2966" i="14"/>
  <c r="Q2967" i="14"/>
  <c r="Q2968" i="14"/>
  <c r="Q2969" i="14"/>
  <c r="Q2970" i="14"/>
  <c r="Q2971" i="14"/>
  <c r="Q2972" i="14"/>
  <c r="Q2973" i="14"/>
  <c r="Q2974" i="14"/>
  <c r="Q2975" i="14"/>
  <c r="Q2976" i="14"/>
  <c r="Q2977" i="14"/>
  <c r="Q2978" i="14"/>
  <c r="Q2979" i="14"/>
  <c r="Q2980" i="14"/>
  <c r="Q2981" i="14"/>
  <c r="Q2982" i="14"/>
  <c r="Q2983" i="14"/>
  <c r="Q2984" i="14"/>
  <c r="Q2985" i="14"/>
  <c r="Q2986" i="14"/>
  <c r="Q2987" i="14"/>
  <c r="Q2988" i="14"/>
  <c r="Q2989" i="14"/>
  <c r="Q2990" i="14"/>
  <c r="Q2991" i="14"/>
  <c r="Q2992" i="14"/>
  <c r="Q2993" i="14"/>
  <c r="Q2994" i="14"/>
  <c r="Q2995" i="14"/>
  <c r="Q2996" i="14"/>
  <c r="Q2997" i="14"/>
  <c r="Q2998" i="14"/>
  <c r="Q2999" i="14"/>
  <c r="Q3000" i="14"/>
  <c r="Q3001" i="14"/>
  <c r="Q3002" i="14"/>
  <c r="Q3003" i="14"/>
  <c r="Q3004" i="14"/>
  <c r="Q3005" i="14"/>
  <c r="Q3006" i="14"/>
  <c r="Q3007" i="14"/>
  <c r="Q3008" i="14"/>
  <c r="Q3009" i="14"/>
  <c r="Q3010" i="14"/>
  <c r="Q3011" i="14"/>
  <c r="Q3012" i="14"/>
  <c r="Q3013" i="14"/>
  <c r="Q3014" i="14"/>
  <c r="Q3015" i="14"/>
  <c r="Q3016" i="14"/>
  <c r="Q3017" i="14"/>
  <c r="Q3018" i="14"/>
  <c r="Q3019" i="14"/>
  <c r="Q3020" i="14"/>
  <c r="Q3021" i="14"/>
  <c r="Q3022" i="14"/>
  <c r="Q3023" i="14"/>
  <c r="Q3024" i="14"/>
  <c r="Q3025" i="14"/>
  <c r="Q3026" i="14"/>
  <c r="Q3027" i="14"/>
  <c r="Q3028" i="14"/>
  <c r="Q3029" i="14"/>
  <c r="Q3030" i="14"/>
  <c r="Q3031" i="14"/>
  <c r="Q3032" i="14"/>
  <c r="Q3033" i="14"/>
  <c r="Q3034" i="14"/>
  <c r="Q3035" i="14"/>
  <c r="Q3036" i="14"/>
  <c r="Q3037" i="14"/>
  <c r="Q3038" i="14"/>
  <c r="Q3039" i="14"/>
  <c r="Q3040" i="14"/>
  <c r="Q3041" i="14"/>
  <c r="Q3042" i="14"/>
  <c r="Q3043" i="14"/>
  <c r="Q3044" i="14"/>
  <c r="Q3045" i="14"/>
  <c r="Q3046" i="14"/>
  <c r="Q3047" i="14"/>
  <c r="Q3048" i="14"/>
  <c r="Q3049" i="14"/>
  <c r="Q3050" i="14"/>
  <c r="Q3051" i="14"/>
  <c r="Q3052" i="14"/>
  <c r="Q3053" i="14"/>
  <c r="Q3054" i="14"/>
  <c r="Q3055" i="14"/>
  <c r="Q3056" i="14"/>
  <c r="Q3057" i="14"/>
  <c r="Q3058" i="14"/>
  <c r="Q3059" i="14"/>
  <c r="Q3060" i="14"/>
  <c r="Q3061" i="14"/>
  <c r="Q3062" i="14"/>
  <c r="Q3063" i="14"/>
  <c r="Q3064" i="14"/>
  <c r="Q3065" i="14"/>
  <c r="Q3066" i="14"/>
  <c r="Q3067" i="14"/>
  <c r="Q3068" i="14"/>
  <c r="Q3069" i="14"/>
  <c r="Q3070" i="14"/>
  <c r="Q3071" i="14"/>
  <c r="Q3072" i="14"/>
  <c r="Q3073" i="14"/>
  <c r="Q3074" i="14"/>
  <c r="Q3075" i="14"/>
  <c r="Q3076" i="14"/>
  <c r="Q3077" i="14"/>
  <c r="Q3078" i="14"/>
  <c r="Q3079" i="14"/>
  <c r="Q3080" i="14"/>
  <c r="Q3081" i="14"/>
  <c r="Q3082" i="14"/>
  <c r="Q3083" i="14"/>
  <c r="Q3084" i="14"/>
  <c r="Q3085" i="14"/>
  <c r="Q3086" i="14"/>
  <c r="Q3087" i="14"/>
  <c r="Q3088" i="14"/>
  <c r="Q3089" i="14"/>
  <c r="Q3090" i="14"/>
  <c r="Q3091" i="14"/>
  <c r="Q3092" i="14"/>
  <c r="Q3093" i="14"/>
  <c r="Q3094" i="14"/>
  <c r="Q3095" i="14"/>
  <c r="Q3096" i="14"/>
  <c r="Q3097" i="14"/>
  <c r="Q3098" i="14"/>
  <c r="Q3099" i="14"/>
  <c r="Q3100" i="14"/>
  <c r="Q3101" i="14"/>
  <c r="Q3102" i="14"/>
  <c r="Q3103" i="14"/>
  <c r="Q3104" i="14"/>
  <c r="Q3105" i="14"/>
  <c r="Q3106" i="14"/>
  <c r="Q3107" i="14"/>
  <c r="Q3108" i="14"/>
  <c r="Q3109" i="14"/>
  <c r="Q3110" i="14"/>
  <c r="Q3111" i="14"/>
  <c r="Q3112" i="14"/>
  <c r="Q3113" i="14"/>
  <c r="Q3114" i="14"/>
  <c r="Q3115" i="14"/>
  <c r="Q3116" i="14"/>
  <c r="Q3117" i="14"/>
  <c r="Q3118" i="14"/>
  <c r="Q3119" i="14"/>
  <c r="Q3120" i="14"/>
  <c r="Q3121" i="14"/>
  <c r="Q3122" i="14"/>
  <c r="Q3123" i="14"/>
  <c r="Q3124" i="14"/>
  <c r="Q3125" i="14"/>
  <c r="Q3126" i="14"/>
  <c r="Q3127" i="14"/>
  <c r="Q3128" i="14"/>
  <c r="Q3129" i="14"/>
  <c r="Q3130" i="14"/>
  <c r="Q3131" i="14"/>
  <c r="Q3132" i="14"/>
  <c r="Q3133" i="14"/>
  <c r="Q3134" i="14"/>
  <c r="Q3135" i="14"/>
  <c r="Q3136" i="14"/>
  <c r="Q3137" i="14"/>
  <c r="Q3138" i="14"/>
  <c r="Q3139" i="14"/>
  <c r="Q3140" i="14"/>
  <c r="Q3141" i="14"/>
  <c r="Q3142" i="14"/>
  <c r="Q3143" i="14"/>
  <c r="Q3144" i="14"/>
  <c r="Q3145" i="14"/>
  <c r="Q3146" i="14"/>
  <c r="Q3147" i="14"/>
  <c r="Q3148" i="14"/>
  <c r="Q3149" i="14"/>
  <c r="Q3150" i="14"/>
  <c r="Q3151" i="14"/>
  <c r="Q3152" i="14"/>
  <c r="Q3153" i="14"/>
  <c r="Q3154" i="14"/>
  <c r="Q3155" i="14"/>
  <c r="Q3156" i="14"/>
  <c r="Q3157" i="14"/>
  <c r="Q3158" i="14"/>
  <c r="Q3159" i="14"/>
  <c r="Q3160" i="14"/>
  <c r="Q3161" i="14"/>
  <c r="Q3162" i="14"/>
  <c r="Q3163" i="14"/>
  <c r="Q3164" i="14"/>
  <c r="Q3165" i="14"/>
  <c r="Q3166" i="14"/>
  <c r="Q3167" i="14"/>
  <c r="Q3168" i="14"/>
  <c r="Q3169" i="14"/>
  <c r="Q3170" i="14"/>
  <c r="Q3171" i="14"/>
  <c r="Q3172" i="14"/>
  <c r="Q3173" i="14"/>
  <c r="Q3174" i="14"/>
  <c r="Q3175" i="14"/>
  <c r="Q3176" i="14"/>
  <c r="Q3177" i="14"/>
  <c r="Q3178" i="14"/>
  <c r="Q3179" i="14"/>
  <c r="Q3180" i="14"/>
  <c r="Q3181" i="14"/>
  <c r="Q3182" i="14"/>
  <c r="Q3183" i="14"/>
  <c r="Q3184" i="14"/>
  <c r="Q3185" i="14"/>
  <c r="Q3186" i="14"/>
  <c r="Q3187" i="14"/>
  <c r="Q3188" i="14"/>
  <c r="Q3189" i="14"/>
  <c r="Q3190" i="14"/>
  <c r="Q3191" i="14"/>
  <c r="Q3192" i="14"/>
  <c r="Q3193" i="14"/>
  <c r="Q3194" i="14"/>
  <c r="Q3195" i="14"/>
  <c r="Q3196" i="14"/>
  <c r="Q3197" i="14"/>
  <c r="Q3198" i="14"/>
  <c r="Q3199" i="14"/>
  <c r="Q3200" i="14"/>
  <c r="Q3201" i="14"/>
  <c r="Q3202" i="14"/>
  <c r="Q3203" i="14"/>
  <c r="Q3204" i="14"/>
  <c r="Q3205" i="14"/>
  <c r="Q3206" i="14"/>
  <c r="Q3207" i="14"/>
  <c r="Q3208" i="14"/>
  <c r="Q3209" i="14"/>
  <c r="Q3210" i="14"/>
  <c r="Q3211" i="14"/>
  <c r="Q3212" i="14"/>
  <c r="Q3213" i="14"/>
  <c r="Q3214" i="14"/>
  <c r="Q3215" i="14"/>
  <c r="Q3216" i="14"/>
  <c r="Q3217" i="14"/>
  <c r="Q3218" i="14"/>
  <c r="Q3219" i="14"/>
  <c r="Q3220" i="14"/>
  <c r="Q3221" i="14"/>
  <c r="Q3222" i="14"/>
  <c r="Q3223" i="14"/>
  <c r="Q3224" i="14"/>
  <c r="Q3225" i="14"/>
  <c r="Q3226" i="14"/>
  <c r="Q3227" i="14"/>
  <c r="Q3228" i="14"/>
  <c r="Q3229" i="14"/>
  <c r="Q3230" i="14"/>
  <c r="Q3231" i="14"/>
  <c r="Q3232" i="14"/>
  <c r="Q3233" i="14"/>
  <c r="Q3234" i="14"/>
  <c r="Q3235" i="14"/>
  <c r="Q3236" i="14"/>
  <c r="Q3237" i="14"/>
  <c r="Q3238" i="14"/>
  <c r="Q3239" i="14"/>
  <c r="Q3240" i="14"/>
  <c r="Q3241" i="14"/>
  <c r="Q3242" i="14"/>
  <c r="Q3243" i="14"/>
  <c r="Q3244" i="14"/>
  <c r="Q3245" i="14"/>
  <c r="Q3246" i="14"/>
  <c r="Q3247" i="14"/>
  <c r="Q3248" i="14"/>
  <c r="Q3249" i="14"/>
  <c r="Q3250" i="14"/>
  <c r="Q3251" i="14"/>
  <c r="Q3252" i="14"/>
  <c r="Q3253" i="14"/>
  <c r="Q3254" i="14"/>
  <c r="Q3255" i="14"/>
  <c r="Q3256" i="14"/>
  <c r="Q3257" i="14"/>
  <c r="Q3258" i="14"/>
  <c r="Q3259" i="14"/>
  <c r="Q3260" i="14"/>
  <c r="Q3261" i="14"/>
  <c r="Q3262" i="14"/>
  <c r="Q3263" i="14"/>
  <c r="Q3264" i="14"/>
  <c r="Q3265" i="14"/>
  <c r="Q3266" i="14"/>
  <c r="Q3267" i="14"/>
  <c r="Q3268" i="14"/>
  <c r="Q3269" i="14"/>
  <c r="Q3270" i="14"/>
  <c r="Q3271" i="14"/>
  <c r="Q3272" i="14"/>
  <c r="Q3273" i="14"/>
  <c r="Q3274" i="14"/>
  <c r="Q3275" i="14"/>
  <c r="Q3276" i="14"/>
  <c r="Q3277" i="14"/>
  <c r="Q3278" i="14"/>
  <c r="Q3279" i="14"/>
  <c r="Q3280" i="14"/>
  <c r="Q3281" i="14"/>
  <c r="Q3282" i="14"/>
  <c r="Q3283" i="14"/>
  <c r="Q3284" i="14"/>
  <c r="Q3285" i="14"/>
  <c r="Q3286" i="14"/>
  <c r="Q3287" i="14"/>
  <c r="Q3288" i="14"/>
  <c r="Q3289" i="14"/>
  <c r="Q3290" i="14"/>
  <c r="Q3291" i="14"/>
  <c r="Q3292" i="14"/>
  <c r="Q3293" i="14"/>
  <c r="Q3294" i="14"/>
  <c r="Q3295" i="14"/>
  <c r="Q3296" i="14"/>
  <c r="Q3297" i="14"/>
  <c r="Q3298" i="14"/>
  <c r="Q3299" i="14"/>
  <c r="Q3300" i="14"/>
  <c r="Q3301" i="14"/>
  <c r="Q3302" i="14"/>
  <c r="Q3303" i="14"/>
  <c r="Q3304" i="14"/>
  <c r="Q3305" i="14"/>
  <c r="Q3306" i="14"/>
  <c r="Q3307" i="14"/>
  <c r="Q3308" i="14"/>
  <c r="Q3309" i="14"/>
  <c r="Q3310" i="14"/>
  <c r="Q3311" i="14"/>
  <c r="Q3312" i="14"/>
  <c r="Q3313" i="14"/>
  <c r="Q3314" i="14"/>
  <c r="Q3315" i="14"/>
  <c r="Q3316" i="14"/>
  <c r="Q3317" i="14"/>
  <c r="Q3318" i="14"/>
  <c r="Q3319" i="14"/>
  <c r="Q3320" i="14"/>
  <c r="Q3321" i="14"/>
  <c r="Q3322" i="14"/>
  <c r="Q3323" i="14"/>
  <c r="Q3324" i="14"/>
  <c r="Q3325" i="14"/>
  <c r="Q3326" i="14"/>
  <c r="Q3327" i="14"/>
  <c r="Q3328" i="14"/>
  <c r="Q3329" i="14"/>
  <c r="Q3330" i="14"/>
  <c r="Q3331" i="14"/>
  <c r="Q3332" i="14"/>
  <c r="Q3333" i="14"/>
  <c r="Q3334" i="14"/>
  <c r="Q3335" i="14"/>
  <c r="Q3336" i="14"/>
  <c r="Q3337" i="14"/>
  <c r="Q3338" i="14"/>
  <c r="Q3339" i="14"/>
  <c r="Q3340" i="14"/>
  <c r="Q3341" i="14"/>
  <c r="Q3342" i="14"/>
  <c r="Q3343" i="14"/>
  <c r="Q3344" i="14"/>
  <c r="Q3345" i="14"/>
  <c r="Q3346" i="14"/>
  <c r="Q3347" i="14"/>
  <c r="Q3348" i="14"/>
  <c r="Q3349" i="14"/>
  <c r="Q3350" i="14"/>
  <c r="Q3351" i="14"/>
  <c r="Q3352" i="14"/>
  <c r="Q3353" i="14"/>
  <c r="Q3354" i="14"/>
  <c r="Q3355" i="14"/>
  <c r="Q3356" i="14"/>
  <c r="Q3357" i="14"/>
  <c r="Q3358" i="14"/>
  <c r="Q3359" i="14"/>
  <c r="Q3360" i="14"/>
  <c r="Q3361" i="14"/>
  <c r="Q3362" i="14"/>
  <c r="Q3363" i="14"/>
  <c r="Q3364" i="14"/>
  <c r="Q3365" i="14"/>
  <c r="Q3366" i="14"/>
  <c r="Q3367" i="14"/>
  <c r="Q3368" i="14"/>
  <c r="Q3369" i="14"/>
  <c r="Q3370" i="14"/>
  <c r="Q3371" i="14"/>
  <c r="Q3372" i="14"/>
  <c r="Q3373" i="14"/>
  <c r="Q3374" i="14"/>
  <c r="Q3375" i="14"/>
  <c r="Q3376" i="14"/>
  <c r="Q3377" i="14"/>
  <c r="Q3378" i="14"/>
  <c r="Q3379" i="14"/>
  <c r="Q3380" i="14"/>
  <c r="Q3381" i="14"/>
  <c r="Q3382" i="14"/>
  <c r="Q3383" i="14"/>
  <c r="Q3384" i="14"/>
  <c r="Q3385" i="14"/>
  <c r="Q3386" i="14"/>
  <c r="Q3387" i="14"/>
  <c r="Q3388" i="14"/>
  <c r="Q3389" i="14"/>
  <c r="Q3390" i="14"/>
  <c r="Q3391" i="14"/>
  <c r="Q3392" i="14"/>
  <c r="Q3393" i="14"/>
  <c r="Q3394" i="14"/>
  <c r="Q3395" i="14"/>
  <c r="Q3396" i="14"/>
  <c r="Q3397" i="14"/>
  <c r="Q3398" i="14"/>
  <c r="Q3399" i="14"/>
  <c r="Q3400" i="14"/>
  <c r="Q3401" i="14"/>
  <c r="Q3402" i="14"/>
  <c r="Q3403" i="14"/>
  <c r="Q3404" i="14"/>
  <c r="Q3405" i="14"/>
  <c r="Q3406" i="14"/>
  <c r="Q3407" i="14"/>
  <c r="Q3408" i="14"/>
  <c r="Q3409" i="14"/>
  <c r="Q3410" i="14"/>
  <c r="Q3411" i="14"/>
  <c r="Q3412" i="14"/>
  <c r="Q3413" i="14"/>
  <c r="Q3414" i="14"/>
  <c r="Q3415" i="14"/>
  <c r="Q3416" i="14"/>
  <c r="Q3417" i="14"/>
  <c r="Q3418" i="14"/>
  <c r="Q3419" i="14"/>
  <c r="Q3420" i="14"/>
  <c r="Q3421" i="14"/>
  <c r="Q3422" i="14"/>
  <c r="Q3423" i="14"/>
  <c r="Q3424" i="14"/>
  <c r="Q3425" i="14"/>
  <c r="Q3426" i="14"/>
  <c r="Q3427" i="14"/>
  <c r="Q3428" i="14"/>
  <c r="Q3429" i="14"/>
  <c r="Q3430" i="14"/>
  <c r="Q3431" i="14"/>
  <c r="Q3432" i="14"/>
  <c r="Q3433" i="14"/>
  <c r="Q3434" i="14"/>
  <c r="Q3435" i="14"/>
  <c r="Q3436" i="14"/>
  <c r="Q3437" i="14"/>
  <c r="Q3438" i="14"/>
  <c r="Q3439" i="14"/>
  <c r="Q3440" i="14"/>
  <c r="Q3441" i="14"/>
  <c r="Q3442" i="14"/>
  <c r="Q3443" i="14"/>
  <c r="Q3444" i="14"/>
  <c r="Q3445" i="14"/>
  <c r="Q3446" i="14"/>
  <c r="Q3447" i="14"/>
  <c r="Q3448" i="14"/>
  <c r="Q3449" i="14"/>
  <c r="Q3450" i="14"/>
  <c r="Q3451" i="14"/>
  <c r="Q3452" i="14"/>
  <c r="Q3453" i="14"/>
  <c r="Q3454" i="14"/>
  <c r="Q3455" i="14"/>
  <c r="Q3456" i="14"/>
  <c r="Q3457" i="14"/>
  <c r="Q3458" i="14"/>
  <c r="Q3459" i="14"/>
  <c r="Q3460" i="14"/>
  <c r="Q3461" i="14"/>
  <c r="Q3462" i="14"/>
  <c r="Q3463" i="14"/>
  <c r="Q3464" i="14"/>
  <c r="Q3465" i="14"/>
  <c r="Q3466" i="14"/>
  <c r="Q3467" i="14"/>
  <c r="Q3468" i="14"/>
  <c r="Q3469" i="14"/>
  <c r="Q3470" i="14"/>
  <c r="Q3471" i="14"/>
  <c r="Q3472" i="14"/>
  <c r="Q3473" i="14"/>
  <c r="Q3474" i="14"/>
  <c r="Q3475" i="14"/>
  <c r="Q3476" i="14"/>
  <c r="Q3477" i="14"/>
  <c r="Q3478" i="14"/>
  <c r="Q3479" i="14"/>
  <c r="Q3480" i="14"/>
  <c r="Q3481" i="14"/>
  <c r="Q3482" i="14"/>
  <c r="Q3483" i="14"/>
  <c r="Q3484" i="14"/>
  <c r="Q3485" i="14"/>
  <c r="Q3486" i="14"/>
  <c r="Q3487" i="14"/>
  <c r="Q3488" i="14"/>
  <c r="Q3489" i="14"/>
  <c r="Q3490" i="14"/>
  <c r="Q3491" i="14"/>
  <c r="Q3492" i="14"/>
  <c r="Q3493" i="14"/>
  <c r="Q3494" i="14"/>
  <c r="Q3495" i="14"/>
  <c r="Q3496" i="14"/>
  <c r="Q3497" i="14"/>
  <c r="Q3498" i="14"/>
  <c r="Q3499" i="14"/>
  <c r="Q3500" i="14"/>
  <c r="Q3501" i="14"/>
  <c r="Q3502" i="14"/>
  <c r="Q3503" i="14"/>
  <c r="Q3504" i="14"/>
  <c r="Q3505" i="14"/>
  <c r="Q3506" i="14"/>
  <c r="Q3507" i="14"/>
  <c r="Q3508" i="14"/>
  <c r="Q3509" i="14"/>
  <c r="Q3510" i="14"/>
  <c r="Q3511" i="14"/>
  <c r="Q3512" i="14"/>
  <c r="Q3513" i="14"/>
  <c r="Q3514" i="14"/>
  <c r="Q3515" i="14"/>
  <c r="Q3516" i="14"/>
  <c r="Q3517" i="14"/>
  <c r="Q3518" i="14"/>
  <c r="Q3519" i="14"/>
  <c r="Q3520" i="14"/>
  <c r="Q3521" i="14"/>
  <c r="Q3522" i="14"/>
  <c r="Q3523" i="14"/>
  <c r="Q3524" i="14"/>
  <c r="Q3525" i="14"/>
  <c r="Q3526" i="14"/>
  <c r="Q3527" i="14"/>
  <c r="Q3528" i="14"/>
  <c r="Q3529" i="14"/>
  <c r="Q3530" i="14"/>
  <c r="Q3531" i="14"/>
  <c r="Q3532" i="14"/>
  <c r="Q3533" i="14"/>
  <c r="Q3534" i="14"/>
  <c r="Q3535" i="14"/>
  <c r="Q3536" i="14"/>
  <c r="Q3537" i="14"/>
  <c r="Q3538" i="14"/>
  <c r="Q3539" i="14"/>
  <c r="Q3540" i="14"/>
  <c r="Q3541" i="14"/>
  <c r="Q3542" i="14"/>
  <c r="Q3543" i="14"/>
  <c r="Q3544" i="14"/>
  <c r="Q3545" i="14"/>
  <c r="Q3546" i="14"/>
  <c r="Q3547" i="14"/>
  <c r="Q3548" i="14"/>
  <c r="Q3549" i="14"/>
  <c r="Q3550" i="14"/>
  <c r="Q3551" i="14"/>
  <c r="Q3552" i="14"/>
  <c r="Q3553" i="14"/>
  <c r="Q3554" i="14"/>
  <c r="Q3555" i="14"/>
  <c r="Q3556" i="14"/>
  <c r="Q3557" i="14"/>
  <c r="Q3558" i="14"/>
  <c r="Q3559" i="14"/>
  <c r="Q3560" i="14"/>
  <c r="Q3561" i="14"/>
  <c r="Q3562" i="14"/>
  <c r="Q3563" i="14"/>
  <c r="Q3564" i="14"/>
  <c r="Q3565" i="14"/>
  <c r="Q3566" i="14"/>
  <c r="Q3567" i="14"/>
  <c r="Q3568" i="14"/>
  <c r="Q3569" i="14"/>
  <c r="Q3570" i="14"/>
  <c r="Q3571" i="14"/>
  <c r="Q3572" i="14"/>
  <c r="Q3573" i="14"/>
  <c r="Q3574" i="14"/>
  <c r="Q3575" i="14"/>
  <c r="Q3576" i="14"/>
  <c r="Q3577" i="14"/>
  <c r="Q3578" i="14"/>
  <c r="Q3579" i="14"/>
  <c r="Q3580" i="14"/>
  <c r="Q3581" i="14"/>
  <c r="Q3582" i="14"/>
  <c r="Q3583" i="14"/>
  <c r="Q3584" i="14"/>
  <c r="Q3585" i="14"/>
  <c r="Q3586" i="14"/>
  <c r="Q3587" i="14"/>
  <c r="Q3588" i="14"/>
  <c r="Q3589" i="14"/>
  <c r="Q3590" i="14"/>
  <c r="Q3591" i="14"/>
  <c r="Q3592" i="14"/>
  <c r="Q3593" i="14"/>
  <c r="Q3594" i="14"/>
  <c r="Q3595" i="14"/>
  <c r="Q3596" i="14"/>
  <c r="Q3597" i="14"/>
  <c r="Q3598" i="14"/>
  <c r="Q3599" i="14"/>
  <c r="Q3600" i="14"/>
  <c r="Q3601" i="14"/>
  <c r="Q3602" i="14"/>
  <c r="Q3603" i="14"/>
  <c r="Q3604" i="14"/>
  <c r="Q3605" i="14"/>
  <c r="Q3606" i="14"/>
  <c r="Q3607" i="14"/>
  <c r="Q3608" i="14"/>
  <c r="Q3609" i="14"/>
  <c r="Q3610" i="14"/>
  <c r="Q3611" i="14"/>
  <c r="Q3612" i="14"/>
  <c r="Q3613" i="14"/>
  <c r="Q3614" i="14"/>
  <c r="Q3615" i="14"/>
  <c r="Q3616" i="14"/>
  <c r="Q3617" i="14"/>
  <c r="Q3618" i="14"/>
  <c r="Q3619" i="14"/>
  <c r="Q3620" i="14"/>
  <c r="Q3621" i="14"/>
  <c r="Q3622" i="14"/>
  <c r="Q3623" i="14"/>
  <c r="Q3624" i="14"/>
  <c r="Q3625" i="14"/>
  <c r="Q3626" i="14"/>
  <c r="Q3627" i="14"/>
  <c r="Q3628" i="14"/>
  <c r="Q3629" i="14"/>
  <c r="Q3630" i="14"/>
  <c r="Q3631" i="14"/>
  <c r="Q3632" i="14"/>
  <c r="Q3633" i="14"/>
  <c r="Q3634" i="14"/>
  <c r="Q3635" i="14"/>
  <c r="Q3636" i="14"/>
  <c r="Q3637" i="14"/>
  <c r="Q3638" i="14"/>
  <c r="Q3639" i="14"/>
  <c r="Q3640" i="14"/>
  <c r="Q3641" i="14"/>
  <c r="Q3642" i="14"/>
  <c r="Q3643" i="14"/>
  <c r="Q3644" i="14"/>
  <c r="Q3645" i="14"/>
  <c r="Q3646" i="14"/>
  <c r="Q3647" i="14"/>
  <c r="Q3648" i="14"/>
  <c r="Q3649" i="14"/>
  <c r="Q3650" i="14"/>
  <c r="Q3651" i="14"/>
  <c r="Q3652" i="14"/>
  <c r="Q3653" i="14"/>
  <c r="Q3654" i="14"/>
  <c r="Q3655" i="14"/>
  <c r="Q3656" i="14"/>
  <c r="Q3657" i="14"/>
  <c r="Q3658" i="14"/>
  <c r="Q3659" i="14"/>
  <c r="Q3660" i="14"/>
  <c r="Q3661" i="14"/>
  <c r="Q3662" i="14"/>
  <c r="Q3663" i="14"/>
  <c r="Q3664" i="14"/>
  <c r="Q3665" i="14"/>
  <c r="Q3666" i="14"/>
  <c r="Q3667" i="14"/>
  <c r="Q3668" i="14"/>
  <c r="Q3669" i="14"/>
  <c r="Q3670" i="14"/>
  <c r="Q3671" i="14"/>
  <c r="Q3672" i="14"/>
  <c r="Q3673" i="14"/>
  <c r="Q3674" i="14"/>
  <c r="Q3675" i="14"/>
  <c r="Q3676" i="14"/>
  <c r="Q3677" i="14"/>
  <c r="Q3678" i="14"/>
  <c r="Q3679" i="14"/>
  <c r="Q3680" i="14"/>
  <c r="Q3681" i="14"/>
  <c r="Q3682" i="14"/>
  <c r="Q3683" i="14"/>
  <c r="Q3684" i="14"/>
  <c r="Q3685" i="14"/>
  <c r="Q3686" i="14"/>
  <c r="Q3687" i="14"/>
  <c r="Q3688" i="14"/>
  <c r="Q3689" i="14"/>
  <c r="Q3690" i="14"/>
  <c r="Q3691" i="14"/>
  <c r="Q3692" i="14"/>
  <c r="Q3693" i="14"/>
  <c r="Q3694" i="14"/>
  <c r="Q3695" i="14"/>
  <c r="Q3696" i="14"/>
  <c r="Q3697" i="14"/>
  <c r="Q3698" i="14"/>
  <c r="Q3699" i="14"/>
  <c r="Q3700" i="14"/>
  <c r="Q3701" i="14"/>
  <c r="Q3702" i="14"/>
  <c r="Q3703" i="14"/>
  <c r="Q3704" i="14"/>
  <c r="Q3705" i="14"/>
  <c r="Q3706" i="14"/>
  <c r="Q3707" i="14"/>
  <c r="Q3708" i="14"/>
  <c r="Q3709" i="14"/>
  <c r="Q3710" i="14"/>
  <c r="Q3711" i="14"/>
  <c r="Q3712" i="14"/>
  <c r="Q3713" i="14"/>
  <c r="Q3714" i="14"/>
  <c r="Q3715" i="14"/>
  <c r="Q3716" i="14"/>
  <c r="Q3717" i="14"/>
  <c r="Q3718" i="14"/>
  <c r="Q3719" i="14"/>
  <c r="Q3720" i="14"/>
  <c r="Q3721" i="14"/>
  <c r="Q3722" i="14"/>
  <c r="Q3723" i="14"/>
  <c r="Q3724" i="14"/>
  <c r="Q3725" i="14"/>
  <c r="Q3726" i="14"/>
  <c r="Q3727" i="14"/>
  <c r="Q3728" i="14"/>
  <c r="Q3729" i="14"/>
  <c r="Q3730" i="14"/>
  <c r="Q3731" i="14"/>
  <c r="Q3732" i="14"/>
  <c r="Q3733" i="14"/>
  <c r="Q3734" i="14"/>
  <c r="Q3735" i="14"/>
  <c r="Q3736" i="14"/>
  <c r="Q3737" i="14"/>
  <c r="Q3738" i="14"/>
  <c r="Q3739" i="14"/>
  <c r="Q3740" i="14"/>
  <c r="Q3741" i="14"/>
  <c r="Q3742" i="14"/>
  <c r="Q3743" i="14"/>
  <c r="Q3744" i="14"/>
  <c r="Q3745" i="14"/>
  <c r="Q3746" i="14"/>
  <c r="Q3747" i="14"/>
  <c r="Q3748" i="14"/>
  <c r="Q3749" i="14"/>
  <c r="Q3750" i="14"/>
  <c r="Q3751" i="14"/>
  <c r="Q3752" i="14"/>
  <c r="Q3753" i="14"/>
  <c r="Q3754" i="14"/>
  <c r="Q3755" i="14"/>
  <c r="Q3756" i="14"/>
  <c r="Q3757" i="14"/>
  <c r="Q3758" i="14"/>
  <c r="Q3759" i="14"/>
  <c r="Q3760" i="14"/>
  <c r="Q3761" i="14"/>
  <c r="Q3762" i="14"/>
  <c r="Q3763" i="14"/>
  <c r="Q3764" i="14"/>
  <c r="Q3765" i="14"/>
  <c r="Q3766" i="14"/>
  <c r="Q3767" i="14"/>
  <c r="Q3768" i="14"/>
  <c r="Q3769" i="14"/>
  <c r="Q3770" i="14"/>
  <c r="Q3771" i="14"/>
  <c r="Q3772" i="14"/>
  <c r="Q3773" i="14"/>
  <c r="Q3774" i="14"/>
  <c r="Q3775" i="14"/>
  <c r="Q3776" i="14"/>
  <c r="Q3777" i="14"/>
  <c r="Q3778" i="14"/>
  <c r="Q3779" i="14"/>
  <c r="Q3780" i="14"/>
  <c r="Q3781" i="14"/>
  <c r="Q3782" i="14"/>
  <c r="Q3783" i="14"/>
  <c r="Q3784" i="14"/>
  <c r="Q3785" i="14"/>
  <c r="Q3786" i="14"/>
  <c r="Q3787" i="14"/>
  <c r="Q3788" i="14"/>
  <c r="Q3789" i="14"/>
  <c r="Q3790" i="14"/>
  <c r="Q3791" i="14"/>
  <c r="Q3792" i="14"/>
  <c r="Q3793" i="14"/>
  <c r="Q3794" i="14"/>
  <c r="Q3795" i="14"/>
  <c r="Q3796" i="14"/>
  <c r="Q3797" i="14"/>
  <c r="Q3798" i="14"/>
  <c r="Q3799" i="14"/>
  <c r="Q3800" i="14"/>
  <c r="Q3801" i="14"/>
  <c r="Q3802" i="14"/>
  <c r="Q3803" i="14"/>
  <c r="Q3804" i="14"/>
  <c r="Q3805" i="14"/>
  <c r="Q3806" i="14"/>
  <c r="Q3807" i="14"/>
  <c r="Q3808" i="14"/>
  <c r="Q3809" i="14"/>
  <c r="Q3810" i="14"/>
  <c r="Q3811" i="14"/>
  <c r="Q3812" i="14"/>
  <c r="Q3813" i="14"/>
  <c r="Q3814" i="14"/>
  <c r="Q3815" i="14"/>
  <c r="Q3816" i="14"/>
  <c r="Q3817" i="14"/>
  <c r="Q3818" i="14"/>
  <c r="Q3819" i="14"/>
  <c r="Q3820" i="14"/>
  <c r="Q3821" i="14"/>
  <c r="Q3822" i="14"/>
  <c r="Q3823" i="14"/>
  <c r="Q3824" i="14"/>
  <c r="Q3825" i="14"/>
  <c r="Q3826" i="14"/>
  <c r="Q3827" i="14"/>
  <c r="Q3828" i="14"/>
  <c r="Q3829" i="14"/>
  <c r="Q3830" i="14"/>
  <c r="Q3831" i="14"/>
  <c r="Q3832" i="14"/>
  <c r="Q3833" i="14"/>
  <c r="Q3834" i="14"/>
  <c r="Q3835" i="14"/>
  <c r="Q3836" i="14"/>
  <c r="Q3837" i="14"/>
  <c r="Q3838" i="14"/>
  <c r="Q3839" i="14"/>
  <c r="Q3840" i="14"/>
  <c r="Q3841" i="14"/>
  <c r="Q3842" i="14"/>
  <c r="Q3843" i="14"/>
  <c r="Q3844" i="14"/>
  <c r="Q3845" i="14"/>
  <c r="Q3846" i="14"/>
  <c r="Q3847" i="14"/>
  <c r="Q3848" i="14"/>
  <c r="Q3849" i="14"/>
  <c r="Q3850" i="14"/>
  <c r="Q3851" i="14"/>
  <c r="Q3852" i="14"/>
  <c r="Q3853" i="14"/>
  <c r="Q3854" i="14"/>
  <c r="Q3855" i="14"/>
  <c r="Q3856" i="14"/>
  <c r="Q3857" i="14"/>
  <c r="Q3858" i="14"/>
  <c r="Q3859" i="14"/>
  <c r="Q3860" i="14"/>
  <c r="Q3861" i="14"/>
  <c r="Q3862" i="14"/>
  <c r="Q3863" i="14"/>
  <c r="Q3864" i="14"/>
  <c r="Q3865" i="14"/>
  <c r="Q3866" i="14"/>
  <c r="Q3867" i="14"/>
  <c r="Q3868" i="14"/>
  <c r="Q3869" i="14"/>
  <c r="Q3870" i="14"/>
  <c r="Q3871" i="14"/>
  <c r="Q3872" i="14"/>
  <c r="Q3873" i="14"/>
  <c r="Q3874" i="14"/>
  <c r="Q3875" i="14"/>
  <c r="Q3876" i="14"/>
  <c r="Q3877" i="14"/>
  <c r="Q3878" i="14"/>
  <c r="Q3879" i="14"/>
  <c r="Q3880" i="14"/>
  <c r="Q3881" i="14"/>
  <c r="Q3882" i="14"/>
  <c r="Q3883" i="14"/>
  <c r="Q3884" i="14"/>
  <c r="Q3885" i="14"/>
  <c r="Q3886" i="14"/>
  <c r="Q3887" i="14"/>
  <c r="Q3888" i="14"/>
  <c r="Q3889" i="14"/>
  <c r="Q3890" i="14"/>
  <c r="Q3891" i="14"/>
  <c r="Q3892" i="14"/>
  <c r="Q3893" i="14"/>
  <c r="Q3894" i="14"/>
  <c r="Q3895" i="14"/>
  <c r="Q3896" i="14"/>
  <c r="Q3897" i="14"/>
  <c r="Q3898" i="14"/>
  <c r="Q3899" i="14"/>
  <c r="Q3900" i="14"/>
  <c r="Q3901" i="14"/>
  <c r="Q3902" i="14"/>
  <c r="Q3903" i="14"/>
  <c r="Q3904" i="14"/>
  <c r="Q3905" i="14"/>
  <c r="Q3906" i="14"/>
  <c r="Q3907" i="14"/>
  <c r="Q3908" i="14"/>
  <c r="Q3909" i="14"/>
  <c r="Q3910" i="14"/>
  <c r="Q3911" i="14"/>
  <c r="Q3912" i="14"/>
  <c r="Q3913" i="14"/>
  <c r="Q3914" i="14"/>
  <c r="Q3915" i="14"/>
  <c r="Q3916" i="14"/>
  <c r="Q3917" i="14"/>
  <c r="Q3918" i="14"/>
  <c r="Q3919" i="14"/>
  <c r="Q3920" i="14"/>
  <c r="Q3921" i="14"/>
  <c r="Q3922" i="14"/>
  <c r="Q3923" i="14"/>
  <c r="Q3924" i="14"/>
  <c r="Q3925" i="14"/>
  <c r="Q3926" i="14"/>
  <c r="Q3927" i="14"/>
  <c r="Q3928" i="14"/>
  <c r="Q3929" i="14"/>
  <c r="Q3930" i="14"/>
  <c r="Q3931" i="14"/>
  <c r="Q3932" i="14"/>
  <c r="Q3933" i="14"/>
  <c r="Q3934" i="14"/>
  <c r="Q3935" i="14"/>
  <c r="Q3936" i="14"/>
  <c r="Q3937" i="14"/>
  <c r="Q3938" i="14"/>
  <c r="Q3939" i="14"/>
  <c r="Q3940" i="14"/>
  <c r="Q3941" i="14"/>
  <c r="Q3942" i="14"/>
  <c r="Q3943" i="14"/>
  <c r="Q3944" i="14"/>
  <c r="Q3945" i="14"/>
  <c r="Q3946" i="14"/>
  <c r="Q3947" i="14"/>
  <c r="Q3948" i="14"/>
  <c r="Q3949" i="14"/>
  <c r="Q3950" i="14"/>
  <c r="Q3951" i="14"/>
  <c r="Q3952" i="14"/>
  <c r="Q3953" i="14"/>
  <c r="Q3954" i="14"/>
  <c r="Q3955" i="14"/>
  <c r="Q3956" i="14"/>
  <c r="Q3957" i="14"/>
  <c r="Q3958" i="14"/>
  <c r="Q3959" i="14"/>
  <c r="Q3960" i="14"/>
  <c r="Q3961" i="14"/>
  <c r="Q3962" i="14"/>
  <c r="Q3963" i="14"/>
  <c r="Q3964" i="14"/>
  <c r="Q3965" i="14"/>
  <c r="Q3966" i="14"/>
  <c r="Q3967" i="14"/>
  <c r="Q3968" i="14"/>
  <c r="Q3969" i="14"/>
  <c r="Q3970" i="14"/>
  <c r="Q3971" i="14"/>
  <c r="Q3972" i="14"/>
  <c r="Q3973" i="14"/>
  <c r="Q3974" i="14"/>
  <c r="Q3975" i="14"/>
  <c r="Q3976" i="14"/>
  <c r="Q3977" i="14"/>
  <c r="Q3978" i="14"/>
  <c r="Q3979" i="14"/>
  <c r="Q3980" i="14"/>
  <c r="Q3981" i="14"/>
  <c r="Q3982" i="14"/>
  <c r="Q3983" i="14"/>
  <c r="Q3984" i="14"/>
  <c r="Q3985" i="14"/>
  <c r="Q3986" i="14"/>
  <c r="Q3987" i="14"/>
  <c r="Q3988" i="14"/>
  <c r="Q3989" i="14"/>
  <c r="Q3990" i="14"/>
  <c r="Q3991" i="14"/>
  <c r="Q3992" i="14"/>
  <c r="Q3993" i="14"/>
  <c r="Q3994" i="14"/>
  <c r="Q3995" i="14"/>
  <c r="Q3996" i="14"/>
  <c r="Q3997" i="14"/>
  <c r="Q3998" i="14"/>
  <c r="Q3999" i="14"/>
  <c r="Q4000" i="14"/>
  <c r="Q4001" i="14"/>
  <c r="Q4002" i="14"/>
  <c r="Q4003" i="14"/>
  <c r="Q4004" i="14"/>
  <c r="Q4005" i="14"/>
  <c r="Q4006" i="14"/>
  <c r="Q4007" i="14"/>
  <c r="Q4008" i="14"/>
  <c r="Q4009" i="14"/>
  <c r="Q4010" i="14"/>
  <c r="Q4011" i="14"/>
  <c r="Q4012" i="14"/>
  <c r="Q4013" i="14"/>
  <c r="Q4014" i="14"/>
  <c r="Q4015" i="14"/>
  <c r="Q4016" i="14"/>
  <c r="Q4017" i="14"/>
  <c r="Q4018" i="14"/>
  <c r="Q4019" i="14"/>
  <c r="Q4020" i="14"/>
  <c r="Q4021" i="14"/>
  <c r="Q4022" i="14"/>
  <c r="Q4023" i="14"/>
  <c r="Q4024" i="14"/>
  <c r="Q4025" i="14"/>
  <c r="Q4026" i="14"/>
  <c r="Q4027" i="14"/>
  <c r="Q4028" i="14"/>
  <c r="Q4029" i="14"/>
  <c r="Q4030" i="14"/>
  <c r="Q4031" i="14"/>
  <c r="Q4032" i="14"/>
  <c r="Q4033" i="14"/>
  <c r="Q4034" i="14"/>
  <c r="Q4035" i="14"/>
  <c r="Q4036" i="14"/>
  <c r="Q4037" i="14"/>
  <c r="Q4038" i="14"/>
  <c r="Q4039" i="14"/>
  <c r="Q4040" i="14"/>
  <c r="Q4041" i="14"/>
  <c r="Q4042" i="14"/>
  <c r="Q4043" i="14"/>
  <c r="Q4044" i="14"/>
  <c r="Q4045" i="14"/>
  <c r="Q4046" i="14"/>
  <c r="Q4047" i="14"/>
  <c r="Q4048" i="14"/>
  <c r="Q4049" i="14"/>
  <c r="Q4050" i="14"/>
  <c r="Q4051" i="14"/>
  <c r="Q4052" i="14"/>
  <c r="Q4053" i="14"/>
  <c r="Q4054" i="14"/>
  <c r="Q4055" i="14"/>
  <c r="Q4056" i="14"/>
  <c r="Q4057" i="14"/>
  <c r="Q4058" i="14"/>
  <c r="Q4059" i="14"/>
  <c r="Q4060" i="14"/>
  <c r="Q4061" i="14"/>
  <c r="Q4062" i="14"/>
  <c r="Q4063" i="14"/>
  <c r="Q4064" i="14"/>
  <c r="Q4065" i="14"/>
  <c r="Q4066" i="14"/>
  <c r="Q4067" i="14"/>
  <c r="Q4068" i="14"/>
  <c r="Q4069" i="14"/>
  <c r="Q4070" i="14"/>
  <c r="Q4071" i="14"/>
  <c r="Q4072" i="14"/>
  <c r="Q4073" i="14"/>
  <c r="Q4074" i="14"/>
  <c r="Q4075" i="14"/>
  <c r="Q4076" i="14"/>
  <c r="Q4077" i="14"/>
  <c r="Q4078" i="14"/>
  <c r="Q4079" i="14"/>
  <c r="Q4080" i="14"/>
  <c r="Q4081" i="14"/>
  <c r="Q4082" i="14"/>
  <c r="Q4083" i="14"/>
  <c r="Q4084" i="14"/>
  <c r="Q4085" i="14"/>
  <c r="Q4086" i="14"/>
  <c r="Q4087" i="14"/>
  <c r="Q4088" i="14"/>
  <c r="Q4089" i="14"/>
  <c r="Q4090" i="14"/>
  <c r="Q4091" i="14"/>
  <c r="Q4092" i="14"/>
  <c r="Q4093" i="14"/>
  <c r="Q4094" i="14"/>
  <c r="Q4095" i="14"/>
  <c r="Q4096" i="14"/>
  <c r="Q4097" i="14"/>
  <c r="Q4098" i="14"/>
  <c r="Q4099" i="14"/>
  <c r="Q4100" i="14"/>
  <c r="Q4101" i="14"/>
  <c r="Q4102" i="14"/>
  <c r="Q4103" i="14"/>
  <c r="Q4104" i="14"/>
  <c r="Q4105" i="14"/>
  <c r="Q4106" i="14"/>
  <c r="Q4107" i="14"/>
  <c r="Q4108" i="14"/>
  <c r="Q4109" i="14"/>
  <c r="Q4110" i="14"/>
  <c r="Q4111" i="14"/>
  <c r="Q4112" i="14"/>
  <c r="Q4113" i="14"/>
  <c r="Q4114" i="14"/>
  <c r="Q4115" i="14"/>
  <c r="Q4116" i="14"/>
  <c r="Q4117" i="14"/>
  <c r="Q4118" i="14"/>
  <c r="Q4119" i="14"/>
  <c r="Q4120" i="14"/>
  <c r="Q4121" i="14"/>
  <c r="Q4122" i="14"/>
  <c r="Q4123" i="14"/>
  <c r="Q4124" i="14"/>
  <c r="Q4125" i="14"/>
  <c r="Q4126" i="14"/>
  <c r="Q4127" i="14"/>
  <c r="Q4128" i="14"/>
  <c r="Q4129" i="14"/>
  <c r="Q4130" i="14"/>
  <c r="Q4131" i="14"/>
  <c r="Q4132" i="14"/>
  <c r="Q4133" i="14"/>
  <c r="Q4134" i="14"/>
  <c r="Q4135" i="14"/>
  <c r="Q4136" i="14"/>
  <c r="Q4137" i="14"/>
  <c r="Q4138" i="14"/>
  <c r="Q4139" i="14"/>
  <c r="Q4140" i="14"/>
  <c r="Q4141" i="14"/>
  <c r="Q4142" i="14"/>
  <c r="Q4143" i="14"/>
  <c r="Q4144" i="14"/>
  <c r="Q4145" i="14"/>
  <c r="Q4146" i="14"/>
  <c r="Q4147" i="14"/>
  <c r="Q4148" i="14"/>
  <c r="Q4149" i="14"/>
  <c r="Q4150" i="14"/>
  <c r="Q4151" i="14"/>
  <c r="Q4152" i="14"/>
  <c r="Q4153" i="14"/>
  <c r="Q4154" i="14"/>
  <c r="Q4155" i="14"/>
  <c r="Q4156" i="14"/>
  <c r="Q4157" i="14"/>
  <c r="Q4158" i="14"/>
  <c r="Q4159" i="14"/>
  <c r="Q4160" i="14"/>
  <c r="Q4161" i="14"/>
  <c r="Q4162" i="14"/>
  <c r="Q4163" i="14"/>
  <c r="Q4164" i="14"/>
  <c r="Q4165" i="14"/>
  <c r="Q4166" i="14"/>
  <c r="Q4167" i="14"/>
  <c r="Q4168" i="14"/>
  <c r="Q4169" i="14"/>
  <c r="Q4170" i="14"/>
  <c r="Q4171" i="14"/>
  <c r="Q4172" i="14"/>
  <c r="Q4173" i="14"/>
  <c r="Q4174" i="14"/>
  <c r="Q4175" i="14"/>
  <c r="Q4176" i="14"/>
  <c r="Q4177" i="14"/>
  <c r="Q4178" i="14"/>
  <c r="Q4179" i="14"/>
  <c r="Q4180" i="14"/>
  <c r="Q4181" i="14"/>
  <c r="Q4182" i="14"/>
  <c r="Q4183" i="14"/>
  <c r="Q4184" i="14"/>
  <c r="Q4185" i="14"/>
  <c r="Q4186" i="14"/>
  <c r="Q4187" i="14"/>
  <c r="Q4188" i="14"/>
  <c r="Q4189" i="14"/>
  <c r="Q4190" i="14"/>
  <c r="Q4191" i="14"/>
  <c r="Q4192" i="14"/>
  <c r="Q4193" i="14"/>
  <c r="Q4194" i="14"/>
  <c r="Q4195" i="14"/>
  <c r="Q4196" i="14"/>
  <c r="Q4197" i="14"/>
  <c r="Q4198" i="14"/>
  <c r="Q4199" i="14"/>
  <c r="Q4200" i="14"/>
  <c r="Q4201" i="14"/>
  <c r="Q4202" i="14"/>
  <c r="Q4203" i="14"/>
  <c r="Q4204" i="14"/>
  <c r="Q4205" i="14"/>
  <c r="Q4206" i="14"/>
  <c r="Q4207" i="14"/>
  <c r="Q4208" i="14"/>
  <c r="Q4209" i="14"/>
  <c r="Q4210" i="14"/>
  <c r="Q4211" i="14"/>
  <c r="Q4212" i="14"/>
  <c r="Q4213" i="14"/>
  <c r="Q4214" i="14"/>
  <c r="Q4215" i="14"/>
  <c r="Q4216" i="14"/>
  <c r="Q4217" i="14"/>
  <c r="Q4218" i="14"/>
  <c r="Q4219" i="14"/>
  <c r="Q4220" i="14"/>
  <c r="Q4221" i="14"/>
  <c r="Q4222" i="14"/>
  <c r="Q4223" i="14"/>
  <c r="Q4224" i="14"/>
  <c r="Q4225" i="14"/>
  <c r="Q4226" i="14"/>
  <c r="Q4227" i="14"/>
  <c r="Q4228" i="14"/>
  <c r="Q4229" i="14"/>
  <c r="Q4230" i="14"/>
  <c r="Q4231" i="14"/>
  <c r="Q4232" i="14"/>
  <c r="Q4233" i="14"/>
  <c r="Q4234" i="14"/>
  <c r="Q4235" i="14"/>
  <c r="Q4236" i="14"/>
  <c r="Q4237" i="14"/>
  <c r="Q4238" i="14"/>
  <c r="Q4239" i="14"/>
  <c r="Q4240" i="14"/>
  <c r="Q4241" i="14"/>
  <c r="Q4242" i="14"/>
  <c r="Q4243" i="14"/>
  <c r="Q4244" i="14"/>
  <c r="Q4245" i="14"/>
  <c r="Q4246" i="14"/>
  <c r="Q4247" i="14"/>
  <c r="Q4248" i="14"/>
  <c r="Q4249" i="14"/>
  <c r="Q4250" i="14"/>
  <c r="Q4251" i="14"/>
  <c r="Q4252" i="14"/>
  <c r="Q4253" i="14"/>
  <c r="Q4254" i="14"/>
  <c r="Q4255" i="14"/>
  <c r="Q4256" i="14"/>
  <c r="Q4257" i="14"/>
  <c r="Q4258" i="14"/>
  <c r="Q4259" i="14"/>
  <c r="Q4260" i="14"/>
  <c r="Q4261" i="14"/>
  <c r="Q4262" i="14"/>
  <c r="Q4263" i="14"/>
  <c r="Q4264" i="14"/>
  <c r="Q4265" i="14"/>
  <c r="Q4266" i="14"/>
  <c r="Q4267" i="14"/>
  <c r="Q4268" i="14"/>
  <c r="Q4269" i="14"/>
  <c r="Q4270" i="14"/>
  <c r="Q4271" i="14"/>
  <c r="Q4272" i="14"/>
  <c r="Q4273" i="14"/>
  <c r="Q4274" i="14"/>
  <c r="Q4275" i="14"/>
  <c r="Q4276" i="14"/>
  <c r="Q4277" i="14"/>
  <c r="Q4278" i="14"/>
  <c r="Q4279" i="14"/>
  <c r="Q4280" i="14"/>
  <c r="Q4281" i="14"/>
  <c r="Q4282" i="14"/>
  <c r="Q4283" i="14"/>
  <c r="Q4284" i="14"/>
  <c r="Q4285" i="14"/>
  <c r="Q4286" i="14"/>
  <c r="Q4287" i="14"/>
  <c r="Q4288" i="14"/>
  <c r="Q4289" i="14"/>
  <c r="Q4290" i="14"/>
  <c r="Q4291" i="14"/>
  <c r="Q4292" i="14"/>
  <c r="Q4293" i="14"/>
  <c r="Q4294" i="14"/>
  <c r="Q4295" i="14"/>
  <c r="Q4296" i="14"/>
  <c r="Q4297" i="14"/>
  <c r="Q4298" i="14"/>
  <c r="Q4299" i="14"/>
  <c r="Q4300" i="14"/>
  <c r="Q4301" i="14"/>
  <c r="Q4302" i="14"/>
  <c r="Q4303" i="14"/>
  <c r="Q4304" i="14"/>
  <c r="Q4305" i="14"/>
  <c r="Q4306" i="14"/>
  <c r="Q4307" i="14"/>
  <c r="Q4308" i="14"/>
  <c r="Q4309" i="14"/>
  <c r="Q4310" i="14"/>
  <c r="Q4311" i="14"/>
  <c r="Q4312" i="14"/>
  <c r="Q4313" i="14"/>
  <c r="Q4314" i="14"/>
  <c r="Q4315" i="14"/>
  <c r="Q4316" i="14"/>
  <c r="Q4317" i="14"/>
  <c r="Q4318" i="14"/>
  <c r="Q4319" i="14"/>
  <c r="Q4320" i="14"/>
  <c r="Q4321" i="14"/>
  <c r="Q4322" i="14"/>
  <c r="Q4323" i="14"/>
  <c r="Q4324" i="14"/>
  <c r="Q4325" i="14"/>
  <c r="Q4326" i="14"/>
  <c r="Q4327" i="14"/>
  <c r="Q4328" i="14"/>
  <c r="Q4329" i="14"/>
  <c r="Q4330" i="14"/>
  <c r="Q4331" i="14"/>
  <c r="Q4332" i="14"/>
  <c r="Q4333" i="14"/>
  <c r="Q4334" i="14"/>
  <c r="Q4335" i="14"/>
  <c r="Q4336" i="14"/>
  <c r="Q4337" i="14"/>
  <c r="Q4338" i="14"/>
  <c r="Q4339" i="14"/>
  <c r="Q4340" i="14"/>
  <c r="Q4341" i="14"/>
  <c r="Q4342" i="14"/>
  <c r="Q4343" i="14"/>
  <c r="Q4344" i="14"/>
  <c r="Q4345" i="14"/>
  <c r="Q4346" i="14"/>
  <c r="Q4347" i="14"/>
  <c r="Q4348" i="14"/>
  <c r="Q4349" i="14"/>
  <c r="Q4350" i="14"/>
  <c r="Q4351" i="14"/>
  <c r="Q4352" i="14"/>
  <c r="Q4353" i="14"/>
  <c r="Q4354" i="14"/>
  <c r="Q4355" i="14"/>
  <c r="Q4356" i="14"/>
  <c r="Q4357" i="14"/>
  <c r="Q4358" i="14"/>
  <c r="Q4359" i="14"/>
  <c r="Q4360" i="14"/>
  <c r="Q4361" i="14"/>
  <c r="Q4362" i="14"/>
  <c r="Q4363" i="14"/>
  <c r="Q4364" i="14"/>
  <c r="Q4365" i="14"/>
  <c r="Q4366" i="14"/>
  <c r="Q4367" i="14"/>
  <c r="Q4368" i="14"/>
  <c r="Q4369" i="14"/>
  <c r="Q4370" i="14"/>
  <c r="Q4371" i="14"/>
  <c r="Q4372" i="14"/>
  <c r="Q4373" i="14"/>
  <c r="Q4374" i="14"/>
  <c r="Q4375" i="14"/>
  <c r="Q4376" i="14"/>
  <c r="Q4377" i="14"/>
  <c r="Q4378" i="14"/>
  <c r="Q4379" i="14"/>
  <c r="Q4380" i="14"/>
  <c r="Q4381" i="14"/>
  <c r="Q4382" i="14"/>
  <c r="Q4383" i="14"/>
  <c r="Q4384" i="14"/>
  <c r="Q4385" i="14"/>
  <c r="Q4386" i="14"/>
  <c r="Q4387" i="14"/>
  <c r="Q4388" i="14"/>
  <c r="Q4389" i="14"/>
  <c r="Q4390" i="14"/>
  <c r="Q4391" i="14"/>
  <c r="Q4392" i="14"/>
  <c r="Q4393" i="14"/>
  <c r="Q4394" i="14"/>
  <c r="Q4395" i="14"/>
  <c r="Q4396" i="14"/>
  <c r="Q4397" i="14"/>
  <c r="Q4398" i="14"/>
  <c r="Q4399" i="14"/>
  <c r="Q4400" i="14"/>
  <c r="Q4401" i="14"/>
  <c r="Q4402" i="14"/>
  <c r="Q4403" i="14"/>
  <c r="Q4404" i="14"/>
  <c r="Q4405" i="14"/>
  <c r="Q4406" i="14"/>
  <c r="Q4407" i="14"/>
  <c r="Q4408" i="14"/>
  <c r="Q4409" i="14"/>
  <c r="Q4410" i="14"/>
  <c r="Q4411" i="14"/>
  <c r="Q4412" i="14"/>
  <c r="Q4413" i="14"/>
  <c r="Q4414" i="14"/>
  <c r="Q4415" i="14"/>
  <c r="Q4416" i="14"/>
  <c r="Q4417" i="14"/>
  <c r="Q4418" i="14"/>
  <c r="Q4419" i="14"/>
  <c r="Q4420" i="14"/>
  <c r="Q4421" i="14"/>
  <c r="Q4422" i="14"/>
  <c r="Q4423" i="14"/>
  <c r="Q4424" i="14"/>
  <c r="Q4425" i="14"/>
  <c r="Q4426" i="14"/>
  <c r="Q4427" i="14"/>
  <c r="Q4428" i="14"/>
  <c r="Q4429" i="14"/>
  <c r="Q4430" i="14"/>
  <c r="Q4431" i="14"/>
  <c r="Q4432" i="14"/>
  <c r="Q4433" i="14"/>
  <c r="Q4434" i="14"/>
  <c r="Q4435" i="14"/>
  <c r="Q4436" i="14"/>
  <c r="Q4437" i="14"/>
  <c r="Q4438" i="14"/>
  <c r="Q4439" i="14"/>
  <c r="Q4440" i="14"/>
  <c r="Q4441" i="14"/>
  <c r="Q4442" i="14"/>
  <c r="Q4443" i="14"/>
  <c r="Q4444" i="14"/>
  <c r="Q4445" i="14"/>
  <c r="Q4446" i="14"/>
  <c r="Q4447" i="14"/>
  <c r="Q4448" i="14"/>
  <c r="Q4449" i="14"/>
  <c r="Q4450" i="14"/>
  <c r="Q4451" i="14"/>
  <c r="Q4452" i="14"/>
  <c r="Q4453" i="14"/>
  <c r="Q4454" i="14"/>
  <c r="Q4455" i="14"/>
  <c r="Q4456" i="14"/>
  <c r="Q4457" i="14"/>
  <c r="Q4458" i="14"/>
  <c r="Q4459" i="14"/>
  <c r="Q4460" i="14"/>
  <c r="Q4461" i="14"/>
  <c r="Q4462" i="14"/>
  <c r="Q4463" i="14"/>
  <c r="Q4464" i="14"/>
  <c r="Q4465" i="14"/>
  <c r="Q4466" i="14"/>
  <c r="Q4467" i="14"/>
  <c r="Q4468" i="14"/>
  <c r="Q4469" i="14"/>
  <c r="Q4470" i="14"/>
  <c r="Q4471" i="14"/>
  <c r="Q4472" i="14"/>
  <c r="Q4473" i="14"/>
  <c r="Q4474" i="14"/>
  <c r="Q4475" i="14"/>
  <c r="Q4476" i="14"/>
  <c r="Q4477" i="14"/>
  <c r="Q4478" i="14"/>
  <c r="Q4479" i="14"/>
  <c r="Q4480" i="14"/>
  <c r="Q4481" i="14"/>
  <c r="Q4482" i="14"/>
  <c r="Q4483" i="14"/>
  <c r="Q4484" i="14"/>
  <c r="Q4485" i="14"/>
  <c r="Q4486" i="14"/>
  <c r="Q4487" i="14"/>
  <c r="Q4488" i="14"/>
  <c r="Q4489" i="14"/>
  <c r="Q4490" i="14"/>
  <c r="Q4491" i="14"/>
  <c r="Q4492" i="14"/>
  <c r="Q4493" i="14"/>
  <c r="Q4494" i="14"/>
  <c r="Q4495" i="14"/>
  <c r="Q4496" i="14"/>
  <c r="Q4497" i="14"/>
  <c r="Q4498" i="14"/>
  <c r="Q4499" i="14"/>
  <c r="Q4500" i="14"/>
  <c r="Q4501" i="14"/>
  <c r="Q4502" i="14"/>
  <c r="Q4503" i="14"/>
  <c r="Q4504" i="14"/>
  <c r="Q4505" i="14"/>
  <c r="Q4506" i="14"/>
  <c r="Q4507" i="14"/>
  <c r="Q4508" i="14"/>
  <c r="Q4509" i="14"/>
  <c r="Q4510" i="14"/>
  <c r="Q4511" i="14"/>
  <c r="Q4512" i="14"/>
  <c r="Q4513" i="14"/>
  <c r="Q4514" i="14"/>
  <c r="Q4515" i="14"/>
  <c r="Q4516" i="14"/>
  <c r="Q4517" i="14"/>
  <c r="Q4518" i="14"/>
  <c r="Q4519" i="14"/>
  <c r="Q4520" i="14"/>
  <c r="Q4521" i="14"/>
  <c r="Q4522" i="14"/>
  <c r="Q4523" i="14"/>
  <c r="Q4524" i="14"/>
  <c r="Q4525" i="14"/>
  <c r="Q4526" i="14"/>
  <c r="Q4527" i="14"/>
  <c r="Q4528" i="14"/>
  <c r="Q4529" i="14"/>
  <c r="Q4530" i="14"/>
  <c r="Q4531" i="14"/>
  <c r="Q4532" i="14"/>
  <c r="Q4533" i="14"/>
  <c r="Q4534" i="14"/>
  <c r="Q4535" i="14"/>
  <c r="Q4536" i="14"/>
  <c r="Q4537" i="14"/>
  <c r="Q4538" i="14"/>
  <c r="Q4539" i="14"/>
  <c r="Q4540" i="14"/>
  <c r="Q4541" i="14"/>
  <c r="Q4542" i="14"/>
  <c r="Q4543" i="14"/>
  <c r="Q4544" i="14"/>
  <c r="Q4545" i="14"/>
  <c r="Q4546" i="14"/>
  <c r="Q4547" i="14"/>
  <c r="Q4548" i="14"/>
  <c r="Q4549" i="14"/>
  <c r="Q4550" i="14"/>
  <c r="Q4551" i="14"/>
  <c r="Q4552" i="14"/>
  <c r="Q4553" i="14"/>
  <c r="Q4554" i="14"/>
  <c r="Q4555" i="14"/>
  <c r="Q4556" i="14"/>
  <c r="Q4557" i="14"/>
  <c r="Q4558" i="14"/>
  <c r="Q4559" i="14"/>
  <c r="Q4560" i="14"/>
  <c r="Q4561" i="14"/>
  <c r="Q4562" i="14"/>
  <c r="Q4563" i="14"/>
  <c r="Q4564" i="14"/>
  <c r="Q4565" i="14"/>
  <c r="Q4566" i="14"/>
  <c r="Q4567" i="14"/>
  <c r="Q4568" i="14"/>
  <c r="Q4569" i="14"/>
  <c r="Q4570" i="14"/>
  <c r="Q4571" i="14"/>
  <c r="Q4572" i="14"/>
  <c r="Q4573" i="14"/>
  <c r="Q4574" i="14"/>
  <c r="Q4575" i="14"/>
  <c r="Q4576" i="14"/>
  <c r="Q4577" i="14"/>
  <c r="Q4578" i="14"/>
  <c r="Q4579" i="14"/>
  <c r="Q4580" i="14"/>
  <c r="Q4581" i="14"/>
  <c r="Q4582" i="14"/>
  <c r="Q4583" i="14"/>
  <c r="Q4584" i="14"/>
  <c r="Q4585" i="14"/>
  <c r="Q4586" i="14"/>
  <c r="Q4587" i="14"/>
  <c r="Q4588" i="14"/>
  <c r="Q4589" i="14"/>
  <c r="Q4590" i="14"/>
  <c r="Q4591" i="14"/>
  <c r="Q4592" i="14"/>
  <c r="Q4593" i="14"/>
  <c r="Q4594" i="14"/>
  <c r="Q4595" i="14"/>
  <c r="Q4596" i="14"/>
  <c r="Q4597" i="14"/>
  <c r="Q4598" i="14"/>
  <c r="Q4599" i="14"/>
  <c r="Q4600" i="14"/>
  <c r="Q4601" i="14"/>
  <c r="Q4602" i="14"/>
  <c r="Q4603" i="14"/>
  <c r="Q4604" i="14"/>
  <c r="Q4605" i="14"/>
  <c r="Q4606" i="14"/>
  <c r="Q4607" i="14"/>
  <c r="Q4608" i="14"/>
  <c r="Q4609" i="14"/>
  <c r="Q4610" i="14"/>
  <c r="Q4611" i="14"/>
  <c r="Q4612" i="14"/>
  <c r="Q4613" i="14"/>
  <c r="Q4614" i="14"/>
  <c r="Q4615" i="14"/>
  <c r="Q4616" i="14"/>
  <c r="Q4617" i="14"/>
  <c r="Q4618" i="14"/>
  <c r="Q4619" i="14"/>
  <c r="Q4620" i="14"/>
  <c r="Q4621" i="14"/>
  <c r="Q4622" i="14"/>
  <c r="Q4623" i="14"/>
  <c r="Q4624" i="14"/>
  <c r="Q4625" i="14"/>
  <c r="Q4626" i="14"/>
  <c r="Q4627" i="14"/>
  <c r="Q4628" i="14"/>
  <c r="Q4629" i="14"/>
  <c r="Q4630" i="14"/>
  <c r="Q4631" i="14"/>
  <c r="Q4632" i="14"/>
  <c r="Q4633" i="14"/>
  <c r="Q4634" i="14"/>
  <c r="Q4635" i="14"/>
  <c r="Q4636" i="14"/>
  <c r="Q4637" i="14"/>
  <c r="Q4638" i="14"/>
  <c r="Q4639" i="14"/>
  <c r="Q4640" i="14"/>
  <c r="Q4641" i="14"/>
  <c r="Q4642" i="14"/>
  <c r="Q4643" i="14"/>
  <c r="Q4644" i="14"/>
  <c r="Q4645" i="14"/>
  <c r="Q4646" i="14"/>
  <c r="Q4647" i="14"/>
  <c r="Q4648" i="14"/>
  <c r="Q4649" i="14"/>
  <c r="Q4650" i="14"/>
  <c r="Q4651" i="14"/>
  <c r="Q4652" i="14"/>
  <c r="Q4653" i="14"/>
  <c r="Q4654" i="14"/>
  <c r="Q4655" i="14"/>
  <c r="Q4656" i="14"/>
  <c r="Q4657" i="14"/>
  <c r="Q4658" i="14"/>
  <c r="Q4659" i="14"/>
  <c r="Q4660" i="14"/>
  <c r="Q4661" i="14"/>
  <c r="Q4662" i="14"/>
  <c r="Q4663" i="14"/>
  <c r="Q4664" i="14"/>
  <c r="Q4665" i="14"/>
  <c r="Q4666" i="14"/>
  <c r="Q4667" i="14"/>
  <c r="Q4668" i="14"/>
  <c r="Q4669" i="14"/>
  <c r="Q4670" i="14"/>
  <c r="Q4671" i="14"/>
  <c r="Q4672" i="14"/>
  <c r="Q4673" i="14"/>
  <c r="Q4674" i="14"/>
  <c r="Q4675" i="14"/>
  <c r="Q4676" i="14"/>
  <c r="Q4677" i="14"/>
  <c r="Q4678" i="14"/>
  <c r="Q4679" i="14"/>
  <c r="Q4680" i="14"/>
  <c r="Q4681" i="14"/>
  <c r="Q4682" i="14"/>
  <c r="Q4683" i="14"/>
  <c r="Q4684" i="14"/>
  <c r="Q4685" i="14"/>
  <c r="Q4686" i="14"/>
  <c r="Q4687" i="14"/>
  <c r="Q4688" i="14"/>
  <c r="Q4689" i="14"/>
  <c r="Q4690" i="14"/>
  <c r="Q4691" i="14"/>
  <c r="Q4692" i="14"/>
  <c r="Q4693" i="14"/>
  <c r="Q4694" i="14"/>
  <c r="Q4695" i="14"/>
  <c r="Q4696" i="14"/>
  <c r="Q4697" i="14"/>
  <c r="Q4698" i="14"/>
  <c r="Q4699" i="14"/>
  <c r="Q4700" i="14"/>
  <c r="Q4701" i="14"/>
  <c r="Q4702" i="14"/>
  <c r="Q4703" i="14"/>
  <c r="Q4704" i="14"/>
  <c r="Q4705" i="14"/>
  <c r="Q4706" i="14"/>
  <c r="Q4707" i="14"/>
  <c r="Q4708" i="14"/>
  <c r="Q4709" i="14"/>
  <c r="Q4710" i="14"/>
  <c r="Q4711" i="14"/>
  <c r="Q4712" i="14"/>
  <c r="Q4713" i="14"/>
  <c r="Q4714" i="14"/>
  <c r="Q4715" i="14"/>
  <c r="Q4716" i="14"/>
  <c r="Q4717" i="14"/>
  <c r="Q4718" i="14"/>
  <c r="Q4719" i="14"/>
  <c r="Q4720" i="14"/>
  <c r="Q4721" i="14"/>
  <c r="Q4722" i="14"/>
  <c r="Q4723" i="14"/>
  <c r="Q4724" i="14"/>
  <c r="Q4725" i="14"/>
  <c r="Q4726" i="14"/>
  <c r="Q4727" i="14"/>
  <c r="Q4728" i="14"/>
  <c r="Q4729" i="14"/>
  <c r="Q4730" i="14"/>
  <c r="Q4731" i="14"/>
  <c r="Q4732" i="14"/>
  <c r="Q4733" i="14"/>
  <c r="Q4734" i="14"/>
  <c r="Q4735" i="14"/>
  <c r="Q4736" i="14"/>
  <c r="Q4737" i="14"/>
  <c r="Q4738" i="14"/>
  <c r="Q4739" i="14"/>
  <c r="Q4740" i="14"/>
  <c r="Q4741" i="14"/>
  <c r="Q4742" i="14"/>
  <c r="Q4743" i="14"/>
  <c r="Q4744" i="14"/>
  <c r="Q4745" i="14"/>
  <c r="Q4746" i="14"/>
  <c r="Q4747" i="14"/>
  <c r="Q4748" i="14"/>
  <c r="Q4749" i="14"/>
  <c r="Q4750" i="14"/>
  <c r="Q4751" i="14"/>
  <c r="Q4752" i="14"/>
  <c r="Q4753" i="14"/>
  <c r="Q4754" i="14"/>
  <c r="Q4755" i="14"/>
  <c r="Q4756" i="14"/>
  <c r="Q4757" i="14"/>
  <c r="Q4758" i="14"/>
  <c r="Q4759" i="14"/>
  <c r="Q4760" i="14"/>
  <c r="Q4761" i="14"/>
  <c r="Q4762" i="14"/>
  <c r="Q4763" i="14"/>
  <c r="Q4764" i="14"/>
  <c r="Q4765" i="14"/>
  <c r="Q4766" i="14"/>
  <c r="Q4767" i="14"/>
  <c r="Q4768" i="14"/>
  <c r="Q4769" i="14"/>
  <c r="Q4770" i="14"/>
  <c r="Q4771" i="14"/>
  <c r="Q4772" i="14"/>
  <c r="Q4773" i="14"/>
  <c r="Q4774" i="14"/>
  <c r="Q4775" i="14"/>
  <c r="Q4776" i="14"/>
  <c r="Q4777" i="14"/>
  <c r="Q4778" i="14"/>
  <c r="Q4779" i="14"/>
  <c r="Q4780" i="14"/>
  <c r="Q4781" i="14"/>
  <c r="Q4782" i="14"/>
  <c r="Q4783" i="14"/>
  <c r="Q4784" i="14"/>
  <c r="Q4785" i="14"/>
  <c r="Q4786" i="14"/>
  <c r="Q4787" i="14"/>
  <c r="Q4788" i="14"/>
  <c r="Q4789" i="14"/>
  <c r="Q4790" i="14"/>
  <c r="Q4791" i="14"/>
  <c r="Q4792" i="14"/>
  <c r="Q4793" i="14"/>
  <c r="Q4794" i="14"/>
  <c r="Q4795" i="14"/>
  <c r="Q4796" i="14"/>
  <c r="Q4797" i="14"/>
  <c r="Q4798" i="14"/>
  <c r="Q4799" i="14"/>
  <c r="Q4800" i="14"/>
  <c r="Q4801" i="14"/>
  <c r="Q4802" i="14"/>
  <c r="Q4803" i="14"/>
  <c r="Q4804" i="14"/>
  <c r="Q4805" i="14"/>
  <c r="Q4806" i="14"/>
  <c r="Q4807" i="14"/>
  <c r="Q4808" i="14"/>
  <c r="Q4809" i="14"/>
  <c r="Q4810" i="14"/>
  <c r="Q4811" i="14"/>
  <c r="Q4812" i="14"/>
  <c r="Q4813" i="14"/>
  <c r="Q4814" i="14"/>
  <c r="Q4815" i="14"/>
  <c r="Q4816" i="14"/>
  <c r="Q4817" i="14"/>
  <c r="Q4818" i="14"/>
  <c r="Q4819" i="14"/>
  <c r="Q4820" i="14"/>
  <c r="Q4821" i="14"/>
  <c r="Q4822" i="14"/>
  <c r="Q4823" i="14"/>
  <c r="Q4824" i="14"/>
  <c r="Q4825" i="14"/>
  <c r="Q4826" i="14"/>
  <c r="Q4827" i="14"/>
  <c r="Q4828" i="14"/>
  <c r="Q4829" i="14"/>
  <c r="Q4830" i="14"/>
  <c r="Q4831" i="14"/>
  <c r="Q4832" i="14"/>
  <c r="Q4833" i="14"/>
  <c r="Q4834" i="14"/>
  <c r="Q4835" i="14"/>
  <c r="Q4836" i="14"/>
  <c r="Q4837" i="14"/>
  <c r="Q4838" i="14"/>
  <c r="Q4839" i="14"/>
  <c r="Q4840" i="14"/>
  <c r="Q4841" i="14"/>
  <c r="Q4842" i="14"/>
  <c r="Q4843" i="14"/>
  <c r="Q4844" i="14"/>
  <c r="Q4845" i="14"/>
  <c r="Q4846" i="14"/>
  <c r="Q4847" i="14"/>
  <c r="Q4848" i="14"/>
  <c r="Q4849" i="14"/>
  <c r="Q4850" i="14"/>
  <c r="Q4851" i="14"/>
  <c r="Q4852" i="14"/>
  <c r="Q4853" i="14"/>
  <c r="Q4854" i="14"/>
  <c r="Q4855" i="14"/>
  <c r="Q4856" i="14"/>
  <c r="Q4857" i="14"/>
  <c r="Q4858" i="14"/>
  <c r="Q4859" i="14"/>
  <c r="Q4860" i="14"/>
  <c r="Q4861" i="14"/>
  <c r="Q4862" i="14"/>
  <c r="Q4863" i="14"/>
  <c r="Q4864" i="14"/>
  <c r="Q4865" i="14"/>
  <c r="Q4866" i="14"/>
  <c r="Q4867" i="14"/>
  <c r="Q4868" i="14"/>
  <c r="Q4869" i="14"/>
  <c r="Q4870" i="14"/>
  <c r="Q4871" i="14"/>
  <c r="Q4872" i="14"/>
  <c r="Q4873" i="14"/>
  <c r="Q4874" i="14"/>
  <c r="Q4875" i="14"/>
  <c r="Q4876" i="14"/>
  <c r="Q4877" i="14"/>
  <c r="Q4878" i="14"/>
  <c r="Q4879" i="14"/>
  <c r="Q4880" i="14"/>
  <c r="Q4881" i="14"/>
  <c r="Q4882" i="14"/>
  <c r="Q4883" i="14"/>
  <c r="Q4884" i="14"/>
  <c r="Q4885" i="14"/>
  <c r="Q4886" i="14"/>
  <c r="Q4887" i="14"/>
  <c r="Q4888" i="14"/>
  <c r="Q4889" i="14"/>
  <c r="Q4890" i="14"/>
  <c r="Q4891" i="14"/>
  <c r="Q4892" i="14"/>
  <c r="Q4893" i="14"/>
  <c r="Q4894" i="14"/>
  <c r="Q4895" i="14"/>
  <c r="Q4896" i="14"/>
  <c r="Q4897" i="14"/>
  <c r="Q4898" i="14"/>
  <c r="Q4899" i="14"/>
  <c r="Q4900" i="14"/>
  <c r="Q4901" i="14"/>
  <c r="Q4902" i="14"/>
  <c r="Q4903" i="14"/>
  <c r="Q4904" i="14"/>
  <c r="Q4905" i="14"/>
  <c r="Q4906" i="14"/>
  <c r="Q4907" i="14"/>
  <c r="Q4908" i="14"/>
  <c r="Q4909" i="14"/>
  <c r="Q4910" i="14"/>
  <c r="Q4911" i="14"/>
  <c r="Q4912" i="14"/>
  <c r="Q4913" i="14"/>
  <c r="Q4914" i="14"/>
  <c r="Q4915" i="14"/>
  <c r="Q4916" i="14"/>
  <c r="Q4917" i="14"/>
  <c r="Q4918" i="14"/>
  <c r="Q4919" i="14"/>
  <c r="Q4920" i="14"/>
  <c r="Q4921" i="14"/>
  <c r="Q4922" i="14"/>
  <c r="Q4923" i="14"/>
  <c r="Q4924" i="14"/>
  <c r="Q4925" i="14"/>
  <c r="Q4926" i="14"/>
  <c r="Q4927" i="14"/>
  <c r="Q4928" i="14"/>
  <c r="Q4929" i="14"/>
  <c r="Q4930" i="14"/>
  <c r="Q4931" i="14"/>
  <c r="Q4932" i="14"/>
  <c r="Q4933" i="14"/>
  <c r="Q4934" i="14"/>
  <c r="Q4935" i="14"/>
  <c r="Q4936" i="14"/>
  <c r="Q4937" i="14"/>
  <c r="Q4938" i="14"/>
  <c r="Q4939" i="14"/>
  <c r="Q4940" i="14"/>
  <c r="Q4941" i="14"/>
  <c r="Q4942" i="14"/>
  <c r="Q4943" i="14"/>
  <c r="Q4944" i="14"/>
  <c r="Q4945" i="14"/>
  <c r="Q4946" i="14"/>
  <c r="Q4947" i="14"/>
  <c r="Q4948" i="14"/>
  <c r="Q4949" i="14"/>
  <c r="Q4950" i="14"/>
  <c r="Q4951" i="14"/>
  <c r="Q4952" i="14"/>
  <c r="Q4953" i="14"/>
  <c r="Q4954" i="14"/>
  <c r="Q4955" i="14"/>
  <c r="Q4956" i="14"/>
  <c r="Q4957" i="14"/>
  <c r="Q4958" i="14"/>
  <c r="Q4959" i="14"/>
  <c r="Q4960" i="14"/>
  <c r="Q4961" i="14"/>
  <c r="Q4962" i="14"/>
  <c r="Q4963" i="14"/>
  <c r="Q4964" i="14"/>
  <c r="Q4965" i="14"/>
  <c r="Q4966" i="14"/>
  <c r="Q4967" i="14"/>
  <c r="Q4968" i="14"/>
  <c r="Q4969" i="14"/>
  <c r="Q4970" i="14"/>
  <c r="Q4971" i="14"/>
  <c r="Q4972" i="14"/>
  <c r="Q4973" i="14"/>
  <c r="Q4974" i="14"/>
  <c r="Q4975" i="14"/>
  <c r="Q4976" i="14"/>
  <c r="Q4977" i="14"/>
  <c r="Q4978" i="14"/>
  <c r="Q4979" i="14"/>
  <c r="Q4980" i="14"/>
  <c r="Q4981" i="14"/>
  <c r="Q4982" i="14"/>
  <c r="Q4983" i="14"/>
  <c r="Q4984" i="14"/>
  <c r="Q4985" i="14"/>
  <c r="Q4986" i="14"/>
  <c r="Q4987" i="14"/>
  <c r="Q4988" i="14"/>
  <c r="Q4989" i="14"/>
  <c r="Q4990" i="14"/>
  <c r="Q4991" i="14"/>
  <c r="Q4992" i="14"/>
  <c r="Q4993" i="14"/>
  <c r="Q4994" i="14"/>
  <c r="Q4995" i="14"/>
  <c r="Q4996" i="14"/>
  <c r="Q4997" i="14"/>
  <c r="Q4998" i="14"/>
  <c r="Q4999" i="14"/>
  <c r="Q5000" i="14"/>
  <c r="Q5001" i="14"/>
  <c r="Q5002" i="14"/>
  <c r="Q5003" i="14"/>
  <c r="Q5004" i="14"/>
  <c r="Q5005" i="14"/>
  <c r="Q5006" i="14"/>
  <c r="Q5007" i="14"/>
  <c r="Q5008" i="14"/>
  <c r="Q5009" i="14"/>
  <c r="Q5010" i="14"/>
  <c r="Q5011" i="14"/>
  <c r="Q5012" i="14"/>
  <c r="Q5013" i="14"/>
  <c r="Q5014" i="14"/>
  <c r="Q5015" i="14"/>
  <c r="Q5016" i="14"/>
  <c r="Q5017" i="14"/>
  <c r="Q5018" i="14"/>
  <c r="Q5019" i="14"/>
  <c r="Q5020" i="14"/>
  <c r="Q5021" i="14"/>
  <c r="Q5022" i="14"/>
  <c r="Q5023" i="14"/>
  <c r="Q5024" i="14"/>
  <c r="Q5025" i="14"/>
  <c r="Q5026" i="14"/>
  <c r="Q5027" i="14"/>
  <c r="Q5028" i="14"/>
  <c r="Q5029" i="14"/>
  <c r="Q5030" i="14"/>
  <c r="Q5031" i="14"/>
  <c r="Q5032" i="14"/>
  <c r="Q5033" i="14"/>
  <c r="Q5034" i="14"/>
  <c r="Q5035" i="14"/>
  <c r="Q5036" i="14"/>
  <c r="Q5037" i="14"/>
  <c r="Q5038" i="14"/>
  <c r="Q5039" i="14"/>
  <c r="Q5040" i="14"/>
  <c r="Q5041" i="14"/>
  <c r="Q5042" i="14"/>
  <c r="Q5043" i="14"/>
  <c r="Q5044" i="14"/>
  <c r="Q5045" i="14"/>
  <c r="Q5046" i="14"/>
  <c r="Q5047" i="14"/>
  <c r="Q5048" i="14"/>
  <c r="Q5049" i="14"/>
  <c r="Q5050" i="14"/>
  <c r="Q5051" i="14"/>
  <c r="Q5052" i="14"/>
  <c r="Q5053" i="14"/>
  <c r="Q5054" i="14"/>
  <c r="Q5055" i="14"/>
  <c r="Q5056" i="14"/>
  <c r="Q5057" i="14"/>
  <c r="Q5058" i="14"/>
  <c r="Q5059" i="14"/>
  <c r="Q5060" i="14"/>
  <c r="Q5061" i="14"/>
  <c r="Q5062" i="14"/>
  <c r="Q5063" i="14"/>
  <c r="Q5064" i="14"/>
  <c r="Q5065" i="14"/>
  <c r="Q5066" i="14"/>
  <c r="Q5067" i="14"/>
  <c r="Q5068" i="14"/>
  <c r="Q5069" i="14"/>
  <c r="Q5070" i="14"/>
  <c r="Q5071" i="14"/>
  <c r="Q5072" i="14"/>
  <c r="Q5073" i="14"/>
  <c r="Q5074" i="14"/>
  <c r="Q5075" i="14"/>
  <c r="Q5076" i="14"/>
  <c r="Q5077" i="14"/>
  <c r="Q5078" i="14"/>
  <c r="Q5079" i="14"/>
  <c r="Q5080" i="14"/>
  <c r="Q5081" i="14"/>
  <c r="Q5082" i="14"/>
  <c r="Q5083" i="14"/>
  <c r="Q5084" i="14"/>
  <c r="Q5085" i="14"/>
  <c r="Q5086" i="14"/>
  <c r="Q5087" i="14"/>
  <c r="Q5088" i="14"/>
  <c r="Q5089" i="14"/>
  <c r="Q5090" i="14"/>
  <c r="Q5091" i="14"/>
  <c r="Q5092" i="14"/>
  <c r="Q5093" i="14"/>
  <c r="Q5094" i="14"/>
  <c r="Q5095" i="14"/>
  <c r="Q5096" i="14"/>
  <c r="Q5097" i="14"/>
  <c r="Q5098" i="14"/>
  <c r="Q5099" i="14"/>
  <c r="Q5100" i="14"/>
  <c r="Q5101" i="14"/>
  <c r="Q5102" i="14"/>
  <c r="Q5103" i="14"/>
  <c r="Q5104" i="14"/>
  <c r="Q5105" i="14"/>
  <c r="Q5106" i="14"/>
  <c r="Q5107" i="14"/>
  <c r="Q5108" i="14"/>
  <c r="Q5109" i="14"/>
  <c r="Q5110" i="14"/>
  <c r="Q5111" i="14"/>
  <c r="Q5112" i="14"/>
  <c r="Q5113" i="14"/>
  <c r="Q5114" i="14"/>
  <c r="Q5115" i="14"/>
  <c r="Q5116" i="14"/>
  <c r="Q5117" i="14"/>
  <c r="Q5118" i="14"/>
  <c r="Q5119" i="14"/>
  <c r="Q5120" i="14"/>
  <c r="Q5121" i="14"/>
  <c r="Q5122" i="14"/>
  <c r="Q5123" i="14"/>
  <c r="Q5124" i="14"/>
  <c r="Q5125" i="14"/>
  <c r="Q5126" i="14"/>
  <c r="Q5127" i="14"/>
  <c r="Q5128" i="14"/>
  <c r="Q5129" i="14"/>
  <c r="Q5130" i="14"/>
  <c r="Q5131" i="14"/>
  <c r="Q5132" i="14"/>
  <c r="Q5133" i="14"/>
  <c r="Q5134" i="14"/>
  <c r="Q5135" i="14"/>
  <c r="Q5136" i="14"/>
  <c r="Q5137" i="14"/>
  <c r="Q5138" i="14"/>
  <c r="Q5139" i="14"/>
  <c r="Q5140" i="14"/>
  <c r="Q5141" i="14"/>
  <c r="Q5142" i="14"/>
  <c r="Q5143" i="14"/>
  <c r="Q5144" i="14"/>
  <c r="Q5145" i="14"/>
  <c r="Q5146" i="14"/>
  <c r="Q5147" i="14"/>
  <c r="Q5148" i="14"/>
  <c r="Q5149" i="14"/>
  <c r="Q5150" i="14"/>
  <c r="Q5151" i="14"/>
  <c r="Q5152" i="14"/>
  <c r="Q5153" i="14"/>
  <c r="Q5154" i="14"/>
  <c r="Q5155" i="14"/>
  <c r="Q5156" i="14"/>
  <c r="Q5157" i="14"/>
  <c r="Q5158" i="14"/>
  <c r="Q5159" i="14"/>
  <c r="Q5160" i="14"/>
  <c r="Q5161" i="14"/>
  <c r="Q5162" i="14"/>
  <c r="Q5163" i="14"/>
  <c r="Q5164" i="14"/>
  <c r="Q5165" i="14"/>
  <c r="Q5166" i="14"/>
  <c r="Q5167" i="14"/>
  <c r="Q5168" i="14"/>
  <c r="Q5169" i="14"/>
  <c r="Q5170" i="14"/>
  <c r="Q5171" i="14"/>
  <c r="Q5172" i="14"/>
  <c r="Q5173" i="14"/>
  <c r="Q5174" i="14"/>
  <c r="Q5175" i="14"/>
  <c r="Q5176" i="14"/>
  <c r="Q5177" i="14"/>
  <c r="Q5178" i="14"/>
  <c r="Q5179" i="14"/>
  <c r="Q5180" i="14"/>
  <c r="Q5181" i="14"/>
  <c r="Q5182" i="14"/>
  <c r="Q5183" i="14"/>
  <c r="Q5184" i="14"/>
  <c r="Q5185" i="14"/>
  <c r="Q5186" i="14"/>
  <c r="Q5187" i="14"/>
  <c r="Q5188" i="14"/>
  <c r="Q5189" i="14"/>
  <c r="Q5190" i="14"/>
  <c r="Q5191" i="14"/>
  <c r="Q5192" i="14"/>
  <c r="Q5193" i="14"/>
  <c r="Q5194" i="14"/>
  <c r="Q5195" i="14"/>
  <c r="Q5196" i="14"/>
  <c r="Q5197" i="14"/>
  <c r="Q5198" i="14"/>
  <c r="Q5199" i="14"/>
  <c r="Q5200" i="14"/>
  <c r="Q5201" i="14"/>
  <c r="Q5202" i="14"/>
  <c r="Q5203" i="14"/>
  <c r="Q5204" i="14"/>
  <c r="Q5205" i="14"/>
  <c r="Q5206" i="14"/>
  <c r="Q5207" i="14"/>
  <c r="Q5208" i="14"/>
  <c r="Q5209" i="14"/>
  <c r="Q5210" i="14"/>
  <c r="Q5211" i="14"/>
  <c r="Q5212" i="14"/>
  <c r="Q5213" i="14"/>
  <c r="Q5214" i="14"/>
  <c r="Q5215" i="14"/>
  <c r="Q5216" i="14"/>
  <c r="Q5217" i="14"/>
  <c r="Q5218" i="14"/>
  <c r="Q5219" i="14"/>
  <c r="Q5220" i="14"/>
  <c r="Q5221" i="14"/>
  <c r="Q5222" i="14"/>
  <c r="Q5223" i="14"/>
  <c r="Q5224" i="14"/>
  <c r="Q5225" i="14"/>
  <c r="Q5226" i="14"/>
  <c r="Q5227" i="14"/>
  <c r="Q5228" i="14"/>
  <c r="Q5229" i="14"/>
  <c r="Q5230" i="14"/>
  <c r="Q5231" i="14"/>
  <c r="Q5232" i="14"/>
  <c r="Q5233" i="14"/>
  <c r="Q5234" i="14"/>
  <c r="Q5235" i="14"/>
  <c r="Q5236" i="14"/>
  <c r="Q5237" i="14"/>
  <c r="Q5238" i="14"/>
  <c r="Q5239" i="14"/>
  <c r="Q5240" i="14"/>
  <c r="Q5241" i="14"/>
  <c r="Q5242" i="14"/>
  <c r="Q5243" i="14"/>
  <c r="Q5244" i="14"/>
  <c r="Q5245" i="14"/>
  <c r="Q5246" i="14"/>
  <c r="Q5247" i="14"/>
  <c r="Q5248" i="14"/>
  <c r="Q5249" i="14"/>
  <c r="Q5250" i="14"/>
  <c r="Q5251" i="14"/>
  <c r="Q5252" i="14"/>
  <c r="Q5253" i="14"/>
  <c r="Q5254" i="14"/>
  <c r="Q5255" i="14"/>
  <c r="Q5256" i="14"/>
  <c r="Q5257" i="14"/>
  <c r="Q5258" i="14"/>
  <c r="Q5259" i="14"/>
  <c r="Q5260" i="14"/>
  <c r="Q5261" i="14"/>
  <c r="Q5262" i="14"/>
  <c r="Q5263" i="14"/>
  <c r="Q5264" i="14"/>
  <c r="Q5265" i="14"/>
  <c r="Q5266" i="14"/>
  <c r="Q5267" i="14"/>
  <c r="Q5268" i="14"/>
  <c r="Q5269" i="14"/>
  <c r="Q5270" i="14"/>
  <c r="Q5271" i="14"/>
  <c r="Q5272" i="14"/>
  <c r="Q5273" i="14"/>
  <c r="Q5274" i="14"/>
  <c r="Q5275" i="14"/>
  <c r="Q5276" i="14"/>
  <c r="Q5277" i="14"/>
  <c r="Q5278" i="14"/>
  <c r="Q5279" i="14"/>
  <c r="Q5280" i="14"/>
  <c r="Q5281" i="14"/>
  <c r="Q5282" i="14"/>
  <c r="Q5283" i="14"/>
  <c r="Q5284" i="14"/>
  <c r="Q5285" i="14"/>
  <c r="Q5286" i="14"/>
  <c r="Q5287" i="14"/>
  <c r="Q5288" i="14"/>
  <c r="Q5289" i="14"/>
  <c r="Q5290" i="14"/>
  <c r="Q5291" i="14"/>
  <c r="Q5292" i="14"/>
  <c r="Q5293" i="14"/>
  <c r="Q5294" i="14"/>
  <c r="Q5295" i="14"/>
  <c r="Q5296" i="14"/>
  <c r="Q5297" i="14"/>
  <c r="Q5298" i="14"/>
  <c r="Q5299" i="14"/>
  <c r="Q5300" i="14"/>
  <c r="Q5301" i="14"/>
  <c r="Q5302" i="14"/>
  <c r="Q5303" i="14"/>
  <c r="Q5304" i="14"/>
  <c r="Q5305" i="14"/>
  <c r="Q5306" i="14"/>
  <c r="Q5307" i="14"/>
  <c r="Q5308" i="14"/>
  <c r="Q5309" i="14"/>
  <c r="Q5310" i="14"/>
  <c r="Q5311" i="14"/>
  <c r="Q5312" i="14"/>
  <c r="Q5313" i="14"/>
  <c r="Q5314" i="14"/>
  <c r="Q5315" i="14"/>
  <c r="Q5316" i="14"/>
  <c r="Q5317" i="14"/>
  <c r="Q5318" i="14"/>
  <c r="Q5319" i="14"/>
  <c r="Q5320" i="14"/>
  <c r="Q5321" i="14"/>
  <c r="Q5322" i="14"/>
  <c r="Q5323" i="14"/>
  <c r="Q5324" i="14"/>
  <c r="Q5325" i="14"/>
  <c r="Q5326" i="14"/>
  <c r="Q5327" i="14"/>
  <c r="Q5328" i="14"/>
  <c r="Q5329" i="14"/>
  <c r="Q5330" i="14"/>
  <c r="Q5331" i="14"/>
  <c r="Q5332" i="14"/>
  <c r="Q5333" i="14"/>
  <c r="Q5334" i="14"/>
  <c r="Q5335" i="14"/>
  <c r="Q5336" i="14"/>
  <c r="Q5337" i="14"/>
  <c r="Q5338" i="14"/>
  <c r="Q5339" i="14"/>
  <c r="Q5340" i="14"/>
  <c r="Q5341" i="14"/>
  <c r="Q5342" i="14"/>
  <c r="Q5343" i="14"/>
  <c r="Q5344" i="14"/>
  <c r="Q5345" i="14"/>
  <c r="Q5346" i="14"/>
  <c r="Q5347" i="14"/>
  <c r="Q5348" i="14"/>
  <c r="Q5349" i="14"/>
  <c r="Q5350" i="14"/>
  <c r="Q5351" i="14"/>
  <c r="Q5352" i="14"/>
  <c r="Q5353" i="14"/>
  <c r="Q5354" i="14"/>
  <c r="Q5355" i="14"/>
  <c r="Q5356" i="14"/>
  <c r="Q5357" i="14"/>
  <c r="Q5358" i="14"/>
  <c r="Q5359" i="14"/>
  <c r="Q5360" i="14"/>
  <c r="Q5361" i="14"/>
  <c r="Q5362" i="14"/>
  <c r="Q5363" i="14"/>
  <c r="Q5364" i="14"/>
  <c r="Q5365" i="14"/>
  <c r="Q5366" i="14"/>
  <c r="Q5367" i="14"/>
  <c r="Q5368" i="14"/>
  <c r="Q5369" i="14"/>
  <c r="Q5370" i="14"/>
  <c r="Q5371" i="14"/>
  <c r="Q5372" i="14"/>
  <c r="Q5373" i="14"/>
  <c r="Q5374" i="14"/>
  <c r="Q5375" i="14"/>
  <c r="Q5376" i="14"/>
  <c r="Q5377" i="14"/>
  <c r="Q5378" i="14"/>
  <c r="Q5379" i="14"/>
  <c r="Q5380" i="14"/>
  <c r="Q5381" i="14"/>
  <c r="Q5382" i="14"/>
  <c r="Q5383" i="14"/>
  <c r="Q5384" i="14"/>
  <c r="Q5385" i="14"/>
  <c r="Q5386" i="14"/>
  <c r="Q5387" i="14"/>
  <c r="Q5388" i="14"/>
  <c r="Q5389" i="14"/>
  <c r="Q5390" i="14"/>
  <c r="Q5391" i="14"/>
  <c r="Q5392" i="14"/>
  <c r="Q5393" i="14"/>
  <c r="Q5394" i="14"/>
  <c r="Q5395" i="14"/>
  <c r="Q5396" i="14"/>
  <c r="Q5397" i="14"/>
  <c r="Q5398" i="14"/>
  <c r="Q5399" i="14"/>
  <c r="Q5400" i="14"/>
  <c r="Q5401" i="14"/>
  <c r="Q5402" i="14"/>
  <c r="Q5403" i="14"/>
  <c r="Q5404" i="14"/>
  <c r="Q5405" i="14"/>
  <c r="Q5406" i="14"/>
  <c r="Q5407" i="14"/>
  <c r="Q5408" i="14"/>
  <c r="Q5409" i="14"/>
  <c r="Q5410" i="14"/>
  <c r="Q5411" i="14"/>
  <c r="Q5412" i="14"/>
  <c r="Q5413" i="14"/>
  <c r="Q5414" i="14"/>
  <c r="Q5415" i="14"/>
  <c r="Q5416" i="14"/>
  <c r="Q5417" i="14"/>
  <c r="Q5418" i="14"/>
  <c r="Q5419" i="14"/>
  <c r="Q5420" i="14"/>
  <c r="Q5421" i="14"/>
  <c r="Q5422" i="14"/>
  <c r="Q5423" i="14"/>
  <c r="Q5424" i="14"/>
  <c r="Q5425" i="14"/>
  <c r="Q5426" i="14"/>
  <c r="Q5427" i="14"/>
  <c r="Q5428" i="14"/>
  <c r="Q5429" i="14"/>
  <c r="Q5430" i="14"/>
  <c r="Q5431" i="14"/>
  <c r="Q5432" i="14"/>
  <c r="Q5433" i="14"/>
  <c r="Q5434" i="14"/>
  <c r="Q5435" i="14"/>
  <c r="Q5436" i="14"/>
  <c r="Q5437" i="14"/>
  <c r="Q5438" i="14"/>
  <c r="Q5439" i="14"/>
  <c r="Q5440" i="14"/>
  <c r="Q5441" i="14"/>
  <c r="Q5442" i="14"/>
  <c r="Q5443" i="14"/>
  <c r="Q5444" i="14"/>
  <c r="Q5445" i="14"/>
  <c r="Q5446" i="14"/>
  <c r="Q5447" i="14"/>
  <c r="Q5448" i="14"/>
  <c r="Q5449" i="14"/>
  <c r="Q5450" i="14"/>
  <c r="Q5451" i="14"/>
  <c r="Q5452" i="14"/>
  <c r="Q5453" i="14"/>
  <c r="Q5454" i="14"/>
  <c r="Q5455" i="14"/>
  <c r="Q5456" i="14"/>
  <c r="Q5457" i="14"/>
  <c r="Q5458" i="14"/>
  <c r="Q5459" i="14"/>
  <c r="Q5460" i="14"/>
  <c r="Q5461" i="14"/>
  <c r="Q5462" i="14"/>
  <c r="Q5463" i="14"/>
  <c r="Q5464" i="14"/>
  <c r="Q5465" i="14"/>
  <c r="Q5466" i="14"/>
  <c r="Q5467" i="14"/>
  <c r="Q5468" i="14"/>
  <c r="Q5469" i="14"/>
  <c r="Q5470" i="14"/>
  <c r="Q5471" i="14"/>
  <c r="Q5472" i="14"/>
  <c r="Q5473" i="14"/>
  <c r="Q5474" i="14"/>
  <c r="Q5475" i="14"/>
  <c r="Q5476" i="14"/>
  <c r="Q5477" i="14"/>
  <c r="Q5478" i="14"/>
  <c r="Q5479" i="14"/>
  <c r="Q5480" i="14"/>
  <c r="Q5481" i="14"/>
  <c r="Q5482" i="14"/>
  <c r="Q5483" i="14"/>
  <c r="Q5484" i="14"/>
  <c r="Q5485" i="14"/>
  <c r="Q5486" i="14"/>
  <c r="Q5487" i="14"/>
  <c r="Q5488" i="14"/>
  <c r="Q5489" i="14"/>
  <c r="Q5490" i="14"/>
  <c r="Q5491" i="14"/>
  <c r="Q5492" i="14"/>
  <c r="Q5493" i="14"/>
  <c r="Q5494" i="14"/>
  <c r="Q5495" i="14"/>
  <c r="Q5496" i="14"/>
  <c r="Q5497" i="14"/>
  <c r="Q5498" i="14"/>
  <c r="Q5499" i="14"/>
  <c r="Q5500" i="14"/>
  <c r="Q5501" i="14"/>
  <c r="Q5502" i="14"/>
  <c r="Q5503" i="14"/>
  <c r="Q5504" i="14"/>
  <c r="Q5505" i="14"/>
  <c r="Q5506" i="14"/>
  <c r="Q5507" i="14"/>
  <c r="Q5508" i="14"/>
  <c r="Q5509" i="14"/>
  <c r="Q5510" i="14"/>
  <c r="Q5511" i="14"/>
  <c r="Q5512" i="14"/>
  <c r="Q5513" i="14"/>
  <c r="Q5514" i="14"/>
  <c r="Q5515" i="14"/>
  <c r="Q5516" i="14"/>
  <c r="Q5517" i="14"/>
  <c r="Q5518" i="14"/>
  <c r="Q5519" i="14"/>
  <c r="Q5520" i="14"/>
  <c r="Q5521" i="14"/>
  <c r="Q5522" i="14"/>
  <c r="Q5523" i="14"/>
  <c r="Q5524" i="14"/>
  <c r="Q5525" i="14"/>
  <c r="Q5526" i="14"/>
  <c r="Q5527" i="14"/>
  <c r="Q5528" i="14"/>
  <c r="Q5529" i="14"/>
  <c r="Q5530" i="14"/>
  <c r="Q5531" i="14"/>
  <c r="Q5532" i="14"/>
  <c r="Q5533" i="14"/>
  <c r="Q5534" i="14"/>
  <c r="Q5535" i="14"/>
  <c r="Q5536" i="14"/>
  <c r="Q5537" i="14"/>
  <c r="Q5538" i="14"/>
  <c r="Q5539" i="14"/>
  <c r="Q5540" i="14"/>
  <c r="Q5541" i="14"/>
  <c r="Q5542" i="14"/>
  <c r="Q5543" i="14"/>
  <c r="Q5544" i="14"/>
  <c r="Q5545" i="14"/>
  <c r="Q5546" i="14"/>
  <c r="Q5547" i="14"/>
  <c r="Q5548" i="14"/>
  <c r="Q5549" i="14"/>
  <c r="Q5550" i="14"/>
  <c r="Q5551" i="14"/>
  <c r="Q5552" i="14"/>
  <c r="Q5553" i="14"/>
  <c r="Q5554" i="14"/>
  <c r="Q5555" i="14"/>
  <c r="Q5556" i="14"/>
  <c r="Q5557" i="14"/>
  <c r="Q5558" i="14"/>
  <c r="Q5559" i="14"/>
  <c r="Q5560" i="14"/>
  <c r="Q5561" i="14"/>
  <c r="Q5562" i="14"/>
  <c r="Q5563" i="14"/>
  <c r="Q5564" i="14"/>
  <c r="Q5565" i="14"/>
  <c r="Q5566" i="14"/>
  <c r="Q5567" i="14"/>
  <c r="Q5568" i="14"/>
  <c r="Q5569" i="14"/>
  <c r="Q5570" i="14"/>
  <c r="Q5571" i="14"/>
  <c r="Q5572" i="14"/>
  <c r="Q5573" i="14"/>
  <c r="Q5574" i="14"/>
  <c r="Q5575" i="14"/>
  <c r="Q5576" i="14"/>
  <c r="Q5577" i="14"/>
  <c r="Q5578" i="14"/>
  <c r="Q5579" i="14"/>
  <c r="Q5580" i="14"/>
  <c r="Q5581" i="14"/>
  <c r="Q5582" i="14"/>
  <c r="Q5583" i="14"/>
  <c r="Q5584" i="14"/>
  <c r="Q5585" i="14"/>
  <c r="Q5586" i="14"/>
  <c r="Q5587" i="14"/>
  <c r="Q5588" i="14"/>
  <c r="Q5589" i="14"/>
  <c r="Q5590" i="14"/>
  <c r="Q5591" i="14"/>
  <c r="Q5592" i="14"/>
  <c r="Q5593" i="14"/>
  <c r="Q5594" i="14"/>
  <c r="Q5595" i="14"/>
  <c r="Q5596" i="14"/>
  <c r="Q5597" i="14"/>
  <c r="Q5598" i="14"/>
  <c r="Q5599" i="14"/>
  <c r="Q5600" i="14"/>
  <c r="Q5601" i="14"/>
  <c r="Q5602" i="14"/>
  <c r="Q5603" i="14"/>
  <c r="Q5604" i="14"/>
  <c r="Q5605" i="14"/>
  <c r="Q5606" i="14"/>
  <c r="Q5607" i="14"/>
  <c r="Q5608" i="14"/>
  <c r="Q5609" i="14"/>
  <c r="Q5610" i="14"/>
  <c r="Q5611" i="14"/>
  <c r="Q5612" i="14"/>
  <c r="Q5613" i="14"/>
  <c r="Q5614" i="14"/>
  <c r="Q5615" i="14"/>
  <c r="Q5616" i="14"/>
  <c r="Q5617" i="14"/>
  <c r="Q5618" i="14"/>
  <c r="Q5619" i="14"/>
  <c r="Q5620" i="14"/>
  <c r="Q5621" i="14"/>
  <c r="Q5622" i="14"/>
  <c r="Q5623" i="14"/>
  <c r="Q5624" i="14"/>
  <c r="Q5625" i="14"/>
  <c r="Q5626" i="14"/>
  <c r="Q5627" i="14"/>
  <c r="Q5628" i="14"/>
  <c r="Q5629" i="14"/>
  <c r="Q5630" i="14"/>
  <c r="Q5631" i="14"/>
  <c r="Q5632" i="14"/>
  <c r="Q5633" i="14"/>
  <c r="Q5634" i="14"/>
  <c r="Q5635" i="14"/>
  <c r="Q5636" i="14"/>
  <c r="Q5637" i="14"/>
  <c r="Q5638" i="14"/>
  <c r="Q5639" i="14"/>
  <c r="Q5640" i="14"/>
  <c r="Q5641" i="14"/>
  <c r="Q5642" i="14"/>
  <c r="Q5643" i="14"/>
  <c r="Q5644" i="14"/>
  <c r="Q5645" i="14"/>
  <c r="Q5646" i="14"/>
  <c r="Q5647" i="14"/>
  <c r="Q5648" i="14"/>
  <c r="Q5649" i="14"/>
  <c r="Q5650" i="14"/>
  <c r="Q5651" i="14"/>
  <c r="Q5652" i="14"/>
  <c r="Q5653" i="14"/>
  <c r="Q5654" i="14"/>
  <c r="Q5655" i="14"/>
  <c r="Q5656" i="14"/>
  <c r="Q5657" i="14"/>
  <c r="Q5658" i="14"/>
  <c r="Q5659" i="14"/>
  <c r="Q5660" i="14"/>
  <c r="Q5661" i="14"/>
  <c r="Q5662" i="14"/>
  <c r="Q5663" i="14"/>
  <c r="Q5664" i="14"/>
  <c r="Q5665" i="14"/>
  <c r="Q5666" i="14"/>
  <c r="Q5667" i="14"/>
  <c r="Q5668" i="14"/>
  <c r="Q5669" i="14"/>
  <c r="Q5670" i="14"/>
  <c r="Q5671" i="14"/>
  <c r="Q5672" i="14"/>
  <c r="Q5673" i="14"/>
  <c r="Q5674" i="14"/>
  <c r="Q5675" i="14"/>
  <c r="Q5676" i="14"/>
  <c r="Q5677" i="14"/>
  <c r="Q5678" i="14"/>
  <c r="Q5679" i="14"/>
  <c r="Q5680" i="14"/>
  <c r="Q5681" i="14"/>
  <c r="Q5682" i="14"/>
  <c r="Q5683" i="14"/>
  <c r="Q5684" i="14"/>
  <c r="Q5685" i="14"/>
  <c r="Q5686" i="14"/>
  <c r="Q5687" i="14"/>
  <c r="Q5688" i="14"/>
  <c r="Q5689" i="14"/>
  <c r="Q5690" i="14"/>
  <c r="Q5691" i="14"/>
  <c r="Q5692" i="14"/>
  <c r="Q5693" i="14"/>
  <c r="Q5694" i="14"/>
  <c r="Q5695" i="14"/>
  <c r="Q5696" i="14"/>
  <c r="Q5697" i="14"/>
  <c r="Q5698" i="14"/>
  <c r="Q5699" i="14"/>
  <c r="Q5700" i="14"/>
  <c r="Q5701" i="14"/>
  <c r="Q5702" i="14"/>
  <c r="Q5703" i="14"/>
  <c r="Q5704" i="14"/>
  <c r="Q5705" i="14"/>
  <c r="Q5706" i="14"/>
  <c r="Q5707" i="14"/>
  <c r="Q5708" i="14"/>
  <c r="Q5709" i="14"/>
  <c r="Q5710" i="14"/>
  <c r="Q5711" i="14"/>
  <c r="Q5712" i="14"/>
  <c r="Q5713" i="14"/>
  <c r="Q5714" i="14"/>
  <c r="Q5715" i="14"/>
  <c r="Q5716" i="14"/>
  <c r="Q5717" i="14"/>
  <c r="Q5718" i="14"/>
  <c r="Q5719" i="14"/>
  <c r="Q5720" i="14"/>
  <c r="Q5721" i="14"/>
  <c r="Q5722" i="14"/>
  <c r="Q5723" i="14"/>
  <c r="Q5724" i="14"/>
  <c r="Q5725" i="14"/>
  <c r="Q5726" i="14"/>
  <c r="Q5727" i="14"/>
  <c r="Q5728" i="14"/>
  <c r="Q5729" i="14"/>
  <c r="Q5730" i="14"/>
  <c r="Q5731" i="14"/>
  <c r="Q5732" i="14"/>
  <c r="Q5733" i="14"/>
  <c r="Q5734" i="14"/>
  <c r="Q5735" i="14"/>
  <c r="Q5736" i="14"/>
  <c r="Q5737" i="14"/>
  <c r="Q5738" i="14"/>
  <c r="Q5739" i="14"/>
  <c r="Q5740" i="14"/>
  <c r="Q5741" i="14"/>
  <c r="Q5742" i="14"/>
  <c r="Q5743" i="14"/>
  <c r="Q5744" i="14"/>
  <c r="Q5745" i="14"/>
  <c r="Q5746" i="14"/>
  <c r="Q5747" i="14"/>
  <c r="Q5748" i="14"/>
  <c r="Q5749" i="14"/>
  <c r="Q5750" i="14"/>
  <c r="Q5751" i="14"/>
  <c r="Q5752" i="14"/>
  <c r="Q5753" i="14"/>
  <c r="Q5754" i="14"/>
  <c r="Q5755" i="14"/>
  <c r="Q5756" i="14"/>
  <c r="Q5757" i="14"/>
  <c r="Q5758" i="14"/>
  <c r="Q5759" i="14"/>
  <c r="Q5760" i="14"/>
  <c r="Q5761" i="14"/>
  <c r="Q5762" i="14"/>
  <c r="Q5763" i="14"/>
  <c r="Q5764" i="14"/>
  <c r="Q5765" i="14"/>
  <c r="Q5766" i="14"/>
  <c r="Q5767" i="14"/>
  <c r="Q5768" i="14"/>
  <c r="Q5769" i="14"/>
  <c r="Q5770" i="14"/>
  <c r="Q5771" i="14"/>
  <c r="Q5772" i="14"/>
  <c r="Q5773" i="14"/>
  <c r="Q5774" i="14"/>
  <c r="Q5775" i="14"/>
  <c r="Q5776" i="14"/>
  <c r="Q5777" i="14"/>
  <c r="Q5778" i="14"/>
  <c r="Q5779" i="14"/>
  <c r="Q5780" i="14"/>
  <c r="Q5781" i="14"/>
  <c r="Q5782" i="14"/>
  <c r="Q5783" i="14"/>
  <c r="Q5784" i="14"/>
  <c r="Q5785" i="14"/>
  <c r="Q5786" i="14"/>
  <c r="Q5787" i="14"/>
  <c r="Q5788" i="14"/>
  <c r="Q5789" i="14"/>
  <c r="Q5790" i="14"/>
  <c r="Q5791" i="14"/>
  <c r="Q5792" i="14"/>
  <c r="Q5793" i="14"/>
  <c r="Q5794" i="14"/>
  <c r="Q5795" i="14"/>
  <c r="Q5796" i="14"/>
  <c r="Q5797" i="14"/>
  <c r="Q5798" i="14"/>
  <c r="Q5799" i="14"/>
  <c r="Q5800" i="14"/>
  <c r="Q5801" i="14"/>
  <c r="Q5802" i="14"/>
  <c r="Q5803" i="14"/>
  <c r="Q5804" i="14"/>
  <c r="Q5805" i="14"/>
  <c r="Q5806" i="14"/>
  <c r="Q5807" i="14"/>
  <c r="Q5808" i="14"/>
  <c r="Q5809" i="14"/>
  <c r="Q5810" i="14"/>
  <c r="Q5811" i="14"/>
  <c r="Q5812" i="14"/>
  <c r="Q5813" i="14"/>
  <c r="Q5814" i="14"/>
  <c r="Q5815" i="14"/>
  <c r="Q5816" i="14"/>
  <c r="Q5817" i="14"/>
  <c r="Q5818" i="14"/>
  <c r="Q5819" i="14"/>
  <c r="Q5820" i="14"/>
  <c r="Q5821" i="14"/>
  <c r="Q5822" i="14"/>
  <c r="Q5823" i="14"/>
  <c r="Q5824" i="14"/>
  <c r="Q5825" i="14"/>
  <c r="Q5826" i="14"/>
  <c r="Q5827" i="14"/>
  <c r="Q5828" i="14"/>
  <c r="Q5829" i="14"/>
  <c r="Q5830" i="14"/>
  <c r="Q5831" i="14"/>
  <c r="Q5832" i="14"/>
  <c r="Q5833" i="14"/>
  <c r="Q5834" i="14"/>
  <c r="Q5835" i="14"/>
  <c r="Q5836" i="14"/>
  <c r="Q5837" i="14"/>
  <c r="Q5838" i="14"/>
  <c r="Q5839" i="14"/>
  <c r="Q5840" i="14"/>
  <c r="Q5841" i="14"/>
  <c r="Q5842" i="14"/>
  <c r="Q5843" i="14"/>
  <c r="Q5844" i="14"/>
  <c r="Q5845" i="14"/>
  <c r="Q5846" i="14"/>
  <c r="Q5847" i="14"/>
  <c r="Q5848" i="14"/>
  <c r="Q5849" i="14"/>
  <c r="Q5850" i="14"/>
  <c r="Q5851" i="14"/>
  <c r="Q5852" i="14"/>
  <c r="Q5853" i="14"/>
  <c r="Q5854" i="14"/>
  <c r="Q5855" i="14"/>
  <c r="Q5856" i="14"/>
  <c r="Q5857" i="14"/>
  <c r="Q5858" i="14"/>
  <c r="Q5859" i="14"/>
  <c r="Q5860" i="14"/>
  <c r="Q5861" i="14"/>
  <c r="Q5862" i="14"/>
  <c r="Q5863" i="14"/>
  <c r="Q5864" i="14"/>
  <c r="Q5865" i="14"/>
  <c r="Q5866" i="14"/>
  <c r="Q5867" i="14"/>
  <c r="Q5868" i="14"/>
  <c r="Q5869" i="14"/>
  <c r="Q5870" i="14"/>
  <c r="Q5871" i="14"/>
  <c r="Q5872" i="14"/>
  <c r="Q5873" i="14"/>
  <c r="Q5874" i="14"/>
  <c r="Q5875" i="14"/>
  <c r="Q5876" i="14"/>
  <c r="Q5877" i="14"/>
  <c r="Q5878" i="14"/>
  <c r="Q5879" i="14"/>
  <c r="Q5880" i="14"/>
  <c r="Q5881" i="14"/>
  <c r="Q5882" i="14"/>
  <c r="Q5883" i="14"/>
  <c r="Q5884" i="14"/>
  <c r="Q5885" i="14"/>
  <c r="Q5886" i="14"/>
  <c r="Q5887" i="14"/>
  <c r="Q5888" i="14"/>
  <c r="Q5889" i="14"/>
  <c r="Q5890" i="14"/>
  <c r="Q5891" i="14"/>
  <c r="Q5892" i="14"/>
  <c r="Q5893" i="14"/>
  <c r="Q5894" i="14"/>
  <c r="Q5895" i="14"/>
  <c r="Q5896" i="14"/>
  <c r="Q5897" i="14"/>
  <c r="Q5898" i="14"/>
  <c r="Q5899" i="14"/>
  <c r="Q5900" i="14"/>
  <c r="Q5901" i="14"/>
  <c r="Q5902" i="14"/>
  <c r="Q5903" i="14"/>
  <c r="Q5904" i="14"/>
  <c r="Q5905" i="14"/>
  <c r="Q5906" i="14"/>
  <c r="Q5907" i="14"/>
  <c r="Q5908" i="14"/>
  <c r="Q5909" i="14"/>
  <c r="Q5910" i="14"/>
  <c r="Q5911" i="14"/>
  <c r="Q5912" i="14"/>
  <c r="Q5913" i="14"/>
  <c r="Q5914" i="14"/>
  <c r="Q5915" i="14"/>
  <c r="Q5916" i="14"/>
  <c r="Q5917" i="14"/>
  <c r="Q5918" i="14"/>
  <c r="Q5919" i="14"/>
  <c r="Q5920" i="14"/>
  <c r="Q5921" i="14"/>
  <c r="Q5922" i="14"/>
  <c r="Q5923" i="14"/>
  <c r="Q5924" i="14"/>
  <c r="Q5925" i="14"/>
  <c r="Q5926" i="14"/>
  <c r="Q5927" i="14"/>
  <c r="Q5928" i="14"/>
  <c r="Q5929" i="14"/>
  <c r="Q5930" i="14"/>
  <c r="Q5931" i="14"/>
  <c r="Q5932" i="14"/>
  <c r="Q5933" i="14"/>
  <c r="Q5934" i="14"/>
  <c r="Q5935" i="14"/>
  <c r="Q5936" i="14"/>
  <c r="Q5937" i="14"/>
  <c r="Q5938" i="14"/>
  <c r="Q5939" i="14"/>
  <c r="Q5940" i="14"/>
  <c r="Q5941" i="14"/>
  <c r="Q5942" i="14"/>
  <c r="Q5943" i="14"/>
  <c r="Q5944" i="14"/>
  <c r="Q5945" i="14"/>
  <c r="Q5946" i="14"/>
  <c r="Q5947" i="14"/>
  <c r="Q5948" i="14"/>
  <c r="Q5949" i="14"/>
  <c r="Q5950" i="14"/>
  <c r="Q5951" i="14"/>
  <c r="Q5952" i="14"/>
  <c r="Q5953" i="14"/>
  <c r="Q5954" i="14"/>
  <c r="Q5955" i="14"/>
  <c r="Q5956" i="14"/>
  <c r="Q5957" i="14"/>
  <c r="Q5958" i="14"/>
  <c r="Q5959" i="14"/>
  <c r="Q5960" i="14"/>
  <c r="Q5961" i="14"/>
  <c r="Q5962" i="14"/>
  <c r="Q5963" i="14"/>
  <c r="Q5964" i="14"/>
  <c r="Q5965" i="14"/>
  <c r="Q5966" i="14"/>
  <c r="Q5967" i="14"/>
  <c r="Q5968" i="14"/>
  <c r="Q5969" i="14"/>
  <c r="Q5970" i="14"/>
  <c r="Q5971" i="14"/>
  <c r="Q5972" i="14"/>
  <c r="Q5973" i="14"/>
  <c r="Q5974" i="14"/>
  <c r="Q5975" i="14"/>
  <c r="Q5976" i="14"/>
  <c r="Q5977" i="14"/>
  <c r="Q5978" i="14"/>
  <c r="Q5979" i="14"/>
  <c r="Q5980" i="14"/>
  <c r="Q5981" i="14"/>
  <c r="Q5982" i="14"/>
  <c r="Q5983" i="14"/>
  <c r="Q5984" i="14"/>
  <c r="Q5985" i="14"/>
  <c r="Q5986" i="14"/>
  <c r="Q5987" i="14"/>
  <c r="Q5988" i="14"/>
  <c r="Q5989" i="14"/>
  <c r="Q5990" i="14"/>
  <c r="Q5991" i="14"/>
  <c r="Q5992" i="14"/>
  <c r="Q5993" i="14"/>
  <c r="Q5994" i="14"/>
  <c r="Q5995" i="14"/>
  <c r="Q5996" i="14"/>
  <c r="Q5997" i="14"/>
  <c r="Q5998" i="14"/>
  <c r="Q5999" i="14"/>
  <c r="Q6000" i="14"/>
  <c r="Q6001" i="14"/>
  <c r="Q6002" i="14"/>
  <c r="Q6003" i="14"/>
  <c r="Q6004" i="14"/>
  <c r="Q6005" i="14"/>
  <c r="Q6006" i="14"/>
  <c r="Q6007" i="14"/>
  <c r="Q6008" i="14"/>
  <c r="Q6009" i="14"/>
  <c r="Q6010" i="14"/>
  <c r="Q6011" i="14"/>
  <c r="Q6012" i="14"/>
  <c r="Q6013" i="14"/>
  <c r="Q6014" i="14"/>
  <c r="Q6015" i="14"/>
  <c r="Q6016" i="14"/>
  <c r="Q6017" i="14"/>
  <c r="Q6018" i="14"/>
  <c r="Q6019" i="14"/>
  <c r="Q6020" i="14"/>
  <c r="Q6021" i="14"/>
  <c r="Q6022" i="14"/>
  <c r="Q6023" i="14"/>
  <c r="Q6024" i="14"/>
  <c r="Q6025" i="14"/>
  <c r="Q6026" i="14"/>
  <c r="Q6027" i="14"/>
  <c r="Q6028" i="14"/>
  <c r="Q6029" i="14"/>
  <c r="Q6030" i="14"/>
  <c r="Q6031" i="14"/>
  <c r="Q6032" i="14"/>
  <c r="Q6033" i="14"/>
  <c r="Q6034" i="14"/>
  <c r="Q6035" i="14"/>
  <c r="Q6036" i="14"/>
  <c r="Q6037" i="14"/>
  <c r="Q6038" i="14"/>
  <c r="Q6039" i="14"/>
  <c r="Q6040" i="14"/>
  <c r="Q6041" i="14"/>
  <c r="Q6042" i="14"/>
  <c r="Q6043" i="14"/>
  <c r="Q6044" i="14"/>
  <c r="Q6045" i="14"/>
  <c r="Q6046" i="14"/>
  <c r="Q6047" i="14"/>
  <c r="Q6048" i="14"/>
  <c r="Q6049" i="14"/>
  <c r="Q6050" i="14"/>
  <c r="Q6051" i="14"/>
  <c r="Q6052" i="14"/>
  <c r="Q6053" i="14"/>
  <c r="Q6054" i="14"/>
  <c r="Q6055" i="14"/>
  <c r="Q6056" i="14"/>
  <c r="Q6057" i="14"/>
  <c r="Q6058" i="14"/>
  <c r="Q6059" i="14"/>
  <c r="Q6060" i="14"/>
  <c r="Q6061" i="14"/>
  <c r="Q6062" i="14"/>
  <c r="Q6063" i="14"/>
  <c r="Q6064" i="14"/>
  <c r="Q6065" i="14"/>
  <c r="Q6066" i="14"/>
  <c r="Q6067" i="14"/>
  <c r="Q6068" i="14"/>
  <c r="Q6069" i="14"/>
  <c r="Q6070" i="14"/>
  <c r="Q6071" i="14"/>
  <c r="Q6072" i="14"/>
  <c r="Q6073" i="14"/>
  <c r="Q6074" i="14"/>
  <c r="Q6075" i="14"/>
  <c r="Q6076" i="14"/>
  <c r="Q6077" i="14"/>
  <c r="Q6078" i="14"/>
  <c r="Q6079" i="14"/>
  <c r="Q6080" i="14"/>
  <c r="Q6081" i="14"/>
  <c r="Q6082" i="14"/>
  <c r="Q6083" i="14"/>
  <c r="Q6084" i="14"/>
  <c r="Q6085" i="14"/>
  <c r="Q6086" i="14"/>
  <c r="Q6087" i="14"/>
  <c r="Q6088" i="14"/>
  <c r="Q6089" i="14"/>
  <c r="Q6090" i="14"/>
  <c r="Q6091" i="14"/>
  <c r="Q6092" i="14"/>
  <c r="Q6093" i="14"/>
  <c r="Q6094" i="14"/>
  <c r="Q6095" i="14"/>
  <c r="Q6096" i="14"/>
  <c r="Q6097" i="14"/>
  <c r="Q6098" i="14"/>
  <c r="Q6099" i="14"/>
  <c r="Q6100" i="14"/>
  <c r="Q6101" i="14"/>
  <c r="Q6102" i="14"/>
  <c r="Q6103" i="14"/>
  <c r="Q6104" i="14"/>
  <c r="Q6105" i="14"/>
  <c r="Q6106" i="14"/>
  <c r="Q6107" i="14"/>
  <c r="Q6108" i="14"/>
  <c r="Q6109" i="14"/>
  <c r="Q6110" i="14"/>
  <c r="Q6111" i="14"/>
  <c r="Q6112" i="14"/>
  <c r="Q6113" i="14"/>
  <c r="Q6114" i="14"/>
  <c r="Q6115" i="14"/>
  <c r="Q6116" i="14"/>
  <c r="Q6117" i="14"/>
  <c r="Q6118" i="14"/>
  <c r="Q6119" i="14"/>
  <c r="Q6120" i="14"/>
  <c r="Q6121" i="14"/>
  <c r="Q6122" i="14"/>
  <c r="Q6123" i="14"/>
  <c r="Q6124" i="14"/>
  <c r="Q6125" i="14"/>
  <c r="Q6126" i="14"/>
  <c r="Q6127" i="14"/>
  <c r="Q6128" i="14"/>
  <c r="Q6129" i="14"/>
  <c r="Q6130" i="14"/>
  <c r="Q6131" i="14"/>
  <c r="Q6132" i="14"/>
  <c r="Q6133" i="14"/>
  <c r="Q6134" i="14"/>
  <c r="Q6135" i="14"/>
  <c r="Q6136" i="14"/>
  <c r="Q6137" i="14"/>
  <c r="Q6138" i="14"/>
  <c r="Q6139" i="14"/>
  <c r="Q6140" i="14"/>
  <c r="Q6141" i="14"/>
  <c r="Q6142" i="14"/>
  <c r="Q6143" i="14"/>
  <c r="Q6144" i="14"/>
  <c r="Q6145" i="14"/>
  <c r="Q6146" i="14"/>
  <c r="Q6147" i="14"/>
  <c r="Q6148" i="14"/>
  <c r="Q6149" i="14"/>
  <c r="Q6150" i="14"/>
  <c r="Q6151" i="14"/>
  <c r="Q6152" i="14"/>
  <c r="Q6153" i="14"/>
  <c r="Q6154" i="14"/>
  <c r="Q6155" i="14"/>
  <c r="Q6156" i="14"/>
  <c r="Q6157" i="14"/>
  <c r="Q6158" i="14"/>
  <c r="Q6159" i="14"/>
  <c r="Q6160" i="14"/>
  <c r="Q6161" i="14"/>
  <c r="Q6162" i="14"/>
  <c r="Q6163" i="14"/>
  <c r="Q6164" i="14"/>
  <c r="Q6165" i="14"/>
  <c r="Q6166" i="14"/>
  <c r="Q6167" i="14"/>
  <c r="Q6168" i="14"/>
  <c r="Q6169" i="14"/>
  <c r="Q6170" i="14"/>
  <c r="Q6171" i="14"/>
  <c r="Q6172" i="14"/>
  <c r="Q6173" i="14"/>
  <c r="Q6174" i="14"/>
  <c r="Q6175" i="14"/>
  <c r="Q6176" i="14"/>
  <c r="Q6177" i="14"/>
  <c r="Q6178" i="14"/>
  <c r="Q6179" i="14"/>
  <c r="Q6180" i="14"/>
  <c r="Q6181" i="14"/>
  <c r="Q6182" i="14"/>
  <c r="Q6183" i="14"/>
  <c r="Q6184" i="14"/>
  <c r="Q6185" i="14"/>
  <c r="Q6186" i="14"/>
  <c r="Q6187" i="14"/>
  <c r="Q6188" i="14"/>
  <c r="Q6189" i="14"/>
  <c r="Q6190" i="14"/>
  <c r="Q6191" i="14"/>
  <c r="Q6192" i="14"/>
  <c r="Q6193" i="14"/>
  <c r="Q6194" i="14"/>
  <c r="Q6195" i="14"/>
  <c r="Q6196" i="14"/>
  <c r="Q6197" i="14"/>
  <c r="Q6198" i="14"/>
  <c r="Q6199" i="14"/>
  <c r="Q6200" i="14"/>
  <c r="Q6201" i="14"/>
  <c r="Q6202" i="14"/>
  <c r="Q6203" i="14"/>
  <c r="Q6204" i="14"/>
  <c r="Q6205" i="14"/>
  <c r="Q6206" i="14"/>
  <c r="Q6207" i="14"/>
  <c r="Q6208" i="14"/>
  <c r="Q6209" i="14"/>
  <c r="Q6210" i="14"/>
  <c r="Q6211" i="14"/>
  <c r="Q6212" i="14"/>
  <c r="Q6213" i="14"/>
  <c r="Q6214" i="14"/>
  <c r="Q6215" i="14"/>
  <c r="Q6216" i="14"/>
  <c r="Q6217" i="14"/>
  <c r="Q6218" i="14"/>
  <c r="Q6219" i="14"/>
  <c r="Q6220" i="14"/>
  <c r="Q6221" i="14"/>
  <c r="Q6222" i="14"/>
  <c r="Q6223" i="14"/>
  <c r="Q6224" i="14"/>
  <c r="Q6225" i="14"/>
  <c r="Q6226" i="14"/>
  <c r="Q6227" i="14"/>
  <c r="Q6228" i="14"/>
  <c r="Q6229" i="14"/>
  <c r="Q6230" i="14"/>
  <c r="Q6231" i="14"/>
  <c r="Q6232" i="14"/>
  <c r="Q6233" i="14"/>
  <c r="Q6234" i="14"/>
  <c r="Q6235" i="14"/>
  <c r="Q6236" i="14"/>
  <c r="Q6237" i="14"/>
  <c r="Q6238" i="14"/>
  <c r="Q6239" i="14"/>
  <c r="Q6240" i="14"/>
  <c r="Q6241" i="14"/>
  <c r="Q6242" i="14"/>
  <c r="Q6243" i="14"/>
  <c r="Q6244" i="14"/>
  <c r="Q6245" i="14"/>
  <c r="Q6246" i="14"/>
  <c r="Q6247" i="14"/>
  <c r="Q6248" i="14"/>
  <c r="Q6249" i="14"/>
  <c r="Q6250" i="14"/>
  <c r="Q6251" i="14"/>
  <c r="Q6252" i="14"/>
  <c r="Q6253" i="14"/>
  <c r="Q6254" i="14"/>
  <c r="Q6255" i="14"/>
  <c r="Q6256" i="14"/>
  <c r="Q6257" i="14"/>
  <c r="Q6258" i="14"/>
  <c r="Q6259" i="14"/>
  <c r="Q6260" i="14"/>
  <c r="Q6261" i="14"/>
  <c r="Q6262" i="14"/>
  <c r="Q6263" i="14"/>
  <c r="Q6264" i="14"/>
  <c r="Q6265" i="14"/>
  <c r="Q6266" i="14"/>
  <c r="Q6267" i="14"/>
  <c r="Q6268" i="14"/>
  <c r="Q6269" i="14"/>
  <c r="Q6270" i="14"/>
  <c r="Q6271" i="14"/>
  <c r="Q6272" i="14"/>
  <c r="Q6273" i="14"/>
  <c r="Q6274" i="14"/>
  <c r="Q6275" i="14"/>
  <c r="Q6276" i="14"/>
  <c r="Q6277" i="14"/>
  <c r="Q6278" i="14"/>
  <c r="Q6279" i="14"/>
  <c r="Q6280" i="14"/>
  <c r="Q6281" i="14"/>
  <c r="Q6282" i="14"/>
  <c r="Q6283" i="14"/>
  <c r="Q6284" i="14"/>
  <c r="Q6285" i="14"/>
  <c r="Q6286" i="14"/>
  <c r="Q6287" i="14"/>
  <c r="Q6288" i="14"/>
  <c r="Q6289" i="14"/>
  <c r="Q6290" i="14"/>
  <c r="Q6291" i="14"/>
  <c r="Q6292" i="14"/>
  <c r="Q6293" i="14"/>
  <c r="Q6294" i="14"/>
  <c r="Q6295" i="14"/>
  <c r="Q6296" i="14"/>
  <c r="Q6297" i="14"/>
  <c r="Q6298" i="14"/>
  <c r="Q6299" i="14"/>
  <c r="Q6300" i="14"/>
  <c r="Q6301" i="14"/>
  <c r="Q6302" i="14"/>
  <c r="Q6303" i="14"/>
  <c r="Q6304" i="14"/>
  <c r="Q6305" i="14"/>
  <c r="Q6306" i="14"/>
  <c r="Q6307" i="14"/>
  <c r="Q6308" i="14"/>
  <c r="Q6309" i="14"/>
  <c r="Q6310" i="14"/>
  <c r="Q6311" i="14"/>
  <c r="Q6312" i="14"/>
  <c r="Q6313" i="14"/>
  <c r="Q6314" i="14"/>
  <c r="Q6315" i="14"/>
  <c r="Q6316" i="14"/>
  <c r="Q6317" i="14"/>
  <c r="Q6318" i="14"/>
  <c r="Q6319" i="14"/>
  <c r="Q6320" i="14"/>
  <c r="Q6321" i="14"/>
  <c r="Q6322" i="14"/>
  <c r="Q6323" i="14"/>
  <c r="Q6324" i="14"/>
  <c r="Q6325" i="14"/>
  <c r="Q6326" i="14"/>
  <c r="Q6327" i="14"/>
  <c r="Q6328" i="14"/>
  <c r="Q6329" i="14"/>
  <c r="Q6330" i="14"/>
  <c r="Q6331" i="14"/>
  <c r="Q6332" i="14"/>
  <c r="Q6333" i="14"/>
  <c r="Q6334" i="14"/>
  <c r="Q6335" i="14"/>
  <c r="Q6336" i="14"/>
  <c r="Q6337" i="14"/>
  <c r="Q6338" i="14"/>
  <c r="Q6339" i="14"/>
  <c r="Q6340" i="14"/>
  <c r="Q6341" i="14"/>
  <c r="Q6342" i="14"/>
  <c r="Q6343" i="14"/>
  <c r="Q6344" i="14"/>
  <c r="Q6345" i="14"/>
  <c r="Q6346" i="14"/>
  <c r="Q6347" i="14"/>
  <c r="Q6348" i="14"/>
  <c r="Q6349" i="14"/>
  <c r="Q6350" i="14"/>
  <c r="Q6351" i="14"/>
  <c r="Q6352" i="14"/>
  <c r="Q6353" i="14"/>
  <c r="Q6354" i="14"/>
  <c r="Q6355" i="14"/>
  <c r="Q6356" i="14"/>
  <c r="Q6357" i="14"/>
  <c r="Q6358" i="14"/>
  <c r="Q6359" i="14"/>
  <c r="Q6360" i="14"/>
  <c r="Q6361" i="14"/>
  <c r="Q6362" i="14"/>
  <c r="Q6363" i="14"/>
  <c r="Q6364" i="14"/>
  <c r="Q6365" i="14"/>
  <c r="Q6366" i="14"/>
  <c r="Q6367" i="14"/>
  <c r="Q6368" i="14"/>
  <c r="Q6369" i="14"/>
  <c r="Q6370" i="14"/>
  <c r="Q6371" i="14"/>
  <c r="Q6372" i="14"/>
  <c r="Q6373" i="14"/>
  <c r="Q6374" i="14"/>
  <c r="Q6375" i="14"/>
  <c r="Q6376" i="14"/>
  <c r="Q6377" i="14"/>
  <c r="Q6378" i="14"/>
  <c r="Q6379" i="14"/>
  <c r="Q6380" i="14"/>
  <c r="Q6381" i="14"/>
  <c r="Q6382" i="14"/>
  <c r="Q6383" i="14"/>
  <c r="Q6384" i="14"/>
  <c r="Q6385" i="14"/>
  <c r="Q6386" i="14"/>
  <c r="Q6387" i="14"/>
  <c r="Q6388" i="14"/>
  <c r="Q6389" i="14"/>
  <c r="Q6390" i="14"/>
  <c r="Q6391" i="14"/>
  <c r="Q6392" i="14"/>
  <c r="Q6393" i="14"/>
  <c r="Q6394" i="14"/>
  <c r="Q6395" i="14"/>
  <c r="Q6396" i="14"/>
  <c r="Q6397" i="14"/>
  <c r="Q6398" i="14"/>
  <c r="Q6399" i="14"/>
  <c r="Q6400" i="14"/>
  <c r="Q6401" i="14"/>
  <c r="Q6402" i="14"/>
  <c r="Q6403" i="14"/>
  <c r="Q6404" i="14"/>
  <c r="Q6405" i="14"/>
  <c r="Q6406" i="14"/>
  <c r="Q6407" i="14"/>
  <c r="Q6408" i="14"/>
  <c r="Q6409" i="14"/>
  <c r="Q6410" i="14"/>
  <c r="Q6411" i="14"/>
  <c r="Q6412" i="14"/>
  <c r="Q6413" i="14"/>
  <c r="Q6414" i="14"/>
  <c r="Q6415" i="14"/>
  <c r="Q6416" i="14"/>
  <c r="Q6417" i="14"/>
  <c r="Q6418" i="14"/>
  <c r="Q6419" i="14"/>
  <c r="Q6420" i="14"/>
  <c r="Q6421" i="14"/>
  <c r="Q6422" i="14"/>
  <c r="Q6423" i="14"/>
  <c r="Q6424" i="14"/>
  <c r="Q6425" i="14"/>
  <c r="Q6426" i="14"/>
  <c r="Q6427" i="14"/>
  <c r="Q6428" i="14"/>
  <c r="Q6429" i="14"/>
  <c r="Q6430" i="14"/>
  <c r="Q6431" i="14"/>
  <c r="Q6432" i="14"/>
  <c r="Q6433" i="14"/>
  <c r="Q6434" i="14"/>
  <c r="Q6435" i="14"/>
  <c r="Q6436" i="14"/>
  <c r="Q6437" i="14"/>
  <c r="Q6438" i="14"/>
  <c r="Q6439" i="14"/>
  <c r="Q6440" i="14"/>
  <c r="Q6441" i="14"/>
  <c r="Q6442" i="14"/>
  <c r="Q6443" i="14"/>
  <c r="Q6444" i="14"/>
  <c r="Q6445" i="14"/>
  <c r="Q6446" i="14"/>
  <c r="Q6447" i="14"/>
  <c r="Q6448" i="14"/>
  <c r="Q6449" i="14"/>
  <c r="Q6450" i="14"/>
  <c r="Q6451" i="14"/>
  <c r="Q6452" i="14"/>
  <c r="Q6453" i="14"/>
  <c r="Q6454" i="14"/>
  <c r="Q6455" i="14"/>
  <c r="Q6456" i="14"/>
  <c r="Q6457" i="14"/>
  <c r="Q6458" i="14"/>
  <c r="Q6459" i="14"/>
  <c r="Q6460" i="14"/>
  <c r="Q6461" i="14"/>
  <c r="Q6462" i="14"/>
  <c r="Q6463" i="14"/>
  <c r="Q6464" i="14"/>
  <c r="Q6465" i="14"/>
  <c r="Q6466" i="14"/>
  <c r="Q6467" i="14"/>
  <c r="Q6468" i="14"/>
  <c r="Q6469" i="14"/>
  <c r="Q6470" i="14"/>
  <c r="Q6471" i="14"/>
  <c r="Q6472" i="14"/>
  <c r="Q6473" i="14"/>
  <c r="Q6474" i="14"/>
  <c r="Q6475" i="14"/>
  <c r="Q6476" i="14"/>
  <c r="Q6477" i="14"/>
  <c r="Q6478" i="14"/>
  <c r="Q6479" i="14"/>
  <c r="Q6480" i="14"/>
  <c r="Q6481" i="14"/>
  <c r="Q6482" i="14"/>
  <c r="Q6483" i="14"/>
  <c r="Q6484" i="14"/>
  <c r="Q6485" i="14"/>
  <c r="Q6486" i="14"/>
  <c r="Q6487" i="14"/>
  <c r="Q6488" i="14"/>
  <c r="Q6489" i="14"/>
  <c r="Q6490" i="14"/>
  <c r="Q6491" i="14"/>
  <c r="Q6492" i="14"/>
  <c r="Q6493" i="14"/>
  <c r="Q6494" i="14"/>
  <c r="Q6495" i="14"/>
  <c r="Q6496" i="14"/>
  <c r="Q6497" i="14"/>
  <c r="Q6498" i="14"/>
  <c r="Q6499" i="14"/>
  <c r="Q6500" i="14"/>
  <c r="Q6501" i="14"/>
  <c r="Q6502" i="14"/>
  <c r="Q6503" i="14"/>
  <c r="Q6504" i="14"/>
  <c r="Q6505" i="14"/>
  <c r="Q6506" i="14"/>
  <c r="Q6507" i="14"/>
  <c r="Q6508" i="14"/>
  <c r="Q6509" i="14"/>
  <c r="Q6510" i="14"/>
  <c r="Q6511" i="14"/>
  <c r="Q6512" i="14"/>
  <c r="Q6513" i="14"/>
  <c r="Q6514" i="14"/>
  <c r="Q6515" i="14"/>
  <c r="Q6516" i="14"/>
  <c r="Q6517" i="14"/>
  <c r="Q6518" i="14"/>
  <c r="Q6519" i="14"/>
  <c r="Q6520" i="14"/>
  <c r="Q6521" i="14"/>
  <c r="Q6522" i="14"/>
  <c r="Q6523" i="14"/>
  <c r="Q6524" i="14"/>
  <c r="Q6525" i="14"/>
  <c r="Q6526" i="14"/>
  <c r="Q6527" i="14"/>
  <c r="Q6528" i="14"/>
  <c r="Q6529" i="14"/>
  <c r="Q6530" i="14"/>
  <c r="Q6531" i="14"/>
  <c r="Q6532" i="14"/>
  <c r="Q6533" i="14"/>
  <c r="Q6534" i="14"/>
  <c r="Q6535" i="14"/>
  <c r="Q6536" i="14"/>
  <c r="Q6537" i="14"/>
  <c r="Q6538" i="14"/>
  <c r="Q6539" i="14"/>
  <c r="Q6540" i="14"/>
  <c r="Q6541" i="14"/>
  <c r="Q6542" i="14"/>
  <c r="Q6543" i="14"/>
  <c r="Q6544" i="14"/>
  <c r="Q6545" i="14"/>
  <c r="Q6546" i="14"/>
  <c r="Q6547" i="14"/>
  <c r="Q6548" i="14"/>
  <c r="Q6549" i="14"/>
  <c r="Q6550" i="14"/>
  <c r="Q6551" i="14"/>
  <c r="Q6552" i="14"/>
  <c r="Q6553" i="14"/>
  <c r="Q6554" i="14"/>
  <c r="Q6555" i="14"/>
  <c r="Q6556" i="14"/>
  <c r="Q6557" i="14"/>
  <c r="Q6558" i="14"/>
  <c r="Q6559" i="14"/>
  <c r="Q6560" i="14"/>
  <c r="Q6561" i="14"/>
  <c r="Q6562" i="14"/>
  <c r="Q6563" i="14"/>
  <c r="Q6564" i="14"/>
  <c r="Q6565" i="14"/>
  <c r="Q6566" i="14"/>
  <c r="Q6567" i="14"/>
  <c r="Q6568" i="14"/>
  <c r="Q6569" i="14"/>
  <c r="Q6570" i="14"/>
  <c r="Q6571" i="14"/>
  <c r="Q6572" i="14"/>
  <c r="Q6573" i="14"/>
  <c r="Q6574" i="14"/>
  <c r="Q6575" i="14"/>
  <c r="Q6576" i="14"/>
  <c r="Q6577" i="14"/>
  <c r="Q6578" i="14"/>
  <c r="Q6579" i="14"/>
  <c r="Q6580" i="14"/>
  <c r="Q6581" i="14"/>
  <c r="Q6582" i="14"/>
  <c r="Q6583" i="14"/>
  <c r="Q6584" i="14"/>
  <c r="Q6585" i="14"/>
  <c r="Q6586" i="14"/>
  <c r="Q6587" i="14"/>
  <c r="Q6588" i="14"/>
  <c r="Q6589" i="14"/>
  <c r="Q6590" i="14"/>
  <c r="Q6591" i="14"/>
  <c r="Q6592" i="14"/>
  <c r="Q6593" i="14"/>
  <c r="Q6594" i="14"/>
  <c r="Q6595" i="14"/>
  <c r="Q6596" i="14"/>
  <c r="Q6597" i="14"/>
  <c r="Q6598" i="14"/>
  <c r="Q6599" i="14"/>
  <c r="Q6600" i="14"/>
  <c r="Q6601" i="14"/>
  <c r="Q6602" i="14"/>
  <c r="Q6603" i="14"/>
  <c r="Q6604" i="14"/>
  <c r="Q6605" i="14"/>
  <c r="Q6606" i="14"/>
  <c r="Q6607" i="14"/>
  <c r="Q6608" i="14"/>
  <c r="Q6609" i="14"/>
  <c r="Q6610" i="14"/>
  <c r="Q6611" i="14"/>
  <c r="Q6612" i="14"/>
  <c r="Q6613" i="14"/>
  <c r="Q6614" i="14"/>
  <c r="Q6615" i="14"/>
  <c r="Q6616" i="14"/>
  <c r="Q6617" i="14"/>
  <c r="Q6618" i="14"/>
  <c r="Q6619" i="14"/>
  <c r="Q6620" i="14"/>
  <c r="Q6621" i="14"/>
  <c r="Q6622" i="14"/>
  <c r="Q6623" i="14"/>
  <c r="Q6624" i="14"/>
  <c r="Q6625" i="14"/>
  <c r="Q6626" i="14"/>
  <c r="Q6627" i="14"/>
  <c r="Q6628" i="14"/>
  <c r="Q6629" i="14"/>
  <c r="Q6630" i="14"/>
  <c r="Q6631" i="14"/>
  <c r="Q6632" i="14"/>
  <c r="Q6633" i="14"/>
  <c r="Q6634" i="14"/>
  <c r="Q6635" i="14"/>
  <c r="Q6636" i="14"/>
  <c r="Q6637" i="14"/>
  <c r="Q6638" i="14"/>
  <c r="Q6639" i="14"/>
  <c r="Q6640" i="14"/>
  <c r="Q6641" i="14"/>
  <c r="Q6642" i="14"/>
  <c r="Q6643" i="14"/>
  <c r="Q6644" i="14"/>
  <c r="Q6645" i="14"/>
  <c r="Q6646" i="14"/>
  <c r="Q6647" i="14"/>
  <c r="Q6648" i="14"/>
  <c r="Q6649" i="14"/>
  <c r="Q6650" i="14"/>
  <c r="Q6651" i="14"/>
  <c r="Q6652" i="14"/>
  <c r="Q6653" i="14"/>
  <c r="Q6654" i="14"/>
  <c r="Q6655" i="14"/>
  <c r="Q6656" i="14"/>
  <c r="Q6657" i="14"/>
  <c r="Q6658" i="14"/>
  <c r="Q6659" i="14"/>
  <c r="Q6660" i="14"/>
  <c r="Q6661" i="14"/>
  <c r="Q6662" i="14"/>
  <c r="Q6663" i="14"/>
  <c r="Q6664" i="14"/>
  <c r="Q6665" i="14"/>
  <c r="Q6666" i="14"/>
  <c r="Q6667" i="14"/>
  <c r="Q6668" i="14"/>
  <c r="Q6669" i="14"/>
  <c r="Q6670" i="14"/>
  <c r="Q6671" i="14"/>
  <c r="Q6672" i="14"/>
  <c r="Q6673" i="14"/>
  <c r="Q6674" i="14"/>
  <c r="Q6675" i="14"/>
  <c r="Q6676" i="14"/>
  <c r="Q6677" i="14"/>
  <c r="Q6678" i="14"/>
  <c r="Q6679" i="14"/>
  <c r="Q6680" i="14"/>
  <c r="Q6681" i="14"/>
  <c r="Q6682" i="14"/>
  <c r="Q6683" i="14"/>
  <c r="Q6684" i="14"/>
  <c r="Q6685" i="14"/>
  <c r="Q6686" i="14"/>
  <c r="Q6687" i="14"/>
  <c r="Q6688" i="14"/>
  <c r="Q6689" i="14"/>
  <c r="Q6690" i="14"/>
  <c r="Q6691" i="14"/>
  <c r="Q6692" i="14"/>
  <c r="Q6693" i="14"/>
  <c r="Q6694" i="14"/>
  <c r="Q6695" i="14"/>
  <c r="Q6696" i="14"/>
  <c r="Q6697" i="14"/>
  <c r="Q6698" i="14"/>
  <c r="Q6699" i="14"/>
  <c r="Q6700" i="14"/>
  <c r="Q6701" i="14"/>
  <c r="Q6702" i="14"/>
  <c r="Q6703" i="14"/>
  <c r="Q6704" i="14"/>
  <c r="Q6705" i="14"/>
  <c r="Q6706" i="14"/>
  <c r="Q6707" i="14"/>
  <c r="Q6708" i="14"/>
  <c r="Q6709" i="14"/>
  <c r="Q6710" i="14"/>
  <c r="AB2" i="2" a="1"/>
  <c r="AB2" i="2" s="1"/>
  <c r="AB3" i="2" a="1"/>
  <c r="AB3" i="2"/>
  <c r="AB4" i="2" a="1"/>
  <c r="AB4" i="2" s="1"/>
  <c r="AB5" i="2" a="1"/>
  <c r="AB5" i="2" s="1"/>
  <c r="AB6" i="2" a="1"/>
  <c r="AB6" i="2"/>
  <c r="AB7" i="2" a="1"/>
  <c r="AB7" i="2"/>
  <c r="AB8" i="2" a="1"/>
  <c r="AB8" i="2"/>
  <c r="AB9" i="2" a="1"/>
  <c r="AB9" i="2"/>
  <c r="AB10" i="2" a="1"/>
  <c r="AB10" i="2"/>
  <c r="AB11" i="2" a="1"/>
  <c r="AB11" i="2" s="1"/>
  <c r="AB12" i="2" a="1"/>
  <c r="AB12" i="2"/>
  <c r="AB13" i="2" a="1"/>
  <c r="AB13" i="2" s="1"/>
  <c r="AB14" i="2" a="1"/>
  <c r="AB14" i="2"/>
  <c r="AB15" i="2" a="1"/>
  <c r="AB15" i="2" s="1"/>
  <c r="AB16" i="2" a="1"/>
  <c r="AB16" i="2"/>
  <c r="AB17" i="2" a="1"/>
  <c r="AB17" i="2"/>
  <c r="AB18" i="2" a="1"/>
  <c r="AB18" i="2"/>
  <c r="AB19" i="2" a="1"/>
  <c r="AB19" i="2"/>
  <c r="AB20" i="2" a="1"/>
  <c r="AB20" i="2" s="1"/>
  <c r="AB21" i="2" a="1"/>
  <c r="AB21" i="2"/>
  <c r="AB22" i="2" a="1"/>
  <c r="AB22" i="2" s="1"/>
  <c r="AB23" i="2" a="1"/>
  <c r="AB23" i="2" s="1"/>
  <c r="AB24" i="2" a="1"/>
  <c r="AB24" i="2" s="1"/>
  <c r="AB25" i="2" a="1"/>
  <c r="AB25" i="2" s="1"/>
  <c r="AB26" i="2" a="1"/>
  <c r="AB26" i="2"/>
  <c r="AB27" i="2" a="1"/>
  <c r="AB27" i="2"/>
  <c r="AB28" i="2" a="1"/>
  <c r="AB28" i="2"/>
  <c r="AB29" i="2" a="1"/>
  <c r="AB29" i="2" s="1"/>
  <c r="AB30" i="2" a="1"/>
  <c r="AB30" i="2"/>
  <c r="AB31" i="2" a="1"/>
  <c r="AB31" i="2" s="1"/>
  <c r="AB32" i="2" a="1"/>
  <c r="AB32" i="2"/>
  <c r="AB33" i="2" a="1"/>
  <c r="AB33" i="2" s="1"/>
  <c r="AB34" i="2" a="1"/>
  <c r="AB34" i="2"/>
  <c r="AB35" i="2" a="1"/>
  <c r="AB35" i="2" s="1"/>
  <c r="AB36" i="2" a="1"/>
  <c r="AB36" i="2"/>
  <c r="AB37" i="2" a="1"/>
  <c r="AB37" i="2" s="1"/>
  <c r="AB38" i="2" a="1"/>
  <c r="AB38" i="2" s="1"/>
  <c r="AB39" i="2" a="1"/>
  <c r="AB39" i="2"/>
  <c r="AB40" i="2" a="1"/>
  <c r="AB40" i="2" s="1"/>
  <c r="AB41" i="2" a="1"/>
  <c r="AB41" i="2"/>
  <c r="AB42" i="2" a="1"/>
  <c r="AB42" i="2" s="1"/>
  <c r="AB43" i="2" a="1"/>
  <c r="AB43" i="2" s="1"/>
  <c r="AB44" i="2" a="1"/>
  <c r="AB44" i="2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/>
  <c r="AB51" i="2" a="1"/>
  <c r="AB51" i="2"/>
  <c r="AB52" i="2" a="1"/>
  <c r="AB52" i="2"/>
  <c r="AB53" i="2" a="1"/>
  <c r="AB53" i="2"/>
  <c r="AB54" i="2" a="1"/>
  <c r="AB54" i="2"/>
  <c r="AB55" i="2" a="1"/>
  <c r="AB55" i="2" s="1"/>
  <c r="AB56" i="2" a="1"/>
  <c r="AB56" i="2" s="1"/>
  <c r="AB57" i="2" a="1"/>
  <c r="AB57" i="2"/>
  <c r="AB58" i="2" a="1"/>
  <c r="AB58" i="2" s="1"/>
  <c r="AB59" i="2" a="1"/>
  <c r="AB59" i="2" s="1"/>
  <c r="AB60" i="2" a="1"/>
  <c r="AB60" i="2"/>
  <c r="AB61" i="2" a="1"/>
  <c r="AB61" i="2" s="1"/>
  <c r="AB62" i="2" a="1"/>
  <c r="AB62" i="2"/>
  <c r="AB63" i="2" a="1"/>
  <c r="AB63" i="2" s="1"/>
  <c r="AB64" i="2" a="1"/>
  <c r="AB64" i="2"/>
  <c r="AB65" i="2" a="1"/>
  <c r="AB65" i="2" s="1"/>
  <c r="AB66" i="2" a="1"/>
  <c r="AB66" i="2"/>
  <c r="AB67" i="2" a="1"/>
  <c r="AB67" i="2" s="1"/>
  <c r="AB68" i="2" a="1"/>
  <c r="AB68" i="2" s="1"/>
  <c r="AB69" i="2" a="1"/>
  <c r="AB69" i="2"/>
  <c r="AB70" i="2" a="1"/>
  <c r="AB70" i="2" s="1"/>
  <c r="AB71" i="2" a="1"/>
  <c r="AB71" i="2"/>
  <c r="AB72" i="2" a="1"/>
  <c r="AB72" i="2" s="1"/>
  <c r="AB73" i="2" a="1"/>
  <c r="AB73" i="2" s="1"/>
  <c r="AB74" i="2" a="1"/>
  <c r="AB74" i="2" s="1"/>
  <c r="AB75" i="2" a="1"/>
  <c r="AB75" i="2"/>
  <c r="AB76" i="2" a="1"/>
  <c r="AB76" i="2" s="1"/>
  <c r="AB77" i="2" a="1"/>
  <c r="AB77" i="2"/>
  <c r="AB78" i="2" a="1"/>
  <c r="AB78" i="2"/>
  <c r="AB79" i="2" a="1"/>
  <c r="AB79" i="2"/>
  <c r="AB80" i="2" a="1"/>
  <c r="AB80" i="2"/>
  <c r="AB81" i="2" a="1"/>
  <c r="AB81" i="2"/>
  <c r="AB82" i="2" a="1"/>
  <c r="AB82" i="2"/>
  <c r="AB83" i="2" a="1"/>
  <c r="AB83" i="2" s="1"/>
  <c r="AB84" i="2" a="1"/>
  <c r="AB84" i="2"/>
  <c r="AB85" i="2" a="1"/>
  <c r="AB85" i="2" s="1"/>
  <c r="AB86" i="2" a="1"/>
  <c r="AB86" i="2" s="1"/>
  <c r="AB87" i="2" a="1"/>
  <c r="AB87" i="2"/>
  <c r="AB88" i="2" a="1"/>
  <c r="AB88" i="2"/>
  <c r="AB89" i="2" a="1"/>
  <c r="AB89" i="2"/>
  <c r="AB90" i="2" a="1"/>
  <c r="AB90" i="2"/>
  <c r="AB91" i="2" a="1"/>
  <c r="AB91" i="2" s="1"/>
  <c r="AB92" i="2" a="1"/>
  <c r="AB92" i="2" s="1"/>
  <c r="AB93" i="2" a="1"/>
  <c r="AB93" i="2"/>
  <c r="AB94" i="2" a="1"/>
  <c r="AB94" i="2" s="1"/>
  <c r="AB95" i="2" a="1"/>
  <c r="AB95" i="2"/>
  <c r="AB96" i="2" a="1"/>
  <c r="AB96" i="2" s="1"/>
  <c r="AB97" i="2" a="1"/>
  <c r="AB97" i="2"/>
  <c r="AB98" i="2" a="1"/>
  <c r="AB98" i="2"/>
  <c r="AB99" i="2" a="1"/>
  <c r="AB99" i="2"/>
  <c r="AB100" i="2" a="1"/>
  <c r="AB100" i="2"/>
  <c r="AB101" i="2" a="1"/>
  <c r="AB101" i="2" s="1"/>
  <c r="AB102" i="2" a="1"/>
  <c r="AB102" i="2"/>
  <c r="AB103" i="2" a="1"/>
  <c r="AB103" i="2" s="1"/>
  <c r="AB104" i="2" a="1"/>
  <c r="AB104" i="2" s="1"/>
  <c r="AB105" i="2" a="1"/>
  <c r="AB105" i="2"/>
  <c r="AB106" i="2" a="1"/>
  <c r="AB106" i="2" s="1"/>
  <c r="AB107" i="2" a="1"/>
  <c r="AB107" i="2"/>
  <c r="AB108" i="2" a="1"/>
  <c r="AB108" i="2"/>
  <c r="AB109" i="2" a="1"/>
  <c r="AB109" i="2"/>
  <c r="AB110" i="2" a="1"/>
  <c r="AB110" i="2" s="1"/>
  <c r="AB111" i="2" a="1"/>
  <c r="AB111" i="2"/>
  <c r="AB112" i="2" a="1"/>
  <c r="AB112" i="2" s="1"/>
  <c r="AB113" i="2" a="1"/>
  <c r="AB113" i="2"/>
  <c r="AB114" i="2" a="1"/>
  <c r="AB114" i="2" s="1"/>
  <c r="AB115" i="2" a="1"/>
  <c r="AB115" i="2"/>
  <c r="AB116" i="2" a="1"/>
  <c r="AB116" i="2"/>
  <c r="AB117" i="2" a="1"/>
  <c r="AB117" i="2"/>
  <c r="AB118" i="2" a="1"/>
  <c r="AB118" i="2" s="1"/>
  <c r="AB119" i="2" a="1"/>
  <c r="AB119" i="2" s="1"/>
  <c r="AB120" i="2" a="1"/>
  <c r="AB120" i="2"/>
  <c r="AB121" i="2" a="1"/>
  <c r="AB121" i="2" s="1"/>
  <c r="AB122" i="2" a="1"/>
  <c r="AB122" i="2" s="1"/>
  <c r="AB123" i="2" a="1"/>
  <c r="AB123" i="2"/>
  <c r="AB124" i="2" a="1"/>
  <c r="AB124" i="2" s="1"/>
  <c r="AB125" i="2" a="1"/>
  <c r="AB125" i="2"/>
  <c r="AB126" i="2" a="1"/>
  <c r="AB126" i="2" s="1"/>
  <c r="AB127" i="2" a="1"/>
  <c r="AB127" i="2"/>
  <c r="AB128" i="2" a="1"/>
  <c r="AB128" i="2" s="1"/>
  <c r="AB129" i="2" a="1"/>
  <c r="AB129" i="2" s="1"/>
  <c r="AB130" i="2" a="1"/>
  <c r="AB130" i="2" s="1"/>
  <c r="AB131" i="2" a="1"/>
  <c r="AB131" i="2"/>
  <c r="AB132" i="2" a="1"/>
  <c r="AB132" i="2"/>
  <c r="AB133" i="2" a="1"/>
  <c r="AB133" i="2" s="1"/>
  <c r="AB134" i="2" a="1"/>
  <c r="AB134" i="2"/>
  <c r="AB135" i="2" a="1"/>
  <c r="AB135" i="2"/>
  <c r="AB136" i="2" a="1"/>
  <c r="AB136" i="2" s="1"/>
  <c r="AB137" i="2" a="1"/>
  <c r="AB137" i="2" s="1"/>
  <c r="AB138" i="2" a="1"/>
  <c r="AB138" i="2" s="1"/>
  <c r="AB139" i="2" a="1"/>
  <c r="AB139" i="2" s="1"/>
  <c r="AB140" i="2" a="1"/>
  <c r="AB140" i="2"/>
  <c r="AB141" i="2" a="1"/>
  <c r="AB141" i="2"/>
  <c r="AB142" i="2" a="1"/>
  <c r="AB142" i="2"/>
  <c r="AB143" i="2" a="1"/>
  <c r="AB143" i="2"/>
  <c r="AB144" i="2" a="1"/>
  <c r="AB144" i="2" s="1"/>
  <c r="AB145" i="2" a="1"/>
  <c r="AB145" i="2"/>
  <c r="AB146" i="2" a="1"/>
  <c r="AB146" i="2" s="1"/>
  <c r="AB147" i="2" a="1"/>
  <c r="AB147" i="2"/>
  <c r="AB148" i="2" a="1"/>
  <c r="AB148" i="2" s="1"/>
  <c r="AB149" i="2" a="1"/>
  <c r="AB149" i="2" s="1"/>
  <c r="AB150" i="2" a="1"/>
  <c r="AB150" i="2"/>
  <c r="AB151" i="2" a="1"/>
  <c r="AB151" i="2" s="1"/>
  <c r="AB152" i="2" a="1"/>
  <c r="AB152" i="2"/>
  <c r="AB153" i="2" a="1"/>
  <c r="AB153" i="2"/>
  <c r="AB154" i="2" a="1"/>
  <c r="AB154" i="2" s="1"/>
  <c r="AB155" i="2" a="1"/>
  <c r="AB155" i="2" s="1"/>
  <c r="AB156" i="2" a="1"/>
  <c r="AB156" i="2"/>
  <c r="AB157" i="2" a="1"/>
  <c r="AB157" i="2" s="1"/>
  <c r="AB158" i="2" a="1"/>
  <c r="AB158" i="2" s="1"/>
  <c r="AB159" i="2" a="1"/>
  <c r="AB159" i="2"/>
  <c r="AB160" i="2" a="1"/>
  <c r="AB160" i="2" s="1"/>
  <c r="AB161" i="2" a="1"/>
  <c r="AB161" i="2"/>
  <c r="AB162" i="2" a="1"/>
  <c r="AB162" i="2" s="1"/>
  <c r="AB163" i="2" a="1"/>
  <c r="AB163" i="2"/>
  <c r="AB164" i="2" a="1"/>
  <c r="AB164" i="2" s="1"/>
  <c r="AB165" i="2" a="1"/>
  <c r="AB165" i="2"/>
  <c r="AB166" i="2" a="1"/>
  <c r="AB166" i="2" s="1"/>
  <c r="AB167" i="2" a="1"/>
  <c r="AB167" i="2" s="1"/>
  <c r="AB168" i="2" a="1"/>
  <c r="AB168" i="2" s="1"/>
  <c r="AB169" i="2" a="1"/>
  <c r="AB169" i="2"/>
  <c r="AB170" i="2" a="1"/>
  <c r="AB170" i="2"/>
  <c r="AB171" i="2" a="1"/>
  <c r="AB171" i="2" s="1"/>
  <c r="AB172" i="2" a="1"/>
  <c r="AB172" i="2" s="1"/>
  <c r="AB173" i="2" a="1"/>
  <c r="AB173" i="2" s="1"/>
  <c r="AB174" i="2" a="1"/>
  <c r="AB174" i="2" s="1"/>
  <c r="AB175" i="2" a="1"/>
  <c r="AB175" i="2" s="1"/>
  <c r="AB176" i="2" a="1"/>
  <c r="AB176" i="2"/>
  <c r="AB177" i="2" a="1"/>
  <c r="AB177" i="2" s="1"/>
  <c r="AB178" i="2" a="1"/>
  <c r="AB178" i="2"/>
  <c r="AB179" i="2" a="1"/>
  <c r="AB179" i="2"/>
  <c r="AB180" i="2" a="1"/>
  <c r="AB180" i="2"/>
  <c r="AB181" i="2" a="1"/>
  <c r="AB181" i="2"/>
  <c r="AB182" i="2" a="1"/>
  <c r="AB182" i="2" s="1"/>
  <c r="AB183" i="2" a="1"/>
  <c r="AB183" i="2"/>
  <c r="AB184" i="2" a="1"/>
  <c r="AB184" i="2" s="1"/>
  <c r="AB185" i="2" a="1"/>
  <c r="AB185" i="2" s="1"/>
  <c r="AB186" i="2" a="1"/>
  <c r="AB186" i="2"/>
  <c r="AB187" i="2" a="1"/>
  <c r="AB187" i="2" s="1"/>
  <c r="AB188" i="2" a="1"/>
  <c r="AB188" i="2"/>
  <c r="AB189" i="2" a="1"/>
  <c r="AB189" i="2"/>
  <c r="AB190" i="2" a="1"/>
  <c r="AB190" i="2" s="1"/>
  <c r="AB191" i="2" a="1"/>
  <c r="AB191" i="2" s="1"/>
  <c r="AB192" i="2" a="1"/>
  <c r="AB192" i="2"/>
  <c r="AB193" i="2" a="1"/>
  <c r="AB193" i="2" s="1"/>
  <c r="AB194" i="2" a="1"/>
  <c r="AB194" i="2"/>
  <c r="AB195" i="2" a="1"/>
  <c r="AB195" i="2" s="1"/>
  <c r="AB196" i="2" a="1"/>
  <c r="AB196" i="2"/>
  <c r="AB197" i="2" a="1"/>
  <c r="AB197" i="2" s="1"/>
  <c r="AB198" i="2" a="1"/>
  <c r="AB198" i="2" s="1"/>
  <c r="AB199" i="2" a="1"/>
  <c r="AB199" i="2"/>
  <c r="AB200" i="2" a="1"/>
  <c r="AB200" i="2" s="1"/>
  <c r="AB201" i="2" a="1"/>
  <c r="AB201" i="2"/>
  <c r="AB202" i="2" a="1"/>
  <c r="AB202" i="2" s="1"/>
  <c r="AB203" i="2" a="1"/>
  <c r="AB203" i="2"/>
  <c r="AB204" i="2" a="1"/>
  <c r="AB204" i="2"/>
  <c r="AB205" i="2" a="1"/>
  <c r="AB205" i="2" s="1"/>
  <c r="AB206" i="2" a="1"/>
  <c r="AB206" i="2" s="1"/>
  <c r="AB207" i="2" a="1"/>
  <c r="AB207" i="2" s="1"/>
  <c r="AB208" i="2" a="1"/>
  <c r="AB208" i="2"/>
  <c r="AB209" i="2" a="1"/>
  <c r="AB209" i="2" s="1"/>
  <c r="AB210" i="2" a="1"/>
  <c r="AB210" i="2"/>
  <c r="AB211" i="2" a="1"/>
  <c r="AB211" i="2" s="1"/>
  <c r="AB212" i="2" a="1"/>
  <c r="AB212" i="2"/>
  <c r="AB213" i="2" a="1"/>
  <c r="AB213" i="2"/>
  <c r="AB214" i="2" a="1"/>
  <c r="AB214" i="2"/>
  <c r="AB215" i="2" a="1"/>
  <c r="AB215" i="2"/>
  <c r="AB216" i="2" a="1"/>
  <c r="AB216" i="2"/>
  <c r="AB217" i="2" a="1"/>
  <c r="AB217" i="2" s="1"/>
  <c r="AB218" i="2" a="1"/>
  <c r="AB218" i="2" s="1"/>
  <c r="AB219" i="2" a="1"/>
  <c r="AB219" i="2"/>
  <c r="AB220" i="2" a="1"/>
  <c r="AB220" i="2" s="1"/>
  <c r="AB221" i="2" a="1"/>
  <c r="AB221" i="2"/>
  <c r="AB222" i="2" a="1"/>
  <c r="AB222" i="2"/>
  <c r="AB223" i="2" a="1"/>
  <c r="AB223" i="2" s="1"/>
  <c r="AB224" i="2" a="1"/>
  <c r="AB224" i="2"/>
  <c r="AB225" i="2" a="1"/>
  <c r="AB225" i="2" s="1"/>
  <c r="AB226" i="2" a="1"/>
  <c r="AB226" i="2"/>
  <c r="AB227" i="2" a="1"/>
  <c r="AB227" i="2" s="1"/>
  <c r="AB228" i="2" a="1"/>
  <c r="AB228" i="2"/>
  <c r="AB229" i="2" a="1"/>
  <c r="AB229" i="2" s="1"/>
  <c r="AB230" i="2" a="1"/>
  <c r="AB230" i="2"/>
  <c r="AB231" i="2" a="1"/>
  <c r="AB231" i="2" s="1"/>
  <c r="AB232" i="2" a="1"/>
  <c r="AB232" i="2"/>
  <c r="AB233" i="2" a="1"/>
  <c r="AB233" i="2"/>
  <c r="AB234" i="2" a="1"/>
  <c r="AB234" i="2"/>
  <c r="AB235" i="2" a="1"/>
  <c r="AB235" i="2" s="1"/>
  <c r="AB236" i="2" a="1"/>
  <c r="AB236" i="2" s="1"/>
  <c r="AB237" i="2" a="1"/>
  <c r="AB237" i="2"/>
  <c r="AB238" i="2" a="1"/>
  <c r="AB238" i="2" s="1"/>
  <c r="AB239" i="2" a="1"/>
  <c r="AB239" i="2"/>
  <c r="AB240" i="2" a="1"/>
  <c r="AB240" i="2" s="1"/>
  <c r="AB241" i="2" a="1"/>
  <c r="AB241" i="2"/>
  <c r="AB242" i="2" a="1"/>
  <c r="AB242" i="2" s="1"/>
  <c r="AB243" i="2" a="1"/>
  <c r="AB243" i="2"/>
  <c r="AB244" i="2" a="1"/>
  <c r="AB244" i="2" s="1"/>
  <c r="AB245" i="2" a="1"/>
  <c r="AB245" i="2" s="1"/>
  <c r="AB246" i="2" a="1"/>
  <c r="AB246" i="2"/>
  <c r="AB247" i="2" a="1"/>
  <c r="AB247" i="2" s="1"/>
  <c r="AB248" i="2" a="1"/>
  <c r="AB248" i="2" s="1"/>
  <c r="AB249" i="2" a="1"/>
  <c r="AB249" i="2" s="1"/>
  <c r="AB250" i="2" a="1"/>
  <c r="AB250" i="2"/>
  <c r="AB251" i="2" a="1"/>
  <c r="AB251" i="2"/>
  <c r="AB252" i="2" a="1"/>
  <c r="AB252" i="2"/>
  <c r="AB253" i="2" a="1"/>
  <c r="AB253" i="2"/>
  <c r="AB254" i="2" a="1"/>
  <c r="AB254" i="2" s="1"/>
  <c r="AB255" i="2" a="1"/>
  <c r="AB255" i="2"/>
  <c r="AB256" i="2" a="1"/>
  <c r="AB256" i="2" s="1"/>
  <c r="AB257" i="2" a="1"/>
  <c r="AB257" i="2"/>
  <c r="AB258" i="2" a="1"/>
  <c r="AB258" i="2" s="1"/>
  <c r="AB259" i="2" a="1"/>
  <c r="AB259" i="2"/>
  <c r="AB260" i="2" a="1"/>
  <c r="AB260" i="2"/>
  <c r="AB261" i="2" a="1"/>
  <c r="AB261" i="2"/>
  <c r="AB262" i="2" a="1"/>
  <c r="AB262" i="2" s="1"/>
  <c r="AB263" i="2" a="1"/>
  <c r="AB263" i="2" s="1"/>
  <c r="AB264" i="2" a="1"/>
  <c r="AB264" i="2"/>
  <c r="AB265" i="2" a="1"/>
  <c r="AB265" i="2" s="1"/>
  <c r="AB266" i="2" a="1"/>
  <c r="AB266" i="2" s="1"/>
  <c r="AB267" i="2" a="1"/>
  <c r="AB267" i="2"/>
  <c r="AB268" i="2" a="1"/>
  <c r="AB268" i="2" s="1"/>
  <c r="AB269" i="2" a="1"/>
  <c r="AB269" i="2"/>
  <c r="AB270" i="2" a="1"/>
  <c r="AB270" i="2"/>
  <c r="AB271" i="2" a="1"/>
  <c r="AB271" i="2"/>
  <c r="AB272" i="2" a="1"/>
  <c r="AB272" i="2" s="1"/>
  <c r="AB273" i="2" a="1"/>
  <c r="AB273" i="2"/>
  <c r="AB274" i="2" a="1"/>
  <c r="AB274" i="2" s="1"/>
  <c r="AB275" i="2" a="1"/>
  <c r="AB275" i="2"/>
  <c r="AB276" i="2" a="1"/>
  <c r="AB276" i="2" s="1"/>
  <c r="AB277" i="2" a="1"/>
  <c r="AB277" i="2"/>
  <c r="AB278" i="2" a="1"/>
  <c r="AB278" i="2" s="1"/>
  <c r="AB279" i="2" a="1"/>
  <c r="AB279" i="2"/>
  <c r="AB280" i="2" a="1"/>
  <c r="AB280" i="2"/>
  <c r="AB281" i="2" a="1"/>
  <c r="AB281" i="2" s="1"/>
  <c r="AB282" i="2" a="1"/>
  <c r="AB282" i="2"/>
  <c r="AB283" i="2" a="1"/>
  <c r="AB283" i="2" s="1"/>
  <c r="AB284" i="2" a="1"/>
  <c r="AB284" i="2"/>
  <c r="AB285" i="2" a="1"/>
  <c r="AB285" i="2" s="1"/>
  <c r="AB286" i="2" a="1"/>
  <c r="AB286" i="2" s="1"/>
  <c r="AB287" i="2" a="1"/>
  <c r="AB287" i="2"/>
  <c r="AB288" i="2" a="1"/>
  <c r="AB288" i="2" s="1"/>
  <c r="AB289" i="2" a="1"/>
  <c r="AB289" i="2" s="1"/>
  <c r="AB290" i="2" a="1"/>
  <c r="AB290" i="2" s="1"/>
  <c r="AB291" i="2" a="1"/>
  <c r="AB291" i="2"/>
  <c r="AB292" i="2" a="1"/>
  <c r="AB292" i="2" s="1"/>
  <c r="AB293" i="2" a="1"/>
  <c r="AB293" i="2"/>
  <c r="AB294" i="2" a="1"/>
  <c r="AB294" i="2"/>
  <c r="AB295" i="2" a="1"/>
  <c r="AB295" i="2"/>
  <c r="AB296" i="2" a="1"/>
  <c r="AB296" i="2" s="1"/>
  <c r="AB297" i="2" a="1"/>
  <c r="AB297" i="2" s="1"/>
  <c r="AB298" i="2" a="1"/>
  <c r="AB298" i="2" s="1"/>
  <c r="AB299" i="2" a="1"/>
  <c r="AB299" i="2" s="1"/>
  <c r="AB300" i="2" a="1"/>
  <c r="AB300" i="2" s="1"/>
  <c r="AB301" i="2" a="1"/>
  <c r="AB301" i="2" s="1"/>
  <c r="AB302" i="2" a="1"/>
  <c r="AB302" i="2"/>
  <c r="AB303" i="2" a="1"/>
  <c r="AB303" i="2"/>
  <c r="AB304" i="2" a="1"/>
  <c r="AB304" i="2"/>
  <c r="AB305" i="2" a="1"/>
  <c r="AB305" i="2"/>
  <c r="AB306" i="2" a="1"/>
  <c r="AB306" i="2" s="1"/>
  <c r="AB307" i="2" a="1"/>
  <c r="AB307" i="2"/>
  <c r="AB308" i="2" a="1"/>
  <c r="AB308" i="2" s="1"/>
  <c r="AB309" i="2" a="1"/>
  <c r="AB309" i="2"/>
  <c r="AB310" i="2" a="1"/>
  <c r="AB310" i="2" s="1"/>
  <c r="AB311" i="2" a="1"/>
  <c r="AB311" i="2" s="1"/>
  <c r="AB312" i="2" a="1"/>
  <c r="AB312" i="2"/>
  <c r="AB313" i="2" a="1"/>
  <c r="AB313" i="2"/>
  <c r="AB314" i="2" a="1"/>
  <c r="AB314" i="2"/>
  <c r="AB315" i="2" a="1"/>
  <c r="AB315" i="2" s="1"/>
  <c r="AB316" i="2" a="1"/>
  <c r="AB316" i="2" s="1"/>
  <c r="AB317" i="2" a="1"/>
  <c r="AB317" i="2" s="1"/>
  <c r="AB318" i="2" a="1"/>
  <c r="AB318" i="2"/>
  <c r="AB319" i="2" a="1"/>
  <c r="AB319" i="2" s="1"/>
  <c r="AB320" i="2" a="1"/>
  <c r="AB320" i="2"/>
  <c r="AB321" i="2" a="1"/>
  <c r="AB321" i="2"/>
  <c r="AB322" i="2" a="1"/>
  <c r="AB322" i="2" s="1"/>
  <c r="AB323" i="2" a="1"/>
  <c r="AB323" i="2" s="1"/>
  <c r="AB324" i="2" a="1"/>
  <c r="AB324" i="2"/>
  <c r="AB325" i="2" a="1"/>
  <c r="AB325" i="2"/>
  <c r="AB326" i="2" a="1"/>
  <c r="AB326" i="2" s="1"/>
  <c r="AB327" i="2" a="1"/>
  <c r="AB327" i="2"/>
  <c r="AB328" i="2" a="1"/>
  <c r="AB328" i="2" s="1"/>
  <c r="AB329" i="2" a="1"/>
  <c r="AB329" i="2" s="1"/>
  <c r="AB330" i="2" a="1"/>
  <c r="AB330" i="2" s="1"/>
  <c r="AB331" i="2" a="1"/>
  <c r="AB331" i="2"/>
  <c r="AB332" i="2" a="1"/>
  <c r="AB332" i="2" s="1"/>
  <c r="AB333" i="2" a="1"/>
  <c r="AB333" i="2"/>
  <c r="AB334" i="2" a="1"/>
  <c r="AB334" i="2"/>
  <c r="AB335" i="2" a="1"/>
  <c r="AB335" i="2" s="1"/>
  <c r="AB336" i="2" a="1"/>
  <c r="AB336" i="2"/>
  <c r="AB337" i="2" a="1"/>
  <c r="AB337" i="2" s="1"/>
  <c r="AB338" i="2" a="1"/>
  <c r="AB338" i="2"/>
  <c r="AB339" i="2" a="1"/>
  <c r="AB339" i="2" s="1"/>
  <c r="AB340" i="2" a="1"/>
  <c r="AB340" i="2"/>
  <c r="AB341" i="2" a="1"/>
  <c r="AB341" i="2"/>
  <c r="AB342" i="2" a="1"/>
  <c r="AB342" i="2"/>
  <c r="AB343" i="2" a="1"/>
  <c r="AB343" i="2" s="1"/>
  <c r="AB344" i="2" a="1"/>
  <c r="AB344" i="2" s="1"/>
  <c r="AB345" i="2" a="1"/>
  <c r="AB345" i="2"/>
  <c r="AB346" i="2" a="1"/>
  <c r="AB346" i="2" s="1"/>
  <c r="AB347" i="2" a="1"/>
  <c r="AB347" i="2" s="1"/>
  <c r="AB348" i="2" a="1"/>
  <c r="AB348" i="2"/>
  <c r="AB349" i="2" a="1"/>
  <c r="AB349" i="2" s="1"/>
  <c r="AB350" i="2" a="1"/>
  <c r="AB350" i="2"/>
  <c r="AB351" i="2" a="1"/>
  <c r="AB351" i="2"/>
  <c r="AB352" i="2" a="1"/>
  <c r="AB352" i="2"/>
  <c r="AB353" i="2" a="1"/>
  <c r="AB353" i="2" s="1"/>
  <c r="AB354" i="2" a="1"/>
  <c r="AB354" i="2"/>
  <c r="AB355" i="2" a="1"/>
  <c r="AB355" i="2" s="1"/>
  <c r="AB356" i="2" a="1"/>
  <c r="AB356" i="2"/>
  <c r="AB357" i="2" a="1"/>
  <c r="AB357" i="2" s="1"/>
  <c r="AB358" i="2" a="1"/>
  <c r="AB358" i="2"/>
  <c r="AB359" i="2" a="1"/>
  <c r="AB359" i="2" s="1"/>
  <c r="AB360" i="2" a="1"/>
  <c r="AB360" i="2"/>
  <c r="AB361" i="2" a="1"/>
  <c r="AB361" i="2"/>
  <c r="AB362" i="2" a="1"/>
  <c r="AB362" i="2" s="1"/>
  <c r="AB363" i="2" a="1"/>
  <c r="AB363" i="2"/>
  <c r="AB364" i="2" a="1"/>
  <c r="AB364" i="2" s="1"/>
  <c r="AB365" i="2" a="1"/>
  <c r="AB365" i="2"/>
  <c r="AB366" i="2" a="1"/>
  <c r="AB366" i="2" s="1"/>
  <c r="AB367" i="2" a="1"/>
  <c r="AB367" i="2" s="1"/>
  <c r="AB368" i="2" a="1"/>
  <c r="AB368" i="2"/>
  <c r="AB369" i="2" a="1"/>
  <c r="AB369" i="2" s="1"/>
  <c r="AB370" i="2" a="1"/>
  <c r="AB370" i="2"/>
  <c r="AB371" i="2" a="1"/>
  <c r="AB371" i="2" s="1"/>
  <c r="AB372" i="2" a="1"/>
  <c r="AB372" i="2"/>
  <c r="AB373" i="2" a="1"/>
  <c r="AB373" i="2" s="1"/>
  <c r="AB374" i="2" a="1"/>
  <c r="AB374" i="2"/>
  <c r="AB375" i="2" a="1"/>
  <c r="AB375" i="2"/>
  <c r="AB376" i="2" a="1"/>
  <c r="AB376" i="2"/>
  <c r="AB377" i="2" a="1"/>
  <c r="AB377" i="2" s="1"/>
  <c r="AB378" i="2" a="1"/>
  <c r="AB378" i="2" s="1"/>
  <c r="AB379" i="2" a="1"/>
  <c r="AB379" i="2" s="1"/>
  <c r="AB380" i="2" a="1"/>
  <c r="AB380" i="2" s="1"/>
  <c r="AB381" i="2" a="1"/>
  <c r="AB381" i="2" s="1"/>
  <c r="AB382" i="2" a="1"/>
  <c r="AB382" i="2" s="1"/>
  <c r="AB383" i="2" a="1"/>
  <c r="AB383" i="2"/>
  <c r="AB384" i="2" a="1"/>
  <c r="AB384" i="2"/>
  <c r="AB385" i="2" a="1"/>
  <c r="AB385" i="2"/>
  <c r="AB386" i="2" a="1"/>
  <c r="AB386" i="2"/>
  <c r="AB387" i="2" a="1"/>
  <c r="AB387" i="2" s="1"/>
  <c r="AB388" i="2" a="1"/>
  <c r="AB388" i="2"/>
  <c r="AB389" i="2" a="1"/>
  <c r="AB389" i="2" s="1"/>
  <c r="AB390" i="2" a="1"/>
  <c r="AB390" i="2"/>
  <c r="AB391" i="2" a="1"/>
  <c r="AB391" i="2" s="1"/>
  <c r="AB392" i="2" a="1"/>
  <c r="AB392" i="2" s="1"/>
  <c r="AB393" i="2" a="1"/>
  <c r="AB393" i="2" s="1"/>
  <c r="AB394" i="2" a="1"/>
  <c r="AB394" i="2"/>
  <c r="AB395" i="2" a="1"/>
  <c r="AB395" i="2"/>
  <c r="AB396" i="2" a="1"/>
  <c r="AB396" i="2" s="1"/>
  <c r="AB397" i="2" a="1"/>
  <c r="AB397" i="2" s="1"/>
  <c r="AB398" i="2" a="1"/>
  <c r="AB398" i="2" s="1"/>
  <c r="AB399" i="2" a="1"/>
  <c r="AB399" i="2" s="1"/>
  <c r="AB400" i="2" a="1"/>
  <c r="AB400" i="2" s="1"/>
  <c r="AB401" i="2" a="1"/>
  <c r="AB401" i="2"/>
  <c r="AB402" i="2" a="1"/>
  <c r="AB402" i="2" s="1"/>
  <c r="AB403" i="2" a="1"/>
  <c r="AB403" i="2"/>
  <c r="AB404" i="2" a="1"/>
  <c r="AB404" i="2" s="1"/>
  <c r="AB405" i="2" a="1"/>
  <c r="AB405" i="2"/>
  <c r="AB406" i="2" a="1"/>
  <c r="AB406" i="2"/>
  <c r="AB407" i="2" a="1"/>
  <c r="AB407" i="2" s="1"/>
  <c r="AB408" i="2" a="1"/>
  <c r="AB408" i="2"/>
  <c r="AB409" i="2" a="1"/>
  <c r="AB409" i="2" s="1"/>
  <c r="AB410" i="2" a="1"/>
  <c r="AB410" i="2" s="1"/>
  <c r="AB411" i="2" a="1"/>
  <c r="AB411" i="2" s="1"/>
  <c r="AB412" i="2" a="1"/>
  <c r="AB412" i="2"/>
  <c r="AB413" i="2" a="1"/>
  <c r="AB413" i="2" s="1"/>
  <c r="AB414" i="2" a="1"/>
  <c r="AB414" i="2"/>
  <c r="AB415" i="2" a="1"/>
  <c r="AB415" i="2" s="1"/>
  <c r="AB416" i="2" a="1"/>
  <c r="AB416" i="2" s="1"/>
  <c r="AB417" i="2" a="1"/>
  <c r="AB417" i="2" s="1"/>
  <c r="AB418" i="2" a="1"/>
  <c r="AB418" i="2" s="1"/>
  <c r="AB419" i="2" a="1"/>
  <c r="AB419" i="2"/>
  <c r="AB420" i="2" a="1"/>
  <c r="AB420" i="2" s="1"/>
  <c r="AB421" i="2" a="1"/>
  <c r="AB421" i="2"/>
  <c r="AB422" i="2" a="1"/>
  <c r="AB422" i="2" s="1"/>
  <c r="AB423" i="2" a="1"/>
  <c r="AB423" i="2"/>
  <c r="AB424" i="2" a="1"/>
  <c r="AB424" i="2"/>
  <c r="AB425" i="2" a="1"/>
  <c r="AB425" i="2" s="1"/>
  <c r="AB426" i="2" a="1"/>
  <c r="AB426" i="2" s="1"/>
  <c r="AB427" i="2" a="1"/>
  <c r="AB427" i="2" s="1"/>
  <c r="AB428" i="2" a="1"/>
  <c r="AB428" i="2" s="1"/>
  <c r="AB429" i="2" a="1"/>
  <c r="AB429" i="2"/>
  <c r="AB430" i="2" a="1"/>
  <c r="AB430" i="2" s="1"/>
  <c r="AB431" i="2" a="1"/>
  <c r="AB431" i="2"/>
  <c r="AB432" i="2" a="1"/>
  <c r="AB432" i="2"/>
  <c r="AB433" i="2" a="1"/>
  <c r="AB433" i="2" s="1"/>
  <c r="AB434" i="2" a="1"/>
  <c r="AB434" i="2" s="1"/>
  <c r="AB435" i="2" a="1"/>
  <c r="AB435" i="2"/>
  <c r="AB436" i="2" a="1"/>
  <c r="AB436" i="2" s="1"/>
  <c r="AB437" i="2" a="1"/>
  <c r="AB437" i="2"/>
  <c r="AB438" i="2" a="1"/>
  <c r="AB438" i="2" s="1"/>
  <c r="AB439" i="2" a="1"/>
  <c r="AB439" i="2"/>
  <c r="AB440" i="2" a="1"/>
  <c r="AB440" i="2" s="1"/>
  <c r="AB441" i="2" a="1"/>
  <c r="AB441" i="2"/>
  <c r="AB442" i="2" a="1"/>
  <c r="AB442" i="2"/>
  <c r="AB443" i="2" a="1"/>
  <c r="AB443" i="2" s="1"/>
  <c r="AB444" i="2" a="1"/>
  <c r="AB444" i="2" s="1"/>
  <c r="AB445" i="2" a="1"/>
  <c r="AB445" i="2" s="1"/>
  <c r="AB446" i="2" a="1"/>
  <c r="AB446" i="2"/>
  <c r="AB447" i="2" a="1"/>
  <c r="AB447" i="2"/>
  <c r="AB448" i="2" a="1"/>
  <c r="AB448" i="2" s="1"/>
  <c r="AB449" i="2" a="1"/>
  <c r="AB449" i="2"/>
  <c r="AB450" i="2" a="1"/>
  <c r="AB450" i="2" s="1"/>
  <c r="AB451" i="2" a="1"/>
  <c r="AB451" i="2"/>
  <c r="AB452" i="2" a="1"/>
  <c r="AB452" i="2" s="1"/>
  <c r="AB453" i="2" a="1"/>
  <c r="AB453" i="2"/>
  <c r="AB454" i="2" a="1"/>
  <c r="AB454" i="2" s="1"/>
  <c r="AB455" i="2" a="1"/>
  <c r="AB455" i="2"/>
  <c r="AB456" i="2" a="1"/>
  <c r="AB456" i="2" s="1"/>
  <c r="AB457" i="2" a="1"/>
  <c r="AB457" i="2"/>
  <c r="AB458" i="2" a="1"/>
  <c r="AB458" i="2" s="1"/>
  <c r="AB459" i="2" a="1"/>
  <c r="AB459" i="2"/>
  <c r="AB460" i="2" a="1"/>
  <c r="AB460" i="2" s="1"/>
  <c r="AB461" i="2" a="1"/>
  <c r="AB461" i="2" s="1"/>
  <c r="AB462" i="2" a="1"/>
  <c r="AB462" i="2" s="1"/>
  <c r="AB463" i="2" a="1"/>
  <c r="AB463" i="2" s="1"/>
  <c r="AB464" i="2" a="1"/>
  <c r="AB464" i="2"/>
  <c r="AB465" i="2" a="1"/>
  <c r="AB465" i="2"/>
  <c r="AB466" i="2" a="1"/>
  <c r="AB466" i="2"/>
  <c r="AB467" i="2" a="1"/>
  <c r="AB467" i="2" s="1"/>
  <c r="AB468" i="2" a="1"/>
  <c r="AB468" i="2" s="1"/>
  <c r="AB469" i="2" a="1"/>
  <c r="AB469" i="2"/>
  <c r="AB470" i="2" a="1"/>
  <c r="AB470" i="2" s="1"/>
  <c r="AB471" i="2" a="1"/>
  <c r="AB471" i="2"/>
  <c r="AB472" i="2" a="1"/>
  <c r="AB472" i="2" s="1"/>
  <c r="AB473" i="2" a="1"/>
  <c r="AB473" i="2"/>
  <c r="AB474" i="2" a="1"/>
  <c r="AB474" i="2"/>
  <c r="AB475" i="2" a="1"/>
  <c r="AB475" i="2"/>
  <c r="AB476" i="2" a="1"/>
  <c r="AB476" i="2"/>
  <c r="AB477" i="2" a="1"/>
  <c r="AB477" i="2"/>
  <c r="AB478" i="2" a="1"/>
  <c r="AB478" i="2" s="1"/>
  <c r="AB479" i="2" a="1"/>
  <c r="AB479" i="2" s="1"/>
  <c r="AB480" i="2" a="1"/>
  <c r="AB480" i="2" s="1"/>
  <c r="AB481" i="2" a="1"/>
  <c r="AB481" i="2" s="1"/>
  <c r="AB482" i="2" a="1"/>
  <c r="AB482" i="2"/>
  <c r="AB483" i="2" a="1"/>
  <c r="AB483" i="2"/>
  <c r="AB484" i="2" a="1"/>
  <c r="AB484" i="2"/>
  <c r="AB485" i="2" a="1"/>
  <c r="AB485" i="2"/>
  <c r="AB486" i="2" a="1"/>
  <c r="AB486" i="2"/>
  <c r="AB487" i="2" a="1"/>
  <c r="AB487" i="2"/>
  <c r="AB488" i="2" a="1"/>
  <c r="AB488" i="2" s="1"/>
  <c r="AB489" i="2" a="1"/>
  <c r="AB489" i="2"/>
  <c r="AB490" i="2" a="1"/>
  <c r="AB490" i="2" s="1"/>
  <c r="AB491" i="2" a="1"/>
  <c r="AB491" i="2" s="1"/>
  <c r="AB492" i="2" a="1"/>
  <c r="AB492" i="2"/>
  <c r="AB493" i="2" a="1"/>
  <c r="AB493" i="2"/>
  <c r="AB494" i="2" a="1"/>
  <c r="AB494" i="2" s="1"/>
  <c r="AB495" i="2" a="1"/>
  <c r="AB495" i="2"/>
  <c r="AB496" i="2" a="1"/>
  <c r="AB496" i="2"/>
  <c r="AB497" i="2" a="1"/>
  <c r="AB497" i="2" s="1"/>
  <c r="AB498" i="2" a="1"/>
  <c r="AB498" i="2" s="1"/>
  <c r="AB499" i="2" a="1"/>
  <c r="AB499" i="2" s="1"/>
  <c r="AB500" i="2" a="1"/>
  <c r="AB500" i="2"/>
  <c r="AB501" i="2" a="1"/>
  <c r="AB501" i="2" s="1"/>
  <c r="AB502" i="2" a="1"/>
  <c r="AB502" i="2"/>
  <c r="AB503" i="2" a="1"/>
  <c r="AB503" i="2"/>
  <c r="AB504" i="2" a="1"/>
  <c r="AB504" i="2"/>
  <c r="AB505" i="2" a="1"/>
  <c r="AB505" i="2" s="1"/>
  <c r="AB506" i="2" a="1"/>
  <c r="AB506" i="2" s="1"/>
  <c r="AB507" i="2" a="1"/>
  <c r="AB507" i="2"/>
  <c r="AB508" i="2" a="1"/>
  <c r="AB508" i="2" s="1"/>
  <c r="AB509" i="2" a="1"/>
  <c r="AB509" i="2" s="1"/>
  <c r="AB510" i="2" a="1"/>
  <c r="AB510" i="2"/>
  <c r="AB511" i="2" a="1"/>
  <c r="AB511" i="2" s="1"/>
  <c r="AB512" i="2" a="1"/>
  <c r="AB512" i="2" s="1"/>
  <c r="AB513" i="2" a="1"/>
  <c r="AB513" i="2"/>
  <c r="AB514" i="2" a="1"/>
  <c r="AB514" i="2"/>
  <c r="AB515" i="2" a="1"/>
  <c r="AB515" i="2" s="1"/>
  <c r="AB516" i="2" a="1"/>
  <c r="AB516" i="2"/>
  <c r="AB517" i="2" a="1"/>
  <c r="AB517" i="2" s="1"/>
  <c r="AB518" i="2" a="1"/>
  <c r="AB518" i="2"/>
  <c r="AB519" i="2" a="1"/>
  <c r="AB519" i="2" s="1"/>
  <c r="AB520" i="2" a="1"/>
  <c r="AB520" i="2" s="1"/>
  <c r="AB521" i="2" a="1"/>
  <c r="AB521" i="2" s="1"/>
  <c r="AB522" i="2" a="1"/>
  <c r="AB522" i="2"/>
  <c r="AB523" i="2" a="1"/>
  <c r="AB523" i="2" s="1"/>
  <c r="AB524" i="2" a="1"/>
  <c r="AB524" i="2" s="1"/>
  <c r="AB525" i="2" a="1"/>
  <c r="AB525" i="2"/>
  <c r="AB526" i="2" a="1"/>
  <c r="AB526" i="2" s="1"/>
  <c r="AB527" i="2" a="1"/>
  <c r="AB527" i="2"/>
  <c r="AB528" i="2" a="1"/>
  <c r="AB528" i="2" s="1"/>
  <c r="AB529" i="2" a="1"/>
  <c r="AB529" i="2" s="1"/>
  <c r="AB530" i="2" a="1"/>
  <c r="AB530" i="2"/>
  <c r="AB531" i="2" a="1"/>
  <c r="AB531" i="2" s="1"/>
  <c r="AB532" i="2" a="1"/>
  <c r="AB532" i="2" s="1"/>
  <c r="AB533" i="2" a="1"/>
  <c r="AB533" i="2" s="1"/>
  <c r="AB534" i="2" a="1"/>
  <c r="AB534" i="2"/>
  <c r="AB535" i="2" a="1"/>
  <c r="AB535" i="2" s="1"/>
  <c r="AB536" i="2" a="1"/>
  <c r="AB536" i="2" s="1"/>
  <c r="AB537" i="2" a="1"/>
  <c r="AB537" i="2"/>
  <c r="AB538" i="2" a="1"/>
  <c r="AB538" i="2"/>
  <c r="AB539" i="2" a="1"/>
  <c r="AB539" i="2" s="1"/>
  <c r="AB540" i="2" a="1"/>
  <c r="AB540" i="2"/>
  <c r="AB541" i="2" a="1"/>
  <c r="AB541" i="2" s="1"/>
  <c r="AB542" i="2" a="1"/>
  <c r="AB542" i="2" s="1"/>
  <c r="AB543" i="2" a="1"/>
  <c r="AB543" i="2"/>
  <c r="AB544" i="2" a="1"/>
  <c r="AB544" i="2" s="1"/>
  <c r="AB545" i="2" a="1"/>
  <c r="AB545" i="2" s="1"/>
  <c r="AB546" i="2" a="1"/>
  <c r="AB546" i="2" s="1"/>
  <c r="AB547" i="2" a="1"/>
  <c r="AB547" i="2"/>
  <c r="AB548" i="2" a="1"/>
  <c r="AB548" i="2"/>
  <c r="AB549" i="2" a="1"/>
  <c r="AB549" i="2" s="1"/>
  <c r="AB550" i="2" a="1"/>
  <c r="AB550" i="2"/>
  <c r="AB551" i="2" a="1"/>
  <c r="AB551" i="2" s="1"/>
  <c r="AB552" i="2" a="1"/>
  <c r="AB552" i="2"/>
  <c r="AB553" i="2" a="1"/>
  <c r="AB553" i="2" s="1"/>
  <c r="AB554" i="2" a="1"/>
  <c r="AB554" i="2"/>
  <c r="AB555" i="2" a="1"/>
  <c r="AB555" i="2"/>
  <c r="AB556" i="2" a="1"/>
  <c r="AB556" i="2" s="1"/>
  <c r="AB557" i="2" a="1"/>
  <c r="AB557" i="2"/>
  <c r="AB558" i="2" a="1"/>
  <c r="AB558" i="2" s="1"/>
  <c r="AB559" i="2" a="1"/>
  <c r="AB559" i="2" s="1"/>
  <c r="AB560" i="2" a="1"/>
  <c r="AB560" i="2" s="1"/>
  <c r="AB561" i="2" a="1"/>
  <c r="AB561" i="2"/>
  <c r="AB562" i="2" a="1"/>
  <c r="AB562" i="2" s="1"/>
  <c r="AB563" i="2" a="1"/>
  <c r="AB563" i="2"/>
  <c r="AB564" i="2" a="1"/>
  <c r="AB564" i="2"/>
  <c r="AB565" i="2" a="1"/>
  <c r="AB565" i="2" s="1"/>
  <c r="AB566" i="2" a="1"/>
  <c r="AB566" i="2"/>
  <c r="AB567" i="2" a="1"/>
  <c r="AB567" i="2" s="1"/>
  <c r="AB568" i="2" a="1"/>
  <c r="AB568" i="2"/>
  <c r="AB569" i="2" a="1"/>
  <c r="AB569" i="2" s="1"/>
  <c r="AB570" i="2" a="1"/>
  <c r="AB570" i="2" s="1"/>
  <c r="AB571" i="2" a="1"/>
  <c r="AB571" i="2" s="1"/>
  <c r="AB572" i="2" a="1"/>
  <c r="AB572" i="2" s="1"/>
  <c r="AB573" i="2" a="1"/>
  <c r="AB573" i="2"/>
  <c r="AB574" i="2" a="1"/>
  <c r="AB574" i="2"/>
  <c r="AB575" i="2" a="1"/>
  <c r="AB575" i="2"/>
  <c r="AB576" i="2" a="1"/>
  <c r="AB576" i="2"/>
  <c r="AB577" i="2" a="1"/>
  <c r="AB577" i="2"/>
  <c r="AB578" i="2" a="1"/>
  <c r="AB578" i="2" s="1"/>
  <c r="AB579" i="2" a="1"/>
  <c r="AB579" i="2"/>
  <c r="AB580" i="2" a="1"/>
  <c r="AB580" i="2" s="1"/>
  <c r="AB581" i="2" a="1"/>
  <c r="AB581" i="2" s="1"/>
  <c r="AB582" i="2" a="1"/>
  <c r="AB582" i="2" s="1"/>
  <c r="AB583" i="2" a="1"/>
  <c r="AB583" i="2" s="1"/>
  <c r="AB584" i="2" a="1"/>
  <c r="AB584" i="2"/>
  <c r="AB585" i="2" a="1"/>
  <c r="AB585" i="2"/>
  <c r="AB586" i="2" a="1"/>
  <c r="AB586" i="2" s="1"/>
  <c r="AB587" i="2" a="1"/>
  <c r="AB587" i="2" s="1"/>
  <c r="AB588" i="2" a="1"/>
  <c r="AB588" i="2"/>
  <c r="AB589" i="2" a="1"/>
  <c r="AB589" i="2" s="1"/>
  <c r="AB590" i="2" a="1"/>
  <c r="AB590" i="2" s="1"/>
  <c r="AB591" i="2" a="1"/>
  <c r="AB591" i="2" s="1"/>
  <c r="AB592" i="2" a="1"/>
  <c r="AB592" i="2" s="1"/>
  <c r="AB593" i="2" a="1"/>
  <c r="AB593" i="2"/>
  <c r="AB594" i="2" a="1"/>
  <c r="AB594" i="2" s="1"/>
  <c r="AB595" i="2" a="1"/>
  <c r="AB595" i="2"/>
  <c r="AB596" i="2" a="1"/>
  <c r="AB596" i="2" s="1"/>
  <c r="AB597" i="2" a="1"/>
  <c r="AB597" i="2"/>
  <c r="AB598" i="2" a="1"/>
  <c r="AB598" i="2" s="1"/>
  <c r="AB599" i="2" a="1"/>
  <c r="AB599" i="2"/>
  <c r="AB600" i="2" a="1"/>
  <c r="AB600" i="2" s="1"/>
  <c r="AB601" i="2" a="1"/>
  <c r="AB601" i="2"/>
  <c r="AB602" i="2" a="1"/>
  <c r="AB602" i="2" s="1"/>
  <c r="AB603" i="2" a="1"/>
  <c r="AB603" i="2" s="1"/>
  <c r="AB604" i="2" a="1"/>
  <c r="AB604" i="2"/>
  <c r="AB605" i="2" a="1"/>
  <c r="AB605" i="2" s="1"/>
  <c r="AB606" i="2" a="1"/>
  <c r="AB606" i="2"/>
  <c r="AB607" i="2" a="1"/>
  <c r="AB607" i="2" s="1"/>
  <c r="AB608" i="2" a="1"/>
  <c r="AB608" i="2"/>
  <c r="AB609" i="2" a="1"/>
  <c r="AB609" i="2" s="1"/>
  <c r="AB610" i="2" a="1"/>
  <c r="AB610" i="2" s="1"/>
  <c r="AB611" i="2" a="1"/>
  <c r="AB611" i="2"/>
  <c r="AB612" i="2" a="1"/>
  <c r="AB612" i="2" s="1"/>
  <c r="AB613" i="2" a="1"/>
  <c r="AB613" i="2"/>
  <c r="AB614" i="2" a="1"/>
  <c r="AB614" i="2" s="1"/>
  <c r="AB615" i="2" a="1"/>
  <c r="AB615" i="2" s="1"/>
  <c r="AB616" i="2" a="1"/>
  <c r="AB616" i="2" s="1"/>
  <c r="AB617" i="2" a="1"/>
  <c r="AB617" i="2" s="1"/>
  <c r="AB618" i="2" a="1"/>
  <c r="AB618" i="2" s="1"/>
  <c r="AB619" i="2" a="1"/>
  <c r="AB619" i="2"/>
  <c r="AB620" i="2" a="1"/>
  <c r="AB620" i="2" s="1"/>
  <c r="AB621" i="2" a="1"/>
  <c r="AB621" i="2"/>
  <c r="AB622" i="2" a="1"/>
  <c r="AB622" i="2" s="1"/>
  <c r="AB623" i="2" a="1"/>
  <c r="AB623" i="2" s="1"/>
  <c r="AB624" i="2" a="1"/>
  <c r="AB624" i="2" s="1"/>
  <c r="AB625" i="2" a="1"/>
  <c r="AB625" i="2" s="1"/>
  <c r="AB626" i="2" a="1"/>
  <c r="AB626" i="2"/>
  <c r="AB627" i="2" a="1"/>
  <c r="AB627" i="2"/>
  <c r="AB628" i="2" a="1"/>
  <c r="AB628" i="2" s="1"/>
  <c r="AB629" i="2" a="1"/>
  <c r="AB629" i="2"/>
  <c r="AB630" i="2" a="1"/>
  <c r="AB630" i="2" s="1"/>
  <c r="AB631" i="2" a="1"/>
  <c r="AB631" i="2"/>
  <c r="AB632" i="2" a="1"/>
  <c r="AB632" i="2" s="1"/>
  <c r="AB633" i="2" a="1"/>
  <c r="AB633" i="2"/>
  <c r="AB634" i="2" a="1"/>
  <c r="AB634" i="2" s="1"/>
  <c r="AB635" i="2" a="1"/>
  <c r="AB635" i="2" s="1"/>
  <c r="AB636" i="2" a="1"/>
  <c r="AB636" i="2"/>
  <c r="AB637" i="2" a="1"/>
  <c r="AB637" i="2"/>
  <c r="AB638" i="2" a="1"/>
  <c r="AB638" i="2"/>
  <c r="AB639" i="2" a="1"/>
  <c r="AB639" i="2" s="1"/>
  <c r="AB640" i="2" a="1"/>
  <c r="AB640" i="2" s="1"/>
  <c r="AB641" i="2" a="1"/>
  <c r="AB641" i="2" s="1"/>
  <c r="AB642" i="2" a="1"/>
  <c r="AB642" i="2" s="1"/>
  <c r="AB643" i="2" a="1"/>
  <c r="AB643" i="2" s="1"/>
  <c r="AB644" i="2" a="1"/>
  <c r="AB644" i="2"/>
  <c r="AB645" i="2" a="1"/>
  <c r="AB645" i="2" s="1"/>
  <c r="AB646" i="2" a="1"/>
  <c r="AB646" i="2"/>
  <c r="AB647" i="2" a="1"/>
  <c r="AB647" i="2"/>
  <c r="AB648" i="2" a="1"/>
  <c r="AB648" i="2"/>
  <c r="AB649" i="2" a="1"/>
  <c r="AB649" i="2" s="1"/>
  <c r="AB650" i="2" a="1"/>
  <c r="AB650" i="2" s="1"/>
  <c r="AB651" i="2" a="1"/>
  <c r="AB651" i="2" s="1"/>
  <c r="AB652" i="2" a="1"/>
  <c r="AB652" i="2" s="1"/>
  <c r="AB653" i="2" a="1"/>
  <c r="AB653" i="2" s="1"/>
  <c r="AB654" i="2" a="1"/>
  <c r="AB654" i="2" s="1"/>
  <c r="AB655" i="2" a="1"/>
  <c r="AB655" i="2"/>
  <c r="AB656" i="2" a="1"/>
  <c r="AB656" i="2" s="1"/>
  <c r="AB657" i="2" a="1"/>
  <c r="AB657" i="2"/>
  <c r="AB658" i="2" a="1"/>
  <c r="AB658" i="2"/>
  <c r="AB659" i="2" a="1"/>
  <c r="AB659" i="2" s="1"/>
  <c r="AB660" i="2" a="1"/>
  <c r="AB660" i="2" s="1"/>
  <c r="AB661" i="2" a="1"/>
  <c r="AB661" i="2" s="1"/>
  <c r="AB662" i="2" a="1"/>
  <c r="AB662" i="2"/>
  <c r="AB663" i="2" a="1"/>
  <c r="AB663" i="2" s="1"/>
  <c r="AB664" i="2" a="1"/>
  <c r="AB664" i="2" s="1"/>
  <c r="AB665" i="2" a="1"/>
  <c r="AB665" i="2"/>
  <c r="AB666" i="2" a="1"/>
  <c r="AB666" i="2" s="1"/>
  <c r="AB667" i="2" a="1"/>
  <c r="AB667" i="2"/>
  <c r="AB668" i="2" a="1"/>
  <c r="AB668" i="2" s="1"/>
  <c r="AB669" i="2" a="1"/>
  <c r="AB669" i="2"/>
  <c r="AB670" i="2" a="1"/>
  <c r="AB670" i="2" s="1"/>
  <c r="AB671" i="2" a="1"/>
  <c r="AB671" i="2" s="1"/>
  <c r="AB672" i="2" a="1"/>
  <c r="AB672" i="2"/>
  <c r="AB673" i="2" a="1"/>
  <c r="AB673" i="2" s="1"/>
  <c r="AB674" i="2" a="1"/>
  <c r="AB674" i="2"/>
  <c r="AB675" i="2" a="1"/>
  <c r="AB675" i="2" s="1"/>
  <c r="AB676" i="2" a="1"/>
  <c r="AB676" i="2" s="1"/>
  <c r="AB677" i="2" a="1"/>
  <c r="AB677" i="2" s="1"/>
  <c r="AB678" i="2" a="1"/>
  <c r="AB678" i="2" s="1"/>
  <c r="AB679" i="2" a="1"/>
  <c r="AB679" i="2" s="1"/>
  <c r="AB680" i="2" a="1"/>
  <c r="AB680" i="2"/>
  <c r="AB681" i="2" a="1"/>
  <c r="AB681" i="2" s="1"/>
  <c r="AB682" i="2" a="1"/>
  <c r="AB682" i="2"/>
  <c r="AB683" i="2" a="1"/>
  <c r="AB683" i="2" s="1"/>
  <c r="AB684" i="2" a="1"/>
  <c r="AB684" i="2"/>
  <c r="AB685" i="2" a="1"/>
  <c r="AB685" i="2"/>
  <c r="AB686" i="2" a="1"/>
  <c r="AB686" i="2" s="1"/>
  <c r="AB687" i="2" a="1"/>
  <c r="AB687" i="2"/>
  <c r="AB688" i="2" a="1"/>
  <c r="AB688" i="2" s="1"/>
  <c r="AB689" i="2" a="1"/>
  <c r="AB689" i="2" s="1"/>
  <c r="AB690" i="2" a="1"/>
  <c r="AB690" i="2"/>
  <c r="AB691" i="2" a="1"/>
  <c r="AB691" i="2" s="1"/>
  <c r="AB692" i="2" a="1"/>
  <c r="AB692" i="2"/>
  <c r="AB693" i="2" a="1"/>
  <c r="AB693" i="2" s="1"/>
  <c r="AB694" i="2" a="1"/>
  <c r="AB694" i="2" s="1"/>
  <c r="AB695" i="2" a="1"/>
  <c r="AB695" i="2" s="1"/>
  <c r="AB696" i="2" a="1"/>
  <c r="AB696" i="2"/>
  <c r="AB697" i="2" a="1"/>
  <c r="AB697" i="2" s="1"/>
  <c r="AB698" i="2" a="1"/>
  <c r="AB698" i="2" s="1"/>
  <c r="AB699" i="2" a="1"/>
  <c r="AB699" i="2"/>
  <c r="AB700" i="2" a="1"/>
  <c r="AB700" i="2" s="1"/>
  <c r="AB701" i="2" a="1"/>
  <c r="AB701" i="2" s="1"/>
  <c r="AB702" i="2" a="1"/>
  <c r="AB702" i="2" s="1"/>
  <c r="AB703" i="2" a="1"/>
  <c r="AB703" i="2" s="1"/>
  <c r="AB704" i="2" a="1"/>
  <c r="AB704" i="2" s="1"/>
  <c r="AB705" i="2" a="1"/>
  <c r="AB705" i="2" s="1"/>
  <c r="AB706" i="2" a="1"/>
  <c r="AB706" i="2" s="1"/>
  <c r="AB707" i="2" a="1"/>
  <c r="AB707" i="2"/>
  <c r="AB708" i="2" a="1"/>
  <c r="AB708" i="2"/>
  <c r="AB709" i="2" a="1"/>
  <c r="AB709" i="2" s="1"/>
  <c r="AB710" i="2" a="1"/>
  <c r="AB710" i="2"/>
  <c r="AB711" i="2" a="1"/>
  <c r="AB711" i="2" s="1"/>
  <c r="AB712" i="2" a="1"/>
  <c r="AB712" i="2"/>
  <c r="AB713" i="2" a="1"/>
  <c r="AB713" i="2" s="1"/>
  <c r="AB714" i="2" a="1"/>
  <c r="AB714" i="2" s="1"/>
  <c r="AB715" i="2" a="1"/>
  <c r="AB715" i="2" s="1"/>
  <c r="AB716" i="2" a="1"/>
  <c r="AB716" i="2"/>
  <c r="AB717" i="2" a="1"/>
  <c r="AB717" i="2"/>
  <c r="AB718" i="2" a="1"/>
  <c r="AB718" i="2"/>
  <c r="AB719" i="2" a="1"/>
  <c r="AB719" i="2"/>
  <c r="AB720" i="2" a="1"/>
  <c r="AB720" i="2"/>
  <c r="AB721" i="2" a="1"/>
  <c r="AB721" i="2" s="1"/>
  <c r="AB722" i="2" a="1"/>
  <c r="AB722" i="2" s="1"/>
  <c r="AB723" i="2" a="1"/>
  <c r="AB723" i="2" s="1"/>
  <c r="AB724" i="2" a="1"/>
  <c r="AB724" i="2" s="1"/>
  <c r="AB725" i="2" a="1"/>
  <c r="AB725" i="2"/>
  <c r="AB726" i="2" a="1"/>
  <c r="AB726" i="2"/>
  <c r="AB727" i="2" a="1"/>
  <c r="AB727" i="2" s="1"/>
  <c r="AB728" i="2" a="1"/>
  <c r="AB728" i="2" s="1"/>
  <c r="AB729" i="2" a="1"/>
  <c r="AB729" i="2"/>
  <c r="AB730" i="2" a="1"/>
  <c r="AB730" i="2" s="1"/>
  <c r="AB731" i="2" a="1"/>
  <c r="AB731" i="2" s="1"/>
  <c r="AB732" i="2" a="1"/>
  <c r="AB732" i="2"/>
  <c r="AB733" i="2" a="1"/>
  <c r="AB733" i="2" s="1"/>
  <c r="AB734" i="2" a="1"/>
  <c r="AB734" i="2" s="1"/>
  <c r="AB735" i="2" a="1"/>
  <c r="AB735" i="2"/>
  <c r="AB736" i="2" a="1"/>
  <c r="AB736" i="2"/>
  <c r="AB737" i="2" a="1"/>
  <c r="AB737" i="2" s="1"/>
  <c r="AB738" i="2" a="1"/>
  <c r="AB738" i="2"/>
  <c r="AB739" i="2" a="1"/>
  <c r="AB739" i="2" s="1"/>
  <c r="AB740" i="2" a="1"/>
  <c r="AB740" i="2" s="1"/>
  <c r="AB741" i="2" a="1"/>
  <c r="AB741" i="2" s="1"/>
  <c r="AB742" i="2" a="1"/>
  <c r="AB742" i="2" s="1"/>
  <c r="AB743" i="2" a="1"/>
  <c r="AB743" i="2"/>
  <c r="AB744" i="2" a="1"/>
  <c r="AB744" i="2" s="1"/>
  <c r="AB745" i="2" a="1"/>
  <c r="AB745" i="2"/>
  <c r="AB746" i="2" a="1"/>
  <c r="AB746" i="2"/>
  <c r="AB747" i="2" a="1"/>
  <c r="AB747" i="2"/>
  <c r="AB748" i="2" a="1"/>
  <c r="AB748" i="2" s="1"/>
  <c r="AB749" i="2" a="1"/>
  <c r="AB749" i="2" s="1"/>
  <c r="AB750" i="2" a="1"/>
  <c r="AB750" i="2"/>
  <c r="AB751" i="2" a="1"/>
  <c r="AB751" i="2" s="1"/>
  <c r="AB752" i="2" a="1"/>
  <c r="AB752" i="2" s="1"/>
  <c r="AB753" i="2" a="1"/>
  <c r="AB753" i="2"/>
  <c r="AB754" i="2" a="1"/>
  <c r="AB754" i="2" s="1"/>
  <c r="AB755" i="2" a="1"/>
  <c r="AB755" i="2" s="1"/>
  <c r="AB756" i="2" a="1"/>
  <c r="AB756" i="2"/>
  <c r="AB757" i="2" a="1"/>
  <c r="AB757" i="2"/>
  <c r="AB758" i="2" a="1"/>
  <c r="AB758" i="2" s="1"/>
  <c r="AB759" i="2" a="1"/>
  <c r="AB759" i="2"/>
  <c r="AB760" i="2" a="1"/>
  <c r="AB760" i="2" s="1"/>
  <c r="AB761" i="2" a="1"/>
  <c r="AB761" i="2" s="1"/>
  <c r="AB762" i="2" a="1"/>
  <c r="AB762" i="2" s="1"/>
  <c r="AB763" i="2" a="1"/>
  <c r="AB763" i="2"/>
  <c r="AB764" i="2" a="1"/>
  <c r="AB764" i="2" s="1"/>
  <c r="AB765" i="2" a="1"/>
  <c r="AB765" i="2"/>
  <c r="AB766" i="2" a="1"/>
  <c r="AB766" i="2" s="1"/>
  <c r="AB767" i="2" a="1"/>
  <c r="AB767" i="2"/>
  <c r="AB768" i="2" a="1"/>
  <c r="AB768" i="2"/>
  <c r="AB769" i="2" a="1"/>
  <c r="AB769" i="2"/>
  <c r="AB770" i="2" a="1"/>
  <c r="AB770" i="2" s="1"/>
  <c r="AB771" i="2" a="1"/>
  <c r="AB771" i="2" s="1"/>
  <c r="AB772" i="2" a="1"/>
  <c r="AB772" i="2"/>
  <c r="AB773" i="2" a="1"/>
  <c r="AB773" i="2" s="1"/>
  <c r="AB774" i="2" a="1"/>
  <c r="AB774" i="2" s="1"/>
  <c r="AB775" i="2" a="1"/>
  <c r="AB775" i="2"/>
  <c r="AB776" i="2" a="1"/>
  <c r="AB776" i="2" s="1"/>
  <c r="AB777" i="2" a="1"/>
  <c r="AB777" i="2"/>
  <c r="AB778" i="2" a="1"/>
  <c r="AB778" i="2"/>
  <c r="AB779" i="2" a="1"/>
  <c r="AB779" i="2"/>
  <c r="AB780" i="2" a="1"/>
  <c r="AB780" i="2" s="1"/>
  <c r="AB781" i="2" a="1"/>
  <c r="AB781" i="2"/>
  <c r="AB782" i="2" a="1"/>
  <c r="AB782" i="2" s="1"/>
  <c r="AB783" i="2" a="1"/>
  <c r="AB783" i="2"/>
  <c r="AB784" i="2" a="1"/>
  <c r="AB784" i="2" s="1"/>
  <c r="AB785" i="2" a="1"/>
  <c r="AB785" i="2"/>
  <c r="AB786" i="2" a="1"/>
  <c r="AB786" i="2" s="1"/>
  <c r="AB787" i="2" a="1"/>
  <c r="AB787" i="2" s="1"/>
  <c r="AB788" i="2" a="1"/>
  <c r="AB788" i="2"/>
  <c r="AB789" i="2" a="1"/>
  <c r="AB789" i="2" s="1"/>
  <c r="AB790" i="2" a="1"/>
  <c r="AB790" i="2"/>
  <c r="AB791" i="2" a="1"/>
  <c r="AB791" i="2" s="1"/>
  <c r="AB792" i="2" a="1"/>
  <c r="AB792" i="2"/>
  <c r="AB793" i="2" a="1"/>
  <c r="AB793" i="2"/>
  <c r="AB794" i="2" a="1"/>
  <c r="AB794" i="2" s="1"/>
  <c r="AB795" i="2" a="1"/>
  <c r="AB795" i="2"/>
  <c r="AB796" i="2" a="1"/>
  <c r="AB796" i="2" s="1"/>
  <c r="AB797" i="2" a="1"/>
  <c r="AB797" i="2"/>
  <c r="AB798" i="2" a="1"/>
  <c r="AB798" i="2" s="1"/>
  <c r="AB799" i="2" a="1"/>
  <c r="AB799" i="2"/>
  <c r="AB800" i="2" a="1"/>
  <c r="AB800" i="2" s="1"/>
  <c r="AB801" i="2" a="1"/>
  <c r="AB801" i="2" s="1"/>
  <c r="AB802" i="2" a="1"/>
  <c r="AB802" i="2"/>
  <c r="AB803" i="2" a="1"/>
  <c r="AB803" i="2"/>
  <c r="AB804" i="2" a="1"/>
  <c r="AB804" i="2" s="1"/>
  <c r="AB805" i="2" a="1"/>
  <c r="AB805" i="2"/>
  <c r="AB806" i="2" a="1"/>
  <c r="AB806" i="2" s="1"/>
  <c r="AB807" i="2" a="1"/>
  <c r="AB807" i="2" s="1"/>
  <c r="AB808" i="2" a="1"/>
  <c r="AB808" i="2" s="1"/>
  <c r="AB809" i="2" a="1"/>
  <c r="AB809" i="2" s="1"/>
  <c r="AB810" i="2" a="1"/>
  <c r="AB810" i="2"/>
  <c r="AB811" i="2" a="1"/>
  <c r="AB811" i="2" s="1"/>
  <c r="AB812" i="2" a="1"/>
  <c r="AB812" i="2"/>
  <c r="AB813" i="2" a="1"/>
  <c r="AB813" i="2"/>
  <c r="AB814" i="2" a="1"/>
  <c r="AB814" i="2" s="1"/>
  <c r="AB815" i="2" a="1"/>
  <c r="AB815" i="2"/>
  <c r="AB816" i="2" a="1"/>
  <c r="AB816" i="2" s="1"/>
  <c r="AB817" i="2" a="1"/>
  <c r="AB817" i="2"/>
  <c r="AB818" i="2" a="1"/>
  <c r="AB818" i="2" s="1"/>
  <c r="AB819" i="2" a="1"/>
  <c r="AB819" i="2"/>
  <c r="AB820" i="2" a="1"/>
  <c r="AB820" i="2"/>
  <c r="AB821" i="2" a="1"/>
  <c r="AB821" i="2" s="1"/>
  <c r="AB822" i="2" a="1"/>
  <c r="AB822" i="2" s="1"/>
  <c r="AB823" i="2" a="1"/>
  <c r="AB823" i="2"/>
  <c r="AB824" i="2" a="1"/>
  <c r="AB824" i="2" s="1"/>
  <c r="AB825" i="2" a="1"/>
  <c r="AB825" i="2" s="1"/>
  <c r="AB826" i="2" a="1"/>
  <c r="AB826" i="2"/>
  <c r="AB827" i="2" a="1"/>
  <c r="AB827" i="2" s="1"/>
  <c r="AB828" i="2" a="1"/>
  <c r="AB828" i="2"/>
  <c r="AB829" i="2" a="1"/>
  <c r="AB829" i="2"/>
  <c r="AB830" i="2" a="1"/>
  <c r="AB830" i="2"/>
  <c r="AB831" i="2" a="1"/>
  <c r="AB831" i="2" s="1"/>
  <c r="AB832" i="2" a="1"/>
  <c r="AB832" i="2"/>
  <c r="AB833" i="2" a="1"/>
  <c r="AB833" i="2" s="1"/>
  <c r="AB834" i="2" a="1"/>
  <c r="AB834" i="2" s="1"/>
  <c r="AB835" i="2" a="1"/>
  <c r="AB835" i="2"/>
  <c r="AB836" i="2" a="1"/>
  <c r="AB836" i="2" s="1"/>
  <c r="AB837" i="2" a="1"/>
  <c r="AB837" i="2" s="1"/>
  <c r="AB838" i="2" a="1"/>
  <c r="AB838" i="2"/>
  <c r="AB839" i="2" a="1"/>
  <c r="AB839" i="2"/>
  <c r="AB840" i="2" a="1"/>
  <c r="AB840" i="2"/>
  <c r="AB841" i="2" a="1"/>
  <c r="AB841" i="2" s="1"/>
  <c r="AB842" i="2" a="1"/>
  <c r="AB842" i="2" s="1"/>
  <c r="AB843" i="2" a="1"/>
  <c r="AB843" i="2" s="1"/>
  <c r="AB844" i="2" a="1"/>
  <c r="AB844" i="2"/>
  <c r="AB845" i="2" a="1"/>
  <c r="AB845" i="2" s="1"/>
  <c r="AB846" i="2" a="1"/>
  <c r="AB846" i="2"/>
  <c r="AB847" i="2" a="1"/>
  <c r="AB847" i="2" s="1"/>
  <c r="AB848" i="2" a="1"/>
  <c r="AB848" i="2"/>
  <c r="AB849" i="2" a="1"/>
  <c r="AB849" i="2"/>
  <c r="AB850" i="2" a="1"/>
  <c r="AB850" i="2"/>
  <c r="AB851" i="2" a="1"/>
  <c r="AB851" i="2" s="1"/>
  <c r="AB852" i="2" a="1"/>
  <c r="AB852" i="2" s="1"/>
  <c r="AB853" i="2" a="1"/>
  <c r="AB853" i="2"/>
  <c r="AB854" i="2" a="1"/>
  <c r="AB854" i="2" s="1"/>
  <c r="AB855" i="2" a="1"/>
  <c r="AB855" i="2" s="1"/>
  <c r="AB856" i="2" a="1"/>
  <c r="AB856" i="2"/>
  <c r="AB857" i="2" a="1"/>
  <c r="AB857" i="2" s="1"/>
  <c r="AB858" i="2" a="1"/>
  <c r="AB858" i="2"/>
  <c r="AB859" i="2" a="1"/>
  <c r="AB859" i="2"/>
  <c r="AB860" i="2" a="1"/>
  <c r="AB860" i="2"/>
  <c r="AB861" i="2" a="1"/>
  <c r="AB861" i="2" s="1"/>
  <c r="AB862" i="2" a="1"/>
  <c r="AB862" i="2"/>
  <c r="AB863" i="2" a="1"/>
  <c r="AB863" i="2" s="1"/>
  <c r="AB864" i="2" a="1"/>
  <c r="AB864" i="2"/>
  <c r="AB865" i="2" a="1"/>
  <c r="AB865" i="2" s="1"/>
  <c r="AB866" i="2" a="1"/>
  <c r="AB866" i="2"/>
  <c r="AB867" i="2" a="1"/>
  <c r="AB867" i="2" s="1"/>
  <c r="AB868" i="2" a="1"/>
  <c r="AB868" i="2" s="1"/>
  <c r="AB869" i="2" a="1"/>
  <c r="AB869" i="2"/>
  <c r="AB870" i="2" a="1"/>
  <c r="AB870" i="2" s="1"/>
  <c r="AB871" i="2" a="1"/>
  <c r="AB871" i="2"/>
  <c r="AB872" i="2" a="1"/>
  <c r="AB872" i="2" s="1"/>
  <c r="AB873" i="2" a="1"/>
  <c r="AB873" i="2"/>
  <c r="AB874" i="2" a="1"/>
  <c r="AB874" i="2"/>
  <c r="AB875" i="2" a="1"/>
  <c r="AB875" i="2" s="1"/>
  <c r="AB876" i="2" a="1"/>
  <c r="AB876" i="2"/>
  <c r="AB877" i="2" a="1"/>
  <c r="AB877" i="2" s="1"/>
  <c r="AB878" i="2" a="1"/>
  <c r="AB878" i="2"/>
  <c r="AB879" i="2" a="1"/>
  <c r="AB879" i="2" s="1"/>
  <c r="AB880" i="2" a="1"/>
  <c r="AB880" i="2"/>
  <c r="AB881" i="2" a="1"/>
  <c r="AB881" i="2" s="1"/>
  <c r="AB882" i="2" a="1"/>
  <c r="AB882" i="2" s="1"/>
  <c r="AB883" i="2" a="1"/>
  <c r="AB883" i="2"/>
  <c r="AB884" i="2" a="1"/>
  <c r="AB884" i="2"/>
  <c r="AB885" i="2" a="1"/>
  <c r="AB885" i="2" s="1"/>
  <c r="AB886" i="2" a="1"/>
  <c r="AB886" i="2"/>
  <c r="AB887" i="2" a="1"/>
  <c r="AB887" i="2" s="1"/>
  <c r="AB888" i="2" a="1"/>
  <c r="AB888" i="2" s="1"/>
  <c r="AB889" i="2" a="1"/>
  <c r="AB889" i="2" s="1"/>
  <c r="AB890" i="2" a="1"/>
  <c r="AB890" i="2" s="1"/>
  <c r="AB891" i="2" a="1"/>
  <c r="AB891" i="2"/>
  <c r="AB892" i="2" a="1"/>
  <c r="AB892" i="2" s="1"/>
  <c r="AB893" i="2" a="1"/>
  <c r="AB893" i="2"/>
  <c r="AB894" i="2" a="1"/>
  <c r="AB894" i="2"/>
  <c r="AB895" i="2" a="1"/>
  <c r="AB895" i="2" s="1"/>
  <c r="AB896" i="2" a="1"/>
  <c r="AB896" i="2"/>
  <c r="AB897" i="2" a="1"/>
  <c r="AB897" i="2" s="1"/>
  <c r="AB898" i="2" a="1"/>
  <c r="AB898" i="2"/>
  <c r="AB899" i="2" a="1"/>
  <c r="AB899" i="2" s="1"/>
  <c r="AB900" i="2" a="1"/>
  <c r="AB900" i="2"/>
  <c r="AB901" i="2" a="1"/>
  <c r="AB901" i="2"/>
  <c r="AB902" i="2" a="1"/>
  <c r="AB902" i="2" s="1"/>
  <c r="AB903" i="2" a="1"/>
  <c r="AB903" i="2" s="1"/>
  <c r="AB904" i="2" a="1"/>
  <c r="AB904" i="2"/>
  <c r="AB905" i="2" a="1"/>
  <c r="AB905" i="2" s="1"/>
  <c r="AB906" i="2" a="1"/>
  <c r="AB906" i="2" s="1"/>
  <c r="AB907" i="2" a="1"/>
  <c r="AB907" i="2"/>
  <c r="AB908" i="2" a="1"/>
  <c r="AB908" i="2" s="1"/>
  <c r="AB909" i="2" a="1"/>
  <c r="AB909" i="2"/>
  <c r="AB910" i="2" a="1"/>
  <c r="AB910" i="2"/>
  <c r="AB911" i="2" a="1"/>
  <c r="AB911" i="2"/>
  <c r="AB912" i="2" a="1"/>
  <c r="AB912" i="2" s="1"/>
  <c r="AB913" i="2" a="1"/>
  <c r="AB913" i="2"/>
  <c r="AB914" i="2" a="1"/>
  <c r="AB914" i="2" s="1"/>
  <c r="AB915" i="2" a="1"/>
  <c r="AB915" i="2" s="1"/>
  <c r="AB916" i="2" a="1"/>
  <c r="AB916" i="2"/>
  <c r="AB917" i="2" a="1"/>
  <c r="AB917" i="2" s="1"/>
  <c r="AB918" i="2" a="1"/>
  <c r="AB918" i="2" s="1"/>
  <c r="AB919" i="2" a="1"/>
  <c r="AB919" i="2"/>
  <c r="AB920" i="2" a="1"/>
  <c r="AB920" i="2"/>
  <c r="AB921" i="2" a="1"/>
  <c r="AB921" i="2"/>
  <c r="AB922" i="2" a="1"/>
  <c r="AB922" i="2" s="1"/>
  <c r="AB923" i="2" a="1"/>
  <c r="AB923" i="2" s="1"/>
  <c r="AB924" i="2" a="1"/>
  <c r="AB924" i="2" s="1"/>
  <c r="AB925" i="2" a="1"/>
  <c r="AB925" i="2"/>
  <c r="AB926" i="2" a="1"/>
  <c r="AB926" i="2" s="1"/>
  <c r="AB927" i="2" a="1"/>
  <c r="AB927" i="2"/>
  <c r="AB928" i="2" a="1"/>
  <c r="AB928" i="2" s="1"/>
  <c r="AB929" i="2" a="1"/>
  <c r="AB929" i="2"/>
  <c r="AB930" i="2" a="1"/>
  <c r="AB930" i="2"/>
  <c r="AB931" i="2" a="1"/>
  <c r="AB931" i="2"/>
  <c r="AB932" i="2" a="1"/>
  <c r="AB932" i="2" s="1"/>
  <c r="AB933" i="2" a="1"/>
  <c r="AB933" i="2" s="1"/>
  <c r="AB934" i="2" a="1"/>
  <c r="AB934" i="2"/>
  <c r="AB935" i="2" a="1"/>
  <c r="AB935" i="2" s="1"/>
  <c r="AB936" i="2" a="1"/>
  <c r="AB936" i="2" s="1"/>
  <c r="AB937" i="2" a="1"/>
  <c r="AB937" i="2"/>
  <c r="AB938" i="2" a="1"/>
  <c r="AB938" i="2" s="1"/>
  <c r="AB939" i="2" a="1"/>
  <c r="AB939" i="2"/>
  <c r="AB940" i="2" a="1"/>
  <c r="AB940" i="2"/>
  <c r="AB941" i="2" a="1"/>
  <c r="AB941" i="2"/>
  <c r="AB942" i="2" a="1"/>
  <c r="AB942" i="2" s="1"/>
  <c r="AB943" i="2" a="1"/>
  <c r="AB943" i="2"/>
  <c r="AB944" i="2" a="1"/>
  <c r="AB944" i="2" s="1"/>
  <c r="AB945" i="2" a="1"/>
  <c r="AB945" i="2"/>
  <c r="AB946" i="2" a="1"/>
  <c r="AB946" i="2" s="1"/>
  <c r="AB947" i="2" a="1"/>
  <c r="AB947" i="2"/>
  <c r="AB948" i="2" a="1"/>
  <c r="AB948" i="2" s="1"/>
  <c r="AB949" i="2" a="1"/>
  <c r="AB949" i="2" s="1"/>
  <c r="AB950" i="2" a="1"/>
  <c r="AB950" i="2"/>
  <c r="AB951" i="2" a="1"/>
  <c r="AB951" i="2" s="1"/>
  <c r="AB952" i="2" a="1"/>
  <c r="AB952" i="2"/>
  <c r="AB953" i="2" a="1"/>
  <c r="AB953" i="2" s="1"/>
  <c r="AB954" i="2" a="1"/>
  <c r="AB954" i="2"/>
  <c r="AB955" i="2" a="1"/>
  <c r="AB955" i="2"/>
  <c r="AB956" i="2" a="1"/>
  <c r="AB956" i="2" s="1"/>
  <c r="AB957" i="2" a="1"/>
  <c r="AB957" i="2"/>
  <c r="AB958" i="2" a="1"/>
  <c r="AB958" i="2" s="1"/>
  <c r="AB959" i="2" a="1"/>
  <c r="AB959" i="2"/>
  <c r="AB960" i="2" a="1"/>
  <c r="AB960" i="2" s="1"/>
  <c r="AB961" i="2" a="1"/>
  <c r="AB961" i="2"/>
  <c r="AB962" i="2" a="1"/>
  <c r="AB962" i="2" s="1"/>
  <c r="AB963" i="2" a="1"/>
  <c r="AB963" i="2" s="1"/>
  <c r="AB964" i="2" a="1"/>
  <c r="AB964" i="2"/>
  <c r="AB965" i="2" a="1"/>
  <c r="AB965" i="2"/>
  <c r="AB966" i="2" a="1"/>
  <c r="AB966" i="2" s="1"/>
  <c r="AB967" i="2" a="1"/>
  <c r="AB967" i="2"/>
  <c r="AB968" i="2" a="1"/>
  <c r="AB968" i="2" s="1"/>
  <c r="AB969" i="2" a="1"/>
  <c r="AB969" i="2" s="1"/>
  <c r="AB970" i="2" a="1"/>
  <c r="AB970" i="2" s="1"/>
  <c r="AB971" i="2" a="1"/>
  <c r="AB971" i="2" s="1"/>
  <c r="AB972" i="2" a="1"/>
  <c r="AB972" i="2"/>
  <c r="AB973" i="2" a="1"/>
  <c r="AB973" i="2" s="1"/>
  <c r="AB974" i="2" a="1"/>
  <c r="AB974" i="2"/>
  <c r="AB975" i="2" a="1"/>
  <c r="AB975" i="2"/>
  <c r="AB976" i="2" a="1"/>
  <c r="AB976" i="2" s="1"/>
  <c r="AB977" i="2" a="1"/>
  <c r="AB977" i="2"/>
  <c r="AB978" i="2" a="1"/>
  <c r="AB978" i="2" s="1"/>
  <c r="AB979" i="2" a="1"/>
  <c r="AB979" i="2"/>
  <c r="AB980" i="2" a="1"/>
  <c r="AB980" i="2" s="1"/>
  <c r="AB981" i="2" a="1"/>
  <c r="AB981" i="2"/>
  <c r="AB982" i="2" a="1"/>
  <c r="AB982" i="2"/>
  <c r="AB983" i="2" a="1"/>
  <c r="AB983" i="2" s="1"/>
  <c r="AB984" i="2" a="1"/>
  <c r="AB984" i="2" s="1"/>
  <c r="AB985" i="2" a="1"/>
  <c r="AB985" i="2"/>
  <c r="AB986" i="2" a="1"/>
  <c r="AB986" i="2" s="1"/>
  <c r="AB987" i="2" a="1"/>
  <c r="AB987" i="2" s="1"/>
  <c r="AB988" i="2" a="1"/>
  <c r="AB988" i="2"/>
  <c r="AB989" i="2" a="1"/>
  <c r="AB989" i="2" s="1"/>
  <c r="AB990" i="2" a="1"/>
  <c r="AB990" i="2"/>
  <c r="AB991" i="2" a="1"/>
  <c r="AB991" i="2"/>
  <c r="AB992" i="2" a="1"/>
  <c r="AB992" i="2"/>
  <c r="AB993" i="2" a="1"/>
  <c r="AB993" i="2" s="1"/>
  <c r="AB994" i="2" a="1"/>
  <c r="AB994" i="2"/>
  <c r="AB995" i="2" a="1"/>
  <c r="AB995" i="2" s="1"/>
  <c r="AB996" i="2" a="1"/>
  <c r="AB996" i="2" s="1"/>
  <c r="AB997" i="2" a="1"/>
  <c r="AB997" i="2"/>
  <c r="AB998" i="2" a="1"/>
  <c r="AB998" i="2" s="1"/>
  <c r="AB999" i="2" a="1"/>
  <c r="AB999" i="2" s="1"/>
  <c r="AB1000" i="2" a="1"/>
  <c r="AB1000" i="2"/>
  <c r="AB1001" i="2" a="1"/>
  <c r="AB1001" i="2"/>
  <c r="AB1002" i="2" a="1"/>
  <c r="AB1002" i="2"/>
  <c r="AB1003" i="2" a="1"/>
  <c r="AB1003" i="2" s="1"/>
  <c r="AB1004" i="2" a="1"/>
  <c r="AB1004" i="2" s="1"/>
  <c r="AB1005" i="2" a="1"/>
  <c r="AB1005" i="2" s="1"/>
  <c r="AB1006" i="2" a="1"/>
  <c r="AB1006" i="2"/>
  <c r="AB1007" i="2" a="1"/>
  <c r="AB1007" i="2" s="1"/>
  <c r="AB1008" i="2" a="1"/>
  <c r="AB1008" i="2"/>
  <c r="AB1009" i="2" a="1"/>
  <c r="AB1009" i="2" s="1"/>
  <c r="AB1010" i="2" a="1"/>
  <c r="AB1010" i="2"/>
  <c r="AB1011" i="2" a="1"/>
  <c r="AB1011" i="2"/>
  <c r="AB1012" i="2" a="1"/>
  <c r="AB1012" i="2"/>
  <c r="AB1013" i="2" a="1"/>
  <c r="AB1013" i="2" s="1"/>
  <c r="AB1014" i="2" a="1"/>
  <c r="AB1014" i="2" s="1"/>
  <c r="AB1015" i="2" a="1"/>
  <c r="AB1015" i="2"/>
  <c r="AB1016" i="2" a="1"/>
  <c r="AB1016" i="2" s="1"/>
  <c r="AB1017" i="2" a="1"/>
  <c r="AB1017" i="2" s="1"/>
  <c r="AB1018" i="2" a="1"/>
  <c r="AB1018" i="2"/>
  <c r="AB1019" i="2" a="1"/>
  <c r="AB1019" i="2" s="1"/>
  <c r="AB1020" i="2" a="1"/>
  <c r="AB1020" i="2"/>
  <c r="AB1021" i="2" a="1"/>
  <c r="AB1021" i="2"/>
  <c r="AB1022" i="2" a="1"/>
  <c r="AB1022" i="2"/>
  <c r="AB1023" i="2" a="1"/>
  <c r="AB1023" i="2" s="1"/>
  <c r="AB1024" i="2" a="1"/>
  <c r="AB1024" i="2"/>
  <c r="AB1025" i="2" a="1"/>
  <c r="AB1025" i="2" s="1"/>
  <c r="AB1026" i="2" a="1"/>
  <c r="AB1026" i="2"/>
  <c r="AB1027" i="2" a="1"/>
  <c r="AB1027" i="2" s="1"/>
  <c r="AB1028" i="2" a="1"/>
  <c r="AB1028" i="2"/>
  <c r="AB1029" i="2" a="1"/>
  <c r="AB1029" i="2" s="1"/>
  <c r="AB1030" i="2" a="1"/>
  <c r="AB1030" i="2" s="1"/>
  <c r="AB1031" i="2" a="1"/>
  <c r="AB1031" i="2"/>
  <c r="AB1032" i="2" a="1"/>
  <c r="AB1032" i="2" s="1"/>
  <c r="AB1033" i="2" a="1"/>
  <c r="AB1033" i="2"/>
  <c r="AB1034" i="2" a="1"/>
  <c r="AB1034" i="2" s="1"/>
  <c r="AB1035" i="2" a="1"/>
  <c r="AB1035" i="2"/>
  <c r="AB1036" i="2" a="1"/>
  <c r="AB1036" i="2"/>
  <c r="AB1037" i="2" a="1"/>
  <c r="AB1037" i="2" s="1"/>
  <c r="AB1038" i="2" a="1"/>
  <c r="AB1038" i="2"/>
  <c r="AB1039" i="2" a="1"/>
  <c r="AB1039" i="2" s="1"/>
  <c r="AB1040" i="2" a="1"/>
  <c r="AB1040" i="2"/>
  <c r="AB1041" i="2" a="1"/>
  <c r="AB1041" i="2" s="1"/>
  <c r="AB1042" i="2" a="1"/>
  <c r="AB1042" i="2"/>
  <c r="AB1043" i="2" a="1"/>
  <c r="AB1043" i="2"/>
  <c r="AB1044" i="2" a="1"/>
  <c r="AB1044" i="2"/>
  <c r="AB1045" i="2" a="1"/>
  <c r="AB1045" i="2"/>
  <c r="AB1046" i="2" a="1"/>
  <c r="AB1046" i="2"/>
  <c r="AB1047" i="2" a="1"/>
  <c r="AB1047" i="2"/>
  <c r="AB1048" i="2" a="1"/>
  <c r="AB1048" i="2"/>
  <c r="AB1049" i="2" a="1"/>
  <c r="AB1049" i="2"/>
  <c r="AB1050" i="2" a="1"/>
  <c r="AB1050" i="2"/>
  <c r="AB1051" i="2" a="1"/>
  <c r="AB1051" i="2"/>
  <c r="AB1052" i="2" a="1"/>
  <c r="AB1052" i="2"/>
  <c r="AB1053" i="2" a="1"/>
  <c r="AB1053" i="2"/>
  <c r="AB1054" i="2" a="1"/>
  <c r="AB1054" i="2"/>
  <c r="AB1055" i="2" a="1"/>
  <c r="AB1055" i="2"/>
  <c r="AB1056" i="2" a="1"/>
  <c r="AB1056" i="2"/>
  <c r="AB1057" i="2" a="1"/>
  <c r="AB1057" i="2"/>
  <c r="AB1058" i="2" a="1"/>
  <c r="AB1058" i="2"/>
  <c r="AB1059" i="2" a="1"/>
  <c r="AB1059" i="2"/>
  <c r="AB1060" i="2" a="1"/>
  <c r="AB1060" i="2"/>
  <c r="AB1061" i="2" a="1"/>
  <c r="AB1061" i="2"/>
  <c r="AB1062" i="2" a="1"/>
  <c r="AB1062" i="2"/>
  <c r="AB1063" i="2" a="1"/>
  <c r="AB1063" i="2"/>
  <c r="AB1064" i="2" a="1"/>
  <c r="AB1064" i="2"/>
  <c r="AB1065" i="2" a="1"/>
  <c r="AB1065" i="2"/>
  <c r="AB1066" i="2" a="1"/>
  <c r="AB1066" i="2"/>
  <c r="AB1067" i="2" a="1"/>
  <c r="AB1067" i="2"/>
  <c r="AB1068" i="2" a="1"/>
  <c r="AB1068" i="2"/>
  <c r="AB1069" i="2" a="1"/>
  <c r="AB1069" i="2"/>
  <c r="AB1070" i="2" a="1"/>
  <c r="AB1070" i="2"/>
  <c r="AB1071" i="2" a="1"/>
  <c r="AB1071" i="2"/>
  <c r="AB1072" i="2" a="1"/>
  <c r="AB1072" i="2"/>
  <c r="AB1073" i="2" a="1"/>
  <c r="AB1073" i="2"/>
  <c r="AB1074" i="2" a="1"/>
  <c r="AB1074" i="2"/>
  <c r="AB1075" i="2" a="1"/>
  <c r="AB1075" i="2"/>
  <c r="AB1076" i="2" a="1"/>
  <c r="AB1076" i="2"/>
  <c r="AB1077" i="2" a="1"/>
  <c r="AB1077" i="2"/>
  <c r="AB1078" i="2" a="1"/>
  <c r="AB1078" i="2"/>
  <c r="AB1079" i="2" a="1"/>
  <c r="AB1079" i="2"/>
  <c r="AB1080" i="2" a="1"/>
  <c r="AB1080" i="2"/>
  <c r="AB1081" i="2" a="1"/>
  <c r="AB1081" i="2"/>
  <c r="AB1082" i="2" a="1"/>
  <c r="AB1082" i="2"/>
  <c r="AB1083" i="2" a="1"/>
  <c r="AB1083" i="2"/>
  <c r="AB1084" i="2" a="1"/>
  <c r="AB1084" i="2"/>
  <c r="AB1085" i="2" a="1"/>
  <c r="AB1085" i="2"/>
  <c r="AB1086" i="2" a="1"/>
  <c r="AB1086" i="2"/>
  <c r="AB1087" i="2" a="1"/>
  <c r="AB1087" i="2"/>
  <c r="AB1088" i="2" a="1"/>
  <c r="AB1088" i="2"/>
  <c r="AB1089" i="2" a="1"/>
  <c r="AB1089" i="2"/>
  <c r="AB1090" i="2" a="1"/>
  <c r="AB1090" i="2"/>
  <c r="AB1091" i="2" a="1"/>
  <c r="AB1091" i="2"/>
  <c r="AB1092" i="2" a="1"/>
  <c r="AB1092" i="2"/>
  <c r="AB1093" i="2" a="1"/>
  <c r="AB1093" i="2"/>
  <c r="AB1094" i="2" a="1"/>
  <c r="AB1094" i="2"/>
  <c r="AB1095" i="2" a="1"/>
  <c r="AB1095" i="2"/>
  <c r="AB1096" i="2" a="1"/>
  <c r="AB1096" i="2"/>
  <c r="AB1097" i="2" a="1"/>
  <c r="AB1097" i="2"/>
  <c r="AB1098" i="2" a="1"/>
  <c r="AB1098" i="2"/>
  <c r="AB1099" i="2" a="1"/>
  <c r="AB1099" i="2"/>
  <c r="AB1100" i="2" a="1"/>
  <c r="AB1100" i="2"/>
  <c r="AB1101" i="2" a="1"/>
  <c r="AB1101" i="2"/>
  <c r="AB1102" i="2" a="1"/>
  <c r="AB1102" i="2"/>
  <c r="AB1103" i="2" a="1"/>
  <c r="AB1103" i="2"/>
  <c r="AB1104" i="2" a="1"/>
  <c r="AB1104" i="2"/>
  <c r="AB1105" i="2" a="1"/>
  <c r="AB1105" i="2"/>
  <c r="AB1106" i="2" a="1"/>
  <c r="AB1106" i="2"/>
  <c r="AB1107" i="2" a="1"/>
  <c r="AB1107" i="2"/>
  <c r="AB1108" i="2" a="1"/>
  <c r="AB1108" i="2"/>
  <c r="AB1109" i="2" a="1"/>
  <c r="AB1109" i="2"/>
  <c r="AB1110" i="2" a="1"/>
  <c r="AB1110" i="2"/>
  <c r="AB1111" i="2" a="1"/>
  <c r="AB1111" i="2"/>
  <c r="AB1112" i="2" a="1"/>
  <c r="AB1112" i="2"/>
  <c r="AB1113" i="2" a="1"/>
  <c r="AB1113" i="2"/>
  <c r="AB1114" i="2" a="1"/>
  <c r="AB1114" i="2"/>
  <c r="AB1115" i="2" a="1"/>
  <c r="AB1115" i="2"/>
  <c r="AB1116" i="2" a="1"/>
  <c r="AB1116" i="2"/>
  <c r="AB1117" i="2" a="1"/>
  <c r="AB1117" i="2"/>
  <c r="AB1118" i="2" a="1"/>
  <c r="AB1118" i="2"/>
  <c r="AB1119" i="2" a="1"/>
  <c r="AB1119" i="2"/>
  <c r="AB1120" i="2" a="1"/>
  <c r="AB1120" i="2"/>
  <c r="AB1121" i="2" a="1"/>
  <c r="AB1121" i="2"/>
  <c r="AB1122" i="2" a="1"/>
  <c r="AB1122" i="2"/>
  <c r="AB1123" i="2" a="1"/>
  <c r="AB1123" i="2"/>
  <c r="AB1124" i="2" a="1"/>
  <c r="AB1124" i="2"/>
  <c r="AB1125" i="2" a="1"/>
  <c r="AB1125" i="2"/>
  <c r="AB1126" i="2" a="1"/>
  <c r="AB1126" i="2"/>
  <c r="AB1127" i="2" a="1"/>
  <c r="AB1127" i="2"/>
  <c r="AB1128" i="2" a="1"/>
  <c r="AB1128" i="2"/>
  <c r="AB1129" i="2" a="1"/>
  <c r="AB1129" i="2"/>
  <c r="AB1130" i="2" a="1"/>
  <c r="AB1130" i="2"/>
  <c r="AB1131" i="2" a="1"/>
  <c r="AB1131" i="2"/>
  <c r="AB1132" i="2" a="1"/>
  <c r="AB1132" i="2"/>
  <c r="AB1133" i="2" a="1"/>
  <c r="AB1133" i="2"/>
  <c r="AB1134" i="2" a="1"/>
  <c r="AB1134" i="2"/>
  <c r="AB1135" i="2" a="1"/>
  <c r="AB1135" i="2"/>
  <c r="AB1136" i="2" a="1"/>
  <c r="AB1136" i="2"/>
  <c r="AB1137" i="2" a="1"/>
  <c r="AB1137" i="2"/>
  <c r="AB1138" i="2" a="1"/>
  <c r="AB1138" i="2"/>
  <c r="AB1139" i="2" a="1"/>
  <c r="AB1139" i="2"/>
  <c r="AB1140" i="2" a="1"/>
  <c r="AB1140" i="2"/>
  <c r="AB1141" i="2" a="1"/>
  <c r="AB1141" i="2"/>
  <c r="AB1142" i="2" a="1"/>
  <c r="AB1142" i="2"/>
  <c r="AB1143" i="2" a="1"/>
  <c r="AB1143" i="2"/>
  <c r="AB1144" i="2" a="1"/>
  <c r="AB1144" i="2"/>
  <c r="AB1145" i="2" a="1"/>
  <c r="AB1145" i="2"/>
  <c r="AB1146" i="2" a="1"/>
  <c r="AB1146" i="2"/>
  <c r="AB1147" i="2" a="1"/>
  <c r="AB1147" i="2"/>
  <c r="AB1148" i="2" a="1"/>
  <c r="AB1148" i="2"/>
  <c r="AB1149" i="2" a="1"/>
  <c r="AB1149" i="2"/>
  <c r="AB1150" i="2" a="1"/>
  <c r="AB1150" i="2"/>
  <c r="AB1151" i="2" a="1"/>
  <c r="AB1151" i="2"/>
  <c r="AB1152" i="2" a="1"/>
  <c r="AB1152" i="2"/>
  <c r="AB1153" i="2" a="1"/>
  <c r="AB1153" i="2"/>
  <c r="AB1154" i="2" a="1"/>
  <c r="AB1154" i="2"/>
  <c r="AB1155" i="2" a="1"/>
  <c r="AB1155" i="2"/>
  <c r="AB1156" i="2" a="1"/>
  <c r="AB1156" i="2"/>
  <c r="AB1157" i="2" a="1"/>
  <c r="AB1157" i="2"/>
  <c r="AB1158" i="2" a="1"/>
  <c r="AB1158" i="2"/>
  <c r="AB1159" i="2" a="1"/>
  <c r="AB1159" i="2"/>
  <c r="AB1160" i="2" a="1"/>
  <c r="AB1160" i="2"/>
  <c r="AB1161" i="2" a="1"/>
  <c r="AB1161" i="2"/>
  <c r="AB1162" i="2" a="1"/>
  <c r="AB1162" i="2"/>
  <c r="AB1163" i="2" a="1"/>
  <c r="AB1163" i="2"/>
  <c r="AB1164" i="2" a="1"/>
  <c r="AB1164" i="2"/>
  <c r="AB1165" i="2" a="1"/>
  <c r="AB1165" i="2"/>
  <c r="AB1166" i="2" a="1"/>
  <c r="AB1166" i="2" s="1"/>
  <c r="AB1167" i="2" a="1"/>
  <c r="AB1167" i="2"/>
  <c r="AB1168" i="2" a="1"/>
  <c r="AB1168" i="2" s="1"/>
  <c r="AB1169" i="2" a="1"/>
  <c r="AB1169" i="2"/>
  <c r="AB1170" i="2" a="1"/>
  <c r="AB1170" i="2"/>
  <c r="AB1171" i="2" a="1"/>
  <c r="AB1171" i="2"/>
  <c r="AB1172" i="2" a="1"/>
  <c r="AB1172" i="2"/>
  <c r="AB1173" i="2" a="1"/>
  <c r="AB1173" i="2"/>
  <c r="AB1174" i="2" a="1"/>
  <c r="AB1174" i="2"/>
  <c r="AB1175" i="2" a="1"/>
  <c r="AB1175" i="2" s="1"/>
  <c r="AB1176" i="2" a="1"/>
  <c r="AB1176" i="2"/>
  <c r="AB1177" i="2" a="1"/>
  <c r="AB1177" i="2"/>
  <c r="AB1178" i="2" a="1"/>
  <c r="AB1178" i="2"/>
  <c r="AB1179" i="2" a="1"/>
  <c r="AB1179" i="2"/>
  <c r="AB1180" i="2" a="1"/>
  <c r="AB1180" i="2"/>
  <c r="AB1181" i="2" a="1"/>
  <c r="AB1181" i="2"/>
  <c r="AB1182" i="2" a="1"/>
  <c r="AB1182" i="2"/>
  <c r="AB1183" i="2" a="1"/>
  <c r="AB1183" i="2"/>
  <c r="AB1184" i="2" a="1"/>
  <c r="AB1184" i="2" s="1"/>
  <c r="AB1185" i="2" a="1"/>
  <c r="AB1185" i="2" s="1"/>
  <c r="AB1186" i="2" a="1"/>
  <c r="AB1186" i="2"/>
  <c r="AB1187" i="2" a="1"/>
  <c r="AB1187" i="2" s="1"/>
  <c r="AB1188" i="2" a="1"/>
  <c r="AB1188" i="2"/>
  <c r="AB1189" i="2" a="1"/>
  <c r="AB1189" i="2"/>
  <c r="AB1190" i="2" a="1"/>
  <c r="AB1190" i="2"/>
  <c r="AB1191" i="2" a="1"/>
  <c r="AB1191" i="2"/>
  <c r="AB1192" i="2" a="1"/>
  <c r="AB1192" i="2"/>
  <c r="AB1193" i="2" a="1"/>
  <c r="AB1193" i="2" s="1"/>
  <c r="AB1194" i="2" a="1"/>
  <c r="AB1194" i="2"/>
  <c r="AB1195" i="2" a="1"/>
  <c r="AB1195" i="2"/>
  <c r="AB1196" i="2" a="1"/>
  <c r="AB1196" i="2"/>
  <c r="AB1197" i="2" a="1"/>
  <c r="AB1197" i="2"/>
  <c r="AB1198" i="2" a="1"/>
  <c r="AB1198" i="2"/>
  <c r="AB1199" i="2" a="1"/>
  <c r="AB1199" i="2"/>
  <c r="AB1200" i="2" a="1"/>
  <c r="AB1200" i="2"/>
  <c r="AB1201" i="2" a="1"/>
  <c r="AB1201" i="2"/>
  <c r="AB1202" i="2" a="1"/>
  <c r="AB1202" i="2" s="1"/>
  <c r="AB1203" i="2" a="1"/>
  <c r="AB1203" i="2"/>
  <c r="AB1204" i="2" a="1"/>
  <c r="AB1204" i="2" s="1"/>
  <c r="AB1205" i="2" a="1"/>
  <c r="AB1205" i="2"/>
  <c r="AB1206" i="2" a="1"/>
  <c r="AB1206" i="2" s="1"/>
  <c r="AB1207" i="2" a="1"/>
  <c r="AB1207" i="2"/>
  <c r="AB1208" i="2" a="1"/>
  <c r="AB1208" i="2"/>
  <c r="AB1209" i="2" a="1"/>
  <c r="AB1209" i="2"/>
  <c r="AB1210" i="2" a="1"/>
  <c r="AB1210" i="2"/>
  <c r="AB1211" i="2" a="1"/>
  <c r="AB1211" i="2" s="1"/>
  <c r="AB1212" i="2" a="1"/>
  <c r="AB1212" i="2"/>
  <c r="AB1213" i="2" a="1"/>
  <c r="AB1213" i="2"/>
  <c r="AB1214" i="2" a="1"/>
  <c r="AB1214" i="2"/>
  <c r="AB1215" i="2" a="1"/>
  <c r="AB1215" i="2"/>
  <c r="AB1216" i="2" a="1"/>
  <c r="AB1216" i="2"/>
  <c r="AB1217" i="2" a="1"/>
  <c r="AB1217" i="2"/>
  <c r="AB1218" i="2" a="1"/>
  <c r="AB1218" i="2"/>
  <c r="AB1219" i="2" a="1"/>
  <c r="AB1219" i="2"/>
  <c r="AB1220" i="2" a="1"/>
  <c r="AB1220" i="2" s="1"/>
  <c r="AB1221" i="2" a="1"/>
  <c r="AB1221" i="2"/>
  <c r="AB1222" i="2" a="1"/>
  <c r="AB1222" i="2"/>
  <c r="AB1223" i="2" a="1"/>
  <c r="AB1223" i="2" s="1"/>
  <c r="AB1224" i="2" a="1"/>
  <c r="AB1224" i="2"/>
  <c r="AB1225" i="2" a="1"/>
  <c r="AB1225" i="2" s="1"/>
  <c r="AB1226" i="2" a="1"/>
  <c r="AB1226" i="2"/>
  <c r="AB1227" i="2" a="1"/>
  <c r="AB1227" i="2"/>
  <c r="AB1228" i="2" a="1"/>
  <c r="AB1228" i="2"/>
  <c r="AB1229" i="2" a="1"/>
  <c r="AB1229" i="2" s="1"/>
  <c r="AB1230" i="2" a="1"/>
  <c r="AB1230" i="2"/>
  <c r="AB1231" i="2" a="1"/>
  <c r="AB1231" i="2"/>
  <c r="AB1232" i="2" a="1"/>
  <c r="AB1232" i="2"/>
  <c r="AB1233" i="2" a="1"/>
  <c r="AB1233" i="2"/>
  <c r="AB1234" i="2" a="1"/>
  <c r="AB1234" i="2"/>
  <c r="AB1235" i="2" a="1"/>
  <c r="AB1235" i="2"/>
  <c r="AB1236" i="2" a="1"/>
  <c r="AB1236" i="2"/>
  <c r="AB1237" i="2" a="1"/>
  <c r="AB1237" i="2"/>
  <c r="AB1238" i="2" a="1"/>
  <c r="AB1238" i="2" s="1"/>
  <c r="AB1239" i="2" a="1"/>
  <c r="AB1239" i="2"/>
  <c r="AB1240" i="2" a="1"/>
  <c r="AB1240" i="2"/>
  <c r="AB1241" i="2" a="1"/>
  <c r="AB1241" i="2"/>
  <c r="AB1242" i="2" a="1"/>
  <c r="AB1242" i="2" s="1"/>
  <c r="AB1243" i="2" a="1"/>
  <c r="AB1243" i="2"/>
  <c r="AB1244" i="2" a="1"/>
  <c r="AB1244" i="2" s="1"/>
  <c r="AB1245" i="2" a="1"/>
  <c r="AB1245" i="2"/>
  <c r="AB1246" i="2" a="1"/>
  <c r="AB1246" i="2"/>
  <c r="AB1247" i="2" a="1"/>
  <c r="AB1247" i="2" s="1"/>
  <c r="AB1248" i="2" a="1"/>
  <c r="AB1248" i="2"/>
  <c r="AB1249" i="2" a="1"/>
  <c r="AB1249" i="2"/>
  <c r="AB1250" i="2" a="1"/>
  <c r="AB1250" i="2"/>
  <c r="AB1251" i="2" a="1"/>
  <c r="AB1251" i="2"/>
  <c r="AB1252" i="2" a="1"/>
  <c r="AB1252" i="2"/>
  <c r="AB1253" i="2" a="1"/>
  <c r="AB1253" i="2"/>
  <c r="AB1254" i="2" a="1"/>
  <c r="AB1254" i="2"/>
  <c r="AB1255" i="2" a="1"/>
  <c r="AB1255" i="2"/>
  <c r="AB1256" i="2" a="1"/>
  <c r="AB1256" i="2" s="1"/>
  <c r="AB1257" i="2" a="1"/>
  <c r="AB1257" i="2"/>
  <c r="AB1258" i="2" a="1"/>
  <c r="AB1258" i="2"/>
  <c r="AB1259" i="2" a="1"/>
  <c r="AB1259" i="2"/>
  <c r="AB1260" i="2" a="1"/>
  <c r="AB1260" i="2"/>
  <c r="AB1261" i="2" a="1"/>
  <c r="AB1261" i="2" s="1"/>
  <c r="AB1262" i="2" a="1"/>
  <c r="AB1262" i="2"/>
  <c r="AB1263" i="2" a="1"/>
  <c r="AB1263" i="2" s="1"/>
  <c r="AB1264" i="2" a="1"/>
  <c r="AB1264" i="2"/>
  <c r="AB1265" i="2" a="1"/>
  <c r="AB1265" i="2" s="1"/>
  <c r="AB1266" i="2" a="1"/>
  <c r="AB1266" i="2"/>
  <c r="AB1267" i="2" a="1"/>
  <c r="AB1267" i="2"/>
  <c r="AB1268" i="2" a="1"/>
  <c r="AB1268" i="2"/>
  <c r="AB1269" i="2" a="1"/>
  <c r="AB1269" i="2"/>
  <c r="AB1270" i="2" a="1"/>
  <c r="AB1270" i="2"/>
  <c r="AB1271" i="2" a="1"/>
  <c r="AB1271" i="2"/>
  <c r="AB1272" i="2" a="1"/>
  <c r="AB1272" i="2"/>
  <c r="AB1273" i="2" a="1"/>
  <c r="AB1273" i="2"/>
  <c r="AB1274" i="2" a="1"/>
  <c r="AB1274" i="2" s="1"/>
  <c r="AB1275" i="2" a="1"/>
  <c r="AB1275" i="2"/>
  <c r="AB1276" i="2" a="1"/>
  <c r="AB1276" i="2"/>
  <c r="AB1277" i="2" a="1"/>
  <c r="AB1277" i="2"/>
  <c r="AB1278" i="2" a="1"/>
  <c r="AB1278" i="2"/>
  <c r="AB1279" i="2" a="1"/>
  <c r="AB1279" i="2"/>
  <c r="AB1280" i="2" a="1"/>
  <c r="AB1280" i="2" s="1"/>
  <c r="AB1281" i="2" a="1"/>
  <c r="AB1281" i="2"/>
  <c r="AB1282" i="2" a="1"/>
  <c r="AB1282" i="2" s="1"/>
  <c r="AB1283" i="2" a="1"/>
  <c r="AB1283" i="2" s="1"/>
  <c r="AB1284" i="2" a="1"/>
  <c r="AB1284" i="2"/>
  <c r="AB1285" i="2" a="1"/>
  <c r="AB1285" i="2"/>
  <c r="AB1286" i="2" a="1"/>
  <c r="AB1286" i="2"/>
  <c r="AB1287" i="2" a="1"/>
  <c r="AB1287" i="2"/>
  <c r="AB1288" i="2" a="1"/>
  <c r="AB1288" i="2"/>
  <c r="AB1289" i="2" a="1"/>
  <c r="AB1289" i="2"/>
  <c r="AB1290" i="2" a="1"/>
  <c r="AB1290" i="2"/>
  <c r="AB1291" i="2" a="1"/>
  <c r="AB1291" i="2"/>
  <c r="AB1292" i="2" a="1"/>
  <c r="AB1292" i="2" s="1"/>
  <c r="AB1293" i="2" a="1"/>
  <c r="AB1293" i="2"/>
  <c r="AB1294" i="2" a="1"/>
  <c r="AB1294" i="2"/>
  <c r="AB1295" i="2" a="1"/>
  <c r="AB1295" i="2"/>
  <c r="AB1296" i="2" a="1"/>
  <c r="AB1296" i="2"/>
  <c r="AB1297" i="2" a="1"/>
  <c r="AB1297" i="2"/>
  <c r="AB1298" i="2" a="1"/>
  <c r="AB1298" i="2"/>
  <c r="AB1299" i="2" a="1"/>
  <c r="AB1299" i="2" s="1"/>
  <c r="AB1300" i="2" a="1"/>
  <c r="AB1300" i="2"/>
  <c r="AB1301" i="2" a="1"/>
  <c r="AB1301" i="2" s="1"/>
  <c r="AB1302" i="2" a="1"/>
  <c r="AB1302" i="2"/>
  <c r="AB1303" i="2" a="1"/>
  <c r="AB1303" i="2"/>
  <c r="AB1304" i="2" a="1"/>
  <c r="AB1304" i="2"/>
  <c r="AB1305" i="2" a="1"/>
  <c r="AB1305" i="2"/>
  <c r="AB1306" i="2" a="1"/>
  <c r="AB1306" i="2"/>
  <c r="AB1307" i="2" a="1"/>
  <c r="AB1307" i="2"/>
  <c r="AB1308" i="2" a="1"/>
  <c r="AB1308" i="2"/>
  <c r="AB1309" i="2" a="1"/>
  <c r="AB1309" i="2"/>
  <c r="AB1310" i="2" a="1"/>
  <c r="AB1310" i="2" s="1"/>
  <c r="AB1311" i="2" a="1"/>
  <c r="AB1311" i="2" s="1"/>
  <c r="AB1312" i="2" a="1"/>
  <c r="AB1312" i="2"/>
  <c r="AB1313" i="2" a="1"/>
  <c r="AB1313" i="2"/>
  <c r="AB1314" i="2" a="1"/>
  <c r="AB1314" i="2"/>
  <c r="AB1315" i="2" a="1"/>
  <c r="AB1315" i="2"/>
  <c r="AB1316" i="2" a="1"/>
  <c r="AB1316" i="2"/>
  <c r="AB1317" i="2" a="1"/>
  <c r="AB1317" i="2"/>
  <c r="AB1318" i="2" a="1"/>
  <c r="AB1318" i="2" s="1"/>
  <c r="AB1319" i="2" a="1"/>
  <c r="AB1319" i="2" s="1"/>
  <c r="AB1320" i="2" a="1"/>
  <c r="AB1320" i="2"/>
  <c r="AB1321" i="2" a="1"/>
  <c r="AB1321" i="2"/>
  <c r="AB1322" i="2" a="1"/>
  <c r="AB1322" i="2"/>
  <c r="AB1323" i="2" a="1"/>
  <c r="AB1323" i="2"/>
  <c r="AB1324" i="2" a="1"/>
  <c r="AB1324" i="2"/>
  <c r="AB1325" i="2" a="1"/>
  <c r="AB1325" i="2"/>
  <c r="AB1326" i="2" a="1"/>
  <c r="AB1326" i="2"/>
  <c r="AB1327" i="2" a="1"/>
  <c r="AB1327" i="2"/>
  <c r="AB1328" i="2" a="1"/>
  <c r="AB1328" i="2" s="1"/>
  <c r="AB1329" i="2" a="1"/>
  <c r="AB1329" i="2"/>
  <c r="AB1330" i="2" a="1"/>
  <c r="AB1330" i="2" s="1"/>
  <c r="AB1331" i="2" a="1"/>
  <c r="AB1331" i="2"/>
  <c r="AB1332" i="2" a="1"/>
  <c r="AB1332" i="2"/>
  <c r="AB1333" i="2" a="1"/>
  <c r="AB1333" i="2"/>
  <c r="AB1334" i="2" a="1"/>
  <c r="AB1334" i="2"/>
  <c r="AB1335" i="2" a="1"/>
  <c r="AB1335" i="2"/>
  <c r="AB1336" i="2" a="1"/>
  <c r="AB1336" i="2"/>
  <c r="AB1337" i="2" a="1"/>
  <c r="AB1337" i="2" s="1"/>
  <c r="AB1338" i="2" a="1"/>
  <c r="AB1338" i="2"/>
  <c r="AB1339" i="2" a="1"/>
  <c r="AB1339" i="2"/>
  <c r="AB1340" i="2" a="1"/>
  <c r="AB1340" i="2"/>
  <c r="AB1341" i="2" a="1"/>
  <c r="AB1341" i="2"/>
  <c r="AB1342" i="2" a="1"/>
  <c r="AB1342" i="2"/>
  <c r="AB1343" i="2" a="1"/>
  <c r="AB1343" i="2"/>
  <c r="AB1344" i="2" a="1"/>
  <c r="AB1344" i="2"/>
  <c r="AB1345" i="2" a="1"/>
  <c r="AB1345" i="2"/>
  <c r="AB1346" i="2" a="1"/>
  <c r="AB1346" i="2" s="1"/>
  <c r="AB1347" i="2" a="1"/>
  <c r="AB1347" i="2" s="1"/>
  <c r="AB1348" i="2" a="1"/>
  <c r="AB1348" i="2"/>
  <c r="AB1349" i="2" a="1"/>
  <c r="AB1349" i="2" s="1"/>
  <c r="AB1350" i="2" a="1"/>
  <c r="AB1350" i="2"/>
  <c r="AB1351" i="2" a="1"/>
  <c r="AB1351" i="2"/>
  <c r="AB1352" i="2" a="1"/>
  <c r="AB1352" i="2"/>
  <c r="AB1353" i="2" a="1"/>
  <c r="AB1353" i="2"/>
  <c r="AB1354" i="2" a="1"/>
  <c r="AB1354" i="2"/>
  <c r="AB1355" i="2" a="1"/>
  <c r="AB1355" i="2" s="1"/>
  <c r="AB1356" i="2" a="1"/>
  <c r="AB1356" i="2"/>
  <c r="AB1357" i="2" a="1"/>
  <c r="AB1357" i="2"/>
  <c r="AB1358" i="2" a="1"/>
  <c r="AB1358" i="2"/>
  <c r="AB1359" i="2" a="1"/>
  <c r="AB1359" i="2"/>
  <c r="AB1360" i="2" a="1"/>
  <c r="AB1360" i="2"/>
  <c r="AB1361" i="2" a="1"/>
  <c r="AB1361" i="2"/>
  <c r="AB1362" i="2" a="1"/>
  <c r="AB1362" i="2"/>
  <c r="AB1363" i="2" a="1"/>
  <c r="AB1363" i="2"/>
  <c r="AB1364" i="2" a="1"/>
  <c r="AB1364" i="2" s="1"/>
  <c r="AB1365" i="2" a="1"/>
  <c r="AB1365" i="2"/>
  <c r="AB1366" i="2" a="1"/>
  <c r="AB1366" i="2" s="1"/>
  <c r="AB1367" i="2" a="1"/>
  <c r="AB1367" i="2"/>
  <c r="AB1368" i="2" a="1"/>
  <c r="AB1368" i="2" s="1"/>
  <c r="AB1369" i="2" a="1"/>
  <c r="AB1369" i="2"/>
  <c r="AB1370" i="2" a="1"/>
  <c r="AB1370" i="2"/>
  <c r="AB1371" i="2" a="1"/>
  <c r="AB1371" i="2"/>
  <c r="AB1372" i="2" a="1"/>
  <c r="AB1372" i="2"/>
  <c r="AB1373" i="2" a="1"/>
  <c r="AB1373" i="2" s="1"/>
  <c r="AB1374" i="2" a="1"/>
  <c r="AB1374" i="2"/>
  <c r="AB1375" i="2" a="1"/>
  <c r="AB1375" i="2"/>
  <c r="AB1376" i="2" a="1"/>
  <c r="AB1376" i="2"/>
  <c r="AB1377" i="2" a="1"/>
  <c r="AB1377" i="2"/>
  <c r="AB1378" i="2" a="1"/>
  <c r="AB1378" i="2"/>
  <c r="AB1379" i="2" a="1"/>
  <c r="AB1379" i="2"/>
  <c r="AB1380" i="2" a="1"/>
  <c r="AB1380" i="2"/>
  <c r="AB1381" i="2" a="1"/>
  <c r="AB1381" i="2"/>
  <c r="AB1382" i="2" a="1"/>
  <c r="AB1382" i="2" s="1"/>
  <c r="AB1383" i="2" a="1"/>
  <c r="AB1383" i="2"/>
  <c r="AB1384" i="2" a="1"/>
  <c r="AB1384" i="2"/>
  <c r="AB1385" i="2" a="1"/>
  <c r="AB1385" i="2" s="1"/>
  <c r="AB1386" i="2" a="1"/>
  <c r="AB1386" i="2"/>
  <c r="AB1387" i="2" a="1"/>
  <c r="AB1387" i="2" s="1"/>
  <c r="AB1388" i="2" a="1"/>
  <c r="AB1388" i="2"/>
  <c r="AB1389" i="2" a="1"/>
  <c r="AB1389" i="2"/>
  <c r="AB1390" i="2" a="1"/>
  <c r="AB1390" i="2"/>
  <c r="AB1391" i="2" a="1"/>
  <c r="AB1391" i="2" s="1"/>
  <c r="AB1392" i="2" a="1"/>
  <c r="AB1392" i="2"/>
  <c r="AB1393" i="2" a="1"/>
  <c r="AB1393" i="2"/>
  <c r="AB1394" i="2" a="1"/>
  <c r="AB1394" i="2"/>
  <c r="AB1395" i="2" a="1"/>
  <c r="AB1395" i="2"/>
  <c r="AB1396" i="2" a="1"/>
  <c r="AB1396" i="2"/>
  <c r="AB1397" i="2" a="1"/>
  <c r="AB1397" i="2"/>
  <c r="AB1398" i="2" a="1"/>
  <c r="AB1398" i="2"/>
  <c r="AB1399" i="2" a="1"/>
  <c r="AB1399" i="2"/>
  <c r="AB1400" i="2" a="1"/>
  <c r="AB1400" i="2" s="1"/>
  <c r="AB1401" i="2" a="1"/>
  <c r="AB1401" i="2"/>
  <c r="AB1402" i="2" a="1"/>
  <c r="AB1402" i="2"/>
  <c r="AB1403" i="2" a="1"/>
  <c r="AB1403" i="2"/>
  <c r="AB1404" i="2" a="1"/>
  <c r="AB1404" i="2" s="1"/>
  <c r="AB1405" i="2" a="1"/>
  <c r="AB1405" i="2"/>
  <c r="AB1406" i="2" a="1"/>
  <c r="AB1406" i="2" s="1"/>
  <c r="AB1407" i="2" a="1"/>
  <c r="AB1407" i="2"/>
  <c r="AB1408" i="2" a="1"/>
  <c r="AB1408" i="2"/>
  <c r="AB1409" i="2" a="1"/>
  <c r="AB1409" i="2" s="1"/>
  <c r="AB1410" i="2" a="1"/>
  <c r="AB1410" i="2"/>
  <c r="AB1411" i="2" a="1"/>
  <c r="AB1411" i="2"/>
  <c r="AB1412" i="2" a="1"/>
  <c r="AB1412" i="2"/>
  <c r="AB1413" i="2" a="1"/>
  <c r="AB1413" i="2"/>
  <c r="AB1414" i="2" a="1"/>
  <c r="AB1414" i="2"/>
  <c r="AB1415" i="2" a="1"/>
  <c r="AB1415" i="2"/>
  <c r="AB1416" i="2" a="1"/>
  <c r="AB1416" i="2"/>
  <c r="AB1417" i="2" a="1"/>
  <c r="AB1417" i="2"/>
  <c r="AB1418" i="2" a="1"/>
  <c r="AB1418" i="2" s="1"/>
  <c r="AB1419" i="2" a="1"/>
  <c r="AB1419" i="2"/>
  <c r="AB1420" i="2" a="1"/>
  <c r="AB1420" i="2"/>
  <c r="AB1421" i="2" a="1"/>
  <c r="AB1421" i="2"/>
  <c r="AB1422" i="2" a="1"/>
  <c r="AB1422" i="2"/>
  <c r="AB1423" i="2" a="1"/>
  <c r="AB1423" i="2" s="1"/>
  <c r="AB1424" i="2" a="1"/>
  <c r="AB1424" i="2"/>
  <c r="AB1425" i="2" a="1"/>
  <c r="AB1425" i="2" s="1"/>
  <c r="AB1426" i="2" a="1"/>
  <c r="AB1426" i="2"/>
  <c r="AB1427" i="2" a="1"/>
  <c r="AB1427" i="2" s="1"/>
  <c r="AB1428" i="2" a="1"/>
  <c r="AB1428" i="2"/>
  <c r="AB1429" i="2" a="1"/>
  <c r="AB1429" i="2"/>
  <c r="AB1430" i="2" a="1"/>
  <c r="AB1430" i="2"/>
  <c r="AB1431" i="2" a="1"/>
  <c r="AB1431" i="2"/>
  <c r="AB1432" i="2" a="1"/>
  <c r="AB1432" i="2"/>
  <c r="AB1433" i="2" a="1"/>
  <c r="AB1433" i="2"/>
  <c r="AB1434" i="2" a="1"/>
  <c r="AB1434" i="2"/>
  <c r="AB1435" i="2" a="1"/>
  <c r="AB1435" i="2"/>
  <c r="AB1436" i="2" a="1"/>
  <c r="AB1436" i="2" s="1"/>
  <c r="AB1437" i="2" a="1"/>
  <c r="AB1437" i="2"/>
  <c r="AB1438" i="2" a="1"/>
  <c r="AB1438" i="2"/>
  <c r="AB1439" i="2" a="1"/>
  <c r="AB1439" i="2"/>
  <c r="AB1440" i="2" a="1"/>
  <c r="AB1440" i="2"/>
  <c r="AB1441" i="2" a="1"/>
  <c r="AB1441" i="2"/>
  <c r="AB1442" i="2" a="1"/>
  <c r="AB1442" i="2" s="1"/>
  <c r="AB1443" i="2" a="1"/>
  <c r="AB1443" i="2"/>
  <c r="AB1444" i="2" a="1"/>
  <c r="AB1444" i="2" s="1"/>
  <c r="AB1445" i="2" a="1"/>
  <c r="AB1445" i="2" s="1"/>
  <c r="AB1446" i="2" a="1"/>
  <c r="AB1446" i="2"/>
  <c r="AB1447" i="2" a="1"/>
  <c r="AB1447" i="2"/>
  <c r="AB1448" i="2" a="1"/>
  <c r="AB1448" i="2"/>
  <c r="AB1449" i="2" a="1"/>
  <c r="AB1449" i="2"/>
  <c r="AB1450" i="2" a="1"/>
  <c r="AB1450" i="2"/>
  <c r="AB1451" i="2" a="1"/>
  <c r="AB1451" i="2"/>
  <c r="AB1452" i="2" a="1"/>
  <c r="AB1452" i="2"/>
  <c r="AB1453" i="2" a="1"/>
  <c r="AB1453" i="2"/>
  <c r="AB1454" i="2" a="1"/>
  <c r="AB1454" i="2" s="1"/>
  <c r="AB1455" i="2" a="1"/>
  <c r="AB1455" i="2"/>
  <c r="AB1456" i="2" a="1"/>
  <c r="AB1456" i="2"/>
  <c r="AB1457" i="2" a="1"/>
  <c r="AB1457" i="2"/>
  <c r="AB1458" i="2" a="1"/>
  <c r="AB1458" i="2"/>
  <c r="AB1459" i="2" a="1"/>
  <c r="AB1459" i="2"/>
  <c r="AB1460" i="2" a="1"/>
  <c r="AB1460" i="2"/>
  <c r="AB1461" i="2" a="1"/>
  <c r="AB1461" i="2" s="1"/>
  <c r="AB1462" i="2" a="1"/>
  <c r="AB1462" i="2"/>
  <c r="AB1463" i="2" a="1"/>
  <c r="AB1463" i="2" s="1"/>
  <c r="AB1464" i="2" a="1"/>
  <c r="AB1464" i="2"/>
  <c r="AB1465" i="2" a="1"/>
  <c r="AB1465" i="2"/>
  <c r="AB1466" i="2" a="1"/>
  <c r="AB1466" i="2"/>
  <c r="AB1467" i="2" a="1"/>
  <c r="AB1467" i="2"/>
  <c r="AB1468" i="2" a="1"/>
  <c r="AB1468" i="2"/>
  <c r="AB1469" i="2" a="1"/>
  <c r="AB1469" i="2"/>
  <c r="AB1470" i="2" a="1"/>
  <c r="AB1470" i="2"/>
  <c r="AB1471" i="2" a="1"/>
  <c r="AB147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6767C1-8980-450F-842A-081CCFBBA092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2" xr16:uid="{91C7F104-90EA-4146-B8FA-6DED9E0F283D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BC5A03DC-3046-4BD1-98FD-B5C2677D1264}" keepAlive="1" name="Query - PerfRate" description="Connection to the 'PerfRate' query in the workbook." type="5" refreshedVersion="8" background="1" saveData="1">
    <dbPr connection="Provider=Microsoft.Mashup.OleDb.1;Data Source=$Workbook$;Location=PerfRate;Extended Properties=&quot;&quot;" command="SELECT * FROM [PerfRate]"/>
  </connection>
  <connection id="4" xr16:uid="{3FD6EFFF-7DF9-44C3-B1D5-E54DFD67F89B}" keepAlive="1" name="Query - Rate" description="Connection to the 'Rate' query in the workbook." type="5" refreshedVersion="0" background="1">
    <dbPr connection="Provider=Microsoft.Mashup.OleDb.1;Data Source=$Workbook$;Location=Rate;Extended Properties=&quot;&quot;" command="SELECT * FROM [Rate]"/>
  </connection>
  <connection id="5" xr16:uid="{9231CB0A-2F57-4716-9BF1-EE62458AC6D2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6" xr16:uid="{C02E9DF4-5F79-4BAB-B570-5FAB395F3B53}" keepAlive="1" name="Query - SatisfiedLevel" description="Connection to the 'SatisfiedLevel' query in the workbook." type="5" refreshedVersion="0" background="1">
    <dbPr connection="Provider=Microsoft.Mashup.OleDb.1;Data Source=$Workbook$;Location=SatisfiedLevel;Extended Properties=&quot;&quot;" command="SELECT * FROM [SatisfiedLeve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<sst xmlns="http://schemas.openxmlformats.org/spreadsheetml/2006/main" count="69085" uniqueCount="11054">
  <si>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</si>
  <si>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</si>
  <si>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</si>
  <si>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</si>
  <si>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</si>
  <si>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</si>
  <si>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</si>
  <si>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</si>
  <si>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</si>
  <si>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</si>
  <si>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</si>
  <si>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</si>
  <si>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</si>
  <si>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</si>
  <si>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</si>
  <si>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</si>
  <si>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</si>
  <si>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</si>
  <si>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</si>
  <si>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</si>
  <si>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</si>
  <si>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</si>
  <si>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</si>
  <si>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</si>
  <si>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</si>
  <si>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</si>
  <si>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</si>
  <si>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</si>
  <si>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</si>
  <si>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</si>
  <si>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</si>
  <si>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</si>
  <si>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</si>
  <si>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</si>
  <si>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</si>
  <si>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</si>
  <si>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</si>
  <si>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</si>
  <si>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</si>
  <si>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</si>
  <si>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</si>
  <si>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</si>
  <si>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</si>
  <si>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</si>
  <si>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</si>
  <si>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</si>
  <si>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</si>
  <si>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</si>
  <si>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</si>
  <si>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</si>
  <si>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</si>
  <si>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</si>
  <si>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</si>
  <si>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</si>
  <si>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</si>
  <si>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</si>
  <si>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</si>
  <si>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</si>
  <si>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</si>
  <si>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</si>
  <si>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</si>
  <si>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</si>
  <si>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</si>
  <si>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</si>
  <si>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</si>
  <si>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</si>
  <si>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</si>
  <si>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</si>
  <si>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</si>
  <si>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</si>
  <si>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</si>
  <si>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</si>
  <si>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</si>
  <si>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</si>
  <si>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</si>
  <si>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</si>
  <si>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</si>
  <si>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</si>
  <si>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</si>
  <si>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</si>
  <si>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</si>
  <si>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</si>
  <si>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</si>
  <si>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</si>
  <si>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</si>
  <si>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</si>
  <si>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</si>
  <si>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</si>
  <si>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</si>
  <si>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</si>
  <si>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</si>
  <si>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</si>
  <si>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</si>
  <si>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</si>
  <si>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</si>
  <si>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</si>
  <si>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</si>
  <si>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</si>
  <si>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</si>
  <si>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</si>
  <si>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</si>
  <si>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</si>
  <si>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</si>
  <si>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</si>
  <si>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</si>
  <si>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</si>
  <si>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</si>
  <si>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</si>
  <si>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</si>
  <si>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</si>
  <si>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</si>
  <si>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</si>
  <si>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</si>
  <si>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</si>
  <si>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</si>
  <si>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</si>
  <si>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</si>
  <si>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</si>
  <si>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</si>
  <si>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</si>
  <si>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</si>
  <si>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</si>
  <si>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</si>
  <si>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</si>
  <si>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</si>
  <si>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</si>
  <si>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</si>
  <si>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</si>
  <si>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</si>
  <si>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</si>
  <si>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</si>
  <si>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</si>
  <si>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</si>
  <si>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</si>
  <si>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</si>
  <si>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</si>
  <si>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</si>
  <si>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</si>
  <si>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</si>
  <si>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</si>
  <si>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</si>
  <si>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</si>
  <si>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</si>
  <si>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</si>
  <si>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</si>
  <si>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</si>
  <si>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</si>
  <si>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</si>
  <si>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</si>
  <si>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</si>
  <si>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</si>
  <si>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</si>
  <si>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</si>
  <si>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</si>
  <si>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</si>
  <si>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</si>
  <si>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</si>
  <si>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</si>
  <si>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</si>
  <si>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</si>
  <si>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</si>
  <si>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</si>
  <si>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</si>
  <si>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</si>
  <si>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</si>
  <si>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</si>
  <si>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</si>
  <si>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</si>
  <si>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</si>
  <si>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</si>
  <si>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</si>
  <si>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</si>
  <si>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</si>
  <si>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</si>
  <si>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</si>
  <si>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</si>
  <si>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</si>
  <si>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</si>
  <si>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</si>
  <si>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</si>
  <si>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</si>
  <si>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</si>
  <si>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</si>
  <si>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</si>
  <si>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</si>
  <si>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</si>
  <si>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</si>
  <si>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</si>
  <si>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</si>
  <si>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</si>
  <si>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</si>
  <si>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</si>
  <si>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</si>
  <si>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</si>
  <si>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</si>
  <si>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</si>
  <si>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</si>
  <si>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</si>
  <si>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</si>
  <si>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</si>
  <si>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</si>
  <si>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</si>
  <si>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</si>
  <si>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</si>
  <si>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</si>
  <si>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</si>
  <si>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</si>
  <si>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</si>
  <si>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</si>
  <si>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</si>
  <si>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</si>
  <si>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</si>
  <si>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</si>
  <si>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</si>
  <si>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</si>
  <si>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</si>
  <si>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</si>
  <si>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</si>
  <si>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</si>
  <si>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</si>
  <si>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</si>
  <si>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</si>
  <si>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</si>
  <si>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</si>
  <si>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</si>
  <si>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</si>
  <si>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</si>
  <si>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</si>
  <si>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</si>
  <si>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</si>
  <si>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</si>
  <si>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</si>
  <si>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</si>
  <si>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</si>
  <si>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</si>
  <si>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</si>
  <si>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</si>
  <si>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</si>
  <si>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</si>
  <si>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</si>
  <si>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</si>
  <si>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</si>
  <si>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</si>
  <si>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</si>
  <si>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</si>
  <si>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</si>
  <si>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</si>
  <si>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</si>
  <si>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</si>
  <si>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</si>
  <si>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</si>
  <si>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</si>
  <si>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</si>
  <si>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</si>
  <si>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</si>
  <si>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</si>
  <si>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</si>
  <si>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</si>
  <si>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</si>
  <si>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</si>
  <si>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</si>
  <si>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</si>
  <si>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</si>
  <si>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</si>
  <si>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</si>
  <si>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</si>
  <si>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</si>
  <si>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</si>
  <si>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</si>
  <si>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</si>
  <si>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</si>
  <si>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</si>
  <si>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</si>
  <si>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</si>
  <si>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</si>
  <si>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</si>
  <si>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</si>
  <si>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</si>
  <si>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</si>
  <si>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</si>
  <si>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</si>
  <si>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</si>
  <si>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</si>
  <si>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</si>
  <si>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</si>
  <si>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</si>
  <si>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</si>
  <si>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</si>
  <si>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</si>
  <si>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</si>
  <si>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</si>
  <si>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</si>
  <si>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</si>
  <si>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</si>
  <si>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</si>
  <si>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</si>
  <si>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</si>
  <si>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</si>
  <si>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</si>
  <si>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</si>
  <si>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</si>
  <si>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</si>
  <si>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</si>
  <si>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</si>
  <si>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</si>
  <si>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</si>
  <si>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</si>
  <si>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</si>
  <si>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</si>
  <si>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</si>
  <si>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</si>
  <si>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</si>
  <si>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</si>
  <si>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</si>
  <si>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</si>
  <si>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</si>
  <si>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</si>
  <si>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</si>
  <si>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</si>
  <si>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</si>
  <si>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</si>
  <si>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</si>
  <si>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</si>
  <si>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</si>
  <si>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</si>
  <si>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</si>
  <si>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</si>
  <si>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</si>
  <si>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</si>
  <si>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</si>
  <si>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</si>
  <si>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</si>
  <si>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</si>
  <si>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</si>
  <si>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</si>
  <si>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</si>
  <si>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</si>
  <si>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</si>
  <si>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</si>
  <si>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</si>
  <si>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</si>
  <si>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</si>
  <si>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</si>
  <si>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</si>
  <si>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</si>
  <si>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</si>
  <si>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</si>
  <si>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</si>
  <si>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</si>
  <si>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</si>
  <si>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</si>
  <si>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</si>
  <si>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</si>
  <si>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</si>
  <si>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</si>
  <si>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</si>
  <si>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</si>
  <si>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</si>
  <si>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</si>
  <si>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</si>
  <si>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</si>
  <si>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</si>
  <si>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</si>
  <si>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</si>
  <si>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</si>
  <si>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</si>
  <si>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</si>
  <si>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</si>
  <si>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</si>
  <si>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</si>
  <si>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</si>
  <si>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</si>
  <si>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</si>
  <si>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</si>
  <si>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</si>
  <si>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</si>
  <si>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</si>
  <si>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</si>
  <si>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</si>
  <si>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</si>
  <si>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</si>
  <si>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</si>
  <si>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</si>
  <si>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</si>
  <si>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</si>
  <si>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</si>
  <si>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</si>
  <si>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</si>
  <si>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</si>
  <si>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</si>
  <si>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</si>
  <si>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</si>
  <si>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</si>
  <si>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</si>
  <si>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</si>
  <si>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</si>
  <si>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</si>
  <si>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</si>
  <si>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</si>
  <si>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</si>
  <si>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</si>
  <si>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</si>
  <si>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</si>
  <si>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</si>
  <si>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</si>
  <si>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</si>
  <si>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</si>
  <si>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</si>
  <si>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</si>
  <si>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</si>
  <si>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</si>
  <si>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</si>
  <si>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</si>
  <si>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</si>
  <si>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</si>
  <si>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</si>
  <si>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</si>
  <si>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</si>
  <si>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</si>
  <si>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</si>
  <si>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</si>
  <si>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</si>
  <si>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</si>
  <si>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</si>
  <si>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</si>
  <si>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</si>
  <si>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</si>
  <si>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</si>
  <si>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</si>
  <si>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</si>
  <si>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</si>
  <si>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</si>
  <si>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</si>
  <si>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</si>
  <si>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</si>
  <si>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</si>
  <si>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</si>
  <si>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</si>
  <si>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</si>
  <si>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</si>
  <si>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</si>
  <si>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</si>
  <si>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</si>
  <si>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</si>
  <si>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</si>
  <si>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</si>
  <si>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</si>
  <si>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</si>
  <si>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</si>
  <si>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</si>
  <si>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</si>
  <si>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</si>
  <si>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</si>
  <si>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</si>
  <si>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</si>
  <si>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</si>
  <si>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</si>
  <si>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</si>
  <si>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</si>
  <si>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</si>
  <si>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</si>
  <si>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</si>
  <si>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</si>
  <si>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</si>
  <si>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</si>
  <si>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</si>
  <si>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</si>
  <si>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</si>
  <si>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</si>
  <si>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</si>
  <si>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</si>
  <si>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</si>
  <si>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</si>
  <si>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</si>
  <si>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</si>
  <si>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</si>
  <si>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</si>
  <si>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</si>
  <si>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</si>
  <si>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</si>
  <si>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</si>
  <si>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</si>
  <si>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</si>
  <si>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</si>
  <si>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</si>
  <si>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</si>
  <si>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</si>
  <si>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</si>
  <si>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</si>
  <si>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</si>
  <si>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</si>
  <si>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</si>
  <si>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</si>
  <si>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</si>
  <si>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</si>
  <si>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</si>
  <si>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</si>
  <si>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</si>
  <si>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</si>
  <si>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</si>
  <si>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</si>
  <si>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</si>
  <si>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</si>
  <si>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</si>
  <si>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</si>
  <si>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</si>
  <si>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</si>
  <si>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</si>
  <si>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</si>
  <si>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</si>
  <si>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</si>
  <si>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</si>
  <si>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</si>
  <si>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</si>
  <si>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</si>
  <si>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</si>
  <si>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</si>
  <si>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</si>
  <si>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</si>
  <si>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</si>
  <si>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</si>
  <si>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</si>
  <si>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</si>
  <si>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</si>
  <si>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</si>
  <si>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</si>
  <si>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</si>
  <si>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</si>
  <si>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</si>
  <si>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</si>
  <si>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</si>
  <si>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</si>
  <si>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</si>
  <si>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</si>
  <si>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</si>
  <si>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</si>
  <si>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</si>
  <si>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</si>
  <si>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</si>
  <si>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</si>
  <si>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</si>
  <si>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</si>
  <si>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</si>
  <si>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</si>
  <si>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</si>
  <si>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</si>
  <si>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</si>
  <si>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</si>
  <si>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</si>
  <si>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</si>
  <si>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</si>
  <si>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</si>
  <si>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</si>
  <si>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</si>
  <si>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</si>
  <si>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</si>
  <si>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</si>
  <si>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</si>
  <si>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</si>
  <si>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</si>
  <si>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</si>
  <si>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</si>
  <si>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</si>
  <si>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</si>
  <si>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</si>
  <si>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</si>
  <si>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</si>
  <si>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</si>
  <si>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</si>
  <si>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</si>
  <si>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</si>
  <si>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</si>
  <si>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</si>
  <si>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</si>
  <si>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</si>
  <si>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</si>
  <si>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</si>
  <si>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</si>
  <si>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</si>
  <si>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</si>
  <si>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</si>
  <si>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</si>
  <si>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</si>
  <si>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</si>
  <si>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</si>
  <si>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</si>
  <si>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</si>
  <si>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</si>
  <si>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</si>
  <si>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</si>
  <si>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</si>
  <si>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</si>
  <si>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</si>
  <si>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</si>
  <si>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</si>
  <si>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</si>
  <si>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</si>
  <si>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</si>
  <si>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</si>
  <si>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</si>
  <si>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</si>
  <si>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</si>
  <si>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</si>
  <si>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</si>
  <si>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</si>
  <si>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</si>
  <si>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</si>
  <si>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</si>
  <si>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</si>
  <si>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</si>
  <si>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</si>
  <si>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</si>
  <si>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</si>
  <si>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</si>
  <si>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</si>
  <si>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</si>
  <si>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</si>
  <si>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</si>
  <si>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</si>
  <si>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</si>
  <si>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</si>
  <si>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</si>
  <si>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</si>
  <si>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</si>
  <si>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</si>
  <si>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</si>
  <si>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</si>
  <si>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</si>
  <si>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</si>
  <si>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</si>
  <si>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</si>
  <si>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</si>
  <si>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</si>
  <si>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</si>
  <si>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</si>
  <si>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</si>
  <si>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</si>
  <si>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</si>
  <si>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</si>
  <si>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</si>
  <si>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</si>
  <si>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</si>
  <si>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</si>
  <si>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</si>
  <si>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</si>
  <si>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</si>
  <si>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</si>
  <si>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</si>
  <si>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</si>
  <si>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</si>
  <si>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</si>
  <si>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</si>
  <si>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</si>
  <si>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</si>
  <si>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</si>
  <si>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</si>
  <si>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</si>
  <si>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</si>
  <si>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</si>
  <si>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</si>
  <si>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</si>
  <si>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</si>
  <si>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</si>
  <si>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</si>
  <si>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</si>
  <si>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</si>
  <si>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</si>
  <si>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</si>
  <si>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</si>
  <si>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</si>
  <si>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</si>
  <si>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</si>
  <si>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</si>
  <si>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</si>
  <si>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</si>
  <si>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</si>
  <si>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</si>
  <si>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</si>
  <si>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</si>
  <si>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</si>
  <si>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</si>
  <si>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</si>
  <si>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</si>
  <si>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</si>
  <si>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</si>
  <si>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</si>
  <si>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</si>
  <si>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</si>
  <si>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</si>
  <si>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</si>
  <si>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</si>
  <si>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</si>
  <si>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</si>
  <si>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</si>
  <si>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</si>
  <si>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</si>
  <si>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</si>
  <si>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</si>
  <si>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</si>
  <si>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</si>
  <si>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</si>
  <si>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</si>
  <si>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</si>
  <si>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</si>
  <si>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</si>
  <si>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</si>
  <si>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</si>
  <si>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</si>
  <si>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</si>
  <si>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</si>
  <si>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</si>
  <si>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</si>
  <si>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</si>
  <si>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</si>
  <si>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</si>
  <si>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</si>
  <si>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</si>
  <si>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</si>
  <si>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</si>
  <si>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</si>
  <si>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</si>
  <si>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</si>
  <si>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</si>
  <si>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</si>
  <si>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</si>
  <si>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</si>
  <si>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</si>
  <si>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</si>
  <si>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</si>
  <si>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</si>
  <si>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</si>
  <si>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</si>
  <si>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</si>
  <si>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</si>
  <si>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</si>
  <si>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</si>
  <si>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</si>
  <si>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</si>
  <si>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</si>
  <si>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</si>
  <si>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</si>
  <si>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</si>
  <si>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</si>
  <si>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</si>
  <si>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</si>
  <si>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</si>
  <si>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</si>
  <si>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</si>
  <si>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</si>
  <si>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</si>
  <si>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</si>
  <si>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</si>
  <si>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</si>
  <si>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</si>
  <si>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</si>
  <si>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</si>
  <si>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</si>
  <si>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</si>
  <si>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</si>
  <si>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</si>
  <si>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</si>
  <si>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</si>
  <si>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</si>
  <si>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</si>
  <si>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</si>
  <si>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</si>
  <si>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</si>
  <si>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</si>
  <si>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</si>
  <si>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</si>
  <si>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</si>
  <si>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</si>
  <si>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</si>
  <si>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</si>
  <si>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</si>
  <si>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</si>
  <si>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</si>
  <si>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</si>
  <si>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</si>
  <si>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</si>
  <si>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</si>
  <si>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</si>
  <si>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</si>
  <si>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</si>
  <si>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</si>
  <si>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</si>
  <si>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</si>
  <si>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</si>
  <si>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</si>
  <si>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</si>
  <si>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</si>
  <si>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</si>
  <si>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</si>
  <si>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</si>
  <si>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</si>
  <si>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</si>
  <si>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</si>
  <si>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</si>
  <si>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</si>
  <si>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</si>
  <si>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</si>
  <si>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</si>
  <si>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</si>
  <si>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</si>
  <si>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</si>
  <si>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</si>
  <si>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</si>
  <si>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</si>
  <si>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</si>
  <si>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</si>
  <si>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</si>
  <si>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</si>
  <si>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</si>
  <si>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</si>
  <si>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</si>
  <si>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</si>
  <si>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</si>
  <si>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</si>
  <si>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</si>
  <si>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</si>
  <si>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</si>
  <si>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</si>
  <si>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</si>
  <si>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</si>
  <si>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</si>
  <si>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</si>
  <si>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</si>
  <si>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</si>
  <si>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</si>
  <si>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</si>
  <si>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</si>
  <si>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</si>
  <si>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</si>
  <si>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</si>
  <si>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</si>
  <si>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</si>
  <si>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</si>
  <si>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</si>
  <si>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</si>
  <si>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</si>
  <si>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</si>
  <si>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</si>
  <si>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</si>
  <si>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</si>
  <si>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</si>
  <si>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</si>
  <si>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</si>
  <si>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</si>
  <si>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</si>
  <si>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</si>
  <si>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</si>
  <si>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</si>
  <si>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</si>
  <si>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</si>
  <si>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</si>
  <si>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</si>
  <si>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</si>
  <si>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</si>
  <si>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</si>
  <si>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</si>
  <si>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</si>
  <si>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</si>
  <si>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</si>
  <si>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</si>
  <si>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</si>
  <si>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</si>
  <si>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</si>
  <si>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</si>
  <si>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</si>
  <si>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</si>
  <si>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</si>
  <si>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</si>
  <si>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</si>
  <si>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</si>
  <si>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</si>
  <si>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</si>
  <si>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</si>
  <si>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</si>
  <si>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</si>
  <si>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</si>
  <si>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</si>
  <si>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</si>
  <si>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</si>
  <si>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</si>
  <si>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</si>
  <si>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</si>
  <si>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</si>
  <si>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</si>
  <si>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</si>
  <si>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</si>
  <si>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</si>
  <si>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</si>
  <si>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</si>
  <si>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</si>
  <si>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</si>
  <si>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</si>
  <si>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</si>
  <si>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</si>
  <si>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</si>
  <si>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</si>
  <si>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</si>
  <si>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</si>
  <si>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</si>
  <si>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</si>
  <si>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</si>
  <si>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</si>
  <si>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</si>
  <si>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</si>
  <si>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</si>
  <si>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</si>
  <si>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</si>
  <si>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</si>
  <si>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</si>
  <si>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</si>
  <si>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</si>
  <si>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</si>
  <si>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</si>
  <si>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</si>
  <si>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</si>
  <si>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</si>
  <si>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</si>
  <si>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</si>
  <si>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</si>
  <si>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</si>
  <si>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</si>
  <si>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</si>
  <si>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</si>
  <si>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</si>
  <si>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</si>
  <si>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</si>
  <si>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</si>
  <si>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</si>
  <si>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</si>
  <si>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</si>
  <si>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</si>
  <si>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</si>
  <si>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</si>
  <si>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</si>
  <si>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</si>
  <si>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</si>
  <si>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</si>
  <si>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</si>
  <si>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</si>
  <si>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</si>
  <si>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</si>
  <si>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</si>
  <si>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</si>
  <si>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</si>
  <si>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</si>
  <si>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</si>
  <si>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</si>
  <si>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</si>
  <si>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</si>
  <si>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</si>
  <si>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</si>
  <si>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</si>
  <si>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</si>
  <si>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</si>
  <si>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</si>
  <si>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</si>
  <si>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</si>
  <si>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</si>
  <si>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</si>
  <si>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</si>
  <si>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</si>
  <si>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</si>
  <si>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</si>
  <si>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</si>
  <si>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</si>
  <si>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</si>
  <si>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</si>
  <si>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</si>
  <si>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</si>
  <si>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</si>
  <si>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</si>
  <si>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</si>
  <si>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</si>
  <si>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</si>
  <si>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</si>
  <si>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</si>
  <si>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</si>
  <si>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</si>
  <si>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</si>
  <si>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</si>
  <si>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</si>
  <si>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</si>
  <si>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</si>
  <si>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</si>
  <si>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</si>
  <si>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</si>
  <si>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</si>
  <si>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</si>
  <si>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</si>
  <si>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</si>
  <si>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</si>
  <si>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</si>
  <si>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</si>
  <si>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</si>
  <si>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</si>
  <si>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</si>
  <si>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</si>
  <si>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</si>
  <si>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</si>
  <si>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</si>
  <si>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</si>
  <si>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</si>
  <si>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</si>
  <si>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</si>
  <si>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</si>
  <si>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</si>
  <si>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</si>
  <si>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</si>
  <si>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</si>
  <si>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</si>
  <si>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</si>
  <si>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</si>
  <si>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</si>
  <si>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</si>
  <si>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</si>
  <si>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</si>
  <si>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</si>
  <si>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</si>
  <si>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</si>
  <si>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</si>
  <si>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</si>
  <si>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</si>
  <si>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</si>
  <si>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</si>
  <si>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</si>
  <si>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</si>
  <si>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</si>
  <si>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</si>
  <si>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</si>
  <si>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</si>
  <si>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</si>
  <si>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</si>
  <si>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</si>
  <si>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</si>
  <si>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</si>
  <si>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</si>
  <si>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</si>
  <si>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</si>
  <si>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</si>
  <si>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</si>
  <si>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</si>
  <si>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</si>
  <si>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</si>
  <si>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</si>
  <si>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</si>
  <si>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</si>
  <si>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</si>
  <si>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</si>
  <si>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</si>
  <si>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</si>
  <si>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</si>
  <si>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</si>
  <si>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</si>
  <si>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</si>
  <si>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</si>
  <si>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</si>
  <si>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</si>
  <si>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</si>
  <si>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</si>
  <si>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</si>
  <si>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</si>
  <si>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</si>
  <si>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</si>
  <si>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</si>
  <si>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</si>
  <si>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</si>
  <si>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</si>
  <si>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</si>
  <si>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</si>
  <si>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</si>
  <si>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</si>
  <si>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</si>
  <si>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</si>
  <si>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</si>
  <si>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</si>
  <si>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</si>
  <si>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</si>
  <si>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</si>
  <si>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</si>
  <si>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</si>
  <si>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</si>
  <si>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</si>
  <si>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</si>
  <si>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</si>
  <si>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</si>
  <si>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</si>
  <si>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</si>
  <si>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</si>
  <si>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</si>
  <si>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</si>
  <si>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</si>
  <si>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</si>
  <si>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</si>
  <si>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</si>
  <si>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</si>
  <si>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</si>
  <si>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</si>
  <si>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</si>
  <si>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</si>
  <si>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</si>
  <si>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</si>
  <si>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</si>
  <si>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</si>
  <si>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</si>
  <si>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</si>
  <si>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</si>
  <si>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</si>
  <si>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</si>
  <si>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</si>
  <si>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</si>
  <si>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</si>
  <si>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</si>
  <si>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</si>
  <si>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</si>
  <si>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</si>
  <si>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</si>
  <si>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</si>
  <si>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</si>
  <si>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</si>
  <si>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</si>
  <si>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</si>
  <si>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</si>
  <si>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</si>
  <si>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</si>
  <si>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</si>
  <si>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</si>
  <si>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</si>
  <si>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</si>
  <si>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</si>
  <si>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</si>
  <si>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</si>
  <si>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</si>
  <si>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</si>
  <si>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</si>
  <si>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</si>
  <si>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</si>
  <si>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</si>
  <si>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</si>
  <si>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</si>
  <si>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</si>
  <si>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</si>
  <si>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</si>
  <si>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</si>
  <si>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</si>
  <si>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</si>
  <si>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</si>
  <si>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</si>
  <si>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</si>
  <si>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</si>
  <si>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</si>
  <si>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</si>
  <si>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</si>
  <si>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</si>
  <si>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</si>
  <si>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</si>
  <si>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</si>
  <si>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</si>
  <si>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</si>
  <si>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</si>
  <si>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</si>
  <si>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</si>
  <si>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</si>
  <si>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</si>
  <si>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</si>
  <si>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</si>
  <si>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</si>
  <si>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</si>
  <si>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</si>
  <si>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</si>
  <si>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</si>
  <si>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</si>
  <si>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</si>
  <si>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</si>
  <si>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</si>
  <si>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</si>
  <si>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</si>
  <si>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</si>
  <si>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</si>
  <si>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</si>
  <si>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</si>
  <si>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</si>
  <si>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</si>
  <si>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</si>
  <si>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</si>
  <si>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</si>
  <si>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</si>
  <si>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</si>
  <si>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</si>
  <si>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</si>
  <si>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</si>
  <si>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</si>
  <si>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</si>
  <si>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</si>
  <si>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</si>
  <si>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</si>
  <si>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</si>
  <si>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</si>
  <si>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</si>
  <si>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</si>
  <si>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</si>
  <si>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</si>
  <si>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</si>
  <si>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</si>
  <si>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</si>
  <si>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</si>
  <si>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</si>
  <si>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</si>
  <si>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</si>
  <si>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</si>
  <si>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</si>
  <si>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</si>
  <si>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</si>
  <si>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</si>
  <si>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</si>
  <si>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</si>
  <si>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</si>
  <si>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</si>
  <si>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</si>
  <si>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</si>
  <si>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</si>
  <si>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</si>
  <si>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</si>
  <si>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</si>
  <si>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</si>
  <si>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</si>
  <si>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</si>
  <si>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</si>
  <si>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</si>
  <si>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</si>
  <si>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</si>
  <si>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</si>
  <si>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</si>
  <si>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</si>
  <si>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</si>
  <si>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</si>
  <si>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</si>
  <si>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</si>
  <si>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</si>
  <si>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</si>
  <si>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</si>
  <si>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</si>
  <si>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</si>
  <si>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</si>
  <si>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</si>
  <si>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</si>
  <si>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</si>
  <si>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</si>
  <si>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</si>
  <si>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</si>
  <si>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</si>
  <si>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</si>
  <si>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</si>
  <si>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</si>
  <si>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</si>
  <si>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</si>
  <si>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</si>
  <si>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</si>
  <si>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</si>
  <si>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</si>
  <si>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</si>
  <si>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</si>
  <si>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</si>
  <si>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</si>
  <si>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</si>
  <si>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</si>
  <si>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</si>
  <si>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</si>
  <si>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</si>
  <si>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</si>
  <si>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</si>
  <si>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</si>
  <si>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</si>
  <si>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</si>
  <si>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</si>
  <si>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</si>
  <si>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</si>
  <si>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</si>
  <si>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</si>
  <si>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</si>
  <si>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</si>
  <si>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</si>
  <si>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</si>
  <si>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</si>
  <si>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</si>
  <si>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</si>
  <si>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</si>
  <si>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</si>
  <si>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</si>
  <si>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</si>
  <si>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</si>
  <si>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</si>
  <si>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</si>
  <si>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</si>
  <si>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</si>
  <si>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</si>
  <si>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</si>
  <si>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</si>
  <si>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</si>
  <si>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</si>
  <si>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</si>
  <si>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</si>
  <si>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</si>
  <si>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</si>
  <si>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</si>
  <si>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</si>
  <si>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</si>
  <si>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</si>
  <si>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</si>
  <si>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</si>
  <si>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</si>
  <si>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</si>
  <si>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</si>
  <si>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</si>
  <si>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</si>
  <si>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</si>
  <si>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</si>
  <si>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</si>
  <si>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</si>
  <si>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</si>
  <si>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</si>
  <si>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</si>
  <si>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</si>
  <si>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</si>
  <si>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</si>
  <si>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</si>
  <si>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</si>
  <si>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</si>
  <si>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</si>
  <si>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</si>
  <si>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</si>
  <si>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</si>
  <si>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</si>
  <si>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</si>
  <si>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</si>
  <si>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</si>
  <si>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</si>
  <si>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</si>
  <si>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</si>
  <si>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</si>
  <si>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</si>
  <si>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</si>
  <si>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</si>
  <si>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</si>
  <si>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</si>
  <si>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</si>
  <si>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</si>
  <si>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</si>
  <si>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</si>
  <si>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</si>
  <si>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</si>
  <si>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</si>
  <si>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</si>
  <si>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</si>
  <si>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</si>
  <si>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</si>
  <si>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</si>
  <si>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</si>
  <si>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</si>
  <si>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</si>
  <si>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</si>
  <si>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</si>
  <si>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</si>
  <si>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</si>
  <si>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</si>
  <si>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</si>
  <si>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</si>
  <si>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</si>
  <si>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</si>
  <si>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</si>
  <si>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</si>
  <si>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</si>
  <si>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</si>
  <si>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</si>
  <si>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</si>
  <si>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</si>
  <si>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</si>
  <si>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</si>
  <si>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</si>
  <si>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</si>
  <si>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</si>
  <si>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</si>
  <si>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</si>
  <si>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</si>
  <si>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</si>
  <si>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</si>
  <si>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</si>
  <si>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</si>
  <si>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</si>
  <si>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</si>
  <si>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</si>
  <si>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</si>
  <si>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</si>
  <si>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</si>
  <si>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</si>
  <si>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</si>
  <si>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</si>
  <si>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</si>
  <si>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</si>
  <si>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</si>
  <si>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</si>
  <si>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</si>
  <si>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</si>
  <si>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</si>
  <si>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</si>
  <si>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</si>
  <si>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</si>
  <si>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</si>
  <si>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</si>
  <si>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</si>
  <si>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</si>
  <si>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</si>
  <si>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</si>
  <si>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</si>
  <si>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</si>
  <si>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</si>
  <si>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</si>
  <si>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</si>
  <si>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</si>
  <si>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</si>
  <si>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</si>
  <si>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</si>
  <si>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</si>
  <si>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</si>
  <si>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</si>
  <si>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</si>
  <si>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</si>
  <si>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</si>
  <si>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</si>
  <si>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</si>
  <si>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</si>
  <si>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</si>
  <si>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</si>
  <si>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</si>
  <si>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</si>
  <si>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</si>
  <si>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</si>
  <si>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</si>
  <si>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</si>
  <si>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</si>
  <si>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</si>
  <si>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</si>
  <si>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</si>
  <si>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</si>
  <si>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</si>
  <si>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</si>
  <si>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</si>
  <si>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</si>
  <si>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</si>
  <si>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</si>
  <si>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</si>
  <si>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</si>
  <si>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</si>
  <si>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</si>
  <si>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</si>
  <si>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</si>
  <si>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</si>
  <si>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</si>
  <si>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</si>
  <si>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</si>
  <si>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</si>
  <si>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</si>
  <si>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</si>
  <si>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</si>
  <si>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</si>
  <si>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</si>
  <si>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</si>
  <si>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</si>
  <si>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</si>
  <si>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</si>
  <si>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</si>
  <si>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</si>
  <si>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</si>
  <si>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</si>
  <si>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</si>
  <si>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</si>
  <si>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</si>
  <si>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</si>
  <si>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</si>
  <si>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</si>
  <si>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</si>
  <si>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</si>
  <si>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</si>
  <si>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</si>
  <si>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</si>
  <si>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</si>
  <si>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</si>
  <si>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</si>
  <si>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</si>
  <si>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</si>
  <si>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</si>
  <si>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</si>
  <si>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</si>
  <si>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</si>
  <si>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</si>
  <si>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</si>
  <si>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</si>
  <si>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</si>
  <si>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</si>
  <si>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</si>
  <si>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</si>
  <si>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</si>
  <si>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</si>
  <si>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</si>
  <si>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</si>
  <si>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</si>
  <si>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</si>
  <si>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</si>
  <si>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</si>
  <si>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</si>
  <si>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</si>
  <si>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</si>
  <si>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</si>
  <si>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</si>
  <si>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</si>
  <si>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</si>
  <si>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</si>
  <si>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</si>
  <si>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</si>
  <si>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</si>
  <si>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</si>
  <si>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</si>
  <si>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</si>
  <si>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</si>
  <si>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</si>
  <si>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</si>
  <si>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</si>
  <si>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</si>
  <si>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</si>
  <si>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</si>
  <si>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</si>
  <si>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</si>
  <si>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</si>
  <si>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</si>
  <si>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</si>
  <si>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</si>
  <si>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</si>
  <si>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</si>
  <si>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</si>
  <si>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</si>
  <si>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</si>
  <si>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</si>
  <si>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</si>
  <si>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</si>
  <si>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</si>
  <si>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</si>
  <si>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</si>
  <si>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</si>
  <si>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</si>
  <si>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</si>
  <si>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</si>
  <si>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</si>
  <si>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</si>
  <si>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</si>
  <si>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</si>
  <si>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</si>
  <si>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</si>
  <si>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</si>
  <si>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</si>
  <si>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</si>
  <si>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</si>
  <si>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</si>
  <si>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</si>
  <si>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</si>
  <si>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</si>
  <si>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</si>
  <si>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</si>
  <si>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</si>
  <si>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</si>
  <si>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</si>
  <si>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</si>
  <si>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</si>
  <si>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</si>
  <si>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</si>
  <si>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</si>
  <si>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</si>
  <si>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</si>
  <si>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</si>
  <si>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</si>
  <si>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</si>
  <si>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</si>
  <si>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</si>
  <si>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</si>
  <si>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</si>
  <si>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</si>
  <si>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</si>
  <si>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</si>
  <si>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</si>
  <si>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</si>
  <si>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</si>
  <si>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</si>
  <si>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</si>
  <si>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</si>
  <si>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</si>
  <si>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</si>
  <si>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</si>
  <si>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</si>
  <si>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</si>
  <si>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</si>
  <si>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</si>
  <si>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</si>
  <si>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</si>
  <si>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</si>
  <si>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</si>
  <si>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</si>
  <si>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</si>
  <si>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</si>
  <si>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</si>
  <si>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</si>
  <si>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</si>
  <si>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</si>
  <si>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</si>
  <si>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</si>
  <si>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</si>
  <si>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</si>
  <si>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</si>
  <si>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</si>
  <si>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</si>
  <si>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</si>
  <si>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</si>
  <si>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</si>
  <si>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</si>
  <si>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</si>
  <si>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</si>
  <si>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</si>
  <si>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</si>
  <si>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</si>
  <si>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</si>
  <si>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</si>
  <si>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</si>
  <si>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</si>
  <si>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</si>
  <si>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</si>
  <si>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</si>
  <si>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</si>
  <si>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</si>
  <si>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</si>
  <si>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</si>
  <si>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</si>
  <si>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</si>
  <si>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</si>
  <si>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</si>
  <si>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</si>
  <si>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</si>
  <si>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</si>
  <si>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</si>
  <si>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</si>
  <si>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</si>
  <si>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</si>
  <si>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</si>
  <si>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</si>
  <si>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</si>
  <si>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</si>
  <si>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</si>
  <si>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</si>
  <si>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</si>
  <si>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</si>
  <si>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</si>
  <si>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</si>
  <si>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</si>
  <si>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</si>
  <si>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</si>
  <si>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</si>
  <si>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</si>
  <si>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</si>
  <si>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</si>
  <si>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</si>
  <si>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</si>
  <si>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</si>
  <si>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</si>
  <si>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</si>
  <si>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</si>
  <si>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</si>
  <si>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</si>
  <si>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</si>
  <si>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</si>
  <si>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</si>
  <si>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</si>
  <si>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</si>
  <si>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</si>
  <si>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</si>
  <si>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</si>
  <si>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</si>
  <si>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</si>
  <si>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</si>
  <si>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</si>
  <si>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</si>
  <si>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</si>
  <si>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</si>
  <si>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</si>
  <si>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</si>
  <si>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</si>
  <si>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</si>
  <si>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</si>
  <si>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</si>
  <si>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</si>
  <si>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</si>
  <si>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</si>
  <si>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</si>
  <si>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</si>
  <si>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</si>
  <si>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</si>
  <si>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</si>
  <si>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</si>
  <si>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</si>
  <si>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</si>
  <si>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</si>
  <si>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</si>
  <si>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</si>
  <si>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</si>
  <si>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</si>
  <si>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</si>
  <si>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</si>
  <si>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</si>
  <si>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</si>
  <si>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</si>
  <si>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</si>
  <si>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</si>
  <si>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</si>
  <si>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</si>
  <si>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</si>
  <si>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</si>
  <si>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</si>
  <si>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</si>
  <si>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</si>
  <si>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</si>
  <si>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</si>
  <si>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</si>
  <si>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</si>
  <si>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</si>
  <si>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</si>
  <si>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</si>
  <si>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</si>
  <si>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</si>
  <si>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</si>
  <si>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</si>
  <si>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</si>
  <si>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</si>
  <si>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</si>
  <si>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</si>
  <si>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</si>
  <si>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</si>
  <si>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</si>
  <si>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</si>
  <si>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</si>
  <si>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</si>
  <si>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</si>
  <si>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</si>
  <si>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</si>
  <si>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</si>
  <si>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</si>
  <si>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</si>
  <si>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</si>
  <si>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</si>
  <si>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</si>
  <si>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</si>
  <si>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</si>
  <si>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</si>
  <si>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</si>
  <si>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</si>
  <si>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</si>
  <si>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</si>
  <si>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</si>
  <si>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</si>
  <si>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</si>
  <si>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</si>
  <si>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</si>
  <si>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</si>
  <si>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</si>
  <si>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</si>
  <si>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</si>
  <si>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</si>
  <si>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</si>
  <si>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</si>
  <si>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</si>
  <si>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</si>
  <si>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</si>
  <si>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</si>
  <si>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</si>
  <si>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</si>
  <si>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</si>
  <si>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</si>
  <si>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</si>
  <si>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</si>
  <si>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</si>
  <si>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</si>
  <si>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</si>
  <si>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</si>
  <si>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</si>
  <si>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</si>
  <si>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</si>
  <si>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</si>
  <si>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</si>
  <si>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</si>
  <si>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</si>
  <si>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</si>
  <si>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</si>
  <si>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</si>
  <si>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</si>
  <si>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</si>
  <si>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</si>
  <si>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</si>
  <si>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</si>
  <si>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</si>
  <si>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</si>
  <si>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</si>
  <si>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</si>
  <si>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</si>
  <si>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</si>
  <si>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</si>
  <si>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</si>
  <si>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</si>
  <si>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</si>
  <si>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</si>
  <si>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</si>
  <si>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</si>
  <si>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</si>
  <si>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</si>
  <si>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</si>
  <si>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</si>
  <si>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</si>
  <si>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</si>
  <si>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</si>
  <si>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</si>
  <si>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</si>
  <si>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</si>
  <si>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</si>
  <si>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</si>
  <si>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</si>
  <si>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</si>
  <si>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</si>
  <si>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</si>
  <si>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</si>
  <si>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</si>
  <si>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</si>
  <si>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</si>
  <si>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</si>
  <si>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</si>
  <si>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</si>
  <si>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</si>
  <si>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</si>
  <si>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</si>
  <si>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</si>
  <si>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</si>
  <si>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</si>
  <si>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</si>
  <si>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</si>
  <si>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</si>
  <si>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</si>
  <si>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</si>
  <si>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</si>
  <si>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</si>
  <si>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</si>
  <si>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</si>
  <si>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</si>
  <si>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</si>
  <si>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</si>
  <si>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</si>
  <si>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</si>
  <si>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</si>
  <si>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</si>
  <si>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</si>
  <si>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</si>
  <si>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</si>
  <si>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</si>
  <si>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</si>
  <si>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</si>
  <si>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</si>
  <si>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</si>
  <si>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</si>
  <si>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</si>
  <si>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</si>
  <si>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</si>
  <si>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</si>
  <si>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</si>
  <si>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</si>
  <si>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</si>
  <si>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</si>
  <si>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</si>
  <si>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</si>
  <si>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</si>
  <si>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</si>
  <si>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</si>
  <si>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</si>
  <si>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</si>
  <si>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</si>
  <si>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</si>
  <si>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</si>
  <si>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</si>
  <si>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</si>
  <si>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</si>
  <si>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</si>
  <si>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</si>
  <si>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</si>
  <si>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</si>
  <si>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</si>
  <si>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</si>
  <si>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</si>
  <si>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</si>
  <si>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</si>
  <si>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</si>
  <si>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</si>
  <si>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</si>
  <si>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</si>
  <si>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</si>
  <si>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</si>
  <si>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</si>
  <si>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</si>
  <si>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</si>
  <si>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</si>
  <si>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</si>
  <si>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</si>
  <si>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</si>
  <si>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</si>
  <si>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</si>
  <si>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</si>
  <si>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</si>
  <si>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</si>
  <si>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</si>
  <si>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</si>
  <si>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</si>
  <si>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</si>
  <si>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</si>
  <si>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</si>
  <si>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</si>
  <si>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</si>
  <si>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</si>
  <si>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</si>
  <si>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</si>
  <si>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</si>
  <si>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</si>
  <si>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</si>
  <si>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</si>
  <si>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</si>
  <si>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</si>
  <si>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</si>
  <si>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</si>
  <si>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</si>
  <si>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</si>
  <si>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</si>
  <si>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</si>
  <si>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</si>
  <si>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</si>
  <si>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</si>
  <si>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</si>
  <si>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</si>
  <si>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</si>
  <si>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</si>
  <si>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</si>
  <si>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</si>
  <si>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</si>
  <si>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</si>
  <si>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</si>
  <si>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</si>
  <si>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</si>
  <si>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</si>
  <si>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</si>
  <si>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</si>
  <si>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</si>
  <si>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</si>
  <si>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</si>
  <si>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</si>
  <si>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</si>
  <si>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</si>
  <si>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</si>
  <si>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</si>
  <si>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</si>
  <si>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</si>
  <si>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</si>
  <si>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</si>
  <si>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</si>
  <si>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</si>
  <si>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</si>
  <si>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</si>
  <si>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</si>
  <si>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</si>
  <si>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</si>
  <si>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</si>
  <si>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</si>
  <si>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</si>
  <si>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</si>
  <si>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</si>
  <si>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</si>
  <si>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</si>
  <si>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</si>
  <si>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</si>
  <si>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</si>
  <si>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</si>
  <si>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</si>
  <si>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</si>
  <si>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</si>
  <si>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</si>
  <si>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</si>
  <si>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</si>
  <si>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</si>
  <si>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</si>
  <si>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</si>
  <si>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</si>
  <si>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</si>
  <si>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</si>
  <si>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</si>
  <si>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</si>
  <si>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</si>
  <si>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</si>
  <si>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</si>
  <si>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</si>
  <si>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</si>
  <si>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</si>
  <si>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</si>
  <si>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</si>
  <si>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</si>
  <si>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</si>
  <si>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</si>
  <si>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</si>
  <si>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</si>
  <si>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</si>
  <si>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</si>
  <si>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</si>
  <si>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</si>
  <si>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</si>
  <si>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</si>
  <si>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</si>
  <si>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</si>
  <si>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</si>
  <si>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</si>
  <si>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</si>
  <si>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</si>
  <si>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</si>
  <si>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</si>
  <si>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</si>
  <si>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</si>
  <si>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</si>
  <si>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</si>
  <si>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</si>
  <si>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</si>
  <si>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</si>
  <si>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</si>
  <si>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</si>
  <si>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</si>
  <si>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</si>
  <si>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</si>
  <si>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</si>
  <si>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</si>
  <si>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</si>
  <si>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</si>
  <si>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</si>
  <si>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</si>
  <si>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</si>
  <si>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</si>
  <si>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</si>
  <si>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</si>
  <si>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</si>
  <si>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</si>
  <si>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</si>
  <si>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</si>
  <si>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</si>
  <si>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</si>
  <si>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</si>
  <si>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</si>
  <si>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</si>
  <si>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</si>
  <si>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</si>
  <si>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</si>
  <si>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</si>
  <si>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</si>
  <si>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</si>
  <si>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</si>
  <si>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</si>
  <si>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</si>
  <si>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</si>
  <si>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</si>
  <si>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</si>
  <si>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</si>
  <si>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</si>
  <si>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</si>
  <si>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</si>
  <si>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</si>
  <si>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</si>
  <si>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</si>
  <si>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</si>
  <si>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</si>
  <si>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</si>
  <si>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</si>
  <si>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</si>
  <si>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</si>
  <si>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</si>
  <si>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</si>
  <si>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</si>
  <si>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</si>
  <si>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</si>
  <si>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</si>
  <si>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</si>
  <si>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</si>
  <si>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</si>
  <si>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</si>
  <si>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</si>
  <si>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</si>
  <si>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</si>
  <si>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</si>
  <si>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</si>
  <si>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</si>
  <si>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</si>
  <si>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</si>
  <si>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</si>
  <si>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</si>
  <si>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</si>
  <si>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</si>
  <si>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</si>
  <si>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</si>
  <si>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</si>
  <si>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</si>
  <si>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</si>
  <si>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</si>
  <si>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</si>
  <si>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</si>
  <si>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</si>
  <si>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</si>
  <si>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</si>
  <si>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</si>
  <si>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</si>
  <si>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</si>
  <si>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</si>
  <si>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</si>
  <si>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</si>
  <si>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</si>
  <si>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</si>
  <si>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</si>
  <si>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</si>
  <si>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</si>
  <si>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</si>
  <si>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</si>
  <si>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</si>
  <si>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</si>
  <si>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</si>
  <si>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</si>
  <si>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</si>
  <si>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</si>
  <si>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</si>
  <si>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</si>
  <si>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</si>
  <si>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</si>
  <si>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</si>
  <si>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</si>
  <si>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</si>
  <si>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</si>
  <si>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</si>
  <si>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</si>
  <si>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</si>
  <si>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</si>
  <si>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</si>
  <si>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</si>
  <si>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</si>
  <si>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</si>
  <si>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</si>
  <si>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</si>
  <si>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</si>
  <si>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</si>
  <si>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</si>
  <si>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</si>
  <si>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</si>
  <si>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</si>
  <si>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</si>
  <si>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</si>
  <si>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</si>
  <si>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</si>
  <si>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</si>
  <si>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</si>
  <si>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</si>
  <si>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</si>
  <si>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</si>
  <si>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</si>
  <si>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</si>
  <si>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</si>
  <si>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</si>
  <si>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</si>
  <si>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</si>
  <si>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</si>
  <si>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</si>
  <si>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</si>
  <si>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</si>
  <si>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</si>
  <si>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</si>
  <si>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</si>
  <si>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</si>
  <si>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</si>
  <si>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</si>
  <si>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</si>
  <si>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</si>
  <si>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</si>
  <si>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</si>
  <si>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</si>
  <si>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</si>
  <si>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</si>
  <si>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</si>
  <si>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</si>
  <si>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</si>
  <si>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</si>
  <si>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</si>
  <si>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</si>
  <si>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</si>
  <si>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</si>
  <si>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</si>
  <si>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</si>
  <si>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</si>
  <si>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</si>
  <si>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</si>
  <si>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</si>
  <si>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</si>
  <si>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</si>
  <si>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</si>
  <si>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</si>
  <si>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</si>
  <si>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</si>
  <si>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</si>
  <si>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</si>
  <si>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</si>
  <si>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</si>
  <si>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</si>
  <si>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</si>
  <si>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</si>
  <si>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</si>
  <si>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</si>
  <si>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</si>
  <si>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</si>
  <si>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</si>
  <si>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</si>
  <si>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</si>
  <si>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</si>
  <si>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</si>
  <si>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</si>
  <si>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</si>
  <si>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</si>
  <si>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</si>
  <si>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</si>
  <si>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</si>
  <si>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</si>
  <si>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</si>
  <si>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</si>
  <si>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</si>
  <si>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</si>
  <si>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</si>
  <si>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</si>
  <si>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</si>
  <si>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</si>
  <si>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</si>
  <si>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</si>
  <si>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</si>
  <si>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</si>
  <si>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</si>
  <si>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</si>
  <si>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</si>
  <si>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</si>
  <si>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</si>
  <si>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</si>
  <si>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</si>
  <si>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</si>
  <si>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</si>
  <si>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</si>
  <si>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</si>
  <si>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</si>
  <si>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</si>
  <si>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</si>
  <si>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</si>
  <si>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</si>
  <si>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</si>
  <si>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</si>
  <si>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</si>
  <si>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</si>
  <si>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</si>
  <si>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</si>
  <si>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</si>
  <si>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</si>
  <si>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</si>
  <si>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</si>
  <si>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</si>
  <si>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</si>
  <si>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</si>
  <si>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</si>
  <si>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</si>
  <si>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</si>
  <si>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</si>
  <si>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</si>
  <si>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</si>
  <si>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</si>
  <si>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</si>
  <si>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</si>
  <si>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</si>
  <si>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</si>
  <si>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</si>
  <si>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</si>
  <si>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</si>
  <si>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</si>
  <si>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</si>
  <si>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</si>
  <si>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</si>
  <si>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</si>
  <si>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</si>
  <si>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</si>
  <si>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</si>
  <si>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</si>
  <si>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</si>
  <si>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</si>
  <si>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</si>
  <si>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</si>
  <si>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</si>
  <si>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</si>
  <si>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</si>
  <si>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</si>
  <si>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</si>
  <si>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</si>
  <si>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</si>
  <si>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</si>
  <si>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</si>
  <si>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</si>
  <si>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</si>
  <si>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</si>
  <si>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</si>
  <si>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</si>
  <si>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</si>
  <si>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</si>
  <si>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</si>
  <si>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</si>
  <si>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</si>
  <si>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</si>
  <si>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</si>
  <si>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</si>
  <si>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</si>
  <si>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</si>
  <si>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</si>
  <si>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</si>
  <si>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</si>
  <si>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</si>
  <si>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</si>
  <si>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</si>
  <si>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</si>
  <si>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</si>
  <si>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</si>
  <si>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</si>
  <si>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</si>
  <si>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</si>
  <si>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</si>
  <si>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</si>
  <si>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</si>
  <si>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</si>
  <si>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</si>
  <si>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</si>
  <si>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</si>
  <si>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</si>
  <si>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</si>
  <si>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</si>
  <si>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</si>
  <si>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</si>
  <si>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</si>
  <si>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</si>
  <si>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</si>
  <si>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</si>
  <si>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</si>
  <si>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</si>
  <si>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</si>
  <si>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</si>
  <si>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</si>
  <si>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</si>
  <si>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</si>
  <si>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</si>
  <si>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</si>
  <si>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</si>
  <si>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</si>
  <si>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</si>
  <si>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</si>
  <si>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</si>
  <si>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</si>
  <si>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</si>
  <si>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</si>
  <si>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</si>
  <si>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</si>
  <si>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</si>
  <si>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</si>
  <si>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</si>
  <si>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</si>
  <si>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</si>
  <si>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</si>
  <si>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</si>
  <si>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</si>
  <si>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</si>
  <si>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</si>
  <si>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</si>
  <si>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</si>
  <si>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</si>
  <si>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</si>
  <si>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</si>
  <si>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</si>
  <si>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</si>
  <si>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</si>
  <si>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</si>
  <si>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</si>
  <si>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</si>
  <si>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</si>
  <si>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</si>
  <si>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</si>
  <si>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</si>
  <si>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</si>
  <si>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</si>
  <si>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</si>
  <si>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</si>
  <si>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</si>
  <si>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</si>
  <si>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</si>
  <si>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</si>
  <si>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</si>
  <si>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</si>
  <si>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</si>
  <si>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</si>
  <si>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</si>
  <si>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</si>
  <si>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</si>
  <si>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</si>
  <si>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</si>
  <si>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</si>
  <si>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</si>
  <si>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</si>
  <si>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</si>
  <si>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</si>
  <si>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</si>
  <si>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</si>
  <si>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</si>
  <si>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</si>
  <si>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</si>
  <si>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</si>
  <si>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</si>
  <si>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</si>
  <si>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</si>
  <si>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</si>
  <si>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</si>
  <si>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</si>
  <si>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</si>
  <si>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</si>
  <si>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</si>
  <si>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</si>
  <si>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</si>
  <si>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</si>
  <si>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</si>
  <si>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</si>
  <si>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</si>
  <si>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</si>
  <si>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</si>
  <si>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</si>
  <si>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</si>
  <si>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</si>
  <si>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</si>
  <si>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</si>
  <si>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</si>
  <si>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</si>
  <si>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</si>
  <si>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</si>
  <si>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</si>
  <si>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</si>
  <si>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</si>
  <si>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</si>
  <si>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</si>
  <si>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</si>
  <si>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</si>
  <si>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</si>
  <si>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</si>
  <si>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</si>
  <si>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</si>
  <si>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</si>
  <si>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</si>
  <si>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</si>
  <si>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</si>
  <si>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</si>
  <si>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</si>
  <si>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</si>
  <si>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</si>
  <si>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</si>
  <si>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</si>
  <si>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</si>
  <si>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</si>
  <si>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</si>
  <si>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</si>
  <si>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</si>
  <si>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</si>
  <si>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</si>
  <si>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</si>
  <si>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</si>
  <si>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</si>
  <si>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</si>
  <si>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</si>
  <si>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</si>
  <si>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</si>
  <si>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</si>
  <si>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</si>
  <si>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</si>
  <si>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</si>
  <si>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</si>
  <si>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</si>
  <si>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</si>
  <si>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</si>
  <si>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</si>
  <si>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</si>
  <si>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</si>
  <si>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</si>
  <si>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</si>
  <si>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</si>
  <si>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</si>
  <si>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</si>
  <si>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</si>
  <si>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</si>
  <si>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</si>
  <si>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</si>
  <si>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</si>
  <si>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</si>
  <si>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</si>
  <si>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</si>
  <si>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</si>
  <si>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</si>
  <si>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</si>
  <si>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</si>
  <si>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</si>
  <si>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</si>
  <si>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</si>
  <si>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</si>
  <si>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</si>
  <si>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</si>
  <si>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</si>
  <si>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</si>
  <si>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</si>
  <si>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</si>
  <si>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</si>
  <si>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</si>
  <si>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</si>
  <si>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</si>
  <si>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</si>
  <si>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</si>
  <si>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</si>
  <si>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</si>
  <si>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</si>
  <si>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</si>
  <si>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</si>
  <si>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</si>
  <si>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</si>
  <si>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</si>
  <si>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</si>
  <si>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</si>
  <si>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</si>
  <si>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</si>
  <si>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</si>
  <si>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</si>
  <si>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</si>
  <si>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</si>
  <si>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</si>
  <si>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</si>
  <si>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</si>
  <si>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</si>
  <si>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</si>
  <si>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</si>
  <si>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</si>
  <si>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</si>
  <si>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</si>
  <si>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</si>
  <si>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</si>
  <si>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</si>
  <si>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</si>
  <si>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</si>
  <si>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</si>
  <si>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</si>
  <si>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</si>
  <si>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</si>
  <si>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</si>
  <si>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</si>
  <si>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</si>
  <si>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</si>
  <si>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</si>
  <si>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</si>
  <si>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</si>
  <si>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</si>
  <si>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</si>
  <si>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</si>
  <si>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</si>
  <si>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</si>
  <si>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</si>
  <si>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</si>
  <si>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</si>
  <si>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</si>
  <si>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</si>
  <si>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</si>
  <si>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</si>
  <si>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</si>
  <si>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</si>
  <si>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</si>
  <si>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</si>
  <si>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</si>
  <si>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</si>
  <si>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</si>
  <si>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</si>
  <si>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</si>
  <si>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</si>
  <si>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</si>
  <si>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</si>
  <si>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</si>
  <si>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</si>
  <si>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</si>
  <si>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</si>
  <si>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</si>
  <si>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</si>
  <si>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</si>
  <si>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</si>
  <si>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</si>
  <si>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</si>
  <si>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</si>
  <si>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</si>
  <si>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</si>
  <si>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</si>
  <si>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</si>
  <si>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</si>
  <si>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</si>
  <si>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</si>
  <si>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</si>
  <si>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</si>
  <si>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</si>
  <si>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</si>
  <si>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</si>
  <si>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</si>
  <si>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</si>
  <si>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</si>
  <si>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</si>
  <si>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</si>
  <si>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</si>
  <si>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</si>
  <si>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</si>
  <si>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</si>
  <si>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</si>
  <si>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</si>
  <si>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</si>
  <si>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</si>
  <si>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</si>
  <si>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</si>
  <si>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</si>
  <si>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</si>
  <si>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</si>
  <si>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</si>
  <si>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</si>
  <si>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</si>
  <si>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</si>
  <si>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</si>
  <si>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</si>
  <si>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</si>
  <si>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</si>
  <si>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</si>
  <si>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</si>
  <si>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</si>
  <si>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</si>
  <si>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</si>
  <si>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</si>
  <si>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</si>
  <si>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</si>
  <si>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</si>
  <si>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</si>
  <si>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</si>
  <si>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</si>
  <si>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</si>
  <si>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</si>
  <si>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</si>
  <si>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</si>
  <si>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</si>
  <si>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</si>
  <si>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</si>
  <si>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</si>
  <si>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</si>
  <si>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</si>
  <si>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</si>
  <si>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</si>
  <si>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</si>
  <si>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</si>
  <si>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</si>
  <si>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</si>
  <si>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</si>
  <si>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</si>
  <si>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</si>
  <si>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</si>
  <si>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</si>
  <si>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</si>
  <si>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</si>
  <si>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</si>
  <si>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</si>
  <si>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</si>
  <si>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</si>
  <si>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</si>
  <si>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</si>
  <si>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</si>
  <si>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</si>
  <si>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</si>
  <si>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</si>
  <si>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</si>
  <si>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</si>
  <si>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</si>
  <si>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</si>
  <si>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</si>
  <si>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</si>
  <si>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</si>
  <si>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</si>
  <si>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</si>
  <si>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</si>
  <si>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</si>
  <si>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</si>
  <si>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</si>
  <si>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</si>
  <si>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</si>
  <si>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</si>
  <si>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</si>
  <si>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</si>
  <si>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</si>
  <si>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</si>
  <si>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</si>
  <si>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</si>
  <si>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</si>
  <si>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</si>
  <si>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</si>
  <si>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</si>
  <si>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</si>
  <si>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</si>
  <si>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</si>
  <si>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</si>
  <si>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</si>
  <si>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</si>
  <si>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</si>
  <si>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</si>
  <si>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</si>
  <si>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</si>
  <si>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</si>
  <si>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</si>
  <si>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</si>
  <si>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</si>
  <si>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</si>
  <si>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</si>
  <si>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</si>
  <si>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</si>
  <si>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</si>
  <si>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</si>
  <si>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</si>
  <si>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</si>
  <si>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</si>
  <si>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</si>
  <si>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</si>
  <si>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</si>
  <si>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</si>
  <si>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</si>
  <si>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</si>
  <si>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</si>
  <si>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</si>
  <si>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</si>
  <si>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</si>
  <si>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</si>
  <si>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</si>
  <si>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</si>
  <si>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</si>
  <si>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</si>
  <si>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</si>
  <si>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</si>
  <si>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</si>
  <si>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</si>
  <si>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</si>
  <si>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</si>
  <si>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</si>
  <si>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</si>
  <si>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</si>
  <si>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</si>
  <si>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</si>
  <si>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</si>
  <si>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</si>
  <si>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</si>
  <si>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</si>
  <si>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</si>
  <si>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</si>
  <si>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</si>
  <si>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</si>
  <si>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</si>
  <si>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</si>
  <si>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</si>
  <si>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</si>
  <si>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</si>
  <si>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</si>
  <si>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</si>
  <si>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</si>
  <si>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</si>
  <si>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</si>
  <si>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</si>
  <si>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</si>
  <si>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</si>
  <si>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</si>
  <si>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</si>
  <si>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</si>
  <si>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</si>
  <si>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</si>
  <si>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</si>
  <si>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</si>
  <si>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</si>
  <si>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</si>
  <si>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</si>
  <si>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</si>
  <si>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</si>
  <si>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</si>
  <si>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</si>
  <si>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</si>
  <si>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</si>
  <si>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</si>
  <si>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</si>
  <si>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</si>
  <si>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</si>
  <si>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</si>
  <si>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</si>
  <si>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</si>
  <si>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</si>
  <si>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</si>
  <si>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</si>
  <si>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</si>
  <si>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</si>
  <si>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</si>
  <si>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</si>
  <si>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</si>
  <si>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</si>
  <si>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</si>
  <si>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</si>
  <si>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</si>
  <si>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</si>
  <si>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</si>
  <si>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</si>
  <si>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</si>
  <si>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</si>
  <si>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</si>
  <si>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</si>
  <si>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</si>
  <si>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</si>
  <si>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</si>
  <si>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</si>
  <si>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</si>
  <si>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</si>
  <si>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</si>
  <si>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</si>
  <si>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</si>
  <si>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</si>
  <si>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</si>
  <si>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</si>
  <si>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</si>
  <si>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</si>
  <si>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</si>
  <si>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</si>
  <si>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</si>
  <si>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</si>
  <si>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</si>
  <si>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</si>
  <si>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</si>
  <si>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</si>
  <si>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</si>
  <si>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</si>
  <si>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</si>
  <si>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</si>
  <si>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</si>
  <si>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</si>
  <si>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</si>
  <si>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</si>
  <si>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</si>
  <si>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</si>
  <si>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</si>
  <si>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</si>
  <si>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</si>
  <si>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</si>
  <si>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</si>
  <si>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</si>
  <si>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</si>
  <si>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</si>
  <si>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</si>
  <si>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</si>
  <si>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</si>
  <si>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</si>
  <si>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</si>
  <si>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</si>
  <si>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</si>
  <si>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</si>
  <si>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</si>
  <si>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</si>
  <si>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</si>
  <si>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</si>
  <si>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</si>
  <si>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</si>
  <si>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</si>
  <si>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</si>
  <si>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</si>
  <si>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</si>
  <si>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</si>
  <si>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</si>
  <si>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</si>
  <si>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</si>
  <si>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</si>
  <si>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</si>
  <si>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</si>
  <si>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</si>
  <si>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</si>
  <si>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</si>
  <si>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</si>
  <si>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</si>
  <si>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</si>
  <si>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</si>
  <si>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</si>
  <si>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</si>
  <si>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</si>
  <si>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</si>
  <si>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</si>
  <si>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</si>
  <si>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</si>
  <si>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</si>
  <si>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</si>
  <si>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</si>
  <si>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</si>
  <si>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</si>
  <si>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</si>
  <si>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</si>
  <si>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</si>
  <si>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</si>
  <si>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</si>
  <si>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</si>
  <si>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</si>
  <si>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</si>
  <si>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</si>
  <si>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</si>
  <si>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</si>
  <si>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</si>
  <si>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</si>
  <si>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</si>
  <si>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</si>
  <si>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</si>
  <si>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</si>
  <si>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</si>
  <si>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</si>
  <si>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</si>
  <si>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</si>
  <si>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</si>
  <si>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</si>
  <si>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</si>
  <si>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</si>
  <si>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</si>
  <si>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</si>
  <si>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</si>
  <si>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</si>
  <si>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</si>
  <si>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</si>
  <si>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</si>
  <si>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</si>
  <si>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</si>
  <si>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</si>
  <si>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</si>
  <si>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</si>
  <si>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</si>
  <si>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</si>
  <si>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</si>
  <si>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</si>
  <si>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</si>
  <si>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</si>
  <si>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</si>
  <si>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</si>
  <si>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</si>
  <si>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</si>
  <si>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</si>
  <si>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</si>
  <si>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</si>
  <si>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</si>
  <si>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</si>
  <si>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</si>
  <si>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</si>
  <si>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</si>
  <si>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</si>
  <si>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</si>
  <si>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</si>
  <si>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</si>
  <si>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</si>
  <si>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</si>
  <si>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</si>
  <si>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</si>
  <si>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</si>
  <si>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</si>
  <si>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</si>
  <si>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</si>
  <si>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</si>
  <si>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</si>
  <si>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</si>
  <si>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</si>
  <si>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</si>
  <si>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</si>
  <si>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</si>
  <si>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</si>
  <si>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</si>
  <si>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</si>
  <si>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</si>
  <si>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</si>
  <si>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</si>
  <si>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</si>
  <si>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</si>
  <si>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</si>
  <si>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</si>
  <si>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</si>
  <si>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</si>
  <si>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</si>
  <si>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</si>
  <si>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</si>
  <si>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</si>
  <si>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</si>
  <si>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</si>
  <si>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</si>
  <si>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</si>
  <si>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</si>
  <si>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</si>
  <si>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</si>
  <si>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</si>
  <si>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</si>
  <si>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</si>
  <si>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</si>
  <si>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</si>
  <si>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</si>
  <si>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</si>
  <si>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</si>
  <si>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</si>
  <si>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</si>
  <si>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</si>
  <si>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</si>
  <si>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</si>
  <si>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</si>
  <si>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</si>
  <si>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</si>
  <si>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</si>
  <si>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</si>
  <si>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</si>
  <si>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</si>
  <si>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</si>
  <si>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</si>
  <si>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</si>
  <si>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</si>
  <si>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</si>
  <si>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</si>
  <si>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</si>
  <si>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</si>
  <si>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</si>
  <si>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</si>
  <si>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</si>
  <si>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</si>
  <si>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</si>
  <si>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</si>
  <si>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</si>
  <si>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</si>
  <si>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</si>
  <si>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</si>
  <si>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</si>
  <si>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</si>
  <si>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</si>
  <si>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</si>
  <si>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</si>
  <si>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</si>
  <si>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</si>
  <si>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</si>
  <si>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</si>
  <si>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</si>
  <si>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</si>
  <si>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</si>
  <si>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</si>
  <si>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</si>
  <si>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</si>
  <si>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</si>
  <si>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</si>
  <si>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</si>
  <si>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</si>
  <si>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</si>
  <si>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</si>
  <si>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</si>
  <si>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</si>
  <si>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</si>
  <si>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</si>
  <si>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</si>
  <si>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</si>
  <si>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</si>
  <si>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</si>
  <si>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</si>
  <si>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</si>
  <si>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</si>
  <si>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</si>
  <si>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</si>
  <si>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</si>
  <si>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</si>
  <si>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</si>
  <si>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</si>
  <si>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</si>
  <si>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</si>
  <si>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</si>
  <si>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</si>
  <si>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</si>
  <si>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</si>
  <si>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</si>
  <si>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</si>
  <si>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</si>
  <si>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</si>
  <si>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</si>
  <si>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</si>
  <si>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</si>
  <si>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</si>
  <si>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</si>
  <si>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</si>
  <si>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</si>
  <si>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</si>
  <si>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</si>
  <si>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</si>
  <si>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</si>
  <si>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</si>
  <si>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</si>
  <si>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</si>
  <si>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</si>
  <si>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</si>
  <si>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</si>
  <si>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</si>
  <si>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</si>
  <si>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</si>
  <si>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</si>
  <si>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</si>
  <si>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</si>
  <si>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</si>
  <si>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</si>
  <si>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</si>
  <si>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</si>
  <si>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</si>
  <si>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</si>
  <si>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</si>
  <si>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</si>
  <si>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</si>
  <si>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</si>
  <si>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</si>
  <si>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</si>
  <si>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</si>
  <si>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</si>
  <si>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</si>
  <si>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</si>
  <si>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</si>
  <si>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</si>
  <si>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</si>
  <si>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</si>
  <si>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</si>
  <si>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</si>
  <si>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</si>
  <si>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</si>
  <si>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</si>
  <si>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</si>
  <si>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</si>
  <si>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</si>
  <si>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</si>
  <si>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</si>
  <si>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</si>
  <si>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</si>
  <si>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</si>
  <si>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</si>
  <si>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</si>
  <si>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</si>
  <si>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</si>
  <si>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</si>
  <si>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</si>
  <si>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</si>
  <si>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</si>
  <si>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</si>
  <si>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</si>
  <si>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</si>
  <si>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</si>
  <si>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</si>
  <si>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</si>
  <si>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</si>
  <si>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</si>
  <si>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</si>
  <si>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</si>
  <si>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</si>
  <si>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</si>
  <si>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</si>
  <si>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</si>
  <si>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</si>
  <si>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</si>
  <si>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</si>
  <si>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</si>
  <si>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</si>
  <si>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</si>
  <si>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</si>
  <si>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</si>
  <si>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</si>
  <si>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</si>
  <si>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</si>
  <si>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</si>
  <si>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</si>
  <si>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</si>
  <si>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</si>
  <si>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</si>
  <si>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</si>
  <si>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</si>
  <si>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</si>
  <si>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</si>
  <si>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</si>
  <si>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</si>
  <si>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</si>
  <si>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</si>
  <si>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</si>
  <si>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</si>
  <si>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</si>
  <si>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</si>
  <si>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</si>
  <si>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</si>
  <si>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</si>
  <si>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</si>
  <si>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</si>
  <si>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</si>
  <si>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</si>
  <si>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</si>
  <si>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</si>
  <si>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</si>
  <si>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</si>
  <si>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</si>
  <si>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</si>
  <si>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</si>
  <si>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</si>
  <si>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</si>
  <si>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</si>
  <si>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</si>
  <si>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</si>
  <si>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</si>
  <si>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</si>
  <si>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</si>
  <si>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</si>
  <si>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</si>
  <si>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</si>
  <si>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</si>
  <si>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</si>
  <si>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</si>
  <si>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</si>
  <si>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</si>
  <si>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</si>
  <si>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</si>
  <si>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</si>
  <si>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</si>
  <si>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</si>
  <si>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</si>
  <si>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</si>
  <si>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</si>
  <si>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</si>
  <si>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</si>
  <si>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</si>
  <si>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</si>
  <si>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</si>
  <si>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</si>
  <si>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</si>
  <si>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</si>
  <si>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</si>
  <si>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</si>
  <si>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</si>
  <si>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</si>
  <si>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</si>
  <si>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</si>
  <si>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</si>
  <si>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</si>
  <si>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</si>
  <si>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</si>
  <si>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</si>
  <si>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</si>
  <si>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</si>
  <si>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</si>
  <si>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</si>
  <si>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</si>
  <si>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</si>
  <si>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</si>
  <si>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</si>
  <si>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</si>
  <si>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</si>
  <si>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</si>
  <si>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</si>
  <si>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</si>
  <si>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</si>
  <si>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</si>
  <si>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</si>
  <si>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</si>
  <si>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</si>
  <si>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</si>
  <si>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</si>
  <si>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</si>
  <si>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</si>
  <si>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</si>
  <si>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</si>
  <si>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</si>
  <si>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</si>
  <si>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</si>
  <si>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</si>
  <si>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</si>
  <si>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</si>
  <si>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</si>
  <si>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</si>
  <si>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</si>
  <si>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</si>
  <si>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</si>
  <si>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</si>
  <si>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</si>
  <si>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</si>
  <si>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</si>
  <si>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</si>
  <si>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</si>
  <si>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</si>
  <si>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</si>
  <si>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</si>
  <si>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</si>
  <si>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</si>
  <si>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</si>
  <si>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</si>
  <si>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</si>
  <si>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</si>
  <si>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</si>
  <si>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</si>
  <si>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</si>
  <si>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</si>
  <si>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</si>
  <si>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</si>
  <si>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</si>
  <si>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</si>
  <si>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</si>
  <si>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</si>
  <si>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</si>
  <si>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</si>
  <si>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</si>
  <si>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</si>
  <si>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</si>
  <si>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</si>
  <si>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</si>
  <si>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</si>
  <si>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</si>
  <si>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</si>
  <si>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</si>
  <si>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</si>
  <si>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</si>
  <si>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</si>
  <si>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</si>
  <si>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</si>
  <si>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</si>
  <si>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</si>
  <si>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</si>
  <si>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</si>
  <si>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</si>
  <si>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</si>
  <si>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</si>
  <si>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</si>
  <si>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</si>
  <si>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</si>
  <si>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</si>
  <si>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</si>
  <si>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</si>
  <si>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</si>
  <si>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</si>
  <si>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</si>
  <si>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</si>
  <si>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</si>
  <si>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</si>
  <si>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</si>
  <si>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</si>
  <si>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</si>
  <si>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</si>
  <si>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</si>
  <si>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</si>
  <si>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</si>
  <si>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</si>
  <si>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</si>
  <si>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</si>
  <si>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</si>
  <si>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</si>
  <si>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</si>
  <si>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</si>
  <si>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</si>
  <si>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</si>
  <si>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</si>
  <si>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</si>
  <si>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</si>
  <si>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</si>
  <si>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</si>
  <si>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</si>
  <si>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</si>
  <si>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</si>
  <si>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</si>
  <si>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</si>
  <si>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</si>
  <si>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</si>
  <si>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</si>
  <si>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</si>
  <si>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</si>
  <si>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</si>
  <si>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</si>
  <si>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</si>
  <si>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</si>
  <si>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</si>
  <si>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</si>
  <si>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</si>
  <si>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</si>
  <si>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</si>
  <si>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</si>
  <si>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</si>
  <si>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</si>
  <si>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</si>
  <si>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</si>
  <si>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</si>
  <si>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</si>
  <si>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</si>
  <si>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</si>
  <si>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</si>
  <si>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</si>
  <si>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</si>
  <si>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</si>
  <si>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</si>
  <si>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</si>
  <si>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</si>
  <si>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</si>
  <si>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</si>
  <si>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</si>
  <si>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</si>
  <si>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</si>
  <si>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</si>
  <si>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</si>
  <si>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</si>
  <si>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</si>
  <si>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</si>
  <si>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</si>
  <si>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</si>
  <si>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</si>
  <si>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</si>
  <si>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</si>
  <si>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</si>
  <si>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</si>
  <si>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</si>
  <si>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</si>
  <si>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</si>
  <si>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</si>
  <si>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</si>
  <si>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</si>
  <si>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</si>
  <si>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</si>
  <si>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</si>
  <si>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</si>
  <si>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</si>
  <si>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</si>
  <si>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</si>
  <si>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</si>
  <si>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</si>
  <si>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</si>
  <si>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</si>
  <si>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</si>
  <si>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</si>
  <si>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</si>
  <si>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</si>
  <si>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</si>
  <si>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</si>
  <si>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</si>
  <si>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</si>
  <si>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</si>
  <si>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</si>
  <si>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</si>
  <si>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</si>
  <si>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</si>
  <si>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</si>
  <si>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</si>
  <si>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</si>
  <si>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</si>
  <si>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</si>
  <si>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</si>
  <si>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</si>
  <si>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</si>
  <si>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</si>
  <si>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</si>
  <si>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</si>
  <si>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</si>
  <si>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</si>
  <si>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</si>
  <si>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</si>
  <si>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</si>
  <si>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</si>
  <si>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</si>
  <si>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</si>
  <si>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</si>
  <si>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</si>
  <si>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</si>
  <si>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</si>
  <si>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</si>
  <si>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</si>
  <si>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</si>
  <si>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</si>
  <si>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</si>
  <si>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</si>
  <si>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</si>
  <si>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</si>
  <si>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</si>
  <si>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</si>
  <si>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</si>
  <si>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</si>
  <si>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</si>
  <si>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</si>
  <si>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</si>
  <si>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</si>
  <si>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</si>
  <si>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</si>
  <si>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</si>
  <si>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</si>
  <si>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</si>
  <si>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</si>
  <si>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</si>
  <si>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</si>
  <si>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</si>
  <si>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</si>
  <si>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</si>
  <si>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</si>
  <si>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</si>
  <si>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</si>
  <si>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</si>
  <si>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</si>
  <si>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</si>
  <si>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</si>
  <si>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</si>
  <si>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</si>
  <si>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</si>
  <si>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</si>
  <si>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</si>
  <si>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</si>
  <si>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</si>
  <si>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</si>
  <si>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</si>
  <si>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</si>
  <si>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</si>
  <si>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</si>
  <si>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</si>
  <si>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</si>
  <si>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</si>
  <si>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</si>
  <si>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</si>
  <si>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</si>
  <si>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</si>
  <si>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</si>
  <si>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</si>
  <si>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</si>
  <si>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</si>
  <si>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</si>
  <si>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</si>
  <si>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</si>
  <si>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</si>
  <si>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</si>
  <si>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</si>
  <si>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</si>
  <si>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</si>
  <si>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</si>
  <si>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</si>
  <si>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</si>
  <si>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</si>
  <si>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</si>
  <si>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</si>
  <si>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</si>
  <si>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</si>
  <si>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</si>
  <si>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</si>
  <si>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</si>
  <si>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</si>
  <si>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</si>
  <si>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</si>
  <si>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</si>
  <si>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</si>
  <si>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</si>
  <si>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</si>
  <si>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</si>
  <si>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</si>
  <si>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</si>
  <si>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</si>
  <si>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</si>
  <si>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</si>
  <si>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</si>
  <si>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</si>
  <si>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</si>
  <si>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</si>
  <si>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</si>
  <si>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</si>
  <si>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</si>
  <si>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</si>
  <si>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</si>
  <si>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</si>
  <si>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</si>
  <si>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</si>
  <si>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</si>
  <si>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</si>
  <si>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</si>
  <si>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</si>
  <si>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</si>
  <si>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</si>
  <si>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</si>
  <si>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</si>
  <si>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</si>
  <si>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</si>
  <si>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</si>
  <si>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</si>
  <si>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</si>
  <si>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</si>
  <si>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</si>
  <si>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</si>
  <si>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</si>
  <si>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</si>
  <si>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</si>
  <si>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</si>
  <si>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</si>
  <si>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</si>
  <si>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</si>
  <si>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</si>
  <si>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</si>
  <si>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</si>
  <si>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</si>
  <si>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</si>
  <si>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</si>
  <si>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</si>
  <si>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</si>
  <si>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</si>
  <si>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</si>
  <si>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</si>
  <si>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</si>
  <si>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</si>
  <si>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</si>
  <si>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</si>
  <si>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</si>
  <si>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</si>
  <si>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</si>
  <si>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</si>
  <si>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</si>
  <si>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</si>
  <si>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</si>
  <si>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</si>
  <si>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</si>
  <si>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</si>
  <si>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</si>
  <si>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</si>
  <si>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</si>
  <si>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</si>
  <si>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</si>
  <si>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</si>
  <si>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</si>
  <si>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</si>
  <si>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</si>
  <si>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</si>
  <si>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</si>
  <si>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</si>
  <si>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</si>
  <si>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</si>
  <si>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</si>
  <si>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</si>
  <si>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</si>
  <si>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</si>
  <si>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</si>
  <si>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</si>
  <si>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</si>
  <si>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</si>
  <si>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</si>
  <si>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</si>
  <si>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</si>
  <si>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</si>
  <si>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</si>
  <si>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</si>
  <si>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</si>
  <si>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</si>
  <si>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</si>
  <si>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</si>
  <si>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</si>
  <si>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</si>
  <si>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</si>
  <si>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</si>
  <si>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</si>
  <si>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</si>
  <si>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</si>
  <si>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</si>
  <si>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</si>
  <si>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</si>
  <si>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</si>
  <si>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</si>
  <si>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</si>
  <si>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</si>
  <si>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</si>
  <si>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</si>
  <si>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</si>
  <si>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</si>
  <si>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</si>
  <si>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</si>
  <si>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</si>
  <si>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</si>
  <si>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</si>
  <si>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</si>
  <si>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</si>
  <si>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</si>
  <si>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</si>
  <si>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</si>
  <si>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</si>
  <si>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</si>
  <si>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</si>
  <si>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</si>
  <si>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</si>
  <si>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</si>
  <si>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</si>
  <si>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</si>
  <si>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</si>
  <si>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</si>
  <si>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</si>
  <si>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</si>
  <si>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</si>
  <si>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</si>
  <si>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</si>
  <si>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</si>
  <si>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</si>
  <si>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</si>
  <si>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</si>
  <si>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</si>
  <si>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</si>
  <si>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</si>
  <si>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</si>
  <si>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</si>
  <si>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</si>
  <si>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</si>
  <si>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</si>
  <si>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</si>
  <si>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</si>
  <si>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</si>
  <si>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</si>
  <si>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</si>
  <si>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</si>
  <si>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</si>
  <si>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</si>
  <si>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</si>
  <si>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</si>
  <si>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</si>
  <si>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</si>
  <si>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</si>
  <si>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</si>
  <si>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</si>
  <si>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</si>
  <si>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</si>
  <si>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</si>
  <si>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</si>
  <si>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</si>
  <si>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</si>
  <si>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</si>
  <si>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</si>
  <si>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</si>
  <si>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</si>
  <si>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</si>
  <si>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</si>
  <si>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</si>
  <si>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</si>
  <si>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</si>
  <si>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</si>
  <si>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</si>
  <si>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</si>
  <si>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</si>
  <si>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</si>
  <si>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</si>
  <si>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</si>
  <si>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</si>
  <si>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</si>
  <si>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</si>
  <si>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</si>
  <si>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</si>
  <si>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</si>
  <si>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</si>
  <si>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</si>
  <si>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</si>
  <si>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</si>
  <si>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</si>
  <si>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</si>
  <si>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</si>
  <si>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</si>
  <si>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</si>
  <si>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</si>
  <si>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</si>
  <si>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</si>
  <si>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</si>
  <si>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</si>
  <si>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</si>
  <si>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</si>
  <si>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</si>
  <si>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</si>
  <si>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</si>
  <si>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</si>
  <si>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</si>
  <si>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</si>
  <si>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</si>
  <si>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</si>
  <si>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</si>
  <si>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</si>
  <si>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</si>
  <si>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</si>
  <si>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</si>
  <si>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</si>
  <si>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</si>
  <si>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</si>
  <si>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</si>
  <si>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</si>
  <si>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</si>
  <si>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</si>
  <si>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</si>
  <si>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</si>
  <si>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</si>
  <si>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</si>
  <si>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</si>
  <si>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</si>
  <si>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</si>
  <si>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</si>
  <si>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</si>
  <si>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</si>
  <si>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</si>
  <si>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</si>
  <si>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</si>
  <si>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</si>
  <si>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</si>
  <si>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</si>
  <si>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</si>
  <si>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</si>
  <si>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</si>
  <si>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</si>
  <si>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</si>
  <si>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</si>
  <si>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</si>
  <si>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</si>
  <si>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</si>
  <si>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</si>
  <si>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</si>
  <si>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</si>
  <si>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</si>
  <si>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</si>
  <si>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</si>
  <si>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</si>
  <si>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</si>
  <si>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</si>
  <si>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</si>
  <si>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</si>
  <si>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</si>
  <si>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</si>
  <si>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</si>
  <si>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</si>
  <si>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</si>
  <si>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</si>
  <si>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</si>
  <si>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</si>
  <si>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</si>
  <si>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</si>
  <si>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</si>
  <si>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</si>
  <si>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</si>
  <si>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</si>
  <si>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</si>
  <si>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</si>
  <si>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</si>
  <si>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</si>
  <si>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</si>
  <si>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</si>
  <si>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</si>
  <si>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</si>
  <si>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</si>
  <si>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</si>
  <si>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</si>
  <si>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</si>
  <si>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</si>
  <si>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</si>
  <si>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</si>
  <si>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</si>
  <si>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</si>
  <si>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</si>
  <si>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</si>
  <si>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</si>
  <si>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</si>
  <si>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</si>
  <si>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</si>
  <si>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</si>
  <si>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</si>
  <si>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</si>
  <si>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</si>
  <si>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</si>
  <si>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</si>
  <si>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</si>
  <si>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</si>
  <si>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</si>
  <si>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</si>
  <si>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</si>
  <si>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</si>
  <si>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</si>
  <si>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</si>
  <si>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</si>
  <si>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</si>
  <si>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</si>
  <si>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</si>
  <si>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</si>
  <si>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</si>
  <si>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</si>
  <si>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</si>
  <si>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</si>
  <si>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</si>
  <si>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</si>
  <si>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</si>
  <si>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</si>
  <si>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</si>
  <si>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</si>
  <si>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</si>
  <si>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</si>
  <si>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</si>
  <si>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</si>
  <si>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</si>
  <si>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</si>
  <si>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</si>
  <si>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</si>
  <si>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</si>
  <si>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</si>
  <si>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</si>
  <si>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</si>
  <si>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</si>
  <si>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</si>
  <si>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</si>
  <si>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</si>
  <si>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</si>
  <si>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</si>
  <si>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</si>
  <si>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</si>
  <si>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</si>
  <si>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</si>
  <si>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</si>
  <si>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</si>
  <si>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</si>
  <si>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</si>
  <si>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</si>
  <si>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</si>
  <si>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</si>
  <si>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</si>
  <si>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</si>
  <si>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</si>
  <si>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</si>
  <si>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</si>
  <si>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</si>
  <si>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</si>
  <si>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</si>
  <si>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</si>
  <si>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</si>
  <si>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</si>
  <si>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</si>
  <si>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</si>
  <si>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</si>
  <si>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</si>
  <si>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</si>
  <si>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</si>
  <si>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</si>
  <si>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</si>
  <si>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</si>
  <si>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</si>
  <si>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</si>
  <si>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</si>
  <si>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</si>
  <si>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</si>
  <si>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</si>
  <si>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</si>
  <si>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</si>
  <si>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</si>
  <si>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</si>
  <si>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</si>
  <si>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</si>
  <si>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</si>
  <si>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</si>
  <si>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</si>
  <si>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</si>
  <si>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</si>
  <si>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</si>
  <si>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</si>
  <si>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</si>
  <si>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</si>
  <si>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</si>
  <si>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</si>
  <si>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</si>
  <si>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</si>
  <si>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</si>
  <si>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</si>
  <si>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</si>
  <si>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</si>
  <si>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</si>
  <si>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</si>
  <si>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</si>
  <si>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</si>
  <si>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</si>
  <si>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</si>
  <si>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</si>
  <si>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</si>
  <si>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</si>
  <si>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</si>
  <si>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</si>
  <si>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</si>
  <si>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</si>
  <si>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</si>
  <si>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</si>
  <si>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</si>
  <si>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</si>
  <si>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</si>
  <si>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</si>
  <si>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</si>
  <si>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</si>
  <si>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</si>
  <si>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</si>
  <si>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</si>
  <si>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</si>
  <si>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</si>
  <si>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</si>
  <si>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</si>
  <si>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</si>
  <si>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</si>
  <si>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</si>
  <si>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</si>
  <si>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</si>
  <si>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</si>
  <si>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</si>
  <si>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</si>
  <si>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</si>
  <si>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</si>
  <si>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</si>
  <si>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</si>
  <si>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</si>
  <si>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</si>
  <si>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</si>
  <si>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</si>
  <si>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</si>
  <si>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</si>
  <si>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</si>
  <si>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</si>
  <si>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</si>
  <si>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</si>
  <si>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</si>
  <si>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</si>
  <si>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</si>
  <si>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</si>
  <si>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</si>
  <si>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</si>
  <si>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</si>
  <si>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</si>
  <si>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</si>
  <si>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</si>
  <si>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</si>
  <si>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</si>
  <si>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</si>
  <si>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</si>
  <si>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</si>
  <si>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</si>
  <si>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</si>
  <si>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</si>
  <si>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</si>
  <si>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</si>
  <si>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</si>
  <si>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</si>
  <si>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</si>
  <si>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</si>
  <si>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</si>
  <si>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</si>
  <si>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</si>
  <si>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</si>
  <si>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</si>
  <si>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</si>
  <si>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</si>
  <si>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</si>
  <si>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</si>
  <si>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</si>
  <si>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</si>
  <si>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</si>
  <si>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</si>
  <si>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</si>
  <si>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</si>
  <si>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</si>
  <si>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</si>
  <si>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</si>
  <si>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</si>
  <si>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</si>
  <si>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</si>
  <si>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</si>
  <si>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</si>
  <si>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</si>
  <si>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</si>
  <si>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</si>
  <si>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</si>
  <si>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</si>
  <si>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</si>
  <si>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</si>
  <si>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</si>
  <si>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</si>
  <si>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</si>
  <si>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</si>
  <si>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</si>
  <si>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</si>
  <si>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</si>
  <si>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</si>
  <si>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</si>
  <si>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</si>
  <si>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</si>
  <si>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</si>
  <si>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</si>
  <si>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</si>
  <si>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</si>
  <si>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</si>
  <si>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</si>
  <si>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</si>
  <si>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</si>
  <si>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</si>
  <si>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</si>
  <si>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</si>
  <si>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</si>
  <si>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</si>
  <si>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</si>
  <si>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</si>
  <si>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</si>
  <si>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</si>
  <si>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</si>
  <si>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</si>
  <si>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</si>
  <si>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</si>
  <si>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</si>
  <si>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</si>
  <si>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</si>
  <si>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</si>
  <si>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</si>
  <si>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</si>
  <si>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</si>
  <si>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</si>
  <si>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</si>
  <si>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</si>
  <si>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</si>
  <si>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</si>
  <si>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</si>
  <si>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</si>
  <si>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</si>
  <si>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</si>
  <si>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</si>
  <si>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</si>
  <si>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</si>
  <si>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</si>
  <si>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</si>
  <si>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</si>
  <si>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</si>
  <si>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</si>
  <si>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</si>
  <si>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</si>
  <si>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</si>
  <si>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</si>
  <si>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</si>
  <si>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</si>
  <si>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</si>
  <si>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</si>
  <si>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</si>
  <si>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</si>
  <si>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</si>
  <si>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</si>
  <si>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</si>
  <si>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</si>
  <si>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</si>
  <si>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</si>
  <si>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</si>
  <si>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</si>
  <si>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</si>
  <si>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</si>
  <si>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</si>
  <si>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</si>
  <si>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</si>
  <si>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</si>
  <si>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</si>
  <si>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</si>
  <si>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</si>
  <si>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</si>
  <si>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</si>
  <si>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</si>
  <si>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</si>
  <si>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</si>
  <si>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</si>
  <si>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</si>
  <si>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</si>
  <si>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</si>
  <si>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</si>
  <si>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</si>
  <si>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</si>
  <si>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</si>
  <si>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</si>
  <si>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</si>
  <si>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</si>
  <si>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</si>
  <si>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</si>
  <si>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</si>
  <si>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</si>
  <si>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</si>
  <si>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</si>
  <si>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</si>
  <si>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</si>
  <si>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</si>
  <si>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</si>
  <si>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</si>
  <si>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</si>
  <si>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</si>
  <si>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</si>
  <si>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</si>
  <si>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</si>
  <si>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</si>
  <si>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</si>
  <si>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</si>
  <si>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</si>
  <si>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</si>
  <si>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</si>
  <si>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</si>
  <si>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</si>
  <si>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</si>
  <si>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</si>
  <si>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</si>
  <si>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</si>
  <si>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</si>
  <si>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</si>
  <si>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</si>
  <si>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</si>
  <si>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</si>
  <si>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</si>
  <si>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</si>
  <si>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</si>
  <si>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</si>
  <si>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</si>
  <si>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</si>
  <si>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</si>
  <si>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</si>
  <si>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</si>
  <si>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</si>
  <si>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</si>
  <si>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</si>
  <si>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</si>
  <si>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</si>
  <si>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</si>
  <si>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</si>
  <si>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</si>
  <si>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</si>
  <si>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</si>
  <si>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</si>
  <si>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</si>
  <si>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</si>
  <si>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</si>
  <si>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</si>
  <si>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</si>
  <si>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</si>
  <si>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</si>
  <si>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</si>
  <si>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</si>
  <si>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</si>
  <si>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</si>
  <si>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</si>
  <si>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</si>
  <si>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</si>
  <si>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</si>
  <si>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</si>
  <si>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</si>
  <si>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</si>
  <si>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</si>
  <si>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</si>
  <si>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</si>
  <si>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</si>
  <si>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</si>
  <si>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</si>
  <si>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</si>
  <si>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</si>
  <si>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</si>
  <si>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</si>
  <si>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</si>
  <si>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</si>
  <si>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</si>
  <si>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</si>
  <si>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</si>
  <si>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</si>
  <si>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</si>
  <si>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</si>
  <si>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</si>
  <si>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</si>
  <si>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</si>
  <si>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</si>
  <si>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</si>
  <si>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</si>
  <si>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</si>
  <si>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</si>
  <si>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</si>
  <si>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</si>
  <si>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</si>
  <si>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</si>
  <si>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</si>
  <si>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</si>
  <si>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</si>
  <si>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</si>
  <si>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</si>
  <si>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</si>
  <si>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</si>
  <si>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</si>
  <si>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</si>
  <si>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</si>
  <si>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</si>
  <si>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</si>
  <si>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</si>
  <si>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</si>
  <si>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</si>
  <si>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</si>
  <si>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</si>
  <si>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</si>
  <si>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</si>
  <si>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</si>
  <si>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</si>
  <si>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</si>
  <si>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</si>
  <si>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</si>
  <si>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</si>
  <si>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</si>
  <si>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</si>
  <si>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</si>
  <si>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</si>
  <si>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</si>
  <si>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</si>
  <si>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</si>
  <si>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</si>
  <si>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</si>
  <si>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</si>
  <si>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</si>
  <si>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PR100</t>
  </si>
  <si>
    <t>PR1000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</si>
  <si>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</si>
  <si>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</si>
  <si>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</si>
  <si>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</si>
  <si>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</si>
  <si>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</si>
  <si>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</si>
  <si>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</si>
  <si>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</si>
  <si>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</t>
  </si>
  <si>
    <t>PR1010</t>
  </si>
  <si>
    <t>PR1011</t>
  </si>
  <si>
    <t>PR1012</t>
  </si>
  <si>
    <t>PR1013</t>
  </si>
  <si>
    <t>PR1014</t>
  </si>
  <si>
    <t>PR1015</t>
  </si>
  <si>
    <t>PR1016</t>
  </si>
  <si>
    <t>PR1017</t>
  </si>
  <si>
    <t>PR1018</t>
  </si>
  <si>
    <t>PR1019</t>
  </si>
  <si>
    <t>PR102</t>
  </si>
  <si>
    <t>PR1020</t>
  </si>
  <si>
    <t>PR1021</t>
  </si>
  <si>
    <t>PR1022</t>
  </si>
  <si>
    <t>PR1023</t>
  </si>
  <si>
    <t>PR1024</t>
  </si>
  <si>
    <t>PR1025</t>
  </si>
  <si>
    <t>PR1026</t>
  </si>
  <si>
    <t>PR1027</t>
  </si>
  <si>
    <t>PR1028</t>
  </si>
  <si>
    <t>PR1029</t>
  </si>
  <si>
    <t>PR103</t>
  </si>
  <si>
    <t>PR1030</t>
  </si>
  <si>
    <t>PR1031</t>
  </si>
  <si>
    <t>PR1032</t>
  </si>
  <si>
    <t>PR1033</t>
  </si>
  <si>
    <t>PR1034</t>
  </si>
  <si>
    <t>PR1035</t>
  </si>
  <si>
    <t>PR1036</t>
  </si>
  <si>
    <t>PR1037</t>
  </si>
  <si>
    <t>PR1038</t>
  </si>
  <si>
    <t>PR1039</t>
  </si>
  <si>
    <t>PR104</t>
  </si>
  <si>
    <t>PR1040</t>
  </si>
  <si>
    <t>PR1041</t>
  </si>
  <si>
    <t>PR1042</t>
  </si>
  <si>
    <t>PR1043</t>
  </si>
  <si>
    <t>PR1044</t>
  </si>
  <si>
    <t>PR1045</t>
  </si>
  <si>
    <t>PR1046</t>
  </si>
  <si>
    <t>PR1047</t>
  </si>
  <si>
    <t>PR1048</t>
  </si>
  <si>
    <t>PR1049</t>
  </si>
  <si>
    <t>PR105</t>
  </si>
  <si>
    <t>PR1050</t>
  </si>
  <si>
    <t>PR1051</t>
  </si>
  <si>
    <t>PR1052</t>
  </si>
  <si>
    <t>PR1053</t>
  </si>
  <si>
    <t>PR1054</t>
  </si>
  <si>
    <t>PR1055</t>
  </si>
  <si>
    <t>PR1056</t>
  </si>
  <si>
    <t>PR1057</t>
  </si>
  <si>
    <t>PR1058</t>
  </si>
  <si>
    <t>PR1059</t>
  </si>
  <si>
    <t>PR106</t>
  </si>
  <si>
    <t>PR1060</t>
  </si>
  <si>
    <t>PR1061</t>
  </si>
  <si>
    <t>PR1062</t>
  </si>
  <si>
    <t>PR1063</t>
  </si>
  <si>
    <t>PR1064</t>
  </si>
  <si>
    <t>PR1065</t>
  </si>
  <si>
    <t>PR1066</t>
  </si>
  <si>
    <t>PR1067</t>
  </si>
  <si>
    <t>PR1068</t>
  </si>
  <si>
    <t>PR1069</t>
  </si>
  <si>
    <t>PR107</t>
  </si>
  <si>
    <t>PR1070</t>
  </si>
  <si>
    <t>PR1071</t>
  </si>
  <si>
    <t>PR1072</t>
  </si>
  <si>
    <t>PR1073</t>
  </si>
  <si>
    <t>PR1074</t>
  </si>
  <si>
    <t>PR1075</t>
  </si>
  <si>
    <t>PR1076</t>
  </si>
  <si>
    <t>PR1077</t>
  </si>
  <si>
    <t>PR1078</t>
  </si>
  <si>
    <t>PR1079</t>
  </si>
  <si>
    <t>PR108</t>
  </si>
  <si>
    <t>PR1080</t>
  </si>
  <si>
    <t>PR1081</t>
  </si>
  <si>
    <t>PR1082</t>
  </si>
  <si>
    <t>PR1083</t>
  </si>
  <si>
    <t>PR1084</t>
  </si>
  <si>
    <t>PR1085</t>
  </si>
  <si>
    <t>PR1086</t>
  </si>
  <si>
    <t>PR1087</t>
  </si>
  <si>
    <t>PR1088</t>
  </si>
  <si>
    <t>PR1089</t>
  </si>
  <si>
    <t>PR109</t>
  </si>
  <si>
    <t>PR1090</t>
  </si>
  <si>
    <t>PR1091</t>
  </si>
  <si>
    <t>PR1092</t>
  </si>
  <si>
    <t>PR1093</t>
  </si>
  <si>
    <t>PR1094</t>
  </si>
  <si>
    <t>PR1095</t>
  </si>
  <si>
    <t>PR1096</t>
  </si>
  <si>
    <t>PR1097</t>
  </si>
  <si>
    <t>PR1098</t>
  </si>
  <si>
    <t>PR1099</t>
  </si>
  <si>
    <t>PR11</t>
  </si>
  <si>
    <t>PR110</t>
  </si>
  <si>
    <t>PR1100</t>
  </si>
  <si>
    <t>PR1101</t>
  </si>
  <si>
    <t>PR1102</t>
  </si>
  <si>
    <t>PR1103</t>
  </si>
  <si>
    <t>PR1104</t>
  </si>
  <si>
    <t>PR1105</t>
  </si>
  <si>
    <t>PR1106</t>
  </si>
  <si>
    <t>PR1107</t>
  </si>
  <si>
    <t>PR1108</t>
  </si>
  <si>
    <t>PR1109</t>
  </si>
  <si>
    <t>PR111</t>
  </si>
  <si>
    <t>PR1110</t>
  </si>
  <si>
    <t>PR1111</t>
  </si>
  <si>
    <t>PR1112</t>
  </si>
  <si>
    <t>PR1113</t>
  </si>
  <si>
    <t>PR1114</t>
  </si>
  <si>
    <t>PR1115</t>
  </si>
  <si>
    <t>PR1116</t>
  </si>
  <si>
    <t>PR1117</t>
  </si>
  <si>
    <t>PR1118</t>
  </si>
  <si>
    <t>PR1119</t>
  </si>
  <si>
    <t>PR112</t>
  </si>
  <si>
    <t>PR1120</t>
  </si>
  <si>
    <t>PR1121</t>
  </si>
  <si>
    <t>PR1122</t>
  </si>
  <si>
    <t>PR1123</t>
  </si>
  <si>
    <t>PR1124</t>
  </si>
  <si>
    <t>PR1125</t>
  </si>
  <si>
    <t>PR1126</t>
  </si>
  <si>
    <t>PR1127</t>
  </si>
  <si>
    <t>PR1128</t>
  </si>
  <si>
    <t>PR1129</t>
  </si>
  <si>
    <t>PR113</t>
  </si>
  <si>
    <t>PR1130</t>
  </si>
  <si>
    <t>PR1131</t>
  </si>
  <si>
    <t>PR1132</t>
  </si>
  <si>
    <t>PR1133</t>
  </si>
  <si>
    <t>PR1134</t>
  </si>
  <si>
    <t>PR1135</t>
  </si>
  <si>
    <t>PR1136</t>
  </si>
  <si>
    <t>PR1137</t>
  </si>
  <si>
    <t>PR1138</t>
  </si>
  <si>
    <t>PR1139</t>
  </si>
  <si>
    <t>PR114</t>
  </si>
  <si>
    <t>PR1140</t>
  </si>
  <si>
    <t>PR1141</t>
  </si>
  <si>
    <t>PR1142</t>
  </si>
  <si>
    <t>PR1143</t>
  </si>
  <si>
    <t>PR1144</t>
  </si>
  <si>
    <t>PR1145</t>
  </si>
  <si>
    <t>PR1146</t>
  </si>
  <si>
    <t>PR1147</t>
  </si>
  <si>
    <t>PR1148</t>
  </si>
  <si>
    <t>PR1149</t>
  </si>
  <si>
    <t>PR115</t>
  </si>
  <si>
    <t>PR1150</t>
  </si>
  <si>
    <t>PR1151</t>
  </si>
  <si>
    <t>PR1152</t>
  </si>
  <si>
    <t>PR1153</t>
  </si>
  <si>
    <t>PR1154</t>
  </si>
  <si>
    <t>PR1155</t>
  </si>
  <si>
    <t>PR1156</t>
  </si>
  <si>
    <t>PR1157</t>
  </si>
  <si>
    <t>PR1158</t>
  </si>
  <si>
    <t>PR1159</t>
  </si>
  <si>
    <t>PR116</t>
  </si>
  <si>
    <t>PR1160</t>
  </si>
  <si>
    <t>PR1161</t>
  </si>
  <si>
    <t>PR1162</t>
  </si>
  <si>
    <t>PR1163</t>
  </si>
  <si>
    <t>PR1164</t>
  </si>
  <si>
    <t>PR1165</t>
  </si>
  <si>
    <t>PR1166</t>
  </si>
  <si>
    <t>PR1167</t>
  </si>
  <si>
    <t>PR1168</t>
  </si>
  <si>
    <t>PR1169</t>
  </si>
  <si>
    <t>PR117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</si>
  <si>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</si>
  <si>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</si>
  <si>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</si>
  <si>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</si>
  <si>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</si>
  <si>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</si>
  <si>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</si>
  <si>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</si>
  <si>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</si>
  <si>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</si>
  <si>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</t>
  </si>
  <si>
    <t>PR1180</t>
  </si>
  <si>
    <t>PR1181</t>
  </si>
  <si>
    <t>PR1182</t>
  </si>
  <si>
    <t>PR1183</t>
  </si>
  <si>
    <t>PR1184</t>
  </si>
  <si>
    <t>PR1185</t>
  </si>
  <si>
    <t>PR1186</t>
  </si>
  <si>
    <t>PR1187</t>
  </si>
  <si>
    <t>PR1188</t>
  </si>
  <si>
    <t>PR1189</t>
  </si>
  <si>
    <t>PR119</t>
  </si>
  <si>
    <t>PR1190</t>
  </si>
  <si>
    <t>PR1191</t>
  </si>
  <si>
    <t>PR1192</t>
  </si>
  <si>
    <t>PR1193</t>
  </si>
  <si>
    <t>PR1194</t>
  </si>
  <si>
    <t>PR1195</t>
  </si>
  <si>
    <t>PR1196</t>
  </si>
  <si>
    <t>PR1197</t>
  </si>
  <si>
    <t>PR1198</t>
  </si>
  <si>
    <t>PR1199</t>
  </si>
  <si>
    <t>PR12</t>
  </si>
  <si>
    <t>PR120</t>
  </si>
  <si>
    <t>PR1200</t>
  </si>
  <si>
    <t>PR1201</t>
  </si>
  <si>
    <t>PR1202</t>
  </si>
  <si>
    <t>PR1203</t>
  </si>
  <si>
    <t>PR1204</t>
  </si>
  <si>
    <t>PR1205</t>
  </si>
  <si>
    <t>PR1206</t>
  </si>
  <si>
    <t>PR1207</t>
  </si>
  <si>
    <t>PR1208</t>
  </si>
  <si>
    <t>PR1209</t>
  </si>
  <si>
    <t>PR121</t>
  </si>
  <si>
    <t>PR1210</t>
  </si>
  <si>
    <t>PR1211</t>
  </si>
  <si>
    <t>PR1212</t>
  </si>
  <si>
    <t>PR1213</t>
  </si>
  <si>
    <t>PR1214</t>
  </si>
  <si>
    <t>PR1215</t>
  </si>
  <si>
    <t>PR1216</t>
  </si>
  <si>
    <t>PR1217</t>
  </si>
  <si>
    <t>PR1218</t>
  </si>
  <si>
    <t>PR1219</t>
  </si>
  <si>
    <t>PR122</t>
  </si>
  <si>
    <t>PR1220</t>
  </si>
  <si>
    <t>PR1221</t>
  </si>
  <si>
    <t>PR1222</t>
  </si>
  <si>
    <t>PR1223</t>
  </si>
  <si>
    <t>PR1224</t>
  </si>
  <si>
    <t>PR1225</t>
  </si>
  <si>
    <t>PR1226</t>
  </si>
  <si>
    <t>PR1227</t>
  </si>
  <si>
    <t>PR1228</t>
  </si>
  <si>
    <t>PR1229</t>
  </si>
  <si>
    <t>PR123</t>
  </si>
  <si>
    <t>PR1230</t>
  </si>
  <si>
    <t>PR1231</t>
  </si>
  <si>
    <t>PR1232</t>
  </si>
  <si>
    <t>PR1233</t>
  </si>
  <si>
    <t>PR1234</t>
  </si>
  <si>
    <t>PR1235</t>
  </si>
  <si>
    <t>PR1236</t>
  </si>
  <si>
    <t>PR1237</t>
  </si>
  <si>
    <t>PR1238</t>
  </si>
  <si>
    <t>PR1239</t>
  </si>
  <si>
    <t>PR124</t>
  </si>
  <si>
    <t>PR1240</t>
  </si>
  <si>
    <t>PR1241</t>
  </si>
  <si>
    <t>PR1242</t>
  </si>
  <si>
    <t>PR1243</t>
  </si>
  <si>
    <t>PR1244</t>
  </si>
  <si>
    <t>PR1245</t>
  </si>
  <si>
    <t>PR1246</t>
  </si>
  <si>
    <t>PR1247</t>
  </si>
  <si>
    <t>PR1248</t>
  </si>
  <si>
    <t>PR1249</t>
  </si>
  <si>
    <t>PR125</t>
  </si>
  <si>
    <t>PR1250</t>
  </si>
  <si>
    <t>PR1251</t>
  </si>
  <si>
    <t>PR1252</t>
  </si>
  <si>
    <t>PR1253</t>
  </si>
  <si>
    <t>PR1254</t>
  </si>
  <si>
    <t>PR1255</t>
  </si>
  <si>
    <t>PR1256</t>
  </si>
  <si>
    <t>PR1257</t>
  </si>
  <si>
    <t>PR1258</t>
  </si>
  <si>
    <t>PR1259</t>
  </si>
  <si>
    <t>PR126</t>
  </si>
  <si>
    <t>PR1260</t>
  </si>
  <si>
    <t>PR1261</t>
  </si>
  <si>
    <t>PR1262</t>
  </si>
  <si>
    <t>PR1263</t>
  </si>
  <si>
    <t>PR1264</t>
  </si>
  <si>
    <t>PR1265</t>
  </si>
  <si>
    <t>PR1266</t>
  </si>
  <si>
    <t>PR1267</t>
  </si>
  <si>
    <t>PR1268</t>
  </si>
  <si>
    <t>PR1269</t>
  </si>
  <si>
    <t>PR127</t>
  </si>
  <si>
    <t>PR1270</t>
  </si>
  <si>
    <t>PR1271</t>
  </si>
  <si>
    <t>PR1272</t>
  </si>
  <si>
    <t>PR1273</t>
  </si>
  <si>
    <t>PR1274</t>
  </si>
  <si>
    <t>PR1275</t>
  </si>
  <si>
    <t>PR1276</t>
  </si>
  <si>
    <t>PR1277</t>
  </si>
  <si>
    <t>PR1278</t>
  </si>
  <si>
    <t>PR1279</t>
  </si>
  <si>
    <t>PR128</t>
  </si>
  <si>
    <t>PR1280</t>
  </si>
  <si>
    <t>PR1281</t>
  </si>
  <si>
    <t>PR1282</t>
  </si>
  <si>
    <t>PR1283</t>
  </si>
  <si>
    <t>PR1284</t>
  </si>
  <si>
    <t>PR1285</t>
  </si>
  <si>
    <t>PR1286</t>
  </si>
  <si>
    <t>PR1287</t>
  </si>
  <si>
    <t>PR1288</t>
  </si>
  <si>
    <t>PR1289</t>
  </si>
  <si>
    <t>PR129</t>
  </si>
  <si>
    <t>PR1290</t>
  </si>
  <si>
    <t>PR1291</t>
  </si>
  <si>
    <t>PR1292</t>
  </si>
  <si>
    <t>PR1293</t>
  </si>
  <si>
    <t>PR1294</t>
  </si>
  <si>
    <t>PR1295</t>
  </si>
  <si>
    <t>PR1296</t>
  </si>
  <si>
    <t>PR1297</t>
  </si>
  <si>
    <t>PR1298</t>
  </si>
  <si>
    <t>PR1299</t>
  </si>
  <si>
    <t>PR13</t>
  </si>
  <si>
    <t>PR130</t>
  </si>
  <si>
    <t>PR1300</t>
  </si>
  <si>
    <t>PR1301</t>
  </si>
  <si>
    <t>PR1302</t>
  </si>
  <si>
    <t>PR1303</t>
  </si>
  <si>
    <t>PR1304</t>
  </si>
  <si>
    <t>PR1305</t>
  </si>
  <si>
    <t>PR1306</t>
  </si>
  <si>
    <t>PR1307</t>
  </si>
  <si>
    <t>PR1308</t>
  </si>
  <si>
    <t>PR1309</t>
  </si>
  <si>
    <t>PR131</t>
  </si>
  <si>
    <t>PR1310</t>
  </si>
  <si>
    <t>PR1311</t>
  </si>
  <si>
    <t>PR1312</t>
  </si>
  <si>
    <t>PR1313</t>
  </si>
  <si>
    <t>PR1314</t>
  </si>
  <si>
    <t>PR1315</t>
  </si>
  <si>
    <t>PR1316</t>
  </si>
  <si>
    <t>PR1317</t>
  </si>
  <si>
    <t>PR1318</t>
  </si>
  <si>
    <t>PR1319</t>
  </si>
  <si>
    <t>PR132</t>
  </si>
  <si>
    <t>PR1320</t>
  </si>
  <si>
    <t>PR1321</t>
  </si>
  <si>
    <t>PR1322</t>
  </si>
  <si>
    <t>PR1323</t>
  </si>
  <si>
    <t>PR1324</t>
  </si>
  <si>
    <t>PR1325</t>
  </si>
  <si>
    <t>PR1326</t>
  </si>
  <si>
    <t>PR1327</t>
  </si>
  <si>
    <t>PR1328</t>
  </si>
  <si>
    <t>PR1329</t>
  </si>
  <si>
    <t>PR133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</si>
  <si>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</si>
  <si>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</si>
  <si>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</si>
  <si>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</si>
  <si>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</si>
  <si>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</si>
  <si>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</si>
  <si>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</si>
  <si>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PR1338</t>
  </si>
  <si>
    <t>PR1339</t>
  </si>
  <si>
    <t>PR134</t>
  </si>
  <si>
    <t>PR1340</t>
  </si>
  <si>
    <t>PR1341</t>
  </si>
  <si>
    <t>PR1342</t>
  </si>
  <si>
    <t>PR1343</t>
  </si>
  <si>
    <t>PR1344</t>
  </si>
  <si>
    <t>PR1345</t>
  </si>
  <si>
    <t>PR1346</t>
  </si>
  <si>
    <t>PR1347</t>
  </si>
  <si>
    <t>PR1348</t>
  </si>
  <si>
    <t>PR1349</t>
  </si>
  <si>
    <t>PR135</t>
  </si>
  <si>
    <t>PR1350</t>
  </si>
  <si>
    <t>PR1351</t>
  </si>
  <si>
    <t>PR1352</t>
  </si>
  <si>
    <t>PR1353</t>
  </si>
  <si>
    <t>PR1354</t>
  </si>
  <si>
    <t>PR1355</t>
  </si>
  <si>
    <t>PR1356</t>
  </si>
  <si>
    <t>PR1357</t>
  </si>
  <si>
    <t>PR1358</t>
  </si>
  <si>
    <t>PR1359</t>
  </si>
  <si>
    <t>PR136</t>
  </si>
  <si>
    <t>PR1360</t>
  </si>
  <si>
    <t>PR1361</t>
  </si>
  <si>
    <t>PR1362</t>
  </si>
  <si>
    <t>PR1363</t>
  </si>
  <si>
    <t>PR1364</t>
  </si>
  <si>
    <t>PR1365</t>
  </si>
  <si>
    <t>PR1366</t>
  </si>
  <si>
    <t>PR1367</t>
  </si>
  <si>
    <t>PR1368</t>
  </si>
  <si>
    <t>PR1369</t>
  </si>
  <si>
    <t>PR137</t>
  </si>
  <si>
    <t>PR1370</t>
  </si>
  <si>
    <t>PR1371</t>
  </si>
  <si>
    <t>PR1372</t>
  </si>
  <si>
    <t>PR1373</t>
  </si>
  <si>
    <t>PR1374</t>
  </si>
  <si>
    <t>PR1375</t>
  </si>
  <si>
    <t>PR1376</t>
  </si>
  <si>
    <t>PR1377</t>
  </si>
  <si>
    <t>PR1378</t>
  </si>
  <si>
    <t>PR1379</t>
  </si>
  <si>
    <t>PR138</t>
  </si>
  <si>
    <t>PR1380</t>
  </si>
  <si>
    <t>PR1381</t>
  </si>
  <si>
    <t>PR1382</t>
  </si>
  <si>
    <t>PR1383</t>
  </si>
  <si>
    <t>PR1384</t>
  </si>
  <si>
    <t>PR1385</t>
  </si>
  <si>
    <t>PR1386</t>
  </si>
  <si>
    <t>PR1387</t>
  </si>
  <si>
    <t>PR1388</t>
  </si>
  <si>
    <t>PR1389</t>
  </si>
  <si>
    <t>PR139</t>
  </si>
  <si>
    <t>PR1390</t>
  </si>
  <si>
    <t>PR1391</t>
  </si>
  <si>
    <t>PR1392</t>
  </si>
  <si>
    <t>PR1393</t>
  </si>
  <si>
    <t>PR1394</t>
  </si>
  <si>
    <t>PR1395</t>
  </si>
  <si>
    <t>PR1396</t>
  </si>
  <si>
    <t>PR1397</t>
  </si>
  <si>
    <t>PR1398</t>
  </si>
  <si>
    <t>PR1399</t>
  </si>
  <si>
    <t>PR14</t>
  </si>
  <si>
    <t>PR140</t>
  </si>
  <si>
    <t>PR1400</t>
  </si>
  <si>
    <t>PR1401</t>
  </si>
  <si>
    <t>PR1402</t>
  </si>
  <si>
    <t>PR1403</t>
  </si>
  <si>
    <t>PR1404</t>
  </si>
  <si>
    <t>PR1405</t>
  </si>
  <si>
    <t>PR1406</t>
  </si>
  <si>
    <t>PR1407</t>
  </si>
  <si>
    <t>PR1408</t>
  </si>
  <si>
    <t>PR1409</t>
  </si>
  <si>
    <t>PR141</t>
  </si>
  <si>
    <t>PR1410</t>
  </si>
  <si>
    <t>PR1411</t>
  </si>
  <si>
    <t>PR1412</t>
  </si>
  <si>
    <t>PR1413</t>
  </si>
  <si>
    <t>PR1414</t>
  </si>
  <si>
    <t>PR1415</t>
  </si>
  <si>
    <t>PR1416</t>
  </si>
  <si>
    <t>PR1417</t>
  </si>
  <si>
    <t>PR1418</t>
  </si>
  <si>
    <t>PR1419</t>
  </si>
  <si>
    <t>PR142</t>
  </si>
  <si>
    <t>PR1420</t>
  </si>
  <si>
    <t>PR1421</t>
  </si>
  <si>
    <t>PR1422</t>
  </si>
  <si>
    <t>PR1423</t>
  </si>
  <si>
    <t>PR1424</t>
  </si>
  <si>
    <t>PR1425</t>
  </si>
  <si>
    <t>PR1426</t>
  </si>
  <si>
    <t>PR1427</t>
  </si>
  <si>
    <t>PR1428</t>
  </si>
  <si>
    <t>PR1429</t>
  </si>
  <si>
    <t>PR143</t>
  </si>
  <si>
    <t>PR1430</t>
  </si>
  <si>
    <t>PR1431</t>
  </si>
  <si>
    <t>PR1432</t>
  </si>
  <si>
    <t>PR1433</t>
  </si>
  <si>
    <t>PR1434</t>
  </si>
  <si>
    <t>PR1435</t>
  </si>
  <si>
    <t>PR1436</t>
  </si>
  <si>
    <t>PR1437</t>
  </si>
  <si>
    <t>PR1438</t>
  </si>
  <si>
    <t>PR1439</t>
  </si>
  <si>
    <t>PR144</t>
  </si>
  <si>
    <t>PR1440</t>
  </si>
  <si>
    <t>PR1441</t>
  </si>
  <si>
    <t>PR1442</t>
  </si>
  <si>
    <t>PR1443</t>
  </si>
  <si>
    <t>PR1444</t>
  </si>
  <si>
    <t>PR1445</t>
  </si>
  <si>
    <t>PR1446</t>
  </si>
  <si>
    <t>PR1447</t>
  </si>
  <si>
    <t>PR1448</t>
  </si>
  <si>
    <t>PR1449</t>
  </si>
  <si>
    <t>PR145</t>
  </si>
  <si>
    <t>PR1450</t>
  </si>
  <si>
    <t>PR1451</t>
  </si>
  <si>
    <t>PR1452</t>
  </si>
  <si>
    <t>PR1453</t>
  </si>
  <si>
    <t>PR1454</t>
  </si>
  <si>
    <t>PR1455</t>
  </si>
  <si>
    <t>PR1456</t>
  </si>
  <si>
    <t>PR1457</t>
  </si>
  <si>
    <t>PR1458</t>
  </si>
  <si>
    <t>PR1459</t>
  </si>
  <si>
    <t>PR146</t>
  </si>
  <si>
    <t>PR1460</t>
  </si>
  <si>
    <t>PR1461</t>
  </si>
  <si>
    <t>PR1462</t>
  </si>
  <si>
    <t>PR1463</t>
  </si>
  <si>
    <t>PR1464</t>
  </si>
  <si>
    <t>PR1465</t>
  </si>
  <si>
    <t>PR1466</t>
  </si>
  <si>
    <t>PR1467</t>
  </si>
  <si>
    <t>PR1468</t>
  </si>
  <si>
    <t>PR1469</t>
  </si>
  <si>
    <t>PR147</t>
  </si>
  <si>
    <t>PR1470</t>
  </si>
  <si>
    <t>PR1471</t>
  </si>
  <si>
    <t>PR1472</t>
  </si>
  <si>
    <t>PR1473</t>
  </si>
  <si>
    <t>PR1474</t>
  </si>
  <si>
    <t>PR1475</t>
  </si>
  <si>
    <t>PR1476</t>
  </si>
  <si>
    <t>PR1477</t>
  </si>
  <si>
    <t>PR1478</t>
  </si>
  <si>
    <t>PR1479</t>
  </si>
  <si>
    <t>PR148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</si>
  <si>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</si>
  <si>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</si>
  <si>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</si>
  <si>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</si>
  <si>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</si>
  <si>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</si>
  <si>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</si>
  <si>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</si>
  <si>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</si>
  <si>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</si>
  <si>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</t>
  </si>
  <si>
    <t>PR1490</t>
  </si>
  <si>
    <t>PR1491</t>
  </si>
  <si>
    <t>PR1492</t>
  </si>
  <si>
    <t>PR1493</t>
  </si>
  <si>
    <t>PR1494</t>
  </si>
  <si>
    <t>PR1495</t>
  </si>
  <si>
    <t>PR1496</t>
  </si>
  <si>
    <t>PR1497</t>
  </si>
  <si>
    <t>PR1498</t>
  </si>
  <si>
    <t>PR1499</t>
  </si>
  <si>
    <t>PR15</t>
  </si>
  <si>
    <t>PR150</t>
  </si>
  <si>
    <t>PR1500</t>
  </si>
  <si>
    <t>PR1501</t>
  </si>
  <si>
    <t>PR1502</t>
  </si>
  <si>
    <t>PR1503</t>
  </si>
  <si>
    <t>PR1504</t>
  </si>
  <si>
    <t>PR1505</t>
  </si>
  <si>
    <t>PR1506</t>
  </si>
  <si>
    <t>PR1507</t>
  </si>
  <si>
    <t>PR1508</t>
  </si>
  <si>
    <t>PR1509</t>
  </si>
  <si>
    <t>PR151</t>
  </si>
  <si>
    <t>PR1510</t>
  </si>
  <si>
    <t>PR1511</t>
  </si>
  <si>
    <t>PR1512</t>
  </si>
  <si>
    <t>PR1513</t>
  </si>
  <si>
    <t>PR1514</t>
  </si>
  <si>
    <t>PR1515</t>
  </si>
  <si>
    <t>PR1516</t>
  </si>
  <si>
    <t>PR1517</t>
  </si>
  <si>
    <t>PR1518</t>
  </si>
  <si>
    <t>PR1519</t>
  </si>
  <si>
    <t>PR152</t>
  </si>
  <si>
    <t>PR1520</t>
  </si>
  <si>
    <t>PR1521</t>
  </si>
  <si>
    <t>PR1522</t>
  </si>
  <si>
    <t>PR1523</t>
  </si>
  <si>
    <t>PR1524</t>
  </si>
  <si>
    <t>PR1525</t>
  </si>
  <si>
    <t>PR1526</t>
  </si>
  <si>
    <t>PR1527</t>
  </si>
  <si>
    <t>PR1528</t>
  </si>
  <si>
    <t>PR1529</t>
  </si>
  <si>
    <t>PR153</t>
  </si>
  <si>
    <t>PR1530</t>
  </si>
  <si>
    <t>PR1531</t>
  </si>
  <si>
    <t>PR1532</t>
  </si>
  <si>
    <t>PR1533</t>
  </si>
  <si>
    <t>PR1534</t>
  </si>
  <si>
    <t>PR1535</t>
  </si>
  <si>
    <t>PR1536</t>
  </si>
  <si>
    <t>PR1537</t>
  </si>
  <si>
    <t>PR1538</t>
  </si>
  <si>
    <t>PR1539</t>
  </si>
  <si>
    <t>PR154</t>
  </si>
  <si>
    <t>PR1540</t>
  </si>
  <si>
    <t>PR1541</t>
  </si>
  <si>
    <t>PR1542</t>
  </si>
  <si>
    <t>PR1543</t>
  </si>
  <si>
    <t>PR1544</t>
  </si>
  <si>
    <t>PR1545</t>
  </si>
  <si>
    <t>PR1546</t>
  </si>
  <si>
    <t>PR1547</t>
  </si>
  <si>
    <t>PR1548</t>
  </si>
  <si>
    <t>PR1549</t>
  </si>
  <si>
    <t>PR155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</si>
  <si>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</si>
  <si>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</si>
  <si>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</si>
  <si>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</si>
  <si>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</si>
  <si>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</si>
  <si>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</si>
  <si>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</si>
  <si>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</si>
  <si>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</si>
  <si>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</si>
  <si>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</si>
  <si>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</si>
  <si>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</si>
  <si>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</si>
  <si>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</si>
  <si>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</si>
  <si>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</si>
  <si>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</si>
  <si>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</si>
  <si>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</si>
  <si>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PR157</t>
  </si>
  <si>
    <t>PR1570</t>
  </si>
  <si>
    <t>PR1571</t>
  </si>
  <si>
    <t>PR1572</t>
  </si>
  <si>
    <t>PR1573</t>
  </si>
  <si>
    <t>PR1574</t>
  </si>
  <si>
    <t>PR1575</t>
  </si>
  <si>
    <t>PR1576</t>
  </si>
  <si>
    <t>PR1577</t>
  </si>
  <si>
    <t>PR1578</t>
  </si>
  <si>
    <t>PR1579</t>
  </si>
  <si>
    <t>PR158</t>
  </si>
  <si>
    <t>PR1580</t>
  </si>
  <si>
    <t>PR1581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</si>
  <si>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</si>
  <si>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</si>
  <si>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</si>
  <si>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</si>
  <si>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</si>
  <si>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</si>
  <si>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</si>
  <si>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</si>
  <si>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</si>
  <si>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</si>
  <si>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</si>
  <si>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</si>
  <si>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PR1593</t>
  </si>
  <si>
    <t>PR1594</t>
  </si>
  <si>
    <t>PR1595</t>
  </si>
  <si>
    <t>PR1596</t>
  </si>
  <si>
    <t>PR1597</t>
  </si>
  <si>
    <t>PR1598</t>
  </si>
  <si>
    <t>PR1599</t>
  </si>
  <si>
    <t>PR16</t>
  </si>
  <si>
    <t>PR160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</si>
  <si>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</si>
  <si>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</si>
  <si>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</si>
  <si>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</si>
  <si>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</si>
  <si>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</si>
  <si>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</si>
  <si>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</si>
  <si>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</si>
  <si>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PR1609</t>
  </si>
  <si>
    <t>PR161</t>
  </si>
  <si>
    <t>PR1610</t>
  </si>
  <si>
    <t>PR1611</t>
  </si>
  <si>
    <t>PR1612</t>
  </si>
  <si>
    <t>PR1613</t>
  </si>
  <si>
    <t>PR1614</t>
  </si>
  <si>
    <t>PR1615</t>
  </si>
  <si>
    <t>PR1616</t>
  </si>
  <si>
    <t>PR1617</t>
  </si>
  <si>
    <t>PR1618</t>
  </si>
  <si>
    <t>PR1619</t>
  </si>
  <si>
    <t>PR162</t>
  </si>
  <si>
    <t>PR1620</t>
  </si>
  <si>
    <t>PR1621</t>
  </si>
  <si>
    <t>PR1622</t>
  </si>
  <si>
    <t>PR1623</t>
  </si>
  <si>
    <t>PR1624</t>
  </si>
  <si>
    <t>PR1625</t>
  </si>
  <si>
    <t>PR1626</t>
  </si>
  <si>
    <t>PR1627</t>
  </si>
  <si>
    <t>PR1628</t>
  </si>
  <si>
    <t>PR1629</t>
  </si>
  <si>
    <t>PR163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</si>
  <si>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</si>
  <si>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</si>
  <si>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</si>
  <si>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</si>
  <si>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</si>
  <si>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</si>
  <si>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</si>
  <si>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</si>
  <si>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</si>
  <si>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</si>
  <si>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</si>
  <si>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</si>
  <si>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</si>
  <si>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</si>
  <si>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</si>
  <si>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</si>
  <si>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</si>
  <si>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</si>
  <si>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</si>
  <si>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</si>
  <si>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</si>
  <si>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</si>
  <si>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</si>
  <si>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</si>
  <si>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</si>
  <si>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</si>
  <si>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</si>
  <si>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</si>
  <si>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</si>
  <si>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</si>
  <si>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</si>
  <si>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</si>
  <si>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</si>
  <si>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</si>
  <si>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</si>
  <si>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</si>
  <si>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</si>
  <si>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</si>
  <si>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</si>
  <si>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</si>
  <si>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</si>
  <si>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</si>
  <si>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</si>
  <si>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</si>
  <si>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</si>
  <si>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</si>
  <si>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</si>
  <si>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</si>
  <si>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</si>
  <si>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</si>
  <si>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</si>
  <si>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</si>
  <si>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</si>
  <si>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</si>
  <si>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PR168</t>
  </si>
  <si>
    <t>PR1680</t>
  </si>
  <si>
    <t>PR1681</t>
  </si>
  <si>
    <t>PR1682</t>
  </si>
  <si>
    <t>PR1683</t>
  </si>
  <si>
    <t>PR1684</t>
  </si>
  <si>
    <t>PR1685</t>
  </si>
  <si>
    <t>PR1686</t>
  </si>
  <si>
    <t>PR1687</t>
  </si>
  <si>
    <t>PR1688</t>
  </si>
  <si>
    <t>PR1689</t>
  </si>
  <si>
    <t>PR169</t>
  </si>
  <si>
    <t>PR1690</t>
  </si>
  <si>
    <t>PR1691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</si>
  <si>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</si>
  <si>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</si>
  <si>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</si>
  <si>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</si>
  <si>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</si>
  <si>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</si>
  <si>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</si>
  <si>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</si>
  <si>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</t>
  </si>
  <si>
    <t>PR170</t>
  </si>
  <si>
    <t>PR1700</t>
  </si>
  <si>
    <t>PR1701</t>
  </si>
  <si>
    <t>PR1702</t>
  </si>
  <si>
    <t>PR1703</t>
  </si>
  <si>
    <t>PR1704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</si>
  <si>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</si>
  <si>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</si>
  <si>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</si>
  <si>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</si>
  <si>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</si>
  <si>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</si>
  <si>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</si>
  <si>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</si>
  <si>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</si>
  <si>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</si>
  <si>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</si>
  <si>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</si>
  <si>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PR1716</t>
  </si>
  <si>
    <t>PR1717</t>
  </si>
  <si>
    <t>PR1718</t>
  </si>
  <si>
    <t>PR1719</t>
  </si>
  <si>
    <t>PR172</t>
  </si>
  <si>
    <t>PR1720</t>
  </si>
  <si>
    <t>PR1721</t>
  </si>
  <si>
    <t>PR1722</t>
  </si>
  <si>
    <t>PR1723</t>
  </si>
  <si>
    <t>PR1724</t>
  </si>
  <si>
    <t>PR1725</t>
  </si>
  <si>
    <t>PR1726</t>
  </si>
  <si>
    <t>PR1727</t>
  </si>
  <si>
    <t>PR1728</t>
  </si>
  <si>
    <t>PR1729</t>
  </si>
  <si>
    <t>PR173</t>
  </si>
  <si>
    <t>PR1730</t>
  </si>
  <si>
    <t>PR1731</t>
  </si>
  <si>
    <t>PR1732</t>
  </si>
  <si>
    <t>PR1733</t>
  </si>
  <si>
    <t>PR1734</t>
  </si>
  <si>
    <t>PR1735</t>
  </si>
  <si>
    <t>PR1736</t>
  </si>
  <si>
    <t>PR1737</t>
  </si>
  <si>
    <t>PR1738</t>
  </si>
  <si>
    <t>PR1739</t>
  </si>
  <si>
    <t>PR174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</si>
  <si>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</si>
  <si>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</si>
  <si>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</si>
  <si>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</si>
  <si>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</si>
  <si>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</si>
  <si>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</si>
  <si>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</si>
  <si>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</si>
  <si>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</si>
  <si>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</t>
  </si>
  <si>
    <t>PR1750</t>
  </si>
  <si>
    <t>PR1751</t>
  </si>
  <si>
    <t>PR1752</t>
  </si>
  <si>
    <t>PR1753</t>
  </si>
  <si>
    <t>PR1754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</si>
  <si>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</si>
  <si>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</si>
  <si>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</si>
  <si>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</si>
  <si>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</si>
  <si>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</si>
  <si>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</si>
  <si>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</si>
  <si>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</si>
  <si>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PR1763</t>
  </si>
  <si>
    <t>PR1764</t>
  </si>
  <si>
    <t>PR1765</t>
  </si>
  <si>
    <t>PR1766</t>
  </si>
  <si>
    <t>PR1767</t>
  </si>
  <si>
    <t>PR1768</t>
  </si>
  <si>
    <t>PR1769</t>
  </si>
  <si>
    <t>PR177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</si>
  <si>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</si>
  <si>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</si>
  <si>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</si>
  <si>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</si>
  <si>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</si>
  <si>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</si>
  <si>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</si>
  <si>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</si>
  <si>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</si>
  <si>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PR1779</t>
  </si>
  <si>
    <t>PR178</t>
  </si>
  <si>
    <t>PR1780</t>
  </si>
  <si>
    <t>PR1781</t>
  </si>
  <si>
    <t>PR1782</t>
  </si>
  <si>
    <t>PR1783</t>
  </si>
  <si>
    <t>PR1784</t>
  </si>
  <si>
    <t>PR1785</t>
  </si>
  <si>
    <t>PR1786</t>
  </si>
  <si>
    <t>PR1787</t>
  </si>
  <si>
    <t>PR1788</t>
  </si>
  <si>
    <t>PR1789</t>
  </si>
  <si>
    <t>PR179</t>
  </si>
  <si>
    <t>PR1790</t>
  </si>
  <si>
    <t>PR1791</t>
  </si>
  <si>
    <t>PR1792</t>
  </si>
  <si>
    <t>PR1793</t>
  </si>
  <si>
    <t>PR1794</t>
  </si>
  <si>
    <t>PR1795</t>
  </si>
  <si>
    <t>PR1796</t>
  </si>
  <si>
    <t>PR1797</t>
  </si>
  <si>
    <t>PR1798</t>
  </si>
  <si>
    <t>PR1799</t>
  </si>
  <si>
    <t>PR18</t>
  </si>
  <si>
    <t>PR180</t>
  </si>
  <si>
    <t>PR1800</t>
  </si>
  <si>
    <t>PR1801</t>
  </si>
  <si>
    <t>PR1802</t>
  </si>
  <si>
    <t>PR1803</t>
  </si>
  <si>
    <t>PR1804</t>
  </si>
  <si>
    <t>PR1805</t>
  </si>
  <si>
    <t>PR1806</t>
  </si>
  <si>
    <t>PR1807</t>
  </si>
  <si>
    <t>PR1808</t>
  </si>
  <si>
    <t>PR1809</t>
  </si>
  <si>
    <t>PR181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</si>
  <si>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</si>
  <si>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</si>
  <si>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</si>
  <si>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</si>
  <si>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</si>
  <si>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</si>
  <si>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</si>
  <si>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</si>
  <si>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</si>
  <si>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</si>
  <si>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</t>
  </si>
  <si>
    <t>PR1820</t>
  </si>
  <si>
    <t>PR1821</t>
  </si>
  <si>
    <t>PR1822</t>
  </si>
  <si>
    <t>PR1823</t>
  </si>
  <si>
    <t>PR1824</t>
  </si>
  <si>
    <t>PR1825</t>
  </si>
  <si>
    <t>PR1826</t>
  </si>
  <si>
    <t>PR1827</t>
  </si>
  <si>
    <t>PR1828</t>
  </si>
  <si>
    <t>PR1829</t>
  </si>
  <si>
    <t>PR183</t>
  </si>
  <si>
    <t>PR1830</t>
  </si>
  <si>
    <t>PR1831</t>
  </si>
  <si>
    <t>PR1832</t>
  </si>
  <si>
    <t>PR1833</t>
  </si>
  <si>
    <t>PR1834</t>
  </si>
  <si>
    <t>PR1835</t>
  </si>
  <si>
    <t>PR1836</t>
  </si>
  <si>
    <t>PR1837</t>
  </si>
  <si>
    <t>PR1838</t>
  </si>
  <si>
    <t>PR1839</t>
  </si>
  <si>
    <t>PR184</t>
  </si>
  <si>
    <t>PR1840</t>
  </si>
  <si>
    <t>PR1841</t>
  </si>
  <si>
    <t>PR1842</t>
  </si>
  <si>
    <t>PR1843</t>
  </si>
  <si>
    <t>PR1844</t>
  </si>
  <si>
    <t>PR1845</t>
  </si>
  <si>
    <t>PR1846</t>
  </si>
  <si>
    <t>PR1847</t>
  </si>
  <si>
    <t>PR1848</t>
  </si>
  <si>
    <t>PR1849</t>
  </si>
  <si>
    <t>PR185</t>
  </si>
  <si>
    <t>PR1850</t>
  </si>
  <si>
    <t>PR1851</t>
  </si>
  <si>
    <t>PR1852</t>
  </si>
  <si>
    <t>PR1853</t>
  </si>
  <si>
    <t>PR1854</t>
  </si>
  <si>
    <t>PR1855</t>
  </si>
  <si>
    <t>PR1856</t>
  </si>
  <si>
    <t>PR1857</t>
  </si>
  <si>
    <t>PR1858</t>
  </si>
  <si>
    <t>PR1859</t>
  </si>
  <si>
    <t>PR186</t>
  </si>
  <si>
    <t>PR1860</t>
  </si>
  <si>
    <t>PR1861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</si>
  <si>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</si>
  <si>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</si>
  <si>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</si>
  <si>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</si>
  <si>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</si>
  <si>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</si>
  <si>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</si>
  <si>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</si>
  <si>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PR187</t>
  </si>
  <si>
    <t>PR1870</t>
  </si>
  <si>
    <t>PR1871</t>
  </si>
  <si>
    <t>PR1872</t>
  </si>
  <si>
    <t>PR1873</t>
  </si>
  <si>
    <t>PR1874</t>
  </si>
  <si>
    <t>PR1875</t>
  </si>
  <si>
    <t>PR1876</t>
  </si>
  <si>
    <t>PR1877</t>
  </si>
  <si>
    <t>PR1878</t>
  </si>
  <si>
    <t>PR1879</t>
  </si>
  <si>
    <t>PR188</t>
  </si>
  <si>
    <t>PR1880</t>
  </si>
  <si>
    <t>PR1881</t>
  </si>
  <si>
    <t>PR1882</t>
  </si>
  <si>
    <t>PR1883</t>
  </si>
  <si>
    <t>PR1884</t>
  </si>
  <si>
    <t>PR1885</t>
  </si>
  <si>
    <t>PR1886</t>
  </si>
  <si>
    <t>PR1887</t>
  </si>
  <si>
    <t>PR1888</t>
  </si>
  <si>
    <t>PR1889</t>
  </si>
  <si>
    <t>PR189</t>
  </si>
  <si>
    <t>PR1890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</si>
  <si>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</si>
  <si>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</si>
  <si>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</si>
  <si>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</si>
  <si>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</si>
  <si>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</si>
  <si>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</si>
  <si>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</si>
  <si>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</si>
  <si>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</t>
  </si>
  <si>
    <t>PR190</t>
  </si>
  <si>
    <t>PR1900</t>
  </si>
  <si>
    <t>PR1901</t>
  </si>
  <si>
    <t>PR1902</t>
  </si>
  <si>
    <t>PR1903</t>
  </si>
  <si>
    <t>PR1904</t>
  </si>
  <si>
    <t>PR1905</t>
  </si>
  <si>
    <t>PR1906</t>
  </si>
  <si>
    <t>PR1907</t>
  </si>
  <si>
    <t>PR1908</t>
  </si>
  <si>
    <t>PR1909</t>
  </si>
  <si>
    <t>PR191</t>
  </si>
  <si>
    <t>PR1910</t>
  </si>
  <si>
    <t>PR1911</t>
  </si>
  <si>
    <t>PR1912</t>
  </si>
  <si>
    <t>PR1913</t>
  </si>
  <si>
    <t>PR1914</t>
  </si>
  <si>
    <t>PR1915</t>
  </si>
  <si>
    <t>PR1916</t>
  </si>
  <si>
    <t>PR1917</t>
  </si>
  <si>
    <t>PR1918</t>
  </si>
  <si>
    <t>PR1919</t>
  </si>
  <si>
    <t>PR192</t>
  </si>
  <si>
    <t>PR1920</t>
  </si>
  <si>
    <t>PR1921</t>
  </si>
  <si>
    <t>PR1922</t>
  </si>
  <si>
    <t>PR1923</t>
  </si>
  <si>
    <t>PR1924</t>
  </si>
  <si>
    <t>PR1925</t>
  </si>
  <si>
    <t>PR1926</t>
  </si>
  <si>
    <t>PR1927</t>
  </si>
  <si>
    <t>PR1928</t>
  </si>
  <si>
    <t>PR1929</t>
  </si>
  <si>
    <t>PR193</t>
  </si>
  <si>
    <t>PR1930</t>
  </si>
  <si>
    <t>PR1931</t>
  </si>
  <si>
    <t>PR1932</t>
  </si>
  <si>
    <t>PR1933</t>
  </si>
  <si>
    <t>PR1934</t>
  </si>
  <si>
    <t>PR1935</t>
  </si>
  <si>
    <t>PR1936</t>
  </si>
  <si>
    <t>PR1937</t>
  </si>
  <si>
    <t>PR1938</t>
  </si>
  <si>
    <t>PR1939</t>
  </si>
  <si>
    <t>PR194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</si>
  <si>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</si>
  <si>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</si>
  <si>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</si>
  <si>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</si>
  <si>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</si>
  <si>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</si>
  <si>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</si>
  <si>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</si>
  <si>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</si>
  <si>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</si>
  <si>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</t>
  </si>
  <si>
    <t>PR1950</t>
  </si>
  <si>
    <t>PR1951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</si>
  <si>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</si>
  <si>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</si>
  <si>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</si>
  <si>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</si>
  <si>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</si>
  <si>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</si>
  <si>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</si>
  <si>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</si>
  <si>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</si>
  <si>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</si>
  <si>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</si>
  <si>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</si>
  <si>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</si>
  <si>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</si>
  <si>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</si>
  <si>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</si>
  <si>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</si>
  <si>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</si>
  <si>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</si>
  <si>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</si>
  <si>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</si>
  <si>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PR1971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</si>
  <si>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</si>
  <si>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</si>
  <si>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</si>
  <si>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</si>
  <si>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</si>
  <si>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</si>
  <si>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</si>
  <si>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</si>
  <si>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</si>
  <si>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</si>
  <si>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</si>
  <si>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</si>
  <si>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</si>
  <si>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</si>
  <si>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</si>
  <si>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</si>
  <si>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</si>
  <si>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</si>
  <si>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PR1989</t>
  </si>
  <si>
    <t>PR199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</si>
  <si>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</si>
  <si>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</si>
  <si>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</si>
  <si>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</si>
  <si>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</si>
  <si>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</si>
  <si>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</si>
  <si>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</si>
  <si>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</si>
  <si>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</si>
  <si>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</t>
  </si>
  <si>
    <t>PR200</t>
  </si>
  <si>
    <t>PR2000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</si>
  <si>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</si>
  <si>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</si>
  <si>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</si>
  <si>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</si>
  <si>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</si>
  <si>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</si>
  <si>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</si>
  <si>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</si>
  <si>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</si>
  <si>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</si>
  <si>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</si>
  <si>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</si>
  <si>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</si>
  <si>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</si>
  <si>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</si>
  <si>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</si>
  <si>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</si>
  <si>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</si>
  <si>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</si>
  <si>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</si>
  <si>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</si>
  <si>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</si>
  <si>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</si>
  <si>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</si>
  <si>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</si>
  <si>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</si>
  <si>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</si>
  <si>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</si>
  <si>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</si>
  <si>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</si>
  <si>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</si>
  <si>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</si>
  <si>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</si>
  <si>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</si>
  <si>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</si>
  <si>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</si>
  <si>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PR2034</t>
  </si>
  <si>
    <t>PR2035</t>
  </si>
  <si>
    <t>PR2036</t>
  </si>
  <si>
    <t>PR2037</t>
  </si>
  <si>
    <t>PR2038</t>
  </si>
  <si>
    <t>PR2039</t>
  </si>
  <si>
    <t>PR204</t>
  </si>
  <si>
    <t>PR2040</t>
  </si>
  <si>
    <t>PR2041</t>
  </si>
  <si>
    <t>PR2042</t>
  </si>
  <si>
    <t>PR2043</t>
  </si>
  <si>
    <t>PR2044</t>
  </si>
  <si>
    <t>PR2045</t>
  </si>
  <si>
    <t>PR2046</t>
  </si>
  <si>
    <t>PR2047</t>
  </si>
  <si>
    <t>PR2048</t>
  </si>
  <si>
    <t>PR2049</t>
  </si>
  <si>
    <t>PR205</t>
  </si>
  <si>
    <t>PR2050</t>
  </si>
  <si>
    <t>PR2051</t>
  </si>
  <si>
    <t>PR2052</t>
  </si>
  <si>
    <t>PR2053</t>
  </si>
  <si>
    <t>PR2054</t>
  </si>
  <si>
    <t>PR2055</t>
  </si>
  <si>
    <t>PR2056</t>
  </si>
  <si>
    <t>PR2057</t>
  </si>
  <si>
    <t>PR2058</t>
  </si>
  <si>
    <t>PR2059</t>
  </si>
  <si>
    <t>PR206</t>
  </si>
  <si>
    <t>PR2060</t>
  </si>
  <si>
    <t>PR2061</t>
  </si>
  <si>
    <t>PR2062</t>
  </si>
  <si>
    <t>PR2063</t>
  </si>
  <si>
    <t>PR2064</t>
  </si>
  <si>
    <t>PR2065</t>
  </si>
  <si>
    <t>PR2066</t>
  </si>
  <si>
    <t>PR2067</t>
  </si>
  <si>
    <t>PR2068</t>
  </si>
  <si>
    <t>PR2069</t>
  </si>
  <si>
    <t>PR207</t>
  </si>
  <si>
    <t>PR2070</t>
  </si>
  <si>
    <t>PR2071</t>
  </si>
  <si>
    <t>PR2072</t>
  </si>
  <si>
    <t>PR2073</t>
  </si>
  <si>
    <t>PR2074</t>
  </si>
  <si>
    <t>PR2075</t>
  </si>
  <si>
    <t>PR2076</t>
  </si>
  <si>
    <t>PR2077</t>
  </si>
  <si>
    <t>PR2078</t>
  </si>
  <si>
    <t>PR2079</t>
  </si>
  <si>
    <t>PR208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</si>
  <si>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</si>
  <si>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</si>
  <si>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</si>
  <si>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</si>
  <si>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</si>
  <si>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</si>
  <si>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</si>
  <si>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</si>
  <si>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</si>
  <si>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</si>
  <si>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</si>
  <si>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</si>
  <si>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</si>
  <si>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</si>
  <si>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PR2093</t>
  </si>
  <si>
    <t>PR2094</t>
  </si>
  <si>
    <t>PR2095</t>
  </si>
  <si>
    <t>PR2096</t>
  </si>
  <si>
    <t>PR2097</t>
  </si>
  <si>
    <t>PR2098</t>
  </si>
  <si>
    <t>PR2099</t>
  </si>
  <si>
    <t>PR21</t>
  </si>
  <si>
    <t>PR210</t>
  </si>
  <si>
    <t>PR2100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</si>
  <si>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</si>
  <si>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</si>
  <si>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</si>
  <si>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</si>
  <si>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</si>
  <si>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</si>
  <si>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</si>
  <si>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</si>
  <si>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</si>
  <si>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</si>
  <si>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PR2110</t>
  </si>
  <si>
    <t>PR2111</t>
  </si>
  <si>
    <t>PR2112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</si>
  <si>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</si>
  <si>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</si>
  <si>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</si>
  <si>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</si>
  <si>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</si>
  <si>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</si>
  <si>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</si>
  <si>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</si>
  <si>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</si>
  <si>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PR2121</t>
  </si>
  <si>
    <t>PR2122</t>
  </si>
  <si>
    <t>PR2123</t>
  </si>
  <si>
    <t>PR2124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</si>
  <si>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</si>
  <si>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</si>
  <si>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</si>
  <si>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</si>
  <si>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</si>
  <si>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</si>
  <si>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</si>
  <si>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</si>
  <si>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</si>
  <si>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</si>
  <si>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</si>
  <si>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PR2135</t>
  </si>
  <si>
    <t>PR2136</t>
  </si>
  <si>
    <t>PR2137</t>
  </si>
  <si>
    <t>PR2138</t>
  </si>
  <si>
    <t>PR2139</t>
  </si>
  <si>
    <t>PR214</t>
  </si>
  <si>
    <t>PR2140</t>
  </si>
  <si>
    <t>PR2141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</si>
  <si>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</si>
  <si>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</si>
  <si>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</si>
  <si>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</si>
  <si>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</si>
  <si>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</si>
  <si>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</si>
  <si>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</si>
  <si>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PR215</t>
  </si>
  <si>
    <t>PR2150</t>
  </si>
  <si>
    <t>PR2151</t>
  </si>
  <si>
    <t>PR2152</t>
  </si>
  <si>
    <t>PR2153</t>
  </si>
  <si>
    <t>PR2154</t>
  </si>
  <si>
    <t>PR2155</t>
  </si>
  <si>
    <t>PR2156</t>
  </si>
  <si>
    <t>PR2157</t>
  </si>
  <si>
    <t>PR2158</t>
  </si>
  <si>
    <t>PR2159</t>
  </si>
  <si>
    <t>PR216</t>
  </si>
  <si>
    <t>PR2160</t>
  </si>
  <si>
    <t>PR2161</t>
  </si>
  <si>
    <t>PR2162</t>
  </si>
  <si>
    <t>PR2163</t>
  </si>
  <si>
    <t>PR2164</t>
  </si>
  <si>
    <t>PR2165</t>
  </si>
  <si>
    <t>PR2166</t>
  </si>
  <si>
    <t>PR2167</t>
  </si>
  <si>
    <t>PR2168</t>
  </si>
  <si>
    <t>PR2169</t>
  </si>
  <si>
    <t>PR217</t>
  </si>
  <si>
    <t>PR2170</t>
  </si>
  <si>
    <t>PR2171</t>
  </si>
  <si>
    <t>PR2172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</si>
  <si>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</si>
  <si>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</si>
  <si>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</si>
  <si>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</si>
  <si>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</si>
  <si>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</si>
  <si>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</si>
  <si>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</si>
  <si>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PR2180</t>
  </si>
  <si>
    <t>PR2181</t>
  </si>
  <si>
    <t>PR2182</t>
  </si>
  <si>
    <t>PR2183</t>
  </si>
  <si>
    <t>PR2184</t>
  </si>
  <si>
    <t>PR2185</t>
  </si>
  <si>
    <t>PR2186</t>
  </si>
  <si>
    <t>PR2187</t>
  </si>
  <si>
    <t>PR2188</t>
  </si>
  <si>
    <t>PR2189</t>
  </si>
  <si>
    <t>PR219</t>
  </si>
  <si>
    <t>PR2190</t>
  </si>
  <si>
    <t>PR2191</t>
  </si>
  <si>
    <t>PR2192</t>
  </si>
  <si>
    <t>PR2193</t>
  </si>
  <si>
    <t>PR2194</t>
  </si>
  <si>
    <t>PR2195</t>
  </si>
  <si>
    <t>PR2196</t>
  </si>
  <si>
    <t>PR2197</t>
  </si>
  <si>
    <t>PR2198</t>
  </si>
  <si>
    <t>PR2199</t>
  </si>
  <si>
    <t>PR22</t>
  </si>
  <si>
    <t>PR220</t>
  </si>
  <si>
    <t>PR2200</t>
  </si>
  <si>
    <t>PR2201</t>
  </si>
  <si>
    <t>PR2202</t>
  </si>
  <si>
    <t>PR2203</t>
  </si>
  <si>
    <t>PR2204</t>
  </si>
  <si>
    <t>PR2205</t>
  </si>
  <si>
    <t>PR2206</t>
  </si>
  <si>
    <t>PR2207</t>
  </si>
  <si>
    <t>PR2208</t>
  </si>
  <si>
    <t>PR2209</t>
  </si>
  <si>
    <t>PR221</t>
  </si>
  <si>
    <t>PR2210</t>
  </si>
  <si>
    <t>PR2211</t>
  </si>
  <si>
    <t>PR2212</t>
  </si>
  <si>
    <t>PR2213</t>
  </si>
  <si>
    <t>PR2214</t>
  </si>
  <si>
    <t>PR2215</t>
  </si>
  <si>
    <t>PR2216</t>
  </si>
  <si>
    <t>PR2217</t>
  </si>
  <si>
    <t>PR2218</t>
  </si>
  <si>
    <t>PR2219</t>
  </si>
  <si>
    <t>PR222</t>
  </si>
  <si>
    <t>PR2220</t>
  </si>
  <si>
    <t>PR2221</t>
  </si>
  <si>
    <t>PR2222</t>
  </si>
  <si>
    <t>PR2223</t>
  </si>
  <si>
    <t>PR2224</t>
  </si>
  <si>
    <t>PR2225</t>
  </si>
  <si>
    <t>PR2226</t>
  </si>
  <si>
    <t>PR2227</t>
  </si>
  <si>
    <t>PR2228</t>
  </si>
  <si>
    <t>PR2229</t>
  </si>
  <si>
    <t>PR223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</si>
  <si>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</si>
  <si>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</si>
  <si>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</si>
  <si>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</si>
  <si>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</si>
  <si>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</si>
  <si>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</si>
  <si>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</si>
  <si>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</si>
  <si>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</si>
  <si>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</si>
  <si>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</si>
  <si>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</si>
  <si>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</si>
  <si>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</si>
  <si>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</si>
  <si>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</si>
  <si>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</si>
  <si>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</si>
  <si>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</si>
  <si>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PR2249</t>
  </si>
  <si>
    <t>PR225</t>
  </si>
  <si>
    <t>PR2250</t>
  </si>
  <si>
    <t>PR2251</t>
  </si>
  <si>
    <t>PR2252</t>
  </si>
  <si>
    <t>PR2253</t>
  </si>
  <si>
    <t>PR2254</t>
  </si>
  <si>
    <t>PR2255</t>
  </si>
  <si>
    <t>PR2256</t>
  </si>
  <si>
    <t>PR2257</t>
  </si>
  <si>
    <t>PR2258</t>
  </si>
  <si>
    <t>PR2259</t>
  </si>
  <si>
    <t>PR226</t>
  </si>
  <si>
    <t>PR2260</t>
  </si>
  <si>
    <t>PR2261</t>
  </si>
  <si>
    <t>PR2262</t>
  </si>
  <si>
    <t>PR2263</t>
  </si>
  <si>
    <t>PR2264</t>
  </si>
  <si>
    <t>PR2265</t>
  </si>
  <si>
    <t>PR2266</t>
  </si>
  <si>
    <t>PR2267</t>
  </si>
  <si>
    <t>PR2268</t>
  </si>
  <si>
    <t>PR2269</t>
  </si>
  <si>
    <t>PR227</t>
  </si>
  <si>
    <t>PR2270</t>
  </si>
  <si>
    <t>PR2271</t>
  </si>
  <si>
    <t>PR2272</t>
  </si>
  <si>
    <t>PR2273</t>
  </si>
  <si>
    <t>PR2274</t>
  </si>
  <si>
    <t>PR2275</t>
  </si>
  <si>
    <t>PR2276</t>
  </si>
  <si>
    <t>PR2277</t>
  </si>
  <si>
    <t>PR2278</t>
  </si>
  <si>
    <t>PR2279</t>
  </si>
  <si>
    <t>PR228</t>
  </si>
  <si>
    <t>PR2280</t>
  </si>
  <si>
    <t>PR2281</t>
  </si>
  <si>
    <t>PR2282</t>
  </si>
  <si>
    <t>PR2283</t>
  </si>
  <si>
    <t>PR2284</t>
  </si>
  <si>
    <t>PR2285</t>
  </si>
  <si>
    <t>PR2286</t>
  </si>
  <si>
    <t>PR2287</t>
  </si>
  <si>
    <t>PR2288</t>
  </si>
  <si>
    <t>PR2289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</si>
  <si>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</si>
  <si>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</si>
  <si>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</si>
  <si>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</si>
  <si>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</si>
  <si>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</si>
  <si>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</si>
  <si>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</si>
  <si>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</si>
  <si>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</si>
  <si>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</si>
  <si>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</si>
  <si>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</si>
  <si>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</si>
  <si>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</si>
  <si>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</si>
  <si>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</si>
  <si>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</si>
  <si>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</si>
  <si>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</si>
  <si>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</si>
  <si>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</si>
  <si>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</si>
  <si>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</si>
  <si>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</si>
  <si>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</si>
  <si>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</si>
  <si>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</si>
  <si>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</si>
  <si>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</si>
  <si>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</si>
  <si>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</si>
  <si>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</si>
  <si>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</si>
  <si>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</si>
  <si>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</si>
  <si>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</si>
  <si>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PR2322</t>
  </si>
  <si>
    <t>PR2323</t>
  </si>
  <si>
    <t>PR2324</t>
  </si>
  <si>
    <t>PR2325</t>
  </si>
  <si>
    <t>PR2326</t>
  </si>
  <si>
    <t>PR2327</t>
  </si>
  <si>
    <t>PR2328</t>
  </si>
  <si>
    <t>PR2329</t>
  </si>
  <si>
    <t>PR233</t>
  </si>
  <si>
    <t>PR2330</t>
  </si>
  <si>
    <t>PR2331</t>
  </si>
  <si>
    <t>PR2332</t>
  </si>
  <si>
    <t>PR2333</t>
  </si>
  <si>
    <t>PR2334</t>
  </si>
  <si>
    <t>PR2335</t>
  </si>
  <si>
    <t>PR2336</t>
  </si>
  <si>
    <t>PR2337</t>
  </si>
  <si>
    <t>PR2338</t>
  </si>
  <si>
    <t>PR2339</t>
  </si>
  <si>
    <t>PR234</t>
  </si>
  <si>
    <t>PR2340</t>
  </si>
  <si>
    <t>PR2341</t>
  </si>
  <si>
    <t>PR2342</t>
  </si>
  <si>
    <t>PR2343</t>
  </si>
  <si>
    <t>PR2344</t>
  </si>
  <si>
    <t>PR2345</t>
  </si>
  <si>
    <t>PR2346</t>
  </si>
  <si>
    <t>PR2347</t>
  </si>
  <si>
    <t>PR2348</t>
  </si>
  <si>
    <t>PR2349</t>
  </si>
  <si>
    <t>PR235</t>
  </si>
  <si>
    <t>PR2350</t>
  </si>
  <si>
    <t>PR2351</t>
  </si>
  <si>
    <t>PR2352</t>
  </si>
  <si>
    <t>PR2353</t>
  </si>
  <si>
    <t>PR2354</t>
  </si>
  <si>
    <t>PR2355</t>
  </si>
  <si>
    <t>PR2356</t>
  </si>
  <si>
    <t>PR2357</t>
  </si>
  <si>
    <t>PR2358</t>
  </si>
  <si>
    <t>PR2359</t>
  </si>
  <si>
    <t>PR236</t>
  </si>
  <si>
    <t>PR2360</t>
  </si>
  <si>
    <t>PR2361</t>
  </si>
  <si>
    <t>PR2362</t>
  </si>
  <si>
    <t>PR2363</t>
  </si>
  <si>
    <t>PR2364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</si>
  <si>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</si>
  <si>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</si>
  <si>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</si>
  <si>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</si>
  <si>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</si>
  <si>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</si>
  <si>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</si>
  <si>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</si>
  <si>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PR2372</t>
  </si>
  <si>
    <t>PR2373</t>
  </si>
  <si>
    <t>PR2374</t>
  </si>
  <si>
    <t>PR2375</t>
  </si>
  <si>
    <t>PR2376</t>
  </si>
  <si>
    <t>PR2377</t>
  </si>
  <si>
    <t>PR2378</t>
  </si>
  <si>
    <t>PR2379</t>
  </si>
  <si>
    <t>PR238</t>
  </si>
  <si>
    <t>PR2380</t>
  </si>
  <si>
    <t>PR2381</t>
  </si>
  <si>
    <t>PR2382</t>
  </si>
  <si>
    <t>PR2383</t>
  </si>
  <si>
    <t>PR2384</t>
  </si>
  <si>
    <t>PR2385</t>
  </si>
  <si>
    <t>PR2386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</si>
  <si>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</si>
  <si>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</si>
  <si>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</si>
  <si>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</si>
  <si>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</si>
  <si>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</si>
  <si>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</si>
  <si>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</si>
  <si>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</si>
  <si>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</si>
  <si>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</si>
  <si>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</si>
  <si>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PR2398</t>
  </si>
  <si>
    <t>PR2399</t>
  </si>
  <si>
    <t>PR24</t>
  </si>
  <si>
    <t>PR240</t>
  </si>
  <si>
    <t>PR2400</t>
  </si>
  <si>
    <t>PR2401</t>
  </si>
  <si>
    <t>PR2402</t>
  </si>
  <si>
    <t>PR2403</t>
  </si>
  <si>
    <t>PR2404</t>
  </si>
  <si>
    <t>PR2405</t>
  </si>
  <si>
    <t>PR2406</t>
  </si>
  <si>
    <t>PR2407</t>
  </si>
  <si>
    <t>PR2408</t>
  </si>
  <si>
    <t>PR2409</t>
  </si>
  <si>
    <t>PR241</t>
  </si>
  <si>
    <t>PR2410</t>
  </si>
  <si>
    <t>PR2411</t>
  </si>
  <si>
    <t>PR2412</t>
  </si>
  <si>
    <t>PR2413</t>
  </si>
  <si>
    <t>PR2414</t>
  </si>
  <si>
    <t>PR2415</t>
  </si>
  <si>
    <t>PR2416</t>
  </si>
  <si>
    <t>PR2417</t>
  </si>
  <si>
    <t>PR2418</t>
  </si>
  <si>
    <t>PR2419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</si>
  <si>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</si>
  <si>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</si>
  <si>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</si>
  <si>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</si>
  <si>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</si>
  <si>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</si>
  <si>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</si>
  <si>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</si>
  <si>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</si>
  <si>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</si>
  <si>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</si>
  <si>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</si>
  <si>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</si>
  <si>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</si>
  <si>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</si>
  <si>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</si>
  <si>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</si>
  <si>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</si>
  <si>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</si>
  <si>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</si>
  <si>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PR2438</t>
  </si>
  <si>
    <t>PR2439</t>
  </si>
  <si>
    <t>PR244</t>
  </si>
  <si>
    <t>PR2440</t>
  </si>
  <si>
    <t>PR2441</t>
  </si>
  <si>
    <t>PR2442</t>
  </si>
  <si>
    <t>PR2443</t>
  </si>
  <si>
    <t>PR2444</t>
  </si>
  <si>
    <t>PR2445</t>
  </si>
  <si>
    <t>PR2446</t>
  </si>
  <si>
    <t>PR2447</t>
  </si>
  <si>
    <t>PR2448</t>
  </si>
  <si>
    <t>PR2449</t>
  </si>
  <si>
    <t>PR245</t>
  </si>
  <si>
    <t>PR2450</t>
  </si>
  <si>
    <t>PR2451</t>
  </si>
  <si>
    <t>PR2452</t>
  </si>
  <si>
    <t>PR2453</t>
  </si>
  <si>
    <t>PR2454</t>
  </si>
  <si>
    <t>PR2455</t>
  </si>
  <si>
    <t>PR2456</t>
  </si>
  <si>
    <t>PR2457</t>
  </si>
  <si>
    <t>PR2458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</si>
  <si>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</si>
  <si>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</si>
  <si>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</si>
  <si>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</si>
  <si>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</si>
  <si>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</si>
  <si>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</si>
  <si>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</si>
  <si>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</si>
  <si>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</si>
  <si>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PR2468</t>
  </si>
  <si>
    <t>PR2469</t>
  </si>
  <si>
    <t>PR247</t>
  </si>
  <si>
    <t>PR2470</t>
  </si>
  <si>
    <t>PR2471</t>
  </si>
  <si>
    <t>PR2472</t>
  </si>
  <si>
    <t>PR2473</t>
  </si>
  <si>
    <t>PR2474</t>
  </si>
  <si>
    <t>PR2475</t>
  </si>
  <si>
    <t>PR2476</t>
  </si>
  <si>
    <t>PR2477</t>
  </si>
  <si>
    <t>PR2478</t>
  </si>
  <si>
    <t>PR2479</t>
  </si>
  <si>
    <t>PR248</t>
  </si>
  <si>
    <t>PR2480</t>
  </si>
  <si>
    <t>PR2481</t>
  </si>
  <si>
    <t>PR2482</t>
  </si>
  <si>
    <t>PR2483</t>
  </si>
  <si>
    <t>PR2484</t>
  </si>
  <si>
    <t>PR2485</t>
  </si>
  <si>
    <t>PR2486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</si>
  <si>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</si>
  <si>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</si>
  <si>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</si>
  <si>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</si>
  <si>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</si>
  <si>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</si>
  <si>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</si>
  <si>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</si>
  <si>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</si>
  <si>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PR2495</t>
  </si>
  <si>
    <t>PR2496</t>
  </si>
  <si>
    <t>PR2497</t>
  </si>
  <si>
    <t>PR2498</t>
  </si>
  <si>
    <t>PR2499</t>
  </si>
  <si>
    <t>PR25</t>
  </si>
  <si>
    <t>PR250</t>
  </si>
  <si>
    <t>PR2500</t>
  </si>
  <si>
    <t>PR2501</t>
  </si>
  <si>
    <t>PR2502</t>
  </si>
  <si>
    <t>PR2503</t>
  </si>
  <si>
    <t>PR2504</t>
  </si>
  <si>
    <t>PR2505</t>
  </si>
  <si>
    <t>PR2506</t>
  </si>
  <si>
    <t>PR2507</t>
  </si>
  <si>
    <t>PR2508</t>
  </si>
  <si>
    <t>PR2509</t>
  </si>
  <si>
    <t>PR251</t>
  </si>
  <si>
    <t>PR2510</t>
  </si>
  <si>
    <t>PR2511</t>
  </si>
  <si>
    <t>PR2512</t>
  </si>
  <si>
    <t>PR2513</t>
  </si>
  <si>
    <t>PR2514</t>
  </si>
  <si>
    <t>PR2515</t>
  </si>
  <si>
    <t>PR2516</t>
  </si>
  <si>
    <t>PR2517</t>
  </si>
  <si>
    <t>PR2518</t>
  </si>
  <si>
    <t>PR2519</t>
  </si>
  <si>
    <t>PR252</t>
  </si>
  <si>
    <t>PR2520</t>
  </si>
  <si>
    <t>PR2521</t>
  </si>
  <si>
    <t>PR2522</t>
  </si>
  <si>
    <t>PR2523</t>
  </si>
  <si>
    <t>PR2524</t>
  </si>
  <si>
    <t>PR2525</t>
  </si>
  <si>
    <t>PR2526</t>
  </si>
  <si>
    <t>PR2527</t>
  </si>
  <si>
    <t>PR2528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</si>
  <si>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</si>
  <si>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</si>
  <si>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</si>
  <si>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</si>
  <si>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</si>
  <si>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</si>
  <si>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</si>
  <si>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</si>
  <si>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</si>
  <si>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PR2537</t>
  </si>
  <si>
    <t>PR2538</t>
  </si>
  <si>
    <t>PR2539</t>
  </si>
  <si>
    <t>PR254</t>
  </si>
  <si>
    <t>PR2540</t>
  </si>
  <si>
    <t>PR2541</t>
  </si>
  <si>
    <t>PR2542</t>
  </si>
  <si>
    <t>PR2543</t>
  </si>
  <si>
    <t>PR2544</t>
  </si>
  <si>
    <t>PR2545</t>
  </si>
  <si>
    <t>PR2546</t>
  </si>
  <si>
    <t>PR2547</t>
  </si>
  <si>
    <t>PR2548</t>
  </si>
  <si>
    <t>PR2549</t>
  </si>
  <si>
    <t>PR255</t>
  </si>
  <si>
    <t>PR2550</t>
  </si>
  <si>
    <t>PR2551</t>
  </si>
  <si>
    <t>PR2552</t>
  </si>
  <si>
    <t>PR2553</t>
  </si>
  <si>
    <t>PR2554</t>
  </si>
  <si>
    <t>PR2555</t>
  </si>
  <si>
    <t>PR2556</t>
  </si>
  <si>
    <t>PR2557</t>
  </si>
  <si>
    <t>PR2558</t>
  </si>
  <si>
    <t>PR2559</t>
  </si>
  <si>
    <t>PR256</t>
  </si>
  <si>
    <t>PR2560</t>
  </si>
  <si>
    <t>PR2561</t>
  </si>
  <si>
    <t>PR2562</t>
  </si>
  <si>
    <t>PR2563</t>
  </si>
  <si>
    <t>PR2564</t>
  </si>
  <si>
    <t>PR2565</t>
  </si>
  <si>
    <t>PR2566</t>
  </si>
  <si>
    <t>PR2567</t>
  </si>
  <si>
    <t>PR2568</t>
  </si>
  <si>
    <t>PR2569</t>
  </si>
  <si>
    <t>PR257</t>
  </si>
  <si>
    <t>PR2570</t>
  </si>
  <si>
    <t>PR2571</t>
  </si>
  <si>
    <t>PR2572</t>
  </si>
  <si>
    <t>PR2573</t>
  </si>
  <si>
    <t>PR2574</t>
  </si>
  <si>
    <t>PR2575</t>
  </si>
  <si>
    <t>PR2576</t>
  </si>
  <si>
    <t>PR2577</t>
  </si>
  <si>
    <t>PR2578</t>
  </si>
  <si>
    <t>PR2579</t>
  </si>
  <si>
    <t>PR258</t>
  </si>
  <si>
    <t>PR2580</t>
  </si>
  <si>
    <t>PR2581</t>
  </si>
  <si>
    <t>PR2582</t>
  </si>
  <si>
    <t>PR2583</t>
  </si>
  <si>
    <t>PR2584</t>
  </si>
  <si>
    <t>PR2585</t>
  </si>
  <si>
    <t>PR2586</t>
  </si>
  <si>
    <t>PR2587</t>
  </si>
  <si>
    <t>PR2588</t>
  </si>
  <si>
    <t>PR2589</t>
  </si>
  <si>
    <t>PR259</t>
  </si>
  <si>
    <t>PR2590</t>
  </si>
  <si>
    <t>PR2591</t>
  </si>
  <si>
    <t>PR2592</t>
  </si>
  <si>
    <t>PR2593</t>
  </si>
  <si>
    <t>PR2594</t>
  </si>
  <si>
    <t>PR2595</t>
  </si>
  <si>
    <t>PR2596</t>
  </si>
  <si>
    <t>PR2597</t>
  </si>
  <si>
    <t>PR2598</t>
  </si>
  <si>
    <t>PR2599</t>
  </si>
  <si>
    <t>PR26</t>
  </si>
  <si>
    <t>PR260</t>
  </si>
  <si>
    <t>PR2600</t>
  </si>
  <si>
    <t>PR2601</t>
  </si>
  <si>
    <t>PR2602</t>
  </si>
  <si>
    <t>PR2603</t>
  </si>
  <si>
    <t>PR2604</t>
  </si>
  <si>
    <t>PR2605</t>
  </si>
  <si>
    <t>PR2606</t>
  </si>
  <si>
    <t>PR2607</t>
  </si>
  <si>
    <t>PR2608</t>
  </si>
  <si>
    <t>PR2609</t>
  </si>
  <si>
    <t>PR261</t>
  </si>
  <si>
    <t>PR2610</t>
  </si>
  <si>
    <t>PR2611</t>
  </si>
  <si>
    <t>PR2612</t>
  </si>
  <si>
    <t>PR2613</t>
  </si>
  <si>
    <t>PR2614</t>
  </si>
  <si>
    <t>PR2615</t>
  </si>
  <si>
    <t>PR2616</t>
  </si>
  <si>
    <t>PR2617</t>
  </si>
  <si>
    <t>PR2618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</si>
  <si>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</si>
  <si>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</si>
  <si>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</si>
  <si>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</si>
  <si>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</si>
  <si>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</si>
  <si>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</si>
  <si>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</si>
  <si>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PR2626</t>
  </si>
  <si>
    <t>PR2627</t>
  </si>
  <si>
    <t>PR2628</t>
  </si>
  <si>
    <t>PR2629</t>
  </si>
  <si>
    <t>PR263</t>
  </si>
  <si>
    <t>PR2630</t>
  </si>
  <si>
    <t>PR2631</t>
  </si>
  <si>
    <t>PR2632</t>
  </si>
  <si>
    <t>PR2633</t>
  </si>
  <si>
    <t>PR2634</t>
  </si>
  <si>
    <t>PR2635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</si>
  <si>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</si>
  <si>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</si>
  <si>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</si>
  <si>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</si>
  <si>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</si>
  <si>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</si>
  <si>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</si>
  <si>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</si>
  <si>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</si>
  <si>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</si>
  <si>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</si>
  <si>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</si>
  <si>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</si>
  <si>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PR2648</t>
  </si>
  <si>
    <t>PR2649</t>
  </si>
  <si>
    <t>PR265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</si>
  <si>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</si>
  <si>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</si>
  <si>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</si>
  <si>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</si>
  <si>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</si>
  <si>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</si>
  <si>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</si>
  <si>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</si>
  <si>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PR2658</t>
  </si>
  <si>
    <t>PR2659</t>
  </si>
  <si>
    <t>PR266</t>
  </si>
  <si>
    <t>PR2660</t>
  </si>
  <si>
    <t>PR2661</t>
  </si>
  <si>
    <t>PR2662</t>
  </si>
  <si>
    <t>PR2663</t>
  </si>
  <si>
    <t>PR2664</t>
  </si>
  <si>
    <t>PR2665</t>
  </si>
  <si>
    <t>PR2666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</si>
  <si>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</si>
  <si>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</si>
  <si>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</si>
  <si>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</si>
  <si>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</si>
  <si>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</si>
  <si>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</si>
  <si>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</si>
  <si>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</si>
  <si>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PR2675</t>
  </si>
  <si>
    <t>PR2676</t>
  </si>
  <si>
    <t>PR2677</t>
  </si>
  <si>
    <t>PR2678</t>
  </si>
  <si>
    <t>PR2679</t>
  </si>
  <si>
    <t>PR268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</si>
  <si>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</si>
  <si>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</si>
  <si>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</si>
  <si>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</si>
  <si>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</si>
  <si>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</si>
  <si>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</si>
  <si>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</si>
  <si>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PR2688</t>
  </si>
  <si>
    <t>PR2689</t>
  </si>
  <si>
    <t>PR269</t>
  </si>
  <si>
    <t>PR2690</t>
  </si>
  <si>
    <t>PR2691</t>
  </si>
  <si>
    <t>PR2692</t>
  </si>
  <si>
    <t>PR2693</t>
  </si>
  <si>
    <t>PR2694</t>
  </si>
  <si>
    <t>PR2695</t>
  </si>
  <si>
    <t>PR2696</t>
  </si>
  <si>
    <t>PR2697</t>
  </si>
  <si>
    <t>PR2698</t>
  </si>
  <si>
    <t>PR2699</t>
  </si>
  <si>
    <t>PR27</t>
  </si>
  <si>
    <t>PR270</t>
  </si>
  <si>
    <t>PR2700</t>
  </si>
  <si>
    <t>PR2701</t>
  </si>
  <si>
    <t>PR2702</t>
  </si>
  <si>
    <t>PR2703</t>
  </si>
  <si>
    <t>PR2704</t>
  </si>
  <si>
    <t>PR2705</t>
  </si>
  <si>
    <t>PR2706</t>
  </si>
  <si>
    <t>PR2707</t>
  </si>
  <si>
    <t>PR2708</t>
  </si>
  <si>
    <t>PR2709</t>
  </si>
  <si>
    <t>PR271</t>
  </si>
  <si>
    <t>PR2710</t>
  </si>
  <si>
    <t>PR2711</t>
  </si>
  <si>
    <t>PR2712</t>
  </si>
  <si>
    <t>PR2713</t>
  </si>
  <si>
    <t>PR2714</t>
  </si>
  <si>
    <t>PR2715</t>
  </si>
  <si>
    <t>PR2716</t>
  </si>
  <si>
    <t>PR2717</t>
  </si>
  <si>
    <t>PR2718</t>
  </si>
  <si>
    <t>PR2719</t>
  </si>
  <si>
    <t>PR272</t>
  </si>
  <si>
    <t>PR2720</t>
  </si>
  <si>
    <t>PR2721</t>
  </si>
  <si>
    <t>PR2722</t>
  </si>
  <si>
    <t>PR2723</t>
  </si>
  <si>
    <t>PR2724</t>
  </si>
  <si>
    <t>PR2725</t>
  </si>
  <si>
    <t>PR2726</t>
  </si>
  <si>
    <t>PR2727</t>
  </si>
  <si>
    <t>PR2728</t>
  </si>
  <si>
    <t>PR2729</t>
  </si>
  <si>
    <t>PR273</t>
  </si>
  <si>
    <t>PR2730</t>
  </si>
  <si>
    <t>PR2731</t>
  </si>
  <si>
    <t>PR2732</t>
  </si>
  <si>
    <t>PR2733</t>
  </si>
  <si>
    <t>PR2734</t>
  </si>
  <si>
    <t>PR2735</t>
  </si>
  <si>
    <t>PR2736</t>
  </si>
  <si>
    <t>PR2737</t>
  </si>
  <si>
    <t>PR2738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</si>
  <si>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</si>
  <si>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</si>
  <si>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</si>
  <si>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</si>
  <si>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</si>
  <si>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</si>
  <si>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</si>
  <si>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</si>
  <si>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</si>
  <si>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</si>
  <si>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</si>
  <si>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</si>
  <si>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</si>
  <si>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</si>
  <si>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</si>
  <si>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</si>
  <si>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</si>
  <si>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</si>
  <si>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</si>
  <si>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PR2756</t>
  </si>
  <si>
    <t>PR2757</t>
  </si>
  <si>
    <t>PR2758</t>
  </si>
  <si>
    <t>PR2759</t>
  </si>
  <si>
    <t>PR276</t>
  </si>
  <si>
    <t>PR2760</t>
  </si>
  <si>
    <t>PR2761</t>
  </si>
  <si>
    <t>PR2762</t>
  </si>
  <si>
    <t>PR2763</t>
  </si>
  <si>
    <t>PR2764</t>
  </si>
  <si>
    <t>PR2765</t>
  </si>
  <si>
    <t>PR2766</t>
  </si>
  <si>
    <t>PR2767</t>
  </si>
  <si>
    <t>PR2768</t>
  </si>
  <si>
    <t>PR2769</t>
  </si>
  <si>
    <t>PR277</t>
  </si>
  <si>
    <t>PR2770</t>
  </si>
  <si>
    <t>PR2771</t>
  </si>
  <si>
    <t>PR2772</t>
  </si>
  <si>
    <t>PR2773</t>
  </si>
  <si>
    <t>PR2774</t>
  </si>
  <si>
    <t>PR2775</t>
  </si>
  <si>
    <t>PR2776</t>
  </si>
  <si>
    <t>PR2777</t>
  </si>
  <si>
    <t>PR2778</t>
  </si>
  <si>
    <t>PR2779</t>
  </si>
  <si>
    <t>PR278</t>
  </si>
  <si>
    <t>PR2780</t>
  </si>
  <si>
    <t>PR2781</t>
  </si>
  <si>
    <t>PR2782</t>
  </si>
  <si>
    <t>PR2783</t>
  </si>
  <si>
    <t>PR2784</t>
  </si>
  <si>
    <t>PR2785</t>
  </si>
  <si>
    <t>PR2786</t>
  </si>
  <si>
    <t>PR2787</t>
  </si>
  <si>
    <t>PR2788</t>
  </si>
  <si>
    <t>PR2789</t>
  </si>
  <si>
    <t>PR279</t>
  </si>
  <si>
    <t>PR2790</t>
  </si>
  <si>
    <t>PR2791</t>
  </si>
  <si>
    <t>PR2792</t>
  </si>
  <si>
    <t>PR2793</t>
  </si>
  <si>
    <t>PR2794</t>
  </si>
  <si>
    <t>PR2795</t>
  </si>
  <si>
    <t>PR2796</t>
  </si>
  <si>
    <t>PR2797</t>
  </si>
  <si>
    <t>PR2798</t>
  </si>
  <si>
    <t>PR2799</t>
  </si>
  <si>
    <t>PR28</t>
  </si>
  <si>
    <t>PR280</t>
  </si>
  <si>
    <t>PR2800</t>
  </si>
  <si>
    <t>PR2801</t>
  </si>
  <si>
    <t>PR2802</t>
  </si>
  <si>
    <t>PR2803</t>
  </si>
  <si>
    <t>PR2804</t>
  </si>
  <si>
    <t>PR2805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</si>
  <si>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</si>
  <si>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</si>
  <si>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</si>
  <si>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</si>
  <si>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</si>
  <si>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</si>
  <si>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</si>
  <si>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</si>
  <si>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</si>
  <si>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</si>
  <si>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</si>
  <si>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</si>
  <si>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</si>
  <si>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</si>
  <si>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</si>
  <si>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</si>
  <si>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</si>
  <si>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</si>
  <si>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</si>
  <si>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</si>
  <si>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PR2824</t>
  </si>
  <si>
    <t>PR2825</t>
  </si>
  <si>
    <t>PR2826</t>
  </si>
  <si>
    <t>PR2827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</si>
  <si>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</si>
  <si>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</si>
  <si>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</si>
  <si>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</si>
  <si>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</si>
  <si>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</si>
  <si>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</si>
  <si>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</si>
  <si>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</si>
  <si>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</si>
  <si>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</si>
  <si>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</si>
  <si>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</si>
  <si>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</si>
  <si>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</si>
  <si>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</si>
  <si>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PR2842</t>
  </si>
  <si>
    <t>PR2843</t>
  </si>
  <si>
    <t>PR2844</t>
  </si>
  <si>
    <t>PR2845</t>
  </si>
  <si>
    <t>PR2846</t>
  </si>
  <si>
    <t>PR2847</t>
  </si>
  <si>
    <t>PR2848</t>
  </si>
  <si>
    <t>PR2849</t>
  </si>
  <si>
    <t>PR285</t>
  </si>
  <si>
    <t>PR2850</t>
  </si>
  <si>
    <t>PR2851</t>
  </si>
  <si>
    <t>PR2852</t>
  </si>
  <si>
    <t>PR2853</t>
  </si>
  <si>
    <t>PR2854</t>
  </si>
  <si>
    <t>PR2855</t>
  </si>
  <si>
    <t>PR2856</t>
  </si>
  <si>
    <t>PR2857</t>
  </si>
  <si>
    <t>PR2858</t>
  </si>
  <si>
    <t>PR2859</t>
  </si>
  <si>
    <t>PR286</t>
  </si>
  <si>
    <t>PR2860</t>
  </si>
  <si>
    <t>PR2861</t>
  </si>
  <si>
    <t>PR2862</t>
  </si>
  <si>
    <t>PR2863</t>
  </si>
  <si>
    <t>PR2864</t>
  </si>
  <si>
    <t>PR2865</t>
  </si>
  <si>
    <t>PR2866</t>
  </si>
  <si>
    <t>PR2867</t>
  </si>
  <si>
    <t>PR2868</t>
  </si>
  <si>
    <t>PR2869</t>
  </si>
  <si>
    <t>PR287</t>
  </si>
  <si>
    <t>PR2870</t>
  </si>
  <si>
    <t>PR2871</t>
  </si>
  <si>
    <t>PR2872</t>
  </si>
  <si>
    <t>PR2873</t>
  </si>
  <si>
    <t>PR2874</t>
  </si>
  <si>
    <t>PR2875</t>
  </si>
  <si>
    <t>PR2876</t>
  </si>
  <si>
    <t>PR2877</t>
  </si>
  <si>
    <t>PR2878</t>
  </si>
  <si>
    <t>PR2879</t>
  </si>
  <si>
    <t>PR288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</si>
  <si>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</si>
  <si>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</si>
  <si>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</si>
  <si>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</si>
  <si>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</si>
  <si>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</si>
  <si>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</si>
  <si>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</si>
  <si>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</si>
  <si>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</si>
  <si>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</si>
  <si>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</si>
  <si>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</si>
  <si>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</si>
  <si>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</si>
  <si>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</si>
  <si>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</si>
  <si>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</si>
  <si>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</si>
  <si>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</si>
  <si>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</si>
  <si>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</si>
  <si>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PR290</t>
  </si>
  <si>
    <t>PR2900</t>
  </si>
  <si>
    <t>PR2901</t>
  </si>
  <si>
    <t>PR2902</t>
  </si>
  <si>
    <t>PR2903</t>
  </si>
  <si>
    <t>PR2904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</si>
  <si>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</si>
  <si>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</si>
  <si>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</si>
  <si>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</si>
  <si>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</si>
  <si>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</si>
  <si>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</si>
  <si>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</si>
  <si>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</si>
  <si>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</si>
  <si>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</si>
  <si>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</si>
  <si>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</si>
  <si>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</si>
  <si>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PR2918</t>
  </si>
  <si>
    <t>PR2919</t>
  </si>
  <si>
    <t>PR292</t>
  </si>
  <si>
    <t>PR2920</t>
  </si>
  <si>
    <t>PR2921</t>
  </si>
  <si>
    <t>PR2922</t>
  </si>
  <si>
    <t>PR2923</t>
  </si>
  <si>
    <t>PR2924</t>
  </si>
  <si>
    <t>PR2925</t>
  </si>
  <si>
    <t>PR2926</t>
  </si>
  <si>
    <t>PR2927</t>
  </si>
  <si>
    <t>PR2928</t>
  </si>
  <si>
    <t>PR2929</t>
  </si>
  <si>
    <t>PR293</t>
  </si>
  <si>
    <t>PR2930</t>
  </si>
  <si>
    <t>PR2931</t>
  </si>
  <si>
    <t>PR2932</t>
  </si>
  <si>
    <t>PR2933</t>
  </si>
  <si>
    <t>PR2934</t>
  </si>
  <si>
    <t>PR2935</t>
  </si>
  <si>
    <t>PR2936</t>
  </si>
  <si>
    <t>PR2937</t>
  </si>
  <si>
    <t>PR2938</t>
  </si>
  <si>
    <t>PR2939</t>
  </si>
  <si>
    <t>PR294</t>
  </si>
  <si>
    <t>PR2940</t>
  </si>
  <si>
    <t>PR2941</t>
  </si>
  <si>
    <t>PR2942</t>
  </si>
  <si>
    <t>PR2943</t>
  </si>
  <si>
    <t>PR2944</t>
  </si>
  <si>
    <t>PR2945</t>
  </si>
  <si>
    <t>PR2946</t>
  </si>
  <si>
    <t>PR2947</t>
  </si>
  <si>
    <t>PR2948</t>
  </si>
  <si>
    <t>PR2949</t>
  </si>
  <si>
    <t>PR295</t>
  </si>
  <si>
    <t>PR2950</t>
  </si>
  <si>
    <t>PR2951</t>
  </si>
  <si>
    <t>PR2952</t>
  </si>
  <si>
    <t>PR2953</t>
  </si>
  <si>
    <t>PR2954</t>
  </si>
  <si>
    <t>PR2955</t>
  </si>
  <si>
    <t>PR2956</t>
  </si>
  <si>
    <t>PR2957</t>
  </si>
  <si>
    <t>PR2958</t>
  </si>
  <si>
    <t>PR2959</t>
  </si>
  <si>
    <t>PR296</t>
  </si>
  <si>
    <t>PR2960</t>
  </si>
  <si>
    <t>PR2961</t>
  </si>
  <si>
    <t>PR2962</t>
  </si>
  <si>
    <t>PR2963</t>
  </si>
  <si>
    <t>PR2964</t>
  </si>
  <si>
    <t>PR2965</t>
  </si>
  <si>
    <t>PR2966</t>
  </si>
  <si>
    <t>PR2967</t>
  </si>
  <si>
    <t>PR2968</t>
  </si>
  <si>
    <t>PR2969</t>
  </si>
  <si>
    <t>PR297</t>
  </si>
  <si>
    <t>PR2970</t>
  </si>
  <si>
    <t>PR2971</t>
  </si>
  <si>
    <t>PR2972</t>
  </si>
  <si>
    <t>PR2973</t>
  </si>
  <si>
    <t>PR2974</t>
  </si>
  <si>
    <t>PR2975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</si>
  <si>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</si>
  <si>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</si>
  <si>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</si>
  <si>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</si>
  <si>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</si>
  <si>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</si>
  <si>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</si>
  <si>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</si>
  <si>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</si>
  <si>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</si>
  <si>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</si>
  <si>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</si>
  <si>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</si>
  <si>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</si>
  <si>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</si>
  <si>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</si>
  <si>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</si>
  <si>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</si>
  <si>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</si>
  <si>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</si>
  <si>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</si>
  <si>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PR2995</t>
  </si>
  <si>
    <t>PR2996</t>
  </si>
  <si>
    <t>PR2997</t>
  </si>
  <si>
    <t>PR2998</t>
  </si>
  <si>
    <t>PR2999</t>
  </si>
  <si>
    <t>PR30</t>
  </si>
  <si>
    <t>PR300</t>
  </si>
  <si>
    <t>PR3000</t>
  </si>
  <si>
    <t>PR3001</t>
  </si>
  <si>
    <t>PR3002</t>
  </si>
  <si>
    <t>PR3003</t>
  </si>
  <si>
    <t>PR3004</t>
  </si>
  <si>
    <t>PR3005</t>
  </si>
  <si>
    <t>PR3006</t>
  </si>
  <si>
    <t>PR3007</t>
  </si>
  <si>
    <t>PR3008</t>
  </si>
  <si>
    <t>PR3009</t>
  </si>
  <si>
    <t>PR301</t>
  </si>
  <si>
    <t>PR3010</t>
  </si>
  <si>
    <t>PR3011</t>
  </si>
  <si>
    <t>PR3012</t>
  </si>
  <si>
    <t>PR3013</t>
  </si>
  <si>
    <t>PR3014</t>
  </si>
  <si>
    <t>PR3015</t>
  </si>
  <si>
    <t>PR3016</t>
  </si>
  <si>
    <t>PR3017</t>
  </si>
  <si>
    <t>PR3018</t>
  </si>
  <si>
    <t>PR3019</t>
  </si>
  <si>
    <t>PR302</t>
  </si>
  <si>
    <t>PR3020</t>
  </si>
  <si>
    <t>PR3021</t>
  </si>
  <si>
    <t>PR3022</t>
  </si>
  <si>
    <t>PR3023</t>
  </si>
  <si>
    <t>PR3024</t>
  </si>
  <si>
    <t>PR3025</t>
  </si>
  <si>
    <t>PR3026</t>
  </si>
  <si>
    <t>PR3027</t>
  </si>
  <si>
    <t>PR3028</t>
  </si>
  <si>
    <t>PR3029</t>
  </si>
  <si>
    <t>PR303</t>
  </si>
  <si>
    <t>PR3030</t>
  </si>
  <si>
    <t>PR3031</t>
  </si>
  <si>
    <t>PR3032</t>
  </si>
  <si>
    <t>PR3033</t>
  </si>
  <si>
    <t>PR3034</t>
  </si>
  <si>
    <t>PR3035</t>
  </si>
  <si>
    <t>PR3036</t>
  </si>
  <si>
    <t>PR3037</t>
  </si>
  <si>
    <t>PR3038</t>
  </si>
  <si>
    <t>PR3039</t>
  </si>
  <si>
    <t>PR304</t>
  </si>
  <si>
    <t>PR3040</t>
  </si>
  <si>
    <t>PR3041</t>
  </si>
  <si>
    <t>PR3042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</si>
  <si>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</si>
  <si>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</si>
  <si>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</si>
  <si>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</si>
  <si>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</si>
  <si>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</si>
  <si>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</si>
  <si>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</si>
  <si>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PR3050</t>
  </si>
  <si>
    <t>PR3051</t>
  </si>
  <si>
    <t>PR3052</t>
  </si>
  <si>
    <t>PR3053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</si>
  <si>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</si>
  <si>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</si>
  <si>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</si>
  <si>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</si>
  <si>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</si>
  <si>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</si>
  <si>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</si>
  <si>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</si>
  <si>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</si>
  <si>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</si>
  <si>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</si>
  <si>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</si>
  <si>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</si>
  <si>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</si>
  <si>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</si>
  <si>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</si>
  <si>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</si>
  <si>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PR307</t>
  </si>
  <si>
    <t>PR3070</t>
  </si>
  <si>
    <t>PR3071</t>
  </si>
  <si>
    <t>PR3072</t>
  </si>
  <si>
    <t>PR3073</t>
  </si>
  <si>
    <t>PR3074</t>
  </si>
  <si>
    <t>PR3075</t>
  </si>
  <si>
    <t>PR3076</t>
  </si>
  <si>
    <t>PR3077</t>
  </si>
  <si>
    <t>PR3078</t>
  </si>
  <si>
    <t>PR3079</t>
  </si>
  <si>
    <t>PR308</t>
  </si>
  <si>
    <t>PR3080</t>
  </si>
  <si>
    <t>PR3081</t>
  </si>
  <si>
    <t>PR3082</t>
  </si>
  <si>
    <t>PR3083</t>
  </si>
  <si>
    <t>PR3084</t>
  </si>
  <si>
    <t>PR3085</t>
  </si>
  <si>
    <t>PR3086</t>
  </si>
  <si>
    <t>PR3087</t>
  </si>
  <si>
    <t>PR3088</t>
  </si>
  <si>
    <t>PR3089</t>
  </si>
  <si>
    <t>PR309</t>
  </si>
  <si>
    <t>PR3090</t>
  </si>
  <si>
    <t>PR3091</t>
  </si>
  <si>
    <t>PR3092</t>
  </si>
  <si>
    <t>PR3093</t>
  </si>
  <si>
    <t>PR3094</t>
  </si>
  <si>
    <t>PR3095</t>
  </si>
  <si>
    <t>PR3096</t>
  </si>
  <si>
    <t>PR3097</t>
  </si>
  <si>
    <t>PR3098</t>
  </si>
  <si>
    <t>PR3099</t>
  </si>
  <si>
    <t>PR31</t>
  </si>
  <si>
    <t>PR310</t>
  </si>
  <si>
    <t>PR3100</t>
  </si>
  <si>
    <t>PR3101</t>
  </si>
  <si>
    <t>PR3102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</si>
  <si>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</si>
  <si>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</si>
  <si>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</si>
  <si>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</si>
  <si>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</si>
  <si>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</si>
  <si>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</si>
  <si>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</si>
  <si>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</si>
  <si>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</si>
  <si>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PR3112</t>
  </si>
  <si>
    <t>PR3113</t>
  </si>
  <si>
    <t>PR3114</t>
  </si>
  <si>
    <t>PR3115</t>
  </si>
  <si>
    <t>PR3116</t>
  </si>
  <si>
    <t>PR3117</t>
  </si>
  <si>
    <t>PR3118</t>
  </si>
  <si>
    <t>PR3119</t>
  </si>
  <si>
    <t>PR312</t>
  </si>
  <si>
    <t>PR3120</t>
  </si>
  <si>
    <t>PR3121</t>
  </si>
  <si>
    <t>PR3122</t>
  </si>
  <si>
    <t>PR3123</t>
  </si>
  <si>
    <t>PR3124</t>
  </si>
  <si>
    <t>PR3125</t>
  </si>
  <si>
    <t>PR3126</t>
  </si>
  <si>
    <t>PR3127</t>
  </si>
  <si>
    <t>PR3128</t>
  </si>
  <si>
    <t>PR3129</t>
  </si>
  <si>
    <t>PR313</t>
  </si>
  <si>
    <t>PR3130</t>
  </si>
  <si>
    <t>PR3131</t>
  </si>
  <si>
    <t>PR3132</t>
  </si>
  <si>
    <t>PR3133</t>
  </si>
  <si>
    <t>PR3134</t>
  </si>
  <si>
    <t>PR3135</t>
  </si>
  <si>
    <t>PR3136</t>
  </si>
  <si>
    <t>PR3137</t>
  </si>
  <si>
    <t>PR3138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</si>
  <si>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</si>
  <si>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</si>
  <si>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</si>
  <si>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</si>
  <si>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</si>
  <si>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</si>
  <si>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</si>
  <si>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</si>
  <si>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</si>
  <si>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</si>
  <si>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</si>
  <si>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</si>
  <si>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</si>
  <si>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</si>
  <si>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</si>
  <si>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</si>
  <si>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PR3153</t>
  </si>
  <si>
    <t>PR3154</t>
  </si>
  <si>
    <t>PR3155</t>
  </si>
  <si>
    <t>PR3156</t>
  </si>
  <si>
    <t>PR3157</t>
  </si>
  <si>
    <t>PR3158</t>
  </si>
  <si>
    <t>PR3159</t>
  </si>
  <si>
    <t>PR316</t>
  </si>
  <si>
    <t>PR3160</t>
  </si>
  <si>
    <t>PR3161</t>
  </si>
  <si>
    <t>PR3162</t>
  </si>
  <si>
    <t>PR3163</t>
  </si>
  <si>
    <t>PR3164</t>
  </si>
  <si>
    <t>PR3165</t>
  </si>
  <si>
    <t>PR3166</t>
  </si>
  <si>
    <t>PR3167</t>
  </si>
  <si>
    <t>PR3168</t>
  </si>
  <si>
    <t>PR3169</t>
  </si>
  <si>
    <t>PR317</t>
  </si>
  <si>
    <t>PR3170</t>
  </si>
  <si>
    <t>PR3171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</si>
  <si>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</si>
  <si>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</si>
  <si>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</si>
  <si>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</si>
  <si>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</si>
  <si>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</si>
  <si>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</si>
  <si>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</si>
  <si>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</t>
  </si>
  <si>
    <t>PR3180</t>
  </si>
  <si>
    <t>PR3181</t>
  </si>
  <si>
    <t>PR3182</t>
  </si>
  <si>
    <t>PR3183</t>
  </si>
  <si>
    <t>PR3184</t>
  </si>
  <si>
    <t>PR3185</t>
  </si>
  <si>
    <t>PR3186</t>
  </si>
  <si>
    <t>PR3187</t>
  </si>
  <si>
    <t>PR3188</t>
  </si>
  <si>
    <t>PR3189</t>
  </si>
  <si>
    <t>PR319</t>
  </si>
  <si>
    <t>PR3190</t>
  </si>
  <si>
    <t>PR3191</t>
  </si>
  <si>
    <t>PR3192</t>
  </si>
  <si>
    <t>PR3193</t>
  </si>
  <si>
    <t>PR3194</t>
  </si>
  <si>
    <t>PR3195</t>
  </si>
  <si>
    <t>PR3196</t>
  </si>
  <si>
    <t>PR3197</t>
  </si>
  <si>
    <t>PR3198</t>
  </si>
  <si>
    <t>PR3199</t>
  </si>
  <si>
    <t>PR32</t>
  </si>
  <si>
    <t>PR320</t>
  </si>
  <si>
    <t>PR3200</t>
  </si>
  <si>
    <t>PR3201</t>
  </si>
  <si>
    <t>PR3202</t>
  </si>
  <si>
    <t>PR3203</t>
  </si>
  <si>
    <t>PR3204</t>
  </si>
  <si>
    <t>PR3205</t>
  </si>
  <si>
    <t>PR3206</t>
  </si>
  <si>
    <t>PR3207</t>
  </si>
  <si>
    <t>PR3208</t>
  </si>
  <si>
    <t>PR3209</t>
  </si>
  <si>
    <t>PR321</t>
  </si>
  <si>
    <t>PR3210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</si>
  <si>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</si>
  <si>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</si>
  <si>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</si>
  <si>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</si>
  <si>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</si>
  <si>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</si>
  <si>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</si>
  <si>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</si>
  <si>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</si>
  <si>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</si>
  <si>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</si>
  <si>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</si>
  <si>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</si>
  <si>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</si>
  <si>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PR3224</t>
  </si>
  <si>
    <t>PR3225</t>
  </si>
  <si>
    <t>PR3226</t>
  </si>
  <si>
    <t>PR3227</t>
  </si>
  <si>
    <t>PR3228</t>
  </si>
  <si>
    <t>PR3229</t>
  </si>
  <si>
    <t>PR323</t>
  </si>
  <si>
    <t>PR3230</t>
  </si>
  <si>
    <t>PR3231</t>
  </si>
  <si>
    <t>PR3232</t>
  </si>
  <si>
    <t>PR3233</t>
  </si>
  <si>
    <t>PR3234</t>
  </si>
  <si>
    <t>PR3235</t>
  </si>
  <si>
    <t>PR3236</t>
  </si>
  <si>
    <t>PR3237</t>
  </si>
  <si>
    <t>PR3238</t>
  </si>
  <si>
    <t>PR3239</t>
  </si>
  <si>
    <t>PR324</t>
  </si>
  <si>
    <t>PR3240</t>
  </si>
  <si>
    <t>PR3241</t>
  </si>
  <si>
    <t>PR3242</t>
  </si>
  <si>
    <t>PR3243</t>
  </si>
  <si>
    <t>PR3244</t>
  </si>
  <si>
    <t>PR3245</t>
  </si>
  <si>
    <t>PR3246</t>
  </si>
  <si>
    <t>PR3247</t>
  </si>
  <si>
    <t>PR3248</t>
  </si>
  <si>
    <t>PR3249</t>
  </si>
  <si>
    <t>PR325</t>
  </si>
  <si>
    <t>PR3250</t>
  </si>
  <si>
    <t>PR3251</t>
  </si>
  <si>
    <t>PR3252</t>
  </si>
  <si>
    <t>PR3253</t>
  </si>
  <si>
    <t>PR3254</t>
  </si>
  <si>
    <t>PR3255</t>
  </si>
  <si>
    <t>PR3256</t>
  </si>
  <si>
    <t>PR3257</t>
  </si>
  <si>
    <t>PR3258</t>
  </si>
  <si>
    <t>PR3259</t>
  </si>
  <si>
    <t>PR326</t>
  </si>
  <si>
    <t>PR3260</t>
  </si>
  <si>
    <t>PR3261</t>
  </si>
  <si>
    <t>PR3262</t>
  </si>
  <si>
    <t>PR3263</t>
  </si>
  <si>
    <t>PR3264</t>
  </si>
  <si>
    <t>PR3265</t>
  </si>
  <si>
    <t>PR3266</t>
  </si>
  <si>
    <t>PR3267</t>
  </si>
  <si>
    <t>PR3268</t>
  </si>
  <si>
    <t>PR3269</t>
  </si>
  <si>
    <t>PR327</t>
  </si>
  <si>
    <t>PR3270</t>
  </si>
  <si>
    <t>PR3271</t>
  </si>
  <si>
    <t>PR3272</t>
  </si>
  <si>
    <t>PR3273</t>
  </si>
  <si>
    <t>PR3274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</si>
  <si>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</si>
  <si>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</si>
  <si>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</si>
  <si>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</si>
  <si>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</si>
  <si>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</si>
  <si>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</si>
  <si>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</si>
  <si>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</si>
  <si>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PR3283</t>
  </si>
  <si>
    <t>PR3284</t>
  </si>
  <si>
    <t>PR3285</t>
  </si>
  <si>
    <t>PR3286</t>
  </si>
  <si>
    <t>PR3287</t>
  </si>
  <si>
    <t>PR3288</t>
  </si>
  <si>
    <t>PR3289</t>
  </si>
  <si>
    <t>PR329</t>
  </si>
  <si>
    <t>PR3290</t>
  </si>
  <si>
    <t>PR3291</t>
  </si>
  <si>
    <t>PR3292</t>
  </si>
  <si>
    <t>PR3293</t>
  </si>
  <si>
    <t>PR3294</t>
  </si>
  <si>
    <t>PR3295</t>
  </si>
  <si>
    <t>PR3296</t>
  </si>
  <si>
    <t>PR3297</t>
  </si>
  <si>
    <t>PR3298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</si>
  <si>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</si>
  <si>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</si>
  <si>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</si>
  <si>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</si>
  <si>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</si>
  <si>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</si>
  <si>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</si>
  <si>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</si>
  <si>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</si>
  <si>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</si>
  <si>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PR3307</t>
  </si>
  <si>
    <t>PR3308</t>
  </si>
  <si>
    <t>PR3309</t>
  </si>
  <si>
    <t>PR331</t>
  </si>
  <si>
    <t>PR3310</t>
  </si>
  <si>
    <t>PR3311</t>
  </si>
  <si>
    <t>PR3312</t>
  </si>
  <si>
    <t>PR3313</t>
  </si>
  <si>
    <t>PR3314</t>
  </si>
  <si>
    <t>PR3315</t>
  </si>
  <si>
    <t>PR3316</t>
  </si>
  <si>
    <t>PR3317</t>
  </si>
  <si>
    <t>PR3318</t>
  </si>
  <si>
    <t>PR3319</t>
  </si>
  <si>
    <t>PR332</t>
  </si>
  <si>
    <t>PR3320</t>
  </si>
  <si>
    <t>PR3321</t>
  </si>
  <si>
    <t>PR3322</t>
  </si>
  <si>
    <t>PR3323</t>
  </si>
  <si>
    <t>PR3324</t>
  </si>
  <si>
    <t>PR3325</t>
  </si>
  <si>
    <t>PR3326</t>
  </si>
  <si>
    <t>PR3327</t>
  </si>
  <si>
    <t>PR3328</t>
  </si>
  <si>
    <t>PR3329</t>
  </si>
  <si>
    <t>PR333</t>
  </si>
  <si>
    <t>PR3330</t>
  </si>
  <si>
    <t>PR3331</t>
  </si>
  <si>
    <t>PR3332</t>
  </si>
  <si>
    <t>PR3333</t>
  </si>
  <si>
    <t>PR3334</t>
  </si>
  <si>
    <t>PR3335</t>
  </si>
  <si>
    <t>PR3336</t>
  </si>
  <si>
    <t>PR3337</t>
  </si>
  <si>
    <t>PR3338</t>
  </si>
  <si>
    <t>PR3339</t>
  </si>
  <si>
    <t>PR334</t>
  </si>
  <si>
    <t>PR3340</t>
  </si>
  <si>
    <t>PR3341</t>
  </si>
  <si>
    <t>PR3342</t>
  </si>
  <si>
    <t>PR3343</t>
  </si>
  <si>
    <t>PR3344</t>
  </si>
  <si>
    <t>PR3345</t>
  </si>
  <si>
    <t>PR3346</t>
  </si>
  <si>
    <t>PR3347</t>
  </si>
  <si>
    <t>PR3348</t>
  </si>
  <si>
    <t>PR3349</t>
  </si>
  <si>
    <t>PR335</t>
  </si>
  <si>
    <t>PR3350</t>
  </si>
  <si>
    <t>PR3351</t>
  </si>
  <si>
    <t>PR3352</t>
  </si>
  <si>
    <t>PR3353</t>
  </si>
  <si>
    <t>PR3354</t>
  </si>
  <si>
    <t>PR3355</t>
  </si>
  <si>
    <t>PR3356</t>
  </si>
  <si>
    <t>PR3357</t>
  </si>
  <si>
    <t>PR3358</t>
  </si>
  <si>
    <t>PR3359</t>
  </si>
  <si>
    <t>PR336</t>
  </si>
  <si>
    <t>PR3360</t>
  </si>
  <si>
    <t>PR3361</t>
  </si>
  <si>
    <t>PR3362</t>
  </si>
  <si>
    <t>PR3363</t>
  </si>
  <si>
    <t>PR3364</t>
  </si>
  <si>
    <t>PR3365</t>
  </si>
  <si>
    <t>PR3366</t>
  </si>
  <si>
    <t>PR3367</t>
  </si>
  <si>
    <t>PR3368</t>
  </si>
  <si>
    <t>PR3369</t>
  </si>
  <si>
    <t>PR337</t>
  </si>
  <si>
    <t>PR3370</t>
  </si>
  <si>
    <t>PR3371</t>
  </si>
  <si>
    <t>PR3372</t>
  </si>
  <si>
    <t>PR3373</t>
  </si>
  <si>
    <t>PR3374</t>
  </si>
  <si>
    <t>PR3375</t>
  </si>
  <si>
    <t>PR3376</t>
  </si>
  <si>
    <t>PR3377</t>
  </si>
  <si>
    <t>PR3378</t>
  </si>
  <si>
    <t>PR3379</t>
  </si>
  <si>
    <t>PR338</t>
  </si>
  <si>
    <t>PR3380</t>
  </si>
  <si>
    <t>PR3381</t>
  </si>
  <si>
    <t>PR3382</t>
  </si>
  <si>
    <t>PR3383</t>
  </si>
  <si>
    <t>PR3384</t>
  </si>
  <si>
    <t>PR3385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</si>
  <si>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</si>
  <si>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</si>
  <si>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</si>
  <si>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</si>
  <si>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</si>
  <si>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</si>
  <si>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</si>
  <si>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</si>
  <si>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</si>
  <si>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</si>
  <si>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</si>
  <si>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</si>
  <si>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</si>
  <si>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</si>
  <si>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</si>
  <si>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PR34</t>
  </si>
  <si>
    <t>PR340</t>
  </si>
  <si>
    <t>PR3400</t>
  </si>
  <si>
    <t>PR3401</t>
  </si>
  <si>
    <t>PR3402</t>
  </si>
  <si>
    <t>PR3403</t>
  </si>
  <si>
    <t>PR3404</t>
  </si>
  <si>
    <t>PR3405</t>
  </si>
  <si>
    <t>PR3406</t>
  </si>
  <si>
    <t>PR3407</t>
  </si>
  <si>
    <t>PR3408</t>
  </si>
  <si>
    <t>PR3409</t>
  </si>
  <si>
    <t>PR341</t>
  </si>
  <si>
    <t>PR3410</t>
  </si>
  <si>
    <t>PR3411</t>
  </si>
  <si>
    <t>PR3412</t>
  </si>
  <si>
    <t>PR3413</t>
  </si>
  <si>
    <t>PR3414</t>
  </si>
  <si>
    <t>PR3415</t>
  </si>
  <si>
    <t>PR3416</t>
  </si>
  <si>
    <t>PR3417</t>
  </si>
  <si>
    <t>PR3418</t>
  </si>
  <si>
    <t>PR3419</t>
  </si>
  <si>
    <t>PR342</t>
  </si>
  <si>
    <t>PR3420</t>
  </si>
  <si>
    <t>PR3421</t>
  </si>
  <si>
    <t>PR3422</t>
  </si>
  <si>
    <t>PR3423</t>
  </si>
  <si>
    <t>PR3424</t>
  </si>
  <si>
    <t>PR3425</t>
  </si>
  <si>
    <t>PR3426</t>
  </si>
  <si>
    <t>PR3427</t>
  </si>
  <si>
    <t>PR3428</t>
  </si>
  <si>
    <t>PR3429</t>
  </si>
  <si>
    <t>PR343</t>
  </si>
  <si>
    <t>PR3430</t>
  </si>
  <si>
    <t>PR3431</t>
  </si>
  <si>
    <t>PR3432</t>
  </si>
  <si>
    <t>PR3433</t>
  </si>
  <si>
    <t>PR3434</t>
  </si>
  <si>
    <t>PR3435</t>
  </si>
  <si>
    <t>PR3436</t>
  </si>
  <si>
    <t>PR3437</t>
  </si>
  <si>
    <t>PR3438</t>
  </si>
  <si>
    <t>PR3439</t>
  </si>
  <si>
    <t>PR344</t>
  </si>
  <si>
    <t>PR3440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</si>
  <si>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</si>
  <si>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</si>
  <si>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</si>
  <si>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</si>
  <si>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</si>
  <si>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</si>
  <si>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</si>
  <si>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</si>
  <si>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</si>
  <si>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</si>
  <si>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</si>
  <si>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</si>
  <si>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</si>
  <si>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</si>
  <si>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PR3454</t>
  </si>
  <si>
    <t>PR3455</t>
  </si>
  <si>
    <t>PR3456</t>
  </si>
  <si>
    <t>PR3457</t>
  </si>
  <si>
    <t>PR3458</t>
  </si>
  <si>
    <t>PR3459</t>
  </si>
  <si>
    <t>PR346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</si>
  <si>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</si>
  <si>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</si>
  <si>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</si>
  <si>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</si>
  <si>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</si>
  <si>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</si>
  <si>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</si>
  <si>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</si>
  <si>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</si>
  <si>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PR3469</t>
  </si>
  <si>
    <t>PR347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</si>
  <si>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</si>
  <si>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</si>
  <si>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</si>
  <si>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</si>
  <si>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</si>
  <si>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</si>
  <si>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</si>
  <si>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</si>
  <si>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</si>
  <si>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</si>
  <si>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</t>
  </si>
  <si>
    <t>PR3480</t>
  </si>
  <si>
    <t>PR3481</t>
  </si>
  <si>
    <t>PR3482</t>
  </si>
  <si>
    <t>PR3483</t>
  </si>
  <si>
    <t>PR3484</t>
  </si>
  <si>
    <t>PR3485</t>
  </si>
  <si>
    <t>PR3486</t>
  </si>
  <si>
    <t>PR3487</t>
  </si>
  <si>
    <t>PR3488</t>
  </si>
  <si>
    <t>PR3489</t>
  </si>
  <si>
    <t>PR349</t>
  </si>
  <si>
    <t>PR3490</t>
  </si>
  <si>
    <t>PR3491</t>
  </si>
  <si>
    <t>PR3492</t>
  </si>
  <si>
    <t>PR3493</t>
  </si>
  <si>
    <t>PR3494</t>
  </si>
  <si>
    <t>PR3495</t>
  </si>
  <si>
    <t>PR3496</t>
  </si>
  <si>
    <t>PR3497</t>
  </si>
  <si>
    <t>PR3498</t>
  </si>
  <si>
    <t>PR3499</t>
  </si>
  <si>
    <t>PR35</t>
  </si>
  <si>
    <t>PR350</t>
  </si>
  <si>
    <t>PR3500</t>
  </si>
  <si>
    <t>PR3501</t>
  </si>
  <si>
    <t>PR3502</t>
  </si>
  <si>
    <t>PR3503</t>
  </si>
  <si>
    <t>PR3504</t>
  </si>
  <si>
    <t>PR3505</t>
  </si>
  <si>
    <t>PR3506</t>
  </si>
  <si>
    <t>PR3507</t>
  </si>
  <si>
    <t>PR3508</t>
  </si>
  <si>
    <t>PR3509</t>
  </si>
  <si>
    <t>PR351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</si>
  <si>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</si>
  <si>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</si>
  <si>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</si>
  <si>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</si>
  <si>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</si>
  <si>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</si>
  <si>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</si>
  <si>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</si>
  <si>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</si>
  <si>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PR3519</t>
  </si>
  <si>
    <t>PR352</t>
  </si>
  <si>
    <t>PR3520</t>
  </si>
  <si>
    <t>PR3521</t>
  </si>
  <si>
    <t>PR3522</t>
  </si>
  <si>
    <t>PR3523</t>
  </si>
  <si>
    <t>PR3524</t>
  </si>
  <si>
    <t>PR3525</t>
  </si>
  <si>
    <t>PR3526</t>
  </si>
  <si>
    <t>PR3527</t>
  </si>
  <si>
    <t>PR3528</t>
  </si>
  <si>
    <t>PR3529</t>
  </si>
  <si>
    <t>PR353</t>
  </si>
  <si>
    <t>PR3530</t>
  </si>
  <si>
    <t>PR3531</t>
  </si>
  <si>
    <t>PR3532</t>
  </si>
  <si>
    <t>PR3533</t>
  </si>
  <si>
    <t>PR3534</t>
  </si>
  <si>
    <t>PR3535</t>
  </si>
  <si>
    <t>PR3536</t>
  </si>
  <si>
    <t>PR3537</t>
  </si>
  <si>
    <t>PR3538</t>
  </si>
  <si>
    <t>PR3539</t>
  </si>
  <si>
    <t>PR354</t>
  </si>
  <si>
    <t>PR3540</t>
  </si>
  <si>
    <t>PR3541</t>
  </si>
  <si>
    <t>PR3542</t>
  </si>
  <si>
    <t>PR3543</t>
  </si>
  <si>
    <t>PR3544</t>
  </si>
  <si>
    <t>PR3545</t>
  </si>
  <si>
    <t>PR3546</t>
  </si>
  <si>
    <t>PR3547</t>
  </si>
  <si>
    <t>PR3548</t>
  </si>
  <si>
    <t>PR3549</t>
  </si>
  <si>
    <t>PR355</t>
  </si>
  <si>
    <t>PR3550</t>
  </si>
  <si>
    <t>PR3551</t>
  </si>
  <si>
    <t>PR3552</t>
  </si>
  <si>
    <t>PR3553</t>
  </si>
  <si>
    <t>PR3554</t>
  </si>
  <si>
    <t>PR3555</t>
  </si>
  <si>
    <t>PR3556</t>
  </si>
  <si>
    <t>PR3557</t>
  </si>
  <si>
    <t>PR3558</t>
  </si>
  <si>
    <t>PR3559</t>
  </si>
  <si>
    <t>PR356</t>
  </si>
  <si>
    <t>PR3560</t>
  </si>
  <si>
    <t>PR3561</t>
  </si>
  <si>
    <t>PR3562</t>
  </si>
  <si>
    <t>PR3563</t>
  </si>
  <si>
    <t>PR3564</t>
  </si>
  <si>
    <t>PR3565</t>
  </si>
  <si>
    <t>PR3566</t>
  </si>
  <si>
    <t>PR3567</t>
  </si>
  <si>
    <t>PR3568</t>
  </si>
  <si>
    <t>PR3569</t>
  </si>
  <si>
    <t>PR357</t>
  </si>
  <si>
    <t>PR3570</t>
  </si>
  <si>
    <t>PR3571</t>
  </si>
  <si>
    <t>PR3572</t>
  </si>
  <si>
    <t>PR3573</t>
  </si>
  <si>
    <t>PR3574</t>
  </si>
  <si>
    <t>PR3575</t>
  </si>
  <si>
    <t>PR3576</t>
  </si>
  <si>
    <t>PR3577</t>
  </si>
  <si>
    <t>PR3578</t>
  </si>
  <si>
    <t>PR3579</t>
  </si>
  <si>
    <t>PR358</t>
  </si>
  <si>
    <t>PR3580</t>
  </si>
  <si>
    <t>PR3581</t>
  </si>
  <si>
    <t>PR3582</t>
  </si>
  <si>
    <t>PR3583</t>
  </si>
  <si>
    <t>PR3584</t>
  </si>
  <si>
    <t>PR3585</t>
  </si>
  <si>
    <t>PR3586</t>
  </si>
  <si>
    <t>PR3587</t>
  </si>
  <si>
    <t>PR3588</t>
  </si>
  <si>
    <t>PR3589</t>
  </si>
  <si>
    <t>PR359</t>
  </si>
  <si>
    <t>PR3590</t>
  </si>
  <si>
    <t>PR3591</t>
  </si>
  <si>
    <t>PR3592</t>
  </si>
  <si>
    <t>PR3593</t>
  </si>
  <si>
    <t>PR3594</t>
  </si>
  <si>
    <t>PR3595</t>
  </si>
  <si>
    <t>PR3596</t>
  </si>
  <si>
    <t>PR3597</t>
  </si>
  <si>
    <t>PR3598</t>
  </si>
  <si>
    <t>PR3599</t>
  </si>
  <si>
    <t>PR36</t>
  </si>
  <si>
    <t>PR360</t>
  </si>
  <si>
    <t>PR3600</t>
  </si>
  <si>
    <t>PR3601</t>
  </si>
  <si>
    <t>PR3602</t>
  </si>
  <si>
    <t>PR3603</t>
  </si>
  <si>
    <t>PR3604</t>
  </si>
  <si>
    <t>PR3605</t>
  </si>
  <si>
    <t>PR3606</t>
  </si>
  <si>
    <t>PR3607</t>
  </si>
  <si>
    <t>PR3608</t>
  </si>
  <si>
    <t>PR3609</t>
  </si>
  <si>
    <t>PR361</t>
  </si>
  <si>
    <t>PR3610</t>
  </si>
  <si>
    <t>PR3611</t>
  </si>
  <si>
    <t>PR3612</t>
  </si>
  <si>
    <t>PR3613</t>
  </si>
  <si>
    <t>PR3614</t>
  </si>
  <si>
    <t>PR3615</t>
  </si>
  <si>
    <t>PR3616</t>
  </si>
  <si>
    <t>PR3617</t>
  </si>
  <si>
    <t>PR3618</t>
  </si>
  <si>
    <t>PR3619</t>
  </si>
  <si>
    <t>PR362</t>
  </si>
  <si>
    <t>PR3620</t>
  </si>
  <si>
    <t>PR3621</t>
  </si>
  <si>
    <t>PR3622</t>
  </si>
  <si>
    <t>PR3623</t>
  </si>
  <si>
    <t>PR3624</t>
  </si>
  <si>
    <t>PR3625</t>
  </si>
  <si>
    <t>PR3626</t>
  </si>
  <si>
    <t>PR3627</t>
  </si>
  <si>
    <t>PR3628</t>
  </si>
  <si>
    <t>PR3629</t>
  </si>
  <si>
    <t>PR363</t>
  </si>
  <si>
    <t>PR3630</t>
  </si>
  <si>
    <t>PR3631</t>
  </si>
  <si>
    <t>PR3632</t>
  </si>
  <si>
    <t>PR3633</t>
  </si>
  <si>
    <t>PR3634</t>
  </si>
  <si>
    <t>PR3635</t>
  </si>
  <si>
    <t>PR3636</t>
  </si>
  <si>
    <t>PR3637</t>
  </si>
  <si>
    <t>PR3638</t>
  </si>
  <si>
    <t>PR3639</t>
  </si>
  <si>
    <t>PR364</t>
  </si>
  <si>
    <t>PR3640</t>
  </si>
  <si>
    <t>PR3641</t>
  </si>
  <si>
    <t>PR3642</t>
  </si>
  <si>
    <t>PR3643</t>
  </si>
  <si>
    <t>PR3644</t>
  </si>
  <si>
    <t>PR3645</t>
  </si>
  <si>
    <t>PR3646</t>
  </si>
  <si>
    <t>PR3647</t>
  </si>
  <si>
    <t>PR3648</t>
  </si>
  <si>
    <t>PR3649</t>
  </si>
  <si>
    <t>PR365</t>
  </si>
  <si>
    <t>PR3650</t>
  </si>
  <si>
    <t>PR3651</t>
  </si>
  <si>
    <t>PR3652</t>
  </si>
  <si>
    <t>PR3653</t>
  </si>
  <si>
    <t>PR3654</t>
  </si>
  <si>
    <t>PR3655</t>
  </si>
  <si>
    <t>PR3656</t>
  </si>
  <si>
    <t>PR3657</t>
  </si>
  <si>
    <t>PR3658</t>
  </si>
  <si>
    <t>PR3659</t>
  </si>
  <si>
    <t>PR366</t>
  </si>
  <si>
    <t>PR3660</t>
  </si>
  <si>
    <t>PR3661</t>
  </si>
  <si>
    <t>PR3662</t>
  </si>
  <si>
    <t>PR3663</t>
  </si>
  <si>
    <t>PR3664</t>
  </si>
  <si>
    <t>PR3665</t>
  </si>
  <si>
    <t>PR3666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</si>
  <si>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</si>
  <si>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</si>
  <si>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</si>
  <si>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</si>
  <si>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</si>
  <si>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</si>
  <si>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</si>
  <si>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</si>
  <si>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</si>
  <si>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</si>
  <si>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PR3676</t>
  </si>
  <si>
    <t>PR3677</t>
  </si>
  <si>
    <t>PR3678</t>
  </si>
  <si>
    <t>PR3679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</si>
  <si>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</si>
  <si>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</si>
  <si>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</si>
  <si>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</si>
  <si>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</si>
  <si>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</si>
  <si>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</si>
  <si>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</si>
  <si>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</si>
  <si>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</si>
  <si>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</si>
  <si>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</si>
  <si>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PR3690</t>
  </si>
  <si>
    <t>PR3691</t>
  </si>
  <si>
    <t>PR3692</t>
  </si>
  <si>
    <t>PR3693</t>
  </si>
  <si>
    <t>PR3694</t>
  </si>
  <si>
    <t>PR3695</t>
  </si>
  <si>
    <t>PR3696</t>
  </si>
  <si>
    <t>PR3697</t>
  </si>
  <si>
    <t>PR3698</t>
  </si>
  <si>
    <t>PR3699</t>
  </si>
  <si>
    <t>PR37</t>
  </si>
  <si>
    <t>PR370</t>
  </si>
  <si>
    <t>PR3700</t>
  </si>
  <si>
    <t>PR3701</t>
  </si>
  <si>
    <t>PR3702</t>
  </si>
  <si>
    <t>PR3703</t>
  </si>
  <si>
    <t>PR3704</t>
  </si>
  <si>
    <t>PR3705</t>
  </si>
  <si>
    <t>PR3706</t>
  </si>
  <si>
    <t>PR3707</t>
  </si>
  <si>
    <t>PR3708</t>
  </si>
  <si>
    <t>PR3709</t>
  </si>
  <si>
    <t>PR371</t>
  </si>
  <si>
    <t>PR3710</t>
  </si>
  <si>
    <t>PR3711</t>
  </si>
  <si>
    <t>PR3712</t>
  </si>
  <si>
    <t>PR3713</t>
  </si>
  <si>
    <t>PR3714</t>
  </si>
  <si>
    <t>PR3715</t>
  </si>
  <si>
    <t>PR3716</t>
  </si>
  <si>
    <t>PR3717</t>
  </si>
  <si>
    <t>PR3718</t>
  </si>
  <si>
    <t>PR3719</t>
  </si>
  <si>
    <t>PR372</t>
  </si>
  <si>
    <t>PR3720</t>
  </si>
  <si>
    <t>PR3721</t>
  </si>
  <si>
    <t>PR3722</t>
  </si>
  <si>
    <t>PR3723</t>
  </si>
  <si>
    <t>PR3724</t>
  </si>
  <si>
    <t>PR3725</t>
  </si>
  <si>
    <t>PR3726</t>
  </si>
  <si>
    <t>PR3727</t>
  </si>
  <si>
    <t>PR3728</t>
  </si>
  <si>
    <t>PR3729</t>
  </si>
  <si>
    <t>PR373</t>
  </si>
  <si>
    <t>PR3730</t>
  </si>
  <si>
    <t>PR3731</t>
  </si>
  <si>
    <t>PR3732</t>
  </si>
  <si>
    <t>PR3733</t>
  </si>
  <si>
    <t>PR3734</t>
  </si>
  <si>
    <t>PR3735</t>
  </si>
  <si>
    <t>PR3736</t>
  </si>
  <si>
    <t>PR3737</t>
  </si>
  <si>
    <t>PR3738</t>
  </si>
  <si>
    <t>PR3739</t>
  </si>
  <si>
    <t>PR374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</si>
  <si>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</si>
  <si>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</si>
  <si>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</si>
  <si>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</si>
  <si>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</si>
  <si>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</si>
  <si>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</si>
  <si>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</si>
  <si>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PR3748</t>
  </si>
  <si>
    <t>PR3749</t>
  </si>
  <si>
    <t>PR375</t>
  </si>
  <si>
    <t>PR3750</t>
  </si>
  <si>
    <t>PR3751</t>
  </si>
  <si>
    <t>PR3752</t>
  </si>
  <si>
    <t>PR3753</t>
  </si>
  <si>
    <t>PR3754</t>
  </si>
  <si>
    <t>PR3755</t>
  </si>
  <si>
    <t>PR3756</t>
  </si>
  <si>
    <t>PR3757</t>
  </si>
  <si>
    <t>PR3758</t>
  </si>
  <si>
    <t>PR3759</t>
  </si>
  <si>
    <t>PR376</t>
  </si>
  <si>
    <t>PR3760</t>
  </si>
  <si>
    <t>PR3761</t>
  </si>
  <si>
    <t>PR3762</t>
  </si>
  <si>
    <t>PR3763</t>
  </si>
  <si>
    <t>PR3764</t>
  </si>
  <si>
    <t>PR3765</t>
  </si>
  <si>
    <t>PR3766</t>
  </si>
  <si>
    <t>PR3767</t>
  </si>
  <si>
    <t>PR3768</t>
  </si>
  <si>
    <t>PR3769</t>
  </si>
  <si>
    <t>PR377</t>
  </si>
  <si>
    <t>PR3770</t>
  </si>
  <si>
    <t>PR3771</t>
  </si>
  <si>
    <t>PR3772</t>
  </si>
  <si>
    <t>PR3773</t>
  </si>
  <si>
    <t>PR3774</t>
  </si>
  <si>
    <t>PR3775</t>
  </si>
  <si>
    <t>PR3776</t>
  </si>
  <si>
    <t>PR3777</t>
  </si>
  <si>
    <t>PR3778</t>
  </si>
  <si>
    <t>PR3779</t>
  </si>
  <si>
    <t>PR378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</si>
  <si>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</si>
  <si>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</si>
  <si>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</si>
  <si>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</si>
  <si>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</si>
  <si>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</si>
  <si>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</si>
  <si>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</si>
  <si>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PR3788</t>
  </si>
  <si>
    <t>PR3789</t>
  </si>
  <si>
    <t>PR379</t>
  </si>
  <si>
    <t>PR3790</t>
  </si>
  <si>
    <t>PR3791</t>
  </si>
  <si>
    <t>PR3792</t>
  </si>
  <si>
    <t>PR3793</t>
  </si>
  <si>
    <t>PR3794</t>
  </si>
  <si>
    <t>PR3795</t>
  </si>
  <si>
    <t>PR3796</t>
  </si>
  <si>
    <t>PR3797</t>
  </si>
  <si>
    <t>PR3798</t>
  </si>
  <si>
    <t>PR3799</t>
  </si>
  <si>
    <t>PR38</t>
  </si>
  <si>
    <t>PR380</t>
  </si>
  <si>
    <t>PR3800</t>
  </si>
  <si>
    <t>PR3801</t>
  </si>
  <si>
    <t>PR3802</t>
  </si>
  <si>
    <t>PR3803</t>
  </si>
  <si>
    <t>PR3804</t>
  </si>
  <si>
    <t>PR3805</t>
  </si>
  <si>
    <t>PR3806</t>
  </si>
  <si>
    <t>PR3807</t>
  </si>
  <si>
    <t>PR3808</t>
  </si>
  <si>
    <t>PR3809</t>
  </si>
  <si>
    <t>PR381</t>
  </si>
  <si>
    <t>PR3810</t>
  </si>
  <si>
    <t>PR3811</t>
  </si>
  <si>
    <t>PR3812</t>
  </si>
  <si>
    <t>PR3813</t>
  </si>
  <si>
    <t>PR3814</t>
  </si>
  <si>
    <t>PR3815</t>
  </si>
  <si>
    <t>PR3816</t>
  </si>
  <si>
    <t>PR3817</t>
  </si>
  <si>
    <t>PR3818</t>
  </si>
  <si>
    <t>PR3819</t>
  </si>
  <si>
    <t>PR382</t>
  </si>
  <si>
    <t>PR3820</t>
  </si>
  <si>
    <t>PR3821</t>
  </si>
  <si>
    <t>PR3822</t>
  </si>
  <si>
    <t>PR3823</t>
  </si>
  <si>
    <t>PR3824</t>
  </si>
  <si>
    <t>PR3825</t>
  </si>
  <si>
    <t>PR3826</t>
  </si>
  <si>
    <t>PR3827</t>
  </si>
  <si>
    <t>PR3828</t>
  </si>
  <si>
    <t>PR3829</t>
  </si>
  <si>
    <t>PR383</t>
  </si>
  <si>
    <t>PR3830</t>
  </si>
  <si>
    <t>PR3831</t>
  </si>
  <si>
    <t>PR3832</t>
  </si>
  <si>
    <t>PR3833</t>
  </si>
  <si>
    <t>PR3834</t>
  </si>
  <si>
    <t>PR3835</t>
  </si>
  <si>
    <t>PR3836</t>
  </si>
  <si>
    <t>PR3837</t>
  </si>
  <si>
    <t>PR3838</t>
  </si>
  <si>
    <t>PR3839</t>
  </si>
  <si>
    <t>PR384</t>
  </si>
  <si>
    <t>PR3840</t>
  </si>
  <si>
    <t>PR3841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</si>
  <si>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</si>
  <si>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</si>
  <si>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</si>
  <si>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</si>
  <si>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</si>
  <si>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</si>
  <si>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</si>
  <si>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</si>
  <si>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</si>
  <si>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PR3850</t>
  </si>
  <si>
    <t>PR3851</t>
  </si>
  <si>
    <t>PR3852</t>
  </si>
  <si>
    <t>PR3853</t>
  </si>
  <si>
    <t>PR3854</t>
  </si>
  <si>
    <t>PR3855</t>
  </si>
  <si>
    <t>PR3856</t>
  </si>
  <si>
    <t>PR3857</t>
  </si>
  <si>
    <t>PR3858</t>
  </si>
  <si>
    <t>PR3859</t>
  </si>
  <si>
    <t>PR386</t>
  </si>
  <si>
    <t>PR3860</t>
  </si>
  <si>
    <t>PR3861</t>
  </si>
  <si>
    <t>PR3862</t>
  </si>
  <si>
    <t>PR3863</t>
  </si>
  <si>
    <t>PR3864</t>
  </si>
  <si>
    <t>PR3865</t>
  </si>
  <si>
    <t>PR3866</t>
  </si>
  <si>
    <t>PR3867</t>
  </si>
  <si>
    <t>PR3868</t>
  </si>
  <si>
    <t>PR3869</t>
  </si>
  <si>
    <t>PR387</t>
  </si>
  <si>
    <t>PR3870</t>
  </si>
  <si>
    <t>PR3871</t>
  </si>
  <si>
    <t>PR3872</t>
  </si>
  <si>
    <t>PR3873</t>
  </si>
  <si>
    <t>PR3874</t>
  </si>
  <si>
    <t>PR3875</t>
  </si>
  <si>
    <t>PR3876</t>
  </si>
  <si>
    <t>PR3877</t>
  </si>
  <si>
    <t>PR3878</t>
  </si>
  <si>
    <t>PR3879</t>
  </si>
  <si>
    <t>PR388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</si>
  <si>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</si>
  <si>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</si>
  <si>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</si>
  <si>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</si>
  <si>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</si>
  <si>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</si>
  <si>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</si>
  <si>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</si>
  <si>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PR3888</t>
  </si>
  <si>
    <t>PR3889</t>
  </si>
  <si>
    <t>PR389</t>
  </si>
  <si>
    <t>PR3890</t>
  </si>
  <si>
    <t>PR3891</t>
  </si>
  <si>
    <t>PR3892</t>
  </si>
  <si>
    <t>PR3893</t>
  </si>
  <si>
    <t>PR3894</t>
  </si>
  <si>
    <t>PR3895</t>
  </si>
  <si>
    <t>PR3896</t>
  </si>
  <si>
    <t>PR3897</t>
  </si>
  <si>
    <t>PR3898</t>
  </si>
  <si>
    <t>PR3899</t>
  </si>
  <si>
    <t>PR39</t>
  </si>
  <si>
    <t>PR390</t>
  </si>
  <si>
    <t>PR3900</t>
  </si>
  <si>
    <t>PR3901</t>
  </si>
  <si>
    <t>PR3902</t>
  </si>
  <si>
    <t>PR3903</t>
  </si>
  <si>
    <t>PR3904</t>
  </si>
  <si>
    <t>PR3905</t>
  </si>
  <si>
    <t>PR3906</t>
  </si>
  <si>
    <t>PR3907</t>
  </si>
  <si>
    <t>PR3908</t>
  </si>
  <si>
    <t>PR3909</t>
  </si>
  <si>
    <t>PR391</t>
  </si>
  <si>
    <t>PR3910</t>
  </si>
  <si>
    <t>PR3911</t>
  </si>
  <si>
    <t>PR3912</t>
  </si>
  <si>
    <t>PR3913</t>
  </si>
  <si>
    <t>PR3914</t>
  </si>
  <si>
    <t>PR3915</t>
  </si>
  <si>
    <t>PR3916</t>
  </si>
  <si>
    <t>PR3917</t>
  </si>
  <si>
    <t>PR3918</t>
  </si>
  <si>
    <t>PR3919</t>
  </si>
  <si>
    <t>PR392</t>
  </si>
  <si>
    <t>PR3920</t>
  </si>
  <si>
    <t>PR3921</t>
  </si>
  <si>
    <t>PR3922</t>
  </si>
  <si>
    <t>PR3923</t>
  </si>
  <si>
    <t>PR3924</t>
  </si>
  <si>
    <t>PR3925</t>
  </si>
  <si>
    <t>PR3926</t>
  </si>
  <si>
    <t>PR3927</t>
  </si>
  <si>
    <t>PR3928</t>
  </si>
  <si>
    <t>PR3929</t>
  </si>
  <si>
    <t>PR393</t>
  </si>
  <si>
    <t>PR3930</t>
  </si>
  <si>
    <t>PR3931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</si>
  <si>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</si>
  <si>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</si>
  <si>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</si>
  <si>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</si>
  <si>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</si>
  <si>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</si>
  <si>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</si>
  <si>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</si>
  <si>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</si>
  <si>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PR3940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</si>
  <si>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</si>
  <si>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</si>
  <si>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</si>
  <si>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</si>
  <si>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</si>
  <si>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</si>
  <si>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</si>
  <si>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</si>
  <si>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</si>
  <si>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</si>
  <si>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</si>
  <si>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</si>
  <si>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</si>
  <si>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</si>
  <si>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</si>
  <si>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</si>
  <si>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</si>
  <si>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</si>
  <si>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</si>
  <si>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</si>
  <si>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</si>
  <si>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PR3960</t>
  </si>
  <si>
    <t>PR3961</t>
  </si>
  <si>
    <t>PR3962</t>
  </si>
  <si>
    <t>PR3963</t>
  </si>
  <si>
    <t>PR3964</t>
  </si>
  <si>
    <t>PR3965</t>
  </si>
  <si>
    <t>PR3966</t>
  </si>
  <si>
    <t>PR3967</t>
  </si>
  <si>
    <t>PR3968</t>
  </si>
  <si>
    <t>PR3969</t>
  </si>
  <si>
    <t>PR397</t>
  </si>
  <si>
    <t>PR3970</t>
  </si>
  <si>
    <t>PR3971</t>
  </si>
  <si>
    <t>PR3972</t>
  </si>
  <si>
    <t>PR3973</t>
  </si>
  <si>
    <t>PR3974</t>
  </si>
  <si>
    <t>PR3975</t>
  </si>
  <si>
    <t>PR3976</t>
  </si>
  <si>
    <t>PR3977</t>
  </si>
  <si>
    <t>PR3978</t>
  </si>
  <si>
    <t>PR3979</t>
  </si>
  <si>
    <t>PR398</t>
  </si>
  <si>
    <t>PR3980</t>
  </si>
  <si>
    <t>PR3981</t>
  </si>
  <si>
    <t>PR3982</t>
  </si>
  <si>
    <t>PR3983</t>
  </si>
  <si>
    <t>PR3984</t>
  </si>
  <si>
    <t>PR3985</t>
  </si>
  <si>
    <t>PR3986</t>
  </si>
  <si>
    <t>PR3987</t>
  </si>
  <si>
    <t>PR3988</t>
  </si>
  <si>
    <t>PR3989</t>
  </si>
  <si>
    <t>PR399</t>
  </si>
  <si>
    <t>PR3990</t>
  </si>
  <si>
    <t>PR3991</t>
  </si>
  <si>
    <t>PR3992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</si>
  <si>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</si>
  <si>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</si>
  <si>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</si>
  <si>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</si>
  <si>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</si>
  <si>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</si>
  <si>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</si>
  <si>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</si>
  <si>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</si>
  <si>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</si>
  <si>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</si>
  <si>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</si>
  <si>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</si>
  <si>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</si>
  <si>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</si>
  <si>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</si>
  <si>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</si>
  <si>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</si>
  <si>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</si>
  <si>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</si>
  <si>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PR4010</t>
  </si>
  <si>
    <t>PR4011</t>
  </si>
  <si>
    <t>PR4012</t>
  </si>
  <si>
    <t>PR4013</t>
  </si>
  <si>
    <t>PR4014</t>
  </si>
  <si>
    <t>PR4015</t>
  </si>
  <si>
    <t>PR4016</t>
  </si>
  <si>
    <t>PR4017</t>
  </si>
  <si>
    <t>PR4018</t>
  </si>
  <si>
    <t>PR4019</t>
  </si>
  <si>
    <t>PR402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</si>
  <si>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</si>
  <si>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</si>
  <si>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</si>
  <si>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</si>
  <si>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</si>
  <si>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</si>
  <si>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</si>
  <si>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</si>
  <si>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</si>
  <si>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</si>
  <si>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</si>
  <si>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</si>
  <si>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</si>
  <si>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</si>
  <si>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</si>
  <si>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</si>
  <si>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PR4035</t>
  </si>
  <si>
    <t>PR4036</t>
  </si>
  <si>
    <t>PR4037</t>
  </si>
  <si>
    <t>PR4038</t>
  </si>
  <si>
    <t>PR4039</t>
  </si>
  <si>
    <t>PR404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</si>
  <si>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</si>
  <si>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</si>
  <si>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</si>
  <si>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</si>
  <si>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</si>
  <si>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</si>
  <si>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</si>
  <si>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</si>
  <si>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</si>
  <si>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</si>
  <si>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</si>
  <si>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</si>
  <si>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</si>
  <si>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</si>
  <si>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</si>
  <si>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</si>
  <si>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</si>
  <si>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</si>
  <si>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</si>
  <si>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</si>
  <si>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</si>
  <si>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</si>
  <si>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</si>
  <si>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</si>
  <si>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</si>
  <si>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</si>
  <si>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</si>
  <si>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</si>
  <si>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</si>
  <si>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</si>
  <si>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</si>
  <si>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</si>
  <si>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</t>
  </si>
  <si>
    <t>PR4070</t>
  </si>
  <si>
    <t>PR4071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</si>
  <si>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</si>
  <si>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</si>
  <si>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</si>
  <si>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</si>
  <si>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</si>
  <si>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</si>
  <si>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</si>
  <si>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</si>
  <si>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</si>
  <si>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</si>
  <si>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</si>
  <si>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</si>
  <si>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</si>
  <si>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</si>
  <si>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</si>
  <si>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</si>
  <si>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</si>
  <si>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</si>
  <si>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</si>
  <si>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</si>
  <si>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</si>
  <si>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</si>
  <si>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</si>
  <si>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</si>
  <si>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</si>
  <si>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</si>
  <si>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</si>
  <si>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</si>
  <si>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</si>
  <si>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</si>
  <si>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</t>
  </si>
  <si>
    <t>PR410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</si>
  <si>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</si>
  <si>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</si>
  <si>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</si>
  <si>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</si>
  <si>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</si>
  <si>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</si>
  <si>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</si>
  <si>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</si>
  <si>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</si>
  <si>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</si>
  <si>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</t>
  </si>
  <si>
    <t>PR4110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</si>
  <si>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</si>
  <si>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</si>
  <si>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</si>
  <si>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</si>
  <si>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</si>
  <si>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</si>
  <si>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</si>
  <si>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</si>
  <si>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</si>
  <si>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</si>
  <si>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</si>
  <si>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</si>
  <si>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</si>
  <si>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</si>
  <si>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</si>
  <si>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</si>
  <si>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</si>
  <si>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</si>
  <si>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</si>
  <si>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</si>
  <si>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</si>
  <si>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</si>
  <si>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</si>
  <si>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</si>
  <si>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</si>
  <si>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</si>
  <si>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</si>
  <si>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</si>
  <si>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</si>
  <si>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</si>
  <si>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</si>
  <si>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</si>
  <si>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</si>
  <si>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</si>
  <si>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</si>
  <si>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</si>
  <si>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</si>
  <si>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</si>
  <si>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</si>
  <si>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</si>
  <si>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</si>
  <si>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</si>
  <si>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</si>
  <si>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</si>
  <si>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</si>
  <si>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</si>
  <si>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</si>
  <si>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</si>
  <si>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</si>
  <si>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</si>
  <si>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</si>
  <si>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</si>
  <si>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</si>
  <si>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</si>
  <si>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</si>
  <si>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</si>
  <si>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</si>
  <si>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</si>
  <si>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</si>
  <si>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</si>
  <si>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</si>
  <si>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</si>
  <si>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</si>
  <si>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</si>
  <si>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</si>
  <si>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</si>
  <si>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</si>
  <si>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</si>
  <si>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</si>
  <si>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</si>
  <si>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</si>
  <si>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</si>
  <si>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</si>
  <si>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</si>
  <si>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</si>
  <si>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</si>
  <si>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</si>
  <si>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</si>
  <si>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</si>
  <si>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</si>
  <si>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</si>
  <si>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</si>
  <si>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</si>
  <si>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</si>
  <si>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</si>
  <si>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</si>
  <si>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</si>
  <si>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</si>
  <si>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</si>
  <si>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</si>
  <si>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</si>
  <si>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</si>
  <si>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</si>
  <si>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</si>
  <si>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</si>
  <si>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</si>
  <si>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</si>
  <si>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</t>
  </si>
  <si>
    <t>PR420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</si>
  <si>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</si>
  <si>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</si>
  <si>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</si>
  <si>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</si>
  <si>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</si>
  <si>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</si>
  <si>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</si>
  <si>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</si>
  <si>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</si>
  <si>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</si>
  <si>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</si>
  <si>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</si>
  <si>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</si>
  <si>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</si>
  <si>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</si>
  <si>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</si>
  <si>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</si>
  <si>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</si>
  <si>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</si>
  <si>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</si>
  <si>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</si>
  <si>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</t>
  </si>
  <si>
    <t>PR4220</t>
  </si>
  <si>
    <t>PR4221</t>
  </si>
  <si>
    <t>PR4222</t>
  </si>
  <si>
    <t>PR4223</t>
  </si>
  <si>
    <t>PR4224</t>
  </si>
  <si>
    <t>PR4225</t>
  </si>
  <si>
    <t>PR4226</t>
  </si>
  <si>
    <t>PR4227</t>
  </si>
  <si>
    <t>PR4228</t>
  </si>
  <si>
    <t>PR4229</t>
  </si>
  <si>
    <t>PR423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</si>
  <si>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</si>
  <si>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</si>
  <si>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</si>
  <si>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</si>
  <si>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</si>
  <si>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</si>
  <si>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</si>
  <si>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</si>
  <si>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</si>
  <si>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</si>
  <si>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</t>
  </si>
  <si>
    <t>PR4240</t>
  </si>
  <si>
    <t>PR4241</t>
  </si>
  <si>
    <t>PR4242</t>
  </si>
  <si>
    <t>PR4243</t>
  </si>
  <si>
    <t>PR4244</t>
  </si>
  <si>
    <t>PR4245</t>
  </si>
  <si>
    <t>PR4246</t>
  </si>
  <si>
    <t>PR4247</t>
  </si>
  <si>
    <t>PR4248</t>
  </si>
  <si>
    <t>PR4249</t>
  </si>
  <si>
    <t>PR425</t>
  </si>
  <si>
    <t>PR4250</t>
  </si>
  <si>
    <t>PR4251</t>
  </si>
  <si>
    <t>PR4252</t>
  </si>
  <si>
    <t>PR4253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</si>
  <si>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</si>
  <si>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</si>
  <si>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</si>
  <si>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</si>
  <si>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</si>
  <si>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</si>
  <si>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</si>
  <si>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</si>
  <si>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</si>
  <si>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</si>
  <si>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</si>
  <si>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</si>
  <si>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</si>
  <si>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</si>
  <si>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</si>
  <si>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</si>
  <si>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</si>
  <si>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</si>
  <si>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</si>
  <si>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</si>
  <si>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</si>
  <si>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</si>
  <si>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</si>
  <si>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</si>
  <si>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</si>
  <si>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</si>
  <si>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</si>
  <si>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</si>
  <si>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</t>
  </si>
  <si>
    <t>PR4280</t>
  </si>
  <si>
    <t>PR4281</t>
  </si>
  <si>
    <t>PR4282</t>
  </si>
  <si>
    <t>PR4283</t>
  </si>
  <si>
    <t>PR4284</t>
  </si>
  <si>
    <t>PR4285</t>
  </si>
  <si>
    <t>PR4286</t>
  </si>
  <si>
    <t>PR4287</t>
  </si>
  <si>
    <t>PR4288</t>
  </si>
  <si>
    <t>PR4289</t>
  </si>
  <si>
    <t>PR429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</si>
  <si>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</si>
  <si>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</si>
  <si>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</si>
  <si>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</si>
  <si>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</si>
  <si>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</si>
  <si>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</si>
  <si>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</si>
  <si>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</si>
  <si>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</si>
  <si>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PR43</t>
  </si>
  <si>
    <t>PR430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</si>
  <si>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</si>
  <si>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</si>
  <si>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</si>
  <si>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</si>
  <si>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</si>
  <si>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</si>
  <si>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</si>
  <si>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</si>
  <si>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</si>
  <si>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</si>
  <si>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</si>
  <si>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</si>
  <si>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</si>
  <si>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</si>
  <si>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</si>
  <si>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</si>
  <si>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</si>
  <si>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</si>
  <si>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</si>
  <si>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</si>
  <si>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</si>
  <si>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</si>
  <si>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</si>
  <si>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</si>
  <si>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</si>
  <si>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</si>
  <si>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</si>
  <si>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</si>
  <si>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</si>
  <si>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</si>
  <si>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PR4328</t>
  </si>
  <si>
    <t>PR4329</t>
  </si>
  <si>
    <t>PR433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</si>
  <si>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</si>
  <si>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</si>
  <si>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</si>
  <si>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</si>
  <si>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</si>
  <si>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</si>
  <si>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</si>
  <si>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</si>
  <si>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</si>
  <si>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</si>
  <si>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</t>
  </si>
  <si>
    <t>PR4340</t>
  </si>
  <si>
    <t>PR4341</t>
  </si>
  <si>
    <t>PR4342</t>
  </si>
  <si>
    <t>PR4343</t>
  </si>
  <si>
    <t>PR4344</t>
  </si>
  <si>
    <t>PR4345</t>
  </si>
  <si>
    <t>PR4346</t>
  </si>
  <si>
    <t>PR4347</t>
  </si>
  <si>
    <t>PR4348</t>
  </si>
  <si>
    <t>PR4349</t>
  </si>
  <si>
    <t>PR435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</si>
  <si>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</si>
  <si>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</si>
  <si>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</si>
  <si>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</si>
  <si>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</si>
  <si>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</si>
  <si>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</si>
  <si>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</si>
  <si>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</si>
  <si>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PR4359</t>
  </si>
  <si>
    <t>PR436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</si>
  <si>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</si>
  <si>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</si>
  <si>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</si>
  <si>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</si>
  <si>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</si>
  <si>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</si>
  <si>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</si>
  <si>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</si>
  <si>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</si>
  <si>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</si>
  <si>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</t>
  </si>
  <si>
    <t>PR4370</t>
  </si>
  <si>
    <t>PR4371</t>
  </si>
  <si>
    <t>PR4372</t>
  </si>
  <si>
    <t>PR4373</t>
  </si>
  <si>
    <t>PR4374</t>
  </si>
  <si>
    <t>PR4375</t>
  </si>
  <si>
    <t>PR4376</t>
  </si>
  <si>
    <t>PR4377</t>
  </si>
  <si>
    <t>PR4378</t>
  </si>
  <si>
    <t>PR4379</t>
  </si>
  <si>
    <t>PR438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</si>
  <si>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</si>
  <si>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</si>
  <si>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</si>
  <si>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</si>
  <si>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</si>
  <si>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</si>
  <si>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</si>
  <si>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</si>
  <si>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</si>
  <si>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</si>
  <si>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</si>
  <si>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</si>
  <si>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</si>
  <si>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</si>
  <si>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</si>
  <si>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</si>
  <si>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</si>
  <si>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</si>
  <si>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</si>
  <si>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</si>
  <si>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</si>
  <si>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</si>
  <si>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</si>
  <si>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</si>
  <si>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</si>
  <si>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</si>
  <si>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</si>
  <si>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</si>
  <si>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</si>
  <si>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</si>
  <si>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</si>
  <si>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</si>
  <si>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</si>
  <si>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</si>
  <si>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</si>
  <si>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</si>
  <si>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</si>
  <si>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</si>
  <si>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</si>
  <si>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</si>
  <si>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</si>
  <si>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</si>
  <si>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</si>
  <si>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</si>
  <si>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</si>
  <si>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</si>
  <si>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</si>
  <si>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</si>
  <si>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</si>
  <si>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</si>
  <si>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</si>
  <si>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</si>
  <si>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</si>
  <si>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</si>
  <si>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</si>
  <si>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</si>
  <si>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</si>
  <si>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</si>
  <si>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</si>
  <si>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</si>
  <si>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</si>
  <si>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</si>
  <si>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</si>
  <si>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</si>
  <si>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</si>
  <si>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</si>
  <si>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</si>
  <si>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</si>
  <si>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</si>
  <si>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</si>
  <si>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</si>
  <si>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</si>
  <si>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</si>
  <si>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</si>
  <si>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</si>
  <si>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</si>
  <si>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</si>
  <si>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</si>
  <si>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</si>
  <si>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</si>
  <si>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</si>
  <si>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</si>
  <si>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</si>
  <si>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</si>
  <si>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</si>
  <si>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</si>
  <si>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</si>
  <si>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PR4459</t>
  </si>
  <si>
    <t>PR446</t>
  </si>
  <si>
    <t>PR4460</t>
  </si>
  <si>
    <t>PR4461</t>
  </si>
  <si>
    <t>PR4462</t>
  </si>
  <si>
    <t>PR4463</t>
  </si>
  <si>
    <t>PR4464</t>
  </si>
  <si>
    <t>PR4465</t>
  </si>
  <si>
    <t>PR4466</t>
  </si>
  <si>
    <t>PR4467</t>
  </si>
  <si>
    <t>PR4468</t>
  </si>
  <si>
    <t>PR4469</t>
  </si>
  <si>
    <t>PR447</t>
  </si>
  <si>
    <t>PR4470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</si>
  <si>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</si>
  <si>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</si>
  <si>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</si>
  <si>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</si>
  <si>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</si>
  <si>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</si>
  <si>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</si>
  <si>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</si>
  <si>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</si>
  <si>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</t>
  </si>
  <si>
    <t>PR4480</t>
  </si>
  <si>
    <t>PR4481</t>
  </si>
  <si>
    <t>PR4482</t>
  </si>
  <si>
    <t>PR4483</t>
  </si>
  <si>
    <t>PR4484</t>
  </si>
  <si>
    <t>PR4485</t>
  </si>
  <si>
    <t>PR4486</t>
  </si>
  <si>
    <t>PR4487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</si>
  <si>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</si>
  <si>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</si>
  <si>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</si>
  <si>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</si>
  <si>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</si>
  <si>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</si>
  <si>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</si>
  <si>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</si>
  <si>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</si>
  <si>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</si>
  <si>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</si>
  <si>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</si>
  <si>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</si>
  <si>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</si>
  <si>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</si>
  <si>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</si>
  <si>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</si>
  <si>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</si>
  <si>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</si>
  <si>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</si>
  <si>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</si>
  <si>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</si>
  <si>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</si>
  <si>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PR4508</t>
  </si>
  <si>
    <t>PR4509</t>
  </si>
  <si>
    <t>PR451</t>
  </si>
  <si>
    <t>PR4510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</si>
  <si>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</si>
  <si>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</si>
  <si>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</si>
  <si>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</si>
  <si>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</si>
  <si>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</si>
  <si>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</si>
  <si>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</si>
  <si>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</si>
  <si>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</si>
  <si>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</si>
  <si>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</si>
  <si>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</si>
  <si>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PR4523</t>
  </si>
  <si>
    <t>PR4524</t>
  </si>
  <si>
    <t>PR4525</t>
  </si>
  <si>
    <t>PR4526</t>
  </si>
  <si>
    <t>PR4527</t>
  </si>
  <si>
    <t>PR4528</t>
  </si>
  <si>
    <t>PR4529</t>
  </si>
  <si>
    <t>PR453</t>
  </si>
  <si>
    <t>PR4530</t>
  </si>
  <si>
    <t>PR4531</t>
  </si>
  <si>
    <t>PR4532</t>
  </si>
  <si>
    <t>PR4533</t>
  </si>
  <si>
    <t>PR4534</t>
  </si>
  <si>
    <t>PR4535</t>
  </si>
  <si>
    <t>PR4536</t>
  </si>
  <si>
    <t>PR4537</t>
  </si>
  <si>
    <t>PR4538</t>
  </si>
  <si>
    <t>PR4539</t>
  </si>
  <si>
    <t>PR454</t>
  </si>
  <si>
    <t>PR4540</t>
  </si>
  <si>
    <t>PR4541</t>
  </si>
  <si>
    <t>PR4542</t>
  </si>
  <si>
    <t>PR4543</t>
  </si>
  <si>
    <t>PR4544</t>
  </si>
  <si>
    <t>PR4545</t>
  </si>
  <si>
    <t>PR4546</t>
  </si>
  <si>
    <t>PR4547</t>
  </si>
  <si>
    <t>PR4548</t>
  </si>
  <si>
    <t>PR4549</t>
  </si>
  <si>
    <t>PR455</t>
  </si>
  <si>
    <t>PR4550</t>
  </si>
  <si>
    <t>PR4551</t>
  </si>
  <si>
    <t>PR4552</t>
  </si>
  <si>
    <t>PR4553</t>
  </si>
  <si>
    <t>PR4554</t>
  </si>
  <si>
    <t>PR4555</t>
  </si>
  <si>
    <t>PR4556</t>
  </si>
  <si>
    <t>PR4557</t>
  </si>
  <si>
    <t>PR4558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</si>
  <si>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</si>
  <si>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</si>
  <si>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</si>
  <si>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</si>
  <si>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</si>
  <si>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</si>
  <si>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</si>
  <si>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</si>
  <si>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</si>
  <si>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</si>
  <si>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</si>
  <si>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PR4569</t>
  </si>
  <si>
    <t>PR457</t>
  </si>
  <si>
    <t>PR4570</t>
  </si>
  <si>
    <t>PR4571</t>
  </si>
  <si>
    <t>PR4572</t>
  </si>
  <si>
    <t>PR4573</t>
  </si>
  <si>
    <t>PR4574</t>
  </si>
  <si>
    <t>PR4575</t>
  </si>
  <si>
    <t>PR4576</t>
  </si>
  <si>
    <t>PR4577</t>
  </si>
  <si>
    <t>PR4578</t>
  </si>
  <si>
    <t>PR4579</t>
  </si>
  <si>
    <t>PR458</t>
  </si>
  <si>
    <t>PR4580</t>
  </si>
  <si>
    <t>PR4581</t>
  </si>
  <si>
    <t>PR4582</t>
  </si>
  <si>
    <t>PR4583</t>
  </si>
  <si>
    <t>PR4584</t>
  </si>
  <si>
    <t>PR4585</t>
  </si>
  <si>
    <t>PR4586</t>
  </si>
  <si>
    <t>PR4587</t>
  </si>
  <si>
    <t>PR4588</t>
  </si>
  <si>
    <t>PR4589</t>
  </si>
  <si>
    <t>PR459</t>
  </si>
  <si>
    <t>PR4590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</si>
  <si>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</si>
  <si>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</si>
  <si>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</si>
  <si>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</si>
  <si>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</si>
  <si>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</si>
  <si>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</si>
  <si>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</si>
  <si>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</si>
  <si>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</t>
  </si>
  <si>
    <t>PR460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</si>
  <si>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</si>
  <si>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</si>
  <si>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</si>
  <si>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</si>
  <si>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</si>
  <si>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</si>
  <si>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</si>
  <si>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</si>
  <si>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</si>
  <si>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</si>
  <si>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</t>
  </si>
  <si>
    <t>PR4610</t>
  </si>
  <si>
    <t>PR4611</t>
  </si>
  <si>
    <t>PR4612</t>
  </si>
  <si>
    <t>PR4613</t>
  </si>
  <si>
    <t>PR4614</t>
  </si>
  <si>
    <t>PR4615</t>
  </si>
  <si>
    <t>PR4616</t>
  </si>
  <si>
    <t>PR4617</t>
  </si>
  <si>
    <t>PR4618</t>
  </si>
  <si>
    <t>PR4619</t>
  </si>
  <si>
    <t>PR462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</si>
  <si>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</si>
  <si>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</si>
  <si>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</si>
  <si>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</si>
  <si>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</si>
  <si>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</si>
  <si>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</si>
  <si>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</si>
  <si>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</si>
  <si>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</si>
  <si>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</si>
  <si>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</si>
  <si>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</si>
  <si>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</si>
  <si>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</si>
  <si>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</si>
  <si>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</si>
  <si>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</si>
  <si>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PR4637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</si>
  <si>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</si>
  <si>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</si>
  <si>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</si>
  <si>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</si>
  <si>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</si>
  <si>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</si>
  <si>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</si>
  <si>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</si>
  <si>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</si>
  <si>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</si>
  <si>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</si>
  <si>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</si>
  <si>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</si>
  <si>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</si>
  <si>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</si>
  <si>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</si>
  <si>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</si>
  <si>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</si>
  <si>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</si>
  <si>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</si>
  <si>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</si>
  <si>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</si>
  <si>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</si>
  <si>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</si>
  <si>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</si>
  <si>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</si>
  <si>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</si>
  <si>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</si>
  <si>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</si>
  <si>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</si>
  <si>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</si>
  <si>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</si>
  <si>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</si>
  <si>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</si>
  <si>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</si>
  <si>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</si>
  <si>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</si>
  <si>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</si>
  <si>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</si>
  <si>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</si>
  <si>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</si>
  <si>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</si>
  <si>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</si>
  <si>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</si>
  <si>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</si>
  <si>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PR4679</t>
  </si>
  <si>
    <t>PR468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</si>
  <si>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</si>
  <si>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</si>
  <si>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</si>
  <si>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</si>
  <si>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</si>
  <si>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</si>
  <si>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</si>
  <si>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</si>
  <si>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</si>
  <si>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</si>
  <si>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</si>
  <si>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</si>
  <si>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</si>
  <si>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</si>
  <si>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</si>
  <si>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</si>
  <si>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</si>
  <si>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</si>
  <si>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</si>
  <si>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</si>
  <si>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PR4699</t>
  </si>
  <si>
    <t>PR47</t>
  </si>
  <si>
    <t>PR470</t>
  </si>
  <si>
    <t>PR4700</t>
  </si>
  <si>
    <t>PR4701</t>
  </si>
  <si>
    <t>PR4702</t>
  </si>
  <si>
    <t>PR4703</t>
  </si>
  <si>
    <t>PR4704</t>
  </si>
  <si>
    <t>PR4705</t>
  </si>
  <si>
    <t>PR4706</t>
  </si>
  <si>
    <t>PR4707</t>
  </si>
  <si>
    <t>PR4708</t>
  </si>
  <si>
    <t>PR4709</t>
  </si>
  <si>
    <t>PR471</t>
  </si>
  <si>
    <t>PR4710</t>
  </si>
  <si>
    <t>PR4711</t>
  </si>
  <si>
    <t>PR4712</t>
  </si>
  <si>
    <t>PR4713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</si>
  <si>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</si>
  <si>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</si>
  <si>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</si>
  <si>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</si>
  <si>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</si>
  <si>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</si>
  <si>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</si>
  <si>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</si>
  <si>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</si>
  <si>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</si>
  <si>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</si>
  <si>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</si>
  <si>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</si>
  <si>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</si>
  <si>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</si>
  <si>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PR4728</t>
  </si>
  <si>
    <t>PR4729</t>
  </si>
  <si>
    <t>PR473</t>
  </si>
  <si>
    <t>PR4730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</si>
  <si>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</si>
  <si>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</si>
  <si>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</si>
  <si>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</si>
  <si>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</si>
  <si>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</si>
  <si>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</si>
  <si>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</si>
  <si>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</si>
  <si>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</si>
  <si>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</si>
  <si>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</si>
  <si>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</si>
  <si>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</si>
  <si>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</si>
  <si>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</si>
  <si>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</si>
  <si>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</si>
  <si>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</si>
  <si>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PR4749</t>
  </si>
  <si>
    <t>PR475</t>
  </si>
  <si>
    <t>PR4750</t>
  </si>
  <si>
    <t>PR4751</t>
  </si>
  <si>
    <t>PR4752</t>
  </si>
  <si>
    <t>PR4753</t>
  </si>
  <si>
    <t>PR4754</t>
  </si>
  <si>
    <t>PR4755</t>
  </si>
  <si>
    <t>PR4756</t>
  </si>
  <si>
    <t>PR4757</t>
  </si>
  <si>
    <t>PR4758</t>
  </si>
  <si>
    <t>PR4759</t>
  </si>
  <si>
    <t>PR476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</si>
  <si>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</si>
  <si>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</si>
  <si>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</si>
  <si>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</si>
  <si>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</si>
  <si>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</si>
  <si>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</si>
  <si>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</si>
  <si>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</si>
  <si>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</si>
  <si>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</t>
  </si>
  <si>
    <t>PR4770</t>
  </si>
  <si>
    <t>PR4771</t>
  </si>
  <si>
    <t>PR4772</t>
  </si>
  <si>
    <t>PR4773</t>
  </si>
  <si>
    <t>PR4774</t>
  </si>
  <si>
    <t>PR4775</t>
  </si>
  <si>
    <t>PR4776</t>
  </si>
  <si>
    <t>PR4777</t>
  </si>
  <si>
    <t>PR4778</t>
  </si>
  <si>
    <t>PR4779</t>
  </si>
  <si>
    <t>PR478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</si>
  <si>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</si>
  <si>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</si>
  <si>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</si>
  <si>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</si>
  <si>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</si>
  <si>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</si>
  <si>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</si>
  <si>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</si>
  <si>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</si>
  <si>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</si>
  <si>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</si>
  <si>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PR4790</t>
  </si>
  <si>
    <t>PR4791</t>
  </si>
  <si>
    <t>PR4792</t>
  </si>
  <si>
    <t>PR4793</t>
  </si>
  <si>
    <t>PR4794</t>
  </si>
  <si>
    <t>PR4795</t>
  </si>
  <si>
    <t>PR4796</t>
  </si>
  <si>
    <t>PR4797</t>
  </si>
  <si>
    <t>PR4798</t>
  </si>
  <si>
    <t>PR4799</t>
  </si>
  <si>
    <t>PR48</t>
  </si>
  <si>
    <t>PR480</t>
  </si>
  <si>
    <t>PR4800</t>
  </si>
  <si>
    <t>PR4801</t>
  </si>
  <si>
    <t>PR4802</t>
  </si>
  <si>
    <t>PR4803</t>
  </si>
  <si>
    <t>PR4804</t>
  </si>
  <si>
    <t>PR4805</t>
  </si>
  <si>
    <t>PR4806</t>
  </si>
  <si>
    <t>PR4807</t>
  </si>
  <si>
    <t>PR4808</t>
  </si>
  <si>
    <t>PR4809</t>
  </si>
  <si>
    <t>PR481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</si>
  <si>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</si>
  <si>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</si>
  <si>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</si>
  <si>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</si>
  <si>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</si>
  <si>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</si>
  <si>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</si>
  <si>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</si>
  <si>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</si>
  <si>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</si>
  <si>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</si>
  <si>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</si>
  <si>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</si>
  <si>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</si>
  <si>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</si>
  <si>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</si>
  <si>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</si>
  <si>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</si>
  <si>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</si>
  <si>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PR4828</t>
  </si>
  <si>
    <t>PR4829</t>
  </si>
  <si>
    <t>PR483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</si>
  <si>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</si>
  <si>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</si>
  <si>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</si>
  <si>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</si>
  <si>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</si>
  <si>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</si>
  <si>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</si>
  <si>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</si>
  <si>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</si>
  <si>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</si>
  <si>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</si>
  <si>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</si>
  <si>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</si>
  <si>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</si>
  <si>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</si>
  <si>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</si>
  <si>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</si>
  <si>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</si>
  <si>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</si>
  <si>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</si>
  <si>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</si>
  <si>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</si>
  <si>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PR4850</t>
  </si>
  <si>
    <t>PR4851</t>
  </si>
  <si>
    <t>PR4852</t>
  </si>
  <si>
    <t>PR4853</t>
  </si>
  <si>
    <t>PR4854</t>
  </si>
  <si>
    <t>PR4855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</si>
  <si>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</si>
  <si>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</si>
  <si>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</si>
  <si>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</si>
  <si>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</si>
  <si>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</si>
  <si>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</si>
  <si>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</si>
  <si>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</si>
  <si>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</si>
  <si>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</si>
  <si>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</si>
  <si>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</si>
  <si>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</si>
  <si>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</si>
  <si>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</si>
  <si>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</si>
  <si>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</si>
  <si>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</si>
  <si>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</si>
  <si>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</si>
  <si>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</si>
  <si>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</si>
  <si>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</si>
  <si>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</si>
  <si>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</si>
  <si>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</si>
  <si>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</si>
  <si>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</si>
  <si>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</si>
  <si>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PR4883</t>
  </si>
  <si>
    <t>PR4884</t>
  </si>
  <si>
    <t>PR4885</t>
  </si>
  <si>
    <t>PR4886</t>
  </si>
  <si>
    <t>PR4887</t>
  </si>
  <si>
    <t>PR4888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</si>
  <si>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</si>
  <si>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</si>
  <si>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</si>
  <si>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</si>
  <si>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</si>
  <si>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</si>
  <si>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</si>
  <si>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</si>
  <si>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</si>
  <si>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</si>
  <si>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</si>
  <si>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</si>
  <si>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</t>
  </si>
  <si>
    <t>PR490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</si>
  <si>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</si>
  <si>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</si>
  <si>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</si>
  <si>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</si>
  <si>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</si>
  <si>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</si>
  <si>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</si>
  <si>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</si>
  <si>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</si>
  <si>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</si>
  <si>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</t>
  </si>
  <si>
    <t>PR4910</t>
  </si>
  <si>
    <t>PR4911</t>
  </si>
  <si>
    <t>PR4912</t>
  </si>
  <si>
    <t>PR4913</t>
  </si>
  <si>
    <t>PR4914</t>
  </si>
  <si>
    <t>PR4915</t>
  </si>
  <si>
    <t>PR4916</t>
  </si>
  <si>
    <t>PR4917</t>
  </si>
  <si>
    <t>PR4918</t>
  </si>
  <si>
    <t>PR4919</t>
  </si>
  <si>
    <t>PR492</t>
  </si>
  <si>
    <t>PR4920</t>
  </si>
  <si>
    <t>PR4921</t>
  </si>
  <si>
    <t>PR4922</t>
  </si>
  <si>
    <t>PR4923</t>
  </si>
  <si>
    <t>PR4924</t>
  </si>
  <si>
    <t>PR4925</t>
  </si>
  <si>
    <t>PR4926</t>
  </si>
  <si>
    <t>PR4927</t>
  </si>
  <si>
    <t>PR4928</t>
  </si>
  <si>
    <t>PR4929</t>
  </si>
  <si>
    <t>PR493</t>
  </si>
  <si>
    <t>PR4930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</si>
  <si>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</si>
  <si>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</si>
  <si>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</si>
  <si>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</si>
  <si>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</si>
  <si>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</si>
  <si>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</si>
  <si>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</si>
  <si>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</si>
  <si>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</si>
  <si>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</si>
  <si>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</si>
  <si>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</si>
  <si>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</si>
  <si>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</si>
  <si>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</si>
  <si>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</si>
  <si>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</si>
  <si>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</si>
  <si>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</si>
  <si>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</si>
  <si>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</si>
  <si>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</si>
  <si>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</si>
  <si>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</si>
  <si>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</si>
  <si>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</si>
  <si>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</si>
  <si>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</si>
  <si>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</si>
  <si>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</si>
  <si>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</si>
  <si>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</si>
  <si>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</si>
  <si>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</si>
  <si>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</si>
  <si>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</si>
  <si>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</si>
  <si>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</si>
  <si>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</si>
  <si>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</si>
  <si>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</si>
  <si>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PR497</t>
  </si>
  <si>
    <t>PR4970</t>
  </si>
  <si>
    <t>PR4971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</si>
  <si>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</si>
  <si>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</si>
  <si>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</si>
  <si>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</si>
  <si>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</si>
  <si>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</si>
  <si>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</si>
  <si>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</si>
  <si>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</t>
  </si>
  <si>
    <t>PR4980</t>
  </si>
  <si>
    <t>PR4981</t>
  </si>
  <si>
    <t>PR4982</t>
  </si>
  <si>
    <t>PR4983</t>
  </si>
  <si>
    <t>PR4984</t>
  </si>
  <si>
    <t>PR4985</t>
  </si>
  <si>
    <t>PR4986</t>
  </si>
  <si>
    <t>PR4987</t>
  </si>
  <si>
    <t>PR4988</t>
  </si>
  <si>
    <t>PR4989</t>
  </si>
  <si>
    <t>PR499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</si>
  <si>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</si>
  <si>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</si>
  <si>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</si>
  <si>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</si>
  <si>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</si>
  <si>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</si>
  <si>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</si>
  <si>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</si>
  <si>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</si>
  <si>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</si>
  <si>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</si>
  <si>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</si>
  <si>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</si>
  <si>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</si>
  <si>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</si>
  <si>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</si>
  <si>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</si>
  <si>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</si>
  <si>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</si>
  <si>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</si>
  <si>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</si>
  <si>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</si>
  <si>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</si>
  <si>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PR5010</t>
  </si>
  <si>
    <t>PR5011</t>
  </si>
  <si>
    <t>PR5012</t>
  </si>
  <si>
    <t>PR5013</t>
  </si>
  <si>
    <t>PR5014</t>
  </si>
  <si>
    <t>PR5015</t>
  </si>
  <si>
    <t>PR5016</t>
  </si>
  <si>
    <t>PR5017</t>
  </si>
  <si>
    <t>PR5018</t>
  </si>
  <si>
    <t>PR5019</t>
  </si>
  <si>
    <t>PR502</t>
  </si>
  <si>
    <t>PR5020</t>
  </si>
  <si>
    <t>PR5021</t>
  </si>
  <si>
    <t>PR5022</t>
  </si>
  <si>
    <t>PR5023</t>
  </si>
  <si>
    <t>PR5024</t>
  </si>
  <si>
    <t>PR5025</t>
  </si>
  <si>
    <t>PR5026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</si>
  <si>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</si>
  <si>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</si>
  <si>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</si>
  <si>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</si>
  <si>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</si>
  <si>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</si>
  <si>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</si>
  <si>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</si>
  <si>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</si>
  <si>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</si>
  <si>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</si>
  <si>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</si>
  <si>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</si>
  <si>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</si>
  <si>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</si>
  <si>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</si>
  <si>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PR5041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</si>
  <si>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</si>
  <si>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</si>
  <si>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</si>
  <si>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</si>
  <si>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</si>
  <si>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</si>
  <si>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</si>
  <si>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</si>
  <si>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</si>
  <si>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</si>
  <si>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</si>
  <si>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</si>
  <si>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</si>
  <si>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PR5054</t>
  </si>
  <si>
    <t>PR5055</t>
  </si>
  <si>
    <t>PR5056</t>
  </si>
  <si>
    <t>PR5057</t>
  </si>
  <si>
    <t>PR5058</t>
  </si>
  <si>
    <t>PR5059</t>
  </si>
  <si>
    <t>PR506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</si>
  <si>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</si>
  <si>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</si>
  <si>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</si>
  <si>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</si>
  <si>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</si>
  <si>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</si>
  <si>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</si>
  <si>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</si>
  <si>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</si>
  <si>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</si>
  <si>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</t>
  </si>
  <si>
    <t>PR5070</t>
  </si>
  <si>
    <t>PR5071</t>
  </si>
  <si>
    <t>PR5072</t>
  </si>
  <si>
    <t>PR5073</t>
  </si>
  <si>
    <t>PR5074</t>
  </si>
  <si>
    <t>PR5075</t>
  </si>
  <si>
    <t>PR5076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</si>
  <si>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</si>
  <si>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</si>
  <si>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</si>
  <si>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</si>
  <si>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</si>
  <si>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</si>
  <si>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</si>
  <si>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</si>
  <si>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</si>
  <si>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</si>
  <si>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</si>
  <si>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</si>
  <si>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</si>
  <si>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</si>
  <si>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</t>
  </si>
  <si>
    <t>PR5090</t>
  </si>
  <si>
    <t>PR5091</t>
  </si>
  <si>
    <t>PR5092</t>
  </si>
  <si>
    <t>PR5093</t>
  </si>
  <si>
    <t>PR5094</t>
  </si>
  <si>
    <t>PR5095</t>
  </si>
  <si>
    <t>PR5096</t>
  </si>
  <si>
    <t>PR5097</t>
  </si>
  <si>
    <t>PR5098</t>
  </si>
  <si>
    <t>PR5099</t>
  </si>
  <si>
    <t>PR51</t>
  </si>
  <si>
    <t>PR510</t>
  </si>
  <si>
    <t>PR5100</t>
  </si>
  <si>
    <t>PR5101</t>
  </si>
  <si>
    <t>PR5102</t>
  </si>
  <si>
    <t>PR5103</t>
  </si>
  <si>
    <t>PR5104</t>
  </si>
  <si>
    <t>PR5105</t>
  </si>
  <si>
    <t>PR5106</t>
  </si>
  <si>
    <t>PR5107</t>
  </si>
  <si>
    <t>PR5108</t>
  </si>
  <si>
    <t>PR5109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</si>
  <si>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</si>
  <si>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</si>
  <si>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</si>
  <si>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</si>
  <si>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</si>
  <si>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</si>
  <si>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</si>
  <si>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</si>
  <si>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</si>
  <si>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PR5118</t>
  </si>
  <si>
    <t>PR5119</t>
  </si>
  <si>
    <t>PR512</t>
  </si>
  <si>
    <t>PR5120</t>
  </si>
  <si>
    <t>PR5121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</si>
  <si>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</si>
  <si>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</si>
  <si>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</si>
  <si>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</si>
  <si>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</si>
  <si>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</si>
  <si>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</si>
  <si>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</si>
  <si>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</si>
  <si>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</si>
  <si>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PR5131</t>
  </si>
  <si>
    <t>PR5132</t>
  </si>
  <si>
    <t>PR5133</t>
  </si>
  <si>
    <t>PR5134</t>
  </si>
  <si>
    <t>PR5135</t>
  </si>
  <si>
    <t>PR5136</t>
  </si>
  <si>
    <t>PR5137</t>
  </si>
  <si>
    <t>PR5138</t>
  </si>
  <si>
    <t>PR5139</t>
  </si>
  <si>
    <t>PR514</t>
  </si>
  <si>
    <t>PR5140</t>
  </si>
  <si>
    <t>PR5141</t>
  </si>
  <si>
    <t>PR5142</t>
  </si>
  <si>
    <t>PR5143</t>
  </si>
  <si>
    <t>PR5144</t>
  </si>
  <si>
    <t>PR5145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</si>
  <si>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</si>
  <si>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</si>
  <si>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</si>
  <si>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</si>
  <si>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</si>
  <si>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</si>
  <si>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</si>
  <si>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</si>
  <si>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</si>
  <si>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</si>
  <si>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</si>
  <si>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PR5156</t>
  </si>
  <si>
    <t>PR5157</t>
  </si>
  <si>
    <t>PR5158</t>
  </si>
  <si>
    <t>PR5159</t>
  </si>
  <si>
    <t>PR516</t>
  </si>
  <si>
    <t>PR5160</t>
  </si>
  <si>
    <t>PR5161</t>
  </si>
  <si>
    <t>PR5162</t>
  </si>
  <si>
    <t>PR5163</t>
  </si>
  <si>
    <t>PR5164</t>
  </si>
  <si>
    <t>PR5165</t>
  </si>
  <si>
    <t>PR5166</t>
  </si>
  <si>
    <t>PR5167</t>
  </si>
  <si>
    <t>PR5168</t>
  </si>
  <si>
    <t>PR5169</t>
  </si>
  <si>
    <t>PR517</t>
  </si>
  <si>
    <t>PR5170</t>
  </si>
  <si>
    <t>PR5171</t>
  </si>
  <si>
    <t>PR5172</t>
  </si>
  <si>
    <t>PR5173</t>
  </si>
  <si>
    <t>PR5174</t>
  </si>
  <si>
    <t>PR5175</t>
  </si>
  <si>
    <t>PR5176</t>
  </si>
  <si>
    <t>PR5177</t>
  </si>
  <si>
    <t>PR5178</t>
  </si>
  <si>
    <t>PR5179</t>
  </si>
  <si>
    <t>PR518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</si>
  <si>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</si>
  <si>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</si>
  <si>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</si>
  <si>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</si>
  <si>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</si>
  <si>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</si>
  <si>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</si>
  <si>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</si>
  <si>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PR5188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</si>
  <si>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</si>
  <si>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</si>
  <si>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</si>
  <si>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</si>
  <si>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</si>
  <si>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</si>
  <si>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</si>
  <si>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</si>
  <si>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</si>
  <si>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</si>
  <si>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</si>
  <si>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</si>
  <si>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</si>
  <si>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</si>
  <si>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</si>
  <si>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</si>
  <si>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</si>
  <si>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</si>
  <si>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</si>
  <si>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</si>
  <si>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</si>
  <si>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</si>
  <si>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</si>
  <si>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PR5209</t>
  </si>
  <si>
    <t>PR521</t>
  </si>
  <si>
    <t>PR5210</t>
  </si>
  <si>
    <t>PR5211</t>
  </si>
  <si>
    <t>PR5212</t>
  </si>
  <si>
    <t>PR5213</t>
  </si>
  <si>
    <t>PR5214</t>
  </si>
  <si>
    <t>PR5215</t>
  </si>
  <si>
    <t>PR5216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</si>
  <si>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</si>
  <si>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</si>
  <si>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</si>
  <si>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</si>
  <si>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</si>
  <si>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</si>
  <si>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</si>
  <si>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</si>
  <si>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</si>
  <si>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</si>
  <si>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</si>
  <si>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</si>
  <si>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</si>
  <si>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</si>
  <si>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</si>
  <si>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</si>
  <si>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</si>
  <si>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</si>
  <si>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</si>
  <si>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</si>
  <si>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</si>
  <si>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</si>
  <si>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</si>
  <si>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</si>
  <si>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</si>
  <si>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</si>
  <si>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</si>
  <si>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</si>
  <si>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</si>
  <si>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</si>
  <si>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</si>
  <si>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</si>
  <si>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</si>
  <si>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</si>
  <si>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</si>
  <si>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</si>
  <si>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</si>
  <si>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</si>
  <si>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</si>
  <si>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</si>
  <si>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PR5253</t>
  </si>
  <si>
    <t>PR5254</t>
  </si>
  <si>
    <t>PR5255</t>
  </si>
  <si>
    <t>PR5256</t>
  </si>
  <si>
    <t>PR5257</t>
  </si>
  <si>
    <t>PR5258</t>
  </si>
  <si>
    <t>PR5259</t>
  </si>
  <si>
    <t>PR526</t>
  </si>
  <si>
    <t>PR5260</t>
  </si>
  <si>
    <t>PR5261</t>
  </si>
  <si>
    <t>PR5262</t>
  </si>
  <si>
    <t>PR5263</t>
  </si>
  <si>
    <t>PR5264</t>
  </si>
  <si>
    <t>PR5265</t>
  </si>
  <si>
    <t>PR5266</t>
  </si>
  <si>
    <t>PR5267</t>
  </si>
  <si>
    <t>PR5268</t>
  </si>
  <si>
    <t>PR5269</t>
  </si>
  <si>
    <t>PR527</t>
  </si>
  <si>
    <t>PR5270</t>
  </si>
  <si>
    <t>PR5271</t>
  </si>
  <si>
    <t>PR5272</t>
  </si>
  <si>
    <t>PR5273</t>
  </si>
  <si>
    <t>PR5274</t>
  </si>
  <si>
    <t>PR5275</t>
  </si>
  <si>
    <t>PR5276</t>
  </si>
  <si>
    <t>PR5277</t>
  </si>
  <si>
    <t>PR5278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</si>
  <si>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</si>
  <si>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</si>
  <si>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</si>
  <si>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</si>
  <si>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</si>
  <si>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</si>
  <si>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</si>
  <si>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</si>
  <si>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</si>
  <si>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</si>
  <si>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</si>
  <si>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PR5289</t>
  </si>
  <si>
    <t>PR529</t>
  </si>
  <si>
    <t>PR5290</t>
  </si>
  <si>
    <t>PR5291</t>
  </si>
  <si>
    <t>PR5292</t>
  </si>
  <si>
    <t>PR5293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</si>
  <si>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</si>
  <si>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</si>
  <si>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</si>
  <si>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</si>
  <si>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</si>
  <si>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</si>
  <si>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</si>
  <si>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</si>
  <si>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</si>
  <si>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</si>
  <si>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</si>
  <si>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</si>
  <si>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</si>
  <si>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</si>
  <si>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</si>
  <si>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</si>
  <si>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PR5308</t>
  </si>
  <si>
    <t>PR5309</t>
  </si>
  <si>
    <t>PR531</t>
  </si>
  <si>
    <t>PR5310</t>
  </si>
  <si>
    <t>PR5311</t>
  </si>
  <si>
    <t>PR5312</t>
  </si>
  <si>
    <t>PR5313</t>
  </si>
  <si>
    <t>PR5314</t>
  </si>
  <si>
    <t>PR5315</t>
  </si>
  <si>
    <t>PR5316</t>
  </si>
  <si>
    <t>PR5317</t>
  </si>
  <si>
    <t>PR5318</t>
  </si>
  <si>
    <t>PR5319</t>
  </si>
  <si>
    <t>PR532</t>
  </si>
  <si>
    <t>PR5320</t>
  </si>
  <si>
    <t>PR5321</t>
  </si>
  <si>
    <t>PR5322</t>
  </si>
  <si>
    <t>PR5323</t>
  </si>
  <si>
    <t>PR5324</t>
  </si>
  <si>
    <t>PR5325</t>
  </si>
  <si>
    <t>PR5326</t>
  </si>
  <si>
    <t>PR5327</t>
  </si>
  <si>
    <t>PR5328</t>
  </si>
  <si>
    <t>PR5329</t>
  </si>
  <si>
    <t>PR533</t>
  </si>
  <si>
    <t>PR5330</t>
  </si>
  <si>
    <t>PR5331</t>
  </si>
  <si>
    <t>PR5332</t>
  </si>
  <si>
    <t>PR5333</t>
  </si>
  <si>
    <t>PR5334</t>
  </si>
  <si>
    <t>PR5335</t>
  </si>
  <si>
    <t>PR5336</t>
  </si>
  <si>
    <t>PR5337</t>
  </si>
  <si>
    <t>PR5338</t>
  </si>
  <si>
    <t>PR5339</t>
  </si>
  <si>
    <t>PR534</t>
  </si>
  <si>
    <t>PR5340</t>
  </si>
  <si>
    <t>PR5341</t>
  </si>
  <si>
    <t>PR5342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</si>
  <si>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</si>
  <si>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</si>
  <si>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</si>
  <si>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</si>
  <si>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</si>
  <si>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</si>
  <si>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</si>
  <si>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</si>
  <si>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</si>
  <si>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</si>
  <si>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</si>
  <si>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</si>
  <si>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</si>
  <si>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</si>
  <si>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</si>
  <si>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</si>
  <si>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</si>
  <si>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</si>
  <si>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</si>
  <si>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</si>
  <si>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</si>
  <si>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</si>
  <si>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</si>
  <si>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</si>
  <si>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</si>
  <si>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</si>
  <si>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PR5367</t>
  </si>
  <si>
    <t>PR5368</t>
  </si>
  <si>
    <t>PR5369</t>
  </si>
  <si>
    <t>PR537</t>
  </si>
  <si>
    <t>PR5370</t>
  </si>
  <si>
    <t>PR5371</t>
  </si>
  <si>
    <t>PR5372</t>
  </si>
  <si>
    <t>PR5373</t>
  </si>
  <si>
    <t>PR5374</t>
  </si>
  <si>
    <t>PR5375</t>
  </si>
  <si>
    <t>PR5376</t>
  </si>
  <si>
    <t>PR5377</t>
  </si>
  <si>
    <t>PR5378</t>
  </si>
  <si>
    <t>PR5379</t>
  </si>
  <si>
    <t>PR538</t>
  </si>
  <si>
    <t>PR5380</t>
  </si>
  <si>
    <t>PR5381</t>
  </si>
  <si>
    <t>PR5382</t>
  </si>
  <si>
    <t>PR5383</t>
  </si>
  <si>
    <t>PR5384</t>
  </si>
  <si>
    <t>PR5385</t>
  </si>
  <si>
    <t>PR5386</t>
  </si>
  <si>
    <t>PR5387</t>
  </si>
  <si>
    <t>PR5388</t>
  </si>
  <si>
    <t>PR5389</t>
  </si>
  <si>
    <t>PR539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</si>
  <si>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</si>
  <si>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</si>
  <si>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</si>
  <si>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</si>
  <si>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</si>
  <si>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</si>
  <si>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</si>
  <si>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</si>
  <si>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</si>
  <si>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PR5399</t>
  </si>
  <si>
    <t>PR54</t>
  </si>
  <si>
    <t>PR540</t>
  </si>
  <si>
    <t>PR5400</t>
  </si>
  <si>
    <t>PR5401</t>
  </si>
  <si>
    <t>PR5402</t>
  </si>
  <si>
    <t>PR5403</t>
  </si>
  <si>
    <t>PR5404</t>
  </si>
  <si>
    <t>PR5405</t>
  </si>
  <si>
    <t>PR5406</t>
  </si>
  <si>
    <t>PR5407</t>
  </si>
  <si>
    <t>PR5408</t>
  </si>
  <si>
    <t>PR5409</t>
  </si>
  <si>
    <t>PR541</t>
  </si>
  <si>
    <t>PR5410</t>
  </si>
  <si>
    <t>PR5411</t>
  </si>
  <si>
    <t>PR5412</t>
  </si>
  <si>
    <t>PR5413</t>
  </si>
  <si>
    <t>PR5414</t>
  </si>
  <si>
    <t>PR5415</t>
  </si>
  <si>
    <t>PR5416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</si>
  <si>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</si>
  <si>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</si>
  <si>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</si>
  <si>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</si>
  <si>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</si>
  <si>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</si>
  <si>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</si>
  <si>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</si>
  <si>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</si>
  <si>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</si>
  <si>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</si>
  <si>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</si>
  <si>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</si>
  <si>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PR5429</t>
  </si>
  <si>
    <t>PR543</t>
  </si>
  <si>
    <t>PR5430</t>
  </si>
  <si>
    <t>PR5431</t>
  </si>
  <si>
    <t>PR5432</t>
  </si>
  <si>
    <t>PR5433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</si>
  <si>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</si>
  <si>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</si>
  <si>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</si>
  <si>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</si>
  <si>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</si>
  <si>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</si>
  <si>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</si>
  <si>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</si>
  <si>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</si>
  <si>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</si>
  <si>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</si>
  <si>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</si>
  <si>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</si>
  <si>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</si>
  <si>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</si>
  <si>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</si>
  <si>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</si>
  <si>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</si>
  <si>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</si>
  <si>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</si>
  <si>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</si>
  <si>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</si>
  <si>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</si>
  <si>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</si>
  <si>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</si>
  <si>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</si>
  <si>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</si>
  <si>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</si>
  <si>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PR546</t>
  </si>
  <si>
    <t>PR5460</t>
  </si>
  <si>
    <t>PR5461</t>
  </si>
  <si>
    <t>PR5462</t>
  </si>
  <si>
    <t>PR5463</t>
  </si>
  <si>
    <t>PR5464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</si>
  <si>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</si>
  <si>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</si>
  <si>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</si>
  <si>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</si>
  <si>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</si>
  <si>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</si>
  <si>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</si>
  <si>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</si>
  <si>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</si>
  <si>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PR5473</t>
  </si>
  <si>
    <t>PR5474</t>
  </si>
  <si>
    <t>PR5475</t>
  </si>
  <si>
    <t>PR5476</t>
  </si>
  <si>
    <t>PR5477</t>
  </si>
  <si>
    <t>PR5478</t>
  </si>
  <si>
    <t>PR5479</t>
  </si>
  <si>
    <t>PR548</t>
  </si>
  <si>
    <t>PR5480</t>
  </si>
  <si>
    <t>PR5481</t>
  </si>
  <si>
    <t>PR5482</t>
  </si>
  <si>
    <t>PR5483</t>
  </si>
  <si>
    <t>PR5484</t>
  </si>
  <si>
    <t>PR5485</t>
  </si>
  <si>
    <t>PR5486</t>
  </si>
  <si>
    <t>PR5487</t>
  </si>
  <si>
    <t>PR5488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</si>
  <si>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</si>
  <si>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</si>
  <si>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</si>
  <si>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</si>
  <si>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</si>
  <si>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</si>
  <si>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</si>
  <si>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</si>
  <si>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</si>
  <si>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</si>
  <si>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</si>
  <si>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</si>
  <si>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</si>
  <si>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</si>
  <si>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</si>
  <si>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</si>
  <si>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</si>
  <si>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</si>
  <si>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</si>
  <si>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</si>
  <si>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</si>
  <si>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</si>
  <si>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</si>
  <si>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</si>
  <si>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</si>
  <si>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</si>
  <si>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</si>
  <si>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</si>
  <si>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</si>
  <si>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</si>
  <si>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</si>
  <si>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</si>
  <si>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</si>
  <si>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</si>
  <si>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</si>
  <si>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PR552</t>
  </si>
  <si>
    <t>PR5520</t>
  </si>
  <si>
    <t>PR5521</t>
  </si>
  <si>
    <t>PR5522</t>
  </si>
  <si>
    <t>PR5523</t>
  </si>
  <si>
    <t>PR5524</t>
  </si>
  <si>
    <t>PR5525</t>
  </si>
  <si>
    <t>PR5526</t>
  </si>
  <si>
    <t>PR5527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</si>
  <si>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</si>
  <si>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</si>
  <si>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</si>
  <si>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</si>
  <si>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</si>
  <si>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</si>
  <si>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</si>
  <si>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</si>
  <si>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PR5535</t>
  </si>
  <si>
    <t>PR5536</t>
  </si>
  <si>
    <t>PR5537</t>
  </si>
  <si>
    <t>PR5538</t>
  </si>
  <si>
    <t>PR5539</t>
  </si>
  <si>
    <t>PR554</t>
  </si>
  <si>
    <t>PR5540</t>
  </si>
  <si>
    <t>PR5541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</si>
  <si>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</si>
  <si>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</si>
  <si>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</si>
  <si>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</si>
  <si>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</si>
  <si>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</si>
  <si>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</si>
  <si>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</si>
  <si>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</si>
  <si>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</si>
  <si>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</si>
  <si>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</si>
  <si>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</si>
  <si>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</si>
  <si>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</si>
  <si>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</si>
  <si>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</si>
  <si>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</si>
  <si>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</si>
  <si>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</si>
  <si>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</si>
  <si>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PR5561</t>
  </si>
  <si>
    <t>PR5562</t>
  </si>
  <si>
    <t>PR5563</t>
  </si>
  <si>
    <t>PR5564</t>
  </si>
  <si>
    <t>PR5565</t>
  </si>
  <si>
    <t>PR5566</t>
  </si>
  <si>
    <t>PR5567</t>
  </si>
  <si>
    <t>PR5568</t>
  </si>
  <si>
    <t>PR5569</t>
  </si>
  <si>
    <t>PR557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</si>
  <si>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</si>
  <si>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</si>
  <si>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</si>
  <si>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</si>
  <si>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</si>
  <si>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</si>
  <si>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</si>
  <si>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</si>
  <si>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</si>
  <si>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</si>
  <si>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</t>
  </si>
  <si>
    <t>PR5580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</si>
  <si>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</si>
  <si>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</si>
  <si>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</si>
  <si>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</si>
  <si>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</si>
  <si>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</si>
  <si>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</si>
  <si>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</si>
  <si>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</si>
  <si>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</si>
  <si>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</si>
  <si>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</si>
  <si>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</si>
  <si>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</si>
  <si>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</si>
  <si>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</si>
  <si>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</si>
  <si>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PR5597</t>
  </si>
  <si>
    <t>PR5598</t>
  </si>
  <si>
    <t>PR5599</t>
  </si>
  <si>
    <t>PR56</t>
  </si>
  <si>
    <t>PR560</t>
  </si>
  <si>
    <t>PR5600</t>
  </si>
  <si>
    <t>PR5601</t>
  </si>
  <si>
    <t>PR5602</t>
  </si>
  <si>
    <t>PR5603</t>
  </si>
  <si>
    <t>PR5604</t>
  </si>
  <si>
    <t>PR5605</t>
  </si>
  <si>
    <t>PR5606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</si>
  <si>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</si>
  <si>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</si>
  <si>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</si>
  <si>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</si>
  <si>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</si>
  <si>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</si>
  <si>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</si>
  <si>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</si>
  <si>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</si>
  <si>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</si>
  <si>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</si>
  <si>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</si>
  <si>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</si>
  <si>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</si>
  <si>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</si>
  <si>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PR5620</t>
  </si>
  <si>
    <t>PR5621</t>
  </si>
  <si>
    <t>PR5622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</si>
  <si>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</si>
  <si>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</si>
  <si>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</si>
  <si>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</si>
  <si>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</si>
  <si>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</si>
  <si>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</si>
  <si>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</si>
  <si>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</si>
  <si>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PR5631</t>
  </si>
  <si>
    <t>PR5632</t>
  </si>
  <si>
    <t>PR5633</t>
  </si>
  <si>
    <t>PR5634</t>
  </si>
  <si>
    <t>PR5635</t>
  </si>
  <si>
    <t>PR5636</t>
  </si>
  <si>
    <t>PR5637</t>
  </si>
  <si>
    <t>PR5638</t>
  </si>
  <si>
    <t>PR5639</t>
  </si>
  <si>
    <t>PR564</t>
  </si>
  <si>
    <t>PR5640</t>
  </si>
  <si>
    <t>PR5641</t>
  </si>
  <si>
    <t>PR5642</t>
  </si>
  <si>
    <t>PR5643</t>
  </si>
  <si>
    <t>PR5644</t>
  </si>
  <si>
    <t>PR5645</t>
  </si>
  <si>
    <t>PR5646</t>
  </si>
  <si>
    <t>PR5647</t>
  </si>
  <si>
    <t>PR5648</t>
  </si>
  <si>
    <t>PR5649</t>
  </si>
  <si>
    <t>PR565</t>
  </si>
  <si>
    <t>PR5650</t>
  </si>
  <si>
    <t>PR5651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</si>
  <si>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</si>
  <si>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</si>
  <si>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</si>
  <si>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</si>
  <si>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</si>
  <si>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</si>
  <si>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</si>
  <si>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</si>
  <si>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</t>
  </si>
  <si>
    <t>PR5660</t>
  </si>
  <si>
    <t>PR5661</t>
  </si>
  <si>
    <t>PR5662</t>
  </si>
  <si>
    <t>PR5663</t>
  </si>
  <si>
    <t>PR5664</t>
  </si>
  <si>
    <t>PR5665</t>
  </si>
  <si>
    <t>PR5666</t>
  </si>
  <si>
    <t>PR5667</t>
  </si>
  <si>
    <t>PR5668</t>
  </si>
  <si>
    <t>PR5669</t>
  </si>
  <si>
    <t>PR567</t>
  </si>
  <si>
    <t>PR5670</t>
  </si>
  <si>
    <t>PR5671</t>
  </si>
  <si>
    <t>PR5672</t>
  </si>
  <si>
    <t>PR5673</t>
  </si>
  <si>
    <t>PR5674</t>
  </si>
  <si>
    <t>PR5675</t>
  </si>
  <si>
    <t>PR5676</t>
  </si>
  <si>
    <t>PR5677</t>
  </si>
  <si>
    <t>PR5678</t>
  </si>
  <si>
    <t>PR5679</t>
  </si>
  <si>
    <t>PR568</t>
  </si>
  <si>
    <t>PR5680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</si>
  <si>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</si>
  <si>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</si>
  <si>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</si>
  <si>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</si>
  <si>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</si>
  <si>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</si>
  <si>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</si>
  <si>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</si>
  <si>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PR5689</t>
  </si>
  <si>
    <t>PR569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</si>
  <si>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</si>
  <si>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</si>
  <si>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</si>
  <si>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</si>
  <si>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</si>
  <si>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</si>
  <si>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</si>
  <si>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</si>
  <si>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</si>
  <si>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</si>
  <si>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</si>
  <si>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</si>
  <si>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</si>
  <si>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</si>
  <si>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</si>
  <si>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</si>
  <si>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</si>
  <si>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</si>
  <si>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</si>
  <si>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</si>
  <si>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</si>
  <si>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</si>
  <si>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</si>
  <si>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</si>
  <si>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</si>
  <si>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</si>
  <si>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</si>
  <si>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PR5714</t>
  </si>
  <si>
    <t>PR5715</t>
  </si>
  <si>
    <t>PR5716</t>
  </si>
  <si>
    <t>PR5717</t>
  </si>
  <si>
    <t>PR5718</t>
  </si>
  <si>
    <t>PR5719</t>
  </si>
  <si>
    <t>PR572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</si>
  <si>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</si>
  <si>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</si>
  <si>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</si>
  <si>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</si>
  <si>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</si>
  <si>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</si>
  <si>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</si>
  <si>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</si>
  <si>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</si>
  <si>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</si>
  <si>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</si>
  <si>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PR5730</t>
  </si>
  <si>
    <t>PR5731</t>
  </si>
  <si>
    <t>PR5732</t>
  </si>
  <si>
    <t>PR5733</t>
  </si>
  <si>
    <t>PR5734</t>
  </si>
  <si>
    <t>PR5735</t>
  </si>
  <si>
    <t>PR5736</t>
  </si>
  <si>
    <t>PR5737</t>
  </si>
  <si>
    <t>PR5738</t>
  </si>
  <si>
    <t>PR5739</t>
  </si>
  <si>
    <t>PR574</t>
  </si>
  <si>
    <t>PR5740</t>
  </si>
  <si>
    <t>PR5741</t>
  </si>
  <si>
    <t>PR5742</t>
  </si>
  <si>
    <t>PR5743</t>
  </si>
  <si>
    <t>PR5744</t>
  </si>
  <si>
    <t>PR5745</t>
  </si>
  <si>
    <t>PR5746</t>
  </si>
  <si>
    <t>PR5747</t>
  </si>
  <si>
    <t>PR5748</t>
  </si>
  <si>
    <t>PR5749</t>
  </si>
  <si>
    <t>PR575</t>
  </si>
  <si>
    <t>PR5750</t>
  </si>
  <si>
    <t>PR5751</t>
  </si>
  <si>
    <t>PR5752</t>
  </si>
  <si>
    <t>PR5753</t>
  </si>
  <si>
    <t>PR5754</t>
  </si>
  <si>
    <t>PR5755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</si>
  <si>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</si>
  <si>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</si>
  <si>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</si>
  <si>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</si>
  <si>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</si>
  <si>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</si>
  <si>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</si>
  <si>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</si>
  <si>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</si>
  <si>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PR5764</t>
  </si>
  <si>
    <t>PR5765</t>
  </si>
  <si>
    <t>PR5766</t>
  </si>
  <si>
    <t>PR5767</t>
  </si>
  <si>
    <t>PR5768</t>
  </si>
  <si>
    <t>PR5769</t>
  </si>
  <si>
    <t>PR577</t>
  </si>
  <si>
    <t>PR5770</t>
  </si>
  <si>
    <t>PR5771</t>
  </si>
  <si>
    <t>PR5772</t>
  </si>
  <si>
    <t>PR5773</t>
  </si>
  <si>
    <t>PR5774</t>
  </si>
  <si>
    <t>PR5775</t>
  </si>
  <si>
    <t>PR5776</t>
  </si>
  <si>
    <t>PR5777</t>
  </si>
  <si>
    <t>PR5778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</si>
  <si>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</si>
  <si>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</si>
  <si>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</si>
  <si>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</si>
  <si>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</si>
  <si>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</si>
  <si>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</si>
  <si>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</si>
  <si>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PR5786</t>
  </si>
  <si>
    <t>PR5787</t>
  </si>
  <si>
    <t>PR5788</t>
  </si>
  <si>
    <t>PR5789</t>
  </si>
  <si>
    <t>PR579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</si>
  <si>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</si>
  <si>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</si>
  <si>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</si>
  <si>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</si>
  <si>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</si>
  <si>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</si>
  <si>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</si>
  <si>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</si>
  <si>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PR5798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</si>
  <si>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</si>
  <si>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</si>
  <si>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</si>
  <si>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</si>
  <si>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</si>
  <si>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</si>
  <si>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</si>
  <si>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</si>
  <si>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</si>
  <si>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</si>
  <si>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</si>
  <si>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</si>
  <si>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</si>
  <si>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</si>
  <si>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</si>
  <si>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</si>
  <si>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</si>
  <si>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</si>
  <si>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</si>
  <si>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</si>
  <si>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</si>
  <si>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</si>
  <si>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</si>
  <si>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</si>
  <si>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</si>
  <si>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</si>
  <si>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</si>
  <si>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</si>
  <si>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</si>
  <si>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</si>
  <si>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PR5825</t>
  </si>
  <si>
    <t>PR5826</t>
  </si>
  <si>
    <t>PR5827</t>
  </si>
  <si>
    <t>PR5828</t>
  </si>
  <si>
    <t>PR5829</t>
  </si>
  <si>
    <t>PR583</t>
  </si>
  <si>
    <t>PR5830</t>
  </si>
  <si>
    <t>PR5831</t>
  </si>
  <si>
    <t>PR5832</t>
  </si>
  <si>
    <t>PR5833</t>
  </si>
  <si>
    <t>PR5834</t>
  </si>
  <si>
    <t>PR5835</t>
  </si>
  <si>
    <t>PR5836</t>
  </si>
  <si>
    <t>PR5837</t>
  </si>
  <si>
    <t>PR5838</t>
  </si>
  <si>
    <t>PR5839</t>
  </si>
  <si>
    <t>PR584</t>
  </si>
  <si>
    <t>PR5840</t>
  </si>
  <si>
    <t>PR5841</t>
  </si>
  <si>
    <t>PR5842</t>
  </si>
  <si>
    <t>PR5843</t>
  </si>
  <si>
    <t>PR5844</t>
  </si>
  <si>
    <t>PR5845</t>
  </si>
  <si>
    <t>PR5846</t>
  </si>
  <si>
    <t>PR5847</t>
  </si>
  <si>
    <t>PR5848</t>
  </si>
  <si>
    <t>PR5849</t>
  </si>
  <si>
    <t>PR585</t>
  </si>
  <si>
    <t>PR5850</t>
  </si>
  <si>
    <t>PR5851</t>
  </si>
  <si>
    <t>PR5852</t>
  </si>
  <si>
    <t>PR5853</t>
  </si>
  <si>
    <t>PR5854</t>
  </si>
  <si>
    <t>PR5855</t>
  </si>
  <si>
    <t>PR5856</t>
  </si>
  <si>
    <t>PR5857</t>
  </si>
  <si>
    <t>PR5858</t>
  </si>
  <si>
    <t>PR5859</t>
  </si>
  <si>
    <t>PR586</t>
  </si>
  <si>
    <t>PR5860</t>
  </si>
  <si>
    <t>PR5861</t>
  </si>
  <si>
    <t>PR5862</t>
  </si>
  <si>
    <t>PR5863</t>
  </si>
  <si>
    <t>PR5864</t>
  </si>
  <si>
    <t>PR5865</t>
  </si>
  <si>
    <t>PR5866</t>
  </si>
  <si>
    <t>PR5867</t>
  </si>
  <si>
    <t>PR5868</t>
  </si>
  <si>
    <t>PR5869</t>
  </si>
  <si>
    <t>PR587</t>
  </si>
  <si>
    <t>PR5870</t>
  </si>
  <si>
    <t>PR5871</t>
  </si>
  <si>
    <t>PR5872</t>
  </si>
  <si>
    <t>PR5873</t>
  </si>
  <si>
    <t>PR5874</t>
  </si>
  <si>
    <t>PR5875</t>
  </si>
  <si>
    <t>PR5876</t>
  </si>
  <si>
    <t>PR5877</t>
  </si>
  <si>
    <t>PR5878</t>
  </si>
  <si>
    <t>PR5879</t>
  </si>
  <si>
    <t>PR588</t>
  </si>
  <si>
    <t>PR5880</t>
  </si>
  <si>
    <t>PR5881</t>
  </si>
  <si>
    <t>PR5882</t>
  </si>
  <si>
    <t>PR5883</t>
  </si>
  <si>
    <t>PR5884</t>
  </si>
  <si>
    <t>PR5885</t>
  </si>
  <si>
    <t>PR5886</t>
  </si>
  <si>
    <t>PR5887</t>
  </si>
  <si>
    <t>PR5888</t>
  </si>
  <si>
    <t>PR5889</t>
  </si>
  <si>
    <t>PR589</t>
  </si>
  <si>
    <t>PR5890</t>
  </si>
  <si>
    <t>PR5891</t>
  </si>
  <si>
    <t>PR5892</t>
  </si>
  <si>
    <t>PR5893</t>
  </si>
  <si>
    <t>PR5894</t>
  </si>
  <si>
    <t>PR5895</t>
  </si>
  <si>
    <t>PR5896</t>
  </si>
  <si>
    <t>PR5897</t>
  </si>
  <si>
    <t>PR5898</t>
  </si>
  <si>
    <t>PR5899</t>
  </si>
  <si>
    <t>PR59</t>
  </si>
  <si>
    <t>PR590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</si>
  <si>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</si>
  <si>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</si>
  <si>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</si>
  <si>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</si>
  <si>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</si>
  <si>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</si>
  <si>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</si>
  <si>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</si>
  <si>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</si>
  <si>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</si>
  <si>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</si>
  <si>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</si>
  <si>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</si>
  <si>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</si>
  <si>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</si>
  <si>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</si>
  <si>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</si>
  <si>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</si>
  <si>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</si>
  <si>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</si>
  <si>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</si>
  <si>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</si>
  <si>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</si>
  <si>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</si>
  <si>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</si>
  <si>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</si>
  <si>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</si>
  <si>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</si>
  <si>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</si>
  <si>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</si>
  <si>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</si>
  <si>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</si>
  <si>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</si>
  <si>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</si>
  <si>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</si>
  <si>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</si>
  <si>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</si>
  <si>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</si>
  <si>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</si>
  <si>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</si>
  <si>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</si>
  <si>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</si>
  <si>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</si>
  <si>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</si>
  <si>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</si>
  <si>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</si>
  <si>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PR5942</t>
  </si>
  <si>
    <t>PR5943</t>
  </si>
  <si>
    <t>PR5944</t>
  </si>
  <si>
    <t>PR5945</t>
  </si>
  <si>
    <t>PR5946</t>
  </si>
  <si>
    <t>PR5947</t>
  </si>
  <si>
    <t>PR5948</t>
  </si>
  <si>
    <t>PR5949</t>
  </si>
  <si>
    <t>PR595</t>
  </si>
  <si>
    <t>PR5950</t>
  </si>
  <si>
    <t>PR5951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</si>
  <si>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</si>
  <si>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</si>
  <si>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</si>
  <si>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</si>
  <si>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</si>
  <si>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</si>
  <si>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</si>
  <si>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</si>
  <si>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</t>
  </si>
  <si>
    <t>PR5960</t>
  </si>
  <si>
    <t>PR5961</t>
  </si>
  <si>
    <t>PR5962</t>
  </si>
  <si>
    <t>PR5963</t>
  </si>
  <si>
    <t>PR5964</t>
  </si>
  <si>
    <t>PR5965</t>
  </si>
  <si>
    <t>PR5966</t>
  </si>
  <si>
    <t>PR5967</t>
  </si>
  <si>
    <t>PR5968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</si>
  <si>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</si>
  <si>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</si>
  <si>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</si>
  <si>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</si>
  <si>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</si>
  <si>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</si>
  <si>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</si>
  <si>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</si>
  <si>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PR5976</t>
  </si>
  <si>
    <t>PR5977</t>
  </si>
  <si>
    <t>PR5978</t>
  </si>
  <si>
    <t>PR5979</t>
  </si>
  <si>
    <t>PR598</t>
  </si>
  <si>
    <t>PR5980</t>
  </si>
  <si>
    <t>PR5981</t>
  </si>
  <si>
    <t>PR5982</t>
  </si>
  <si>
    <t>PR5983</t>
  </si>
  <si>
    <t>PR5984</t>
  </si>
  <si>
    <t>PR5985</t>
  </si>
  <si>
    <t>PR5986</t>
  </si>
  <si>
    <t>PR5987</t>
  </si>
  <si>
    <t>PR5988</t>
  </si>
  <si>
    <t>PR5989</t>
  </si>
  <si>
    <t>PR599</t>
  </si>
  <si>
    <t>PR5990</t>
  </si>
  <si>
    <t>PR5991</t>
  </si>
  <si>
    <t>PR5992</t>
  </si>
  <si>
    <t>PR5993</t>
  </si>
  <si>
    <t>PR5994</t>
  </si>
  <si>
    <t>PR5995</t>
  </si>
  <si>
    <t>PR5996</t>
  </si>
  <si>
    <t>PR5997</t>
  </si>
  <si>
    <t>PR5998</t>
  </si>
  <si>
    <t>PR5999</t>
  </si>
  <si>
    <t>PR60</t>
  </si>
  <si>
    <t>PR600</t>
  </si>
  <si>
    <t>PR6000</t>
  </si>
  <si>
    <t>PR6001</t>
  </si>
  <si>
    <t>PR6002</t>
  </si>
  <si>
    <t>PR6003</t>
  </si>
  <si>
    <t>PR6004</t>
  </si>
  <si>
    <t>PR6005</t>
  </si>
  <si>
    <t>PR6006</t>
  </si>
  <si>
    <t>PR6007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</si>
  <si>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</si>
  <si>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</si>
  <si>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</si>
  <si>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</si>
  <si>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</si>
  <si>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</si>
  <si>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</si>
  <si>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</si>
  <si>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</si>
  <si>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</si>
  <si>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</si>
  <si>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</si>
  <si>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</si>
  <si>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</si>
  <si>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</si>
  <si>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</si>
  <si>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</si>
  <si>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</si>
  <si>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</si>
  <si>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PR6025</t>
  </si>
  <si>
    <t>PR6026</t>
  </si>
  <si>
    <t>PR6027</t>
  </si>
  <si>
    <t>PR6028</t>
  </si>
  <si>
    <t>PR6029</t>
  </si>
  <si>
    <t>PR603</t>
  </si>
  <si>
    <t>PR6030</t>
  </si>
  <si>
    <t>PR6031</t>
  </si>
  <si>
    <t>PR6032</t>
  </si>
  <si>
    <t>PR6033</t>
  </si>
  <si>
    <t>PR6034</t>
  </si>
  <si>
    <t>PR6035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</si>
  <si>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</si>
  <si>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</si>
  <si>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</si>
  <si>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</si>
  <si>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</si>
  <si>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</si>
  <si>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</si>
  <si>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</si>
  <si>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</si>
  <si>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</si>
  <si>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</si>
  <si>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</si>
  <si>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</si>
  <si>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</si>
  <si>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</si>
  <si>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</t>
  </si>
  <si>
    <t>PR6050</t>
  </si>
  <si>
    <t>PR6051</t>
  </si>
  <si>
    <t>PR6052</t>
  </si>
  <si>
    <t>PR6053</t>
  </si>
  <si>
    <t>PR6054</t>
  </si>
  <si>
    <t>PR6055</t>
  </si>
  <si>
    <t>PR6056</t>
  </si>
  <si>
    <t>PR6057</t>
  </si>
  <si>
    <t>PR6058</t>
  </si>
  <si>
    <t>PR6059</t>
  </si>
  <si>
    <t>PR606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</si>
  <si>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</si>
  <si>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</si>
  <si>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</si>
  <si>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</si>
  <si>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</si>
  <si>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</si>
  <si>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</si>
  <si>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</si>
  <si>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</si>
  <si>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PR6069</t>
  </si>
  <si>
    <t>PR607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</si>
  <si>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</si>
  <si>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</si>
  <si>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</si>
  <si>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</si>
  <si>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</si>
  <si>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</si>
  <si>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</si>
  <si>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</si>
  <si>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</si>
  <si>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</si>
  <si>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</si>
  <si>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</si>
  <si>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</si>
  <si>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</si>
  <si>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</si>
  <si>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</si>
  <si>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</si>
  <si>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</si>
  <si>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PR6087</t>
  </si>
  <si>
    <t>PR6088</t>
  </si>
  <si>
    <t>PR6089</t>
  </si>
  <si>
    <t>PR609</t>
  </si>
  <si>
    <t>PR6090</t>
  </si>
  <si>
    <t>PR6091</t>
  </si>
  <si>
    <t>PR6092</t>
  </si>
  <si>
    <t>PR6093</t>
  </si>
  <si>
    <t>PR6094</t>
  </si>
  <si>
    <t>PR6095</t>
  </si>
  <si>
    <t>PR6096</t>
  </si>
  <si>
    <t>PR6097</t>
  </si>
  <si>
    <t>PR6098</t>
  </si>
  <si>
    <t>PR6099</t>
  </si>
  <si>
    <t>PR61</t>
  </si>
  <si>
    <t>PR610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</si>
  <si>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</si>
  <si>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</si>
  <si>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</si>
  <si>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</si>
  <si>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</si>
  <si>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</si>
  <si>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</si>
  <si>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</si>
  <si>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</si>
  <si>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</si>
  <si>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</si>
  <si>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</si>
  <si>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</si>
  <si>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</si>
  <si>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</si>
  <si>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</si>
  <si>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</si>
  <si>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</si>
  <si>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</si>
  <si>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</si>
  <si>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</si>
  <si>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</si>
  <si>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</si>
  <si>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</si>
  <si>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</si>
  <si>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</si>
  <si>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</si>
  <si>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</si>
  <si>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</si>
  <si>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</si>
  <si>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</si>
  <si>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</si>
  <si>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</si>
  <si>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</si>
  <si>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</si>
  <si>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</si>
  <si>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</si>
  <si>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</si>
  <si>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</si>
  <si>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</si>
  <si>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</si>
  <si>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</si>
  <si>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</si>
  <si>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</t>
  </si>
  <si>
    <t>PR6140</t>
  </si>
  <si>
    <t>PR6141</t>
  </si>
  <si>
    <t>PR6142</t>
  </si>
  <si>
    <t>PR6143</t>
  </si>
  <si>
    <t>PR6144</t>
  </si>
  <si>
    <t>PR6145</t>
  </si>
  <si>
    <t>PR6146</t>
  </si>
  <si>
    <t>PR6147</t>
  </si>
  <si>
    <t>PR6148</t>
  </si>
  <si>
    <t>PR6149</t>
  </si>
  <si>
    <t>PR615</t>
  </si>
  <si>
    <t>PR6150</t>
  </si>
  <si>
    <t>PR6151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</si>
  <si>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</si>
  <si>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</si>
  <si>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</si>
  <si>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</si>
  <si>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</si>
  <si>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</si>
  <si>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</si>
  <si>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</si>
  <si>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</si>
  <si>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</si>
  <si>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</si>
  <si>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</si>
  <si>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</si>
  <si>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</si>
  <si>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</si>
  <si>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PR6166</t>
  </si>
  <si>
    <t>PR6167</t>
  </si>
  <si>
    <t>PR6168</t>
  </si>
  <si>
    <t>PR6169</t>
  </si>
  <si>
    <t>PR617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</si>
  <si>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</si>
  <si>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</si>
  <si>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</si>
  <si>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</si>
  <si>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</si>
  <si>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</si>
  <si>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</si>
  <si>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</si>
  <si>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PR6178</t>
  </si>
  <si>
    <t>PR6179</t>
  </si>
  <si>
    <t>PR618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</si>
  <si>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</si>
  <si>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</si>
  <si>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</si>
  <si>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</si>
  <si>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</si>
  <si>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</si>
  <si>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</si>
  <si>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</si>
  <si>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PR6188</t>
  </si>
  <si>
    <t>PR6189</t>
  </si>
  <si>
    <t>PR619</t>
  </si>
  <si>
    <t>PR6190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</si>
  <si>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</si>
  <si>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</si>
  <si>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</si>
  <si>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</si>
  <si>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</si>
  <si>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</si>
  <si>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</si>
  <si>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</si>
  <si>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</si>
  <si>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</t>
  </si>
  <si>
    <t>PR620</t>
  </si>
  <si>
    <t>PR6200</t>
  </si>
  <si>
    <t>PR6201</t>
  </si>
  <si>
    <t>PR6202</t>
  </si>
  <si>
    <t>PR6203</t>
  </si>
  <si>
    <t>PR6204</t>
  </si>
  <si>
    <t>PR6205</t>
  </si>
  <si>
    <t>PR6206</t>
  </si>
  <si>
    <t>PR6207</t>
  </si>
  <si>
    <t>PR6208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</si>
  <si>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</si>
  <si>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</si>
  <si>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</si>
  <si>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</si>
  <si>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</si>
  <si>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</si>
  <si>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</si>
  <si>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</si>
  <si>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</si>
  <si>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</si>
  <si>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</si>
  <si>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</si>
  <si>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</si>
  <si>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PR6220</t>
  </si>
  <si>
    <t>PR6221</t>
  </si>
  <si>
    <t>PR6222</t>
  </si>
  <si>
    <t>PR6223</t>
  </si>
  <si>
    <t>PR6224</t>
  </si>
  <si>
    <t>PR6225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</si>
  <si>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</si>
  <si>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</si>
  <si>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</si>
  <si>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</si>
  <si>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</si>
  <si>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</si>
  <si>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</si>
  <si>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</si>
  <si>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</si>
  <si>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</si>
  <si>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</si>
  <si>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</si>
  <si>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</si>
  <si>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PR6238</t>
  </si>
  <si>
    <t>PR6239</t>
  </si>
  <si>
    <t>PR624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</si>
  <si>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</si>
  <si>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</si>
  <si>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</si>
  <si>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</si>
  <si>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</si>
  <si>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</si>
  <si>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</si>
  <si>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</si>
  <si>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</si>
  <si>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</si>
  <si>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</si>
  <si>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</si>
  <si>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</si>
  <si>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</si>
  <si>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</si>
  <si>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</si>
  <si>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</si>
  <si>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</si>
  <si>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</si>
  <si>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</si>
  <si>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PR6259</t>
  </si>
  <si>
    <t>PR626</t>
  </si>
  <si>
    <t>PR6260</t>
  </si>
  <si>
    <t>PR6261</t>
  </si>
  <si>
    <t>PR6262</t>
  </si>
  <si>
    <t>PR6263</t>
  </si>
  <si>
    <t>PR6264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</si>
  <si>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</si>
  <si>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</si>
  <si>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</si>
  <si>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</si>
  <si>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</si>
  <si>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</si>
  <si>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</si>
  <si>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</si>
  <si>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</si>
  <si>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PR6273</t>
  </si>
  <si>
    <t>PR6274</t>
  </si>
  <si>
    <t>PR6275</t>
  </si>
  <si>
    <t>PR6276</t>
  </si>
  <si>
    <t>PR6277</t>
  </si>
  <si>
    <t>PR6278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</si>
  <si>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</si>
  <si>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</si>
  <si>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</si>
  <si>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</si>
  <si>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</si>
  <si>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</si>
  <si>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</si>
  <si>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</si>
  <si>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</si>
  <si>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</si>
  <si>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</si>
  <si>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</si>
  <si>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</t>
  </si>
  <si>
    <t>PR6290</t>
  </si>
  <si>
    <t>PR6291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</si>
  <si>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</si>
  <si>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</si>
  <si>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</si>
  <si>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</si>
  <si>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</si>
  <si>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</si>
  <si>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</si>
  <si>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</si>
  <si>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</si>
  <si>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</si>
  <si>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</si>
  <si>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PR6301</t>
  </si>
  <si>
    <t>PR6302</t>
  </si>
  <si>
    <t>PR6303</t>
  </si>
  <si>
    <t>PR6304</t>
  </si>
  <si>
    <t>PR6305</t>
  </si>
  <si>
    <t>PR6306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</si>
  <si>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</si>
  <si>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</si>
  <si>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</si>
  <si>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</si>
  <si>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</si>
  <si>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</si>
  <si>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</si>
  <si>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</si>
  <si>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PR6314</t>
  </si>
  <si>
    <t>PR6315</t>
  </si>
  <si>
    <t>PR6316</t>
  </si>
  <si>
    <t>PR6317</t>
  </si>
  <si>
    <t>PR6318</t>
  </si>
  <si>
    <t>PR6319</t>
  </si>
  <si>
    <t>PR632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</si>
  <si>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</si>
  <si>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</si>
  <si>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</si>
  <si>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</si>
  <si>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</si>
  <si>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</si>
  <si>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</si>
  <si>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</si>
  <si>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</si>
  <si>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</si>
  <si>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</t>
  </si>
  <si>
    <t>PR6330</t>
  </si>
  <si>
    <t>PR6331</t>
  </si>
  <si>
    <t>PR6332</t>
  </si>
  <si>
    <t>PR6333</t>
  </si>
  <si>
    <t>PR6334</t>
  </si>
  <si>
    <t>PR6335</t>
  </si>
  <si>
    <t>PR6336</t>
  </si>
  <si>
    <t>PR6337</t>
  </si>
  <si>
    <t>PR6338</t>
  </si>
  <si>
    <t>PR6339</t>
  </si>
  <si>
    <t>PR634</t>
  </si>
  <si>
    <t>PR6340</t>
  </si>
  <si>
    <t>PR6341</t>
  </si>
  <si>
    <t>PR6342</t>
  </si>
  <si>
    <t>PR6343</t>
  </si>
  <si>
    <t>PR6344</t>
  </si>
  <si>
    <t>PR6345</t>
  </si>
  <si>
    <t>PR6346</t>
  </si>
  <si>
    <t>PR6347</t>
  </si>
  <si>
    <t>PR6348</t>
  </si>
  <si>
    <t>PR6349</t>
  </si>
  <si>
    <t>PR635</t>
  </si>
  <si>
    <t>PR6350</t>
  </si>
  <si>
    <t>PR6351</t>
  </si>
  <si>
    <t>PR6352</t>
  </si>
  <si>
    <t>PR6353</t>
  </si>
  <si>
    <t>PR6354</t>
  </si>
  <si>
    <t>PR6355</t>
  </si>
  <si>
    <t>PR6356</t>
  </si>
  <si>
    <t>PR6357</t>
  </si>
  <si>
    <t>PR6358</t>
  </si>
  <si>
    <t>PR6359</t>
  </si>
  <si>
    <t>PR636</t>
  </si>
  <si>
    <t>PR6360</t>
  </si>
  <si>
    <t>PR6361</t>
  </si>
  <si>
    <t>PR6362</t>
  </si>
  <si>
    <t>PR6363</t>
  </si>
  <si>
    <t>PR6364</t>
  </si>
  <si>
    <t>PR6365</t>
  </si>
  <si>
    <t>PR6366</t>
  </si>
  <si>
    <t>PR6367</t>
  </si>
  <si>
    <t>PR6368</t>
  </si>
  <si>
    <t>PR6369</t>
  </si>
  <si>
    <t>PR637</t>
  </si>
  <si>
    <t>PR6370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</si>
  <si>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</si>
  <si>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</si>
  <si>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</si>
  <si>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</si>
  <si>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</si>
  <si>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</si>
  <si>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</si>
  <si>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</si>
  <si>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</si>
  <si>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</t>
  </si>
  <si>
    <t>PR6380</t>
  </si>
  <si>
    <t>PR6381</t>
  </si>
  <si>
    <t>PR6382</t>
  </si>
  <si>
    <t>PR6383</t>
  </si>
  <si>
    <t>PR6384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</si>
  <si>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</si>
  <si>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</si>
  <si>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</si>
  <si>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</si>
  <si>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</si>
  <si>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</si>
  <si>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</si>
  <si>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</si>
  <si>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</si>
  <si>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</si>
  <si>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</si>
  <si>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</si>
  <si>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</si>
  <si>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</si>
  <si>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</si>
  <si>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</si>
  <si>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PR64</t>
  </si>
  <si>
    <t>PR640</t>
  </si>
  <si>
    <t>PR6400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</si>
  <si>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</si>
  <si>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</si>
  <si>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</si>
  <si>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</si>
  <si>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</si>
  <si>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</si>
  <si>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</si>
  <si>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</si>
  <si>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</si>
  <si>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</si>
  <si>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</si>
  <si>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</si>
  <si>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</si>
  <si>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</si>
  <si>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</si>
  <si>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PR6415</t>
  </si>
  <si>
    <t>PR6416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</si>
  <si>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</si>
  <si>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</si>
  <si>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</si>
  <si>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</si>
  <si>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</si>
  <si>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</si>
  <si>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</si>
  <si>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</si>
  <si>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</si>
  <si>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</si>
  <si>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</si>
  <si>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</si>
  <si>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PR6428</t>
  </si>
  <si>
    <t>PR6429</t>
  </si>
  <si>
    <t>PR643</t>
  </si>
  <si>
    <t>PR6430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</si>
  <si>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</si>
  <si>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</si>
  <si>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</si>
  <si>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</si>
  <si>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</si>
  <si>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</si>
  <si>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</si>
  <si>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</si>
  <si>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PR6439</t>
  </si>
  <si>
    <t>PR644</t>
  </si>
  <si>
    <t>PR6440</t>
  </si>
  <si>
    <t>PR6441</t>
  </si>
  <si>
    <t>PR6442</t>
  </si>
  <si>
    <t>PR6443</t>
  </si>
  <si>
    <t>PR6444</t>
  </si>
  <si>
    <t>PR6445</t>
  </si>
  <si>
    <t>PR6446</t>
  </si>
  <si>
    <t>PR6447</t>
  </si>
  <si>
    <t>PR6448</t>
  </si>
  <si>
    <t>PR6449</t>
  </si>
  <si>
    <t>PR645</t>
  </si>
  <si>
    <t>PR6450</t>
  </si>
  <si>
    <t>PR6451</t>
  </si>
  <si>
    <t>PR6452</t>
  </si>
  <si>
    <t>PR6453</t>
  </si>
  <si>
    <t>PR6454</t>
  </si>
  <si>
    <t>PR6455</t>
  </si>
  <si>
    <t>PR6456</t>
  </si>
  <si>
    <t>PR6457</t>
  </si>
  <si>
    <t>PR6458</t>
  </si>
  <si>
    <t>PR6459</t>
  </si>
  <si>
    <t>PR646</t>
  </si>
  <si>
    <t>PR6460</t>
  </si>
  <si>
    <t>PR6461</t>
  </si>
  <si>
    <t>PR6462</t>
  </si>
  <si>
    <t>PR6463</t>
  </si>
  <si>
    <t>PR6464</t>
  </si>
  <si>
    <t>PR6465</t>
  </si>
  <si>
    <t>PR6466</t>
  </si>
  <si>
    <t>PR6467</t>
  </si>
  <si>
    <t>PR6468</t>
  </si>
  <si>
    <t>PR6469</t>
  </si>
  <si>
    <t>PR647</t>
  </si>
  <si>
    <t>PR6470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</si>
  <si>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</si>
  <si>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</si>
  <si>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</si>
  <si>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</si>
  <si>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</si>
  <si>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</si>
  <si>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</si>
  <si>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</si>
  <si>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</si>
  <si>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</si>
  <si>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</si>
  <si>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PR6481</t>
  </si>
  <si>
    <t>PR6482</t>
  </si>
  <si>
    <t>PR6483</t>
  </si>
  <si>
    <t>PR6484</t>
  </si>
  <si>
    <t>PR6485</t>
  </si>
  <si>
    <t>PR6486</t>
  </si>
  <si>
    <t>PR6487</t>
  </si>
  <si>
    <t>PR6488</t>
  </si>
  <si>
    <t>PR6489</t>
  </si>
  <si>
    <t>PR649</t>
  </si>
  <si>
    <t>PR6490</t>
  </si>
  <si>
    <t>PR6491</t>
  </si>
  <si>
    <t>PR6492</t>
  </si>
  <si>
    <t>PR6493</t>
  </si>
  <si>
    <t>PR6494</t>
  </si>
  <si>
    <t>PR6495</t>
  </si>
  <si>
    <t>PR6496</t>
  </si>
  <si>
    <t>PR6497</t>
  </si>
  <si>
    <t>PR6498</t>
  </si>
  <si>
    <t>PR6499</t>
  </si>
  <si>
    <t>PR65</t>
  </si>
  <si>
    <t>PR650</t>
  </si>
  <si>
    <t>PR6500</t>
  </si>
  <si>
    <t>PR6501</t>
  </si>
  <si>
    <t>PR6502</t>
  </si>
  <si>
    <t>PR6503</t>
  </si>
  <si>
    <t>PR6504</t>
  </si>
  <si>
    <t>PR6505</t>
  </si>
  <si>
    <t>PR6506</t>
  </si>
  <si>
    <t>PR6507</t>
  </si>
  <si>
    <t>PR6508</t>
  </si>
  <si>
    <t>PR6509</t>
  </si>
  <si>
    <t>PR651</t>
  </si>
  <si>
    <t>PR6510</t>
  </si>
  <si>
    <t>PR6511</t>
  </si>
  <si>
    <t>PR6512</t>
  </si>
  <si>
    <t>PR6513</t>
  </si>
  <si>
    <t>PR6514</t>
  </si>
  <si>
    <t>PR6515</t>
  </si>
  <si>
    <t>PR6516</t>
  </si>
  <si>
    <t>PR6517</t>
  </si>
  <si>
    <t>PR6518</t>
  </si>
  <si>
    <t>PR6519</t>
  </si>
  <si>
    <t>PR652</t>
  </si>
  <si>
    <t>PR6520</t>
  </si>
  <si>
    <t>PR6521</t>
  </si>
  <si>
    <t>PR6522</t>
  </si>
  <si>
    <t>PR6523</t>
  </si>
  <si>
    <t>PR6524</t>
  </si>
  <si>
    <t>PR6525</t>
  </si>
  <si>
    <t>PR6526</t>
  </si>
  <si>
    <t>PR6527</t>
  </si>
  <si>
    <t>PR6528</t>
  </si>
  <si>
    <t>PR6529</t>
  </si>
  <si>
    <t>PR653</t>
  </si>
  <si>
    <t>PR6530</t>
  </si>
  <si>
    <t>PR6531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</si>
  <si>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</si>
  <si>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</si>
  <si>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</si>
  <si>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</si>
  <si>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</si>
  <si>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</si>
  <si>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</si>
  <si>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</si>
  <si>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</si>
  <si>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</si>
  <si>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</si>
  <si>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</si>
  <si>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</si>
  <si>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</si>
  <si>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</si>
  <si>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</si>
  <si>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</si>
  <si>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</si>
  <si>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</si>
  <si>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</si>
  <si>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</si>
  <si>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</si>
  <si>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</si>
  <si>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</si>
  <si>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</si>
  <si>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</si>
  <si>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</si>
  <si>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</si>
  <si>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</si>
  <si>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</si>
  <si>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</si>
  <si>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</si>
  <si>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</si>
  <si>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</si>
  <si>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</si>
  <si>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</si>
  <si>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</si>
  <si>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</si>
  <si>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</si>
  <si>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</si>
  <si>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</si>
  <si>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</si>
  <si>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</si>
  <si>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</si>
  <si>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</si>
  <si>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</si>
  <si>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PR6574</t>
  </si>
  <si>
    <t>PR6575</t>
  </si>
  <si>
    <t>PR6576</t>
  </si>
  <si>
    <t>PR6577</t>
  </si>
  <si>
    <t>PR6578</t>
  </si>
  <si>
    <t>PR6579</t>
  </si>
  <si>
    <t>PR658</t>
  </si>
  <si>
    <t>PR6580</t>
  </si>
  <si>
    <t>PR6581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</si>
  <si>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</si>
  <si>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</si>
  <si>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</si>
  <si>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</si>
  <si>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</si>
  <si>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</si>
  <si>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</si>
  <si>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</si>
  <si>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</si>
  <si>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</si>
  <si>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</si>
  <si>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</si>
  <si>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</si>
  <si>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</si>
  <si>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</si>
  <si>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</si>
  <si>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</si>
  <si>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</si>
  <si>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</si>
  <si>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</t>
  </si>
  <si>
    <t>PR660</t>
  </si>
  <si>
    <t>PR6600</t>
  </si>
  <si>
    <t>PR6601</t>
  </si>
  <si>
    <t>PR6602</t>
  </si>
  <si>
    <t>PR6603</t>
  </si>
  <si>
    <t>PR6604</t>
  </si>
  <si>
    <t>PR6605</t>
  </si>
  <si>
    <t>PR6606</t>
  </si>
  <si>
    <t>PR6607</t>
  </si>
  <si>
    <t>PR6608</t>
  </si>
  <si>
    <t>PR6609</t>
  </si>
  <si>
    <t>PR661</t>
  </si>
  <si>
    <t>PR6610</t>
  </si>
  <si>
    <t>PR6611</t>
  </si>
  <si>
    <t>PR6612</t>
  </si>
  <si>
    <t>PR6613</t>
  </si>
  <si>
    <t>PR6614</t>
  </si>
  <si>
    <t>PR6615</t>
  </si>
  <si>
    <t>PR6616</t>
  </si>
  <si>
    <t>PR6617</t>
  </si>
  <si>
    <t>PR6618</t>
  </si>
  <si>
    <t>PR6619</t>
  </si>
  <si>
    <t>PR662</t>
  </si>
  <si>
    <t>PR6620</t>
  </si>
  <si>
    <t>PR6621</t>
  </si>
  <si>
    <t>PR6622</t>
  </si>
  <si>
    <t>PR6623</t>
  </si>
  <si>
    <t>PR6624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</si>
  <si>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</si>
  <si>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</si>
  <si>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</si>
  <si>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</si>
  <si>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</si>
  <si>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</si>
  <si>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</si>
  <si>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</si>
  <si>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</si>
  <si>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</si>
  <si>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</si>
  <si>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</si>
  <si>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</si>
  <si>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</si>
  <si>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</si>
  <si>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</si>
  <si>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</si>
  <si>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PR6640</t>
  </si>
  <si>
    <t>PR6641</t>
  </si>
  <si>
    <t>PR6642</t>
  </si>
  <si>
    <t>PR6643</t>
  </si>
  <si>
    <t>PR6644</t>
  </si>
  <si>
    <t>PR6645</t>
  </si>
  <si>
    <t>PR6646</t>
  </si>
  <si>
    <t>PR6647</t>
  </si>
  <si>
    <t>PR6648</t>
  </si>
  <si>
    <t>PR6649</t>
  </si>
  <si>
    <t>PR665</t>
  </si>
  <si>
    <t>PR6650</t>
  </si>
  <si>
    <t>PR6651</t>
  </si>
  <si>
    <t>PR6652</t>
  </si>
  <si>
    <t>PR6653</t>
  </si>
  <si>
    <t>PR6654</t>
  </si>
  <si>
    <t>PR6655</t>
  </si>
  <si>
    <t>PR6656</t>
  </si>
  <si>
    <t>PR6657</t>
  </si>
  <si>
    <t>PR6658</t>
  </si>
  <si>
    <t>PR6659</t>
  </si>
  <si>
    <t>PR666</t>
  </si>
  <si>
    <t>PR6660</t>
  </si>
  <si>
    <t>PR6661</t>
  </si>
  <si>
    <t>PR6662</t>
  </si>
  <si>
    <t>PR6663</t>
  </si>
  <si>
    <t>PR6664</t>
  </si>
  <si>
    <t>PR6665</t>
  </si>
  <si>
    <t>PR6666</t>
  </si>
  <si>
    <t>PR6667</t>
  </si>
  <si>
    <t>PR6668</t>
  </si>
  <si>
    <t>PR6669</t>
  </si>
  <si>
    <t>PR667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</si>
  <si>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</si>
  <si>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</si>
  <si>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</si>
  <si>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</si>
  <si>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</si>
  <si>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</si>
  <si>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</si>
  <si>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</si>
  <si>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</si>
  <si>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</si>
  <si>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</t>
  </si>
  <si>
    <t>PR6680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</si>
  <si>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</si>
  <si>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</si>
  <si>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</si>
  <si>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</si>
  <si>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</si>
  <si>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</si>
  <si>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</si>
  <si>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</si>
  <si>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</si>
  <si>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</t>
  </si>
  <si>
    <t>PR6690</t>
  </si>
  <si>
    <t>PR6691</t>
  </si>
  <si>
    <t>PR6692</t>
  </si>
  <si>
    <t>PR6693</t>
  </si>
  <si>
    <t>PR6694</t>
  </si>
  <si>
    <t>PR6695</t>
  </si>
  <si>
    <t>PR6696</t>
  </si>
  <si>
    <t>PR6697</t>
  </si>
  <si>
    <t>PR6698</t>
  </si>
  <si>
    <t>PR6699</t>
  </si>
  <si>
    <t>PR67</t>
  </si>
  <si>
    <t>PR670</t>
  </si>
  <si>
    <t>PR6700</t>
  </si>
  <si>
    <t>PR6701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</si>
  <si>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</si>
  <si>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</si>
  <si>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</si>
  <si>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</si>
  <si>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</si>
  <si>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</si>
  <si>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</si>
  <si>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</si>
  <si>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</si>
  <si>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</si>
  <si>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</si>
  <si>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</si>
  <si>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</si>
  <si>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</si>
  <si>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</si>
  <si>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</si>
  <si>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</si>
  <si>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</si>
  <si>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</si>
  <si>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</si>
  <si>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</si>
  <si>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</si>
  <si>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</si>
  <si>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</si>
  <si>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</si>
  <si>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</si>
  <si>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</si>
  <si>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</si>
  <si>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</si>
  <si>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</si>
  <si>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</si>
  <si>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</si>
  <si>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</si>
  <si>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</si>
  <si>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</si>
  <si>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</si>
  <si>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</si>
  <si>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</si>
  <si>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</si>
  <si>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</si>
  <si>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</si>
  <si>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</si>
  <si>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</si>
  <si>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</si>
  <si>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</si>
  <si>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</si>
  <si>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</si>
  <si>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</si>
  <si>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</si>
  <si>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</si>
  <si>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</si>
  <si>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</si>
  <si>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</si>
  <si>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</si>
  <si>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</si>
  <si>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</si>
  <si>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</si>
  <si>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</si>
  <si>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</si>
  <si>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</si>
  <si>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</si>
  <si>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</si>
  <si>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</si>
  <si>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</si>
  <si>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</si>
  <si>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</si>
  <si>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</si>
  <si>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</si>
  <si>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</si>
  <si>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</si>
  <si>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</si>
  <si>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</si>
  <si>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</si>
  <si>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</si>
  <si>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</si>
  <si>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</si>
  <si>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</si>
  <si>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</si>
  <si>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</si>
  <si>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</si>
  <si>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</si>
  <si>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</si>
  <si>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</si>
  <si>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</si>
  <si>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</si>
  <si>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</si>
  <si>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</si>
  <si>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</si>
  <si>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</si>
  <si>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</si>
  <si>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</si>
  <si>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</si>
  <si>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</si>
  <si>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</si>
  <si>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</si>
  <si>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</si>
  <si>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</si>
  <si>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</si>
  <si>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</si>
  <si>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</si>
  <si>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</si>
  <si>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</si>
  <si>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</si>
  <si>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</si>
  <si>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</si>
  <si>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</si>
  <si>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</si>
  <si>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</si>
  <si>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</si>
  <si>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</si>
  <si>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</si>
  <si>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</si>
  <si>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</si>
  <si>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</si>
  <si>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</si>
  <si>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</si>
  <si>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</si>
  <si>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</si>
  <si>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</si>
  <si>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</si>
  <si>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</si>
  <si>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</si>
  <si>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</si>
  <si>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</si>
  <si>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</si>
  <si>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</si>
  <si>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</si>
  <si>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</si>
  <si>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</si>
  <si>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</si>
  <si>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</si>
  <si>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</si>
  <si>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</si>
  <si>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</si>
  <si>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</si>
  <si>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</si>
  <si>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</si>
  <si>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</si>
  <si>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</si>
  <si>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</si>
  <si>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</si>
  <si>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</si>
  <si>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</si>
  <si>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</si>
  <si>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</si>
  <si>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</si>
  <si>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</si>
  <si>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</si>
  <si>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</si>
  <si>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</si>
  <si>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</si>
  <si>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</si>
  <si>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</si>
  <si>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</si>
  <si>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</si>
  <si>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</si>
  <si>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</si>
  <si>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</si>
  <si>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</si>
  <si>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</si>
  <si>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</si>
  <si>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</si>
  <si>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</si>
  <si>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</si>
  <si>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</si>
  <si>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</si>
  <si>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</si>
  <si>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</si>
  <si>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</si>
  <si>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</si>
  <si>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</si>
  <si>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</si>
  <si>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</si>
  <si>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</si>
  <si>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</si>
  <si>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</si>
  <si>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</si>
  <si>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</si>
  <si>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</si>
  <si>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</si>
  <si>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</si>
  <si>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</si>
  <si>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</t>
  </si>
  <si>
    <t>PR830</t>
  </si>
  <si>
    <t>PR831</t>
  </si>
  <si>
    <t>PR832</t>
  </si>
  <si>
    <t>PR833</t>
  </si>
  <si>
    <t>PR834</t>
  </si>
  <si>
    <t>PR835</t>
  </si>
  <si>
    <t>PR836</t>
  </si>
  <si>
    <t>PR837</t>
  </si>
  <si>
    <t>PR838</t>
  </si>
  <si>
    <t>PR839</t>
  </si>
  <si>
    <t>PR84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</si>
  <si>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</si>
  <si>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</si>
  <si>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</si>
  <si>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</si>
  <si>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</si>
  <si>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</si>
  <si>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</si>
  <si>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</si>
  <si>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</si>
  <si>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</si>
  <si>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</si>
  <si>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</si>
  <si>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</si>
  <si>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</si>
  <si>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</si>
  <si>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</si>
  <si>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</si>
  <si>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</si>
  <si>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</si>
  <si>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</si>
  <si>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</si>
  <si>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</si>
  <si>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</si>
  <si>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</si>
  <si>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</si>
  <si>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</si>
  <si>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</si>
  <si>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</si>
  <si>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</si>
  <si>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</si>
  <si>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</si>
  <si>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</si>
  <si>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</si>
  <si>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</si>
  <si>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</si>
  <si>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</si>
  <si>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</si>
  <si>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</si>
  <si>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</si>
  <si>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</si>
  <si>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</si>
  <si>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</si>
  <si>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</si>
  <si>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</si>
  <si>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</si>
  <si>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</si>
  <si>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</si>
  <si>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</si>
  <si>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</si>
  <si>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</si>
  <si>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</si>
  <si>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</si>
  <si>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</si>
  <si>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</si>
  <si>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</si>
  <si>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</si>
  <si>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</si>
  <si>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</si>
  <si>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</si>
  <si>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</si>
  <si>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</si>
  <si>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</si>
  <si>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</si>
  <si>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</si>
  <si>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</si>
  <si>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</si>
  <si>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</si>
  <si>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</si>
  <si>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</si>
  <si>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</si>
  <si>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</si>
  <si>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</si>
  <si>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</si>
  <si>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</si>
  <si>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</si>
  <si>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</si>
  <si>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</si>
  <si>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</si>
  <si>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</si>
  <si>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</si>
  <si>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</si>
  <si>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</si>
  <si>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</si>
  <si>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</si>
  <si>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</si>
  <si>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</si>
  <si>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</si>
  <si>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</si>
  <si>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</si>
  <si>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</si>
  <si>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</si>
  <si>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</si>
  <si>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</si>
  <si>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</si>
  <si>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</si>
  <si>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</si>
  <si>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</si>
  <si>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</si>
  <si>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</si>
  <si>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</si>
  <si>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</si>
  <si>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</si>
  <si>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</si>
  <si>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</si>
  <si>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</si>
  <si>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</si>
  <si>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</si>
  <si>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</si>
  <si>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</si>
  <si>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</t>
  </si>
  <si>
    <t>PR940</t>
  </si>
  <si>
    <t>PR941</t>
  </si>
  <si>
    <t>PR942</t>
  </si>
  <si>
    <t>PR943</t>
  </si>
  <si>
    <t>PR944</t>
  </si>
  <si>
    <t>PR945</t>
  </si>
  <si>
    <t>PR946</t>
  </si>
  <si>
    <t>PR947</t>
  </si>
  <si>
    <t>PR948</t>
  </si>
  <si>
    <t>PR949</t>
  </si>
  <si>
    <t>PR95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</si>
  <si>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</si>
  <si>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</si>
  <si>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</si>
  <si>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</si>
  <si>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</si>
  <si>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</si>
  <si>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</si>
  <si>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</si>
  <si>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</si>
  <si>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</si>
  <si>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</si>
  <si>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</si>
  <si>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</si>
  <si>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</si>
  <si>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</si>
  <si>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</si>
  <si>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</si>
  <si>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</si>
  <si>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</si>
  <si>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</si>
  <si>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</si>
  <si>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</si>
  <si>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</si>
  <si>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</si>
  <si>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</si>
  <si>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</si>
  <si>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</si>
  <si>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</si>
  <si>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</si>
  <si>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</si>
  <si>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</si>
  <si>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</si>
  <si>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</si>
  <si>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</si>
  <si>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</si>
  <si>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</si>
  <si>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</si>
  <si>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</si>
  <si>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</si>
  <si>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</si>
  <si>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</si>
  <si>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</si>
  <si>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</si>
  <si>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</si>
  <si>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</si>
  <si>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</si>
  <si>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</si>
  <si>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</si>
  <si>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</si>
  <si>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</si>
  <si>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</si>
  <si>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</si>
  <si>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</si>
  <si>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</si>
  <si>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</si>
  <si>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</si>
  <si>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</si>
  <si>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</si>
  <si>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</si>
  <si>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</si>
  <si>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</si>
  <si>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</si>
  <si>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</si>
  <si>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</si>
  <si>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</si>
  <si>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</si>
  <si>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</si>
  <si>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</si>
  <si>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</si>
  <si>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</si>
  <si>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</si>
  <si>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</si>
  <si>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</si>
  <si>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</si>
  <si>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</si>
  <si>
    <t>SelfRatingLevel</t>
  </si>
  <si>
    <t>ManagerRatingLevel</t>
  </si>
  <si>
    <t>EnvironmentSatisfactionLevel</t>
  </si>
  <si>
    <t>JobSatisfactionLevel</t>
  </si>
  <si>
    <t>EducationLevel2</t>
  </si>
  <si>
    <t>S</t>
  </si>
  <si>
    <t>EducationLevel22</t>
  </si>
  <si>
    <t>RelationshipSatisfactionLevel</t>
  </si>
  <si>
    <t>AttritionFlag</t>
  </si>
  <si>
    <t>AgeGroup</t>
  </si>
  <si>
    <t>AvgSatisfactionScore</t>
  </si>
  <si>
    <t>RatingGap</t>
  </si>
  <si>
    <t>Grand Total</t>
  </si>
  <si>
    <t>Average of AttritionFlag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</si>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</sst>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1" formatCode="[$$-409]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0" fontId="18" fillId="0" borderId="0" xfId="0" applyFont="1"/>
    <xf numFmtId="0" fontId="0" fillId="0" borderId="0" xfId="0" applyAlignment="1">
      <alignment horizontal="left"/>
    </xf>
    <xf numFmtId="169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4">
    <dxf>
      <numFmt numFmtId="169" formatCode="0.000"/>
    </dxf>
    <dxf>
      <numFmt numFmtId="171" formatCode="[$$-409]#,##0.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69" formatCode="0.000"/>
    </dxf>
    <dxf>
      <numFmt numFmtId="169" formatCode="0.000"/>
    </dxf>
    <dxf>
      <numFmt numFmtId="171" formatCode="[$$-409]#,##0.00"/>
    </dxf>
    <dxf>
      <numFmt numFmtId="170" formatCode="[$USD]\ #,##0.00"/>
    </dxf>
    <dxf>
      <numFmt numFmtId="171" formatCode="[$$-409]#,##0.00"/>
    </dxf>
    <dxf>
      <numFmt numFmtId="169" formatCode="0.000"/>
    </dxf>
    <dxf>
      <numFmt numFmtId="169" formatCode="0.000"/>
    </dxf>
    <dxf>
      <numFmt numFmtId="170" formatCode="[$USD]\ #,##0.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ssuf Ali" refreshedDate="46222.623943634258" createdVersion="8" refreshedVersion="8" minRefreshableVersion="3" recordCount="1470" xr:uid="{4A1B69F0-FC75-4E94-BBCF-1AA73451CF8C}">
  <cacheSource type="worksheet">
    <worksheetSource name="Employees"/>
  </cacheSource>
  <cacheFields count="28">
    <cacheField name="EmployeeID" numFmtId="0">
      <sharedItems/>
    </cacheField>
    <cacheField name="FirstName" numFmtId="0">
      <sharedItems/>
    </cacheField>
    <cacheField name="LastName" numFmtId="0">
      <sharedItems/>
    </cacheField>
    <cacheField name="Gender" numFmtId="0">
      <sharedItems count="4">
        <s v="Female"/>
        <s v="Male"/>
        <s v="Non-Binary"/>
        <s v="Prefer Not To Say"/>
      </sharedItems>
    </cacheField>
    <cacheField name="Age" numFmtId="0">
      <sharedItems containsSemiMixedTypes="0" containsString="0" containsNumber="1" containsInteger="1" minValue="18" maxValue="51"/>
    </cacheField>
    <cacheField name="BusinessTravel" numFmtId="0">
      <sharedItems/>
    </cacheField>
    <cacheField name="Department" numFmtId="0">
      <sharedItems count="3">
        <s v="Sales"/>
        <s v="Human Resources"/>
        <s v="Technology"/>
      </sharedItems>
    </cacheField>
    <cacheField name="DistanceFromHome (KM)" numFmtId="0">
      <sharedItems containsSemiMixedTypes="0" containsString="0" containsNumber="1" containsInteger="1" minValue="1" maxValue="45"/>
    </cacheField>
    <cacheField name="State" numFmtId="0">
      <sharedItems/>
    </cacheField>
    <cacheField name="Ethnicity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JobRole" numFmtId="0">
      <sharedItems count="13">
        <s v="Sales Executive"/>
        <s v="HR Business Partner"/>
        <s v="Engineering Manager"/>
        <s v="Recruiter"/>
        <s v="Data Scientist"/>
        <s v="Machine Learning Engineer"/>
        <s v="Manager"/>
        <s v="Software Engineer"/>
        <s v="Senior Software Engineer"/>
        <s v="Sales Representative"/>
        <s v="Analytics Manager"/>
        <s v="HR Executive"/>
        <s v="HR Manager"/>
      </sharedItems>
    </cacheField>
    <cacheField name="MaritalStatus" numFmtId="0">
      <sharedItems/>
    </cacheField>
    <cacheField name="Salary" numFmtId="0">
      <sharedItems containsSemiMixedTypes="0" containsString="0" containsNumber="1" containsInteger="1" minValue="20387" maxValue="547204"/>
    </cacheField>
    <cacheField name="StockOptionLevel" numFmtId="0">
      <sharedItems containsSemiMixedTypes="0" containsString="0" containsNumber="1" containsInteger="1" minValue="0" maxValue="3"/>
    </cacheField>
    <cacheField name="OverTime" numFmtId="0">
      <sharedItems count="2">
        <s v="No"/>
        <s v="Yes"/>
      </sharedItems>
    </cacheField>
    <cacheField name="HireDate" numFmtId="22">
      <sharedItems containsSemiMixedTypes="0" containsNonDate="0" containsDate="1" containsString="0" minDate="2012-01-03T00:00:00" maxDate="2023-01-01T00:00:00"/>
    </cacheField>
    <cacheField name="Attrition" numFmtId="0">
      <sharedItems/>
    </cacheField>
    <cacheField name="YearsAtCompany" numFmtId="0">
      <sharedItems containsSemiMixedTypes="0" containsString="0" containsNumber="1" containsInteger="1" minValue="0" maxValue="10"/>
    </cacheField>
    <cacheField name="YearsInMostRecentRole" numFmtId="0">
      <sharedItems containsSemiMixedTypes="0" containsString="0" containsNumber="1" containsInteger="1" minValue="0" maxValue="10"/>
    </cacheField>
    <cacheField name="YearsSinceLastPromotion" numFmtId="0">
      <sharedItems containsSemiMixedTypes="0" containsString="0" containsNumber="1" containsInteger="1" minValue="0" maxValue="10"/>
    </cacheField>
    <cacheField name="YearsWithCurrManager" numFmtId="0">
      <sharedItems containsSemiMixedTypes="0" containsString="0" containsNumber="1" containsInteger="1" minValue="0" maxValue="10"/>
    </cacheField>
    <cacheField name="EducationLevel" numFmtId="0">
      <sharedItems/>
    </cacheField>
    <cacheField name="EducationLevel2" numFmtId="0">
      <sharedItems/>
    </cacheField>
    <cacheField name="EducationLevel22" numFmtId="0">
      <sharedItems/>
    </cacheField>
    <cacheField name="AttritionFlag" numFmtId="0">
      <sharedItems containsSemiMixedTypes="0" containsString="0" containsNumber="1" containsInteger="1" minValue="0" maxValue="1"/>
    </cacheField>
    <cacheField name="Ag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3012-1A41"/>
    <s v="Leonelle"/>
    <s v="Simco"/>
    <x v="0"/>
    <n v="30"/>
    <s v="Some Travel"/>
    <x v="0"/>
    <n v="27"/>
    <s v="IL"/>
    <s v="White"/>
    <n v="5"/>
    <s v="Marketing"/>
    <x v="0"/>
    <s v="Divorced"/>
    <n v="102059"/>
    <n v="1"/>
    <x v="0"/>
    <d v="2012-01-03T00:00:00"/>
    <s v="No"/>
    <n v="10"/>
    <n v="4"/>
    <n v="9"/>
    <n v="7"/>
    <s v="Doctorate"/>
    <s v="Doctorate"/>
    <s v="Doctorate"/>
    <n v="0"/>
    <s v="30-39"/>
  </r>
  <r>
    <s v="CBCB-9C9D"/>
    <s v="Leonerd"/>
    <s v="Aland"/>
    <x v="1"/>
    <n v="38"/>
    <s v="Some Travel"/>
    <x v="0"/>
    <n v="23"/>
    <s v="CA"/>
    <s v="White"/>
    <n v="4"/>
    <s v="Marketing"/>
    <x v="0"/>
    <s v="Single"/>
    <n v="157718"/>
    <n v="0"/>
    <x v="1"/>
    <d v="2012-01-04T00:00:00"/>
    <s v="No"/>
    <n v="10"/>
    <n v="6"/>
    <n v="10"/>
    <n v="0"/>
    <s v="Masters "/>
    <s v="Masters "/>
    <s v="Masters "/>
    <n v="0"/>
    <s v="30-39"/>
  </r>
  <r>
    <s v="95D7-1CE9"/>
    <s v="Ahmed"/>
    <s v="Sykes"/>
    <x v="1"/>
    <n v="43"/>
    <s v="Some Travel"/>
    <x v="1"/>
    <n v="29"/>
    <s v="CA"/>
    <s v="Asian or Asian American"/>
    <n v="4"/>
    <s v="Marketing "/>
    <x v="1"/>
    <s v="Married"/>
    <n v="309964"/>
    <n v="1"/>
    <x v="0"/>
    <d v="2012-01-04T00:00:00"/>
    <s v="No"/>
    <n v="10"/>
    <n v="6"/>
    <n v="10"/>
    <n v="8"/>
    <s v="Masters "/>
    <s v="Masters "/>
    <s v="Masters "/>
    <n v="0"/>
    <s v="40-49"/>
  </r>
  <r>
    <s v="47A0-559B"/>
    <s v="Ermentrude"/>
    <s v="Berrie"/>
    <x v="2"/>
    <n v="39"/>
    <s v="Some Travel"/>
    <x v="2"/>
    <n v="12"/>
    <s v="IL"/>
    <s v="White"/>
    <n v="3"/>
    <s v="Computer Science"/>
    <x v="2"/>
    <s v="Married"/>
    <n v="293132"/>
    <n v="0"/>
    <x v="0"/>
    <d v="2012-01-05T00:00:00"/>
    <s v="No"/>
    <n v="10"/>
    <n v="10"/>
    <n v="10"/>
    <n v="0"/>
    <s v="Bachelors "/>
    <s v="Bachelors "/>
    <s v="Bachelors "/>
    <n v="0"/>
    <s v="30-39"/>
  </r>
  <r>
    <s v="42CC-040A"/>
    <s v="Stace"/>
    <s v="Savege"/>
    <x v="0"/>
    <n v="29"/>
    <s v="Some Travel"/>
    <x v="1"/>
    <n v="29"/>
    <s v="CA"/>
    <s v="White"/>
    <n v="2"/>
    <s v="Technical Degree"/>
    <x v="3"/>
    <s v="Single"/>
    <n v="49606"/>
    <n v="0"/>
    <x v="0"/>
    <d v="2012-01-05T00:00:00"/>
    <s v="Yes"/>
    <n v="6"/>
    <n v="1"/>
    <n v="1"/>
    <n v="6"/>
    <s v="High School "/>
    <s v="High School "/>
    <s v="High School "/>
    <n v="1"/>
    <s v="20-29"/>
  </r>
  <r>
    <s v="C219-6C2E"/>
    <s v="Clerkclaude"/>
    <s v="Hinkins"/>
    <x v="1"/>
    <n v="34"/>
    <s v="Some Travel"/>
    <x v="0"/>
    <n v="30"/>
    <s v="NY"/>
    <s v="Mixed or multiple ethnic groups"/>
    <n v="2"/>
    <s v="Marketing"/>
    <x v="0"/>
    <s v="Divorced"/>
    <n v="133468"/>
    <n v="1"/>
    <x v="0"/>
    <d v="2012-01-05T00:00:00"/>
    <s v="No"/>
    <n v="10"/>
    <n v="3"/>
    <n v="7"/>
    <n v="9"/>
    <s v="High School "/>
    <s v="High School "/>
    <s v="High School "/>
    <n v="0"/>
    <s v="30-39"/>
  </r>
  <r>
    <s v="D906-B674"/>
    <s v="Uta"/>
    <s v="Melmar"/>
    <x v="0"/>
    <n v="42"/>
    <s v="No Travel "/>
    <x v="2"/>
    <n v="45"/>
    <s v="NY"/>
    <s v="Black or African American"/>
    <n v="3"/>
    <s v="Information Systems"/>
    <x v="2"/>
    <s v="Married"/>
    <n v="259284"/>
    <n v="1"/>
    <x v="0"/>
    <d v="2012-01-09T00:00:00"/>
    <s v="No"/>
    <n v="10"/>
    <n v="2"/>
    <n v="6"/>
    <n v="6"/>
    <s v="Bachelors "/>
    <s v="Bachelors "/>
    <s v="Bachelors "/>
    <n v="0"/>
    <s v="40-49"/>
  </r>
  <r>
    <s v="3C7D-86ED"/>
    <s v="Joyan"/>
    <s v="Brason"/>
    <x v="0"/>
    <n v="40"/>
    <s v="Some Travel"/>
    <x v="0"/>
    <n v="3"/>
    <s v="CA"/>
    <s v="Native Hawaiian "/>
    <n v="2"/>
    <s v="Other"/>
    <x v="0"/>
    <s v="Divorced"/>
    <n v="104426"/>
    <n v="1"/>
    <x v="0"/>
    <d v="2012-01-11T00:00:00"/>
    <s v="No"/>
    <n v="10"/>
    <n v="3"/>
    <n v="4"/>
    <n v="6"/>
    <s v="High School "/>
    <s v="High School "/>
    <s v="High School "/>
    <n v="0"/>
    <s v="40-49"/>
  </r>
  <r>
    <s v="3D71-8DC2"/>
    <s v="Alix"/>
    <s v="Blazejewski"/>
    <x v="1"/>
    <n v="38"/>
    <s v="Some Travel"/>
    <x v="0"/>
    <n v="20"/>
    <s v="IL"/>
    <s v="Black or African American"/>
    <n v="4"/>
    <s v="Marketing "/>
    <x v="0"/>
    <s v="Married"/>
    <n v="147098"/>
    <n v="1"/>
    <x v="0"/>
    <d v="2012-01-11T00:00:00"/>
    <s v="No"/>
    <n v="10"/>
    <n v="5"/>
    <n v="8"/>
    <n v="2"/>
    <s v="Masters "/>
    <s v="Masters "/>
    <s v="Masters "/>
    <n v="0"/>
    <s v="30-39"/>
  </r>
  <r>
    <s v="5476-CA0D"/>
    <s v="Kayley"/>
    <s v="Snoad"/>
    <x v="0"/>
    <n v="31"/>
    <s v="Frequent Traveller"/>
    <x v="2"/>
    <n v="4"/>
    <s v="NY"/>
    <s v="Native Hawaiian "/>
    <n v="2"/>
    <s v="Information Systems"/>
    <x v="4"/>
    <s v="Single"/>
    <n v="69747"/>
    <n v="0"/>
    <x v="0"/>
    <d v="2012-01-12T00:00:00"/>
    <s v="Yes"/>
    <n v="6"/>
    <n v="5"/>
    <n v="5"/>
    <n v="1"/>
    <s v="High School "/>
    <s v="High School "/>
    <s v="High School "/>
    <n v="1"/>
    <s v="30-39"/>
  </r>
  <r>
    <s v="73CF-4956"/>
    <s v="Hannis"/>
    <s v="Waslin"/>
    <x v="0"/>
    <n v="32"/>
    <s v="Some Travel"/>
    <x v="2"/>
    <n v="42"/>
    <s v="CA"/>
    <s v="White"/>
    <n v="4"/>
    <s v="Computer Science"/>
    <x v="4"/>
    <s v="Single"/>
    <n v="102022"/>
    <n v="0"/>
    <x v="0"/>
    <d v="2012-01-12T00:00:00"/>
    <s v="No"/>
    <n v="10"/>
    <n v="4"/>
    <n v="5"/>
    <n v="8"/>
    <s v="Masters "/>
    <s v="Masters "/>
    <s v="Masters "/>
    <n v="0"/>
    <s v="30-39"/>
  </r>
  <r>
    <s v="277A-A6FA"/>
    <s v="Annabela"/>
    <s v="Pablos"/>
    <x v="0"/>
    <n v="35"/>
    <s v="Some Travel"/>
    <x v="2"/>
    <n v="8"/>
    <s v="NY"/>
    <s v="Other "/>
    <n v="4"/>
    <s v="Information Systems"/>
    <x v="5"/>
    <s v="Single"/>
    <n v="272175"/>
    <n v="0"/>
    <x v="0"/>
    <d v="2012-01-12T00:00:00"/>
    <s v="No"/>
    <n v="10"/>
    <n v="7"/>
    <n v="8"/>
    <n v="2"/>
    <s v="Masters "/>
    <s v="Masters "/>
    <s v="Masters "/>
    <n v="0"/>
    <s v="30-39"/>
  </r>
  <r>
    <s v="8BAB-B4A6"/>
    <s v="Torey"/>
    <s v="Abram"/>
    <x v="1"/>
    <n v="38"/>
    <s v="Some Travel"/>
    <x v="0"/>
    <n v="35"/>
    <s v="NY"/>
    <s v="Asian or Asian American"/>
    <n v="3"/>
    <s v="Marketing "/>
    <x v="6"/>
    <s v="Single"/>
    <n v="340229"/>
    <n v="0"/>
    <x v="1"/>
    <d v="2012-01-13T00:00:00"/>
    <s v="No"/>
    <n v="10"/>
    <n v="7"/>
    <n v="9"/>
    <n v="3"/>
    <s v="Bachelors "/>
    <s v="Bachelors "/>
    <s v="Bachelors "/>
    <n v="0"/>
    <s v="30-39"/>
  </r>
  <r>
    <s v="111D-E5EF"/>
    <s v="Edna"/>
    <s v="Alison"/>
    <x v="2"/>
    <n v="37"/>
    <s v="Some Travel"/>
    <x v="2"/>
    <n v="3"/>
    <s v="IL"/>
    <s v="White"/>
    <n v="3"/>
    <s v="Computer Science"/>
    <x v="7"/>
    <s v="Divorced"/>
    <n v="48395"/>
    <n v="1"/>
    <x v="0"/>
    <d v="2012-01-15T00:00:00"/>
    <s v="No"/>
    <n v="10"/>
    <n v="2"/>
    <n v="2"/>
    <n v="4"/>
    <s v="Bachelors "/>
    <s v="Bachelors "/>
    <s v="Bachelors "/>
    <n v="0"/>
    <s v="30-39"/>
  </r>
  <r>
    <s v="97F4-0B14"/>
    <s v="Vernen"/>
    <s v="Powner"/>
    <x v="1"/>
    <n v="33"/>
    <s v="Some Travel"/>
    <x v="2"/>
    <n v="4"/>
    <s v="NY"/>
    <s v="Mixed or multiple ethnic groups"/>
    <n v="4"/>
    <s v="Other"/>
    <x v="8"/>
    <s v="Single"/>
    <n v="97126"/>
    <n v="0"/>
    <x v="0"/>
    <d v="2012-01-15T00:00:00"/>
    <s v="No"/>
    <n v="10"/>
    <n v="8"/>
    <n v="10"/>
    <n v="2"/>
    <s v="Masters "/>
    <s v="Masters "/>
    <s v="Masters "/>
    <n v="0"/>
    <s v="30-39"/>
  </r>
  <r>
    <s v="5C03-1009"/>
    <s v="Willetta"/>
    <s v="Lurriman"/>
    <x v="0"/>
    <n v="42"/>
    <s v="Some Travel"/>
    <x v="2"/>
    <n v="21"/>
    <s v="IL"/>
    <s v="Black or African American"/>
    <n v="3"/>
    <s v="Information Systems"/>
    <x v="2"/>
    <s v="Married"/>
    <n v="316208"/>
    <n v="1"/>
    <x v="0"/>
    <d v="2012-01-17T00:00:00"/>
    <s v="No"/>
    <n v="10"/>
    <n v="8"/>
    <n v="8"/>
    <n v="7"/>
    <s v="Bachelors "/>
    <s v="Bachelors "/>
    <s v="Bachelors "/>
    <n v="0"/>
    <s v="40-49"/>
  </r>
  <r>
    <s v="BD1B-53A3"/>
    <s v="Wendall"/>
    <s v="Dryden"/>
    <x v="1"/>
    <n v="43"/>
    <s v="Some Travel"/>
    <x v="0"/>
    <n v="27"/>
    <s v="CA"/>
    <s v="Mixed or multiple ethnic groups"/>
    <n v="3"/>
    <s v="Marketing"/>
    <x v="0"/>
    <s v="Single"/>
    <n v="128885"/>
    <n v="0"/>
    <x v="1"/>
    <d v="2012-01-17T00:00:00"/>
    <s v="No"/>
    <n v="10"/>
    <n v="1"/>
    <n v="10"/>
    <n v="2"/>
    <s v="Bachelors "/>
    <s v="Bachelors "/>
    <s v="Bachelors "/>
    <n v="0"/>
    <s v="40-49"/>
  </r>
  <r>
    <s v="DFA9-990E"/>
    <s v="Cale"/>
    <s v="Holston"/>
    <x v="1"/>
    <n v="43"/>
    <s v="No Travel "/>
    <x v="0"/>
    <n v="34"/>
    <s v="NY"/>
    <s v="White"/>
    <n v="4"/>
    <s v="Marketing "/>
    <x v="0"/>
    <s v="Married"/>
    <n v="108315"/>
    <n v="2"/>
    <x v="0"/>
    <d v="2012-01-17T00:00:00"/>
    <s v="No"/>
    <n v="10"/>
    <n v="9"/>
    <n v="10"/>
    <n v="10"/>
    <s v="Masters "/>
    <s v="Masters "/>
    <s v="Masters "/>
    <n v="0"/>
    <s v="40-49"/>
  </r>
  <r>
    <s v="ED73-F078"/>
    <s v="Ernaline"/>
    <s v="Napolione"/>
    <x v="0"/>
    <n v="45"/>
    <s v="Frequent Traveller"/>
    <x v="2"/>
    <n v="19"/>
    <s v="NY"/>
    <s v="Asian or Asian American"/>
    <n v="1"/>
    <s v="Computer Science"/>
    <x v="7"/>
    <s v="Married"/>
    <n v="136521"/>
    <n v="1"/>
    <x v="0"/>
    <d v="2012-01-18T00:00:00"/>
    <s v="No"/>
    <n v="10"/>
    <n v="3"/>
    <n v="6"/>
    <n v="1"/>
    <s v="No Formal Qualifications"/>
    <s v="No Formal Qualifications"/>
    <s v="No Formal Qualifications"/>
    <n v="0"/>
    <s v="40-49"/>
  </r>
  <r>
    <s v="C6EC-FEB5"/>
    <s v="Charlena"/>
    <s v="Severwright"/>
    <x v="0"/>
    <n v="38"/>
    <s v="Some Travel"/>
    <x v="0"/>
    <n v="1"/>
    <s v="CA"/>
    <s v="White"/>
    <n v="1"/>
    <s v="Economics"/>
    <x v="0"/>
    <s v="Single"/>
    <n v="151141"/>
    <n v="0"/>
    <x v="0"/>
    <d v="2012-01-19T00:00:00"/>
    <s v="No"/>
    <n v="10"/>
    <n v="3"/>
    <n v="6"/>
    <n v="9"/>
    <s v="No Formal Qualifications"/>
    <s v="No Formal Qualifications"/>
    <s v="No Formal Qualifications"/>
    <n v="0"/>
    <s v="30-39"/>
  </r>
  <r>
    <s v="D7EE-56FC"/>
    <s v="Zsa zsa"/>
    <s v="Evered"/>
    <x v="0"/>
    <n v="39"/>
    <s v="Frequent Traveller"/>
    <x v="0"/>
    <n v="17"/>
    <s v="CA"/>
    <s v="White"/>
    <n v="2"/>
    <s v="Technical Degree"/>
    <x v="0"/>
    <s v="Married"/>
    <n v="107863"/>
    <n v="1"/>
    <x v="1"/>
    <d v="2012-01-19T00:00:00"/>
    <s v="Yes"/>
    <n v="8"/>
    <n v="8"/>
    <n v="8"/>
    <n v="5"/>
    <s v="High School "/>
    <s v="High School "/>
    <s v="High School "/>
    <n v="1"/>
    <s v="30-39"/>
  </r>
  <r>
    <s v="C395-8C36"/>
    <s v="Curcio"/>
    <s v="Franek"/>
    <x v="1"/>
    <n v="33"/>
    <s v="Some Travel"/>
    <x v="1"/>
    <n v="3"/>
    <s v="CA"/>
    <s v="Mixed or multiple ethnic groups"/>
    <n v="1"/>
    <s v="Technical Degree"/>
    <x v="3"/>
    <s v="Divorced"/>
    <n v="53616"/>
    <n v="1"/>
    <x v="1"/>
    <d v="2012-01-19T00:00:00"/>
    <s v="No"/>
    <n v="10"/>
    <n v="2"/>
    <n v="3"/>
    <n v="7"/>
    <s v="No Formal Qualifications"/>
    <s v="No Formal Qualifications"/>
    <s v="No Formal Qualifications"/>
    <n v="0"/>
    <s v="30-39"/>
  </r>
  <r>
    <s v="E348-E12B"/>
    <s v="Burnaby"/>
    <s v="Guillet"/>
    <x v="1"/>
    <n v="36"/>
    <s v="No Travel "/>
    <x v="2"/>
    <n v="36"/>
    <s v="IL"/>
    <s v="White"/>
    <n v="2"/>
    <s v="Information Systems"/>
    <x v="7"/>
    <s v="Divorced"/>
    <n v="61298"/>
    <n v="1"/>
    <x v="1"/>
    <d v="2012-01-19T00:00:00"/>
    <s v="No"/>
    <n v="10"/>
    <n v="3"/>
    <n v="9"/>
    <n v="3"/>
    <s v="High School "/>
    <s v="High School "/>
    <s v="High School "/>
    <n v="0"/>
    <s v="30-39"/>
  </r>
  <r>
    <s v="B3AF-7E58"/>
    <s v="Elvira"/>
    <s v="Ianelli"/>
    <x v="0"/>
    <n v="45"/>
    <s v="Some Travel"/>
    <x v="1"/>
    <n v="34"/>
    <s v="NY"/>
    <s v="Black or African American"/>
    <n v="2"/>
    <s v="Human Resources"/>
    <x v="3"/>
    <s v="Divorced"/>
    <n v="54132"/>
    <n v="1"/>
    <x v="1"/>
    <d v="2012-01-20T00:00:00"/>
    <s v="No"/>
    <n v="10"/>
    <n v="10"/>
    <n v="10"/>
    <n v="10"/>
    <s v="High School "/>
    <s v="High School "/>
    <s v="High School "/>
    <n v="0"/>
    <s v="40-49"/>
  </r>
  <r>
    <s v="469A-8121"/>
    <s v="Baxie"/>
    <s v="Rising"/>
    <x v="1"/>
    <n v="30"/>
    <s v="Some Travel"/>
    <x v="2"/>
    <n v="36"/>
    <s v="CA"/>
    <s v="American Indian or Alaska Native"/>
    <n v="4"/>
    <s v="Information Systems"/>
    <x v="2"/>
    <s v="Married"/>
    <n v="328415"/>
    <n v="0"/>
    <x v="0"/>
    <d v="2012-01-20T00:00:00"/>
    <s v="No"/>
    <n v="10"/>
    <n v="1"/>
    <n v="10"/>
    <n v="1"/>
    <s v="Masters "/>
    <s v="Masters "/>
    <s v="Masters "/>
    <n v="0"/>
    <s v="30-39"/>
  </r>
  <r>
    <s v="9E22-6287"/>
    <s v="Gifford"/>
    <s v="Poynser"/>
    <x v="2"/>
    <n v="48"/>
    <s v="Some Travel"/>
    <x v="2"/>
    <n v="37"/>
    <s v="CA"/>
    <s v="White"/>
    <n v="3"/>
    <s v="Computer Science"/>
    <x v="5"/>
    <s v="Single"/>
    <n v="145337"/>
    <n v="0"/>
    <x v="0"/>
    <d v="2012-01-21T00:00:00"/>
    <s v="No"/>
    <n v="10"/>
    <n v="10"/>
    <n v="10"/>
    <n v="0"/>
    <s v="Bachelors "/>
    <s v="Bachelors "/>
    <s v="Bachelors "/>
    <n v="0"/>
    <s v="40-49"/>
  </r>
  <r>
    <s v="D5DA-363A"/>
    <s v="Rickey"/>
    <s v="Shere"/>
    <x v="1"/>
    <n v="33"/>
    <s v="Some Travel"/>
    <x v="0"/>
    <n v="41"/>
    <s v="CA"/>
    <s v="Asian or Asian American"/>
    <n v="2"/>
    <s v="Marketing"/>
    <x v="0"/>
    <s v="Married"/>
    <n v="71201"/>
    <n v="2"/>
    <x v="0"/>
    <d v="2012-01-24T00:00:00"/>
    <s v="No"/>
    <n v="10"/>
    <n v="8"/>
    <n v="10"/>
    <n v="4"/>
    <s v="High School "/>
    <s v="High School "/>
    <s v="High School "/>
    <n v="0"/>
    <s v="30-39"/>
  </r>
  <r>
    <s v="BFF3-AADC"/>
    <s v="Collen"/>
    <s v="Sedman"/>
    <x v="0"/>
    <n v="31"/>
    <s v="No Travel "/>
    <x v="1"/>
    <n v="25"/>
    <s v="NY"/>
    <s v="American Indian or Alaska Native"/>
    <n v="2"/>
    <s v="Marketing "/>
    <x v="3"/>
    <s v="Divorced"/>
    <n v="55682"/>
    <n v="1"/>
    <x v="0"/>
    <d v="2012-01-25T00:00:00"/>
    <s v="No"/>
    <n v="10"/>
    <n v="0"/>
    <n v="2"/>
    <n v="0"/>
    <s v="High School "/>
    <s v="High School "/>
    <s v="High School "/>
    <n v="0"/>
    <s v="30-39"/>
  </r>
  <r>
    <s v="C0BE-FED0"/>
    <s v="Bertram"/>
    <s v="Doleman"/>
    <x v="1"/>
    <n v="40"/>
    <s v="Some Travel"/>
    <x v="0"/>
    <n v="35"/>
    <s v="NY"/>
    <s v="White"/>
    <n v="2"/>
    <s v="Marketing"/>
    <x v="9"/>
    <s v="Married"/>
    <n v="63455"/>
    <n v="1"/>
    <x v="1"/>
    <d v="2012-01-26T00:00:00"/>
    <s v="No"/>
    <n v="10"/>
    <n v="4"/>
    <n v="8"/>
    <n v="7"/>
    <s v="High School "/>
    <s v="High School "/>
    <s v="High School "/>
    <n v="0"/>
    <s v="40-49"/>
  </r>
  <r>
    <s v="D565-284D"/>
    <s v="Bessie"/>
    <s v="Bellson"/>
    <x v="0"/>
    <n v="47"/>
    <s v="Frequent Traveller"/>
    <x v="0"/>
    <n v="21"/>
    <s v="CA"/>
    <s v="White"/>
    <n v="3"/>
    <s v="Economics"/>
    <x v="0"/>
    <s v="Single"/>
    <n v="65626"/>
    <n v="0"/>
    <x v="0"/>
    <d v="2012-01-27T00:00:00"/>
    <s v="No"/>
    <n v="10"/>
    <n v="2"/>
    <n v="5"/>
    <n v="1"/>
    <s v="Bachelors "/>
    <s v="Bachelors "/>
    <s v="Bachelors "/>
    <n v="0"/>
    <s v="40-49"/>
  </r>
  <r>
    <s v="00D4-DD53"/>
    <s v="Joyce"/>
    <s v="Goor"/>
    <x v="0"/>
    <n v="30"/>
    <s v="Frequent Traveller"/>
    <x v="2"/>
    <n v="44"/>
    <s v="CA"/>
    <s v="Black or African American"/>
    <n v="1"/>
    <s v="Computer Science"/>
    <x v="7"/>
    <s v="Single"/>
    <n v="68508"/>
    <n v="0"/>
    <x v="1"/>
    <d v="2012-01-28T00:00:00"/>
    <s v="Yes"/>
    <n v="5"/>
    <n v="4"/>
    <n v="4"/>
    <n v="4"/>
    <s v="No Formal Qualifications"/>
    <s v="No Formal Qualifications"/>
    <s v="No Formal Qualifications"/>
    <n v="1"/>
    <s v="30-39"/>
  </r>
  <r>
    <s v="7FFD-C810"/>
    <s v="Claresta"/>
    <s v="Impy"/>
    <x v="0"/>
    <n v="32"/>
    <s v="Some Travel"/>
    <x v="2"/>
    <n v="22"/>
    <s v="IL"/>
    <s v="White"/>
    <n v="2"/>
    <s v="Other"/>
    <x v="4"/>
    <s v="Married"/>
    <n v="75821"/>
    <n v="1"/>
    <x v="0"/>
    <d v="2012-01-30T00:00:00"/>
    <s v="No"/>
    <n v="10"/>
    <n v="1"/>
    <n v="5"/>
    <n v="1"/>
    <s v="High School "/>
    <s v="High School "/>
    <s v="High School "/>
    <n v="0"/>
    <s v="30-39"/>
  </r>
  <r>
    <s v="07B2-D67A"/>
    <s v="Rossie"/>
    <s v="Everleigh"/>
    <x v="1"/>
    <n v="44"/>
    <s v="Some Travel"/>
    <x v="0"/>
    <n v="40"/>
    <s v="NY"/>
    <s v="White"/>
    <n v="2"/>
    <s v="Economics"/>
    <x v="6"/>
    <s v="Divorced"/>
    <n v="285620"/>
    <n v="1"/>
    <x v="0"/>
    <d v="2012-01-30T00:00:00"/>
    <s v="No"/>
    <n v="10"/>
    <n v="6"/>
    <n v="8"/>
    <n v="4"/>
    <s v="High School "/>
    <s v="High School "/>
    <s v="High School "/>
    <n v="0"/>
    <s v="40-49"/>
  </r>
  <r>
    <s v="1749-81A2"/>
    <s v="Elora"/>
    <s v="Bentjens"/>
    <x v="0"/>
    <n v="48"/>
    <s v="Some Travel"/>
    <x v="2"/>
    <n v="17"/>
    <s v="CA"/>
    <s v="Black or African American"/>
    <n v="3"/>
    <s v="Information Systems"/>
    <x v="7"/>
    <s v="Single"/>
    <n v="65860"/>
    <n v="0"/>
    <x v="0"/>
    <d v="2012-02-01T00:00:00"/>
    <s v="No"/>
    <n v="10"/>
    <n v="6"/>
    <n v="7"/>
    <n v="1"/>
    <s v="Bachelors "/>
    <s v="Bachelors "/>
    <s v="Bachelors "/>
    <n v="0"/>
    <s v="40-49"/>
  </r>
  <r>
    <s v="FF14-A43E"/>
    <s v="Koenraad"/>
    <s v="Nannizzi"/>
    <x v="1"/>
    <n v="47"/>
    <s v="Some Travel"/>
    <x v="2"/>
    <n v="41"/>
    <s v="NY"/>
    <s v="American Indian or Alaska Native"/>
    <n v="1"/>
    <s v="Computer Science"/>
    <x v="4"/>
    <s v="Married"/>
    <n v="40786"/>
    <n v="0"/>
    <x v="0"/>
    <d v="2012-02-01T00:00:00"/>
    <s v="No"/>
    <n v="10"/>
    <n v="3"/>
    <n v="5"/>
    <n v="5"/>
    <s v="No Formal Qualifications"/>
    <s v="No Formal Qualifications"/>
    <s v="No Formal Qualifications"/>
    <n v="0"/>
    <s v="40-49"/>
  </r>
  <r>
    <s v="3CD6-5587"/>
    <s v="Dorise"/>
    <s v="Klishin"/>
    <x v="0"/>
    <n v="31"/>
    <s v="Some Travel"/>
    <x v="2"/>
    <n v="20"/>
    <s v="CA"/>
    <s v="White"/>
    <n v="2"/>
    <s v="Computer Science"/>
    <x v="7"/>
    <s v="Single"/>
    <n v="59697"/>
    <n v="0"/>
    <x v="1"/>
    <d v="2012-02-02T00:00:00"/>
    <s v="Yes"/>
    <n v="7"/>
    <n v="5"/>
    <n v="6"/>
    <n v="0"/>
    <s v="High School "/>
    <s v="High School "/>
    <s v="High School "/>
    <n v="1"/>
    <s v="30-39"/>
  </r>
  <r>
    <s v="4FC2-A40D"/>
    <s v="Gayle"/>
    <s v="Riseley"/>
    <x v="0"/>
    <n v="32"/>
    <s v="No Travel "/>
    <x v="2"/>
    <n v="12"/>
    <s v="NY"/>
    <s v="Black or African American"/>
    <n v="3"/>
    <s v="Computer Science"/>
    <x v="2"/>
    <s v="Married"/>
    <n v="316725"/>
    <n v="1"/>
    <x v="0"/>
    <d v="2012-02-02T00:00:00"/>
    <s v="No"/>
    <n v="10"/>
    <n v="6"/>
    <n v="10"/>
    <n v="2"/>
    <s v="Bachelors "/>
    <s v="Bachelors "/>
    <s v="Bachelors "/>
    <n v="0"/>
    <s v="30-39"/>
  </r>
  <r>
    <s v="9AAB-DCD0"/>
    <s v="Staci"/>
    <s v="Leith"/>
    <x v="0"/>
    <n v="28"/>
    <s v="Some Travel"/>
    <x v="2"/>
    <n v="14"/>
    <s v="IL"/>
    <s v="White"/>
    <n v="2"/>
    <s v="Business Studies"/>
    <x v="7"/>
    <s v="Divorced"/>
    <n v="105984"/>
    <n v="2"/>
    <x v="1"/>
    <d v="2012-02-04T00:00:00"/>
    <s v="No"/>
    <n v="10"/>
    <n v="7"/>
    <n v="9"/>
    <n v="10"/>
    <s v="High School "/>
    <s v="High School "/>
    <s v="High School "/>
    <n v="0"/>
    <s v="20-29"/>
  </r>
  <r>
    <s v="427A-8C69"/>
    <s v="Pasquale"/>
    <s v="Abreheart"/>
    <x v="1"/>
    <n v="32"/>
    <s v="Some Travel"/>
    <x v="2"/>
    <n v="15"/>
    <s v="CA"/>
    <s v="Mixed or multiple ethnic groups"/>
    <n v="3"/>
    <s v="Other"/>
    <x v="10"/>
    <s v="Married"/>
    <n v="393294"/>
    <n v="1"/>
    <x v="0"/>
    <d v="2012-02-04T00:00:00"/>
    <s v="No"/>
    <n v="10"/>
    <n v="2"/>
    <n v="2"/>
    <n v="2"/>
    <s v="Bachelors "/>
    <s v="Bachelors "/>
    <s v="Bachelors "/>
    <n v="0"/>
    <s v="30-39"/>
  </r>
  <r>
    <s v="A923-9EF6"/>
    <s v="Alaine"/>
    <s v="Hinrichsen"/>
    <x v="0"/>
    <n v="41"/>
    <s v="Frequent Traveller"/>
    <x v="2"/>
    <n v="7"/>
    <s v="CA"/>
    <s v="Black or African American"/>
    <n v="1"/>
    <s v="Business Studies"/>
    <x v="5"/>
    <s v="Single"/>
    <n v="107008"/>
    <n v="0"/>
    <x v="0"/>
    <d v="2012-02-05T00:00:00"/>
    <s v="No"/>
    <n v="10"/>
    <n v="9"/>
    <n v="10"/>
    <n v="9"/>
    <s v="No Formal Qualifications"/>
    <s v="No Formal Qualifications"/>
    <s v="No Formal Qualifications"/>
    <n v="0"/>
    <s v="40-49"/>
  </r>
  <r>
    <s v="5C61-8F3A"/>
    <s v="Dyana"/>
    <s v="Gallie"/>
    <x v="0"/>
    <n v="34"/>
    <s v="Some Travel"/>
    <x v="2"/>
    <n v="5"/>
    <s v="CA"/>
    <s v="White"/>
    <n v="1"/>
    <s v="Information Systems"/>
    <x v="4"/>
    <s v="Single"/>
    <n v="127432"/>
    <n v="0"/>
    <x v="1"/>
    <d v="2012-02-06T00:00:00"/>
    <s v="No"/>
    <n v="10"/>
    <n v="8"/>
    <n v="9"/>
    <n v="9"/>
    <s v="No Formal Qualifications"/>
    <s v="No Formal Qualifications"/>
    <s v="No Formal Qualifications"/>
    <n v="0"/>
    <s v="30-39"/>
  </r>
  <r>
    <s v="CF2F-8CA3"/>
    <s v="Lindy"/>
    <s v="Rawstorne"/>
    <x v="1"/>
    <n v="45"/>
    <s v="Some Travel"/>
    <x v="0"/>
    <n v="20"/>
    <s v="CA"/>
    <s v="White"/>
    <n v="2"/>
    <s v="Marketing "/>
    <x v="0"/>
    <s v="Married"/>
    <n v="76693"/>
    <n v="1"/>
    <x v="0"/>
    <d v="2012-02-06T00:00:00"/>
    <s v="No"/>
    <n v="10"/>
    <n v="2"/>
    <n v="9"/>
    <n v="10"/>
    <s v="High School "/>
    <s v="High School "/>
    <s v="High School "/>
    <n v="0"/>
    <s v="40-49"/>
  </r>
  <r>
    <s v="40A9-8EB0"/>
    <s v="Joannes"/>
    <s v="McFadden"/>
    <x v="0"/>
    <n v="39"/>
    <s v="Some Travel"/>
    <x v="2"/>
    <n v="31"/>
    <s v="CA"/>
    <s v="White"/>
    <n v="3"/>
    <s v="Information Systems"/>
    <x v="7"/>
    <s v="Single"/>
    <n v="90017"/>
    <n v="0"/>
    <x v="1"/>
    <d v="2012-02-07T00:00:00"/>
    <s v="No"/>
    <n v="10"/>
    <n v="7"/>
    <n v="7"/>
    <n v="3"/>
    <s v="Bachelors "/>
    <s v="Bachelors "/>
    <s v="Bachelors "/>
    <n v="0"/>
    <s v="30-39"/>
  </r>
  <r>
    <s v="2E72-4BF1"/>
    <s v="Grace"/>
    <s v="Gohier"/>
    <x v="1"/>
    <n v="44"/>
    <s v="Some Travel"/>
    <x v="0"/>
    <n v="21"/>
    <s v="CA"/>
    <s v="White"/>
    <n v="3"/>
    <s v="Marketing"/>
    <x v="6"/>
    <s v="Married"/>
    <n v="426142"/>
    <n v="0"/>
    <x v="0"/>
    <d v="2012-02-07T00:00:00"/>
    <s v="No"/>
    <n v="10"/>
    <n v="4"/>
    <n v="5"/>
    <n v="4"/>
    <s v="Bachelors "/>
    <s v="Bachelors "/>
    <s v="Bachelors "/>
    <n v="0"/>
    <s v="40-49"/>
  </r>
  <r>
    <s v="EE39-C8F2"/>
    <s v="Jaclin"/>
    <s v="Chadburn"/>
    <x v="0"/>
    <n v="47"/>
    <s v="Some Travel"/>
    <x v="2"/>
    <n v="17"/>
    <s v="NY"/>
    <s v="White"/>
    <n v="2"/>
    <s v="Computer Science"/>
    <x v="7"/>
    <s v="Married"/>
    <n v="46514"/>
    <n v="2"/>
    <x v="0"/>
    <d v="2012-02-12T00:00:00"/>
    <s v="No"/>
    <n v="10"/>
    <n v="9"/>
    <n v="9"/>
    <n v="2"/>
    <s v="High School "/>
    <s v="High School "/>
    <s v="High School "/>
    <n v="0"/>
    <s v="40-49"/>
  </r>
  <r>
    <s v="C0C7-A3EF"/>
    <s v="Hagen"/>
    <s v="Worge"/>
    <x v="1"/>
    <n v="48"/>
    <s v="No Travel "/>
    <x v="0"/>
    <n v="9"/>
    <s v="CA"/>
    <s v="White"/>
    <n v="5"/>
    <s v="Economics"/>
    <x v="0"/>
    <s v="Single"/>
    <n v="125587"/>
    <n v="0"/>
    <x v="0"/>
    <d v="2012-02-12T00:00:00"/>
    <s v="No"/>
    <n v="10"/>
    <n v="10"/>
    <n v="10"/>
    <n v="4"/>
    <s v="Doctorate"/>
    <s v="Doctorate"/>
    <s v="Doctorate"/>
    <n v="0"/>
    <s v="40-49"/>
  </r>
  <r>
    <s v="79F3-8AA5"/>
    <s v="Lacy"/>
    <s v="Domerc"/>
    <x v="0"/>
    <n v="47"/>
    <s v="Some Travel"/>
    <x v="1"/>
    <n v="21"/>
    <s v="NY"/>
    <s v="Mixed or multiple ethnic groups"/>
    <n v="3"/>
    <s v="Marketing "/>
    <x v="11"/>
    <s v="Single"/>
    <n v="98608"/>
    <n v="0"/>
    <x v="0"/>
    <d v="2012-02-14T00:00:00"/>
    <s v="No"/>
    <n v="10"/>
    <n v="5"/>
    <n v="10"/>
    <n v="4"/>
    <s v="Bachelors "/>
    <s v="Bachelors "/>
    <s v="Bachelors "/>
    <n v="0"/>
    <s v="40-49"/>
  </r>
  <r>
    <s v="9528-AA17"/>
    <s v="Jaquelin"/>
    <s v="Kite"/>
    <x v="0"/>
    <n v="48"/>
    <s v="Some Travel"/>
    <x v="2"/>
    <n v="30"/>
    <s v="NY"/>
    <s v="Black or African American"/>
    <n v="3"/>
    <s v="Information Systems"/>
    <x v="7"/>
    <s v="Married"/>
    <n v="72794"/>
    <n v="1"/>
    <x v="0"/>
    <d v="2012-02-14T00:00:00"/>
    <s v="No"/>
    <n v="10"/>
    <n v="4"/>
    <n v="5"/>
    <n v="3"/>
    <s v="Bachelors "/>
    <s v="Bachelors "/>
    <s v="Bachelors "/>
    <n v="0"/>
    <s v="40-49"/>
  </r>
  <r>
    <s v="9C71-34AE"/>
    <s v="Yvor"/>
    <s v="Walaron"/>
    <x v="2"/>
    <n v="40"/>
    <s v="Some Travel"/>
    <x v="2"/>
    <n v="44"/>
    <s v="CA"/>
    <s v="White"/>
    <n v="2"/>
    <s v="Computer Science"/>
    <x v="7"/>
    <s v="Single"/>
    <n v="69119"/>
    <n v="0"/>
    <x v="0"/>
    <d v="2012-02-15T00:00:00"/>
    <s v="No"/>
    <n v="10"/>
    <n v="8"/>
    <n v="10"/>
    <n v="5"/>
    <s v="High School "/>
    <s v="High School "/>
    <s v="High School "/>
    <n v="0"/>
    <s v="40-49"/>
  </r>
  <r>
    <s v="C79A-E5E1"/>
    <s v="Alvera"/>
    <s v="Kulver"/>
    <x v="0"/>
    <n v="32"/>
    <s v="Frequent Traveller"/>
    <x v="2"/>
    <n v="13"/>
    <s v="CA"/>
    <s v="White"/>
    <n v="1"/>
    <s v="Computer Science"/>
    <x v="4"/>
    <s v="Divorced"/>
    <n v="48835"/>
    <n v="1"/>
    <x v="1"/>
    <d v="2012-02-17T00:00:00"/>
    <s v="Yes"/>
    <n v="8"/>
    <n v="5"/>
    <n v="7"/>
    <n v="0"/>
    <s v="No Formal Qualifications"/>
    <s v="No Formal Qualifications"/>
    <s v="No Formal Qualifications"/>
    <n v="1"/>
    <s v="30-39"/>
  </r>
  <r>
    <s v="5468-EEE1"/>
    <s v="Forbes"/>
    <s v="Toretta"/>
    <x v="1"/>
    <n v="28"/>
    <s v="No Travel "/>
    <x v="2"/>
    <n v="44"/>
    <s v="NY"/>
    <s v="White"/>
    <n v="2"/>
    <s v="Computer Science"/>
    <x v="8"/>
    <s v="Married"/>
    <n v="218406"/>
    <n v="1"/>
    <x v="0"/>
    <d v="2012-02-17T00:00:00"/>
    <s v="No"/>
    <n v="10"/>
    <n v="10"/>
    <n v="10"/>
    <n v="10"/>
    <s v="High School "/>
    <s v="High School "/>
    <s v="High School "/>
    <n v="0"/>
    <s v="20-29"/>
  </r>
  <r>
    <s v="B50B-5A18"/>
    <s v="Paulina"/>
    <s v="Senecaut"/>
    <x v="0"/>
    <n v="40"/>
    <s v="Frequent Traveller"/>
    <x v="2"/>
    <n v="27"/>
    <s v="NY"/>
    <s v="Black or African American"/>
    <n v="4"/>
    <s v="Computer Science"/>
    <x v="7"/>
    <s v="Divorced"/>
    <n v="42333"/>
    <n v="1"/>
    <x v="0"/>
    <d v="2012-02-19T00:00:00"/>
    <s v="No"/>
    <n v="10"/>
    <n v="4"/>
    <n v="5"/>
    <n v="5"/>
    <s v="Masters "/>
    <s v="Masters "/>
    <s v="Masters "/>
    <n v="0"/>
    <s v="40-49"/>
  </r>
  <r>
    <s v="11AE-3E4D"/>
    <s v="Sheffie"/>
    <s v="Tonkin"/>
    <x v="1"/>
    <n v="39"/>
    <s v="Some Travel"/>
    <x v="0"/>
    <n v="38"/>
    <s v="CA"/>
    <s v="Mixed or multiple ethnic groups"/>
    <n v="2"/>
    <s v="Technical Degree"/>
    <x v="6"/>
    <s v="Married"/>
    <n v="300299"/>
    <n v="1"/>
    <x v="1"/>
    <d v="2012-02-19T00:00:00"/>
    <s v="No"/>
    <n v="10"/>
    <n v="7"/>
    <n v="7"/>
    <n v="10"/>
    <s v="High School "/>
    <s v="High School "/>
    <s v="High School "/>
    <n v="0"/>
    <s v="30-39"/>
  </r>
  <r>
    <s v="151D-1FF2"/>
    <s v="Kai"/>
    <s v="Lush"/>
    <x v="0"/>
    <n v="34"/>
    <s v="Frequent Traveller"/>
    <x v="0"/>
    <n v="15"/>
    <s v="CA"/>
    <s v="White"/>
    <n v="2"/>
    <s v="Marketing "/>
    <x v="0"/>
    <s v="Single"/>
    <n v="173246"/>
    <n v="0"/>
    <x v="1"/>
    <d v="2012-02-20T00:00:00"/>
    <s v="Yes"/>
    <n v="9"/>
    <n v="4"/>
    <n v="7"/>
    <n v="7"/>
    <s v="High School "/>
    <s v="High School "/>
    <s v="High School "/>
    <n v="1"/>
    <s v="30-39"/>
  </r>
  <r>
    <s v="D584-4E31"/>
    <s v="Patrica"/>
    <s v="Lamyman"/>
    <x v="0"/>
    <n v="35"/>
    <s v="Some Travel"/>
    <x v="1"/>
    <n v="22"/>
    <s v="CA"/>
    <s v="Mixed or multiple ethnic groups"/>
    <n v="1"/>
    <s v="Economics"/>
    <x v="3"/>
    <s v="Married"/>
    <n v="67264"/>
    <n v="0"/>
    <x v="0"/>
    <d v="2012-02-22T00:00:00"/>
    <s v="No"/>
    <n v="10"/>
    <n v="8"/>
    <n v="8"/>
    <n v="2"/>
    <s v="No Formal Qualifications"/>
    <s v="No Formal Qualifications"/>
    <s v="No Formal Qualifications"/>
    <n v="0"/>
    <s v="30-39"/>
  </r>
  <r>
    <s v="0FC8-561B"/>
    <s v="Caryl"/>
    <s v="Loving"/>
    <x v="1"/>
    <n v="29"/>
    <s v="Frequent Traveller"/>
    <x v="2"/>
    <n v="14"/>
    <s v="IL"/>
    <s v="Asian or Asian American"/>
    <n v="3"/>
    <s v="Computer Science"/>
    <x v="8"/>
    <s v="Married"/>
    <n v="93591"/>
    <n v="1"/>
    <x v="0"/>
    <d v="2012-02-22T00:00:00"/>
    <s v="No"/>
    <n v="10"/>
    <n v="4"/>
    <n v="10"/>
    <n v="3"/>
    <s v="Bachelors "/>
    <s v="Bachelors "/>
    <s v="Bachelors "/>
    <n v="0"/>
    <s v="20-29"/>
  </r>
  <r>
    <s v="A531-8159"/>
    <s v="Carlyn"/>
    <s v="Pavese"/>
    <x v="0"/>
    <n v="37"/>
    <s v="No Travel "/>
    <x v="2"/>
    <n v="16"/>
    <s v="NY"/>
    <s v="Mixed or multiple ethnic groups"/>
    <n v="3"/>
    <s v="Information Systems"/>
    <x v="4"/>
    <s v="Divorced"/>
    <n v="82099"/>
    <n v="2"/>
    <x v="0"/>
    <d v="2012-02-23T00:00:00"/>
    <s v="No"/>
    <n v="10"/>
    <n v="1"/>
    <n v="7"/>
    <n v="6"/>
    <s v="Bachelors "/>
    <s v="Bachelors "/>
    <s v="Bachelors "/>
    <n v="0"/>
    <s v="30-39"/>
  </r>
  <r>
    <s v="E7A6-33A3"/>
    <s v="Amye"/>
    <s v="Townes"/>
    <x v="0"/>
    <n v="38"/>
    <s v="Some Travel"/>
    <x v="2"/>
    <n v="39"/>
    <s v="IL"/>
    <s v="White"/>
    <n v="4"/>
    <s v="Information Systems"/>
    <x v="4"/>
    <s v="Married"/>
    <n v="83590"/>
    <n v="1"/>
    <x v="0"/>
    <d v="2012-02-23T00:00:00"/>
    <s v="No"/>
    <n v="10"/>
    <n v="2"/>
    <n v="3"/>
    <n v="9"/>
    <s v="Masters "/>
    <s v="Masters "/>
    <s v="Masters "/>
    <n v="0"/>
    <s v="30-39"/>
  </r>
  <r>
    <s v="E4F4-11B9"/>
    <s v="Susanne"/>
    <s v="Wisam"/>
    <x v="0"/>
    <n v="29"/>
    <s v="Some Travel"/>
    <x v="0"/>
    <n v="19"/>
    <s v="NY"/>
    <s v="White"/>
    <n v="2"/>
    <s v="Marketing "/>
    <x v="0"/>
    <s v="Single"/>
    <n v="122811"/>
    <n v="0"/>
    <x v="1"/>
    <d v="2012-02-27T00:00:00"/>
    <s v="Yes"/>
    <n v="2"/>
    <n v="1"/>
    <n v="1"/>
    <n v="1"/>
    <s v="High School "/>
    <s v="High School "/>
    <s v="High School "/>
    <n v="1"/>
    <s v="20-29"/>
  </r>
  <r>
    <s v="586E-5C14"/>
    <s v="Gunther"/>
    <s v="Keays"/>
    <x v="1"/>
    <n v="40"/>
    <s v="Some Travel"/>
    <x v="2"/>
    <n v="9"/>
    <s v="NY"/>
    <s v="Black or African American"/>
    <n v="1"/>
    <s v="Computer Science"/>
    <x v="7"/>
    <s v="Single"/>
    <n v="58551"/>
    <n v="0"/>
    <x v="0"/>
    <d v="2012-02-27T00:00:00"/>
    <s v="No"/>
    <n v="10"/>
    <n v="6"/>
    <n v="7"/>
    <n v="3"/>
    <s v="No Formal Qualifications"/>
    <s v="No Formal Qualifications"/>
    <s v="No Formal Qualifications"/>
    <n v="0"/>
    <s v="40-49"/>
  </r>
  <r>
    <s v="8A40-C85A"/>
    <s v="Reggie"/>
    <s v="Matthewman"/>
    <x v="0"/>
    <n v="44"/>
    <s v="Some Travel"/>
    <x v="2"/>
    <n v="28"/>
    <s v="CA"/>
    <s v="Black or African American"/>
    <n v="3"/>
    <s v="Information Systems"/>
    <x v="7"/>
    <s v="Married"/>
    <n v="53325"/>
    <n v="1"/>
    <x v="1"/>
    <d v="2012-02-28T00:00:00"/>
    <s v="No"/>
    <n v="10"/>
    <n v="4"/>
    <n v="8"/>
    <n v="4"/>
    <s v="Bachelors "/>
    <s v="Bachelors "/>
    <s v="Bachelors "/>
    <n v="0"/>
    <s v="40-49"/>
  </r>
  <r>
    <s v="2B08-7D3D"/>
    <s v="Roderic"/>
    <s v="Daddow"/>
    <x v="1"/>
    <n v="45"/>
    <s v="Some Travel"/>
    <x v="0"/>
    <n v="19"/>
    <s v="IL"/>
    <s v="White"/>
    <n v="4"/>
    <s v="Marketing "/>
    <x v="9"/>
    <s v="Married"/>
    <n v="47326"/>
    <n v="1"/>
    <x v="0"/>
    <d v="2012-02-29T00:00:00"/>
    <s v="No"/>
    <n v="10"/>
    <n v="10"/>
    <n v="10"/>
    <n v="10"/>
    <s v="Masters "/>
    <s v="Masters "/>
    <s v="Masters "/>
    <n v="0"/>
    <s v="40-49"/>
  </r>
  <r>
    <s v="C96F-0F3B"/>
    <s v="Jessa"/>
    <s v="Glasscoo"/>
    <x v="0"/>
    <n v="41"/>
    <s v="Some Travel"/>
    <x v="0"/>
    <n v="16"/>
    <s v="CA"/>
    <s v="White"/>
    <n v="1"/>
    <s v="Marketing "/>
    <x v="9"/>
    <s v="Married"/>
    <n v="48147"/>
    <n v="1"/>
    <x v="0"/>
    <d v="2012-03-01T00:00:00"/>
    <s v="No"/>
    <n v="10"/>
    <n v="8"/>
    <n v="10"/>
    <n v="5"/>
    <s v="No Formal Qualifications"/>
    <s v="No Formal Qualifications"/>
    <s v="No Formal Qualifications"/>
    <n v="0"/>
    <s v="40-49"/>
  </r>
  <r>
    <s v="9DFE-1FD5"/>
    <s v="Angel"/>
    <s v="Hazeup"/>
    <x v="1"/>
    <n v="42"/>
    <s v="Some Travel"/>
    <x v="1"/>
    <n v="4"/>
    <s v="IL"/>
    <s v="Black or African American"/>
    <n v="3"/>
    <s v="Human Resources"/>
    <x v="12"/>
    <s v="Married"/>
    <n v="463051"/>
    <n v="1"/>
    <x v="0"/>
    <d v="2012-03-01T00:00:00"/>
    <s v="No"/>
    <n v="10"/>
    <n v="0"/>
    <n v="10"/>
    <n v="7"/>
    <s v="Bachelors "/>
    <s v="Bachelors "/>
    <s v="Bachelors "/>
    <n v="0"/>
    <s v="40-49"/>
  </r>
  <r>
    <s v="C0A1-EB7D"/>
    <s v="Leona"/>
    <s v="McKnish"/>
    <x v="0"/>
    <n v="36"/>
    <s v="Some Travel"/>
    <x v="2"/>
    <n v="32"/>
    <s v="CA"/>
    <s v="Asian or Asian American"/>
    <n v="3"/>
    <s v="Computer Science"/>
    <x v="8"/>
    <s v="Married"/>
    <n v="111294"/>
    <n v="1"/>
    <x v="0"/>
    <d v="2012-03-02T00:00:00"/>
    <s v="No"/>
    <n v="10"/>
    <n v="8"/>
    <n v="8"/>
    <n v="10"/>
    <s v="Bachelors "/>
    <s v="Bachelors "/>
    <s v="Bachelors "/>
    <n v="0"/>
    <s v="30-39"/>
  </r>
  <r>
    <s v="5731-90E6"/>
    <s v="Leonidas"/>
    <s v="Clarke-Williams"/>
    <x v="2"/>
    <n v="35"/>
    <s v="No Travel "/>
    <x v="2"/>
    <n v="27"/>
    <s v="CA"/>
    <s v="Asian or Asian American"/>
    <n v="3"/>
    <s v="Computer Science"/>
    <x v="10"/>
    <s v="Single"/>
    <n v="542695"/>
    <n v="0"/>
    <x v="0"/>
    <d v="2012-03-02T00:00:00"/>
    <s v="No"/>
    <n v="10"/>
    <n v="5"/>
    <n v="5"/>
    <n v="1"/>
    <s v="Bachelors "/>
    <s v="Bachelors "/>
    <s v="Bachelors "/>
    <n v="0"/>
    <s v="30-39"/>
  </r>
  <r>
    <s v="FD3F-5255"/>
    <s v="Quintilla"/>
    <s v="Wyllt"/>
    <x v="0"/>
    <n v="45"/>
    <s v="Some Travel"/>
    <x v="2"/>
    <n v="2"/>
    <s v="IL"/>
    <s v="White"/>
    <n v="1"/>
    <s v="Information Systems"/>
    <x v="4"/>
    <s v="Divorced"/>
    <n v="64795"/>
    <n v="3"/>
    <x v="1"/>
    <d v="2012-03-03T00:00:00"/>
    <s v="No"/>
    <n v="10"/>
    <n v="5"/>
    <n v="8"/>
    <n v="10"/>
    <s v="No Formal Qualifications"/>
    <s v="No Formal Qualifications"/>
    <s v="No Formal Qualifications"/>
    <n v="0"/>
    <s v="40-49"/>
  </r>
  <r>
    <s v="132B-F2B2"/>
    <s v="Erica"/>
    <s v="Dracksford"/>
    <x v="0"/>
    <n v="35"/>
    <s v="Some Travel"/>
    <x v="2"/>
    <n v="36"/>
    <s v="CA"/>
    <s v="White"/>
    <n v="4"/>
    <s v="Computer Science"/>
    <x v="7"/>
    <s v="Married"/>
    <n v="59086"/>
    <n v="1"/>
    <x v="1"/>
    <d v="2012-03-04T00:00:00"/>
    <s v="No"/>
    <n v="10"/>
    <n v="2"/>
    <n v="8"/>
    <n v="4"/>
    <s v="Masters "/>
    <s v="Masters "/>
    <s v="Masters "/>
    <n v="0"/>
    <s v="30-39"/>
  </r>
  <r>
    <s v="9DB2-76B3"/>
    <s v="Buck"/>
    <s v="Klawi"/>
    <x v="1"/>
    <n v="41"/>
    <s v="Some Travel"/>
    <x v="0"/>
    <n v="17"/>
    <s v="NY"/>
    <s v="White"/>
    <n v="3"/>
    <s v="Economics"/>
    <x v="0"/>
    <s v="Married"/>
    <n v="116966"/>
    <n v="2"/>
    <x v="0"/>
    <d v="2012-03-04T00:00:00"/>
    <s v="No"/>
    <n v="10"/>
    <n v="4"/>
    <n v="10"/>
    <n v="7"/>
    <s v="Bachelors "/>
    <s v="Bachelors "/>
    <s v="Bachelors "/>
    <n v="0"/>
    <s v="40-49"/>
  </r>
  <r>
    <s v="4969-9A35"/>
    <s v="Thekla"/>
    <s v="Flintuff"/>
    <x v="2"/>
    <n v="39"/>
    <s v="Frequent Traveller"/>
    <x v="2"/>
    <n v="8"/>
    <s v="CA"/>
    <s v="Asian or Asian American"/>
    <n v="4"/>
    <s v="Information Systems"/>
    <x v="7"/>
    <s v="Single"/>
    <n v="137427"/>
    <n v="0"/>
    <x v="1"/>
    <d v="2012-03-04T00:00:00"/>
    <s v="No"/>
    <n v="10"/>
    <n v="9"/>
    <n v="10"/>
    <n v="8"/>
    <s v="Masters "/>
    <s v="Masters "/>
    <s v="Masters "/>
    <n v="0"/>
    <s v="30-39"/>
  </r>
  <r>
    <s v="0CED-EE28"/>
    <s v="Ruthy"/>
    <s v="Pena"/>
    <x v="0"/>
    <n v="48"/>
    <s v="Some Travel"/>
    <x v="2"/>
    <n v="25"/>
    <s v="CA"/>
    <s v="White"/>
    <n v="1"/>
    <s v="Computer Science"/>
    <x v="4"/>
    <s v="Married"/>
    <n v="47464"/>
    <n v="0"/>
    <x v="0"/>
    <d v="2012-03-06T00:00:00"/>
    <s v="No"/>
    <n v="10"/>
    <n v="4"/>
    <n v="8"/>
    <n v="10"/>
    <s v="No Formal Qualifications"/>
    <s v="No Formal Qualifications"/>
    <s v="No Formal Qualifications"/>
    <n v="0"/>
    <s v="40-49"/>
  </r>
  <r>
    <s v="D077-169C"/>
    <s v="Gustavo"/>
    <s v="Chatel"/>
    <x v="1"/>
    <n v="46"/>
    <s v="Some Travel"/>
    <x v="0"/>
    <n v="20"/>
    <s v="CA"/>
    <s v="Black or African American"/>
    <n v="2"/>
    <s v="Technical Degree"/>
    <x v="0"/>
    <s v="Married"/>
    <n v="150731"/>
    <n v="2"/>
    <x v="0"/>
    <d v="2012-03-06T00:00:00"/>
    <s v="No"/>
    <n v="10"/>
    <n v="8"/>
    <n v="9"/>
    <n v="3"/>
    <s v="High School "/>
    <s v="High School "/>
    <s v="High School "/>
    <n v="0"/>
    <s v="40-49"/>
  </r>
  <r>
    <s v="63DA-AA21"/>
    <s v="Diannne"/>
    <s v="Choules"/>
    <x v="0"/>
    <n v="43"/>
    <s v="Some Travel"/>
    <x v="2"/>
    <n v="35"/>
    <s v="CA"/>
    <s v="White"/>
    <n v="3"/>
    <s v="Computer Science"/>
    <x v="2"/>
    <s v="Divorced"/>
    <n v="436813"/>
    <n v="2"/>
    <x v="0"/>
    <d v="2012-03-07T00:00:00"/>
    <s v="No"/>
    <n v="10"/>
    <n v="8"/>
    <n v="9"/>
    <n v="7"/>
    <s v="Bachelors "/>
    <s v="Bachelors "/>
    <s v="Bachelors "/>
    <n v="0"/>
    <s v="40-49"/>
  </r>
  <r>
    <s v="ACA9-5DC2"/>
    <s v="Mireielle"/>
    <s v="Chstney"/>
    <x v="0"/>
    <n v="46"/>
    <s v="Frequent Traveller"/>
    <x v="0"/>
    <n v="14"/>
    <s v="NY"/>
    <s v="White"/>
    <n v="1"/>
    <s v="Economics"/>
    <x v="0"/>
    <s v="Married"/>
    <n v="205159"/>
    <n v="1"/>
    <x v="0"/>
    <d v="2012-03-07T00:00:00"/>
    <s v="No"/>
    <n v="10"/>
    <n v="1"/>
    <n v="9"/>
    <n v="6"/>
    <s v="No Formal Qualifications"/>
    <s v="No Formal Qualifications"/>
    <s v="No Formal Qualifications"/>
    <n v="0"/>
    <s v="40-49"/>
  </r>
  <r>
    <s v="12B5-11CC"/>
    <s v="Vitoria"/>
    <s v="MacVaugh"/>
    <x v="0"/>
    <n v="30"/>
    <s v="Some Travel"/>
    <x v="2"/>
    <n v="8"/>
    <s v="IL"/>
    <s v="White"/>
    <n v="3"/>
    <s v="Information Systems"/>
    <x v="7"/>
    <s v="Married"/>
    <n v="70771"/>
    <n v="1"/>
    <x v="0"/>
    <d v="2012-03-08T00:00:00"/>
    <s v="No"/>
    <n v="10"/>
    <n v="9"/>
    <n v="9"/>
    <n v="2"/>
    <s v="Bachelors "/>
    <s v="Bachelors "/>
    <s v="Bachelors "/>
    <n v="0"/>
    <s v="30-39"/>
  </r>
  <r>
    <s v="00A3-2445"/>
    <s v="Wyatt"/>
    <s v="Ziehm"/>
    <x v="1"/>
    <n v="30"/>
    <s v="Some Travel"/>
    <x v="2"/>
    <n v="6"/>
    <s v="CA"/>
    <s v="Black or African American"/>
    <n v="2"/>
    <s v="Computer Science"/>
    <x v="5"/>
    <s v="Married"/>
    <n v="126238"/>
    <n v="0"/>
    <x v="0"/>
    <d v="2012-03-08T00:00:00"/>
    <s v="No"/>
    <n v="10"/>
    <n v="3"/>
    <n v="6"/>
    <n v="6"/>
    <s v="High School "/>
    <s v="High School "/>
    <s v="High School "/>
    <n v="0"/>
    <s v="30-39"/>
  </r>
  <r>
    <s v="076F-8AA3"/>
    <s v="Reese"/>
    <s v="Dibbert"/>
    <x v="1"/>
    <n v="39"/>
    <s v="Some Travel"/>
    <x v="2"/>
    <n v="5"/>
    <s v="CA"/>
    <s v="White"/>
    <n v="2"/>
    <s v="Computer Science"/>
    <x v="4"/>
    <s v="Single"/>
    <n v="58685"/>
    <n v="0"/>
    <x v="0"/>
    <d v="2012-03-08T00:00:00"/>
    <s v="Yes"/>
    <n v="9"/>
    <n v="6"/>
    <n v="6"/>
    <n v="2"/>
    <s v="High School "/>
    <s v="High School "/>
    <s v="High School "/>
    <n v="1"/>
    <s v="30-39"/>
  </r>
  <r>
    <s v="3F19-FC5A"/>
    <s v="Hy"/>
    <s v="Trevance"/>
    <x v="1"/>
    <n v="35"/>
    <s v="Some Travel"/>
    <x v="0"/>
    <n v="29"/>
    <s v="NY"/>
    <s v="White"/>
    <n v="5"/>
    <s v="Marketing"/>
    <x v="0"/>
    <s v="Divorced"/>
    <n v="182764"/>
    <n v="2"/>
    <x v="1"/>
    <d v="2012-03-10T00:00:00"/>
    <s v="No"/>
    <n v="10"/>
    <n v="7"/>
    <n v="9"/>
    <n v="9"/>
    <s v="Doctorate"/>
    <s v="Doctorate"/>
    <s v="Doctorate"/>
    <n v="0"/>
    <s v="30-39"/>
  </r>
  <r>
    <s v="8233-2483"/>
    <s v="Sheba"/>
    <s v="McCromley"/>
    <x v="0"/>
    <n v="35"/>
    <s v="Some Travel"/>
    <x v="1"/>
    <n v="7"/>
    <s v="CA"/>
    <s v="Mixed or multiple ethnic groups"/>
    <n v="3"/>
    <s v="Marketing "/>
    <x v="3"/>
    <s v="Divorced"/>
    <n v="47995"/>
    <n v="3"/>
    <x v="1"/>
    <d v="2012-03-12T00:00:00"/>
    <s v="No"/>
    <n v="10"/>
    <n v="5"/>
    <n v="6"/>
    <n v="3"/>
    <s v="Bachelors "/>
    <s v="Bachelors "/>
    <s v="Bachelors "/>
    <n v="0"/>
    <s v="30-39"/>
  </r>
  <r>
    <s v="1C87-44CB"/>
    <s v="Darlene"/>
    <s v="Mansbridge"/>
    <x v="0"/>
    <n v="28"/>
    <s v="Frequent Traveller"/>
    <x v="2"/>
    <n v="9"/>
    <s v="CA"/>
    <s v="Black or African American"/>
    <n v="3"/>
    <s v="Computer Science"/>
    <x v="7"/>
    <s v="Married"/>
    <n v="48930"/>
    <n v="1"/>
    <x v="1"/>
    <d v="2012-03-14T00:00:00"/>
    <s v="Yes"/>
    <n v="7"/>
    <n v="4"/>
    <n v="6"/>
    <n v="2"/>
    <s v="Bachelors "/>
    <s v="Bachelors "/>
    <s v="Bachelors "/>
    <n v="1"/>
    <s v="20-29"/>
  </r>
  <r>
    <s v="6345-2F33"/>
    <s v="Ignacius"/>
    <s v="Streeter"/>
    <x v="2"/>
    <n v="46"/>
    <s v="Some Travel"/>
    <x v="2"/>
    <n v="36"/>
    <s v="NY"/>
    <s v="Black or African American"/>
    <n v="2"/>
    <s v="Computer Science"/>
    <x v="5"/>
    <s v="Married"/>
    <n v="102964"/>
    <n v="2"/>
    <x v="0"/>
    <d v="2012-03-17T00:00:00"/>
    <s v="No"/>
    <n v="10"/>
    <n v="10"/>
    <n v="10"/>
    <n v="2"/>
    <s v="High School "/>
    <s v="High School "/>
    <s v="High School "/>
    <n v="0"/>
    <s v="40-49"/>
  </r>
  <r>
    <s v="A2FB-2D5D"/>
    <s v="Lebbie"/>
    <s v="Poure"/>
    <x v="0"/>
    <n v="43"/>
    <s v="Some Travel"/>
    <x v="2"/>
    <n v="11"/>
    <s v="CA"/>
    <s v="White"/>
    <n v="5"/>
    <s v="Information Systems"/>
    <x v="10"/>
    <s v="Married"/>
    <n v="482510"/>
    <n v="1"/>
    <x v="0"/>
    <d v="2012-03-17T00:00:00"/>
    <s v="No"/>
    <n v="10"/>
    <n v="9"/>
    <n v="9"/>
    <n v="1"/>
    <s v="Doctorate"/>
    <s v="Doctorate"/>
    <s v="Doctorate"/>
    <n v="0"/>
    <s v="40-49"/>
  </r>
  <r>
    <s v="E5C1-B122"/>
    <s v="Camila"/>
    <s v="Hernik"/>
    <x v="0"/>
    <n v="36"/>
    <s v="No Travel "/>
    <x v="0"/>
    <n v="33"/>
    <s v="NY"/>
    <s v="Asian or Asian American"/>
    <n v="4"/>
    <s v="Marketing"/>
    <x v="0"/>
    <s v="Married"/>
    <n v="116057"/>
    <n v="1"/>
    <x v="0"/>
    <d v="2012-03-19T00:00:00"/>
    <s v="No"/>
    <n v="10"/>
    <n v="2"/>
    <n v="10"/>
    <n v="2"/>
    <s v="Masters "/>
    <s v="Masters "/>
    <s v="Masters "/>
    <n v="0"/>
    <s v="30-39"/>
  </r>
  <r>
    <s v="462E-03DF"/>
    <s v="Muffin"/>
    <s v="Ellcome"/>
    <x v="0"/>
    <n v="45"/>
    <s v="Some Travel"/>
    <x v="2"/>
    <n v="20"/>
    <s v="NY"/>
    <s v="White"/>
    <n v="1"/>
    <s v="Computer Science"/>
    <x v="7"/>
    <s v="Married"/>
    <n v="90264"/>
    <n v="0"/>
    <x v="1"/>
    <d v="2012-03-19T00:00:00"/>
    <s v="No"/>
    <n v="10"/>
    <n v="2"/>
    <n v="4"/>
    <n v="4"/>
    <s v="No Formal Qualifications"/>
    <s v="No Formal Qualifications"/>
    <s v="No Formal Qualifications"/>
    <n v="0"/>
    <s v="40-49"/>
  </r>
  <r>
    <s v="C2DD-9D37"/>
    <s v="Ring"/>
    <s v="Genge"/>
    <x v="1"/>
    <n v="42"/>
    <s v="Some Travel"/>
    <x v="0"/>
    <n v="16"/>
    <s v="IL"/>
    <s v="Asian or Asian American"/>
    <n v="4"/>
    <s v="Marketing "/>
    <x v="0"/>
    <s v="Married"/>
    <n v="106277"/>
    <n v="2"/>
    <x v="0"/>
    <d v="2012-03-19T00:00:00"/>
    <s v="No"/>
    <n v="10"/>
    <n v="0"/>
    <n v="5"/>
    <n v="5"/>
    <s v="Masters "/>
    <s v="Masters "/>
    <s v="Masters "/>
    <n v="0"/>
    <s v="40-49"/>
  </r>
  <r>
    <s v="AEDB-BB62"/>
    <s v="Munmro"/>
    <s v="Ledamun"/>
    <x v="1"/>
    <n v="39"/>
    <s v="Some Travel"/>
    <x v="2"/>
    <n v="34"/>
    <s v="CA"/>
    <s v="Mixed or multiple ethnic groups"/>
    <n v="1"/>
    <s v="Computer Science"/>
    <x v="5"/>
    <s v="Divorced"/>
    <n v="264285"/>
    <n v="1"/>
    <x v="0"/>
    <d v="2012-03-23T00:00:00"/>
    <s v="No"/>
    <n v="10"/>
    <n v="10"/>
    <n v="10"/>
    <n v="1"/>
    <s v="No Formal Qualifications"/>
    <s v="No Formal Qualifications"/>
    <s v="No Formal Qualifications"/>
    <n v="0"/>
    <s v="30-39"/>
  </r>
  <r>
    <s v="88B8-EB84"/>
    <s v="Crystal"/>
    <s v="McLleese"/>
    <x v="0"/>
    <n v="34"/>
    <s v="Some Travel"/>
    <x v="2"/>
    <n v="41"/>
    <s v="CA"/>
    <s v="Black or African American"/>
    <n v="2"/>
    <s v="Information Systems"/>
    <x v="2"/>
    <s v="Divorced"/>
    <n v="357371"/>
    <n v="1"/>
    <x v="0"/>
    <d v="2012-03-24T00:00:00"/>
    <s v="No"/>
    <n v="10"/>
    <n v="9"/>
    <n v="9"/>
    <n v="3"/>
    <s v="High School "/>
    <s v="High School "/>
    <s v="High School "/>
    <n v="0"/>
    <s v="30-39"/>
  </r>
  <r>
    <s v="8822-B9C5"/>
    <s v="Amity"/>
    <s v="Kalisz"/>
    <x v="0"/>
    <n v="41"/>
    <s v="Some Travel"/>
    <x v="2"/>
    <n v="9"/>
    <s v="CA"/>
    <s v="Black or African American"/>
    <n v="3"/>
    <s v="Computer Science"/>
    <x v="5"/>
    <s v="Single"/>
    <n v="197592"/>
    <n v="0"/>
    <x v="1"/>
    <d v="2012-03-24T00:00:00"/>
    <s v="No"/>
    <n v="10"/>
    <n v="5"/>
    <n v="10"/>
    <n v="0"/>
    <s v="Bachelors "/>
    <s v="Bachelors "/>
    <s v="Bachelors "/>
    <n v="0"/>
    <s v="40-49"/>
  </r>
  <r>
    <s v="E8F5-C47D"/>
    <s v="Jayne"/>
    <s v="Mickleburgh"/>
    <x v="0"/>
    <n v="30"/>
    <s v="Some Travel"/>
    <x v="1"/>
    <n v="19"/>
    <s v="NY"/>
    <s v="Mixed or multiple ethnic groups"/>
    <n v="3"/>
    <s v="Human Resources"/>
    <x v="11"/>
    <s v="Married"/>
    <n v="97153"/>
    <n v="1"/>
    <x v="0"/>
    <d v="2012-03-25T00:00:00"/>
    <s v="No"/>
    <n v="10"/>
    <n v="5"/>
    <n v="6"/>
    <n v="9"/>
    <s v="Bachelors "/>
    <s v="Bachelors "/>
    <s v="Bachelors "/>
    <n v="0"/>
    <s v="30-39"/>
  </r>
  <r>
    <s v="D696-9D82"/>
    <s v="Eberto"/>
    <s v="Flaherty"/>
    <x v="1"/>
    <n v="38"/>
    <s v="Some Travel"/>
    <x v="2"/>
    <n v="39"/>
    <s v="NY"/>
    <s v="White"/>
    <n v="3"/>
    <s v="Computer Science"/>
    <x v="4"/>
    <s v="Single"/>
    <n v="65416"/>
    <n v="0"/>
    <x v="0"/>
    <d v="2012-03-25T00:00:00"/>
    <s v="No"/>
    <n v="10"/>
    <n v="5"/>
    <n v="10"/>
    <n v="7"/>
    <s v="Bachelors "/>
    <s v="Bachelors "/>
    <s v="Bachelors "/>
    <n v="0"/>
    <s v="30-39"/>
  </r>
  <r>
    <s v="BE93-0736"/>
    <s v="Lucas"/>
    <s v="Oran"/>
    <x v="1"/>
    <n v="35"/>
    <s v="No Travel "/>
    <x v="2"/>
    <n v="17"/>
    <s v="CA"/>
    <s v="Asian or Asian American"/>
    <n v="2"/>
    <s v="Computer Science"/>
    <x v="8"/>
    <s v="Divorced"/>
    <n v="117151"/>
    <n v="1"/>
    <x v="0"/>
    <d v="2012-03-26T00:00:00"/>
    <s v="No"/>
    <n v="10"/>
    <n v="3"/>
    <n v="7"/>
    <n v="6"/>
    <s v="High School "/>
    <s v="High School "/>
    <s v="High School "/>
    <n v="0"/>
    <s v="30-39"/>
  </r>
  <r>
    <s v="0322-D46B"/>
    <s v="Nikolas"/>
    <s v="Leslie"/>
    <x v="1"/>
    <n v="32"/>
    <s v="Some Travel"/>
    <x v="0"/>
    <n v="39"/>
    <s v="CA"/>
    <s v="Black or African American"/>
    <n v="4"/>
    <s v="Marketing "/>
    <x v="0"/>
    <s v="Married"/>
    <n v="105748"/>
    <n v="2"/>
    <x v="0"/>
    <d v="2012-03-28T00:00:00"/>
    <s v="No"/>
    <n v="10"/>
    <n v="0"/>
    <n v="1"/>
    <n v="8"/>
    <s v="Masters "/>
    <s v="Masters "/>
    <s v="Masters "/>
    <n v="0"/>
    <s v="30-39"/>
  </r>
  <r>
    <s v="1E61-70EC"/>
    <s v="Addison"/>
    <s v="Elfe"/>
    <x v="1"/>
    <n v="46"/>
    <s v="Some Travel"/>
    <x v="2"/>
    <n v="11"/>
    <s v="CA"/>
    <s v="Black or African American"/>
    <n v="4"/>
    <s v="Information Systems"/>
    <x v="7"/>
    <s v="Married"/>
    <n v="56608"/>
    <n v="3"/>
    <x v="1"/>
    <d v="2012-03-31T00:00:00"/>
    <s v="No"/>
    <n v="10"/>
    <n v="3"/>
    <n v="5"/>
    <n v="9"/>
    <s v="Masters "/>
    <s v="Masters "/>
    <s v="Masters "/>
    <n v="0"/>
    <s v="40-49"/>
  </r>
  <r>
    <s v="5222-EBE1"/>
    <s v="Saxe"/>
    <s v="Theodoris"/>
    <x v="1"/>
    <n v="30"/>
    <s v="Some Travel"/>
    <x v="2"/>
    <n v="14"/>
    <s v="CA"/>
    <s v="Asian or Asian American"/>
    <n v="4"/>
    <s v="Computer Science"/>
    <x v="5"/>
    <s v="Married"/>
    <n v="194823"/>
    <n v="1"/>
    <x v="0"/>
    <d v="2012-04-01T00:00:00"/>
    <s v="No"/>
    <n v="10"/>
    <n v="4"/>
    <n v="9"/>
    <n v="8"/>
    <s v="Masters "/>
    <s v="Masters "/>
    <s v="Masters "/>
    <n v="0"/>
    <s v="30-39"/>
  </r>
  <r>
    <s v="DEBE-1622"/>
    <s v="Bartolemo"/>
    <s v="Balma"/>
    <x v="1"/>
    <n v="28"/>
    <s v="Frequent Traveller"/>
    <x v="2"/>
    <n v="22"/>
    <s v="CA"/>
    <s v="White"/>
    <n v="5"/>
    <s v="Computer Science"/>
    <x v="5"/>
    <s v="Single"/>
    <n v="205433"/>
    <n v="0"/>
    <x v="0"/>
    <d v="2012-04-02T00:00:00"/>
    <s v="Yes"/>
    <n v="4"/>
    <n v="1"/>
    <n v="2"/>
    <n v="1"/>
    <s v="Doctorate"/>
    <s v="Doctorate"/>
    <s v="Doctorate"/>
    <n v="1"/>
    <s v="20-29"/>
  </r>
  <r>
    <s v="A366-C17A"/>
    <s v="Jodie"/>
    <s v="Le Breton De La Vieuville"/>
    <x v="1"/>
    <n v="42"/>
    <s v="Some Travel"/>
    <x v="2"/>
    <n v="34"/>
    <s v="NY"/>
    <s v="White"/>
    <n v="4"/>
    <s v="Business Studies"/>
    <x v="5"/>
    <s v="Divorced"/>
    <n v="126463"/>
    <n v="1"/>
    <x v="0"/>
    <d v="2012-04-04T00:00:00"/>
    <s v="No"/>
    <n v="10"/>
    <n v="0"/>
    <n v="1"/>
    <n v="8"/>
    <s v="Masters "/>
    <s v="Masters "/>
    <s v="Masters "/>
    <n v="0"/>
    <s v="40-49"/>
  </r>
  <r>
    <s v="2962-039F"/>
    <s v="Darice"/>
    <s v="Excell"/>
    <x v="0"/>
    <n v="47"/>
    <s v="Some Travel"/>
    <x v="2"/>
    <n v="5"/>
    <s v="NY"/>
    <s v="Mixed or multiple ethnic groups"/>
    <n v="5"/>
    <s v="Information Systems"/>
    <x v="4"/>
    <s v="Single"/>
    <n v="133616"/>
    <n v="0"/>
    <x v="1"/>
    <d v="2012-04-06T00:00:00"/>
    <s v="No"/>
    <n v="10"/>
    <n v="9"/>
    <n v="9"/>
    <n v="0"/>
    <s v="Doctorate"/>
    <s v="Doctorate"/>
    <s v="Doctorate"/>
    <n v="0"/>
    <s v="40-49"/>
  </r>
  <r>
    <s v="21CB-EF3E"/>
    <s v="Eleanora"/>
    <s v="Thornbarrow"/>
    <x v="0"/>
    <n v="36"/>
    <s v="Some Travel"/>
    <x v="2"/>
    <n v="4"/>
    <s v="CA"/>
    <s v="White"/>
    <n v="3"/>
    <s v="Information Systems"/>
    <x v="8"/>
    <s v="Single"/>
    <n v="208338"/>
    <n v="0"/>
    <x v="0"/>
    <d v="2012-04-07T00:00:00"/>
    <s v="No"/>
    <n v="10"/>
    <n v="10"/>
    <n v="10"/>
    <n v="1"/>
    <s v="Bachelors "/>
    <s v="Bachelors "/>
    <s v="Bachelors "/>
    <n v="0"/>
    <s v="30-39"/>
  </r>
  <r>
    <s v="9727-BC84"/>
    <s v="Murdock"/>
    <s v="Spaduzza"/>
    <x v="1"/>
    <n v="31"/>
    <s v="Some Travel"/>
    <x v="0"/>
    <n v="15"/>
    <s v="CA"/>
    <s v="White"/>
    <n v="3"/>
    <s v="Marketing"/>
    <x v="0"/>
    <s v="Married"/>
    <n v="187930"/>
    <n v="3"/>
    <x v="0"/>
    <d v="2012-04-07T00:00:00"/>
    <s v="Yes"/>
    <n v="3"/>
    <n v="2"/>
    <n v="2"/>
    <n v="0"/>
    <s v="Bachelors "/>
    <s v="Bachelors "/>
    <s v="Bachelors "/>
    <n v="1"/>
    <s v="30-39"/>
  </r>
  <r>
    <s v="68FB-06A7"/>
    <s v="Elle"/>
    <s v="Balcombe"/>
    <x v="0"/>
    <n v="43"/>
    <s v="Frequent Traveller"/>
    <x v="0"/>
    <n v="1"/>
    <s v="NY"/>
    <s v="Mixed or multiple ethnic groups"/>
    <n v="3"/>
    <s v="Marketing"/>
    <x v="0"/>
    <s v="Single"/>
    <n v="180996"/>
    <n v="0"/>
    <x v="0"/>
    <d v="2012-04-10T00:00:00"/>
    <s v="No"/>
    <n v="10"/>
    <n v="8"/>
    <n v="10"/>
    <n v="9"/>
    <s v="Bachelors "/>
    <s v="Bachelors "/>
    <s v="Bachelors "/>
    <n v="0"/>
    <s v="40-49"/>
  </r>
  <r>
    <s v="74F2-5C55"/>
    <s v="Skipper"/>
    <s v="Sambles"/>
    <x v="1"/>
    <n v="47"/>
    <s v="Some Travel"/>
    <x v="2"/>
    <n v="40"/>
    <s v="NY"/>
    <s v="White"/>
    <n v="2"/>
    <s v="Computer Science"/>
    <x v="4"/>
    <s v="Single"/>
    <n v="108798"/>
    <n v="0"/>
    <x v="0"/>
    <d v="2012-04-12T00:00:00"/>
    <s v="No"/>
    <n v="10"/>
    <n v="0"/>
    <n v="4"/>
    <n v="7"/>
    <s v="High School "/>
    <s v="High School "/>
    <s v="High School "/>
    <n v="0"/>
    <s v="40-49"/>
  </r>
  <r>
    <s v="085C-7FC2"/>
    <s v="Emmerich"/>
    <s v="Wallicker"/>
    <x v="1"/>
    <n v="47"/>
    <s v="No Travel "/>
    <x v="0"/>
    <n v="17"/>
    <s v="NY"/>
    <s v="White"/>
    <n v="4"/>
    <s v="Other"/>
    <x v="0"/>
    <s v="Married"/>
    <n v="176158"/>
    <n v="0"/>
    <x v="0"/>
    <d v="2012-04-13T00:00:00"/>
    <s v="No"/>
    <n v="10"/>
    <n v="9"/>
    <n v="10"/>
    <n v="2"/>
    <s v="Masters "/>
    <s v="Masters "/>
    <s v="Masters "/>
    <n v="0"/>
    <s v="40-49"/>
  </r>
  <r>
    <s v="AB5F-244C"/>
    <s v="Horst"/>
    <s v="Mynett"/>
    <x v="1"/>
    <n v="36"/>
    <s v="Some Travel"/>
    <x v="2"/>
    <n v="7"/>
    <s v="CA"/>
    <s v="Black or African American"/>
    <n v="4"/>
    <s v="Computer Science"/>
    <x v="4"/>
    <s v="Divorced"/>
    <n v="73643"/>
    <n v="1"/>
    <x v="0"/>
    <d v="2012-04-14T00:00:00"/>
    <s v="No"/>
    <n v="10"/>
    <n v="0"/>
    <n v="7"/>
    <n v="9"/>
    <s v="Masters "/>
    <s v="Masters "/>
    <s v="Masters "/>
    <n v="0"/>
    <s v="30-39"/>
  </r>
  <r>
    <s v="55D6-1423"/>
    <s v="Benyamin"/>
    <s v="Wasielewicz"/>
    <x v="1"/>
    <n v="43"/>
    <s v="No Travel "/>
    <x v="2"/>
    <n v="15"/>
    <s v="CA"/>
    <s v="Asian or Asian American"/>
    <n v="2"/>
    <s v="Other"/>
    <x v="5"/>
    <s v="Divorced"/>
    <n v="76826"/>
    <n v="1"/>
    <x v="0"/>
    <d v="2012-04-14T00:00:00"/>
    <s v="No"/>
    <n v="10"/>
    <n v="9"/>
    <n v="9"/>
    <n v="7"/>
    <s v="High School "/>
    <s v="High School "/>
    <s v="High School "/>
    <n v="0"/>
    <s v="40-49"/>
  </r>
  <r>
    <s v="58C8-63FA"/>
    <s v="Pierce"/>
    <s v="Birkby"/>
    <x v="1"/>
    <n v="38"/>
    <s v="Some Travel"/>
    <x v="2"/>
    <n v="40"/>
    <s v="CA"/>
    <s v="White"/>
    <n v="4"/>
    <s v="Computer Science"/>
    <x v="8"/>
    <s v="Divorced"/>
    <n v="126505"/>
    <n v="1"/>
    <x v="0"/>
    <d v="2012-04-15T00:00:00"/>
    <s v="No"/>
    <n v="10"/>
    <n v="1"/>
    <n v="5"/>
    <n v="8"/>
    <s v="Masters "/>
    <s v="Masters "/>
    <s v="Masters "/>
    <n v="0"/>
    <s v="30-39"/>
  </r>
  <r>
    <s v="87D2-8B67"/>
    <s v="Joana"/>
    <s v="McDougal"/>
    <x v="0"/>
    <n v="45"/>
    <s v="Some Travel"/>
    <x v="2"/>
    <n v="34"/>
    <s v="NY"/>
    <s v="White"/>
    <n v="2"/>
    <s v="Information Systems"/>
    <x v="5"/>
    <s v="Divorced"/>
    <n v="152278"/>
    <n v="1"/>
    <x v="1"/>
    <d v="2012-04-18T00:00:00"/>
    <s v="No"/>
    <n v="10"/>
    <n v="8"/>
    <n v="8"/>
    <n v="2"/>
    <s v="High School "/>
    <s v="High School "/>
    <s v="High School "/>
    <n v="0"/>
    <s v="40-49"/>
  </r>
  <r>
    <s v="9FE1-0345"/>
    <s v="Eldridge"/>
    <s v="Artois"/>
    <x v="1"/>
    <n v="28"/>
    <s v="Some Travel"/>
    <x v="2"/>
    <n v="6"/>
    <s v="CA"/>
    <s v="White"/>
    <n v="1"/>
    <s v="Information Systems"/>
    <x v="4"/>
    <s v="Single"/>
    <n v="87175"/>
    <n v="0"/>
    <x v="0"/>
    <d v="2012-04-21T00:00:00"/>
    <s v="No"/>
    <n v="10"/>
    <n v="6"/>
    <n v="10"/>
    <n v="7"/>
    <s v="No Formal Qualifications"/>
    <s v="No Formal Qualifications"/>
    <s v="No Formal Qualifications"/>
    <n v="0"/>
    <s v="20-29"/>
  </r>
  <r>
    <s v="EBBD-37D4"/>
    <s v="Bonni"/>
    <s v="Coal"/>
    <x v="2"/>
    <n v="35"/>
    <s v="Some Travel"/>
    <x v="0"/>
    <n v="26"/>
    <s v="CA"/>
    <s v="Black or African American"/>
    <n v="4"/>
    <s v="Marketing"/>
    <x v="0"/>
    <s v="Single"/>
    <n v="98435"/>
    <n v="0"/>
    <x v="0"/>
    <d v="2012-04-23T00:00:00"/>
    <s v="No"/>
    <n v="10"/>
    <n v="7"/>
    <n v="9"/>
    <n v="9"/>
    <s v="Masters "/>
    <s v="Masters "/>
    <s v="Masters "/>
    <n v="0"/>
    <s v="30-39"/>
  </r>
  <r>
    <s v="9F65-F612"/>
    <s v="Patrice"/>
    <s v="Wearing"/>
    <x v="0"/>
    <n v="28"/>
    <s v="Some Travel"/>
    <x v="2"/>
    <n v="33"/>
    <s v="CA"/>
    <s v="Asian or Asian American"/>
    <n v="3"/>
    <s v="Computer Science"/>
    <x v="4"/>
    <s v="Single"/>
    <n v="54536"/>
    <n v="0"/>
    <x v="0"/>
    <d v="2012-04-23T00:00:00"/>
    <s v="Yes"/>
    <n v="3"/>
    <n v="3"/>
    <n v="3"/>
    <n v="2"/>
    <s v="Bachelors "/>
    <s v="Bachelors "/>
    <s v="Bachelors "/>
    <n v="1"/>
    <s v="20-29"/>
  </r>
  <r>
    <s v="152E-8DB1"/>
    <s v="Beth"/>
    <s v="Kunz"/>
    <x v="0"/>
    <n v="31"/>
    <s v="Some Travel"/>
    <x v="2"/>
    <n v="14"/>
    <s v="NY"/>
    <s v="Mixed or multiple ethnic groups"/>
    <n v="1"/>
    <s v="Other"/>
    <x v="7"/>
    <s v="Single"/>
    <n v="63482"/>
    <n v="0"/>
    <x v="0"/>
    <d v="2012-04-23T00:00:00"/>
    <s v="Yes"/>
    <n v="1"/>
    <n v="0"/>
    <n v="1"/>
    <n v="1"/>
    <s v="No Formal Qualifications"/>
    <s v="No Formal Qualifications"/>
    <s v="No Formal Qualifications"/>
    <n v="1"/>
    <s v="30-39"/>
  </r>
  <r>
    <s v="3994-472A"/>
    <s v="Rolf"/>
    <s v="Cunah"/>
    <x v="1"/>
    <n v="29"/>
    <s v="Some Travel"/>
    <x v="2"/>
    <n v="33"/>
    <s v="CA"/>
    <s v="White"/>
    <n v="3"/>
    <s v="Computer Science"/>
    <x v="7"/>
    <s v="Divorced"/>
    <n v="153909"/>
    <n v="1"/>
    <x v="0"/>
    <d v="2012-04-23T00:00:00"/>
    <s v="No"/>
    <n v="10"/>
    <n v="10"/>
    <n v="10"/>
    <n v="2"/>
    <s v="Bachelors "/>
    <s v="Bachelors "/>
    <s v="Bachelors "/>
    <n v="0"/>
    <s v="20-29"/>
  </r>
  <r>
    <s v="02DA-7A72"/>
    <s v="Tadeas"/>
    <s v="Lackney"/>
    <x v="1"/>
    <n v="29"/>
    <s v="Frequent Traveller"/>
    <x v="0"/>
    <n v="42"/>
    <s v="CA"/>
    <s v="White"/>
    <n v="3"/>
    <s v="Technical Degree"/>
    <x v="9"/>
    <s v="Married"/>
    <n v="78726"/>
    <n v="1"/>
    <x v="0"/>
    <d v="2012-04-25T00:00:00"/>
    <s v="Yes"/>
    <n v="6"/>
    <n v="0"/>
    <n v="1"/>
    <n v="1"/>
    <s v="Bachelors "/>
    <s v="Bachelors "/>
    <s v="Bachelors "/>
    <n v="1"/>
    <s v="20-29"/>
  </r>
  <r>
    <s v="E1B4-9AA1"/>
    <s v="Ashli"/>
    <s v="Hales"/>
    <x v="0"/>
    <n v="46"/>
    <s v="Some Travel"/>
    <x v="0"/>
    <n v="36"/>
    <s v="CA"/>
    <s v="White"/>
    <n v="3"/>
    <s v="Marketing "/>
    <x v="0"/>
    <s v="Married"/>
    <n v="96188"/>
    <n v="1"/>
    <x v="1"/>
    <d v="2012-04-26T00:00:00"/>
    <s v="Yes"/>
    <n v="9"/>
    <n v="8"/>
    <n v="9"/>
    <n v="5"/>
    <s v="Bachelors "/>
    <s v="Bachelors "/>
    <s v="Bachelors "/>
    <n v="1"/>
    <s v="40-49"/>
  </r>
  <r>
    <s v="8567-5B27"/>
    <s v="Shani"/>
    <s v="Deackes"/>
    <x v="0"/>
    <n v="28"/>
    <s v="Frequent Traveller"/>
    <x v="0"/>
    <n v="32"/>
    <s v="NY"/>
    <s v="Black or African American"/>
    <n v="1"/>
    <s v="Technical Degree"/>
    <x v="9"/>
    <s v="Single"/>
    <n v="53439"/>
    <n v="0"/>
    <x v="1"/>
    <d v="2012-04-27T00:00:00"/>
    <s v="Yes"/>
    <n v="3"/>
    <n v="0"/>
    <n v="0"/>
    <n v="1"/>
    <s v="No Formal Qualifications"/>
    <s v="No Formal Qualifications"/>
    <s v="No Formal Qualifications"/>
    <n v="1"/>
    <s v="20-29"/>
  </r>
  <r>
    <s v="5237-1B85"/>
    <s v="Faydra"/>
    <s v="Losbie"/>
    <x v="0"/>
    <n v="28"/>
    <s v="Some Travel"/>
    <x v="2"/>
    <n v="9"/>
    <s v="NY"/>
    <s v="Asian or Asian American"/>
    <n v="4"/>
    <s v="Computer Science"/>
    <x v="7"/>
    <s v="Single"/>
    <n v="43578"/>
    <n v="0"/>
    <x v="1"/>
    <d v="2012-04-27T00:00:00"/>
    <s v="Yes"/>
    <n v="5"/>
    <n v="3"/>
    <n v="5"/>
    <n v="5"/>
    <s v="Masters "/>
    <s v="Masters "/>
    <s v="Masters "/>
    <n v="1"/>
    <s v="20-29"/>
  </r>
  <r>
    <s v="F93D-CB5A"/>
    <s v="Zondra"/>
    <s v="Duigenan"/>
    <x v="0"/>
    <n v="40"/>
    <s v="Some Travel"/>
    <x v="2"/>
    <n v="26"/>
    <s v="CA"/>
    <s v="Mixed or multiple ethnic groups"/>
    <n v="3"/>
    <s v="Information Systems"/>
    <x v="8"/>
    <s v="Single"/>
    <n v="120858"/>
    <n v="0"/>
    <x v="0"/>
    <d v="2012-04-29T00:00:00"/>
    <s v="No"/>
    <n v="10"/>
    <n v="9"/>
    <n v="9"/>
    <n v="8"/>
    <s v="Bachelors "/>
    <s v="Bachelors "/>
    <s v="Bachelors "/>
    <n v="0"/>
    <s v="40-49"/>
  </r>
  <r>
    <s v="B785-D8F8"/>
    <s v="Ruprecht"/>
    <s v="Blatchford"/>
    <x v="1"/>
    <n v="32"/>
    <s v="Some Travel"/>
    <x v="2"/>
    <n v="36"/>
    <s v="CA"/>
    <s v="Black or African American"/>
    <n v="2"/>
    <s v="Computer Science"/>
    <x v="7"/>
    <s v="Single"/>
    <n v="78672"/>
    <n v="0"/>
    <x v="0"/>
    <d v="2012-04-29T00:00:00"/>
    <s v="No"/>
    <n v="10"/>
    <n v="6"/>
    <n v="9"/>
    <n v="5"/>
    <s v="High School "/>
    <s v="High School "/>
    <s v="High School "/>
    <n v="0"/>
    <s v="30-39"/>
  </r>
  <r>
    <s v="A9EB-9E41"/>
    <s v="Jacki"/>
    <s v="Mitro"/>
    <x v="0"/>
    <n v="30"/>
    <s v="Some Travel"/>
    <x v="2"/>
    <n v="30"/>
    <s v="NY"/>
    <s v="Asian or Asian American"/>
    <n v="1"/>
    <s v="Computer Science"/>
    <x v="5"/>
    <s v="Married"/>
    <n v="228438"/>
    <n v="1"/>
    <x v="0"/>
    <d v="2012-04-30T00:00:00"/>
    <s v="No"/>
    <n v="10"/>
    <n v="6"/>
    <n v="9"/>
    <n v="10"/>
    <s v="No Formal Qualifications"/>
    <s v="No Formal Qualifications"/>
    <s v="No Formal Qualifications"/>
    <n v="0"/>
    <s v="30-39"/>
  </r>
  <r>
    <s v="C25C-C434"/>
    <s v="Jillayne"/>
    <s v="Goshawke"/>
    <x v="0"/>
    <n v="35"/>
    <s v="Frequent Traveller"/>
    <x v="2"/>
    <n v="39"/>
    <s v="CA"/>
    <s v="Mixed or multiple ethnic groups"/>
    <n v="4"/>
    <s v="Computer Science"/>
    <x v="7"/>
    <s v="Single"/>
    <n v="71257"/>
    <n v="0"/>
    <x v="0"/>
    <d v="2012-05-01T00:00:00"/>
    <s v="No"/>
    <n v="10"/>
    <n v="1"/>
    <n v="6"/>
    <n v="10"/>
    <s v="Masters "/>
    <s v="Masters "/>
    <s v="Masters "/>
    <n v="0"/>
    <s v="30-39"/>
  </r>
  <r>
    <s v="F265-79B0"/>
    <s v="Glenda"/>
    <s v="Peacock"/>
    <x v="0"/>
    <n v="37"/>
    <s v="Frequent Traveller"/>
    <x v="2"/>
    <n v="14"/>
    <s v="CA"/>
    <s v="Mixed or multiple ethnic groups"/>
    <n v="4"/>
    <s v="Computer Science"/>
    <x v="5"/>
    <s v="Married"/>
    <n v="99936"/>
    <n v="1"/>
    <x v="0"/>
    <d v="2012-05-01T00:00:00"/>
    <s v="No"/>
    <n v="10"/>
    <n v="9"/>
    <n v="10"/>
    <n v="6"/>
    <s v="Masters "/>
    <s v="Masters "/>
    <s v="Masters "/>
    <n v="0"/>
    <s v="30-39"/>
  </r>
  <r>
    <s v="9E7A-1F70"/>
    <s v="Carita"/>
    <s v="Strowther"/>
    <x v="0"/>
    <n v="29"/>
    <s v="Some Travel"/>
    <x v="0"/>
    <n v="4"/>
    <s v="CA"/>
    <s v="Mixed or multiple ethnic groups"/>
    <n v="2"/>
    <s v="Marketing "/>
    <x v="0"/>
    <s v="Single"/>
    <n v="129356"/>
    <n v="0"/>
    <x v="0"/>
    <d v="2012-05-02T00:00:00"/>
    <s v="Yes"/>
    <n v="5"/>
    <n v="1"/>
    <n v="1"/>
    <n v="2"/>
    <s v="High School "/>
    <s v="High School "/>
    <s v="High School "/>
    <n v="1"/>
    <s v="20-29"/>
  </r>
  <r>
    <s v="D199-1896"/>
    <s v="Lin"/>
    <s v="Dibbs"/>
    <x v="0"/>
    <n v="42"/>
    <s v="Some Travel"/>
    <x v="0"/>
    <n v="39"/>
    <s v="CA"/>
    <s v="White"/>
    <n v="3"/>
    <s v="Economics"/>
    <x v="0"/>
    <s v="Married"/>
    <n v="206277"/>
    <n v="2"/>
    <x v="0"/>
    <d v="2012-05-02T00:00:00"/>
    <s v="No"/>
    <n v="10"/>
    <n v="6"/>
    <n v="10"/>
    <n v="1"/>
    <s v="Bachelors "/>
    <s v="Bachelors "/>
    <s v="Bachelors "/>
    <n v="0"/>
    <s v="40-49"/>
  </r>
  <r>
    <s v="9AAD-D3C1"/>
    <s v="Annie"/>
    <s v="Jablonski"/>
    <x v="0"/>
    <n v="45"/>
    <s v="Some Travel"/>
    <x v="0"/>
    <n v="43"/>
    <s v="CA"/>
    <s v="Black or African American"/>
    <n v="2"/>
    <s v="Other"/>
    <x v="0"/>
    <s v="Divorced"/>
    <n v="106610"/>
    <n v="1"/>
    <x v="1"/>
    <d v="2012-05-03T00:00:00"/>
    <s v="No"/>
    <n v="10"/>
    <n v="0"/>
    <n v="7"/>
    <n v="5"/>
    <s v="High School "/>
    <s v="High School "/>
    <s v="High School "/>
    <n v="0"/>
    <s v="40-49"/>
  </r>
  <r>
    <s v="9D7B-9B37"/>
    <s v="Eleanor"/>
    <s v="Hillen"/>
    <x v="0"/>
    <n v="28"/>
    <s v="Some Travel"/>
    <x v="0"/>
    <n v="8"/>
    <s v="CA"/>
    <s v="Mixed or multiple ethnic groups"/>
    <n v="3"/>
    <s v="Marketing"/>
    <x v="0"/>
    <s v="Married"/>
    <n v="194964"/>
    <n v="1"/>
    <x v="1"/>
    <d v="2012-05-04T00:00:00"/>
    <s v="No"/>
    <n v="10"/>
    <n v="2"/>
    <n v="2"/>
    <n v="8"/>
    <s v="Bachelors "/>
    <s v="Bachelors "/>
    <s v="Bachelors "/>
    <n v="0"/>
    <s v="20-29"/>
  </r>
  <r>
    <s v="E9B9-3944"/>
    <s v="Tobit"/>
    <s v="Lowry"/>
    <x v="1"/>
    <n v="42"/>
    <s v="Some Travel"/>
    <x v="2"/>
    <n v="5"/>
    <s v="NY"/>
    <s v="Mixed or multiple ethnic groups"/>
    <n v="1"/>
    <s v="Computer Science"/>
    <x v="4"/>
    <s v="Single"/>
    <n v="47461"/>
    <n v="0"/>
    <x v="0"/>
    <d v="2012-05-05T00:00:00"/>
    <s v="No"/>
    <n v="10"/>
    <n v="4"/>
    <n v="7"/>
    <n v="5"/>
    <s v="No Formal Qualifications"/>
    <s v="No Formal Qualifications"/>
    <s v="No Formal Qualifications"/>
    <n v="0"/>
    <s v="40-49"/>
  </r>
  <r>
    <s v="4CCA-B1E6"/>
    <s v="Dolf"/>
    <s v="Featenby"/>
    <x v="1"/>
    <n v="43"/>
    <s v="Some Travel"/>
    <x v="0"/>
    <n v="39"/>
    <s v="CA"/>
    <s v="White"/>
    <n v="2"/>
    <s v="Marketing"/>
    <x v="0"/>
    <s v="Divorced"/>
    <n v="176705"/>
    <n v="1"/>
    <x v="0"/>
    <d v="2012-05-05T00:00:00"/>
    <s v="No"/>
    <n v="10"/>
    <n v="5"/>
    <n v="7"/>
    <n v="7"/>
    <s v="High School "/>
    <s v="High School "/>
    <s v="High School "/>
    <n v="0"/>
    <s v="40-49"/>
  </r>
  <r>
    <s v="A4A4-F49C"/>
    <s v="Nichols"/>
    <s v="Baty"/>
    <x v="1"/>
    <n v="34"/>
    <s v="Some Travel"/>
    <x v="2"/>
    <n v="40"/>
    <s v="IL"/>
    <s v="White"/>
    <n v="3"/>
    <s v="Computer Science"/>
    <x v="8"/>
    <s v="Married"/>
    <n v="97542"/>
    <n v="3"/>
    <x v="0"/>
    <d v="2012-05-06T00:00:00"/>
    <s v="No"/>
    <n v="10"/>
    <n v="10"/>
    <n v="10"/>
    <n v="7"/>
    <s v="Bachelors "/>
    <s v="Bachelors "/>
    <s v="Bachelors "/>
    <n v="0"/>
    <s v="30-39"/>
  </r>
  <r>
    <s v="FE2B-3DC7"/>
    <s v="Mattie"/>
    <s v="Wippermann"/>
    <x v="0"/>
    <n v="28"/>
    <s v="Some Travel"/>
    <x v="2"/>
    <n v="23"/>
    <s v="NY"/>
    <s v="White"/>
    <n v="3"/>
    <s v="Information Systems"/>
    <x v="4"/>
    <s v="Married"/>
    <n v="35606"/>
    <n v="3"/>
    <x v="1"/>
    <d v="2012-05-07T00:00:00"/>
    <s v="Yes"/>
    <n v="5"/>
    <n v="3"/>
    <n v="4"/>
    <n v="5"/>
    <s v="Bachelors "/>
    <s v="Bachelors "/>
    <s v="Bachelors "/>
    <n v="1"/>
    <s v="20-29"/>
  </r>
  <r>
    <s v="C6D7-A568"/>
    <s v="Eve"/>
    <s v="Takkos"/>
    <x v="0"/>
    <n v="42"/>
    <s v="No Travel "/>
    <x v="0"/>
    <n v="10"/>
    <s v="CA"/>
    <s v="White"/>
    <n v="2"/>
    <s v="Marketing "/>
    <x v="9"/>
    <s v="Married"/>
    <n v="48922"/>
    <n v="1"/>
    <x v="0"/>
    <d v="2012-05-07T00:00:00"/>
    <s v="No"/>
    <n v="10"/>
    <n v="3"/>
    <n v="9"/>
    <n v="9"/>
    <s v="High School "/>
    <s v="High School "/>
    <s v="High School "/>
    <n v="0"/>
    <s v="40-49"/>
  </r>
  <r>
    <s v="3560-C117"/>
    <s v="Allyson"/>
    <s v="Kordas"/>
    <x v="0"/>
    <n v="28"/>
    <s v="Frequent Traveller"/>
    <x v="2"/>
    <n v="4"/>
    <s v="CA"/>
    <s v="Mixed or multiple ethnic groups"/>
    <n v="3"/>
    <s v="Computer Science"/>
    <x v="4"/>
    <s v="Married"/>
    <n v="65659"/>
    <n v="1"/>
    <x v="1"/>
    <d v="2012-05-09T00:00:00"/>
    <s v="Yes"/>
    <n v="2"/>
    <n v="0"/>
    <n v="0"/>
    <n v="0"/>
    <s v="Bachelors "/>
    <s v="Bachelors "/>
    <s v="Bachelors "/>
    <n v="1"/>
    <s v="20-29"/>
  </r>
  <r>
    <s v="9169-FC4B"/>
    <s v="Reinaldos"/>
    <s v="Baynes"/>
    <x v="1"/>
    <n v="28"/>
    <s v="Some Travel"/>
    <x v="1"/>
    <n v="18"/>
    <s v="CA"/>
    <s v="Native Hawaiian "/>
    <n v="2"/>
    <s v="Economics"/>
    <x v="11"/>
    <s v="Married"/>
    <n v="179561"/>
    <n v="1"/>
    <x v="0"/>
    <d v="2012-05-09T00:00:00"/>
    <s v="Yes"/>
    <n v="1"/>
    <n v="0"/>
    <n v="0"/>
    <n v="1"/>
    <s v="High School "/>
    <s v="High School "/>
    <s v="High School "/>
    <n v="1"/>
    <s v="20-29"/>
  </r>
  <r>
    <s v="49B2-0364"/>
    <s v="Husain"/>
    <s v="Frizzell"/>
    <x v="1"/>
    <n v="45"/>
    <s v="Frequent Traveller"/>
    <x v="0"/>
    <n v="1"/>
    <s v="NY"/>
    <s v="Black or African American"/>
    <n v="3"/>
    <s v="Marketing "/>
    <x v="9"/>
    <s v="Married"/>
    <n v="70487"/>
    <n v="1"/>
    <x v="0"/>
    <d v="2012-05-09T00:00:00"/>
    <s v="No"/>
    <n v="10"/>
    <n v="0"/>
    <n v="7"/>
    <n v="3"/>
    <s v="Bachelors "/>
    <s v="Bachelors "/>
    <s v="Bachelors "/>
    <n v="0"/>
    <s v="40-49"/>
  </r>
  <r>
    <s v="4404-DE5A"/>
    <s v="Karina"/>
    <s v="Weddup"/>
    <x v="0"/>
    <n v="32"/>
    <s v="Some Travel"/>
    <x v="2"/>
    <n v="39"/>
    <s v="CA"/>
    <s v="Asian or Asian American"/>
    <n v="1"/>
    <s v="Computer Science"/>
    <x v="7"/>
    <s v="Single"/>
    <n v="68256"/>
    <n v="0"/>
    <x v="0"/>
    <d v="2012-05-10T00:00:00"/>
    <s v="No"/>
    <n v="10"/>
    <n v="7"/>
    <n v="9"/>
    <n v="6"/>
    <s v="No Formal Qualifications"/>
    <s v="No Formal Qualifications"/>
    <s v="No Formal Qualifications"/>
    <n v="0"/>
    <s v="30-39"/>
  </r>
  <r>
    <s v="F9B6-C80B"/>
    <s v="Veronica"/>
    <s v="Farlham"/>
    <x v="0"/>
    <n v="43"/>
    <s v="Some Travel"/>
    <x v="2"/>
    <n v="10"/>
    <s v="CA"/>
    <s v="White"/>
    <n v="3"/>
    <s v="Computer Science"/>
    <x v="7"/>
    <s v="Divorced"/>
    <n v="43211"/>
    <n v="1"/>
    <x v="0"/>
    <d v="2012-05-12T00:00:00"/>
    <s v="No"/>
    <n v="10"/>
    <n v="2"/>
    <n v="6"/>
    <n v="9"/>
    <s v="Bachelors "/>
    <s v="Bachelors "/>
    <s v="Bachelors "/>
    <n v="0"/>
    <s v="40-49"/>
  </r>
  <r>
    <s v="B1EC-849B"/>
    <s v="Paule"/>
    <s v="Mapplebeck"/>
    <x v="0"/>
    <n v="28"/>
    <s v="Some Travel"/>
    <x v="0"/>
    <n v="1"/>
    <s v="CA"/>
    <s v="White"/>
    <n v="4"/>
    <s v="Marketing "/>
    <x v="0"/>
    <s v="Married"/>
    <n v="87039"/>
    <n v="1"/>
    <x v="0"/>
    <d v="2012-05-13T00:00:00"/>
    <s v="No"/>
    <n v="10"/>
    <n v="3"/>
    <n v="5"/>
    <n v="4"/>
    <s v="Masters "/>
    <s v="Masters "/>
    <s v="Masters "/>
    <n v="0"/>
    <s v="20-29"/>
  </r>
  <r>
    <s v="7B98-EA6F"/>
    <s v="Gabriello"/>
    <s v="Clemente"/>
    <x v="1"/>
    <n v="44"/>
    <s v="Some Travel"/>
    <x v="2"/>
    <n v="23"/>
    <s v="CA"/>
    <s v="Native Hawaiian "/>
    <n v="3"/>
    <s v="Information Systems"/>
    <x v="4"/>
    <s v="Single"/>
    <n v="108623"/>
    <n v="0"/>
    <x v="0"/>
    <d v="2012-05-13T00:00:00"/>
    <s v="No"/>
    <n v="10"/>
    <n v="3"/>
    <n v="3"/>
    <n v="8"/>
    <s v="Bachelors "/>
    <s v="Bachelors "/>
    <s v="Bachelors "/>
    <n v="0"/>
    <s v="40-49"/>
  </r>
  <r>
    <s v="C385-CDBE"/>
    <s v="Filide"/>
    <s v="Dinnies"/>
    <x v="0"/>
    <n v="36"/>
    <s v="Some Travel"/>
    <x v="2"/>
    <n v="41"/>
    <s v="NY"/>
    <s v="White"/>
    <n v="3"/>
    <s v="Computer Science"/>
    <x v="5"/>
    <s v="Single"/>
    <n v="218940"/>
    <n v="0"/>
    <x v="1"/>
    <d v="2012-05-14T00:00:00"/>
    <s v="No"/>
    <n v="10"/>
    <n v="6"/>
    <n v="8"/>
    <n v="5"/>
    <s v="Bachelors "/>
    <s v="Bachelors "/>
    <s v="Bachelors "/>
    <n v="0"/>
    <s v="30-39"/>
  </r>
  <r>
    <s v="64D6-0D5F"/>
    <s v="Sherwood"/>
    <s v="Furlow"/>
    <x v="2"/>
    <n v="37"/>
    <s v="Some Travel"/>
    <x v="2"/>
    <n v="28"/>
    <s v="CA"/>
    <s v="Black or African American"/>
    <n v="3"/>
    <s v="Information Systems"/>
    <x v="10"/>
    <s v="Single"/>
    <n v="368494"/>
    <n v="0"/>
    <x v="1"/>
    <d v="2012-05-14T00:00:00"/>
    <s v="No"/>
    <n v="10"/>
    <n v="8"/>
    <n v="9"/>
    <n v="6"/>
    <s v="Bachelors "/>
    <s v="Bachelors "/>
    <s v="Bachelors "/>
    <n v="0"/>
    <s v="30-39"/>
  </r>
  <r>
    <s v="9085-1FE8"/>
    <s v="Fan"/>
    <s v="Pizey"/>
    <x v="0"/>
    <n v="35"/>
    <s v="Some Travel"/>
    <x v="2"/>
    <n v="32"/>
    <s v="NY"/>
    <s v="Mixed or multiple ethnic groups"/>
    <n v="2"/>
    <s v="Business Studies"/>
    <x v="4"/>
    <s v="Married"/>
    <n v="119917"/>
    <n v="1"/>
    <x v="1"/>
    <d v="2012-05-15T00:00:00"/>
    <s v="No"/>
    <n v="10"/>
    <n v="5"/>
    <n v="7"/>
    <n v="4"/>
    <s v="High School "/>
    <s v="High School "/>
    <s v="High School "/>
    <n v="0"/>
    <s v="30-39"/>
  </r>
  <r>
    <s v="9728-1A5B"/>
    <s v="Vernen"/>
    <s v="Rennie"/>
    <x v="1"/>
    <n v="48"/>
    <s v="Some Travel"/>
    <x v="0"/>
    <n v="33"/>
    <s v="NY"/>
    <s v="Mixed or multiple ethnic groups"/>
    <n v="2"/>
    <s v="Marketing "/>
    <x v="0"/>
    <s v="Divorced"/>
    <n v="191771"/>
    <n v="1"/>
    <x v="0"/>
    <d v="2012-05-17T00:00:00"/>
    <s v="No"/>
    <n v="10"/>
    <n v="0"/>
    <n v="10"/>
    <n v="4"/>
    <s v="High School "/>
    <s v="High School "/>
    <s v="High School "/>
    <n v="0"/>
    <s v="40-49"/>
  </r>
  <r>
    <s v="3EB2-9111"/>
    <s v="Ginger"/>
    <s v="Blinde"/>
    <x v="1"/>
    <n v="48"/>
    <s v="Some Travel"/>
    <x v="2"/>
    <n v="26"/>
    <s v="IL"/>
    <s v="White"/>
    <n v="4"/>
    <s v="Information Systems"/>
    <x v="4"/>
    <s v="Divorced"/>
    <n v="35749"/>
    <n v="2"/>
    <x v="0"/>
    <d v="2012-05-17T00:00:00"/>
    <s v="No"/>
    <n v="10"/>
    <n v="7"/>
    <n v="7"/>
    <n v="8"/>
    <s v="Masters "/>
    <s v="Masters "/>
    <s v="Masters "/>
    <n v="0"/>
    <s v="40-49"/>
  </r>
  <r>
    <s v="C330-DAF4"/>
    <s v="Lonni"/>
    <s v="Lelievre"/>
    <x v="0"/>
    <n v="34"/>
    <s v="Some Travel"/>
    <x v="0"/>
    <n v="16"/>
    <s v="NY"/>
    <s v="White"/>
    <n v="2"/>
    <s v="Economics"/>
    <x v="0"/>
    <s v="Divorced"/>
    <n v="100710"/>
    <n v="1"/>
    <x v="1"/>
    <d v="2012-05-20T00:00:00"/>
    <s v="No"/>
    <n v="10"/>
    <n v="10"/>
    <n v="10"/>
    <n v="2"/>
    <s v="High School "/>
    <s v="High School "/>
    <s v="High School "/>
    <n v="0"/>
    <s v="30-39"/>
  </r>
  <r>
    <s v="041A-31B0"/>
    <s v="Gerri"/>
    <s v="Fullerlove"/>
    <x v="0"/>
    <n v="34"/>
    <s v="Some Travel"/>
    <x v="2"/>
    <n v="41"/>
    <s v="NY"/>
    <s v="Black or African American"/>
    <n v="3"/>
    <s v="Computer Science"/>
    <x v="7"/>
    <s v="Married"/>
    <n v="50386"/>
    <n v="1"/>
    <x v="0"/>
    <d v="2012-05-20T00:00:00"/>
    <s v="No"/>
    <n v="10"/>
    <n v="8"/>
    <n v="9"/>
    <n v="10"/>
    <s v="Bachelors "/>
    <s v="Bachelors "/>
    <s v="Bachelors "/>
    <n v="0"/>
    <s v="30-39"/>
  </r>
  <r>
    <s v="8EE9-E86D"/>
    <s v="Conn"/>
    <s v="Mouser"/>
    <x v="1"/>
    <n v="46"/>
    <s v="Some Travel"/>
    <x v="1"/>
    <n v="45"/>
    <s v="IL"/>
    <s v="White"/>
    <n v="3"/>
    <s v="Human Resources"/>
    <x v="3"/>
    <s v="Divorced"/>
    <n v="48740"/>
    <n v="3"/>
    <x v="1"/>
    <d v="2012-05-20T00:00:00"/>
    <s v="Yes"/>
    <n v="10"/>
    <n v="8"/>
    <n v="9"/>
    <n v="6"/>
    <s v="Bachelors "/>
    <s v="Bachelors "/>
    <s v="Bachelors "/>
    <n v="1"/>
    <s v="40-49"/>
  </r>
  <r>
    <s v="692B-7152"/>
    <s v="Murry"/>
    <s v="Dominici"/>
    <x v="1"/>
    <n v="47"/>
    <s v="Some Travel"/>
    <x v="0"/>
    <n v="42"/>
    <s v="CA"/>
    <s v="Asian or Asian American"/>
    <n v="3"/>
    <s v="Marketing "/>
    <x v="0"/>
    <s v="Married"/>
    <n v="249553"/>
    <n v="1"/>
    <x v="0"/>
    <d v="2012-05-20T00:00:00"/>
    <s v="No"/>
    <n v="10"/>
    <n v="3"/>
    <n v="4"/>
    <n v="9"/>
    <s v="Bachelors "/>
    <s v="Bachelors "/>
    <s v="Bachelors "/>
    <n v="0"/>
    <s v="40-49"/>
  </r>
  <r>
    <s v="022A-0219"/>
    <s v="Francine"/>
    <s v="Fernez"/>
    <x v="0"/>
    <n v="32"/>
    <s v="Frequent Traveller"/>
    <x v="2"/>
    <n v="14"/>
    <s v="IL"/>
    <s v="American Indian or Alaska Native"/>
    <n v="3"/>
    <s v="Business Studies"/>
    <x v="7"/>
    <s v="Married"/>
    <n v="86639"/>
    <n v="0"/>
    <x v="0"/>
    <d v="2012-05-21T00:00:00"/>
    <s v="No"/>
    <n v="10"/>
    <n v="3"/>
    <n v="9"/>
    <n v="5"/>
    <s v="Bachelors "/>
    <s v="Bachelors "/>
    <s v="Bachelors "/>
    <n v="0"/>
    <s v="30-39"/>
  </r>
  <r>
    <s v="2F85-AF81"/>
    <s v="Cassandre"/>
    <s v="Joubert"/>
    <x v="2"/>
    <n v="42"/>
    <s v="Some Travel"/>
    <x v="2"/>
    <n v="12"/>
    <s v="CA"/>
    <s v="White"/>
    <n v="4"/>
    <s v="Business Studies"/>
    <x v="8"/>
    <s v="Married"/>
    <n v="167089"/>
    <n v="1"/>
    <x v="0"/>
    <d v="2012-05-24T00:00:00"/>
    <s v="No"/>
    <n v="10"/>
    <n v="7"/>
    <n v="9"/>
    <n v="8"/>
    <s v="Masters "/>
    <s v="Masters "/>
    <s v="Masters "/>
    <n v="0"/>
    <s v="40-49"/>
  </r>
  <r>
    <s v="DFE3-6FA7"/>
    <s v="Eulalie"/>
    <s v="Critch"/>
    <x v="0"/>
    <n v="43"/>
    <s v="Frequent Traveller"/>
    <x v="0"/>
    <n v="5"/>
    <s v="CA"/>
    <s v="American Indian or Alaska Native"/>
    <n v="3"/>
    <s v="Marketing "/>
    <x v="0"/>
    <s v="Single"/>
    <n v="350525"/>
    <n v="0"/>
    <x v="1"/>
    <d v="2012-05-27T00:00:00"/>
    <s v="Yes"/>
    <n v="9"/>
    <n v="3"/>
    <n v="9"/>
    <n v="6"/>
    <s v="Bachelors "/>
    <s v="Bachelors "/>
    <s v="Bachelors "/>
    <n v="1"/>
    <s v="40-49"/>
  </r>
  <r>
    <s v="5B08-EF96"/>
    <s v="Karlen"/>
    <s v="Gulston"/>
    <x v="0"/>
    <n v="36"/>
    <s v="No Travel "/>
    <x v="2"/>
    <n v="28"/>
    <s v="CA"/>
    <s v="Asian or Asian American"/>
    <n v="4"/>
    <s v="Other"/>
    <x v="4"/>
    <s v="Divorced"/>
    <n v="77136"/>
    <n v="2"/>
    <x v="0"/>
    <d v="2012-05-28T00:00:00"/>
    <s v="No"/>
    <n v="10"/>
    <n v="10"/>
    <n v="10"/>
    <n v="10"/>
    <s v="Masters "/>
    <s v="Masters "/>
    <s v="Masters "/>
    <n v="0"/>
    <s v="30-39"/>
  </r>
  <r>
    <s v="52DD-757F"/>
    <s v="Danielle"/>
    <s v="Viste"/>
    <x v="0"/>
    <n v="48"/>
    <s v="No Travel "/>
    <x v="2"/>
    <n v="40"/>
    <s v="CA"/>
    <s v="White"/>
    <n v="2"/>
    <s v="Information Systems"/>
    <x v="5"/>
    <s v="Divorced"/>
    <n v="92884"/>
    <n v="1"/>
    <x v="0"/>
    <d v="2012-05-30T00:00:00"/>
    <s v="No"/>
    <n v="10"/>
    <n v="5"/>
    <n v="9"/>
    <n v="2"/>
    <s v="High School "/>
    <s v="High School "/>
    <s v="High School "/>
    <n v="0"/>
    <s v="40-49"/>
  </r>
  <r>
    <s v="E7D3-03C9"/>
    <s v="Whitman"/>
    <s v="Schruyers"/>
    <x v="1"/>
    <n v="42"/>
    <s v="Some Travel"/>
    <x v="0"/>
    <n v="26"/>
    <s v="CA"/>
    <s v="White"/>
    <n v="4"/>
    <s v="Marketing"/>
    <x v="0"/>
    <s v="Single"/>
    <n v="91179"/>
    <n v="0"/>
    <x v="0"/>
    <d v="2012-05-30T00:00:00"/>
    <s v="No"/>
    <n v="10"/>
    <n v="7"/>
    <n v="9"/>
    <n v="0"/>
    <s v="Masters "/>
    <s v="Masters "/>
    <s v="Masters "/>
    <n v="0"/>
    <s v="40-49"/>
  </r>
  <r>
    <s v="7C80-94E0"/>
    <s v="Celie"/>
    <s v="Jedrys"/>
    <x v="0"/>
    <n v="33"/>
    <s v="Some Travel"/>
    <x v="2"/>
    <n v="36"/>
    <s v="CA"/>
    <s v="Asian or Asian American"/>
    <n v="3"/>
    <s v="Computer Science"/>
    <x v="5"/>
    <s v="Single"/>
    <n v="88726"/>
    <n v="0"/>
    <x v="0"/>
    <d v="2013-01-01T00:00:00"/>
    <s v="No"/>
    <n v="9"/>
    <n v="8"/>
    <n v="8"/>
    <n v="6"/>
    <s v="Bachelors "/>
    <s v="Bachelors "/>
    <s v="Bachelors "/>
    <n v="0"/>
    <s v="30-39"/>
  </r>
  <r>
    <s v="EE04-1533"/>
    <s v="Doralynne"/>
    <s v="Giacoboni"/>
    <x v="0"/>
    <n v="47"/>
    <s v="Frequent Traveller"/>
    <x v="0"/>
    <n v="19"/>
    <s v="CA"/>
    <s v="American Indian or Alaska Native"/>
    <n v="3"/>
    <s v="Technical Degree"/>
    <x v="9"/>
    <s v="Married"/>
    <n v="46684"/>
    <n v="1"/>
    <x v="0"/>
    <d v="2013-01-12T00:00:00"/>
    <s v="No"/>
    <n v="9"/>
    <n v="4"/>
    <n v="9"/>
    <n v="3"/>
    <s v="Bachelors "/>
    <s v="Bachelors "/>
    <s v="Bachelors "/>
    <n v="0"/>
    <s v="40-49"/>
  </r>
  <r>
    <s v="67ED-A630"/>
    <s v="Adan"/>
    <s v="Fradgley"/>
    <x v="1"/>
    <n v="29"/>
    <s v="Some Travel"/>
    <x v="0"/>
    <n v="38"/>
    <s v="CA"/>
    <s v="Asian or Asian American"/>
    <n v="4"/>
    <s v="Marketing"/>
    <x v="0"/>
    <s v="Married"/>
    <n v="102061"/>
    <n v="1"/>
    <x v="0"/>
    <d v="2013-01-17T00:00:00"/>
    <s v="No"/>
    <n v="9"/>
    <n v="5"/>
    <n v="9"/>
    <n v="5"/>
    <s v="Masters "/>
    <s v="Masters "/>
    <s v="Masters "/>
    <n v="0"/>
    <s v="20-29"/>
  </r>
  <r>
    <s v="D351-C7E4"/>
    <s v="Doralin"/>
    <s v="Whiley"/>
    <x v="0"/>
    <n v="42"/>
    <s v="Some Travel"/>
    <x v="2"/>
    <n v="9"/>
    <s v="CA"/>
    <s v="Asian or Asian American"/>
    <n v="2"/>
    <s v="Information Systems"/>
    <x v="4"/>
    <s v="Married"/>
    <n v="73577"/>
    <n v="1"/>
    <x v="0"/>
    <d v="2013-01-23T00:00:00"/>
    <s v="No"/>
    <n v="9"/>
    <n v="9"/>
    <n v="9"/>
    <n v="6"/>
    <s v="High School "/>
    <s v="High School "/>
    <s v="High School "/>
    <n v="0"/>
    <s v="40-49"/>
  </r>
  <r>
    <s v="86E2-73D1"/>
    <s v="Purcell"/>
    <s v="Keig"/>
    <x v="1"/>
    <n v="39"/>
    <s v="Some Travel"/>
    <x v="2"/>
    <n v="3"/>
    <s v="CA"/>
    <s v="Black or African American"/>
    <n v="3"/>
    <s v="Computer Science"/>
    <x v="5"/>
    <s v="Single"/>
    <n v="81115"/>
    <n v="0"/>
    <x v="0"/>
    <d v="2013-01-24T00:00:00"/>
    <s v="No"/>
    <n v="9"/>
    <n v="2"/>
    <n v="4"/>
    <n v="0"/>
    <s v="Bachelors "/>
    <s v="Bachelors "/>
    <s v="Bachelors "/>
    <n v="0"/>
    <s v="30-39"/>
  </r>
  <r>
    <s v="8583-9174"/>
    <s v="Mimi"/>
    <s v="Mawditt"/>
    <x v="0"/>
    <n v="46"/>
    <s v="Frequent Traveller"/>
    <x v="2"/>
    <n v="16"/>
    <s v="NY"/>
    <s v="White"/>
    <n v="2"/>
    <s v="Computer Science"/>
    <x v="7"/>
    <s v="Single"/>
    <n v="100717"/>
    <n v="0"/>
    <x v="1"/>
    <d v="2013-01-30T00:00:00"/>
    <s v="No"/>
    <n v="9"/>
    <n v="5"/>
    <n v="9"/>
    <n v="7"/>
    <s v="High School "/>
    <s v="High School "/>
    <s v="High School "/>
    <n v="0"/>
    <s v="40-49"/>
  </r>
  <r>
    <s v="6176-3BEE"/>
    <s v="Trumaine"/>
    <s v="Nevett"/>
    <x v="1"/>
    <n v="29"/>
    <s v="Some Travel"/>
    <x v="0"/>
    <n v="20"/>
    <s v="NY"/>
    <s v="Black or African American"/>
    <n v="3"/>
    <s v="Marketing "/>
    <x v="0"/>
    <s v="Single"/>
    <n v="149688"/>
    <n v="0"/>
    <x v="1"/>
    <d v="2013-02-04T00:00:00"/>
    <s v="Yes"/>
    <n v="2"/>
    <n v="2"/>
    <n v="2"/>
    <n v="2"/>
    <s v="Bachelors "/>
    <s v="Bachelors "/>
    <s v="Bachelors "/>
    <n v="1"/>
    <s v="20-29"/>
  </r>
  <r>
    <s v="AF58-5D1B"/>
    <s v="Jeri"/>
    <s v="MacDiarmid"/>
    <x v="0"/>
    <n v="36"/>
    <s v="Some Travel"/>
    <x v="2"/>
    <n v="35"/>
    <s v="NY"/>
    <s v="White"/>
    <n v="2"/>
    <s v="Computer Science"/>
    <x v="7"/>
    <s v="Married"/>
    <n v="60585"/>
    <n v="2"/>
    <x v="0"/>
    <d v="2013-02-05T00:00:00"/>
    <s v="No"/>
    <n v="9"/>
    <n v="0"/>
    <n v="7"/>
    <n v="9"/>
    <s v="High School "/>
    <s v="High School "/>
    <s v="High School "/>
    <n v="0"/>
    <s v="30-39"/>
  </r>
  <r>
    <s v="16FB-8835"/>
    <s v="Albina"/>
    <s v="Baston"/>
    <x v="0"/>
    <n v="46"/>
    <s v="Frequent Traveller"/>
    <x v="2"/>
    <n v="24"/>
    <s v="NY"/>
    <s v="White"/>
    <n v="3"/>
    <s v="Computer Science"/>
    <x v="2"/>
    <s v="Married"/>
    <n v="514945"/>
    <n v="0"/>
    <x v="1"/>
    <d v="2013-02-05T00:00:00"/>
    <s v="No"/>
    <n v="9"/>
    <n v="4"/>
    <n v="7"/>
    <n v="7"/>
    <s v="Bachelors "/>
    <s v="Bachelors "/>
    <s v="Bachelors "/>
    <n v="0"/>
    <s v="40-49"/>
  </r>
  <r>
    <s v="A71E-A9DC"/>
    <s v="Greta"/>
    <s v="Turneux"/>
    <x v="0"/>
    <n v="31"/>
    <s v="Frequent Traveller"/>
    <x v="0"/>
    <n v="21"/>
    <s v="NY"/>
    <s v="Asian or Asian American"/>
    <n v="3"/>
    <s v="Marketing"/>
    <x v="0"/>
    <s v="Single"/>
    <n v="253719"/>
    <n v="0"/>
    <x v="0"/>
    <d v="2013-02-12T00:00:00"/>
    <s v="No"/>
    <n v="9"/>
    <n v="2"/>
    <n v="4"/>
    <n v="3"/>
    <s v="Bachelors "/>
    <s v="Bachelors "/>
    <s v="Bachelors "/>
    <n v="0"/>
    <s v="30-39"/>
  </r>
  <r>
    <s v="CC2F-670E"/>
    <s v="Blake"/>
    <s v="Louys"/>
    <x v="1"/>
    <n v="29"/>
    <s v="Frequent Traveller"/>
    <x v="2"/>
    <n v="26"/>
    <s v="CA"/>
    <s v="White"/>
    <n v="3"/>
    <s v="Computer Science"/>
    <x v="4"/>
    <s v="Single"/>
    <n v="78541"/>
    <n v="0"/>
    <x v="1"/>
    <d v="2013-02-23T00:00:00"/>
    <s v="Yes"/>
    <n v="6"/>
    <n v="5"/>
    <n v="5"/>
    <n v="2"/>
    <s v="Bachelors "/>
    <s v="Bachelors "/>
    <s v="Bachelors "/>
    <n v="1"/>
    <s v="20-29"/>
  </r>
  <r>
    <s v="67D7-9785"/>
    <s v="Corinne"/>
    <s v="Andreaccio"/>
    <x v="0"/>
    <n v="38"/>
    <s v="Frequent Traveller"/>
    <x v="2"/>
    <n v="6"/>
    <s v="CA"/>
    <s v="Black or African American"/>
    <n v="3"/>
    <s v="Information Systems"/>
    <x v="8"/>
    <s v="Single"/>
    <n v="126515"/>
    <n v="0"/>
    <x v="0"/>
    <d v="2013-02-27T00:00:00"/>
    <s v="No"/>
    <n v="9"/>
    <n v="7"/>
    <n v="9"/>
    <n v="4"/>
    <s v="Bachelors "/>
    <s v="Bachelors "/>
    <s v="Bachelors "/>
    <n v="0"/>
    <s v="30-39"/>
  </r>
  <r>
    <s v="F662-DEA5"/>
    <s v="Morley"/>
    <s v="Dmitriev"/>
    <x v="1"/>
    <n v="38"/>
    <s v="Some Travel"/>
    <x v="2"/>
    <n v="18"/>
    <s v="CA"/>
    <s v="Black or African American"/>
    <n v="2"/>
    <s v="Information Systems"/>
    <x v="4"/>
    <s v="Married"/>
    <n v="89362"/>
    <n v="0"/>
    <x v="0"/>
    <d v="2013-03-01T00:00:00"/>
    <s v="No"/>
    <n v="9"/>
    <n v="3"/>
    <n v="9"/>
    <n v="7"/>
    <s v="High School "/>
    <s v="High School "/>
    <s v="High School "/>
    <n v="0"/>
    <s v="30-39"/>
  </r>
  <r>
    <s v="59DB-8465"/>
    <s v="Nancey"/>
    <s v="Luetkemeyers"/>
    <x v="0"/>
    <n v="47"/>
    <s v="Frequent Traveller"/>
    <x v="1"/>
    <n v="3"/>
    <s v="CA"/>
    <s v="White"/>
    <n v="3"/>
    <s v="Marketing "/>
    <x v="11"/>
    <s v="Married"/>
    <n v="85744"/>
    <n v="2"/>
    <x v="0"/>
    <d v="2013-03-02T00:00:00"/>
    <s v="No"/>
    <n v="9"/>
    <n v="0"/>
    <n v="9"/>
    <n v="8"/>
    <s v="Bachelors "/>
    <s v="Bachelors "/>
    <s v="Bachelors "/>
    <n v="0"/>
    <s v="40-49"/>
  </r>
  <r>
    <s v="96F4-896C"/>
    <s v="Kerwin"/>
    <s v="Wheadon"/>
    <x v="1"/>
    <n v="43"/>
    <s v="No Travel "/>
    <x v="2"/>
    <n v="21"/>
    <s v="CA"/>
    <s v="White"/>
    <n v="4"/>
    <s v="Information Systems"/>
    <x v="10"/>
    <s v="Single"/>
    <n v="280756"/>
    <n v="0"/>
    <x v="0"/>
    <d v="2013-03-05T00:00:00"/>
    <s v="No"/>
    <n v="9"/>
    <n v="8"/>
    <n v="8"/>
    <n v="3"/>
    <s v="Masters "/>
    <s v="Masters "/>
    <s v="Masters "/>
    <n v="0"/>
    <s v="40-49"/>
  </r>
  <r>
    <s v="8026-658D"/>
    <s v="Dana"/>
    <s v="Lobb"/>
    <x v="1"/>
    <n v="36"/>
    <s v="Some Travel"/>
    <x v="2"/>
    <n v="28"/>
    <s v="NY"/>
    <s v="Black or African American"/>
    <n v="3"/>
    <s v="Information Systems"/>
    <x v="5"/>
    <s v="Married"/>
    <n v="174019"/>
    <n v="1"/>
    <x v="1"/>
    <d v="2013-03-07T00:00:00"/>
    <s v="No"/>
    <n v="9"/>
    <n v="8"/>
    <n v="9"/>
    <n v="1"/>
    <s v="Bachelors "/>
    <s v="Bachelors "/>
    <s v="Bachelors "/>
    <n v="0"/>
    <s v="30-39"/>
  </r>
  <r>
    <s v="F997-FE6C"/>
    <s v="Meryl"/>
    <s v="Slucock"/>
    <x v="0"/>
    <n v="40"/>
    <s v="Some Travel"/>
    <x v="2"/>
    <n v="17"/>
    <s v="NY"/>
    <s v="White"/>
    <n v="1"/>
    <s v="Information Systems"/>
    <x v="7"/>
    <s v="Married"/>
    <n v="41601"/>
    <n v="0"/>
    <x v="0"/>
    <d v="2013-03-08T00:00:00"/>
    <s v="No"/>
    <n v="9"/>
    <n v="8"/>
    <n v="9"/>
    <n v="8"/>
    <s v="No Formal Qualifications"/>
    <s v="No Formal Qualifications"/>
    <s v="No Formal Qualifications"/>
    <n v="0"/>
    <s v="40-49"/>
  </r>
  <r>
    <s v="0C23-26DD"/>
    <s v="Bathsheba"/>
    <s v="Ablewhite"/>
    <x v="0"/>
    <n v="35"/>
    <s v="Some Travel"/>
    <x v="0"/>
    <n v="23"/>
    <s v="NY"/>
    <s v="White"/>
    <n v="3"/>
    <s v="Economics"/>
    <x v="9"/>
    <s v="Married"/>
    <n v="81389"/>
    <n v="1"/>
    <x v="0"/>
    <d v="2013-03-11T00:00:00"/>
    <s v="No"/>
    <n v="9"/>
    <n v="3"/>
    <n v="7"/>
    <n v="5"/>
    <s v="Bachelors "/>
    <s v="Bachelors "/>
    <s v="Bachelors "/>
    <n v="0"/>
    <s v="30-39"/>
  </r>
  <r>
    <s v="7B9D-8612"/>
    <s v="Gizela"/>
    <s v="Pauncefoot"/>
    <x v="0"/>
    <n v="32"/>
    <s v="Some Travel"/>
    <x v="0"/>
    <n v="9"/>
    <s v="IL"/>
    <s v="White"/>
    <n v="2"/>
    <s v="Marketing "/>
    <x v="0"/>
    <s v="Divorced"/>
    <n v="133865"/>
    <n v="1"/>
    <x v="1"/>
    <d v="2013-03-12T00:00:00"/>
    <s v="No"/>
    <n v="9"/>
    <n v="3"/>
    <n v="3"/>
    <n v="0"/>
    <s v="High School "/>
    <s v="High School "/>
    <s v="High School "/>
    <n v="0"/>
    <s v="30-39"/>
  </r>
  <r>
    <s v="B3FE-D332"/>
    <s v="Josephine"/>
    <s v="Stickley"/>
    <x v="0"/>
    <n v="30"/>
    <s v="Some Travel"/>
    <x v="2"/>
    <n v="42"/>
    <s v="CA"/>
    <s v="White"/>
    <n v="5"/>
    <s v="Computer Science"/>
    <x v="7"/>
    <s v="Married"/>
    <n v="93181"/>
    <n v="0"/>
    <x v="0"/>
    <d v="2013-03-15T00:00:00"/>
    <s v="No"/>
    <n v="9"/>
    <n v="8"/>
    <n v="9"/>
    <n v="4"/>
    <s v="Doctorate"/>
    <s v="Doctorate"/>
    <s v="Doctorate"/>
    <n v="0"/>
    <s v="30-39"/>
  </r>
  <r>
    <s v="1054-9C3B"/>
    <s v="Elizabeth"/>
    <s v="Babbe"/>
    <x v="0"/>
    <n v="30"/>
    <s v="Some Travel"/>
    <x v="2"/>
    <n v="1"/>
    <s v="IL"/>
    <s v="Asian or Asian American"/>
    <n v="4"/>
    <s v="Other"/>
    <x v="4"/>
    <s v="Married"/>
    <n v="40285"/>
    <n v="0"/>
    <x v="1"/>
    <d v="2013-03-21T00:00:00"/>
    <s v="Yes"/>
    <n v="1"/>
    <n v="1"/>
    <n v="1"/>
    <n v="0"/>
    <s v="Masters "/>
    <s v="Masters "/>
    <s v="Masters "/>
    <n v="1"/>
    <s v="30-39"/>
  </r>
  <r>
    <s v="1217-CE30"/>
    <s v="Marchelle"/>
    <s v="Duffield"/>
    <x v="0"/>
    <n v="45"/>
    <s v="Some Travel"/>
    <x v="0"/>
    <n v="34"/>
    <s v="CA"/>
    <s v="American Indian or Alaska Native"/>
    <n v="3"/>
    <s v="Marketing"/>
    <x v="0"/>
    <s v="Divorced"/>
    <n v="173037"/>
    <n v="3"/>
    <x v="0"/>
    <d v="2013-03-26T00:00:00"/>
    <s v="No"/>
    <n v="9"/>
    <n v="4"/>
    <n v="9"/>
    <n v="3"/>
    <s v="Bachelors "/>
    <s v="Bachelors "/>
    <s v="Bachelors "/>
    <n v="0"/>
    <s v="40-49"/>
  </r>
  <r>
    <s v="4500-37EB"/>
    <s v="Haydon"/>
    <s v="Bastable"/>
    <x v="1"/>
    <n v="30"/>
    <s v="Frequent Traveller"/>
    <x v="0"/>
    <n v="40"/>
    <s v="CA"/>
    <s v="Mixed or multiple ethnic groups"/>
    <n v="2"/>
    <s v="Marketing"/>
    <x v="9"/>
    <s v="Divorced"/>
    <n v="44632"/>
    <n v="1"/>
    <x v="0"/>
    <d v="2013-03-26T00:00:00"/>
    <s v="Yes"/>
    <n v="1"/>
    <n v="0"/>
    <n v="0"/>
    <n v="0"/>
    <s v="High School "/>
    <s v="High School "/>
    <s v="High School "/>
    <n v="1"/>
    <s v="30-39"/>
  </r>
  <r>
    <s v="AB03-8820"/>
    <s v="Daryle"/>
    <s v="Boarder"/>
    <x v="1"/>
    <n v="43"/>
    <s v="Some Travel"/>
    <x v="0"/>
    <n v="3"/>
    <s v="IL"/>
    <s v="Mixed or multiple ethnic groups"/>
    <n v="1"/>
    <s v="Economics"/>
    <x v="6"/>
    <s v="Married"/>
    <n v="313198"/>
    <n v="1"/>
    <x v="0"/>
    <d v="2013-03-28T00:00:00"/>
    <s v="No"/>
    <n v="9"/>
    <n v="5"/>
    <n v="9"/>
    <n v="2"/>
    <s v="No Formal Qualifications"/>
    <s v="No Formal Qualifications"/>
    <s v="No Formal Qualifications"/>
    <n v="0"/>
    <s v="40-49"/>
  </r>
  <r>
    <s v="DF11-9C46"/>
    <s v="Dulci"/>
    <s v="Sheryn"/>
    <x v="0"/>
    <n v="32"/>
    <s v="Some Travel"/>
    <x v="2"/>
    <n v="2"/>
    <s v="CA"/>
    <s v="Mixed or multiple ethnic groups"/>
    <n v="2"/>
    <s v="Computer Science"/>
    <x v="7"/>
    <s v="Single"/>
    <n v="152314"/>
    <n v="0"/>
    <x v="1"/>
    <d v="2013-03-30T00:00:00"/>
    <s v="No"/>
    <n v="9"/>
    <n v="4"/>
    <n v="6"/>
    <n v="0"/>
    <s v="High School "/>
    <s v="High School "/>
    <s v="High School "/>
    <n v="0"/>
    <s v="30-39"/>
  </r>
  <r>
    <s v="9937-CDF7"/>
    <s v="Galvin"/>
    <s v="Sawley"/>
    <x v="1"/>
    <n v="28"/>
    <s v="Some Travel"/>
    <x v="0"/>
    <n v="19"/>
    <s v="NY"/>
    <s v="Mixed or multiple ethnic groups"/>
    <n v="2"/>
    <s v="Marketing"/>
    <x v="9"/>
    <s v="Married"/>
    <n v="56122"/>
    <n v="0"/>
    <x v="1"/>
    <d v="2013-03-31T00:00:00"/>
    <s v="Yes"/>
    <n v="7"/>
    <n v="5"/>
    <n v="5"/>
    <n v="0"/>
    <s v="High School "/>
    <s v="High School "/>
    <s v="High School "/>
    <n v="1"/>
    <s v="20-29"/>
  </r>
  <r>
    <s v="2BEA-43B2"/>
    <s v="Clay"/>
    <s v="Carabine"/>
    <x v="1"/>
    <n v="48"/>
    <s v="Some Travel"/>
    <x v="2"/>
    <n v="44"/>
    <s v="IL"/>
    <s v="White"/>
    <n v="1"/>
    <s v="Computer Science"/>
    <x v="7"/>
    <s v="Single"/>
    <n v="103198"/>
    <n v="0"/>
    <x v="0"/>
    <d v="2013-04-03T00:00:00"/>
    <s v="No"/>
    <n v="9"/>
    <n v="7"/>
    <n v="9"/>
    <n v="2"/>
    <s v="No Formal Qualifications"/>
    <s v="No Formal Qualifications"/>
    <s v="No Formal Qualifications"/>
    <n v="0"/>
    <s v="40-49"/>
  </r>
  <r>
    <s v="0DBC-596E"/>
    <s v="Dita"/>
    <s v="Perch"/>
    <x v="2"/>
    <n v="44"/>
    <s v="Some Travel"/>
    <x v="2"/>
    <n v="14"/>
    <s v="CA"/>
    <s v="Black or African American"/>
    <n v="2"/>
    <s v="Computer Science"/>
    <x v="4"/>
    <s v="Single"/>
    <n v="92634"/>
    <n v="0"/>
    <x v="1"/>
    <d v="2013-04-06T00:00:00"/>
    <s v="No"/>
    <n v="9"/>
    <n v="8"/>
    <n v="9"/>
    <n v="9"/>
    <s v="High School "/>
    <s v="High School "/>
    <s v="High School "/>
    <n v="0"/>
    <s v="40-49"/>
  </r>
  <r>
    <s v="B09D-DFEC"/>
    <s v="Eustace"/>
    <s v="Skune"/>
    <x v="1"/>
    <n v="47"/>
    <s v="Some Travel"/>
    <x v="2"/>
    <n v="37"/>
    <s v="CA"/>
    <s v="White"/>
    <n v="1"/>
    <s v="Information Systems"/>
    <x v="4"/>
    <s v="Married"/>
    <n v="62999"/>
    <n v="1"/>
    <x v="0"/>
    <d v="2013-04-06T00:00:00"/>
    <s v="No"/>
    <n v="9"/>
    <n v="2"/>
    <n v="3"/>
    <n v="7"/>
    <s v="No Formal Qualifications"/>
    <s v="No Formal Qualifications"/>
    <s v="No Formal Qualifications"/>
    <n v="0"/>
    <s v="40-49"/>
  </r>
  <r>
    <s v="8ED3-4377"/>
    <s v="Giusto"/>
    <s v="Raynes"/>
    <x v="1"/>
    <n v="30"/>
    <s v="Some Travel"/>
    <x v="2"/>
    <n v="33"/>
    <s v="CA"/>
    <s v="White"/>
    <n v="3"/>
    <s v="Computer Science"/>
    <x v="7"/>
    <s v="Single"/>
    <n v="78743"/>
    <n v="0"/>
    <x v="0"/>
    <d v="2013-04-09T00:00:00"/>
    <s v="No"/>
    <n v="9"/>
    <n v="2"/>
    <n v="7"/>
    <n v="4"/>
    <s v="Bachelors "/>
    <s v="Bachelors "/>
    <s v="Bachelors "/>
    <n v="0"/>
    <s v="30-39"/>
  </r>
  <r>
    <s v="C525-8BB9"/>
    <s v="Briggs"/>
    <s v="Pettet"/>
    <x v="1"/>
    <n v="29"/>
    <s v="Some Travel"/>
    <x v="2"/>
    <n v="14"/>
    <s v="NY"/>
    <s v="Black or African American"/>
    <n v="3"/>
    <s v="Other"/>
    <x v="4"/>
    <s v="Divorced"/>
    <n v="70872"/>
    <n v="1"/>
    <x v="0"/>
    <d v="2013-04-10T00:00:00"/>
    <s v="No"/>
    <n v="9"/>
    <n v="2"/>
    <n v="7"/>
    <n v="9"/>
    <s v="Bachelors "/>
    <s v="Bachelors "/>
    <s v="Bachelors "/>
    <n v="0"/>
    <s v="20-29"/>
  </r>
  <r>
    <s v="1F0F-458C"/>
    <s v="Carrie"/>
    <s v="Scroyton"/>
    <x v="0"/>
    <n v="29"/>
    <s v="Some Travel"/>
    <x v="2"/>
    <n v="3"/>
    <s v="NY"/>
    <s v="White"/>
    <n v="3"/>
    <s v="Business Studies"/>
    <x v="4"/>
    <s v="Divorced"/>
    <n v="60388"/>
    <n v="2"/>
    <x v="1"/>
    <d v="2013-04-11T00:00:00"/>
    <s v="Yes"/>
    <n v="5"/>
    <n v="1"/>
    <n v="3"/>
    <n v="1"/>
    <s v="Bachelors "/>
    <s v="Bachelors "/>
    <s v="Bachelors "/>
    <n v="1"/>
    <s v="20-29"/>
  </r>
  <r>
    <s v="9D3C-DA45"/>
    <s v="Broddy"/>
    <s v="Jardine"/>
    <x v="1"/>
    <n v="32"/>
    <s v="Some Travel"/>
    <x v="2"/>
    <n v="24"/>
    <s v="CA"/>
    <s v="Native Hawaiian "/>
    <n v="3"/>
    <s v="Information Systems"/>
    <x v="4"/>
    <s v="Married"/>
    <n v="41857"/>
    <n v="1"/>
    <x v="0"/>
    <d v="2013-04-12T00:00:00"/>
    <s v="No"/>
    <n v="9"/>
    <n v="0"/>
    <n v="5"/>
    <n v="2"/>
    <s v="Bachelors "/>
    <s v="Bachelors "/>
    <s v="Bachelors "/>
    <n v="0"/>
    <s v="30-39"/>
  </r>
  <r>
    <s v="D13E-E661"/>
    <s v="Benson"/>
    <s v="Van De Cappelle"/>
    <x v="1"/>
    <n v="36"/>
    <s v="Some Travel"/>
    <x v="0"/>
    <n v="38"/>
    <s v="CA"/>
    <s v="White"/>
    <n v="2"/>
    <s v="Marketing"/>
    <x v="0"/>
    <s v="Married"/>
    <n v="298558"/>
    <n v="1"/>
    <x v="1"/>
    <d v="2013-04-12T00:00:00"/>
    <s v="No"/>
    <n v="9"/>
    <n v="4"/>
    <n v="4"/>
    <n v="7"/>
    <s v="High School "/>
    <s v="High School "/>
    <s v="High School "/>
    <n v="0"/>
    <s v="30-39"/>
  </r>
  <r>
    <s v="618D-7685"/>
    <s v="Maridel"/>
    <s v="O'Hederscoll"/>
    <x v="0"/>
    <n v="30"/>
    <s v="Some Travel"/>
    <x v="2"/>
    <n v="26"/>
    <s v="CA"/>
    <s v="White"/>
    <n v="3"/>
    <s v="Information Systems"/>
    <x v="4"/>
    <s v="Single"/>
    <n v="96170"/>
    <n v="0"/>
    <x v="0"/>
    <d v="2013-04-15T00:00:00"/>
    <s v="No"/>
    <n v="9"/>
    <n v="4"/>
    <n v="9"/>
    <n v="1"/>
    <s v="Bachelors "/>
    <s v="Bachelors "/>
    <s v="Bachelors "/>
    <n v="0"/>
    <s v="30-39"/>
  </r>
  <r>
    <s v="9825-45EF"/>
    <s v="Godfrey"/>
    <s v="Reynoollds"/>
    <x v="2"/>
    <n v="36"/>
    <s v="No Travel "/>
    <x v="0"/>
    <n v="31"/>
    <s v="CA"/>
    <s v="Mixed or multiple ethnic groups"/>
    <n v="2"/>
    <s v="Economics"/>
    <x v="9"/>
    <s v="Single"/>
    <n v="56937"/>
    <n v="0"/>
    <x v="0"/>
    <d v="2013-04-17T00:00:00"/>
    <s v="No"/>
    <n v="9"/>
    <n v="5"/>
    <n v="8"/>
    <n v="2"/>
    <s v="High School "/>
    <s v="High School "/>
    <s v="High School "/>
    <n v="0"/>
    <s v="30-39"/>
  </r>
  <r>
    <s v="1609-65E1"/>
    <s v="Vita"/>
    <s v="Cicchelli"/>
    <x v="0"/>
    <n v="33"/>
    <s v="Frequent Traveller"/>
    <x v="2"/>
    <n v="34"/>
    <s v="IL"/>
    <s v="Asian or Asian American"/>
    <n v="2"/>
    <s v="Computer Science"/>
    <x v="5"/>
    <s v="Single"/>
    <n v="91407"/>
    <n v="0"/>
    <x v="0"/>
    <d v="2013-04-17T00:00:00"/>
    <s v="No"/>
    <n v="9"/>
    <n v="9"/>
    <n v="9"/>
    <n v="4"/>
    <s v="High School "/>
    <s v="High School "/>
    <s v="High School "/>
    <n v="0"/>
    <s v="30-39"/>
  </r>
  <r>
    <s v="6965-C170"/>
    <s v="Joya"/>
    <s v="Hefford"/>
    <x v="0"/>
    <n v="48"/>
    <s v="Some Travel"/>
    <x v="0"/>
    <n v="32"/>
    <s v="NY"/>
    <s v="White"/>
    <n v="3"/>
    <s v="Technical Degree"/>
    <x v="6"/>
    <s v="Married"/>
    <n v="354336"/>
    <n v="1"/>
    <x v="1"/>
    <d v="2013-04-18T00:00:00"/>
    <s v="No"/>
    <n v="9"/>
    <n v="1"/>
    <n v="2"/>
    <n v="9"/>
    <s v="Bachelors "/>
    <s v="Bachelors "/>
    <s v="Bachelors "/>
    <n v="0"/>
    <s v="40-49"/>
  </r>
  <r>
    <s v="F523-1135"/>
    <s v="Derrik"/>
    <s v="Seage"/>
    <x v="1"/>
    <n v="29"/>
    <s v="Frequent Traveller"/>
    <x v="2"/>
    <n v="17"/>
    <s v="NY"/>
    <s v="Black or African American"/>
    <n v="2"/>
    <s v="Computer Science"/>
    <x v="5"/>
    <s v="Divorced"/>
    <n v="129703"/>
    <n v="3"/>
    <x v="0"/>
    <d v="2013-04-25T00:00:00"/>
    <s v="No"/>
    <n v="9"/>
    <n v="6"/>
    <n v="6"/>
    <n v="3"/>
    <s v="High School "/>
    <s v="High School "/>
    <s v="High School "/>
    <n v="0"/>
    <s v="20-29"/>
  </r>
  <r>
    <s v="465A-91D1"/>
    <s v="Ranna"/>
    <s v="Crosbie"/>
    <x v="0"/>
    <n v="42"/>
    <s v="Some Travel"/>
    <x v="0"/>
    <n v="36"/>
    <s v="NY"/>
    <s v="Other "/>
    <n v="1"/>
    <s v="Marketing "/>
    <x v="9"/>
    <s v="Single"/>
    <n v="43753"/>
    <n v="0"/>
    <x v="0"/>
    <d v="2013-05-01T00:00:00"/>
    <s v="No"/>
    <n v="9"/>
    <n v="0"/>
    <n v="1"/>
    <n v="1"/>
    <s v="No Formal Qualifications"/>
    <s v="No Formal Qualifications"/>
    <s v="No Formal Qualifications"/>
    <n v="0"/>
    <s v="40-49"/>
  </r>
  <r>
    <s v="2B7A-9C73"/>
    <s v="Bryanty"/>
    <s v="Wickersley"/>
    <x v="2"/>
    <n v="45"/>
    <s v="Frequent Traveller"/>
    <x v="2"/>
    <n v="17"/>
    <s v="CA"/>
    <s v="White"/>
    <n v="4"/>
    <s v="Computer Science"/>
    <x v="5"/>
    <s v="Single"/>
    <n v="123619"/>
    <n v="0"/>
    <x v="1"/>
    <d v="2013-05-01T00:00:00"/>
    <s v="No"/>
    <n v="9"/>
    <n v="7"/>
    <n v="9"/>
    <n v="2"/>
    <s v="Masters "/>
    <s v="Masters "/>
    <s v="Masters "/>
    <n v="0"/>
    <s v="40-49"/>
  </r>
  <r>
    <s v="A2B5-823F"/>
    <s v="Adrian"/>
    <s v="Westhead"/>
    <x v="2"/>
    <n v="44"/>
    <s v="Some Travel"/>
    <x v="2"/>
    <n v="32"/>
    <s v="CA"/>
    <s v="White"/>
    <n v="3"/>
    <s v="Computer Science"/>
    <x v="5"/>
    <s v="Married"/>
    <n v="257978"/>
    <n v="1"/>
    <x v="1"/>
    <d v="2013-05-02T00:00:00"/>
    <s v="No"/>
    <n v="9"/>
    <n v="2"/>
    <n v="4"/>
    <n v="1"/>
    <s v="Bachelors "/>
    <s v="Bachelors "/>
    <s v="Bachelors "/>
    <n v="0"/>
    <s v="40-49"/>
  </r>
  <r>
    <s v="F838-C681"/>
    <s v="Shay"/>
    <s v="Casburn"/>
    <x v="1"/>
    <n v="32"/>
    <s v="Some Travel"/>
    <x v="2"/>
    <n v="22"/>
    <s v="IL"/>
    <s v="Black or African American"/>
    <n v="4"/>
    <s v="Business Studies"/>
    <x v="7"/>
    <s v="Married"/>
    <n v="72688"/>
    <n v="1"/>
    <x v="0"/>
    <d v="2013-05-06T00:00:00"/>
    <s v="No"/>
    <n v="9"/>
    <n v="3"/>
    <n v="3"/>
    <n v="8"/>
    <s v="Masters "/>
    <s v="Masters "/>
    <s v="Masters "/>
    <n v="0"/>
    <s v="30-39"/>
  </r>
  <r>
    <s v="7F91-C628"/>
    <s v="Bertie"/>
    <s v="Suthren"/>
    <x v="2"/>
    <n v="36"/>
    <s v="Frequent Traveller"/>
    <x v="2"/>
    <n v="14"/>
    <s v="IL"/>
    <s v="White"/>
    <n v="1"/>
    <s v="Information Systems"/>
    <x v="4"/>
    <s v="Single"/>
    <n v="43358"/>
    <n v="0"/>
    <x v="0"/>
    <d v="2013-05-07T00:00:00"/>
    <s v="No"/>
    <n v="9"/>
    <n v="0"/>
    <n v="9"/>
    <n v="5"/>
    <s v="No Formal Qualifications"/>
    <s v="No Formal Qualifications"/>
    <s v="No Formal Qualifications"/>
    <n v="0"/>
    <s v="30-39"/>
  </r>
  <r>
    <s v="565B-C207"/>
    <s v="Seline"/>
    <s v="Ganny"/>
    <x v="0"/>
    <n v="30"/>
    <s v="No Travel "/>
    <x v="2"/>
    <n v="3"/>
    <s v="IL"/>
    <s v="White"/>
    <n v="3"/>
    <s v="Information Systems"/>
    <x v="4"/>
    <s v="Married"/>
    <n v="47338"/>
    <n v="1"/>
    <x v="0"/>
    <d v="2013-05-08T00:00:00"/>
    <s v="No"/>
    <n v="9"/>
    <n v="4"/>
    <n v="9"/>
    <n v="1"/>
    <s v="Bachelors "/>
    <s v="Bachelors "/>
    <s v="Bachelors "/>
    <n v="0"/>
    <s v="30-39"/>
  </r>
  <r>
    <s v="4DA0-81D7"/>
    <s v="Cole"/>
    <s v="Vost"/>
    <x v="1"/>
    <n v="28"/>
    <s v="Some Travel"/>
    <x v="1"/>
    <n v="34"/>
    <s v="CA"/>
    <s v="Asian or Asian American"/>
    <n v="2"/>
    <s v="Marketing "/>
    <x v="11"/>
    <s v="Single"/>
    <n v="94534"/>
    <n v="0"/>
    <x v="0"/>
    <d v="2013-05-11T00:00:00"/>
    <s v="No"/>
    <n v="9"/>
    <n v="3"/>
    <n v="3"/>
    <n v="1"/>
    <s v="High School "/>
    <s v="High School "/>
    <s v="High School "/>
    <n v="0"/>
    <s v="20-29"/>
  </r>
  <r>
    <s v="5818-560C"/>
    <s v="Donny"/>
    <s v="Tosh"/>
    <x v="0"/>
    <n v="30"/>
    <s v="Some Travel"/>
    <x v="2"/>
    <n v="26"/>
    <s v="CA"/>
    <s v="Black or African American"/>
    <n v="1"/>
    <s v="Computer Science"/>
    <x v="8"/>
    <s v="Divorced"/>
    <n v="159438"/>
    <n v="2"/>
    <x v="0"/>
    <d v="2013-05-22T00:00:00"/>
    <s v="No"/>
    <n v="9"/>
    <n v="4"/>
    <n v="4"/>
    <n v="7"/>
    <s v="No Formal Qualifications"/>
    <s v="No Formal Qualifications"/>
    <s v="No Formal Qualifications"/>
    <n v="0"/>
    <s v="30-39"/>
  </r>
  <r>
    <s v="1363-6BF9"/>
    <s v="Mikel"/>
    <s v="Worrall"/>
    <x v="1"/>
    <n v="36"/>
    <s v="Some Travel"/>
    <x v="2"/>
    <n v="10"/>
    <s v="CA"/>
    <s v="Other "/>
    <n v="3"/>
    <s v="Business Studies"/>
    <x v="8"/>
    <s v="Single"/>
    <n v="189405"/>
    <n v="0"/>
    <x v="0"/>
    <d v="2013-05-23T00:00:00"/>
    <s v="No"/>
    <n v="9"/>
    <n v="4"/>
    <n v="6"/>
    <n v="7"/>
    <s v="Bachelors "/>
    <s v="Bachelors "/>
    <s v="Bachelors "/>
    <n v="0"/>
    <s v="30-39"/>
  </r>
  <r>
    <s v="05B0-755F"/>
    <s v="Sollie"/>
    <s v="Arnke"/>
    <x v="1"/>
    <n v="44"/>
    <s v="Some Travel"/>
    <x v="2"/>
    <n v="29"/>
    <s v="CA"/>
    <s v="Asian or Asian American"/>
    <n v="3"/>
    <s v="Computer Science"/>
    <x v="4"/>
    <s v="Married"/>
    <n v="57890"/>
    <n v="0"/>
    <x v="0"/>
    <d v="2013-05-24T00:00:00"/>
    <s v="No"/>
    <n v="9"/>
    <n v="8"/>
    <n v="8"/>
    <n v="8"/>
    <s v="Bachelors "/>
    <s v="Bachelors "/>
    <s v="Bachelors "/>
    <n v="0"/>
    <s v="40-49"/>
  </r>
  <r>
    <s v="4C62-5BE8"/>
    <s v="Cristine"/>
    <s v="Lambdon"/>
    <x v="2"/>
    <n v="39"/>
    <s v="Frequent Traveller"/>
    <x v="2"/>
    <n v="4"/>
    <s v="CA"/>
    <s v="White"/>
    <n v="1"/>
    <s v="Business Studies"/>
    <x v="7"/>
    <s v="Single"/>
    <n v="87879"/>
    <n v="0"/>
    <x v="1"/>
    <d v="2013-05-25T00:00:00"/>
    <s v="No"/>
    <n v="9"/>
    <n v="6"/>
    <n v="8"/>
    <n v="9"/>
    <s v="No Formal Qualifications"/>
    <s v="No Formal Qualifications"/>
    <s v="No Formal Qualifications"/>
    <n v="0"/>
    <s v="30-39"/>
  </r>
  <r>
    <s v="2523-EFD4"/>
    <s v="Vanny"/>
    <s v="Ruggen"/>
    <x v="0"/>
    <n v="34"/>
    <s v="Some Travel"/>
    <x v="2"/>
    <n v="14"/>
    <s v="NY"/>
    <s v="White"/>
    <n v="2"/>
    <s v="Information Systems"/>
    <x v="8"/>
    <s v="Single"/>
    <n v="154405"/>
    <n v="0"/>
    <x v="0"/>
    <d v="2013-05-27T00:00:00"/>
    <s v="No"/>
    <n v="9"/>
    <n v="7"/>
    <n v="7"/>
    <n v="1"/>
    <s v="High School "/>
    <s v="High School "/>
    <s v="High School "/>
    <n v="0"/>
    <s v="30-39"/>
  </r>
  <r>
    <s v="21B3-8491"/>
    <s v="Nicky"/>
    <s v="Janssens"/>
    <x v="1"/>
    <n v="42"/>
    <s v="Some Travel"/>
    <x v="2"/>
    <n v="37"/>
    <s v="CA"/>
    <s v="Black or African American"/>
    <n v="4"/>
    <s v="Computer Science"/>
    <x v="10"/>
    <s v="Married"/>
    <n v="244114"/>
    <n v="1"/>
    <x v="0"/>
    <d v="2013-05-28T00:00:00"/>
    <s v="No"/>
    <n v="9"/>
    <n v="6"/>
    <n v="7"/>
    <n v="0"/>
    <s v="Masters "/>
    <s v="Masters "/>
    <s v="Masters "/>
    <n v="0"/>
    <s v="40-49"/>
  </r>
  <r>
    <s v="F3CD-9B5B"/>
    <s v="Timothee"/>
    <s v="MacFadyen"/>
    <x v="1"/>
    <n v="29"/>
    <s v="Some Travel"/>
    <x v="0"/>
    <n v="12"/>
    <s v="IL"/>
    <s v="Asian or Asian American"/>
    <n v="2"/>
    <s v="Marketing "/>
    <x v="9"/>
    <s v="Married"/>
    <n v="97794"/>
    <n v="0"/>
    <x v="0"/>
    <d v="2013-05-30T00:00:00"/>
    <s v="Yes"/>
    <n v="2"/>
    <n v="0"/>
    <n v="1"/>
    <n v="0"/>
    <s v="High School "/>
    <s v="High School "/>
    <s v="High School "/>
    <n v="1"/>
    <s v="20-29"/>
  </r>
  <r>
    <s v="DCFE-F601"/>
    <s v="Bertram"/>
    <s v="Abrahami"/>
    <x v="1"/>
    <n v="48"/>
    <s v="Some Travel"/>
    <x v="2"/>
    <n v="36"/>
    <s v="IL"/>
    <s v="White"/>
    <n v="3"/>
    <s v="Information Systems"/>
    <x v="8"/>
    <s v="Single"/>
    <n v="180561"/>
    <n v="0"/>
    <x v="0"/>
    <d v="2013-06-01T00:00:00"/>
    <s v="No"/>
    <n v="9"/>
    <n v="1"/>
    <n v="8"/>
    <n v="7"/>
    <s v="Bachelors "/>
    <s v="Bachelors "/>
    <s v="Bachelors "/>
    <n v="0"/>
    <s v="40-49"/>
  </r>
  <r>
    <s v="DD78-E811"/>
    <s v="Addy"/>
    <s v="Slimings"/>
    <x v="0"/>
    <n v="38"/>
    <s v="Some Travel"/>
    <x v="2"/>
    <n v="25"/>
    <s v="CA"/>
    <s v="Asian or Asian American"/>
    <n v="2"/>
    <s v="Other"/>
    <x v="4"/>
    <s v="Married"/>
    <n v="60549"/>
    <n v="1"/>
    <x v="0"/>
    <d v="2013-06-05T00:00:00"/>
    <s v="No"/>
    <n v="9"/>
    <n v="5"/>
    <n v="6"/>
    <n v="6"/>
    <s v="High School "/>
    <s v="High School "/>
    <s v="High School "/>
    <n v="0"/>
    <s v="30-39"/>
  </r>
  <r>
    <s v="45D2-369E"/>
    <s v="Melvin"/>
    <s v="McGeneay"/>
    <x v="1"/>
    <n v="30"/>
    <s v="Some Travel"/>
    <x v="2"/>
    <n v="7"/>
    <s v="CA"/>
    <s v="White"/>
    <n v="1"/>
    <s v="Information Systems"/>
    <x v="4"/>
    <s v="Married"/>
    <n v="70182"/>
    <n v="1"/>
    <x v="0"/>
    <d v="2013-06-07T00:00:00"/>
    <s v="No"/>
    <n v="9"/>
    <n v="8"/>
    <n v="9"/>
    <n v="8"/>
    <s v="No Formal Qualifications"/>
    <s v="No Formal Qualifications"/>
    <s v="No Formal Qualifications"/>
    <n v="0"/>
    <s v="30-39"/>
  </r>
  <r>
    <s v="0D8F-C0F3"/>
    <s v="Cathrine"/>
    <s v="Lankford"/>
    <x v="0"/>
    <n v="29"/>
    <s v="Some Travel"/>
    <x v="2"/>
    <n v="44"/>
    <s v="CA"/>
    <s v="Asian or Asian American"/>
    <n v="3"/>
    <s v="Business Studies"/>
    <x v="4"/>
    <s v="Divorced"/>
    <n v="67578"/>
    <n v="1"/>
    <x v="0"/>
    <d v="2013-06-10T00:00:00"/>
    <s v="Yes"/>
    <n v="1"/>
    <n v="0"/>
    <n v="0"/>
    <n v="0"/>
    <s v="Bachelors "/>
    <s v="Bachelors "/>
    <s v="Bachelors "/>
    <n v="1"/>
    <s v="20-29"/>
  </r>
  <r>
    <s v="6FE1-C8A8"/>
    <s v="Marchall"/>
    <s v="Burnes"/>
    <x v="1"/>
    <n v="29"/>
    <s v="Some Travel"/>
    <x v="0"/>
    <n v="35"/>
    <s v="NY"/>
    <s v="Black or African American"/>
    <n v="2"/>
    <s v="Economics"/>
    <x v="0"/>
    <s v="Married"/>
    <n v="140962"/>
    <n v="0"/>
    <x v="1"/>
    <d v="2013-06-13T00:00:00"/>
    <s v="Yes"/>
    <n v="4"/>
    <n v="0"/>
    <n v="2"/>
    <n v="4"/>
    <s v="High School "/>
    <s v="High School "/>
    <s v="High School "/>
    <n v="1"/>
    <s v="20-29"/>
  </r>
  <r>
    <s v="AB81-A3A0"/>
    <s v="Jerrome"/>
    <s v="Furney"/>
    <x v="1"/>
    <n v="29"/>
    <s v="Some Travel"/>
    <x v="0"/>
    <n v="14"/>
    <s v="CA"/>
    <s v="White"/>
    <n v="4"/>
    <s v="Marketing"/>
    <x v="0"/>
    <s v="Married"/>
    <n v="96319"/>
    <n v="2"/>
    <x v="0"/>
    <d v="2013-06-14T00:00:00"/>
    <s v="No"/>
    <n v="9"/>
    <n v="1"/>
    <n v="4"/>
    <n v="5"/>
    <s v="Masters "/>
    <s v="Masters "/>
    <s v="Masters "/>
    <n v="0"/>
    <s v="20-29"/>
  </r>
  <r>
    <s v="6E7B-D50D"/>
    <s v="Anet"/>
    <s v="Dublin"/>
    <x v="0"/>
    <n v="38"/>
    <s v="Some Travel"/>
    <x v="2"/>
    <n v="12"/>
    <s v="CA"/>
    <s v="White"/>
    <n v="1"/>
    <s v="Other"/>
    <x v="8"/>
    <s v="Married"/>
    <n v="253077"/>
    <n v="1"/>
    <x v="0"/>
    <d v="2013-06-15T00:00:00"/>
    <s v="No"/>
    <n v="9"/>
    <n v="3"/>
    <n v="3"/>
    <n v="8"/>
    <s v="No Formal Qualifications"/>
    <s v="No Formal Qualifications"/>
    <s v="No Formal Qualifications"/>
    <n v="0"/>
    <s v="30-39"/>
  </r>
  <r>
    <s v="307F-9BFA"/>
    <s v="Elly"/>
    <s v="Kennan"/>
    <x v="0"/>
    <n v="43"/>
    <s v="Some Travel"/>
    <x v="2"/>
    <n v="21"/>
    <s v="NY"/>
    <s v="White"/>
    <n v="2"/>
    <s v="Computer Science"/>
    <x v="7"/>
    <s v="Married"/>
    <n v="94499"/>
    <n v="1"/>
    <x v="0"/>
    <d v="2013-06-22T00:00:00"/>
    <s v="No"/>
    <n v="9"/>
    <n v="0"/>
    <n v="1"/>
    <n v="7"/>
    <s v="High School "/>
    <s v="High School "/>
    <s v="High School "/>
    <n v="0"/>
    <s v="40-49"/>
  </r>
  <r>
    <s v="7F1C-20B8"/>
    <s v="Page"/>
    <s v="Sculpher"/>
    <x v="0"/>
    <n v="39"/>
    <s v="Some Travel"/>
    <x v="2"/>
    <n v="10"/>
    <s v="CA"/>
    <s v="Mixed or multiple ethnic groups"/>
    <n v="2"/>
    <s v="Information Systems"/>
    <x v="4"/>
    <s v="Divorced"/>
    <n v="65796"/>
    <n v="1"/>
    <x v="0"/>
    <d v="2013-07-02T00:00:00"/>
    <s v="No"/>
    <n v="9"/>
    <n v="9"/>
    <n v="9"/>
    <n v="5"/>
    <s v="High School "/>
    <s v="High School "/>
    <s v="High School "/>
    <n v="0"/>
    <s v="30-39"/>
  </r>
  <r>
    <s v="606E-A262"/>
    <s v="Parke"/>
    <s v="Loxton"/>
    <x v="1"/>
    <n v="28"/>
    <s v="Some Travel"/>
    <x v="2"/>
    <n v="27"/>
    <s v="CA"/>
    <s v="White"/>
    <n v="1"/>
    <s v="Information Systems"/>
    <x v="10"/>
    <s v="Married"/>
    <n v="277344"/>
    <n v="0"/>
    <x v="1"/>
    <d v="2013-07-02T00:00:00"/>
    <s v="Yes"/>
    <n v="3"/>
    <n v="1"/>
    <n v="1"/>
    <n v="1"/>
    <s v="No Formal Qualifications"/>
    <s v="No Formal Qualifications"/>
    <s v="No Formal Qualifications"/>
    <n v="1"/>
    <s v="20-29"/>
  </r>
  <r>
    <s v="F890-975A"/>
    <s v="Hynda"/>
    <s v="Stonehouse"/>
    <x v="0"/>
    <n v="48"/>
    <s v="Some Travel"/>
    <x v="2"/>
    <n v="35"/>
    <s v="CA"/>
    <s v="Mixed or multiple ethnic groups"/>
    <n v="2"/>
    <s v="Information Systems"/>
    <x v="2"/>
    <s v="Divorced"/>
    <n v="314656"/>
    <n v="1"/>
    <x v="0"/>
    <d v="2013-07-09T00:00:00"/>
    <s v="No"/>
    <n v="9"/>
    <n v="7"/>
    <n v="8"/>
    <n v="3"/>
    <s v="High School "/>
    <s v="High School "/>
    <s v="High School "/>
    <n v="0"/>
    <s v="40-49"/>
  </r>
  <r>
    <s v="9C57-828C"/>
    <s v="Stearn"/>
    <s v="Bever"/>
    <x v="1"/>
    <n v="31"/>
    <s v="Some Travel"/>
    <x v="2"/>
    <n v="39"/>
    <s v="IL"/>
    <s v="American Indian or Alaska Native"/>
    <n v="3"/>
    <s v="Computer Science"/>
    <x v="8"/>
    <s v="Single"/>
    <n v="242890"/>
    <n v="0"/>
    <x v="0"/>
    <d v="2013-07-11T00:00:00"/>
    <s v="No"/>
    <n v="9"/>
    <n v="3"/>
    <n v="3"/>
    <n v="9"/>
    <s v="Bachelors "/>
    <s v="Bachelors "/>
    <s v="Bachelors "/>
    <n v="0"/>
    <s v="30-39"/>
  </r>
  <r>
    <s v="8CF6-3079"/>
    <s v="Jaquenetta"/>
    <s v="Corkel"/>
    <x v="0"/>
    <n v="27"/>
    <s v="Some Travel"/>
    <x v="2"/>
    <n v="1"/>
    <s v="NY"/>
    <s v="Black or African American"/>
    <n v="4"/>
    <s v="Computer Science"/>
    <x v="4"/>
    <s v="Divorced"/>
    <n v="40050"/>
    <n v="1"/>
    <x v="1"/>
    <d v="2013-07-16T00:00:00"/>
    <s v="Yes"/>
    <n v="1"/>
    <n v="0"/>
    <n v="0"/>
    <n v="0"/>
    <s v="Masters "/>
    <s v="Masters "/>
    <s v="Masters "/>
    <n v="1"/>
    <s v="20-29"/>
  </r>
  <r>
    <s v="5021-95FC"/>
    <s v="Louie"/>
    <s v="Trowsdall"/>
    <x v="1"/>
    <n v="29"/>
    <s v="Some Travel"/>
    <x v="0"/>
    <n v="44"/>
    <s v="CA"/>
    <s v="White"/>
    <n v="3"/>
    <s v="Marketing"/>
    <x v="6"/>
    <s v="Single"/>
    <n v="377203"/>
    <n v="0"/>
    <x v="1"/>
    <d v="2013-07-16T00:00:00"/>
    <s v="Yes"/>
    <n v="5"/>
    <n v="4"/>
    <n v="4"/>
    <n v="0"/>
    <s v="Bachelors "/>
    <s v="Bachelors "/>
    <s v="Bachelors "/>
    <n v="1"/>
    <s v="20-29"/>
  </r>
  <r>
    <s v="CD0F-DE05"/>
    <s v="Prudence"/>
    <s v="Cockrell"/>
    <x v="0"/>
    <n v="28"/>
    <s v="No Travel "/>
    <x v="2"/>
    <n v="43"/>
    <s v="CA"/>
    <s v="White"/>
    <n v="3"/>
    <s v="Computer Science"/>
    <x v="7"/>
    <s v="Single"/>
    <n v="50175"/>
    <n v="0"/>
    <x v="0"/>
    <d v="2013-07-18T00:00:00"/>
    <s v="No"/>
    <n v="9"/>
    <n v="9"/>
    <n v="9"/>
    <n v="3"/>
    <s v="Bachelors "/>
    <s v="Bachelors "/>
    <s v="Bachelors "/>
    <n v="0"/>
    <s v="20-29"/>
  </r>
  <r>
    <s v="F430-0404"/>
    <s v="Randie"/>
    <s v="Mouth"/>
    <x v="0"/>
    <n v="32"/>
    <s v="No Travel "/>
    <x v="0"/>
    <n v="23"/>
    <s v="CA"/>
    <s v="Asian or Asian American"/>
    <n v="4"/>
    <s v="Economics"/>
    <x v="0"/>
    <s v="Divorced"/>
    <n v="237749"/>
    <n v="1"/>
    <x v="0"/>
    <d v="2013-07-19T00:00:00"/>
    <s v="No"/>
    <n v="9"/>
    <n v="1"/>
    <n v="6"/>
    <n v="6"/>
    <s v="Masters "/>
    <s v="Masters "/>
    <s v="Masters "/>
    <n v="0"/>
    <s v="30-39"/>
  </r>
  <r>
    <s v="1F12-DDDA"/>
    <s v="Farly"/>
    <s v="Drinan"/>
    <x v="1"/>
    <n v="32"/>
    <s v="No Travel "/>
    <x v="2"/>
    <n v="12"/>
    <s v="NY"/>
    <s v="White"/>
    <n v="4"/>
    <s v="Information Systems"/>
    <x v="7"/>
    <s v="Married"/>
    <n v="111294"/>
    <n v="1"/>
    <x v="0"/>
    <d v="2013-07-19T00:00:00"/>
    <s v="No"/>
    <n v="9"/>
    <n v="2"/>
    <n v="9"/>
    <n v="4"/>
    <s v="Masters "/>
    <s v="Masters "/>
    <s v="Masters "/>
    <n v="0"/>
    <s v="30-39"/>
  </r>
  <r>
    <s v="BFE7-5EA8"/>
    <s v="Siobhan"/>
    <s v="Antognelli"/>
    <x v="2"/>
    <n v="41"/>
    <s v="Frequent Traveller"/>
    <x v="0"/>
    <n v="3"/>
    <s v="NY"/>
    <s v="White"/>
    <n v="3"/>
    <s v="Marketing "/>
    <x v="0"/>
    <s v="Single"/>
    <n v="248987"/>
    <n v="0"/>
    <x v="0"/>
    <d v="2013-07-19T00:00:00"/>
    <s v="No"/>
    <n v="9"/>
    <n v="5"/>
    <n v="9"/>
    <n v="5"/>
    <s v="Bachelors "/>
    <s v="Bachelors "/>
    <s v="Bachelors "/>
    <n v="0"/>
    <s v="40-49"/>
  </r>
  <r>
    <s v="549F-B3E7"/>
    <s v="Arlyne"/>
    <s v="Paylie"/>
    <x v="0"/>
    <n v="41"/>
    <s v="No Travel "/>
    <x v="0"/>
    <n v="34"/>
    <s v="NY"/>
    <s v="White"/>
    <n v="2"/>
    <s v="Marketing "/>
    <x v="0"/>
    <s v="Married"/>
    <n v="109747"/>
    <n v="1"/>
    <x v="0"/>
    <d v="2013-07-20T00:00:00"/>
    <s v="No"/>
    <n v="9"/>
    <n v="8"/>
    <n v="9"/>
    <n v="5"/>
    <s v="High School "/>
    <s v="High School "/>
    <s v="High School "/>
    <n v="0"/>
    <s v="40-49"/>
  </r>
  <r>
    <s v="B303-8962"/>
    <s v="Lynne"/>
    <s v="Boomes"/>
    <x v="0"/>
    <n v="39"/>
    <s v="Some Travel"/>
    <x v="0"/>
    <n v="15"/>
    <s v="CA"/>
    <s v="Mixed or multiple ethnic groups"/>
    <n v="3"/>
    <s v="Marketing "/>
    <x v="0"/>
    <s v="Married"/>
    <n v="136970"/>
    <n v="1"/>
    <x v="0"/>
    <d v="2013-07-28T00:00:00"/>
    <s v="No"/>
    <n v="9"/>
    <n v="4"/>
    <n v="8"/>
    <n v="2"/>
    <s v="Bachelors "/>
    <s v="Bachelors "/>
    <s v="Bachelors "/>
    <n v="0"/>
    <s v="30-39"/>
  </r>
  <r>
    <s v="B48C-47D0"/>
    <s v="Norman"/>
    <s v="Longmuir"/>
    <x v="1"/>
    <n v="28"/>
    <s v="Frequent Traveller"/>
    <x v="0"/>
    <n v="28"/>
    <s v="NY"/>
    <s v="Mixed or multiple ethnic groups"/>
    <n v="3"/>
    <s v="Marketing "/>
    <x v="9"/>
    <s v="Single"/>
    <n v="43939"/>
    <n v="0"/>
    <x v="0"/>
    <d v="2013-07-29T00:00:00"/>
    <s v="Yes"/>
    <n v="6"/>
    <n v="1"/>
    <n v="4"/>
    <n v="3"/>
    <s v="Bachelors "/>
    <s v="Bachelors "/>
    <s v="Bachelors "/>
    <n v="1"/>
    <s v="20-29"/>
  </r>
  <r>
    <s v="CD4D-7BBA"/>
    <s v="Cristian"/>
    <s v="Massy"/>
    <x v="1"/>
    <n v="43"/>
    <s v="Some Travel"/>
    <x v="2"/>
    <n v="38"/>
    <s v="CA"/>
    <s v="White"/>
    <n v="4"/>
    <s v="Computer Science"/>
    <x v="7"/>
    <s v="Married"/>
    <n v="155786"/>
    <n v="1"/>
    <x v="1"/>
    <d v="2013-07-29T00:00:00"/>
    <s v="No"/>
    <n v="9"/>
    <n v="0"/>
    <n v="7"/>
    <n v="5"/>
    <s v="Masters "/>
    <s v="Masters "/>
    <s v="Masters "/>
    <n v="0"/>
    <s v="40-49"/>
  </r>
  <r>
    <s v="7349-CCE0"/>
    <s v="Elisabeth"/>
    <s v="Pettyfar"/>
    <x v="0"/>
    <n v="32"/>
    <s v="Some Travel"/>
    <x v="2"/>
    <n v="7"/>
    <s v="CA"/>
    <s v="Mixed or multiple ethnic groups"/>
    <n v="4"/>
    <s v="Computer Science"/>
    <x v="7"/>
    <s v="Divorced"/>
    <n v="85568"/>
    <n v="1"/>
    <x v="0"/>
    <d v="2013-07-31T00:00:00"/>
    <s v="No"/>
    <n v="9"/>
    <n v="7"/>
    <n v="9"/>
    <n v="1"/>
    <s v="Masters "/>
    <s v="Masters "/>
    <s v="Masters "/>
    <n v="0"/>
    <s v="30-39"/>
  </r>
  <r>
    <s v="4316-C080"/>
    <s v="Padraig"/>
    <s v="Carnell"/>
    <x v="1"/>
    <n v="34"/>
    <s v="No Travel "/>
    <x v="2"/>
    <n v="25"/>
    <s v="CA"/>
    <s v="Mixed or multiple ethnic groups"/>
    <n v="1"/>
    <s v="Computer Science"/>
    <x v="8"/>
    <s v="Married"/>
    <n v="238630"/>
    <n v="1"/>
    <x v="0"/>
    <d v="2013-08-05T00:00:00"/>
    <s v="No"/>
    <n v="9"/>
    <n v="0"/>
    <n v="3"/>
    <n v="6"/>
    <s v="No Formal Qualifications"/>
    <s v="No Formal Qualifications"/>
    <s v="No Formal Qualifications"/>
    <n v="0"/>
    <s v="30-39"/>
  </r>
  <r>
    <s v="279C-7342"/>
    <s v="Amelita"/>
    <s v="Liveley"/>
    <x v="2"/>
    <n v="29"/>
    <s v="Frequent Traveller"/>
    <x v="0"/>
    <n v="31"/>
    <s v="CA"/>
    <s v="White"/>
    <n v="4"/>
    <s v="Marketing"/>
    <x v="0"/>
    <s v="Married"/>
    <n v="100925"/>
    <n v="1"/>
    <x v="1"/>
    <d v="2013-08-08T00:00:00"/>
    <s v="Yes"/>
    <n v="3"/>
    <n v="1"/>
    <n v="1"/>
    <n v="1"/>
    <s v="Masters "/>
    <s v="Masters "/>
    <s v="Masters "/>
    <n v="1"/>
    <s v="20-29"/>
  </r>
  <r>
    <s v="819A-2C9C"/>
    <s v="Hillary"/>
    <s v="Atchly"/>
    <x v="1"/>
    <n v="30"/>
    <s v="No Travel "/>
    <x v="2"/>
    <n v="7"/>
    <s v="NY"/>
    <s v="American Indian or Alaska Native"/>
    <n v="3"/>
    <s v="Computer Science"/>
    <x v="4"/>
    <s v="Married"/>
    <n v="138989"/>
    <n v="1"/>
    <x v="1"/>
    <d v="2013-08-14T00:00:00"/>
    <s v="No"/>
    <n v="9"/>
    <n v="2"/>
    <n v="4"/>
    <n v="8"/>
    <s v="Bachelors "/>
    <s v="Bachelors "/>
    <s v="Bachelors "/>
    <n v="0"/>
    <s v="30-39"/>
  </r>
  <r>
    <s v="9811-F345"/>
    <s v="Wells"/>
    <s v="Mulholland"/>
    <x v="1"/>
    <n v="42"/>
    <s v="Some Travel"/>
    <x v="2"/>
    <n v="40"/>
    <s v="CA"/>
    <s v="Black or African American"/>
    <n v="4"/>
    <s v="Computer Science"/>
    <x v="4"/>
    <s v="Divorced"/>
    <n v="142075"/>
    <n v="1"/>
    <x v="0"/>
    <d v="2013-08-15T00:00:00"/>
    <s v="No"/>
    <n v="9"/>
    <n v="9"/>
    <n v="9"/>
    <n v="4"/>
    <s v="Masters "/>
    <s v="Masters "/>
    <s v="Masters "/>
    <n v="0"/>
    <s v="40-49"/>
  </r>
  <r>
    <s v="A954-6310"/>
    <s v="Rosaline"/>
    <s v="Griffe"/>
    <x v="0"/>
    <n v="29"/>
    <s v="Some Travel"/>
    <x v="2"/>
    <n v="45"/>
    <s v="CA"/>
    <s v="White"/>
    <n v="3"/>
    <s v="Computer Science"/>
    <x v="5"/>
    <s v="Married"/>
    <n v="207952"/>
    <n v="1"/>
    <x v="1"/>
    <d v="2013-08-17T00:00:00"/>
    <s v="No"/>
    <n v="9"/>
    <n v="9"/>
    <n v="9"/>
    <n v="7"/>
    <s v="Bachelors "/>
    <s v="Bachelors "/>
    <s v="Bachelors "/>
    <n v="0"/>
    <s v="20-29"/>
  </r>
  <r>
    <s v="8ACE-C5CE"/>
    <s v="Germana"/>
    <s v="Gulvin"/>
    <x v="0"/>
    <n v="43"/>
    <s v="Some Travel"/>
    <x v="0"/>
    <n v="38"/>
    <s v="NY"/>
    <s v="American Indian or Alaska Native"/>
    <n v="2"/>
    <s v="Marketing"/>
    <x v="0"/>
    <s v="Married"/>
    <n v="121510"/>
    <n v="1"/>
    <x v="0"/>
    <d v="2013-08-18T00:00:00"/>
    <s v="No"/>
    <n v="9"/>
    <n v="8"/>
    <n v="8"/>
    <n v="5"/>
    <s v="High School "/>
    <s v="High School "/>
    <s v="High School "/>
    <n v="0"/>
    <s v="40-49"/>
  </r>
  <r>
    <s v="8365-EB74"/>
    <s v="Umberto"/>
    <s v="Wallentin"/>
    <x v="1"/>
    <n v="40"/>
    <s v="Frequent Traveller"/>
    <x v="2"/>
    <n v="14"/>
    <s v="CA"/>
    <s v="Asian or Asian American"/>
    <n v="2"/>
    <s v="Information Systems"/>
    <x v="4"/>
    <s v="Married"/>
    <n v="43854"/>
    <n v="1"/>
    <x v="0"/>
    <d v="2013-08-19T00:00:00"/>
    <s v="No"/>
    <n v="9"/>
    <n v="4"/>
    <n v="9"/>
    <n v="2"/>
    <s v="High School "/>
    <s v="High School "/>
    <s v="High School "/>
    <n v="0"/>
    <s v="40-49"/>
  </r>
  <r>
    <s v="2A04-49D1"/>
    <s v="Tallie"/>
    <s v="Le Pine"/>
    <x v="2"/>
    <n v="41"/>
    <s v="Some Travel"/>
    <x v="2"/>
    <n v="11"/>
    <s v="CA"/>
    <s v="Black or African American"/>
    <n v="5"/>
    <s v="Information Systems"/>
    <x v="2"/>
    <s v="Divorced"/>
    <n v="372980"/>
    <n v="1"/>
    <x v="0"/>
    <d v="2013-08-22T00:00:00"/>
    <s v="No"/>
    <n v="9"/>
    <n v="1"/>
    <n v="2"/>
    <n v="3"/>
    <s v="Doctorate"/>
    <s v="Doctorate"/>
    <s v="Doctorate"/>
    <n v="0"/>
    <s v="40-49"/>
  </r>
  <r>
    <s v="52CC-3E9E"/>
    <s v="Ogdon"/>
    <s v="Madsen"/>
    <x v="1"/>
    <n v="30"/>
    <s v="Frequent Traveller"/>
    <x v="2"/>
    <n v="13"/>
    <s v="CA"/>
    <s v="Mixed or multiple ethnic groups"/>
    <n v="4"/>
    <s v="Computer Science"/>
    <x v="7"/>
    <s v="Divorced"/>
    <n v="40321"/>
    <n v="1"/>
    <x v="1"/>
    <d v="2013-08-26T00:00:00"/>
    <s v="Yes"/>
    <n v="5"/>
    <n v="0"/>
    <n v="0"/>
    <n v="3"/>
    <s v="Masters "/>
    <s v="Masters "/>
    <s v="Masters "/>
    <n v="1"/>
    <s v="30-39"/>
  </r>
  <r>
    <s v="5B0E-31FB"/>
    <s v="Hasheem"/>
    <s v="Mance"/>
    <x v="1"/>
    <n v="37"/>
    <s v="Some Travel"/>
    <x v="2"/>
    <n v="22"/>
    <s v="NY"/>
    <s v="White"/>
    <n v="2"/>
    <s v="Information Systems"/>
    <x v="7"/>
    <s v="Single"/>
    <n v="45927"/>
    <n v="0"/>
    <x v="0"/>
    <d v="2013-08-26T00:00:00"/>
    <s v="No"/>
    <n v="9"/>
    <n v="5"/>
    <n v="6"/>
    <n v="6"/>
    <s v="High School "/>
    <s v="High School "/>
    <s v="High School "/>
    <n v="0"/>
    <s v="30-39"/>
  </r>
  <r>
    <s v="ED49-73D3"/>
    <s v="Carita"/>
    <s v="Frazier"/>
    <x v="0"/>
    <n v="28"/>
    <s v="Some Travel"/>
    <x v="0"/>
    <n v="18"/>
    <s v="IL"/>
    <s v="White"/>
    <n v="4"/>
    <s v="Marketing"/>
    <x v="0"/>
    <s v="Single"/>
    <n v="134427"/>
    <n v="0"/>
    <x v="1"/>
    <d v="2013-08-28T00:00:00"/>
    <s v="No"/>
    <n v="9"/>
    <n v="9"/>
    <n v="9"/>
    <n v="2"/>
    <s v="Masters "/>
    <s v="Masters "/>
    <s v="Masters "/>
    <n v="0"/>
    <s v="20-29"/>
  </r>
  <r>
    <s v="B013-7D0C"/>
    <s v="Carline"/>
    <s v="Mort"/>
    <x v="0"/>
    <n v="28"/>
    <s v="Some Travel"/>
    <x v="2"/>
    <n v="24"/>
    <s v="CA"/>
    <s v="Mixed or multiple ethnic groups"/>
    <n v="3"/>
    <s v="Information Systems"/>
    <x v="4"/>
    <s v="Married"/>
    <n v="46313"/>
    <n v="1"/>
    <x v="1"/>
    <d v="2013-08-30T00:00:00"/>
    <s v="Yes"/>
    <n v="1"/>
    <n v="1"/>
    <n v="1"/>
    <n v="0"/>
    <s v="Bachelors "/>
    <s v="Bachelors "/>
    <s v="Bachelors "/>
    <n v="1"/>
    <s v="20-29"/>
  </r>
  <r>
    <s v="134B-4157"/>
    <s v="Stearne"/>
    <s v="Axelbee"/>
    <x v="1"/>
    <n v="37"/>
    <s v="Some Travel"/>
    <x v="2"/>
    <n v="29"/>
    <s v="IL"/>
    <s v="White"/>
    <n v="3"/>
    <s v="Computer Science"/>
    <x v="10"/>
    <s v="Married"/>
    <n v="513608"/>
    <n v="0"/>
    <x v="0"/>
    <d v="2013-09-03T00:00:00"/>
    <s v="No"/>
    <n v="9"/>
    <n v="4"/>
    <n v="7"/>
    <n v="3"/>
    <s v="Bachelors "/>
    <s v="Bachelors "/>
    <s v="Bachelors "/>
    <n v="0"/>
    <s v="30-39"/>
  </r>
  <r>
    <s v="AB4A-E71A"/>
    <s v="Theodor"/>
    <s v="Smaleman"/>
    <x v="1"/>
    <n v="43"/>
    <s v="Some Travel"/>
    <x v="0"/>
    <n v="3"/>
    <s v="IL"/>
    <s v="White"/>
    <n v="3"/>
    <s v="Marketing"/>
    <x v="6"/>
    <s v="Married"/>
    <n v="429939"/>
    <n v="1"/>
    <x v="1"/>
    <d v="2013-09-05T00:00:00"/>
    <s v="No"/>
    <n v="9"/>
    <n v="3"/>
    <n v="3"/>
    <n v="7"/>
    <s v="Bachelors "/>
    <s v="Bachelors "/>
    <s v="Bachelors "/>
    <n v="0"/>
    <s v="40-49"/>
  </r>
  <r>
    <s v="03EF-5904"/>
    <s v="Shepperd"/>
    <s v="Brittain"/>
    <x v="1"/>
    <n v="31"/>
    <s v="Some Travel"/>
    <x v="2"/>
    <n v="45"/>
    <s v="IL"/>
    <s v="American Indian or Alaska Native"/>
    <n v="3"/>
    <s v="Other"/>
    <x v="5"/>
    <s v="Married"/>
    <n v="195261"/>
    <n v="1"/>
    <x v="0"/>
    <d v="2013-09-09T00:00:00"/>
    <s v="No"/>
    <n v="9"/>
    <n v="3"/>
    <n v="4"/>
    <n v="5"/>
    <s v="Bachelors "/>
    <s v="Bachelors "/>
    <s v="Bachelors "/>
    <n v="0"/>
    <s v="30-39"/>
  </r>
  <r>
    <s v="0C7B-2EA6"/>
    <s v="Oswell"/>
    <s v="McCloid"/>
    <x v="1"/>
    <n v="34"/>
    <s v="Frequent Traveller"/>
    <x v="2"/>
    <n v="25"/>
    <s v="NY"/>
    <s v="Asian or Asian American"/>
    <n v="2"/>
    <s v="Other"/>
    <x v="4"/>
    <s v="Married"/>
    <n v="39015"/>
    <n v="1"/>
    <x v="0"/>
    <d v="2013-09-15T00:00:00"/>
    <s v="No"/>
    <n v="9"/>
    <n v="5"/>
    <n v="6"/>
    <n v="4"/>
    <s v="High School "/>
    <s v="High School "/>
    <s v="High School "/>
    <n v="0"/>
    <s v="30-39"/>
  </r>
  <r>
    <s v="1D35-190A"/>
    <s v="Carena"/>
    <s v="Devita"/>
    <x v="0"/>
    <n v="35"/>
    <s v="Some Travel"/>
    <x v="1"/>
    <n v="18"/>
    <s v="CA"/>
    <s v="Asian or Asian American"/>
    <n v="4"/>
    <s v="Marketing "/>
    <x v="11"/>
    <s v="Single"/>
    <n v="132563"/>
    <n v="0"/>
    <x v="1"/>
    <d v="2013-09-22T00:00:00"/>
    <s v="No"/>
    <n v="9"/>
    <n v="1"/>
    <n v="6"/>
    <n v="9"/>
    <s v="Masters "/>
    <s v="Masters "/>
    <s v="Masters "/>
    <n v="0"/>
    <s v="30-39"/>
  </r>
  <r>
    <s v="0868-097F"/>
    <s v="Modesty"/>
    <s v="Kingescot"/>
    <x v="2"/>
    <n v="33"/>
    <s v="Some Travel"/>
    <x v="2"/>
    <n v="26"/>
    <s v="CA"/>
    <s v="White"/>
    <n v="3"/>
    <s v="Information Systems"/>
    <x v="2"/>
    <s v="Single"/>
    <n v="267009"/>
    <n v="0"/>
    <x v="0"/>
    <d v="2013-09-23T00:00:00"/>
    <s v="No"/>
    <n v="9"/>
    <n v="0"/>
    <n v="1"/>
    <n v="7"/>
    <s v="Bachelors "/>
    <s v="Bachelors "/>
    <s v="Bachelors "/>
    <n v="0"/>
    <s v="30-39"/>
  </r>
  <r>
    <s v="4B6E-3C21"/>
    <s v="Heidie"/>
    <s v="McCrone"/>
    <x v="0"/>
    <n v="32"/>
    <s v="Some Travel"/>
    <x v="0"/>
    <n v="29"/>
    <s v="CA"/>
    <s v="White"/>
    <n v="4"/>
    <s v="Economics"/>
    <x v="0"/>
    <s v="Divorced"/>
    <n v="68043"/>
    <n v="0"/>
    <x v="0"/>
    <d v="2013-09-25T00:00:00"/>
    <s v="Yes"/>
    <n v="8"/>
    <n v="0"/>
    <n v="1"/>
    <n v="6"/>
    <s v="Masters "/>
    <s v="Masters "/>
    <s v="Masters "/>
    <n v="1"/>
    <s v="30-39"/>
  </r>
  <r>
    <s v="46ED-4007"/>
    <s v="Ulysses"/>
    <s v="Wathan"/>
    <x v="1"/>
    <n v="34"/>
    <s v="Frequent Traveller"/>
    <x v="0"/>
    <n v="40"/>
    <s v="IL"/>
    <s v="Asian or Asian American"/>
    <n v="3"/>
    <s v="Economics"/>
    <x v="0"/>
    <s v="Married"/>
    <n v="140097"/>
    <n v="0"/>
    <x v="0"/>
    <d v="2013-09-27T00:00:00"/>
    <s v="No"/>
    <n v="9"/>
    <n v="2"/>
    <n v="8"/>
    <n v="6"/>
    <s v="Bachelors "/>
    <s v="Bachelors "/>
    <s v="Bachelors "/>
    <n v="0"/>
    <s v="30-39"/>
  </r>
  <r>
    <s v="2E9A-BD2E"/>
    <s v="Blake"/>
    <s v="Metheringham"/>
    <x v="1"/>
    <n v="36"/>
    <s v="Some Travel"/>
    <x v="0"/>
    <n v="13"/>
    <s v="CA"/>
    <s v="Asian or Asian American"/>
    <n v="5"/>
    <s v="Marketing "/>
    <x v="6"/>
    <s v="Married"/>
    <n v="432191"/>
    <n v="1"/>
    <x v="0"/>
    <d v="2013-09-27T00:00:00"/>
    <s v="No"/>
    <n v="9"/>
    <n v="1"/>
    <n v="8"/>
    <n v="0"/>
    <s v="Doctorate"/>
    <s v="Doctorate"/>
    <s v="Doctorate"/>
    <n v="0"/>
    <s v="30-39"/>
  </r>
  <r>
    <s v="CEE0-94C3"/>
    <s v="Olvan"/>
    <s v="Pilgram"/>
    <x v="1"/>
    <n v="42"/>
    <s v="Some Travel"/>
    <x v="0"/>
    <n v="12"/>
    <s v="CA"/>
    <s v="White"/>
    <n v="1"/>
    <s v="Technical Degree"/>
    <x v="9"/>
    <s v="Married"/>
    <n v="70535"/>
    <n v="1"/>
    <x v="0"/>
    <d v="2013-09-29T00:00:00"/>
    <s v="No"/>
    <n v="9"/>
    <n v="3"/>
    <n v="8"/>
    <n v="5"/>
    <s v="No Formal Qualifications"/>
    <s v="No Formal Qualifications"/>
    <s v="No Formal Qualifications"/>
    <n v="0"/>
    <s v="40-49"/>
  </r>
  <r>
    <s v="A690-3D5D"/>
    <s v="Lynea"/>
    <s v="Ashurst"/>
    <x v="0"/>
    <n v="35"/>
    <s v="Some Travel"/>
    <x v="2"/>
    <n v="7"/>
    <s v="NY"/>
    <s v="Mixed or multiple ethnic groups"/>
    <n v="3"/>
    <s v="Information Systems"/>
    <x v="8"/>
    <s v="Divorced"/>
    <n v="253952"/>
    <n v="1"/>
    <x v="1"/>
    <d v="2013-10-02T00:00:00"/>
    <s v="No"/>
    <n v="9"/>
    <n v="9"/>
    <n v="9"/>
    <n v="4"/>
    <s v="Bachelors "/>
    <s v="Bachelors "/>
    <s v="Bachelors "/>
    <n v="0"/>
    <s v="30-39"/>
  </r>
  <r>
    <s v="7335-4656"/>
    <s v="Cristy"/>
    <s v="Dumbarton"/>
    <x v="0"/>
    <n v="45"/>
    <s v="Some Travel"/>
    <x v="2"/>
    <n v="14"/>
    <s v="CA"/>
    <s v="White"/>
    <n v="2"/>
    <s v="Computer Science"/>
    <x v="5"/>
    <s v="Divorced"/>
    <n v="223124"/>
    <n v="1"/>
    <x v="0"/>
    <d v="2013-10-02T00:00:00"/>
    <s v="No"/>
    <n v="9"/>
    <n v="2"/>
    <n v="3"/>
    <n v="2"/>
    <s v="High School "/>
    <s v="High School "/>
    <s v="High School "/>
    <n v="0"/>
    <s v="40-49"/>
  </r>
  <r>
    <s v="327B-F6D3"/>
    <s v="Codee"/>
    <s v="Jean"/>
    <x v="0"/>
    <n v="37"/>
    <s v="Some Travel"/>
    <x v="2"/>
    <n v="6"/>
    <s v="CA"/>
    <s v="Mixed or multiple ethnic groups"/>
    <n v="2"/>
    <s v="Computer Science"/>
    <x v="4"/>
    <s v="Married"/>
    <n v="42188"/>
    <n v="1"/>
    <x v="0"/>
    <d v="2013-10-04T00:00:00"/>
    <s v="Yes"/>
    <n v="8"/>
    <n v="3"/>
    <n v="5"/>
    <n v="6"/>
    <s v="High School "/>
    <s v="High School "/>
    <s v="High School "/>
    <n v="1"/>
    <s v="30-39"/>
  </r>
  <r>
    <s v="AA87-13D8"/>
    <s v="Rita"/>
    <s v="Chrismas"/>
    <x v="0"/>
    <n v="32"/>
    <s v="Frequent Traveller"/>
    <x v="2"/>
    <n v="15"/>
    <s v="CA"/>
    <s v="White"/>
    <n v="2"/>
    <s v="Information Systems"/>
    <x v="4"/>
    <s v="Married"/>
    <n v="44388"/>
    <n v="1"/>
    <x v="0"/>
    <d v="2013-10-10T00:00:00"/>
    <s v="No"/>
    <n v="9"/>
    <n v="8"/>
    <n v="9"/>
    <n v="8"/>
    <s v="High School "/>
    <s v="High School "/>
    <s v="High School "/>
    <n v="0"/>
    <s v="30-39"/>
  </r>
  <r>
    <s v="56A5-271B"/>
    <s v="Chadwick"/>
    <s v="Buist"/>
    <x v="2"/>
    <n v="33"/>
    <s v="Some Travel"/>
    <x v="2"/>
    <n v="15"/>
    <s v="CA"/>
    <s v="White"/>
    <n v="4"/>
    <s v="Other"/>
    <x v="8"/>
    <s v="Married"/>
    <n v="108095"/>
    <n v="0"/>
    <x v="1"/>
    <d v="2013-10-10T00:00:00"/>
    <s v="No"/>
    <n v="9"/>
    <n v="8"/>
    <n v="9"/>
    <n v="9"/>
    <s v="Masters "/>
    <s v="Masters "/>
    <s v="Masters "/>
    <n v="0"/>
    <s v="30-39"/>
  </r>
  <r>
    <s v="528C-3E0D"/>
    <s v="Giffer"/>
    <s v="Raspin"/>
    <x v="1"/>
    <n v="30"/>
    <s v="Some Travel"/>
    <x v="2"/>
    <n v="4"/>
    <s v="CA"/>
    <s v="Native Hawaiian "/>
    <n v="1"/>
    <s v="Information Systems"/>
    <x v="4"/>
    <s v="Married"/>
    <n v="42045"/>
    <n v="0"/>
    <x v="1"/>
    <d v="2013-10-15T00:00:00"/>
    <s v="Yes"/>
    <n v="6"/>
    <n v="0"/>
    <n v="3"/>
    <n v="3"/>
    <s v="No Formal Qualifications"/>
    <s v="No Formal Qualifications"/>
    <s v="No Formal Qualifications"/>
    <n v="1"/>
    <s v="30-39"/>
  </r>
  <r>
    <s v="7A8C-2DD3"/>
    <s v="Harley"/>
    <s v="Dootson"/>
    <x v="0"/>
    <n v="30"/>
    <s v="Some Travel"/>
    <x v="0"/>
    <n v="35"/>
    <s v="CA"/>
    <s v="White"/>
    <n v="3"/>
    <s v="Other"/>
    <x v="0"/>
    <s v="Single"/>
    <n v="160352"/>
    <n v="0"/>
    <x v="0"/>
    <d v="2013-10-18T00:00:00"/>
    <s v="No"/>
    <n v="9"/>
    <n v="0"/>
    <n v="5"/>
    <n v="4"/>
    <s v="Bachelors "/>
    <s v="Bachelors "/>
    <s v="Bachelors "/>
    <n v="0"/>
    <s v="30-39"/>
  </r>
  <r>
    <s v="4886-62DF"/>
    <s v="Gabey"/>
    <s v="Trethowan"/>
    <x v="0"/>
    <n v="48"/>
    <s v="Some Travel"/>
    <x v="2"/>
    <n v="45"/>
    <s v="IL"/>
    <s v="White"/>
    <n v="3"/>
    <s v="Other"/>
    <x v="8"/>
    <s v="Single"/>
    <n v="207456"/>
    <n v="0"/>
    <x v="0"/>
    <d v="2013-10-18T00:00:00"/>
    <s v="No"/>
    <n v="9"/>
    <n v="2"/>
    <n v="6"/>
    <n v="4"/>
    <s v="Bachelors "/>
    <s v="Bachelors "/>
    <s v="Bachelors "/>
    <n v="0"/>
    <s v="40-49"/>
  </r>
  <r>
    <s v="64BA-99F0"/>
    <s v="Kristina"/>
    <s v="Chanson"/>
    <x v="0"/>
    <n v="43"/>
    <s v="Some Travel"/>
    <x v="2"/>
    <n v="14"/>
    <s v="CA"/>
    <s v="White"/>
    <n v="3"/>
    <s v="Computer Science"/>
    <x v="2"/>
    <s v="Married"/>
    <n v="309141"/>
    <n v="0"/>
    <x v="0"/>
    <d v="2013-10-19T00:00:00"/>
    <s v="No"/>
    <n v="9"/>
    <n v="6"/>
    <n v="6"/>
    <n v="9"/>
    <s v="Bachelors "/>
    <s v="Bachelors "/>
    <s v="Bachelors "/>
    <n v="0"/>
    <s v="40-49"/>
  </r>
  <r>
    <s v="7EE7-2C43"/>
    <s v="Tobye"/>
    <s v="Dietmar"/>
    <x v="0"/>
    <n v="29"/>
    <s v="Some Travel"/>
    <x v="2"/>
    <n v="9"/>
    <s v="NY"/>
    <s v="Black or African American"/>
    <n v="4"/>
    <s v="Computer Science"/>
    <x v="4"/>
    <s v="Single"/>
    <n v="48321"/>
    <n v="0"/>
    <x v="1"/>
    <d v="2013-10-26T00:00:00"/>
    <s v="Yes"/>
    <n v="7"/>
    <n v="2"/>
    <n v="3"/>
    <n v="2"/>
    <s v="Masters "/>
    <s v="Masters "/>
    <s v="Masters "/>
    <n v="1"/>
    <s v="20-29"/>
  </r>
  <r>
    <s v="B990-35DA"/>
    <s v="Appolonia"/>
    <s v="Francis"/>
    <x v="0"/>
    <n v="47"/>
    <s v="Some Travel"/>
    <x v="2"/>
    <n v="7"/>
    <s v="CA"/>
    <s v="White"/>
    <n v="3"/>
    <s v="Information Systems"/>
    <x v="4"/>
    <s v="Married"/>
    <n v="116165"/>
    <n v="1"/>
    <x v="0"/>
    <d v="2013-10-27T00:00:00"/>
    <s v="No"/>
    <n v="9"/>
    <n v="0"/>
    <n v="7"/>
    <n v="8"/>
    <s v="Bachelors "/>
    <s v="Bachelors "/>
    <s v="Bachelors "/>
    <n v="0"/>
    <s v="40-49"/>
  </r>
  <r>
    <s v="6CAD-47F0"/>
    <s v="Tommy"/>
    <s v="Cawthorn"/>
    <x v="1"/>
    <n v="39"/>
    <s v="Some Travel"/>
    <x v="2"/>
    <n v="33"/>
    <s v="NY"/>
    <s v="Mixed or multiple ethnic groups"/>
    <n v="2"/>
    <s v="Information Systems"/>
    <x v="5"/>
    <s v="Married"/>
    <n v="99602"/>
    <n v="0"/>
    <x v="0"/>
    <d v="2013-10-29T00:00:00"/>
    <s v="No"/>
    <n v="9"/>
    <n v="5"/>
    <n v="8"/>
    <n v="4"/>
    <s v="High School "/>
    <s v="High School "/>
    <s v="High School "/>
    <n v="0"/>
    <s v="30-39"/>
  </r>
  <r>
    <s v="C730-6B13"/>
    <s v="Ariadne"/>
    <s v="Isakov"/>
    <x v="0"/>
    <n v="32"/>
    <s v="Some Travel"/>
    <x v="2"/>
    <n v="20"/>
    <s v="IL"/>
    <s v="Native Hawaiian "/>
    <n v="4"/>
    <s v="Computer Science"/>
    <x v="4"/>
    <s v="Single"/>
    <n v="85884"/>
    <n v="0"/>
    <x v="0"/>
    <d v="2013-10-31T00:00:00"/>
    <s v="No"/>
    <n v="9"/>
    <n v="9"/>
    <n v="9"/>
    <n v="5"/>
    <s v="Masters "/>
    <s v="Masters "/>
    <s v="Masters "/>
    <n v="0"/>
    <s v="30-39"/>
  </r>
  <r>
    <s v="38EB-ADBD"/>
    <s v="Berton"/>
    <s v="Jorissen"/>
    <x v="1"/>
    <n v="48"/>
    <s v="Some Travel"/>
    <x v="2"/>
    <n v="20"/>
    <s v="CA"/>
    <s v="White"/>
    <n v="3"/>
    <s v="Information Systems"/>
    <x v="7"/>
    <s v="Married"/>
    <n v="56546"/>
    <n v="1"/>
    <x v="0"/>
    <d v="2013-11-01T00:00:00"/>
    <s v="No"/>
    <n v="9"/>
    <n v="4"/>
    <n v="6"/>
    <n v="3"/>
    <s v="Bachelors "/>
    <s v="Bachelors "/>
    <s v="Bachelors "/>
    <n v="0"/>
    <s v="40-49"/>
  </r>
  <r>
    <s v="774E-685D"/>
    <s v="Joachim"/>
    <s v="Popplestone"/>
    <x v="1"/>
    <n v="30"/>
    <s v="Some Travel"/>
    <x v="0"/>
    <n v="42"/>
    <s v="CA"/>
    <s v="White"/>
    <n v="4"/>
    <s v="Marketing"/>
    <x v="0"/>
    <s v="Single"/>
    <n v="148862"/>
    <n v="0"/>
    <x v="1"/>
    <d v="2013-11-03T00:00:00"/>
    <s v="Yes"/>
    <n v="2"/>
    <n v="0"/>
    <n v="1"/>
    <n v="1"/>
    <s v="Masters "/>
    <s v="Masters "/>
    <s v="Masters "/>
    <n v="1"/>
    <s v="30-39"/>
  </r>
  <r>
    <s v="CF8D-7379"/>
    <s v="Tim"/>
    <s v="Spinley"/>
    <x v="3"/>
    <n v="43"/>
    <s v="Some Travel"/>
    <x v="2"/>
    <n v="14"/>
    <s v="NY"/>
    <s v="White"/>
    <n v="4"/>
    <s v="Information Systems"/>
    <x v="2"/>
    <s v="Married"/>
    <n v="365504"/>
    <n v="3"/>
    <x v="1"/>
    <d v="2013-11-04T00:00:00"/>
    <s v="No"/>
    <n v="9"/>
    <n v="6"/>
    <n v="7"/>
    <n v="8"/>
    <s v="Masters "/>
    <s v="Masters "/>
    <s v="Masters "/>
    <n v="0"/>
    <s v="40-49"/>
  </r>
  <r>
    <s v="D836-B375"/>
    <s v="Ellette"/>
    <s v="McKean"/>
    <x v="0"/>
    <n v="44"/>
    <s v="Some Travel"/>
    <x v="2"/>
    <n v="21"/>
    <s v="NY"/>
    <s v="Black or African American"/>
    <n v="2"/>
    <s v="Computer Science"/>
    <x v="7"/>
    <s v="Married"/>
    <n v="91563"/>
    <n v="1"/>
    <x v="0"/>
    <d v="2013-11-06T00:00:00"/>
    <s v="No"/>
    <n v="9"/>
    <n v="9"/>
    <n v="9"/>
    <n v="8"/>
    <s v="High School "/>
    <s v="High School "/>
    <s v="High School "/>
    <n v="0"/>
    <s v="40-49"/>
  </r>
  <r>
    <s v="60B5-48ED"/>
    <s v="Hayden"/>
    <s v="Jacox"/>
    <x v="1"/>
    <n v="30"/>
    <s v="Frequent Traveller"/>
    <x v="0"/>
    <n v="25"/>
    <s v="CA"/>
    <s v="White"/>
    <n v="2"/>
    <s v="Marketing"/>
    <x v="0"/>
    <s v="Divorced"/>
    <n v="135919"/>
    <n v="1"/>
    <x v="0"/>
    <d v="2013-11-08T00:00:00"/>
    <s v="No"/>
    <n v="9"/>
    <n v="6"/>
    <n v="6"/>
    <n v="0"/>
    <s v="High School "/>
    <s v="High School "/>
    <s v="High School "/>
    <n v="0"/>
    <s v="30-39"/>
  </r>
  <r>
    <s v="211E-BC82"/>
    <s v="Britt"/>
    <s v="Ritchley"/>
    <x v="0"/>
    <n v="28"/>
    <s v="Frequent Traveller"/>
    <x v="2"/>
    <n v="6"/>
    <s v="CA"/>
    <s v="White"/>
    <n v="1"/>
    <s v="Information Systems"/>
    <x v="7"/>
    <s v="Divorced"/>
    <n v="47148"/>
    <n v="2"/>
    <x v="0"/>
    <d v="2013-11-09T00:00:00"/>
    <s v="No"/>
    <n v="9"/>
    <n v="3"/>
    <n v="8"/>
    <n v="8"/>
    <s v="No Formal Qualifications"/>
    <s v="No Formal Qualifications"/>
    <s v="No Formal Qualifications"/>
    <n v="0"/>
    <s v="20-29"/>
  </r>
  <r>
    <s v="C54B-DBC5"/>
    <s v="Lilyan"/>
    <s v="Martinet"/>
    <x v="0"/>
    <n v="33"/>
    <s v="Frequent Traveller"/>
    <x v="0"/>
    <n v="33"/>
    <s v="CA"/>
    <s v="Mixed or multiple ethnic groups"/>
    <n v="5"/>
    <s v="Marketing"/>
    <x v="0"/>
    <s v="Married"/>
    <n v="115114"/>
    <n v="1"/>
    <x v="0"/>
    <d v="2013-11-12T00:00:00"/>
    <s v="No"/>
    <n v="9"/>
    <n v="9"/>
    <n v="9"/>
    <n v="6"/>
    <s v="Doctorate"/>
    <s v="Doctorate"/>
    <s v="Doctorate"/>
    <n v="0"/>
    <s v="30-39"/>
  </r>
  <r>
    <s v="6F3E-2A75"/>
    <s v="Ruby"/>
    <s v="Gurrado"/>
    <x v="1"/>
    <n v="28"/>
    <s v="Frequent Traveller"/>
    <x v="0"/>
    <n v="4"/>
    <s v="CA"/>
    <s v="Black or African American"/>
    <n v="4"/>
    <s v="Other"/>
    <x v="0"/>
    <s v="Single"/>
    <n v="110839"/>
    <n v="0"/>
    <x v="0"/>
    <d v="2013-11-12T00:00:00"/>
    <s v="No"/>
    <n v="9"/>
    <n v="8"/>
    <n v="8"/>
    <n v="4"/>
    <s v="Masters "/>
    <s v="Masters "/>
    <s v="Masters "/>
    <n v="0"/>
    <s v="20-29"/>
  </r>
  <r>
    <s v="C1C6-F683"/>
    <s v="Ignacius"/>
    <s v="Kelberman"/>
    <x v="1"/>
    <n v="45"/>
    <s v="Frequent Traveller"/>
    <x v="2"/>
    <n v="6"/>
    <s v="CA"/>
    <s v="Mixed or multiple ethnic groups"/>
    <n v="4"/>
    <s v="Information Systems"/>
    <x v="7"/>
    <s v="Divorced"/>
    <n v="92613"/>
    <n v="1"/>
    <x v="1"/>
    <d v="2013-11-23T00:00:00"/>
    <s v="No"/>
    <n v="9"/>
    <n v="6"/>
    <n v="6"/>
    <n v="2"/>
    <s v="Masters "/>
    <s v="Masters "/>
    <s v="Masters "/>
    <n v="0"/>
    <s v="40-49"/>
  </r>
  <r>
    <s v="8663-3E02"/>
    <s v="Kleon"/>
    <s v="Monnery"/>
    <x v="1"/>
    <n v="37"/>
    <s v="Frequent Traveller"/>
    <x v="2"/>
    <n v="7"/>
    <s v="NY"/>
    <s v="Mixed or multiple ethnic groups"/>
    <n v="4"/>
    <s v="Information Systems"/>
    <x v="10"/>
    <s v="Divorced"/>
    <n v="276322"/>
    <n v="1"/>
    <x v="0"/>
    <d v="2013-11-26T00:00:00"/>
    <s v="No"/>
    <n v="9"/>
    <n v="0"/>
    <n v="9"/>
    <n v="1"/>
    <s v="Masters "/>
    <s v="Masters "/>
    <s v="Masters "/>
    <n v="0"/>
    <s v="30-39"/>
  </r>
  <r>
    <s v="FBC2-C5FA"/>
    <s v="Hillel"/>
    <s v="Quenby"/>
    <x v="1"/>
    <n v="44"/>
    <s v="Some Travel"/>
    <x v="2"/>
    <n v="4"/>
    <s v="IL"/>
    <s v="Mixed or multiple ethnic groups"/>
    <n v="3"/>
    <s v="Computer Science"/>
    <x v="4"/>
    <s v="Married"/>
    <n v="74172"/>
    <n v="2"/>
    <x v="0"/>
    <d v="2013-11-26T00:00:00"/>
    <s v="No"/>
    <n v="9"/>
    <n v="8"/>
    <n v="9"/>
    <n v="9"/>
    <s v="Bachelors "/>
    <s v="Bachelors "/>
    <s v="Bachelors "/>
    <n v="0"/>
    <s v="40-49"/>
  </r>
  <r>
    <s v="B52E-BF41"/>
    <s v="Salomi"/>
    <s v="Finlry"/>
    <x v="0"/>
    <n v="30"/>
    <s v="Some Travel"/>
    <x v="2"/>
    <n v="26"/>
    <s v="NY"/>
    <s v="Black or African American"/>
    <n v="4"/>
    <s v="Computer Science"/>
    <x v="4"/>
    <s v="Married"/>
    <n v="36280"/>
    <n v="2"/>
    <x v="0"/>
    <d v="2013-12-04T00:00:00"/>
    <s v="No"/>
    <n v="9"/>
    <n v="9"/>
    <n v="9"/>
    <n v="9"/>
    <s v="Masters "/>
    <s v="Masters "/>
    <s v="Masters "/>
    <n v="0"/>
    <s v="30-39"/>
  </r>
  <r>
    <s v="D6A7-EF72"/>
    <s v="Kalie"/>
    <s v="Swancott"/>
    <x v="0"/>
    <n v="40"/>
    <s v="Some Travel"/>
    <x v="1"/>
    <n v="7"/>
    <s v="CA"/>
    <s v="White"/>
    <n v="4"/>
    <s v="Technical Degree"/>
    <x v="3"/>
    <s v="Single"/>
    <n v="70703"/>
    <n v="0"/>
    <x v="0"/>
    <d v="2013-12-04T00:00:00"/>
    <s v="No"/>
    <n v="9"/>
    <n v="0"/>
    <n v="9"/>
    <n v="7"/>
    <s v="Masters "/>
    <s v="Masters "/>
    <s v="Masters "/>
    <n v="0"/>
    <s v="40-49"/>
  </r>
  <r>
    <s v="12F7-BCBB"/>
    <s v="Clea"/>
    <s v="MacCartan"/>
    <x v="0"/>
    <n v="48"/>
    <s v="Frequent Traveller"/>
    <x v="0"/>
    <n v="2"/>
    <s v="CA"/>
    <s v="White"/>
    <n v="1"/>
    <s v="Technical Degree"/>
    <x v="9"/>
    <s v="Single"/>
    <n v="37124"/>
    <n v="0"/>
    <x v="0"/>
    <d v="2013-12-06T00:00:00"/>
    <s v="Yes"/>
    <n v="9"/>
    <n v="8"/>
    <n v="8"/>
    <n v="7"/>
    <s v="No Formal Qualifications"/>
    <s v="No Formal Qualifications"/>
    <s v="No Formal Qualifications"/>
    <n v="1"/>
    <s v="40-49"/>
  </r>
  <r>
    <s v="1359-BEE3"/>
    <s v="Fawn"/>
    <s v="Pyke"/>
    <x v="0"/>
    <n v="41"/>
    <s v="No Travel "/>
    <x v="2"/>
    <n v="22"/>
    <s v="CA"/>
    <s v="Native Hawaiian "/>
    <n v="3"/>
    <s v="Computer Science"/>
    <x v="4"/>
    <s v="Married"/>
    <n v="52581"/>
    <n v="0"/>
    <x v="0"/>
    <d v="2013-12-09T00:00:00"/>
    <s v="No"/>
    <n v="9"/>
    <n v="8"/>
    <n v="8"/>
    <n v="7"/>
    <s v="Bachelors "/>
    <s v="Bachelors "/>
    <s v="Bachelors "/>
    <n v="0"/>
    <s v="40-49"/>
  </r>
  <r>
    <s v="1C24-233B"/>
    <s v="Mendy"/>
    <s v="Beran"/>
    <x v="2"/>
    <n v="40"/>
    <s v="Some Travel"/>
    <x v="2"/>
    <n v="30"/>
    <s v="IL"/>
    <s v="Mixed or multiple ethnic groups"/>
    <n v="4"/>
    <s v="Computer Science"/>
    <x v="5"/>
    <s v="Married"/>
    <n v="145328"/>
    <n v="1"/>
    <x v="0"/>
    <d v="2013-12-09T00:00:00"/>
    <s v="No"/>
    <n v="9"/>
    <n v="0"/>
    <n v="9"/>
    <n v="9"/>
    <s v="Masters "/>
    <s v="Masters "/>
    <s v="Masters "/>
    <n v="0"/>
    <s v="40-49"/>
  </r>
  <r>
    <s v="DE6C-86FC"/>
    <s v="Beitris"/>
    <s v="McIlwraith"/>
    <x v="2"/>
    <n v="43"/>
    <s v="Some Travel"/>
    <x v="2"/>
    <n v="31"/>
    <s v="NY"/>
    <s v="White"/>
    <n v="4"/>
    <s v="Computer Science"/>
    <x v="7"/>
    <s v="Married"/>
    <n v="130665"/>
    <n v="1"/>
    <x v="0"/>
    <d v="2013-12-10T00:00:00"/>
    <s v="No"/>
    <n v="9"/>
    <n v="6"/>
    <n v="9"/>
    <n v="6"/>
    <s v="Masters "/>
    <s v="Masters "/>
    <s v="Masters "/>
    <n v="0"/>
    <s v="40-49"/>
  </r>
  <r>
    <s v="637B-DBAD"/>
    <s v="Lovell"/>
    <s v="Larmor"/>
    <x v="1"/>
    <n v="44"/>
    <s v="Some Travel"/>
    <x v="2"/>
    <n v="31"/>
    <s v="CA"/>
    <s v="White"/>
    <n v="2"/>
    <s v="Computer Science"/>
    <x v="7"/>
    <s v="Divorced"/>
    <n v="81297"/>
    <n v="2"/>
    <x v="1"/>
    <d v="2013-12-14T00:00:00"/>
    <s v="No"/>
    <n v="9"/>
    <n v="1"/>
    <n v="8"/>
    <n v="9"/>
    <s v="High School "/>
    <s v="High School "/>
    <s v="High School "/>
    <n v="0"/>
    <s v="40-49"/>
  </r>
  <r>
    <s v="79F7-78EC"/>
    <s v="Alessandra"/>
    <s v="Storrock"/>
    <x v="2"/>
    <n v="27"/>
    <s v="Some Travel"/>
    <x v="0"/>
    <n v="37"/>
    <s v="CA"/>
    <s v="White"/>
    <n v="4"/>
    <s v="Marketing "/>
    <x v="0"/>
    <s v="Single"/>
    <n v="141998"/>
    <n v="0"/>
    <x v="1"/>
    <d v="2013-12-14T00:00:00"/>
    <s v="Yes"/>
    <n v="5"/>
    <n v="5"/>
    <n v="5"/>
    <n v="1"/>
    <s v="Masters "/>
    <s v="Masters "/>
    <s v="Masters "/>
    <n v="1"/>
    <s v="20-29"/>
  </r>
  <r>
    <s v="E324-1C33"/>
    <s v="Sybyl"/>
    <s v="Stevings"/>
    <x v="0"/>
    <n v="38"/>
    <s v="Some Travel"/>
    <x v="0"/>
    <n v="9"/>
    <s v="CA"/>
    <s v="Asian or Asian American"/>
    <n v="4"/>
    <s v="Economics"/>
    <x v="0"/>
    <s v="Divorced"/>
    <n v="114713"/>
    <n v="2"/>
    <x v="0"/>
    <d v="2013-12-17T00:00:00"/>
    <s v="No"/>
    <n v="9"/>
    <n v="0"/>
    <n v="0"/>
    <n v="1"/>
    <s v="Masters "/>
    <s v="Masters "/>
    <s v="Masters "/>
    <n v="0"/>
    <s v="30-39"/>
  </r>
  <r>
    <s v="81BE-17CD"/>
    <s v="Frederick"/>
    <s v="Cheley"/>
    <x v="1"/>
    <n v="30"/>
    <s v="Frequent Traveller"/>
    <x v="2"/>
    <n v="33"/>
    <s v="CA"/>
    <s v="White"/>
    <n v="2"/>
    <s v="Computer Science"/>
    <x v="4"/>
    <s v="Single"/>
    <n v="35126"/>
    <n v="0"/>
    <x v="1"/>
    <d v="2013-12-18T00:00:00"/>
    <s v="No"/>
    <n v="9"/>
    <n v="1"/>
    <n v="5"/>
    <n v="5"/>
    <s v="High School "/>
    <s v="High School "/>
    <s v="High School "/>
    <n v="0"/>
    <s v="30-39"/>
  </r>
  <r>
    <s v="2C7D-F9F1"/>
    <s v="Jaye"/>
    <s v="Coxhell"/>
    <x v="1"/>
    <n v="30"/>
    <s v="Some Travel"/>
    <x v="2"/>
    <n v="45"/>
    <s v="CA"/>
    <s v="White"/>
    <n v="2"/>
    <s v="Business Studies"/>
    <x v="5"/>
    <s v="Single"/>
    <n v="262409"/>
    <n v="0"/>
    <x v="0"/>
    <d v="2013-12-20T00:00:00"/>
    <s v="No"/>
    <n v="9"/>
    <n v="8"/>
    <n v="9"/>
    <n v="8"/>
    <s v="High School "/>
    <s v="High School "/>
    <s v="High School "/>
    <n v="0"/>
    <s v="30-39"/>
  </r>
  <r>
    <s v="0F83-39C1"/>
    <s v="Samantha"/>
    <s v="Beames"/>
    <x v="0"/>
    <n v="30"/>
    <s v="Some Travel"/>
    <x v="2"/>
    <n v="33"/>
    <s v="CA"/>
    <s v="Black or African American"/>
    <n v="2"/>
    <s v="Information Systems"/>
    <x v="7"/>
    <s v="Single"/>
    <n v="55485"/>
    <n v="0"/>
    <x v="0"/>
    <d v="2013-12-25T00:00:00"/>
    <s v="No"/>
    <n v="9"/>
    <n v="8"/>
    <n v="9"/>
    <n v="2"/>
    <s v="High School "/>
    <s v="High School "/>
    <s v="High School "/>
    <n v="0"/>
    <s v="30-39"/>
  </r>
  <r>
    <s v="A91B-7DC5"/>
    <s v="Stephanie"/>
    <s v="Harradence"/>
    <x v="0"/>
    <n v="42"/>
    <s v="Some Travel"/>
    <x v="2"/>
    <n v="43"/>
    <s v="CA"/>
    <s v="Black or African American"/>
    <n v="4"/>
    <s v="Computer Science"/>
    <x v="5"/>
    <s v="Divorced"/>
    <n v="110069"/>
    <n v="1"/>
    <x v="0"/>
    <d v="2013-12-26T00:00:00"/>
    <s v="No"/>
    <n v="9"/>
    <n v="3"/>
    <n v="8"/>
    <n v="4"/>
    <s v="Masters "/>
    <s v="Masters "/>
    <s v="Masters "/>
    <n v="0"/>
    <s v="40-49"/>
  </r>
  <r>
    <s v="825E-0B3A"/>
    <s v="Kris"/>
    <s v="Barnes"/>
    <x v="1"/>
    <n v="30"/>
    <s v="Some Travel"/>
    <x v="2"/>
    <n v="26"/>
    <s v="NY"/>
    <s v="White"/>
    <n v="3"/>
    <s v="Information Systems"/>
    <x v="5"/>
    <s v="Divorced"/>
    <n v="94791"/>
    <n v="1"/>
    <x v="0"/>
    <d v="2013-12-27T00:00:00"/>
    <s v="No"/>
    <n v="9"/>
    <n v="9"/>
    <n v="9"/>
    <n v="0"/>
    <s v="Bachelors "/>
    <s v="Bachelors "/>
    <s v="Bachelors "/>
    <n v="0"/>
    <s v="30-39"/>
  </r>
  <r>
    <s v="D2BE-E6F6"/>
    <s v="Maud"/>
    <s v="Guerrier"/>
    <x v="0"/>
    <n v="31"/>
    <s v="Frequent Traveller"/>
    <x v="0"/>
    <n v="28"/>
    <s v="NY"/>
    <s v="White"/>
    <n v="2"/>
    <s v="Marketing "/>
    <x v="0"/>
    <s v="Married"/>
    <n v="183189"/>
    <n v="1"/>
    <x v="0"/>
    <d v="2014-01-01T00:00:00"/>
    <s v="No"/>
    <n v="8"/>
    <n v="3"/>
    <n v="6"/>
    <n v="6"/>
    <s v="High School "/>
    <s v="High School "/>
    <s v="High School "/>
    <n v="0"/>
    <s v="30-39"/>
  </r>
  <r>
    <s v="C025-B8B6"/>
    <s v="Valentine"/>
    <s v="Beddin"/>
    <x v="1"/>
    <n v="44"/>
    <s v="Some Travel"/>
    <x v="0"/>
    <n v="29"/>
    <s v="NY"/>
    <s v="White"/>
    <n v="3"/>
    <s v="Marketing "/>
    <x v="0"/>
    <s v="Married"/>
    <n v="126073"/>
    <n v="1"/>
    <x v="0"/>
    <d v="2014-01-03T00:00:00"/>
    <s v="No"/>
    <n v="8"/>
    <n v="0"/>
    <n v="2"/>
    <n v="0"/>
    <s v="Bachelors "/>
    <s v="Bachelors "/>
    <s v="Bachelors "/>
    <n v="0"/>
    <s v="40-49"/>
  </r>
  <r>
    <s v="F4D2-F6F2"/>
    <s v="Vi"/>
    <s v="Khadir"/>
    <x v="0"/>
    <n v="47"/>
    <s v="Some Travel"/>
    <x v="2"/>
    <n v="8"/>
    <s v="CA"/>
    <s v="Asian or Asian American"/>
    <n v="3"/>
    <s v="Computer Science"/>
    <x v="2"/>
    <s v="Married"/>
    <n v="287710"/>
    <n v="1"/>
    <x v="0"/>
    <d v="2014-01-05T00:00:00"/>
    <s v="No"/>
    <n v="8"/>
    <n v="8"/>
    <n v="8"/>
    <n v="5"/>
    <s v="Bachelors "/>
    <s v="Bachelors "/>
    <s v="Bachelors "/>
    <n v="0"/>
    <s v="40-49"/>
  </r>
  <r>
    <s v="F72D-261D"/>
    <s v="Giustino"/>
    <s v="Boyan"/>
    <x v="1"/>
    <n v="28"/>
    <s v="Frequent Traveller"/>
    <x v="2"/>
    <n v="5"/>
    <s v="NY"/>
    <s v="Mixed or multiple ethnic groups"/>
    <n v="3"/>
    <s v="Information Systems"/>
    <x v="4"/>
    <s v="Single"/>
    <n v="76133"/>
    <n v="0"/>
    <x v="1"/>
    <d v="2014-01-06T00:00:00"/>
    <s v="Yes"/>
    <n v="1"/>
    <n v="0"/>
    <n v="1"/>
    <n v="0"/>
    <s v="Bachelors "/>
    <s v="Bachelors "/>
    <s v="Bachelors "/>
    <n v="1"/>
    <s v="20-29"/>
  </r>
  <r>
    <s v="A807-DE5D"/>
    <s v="Bobbye"/>
    <s v="Alexandrescu"/>
    <x v="2"/>
    <n v="47"/>
    <s v="Some Travel"/>
    <x v="2"/>
    <n v="13"/>
    <s v="CA"/>
    <s v="White"/>
    <n v="3"/>
    <s v="Computer Science"/>
    <x v="4"/>
    <s v="Divorced"/>
    <n v="61915"/>
    <n v="1"/>
    <x v="0"/>
    <d v="2014-01-07T00:00:00"/>
    <s v="No"/>
    <n v="8"/>
    <n v="2"/>
    <n v="4"/>
    <n v="7"/>
    <s v="Bachelors "/>
    <s v="Bachelors "/>
    <s v="Bachelors "/>
    <n v="0"/>
    <s v="40-49"/>
  </r>
  <r>
    <s v="CBB3-0D7E"/>
    <s v="Archaimbaud"/>
    <s v="Hawkshaw"/>
    <x v="1"/>
    <n v="26"/>
    <s v="Some Travel"/>
    <x v="0"/>
    <n v="44"/>
    <s v="CA"/>
    <s v="White"/>
    <n v="1"/>
    <s v="Technical Degree"/>
    <x v="9"/>
    <s v="Single"/>
    <n v="40638"/>
    <n v="0"/>
    <x v="1"/>
    <d v="2014-01-11T00:00:00"/>
    <s v="Yes"/>
    <n v="2"/>
    <n v="0"/>
    <n v="0"/>
    <n v="1"/>
    <s v="No Formal Qualifications"/>
    <s v="No Formal Qualifications"/>
    <s v="No Formal Qualifications"/>
    <n v="1"/>
    <s v="20-29"/>
  </r>
  <r>
    <s v="2551-DD9B"/>
    <s v="Quintana"/>
    <s v="Di Franceshci"/>
    <x v="0"/>
    <n v="33"/>
    <s v="Some Travel"/>
    <x v="2"/>
    <n v="40"/>
    <s v="IL"/>
    <s v="Black or African American"/>
    <n v="4"/>
    <s v="Computer Science"/>
    <x v="8"/>
    <s v="Single"/>
    <n v="181244"/>
    <n v="0"/>
    <x v="0"/>
    <d v="2014-01-15T00:00:00"/>
    <s v="No"/>
    <n v="8"/>
    <n v="4"/>
    <n v="8"/>
    <n v="8"/>
    <s v="Masters "/>
    <s v="Masters "/>
    <s v="Masters "/>
    <n v="0"/>
    <s v="30-39"/>
  </r>
  <r>
    <s v="D39D-4015"/>
    <s v="Joan"/>
    <s v="Camings"/>
    <x v="0"/>
    <n v="30"/>
    <s v="Frequent Traveller"/>
    <x v="2"/>
    <n v="28"/>
    <s v="NY"/>
    <s v="White"/>
    <n v="3"/>
    <s v="Information Systems"/>
    <x v="7"/>
    <s v="Divorced"/>
    <n v="46388"/>
    <n v="1"/>
    <x v="0"/>
    <d v="2014-01-16T00:00:00"/>
    <s v="No"/>
    <n v="8"/>
    <n v="6"/>
    <n v="6"/>
    <n v="3"/>
    <s v="Bachelors "/>
    <s v="Bachelors "/>
    <s v="Bachelors "/>
    <n v="0"/>
    <s v="30-39"/>
  </r>
  <r>
    <s v="0697-ADC3"/>
    <s v="Robert"/>
    <s v="Muffitt"/>
    <x v="1"/>
    <n v="38"/>
    <s v="No Travel "/>
    <x v="2"/>
    <n v="4"/>
    <s v="CA"/>
    <s v="White"/>
    <n v="3"/>
    <s v="Information Systems"/>
    <x v="7"/>
    <s v="Divorced"/>
    <n v="45942"/>
    <n v="1"/>
    <x v="1"/>
    <d v="2014-01-30T00:00:00"/>
    <s v="No"/>
    <n v="8"/>
    <n v="4"/>
    <n v="5"/>
    <n v="8"/>
    <s v="Bachelors "/>
    <s v="Bachelors "/>
    <s v="Bachelors "/>
    <n v="0"/>
    <s v="30-39"/>
  </r>
  <r>
    <s v="6112-8476"/>
    <s v="Kore"/>
    <s v="Munn"/>
    <x v="0"/>
    <n v="43"/>
    <s v="Some Travel"/>
    <x v="2"/>
    <n v="18"/>
    <s v="IL"/>
    <s v="Other "/>
    <n v="1"/>
    <s v="Computer Science"/>
    <x v="7"/>
    <s v="Married"/>
    <n v="49882"/>
    <n v="1"/>
    <x v="0"/>
    <d v="2014-02-02T00:00:00"/>
    <s v="No"/>
    <n v="8"/>
    <n v="3"/>
    <n v="8"/>
    <n v="2"/>
    <s v="No Formal Qualifications"/>
    <s v="No Formal Qualifications"/>
    <s v="No Formal Qualifications"/>
    <n v="0"/>
    <s v="40-49"/>
  </r>
  <r>
    <s v="7378-5351"/>
    <s v="Alika"/>
    <s v="Karlik"/>
    <x v="0"/>
    <n v="35"/>
    <s v="Some Travel"/>
    <x v="2"/>
    <n v="43"/>
    <s v="NY"/>
    <s v="Black or African American"/>
    <n v="1"/>
    <s v="Business Studies"/>
    <x v="2"/>
    <s v="Divorced"/>
    <n v="243863"/>
    <n v="1"/>
    <x v="1"/>
    <d v="2014-02-04T00:00:00"/>
    <s v="No"/>
    <n v="8"/>
    <n v="1"/>
    <n v="6"/>
    <n v="6"/>
    <s v="No Formal Qualifications"/>
    <s v="No Formal Qualifications"/>
    <s v="No Formal Qualifications"/>
    <n v="0"/>
    <s v="30-39"/>
  </r>
  <r>
    <s v="D69C-8F84"/>
    <s v="Sada"/>
    <s v="Torrent"/>
    <x v="0"/>
    <n v="40"/>
    <s v="Some Travel"/>
    <x v="2"/>
    <n v="26"/>
    <s v="CA"/>
    <s v="Mixed or multiple ethnic groups"/>
    <n v="3"/>
    <s v="Information Systems"/>
    <x v="4"/>
    <s v="Divorced"/>
    <n v="59899"/>
    <n v="3"/>
    <x v="0"/>
    <d v="2014-02-06T00:00:00"/>
    <s v="No"/>
    <n v="8"/>
    <n v="2"/>
    <n v="3"/>
    <n v="6"/>
    <s v="Bachelors "/>
    <s v="Bachelors "/>
    <s v="Bachelors "/>
    <n v="0"/>
    <s v="40-49"/>
  </r>
  <r>
    <s v="CACA-0D62"/>
    <s v="Zarla"/>
    <s v="Farrans"/>
    <x v="0"/>
    <n v="32"/>
    <s v="Some Travel"/>
    <x v="2"/>
    <n v="33"/>
    <s v="CA"/>
    <s v="Mixed or multiple ethnic groups"/>
    <n v="3"/>
    <s v="Information Systems"/>
    <x v="4"/>
    <s v="Married"/>
    <n v="121881"/>
    <n v="2"/>
    <x v="0"/>
    <d v="2014-02-09T00:00:00"/>
    <s v="No"/>
    <n v="8"/>
    <n v="7"/>
    <n v="8"/>
    <n v="8"/>
    <s v="Bachelors "/>
    <s v="Bachelors "/>
    <s v="Bachelors "/>
    <n v="0"/>
    <s v="30-39"/>
  </r>
  <r>
    <s v="F93E-BDEF"/>
    <s v="Rodolfo"/>
    <s v="Askem"/>
    <x v="1"/>
    <n v="43"/>
    <s v="Some Travel"/>
    <x v="2"/>
    <n v="17"/>
    <s v="CA"/>
    <s v="Black or African American"/>
    <n v="4"/>
    <s v="Information Systems"/>
    <x v="5"/>
    <s v="Single"/>
    <n v="130848"/>
    <n v="0"/>
    <x v="1"/>
    <d v="2014-02-09T00:00:00"/>
    <s v="No"/>
    <n v="8"/>
    <n v="8"/>
    <n v="8"/>
    <n v="8"/>
    <s v="Masters "/>
    <s v="Masters "/>
    <s v="Masters "/>
    <n v="0"/>
    <s v="40-49"/>
  </r>
  <r>
    <s v="0145-DBFC"/>
    <s v="Keelia"/>
    <s v="Studde"/>
    <x v="0"/>
    <n v="34"/>
    <s v="No Travel "/>
    <x v="2"/>
    <n v="8"/>
    <s v="CA"/>
    <s v="Asian or Asian American"/>
    <n v="4"/>
    <s v="Information Systems"/>
    <x v="4"/>
    <s v="Single"/>
    <n v="104268"/>
    <n v="0"/>
    <x v="0"/>
    <d v="2014-02-10T00:00:00"/>
    <s v="No"/>
    <n v="8"/>
    <n v="7"/>
    <n v="7"/>
    <n v="7"/>
    <s v="Masters "/>
    <s v="Masters "/>
    <s v="Masters "/>
    <n v="0"/>
    <s v="30-39"/>
  </r>
  <r>
    <s v="CD59-7F94"/>
    <s v="Mathe"/>
    <s v="Burrows"/>
    <x v="2"/>
    <n v="30"/>
    <s v="Some Travel"/>
    <x v="0"/>
    <n v="37"/>
    <s v="CA"/>
    <s v="Asian or Asian American"/>
    <n v="4"/>
    <s v="Economics"/>
    <x v="0"/>
    <s v="Single"/>
    <n v="341039"/>
    <n v="0"/>
    <x v="0"/>
    <d v="2014-02-16T00:00:00"/>
    <s v="No"/>
    <n v="8"/>
    <n v="2"/>
    <n v="4"/>
    <n v="1"/>
    <s v="Masters "/>
    <s v="Masters "/>
    <s v="Masters "/>
    <n v="0"/>
    <s v="30-39"/>
  </r>
  <r>
    <s v="7B47-C915"/>
    <s v="Grayce"/>
    <s v="Caesar"/>
    <x v="0"/>
    <n v="36"/>
    <s v="Some Travel"/>
    <x v="0"/>
    <n v="23"/>
    <s v="CA"/>
    <s v="Mixed or multiple ethnic groups"/>
    <n v="4"/>
    <s v="Marketing"/>
    <x v="0"/>
    <s v="Single"/>
    <n v="195502"/>
    <n v="0"/>
    <x v="0"/>
    <d v="2014-02-23T00:00:00"/>
    <s v="No"/>
    <n v="8"/>
    <n v="0"/>
    <n v="3"/>
    <n v="0"/>
    <s v="Masters "/>
    <s v="Masters "/>
    <s v="Masters "/>
    <n v="0"/>
    <s v="30-39"/>
  </r>
  <r>
    <s v="15B3-F392"/>
    <s v="Anthiathia"/>
    <s v="Streeting"/>
    <x v="0"/>
    <n v="39"/>
    <s v="Some Travel"/>
    <x v="0"/>
    <n v="37"/>
    <s v="IL"/>
    <s v="Asian or Asian American"/>
    <n v="3"/>
    <s v="Economics"/>
    <x v="9"/>
    <s v="Single"/>
    <n v="65612"/>
    <n v="0"/>
    <x v="0"/>
    <d v="2014-02-23T00:00:00"/>
    <s v="No"/>
    <n v="8"/>
    <n v="2"/>
    <n v="8"/>
    <n v="7"/>
    <s v="Bachelors "/>
    <s v="Bachelors "/>
    <s v="Bachelors "/>
    <n v="0"/>
    <s v="30-39"/>
  </r>
  <r>
    <s v="9D01-8A02"/>
    <s v="Garrett"/>
    <s v="Forrester"/>
    <x v="1"/>
    <n v="31"/>
    <s v="Some Travel"/>
    <x v="2"/>
    <n v="8"/>
    <s v="IL"/>
    <s v="White"/>
    <n v="1"/>
    <s v="Information Systems"/>
    <x v="7"/>
    <s v="Single"/>
    <n v="70682"/>
    <n v="0"/>
    <x v="0"/>
    <d v="2014-02-24T00:00:00"/>
    <s v="No"/>
    <n v="8"/>
    <n v="4"/>
    <n v="8"/>
    <n v="2"/>
    <s v="No Formal Qualifications"/>
    <s v="No Formal Qualifications"/>
    <s v="No Formal Qualifications"/>
    <n v="0"/>
    <s v="30-39"/>
  </r>
  <r>
    <s v="2F98-E645"/>
    <s v="Monah"/>
    <s v="Fivey"/>
    <x v="0"/>
    <n v="29"/>
    <s v="Frequent Traveller"/>
    <x v="2"/>
    <n v="17"/>
    <s v="CA"/>
    <s v="Black or African American"/>
    <n v="3"/>
    <s v="Computer Science"/>
    <x v="4"/>
    <s v="Married"/>
    <n v="105554"/>
    <n v="1"/>
    <x v="1"/>
    <d v="2014-02-25T00:00:00"/>
    <s v="Yes"/>
    <n v="5"/>
    <n v="2"/>
    <n v="5"/>
    <n v="2"/>
    <s v="Bachelors "/>
    <s v="Bachelors "/>
    <s v="Bachelors "/>
    <n v="1"/>
    <s v="20-29"/>
  </r>
  <r>
    <s v="A31A-A90C"/>
    <s v="Aleksandr"/>
    <s v="Casetti"/>
    <x v="1"/>
    <n v="36"/>
    <s v="Some Travel"/>
    <x v="2"/>
    <n v="7"/>
    <s v="CA"/>
    <s v="Black or African American"/>
    <n v="3"/>
    <s v="Information Systems"/>
    <x v="4"/>
    <s v="Divorced"/>
    <n v="46773"/>
    <n v="1"/>
    <x v="1"/>
    <d v="2014-02-28T00:00:00"/>
    <s v="No"/>
    <n v="8"/>
    <n v="7"/>
    <n v="8"/>
    <n v="2"/>
    <s v="Bachelors "/>
    <s v="Bachelors "/>
    <s v="Bachelors "/>
    <n v="0"/>
    <s v="30-39"/>
  </r>
  <r>
    <s v="80BE-E2B5"/>
    <s v="Jill"/>
    <s v="Hellewell"/>
    <x v="0"/>
    <n v="29"/>
    <s v="Some Travel"/>
    <x v="2"/>
    <n v="29"/>
    <s v="CA"/>
    <s v="Mixed or multiple ethnic groups"/>
    <n v="3"/>
    <s v="Computer Science"/>
    <x v="8"/>
    <s v="Single"/>
    <n v="110744"/>
    <n v="0"/>
    <x v="0"/>
    <d v="2014-03-02T00:00:00"/>
    <s v="No"/>
    <n v="8"/>
    <n v="8"/>
    <n v="8"/>
    <n v="1"/>
    <s v="Bachelors "/>
    <s v="Bachelors "/>
    <s v="Bachelors "/>
    <n v="0"/>
    <s v="20-29"/>
  </r>
  <r>
    <s v="F98B-61B3"/>
    <s v="Candis"/>
    <s v="Defew"/>
    <x v="0"/>
    <n v="36"/>
    <s v="Some Travel"/>
    <x v="2"/>
    <n v="17"/>
    <s v="CA"/>
    <s v="Asian or Asian American"/>
    <n v="3"/>
    <s v="Computer Science"/>
    <x v="4"/>
    <s v="Single"/>
    <n v="72118"/>
    <n v="0"/>
    <x v="0"/>
    <d v="2014-03-04T00:00:00"/>
    <s v="No"/>
    <n v="8"/>
    <n v="7"/>
    <n v="7"/>
    <n v="8"/>
    <s v="Bachelors "/>
    <s v="Bachelors "/>
    <s v="Bachelors "/>
    <n v="0"/>
    <s v="30-39"/>
  </r>
  <r>
    <s v="6A0D-9C4D"/>
    <s v="Sarge"/>
    <s v="Dikels"/>
    <x v="1"/>
    <n v="34"/>
    <s v="Frequent Traveller"/>
    <x v="2"/>
    <n v="34"/>
    <s v="IL"/>
    <s v="White"/>
    <n v="2"/>
    <s v="Information Systems"/>
    <x v="5"/>
    <s v="Married"/>
    <n v="265922"/>
    <n v="1"/>
    <x v="1"/>
    <d v="2014-03-06T00:00:00"/>
    <s v="No"/>
    <n v="8"/>
    <n v="3"/>
    <n v="3"/>
    <n v="5"/>
    <s v="High School "/>
    <s v="High School "/>
    <s v="High School "/>
    <n v="0"/>
    <s v="30-39"/>
  </r>
  <r>
    <s v="4D7E-BDA4"/>
    <s v="Asher"/>
    <s v="Esson"/>
    <x v="1"/>
    <n v="34"/>
    <s v="Some Travel"/>
    <x v="0"/>
    <n v="19"/>
    <s v="CA"/>
    <s v="Asian or Asian American"/>
    <n v="3"/>
    <s v="Marketing "/>
    <x v="9"/>
    <s v="Single"/>
    <n v="46740"/>
    <n v="0"/>
    <x v="0"/>
    <d v="2014-03-06T00:00:00"/>
    <s v="No"/>
    <n v="8"/>
    <n v="1"/>
    <n v="6"/>
    <n v="1"/>
    <s v="Bachelors "/>
    <s v="Bachelors "/>
    <s v="Bachelors "/>
    <n v="0"/>
    <s v="30-39"/>
  </r>
  <r>
    <s v="6E64-8D30"/>
    <s v="Libbey"/>
    <s v="McCreary"/>
    <x v="0"/>
    <n v="32"/>
    <s v="Some Travel"/>
    <x v="0"/>
    <n v="42"/>
    <s v="CA"/>
    <s v="Mixed or multiple ethnic groups"/>
    <n v="3"/>
    <s v="Marketing"/>
    <x v="0"/>
    <s v="Married"/>
    <n v="108213"/>
    <n v="0"/>
    <x v="0"/>
    <d v="2014-03-10T00:00:00"/>
    <s v="No"/>
    <n v="8"/>
    <n v="6"/>
    <n v="6"/>
    <n v="4"/>
    <s v="Bachelors "/>
    <s v="Bachelors "/>
    <s v="Bachelors "/>
    <n v="0"/>
    <s v="30-39"/>
  </r>
  <r>
    <s v="B341-8D6A"/>
    <s v="Clotilda"/>
    <s v="Lacrouts"/>
    <x v="0"/>
    <n v="40"/>
    <s v="No Travel "/>
    <x v="2"/>
    <n v="26"/>
    <s v="CA"/>
    <s v="Asian or Asian American"/>
    <n v="1"/>
    <s v="Business Studies"/>
    <x v="7"/>
    <s v="Divorced"/>
    <n v="48125"/>
    <n v="3"/>
    <x v="0"/>
    <d v="2014-03-14T00:00:00"/>
    <s v="No"/>
    <n v="8"/>
    <n v="5"/>
    <n v="8"/>
    <n v="2"/>
    <s v="No Formal Qualifications"/>
    <s v="No Formal Qualifications"/>
    <s v="No Formal Qualifications"/>
    <n v="0"/>
    <s v="40-49"/>
  </r>
  <r>
    <s v="1180-BEC9"/>
    <s v="Edgardo"/>
    <s v="McGeouch"/>
    <x v="1"/>
    <n v="43"/>
    <s v="Some Travel"/>
    <x v="2"/>
    <n v="17"/>
    <s v="CA"/>
    <s v="White"/>
    <n v="3"/>
    <s v="Computer Science"/>
    <x v="7"/>
    <s v="Married"/>
    <n v="50946"/>
    <n v="0"/>
    <x v="1"/>
    <d v="2014-03-15T00:00:00"/>
    <s v="Yes"/>
    <n v="8"/>
    <n v="6"/>
    <n v="7"/>
    <n v="3"/>
    <s v="Bachelors "/>
    <s v="Bachelors "/>
    <s v="Bachelors "/>
    <n v="1"/>
    <s v="40-49"/>
  </r>
  <r>
    <s v="5293-AC5C"/>
    <s v="Sydney"/>
    <s v="Metham"/>
    <x v="1"/>
    <n v="44"/>
    <s v="Some Travel"/>
    <x v="0"/>
    <n v="27"/>
    <s v="NY"/>
    <s v="Asian or Asian American"/>
    <n v="3"/>
    <s v="Economics"/>
    <x v="0"/>
    <s v="Single"/>
    <n v="101906"/>
    <n v="0"/>
    <x v="0"/>
    <d v="2014-03-15T00:00:00"/>
    <s v="No"/>
    <n v="8"/>
    <n v="3"/>
    <n v="4"/>
    <n v="7"/>
    <s v="Bachelors "/>
    <s v="Bachelors "/>
    <s v="Bachelors "/>
    <n v="0"/>
    <s v="40-49"/>
  </r>
  <r>
    <s v="D49C-096C"/>
    <s v="George"/>
    <s v="Keddie"/>
    <x v="2"/>
    <n v="26"/>
    <s v="No Travel "/>
    <x v="0"/>
    <n v="10"/>
    <s v="NY"/>
    <s v="Native Hawaiian "/>
    <n v="2"/>
    <s v="Economics"/>
    <x v="0"/>
    <s v="Single"/>
    <n v="55537"/>
    <n v="0"/>
    <x v="0"/>
    <d v="2014-03-16T00:00:00"/>
    <s v="Yes"/>
    <n v="4"/>
    <n v="1"/>
    <n v="1"/>
    <n v="1"/>
    <s v="High School "/>
    <s v="High School "/>
    <s v="High School "/>
    <n v="1"/>
    <s v="20-29"/>
  </r>
  <r>
    <s v="4565-62DE"/>
    <s v="Travis"/>
    <s v="Janota"/>
    <x v="1"/>
    <n v="37"/>
    <s v="Some Travel"/>
    <x v="2"/>
    <n v="29"/>
    <s v="IL"/>
    <s v="Mixed or multiple ethnic groups"/>
    <n v="3"/>
    <s v="Computer Science"/>
    <x v="5"/>
    <s v="Single"/>
    <n v="155506"/>
    <n v="0"/>
    <x v="0"/>
    <d v="2014-03-18T00:00:00"/>
    <s v="No"/>
    <n v="8"/>
    <n v="8"/>
    <n v="8"/>
    <n v="8"/>
    <s v="Bachelors "/>
    <s v="Bachelors "/>
    <s v="Bachelors "/>
    <n v="0"/>
    <s v="30-39"/>
  </r>
  <r>
    <s v="CCAB-4B80"/>
    <s v="Monty"/>
    <s v="Demead"/>
    <x v="1"/>
    <n v="44"/>
    <s v="Some Travel"/>
    <x v="2"/>
    <n v="29"/>
    <s v="CA"/>
    <s v="White"/>
    <n v="3"/>
    <s v="Information Systems"/>
    <x v="10"/>
    <s v="Divorced"/>
    <n v="304520"/>
    <n v="3"/>
    <x v="1"/>
    <d v="2014-03-20T00:00:00"/>
    <s v="No"/>
    <n v="8"/>
    <n v="2"/>
    <n v="2"/>
    <n v="4"/>
    <s v="Bachelors "/>
    <s v="Bachelors "/>
    <s v="Bachelors "/>
    <n v="0"/>
    <s v="40-49"/>
  </r>
  <r>
    <s v="58FA-C451"/>
    <s v="Wayne"/>
    <s v="Beekmann"/>
    <x v="2"/>
    <n v="48"/>
    <s v="Some Travel"/>
    <x v="2"/>
    <n v="26"/>
    <s v="NY"/>
    <s v="Mixed or multiple ethnic groups"/>
    <n v="1"/>
    <s v="Information Systems"/>
    <x v="7"/>
    <s v="Married"/>
    <n v="42008"/>
    <n v="2"/>
    <x v="0"/>
    <d v="2014-03-24T00:00:00"/>
    <s v="No"/>
    <n v="8"/>
    <n v="7"/>
    <n v="7"/>
    <n v="0"/>
    <s v="No Formal Qualifications"/>
    <s v="No Formal Qualifications"/>
    <s v="No Formal Qualifications"/>
    <n v="0"/>
    <s v="40-49"/>
  </r>
  <r>
    <s v="D921-AC35"/>
    <s v="Jeniece"/>
    <s v="Mac"/>
    <x v="0"/>
    <n v="45"/>
    <s v="Some Travel"/>
    <x v="2"/>
    <n v="7"/>
    <s v="CA"/>
    <s v="White"/>
    <n v="4"/>
    <s v="Business Studies"/>
    <x v="8"/>
    <s v="Single"/>
    <n v="104720"/>
    <n v="0"/>
    <x v="0"/>
    <d v="2014-03-29T00:00:00"/>
    <s v="No"/>
    <n v="8"/>
    <n v="7"/>
    <n v="7"/>
    <n v="0"/>
    <s v="Masters "/>
    <s v="Masters "/>
    <s v="Masters "/>
    <n v="0"/>
    <s v="40-49"/>
  </r>
  <r>
    <s v="B4E1-4A3E"/>
    <s v="Beckie"/>
    <s v="Tawn"/>
    <x v="0"/>
    <n v="28"/>
    <s v="Some Travel"/>
    <x v="2"/>
    <n v="12"/>
    <s v="CA"/>
    <s v="White"/>
    <n v="2"/>
    <s v="Computer Science"/>
    <x v="4"/>
    <s v="Married"/>
    <n v="115895"/>
    <n v="1"/>
    <x v="0"/>
    <d v="2014-03-31T00:00:00"/>
    <s v="Yes"/>
    <n v="4"/>
    <n v="1"/>
    <n v="3"/>
    <n v="2"/>
    <s v="High School "/>
    <s v="High School "/>
    <s v="High School "/>
    <n v="1"/>
    <s v="20-29"/>
  </r>
  <r>
    <s v="541F-3E19"/>
    <s v="Dot"/>
    <s v="Aherne"/>
    <x v="0"/>
    <n v="27"/>
    <s v="Some Travel"/>
    <x v="2"/>
    <n v="30"/>
    <s v="CA"/>
    <s v="White"/>
    <n v="1"/>
    <s v="Information Systems"/>
    <x v="4"/>
    <s v="Single"/>
    <n v="49374"/>
    <n v="0"/>
    <x v="1"/>
    <d v="2014-04-02T00:00:00"/>
    <s v="Yes"/>
    <n v="1"/>
    <n v="0"/>
    <n v="0"/>
    <n v="1"/>
    <s v="No Formal Qualifications"/>
    <s v="No Formal Qualifications"/>
    <s v="No Formal Qualifications"/>
    <n v="1"/>
    <s v="20-29"/>
  </r>
  <r>
    <s v="6FE3-2270"/>
    <s v="Danita"/>
    <s v="Paal"/>
    <x v="2"/>
    <n v="31"/>
    <s v="Frequent Traveller"/>
    <x v="0"/>
    <n v="35"/>
    <s v="CA"/>
    <s v="White"/>
    <n v="3"/>
    <s v="Marketing"/>
    <x v="0"/>
    <s v="Married"/>
    <n v="115982"/>
    <n v="1"/>
    <x v="0"/>
    <d v="2014-04-03T00:00:00"/>
    <s v="No"/>
    <n v="8"/>
    <n v="7"/>
    <n v="7"/>
    <n v="4"/>
    <s v="Bachelors "/>
    <s v="Bachelors "/>
    <s v="Bachelors "/>
    <n v="0"/>
    <s v="30-39"/>
  </r>
  <r>
    <s v="29F6-C6CA"/>
    <s v="Micky"/>
    <s v="Beville"/>
    <x v="0"/>
    <n v="35"/>
    <s v="Frequent Traveller"/>
    <x v="0"/>
    <n v="43"/>
    <s v="CA"/>
    <s v="Black or African American"/>
    <n v="2"/>
    <s v="Economics"/>
    <x v="9"/>
    <s v="Married"/>
    <n v="46112"/>
    <n v="1"/>
    <x v="0"/>
    <d v="2014-04-11T00:00:00"/>
    <s v="No"/>
    <n v="8"/>
    <n v="6"/>
    <n v="7"/>
    <n v="2"/>
    <s v="High School "/>
    <s v="High School "/>
    <s v="High School "/>
    <n v="0"/>
    <s v="30-39"/>
  </r>
  <r>
    <s v="9900-1159"/>
    <s v="Kristien"/>
    <s v="Vedikhov"/>
    <x v="0"/>
    <n v="28"/>
    <s v="Frequent Traveller"/>
    <x v="0"/>
    <n v="40"/>
    <s v="IL"/>
    <s v="Black or African American"/>
    <n v="5"/>
    <s v="Marketing "/>
    <x v="0"/>
    <s v="Married"/>
    <n v="215327"/>
    <n v="1"/>
    <x v="0"/>
    <d v="2014-04-13T00:00:00"/>
    <s v="No"/>
    <n v="8"/>
    <n v="1"/>
    <n v="6"/>
    <n v="8"/>
    <s v="Doctorate"/>
    <s v="Doctorate"/>
    <s v="Doctorate"/>
    <n v="0"/>
    <s v="20-29"/>
  </r>
  <r>
    <s v="D926-DED9"/>
    <s v="Sancho"/>
    <s v="Rawlingson"/>
    <x v="1"/>
    <n v="40"/>
    <s v="Some Travel"/>
    <x v="2"/>
    <n v="39"/>
    <s v="CA"/>
    <s v="White"/>
    <n v="2"/>
    <s v="Computer Science"/>
    <x v="10"/>
    <s v="Divorced"/>
    <n v="409998"/>
    <n v="2"/>
    <x v="0"/>
    <d v="2014-04-14T00:00:00"/>
    <s v="No"/>
    <n v="8"/>
    <n v="3"/>
    <n v="6"/>
    <n v="3"/>
    <s v="High School "/>
    <s v="High School "/>
    <s v="High School "/>
    <n v="0"/>
    <s v="40-49"/>
  </r>
  <r>
    <s v="4A39-E8E6"/>
    <s v="Hernando"/>
    <s v="Larkings"/>
    <x v="1"/>
    <n v="35"/>
    <s v="Some Travel"/>
    <x v="2"/>
    <n v="26"/>
    <s v="CA"/>
    <s v="White"/>
    <n v="3"/>
    <s v="Information Systems"/>
    <x v="2"/>
    <s v="Married"/>
    <n v="311475"/>
    <n v="0"/>
    <x v="0"/>
    <d v="2014-04-15T00:00:00"/>
    <s v="No"/>
    <n v="8"/>
    <n v="0"/>
    <n v="0"/>
    <n v="2"/>
    <s v="Bachelors "/>
    <s v="Bachelors "/>
    <s v="Bachelors "/>
    <n v="0"/>
    <s v="30-39"/>
  </r>
  <r>
    <s v="B0C3-E578"/>
    <s v="Shela"/>
    <s v="Toseland"/>
    <x v="0"/>
    <n v="32"/>
    <s v="Frequent Traveller"/>
    <x v="2"/>
    <n v="14"/>
    <s v="CA"/>
    <s v="Black or African American"/>
    <n v="1"/>
    <s v="Computer Science"/>
    <x v="5"/>
    <s v="Divorced"/>
    <n v="97595"/>
    <n v="2"/>
    <x v="0"/>
    <d v="2014-04-20T00:00:00"/>
    <s v="No"/>
    <n v="8"/>
    <n v="0"/>
    <n v="0"/>
    <n v="1"/>
    <s v="No Formal Qualifications"/>
    <s v="No Formal Qualifications"/>
    <s v="No Formal Qualifications"/>
    <n v="0"/>
    <s v="30-39"/>
  </r>
  <r>
    <s v="F9E1-87E9"/>
    <s v="Briana"/>
    <s v="Bubeer"/>
    <x v="0"/>
    <n v="33"/>
    <s v="No Travel "/>
    <x v="0"/>
    <n v="41"/>
    <s v="NY"/>
    <s v="Mixed or multiple ethnic groups"/>
    <n v="2"/>
    <s v="Economics"/>
    <x v="0"/>
    <s v="Single"/>
    <n v="193190"/>
    <n v="0"/>
    <x v="1"/>
    <d v="2014-04-22T00:00:00"/>
    <s v="No"/>
    <n v="8"/>
    <n v="0"/>
    <n v="3"/>
    <n v="4"/>
    <s v="High School "/>
    <s v="High School "/>
    <s v="High School "/>
    <n v="0"/>
    <s v="30-39"/>
  </r>
  <r>
    <s v="AF77-0F6B"/>
    <s v="Germana"/>
    <s v="Ludlom"/>
    <x v="0"/>
    <n v="36"/>
    <s v="Some Travel"/>
    <x v="2"/>
    <n v="21"/>
    <s v="CA"/>
    <s v="Mixed or multiple ethnic groups"/>
    <n v="4"/>
    <s v="Computer Science"/>
    <x v="7"/>
    <s v="Divorced"/>
    <n v="57327"/>
    <n v="2"/>
    <x v="0"/>
    <d v="2014-04-24T00:00:00"/>
    <s v="No"/>
    <n v="8"/>
    <n v="5"/>
    <n v="8"/>
    <n v="4"/>
    <s v="Masters "/>
    <s v="Masters "/>
    <s v="Masters "/>
    <n v="0"/>
    <s v="30-39"/>
  </r>
  <r>
    <s v="C6A8-4E8A"/>
    <s v="Clayton"/>
    <s v="Hinemoor"/>
    <x v="1"/>
    <n v="29"/>
    <s v="Some Travel"/>
    <x v="2"/>
    <n v="8"/>
    <s v="NY"/>
    <s v="White"/>
    <n v="2"/>
    <s v="Computer Science"/>
    <x v="5"/>
    <s v="Married"/>
    <n v="119083"/>
    <n v="2"/>
    <x v="0"/>
    <d v="2014-04-25T00:00:00"/>
    <s v="No"/>
    <n v="8"/>
    <n v="3"/>
    <n v="6"/>
    <n v="4"/>
    <s v="High School "/>
    <s v="High School "/>
    <s v="High School "/>
    <n v="0"/>
    <s v="20-29"/>
  </r>
  <r>
    <s v="2250-86C5"/>
    <s v="Desmond"/>
    <s v="O'Fallone"/>
    <x v="3"/>
    <n v="41"/>
    <s v="Some Travel"/>
    <x v="0"/>
    <n v="33"/>
    <s v="NY"/>
    <s v="American Indian or Alaska Native"/>
    <n v="1"/>
    <s v="Marketing "/>
    <x v="0"/>
    <s v="Divorced"/>
    <n v="119592"/>
    <n v="1"/>
    <x v="1"/>
    <d v="2014-05-06T00:00:00"/>
    <s v="No"/>
    <n v="8"/>
    <n v="7"/>
    <n v="8"/>
    <n v="2"/>
    <s v="No Formal Qualifications"/>
    <s v="No Formal Qualifications"/>
    <s v="No Formal Qualifications"/>
    <n v="0"/>
    <s v="40-49"/>
  </r>
  <r>
    <s v="9DB1-8C59"/>
    <s v="Thebault"/>
    <s v="Bitterton"/>
    <x v="1"/>
    <n v="44"/>
    <s v="Some Travel"/>
    <x v="2"/>
    <n v="5"/>
    <s v="NY"/>
    <s v="Mixed or multiple ethnic groups"/>
    <n v="3"/>
    <s v="Business Studies"/>
    <x v="7"/>
    <s v="Married"/>
    <n v="48994"/>
    <n v="0"/>
    <x v="0"/>
    <d v="2014-05-09T00:00:00"/>
    <s v="No"/>
    <n v="8"/>
    <n v="7"/>
    <n v="7"/>
    <n v="3"/>
    <s v="Bachelors "/>
    <s v="Bachelors "/>
    <s v="Bachelors "/>
    <n v="0"/>
    <s v="40-49"/>
  </r>
  <r>
    <s v="45D7-5C8A"/>
    <s v="Artemus"/>
    <s v="Boyet"/>
    <x v="1"/>
    <n v="26"/>
    <s v="Some Travel"/>
    <x v="0"/>
    <n v="45"/>
    <s v="CA"/>
    <s v="Black or African American"/>
    <n v="3"/>
    <s v="Technical Degree"/>
    <x v="9"/>
    <s v="Married"/>
    <n v="20650"/>
    <n v="1"/>
    <x v="0"/>
    <d v="2014-05-10T00:00:00"/>
    <s v="Yes"/>
    <n v="2"/>
    <n v="0"/>
    <n v="0"/>
    <n v="1"/>
    <s v="Bachelors "/>
    <s v="Bachelors "/>
    <s v="Bachelors "/>
    <n v="1"/>
    <s v="20-29"/>
  </r>
  <r>
    <s v="DF71-97FB"/>
    <s v="Carlyle"/>
    <s v="Tinghill"/>
    <x v="1"/>
    <n v="29"/>
    <s v="No Travel "/>
    <x v="2"/>
    <n v="12"/>
    <s v="IL"/>
    <s v="White"/>
    <n v="4"/>
    <s v="Computer Science"/>
    <x v="4"/>
    <s v="Married"/>
    <n v="62756"/>
    <n v="0"/>
    <x v="0"/>
    <d v="2014-05-14T00:00:00"/>
    <s v="No"/>
    <n v="8"/>
    <n v="3"/>
    <n v="5"/>
    <n v="8"/>
    <s v="Masters "/>
    <s v="Masters "/>
    <s v="Masters "/>
    <n v="0"/>
    <s v="20-29"/>
  </r>
  <r>
    <s v="C5C2-985F"/>
    <s v="Gaspar"/>
    <s v="O' Concannon"/>
    <x v="1"/>
    <n v="29"/>
    <s v="Some Travel"/>
    <x v="0"/>
    <n v="3"/>
    <s v="CA"/>
    <s v="American Indian or Alaska Native"/>
    <n v="3"/>
    <s v="Other"/>
    <x v="9"/>
    <s v="Single"/>
    <n v="46465"/>
    <n v="0"/>
    <x v="1"/>
    <d v="2014-05-16T00:00:00"/>
    <s v="Yes"/>
    <n v="4"/>
    <n v="3"/>
    <n v="3"/>
    <n v="3"/>
    <s v="Bachelors "/>
    <s v="Bachelors "/>
    <s v="Bachelors "/>
    <n v="1"/>
    <s v="20-29"/>
  </r>
  <r>
    <s v="10E9-4C86"/>
    <s v="Ignacius"/>
    <s v="Dockrill"/>
    <x v="2"/>
    <n v="34"/>
    <s v="Frequent Traveller"/>
    <x v="2"/>
    <n v="12"/>
    <s v="CA"/>
    <s v="White"/>
    <n v="2"/>
    <s v="Computer Science"/>
    <x v="4"/>
    <s v="Married"/>
    <n v="44057"/>
    <n v="1"/>
    <x v="1"/>
    <d v="2014-05-17T00:00:00"/>
    <s v="No"/>
    <n v="8"/>
    <n v="7"/>
    <n v="7"/>
    <n v="1"/>
    <s v="High School "/>
    <s v="High School "/>
    <s v="High School "/>
    <n v="0"/>
    <s v="30-39"/>
  </r>
  <r>
    <s v="4F64-A0E2"/>
    <s v="Baird"/>
    <s v="Trays"/>
    <x v="2"/>
    <n v="48"/>
    <s v="Frequent Traveller"/>
    <x v="0"/>
    <n v="9"/>
    <s v="NY"/>
    <s v="Native Hawaiian "/>
    <n v="3"/>
    <s v="Economics"/>
    <x v="0"/>
    <s v="Divorced"/>
    <n v="288450"/>
    <n v="2"/>
    <x v="1"/>
    <d v="2014-05-24T00:00:00"/>
    <s v="No"/>
    <n v="8"/>
    <n v="2"/>
    <n v="6"/>
    <n v="4"/>
    <s v="Bachelors "/>
    <s v="Bachelors "/>
    <s v="Bachelors "/>
    <n v="0"/>
    <s v="40-49"/>
  </r>
  <r>
    <s v="5544-4583"/>
    <s v="Jennee"/>
    <s v="Proske"/>
    <x v="0"/>
    <n v="41"/>
    <s v="Some Travel"/>
    <x v="0"/>
    <n v="42"/>
    <s v="CA"/>
    <s v="Asian or Asian American"/>
    <n v="3"/>
    <s v="Technical Degree"/>
    <x v="0"/>
    <s v="Married"/>
    <n v="142853"/>
    <n v="1"/>
    <x v="0"/>
    <d v="2014-05-27T00:00:00"/>
    <s v="No"/>
    <n v="8"/>
    <n v="7"/>
    <n v="8"/>
    <n v="7"/>
    <s v="Bachelors "/>
    <s v="Bachelors "/>
    <s v="Bachelors "/>
    <n v="0"/>
    <s v="40-49"/>
  </r>
  <r>
    <s v="D970-9F5E"/>
    <s v="Lilla"/>
    <s v="Ledamun"/>
    <x v="0"/>
    <n v="29"/>
    <s v="Some Travel"/>
    <x v="2"/>
    <n v="36"/>
    <s v="CA"/>
    <s v="Asian or Asian American"/>
    <n v="3"/>
    <s v="Computer Science"/>
    <x v="4"/>
    <s v="Married"/>
    <n v="46813"/>
    <n v="0"/>
    <x v="0"/>
    <d v="2014-05-29T00:00:00"/>
    <s v="Yes"/>
    <n v="6"/>
    <n v="1"/>
    <n v="1"/>
    <n v="1"/>
    <s v="Bachelors "/>
    <s v="Bachelors "/>
    <s v="Bachelors "/>
    <n v="1"/>
    <s v="20-29"/>
  </r>
  <r>
    <s v="DF5F-5ED9"/>
    <s v="Marilee"/>
    <s v="Moreton"/>
    <x v="0"/>
    <n v="46"/>
    <s v="No Travel "/>
    <x v="2"/>
    <n v="21"/>
    <s v="CA"/>
    <s v="Other "/>
    <n v="1"/>
    <s v="Computer Science"/>
    <x v="10"/>
    <s v="Married"/>
    <n v="281175"/>
    <n v="0"/>
    <x v="1"/>
    <d v="2014-06-02T00:00:00"/>
    <s v="No"/>
    <n v="8"/>
    <n v="1"/>
    <n v="2"/>
    <n v="2"/>
    <s v="No Formal Qualifications"/>
    <s v="No Formal Qualifications"/>
    <s v="No Formal Qualifications"/>
    <n v="0"/>
    <s v="40-49"/>
  </r>
  <r>
    <s v="2407-5A4E"/>
    <s v="Butch"/>
    <s v="Quinby"/>
    <x v="1"/>
    <n v="40"/>
    <s v="Some Travel"/>
    <x v="2"/>
    <n v="22"/>
    <s v="CA"/>
    <s v="Black or African American"/>
    <n v="1"/>
    <s v="Business Studies"/>
    <x v="4"/>
    <s v="Married"/>
    <n v="38849"/>
    <n v="1"/>
    <x v="0"/>
    <d v="2014-06-06T00:00:00"/>
    <s v="No"/>
    <n v="8"/>
    <n v="6"/>
    <n v="6"/>
    <n v="3"/>
    <s v="No Formal Qualifications"/>
    <s v="No Formal Qualifications"/>
    <s v="No Formal Qualifications"/>
    <n v="0"/>
    <s v="40-49"/>
  </r>
  <r>
    <s v="B340-5AD2"/>
    <s v="Denys"/>
    <s v="Agastina"/>
    <x v="2"/>
    <n v="37"/>
    <s v="Some Travel"/>
    <x v="0"/>
    <n v="30"/>
    <s v="NY"/>
    <s v="Native Hawaiian "/>
    <n v="3"/>
    <s v="Marketing"/>
    <x v="0"/>
    <s v="Married"/>
    <n v="61117"/>
    <n v="1"/>
    <x v="1"/>
    <d v="2014-06-10T00:00:00"/>
    <s v="No"/>
    <n v="8"/>
    <n v="2"/>
    <n v="5"/>
    <n v="0"/>
    <s v="Bachelors "/>
    <s v="Bachelors "/>
    <s v="Bachelors "/>
    <n v="0"/>
    <s v="30-39"/>
  </r>
  <r>
    <s v="D106-E487"/>
    <s v="Dori"/>
    <s v="Bevens"/>
    <x v="0"/>
    <n v="40"/>
    <s v="Some Travel"/>
    <x v="0"/>
    <n v="2"/>
    <s v="NY"/>
    <s v="White"/>
    <n v="4"/>
    <s v="Technical Degree"/>
    <x v="0"/>
    <s v="Married"/>
    <n v="204005"/>
    <n v="1"/>
    <x v="0"/>
    <d v="2014-06-10T00:00:00"/>
    <s v="No"/>
    <n v="8"/>
    <n v="7"/>
    <n v="7"/>
    <n v="3"/>
    <s v="Masters "/>
    <s v="Masters "/>
    <s v="Masters "/>
    <n v="0"/>
    <s v="40-49"/>
  </r>
  <r>
    <s v="19C3-DAE4"/>
    <s v="Cristiano"/>
    <s v="Brugger"/>
    <x v="1"/>
    <n v="30"/>
    <s v="Some Travel"/>
    <x v="2"/>
    <n v="19"/>
    <s v="CA"/>
    <s v="Black or African American"/>
    <n v="3"/>
    <s v="Information Systems"/>
    <x v="4"/>
    <s v="Married"/>
    <n v="53336"/>
    <n v="1"/>
    <x v="0"/>
    <d v="2014-06-11T00:00:00"/>
    <s v="No"/>
    <n v="8"/>
    <n v="3"/>
    <n v="3"/>
    <n v="7"/>
    <s v="Bachelors "/>
    <s v="Bachelors "/>
    <s v="Bachelors "/>
    <n v="0"/>
    <s v="30-39"/>
  </r>
  <r>
    <s v="9CE9-B0D5"/>
    <s v="Hilary"/>
    <s v="McPhee"/>
    <x v="1"/>
    <n v="33"/>
    <s v="Some Travel"/>
    <x v="2"/>
    <n v="31"/>
    <s v="CA"/>
    <s v="White"/>
    <n v="1"/>
    <s v="Information Systems"/>
    <x v="4"/>
    <s v="Married"/>
    <n v="60754"/>
    <n v="1"/>
    <x v="0"/>
    <d v="2014-06-15T00:00:00"/>
    <s v="No"/>
    <n v="8"/>
    <n v="7"/>
    <n v="8"/>
    <n v="1"/>
    <s v="No Formal Qualifications"/>
    <s v="No Formal Qualifications"/>
    <s v="No Formal Qualifications"/>
    <n v="0"/>
    <s v="30-39"/>
  </r>
  <r>
    <s v="CA75-94D1"/>
    <s v="Avery"/>
    <s v="Larimer"/>
    <x v="1"/>
    <n v="41"/>
    <s v="Some Travel"/>
    <x v="2"/>
    <n v="16"/>
    <s v="CA"/>
    <s v="Black or African American"/>
    <n v="2"/>
    <s v="Computer Science"/>
    <x v="4"/>
    <s v="Married"/>
    <n v="45989"/>
    <n v="1"/>
    <x v="0"/>
    <d v="2014-06-17T00:00:00"/>
    <s v="No"/>
    <n v="8"/>
    <n v="4"/>
    <n v="8"/>
    <n v="4"/>
    <s v="High School "/>
    <s v="High School "/>
    <s v="High School "/>
    <n v="0"/>
    <s v="40-49"/>
  </r>
  <r>
    <s v="5416-F925"/>
    <s v="John"/>
    <s v="Tempest"/>
    <x v="1"/>
    <n v="43"/>
    <s v="No Travel "/>
    <x v="2"/>
    <n v="14"/>
    <s v="NY"/>
    <s v="White"/>
    <n v="1"/>
    <s v="Computer Science"/>
    <x v="4"/>
    <s v="Married"/>
    <n v="76331"/>
    <n v="0"/>
    <x v="0"/>
    <d v="2014-06-18T00:00:00"/>
    <s v="No"/>
    <n v="8"/>
    <n v="2"/>
    <n v="4"/>
    <n v="3"/>
    <s v="No Formal Qualifications"/>
    <s v="No Formal Qualifications"/>
    <s v="No Formal Qualifications"/>
    <n v="0"/>
    <s v="40-49"/>
  </r>
  <r>
    <s v="2D85-ABDD"/>
    <s v="Myrtie"/>
    <s v="Tythe"/>
    <x v="0"/>
    <n v="33"/>
    <s v="No Travel "/>
    <x v="0"/>
    <n v="29"/>
    <s v="IL"/>
    <s v="White"/>
    <n v="3"/>
    <s v="Economics"/>
    <x v="0"/>
    <s v="Married"/>
    <n v="65094"/>
    <n v="0"/>
    <x v="0"/>
    <d v="2014-06-20T00:00:00"/>
    <s v="No"/>
    <n v="8"/>
    <n v="8"/>
    <n v="8"/>
    <n v="0"/>
    <s v="Bachelors "/>
    <s v="Bachelors "/>
    <s v="Bachelors "/>
    <n v="0"/>
    <s v="30-39"/>
  </r>
  <r>
    <s v="8FD9-AA59"/>
    <s v="Faina"/>
    <s v="Bewshaw"/>
    <x v="2"/>
    <n v="26"/>
    <s v="Frequent Traveller"/>
    <x v="0"/>
    <n v="14"/>
    <s v="IL"/>
    <s v="Mixed or multiple ethnic groups"/>
    <n v="4"/>
    <s v="Marketing "/>
    <x v="0"/>
    <s v="Divorced"/>
    <n v="71349"/>
    <n v="2"/>
    <x v="0"/>
    <d v="2014-06-20T00:00:00"/>
    <s v="Yes"/>
    <n v="7"/>
    <n v="2"/>
    <n v="2"/>
    <n v="1"/>
    <s v="Masters "/>
    <s v="Masters "/>
    <s v="Masters "/>
    <n v="1"/>
    <s v="20-29"/>
  </r>
  <r>
    <s v="D871-1F74"/>
    <s v="Beitris"/>
    <s v="Davers"/>
    <x v="0"/>
    <n v="32"/>
    <s v="Frequent Traveller"/>
    <x v="2"/>
    <n v="40"/>
    <s v="CA"/>
    <s v="White"/>
    <n v="5"/>
    <s v="Computer Science"/>
    <x v="4"/>
    <s v="Single"/>
    <n v="60759"/>
    <n v="0"/>
    <x v="0"/>
    <d v="2014-06-22T00:00:00"/>
    <s v="No"/>
    <n v="8"/>
    <n v="0"/>
    <n v="6"/>
    <n v="3"/>
    <s v="Doctorate"/>
    <s v="Doctorate"/>
    <s v="Doctorate"/>
    <n v="0"/>
    <s v="30-39"/>
  </r>
  <r>
    <s v="7816-BF57"/>
    <s v="Noak"/>
    <s v="Pointing"/>
    <x v="1"/>
    <n v="37"/>
    <s v="Some Travel"/>
    <x v="0"/>
    <n v="22"/>
    <s v="CA"/>
    <s v="White"/>
    <n v="4"/>
    <s v="Marketing"/>
    <x v="0"/>
    <s v="Divorced"/>
    <n v="92483"/>
    <n v="1"/>
    <x v="1"/>
    <d v="2014-06-23T00:00:00"/>
    <s v="No"/>
    <n v="8"/>
    <n v="5"/>
    <n v="5"/>
    <n v="3"/>
    <s v="Masters "/>
    <s v="Masters "/>
    <s v="Masters "/>
    <n v="0"/>
    <s v="30-39"/>
  </r>
  <r>
    <s v="CED0-8D31"/>
    <s v="Dulci"/>
    <s v="Berthot"/>
    <x v="0"/>
    <n v="36"/>
    <s v="Some Travel"/>
    <x v="2"/>
    <n v="43"/>
    <s v="CA"/>
    <s v="Black or African American"/>
    <n v="3"/>
    <s v="Computer Science"/>
    <x v="10"/>
    <s v="Single"/>
    <n v="454993"/>
    <n v="0"/>
    <x v="0"/>
    <d v="2014-06-24T00:00:00"/>
    <s v="No"/>
    <n v="8"/>
    <n v="3"/>
    <n v="4"/>
    <n v="0"/>
    <s v="Bachelors "/>
    <s v="Bachelors "/>
    <s v="Bachelors "/>
    <n v="0"/>
    <s v="30-39"/>
  </r>
  <r>
    <s v="CC7A-EE97"/>
    <s v="Ryan"/>
    <s v="Gaffey"/>
    <x v="1"/>
    <n v="31"/>
    <s v="Some Travel"/>
    <x v="2"/>
    <n v="10"/>
    <s v="IL"/>
    <s v="White"/>
    <n v="3"/>
    <s v="Computer Science"/>
    <x v="8"/>
    <s v="Married"/>
    <n v="168087"/>
    <n v="1"/>
    <x v="0"/>
    <d v="2014-06-24T00:00:00"/>
    <s v="No"/>
    <n v="8"/>
    <n v="4"/>
    <n v="7"/>
    <n v="3"/>
    <s v="Bachelors "/>
    <s v="Bachelors "/>
    <s v="Bachelors "/>
    <n v="0"/>
    <s v="30-39"/>
  </r>
  <r>
    <s v="B2D6-A355"/>
    <s v="Dennis"/>
    <s v="Whopples"/>
    <x v="1"/>
    <n v="38"/>
    <s v="Some Travel"/>
    <x v="2"/>
    <n v="4"/>
    <s v="NY"/>
    <s v="Mixed or multiple ethnic groups"/>
    <n v="4"/>
    <s v="Other"/>
    <x v="10"/>
    <s v="Married"/>
    <n v="361616"/>
    <n v="1"/>
    <x v="1"/>
    <d v="2014-06-25T00:00:00"/>
    <s v="No"/>
    <n v="8"/>
    <n v="1"/>
    <n v="6"/>
    <n v="5"/>
    <s v="Masters "/>
    <s v="Masters "/>
    <s v="Masters "/>
    <n v="0"/>
    <s v="30-39"/>
  </r>
  <r>
    <s v="CC8A-0B1F"/>
    <s v="Letta"/>
    <s v="Van der Kruys"/>
    <x v="0"/>
    <n v="28"/>
    <s v="Some Travel"/>
    <x v="2"/>
    <n v="23"/>
    <s v="CA"/>
    <s v="Mixed or multiple ethnic groups"/>
    <n v="2"/>
    <s v="Business Studies"/>
    <x v="4"/>
    <s v="Married"/>
    <n v="65328"/>
    <n v="1"/>
    <x v="0"/>
    <d v="2014-06-27T00:00:00"/>
    <s v="Yes"/>
    <n v="5"/>
    <n v="4"/>
    <n v="4"/>
    <n v="0"/>
    <s v="High School "/>
    <s v="High School "/>
    <s v="High School "/>
    <n v="1"/>
    <s v="20-29"/>
  </r>
  <r>
    <s v="30CB-BCD0"/>
    <s v="Saraann"/>
    <s v="Justice"/>
    <x v="0"/>
    <n v="38"/>
    <s v="Frequent Traveller"/>
    <x v="2"/>
    <n v="31"/>
    <s v="NY"/>
    <s v="Black or African American"/>
    <n v="3"/>
    <s v="Computer Science"/>
    <x v="4"/>
    <s v="Married"/>
    <n v="90187"/>
    <n v="1"/>
    <x v="1"/>
    <d v="2014-06-27T00:00:00"/>
    <s v="No"/>
    <n v="8"/>
    <n v="4"/>
    <n v="5"/>
    <n v="2"/>
    <s v="Bachelors "/>
    <s v="Bachelors "/>
    <s v="Bachelors "/>
    <n v="0"/>
    <s v="30-39"/>
  </r>
  <r>
    <s v="3642-EEAE"/>
    <s v="Eleanore"/>
    <s v="Gundrey"/>
    <x v="0"/>
    <n v="48"/>
    <s v="Some Travel"/>
    <x v="2"/>
    <n v="43"/>
    <s v="CA"/>
    <s v="White"/>
    <n v="3"/>
    <s v="Information Systems"/>
    <x v="4"/>
    <s v="Married"/>
    <n v="56053"/>
    <n v="1"/>
    <x v="0"/>
    <d v="2014-06-27T00:00:00"/>
    <s v="No"/>
    <n v="8"/>
    <n v="6"/>
    <n v="8"/>
    <n v="4"/>
    <s v="Bachelors "/>
    <s v="Bachelors "/>
    <s v="Bachelors "/>
    <n v="0"/>
    <s v="40-49"/>
  </r>
  <r>
    <s v="205B-4D34"/>
    <s v="Cris"/>
    <s v="Jeram"/>
    <x v="1"/>
    <n v="41"/>
    <s v="Frequent Traveller"/>
    <x v="1"/>
    <n v="39"/>
    <s v="CA"/>
    <s v="Mixed or multiple ethnic groups"/>
    <n v="1"/>
    <s v="Human Resources"/>
    <x v="11"/>
    <s v="Single"/>
    <n v="79990"/>
    <n v="0"/>
    <x v="0"/>
    <d v="2014-06-29T00:00:00"/>
    <s v="No"/>
    <n v="8"/>
    <n v="5"/>
    <n v="5"/>
    <n v="8"/>
    <s v="No Formal Qualifications"/>
    <s v="No Formal Qualifications"/>
    <s v="No Formal Qualifications"/>
    <n v="0"/>
    <s v="40-49"/>
  </r>
  <r>
    <s v="8BCA-723F"/>
    <s v="Normy"/>
    <s v="De la Harpe"/>
    <x v="1"/>
    <n v="46"/>
    <s v="Some Travel"/>
    <x v="2"/>
    <n v="24"/>
    <s v="CA"/>
    <s v="White"/>
    <n v="4"/>
    <s v="Computer Science"/>
    <x v="4"/>
    <s v="Divorced"/>
    <n v="43487"/>
    <n v="1"/>
    <x v="0"/>
    <d v="2014-06-29T00:00:00"/>
    <s v="No"/>
    <n v="8"/>
    <n v="8"/>
    <n v="8"/>
    <n v="8"/>
    <s v="Masters "/>
    <s v="Masters "/>
    <s v="Masters "/>
    <n v="0"/>
    <s v="40-49"/>
  </r>
  <r>
    <s v="ED5D-E9D8"/>
    <s v="Leigh"/>
    <s v="Parker"/>
    <x v="0"/>
    <n v="28"/>
    <s v="Some Travel"/>
    <x v="0"/>
    <n v="32"/>
    <s v="CA"/>
    <s v="Mixed or multiple ethnic groups"/>
    <n v="1"/>
    <s v="Economics"/>
    <x v="9"/>
    <s v="Married"/>
    <n v="52528"/>
    <n v="0"/>
    <x v="0"/>
    <d v="2014-07-02T00:00:00"/>
    <s v="No"/>
    <n v="8"/>
    <n v="2"/>
    <n v="4"/>
    <n v="6"/>
    <s v="No Formal Qualifications"/>
    <s v="No Formal Qualifications"/>
    <s v="No Formal Qualifications"/>
    <n v="0"/>
    <s v="20-29"/>
  </r>
  <r>
    <s v="5988-3855"/>
    <s v="Marthe"/>
    <s v="Mattisson"/>
    <x v="0"/>
    <n v="43"/>
    <s v="Some Travel"/>
    <x v="2"/>
    <n v="31"/>
    <s v="CA"/>
    <s v="Black or African American"/>
    <n v="1"/>
    <s v="Information Systems"/>
    <x v="7"/>
    <s v="Single"/>
    <n v="98693"/>
    <n v="0"/>
    <x v="0"/>
    <d v="2014-07-04T00:00:00"/>
    <s v="No"/>
    <n v="8"/>
    <n v="5"/>
    <n v="8"/>
    <n v="6"/>
    <s v="No Formal Qualifications"/>
    <s v="No Formal Qualifications"/>
    <s v="No Formal Qualifications"/>
    <n v="0"/>
    <s v="40-49"/>
  </r>
  <r>
    <s v="5A65-768A"/>
    <s v="Felicity"/>
    <s v="Hayler"/>
    <x v="0"/>
    <n v="43"/>
    <s v="Frequent Traveller"/>
    <x v="0"/>
    <n v="40"/>
    <s v="CA"/>
    <s v="White"/>
    <n v="4"/>
    <s v="Economics"/>
    <x v="0"/>
    <s v="Married"/>
    <n v="86038"/>
    <n v="3"/>
    <x v="0"/>
    <d v="2014-07-06T00:00:00"/>
    <s v="No"/>
    <n v="8"/>
    <n v="1"/>
    <n v="3"/>
    <n v="3"/>
    <s v="Masters "/>
    <s v="Masters "/>
    <s v="Masters "/>
    <n v="0"/>
    <s v="40-49"/>
  </r>
  <r>
    <s v="95D8-5DC7"/>
    <s v="Udall"/>
    <s v="Dowson"/>
    <x v="1"/>
    <n v="48"/>
    <s v="Some Travel"/>
    <x v="2"/>
    <n v="19"/>
    <s v="CA"/>
    <s v="Black or African American"/>
    <n v="5"/>
    <s v="Computer Science"/>
    <x v="2"/>
    <s v="Divorced"/>
    <n v="241907"/>
    <n v="3"/>
    <x v="0"/>
    <d v="2014-07-07T00:00:00"/>
    <s v="No"/>
    <n v="8"/>
    <n v="3"/>
    <n v="3"/>
    <n v="0"/>
    <s v="Doctorate"/>
    <s v="Doctorate"/>
    <s v="Doctorate"/>
    <n v="0"/>
    <s v="40-49"/>
  </r>
  <r>
    <s v="B97B-73D7"/>
    <s v="Chelsie"/>
    <s v="Isakovitch"/>
    <x v="0"/>
    <n v="29"/>
    <s v="Frequent Traveller"/>
    <x v="0"/>
    <n v="18"/>
    <s v="CA"/>
    <s v="American Indian or Alaska Native"/>
    <n v="3"/>
    <s v="Marketing"/>
    <x v="0"/>
    <s v="Single"/>
    <n v="177402"/>
    <n v="0"/>
    <x v="0"/>
    <d v="2014-07-10T00:00:00"/>
    <s v="Yes"/>
    <n v="6"/>
    <n v="3"/>
    <n v="5"/>
    <n v="3"/>
    <s v="Bachelors "/>
    <s v="Bachelors "/>
    <s v="Bachelors "/>
    <n v="1"/>
    <s v="20-29"/>
  </r>
  <r>
    <s v="C22D-CE5F"/>
    <s v="Dorry"/>
    <s v="Tiddy"/>
    <x v="0"/>
    <n v="42"/>
    <s v="Frequent Traveller"/>
    <x v="0"/>
    <n v="37"/>
    <s v="CA"/>
    <s v="Mixed or multiple ethnic groups"/>
    <n v="3"/>
    <s v="Marketing "/>
    <x v="0"/>
    <s v="Single"/>
    <n v="189256"/>
    <n v="0"/>
    <x v="0"/>
    <d v="2014-07-10T00:00:00"/>
    <s v="No"/>
    <n v="8"/>
    <n v="1"/>
    <n v="2"/>
    <n v="2"/>
    <s v="Bachelors "/>
    <s v="Bachelors "/>
    <s v="Bachelors "/>
    <n v="0"/>
    <s v="40-49"/>
  </r>
  <r>
    <s v="9C24-CD7A"/>
    <s v="Yoshiko"/>
    <s v="Abrahart"/>
    <x v="0"/>
    <n v="45"/>
    <s v="Some Travel"/>
    <x v="2"/>
    <n v="13"/>
    <s v="CA"/>
    <s v="White"/>
    <n v="2"/>
    <s v="Other"/>
    <x v="10"/>
    <s v="Single"/>
    <n v="349793"/>
    <n v="0"/>
    <x v="0"/>
    <d v="2014-07-10T00:00:00"/>
    <s v="No"/>
    <n v="8"/>
    <n v="0"/>
    <n v="8"/>
    <n v="6"/>
    <s v="High School "/>
    <s v="High School "/>
    <s v="High School "/>
    <n v="0"/>
    <s v="40-49"/>
  </r>
  <r>
    <s v="9658-7750"/>
    <s v="Ray"/>
    <s v="Holbie"/>
    <x v="0"/>
    <n v="37"/>
    <s v="Some Travel"/>
    <x v="2"/>
    <n v="40"/>
    <s v="NY"/>
    <s v="American Indian or Alaska Native"/>
    <n v="4"/>
    <s v="Information Systems"/>
    <x v="4"/>
    <s v="Married"/>
    <n v="49550"/>
    <n v="3"/>
    <x v="0"/>
    <d v="2014-07-11T00:00:00"/>
    <s v="No"/>
    <n v="8"/>
    <n v="2"/>
    <n v="8"/>
    <n v="6"/>
    <s v="Masters "/>
    <s v="Masters "/>
    <s v="Masters "/>
    <n v="0"/>
    <s v="30-39"/>
  </r>
  <r>
    <s v="D7F8-1775"/>
    <s v="Benyamin"/>
    <s v="Jane"/>
    <x v="1"/>
    <n v="36"/>
    <s v="Some Travel"/>
    <x v="0"/>
    <n v="13"/>
    <s v="CA"/>
    <s v="White"/>
    <n v="3"/>
    <s v="Marketing "/>
    <x v="0"/>
    <s v="Single"/>
    <n v="121303"/>
    <n v="0"/>
    <x v="0"/>
    <d v="2014-07-12T00:00:00"/>
    <s v="No"/>
    <n v="8"/>
    <n v="2"/>
    <n v="3"/>
    <n v="0"/>
    <s v="Bachelors "/>
    <s v="Bachelors "/>
    <s v="Bachelors "/>
    <n v="0"/>
    <s v="30-39"/>
  </r>
  <r>
    <s v="A696-1216"/>
    <s v="Cynthy"/>
    <s v="Gainsford"/>
    <x v="0"/>
    <n v="36"/>
    <s v="Some Travel"/>
    <x v="0"/>
    <n v="37"/>
    <s v="CA"/>
    <s v="Mixed or multiple ethnic groups"/>
    <n v="3"/>
    <s v="Marketing "/>
    <x v="0"/>
    <s v="Divorced"/>
    <n v="192475"/>
    <n v="2"/>
    <x v="0"/>
    <d v="2014-07-20T00:00:00"/>
    <s v="No"/>
    <n v="8"/>
    <n v="2"/>
    <n v="2"/>
    <n v="0"/>
    <s v="Bachelors "/>
    <s v="Bachelors "/>
    <s v="Bachelors "/>
    <n v="0"/>
    <s v="30-39"/>
  </r>
  <r>
    <s v="5C7B-86C0"/>
    <s v="Jeanie"/>
    <s v="Geater"/>
    <x v="0"/>
    <n v="32"/>
    <s v="Some Travel"/>
    <x v="2"/>
    <n v="31"/>
    <s v="NY"/>
    <s v="White"/>
    <n v="4"/>
    <s v="Business Studies"/>
    <x v="8"/>
    <s v="Married"/>
    <n v="186169"/>
    <n v="0"/>
    <x v="0"/>
    <d v="2014-07-26T00:00:00"/>
    <s v="No"/>
    <n v="8"/>
    <n v="2"/>
    <n v="6"/>
    <n v="0"/>
    <s v="Masters "/>
    <s v="Masters "/>
    <s v="Masters "/>
    <n v="0"/>
    <s v="30-39"/>
  </r>
  <r>
    <s v="7DD6-128C"/>
    <s v="Auguste"/>
    <s v="Windsor"/>
    <x v="0"/>
    <n v="32"/>
    <s v="No Travel "/>
    <x v="0"/>
    <n v="2"/>
    <s v="CA"/>
    <s v="Black or African American"/>
    <n v="4"/>
    <s v="Marketing"/>
    <x v="0"/>
    <s v="Divorced"/>
    <n v="114246"/>
    <n v="1"/>
    <x v="0"/>
    <d v="2014-07-26T00:00:00"/>
    <s v="No"/>
    <n v="8"/>
    <n v="3"/>
    <n v="6"/>
    <n v="5"/>
    <s v="Masters "/>
    <s v="Masters "/>
    <s v="Masters "/>
    <n v="0"/>
    <s v="30-39"/>
  </r>
  <r>
    <s v="8D34-EBDF"/>
    <s v="Giles"/>
    <s v="Bilham"/>
    <x v="1"/>
    <n v="29"/>
    <s v="Some Travel"/>
    <x v="1"/>
    <n v="14"/>
    <s v="IL"/>
    <s v="Native Hawaiian "/>
    <n v="4"/>
    <s v="Technical Degree"/>
    <x v="3"/>
    <s v="Married"/>
    <n v="46703"/>
    <n v="0"/>
    <x v="0"/>
    <d v="2014-07-31T00:00:00"/>
    <s v="Yes"/>
    <n v="0"/>
    <n v="0"/>
    <n v="0"/>
    <n v="0"/>
    <s v="Masters "/>
    <s v="Masters "/>
    <s v="Masters "/>
    <n v="1"/>
    <s v="20-29"/>
  </r>
  <r>
    <s v="17AD-99F5"/>
    <s v="Ursa"/>
    <s v="O'Deegan"/>
    <x v="0"/>
    <n v="26"/>
    <s v="Some Travel"/>
    <x v="2"/>
    <n v="37"/>
    <s v="NY"/>
    <s v="Mixed or multiple ethnic groups"/>
    <n v="3"/>
    <s v="Computer Science"/>
    <x v="7"/>
    <s v="Single"/>
    <n v="26296"/>
    <n v="0"/>
    <x v="1"/>
    <d v="2014-08-01T00:00:00"/>
    <s v="Yes"/>
    <n v="5"/>
    <n v="2"/>
    <n v="2"/>
    <n v="2"/>
    <s v="Bachelors "/>
    <s v="Bachelors "/>
    <s v="Bachelors "/>
    <n v="1"/>
    <s v="20-29"/>
  </r>
  <r>
    <s v="F60C-4888"/>
    <s v="Erin"/>
    <s v="Pickavance"/>
    <x v="0"/>
    <n v="36"/>
    <s v="Frequent Traveller"/>
    <x v="2"/>
    <n v="6"/>
    <s v="CA"/>
    <s v="Asian or Asian American"/>
    <n v="4"/>
    <s v="Information Systems"/>
    <x v="4"/>
    <s v="Single"/>
    <n v="51050"/>
    <n v="0"/>
    <x v="1"/>
    <d v="2014-08-05T00:00:00"/>
    <s v="No"/>
    <n v="8"/>
    <n v="6"/>
    <n v="7"/>
    <n v="2"/>
    <s v="Masters "/>
    <s v="Masters "/>
    <s v="Masters "/>
    <n v="0"/>
    <s v="30-39"/>
  </r>
  <r>
    <s v="B5C6-F8D5"/>
    <s v="Rafaelita"/>
    <s v="Lere"/>
    <x v="3"/>
    <n v="40"/>
    <s v="Some Travel"/>
    <x v="2"/>
    <n v="29"/>
    <s v="NY"/>
    <s v="White"/>
    <n v="2"/>
    <s v="Business Studies"/>
    <x v="10"/>
    <s v="Married"/>
    <n v="295688"/>
    <n v="0"/>
    <x v="0"/>
    <d v="2014-08-05T00:00:00"/>
    <s v="No"/>
    <n v="8"/>
    <n v="1"/>
    <n v="5"/>
    <n v="8"/>
    <s v="High School "/>
    <s v="High School "/>
    <s v="High School "/>
    <n v="0"/>
    <s v="40-49"/>
  </r>
  <r>
    <s v="B6EC-313E"/>
    <s v="Corbin"/>
    <s v="Gooddy"/>
    <x v="1"/>
    <n v="26"/>
    <s v="Frequent Traveller"/>
    <x v="1"/>
    <n v="17"/>
    <s v="CA"/>
    <s v="Mixed or multiple ethnic groups"/>
    <n v="3"/>
    <s v="Human Resources"/>
    <x v="3"/>
    <s v="Divorced"/>
    <n v="30502"/>
    <n v="1"/>
    <x v="0"/>
    <d v="2014-08-09T00:00:00"/>
    <s v="Yes"/>
    <n v="0"/>
    <n v="0"/>
    <n v="0"/>
    <n v="0"/>
    <s v="Bachelors "/>
    <s v="Bachelors "/>
    <s v="Bachelors "/>
    <n v="1"/>
    <s v="20-29"/>
  </r>
  <r>
    <s v="2A20-28CD"/>
    <s v="Dody"/>
    <s v="Stiggles"/>
    <x v="0"/>
    <n v="38"/>
    <s v="Frequent Traveller"/>
    <x v="2"/>
    <n v="2"/>
    <s v="CA"/>
    <s v="White"/>
    <n v="4"/>
    <s v="Computer Science"/>
    <x v="4"/>
    <s v="Single"/>
    <n v="58828"/>
    <n v="0"/>
    <x v="0"/>
    <d v="2014-08-11T00:00:00"/>
    <s v="No"/>
    <n v="8"/>
    <n v="7"/>
    <n v="8"/>
    <n v="0"/>
    <s v="Masters "/>
    <s v="Masters "/>
    <s v="Masters "/>
    <n v="0"/>
    <s v="30-39"/>
  </r>
  <r>
    <s v="5A04-0EB4"/>
    <s v="Debbie"/>
    <s v="Martinho"/>
    <x v="0"/>
    <n v="27"/>
    <s v="Frequent Traveller"/>
    <x v="0"/>
    <n v="43"/>
    <s v="CA"/>
    <s v="Mixed or multiple ethnic groups"/>
    <n v="3"/>
    <s v="Marketing"/>
    <x v="9"/>
    <s v="Single"/>
    <n v="24583"/>
    <n v="0"/>
    <x v="1"/>
    <d v="2014-08-16T00:00:00"/>
    <s v="Yes"/>
    <n v="7"/>
    <n v="0"/>
    <n v="1"/>
    <n v="6"/>
    <s v="Bachelors "/>
    <s v="Bachelors "/>
    <s v="Bachelors "/>
    <n v="1"/>
    <s v="20-29"/>
  </r>
  <r>
    <s v="EEFC-DEC7"/>
    <s v="Ezri"/>
    <s v="Cours"/>
    <x v="1"/>
    <n v="44"/>
    <s v="Some Travel"/>
    <x v="2"/>
    <n v="4"/>
    <s v="NY"/>
    <s v="Black or African American"/>
    <n v="4"/>
    <s v="Other"/>
    <x v="4"/>
    <s v="Divorced"/>
    <n v="85523"/>
    <n v="1"/>
    <x v="1"/>
    <d v="2014-08-18T00:00:00"/>
    <s v="Yes"/>
    <n v="8"/>
    <n v="0"/>
    <n v="4"/>
    <n v="1"/>
    <s v="Masters "/>
    <s v="Masters "/>
    <s v="Masters "/>
    <n v="1"/>
    <s v="40-49"/>
  </r>
  <r>
    <s v="5160-53BD"/>
    <s v="Conrado"/>
    <s v="Tomaini"/>
    <x v="2"/>
    <n v="29"/>
    <s v="Some Travel"/>
    <x v="2"/>
    <n v="24"/>
    <s v="NY"/>
    <s v="Black or African American"/>
    <n v="3"/>
    <s v="Computer Science"/>
    <x v="7"/>
    <s v="Single"/>
    <n v="41307"/>
    <n v="0"/>
    <x v="0"/>
    <d v="2014-08-19T00:00:00"/>
    <s v="Yes"/>
    <n v="0"/>
    <n v="0"/>
    <n v="0"/>
    <n v="0"/>
    <s v="Bachelors "/>
    <s v="Bachelors "/>
    <s v="Bachelors "/>
    <n v="1"/>
    <s v="20-29"/>
  </r>
  <r>
    <s v="6C86-3DC0"/>
    <s v="Benton"/>
    <s v="Irdale"/>
    <x v="1"/>
    <n v="31"/>
    <s v="Some Travel"/>
    <x v="2"/>
    <n v="20"/>
    <s v="CA"/>
    <s v="Black or African American"/>
    <n v="2"/>
    <s v="Computer Science"/>
    <x v="8"/>
    <s v="Divorced"/>
    <n v="149482"/>
    <n v="1"/>
    <x v="1"/>
    <d v="2014-08-22T00:00:00"/>
    <s v="No"/>
    <n v="8"/>
    <n v="3"/>
    <n v="7"/>
    <n v="2"/>
    <s v="High School "/>
    <s v="High School "/>
    <s v="High School "/>
    <n v="0"/>
    <s v="30-39"/>
  </r>
  <r>
    <s v="0240-4D29"/>
    <s v="Kaylil"/>
    <s v="Blenkiron"/>
    <x v="2"/>
    <n v="35"/>
    <s v="Some Travel"/>
    <x v="2"/>
    <n v="31"/>
    <s v="CA"/>
    <s v="Asian or Asian American"/>
    <n v="4"/>
    <s v="Computer Science"/>
    <x v="7"/>
    <s v="Single"/>
    <n v="77269"/>
    <n v="0"/>
    <x v="0"/>
    <d v="2014-09-13T00:00:00"/>
    <s v="No"/>
    <n v="8"/>
    <n v="8"/>
    <n v="8"/>
    <n v="6"/>
    <s v="Masters "/>
    <s v="Masters "/>
    <s v="Masters "/>
    <n v="0"/>
    <s v="30-39"/>
  </r>
  <r>
    <s v="15D4-53C2"/>
    <s v="Bella"/>
    <s v="Stearn"/>
    <x v="3"/>
    <n v="33"/>
    <s v="Some Travel"/>
    <x v="0"/>
    <n v="30"/>
    <s v="CA"/>
    <s v="Mixed or multiple ethnic groups"/>
    <n v="3"/>
    <s v="Economics"/>
    <x v="0"/>
    <s v="Married"/>
    <n v="90726"/>
    <n v="0"/>
    <x v="0"/>
    <d v="2014-09-17T00:00:00"/>
    <s v="No"/>
    <n v="8"/>
    <n v="0"/>
    <n v="5"/>
    <n v="1"/>
    <s v="Bachelors "/>
    <s v="Bachelors "/>
    <s v="Bachelors "/>
    <n v="0"/>
    <s v="30-39"/>
  </r>
  <r>
    <s v="17AE-E715"/>
    <s v="Norbie"/>
    <s v="Mosdill"/>
    <x v="1"/>
    <n v="31"/>
    <s v="Frequent Traveller"/>
    <x v="2"/>
    <n v="38"/>
    <s v="CA"/>
    <s v="White"/>
    <n v="1"/>
    <s v="Computer Science"/>
    <x v="10"/>
    <s v="Divorced"/>
    <n v="547204"/>
    <n v="1"/>
    <x v="1"/>
    <d v="2014-09-28T00:00:00"/>
    <s v="No"/>
    <n v="8"/>
    <n v="7"/>
    <n v="8"/>
    <n v="5"/>
    <s v="No Formal Qualifications"/>
    <s v="No Formal Qualifications"/>
    <s v="No Formal Qualifications"/>
    <n v="0"/>
    <s v="30-39"/>
  </r>
  <r>
    <s v="3B90-B998"/>
    <s v="Giffy"/>
    <s v="Rofe"/>
    <x v="1"/>
    <n v="33"/>
    <s v="No Travel "/>
    <x v="2"/>
    <n v="26"/>
    <s v="CA"/>
    <s v="White"/>
    <n v="3"/>
    <s v="Computer Science"/>
    <x v="4"/>
    <s v="Divorced"/>
    <n v="43998"/>
    <n v="3"/>
    <x v="0"/>
    <d v="2014-09-29T00:00:00"/>
    <s v="No"/>
    <n v="8"/>
    <n v="6"/>
    <n v="7"/>
    <n v="2"/>
    <s v="Bachelors "/>
    <s v="Bachelors "/>
    <s v="Bachelors "/>
    <n v="0"/>
    <s v="30-39"/>
  </r>
  <r>
    <s v="DCD4-C785"/>
    <s v="Ilysa"/>
    <s v="Cattroll"/>
    <x v="0"/>
    <n v="30"/>
    <s v="Some Travel"/>
    <x v="0"/>
    <n v="24"/>
    <s v="CA"/>
    <s v="Mixed or multiple ethnic groups"/>
    <n v="4"/>
    <s v="Marketing "/>
    <x v="9"/>
    <s v="Single"/>
    <n v="38382"/>
    <n v="0"/>
    <x v="1"/>
    <d v="2014-10-02T00:00:00"/>
    <s v="No"/>
    <n v="8"/>
    <n v="7"/>
    <n v="8"/>
    <n v="0"/>
    <s v="Masters "/>
    <s v="Masters "/>
    <s v="Masters "/>
    <n v="0"/>
    <s v="30-39"/>
  </r>
  <r>
    <s v="6661-FA04"/>
    <s v="Clive"/>
    <s v="Sherwen"/>
    <x v="1"/>
    <n v="44"/>
    <s v="Some Travel"/>
    <x v="2"/>
    <n v="28"/>
    <s v="CA"/>
    <s v="Mixed or multiple ethnic groups"/>
    <n v="3"/>
    <s v="Computer Science"/>
    <x v="7"/>
    <s v="Married"/>
    <n v="49447"/>
    <n v="1"/>
    <x v="0"/>
    <d v="2014-10-09T00:00:00"/>
    <s v="No"/>
    <n v="8"/>
    <n v="7"/>
    <n v="7"/>
    <n v="8"/>
    <s v="Bachelors "/>
    <s v="Bachelors "/>
    <s v="Bachelors "/>
    <n v="0"/>
    <s v="40-49"/>
  </r>
  <r>
    <s v="B975-943A"/>
    <s v="Winthrop"/>
    <s v="McCahill"/>
    <x v="1"/>
    <n v="40"/>
    <s v="No Travel "/>
    <x v="2"/>
    <n v="28"/>
    <s v="CA"/>
    <s v="White"/>
    <n v="3"/>
    <s v="Information Systems"/>
    <x v="7"/>
    <s v="Divorced"/>
    <n v="46285"/>
    <n v="3"/>
    <x v="0"/>
    <d v="2014-10-23T00:00:00"/>
    <s v="No"/>
    <n v="8"/>
    <n v="8"/>
    <n v="8"/>
    <n v="3"/>
    <s v="Bachelors "/>
    <s v="Bachelors "/>
    <s v="Bachelors "/>
    <n v="0"/>
    <s v="40-49"/>
  </r>
  <r>
    <s v="C95C-CE06"/>
    <s v="Stillman"/>
    <s v="Castiello"/>
    <x v="1"/>
    <n v="44"/>
    <s v="Some Travel"/>
    <x v="0"/>
    <n v="35"/>
    <s v="CA"/>
    <s v="Mixed or multiple ethnic groups"/>
    <n v="3"/>
    <s v="Marketing"/>
    <x v="9"/>
    <s v="Married"/>
    <n v="75667"/>
    <n v="1"/>
    <x v="0"/>
    <d v="2014-10-27T00:00:00"/>
    <s v="No"/>
    <n v="8"/>
    <n v="6"/>
    <n v="6"/>
    <n v="3"/>
    <s v="Bachelors "/>
    <s v="Bachelors "/>
    <s v="Bachelors "/>
    <n v="0"/>
    <s v="40-49"/>
  </r>
  <r>
    <s v="7589-66E3"/>
    <s v="Rickey"/>
    <s v="Colafate"/>
    <x v="1"/>
    <n v="47"/>
    <s v="Frequent Traveller"/>
    <x v="0"/>
    <n v="42"/>
    <s v="NY"/>
    <s v="White"/>
    <n v="3"/>
    <s v="Marketing"/>
    <x v="0"/>
    <s v="Married"/>
    <n v="232155"/>
    <n v="0"/>
    <x v="0"/>
    <d v="2014-10-30T00:00:00"/>
    <s v="No"/>
    <n v="8"/>
    <n v="7"/>
    <n v="7"/>
    <n v="3"/>
    <s v="Bachelors "/>
    <s v="Bachelors "/>
    <s v="Bachelors "/>
    <n v="0"/>
    <s v="40-49"/>
  </r>
  <r>
    <s v="2ED2-2CEC"/>
    <s v="Kendricks"/>
    <s v="Durtnell"/>
    <x v="1"/>
    <n v="44"/>
    <s v="Frequent Traveller"/>
    <x v="2"/>
    <n v="18"/>
    <s v="CA"/>
    <s v="Black or African American"/>
    <n v="3"/>
    <s v="Computer Science"/>
    <x v="8"/>
    <s v="Single"/>
    <n v="102708"/>
    <n v="0"/>
    <x v="1"/>
    <d v="2014-11-03T00:00:00"/>
    <s v="No"/>
    <n v="8"/>
    <n v="3"/>
    <n v="4"/>
    <n v="7"/>
    <s v="Bachelors "/>
    <s v="Bachelors "/>
    <s v="Bachelors "/>
    <n v="0"/>
    <s v="40-49"/>
  </r>
  <r>
    <s v="B61E-0F26"/>
    <s v="Care"/>
    <s v="Heintze"/>
    <x v="1"/>
    <n v="28"/>
    <s v="Frequent Traveller"/>
    <x v="2"/>
    <n v="3"/>
    <s v="NY"/>
    <s v="White"/>
    <n v="3"/>
    <s v="Business Studies"/>
    <x v="7"/>
    <s v="Married"/>
    <n v="58993"/>
    <n v="1"/>
    <x v="1"/>
    <d v="2014-11-07T00:00:00"/>
    <s v="Yes"/>
    <n v="7"/>
    <n v="2"/>
    <n v="7"/>
    <n v="1"/>
    <s v="Bachelors "/>
    <s v="Bachelors "/>
    <s v="Bachelors "/>
    <n v="1"/>
    <s v="20-29"/>
  </r>
  <r>
    <s v="DEB9-1BBF"/>
    <s v="Edna"/>
    <s v="Petrello"/>
    <x v="0"/>
    <n v="30"/>
    <s v="Some Travel"/>
    <x v="2"/>
    <n v="32"/>
    <s v="NY"/>
    <s v="Asian or Asian American"/>
    <n v="4"/>
    <s v="Computer Science"/>
    <x v="7"/>
    <s v="Single"/>
    <n v="155259"/>
    <n v="0"/>
    <x v="0"/>
    <d v="2014-11-10T00:00:00"/>
    <s v="No"/>
    <n v="8"/>
    <n v="3"/>
    <n v="5"/>
    <n v="6"/>
    <s v="Masters "/>
    <s v="Masters "/>
    <s v="Masters "/>
    <n v="0"/>
    <s v="30-39"/>
  </r>
  <r>
    <s v="B312-7192"/>
    <s v="Carolynn"/>
    <s v="Gilby"/>
    <x v="0"/>
    <n v="39"/>
    <s v="No Travel "/>
    <x v="0"/>
    <n v="12"/>
    <s v="NY"/>
    <s v="White"/>
    <n v="2"/>
    <s v="Marketing "/>
    <x v="0"/>
    <s v="Single"/>
    <n v="89351"/>
    <n v="0"/>
    <x v="0"/>
    <d v="2014-11-11T00:00:00"/>
    <s v="No"/>
    <n v="8"/>
    <n v="2"/>
    <n v="2"/>
    <n v="0"/>
    <s v="High School "/>
    <s v="High School "/>
    <s v="High School "/>
    <n v="0"/>
    <s v="30-39"/>
  </r>
  <r>
    <s v="5C48-9106"/>
    <s v="Darwin"/>
    <s v="Capelle"/>
    <x v="1"/>
    <n v="37"/>
    <s v="Frequent Traveller"/>
    <x v="2"/>
    <n v="15"/>
    <s v="NY"/>
    <s v="Black or African American"/>
    <n v="4"/>
    <s v="Computer Science"/>
    <x v="4"/>
    <s v="Married"/>
    <n v="53929"/>
    <n v="2"/>
    <x v="0"/>
    <d v="2014-11-15T00:00:00"/>
    <s v="No"/>
    <n v="8"/>
    <n v="7"/>
    <n v="7"/>
    <n v="5"/>
    <s v="Masters "/>
    <s v="Masters "/>
    <s v="Masters "/>
    <n v="0"/>
    <s v="30-39"/>
  </r>
  <r>
    <s v="DF63-0D3C"/>
    <s v="Roda"/>
    <s v="Costin"/>
    <x v="0"/>
    <n v="28"/>
    <s v="Frequent Traveller"/>
    <x v="2"/>
    <n v="27"/>
    <s v="CA"/>
    <s v="White"/>
    <n v="2"/>
    <s v="Information Systems"/>
    <x v="10"/>
    <s v="Married"/>
    <n v="546549"/>
    <n v="1"/>
    <x v="0"/>
    <d v="2014-11-18T00:00:00"/>
    <s v="No"/>
    <n v="8"/>
    <n v="8"/>
    <n v="8"/>
    <n v="2"/>
    <s v="High School "/>
    <s v="High School "/>
    <s v="High School "/>
    <n v="0"/>
    <s v="20-29"/>
  </r>
  <r>
    <s v="F9C6-39E2"/>
    <s v="Cassandra"/>
    <s v="Udden"/>
    <x v="0"/>
    <n v="48"/>
    <s v="Some Travel"/>
    <x v="0"/>
    <n v="4"/>
    <s v="NY"/>
    <s v="Black or African American"/>
    <n v="3"/>
    <s v="Marketing"/>
    <x v="9"/>
    <s v="Single"/>
    <n v="55880"/>
    <n v="0"/>
    <x v="0"/>
    <d v="2014-11-19T00:00:00"/>
    <s v="No"/>
    <n v="8"/>
    <n v="1"/>
    <n v="6"/>
    <n v="5"/>
    <s v="Bachelors "/>
    <s v="Bachelors "/>
    <s v="Bachelors "/>
    <n v="0"/>
    <s v="40-49"/>
  </r>
  <r>
    <s v="D4D5-27FB"/>
    <s v="Bengt"/>
    <s v="Keaves"/>
    <x v="1"/>
    <n v="29"/>
    <s v="Some Travel"/>
    <x v="2"/>
    <n v="36"/>
    <s v="NY"/>
    <s v="White"/>
    <n v="1"/>
    <s v="Information Systems"/>
    <x v="4"/>
    <s v="Divorced"/>
    <n v="86428"/>
    <n v="3"/>
    <x v="0"/>
    <d v="2014-11-20T00:00:00"/>
    <s v="Yes"/>
    <n v="6"/>
    <n v="5"/>
    <n v="5"/>
    <n v="5"/>
    <s v="No Formal Qualifications"/>
    <s v="No Formal Qualifications"/>
    <s v="No Formal Qualifications"/>
    <n v="1"/>
    <s v="20-29"/>
  </r>
  <r>
    <s v="76ED-1CF5"/>
    <s v="Spenser"/>
    <s v="Pyzer"/>
    <x v="1"/>
    <n v="47"/>
    <s v="Some Travel"/>
    <x v="2"/>
    <n v="12"/>
    <s v="CA"/>
    <s v="White"/>
    <n v="4"/>
    <s v="Information Systems"/>
    <x v="7"/>
    <s v="Single"/>
    <n v="105126"/>
    <n v="0"/>
    <x v="0"/>
    <d v="2014-11-21T00:00:00"/>
    <s v="No"/>
    <n v="8"/>
    <n v="0"/>
    <n v="7"/>
    <n v="1"/>
    <s v="Masters "/>
    <s v="Masters "/>
    <s v="Masters "/>
    <n v="0"/>
    <s v="40-49"/>
  </r>
  <r>
    <s v="380F-A08A"/>
    <s v="Evvy"/>
    <s v="Labbez"/>
    <x v="0"/>
    <n v="32"/>
    <s v="Frequent Traveller"/>
    <x v="0"/>
    <n v="22"/>
    <s v="NY"/>
    <s v="White"/>
    <n v="3"/>
    <s v="Marketing"/>
    <x v="0"/>
    <s v="Married"/>
    <n v="142488"/>
    <n v="1"/>
    <x v="0"/>
    <d v="2014-11-22T00:00:00"/>
    <s v="No"/>
    <n v="8"/>
    <n v="0"/>
    <n v="6"/>
    <n v="7"/>
    <s v="Bachelors "/>
    <s v="Bachelors "/>
    <s v="Bachelors "/>
    <n v="0"/>
    <s v="30-39"/>
  </r>
  <r>
    <s v="5E9A-FE30"/>
    <s v="Lindy"/>
    <s v="Carratt"/>
    <x v="0"/>
    <n v="30"/>
    <s v="Some Travel"/>
    <x v="2"/>
    <n v="38"/>
    <s v="CA"/>
    <s v="White"/>
    <n v="4"/>
    <s v="Computer Science"/>
    <x v="4"/>
    <s v="Married"/>
    <n v="88609"/>
    <n v="1"/>
    <x v="1"/>
    <d v="2014-11-24T00:00:00"/>
    <s v="No"/>
    <n v="8"/>
    <n v="4"/>
    <n v="4"/>
    <n v="1"/>
    <s v="Masters "/>
    <s v="Masters "/>
    <s v="Masters "/>
    <n v="0"/>
    <s v="30-39"/>
  </r>
  <r>
    <s v="FBED-F86B"/>
    <s v="Karylin"/>
    <s v="Aphale"/>
    <x v="0"/>
    <n v="29"/>
    <s v="Frequent Traveller"/>
    <x v="2"/>
    <n v="12"/>
    <s v="IL"/>
    <s v="Mixed or multiple ethnic groups"/>
    <n v="3"/>
    <s v="Information Systems"/>
    <x v="7"/>
    <s v="Single"/>
    <n v="72057"/>
    <n v="0"/>
    <x v="0"/>
    <d v="2014-11-27T00:00:00"/>
    <s v="No"/>
    <n v="8"/>
    <n v="8"/>
    <n v="8"/>
    <n v="3"/>
    <s v="Bachelors "/>
    <s v="Bachelors "/>
    <s v="Bachelors "/>
    <n v="0"/>
    <s v="20-29"/>
  </r>
  <r>
    <s v="B063-A2B5"/>
    <s v="Forester"/>
    <s v="Bentjens"/>
    <x v="1"/>
    <n v="41"/>
    <s v="Some Travel"/>
    <x v="0"/>
    <n v="11"/>
    <s v="IL"/>
    <s v="Mixed or multiple ethnic groups"/>
    <n v="1"/>
    <s v="Marketing"/>
    <x v="0"/>
    <s v="Married"/>
    <n v="81654"/>
    <n v="0"/>
    <x v="0"/>
    <d v="2014-11-28T00:00:00"/>
    <s v="No"/>
    <n v="8"/>
    <n v="3"/>
    <n v="4"/>
    <n v="7"/>
    <s v="No Formal Qualifications"/>
    <s v="No Formal Qualifications"/>
    <s v="No Formal Qualifications"/>
    <n v="0"/>
    <s v="40-49"/>
  </r>
  <r>
    <s v="D676-4ECC"/>
    <s v="Florenza"/>
    <s v="Nesbit"/>
    <x v="0"/>
    <n v="44"/>
    <s v="Some Travel"/>
    <x v="2"/>
    <n v="13"/>
    <s v="NY"/>
    <s v="White"/>
    <n v="3"/>
    <s v="Information Systems"/>
    <x v="7"/>
    <s v="Single"/>
    <n v="57296"/>
    <n v="0"/>
    <x v="0"/>
    <d v="2014-11-29T00:00:00"/>
    <s v="No"/>
    <n v="8"/>
    <n v="5"/>
    <n v="7"/>
    <n v="3"/>
    <s v="Bachelors "/>
    <s v="Bachelors "/>
    <s v="Bachelors "/>
    <n v="0"/>
    <s v="40-49"/>
  </r>
  <r>
    <s v="D4D7-3C3F"/>
    <s v="Annaliese"/>
    <s v="Hedingham"/>
    <x v="0"/>
    <n v="28"/>
    <s v="Some Travel"/>
    <x v="2"/>
    <n v="27"/>
    <s v="NY"/>
    <s v="Mixed or multiple ethnic groups"/>
    <n v="2"/>
    <s v="Information Systems"/>
    <x v="5"/>
    <s v="Divorced"/>
    <n v="117918"/>
    <n v="2"/>
    <x v="0"/>
    <d v="2014-12-02T00:00:00"/>
    <s v="No"/>
    <n v="8"/>
    <n v="3"/>
    <n v="8"/>
    <n v="7"/>
    <s v="High School "/>
    <s v="High School "/>
    <s v="High School "/>
    <n v="0"/>
    <s v="20-29"/>
  </r>
  <r>
    <s v="DF7E-3233"/>
    <s v="Basil"/>
    <s v="Gother"/>
    <x v="1"/>
    <n v="47"/>
    <s v="Some Travel"/>
    <x v="0"/>
    <n v="23"/>
    <s v="CA"/>
    <s v="Black or African American"/>
    <n v="3"/>
    <s v="Marketing"/>
    <x v="9"/>
    <s v="Married"/>
    <n v="44646"/>
    <n v="0"/>
    <x v="0"/>
    <d v="2014-12-02T00:00:00"/>
    <s v="No"/>
    <n v="8"/>
    <n v="5"/>
    <n v="5"/>
    <n v="4"/>
    <s v="Bachelors "/>
    <s v="Bachelors "/>
    <s v="Bachelors "/>
    <n v="0"/>
    <s v="40-49"/>
  </r>
  <r>
    <s v="13E5-8466"/>
    <s v="Cody"/>
    <s v="Tipple"/>
    <x v="0"/>
    <n v="47"/>
    <s v="Some Travel"/>
    <x v="0"/>
    <n v="14"/>
    <s v="NY"/>
    <s v="White"/>
    <n v="4"/>
    <s v="Marketing "/>
    <x v="6"/>
    <s v="Single"/>
    <n v="410970"/>
    <n v="0"/>
    <x v="0"/>
    <d v="2014-12-06T00:00:00"/>
    <s v="No"/>
    <n v="8"/>
    <n v="2"/>
    <n v="5"/>
    <n v="8"/>
    <s v="Masters "/>
    <s v="Masters "/>
    <s v="Masters "/>
    <n v="0"/>
    <s v="40-49"/>
  </r>
  <r>
    <s v="41DC-E8B5"/>
    <s v="Ware"/>
    <s v="Casbon"/>
    <x v="1"/>
    <n v="47"/>
    <s v="Some Travel"/>
    <x v="0"/>
    <n v="17"/>
    <s v="CA"/>
    <s v="White"/>
    <n v="3"/>
    <s v="Other"/>
    <x v="0"/>
    <s v="Single"/>
    <n v="106840"/>
    <n v="0"/>
    <x v="0"/>
    <d v="2014-12-06T00:00:00"/>
    <s v="No"/>
    <n v="8"/>
    <n v="3"/>
    <n v="4"/>
    <n v="8"/>
    <s v="Bachelors "/>
    <s v="Bachelors "/>
    <s v="Bachelors "/>
    <n v="0"/>
    <s v="40-49"/>
  </r>
  <r>
    <s v="A7BB-F5A7"/>
    <s v="Anna-diana"/>
    <s v="Horbart"/>
    <x v="0"/>
    <n v="37"/>
    <s v="Some Travel"/>
    <x v="0"/>
    <n v="17"/>
    <s v="CA"/>
    <s v="White"/>
    <n v="4"/>
    <s v="Economics"/>
    <x v="6"/>
    <s v="Single"/>
    <n v="476151"/>
    <n v="0"/>
    <x v="0"/>
    <d v="2014-12-08T00:00:00"/>
    <s v="No"/>
    <n v="8"/>
    <n v="3"/>
    <n v="4"/>
    <n v="8"/>
    <s v="Masters "/>
    <s v="Masters "/>
    <s v="Masters "/>
    <n v="0"/>
    <s v="30-39"/>
  </r>
  <r>
    <s v="1B7F-73A9"/>
    <s v="Jacques"/>
    <s v="Verne"/>
    <x v="1"/>
    <n v="34"/>
    <s v="Some Travel"/>
    <x v="2"/>
    <n v="24"/>
    <s v="CA"/>
    <s v="Asian or Asian American"/>
    <n v="3"/>
    <s v="Computer Science"/>
    <x v="7"/>
    <s v="Married"/>
    <n v="42721"/>
    <n v="1"/>
    <x v="0"/>
    <d v="2014-12-10T00:00:00"/>
    <s v="No"/>
    <n v="8"/>
    <n v="3"/>
    <n v="3"/>
    <n v="7"/>
    <s v="Bachelors "/>
    <s v="Bachelors "/>
    <s v="Bachelors "/>
    <n v="0"/>
    <s v="30-39"/>
  </r>
  <r>
    <s v="13FA-3559"/>
    <s v="Fionna"/>
    <s v="Wilkison"/>
    <x v="0"/>
    <n v="38"/>
    <s v="Some Travel"/>
    <x v="0"/>
    <n v="13"/>
    <s v="CA"/>
    <s v="Black or African American"/>
    <n v="3"/>
    <s v="Marketing"/>
    <x v="0"/>
    <s v="Divorced"/>
    <n v="240248"/>
    <n v="1"/>
    <x v="1"/>
    <d v="2014-12-14T00:00:00"/>
    <s v="No"/>
    <n v="8"/>
    <n v="4"/>
    <n v="8"/>
    <n v="0"/>
    <s v="Bachelors "/>
    <s v="Bachelors "/>
    <s v="Bachelors "/>
    <n v="0"/>
    <s v="30-39"/>
  </r>
  <r>
    <s v="A2D0-E2D2"/>
    <s v="Eryn"/>
    <s v="Crockley"/>
    <x v="0"/>
    <n v="26"/>
    <s v="Some Travel"/>
    <x v="2"/>
    <n v="25"/>
    <s v="CA"/>
    <s v="White"/>
    <n v="3"/>
    <s v="Information Systems"/>
    <x v="7"/>
    <s v="Married"/>
    <n v="22089"/>
    <n v="1"/>
    <x v="1"/>
    <d v="2014-12-15T00:00:00"/>
    <s v="Yes"/>
    <n v="1"/>
    <n v="0"/>
    <n v="0"/>
    <n v="0"/>
    <s v="Bachelors "/>
    <s v="Bachelors "/>
    <s v="Bachelors "/>
    <n v="1"/>
    <s v="20-29"/>
  </r>
  <r>
    <s v="58F5-C8FC"/>
    <s v="Julina"/>
    <s v="Coatsworth"/>
    <x v="0"/>
    <n v="37"/>
    <s v="Some Travel"/>
    <x v="0"/>
    <n v="19"/>
    <s v="NY"/>
    <s v="White"/>
    <n v="3"/>
    <s v="Marketing "/>
    <x v="0"/>
    <s v="Married"/>
    <n v="230381"/>
    <n v="1"/>
    <x v="0"/>
    <d v="2014-12-19T00:00:00"/>
    <s v="No"/>
    <n v="8"/>
    <n v="3"/>
    <n v="3"/>
    <n v="7"/>
    <s v="Bachelors "/>
    <s v="Bachelors "/>
    <s v="Bachelors "/>
    <n v="0"/>
    <s v="30-39"/>
  </r>
  <r>
    <s v="9A87-71F6"/>
    <s v="Kathye"/>
    <s v="Malia"/>
    <x v="2"/>
    <n v="40"/>
    <s v="Frequent Traveller"/>
    <x v="2"/>
    <n v="7"/>
    <s v="IL"/>
    <s v="Mixed or multiple ethnic groups"/>
    <n v="3"/>
    <s v="Computer Science"/>
    <x v="7"/>
    <s v="Married"/>
    <n v="95808"/>
    <n v="2"/>
    <x v="0"/>
    <d v="2014-12-21T00:00:00"/>
    <s v="No"/>
    <n v="8"/>
    <n v="8"/>
    <n v="8"/>
    <n v="2"/>
    <s v="Bachelors "/>
    <s v="Bachelors "/>
    <s v="Bachelors "/>
    <n v="0"/>
    <s v="40-49"/>
  </r>
  <r>
    <s v="FAC0-942B"/>
    <s v="Darbee"/>
    <s v="Larmor"/>
    <x v="1"/>
    <n v="32"/>
    <s v="Some Travel"/>
    <x v="2"/>
    <n v="30"/>
    <s v="CA"/>
    <s v="Black or African American"/>
    <n v="4"/>
    <s v="Computer Science"/>
    <x v="7"/>
    <s v="Married"/>
    <n v="48377"/>
    <n v="1"/>
    <x v="1"/>
    <d v="2014-12-21T00:00:00"/>
    <s v="No"/>
    <n v="8"/>
    <n v="5"/>
    <n v="5"/>
    <n v="6"/>
    <s v="Masters "/>
    <s v="Masters "/>
    <s v="Masters "/>
    <n v="0"/>
    <s v="30-39"/>
  </r>
  <r>
    <s v="E899-A860"/>
    <s v="Freedman"/>
    <s v="Meehan"/>
    <x v="1"/>
    <n v="31"/>
    <s v="Some Travel"/>
    <x v="0"/>
    <n v="10"/>
    <s v="CA"/>
    <s v="Black or African American"/>
    <n v="3"/>
    <s v="Marketing "/>
    <x v="0"/>
    <s v="Single"/>
    <n v="110076"/>
    <n v="0"/>
    <x v="1"/>
    <d v="2014-12-23T00:00:00"/>
    <s v="No"/>
    <n v="8"/>
    <n v="5"/>
    <n v="8"/>
    <n v="6"/>
    <s v="Bachelors "/>
    <s v="Bachelors "/>
    <s v="Bachelors "/>
    <n v="0"/>
    <s v="30-39"/>
  </r>
  <r>
    <s v="BAF9-933D"/>
    <s v="Pauly"/>
    <s v="Gero"/>
    <x v="1"/>
    <n v="41"/>
    <s v="Some Travel"/>
    <x v="1"/>
    <n v="36"/>
    <s v="CA"/>
    <s v="White"/>
    <n v="3"/>
    <s v="Human Resources"/>
    <x v="11"/>
    <s v="Married"/>
    <n v="131047"/>
    <n v="0"/>
    <x v="0"/>
    <d v="2014-12-23T00:00:00"/>
    <s v="No"/>
    <n v="8"/>
    <n v="4"/>
    <n v="4"/>
    <n v="7"/>
    <s v="Bachelors "/>
    <s v="Bachelors "/>
    <s v="Bachelors "/>
    <n v="0"/>
    <s v="40-49"/>
  </r>
  <r>
    <s v="C900-9EF9"/>
    <s v="Josiah"/>
    <s v="Sloam"/>
    <x v="2"/>
    <n v="30"/>
    <s v="Some Travel"/>
    <x v="0"/>
    <n v="11"/>
    <s v="CA"/>
    <s v="White"/>
    <n v="1"/>
    <s v="Marketing"/>
    <x v="0"/>
    <s v="Married"/>
    <n v="127014"/>
    <n v="0"/>
    <x v="0"/>
    <d v="2014-12-26T00:00:00"/>
    <s v="No"/>
    <n v="8"/>
    <n v="4"/>
    <n v="8"/>
    <n v="0"/>
    <s v="No Formal Qualifications"/>
    <s v="No Formal Qualifications"/>
    <s v="No Formal Qualifications"/>
    <n v="0"/>
    <s v="30-39"/>
  </r>
  <r>
    <s v="1472-9F69"/>
    <s v="Algernon"/>
    <s v="Harder"/>
    <x v="1"/>
    <n v="27"/>
    <s v="Some Travel"/>
    <x v="0"/>
    <n v="1"/>
    <s v="CA"/>
    <s v="Black or African American"/>
    <n v="4"/>
    <s v="Marketing "/>
    <x v="9"/>
    <s v="Single"/>
    <n v="30870"/>
    <n v="0"/>
    <x v="0"/>
    <d v="2014-12-28T00:00:00"/>
    <s v="Yes"/>
    <n v="3"/>
    <n v="1"/>
    <n v="2"/>
    <n v="3"/>
    <s v="Masters "/>
    <s v="Masters "/>
    <s v="Masters "/>
    <n v="1"/>
    <s v="20-29"/>
  </r>
  <r>
    <s v="1C6C-3B67"/>
    <s v="Emilie"/>
    <s v="Panter"/>
    <x v="2"/>
    <n v="41"/>
    <s v="Frequent Traveller"/>
    <x v="2"/>
    <n v="7"/>
    <s v="NY"/>
    <s v="American Indian or Alaska Native"/>
    <n v="3"/>
    <s v="Computer Science"/>
    <x v="7"/>
    <s v="Married"/>
    <n v="96632"/>
    <n v="1"/>
    <x v="0"/>
    <d v="2014-12-31T00:00:00"/>
    <s v="No"/>
    <n v="8"/>
    <n v="2"/>
    <n v="8"/>
    <n v="0"/>
    <s v="Bachelors "/>
    <s v="Bachelors "/>
    <s v="Bachelors "/>
    <n v="0"/>
    <s v="40-49"/>
  </r>
  <r>
    <s v="2698-A448"/>
    <s v="Linoel"/>
    <s v="Rambadt"/>
    <x v="1"/>
    <n v="43"/>
    <s v="Some Travel"/>
    <x v="2"/>
    <n v="40"/>
    <s v="CA"/>
    <s v="Black or African American"/>
    <n v="3"/>
    <s v="Information Systems"/>
    <x v="7"/>
    <s v="Single"/>
    <n v="63511"/>
    <n v="0"/>
    <x v="0"/>
    <d v="2014-12-31T00:00:00"/>
    <s v="No"/>
    <n v="8"/>
    <n v="5"/>
    <n v="7"/>
    <n v="4"/>
    <s v="Bachelors "/>
    <s v="Bachelors "/>
    <s v="Bachelors "/>
    <n v="0"/>
    <s v="40-49"/>
  </r>
  <r>
    <s v="9BD6-2C43"/>
    <s v="Wallas"/>
    <s v="Crinage"/>
    <x v="2"/>
    <n v="27"/>
    <s v="No Travel "/>
    <x v="0"/>
    <n v="2"/>
    <s v="CA"/>
    <s v="Black or African American"/>
    <n v="3"/>
    <s v="Other"/>
    <x v="0"/>
    <s v="Divorced"/>
    <n v="92022"/>
    <n v="1"/>
    <x v="0"/>
    <d v="2015-01-06T00:00:00"/>
    <s v="No"/>
    <n v="7"/>
    <n v="7"/>
    <n v="7"/>
    <n v="0"/>
    <s v="Bachelors "/>
    <s v="Bachelors "/>
    <s v="Bachelors "/>
    <n v="0"/>
    <s v="20-29"/>
  </r>
  <r>
    <s v="39FC-7149"/>
    <s v="Kathye"/>
    <s v="Balden"/>
    <x v="0"/>
    <n v="27"/>
    <s v="Some Travel"/>
    <x v="2"/>
    <n v="1"/>
    <s v="CA"/>
    <s v="White"/>
    <n v="3"/>
    <s v="Computer Science"/>
    <x v="7"/>
    <s v="Single"/>
    <n v="31450"/>
    <n v="0"/>
    <x v="0"/>
    <d v="2015-01-10T00:00:00"/>
    <s v="No"/>
    <n v="7"/>
    <n v="3"/>
    <n v="5"/>
    <n v="7"/>
    <s v="Bachelors "/>
    <s v="Bachelors "/>
    <s v="Bachelors "/>
    <n v="0"/>
    <s v="20-29"/>
  </r>
  <r>
    <s v="F5E3-48BB"/>
    <s v="Zenia"/>
    <s v="Rattery"/>
    <x v="0"/>
    <n v="25"/>
    <s v="Frequent Traveller"/>
    <x v="1"/>
    <n v="3"/>
    <s v="CA"/>
    <s v="American Indian or Alaska Native"/>
    <n v="3"/>
    <s v="Human Resources"/>
    <x v="3"/>
    <s v="Married"/>
    <n v="23547"/>
    <n v="0"/>
    <x v="0"/>
    <d v="2015-01-13T00:00:00"/>
    <s v="Yes"/>
    <n v="3"/>
    <n v="0"/>
    <n v="2"/>
    <n v="1"/>
    <s v="Bachelors "/>
    <s v="Bachelors "/>
    <s v="Bachelors "/>
    <n v="1"/>
    <s v="20-29"/>
  </r>
  <r>
    <s v="0A05-3943"/>
    <s v="Sherie"/>
    <s v="Pattington"/>
    <x v="0"/>
    <n v="26"/>
    <s v="Some Travel"/>
    <x v="2"/>
    <n v="20"/>
    <s v="CA"/>
    <s v="White"/>
    <n v="3"/>
    <s v="Business Studies"/>
    <x v="7"/>
    <s v="Single"/>
    <n v="33273"/>
    <n v="0"/>
    <x v="1"/>
    <d v="2015-01-20T00:00:00"/>
    <s v="Yes"/>
    <n v="2"/>
    <n v="1"/>
    <n v="1"/>
    <n v="0"/>
    <s v="Bachelors "/>
    <s v="Bachelors "/>
    <s v="Bachelors "/>
    <n v="1"/>
    <s v="20-29"/>
  </r>
  <r>
    <s v="3120-B11F"/>
    <s v="Allister"/>
    <s v="Noads"/>
    <x v="1"/>
    <n v="28"/>
    <s v="Frequent Traveller"/>
    <x v="2"/>
    <n v="7"/>
    <s v="CA"/>
    <s v="White"/>
    <n v="4"/>
    <s v="Business Studies"/>
    <x v="8"/>
    <s v="Married"/>
    <n v="140538"/>
    <n v="1"/>
    <x v="0"/>
    <d v="2015-01-21T00:00:00"/>
    <s v="No"/>
    <n v="7"/>
    <n v="3"/>
    <n v="5"/>
    <n v="0"/>
    <s v="Masters "/>
    <s v="Masters "/>
    <s v="Masters "/>
    <n v="0"/>
    <s v="20-29"/>
  </r>
  <r>
    <s v="2FC8-999D"/>
    <s v="Terrie"/>
    <s v="Barnish"/>
    <x v="0"/>
    <n v="27"/>
    <s v="Some Travel"/>
    <x v="2"/>
    <n v="30"/>
    <s v="CA"/>
    <s v="Mixed or multiple ethnic groups"/>
    <n v="2"/>
    <s v="Information Systems"/>
    <x v="10"/>
    <s v="Divorced"/>
    <n v="240633"/>
    <n v="1"/>
    <x v="0"/>
    <d v="2015-01-22T00:00:00"/>
    <s v="No"/>
    <n v="7"/>
    <n v="1"/>
    <n v="6"/>
    <n v="7"/>
    <s v="High School "/>
    <s v="High School "/>
    <s v="High School "/>
    <n v="0"/>
    <s v="20-29"/>
  </r>
  <r>
    <s v="7BD4-7BFB"/>
    <s v="Kerr"/>
    <s v="Sporner"/>
    <x v="1"/>
    <n v="27"/>
    <s v="Some Travel"/>
    <x v="2"/>
    <n v="19"/>
    <s v="IL"/>
    <s v="American Indian or Alaska Native"/>
    <n v="4"/>
    <s v="Computer Science"/>
    <x v="7"/>
    <s v="Divorced"/>
    <n v="25276"/>
    <n v="1"/>
    <x v="0"/>
    <d v="2015-01-22T00:00:00"/>
    <s v="No"/>
    <n v="7"/>
    <n v="6"/>
    <n v="7"/>
    <n v="1"/>
    <s v="Masters "/>
    <s v="Masters "/>
    <s v="Masters "/>
    <n v="0"/>
    <s v="20-29"/>
  </r>
  <r>
    <s v="6227-9D9E"/>
    <s v="Malina"/>
    <s v="Chivrall"/>
    <x v="0"/>
    <n v="26"/>
    <s v="Some Travel"/>
    <x v="1"/>
    <n v="5"/>
    <s v="CA"/>
    <s v="Mixed or multiple ethnic groups"/>
    <n v="4"/>
    <s v="Human Resources"/>
    <x v="12"/>
    <s v="Married"/>
    <n v="315071"/>
    <n v="1"/>
    <x v="1"/>
    <d v="2015-01-25T00:00:00"/>
    <s v="No"/>
    <n v="7"/>
    <n v="7"/>
    <n v="7"/>
    <n v="1"/>
    <s v="Masters "/>
    <s v="Masters "/>
    <s v="Masters "/>
    <n v="0"/>
    <s v="20-29"/>
  </r>
  <r>
    <s v="4E65-CCD0"/>
    <s v="Billie"/>
    <s v="Sanday"/>
    <x v="2"/>
    <n v="26"/>
    <s v="Some Travel"/>
    <x v="2"/>
    <n v="16"/>
    <s v="CA"/>
    <s v="White"/>
    <n v="1"/>
    <s v="Computer Science"/>
    <x v="8"/>
    <s v="Married"/>
    <n v="54746"/>
    <n v="1"/>
    <x v="1"/>
    <d v="2015-01-27T00:00:00"/>
    <s v="No"/>
    <n v="7"/>
    <n v="2"/>
    <n v="4"/>
    <n v="4"/>
    <s v="No Formal Qualifications"/>
    <s v="No Formal Qualifications"/>
    <s v="No Formal Qualifications"/>
    <n v="0"/>
    <s v="20-29"/>
  </r>
  <r>
    <s v="EB4F-4D97"/>
    <s v="Lynnelle"/>
    <s v="Peizer"/>
    <x v="0"/>
    <n v="25"/>
    <s v="Some Travel"/>
    <x v="2"/>
    <n v="20"/>
    <s v="NY"/>
    <s v="Mixed or multiple ethnic groups"/>
    <n v="2"/>
    <s v="Computer Science"/>
    <x v="7"/>
    <s v="Married"/>
    <n v="43438"/>
    <n v="1"/>
    <x v="1"/>
    <d v="2015-01-29T00:00:00"/>
    <s v="No"/>
    <n v="7"/>
    <n v="7"/>
    <n v="7"/>
    <n v="3"/>
    <s v="High School "/>
    <s v="High School "/>
    <s v="High School "/>
    <n v="0"/>
    <s v="20-29"/>
  </r>
  <r>
    <s v="296A-A685"/>
    <s v="Dina"/>
    <s v="Paice"/>
    <x v="0"/>
    <n v="27"/>
    <s v="No Travel "/>
    <x v="2"/>
    <n v="34"/>
    <s v="CA"/>
    <s v="Asian or Asian American"/>
    <n v="2"/>
    <s v="Business Studies"/>
    <x v="4"/>
    <s v="Single"/>
    <n v="30783"/>
    <n v="0"/>
    <x v="0"/>
    <d v="2015-02-03T00:00:00"/>
    <s v="No"/>
    <n v="7"/>
    <n v="7"/>
    <n v="7"/>
    <n v="2"/>
    <s v="High School "/>
    <s v="High School "/>
    <s v="High School "/>
    <n v="0"/>
    <s v="20-29"/>
  </r>
  <r>
    <s v="2E7B-43F0"/>
    <s v="Arnaldo"/>
    <s v="Balling"/>
    <x v="1"/>
    <n v="26"/>
    <s v="Some Travel"/>
    <x v="2"/>
    <n v="31"/>
    <s v="CA"/>
    <s v="White"/>
    <n v="2"/>
    <s v="Computer Science"/>
    <x v="2"/>
    <s v="Married"/>
    <n v="148211"/>
    <n v="3"/>
    <x v="1"/>
    <d v="2015-02-11T00:00:00"/>
    <s v="No"/>
    <n v="7"/>
    <n v="1"/>
    <n v="6"/>
    <n v="0"/>
    <s v="High School "/>
    <s v="High School "/>
    <s v="High School "/>
    <n v="0"/>
    <s v="20-29"/>
  </r>
  <r>
    <s v="E099-3FCC"/>
    <s v="Haywood"/>
    <s v="Ruprich"/>
    <x v="1"/>
    <n v="28"/>
    <s v="Some Travel"/>
    <x v="2"/>
    <n v="15"/>
    <s v="NY"/>
    <s v="White"/>
    <n v="3"/>
    <s v="Computer Science"/>
    <x v="4"/>
    <s v="Married"/>
    <n v="83951"/>
    <n v="2"/>
    <x v="0"/>
    <d v="2015-02-12T00:00:00"/>
    <s v="No"/>
    <n v="7"/>
    <n v="3"/>
    <n v="6"/>
    <n v="5"/>
    <s v="Bachelors "/>
    <s v="Bachelors "/>
    <s v="Bachelors "/>
    <n v="0"/>
    <s v="20-29"/>
  </r>
  <r>
    <s v="D86B-2E5E"/>
    <s v="Michele"/>
    <s v="Deane"/>
    <x v="0"/>
    <n v="27"/>
    <s v="Some Travel"/>
    <x v="0"/>
    <n v="25"/>
    <s v="NY"/>
    <s v="White"/>
    <n v="3"/>
    <s v="Technical Degree"/>
    <x v="0"/>
    <s v="Married"/>
    <n v="91202"/>
    <n v="0"/>
    <x v="1"/>
    <d v="2015-02-15T00:00:00"/>
    <s v="No"/>
    <n v="7"/>
    <n v="5"/>
    <n v="7"/>
    <n v="2"/>
    <s v="Bachelors "/>
    <s v="Bachelors "/>
    <s v="Bachelors "/>
    <n v="0"/>
    <s v="20-29"/>
  </r>
  <r>
    <s v="267F-F71D"/>
    <s v="Liuka"/>
    <s v="Attenbrough"/>
    <x v="0"/>
    <n v="27"/>
    <s v="Some Travel"/>
    <x v="2"/>
    <n v="40"/>
    <s v="CA"/>
    <s v="Asian or Asian American"/>
    <n v="4"/>
    <s v="Information Systems"/>
    <x v="8"/>
    <s v="Married"/>
    <n v="112728"/>
    <n v="1"/>
    <x v="0"/>
    <d v="2015-02-18T00:00:00"/>
    <s v="No"/>
    <n v="7"/>
    <n v="5"/>
    <n v="6"/>
    <n v="4"/>
    <s v="Masters "/>
    <s v="Masters "/>
    <s v="Masters "/>
    <n v="0"/>
    <s v="20-29"/>
  </r>
  <r>
    <s v="155B-42BE"/>
    <s v="Tommi"/>
    <s v="Lapish"/>
    <x v="0"/>
    <n v="25"/>
    <s v="Some Travel"/>
    <x v="0"/>
    <n v="38"/>
    <s v="IL"/>
    <s v="Mixed or multiple ethnic groups"/>
    <n v="2"/>
    <s v="Marketing "/>
    <x v="0"/>
    <s v="Single"/>
    <n v="57018"/>
    <n v="0"/>
    <x v="0"/>
    <d v="2015-02-21T00:00:00"/>
    <s v="Yes"/>
    <n v="1"/>
    <n v="0"/>
    <n v="0"/>
    <n v="0"/>
    <s v="High School "/>
    <s v="High School "/>
    <s v="High School "/>
    <n v="1"/>
    <s v="20-29"/>
  </r>
  <r>
    <s v="E62F-4FF7"/>
    <s v="Port"/>
    <s v="Lording"/>
    <x v="1"/>
    <n v="27"/>
    <s v="Some Travel"/>
    <x v="2"/>
    <n v="27"/>
    <s v="CA"/>
    <s v="Mixed or multiple ethnic groups"/>
    <n v="4"/>
    <s v="Information Systems"/>
    <x v="5"/>
    <s v="Married"/>
    <n v="92522"/>
    <n v="0"/>
    <x v="0"/>
    <d v="2015-02-22T00:00:00"/>
    <s v="No"/>
    <n v="7"/>
    <n v="4"/>
    <n v="5"/>
    <n v="2"/>
    <s v="Masters "/>
    <s v="Masters "/>
    <s v="Masters "/>
    <n v="0"/>
    <s v="20-29"/>
  </r>
  <r>
    <s v="93B1-6510"/>
    <s v="Giraldo"/>
    <s v="Matyashev"/>
    <x v="1"/>
    <n v="28"/>
    <s v="No Travel "/>
    <x v="2"/>
    <n v="30"/>
    <s v="CA"/>
    <s v="White"/>
    <n v="3"/>
    <s v="Computer Science"/>
    <x v="4"/>
    <s v="Single"/>
    <n v="52930"/>
    <n v="0"/>
    <x v="0"/>
    <d v="2015-02-23T00:00:00"/>
    <s v="No"/>
    <n v="7"/>
    <n v="1"/>
    <n v="4"/>
    <n v="2"/>
    <s v="Bachelors "/>
    <s v="Bachelors "/>
    <s v="Bachelors "/>
    <n v="0"/>
    <s v="20-29"/>
  </r>
  <r>
    <s v="71CC-7412"/>
    <s v="Issi"/>
    <s v="Early"/>
    <x v="3"/>
    <n v="25"/>
    <s v="Some Travel"/>
    <x v="2"/>
    <n v="4"/>
    <s v="NY"/>
    <s v="White"/>
    <n v="2"/>
    <s v="Computer Science"/>
    <x v="2"/>
    <s v="Single"/>
    <n v="179602"/>
    <n v="0"/>
    <x v="0"/>
    <d v="2015-03-01T00:00:00"/>
    <s v="No"/>
    <n v="7"/>
    <n v="6"/>
    <n v="6"/>
    <n v="6"/>
    <s v="High School "/>
    <s v="High School "/>
    <s v="High School "/>
    <n v="0"/>
    <s v="20-29"/>
  </r>
  <r>
    <s v="07F1-62C3"/>
    <s v="Bertrand"/>
    <s v="Davidsen"/>
    <x v="1"/>
    <n v="27"/>
    <s v="Frequent Traveller"/>
    <x v="2"/>
    <n v="9"/>
    <s v="NY"/>
    <s v="Black or African American"/>
    <n v="4"/>
    <s v="Computer Science"/>
    <x v="7"/>
    <s v="Married"/>
    <n v="39001"/>
    <n v="0"/>
    <x v="1"/>
    <d v="2015-03-03T00:00:00"/>
    <s v="No"/>
    <n v="7"/>
    <n v="7"/>
    <n v="7"/>
    <n v="4"/>
    <s v="Masters "/>
    <s v="Masters "/>
    <s v="Masters "/>
    <n v="0"/>
    <s v="20-29"/>
  </r>
  <r>
    <s v="E523-D168"/>
    <s v="Sheffield"/>
    <s v="Feldon"/>
    <x v="1"/>
    <n v="27"/>
    <s v="Some Travel"/>
    <x v="0"/>
    <n v="42"/>
    <s v="CA"/>
    <s v="Other "/>
    <n v="2"/>
    <s v="Technical Degree"/>
    <x v="0"/>
    <s v="Married"/>
    <n v="68638"/>
    <n v="0"/>
    <x v="1"/>
    <d v="2015-03-10T00:00:00"/>
    <s v="No"/>
    <n v="7"/>
    <n v="7"/>
    <n v="7"/>
    <n v="0"/>
    <s v="High School "/>
    <s v="High School "/>
    <s v="High School "/>
    <n v="0"/>
    <s v="20-29"/>
  </r>
  <r>
    <s v="5A0B-7F31"/>
    <s v="Nevil"/>
    <s v="Callaby"/>
    <x v="1"/>
    <n v="26"/>
    <s v="Some Travel"/>
    <x v="0"/>
    <n v="24"/>
    <s v="CA"/>
    <s v="White"/>
    <n v="3"/>
    <s v="Marketing"/>
    <x v="0"/>
    <s v="Single"/>
    <n v="85982"/>
    <n v="0"/>
    <x v="0"/>
    <d v="2015-03-13T00:00:00"/>
    <s v="Yes"/>
    <n v="5"/>
    <n v="1"/>
    <n v="1"/>
    <n v="0"/>
    <s v="Bachelors "/>
    <s v="Bachelors "/>
    <s v="Bachelors "/>
    <n v="1"/>
    <s v="20-29"/>
  </r>
  <r>
    <s v="8F78-4A32"/>
    <s v="Sigismundo"/>
    <s v="Durtnel"/>
    <x v="1"/>
    <n v="25"/>
    <s v="No Travel "/>
    <x v="2"/>
    <n v="12"/>
    <s v="NY"/>
    <s v="Black or African American"/>
    <n v="3"/>
    <s v="Information Systems"/>
    <x v="4"/>
    <s v="Single"/>
    <n v="31962"/>
    <n v="0"/>
    <x v="0"/>
    <d v="2015-03-14T00:00:00"/>
    <s v="No"/>
    <n v="7"/>
    <n v="2"/>
    <n v="7"/>
    <n v="4"/>
    <s v="Bachelors "/>
    <s v="Bachelors "/>
    <s v="Bachelors "/>
    <n v="0"/>
    <s v="20-29"/>
  </r>
  <r>
    <s v="8EA4-9179"/>
    <s v="Cristian"/>
    <s v="Dignum"/>
    <x v="1"/>
    <n v="25"/>
    <s v="Some Travel"/>
    <x v="2"/>
    <n v="23"/>
    <s v="NY"/>
    <s v="Black or African American"/>
    <n v="3"/>
    <s v="Computer Science"/>
    <x v="4"/>
    <s v="Single"/>
    <n v="24626"/>
    <n v="0"/>
    <x v="0"/>
    <d v="2015-03-14T00:00:00"/>
    <s v="No"/>
    <n v="7"/>
    <n v="7"/>
    <n v="7"/>
    <n v="1"/>
    <s v="Bachelors "/>
    <s v="Bachelors "/>
    <s v="Bachelors "/>
    <n v="0"/>
    <s v="20-29"/>
  </r>
  <r>
    <s v="6F50-08B6"/>
    <s v="Mick"/>
    <s v="Tomaschke"/>
    <x v="1"/>
    <n v="25"/>
    <s v="Frequent Traveller"/>
    <x v="0"/>
    <n v="25"/>
    <s v="NY"/>
    <s v="White"/>
    <n v="1"/>
    <s v="Marketing "/>
    <x v="0"/>
    <s v="Single"/>
    <n v="57030"/>
    <n v="0"/>
    <x v="0"/>
    <d v="2015-03-20T00:00:00"/>
    <s v="No"/>
    <n v="7"/>
    <n v="5"/>
    <n v="7"/>
    <n v="6"/>
    <s v="No Formal Qualifications"/>
    <s v="No Formal Qualifications"/>
    <s v="No Formal Qualifications"/>
    <n v="0"/>
    <s v="20-29"/>
  </r>
  <r>
    <s v="0CF8-1EBD"/>
    <s v="Franciska"/>
    <s v="Cubbin"/>
    <x v="0"/>
    <n v="28"/>
    <s v="Frequent Traveller"/>
    <x v="2"/>
    <n v="38"/>
    <s v="CA"/>
    <s v="Mixed or multiple ethnic groups"/>
    <n v="4"/>
    <s v="Computer Science"/>
    <x v="4"/>
    <s v="Married"/>
    <n v="87704"/>
    <n v="2"/>
    <x v="0"/>
    <d v="2015-03-28T00:00:00"/>
    <s v="No"/>
    <n v="7"/>
    <n v="1"/>
    <n v="3"/>
    <n v="6"/>
    <s v="Masters "/>
    <s v="Masters "/>
    <s v="Masters "/>
    <n v="0"/>
    <s v="20-29"/>
  </r>
  <r>
    <s v="8E5B-CBBF"/>
    <s v="Creigh"/>
    <s v="Lissaman"/>
    <x v="1"/>
    <n v="25"/>
    <s v="Some Travel"/>
    <x v="0"/>
    <n v="12"/>
    <s v="NY"/>
    <s v="Asian or Asian American"/>
    <n v="4"/>
    <s v="Marketing"/>
    <x v="0"/>
    <s v="Divorced"/>
    <n v="67814"/>
    <n v="0"/>
    <x v="0"/>
    <d v="2015-03-28T00:00:00"/>
    <s v="No"/>
    <n v="7"/>
    <n v="6"/>
    <n v="7"/>
    <n v="1"/>
    <s v="Masters "/>
    <s v="Masters "/>
    <s v="Masters "/>
    <n v="0"/>
    <s v="20-29"/>
  </r>
  <r>
    <s v="8DA7-0090"/>
    <s v="Farica"/>
    <s v="Fardell"/>
    <x v="2"/>
    <n v="41"/>
    <s v="Some Travel"/>
    <x v="1"/>
    <n v="11"/>
    <s v="NY"/>
    <s v="Black or African American"/>
    <n v="2"/>
    <s v="Economics"/>
    <x v="1"/>
    <s v="Single"/>
    <n v="445906"/>
    <n v="0"/>
    <x v="1"/>
    <d v="2015-04-01T00:00:00"/>
    <s v="No"/>
    <n v="7"/>
    <n v="1"/>
    <n v="5"/>
    <n v="4"/>
    <s v="High School "/>
    <s v="High School "/>
    <s v="High School "/>
    <n v="0"/>
    <s v="40-49"/>
  </r>
  <r>
    <s v="9BC9-1288"/>
    <s v="Adelheid"/>
    <s v="Battersby"/>
    <x v="0"/>
    <n v="27"/>
    <s v="Some Travel"/>
    <x v="0"/>
    <n v="4"/>
    <s v="CA"/>
    <s v="Black or African American"/>
    <n v="1"/>
    <s v="Economics"/>
    <x v="0"/>
    <s v="Married"/>
    <n v="45046"/>
    <n v="2"/>
    <x v="1"/>
    <d v="2015-04-03T00:00:00"/>
    <s v="No"/>
    <n v="7"/>
    <n v="6"/>
    <n v="7"/>
    <n v="0"/>
    <s v="No Formal Qualifications"/>
    <s v="No Formal Qualifications"/>
    <s v="No Formal Qualifications"/>
    <n v="0"/>
    <s v="20-29"/>
  </r>
  <r>
    <s v="6A8B-EC82"/>
    <s v="Averill"/>
    <s v="Dwyr"/>
    <x v="1"/>
    <n v="26"/>
    <s v="Some Travel"/>
    <x v="0"/>
    <n v="24"/>
    <s v="CA"/>
    <s v="American Indian or Alaska Native"/>
    <n v="1"/>
    <s v="Marketing "/>
    <x v="0"/>
    <s v="Single"/>
    <n v="82312"/>
    <n v="0"/>
    <x v="1"/>
    <d v="2015-04-11T00:00:00"/>
    <s v="No"/>
    <n v="7"/>
    <n v="2"/>
    <n v="7"/>
    <n v="6"/>
    <s v="No Formal Qualifications"/>
    <s v="No Formal Qualifications"/>
    <s v="No Formal Qualifications"/>
    <n v="0"/>
    <s v="20-29"/>
  </r>
  <r>
    <s v="F968-671C"/>
    <s v="Eugene"/>
    <s v="Benstead"/>
    <x v="1"/>
    <n v="27"/>
    <s v="Frequent Traveller"/>
    <x v="0"/>
    <n v="16"/>
    <s v="CA"/>
    <s v="White"/>
    <n v="3"/>
    <s v="Technical Degree"/>
    <x v="0"/>
    <s v="Single"/>
    <n v="50559"/>
    <n v="0"/>
    <x v="0"/>
    <d v="2015-04-14T00:00:00"/>
    <s v="Yes"/>
    <n v="6"/>
    <n v="0"/>
    <n v="5"/>
    <n v="5"/>
    <s v="Bachelors "/>
    <s v="Bachelors "/>
    <s v="Bachelors "/>
    <n v="1"/>
    <s v="20-29"/>
  </r>
  <r>
    <s v="31FB-D496"/>
    <s v="Rakel"/>
    <s v="Ruston"/>
    <x v="0"/>
    <n v="25"/>
    <s v="Some Travel"/>
    <x v="2"/>
    <n v="5"/>
    <s v="CA"/>
    <s v="Mixed or multiple ethnic groups"/>
    <n v="4"/>
    <s v="Other"/>
    <x v="7"/>
    <s v="Single"/>
    <n v="51454"/>
    <n v="0"/>
    <x v="0"/>
    <d v="2015-04-17T00:00:00"/>
    <s v="No"/>
    <n v="7"/>
    <n v="1"/>
    <n v="6"/>
    <n v="7"/>
    <s v="Masters "/>
    <s v="Masters "/>
    <s v="Masters "/>
    <n v="0"/>
    <s v="20-29"/>
  </r>
  <r>
    <s v="FEEC-A663"/>
    <s v="Cher"/>
    <s v="Molian"/>
    <x v="2"/>
    <n v="27"/>
    <s v="Some Travel"/>
    <x v="2"/>
    <n v="1"/>
    <s v="CA"/>
    <s v="White"/>
    <n v="1"/>
    <s v="Information Systems"/>
    <x v="7"/>
    <s v="Single"/>
    <n v="48442"/>
    <n v="0"/>
    <x v="0"/>
    <d v="2015-04-17T00:00:00"/>
    <s v="No"/>
    <n v="7"/>
    <n v="3"/>
    <n v="4"/>
    <n v="5"/>
    <s v="No Formal Qualifications"/>
    <s v="No Formal Qualifications"/>
    <s v="No Formal Qualifications"/>
    <n v="0"/>
    <s v="20-29"/>
  </r>
  <r>
    <s v="9412-7AA6"/>
    <s v="Edith"/>
    <s v="Middis"/>
    <x v="2"/>
    <n v="27"/>
    <s v="Some Travel"/>
    <x v="2"/>
    <n v="10"/>
    <s v="CA"/>
    <s v="White"/>
    <n v="3"/>
    <s v="Information Systems"/>
    <x v="4"/>
    <s v="Single"/>
    <n v="45438"/>
    <n v="0"/>
    <x v="0"/>
    <d v="2015-04-19T00:00:00"/>
    <s v="No"/>
    <n v="7"/>
    <n v="1"/>
    <n v="5"/>
    <n v="5"/>
    <s v="Bachelors "/>
    <s v="Bachelors "/>
    <s v="Bachelors "/>
    <n v="0"/>
    <s v="20-29"/>
  </r>
  <r>
    <s v="920B-7B40"/>
    <s v="Berkly"/>
    <s v="Bellson"/>
    <x v="1"/>
    <n v="26"/>
    <s v="Some Travel"/>
    <x v="2"/>
    <n v="22"/>
    <s v="CA"/>
    <s v="Asian or Asian American"/>
    <n v="3"/>
    <s v="Information Systems"/>
    <x v="7"/>
    <s v="Married"/>
    <n v="52390"/>
    <n v="1"/>
    <x v="1"/>
    <d v="2015-04-21T00:00:00"/>
    <s v="No"/>
    <n v="7"/>
    <n v="4"/>
    <n v="5"/>
    <n v="3"/>
    <s v="Bachelors "/>
    <s v="Bachelors "/>
    <s v="Bachelors "/>
    <n v="0"/>
    <s v="20-29"/>
  </r>
  <r>
    <s v="2374-7581"/>
    <s v="Brian"/>
    <s v="Josskovitz"/>
    <x v="1"/>
    <n v="25"/>
    <s v="Some Travel"/>
    <x v="2"/>
    <n v="1"/>
    <s v="NY"/>
    <s v="Asian or Asian American"/>
    <n v="4"/>
    <s v="Information Systems"/>
    <x v="8"/>
    <s v="Married"/>
    <n v="72840"/>
    <n v="0"/>
    <x v="0"/>
    <d v="2015-04-23T00:00:00"/>
    <s v="No"/>
    <n v="7"/>
    <n v="6"/>
    <n v="6"/>
    <n v="0"/>
    <s v="Masters "/>
    <s v="Masters "/>
    <s v="Masters "/>
    <n v="0"/>
    <s v="20-29"/>
  </r>
  <r>
    <s v="D245-5D80"/>
    <s v="Bank"/>
    <s v="MacEveley"/>
    <x v="1"/>
    <n v="26"/>
    <s v="Some Travel"/>
    <x v="2"/>
    <n v="10"/>
    <s v="CA"/>
    <s v="White"/>
    <n v="4"/>
    <s v="Information Systems"/>
    <x v="8"/>
    <s v="Divorced"/>
    <n v="148080"/>
    <n v="1"/>
    <x v="1"/>
    <d v="2015-05-03T00:00:00"/>
    <s v="No"/>
    <n v="7"/>
    <n v="7"/>
    <n v="7"/>
    <n v="1"/>
    <s v="Masters "/>
    <s v="Masters "/>
    <s v="Masters "/>
    <n v="0"/>
    <s v="20-29"/>
  </r>
  <r>
    <s v="41EC-F2AA"/>
    <s v="Antoinette"/>
    <s v="Dreamer"/>
    <x v="0"/>
    <n v="26"/>
    <s v="Frequent Traveller"/>
    <x v="2"/>
    <n v="42"/>
    <s v="CA"/>
    <s v="Asian or Asian American"/>
    <n v="1"/>
    <s v="Computer Science"/>
    <x v="4"/>
    <s v="Married"/>
    <n v="56966"/>
    <n v="1"/>
    <x v="0"/>
    <d v="2015-05-04T00:00:00"/>
    <s v="No"/>
    <n v="7"/>
    <n v="4"/>
    <n v="5"/>
    <n v="2"/>
    <s v="No Formal Qualifications"/>
    <s v="No Formal Qualifications"/>
    <s v="No Formal Qualifications"/>
    <n v="0"/>
    <s v="20-29"/>
  </r>
  <r>
    <s v="1C57-5F2A"/>
    <s v="Persis"/>
    <s v="Vineall"/>
    <x v="0"/>
    <n v="27"/>
    <s v="Some Travel"/>
    <x v="2"/>
    <n v="42"/>
    <s v="CA"/>
    <s v="White"/>
    <n v="3"/>
    <s v="Computer Science"/>
    <x v="7"/>
    <s v="Married"/>
    <n v="33606"/>
    <n v="2"/>
    <x v="0"/>
    <d v="2015-05-07T00:00:00"/>
    <s v="No"/>
    <n v="7"/>
    <n v="0"/>
    <n v="0"/>
    <n v="2"/>
    <s v="Bachelors "/>
    <s v="Bachelors "/>
    <s v="Bachelors "/>
    <n v="0"/>
    <s v="20-29"/>
  </r>
  <r>
    <s v="0678-748A"/>
    <s v="Maurits"/>
    <s v="Farmery"/>
    <x v="1"/>
    <n v="25"/>
    <s v="Some Travel"/>
    <x v="0"/>
    <n v="4"/>
    <s v="CA"/>
    <s v="Native Hawaiian "/>
    <n v="2"/>
    <s v="Economics"/>
    <x v="0"/>
    <s v="Divorced"/>
    <n v="57698"/>
    <n v="2"/>
    <x v="1"/>
    <d v="2015-05-11T00:00:00"/>
    <s v="Yes"/>
    <n v="6"/>
    <n v="5"/>
    <n v="6"/>
    <n v="2"/>
    <s v="High School "/>
    <s v="High School "/>
    <s v="High School "/>
    <n v="1"/>
    <s v="20-29"/>
  </r>
  <r>
    <s v="A896-CDE2"/>
    <s v="Wrennie"/>
    <s v="Quinton"/>
    <x v="0"/>
    <n v="25"/>
    <s v="Some Travel"/>
    <x v="2"/>
    <n v="16"/>
    <s v="CA"/>
    <s v="White"/>
    <n v="5"/>
    <s v="Information Systems"/>
    <x v="7"/>
    <s v="Married"/>
    <n v="28317"/>
    <n v="0"/>
    <x v="1"/>
    <d v="2015-05-13T00:00:00"/>
    <s v="No"/>
    <n v="7"/>
    <n v="4"/>
    <n v="6"/>
    <n v="5"/>
    <s v="Doctorate"/>
    <s v="Doctorate"/>
    <s v="Doctorate"/>
    <n v="0"/>
    <s v="20-29"/>
  </r>
  <r>
    <s v="ACF7-5B99"/>
    <s v="Janeczka"/>
    <s v="Osmond"/>
    <x v="0"/>
    <n v="26"/>
    <s v="Some Travel"/>
    <x v="0"/>
    <n v="17"/>
    <s v="CA"/>
    <s v="Asian or Asian American"/>
    <n v="4"/>
    <s v="Marketing "/>
    <x v="0"/>
    <s v="Single"/>
    <n v="97811"/>
    <n v="0"/>
    <x v="1"/>
    <d v="2015-05-16T00:00:00"/>
    <s v="No"/>
    <n v="7"/>
    <n v="3"/>
    <n v="6"/>
    <n v="4"/>
    <s v="Masters "/>
    <s v="Masters "/>
    <s v="Masters "/>
    <n v="0"/>
    <s v="20-29"/>
  </r>
  <r>
    <s v="5741-0022"/>
    <s v="Rosene"/>
    <s v="Larmett"/>
    <x v="0"/>
    <n v="25"/>
    <s v="Some Travel"/>
    <x v="2"/>
    <n v="43"/>
    <s v="CA"/>
    <s v="Asian or Asian American"/>
    <n v="1"/>
    <s v="Computer Science"/>
    <x v="2"/>
    <s v="Divorced"/>
    <n v="190198"/>
    <n v="2"/>
    <x v="0"/>
    <d v="2015-05-18T00:00:00"/>
    <s v="No"/>
    <n v="7"/>
    <n v="0"/>
    <n v="2"/>
    <n v="3"/>
    <s v="No Formal Qualifications"/>
    <s v="No Formal Qualifications"/>
    <s v="No Formal Qualifications"/>
    <n v="0"/>
    <s v="20-29"/>
  </r>
  <r>
    <s v="AA67-CB22"/>
    <s v="Obadias"/>
    <s v="Izhaky"/>
    <x v="1"/>
    <n v="26"/>
    <s v="Some Travel"/>
    <x v="2"/>
    <n v="4"/>
    <s v="IL"/>
    <s v="White"/>
    <n v="4"/>
    <s v="Computer Science"/>
    <x v="8"/>
    <s v="Single"/>
    <n v="167509"/>
    <n v="0"/>
    <x v="0"/>
    <d v="2015-05-19T00:00:00"/>
    <s v="No"/>
    <n v="7"/>
    <n v="6"/>
    <n v="6"/>
    <n v="0"/>
    <s v="Masters "/>
    <s v="Masters "/>
    <s v="Masters "/>
    <n v="0"/>
    <s v="20-29"/>
  </r>
  <r>
    <s v="D825-CC31"/>
    <s v="Debera"/>
    <s v="Extence"/>
    <x v="0"/>
    <n v="25"/>
    <s v="Some Travel"/>
    <x v="2"/>
    <n v="5"/>
    <s v="NY"/>
    <s v="Native Hawaiian "/>
    <n v="3"/>
    <s v="Computer Science"/>
    <x v="5"/>
    <s v="Divorced"/>
    <n v="44082"/>
    <n v="1"/>
    <x v="0"/>
    <d v="2015-05-24T00:00:00"/>
    <s v="No"/>
    <n v="7"/>
    <n v="3"/>
    <n v="4"/>
    <n v="2"/>
    <s v="Bachelors "/>
    <s v="Bachelors "/>
    <s v="Bachelors "/>
    <n v="0"/>
    <s v="20-29"/>
  </r>
  <r>
    <s v="59F5-F57D"/>
    <s v="Lilly"/>
    <s v="Nancarrow"/>
    <x v="0"/>
    <n v="26"/>
    <s v="Frequent Traveller"/>
    <x v="2"/>
    <n v="17"/>
    <s v="CA"/>
    <s v="White"/>
    <n v="2"/>
    <s v="Information Systems"/>
    <x v="8"/>
    <s v="Married"/>
    <n v="59981"/>
    <n v="1"/>
    <x v="1"/>
    <d v="2015-05-25T00:00:00"/>
    <s v="No"/>
    <n v="7"/>
    <n v="1"/>
    <n v="5"/>
    <n v="2"/>
    <s v="High School "/>
    <s v="High School "/>
    <s v="High School "/>
    <n v="0"/>
    <s v="20-29"/>
  </r>
  <r>
    <s v="E430-E462"/>
    <s v="Marvin"/>
    <s v="Switland"/>
    <x v="1"/>
    <n v="28"/>
    <s v="Some Travel"/>
    <x v="2"/>
    <n v="38"/>
    <s v="IL"/>
    <s v="White"/>
    <n v="3"/>
    <s v="Information Systems"/>
    <x v="8"/>
    <s v="Married"/>
    <n v="194982"/>
    <n v="1"/>
    <x v="0"/>
    <d v="2015-05-25T00:00:00"/>
    <s v="No"/>
    <n v="7"/>
    <n v="2"/>
    <n v="7"/>
    <n v="2"/>
    <s v="Bachelors "/>
    <s v="Bachelors "/>
    <s v="Bachelors "/>
    <n v="0"/>
    <s v="20-29"/>
  </r>
  <r>
    <s v="9F02-0D39"/>
    <s v="Bell"/>
    <s v="Di Biasi"/>
    <x v="0"/>
    <n v="27"/>
    <s v="Some Travel"/>
    <x v="2"/>
    <n v="9"/>
    <s v="CA"/>
    <s v="White"/>
    <n v="2"/>
    <s v="Computer Science"/>
    <x v="10"/>
    <s v="Married"/>
    <n v="252301"/>
    <n v="1"/>
    <x v="0"/>
    <d v="2015-05-30T00:00:00"/>
    <s v="No"/>
    <n v="7"/>
    <n v="1"/>
    <n v="6"/>
    <n v="5"/>
    <s v="High School "/>
    <s v="High School "/>
    <s v="High School "/>
    <n v="0"/>
    <s v="20-29"/>
  </r>
  <r>
    <s v="74F3-DF3D"/>
    <s v="Lian"/>
    <s v="Ouslem"/>
    <x v="0"/>
    <n v="25"/>
    <s v="Some Travel"/>
    <x v="1"/>
    <n v="22"/>
    <s v="NY"/>
    <s v="Black or African American"/>
    <n v="2"/>
    <s v="Economics"/>
    <x v="11"/>
    <s v="Divorced"/>
    <n v="49131"/>
    <n v="1"/>
    <x v="0"/>
    <d v="2015-05-30T00:00:00"/>
    <s v="No"/>
    <n v="7"/>
    <n v="2"/>
    <n v="6"/>
    <n v="2"/>
    <s v="High School "/>
    <s v="High School "/>
    <s v="High School "/>
    <n v="0"/>
    <s v="20-29"/>
  </r>
  <r>
    <s v="5F2E-A68B"/>
    <s v="Evangelin"/>
    <s v="Desantis"/>
    <x v="3"/>
    <n v="26"/>
    <s v="Some Travel"/>
    <x v="2"/>
    <n v="16"/>
    <s v="CA"/>
    <s v="White"/>
    <n v="4"/>
    <s v="Other"/>
    <x v="7"/>
    <s v="Single"/>
    <n v="60834"/>
    <n v="0"/>
    <x v="0"/>
    <d v="2015-06-01T00:00:00"/>
    <s v="No"/>
    <n v="7"/>
    <n v="0"/>
    <n v="0"/>
    <n v="5"/>
    <s v="Masters "/>
    <s v="Masters "/>
    <s v="Masters "/>
    <n v="0"/>
    <s v="20-29"/>
  </r>
  <r>
    <s v="65A0-5D04"/>
    <s v="Ginnifer"/>
    <s v="Grigoletti"/>
    <x v="0"/>
    <n v="28"/>
    <s v="Frequent Traveller"/>
    <x v="2"/>
    <n v="20"/>
    <s v="CA"/>
    <s v="Black or African American"/>
    <n v="1"/>
    <s v="Computer Science"/>
    <x v="4"/>
    <s v="Married"/>
    <n v="62016"/>
    <n v="3"/>
    <x v="0"/>
    <d v="2015-06-02T00:00:00"/>
    <s v="No"/>
    <n v="7"/>
    <n v="6"/>
    <n v="6"/>
    <n v="4"/>
    <s v="No Formal Qualifications"/>
    <s v="No Formal Qualifications"/>
    <s v="No Formal Qualifications"/>
    <n v="0"/>
    <s v="20-29"/>
  </r>
  <r>
    <s v="79C5-FE9D"/>
    <s v="Kerstin"/>
    <s v="Sponton"/>
    <x v="2"/>
    <n v="28"/>
    <s v="Some Travel"/>
    <x v="2"/>
    <n v="5"/>
    <s v="CA"/>
    <s v="White"/>
    <n v="3"/>
    <s v="Information Systems"/>
    <x v="5"/>
    <s v="Married"/>
    <n v="140377"/>
    <n v="1"/>
    <x v="1"/>
    <d v="2015-06-02T00:00:00"/>
    <s v="No"/>
    <n v="7"/>
    <n v="2"/>
    <n v="7"/>
    <n v="5"/>
    <s v="Bachelors "/>
    <s v="Bachelors "/>
    <s v="Bachelors "/>
    <n v="0"/>
    <s v="20-29"/>
  </r>
  <r>
    <s v="B49A-7D79"/>
    <s v="Freedman"/>
    <s v="Kensington"/>
    <x v="2"/>
    <n v="27"/>
    <s v="Some Travel"/>
    <x v="2"/>
    <n v="20"/>
    <s v="CA"/>
    <s v="White"/>
    <n v="1"/>
    <s v="Business Studies"/>
    <x v="7"/>
    <s v="Single"/>
    <n v="22986"/>
    <n v="0"/>
    <x v="1"/>
    <d v="2015-06-02T00:00:00"/>
    <s v="No"/>
    <n v="7"/>
    <n v="6"/>
    <n v="7"/>
    <n v="0"/>
    <s v="No Formal Qualifications"/>
    <s v="No Formal Qualifications"/>
    <s v="No Formal Qualifications"/>
    <n v="0"/>
    <s v="20-29"/>
  </r>
  <r>
    <s v="E503-C500"/>
    <s v="Alexandro"/>
    <s v="De Pietri"/>
    <x v="1"/>
    <n v="28"/>
    <s v="Some Travel"/>
    <x v="2"/>
    <n v="39"/>
    <s v="NY"/>
    <s v="Black or African American"/>
    <n v="5"/>
    <s v="Computer Science"/>
    <x v="7"/>
    <s v="Single"/>
    <n v="81906"/>
    <n v="0"/>
    <x v="0"/>
    <d v="2015-06-04T00:00:00"/>
    <s v="No"/>
    <n v="7"/>
    <n v="4"/>
    <n v="4"/>
    <n v="1"/>
    <s v="Doctorate"/>
    <s v="Doctorate"/>
    <s v="Doctorate"/>
    <n v="0"/>
    <s v="20-29"/>
  </r>
  <r>
    <s v="388D-DB68"/>
    <s v="Maybelle"/>
    <s v="Hurler"/>
    <x v="0"/>
    <n v="27"/>
    <s v="Some Travel"/>
    <x v="1"/>
    <n v="40"/>
    <s v="CA"/>
    <s v="White"/>
    <n v="3"/>
    <s v="Human Resources"/>
    <x v="3"/>
    <s v="Married"/>
    <n v="34320"/>
    <n v="1"/>
    <x v="0"/>
    <d v="2015-06-07T00:00:00"/>
    <s v="No"/>
    <n v="7"/>
    <n v="5"/>
    <n v="6"/>
    <n v="5"/>
    <s v="Bachelors "/>
    <s v="Bachelors "/>
    <s v="Bachelors "/>
    <n v="0"/>
    <s v="20-29"/>
  </r>
  <r>
    <s v="A76C-AEB3"/>
    <s v="Oren"/>
    <s v="Milella"/>
    <x v="1"/>
    <n v="25"/>
    <s v="Some Travel"/>
    <x v="2"/>
    <n v="10"/>
    <s v="CA"/>
    <s v="White"/>
    <n v="3"/>
    <s v="Business Studies"/>
    <x v="5"/>
    <s v="Married"/>
    <n v="145905"/>
    <n v="2"/>
    <x v="1"/>
    <d v="2015-06-07T00:00:00"/>
    <s v="No"/>
    <n v="7"/>
    <n v="3"/>
    <n v="3"/>
    <n v="2"/>
    <s v="Bachelors "/>
    <s v="Bachelors "/>
    <s v="Bachelors "/>
    <n v="0"/>
    <s v="20-29"/>
  </r>
  <r>
    <s v="278C-D482"/>
    <s v="Flora"/>
    <s v="Flounders"/>
    <x v="0"/>
    <n v="26"/>
    <s v="No Travel "/>
    <x v="2"/>
    <n v="20"/>
    <s v="NY"/>
    <s v="Mixed or multiple ethnic groups"/>
    <n v="3"/>
    <s v="Business Studies"/>
    <x v="7"/>
    <s v="Divorced"/>
    <n v="28751"/>
    <n v="2"/>
    <x v="0"/>
    <d v="2015-06-15T00:00:00"/>
    <s v="No"/>
    <n v="7"/>
    <n v="6"/>
    <n v="6"/>
    <n v="2"/>
    <s v="Bachelors "/>
    <s v="Bachelors "/>
    <s v="Bachelors "/>
    <n v="0"/>
    <s v="20-29"/>
  </r>
  <r>
    <s v="A1DB-6C34"/>
    <s v="Catie"/>
    <s v="McCuish"/>
    <x v="0"/>
    <n v="27"/>
    <s v="Some Travel"/>
    <x v="2"/>
    <n v="13"/>
    <s v="NY"/>
    <s v="Asian or Asian American"/>
    <n v="4"/>
    <s v="Computer Science"/>
    <x v="5"/>
    <s v="Married"/>
    <n v="77039"/>
    <n v="1"/>
    <x v="0"/>
    <d v="2015-06-18T00:00:00"/>
    <s v="No"/>
    <n v="7"/>
    <n v="3"/>
    <n v="6"/>
    <n v="0"/>
    <s v="Masters "/>
    <s v="Masters "/>
    <s v="Masters "/>
    <n v="0"/>
    <s v="20-29"/>
  </r>
  <r>
    <s v="468A-E249"/>
    <s v="Ninon"/>
    <s v="Leathwood"/>
    <x v="0"/>
    <n v="26"/>
    <s v="Some Travel"/>
    <x v="2"/>
    <n v="22"/>
    <s v="CA"/>
    <s v="Mixed or multiple ethnic groups"/>
    <n v="3"/>
    <s v="Business Studies"/>
    <x v="2"/>
    <s v="Married"/>
    <n v="206137"/>
    <n v="1"/>
    <x v="0"/>
    <d v="2015-06-27T00:00:00"/>
    <s v="No"/>
    <n v="7"/>
    <n v="1"/>
    <n v="1"/>
    <n v="5"/>
    <s v="Bachelors "/>
    <s v="Bachelors "/>
    <s v="Bachelors "/>
    <n v="0"/>
    <s v="20-29"/>
  </r>
  <r>
    <s v="95CB-4E31"/>
    <s v="Pavlov"/>
    <s v="Pretor"/>
    <x v="1"/>
    <n v="28"/>
    <s v="No Travel "/>
    <x v="2"/>
    <n v="4"/>
    <s v="CA"/>
    <s v="Asian or Asian American"/>
    <n v="3"/>
    <s v="Business Studies"/>
    <x v="7"/>
    <s v="Divorced"/>
    <n v="57837"/>
    <n v="2"/>
    <x v="0"/>
    <d v="2015-06-30T00:00:00"/>
    <s v="No"/>
    <n v="7"/>
    <n v="3"/>
    <n v="3"/>
    <n v="6"/>
    <s v="Bachelors "/>
    <s v="Bachelors "/>
    <s v="Bachelors "/>
    <n v="0"/>
    <s v="20-29"/>
  </r>
  <r>
    <s v="3A2C-ABB8"/>
    <s v="Gawain"/>
    <s v="Dewdney"/>
    <x v="1"/>
    <n v="25"/>
    <s v="Some Travel"/>
    <x v="2"/>
    <n v="5"/>
    <s v="CA"/>
    <s v="White"/>
    <n v="3"/>
    <s v="Computer Science"/>
    <x v="7"/>
    <s v="Married"/>
    <n v="28646"/>
    <n v="1"/>
    <x v="0"/>
    <d v="2015-07-02T00:00:00"/>
    <s v="No"/>
    <n v="7"/>
    <n v="6"/>
    <n v="6"/>
    <n v="3"/>
    <s v="Bachelors "/>
    <s v="Bachelors "/>
    <s v="Bachelors "/>
    <n v="0"/>
    <s v="20-29"/>
  </r>
  <r>
    <s v="6EDB-94B7"/>
    <s v="Earle"/>
    <s v="Willowby"/>
    <x v="1"/>
    <n v="25"/>
    <s v="Some Travel"/>
    <x v="2"/>
    <n v="6"/>
    <s v="NY"/>
    <s v="White"/>
    <n v="3"/>
    <s v="Computer Science"/>
    <x v="2"/>
    <s v="Single"/>
    <n v="195911"/>
    <n v="0"/>
    <x v="0"/>
    <d v="2015-07-09T00:00:00"/>
    <s v="No"/>
    <n v="7"/>
    <n v="0"/>
    <n v="3"/>
    <n v="4"/>
    <s v="Bachelors "/>
    <s v="Bachelors "/>
    <s v="Bachelors "/>
    <n v="0"/>
    <s v="20-29"/>
  </r>
  <r>
    <s v="8292-6635"/>
    <s v="Hy"/>
    <s v="Goodin"/>
    <x v="1"/>
    <n v="26"/>
    <s v="Some Travel"/>
    <x v="0"/>
    <n v="14"/>
    <s v="IL"/>
    <s v="White"/>
    <n v="4"/>
    <s v="Marketing "/>
    <x v="0"/>
    <s v="Single"/>
    <n v="127450"/>
    <n v="0"/>
    <x v="0"/>
    <d v="2015-07-11T00:00:00"/>
    <s v="No"/>
    <n v="7"/>
    <n v="0"/>
    <n v="0"/>
    <n v="1"/>
    <s v="Masters "/>
    <s v="Masters "/>
    <s v="Masters "/>
    <n v="0"/>
    <s v="20-29"/>
  </r>
  <r>
    <s v="6EEF-5B17"/>
    <s v="Bo"/>
    <s v="Readitt"/>
    <x v="2"/>
    <n v="28"/>
    <s v="Some Travel"/>
    <x v="2"/>
    <n v="1"/>
    <s v="CA"/>
    <s v="Mixed or multiple ethnic groups"/>
    <n v="2"/>
    <s v="Business Studies"/>
    <x v="2"/>
    <s v="Single"/>
    <n v="339731"/>
    <n v="0"/>
    <x v="0"/>
    <d v="2015-07-14T00:00:00"/>
    <s v="No"/>
    <n v="7"/>
    <n v="5"/>
    <n v="7"/>
    <n v="0"/>
    <s v="High School "/>
    <s v="High School "/>
    <s v="High School "/>
    <n v="0"/>
    <s v="20-29"/>
  </r>
  <r>
    <s v="C250-AF15"/>
    <s v="Ron"/>
    <s v="Hordle"/>
    <x v="1"/>
    <n v="25"/>
    <s v="Some Travel"/>
    <x v="2"/>
    <n v="13"/>
    <s v="NY"/>
    <s v="Black or African American"/>
    <n v="5"/>
    <s v="Computer Science"/>
    <x v="2"/>
    <s v="Single"/>
    <n v="178337"/>
    <n v="0"/>
    <x v="0"/>
    <d v="2015-07-16T00:00:00"/>
    <s v="No"/>
    <n v="7"/>
    <n v="1"/>
    <n v="7"/>
    <n v="2"/>
    <s v="Doctorate"/>
    <s v="Doctorate"/>
    <s v="Doctorate"/>
    <n v="0"/>
    <s v="20-29"/>
  </r>
  <r>
    <s v="257B-8130"/>
    <s v="Erastus"/>
    <s v="Pennings"/>
    <x v="1"/>
    <n v="26"/>
    <s v="Some Travel"/>
    <x v="2"/>
    <n v="41"/>
    <s v="NY"/>
    <s v="Mixed or multiple ethnic groups"/>
    <n v="3"/>
    <s v="Computer Science"/>
    <x v="8"/>
    <s v="Divorced"/>
    <n v="47676"/>
    <n v="1"/>
    <x v="0"/>
    <d v="2015-07-20T00:00:00"/>
    <s v="No"/>
    <n v="7"/>
    <n v="4"/>
    <n v="6"/>
    <n v="1"/>
    <s v="Bachelors "/>
    <s v="Bachelors "/>
    <s v="Bachelors "/>
    <n v="0"/>
    <s v="20-29"/>
  </r>
  <r>
    <s v="B492-D447"/>
    <s v="Aurthur"/>
    <s v="Rittelmeyer"/>
    <x v="1"/>
    <n v="28"/>
    <s v="Some Travel"/>
    <x v="0"/>
    <n v="3"/>
    <s v="CA"/>
    <s v="Asian or Asian American"/>
    <n v="2"/>
    <s v="Marketing "/>
    <x v="0"/>
    <s v="Married"/>
    <n v="128719"/>
    <n v="1"/>
    <x v="0"/>
    <d v="2015-07-21T00:00:00"/>
    <s v="No"/>
    <n v="7"/>
    <n v="1"/>
    <n v="3"/>
    <n v="6"/>
    <s v="High School "/>
    <s v="High School "/>
    <s v="High School "/>
    <n v="0"/>
    <s v="20-29"/>
  </r>
  <r>
    <s v="4673-EBEC"/>
    <s v="Ollie"/>
    <s v="Chellam"/>
    <x v="1"/>
    <n v="28"/>
    <s v="Some Travel"/>
    <x v="0"/>
    <n v="24"/>
    <s v="NY"/>
    <s v="Mixed or multiple ethnic groups"/>
    <n v="2"/>
    <s v="Marketing "/>
    <x v="0"/>
    <s v="Married"/>
    <n v="78735"/>
    <n v="1"/>
    <x v="0"/>
    <d v="2015-07-23T00:00:00"/>
    <s v="No"/>
    <n v="7"/>
    <n v="0"/>
    <n v="2"/>
    <n v="4"/>
    <s v="High School "/>
    <s v="High School "/>
    <s v="High School "/>
    <n v="0"/>
    <s v="20-29"/>
  </r>
  <r>
    <s v="C08F-94F9"/>
    <s v="Nikos"/>
    <s v="Karpenko"/>
    <x v="1"/>
    <n v="26"/>
    <s v="Some Travel"/>
    <x v="2"/>
    <n v="32"/>
    <s v="NY"/>
    <s v="White"/>
    <n v="3"/>
    <s v="Information Systems"/>
    <x v="7"/>
    <s v="Single"/>
    <n v="40100"/>
    <n v="0"/>
    <x v="1"/>
    <d v="2015-07-30T00:00:00"/>
    <s v="Yes"/>
    <n v="0"/>
    <n v="0"/>
    <n v="0"/>
    <n v="0"/>
    <s v="Bachelors "/>
    <s v="Bachelors "/>
    <s v="Bachelors "/>
    <n v="1"/>
    <s v="20-29"/>
  </r>
  <r>
    <s v="F961-5A03"/>
    <s v="Alejandrina"/>
    <s v="Pea"/>
    <x v="0"/>
    <n v="27"/>
    <s v="No Travel "/>
    <x v="2"/>
    <n v="12"/>
    <s v="CA"/>
    <s v="White"/>
    <n v="1"/>
    <s v="Computer Science"/>
    <x v="5"/>
    <s v="Single"/>
    <n v="105398"/>
    <n v="0"/>
    <x v="0"/>
    <d v="2015-07-31T00:00:00"/>
    <s v="No"/>
    <n v="7"/>
    <n v="1"/>
    <n v="7"/>
    <n v="4"/>
    <s v="No Formal Qualifications"/>
    <s v="No Formal Qualifications"/>
    <s v="No Formal Qualifications"/>
    <n v="0"/>
    <s v="20-29"/>
  </r>
  <r>
    <s v="CE90-763C"/>
    <s v="Carly"/>
    <s v="Mushawe"/>
    <x v="0"/>
    <n v="27"/>
    <s v="Frequent Traveller"/>
    <x v="2"/>
    <n v="40"/>
    <s v="CA"/>
    <s v="Black or African American"/>
    <n v="3"/>
    <s v="Information Systems"/>
    <x v="4"/>
    <s v="Married"/>
    <n v="31672"/>
    <n v="1"/>
    <x v="0"/>
    <d v="2015-08-02T00:00:00"/>
    <s v="No"/>
    <n v="7"/>
    <n v="1"/>
    <n v="3"/>
    <n v="6"/>
    <s v="Bachelors "/>
    <s v="Bachelors "/>
    <s v="Bachelors "/>
    <n v="0"/>
    <s v="20-29"/>
  </r>
  <r>
    <s v="6653-BD41"/>
    <s v="Selle"/>
    <s v="Barrington"/>
    <x v="0"/>
    <n v="27"/>
    <s v="Some Travel"/>
    <x v="2"/>
    <n v="5"/>
    <s v="NY"/>
    <s v="Black or African American"/>
    <n v="3"/>
    <s v="Computer Science"/>
    <x v="2"/>
    <s v="Married"/>
    <n v="238435"/>
    <n v="1"/>
    <x v="0"/>
    <d v="2015-08-07T00:00:00"/>
    <s v="No"/>
    <n v="7"/>
    <n v="2"/>
    <n v="4"/>
    <n v="1"/>
    <s v="Bachelors "/>
    <s v="Bachelors "/>
    <s v="Bachelors "/>
    <n v="0"/>
    <s v="20-29"/>
  </r>
  <r>
    <s v="C251-2A18"/>
    <s v="Honor"/>
    <s v="Jesson"/>
    <x v="2"/>
    <n v="26"/>
    <s v="Some Travel"/>
    <x v="2"/>
    <n v="28"/>
    <s v="CA"/>
    <s v="White"/>
    <n v="4"/>
    <s v="Computer Science"/>
    <x v="4"/>
    <s v="Single"/>
    <n v="29791"/>
    <n v="0"/>
    <x v="0"/>
    <d v="2015-08-07T00:00:00"/>
    <s v="No"/>
    <n v="7"/>
    <n v="7"/>
    <n v="7"/>
    <n v="1"/>
    <s v="Masters "/>
    <s v="Masters "/>
    <s v="Masters "/>
    <n v="0"/>
    <s v="20-29"/>
  </r>
  <r>
    <s v="8FF0-0F7A"/>
    <s v="Nanine"/>
    <s v="Barrie"/>
    <x v="0"/>
    <n v="26"/>
    <s v="No Travel "/>
    <x v="2"/>
    <n v="18"/>
    <s v="CA"/>
    <s v="Mixed or multiple ethnic groups"/>
    <n v="4"/>
    <s v="Information Systems"/>
    <x v="2"/>
    <s v="Divorced"/>
    <n v="153420"/>
    <n v="2"/>
    <x v="1"/>
    <d v="2015-08-10T00:00:00"/>
    <s v="No"/>
    <n v="7"/>
    <n v="5"/>
    <n v="5"/>
    <n v="7"/>
    <s v="Masters "/>
    <s v="Masters "/>
    <s v="Masters "/>
    <n v="0"/>
    <s v="20-29"/>
  </r>
  <r>
    <s v="62A3-DEA7"/>
    <s v="Meade"/>
    <s v="Quinnelly"/>
    <x v="1"/>
    <n v="25"/>
    <s v="Some Travel"/>
    <x v="2"/>
    <n v="8"/>
    <s v="CA"/>
    <s v="Mixed or multiple ethnic groups"/>
    <n v="1"/>
    <s v="Information Systems"/>
    <x v="7"/>
    <s v="Single"/>
    <n v="30931"/>
    <n v="0"/>
    <x v="1"/>
    <d v="2015-08-13T00:00:00"/>
    <s v="Yes"/>
    <n v="1"/>
    <n v="0"/>
    <n v="0"/>
    <n v="1"/>
    <s v="No Formal Qualifications"/>
    <s v="No Formal Qualifications"/>
    <s v="No Formal Qualifications"/>
    <n v="1"/>
    <s v="20-29"/>
  </r>
  <r>
    <s v="D3F6-A313"/>
    <s v="Alister"/>
    <s v="Gianullo"/>
    <x v="1"/>
    <n v="27"/>
    <s v="Some Travel"/>
    <x v="2"/>
    <n v="34"/>
    <s v="CA"/>
    <s v="White"/>
    <n v="4"/>
    <s v="Computer Science"/>
    <x v="7"/>
    <s v="Married"/>
    <n v="50949"/>
    <n v="1"/>
    <x v="0"/>
    <d v="2015-08-13T00:00:00"/>
    <s v="No"/>
    <n v="7"/>
    <n v="6"/>
    <n v="7"/>
    <n v="3"/>
    <s v="Masters "/>
    <s v="Masters "/>
    <s v="Masters "/>
    <n v="0"/>
    <s v="20-29"/>
  </r>
  <r>
    <s v="1453-D3D8"/>
    <s v="Magnum"/>
    <s v="Dublin"/>
    <x v="2"/>
    <n v="27"/>
    <s v="Some Travel"/>
    <x v="2"/>
    <n v="4"/>
    <s v="NY"/>
    <s v="Asian or Asian American"/>
    <n v="3"/>
    <s v="Computer Science"/>
    <x v="5"/>
    <s v="Married"/>
    <n v="60967"/>
    <n v="2"/>
    <x v="0"/>
    <d v="2015-08-14T00:00:00"/>
    <s v="No"/>
    <n v="7"/>
    <n v="7"/>
    <n v="7"/>
    <n v="0"/>
    <s v="Bachelors "/>
    <s v="Bachelors "/>
    <s v="Bachelors "/>
    <n v="0"/>
    <s v="20-29"/>
  </r>
  <r>
    <s v="B59D-CA4C"/>
    <s v="Ichabod"/>
    <s v="Mabbot"/>
    <x v="1"/>
    <n v="28"/>
    <s v="Some Travel"/>
    <x v="0"/>
    <n v="45"/>
    <s v="CA"/>
    <s v="Asian or Asian American"/>
    <n v="2"/>
    <s v="Marketing"/>
    <x v="0"/>
    <s v="Married"/>
    <n v="110057"/>
    <n v="2"/>
    <x v="0"/>
    <d v="2015-08-14T00:00:00"/>
    <s v="No"/>
    <n v="7"/>
    <n v="5"/>
    <n v="5"/>
    <n v="4"/>
    <s v="High School "/>
    <s v="High School "/>
    <s v="High School "/>
    <n v="0"/>
    <s v="20-29"/>
  </r>
  <r>
    <s v="3DB7-2942"/>
    <s v="Cordula"/>
    <s v="Upjohn"/>
    <x v="0"/>
    <n v="27"/>
    <s v="Some Travel"/>
    <x v="2"/>
    <n v="3"/>
    <s v="CA"/>
    <s v="Asian or Asian American"/>
    <n v="2"/>
    <s v="Computer Science"/>
    <x v="2"/>
    <s v="Married"/>
    <n v="137012"/>
    <n v="1"/>
    <x v="0"/>
    <d v="2015-08-16T00:00:00"/>
    <s v="No"/>
    <n v="7"/>
    <n v="6"/>
    <n v="7"/>
    <n v="7"/>
    <s v="High School "/>
    <s v="High School "/>
    <s v="High School "/>
    <n v="0"/>
    <s v="20-29"/>
  </r>
  <r>
    <s v="B102-5713"/>
    <s v="Adlai"/>
    <s v="Pettit"/>
    <x v="2"/>
    <n v="27"/>
    <s v="Some Travel"/>
    <x v="0"/>
    <n v="31"/>
    <s v="CA"/>
    <s v="Mixed or multiple ethnic groups"/>
    <n v="5"/>
    <s v="Marketing "/>
    <x v="6"/>
    <s v="Single"/>
    <n v="205622"/>
    <n v="0"/>
    <x v="0"/>
    <d v="2015-08-19T00:00:00"/>
    <s v="No"/>
    <n v="7"/>
    <n v="5"/>
    <n v="5"/>
    <n v="3"/>
    <s v="Doctorate"/>
    <s v="Doctorate"/>
    <s v="Doctorate"/>
    <n v="0"/>
    <s v="20-29"/>
  </r>
  <r>
    <s v="BDE5-385A"/>
    <s v="Morten"/>
    <s v="Keig"/>
    <x v="1"/>
    <n v="26"/>
    <s v="Some Travel"/>
    <x v="2"/>
    <n v="39"/>
    <s v="CA"/>
    <s v="White"/>
    <n v="3"/>
    <s v="Information Systems"/>
    <x v="7"/>
    <s v="Married"/>
    <n v="60494"/>
    <n v="1"/>
    <x v="1"/>
    <d v="2015-08-22T00:00:00"/>
    <s v="No"/>
    <n v="7"/>
    <n v="7"/>
    <n v="7"/>
    <n v="7"/>
    <s v="Bachelors "/>
    <s v="Bachelors "/>
    <s v="Bachelors "/>
    <n v="0"/>
    <s v="20-29"/>
  </r>
  <r>
    <s v="8F7F-015D"/>
    <s v="Lion"/>
    <s v="Ewbanck"/>
    <x v="1"/>
    <n v="28"/>
    <s v="Some Travel"/>
    <x v="2"/>
    <n v="43"/>
    <s v="IL"/>
    <s v="White"/>
    <n v="4"/>
    <s v="Information Systems"/>
    <x v="2"/>
    <s v="Married"/>
    <n v="249071"/>
    <n v="2"/>
    <x v="0"/>
    <d v="2015-08-24T00:00:00"/>
    <s v="No"/>
    <n v="7"/>
    <n v="5"/>
    <n v="5"/>
    <n v="6"/>
    <s v="Masters "/>
    <s v="Masters "/>
    <s v="Masters "/>
    <n v="0"/>
    <s v="20-29"/>
  </r>
  <r>
    <s v="C1B4-46B2"/>
    <s v="Hoebart"/>
    <s v="Bennen"/>
    <x v="1"/>
    <n v="27"/>
    <s v="No Travel "/>
    <x v="2"/>
    <n v="21"/>
    <s v="CA"/>
    <s v="White"/>
    <n v="4"/>
    <s v="Information Systems"/>
    <x v="8"/>
    <s v="Divorced"/>
    <n v="73326"/>
    <n v="1"/>
    <x v="0"/>
    <d v="2015-09-02T00:00:00"/>
    <s v="No"/>
    <n v="7"/>
    <n v="0"/>
    <n v="5"/>
    <n v="0"/>
    <s v="Masters "/>
    <s v="Masters "/>
    <s v="Masters "/>
    <n v="0"/>
    <s v="20-29"/>
  </r>
  <r>
    <s v="F5C3-07B0"/>
    <s v="Vitia"/>
    <s v="Southall"/>
    <x v="0"/>
    <n v="26"/>
    <s v="Some Travel"/>
    <x v="2"/>
    <n v="16"/>
    <s v="IL"/>
    <s v="White"/>
    <n v="3"/>
    <s v="Computer Science"/>
    <x v="7"/>
    <s v="Divorced"/>
    <n v="25110"/>
    <n v="2"/>
    <x v="0"/>
    <d v="2015-09-03T00:00:00"/>
    <s v="No"/>
    <n v="7"/>
    <n v="1"/>
    <n v="5"/>
    <n v="0"/>
    <s v="Bachelors "/>
    <s v="Bachelors "/>
    <s v="Bachelors "/>
    <n v="0"/>
    <s v="20-29"/>
  </r>
  <r>
    <s v="08FC-817E"/>
    <s v="Milka"/>
    <s v="Vinas"/>
    <x v="0"/>
    <n v="26"/>
    <s v="Some Travel"/>
    <x v="2"/>
    <n v="43"/>
    <s v="NY"/>
    <s v="Black or African American"/>
    <n v="4"/>
    <s v="Computer Science"/>
    <x v="7"/>
    <s v="Married"/>
    <n v="30217"/>
    <n v="1"/>
    <x v="0"/>
    <d v="2015-09-04T00:00:00"/>
    <s v="No"/>
    <n v="7"/>
    <n v="2"/>
    <n v="4"/>
    <n v="0"/>
    <s v="Masters "/>
    <s v="Masters "/>
    <s v="Masters "/>
    <n v="0"/>
    <s v="20-29"/>
  </r>
  <r>
    <s v="AC19-7EE7"/>
    <s v="Aube"/>
    <s v="Bassill"/>
    <x v="1"/>
    <n v="25"/>
    <s v="Some Travel"/>
    <x v="0"/>
    <n v="38"/>
    <s v="NY"/>
    <s v="Mixed or multiple ethnic groups"/>
    <n v="3"/>
    <s v="Marketing "/>
    <x v="0"/>
    <s v="Divorced"/>
    <n v="86485"/>
    <n v="1"/>
    <x v="1"/>
    <d v="2015-09-07T00:00:00"/>
    <s v="No"/>
    <n v="7"/>
    <n v="6"/>
    <n v="6"/>
    <n v="0"/>
    <s v="Bachelors "/>
    <s v="Bachelors "/>
    <s v="Bachelors "/>
    <n v="0"/>
    <s v="20-29"/>
  </r>
  <r>
    <s v="C9FF-3A25"/>
    <s v="West"/>
    <s v="Shalloo"/>
    <x v="1"/>
    <n v="28"/>
    <s v="No Travel "/>
    <x v="2"/>
    <n v="17"/>
    <s v="NY"/>
    <s v="Black or African American"/>
    <n v="2"/>
    <s v="Information Systems"/>
    <x v="7"/>
    <s v="Single"/>
    <n v="54324"/>
    <n v="0"/>
    <x v="1"/>
    <d v="2015-09-10T00:00:00"/>
    <s v="Yes"/>
    <n v="3"/>
    <n v="3"/>
    <n v="3"/>
    <n v="1"/>
    <s v="High School "/>
    <s v="High School "/>
    <s v="High School "/>
    <n v="1"/>
    <s v="20-29"/>
  </r>
  <r>
    <s v="CDC1-C7CA"/>
    <s v="Jobyna"/>
    <s v="Keeler"/>
    <x v="0"/>
    <n v="25"/>
    <s v="Frequent Traveller"/>
    <x v="0"/>
    <n v="6"/>
    <s v="CA"/>
    <s v="Mixed or multiple ethnic groups"/>
    <n v="3"/>
    <s v="Marketing"/>
    <x v="0"/>
    <s v="Married"/>
    <n v="102569"/>
    <n v="0"/>
    <x v="0"/>
    <d v="2015-09-12T00:00:00"/>
    <s v="No"/>
    <n v="7"/>
    <n v="1"/>
    <n v="2"/>
    <n v="5"/>
    <s v="Bachelors "/>
    <s v="Bachelors "/>
    <s v="Bachelors "/>
    <n v="0"/>
    <s v="20-29"/>
  </r>
  <r>
    <s v="E616-CAD8"/>
    <s v="Iseabal"/>
    <s v="Sabey"/>
    <x v="0"/>
    <n v="27"/>
    <s v="Some Travel"/>
    <x v="2"/>
    <n v="1"/>
    <s v="IL"/>
    <s v="White"/>
    <n v="3"/>
    <s v="Information Systems"/>
    <x v="2"/>
    <s v="Single"/>
    <n v="200409"/>
    <n v="0"/>
    <x v="0"/>
    <d v="2015-09-17T00:00:00"/>
    <s v="No"/>
    <n v="7"/>
    <n v="5"/>
    <n v="6"/>
    <n v="1"/>
    <s v="Bachelors "/>
    <s v="Bachelors "/>
    <s v="Bachelors "/>
    <n v="0"/>
    <s v="20-29"/>
  </r>
  <r>
    <s v="2219-56CA"/>
    <s v="Sloane"/>
    <s v="Shera"/>
    <x v="2"/>
    <n v="28"/>
    <s v="Some Travel"/>
    <x v="0"/>
    <n v="38"/>
    <s v="IL"/>
    <s v="Mixed or multiple ethnic groups"/>
    <n v="3"/>
    <s v="Marketing"/>
    <x v="0"/>
    <s v="Divorced"/>
    <n v="185380"/>
    <n v="1"/>
    <x v="0"/>
    <d v="2015-09-21T00:00:00"/>
    <s v="Yes"/>
    <n v="5"/>
    <n v="2"/>
    <n v="5"/>
    <n v="3"/>
    <s v="Bachelors "/>
    <s v="Bachelors "/>
    <s v="Bachelors "/>
    <n v="1"/>
    <s v="20-29"/>
  </r>
  <r>
    <s v="EEA0-C109"/>
    <s v="Silvan"/>
    <s v="Bratcher"/>
    <x v="1"/>
    <n v="26"/>
    <s v="Some Travel"/>
    <x v="0"/>
    <n v="3"/>
    <s v="NY"/>
    <s v="White"/>
    <n v="1"/>
    <s v="Marketing "/>
    <x v="0"/>
    <s v="Married"/>
    <n v="56892"/>
    <n v="0"/>
    <x v="0"/>
    <d v="2015-09-29T00:00:00"/>
    <s v="No"/>
    <n v="7"/>
    <n v="1"/>
    <n v="3"/>
    <n v="3"/>
    <s v="No Formal Qualifications"/>
    <s v="No Formal Qualifications"/>
    <s v="No Formal Qualifications"/>
    <n v="0"/>
    <s v="20-29"/>
  </r>
  <r>
    <s v="ABB5-0B95"/>
    <s v="Thomasine"/>
    <s v="Odell"/>
    <x v="2"/>
    <n v="28"/>
    <s v="No Travel "/>
    <x v="2"/>
    <n v="26"/>
    <s v="CA"/>
    <s v="Mixed or multiple ethnic groups"/>
    <n v="5"/>
    <s v="Computer Science"/>
    <x v="4"/>
    <s v="Married"/>
    <n v="112175"/>
    <n v="3"/>
    <x v="0"/>
    <d v="2015-09-30T00:00:00"/>
    <s v="No"/>
    <n v="7"/>
    <n v="1"/>
    <n v="3"/>
    <n v="4"/>
    <s v="Doctorate"/>
    <s v="Doctorate"/>
    <s v="Doctorate"/>
    <n v="0"/>
    <s v="20-29"/>
  </r>
  <r>
    <s v="5F4E-EE5A"/>
    <s v="Mamie"/>
    <s v="Neagle"/>
    <x v="3"/>
    <n v="28"/>
    <s v="No Travel "/>
    <x v="2"/>
    <n v="45"/>
    <s v="IL"/>
    <s v="Mixed or multiple ethnic groups"/>
    <n v="4"/>
    <s v="Information Systems"/>
    <x v="5"/>
    <s v="Married"/>
    <n v="87762"/>
    <n v="0"/>
    <x v="0"/>
    <d v="2015-10-02T00:00:00"/>
    <s v="No"/>
    <n v="7"/>
    <n v="2"/>
    <n v="7"/>
    <n v="2"/>
    <s v="Masters "/>
    <s v="Masters "/>
    <s v="Masters "/>
    <n v="0"/>
    <s v="20-29"/>
  </r>
  <r>
    <s v="F401-1B75"/>
    <s v="Nevins"/>
    <s v="Forst"/>
    <x v="2"/>
    <n v="27"/>
    <s v="Some Travel"/>
    <x v="2"/>
    <n v="5"/>
    <s v="NY"/>
    <s v="White"/>
    <n v="2"/>
    <s v="Computer Science"/>
    <x v="7"/>
    <s v="Married"/>
    <n v="26542"/>
    <n v="1"/>
    <x v="0"/>
    <d v="2015-10-05T00:00:00"/>
    <s v="No"/>
    <n v="7"/>
    <n v="1"/>
    <n v="7"/>
    <n v="5"/>
    <s v="High School "/>
    <s v="High School "/>
    <s v="High School "/>
    <n v="0"/>
    <s v="20-29"/>
  </r>
  <r>
    <s v="B995-E5CE"/>
    <s v="Anitra"/>
    <s v="Korfmann"/>
    <x v="2"/>
    <n v="27"/>
    <s v="Some Travel"/>
    <x v="2"/>
    <n v="2"/>
    <s v="CA"/>
    <s v="Mixed or multiple ethnic groups"/>
    <n v="4"/>
    <s v="Computer Science"/>
    <x v="4"/>
    <s v="Married"/>
    <n v="39198"/>
    <n v="1"/>
    <x v="0"/>
    <d v="2015-10-10T00:00:00"/>
    <s v="No"/>
    <n v="7"/>
    <n v="6"/>
    <n v="7"/>
    <n v="4"/>
    <s v="Masters "/>
    <s v="Masters "/>
    <s v="Masters "/>
    <n v="0"/>
    <s v="20-29"/>
  </r>
  <r>
    <s v="533B-938D"/>
    <s v="Morris"/>
    <s v="Bente"/>
    <x v="1"/>
    <n v="28"/>
    <s v="Some Travel"/>
    <x v="0"/>
    <n v="43"/>
    <s v="NY"/>
    <s v="Mixed or multiple ethnic groups"/>
    <n v="4"/>
    <s v="Marketing "/>
    <x v="0"/>
    <s v="Divorced"/>
    <n v="157549"/>
    <n v="1"/>
    <x v="0"/>
    <d v="2015-10-20T00:00:00"/>
    <s v="No"/>
    <n v="7"/>
    <n v="0"/>
    <n v="0"/>
    <n v="3"/>
    <s v="Masters "/>
    <s v="Masters "/>
    <s v="Masters "/>
    <n v="0"/>
    <s v="20-29"/>
  </r>
  <r>
    <s v="993B-186B"/>
    <s v="Lewiss"/>
    <s v="Janosevic"/>
    <x v="1"/>
    <n v="27"/>
    <s v="Some Travel"/>
    <x v="0"/>
    <n v="7"/>
    <s v="CA"/>
    <s v="Black or African American"/>
    <n v="3"/>
    <s v="Marketing"/>
    <x v="0"/>
    <s v="Married"/>
    <n v="73918"/>
    <n v="1"/>
    <x v="0"/>
    <d v="2015-10-21T00:00:00"/>
    <s v="No"/>
    <n v="7"/>
    <n v="3"/>
    <n v="4"/>
    <n v="1"/>
    <s v="Bachelors "/>
    <s v="Bachelors "/>
    <s v="Bachelors "/>
    <n v="0"/>
    <s v="20-29"/>
  </r>
  <r>
    <s v="DFA2-1B8F"/>
    <s v="Haily"/>
    <s v="Jordi"/>
    <x v="1"/>
    <n v="28"/>
    <s v="Some Travel"/>
    <x v="0"/>
    <n v="10"/>
    <s v="NY"/>
    <s v="Mixed or multiple ethnic groups"/>
    <n v="1"/>
    <s v="Marketing "/>
    <x v="0"/>
    <s v="Married"/>
    <n v="83864"/>
    <n v="2"/>
    <x v="0"/>
    <d v="2015-10-21T00:00:00"/>
    <s v="No"/>
    <n v="7"/>
    <n v="7"/>
    <n v="7"/>
    <n v="5"/>
    <s v="No Formal Qualifications"/>
    <s v="No Formal Qualifications"/>
    <s v="No Formal Qualifications"/>
    <n v="0"/>
    <s v="20-29"/>
  </r>
  <r>
    <s v="04D7-C8F3"/>
    <s v="Scarlett"/>
    <s v="Elstob"/>
    <x v="0"/>
    <n v="26"/>
    <s v="Some Travel"/>
    <x v="2"/>
    <n v="27"/>
    <s v="CA"/>
    <s v="White"/>
    <n v="2"/>
    <s v="Computer Science"/>
    <x v="4"/>
    <s v="Married"/>
    <n v="42052"/>
    <n v="1"/>
    <x v="0"/>
    <d v="2015-10-26T00:00:00"/>
    <s v="No"/>
    <n v="7"/>
    <n v="7"/>
    <n v="7"/>
    <n v="2"/>
    <s v="High School "/>
    <s v="High School "/>
    <s v="High School "/>
    <n v="0"/>
    <s v="20-29"/>
  </r>
  <r>
    <s v="C026-3E38"/>
    <s v="Garv"/>
    <s v="Tockell"/>
    <x v="1"/>
    <n v="28"/>
    <s v="Some Travel"/>
    <x v="2"/>
    <n v="2"/>
    <s v="CA"/>
    <s v="Asian or Asian American"/>
    <n v="3"/>
    <s v="Computer Science"/>
    <x v="5"/>
    <s v="Single"/>
    <n v="220234"/>
    <n v="0"/>
    <x v="1"/>
    <d v="2015-10-26T00:00:00"/>
    <s v="No"/>
    <n v="7"/>
    <n v="5"/>
    <n v="7"/>
    <n v="1"/>
    <s v="Bachelors "/>
    <s v="Bachelors "/>
    <s v="Bachelors "/>
    <n v="0"/>
    <s v="20-29"/>
  </r>
  <r>
    <s v="69EC-7B13"/>
    <s v="Mariska"/>
    <s v="Iashvili"/>
    <x v="0"/>
    <n v="27"/>
    <s v="Some Travel"/>
    <x v="0"/>
    <n v="1"/>
    <s v="CA"/>
    <s v="Other "/>
    <n v="2"/>
    <s v="Technical Degree"/>
    <x v="9"/>
    <s v="Single"/>
    <n v="62496"/>
    <n v="0"/>
    <x v="0"/>
    <d v="2015-10-27T00:00:00"/>
    <s v="No"/>
    <n v="7"/>
    <n v="6"/>
    <n v="6"/>
    <n v="1"/>
    <s v="High School "/>
    <s v="High School "/>
    <s v="High School "/>
    <n v="0"/>
    <s v="20-29"/>
  </r>
  <r>
    <s v="AD8F-7539"/>
    <s v="Leta"/>
    <s v="Possel"/>
    <x v="0"/>
    <n v="28"/>
    <s v="Some Travel"/>
    <x v="0"/>
    <n v="44"/>
    <s v="CA"/>
    <s v="White"/>
    <n v="3"/>
    <s v="Economics"/>
    <x v="0"/>
    <s v="Married"/>
    <n v="304858"/>
    <n v="1"/>
    <x v="1"/>
    <d v="2015-11-01T00:00:00"/>
    <s v="No"/>
    <n v="7"/>
    <n v="5"/>
    <n v="7"/>
    <n v="2"/>
    <s v="Bachelors "/>
    <s v="Bachelors "/>
    <s v="Bachelors "/>
    <n v="0"/>
    <s v="20-29"/>
  </r>
  <r>
    <s v="B44E-8AEE"/>
    <s v="Carlynn"/>
    <s v="Bartolic"/>
    <x v="0"/>
    <n v="28"/>
    <s v="Some Travel"/>
    <x v="0"/>
    <n v="7"/>
    <s v="CA"/>
    <s v="White"/>
    <n v="5"/>
    <s v="Marketing"/>
    <x v="0"/>
    <s v="Married"/>
    <n v="181164"/>
    <n v="1"/>
    <x v="0"/>
    <d v="2015-11-01T00:00:00"/>
    <s v="No"/>
    <n v="7"/>
    <n v="5"/>
    <n v="6"/>
    <n v="1"/>
    <s v="Doctorate"/>
    <s v="Doctorate"/>
    <s v="Doctorate"/>
    <n v="0"/>
    <s v="20-29"/>
  </r>
  <r>
    <s v="63E9-F74A"/>
    <s v="Amos"/>
    <s v="Simcox"/>
    <x v="1"/>
    <n v="25"/>
    <s v="Frequent Traveller"/>
    <x v="2"/>
    <n v="11"/>
    <s v="NY"/>
    <s v="Mixed or multiple ethnic groups"/>
    <n v="1"/>
    <s v="Business Studies"/>
    <x v="5"/>
    <s v="Married"/>
    <n v="67708"/>
    <n v="1"/>
    <x v="0"/>
    <d v="2015-11-02T00:00:00"/>
    <s v="No"/>
    <n v="7"/>
    <n v="7"/>
    <n v="7"/>
    <n v="0"/>
    <s v="No Formal Qualifications"/>
    <s v="No Formal Qualifications"/>
    <s v="No Formal Qualifications"/>
    <n v="0"/>
    <s v="20-29"/>
  </r>
  <r>
    <s v="A184-3B30"/>
    <s v="Ruperto"/>
    <s v="Ciccotto"/>
    <x v="1"/>
    <n v="26"/>
    <s v="Some Travel"/>
    <x v="2"/>
    <n v="17"/>
    <s v="IL"/>
    <s v="American Indian or Alaska Native"/>
    <n v="3"/>
    <s v="Information Systems"/>
    <x v="7"/>
    <s v="Married"/>
    <n v="55778"/>
    <n v="1"/>
    <x v="0"/>
    <d v="2015-11-05T00:00:00"/>
    <s v="No"/>
    <n v="7"/>
    <n v="4"/>
    <n v="7"/>
    <n v="6"/>
    <s v="Bachelors "/>
    <s v="Bachelors "/>
    <s v="Bachelors "/>
    <n v="0"/>
    <s v="20-29"/>
  </r>
  <r>
    <s v="851C-E7E2"/>
    <s v="Sebastiano"/>
    <s v="Benes"/>
    <x v="1"/>
    <n v="27"/>
    <s v="Some Travel"/>
    <x v="2"/>
    <n v="14"/>
    <s v="CA"/>
    <s v="Black or African American"/>
    <n v="2"/>
    <s v="Information Systems"/>
    <x v="5"/>
    <s v="Divorced"/>
    <n v="120049"/>
    <n v="1"/>
    <x v="0"/>
    <d v="2015-11-07T00:00:00"/>
    <s v="No"/>
    <n v="7"/>
    <n v="1"/>
    <n v="6"/>
    <n v="1"/>
    <s v="High School "/>
    <s v="High School "/>
    <s v="High School "/>
    <n v="0"/>
    <s v="20-29"/>
  </r>
  <r>
    <s v="E46A-3676"/>
    <s v="Kele"/>
    <s v="Halsworth"/>
    <x v="1"/>
    <n v="28"/>
    <s v="Some Travel"/>
    <x v="0"/>
    <n v="32"/>
    <s v="CA"/>
    <s v="White"/>
    <n v="4"/>
    <s v="Marketing"/>
    <x v="0"/>
    <s v="Divorced"/>
    <n v="128222"/>
    <n v="2"/>
    <x v="0"/>
    <d v="2015-11-07T00:00:00"/>
    <s v="No"/>
    <n v="7"/>
    <n v="6"/>
    <n v="7"/>
    <n v="1"/>
    <s v="Masters "/>
    <s v="Masters "/>
    <s v="Masters "/>
    <n v="0"/>
    <s v="20-29"/>
  </r>
  <r>
    <s v="10CE-8403"/>
    <s v="Timmy"/>
    <s v="Reek"/>
    <x v="0"/>
    <n v="27"/>
    <s v="Some Travel"/>
    <x v="2"/>
    <n v="31"/>
    <s v="CA"/>
    <s v="White"/>
    <n v="4"/>
    <s v="Computer Science"/>
    <x v="8"/>
    <s v="Divorced"/>
    <n v="120225"/>
    <n v="2"/>
    <x v="0"/>
    <d v="2015-11-08T00:00:00"/>
    <s v="No"/>
    <n v="7"/>
    <n v="2"/>
    <n v="5"/>
    <n v="4"/>
    <s v="Masters "/>
    <s v="Masters "/>
    <s v="Masters "/>
    <n v="0"/>
    <s v="20-29"/>
  </r>
  <r>
    <s v="E47D-E3C5"/>
    <s v="Kerry"/>
    <s v="Orrell"/>
    <x v="1"/>
    <n v="26"/>
    <s v="Some Travel"/>
    <x v="2"/>
    <n v="14"/>
    <s v="NY"/>
    <s v="Black or African American"/>
    <n v="1"/>
    <s v="Computer Science"/>
    <x v="7"/>
    <s v="Married"/>
    <n v="33180"/>
    <n v="1"/>
    <x v="1"/>
    <d v="2015-11-10T00:00:00"/>
    <s v="No"/>
    <n v="7"/>
    <n v="5"/>
    <n v="7"/>
    <n v="3"/>
    <s v="No Formal Qualifications"/>
    <s v="No Formal Qualifications"/>
    <s v="No Formal Qualifications"/>
    <n v="0"/>
    <s v="20-29"/>
  </r>
  <r>
    <s v="1AC8-361F"/>
    <s v="Selig"/>
    <s v="Draysey"/>
    <x v="1"/>
    <n v="26"/>
    <s v="Some Travel"/>
    <x v="0"/>
    <n v="22"/>
    <s v="CA"/>
    <s v="Mixed or multiple ethnic groups"/>
    <n v="1"/>
    <s v="Marketing "/>
    <x v="0"/>
    <s v="Married"/>
    <n v="87142"/>
    <n v="1"/>
    <x v="0"/>
    <d v="2015-11-11T00:00:00"/>
    <s v="Yes"/>
    <n v="2"/>
    <n v="1"/>
    <n v="1"/>
    <n v="0"/>
    <s v="No Formal Qualifications"/>
    <s v="No Formal Qualifications"/>
    <s v="No Formal Qualifications"/>
    <n v="1"/>
    <s v="20-29"/>
  </r>
  <r>
    <s v="9360-3A68"/>
    <s v="Cathyleen"/>
    <s v="Hallin"/>
    <x v="0"/>
    <n v="27"/>
    <s v="No Travel "/>
    <x v="2"/>
    <n v="12"/>
    <s v="IL"/>
    <s v="White"/>
    <n v="3"/>
    <s v="Information Systems"/>
    <x v="4"/>
    <s v="Single"/>
    <n v="41524"/>
    <n v="0"/>
    <x v="0"/>
    <d v="2015-11-12T00:00:00"/>
    <s v="No"/>
    <n v="7"/>
    <n v="6"/>
    <n v="6"/>
    <n v="6"/>
    <s v="Bachelors "/>
    <s v="Bachelors "/>
    <s v="Bachelors "/>
    <n v="0"/>
    <s v="20-29"/>
  </r>
  <r>
    <s v="BE54-8537"/>
    <s v="Krista"/>
    <s v="Eustace"/>
    <x v="0"/>
    <n v="26"/>
    <s v="Frequent Traveller"/>
    <x v="2"/>
    <n v="14"/>
    <s v="NY"/>
    <s v="American Indian or Alaska Native"/>
    <n v="3"/>
    <s v="Computer Science"/>
    <x v="7"/>
    <s v="Single"/>
    <n v="36794"/>
    <n v="0"/>
    <x v="0"/>
    <d v="2015-11-18T00:00:00"/>
    <s v="Yes"/>
    <n v="5"/>
    <n v="3"/>
    <n v="4"/>
    <n v="3"/>
    <s v="Bachelors "/>
    <s v="Bachelors "/>
    <s v="Bachelors "/>
    <n v="1"/>
    <s v="20-29"/>
  </r>
  <r>
    <s v="D6BB-FEDF"/>
    <s v="Galen"/>
    <s v="Rocca"/>
    <x v="1"/>
    <n v="28"/>
    <s v="Frequent Traveller"/>
    <x v="2"/>
    <n v="40"/>
    <s v="NY"/>
    <s v="White"/>
    <n v="5"/>
    <s v="Information Systems"/>
    <x v="4"/>
    <s v="Divorced"/>
    <n v="109172"/>
    <n v="1"/>
    <x v="1"/>
    <d v="2015-11-19T00:00:00"/>
    <s v="No"/>
    <n v="7"/>
    <n v="1"/>
    <n v="3"/>
    <n v="1"/>
    <s v="Doctorate"/>
    <s v="Doctorate"/>
    <s v="Doctorate"/>
    <n v="0"/>
    <s v="20-29"/>
  </r>
  <r>
    <s v="ACD5-5FA2"/>
    <s v="Judye"/>
    <s v="Offield"/>
    <x v="0"/>
    <n v="28"/>
    <s v="Some Travel"/>
    <x v="0"/>
    <n v="17"/>
    <s v="CA"/>
    <s v="White"/>
    <n v="3"/>
    <s v="Technical Degree"/>
    <x v="9"/>
    <s v="Divorced"/>
    <n v="70787"/>
    <n v="2"/>
    <x v="1"/>
    <d v="2015-11-26T00:00:00"/>
    <s v="No"/>
    <n v="7"/>
    <n v="2"/>
    <n v="5"/>
    <n v="5"/>
    <s v="Bachelors "/>
    <s v="Bachelors "/>
    <s v="Bachelors "/>
    <n v="0"/>
    <s v="20-29"/>
  </r>
  <r>
    <s v="BB09-BF7F"/>
    <s v="Susanne"/>
    <s v="Kelso"/>
    <x v="0"/>
    <n v="27"/>
    <s v="Some Travel"/>
    <x v="0"/>
    <n v="45"/>
    <s v="CA"/>
    <s v="Mixed or multiple ethnic groups"/>
    <n v="2"/>
    <s v="Economics"/>
    <x v="0"/>
    <s v="Single"/>
    <n v="57102"/>
    <n v="0"/>
    <x v="0"/>
    <d v="2015-11-29T00:00:00"/>
    <s v="No"/>
    <n v="7"/>
    <n v="6"/>
    <n v="6"/>
    <n v="4"/>
    <s v="High School "/>
    <s v="High School "/>
    <s v="High School "/>
    <n v="0"/>
    <s v="20-29"/>
  </r>
  <r>
    <s v="450D-13A9"/>
    <s v="Arlene"/>
    <s v="Warstall"/>
    <x v="0"/>
    <n v="26"/>
    <s v="Some Travel"/>
    <x v="0"/>
    <n v="29"/>
    <s v="NY"/>
    <s v="Black or African American"/>
    <n v="3"/>
    <s v="Economics"/>
    <x v="9"/>
    <s v="Single"/>
    <n v="28024"/>
    <n v="0"/>
    <x v="0"/>
    <d v="2015-11-30T00:00:00"/>
    <s v="No"/>
    <n v="7"/>
    <n v="0"/>
    <n v="7"/>
    <n v="5"/>
    <s v="Bachelors "/>
    <s v="Bachelors "/>
    <s v="Bachelors "/>
    <n v="0"/>
    <s v="20-29"/>
  </r>
  <r>
    <s v="5605-237E"/>
    <s v="Linell"/>
    <s v="Lack"/>
    <x v="0"/>
    <n v="26"/>
    <s v="Some Travel"/>
    <x v="2"/>
    <n v="7"/>
    <s v="NY"/>
    <s v="Black or African American"/>
    <n v="3"/>
    <s v="Computer Science"/>
    <x v="4"/>
    <s v="Married"/>
    <n v="34047"/>
    <n v="1"/>
    <x v="1"/>
    <d v="2015-12-03T00:00:00"/>
    <s v="No"/>
    <n v="7"/>
    <n v="4"/>
    <n v="4"/>
    <n v="2"/>
    <s v="Bachelors "/>
    <s v="Bachelors "/>
    <s v="Bachelors "/>
    <n v="0"/>
    <s v="20-29"/>
  </r>
  <r>
    <s v="03C5-51AD"/>
    <s v="Maxie"/>
    <s v="Banker"/>
    <x v="0"/>
    <n v="25"/>
    <s v="Some Travel"/>
    <x v="2"/>
    <n v="1"/>
    <s v="IL"/>
    <s v="White"/>
    <n v="2"/>
    <s v="Computer Science"/>
    <x v="4"/>
    <s v="Married"/>
    <n v="32354"/>
    <n v="1"/>
    <x v="1"/>
    <d v="2015-12-06T00:00:00"/>
    <s v="Yes"/>
    <n v="7"/>
    <n v="4"/>
    <n v="6"/>
    <n v="2"/>
    <s v="High School "/>
    <s v="High School "/>
    <s v="High School "/>
    <n v="1"/>
    <s v="20-29"/>
  </r>
  <r>
    <s v="27CD-A6BF"/>
    <s v="Fabiano"/>
    <s v="Edkins"/>
    <x v="1"/>
    <n v="27"/>
    <s v="Some Travel"/>
    <x v="2"/>
    <n v="44"/>
    <s v="CA"/>
    <s v="Mixed or multiple ethnic groups"/>
    <n v="3"/>
    <s v="Computer Science"/>
    <x v="7"/>
    <s v="Single"/>
    <n v="45276"/>
    <n v="0"/>
    <x v="1"/>
    <d v="2015-12-12T00:00:00"/>
    <s v="No"/>
    <n v="7"/>
    <n v="6"/>
    <n v="6"/>
    <n v="2"/>
    <s v="Bachelors "/>
    <s v="Bachelors "/>
    <s v="Bachelors "/>
    <n v="0"/>
    <s v="20-29"/>
  </r>
  <r>
    <s v="626A-9377"/>
    <s v="Blaire"/>
    <s v="Dinneen"/>
    <x v="0"/>
    <n v="27"/>
    <s v="No Travel "/>
    <x v="2"/>
    <n v="19"/>
    <s v="NY"/>
    <s v="Black or African American"/>
    <n v="2"/>
    <s v="Business Studies"/>
    <x v="8"/>
    <s v="Single"/>
    <n v="89785"/>
    <n v="0"/>
    <x v="0"/>
    <d v="2015-12-19T00:00:00"/>
    <s v="Yes"/>
    <n v="0"/>
    <n v="0"/>
    <n v="0"/>
    <n v="0"/>
    <s v="High School "/>
    <s v="High School "/>
    <s v="High School "/>
    <n v="1"/>
    <s v="20-29"/>
  </r>
  <r>
    <s v="6125-FEC8"/>
    <s v="Myrtie"/>
    <s v="Corbie"/>
    <x v="2"/>
    <n v="27"/>
    <s v="No Travel "/>
    <x v="2"/>
    <n v="36"/>
    <s v="CA"/>
    <s v="Native Hawaiian "/>
    <n v="4"/>
    <s v="Business Studies"/>
    <x v="7"/>
    <s v="Married"/>
    <n v="50046"/>
    <n v="1"/>
    <x v="0"/>
    <d v="2015-12-20T00:00:00"/>
    <s v="No"/>
    <n v="7"/>
    <n v="1"/>
    <n v="6"/>
    <n v="2"/>
    <s v="Masters "/>
    <s v="Masters "/>
    <s v="Masters "/>
    <n v="0"/>
    <s v="20-29"/>
  </r>
  <r>
    <s v="D954-6402"/>
    <s v="Ara"/>
    <s v="Daulton"/>
    <x v="1"/>
    <n v="25"/>
    <s v="Some Travel"/>
    <x v="0"/>
    <n v="14"/>
    <s v="IL"/>
    <s v="White"/>
    <n v="3"/>
    <s v="Marketing "/>
    <x v="0"/>
    <s v="Single"/>
    <n v="123307"/>
    <n v="0"/>
    <x v="1"/>
    <d v="2015-12-23T00:00:00"/>
    <s v="Yes"/>
    <n v="7"/>
    <n v="2"/>
    <n v="3"/>
    <n v="1"/>
    <s v="Bachelors "/>
    <s v="Bachelors "/>
    <s v="Bachelors "/>
    <n v="1"/>
    <s v="20-29"/>
  </r>
  <r>
    <s v="246E-3383"/>
    <s v="Jamesy"/>
    <s v="Barnardo"/>
    <x v="1"/>
    <n v="26"/>
    <s v="Some Travel"/>
    <x v="0"/>
    <n v="16"/>
    <s v="CA"/>
    <s v="Black or African American"/>
    <n v="2"/>
    <s v="Marketing"/>
    <x v="0"/>
    <s v="Single"/>
    <n v="113512"/>
    <n v="0"/>
    <x v="0"/>
    <d v="2015-12-25T00:00:00"/>
    <s v="No"/>
    <n v="7"/>
    <n v="3"/>
    <n v="7"/>
    <n v="6"/>
    <s v="High School "/>
    <s v="High School "/>
    <s v="High School "/>
    <n v="0"/>
    <s v="20-29"/>
  </r>
  <r>
    <s v="BD97-F94D"/>
    <s v="Cletus"/>
    <s v="Heintsch"/>
    <x v="1"/>
    <n v="26"/>
    <s v="Some Travel"/>
    <x v="2"/>
    <n v="8"/>
    <s v="IL"/>
    <s v="Black or African American"/>
    <n v="2"/>
    <s v="Information Systems"/>
    <x v="7"/>
    <s v="Married"/>
    <n v="50614"/>
    <n v="1"/>
    <x v="0"/>
    <d v="2015-12-25T00:00:00"/>
    <s v="No"/>
    <n v="7"/>
    <n v="7"/>
    <n v="7"/>
    <n v="2"/>
    <s v="High School "/>
    <s v="High School "/>
    <s v="High School "/>
    <n v="0"/>
    <s v="20-29"/>
  </r>
  <r>
    <s v="FB5B-C127"/>
    <s v="Ameline"/>
    <s v="Hawton"/>
    <x v="0"/>
    <n v="25"/>
    <s v="Some Travel"/>
    <x v="2"/>
    <n v="42"/>
    <s v="CA"/>
    <s v="Native Hawaiian "/>
    <n v="3"/>
    <s v="Computer Science"/>
    <x v="7"/>
    <s v="Married"/>
    <n v="70068"/>
    <n v="2"/>
    <x v="0"/>
    <d v="2015-12-29T00:00:00"/>
    <s v="No"/>
    <n v="7"/>
    <n v="4"/>
    <n v="6"/>
    <n v="7"/>
    <s v="Bachelors "/>
    <s v="Bachelors "/>
    <s v="Bachelors "/>
    <n v="0"/>
    <s v="20-29"/>
  </r>
  <r>
    <s v="A590-DF69"/>
    <s v="Cortney"/>
    <s v="Wann"/>
    <x v="0"/>
    <n v="28"/>
    <s v="Some Travel"/>
    <x v="2"/>
    <n v="24"/>
    <s v="CA"/>
    <s v="Mixed or multiple ethnic groups"/>
    <n v="3"/>
    <s v="Computer Science"/>
    <x v="7"/>
    <s v="Married"/>
    <n v="71553"/>
    <n v="1"/>
    <x v="0"/>
    <d v="2015-12-30T00:00:00"/>
    <s v="No"/>
    <n v="7"/>
    <n v="6"/>
    <n v="6"/>
    <n v="0"/>
    <s v="Bachelors "/>
    <s v="Bachelors "/>
    <s v="Bachelors "/>
    <n v="0"/>
    <s v="20-29"/>
  </r>
  <r>
    <s v="B679-F7C9"/>
    <s v="Hillard"/>
    <s v="Ell"/>
    <x v="1"/>
    <n v="29"/>
    <s v="Some Travel"/>
    <x v="2"/>
    <n v="36"/>
    <s v="NY"/>
    <s v="Black or African American"/>
    <n v="5"/>
    <s v="Business Studies"/>
    <x v="7"/>
    <s v="Single"/>
    <n v="113448"/>
    <n v="0"/>
    <x v="1"/>
    <d v="2015-12-31T00:00:00"/>
    <s v="No"/>
    <n v="7"/>
    <n v="0"/>
    <n v="4"/>
    <n v="1"/>
    <s v="Doctorate"/>
    <s v="Doctorate"/>
    <s v="Doctorate"/>
    <n v="0"/>
    <s v="20-29"/>
  </r>
  <r>
    <s v="1B4A-5D80"/>
    <s v="April"/>
    <s v="Carstairs"/>
    <x v="0"/>
    <n v="26"/>
    <s v="Some Travel"/>
    <x v="2"/>
    <n v="37"/>
    <s v="CA"/>
    <s v="American Indian or Alaska Native"/>
    <n v="4"/>
    <s v="Information Systems"/>
    <x v="10"/>
    <s v="Married"/>
    <n v="107863"/>
    <n v="2"/>
    <x v="1"/>
    <d v="2016-01-03T00:00:00"/>
    <s v="No"/>
    <n v="6"/>
    <n v="3"/>
    <n v="6"/>
    <n v="0"/>
    <s v="Masters "/>
    <s v="Masters "/>
    <s v="Masters "/>
    <n v="0"/>
    <s v="20-29"/>
  </r>
  <r>
    <s v="BAB4-3AC8"/>
    <s v="Trudey"/>
    <s v="Doulton"/>
    <x v="0"/>
    <n v="25"/>
    <s v="No Travel "/>
    <x v="2"/>
    <n v="24"/>
    <s v="IL"/>
    <s v="Black or African American"/>
    <n v="4"/>
    <s v="Computer Science"/>
    <x v="7"/>
    <s v="Married"/>
    <n v="44146"/>
    <n v="3"/>
    <x v="0"/>
    <d v="2016-01-08T00:00:00"/>
    <s v="No"/>
    <n v="6"/>
    <n v="1"/>
    <n v="1"/>
    <n v="3"/>
    <s v="Masters "/>
    <s v="Masters "/>
    <s v="Masters "/>
    <n v="0"/>
    <s v="20-29"/>
  </r>
  <r>
    <s v="83FD-F920"/>
    <s v="Yorgo"/>
    <s v="Clappison"/>
    <x v="1"/>
    <n v="25"/>
    <s v="Some Travel"/>
    <x v="2"/>
    <n v="41"/>
    <s v="CA"/>
    <s v="White"/>
    <n v="1"/>
    <s v="Computer Science"/>
    <x v="4"/>
    <s v="Married"/>
    <n v="28137"/>
    <n v="0"/>
    <x v="1"/>
    <d v="2016-01-10T00:00:00"/>
    <s v="Yes"/>
    <n v="4"/>
    <n v="3"/>
    <n v="3"/>
    <n v="1"/>
    <s v="No Formal Qualifications"/>
    <s v="No Formal Qualifications"/>
    <s v="No Formal Qualifications"/>
    <n v="1"/>
    <s v="20-29"/>
  </r>
  <r>
    <s v="B24C-18BF"/>
    <s v="Timothy"/>
    <s v="Plewright"/>
    <x v="1"/>
    <n v="26"/>
    <s v="No Travel "/>
    <x v="0"/>
    <n v="5"/>
    <s v="CA"/>
    <s v="White"/>
    <n v="2"/>
    <s v="Marketing"/>
    <x v="0"/>
    <s v="Married"/>
    <n v="93170"/>
    <n v="1"/>
    <x v="0"/>
    <d v="2016-01-10T00:00:00"/>
    <s v="No"/>
    <n v="6"/>
    <n v="3"/>
    <n v="6"/>
    <n v="1"/>
    <s v="High School "/>
    <s v="High School "/>
    <s v="High School "/>
    <n v="0"/>
    <s v="20-29"/>
  </r>
  <r>
    <s v="FD0B-7B0A"/>
    <s v="Melessa"/>
    <s v="Eyres"/>
    <x v="0"/>
    <n v="27"/>
    <s v="Some Travel"/>
    <x v="0"/>
    <n v="21"/>
    <s v="CA"/>
    <s v="White"/>
    <n v="1"/>
    <s v="Marketing"/>
    <x v="9"/>
    <s v="Single"/>
    <n v="22648"/>
    <n v="0"/>
    <x v="1"/>
    <d v="2016-01-12T00:00:00"/>
    <s v="Yes"/>
    <n v="1"/>
    <n v="0"/>
    <n v="0"/>
    <n v="0"/>
    <s v="No Formal Qualifications"/>
    <s v="No Formal Qualifications"/>
    <s v="No Formal Qualifications"/>
    <n v="1"/>
    <s v="20-29"/>
  </r>
  <r>
    <s v="EB8F-204D"/>
    <s v="Ingram"/>
    <s v="Franciskiewicz"/>
    <x v="1"/>
    <n v="26"/>
    <s v="Some Travel"/>
    <x v="2"/>
    <n v="5"/>
    <s v="CA"/>
    <s v="White"/>
    <n v="3"/>
    <s v="Other"/>
    <x v="4"/>
    <s v="Divorced"/>
    <n v="49045"/>
    <n v="1"/>
    <x v="0"/>
    <d v="2016-01-13T00:00:00"/>
    <s v="Yes"/>
    <n v="1"/>
    <n v="0"/>
    <n v="0"/>
    <n v="0"/>
    <s v="Bachelors "/>
    <s v="Bachelors "/>
    <s v="Bachelors "/>
    <n v="1"/>
    <s v="20-29"/>
  </r>
  <r>
    <s v="8A5B-3D6E"/>
    <s v="Konstanze"/>
    <s v="Scrammage"/>
    <x v="0"/>
    <n v="24"/>
    <s v="Some Travel"/>
    <x v="0"/>
    <n v="25"/>
    <s v="NY"/>
    <s v="Mixed or multiple ethnic groups"/>
    <n v="1"/>
    <s v="Marketing"/>
    <x v="0"/>
    <s v="Divorced"/>
    <n v="105383"/>
    <n v="2"/>
    <x v="1"/>
    <d v="2016-01-14T00:00:00"/>
    <s v="No"/>
    <n v="6"/>
    <n v="6"/>
    <n v="6"/>
    <n v="5"/>
    <s v="No Formal Qualifications"/>
    <s v="No Formal Qualifications"/>
    <s v="No Formal Qualifications"/>
    <n v="0"/>
    <s v="20-29"/>
  </r>
  <r>
    <s v="46D6-CA7A"/>
    <s v="Vanya"/>
    <s v="Gittoes"/>
    <x v="1"/>
    <n v="27"/>
    <s v="Frequent Traveller"/>
    <x v="2"/>
    <n v="16"/>
    <s v="CA"/>
    <s v="Mixed or multiple ethnic groups"/>
    <n v="4"/>
    <s v="Information Systems"/>
    <x v="8"/>
    <s v="Single"/>
    <n v="75275"/>
    <n v="0"/>
    <x v="0"/>
    <d v="2016-01-19T00:00:00"/>
    <s v="No"/>
    <n v="6"/>
    <n v="4"/>
    <n v="5"/>
    <n v="5"/>
    <s v="Masters "/>
    <s v="Masters "/>
    <s v="Masters "/>
    <n v="0"/>
    <s v="20-29"/>
  </r>
  <r>
    <s v="5060-A677"/>
    <s v="Zebulen"/>
    <s v="Rubrow"/>
    <x v="1"/>
    <n v="26"/>
    <s v="Frequent Traveller"/>
    <x v="2"/>
    <n v="45"/>
    <s v="CA"/>
    <s v="Mixed or multiple ethnic groups"/>
    <n v="3"/>
    <s v="Information Systems"/>
    <x v="5"/>
    <s v="Divorced"/>
    <n v="108865"/>
    <n v="2"/>
    <x v="0"/>
    <d v="2016-01-21T00:00:00"/>
    <s v="Yes"/>
    <n v="1"/>
    <n v="0"/>
    <n v="0"/>
    <n v="1"/>
    <s v="Bachelors "/>
    <s v="Bachelors "/>
    <s v="Bachelors "/>
    <n v="1"/>
    <s v="20-29"/>
  </r>
  <r>
    <s v="A11D-324A"/>
    <s v="Yorgo"/>
    <s v="Ferrolli"/>
    <x v="1"/>
    <n v="27"/>
    <s v="Some Travel"/>
    <x v="0"/>
    <n v="44"/>
    <s v="CA"/>
    <s v="Black or African American"/>
    <n v="4"/>
    <s v="Marketing"/>
    <x v="6"/>
    <s v="Married"/>
    <n v="152147"/>
    <n v="1"/>
    <x v="0"/>
    <d v="2016-01-22T00:00:00"/>
    <s v="No"/>
    <n v="6"/>
    <n v="6"/>
    <n v="6"/>
    <n v="6"/>
    <s v="Masters "/>
    <s v="Masters "/>
    <s v="Masters "/>
    <n v="0"/>
    <s v="20-29"/>
  </r>
  <r>
    <s v="13E5-2F17"/>
    <s v="Vin"/>
    <s v="Wandless"/>
    <x v="1"/>
    <n v="24"/>
    <s v="Frequent Traveller"/>
    <x v="2"/>
    <n v="15"/>
    <s v="NY"/>
    <s v="White"/>
    <n v="3"/>
    <s v="Computer Science"/>
    <x v="8"/>
    <s v="Divorced"/>
    <n v="139627"/>
    <n v="3"/>
    <x v="0"/>
    <d v="2016-01-27T00:00:00"/>
    <s v="Yes"/>
    <n v="5"/>
    <n v="0"/>
    <n v="4"/>
    <n v="1"/>
    <s v="Bachelors "/>
    <s v="Bachelors "/>
    <s v="Bachelors "/>
    <n v="1"/>
    <s v="20-29"/>
  </r>
  <r>
    <s v="3F0C-41A7"/>
    <s v="Mendie"/>
    <s v="Readie"/>
    <x v="1"/>
    <n v="24"/>
    <s v="Some Travel"/>
    <x v="0"/>
    <n v="27"/>
    <s v="CA"/>
    <s v="Mixed or multiple ethnic groups"/>
    <n v="4"/>
    <s v="Marketing "/>
    <x v="0"/>
    <s v="Single"/>
    <n v="79828"/>
    <n v="0"/>
    <x v="0"/>
    <d v="2016-01-27T00:00:00"/>
    <s v="No"/>
    <n v="6"/>
    <n v="2"/>
    <n v="3"/>
    <n v="0"/>
    <s v="Masters "/>
    <s v="Masters "/>
    <s v="Masters "/>
    <n v="0"/>
    <s v="20-29"/>
  </r>
  <r>
    <s v="07AF-3631"/>
    <s v="Ignazio"/>
    <s v="Bendixen"/>
    <x v="1"/>
    <n v="25"/>
    <s v="No Travel "/>
    <x v="0"/>
    <n v="35"/>
    <s v="NY"/>
    <s v="White"/>
    <n v="4"/>
    <s v="Marketing "/>
    <x v="0"/>
    <s v="Divorced"/>
    <n v="149519"/>
    <n v="1"/>
    <x v="1"/>
    <d v="2016-02-03T00:00:00"/>
    <s v="No"/>
    <n v="6"/>
    <n v="2"/>
    <n v="4"/>
    <n v="3"/>
    <s v="Masters "/>
    <s v="Masters "/>
    <s v="Masters "/>
    <n v="0"/>
    <s v="20-29"/>
  </r>
  <r>
    <s v="259B-6C50"/>
    <s v="Raddie"/>
    <s v="Ballance"/>
    <x v="1"/>
    <n v="27"/>
    <s v="Some Travel"/>
    <x v="0"/>
    <n v="27"/>
    <s v="CA"/>
    <s v="Other "/>
    <n v="5"/>
    <s v="Marketing"/>
    <x v="0"/>
    <s v="Divorced"/>
    <n v="45880"/>
    <n v="1"/>
    <x v="1"/>
    <d v="2016-02-03T00:00:00"/>
    <s v="No"/>
    <n v="6"/>
    <n v="1"/>
    <n v="4"/>
    <n v="0"/>
    <s v="Doctorate"/>
    <s v="Doctorate"/>
    <s v="Doctorate"/>
    <n v="0"/>
    <s v="20-29"/>
  </r>
  <r>
    <s v="63B8-CCC0"/>
    <s v="Rafaela"/>
    <s v="Hadigate"/>
    <x v="0"/>
    <n v="25"/>
    <s v="Some Travel"/>
    <x v="2"/>
    <n v="34"/>
    <s v="CA"/>
    <s v="White"/>
    <n v="3"/>
    <s v="Information Systems"/>
    <x v="4"/>
    <s v="Single"/>
    <n v="37053"/>
    <n v="0"/>
    <x v="0"/>
    <d v="2016-02-05T00:00:00"/>
    <s v="No"/>
    <n v="6"/>
    <n v="5"/>
    <n v="5"/>
    <n v="0"/>
    <s v="Bachelors "/>
    <s v="Bachelors "/>
    <s v="Bachelors "/>
    <n v="0"/>
    <s v="20-29"/>
  </r>
  <r>
    <s v="F20A-F424"/>
    <s v="Basia"/>
    <s v="Goodswen"/>
    <x v="0"/>
    <n v="27"/>
    <s v="Frequent Traveller"/>
    <x v="2"/>
    <n v="4"/>
    <s v="NY"/>
    <s v="White"/>
    <n v="3"/>
    <s v="Other"/>
    <x v="4"/>
    <s v="Married"/>
    <n v="27550"/>
    <n v="1"/>
    <x v="0"/>
    <d v="2016-02-09T00:00:00"/>
    <s v="No"/>
    <n v="6"/>
    <n v="6"/>
    <n v="6"/>
    <n v="5"/>
    <s v="Bachelors "/>
    <s v="Bachelors "/>
    <s v="Bachelors "/>
    <n v="0"/>
    <s v="20-29"/>
  </r>
  <r>
    <s v="C1E8-5AAB"/>
    <s v="Pierce"/>
    <s v="Abadam"/>
    <x v="1"/>
    <n v="25"/>
    <s v="Some Travel"/>
    <x v="0"/>
    <n v="5"/>
    <s v="NY"/>
    <s v="Black or African American"/>
    <n v="2"/>
    <s v="Marketing"/>
    <x v="0"/>
    <s v="Divorced"/>
    <n v="69539"/>
    <n v="2"/>
    <x v="0"/>
    <d v="2016-02-13T00:00:00"/>
    <s v="No"/>
    <n v="6"/>
    <n v="0"/>
    <n v="4"/>
    <n v="4"/>
    <s v="High School "/>
    <s v="High School "/>
    <s v="High School "/>
    <n v="0"/>
    <s v="20-29"/>
  </r>
  <r>
    <s v="23FC-93A5"/>
    <s v="Marinna"/>
    <s v="Snalham"/>
    <x v="0"/>
    <n v="26"/>
    <s v="Some Travel"/>
    <x v="2"/>
    <n v="2"/>
    <s v="CA"/>
    <s v="White"/>
    <n v="4"/>
    <s v="Information Systems"/>
    <x v="7"/>
    <s v="Single"/>
    <n v="55565"/>
    <n v="0"/>
    <x v="0"/>
    <d v="2016-02-22T00:00:00"/>
    <s v="No"/>
    <n v="6"/>
    <n v="6"/>
    <n v="6"/>
    <n v="4"/>
    <s v="Masters "/>
    <s v="Masters "/>
    <s v="Masters "/>
    <n v="0"/>
    <s v="20-29"/>
  </r>
  <r>
    <s v="AE33-DDE7"/>
    <s v="Pablo"/>
    <s v="Kerin"/>
    <x v="1"/>
    <n v="25"/>
    <s v="Some Travel"/>
    <x v="2"/>
    <n v="26"/>
    <s v="CA"/>
    <s v="White"/>
    <n v="3"/>
    <s v="Information Systems"/>
    <x v="8"/>
    <s v="Single"/>
    <n v="85412"/>
    <n v="0"/>
    <x v="0"/>
    <d v="2016-02-23T00:00:00"/>
    <s v="No"/>
    <n v="6"/>
    <n v="0"/>
    <n v="5"/>
    <n v="6"/>
    <s v="Bachelors "/>
    <s v="Bachelors "/>
    <s v="Bachelors "/>
    <n v="0"/>
    <s v="20-29"/>
  </r>
  <r>
    <s v="DC67-3B66"/>
    <s v="Tammie"/>
    <s v="Kingh"/>
    <x v="1"/>
    <n v="25"/>
    <s v="Some Travel"/>
    <x v="2"/>
    <n v="33"/>
    <s v="NY"/>
    <s v="Mixed or multiple ethnic groups"/>
    <n v="3"/>
    <s v="Information Systems"/>
    <x v="7"/>
    <s v="Married"/>
    <n v="24417"/>
    <n v="1"/>
    <x v="0"/>
    <d v="2016-02-26T00:00:00"/>
    <s v="No"/>
    <n v="6"/>
    <n v="2"/>
    <n v="6"/>
    <n v="6"/>
    <s v="Bachelors "/>
    <s v="Bachelors "/>
    <s v="Bachelors "/>
    <n v="0"/>
    <s v="20-29"/>
  </r>
  <r>
    <s v="F1BD-033D"/>
    <s v="Robb"/>
    <s v="McGeechan"/>
    <x v="1"/>
    <n v="25"/>
    <s v="Some Travel"/>
    <x v="2"/>
    <n v="21"/>
    <s v="CA"/>
    <s v="Mixed or multiple ethnic groups"/>
    <n v="5"/>
    <s v="Information Systems"/>
    <x v="7"/>
    <s v="Married"/>
    <n v="46362"/>
    <n v="1"/>
    <x v="1"/>
    <d v="2016-03-15T00:00:00"/>
    <s v="No"/>
    <n v="6"/>
    <n v="0"/>
    <n v="4"/>
    <n v="5"/>
    <s v="Doctorate"/>
    <s v="Doctorate"/>
    <s v="Doctorate"/>
    <n v="0"/>
    <s v="20-29"/>
  </r>
  <r>
    <s v="7961-A93B"/>
    <s v="Jerome"/>
    <s v="Maden"/>
    <x v="1"/>
    <n v="29"/>
    <s v="Some Travel"/>
    <x v="2"/>
    <n v="3"/>
    <s v="CA"/>
    <s v="White"/>
    <n v="3"/>
    <s v="Computer Science"/>
    <x v="10"/>
    <s v="Single"/>
    <n v="393103"/>
    <n v="0"/>
    <x v="1"/>
    <d v="2016-03-30T00:00:00"/>
    <s v="No"/>
    <n v="6"/>
    <n v="4"/>
    <n v="4"/>
    <n v="5"/>
    <s v="Bachelors "/>
    <s v="Bachelors "/>
    <s v="Bachelors "/>
    <n v="0"/>
    <s v="20-29"/>
  </r>
  <r>
    <s v="F5CC-33FA"/>
    <s v="Ilario"/>
    <s v="Stearne"/>
    <x v="1"/>
    <n v="25"/>
    <s v="Some Travel"/>
    <x v="0"/>
    <n v="30"/>
    <s v="CA"/>
    <s v="White"/>
    <n v="4"/>
    <s v="Marketing"/>
    <x v="0"/>
    <s v="Married"/>
    <n v="106738"/>
    <n v="1"/>
    <x v="0"/>
    <d v="2016-04-02T00:00:00"/>
    <s v="No"/>
    <n v="6"/>
    <n v="4"/>
    <n v="5"/>
    <n v="2"/>
    <s v="Masters "/>
    <s v="Masters "/>
    <s v="Masters "/>
    <n v="0"/>
    <s v="20-29"/>
  </r>
  <r>
    <s v="1E61-B76A"/>
    <s v="Wilie"/>
    <s v="Northfield"/>
    <x v="0"/>
    <n v="24"/>
    <s v="Some Travel"/>
    <x v="2"/>
    <n v="26"/>
    <s v="NY"/>
    <s v="Asian or Asian American"/>
    <n v="2"/>
    <s v="Other"/>
    <x v="4"/>
    <s v="Single"/>
    <n v="39048"/>
    <n v="0"/>
    <x v="0"/>
    <d v="2016-04-05T00:00:00"/>
    <s v="No"/>
    <n v="6"/>
    <n v="1"/>
    <n v="4"/>
    <n v="1"/>
    <s v="High School "/>
    <s v="High School "/>
    <s v="High School "/>
    <n v="0"/>
    <s v="20-29"/>
  </r>
  <r>
    <s v="5395-75A1"/>
    <s v="Ludwig"/>
    <s v="Ferrara"/>
    <x v="1"/>
    <n v="26"/>
    <s v="Some Travel"/>
    <x v="0"/>
    <n v="41"/>
    <s v="NY"/>
    <s v="Asian or Asian American"/>
    <n v="4"/>
    <s v="Marketing "/>
    <x v="0"/>
    <s v="Single"/>
    <n v="61238"/>
    <n v="0"/>
    <x v="0"/>
    <d v="2016-04-11T00:00:00"/>
    <s v="No"/>
    <n v="6"/>
    <n v="4"/>
    <n v="6"/>
    <n v="3"/>
    <s v="Masters "/>
    <s v="Masters "/>
    <s v="Masters "/>
    <n v="0"/>
    <s v="20-29"/>
  </r>
  <r>
    <s v="D18F-8C48"/>
    <s v="Feliza"/>
    <s v="Jeschner"/>
    <x v="0"/>
    <n v="27"/>
    <s v="No Travel "/>
    <x v="2"/>
    <n v="8"/>
    <s v="IL"/>
    <s v="Asian or Asian American"/>
    <n v="1"/>
    <s v="Information Systems"/>
    <x v="2"/>
    <s v="Divorced"/>
    <n v="152322"/>
    <n v="1"/>
    <x v="0"/>
    <d v="2016-04-17T00:00:00"/>
    <s v="No"/>
    <n v="6"/>
    <n v="0"/>
    <n v="5"/>
    <n v="4"/>
    <s v="No Formal Qualifications"/>
    <s v="No Formal Qualifications"/>
    <s v="No Formal Qualifications"/>
    <n v="0"/>
    <s v="20-29"/>
  </r>
  <r>
    <s v="C7C8-43D9"/>
    <s v="Rebecka"/>
    <s v="Leat"/>
    <x v="0"/>
    <n v="27"/>
    <s v="Some Travel"/>
    <x v="2"/>
    <n v="25"/>
    <s v="NY"/>
    <s v="Asian or Asian American"/>
    <n v="4"/>
    <s v="Information Systems"/>
    <x v="4"/>
    <s v="Divorced"/>
    <n v="24571"/>
    <n v="3"/>
    <x v="0"/>
    <d v="2016-04-17T00:00:00"/>
    <s v="No"/>
    <n v="6"/>
    <n v="5"/>
    <n v="5"/>
    <n v="6"/>
    <s v="Masters "/>
    <s v="Masters "/>
    <s v="Masters "/>
    <n v="0"/>
    <s v="20-29"/>
  </r>
  <r>
    <s v="DA4C-7F2E"/>
    <s v="Carmita"/>
    <s v="Kenion"/>
    <x v="0"/>
    <n v="26"/>
    <s v="Some Travel"/>
    <x v="2"/>
    <n v="18"/>
    <s v="NY"/>
    <s v="White"/>
    <n v="3"/>
    <s v="Computer Science"/>
    <x v="10"/>
    <s v="Married"/>
    <n v="178836"/>
    <n v="0"/>
    <x v="0"/>
    <d v="2016-04-18T00:00:00"/>
    <s v="No"/>
    <n v="6"/>
    <n v="4"/>
    <n v="5"/>
    <n v="6"/>
    <s v="Bachelors "/>
    <s v="Bachelors "/>
    <s v="Bachelors "/>
    <n v="0"/>
    <s v="20-29"/>
  </r>
  <r>
    <s v="FC47-1953"/>
    <s v="Barby"/>
    <s v="Plaid"/>
    <x v="0"/>
    <n v="25"/>
    <s v="Frequent Traveller"/>
    <x v="2"/>
    <n v="15"/>
    <s v="CA"/>
    <s v="Black or African American"/>
    <n v="4"/>
    <s v="Other"/>
    <x v="4"/>
    <s v="Married"/>
    <n v="31931"/>
    <n v="1"/>
    <x v="0"/>
    <d v="2016-04-21T00:00:00"/>
    <s v="No"/>
    <n v="6"/>
    <n v="1"/>
    <n v="1"/>
    <n v="3"/>
    <s v="Masters "/>
    <s v="Masters "/>
    <s v="Masters "/>
    <n v="0"/>
    <s v="20-29"/>
  </r>
  <r>
    <s v="61CC-2C1D"/>
    <s v="Jayme"/>
    <s v="Desseine"/>
    <x v="1"/>
    <n v="25"/>
    <s v="Some Travel"/>
    <x v="2"/>
    <n v="2"/>
    <s v="CA"/>
    <s v="White"/>
    <n v="3"/>
    <s v="Computer Science"/>
    <x v="2"/>
    <s v="Married"/>
    <n v="217544"/>
    <n v="0"/>
    <x v="0"/>
    <d v="2016-04-25T00:00:00"/>
    <s v="No"/>
    <n v="6"/>
    <n v="5"/>
    <n v="6"/>
    <n v="6"/>
    <s v="Bachelors "/>
    <s v="Bachelors "/>
    <s v="Bachelors "/>
    <n v="0"/>
    <s v="20-29"/>
  </r>
  <r>
    <s v="CDFB-6A08"/>
    <s v="Huey"/>
    <s v="Paoletti"/>
    <x v="1"/>
    <n v="26"/>
    <s v="Some Travel"/>
    <x v="2"/>
    <n v="8"/>
    <s v="NY"/>
    <s v="Black or African American"/>
    <n v="4"/>
    <s v="Other"/>
    <x v="7"/>
    <s v="Single"/>
    <n v="22918"/>
    <n v="0"/>
    <x v="1"/>
    <d v="2016-05-01T00:00:00"/>
    <s v="Yes"/>
    <n v="0"/>
    <n v="0"/>
    <n v="0"/>
    <n v="0"/>
    <s v="Masters "/>
    <s v="Masters "/>
    <s v="Masters "/>
    <n v="1"/>
    <s v="20-29"/>
  </r>
  <r>
    <s v="B967-D6D3"/>
    <s v="Kimmy"/>
    <s v="O'Logan"/>
    <x v="0"/>
    <n v="26"/>
    <s v="No Travel "/>
    <x v="2"/>
    <n v="21"/>
    <s v="CA"/>
    <s v="White"/>
    <n v="3"/>
    <s v="Computer Science"/>
    <x v="4"/>
    <s v="Married"/>
    <n v="26919"/>
    <n v="1"/>
    <x v="0"/>
    <d v="2016-05-04T00:00:00"/>
    <s v="No"/>
    <n v="6"/>
    <n v="0"/>
    <n v="5"/>
    <n v="3"/>
    <s v="Bachelors "/>
    <s v="Bachelors "/>
    <s v="Bachelors "/>
    <n v="0"/>
    <s v="20-29"/>
  </r>
  <r>
    <s v="757F-78FE"/>
    <s v="Timotheus"/>
    <s v="Esland"/>
    <x v="1"/>
    <n v="25"/>
    <s v="No Travel "/>
    <x v="2"/>
    <n v="32"/>
    <s v="NY"/>
    <s v="Mixed or multiple ethnic groups"/>
    <n v="4"/>
    <s v="Information Systems"/>
    <x v="5"/>
    <s v="Married"/>
    <n v="52614"/>
    <n v="1"/>
    <x v="0"/>
    <d v="2016-05-08T00:00:00"/>
    <s v="No"/>
    <n v="6"/>
    <n v="4"/>
    <n v="5"/>
    <n v="1"/>
    <s v="Masters "/>
    <s v="Masters "/>
    <s v="Masters "/>
    <n v="0"/>
    <s v="20-29"/>
  </r>
  <r>
    <s v="B8A5-07A1"/>
    <s v="Ainsley"/>
    <s v="Norheny"/>
    <x v="0"/>
    <n v="24"/>
    <s v="Some Travel"/>
    <x v="2"/>
    <n v="27"/>
    <s v="IL"/>
    <s v="White"/>
    <n v="4"/>
    <s v="Other"/>
    <x v="4"/>
    <s v="Married"/>
    <n v="33554"/>
    <n v="0"/>
    <x v="0"/>
    <d v="2016-05-21T00:00:00"/>
    <s v="No"/>
    <n v="6"/>
    <n v="1"/>
    <n v="2"/>
    <n v="6"/>
    <s v="Masters "/>
    <s v="Masters "/>
    <s v="Masters "/>
    <n v="0"/>
    <s v="20-29"/>
  </r>
  <r>
    <s v="2FAE-9278"/>
    <s v="Ettore"/>
    <s v="Gorusso"/>
    <x v="1"/>
    <n v="24"/>
    <s v="Some Travel"/>
    <x v="2"/>
    <n v="23"/>
    <s v="NY"/>
    <s v="White"/>
    <n v="5"/>
    <s v="Computer Science"/>
    <x v="8"/>
    <s v="Single"/>
    <n v="92798"/>
    <n v="0"/>
    <x v="1"/>
    <d v="2016-05-23T00:00:00"/>
    <s v="No"/>
    <n v="6"/>
    <n v="4"/>
    <n v="4"/>
    <n v="1"/>
    <s v="Doctorate"/>
    <s v="Doctorate"/>
    <s v="Doctorate"/>
    <n v="0"/>
    <s v="20-29"/>
  </r>
  <r>
    <s v="0E79-8257"/>
    <s v="Noby"/>
    <s v="Lifton"/>
    <x v="1"/>
    <n v="25"/>
    <s v="Frequent Traveller"/>
    <x v="2"/>
    <n v="35"/>
    <s v="NY"/>
    <s v="White"/>
    <n v="2"/>
    <s v="Information Systems"/>
    <x v="4"/>
    <s v="Single"/>
    <n v="28139"/>
    <n v="0"/>
    <x v="0"/>
    <d v="2016-05-23T00:00:00"/>
    <s v="No"/>
    <n v="6"/>
    <n v="1"/>
    <n v="1"/>
    <n v="5"/>
    <s v="High School "/>
    <s v="High School "/>
    <s v="High School "/>
    <n v="0"/>
    <s v="20-29"/>
  </r>
  <r>
    <s v="9075-A294"/>
    <s v="Colby"/>
    <s v="Yakebowitch"/>
    <x v="1"/>
    <n v="27"/>
    <s v="No Travel "/>
    <x v="0"/>
    <n v="17"/>
    <s v="IL"/>
    <s v="Asian or Asian American"/>
    <n v="4"/>
    <s v="Marketing"/>
    <x v="0"/>
    <s v="Married"/>
    <n v="71832"/>
    <n v="1"/>
    <x v="0"/>
    <d v="2016-05-23T00:00:00"/>
    <s v="No"/>
    <n v="6"/>
    <n v="6"/>
    <n v="6"/>
    <n v="1"/>
    <s v="Masters "/>
    <s v="Masters "/>
    <s v="Masters "/>
    <n v="0"/>
    <s v="20-29"/>
  </r>
  <r>
    <s v="5D73-961A"/>
    <s v="Padraig"/>
    <s v="Pabel"/>
    <x v="1"/>
    <n v="27"/>
    <s v="Some Travel"/>
    <x v="2"/>
    <n v="1"/>
    <s v="CA"/>
    <s v="Other "/>
    <n v="2"/>
    <s v="Computer Science"/>
    <x v="8"/>
    <s v="Divorced"/>
    <n v="90487"/>
    <n v="1"/>
    <x v="0"/>
    <d v="2016-05-25T00:00:00"/>
    <s v="No"/>
    <n v="6"/>
    <n v="4"/>
    <n v="4"/>
    <n v="4"/>
    <s v="High School "/>
    <s v="High School "/>
    <s v="High School "/>
    <n v="0"/>
    <s v="20-29"/>
  </r>
  <r>
    <s v="A105-470B"/>
    <s v="Sancho"/>
    <s v="Mundle"/>
    <x v="1"/>
    <n v="25"/>
    <s v="Frequent Traveller"/>
    <x v="2"/>
    <n v="28"/>
    <s v="CA"/>
    <s v="Mixed or multiple ethnic groups"/>
    <n v="1"/>
    <s v="Information Systems"/>
    <x v="7"/>
    <s v="Single"/>
    <n v="23993"/>
    <n v="0"/>
    <x v="1"/>
    <d v="2016-05-31T00:00:00"/>
    <s v="No"/>
    <n v="6"/>
    <n v="3"/>
    <n v="4"/>
    <n v="4"/>
    <s v="No Formal Qualifications"/>
    <s v="No Formal Qualifications"/>
    <s v="No Formal Qualifications"/>
    <n v="0"/>
    <s v="20-29"/>
  </r>
  <r>
    <s v="3C31-30CB"/>
    <s v="Roxy"/>
    <s v="Firpi"/>
    <x v="0"/>
    <n v="24"/>
    <s v="Some Travel"/>
    <x v="2"/>
    <n v="3"/>
    <s v="CA"/>
    <s v="White"/>
    <n v="3"/>
    <s v="Business Studies"/>
    <x v="7"/>
    <s v="Married"/>
    <n v="41664"/>
    <n v="1"/>
    <x v="0"/>
    <d v="2016-06-08T00:00:00"/>
    <s v="No"/>
    <n v="6"/>
    <n v="3"/>
    <n v="4"/>
    <n v="2"/>
    <s v="Bachelors "/>
    <s v="Bachelors "/>
    <s v="Bachelors "/>
    <n v="0"/>
    <s v="20-29"/>
  </r>
  <r>
    <s v="6E61-A2BA"/>
    <s v="Adelaide"/>
    <s v="Somner"/>
    <x v="2"/>
    <n v="24"/>
    <s v="Some Travel"/>
    <x v="0"/>
    <n v="41"/>
    <s v="CA"/>
    <s v="Mixed or multiple ethnic groups"/>
    <n v="2"/>
    <s v="Marketing "/>
    <x v="0"/>
    <s v="Divorced"/>
    <n v="111750"/>
    <n v="1"/>
    <x v="0"/>
    <d v="2016-06-10T00:00:00"/>
    <s v="No"/>
    <n v="6"/>
    <n v="4"/>
    <n v="6"/>
    <n v="2"/>
    <s v="High School "/>
    <s v="High School "/>
    <s v="High School "/>
    <n v="0"/>
    <s v="20-29"/>
  </r>
  <r>
    <s v="40CC-6231"/>
    <s v="Rodi"/>
    <s v="McGerraghty"/>
    <x v="0"/>
    <n v="25"/>
    <s v="Frequent Traveller"/>
    <x v="2"/>
    <n v="17"/>
    <s v="CA"/>
    <s v="Native Hawaiian "/>
    <n v="3"/>
    <s v="Computer Science"/>
    <x v="7"/>
    <s v="Married"/>
    <n v="54566"/>
    <n v="1"/>
    <x v="0"/>
    <d v="2016-06-15T00:00:00"/>
    <s v="No"/>
    <n v="6"/>
    <n v="3"/>
    <n v="6"/>
    <n v="5"/>
    <s v="Bachelors "/>
    <s v="Bachelors "/>
    <s v="Bachelors "/>
    <n v="0"/>
    <s v="20-29"/>
  </r>
  <r>
    <s v="ABDA-F749"/>
    <s v="Emmit"/>
    <s v="Le Provost"/>
    <x v="1"/>
    <n v="27"/>
    <s v="Some Travel"/>
    <x v="2"/>
    <n v="42"/>
    <s v="NY"/>
    <s v="American Indian or Alaska Native"/>
    <n v="3"/>
    <s v="Other"/>
    <x v="5"/>
    <s v="Married"/>
    <n v="49343"/>
    <n v="1"/>
    <x v="0"/>
    <d v="2016-06-16T00:00:00"/>
    <s v="No"/>
    <n v="6"/>
    <n v="3"/>
    <n v="3"/>
    <n v="0"/>
    <s v="Bachelors "/>
    <s v="Bachelors "/>
    <s v="Bachelors "/>
    <n v="0"/>
    <s v="20-29"/>
  </r>
  <r>
    <s v="411F-6325"/>
    <s v="Fabio"/>
    <s v="Metham"/>
    <x v="1"/>
    <n v="27"/>
    <s v="Frequent Traveller"/>
    <x v="2"/>
    <n v="45"/>
    <s v="CA"/>
    <s v="White"/>
    <n v="2"/>
    <s v="Information Systems"/>
    <x v="4"/>
    <s v="Single"/>
    <n v="34579"/>
    <n v="0"/>
    <x v="0"/>
    <d v="2016-06-17T00:00:00"/>
    <s v="No"/>
    <n v="6"/>
    <n v="4"/>
    <n v="4"/>
    <n v="4"/>
    <s v="High School "/>
    <s v="High School "/>
    <s v="High School "/>
    <n v="0"/>
    <s v="20-29"/>
  </r>
  <r>
    <s v="32AE-C02F"/>
    <s v="Hilly"/>
    <s v="Giocannoni"/>
    <x v="1"/>
    <n v="24"/>
    <s v="No Travel "/>
    <x v="0"/>
    <n v="8"/>
    <s v="CA"/>
    <s v="White"/>
    <n v="3"/>
    <s v="Marketing"/>
    <x v="0"/>
    <s v="Single"/>
    <n v="82405"/>
    <n v="0"/>
    <x v="1"/>
    <d v="2016-06-19T00:00:00"/>
    <s v="Yes"/>
    <n v="5"/>
    <n v="1"/>
    <n v="4"/>
    <n v="1"/>
    <s v="Bachelors "/>
    <s v="Bachelors "/>
    <s v="Bachelors "/>
    <n v="1"/>
    <s v="20-29"/>
  </r>
  <r>
    <s v="1C6F-87AA"/>
    <s v="Jolene"/>
    <s v="Stenet"/>
    <x v="2"/>
    <n v="26"/>
    <s v="Some Travel"/>
    <x v="0"/>
    <n v="5"/>
    <s v="NY"/>
    <s v="White"/>
    <n v="3"/>
    <s v="Marketing"/>
    <x v="0"/>
    <s v="Married"/>
    <n v="107966"/>
    <n v="2"/>
    <x v="0"/>
    <d v="2016-06-23T00:00:00"/>
    <s v="No"/>
    <n v="6"/>
    <n v="6"/>
    <n v="6"/>
    <n v="6"/>
    <s v="Bachelors "/>
    <s v="Bachelors "/>
    <s v="Bachelors "/>
    <n v="0"/>
    <s v="20-29"/>
  </r>
  <r>
    <s v="DAE0-B44F"/>
    <s v="Karlotta"/>
    <s v="Hackwell"/>
    <x v="0"/>
    <n v="24"/>
    <s v="Some Travel"/>
    <x v="0"/>
    <n v="4"/>
    <s v="CA"/>
    <s v="Mixed or multiple ethnic groups"/>
    <n v="3"/>
    <s v="Economics"/>
    <x v="0"/>
    <s v="Married"/>
    <n v="133274"/>
    <n v="1"/>
    <x v="0"/>
    <d v="2016-06-23T00:00:00"/>
    <s v="No"/>
    <n v="6"/>
    <n v="2"/>
    <n v="3"/>
    <n v="1"/>
    <s v="Bachelors "/>
    <s v="Bachelors "/>
    <s v="Bachelors "/>
    <n v="0"/>
    <s v="20-29"/>
  </r>
  <r>
    <s v="4294-03D1"/>
    <s v="Lettie"/>
    <s v="D'Emanuele"/>
    <x v="0"/>
    <n v="43"/>
    <s v="Some Travel"/>
    <x v="0"/>
    <n v="12"/>
    <s v="CA"/>
    <s v="White"/>
    <n v="4"/>
    <s v="Marketing "/>
    <x v="6"/>
    <s v="Married"/>
    <n v="513262"/>
    <n v="0"/>
    <x v="0"/>
    <d v="2016-06-30T00:00:00"/>
    <s v="No"/>
    <n v="6"/>
    <n v="1"/>
    <n v="3"/>
    <n v="1"/>
    <s v="Masters "/>
    <s v="Masters "/>
    <s v="Masters "/>
    <n v="0"/>
    <s v="40-49"/>
  </r>
  <r>
    <s v="D5B3-425C"/>
    <s v="Lenard"/>
    <s v="Bouts"/>
    <x v="1"/>
    <n v="26"/>
    <s v="Some Travel"/>
    <x v="0"/>
    <n v="7"/>
    <s v="CA"/>
    <s v="Black or African American"/>
    <n v="3"/>
    <s v="Marketing "/>
    <x v="9"/>
    <s v="Single"/>
    <n v="36101"/>
    <n v="0"/>
    <x v="0"/>
    <d v="2016-06-30T00:00:00"/>
    <s v="No"/>
    <n v="6"/>
    <n v="6"/>
    <n v="6"/>
    <n v="6"/>
    <s v="Bachelors "/>
    <s v="Bachelors "/>
    <s v="Bachelors "/>
    <n v="0"/>
    <s v="20-29"/>
  </r>
  <r>
    <s v="3A20-7C3E"/>
    <s v="Jerrie"/>
    <s v="Carlos"/>
    <x v="1"/>
    <n v="25"/>
    <s v="Some Travel"/>
    <x v="2"/>
    <n v="44"/>
    <s v="CA"/>
    <s v="White"/>
    <n v="4"/>
    <s v="Other"/>
    <x v="7"/>
    <s v="Divorced"/>
    <n v="52210"/>
    <n v="3"/>
    <x v="0"/>
    <d v="2016-07-01T00:00:00"/>
    <s v="No"/>
    <n v="6"/>
    <n v="0"/>
    <n v="1"/>
    <n v="0"/>
    <s v="Masters "/>
    <s v="Masters "/>
    <s v="Masters "/>
    <n v="0"/>
    <s v="20-29"/>
  </r>
  <r>
    <s v="6B20-FFDF"/>
    <s v="Cloris"/>
    <s v="Orgee"/>
    <x v="0"/>
    <n v="24"/>
    <s v="No Travel "/>
    <x v="0"/>
    <n v="39"/>
    <s v="CA"/>
    <s v="Mixed or multiple ethnic groups"/>
    <n v="2"/>
    <s v="Marketing"/>
    <x v="0"/>
    <s v="Married"/>
    <n v="151986"/>
    <n v="1"/>
    <x v="1"/>
    <d v="2016-07-09T00:00:00"/>
    <s v="No"/>
    <n v="6"/>
    <n v="5"/>
    <n v="6"/>
    <n v="3"/>
    <s v="High School "/>
    <s v="High School "/>
    <s v="High School "/>
    <n v="0"/>
    <s v="20-29"/>
  </r>
  <r>
    <s v="C389-FC34"/>
    <s v="Lin"/>
    <s v="Lauga"/>
    <x v="0"/>
    <n v="27"/>
    <s v="Some Travel"/>
    <x v="2"/>
    <n v="45"/>
    <s v="IL"/>
    <s v="Mixed or multiple ethnic groups"/>
    <n v="3"/>
    <s v="Business Studies"/>
    <x v="7"/>
    <s v="Married"/>
    <n v="28828"/>
    <n v="1"/>
    <x v="0"/>
    <d v="2016-07-09T00:00:00"/>
    <s v="No"/>
    <n v="6"/>
    <n v="1"/>
    <n v="6"/>
    <n v="4"/>
    <s v="Bachelors "/>
    <s v="Bachelors "/>
    <s v="Bachelors "/>
    <n v="0"/>
    <s v="20-29"/>
  </r>
  <r>
    <s v="89A6-7EF1"/>
    <s v="Johan"/>
    <s v="Rudinger"/>
    <x v="1"/>
    <n v="26"/>
    <s v="Some Travel"/>
    <x v="1"/>
    <n v="11"/>
    <s v="NY"/>
    <s v="Asian or Asian American"/>
    <n v="3"/>
    <s v="Other"/>
    <x v="11"/>
    <s v="Single"/>
    <n v="70395"/>
    <n v="0"/>
    <x v="0"/>
    <d v="2016-07-11T00:00:00"/>
    <s v="No"/>
    <n v="6"/>
    <n v="5"/>
    <n v="6"/>
    <n v="2"/>
    <s v="Bachelors "/>
    <s v="Bachelors "/>
    <s v="Bachelors "/>
    <n v="0"/>
    <s v="20-29"/>
  </r>
  <r>
    <s v="09D2-46BD"/>
    <s v="Karyl"/>
    <s v="Ponten"/>
    <x v="0"/>
    <n v="26"/>
    <s v="Some Travel"/>
    <x v="0"/>
    <n v="42"/>
    <s v="CA"/>
    <s v="White"/>
    <n v="3"/>
    <s v="Marketing"/>
    <x v="0"/>
    <s v="Married"/>
    <n v="92364"/>
    <n v="1"/>
    <x v="1"/>
    <d v="2016-07-12T00:00:00"/>
    <s v="No"/>
    <n v="6"/>
    <n v="4"/>
    <n v="5"/>
    <n v="6"/>
    <s v="Bachelors "/>
    <s v="Bachelors "/>
    <s v="Bachelors "/>
    <n v="0"/>
    <s v="20-29"/>
  </r>
  <r>
    <s v="6413-42F1"/>
    <s v="Gui"/>
    <s v="Olivello"/>
    <x v="0"/>
    <n v="27"/>
    <s v="Some Travel"/>
    <x v="1"/>
    <n v="24"/>
    <s v="CA"/>
    <s v="Mixed or multiple ethnic groups"/>
    <n v="2"/>
    <s v="Other"/>
    <x v="11"/>
    <s v="Divorced"/>
    <n v="55206"/>
    <n v="0"/>
    <x v="0"/>
    <d v="2016-07-13T00:00:00"/>
    <s v="No"/>
    <n v="6"/>
    <n v="1"/>
    <n v="3"/>
    <n v="4"/>
    <s v="High School "/>
    <s v="High School "/>
    <s v="High School "/>
    <n v="0"/>
    <s v="20-29"/>
  </r>
  <r>
    <s v="C520-6F2B"/>
    <s v="Jena"/>
    <s v="Danzig"/>
    <x v="0"/>
    <n v="25"/>
    <s v="Some Travel"/>
    <x v="2"/>
    <n v="34"/>
    <s v="CA"/>
    <s v="White"/>
    <n v="3"/>
    <s v="Information Systems"/>
    <x v="4"/>
    <s v="Single"/>
    <n v="45286"/>
    <n v="0"/>
    <x v="1"/>
    <d v="2016-07-14T00:00:00"/>
    <s v="No"/>
    <n v="6"/>
    <n v="1"/>
    <n v="3"/>
    <n v="1"/>
    <s v="Bachelors "/>
    <s v="Bachelors "/>
    <s v="Bachelors "/>
    <n v="0"/>
    <s v="20-29"/>
  </r>
  <r>
    <s v="20CA-404E"/>
    <s v="Kali"/>
    <s v="Jeppe"/>
    <x v="0"/>
    <n v="25"/>
    <s v="Some Travel"/>
    <x v="2"/>
    <n v="13"/>
    <s v="IL"/>
    <s v="White"/>
    <n v="3"/>
    <s v="Information Systems"/>
    <x v="10"/>
    <s v="Married"/>
    <n v="211401"/>
    <n v="0"/>
    <x v="0"/>
    <d v="2016-07-17T00:00:00"/>
    <s v="No"/>
    <n v="6"/>
    <n v="1"/>
    <n v="1"/>
    <n v="3"/>
    <s v="Bachelors "/>
    <s v="Bachelors "/>
    <s v="Bachelors "/>
    <n v="0"/>
    <s v="20-29"/>
  </r>
  <r>
    <s v="C8BC-3B77"/>
    <s v="Anna-diane"/>
    <s v="Allpress"/>
    <x v="0"/>
    <n v="27"/>
    <s v="Frequent Traveller"/>
    <x v="0"/>
    <n v="21"/>
    <s v="NY"/>
    <s v="White"/>
    <n v="3"/>
    <s v="Economics"/>
    <x v="0"/>
    <s v="Married"/>
    <n v="66488"/>
    <n v="1"/>
    <x v="0"/>
    <d v="2016-07-18T00:00:00"/>
    <s v="No"/>
    <n v="6"/>
    <n v="5"/>
    <n v="6"/>
    <n v="3"/>
    <s v="Bachelors "/>
    <s v="Bachelors "/>
    <s v="Bachelors "/>
    <n v="0"/>
    <s v="20-29"/>
  </r>
  <r>
    <s v="0AA2-881A"/>
    <s v="Jeffrey"/>
    <s v="Mildmott"/>
    <x v="1"/>
    <n v="25"/>
    <s v="Some Travel"/>
    <x v="2"/>
    <n v="28"/>
    <s v="NY"/>
    <s v="Other "/>
    <n v="4"/>
    <s v="Information Systems"/>
    <x v="7"/>
    <s v="Married"/>
    <n v="29126"/>
    <n v="2"/>
    <x v="0"/>
    <d v="2016-07-18T00:00:00"/>
    <s v="No"/>
    <n v="6"/>
    <n v="0"/>
    <n v="2"/>
    <n v="3"/>
    <s v="Masters "/>
    <s v="Masters "/>
    <s v="Masters "/>
    <n v="0"/>
    <s v="20-29"/>
  </r>
  <r>
    <s v="1A2D-52EC"/>
    <s v="Mag"/>
    <s v="Groves"/>
    <x v="0"/>
    <n v="25"/>
    <s v="Some Travel"/>
    <x v="2"/>
    <n v="9"/>
    <s v="NY"/>
    <s v="White"/>
    <n v="3"/>
    <s v="Information Systems"/>
    <x v="7"/>
    <s v="Single"/>
    <n v="39636"/>
    <n v="0"/>
    <x v="1"/>
    <d v="2016-07-21T00:00:00"/>
    <s v="No"/>
    <n v="6"/>
    <n v="0"/>
    <n v="5"/>
    <n v="1"/>
    <s v="Bachelors "/>
    <s v="Bachelors "/>
    <s v="Bachelors "/>
    <n v="0"/>
    <s v="20-29"/>
  </r>
  <r>
    <s v="07C3-7429"/>
    <s v="Hendrik"/>
    <s v="Blenkharn"/>
    <x v="1"/>
    <n v="26"/>
    <s v="Some Travel"/>
    <x v="2"/>
    <n v="18"/>
    <s v="CA"/>
    <s v="Asian or Asian American"/>
    <n v="3"/>
    <s v="Information Systems"/>
    <x v="5"/>
    <s v="Divorced"/>
    <n v="54470"/>
    <n v="1"/>
    <x v="0"/>
    <d v="2016-07-21T00:00:00"/>
    <s v="No"/>
    <n v="6"/>
    <n v="0"/>
    <n v="6"/>
    <n v="3"/>
    <s v="Bachelors "/>
    <s v="Bachelors "/>
    <s v="Bachelors "/>
    <n v="0"/>
    <s v="20-29"/>
  </r>
  <r>
    <s v="A1B4-5481"/>
    <s v="Zacharie"/>
    <s v="Manuaud"/>
    <x v="1"/>
    <n v="25"/>
    <s v="Some Travel"/>
    <x v="0"/>
    <n v="37"/>
    <s v="CA"/>
    <s v="Asian or Asian American"/>
    <n v="3"/>
    <s v="Economics"/>
    <x v="0"/>
    <s v="Married"/>
    <n v="79329"/>
    <n v="0"/>
    <x v="0"/>
    <d v="2016-07-22T00:00:00"/>
    <s v="Yes"/>
    <n v="1"/>
    <n v="1"/>
    <n v="1"/>
    <n v="1"/>
    <s v="Bachelors "/>
    <s v="Bachelors "/>
    <s v="Bachelors "/>
    <n v="1"/>
    <s v="20-29"/>
  </r>
  <r>
    <s v="22FF-9076"/>
    <s v="Eleanore"/>
    <s v="Attenbrough"/>
    <x v="0"/>
    <n v="27"/>
    <s v="Some Travel"/>
    <x v="0"/>
    <n v="36"/>
    <s v="CA"/>
    <s v="Asian or Asian American"/>
    <n v="3"/>
    <s v="Technical Degree"/>
    <x v="0"/>
    <s v="Divorced"/>
    <n v="173994"/>
    <n v="1"/>
    <x v="0"/>
    <d v="2016-07-23T00:00:00"/>
    <s v="No"/>
    <n v="6"/>
    <n v="1"/>
    <n v="5"/>
    <n v="6"/>
    <s v="Bachelors "/>
    <s v="Bachelors "/>
    <s v="Bachelors "/>
    <n v="0"/>
    <s v="20-29"/>
  </r>
  <r>
    <s v="EA3A-E005"/>
    <s v="Reinhold"/>
    <s v="Bradane"/>
    <x v="1"/>
    <n v="24"/>
    <s v="Some Travel"/>
    <x v="2"/>
    <n v="30"/>
    <s v="CA"/>
    <s v="White"/>
    <n v="3"/>
    <s v="Business Studies"/>
    <x v="7"/>
    <s v="Single"/>
    <n v="26363"/>
    <n v="0"/>
    <x v="0"/>
    <d v="2016-07-24T00:00:00"/>
    <s v="No"/>
    <n v="6"/>
    <n v="6"/>
    <n v="6"/>
    <n v="2"/>
    <s v="Bachelors "/>
    <s v="Bachelors "/>
    <s v="Bachelors "/>
    <n v="0"/>
    <s v="20-29"/>
  </r>
  <r>
    <s v="5802-2A7E"/>
    <s v="Martyn"/>
    <s v="Watt"/>
    <x v="3"/>
    <n v="27"/>
    <s v="Some Travel"/>
    <x v="2"/>
    <n v="37"/>
    <s v="NY"/>
    <s v="White"/>
    <n v="3"/>
    <s v="Information Systems"/>
    <x v="10"/>
    <s v="Single"/>
    <n v="130012"/>
    <n v="0"/>
    <x v="0"/>
    <d v="2016-07-25T00:00:00"/>
    <s v="No"/>
    <n v="6"/>
    <n v="6"/>
    <n v="6"/>
    <n v="0"/>
    <s v="Bachelors "/>
    <s v="Bachelors "/>
    <s v="Bachelors "/>
    <n v="0"/>
    <s v="20-29"/>
  </r>
  <r>
    <s v="05DA-5423"/>
    <s v="Moira"/>
    <s v="Forsey"/>
    <x v="0"/>
    <n v="26"/>
    <s v="Some Travel"/>
    <x v="2"/>
    <n v="16"/>
    <s v="CA"/>
    <s v="American Indian or Alaska Native"/>
    <n v="2"/>
    <s v="Business Studies"/>
    <x v="7"/>
    <s v="Married"/>
    <n v="34630"/>
    <n v="0"/>
    <x v="0"/>
    <d v="2016-07-30T00:00:00"/>
    <s v="No"/>
    <n v="6"/>
    <n v="2"/>
    <n v="6"/>
    <n v="0"/>
    <s v="High School "/>
    <s v="High School "/>
    <s v="High School "/>
    <n v="0"/>
    <s v="20-29"/>
  </r>
  <r>
    <s v="8A6B-AD5C"/>
    <s v="Ruby"/>
    <s v="O'Scollain"/>
    <x v="0"/>
    <n v="24"/>
    <s v="Some Travel"/>
    <x v="2"/>
    <n v="30"/>
    <s v="CA"/>
    <s v="White"/>
    <n v="3"/>
    <s v="Information Systems"/>
    <x v="4"/>
    <s v="Single"/>
    <n v="61883"/>
    <n v="0"/>
    <x v="0"/>
    <d v="2016-08-02T00:00:00"/>
    <s v="Yes"/>
    <n v="1"/>
    <n v="1"/>
    <n v="1"/>
    <n v="0"/>
    <s v="Bachelors "/>
    <s v="Bachelors "/>
    <s v="Bachelors "/>
    <n v="1"/>
    <s v="20-29"/>
  </r>
  <r>
    <s v="DBF0-2EA3"/>
    <s v="Kaitlyn"/>
    <s v="Ernshaw"/>
    <x v="0"/>
    <n v="27"/>
    <s v="Frequent Traveller"/>
    <x v="2"/>
    <n v="1"/>
    <s v="CA"/>
    <s v="White"/>
    <n v="4"/>
    <s v="Computer Science"/>
    <x v="8"/>
    <s v="Married"/>
    <n v="56302"/>
    <n v="2"/>
    <x v="1"/>
    <d v="2016-08-04T00:00:00"/>
    <s v="No"/>
    <n v="6"/>
    <n v="3"/>
    <n v="5"/>
    <n v="4"/>
    <s v="Masters "/>
    <s v="Masters "/>
    <s v="Masters "/>
    <n v="0"/>
    <s v="20-29"/>
  </r>
  <r>
    <s v="8AAD-FAFB"/>
    <s v="Alethea"/>
    <s v="Heeney"/>
    <x v="0"/>
    <n v="24"/>
    <s v="Some Travel"/>
    <x v="0"/>
    <n v="3"/>
    <s v="CA"/>
    <s v="Asian or Asian American"/>
    <n v="3"/>
    <s v="Marketing"/>
    <x v="0"/>
    <s v="Divorced"/>
    <n v="130774"/>
    <n v="1"/>
    <x v="1"/>
    <d v="2016-08-15T00:00:00"/>
    <s v="Yes"/>
    <n v="4"/>
    <n v="3"/>
    <n v="3"/>
    <n v="4"/>
    <s v="Bachelors "/>
    <s v="Bachelors "/>
    <s v="Bachelors "/>
    <n v="1"/>
    <s v="20-29"/>
  </r>
  <r>
    <s v="28EA-A010"/>
    <s v="Meara"/>
    <s v="Mahony"/>
    <x v="0"/>
    <n v="26"/>
    <s v="Some Travel"/>
    <x v="0"/>
    <n v="2"/>
    <s v="CA"/>
    <s v="Asian or Asian American"/>
    <n v="2"/>
    <s v="Marketing"/>
    <x v="0"/>
    <s v="Single"/>
    <n v="149390"/>
    <n v="0"/>
    <x v="1"/>
    <d v="2016-08-15T00:00:00"/>
    <s v="Yes"/>
    <n v="3"/>
    <n v="1"/>
    <n v="1"/>
    <n v="2"/>
    <s v="High School "/>
    <s v="High School "/>
    <s v="High School "/>
    <n v="1"/>
    <s v="20-29"/>
  </r>
  <r>
    <s v="6A09-C910"/>
    <s v="Arri"/>
    <s v="Brooking"/>
    <x v="1"/>
    <n v="24"/>
    <s v="Some Travel"/>
    <x v="2"/>
    <n v="19"/>
    <s v="CA"/>
    <s v="Mixed or multiple ethnic groups"/>
    <n v="4"/>
    <s v="Computer Science"/>
    <x v="7"/>
    <s v="Divorced"/>
    <n v="35270"/>
    <n v="1"/>
    <x v="0"/>
    <d v="2016-08-16T00:00:00"/>
    <s v="No"/>
    <n v="6"/>
    <n v="0"/>
    <n v="5"/>
    <n v="2"/>
    <s v="Masters "/>
    <s v="Masters "/>
    <s v="Masters "/>
    <n v="0"/>
    <s v="20-29"/>
  </r>
  <r>
    <s v="ADF8-AD57"/>
    <s v="Trip"/>
    <s v="Bennell"/>
    <x v="1"/>
    <n v="27"/>
    <s v="Some Travel"/>
    <x v="2"/>
    <n v="28"/>
    <s v="CA"/>
    <s v="White"/>
    <n v="3"/>
    <s v="Computer Science"/>
    <x v="4"/>
    <s v="Single"/>
    <n v="20387"/>
    <n v="0"/>
    <x v="0"/>
    <d v="2016-08-16T00:00:00"/>
    <s v="Yes"/>
    <n v="0"/>
    <n v="0"/>
    <n v="0"/>
    <n v="0"/>
    <s v="Bachelors "/>
    <s v="Bachelors "/>
    <s v="Bachelors "/>
    <n v="1"/>
    <s v="20-29"/>
  </r>
  <r>
    <s v="C292-EC0C"/>
    <s v="Rosamond"/>
    <s v="Mattaser"/>
    <x v="2"/>
    <n v="26"/>
    <s v="Some Travel"/>
    <x v="2"/>
    <n v="8"/>
    <s v="NY"/>
    <s v="White"/>
    <n v="2"/>
    <s v="Computer Science"/>
    <x v="7"/>
    <s v="Divorced"/>
    <n v="27219"/>
    <n v="2"/>
    <x v="0"/>
    <d v="2016-08-16T00:00:00"/>
    <s v="No"/>
    <n v="6"/>
    <n v="3"/>
    <n v="5"/>
    <n v="4"/>
    <s v="High School "/>
    <s v="High School "/>
    <s v="High School "/>
    <n v="0"/>
    <s v="20-29"/>
  </r>
  <r>
    <s v="CD7F-377F"/>
    <s v="Kendricks"/>
    <s v="Tribe"/>
    <x v="1"/>
    <n v="25"/>
    <s v="Frequent Traveller"/>
    <x v="0"/>
    <n v="25"/>
    <s v="CA"/>
    <s v="Black or African American"/>
    <n v="3"/>
    <s v="Marketing "/>
    <x v="0"/>
    <s v="Married"/>
    <n v="46283"/>
    <n v="1"/>
    <x v="0"/>
    <d v="2016-08-24T00:00:00"/>
    <s v="No"/>
    <n v="6"/>
    <n v="5"/>
    <n v="6"/>
    <n v="1"/>
    <s v="Bachelors "/>
    <s v="Bachelors "/>
    <s v="Bachelors "/>
    <n v="0"/>
    <s v="20-29"/>
  </r>
  <r>
    <s v="AF11-04C3"/>
    <s v="Joni"/>
    <s v="Byre"/>
    <x v="0"/>
    <n v="27"/>
    <s v="Some Travel"/>
    <x v="0"/>
    <n v="19"/>
    <s v="CA"/>
    <s v="American Indian or Alaska Native"/>
    <n v="4"/>
    <s v="Marketing"/>
    <x v="6"/>
    <s v="Married"/>
    <n v="149813"/>
    <n v="0"/>
    <x v="0"/>
    <d v="2016-08-30T00:00:00"/>
    <s v="No"/>
    <n v="6"/>
    <n v="0"/>
    <n v="1"/>
    <n v="1"/>
    <s v="Masters "/>
    <s v="Masters "/>
    <s v="Masters "/>
    <n v="0"/>
    <s v="20-29"/>
  </r>
  <r>
    <s v="D31B-BEF8"/>
    <s v="Bent"/>
    <s v="Plumridege"/>
    <x v="1"/>
    <n v="25"/>
    <s v="Frequent Traveller"/>
    <x v="0"/>
    <n v="19"/>
    <s v="CA"/>
    <s v="Mixed or multiple ethnic groups"/>
    <n v="4"/>
    <s v="Marketing "/>
    <x v="9"/>
    <s v="Single"/>
    <n v="28090"/>
    <n v="0"/>
    <x v="0"/>
    <d v="2016-08-31T00:00:00"/>
    <s v="Yes"/>
    <n v="0"/>
    <n v="0"/>
    <n v="0"/>
    <n v="0"/>
    <s v="Masters "/>
    <s v="Masters "/>
    <s v="Masters "/>
    <n v="1"/>
    <s v="20-29"/>
  </r>
  <r>
    <s v="596B-33F4"/>
    <s v="Shell"/>
    <s v="McPeck"/>
    <x v="1"/>
    <n v="26"/>
    <s v="Some Travel"/>
    <x v="2"/>
    <n v="2"/>
    <s v="IL"/>
    <s v="White"/>
    <n v="3"/>
    <s v="Computer Science"/>
    <x v="4"/>
    <s v="Divorced"/>
    <n v="30207"/>
    <n v="1"/>
    <x v="1"/>
    <d v="2016-09-01T00:00:00"/>
    <s v="Yes"/>
    <n v="5"/>
    <n v="1"/>
    <n v="3"/>
    <n v="0"/>
    <s v="Bachelors "/>
    <s v="Bachelors "/>
    <s v="Bachelors "/>
    <n v="1"/>
    <s v="20-29"/>
  </r>
  <r>
    <s v="0B72-0EE6"/>
    <s v="Noll"/>
    <s v="Antoniottii"/>
    <x v="1"/>
    <n v="24"/>
    <s v="Some Travel"/>
    <x v="2"/>
    <n v="1"/>
    <s v="NY"/>
    <s v="White"/>
    <n v="4"/>
    <s v="Computer Science"/>
    <x v="8"/>
    <s v="Married"/>
    <n v="70849"/>
    <n v="2"/>
    <x v="0"/>
    <d v="2016-09-03T00:00:00"/>
    <s v="No"/>
    <n v="6"/>
    <n v="0"/>
    <n v="1"/>
    <n v="6"/>
    <s v="Masters "/>
    <s v="Masters "/>
    <s v="Masters "/>
    <n v="0"/>
    <s v="20-29"/>
  </r>
  <r>
    <s v="C661-6A1C"/>
    <s v="Joeann"/>
    <s v="Batrop"/>
    <x v="0"/>
    <n v="25"/>
    <s v="Frequent Traveller"/>
    <x v="2"/>
    <n v="24"/>
    <s v="CA"/>
    <s v="Mixed or multiple ethnic groups"/>
    <n v="1"/>
    <s v="Business Studies"/>
    <x v="7"/>
    <s v="Single"/>
    <n v="40314"/>
    <n v="0"/>
    <x v="0"/>
    <d v="2016-09-15T00:00:00"/>
    <s v="Yes"/>
    <n v="3"/>
    <n v="1"/>
    <n v="3"/>
    <n v="3"/>
    <s v="No Formal Qualifications"/>
    <s v="No Formal Qualifications"/>
    <s v="No Formal Qualifications"/>
    <n v="1"/>
    <s v="20-29"/>
  </r>
  <r>
    <s v="4C41-7F73"/>
    <s v="Libby"/>
    <s v="Mustoe"/>
    <x v="0"/>
    <n v="24"/>
    <s v="Some Travel"/>
    <x v="2"/>
    <n v="30"/>
    <s v="CA"/>
    <s v="White"/>
    <n v="3"/>
    <s v="Computer Science"/>
    <x v="5"/>
    <s v="Divorced"/>
    <n v="94318"/>
    <n v="1"/>
    <x v="1"/>
    <d v="2016-09-21T00:00:00"/>
    <s v="No"/>
    <n v="6"/>
    <n v="3"/>
    <n v="6"/>
    <n v="5"/>
    <s v="Bachelors "/>
    <s v="Bachelors "/>
    <s v="Bachelors "/>
    <n v="0"/>
    <s v="20-29"/>
  </r>
  <r>
    <s v="5D69-D350"/>
    <s v="Lyle"/>
    <s v="Waby"/>
    <x v="1"/>
    <n v="24"/>
    <s v="Frequent Traveller"/>
    <x v="2"/>
    <n v="7"/>
    <s v="IL"/>
    <s v="White"/>
    <n v="3"/>
    <s v="Information Systems"/>
    <x v="4"/>
    <s v="Divorced"/>
    <n v="104649"/>
    <n v="2"/>
    <x v="0"/>
    <d v="2016-09-23T00:00:00"/>
    <s v="Yes"/>
    <n v="4"/>
    <n v="4"/>
    <n v="4"/>
    <n v="3"/>
    <s v="Bachelors "/>
    <s v="Bachelors "/>
    <s v="Bachelors "/>
    <n v="1"/>
    <s v="20-29"/>
  </r>
  <r>
    <s v="7845-EF8F"/>
    <s v="Marshal"/>
    <s v="Goodbur"/>
    <x v="1"/>
    <n v="27"/>
    <s v="Some Travel"/>
    <x v="2"/>
    <n v="6"/>
    <s v="CA"/>
    <s v="Mixed or multiple ethnic groups"/>
    <n v="3"/>
    <s v="Information Systems"/>
    <x v="2"/>
    <s v="Married"/>
    <n v="292500"/>
    <n v="3"/>
    <x v="0"/>
    <d v="2016-09-25T00:00:00"/>
    <s v="No"/>
    <n v="6"/>
    <n v="5"/>
    <n v="6"/>
    <n v="2"/>
    <s v="Bachelors "/>
    <s v="Bachelors "/>
    <s v="Bachelors "/>
    <n v="0"/>
    <s v="20-29"/>
  </r>
  <r>
    <s v="8766-F1E7"/>
    <s v="Jonathon"/>
    <s v="Lovie"/>
    <x v="1"/>
    <n v="25"/>
    <s v="Some Travel"/>
    <x v="2"/>
    <n v="18"/>
    <s v="CA"/>
    <s v="White"/>
    <n v="4"/>
    <s v="Information Systems"/>
    <x v="5"/>
    <s v="Married"/>
    <n v="130434"/>
    <n v="0"/>
    <x v="1"/>
    <d v="2016-09-26T00:00:00"/>
    <s v="Yes"/>
    <n v="0"/>
    <n v="0"/>
    <n v="0"/>
    <n v="0"/>
    <s v="Masters "/>
    <s v="Masters "/>
    <s v="Masters "/>
    <n v="1"/>
    <s v="20-29"/>
  </r>
  <r>
    <s v="79D0-C935"/>
    <s v="Madelle"/>
    <s v="Robak"/>
    <x v="0"/>
    <n v="27"/>
    <s v="Some Travel"/>
    <x v="2"/>
    <n v="26"/>
    <s v="NY"/>
    <s v="White"/>
    <n v="1"/>
    <s v="Information Systems"/>
    <x v="7"/>
    <s v="Single"/>
    <n v="37423"/>
    <n v="0"/>
    <x v="1"/>
    <d v="2016-09-30T00:00:00"/>
    <s v="No"/>
    <n v="6"/>
    <n v="4"/>
    <n v="4"/>
    <n v="2"/>
    <s v="No Formal Qualifications"/>
    <s v="No Formal Qualifications"/>
    <s v="No Formal Qualifications"/>
    <n v="0"/>
    <s v="20-29"/>
  </r>
  <r>
    <s v="6AD1-5EE8"/>
    <s v="Donetta"/>
    <s v="Duberry"/>
    <x v="0"/>
    <n v="24"/>
    <s v="Some Travel"/>
    <x v="2"/>
    <n v="12"/>
    <s v="CA"/>
    <s v="White"/>
    <n v="3"/>
    <s v="Information Systems"/>
    <x v="4"/>
    <s v="Married"/>
    <n v="47183"/>
    <n v="1"/>
    <x v="0"/>
    <d v="2016-10-04T00:00:00"/>
    <s v="No"/>
    <n v="6"/>
    <n v="6"/>
    <n v="6"/>
    <n v="6"/>
    <s v="Bachelors "/>
    <s v="Bachelors "/>
    <s v="Bachelors "/>
    <n v="0"/>
    <s v="20-29"/>
  </r>
  <r>
    <s v="CECC-60FF"/>
    <s v="Elissa"/>
    <s v="Seide"/>
    <x v="0"/>
    <n v="27"/>
    <s v="Some Travel"/>
    <x v="2"/>
    <n v="16"/>
    <s v="CA"/>
    <s v="White"/>
    <n v="1"/>
    <s v="Information Systems"/>
    <x v="7"/>
    <s v="Single"/>
    <n v="54379"/>
    <n v="0"/>
    <x v="0"/>
    <d v="2016-10-04T00:00:00"/>
    <s v="No"/>
    <n v="6"/>
    <n v="1"/>
    <n v="2"/>
    <n v="2"/>
    <s v="No Formal Qualifications"/>
    <s v="No Formal Qualifications"/>
    <s v="No Formal Qualifications"/>
    <n v="0"/>
    <s v="20-29"/>
  </r>
  <r>
    <s v="4A0E-9958"/>
    <s v="Axel"/>
    <s v="Aicheson"/>
    <x v="1"/>
    <n v="26"/>
    <s v="Some Travel"/>
    <x v="2"/>
    <n v="6"/>
    <s v="CA"/>
    <s v="Black or African American"/>
    <n v="4"/>
    <s v="Information Systems"/>
    <x v="5"/>
    <s v="Married"/>
    <n v="89771"/>
    <n v="2"/>
    <x v="1"/>
    <d v="2016-10-04T00:00:00"/>
    <s v="Yes"/>
    <n v="1"/>
    <n v="0"/>
    <n v="0"/>
    <n v="0"/>
    <s v="Masters "/>
    <s v="Masters "/>
    <s v="Masters "/>
    <n v="1"/>
    <s v="20-29"/>
  </r>
  <r>
    <s v="DA8E-9496"/>
    <s v="Tobias"/>
    <s v="Polkinghorne"/>
    <x v="1"/>
    <n v="27"/>
    <s v="Some Travel"/>
    <x v="2"/>
    <n v="22"/>
    <s v="CA"/>
    <s v="White"/>
    <n v="2"/>
    <s v="Computer Science"/>
    <x v="4"/>
    <s v="Single"/>
    <n v="56449"/>
    <n v="0"/>
    <x v="1"/>
    <d v="2016-10-04T00:00:00"/>
    <s v="Yes"/>
    <n v="3"/>
    <n v="1"/>
    <n v="1"/>
    <n v="2"/>
    <s v="High School "/>
    <s v="High School "/>
    <s v="High School "/>
    <n v="1"/>
    <s v="20-29"/>
  </r>
  <r>
    <s v="05ED-92F1"/>
    <s v="Justus"/>
    <s v="MacCall"/>
    <x v="2"/>
    <n v="27"/>
    <s v="Frequent Traveller"/>
    <x v="0"/>
    <n v="41"/>
    <s v="CA"/>
    <s v="Asian or Asian American"/>
    <n v="3"/>
    <s v="Marketing"/>
    <x v="9"/>
    <s v="Single"/>
    <n v="28984"/>
    <n v="0"/>
    <x v="1"/>
    <d v="2016-10-10T00:00:00"/>
    <s v="Yes"/>
    <n v="3"/>
    <n v="1"/>
    <n v="1"/>
    <n v="0"/>
    <s v="Bachelors "/>
    <s v="Bachelors "/>
    <s v="Bachelors "/>
    <n v="1"/>
    <s v="20-29"/>
  </r>
  <r>
    <s v="D3EB-610D"/>
    <s v="Bo"/>
    <s v="Cullabine"/>
    <x v="1"/>
    <n v="24"/>
    <s v="Frequent Traveller"/>
    <x v="2"/>
    <n v="10"/>
    <s v="NY"/>
    <s v="Mixed or multiple ethnic groups"/>
    <n v="4"/>
    <s v="Computer Science"/>
    <x v="4"/>
    <s v="Married"/>
    <n v="67447"/>
    <n v="1"/>
    <x v="1"/>
    <d v="2016-10-10T00:00:00"/>
    <s v="No"/>
    <n v="6"/>
    <n v="2"/>
    <n v="6"/>
    <n v="6"/>
    <s v="Masters "/>
    <s v="Masters "/>
    <s v="Masters "/>
    <n v="0"/>
    <s v="20-29"/>
  </r>
  <r>
    <s v="55B1-3712"/>
    <s v="Katine"/>
    <s v="Fielder"/>
    <x v="0"/>
    <n v="26"/>
    <s v="Some Travel"/>
    <x v="2"/>
    <n v="36"/>
    <s v="CA"/>
    <s v="White"/>
    <n v="4"/>
    <s v="Information Systems"/>
    <x v="4"/>
    <s v="Married"/>
    <n v="22162"/>
    <n v="1"/>
    <x v="1"/>
    <d v="2016-10-15T00:00:00"/>
    <s v="No"/>
    <n v="6"/>
    <n v="4"/>
    <n v="5"/>
    <n v="6"/>
    <s v="Masters "/>
    <s v="Masters "/>
    <s v="Masters "/>
    <n v="0"/>
    <s v="20-29"/>
  </r>
  <r>
    <s v="566A-FC64"/>
    <s v="Loria"/>
    <s v="Pursey"/>
    <x v="0"/>
    <n v="27"/>
    <s v="Some Travel"/>
    <x v="0"/>
    <n v="4"/>
    <s v="CA"/>
    <s v="Asian or Asian American"/>
    <n v="4"/>
    <s v="Marketing "/>
    <x v="6"/>
    <s v="Divorced"/>
    <n v="255718"/>
    <n v="3"/>
    <x v="0"/>
    <d v="2016-10-15T00:00:00"/>
    <s v="No"/>
    <n v="6"/>
    <n v="0"/>
    <n v="5"/>
    <n v="4"/>
    <s v="Masters "/>
    <s v="Masters "/>
    <s v="Masters "/>
    <n v="0"/>
    <s v="20-29"/>
  </r>
  <r>
    <s v="8EAF-4F79"/>
    <s v="Marrilee"/>
    <s v="Brosio"/>
    <x v="0"/>
    <n v="27"/>
    <s v="Frequent Traveller"/>
    <x v="2"/>
    <n v="20"/>
    <s v="CA"/>
    <s v="White"/>
    <n v="3"/>
    <s v="Information Systems"/>
    <x v="8"/>
    <s v="Married"/>
    <n v="167879"/>
    <n v="1"/>
    <x v="1"/>
    <d v="2016-10-15T00:00:00"/>
    <s v="No"/>
    <n v="6"/>
    <n v="6"/>
    <n v="6"/>
    <n v="3"/>
    <s v="Bachelors "/>
    <s v="Bachelors "/>
    <s v="Bachelors "/>
    <n v="0"/>
    <s v="20-29"/>
  </r>
  <r>
    <s v="25F5-0EAF"/>
    <s v="Amargo"/>
    <s v="Briddock"/>
    <x v="2"/>
    <n v="26"/>
    <s v="Some Travel"/>
    <x v="0"/>
    <n v="38"/>
    <s v="CA"/>
    <s v="Mixed or multiple ethnic groups"/>
    <n v="3"/>
    <s v="Technical Degree"/>
    <x v="0"/>
    <s v="Divorced"/>
    <n v="104898"/>
    <n v="1"/>
    <x v="0"/>
    <d v="2016-10-16T00:00:00"/>
    <s v="No"/>
    <n v="6"/>
    <n v="5"/>
    <n v="5"/>
    <n v="1"/>
    <s v="Bachelors "/>
    <s v="Bachelors "/>
    <s v="Bachelors "/>
    <n v="0"/>
    <s v="20-29"/>
  </r>
  <r>
    <s v="291F-B604"/>
    <s v="Sebastien"/>
    <s v="Lanmeid"/>
    <x v="1"/>
    <n v="26"/>
    <s v="Some Travel"/>
    <x v="2"/>
    <n v="3"/>
    <s v="NY"/>
    <s v="Black or African American"/>
    <n v="4"/>
    <s v="Information Systems"/>
    <x v="4"/>
    <s v="Divorced"/>
    <n v="28952"/>
    <n v="1"/>
    <x v="1"/>
    <d v="2016-10-22T00:00:00"/>
    <s v="Yes"/>
    <n v="0"/>
    <n v="0"/>
    <n v="0"/>
    <n v="0"/>
    <s v="Masters "/>
    <s v="Masters "/>
    <s v="Masters "/>
    <n v="1"/>
    <s v="20-29"/>
  </r>
  <r>
    <s v="EE63-4E57"/>
    <s v="Margalo"/>
    <s v="Pettwood"/>
    <x v="0"/>
    <n v="24"/>
    <s v="Frequent Traveller"/>
    <x v="2"/>
    <n v="26"/>
    <s v="CA"/>
    <s v="White"/>
    <n v="4"/>
    <s v="Business Studies"/>
    <x v="8"/>
    <s v="Single"/>
    <n v="133949"/>
    <n v="0"/>
    <x v="0"/>
    <d v="2016-10-26T00:00:00"/>
    <s v="No"/>
    <n v="6"/>
    <n v="4"/>
    <n v="6"/>
    <n v="6"/>
    <s v="Masters "/>
    <s v="Masters "/>
    <s v="Masters "/>
    <n v="0"/>
    <s v="20-29"/>
  </r>
  <r>
    <s v="EE91-1A9C"/>
    <s v="Harley"/>
    <s v="Dalliwater"/>
    <x v="1"/>
    <n v="25"/>
    <s v="Some Travel"/>
    <x v="2"/>
    <n v="22"/>
    <s v="IL"/>
    <s v="Black or African American"/>
    <n v="3"/>
    <s v="Information Systems"/>
    <x v="4"/>
    <s v="Married"/>
    <n v="21350"/>
    <n v="0"/>
    <x v="1"/>
    <d v="2016-10-27T00:00:00"/>
    <s v="Yes"/>
    <n v="5"/>
    <n v="3"/>
    <n v="3"/>
    <n v="2"/>
    <s v="Bachelors "/>
    <s v="Bachelors "/>
    <s v="Bachelors "/>
    <n v="1"/>
    <s v="20-29"/>
  </r>
  <r>
    <s v="242A-4FA0"/>
    <s v="Nowell"/>
    <s v="Prettyjohns"/>
    <x v="1"/>
    <n v="25"/>
    <s v="Some Travel"/>
    <x v="2"/>
    <n v="2"/>
    <s v="CA"/>
    <s v="Black or African American"/>
    <n v="4"/>
    <s v="Computer Science"/>
    <x v="7"/>
    <s v="Divorced"/>
    <n v="73825"/>
    <n v="1"/>
    <x v="1"/>
    <d v="2016-11-02T00:00:00"/>
    <s v="No"/>
    <n v="6"/>
    <n v="1"/>
    <n v="4"/>
    <n v="4"/>
    <s v="Masters "/>
    <s v="Masters "/>
    <s v="Masters "/>
    <n v="0"/>
    <s v="20-29"/>
  </r>
  <r>
    <s v="F58A-302D"/>
    <s v="Travers"/>
    <s v="Outhwaite"/>
    <x v="1"/>
    <n v="26"/>
    <s v="Some Travel"/>
    <x v="0"/>
    <n v="17"/>
    <s v="IL"/>
    <s v="Black or African American"/>
    <n v="4"/>
    <s v="Economics"/>
    <x v="6"/>
    <s v="Divorced"/>
    <n v="290774"/>
    <n v="1"/>
    <x v="0"/>
    <d v="2016-11-05T00:00:00"/>
    <s v="No"/>
    <n v="6"/>
    <n v="5"/>
    <n v="5"/>
    <n v="3"/>
    <s v="Masters "/>
    <s v="Masters "/>
    <s v="Masters "/>
    <n v="0"/>
    <s v="20-29"/>
  </r>
  <r>
    <s v="8733-BC3C"/>
    <s v="Kerwinn"/>
    <s v="Fassum"/>
    <x v="1"/>
    <n v="26"/>
    <s v="Frequent Traveller"/>
    <x v="2"/>
    <n v="22"/>
    <s v="CA"/>
    <s v="Asian or Asian American"/>
    <n v="3"/>
    <s v="Computer Science"/>
    <x v="7"/>
    <s v="Divorced"/>
    <n v="81726"/>
    <n v="2"/>
    <x v="1"/>
    <d v="2016-11-06T00:00:00"/>
    <s v="No"/>
    <n v="6"/>
    <n v="0"/>
    <n v="6"/>
    <n v="1"/>
    <s v="Bachelors "/>
    <s v="Bachelors "/>
    <s v="Bachelors "/>
    <n v="0"/>
    <s v="20-29"/>
  </r>
  <r>
    <s v="3D9E-FB05"/>
    <s v="Raynor"/>
    <s v="Deane"/>
    <x v="1"/>
    <n v="25"/>
    <s v="Some Travel"/>
    <x v="0"/>
    <n v="2"/>
    <s v="CA"/>
    <s v="Black or African American"/>
    <n v="4"/>
    <s v="Economics"/>
    <x v="0"/>
    <s v="Married"/>
    <n v="75555"/>
    <n v="1"/>
    <x v="0"/>
    <d v="2016-11-08T00:00:00"/>
    <s v="No"/>
    <n v="6"/>
    <n v="5"/>
    <n v="6"/>
    <n v="4"/>
    <s v="Masters "/>
    <s v="Masters "/>
    <s v="Masters "/>
    <n v="0"/>
    <s v="20-29"/>
  </r>
  <r>
    <s v="B407-ABCA"/>
    <s v="Obie"/>
    <s v="Huke"/>
    <x v="1"/>
    <n v="26"/>
    <s v="Some Travel"/>
    <x v="0"/>
    <n v="2"/>
    <s v="CA"/>
    <s v="Asian or Asian American"/>
    <n v="4"/>
    <s v="Economics"/>
    <x v="0"/>
    <s v="Single"/>
    <n v="60087"/>
    <n v="0"/>
    <x v="1"/>
    <d v="2016-11-08T00:00:00"/>
    <s v="Yes"/>
    <n v="4"/>
    <n v="0"/>
    <n v="0"/>
    <n v="3"/>
    <s v="Masters "/>
    <s v="Masters "/>
    <s v="Masters "/>
    <n v="1"/>
    <s v="20-29"/>
  </r>
  <r>
    <s v="11C2-2B5B"/>
    <s v="Aurlie"/>
    <s v="Demeza"/>
    <x v="0"/>
    <n v="26"/>
    <s v="Frequent Traveller"/>
    <x v="2"/>
    <n v="14"/>
    <s v="NY"/>
    <s v="Mixed or multiple ethnic groups"/>
    <n v="3"/>
    <s v="Computer Science"/>
    <x v="5"/>
    <s v="Divorced"/>
    <n v="92778"/>
    <n v="1"/>
    <x v="0"/>
    <d v="2016-11-09T00:00:00"/>
    <s v="No"/>
    <n v="6"/>
    <n v="6"/>
    <n v="6"/>
    <n v="1"/>
    <s v="Bachelors "/>
    <s v="Bachelors "/>
    <s v="Bachelors "/>
    <n v="0"/>
    <s v="20-29"/>
  </r>
  <r>
    <s v="801C-89BF"/>
    <s v="Maren"/>
    <s v="Tizard"/>
    <x v="0"/>
    <n v="24"/>
    <s v="Some Travel"/>
    <x v="2"/>
    <n v="5"/>
    <s v="NY"/>
    <s v="Asian or Asian American"/>
    <n v="2"/>
    <s v="Information Systems"/>
    <x v="4"/>
    <s v="Divorced"/>
    <n v="46151"/>
    <n v="1"/>
    <x v="0"/>
    <d v="2016-11-12T00:00:00"/>
    <s v="No"/>
    <n v="6"/>
    <n v="4"/>
    <n v="6"/>
    <n v="2"/>
    <s v="High School "/>
    <s v="High School "/>
    <s v="High School "/>
    <n v="0"/>
    <s v="20-29"/>
  </r>
  <r>
    <s v="5BDE-7102"/>
    <s v="Rafaela"/>
    <s v="Smurfit"/>
    <x v="0"/>
    <n v="25"/>
    <s v="Some Travel"/>
    <x v="2"/>
    <n v="16"/>
    <s v="CA"/>
    <s v="Black or African American"/>
    <n v="2"/>
    <s v="Computer Science"/>
    <x v="2"/>
    <s v="Married"/>
    <n v="184441"/>
    <n v="1"/>
    <x v="0"/>
    <d v="2016-11-13T00:00:00"/>
    <s v="No"/>
    <n v="6"/>
    <n v="6"/>
    <n v="6"/>
    <n v="3"/>
    <s v="High School "/>
    <s v="High School "/>
    <s v="High School "/>
    <n v="0"/>
    <s v="20-29"/>
  </r>
  <r>
    <s v="6987-6124"/>
    <s v="Virgil"/>
    <s v="Lippini"/>
    <x v="1"/>
    <n v="25"/>
    <s v="Frequent Traveller"/>
    <x v="2"/>
    <n v="21"/>
    <s v="CA"/>
    <s v="White"/>
    <n v="4"/>
    <s v="Information Systems"/>
    <x v="2"/>
    <s v="Single"/>
    <n v="182961"/>
    <n v="0"/>
    <x v="0"/>
    <d v="2016-11-15T00:00:00"/>
    <s v="No"/>
    <n v="6"/>
    <n v="3"/>
    <n v="5"/>
    <n v="1"/>
    <s v="Masters "/>
    <s v="Masters "/>
    <s v="Masters "/>
    <n v="0"/>
    <s v="20-29"/>
  </r>
  <r>
    <s v="E81C-A653"/>
    <s v="Letta"/>
    <s v="Leyban"/>
    <x v="0"/>
    <n v="27"/>
    <s v="Some Travel"/>
    <x v="0"/>
    <n v="34"/>
    <s v="CA"/>
    <s v="White"/>
    <n v="2"/>
    <s v="Marketing "/>
    <x v="0"/>
    <s v="Married"/>
    <n v="129366"/>
    <n v="1"/>
    <x v="0"/>
    <d v="2016-11-17T00:00:00"/>
    <s v="No"/>
    <n v="6"/>
    <n v="0"/>
    <n v="5"/>
    <n v="0"/>
    <s v="High School "/>
    <s v="High School "/>
    <s v="High School "/>
    <n v="0"/>
    <s v="20-29"/>
  </r>
  <r>
    <s v="4F22-FF67"/>
    <s v="Care"/>
    <s v="Ireland"/>
    <x v="1"/>
    <n v="24"/>
    <s v="Some Travel"/>
    <x v="2"/>
    <n v="24"/>
    <s v="NY"/>
    <s v="White"/>
    <n v="3"/>
    <s v="Computer Science"/>
    <x v="7"/>
    <s v="Single"/>
    <n v="28156"/>
    <n v="0"/>
    <x v="1"/>
    <d v="2016-11-18T00:00:00"/>
    <s v="No"/>
    <n v="6"/>
    <n v="6"/>
    <n v="6"/>
    <n v="5"/>
    <s v="Bachelors "/>
    <s v="Bachelors "/>
    <s v="Bachelors "/>
    <n v="0"/>
    <s v="20-29"/>
  </r>
  <r>
    <s v="806F-B986"/>
    <s v="Judie"/>
    <s v="Lowndsborough"/>
    <x v="0"/>
    <n v="24"/>
    <s v="Some Travel"/>
    <x v="2"/>
    <n v="26"/>
    <s v="IL"/>
    <s v="White"/>
    <n v="2"/>
    <s v="Information Systems"/>
    <x v="5"/>
    <s v="Married"/>
    <n v="93490"/>
    <n v="1"/>
    <x v="1"/>
    <d v="2016-11-24T00:00:00"/>
    <s v="No"/>
    <n v="6"/>
    <n v="4"/>
    <n v="5"/>
    <n v="6"/>
    <s v="High School "/>
    <s v="High School "/>
    <s v="High School "/>
    <n v="0"/>
    <s v="20-29"/>
  </r>
  <r>
    <s v="8F38-A4DD"/>
    <s v="Rosemonde"/>
    <s v="Brimble"/>
    <x v="0"/>
    <n v="27"/>
    <s v="No Travel "/>
    <x v="2"/>
    <n v="25"/>
    <s v="CA"/>
    <s v="White"/>
    <n v="3"/>
    <s v="Computer Science"/>
    <x v="7"/>
    <s v="Single"/>
    <n v="27369"/>
    <n v="0"/>
    <x v="0"/>
    <d v="2016-11-29T00:00:00"/>
    <s v="No"/>
    <n v="6"/>
    <n v="4"/>
    <n v="6"/>
    <n v="3"/>
    <s v="Bachelors "/>
    <s v="Bachelors "/>
    <s v="Bachelors "/>
    <n v="0"/>
    <s v="20-29"/>
  </r>
  <r>
    <s v="776A-CDBC"/>
    <s v="Catharina"/>
    <s v="Sandle"/>
    <x v="0"/>
    <n v="26"/>
    <s v="Some Travel"/>
    <x v="0"/>
    <n v="4"/>
    <s v="NY"/>
    <s v="Black or African American"/>
    <n v="2"/>
    <s v="Economics"/>
    <x v="0"/>
    <s v="Married"/>
    <n v="82147"/>
    <n v="2"/>
    <x v="0"/>
    <d v="2016-12-05T00:00:00"/>
    <s v="No"/>
    <n v="6"/>
    <n v="2"/>
    <n v="4"/>
    <n v="3"/>
    <s v="High School "/>
    <s v="High School "/>
    <s v="High School "/>
    <n v="0"/>
    <s v="20-29"/>
  </r>
  <r>
    <s v="8FB2-4CE0"/>
    <s v="Kurtis"/>
    <s v="Plane"/>
    <x v="1"/>
    <n v="27"/>
    <s v="Some Travel"/>
    <x v="2"/>
    <n v="14"/>
    <s v="IL"/>
    <s v="White"/>
    <n v="4"/>
    <s v="Computer Science"/>
    <x v="4"/>
    <s v="Single"/>
    <n v="37545"/>
    <n v="0"/>
    <x v="0"/>
    <d v="2016-12-06T00:00:00"/>
    <s v="Yes"/>
    <n v="2"/>
    <n v="1"/>
    <n v="1"/>
    <n v="1"/>
    <s v="Masters "/>
    <s v="Masters "/>
    <s v="Masters "/>
    <n v="1"/>
    <s v="20-29"/>
  </r>
  <r>
    <s v="CC88-AE14"/>
    <s v="Barbi"/>
    <s v="Wilsher"/>
    <x v="0"/>
    <n v="25"/>
    <s v="Some Travel"/>
    <x v="2"/>
    <n v="27"/>
    <s v="CA"/>
    <s v="Mixed or multiple ethnic groups"/>
    <n v="2"/>
    <s v="Computer Science"/>
    <x v="5"/>
    <s v="Married"/>
    <n v="84770"/>
    <n v="1"/>
    <x v="1"/>
    <d v="2016-12-20T00:00:00"/>
    <s v="No"/>
    <n v="6"/>
    <n v="0"/>
    <n v="5"/>
    <n v="0"/>
    <s v="High School "/>
    <s v="High School "/>
    <s v="High School "/>
    <n v="0"/>
    <s v="20-29"/>
  </r>
  <r>
    <s v="3261-373A"/>
    <s v="Dorey"/>
    <s v="Arpur"/>
    <x v="0"/>
    <n v="26"/>
    <s v="Frequent Traveller"/>
    <x v="2"/>
    <n v="5"/>
    <s v="IL"/>
    <s v="White"/>
    <n v="3"/>
    <s v="Computer Science"/>
    <x v="8"/>
    <s v="Married"/>
    <n v="99203"/>
    <n v="1"/>
    <x v="1"/>
    <d v="2016-12-28T00:00:00"/>
    <s v="No"/>
    <n v="6"/>
    <n v="3"/>
    <n v="3"/>
    <n v="4"/>
    <s v="Bachelors "/>
    <s v="Bachelors "/>
    <s v="Bachelors "/>
    <n v="0"/>
    <s v="20-29"/>
  </r>
  <r>
    <s v="B90D-4BEF"/>
    <s v="Nancey"/>
    <s v="Noades"/>
    <x v="0"/>
    <n v="29"/>
    <s v="Some Travel"/>
    <x v="2"/>
    <n v="32"/>
    <s v="IL"/>
    <s v="Native Hawaiian "/>
    <n v="3"/>
    <s v="Information Systems"/>
    <x v="2"/>
    <s v="Married"/>
    <n v="388605"/>
    <n v="1"/>
    <x v="1"/>
    <d v="2017-01-01T00:00:00"/>
    <s v="No"/>
    <n v="5"/>
    <n v="2"/>
    <n v="5"/>
    <n v="0"/>
    <s v="Bachelors "/>
    <s v="Bachelors "/>
    <s v="Bachelors "/>
    <n v="0"/>
    <s v="20-29"/>
  </r>
  <r>
    <s v="D754-4CDF"/>
    <s v="Brien"/>
    <s v="Erett"/>
    <x v="1"/>
    <n v="25"/>
    <s v="Some Travel"/>
    <x v="2"/>
    <n v="18"/>
    <s v="CA"/>
    <s v="White"/>
    <n v="3"/>
    <s v="Computer Science"/>
    <x v="8"/>
    <s v="Married"/>
    <n v="55541"/>
    <n v="1"/>
    <x v="0"/>
    <d v="2017-01-08T00:00:00"/>
    <s v="No"/>
    <n v="5"/>
    <n v="4"/>
    <n v="5"/>
    <n v="4"/>
    <s v="Bachelors "/>
    <s v="Bachelors "/>
    <s v="Bachelors "/>
    <n v="0"/>
    <s v="20-29"/>
  </r>
  <r>
    <s v="6D3B-AD28"/>
    <s v="Zsa zsa"/>
    <s v="Valentin"/>
    <x v="0"/>
    <n v="25"/>
    <s v="Frequent Traveller"/>
    <x v="0"/>
    <n v="33"/>
    <s v="CA"/>
    <s v="White"/>
    <n v="3"/>
    <s v="Marketing"/>
    <x v="0"/>
    <s v="Single"/>
    <n v="94810"/>
    <n v="0"/>
    <x v="0"/>
    <d v="2017-01-18T00:00:00"/>
    <s v="No"/>
    <n v="5"/>
    <n v="0"/>
    <n v="0"/>
    <n v="3"/>
    <s v="Bachelors "/>
    <s v="Bachelors "/>
    <s v="Bachelors "/>
    <n v="0"/>
    <s v="20-29"/>
  </r>
  <r>
    <s v="924E-1035"/>
    <s v="Scot"/>
    <s v="Gamlen"/>
    <x v="1"/>
    <n v="23"/>
    <s v="Some Travel"/>
    <x v="0"/>
    <n v="26"/>
    <s v="NY"/>
    <s v="Native Hawaiian "/>
    <n v="2"/>
    <s v="Marketing "/>
    <x v="0"/>
    <s v="Single"/>
    <n v="58345"/>
    <n v="0"/>
    <x v="1"/>
    <d v="2017-01-19T00:00:00"/>
    <s v="No"/>
    <n v="5"/>
    <n v="4"/>
    <n v="4"/>
    <n v="4"/>
    <s v="High School "/>
    <s v="High School "/>
    <s v="High School "/>
    <n v="0"/>
    <s v="20-29"/>
  </r>
  <r>
    <s v="EFB8-ED99"/>
    <s v="Jilli"/>
    <s v="Allsupp"/>
    <x v="0"/>
    <n v="24"/>
    <s v="Some Travel"/>
    <x v="0"/>
    <n v="16"/>
    <s v="CA"/>
    <s v="White"/>
    <n v="2"/>
    <s v="Marketing "/>
    <x v="0"/>
    <s v="Single"/>
    <n v="43158"/>
    <n v="0"/>
    <x v="1"/>
    <d v="2017-01-29T00:00:00"/>
    <s v="No"/>
    <n v="5"/>
    <n v="0"/>
    <n v="5"/>
    <n v="5"/>
    <s v="High School "/>
    <s v="High School "/>
    <s v="High School "/>
    <n v="0"/>
    <s v="20-29"/>
  </r>
  <r>
    <s v="B122-D3D2"/>
    <s v="Gigi"/>
    <s v="Wrack"/>
    <x v="0"/>
    <n v="26"/>
    <s v="Some Travel"/>
    <x v="2"/>
    <n v="21"/>
    <s v="CA"/>
    <s v="White"/>
    <n v="2"/>
    <s v="Other"/>
    <x v="4"/>
    <s v="Married"/>
    <n v="89366"/>
    <n v="1"/>
    <x v="0"/>
    <d v="2017-01-30T00:00:00"/>
    <s v="No"/>
    <n v="5"/>
    <n v="5"/>
    <n v="5"/>
    <n v="0"/>
    <s v="High School "/>
    <s v="High School "/>
    <s v="High School "/>
    <n v="0"/>
    <s v="20-29"/>
  </r>
  <r>
    <s v="1D87-3372"/>
    <s v="Cynthea"/>
    <s v="Manilove"/>
    <x v="3"/>
    <n v="34"/>
    <s v="Some Travel"/>
    <x v="2"/>
    <n v="18"/>
    <s v="CA"/>
    <s v="White"/>
    <n v="3"/>
    <s v="Computer Science"/>
    <x v="2"/>
    <s v="Divorced"/>
    <n v="323488"/>
    <n v="1"/>
    <x v="0"/>
    <d v="2017-02-01T00:00:00"/>
    <s v="No"/>
    <n v="5"/>
    <n v="0"/>
    <n v="1"/>
    <n v="1"/>
    <s v="Bachelors "/>
    <s v="Bachelors "/>
    <s v="Bachelors "/>
    <n v="0"/>
    <s v="30-39"/>
  </r>
  <r>
    <s v="6A67-EC2C"/>
    <s v="Fionnula"/>
    <s v="Charsley"/>
    <x v="0"/>
    <n v="23"/>
    <s v="Some Travel"/>
    <x v="0"/>
    <n v="21"/>
    <s v="CA"/>
    <s v="White"/>
    <n v="4"/>
    <s v="Marketing"/>
    <x v="0"/>
    <s v="Single"/>
    <n v="37626"/>
    <n v="0"/>
    <x v="0"/>
    <d v="2017-02-04T00:00:00"/>
    <s v="No"/>
    <n v="5"/>
    <n v="4"/>
    <n v="4"/>
    <n v="2"/>
    <s v="Masters "/>
    <s v="Masters "/>
    <s v="Masters "/>
    <n v="0"/>
    <s v="20-29"/>
  </r>
  <r>
    <s v="D529-0BC2"/>
    <s v="Katharina"/>
    <s v="Nehlsen"/>
    <x v="0"/>
    <n v="24"/>
    <s v="Some Travel"/>
    <x v="2"/>
    <n v="42"/>
    <s v="CA"/>
    <s v="White"/>
    <n v="2"/>
    <s v="Other"/>
    <x v="4"/>
    <s v="Married"/>
    <n v="38775"/>
    <n v="1"/>
    <x v="1"/>
    <d v="2017-02-06T00:00:00"/>
    <s v="No"/>
    <n v="5"/>
    <n v="0"/>
    <n v="5"/>
    <n v="1"/>
    <s v="High School "/>
    <s v="High School "/>
    <s v="High School "/>
    <n v="0"/>
    <s v="20-29"/>
  </r>
  <r>
    <s v="AE51-5502"/>
    <s v="Randy"/>
    <s v="Luxford"/>
    <x v="1"/>
    <n v="23"/>
    <s v="Some Travel"/>
    <x v="2"/>
    <n v="19"/>
    <s v="NY"/>
    <s v="American Indian or Alaska Native"/>
    <n v="4"/>
    <s v="Business Studies"/>
    <x v="4"/>
    <s v="Married"/>
    <n v="25986"/>
    <n v="1"/>
    <x v="0"/>
    <d v="2017-02-08T00:00:00"/>
    <s v="No"/>
    <n v="5"/>
    <n v="4"/>
    <n v="4"/>
    <n v="3"/>
    <s v="Masters "/>
    <s v="Masters "/>
    <s v="Masters "/>
    <n v="0"/>
    <s v="20-29"/>
  </r>
  <r>
    <s v="E442-1FEE"/>
    <s v="Nicoline"/>
    <s v="Rippon"/>
    <x v="0"/>
    <n v="25"/>
    <s v="Frequent Traveller"/>
    <x v="2"/>
    <n v="36"/>
    <s v="CA"/>
    <s v="American Indian or Alaska Native"/>
    <n v="2"/>
    <s v="Information Systems"/>
    <x v="4"/>
    <s v="Single"/>
    <n v="31698"/>
    <n v="0"/>
    <x v="0"/>
    <d v="2017-02-13T00:00:00"/>
    <s v="No"/>
    <n v="5"/>
    <n v="5"/>
    <n v="5"/>
    <n v="2"/>
    <s v="High School "/>
    <s v="High School "/>
    <s v="High School "/>
    <n v="0"/>
    <s v="20-29"/>
  </r>
  <r>
    <s v="D457-AB87"/>
    <s v="Geoffrey"/>
    <s v="Bambery"/>
    <x v="1"/>
    <n v="24"/>
    <s v="Some Travel"/>
    <x v="0"/>
    <n v="29"/>
    <s v="CA"/>
    <s v="Mixed or multiple ethnic groups"/>
    <n v="3"/>
    <s v="Marketing"/>
    <x v="0"/>
    <s v="Married"/>
    <n v="105859"/>
    <n v="2"/>
    <x v="0"/>
    <d v="2017-02-13T00:00:00"/>
    <s v="No"/>
    <n v="5"/>
    <n v="5"/>
    <n v="5"/>
    <n v="3"/>
    <s v="Bachelors "/>
    <s v="Bachelors "/>
    <s v="Bachelors "/>
    <n v="0"/>
    <s v="20-29"/>
  </r>
  <r>
    <s v="9CC0-FF43"/>
    <s v="Gussy"/>
    <s v="Gaber"/>
    <x v="0"/>
    <n v="25"/>
    <s v="Some Travel"/>
    <x v="2"/>
    <n v="32"/>
    <s v="NY"/>
    <s v="Mixed or multiple ethnic groups"/>
    <n v="3"/>
    <s v="Information Systems"/>
    <x v="7"/>
    <s v="Married"/>
    <n v="35586"/>
    <n v="0"/>
    <x v="0"/>
    <d v="2017-02-17T00:00:00"/>
    <s v="No"/>
    <n v="5"/>
    <n v="4"/>
    <n v="5"/>
    <n v="0"/>
    <s v="Bachelors "/>
    <s v="Bachelors "/>
    <s v="Bachelors "/>
    <n v="0"/>
    <s v="20-29"/>
  </r>
  <r>
    <s v="1BAE-4DA1"/>
    <s v="Jessalin"/>
    <s v="Macrow"/>
    <x v="0"/>
    <n v="25"/>
    <s v="No Travel "/>
    <x v="2"/>
    <n v="27"/>
    <s v="NY"/>
    <s v="Mixed or multiple ethnic groups"/>
    <n v="4"/>
    <s v="Business Studies"/>
    <x v="7"/>
    <s v="Married"/>
    <n v="28288"/>
    <n v="2"/>
    <x v="0"/>
    <d v="2017-03-01T00:00:00"/>
    <s v="No"/>
    <n v="5"/>
    <n v="5"/>
    <n v="5"/>
    <n v="0"/>
    <s v="Masters "/>
    <s v="Masters "/>
    <s v="Masters "/>
    <n v="0"/>
    <s v="20-29"/>
  </r>
  <r>
    <s v="7486-A1B6"/>
    <s v="Ripley"/>
    <s v="Woodvine"/>
    <x v="1"/>
    <n v="23"/>
    <s v="Some Travel"/>
    <x v="2"/>
    <n v="25"/>
    <s v="CA"/>
    <s v="White"/>
    <n v="2"/>
    <s v="Information Systems"/>
    <x v="4"/>
    <s v="Married"/>
    <n v="50570"/>
    <n v="1"/>
    <x v="0"/>
    <d v="2017-03-01T00:00:00"/>
    <s v="No"/>
    <n v="5"/>
    <n v="2"/>
    <n v="3"/>
    <n v="2"/>
    <s v="High School "/>
    <s v="High School "/>
    <s v="High School "/>
    <n v="0"/>
    <s v="20-29"/>
  </r>
  <r>
    <s v="DD1E-583D"/>
    <s v="Ashton"/>
    <s v="Lauga"/>
    <x v="1"/>
    <n v="24"/>
    <s v="Some Travel"/>
    <x v="1"/>
    <n v="36"/>
    <s v="IL"/>
    <s v="Mixed or multiple ethnic groups"/>
    <n v="3"/>
    <s v="Human Resources"/>
    <x v="3"/>
    <s v="Married"/>
    <n v="29428"/>
    <n v="0"/>
    <x v="0"/>
    <d v="2017-03-02T00:00:00"/>
    <s v="No"/>
    <n v="5"/>
    <n v="5"/>
    <n v="5"/>
    <n v="0"/>
    <s v="Bachelors "/>
    <s v="Bachelors "/>
    <s v="Bachelors "/>
    <n v="0"/>
    <s v="20-29"/>
  </r>
  <r>
    <s v="2857-A950"/>
    <s v="Chauncey"/>
    <s v="Golt"/>
    <x v="1"/>
    <n v="24"/>
    <s v="Some Travel"/>
    <x v="0"/>
    <n v="13"/>
    <s v="CA"/>
    <s v="Mixed or multiple ethnic groups"/>
    <n v="2"/>
    <s v="Economics"/>
    <x v="0"/>
    <s v="Married"/>
    <n v="64852"/>
    <n v="1"/>
    <x v="0"/>
    <d v="2017-03-05T00:00:00"/>
    <s v="No"/>
    <n v="5"/>
    <n v="1"/>
    <n v="5"/>
    <n v="2"/>
    <s v="High School "/>
    <s v="High School "/>
    <s v="High School "/>
    <n v="0"/>
    <s v="20-29"/>
  </r>
  <r>
    <s v="5E53-1897"/>
    <s v="Hamish"/>
    <s v="Carlsen"/>
    <x v="1"/>
    <n v="23"/>
    <s v="Some Travel"/>
    <x v="2"/>
    <n v="6"/>
    <s v="CA"/>
    <s v="Mixed or multiple ethnic groups"/>
    <n v="4"/>
    <s v="Other"/>
    <x v="7"/>
    <s v="Married"/>
    <n v="87483"/>
    <n v="1"/>
    <x v="1"/>
    <d v="2017-03-06T00:00:00"/>
    <s v="No"/>
    <n v="5"/>
    <n v="1"/>
    <n v="2"/>
    <n v="0"/>
    <s v="Masters "/>
    <s v="Masters "/>
    <s v="Masters "/>
    <n v="0"/>
    <s v="20-29"/>
  </r>
  <r>
    <s v="B437-FCF8"/>
    <s v="Nettie"/>
    <s v="Liley"/>
    <x v="0"/>
    <n v="26"/>
    <s v="Some Travel"/>
    <x v="2"/>
    <n v="23"/>
    <s v="CA"/>
    <s v="American Indian or Alaska Native"/>
    <n v="2"/>
    <s v="Information Systems"/>
    <x v="10"/>
    <s v="Married"/>
    <n v="221954"/>
    <n v="1"/>
    <x v="0"/>
    <d v="2017-03-08T00:00:00"/>
    <s v="No"/>
    <n v="5"/>
    <n v="0"/>
    <n v="3"/>
    <n v="1"/>
    <s v="High School "/>
    <s v="High School "/>
    <s v="High School "/>
    <n v="0"/>
    <s v="20-29"/>
  </r>
  <r>
    <s v="B268-1642"/>
    <s v="Katerine"/>
    <s v="Maffione"/>
    <x v="0"/>
    <n v="26"/>
    <s v="No Travel "/>
    <x v="0"/>
    <n v="8"/>
    <s v="IL"/>
    <s v="White"/>
    <n v="2"/>
    <s v="Technical Degree"/>
    <x v="0"/>
    <s v="Married"/>
    <n v="61686"/>
    <n v="1"/>
    <x v="1"/>
    <d v="2017-03-14T00:00:00"/>
    <s v="No"/>
    <n v="5"/>
    <n v="0"/>
    <n v="0"/>
    <n v="1"/>
    <s v="High School "/>
    <s v="High School "/>
    <s v="High School "/>
    <n v="0"/>
    <s v="20-29"/>
  </r>
  <r>
    <s v="C77A-2348"/>
    <s v="Mortimer"/>
    <s v="Planks"/>
    <x v="1"/>
    <n v="26"/>
    <s v="Some Travel"/>
    <x v="2"/>
    <n v="15"/>
    <s v="NY"/>
    <s v="White"/>
    <n v="1"/>
    <s v="Information Systems"/>
    <x v="7"/>
    <s v="Married"/>
    <n v="45085"/>
    <n v="2"/>
    <x v="0"/>
    <d v="2017-03-17T00:00:00"/>
    <s v="No"/>
    <n v="5"/>
    <n v="2"/>
    <n v="4"/>
    <n v="2"/>
    <s v="No Formal Qualifications"/>
    <s v="No Formal Qualifications"/>
    <s v="No Formal Qualifications"/>
    <n v="0"/>
    <s v="20-29"/>
  </r>
  <r>
    <s v="E7F5-0AD1"/>
    <s v="Walden"/>
    <s v="Skuce"/>
    <x v="1"/>
    <n v="24"/>
    <s v="Some Travel"/>
    <x v="2"/>
    <n v="16"/>
    <s v="CA"/>
    <s v="Asian or Asian American"/>
    <n v="1"/>
    <s v="Computer Science"/>
    <x v="5"/>
    <s v="Married"/>
    <n v="55814"/>
    <n v="2"/>
    <x v="0"/>
    <d v="2017-03-21T00:00:00"/>
    <s v="No"/>
    <n v="5"/>
    <n v="3"/>
    <n v="4"/>
    <n v="3"/>
    <s v="No Formal Qualifications"/>
    <s v="No Formal Qualifications"/>
    <s v="No Formal Qualifications"/>
    <n v="0"/>
    <s v="20-29"/>
  </r>
  <r>
    <s v="7839-CA12"/>
    <s v="Orella"/>
    <s v="Chappelle"/>
    <x v="0"/>
    <n v="23"/>
    <s v="Some Travel"/>
    <x v="0"/>
    <n v="16"/>
    <s v="CA"/>
    <s v="White"/>
    <n v="3"/>
    <s v="Marketing"/>
    <x v="9"/>
    <s v="Single"/>
    <n v="23794"/>
    <n v="0"/>
    <x v="0"/>
    <d v="2017-03-25T00:00:00"/>
    <s v="Yes"/>
    <n v="1"/>
    <n v="0"/>
    <n v="0"/>
    <n v="0"/>
    <s v="Bachelors "/>
    <s v="Bachelors "/>
    <s v="Bachelors "/>
    <n v="1"/>
    <s v="20-29"/>
  </r>
  <r>
    <s v="8462-E88A"/>
    <s v="Renault"/>
    <s v="Dobbyn"/>
    <x v="1"/>
    <n v="25"/>
    <s v="Some Travel"/>
    <x v="1"/>
    <n v="18"/>
    <s v="NY"/>
    <s v="Black or African American"/>
    <n v="4"/>
    <s v="Marketing "/>
    <x v="1"/>
    <s v="Single"/>
    <n v="190466"/>
    <n v="0"/>
    <x v="0"/>
    <d v="2017-03-26T00:00:00"/>
    <s v="No"/>
    <n v="5"/>
    <n v="2"/>
    <n v="2"/>
    <n v="5"/>
    <s v="Masters "/>
    <s v="Masters "/>
    <s v="Masters "/>
    <n v="0"/>
    <s v="20-29"/>
  </r>
  <r>
    <s v="79E4-6632"/>
    <s v="Tailor"/>
    <s v="Cansfield"/>
    <x v="1"/>
    <n v="23"/>
    <s v="Some Travel"/>
    <x v="2"/>
    <n v="45"/>
    <s v="CA"/>
    <s v="Asian or Asian American"/>
    <n v="2"/>
    <s v="Computer Science"/>
    <x v="7"/>
    <s v="Married"/>
    <n v="37322"/>
    <n v="1"/>
    <x v="0"/>
    <d v="2017-03-28T00:00:00"/>
    <s v="No"/>
    <n v="5"/>
    <n v="3"/>
    <n v="3"/>
    <n v="3"/>
    <s v="High School "/>
    <s v="High School "/>
    <s v="High School "/>
    <n v="0"/>
    <s v="20-29"/>
  </r>
  <r>
    <s v="097B-A688"/>
    <s v="Hillard"/>
    <s v="Hulson"/>
    <x v="1"/>
    <n v="23"/>
    <s v="Some Travel"/>
    <x v="2"/>
    <n v="33"/>
    <s v="NY"/>
    <s v="Native Hawaiian "/>
    <n v="2"/>
    <s v="Information Systems"/>
    <x v="4"/>
    <s v="Married"/>
    <n v="26198"/>
    <n v="1"/>
    <x v="1"/>
    <d v="2017-04-04T00:00:00"/>
    <s v="No"/>
    <n v="5"/>
    <n v="4"/>
    <n v="4"/>
    <n v="0"/>
    <s v="High School "/>
    <s v="High School "/>
    <s v="High School "/>
    <n v="0"/>
    <s v="20-29"/>
  </r>
  <r>
    <s v="A7F8-24EA"/>
    <s v="Antonio"/>
    <s v="Nayer"/>
    <x v="1"/>
    <n v="24"/>
    <s v="Some Travel"/>
    <x v="2"/>
    <n v="35"/>
    <s v="CA"/>
    <s v="Black or African American"/>
    <n v="3"/>
    <s v="Information Systems"/>
    <x v="5"/>
    <s v="Married"/>
    <n v="128126"/>
    <n v="0"/>
    <x v="1"/>
    <d v="2017-04-04T00:00:00"/>
    <s v="No"/>
    <n v="5"/>
    <n v="0"/>
    <n v="0"/>
    <n v="5"/>
    <s v="Bachelors "/>
    <s v="Bachelors "/>
    <s v="Bachelors "/>
    <n v="0"/>
    <s v="20-29"/>
  </r>
  <r>
    <s v="8078-6154"/>
    <s v="Hattie"/>
    <s v="Algeo"/>
    <x v="0"/>
    <n v="26"/>
    <s v="Some Travel"/>
    <x v="0"/>
    <n v="29"/>
    <s v="NY"/>
    <s v="White"/>
    <n v="1"/>
    <s v="Marketing"/>
    <x v="6"/>
    <s v="Married"/>
    <n v="172070"/>
    <n v="1"/>
    <x v="0"/>
    <d v="2017-04-09T00:00:00"/>
    <s v="No"/>
    <n v="5"/>
    <n v="4"/>
    <n v="4"/>
    <n v="3"/>
    <s v="No Formal Qualifications"/>
    <s v="No Formal Qualifications"/>
    <s v="No Formal Qualifications"/>
    <n v="0"/>
    <s v="20-29"/>
  </r>
  <r>
    <s v="DEC5-9319"/>
    <s v="Gasparo"/>
    <s v="Strewthers"/>
    <x v="1"/>
    <n v="23"/>
    <s v="Some Travel"/>
    <x v="2"/>
    <n v="5"/>
    <s v="CA"/>
    <s v="Asian or Asian American"/>
    <n v="3"/>
    <s v="Information Systems"/>
    <x v="7"/>
    <s v="Single"/>
    <n v="63709"/>
    <n v="0"/>
    <x v="0"/>
    <d v="2017-04-14T00:00:00"/>
    <s v="Yes"/>
    <n v="1"/>
    <n v="0"/>
    <n v="0"/>
    <n v="0"/>
    <s v="Bachelors "/>
    <s v="Bachelors "/>
    <s v="Bachelors "/>
    <n v="1"/>
    <s v="20-29"/>
  </r>
  <r>
    <s v="28F4-8367"/>
    <s v="Conny"/>
    <s v="Iveans"/>
    <x v="2"/>
    <n v="25"/>
    <s v="Some Travel"/>
    <x v="2"/>
    <n v="4"/>
    <s v="CA"/>
    <s v="Mixed or multiple ethnic groups"/>
    <n v="3"/>
    <s v="Business Studies"/>
    <x v="5"/>
    <s v="Divorced"/>
    <n v="39456"/>
    <n v="2"/>
    <x v="0"/>
    <d v="2017-04-15T00:00:00"/>
    <s v="No"/>
    <n v="5"/>
    <n v="1"/>
    <n v="5"/>
    <n v="4"/>
    <s v="Bachelors "/>
    <s v="Bachelors "/>
    <s v="Bachelors "/>
    <n v="0"/>
    <s v="20-29"/>
  </r>
  <r>
    <s v="5C87-D7BB"/>
    <s v="Malory"/>
    <s v="Dumbelton"/>
    <x v="0"/>
    <n v="25"/>
    <s v="Frequent Traveller"/>
    <x v="2"/>
    <n v="5"/>
    <s v="CA"/>
    <s v="Mixed or multiple ethnic groups"/>
    <n v="4"/>
    <s v="Computer Science"/>
    <x v="7"/>
    <s v="Single"/>
    <n v="67151"/>
    <n v="0"/>
    <x v="1"/>
    <d v="2017-04-22T00:00:00"/>
    <s v="No"/>
    <n v="5"/>
    <n v="4"/>
    <n v="5"/>
    <n v="4"/>
    <s v="Masters "/>
    <s v="Masters "/>
    <s v="Masters "/>
    <n v="0"/>
    <s v="20-29"/>
  </r>
  <r>
    <s v="D383-714B"/>
    <s v="Lindsey"/>
    <s v="Hedley"/>
    <x v="1"/>
    <n v="26"/>
    <s v="Frequent Traveller"/>
    <x v="2"/>
    <n v="12"/>
    <s v="IL"/>
    <s v="White"/>
    <n v="3"/>
    <s v="Other"/>
    <x v="4"/>
    <s v="Married"/>
    <n v="29449"/>
    <n v="1"/>
    <x v="0"/>
    <d v="2017-04-22T00:00:00"/>
    <s v="No"/>
    <n v="5"/>
    <n v="1"/>
    <n v="3"/>
    <n v="1"/>
    <s v="Bachelors "/>
    <s v="Bachelors "/>
    <s v="Bachelors "/>
    <n v="0"/>
    <s v="20-29"/>
  </r>
  <r>
    <s v="0D1B-DEC2"/>
    <s v="Celestine"/>
    <s v="Kyngdon"/>
    <x v="2"/>
    <n v="24"/>
    <s v="Some Travel"/>
    <x v="2"/>
    <n v="23"/>
    <s v="CA"/>
    <s v="American Indian or Alaska Native"/>
    <n v="3"/>
    <s v="Computer Science"/>
    <x v="4"/>
    <s v="Single"/>
    <n v="100586"/>
    <n v="0"/>
    <x v="0"/>
    <d v="2017-04-23T00:00:00"/>
    <s v="Yes"/>
    <n v="4"/>
    <n v="4"/>
    <n v="4"/>
    <n v="4"/>
    <s v="Bachelors "/>
    <s v="Bachelors "/>
    <s v="Bachelors "/>
    <n v="1"/>
    <s v="20-29"/>
  </r>
  <r>
    <s v="DD04-BDF8"/>
    <s v="Kile"/>
    <s v="Notton"/>
    <x v="1"/>
    <n v="25"/>
    <s v="Some Travel"/>
    <x v="1"/>
    <n v="44"/>
    <s v="CA"/>
    <s v="Black or African American"/>
    <n v="4"/>
    <s v="Economics"/>
    <x v="11"/>
    <s v="Married"/>
    <n v="132102"/>
    <n v="1"/>
    <x v="0"/>
    <d v="2017-04-23T00:00:00"/>
    <s v="No"/>
    <n v="5"/>
    <n v="5"/>
    <n v="5"/>
    <n v="0"/>
    <s v="Masters "/>
    <s v="Masters "/>
    <s v="Masters "/>
    <n v="0"/>
    <s v="20-29"/>
  </r>
  <r>
    <s v="7749-B277"/>
    <s v="Caryl"/>
    <s v="Roycroft"/>
    <x v="1"/>
    <n v="24"/>
    <s v="Some Travel"/>
    <x v="1"/>
    <n v="1"/>
    <s v="IL"/>
    <s v="Mixed or multiple ethnic groups"/>
    <n v="5"/>
    <s v="Human Resources"/>
    <x v="11"/>
    <s v="Married"/>
    <n v="44634"/>
    <n v="0"/>
    <x v="0"/>
    <d v="2017-04-25T00:00:00"/>
    <s v="Yes"/>
    <n v="4"/>
    <n v="3"/>
    <n v="3"/>
    <n v="2"/>
    <s v="Doctorate"/>
    <s v="Doctorate"/>
    <s v="Doctorate"/>
    <n v="1"/>
    <s v="20-29"/>
  </r>
  <r>
    <s v="2CA8-4E1B"/>
    <s v="Nicoline"/>
    <s v="Pote"/>
    <x v="2"/>
    <n v="23"/>
    <s v="Some Travel"/>
    <x v="2"/>
    <n v="7"/>
    <s v="NY"/>
    <s v="Asian or Asian American"/>
    <n v="3"/>
    <s v="Business Studies"/>
    <x v="7"/>
    <s v="Single"/>
    <n v="28753"/>
    <n v="0"/>
    <x v="0"/>
    <d v="2017-05-02T00:00:00"/>
    <s v="Yes"/>
    <n v="2"/>
    <n v="1"/>
    <n v="1"/>
    <n v="0"/>
    <s v="Bachelors "/>
    <s v="Bachelors "/>
    <s v="Bachelors "/>
    <n v="1"/>
    <s v="20-29"/>
  </r>
  <r>
    <s v="EACC-D1F6"/>
    <s v="Garth"/>
    <s v="Gove"/>
    <x v="1"/>
    <n v="25"/>
    <s v="Some Travel"/>
    <x v="2"/>
    <n v="20"/>
    <s v="CA"/>
    <s v="White"/>
    <n v="3"/>
    <s v="Computer Science"/>
    <x v="4"/>
    <s v="Married"/>
    <n v="27673"/>
    <n v="2"/>
    <x v="1"/>
    <d v="2017-05-05T00:00:00"/>
    <s v="Yes"/>
    <n v="3"/>
    <n v="2"/>
    <n v="3"/>
    <n v="1"/>
    <s v="Bachelors "/>
    <s v="Bachelors "/>
    <s v="Bachelors "/>
    <n v="1"/>
    <s v="20-29"/>
  </r>
  <r>
    <s v="B8C3-5E0A"/>
    <s v="Joyous"/>
    <s v="Muggleston"/>
    <x v="0"/>
    <n v="26"/>
    <s v="Some Travel"/>
    <x v="2"/>
    <n v="18"/>
    <s v="CA"/>
    <s v="White"/>
    <n v="3"/>
    <s v="Computer Science"/>
    <x v="4"/>
    <s v="Divorced"/>
    <n v="26414"/>
    <n v="2"/>
    <x v="0"/>
    <d v="2017-05-14T00:00:00"/>
    <s v="No"/>
    <n v="5"/>
    <n v="5"/>
    <n v="5"/>
    <n v="0"/>
    <s v="Bachelors "/>
    <s v="Bachelors "/>
    <s v="Bachelors "/>
    <n v="0"/>
    <s v="20-29"/>
  </r>
  <r>
    <s v="1A6D-AF5D"/>
    <s v="Clair"/>
    <s v="Muldownie"/>
    <x v="1"/>
    <n v="25"/>
    <s v="Some Travel"/>
    <x v="2"/>
    <n v="9"/>
    <s v="NY"/>
    <s v="White"/>
    <n v="3"/>
    <s v="Information Systems"/>
    <x v="2"/>
    <s v="Single"/>
    <n v="243908"/>
    <n v="0"/>
    <x v="0"/>
    <d v="2017-05-15T00:00:00"/>
    <s v="No"/>
    <n v="5"/>
    <n v="4"/>
    <n v="4"/>
    <n v="1"/>
    <s v="Bachelors "/>
    <s v="Bachelors "/>
    <s v="Bachelors "/>
    <n v="0"/>
    <s v="20-29"/>
  </r>
  <r>
    <s v="4FCD-7D65"/>
    <s v="Frannie"/>
    <s v="Dunrige"/>
    <x v="0"/>
    <n v="24"/>
    <s v="No Travel "/>
    <x v="2"/>
    <n v="26"/>
    <s v="CA"/>
    <s v="Asian or Asian American"/>
    <n v="4"/>
    <s v="Computer Science"/>
    <x v="8"/>
    <s v="Divorced"/>
    <n v="77358"/>
    <n v="1"/>
    <x v="1"/>
    <d v="2017-05-30T00:00:00"/>
    <s v="No"/>
    <n v="5"/>
    <n v="0"/>
    <n v="0"/>
    <n v="4"/>
    <s v="Masters "/>
    <s v="Masters "/>
    <s v="Masters "/>
    <n v="0"/>
    <s v="20-29"/>
  </r>
  <r>
    <s v="7279-6591"/>
    <s v="Bradan"/>
    <s v="Rozzier"/>
    <x v="1"/>
    <n v="41"/>
    <s v="Some Travel"/>
    <x v="0"/>
    <n v="25"/>
    <s v="CA"/>
    <s v="American Indian or Alaska Native"/>
    <n v="3"/>
    <s v="Marketing "/>
    <x v="0"/>
    <s v="Single"/>
    <n v="231843"/>
    <n v="0"/>
    <x v="1"/>
    <d v="2017-06-01T00:00:00"/>
    <s v="Yes"/>
    <n v="1"/>
    <n v="1"/>
    <n v="1"/>
    <n v="0"/>
    <s v="Bachelors "/>
    <s v="Bachelors "/>
    <s v="Bachelors "/>
    <n v="1"/>
    <s v="40-49"/>
  </r>
  <r>
    <s v="6925-864E"/>
    <s v="Lilith"/>
    <s v="Cargen"/>
    <x v="0"/>
    <n v="25"/>
    <s v="No Travel "/>
    <x v="2"/>
    <n v="30"/>
    <s v="CA"/>
    <s v="White"/>
    <n v="2"/>
    <s v="Computer Science"/>
    <x v="8"/>
    <s v="Divorced"/>
    <n v="43644"/>
    <n v="2"/>
    <x v="0"/>
    <d v="2017-06-02T00:00:00"/>
    <s v="No"/>
    <n v="5"/>
    <n v="3"/>
    <n v="3"/>
    <n v="5"/>
    <s v="High School "/>
    <s v="High School "/>
    <s v="High School "/>
    <n v="0"/>
    <s v="20-29"/>
  </r>
  <r>
    <s v="4563-8637"/>
    <s v="Vernor"/>
    <s v="Farrell"/>
    <x v="1"/>
    <n v="25"/>
    <s v="Some Travel"/>
    <x v="0"/>
    <n v="44"/>
    <s v="CA"/>
    <s v="Mixed or multiple ethnic groups"/>
    <n v="2"/>
    <s v="Marketing"/>
    <x v="0"/>
    <s v="Married"/>
    <n v="75635"/>
    <n v="2"/>
    <x v="0"/>
    <d v="2017-06-07T00:00:00"/>
    <s v="No"/>
    <n v="5"/>
    <n v="2"/>
    <n v="2"/>
    <n v="5"/>
    <s v="High School "/>
    <s v="High School "/>
    <s v="High School "/>
    <n v="0"/>
    <s v="20-29"/>
  </r>
  <r>
    <s v="2546-1312"/>
    <s v="Carlos"/>
    <s v="Galia"/>
    <x v="1"/>
    <n v="25"/>
    <s v="Frequent Traveller"/>
    <x v="2"/>
    <n v="20"/>
    <s v="NY"/>
    <s v="American Indian or Alaska Native"/>
    <n v="3"/>
    <s v="Information Systems"/>
    <x v="4"/>
    <s v="Single"/>
    <n v="61054"/>
    <n v="0"/>
    <x v="0"/>
    <d v="2017-06-24T00:00:00"/>
    <s v="No"/>
    <n v="5"/>
    <n v="0"/>
    <n v="1"/>
    <n v="0"/>
    <s v="Bachelors "/>
    <s v="Bachelors "/>
    <s v="Bachelors "/>
    <n v="0"/>
    <s v="20-29"/>
  </r>
  <r>
    <s v="FFCF-0BD5"/>
    <s v="Sky"/>
    <s v="Mattioni"/>
    <x v="3"/>
    <n v="23"/>
    <s v="Some Travel"/>
    <x v="1"/>
    <n v="42"/>
    <s v="CA"/>
    <s v="Black or African American"/>
    <n v="1"/>
    <s v="Marketing "/>
    <x v="3"/>
    <s v="Married"/>
    <n v="30683"/>
    <n v="1"/>
    <x v="0"/>
    <d v="2017-06-25T00:00:00"/>
    <s v="No"/>
    <n v="5"/>
    <n v="5"/>
    <n v="5"/>
    <n v="5"/>
    <s v="No Formal Qualifications"/>
    <s v="No Formal Qualifications"/>
    <s v="No Formal Qualifications"/>
    <n v="0"/>
    <s v="20-29"/>
  </r>
  <r>
    <s v="7623-9AF1"/>
    <s v="Sosanna"/>
    <s v="Armstrong"/>
    <x v="0"/>
    <n v="26"/>
    <s v="Some Travel"/>
    <x v="2"/>
    <n v="18"/>
    <s v="CA"/>
    <s v="Mixed or multiple ethnic groups"/>
    <n v="3"/>
    <s v="Information Systems"/>
    <x v="4"/>
    <s v="Married"/>
    <n v="46809"/>
    <n v="1"/>
    <x v="0"/>
    <d v="2017-06-29T00:00:00"/>
    <s v="No"/>
    <n v="5"/>
    <n v="0"/>
    <n v="0"/>
    <n v="2"/>
    <s v="Bachelors "/>
    <s v="Bachelors "/>
    <s v="Bachelors "/>
    <n v="0"/>
    <s v="20-29"/>
  </r>
  <r>
    <s v="C973-E8E5"/>
    <s v="Bertie"/>
    <s v="Murrells"/>
    <x v="1"/>
    <n v="26"/>
    <s v="Some Travel"/>
    <x v="2"/>
    <n v="2"/>
    <s v="CA"/>
    <s v="White"/>
    <n v="3"/>
    <s v="Computer Science"/>
    <x v="7"/>
    <s v="Married"/>
    <n v="57722"/>
    <n v="1"/>
    <x v="1"/>
    <d v="2017-06-30T00:00:00"/>
    <s v="No"/>
    <n v="5"/>
    <n v="4"/>
    <n v="4"/>
    <n v="0"/>
    <s v="Bachelors "/>
    <s v="Bachelors "/>
    <s v="Bachelors "/>
    <n v="0"/>
    <s v="20-29"/>
  </r>
  <r>
    <s v="763B-DE6E"/>
    <s v="Nat"/>
    <s v="Fettes"/>
    <x v="3"/>
    <n v="23"/>
    <s v="Some Travel"/>
    <x v="2"/>
    <n v="32"/>
    <s v="CA"/>
    <s v="White"/>
    <n v="4"/>
    <s v="Computer Science"/>
    <x v="7"/>
    <s v="Divorced"/>
    <n v="23041"/>
    <n v="1"/>
    <x v="1"/>
    <d v="2017-06-30T00:00:00"/>
    <s v="No"/>
    <n v="5"/>
    <n v="1"/>
    <n v="5"/>
    <n v="3"/>
    <s v="Masters "/>
    <s v="Masters "/>
    <s v="Masters "/>
    <n v="0"/>
    <s v="20-29"/>
  </r>
  <r>
    <s v="7EEF-9A90"/>
    <s v="Sheryl"/>
    <s v="Bridell"/>
    <x v="0"/>
    <n v="23"/>
    <s v="Some Travel"/>
    <x v="0"/>
    <n v="18"/>
    <s v="NY"/>
    <s v="Other "/>
    <n v="4"/>
    <s v="Technical Degree"/>
    <x v="0"/>
    <s v="Married"/>
    <n v="83677"/>
    <n v="1"/>
    <x v="1"/>
    <d v="2017-07-10T00:00:00"/>
    <s v="No"/>
    <n v="5"/>
    <n v="0"/>
    <n v="5"/>
    <n v="3"/>
    <s v="Masters "/>
    <s v="Masters "/>
    <s v="Masters "/>
    <n v="0"/>
    <s v="20-29"/>
  </r>
  <r>
    <s v="63B0-1036"/>
    <s v="Persis"/>
    <s v="Christon"/>
    <x v="0"/>
    <n v="25"/>
    <s v="Some Travel"/>
    <x v="2"/>
    <n v="12"/>
    <s v="NY"/>
    <s v="Mixed or multiple ethnic groups"/>
    <n v="3"/>
    <s v="Business Studies"/>
    <x v="7"/>
    <s v="Divorced"/>
    <n v="52957"/>
    <n v="1"/>
    <x v="0"/>
    <d v="2017-07-10T00:00:00"/>
    <s v="No"/>
    <n v="5"/>
    <n v="3"/>
    <n v="5"/>
    <n v="4"/>
    <s v="Bachelors "/>
    <s v="Bachelors "/>
    <s v="Bachelors "/>
    <n v="0"/>
    <s v="20-29"/>
  </r>
  <r>
    <s v="41FE-D257"/>
    <s v="Murdock"/>
    <s v="Heinsius"/>
    <x v="1"/>
    <n v="23"/>
    <s v="Frequent Traveller"/>
    <x v="0"/>
    <n v="31"/>
    <s v="CA"/>
    <s v="Mixed or multiple ethnic groups"/>
    <n v="3"/>
    <s v="Technical Degree"/>
    <x v="9"/>
    <s v="Single"/>
    <n v="23505"/>
    <n v="0"/>
    <x v="0"/>
    <d v="2017-07-12T00:00:00"/>
    <s v="Yes"/>
    <n v="1"/>
    <n v="0"/>
    <n v="0"/>
    <n v="0"/>
    <s v="Bachelors "/>
    <s v="Bachelors "/>
    <s v="Bachelors "/>
    <n v="1"/>
    <s v="20-29"/>
  </r>
  <r>
    <s v="D24B-5AC8"/>
    <s v="Horatio"/>
    <s v="Chaffen"/>
    <x v="1"/>
    <n v="24"/>
    <s v="Some Travel"/>
    <x v="2"/>
    <n v="45"/>
    <s v="CA"/>
    <s v="Mixed or multiple ethnic groups"/>
    <n v="4"/>
    <s v="Information Systems"/>
    <x v="4"/>
    <s v="Married"/>
    <n v="38022"/>
    <n v="0"/>
    <x v="0"/>
    <d v="2017-07-14T00:00:00"/>
    <s v="No"/>
    <n v="5"/>
    <n v="5"/>
    <n v="5"/>
    <n v="1"/>
    <s v="Masters "/>
    <s v="Masters "/>
    <s v="Masters "/>
    <n v="0"/>
    <s v="20-29"/>
  </r>
  <r>
    <s v="F7B0-E6B2"/>
    <s v="Tarrance"/>
    <s v="Reidshaw"/>
    <x v="1"/>
    <n v="24"/>
    <s v="Frequent Traveller"/>
    <x v="2"/>
    <n v="15"/>
    <s v="IL"/>
    <s v="White"/>
    <n v="2"/>
    <s v="Computer Science"/>
    <x v="4"/>
    <s v="Divorced"/>
    <n v="63078"/>
    <n v="1"/>
    <x v="0"/>
    <d v="2017-07-17T00:00:00"/>
    <s v="No"/>
    <n v="5"/>
    <n v="5"/>
    <n v="5"/>
    <n v="2"/>
    <s v="High School "/>
    <s v="High School "/>
    <s v="High School "/>
    <n v="0"/>
    <s v="20-29"/>
  </r>
  <r>
    <s v="9C6C-E5CE"/>
    <s v="Damon"/>
    <s v="Nice"/>
    <x v="2"/>
    <n v="23"/>
    <s v="Frequent Traveller"/>
    <x v="2"/>
    <n v="15"/>
    <s v="CA"/>
    <s v="Asian or Asian American"/>
    <n v="3"/>
    <s v="Information Systems"/>
    <x v="4"/>
    <s v="Single"/>
    <n v="29890"/>
    <n v="0"/>
    <x v="0"/>
    <d v="2017-07-24T00:00:00"/>
    <s v="No"/>
    <n v="5"/>
    <n v="0"/>
    <n v="1"/>
    <n v="1"/>
    <s v="Bachelors "/>
    <s v="Bachelors "/>
    <s v="Bachelors "/>
    <n v="0"/>
    <s v="20-29"/>
  </r>
  <r>
    <s v="184D-06FF"/>
    <s v="Waly"/>
    <s v="McCoish"/>
    <x v="0"/>
    <n v="26"/>
    <s v="Some Travel"/>
    <x v="2"/>
    <n v="24"/>
    <s v="CA"/>
    <s v="White"/>
    <n v="4"/>
    <s v="Computer Science"/>
    <x v="4"/>
    <s v="Divorced"/>
    <n v="35757"/>
    <n v="1"/>
    <x v="0"/>
    <d v="2017-07-25T00:00:00"/>
    <s v="No"/>
    <n v="5"/>
    <n v="3"/>
    <n v="4"/>
    <n v="0"/>
    <s v="Masters "/>
    <s v="Masters "/>
    <s v="Masters "/>
    <n v="0"/>
    <s v="20-29"/>
  </r>
  <r>
    <s v="2B70-5A31"/>
    <s v="Justinian"/>
    <s v="Ladell"/>
    <x v="1"/>
    <n v="25"/>
    <s v="Some Travel"/>
    <x v="2"/>
    <n v="17"/>
    <s v="NY"/>
    <s v="Mixed or multiple ethnic groups"/>
    <n v="3"/>
    <s v="Computer Science"/>
    <x v="7"/>
    <s v="Married"/>
    <n v="44082"/>
    <n v="0"/>
    <x v="0"/>
    <d v="2017-07-25T00:00:00"/>
    <s v="No"/>
    <n v="5"/>
    <n v="1"/>
    <n v="3"/>
    <n v="0"/>
    <s v="Bachelors "/>
    <s v="Bachelors "/>
    <s v="Bachelors "/>
    <n v="0"/>
    <s v="20-29"/>
  </r>
  <r>
    <s v="EDF2-2659"/>
    <s v="Robena"/>
    <s v="Oris"/>
    <x v="0"/>
    <n v="25"/>
    <s v="Some Travel"/>
    <x v="2"/>
    <n v="21"/>
    <s v="CA"/>
    <s v="White"/>
    <n v="1"/>
    <s v="Information Systems"/>
    <x v="8"/>
    <s v="Divorced"/>
    <n v="64398"/>
    <n v="3"/>
    <x v="0"/>
    <d v="2017-07-27T00:00:00"/>
    <s v="No"/>
    <n v="5"/>
    <n v="2"/>
    <n v="3"/>
    <n v="3"/>
    <s v="No Formal Qualifications"/>
    <s v="No Formal Qualifications"/>
    <s v="No Formal Qualifications"/>
    <n v="0"/>
    <s v="20-29"/>
  </r>
  <r>
    <s v="0BAF-7454"/>
    <s v="Ninnette"/>
    <s v="Braganza"/>
    <x v="2"/>
    <n v="26"/>
    <s v="Some Travel"/>
    <x v="2"/>
    <n v="12"/>
    <s v="NY"/>
    <s v="White"/>
    <n v="4"/>
    <s v="Computer Science"/>
    <x v="7"/>
    <s v="Single"/>
    <n v="37530"/>
    <n v="0"/>
    <x v="0"/>
    <d v="2017-07-30T00:00:00"/>
    <s v="No"/>
    <n v="5"/>
    <n v="5"/>
    <n v="5"/>
    <n v="5"/>
    <s v="Masters "/>
    <s v="Masters "/>
    <s v="Masters "/>
    <n v="0"/>
    <s v="20-29"/>
  </r>
  <r>
    <s v="8373-07C6"/>
    <s v="Inge"/>
    <s v="Bullon"/>
    <x v="0"/>
    <n v="25"/>
    <s v="Some Travel"/>
    <x v="2"/>
    <n v="21"/>
    <s v="CA"/>
    <s v="White"/>
    <n v="4"/>
    <s v="Information Systems"/>
    <x v="2"/>
    <s v="Married"/>
    <n v="261970"/>
    <n v="1"/>
    <x v="1"/>
    <d v="2017-07-31T00:00:00"/>
    <s v="No"/>
    <n v="5"/>
    <n v="4"/>
    <n v="4"/>
    <n v="3"/>
    <s v="Masters "/>
    <s v="Masters "/>
    <s v="Masters "/>
    <n v="0"/>
    <s v="20-29"/>
  </r>
  <r>
    <s v="BAFA-86DF"/>
    <s v="Rolfe"/>
    <s v="Ketchaside"/>
    <x v="1"/>
    <n v="26"/>
    <s v="No Travel "/>
    <x v="2"/>
    <n v="15"/>
    <s v="IL"/>
    <s v="Mixed or multiple ethnic groups"/>
    <n v="4"/>
    <s v="Business Studies"/>
    <x v="7"/>
    <s v="Married"/>
    <n v="35373"/>
    <n v="1"/>
    <x v="1"/>
    <d v="2017-08-02T00:00:00"/>
    <s v="Yes"/>
    <n v="4"/>
    <n v="3"/>
    <n v="3"/>
    <n v="0"/>
    <s v="Masters "/>
    <s v="Masters "/>
    <s v="Masters "/>
    <n v="1"/>
    <s v="20-29"/>
  </r>
  <r>
    <s v="74B4-CB7A"/>
    <s v="Eddi"/>
    <s v="Holywell"/>
    <x v="2"/>
    <n v="26"/>
    <s v="No Travel "/>
    <x v="1"/>
    <n v="23"/>
    <s v="CA"/>
    <s v="White"/>
    <n v="3"/>
    <s v="Human Resources"/>
    <x v="1"/>
    <s v="Single"/>
    <n v="240035"/>
    <n v="0"/>
    <x v="1"/>
    <d v="2017-08-03T00:00:00"/>
    <s v="No"/>
    <n v="5"/>
    <n v="5"/>
    <n v="5"/>
    <n v="3"/>
    <s v="Bachelors "/>
    <s v="Bachelors "/>
    <s v="Bachelors "/>
    <n v="0"/>
    <s v="20-29"/>
  </r>
  <r>
    <s v="4C66-6E16"/>
    <s v="Niki"/>
    <s v="Boseley"/>
    <x v="1"/>
    <n v="33"/>
    <s v="Some Travel"/>
    <x v="2"/>
    <n v="4"/>
    <s v="CA"/>
    <s v="Black or African American"/>
    <n v="4"/>
    <s v="Information Systems"/>
    <x v="2"/>
    <s v="Single"/>
    <n v="335261"/>
    <n v="0"/>
    <x v="0"/>
    <d v="2017-08-03T00:00:00"/>
    <s v="No"/>
    <n v="5"/>
    <n v="5"/>
    <n v="5"/>
    <n v="0"/>
    <s v="Masters "/>
    <s v="Masters "/>
    <s v="Masters "/>
    <n v="0"/>
    <s v="30-39"/>
  </r>
  <r>
    <s v="D6D2-184B"/>
    <s v="Valenka"/>
    <s v="Kayley"/>
    <x v="0"/>
    <n v="24"/>
    <s v="Some Travel"/>
    <x v="2"/>
    <n v="33"/>
    <s v="NY"/>
    <s v="White"/>
    <n v="3"/>
    <s v="Information Systems"/>
    <x v="8"/>
    <s v="Single"/>
    <n v="115399"/>
    <n v="0"/>
    <x v="0"/>
    <d v="2017-08-09T00:00:00"/>
    <s v="No"/>
    <n v="5"/>
    <n v="5"/>
    <n v="5"/>
    <n v="3"/>
    <s v="Bachelors "/>
    <s v="Bachelors "/>
    <s v="Bachelors "/>
    <n v="0"/>
    <s v="20-29"/>
  </r>
  <r>
    <s v="FB1D-5A51"/>
    <s v="Allys"/>
    <s v="Ruberry"/>
    <x v="0"/>
    <n v="23"/>
    <s v="Some Travel"/>
    <x v="2"/>
    <n v="29"/>
    <s v="CA"/>
    <s v="Mixed or multiple ethnic groups"/>
    <n v="3"/>
    <s v="Information Systems"/>
    <x v="7"/>
    <s v="Divorced"/>
    <n v="25500"/>
    <n v="1"/>
    <x v="0"/>
    <d v="2017-08-12T00:00:00"/>
    <s v="No"/>
    <n v="5"/>
    <n v="5"/>
    <n v="5"/>
    <n v="3"/>
    <s v="Bachelors "/>
    <s v="Bachelors "/>
    <s v="Bachelors "/>
    <n v="0"/>
    <s v="20-29"/>
  </r>
  <r>
    <s v="5AA7-C7BA"/>
    <s v="Reggis"/>
    <s v="Greenset"/>
    <x v="1"/>
    <n v="26"/>
    <s v="Some Travel"/>
    <x v="2"/>
    <n v="35"/>
    <s v="CA"/>
    <s v="American Indian or Alaska Native"/>
    <n v="4"/>
    <s v="Information Systems"/>
    <x v="2"/>
    <s v="Divorced"/>
    <n v="292386"/>
    <n v="2"/>
    <x v="0"/>
    <d v="2017-08-14T00:00:00"/>
    <s v="No"/>
    <n v="5"/>
    <n v="2"/>
    <n v="2"/>
    <n v="5"/>
    <s v="Masters "/>
    <s v="Masters "/>
    <s v="Masters "/>
    <n v="0"/>
    <s v="20-29"/>
  </r>
  <r>
    <s v="3E50-011E"/>
    <s v="Carol"/>
    <s v="Burgill"/>
    <x v="0"/>
    <n v="24"/>
    <s v="No Travel "/>
    <x v="2"/>
    <n v="29"/>
    <s v="CA"/>
    <s v="White"/>
    <n v="4"/>
    <s v="Information Systems"/>
    <x v="5"/>
    <s v="Married"/>
    <n v="158330"/>
    <n v="3"/>
    <x v="1"/>
    <d v="2017-08-18T00:00:00"/>
    <s v="No"/>
    <n v="5"/>
    <n v="1"/>
    <n v="3"/>
    <n v="0"/>
    <s v="Masters "/>
    <s v="Masters "/>
    <s v="Masters "/>
    <n v="0"/>
    <s v="20-29"/>
  </r>
  <r>
    <s v="3992-22AD"/>
    <s v="Kristal"/>
    <s v="le Keux"/>
    <x v="0"/>
    <n v="25"/>
    <s v="Some Travel"/>
    <x v="0"/>
    <n v="4"/>
    <s v="CA"/>
    <s v="Other "/>
    <n v="3"/>
    <s v="Marketing"/>
    <x v="0"/>
    <s v="Single"/>
    <n v="48917"/>
    <n v="0"/>
    <x v="0"/>
    <d v="2017-08-19T00:00:00"/>
    <s v="No"/>
    <n v="5"/>
    <n v="2"/>
    <n v="4"/>
    <n v="3"/>
    <s v="Bachelors "/>
    <s v="Bachelors "/>
    <s v="Bachelors "/>
    <n v="0"/>
    <s v="20-29"/>
  </r>
  <r>
    <s v="5642-6F1E"/>
    <s v="Lisette"/>
    <s v="Govett"/>
    <x v="2"/>
    <n v="26"/>
    <s v="No Travel "/>
    <x v="0"/>
    <n v="18"/>
    <s v="IL"/>
    <s v="White"/>
    <n v="2"/>
    <s v="Economics"/>
    <x v="0"/>
    <s v="Single"/>
    <n v="65194"/>
    <n v="0"/>
    <x v="0"/>
    <d v="2017-08-22T00:00:00"/>
    <s v="No"/>
    <n v="5"/>
    <n v="3"/>
    <n v="4"/>
    <n v="5"/>
    <s v="High School "/>
    <s v="High School "/>
    <s v="High School "/>
    <n v="0"/>
    <s v="20-29"/>
  </r>
  <r>
    <s v="005C-E0FB"/>
    <s v="Fin"/>
    <s v="O'Halleghane"/>
    <x v="2"/>
    <n v="24"/>
    <s v="Frequent Traveller"/>
    <x v="0"/>
    <n v="17"/>
    <s v="CA"/>
    <s v="White"/>
    <n v="4"/>
    <s v="Marketing "/>
    <x v="0"/>
    <s v="Married"/>
    <n v="56155"/>
    <n v="1"/>
    <x v="0"/>
    <d v="2017-08-26T00:00:00"/>
    <s v="No"/>
    <n v="5"/>
    <n v="2"/>
    <n v="2"/>
    <n v="0"/>
    <s v="Masters "/>
    <s v="Masters "/>
    <s v="Masters "/>
    <n v="0"/>
    <s v="20-29"/>
  </r>
  <r>
    <s v="45BA-6683"/>
    <s v="Hort"/>
    <s v="Rawstron"/>
    <x v="1"/>
    <n v="23"/>
    <s v="Some Travel"/>
    <x v="2"/>
    <n v="1"/>
    <s v="IL"/>
    <s v="Black or African American"/>
    <n v="1"/>
    <s v="Other"/>
    <x v="4"/>
    <s v="Divorced"/>
    <n v="47648"/>
    <n v="1"/>
    <x v="1"/>
    <d v="2017-08-29T00:00:00"/>
    <s v="No"/>
    <n v="5"/>
    <n v="2"/>
    <n v="4"/>
    <n v="5"/>
    <s v="No Formal Qualifications"/>
    <s v="No Formal Qualifications"/>
    <s v="No Formal Qualifications"/>
    <n v="0"/>
    <s v="20-29"/>
  </r>
  <r>
    <s v="D29C-A21F"/>
    <s v="Ebenezer"/>
    <s v="Bontein"/>
    <x v="1"/>
    <n v="25"/>
    <s v="Frequent Traveller"/>
    <x v="2"/>
    <n v="23"/>
    <s v="CA"/>
    <s v="Black or African American"/>
    <n v="3"/>
    <s v="Information Systems"/>
    <x v="7"/>
    <s v="Married"/>
    <n v="22525"/>
    <n v="1"/>
    <x v="0"/>
    <d v="2017-08-31T00:00:00"/>
    <s v="No"/>
    <n v="5"/>
    <n v="3"/>
    <n v="4"/>
    <n v="5"/>
    <s v="Bachelors "/>
    <s v="Bachelors "/>
    <s v="Bachelors "/>
    <n v="0"/>
    <s v="20-29"/>
  </r>
  <r>
    <s v="473C-EA4E"/>
    <s v="Myron"/>
    <s v="Millard"/>
    <x v="1"/>
    <n v="26"/>
    <s v="Some Travel"/>
    <x v="2"/>
    <n v="28"/>
    <s v="CA"/>
    <s v="Mixed or multiple ethnic groups"/>
    <n v="5"/>
    <s v="Computer Science"/>
    <x v="2"/>
    <s v="Married"/>
    <n v="246505"/>
    <n v="1"/>
    <x v="0"/>
    <d v="2017-09-04T00:00:00"/>
    <s v="No"/>
    <n v="5"/>
    <n v="1"/>
    <n v="3"/>
    <n v="2"/>
    <s v="Doctorate"/>
    <s v="Doctorate"/>
    <s v="Doctorate"/>
    <n v="0"/>
    <s v="20-29"/>
  </r>
  <r>
    <s v="5F5B-83B1"/>
    <s v="Michelina"/>
    <s v="Chester"/>
    <x v="0"/>
    <n v="38"/>
    <s v="Frequent Traveller"/>
    <x v="2"/>
    <n v="44"/>
    <s v="CA"/>
    <s v="White"/>
    <n v="2"/>
    <s v="Computer Science"/>
    <x v="2"/>
    <s v="Single"/>
    <n v="293425"/>
    <n v="0"/>
    <x v="1"/>
    <d v="2017-09-05T00:00:00"/>
    <s v="No"/>
    <n v="5"/>
    <n v="4"/>
    <n v="4"/>
    <n v="4"/>
    <s v="High School "/>
    <s v="High School "/>
    <s v="High School "/>
    <n v="0"/>
    <s v="30-39"/>
  </r>
  <r>
    <s v="E9D9-787A"/>
    <s v="Lyn"/>
    <s v="Walczynski"/>
    <x v="1"/>
    <n v="26"/>
    <s v="Some Travel"/>
    <x v="2"/>
    <n v="20"/>
    <s v="NY"/>
    <s v="White"/>
    <n v="1"/>
    <s v="Computer Science"/>
    <x v="8"/>
    <s v="Married"/>
    <n v="207687"/>
    <n v="1"/>
    <x v="1"/>
    <d v="2017-09-08T00:00:00"/>
    <s v="No"/>
    <n v="5"/>
    <n v="0"/>
    <n v="5"/>
    <n v="4"/>
    <s v="No Formal Qualifications"/>
    <s v="No Formal Qualifications"/>
    <s v="No Formal Qualifications"/>
    <n v="0"/>
    <s v="20-29"/>
  </r>
  <r>
    <s v="8328-A764"/>
    <s v="Granger"/>
    <s v="Kenworthey"/>
    <x v="1"/>
    <n v="24"/>
    <s v="Some Travel"/>
    <x v="2"/>
    <n v="17"/>
    <s v="NY"/>
    <s v="Mixed or multiple ethnic groups"/>
    <n v="4"/>
    <s v="Other"/>
    <x v="7"/>
    <s v="Married"/>
    <n v="30720"/>
    <n v="1"/>
    <x v="0"/>
    <d v="2017-09-09T00:00:00"/>
    <s v="No"/>
    <n v="5"/>
    <n v="4"/>
    <n v="5"/>
    <n v="4"/>
    <s v="Masters "/>
    <s v="Masters "/>
    <s v="Masters "/>
    <n v="0"/>
    <s v="20-29"/>
  </r>
  <r>
    <s v="90EB-28D4"/>
    <s v="Veronique"/>
    <s v="Tremelling"/>
    <x v="0"/>
    <n v="24"/>
    <s v="Frequent Traveller"/>
    <x v="0"/>
    <n v="29"/>
    <s v="CA"/>
    <s v="Black or African American"/>
    <n v="1"/>
    <s v="Economics"/>
    <x v="9"/>
    <s v="Single"/>
    <n v="26608"/>
    <n v="0"/>
    <x v="0"/>
    <d v="2017-09-12T00:00:00"/>
    <s v="No"/>
    <n v="5"/>
    <n v="0"/>
    <n v="3"/>
    <n v="1"/>
    <s v="No Formal Qualifications"/>
    <s v="No Formal Qualifications"/>
    <s v="No Formal Qualifications"/>
    <n v="0"/>
    <s v="20-29"/>
  </r>
  <r>
    <s v="E399-E4F6"/>
    <s v="Edan"/>
    <s v="Fechnie"/>
    <x v="1"/>
    <n v="24"/>
    <s v="Some Travel"/>
    <x v="0"/>
    <n v="31"/>
    <s v="CA"/>
    <s v="American Indian or Alaska Native"/>
    <n v="4"/>
    <s v="Marketing"/>
    <x v="0"/>
    <s v="Married"/>
    <n v="105502"/>
    <n v="2"/>
    <x v="0"/>
    <d v="2017-09-12T00:00:00"/>
    <s v="No"/>
    <n v="5"/>
    <n v="2"/>
    <n v="5"/>
    <n v="2"/>
    <s v="Masters "/>
    <s v="Masters "/>
    <s v="Masters "/>
    <n v="0"/>
    <s v="20-29"/>
  </r>
  <r>
    <s v="BEE2-8052"/>
    <s v="Letta"/>
    <s v="Mattea"/>
    <x v="0"/>
    <n v="26"/>
    <s v="Some Travel"/>
    <x v="2"/>
    <n v="45"/>
    <s v="IL"/>
    <s v="Black or African American"/>
    <n v="3"/>
    <s v="Computer Science"/>
    <x v="7"/>
    <s v="Single"/>
    <n v="74096"/>
    <n v="0"/>
    <x v="0"/>
    <d v="2017-09-19T00:00:00"/>
    <s v="No"/>
    <n v="5"/>
    <n v="0"/>
    <n v="5"/>
    <n v="4"/>
    <s v="Bachelors "/>
    <s v="Bachelors "/>
    <s v="Bachelors "/>
    <n v="0"/>
    <s v="20-29"/>
  </r>
  <r>
    <s v="0DC1-7EE4"/>
    <s v="Juliette"/>
    <s v="Nissle"/>
    <x v="0"/>
    <n v="25"/>
    <s v="No Travel "/>
    <x v="2"/>
    <n v="28"/>
    <s v="CA"/>
    <s v="White"/>
    <n v="4"/>
    <s v="Other"/>
    <x v="8"/>
    <s v="Single"/>
    <n v="68762"/>
    <n v="0"/>
    <x v="1"/>
    <d v="2017-09-23T00:00:00"/>
    <s v="No"/>
    <n v="5"/>
    <n v="3"/>
    <n v="5"/>
    <n v="4"/>
    <s v="Masters "/>
    <s v="Masters "/>
    <s v="Masters "/>
    <n v="0"/>
    <s v="20-29"/>
  </r>
  <r>
    <s v="63D2-F412"/>
    <s v="Bab"/>
    <s v="Antonelli"/>
    <x v="0"/>
    <n v="25"/>
    <s v="Some Travel"/>
    <x v="0"/>
    <n v="3"/>
    <s v="CA"/>
    <s v="White"/>
    <n v="1"/>
    <s v="Marketing"/>
    <x v="0"/>
    <s v="Married"/>
    <n v="58631"/>
    <n v="3"/>
    <x v="1"/>
    <d v="2017-09-26T00:00:00"/>
    <s v="No"/>
    <n v="5"/>
    <n v="4"/>
    <n v="4"/>
    <n v="3"/>
    <s v="No Formal Qualifications"/>
    <s v="No Formal Qualifications"/>
    <s v="No Formal Qualifications"/>
    <n v="0"/>
    <s v="20-29"/>
  </r>
  <r>
    <s v="4467-6B8F"/>
    <s v="Shandeigh"/>
    <s v="Plott"/>
    <x v="0"/>
    <n v="26"/>
    <s v="Frequent Traveller"/>
    <x v="2"/>
    <n v="28"/>
    <s v="NY"/>
    <s v="Mixed or multiple ethnic groups"/>
    <n v="4"/>
    <s v="Information Systems"/>
    <x v="5"/>
    <s v="Divorced"/>
    <n v="79324"/>
    <n v="0"/>
    <x v="1"/>
    <d v="2017-09-29T00:00:00"/>
    <s v="No"/>
    <n v="5"/>
    <n v="2"/>
    <n v="3"/>
    <n v="5"/>
    <s v="Masters "/>
    <s v="Masters "/>
    <s v="Masters "/>
    <n v="0"/>
    <s v="20-29"/>
  </r>
  <r>
    <s v="0626-7020"/>
    <s v="Ketti"/>
    <s v="Carney"/>
    <x v="0"/>
    <n v="24"/>
    <s v="No Travel "/>
    <x v="2"/>
    <n v="7"/>
    <s v="CA"/>
    <s v="Black or African American"/>
    <n v="2"/>
    <s v="Information Systems"/>
    <x v="8"/>
    <s v="Married"/>
    <n v="126527"/>
    <n v="1"/>
    <x v="1"/>
    <d v="2017-10-01T00:00:00"/>
    <s v="No"/>
    <n v="5"/>
    <n v="1"/>
    <n v="5"/>
    <n v="3"/>
    <s v="High School "/>
    <s v="High School "/>
    <s v="High School "/>
    <n v="0"/>
    <s v="20-29"/>
  </r>
  <r>
    <s v="C0B9-E4C1"/>
    <s v="Illa"/>
    <s v="MacPherson"/>
    <x v="0"/>
    <n v="25"/>
    <s v="Some Travel"/>
    <x v="2"/>
    <n v="40"/>
    <s v="NY"/>
    <s v="White"/>
    <n v="2"/>
    <s v="Computer Science"/>
    <x v="5"/>
    <s v="Married"/>
    <n v="80779"/>
    <n v="1"/>
    <x v="1"/>
    <d v="2017-10-04T00:00:00"/>
    <s v="No"/>
    <n v="5"/>
    <n v="1"/>
    <n v="4"/>
    <n v="5"/>
    <s v="High School "/>
    <s v="High School "/>
    <s v="High School "/>
    <n v="0"/>
    <s v="20-29"/>
  </r>
  <r>
    <s v="16B6-9C29"/>
    <s v="Claribel"/>
    <s v="Hebron"/>
    <x v="0"/>
    <n v="26"/>
    <s v="Some Travel"/>
    <x v="0"/>
    <n v="18"/>
    <s v="CA"/>
    <s v="White"/>
    <n v="2"/>
    <s v="Marketing "/>
    <x v="0"/>
    <s v="Single"/>
    <n v="62868"/>
    <n v="0"/>
    <x v="0"/>
    <d v="2017-10-09T00:00:00"/>
    <s v="No"/>
    <n v="5"/>
    <n v="2"/>
    <n v="4"/>
    <n v="0"/>
    <s v="High School "/>
    <s v="High School "/>
    <s v="High School "/>
    <n v="0"/>
    <s v="20-29"/>
  </r>
  <r>
    <s v="3A36-DA50"/>
    <s v="Leia"/>
    <s v="Jackes"/>
    <x v="0"/>
    <n v="24"/>
    <s v="Some Travel"/>
    <x v="2"/>
    <n v="26"/>
    <s v="CA"/>
    <s v="White"/>
    <n v="3"/>
    <s v="Information Systems"/>
    <x v="8"/>
    <s v="Married"/>
    <n v="80374"/>
    <n v="2"/>
    <x v="0"/>
    <d v="2017-10-14T00:00:00"/>
    <s v="No"/>
    <n v="5"/>
    <n v="4"/>
    <n v="4"/>
    <n v="4"/>
    <s v="Bachelors "/>
    <s v="Bachelors "/>
    <s v="Bachelors "/>
    <n v="0"/>
    <s v="20-29"/>
  </r>
  <r>
    <s v="5609-8585"/>
    <s v="Matthieu"/>
    <s v="Oulet"/>
    <x v="1"/>
    <n v="24"/>
    <s v="No Travel "/>
    <x v="0"/>
    <n v="2"/>
    <s v="CA"/>
    <s v="American Indian or Alaska Native"/>
    <n v="4"/>
    <s v="Marketing "/>
    <x v="0"/>
    <s v="Single"/>
    <n v="64277"/>
    <n v="0"/>
    <x v="0"/>
    <d v="2017-10-15T00:00:00"/>
    <s v="No"/>
    <n v="5"/>
    <n v="4"/>
    <n v="4"/>
    <n v="5"/>
    <s v="Masters "/>
    <s v="Masters "/>
    <s v="Masters "/>
    <n v="0"/>
    <s v="20-29"/>
  </r>
  <r>
    <s v="4971-33F9"/>
    <s v="Fremont"/>
    <s v="Ackenson"/>
    <x v="1"/>
    <n v="41"/>
    <s v="Some Travel"/>
    <x v="2"/>
    <n v="28"/>
    <s v="NY"/>
    <s v="American Indian or Alaska Native"/>
    <n v="4"/>
    <s v="Business Studies"/>
    <x v="8"/>
    <s v="Divorced"/>
    <n v="184411"/>
    <n v="3"/>
    <x v="0"/>
    <d v="2017-10-17T00:00:00"/>
    <s v="No"/>
    <n v="5"/>
    <n v="5"/>
    <n v="5"/>
    <n v="4"/>
    <s v="Masters "/>
    <s v="Masters "/>
    <s v="Masters "/>
    <n v="0"/>
    <s v="40-49"/>
  </r>
  <r>
    <s v="FC24-43F6"/>
    <s v="Stevana"/>
    <s v="Djorvic"/>
    <x v="0"/>
    <n v="26"/>
    <s v="Some Travel"/>
    <x v="2"/>
    <n v="33"/>
    <s v="CA"/>
    <s v="Black or African American"/>
    <n v="3"/>
    <s v="Computer Science"/>
    <x v="4"/>
    <s v="Married"/>
    <n v="34805"/>
    <n v="0"/>
    <x v="0"/>
    <d v="2017-10-21T00:00:00"/>
    <s v="No"/>
    <n v="5"/>
    <n v="5"/>
    <n v="5"/>
    <n v="0"/>
    <s v="Bachelors "/>
    <s v="Bachelors "/>
    <s v="Bachelors "/>
    <n v="0"/>
    <s v="20-29"/>
  </r>
  <r>
    <s v="E73A-F20A"/>
    <s v="Antonino"/>
    <s v="Woodhams"/>
    <x v="1"/>
    <n v="33"/>
    <s v="Frequent Traveller"/>
    <x v="2"/>
    <n v="30"/>
    <s v="CA"/>
    <s v="White"/>
    <n v="2"/>
    <s v="Computer Science"/>
    <x v="5"/>
    <s v="Married"/>
    <n v="200350"/>
    <n v="1"/>
    <x v="0"/>
    <d v="2017-10-22T00:00:00"/>
    <s v="No"/>
    <n v="5"/>
    <n v="3"/>
    <n v="5"/>
    <n v="0"/>
    <s v="High School "/>
    <s v="High School "/>
    <s v="High School "/>
    <n v="0"/>
    <s v="30-39"/>
  </r>
  <r>
    <s v="B57F-B5CE"/>
    <s v="Adriano"/>
    <s v="Blackshaw"/>
    <x v="1"/>
    <n v="26"/>
    <s v="Some Travel"/>
    <x v="2"/>
    <n v="23"/>
    <s v="CA"/>
    <s v="White"/>
    <n v="5"/>
    <s v="Information Systems"/>
    <x v="5"/>
    <s v="Married"/>
    <n v="78934"/>
    <n v="3"/>
    <x v="0"/>
    <d v="2017-10-24T00:00:00"/>
    <s v="No"/>
    <n v="5"/>
    <n v="2"/>
    <n v="2"/>
    <n v="4"/>
    <s v="Doctorate"/>
    <s v="Doctorate"/>
    <s v="Doctorate"/>
    <n v="0"/>
    <s v="20-29"/>
  </r>
  <r>
    <s v="1D32-9620"/>
    <s v="Eldredge"/>
    <s v="Probyn"/>
    <x v="1"/>
    <n v="23"/>
    <s v="Some Travel"/>
    <x v="1"/>
    <n v="39"/>
    <s v="CA"/>
    <s v="Other "/>
    <n v="2"/>
    <s v="Human Resources"/>
    <x v="11"/>
    <s v="Married"/>
    <n v="55805"/>
    <n v="1"/>
    <x v="0"/>
    <d v="2017-10-29T00:00:00"/>
    <s v="No"/>
    <n v="5"/>
    <n v="3"/>
    <n v="3"/>
    <n v="1"/>
    <s v="High School "/>
    <s v="High School "/>
    <s v="High School "/>
    <n v="0"/>
    <s v="20-29"/>
  </r>
  <r>
    <s v="5A78-0F17"/>
    <s v="Wilfred"/>
    <s v="Jasik"/>
    <x v="1"/>
    <n v="26"/>
    <s v="Some Travel"/>
    <x v="0"/>
    <n v="39"/>
    <s v="CA"/>
    <s v="Black or African American"/>
    <n v="3"/>
    <s v="Marketing "/>
    <x v="0"/>
    <s v="Married"/>
    <n v="104176"/>
    <n v="1"/>
    <x v="0"/>
    <d v="2017-11-03T00:00:00"/>
    <s v="No"/>
    <n v="5"/>
    <n v="2"/>
    <n v="3"/>
    <n v="3"/>
    <s v="Bachelors "/>
    <s v="Bachelors "/>
    <s v="Bachelors "/>
    <n v="0"/>
    <s v="20-29"/>
  </r>
  <r>
    <s v="D045-B6CA"/>
    <s v="Petrina"/>
    <s v="Inkpin"/>
    <x v="0"/>
    <n v="26"/>
    <s v="Some Travel"/>
    <x v="2"/>
    <n v="34"/>
    <s v="CA"/>
    <s v="Black or African American"/>
    <n v="4"/>
    <s v="Information Systems"/>
    <x v="7"/>
    <s v="Married"/>
    <n v="71198"/>
    <n v="0"/>
    <x v="0"/>
    <d v="2017-11-07T00:00:00"/>
    <s v="Yes"/>
    <n v="5"/>
    <n v="0"/>
    <n v="0"/>
    <n v="1"/>
    <s v="Masters "/>
    <s v="Masters "/>
    <s v="Masters "/>
    <n v="1"/>
    <s v="20-29"/>
  </r>
  <r>
    <s v="0EA5-3A95"/>
    <s v="Brooks"/>
    <s v="Lackeye"/>
    <x v="0"/>
    <n v="25"/>
    <s v="Some Travel"/>
    <x v="2"/>
    <n v="22"/>
    <s v="NY"/>
    <s v="Mixed or multiple ethnic groups"/>
    <n v="3"/>
    <s v="Business Studies"/>
    <x v="7"/>
    <s v="Married"/>
    <n v="53271"/>
    <n v="1"/>
    <x v="0"/>
    <d v="2017-11-19T00:00:00"/>
    <s v="No"/>
    <n v="5"/>
    <n v="5"/>
    <n v="5"/>
    <n v="1"/>
    <s v="Bachelors "/>
    <s v="Bachelors "/>
    <s v="Bachelors "/>
    <n v="0"/>
    <s v="20-29"/>
  </r>
  <r>
    <s v="36E1-3DDF"/>
    <s v="Connie"/>
    <s v="Widocks"/>
    <x v="2"/>
    <n v="24"/>
    <s v="Some Travel"/>
    <x v="2"/>
    <n v="26"/>
    <s v="CA"/>
    <s v="Black or African American"/>
    <n v="2"/>
    <s v="Computer Science"/>
    <x v="7"/>
    <s v="Single"/>
    <n v="34657"/>
    <n v="0"/>
    <x v="0"/>
    <d v="2017-11-21T00:00:00"/>
    <s v="No"/>
    <n v="5"/>
    <n v="5"/>
    <n v="5"/>
    <n v="2"/>
    <s v="High School "/>
    <s v="High School "/>
    <s v="High School "/>
    <n v="0"/>
    <s v="20-29"/>
  </r>
  <r>
    <s v="35D2-818A"/>
    <s v="Sonja"/>
    <s v="Crone"/>
    <x v="0"/>
    <n v="26"/>
    <s v="Frequent Traveller"/>
    <x v="2"/>
    <n v="16"/>
    <s v="CA"/>
    <s v="White"/>
    <n v="4"/>
    <s v="Other"/>
    <x v="7"/>
    <s v="Married"/>
    <n v="62602"/>
    <n v="0"/>
    <x v="1"/>
    <d v="2017-11-24T00:00:00"/>
    <s v="No"/>
    <n v="5"/>
    <n v="2"/>
    <n v="3"/>
    <n v="2"/>
    <s v="Masters "/>
    <s v="Masters "/>
    <s v="Masters "/>
    <n v="0"/>
    <s v="20-29"/>
  </r>
  <r>
    <s v="2BD8-20A6"/>
    <s v="Berna"/>
    <s v="Patnelli"/>
    <x v="0"/>
    <n v="35"/>
    <s v="Frequent Traveller"/>
    <x v="2"/>
    <n v="38"/>
    <s v="NY"/>
    <s v="Mixed or multiple ethnic groups"/>
    <n v="5"/>
    <s v="Information Systems"/>
    <x v="2"/>
    <s v="Single"/>
    <n v="310285"/>
    <n v="0"/>
    <x v="1"/>
    <d v="2017-11-30T00:00:00"/>
    <s v="No"/>
    <n v="5"/>
    <n v="4"/>
    <n v="4"/>
    <n v="3"/>
    <s v="Doctorate"/>
    <s v="Doctorate"/>
    <s v="Doctorate"/>
    <n v="0"/>
    <s v="30-39"/>
  </r>
  <r>
    <s v="84E7-02D4"/>
    <s v="Padraic"/>
    <s v="MacParlan"/>
    <x v="1"/>
    <n v="26"/>
    <s v="Some Travel"/>
    <x v="2"/>
    <n v="41"/>
    <s v="CA"/>
    <s v="White"/>
    <n v="5"/>
    <s v="Business Studies"/>
    <x v="5"/>
    <s v="Married"/>
    <n v="161600"/>
    <n v="1"/>
    <x v="0"/>
    <d v="2017-12-07T00:00:00"/>
    <s v="Yes"/>
    <n v="5"/>
    <n v="0"/>
    <n v="2"/>
    <n v="0"/>
    <s v="Doctorate"/>
    <s v="Doctorate"/>
    <s v="Doctorate"/>
    <n v="1"/>
    <s v="20-29"/>
  </r>
  <r>
    <s v="7D2D-3831"/>
    <s v="Davon"/>
    <s v="Swetland"/>
    <x v="1"/>
    <n v="25"/>
    <s v="Some Travel"/>
    <x v="2"/>
    <n v="16"/>
    <s v="NY"/>
    <s v="Black or African American"/>
    <n v="3"/>
    <s v="Information Systems"/>
    <x v="4"/>
    <s v="Divorced"/>
    <n v="37742"/>
    <n v="1"/>
    <x v="0"/>
    <d v="2017-12-12T00:00:00"/>
    <s v="No"/>
    <n v="5"/>
    <n v="1"/>
    <n v="3"/>
    <n v="3"/>
    <s v="Bachelors "/>
    <s v="Bachelors "/>
    <s v="Bachelors "/>
    <n v="0"/>
    <s v="20-29"/>
  </r>
  <r>
    <s v="FB4B-067E"/>
    <s v="Adan"/>
    <s v="Sunderland"/>
    <x v="0"/>
    <n v="31"/>
    <s v="Some Travel"/>
    <x v="2"/>
    <n v="42"/>
    <s v="NY"/>
    <s v="White"/>
    <n v="3"/>
    <s v="Computer Science"/>
    <x v="2"/>
    <s v="Married"/>
    <n v="442820"/>
    <n v="0"/>
    <x v="1"/>
    <d v="2017-12-15T00:00:00"/>
    <s v="No"/>
    <n v="5"/>
    <n v="1"/>
    <n v="2"/>
    <n v="2"/>
    <s v="Bachelors "/>
    <s v="Bachelors "/>
    <s v="Bachelors "/>
    <n v="0"/>
    <s v="30-39"/>
  </r>
  <r>
    <s v="1243-8B63"/>
    <s v="Jourdain"/>
    <s v="Kither"/>
    <x v="1"/>
    <n v="26"/>
    <s v="Some Travel"/>
    <x v="2"/>
    <n v="17"/>
    <s v="NY"/>
    <s v="Black or African American"/>
    <n v="4"/>
    <s v="Business Studies"/>
    <x v="8"/>
    <s v="Married"/>
    <n v="110761"/>
    <n v="1"/>
    <x v="0"/>
    <d v="2017-12-18T00:00:00"/>
    <s v="No"/>
    <n v="5"/>
    <n v="0"/>
    <n v="5"/>
    <n v="3"/>
    <s v="Masters "/>
    <s v="Masters "/>
    <s v="Masters "/>
    <n v="0"/>
    <s v="20-29"/>
  </r>
  <r>
    <s v="D75C-3E43"/>
    <s v="Clint"/>
    <s v="Widdicombe"/>
    <x v="1"/>
    <n v="25"/>
    <s v="Some Travel"/>
    <x v="2"/>
    <n v="24"/>
    <s v="CA"/>
    <s v="Native Hawaiian "/>
    <n v="4"/>
    <s v="Other"/>
    <x v="2"/>
    <s v="Divorced"/>
    <n v="204154"/>
    <n v="1"/>
    <x v="1"/>
    <d v="2017-12-21T00:00:00"/>
    <s v="No"/>
    <n v="5"/>
    <n v="2"/>
    <n v="3"/>
    <n v="0"/>
    <s v="Masters "/>
    <s v="Masters "/>
    <s v="Masters "/>
    <n v="0"/>
    <s v="20-29"/>
  </r>
  <r>
    <s v="3747-3110"/>
    <s v="Sarge"/>
    <s v="Antowski"/>
    <x v="1"/>
    <n v="23"/>
    <s v="Some Travel"/>
    <x v="2"/>
    <n v="12"/>
    <s v="NY"/>
    <s v="Black or African American"/>
    <n v="3"/>
    <s v="Computer Science"/>
    <x v="7"/>
    <s v="Married"/>
    <n v="35776"/>
    <n v="2"/>
    <x v="1"/>
    <d v="2017-12-22T00:00:00"/>
    <s v="No"/>
    <n v="5"/>
    <n v="0"/>
    <n v="3"/>
    <n v="4"/>
    <s v="Bachelors "/>
    <s v="Bachelors "/>
    <s v="Bachelors "/>
    <n v="0"/>
    <s v="20-29"/>
  </r>
  <r>
    <s v="05F0-6F7B"/>
    <s v="Ashlee"/>
    <s v="Mc Combe"/>
    <x v="0"/>
    <n v="24"/>
    <s v="Some Travel"/>
    <x v="2"/>
    <n v="5"/>
    <s v="NY"/>
    <s v="White"/>
    <n v="1"/>
    <s v="Information Systems"/>
    <x v="4"/>
    <s v="Single"/>
    <n v="100818"/>
    <n v="0"/>
    <x v="0"/>
    <d v="2017-12-24T00:00:00"/>
    <s v="No"/>
    <n v="5"/>
    <n v="1"/>
    <n v="3"/>
    <n v="0"/>
    <s v="No Formal Qualifications"/>
    <s v="No Formal Qualifications"/>
    <s v="No Formal Qualifications"/>
    <n v="0"/>
    <s v="20-29"/>
  </r>
  <r>
    <s v="D712-9E1C"/>
    <s v="Audi"/>
    <s v="Pibworth"/>
    <x v="2"/>
    <n v="24"/>
    <s v="Some Travel"/>
    <x v="0"/>
    <n v="8"/>
    <s v="IL"/>
    <s v="Black or African American"/>
    <n v="2"/>
    <s v="Economics"/>
    <x v="0"/>
    <s v="Single"/>
    <n v="85238"/>
    <n v="0"/>
    <x v="0"/>
    <d v="2017-12-24T00:00:00"/>
    <s v="No"/>
    <n v="5"/>
    <n v="0"/>
    <n v="4"/>
    <n v="1"/>
    <s v="High School "/>
    <s v="High School "/>
    <s v="High School "/>
    <n v="0"/>
    <s v="20-29"/>
  </r>
  <r>
    <s v="BBE1-D4A5"/>
    <s v="Fransisco"/>
    <s v="Minerdo"/>
    <x v="1"/>
    <n v="24"/>
    <s v="Some Travel"/>
    <x v="2"/>
    <n v="12"/>
    <s v="NY"/>
    <s v="White"/>
    <n v="3"/>
    <s v="Computer Science"/>
    <x v="7"/>
    <s v="Single"/>
    <n v="33202"/>
    <n v="0"/>
    <x v="0"/>
    <d v="2017-12-30T00:00:00"/>
    <s v="No"/>
    <n v="5"/>
    <n v="5"/>
    <n v="5"/>
    <n v="4"/>
    <s v="Bachelors "/>
    <s v="Bachelors "/>
    <s v="Bachelors "/>
    <n v="0"/>
    <s v="20-29"/>
  </r>
  <r>
    <s v="B1BC-0011"/>
    <s v="Rea"/>
    <s v="Legister"/>
    <x v="0"/>
    <n v="23"/>
    <s v="Some Travel"/>
    <x v="2"/>
    <n v="37"/>
    <s v="NY"/>
    <s v="White"/>
    <n v="2"/>
    <s v="Business Studies"/>
    <x v="4"/>
    <s v="Divorced"/>
    <n v="36098"/>
    <n v="3"/>
    <x v="0"/>
    <d v="2018-01-01T00:00:00"/>
    <s v="No"/>
    <n v="4"/>
    <n v="3"/>
    <n v="3"/>
    <n v="1"/>
    <s v="High School "/>
    <s v="High School "/>
    <s v="High School "/>
    <n v="0"/>
    <s v="20-29"/>
  </r>
  <r>
    <s v="3653-D544"/>
    <s v="Adria"/>
    <s v="Smurfit"/>
    <x v="0"/>
    <n v="25"/>
    <s v="Frequent Traveller"/>
    <x v="0"/>
    <n v="21"/>
    <s v="IL"/>
    <s v="Black or African American"/>
    <n v="2"/>
    <s v="Technical Degree"/>
    <x v="0"/>
    <s v="Married"/>
    <n v="91332"/>
    <n v="1"/>
    <x v="0"/>
    <d v="2018-01-03T00:00:00"/>
    <s v="No"/>
    <n v="4"/>
    <n v="3"/>
    <n v="3"/>
    <n v="3"/>
    <s v="High School "/>
    <s v="High School "/>
    <s v="High School "/>
    <n v="0"/>
    <s v="20-29"/>
  </r>
  <r>
    <s v="A53B-DF3C"/>
    <s v="Sadye"/>
    <s v="Wiggin"/>
    <x v="0"/>
    <n v="22"/>
    <s v="Some Travel"/>
    <x v="2"/>
    <n v="2"/>
    <s v="NY"/>
    <s v="White"/>
    <n v="4"/>
    <s v="Computer Science"/>
    <x v="4"/>
    <s v="Married"/>
    <n v="39732"/>
    <n v="1"/>
    <x v="1"/>
    <d v="2018-01-08T00:00:00"/>
    <s v="No"/>
    <n v="4"/>
    <n v="1"/>
    <n v="2"/>
    <n v="2"/>
    <s v="Masters "/>
    <s v="Masters "/>
    <s v="Masters "/>
    <n v="0"/>
    <s v="20-29"/>
  </r>
  <r>
    <s v="9BE8-2C44"/>
    <s v="Bail"/>
    <s v="Elsworth"/>
    <x v="1"/>
    <n v="25"/>
    <s v="Frequent Traveller"/>
    <x v="0"/>
    <n v="42"/>
    <s v="IL"/>
    <s v="Black or African American"/>
    <n v="3"/>
    <s v="Marketing "/>
    <x v="0"/>
    <s v="Married"/>
    <n v="72758"/>
    <n v="2"/>
    <x v="0"/>
    <d v="2018-01-12T00:00:00"/>
    <s v="No"/>
    <n v="4"/>
    <n v="3"/>
    <n v="3"/>
    <n v="3"/>
    <s v="Bachelors "/>
    <s v="Bachelors "/>
    <s v="Bachelors "/>
    <n v="0"/>
    <s v="20-29"/>
  </r>
  <r>
    <s v="5639-70C0"/>
    <s v="Trudi"/>
    <s v="Evens"/>
    <x v="0"/>
    <n v="36"/>
    <s v="Some Travel"/>
    <x v="1"/>
    <n v="31"/>
    <s v="IL"/>
    <s v="Black or African American"/>
    <n v="4"/>
    <s v="Human Resources"/>
    <x v="12"/>
    <s v="Divorced"/>
    <n v="509940"/>
    <n v="3"/>
    <x v="0"/>
    <d v="2018-01-15T00:00:00"/>
    <s v="No"/>
    <n v="4"/>
    <n v="4"/>
    <n v="4"/>
    <n v="2"/>
    <s v="Masters "/>
    <s v="Masters "/>
    <s v="Masters "/>
    <n v="0"/>
    <s v="30-39"/>
  </r>
  <r>
    <s v="3C78-06E7"/>
    <s v="Konstantin"/>
    <s v="Muldownie"/>
    <x v="1"/>
    <n v="24"/>
    <s v="Some Travel"/>
    <x v="2"/>
    <n v="7"/>
    <s v="CA"/>
    <s v="Asian or Asian American"/>
    <n v="4"/>
    <s v="Information Systems"/>
    <x v="7"/>
    <s v="Married"/>
    <n v="85074"/>
    <n v="1"/>
    <x v="0"/>
    <d v="2018-01-15T00:00:00"/>
    <s v="No"/>
    <n v="4"/>
    <n v="1"/>
    <n v="2"/>
    <n v="4"/>
    <s v="Masters "/>
    <s v="Masters "/>
    <s v="Masters "/>
    <n v="0"/>
    <s v="20-29"/>
  </r>
  <r>
    <s v="BBD0-FB7D"/>
    <s v="Edin"/>
    <s v="Savill"/>
    <x v="0"/>
    <n v="23"/>
    <s v="Some Travel"/>
    <x v="0"/>
    <n v="19"/>
    <s v="NY"/>
    <s v="Mixed or multiple ethnic groups"/>
    <n v="4"/>
    <s v="Economics"/>
    <x v="0"/>
    <s v="Divorced"/>
    <n v="87629"/>
    <n v="2"/>
    <x v="0"/>
    <d v="2018-01-19T00:00:00"/>
    <s v="No"/>
    <n v="4"/>
    <n v="4"/>
    <n v="4"/>
    <n v="1"/>
    <s v="Masters "/>
    <s v="Masters "/>
    <s v="Masters "/>
    <n v="0"/>
    <s v="20-29"/>
  </r>
  <r>
    <s v="106F-F7C7"/>
    <s v="Amelia"/>
    <s v="Izard"/>
    <x v="0"/>
    <n v="25"/>
    <s v="Some Travel"/>
    <x v="2"/>
    <n v="13"/>
    <s v="NY"/>
    <s v="Black or African American"/>
    <n v="1"/>
    <s v="Information Systems"/>
    <x v="10"/>
    <s v="Married"/>
    <n v="168483"/>
    <n v="0"/>
    <x v="1"/>
    <d v="2018-01-20T00:00:00"/>
    <s v="No"/>
    <n v="4"/>
    <n v="2"/>
    <n v="3"/>
    <n v="1"/>
    <s v="No Formal Qualifications"/>
    <s v="No Formal Qualifications"/>
    <s v="No Formal Qualifications"/>
    <n v="0"/>
    <s v="20-29"/>
  </r>
  <r>
    <s v="A848-F98B"/>
    <s v="Scot"/>
    <s v="Yakebovich"/>
    <x v="1"/>
    <n v="25"/>
    <s v="Some Travel"/>
    <x v="2"/>
    <n v="37"/>
    <s v="CA"/>
    <s v="Black or African American"/>
    <n v="2"/>
    <s v="Computer Science"/>
    <x v="4"/>
    <s v="Married"/>
    <n v="38038"/>
    <n v="0"/>
    <x v="0"/>
    <d v="2018-01-26T00:00:00"/>
    <s v="Yes"/>
    <n v="2"/>
    <n v="1"/>
    <n v="1"/>
    <n v="1"/>
    <s v="High School "/>
    <s v="High School "/>
    <s v="High School "/>
    <n v="1"/>
    <s v="20-29"/>
  </r>
  <r>
    <s v="EE7E-F5AC"/>
    <s v="Nonna"/>
    <s v="Bagnold"/>
    <x v="0"/>
    <n v="23"/>
    <s v="Some Travel"/>
    <x v="0"/>
    <n v="19"/>
    <s v="CA"/>
    <s v="White"/>
    <n v="3"/>
    <s v="Other"/>
    <x v="9"/>
    <s v="Single"/>
    <n v="27185"/>
    <n v="0"/>
    <x v="0"/>
    <d v="2018-01-30T00:00:00"/>
    <s v="No"/>
    <n v="4"/>
    <n v="4"/>
    <n v="4"/>
    <n v="0"/>
    <s v="Bachelors "/>
    <s v="Bachelors "/>
    <s v="Bachelors "/>
    <n v="0"/>
    <s v="20-29"/>
  </r>
  <r>
    <s v="C27A-1115"/>
    <s v="Alasteir"/>
    <s v="Muge"/>
    <x v="1"/>
    <n v="25"/>
    <s v="Frequent Traveller"/>
    <x v="2"/>
    <n v="20"/>
    <s v="NY"/>
    <s v="Mixed or multiple ethnic groups"/>
    <n v="4"/>
    <s v="Computer Science"/>
    <x v="5"/>
    <s v="Married"/>
    <n v="96514"/>
    <n v="1"/>
    <x v="0"/>
    <d v="2018-02-04T00:00:00"/>
    <s v="No"/>
    <n v="4"/>
    <n v="4"/>
    <n v="4"/>
    <n v="0"/>
    <s v="Masters "/>
    <s v="Masters "/>
    <s v="Masters "/>
    <n v="0"/>
    <s v="20-29"/>
  </r>
  <r>
    <s v="C57E-6E4F"/>
    <s v="Tremain"/>
    <s v="Drakes"/>
    <x v="1"/>
    <n v="24"/>
    <s v="No Travel "/>
    <x v="2"/>
    <n v="35"/>
    <s v="CA"/>
    <s v="Asian or Asian American"/>
    <n v="3"/>
    <s v="Computer Science"/>
    <x v="4"/>
    <s v="Single"/>
    <n v="32502"/>
    <n v="0"/>
    <x v="1"/>
    <d v="2018-02-06T00:00:00"/>
    <s v="Yes"/>
    <n v="1"/>
    <n v="1"/>
    <n v="1"/>
    <n v="0"/>
    <s v="Bachelors "/>
    <s v="Bachelors "/>
    <s v="Bachelors "/>
    <n v="1"/>
    <s v="20-29"/>
  </r>
  <r>
    <s v="BBB4-89C7"/>
    <s v="Ilene"/>
    <s v="Moffat"/>
    <x v="2"/>
    <n v="25"/>
    <s v="Some Travel"/>
    <x v="2"/>
    <n v="19"/>
    <s v="IL"/>
    <s v="Mixed or multiple ethnic groups"/>
    <n v="3"/>
    <s v="Computer Science"/>
    <x v="8"/>
    <s v="Divorced"/>
    <n v="90418"/>
    <n v="2"/>
    <x v="1"/>
    <d v="2018-02-14T00:00:00"/>
    <s v="No"/>
    <n v="4"/>
    <n v="4"/>
    <n v="4"/>
    <n v="4"/>
    <s v="Bachelors "/>
    <s v="Bachelors "/>
    <s v="Bachelors "/>
    <n v="0"/>
    <s v="20-29"/>
  </r>
  <r>
    <s v="84AD-D566"/>
    <s v="Ashien"/>
    <s v="Villa"/>
    <x v="0"/>
    <n v="22"/>
    <s v="Some Travel"/>
    <x v="2"/>
    <n v="16"/>
    <s v="CA"/>
    <s v="American Indian or Alaska Native"/>
    <n v="3"/>
    <s v="Business Studies"/>
    <x v="7"/>
    <s v="Single"/>
    <n v="30838"/>
    <n v="0"/>
    <x v="0"/>
    <d v="2018-02-16T00:00:00"/>
    <s v="No"/>
    <n v="4"/>
    <n v="4"/>
    <n v="4"/>
    <n v="0"/>
    <s v="Bachelors "/>
    <s v="Bachelors "/>
    <s v="Bachelors "/>
    <n v="0"/>
    <s v="20-29"/>
  </r>
  <r>
    <s v="26DF-1241"/>
    <s v="Hebert"/>
    <s v="Drewes"/>
    <x v="1"/>
    <n v="23"/>
    <s v="Some Travel"/>
    <x v="0"/>
    <n v="33"/>
    <s v="NY"/>
    <s v="White"/>
    <n v="3"/>
    <s v="Economics"/>
    <x v="9"/>
    <s v="Married"/>
    <n v="30477"/>
    <n v="1"/>
    <x v="0"/>
    <d v="2018-02-20T00:00:00"/>
    <s v="No"/>
    <n v="4"/>
    <n v="2"/>
    <n v="3"/>
    <n v="3"/>
    <s v="Bachelors "/>
    <s v="Bachelors "/>
    <s v="Bachelors "/>
    <n v="0"/>
    <s v="20-29"/>
  </r>
  <r>
    <s v="4657-FE18"/>
    <s v="Staford"/>
    <s v="Perrins"/>
    <x v="2"/>
    <n v="29"/>
    <s v="Some Travel"/>
    <x v="2"/>
    <n v="25"/>
    <s v="CA"/>
    <s v="American Indian or Alaska Native"/>
    <n v="2"/>
    <s v="Information Systems"/>
    <x v="8"/>
    <s v="Married"/>
    <n v="145716"/>
    <n v="1"/>
    <x v="0"/>
    <d v="2018-02-22T00:00:00"/>
    <s v="Yes"/>
    <n v="1"/>
    <n v="0"/>
    <n v="1"/>
    <n v="1"/>
    <s v="High School "/>
    <s v="High School "/>
    <s v="High School "/>
    <n v="1"/>
    <s v="20-29"/>
  </r>
  <r>
    <s v="D93A-CC98"/>
    <s v="Arabella"/>
    <s v="Mont"/>
    <x v="0"/>
    <n v="24"/>
    <s v="Some Travel"/>
    <x v="0"/>
    <n v="27"/>
    <s v="NY"/>
    <s v="White"/>
    <n v="4"/>
    <s v="Marketing"/>
    <x v="0"/>
    <s v="Single"/>
    <n v="208684"/>
    <n v="0"/>
    <x v="1"/>
    <d v="2018-03-06T00:00:00"/>
    <s v="Yes"/>
    <n v="2"/>
    <n v="0"/>
    <n v="0"/>
    <n v="0"/>
    <s v="Masters "/>
    <s v="Masters "/>
    <s v="Masters "/>
    <n v="1"/>
    <s v="20-29"/>
  </r>
  <r>
    <s v="75CF-67E0"/>
    <s v="Andra"/>
    <s v="Stickney"/>
    <x v="0"/>
    <n v="25"/>
    <s v="No Travel "/>
    <x v="2"/>
    <n v="12"/>
    <s v="NY"/>
    <s v="Black or African American"/>
    <n v="2"/>
    <s v="Information Systems"/>
    <x v="4"/>
    <s v="Divorced"/>
    <n v="28926"/>
    <n v="2"/>
    <x v="1"/>
    <d v="2018-03-06T00:00:00"/>
    <s v="No"/>
    <n v="4"/>
    <n v="1"/>
    <n v="3"/>
    <n v="4"/>
    <s v="High School "/>
    <s v="High School "/>
    <s v="High School "/>
    <n v="0"/>
    <s v="20-29"/>
  </r>
  <r>
    <s v="4188-C61D"/>
    <s v="Fanny"/>
    <s v="Yoell"/>
    <x v="0"/>
    <n v="22"/>
    <s v="No Travel "/>
    <x v="2"/>
    <n v="27"/>
    <s v="CA"/>
    <s v="White"/>
    <n v="1"/>
    <s v="Information Systems"/>
    <x v="4"/>
    <s v="Single"/>
    <n v="23039"/>
    <n v="0"/>
    <x v="0"/>
    <d v="2018-03-08T00:00:00"/>
    <s v="Yes"/>
    <n v="0"/>
    <n v="0"/>
    <n v="0"/>
    <n v="0"/>
    <s v="No Formal Qualifications"/>
    <s v="No Formal Qualifications"/>
    <s v="No Formal Qualifications"/>
    <n v="1"/>
    <s v="20-29"/>
  </r>
  <r>
    <s v="45A4-C1D0"/>
    <s v="Baxy"/>
    <s v="Goodliff"/>
    <x v="1"/>
    <n v="22"/>
    <s v="Some Travel"/>
    <x v="2"/>
    <n v="11"/>
    <s v="IL"/>
    <s v="Mixed or multiple ethnic groups"/>
    <n v="3"/>
    <s v="Computer Science"/>
    <x v="7"/>
    <s v="Divorced"/>
    <n v="74314"/>
    <n v="1"/>
    <x v="0"/>
    <d v="2018-03-14T00:00:00"/>
    <s v="No"/>
    <n v="4"/>
    <n v="0"/>
    <n v="1"/>
    <n v="3"/>
    <s v="Bachelors "/>
    <s v="Bachelors "/>
    <s v="Bachelors "/>
    <n v="0"/>
    <s v="20-29"/>
  </r>
  <r>
    <s v="6CC9-81FC"/>
    <s v="Anatollo"/>
    <s v="Dake"/>
    <x v="1"/>
    <n v="25"/>
    <s v="No Travel "/>
    <x v="2"/>
    <n v="43"/>
    <s v="CA"/>
    <s v="White"/>
    <n v="3"/>
    <s v="Computer Science"/>
    <x v="4"/>
    <s v="Single"/>
    <n v="33086"/>
    <n v="0"/>
    <x v="0"/>
    <d v="2018-03-15T00:00:00"/>
    <s v="No"/>
    <n v="4"/>
    <n v="4"/>
    <n v="4"/>
    <n v="2"/>
    <s v="Bachelors "/>
    <s v="Bachelors "/>
    <s v="Bachelors "/>
    <n v="0"/>
    <s v="20-29"/>
  </r>
  <r>
    <s v="9283-E971"/>
    <s v="Meredith"/>
    <s v="Hansod"/>
    <x v="0"/>
    <n v="40"/>
    <s v="Frequent Traveller"/>
    <x v="0"/>
    <n v="30"/>
    <s v="NY"/>
    <s v="Asian or Asian American"/>
    <n v="4"/>
    <s v="Marketing "/>
    <x v="0"/>
    <s v="Married"/>
    <n v="250555"/>
    <n v="1"/>
    <x v="1"/>
    <d v="2018-03-19T00:00:00"/>
    <s v="No"/>
    <n v="4"/>
    <n v="4"/>
    <n v="4"/>
    <n v="2"/>
    <s v="Masters "/>
    <s v="Masters "/>
    <s v="Masters "/>
    <n v="0"/>
    <s v="40-49"/>
  </r>
  <r>
    <s v="72A2-1105"/>
    <s v="Mollee"/>
    <s v="Hartop"/>
    <x v="0"/>
    <n v="22"/>
    <s v="Some Travel"/>
    <x v="0"/>
    <n v="36"/>
    <s v="NY"/>
    <s v="Black or African American"/>
    <n v="3"/>
    <s v="Marketing"/>
    <x v="0"/>
    <s v="Single"/>
    <n v="60699"/>
    <n v="0"/>
    <x v="0"/>
    <d v="2018-03-21T00:00:00"/>
    <s v="No"/>
    <n v="4"/>
    <n v="0"/>
    <n v="3"/>
    <n v="0"/>
    <s v="Bachelors "/>
    <s v="Bachelors "/>
    <s v="Bachelors "/>
    <n v="0"/>
    <s v="20-29"/>
  </r>
  <r>
    <s v="34FB-D8F3"/>
    <s v="Sheffie"/>
    <s v="McCrum"/>
    <x v="1"/>
    <n v="25"/>
    <s v="Some Travel"/>
    <x v="2"/>
    <n v="11"/>
    <s v="NY"/>
    <s v="White"/>
    <n v="2"/>
    <s v="Computer Science"/>
    <x v="2"/>
    <s v="Married"/>
    <n v="285138"/>
    <n v="1"/>
    <x v="0"/>
    <d v="2018-03-21T00:00:00"/>
    <s v="No"/>
    <n v="4"/>
    <n v="0"/>
    <n v="3"/>
    <n v="4"/>
    <s v="High School "/>
    <s v="High School "/>
    <s v="High School "/>
    <n v="0"/>
    <s v="20-29"/>
  </r>
  <r>
    <s v="65C9-0885"/>
    <s v="Kain"/>
    <s v="Libero"/>
    <x v="1"/>
    <n v="25"/>
    <s v="Frequent Traveller"/>
    <x v="2"/>
    <n v="24"/>
    <s v="CA"/>
    <s v="White"/>
    <n v="1"/>
    <s v="Computer Science"/>
    <x v="8"/>
    <s v="Divorced"/>
    <n v="121373"/>
    <n v="1"/>
    <x v="0"/>
    <d v="2018-03-21T00:00:00"/>
    <s v="No"/>
    <n v="4"/>
    <n v="0"/>
    <n v="2"/>
    <n v="1"/>
    <s v="No Formal Qualifications"/>
    <s v="No Formal Qualifications"/>
    <s v="No Formal Qualifications"/>
    <n v="0"/>
    <s v="20-29"/>
  </r>
  <r>
    <s v="42F5-707F"/>
    <s v="Wilburt"/>
    <s v="Feldhuhn"/>
    <x v="1"/>
    <n v="23"/>
    <s v="Some Travel"/>
    <x v="2"/>
    <n v="44"/>
    <s v="NY"/>
    <s v="White"/>
    <n v="3"/>
    <s v="Information Systems"/>
    <x v="8"/>
    <s v="Married"/>
    <n v="81034"/>
    <n v="2"/>
    <x v="1"/>
    <d v="2018-03-25T00:00:00"/>
    <s v="No"/>
    <n v="4"/>
    <n v="1"/>
    <n v="1"/>
    <n v="0"/>
    <s v="Bachelors "/>
    <s v="Bachelors "/>
    <s v="Bachelors "/>
    <n v="0"/>
    <s v="20-29"/>
  </r>
  <r>
    <s v="03D3-AA88"/>
    <s v="Mycah"/>
    <s v="Brolechan"/>
    <x v="1"/>
    <n v="23"/>
    <s v="Some Travel"/>
    <x v="2"/>
    <n v="8"/>
    <s v="NY"/>
    <s v="White"/>
    <n v="4"/>
    <s v="Other"/>
    <x v="7"/>
    <s v="Married"/>
    <n v="42250"/>
    <n v="2"/>
    <x v="0"/>
    <d v="2018-03-26T00:00:00"/>
    <s v="No"/>
    <n v="4"/>
    <n v="1"/>
    <n v="2"/>
    <n v="4"/>
    <s v="Masters "/>
    <s v="Masters "/>
    <s v="Masters "/>
    <n v="0"/>
    <s v="20-29"/>
  </r>
  <r>
    <s v="1A38-1D62"/>
    <s v="Maurise"/>
    <s v="Shaxby"/>
    <x v="0"/>
    <n v="24"/>
    <s v="Some Travel"/>
    <x v="2"/>
    <n v="21"/>
    <s v="CA"/>
    <s v="Mixed or multiple ethnic groups"/>
    <n v="3"/>
    <s v="Information Systems"/>
    <x v="4"/>
    <s v="Divorced"/>
    <n v="36862"/>
    <n v="1"/>
    <x v="1"/>
    <d v="2018-03-29T00:00:00"/>
    <s v="No"/>
    <n v="4"/>
    <n v="2"/>
    <n v="4"/>
    <n v="0"/>
    <s v="Bachelors "/>
    <s v="Bachelors "/>
    <s v="Bachelors "/>
    <n v="0"/>
    <s v="20-29"/>
  </r>
  <r>
    <s v="D7C2-EAA5"/>
    <s v="Camila"/>
    <s v="Lergan"/>
    <x v="0"/>
    <n v="23"/>
    <s v="Frequent Traveller"/>
    <x v="2"/>
    <n v="16"/>
    <s v="CA"/>
    <s v="Mixed or multiple ethnic groups"/>
    <n v="4"/>
    <s v="Computer Science"/>
    <x v="5"/>
    <s v="Divorced"/>
    <n v="67558"/>
    <n v="1"/>
    <x v="0"/>
    <d v="2018-03-31T00:00:00"/>
    <s v="No"/>
    <n v="4"/>
    <n v="1"/>
    <n v="1"/>
    <n v="1"/>
    <s v="Masters "/>
    <s v="Masters "/>
    <s v="Masters "/>
    <n v="0"/>
    <s v="20-29"/>
  </r>
  <r>
    <s v="6151-4A92"/>
    <s v="Milicent"/>
    <s v="Kiossel"/>
    <x v="2"/>
    <n v="25"/>
    <s v="No Travel "/>
    <x v="2"/>
    <n v="29"/>
    <s v="CA"/>
    <s v="White"/>
    <n v="4"/>
    <s v="Computer Science"/>
    <x v="5"/>
    <s v="Single"/>
    <n v="105411"/>
    <n v="0"/>
    <x v="0"/>
    <d v="2018-04-01T00:00:00"/>
    <s v="No"/>
    <n v="4"/>
    <n v="2"/>
    <n v="4"/>
    <n v="2"/>
    <s v="Masters "/>
    <s v="Masters "/>
    <s v="Masters "/>
    <n v="0"/>
    <s v="20-29"/>
  </r>
  <r>
    <s v="EA37-AE5E"/>
    <s v="Freda"/>
    <s v="Bartolijn"/>
    <x v="0"/>
    <n v="23"/>
    <s v="Some Travel"/>
    <x v="0"/>
    <n v="5"/>
    <s v="IL"/>
    <s v="White"/>
    <n v="3"/>
    <s v="Marketing "/>
    <x v="0"/>
    <s v="Married"/>
    <n v="69678"/>
    <n v="1"/>
    <x v="0"/>
    <d v="2018-04-04T00:00:00"/>
    <s v="No"/>
    <n v="4"/>
    <n v="0"/>
    <n v="0"/>
    <n v="2"/>
    <s v="Bachelors "/>
    <s v="Bachelors "/>
    <s v="Bachelors "/>
    <n v="0"/>
    <s v="20-29"/>
  </r>
  <r>
    <s v="41A7-9C19"/>
    <s v="Ginevra"/>
    <s v="Edson"/>
    <x v="0"/>
    <n v="23"/>
    <s v="Some Travel"/>
    <x v="0"/>
    <n v="8"/>
    <s v="NY"/>
    <s v="Mixed or multiple ethnic groups"/>
    <n v="4"/>
    <s v="Economics"/>
    <x v="0"/>
    <s v="Married"/>
    <n v="78937"/>
    <n v="1"/>
    <x v="0"/>
    <d v="2018-04-10T00:00:00"/>
    <s v="No"/>
    <n v="4"/>
    <n v="0"/>
    <n v="3"/>
    <n v="0"/>
    <s v="Masters "/>
    <s v="Masters "/>
    <s v="Masters "/>
    <n v="0"/>
    <s v="20-29"/>
  </r>
  <r>
    <s v="A409-26AC"/>
    <s v="Agretha"/>
    <s v="Shakelade"/>
    <x v="2"/>
    <n v="25"/>
    <s v="Frequent Traveller"/>
    <x v="2"/>
    <n v="34"/>
    <s v="NY"/>
    <s v="Black or African American"/>
    <n v="1"/>
    <s v="Computer Science"/>
    <x v="2"/>
    <s v="Married"/>
    <n v="170803"/>
    <n v="0"/>
    <x v="0"/>
    <d v="2018-04-20T00:00:00"/>
    <s v="No"/>
    <n v="4"/>
    <n v="2"/>
    <n v="2"/>
    <n v="3"/>
    <s v="No Formal Qualifications"/>
    <s v="No Formal Qualifications"/>
    <s v="No Formal Qualifications"/>
    <n v="0"/>
    <s v="20-29"/>
  </r>
  <r>
    <s v="994A-5F84"/>
    <s v="Vance"/>
    <s v="Norsworthy"/>
    <x v="1"/>
    <n v="25"/>
    <s v="Some Travel"/>
    <x v="0"/>
    <n v="44"/>
    <s v="CA"/>
    <s v="White"/>
    <n v="1"/>
    <s v="Technical Degree"/>
    <x v="9"/>
    <s v="Single"/>
    <n v="37461"/>
    <n v="0"/>
    <x v="0"/>
    <d v="2018-04-23T00:00:00"/>
    <s v="No"/>
    <n v="4"/>
    <n v="3"/>
    <n v="4"/>
    <n v="3"/>
    <s v="No Formal Qualifications"/>
    <s v="No Formal Qualifications"/>
    <s v="No Formal Qualifications"/>
    <n v="0"/>
    <s v="20-29"/>
  </r>
  <r>
    <s v="0B19-EFB2"/>
    <s v="Ada"/>
    <s v="Bynold"/>
    <x v="0"/>
    <n v="39"/>
    <s v="Frequent Traveller"/>
    <x v="2"/>
    <n v="25"/>
    <s v="CA"/>
    <s v="White"/>
    <n v="4"/>
    <s v="Computer Science"/>
    <x v="2"/>
    <s v="Single"/>
    <n v="300594"/>
    <n v="0"/>
    <x v="1"/>
    <d v="2018-04-24T00:00:00"/>
    <s v="No"/>
    <n v="4"/>
    <n v="1"/>
    <n v="4"/>
    <n v="2"/>
    <s v="Masters "/>
    <s v="Masters "/>
    <s v="Masters "/>
    <n v="0"/>
    <s v="30-39"/>
  </r>
  <r>
    <s v="1DC4-97CF"/>
    <s v="Karee"/>
    <s v="Cristofvao"/>
    <x v="0"/>
    <n v="25"/>
    <s v="Some Travel"/>
    <x v="0"/>
    <n v="28"/>
    <s v="CA"/>
    <s v="White"/>
    <n v="4"/>
    <s v="Marketing"/>
    <x v="0"/>
    <s v="Single"/>
    <n v="167051"/>
    <n v="0"/>
    <x v="0"/>
    <d v="2018-04-24T00:00:00"/>
    <s v="No"/>
    <n v="4"/>
    <n v="3"/>
    <n v="4"/>
    <n v="1"/>
    <s v="Masters "/>
    <s v="Masters "/>
    <s v="Masters "/>
    <n v="0"/>
    <s v="20-29"/>
  </r>
  <r>
    <s v="07F6-D61B"/>
    <s v="Jodee"/>
    <s v="Vala"/>
    <x v="0"/>
    <n v="23"/>
    <s v="Some Travel"/>
    <x v="2"/>
    <n v="5"/>
    <s v="NY"/>
    <s v="White"/>
    <n v="3"/>
    <s v="Information Systems"/>
    <x v="7"/>
    <s v="Divorced"/>
    <n v="23995"/>
    <n v="1"/>
    <x v="0"/>
    <d v="2018-04-27T00:00:00"/>
    <s v="No"/>
    <n v="4"/>
    <n v="4"/>
    <n v="4"/>
    <n v="0"/>
    <s v="Bachelors "/>
    <s v="Bachelors "/>
    <s v="Bachelors "/>
    <n v="0"/>
    <s v="20-29"/>
  </r>
  <r>
    <s v="81FF-8D6C"/>
    <s v="Mireielle"/>
    <s v="Gabbitis"/>
    <x v="0"/>
    <n v="24"/>
    <s v="Some Travel"/>
    <x v="0"/>
    <n v="13"/>
    <s v="CA"/>
    <s v="Black or African American"/>
    <n v="3"/>
    <s v="Economics"/>
    <x v="9"/>
    <s v="Single"/>
    <n v="24095"/>
    <n v="0"/>
    <x v="0"/>
    <d v="2018-04-28T00:00:00"/>
    <s v="Yes"/>
    <n v="2"/>
    <n v="2"/>
    <n v="2"/>
    <n v="1"/>
    <s v="Bachelors "/>
    <s v="Bachelors "/>
    <s v="Bachelors "/>
    <n v="1"/>
    <s v="20-29"/>
  </r>
  <r>
    <s v="81F1-950F"/>
    <s v="Sapphire"/>
    <s v="Prayer"/>
    <x v="0"/>
    <n v="25"/>
    <s v="Some Travel"/>
    <x v="2"/>
    <n v="26"/>
    <s v="NY"/>
    <s v="White"/>
    <n v="4"/>
    <s v="Computer Science"/>
    <x v="10"/>
    <s v="Divorced"/>
    <n v="174400"/>
    <n v="1"/>
    <x v="0"/>
    <d v="2018-04-28T00:00:00"/>
    <s v="No"/>
    <n v="4"/>
    <n v="0"/>
    <n v="2"/>
    <n v="4"/>
    <s v="Masters "/>
    <s v="Masters "/>
    <s v="Masters "/>
    <n v="0"/>
    <s v="20-29"/>
  </r>
  <r>
    <s v="F1B6-31B7"/>
    <s v="Idette"/>
    <s v="Connett"/>
    <x v="0"/>
    <n v="25"/>
    <s v="Some Travel"/>
    <x v="1"/>
    <n v="31"/>
    <s v="CA"/>
    <s v="Mixed or multiple ethnic groups"/>
    <n v="3"/>
    <s v="Marketing "/>
    <x v="11"/>
    <s v="Married"/>
    <n v="48797"/>
    <n v="2"/>
    <x v="0"/>
    <d v="2018-04-28T00:00:00"/>
    <s v="No"/>
    <n v="4"/>
    <n v="2"/>
    <n v="4"/>
    <n v="4"/>
    <s v="Bachelors "/>
    <s v="Bachelors "/>
    <s v="Bachelors "/>
    <n v="0"/>
    <s v="20-29"/>
  </r>
  <r>
    <s v="FB6A-3F11"/>
    <s v="Ophelia"/>
    <s v="Cosby"/>
    <x v="0"/>
    <n v="22"/>
    <s v="Frequent Traveller"/>
    <x v="2"/>
    <n v="21"/>
    <s v="CA"/>
    <s v="Mixed or multiple ethnic groups"/>
    <n v="1"/>
    <s v="Information Systems"/>
    <x v="4"/>
    <s v="Married"/>
    <n v="34193"/>
    <n v="0"/>
    <x v="0"/>
    <d v="2018-04-29T00:00:00"/>
    <s v="No"/>
    <n v="4"/>
    <n v="2"/>
    <n v="4"/>
    <n v="3"/>
    <s v="No Formal Qualifications"/>
    <s v="No Formal Qualifications"/>
    <s v="No Formal Qualifications"/>
    <n v="0"/>
    <s v="20-29"/>
  </r>
  <r>
    <s v="DB6B-88DA"/>
    <s v="Lindie"/>
    <s v="Oliver-Paull"/>
    <x v="0"/>
    <n v="25"/>
    <s v="Some Travel"/>
    <x v="2"/>
    <n v="1"/>
    <s v="IL"/>
    <s v="Native Hawaiian "/>
    <n v="1"/>
    <s v="Information Systems"/>
    <x v="7"/>
    <s v="Married"/>
    <n v="48570"/>
    <n v="1"/>
    <x v="1"/>
    <d v="2018-05-03T00:00:00"/>
    <s v="No"/>
    <n v="4"/>
    <n v="4"/>
    <n v="4"/>
    <n v="1"/>
    <s v="No Formal Qualifications"/>
    <s v="No Formal Qualifications"/>
    <s v="No Formal Qualifications"/>
    <n v="0"/>
    <s v="20-29"/>
  </r>
  <r>
    <s v="5F06-D3F6"/>
    <s v="Calv"/>
    <s v="Pearcehouse"/>
    <x v="1"/>
    <n v="28"/>
    <s v="No Travel "/>
    <x v="2"/>
    <n v="24"/>
    <s v="NY"/>
    <s v="White"/>
    <n v="4"/>
    <s v="Computer Science"/>
    <x v="5"/>
    <s v="Divorced"/>
    <n v="193347"/>
    <n v="2"/>
    <x v="1"/>
    <d v="2018-05-09T00:00:00"/>
    <s v="No"/>
    <n v="4"/>
    <n v="4"/>
    <n v="4"/>
    <n v="0"/>
    <s v="Masters "/>
    <s v="Masters "/>
    <s v="Masters "/>
    <n v="0"/>
    <s v="20-29"/>
  </r>
  <r>
    <s v="425F-4D2D"/>
    <s v="Kimberlyn"/>
    <s v="Preston"/>
    <x v="0"/>
    <n v="25"/>
    <s v="Some Travel"/>
    <x v="0"/>
    <n v="30"/>
    <s v="CA"/>
    <s v="Mixed or multiple ethnic groups"/>
    <n v="4"/>
    <s v="Marketing"/>
    <x v="0"/>
    <s v="Divorced"/>
    <n v="57742"/>
    <n v="2"/>
    <x v="1"/>
    <d v="2018-05-10T00:00:00"/>
    <s v="No"/>
    <n v="4"/>
    <n v="3"/>
    <n v="4"/>
    <n v="1"/>
    <s v="Masters "/>
    <s v="Masters "/>
    <s v="Masters "/>
    <n v="0"/>
    <s v="20-29"/>
  </r>
  <r>
    <s v="DBF5-E57D"/>
    <s v="Freeland"/>
    <s v="Chalcot"/>
    <x v="1"/>
    <n v="25"/>
    <s v="Some Travel"/>
    <x v="2"/>
    <n v="25"/>
    <s v="CA"/>
    <s v="White"/>
    <n v="3"/>
    <s v="Other"/>
    <x v="10"/>
    <s v="Divorced"/>
    <n v="303446"/>
    <n v="1"/>
    <x v="0"/>
    <d v="2018-05-11T00:00:00"/>
    <s v="No"/>
    <n v="4"/>
    <n v="0"/>
    <n v="3"/>
    <n v="0"/>
    <s v="Bachelors "/>
    <s v="Bachelors "/>
    <s v="Bachelors "/>
    <n v="0"/>
    <s v="20-29"/>
  </r>
  <r>
    <s v="4C99-E626"/>
    <s v="Friederike"/>
    <s v="Wandrey"/>
    <x v="0"/>
    <n v="25"/>
    <s v="No Travel "/>
    <x v="2"/>
    <n v="11"/>
    <s v="CA"/>
    <s v="Black or African American"/>
    <n v="3"/>
    <s v="Computer Science"/>
    <x v="4"/>
    <s v="Single"/>
    <n v="96779"/>
    <n v="0"/>
    <x v="0"/>
    <d v="2018-05-14T00:00:00"/>
    <s v="No"/>
    <n v="4"/>
    <n v="0"/>
    <n v="0"/>
    <n v="3"/>
    <s v="Bachelors "/>
    <s v="Bachelors "/>
    <s v="Bachelors "/>
    <n v="0"/>
    <s v="20-29"/>
  </r>
  <r>
    <s v="C016-FA12"/>
    <s v="Sofie"/>
    <s v="Dumphries"/>
    <x v="0"/>
    <n v="25"/>
    <s v="Some Travel"/>
    <x v="0"/>
    <n v="22"/>
    <s v="NY"/>
    <s v="American Indian or Alaska Native"/>
    <n v="1"/>
    <s v="Marketing"/>
    <x v="9"/>
    <s v="Single"/>
    <n v="32894"/>
    <n v="0"/>
    <x v="0"/>
    <d v="2018-05-14T00:00:00"/>
    <s v="Yes"/>
    <n v="2"/>
    <n v="2"/>
    <n v="2"/>
    <n v="1"/>
    <s v="No Formal Qualifications"/>
    <s v="No Formal Qualifications"/>
    <s v="No Formal Qualifications"/>
    <n v="1"/>
    <s v="20-29"/>
  </r>
  <r>
    <s v="6BE1-09FB"/>
    <s v="Dino"/>
    <s v="Bragge"/>
    <x v="1"/>
    <n v="25"/>
    <s v="Some Travel"/>
    <x v="0"/>
    <n v="29"/>
    <s v="CA"/>
    <s v="White"/>
    <n v="4"/>
    <s v="Marketing"/>
    <x v="0"/>
    <s v="Married"/>
    <n v="95643"/>
    <n v="1"/>
    <x v="0"/>
    <d v="2018-05-14T00:00:00"/>
    <s v="No"/>
    <n v="4"/>
    <n v="0"/>
    <n v="3"/>
    <n v="1"/>
    <s v="Masters "/>
    <s v="Masters "/>
    <s v="Masters "/>
    <n v="0"/>
    <s v="20-29"/>
  </r>
  <r>
    <s v="61E2-6540"/>
    <s v="Holmes"/>
    <s v="Disdel"/>
    <x v="2"/>
    <n v="24"/>
    <s v="Some Travel"/>
    <x v="2"/>
    <n v="7"/>
    <s v="CA"/>
    <s v="Black or African American"/>
    <n v="4"/>
    <s v="Computer Science"/>
    <x v="8"/>
    <s v="Married"/>
    <n v="44256"/>
    <n v="2"/>
    <x v="0"/>
    <d v="2018-05-18T00:00:00"/>
    <s v="No"/>
    <n v="4"/>
    <n v="2"/>
    <n v="4"/>
    <n v="3"/>
    <s v="Masters "/>
    <s v="Masters "/>
    <s v="Masters "/>
    <n v="0"/>
    <s v="20-29"/>
  </r>
  <r>
    <s v="FE0F-498F"/>
    <s v="Jerrie"/>
    <s v="Juares"/>
    <x v="0"/>
    <n v="22"/>
    <s v="Some Travel"/>
    <x v="2"/>
    <n v="36"/>
    <s v="CA"/>
    <s v="White"/>
    <n v="3"/>
    <s v="Other"/>
    <x v="4"/>
    <s v="Divorced"/>
    <n v="57686"/>
    <n v="2"/>
    <x v="0"/>
    <d v="2018-05-23T00:00:00"/>
    <s v="No"/>
    <n v="4"/>
    <n v="2"/>
    <n v="4"/>
    <n v="1"/>
    <s v="Bachelors "/>
    <s v="Bachelors "/>
    <s v="Bachelors "/>
    <n v="0"/>
    <s v="20-29"/>
  </r>
  <r>
    <s v="D91C-815B"/>
    <s v="Lucille"/>
    <s v="Balser"/>
    <x v="0"/>
    <n v="22"/>
    <s v="Frequent Traveller"/>
    <x v="0"/>
    <n v="26"/>
    <s v="CA"/>
    <s v="White"/>
    <n v="2"/>
    <s v="Economics"/>
    <x v="9"/>
    <s v="Married"/>
    <n v="42250"/>
    <n v="2"/>
    <x v="1"/>
    <d v="2018-05-23T00:00:00"/>
    <s v="Yes"/>
    <n v="4"/>
    <n v="1"/>
    <n v="3"/>
    <n v="2"/>
    <s v="High School "/>
    <s v="High School "/>
    <s v="High School "/>
    <n v="1"/>
    <s v="20-29"/>
  </r>
  <r>
    <s v="F8D4-3CAB"/>
    <s v="Lynda"/>
    <s v="Robken"/>
    <x v="2"/>
    <n v="23"/>
    <s v="Some Travel"/>
    <x v="1"/>
    <n v="45"/>
    <s v="CA"/>
    <s v="White"/>
    <n v="3"/>
    <s v="Marketing "/>
    <x v="11"/>
    <s v="Married"/>
    <n v="99052"/>
    <n v="2"/>
    <x v="0"/>
    <d v="2018-05-25T00:00:00"/>
    <s v="No"/>
    <n v="4"/>
    <n v="3"/>
    <n v="4"/>
    <n v="2"/>
    <s v="Bachelors "/>
    <s v="Bachelors "/>
    <s v="Bachelors "/>
    <n v="0"/>
    <s v="20-29"/>
  </r>
  <r>
    <s v="21C8-00EC"/>
    <s v="Geoff"/>
    <s v="Veschambre"/>
    <x v="1"/>
    <n v="22"/>
    <s v="Some Travel"/>
    <x v="2"/>
    <n v="37"/>
    <s v="IL"/>
    <s v="Asian or Asian American"/>
    <n v="2"/>
    <s v="Information Systems"/>
    <x v="8"/>
    <s v="Divorced"/>
    <n v="52314"/>
    <n v="2"/>
    <x v="0"/>
    <d v="2018-05-25T00:00:00"/>
    <s v="No"/>
    <n v="4"/>
    <n v="0"/>
    <n v="3"/>
    <n v="0"/>
    <s v="High School "/>
    <s v="High School "/>
    <s v="High School "/>
    <n v="0"/>
    <s v="20-29"/>
  </r>
  <r>
    <s v="1424-0B0C"/>
    <s v="Annmaria"/>
    <s v="Keeler"/>
    <x v="0"/>
    <n v="36"/>
    <s v="No Travel "/>
    <x v="2"/>
    <n v="35"/>
    <s v="IL"/>
    <s v="White"/>
    <n v="1"/>
    <s v="Information Systems"/>
    <x v="8"/>
    <s v="Divorced"/>
    <n v="356378"/>
    <n v="1"/>
    <x v="1"/>
    <d v="2018-05-30T00:00:00"/>
    <s v="No"/>
    <n v="4"/>
    <n v="2"/>
    <n v="4"/>
    <n v="4"/>
    <s v="No Formal Qualifications"/>
    <s v="No Formal Qualifications"/>
    <s v="No Formal Qualifications"/>
    <n v="0"/>
    <s v="30-39"/>
  </r>
  <r>
    <s v="4C72-E72F"/>
    <s v="Sharlene"/>
    <s v="MacGuffog"/>
    <x v="0"/>
    <n v="24"/>
    <s v="Some Travel"/>
    <x v="0"/>
    <n v="43"/>
    <s v="CA"/>
    <s v="White"/>
    <n v="2"/>
    <s v="Economics"/>
    <x v="0"/>
    <s v="Divorced"/>
    <n v="54841"/>
    <n v="3"/>
    <x v="1"/>
    <d v="2018-05-31T00:00:00"/>
    <s v="No"/>
    <n v="4"/>
    <n v="3"/>
    <n v="4"/>
    <n v="0"/>
    <s v="High School "/>
    <s v="High School "/>
    <s v="High School "/>
    <n v="0"/>
    <s v="20-29"/>
  </r>
  <r>
    <s v="ABC2-0036"/>
    <s v="Gerta"/>
    <s v="Littlewood"/>
    <x v="0"/>
    <n v="24"/>
    <s v="Some Travel"/>
    <x v="2"/>
    <n v="17"/>
    <s v="NY"/>
    <s v="Mixed or multiple ethnic groups"/>
    <n v="3"/>
    <s v="Information Systems"/>
    <x v="4"/>
    <s v="Married"/>
    <n v="101408"/>
    <n v="3"/>
    <x v="0"/>
    <d v="2018-05-31T00:00:00"/>
    <s v="No"/>
    <n v="4"/>
    <n v="0"/>
    <n v="2"/>
    <n v="1"/>
    <s v="Bachelors "/>
    <s v="Bachelors "/>
    <s v="Bachelors "/>
    <n v="0"/>
    <s v="20-29"/>
  </r>
  <r>
    <s v="2BCE-F73C"/>
    <s v="Mort"/>
    <s v="Alliston"/>
    <x v="1"/>
    <n v="23"/>
    <s v="Frequent Traveller"/>
    <x v="0"/>
    <n v="26"/>
    <s v="CA"/>
    <s v="Asian or Asian American"/>
    <n v="4"/>
    <s v="Marketing"/>
    <x v="0"/>
    <s v="Single"/>
    <n v="68046"/>
    <n v="0"/>
    <x v="0"/>
    <d v="2018-06-01T00:00:00"/>
    <s v="No"/>
    <n v="4"/>
    <n v="4"/>
    <n v="4"/>
    <n v="2"/>
    <s v="Masters "/>
    <s v="Masters "/>
    <s v="Masters "/>
    <n v="0"/>
    <s v="20-29"/>
  </r>
  <r>
    <s v="D4BE-786C"/>
    <s v="Hurleigh"/>
    <s v="Pashenkov"/>
    <x v="1"/>
    <n v="24"/>
    <s v="No Travel "/>
    <x v="0"/>
    <n v="3"/>
    <s v="NY"/>
    <s v="White"/>
    <n v="3"/>
    <s v="Economics"/>
    <x v="0"/>
    <s v="Single"/>
    <n v="128634"/>
    <n v="0"/>
    <x v="0"/>
    <d v="2018-06-11T00:00:00"/>
    <s v="No"/>
    <n v="4"/>
    <n v="4"/>
    <n v="4"/>
    <n v="4"/>
    <s v="Bachelors "/>
    <s v="Bachelors "/>
    <s v="Bachelors "/>
    <n v="0"/>
    <s v="20-29"/>
  </r>
  <r>
    <s v="2EF6-8D96"/>
    <s v="Lelia"/>
    <s v="Giles"/>
    <x v="0"/>
    <n v="24"/>
    <s v="Some Travel"/>
    <x v="2"/>
    <n v="12"/>
    <s v="CA"/>
    <s v="White"/>
    <n v="4"/>
    <s v="Information Systems"/>
    <x v="7"/>
    <s v="Married"/>
    <n v="22965"/>
    <n v="3"/>
    <x v="0"/>
    <d v="2018-06-12T00:00:00"/>
    <s v="No"/>
    <n v="4"/>
    <n v="4"/>
    <n v="4"/>
    <n v="4"/>
    <s v="Masters "/>
    <s v="Masters "/>
    <s v="Masters "/>
    <n v="0"/>
    <s v="20-29"/>
  </r>
  <r>
    <s v="E6F7-EF68"/>
    <s v="Joaquin"/>
    <s v="Bockmann"/>
    <x v="1"/>
    <n v="22"/>
    <s v="Some Travel"/>
    <x v="0"/>
    <n v="32"/>
    <s v="NY"/>
    <s v="Mixed or multiple ethnic groups"/>
    <n v="3"/>
    <s v="Marketing "/>
    <x v="0"/>
    <s v="Married"/>
    <n v="52318"/>
    <n v="1"/>
    <x v="0"/>
    <d v="2018-06-14T00:00:00"/>
    <s v="No"/>
    <n v="4"/>
    <n v="4"/>
    <n v="4"/>
    <n v="0"/>
    <s v="Bachelors "/>
    <s v="Bachelors "/>
    <s v="Bachelors "/>
    <n v="0"/>
    <s v="20-29"/>
  </r>
  <r>
    <s v="4862-E40F"/>
    <s v="Cob"/>
    <s v="Stewart"/>
    <x v="1"/>
    <n v="46"/>
    <s v="Some Travel"/>
    <x v="2"/>
    <n v="39"/>
    <s v="CA"/>
    <s v="Mixed or multiple ethnic groups"/>
    <n v="3"/>
    <s v="Computer Science"/>
    <x v="10"/>
    <s v="Single"/>
    <n v="381759"/>
    <n v="0"/>
    <x v="0"/>
    <d v="2018-06-15T00:00:00"/>
    <s v="No"/>
    <n v="4"/>
    <n v="2"/>
    <n v="4"/>
    <n v="4"/>
    <s v="Bachelors "/>
    <s v="Bachelors "/>
    <s v="Bachelors "/>
    <n v="0"/>
    <s v="40-49"/>
  </r>
  <r>
    <s v="9591-C955"/>
    <s v="Kaine"/>
    <s v="Haukey"/>
    <x v="1"/>
    <n v="24"/>
    <s v="No Travel "/>
    <x v="2"/>
    <n v="35"/>
    <s v="CA"/>
    <s v="Asian or Asian American"/>
    <n v="3"/>
    <s v="Information Systems"/>
    <x v="7"/>
    <s v="Divorced"/>
    <n v="65838"/>
    <n v="3"/>
    <x v="1"/>
    <d v="2018-06-17T00:00:00"/>
    <s v="No"/>
    <n v="4"/>
    <n v="2"/>
    <n v="2"/>
    <n v="2"/>
    <s v="Bachelors "/>
    <s v="Bachelors "/>
    <s v="Bachelors "/>
    <n v="0"/>
    <s v="20-29"/>
  </r>
  <r>
    <s v="E1FE-67B5"/>
    <s v="Lothaire"/>
    <s v="Darlow"/>
    <x v="2"/>
    <n v="25"/>
    <s v="Some Travel"/>
    <x v="2"/>
    <n v="8"/>
    <s v="CA"/>
    <s v="American Indian or Alaska Native"/>
    <n v="3"/>
    <s v="Information Systems"/>
    <x v="8"/>
    <s v="Single"/>
    <n v="126055"/>
    <n v="0"/>
    <x v="0"/>
    <d v="2018-06-17T00:00:00"/>
    <s v="No"/>
    <n v="4"/>
    <n v="4"/>
    <n v="4"/>
    <n v="2"/>
    <s v="Bachelors "/>
    <s v="Bachelors "/>
    <s v="Bachelors "/>
    <n v="0"/>
    <s v="20-29"/>
  </r>
  <r>
    <s v="4D59-B831"/>
    <s v="Nell"/>
    <s v="Teague"/>
    <x v="0"/>
    <n v="25"/>
    <s v="Some Travel"/>
    <x v="1"/>
    <n v="14"/>
    <s v="CA"/>
    <s v="Other "/>
    <n v="1"/>
    <s v="Human Resources"/>
    <x v="3"/>
    <s v="Married"/>
    <n v="22150"/>
    <n v="1"/>
    <x v="0"/>
    <d v="2018-06-25T00:00:00"/>
    <s v="Yes"/>
    <n v="2"/>
    <n v="0"/>
    <n v="1"/>
    <n v="1"/>
    <s v="No Formal Qualifications"/>
    <s v="No Formal Qualifications"/>
    <s v="No Formal Qualifications"/>
    <n v="1"/>
    <s v="20-29"/>
  </r>
  <r>
    <s v="CCE7-36ED"/>
    <s v="Dwain"/>
    <s v="Nias"/>
    <x v="1"/>
    <n v="36"/>
    <s v="Some Travel"/>
    <x v="2"/>
    <n v="11"/>
    <s v="NY"/>
    <s v="Asian or Asian American"/>
    <n v="3"/>
    <s v="Computer Science"/>
    <x v="5"/>
    <s v="Married"/>
    <n v="236739"/>
    <n v="2"/>
    <x v="0"/>
    <d v="2018-06-26T00:00:00"/>
    <s v="No"/>
    <n v="4"/>
    <n v="3"/>
    <n v="4"/>
    <n v="3"/>
    <s v="Bachelors "/>
    <s v="Bachelors "/>
    <s v="Bachelors "/>
    <n v="0"/>
    <s v="30-39"/>
  </r>
  <r>
    <s v="ACB2-6640"/>
    <s v="Julee"/>
    <s v="Corfield"/>
    <x v="0"/>
    <n v="24"/>
    <s v="Some Travel"/>
    <x v="0"/>
    <n v="16"/>
    <s v="CA"/>
    <s v="White"/>
    <n v="4"/>
    <s v="Marketing "/>
    <x v="0"/>
    <s v="Divorced"/>
    <n v="75250"/>
    <n v="1"/>
    <x v="0"/>
    <d v="2018-06-29T00:00:00"/>
    <s v="No"/>
    <n v="4"/>
    <n v="0"/>
    <n v="0"/>
    <n v="0"/>
    <s v="Masters "/>
    <s v="Masters "/>
    <s v="Masters "/>
    <n v="0"/>
    <s v="20-29"/>
  </r>
  <r>
    <s v="8369-ED26"/>
    <s v="Randie"/>
    <s v="Tolliday"/>
    <x v="3"/>
    <n v="25"/>
    <s v="No Travel "/>
    <x v="2"/>
    <n v="19"/>
    <s v="NY"/>
    <s v="Asian or Asian American"/>
    <n v="2"/>
    <s v="Information Systems"/>
    <x v="5"/>
    <s v="Divorced"/>
    <n v="83894"/>
    <n v="1"/>
    <x v="0"/>
    <d v="2018-06-30T00:00:00"/>
    <s v="No"/>
    <n v="4"/>
    <n v="2"/>
    <n v="2"/>
    <n v="3"/>
    <s v="High School "/>
    <s v="High School "/>
    <s v="High School "/>
    <n v="0"/>
    <s v="20-29"/>
  </r>
  <r>
    <s v="AEEC-804D"/>
    <s v="Vannie"/>
    <s v="Kissell"/>
    <x v="0"/>
    <n v="23"/>
    <s v="No Travel "/>
    <x v="2"/>
    <n v="24"/>
    <s v="NY"/>
    <s v="Mixed or multiple ethnic groups"/>
    <n v="4"/>
    <s v="Computer Science"/>
    <x v="8"/>
    <s v="Divorced"/>
    <n v="69325"/>
    <n v="1"/>
    <x v="0"/>
    <d v="2018-07-04T00:00:00"/>
    <s v="No"/>
    <n v="4"/>
    <n v="3"/>
    <n v="4"/>
    <n v="4"/>
    <s v="Masters "/>
    <s v="Masters "/>
    <s v="Masters "/>
    <n v="0"/>
    <s v="20-29"/>
  </r>
  <r>
    <s v="CAD7-01BE"/>
    <s v="Marlin"/>
    <s v="Egdell"/>
    <x v="1"/>
    <n v="47"/>
    <s v="Some Travel"/>
    <x v="0"/>
    <n v="26"/>
    <s v="CA"/>
    <s v="Mixed or multiple ethnic groups"/>
    <n v="4"/>
    <s v="Marketing"/>
    <x v="0"/>
    <s v="Divorced"/>
    <n v="244765"/>
    <n v="2"/>
    <x v="1"/>
    <d v="2018-07-04T00:00:00"/>
    <s v="No"/>
    <n v="4"/>
    <n v="2"/>
    <n v="3"/>
    <n v="1"/>
    <s v="Masters "/>
    <s v="Masters "/>
    <s v="Masters "/>
    <n v="0"/>
    <s v="40-49"/>
  </r>
  <r>
    <s v="4938-402A"/>
    <s v="Gherardo"/>
    <s v="Stratiff"/>
    <x v="1"/>
    <n v="24"/>
    <s v="No Travel "/>
    <x v="0"/>
    <n v="6"/>
    <s v="CA"/>
    <s v="Black or African American"/>
    <n v="3"/>
    <s v="Economics"/>
    <x v="6"/>
    <s v="Divorced"/>
    <n v="135407"/>
    <n v="1"/>
    <x v="0"/>
    <d v="2018-07-05T00:00:00"/>
    <s v="No"/>
    <n v="4"/>
    <n v="2"/>
    <n v="4"/>
    <n v="2"/>
    <s v="Bachelors "/>
    <s v="Bachelors "/>
    <s v="Bachelors "/>
    <n v="0"/>
    <s v="20-29"/>
  </r>
  <r>
    <s v="7D95-B5B1"/>
    <s v="Glenna"/>
    <s v="Blackston"/>
    <x v="0"/>
    <n v="25"/>
    <s v="Some Travel"/>
    <x v="2"/>
    <n v="28"/>
    <s v="CA"/>
    <s v="White"/>
    <n v="4"/>
    <s v="Computer Science"/>
    <x v="8"/>
    <s v="Single"/>
    <n v="70737"/>
    <n v="0"/>
    <x v="0"/>
    <d v="2018-07-06T00:00:00"/>
    <s v="No"/>
    <n v="4"/>
    <n v="3"/>
    <n v="3"/>
    <n v="3"/>
    <s v="Masters "/>
    <s v="Masters "/>
    <s v="Masters "/>
    <n v="0"/>
    <s v="20-29"/>
  </r>
  <r>
    <s v="7805-8A7C"/>
    <s v="Agna"/>
    <s v="Grinnov"/>
    <x v="2"/>
    <n v="28"/>
    <s v="Some Travel"/>
    <x v="2"/>
    <n v="15"/>
    <s v="CA"/>
    <s v="Native Hawaiian "/>
    <n v="4"/>
    <s v="Computer Science"/>
    <x v="2"/>
    <s v="Single"/>
    <n v="337046"/>
    <n v="0"/>
    <x v="0"/>
    <d v="2018-07-08T00:00:00"/>
    <s v="No"/>
    <n v="4"/>
    <n v="3"/>
    <n v="4"/>
    <n v="0"/>
    <s v="Masters "/>
    <s v="Masters "/>
    <s v="Masters "/>
    <n v="0"/>
    <s v="20-29"/>
  </r>
  <r>
    <s v="648E-FE5F"/>
    <s v="Tabb"/>
    <s v="McInnes"/>
    <x v="1"/>
    <n v="25"/>
    <s v="Some Travel"/>
    <x v="0"/>
    <n v="11"/>
    <s v="CA"/>
    <s v="Black or African American"/>
    <n v="3"/>
    <s v="Marketing "/>
    <x v="0"/>
    <s v="Single"/>
    <n v="58914"/>
    <n v="0"/>
    <x v="0"/>
    <d v="2018-07-11T00:00:00"/>
    <s v="No"/>
    <n v="4"/>
    <n v="0"/>
    <n v="1"/>
    <n v="0"/>
    <s v="Bachelors "/>
    <s v="Bachelors "/>
    <s v="Bachelors "/>
    <n v="0"/>
    <s v="20-29"/>
  </r>
  <r>
    <s v="5634-9D10"/>
    <s v="Estelle"/>
    <s v="Chung"/>
    <x v="0"/>
    <n v="25"/>
    <s v="Some Travel"/>
    <x v="2"/>
    <n v="23"/>
    <s v="CA"/>
    <s v="Mixed or multiple ethnic groups"/>
    <n v="1"/>
    <s v="Information Systems"/>
    <x v="7"/>
    <s v="Single"/>
    <n v="42656"/>
    <n v="0"/>
    <x v="0"/>
    <d v="2018-07-15T00:00:00"/>
    <s v="No"/>
    <n v="4"/>
    <n v="1"/>
    <n v="4"/>
    <n v="2"/>
    <s v="No Formal Qualifications"/>
    <s v="No Formal Qualifications"/>
    <s v="No Formal Qualifications"/>
    <n v="0"/>
    <s v="20-29"/>
  </r>
  <r>
    <s v="1147-7E2F"/>
    <s v="Timotheus"/>
    <s v="Antowski"/>
    <x v="1"/>
    <n v="22"/>
    <s v="Some Travel"/>
    <x v="2"/>
    <n v="23"/>
    <s v="CA"/>
    <s v="Mixed or multiple ethnic groups"/>
    <n v="3"/>
    <s v="Computer Science"/>
    <x v="4"/>
    <s v="Single"/>
    <n v="37021"/>
    <n v="0"/>
    <x v="0"/>
    <d v="2018-07-15T00:00:00"/>
    <s v="Yes"/>
    <n v="3"/>
    <n v="0"/>
    <n v="1"/>
    <n v="2"/>
    <s v="Bachelors "/>
    <s v="Bachelors "/>
    <s v="Bachelors "/>
    <n v="1"/>
    <s v="20-29"/>
  </r>
  <r>
    <s v="2DD1-FD7F"/>
    <s v="Godart"/>
    <s v="Burgwin"/>
    <x v="1"/>
    <n v="22"/>
    <s v="Some Travel"/>
    <x v="2"/>
    <n v="3"/>
    <s v="CA"/>
    <s v="Other "/>
    <n v="3"/>
    <s v="Computer Science"/>
    <x v="4"/>
    <s v="Single"/>
    <n v="34753"/>
    <n v="0"/>
    <x v="1"/>
    <d v="2018-07-18T00:00:00"/>
    <s v="Yes"/>
    <n v="1"/>
    <n v="0"/>
    <n v="0"/>
    <n v="0"/>
    <s v="Bachelors "/>
    <s v="Bachelors "/>
    <s v="Bachelors "/>
    <n v="1"/>
    <s v="20-29"/>
  </r>
  <r>
    <s v="682D-8FD8"/>
    <s v="Maridel"/>
    <s v="Valentin"/>
    <x v="0"/>
    <n v="25"/>
    <s v="Some Travel"/>
    <x v="2"/>
    <n v="37"/>
    <s v="NY"/>
    <s v="Mixed or multiple ethnic groups"/>
    <n v="2"/>
    <s v="Information Systems"/>
    <x v="2"/>
    <s v="Married"/>
    <n v="188516"/>
    <n v="1"/>
    <x v="0"/>
    <d v="2018-07-20T00:00:00"/>
    <s v="No"/>
    <n v="4"/>
    <n v="1"/>
    <n v="3"/>
    <n v="1"/>
    <s v="High School "/>
    <s v="High School "/>
    <s v="High School "/>
    <n v="0"/>
    <s v="20-29"/>
  </r>
  <r>
    <s v="3EAA-95E5"/>
    <s v="Beatrix"/>
    <s v="Epelett"/>
    <x v="2"/>
    <n v="40"/>
    <s v="Some Travel"/>
    <x v="2"/>
    <n v="40"/>
    <s v="CA"/>
    <s v="White"/>
    <n v="4"/>
    <s v="Computer Science"/>
    <x v="5"/>
    <s v="Divorced"/>
    <n v="265523"/>
    <n v="1"/>
    <x v="0"/>
    <d v="2018-07-20T00:00:00"/>
    <s v="No"/>
    <n v="4"/>
    <n v="1"/>
    <n v="3"/>
    <n v="1"/>
    <s v="Masters "/>
    <s v="Masters "/>
    <s v="Masters "/>
    <n v="0"/>
    <s v="40-49"/>
  </r>
  <r>
    <s v="ECC7-B638"/>
    <s v="Patrice"/>
    <s v="Boorman"/>
    <x v="1"/>
    <n v="24"/>
    <s v="Frequent Traveller"/>
    <x v="0"/>
    <n v="44"/>
    <s v="NY"/>
    <s v="Black or African American"/>
    <n v="3"/>
    <s v="Marketing"/>
    <x v="0"/>
    <s v="Married"/>
    <n v="41741"/>
    <n v="1"/>
    <x v="0"/>
    <d v="2018-07-20T00:00:00"/>
    <s v="No"/>
    <n v="4"/>
    <n v="0"/>
    <n v="1"/>
    <n v="0"/>
    <s v="Bachelors "/>
    <s v="Bachelors "/>
    <s v="Bachelors "/>
    <n v="0"/>
    <s v="20-29"/>
  </r>
  <r>
    <s v="0AF4-EC15"/>
    <s v="Gwenore"/>
    <s v="Bernucci"/>
    <x v="0"/>
    <n v="24"/>
    <s v="Some Travel"/>
    <x v="0"/>
    <n v="33"/>
    <s v="CA"/>
    <s v="Native Hawaiian "/>
    <n v="3"/>
    <s v="Marketing "/>
    <x v="0"/>
    <s v="Single"/>
    <n v="91915"/>
    <n v="0"/>
    <x v="0"/>
    <d v="2018-07-23T00:00:00"/>
    <s v="No"/>
    <n v="4"/>
    <n v="0"/>
    <n v="4"/>
    <n v="4"/>
    <s v="Bachelors "/>
    <s v="Bachelors "/>
    <s v="Bachelors "/>
    <n v="0"/>
    <s v="20-29"/>
  </r>
  <r>
    <s v="66BC-7AC0"/>
    <s v="Maynord"/>
    <s v="Trinke"/>
    <x v="1"/>
    <n v="22"/>
    <s v="Frequent Traveller"/>
    <x v="0"/>
    <n v="33"/>
    <s v="NY"/>
    <s v="White"/>
    <n v="3"/>
    <s v="Marketing"/>
    <x v="9"/>
    <s v="Married"/>
    <n v="33657"/>
    <n v="1"/>
    <x v="0"/>
    <d v="2018-07-23T00:00:00"/>
    <s v="Yes"/>
    <n v="3"/>
    <n v="0"/>
    <n v="2"/>
    <n v="0"/>
    <s v="Bachelors "/>
    <s v="Bachelors "/>
    <s v="Bachelors "/>
    <n v="1"/>
    <s v="20-29"/>
  </r>
  <r>
    <s v="503B-AACE"/>
    <s v="Cherilynn"/>
    <s v="Swafford"/>
    <x v="0"/>
    <n v="25"/>
    <s v="Some Travel"/>
    <x v="2"/>
    <n v="10"/>
    <s v="CA"/>
    <s v="Mixed or multiple ethnic groups"/>
    <n v="3"/>
    <s v="Information Systems"/>
    <x v="4"/>
    <s v="Single"/>
    <n v="23198"/>
    <n v="0"/>
    <x v="0"/>
    <d v="2018-07-26T00:00:00"/>
    <s v="No"/>
    <n v="4"/>
    <n v="0"/>
    <n v="3"/>
    <n v="0"/>
    <s v="Bachelors "/>
    <s v="Bachelors "/>
    <s v="Bachelors "/>
    <n v="0"/>
    <s v="20-29"/>
  </r>
  <r>
    <s v="BFAF-1ED1"/>
    <s v="Georges"/>
    <s v="Hinstridge"/>
    <x v="1"/>
    <n v="24"/>
    <s v="Frequent Traveller"/>
    <x v="2"/>
    <n v="14"/>
    <s v="CA"/>
    <s v="Mixed or multiple ethnic groups"/>
    <n v="4"/>
    <s v="Computer Science"/>
    <x v="4"/>
    <s v="Divorced"/>
    <n v="67538"/>
    <n v="1"/>
    <x v="0"/>
    <d v="2018-07-28T00:00:00"/>
    <s v="No"/>
    <n v="4"/>
    <n v="3"/>
    <n v="4"/>
    <n v="2"/>
    <s v="Masters "/>
    <s v="Masters "/>
    <s v="Masters "/>
    <n v="0"/>
    <s v="20-29"/>
  </r>
  <r>
    <s v="05CD-292D"/>
    <s v="Buddie"/>
    <s v="Desforges"/>
    <x v="1"/>
    <n v="24"/>
    <s v="Some Travel"/>
    <x v="2"/>
    <n v="1"/>
    <s v="CA"/>
    <s v="White"/>
    <n v="3"/>
    <s v="Other"/>
    <x v="7"/>
    <s v="Single"/>
    <n v="54501"/>
    <n v="0"/>
    <x v="0"/>
    <d v="2018-08-01T00:00:00"/>
    <s v="No"/>
    <n v="4"/>
    <n v="4"/>
    <n v="4"/>
    <n v="2"/>
    <s v="Bachelors "/>
    <s v="Bachelors "/>
    <s v="Bachelors "/>
    <n v="0"/>
    <s v="20-29"/>
  </r>
  <r>
    <s v="C6F6-CDFE"/>
    <s v="Faythe"/>
    <s v="Ephson"/>
    <x v="0"/>
    <n v="24"/>
    <s v="Some Travel"/>
    <x v="0"/>
    <n v="8"/>
    <s v="CA"/>
    <s v="White"/>
    <n v="4"/>
    <s v="Marketing"/>
    <x v="9"/>
    <s v="Married"/>
    <n v="50513"/>
    <n v="1"/>
    <x v="0"/>
    <d v="2018-08-04T00:00:00"/>
    <s v="No"/>
    <n v="4"/>
    <n v="0"/>
    <n v="4"/>
    <n v="1"/>
    <s v="Masters "/>
    <s v="Masters "/>
    <s v="Masters "/>
    <n v="0"/>
    <s v="20-29"/>
  </r>
  <r>
    <s v="DCA7-D382"/>
    <s v="Tynan"/>
    <s v="Penhall"/>
    <x v="1"/>
    <n v="22"/>
    <s v="Some Travel"/>
    <x v="2"/>
    <n v="8"/>
    <s v="NY"/>
    <s v="White"/>
    <n v="1"/>
    <s v="Information Systems"/>
    <x v="4"/>
    <s v="Divorced"/>
    <n v="54371"/>
    <n v="3"/>
    <x v="0"/>
    <d v="2018-08-06T00:00:00"/>
    <s v="No"/>
    <n v="4"/>
    <n v="4"/>
    <n v="4"/>
    <n v="2"/>
    <s v="No Formal Qualifications"/>
    <s v="No Formal Qualifications"/>
    <s v="No Formal Qualifications"/>
    <n v="0"/>
    <s v="20-29"/>
  </r>
  <r>
    <s v="07F5-A45D"/>
    <s v="Willdon"/>
    <s v="Spurgin"/>
    <x v="1"/>
    <n v="24"/>
    <s v="Frequent Traveller"/>
    <x v="0"/>
    <n v="23"/>
    <s v="CA"/>
    <s v="Asian or Asian American"/>
    <n v="2"/>
    <s v="Economics"/>
    <x v="9"/>
    <s v="Single"/>
    <n v="38448"/>
    <n v="0"/>
    <x v="1"/>
    <d v="2018-08-09T00:00:00"/>
    <s v="Yes"/>
    <n v="4"/>
    <n v="3"/>
    <n v="3"/>
    <n v="2"/>
    <s v="High School "/>
    <s v="High School "/>
    <s v="High School "/>
    <n v="1"/>
    <s v="20-29"/>
  </r>
  <r>
    <s v="F72B-49FF"/>
    <s v="Gerianne"/>
    <s v="Tidbold"/>
    <x v="0"/>
    <n v="36"/>
    <s v="Some Travel"/>
    <x v="2"/>
    <n v="14"/>
    <s v="CA"/>
    <s v="American Indian or Alaska Native"/>
    <n v="3"/>
    <s v="Business Studies"/>
    <x v="5"/>
    <s v="Married"/>
    <n v="251681"/>
    <n v="1"/>
    <x v="0"/>
    <d v="2018-08-12T00:00:00"/>
    <s v="No"/>
    <n v="4"/>
    <n v="2"/>
    <n v="3"/>
    <n v="3"/>
    <s v="Bachelors "/>
    <s v="Bachelors "/>
    <s v="Bachelors "/>
    <n v="0"/>
    <s v="30-39"/>
  </r>
  <r>
    <s v="5919-4ADE"/>
    <s v="Lelah"/>
    <s v="Blackney"/>
    <x v="0"/>
    <n v="24"/>
    <s v="Some Travel"/>
    <x v="2"/>
    <n v="11"/>
    <s v="CA"/>
    <s v="White"/>
    <n v="3"/>
    <s v="Computer Science"/>
    <x v="8"/>
    <s v="Married"/>
    <n v="65486"/>
    <n v="1"/>
    <x v="0"/>
    <d v="2018-08-14T00:00:00"/>
    <s v="No"/>
    <n v="4"/>
    <n v="4"/>
    <n v="4"/>
    <n v="0"/>
    <s v="Bachelors "/>
    <s v="Bachelors "/>
    <s v="Bachelors "/>
    <n v="0"/>
    <s v="20-29"/>
  </r>
  <r>
    <s v="9723-FED9"/>
    <s v="Charyl"/>
    <s v="Bartaletti"/>
    <x v="0"/>
    <n v="24"/>
    <s v="Some Travel"/>
    <x v="2"/>
    <n v="4"/>
    <s v="CA"/>
    <s v="Black or African American"/>
    <n v="3"/>
    <s v="Business Studies"/>
    <x v="4"/>
    <s v="Married"/>
    <n v="41555"/>
    <n v="1"/>
    <x v="0"/>
    <d v="2018-08-16T00:00:00"/>
    <s v="No"/>
    <n v="4"/>
    <n v="4"/>
    <n v="4"/>
    <n v="2"/>
    <s v="Bachelors "/>
    <s v="Bachelors "/>
    <s v="Bachelors "/>
    <n v="0"/>
    <s v="20-29"/>
  </r>
  <r>
    <s v="61E5-836E"/>
    <s v="Frederigo"/>
    <s v="Wichard"/>
    <x v="2"/>
    <n v="24"/>
    <s v="Some Travel"/>
    <x v="2"/>
    <n v="1"/>
    <s v="CA"/>
    <s v="White"/>
    <n v="3"/>
    <s v="Business Studies"/>
    <x v="7"/>
    <s v="Divorced"/>
    <n v="35199"/>
    <n v="1"/>
    <x v="0"/>
    <d v="2018-08-16T00:00:00"/>
    <s v="No"/>
    <n v="4"/>
    <n v="0"/>
    <n v="0"/>
    <n v="1"/>
    <s v="Bachelors "/>
    <s v="Bachelors "/>
    <s v="Bachelors "/>
    <n v="0"/>
    <s v="20-29"/>
  </r>
  <r>
    <s v="2937-EB65"/>
    <s v="Jarred"/>
    <s v="Stoddard"/>
    <x v="1"/>
    <n v="24"/>
    <s v="Some Travel"/>
    <x v="0"/>
    <n v="16"/>
    <s v="CA"/>
    <s v="Mixed or multiple ethnic groups"/>
    <n v="3"/>
    <s v="Marketing"/>
    <x v="0"/>
    <s v="Single"/>
    <n v="116132"/>
    <n v="0"/>
    <x v="0"/>
    <d v="2018-08-20T00:00:00"/>
    <s v="No"/>
    <n v="4"/>
    <n v="1"/>
    <n v="4"/>
    <n v="1"/>
    <s v="Bachelors "/>
    <s v="Bachelors "/>
    <s v="Bachelors "/>
    <n v="0"/>
    <s v="20-29"/>
  </r>
  <r>
    <s v="2A89-93B6"/>
    <s v="Lissy"/>
    <s v="Schimek"/>
    <x v="0"/>
    <n v="24"/>
    <s v="Some Travel"/>
    <x v="2"/>
    <n v="13"/>
    <s v="NY"/>
    <s v="White"/>
    <n v="4"/>
    <s v="Computer Science"/>
    <x v="4"/>
    <s v="Single"/>
    <n v="30117"/>
    <n v="0"/>
    <x v="0"/>
    <d v="2018-08-21T00:00:00"/>
    <s v="Yes"/>
    <n v="3"/>
    <n v="1"/>
    <n v="1"/>
    <n v="2"/>
    <s v="Masters "/>
    <s v="Masters "/>
    <s v="Masters "/>
    <n v="1"/>
    <s v="20-29"/>
  </r>
  <r>
    <s v="2FC6-7ED5"/>
    <s v="Deena"/>
    <s v="Deegan"/>
    <x v="0"/>
    <n v="44"/>
    <s v="Frequent Traveller"/>
    <x v="2"/>
    <n v="29"/>
    <s v="CA"/>
    <s v="Mixed or multiple ethnic groups"/>
    <n v="1"/>
    <s v="Computer Science"/>
    <x v="5"/>
    <s v="Married"/>
    <n v="303779"/>
    <n v="1"/>
    <x v="0"/>
    <d v="2018-08-24T00:00:00"/>
    <s v="No"/>
    <n v="4"/>
    <n v="0"/>
    <n v="0"/>
    <n v="0"/>
    <s v="No Formal Qualifications"/>
    <s v="No Formal Qualifications"/>
    <s v="No Formal Qualifications"/>
    <n v="0"/>
    <s v="40-49"/>
  </r>
  <r>
    <s v="7DA1-A202"/>
    <s v="Gene"/>
    <s v="Sends"/>
    <x v="0"/>
    <n v="24"/>
    <s v="Some Travel"/>
    <x v="2"/>
    <n v="18"/>
    <s v="CA"/>
    <s v="Mixed or multiple ethnic groups"/>
    <n v="4"/>
    <s v="Computer Science"/>
    <x v="4"/>
    <s v="Divorced"/>
    <n v="28539"/>
    <n v="2"/>
    <x v="0"/>
    <d v="2018-09-02T00:00:00"/>
    <s v="No"/>
    <n v="4"/>
    <n v="1"/>
    <n v="2"/>
    <n v="1"/>
    <s v="Masters "/>
    <s v="Masters "/>
    <s v="Masters "/>
    <n v="0"/>
    <s v="20-29"/>
  </r>
  <r>
    <s v="4875-109B"/>
    <s v="Molly"/>
    <s v="Lawdham"/>
    <x v="0"/>
    <n v="23"/>
    <s v="Some Travel"/>
    <x v="0"/>
    <n v="40"/>
    <s v="IL"/>
    <s v="White"/>
    <n v="4"/>
    <s v="Marketing "/>
    <x v="0"/>
    <s v="Married"/>
    <n v="52039"/>
    <n v="0"/>
    <x v="1"/>
    <d v="2018-09-03T00:00:00"/>
    <s v="No"/>
    <n v="4"/>
    <n v="1"/>
    <n v="1"/>
    <n v="0"/>
    <s v="Masters "/>
    <s v="Masters "/>
    <s v="Masters "/>
    <n v="0"/>
    <s v="20-29"/>
  </r>
  <r>
    <s v="B375-26A9"/>
    <s v="Teressa"/>
    <s v="Attewell"/>
    <x v="0"/>
    <n v="24"/>
    <s v="No Travel "/>
    <x v="1"/>
    <n v="5"/>
    <s v="NY"/>
    <s v="Asian or Asian American"/>
    <n v="3"/>
    <s v="Human Resources"/>
    <x v="11"/>
    <s v="Divorced"/>
    <n v="41745"/>
    <n v="3"/>
    <x v="0"/>
    <d v="2018-09-03T00:00:00"/>
    <s v="No"/>
    <n v="4"/>
    <n v="2"/>
    <n v="4"/>
    <n v="0"/>
    <s v="Bachelors "/>
    <s v="Bachelors "/>
    <s v="Bachelors "/>
    <n v="0"/>
    <s v="20-29"/>
  </r>
  <r>
    <s v="7F61-2397"/>
    <s v="Felicdad"/>
    <s v="Seakin"/>
    <x v="2"/>
    <n v="41"/>
    <s v="No Travel "/>
    <x v="2"/>
    <n v="26"/>
    <s v="CA"/>
    <s v="White"/>
    <n v="4"/>
    <s v="Computer Science"/>
    <x v="10"/>
    <s v="Married"/>
    <n v="283081"/>
    <n v="1"/>
    <x v="1"/>
    <d v="2018-09-03T00:00:00"/>
    <s v="Yes"/>
    <n v="4"/>
    <n v="1"/>
    <n v="3"/>
    <n v="2"/>
    <s v="Masters "/>
    <s v="Masters "/>
    <s v="Masters "/>
    <n v="1"/>
    <s v="40-49"/>
  </r>
  <r>
    <s v="5839-7AE2"/>
    <s v="Maxwell"/>
    <s v="Labrone"/>
    <x v="1"/>
    <n v="25"/>
    <s v="Some Travel"/>
    <x v="2"/>
    <n v="24"/>
    <s v="NY"/>
    <s v="Black or African American"/>
    <n v="2"/>
    <s v="Business Studies"/>
    <x v="8"/>
    <s v="Single"/>
    <n v="175342"/>
    <n v="0"/>
    <x v="1"/>
    <d v="2018-09-04T00:00:00"/>
    <s v="No"/>
    <n v="4"/>
    <n v="3"/>
    <n v="4"/>
    <n v="3"/>
    <s v="High School "/>
    <s v="High School "/>
    <s v="High School "/>
    <n v="0"/>
    <s v="20-29"/>
  </r>
  <r>
    <s v="AD1C-2AC5"/>
    <s v="Phylys"/>
    <s v="Twede"/>
    <x v="0"/>
    <n v="22"/>
    <s v="No Travel "/>
    <x v="2"/>
    <n v="6"/>
    <s v="CA"/>
    <s v="White"/>
    <n v="2"/>
    <s v="Information Systems"/>
    <x v="4"/>
    <s v="Divorced"/>
    <n v="38169"/>
    <n v="3"/>
    <x v="0"/>
    <d v="2018-09-11T00:00:00"/>
    <s v="No"/>
    <n v="4"/>
    <n v="4"/>
    <n v="4"/>
    <n v="4"/>
    <s v="High School "/>
    <s v="High School "/>
    <s v="High School "/>
    <n v="0"/>
    <s v="20-29"/>
  </r>
  <r>
    <s v="4F28-CFAF"/>
    <s v="Juditha"/>
    <s v="Burdell"/>
    <x v="0"/>
    <n v="25"/>
    <s v="Some Travel"/>
    <x v="0"/>
    <n v="11"/>
    <s v="IL"/>
    <s v="Black or African American"/>
    <n v="3"/>
    <s v="Marketing"/>
    <x v="0"/>
    <s v="Single"/>
    <n v="53930"/>
    <n v="0"/>
    <x v="1"/>
    <d v="2018-09-13T00:00:00"/>
    <s v="Yes"/>
    <n v="3"/>
    <n v="2"/>
    <n v="3"/>
    <n v="1"/>
    <s v="Bachelors "/>
    <s v="Bachelors "/>
    <s v="Bachelors "/>
    <n v="1"/>
    <s v="20-29"/>
  </r>
  <r>
    <s v="0FE8-B881"/>
    <s v="Rockie"/>
    <s v="Iseton"/>
    <x v="1"/>
    <n v="25"/>
    <s v="Some Travel"/>
    <x v="0"/>
    <n v="12"/>
    <s v="IL"/>
    <s v="Asian or Asian American"/>
    <n v="3"/>
    <s v="Marketing "/>
    <x v="0"/>
    <s v="Divorced"/>
    <n v="118048"/>
    <n v="2"/>
    <x v="0"/>
    <d v="2018-09-14T00:00:00"/>
    <s v="No"/>
    <n v="4"/>
    <n v="4"/>
    <n v="4"/>
    <n v="3"/>
    <s v="Bachelors "/>
    <s v="Bachelors "/>
    <s v="Bachelors "/>
    <n v="0"/>
    <s v="20-29"/>
  </r>
  <r>
    <s v="FAB0-2FF2"/>
    <s v="Lola"/>
    <s v="Gatecliffe"/>
    <x v="0"/>
    <n v="22"/>
    <s v="Some Travel"/>
    <x v="2"/>
    <n v="45"/>
    <s v="NY"/>
    <s v="Asian or Asian American"/>
    <n v="3"/>
    <s v="Information Systems"/>
    <x v="8"/>
    <s v="Divorced"/>
    <n v="80975"/>
    <n v="3"/>
    <x v="0"/>
    <d v="2018-09-15T00:00:00"/>
    <s v="No"/>
    <n v="4"/>
    <n v="4"/>
    <n v="4"/>
    <n v="1"/>
    <s v="Bachelors "/>
    <s v="Bachelors "/>
    <s v="Bachelors "/>
    <n v="0"/>
    <s v="20-29"/>
  </r>
  <r>
    <s v="12A7-AFD6"/>
    <s v="Garrek"/>
    <s v="Riditch"/>
    <x v="2"/>
    <n v="24"/>
    <s v="Some Travel"/>
    <x v="0"/>
    <n v="22"/>
    <s v="CA"/>
    <s v="Mixed or multiple ethnic groups"/>
    <n v="3"/>
    <s v="Marketing"/>
    <x v="0"/>
    <s v="Married"/>
    <n v="53530"/>
    <n v="0"/>
    <x v="1"/>
    <d v="2018-09-19T00:00:00"/>
    <s v="No"/>
    <n v="4"/>
    <n v="3"/>
    <n v="3"/>
    <n v="1"/>
    <s v="Bachelors "/>
    <s v="Bachelors "/>
    <s v="Bachelors "/>
    <n v="0"/>
    <s v="20-29"/>
  </r>
  <r>
    <s v="7E76-154C"/>
    <s v="Lorrayne"/>
    <s v="Pinnington"/>
    <x v="0"/>
    <n v="25"/>
    <s v="Some Travel"/>
    <x v="2"/>
    <n v="40"/>
    <s v="NY"/>
    <s v="White"/>
    <n v="3"/>
    <s v="Business Studies"/>
    <x v="5"/>
    <s v="Married"/>
    <n v="75250"/>
    <n v="1"/>
    <x v="0"/>
    <d v="2018-09-20T00:00:00"/>
    <s v="No"/>
    <n v="4"/>
    <n v="1"/>
    <n v="4"/>
    <n v="0"/>
    <s v="Bachelors "/>
    <s v="Bachelors "/>
    <s v="Bachelors "/>
    <n v="0"/>
    <s v="20-29"/>
  </r>
  <r>
    <s v="2F04-931F"/>
    <s v="Carlyle"/>
    <s v="Catt"/>
    <x v="1"/>
    <n v="23"/>
    <s v="Some Travel"/>
    <x v="2"/>
    <n v="25"/>
    <s v="CA"/>
    <s v="Mixed or multiple ethnic groups"/>
    <n v="3"/>
    <s v="Business Studies"/>
    <x v="4"/>
    <s v="Single"/>
    <n v="37121"/>
    <n v="0"/>
    <x v="1"/>
    <d v="2018-10-02T00:00:00"/>
    <s v="Yes"/>
    <n v="1"/>
    <n v="0"/>
    <n v="0"/>
    <n v="0"/>
    <s v="Bachelors "/>
    <s v="Bachelors "/>
    <s v="Bachelors "/>
    <n v="1"/>
    <s v="20-29"/>
  </r>
  <r>
    <s v="5B11-3DB3"/>
    <s v="Melicent"/>
    <s v="Papworth"/>
    <x v="0"/>
    <n v="24"/>
    <s v="Some Travel"/>
    <x v="0"/>
    <n v="43"/>
    <s v="CA"/>
    <s v="Asian or Asian American"/>
    <n v="4"/>
    <s v="Economics"/>
    <x v="0"/>
    <s v="Married"/>
    <n v="144335"/>
    <n v="0"/>
    <x v="0"/>
    <d v="2018-10-11T00:00:00"/>
    <s v="Yes"/>
    <n v="0"/>
    <n v="0"/>
    <n v="0"/>
    <n v="0"/>
    <s v="Masters "/>
    <s v="Masters "/>
    <s v="Masters "/>
    <n v="1"/>
    <s v="20-29"/>
  </r>
  <r>
    <s v="7A5A-CC91"/>
    <s v="Anabal"/>
    <s v="Parkhouse"/>
    <x v="0"/>
    <n v="23"/>
    <s v="Some Travel"/>
    <x v="0"/>
    <n v="12"/>
    <s v="NY"/>
    <s v="Black or African American"/>
    <n v="4"/>
    <s v="Marketing"/>
    <x v="0"/>
    <s v="Single"/>
    <n v="45024"/>
    <n v="0"/>
    <x v="0"/>
    <d v="2018-10-17T00:00:00"/>
    <s v="No"/>
    <n v="4"/>
    <n v="0"/>
    <n v="1"/>
    <n v="0"/>
    <s v="Masters "/>
    <s v="Masters "/>
    <s v="Masters "/>
    <n v="0"/>
    <s v="20-29"/>
  </r>
  <r>
    <s v="FB1F-9947"/>
    <s v="Gerianne"/>
    <s v="Redhouse"/>
    <x v="0"/>
    <n v="23"/>
    <s v="Some Travel"/>
    <x v="2"/>
    <n v="4"/>
    <s v="IL"/>
    <s v="White"/>
    <n v="3"/>
    <s v="Business Studies"/>
    <x v="5"/>
    <s v="Divorced"/>
    <n v="106418"/>
    <n v="1"/>
    <x v="1"/>
    <d v="2018-10-20T00:00:00"/>
    <s v="No"/>
    <n v="4"/>
    <n v="0"/>
    <n v="3"/>
    <n v="0"/>
    <s v="Bachelors "/>
    <s v="Bachelors "/>
    <s v="Bachelors "/>
    <n v="0"/>
    <s v="20-29"/>
  </r>
  <r>
    <s v="E72B-64FA"/>
    <s v="Elnar"/>
    <s v="Elsby"/>
    <x v="1"/>
    <n v="41"/>
    <s v="Some Travel"/>
    <x v="2"/>
    <n v="7"/>
    <s v="NY"/>
    <s v="Asian or Asian American"/>
    <n v="4"/>
    <s v="Information Systems"/>
    <x v="2"/>
    <s v="Divorced"/>
    <n v="273211"/>
    <n v="2"/>
    <x v="0"/>
    <d v="2018-10-20T00:00:00"/>
    <s v="No"/>
    <n v="4"/>
    <n v="3"/>
    <n v="4"/>
    <n v="3"/>
    <s v="Masters "/>
    <s v="Masters "/>
    <s v="Masters "/>
    <n v="0"/>
    <s v="40-49"/>
  </r>
  <r>
    <s v="0AE7-DDE2"/>
    <s v="Martyn"/>
    <s v="Rathke"/>
    <x v="1"/>
    <n v="23"/>
    <s v="Some Travel"/>
    <x v="2"/>
    <n v="8"/>
    <s v="CA"/>
    <s v="White"/>
    <n v="2"/>
    <s v="Information Systems"/>
    <x v="5"/>
    <s v="Married"/>
    <n v="46850"/>
    <n v="1"/>
    <x v="0"/>
    <d v="2018-10-20T00:00:00"/>
    <s v="No"/>
    <n v="4"/>
    <n v="3"/>
    <n v="4"/>
    <n v="2"/>
    <s v="High School "/>
    <s v="High School "/>
    <s v="High School "/>
    <n v="0"/>
    <s v="20-29"/>
  </r>
  <r>
    <s v="F80F-29CB"/>
    <s v="Dalton"/>
    <s v="Liddicoat"/>
    <x v="1"/>
    <n v="23"/>
    <s v="Some Travel"/>
    <x v="2"/>
    <n v="5"/>
    <s v="CA"/>
    <s v="White"/>
    <n v="2"/>
    <s v="Other"/>
    <x v="5"/>
    <s v="Divorced"/>
    <n v="77420"/>
    <n v="2"/>
    <x v="0"/>
    <d v="2018-10-24T00:00:00"/>
    <s v="No"/>
    <n v="4"/>
    <n v="4"/>
    <n v="4"/>
    <n v="3"/>
    <s v="High School "/>
    <s v="High School "/>
    <s v="High School "/>
    <n v="0"/>
    <s v="20-29"/>
  </r>
  <r>
    <s v="6542-3E93"/>
    <s v="Kelley"/>
    <s v="Yakovl"/>
    <x v="1"/>
    <n v="25"/>
    <s v="No Travel "/>
    <x v="2"/>
    <n v="44"/>
    <s v="CA"/>
    <s v="American Indian or Alaska Native"/>
    <n v="4"/>
    <s v="Information Systems"/>
    <x v="5"/>
    <s v="Married"/>
    <n v="57765"/>
    <n v="0"/>
    <x v="0"/>
    <d v="2018-10-25T00:00:00"/>
    <s v="No"/>
    <n v="4"/>
    <n v="1"/>
    <n v="3"/>
    <n v="2"/>
    <s v="Masters "/>
    <s v="Masters "/>
    <s v="Masters "/>
    <n v="0"/>
    <s v="20-29"/>
  </r>
  <r>
    <s v="1914-B934"/>
    <s v="Kinna"/>
    <s v="Gaythor"/>
    <x v="0"/>
    <n v="22"/>
    <s v="Frequent Traveller"/>
    <x v="0"/>
    <n v="19"/>
    <s v="NY"/>
    <s v="Mixed or multiple ethnic groups"/>
    <n v="3"/>
    <s v="Marketing "/>
    <x v="9"/>
    <s v="Single"/>
    <n v="22122"/>
    <n v="0"/>
    <x v="1"/>
    <d v="2018-10-26T00:00:00"/>
    <s v="Yes"/>
    <n v="3"/>
    <n v="2"/>
    <n v="2"/>
    <n v="1"/>
    <s v="Bachelors "/>
    <s v="Bachelors "/>
    <s v="Bachelors "/>
    <n v="1"/>
    <s v="20-29"/>
  </r>
  <r>
    <s v="ADA1-966E"/>
    <s v="Christian"/>
    <s v="Tinson"/>
    <x v="0"/>
    <n v="40"/>
    <s v="Some Travel"/>
    <x v="2"/>
    <n v="29"/>
    <s v="CA"/>
    <s v="White"/>
    <n v="3"/>
    <s v="Computer Science"/>
    <x v="2"/>
    <s v="Married"/>
    <n v="304343"/>
    <n v="1"/>
    <x v="1"/>
    <d v="2018-10-27T00:00:00"/>
    <s v="No"/>
    <n v="4"/>
    <n v="2"/>
    <n v="4"/>
    <n v="0"/>
    <s v="Bachelors "/>
    <s v="Bachelors "/>
    <s v="Bachelors "/>
    <n v="0"/>
    <s v="40-49"/>
  </r>
  <r>
    <s v="E151-8C7D"/>
    <s v="Frederica"/>
    <s v="Crosthwaite"/>
    <x v="0"/>
    <n v="25"/>
    <s v="Some Travel"/>
    <x v="2"/>
    <n v="24"/>
    <s v="NY"/>
    <s v="Mixed or multiple ethnic groups"/>
    <n v="4"/>
    <s v="Other"/>
    <x v="7"/>
    <s v="Single"/>
    <n v="41243"/>
    <n v="0"/>
    <x v="1"/>
    <d v="2018-10-31T00:00:00"/>
    <s v="No"/>
    <n v="4"/>
    <n v="3"/>
    <n v="4"/>
    <n v="4"/>
    <s v="Masters "/>
    <s v="Masters "/>
    <s v="Masters "/>
    <n v="0"/>
    <s v="20-29"/>
  </r>
  <r>
    <s v="7823-0217"/>
    <s v="Germaine"/>
    <s v="Clubley"/>
    <x v="2"/>
    <n v="25"/>
    <s v="Frequent Traveller"/>
    <x v="0"/>
    <n v="43"/>
    <s v="CA"/>
    <s v="White"/>
    <n v="4"/>
    <s v="Marketing"/>
    <x v="0"/>
    <s v="Married"/>
    <n v="81889"/>
    <n v="0"/>
    <x v="1"/>
    <d v="2018-11-02T00:00:00"/>
    <s v="Yes"/>
    <n v="0"/>
    <n v="0"/>
    <n v="0"/>
    <n v="0"/>
    <s v="Masters "/>
    <s v="Masters "/>
    <s v="Masters "/>
    <n v="1"/>
    <s v="20-29"/>
  </r>
  <r>
    <s v="B148-55FB"/>
    <s v="Marius"/>
    <s v="Champkin"/>
    <x v="1"/>
    <n v="38"/>
    <s v="Frequent Traveller"/>
    <x v="2"/>
    <n v="23"/>
    <s v="CA"/>
    <s v="American Indian or Alaska Native"/>
    <n v="4"/>
    <s v="Computer Science"/>
    <x v="5"/>
    <s v="Single"/>
    <n v="231699"/>
    <n v="0"/>
    <x v="0"/>
    <d v="2018-11-06T00:00:00"/>
    <s v="Yes"/>
    <n v="1"/>
    <n v="0"/>
    <n v="0"/>
    <n v="0"/>
    <s v="Masters "/>
    <s v="Masters "/>
    <s v="Masters "/>
    <n v="1"/>
    <s v="30-39"/>
  </r>
  <r>
    <s v="8EBD-B3E8"/>
    <s v="Sutherland"/>
    <s v="Kick"/>
    <x v="1"/>
    <n v="25"/>
    <s v="Some Travel"/>
    <x v="2"/>
    <n v="14"/>
    <s v="IL"/>
    <s v="Black or African American"/>
    <n v="2"/>
    <s v="Computer Science"/>
    <x v="7"/>
    <s v="Single"/>
    <n v="40079"/>
    <n v="0"/>
    <x v="1"/>
    <d v="2018-11-12T00:00:00"/>
    <s v="No"/>
    <n v="4"/>
    <n v="3"/>
    <n v="4"/>
    <n v="1"/>
    <s v="High School "/>
    <s v="High School "/>
    <s v="High School "/>
    <n v="0"/>
    <s v="20-29"/>
  </r>
  <r>
    <s v="CEE1-DA0F"/>
    <s v="Fayth"/>
    <s v="Sowden"/>
    <x v="0"/>
    <n v="23"/>
    <s v="Some Travel"/>
    <x v="2"/>
    <n v="23"/>
    <s v="CA"/>
    <s v="White"/>
    <n v="3"/>
    <s v="Computer Science"/>
    <x v="7"/>
    <s v="Single"/>
    <n v="40438"/>
    <n v="0"/>
    <x v="1"/>
    <d v="2018-11-20T00:00:00"/>
    <s v="No"/>
    <n v="4"/>
    <n v="0"/>
    <n v="0"/>
    <n v="2"/>
    <s v="Bachelors "/>
    <s v="Bachelors "/>
    <s v="Bachelors "/>
    <n v="0"/>
    <s v="20-29"/>
  </r>
  <r>
    <s v="7A2A-0600"/>
    <s v="Axel"/>
    <s v="McIlhatton"/>
    <x v="1"/>
    <n v="24"/>
    <s v="Frequent Traveller"/>
    <x v="2"/>
    <n v="36"/>
    <s v="CA"/>
    <s v="White"/>
    <n v="3"/>
    <s v="Computer Science"/>
    <x v="7"/>
    <s v="Divorced"/>
    <n v="30233"/>
    <n v="3"/>
    <x v="0"/>
    <d v="2018-11-20T00:00:00"/>
    <s v="No"/>
    <n v="4"/>
    <n v="0"/>
    <n v="4"/>
    <n v="0"/>
    <s v="Bachelors "/>
    <s v="Bachelors "/>
    <s v="Bachelors "/>
    <n v="0"/>
    <s v="20-29"/>
  </r>
  <r>
    <s v="8CC3-0C6A"/>
    <s v="Vin"/>
    <s v="Gricewood"/>
    <x v="0"/>
    <n v="24"/>
    <s v="Frequent Traveller"/>
    <x v="0"/>
    <n v="9"/>
    <s v="CA"/>
    <s v="American Indian or Alaska Native"/>
    <n v="1"/>
    <s v="Marketing "/>
    <x v="0"/>
    <s v="Married"/>
    <n v="125759"/>
    <n v="0"/>
    <x v="0"/>
    <d v="2018-11-21T00:00:00"/>
    <s v="No"/>
    <n v="4"/>
    <n v="3"/>
    <n v="3"/>
    <n v="0"/>
    <s v="No Formal Qualifications"/>
    <s v="No Formal Qualifications"/>
    <s v="No Formal Qualifications"/>
    <n v="0"/>
    <s v="20-29"/>
  </r>
  <r>
    <s v="5AC6-91D4"/>
    <s v="Terese"/>
    <s v="Burdess"/>
    <x v="0"/>
    <n v="23"/>
    <s v="Some Travel"/>
    <x v="2"/>
    <n v="16"/>
    <s v="CA"/>
    <s v="White"/>
    <n v="2"/>
    <s v="Information Systems"/>
    <x v="5"/>
    <s v="Married"/>
    <n v="56946"/>
    <n v="1"/>
    <x v="0"/>
    <d v="2018-11-22T00:00:00"/>
    <s v="No"/>
    <n v="4"/>
    <n v="2"/>
    <n v="4"/>
    <n v="4"/>
    <s v="High School "/>
    <s v="High School "/>
    <s v="High School "/>
    <n v="0"/>
    <s v="20-29"/>
  </r>
  <r>
    <s v="1FE3-22BF"/>
    <s v="Jinny"/>
    <s v="Vannet"/>
    <x v="0"/>
    <n v="25"/>
    <s v="Some Travel"/>
    <x v="2"/>
    <n v="20"/>
    <s v="NY"/>
    <s v="Mixed or multiple ethnic groups"/>
    <n v="3"/>
    <s v="Computer Science"/>
    <x v="5"/>
    <s v="Married"/>
    <n v="65642"/>
    <n v="1"/>
    <x v="0"/>
    <d v="2018-11-25T00:00:00"/>
    <s v="No"/>
    <n v="4"/>
    <n v="4"/>
    <n v="4"/>
    <n v="0"/>
    <s v="Bachelors "/>
    <s v="Bachelors "/>
    <s v="Bachelors "/>
    <n v="0"/>
    <s v="20-29"/>
  </r>
  <r>
    <s v="BDC5-51CF"/>
    <s v="Wanids"/>
    <s v="Mace"/>
    <x v="0"/>
    <n v="25"/>
    <s v="Frequent Traveller"/>
    <x v="0"/>
    <n v="3"/>
    <s v="IL"/>
    <s v="Mixed or multiple ethnic groups"/>
    <n v="4"/>
    <s v="Other"/>
    <x v="0"/>
    <s v="Single"/>
    <n v="56163"/>
    <n v="0"/>
    <x v="1"/>
    <d v="2018-11-26T00:00:00"/>
    <s v="Yes"/>
    <n v="0"/>
    <n v="0"/>
    <n v="0"/>
    <n v="0"/>
    <s v="Masters "/>
    <s v="Masters "/>
    <s v="Masters "/>
    <n v="1"/>
    <s v="20-29"/>
  </r>
  <r>
    <s v="5381-86E4"/>
    <s v="Walker"/>
    <s v="Tribble"/>
    <x v="1"/>
    <n v="24"/>
    <s v="Some Travel"/>
    <x v="2"/>
    <n v="11"/>
    <s v="CA"/>
    <s v="White"/>
    <n v="3"/>
    <s v="Computer Science"/>
    <x v="8"/>
    <s v="Single"/>
    <n v="57054"/>
    <n v="0"/>
    <x v="0"/>
    <d v="2018-11-28T00:00:00"/>
    <s v="No"/>
    <n v="4"/>
    <n v="4"/>
    <n v="4"/>
    <n v="4"/>
    <s v="Bachelors "/>
    <s v="Bachelors "/>
    <s v="Bachelors "/>
    <n v="0"/>
    <s v="20-29"/>
  </r>
  <r>
    <s v="A161-29FC"/>
    <s v="Teriann"/>
    <s v="Clampett"/>
    <x v="2"/>
    <n v="22"/>
    <s v="Some Travel"/>
    <x v="2"/>
    <n v="6"/>
    <s v="NY"/>
    <s v="White"/>
    <n v="3"/>
    <s v="Business Studies"/>
    <x v="7"/>
    <s v="Married"/>
    <n v="21649"/>
    <n v="1"/>
    <x v="0"/>
    <d v="2018-12-02T00:00:00"/>
    <s v="No"/>
    <n v="4"/>
    <n v="1"/>
    <n v="4"/>
    <n v="1"/>
    <s v="Bachelors "/>
    <s v="Bachelors "/>
    <s v="Bachelors "/>
    <n v="0"/>
    <s v="20-29"/>
  </r>
  <r>
    <s v="DB54-E47D"/>
    <s v="Violet"/>
    <s v="Pearsall"/>
    <x v="0"/>
    <n v="22"/>
    <s v="Frequent Traveller"/>
    <x v="2"/>
    <n v="29"/>
    <s v="CA"/>
    <s v="Mixed or multiple ethnic groups"/>
    <n v="2"/>
    <s v="Computer Science"/>
    <x v="4"/>
    <s v="Single"/>
    <n v="45850"/>
    <n v="0"/>
    <x v="0"/>
    <d v="2018-12-08T00:00:00"/>
    <s v="No"/>
    <n v="4"/>
    <n v="2"/>
    <n v="3"/>
    <n v="1"/>
    <s v="High School "/>
    <s v="High School "/>
    <s v="High School "/>
    <n v="0"/>
    <s v="20-29"/>
  </r>
  <r>
    <s v="4DDB-A84D"/>
    <s v="Nevins"/>
    <s v="Quick"/>
    <x v="1"/>
    <n v="46"/>
    <s v="Some Travel"/>
    <x v="0"/>
    <n v="38"/>
    <s v="IL"/>
    <s v="White"/>
    <n v="3"/>
    <s v="Marketing"/>
    <x v="0"/>
    <s v="Married"/>
    <n v="325452"/>
    <n v="1"/>
    <x v="0"/>
    <d v="2018-12-16T00:00:00"/>
    <s v="No"/>
    <n v="4"/>
    <n v="3"/>
    <n v="4"/>
    <n v="3"/>
    <s v="Bachelors "/>
    <s v="Bachelors "/>
    <s v="Bachelors "/>
    <n v="0"/>
    <s v="40-49"/>
  </r>
  <r>
    <s v="6376-F58F"/>
    <s v="Ashil"/>
    <s v="Kenwrick"/>
    <x v="0"/>
    <n v="22"/>
    <s v="Some Travel"/>
    <x v="2"/>
    <n v="4"/>
    <s v="CA"/>
    <s v="White"/>
    <n v="2"/>
    <s v="Computer Science"/>
    <x v="8"/>
    <s v="Single"/>
    <n v="73653"/>
    <n v="0"/>
    <x v="0"/>
    <d v="2018-12-19T00:00:00"/>
    <s v="No"/>
    <n v="4"/>
    <n v="2"/>
    <n v="3"/>
    <n v="3"/>
    <s v="High School "/>
    <s v="High School "/>
    <s v="High School "/>
    <n v="0"/>
    <s v="20-29"/>
  </r>
  <r>
    <s v="82B4-8569"/>
    <s v="Adrian"/>
    <s v="Swatman"/>
    <x v="1"/>
    <n v="44"/>
    <s v="Some Travel"/>
    <x v="0"/>
    <n v="44"/>
    <s v="CA"/>
    <s v="Mixed or multiple ethnic groups"/>
    <n v="3"/>
    <s v="Marketing"/>
    <x v="6"/>
    <s v="Divorced"/>
    <n v="313891"/>
    <n v="1"/>
    <x v="0"/>
    <d v="2018-12-23T00:00:00"/>
    <s v="No"/>
    <n v="4"/>
    <n v="4"/>
    <n v="4"/>
    <n v="3"/>
    <s v="Bachelors "/>
    <s v="Bachelors "/>
    <s v="Bachelors "/>
    <n v="0"/>
    <s v="40-49"/>
  </r>
  <r>
    <s v="CDAC-40FE"/>
    <s v="Gwenora"/>
    <s v="Fourcade"/>
    <x v="0"/>
    <n v="22"/>
    <s v="Some Travel"/>
    <x v="2"/>
    <n v="41"/>
    <s v="CA"/>
    <s v="Black or African American"/>
    <n v="5"/>
    <s v="Information Systems"/>
    <x v="5"/>
    <s v="Single"/>
    <n v="75810"/>
    <n v="0"/>
    <x v="0"/>
    <d v="2018-12-24T00:00:00"/>
    <s v="No"/>
    <n v="4"/>
    <n v="2"/>
    <n v="4"/>
    <n v="3"/>
    <s v="Doctorate"/>
    <s v="Doctorate"/>
    <s v="Doctorate"/>
    <n v="0"/>
    <s v="20-29"/>
  </r>
  <r>
    <s v="A885-BF42"/>
    <s v="Donavon"/>
    <s v="Hallet"/>
    <x v="1"/>
    <n v="24"/>
    <s v="Some Travel"/>
    <x v="2"/>
    <n v="19"/>
    <s v="CA"/>
    <s v="White"/>
    <n v="2"/>
    <s v="Computer Science"/>
    <x v="4"/>
    <s v="Single"/>
    <n v="32173"/>
    <n v="0"/>
    <x v="0"/>
    <d v="2018-12-24T00:00:00"/>
    <s v="No"/>
    <n v="4"/>
    <n v="1"/>
    <n v="4"/>
    <n v="1"/>
    <s v="High School "/>
    <s v="High School "/>
    <s v="High School "/>
    <n v="0"/>
    <s v="20-29"/>
  </r>
  <r>
    <s v="90EB-69E4"/>
    <s v="Devan"/>
    <s v="Ellice"/>
    <x v="0"/>
    <n v="23"/>
    <s v="Some Travel"/>
    <x v="2"/>
    <n v="31"/>
    <s v="CA"/>
    <s v="Asian or Asian American"/>
    <n v="3"/>
    <s v="Computer Science"/>
    <x v="4"/>
    <s v="Single"/>
    <n v="49543"/>
    <n v="0"/>
    <x v="0"/>
    <d v="2018-12-28T00:00:00"/>
    <s v="No"/>
    <n v="4"/>
    <n v="3"/>
    <n v="3"/>
    <n v="1"/>
    <s v="Bachelors "/>
    <s v="Bachelors "/>
    <s v="Bachelors "/>
    <n v="0"/>
    <s v="20-29"/>
  </r>
  <r>
    <s v="97F7-5710"/>
    <s v="Jordan"/>
    <s v="Kuschke"/>
    <x v="0"/>
    <n v="25"/>
    <s v="Frequent Traveller"/>
    <x v="2"/>
    <n v="4"/>
    <s v="CA"/>
    <s v="Asian or Asian American"/>
    <n v="5"/>
    <s v="Information Systems"/>
    <x v="2"/>
    <s v="Married"/>
    <n v="199034"/>
    <n v="0"/>
    <x v="1"/>
    <d v="2018-12-30T00:00:00"/>
    <s v="No"/>
    <n v="4"/>
    <n v="4"/>
    <n v="4"/>
    <n v="4"/>
    <s v="Doctorate"/>
    <s v="Doctorate"/>
    <s v="Doctorate"/>
    <n v="0"/>
    <s v="20-29"/>
  </r>
  <r>
    <s v="A862-3880"/>
    <s v="Ludvig"/>
    <s v="Gadman"/>
    <x v="1"/>
    <n v="22"/>
    <s v="Some Travel"/>
    <x v="2"/>
    <n v="10"/>
    <s v="CA"/>
    <s v="Black or African American"/>
    <n v="3"/>
    <s v="Computer Science"/>
    <x v="8"/>
    <s v="Married"/>
    <n v="66552"/>
    <n v="1"/>
    <x v="1"/>
    <d v="2018-12-30T00:00:00"/>
    <s v="No"/>
    <n v="4"/>
    <n v="1"/>
    <n v="2"/>
    <n v="0"/>
    <s v="Bachelors "/>
    <s v="Bachelors "/>
    <s v="Bachelors "/>
    <n v="0"/>
    <s v="20-29"/>
  </r>
  <r>
    <s v="B670-21B2"/>
    <s v="Ellery"/>
    <s v="Hartopp"/>
    <x v="1"/>
    <n v="24"/>
    <s v="Frequent Traveller"/>
    <x v="0"/>
    <n v="3"/>
    <s v="CA"/>
    <s v="White"/>
    <n v="4"/>
    <s v="Marketing"/>
    <x v="0"/>
    <s v="Single"/>
    <n v="70546"/>
    <n v="0"/>
    <x v="1"/>
    <d v="2019-01-01T00:00:00"/>
    <s v="No"/>
    <n v="3"/>
    <n v="2"/>
    <n v="2"/>
    <n v="0"/>
    <s v="Masters "/>
    <s v="Masters "/>
    <s v="Masters "/>
    <n v="0"/>
    <s v="20-29"/>
  </r>
  <r>
    <s v="D933-AAC4"/>
    <s v="Tann"/>
    <s v="Learmouth"/>
    <x v="2"/>
    <n v="42"/>
    <s v="Some Travel"/>
    <x v="2"/>
    <n v="33"/>
    <s v="CA"/>
    <s v="Asian or Asian American"/>
    <n v="4"/>
    <s v="Computer Science"/>
    <x v="2"/>
    <s v="Married"/>
    <n v="213191"/>
    <n v="2"/>
    <x v="0"/>
    <d v="2019-01-03T00:00:00"/>
    <s v="No"/>
    <n v="3"/>
    <n v="0"/>
    <n v="1"/>
    <n v="2"/>
    <s v="Masters "/>
    <s v="Masters "/>
    <s v="Masters "/>
    <n v="0"/>
    <s v="40-49"/>
  </r>
  <r>
    <s v="FA48-B743"/>
    <s v="Jorie"/>
    <s v="Ockland"/>
    <x v="2"/>
    <n v="21"/>
    <s v="Frequent Traveller"/>
    <x v="2"/>
    <n v="29"/>
    <s v="IL"/>
    <s v="Asian or Asian American"/>
    <n v="3"/>
    <s v="Computer Science"/>
    <x v="4"/>
    <s v="Divorced"/>
    <n v="64887"/>
    <n v="1"/>
    <x v="0"/>
    <d v="2019-01-03T00:00:00"/>
    <s v="No"/>
    <n v="3"/>
    <n v="3"/>
    <n v="3"/>
    <n v="0"/>
    <s v="Bachelors "/>
    <s v="Bachelors "/>
    <s v="Bachelors "/>
    <n v="0"/>
    <s v="20-29"/>
  </r>
  <r>
    <s v="4FBA-4591"/>
    <s v="Sib"/>
    <s v="Coughan"/>
    <x v="0"/>
    <n v="42"/>
    <s v="Some Travel"/>
    <x v="0"/>
    <n v="20"/>
    <s v="CA"/>
    <s v="Black or African American"/>
    <n v="4"/>
    <s v="Marketing "/>
    <x v="0"/>
    <s v="Married"/>
    <n v="241646"/>
    <n v="3"/>
    <x v="1"/>
    <d v="2019-01-07T00:00:00"/>
    <s v="No"/>
    <n v="3"/>
    <n v="0"/>
    <n v="1"/>
    <n v="3"/>
    <s v="Masters "/>
    <s v="Masters "/>
    <s v="Masters "/>
    <n v="0"/>
    <s v="40-49"/>
  </r>
  <r>
    <s v="1EEB-ABF7"/>
    <s v="Stephenie"/>
    <s v="Cronkshaw"/>
    <x v="0"/>
    <n v="22"/>
    <s v="Some Travel"/>
    <x v="2"/>
    <n v="31"/>
    <s v="IL"/>
    <s v="Asian or Asian American"/>
    <n v="1"/>
    <s v="Computer Science"/>
    <x v="7"/>
    <s v="Divorced"/>
    <n v="43588"/>
    <n v="2"/>
    <x v="0"/>
    <d v="2019-01-07T00:00:00"/>
    <s v="No"/>
    <n v="3"/>
    <n v="2"/>
    <n v="3"/>
    <n v="2"/>
    <s v="No Formal Qualifications"/>
    <s v="No Formal Qualifications"/>
    <s v="No Formal Qualifications"/>
    <n v="0"/>
    <s v="20-29"/>
  </r>
  <r>
    <s v="37EE-004B"/>
    <s v="Dyan"/>
    <s v="Boud"/>
    <x v="0"/>
    <n v="22"/>
    <s v="Some Travel"/>
    <x v="2"/>
    <n v="29"/>
    <s v="CA"/>
    <s v="White"/>
    <n v="3"/>
    <s v="Information Systems"/>
    <x v="4"/>
    <s v="Divorced"/>
    <n v="28790"/>
    <n v="1"/>
    <x v="0"/>
    <d v="2019-01-09T00:00:00"/>
    <s v="Yes"/>
    <n v="3"/>
    <n v="1"/>
    <n v="1"/>
    <n v="2"/>
    <s v="Bachelors "/>
    <s v="Bachelors "/>
    <s v="Bachelors "/>
    <n v="1"/>
    <s v="20-29"/>
  </r>
  <r>
    <s v="78C8-02B8"/>
    <s v="Josepha"/>
    <s v="Revey"/>
    <x v="0"/>
    <n v="22"/>
    <s v="Some Travel"/>
    <x v="2"/>
    <n v="26"/>
    <s v="CA"/>
    <s v="Mixed or multiple ethnic groups"/>
    <n v="3"/>
    <s v="Information Systems"/>
    <x v="7"/>
    <s v="Single"/>
    <n v="24208"/>
    <n v="0"/>
    <x v="0"/>
    <d v="2019-01-09T00:00:00"/>
    <s v="No"/>
    <n v="3"/>
    <n v="1"/>
    <n v="3"/>
    <n v="2"/>
    <s v="Bachelors "/>
    <s v="Bachelors "/>
    <s v="Bachelors "/>
    <n v="0"/>
    <s v="20-29"/>
  </r>
  <r>
    <s v="0FBB-4ABE"/>
    <s v="Heywood"/>
    <s v="Westnage"/>
    <x v="1"/>
    <n v="24"/>
    <s v="Some Travel"/>
    <x v="2"/>
    <n v="16"/>
    <s v="CA"/>
    <s v="American Indian or Alaska Native"/>
    <n v="4"/>
    <s v="Computer Science"/>
    <x v="8"/>
    <s v="Married"/>
    <n v="82174"/>
    <n v="2"/>
    <x v="0"/>
    <d v="2019-01-11T00:00:00"/>
    <s v="No"/>
    <n v="3"/>
    <n v="2"/>
    <n v="2"/>
    <n v="3"/>
    <s v="Masters "/>
    <s v="Masters "/>
    <s v="Masters "/>
    <n v="0"/>
    <s v="20-29"/>
  </r>
  <r>
    <s v="B98B-4689"/>
    <s v="Mordecai"/>
    <s v="Tetlow"/>
    <x v="2"/>
    <n v="22"/>
    <s v="Frequent Traveller"/>
    <x v="0"/>
    <n v="28"/>
    <s v="NY"/>
    <s v="Mixed or multiple ethnic groups"/>
    <n v="4"/>
    <s v="Marketing "/>
    <x v="0"/>
    <s v="Married"/>
    <n v="39845"/>
    <n v="2"/>
    <x v="0"/>
    <d v="2019-01-13T00:00:00"/>
    <s v="Yes"/>
    <n v="1"/>
    <n v="0"/>
    <n v="0"/>
    <n v="0"/>
    <s v="Masters "/>
    <s v="Masters "/>
    <s v="Masters "/>
    <n v="1"/>
    <s v="20-29"/>
  </r>
  <r>
    <s v="E676-215C"/>
    <s v="Fiorenze"/>
    <s v="Arcase"/>
    <x v="0"/>
    <n v="21"/>
    <s v="No Travel "/>
    <x v="0"/>
    <n v="21"/>
    <s v="CA"/>
    <s v="White"/>
    <n v="3"/>
    <s v="Marketing "/>
    <x v="0"/>
    <s v="Married"/>
    <n v="69402"/>
    <n v="1"/>
    <x v="0"/>
    <d v="2019-01-14T00:00:00"/>
    <s v="No"/>
    <n v="3"/>
    <n v="1"/>
    <n v="3"/>
    <n v="0"/>
    <s v="Bachelors "/>
    <s v="Bachelors "/>
    <s v="Bachelors "/>
    <n v="0"/>
    <s v="20-29"/>
  </r>
  <r>
    <s v="C2BF-D441"/>
    <s v="Helen-elizabeth"/>
    <s v="Randall"/>
    <x v="0"/>
    <n v="47"/>
    <s v="Frequent Traveller"/>
    <x v="2"/>
    <n v="37"/>
    <s v="NY"/>
    <s v="Black or African American"/>
    <n v="3"/>
    <s v="Computer Science"/>
    <x v="10"/>
    <s v="Divorced"/>
    <n v="350101"/>
    <n v="1"/>
    <x v="0"/>
    <d v="2019-01-19T00:00:00"/>
    <s v="No"/>
    <n v="3"/>
    <n v="0"/>
    <n v="1"/>
    <n v="0"/>
    <s v="Bachelors "/>
    <s v="Bachelors "/>
    <s v="Bachelors "/>
    <n v="0"/>
    <s v="40-49"/>
  </r>
  <r>
    <s v="656C-09EA"/>
    <s v="Anna-maria"/>
    <s v="Diegan"/>
    <x v="0"/>
    <n v="24"/>
    <s v="Some Travel"/>
    <x v="2"/>
    <n v="20"/>
    <s v="NY"/>
    <s v="Black or African American"/>
    <n v="3"/>
    <s v="Information Systems"/>
    <x v="8"/>
    <s v="Married"/>
    <n v="52850"/>
    <n v="1"/>
    <x v="0"/>
    <d v="2019-01-20T00:00:00"/>
    <s v="No"/>
    <n v="3"/>
    <n v="3"/>
    <n v="3"/>
    <n v="0"/>
    <s v="Bachelors "/>
    <s v="Bachelors "/>
    <s v="Bachelors "/>
    <n v="0"/>
    <s v="20-29"/>
  </r>
  <r>
    <s v="CF5D-0E32"/>
    <s v="Fairfax"/>
    <s v="Leyre"/>
    <x v="1"/>
    <n v="21"/>
    <s v="Frequent Traveller"/>
    <x v="2"/>
    <n v="36"/>
    <s v="CA"/>
    <s v="American Indian or Alaska Native"/>
    <n v="3"/>
    <s v="Computer Science"/>
    <x v="7"/>
    <s v="Divorced"/>
    <n v="22462"/>
    <n v="1"/>
    <x v="1"/>
    <d v="2019-01-24T00:00:00"/>
    <s v="No"/>
    <n v="3"/>
    <n v="2"/>
    <n v="2"/>
    <n v="3"/>
    <s v="Bachelors "/>
    <s v="Bachelors "/>
    <s v="Bachelors "/>
    <n v="0"/>
    <s v="20-29"/>
  </r>
  <r>
    <s v="284C-8CB0"/>
    <s v="Dennison"/>
    <s v="Mouncey"/>
    <x v="1"/>
    <n v="22"/>
    <s v="Frequent Traveller"/>
    <x v="2"/>
    <n v="15"/>
    <s v="NY"/>
    <s v="American Indian or Alaska Native"/>
    <n v="4"/>
    <s v="Computer Science"/>
    <x v="7"/>
    <s v="Single"/>
    <n v="40115"/>
    <n v="0"/>
    <x v="0"/>
    <d v="2019-02-01T00:00:00"/>
    <s v="No"/>
    <n v="3"/>
    <n v="3"/>
    <n v="3"/>
    <n v="0"/>
    <s v="Masters "/>
    <s v="Masters "/>
    <s v="Masters "/>
    <n v="0"/>
    <s v="20-29"/>
  </r>
  <r>
    <s v="2796-828F"/>
    <s v="Bar"/>
    <s v="Dunphy"/>
    <x v="1"/>
    <n v="22"/>
    <s v="No Travel "/>
    <x v="0"/>
    <n v="17"/>
    <s v="CA"/>
    <s v="Mixed or multiple ethnic groups"/>
    <n v="3"/>
    <s v="Marketing "/>
    <x v="0"/>
    <s v="Married"/>
    <n v="58270"/>
    <n v="1"/>
    <x v="0"/>
    <d v="2019-02-02T00:00:00"/>
    <s v="No"/>
    <n v="3"/>
    <n v="1"/>
    <n v="1"/>
    <n v="1"/>
    <s v="Bachelors "/>
    <s v="Bachelors "/>
    <s v="Bachelors "/>
    <n v="0"/>
    <s v="20-29"/>
  </r>
  <r>
    <s v="0A4E-1A4A"/>
    <s v="Aloysius"/>
    <s v="Holdren"/>
    <x v="1"/>
    <n v="22"/>
    <s v="No Travel "/>
    <x v="0"/>
    <n v="14"/>
    <s v="CA"/>
    <s v="Mixed or multiple ethnic groups"/>
    <n v="3"/>
    <s v="Technical Degree"/>
    <x v="0"/>
    <s v="Single"/>
    <n v="53014"/>
    <n v="0"/>
    <x v="1"/>
    <d v="2019-02-04T00:00:00"/>
    <s v="No"/>
    <n v="3"/>
    <n v="3"/>
    <n v="3"/>
    <n v="0"/>
    <s v="Bachelors "/>
    <s v="Bachelors "/>
    <s v="Bachelors "/>
    <n v="0"/>
    <s v="20-29"/>
  </r>
  <r>
    <s v="D471-4BFF"/>
    <s v="Dew"/>
    <s v="Jinkinson"/>
    <x v="1"/>
    <n v="24"/>
    <s v="Frequent Traveller"/>
    <x v="0"/>
    <n v="9"/>
    <s v="NY"/>
    <s v="Black or African American"/>
    <n v="3"/>
    <s v="Marketing "/>
    <x v="0"/>
    <s v="Single"/>
    <n v="45410"/>
    <n v="0"/>
    <x v="0"/>
    <d v="2019-02-04T00:00:00"/>
    <s v="No"/>
    <n v="3"/>
    <n v="3"/>
    <n v="3"/>
    <n v="1"/>
    <s v="Bachelors "/>
    <s v="Bachelors "/>
    <s v="Bachelors "/>
    <n v="0"/>
    <s v="20-29"/>
  </r>
  <r>
    <s v="E268-61EB"/>
    <s v="Dorise"/>
    <s v="Rossant"/>
    <x v="0"/>
    <n v="21"/>
    <s v="Some Travel"/>
    <x v="2"/>
    <n v="39"/>
    <s v="CA"/>
    <s v="Asian or Asian American"/>
    <n v="4"/>
    <s v="Computer Science"/>
    <x v="7"/>
    <s v="Married"/>
    <n v="54130"/>
    <n v="3"/>
    <x v="1"/>
    <d v="2019-02-06T00:00:00"/>
    <s v="Yes"/>
    <n v="2"/>
    <n v="1"/>
    <n v="1"/>
    <n v="2"/>
    <s v="Masters "/>
    <s v="Masters "/>
    <s v="Masters "/>
    <n v="1"/>
    <s v="20-29"/>
  </r>
  <r>
    <s v="DE22-FB63"/>
    <s v="Audrey"/>
    <s v="Campbell"/>
    <x v="0"/>
    <n v="22"/>
    <s v="Some Travel"/>
    <x v="2"/>
    <n v="2"/>
    <s v="CA"/>
    <s v="Mixed or multiple ethnic groups"/>
    <n v="1"/>
    <s v="Information Systems"/>
    <x v="7"/>
    <s v="Single"/>
    <n v="24422"/>
    <n v="0"/>
    <x v="0"/>
    <d v="2019-02-11T00:00:00"/>
    <s v="Yes"/>
    <n v="1"/>
    <n v="0"/>
    <n v="0"/>
    <n v="1"/>
    <s v="No Formal Qualifications"/>
    <s v="No Formal Qualifications"/>
    <s v="No Formal Qualifications"/>
    <n v="1"/>
    <s v="20-29"/>
  </r>
  <r>
    <s v="1BCC-100B"/>
    <s v="Virgil"/>
    <s v="Howat"/>
    <x v="1"/>
    <n v="49"/>
    <s v="Frequent Traveller"/>
    <x v="2"/>
    <n v="43"/>
    <s v="NY"/>
    <s v="Other "/>
    <n v="2"/>
    <s v="Computer Science"/>
    <x v="5"/>
    <s v="Divorced"/>
    <n v="248115"/>
    <n v="2"/>
    <x v="0"/>
    <d v="2019-02-12T00:00:00"/>
    <s v="No"/>
    <n v="3"/>
    <n v="2"/>
    <n v="3"/>
    <n v="3"/>
    <s v="High School "/>
    <s v="High School "/>
    <s v="High School "/>
    <n v="0"/>
    <s v="40-49"/>
  </r>
  <r>
    <s v="4A0E-3728"/>
    <s v="Nancy"/>
    <s v="Summerton"/>
    <x v="0"/>
    <n v="28"/>
    <s v="No Travel "/>
    <x v="1"/>
    <n v="4"/>
    <s v="IL"/>
    <s v="White"/>
    <n v="5"/>
    <s v="Economics"/>
    <x v="11"/>
    <s v="Married"/>
    <n v="152909"/>
    <n v="1"/>
    <x v="0"/>
    <d v="2019-02-15T00:00:00"/>
    <s v="No"/>
    <n v="3"/>
    <n v="1"/>
    <n v="3"/>
    <n v="2"/>
    <s v="Doctorate"/>
    <s v="Doctorate"/>
    <s v="Doctorate"/>
    <n v="0"/>
    <s v="20-29"/>
  </r>
  <r>
    <s v="4FD5-CC71"/>
    <s v="Sibley"/>
    <s v="Jeans"/>
    <x v="0"/>
    <n v="22"/>
    <s v="Some Travel"/>
    <x v="2"/>
    <n v="31"/>
    <s v="CA"/>
    <s v="Black or African American"/>
    <n v="4"/>
    <s v="Information Systems"/>
    <x v="7"/>
    <s v="Married"/>
    <n v="75738"/>
    <n v="3"/>
    <x v="1"/>
    <d v="2019-02-23T00:00:00"/>
    <s v="Yes"/>
    <n v="3"/>
    <n v="1"/>
    <n v="2"/>
    <n v="0"/>
    <s v="Masters "/>
    <s v="Masters "/>
    <s v="Masters "/>
    <n v="1"/>
    <s v="20-29"/>
  </r>
  <r>
    <s v="2A9F-6BD2"/>
    <s v="Murdock"/>
    <s v="Shayes"/>
    <x v="1"/>
    <n v="29"/>
    <s v="Some Travel"/>
    <x v="0"/>
    <n v="39"/>
    <s v="NY"/>
    <s v="White"/>
    <n v="1"/>
    <s v="Marketing"/>
    <x v="0"/>
    <s v="Divorced"/>
    <n v="183768"/>
    <n v="1"/>
    <x v="1"/>
    <d v="2019-02-25T00:00:00"/>
    <s v="No"/>
    <n v="3"/>
    <n v="3"/>
    <n v="3"/>
    <n v="0"/>
    <s v="No Formal Qualifications"/>
    <s v="No Formal Qualifications"/>
    <s v="No Formal Qualifications"/>
    <n v="0"/>
    <s v="20-29"/>
  </r>
  <r>
    <s v="FAD6-EAA3"/>
    <s v="Cyrill"/>
    <s v="Cowle"/>
    <x v="1"/>
    <n v="23"/>
    <s v="Some Travel"/>
    <x v="2"/>
    <n v="27"/>
    <s v="CA"/>
    <s v="Mixed or multiple ethnic groups"/>
    <n v="4"/>
    <s v="Information Systems"/>
    <x v="5"/>
    <s v="Divorced"/>
    <n v="47046"/>
    <n v="2"/>
    <x v="1"/>
    <d v="2019-03-03T00:00:00"/>
    <s v="No"/>
    <n v="3"/>
    <n v="2"/>
    <n v="2"/>
    <n v="1"/>
    <s v="Masters "/>
    <s v="Masters "/>
    <s v="Masters "/>
    <n v="0"/>
    <s v="20-29"/>
  </r>
  <r>
    <s v="70CB-4A9B"/>
    <s v="Rivkah"/>
    <s v="Hurdle"/>
    <x v="2"/>
    <n v="24"/>
    <s v="Some Travel"/>
    <x v="2"/>
    <n v="2"/>
    <s v="CA"/>
    <s v="Black or African American"/>
    <n v="1"/>
    <s v="Information Systems"/>
    <x v="4"/>
    <s v="Married"/>
    <n v="28797"/>
    <n v="3"/>
    <x v="1"/>
    <d v="2019-03-04T00:00:00"/>
    <s v="No"/>
    <n v="3"/>
    <n v="0"/>
    <n v="2"/>
    <n v="1"/>
    <s v="No Formal Qualifications"/>
    <s v="No Formal Qualifications"/>
    <s v="No Formal Qualifications"/>
    <n v="0"/>
    <s v="20-29"/>
  </r>
  <r>
    <s v="4236-4F51"/>
    <s v="Nico"/>
    <s v="Playden"/>
    <x v="1"/>
    <n v="21"/>
    <s v="No Travel "/>
    <x v="2"/>
    <n v="42"/>
    <s v="CA"/>
    <s v="White"/>
    <n v="3"/>
    <s v="Computer Science"/>
    <x v="4"/>
    <s v="Married"/>
    <n v="57118"/>
    <n v="3"/>
    <x v="0"/>
    <d v="2019-03-05T00:00:00"/>
    <s v="No"/>
    <n v="3"/>
    <n v="1"/>
    <n v="3"/>
    <n v="0"/>
    <s v="Bachelors "/>
    <s v="Bachelors "/>
    <s v="Bachelors "/>
    <n v="0"/>
    <s v="20-29"/>
  </r>
  <r>
    <s v="0C6D-2825"/>
    <s v="Tann"/>
    <s v="Lettley"/>
    <x v="1"/>
    <n v="21"/>
    <s v="Some Travel"/>
    <x v="2"/>
    <n v="30"/>
    <s v="CA"/>
    <s v="White"/>
    <n v="3"/>
    <s v="Computer Science"/>
    <x v="7"/>
    <s v="Divorced"/>
    <n v="37164"/>
    <n v="1"/>
    <x v="1"/>
    <d v="2019-03-06T00:00:00"/>
    <s v="No"/>
    <n v="3"/>
    <n v="3"/>
    <n v="3"/>
    <n v="3"/>
    <s v="Bachelors "/>
    <s v="Bachelors "/>
    <s v="Bachelors "/>
    <n v="0"/>
    <s v="20-29"/>
  </r>
  <r>
    <s v="24DD-6D7C"/>
    <s v="Leshia"/>
    <s v="Jenking"/>
    <x v="0"/>
    <n v="24"/>
    <s v="Some Travel"/>
    <x v="2"/>
    <n v="34"/>
    <s v="IL"/>
    <s v="Mixed or multiple ethnic groups"/>
    <n v="3"/>
    <s v="Computer Science"/>
    <x v="5"/>
    <s v="Married"/>
    <n v="78242"/>
    <n v="1"/>
    <x v="0"/>
    <d v="2019-03-07T00:00:00"/>
    <s v="No"/>
    <n v="3"/>
    <n v="0"/>
    <n v="3"/>
    <n v="2"/>
    <s v="Bachelors "/>
    <s v="Bachelors "/>
    <s v="Bachelors "/>
    <n v="0"/>
    <s v="20-29"/>
  </r>
  <r>
    <s v="3CFD-6622"/>
    <s v="Adelina"/>
    <s v="Bittlestone"/>
    <x v="0"/>
    <n v="40"/>
    <s v="Frequent Traveller"/>
    <x v="2"/>
    <n v="19"/>
    <s v="CA"/>
    <s v="Black or African American"/>
    <n v="3"/>
    <s v="Information Systems"/>
    <x v="10"/>
    <s v="Single"/>
    <n v="513325"/>
    <n v="0"/>
    <x v="0"/>
    <d v="2019-03-10T00:00:00"/>
    <s v="No"/>
    <n v="3"/>
    <n v="0"/>
    <n v="0"/>
    <n v="1"/>
    <s v="Bachelors "/>
    <s v="Bachelors "/>
    <s v="Bachelors "/>
    <n v="0"/>
    <s v="40-49"/>
  </r>
  <r>
    <s v="F72A-48DD"/>
    <s v="Ryley"/>
    <s v="Piche"/>
    <x v="2"/>
    <n v="23"/>
    <s v="Some Travel"/>
    <x v="2"/>
    <n v="7"/>
    <s v="CA"/>
    <s v="White"/>
    <n v="1"/>
    <s v="Information Systems"/>
    <x v="4"/>
    <s v="Single"/>
    <n v="27360"/>
    <n v="0"/>
    <x v="0"/>
    <d v="2019-03-11T00:00:00"/>
    <s v="No"/>
    <n v="3"/>
    <n v="2"/>
    <n v="3"/>
    <n v="3"/>
    <s v="No Formal Qualifications"/>
    <s v="No Formal Qualifications"/>
    <s v="No Formal Qualifications"/>
    <n v="0"/>
    <s v="20-29"/>
  </r>
  <r>
    <s v="1799-5B3F"/>
    <s v="Howey"/>
    <s v="Woolis"/>
    <x v="1"/>
    <n v="24"/>
    <s v="Some Travel"/>
    <x v="0"/>
    <n v="21"/>
    <s v="CA"/>
    <s v="Black or African American"/>
    <n v="4"/>
    <s v="Marketing"/>
    <x v="0"/>
    <s v="Married"/>
    <n v="85118"/>
    <n v="3"/>
    <x v="0"/>
    <d v="2019-03-18T00:00:00"/>
    <s v="Yes"/>
    <n v="0"/>
    <n v="0"/>
    <n v="0"/>
    <n v="0"/>
    <s v="Masters "/>
    <s v="Masters "/>
    <s v="Masters "/>
    <n v="1"/>
    <s v="20-29"/>
  </r>
  <r>
    <s v="EDC5-6FB7"/>
    <s v="Sibelle"/>
    <s v="Hanse"/>
    <x v="0"/>
    <n v="35"/>
    <s v="Some Travel"/>
    <x v="0"/>
    <n v="36"/>
    <s v="CA"/>
    <s v="Black or African American"/>
    <n v="4"/>
    <s v="Marketing"/>
    <x v="6"/>
    <s v="Single"/>
    <n v="396470"/>
    <n v="0"/>
    <x v="0"/>
    <d v="2019-03-22T00:00:00"/>
    <s v="No"/>
    <n v="3"/>
    <n v="3"/>
    <n v="3"/>
    <n v="2"/>
    <s v="Masters "/>
    <s v="Masters "/>
    <s v="Masters "/>
    <n v="0"/>
    <s v="30-39"/>
  </r>
  <r>
    <s v="8291-DE04"/>
    <s v="Ring"/>
    <s v="Miles"/>
    <x v="2"/>
    <n v="23"/>
    <s v="Frequent Traveller"/>
    <x v="2"/>
    <n v="26"/>
    <s v="CA"/>
    <s v="White"/>
    <n v="2"/>
    <s v="Information Systems"/>
    <x v="4"/>
    <s v="Single"/>
    <n v="31342"/>
    <n v="0"/>
    <x v="0"/>
    <d v="2019-03-22T00:00:00"/>
    <s v="No"/>
    <n v="3"/>
    <n v="0"/>
    <n v="3"/>
    <n v="0"/>
    <s v="High School "/>
    <s v="High School "/>
    <s v="High School "/>
    <n v="0"/>
    <s v="20-29"/>
  </r>
  <r>
    <s v="0C37-B7CF"/>
    <s v="Maximilien"/>
    <s v="Bodimeade"/>
    <x v="1"/>
    <n v="22"/>
    <s v="Some Travel"/>
    <x v="2"/>
    <n v="18"/>
    <s v="NY"/>
    <s v="White"/>
    <n v="4"/>
    <s v="Information Systems"/>
    <x v="8"/>
    <s v="Married"/>
    <n v="68743"/>
    <n v="0"/>
    <x v="0"/>
    <d v="2019-03-23T00:00:00"/>
    <s v="No"/>
    <n v="3"/>
    <n v="0"/>
    <n v="3"/>
    <n v="1"/>
    <s v="Masters "/>
    <s v="Masters "/>
    <s v="Masters "/>
    <n v="0"/>
    <s v="20-29"/>
  </r>
  <r>
    <s v="E480-FF03"/>
    <s v="Rod"/>
    <s v="Durston"/>
    <x v="1"/>
    <n v="22"/>
    <s v="No Travel "/>
    <x v="2"/>
    <n v="13"/>
    <s v="CA"/>
    <s v="Mixed or multiple ethnic groups"/>
    <n v="5"/>
    <s v="Computer Science"/>
    <x v="8"/>
    <s v="Married"/>
    <n v="68629"/>
    <n v="1"/>
    <x v="0"/>
    <d v="2019-03-25T00:00:00"/>
    <s v="No"/>
    <n v="3"/>
    <n v="1"/>
    <n v="1"/>
    <n v="0"/>
    <s v="Doctorate"/>
    <s v="Doctorate"/>
    <s v="Doctorate"/>
    <n v="0"/>
    <s v="20-29"/>
  </r>
  <r>
    <s v="18CE-8F30"/>
    <s v="Wendy"/>
    <s v="Bootman"/>
    <x v="0"/>
    <n v="31"/>
    <s v="Some Travel"/>
    <x v="0"/>
    <n v="38"/>
    <s v="CA"/>
    <s v="Black or African American"/>
    <n v="5"/>
    <s v="Marketing"/>
    <x v="6"/>
    <s v="Married"/>
    <n v="330940"/>
    <n v="1"/>
    <x v="0"/>
    <d v="2019-03-28T00:00:00"/>
    <s v="No"/>
    <n v="3"/>
    <n v="1"/>
    <n v="3"/>
    <n v="3"/>
    <s v="Doctorate"/>
    <s v="Doctorate"/>
    <s v="Doctorate"/>
    <n v="0"/>
    <s v="30-39"/>
  </r>
  <r>
    <s v="7F5B-92AD"/>
    <s v="Urbano"/>
    <s v="Hinckes"/>
    <x v="1"/>
    <n v="27"/>
    <s v="Some Travel"/>
    <x v="2"/>
    <n v="43"/>
    <s v="CA"/>
    <s v="White"/>
    <n v="4"/>
    <s v="Computer Science"/>
    <x v="8"/>
    <s v="Single"/>
    <n v="105702"/>
    <n v="0"/>
    <x v="0"/>
    <d v="2019-03-30T00:00:00"/>
    <s v="No"/>
    <n v="3"/>
    <n v="3"/>
    <n v="3"/>
    <n v="1"/>
    <s v="Masters "/>
    <s v="Masters "/>
    <s v="Masters "/>
    <n v="0"/>
    <s v="20-29"/>
  </r>
  <r>
    <s v="676C-C884"/>
    <s v="Ettie"/>
    <s v="Watt"/>
    <x v="0"/>
    <n v="24"/>
    <s v="Some Travel"/>
    <x v="2"/>
    <n v="17"/>
    <s v="IL"/>
    <s v="Mixed or multiple ethnic groups"/>
    <n v="3"/>
    <s v="Information Systems"/>
    <x v="7"/>
    <s v="Married"/>
    <n v="26937"/>
    <n v="1"/>
    <x v="0"/>
    <d v="2019-03-31T00:00:00"/>
    <s v="No"/>
    <n v="3"/>
    <n v="2"/>
    <n v="2"/>
    <n v="1"/>
    <s v="Bachelors "/>
    <s v="Bachelors "/>
    <s v="Bachelors "/>
    <n v="0"/>
    <s v="20-29"/>
  </r>
  <r>
    <s v="B56D-46CE"/>
    <s v="Caria"/>
    <s v="Ingerman"/>
    <x v="0"/>
    <n v="36"/>
    <s v="Some Travel"/>
    <x v="0"/>
    <n v="20"/>
    <s v="IL"/>
    <s v="Mixed or multiple ethnic groups"/>
    <n v="4"/>
    <s v="Economics"/>
    <x v="0"/>
    <s v="Divorced"/>
    <n v="220472"/>
    <n v="1"/>
    <x v="0"/>
    <d v="2019-04-03T00:00:00"/>
    <s v="No"/>
    <n v="3"/>
    <n v="1"/>
    <n v="1"/>
    <n v="0"/>
    <s v="Masters "/>
    <s v="Masters "/>
    <s v="Masters "/>
    <n v="0"/>
    <s v="30-39"/>
  </r>
  <r>
    <s v="6B5B-8080"/>
    <s v="Maxie"/>
    <s v="Housego"/>
    <x v="0"/>
    <n v="24"/>
    <s v="Frequent Traveller"/>
    <x v="2"/>
    <n v="26"/>
    <s v="CA"/>
    <s v="Native Hawaiian "/>
    <n v="4"/>
    <s v="Other"/>
    <x v="7"/>
    <s v="Divorced"/>
    <n v="35885"/>
    <n v="2"/>
    <x v="0"/>
    <d v="2019-04-03T00:00:00"/>
    <s v="No"/>
    <n v="3"/>
    <n v="1"/>
    <n v="2"/>
    <n v="2"/>
    <s v="Masters "/>
    <s v="Masters "/>
    <s v="Masters "/>
    <n v="0"/>
    <s v="20-29"/>
  </r>
  <r>
    <s v="C62F-44EF"/>
    <s v="Valeda"/>
    <s v="Napier"/>
    <x v="0"/>
    <n v="39"/>
    <s v="Frequent Traveller"/>
    <x v="1"/>
    <n v="25"/>
    <s v="CA"/>
    <s v="Black or African American"/>
    <n v="3"/>
    <s v="Economics"/>
    <x v="1"/>
    <s v="Married"/>
    <n v="349233"/>
    <n v="1"/>
    <x v="0"/>
    <d v="2019-04-06T00:00:00"/>
    <s v="No"/>
    <n v="3"/>
    <n v="0"/>
    <n v="2"/>
    <n v="0"/>
    <s v="Bachelors "/>
    <s v="Bachelors "/>
    <s v="Bachelors "/>
    <n v="0"/>
    <s v="30-39"/>
  </r>
  <r>
    <s v="1E4A-5810"/>
    <s v="Eryn"/>
    <s v="Fern"/>
    <x v="0"/>
    <n v="35"/>
    <s v="Frequent Traveller"/>
    <x v="2"/>
    <n v="28"/>
    <s v="CA"/>
    <s v="Mixed or multiple ethnic groups"/>
    <n v="3"/>
    <s v="Computer Science"/>
    <x v="5"/>
    <s v="Single"/>
    <n v="222303"/>
    <n v="0"/>
    <x v="0"/>
    <d v="2019-04-08T00:00:00"/>
    <s v="No"/>
    <n v="3"/>
    <n v="0"/>
    <n v="2"/>
    <n v="2"/>
    <s v="Bachelors "/>
    <s v="Bachelors "/>
    <s v="Bachelors "/>
    <n v="0"/>
    <s v="30-39"/>
  </r>
  <r>
    <s v="3EDA-3BDE"/>
    <s v="Raynard"/>
    <s v="Revie"/>
    <x v="1"/>
    <n v="31"/>
    <s v="Some Travel"/>
    <x v="2"/>
    <n v="19"/>
    <s v="CA"/>
    <s v="White"/>
    <n v="1"/>
    <s v="Information Systems"/>
    <x v="2"/>
    <s v="Single"/>
    <n v="371727"/>
    <n v="0"/>
    <x v="0"/>
    <d v="2019-04-09T00:00:00"/>
    <s v="No"/>
    <n v="3"/>
    <n v="2"/>
    <n v="3"/>
    <n v="2"/>
    <s v="No Formal Qualifications"/>
    <s v="No Formal Qualifications"/>
    <s v="No Formal Qualifications"/>
    <n v="0"/>
    <s v="30-39"/>
  </r>
  <r>
    <s v="7EF0-2BF4"/>
    <s v="Ulrike"/>
    <s v="Seakes"/>
    <x v="0"/>
    <n v="40"/>
    <s v="Some Travel"/>
    <x v="0"/>
    <n v="5"/>
    <s v="NY"/>
    <s v="White"/>
    <n v="4"/>
    <s v="Marketing "/>
    <x v="6"/>
    <s v="Married"/>
    <n v="267834"/>
    <n v="0"/>
    <x v="0"/>
    <d v="2019-04-10T00:00:00"/>
    <s v="No"/>
    <n v="3"/>
    <n v="3"/>
    <n v="3"/>
    <n v="0"/>
    <s v="Masters "/>
    <s v="Masters "/>
    <s v="Masters "/>
    <n v="0"/>
    <s v="40-49"/>
  </r>
  <r>
    <s v="3DCC-7FA4"/>
    <s v="Sherrie"/>
    <s v="Chantler"/>
    <x v="0"/>
    <n v="34"/>
    <s v="Frequent Traveller"/>
    <x v="0"/>
    <n v="30"/>
    <s v="CA"/>
    <s v="Mixed or multiple ethnic groups"/>
    <n v="2"/>
    <s v="Marketing "/>
    <x v="6"/>
    <s v="Married"/>
    <n v="311448"/>
    <n v="2"/>
    <x v="1"/>
    <d v="2019-04-12T00:00:00"/>
    <s v="No"/>
    <n v="3"/>
    <n v="1"/>
    <n v="2"/>
    <n v="2"/>
    <s v="High School "/>
    <s v="High School "/>
    <s v="High School "/>
    <n v="0"/>
    <s v="30-39"/>
  </r>
  <r>
    <s v="E8EF-FA89"/>
    <s v="Melvin"/>
    <s v="Bansal"/>
    <x v="1"/>
    <n v="24"/>
    <s v="Some Travel"/>
    <x v="2"/>
    <n v="33"/>
    <s v="CA"/>
    <s v="White"/>
    <n v="3"/>
    <s v="Computer Science"/>
    <x v="5"/>
    <s v="Married"/>
    <n v="81974"/>
    <n v="3"/>
    <x v="0"/>
    <d v="2019-04-12T00:00:00"/>
    <s v="No"/>
    <n v="3"/>
    <n v="1"/>
    <n v="1"/>
    <n v="1"/>
    <s v="Bachelors "/>
    <s v="Bachelors "/>
    <s v="Bachelors "/>
    <n v="0"/>
    <s v="20-29"/>
  </r>
  <r>
    <s v="3A96-07A5"/>
    <s v="Teena"/>
    <s v="Nassey"/>
    <x v="0"/>
    <n v="24"/>
    <s v="No Travel "/>
    <x v="0"/>
    <n v="14"/>
    <s v="CA"/>
    <s v="Black or African American"/>
    <n v="3"/>
    <s v="Marketing "/>
    <x v="0"/>
    <s v="Divorced"/>
    <n v="52975"/>
    <n v="1"/>
    <x v="1"/>
    <d v="2019-04-18T00:00:00"/>
    <s v="No"/>
    <n v="3"/>
    <n v="1"/>
    <n v="3"/>
    <n v="3"/>
    <s v="Bachelors "/>
    <s v="Bachelors "/>
    <s v="Bachelors "/>
    <n v="0"/>
    <s v="20-29"/>
  </r>
  <r>
    <s v="AE73-B863"/>
    <s v="Jeffry"/>
    <s v="Wastling"/>
    <x v="1"/>
    <n v="32"/>
    <s v="Some Travel"/>
    <x v="0"/>
    <n v="15"/>
    <s v="NY"/>
    <s v="Mixed or multiple ethnic groups"/>
    <n v="4"/>
    <s v="Technical Degree"/>
    <x v="0"/>
    <s v="Married"/>
    <n v="208435"/>
    <n v="1"/>
    <x v="0"/>
    <d v="2019-04-18T00:00:00"/>
    <s v="No"/>
    <n v="3"/>
    <n v="1"/>
    <n v="2"/>
    <n v="1"/>
    <s v="Masters "/>
    <s v="Masters "/>
    <s v="Masters "/>
    <n v="0"/>
    <s v="30-39"/>
  </r>
  <r>
    <s v="C8FA-B6FE"/>
    <s v="Galen"/>
    <s v="Kabos"/>
    <x v="1"/>
    <n v="23"/>
    <s v="Some Travel"/>
    <x v="2"/>
    <n v="30"/>
    <s v="CA"/>
    <s v="Mixed or multiple ethnic groups"/>
    <n v="4"/>
    <s v="Information Systems"/>
    <x v="8"/>
    <s v="Single"/>
    <n v="54171"/>
    <n v="0"/>
    <x v="1"/>
    <d v="2019-04-18T00:00:00"/>
    <s v="No"/>
    <n v="3"/>
    <n v="2"/>
    <n v="3"/>
    <n v="0"/>
    <s v="Masters "/>
    <s v="Masters "/>
    <s v="Masters "/>
    <n v="0"/>
    <s v="20-29"/>
  </r>
  <r>
    <s v="7269-88EC"/>
    <s v="Cristi"/>
    <s v="Belchem"/>
    <x v="0"/>
    <n v="28"/>
    <s v="Frequent Traveller"/>
    <x v="2"/>
    <n v="31"/>
    <s v="CA"/>
    <s v="White"/>
    <n v="1"/>
    <s v="Other"/>
    <x v="8"/>
    <s v="Single"/>
    <n v="176282"/>
    <n v="0"/>
    <x v="1"/>
    <d v="2019-04-23T00:00:00"/>
    <s v="Yes"/>
    <n v="2"/>
    <n v="0"/>
    <n v="1"/>
    <n v="0"/>
    <s v="No Formal Qualifications"/>
    <s v="No Formal Qualifications"/>
    <s v="No Formal Qualifications"/>
    <n v="1"/>
    <s v="20-29"/>
  </r>
  <r>
    <s v="3E3B-681D"/>
    <s v="Franz"/>
    <s v="Brighouse"/>
    <x v="1"/>
    <n v="23"/>
    <s v="Some Travel"/>
    <x v="2"/>
    <n v="30"/>
    <s v="CA"/>
    <s v="White"/>
    <n v="2"/>
    <s v="Information Systems"/>
    <x v="4"/>
    <s v="Single"/>
    <n v="24518"/>
    <n v="0"/>
    <x v="0"/>
    <d v="2019-04-25T00:00:00"/>
    <s v="No"/>
    <n v="3"/>
    <n v="2"/>
    <n v="2"/>
    <n v="3"/>
    <s v="High School "/>
    <s v="High School "/>
    <s v="High School "/>
    <n v="0"/>
    <s v="20-29"/>
  </r>
  <r>
    <s v="7054-B62C"/>
    <s v="Kain"/>
    <s v="Scoates"/>
    <x v="1"/>
    <n v="33"/>
    <s v="Frequent Traveller"/>
    <x v="2"/>
    <n v="32"/>
    <s v="CA"/>
    <s v="Black or African American"/>
    <n v="1"/>
    <s v="Computer Science"/>
    <x v="5"/>
    <s v="Married"/>
    <n v="188180"/>
    <n v="0"/>
    <x v="0"/>
    <d v="2019-04-27T00:00:00"/>
    <s v="No"/>
    <n v="3"/>
    <n v="1"/>
    <n v="3"/>
    <n v="3"/>
    <s v="No Formal Qualifications"/>
    <s v="No Formal Qualifications"/>
    <s v="No Formal Qualifications"/>
    <n v="0"/>
    <s v="30-39"/>
  </r>
  <r>
    <s v="9756-3EAB"/>
    <s v="Haley"/>
    <s v="Veld"/>
    <x v="0"/>
    <n v="22"/>
    <s v="Some Travel"/>
    <x v="2"/>
    <n v="21"/>
    <s v="IL"/>
    <s v="Black or African American"/>
    <n v="3"/>
    <s v="Computer Science"/>
    <x v="7"/>
    <s v="Single"/>
    <n v="27097"/>
    <n v="0"/>
    <x v="0"/>
    <d v="2019-04-28T00:00:00"/>
    <s v="No"/>
    <n v="3"/>
    <n v="3"/>
    <n v="3"/>
    <n v="1"/>
    <s v="Bachelors "/>
    <s v="Bachelors "/>
    <s v="Bachelors "/>
    <n v="0"/>
    <s v="20-29"/>
  </r>
  <r>
    <s v="4304-4B4E"/>
    <s v="Lonni"/>
    <s v="McConnel"/>
    <x v="0"/>
    <n v="29"/>
    <s v="Some Travel"/>
    <x v="0"/>
    <n v="8"/>
    <s v="NY"/>
    <s v="White"/>
    <n v="3"/>
    <s v="Marketing"/>
    <x v="0"/>
    <s v="Married"/>
    <n v="163950"/>
    <n v="1"/>
    <x v="0"/>
    <d v="2019-04-30T00:00:00"/>
    <s v="No"/>
    <n v="3"/>
    <n v="3"/>
    <n v="3"/>
    <n v="0"/>
    <s v="Bachelors "/>
    <s v="Bachelors "/>
    <s v="Bachelors "/>
    <n v="0"/>
    <s v="20-29"/>
  </r>
  <r>
    <s v="4CA1-F139"/>
    <s v="Rockwell"/>
    <s v="Draysay"/>
    <x v="1"/>
    <n v="24"/>
    <s v="Frequent Traveller"/>
    <x v="2"/>
    <n v="34"/>
    <s v="NY"/>
    <s v="Black or African American"/>
    <n v="2"/>
    <s v="Computer Science"/>
    <x v="7"/>
    <s v="Single"/>
    <n v="28484"/>
    <n v="0"/>
    <x v="1"/>
    <d v="2019-05-01T00:00:00"/>
    <s v="Yes"/>
    <n v="1"/>
    <n v="1"/>
    <n v="1"/>
    <n v="1"/>
    <s v="High School "/>
    <s v="High School "/>
    <s v="High School "/>
    <n v="1"/>
    <s v="20-29"/>
  </r>
  <r>
    <s v="8892-77D8"/>
    <s v="Rodrique"/>
    <s v="Rohlfing"/>
    <x v="1"/>
    <n v="35"/>
    <s v="Some Travel"/>
    <x v="2"/>
    <n v="29"/>
    <s v="CA"/>
    <s v="Mixed or multiple ethnic groups"/>
    <n v="3"/>
    <s v="Information Systems"/>
    <x v="2"/>
    <s v="Divorced"/>
    <n v="519361"/>
    <n v="1"/>
    <x v="1"/>
    <d v="2019-05-04T00:00:00"/>
    <s v="No"/>
    <n v="3"/>
    <n v="2"/>
    <n v="3"/>
    <n v="1"/>
    <s v="Bachelors "/>
    <s v="Bachelors "/>
    <s v="Bachelors "/>
    <n v="0"/>
    <s v="30-39"/>
  </r>
  <r>
    <s v="D061-5CAD"/>
    <s v="Bengt"/>
    <s v="Smythin"/>
    <x v="1"/>
    <n v="22"/>
    <s v="No Travel "/>
    <x v="2"/>
    <n v="25"/>
    <s v="CA"/>
    <s v="White"/>
    <n v="4"/>
    <s v="Business Studies"/>
    <x v="7"/>
    <s v="Single"/>
    <n v="31386"/>
    <n v="0"/>
    <x v="0"/>
    <d v="2019-05-13T00:00:00"/>
    <s v="No"/>
    <n v="3"/>
    <n v="2"/>
    <n v="2"/>
    <n v="1"/>
    <s v="Masters "/>
    <s v="Masters "/>
    <s v="Masters "/>
    <n v="0"/>
    <s v="20-29"/>
  </r>
  <r>
    <s v="BD94-98E0"/>
    <s v="Darrin"/>
    <s v="Roo"/>
    <x v="1"/>
    <n v="21"/>
    <s v="Frequent Traveller"/>
    <x v="2"/>
    <n v="37"/>
    <s v="CA"/>
    <s v="American Indian or Alaska Native"/>
    <n v="4"/>
    <s v="Other"/>
    <x v="7"/>
    <s v="Married"/>
    <n v="32679"/>
    <n v="1"/>
    <x v="0"/>
    <d v="2019-05-14T00:00:00"/>
    <s v="No"/>
    <n v="3"/>
    <n v="3"/>
    <n v="3"/>
    <n v="2"/>
    <s v="Masters "/>
    <s v="Masters "/>
    <s v="Masters "/>
    <n v="0"/>
    <s v="20-29"/>
  </r>
  <r>
    <s v="2C0F-AAE2"/>
    <s v="Norton"/>
    <s v="Rigolle"/>
    <x v="2"/>
    <n v="35"/>
    <s v="Some Travel"/>
    <x v="2"/>
    <n v="19"/>
    <s v="CA"/>
    <s v="American Indian or Alaska Native"/>
    <n v="2"/>
    <s v="Information Systems"/>
    <x v="8"/>
    <s v="Married"/>
    <n v="187372"/>
    <n v="0"/>
    <x v="1"/>
    <d v="2019-05-16T00:00:00"/>
    <s v="No"/>
    <n v="3"/>
    <n v="1"/>
    <n v="1"/>
    <n v="2"/>
    <s v="High School "/>
    <s v="High School "/>
    <s v="High School "/>
    <n v="0"/>
    <s v="30-39"/>
  </r>
  <r>
    <s v="ABB0-9B03"/>
    <s v="Josi"/>
    <s v="Ogilvy"/>
    <x v="0"/>
    <n v="21"/>
    <s v="Some Travel"/>
    <x v="2"/>
    <n v="44"/>
    <s v="NY"/>
    <s v="Black or African American"/>
    <n v="4"/>
    <s v="Computer Science"/>
    <x v="7"/>
    <s v="Married"/>
    <n v="46366"/>
    <n v="1"/>
    <x v="0"/>
    <d v="2019-05-16T00:00:00"/>
    <s v="No"/>
    <n v="3"/>
    <n v="0"/>
    <n v="3"/>
    <n v="0"/>
    <s v="Masters "/>
    <s v="Masters "/>
    <s v="Masters "/>
    <n v="0"/>
    <s v="20-29"/>
  </r>
  <r>
    <s v="F2BA-F63A"/>
    <s v="Delbert"/>
    <s v="Holby"/>
    <x v="1"/>
    <n v="21"/>
    <s v="Some Travel"/>
    <x v="0"/>
    <n v="21"/>
    <s v="IL"/>
    <s v="Black or African American"/>
    <n v="4"/>
    <s v="Marketing "/>
    <x v="9"/>
    <s v="Married"/>
    <n v="33641"/>
    <n v="2"/>
    <x v="0"/>
    <d v="2019-05-20T00:00:00"/>
    <s v="No"/>
    <n v="3"/>
    <n v="0"/>
    <n v="3"/>
    <n v="1"/>
    <s v="Masters "/>
    <s v="Masters "/>
    <s v="Masters "/>
    <n v="0"/>
    <s v="20-29"/>
  </r>
  <r>
    <s v="6543-091E"/>
    <s v="Balduin"/>
    <s v="Vonasek"/>
    <x v="1"/>
    <n v="24"/>
    <s v="No Travel "/>
    <x v="2"/>
    <n v="42"/>
    <s v="CA"/>
    <s v="White"/>
    <n v="4"/>
    <s v="Computer Science"/>
    <x v="8"/>
    <s v="Married"/>
    <n v="58717"/>
    <n v="1"/>
    <x v="0"/>
    <d v="2019-05-20T00:00:00"/>
    <s v="No"/>
    <n v="3"/>
    <n v="0"/>
    <n v="2"/>
    <n v="1"/>
    <s v="Masters "/>
    <s v="Masters "/>
    <s v="Masters "/>
    <n v="0"/>
    <s v="20-29"/>
  </r>
  <r>
    <s v="EAB1-2EB2"/>
    <s v="Giacinta"/>
    <s v="Keasey"/>
    <x v="0"/>
    <n v="21"/>
    <s v="Some Travel"/>
    <x v="2"/>
    <n v="8"/>
    <s v="CA"/>
    <s v="American Indian or Alaska Native"/>
    <n v="3"/>
    <s v="Business Studies"/>
    <x v="4"/>
    <s v="Single"/>
    <n v="36534"/>
    <n v="0"/>
    <x v="0"/>
    <d v="2019-05-24T00:00:00"/>
    <s v="Yes"/>
    <n v="0"/>
    <n v="0"/>
    <n v="0"/>
    <n v="0"/>
    <s v="Bachelors "/>
    <s v="Bachelors "/>
    <s v="Bachelors "/>
    <n v="1"/>
    <s v="20-29"/>
  </r>
  <r>
    <s v="1158-9E23"/>
    <s v="Delly"/>
    <s v="Costerd"/>
    <x v="0"/>
    <n v="41"/>
    <s v="Some Travel"/>
    <x v="2"/>
    <n v="22"/>
    <s v="CA"/>
    <s v="White"/>
    <n v="3"/>
    <s v="Computer Science"/>
    <x v="5"/>
    <s v="Single"/>
    <n v="235812"/>
    <n v="0"/>
    <x v="0"/>
    <d v="2019-05-27T00:00:00"/>
    <s v="No"/>
    <n v="3"/>
    <n v="1"/>
    <n v="2"/>
    <n v="2"/>
    <s v="Bachelors "/>
    <s v="Bachelors "/>
    <s v="Bachelors "/>
    <n v="0"/>
    <s v="40-49"/>
  </r>
  <r>
    <s v="3476-CA56"/>
    <s v="Minette"/>
    <s v="Florey"/>
    <x v="0"/>
    <n v="24"/>
    <s v="Some Travel"/>
    <x v="0"/>
    <n v="16"/>
    <s v="CA"/>
    <s v="White"/>
    <n v="3"/>
    <s v="Economics"/>
    <x v="9"/>
    <s v="Single"/>
    <n v="25102"/>
    <n v="0"/>
    <x v="0"/>
    <d v="2019-06-05T00:00:00"/>
    <s v="Yes"/>
    <n v="1"/>
    <n v="0"/>
    <n v="0"/>
    <n v="0"/>
    <s v="Bachelors "/>
    <s v="Bachelors "/>
    <s v="Bachelors "/>
    <n v="1"/>
    <s v="20-29"/>
  </r>
  <r>
    <s v="4CD7-B91C"/>
    <s v="Jaime"/>
    <s v="Luca"/>
    <x v="1"/>
    <n v="21"/>
    <s v="Some Travel"/>
    <x v="2"/>
    <n v="43"/>
    <s v="CA"/>
    <s v="White"/>
    <n v="2"/>
    <s v="Computer Science"/>
    <x v="5"/>
    <s v="Single"/>
    <n v="71698"/>
    <n v="0"/>
    <x v="0"/>
    <d v="2019-06-05T00:00:00"/>
    <s v="No"/>
    <n v="3"/>
    <n v="0"/>
    <n v="3"/>
    <n v="3"/>
    <s v="High School "/>
    <s v="High School "/>
    <s v="High School "/>
    <n v="0"/>
    <s v="20-29"/>
  </r>
  <r>
    <s v="6BAB-8D77"/>
    <s v="Josh"/>
    <s v="Tomczykowski"/>
    <x v="1"/>
    <n v="35"/>
    <s v="Some Travel"/>
    <x v="2"/>
    <n v="8"/>
    <s v="CA"/>
    <s v="Black or African American"/>
    <n v="4"/>
    <s v="Computer Science"/>
    <x v="10"/>
    <s v="Married"/>
    <n v="405965"/>
    <n v="1"/>
    <x v="0"/>
    <d v="2019-06-07T00:00:00"/>
    <s v="No"/>
    <n v="3"/>
    <n v="1"/>
    <n v="2"/>
    <n v="0"/>
    <s v="Masters "/>
    <s v="Masters "/>
    <s v="Masters "/>
    <n v="0"/>
    <s v="30-39"/>
  </r>
  <r>
    <s v="FADC-21F2"/>
    <s v="Barbra"/>
    <s v="Lanceter"/>
    <x v="0"/>
    <n v="24"/>
    <s v="No Travel "/>
    <x v="2"/>
    <n v="25"/>
    <s v="CA"/>
    <s v="White"/>
    <n v="2"/>
    <s v="Computer Science"/>
    <x v="4"/>
    <s v="Married"/>
    <n v="40342"/>
    <n v="1"/>
    <x v="1"/>
    <d v="2019-06-08T00:00:00"/>
    <s v="No"/>
    <n v="3"/>
    <n v="2"/>
    <n v="3"/>
    <n v="1"/>
    <s v="High School "/>
    <s v="High School "/>
    <s v="High School "/>
    <n v="0"/>
    <s v="20-29"/>
  </r>
  <r>
    <s v="2E25-987F"/>
    <s v="Roseann"/>
    <s v="Blueman"/>
    <x v="0"/>
    <n v="24"/>
    <s v="Some Travel"/>
    <x v="2"/>
    <n v="45"/>
    <s v="CA"/>
    <s v="Asian or Asian American"/>
    <n v="3"/>
    <s v="Information Systems"/>
    <x v="7"/>
    <s v="Married"/>
    <n v="30390"/>
    <n v="1"/>
    <x v="0"/>
    <d v="2019-06-14T00:00:00"/>
    <s v="No"/>
    <n v="3"/>
    <n v="0"/>
    <n v="2"/>
    <n v="2"/>
    <s v="Bachelors "/>
    <s v="Bachelors "/>
    <s v="Bachelors "/>
    <n v="0"/>
    <s v="20-29"/>
  </r>
  <r>
    <s v="9E8E-F2FF"/>
    <s v="Dix"/>
    <s v="Presley"/>
    <x v="0"/>
    <n v="24"/>
    <s v="No Travel "/>
    <x v="0"/>
    <n v="10"/>
    <s v="CA"/>
    <s v="Mixed or multiple ethnic groups"/>
    <n v="4"/>
    <s v="Marketing"/>
    <x v="0"/>
    <s v="Married"/>
    <n v="65432"/>
    <n v="0"/>
    <x v="0"/>
    <d v="2019-06-15T00:00:00"/>
    <s v="No"/>
    <n v="3"/>
    <n v="1"/>
    <n v="2"/>
    <n v="0"/>
    <s v="Masters "/>
    <s v="Masters "/>
    <s v="Masters "/>
    <n v="0"/>
    <s v="20-29"/>
  </r>
  <r>
    <s v="2637-BDCD"/>
    <s v="Davin"/>
    <s v="Nutley"/>
    <x v="1"/>
    <n v="21"/>
    <s v="Some Travel"/>
    <x v="2"/>
    <n v="35"/>
    <s v="IL"/>
    <s v="Black or African American"/>
    <n v="3"/>
    <s v="Computer Science"/>
    <x v="4"/>
    <s v="Divorced"/>
    <n v="51682"/>
    <n v="1"/>
    <x v="0"/>
    <d v="2019-06-15T00:00:00"/>
    <s v="No"/>
    <n v="3"/>
    <n v="1"/>
    <n v="3"/>
    <n v="0"/>
    <s v="Bachelors "/>
    <s v="Bachelors "/>
    <s v="Bachelors "/>
    <n v="0"/>
    <s v="20-29"/>
  </r>
  <r>
    <s v="342B-0932"/>
    <s v="Giorgio"/>
    <s v="Ginger"/>
    <x v="1"/>
    <n v="21"/>
    <s v="Some Travel"/>
    <x v="2"/>
    <n v="18"/>
    <s v="CA"/>
    <s v="Asian or Asian American"/>
    <n v="2"/>
    <s v="Computer Science"/>
    <x v="7"/>
    <s v="Married"/>
    <n v="29558"/>
    <n v="1"/>
    <x v="1"/>
    <d v="2019-06-17T00:00:00"/>
    <s v="No"/>
    <n v="3"/>
    <n v="2"/>
    <n v="3"/>
    <n v="2"/>
    <s v="High School "/>
    <s v="High School "/>
    <s v="High School "/>
    <n v="0"/>
    <s v="20-29"/>
  </r>
  <r>
    <s v="ACA5-348E"/>
    <s v="Theodoric"/>
    <s v="Mateo"/>
    <x v="1"/>
    <n v="22"/>
    <s v="Some Travel"/>
    <x v="2"/>
    <n v="8"/>
    <s v="CA"/>
    <s v="Black or African American"/>
    <n v="3"/>
    <s v="Computer Science"/>
    <x v="7"/>
    <s v="Single"/>
    <n v="26158"/>
    <n v="0"/>
    <x v="0"/>
    <d v="2019-06-18T00:00:00"/>
    <s v="No"/>
    <n v="3"/>
    <n v="0"/>
    <n v="3"/>
    <n v="1"/>
    <s v="Bachelors "/>
    <s v="Bachelors "/>
    <s v="Bachelors "/>
    <n v="0"/>
    <s v="20-29"/>
  </r>
  <r>
    <s v="6DEB-F440"/>
    <s v="Viviene"/>
    <s v="Vanezis"/>
    <x v="2"/>
    <n v="21"/>
    <s v="Some Travel"/>
    <x v="2"/>
    <n v="41"/>
    <s v="CA"/>
    <s v="Black or African American"/>
    <n v="3"/>
    <s v="Computer Science"/>
    <x v="4"/>
    <s v="Single"/>
    <n v="29793"/>
    <n v="0"/>
    <x v="1"/>
    <d v="2019-06-22T00:00:00"/>
    <s v="Yes"/>
    <n v="3"/>
    <n v="0"/>
    <n v="0"/>
    <n v="2"/>
    <s v="Bachelors "/>
    <s v="Bachelors "/>
    <s v="Bachelors "/>
    <n v="1"/>
    <s v="20-29"/>
  </r>
  <r>
    <s v="354B-3BC6"/>
    <s v="Luci"/>
    <s v="Penburton"/>
    <x v="0"/>
    <n v="21"/>
    <s v="Some Travel"/>
    <x v="2"/>
    <n v="4"/>
    <s v="NY"/>
    <s v="White"/>
    <n v="3"/>
    <s v="Business Studies"/>
    <x v="7"/>
    <s v="Single"/>
    <n v="67900"/>
    <n v="0"/>
    <x v="0"/>
    <d v="2019-06-24T00:00:00"/>
    <s v="No"/>
    <n v="3"/>
    <n v="3"/>
    <n v="3"/>
    <n v="2"/>
    <s v="Bachelors "/>
    <s v="Bachelors "/>
    <s v="Bachelors "/>
    <n v="0"/>
    <s v="20-29"/>
  </r>
  <r>
    <s v="C95B-FE97"/>
    <s v="Ira"/>
    <s v="Rivelon"/>
    <x v="1"/>
    <n v="21"/>
    <s v="Some Travel"/>
    <x v="2"/>
    <n v="40"/>
    <s v="CA"/>
    <s v="White"/>
    <n v="3"/>
    <s v="Business Studies"/>
    <x v="4"/>
    <s v="Married"/>
    <n v="58274"/>
    <n v="1"/>
    <x v="0"/>
    <d v="2019-06-27T00:00:00"/>
    <s v="No"/>
    <n v="3"/>
    <n v="3"/>
    <n v="3"/>
    <n v="3"/>
    <s v="Bachelors "/>
    <s v="Bachelors "/>
    <s v="Bachelors "/>
    <n v="0"/>
    <s v="20-29"/>
  </r>
  <r>
    <s v="EB81-3E51"/>
    <s v="Laetitia"/>
    <s v="Muccino"/>
    <x v="0"/>
    <n v="41"/>
    <s v="Some Travel"/>
    <x v="2"/>
    <n v="18"/>
    <s v="CA"/>
    <s v="Mixed or multiple ethnic groups"/>
    <n v="4"/>
    <s v="Information Systems"/>
    <x v="8"/>
    <s v="Married"/>
    <n v="268964"/>
    <n v="1"/>
    <x v="0"/>
    <d v="2019-07-01T00:00:00"/>
    <s v="Yes"/>
    <n v="3"/>
    <n v="1"/>
    <n v="1"/>
    <n v="0"/>
    <s v="Masters "/>
    <s v="Masters "/>
    <s v="Masters "/>
    <n v="1"/>
    <s v="40-49"/>
  </r>
  <r>
    <s v="2D25-CAE8"/>
    <s v="Marcos"/>
    <s v="Bowkett"/>
    <x v="1"/>
    <n v="22"/>
    <s v="Some Travel"/>
    <x v="0"/>
    <n v="29"/>
    <s v="IL"/>
    <s v="Mixed or multiple ethnic groups"/>
    <n v="2"/>
    <s v="Economics"/>
    <x v="0"/>
    <s v="Divorced"/>
    <n v="58992"/>
    <n v="1"/>
    <x v="1"/>
    <d v="2019-07-02T00:00:00"/>
    <s v="No"/>
    <n v="3"/>
    <n v="3"/>
    <n v="3"/>
    <n v="2"/>
    <s v="High School "/>
    <s v="High School "/>
    <s v="High School "/>
    <n v="0"/>
    <s v="20-29"/>
  </r>
  <r>
    <s v="494B-7047"/>
    <s v="Nicolina"/>
    <s v="Cordelle"/>
    <x v="2"/>
    <n v="22"/>
    <s v="No Travel "/>
    <x v="2"/>
    <n v="32"/>
    <s v="NY"/>
    <s v="White"/>
    <n v="2"/>
    <s v="Computer Science"/>
    <x v="7"/>
    <s v="Single"/>
    <n v="38358"/>
    <n v="0"/>
    <x v="0"/>
    <d v="2019-07-05T00:00:00"/>
    <s v="No"/>
    <n v="3"/>
    <n v="2"/>
    <n v="2"/>
    <n v="3"/>
    <s v="High School "/>
    <s v="High School "/>
    <s v="High School "/>
    <n v="0"/>
    <s v="20-29"/>
  </r>
  <r>
    <s v="0846-2064"/>
    <s v="Hedvige"/>
    <s v="De Wolfe"/>
    <x v="2"/>
    <n v="33"/>
    <s v="Some Travel"/>
    <x v="2"/>
    <n v="44"/>
    <s v="CA"/>
    <s v="White"/>
    <n v="3"/>
    <s v="Information Systems"/>
    <x v="10"/>
    <s v="Single"/>
    <n v="230945"/>
    <n v="0"/>
    <x v="0"/>
    <d v="2019-07-09T00:00:00"/>
    <s v="No"/>
    <n v="3"/>
    <n v="0"/>
    <n v="2"/>
    <n v="0"/>
    <s v="Bachelors "/>
    <s v="Bachelors "/>
    <s v="Bachelors "/>
    <n v="0"/>
    <s v="30-39"/>
  </r>
  <r>
    <s v="9862-8904"/>
    <s v="Loella"/>
    <s v="Woodrough"/>
    <x v="0"/>
    <n v="23"/>
    <s v="Some Travel"/>
    <x v="2"/>
    <n v="33"/>
    <s v="CA"/>
    <s v="Mixed or multiple ethnic groups"/>
    <n v="2"/>
    <s v="Information Systems"/>
    <x v="5"/>
    <s v="Divorced"/>
    <n v="77798"/>
    <n v="3"/>
    <x v="0"/>
    <d v="2019-07-12T00:00:00"/>
    <s v="No"/>
    <n v="3"/>
    <n v="2"/>
    <n v="3"/>
    <n v="0"/>
    <s v="High School "/>
    <s v="High School "/>
    <s v="High School "/>
    <n v="0"/>
    <s v="20-29"/>
  </r>
  <r>
    <s v="95E0-CCA0"/>
    <s v="Berti"/>
    <s v="Laurand"/>
    <x v="1"/>
    <n v="24"/>
    <s v="Some Travel"/>
    <x v="2"/>
    <n v="2"/>
    <s v="NY"/>
    <s v="Mixed or multiple ethnic groups"/>
    <n v="2"/>
    <s v="Business Studies"/>
    <x v="7"/>
    <s v="Divorced"/>
    <n v="32313"/>
    <n v="2"/>
    <x v="0"/>
    <d v="2019-07-14T00:00:00"/>
    <s v="No"/>
    <n v="3"/>
    <n v="1"/>
    <n v="1"/>
    <n v="2"/>
    <s v="High School "/>
    <s v="High School "/>
    <s v="High School "/>
    <n v="0"/>
    <s v="20-29"/>
  </r>
  <r>
    <s v="68C4-272C"/>
    <s v="Torey"/>
    <s v="Emanueli"/>
    <x v="0"/>
    <n v="21"/>
    <s v="No Travel "/>
    <x v="2"/>
    <n v="22"/>
    <s v="NY"/>
    <s v="Black or African American"/>
    <n v="2"/>
    <s v="Other"/>
    <x v="7"/>
    <s v="Married"/>
    <n v="25208"/>
    <n v="0"/>
    <x v="1"/>
    <d v="2019-07-19T00:00:00"/>
    <s v="No"/>
    <n v="3"/>
    <n v="0"/>
    <n v="0"/>
    <n v="1"/>
    <s v="High School "/>
    <s v="High School "/>
    <s v="High School "/>
    <n v="0"/>
    <s v="20-29"/>
  </r>
  <r>
    <s v="0742-C802"/>
    <s v="Glennis"/>
    <s v="Miquelet"/>
    <x v="0"/>
    <n v="24"/>
    <s v="Frequent Traveller"/>
    <x v="2"/>
    <n v="30"/>
    <s v="NY"/>
    <s v="White"/>
    <n v="4"/>
    <s v="Information Systems"/>
    <x v="8"/>
    <s v="Married"/>
    <n v="66110"/>
    <n v="2"/>
    <x v="1"/>
    <d v="2019-07-24T00:00:00"/>
    <s v="No"/>
    <n v="3"/>
    <n v="2"/>
    <n v="2"/>
    <n v="0"/>
    <s v="Masters "/>
    <s v="Masters "/>
    <s v="Masters "/>
    <n v="0"/>
    <s v="20-29"/>
  </r>
  <r>
    <s v="1D74-2661"/>
    <s v="Renaud"/>
    <s v="Gigg"/>
    <x v="1"/>
    <n v="23"/>
    <s v="Frequent Traveller"/>
    <x v="2"/>
    <n v="34"/>
    <s v="NY"/>
    <s v="American Indian or Alaska Native"/>
    <n v="3"/>
    <s v="Computer Science"/>
    <x v="7"/>
    <s v="Married"/>
    <n v="43009"/>
    <n v="0"/>
    <x v="0"/>
    <d v="2019-07-24T00:00:00"/>
    <s v="No"/>
    <n v="3"/>
    <n v="2"/>
    <n v="2"/>
    <n v="1"/>
    <s v="Bachelors "/>
    <s v="Bachelors "/>
    <s v="Bachelors "/>
    <n v="0"/>
    <s v="20-29"/>
  </r>
  <r>
    <s v="F4A3-2126"/>
    <s v="Dunn"/>
    <s v="Barthrop"/>
    <x v="1"/>
    <n v="24"/>
    <s v="Some Travel"/>
    <x v="0"/>
    <n v="16"/>
    <s v="CA"/>
    <s v="Asian or Asian American"/>
    <n v="2"/>
    <s v="Marketing"/>
    <x v="9"/>
    <s v="Single"/>
    <n v="29128"/>
    <n v="0"/>
    <x v="1"/>
    <d v="2019-07-31T00:00:00"/>
    <s v="Yes"/>
    <n v="0"/>
    <n v="0"/>
    <n v="0"/>
    <n v="0"/>
    <s v="High School "/>
    <s v="High School "/>
    <s v="High School "/>
    <n v="1"/>
    <s v="20-29"/>
  </r>
  <r>
    <s v="24FA-A637"/>
    <s v="Giordano"/>
    <s v="Baum"/>
    <x v="2"/>
    <n v="22"/>
    <s v="Some Travel"/>
    <x v="2"/>
    <n v="10"/>
    <s v="NY"/>
    <s v="Asian or Asian American"/>
    <n v="4"/>
    <s v="Computer Science"/>
    <x v="4"/>
    <s v="Married"/>
    <n v="28953"/>
    <n v="1"/>
    <x v="0"/>
    <d v="2019-08-01T00:00:00"/>
    <s v="No"/>
    <n v="3"/>
    <n v="1"/>
    <n v="1"/>
    <n v="1"/>
    <s v="Masters "/>
    <s v="Masters "/>
    <s v="Masters "/>
    <n v="0"/>
    <s v="20-29"/>
  </r>
  <r>
    <s v="9071-14B2"/>
    <s v="Griffie"/>
    <s v="Bugge"/>
    <x v="1"/>
    <n v="31"/>
    <s v="Some Travel"/>
    <x v="2"/>
    <n v="25"/>
    <s v="CA"/>
    <s v="Black or African American"/>
    <n v="3"/>
    <s v="Business Studies"/>
    <x v="5"/>
    <s v="Single"/>
    <n v="157676"/>
    <n v="0"/>
    <x v="0"/>
    <d v="2019-08-07T00:00:00"/>
    <s v="No"/>
    <n v="3"/>
    <n v="0"/>
    <n v="2"/>
    <n v="1"/>
    <s v="Bachelors "/>
    <s v="Bachelors "/>
    <s v="Bachelors "/>
    <n v="0"/>
    <s v="30-39"/>
  </r>
  <r>
    <s v="9624-0464"/>
    <s v="Lura"/>
    <s v="Hedin"/>
    <x v="0"/>
    <n v="45"/>
    <s v="Frequent Traveller"/>
    <x v="2"/>
    <n v="4"/>
    <s v="CA"/>
    <s v="Native Hawaiian "/>
    <n v="3"/>
    <s v="Information Systems"/>
    <x v="2"/>
    <s v="Divorced"/>
    <n v="393420"/>
    <n v="1"/>
    <x v="0"/>
    <d v="2019-08-11T00:00:00"/>
    <s v="No"/>
    <n v="3"/>
    <n v="1"/>
    <n v="1"/>
    <n v="1"/>
    <s v="Bachelors "/>
    <s v="Bachelors "/>
    <s v="Bachelors "/>
    <n v="0"/>
    <s v="40-49"/>
  </r>
  <r>
    <s v="7B96-B655"/>
    <s v="Jonah"/>
    <s v="Chatwood"/>
    <x v="1"/>
    <n v="24"/>
    <s v="No Travel "/>
    <x v="2"/>
    <n v="18"/>
    <s v="NY"/>
    <s v="Mixed or multiple ethnic groups"/>
    <n v="3"/>
    <s v="Computer Science"/>
    <x v="4"/>
    <s v="Divorced"/>
    <n v="104807"/>
    <n v="1"/>
    <x v="0"/>
    <d v="2019-08-11T00:00:00"/>
    <s v="No"/>
    <n v="3"/>
    <n v="0"/>
    <n v="0"/>
    <n v="1"/>
    <s v="Bachelors "/>
    <s v="Bachelors "/>
    <s v="Bachelors "/>
    <n v="0"/>
    <s v="20-29"/>
  </r>
  <r>
    <s v="DE7D-7757"/>
    <s v="Linea"/>
    <s v="Clifft"/>
    <x v="0"/>
    <n v="23"/>
    <s v="Some Travel"/>
    <x v="2"/>
    <n v="25"/>
    <s v="CA"/>
    <s v="Asian or Asian American"/>
    <n v="2"/>
    <s v="Other"/>
    <x v="4"/>
    <s v="Divorced"/>
    <n v="25425"/>
    <n v="1"/>
    <x v="0"/>
    <d v="2019-08-13T00:00:00"/>
    <s v="No"/>
    <n v="3"/>
    <n v="1"/>
    <n v="3"/>
    <n v="2"/>
    <s v="High School "/>
    <s v="High School "/>
    <s v="High School "/>
    <n v="0"/>
    <s v="20-29"/>
  </r>
  <r>
    <s v="0CFA-28A3"/>
    <s v="Duff"/>
    <s v="Rioch"/>
    <x v="1"/>
    <n v="21"/>
    <s v="Frequent Traveller"/>
    <x v="1"/>
    <n v="42"/>
    <s v="CA"/>
    <s v="Black or African American"/>
    <n v="4"/>
    <s v="Other"/>
    <x v="11"/>
    <s v="Married"/>
    <n v="42303"/>
    <n v="1"/>
    <x v="1"/>
    <d v="2019-08-13T00:00:00"/>
    <s v="No"/>
    <n v="3"/>
    <n v="2"/>
    <n v="2"/>
    <n v="2"/>
    <s v="Masters "/>
    <s v="Masters "/>
    <s v="Masters "/>
    <n v="0"/>
    <s v="20-29"/>
  </r>
  <r>
    <s v="6828-1F30"/>
    <s v="Filide"/>
    <s v="Summerlie"/>
    <x v="0"/>
    <n v="46"/>
    <s v="Some Travel"/>
    <x v="0"/>
    <n v="8"/>
    <s v="CA"/>
    <s v="Mixed or multiple ethnic groups"/>
    <n v="3"/>
    <s v="Marketing "/>
    <x v="0"/>
    <s v="Married"/>
    <n v="249505"/>
    <n v="3"/>
    <x v="1"/>
    <d v="2019-08-14T00:00:00"/>
    <s v="No"/>
    <n v="3"/>
    <n v="2"/>
    <n v="2"/>
    <n v="1"/>
    <s v="Bachelors "/>
    <s v="Bachelors "/>
    <s v="Bachelors "/>
    <n v="0"/>
    <s v="40-49"/>
  </r>
  <r>
    <s v="A4E5-CE62"/>
    <s v="Tandy"/>
    <s v="Curley"/>
    <x v="0"/>
    <n v="23"/>
    <s v="Some Travel"/>
    <x v="2"/>
    <n v="1"/>
    <s v="CA"/>
    <s v="White"/>
    <n v="1"/>
    <s v="Information Systems"/>
    <x v="5"/>
    <s v="Divorced"/>
    <n v="62324"/>
    <n v="2"/>
    <x v="0"/>
    <d v="2019-08-14T00:00:00"/>
    <s v="No"/>
    <n v="3"/>
    <n v="1"/>
    <n v="3"/>
    <n v="3"/>
    <s v="No Formal Qualifications"/>
    <s v="No Formal Qualifications"/>
    <s v="No Formal Qualifications"/>
    <n v="0"/>
    <s v="20-29"/>
  </r>
  <r>
    <s v="2926-D386"/>
    <s v="Son"/>
    <s v="Crowther"/>
    <x v="1"/>
    <n v="24"/>
    <s v="Some Travel"/>
    <x v="2"/>
    <n v="36"/>
    <s v="IL"/>
    <s v="Black or African American"/>
    <n v="3"/>
    <s v="Information Systems"/>
    <x v="5"/>
    <s v="Single"/>
    <n v="93015"/>
    <n v="0"/>
    <x v="1"/>
    <d v="2019-08-14T00:00:00"/>
    <s v="No"/>
    <n v="3"/>
    <n v="0"/>
    <n v="2"/>
    <n v="2"/>
    <s v="Bachelors "/>
    <s v="Bachelors "/>
    <s v="Bachelors "/>
    <n v="0"/>
    <s v="20-29"/>
  </r>
  <r>
    <s v="1FAC-768D"/>
    <s v="Elton"/>
    <s v="Hyrons"/>
    <x v="1"/>
    <n v="24"/>
    <s v="Frequent Traveller"/>
    <x v="2"/>
    <n v="44"/>
    <s v="CA"/>
    <s v="White"/>
    <n v="4"/>
    <s v="Computer Science"/>
    <x v="7"/>
    <s v="Divorced"/>
    <n v="61230"/>
    <n v="1"/>
    <x v="0"/>
    <d v="2019-08-17T00:00:00"/>
    <s v="No"/>
    <n v="3"/>
    <n v="2"/>
    <n v="3"/>
    <n v="3"/>
    <s v="Masters "/>
    <s v="Masters "/>
    <s v="Masters "/>
    <n v="0"/>
    <s v="20-29"/>
  </r>
  <r>
    <s v="60A3-AFA2"/>
    <s v="Gracie"/>
    <s v="Horley"/>
    <x v="0"/>
    <n v="23"/>
    <s v="Some Travel"/>
    <x v="2"/>
    <n v="20"/>
    <s v="NY"/>
    <s v="White"/>
    <n v="3"/>
    <s v="Information Systems"/>
    <x v="7"/>
    <s v="Divorced"/>
    <n v="85006"/>
    <n v="2"/>
    <x v="0"/>
    <d v="2019-08-18T00:00:00"/>
    <s v="No"/>
    <n v="3"/>
    <n v="2"/>
    <n v="3"/>
    <n v="0"/>
    <s v="Bachelors "/>
    <s v="Bachelors "/>
    <s v="Bachelors "/>
    <n v="0"/>
    <s v="20-29"/>
  </r>
  <r>
    <s v="3B11-DF28"/>
    <s v="Helge"/>
    <s v="Exley"/>
    <x v="0"/>
    <n v="23"/>
    <s v="Frequent Traveller"/>
    <x v="2"/>
    <n v="28"/>
    <s v="CA"/>
    <s v="White"/>
    <n v="2"/>
    <s v="Computer Science"/>
    <x v="4"/>
    <s v="Single"/>
    <n v="57133"/>
    <n v="0"/>
    <x v="0"/>
    <d v="2019-08-23T00:00:00"/>
    <s v="Yes"/>
    <n v="3"/>
    <n v="0"/>
    <n v="0"/>
    <n v="1"/>
    <s v="High School "/>
    <s v="High School "/>
    <s v="High School "/>
    <n v="1"/>
    <s v="20-29"/>
  </r>
  <r>
    <s v="4FAC-96CB"/>
    <s v="Dwayne"/>
    <s v="Sturror"/>
    <x v="1"/>
    <n v="24"/>
    <s v="Some Travel"/>
    <x v="0"/>
    <n v="9"/>
    <s v="CA"/>
    <s v="White"/>
    <n v="4"/>
    <s v="Marketing"/>
    <x v="0"/>
    <s v="Divorced"/>
    <n v="110542"/>
    <n v="1"/>
    <x v="0"/>
    <d v="2019-08-23T00:00:00"/>
    <s v="No"/>
    <n v="3"/>
    <n v="3"/>
    <n v="3"/>
    <n v="2"/>
    <s v="Masters "/>
    <s v="Masters "/>
    <s v="Masters "/>
    <n v="0"/>
    <s v="20-29"/>
  </r>
  <r>
    <s v="EFA2-B2D0"/>
    <s v="Liz"/>
    <s v="Durnford"/>
    <x v="0"/>
    <n v="21"/>
    <s v="Some Travel"/>
    <x v="2"/>
    <n v="2"/>
    <s v="CA"/>
    <s v="White"/>
    <n v="2"/>
    <s v="Other"/>
    <x v="4"/>
    <s v="Single"/>
    <n v="31254"/>
    <n v="0"/>
    <x v="0"/>
    <d v="2019-08-25T00:00:00"/>
    <s v="No"/>
    <n v="3"/>
    <n v="0"/>
    <n v="1"/>
    <n v="1"/>
    <s v="High School "/>
    <s v="High School "/>
    <s v="High School "/>
    <n v="0"/>
    <s v="20-29"/>
  </r>
  <r>
    <s v="200B-1979"/>
    <s v="Jamie"/>
    <s v="Sarll"/>
    <x v="1"/>
    <n v="50"/>
    <s v="Frequent Traveller"/>
    <x v="2"/>
    <n v="43"/>
    <s v="CA"/>
    <s v="White"/>
    <n v="3"/>
    <s v="Information Systems"/>
    <x v="2"/>
    <s v="Divorced"/>
    <n v="339245"/>
    <n v="2"/>
    <x v="0"/>
    <d v="2019-08-26T00:00:00"/>
    <s v="No"/>
    <n v="3"/>
    <n v="0"/>
    <n v="0"/>
    <n v="1"/>
    <s v="Bachelors "/>
    <s v="Bachelors "/>
    <s v="Bachelors "/>
    <n v="0"/>
    <s v="50+"/>
  </r>
  <r>
    <s v="8EF9-CECD"/>
    <s v="Mendy"/>
    <s v="Hounsom"/>
    <x v="1"/>
    <n v="23"/>
    <s v="Some Travel"/>
    <x v="2"/>
    <n v="35"/>
    <s v="IL"/>
    <s v="White"/>
    <n v="3"/>
    <s v="Computer Science"/>
    <x v="4"/>
    <s v="Single"/>
    <n v="28704"/>
    <n v="0"/>
    <x v="0"/>
    <d v="2019-08-28T00:00:00"/>
    <s v="No"/>
    <n v="3"/>
    <n v="3"/>
    <n v="3"/>
    <n v="1"/>
    <s v="Bachelors "/>
    <s v="Bachelors "/>
    <s v="Bachelors "/>
    <n v="0"/>
    <s v="20-29"/>
  </r>
  <r>
    <s v="B5C6-A760"/>
    <s v="Brigitta"/>
    <s v="Larkins"/>
    <x v="0"/>
    <n v="21"/>
    <s v="Frequent Traveller"/>
    <x v="2"/>
    <n v="7"/>
    <s v="CA"/>
    <s v="White"/>
    <n v="3"/>
    <s v="Computer Science"/>
    <x v="5"/>
    <s v="Single"/>
    <n v="76518"/>
    <n v="0"/>
    <x v="0"/>
    <d v="2019-08-31T00:00:00"/>
    <s v="No"/>
    <n v="3"/>
    <n v="1"/>
    <n v="2"/>
    <n v="1"/>
    <s v="Bachelors "/>
    <s v="Bachelors "/>
    <s v="Bachelors "/>
    <n v="0"/>
    <s v="20-29"/>
  </r>
  <r>
    <s v="8DB6-5FC6"/>
    <s v="Madalena"/>
    <s v="Leneham"/>
    <x v="0"/>
    <n v="21"/>
    <s v="No Travel "/>
    <x v="0"/>
    <n v="25"/>
    <s v="CA"/>
    <s v="White"/>
    <n v="3"/>
    <s v="Marketing"/>
    <x v="0"/>
    <s v="Married"/>
    <n v="69078"/>
    <n v="1"/>
    <x v="0"/>
    <d v="2019-09-08T00:00:00"/>
    <s v="No"/>
    <n v="3"/>
    <n v="3"/>
    <n v="3"/>
    <n v="3"/>
    <s v="Bachelors "/>
    <s v="Bachelors "/>
    <s v="Bachelors "/>
    <n v="0"/>
    <s v="20-29"/>
  </r>
  <r>
    <s v="AFE1-76D3"/>
    <s v="Keelby"/>
    <s v="Pariss"/>
    <x v="1"/>
    <n v="21"/>
    <s v="Some Travel"/>
    <x v="2"/>
    <n v="30"/>
    <s v="CA"/>
    <s v="White"/>
    <n v="1"/>
    <s v="Computer Science"/>
    <x v="7"/>
    <s v="Married"/>
    <n v="31624"/>
    <n v="0"/>
    <x v="0"/>
    <d v="2019-09-08T00:00:00"/>
    <s v="No"/>
    <n v="3"/>
    <n v="3"/>
    <n v="3"/>
    <n v="2"/>
    <s v="No Formal Qualifications"/>
    <s v="No Formal Qualifications"/>
    <s v="No Formal Qualifications"/>
    <n v="0"/>
    <s v="20-29"/>
  </r>
  <r>
    <s v="E927-46D7"/>
    <s v="Shandeigh"/>
    <s v="Lindores"/>
    <x v="0"/>
    <n v="22"/>
    <s v="Some Travel"/>
    <x v="2"/>
    <n v="14"/>
    <s v="CA"/>
    <s v="White"/>
    <n v="2"/>
    <s v="Computer Science"/>
    <x v="4"/>
    <s v="Married"/>
    <n v="28989"/>
    <n v="1"/>
    <x v="0"/>
    <d v="2019-09-09T00:00:00"/>
    <s v="No"/>
    <n v="3"/>
    <n v="2"/>
    <n v="2"/>
    <n v="3"/>
    <s v="High School "/>
    <s v="High School "/>
    <s v="High School "/>
    <n v="0"/>
    <s v="20-29"/>
  </r>
  <r>
    <s v="A859-9A84"/>
    <s v="Guthrie"/>
    <s v="Blunt"/>
    <x v="1"/>
    <n v="23"/>
    <s v="Some Travel"/>
    <x v="2"/>
    <n v="26"/>
    <s v="NY"/>
    <s v="White"/>
    <n v="2"/>
    <s v="Computer Science"/>
    <x v="4"/>
    <s v="Divorced"/>
    <n v="31426"/>
    <n v="1"/>
    <x v="0"/>
    <d v="2019-09-12T00:00:00"/>
    <s v="No"/>
    <n v="3"/>
    <n v="1"/>
    <n v="2"/>
    <n v="0"/>
    <s v="High School "/>
    <s v="High School "/>
    <s v="High School "/>
    <n v="0"/>
    <s v="20-29"/>
  </r>
  <r>
    <s v="E55D-FCA0"/>
    <s v="Emlynne"/>
    <s v="Spight"/>
    <x v="0"/>
    <n v="21"/>
    <s v="Some Travel"/>
    <x v="0"/>
    <n v="11"/>
    <s v="NY"/>
    <s v="White"/>
    <n v="1"/>
    <s v="Economics"/>
    <x v="9"/>
    <s v="Married"/>
    <n v="42066"/>
    <n v="1"/>
    <x v="0"/>
    <d v="2019-09-13T00:00:00"/>
    <s v="No"/>
    <n v="3"/>
    <n v="3"/>
    <n v="3"/>
    <n v="1"/>
    <s v="No Formal Qualifications"/>
    <s v="No Formal Qualifications"/>
    <s v="No Formal Qualifications"/>
    <n v="0"/>
    <s v="20-29"/>
  </r>
  <r>
    <s v="9385-321B"/>
    <s v="Marcille"/>
    <s v="Tweedy"/>
    <x v="0"/>
    <n v="24"/>
    <s v="Some Travel"/>
    <x v="0"/>
    <n v="34"/>
    <s v="CA"/>
    <s v="White"/>
    <n v="1"/>
    <s v="Economics"/>
    <x v="0"/>
    <s v="Single"/>
    <n v="107634"/>
    <n v="0"/>
    <x v="0"/>
    <d v="2019-09-15T00:00:00"/>
    <s v="No"/>
    <n v="3"/>
    <n v="2"/>
    <n v="2"/>
    <n v="2"/>
    <s v="No Formal Qualifications"/>
    <s v="No Formal Qualifications"/>
    <s v="No Formal Qualifications"/>
    <n v="0"/>
    <s v="20-29"/>
  </r>
  <r>
    <s v="B529-2745"/>
    <s v="Randall"/>
    <s v="Worswick"/>
    <x v="1"/>
    <n v="22"/>
    <s v="No Travel "/>
    <x v="0"/>
    <n v="41"/>
    <s v="CA"/>
    <s v="White"/>
    <n v="1"/>
    <s v="Marketing "/>
    <x v="9"/>
    <s v="Single"/>
    <n v="27961"/>
    <n v="0"/>
    <x v="0"/>
    <d v="2019-09-15T00:00:00"/>
    <s v="No"/>
    <n v="3"/>
    <n v="0"/>
    <n v="1"/>
    <n v="0"/>
    <s v="No Formal Qualifications"/>
    <s v="No Formal Qualifications"/>
    <s v="No Formal Qualifications"/>
    <n v="0"/>
    <s v="20-29"/>
  </r>
  <r>
    <s v="EF95-30A5"/>
    <s v="Gregoire"/>
    <s v="Bilbrook"/>
    <x v="1"/>
    <n v="23"/>
    <s v="Some Travel"/>
    <x v="2"/>
    <n v="37"/>
    <s v="CA"/>
    <s v="White"/>
    <n v="4"/>
    <s v="Business Studies"/>
    <x v="8"/>
    <s v="Single"/>
    <n v="57603"/>
    <n v="0"/>
    <x v="0"/>
    <d v="2019-09-18T00:00:00"/>
    <s v="No"/>
    <n v="3"/>
    <n v="0"/>
    <n v="1"/>
    <n v="1"/>
    <s v="Masters "/>
    <s v="Masters "/>
    <s v="Masters "/>
    <n v="0"/>
    <s v="20-29"/>
  </r>
  <r>
    <s v="86E9-319B"/>
    <s v="Kirby"/>
    <s v="Denison"/>
    <x v="1"/>
    <n v="24"/>
    <s v="No Travel "/>
    <x v="2"/>
    <n v="21"/>
    <s v="NY"/>
    <s v="White"/>
    <n v="3"/>
    <s v="Information Systems"/>
    <x v="7"/>
    <s v="Single"/>
    <n v="26451"/>
    <n v="0"/>
    <x v="0"/>
    <d v="2019-09-23T00:00:00"/>
    <s v="No"/>
    <n v="3"/>
    <n v="1"/>
    <n v="1"/>
    <n v="3"/>
    <s v="Bachelors "/>
    <s v="Bachelors "/>
    <s v="Bachelors "/>
    <n v="0"/>
    <s v="20-29"/>
  </r>
  <r>
    <s v="9C27-3F5C"/>
    <s v="Kinna"/>
    <s v="Krzyzowski"/>
    <x v="0"/>
    <n v="24"/>
    <s v="Some Travel"/>
    <x v="2"/>
    <n v="20"/>
    <s v="CA"/>
    <s v="White"/>
    <n v="1"/>
    <s v="Computer Science"/>
    <x v="7"/>
    <s v="Divorced"/>
    <n v="32930"/>
    <n v="2"/>
    <x v="1"/>
    <d v="2019-09-24T00:00:00"/>
    <s v="No"/>
    <n v="3"/>
    <n v="3"/>
    <n v="3"/>
    <n v="0"/>
    <s v="No Formal Qualifications"/>
    <s v="No Formal Qualifications"/>
    <s v="No Formal Qualifications"/>
    <n v="0"/>
    <s v="20-29"/>
  </r>
  <r>
    <s v="54D0-5A71"/>
    <s v="Dur"/>
    <s v="Lebarree"/>
    <x v="1"/>
    <n v="24"/>
    <s v="Some Travel"/>
    <x v="2"/>
    <n v="9"/>
    <s v="CA"/>
    <s v="White"/>
    <n v="3"/>
    <s v="Business Studies"/>
    <x v="7"/>
    <s v="Married"/>
    <n v="33443"/>
    <n v="1"/>
    <x v="1"/>
    <d v="2019-09-24T00:00:00"/>
    <s v="No"/>
    <n v="3"/>
    <n v="3"/>
    <n v="3"/>
    <n v="0"/>
    <s v="Bachelors "/>
    <s v="Bachelors "/>
    <s v="Bachelors "/>
    <n v="0"/>
    <s v="20-29"/>
  </r>
  <r>
    <s v="3044-EB49"/>
    <s v="Rolando"/>
    <s v="Pioch"/>
    <x v="1"/>
    <n v="23"/>
    <s v="Some Travel"/>
    <x v="0"/>
    <n v="44"/>
    <s v="NY"/>
    <s v="White"/>
    <n v="2"/>
    <s v="Economics"/>
    <x v="0"/>
    <s v="Married"/>
    <n v="100314"/>
    <n v="3"/>
    <x v="1"/>
    <d v="2019-09-25T00:00:00"/>
    <s v="No"/>
    <n v="3"/>
    <n v="2"/>
    <n v="3"/>
    <n v="3"/>
    <s v="High School "/>
    <s v="High School "/>
    <s v="High School "/>
    <n v="0"/>
    <s v="20-29"/>
  </r>
  <r>
    <s v="C560-23D6"/>
    <s v="Chiquita"/>
    <s v="Le Marchant"/>
    <x v="2"/>
    <n v="23"/>
    <s v="Some Travel"/>
    <x v="2"/>
    <n v="20"/>
    <s v="CA"/>
    <s v="White"/>
    <n v="1"/>
    <s v="Computer Science"/>
    <x v="7"/>
    <s v="Divorced"/>
    <n v="45995"/>
    <n v="1"/>
    <x v="0"/>
    <d v="2019-09-27T00:00:00"/>
    <s v="No"/>
    <n v="3"/>
    <n v="1"/>
    <n v="1"/>
    <n v="2"/>
    <s v="No Formal Qualifications"/>
    <s v="No Formal Qualifications"/>
    <s v="No Formal Qualifications"/>
    <n v="0"/>
    <s v="20-29"/>
  </r>
  <r>
    <s v="EE12-1C73"/>
    <s v="Phyllis"/>
    <s v="Wiles"/>
    <x v="0"/>
    <n v="21"/>
    <s v="Some Travel"/>
    <x v="2"/>
    <n v="17"/>
    <s v="NY"/>
    <s v="White"/>
    <n v="3"/>
    <s v="Computer Science"/>
    <x v="8"/>
    <s v="Single"/>
    <n v="44940"/>
    <n v="0"/>
    <x v="0"/>
    <d v="2019-10-07T00:00:00"/>
    <s v="No"/>
    <n v="3"/>
    <n v="3"/>
    <n v="3"/>
    <n v="0"/>
    <s v="Bachelors "/>
    <s v="Bachelors "/>
    <s v="Bachelors "/>
    <n v="0"/>
    <s v="20-29"/>
  </r>
  <r>
    <s v="91C6-564B"/>
    <s v="Thain"/>
    <s v="Pedri"/>
    <x v="1"/>
    <n v="21"/>
    <s v="Some Travel"/>
    <x v="2"/>
    <n v="7"/>
    <s v="CA"/>
    <s v="White"/>
    <n v="3"/>
    <s v="Computer Science"/>
    <x v="4"/>
    <s v="Married"/>
    <n v="40561"/>
    <n v="1"/>
    <x v="0"/>
    <d v="2019-10-09T00:00:00"/>
    <s v="No"/>
    <n v="3"/>
    <n v="3"/>
    <n v="3"/>
    <n v="1"/>
    <s v="Bachelors "/>
    <s v="Bachelors "/>
    <s v="Bachelors "/>
    <n v="0"/>
    <s v="20-29"/>
  </r>
  <r>
    <s v="A0EC-C4AE"/>
    <s v="Eleanora"/>
    <s v="Issacoff"/>
    <x v="0"/>
    <n v="24"/>
    <s v="Some Travel"/>
    <x v="0"/>
    <n v="7"/>
    <s v="NY"/>
    <s v="White"/>
    <n v="3"/>
    <s v="Marketing"/>
    <x v="0"/>
    <s v="Married"/>
    <n v="106586"/>
    <n v="1"/>
    <x v="0"/>
    <d v="2019-10-14T00:00:00"/>
    <s v="No"/>
    <n v="3"/>
    <n v="1"/>
    <n v="3"/>
    <n v="3"/>
    <s v="Bachelors "/>
    <s v="Bachelors "/>
    <s v="Bachelors "/>
    <n v="0"/>
    <s v="20-29"/>
  </r>
  <r>
    <s v="84D8-1A04"/>
    <s v="Adara"/>
    <s v="Sleeford"/>
    <x v="0"/>
    <n v="22"/>
    <s v="Some Travel"/>
    <x v="0"/>
    <n v="16"/>
    <s v="NY"/>
    <s v="White"/>
    <n v="3"/>
    <s v="Marketing"/>
    <x v="0"/>
    <s v="Married"/>
    <n v="48432"/>
    <n v="1"/>
    <x v="0"/>
    <d v="2019-10-17T00:00:00"/>
    <s v="No"/>
    <n v="3"/>
    <n v="0"/>
    <n v="0"/>
    <n v="3"/>
    <s v="Bachelors "/>
    <s v="Bachelors "/>
    <s v="Bachelors "/>
    <n v="0"/>
    <s v="20-29"/>
  </r>
  <r>
    <s v="DA17-A31F"/>
    <s v="Gleda"/>
    <s v="Verzey"/>
    <x v="0"/>
    <n v="23"/>
    <s v="Some Travel"/>
    <x v="2"/>
    <n v="15"/>
    <s v="CA"/>
    <s v="White"/>
    <n v="2"/>
    <s v="Information Systems"/>
    <x v="5"/>
    <s v="Divorced"/>
    <n v="78275"/>
    <n v="2"/>
    <x v="0"/>
    <d v="2019-10-18T00:00:00"/>
    <s v="No"/>
    <n v="3"/>
    <n v="0"/>
    <n v="3"/>
    <n v="2"/>
    <s v="High School "/>
    <s v="High School "/>
    <s v="High School "/>
    <n v="0"/>
    <s v="20-29"/>
  </r>
  <r>
    <s v="AB3B-98D9"/>
    <s v="Franky"/>
    <s v="Dorie"/>
    <x v="1"/>
    <n v="22"/>
    <s v="Some Travel"/>
    <x v="2"/>
    <n v="32"/>
    <s v="CA"/>
    <s v="White"/>
    <n v="4"/>
    <s v="Other"/>
    <x v="7"/>
    <s v="Married"/>
    <n v="34823"/>
    <n v="2"/>
    <x v="0"/>
    <d v="2019-10-21T00:00:00"/>
    <s v="No"/>
    <n v="3"/>
    <n v="3"/>
    <n v="3"/>
    <n v="3"/>
    <s v="Masters "/>
    <s v="Masters "/>
    <s v="Masters "/>
    <n v="0"/>
    <s v="20-29"/>
  </r>
  <r>
    <s v="37D7-54B9"/>
    <s v="Kimberli"/>
    <s v="Porritt"/>
    <x v="0"/>
    <n v="37"/>
    <s v="Some Travel"/>
    <x v="0"/>
    <n v="20"/>
    <s v="IL"/>
    <s v="White"/>
    <n v="3"/>
    <s v="Economics"/>
    <x v="0"/>
    <s v="Married"/>
    <n v="195447"/>
    <n v="1"/>
    <x v="1"/>
    <d v="2019-10-22T00:00:00"/>
    <s v="No"/>
    <n v="3"/>
    <n v="3"/>
    <n v="3"/>
    <n v="3"/>
    <s v="Bachelors "/>
    <s v="Bachelors "/>
    <s v="Bachelors "/>
    <n v="0"/>
    <s v="30-39"/>
  </r>
  <r>
    <s v="9C7D-E1B1"/>
    <s v="Morly"/>
    <s v="Gerin"/>
    <x v="1"/>
    <n v="22"/>
    <s v="Some Travel"/>
    <x v="2"/>
    <n v="26"/>
    <s v="CA"/>
    <s v="White"/>
    <n v="3"/>
    <s v="Information Systems"/>
    <x v="5"/>
    <s v="Married"/>
    <n v="62509"/>
    <n v="2"/>
    <x v="0"/>
    <d v="2019-10-23T00:00:00"/>
    <s v="Yes"/>
    <n v="1"/>
    <n v="0"/>
    <n v="0"/>
    <n v="0"/>
    <s v="Bachelors "/>
    <s v="Bachelors "/>
    <s v="Bachelors "/>
    <n v="1"/>
    <s v="20-29"/>
  </r>
  <r>
    <s v="5EB3-47F6"/>
    <s v="Cthrine"/>
    <s v="Harg"/>
    <x v="0"/>
    <n v="24"/>
    <s v="Some Travel"/>
    <x v="0"/>
    <n v="41"/>
    <s v="NY"/>
    <s v="White"/>
    <n v="1"/>
    <s v="Economics"/>
    <x v="0"/>
    <s v="Married"/>
    <n v="73498"/>
    <n v="0"/>
    <x v="1"/>
    <d v="2019-10-28T00:00:00"/>
    <s v="No"/>
    <n v="3"/>
    <n v="2"/>
    <n v="2"/>
    <n v="0"/>
    <s v="No Formal Qualifications"/>
    <s v="No Formal Qualifications"/>
    <s v="No Formal Qualifications"/>
    <n v="0"/>
    <s v="20-29"/>
  </r>
  <r>
    <s v="43DD-6998"/>
    <s v="Angelia"/>
    <s v="Letrange"/>
    <x v="0"/>
    <n v="48"/>
    <s v="Some Travel"/>
    <x v="2"/>
    <n v="9"/>
    <s v="CA"/>
    <s v="White"/>
    <n v="4"/>
    <s v="Business Studies"/>
    <x v="10"/>
    <s v="Divorced"/>
    <n v="517695"/>
    <n v="1"/>
    <x v="0"/>
    <d v="2019-10-29T00:00:00"/>
    <s v="No"/>
    <n v="3"/>
    <n v="2"/>
    <n v="2"/>
    <n v="3"/>
    <s v="Masters "/>
    <s v="Masters "/>
    <s v="Masters "/>
    <n v="0"/>
    <s v="40-49"/>
  </r>
  <r>
    <s v="F1A8-7140"/>
    <s v="Robinet"/>
    <s v="Nation"/>
    <x v="1"/>
    <n v="24"/>
    <s v="Some Travel"/>
    <x v="2"/>
    <n v="7"/>
    <s v="NY"/>
    <s v="White"/>
    <n v="3"/>
    <s v="Other"/>
    <x v="5"/>
    <s v="Single"/>
    <n v="121470"/>
    <n v="0"/>
    <x v="0"/>
    <d v="2019-10-31T00:00:00"/>
    <s v="No"/>
    <n v="3"/>
    <n v="2"/>
    <n v="2"/>
    <n v="3"/>
    <s v="Bachelors "/>
    <s v="Bachelors "/>
    <s v="Bachelors "/>
    <n v="0"/>
    <s v="20-29"/>
  </r>
  <r>
    <s v="F546-D965"/>
    <s v="Candice"/>
    <s v="Libreros"/>
    <x v="0"/>
    <n v="23"/>
    <s v="Some Travel"/>
    <x v="0"/>
    <n v="34"/>
    <s v="NY"/>
    <s v="White"/>
    <n v="2"/>
    <s v="Economics"/>
    <x v="0"/>
    <s v="Single"/>
    <n v="88382"/>
    <n v="0"/>
    <x v="0"/>
    <d v="2019-11-01T00:00:00"/>
    <s v="No"/>
    <n v="3"/>
    <n v="1"/>
    <n v="3"/>
    <n v="1"/>
    <s v="High School "/>
    <s v="High School "/>
    <s v="High School "/>
    <n v="0"/>
    <s v="20-29"/>
  </r>
  <r>
    <s v="4BED-C7C2"/>
    <s v="Kahlil"/>
    <s v="Kelso"/>
    <x v="1"/>
    <n v="24"/>
    <s v="Some Travel"/>
    <x v="2"/>
    <n v="18"/>
    <s v="CA"/>
    <s v="White"/>
    <n v="3"/>
    <s v="Information Systems"/>
    <x v="7"/>
    <s v="Married"/>
    <n v="29722"/>
    <n v="1"/>
    <x v="0"/>
    <d v="2019-11-06T00:00:00"/>
    <s v="No"/>
    <n v="3"/>
    <n v="1"/>
    <n v="3"/>
    <n v="2"/>
    <s v="Bachelors "/>
    <s v="Bachelors "/>
    <s v="Bachelors "/>
    <n v="0"/>
    <s v="20-29"/>
  </r>
  <r>
    <s v="040C-EDED"/>
    <s v="Lonnie"/>
    <s v="Braxton"/>
    <x v="1"/>
    <n v="22"/>
    <s v="Frequent Traveller"/>
    <x v="2"/>
    <n v="45"/>
    <s v="CA"/>
    <s v="White"/>
    <n v="2"/>
    <s v="Computer Science"/>
    <x v="7"/>
    <s v="Single"/>
    <n v="26782"/>
    <n v="0"/>
    <x v="1"/>
    <d v="2019-11-08T00:00:00"/>
    <s v="Yes"/>
    <n v="3"/>
    <n v="0"/>
    <n v="2"/>
    <n v="0"/>
    <s v="High School "/>
    <s v="High School "/>
    <s v="High School "/>
    <n v="1"/>
    <s v="20-29"/>
  </r>
  <r>
    <s v="B34E-95FF"/>
    <s v="Samuele"/>
    <s v="Creek"/>
    <x v="1"/>
    <n v="25"/>
    <s v="Some Travel"/>
    <x v="0"/>
    <n v="33"/>
    <s v="NY"/>
    <s v="White"/>
    <n v="5"/>
    <s v="Marketing"/>
    <x v="0"/>
    <s v="Divorced"/>
    <n v="87347"/>
    <n v="3"/>
    <x v="1"/>
    <d v="2019-11-09T00:00:00"/>
    <s v="Yes"/>
    <n v="2"/>
    <n v="1"/>
    <n v="1"/>
    <n v="0"/>
    <s v="Doctorate"/>
    <s v="Doctorate"/>
    <s v="Doctorate"/>
    <n v="1"/>
    <s v="20-29"/>
  </r>
  <r>
    <s v="449E-0EB7"/>
    <s v="Dniren"/>
    <s v="Muddiman"/>
    <x v="0"/>
    <n v="23"/>
    <s v="Frequent Traveller"/>
    <x v="0"/>
    <n v="26"/>
    <s v="NY"/>
    <s v="White"/>
    <n v="1"/>
    <s v="Marketing"/>
    <x v="0"/>
    <s v="Married"/>
    <n v="44646"/>
    <n v="1"/>
    <x v="0"/>
    <d v="2019-11-15T00:00:00"/>
    <s v="No"/>
    <n v="3"/>
    <n v="1"/>
    <n v="2"/>
    <n v="2"/>
    <s v="No Formal Qualifications"/>
    <s v="No Formal Qualifications"/>
    <s v="No Formal Qualifications"/>
    <n v="0"/>
    <s v="20-29"/>
  </r>
  <r>
    <s v="0FC3-2572"/>
    <s v="Bertie"/>
    <s v="Tarling"/>
    <x v="0"/>
    <n v="24"/>
    <s v="No Travel "/>
    <x v="0"/>
    <n v="30"/>
    <s v="CA"/>
    <s v="White"/>
    <n v="4"/>
    <s v="Marketing "/>
    <x v="9"/>
    <s v="Divorced"/>
    <n v="28898"/>
    <n v="2"/>
    <x v="0"/>
    <d v="2019-11-15T00:00:00"/>
    <s v="No"/>
    <n v="3"/>
    <n v="0"/>
    <n v="1"/>
    <n v="0"/>
    <s v="Masters "/>
    <s v="Masters "/>
    <s v="Masters "/>
    <n v="0"/>
    <s v="20-29"/>
  </r>
  <r>
    <s v="29AC-099C"/>
    <s v="Boy"/>
    <s v="Greenall"/>
    <x v="1"/>
    <n v="24"/>
    <s v="No Travel "/>
    <x v="2"/>
    <n v="19"/>
    <s v="NY"/>
    <s v="White"/>
    <n v="1"/>
    <s v="Information Systems"/>
    <x v="2"/>
    <s v="Married"/>
    <n v="115110"/>
    <n v="2"/>
    <x v="0"/>
    <d v="2019-11-19T00:00:00"/>
    <s v="No"/>
    <n v="3"/>
    <n v="3"/>
    <n v="3"/>
    <n v="3"/>
    <s v="No Formal Qualifications"/>
    <s v="No Formal Qualifications"/>
    <s v="No Formal Qualifications"/>
    <n v="0"/>
    <s v="20-29"/>
  </r>
  <r>
    <s v="A42A-4000"/>
    <s v="Rusty"/>
    <s v="Rishbrook"/>
    <x v="1"/>
    <n v="23"/>
    <s v="No Travel "/>
    <x v="0"/>
    <n v="10"/>
    <s v="NY"/>
    <s v="White"/>
    <n v="2"/>
    <s v="Marketing "/>
    <x v="0"/>
    <s v="Single"/>
    <n v="94417"/>
    <n v="0"/>
    <x v="0"/>
    <d v="2019-12-03T00:00:00"/>
    <s v="No"/>
    <n v="3"/>
    <n v="3"/>
    <n v="3"/>
    <n v="2"/>
    <s v="High School "/>
    <s v="High School "/>
    <s v="High School "/>
    <n v="0"/>
    <s v="20-29"/>
  </r>
  <r>
    <s v="F83C-CA1D"/>
    <s v="Durante"/>
    <s v="Heap"/>
    <x v="1"/>
    <n v="21"/>
    <s v="Some Travel"/>
    <x v="2"/>
    <n v="16"/>
    <s v="CA"/>
    <s v="White"/>
    <n v="1"/>
    <s v="Information Systems"/>
    <x v="7"/>
    <s v="Single"/>
    <n v="22515"/>
    <n v="0"/>
    <x v="1"/>
    <d v="2019-12-05T00:00:00"/>
    <s v="Yes"/>
    <n v="1"/>
    <n v="0"/>
    <n v="0"/>
    <n v="0"/>
    <s v="No Formal Qualifications"/>
    <s v="No Formal Qualifications"/>
    <s v="No Formal Qualifications"/>
    <n v="1"/>
    <s v="20-29"/>
  </r>
  <r>
    <s v="08E4-D3D5"/>
    <s v="Olvan"/>
    <s v="Coatham"/>
    <x v="1"/>
    <n v="21"/>
    <s v="Some Travel"/>
    <x v="2"/>
    <n v="25"/>
    <s v="NY"/>
    <s v="White"/>
    <n v="4"/>
    <s v="Computer Science"/>
    <x v="4"/>
    <s v="Single"/>
    <n v="34634"/>
    <n v="0"/>
    <x v="0"/>
    <d v="2019-12-11T00:00:00"/>
    <s v="Yes"/>
    <n v="1"/>
    <n v="1"/>
    <n v="1"/>
    <n v="1"/>
    <s v="Masters "/>
    <s v="Masters "/>
    <s v="Masters "/>
    <n v="1"/>
    <s v="20-29"/>
  </r>
  <r>
    <s v="2B5B-7A52"/>
    <s v="Matti"/>
    <s v="Liversley"/>
    <x v="0"/>
    <n v="23"/>
    <s v="Some Travel"/>
    <x v="0"/>
    <n v="35"/>
    <s v="CA"/>
    <s v="White"/>
    <n v="3"/>
    <s v="Economics"/>
    <x v="0"/>
    <s v="Divorced"/>
    <n v="45518"/>
    <n v="1"/>
    <x v="1"/>
    <d v="2019-12-12T00:00:00"/>
    <s v="No"/>
    <n v="3"/>
    <n v="3"/>
    <n v="3"/>
    <n v="2"/>
    <s v="Bachelors "/>
    <s v="Bachelors "/>
    <s v="Bachelors "/>
    <n v="0"/>
    <s v="20-29"/>
  </r>
  <r>
    <s v="66D5-3142"/>
    <s v="Rivi"/>
    <s v="Salkild"/>
    <x v="0"/>
    <n v="30"/>
    <s v="Frequent Traveller"/>
    <x v="2"/>
    <n v="7"/>
    <s v="NY"/>
    <s v="White"/>
    <n v="3"/>
    <s v="Business Studies"/>
    <x v="4"/>
    <s v="Married"/>
    <n v="175692"/>
    <n v="1"/>
    <x v="0"/>
    <d v="2019-12-16T00:00:00"/>
    <s v="No"/>
    <n v="3"/>
    <n v="0"/>
    <n v="3"/>
    <n v="3"/>
    <s v="Bachelors "/>
    <s v="Bachelors "/>
    <s v="Bachelors "/>
    <n v="0"/>
    <s v="30-39"/>
  </r>
  <r>
    <s v="0F53-9877"/>
    <s v="Verina"/>
    <s v="Bottrell"/>
    <x v="0"/>
    <n v="24"/>
    <s v="Some Travel"/>
    <x v="2"/>
    <n v="5"/>
    <s v="CA"/>
    <s v="White"/>
    <n v="4"/>
    <s v="Computer Science"/>
    <x v="4"/>
    <s v="Single"/>
    <n v="100576"/>
    <n v="0"/>
    <x v="0"/>
    <d v="2019-12-16T00:00:00"/>
    <s v="No"/>
    <n v="3"/>
    <n v="0"/>
    <n v="0"/>
    <n v="0"/>
    <s v="Masters "/>
    <s v="Masters "/>
    <s v="Masters "/>
    <n v="0"/>
    <s v="20-29"/>
  </r>
  <r>
    <s v="4D95-ECAD"/>
    <s v="Daffy"/>
    <s v="Borlease"/>
    <x v="0"/>
    <n v="23"/>
    <s v="Some Travel"/>
    <x v="2"/>
    <n v="32"/>
    <s v="CA"/>
    <s v="White"/>
    <n v="4"/>
    <s v="Computer Science"/>
    <x v="4"/>
    <s v="Divorced"/>
    <n v="47294"/>
    <n v="3"/>
    <x v="0"/>
    <d v="2019-12-18T00:00:00"/>
    <s v="No"/>
    <n v="3"/>
    <n v="0"/>
    <n v="2"/>
    <n v="0"/>
    <s v="Masters "/>
    <s v="Masters "/>
    <s v="Masters "/>
    <n v="0"/>
    <s v="20-29"/>
  </r>
  <r>
    <s v="D8B3-30D2"/>
    <s v="Madeleine"/>
    <s v="Hazelby"/>
    <x v="0"/>
    <n v="22"/>
    <s v="Some Travel"/>
    <x v="2"/>
    <n v="40"/>
    <s v="CA"/>
    <s v="White"/>
    <n v="1"/>
    <s v="Business Studies"/>
    <x v="4"/>
    <s v="Married"/>
    <n v="53080"/>
    <n v="1"/>
    <x v="1"/>
    <d v="2019-12-24T00:00:00"/>
    <s v="Yes"/>
    <n v="2"/>
    <n v="0"/>
    <n v="1"/>
    <n v="0"/>
    <s v="No Formal Qualifications"/>
    <s v="No Formal Qualifications"/>
    <s v="No Formal Qualifications"/>
    <n v="1"/>
    <s v="20-29"/>
  </r>
  <r>
    <s v="29C2-1A3F"/>
    <s v="Wilone"/>
    <s v="Vautrey"/>
    <x v="0"/>
    <n v="30"/>
    <s v="Some Travel"/>
    <x v="2"/>
    <n v="32"/>
    <s v="CA"/>
    <s v="White"/>
    <n v="3"/>
    <s v="Information Systems"/>
    <x v="8"/>
    <s v="Married"/>
    <n v="158656"/>
    <n v="1"/>
    <x v="0"/>
    <d v="2019-12-25T00:00:00"/>
    <s v="Yes"/>
    <n v="2"/>
    <n v="1"/>
    <n v="1"/>
    <n v="2"/>
    <s v="Bachelors "/>
    <s v="Bachelors "/>
    <s v="Bachelors "/>
    <n v="1"/>
    <s v="30-39"/>
  </r>
  <r>
    <s v="BC5E-3B7B"/>
    <s v="Farra"/>
    <s v="Boffey"/>
    <x v="2"/>
    <n v="24"/>
    <s v="Some Travel"/>
    <x v="0"/>
    <n v="33"/>
    <s v="CA"/>
    <s v="White"/>
    <n v="1"/>
    <s v="Technical Degree"/>
    <x v="9"/>
    <s v="Divorced"/>
    <n v="24174"/>
    <n v="1"/>
    <x v="0"/>
    <d v="2019-12-27T00:00:00"/>
    <s v="No"/>
    <n v="3"/>
    <n v="2"/>
    <n v="2"/>
    <n v="1"/>
    <s v="No Formal Qualifications"/>
    <s v="No Formal Qualifications"/>
    <s v="No Formal Qualifications"/>
    <n v="0"/>
    <s v="20-29"/>
  </r>
  <r>
    <s v="7A1F-F1A3"/>
    <s v="Dunstan"/>
    <s v="Whife"/>
    <x v="1"/>
    <n v="23"/>
    <s v="Some Travel"/>
    <x v="0"/>
    <n v="32"/>
    <s v="CA"/>
    <s v="White"/>
    <n v="3"/>
    <s v="Economics"/>
    <x v="0"/>
    <s v="Single"/>
    <n v="84558"/>
    <n v="0"/>
    <x v="0"/>
    <d v="2019-12-30T00:00:00"/>
    <s v="No"/>
    <n v="3"/>
    <n v="3"/>
    <n v="3"/>
    <n v="2"/>
    <s v="Bachelors "/>
    <s v="Bachelors "/>
    <s v="Bachelors "/>
    <n v="0"/>
    <s v="20-29"/>
  </r>
  <r>
    <s v="AB61-2A7E"/>
    <s v="Mala"/>
    <s v="Van Castele"/>
    <x v="0"/>
    <n v="22"/>
    <s v="Some Travel"/>
    <x v="0"/>
    <n v="29"/>
    <s v="IL"/>
    <s v="White"/>
    <n v="1"/>
    <s v="Economics"/>
    <x v="9"/>
    <s v="Married"/>
    <n v="20802"/>
    <n v="0"/>
    <x v="0"/>
    <d v="2020-01-01T00:00:00"/>
    <s v="No"/>
    <n v="2"/>
    <n v="2"/>
    <n v="2"/>
    <n v="1"/>
    <s v="No Formal Qualifications"/>
    <s v="No Formal Qualifications"/>
    <s v="No Formal Qualifications"/>
    <n v="0"/>
    <s v="20-29"/>
  </r>
  <r>
    <s v="5A29-B9F4"/>
    <s v="Nicoli"/>
    <s v="Shavel"/>
    <x v="0"/>
    <n v="28"/>
    <s v="Some Travel"/>
    <x v="1"/>
    <n v="14"/>
    <s v="CA"/>
    <s v="White"/>
    <n v="4"/>
    <s v="Marketing "/>
    <x v="11"/>
    <s v="Single"/>
    <n v="149734"/>
    <n v="0"/>
    <x v="0"/>
    <d v="2020-01-02T00:00:00"/>
    <s v="No"/>
    <n v="2"/>
    <n v="0"/>
    <n v="1"/>
    <n v="1"/>
    <s v="Masters "/>
    <s v="Masters "/>
    <s v="Masters "/>
    <n v="0"/>
    <s v="20-29"/>
  </r>
  <r>
    <s v="939F-2461"/>
    <s v="Grantham"/>
    <s v="Sandercock"/>
    <x v="1"/>
    <n v="28"/>
    <s v="Some Travel"/>
    <x v="2"/>
    <n v="17"/>
    <s v="IL"/>
    <s v="White"/>
    <n v="3"/>
    <s v="Information Systems"/>
    <x v="8"/>
    <s v="Married"/>
    <n v="101210"/>
    <n v="1"/>
    <x v="0"/>
    <d v="2020-01-03T00:00:00"/>
    <s v="No"/>
    <n v="2"/>
    <n v="2"/>
    <n v="2"/>
    <n v="1"/>
    <s v="Bachelors "/>
    <s v="Bachelors "/>
    <s v="Bachelors "/>
    <n v="0"/>
    <s v="20-29"/>
  </r>
  <r>
    <s v="98EE-8547"/>
    <s v="Lock"/>
    <s v="Pierson"/>
    <x v="1"/>
    <n v="31"/>
    <s v="Some Travel"/>
    <x v="2"/>
    <n v="44"/>
    <s v="CA"/>
    <s v="White"/>
    <n v="3"/>
    <s v="Information Systems"/>
    <x v="10"/>
    <s v="Married"/>
    <n v="531629"/>
    <n v="1"/>
    <x v="1"/>
    <d v="2020-01-06T00:00:00"/>
    <s v="Yes"/>
    <n v="1"/>
    <n v="0"/>
    <n v="1"/>
    <n v="1"/>
    <s v="Bachelors "/>
    <s v="Bachelors "/>
    <s v="Bachelors "/>
    <n v="1"/>
    <s v="30-39"/>
  </r>
  <r>
    <s v="E071-137E"/>
    <s v="Isacco"/>
    <s v="Halden"/>
    <x v="1"/>
    <n v="24"/>
    <s v="Some Travel"/>
    <x v="0"/>
    <n v="17"/>
    <s v="IL"/>
    <s v="White"/>
    <n v="2"/>
    <s v="Marketing "/>
    <x v="9"/>
    <s v="Married"/>
    <n v="63234"/>
    <n v="1"/>
    <x v="0"/>
    <d v="2020-01-08T00:00:00"/>
    <s v="No"/>
    <n v="2"/>
    <n v="1"/>
    <n v="2"/>
    <n v="2"/>
    <s v="High School "/>
    <s v="High School "/>
    <s v="High School "/>
    <n v="0"/>
    <s v="20-29"/>
  </r>
  <r>
    <s v="BD33-DB2F"/>
    <s v="Hashim"/>
    <s v="Stolze"/>
    <x v="1"/>
    <n v="24"/>
    <s v="Some Travel"/>
    <x v="2"/>
    <n v="17"/>
    <s v="NY"/>
    <s v="White"/>
    <n v="5"/>
    <s v="Computer Science"/>
    <x v="5"/>
    <s v="Divorced"/>
    <n v="63747"/>
    <n v="1"/>
    <x v="0"/>
    <d v="2020-01-09T00:00:00"/>
    <s v="No"/>
    <n v="2"/>
    <n v="1"/>
    <n v="1"/>
    <n v="0"/>
    <s v="Doctorate"/>
    <s v="Doctorate"/>
    <s v="Doctorate"/>
    <n v="0"/>
    <s v="20-29"/>
  </r>
  <r>
    <s v="5000-8203"/>
    <s v="Otha"/>
    <s v="Lehrmann"/>
    <x v="0"/>
    <n v="38"/>
    <s v="Some Travel"/>
    <x v="2"/>
    <n v="10"/>
    <s v="CA"/>
    <s v="White"/>
    <n v="4"/>
    <s v="Information Systems"/>
    <x v="10"/>
    <s v="Divorced"/>
    <n v="445906"/>
    <n v="2"/>
    <x v="1"/>
    <d v="2020-01-13T00:00:00"/>
    <s v="No"/>
    <n v="2"/>
    <n v="0"/>
    <n v="1"/>
    <n v="2"/>
    <s v="Masters "/>
    <s v="Masters "/>
    <s v="Masters "/>
    <n v="0"/>
    <s v="30-39"/>
  </r>
  <r>
    <s v="626D-4669"/>
    <s v="Gerardo"/>
    <s v="Geggus"/>
    <x v="1"/>
    <n v="23"/>
    <s v="Frequent Traveller"/>
    <x v="2"/>
    <n v="35"/>
    <s v="CA"/>
    <s v="White"/>
    <n v="4"/>
    <s v="Information Systems"/>
    <x v="8"/>
    <s v="Single"/>
    <n v="51906"/>
    <n v="0"/>
    <x v="0"/>
    <d v="2020-01-14T00:00:00"/>
    <s v="No"/>
    <n v="2"/>
    <n v="1"/>
    <n v="1"/>
    <n v="1"/>
    <s v="Masters "/>
    <s v="Masters "/>
    <s v="Masters "/>
    <n v="0"/>
    <s v="20-29"/>
  </r>
  <r>
    <s v="A067-9F4F"/>
    <s v="Murray"/>
    <s v="Rooms"/>
    <x v="1"/>
    <n v="34"/>
    <s v="Some Travel"/>
    <x v="0"/>
    <n v="26"/>
    <s v="NY"/>
    <s v="White"/>
    <n v="4"/>
    <s v="Marketing "/>
    <x v="0"/>
    <s v="Married"/>
    <n v="215246"/>
    <n v="1"/>
    <x v="0"/>
    <d v="2020-01-15T00:00:00"/>
    <s v="No"/>
    <n v="2"/>
    <n v="0"/>
    <n v="0"/>
    <n v="0"/>
    <s v="Masters "/>
    <s v="Masters "/>
    <s v="Masters "/>
    <n v="0"/>
    <s v="30-39"/>
  </r>
  <r>
    <s v="E210-F193"/>
    <s v="Karia"/>
    <s v="Bartunek"/>
    <x v="0"/>
    <n v="28"/>
    <s v="Some Travel"/>
    <x v="2"/>
    <n v="38"/>
    <s v="CA"/>
    <s v="White"/>
    <n v="3"/>
    <s v="Computer Science"/>
    <x v="5"/>
    <s v="Divorced"/>
    <n v="151229"/>
    <n v="1"/>
    <x v="0"/>
    <d v="2020-01-16T00:00:00"/>
    <s v="No"/>
    <n v="2"/>
    <n v="0"/>
    <n v="0"/>
    <n v="2"/>
    <s v="Bachelors "/>
    <s v="Bachelors "/>
    <s v="Bachelors "/>
    <n v="0"/>
    <s v="20-29"/>
  </r>
  <r>
    <s v="9DB8-F763"/>
    <s v="Marlin"/>
    <s v="Upcraft"/>
    <x v="1"/>
    <n v="23"/>
    <s v="Some Travel"/>
    <x v="2"/>
    <n v="37"/>
    <s v="CA"/>
    <s v="White"/>
    <n v="4"/>
    <s v="Information Systems"/>
    <x v="4"/>
    <s v="Married"/>
    <n v="26406"/>
    <n v="3"/>
    <x v="0"/>
    <d v="2020-01-17T00:00:00"/>
    <s v="No"/>
    <n v="2"/>
    <n v="0"/>
    <n v="1"/>
    <n v="0"/>
    <s v="Masters "/>
    <s v="Masters "/>
    <s v="Masters "/>
    <n v="0"/>
    <s v="20-29"/>
  </r>
  <r>
    <s v="E28D-424B"/>
    <s v="Buddie"/>
    <s v="Ainger"/>
    <x v="2"/>
    <n v="22"/>
    <s v="Some Travel"/>
    <x v="0"/>
    <n v="5"/>
    <s v="NY"/>
    <s v="White"/>
    <n v="1"/>
    <s v="Economics"/>
    <x v="0"/>
    <s v="Single"/>
    <n v="64689"/>
    <n v="0"/>
    <x v="0"/>
    <d v="2020-01-19T00:00:00"/>
    <s v="Yes"/>
    <n v="1"/>
    <n v="1"/>
    <n v="1"/>
    <n v="1"/>
    <s v="No Formal Qualifications"/>
    <s v="No Formal Qualifications"/>
    <s v="No Formal Qualifications"/>
    <n v="1"/>
    <s v="20-29"/>
  </r>
  <r>
    <s v="D8F6-DED3"/>
    <s v="Myrvyn"/>
    <s v="Edsell"/>
    <x v="1"/>
    <n v="20"/>
    <s v="Some Travel"/>
    <x v="2"/>
    <n v="23"/>
    <s v="CA"/>
    <s v="White"/>
    <n v="1"/>
    <s v="Computer Science"/>
    <x v="7"/>
    <s v="Married"/>
    <n v="26752"/>
    <n v="0"/>
    <x v="1"/>
    <d v="2020-01-28T00:00:00"/>
    <s v="No"/>
    <n v="2"/>
    <n v="0"/>
    <n v="1"/>
    <n v="1"/>
    <s v="No Formal Qualifications"/>
    <s v="No Formal Qualifications"/>
    <s v="No Formal Qualifications"/>
    <n v="0"/>
    <s v="20-29"/>
  </r>
  <r>
    <s v="4BE1-4A7B"/>
    <s v="Alexander"/>
    <s v="Winstone"/>
    <x v="1"/>
    <n v="23"/>
    <s v="Frequent Traveller"/>
    <x v="2"/>
    <n v="10"/>
    <s v="NY"/>
    <s v="White"/>
    <n v="3"/>
    <s v="Information Systems"/>
    <x v="7"/>
    <s v="Divorced"/>
    <n v="44566"/>
    <n v="0"/>
    <x v="1"/>
    <d v="2020-01-29T00:00:00"/>
    <s v="Yes"/>
    <n v="1"/>
    <n v="0"/>
    <n v="0"/>
    <n v="0"/>
    <s v="Bachelors "/>
    <s v="Bachelors "/>
    <s v="Bachelors "/>
    <n v="1"/>
    <s v="20-29"/>
  </r>
  <r>
    <s v="8182-6AE6"/>
    <s v="Wandis"/>
    <s v="Needs"/>
    <x v="0"/>
    <n v="25"/>
    <s v="Some Travel"/>
    <x v="0"/>
    <n v="32"/>
    <s v="NY"/>
    <s v="White"/>
    <n v="2"/>
    <s v="Marketing "/>
    <x v="0"/>
    <s v="Married"/>
    <n v="82357"/>
    <n v="1"/>
    <x v="1"/>
    <d v="2020-02-03T00:00:00"/>
    <s v="No"/>
    <n v="2"/>
    <n v="2"/>
    <n v="2"/>
    <n v="2"/>
    <s v="High School "/>
    <s v="High School "/>
    <s v="High School "/>
    <n v="0"/>
    <s v="20-29"/>
  </r>
  <r>
    <s v="E55E-9436"/>
    <s v="Wayland"/>
    <s v="McGlade"/>
    <x v="1"/>
    <n v="41"/>
    <s v="No Travel "/>
    <x v="0"/>
    <n v="34"/>
    <s v="CA"/>
    <s v="White"/>
    <n v="3"/>
    <s v="Marketing "/>
    <x v="0"/>
    <s v="Single"/>
    <n v="326896"/>
    <n v="0"/>
    <x v="1"/>
    <d v="2020-02-03T00:00:00"/>
    <s v="Yes"/>
    <n v="2"/>
    <n v="1"/>
    <n v="1"/>
    <n v="1"/>
    <s v="Bachelors "/>
    <s v="Bachelors "/>
    <s v="Bachelors "/>
    <n v="1"/>
    <s v="40-49"/>
  </r>
  <r>
    <s v="F9BA-C7C8"/>
    <s v="Celina"/>
    <s v="Pawlata"/>
    <x v="0"/>
    <n v="23"/>
    <s v="Some Travel"/>
    <x v="2"/>
    <n v="12"/>
    <s v="NY"/>
    <s v="White"/>
    <n v="3"/>
    <s v="Computer Science"/>
    <x v="4"/>
    <s v="Married"/>
    <n v="27347"/>
    <n v="1"/>
    <x v="0"/>
    <d v="2020-02-07T00:00:00"/>
    <s v="No"/>
    <n v="2"/>
    <n v="0"/>
    <n v="0"/>
    <n v="0"/>
    <s v="Bachelors "/>
    <s v="Bachelors "/>
    <s v="Bachelors "/>
    <n v="0"/>
    <s v="20-29"/>
  </r>
  <r>
    <s v="9ED3-ED64"/>
    <s v="Horatio"/>
    <s v="Cristoferi"/>
    <x v="1"/>
    <n v="21"/>
    <s v="Some Travel"/>
    <x v="2"/>
    <n v="29"/>
    <s v="NY"/>
    <s v="White"/>
    <n v="4"/>
    <s v="Information Systems"/>
    <x v="7"/>
    <s v="Divorced"/>
    <n v="31618"/>
    <n v="2"/>
    <x v="0"/>
    <d v="2020-02-13T00:00:00"/>
    <s v="No"/>
    <n v="2"/>
    <n v="0"/>
    <n v="2"/>
    <n v="2"/>
    <s v="Masters "/>
    <s v="Masters "/>
    <s v="Masters "/>
    <n v="0"/>
    <s v="20-29"/>
  </r>
  <r>
    <s v="9A9B-630B"/>
    <s v="Nikolaus"/>
    <s v="Grimmer"/>
    <x v="3"/>
    <n v="23"/>
    <s v="Some Travel"/>
    <x v="2"/>
    <n v="25"/>
    <s v="IL"/>
    <s v="White"/>
    <n v="4"/>
    <s v="Information Systems"/>
    <x v="5"/>
    <s v="Married"/>
    <n v="57285"/>
    <n v="0"/>
    <x v="0"/>
    <d v="2020-02-13T00:00:00"/>
    <s v="No"/>
    <n v="2"/>
    <n v="2"/>
    <n v="2"/>
    <n v="0"/>
    <s v="Masters "/>
    <s v="Masters "/>
    <s v="Masters "/>
    <n v="0"/>
    <s v="20-29"/>
  </r>
  <r>
    <s v="3C73-12A0"/>
    <s v="Andee"/>
    <s v="Kenen"/>
    <x v="0"/>
    <n v="22"/>
    <s v="Some Travel"/>
    <x v="2"/>
    <n v="6"/>
    <s v="CA"/>
    <s v="White"/>
    <n v="2"/>
    <s v="Information Systems"/>
    <x v="8"/>
    <s v="Single"/>
    <n v="70766"/>
    <n v="0"/>
    <x v="0"/>
    <d v="2020-02-15T00:00:00"/>
    <s v="No"/>
    <n v="2"/>
    <n v="0"/>
    <n v="2"/>
    <n v="1"/>
    <s v="High School "/>
    <s v="High School "/>
    <s v="High School "/>
    <n v="0"/>
    <s v="20-29"/>
  </r>
  <r>
    <s v="D9AE-B32C"/>
    <s v="Leelah"/>
    <s v="Ludvigsen"/>
    <x v="0"/>
    <n v="22"/>
    <s v="Some Travel"/>
    <x v="2"/>
    <n v="7"/>
    <s v="CA"/>
    <s v="White"/>
    <n v="1"/>
    <s v="Computer Science"/>
    <x v="7"/>
    <s v="Single"/>
    <n v="28359"/>
    <n v="0"/>
    <x v="0"/>
    <d v="2020-02-23T00:00:00"/>
    <s v="No"/>
    <n v="2"/>
    <n v="1"/>
    <n v="2"/>
    <n v="1"/>
    <s v="No Formal Qualifications"/>
    <s v="No Formal Qualifications"/>
    <s v="No Formal Qualifications"/>
    <n v="0"/>
    <s v="20-29"/>
  </r>
  <r>
    <s v="A072-D80B"/>
    <s v="Corbett"/>
    <s v="Weippert"/>
    <x v="1"/>
    <n v="27"/>
    <s v="Some Travel"/>
    <x v="0"/>
    <n v="17"/>
    <s v="CA"/>
    <s v="White"/>
    <n v="5"/>
    <s v="Marketing"/>
    <x v="0"/>
    <s v="Married"/>
    <n v="81294"/>
    <n v="1"/>
    <x v="0"/>
    <d v="2020-02-24T00:00:00"/>
    <s v="No"/>
    <n v="2"/>
    <n v="2"/>
    <n v="2"/>
    <n v="2"/>
    <s v="Doctorate"/>
    <s v="Doctorate"/>
    <s v="Doctorate"/>
    <n v="0"/>
    <s v="20-29"/>
  </r>
  <r>
    <s v="781F-6C21"/>
    <s v="Eugenio"/>
    <s v="Sempill"/>
    <x v="1"/>
    <n v="43"/>
    <s v="Frequent Traveller"/>
    <x v="0"/>
    <n v="21"/>
    <s v="NY"/>
    <s v="White"/>
    <n v="3"/>
    <s v="Marketing "/>
    <x v="6"/>
    <s v="Divorced"/>
    <n v="327587"/>
    <n v="1"/>
    <x v="1"/>
    <d v="2020-02-25T00:00:00"/>
    <s v="No"/>
    <n v="2"/>
    <n v="1"/>
    <n v="1"/>
    <n v="1"/>
    <s v="Bachelors "/>
    <s v="Bachelors "/>
    <s v="Bachelors "/>
    <n v="0"/>
    <s v="40-49"/>
  </r>
  <r>
    <s v="E8D3-CABA"/>
    <s v="Georg"/>
    <s v="Nunnery"/>
    <x v="1"/>
    <n v="20"/>
    <s v="Some Travel"/>
    <x v="2"/>
    <n v="37"/>
    <s v="CA"/>
    <s v="White"/>
    <n v="4"/>
    <s v="Computer Science"/>
    <x v="4"/>
    <s v="Married"/>
    <n v="35654"/>
    <n v="2"/>
    <x v="0"/>
    <d v="2020-02-27T00:00:00"/>
    <s v="No"/>
    <n v="2"/>
    <n v="2"/>
    <n v="2"/>
    <n v="1"/>
    <s v="Masters "/>
    <s v="Masters "/>
    <s v="Masters "/>
    <n v="0"/>
    <s v="20-29"/>
  </r>
  <r>
    <s v="666A-B076"/>
    <s v="Huberto"/>
    <s v="Coppins"/>
    <x v="1"/>
    <n v="26"/>
    <s v="No Travel "/>
    <x v="2"/>
    <n v="10"/>
    <s v="NY"/>
    <s v="White"/>
    <n v="2"/>
    <s v="Computer Science"/>
    <x v="7"/>
    <s v="Single"/>
    <n v="62828"/>
    <n v="0"/>
    <x v="0"/>
    <d v="2020-02-28T00:00:00"/>
    <s v="No"/>
    <n v="2"/>
    <n v="0"/>
    <n v="2"/>
    <n v="1"/>
    <s v="High School "/>
    <s v="High School "/>
    <s v="High School "/>
    <n v="0"/>
    <s v="20-29"/>
  </r>
  <r>
    <s v="6010-A052"/>
    <s v="Florry"/>
    <s v="Pohlak"/>
    <x v="0"/>
    <n v="20"/>
    <s v="Some Travel"/>
    <x v="2"/>
    <n v="26"/>
    <s v="NY"/>
    <s v="White"/>
    <n v="4"/>
    <s v="Business Studies"/>
    <x v="7"/>
    <s v="Single"/>
    <n v="37094"/>
    <n v="0"/>
    <x v="0"/>
    <d v="2020-03-02T00:00:00"/>
    <s v="Yes"/>
    <n v="1"/>
    <n v="0"/>
    <n v="0"/>
    <n v="0"/>
    <s v="Masters "/>
    <s v="Masters "/>
    <s v="Masters "/>
    <n v="1"/>
    <s v="20-29"/>
  </r>
  <r>
    <s v="F0C3-4859"/>
    <s v="Lenka"/>
    <s v="Ciotti"/>
    <x v="2"/>
    <n v="21"/>
    <s v="Some Travel"/>
    <x v="2"/>
    <n v="37"/>
    <s v="IL"/>
    <s v="White"/>
    <n v="3"/>
    <s v="Information Systems"/>
    <x v="7"/>
    <s v="Married"/>
    <n v="41476"/>
    <n v="1"/>
    <x v="1"/>
    <d v="2020-03-03T00:00:00"/>
    <s v="Yes"/>
    <n v="0"/>
    <n v="0"/>
    <n v="0"/>
    <n v="0"/>
    <s v="Bachelors "/>
    <s v="Bachelors "/>
    <s v="Bachelors "/>
    <n v="1"/>
    <s v="20-29"/>
  </r>
  <r>
    <s v="0317-B7BC"/>
    <s v="Ronni"/>
    <s v="Beechcraft"/>
    <x v="0"/>
    <n v="23"/>
    <s v="Some Travel"/>
    <x v="0"/>
    <n v="7"/>
    <s v="IL"/>
    <s v="White"/>
    <n v="4"/>
    <s v="Marketing"/>
    <x v="0"/>
    <s v="Married"/>
    <n v="72622"/>
    <n v="0"/>
    <x v="1"/>
    <d v="2020-03-03T00:00:00"/>
    <s v="No"/>
    <n v="2"/>
    <n v="0"/>
    <n v="2"/>
    <n v="0"/>
    <s v="Masters "/>
    <s v="Masters "/>
    <s v="Masters "/>
    <n v="0"/>
    <s v="20-29"/>
  </r>
  <r>
    <s v="AFA8-5058"/>
    <s v="Dame"/>
    <s v="Andrzejewski"/>
    <x v="1"/>
    <n v="20"/>
    <s v="Some Travel"/>
    <x v="1"/>
    <n v="8"/>
    <s v="CA"/>
    <s v="White"/>
    <n v="4"/>
    <s v="Human Resources"/>
    <x v="3"/>
    <s v="Divorced"/>
    <n v="26186"/>
    <n v="0"/>
    <x v="1"/>
    <d v="2020-03-06T00:00:00"/>
    <s v="Yes"/>
    <n v="2"/>
    <n v="0"/>
    <n v="0"/>
    <n v="0"/>
    <s v="Masters "/>
    <s v="Masters "/>
    <s v="Masters "/>
    <n v="1"/>
    <s v="20-29"/>
  </r>
  <r>
    <s v="0E85-1FC5"/>
    <s v="Pet"/>
    <s v="Dow"/>
    <x v="0"/>
    <n v="31"/>
    <s v="Some Travel"/>
    <x v="2"/>
    <n v="21"/>
    <s v="CA"/>
    <s v="White"/>
    <n v="3"/>
    <s v="Computer Science"/>
    <x v="8"/>
    <s v="Divorced"/>
    <n v="127182"/>
    <n v="1"/>
    <x v="0"/>
    <d v="2020-03-08T00:00:00"/>
    <s v="No"/>
    <n v="2"/>
    <n v="0"/>
    <n v="0"/>
    <n v="1"/>
    <s v="Bachelors "/>
    <s v="Bachelors "/>
    <s v="Bachelors "/>
    <n v="0"/>
    <s v="30-39"/>
  </r>
  <r>
    <s v="874D-5D4C"/>
    <s v="Clywd"/>
    <s v="Burril"/>
    <x v="1"/>
    <n v="40"/>
    <s v="No Travel "/>
    <x v="2"/>
    <n v="31"/>
    <s v="CA"/>
    <s v="White"/>
    <n v="4"/>
    <s v="Computer Science"/>
    <x v="10"/>
    <s v="Divorced"/>
    <n v="456418"/>
    <n v="1"/>
    <x v="0"/>
    <d v="2020-03-09T00:00:00"/>
    <s v="No"/>
    <n v="2"/>
    <n v="0"/>
    <n v="2"/>
    <n v="2"/>
    <s v="Masters "/>
    <s v="Masters "/>
    <s v="Masters "/>
    <n v="0"/>
    <s v="40-49"/>
  </r>
  <r>
    <s v="6C42-A719"/>
    <s v="Bird"/>
    <s v="Libbey"/>
    <x v="0"/>
    <n v="22"/>
    <s v="Some Travel"/>
    <x v="2"/>
    <n v="37"/>
    <s v="NY"/>
    <s v="White"/>
    <n v="3"/>
    <s v="Computer Science"/>
    <x v="4"/>
    <s v="Single"/>
    <n v="30442"/>
    <n v="0"/>
    <x v="1"/>
    <d v="2020-03-11T00:00:00"/>
    <s v="Yes"/>
    <n v="0"/>
    <n v="0"/>
    <n v="0"/>
    <n v="0"/>
    <s v="Bachelors "/>
    <s v="Bachelors "/>
    <s v="Bachelors "/>
    <n v="1"/>
    <s v="20-29"/>
  </r>
  <r>
    <s v="7BA2-EBDE"/>
    <s v="Borden"/>
    <s v="McGuiness"/>
    <x v="1"/>
    <n v="31"/>
    <s v="No Travel "/>
    <x v="0"/>
    <n v="6"/>
    <s v="NY"/>
    <s v="White"/>
    <n v="4"/>
    <s v="Marketing "/>
    <x v="6"/>
    <s v="Single"/>
    <n v="321244"/>
    <n v="0"/>
    <x v="1"/>
    <d v="2020-03-16T00:00:00"/>
    <s v="No"/>
    <n v="2"/>
    <n v="2"/>
    <n v="2"/>
    <n v="0"/>
    <s v="Masters "/>
    <s v="Masters "/>
    <s v="Masters "/>
    <n v="0"/>
    <s v="30-39"/>
  </r>
  <r>
    <s v="00B0-F199"/>
    <s v="Trueman"/>
    <s v="Jirasek"/>
    <x v="1"/>
    <n v="23"/>
    <s v="Some Travel"/>
    <x v="0"/>
    <n v="35"/>
    <s v="CA"/>
    <s v="White"/>
    <n v="1"/>
    <s v="Marketing "/>
    <x v="0"/>
    <s v="Married"/>
    <n v="97824"/>
    <n v="1"/>
    <x v="1"/>
    <d v="2020-03-16T00:00:00"/>
    <s v="Yes"/>
    <n v="1"/>
    <n v="0"/>
    <n v="1"/>
    <n v="0"/>
    <s v="No Formal Qualifications"/>
    <s v="No Formal Qualifications"/>
    <s v="No Formal Qualifications"/>
    <n v="1"/>
    <s v="20-29"/>
  </r>
  <r>
    <s v="6C7E-91CB"/>
    <s v="Jamie"/>
    <s v="Blazejewski"/>
    <x v="1"/>
    <n v="28"/>
    <s v="No Travel "/>
    <x v="0"/>
    <n v="37"/>
    <s v="IL"/>
    <s v="White"/>
    <n v="4"/>
    <s v="Marketing"/>
    <x v="0"/>
    <s v="Single"/>
    <n v="95591"/>
    <n v="0"/>
    <x v="0"/>
    <d v="2020-03-19T00:00:00"/>
    <s v="No"/>
    <n v="2"/>
    <n v="2"/>
    <n v="2"/>
    <n v="2"/>
    <s v="Masters "/>
    <s v="Masters "/>
    <s v="Masters "/>
    <n v="0"/>
    <s v="20-29"/>
  </r>
  <r>
    <s v="4D07-1452"/>
    <s v="Duke"/>
    <s v="Whittenbury"/>
    <x v="1"/>
    <n v="21"/>
    <s v="Frequent Traveller"/>
    <x v="0"/>
    <n v="42"/>
    <s v="NY"/>
    <s v="White"/>
    <n v="2"/>
    <s v="Marketing "/>
    <x v="0"/>
    <s v="Single"/>
    <n v="46750"/>
    <n v="0"/>
    <x v="0"/>
    <d v="2020-03-23T00:00:00"/>
    <s v="No"/>
    <n v="2"/>
    <n v="0"/>
    <n v="0"/>
    <n v="0"/>
    <s v="High School "/>
    <s v="High School "/>
    <s v="High School "/>
    <n v="0"/>
    <s v="20-29"/>
  </r>
  <r>
    <s v="68D1-F434"/>
    <s v="Alick"/>
    <s v="Heasley"/>
    <x v="1"/>
    <n v="40"/>
    <s v="Frequent Traveller"/>
    <x v="2"/>
    <n v="1"/>
    <s v="CA"/>
    <s v="White"/>
    <n v="4"/>
    <s v="Information Systems"/>
    <x v="2"/>
    <s v="Divorced"/>
    <n v="314668"/>
    <n v="1"/>
    <x v="0"/>
    <d v="2020-03-23T00:00:00"/>
    <s v="No"/>
    <n v="2"/>
    <n v="0"/>
    <n v="2"/>
    <n v="2"/>
    <s v="Masters "/>
    <s v="Masters "/>
    <s v="Masters "/>
    <n v="0"/>
    <s v="40-49"/>
  </r>
  <r>
    <s v="D4DF-162F"/>
    <s v="Perla"/>
    <s v="Vivyan"/>
    <x v="0"/>
    <n v="36"/>
    <s v="Some Travel"/>
    <x v="2"/>
    <n v="2"/>
    <s v="IL"/>
    <s v="White"/>
    <n v="2"/>
    <s v="Computer Science"/>
    <x v="2"/>
    <s v="Divorced"/>
    <n v="247730"/>
    <n v="1"/>
    <x v="1"/>
    <d v="2020-03-25T00:00:00"/>
    <s v="No"/>
    <n v="2"/>
    <n v="2"/>
    <n v="2"/>
    <n v="0"/>
    <s v="High School "/>
    <s v="High School "/>
    <s v="High School "/>
    <n v="0"/>
    <s v="30-39"/>
  </r>
  <r>
    <s v="BC43-E62B"/>
    <s v="Bria"/>
    <s v="Hendrickx"/>
    <x v="0"/>
    <n v="23"/>
    <s v="Some Travel"/>
    <x v="2"/>
    <n v="34"/>
    <s v="IL"/>
    <s v="White"/>
    <n v="2"/>
    <s v="Computer Science"/>
    <x v="7"/>
    <s v="Married"/>
    <n v="29956"/>
    <n v="0"/>
    <x v="0"/>
    <d v="2020-03-25T00:00:00"/>
    <s v="No"/>
    <n v="2"/>
    <n v="1"/>
    <n v="1"/>
    <n v="2"/>
    <s v="High School "/>
    <s v="High School "/>
    <s v="High School "/>
    <n v="0"/>
    <s v="20-29"/>
  </r>
  <r>
    <s v="017D-0B97"/>
    <s v="Maison"/>
    <s v="Werndley"/>
    <x v="1"/>
    <n v="20"/>
    <s v="Some Travel"/>
    <x v="0"/>
    <n v="39"/>
    <s v="CA"/>
    <s v="White"/>
    <n v="2"/>
    <s v="Technical Degree"/>
    <x v="9"/>
    <s v="Married"/>
    <n v="22558"/>
    <n v="1"/>
    <x v="1"/>
    <d v="2020-03-30T00:00:00"/>
    <s v="No"/>
    <n v="2"/>
    <n v="0"/>
    <n v="1"/>
    <n v="1"/>
    <s v="High School "/>
    <s v="High School "/>
    <s v="High School "/>
    <n v="0"/>
    <s v="20-29"/>
  </r>
  <r>
    <s v="5AD2-3B02"/>
    <s v="Bourke"/>
    <s v="Laird-Craig"/>
    <x v="1"/>
    <n v="25"/>
    <s v="Frequent Traveller"/>
    <x v="2"/>
    <n v="40"/>
    <s v="NY"/>
    <s v="White"/>
    <n v="4"/>
    <s v="Business Studies"/>
    <x v="8"/>
    <s v="Married"/>
    <n v="67200"/>
    <n v="3"/>
    <x v="0"/>
    <d v="2020-04-05T00:00:00"/>
    <s v="No"/>
    <n v="2"/>
    <n v="2"/>
    <n v="2"/>
    <n v="2"/>
    <s v="Masters "/>
    <s v="Masters "/>
    <s v="Masters "/>
    <n v="0"/>
    <s v="20-29"/>
  </r>
  <r>
    <s v="138C-2AEA"/>
    <s v="Susannah"/>
    <s v="Gorioli"/>
    <x v="0"/>
    <n v="22"/>
    <s v="No Travel "/>
    <x v="0"/>
    <n v="16"/>
    <s v="IL"/>
    <s v="White"/>
    <n v="1"/>
    <s v="Marketing "/>
    <x v="9"/>
    <s v="Divorced"/>
    <n v="27053"/>
    <n v="3"/>
    <x v="0"/>
    <d v="2020-04-10T00:00:00"/>
    <s v="No"/>
    <n v="2"/>
    <n v="0"/>
    <n v="2"/>
    <n v="2"/>
    <s v="No Formal Qualifications"/>
    <s v="No Formal Qualifications"/>
    <s v="No Formal Qualifications"/>
    <n v="0"/>
    <s v="20-29"/>
  </r>
  <r>
    <s v="4049-CF88"/>
    <s v="Jose"/>
    <s v="Davydzenko"/>
    <x v="1"/>
    <n v="20"/>
    <s v="Some Travel"/>
    <x v="2"/>
    <n v="25"/>
    <s v="NY"/>
    <s v="White"/>
    <n v="4"/>
    <s v="Information Systems"/>
    <x v="4"/>
    <s v="Married"/>
    <n v="40341"/>
    <n v="1"/>
    <x v="1"/>
    <d v="2020-04-18T00:00:00"/>
    <s v="No"/>
    <n v="2"/>
    <n v="1"/>
    <n v="1"/>
    <n v="2"/>
    <s v="Masters "/>
    <s v="Masters "/>
    <s v="Masters "/>
    <n v="0"/>
    <s v="20-29"/>
  </r>
  <r>
    <s v="0FEB-B474"/>
    <s v="Morten"/>
    <s v="Ridgley"/>
    <x v="1"/>
    <n v="44"/>
    <s v="Some Travel"/>
    <x v="0"/>
    <n v="35"/>
    <s v="NY"/>
    <s v="White"/>
    <n v="3"/>
    <s v="Marketing "/>
    <x v="0"/>
    <s v="Divorced"/>
    <n v="223619"/>
    <n v="1"/>
    <x v="0"/>
    <d v="2020-04-24T00:00:00"/>
    <s v="No"/>
    <n v="2"/>
    <n v="0"/>
    <n v="2"/>
    <n v="1"/>
    <s v="Bachelors "/>
    <s v="Bachelors "/>
    <s v="Bachelors "/>
    <n v="0"/>
    <s v="40-49"/>
  </r>
  <r>
    <s v="CC1D-5D73"/>
    <s v="Tillie"/>
    <s v="Cregin"/>
    <x v="0"/>
    <n v="40"/>
    <s v="No Travel "/>
    <x v="0"/>
    <n v="9"/>
    <s v="CA"/>
    <s v="White"/>
    <n v="3"/>
    <s v="Marketing "/>
    <x v="6"/>
    <s v="Single"/>
    <n v="254535"/>
    <n v="0"/>
    <x v="0"/>
    <d v="2020-04-25T00:00:00"/>
    <s v="No"/>
    <n v="2"/>
    <n v="2"/>
    <n v="2"/>
    <n v="1"/>
    <s v="Bachelors "/>
    <s v="Bachelors "/>
    <s v="Bachelors "/>
    <n v="0"/>
    <s v="40-49"/>
  </r>
  <r>
    <s v="AACC-8B93"/>
    <s v="Kaleena"/>
    <s v="Ellsbury"/>
    <x v="0"/>
    <n v="36"/>
    <s v="Frequent Traveller"/>
    <x v="2"/>
    <n v="2"/>
    <s v="CA"/>
    <s v="White"/>
    <n v="3"/>
    <s v="Information Systems"/>
    <x v="10"/>
    <s v="Divorced"/>
    <n v="462687"/>
    <n v="1"/>
    <x v="0"/>
    <d v="2020-04-27T00:00:00"/>
    <s v="No"/>
    <n v="2"/>
    <n v="2"/>
    <n v="2"/>
    <n v="0"/>
    <s v="Bachelors "/>
    <s v="Bachelors "/>
    <s v="Bachelors "/>
    <n v="0"/>
    <s v="30-39"/>
  </r>
  <r>
    <s v="D962-9E69"/>
    <s v="Esteban"/>
    <s v="Guiraud"/>
    <x v="1"/>
    <n v="23"/>
    <s v="Some Travel"/>
    <x v="2"/>
    <n v="33"/>
    <s v="CA"/>
    <s v="White"/>
    <n v="1"/>
    <s v="Computer Science"/>
    <x v="4"/>
    <s v="Divorced"/>
    <n v="29490"/>
    <n v="1"/>
    <x v="0"/>
    <d v="2020-04-27T00:00:00"/>
    <s v="No"/>
    <n v="2"/>
    <n v="0"/>
    <n v="1"/>
    <n v="2"/>
    <s v="No Formal Qualifications"/>
    <s v="No Formal Qualifications"/>
    <s v="No Formal Qualifications"/>
    <n v="0"/>
    <s v="20-29"/>
  </r>
  <r>
    <s v="0592-D909"/>
    <s v="Jamill"/>
    <s v="Woolger"/>
    <x v="1"/>
    <n v="39"/>
    <s v="Frequent Traveller"/>
    <x v="2"/>
    <n v="42"/>
    <s v="NY"/>
    <s v="White"/>
    <n v="3"/>
    <s v="Information Systems"/>
    <x v="10"/>
    <s v="Married"/>
    <n v="495977"/>
    <n v="1"/>
    <x v="0"/>
    <d v="2020-04-30T00:00:00"/>
    <s v="No"/>
    <n v="2"/>
    <n v="2"/>
    <n v="2"/>
    <n v="0"/>
    <s v="Bachelors "/>
    <s v="Bachelors "/>
    <s v="Bachelors "/>
    <n v="0"/>
    <s v="30-39"/>
  </r>
  <r>
    <s v="3E42-57C8"/>
    <s v="Quinton"/>
    <s v="McAllister"/>
    <x v="1"/>
    <n v="23"/>
    <s v="Some Travel"/>
    <x v="0"/>
    <n v="12"/>
    <s v="IL"/>
    <s v="White"/>
    <n v="3"/>
    <s v="Marketing"/>
    <x v="0"/>
    <s v="Single"/>
    <n v="84985"/>
    <n v="0"/>
    <x v="0"/>
    <d v="2020-05-01T00:00:00"/>
    <s v="Yes"/>
    <n v="1"/>
    <n v="0"/>
    <n v="0"/>
    <n v="0"/>
    <s v="Bachelors "/>
    <s v="Bachelors "/>
    <s v="Bachelors "/>
    <n v="1"/>
    <s v="20-29"/>
  </r>
  <r>
    <s v="6313-8E62"/>
    <s v="Addy"/>
    <s v="Shambrook"/>
    <x v="1"/>
    <n v="23"/>
    <s v="Frequent Traveller"/>
    <x v="0"/>
    <n v="41"/>
    <s v="NY"/>
    <s v="White"/>
    <n v="1"/>
    <s v="Marketing "/>
    <x v="9"/>
    <s v="Single"/>
    <n v="26508"/>
    <n v="0"/>
    <x v="1"/>
    <d v="2020-05-01T00:00:00"/>
    <s v="Yes"/>
    <n v="1"/>
    <n v="0"/>
    <n v="0"/>
    <n v="0"/>
    <s v="No Formal Qualifications"/>
    <s v="No Formal Qualifications"/>
    <s v="No Formal Qualifications"/>
    <n v="1"/>
    <s v="20-29"/>
  </r>
  <r>
    <s v="437C-4AD0"/>
    <s v="Cosmo"/>
    <s v="Viney"/>
    <x v="1"/>
    <n v="40"/>
    <s v="Frequent Traveller"/>
    <x v="2"/>
    <n v="2"/>
    <s v="NY"/>
    <s v="White"/>
    <n v="4"/>
    <s v="Computer Science"/>
    <x v="10"/>
    <s v="Married"/>
    <n v="260835"/>
    <n v="2"/>
    <x v="0"/>
    <d v="2020-05-14T00:00:00"/>
    <s v="No"/>
    <n v="2"/>
    <n v="1"/>
    <n v="2"/>
    <n v="0"/>
    <s v="Masters "/>
    <s v="Masters "/>
    <s v="Masters "/>
    <n v="0"/>
    <s v="40-49"/>
  </r>
  <r>
    <s v="03D9-FF08"/>
    <s v="Lynnette"/>
    <s v="Portinari"/>
    <x v="2"/>
    <n v="22"/>
    <s v="Some Travel"/>
    <x v="2"/>
    <n v="30"/>
    <s v="CA"/>
    <s v="White"/>
    <n v="4"/>
    <s v="Other"/>
    <x v="7"/>
    <s v="Single"/>
    <n v="44135"/>
    <n v="0"/>
    <x v="0"/>
    <d v="2020-05-15T00:00:00"/>
    <s v="No"/>
    <n v="2"/>
    <n v="0"/>
    <n v="1"/>
    <n v="1"/>
    <s v="Masters "/>
    <s v="Masters "/>
    <s v="Masters "/>
    <n v="0"/>
    <s v="20-29"/>
  </r>
  <r>
    <s v="86C5-8987"/>
    <s v="Cassaundra"/>
    <s v="Kenyam"/>
    <x v="0"/>
    <n v="22"/>
    <s v="Some Travel"/>
    <x v="0"/>
    <n v="5"/>
    <s v="NY"/>
    <s v="White"/>
    <n v="2"/>
    <s v="Economics"/>
    <x v="0"/>
    <s v="Married"/>
    <n v="45220"/>
    <n v="0"/>
    <x v="0"/>
    <d v="2020-05-16T00:00:00"/>
    <s v="No"/>
    <n v="2"/>
    <n v="0"/>
    <n v="0"/>
    <n v="0"/>
    <s v="High School "/>
    <s v="High School "/>
    <s v="High School "/>
    <n v="0"/>
    <s v="20-29"/>
  </r>
  <r>
    <s v="A1AB-EE7C"/>
    <s v="Neala"/>
    <s v="Spandley"/>
    <x v="0"/>
    <n v="32"/>
    <s v="Some Travel"/>
    <x v="0"/>
    <n v="38"/>
    <s v="CA"/>
    <s v="White"/>
    <n v="4"/>
    <s v="Marketing "/>
    <x v="0"/>
    <s v="Single"/>
    <n v="105091"/>
    <n v="0"/>
    <x v="0"/>
    <d v="2020-05-17T00:00:00"/>
    <s v="No"/>
    <n v="2"/>
    <n v="0"/>
    <n v="0"/>
    <n v="1"/>
    <s v="Masters "/>
    <s v="Masters "/>
    <s v="Masters "/>
    <n v="0"/>
    <s v="30-39"/>
  </r>
  <r>
    <s v="5EE9-CFCF"/>
    <s v="April"/>
    <s v="Brunicke"/>
    <x v="0"/>
    <n v="48"/>
    <s v="Frequent Traveller"/>
    <x v="2"/>
    <n v="15"/>
    <s v="CA"/>
    <s v="White"/>
    <n v="4"/>
    <s v="Computer Science"/>
    <x v="2"/>
    <s v="Married"/>
    <n v="309371"/>
    <n v="0"/>
    <x v="1"/>
    <d v="2020-05-18T00:00:00"/>
    <s v="No"/>
    <n v="2"/>
    <n v="1"/>
    <n v="1"/>
    <n v="1"/>
    <s v="Masters "/>
    <s v="Masters "/>
    <s v="Masters "/>
    <n v="0"/>
    <s v="40-49"/>
  </r>
  <r>
    <s v="4846-2EC2"/>
    <s v="Luise"/>
    <s v="Ornillos"/>
    <x v="0"/>
    <n v="26"/>
    <s v="Some Travel"/>
    <x v="2"/>
    <n v="31"/>
    <s v="CA"/>
    <s v="White"/>
    <n v="2"/>
    <s v="Information Systems"/>
    <x v="7"/>
    <s v="Married"/>
    <n v="56187"/>
    <n v="1"/>
    <x v="0"/>
    <d v="2020-05-26T00:00:00"/>
    <s v="No"/>
    <n v="2"/>
    <n v="2"/>
    <n v="2"/>
    <n v="2"/>
    <s v="High School "/>
    <s v="High School "/>
    <s v="High School "/>
    <n v="0"/>
    <s v="20-29"/>
  </r>
  <r>
    <s v="9112-D01B"/>
    <s v="Emmie"/>
    <s v="Lauchlan"/>
    <x v="0"/>
    <n v="50"/>
    <s v="Some Travel"/>
    <x v="0"/>
    <n v="23"/>
    <s v="CA"/>
    <s v="White"/>
    <n v="3"/>
    <s v="Marketing "/>
    <x v="6"/>
    <s v="Married"/>
    <n v="266449"/>
    <n v="1"/>
    <x v="1"/>
    <d v="2020-05-27T00:00:00"/>
    <s v="No"/>
    <n v="2"/>
    <n v="1"/>
    <n v="2"/>
    <n v="2"/>
    <s v="Bachelors "/>
    <s v="Bachelors "/>
    <s v="Bachelors "/>
    <n v="0"/>
    <s v="50+"/>
  </r>
  <r>
    <s v="7696-E50D"/>
    <s v="Mignonne"/>
    <s v="Dalton"/>
    <x v="0"/>
    <n v="21"/>
    <s v="Some Travel"/>
    <x v="2"/>
    <n v="1"/>
    <s v="NY"/>
    <s v="White"/>
    <n v="4"/>
    <s v="Information Systems"/>
    <x v="7"/>
    <s v="Married"/>
    <n v="34133"/>
    <n v="0"/>
    <x v="1"/>
    <d v="2020-05-30T00:00:00"/>
    <s v="No"/>
    <n v="2"/>
    <n v="2"/>
    <n v="2"/>
    <n v="1"/>
    <s v="Masters "/>
    <s v="Masters "/>
    <s v="Masters "/>
    <n v="0"/>
    <s v="20-29"/>
  </r>
  <r>
    <s v="130F-32AB"/>
    <s v="Lucretia"/>
    <s v="Leebeter"/>
    <x v="0"/>
    <n v="20"/>
    <s v="Some Travel"/>
    <x v="2"/>
    <n v="6"/>
    <s v="CA"/>
    <s v="White"/>
    <n v="1"/>
    <s v="Computer Science"/>
    <x v="7"/>
    <s v="Single"/>
    <n v="30714"/>
    <n v="0"/>
    <x v="1"/>
    <d v="2020-06-05T00:00:00"/>
    <s v="Yes"/>
    <n v="2"/>
    <n v="0"/>
    <n v="1"/>
    <n v="1"/>
    <s v="No Formal Qualifications"/>
    <s v="No Formal Qualifications"/>
    <s v="No Formal Qualifications"/>
    <n v="1"/>
    <s v="20-29"/>
  </r>
  <r>
    <s v="1E20-2FFF"/>
    <s v="Addison"/>
    <s v="McCormack"/>
    <x v="1"/>
    <n v="28"/>
    <s v="Frequent Traveller"/>
    <x v="0"/>
    <n v="29"/>
    <s v="CA"/>
    <s v="White"/>
    <n v="3"/>
    <s v="Marketing "/>
    <x v="0"/>
    <s v="Married"/>
    <n v="327674"/>
    <n v="3"/>
    <x v="0"/>
    <d v="2020-06-05T00:00:00"/>
    <s v="No"/>
    <n v="2"/>
    <n v="2"/>
    <n v="2"/>
    <n v="1"/>
    <s v="Bachelors "/>
    <s v="Bachelors "/>
    <s v="Bachelors "/>
    <n v="0"/>
    <s v="20-29"/>
  </r>
  <r>
    <s v="D676-2084"/>
    <s v="Shannon"/>
    <s v="Kuhnel"/>
    <x v="1"/>
    <n v="21"/>
    <s v="Some Travel"/>
    <x v="1"/>
    <n v="41"/>
    <s v="NY"/>
    <s v="White"/>
    <n v="2"/>
    <s v="Economics"/>
    <x v="3"/>
    <s v="Single"/>
    <n v="20583"/>
    <n v="0"/>
    <x v="0"/>
    <d v="2020-06-20T00:00:00"/>
    <s v="No"/>
    <n v="2"/>
    <n v="0"/>
    <n v="1"/>
    <n v="0"/>
    <s v="High School "/>
    <s v="High School "/>
    <s v="High School "/>
    <n v="0"/>
    <s v="20-29"/>
  </r>
  <r>
    <s v="1BEA-3835"/>
    <s v="Hymie"/>
    <s v="Aseef"/>
    <x v="1"/>
    <n v="21"/>
    <s v="Some Travel"/>
    <x v="2"/>
    <n v="4"/>
    <s v="CA"/>
    <s v="White"/>
    <n v="2"/>
    <s v="Computer Science"/>
    <x v="7"/>
    <s v="Married"/>
    <n v="21158"/>
    <n v="0"/>
    <x v="1"/>
    <d v="2020-06-26T00:00:00"/>
    <s v="No"/>
    <n v="2"/>
    <n v="1"/>
    <n v="1"/>
    <n v="0"/>
    <s v="High School "/>
    <s v="High School "/>
    <s v="High School "/>
    <n v="0"/>
    <s v="20-29"/>
  </r>
  <r>
    <s v="576B-6628"/>
    <s v="Bing"/>
    <s v="O'Heyne"/>
    <x v="1"/>
    <n v="22"/>
    <s v="Some Travel"/>
    <x v="0"/>
    <n v="41"/>
    <s v="CA"/>
    <s v="White"/>
    <n v="4"/>
    <s v="Economics"/>
    <x v="9"/>
    <s v="Married"/>
    <n v="22778"/>
    <n v="1"/>
    <x v="0"/>
    <d v="2020-06-27T00:00:00"/>
    <s v="No"/>
    <n v="2"/>
    <n v="0"/>
    <n v="2"/>
    <n v="2"/>
    <s v="Masters "/>
    <s v="Masters "/>
    <s v="Masters "/>
    <n v="0"/>
    <s v="20-29"/>
  </r>
  <r>
    <s v="3B2D-9E60"/>
    <s v="Flora"/>
    <s v="Kowalski"/>
    <x v="0"/>
    <n v="37"/>
    <s v="Some Travel"/>
    <x v="2"/>
    <n v="33"/>
    <s v="CA"/>
    <s v="White"/>
    <n v="1"/>
    <s v="Information Systems"/>
    <x v="8"/>
    <s v="Married"/>
    <n v="236732"/>
    <n v="1"/>
    <x v="0"/>
    <d v="2020-06-30T00:00:00"/>
    <s v="No"/>
    <n v="2"/>
    <n v="2"/>
    <n v="2"/>
    <n v="2"/>
    <s v="No Formal Qualifications"/>
    <s v="No Formal Qualifications"/>
    <s v="No Formal Qualifications"/>
    <n v="0"/>
    <s v="30-39"/>
  </r>
  <r>
    <s v="5B0B-B105"/>
    <s v="Richard"/>
    <s v="Titchen"/>
    <x v="1"/>
    <n v="35"/>
    <s v="Some Travel"/>
    <x v="0"/>
    <n v="30"/>
    <s v="CA"/>
    <s v="White"/>
    <n v="2"/>
    <s v="Marketing "/>
    <x v="6"/>
    <s v="Married"/>
    <n v="360384"/>
    <n v="1"/>
    <x v="0"/>
    <d v="2020-07-04T00:00:00"/>
    <s v="No"/>
    <n v="2"/>
    <n v="2"/>
    <n v="2"/>
    <n v="2"/>
    <s v="High School "/>
    <s v="High School "/>
    <s v="High School "/>
    <n v="0"/>
    <s v="30-39"/>
  </r>
  <r>
    <s v="BE07-BE80"/>
    <s v="Clemmie"/>
    <s v="Heckner"/>
    <x v="1"/>
    <n v="23"/>
    <s v="Some Travel"/>
    <x v="2"/>
    <n v="42"/>
    <s v="CA"/>
    <s v="White"/>
    <n v="4"/>
    <s v="Computer Science"/>
    <x v="7"/>
    <s v="Single"/>
    <n v="28824"/>
    <n v="0"/>
    <x v="1"/>
    <d v="2020-07-04T00:00:00"/>
    <s v="No"/>
    <n v="2"/>
    <n v="2"/>
    <n v="2"/>
    <n v="1"/>
    <s v="Masters "/>
    <s v="Masters "/>
    <s v="Masters "/>
    <n v="0"/>
    <s v="20-29"/>
  </r>
  <r>
    <s v="5B38-57D2"/>
    <s v="Dennie"/>
    <s v="Morrel"/>
    <x v="1"/>
    <n v="20"/>
    <s v="Frequent Traveller"/>
    <x v="2"/>
    <n v="28"/>
    <s v="CA"/>
    <s v="White"/>
    <n v="3"/>
    <s v="Information Systems"/>
    <x v="7"/>
    <s v="Married"/>
    <n v="29835"/>
    <n v="3"/>
    <x v="1"/>
    <d v="2020-07-05T00:00:00"/>
    <s v="No"/>
    <n v="2"/>
    <n v="0"/>
    <n v="0"/>
    <n v="0"/>
    <s v="Bachelors "/>
    <s v="Bachelors "/>
    <s v="Bachelors "/>
    <n v="0"/>
    <s v="20-29"/>
  </r>
  <r>
    <s v="EC6E-7F42"/>
    <s v="Art"/>
    <s v="Brisseau"/>
    <x v="1"/>
    <n v="42"/>
    <s v="Frequent Traveller"/>
    <x v="2"/>
    <n v="28"/>
    <s v="NY"/>
    <s v="White"/>
    <n v="3"/>
    <s v="Computer Science"/>
    <x v="8"/>
    <s v="Married"/>
    <n v="264513"/>
    <n v="0"/>
    <x v="0"/>
    <d v="2020-07-08T00:00:00"/>
    <s v="Yes"/>
    <n v="1"/>
    <n v="0"/>
    <n v="0"/>
    <n v="1"/>
    <s v="Bachelors "/>
    <s v="Bachelors "/>
    <s v="Bachelors "/>
    <n v="1"/>
    <s v="40-49"/>
  </r>
  <r>
    <s v="AE9F-5268"/>
    <s v="Ev"/>
    <s v="Bravington"/>
    <x v="1"/>
    <n v="22"/>
    <s v="Some Travel"/>
    <x v="2"/>
    <n v="6"/>
    <s v="IL"/>
    <s v="White"/>
    <n v="3"/>
    <s v="Computer Science"/>
    <x v="7"/>
    <s v="Divorced"/>
    <n v="43072"/>
    <n v="1"/>
    <x v="1"/>
    <d v="2020-07-09T00:00:00"/>
    <s v="No"/>
    <n v="2"/>
    <n v="1"/>
    <n v="2"/>
    <n v="1"/>
    <s v="Bachelors "/>
    <s v="Bachelors "/>
    <s v="Bachelors "/>
    <n v="0"/>
    <s v="20-29"/>
  </r>
  <r>
    <s v="3F25-EF5E"/>
    <s v="Tybalt"/>
    <s v="Horlick"/>
    <x v="1"/>
    <n v="23"/>
    <s v="Some Travel"/>
    <x v="0"/>
    <n v="9"/>
    <s v="NY"/>
    <s v="White"/>
    <n v="2"/>
    <s v="Marketing "/>
    <x v="9"/>
    <s v="Married"/>
    <n v="33750"/>
    <n v="1"/>
    <x v="0"/>
    <d v="2020-07-10T00:00:00"/>
    <s v="No"/>
    <n v="2"/>
    <n v="0"/>
    <n v="2"/>
    <n v="0"/>
    <s v="High School "/>
    <s v="High School "/>
    <s v="High School "/>
    <n v="0"/>
    <s v="20-29"/>
  </r>
  <r>
    <s v="1E2C-A267"/>
    <s v="Gerick"/>
    <s v="Archibould"/>
    <x v="1"/>
    <n v="23"/>
    <s v="Some Travel"/>
    <x v="0"/>
    <n v="1"/>
    <s v="CA"/>
    <s v="White"/>
    <n v="2"/>
    <s v="Other"/>
    <x v="0"/>
    <s v="Married"/>
    <n v="65489"/>
    <n v="1"/>
    <x v="0"/>
    <d v="2020-07-12T00:00:00"/>
    <s v="No"/>
    <n v="2"/>
    <n v="0"/>
    <n v="1"/>
    <n v="1"/>
    <s v="High School "/>
    <s v="High School "/>
    <s v="High School "/>
    <n v="0"/>
    <s v="20-29"/>
  </r>
  <r>
    <s v="90C4-1053"/>
    <s v="Diann"/>
    <s v="Brightie"/>
    <x v="0"/>
    <n v="20"/>
    <s v="Some Travel"/>
    <x v="2"/>
    <n v="3"/>
    <s v="CA"/>
    <s v="White"/>
    <n v="1"/>
    <s v="Information Systems"/>
    <x v="5"/>
    <s v="Married"/>
    <n v="41342"/>
    <n v="1"/>
    <x v="1"/>
    <d v="2020-07-16T00:00:00"/>
    <s v="No"/>
    <n v="2"/>
    <n v="1"/>
    <n v="1"/>
    <n v="2"/>
    <s v="No Formal Qualifications"/>
    <s v="No Formal Qualifications"/>
    <s v="No Formal Qualifications"/>
    <n v="0"/>
    <s v="20-29"/>
  </r>
  <r>
    <s v="0210-E0D8"/>
    <s v="Yankee"/>
    <s v="Charteris"/>
    <x v="1"/>
    <n v="36"/>
    <s v="Some Travel"/>
    <x v="0"/>
    <n v="7"/>
    <s v="NY"/>
    <s v="White"/>
    <n v="3"/>
    <s v="Technical Degree"/>
    <x v="0"/>
    <s v="Single"/>
    <n v="243989"/>
    <n v="0"/>
    <x v="1"/>
    <d v="2020-07-18T00:00:00"/>
    <s v="Yes"/>
    <n v="1"/>
    <n v="0"/>
    <n v="1"/>
    <n v="1"/>
    <s v="Bachelors "/>
    <s v="Bachelors "/>
    <s v="Bachelors "/>
    <n v="1"/>
    <s v="30-39"/>
  </r>
  <r>
    <s v="45FF-ACE6"/>
    <s v="Korrie"/>
    <s v="Plampin"/>
    <x v="0"/>
    <n v="28"/>
    <s v="Some Travel"/>
    <x v="0"/>
    <n v="13"/>
    <s v="CA"/>
    <s v="White"/>
    <n v="3"/>
    <s v="Marketing "/>
    <x v="0"/>
    <s v="Married"/>
    <n v="207479"/>
    <n v="3"/>
    <x v="0"/>
    <d v="2020-07-19T00:00:00"/>
    <s v="Yes"/>
    <n v="1"/>
    <n v="0"/>
    <n v="0"/>
    <n v="0"/>
    <s v="Bachelors "/>
    <s v="Bachelors "/>
    <s v="Bachelors "/>
    <n v="1"/>
    <s v="20-29"/>
  </r>
  <r>
    <s v="FADE-8191"/>
    <s v="Venita"/>
    <s v="MacCague"/>
    <x v="2"/>
    <n v="28"/>
    <s v="Some Travel"/>
    <x v="2"/>
    <n v="42"/>
    <s v="NY"/>
    <s v="White"/>
    <n v="4"/>
    <s v="Computer Science"/>
    <x v="4"/>
    <s v="Married"/>
    <n v="85987"/>
    <n v="1"/>
    <x v="0"/>
    <d v="2020-07-20T00:00:00"/>
    <s v="No"/>
    <n v="2"/>
    <n v="0"/>
    <n v="1"/>
    <n v="0"/>
    <s v="Masters "/>
    <s v="Masters "/>
    <s v="Masters "/>
    <n v="0"/>
    <s v="20-29"/>
  </r>
  <r>
    <s v="817D-28CE"/>
    <s v="Bert"/>
    <s v="Otton"/>
    <x v="0"/>
    <n v="22"/>
    <s v="Frequent Traveller"/>
    <x v="2"/>
    <n v="30"/>
    <s v="NY"/>
    <s v="White"/>
    <n v="3"/>
    <s v="Computer Science"/>
    <x v="4"/>
    <s v="Divorced"/>
    <n v="40614"/>
    <n v="1"/>
    <x v="1"/>
    <d v="2020-07-29T00:00:00"/>
    <s v="Yes"/>
    <n v="0"/>
    <n v="0"/>
    <n v="0"/>
    <n v="0"/>
    <s v="Bachelors "/>
    <s v="Bachelors "/>
    <s v="Bachelors "/>
    <n v="1"/>
    <s v="20-29"/>
  </r>
  <r>
    <s v="47C9-BD11"/>
    <s v="Conrad"/>
    <s v="Soule"/>
    <x v="3"/>
    <n v="43"/>
    <s v="Frequent Traveller"/>
    <x v="2"/>
    <n v="37"/>
    <s v="CA"/>
    <s v="White"/>
    <n v="1"/>
    <s v="Information Systems"/>
    <x v="8"/>
    <s v="Married"/>
    <n v="199718"/>
    <n v="0"/>
    <x v="0"/>
    <d v="2020-08-03T00:00:00"/>
    <s v="No"/>
    <n v="2"/>
    <n v="1"/>
    <n v="2"/>
    <n v="2"/>
    <s v="No Formal Qualifications"/>
    <s v="No Formal Qualifications"/>
    <s v="No Formal Qualifications"/>
    <n v="0"/>
    <s v="40-49"/>
  </r>
  <r>
    <s v="E267-D788"/>
    <s v="Tristan"/>
    <s v="Albro"/>
    <x v="1"/>
    <n v="22"/>
    <s v="Frequent Traveller"/>
    <x v="2"/>
    <n v="9"/>
    <s v="NY"/>
    <s v="White"/>
    <n v="2"/>
    <s v="Computer Science"/>
    <x v="8"/>
    <s v="Divorced"/>
    <n v="73389"/>
    <n v="3"/>
    <x v="0"/>
    <d v="2020-08-05T00:00:00"/>
    <s v="No"/>
    <n v="2"/>
    <n v="0"/>
    <n v="2"/>
    <n v="2"/>
    <s v="High School "/>
    <s v="High School "/>
    <s v="High School "/>
    <n v="0"/>
    <s v="20-29"/>
  </r>
  <r>
    <s v="B3A4-91F0"/>
    <s v="Dud"/>
    <s v="Durdan"/>
    <x v="1"/>
    <n v="23"/>
    <s v="Frequent Traveller"/>
    <x v="2"/>
    <n v="12"/>
    <s v="NY"/>
    <s v="White"/>
    <n v="3"/>
    <s v="Computer Science"/>
    <x v="8"/>
    <s v="Divorced"/>
    <n v="68820"/>
    <n v="1"/>
    <x v="0"/>
    <d v="2020-08-05T00:00:00"/>
    <s v="No"/>
    <n v="2"/>
    <n v="2"/>
    <n v="2"/>
    <n v="1"/>
    <s v="Bachelors "/>
    <s v="Bachelors "/>
    <s v="Bachelors "/>
    <n v="0"/>
    <s v="20-29"/>
  </r>
  <r>
    <s v="F877-3BF9"/>
    <s v="Cozmo"/>
    <s v="Duncklee"/>
    <x v="2"/>
    <n v="21"/>
    <s v="Frequent Traveller"/>
    <x v="2"/>
    <n v="29"/>
    <s v="CA"/>
    <s v="White"/>
    <n v="4"/>
    <s v="Information Systems"/>
    <x v="7"/>
    <s v="Single"/>
    <n v="61345"/>
    <n v="0"/>
    <x v="0"/>
    <d v="2020-08-07T00:00:00"/>
    <s v="Yes"/>
    <n v="1"/>
    <n v="0"/>
    <n v="0"/>
    <n v="0"/>
    <s v="Masters "/>
    <s v="Masters "/>
    <s v="Masters "/>
    <n v="1"/>
    <s v="20-29"/>
  </r>
  <r>
    <s v="55DC-C0F0"/>
    <s v="Marysa"/>
    <s v="Stannislawski"/>
    <x v="0"/>
    <n v="23"/>
    <s v="Some Travel"/>
    <x v="0"/>
    <n v="26"/>
    <s v="NY"/>
    <s v="White"/>
    <n v="3"/>
    <s v="Economics"/>
    <x v="0"/>
    <s v="Single"/>
    <n v="67718"/>
    <n v="0"/>
    <x v="0"/>
    <d v="2020-08-07T00:00:00"/>
    <s v="No"/>
    <n v="2"/>
    <n v="1"/>
    <n v="2"/>
    <n v="1"/>
    <s v="Bachelors "/>
    <s v="Bachelors "/>
    <s v="Bachelors "/>
    <n v="0"/>
    <s v="20-29"/>
  </r>
  <r>
    <s v="AAD7-8DDC"/>
    <s v="Simeon"/>
    <s v="Cosslett"/>
    <x v="1"/>
    <n v="50"/>
    <s v="No Travel "/>
    <x v="2"/>
    <n v="11"/>
    <s v="NY"/>
    <s v="White"/>
    <n v="1"/>
    <s v="Computer Science"/>
    <x v="2"/>
    <s v="Divorced"/>
    <n v="337946"/>
    <n v="2"/>
    <x v="0"/>
    <d v="2020-08-15T00:00:00"/>
    <s v="No"/>
    <n v="2"/>
    <n v="1"/>
    <n v="2"/>
    <n v="1"/>
    <s v="No Formal Qualifications"/>
    <s v="No Formal Qualifications"/>
    <s v="No Formal Qualifications"/>
    <n v="0"/>
    <s v="50+"/>
  </r>
  <r>
    <s v="6B7D-82DB"/>
    <s v="Niko"/>
    <s v="Purvess"/>
    <x v="1"/>
    <n v="40"/>
    <s v="No Travel "/>
    <x v="2"/>
    <n v="15"/>
    <s v="NY"/>
    <s v="White"/>
    <n v="1"/>
    <s v="Information Systems"/>
    <x v="10"/>
    <s v="Single"/>
    <n v="465219"/>
    <n v="0"/>
    <x v="0"/>
    <d v="2020-08-17T00:00:00"/>
    <s v="No"/>
    <n v="2"/>
    <n v="2"/>
    <n v="2"/>
    <n v="0"/>
    <s v="No Formal Qualifications"/>
    <s v="No Formal Qualifications"/>
    <s v="No Formal Qualifications"/>
    <n v="0"/>
    <s v="40-49"/>
  </r>
  <r>
    <s v="D014-7DB2"/>
    <s v="Dolli"/>
    <s v="Dodgson"/>
    <x v="0"/>
    <n v="20"/>
    <s v="Some Travel"/>
    <x v="0"/>
    <n v="16"/>
    <s v="NY"/>
    <s v="White"/>
    <n v="3"/>
    <s v="Marketing "/>
    <x v="9"/>
    <s v="Single"/>
    <n v="35754"/>
    <n v="0"/>
    <x v="0"/>
    <d v="2020-08-24T00:00:00"/>
    <s v="Yes"/>
    <n v="0"/>
    <n v="0"/>
    <n v="0"/>
    <n v="0"/>
    <s v="Bachelors "/>
    <s v="Bachelors "/>
    <s v="Bachelors "/>
    <n v="1"/>
    <s v="20-29"/>
  </r>
  <r>
    <s v="61F3-DE78"/>
    <s v="Dehlia"/>
    <s v="Fullerton"/>
    <x v="0"/>
    <n v="23"/>
    <s v="Some Travel"/>
    <x v="2"/>
    <n v="40"/>
    <s v="CA"/>
    <s v="White"/>
    <n v="3"/>
    <s v="Computer Science"/>
    <x v="4"/>
    <s v="Single"/>
    <n v="23632"/>
    <n v="0"/>
    <x v="0"/>
    <d v="2020-08-24T00:00:00"/>
    <s v="No"/>
    <n v="2"/>
    <n v="2"/>
    <n v="2"/>
    <n v="0"/>
    <s v="Bachelors "/>
    <s v="Bachelors "/>
    <s v="Bachelors "/>
    <n v="0"/>
    <s v="20-29"/>
  </r>
  <r>
    <s v="619D-D78F"/>
    <s v="Leesa"/>
    <s v="Gauford"/>
    <x v="0"/>
    <n v="20"/>
    <s v="Some Travel"/>
    <x v="2"/>
    <n v="24"/>
    <s v="NY"/>
    <s v="White"/>
    <n v="2"/>
    <s v="Business Studies"/>
    <x v="4"/>
    <s v="Single"/>
    <n v="38138"/>
    <n v="0"/>
    <x v="0"/>
    <d v="2020-08-29T00:00:00"/>
    <s v="No"/>
    <n v="2"/>
    <n v="2"/>
    <n v="2"/>
    <n v="1"/>
    <s v="High School "/>
    <s v="High School "/>
    <s v="High School "/>
    <n v="0"/>
    <s v="20-29"/>
  </r>
  <r>
    <s v="E6D9-ADEE"/>
    <s v="Jenifer"/>
    <s v="Jarvis"/>
    <x v="0"/>
    <n v="20"/>
    <s v="No Travel "/>
    <x v="2"/>
    <n v="45"/>
    <s v="CA"/>
    <s v="White"/>
    <n v="2"/>
    <s v="Computer Science"/>
    <x v="7"/>
    <s v="Divorced"/>
    <n v="28262"/>
    <n v="1"/>
    <x v="0"/>
    <d v="2020-08-29T00:00:00"/>
    <s v="Yes"/>
    <n v="1"/>
    <n v="0"/>
    <n v="0"/>
    <n v="0"/>
    <s v="High School "/>
    <s v="High School "/>
    <s v="High School "/>
    <n v="1"/>
    <s v="20-29"/>
  </r>
  <r>
    <s v="06DE-E772"/>
    <s v="Zechariah"/>
    <s v="Sturridge"/>
    <x v="1"/>
    <n v="34"/>
    <s v="Frequent Traveller"/>
    <x v="0"/>
    <n v="45"/>
    <s v="NY"/>
    <s v="White"/>
    <n v="3"/>
    <s v="Marketing "/>
    <x v="0"/>
    <s v="Married"/>
    <n v="341971"/>
    <n v="0"/>
    <x v="0"/>
    <d v="2020-09-02T00:00:00"/>
    <s v="Yes"/>
    <n v="1"/>
    <n v="0"/>
    <n v="0"/>
    <n v="0"/>
    <s v="Bachelors "/>
    <s v="Bachelors "/>
    <s v="Bachelors "/>
    <n v="1"/>
    <s v="30-39"/>
  </r>
  <r>
    <s v="C579-11D1"/>
    <s v="Benjie"/>
    <s v="Grosvenor"/>
    <x v="1"/>
    <n v="23"/>
    <s v="Some Travel"/>
    <x v="2"/>
    <n v="11"/>
    <s v="CA"/>
    <s v="White"/>
    <n v="4"/>
    <s v="Information Systems"/>
    <x v="4"/>
    <s v="Married"/>
    <n v="22488"/>
    <n v="1"/>
    <x v="0"/>
    <d v="2020-09-04T00:00:00"/>
    <s v="No"/>
    <n v="2"/>
    <n v="2"/>
    <n v="2"/>
    <n v="2"/>
    <s v="Masters "/>
    <s v="Masters "/>
    <s v="Masters "/>
    <n v="0"/>
    <s v="20-29"/>
  </r>
  <r>
    <s v="0172-B5D2"/>
    <s v="Ketti"/>
    <s v="Keighley"/>
    <x v="0"/>
    <n v="27"/>
    <s v="Some Travel"/>
    <x v="2"/>
    <n v="28"/>
    <s v="CA"/>
    <s v="White"/>
    <n v="4"/>
    <s v="Computer Science"/>
    <x v="5"/>
    <s v="Married"/>
    <n v="93291"/>
    <n v="0"/>
    <x v="0"/>
    <d v="2020-09-11T00:00:00"/>
    <s v="No"/>
    <n v="2"/>
    <n v="1"/>
    <n v="2"/>
    <n v="1"/>
    <s v="Masters "/>
    <s v="Masters "/>
    <s v="Masters "/>
    <n v="0"/>
    <s v="20-29"/>
  </r>
  <r>
    <s v="63E0-439B"/>
    <s v="Kirbee"/>
    <s v="Pawelek"/>
    <x v="0"/>
    <n v="22"/>
    <s v="Some Travel"/>
    <x v="2"/>
    <n v="36"/>
    <s v="CA"/>
    <s v="White"/>
    <n v="4"/>
    <s v="Computer Science"/>
    <x v="7"/>
    <s v="Single"/>
    <n v="31072"/>
    <n v="0"/>
    <x v="0"/>
    <d v="2020-09-15T00:00:00"/>
    <s v="No"/>
    <n v="2"/>
    <n v="2"/>
    <n v="2"/>
    <n v="1"/>
    <s v="Masters "/>
    <s v="Masters "/>
    <s v="Masters "/>
    <n v="0"/>
    <s v="20-29"/>
  </r>
  <r>
    <s v="6957-5180"/>
    <s v="Ania"/>
    <s v="Osboldstone"/>
    <x v="0"/>
    <n v="28"/>
    <s v="Some Travel"/>
    <x v="0"/>
    <n v="18"/>
    <s v="IL"/>
    <s v="White"/>
    <n v="3"/>
    <s v="Economics"/>
    <x v="0"/>
    <s v="Married"/>
    <n v="113501"/>
    <n v="1"/>
    <x v="1"/>
    <d v="2020-09-22T00:00:00"/>
    <s v="No"/>
    <n v="2"/>
    <n v="2"/>
    <n v="2"/>
    <n v="2"/>
    <s v="Bachelors "/>
    <s v="Bachelors "/>
    <s v="Bachelors "/>
    <n v="0"/>
    <s v="20-29"/>
  </r>
  <r>
    <s v="36A3-F0A5"/>
    <s v="Hirsch"/>
    <s v="Broadnicke"/>
    <x v="1"/>
    <n v="23"/>
    <s v="Frequent Traveller"/>
    <x v="2"/>
    <n v="40"/>
    <s v="CA"/>
    <s v="White"/>
    <n v="3"/>
    <s v="Computer Science"/>
    <x v="8"/>
    <s v="Divorced"/>
    <n v="79724"/>
    <n v="1"/>
    <x v="0"/>
    <d v="2020-09-23T00:00:00"/>
    <s v="No"/>
    <n v="2"/>
    <n v="0"/>
    <n v="2"/>
    <n v="0"/>
    <s v="Bachelors "/>
    <s v="Bachelors "/>
    <s v="Bachelors "/>
    <n v="0"/>
    <s v="20-29"/>
  </r>
  <r>
    <s v="9671-222C"/>
    <s v="Akim"/>
    <s v="Garfit"/>
    <x v="1"/>
    <n v="20"/>
    <s v="Some Travel"/>
    <x v="2"/>
    <n v="38"/>
    <s v="CA"/>
    <s v="White"/>
    <n v="3"/>
    <s v="Business Studies"/>
    <x v="7"/>
    <s v="Divorced"/>
    <n v="21344"/>
    <n v="1"/>
    <x v="0"/>
    <d v="2020-09-25T00:00:00"/>
    <s v="No"/>
    <n v="2"/>
    <n v="1"/>
    <n v="2"/>
    <n v="2"/>
    <s v="Bachelors "/>
    <s v="Bachelors "/>
    <s v="Bachelors "/>
    <n v="0"/>
    <s v="20-29"/>
  </r>
  <r>
    <s v="55A7-8D82"/>
    <s v="Allyn"/>
    <s v="Glyde"/>
    <x v="2"/>
    <n v="23"/>
    <s v="Frequent Traveller"/>
    <x v="1"/>
    <n v="34"/>
    <s v="NY"/>
    <s v="White"/>
    <n v="4"/>
    <s v="Human Resources"/>
    <x v="11"/>
    <s v="Married"/>
    <n v="75948"/>
    <n v="0"/>
    <x v="0"/>
    <d v="2020-09-26T00:00:00"/>
    <s v="No"/>
    <n v="2"/>
    <n v="0"/>
    <n v="0"/>
    <n v="2"/>
    <s v="Masters "/>
    <s v="Masters "/>
    <s v="Masters "/>
    <n v="0"/>
    <s v="20-29"/>
  </r>
  <r>
    <s v="E6C8-D659"/>
    <s v="Orazio"/>
    <s v="Alejandri"/>
    <x v="1"/>
    <n v="31"/>
    <s v="Some Travel"/>
    <x v="0"/>
    <n v="11"/>
    <s v="CA"/>
    <s v="White"/>
    <n v="3"/>
    <s v="Marketing"/>
    <x v="0"/>
    <s v="Divorced"/>
    <n v="155386"/>
    <n v="3"/>
    <x v="0"/>
    <d v="2020-09-26T00:00:00"/>
    <s v="No"/>
    <n v="2"/>
    <n v="1"/>
    <n v="2"/>
    <n v="1"/>
    <s v="Bachelors "/>
    <s v="Bachelors "/>
    <s v="Bachelors "/>
    <n v="0"/>
    <s v="30-39"/>
  </r>
  <r>
    <s v="46C8-1E24"/>
    <s v="Anjela"/>
    <s v="Berns"/>
    <x v="0"/>
    <n v="47"/>
    <s v="Some Travel"/>
    <x v="2"/>
    <n v="32"/>
    <s v="CA"/>
    <s v="White"/>
    <n v="3"/>
    <s v="Information Systems"/>
    <x v="5"/>
    <s v="Single"/>
    <n v="243869"/>
    <n v="0"/>
    <x v="0"/>
    <d v="2020-10-04T00:00:00"/>
    <s v="No"/>
    <n v="2"/>
    <n v="1"/>
    <n v="1"/>
    <n v="0"/>
    <s v="Bachelors "/>
    <s v="Bachelors "/>
    <s v="Bachelors "/>
    <n v="0"/>
    <s v="40-49"/>
  </r>
  <r>
    <s v="F3A3-10CE"/>
    <s v="Jesus"/>
    <s v="Marde"/>
    <x v="1"/>
    <n v="40"/>
    <s v="Some Travel"/>
    <x v="0"/>
    <n v="37"/>
    <s v="CA"/>
    <s v="White"/>
    <n v="4"/>
    <s v="Marketing"/>
    <x v="0"/>
    <s v="Single"/>
    <n v="226512"/>
    <n v="0"/>
    <x v="1"/>
    <d v="2020-10-08T00:00:00"/>
    <s v="Yes"/>
    <n v="2"/>
    <n v="1"/>
    <n v="1"/>
    <n v="1"/>
    <s v="Masters "/>
    <s v="Masters "/>
    <s v="Masters "/>
    <n v="1"/>
    <s v="40-49"/>
  </r>
  <r>
    <s v="72D8-2284"/>
    <s v="Othelia"/>
    <s v="Tumber"/>
    <x v="0"/>
    <n v="20"/>
    <s v="Some Travel"/>
    <x v="2"/>
    <n v="41"/>
    <s v="IL"/>
    <s v="White"/>
    <n v="3"/>
    <s v="Computer Science"/>
    <x v="4"/>
    <s v="Divorced"/>
    <n v="40701"/>
    <n v="1"/>
    <x v="0"/>
    <d v="2020-10-11T00:00:00"/>
    <s v="No"/>
    <n v="2"/>
    <n v="1"/>
    <n v="1"/>
    <n v="1"/>
    <s v="Bachelors "/>
    <s v="Bachelors "/>
    <s v="Bachelors "/>
    <n v="0"/>
    <s v="20-29"/>
  </r>
  <r>
    <s v="DE9A-5E67"/>
    <s v="Mirabel"/>
    <s v="Scotter"/>
    <x v="0"/>
    <n v="33"/>
    <s v="Some Travel"/>
    <x v="2"/>
    <n v="3"/>
    <s v="CA"/>
    <s v="White"/>
    <n v="4"/>
    <s v="Computer Science"/>
    <x v="2"/>
    <s v="Single"/>
    <n v="307688"/>
    <n v="0"/>
    <x v="0"/>
    <d v="2020-10-12T00:00:00"/>
    <s v="No"/>
    <n v="2"/>
    <n v="2"/>
    <n v="2"/>
    <n v="0"/>
    <s v="Masters "/>
    <s v="Masters "/>
    <s v="Masters "/>
    <n v="0"/>
    <s v="30-39"/>
  </r>
  <r>
    <s v="F126-8059"/>
    <s v="Wally"/>
    <s v="Dowse"/>
    <x v="1"/>
    <n v="23"/>
    <s v="Some Travel"/>
    <x v="0"/>
    <n v="23"/>
    <s v="NY"/>
    <s v="White"/>
    <n v="4"/>
    <s v="Marketing"/>
    <x v="0"/>
    <s v="Divorced"/>
    <n v="53590"/>
    <n v="2"/>
    <x v="0"/>
    <d v="2020-10-13T00:00:00"/>
    <s v="No"/>
    <n v="2"/>
    <n v="0"/>
    <n v="2"/>
    <n v="0"/>
    <s v="Masters "/>
    <s v="Masters "/>
    <s v="Masters "/>
    <n v="0"/>
    <s v="20-29"/>
  </r>
  <r>
    <s v="BD70-7DAE"/>
    <s v="Kalil"/>
    <s v="Gauntley"/>
    <x v="1"/>
    <n v="22"/>
    <s v="Frequent Traveller"/>
    <x v="2"/>
    <n v="2"/>
    <s v="NY"/>
    <s v="White"/>
    <n v="3"/>
    <s v="Business Studies"/>
    <x v="7"/>
    <s v="Single"/>
    <n v="37014"/>
    <n v="0"/>
    <x v="1"/>
    <d v="2020-10-23T00:00:00"/>
    <s v="Yes"/>
    <n v="1"/>
    <n v="0"/>
    <n v="1"/>
    <n v="0"/>
    <s v="Bachelors "/>
    <s v="Bachelors "/>
    <s v="Bachelors "/>
    <n v="1"/>
    <s v="20-29"/>
  </r>
  <r>
    <s v="8640-414A"/>
    <s v="Rivkah"/>
    <s v="Siderfin"/>
    <x v="0"/>
    <n v="29"/>
    <s v="Some Travel"/>
    <x v="2"/>
    <n v="32"/>
    <s v="CA"/>
    <s v="White"/>
    <n v="3"/>
    <s v="Computer Science"/>
    <x v="2"/>
    <s v="Married"/>
    <n v="390142"/>
    <n v="0"/>
    <x v="0"/>
    <d v="2020-10-27T00:00:00"/>
    <s v="No"/>
    <n v="2"/>
    <n v="1"/>
    <n v="2"/>
    <n v="2"/>
    <s v="Bachelors "/>
    <s v="Bachelors "/>
    <s v="Bachelors "/>
    <n v="0"/>
    <s v="20-29"/>
  </r>
  <r>
    <s v="F578-F0C8"/>
    <s v="Domeniga"/>
    <s v="Killock"/>
    <x v="0"/>
    <n v="21"/>
    <s v="Some Travel"/>
    <x v="2"/>
    <n v="6"/>
    <s v="CA"/>
    <s v="White"/>
    <n v="5"/>
    <s v="Business Studies"/>
    <x v="7"/>
    <s v="Married"/>
    <n v="25149"/>
    <n v="0"/>
    <x v="0"/>
    <d v="2020-11-03T00:00:00"/>
    <s v="Yes"/>
    <n v="1"/>
    <n v="1"/>
    <n v="1"/>
    <n v="1"/>
    <s v="Doctorate"/>
    <s v="Doctorate"/>
    <s v="Doctorate"/>
    <n v="1"/>
    <s v="20-29"/>
  </r>
  <r>
    <s v="7F24-55A3"/>
    <s v="Boyce"/>
    <s v="Heditch"/>
    <x v="1"/>
    <n v="23"/>
    <s v="Some Travel"/>
    <x v="2"/>
    <n v="17"/>
    <s v="NY"/>
    <s v="White"/>
    <n v="3"/>
    <s v="Information Systems"/>
    <x v="5"/>
    <s v="Married"/>
    <n v="80236"/>
    <n v="0"/>
    <x v="0"/>
    <d v="2020-11-03T00:00:00"/>
    <s v="No"/>
    <n v="2"/>
    <n v="0"/>
    <n v="2"/>
    <n v="1"/>
    <s v="Bachelors "/>
    <s v="Bachelors "/>
    <s v="Bachelors "/>
    <n v="0"/>
    <s v="20-29"/>
  </r>
  <r>
    <s v="0B49-32CD"/>
    <s v="Nettle"/>
    <s v="Manwaring"/>
    <x v="0"/>
    <n v="20"/>
    <s v="Some Travel"/>
    <x v="2"/>
    <n v="30"/>
    <s v="CA"/>
    <s v="White"/>
    <n v="2"/>
    <s v="Information Systems"/>
    <x v="4"/>
    <s v="Divorced"/>
    <n v="41179"/>
    <n v="1"/>
    <x v="0"/>
    <d v="2020-11-04T00:00:00"/>
    <s v="No"/>
    <n v="2"/>
    <n v="0"/>
    <n v="0"/>
    <n v="0"/>
    <s v="High School "/>
    <s v="High School "/>
    <s v="High School "/>
    <n v="0"/>
    <s v="20-29"/>
  </r>
  <r>
    <s v="991F-BAF4"/>
    <s v="Leonelle"/>
    <s v="Frost"/>
    <x v="2"/>
    <n v="33"/>
    <s v="Some Travel"/>
    <x v="2"/>
    <n v="4"/>
    <s v="IL"/>
    <s v="White"/>
    <n v="2"/>
    <s v="Information Systems"/>
    <x v="10"/>
    <s v="Married"/>
    <n v="350024"/>
    <n v="1"/>
    <x v="0"/>
    <d v="2020-11-04T00:00:00"/>
    <s v="No"/>
    <n v="2"/>
    <n v="1"/>
    <n v="2"/>
    <n v="0"/>
    <s v="High School "/>
    <s v="High School "/>
    <s v="High School "/>
    <n v="0"/>
    <s v="30-39"/>
  </r>
  <r>
    <s v="BAE6-B5DE"/>
    <s v="Pammi"/>
    <s v="Biernat"/>
    <x v="0"/>
    <n v="22"/>
    <s v="Some Travel"/>
    <x v="2"/>
    <n v="21"/>
    <s v="NY"/>
    <s v="White"/>
    <n v="3"/>
    <s v="Other"/>
    <x v="4"/>
    <s v="Single"/>
    <n v="33354"/>
    <n v="0"/>
    <x v="0"/>
    <d v="2020-11-08T00:00:00"/>
    <s v="No"/>
    <n v="2"/>
    <n v="1"/>
    <n v="2"/>
    <n v="2"/>
    <s v="Bachelors "/>
    <s v="Bachelors "/>
    <s v="Bachelors "/>
    <n v="0"/>
    <s v="20-29"/>
  </r>
  <r>
    <s v="CFE3-312D"/>
    <s v="Jess"/>
    <s v="Hoyte"/>
    <x v="1"/>
    <n v="21"/>
    <s v="Frequent Traveller"/>
    <x v="0"/>
    <n v="36"/>
    <s v="IL"/>
    <s v="White"/>
    <n v="4"/>
    <s v="Other"/>
    <x v="0"/>
    <s v="Single"/>
    <n v="46452"/>
    <n v="0"/>
    <x v="1"/>
    <d v="2020-11-08T00:00:00"/>
    <s v="Yes"/>
    <n v="1"/>
    <n v="1"/>
    <n v="1"/>
    <n v="0"/>
    <s v="Masters "/>
    <s v="Masters "/>
    <s v="Masters "/>
    <n v="1"/>
    <s v="20-29"/>
  </r>
  <r>
    <s v="F532-0DAF"/>
    <s v="Byrle"/>
    <s v="Fright"/>
    <x v="1"/>
    <n v="22"/>
    <s v="Some Travel"/>
    <x v="2"/>
    <n v="24"/>
    <s v="CA"/>
    <s v="White"/>
    <n v="3"/>
    <s v="Information Systems"/>
    <x v="7"/>
    <s v="Married"/>
    <n v="44076"/>
    <n v="1"/>
    <x v="0"/>
    <d v="2020-11-08T00:00:00"/>
    <s v="No"/>
    <n v="2"/>
    <n v="1"/>
    <n v="1"/>
    <n v="1"/>
    <s v="Bachelors "/>
    <s v="Bachelors "/>
    <s v="Bachelors "/>
    <n v="0"/>
    <s v="20-29"/>
  </r>
  <r>
    <s v="EC4D-D0F3"/>
    <s v="Camilla"/>
    <s v="Caistor"/>
    <x v="0"/>
    <n v="28"/>
    <s v="Some Travel"/>
    <x v="1"/>
    <n v="31"/>
    <s v="NY"/>
    <s v="White"/>
    <n v="3"/>
    <s v="Human Resources"/>
    <x v="11"/>
    <s v="Married"/>
    <n v="96807"/>
    <n v="1"/>
    <x v="0"/>
    <d v="2020-11-12T00:00:00"/>
    <s v="No"/>
    <n v="2"/>
    <n v="1"/>
    <n v="2"/>
    <n v="0"/>
    <s v="Bachelors "/>
    <s v="Bachelors "/>
    <s v="Bachelors "/>
    <n v="0"/>
    <s v="20-29"/>
  </r>
  <r>
    <s v="9461-9439"/>
    <s v="Verne"/>
    <s v="Heads"/>
    <x v="1"/>
    <n v="21"/>
    <s v="Some Travel"/>
    <x v="2"/>
    <n v="24"/>
    <s v="NY"/>
    <s v="White"/>
    <n v="3"/>
    <s v="Information Systems"/>
    <x v="5"/>
    <s v="Divorced"/>
    <n v="75816"/>
    <n v="1"/>
    <x v="0"/>
    <d v="2020-11-15T00:00:00"/>
    <s v="No"/>
    <n v="2"/>
    <n v="1"/>
    <n v="1"/>
    <n v="0"/>
    <s v="Bachelors "/>
    <s v="Bachelors "/>
    <s v="Bachelors "/>
    <n v="0"/>
    <s v="20-29"/>
  </r>
  <r>
    <s v="7CDB-25C4"/>
    <s v="Isaac"/>
    <s v="Tomini"/>
    <x v="1"/>
    <n v="22"/>
    <s v="Some Travel"/>
    <x v="2"/>
    <n v="40"/>
    <s v="NY"/>
    <s v="White"/>
    <n v="3"/>
    <s v="Information Systems"/>
    <x v="8"/>
    <s v="Married"/>
    <n v="54114"/>
    <n v="1"/>
    <x v="1"/>
    <d v="2020-11-18T00:00:00"/>
    <s v="No"/>
    <n v="2"/>
    <n v="0"/>
    <n v="1"/>
    <n v="1"/>
    <s v="Bachelors "/>
    <s v="Bachelors "/>
    <s v="Bachelors "/>
    <n v="0"/>
    <s v="20-29"/>
  </r>
  <r>
    <s v="E2A0-930A"/>
    <s v="Federica"/>
    <s v="Killiner"/>
    <x v="0"/>
    <n v="21"/>
    <s v="Some Travel"/>
    <x v="0"/>
    <n v="18"/>
    <s v="IL"/>
    <s v="White"/>
    <n v="4"/>
    <s v="Economics"/>
    <x v="0"/>
    <s v="Single"/>
    <n v="49374"/>
    <n v="0"/>
    <x v="0"/>
    <d v="2020-11-19T00:00:00"/>
    <s v="No"/>
    <n v="2"/>
    <n v="2"/>
    <n v="2"/>
    <n v="1"/>
    <s v="Masters "/>
    <s v="Masters "/>
    <s v="Masters "/>
    <n v="0"/>
    <s v="20-29"/>
  </r>
  <r>
    <s v="FD95-9EEB"/>
    <s v="Sasha"/>
    <s v="Incogna"/>
    <x v="1"/>
    <n v="30"/>
    <s v="Some Travel"/>
    <x v="2"/>
    <n v="19"/>
    <s v="IL"/>
    <s v="White"/>
    <n v="4"/>
    <s v="Business Studies"/>
    <x v="4"/>
    <s v="Single"/>
    <n v="96187"/>
    <n v="0"/>
    <x v="1"/>
    <d v="2020-11-19T00:00:00"/>
    <s v="Yes"/>
    <n v="0"/>
    <n v="0"/>
    <n v="0"/>
    <n v="0"/>
    <s v="Masters "/>
    <s v="Masters "/>
    <s v="Masters "/>
    <n v="1"/>
    <s v="30-39"/>
  </r>
  <r>
    <s v="9536-9492"/>
    <s v="Ingelbert"/>
    <s v="Kennerley"/>
    <x v="1"/>
    <n v="23"/>
    <s v="Some Travel"/>
    <x v="2"/>
    <n v="4"/>
    <s v="NY"/>
    <s v="White"/>
    <n v="4"/>
    <s v="Computer Science"/>
    <x v="7"/>
    <s v="Divorced"/>
    <n v="42687"/>
    <n v="3"/>
    <x v="1"/>
    <d v="2020-11-21T00:00:00"/>
    <s v="No"/>
    <n v="2"/>
    <n v="2"/>
    <n v="2"/>
    <n v="2"/>
    <s v="Masters "/>
    <s v="Masters "/>
    <s v="Masters "/>
    <n v="0"/>
    <s v="20-29"/>
  </r>
  <r>
    <s v="1A7C-19DB"/>
    <s v="Randi"/>
    <s v="Oswick"/>
    <x v="0"/>
    <n v="39"/>
    <s v="Some Travel"/>
    <x v="2"/>
    <n v="42"/>
    <s v="CA"/>
    <s v="White"/>
    <n v="4"/>
    <s v="Computer Science"/>
    <x v="2"/>
    <s v="Single"/>
    <n v="539998"/>
    <n v="0"/>
    <x v="1"/>
    <d v="2020-11-22T00:00:00"/>
    <s v="Yes"/>
    <n v="1"/>
    <n v="0"/>
    <n v="0"/>
    <n v="0"/>
    <s v="Masters "/>
    <s v="Masters "/>
    <s v="Masters "/>
    <n v="1"/>
    <s v="30-39"/>
  </r>
  <r>
    <s v="CA1B-0302"/>
    <s v="Hestia"/>
    <s v="Pickin"/>
    <x v="0"/>
    <n v="22"/>
    <s v="Some Travel"/>
    <x v="1"/>
    <n v="11"/>
    <s v="NY"/>
    <s v="White"/>
    <n v="3"/>
    <s v="Marketing "/>
    <x v="3"/>
    <s v="Married"/>
    <n v="26880"/>
    <n v="0"/>
    <x v="0"/>
    <d v="2020-12-10T00:00:00"/>
    <s v="No"/>
    <n v="2"/>
    <n v="2"/>
    <n v="2"/>
    <n v="1"/>
    <s v="Bachelors "/>
    <s v="Bachelors "/>
    <s v="Bachelors "/>
    <n v="0"/>
    <s v="20-29"/>
  </r>
  <r>
    <s v="5795-08D3"/>
    <s v="Staffard"/>
    <s v="Ramard"/>
    <x v="1"/>
    <n v="21"/>
    <s v="Some Travel"/>
    <x v="2"/>
    <n v="23"/>
    <s v="CA"/>
    <s v="White"/>
    <n v="2"/>
    <s v="Information Systems"/>
    <x v="5"/>
    <s v="Divorced"/>
    <n v="56541"/>
    <n v="2"/>
    <x v="0"/>
    <d v="2020-12-10T00:00:00"/>
    <s v="No"/>
    <n v="2"/>
    <n v="0"/>
    <n v="1"/>
    <n v="0"/>
    <s v="High School "/>
    <s v="High School "/>
    <s v="High School "/>
    <n v="0"/>
    <s v="20-29"/>
  </r>
  <r>
    <s v="06B9-B79D"/>
    <s v="Roseanne"/>
    <s v="Thrustle"/>
    <x v="0"/>
    <n v="21"/>
    <s v="Some Travel"/>
    <x v="0"/>
    <n v="36"/>
    <s v="CA"/>
    <s v="White"/>
    <n v="3"/>
    <s v="Marketing"/>
    <x v="0"/>
    <s v="Married"/>
    <n v="76057"/>
    <n v="2"/>
    <x v="0"/>
    <d v="2020-12-12T00:00:00"/>
    <s v="Yes"/>
    <n v="1"/>
    <n v="0"/>
    <n v="0"/>
    <n v="0"/>
    <s v="Bachelors "/>
    <s v="Bachelors "/>
    <s v="Bachelors "/>
    <n v="1"/>
    <s v="20-29"/>
  </r>
  <r>
    <s v="A89C-9A1E"/>
    <s v="Seline"/>
    <s v="Hanlin"/>
    <x v="0"/>
    <n v="21"/>
    <s v="Some Travel"/>
    <x v="2"/>
    <n v="30"/>
    <s v="CA"/>
    <s v="White"/>
    <n v="3"/>
    <s v="Business Studies"/>
    <x v="4"/>
    <s v="Divorced"/>
    <n v="56422"/>
    <n v="1"/>
    <x v="0"/>
    <d v="2020-12-12T00:00:00"/>
    <s v="No"/>
    <n v="2"/>
    <n v="2"/>
    <n v="2"/>
    <n v="1"/>
    <s v="Bachelors "/>
    <s v="Bachelors "/>
    <s v="Bachelors "/>
    <n v="0"/>
    <s v="20-29"/>
  </r>
  <r>
    <s v="781E-4257"/>
    <s v="Pepi"/>
    <s v="Clift"/>
    <x v="0"/>
    <n v="21"/>
    <s v="Some Travel"/>
    <x v="2"/>
    <n v="39"/>
    <s v="NY"/>
    <s v="White"/>
    <n v="2"/>
    <s v="Information Systems"/>
    <x v="5"/>
    <s v="Single"/>
    <n v="63201"/>
    <n v="0"/>
    <x v="0"/>
    <d v="2020-12-13T00:00:00"/>
    <s v="No"/>
    <n v="2"/>
    <n v="2"/>
    <n v="2"/>
    <n v="2"/>
    <s v="High School "/>
    <s v="High School "/>
    <s v="High School "/>
    <n v="0"/>
    <s v="20-29"/>
  </r>
  <r>
    <s v="2D04-D0A5"/>
    <s v="Rosaline"/>
    <s v="Ferrieri"/>
    <x v="0"/>
    <n v="29"/>
    <s v="Frequent Traveller"/>
    <x v="0"/>
    <n v="13"/>
    <s v="CA"/>
    <s v="White"/>
    <n v="3"/>
    <s v="Marketing "/>
    <x v="0"/>
    <s v="Married"/>
    <n v="126008"/>
    <n v="1"/>
    <x v="0"/>
    <d v="2020-12-16T00:00:00"/>
    <s v="No"/>
    <n v="2"/>
    <n v="2"/>
    <n v="2"/>
    <n v="1"/>
    <s v="Bachelors "/>
    <s v="Bachelors "/>
    <s v="Bachelors "/>
    <n v="0"/>
    <s v="20-29"/>
  </r>
  <r>
    <s v="30CC-9AD8"/>
    <s v="Maximo"/>
    <s v="Poundford"/>
    <x v="1"/>
    <n v="22"/>
    <s v="Some Travel"/>
    <x v="2"/>
    <n v="20"/>
    <s v="IL"/>
    <s v="White"/>
    <n v="2"/>
    <s v="Information Systems"/>
    <x v="8"/>
    <s v="Married"/>
    <n v="54899"/>
    <n v="1"/>
    <x v="1"/>
    <d v="2020-12-18T00:00:00"/>
    <s v="No"/>
    <n v="2"/>
    <n v="0"/>
    <n v="1"/>
    <n v="0"/>
    <s v="High School "/>
    <s v="High School "/>
    <s v="High School "/>
    <n v="0"/>
    <s v="20-29"/>
  </r>
  <r>
    <s v="C96B-43C7"/>
    <s v="Kristo"/>
    <s v="Casaro"/>
    <x v="1"/>
    <n v="21"/>
    <s v="Some Travel"/>
    <x v="2"/>
    <n v="22"/>
    <s v="NY"/>
    <s v="White"/>
    <n v="2"/>
    <s v="Computer Science"/>
    <x v="7"/>
    <s v="Divorced"/>
    <n v="73075"/>
    <n v="2"/>
    <x v="0"/>
    <d v="2020-12-23T00:00:00"/>
    <s v="No"/>
    <n v="2"/>
    <n v="1"/>
    <n v="1"/>
    <n v="1"/>
    <s v="High School "/>
    <s v="High School "/>
    <s v="High School "/>
    <n v="0"/>
    <s v="20-29"/>
  </r>
  <r>
    <s v="12E5-9BD1"/>
    <s v="Kessiah"/>
    <s v="Tallet"/>
    <x v="0"/>
    <n v="36"/>
    <s v="Some Travel"/>
    <x v="2"/>
    <n v="10"/>
    <s v="CA"/>
    <s v="White"/>
    <n v="4"/>
    <s v="Information Systems"/>
    <x v="8"/>
    <s v="Divorced"/>
    <n v="297181"/>
    <n v="1"/>
    <x v="0"/>
    <d v="2020-12-24T00:00:00"/>
    <s v="No"/>
    <n v="2"/>
    <n v="2"/>
    <n v="2"/>
    <n v="2"/>
    <s v="Masters "/>
    <s v="Masters "/>
    <s v="Masters "/>
    <n v="0"/>
    <s v="30-39"/>
  </r>
  <r>
    <s v="DF94-FD29"/>
    <s v="Shaughn"/>
    <s v="Wehden"/>
    <x v="1"/>
    <n v="22"/>
    <s v="Frequent Traveller"/>
    <x v="0"/>
    <n v="4"/>
    <s v="NY"/>
    <s v="White"/>
    <n v="4"/>
    <s v="Marketing"/>
    <x v="0"/>
    <s v="Single"/>
    <n v="75816"/>
    <n v="0"/>
    <x v="0"/>
    <d v="2020-12-24T00:00:00"/>
    <s v="Yes"/>
    <n v="1"/>
    <n v="0"/>
    <n v="0"/>
    <n v="0"/>
    <s v="Masters "/>
    <s v="Masters "/>
    <s v="Masters "/>
    <n v="1"/>
    <s v="20-29"/>
  </r>
  <r>
    <s v="23E6-A67A"/>
    <s v="Faun"/>
    <s v="Gosson"/>
    <x v="2"/>
    <n v="19"/>
    <s v="Some Travel"/>
    <x v="2"/>
    <n v="25"/>
    <s v="CA"/>
    <s v="White"/>
    <n v="2"/>
    <s v="Other"/>
    <x v="5"/>
    <s v="Single"/>
    <n v="50352"/>
    <n v="0"/>
    <x v="1"/>
    <d v="2021-01-02T00:00:00"/>
    <s v="No"/>
    <n v="1"/>
    <n v="1"/>
    <n v="1"/>
    <n v="1"/>
    <s v="High School "/>
    <s v="High School "/>
    <s v="High School "/>
    <n v="0"/>
    <s v="20-29"/>
  </r>
  <r>
    <s v="50FB-5702"/>
    <s v="Betty"/>
    <s v="Greetland"/>
    <x v="0"/>
    <n v="31"/>
    <s v="No Travel "/>
    <x v="0"/>
    <n v="7"/>
    <s v="NY"/>
    <s v="White"/>
    <n v="2"/>
    <s v="Marketing"/>
    <x v="0"/>
    <s v="Married"/>
    <n v="186215"/>
    <n v="1"/>
    <x v="0"/>
    <d v="2021-01-04T00:00:00"/>
    <s v="No"/>
    <n v="1"/>
    <n v="0"/>
    <n v="1"/>
    <n v="1"/>
    <s v="High School "/>
    <s v="High School "/>
    <s v="High School "/>
    <n v="0"/>
    <s v="30-39"/>
  </r>
  <r>
    <s v="04E6-6B61"/>
    <s v="Rodd"/>
    <s v="Haddow"/>
    <x v="1"/>
    <n v="29"/>
    <s v="Some Travel"/>
    <x v="0"/>
    <n v="17"/>
    <s v="CA"/>
    <s v="White"/>
    <n v="4"/>
    <s v="Marketing"/>
    <x v="0"/>
    <s v="Single"/>
    <n v="140158"/>
    <n v="0"/>
    <x v="0"/>
    <d v="2021-01-04T00:00:00"/>
    <s v="No"/>
    <n v="1"/>
    <n v="0"/>
    <n v="1"/>
    <n v="1"/>
    <s v="Masters "/>
    <s v="Masters "/>
    <s v="Masters "/>
    <n v="0"/>
    <s v="20-29"/>
  </r>
  <r>
    <s v="3F5B-6277"/>
    <s v="Katerine"/>
    <s v="Fredi"/>
    <x v="0"/>
    <n v="19"/>
    <s v="Some Travel"/>
    <x v="2"/>
    <n v="36"/>
    <s v="CA"/>
    <s v="White"/>
    <n v="2"/>
    <s v="Information Systems"/>
    <x v="7"/>
    <s v="Single"/>
    <n v="23385"/>
    <n v="2"/>
    <x v="0"/>
    <d v="2021-01-06T00:00:00"/>
    <s v="No"/>
    <n v="1"/>
    <n v="0"/>
    <n v="1"/>
    <n v="1"/>
    <s v="High School "/>
    <s v="High School "/>
    <s v="High School "/>
    <n v="0"/>
    <s v="20-29"/>
  </r>
  <r>
    <s v="489B-14EC"/>
    <s v="Harley"/>
    <s v="Angelini"/>
    <x v="0"/>
    <n v="21"/>
    <s v="Some Travel"/>
    <x v="2"/>
    <n v="15"/>
    <s v="IL"/>
    <s v="White"/>
    <n v="2"/>
    <s v="Computer Science"/>
    <x v="5"/>
    <s v="Married"/>
    <n v="62882"/>
    <n v="0"/>
    <x v="1"/>
    <d v="2021-01-09T00:00:00"/>
    <s v="Yes"/>
    <n v="0"/>
    <n v="0"/>
    <n v="0"/>
    <n v="0"/>
    <s v="High School "/>
    <s v="High School "/>
    <s v="High School "/>
    <n v="1"/>
    <s v="20-29"/>
  </r>
  <r>
    <s v="0F2B-3457"/>
    <s v="Steven"/>
    <s v="Bucktrout"/>
    <x v="1"/>
    <n v="19"/>
    <s v="Frequent Traveller"/>
    <x v="0"/>
    <n v="14"/>
    <s v="NY"/>
    <s v="White"/>
    <n v="2"/>
    <s v="Marketing "/>
    <x v="0"/>
    <s v="Single"/>
    <n v="74458"/>
    <n v="1"/>
    <x v="1"/>
    <d v="2021-01-10T00:00:00"/>
    <s v="No"/>
    <n v="1"/>
    <n v="0"/>
    <n v="0"/>
    <n v="1"/>
    <s v="High School "/>
    <s v="High School "/>
    <s v="High School "/>
    <n v="0"/>
    <s v="20-29"/>
  </r>
  <r>
    <s v="3182-7F44"/>
    <s v="Bethany"/>
    <s v="Dawks"/>
    <x v="0"/>
    <n v="21"/>
    <s v="Some Travel"/>
    <x v="2"/>
    <n v="19"/>
    <s v="NY"/>
    <s v="White"/>
    <n v="4"/>
    <s v="Information Systems"/>
    <x v="7"/>
    <s v="Single"/>
    <n v="25114"/>
    <n v="0"/>
    <x v="0"/>
    <d v="2021-01-16T00:00:00"/>
    <s v="No"/>
    <n v="1"/>
    <n v="1"/>
    <n v="1"/>
    <n v="1"/>
    <s v="Masters "/>
    <s v="Masters "/>
    <s v="Masters "/>
    <n v="0"/>
    <s v="20-29"/>
  </r>
  <r>
    <s v="08AC-30AB"/>
    <s v="Wolf"/>
    <s v="Sainsbury"/>
    <x v="1"/>
    <n v="51"/>
    <s v="Some Travel"/>
    <x v="2"/>
    <n v="30"/>
    <s v="NY"/>
    <s v="White"/>
    <n v="3"/>
    <s v="Computer Science"/>
    <x v="10"/>
    <s v="Divorced"/>
    <n v="232658"/>
    <n v="1"/>
    <x v="0"/>
    <d v="2021-01-17T00:00:00"/>
    <s v="No"/>
    <n v="1"/>
    <n v="1"/>
    <n v="1"/>
    <n v="1"/>
    <s v="Bachelors "/>
    <s v="Bachelors "/>
    <s v="Bachelors "/>
    <n v="0"/>
    <s v="50+"/>
  </r>
  <r>
    <s v="1368-8327"/>
    <s v="Nataniel"/>
    <s v="Garrattley"/>
    <x v="2"/>
    <n v="22"/>
    <s v="Some Travel"/>
    <x v="2"/>
    <n v="16"/>
    <s v="NY"/>
    <s v="White"/>
    <n v="1"/>
    <s v="Computer Science"/>
    <x v="4"/>
    <s v="Married"/>
    <n v="78467"/>
    <n v="2"/>
    <x v="1"/>
    <d v="2021-01-25T00:00:00"/>
    <s v="No"/>
    <n v="1"/>
    <n v="0"/>
    <n v="1"/>
    <n v="0"/>
    <s v="No Formal Qualifications"/>
    <s v="No Formal Qualifications"/>
    <s v="No Formal Qualifications"/>
    <n v="0"/>
    <s v="20-29"/>
  </r>
  <r>
    <s v="9758-DE2F"/>
    <s v="Modestine"/>
    <s v="Yeowell"/>
    <x v="0"/>
    <n v="28"/>
    <s v="Some Travel"/>
    <x v="2"/>
    <n v="15"/>
    <s v="CA"/>
    <s v="White"/>
    <n v="4"/>
    <s v="Other"/>
    <x v="0"/>
    <s v="Single"/>
    <n v="319619"/>
    <n v="0"/>
    <x v="1"/>
    <d v="2021-01-26T00:00:00"/>
    <s v="No"/>
    <n v="1"/>
    <n v="1"/>
    <n v="1"/>
    <n v="0"/>
    <s v="Masters "/>
    <s v="Masters "/>
    <s v="Masters "/>
    <n v="0"/>
    <s v="20-29"/>
  </r>
  <r>
    <s v="10C9-925C"/>
    <s v="Mechelle"/>
    <s v="Kyte"/>
    <x v="0"/>
    <n v="22"/>
    <s v="Some Travel"/>
    <x v="2"/>
    <n v="40"/>
    <s v="IL"/>
    <s v="White"/>
    <n v="4"/>
    <s v="Computer Science"/>
    <x v="8"/>
    <s v="Married"/>
    <n v="66266"/>
    <n v="1"/>
    <x v="0"/>
    <d v="2021-01-31T00:00:00"/>
    <s v="No"/>
    <n v="1"/>
    <n v="0"/>
    <n v="1"/>
    <n v="1"/>
    <s v="Masters "/>
    <s v="Masters "/>
    <s v="Masters "/>
    <n v="0"/>
    <s v="20-29"/>
  </r>
  <r>
    <s v="B76C-D9CE"/>
    <s v="Mada"/>
    <s v="Moss"/>
    <x v="0"/>
    <n v="22"/>
    <s v="Some Travel"/>
    <x v="1"/>
    <n v="7"/>
    <s v="NY"/>
    <s v="White"/>
    <n v="2"/>
    <s v="Economics"/>
    <x v="3"/>
    <s v="Married"/>
    <n v="29322"/>
    <n v="0"/>
    <x v="1"/>
    <d v="2021-01-31T00:00:00"/>
    <s v="Yes"/>
    <n v="1"/>
    <n v="0"/>
    <n v="0"/>
    <n v="0"/>
    <s v="High School "/>
    <s v="High School "/>
    <s v="High School "/>
    <n v="1"/>
    <s v="20-29"/>
  </r>
  <r>
    <s v="56FC-5C6E"/>
    <s v="Donovan"/>
    <s v="Sycamore"/>
    <x v="1"/>
    <n v="28"/>
    <s v="Some Travel"/>
    <x v="0"/>
    <n v="42"/>
    <s v="CA"/>
    <s v="White"/>
    <n v="3"/>
    <s v="Marketing"/>
    <x v="0"/>
    <s v="Married"/>
    <n v="128192"/>
    <n v="1"/>
    <x v="0"/>
    <d v="2021-02-05T00:00:00"/>
    <s v="No"/>
    <n v="1"/>
    <n v="1"/>
    <n v="1"/>
    <n v="0"/>
    <s v="Bachelors "/>
    <s v="Bachelors "/>
    <s v="Bachelors "/>
    <n v="0"/>
    <s v="20-29"/>
  </r>
  <r>
    <s v="218E-AB6F"/>
    <s v="Mickie"/>
    <s v="D'Abbot-Doyle"/>
    <x v="1"/>
    <n v="42"/>
    <s v="Some Travel"/>
    <x v="2"/>
    <n v="28"/>
    <s v="CA"/>
    <s v="White"/>
    <n v="3"/>
    <s v="Computer Science"/>
    <x v="2"/>
    <s v="Single"/>
    <n v="380905"/>
    <n v="0"/>
    <x v="0"/>
    <d v="2021-02-06T00:00:00"/>
    <s v="No"/>
    <n v="1"/>
    <n v="0"/>
    <n v="1"/>
    <n v="1"/>
    <s v="Bachelors "/>
    <s v="Bachelors "/>
    <s v="Bachelors "/>
    <n v="0"/>
    <s v="40-49"/>
  </r>
  <r>
    <s v="B0C2-0E3D"/>
    <s v="Cindy"/>
    <s v="Mordanti"/>
    <x v="0"/>
    <n v="22"/>
    <s v="Some Travel"/>
    <x v="0"/>
    <n v="22"/>
    <s v="CA"/>
    <s v="White"/>
    <n v="1"/>
    <s v="Other"/>
    <x v="0"/>
    <s v="Married"/>
    <n v="48698"/>
    <n v="0"/>
    <x v="1"/>
    <d v="2021-02-18T00:00:00"/>
    <s v="No"/>
    <n v="1"/>
    <n v="0"/>
    <n v="1"/>
    <n v="1"/>
    <s v="No Formal Qualifications"/>
    <s v="No Formal Qualifications"/>
    <s v="No Formal Qualifications"/>
    <n v="0"/>
    <s v="20-29"/>
  </r>
  <r>
    <s v="D1C6-25BE"/>
    <s v="Shadow"/>
    <s v="O'Curneen"/>
    <x v="1"/>
    <n v="19"/>
    <s v="Some Travel"/>
    <x v="2"/>
    <n v="26"/>
    <s v="CA"/>
    <s v="White"/>
    <n v="3"/>
    <s v="Information Systems"/>
    <x v="7"/>
    <s v="Single"/>
    <n v="43961"/>
    <n v="1"/>
    <x v="0"/>
    <d v="2021-02-19T00:00:00"/>
    <s v="No"/>
    <n v="1"/>
    <n v="0"/>
    <n v="1"/>
    <n v="1"/>
    <s v="Bachelors "/>
    <s v="Bachelors "/>
    <s v="Bachelors "/>
    <n v="0"/>
    <s v="20-29"/>
  </r>
  <r>
    <s v="801E-9D0E"/>
    <s v="Shaw"/>
    <s v="McCaw"/>
    <x v="1"/>
    <n v="32"/>
    <s v="Some Travel"/>
    <x v="2"/>
    <n v="34"/>
    <s v="CA"/>
    <s v="White"/>
    <n v="4"/>
    <s v="Information Systems"/>
    <x v="7"/>
    <s v="Single"/>
    <n v="439641"/>
    <n v="0"/>
    <x v="0"/>
    <d v="2021-02-20T00:00:00"/>
    <s v="No"/>
    <n v="1"/>
    <n v="0"/>
    <n v="1"/>
    <n v="1"/>
    <s v="Masters "/>
    <s v="Masters "/>
    <s v="Masters "/>
    <n v="0"/>
    <s v="30-39"/>
  </r>
  <r>
    <s v="48B9-8A61"/>
    <s v="Clarita"/>
    <s v="Chetter"/>
    <x v="0"/>
    <n v="19"/>
    <s v="Some Travel"/>
    <x v="2"/>
    <n v="44"/>
    <s v="CA"/>
    <s v="White"/>
    <n v="4"/>
    <s v="Computer Science"/>
    <x v="5"/>
    <s v="Single"/>
    <n v="42900"/>
    <n v="2"/>
    <x v="1"/>
    <d v="2021-02-28T00:00:00"/>
    <s v="No"/>
    <n v="1"/>
    <n v="0"/>
    <n v="1"/>
    <n v="0"/>
    <s v="Masters "/>
    <s v="Masters "/>
    <s v="Masters "/>
    <n v="0"/>
    <s v="20-29"/>
  </r>
  <r>
    <s v="4C88-27A1"/>
    <s v="Eleonora"/>
    <s v="Grosier"/>
    <x v="0"/>
    <n v="21"/>
    <s v="Some Travel"/>
    <x v="2"/>
    <n v="38"/>
    <s v="CA"/>
    <s v="White"/>
    <n v="1"/>
    <s v="Information Systems"/>
    <x v="8"/>
    <s v="Married"/>
    <n v="63049"/>
    <n v="0"/>
    <x v="1"/>
    <d v="2021-03-01T00:00:00"/>
    <s v="Yes"/>
    <n v="0"/>
    <n v="0"/>
    <n v="0"/>
    <n v="0"/>
    <s v="No Formal Qualifications"/>
    <s v="No Formal Qualifications"/>
    <s v="No Formal Qualifications"/>
    <n v="1"/>
    <s v="20-29"/>
  </r>
  <r>
    <s v="C4F0-F933"/>
    <s v="Vassily"/>
    <s v="Bazoge"/>
    <x v="1"/>
    <n v="37"/>
    <s v="Some Travel"/>
    <x v="2"/>
    <n v="22"/>
    <s v="IL"/>
    <s v="White"/>
    <n v="3"/>
    <s v="Computer Science"/>
    <x v="8"/>
    <s v="Married"/>
    <n v="193287"/>
    <n v="1"/>
    <x v="1"/>
    <d v="2021-03-01T00:00:00"/>
    <s v="No"/>
    <n v="1"/>
    <n v="0"/>
    <n v="1"/>
    <n v="0"/>
    <s v="Bachelors "/>
    <s v="Bachelors "/>
    <s v="Bachelors "/>
    <n v="0"/>
    <s v="30-39"/>
  </r>
  <r>
    <s v="8A18-9075"/>
    <s v="Phyllys"/>
    <s v="Newham"/>
    <x v="0"/>
    <n v="31"/>
    <s v="Frequent Traveller"/>
    <x v="2"/>
    <n v="25"/>
    <s v="NY"/>
    <s v="White"/>
    <n v="5"/>
    <s v="Information Systems"/>
    <x v="10"/>
    <s v="Single"/>
    <n v="362540"/>
    <n v="1"/>
    <x v="0"/>
    <d v="2021-03-03T00:00:00"/>
    <s v="No"/>
    <n v="1"/>
    <n v="0"/>
    <n v="0"/>
    <n v="0"/>
    <s v="Doctorate"/>
    <s v="Doctorate"/>
    <s v="Doctorate"/>
    <n v="0"/>
    <s v="30-39"/>
  </r>
  <r>
    <s v="76FD-F574"/>
    <s v="Chucho"/>
    <s v="Herries"/>
    <x v="1"/>
    <n v="35"/>
    <s v="Some Travel"/>
    <x v="2"/>
    <n v="19"/>
    <s v="NY"/>
    <s v="White"/>
    <n v="4"/>
    <s v="Computer Science"/>
    <x v="5"/>
    <s v="Married"/>
    <n v="286432"/>
    <n v="1"/>
    <x v="0"/>
    <d v="2021-03-03T00:00:00"/>
    <s v="No"/>
    <n v="1"/>
    <n v="0"/>
    <n v="1"/>
    <n v="0"/>
    <s v="Masters "/>
    <s v="Masters "/>
    <s v="Masters "/>
    <n v="0"/>
    <s v="30-39"/>
  </r>
  <r>
    <s v="81C2-E188"/>
    <s v="Nada"/>
    <s v="Finlator"/>
    <x v="0"/>
    <n v="19"/>
    <s v="Some Travel"/>
    <x v="1"/>
    <n v="1"/>
    <s v="CA"/>
    <s v="White"/>
    <n v="3"/>
    <s v="Human Resources"/>
    <x v="11"/>
    <s v="Single"/>
    <n v="41958"/>
    <n v="1"/>
    <x v="0"/>
    <d v="2021-03-09T00:00:00"/>
    <s v="No"/>
    <n v="1"/>
    <n v="1"/>
    <n v="1"/>
    <n v="0"/>
    <s v="Bachelors "/>
    <s v="Bachelors "/>
    <s v="Bachelors "/>
    <n v="0"/>
    <s v="20-29"/>
  </r>
  <r>
    <s v="C768-BBF8"/>
    <s v="Carine"/>
    <s v="Molfino"/>
    <x v="0"/>
    <n v="30"/>
    <s v="Some Travel"/>
    <x v="2"/>
    <n v="19"/>
    <s v="CA"/>
    <s v="White"/>
    <n v="3"/>
    <s v="Computer Science"/>
    <x v="8"/>
    <s v="Divorced"/>
    <n v="125751"/>
    <n v="1"/>
    <x v="0"/>
    <d v="2021-03-11T00:00:00"/>
    <s v="No"/>
    <n v="1"/>
    <n v="0"/>
    <n v="1"/>
    <n v="1"/>
    <s v="Bachelors "/>
    <s v="Bachelors "/>
    <s v="Bachelors "/>
    <n v="0"/>
    <s v="30-39"/>
  </r>
  <r>
    <s v="8B79-18F1"/>
    <s v="Abra"/>
    <s v="MacGray"/>
    <x v="0"/>
    <n v="20"/>
    <s v="Some Travel"/>
    <x v="2"/>
    <n v="39"/>
    <s v="CA"/>
    <s v="White"/>
    <n v="4"/>
    <s v="Information Systems"/>
    <x v="7"/>
    <s v="Married"/>
    <n v="37436"/>
    <n v="0"/>
    <x v="1"/>
    <d v="2021-03-14T00:00:00"/>
    <s v="Yes"/>
    <n v="0"/>
    <n v="0"/>
    <n v="0"/>
    <n v="0"/>
    <s v="Masters "/>
    <s v="Masters "/>
    <s v="Masters "/>
    <n v="1"/>
    <s v="20-29"/>
  </r>
  <r>
    <s v="7FA1-BC64"/>
    <s v="Curry"/>
    <s v="Bramah"/>
    <x v="1"/>
    <n v="19"/>
    <s v="Some Travel"/>
    <x v="2"/>
    <n v="7"/>
    <s v="CA"/>
    <s v="White"/>
    <n v="3"/>
    <s v="Information Systems"/>
    <x v="7"/>
    <s v="Single"/>
    <n v="30896"/>
    <n v="0"/>
    <x v="1"/>
    <d v="2021-03-17T00:00:00"/>
    <s v="Yes"/>
    <n v="1"/>
    <n v="0"/>
    <n v="0"/>
    <n v="0"/>
    <s v="Bachelors "/>
    <s v="Bachelors "/>
    <s v="Bachelors "/>
    <n v="1"/>
    <s v="20-29"/>
  </r>
  <r>
    <s v="6FA6-DBB9"/>
    <s v="Darya"/>
    <s v="Itzkovsky"/>
    <x v="0"/>
    <n v="42"/>
    <s v="Some Travel"/>
    <x v="0"/>
    <n v="2"/>
    <s v="NY"/>
    <s v="White"/>
    <n v="3"/>
    <s v="Economics"/>
    <x v="0"/>
    <s v="Divorced"/>
    <n v="260021"/>
    <n v="1"/>
    <x v="0"/>
    <d v="2021-03-22T00:00:00"/>
    <s v="No"/>
    <n v="1"/>
    <n v="1"/>
    <n v="1"/>
    <n v="0"/>
    <s v="Bachelors "/>
    <s v="Bachelors "/>
    <s v="Bachelors "/>
    <n v="0"/>
    <s v="40-49"/>
  </r>
  <r>
    <s v="4B7E-9DE5"/>
    <s v="Tanner"/>
    <s v="Syplus"/>
    <x v="1"/>
    <n v="21"/>
    <s v="Some Travel"/>
    <x v="2"/>
    <n v="5"/>
    <s v="NY"/>
    <s v="White"/>
    <n v="3"/>
    <s v="Computer Science"/>
    <x v="7"/>
    <s v="Married"/>
    <n v="25060"/>
    <n v="1"/>
    <x v="0"/>
    <d v="2021-03-22T00:00:00"/>
    <s v="No"/>
    <n v="1"/>
    <n v="1"/>
    <n v="1"/>
    <n v="1"/>
    <s v="Bachelors "/>
    <s v="Bachelors "/>
    <s v="Bachelors "/>
    <n v="0"/>
    <s v="20-29"/>
  </r>
  <r>
    <s v="7B30-BAC8"/>
    <s v="Ferdy"/>
    <s v="Geggus"/>
    <x v="1"/>
    <n v="50"/>
    <s v="Frequent Traveller"/>
    <x v="2"/>
    <n v="38"/>
    <s v="NY"/>
    <s v="White"/>
    <n v="4"/>
    <s v="Information Systems"/>
    <x v="5"/>
    <s v="Married"/>
    <n v="366078"/>
    <n v="0"/>
    <x v="0"/>
    <d v="2021-03-25T00:00:00"/>
    <s v="No"/>
    <n v="1"/>
    <n v="0"/>
    <n v="0"/>
    <n v="1"/>
    <s v="Masters "/>
    <s v="Masters "/>
    <s v="Masters "/>
    <n v="0"/>
    <s v="50+"/>
  </r>
  <r>
    <s v="F220-AAA6"/>
    <s v="Caspar"/>
    <s v="Edgley"/>
    <x v="1"/>
    <n v="22"/>
    <s v="Some Travel"/>
    <x v="2"/>
    <n v="42"/>
    <s v="CA"/>
    <s v="White"/>
    <n v="4"/>
    <s v="Business Studies"/>
    <x v="7"/>
    <s v="Married"/>
    <n v="51272"/>
    <n v="1"/>
    <x v="1"/>
    <d v="2021-03-26T00:00:00"/>
    <s v="No"/>
    <n v="1"/>
    <n v="0"/>
    <n v="0"/>
    <n v="1"/>
    <s v="Masters "/>
    <s v="Masters "/>
    <s v="Masters "/>
    <n v="0"/>
    <s v="20-29"/>
  </r>
  <r>
    <s v="20BA-5868"/>
    <s v="Mallissa"/>
    <s v="Buzine"/>
    <x v="2"/>
    <n v="19"/>
    <s v="Some Travel"/>
    <x v="0"/>
    <n v="29"/>
    <s v="CA"/>
    <s v="White"/>
    <n v="1"/>
    <s v="Marketing"/>
    <x v="9"/>
    <s v="Single"/>
    <n v="29673"/>
    <n v="1"/>
    <x v="0"/>
    <d v="2021-03-27T00:00:00"/>
    <s v="Yes"/>
    <n v="0"/>
    <n v="0"/>
    <n v="0"/>
    <n v="0"/>
    <s v="No Formal Qualifications"/>
    <s v="No Formal Qualifications"/>
    <s v="No Formal Qualifications"/>
    <n v="1"/>
    <s v="20-29"/>
  </r>
  <r>
    <s v="E9AB-3F99"/>
    <s v="Babb"/>
    <s v="Rosas"/>
    <x v="3"/>
    <n v="45"/>
    <s v="Some Travel"/>
    <x v="2"/>
    <n v="5"/>
    <s v="CA"/>
    <s v="White"/>
    <n v="4"/>
    <s v="Computer Science"/>
    <x v="5"/>
    <s v="Single"/>
    <n v="241664"/>
    <n v="0"/>
    <x v="0"/>
    <d v="2021-03-27T00:00:00"/>
    <s v="No"/>
    <n v="1"/>
    <n v="1"/>
    <n v="1"/>
    <n v="0"/>
    <s v="Masters "/>
    <s v="Masters "/>
    <s v="Masters "/>
    <n v="0"/>
    <s v="40-49"/>
  </r>
  <r>
    <s v="40BE-EEAF"/>
    <s v="Adriano"/>
    <s v="Purselowe"/>
    <x v="1"/>
    <n v="24"/>
    <s v="Frequent Traveller"/>
    <x v="2"/>
    <n v="45"/>
    <s v="CA"/>
    <s v="White"/>
    <n v="3"/>
    <s v="Computer Science"/>
    <x v="4"/>
    <s v="Single"/>
    <n v="85422"/>
    <n v="0"/>
    <x v="1"/>
    <d v="2021-03-28T00:00:00"/>
    <s v="Yes"/>
    <n v="1"/>
    <n v="0"/>
    <n v="0"/>
    <n v="0"/>
    <s v="Bachelors "/>
    <s v="Bachelors "/>
    <s v="Bachelors "/>
    <n v="1"/>
    <s v="20-29"/>
  </r>
  <r>
    <s v="1787-DF90"/>
    <s v="Michail"/>
    <s v="Pimblotte"/>
    <x v="1"/>
    <n v="26"/>
    <s v="Some Travel"/>
    <x v="0"/>
    <n v="36"/>
    <s v="IL"/>
    <s v="White"/>
    <n v="4"/>
    <s v="Marketing"/>
    <x v="9"/>
    <s v="Married"/>
    <n v="70455"/>
    <n v="2"/>
    <x v="1"/>
    <d v="2021-03-30T00:00:00"/>
    <s v="No"/>
    <n v="1"/>
    <n v="1"/>
    <n v="1"/>
    <n v="1"/>
    <s v="Masters "/>
    <s v="Masters "/>
    <s v="Masters "/>
    <n v="0"/>
    <s v="20-29"/>
  </r>
  <r>
    <s v="3F3F-E438"/>
    <s v="Kathleen"/>
    <s v="Wanjek"/>
    <x v="0"/>
    <n v="21"/>
    <s v="No Travel "/>
    <x v="2"/>
    <n v="24"/>
    <s v="CA"/>
    <s v="White"/>
    <n v="5"/>
    <s v="Information Systems"/>
    <x v="7"/>
    <s v="Married"/>
    <n v="53912"/>
    <n v="2"/>
    <x v="1"/>
    <d v="2021-04-02T00:00:00"/>
    <s v="No"/>
    <n v="1"/>
    <n v="1"/>
    <n v="1"/>
    <n v="0"/>
    <s v="Doctorate"/>
    <s v="Doctorate"/>
    <s v="Doctorate"/>
    <n v="0"/>
    <s v="20-29"/>
  </r>
  <r>
    <s v="F573-D043"/>
    <s v="Alice"/>
    <s v="Brabon"/>
    <x v="0"/>
    <n v="22"/>
    <s v="Some Travel"/>
    <x v="0"/>
    <n v="16"/>
    <s v="CA"/>
    <s v="White"/>
    <n v="3"/>
    <s v="Marketing "/>
    <x v="0"/>
    <s v="Single"/>
    <n v="70202"/>
    <n v="0"/>
    <x v="0"/>
    <d v="2021-04-08T00:00:00"/>
    <s v="No"/>
    <n v="1"/>
    <n v="0"/>
    <n v="0"/>
    <n v="0"/>
    <s v="Bachelors "/>
    <s v="Bachelors "/>
    <s v="Bachelors "/>
    <n v="0"/>
    <s v="20-29"/>
  </r>
  <r>
    <s v="8C57-8F84"/>
    <s v="Lemmie"/>
    <s v="Antoniak"/>
    <x v="1"/>
    <n v="20"/>
    <s v="Frequent Traveller"/>
    <x v="2"/>
    <n v="45"/>
    <s v="CA"/>
    <s v="White"/>
    <n v="2"/>
    <s v="Information Systems"/>
    <x v="7"/>
    <s v="Divorced"/>
    <n v="22773"/>
    <n v="3"/>
    <x v="1"/>
    <d v="2021-04-14T00:00:00"/>
    <s v="Yes"/>
    <n v="1"/>
    <n v="0"/>
    <n v="0"/>
    <n v="0"/>
    <s v="High School "/>
    <s v="High School "/>
    <s v="High School "/>
    <n v="1"/>
    <s v="20-29"/>
  </r>
  <r>
    <s v="974D-9F8F"/>
    <s v="Tove"/>
    <s v="Arnao"/>
    <x v="0"/>
    <n v="21"/>
    <s v="Frequent Traveller"/>
    <x v="0"/>
    <n v="40"/>
    <s v="CA"/>
    <s v="White"/>
    <n v="3"/>
    <s v="Marketing"/>
    <x v="0"/>
    <s v="Single"/>
    <n v="59519"/>
    <n v="0"/>
    <x v="0"/>
    <d v="2021-04-18T00:00:00"/>
    <s v="No"/>
    <n v="1"/>
    <n v="1"/>
    <n v="1"/>
    <n v="1"/>
    <s v="Bachelors "/>
    <s v="Bachelors "/>
    <s v="Bachelors "/>
    <n v="0"/>
    <s v="20-29"/>
  </r>
  <r>
    <s v="D92F-63AD"/>
    <s v="Gabey"/>
    <s v="Whitloe"/>
    <x v="0"/>
    <n v="19"/>
    <s v="Frequent Traveller"/>
    <x v="2"/>
    <n v="45"/>
    <s v="CA"/>
    <s v="White"/>
    <n v="3"/>
    <s v="Computer Science"/>
    <x v="4"/>
    <s v="Single"/>
    <n v="32322"/>
    <n v="0"/>
    <x v="0"/>
    <d v="2021-04-22T00:00:00"/>
    <s v="No"/>
    <n v="1"/>
    <n v="1"/>
    <n v="1"/>
    <n v="1"/>
    <s v="Bachelors "/>
    <s v="Bachelors "/>
    <s v="Bachelors "/>
    <n v="0"/>
    <s v="20-29"/>
  </r>
  <r>
    <s v="617A-5092"/>
    <s v="Arnoldo"/>
    <s v="Lerer"/>
    <x v="1"/>
    <n v="39"/>
    <s v="No Travel "/>
    <x v="2"/>
    <n v="30"/>
    <s v="CA"/>
    <s v="White"/>
    <n v="4"/>
    <s v="Computer Science"/>
    <x v="8"/>
    <s v="Single"/>
    <n v="152771"/>
    <n v="1"/>
    <x v="0"/>
    <d v="2021-04-24T00:00:00"/>
    <s v="No"/>
    <n v="1"/>
    <n v="1"/>
    <n v="1"/>
    <n v="1"/>
    <s v="Masters "/>
    <s v="Masters "/>
    <s v="Masters "/>
    <n v="0"/>
    <s v="30-39"/>
  </r>
  <r>
    <s v="55FD-42E9"/>
    <s v="Johnna"/>
    <s v="Knotton"/>
    <x v="0"/>
    <n v="42"/>
    <s v="Some Travel"/>
    <x v="2"/>
    <n v="13"/>
    <s v="CA"/>
    <s v="White"/>
    <n v="3"/>
    <s v="Computer Science"/>
    <x v="5"/>
    <s v="Single"/>
    <n v="293303"/>
    <n v="0"/>
    <x v="0"/>
    <d v="2021-04-25T00:00:00"/>
    <s v="No"/>
    <n v="1"/>
    <n v="0"/>
    <n v="0"/>
    <n v="1"/>
    <s v="Bachelors "/>
    <s v="Bachelors "/>
    <s v="Bachelors "/>
    <n v="0"/>
    <s v="40-49"/>
  </r>
  <r>
    <s v="9E87-533E"/>
    <s v="Cindi"/>
    <s v="Dudgeon"/>
    <x v="0"/>
    <n v="27"/>
    <s v="Some Travel"/>
    <x v="0"/>
    <n v="16"/>
    <s v="CA"/>
    <s v="White"/>
    <n v="3"/>
    <s v="Marketing"/>
    <x v="6"/>
    <s v="Single"/>
    <n v="225831"/>
    <n v="1"/>
    <x v="0"/>
    <d v="2021-04-25T00:00:00"/>
    <s v="No"/>
    <n v="1"/>
    <n v="1"/>
    <n v="1"/>
    <n v="0"/>
    <s v="Bachelors "/>
    <s v="Bachelors "/>
    <s v="Bachelors "/>
    <n v="0"/>
    <s v="20-29"/>
  </r>
  <r>
    <s v="4C06-7031"/>
    <s v="Jaine"/>
    <s v="Pashan"/>
    <x v="0"/>
    <n v="43"/>
    <s v="Some Travel"/>
    <x v="2"/>
    <n v="35"/>
    <s v="CA"/>
    <s v="White"/>
    <n v="5"/>
    <s v="Computer Science"/>
    <x v="2"/>
    <s v="Single"/>
    <n v="286660"/>
    <n v="0"/>
    <x v="0"/>
    <d v="2021-04-26T00:00:00"/>
    <s v="No"/>
    <n v="1"/>
    <n v="0"/>
    <n v="0"/>
    <n v="1"/>
    <s v="Doctorate"/>
    <s v="Doctorate"/>
    <s v="Doctorate"/>
    <n v="0"/>
    <s v="40-49"/>
  </r>
  <r>
    <s v="3D47-6A75"/>
    <s v="Burch"/>
    <s v="Albers"/>
    <x v="1"/>
    <n v="45"/>
    <s v="Some Travel"/>
    <x v="0"/>
    <n v="20"/>
    <s v="CA"/>
    <s v="White"/>
    <n v="3"/>
    <s v="Marketing "/>
    <x v="6"/>
    <s v="Married"/>
    <n v="374781"/>
    <n v="1"/>
    <x v="0"/>
    <d v="2021-04-30T00:00:00"/>
    <s v="No"/>
    <n v="1"/>
    <n v="1"/>
    <n v="1"/>
    <n v="1"/>
    <s v="Bachelors "/>
    <s v="Bachelors "/>
    <s v="Bachelors "/>
    <n v="0"/>
    <s v="40-49"/>
  </r>
  <r>
    <s v="AF5D-A8C8"/>
    <s v="Jedidiah"/>
    <s v="Orrick"/>
    <x v="1"/>
    <n v="24"/>
    <s v="Some Travel"/>
    <x v="0"/>
    <n v="27"/>
    <s v="CA"/>
    <s v="White"/>
    <n v="4"/>
    <s v="Marketing "/>
    <x v="0"/>
    <s v="Married"/>
    <n v="86102"/>
    <n v="0"/>
    <x v="1"/>
    <d v="2021-05-04T00:00:00"/>
    <s v="Yes"/>
    <n v="0"/>
    <n v="0"/>
    <n v="0"/>
    <n v="0"/>
    <s v="Masters "/>
    <s v="Masters "/>
    <s v="Masters "/>
    <n v="1"/>
    <s v="20-29"/>
  </r>
  <r>
    <s v="B0C8-E3DF"/>
    <s v="Eleanor"/>
    <s v="Escalero"/>
    <x v="0"/>
    <n v="19"/>
    <s v="Frequent Traveller"/>
    <x v="1"/>
    <n v="24"/>
    <s v="IL"/>
    <s v="White"/>
    <n v="3"/>
    <s v="Economics"/>
    <x v="3"/>
    <s v="Married"/>
    <n v="25838"/>
    <n v="1"/>
    <x v="0"/>
    <d v="2021-05-06T00:00:00"/>
    <s v="No"/>
    <n v="1"/>
    <n v="0"/>
    <n v="0"/>
    <n v="0"/>
    <s v="Bachelors "/>
    <s v="Bachelors "/>
    <s v="Bachelors "/>
    <n v="0"/>
    <s v="20-29"/>
  </r>
  <r>
    <s v="AA19-95BD"/>
    <s v="Avrom"/>
    <s v="Low"/>
    <x v="1"/>
    <n v="33"/>
    <s v="Some Travel"/>
    <x v="0"/>
    <n v="43"/>
    <s v="NY"/>
    <s v="White"/>
    <n v="4"/>
    <s v="Marketing"/>
    <x v="0"/>
    <s v="Single"/>
    <n v="165988"/>
    <n v="0"/>
    <x v="1"/>
    <d v="2021-05-08T00:00:00"/>
    <s v="Yes"/>
    <n v="1"/>
    <n v="0"/>
    <n v="0"/>
    <n v="0"/>
    <s v="Masters "/>
    <s v="Masters "/>
    <s v="Masters "/>
    <n v="1"/>
    <s v="30-39"/>
  </r>
  <r>
    <s v="B347-DA2D"/>
    <s v="Linus"/>
    <s v="Darragh"/>
    <x v="1"/>
    <n v="31"/>
    <s v="Some Travel"/>
    <x v="2"/>
    <n v="6"/>
    <s v="CA"/>
    <s v="White"/>
    <n v="1"/>
    <s v="Information Systems"/>
    <x v="10"/>
    <s v="Married"/>
    <n v="376853"/>
    <n v="1"/>
    <x v="0"/>
    <d v="2021-05-10T00:00:00"/>
    <s v="No"/>
    <n v="1"/>
    <n v="1"/>
    <n v="1"/>
    <n v="0"/>
    <s v="No Formal Qualifications"/>
    <s v="No Formal Qualifications"/>
    <s v="No Formal Qualifications"/>
    <n v="0"/>
    <s v="30-39"/>
  </r>
  <r>
    <s v="AFC3-E23F"/>
    <s v="Julissa"/>
    <s v="Fosbraey"/>
    <x v="0"/>
    <n v="35"/>
    <s v="Some Travel"/>
    <x v="2"/>
    <n v="4"/>
    <s v="CA"/>
    <s v="White"/>
    <n v="2"/>
    <s v="Computer Science"/>
    <x v="4"/>
    <s v="Single"/>
    <n v="423941"/>
    <n v="0"/>
    <x v="0"/>
    <d v="2021-05-14T00:00:00"/>
    <s v="No"/>
    <n v="1"/>
    <n v="1"/>
    <n v="1"/>
    <n v="1"/>
    <s v="High School "/>
    <s v="High School "/>
    <s v="High School "/>
    <n v="0"/>
    <s v="30-39"/>
  </r>
  <r>
    <s v="217C-7180"/>
    <s v="Hale"/>
    <s v="Patty"/>
    <x v="1"/>
    <n v="20"/>
    <s v="Some Travel"/>
    <x v="2"/>
    <n v="27"/>
    <s v="IL"/>
    <s v="White"/>
    <n v="1"/>
    <s v="Business Studies"/>
    <x v="4"/>
    <s v="Single"/>
    <n v="27141"/>
    <n v="0"/>
    <x v="0"/>
    <d v="2021-05-15T00:00:00"/>
    <s v="No"/>
    <n v="1"/>
    <n v="1"/>
    <n v="1"/>
    <n v="1"/>
    <s v="No Formal Qualifications"/>
    <s v="No Formal Qualifications"/>
    <s v="No Formal Qualifications"/>
    <n v="0"/>
    <s v="20-29"/>
  </r>
  <r>
    <s v="4FA9-D343"/>
    <s v="Consolata"/>
    <s v="Risom"/>
    <x v="0"/>
    <n v="21"/>
    <s v="Frequent Traveller"/>
    <x v="0"/>
    <n v="33"/>
    <s v="NY"/>
    <s v="White"/>
    <n v="3"/>
    <s v="Marketing "/>
    <x v="0"/>
    <s v="Divorced"/>
    <n v="60810"/>
    <n v="1"/>
    <x v="0"/>
    <d v="2021-05-18T00:00:00"/>
    <s v="No"/>
    <n v="1"/>
    <n v="0"/>
    <n v="1"/>
    <n v="1"/>
    <s v="Bachelors "/>
    <s v="Bachelors "/>
    <s v="Bachelors "/>
    <n v="0"/>
    <s v="20-29"/>
  </r>
  <r>
    <s v="A2AE-FD61"/>
    <s v="Conrado"/>
    <s v="Brearley"/>
    <x v="1"/>
    <n v="32"/>
    <s v="Some Travel"/>
    <x v="2"/>
    <n v="30"/>
    <s v="CA"/>
    <s v="White"/>
    <n v="1"/>
    <s v="Information Systems"/>
    <x v="4"/>
    <s v="Married"/>
    <n v="89960"/>
    <n v="3"/>
    <x v="0"/>
    <d v="2021-05-18T00:00:00"/>
    <s v="No"/>
    <n v="1"/>
    <n v="0"/>
    <n v="1"/>
    <n v="1"/>
    <s v="No Formal Qualifications"/>
    <s v="No Formal Qualifications"/>
    <s v="No Formal Qualifications"/>
    <n v="0"/>
    <s v="30-39"/>
  </r>
  <r>
    <s v="B0B9-19C6"/>
    <s v="Lorna"/>
    <s v="Kuzma"/>
    <x v="0"/>
    <n v="22"/>
    <s v="Some Travel"/>
    <x v="0"/>
    <n v="25"/>
    <s v="CA"/>
    <s v="White"/>
    <n v="3"/>
    <s v="Other"/>
    <x v="0"/>
    <s v="Married"/>
    <n v="48716"/>
    <n v="1"/>
    <x v="0"/>
    <d v="2021-05-22T00:00:00"/>
    <s v="No"/>
    <n v="1"/>
    <n v="1"/>
    <n v="1"/>
    <n v="1"/>
    <s v="Bachelors "/>
    <s v="Bachelors "/>
    <s v="Bachelors "/>
    <n v="0"/>
    <s v="20-29"/>
  </r>
  <r>
    <s v="AFDF-3DA8"/>
    <s v="Mikkel"/>
    <s v="Fosdyke"/>
    <x v="1"/>
    <n v="41"/>
    <s v="Some Travel"/>
    <x v="0"/>
    <n v="35"/>
    <s v="NY"/>
    <s v="White"/>
    <n v="1"/>
    <s v="Marketing"/>
    <x v="6"/>
    <s v="Married"/>
    <n v="314961"/>
    <n v="1"/>
    <x v="0"/>
    <d v="2021-05-23T00:00:00"/>
    <s v="Yes"/>
    <n v="0"/>
    <n v="0"/>
    <n v="0"/>
    <n v="0"/>
    <s v="No Formal Qualifications"/>
    <s v="No Formal Qualifications"/>
    <s v="No Formal Qualifications"/>
    <n v="1"/>
    <s v="40-49"/>
  </r>
  <r>
    <s v="8533-B8FA"/>
    <s v="Ambur"/>
    <s v="Axton"/>
    <x v="0"/>
    <n v="20"/>
    <s v="Frequent Traveller"/>
    <x v="2"/>
    <n v="32"/>
    <s v="CA"/>
    <s v="White"/>
    <n v="3"/>
    <s v="Computer Science"/>
    <x v="7"/>
    <s v="Divorced"/>
    <n v="33488"/>
    <n v="2"/>
    <x v="0"/>
    <d v="2021-05-24T00:00:00"/>
    <s v="No"/>
    <n v="1"/>
    <n v="1"/>
    <n v="1"/>
    <n v="1"/>
    <s v="Bachelors "/>
    <s v="Bachelors "/>
    <s v="Bachelors "/>
    <n v="0"/>
    <s v="20-29"/>
  </r>
  <r>
    <s v="ADB8-7B07"/>
    <s v="Oona"/>
    <s v="Offer"/>
    <x v="0"/>
    <n v="47"/>
    <s v="Some Travel"/>
    <x v="2"/>
    <n v="23"/>
    <s v="NY"/>
    <s v="White"/>
    <n v="1"/>
    <s v="Computer Science"/>
    <x v="8"/>
    <s v="Married"/>
    <n v="221827"/>
    <n v="1"/>
    <x v="0"/>
    <d v="2021-06-05T00:00:00"/>
    <s v="No"/>
    <n v="1"/>
    <n v="0"/>
    <n v="0"/>
    <n v="1"/>
    <s v="No Formal Qualifications"/>
    <s v="No Formal Qualifications"/>
    <s v="No Formal Qualifications"/>
    <n v="0"/>
    <s v="40-49"/>
  </r>
  <r>
    <s v="0D60-C312"/>
    <s v="Erica"/>
    <s v="Delany"/>
    <x v="0"/>
    <n v="32"/>
    <s v="Some Travel"/>
    <x v="2"/>
    <n v="16"/>
    <s v="IL"/>
    <s v="White"/>
    <n v="3"/>
    <s v="Computer Science"/>
    <x v="5"/>
    <s v="Married"/>
    <n v="228427"/>
    <n v="1"/>
    <x v="1"/>
    <d v="2021-06-06T00:00:00"/>
    <s v="No"/>
    <n v="1"/>
    <n v="1"/>
    <n v="1"/>
    <n v="1"/>
    <s v="Bachelors "/>
    <s v="Bachelors "/>
    <s v="Bachelors "/>
    <n v="0"/>
    <s v="30-39"/>
  </r>
  <r>
    <s v="A6AA-56AE"/>
    <s v="Corie"/>
    <s v="Rizzardo"/>
    <x v="0"/>
    <n v="19"/>
    <s v="Some Travel"/>
    <x v="2"/>
    <n v="18"/>
    <s v="IL"/>
    <s v="White"/>
    <n v="3"/>
    <s v="Computer Science"/>
    <x v="7"/>
    <s v="Single"/>
    <n v="28346"/>
    <n v="0"/>
    <x v="0"/>
    <d v="2021-06-07T00:00:00"/>
    <s v="No"/>
    <n v="1"/>
    <n v="1"/>
    <n v="1"/>
    <n v="1"/>
    <s v="Bachelors "/>
    <s v="Bachelors "/>
    <s v="Bachelors "/>
    <n v="0"/>
    <s v="20-29"/>
  </r>
  <r>
    <s v="31E1-001F"/>
    <s v="Stevy"/>
    <s v="McArthur"/>
    <x v="1"/>
    <n v="21"/>
    <s v="Frequent Traveller"/>
    <x v="2"/>
    <n v="33"/>
    <s v="CA"/>
    <s v="White"/>
    <n v="2"/>
    <s v="Information Systems"/>
    <x v="7"/>
    <s v="Married"/>
    <n v="37954"/>
    <n v="1"/>
    <x v="1"/>
    <d v="2021-06-07T00:00:00"/>
    <s v="No"/>
    <n v="1"/>
    <n v="0"/>
    <n v="0"/>
    <n v="1"/>
    <s v="High School "/>
    <s v="High School "/>
    <s v="High School "/>
    <n v="0"/>
    <s v="20-29"/>
  </r>
  <r>
    <s v="6731-1425"/>
    <s v="Robyn"/>
    <s v="Takis"/>
    <x v="0"/>
    <n v="43"/>
    <s v="Frequent Traveller"/>
    <x v="2"/>
    <n v="4"/>
    <s v="CA"/>
    <s v="White"/>
    <n v="3"/>
    <s v="Information Systems"/>
    <x v="5"/>
    <s v="Single"/>
    <n v="262392"/>
    <n v="0"/>
    <x v="1"/>
    <d v="2021-06-08T00:00:00"/>
    <s v="No"/>
    <n v="1"/>
    <n v="1"/>
    <n v="1"/>
    <n v="1"/>
    <s v="Bachelors "/>
    <s v="Bachelors "/>
    <s v="Bachelors "/>
    <n v="0"/>
    <s v="40-49"/>
  </r>
  <r>
    <s v="1A82-AF2C"/>
    <s v="Keriann"/>
    <s v="Umbers"/>
    <x v="0"/>
    <n v="40"/>
    <s v="Some Travel"/>
    <x v="2"/>
    <n v="38"/>
    <s v="CA"/>
    <s v="White"/>
    <n v="2"/>
    <s v="Information Systems"/>
    <x v="8"/>
    <s v="Married"/>
    <n v="380248"/>
    <n v="0"/>
    <x v="1"/>
    <d v="2021-06-09T00:00:00"/>
    <s v="No"/>
    <n v="1"/>
    <n v="0"/>
    <n v="1"/>
    <n v="1"/>
    <s v="High School "/>
    <s v="High School "/>
    <s v="High School "/>
    <n v="0"/>
    <s v="40-49"/>
  </r>
  <r>
    <s v="D6BA-10A1"/>
    <s v="Leandra"/>
    <s v="Keepin"/>
    <x v="2"/>
    <n v="21"/>
    <s v="Some Travel"/>
    <x v="2"/>
    <n v="37"/>
    <s v="CA"/>
    <s v="White"/>
    <n v="3"/>
    <s v="Information Systems"/>
    <x v="4"/>
    <s v="Single"/>
    <n v="43030"/>
    <n v="0"/>
    <x v="0"/>
    <d v="2021-06-10T00:00:00"/>
    <s v="No"/>
    <n v="1"/>
    <n v="0"/>
    <n v="1"/>
    <n v="1"/>
    <s v="Bachelors "/>
    <s v="Bachelors "/>
    <s v="Bachelors "/>
    <n v="0"/>
    <s v="20-29"/>
  </r>
  <r>
    <s v="F3D0-41D1"/>
    <s v="Raddie"/>
    <s v="Broodes"/>
    <x v="1"/>
    <n v="20"/>
    <s v="Some Travel"/>
    <x v="2"/>
    <n v="34"/>
    <s v="CA"/>
    <s v="White"/>
    <n v="4"/>
    <s v="Computer Science"/>
    <x v="7"/>
    <s v="Single"/>
    <n v="22925"/>
    <n v="0"/>
    <x v="1"/>
    <d v="2021-06-13T00:00:00"/>
    <s v="Yes"/>
    <n v="1"/>
    <n v="0"/>
    <n v="0"/>
    <n v="0"/>
    <s v="Masters "/>
    <s v="Masters "/>
    <s v="Masters "/>
    <n v="1"/>
    <s v="20-29"/>
  </r>
  <r>
    <s v="1053-41B1"/>
    <s v="Andy"/>
    <s v="Lingwood"/>
    <x v="0"/>
    <n v="19"/>
    <s v="Some Travel"/>
    <x v="2"/>
    <n v="24"/>
    <s v="CA"/>
    <s v="White"/>
    <n v="2"/>
    <s v="Computer Science"/>
    <x v="4"/>
    <s v="Single"/>
    <n v="31014"/>
    <n v="1"/>
    <x v="0"/>
    <d v="2021-06-16T00:00:00"/>
    <s v="No"/>
    <n v="1"/>
    <n v="1"/>
    <n v="1"/>
    <n v="0"/>
    <s v="High School "/>
    <s v="High School "/>
    <s v="High School "/>
    <n v="0"/>
    <s v="20-29"/>
  </r>
  <r>
    <s v="BC21-2167"/>
    <s v="Aldin"/>
    <s v="Barens"/>
    <x v="2"/>
    <n v="28"/>
    <s v="Frequent Traveller"/>
    <x v="2"/>
    <n v="40"/>
    <s v="CA"/>
    <s v="White"/>
    <n v="1"/>
    <s v="Computer Science"/>
    <x v="8"/>
    <s v="Single"/>
    <n v="187698"/>
    <n v="0"/>
    <x v="0"/>
    <d v="2021-06-17T00:00:00"/>
    <s v="No"/>
    <n v="1"/>
    <n v="0"/>
    <n v="1"/>
    <n v="1"/>
    <s v="No Formal Qualifications"/>
    <s v="No Formal Qualifications"/>
    <s v="No Formal Qualifications"/>
    <n v="0"/>
    <s v="20-29"/>
  </r>
  <r>
    <s v="DDAC-D5FD"/>
    <s v="Ricoriki"/>
    <s v="Swiers"/>
    <x v="1"/>
    <n v="22"/>
    <s v="Frequent Traveller"/>
    <x v="2"/>
    <n v="4"/>
    <s v="CA"/>
    <s v="White"/>
    <n v="3"/>
    <s v="Information Systems"/>
    <x v="4"/>
    <s v="Married"/>
    <n v="21854"/>
    <n v="1"/>
    <x v="0"/>
    <d v="2021-06-18T00:00:00"/>
    <s v="Yes"/>
    <n v="0"/>
    <n v="0"/>
    <n v="0"/>
    <n v="0"/>
    <s v="Bachelors "/>
    <s v="Bachelors "/>
    <s v="Bachelors "/>
    <n v="1"/>
    <s v="20-29"/>
  </r>
  <r>
    <s v="8941-0BAC"/>
    <s v="Tracee"/>
    <s v="Gaukroger"/>
    <x v="0"/>
    <n v="30"/>
    <s v="Some Travel"/>
    <x v="0"/>
    <n v="12"/>
    <s v="CA"/>
    <s v="White"/>
    <n v="3"/>
    <s v="Marketing"/>
    <x v="0"/>
    <s v="Divorced"/>
    <n v="145929"/>
    <n v="3"/>
    <x v="0"/>
    <d v="2021-06-22T00:00:00"/>
    <s v="No"/>
    <n v="1"/>
    <n v="0"/>
    <n v="1"/>
    <n v="1"/>
    <s v="Bachelors "/>
    <s v="Bachelors "/>
    <s v="Bachelors "/>
    <n v="0"/>
    <s v="30-39"/>
  </r>
  <r>
    <s v="AA3A-EC19"/>
    <s v="Townsend"/>
    <s v="Dunrige"/>
    <x v="1"/>
    <n v="38"/>
    <s v="Some Travel"/>
    <x v="2"/>
    <n v="45"/>
    <s v="CA"/>
    <s v="White"/>
    <n v="2"/>
    <s v="Information Systems"/>
    <x v="2"/>
    <s v="Divorced"/>
    <n v="439935"/>
    <n v="1"/>
    <x v="1"/>
    <d v="2021-06-22T00:00:00"/>
    <s v="No"/>
    <n v="1"/>
    <n v="1"/>
    <n v="1"/>
    <n v="1"/>
    <s v="High School "/>
    <s v="High School "/>
    <s v="High School "/>
    <n v="0"/>
    <s v="30-39"/>
  </r>
  <r>
    <s v="DDBF-9C79"/>
    <s v="Yelena"/>
    <s v="Stamp"/>
    <x v="0"/>
    <n v="26"/>
    <s v="Some Travel"/>
    <x v="0"/>
    <n v="10"/>
    <s v="CA"/>
    <s v="White"/>
    <n v="4"/>
    <s v="Marketing"/>
    <x v="0"/>
    <s v="Single"/>
    <n v="93246"/>
    <n v="0"/>
    <x v="1"/>
    <d v="2021-06-25T00:00:00"/>
    <s v="Yes"/>
    <n v="1"/>
    <n v="0"/>
    <n v="0"/>
    <n v="0"/>
    <s v="Masters "/>
    <s v="Masters "/>
    <s v="Masters "/>
    <n v="1"/>
    <s v="20-29"/>
  </r>
  <r>
    <s v="6819-65F3"/>
    <s v="Derward"/>
    <s v="Darco"/>
    <x v="1"/>
    <n v="21"/>
    <s v="Some Travel"/>
    <x v="2"/>
    <n v="34"/>
    <s v="NY"/>
    <s v="White"/>
    <n v="2"/>
    <s v="Computer Science"/>
    <x v="7"/>
    <s v="Married"/>
    <n v="26137"/>
    <n v="1"/>
    <x v="0"/>
    <d v="2021-06-26T00:00:00"/>
    <s v="No"/>
    <n v="1"/>
    <n v="0"/>
    <n v="0"/>
    <n v="1"/>
    <s v="High School "/>
    <s v="High School "/>
    <s v="High School "/>
    <n v="0"/>
    <s v="20-29"/>
  </r>
  <r>
    <s v="3BAB-C57E"/>
    <s v="Hashim"/>
    <s v="Payn"/>
    <x v="1"/>
    <n v="19"/>
    <s v="Some Travel"/>
    <x v="2"/>
    <n v="28"/>
    <s v="CA"/>
    <s v="White"/>
    <n v="3"/>
    <s v="Information Systems"/>
    <x v="4"/>
    <s v="Single"/>
    <n v="26062"/>
    <n v="3"/>
    <x v="1"/>
    <d v="2021-06-30T00:00:00"/>
    <s v="No"/>
    <n v="1"/>
    <n v="1"/>
    <n v="1"/>
    <n v="1"/>
    <s v="Bachelors "/>
    <s v="Bachelors "/>
    <s v="Bachelors "/>
    <n v="0"/>
    <s v="20-29"/>
  </r>
  <r>
    <s v="BC20-368E"/>
    <s v="Flem"/>
    <s v="Simenon"/>
    <x v="1"/>
    <n v="39"/>
    <s v="Some Travel"/>
    <x v="0"/>
    <n v="37"/>
    <s v="NY"/>
    <s v="White"/>
    <n v="3"/>
    <s v="Marketing"/>
    <x v="6"/>
    <s v="Married"/>
    <n v="265712"/>
    <n v="1"/>
    <x v="1"/>
    <d v="2021-07-06T00:00:00"/>
    <s v="No"/>
    <n v="1"/>
    <n v="0"/>
    <n v="0"/>
    <n v="1"/>
    <s v="Bachelors "/>
    <s v="Bachelors "/>
    <s v="Bachelors "/>
    <n v="0"/>
    <s v="30-39"/>
  </r>
  <r>
    <s v="F3AE-DEF2"/>
    <s v="Vern"/>
    <s v="Foord"/>
    <x v="1"/>
    <n v="20"/>
    <s v="Frequent Traveller"/>
    <x v="2"/>
    <n v="39"/>
    <s v="CA"/>
    <s v="White"/>
    <n v="3"/>
    <s v="Information Systems"/>
    <x v="5"/>
    <s v="Single"/>
    <n v="42308"/>
    <n v="0"/>
    <x v="0"/>
    <d v="2021-07-07T00:00:00"/>
    <s v="No"/>
    <n v="1"/>
    <n v="1"/>
    <n v="1"/>
    <n v="0"/>
    <s v="Bachelors "/>
    <s v="Bachelors "/>
    <s v="Bachelors "/>
    <n v="0"/>
    <s v="20-29"/>
  </r>
  <r>
    <s v="F5B1-A266"/>
    <s v="Arly"/>
    <s v="Fleetham"/>
    <x v="0"/>
    <n v="22"/>
    <s v="Some Travel"/>
    <x v="2"/>
    <n v="34"/>
    <s v="CA"/>
    <s v="White"/>
    <n v="1"/>
    <s v="Computer Science"/>
    <x v="7"/>
    <s v="Married"/>
    <n v="36677"/>
    <n v="1"/>
    <x v="0"/>
    <d v="2021-07-09T00:00:00"/>
    <s v="No"/>
    <n v="1"/>
    <n v="0"/>
    <n v="1"/>
    <n v="1"/>
    <s v="No Formal Qualifications"/>
    <s v="No Formal Qualifications"/>
    <s v="No Formal Qualifications"/>
    <n v="0"/>
    <s v="20-29"/>
  </r>
  <r>
    <s v="2EB9-9D31"/>
    <s v="Cybill"/>
    <s v="Mitkin"/>
    <x v="0"/>
    <n v="27"/>
    <s v="No Travel "/>
    <x v="1"/>
    <n v="4"/>
    <s v="CA"/>
    <s v="White"/>
    <n v="3"/>
    <s v="Human Resources"/>
    <x v="11"/>
    <s v="Married"/>
    <n v="78265"/>
    <n v="1"/>
    <x v="0"/>
    <d v="2021-07-10T00:00:00"/>
    <s v="No"/>
    <n v="1"/>
    <n v="1"/>
    <n v="1"/>
    <n v="1"/>
    <s v="Bachelors "/>
    <s v="Bachelors "/>
    <s v="Bachelors "/>
    <n v="0"/>
    <s v="20-29"/>
  </r>
  <r>
    <s v="556B-374A"/>
    <s v="Ralf"/>
    <s v="Moulton"/>
    <x v="1"/>
    <n v="30"/>
    <s v="Some Travel"/>
    <x v="0"/>
    <n v="43"/>
    <s v="NY"/>
    <s v="White"/>
    <n v="3"/>
    <s v="Technical Degree"/>
    <x v="0"/>
    <s v="Married"/>
    <n v="135160"/>
    <n v="1"/>
    <x v="0"/>
    <d v="2021-07-10T00:00:00"/>
    <s v="No"/>
    <n v="1"/>
    <n v="1"/>
    <n v="1"/>
    <n v="0"/>
    <s v="Bachelors "/>
    <s v="Bachelors "/>
    <s v="Bachelors "/>
    <n v="0"/>
    <s v="30-39"/>
  </r>
  <r>
    <s v="0B9A-B6DE"/>
    <s v="Mikol"/>
    <s v="Ortner"/>
    <x v="1"/>
    <n v="19"/>
    <s v="Some Travel"/>
    <x v="2"/>
    <n v="4"/>
    <s v="CA"/>
    <s v="White"/>
    <n v="3"/>
    <s v="Computer Science"/>
    <x v="5"/>
    <s v="Single"/>
    <n v="60077"/>
    <n v="1"/>
    <x v="0"/>
    <d v="2021-07-11T00:00:00"/>
    <s v="No"/>
    <n v="1"/>
    <n v="1"/>
    <n v="1"/>
    <n v="0"/>
    <s v="Bachelors "/>
    <s v="Bachelors "/>
    <s v="Bachelors "/>
    <n v="0"/>
    <s v="20-29"/>
  </r>
  <r>
    <s v="D6F0-006B"/>
    <s v="Mathilde"/>
    <s v="Spieck"/>
    <x v="0"/>
    <n v="22"/>
    <s v="Some Travel"/>
    <x v="2"/>
    <n v="38"/>
    <s v="IL"/>
    <s v="White"/>
    <n v="4"/>
    <s v="Computer Science"/>
    <x v="4"/>
    <s v="Married"/>
    <n v="31161"/>
    <n v="1"/>
    <x v="1"/>
    <d v="2021-07-19T00:00:00"/>
    <s v="No"/>
    <n v="1"/>
    <n v="0"/>
    <n v="0"/>
    <n v="0"/>
    <s v="Masters "/>
    <s v="Masters "/>
    <s v="Masters "/>
    <n v="0"/>
    <s v="20-29"/>
  </r>
  <r>
    <s v="51A4-EA6E"/>
    <s v="Jo"/>
    <s v="Medlar"/>
    <x v="2"/>
    <n v="46"/>
    <s v="Some Travel"/>
    <x v="0"/>
    <n v="17"/>
    <s v="CA"/>
    <s v="White"/>
    <n v="3"/>
    <s v="Marketing "/>
    <x v="0"/>
    <s v="Married"/>
    <n v="223874"/>
    <n v="1"/>
    <x v="0"/>
    <d v="2021-07-19T00:00:00"/>
    <s v="Yes"/>
    <n v="1"/>
    <n v="0"/>
    <n v="0"/>
    <n v="0"/>
    <s v="Bachelors "/>
    <s v="Bachelors "/>
    <s v="Bachelors "/>
    <n v="1"/>
    <s v="40-49"/>
  </r>
  <r>
    <s v="3412-9077"/>
    <s v="Grenville"/>
    <s v="Freckleton"/>
    <x v="1"/>
    <n v="21"/>
    <s v="Some Travel"/>
    <x v="2"/>
    <n v="43"/>
    <s v="NY"/>
    <s v="White"/>
    <n v="4"/>
    <s v="Computer Science"/>
    <x v="4"/>
    <s v="Married"/>
    <n v="38749"/>
    <n v="1"/>
    <x v="0"/>
    <d v="2021-07-21T00:00:00"/>
    <s v="No"/>
    <n v="1"/>
    <n v="0"/>
    <n v="0"/>
    <n v="0"/>
    <s v="Masters "/>
    <s v="Masters "/>
    <s v="Masters "/>
    <n v="0"/>
    <s v="20-29"/>
  </r>
  <r>
    <s v="6EB1-8442"/>
    <s v="Mellie"/>
    <s v="Ivie"/>
    <x v="0"/>
    <n v="30"/>
    <s v="Frequent Traveller"/>
    <x v="2"/>
    <n v="32"/>
    <s v="CA"/>
    <s v="White"/>
    <n v="4"/>
    <s v="Other"/>
    <x v="8"/>
    <s v="Single"/>
    <n v="145589"/>
    <n v="1"/>
    <x v="1"/>
    <d v="2021-07-30T00:00:00"/>
    <s v="No"/>
    <n v="1"/>
    <n v="1"/>
    <n v="1"/>
    <n v="1"/>
    <s v="Masters "/>
    <s v="Masters "/>
    <s v="Masters "/>
    <n v="0"/>
    <s v="30-39"/>
  </r>
  <r>
    <s v="954A-3829"/>
    <s v="Karlene"/>
    <s v="Lockless"/>
    <x v="0"/>
    <n v="20"/>
    <s v="Frequent Traveller"/>
    <x v="2"/>
    <n v="23"/>
    <s v="CA"/>
    <s v="White"/>
    <n v="3"/>
    <s v="Information Systems"/>
    <x v="7"/>
    <s v="Divorced"/>
    <n v="31801"/>
    <n v="1"/>
    <x v="1"/>
    <d v="2021-08-02T00:00:00"/>
    <s v="No"/>
    <n v="1"/>
    <n v="1"/>
    <n v="1"/>
    <n v="0"/>
    <s v="Bachelors "/>
    <s v="Bachelors "/>
    <s v="Bachelors "/>
    <n v="0"/>
    <s v="20-29"/>
  </r>
  <r>
    <s v="4F1D-6F75"/>
    <s v="Corry"/>
    <s v="Redwall"/>
    <x v="0"/>
    <n v="19"/>
    <s v="Some Travel"/>
    <x v="2"/>
    <n v="33"/>
    <s v="NY"/>
    <s v="White"/>
    <n v="3"/>
    <s v="Other"/>
    <x v="8"/>
    <s v="Married"/>
    <n v="49005"/>
    <n v="0"/>
    <x v="0"/>
    <d v="2021-08-04T00:00:00"/>
    <s v="No"/>
    <n v="1"/>
    <n v="0"/>
    <n v="1"/>
    <n v="0"/>
    <s v="Bachelors "/>
    <s v="Bachelors "/>
    <s v="Bachelors "/>
    <n v="0"/>
    <s v="20-29"/>
  </r>
  <r>
    <s v="2BE9-93DB"/>
    <s v="Walden"/>
    <s v="Hartigan"/>
    <x v="1"/>
    <n v="19"/>
    <s v="Some Travel"/>
    <x v="0"/>
    <n v="5"/>
    <s v="CA"/>
    <s v="White"/>
    <n v="1"/>
    <s v="Marketing "/>
    <x v="0"/>
    <s v="Single"/>
    <n v="53387"/>
    <n v="0"/>
    <x v="0"/>
    <d v="2021-08-09T00:00:00"/>
    <s v="No"/>
    <n v="1"/>
    <n v="0"/>
    <n v="1"/>
    <n v="1"/>
    <s v="No Formal Qualifications"/>
    <s v="No Formal Qualifications"/>
    <s v="No Formal Qualifications"/>
    <n v="0"/>
    <s v="20-29"/>
  </r>
  <r>
    <s v="ED6C-4287"/>
    <s v="Bette"/>
    <s v="Veevers"/>
    <x v="0"/>
    <n v="27"/>
    <s v="Some Travel"/>
    <x v="2"/>
    <n v="39"/>
    <s v="CA"/>
    <s v="White"/>
    <n v="3"/>
    <s v="Computer Science"/>
    <x v="8"/>
    <s v="Divorced"/>
    <n v="88122"/>
    <n v="1"/>
    <x v="0"/>
    <d v="2021-08-11T00:00:00"/>
    <s v="No"/>
    <n v="1"/>
    <n v="0"/>
    <n v="1"/>
    <n v="1"/>
    <s v="Bachelors "/>
    <s v="Bachelors "/>
    <s v="Bachelors "/>
    <n v="0"/>
    <s v="20-29"/>
  </r>
  <r>
    <s v="6A3B-A838"/>
    <s v="Moss"/>
    <s v="Standeven"/>
    <x v="2"/>
    <n v="19"/>
    <s v="Some Travel"/>
    <x v="2"/>
    <n v="16"/>
    <s v="CA"/>
    <s v="White"/>
    <n v="4"/>
    <s v="Information Systems"/>
    <x v="4"/>
    <s v="Single"/>
    <n v="41092"/>
    <n v="1"/>
    <x v="0"/>
    <d v="2021-08-20T00:00:00"/>
    <s v="No"/>
    <n v="1"/>
    <n v="1"/>
    <n v="1"/>
    <n v="0"/>
    <s v="Masters "/>
    <s v="Masters "/>
    <s v="Masters "/>
    <n v="0"/>
    <s v="20-29"/>
  </r>
  <r>
    <s v="D4FD-785B"/>
    <s v="Corina"/>
    <s v="Bellwood"/>
    <x v="0"/>
    <n v="19"/>
    <s v="Some Travel"/>
    <x v="2"/>
    <n v="7"/>
    <s v="IL"/>
    <s v="White"/>
    <n v="4"/>
    <s v="Computer Science"/>
    <x v="5"/>
    <s v="Single"/>
    <n v="64882"/>
    <n v="0"/>
    <x v="1"/>
    <d v="2021-08-23T00:00:00"/>
    <s v="No"/>
    <n v="1"/>
    <n v="0"/>
    <n v="0"/>
    <n v="0"/>
    <s v="Masters "/>
    <s v="Masters "/>
    <s v="Masters "/>
    <n v="0"/>
    <s v="20-29"/>
  </r>
  <r>
    <s v="BAA6-30C4"/>
    <s v="Tawnya"/>
    <s v="Saywood"/>
    <x v="0"/>
    <n v="32"/>
    <s v="Some Travel"/>
    <x v="0"/>
    <n v="43"/>
    <s v="CA"/>
    <s v="White"/>
    <n v="3"/>
    <s v="Marketing "/>
    <x v="6"/>
    <s v="Single"/>
    <n v="202322"/>
    <n v="1"/>
    <x v="0"/>
    <d v="2021-08-30T00:00:00"/>
    <s v="No"/>
    <n v="1"/>
    <n v="0"/>
    <n v="1"/>
    <n v="0"/>
    <s v="Bachelors "/>
    <s v="Bachelors "/>
    <s v="Bachelors "/>
    <n v="0"/>
    <s v="30-39"/>
  </r>
  <r>
    <s v="A81C-AB62"/>
    <s v="Max"/>
    <s v="Aronstein"/>
    <x v="1"/>
    <n v="21"/>
    <s v="No Travel "/>
    <x v="2"/>
    <n v="19"/>
    <s v="NY"/>
    <s v="White"/>
    <n v="2"/>
    <s v="Computer Science"/>
    <x v="8"/>
    <s v="Divorced"/>
    <n v="36012"/>
    <n v="0"/>
    <x v="1"/>
    <d v="2021-09-05T00:00:00"/>
    <s v="No"/>
    <n v="1"/>
    <n v="1"/>
    <n v="1"/>
    <n v="1"/>
    <s v="High School "/>
    <s v="High School "/>
    <s v="High School "/>
    <n v="0"/>
    <s v="20-29"/>
  </r>
  <r>
    <s v="001A-8F88"/>
    <s v="Christy"/>
    <s v="Jumel"/>
    <x v="1"/>
    <n v="22"/>
    <s v="Some Travel"/>
    <x v="2"/>
    <n v="40"/>
    <s v="CA"/>
    <s v="White"/>
    <n v="4"/>
    <s v="Information Systems"/>
    <x v="7"/>
    <s v="Married"/>
    <n v="27763"/>
    <n v="0"/>
    <x v="0"/>
    <d v="2021-09-05T00:00:00"/>
    <s v="No"/>
    <n v="1"/>
    <n v="0"/>
    <n v="1"/>
    <n v="0"/>
    <s v="Masters "/>
    <s v="Masters "/>
    <s v="Masters "/>
    <n v="0"/>
    <s v="20-29"/>
  </r>
  <r>
    <s v="86F7-CA91"/>
    <s v="Katlin"/>
    <s v="Callar"/>
    <x v="0"/>
    <n v="21"/>
    <s v="Some Travel"/>
    <x v="0"/>
    <n v="36"/>
    <s v="CA"/>
    <s v="White"/>
    <n v="4"/>
    <s v="Marketing "/>
    <x v="0"/>
    <s v="Divorced"/>
    <n v="37035"/>
    <n v="3"/>
    <x v="0"/>
    <d v="2021-09-11T00:00:00"/>
    <s v="No"/>
    <n v="1"/>
    <n v="1"/>
    <n v="1"/>
    <n v="1"/>
    <s v="Masters "/>
    <s v="Masters "/>
    <s v="Masters "/>
    <n v="0"/>
    <s v="20-29"/>
  </r>
  <r>
    <s v="EC6A-DD76"/>
    <s v="Meade"/>
    <s v="Malthouse"/>
    <x v="0"/>
    <n v="20"/>
    <s v="Frequent Traveller"/>
    <x v="2"/>
    <n v="31"/>
    <s v="NY"/>
    <s v="White"/>
    <n v="3"/>
    <s v="Information Systems"/>
    <x v="4"/>
    <s v="Single"/>
    <n v="37361"/>
    <n v="0"/>
    <x v="0"/>
    <d v="2021-09-13T00:00:00"/>
    <s v="Yes"/>
    <n v="0"/>
    <n v="0"/>
    <n v="0"/>
    <n v="0"/>
    <s v="Bachelors "/>
    <s v="Bachelors "/>
    <s v="Bachelors "/>
    <n v="1"/>
    <s v="20-29"/>
  </r>
  <r>
    <s v="F346-3882"/>
    <s v="Algernon"/>
    <s v="Crudginton"/>
    <x v="1"/>
    <n v="35"/>
    <s v="Some Travel"/>
    <x v="0"/>
    <n v="31"/>
    <s v="CA"/>
    <s v="White"/>
    <n v="2"/>
    <s v="Marketing"/>
    <x v="0"/>
    <s v="Divorced"/>
    <n v="200802"/>
    <n v="3"/>
    <x v="0"/>
    <d v="2021-09-26T00:00:00"/>
    <s v="No"/>
    <n v="1"/>
    <n v="0"/>
    <n v="1"/>
    <n v="0"/>
    <s v="High School "/>
    <s v="High School "/>
    <s v="High School "/>
    <n v="0"/>
    <s v="30-39"/>
  </r>
  <r>
    <s v="BBEF-AC35"/>
    <s v="Ros"/>
    <s v="Dines"/>
    <x v="0"/>
    <n v="21"/>
    <s v="Some Travel"/>
    <x v="0"/>
    <n v="10"/>
    <s v="NY"/>
    <s v="White"/>
    <n v="3"/>
    <s v="Economics"/>
    <x v="0"/>
    <s v="Divorced"/>
    <n v="60769"/>
    <n v="1"/>
    <x v="0"/>
    <d v="2021-09-27T00:00:00"/>
    <s v="No"/>
    <n v="1"/>
    <n v="1"/>
    <n v="1"/>
    <n v="1"/>
    <s v="Bachelors "/>
    <s v="Bachelors "/>
    <s v="Bachelors "/>
    <n v="0"/>
    <s v="20-29"/>
  </r>
  <r>
    <s v="AF04-23EA"/>
    <s v="Obadiah"/>
    <s v="Van Schafflaer"/>
    <x v="1"/>
    <n v="32"/>
    <s v="Some Travel"/>
    <x v="2"/>
    <n v="39"/>
    <s v="NY"/>
    <s v="White"/>
    <n v="3"/>
    <s v="Business Studies"/>
    <x v="10"/>
    <s v="Married"/>
    <n v="253019"/>
    <n v="0"/>
    <x v="0"/>
    <d v="2021-09-28T00:00:00"/>
    <s v="No"/>
    <n v="1"/>
    <n v="0"/>
    <n v="0"/>
    <n v="0"/>
    <s v="Bachelors "/>
    <s v="Bachelors "/>
    <s v="Bachelors "/>
    <n v="0"/>
    <s v="30-39"/>
  </r>
  <r>
    <s v="1A9A-17A3"/>
    <s v="Fifi"/>
    <s v="Stabler"/>
    <x v="0"/>
    <n v="22"/>
    <s v="No Travel "/>
    <x v="0"/>
    <n v="7"/>
    <s v="CA"/>
    <s v="White"/>
    <n v="4"/>
    <s v="Marketing "/>
    <x v="0"/>
    <s v="Married"/>
    <n v="46546"/>
    <n v="1"/>
    <x v="0"/>
    <d v="2021-09-29T00:00:00"/>
    <s v="No"/>
    <n v="1"/>
    <n v="0"/>
    <n v="1"/>
    <n v="1"/>
    <s v="Masters "/>
    <s v="Masters "/>
    <s v="Masters "/>
    <n v="0"/>
    <s v="20-29"/>
  </r>
  <r>
    <s v="E164-4C29"/>
    <s v="Venita"/>
    <s v="Rottery"/>
    <x v="0"/>
    <n v="21"/>
    <s v="No Travel "/>
    <x v="0"/>
    <n v="15"/>
    <s v="CA"/>
    <s v="White"/>
    <n v="4"/>
    <s v="Marketing "/>
    <x v="0"/>
    <s v="Married"/>
    <n v="76482"/>
    <n v="1"/>
    <x v="0"/>
    <d v="2021-09-30T00:00:00"/>
    <s v="No"/>
    <n v="1"/>
    <n v="1"/>
    <n v="1"/>
    <n v="0"/>
    <s v="Masters "/>
    <s v="Masters "/>
    <s v="Masters "/>
    <n v="0"/>
    <s v="20-29"/>
  </r>
  <r>
    <s v="C9F5-9B2C"/>
    <s v="Duane"/>
    <s v="Colhoun"/>
    <x v="1"/>
    <n v="22"/>
    <s v="Frequent Traveller"/>
    <x v="0"/>
    <n v="11"/>
    <s v="CA"/>
    <s v="White"/>
    <n v="3"/>
    <s v="Economics"/>
    <x v="9"/>
    <s v="Married"/>
    <n v="34432"/>
    <n v="2"/>
    <x v="0"/>
    <d v="2021-09-30T00:00:00"/>
    <s v="No"/>
    <n v="1"/>
    <n v="0"/>
    <n v="0"/>
    <n v="1"/>
    <s v="Bachelors "/>
    <s v="Bachelors "/>
    <s v="Bachelors "/>
    <n v="0"/>
    <s v="20-29"/>
  </r>
  <r>
    <s v="F852-C94D"/>
    <s v="Arni"/>
    <s v="Maciunas"/>
    <x v="1"/>
    <n v="21"/>
    <s v="Some Travel"/>
    <x v="0"/>
    <n v="43"/>
    <s v="NY"/>
    <s v="White"/>
    <n v="3"/>
    <s v="Marketing "/>
    <x v="0"/>
    <s v="Single"/>
    <n v="47553"/>
    <n v="0"/>
    <x v="0"/>
    <d v="2021-10-01T00:00:00"/>
    <s v="No"/>
    <n v="1"/>
    <n v="1"/>
    <n v="1"/>
    <n v="0"/>
    <s v="Bachelors "/>
    <s v="Bachelors "/>
    <s v="Bachelors "/>
    <n v="0"/>
    <s v="20-29"/>
  </r>
  <r>
    <s v="AD81-458F"/>
    <s v="Robbert"/>
    <s v="Molson"/>
    <x v="1"/>
    <n v="43"/>
    <s v="Some Travel"/>
    <x v="2"/>
    <n v="17"/>
    <s v="NY"/>
    <s v="White"/>
    <n v="3"/>
    <s v="Business Studies"/>
    <x v="5"/>
    <s v="Married"/>
    <n v="254834"/>
    <n v="0"/>
    <x v="0"/>
    <d v="2021-10-05T00:00:00"/>
    <s v="No"/>
    <n v="1"/>
    <n v="1"/>
    <n v="1"/>
    <n v="1"/>
    <s v="Bachelors "/>
    <s v="Bachelors "/>
    <s v="Bachelors "/>
    <n v="0"/>
    <s v="40-49"/>
  </r>
  <r>
    <s v="DD00-92BB"/>
    <s v="Clementia"/>
    <s v="Beswick"/>
    <x v="2"/>
    <n v="19"/>
    <s v="Some Travel"/>
    <x v="0"/>
    <n v="22"/>
    <s v="CA"/>
    <s v="White"/>
    <n v="4"/>
    <s v="Marketing "/>
    <x v="0"/>
    <s v="Single"/>
    <n v="46813"/>
    <n v="0"/>
    <x v="0"/>
    <d v="2021-10-09T00:00:00"/>
    <s v="No"/>
    <n v="1"/>
    <n v="0"/>
    <n v="0"/>
    <n v="1"/>
    <s v="Masters "/>
    <s v="Masters "/>
    <s v="Masters "/>
    <n v="0"/>
    <s v="20-29"/>
  </r>
  <r>
    <s v="3DBF-E552"/>
    <s v="Stavro"/>
    <s v="Aird"/>
    <x v="1"/>
    <n v="49"/>
    <s v="No Travel "/>
    <x v="1"/>
    <n v="22"/>
    <s v="NY"/>
    <s v="White"/>
    <n v="4"/>
    <s v="Human Resources"/>
    <x v="12"/>
    <s v="Married"/>
    <n v="509261"/>
    <n v="1"/>
    <x v="0"/>
    <d v="2021-10-12T00:00:00"/>
    <s v="No"/>
    <n v="1"/>
    <n v="1"/>
    <n v="1"/>
    <n v="0"/>
    <s v="Masters "/>
    <s v="Masters "/>
    <s v="Masters "/>
    <n v="0"/>
    <s v="40-49"/>
  </r>
  <r>
    <s v="C14B-814C"/>
    <s v="Roby"/>
    <s v="Wintringham"/>
    <x v="0"/>
    <n v="50"/>
    <s v="Frequent Traveller"/>
    <x v="0"/>
    <n v="26"/>
    <s v="NY"/>
    <s v="White"/>
    <n v="4"/>
    <s v="Economics"/>
    <x v="0"/>
    <s v="Married"/>
    <n v="214707"/>
    <n v="1"/>
    <x v="0"/>
    <d v="2021-10-16T00:00:00"/>
    <s v="No"/>
    <n v="1"/>
    <n v="1"/>
    <n v="1"/>
    <n v="1"/>
    <s v="Masters "/>
    <s v="Masters "/>
    <s v="Masters "/>
    <n v="0"/>
    <s v="50+"/>
  </r>
  <r>
    <s v="1705-0DE5"/>
    <s v="Lita"/>
    <s v="Bicker"/>
    <x v="0"/>
    <n v="38"/>
    <s v="Some Travel"/>
    <x v="2"/>
    <n v="10"/>
    <s v="IL"/>
    <s v="White"/>
    <n v="3"/>
    <s v="Business Studies"/>
    <x v="2"/>
    <s v="Married"/>
    <n v="303360"/>
    <n v="0"/>
    <x v="0"/>
    <d v="2021-10-16T00:00:00"/>
    <s v="Yes"/>
    <n v="0"/>
    <n v="0"/>
    <n v="0"/>
    <n v="0"/>
    <s v="Bachelors "/>
    <s v="Bachelors "/>
    <s v="Bachelors "/>
    <n v="1"/>
    <s v="30-39"/>
  </r>
  <r>
    <s v="0BEE-FC20"/>
    <s v="Sherill"/>
    <s v="Covotti"/>
    <x v="0"/>
    <n v="49"/>
    <s v="Some Travel"/>
    <x v="0"/>
    <n v="43"/>
    <s v="IL"/>
    <s v="White"/>
    <n v="4"/>
    <s v="Marketing "/>
    <x v="6"/>
    <s v="Single"/>
    <n v="413946"/>
    <n v="0"/>
    <x v="0"/>
    <d v="2021-10-19T00:00:00"/>
    <s v="No"/>
    <n v="1"/>
    <n v="1"/>
    <n v="1"/>
    <n v="1"/>
    <s v="Masters "/>
    <s v="Masters "/>
    <s v="Masters "/>
    <n v="0"/>
    <s v="40-49"/>
  </r>
  <r>
    <s v="7815-7CAF"/>
    <s v="Moore"/>
    <s v="Ingleson"/>
    <x v="1"/>
    <n v="21"/>
    <s v="Some Travel"/>
    <x v="2"/>
    <n v="40"/>
    <s v="IL"/>
    <s v="White"/>
    <n v="4"/>
    <s v="Information Systems"/>
    <x v="7"/>
    <s v="Single"/>
    <n v="65642"/>
    <n v="0"/>
    <x v="0"/>
    <d v="2021-10-22T00:00:00"/>
    <s v="No"/>
    <n v="1"/>
    <n v="1"/>
    <n v="1"/>
    <n v="0"/>
    <s v="Masters "/>
    <s v="Masters "/>
    <s v="Masters "/>
    <n v="0"/>
    <s v="20-29"/>
  </r>
  <r>
    <s v="9404-5428"/>
    <s v="Duke"/>
    <s v="Mungham"/>
    <x v="1"/>
    <n v="20"/>
    <s v="Some Travel"/>
    <x v="2"/>
    <n v="14"/>
    <s v="CA"/>
    <s v="White"/>
    <n v="3"/>
    <s v="Information Systems"/>
    <x v="7"/>
    <s v="Married"/>
    <n v="35355"/>
    <n v="2"/>
    <x v="1"/>
    <d v="2021-10-29T00:00:00"/>
    <s v="No"/>
    <n v="1"/>
    <n v="0"/>
    <n v="1"/>
    <n v="1"/>
    <s v="Bachelors "/>
    <s v="Bachelors "/>
    <s v="Bachelors "/>
    <n v="0"/>
    <s v="20-29"/>
  </r>
  <r>
    <s v="5F99-4E0B"/>
    <s v="Marcos"/>
    <s v="Bowcher"/>
    <x v="2"/>
    <n v="21"/>
    <s v="Some Travel"/>
    <x v="1"/>
    <n v="33"/>
    <s v="NY"/>
    <s v="White"/>
    <n v="2"/>
    <s v="Economics"/>
    <x v="11"/>
    <s v="Divorced"/>
    <n v="70809"/>
    <n v="1"/>
    <x v="1"/>
    <d v="2021-11-07T00:00:00"/>
    <s v="No"/>
    <n v="1"/>
    <n v="0"/>
    <n v="0"/>
    <n v="1"/>
    <s v="High School "/>
    <s v="High School "/>
    <s v="High School "/>
    <n v="0"/>
    <s v="20-29"/>
  </r>
  <r>
    <s v="B70F-B17D"/>
    <s v="Ragnar"/>
    <s v="Grandisson"/>
    <x v="1"/>
    <n v="37"/>
    <s v="Some Travel"/>
    <x v="2"/>
    <n v="11"/>
    <s v="CA"/>
    <s v="White"/>
    <n v="4"/>
    <s v="Information Systems"/>
    <x v="8"/>
    <s v="Single"/>
    <n v="211375"/>
    <n v="1"/>
    <x v="0"/>
    <d v="2021-11-09T00:00:00"/>
    <s v="No"/>
    <n v="1"/>
    <n v="1"/>
    <n v="1"/>
    <n v="0"/>
    <s v="Masters "/>
    <s v="Masters "/>
    <s v="Masters "/>
    <n v="0"/>
    <s v="30-39"/>
  </r>
  <r>
    <s v="8CF5-DC74"/>
    <s v="Karoline"/>
    <s v="Obray"/>
    <x v="0"/>
    <n v="21"/>
    <s v="Some Travel"/>
    <x v="0"/>
    <n v="41"/>
    <s v="CA"/>
    <s v="White"/>
    <n v="2"/>
    <s v="Economics"/>
    <x v="0"/>
    <s v="Divorced"/>
    <n v="38066"/>
    <n v="2"/>
    <x v="0"/>
    <d v="2021-11-13T00:00:00"/>
    <s v="No"/>
    <n v="1"/>
    <n v="0"/>
    <n v="0"/>
    <n v="0"/>
    <s v="High School "/>
    <s v="High School "/>
    <s v="High School "/>
    <n v="0"/>
    <s v="20-29"/>
  </r>
  <r>
    <s v="11F9-3526"/>
    <s v="Carolan"/>
    <s v="Pigny"/>
    <x v="0"/>
    <n v="30"/>
    <s v="Some Travel"/>
    <x v="2"/>
    <n v="12"/>
    <s v="IL"/>
    <s v="White"/>
    <n v="2"/>
    <s v="Computer Science"/>
    <x v="8"/>
    <s v="Married"/>
    <n v="264407"/>
    <n v="1"/>
    <x v="0"/>
    <d v="2021-11-14T00:00:00"/>
    <s v="No"/>
    <n v="1"/>
    <n v="1"/>
    <n v="1"/>
    <n v="0"/>
    <s v="High School "/>
    <s v="High School "/>
    <s v="High School "/>
    <n v="0"/>
    <s v="30-39"/>
  </r>
  <r>
    <s v="054A-0B94"/>
    <s v="Temp"/>
    <s v="Weyland"/>
    <x v="1"/>
    <n v="20"/>
    <s v="No Travel "/>
    <x v="2"/>
    <n v="11"/>
    <s v="IL"/>
    <s v="White"/>
    <n v="3"/>
    <s v="Computer Science"/>
    <x v="4"/>
    <s v="Married"/>
    <n v="26702"/>
    <n v="2"/>
    <x v="0"/>
    <d v="2021-11-14T00:00:00"/>
    <s v="No"/>
    <n v="1"/>
    <n v="1"/>
    <n v="1"/>
    <n v="0"/>
    <s v="Bachelors "/>
    <s v="Bachelors "/>
    <s v="Bachelors "/>
    <n v="0"/>
    <s v="20-29"/>
  </r>
  <r>
    <s v="3F9D-8094"/>
    <s v="Denys"/>
    <s v="Ponten"/>
    <x v="1"/>
    <n v="19"/>
    <s v="Frequent Traveller"/>
    <x v="0"/>
    <n v="13"/>
    <s v="CA"/>
    <s v="White"/>
    <n v="2"/>
    <s v="Economics"/>
    <x v="0"/>
    <s v="Single"/>
    <n v="65960"/>
    <n v="3"/>
    <x v="0"/>
    <d v="2021-11-16T00:00:00"/>
    <s v="No"/>
    <n v="1"/>
    <n v="0"/>
    <n v="1"/>
    <n v="0"/>
    <s v="High School "/>
    <s v="High School "/>
    <s v="High School "/>
    <n v="0"/>
    <s v="20-29"/>
  </r>
  <r>
    <s v="F33A-9C7F"/>
    <s v="Paloma"/>
    <s v="Thornton"/>
    <x v="0"/>
    <n v="42"/>
    <s v="Some Travel"/>
    <x v="2"/>
    <n v="38"/>
    <s v="IL"/>
    <s v="White"/>
    <n v="4"/>
    <s v="Computer Science"/>
    <x v="10"/>
    <s v="Married"/>
    <n v="392379"/>
    <n v="1"/>
    <x v="0"/>
    <d v="2021-11-17T00:00:00"/>
    <s v="No"/>
    <n v="1"/>
    <n v="1"/>
    <n v="1"/>
    <n v="1"/>
    <s v="Masters "/>
    <s v="Masters "/>
    <s v="Masters "/>
    <n v="0"/>
    <s v="40-49"/>
  </r>
  <r>
    <s v="F991-17F5"/>
    <s v="Kalila"/>
    <s v="Bengochea"/>
    <x v="0"/>
    <n v="28"/>
    <s v="Some Travel"/>
    <x v="2"/>
    <n v="43"/>
    <s v="CA"/>
    <s v="White"/>
    <n v="4"/>
    <s v="Information Systems"/>
    <x v="7"/>
    <s v="Married"/>
    <n v="89527"/>
    <n v="1"/>
    <x v="1"/>
    <d v="2021-11-21T00:00:00"/>
    <s v="No"/>
    <n v="1"/>
    <n v="1"/>
    <n v="1"/>
    <n v="1"/>
    <s v="Masters "/>
    <s v="Masters "/>
    <s v="Masters "/>
    <n v="0"/>
    <s v="20-29"/>
  </r>
  <r>
    <s v="5F95-70A3"/>
    <s v="Shalna"/>
    <s v="Ibotson"/>
    <x v="0"/>
    <n v="22"/>
    <s v="Some Travel"/>
    <x v="2"/>
    <n v="19"/>
    <s v="NY"/>
    <s v="White"/>
    <n v="2"/>
    <s v="Information Systems"/>
    <x v="7"/>
    <s v="Married"/>
    <n v="60515"/>
    <n v="2"/>
    <x v="0"/>
    <d v="2021-11-21T00:00:00"/>
    <s v="No"/>
    <n v="1"/>
    <n v="1"/>
    <n v="1"/>
    <n v="1"/>
    <s v="High School "/>
    <s v="High School "/>
    <s v="High School "/>
    <n v="0"/>
    <s v="20-29"/>
  </r>
  <r>
    <s v="3CCD-CF5F"/>
    <s v="Stesha"/>
    <s v="McCay"/>
    <x v="0"/>
    <n v="31"/>
    <s v="Some Travel"/>
    <x v="0"/>
    <n v="13"/>
    <s v="CA"/>
    <s v="White"/>
    <n v="5"/>
    <s v="Marketing"/>
    <x v="0"/>
    <s v="Married"/>
    <n v="183057"/>
    <n v="2"/>
    <x v="0"/>
    <d v="2021-11-23T00:00:00"/>
    <s v="No"/>
    <n v="1"/>
    <n v="1"/>
    <n v="1"/>
    <n v="1"/>
    <s v="Doctorate"/>
    <s v="Doctorate"/>
    <s v="Doctorate"/>
    <n v="0"/>
    <s v="30-39"/>
  </r>
  <r>
    <s v="D5BA-1C8B"/>
    <s v="Keefe"/>
    <s v="Teacy"/>
    <x v="1"/>
    <n v="21"/>
    <s v="Some Travel"/>
    <x v="2"/>
    <n v="34"/>
    <s v="NY"/>
    <s v="White"/>
    <n v="4"/>
    <s v="Computer Science"/>
    <x v="5"/>
    <s v="Single"/>
    <n v="50502"/>
    <n v="0"/>
    <x v="1"/>
    <d v="2021-11-23T00:00:00"/>
    <s v="No"/>
    <n v="1"/>
    <n v="1"/>
    <n v="1"/>
    <n v="0"/>
    <s v="Masters "/>
    <s v="Masters "/>
    <s v="Masters "/>
    <n v="0"/>
    <s v="20-29"/>
  </r>
  <r>
    <s v="1C86-C072"/>
    <s v="Janifer"/>
    <s v="Ancliffe"/>
    <x v="0"/>
    <n v="38"/>
    <s v="Some Travel"/>
    <x v="2"/>
    <n v="27"/>
    <s v="IL"/>
    <s v="White"/>
    <n v="4"/>
    <s v="Other"/>
    <x v="2"/>
    <s v="Married"/>
    <n v="301332"/>
    <n v="2"/>
    <x v="0"/>
    <d v="2021-11-25T00:00:00"/>
    <s v="No"/>
    <n v="1"/>
    <n v="1"/>
    <n v="1"/>
    <n v="1"/>
    <s v="Masters "/>
    <s v="Masters "/>
    <s v="Masters "/>
    <n v="0"/>
    <s v="30-39"/>
  </r>
  <r>
    <s v="6064-D1F0"/>
    <s v="Hatty"/>
    <s v="Noades"/>
    <x v="0"/>
    <n v="21"/>
    <s v="Some Travel"/>
    <x v="2"/>
    <n v="6"/>
    <s v="CA"/>
    <s v="White"/>
    <n v="3"/>
    <s v="Information Systems"/>
    <x v="7"/>
    <s v="Divorced"/>
    <n v="65743"/>
    <n v="2"/>
    <x v="1"/>
    <d v="2021-11-27T00:00:00"/>
    <s v="No"/>
    <n v="1"/>
    <n v="0"/>
    <n v="1"/>
    <n v="0"/>
    <s v="Bachelors "/>
    <s v="Bachelors "/>
    <s v="Bachelors "/>
    <n v="0"/>
    <s v="20-29"/>
  </r>
  <r>
    <s v="AD0D-E79F"/>
    <s v="Cleve"/>
    <s v="Braben"/>
    <x v="1"/>
    <n v="22"/>
    <s v="Some Travel"/>
    <x v="0"/>
    <n v="16"/>
    <s v="CA"/>
    <s v="White"/>
    <n v="2"/>
    <s v="Marketing"/>
    <x v="0"/>
    <s v="Married"/>
    <n v="53220"/>
    <n v="2"/>
    <x v="1"/>
    <d v="2021-11-28T00:00:00"/>
    <s v="Yes"/>
    <n v="0"/>
    <n v="0"/>
    <n v="0"/>
    <n v="0"/>
    <s v="High School "/>
    <s v="High School "/>
    <s v="High School "/>
    <n v="1"/>
    <s v="20-29"/>
  </r>
  <r>
    <s v="0375-2F04"/>
    <s v="Lani"/>
    <s v="Raddenbury"/>
    <x v="0"/>
    <n v="19"/>
    <s v="No Travel "/>
    <x v="0"/>
    <n v="38"/>
    <s v="IL"/>
    <s v="White"/>
    <n v="4"/>
    <s v="Technical Degree"/>
    <x v="0"/>
    <s v="Single"/>
    <n v="51673"/>
    <n v="2"/>
    <x v="0"/>
    <d v="2021-11-30T00:00:00"/>
    <s v="No"/>
    <n v="1"/>
    <n v="0"/>
    <n v="1"/>
    <n v="0"/>
    <s v="Masters "/>
    <s v="Masters "/>
    <s v="Masters "/>
    <n v="0"/>
    <s v="20-29"/>
  </r>
  <r>
    <s v="D8FC-E2F7"/>
    <s v="Gigi"/>
    <s v="Monkhouse"/>
    <x v="0"/>
    <n v="22"/>
    <s v="Some Travel"/>
    <x v="0"/>
    <n v="10"/>
    <s v="CA"/>
    <s v="White"/>
    <n v="3"/>
    <s v="Economics"/>
    <x v="9"/>
    <s v="Divorced"/>
    <n v="36980"/>
    <n v="3"/>
    <x v="1"/>
    <d v="2021-12-01T00:00:00"/>
    <s v="Yes"/>
    <n v="0"/>
    <n v="0"/>
    <n v="0"/>
    <n v="0"/>
    <s v="Bachelors "/>
    <s v="Bachelors "/>
    <s v="Bachelors "/>
    <n v="1"/>
    <s v="20-29"/>
  </r>
  <r>
    <s v="5C56-DA86"/>
    <s v="Basilius"/>
    <s v="MacAlpin"/>
    <x v="1"/>
    <n v="22"/>
    <s v="No Travel "/>
    <x v="2"/>
    <n v="6"/>
    <s v="CA"/>
    <s v="White"/>
    <n v="2"/>
    <s v="Information Systems"/>
    <x v="5"/>
    <s v="Single"/>
    <n v="68302"/>
    <n v="0"/>
    <x v="1"/>
    <d v="2021-12-08T00:00:00"/>
    <s v="No"/>
    <n v="1"/>
    <n v="1"/>
    <n v="1"/>
    <n v="0"/>
    <s v="High School "/>
    <s v="High School "/>
    <s v="High School "/>
    <n v="0"/>
    <s v="20-29"/>
  </r>
  <r>
    <s v="DFDC-286C"/>
    <s v="Cate"/>
    <s v="Moggach"/>
    <x v="0"/>
    <n v="22"/>
    <s v="Some Travel"/>
    <x v="2"/>
    <n v="13"/>
    <s v="CA"/>
    <s v="White"/>
    <n v="4"/>
    <s v="Information Systems"/>
    <x v="5"/>
    <s v="Single"/>
    <n v="64364"/>
    <n v="0"/>
    <x v="0"/>
    <d v="2021-12-09T00:00:00"/>
    <s v="Yes"/>
    <n v="0"/>
    <n v="0"/>
    <n v="0"/>
    <n v="0"/>
    <s v="Masters "/>
    <s v="Masters "/>
    <s v="Masters "/>
    <n v="1"/>
    <s v="20-29"/>
  </r>
  <r>
    <s v="7985-EB3D"/>
    <s v="Mathew"/>
    <s v="O'Dougherty"/>
    <x v="1"/>
    <n v="19"/>
    <s v="Some Travel"/>
    <x v="2"/>
    <n v="2"/>
    <s v="IL"/>
    <s v="White"/>
    <n v="2"/>
    <s v="Information Systems"/>
    <x v="4"/>
    <s v="Single"/>
    <n v="52260"/>
    <n v="1"/>
    <x v="0"/>
    <d v="2021-12-09T00:00:00"/>
    <s v="No"/>
    <n v="1"/>
    <n v="1"/>
    <n v="1"/>
    <n v="0"/>
    <s v="High School "/>
    <s v="High School "/>
    <s v="High School "/>
    <n v="0"/>
    <s v="20-29"/>
  </r>
  <r>
    <s v="0C54-705D"/>
    <s v="Grata"/>
    <s v="Yannoni"/>
    <x v="0"/>
    <n v="50"/>
    <s v="Some Travel"/>
    <x v="0"/>
    <n v="37"/>
    <s v="NY"/>
    <s v="White"/>
    <n v="2"/>
    <s v="Marketing"/>
    <x v="6"/>
    <s v="Married"/>
    <n v="291477"/>
    <n v="0"/>
    <x v="0"/>
    <d v="2021-12-10T00:00:00"/>
    <s v="No"/>
    <n v="1"/>
    <n v="0"/>
    <n v="0"/>
    <n v="1"/>
    <s v="High School "/>
    <s v="High School "/>
    <s v="High School "/>
    <n v="0"/>
    <s v="50+"/>
  </r>
  <r>
    <s v="E529-A8FA"/>
    <s v="Julius"/>
    <s v="Smorfit"/>
    <x v="1"/>
    <n v="22"/>
    <s v="Some Travel"/>
    <x v="2"/>
    <n v="11"/>
    <s v="CA"/>
    <s v="White"/>
    <n v="4"/>
    <s v="Information Systems"/>
    <x v="7"/>
    <s v="Single"/>
    <n v="22382"/>
    <n v="0"/>
    <x v="0"/>
    <d v="2021-12-12T00:00:00"/>
    <s v="No"/>
    <n v="1"/>
    <n v="0"/>
    <n v="1"/>
    <n v="1"/>
    <s v="Masters "/>
    <s v="Masters "/>
    <s v="Masters "/>
    <n v="0"/>
    <s v="20-29"/>
  </r>
  <r>
    <s v="4DE2-9EB3"/>
    <s v="Isacco"/>
    <s v="Origan"/>
    <x v="2"/>
    <n v="22"/>
    <s v="No Travel "/>
    <x v="2"/>
    <n v="7"/>
    <s v="CA"/>
    <s v="White"/>
    <n v="3"/>
    <s v="Information Systems"/>
    <x v="7"/>
    <s v="Married"/>
    <n v="27782"/>
    <n v="3"/>
    <x v="0"/>
    <d v="2021-12-13T00:00:00"/>
    <s v="No"/>
    <n v="1"/>
    <n v="1"/>
    <n v="1"/>
    <n v="1"/>
    <s v="Bachelors "/>
    <s v="Bachelors "/>
    <s v="Bachelors "/>
    <n v="0"/>
    <s v="20-29"/>
  </r>
  <r>
    <s v="37DA-C03F"/>
    <s v="Wanids"/>
    <s v="Riggert"/>
    <x v="0"/>
    <n v="19"/>
    <s v="No Travel "/>
    <x v="2"/>
    <n v="8"/>
    <s v="CA"/>
    <s v="White"/>
    <n v="2"/>
    <s v="Computer Science"/>
    <x v="7"/>
    <s v="Single"/>
    <n v="54502"/>
    <n v="1"/>
    <x v="0"/>
    <d v="2021-12-22T00:00:00"/>
    <s v="No"/>
    <n v="1"/>
    <n v="0"/>
    <n v="1"/>
    <n v="1"/>
    <s v="High School "/>
    <s v="High School "/>
    <s v="High School "/>
    <n v="0"/>
    <s v="20-29"/>
  </r>
  <r>
    <s v="A663-B3DF"/>
    <s v="Wynny"/>
    <s v="Pechell"/>
    <x v="0"/>
    <n v="41"/>
    <s v="Frequent Traveller"/>
    <x v="0"/>
    <n v="4"/>
    <s v="CA"/>
    <s v="White"/>
    <n v="4"/>
    <s v="Economics"/>
    <x v="0"/>
    <s v="Divorced"/>
    <n v="175032"/>
    <n v="2"/>
    <x v="0"/>
    <d v="2021-12-22T00:00:00"/>
    <s v="No"/>
    <n v="1"/>
    <n v="0"/>
    <n v="0"/>
    <n v="0"/>
    <s v="Masters "/>
    <s v="Masters "/>
    <s v="Masters "/>
    <n v="0"/>
    <s v="40-49"/>
  </r>
  <r>
    <s v="F9D2-5579"/>
    <s v="Nancie"/>
    <s v="Storck"/>
    <x v="0"/>
    <n v="21"/>
    <s v="Frequent Traveller"/>
    <x v="2"/>
    <n v="17"/>
    <s v="CA"/>
    <s v="White"/>
    <n v="2"/>
    <s v="Information Systems"/>
    <x v="8"/>
    <s v="Married"/>
    <n v="49516"/>
    <n v="1"/>
    <x v="0"/>
    <d v="2021-12-25T00:00:00"/>
    <s v="No"/>
    <n v="1"/>
    <n v="1"/>
    <n v="1"/>
    <n v="0"/>
    <s v="High School "/>
    <s v="High School "/>
    <s v="High School "/>
    <n v="0"/>
    <s v="20-29"/>
  </r>
  <r>
    <s v="0C5B-2EF4"/>
    <s v="Amery"/>
    <s v="Theunissen"/>
    <x v="1"/>
    <n v="20"/>
    <s v="Some Travel"/>
    <x v="2"/>
    <n v="35"/>
    <s v="CA"/>
    <s v="White"/>
    <n v="3"/>
    <s v="Information Systems"/>
    <x v="7"/>
    <s v="Single"/>
    <n v="28506"/>
    <n v="0"/>
    <x v="0"/>
    <d v="2021-12-26T00:00:00"/>
    <s v="No"/>
    <n v="1"/>
    <n v="0"/>
    <n v="1"/>
    <n v="1"/>
    <s v="Bachelors "/>
    <s v="Bachelors "/>
    <s v="Bachelors "/>
    <n v="0"/>
    <s v="20-29"/>
  </r>
  <r>
    <s v="C509-6E46"/>
    <s v="Ulrica"/>
    <s v="Butterworth"/>
    <x v="0"/>
    <n v="19"/>
    <s v="Some Travel"/>
    <x v="2"/>
    <n v="10"/>
    <s v="IL"/>
    <s v="White"/>
    <n v="4"/>
    <s v="Computer Science"/>
    <x v="8"/>
    <s v="Single"/>
    <n v="51802"/>
    <n v="0"/>
    <x v="1"/>
    <d v="2021-12-27T00:00:00"/>
    <s v="No"/>
    <n v="1"/>
    <n v="1"/>
    <n v="1"/>
    <n v="0"/>
    <s v="Masters "/>
    <s v="Masters "/>
    <s v="Masters "/>
    <n v="0"/>
    <s v="20-29"/>
  </r>
  <r>
    <s v="7AA0-5766"/>
    <s v="Devin"/>
    <s v="Bernhardsson"/>
    <x v="0"/>
    <n v="22"/>
    <s v="Frequent Traveller"/>
    <x v="2"/>
    <n v="28"/>
    <s v="CA"/>
    <s v="White"/>
    <n v="4"/>
    <s v="Computer Science"/>
    <x v="4"/>
    <s v="Married"/>
    <n v="63571"/>
    <n v="1"/>
    <x v="0"/>
    <d v="2021-12-28T00:00:00"/>
    <s v="Yes"/>
    <n v="0"/>
    <n v="0"/>
    <n v="0"/>
    <n v="0"/>
    <s v="Masters "/>
    <s v="Masters "/>
    <s v="Masters "/>
    <n v="1"/>
    <s v="20-29"/>
  </r>
  <r>
    <s v="8E8F-DDC8"/>
    <s v="Christoffer"/>
    <s v="Peaple"/>
    <x v="1"/>
    <n v="19"/>
    <s v="Some Travel"/>
    <x v="0"/>
    <n v="4"/>
    <s v="IL"/>
    <s v="White"/>
    <n v="4"/>
    <s v="Marketing"/>
    <x v="0"/>
    <s v="Single"/>
    <n v="38726"/>
    <n v="1"/>
    <x v="1"/>
    <d v="2021-12-28T00:00:00"/>
    <s v="No"/>
    <n v="1"/>
    <n v="0"/>
    <n v="0"/>
    <n v="1"/>
    <s v="Masters "/>
    <s v="Masters "/>
    <s v="Masters "/>
    <n v="0"/>
    <s v="20-29"/>
  </r>
  <r>
    <s v="03D5-622D"/>
    <s v="Aurora"/>
    <s v="Whate"/>
    <x v="0"/>
    <n v="21"/>
    <s v="No Travel "/>
    <x v="0"/>
    <n v="43"/>
    <s v="CA"/>
    <s v="White"/>
    <n v="1"/>
    <s v="Marketing"/>
    <x v="0"/>
    <s v="Married"/>
    <n v="54355"/>
    <n v="1"/>
    <x v="1"/>
    <d v="2021-12-31T00:00:00"/>
    <s v="No"/>
    <n v="1"/>
    <n v="0"/>
    <n v="1"/>
    <n v="1"/>
    <s v="No Formal Qualifications"/>
    <s v="No Formal Qualifications"/>
    <s v="No Formal Qualifications"/>
    <n v="0"/>
    <s v="20-29"/>
  </r>
  <r>
    <s v="C28E-0CC3"/>
    <s v="Urbano"/>
    <s v="Akett"/>
    <x v="1"/>
    <n v="19"/>
    <s v="Some Travel"/>
    <x v="2"/>
    <n v="6"/>
    <s v="CA"/>
    <s v="White"/>
    <n v="3"/>
    <s v="Computer Science"/>
    <x v="7"/>
    <s v="Single"/>
    <n v="41539"/>
    <n v="0"/>
    <x v="0"/>
    <d v="2022-01-04T00:00:00"/>
    <s v="No"/>
    <n v="0"/>
    <n v="0"/>
    <n v="0"/>
    <n v="0"/>
    <s v="Bachelors "/>
    <s v="Bachelors "/>
    <s v="Bachelors "/>
    <n v="0"/>
    <s v="20-29"/>
  </r>
  <r>
    <s v="EB66-D679"/>
    <s v="Pryce"/>
    <s v="Bode"/>
    <x v="1"/>
    <n v="20"/>
    <s v="Some Travel"/>
    <x v="0"/>
    <n v="8"/>
    <s v="CA"/>
    <s v="White"/>
    <n v="3"/>
    <s v="Marketing "/>
    <x v="9"/>
    <s v="Divorced"/>
    <n v="27060"/>
    <n v="1"/>
    <x v="1"/>
    <d v="2022-01-04T00:00:00"/>
    <s v="Yes"/>
    <n v="0"/>
    <n v="0"/>
    <n v="0"/>
    <n v="0"/>
    <s v="Bachelors "/>
    <s v="Bachelors "/>
    <s v="Bachelors "/>
    <n v="1"/>
    <s v="20-29"/>
  </r>
  <r>
    <s v="BEBB-3E92"/>
    <s v="Flinn"/>
    <s v="Redferne"/>
    <x v="1"/>
    <n v="24"/>
    <s v="Frequent Traveller"/>
    <x v="1"/>
    <n v="17"/>
    <s v="CA"/>
    <s v="White"/>
    <n v="5"/>
    <s v="Human Resources"/>
    <x v="11"/>
    <s v="Single"/>
    <n v="93008"/>
    <n v="0"/>
    <x v="1"/>
    <d v="2022-01-04T00:00:00"/>
    <s v="No"/>
    <n v="0"/>
    <n v="0"/>
    <n v="0"/>
    <n v="0"/>
    <s v="Doctorate"/>
    <s v="Doctorate"/>
    <s v="Doctorate"/>
    <n v="0"/>
    <s v="20-29"/>
  </r>
  <r>
    <s v="E911-EAF3"/>
    <s v="Bell"/>
    <s v="Paolacci"/>
    <x v="0"/>
    <n v="24"/>
    <s v="Some Travel"/>
    <x v="2"/>
    <n v="25"/>
    <s v="NY"/>
    <s v="White"/>
    <n v="1"/>
    <s v="Information Systems"/>
    <x v="4"/>
    <s v="Divorced"/>
    <n v="26973"/>
    <n v="3"/>
    <x v="0"/>
    <d v="2022-01-10T00:00:00"/>
    <s v="No"/>
    <n v="0"/>
    <n v="0"/>
    <n v="0"/>
    <n v="0"/>
    <s v="No Formal Qualifications"/>
    <s v="No Formal Qualifications"/>
    <s v="No Formal Qualifications"/>
    <n v="0"/>
    <s v="20-29"/>
  </r>
  <r>
    <s v="0602-02AB"/>
    <s v="Lynnet"/>
    <s v="Foord"/>
    <x v="0"/>
    <n v="35"/>
    <s v="Some Travel"/>
    <x v="0"/>
    <n v="36"/>
    <s v="CA"/>
    <s v="White"/>
    <n v="2"/>
    <s v="Marketing"/>
    <x v="6"/>
    <s v="Married"/>
    <n v="487746"/>
    <n v="1"/>
    <x v="0"/>
    <d v="2022-01-12T00:00:00"/>
    <s v="No"/>
    <n v="0"/>
    <n v="0"/>
    <n v="0"/>
    <n v="0"/>
    <s v="High School "/>
    <s v="High School "/>
    <s v="High School "/>
    <n v="0"/>
    <s v="30-39"/>
  </r>
  <r>
    <s v="860E-0FA9"/>
    <s v="Zonda"/>
    <s v="Lefeuvre"/>
    <x v="0"/>
    <n v="18"/>
    <s v="Frequent Traveller"/>
    <x v="2"/>
    <n v="34"/>
    <s v="NY"/>
    <s v="White"/>
    <n v="4"/>
    <s v="Information Systems"/>
    <x v="7"/>
    <s v="Single"/>
    <n v="54085"/>
    <n v="1"/>
    <x v="1"/>
    <d v="2022-01-13T00:00:00"/>
    <s v="No"/>
    <n v="0"/>
    <n v="0"/>
    <n v="0"/>
    <n v="0"/>
    <s v="Masters "/>
    <s v="Masters "/>
    <s v="Masters "/>
    <n v="0"/>
    <s v="20-29"/>
  </r>
  <r>
    <s v="7A98-768E"/>
    <s v="Ericha"/>
    <s v="Tomczykowski"/>
    <x v="0"/>
    <n v="18"/>
    <s v="Some Travel"/>
    <x v="0"/>
    <n v="20"/>
    <s v="CA"/>
    <s v="White"/>
    <n v="3"/>
    <s v="Technical Degree"/>
    <x v="0"/>
    <s v="Single"/>
    <n v="58523"/>
    <n v="0"/>
    <x v="0"/>
    <d v="2022-01-25T00:00:00"/>
    <s v="Yes"/>
    <n v="0"/>
    <n v="0"/>
    <n v="0"/>
    <n v="0"/>
    <s v="Bachelors "/>
    <s v="Bachelors "/>
    <s v="Bachelors "/>
    <n v="1"/>
    <s v="20-29"/>
  </r>
  <r>
    <s v="A5CD-8AB8"/>
    <s v="Hildagarde"/>
    <s v="Marks"/>
    <x v="0"/>
    <n v="18"/>
    <s v="Some Travel"/>
    <x v="2"/>
    <n v="32"/>
    <s v="CA"/>
    <s v="White"/>
    <n v="4"/>
    <s v="Information Systems"/>
    <x v="7"/>
    <s v="Single"/>
    <n v="24906"/>
    <n v="0"/>
    <x v="0"/>
    <d v="2022-01-25T00:00:00"/>
    <s v="No"/>
    <n v="0"/>
    <n v="0"/>
    <n v="0"/>
    <n v="0"/>
    <s v="Masters "/>
    <s v="Masters "/>
    <s v="Masters "/>
    <n v="0"/>
    <s v="20-29"/>
  </r>
  <r>
    <s v="4268-9EAD"/>
    <s v="Hymie"/>
    <s v="Jedryka"/>
    <x v="1"/>
    <n v="24"/>
    <s v="Some Travel"/>
    <x v="2"/>
    <n v="9"/>
    <s v="NY"/>
    <s v="White"/>
    <n v="3"/>
    <s v="Information Systems"/>
    <x v="5"/>
    <s v="Single"/>
    <n v="108352"/>
    <n v="0"/>
    <x v="1"/>
    <d v="2022-01-26T00:00:00"/>
    <s v="No"/>
    <n v="0"/>
    <n v="0"/>
    <n v="0"/>
    <n v="0"/>
    <s v="Bachelors "/>
    <s v="Bachelors "/>
    <s v="Bachelors "/>
    <n v="0"/>
    <s v="20-29"/>
  </r>
  <r>
    <s v="B324-A703"/>
    <s v="Cherri"/>
    <s v="Lugg"/>
    <x v="0"/>
    <n v="19"/>
    <s v="Some Travel"/>
    <x v="2"/>
    <n v="14"/>
    <s v="CA"/>
    <s v="White"/>
    <n v="3"/>
    <s v="Computer Science"/>
    <x v="7"/>
    <s v="Single"/>
    <n v="36554"/>
    <n v="0"/>
    <x v="0"/>
    <d v="2022-01-31T00:00:00"/>
    <s v="No"/>
    <n v="0"/>
    <n v="0"/>
    <n v="0"/>
    <n v="0"/>
    <s v="Bachelors "/>
    <s v="Bachelors "/>
    <s v="Bachelors "/>
    <n v="0"/>
    <s v="20-29"/>
  </r>
  <r>
    <s v="A12D-DAF8"/>
    <s v="Aurelie"/>
    <s v="Littlejohn"/>
    <x v="0"/>
    <n v="18"/>
    <s v="Some Travel"/>
    <x v="0"/>
    <n v="43"/>
    <s v="CA"/>
    <s v="White"/>
    <n v="4"/>
    <s v="Economics"/>
    <x v="0"/>
    <s v="Single"/>
    <n v="41708"/>
    <n v="0"/>
    <x v="0"/>
    <d v="2022-02-06T00:00:00"/>
    <s v="No"/>
    <n v="0"/>
    <n v="0"/>
    <n v="0"/>
    <n v="0"/>
    <s v="Masters "/>
    <s v="Masters "/>
    <s v="Masters "/>
    <n v="0"/>
    <s v="20-29"/>
  </r>
  <r>
    <s v="135D-DF79"/>
    <s v="Lew"/>
    <s v="Muzzall"/>
    <x v="1"/>
    <n v="18"/>
    <s v="Frequent Traveller"/>
    <x v="0"/>
    <n v="41"/>
    <s v="CA"/>
    <s v="White"/>
    <n v="4"/>
    <s v="Marketing"/>
    <x v="0"/>
    <s v="Single"/>
    <n v="72639"/>
    <n v="2"/>
    <x v="0"/>
    <d v="2022-02-07T00:00:00"/>
    <s v="No"/>
    <n v="0"/>
    <n v="0"/>
    <n v="0"/>
    <n v="0"/>
    <s v="Masters "/>
    <s v="Masters "/>
    <s v="Masters "/>
    <n v="0"/>
    <s v="20-29"/>
  </r>
  <r>
    <s v="078A-E0F5"/>
    <s v="Antonino"/>
    <s v="Gillcrist"/>
    <x v="1"/>
    <n v="18"/>
    <s v="Some Travel"/>
    <x v="0"/>
    <n v="18"/>
    <s v="CA"/>
    <s v="White"/>
    <n v="4"/>
    <s v="Marketing"/>
    <x v="0"/>
    <s v="Single"/>
    <n v="52198"/>
    <n v="0"/>
    <x v="0"/>
    <d v="2022-02-11T00:00:00"/>
    <s v="No"/>
    <n v="0"/>
    <n v="0"/>
    <n v="0"/>
    <n v="0"/>
    <s v="Masters "/>
    <s v="Masters "/>
    <s v="Masters "/>
    <n v="0"/>
    <s v="20-29"/>
  </r>
  <r>
    <s v="401F-CC71"/>
    <s v="Ezekiel"/>
    <s v="Phipps"/>
    <x v="1"/>
    <n v="31"/>
    <s v="Some Travel"/>
    <x v="0"/>
    <n v="36"/>
    <s v="NY"/>
    <s v="White"/>
    <n v="3"/>
    <s v="Marketing"/>
    <x v="0"/>
    <s v="Single"/>
    <n v="139882"/>
    <n v="0"/>
    <x v="0"/>
    <d v="2022-02-11T00:00:00"/>
    <s v="No"/>
    <n v="0"/>
    <n v="0"/>
    <n v="0"/>
    <n v="0"/>
    <s v="Bachelors "/>
    <s v="Bachelors "/>
    <s v="Bachelors "/>
    <n v="0"/>
    <s v="30-39"/>
  </r>
  <r>
    <s v="141B-D354"/>
    <s v="Ezmeralda"/>
    <s v="Harbach"/>
    <x v="3"/>
    <n v="21"/>
    <s v="Some Travel"/>
    <x v="2"/>
    <n v="43"/>
    <s v="NY"/>
    <s v="White"/>
    <n v="3"/>
    <s v="Computer Science"/>
    <x v="7"/>
    <s v="Single"/>
    <n v="33306"/>
    <n v="0"/>
    <x v="0"/>
    <d v="2022-02-14T00:00:00"/>
    <s v="No"/>
    <n v="0"/>
    <n v="0"/>
    <n v="0"/>
    <n v="0"/>
    <s v="Bachelors "/>
    <s v="Bachelors "/>
    <s v="Bachelors "/>
    <n v="0"/>
    <s v="20-29"/>
  </r>
  <r>
    <s v="2EC6-E2E0"/>
    <s v="Ferne"/>
    <s v="Humbell"/>
    <x v="0"/>
    <n v="36"/>
    <s v="Frequent Traveller"/>
    <x v="2"/>
    <n v="29"/>
    <s v="CA"/>
    <s v="White"/>
    <n v="3"/>
    <s v="Information Systems"/>
    <x v="7"/>
    <s v="Single"/>
    <n v="144071"/>
    <n v="1"/>
    <x v="0"/>
    <d v="2022-02-15T00:00:00"/>
    <s v="No"/>
    <n v="0"/>
    <n v="0"/>
    <n v="0"/>
    <n v="0"/>
    <s v="Bachelors "/>
    <s v="Bachelors "/>
    <s v="Bachelors "/>
    <n v="0"/>
    <s v="30-39"/>
  </r>
  <r>
    <s v="9F17-01F4"/>
    <s v="Orton"/>
    <s v="Vanichkin"/>
    <x v="1"/>
    <n v="21"/>
    <s v="Some Travel"/>
    <x v="2"/>
    <n v="30"/>
    <s v="CA"/>
    <s v="White"/>
    <n v="3"/>
    <s v="Computer Science"/>
    <x v="7"/>
    <s v="Single"/>
    <n v="38906"/>
    <n v="0"/>
    <x v="0"/>
    <d v="2022-02-15T00:00:00"/>
    <s v="No"/>
    <n v="0"/>
    <n v="0"/>
    <n v="0"/>
    <n v="0"/>
    <s v="Bachelors "/>
    <s v="Bachelors "/>
    <s v="Bachelors "/>
    <n v="0"/>
    <s v="20-29"/>
  </r>
  <r>
    <s v="93FF-A33D"/>
    <s v="Bart"/>
    <s v="Jebb"/>
    <x v="1"/>
    <n v="23"/>
    <s v="Some Travel"/>
    <x v="2"/>
    <n v="28"/>
    <s v="NY"/>
    <s v="White"/>
    <n v="3"/>
    <s v="Information Systems"/>
    <x v="5"/>
    <s v="Single"/>
    <n v="83064"/>
    <n v="3"/>
    <x v="0"/>
    <d v="2022-02-15T00:00:00"/>
    <s v="No"/>
    <n v="0"/>
    <n v="0"/>
    <n v="0"/>
    <n v="0"/>
    <s v="Bachelors "/>
    <s v="Bachelors "/>
    <s v="Bachelors "/>
    <n v="0"/>
    <s v="20-29"/>
  </r>
  <r>
    <s v="FD1A-92C2"/>
    <s v="Belvia"/>
    <s v="Dockrell"/>
    <x v="0"/>
    <n v="35"/>
    <s v="Some Travel"/>
    <x v="0"/>
    <n v="21"/>
    <s v="CA"/>
    <s v="White"/>
    <n v="4"/>
    <s v="Marketing"/>
    <x v="0"/>
    <s v="Single"/>
    <n v="225565"/>
    <n v="1"/>
    <x v="0"/>
    <d v="2022-02-16T00:00:00"/>
    <s v="No"/>
    <n v="0"/>
    <n v="0"/>
    <n v="0"/>
    <n v="0"/>
    <s v="Masters "/>
    <s v="Masters "/>
    <s v="Masters "/>
    <n v="0"/>
    <s v="30-39"/>
  </r>
  <r>
    <s v="A687-74F8"/>
    <s v="Say"/>
    <s v="Slyme"/>
    <x v="1"/>
    <n v="19"/>
    <s v="Some Travel"/>
    <x v="2"/>
    <n v="7"/>
    <s v="NY"/>
    <s v="White"/>
    <n v="4"/>
    <s v="Business Studies"/>
    <x v="7"/>
    <s v="Single"/>
    <n v="29266"/>
    <n v="1"/>
    <x v="0"/>
    <d v="2022-02-16T00:00:00"/>
    <s v="No"/>
    <n v="0"/>
    <n v="0"/>
    <n v="0"/>
    <n v="0"/>
    <s v="Masters "/>
    <s v="Masters "/>
    <s v="Masters "/>
    <n v="0"/>
    <s v="20-29"/>
  </r>
  <r>
    <s v="ECDA-E9F0"/>
    <s v="Conway"/>
    <s v="Huntall"/>
    <x v="1"/>
    <n v="21"/>
    <s v="No Travel "/>
    <x v="2"/>
    <n v="20"/>
    <s v="CA"/>
    <s v="White"/>
    <n v="1"/>
    <s v="Business Studies"/>
    <x v="5"/>
    <s v="Married"/>
    <n v="55170"/>
    <n v="1"/>
    <x v="0"/>
    <d v="2022-02-18T00:00:00"/>
    <s v="No"/>
    <n v="0"/>
    <n v="0"/>
    <n v="0"/>
    <n v="0"/>
    <s v="No Formal Qualifications"/>
    <s v="No Formal Qualifications"/>
    <s v="No Formal Qualifications"/>
    <n v="0"/>
    <s v="20-29"/>
  </r>
  <r>
    <s v="22C9-83A6"/>
    <s v="Chick"/>
    <s v="Ballach"/>
    <x v="2"/>
    <n v="20"/>
    <s v="Frequent Traveller"/>
    <x v="2"/>
    <n v="16"/>
    <s v="CA"/>
    <s v="White"/>
    <n v="3"/>
    <s v="Information Systems"/>
    <x v="7"/>
    <s v="Married"/>
    <n v="38717"/>
    <n v="1"/>
    <x v="0"/>
    <d v="2022-02-19T00:00:00"/>
    <s v="No"/>
    <n v="0"/>
    <n v="0"/>
    <n v="0"/>
    <n v="0"/>
    <s v="Bachelors "/>
    <s v="Bachelors "/>
    <s v="Bachelors "/>
    <n v="0"/>
    <s v="20-29"/>
  </r>
  <r>
    <s v="F469-0427"/>
    <s v="Krissie"/>
    <s v="Albery"/>
    <x v="0"/>
    <n v="19"/>
    <s v="Frequent Traveller"/>
    <x v="1"/>
    <n v="31"/>
    <s v="NY"/>
    <s v="White"/>
    <n v="4"/>
    <s v="Marketing "/>
    <x v="3"/>
    <s v="Single"/>
    <n v="36832"/>
    <n v="1"/>
    <x v="1"/>
    <d v="2022-02-20T00:00:00"/>
    <s v="Yes"/>
    <n v="0"/>
    <n v="0"/>
    <n v="0"/>
    <n v="0"/>
    <s v="Masters "/>
    <s v="Masters "/>
    <s v="Masters "/>
    <n v="1"/>
    <s v="20-29"/>
  </r>
  <r>
    <s v="3051-927B"/>
    <s v="Gisella"/>
    <s v="McRannell"/>
    <x v="0"/>
    <n v="39"/>
    <s v="Some Travel"/>
    <x v="1"/>
    <n v="28"/>
    <s v="NY"/>
    <s v="White"/>
    <n v="3"/>
    <s v="Human Resources"/>
    <x v="1"/>
    <s v="Single"/>
    <n v="443218"/>
    <n v="1"/>
    <x v="0"/>
    <d v="2022-02-21T00:00:00"/>
    <s v="No"/>
    <n v="0"/>
    <n v="0"/>
    <n v="0"/>
    <n v="0"/>
    <s v="Bachelors "/>
    <s v="Bachelors "/>
    <s v="Bachelors "/>
    <n v="0"/>
    <s v="30-39"/>
  </r>
  <r>
    <s v="1EA5-85A8"/>
    <s v="Lovell"/>
    <s v="Clee"/>
    <x v="1"/>
    <n v="21"/>
    <s v="Some Travel"/>
    <x v="2"/>
    <n v="18"/>
    <s v="NY"/>
    <s v="White"/>
    <n v="2"/>
    <s v="Information Systems"/>
    <x v="5"/>
    <s v="Married"/>
    <n v="71821"/>
    <n v="0"/>
    <x v="0"/>
    <d v="2022-02-21T00:00:00"/>
    <s v="No"/>
    <n v="0"/>
    <n v="0"/>
    <n v="0"/>
    <n v="0"/>
    <s v="High School "/>
    <s v="High School "/>
    <s v="High School "/>
    <n v="0"/>
    <s v="20-29"/>
  </r>
  <r>
    <s v="E861-52CB"/>
    <s v="Whitney"/>
    <s v="Latore"/>
    <x v="1"/>
    <n v="26"/>
    <s v="Some Travel"/>
    <x v="2"/>
    <n v="37"/>
    <s v="CA"/>
    <s v="White"/>
    <n v="3"/>
    <s v="Information Systems"/>
    <x v="10"/>
    <s v="Single"/>
    <n v="192073"/>
    <n v="1"/>
    <x v="0"/>
    <d v="2022-02-21T00:00:00"/>
    <s v="No"/>
    <n v="0"/>
    <n v="0"/>
    <n v="0"/>
    <n v="0"/>
    <s v="Bachelors "/>
    <s v="Bachelors "/>
    <s v="Bachelors "/>
    <n v="0"/>
    <s v="20-29"/>
  </r>
  <r>
    <s v="91C3-F892"/>
    <s v="Daryl"/>
    <s v="Whittlesea"/>
    <x v="1"/>
    <n v="21"/>
    <s v="Some Travel"/>
    <x v="2"/>
    <n v="24"/>
    <s v="CA"/>
    <s v="White"/>
    <n v="2"/>
    <s v="Information Systems"/>
    <x v="4"/>
    <s v="Married"/>
    <n v="34024"/>
    <n v="2"/>
    <x v="0"/>
    <d v="2022-02-24T00:00:00"/>
    <s v="No"/>
    <n v="0"/>
    <n v="0"/>
    <n v="0"/>
    <n v="0"/>
    <s v="High School "/>
    <s v="High School "/>
    <s v="High School "/>
    <n v="0"/>
    <s v="20-29"/>
  </r>
  <r>
    <s v="B6B9-E5BE"/>
    <s v="Land"/>
    <s v="Brigge"/>
    <x v="1"/>
    <n v="21"/>
    <s v="No Travel "/>
    <x v="2"/>
    <n v="20"/>
    <s v="CA"/>
    <s v="White"/>
    <n v="3"/>
    <s v="Information Systems"/>
    <x v="4"/>
    <s v="Single"/>
    <n v="21454"/>
    <n v="0"/>
    <x v="0"/>
    <d v="2022-02-27T00:00:00"/>
    <s v="No"/>
    <n v="0"/>
    <n v="0"/>
    <n v="0"/>
    <n v="0"/>
    <s v="Bachelors "/>
    <s v="Bachelors "/>
    <s v="Bachelors "/>
    <n v="0"/>
    <s v="20-29"/>
  </r>
  <r>
    <s v="5C28-D944"/>
    <s v="Kaine"/>
    <s v="Izak"/>
    <x v="1"/>
    <n v="18"/>
    <s v="Some Travel"/>
    <x v="2"/>
    <n v="21"/>
    <s v="CA"/>
    <s v="White"/>
    <n v="3"/>
    <s v="Computer Science"/>
    <x v="7"/>
    <s v="Married"/>
    <n v="42946"/>
    <n v="0"/>
    <x v="0"/>
    <d v="2022-03-02T00:00:00"/>
    <s v="No"/>
    <n v="0"/>
    <n v="0"/>
    <n v="0"/>
    <n v="0"/>
    <s v="Bachelors "/>
    <s v="Bachelors "/>
    <s v="Bachelors "/>
    <n v="0"/>
    <s v="20-29"/>
  </r>
  <r>
    <s v="E8B6-8BAE"/>
    <s v="Stevie"/>
    <s v="Kinglesyd"/>
    <x v="1"/>
    <n v="29"/>
    <s v="Some Travel"/>
    <x v="0"/>
    <n v="18"/>
    <s v="IL"/>
    <s v="White"/>
    <n v="2"/>
    <s v="Economics"/>
    <x v="0"/>
    <s v="Single"/>
    <n v="225330"/>
    <n v="0"/>
    <x v="0"/>
    <d v="2022-03-02T00:00:00"/>
    <s v="Yes"/>
    <n v="0"/>
    <n v="0"/>
    <n v="0"/>
    <n v="0"/>
    <s v="High School "/>
    <s v="High School "/>
    <s v="High School "/>
    <n v="1"/>
    <s v="20-29"/>
  </r>
  <r>
    <s v="3A0A-B70A"/>
    <s v="Matteo"/>
    <s v="Bonallack"/>
    <x v="1"/>
    <n v="18"/>
    <s v="No Travel "/>
    <x v="2"/>
    <n v="4"/>
    <s v="CA"/>
    <s v="White"/>
    <n v="3"/>
    <s v="Information Systems"/>
    <x v="7"/>
    <s v="Single"/>
    <n v="32191"/>
    <n v="1"/>
    <x v="0"/>
    <d v="2022-03-07T00:00:00"/>
    <s v="No"/>
    <n v="0"/>
    <n v="0"/>
    <n v="0"/>
    <n v="0"/>
    <s v="Bachelors "/>
    <s v="Bachelors "/>
    <s v="Bachelors "/>
    <n v="0"/>
    <s v="20-29"/>
  </r>
  <r>
    <s v="812D-7475"/>
    <s v="Lucius"/>
    <s v="Plimmer"/>
    <x v="1"/>
    <n v="20"/>
    <s v="Some Travel"/>
    <x v="2"/>
    <n v="29"/>
    <s v="CA"/>
    <s v="White"/>
    <n v="1"/>
    <s v="Computer Science"/>
    <x v="4"/>
    <s v="Married"/>
    <n v="20526"/>
    <n v="1"/>
    <x v="0"/>
    <d v="2022-03-08T00:00:00"/>
    <s v="No"/>
    <n v="0"/>
    <n v="0"/>
    <n v="0"/>
    <n v="0"/>
    <s v="No Formal Qualifications"/>
    <s v="No Formal Qualifications"/>
    <s v="No Formal Qualifications"/>
    <n v="0"/>
    <s v="20-29"/>
  </r>
  <r>
    <s v="38D7-6BB9"/>
    <s v="Amory"/>
    <s v="Gaskall"/>
    <x v="1"/>
    <n v="49"/>
    <s v="Frequent Traveller"/>
    <x v="2"/>
    <n v="43"/>
    <s v="CA"/>
    <s v="White"/>
    <n v="3"/>
    <s v="Computer Science"/>
    <x v="10"/>
    <s v="Divorced"/>
    <n v="368010"/>
    <n v="1"/>
    <x v="0"/>
    <d v="2022-03-13T00:00:00"/>
    <s v="No"/>
    <n v="0"/>
    <n v="0"/>
    <n v="0"/>
    <n v="0"/>
    <s v="Bachelors "/>
    <s v="Bachelors "/>
    <s v="Bachelors "/>
    <n v="0"/>
    <s v="40-49"/>
  </r>
  <r>
    <s v="28CA-379D"/>
    <s v="Adorne"/>
    <s v="Beatens"/>
    <x v="0"/>
    <n v="19"/>
    <s v="Some Travel"/>
    <x v="0"/>
    <n v="9"/>
    <s v="CA"/>
    <s v="White"/>
    <n v="3"/>
    <s v="Marketing"/>
    <x v="9"/>
    <s v="Single"/>
    <n v="21506"/>
    <n v="2"/>
    <x v="0"/>
    <d v="2022-03-14T00:00:00"/>
    <s v="No"/>
    <n v="0"/>
    <n v="0"/>
    <n v="0"/>
    <n v="0"/>
    <s v="Bachelors "/>
    <s v="Bachelors "/>
    <s v="Bachelors "/>
    <n v="0"/>
    <s v="20-29"/>
  </r>
  <r>
    <s v="7A23-F185"/>
    <s v="Ephraim"/>
    <s v="Biaggetti"/>
    <x v="1"/>
    <n v="21"/>
    <s v="No Travel "/>
    <x v="0"/>
    <n v="22"/>
    <s v="CA"/>
    <s v="White"/>
    <n v="3"/>
    <s v="Marketing "/>
    <x v="0"/>
    <s v="Divorced"/>
    <n v="62828"/>
    <n v="1"/>
    <x v="1"/>
    <d v="2022-03-14T00:00:00"/>
    <s v="No"/>
    <n v="0"/>
    <n v="0"/>
    <n v="0"/>
    <n v="0"/>
    <s v="Bachelors "/>
    <s v="Bachelors "/>
    <s v="Bachelors "/>
    <n v="0"/>
    <s v="20-29"/>
  </r>
  <r>
    <s v="598D-E3B4"/>
    <s v="Karlis"/>
    <s v="Brisard"/>
    <x v="1"/>
    <n v="19"/>
    <s v="No Travel "/>
    <x v="2"/>
    <n v="9"/>
    <s v="CA"/>
    <s v="White"/>
    <n v="3"/>
    <s v="Information Systems"/>
    <x v="7"/>
    <s v="Single"/>
    <n v="29798"/>
    <n v="0"/>
    <x v="1"/>
    <d v="2022-03-19T00:00:00"/>
    <s v="Yes"/>
    <n v="0"/>
    <n v="0"/>
    <n v="0"/>
    <n v="0"/>
    <s v="Bachelors "/>
    <s v="Bachelors "/>
    <s v="Bachelors "/>
    <n v="1"/>
    <s v="20-29"/>
  </r>
  <r>
    <s v="64C2-2806"/>
    <s v="Gareth"/>
    <s v="Oleksiak"/>
    <x v="1"/>
    <n v="18"/>
    <s v="Some Travel"/>
    <x v="2"/>
    <n v="35"/>
    <s v="CA"/>
    <s v="White"/>
    <n v="5"/>
    <s v="Other"/>
    <x v="4"/>
    <s v="Single"/>
    <n v="36353"/>
    <n v="0"/>
    <x v="0"/>
    <d v="2022-03-20T00:00:00"/>
    <s v="No"/>
    <n v="0"/>
    <n v="0"/>
    <n v="0"/>
    <n v="0"/>
    <s v="Doctorate"/>
    <s v="Doctorate"/>
    <s v="Doctorate"/>
    <n v="0"/>
    <s v="20-29"/>
  </r>
  <r>
    <s v="6BC3-7371"/>
    <s v="Gussi"/>
    <s v="Rodrig"/>
    <x v="0"/>
    <n v="18"/>
    <s v="No Travel "/>
    <x v="0"/>
    <n v="34"/>
    <s v="IL"/>
    <s v="White"/>
    <n v="3"/>
    <s v="Marketing"/>
    <x v="0"/>
    <s v="Single"/>
    <n v="49100"/>
    <n v="0"/>
    <x v="0"/>
    <d v="2022-03-21T00:00:00"/>
    <s v="No"/>
    <n v="0"/>
    <n v="0"/>
    <n v="0"/>
    <n v="0"/>
    <s v="Bachelors "/>
    <s v="Bachelors "/>
    <s v="Bachelors "/>
    <n v="0"/>
    <s v="20-29"/>
  </r>
  <r>
    <s v="46E1-5086"/>
    <s v="Herculie"/>
    <s v="Wasielewicz"/>
    <x v="2"/>
    <n v="18"/>
    <s v="Some Travel"/>
    <x v="0"/>
    <n v="4"/>
    <s v="NY"/>
    <s v="White"/>
    <n v="4"/>
    <s v="Marketing "/>
    <x v="0"/>
    <s v="Single"/>
    <n v="74515"/>
    <n v="3"/>
    <x v="1"/>
    <d v="2022-03-23T00:00:00"/>
    <s v="No"/>
    <n v="0"/>
    <n v="0"/>
    <n v="0"/>
    <n v="0"/>
    <s v="Masters "/>
    <s v="Masters "/>
    <s v="Masters "/>
    <n v="0"/>
    <s v="20-29"/>
  </r>
  <r>
    <s v="4626-5168"/>
    <s v="Tades"/>
    <s v="Haggith"/>
    <x v="1"/>
    <n v="18"/>
    <s v="Some Travel"/>
    <x v="0"/>
    <n v="37"/>
    <s v="CA"/>
    <s v="White"/>
    <n v="4"/>
    <s v="Marketing "/>
    <x v="9"/>
    <s v="Single"/>
    <n v="32480"/>
    <n v="0"/>
    <x v="0"/>
    <d v="2022-03-25T00:00:00"/>
    <s v="No"/>
    <n v="0"/>
    <n v="0"/>
    <n v="0"/>
    <n v="0"/>
    <s v="Masters "/>
    <s v="Masters "/>
    <s v="Masters "/>
    <n v="0"/>
    <s v="20-29"/>
  </r>
  <r>
    <s v="AA6C-B0D6"/>
    <s v="Benedick"/>
    <s v="Lovekin"/>
    <x v="1"/>
    <n v="25"/>
    <s v="Some Travel"/>
    <x v="0"/>
    <n v="15"/>
    <s v="NY"/>
    <s v="White"/>
    <n v="1"/>
    <s v="Marketing"/>
    <x v="0"/>
    <s v="Married"/>
    <n v="118961"/>
    <n v="1"/>
    <x v="0"/>
    <d v="2022-04-07T00:00:00"/>
    <s v="No"/>
    <n v="0"/>
    <n v="0"/>
    <n v="0"/>
    <n v="0"/>
    <s v="No Formal Qualifications"/>
    <s v="No Formal Qualifications"/>
    <s v="No Formal Qualifications"/>
    <n v="0"/>
    <s v="20-29"/>
  </r>
  <r>
    <s v="EFF6-9543"/>
    <s v="Arvin"/>
    <s v="Brody"/>
    <x v="1"/>
    <n v="21"/>
    <s v="Some Travel"/>
    <x v="2"/>
    <n v="36"/>
    <s v="CA"/>
    <s v="White"/>
    <n v="2"/>
    <s v="Computer Science"/>
    <x v="7"/>
    <s v="Single"/>
    <n v="36431"/>
    <n v="0"/>
    <x v="0"/>
    <d v="2022-04-10T00:00:00"/>
    <s v="No"/>
    <n v="0"/>
    <n v="0"/>
    <n v="0"/>
    <n v="0"/>
    <s v="High School "/>
    <s v="High School "/>
    <s v="High School "/>
    <n v="0"/>
    <s v="20-29"/>
  </r>
  <r>
    <s v="56D1-790E"/>
    <s v="Richmound"/>
    <s v="Chisnall"/>
    <x v="1"/>
    <n v="39"/>
    <s v="Frequent Traveller"/>
    <x v="2"/>
    <n v="29"/>
    <s v="NY"/>
    <s v="White"/>
    <n v="3"/>
    <s v="Other"/>
    <x v="2"/>
    <s v="Divorced"/>
    <n v="273739"/>
    <n v="3"/>
    <x v="1"/>
    <d v="2022-04-12T00:00:00"/>
    <s v="No"/>
    <n v="0"/>
    <n v="0"/>
    <n v="0"/>
    <n v="0"/>
    <s v="Bachelors "/>
    <s v="Bachelors "/>
    <s v="Bachelors "/>
    <n v="0"/>
    <s v="30-39"/>
  </r>
  <r>
    <s v="531D-788E"/>
    <s v="Durand"/>
    <s v="Boord"/>
    <x v="1"/>
    <n v="21"/>
    <s v="Frequent Traveller"/>
    <x v="2"/>
    <n v="16"/>
    <s v="CA"/>
    <s v="White"/>
    <n v="2"/>
    <s v="Computer Science"/>
    <x v="4"/>
    <s v="Single"/>
    <n v="42569"/>
    <n v="0"/>
    <x v="0"/>
    <d v="2022-04-13T00:00:00"/>
    <s v="Yes"/>
    <n v="0"/>
    <n v="0"/>
    <n v="0"/>
    <n v="0"/>
    <s v="High School "/>
    <s v="High School "/>
    <s v="High School "/>
    <n v="1"/>
    <s v="20-29"/>
  </r>
  <r>
    <s v="1480-131D"/>
    <s v="Marabel"/>
    <s v="Horney"/>
    <x v="0"/>
    <n v="21"/>
    <s v="Frequent Traveller"/>
    <x v="0"/>
    <n v="9"/>
    <s v="CA"/>
    <s v="White"/>
    <n v="3"/>
    <s v="Marketing"/>
    <x v="9"/>
    <s v="Divorced"/>
    <n v="35770"/>
    <n v="1"/>
    <x v="0"/>
    <d v="2022-04-14T00:00:00"/>
    <s v="No"/>
    <n v="0"/>
    <n v="0"/>
    <n v="0"/>
    <n v="0"/>
    <s v="Bachelors "/>
    <s v="Bachelors "/>
    <s v="Bachelors "/>
    <n v="0"/>
    <s v="20-29"/>
  </r>
  <r>
    <s v="8700-828F"/>
    <s v="Marlo"/>
    <s v="McKim"/>
    <x v="1"/>
    <n v="21"/>
    <s v="Some Travel"/>
    <x v="2"/>
    <n v="42"/>
    <s v="NY"/>
    <s v="White"/>
    <n v="3"/>
    <s v="Computer Science"/>
    <x v="7"/>
    <s v="Divorced"/>
    <n v="34257"/>
    <n v="3"/>
    <x v="0"/>
    <d v="2022-04-16T00:00:00"/>
    <s v="No"/>
    <n v="0"/>
    <n v="0"/>
    <n v="0"/>
    <n v="0"/>
    <s v="Bachelors "/>
    <s v="Bachelors "/>
    <s v="Bachelors "/>
    <n v="0"/>
    <s v="20-29"/>
  </r>
  <r>
    <s v="9C71-61AE"/>
    <s v="Lonnard"/>
    <s v="Wrathmell"/>
    <x v="1"/>
    <n v="18"/>
    <s v="Some Travel"/>
    <x v="2"/>
    <n v="32"/>
    <s v="NY"/>
    <s v="White"/>
    <n v="1"/>
    <s v="Computer Science"/>
    <x v="5"/>
    <s v="Single"/>
    <n v="50660"/>
    <n v="1"/>
    <x v="1"/>
    <d v="2022-04-17T00:00:00"/>
    <s v="Yes"/>
    <n v="0"/>
    <n v="0"/>
    <n v="0"/>
    <n v="0"/>
    <s v="No Formal Qualifications"/>
    <s v="No Formal Qualifications"/>
    <s v="No Formal Qualifications"/>
    <n v="1"/>
    <s v="20-29"/>
  </r>
  <r>
    <s v="B77D-2FBD"/>
    <s v="Diannne"/>
    <s v="Real"/>
    <x v="0"/>
    <n v="24"/>
    <s v="Some Travel"/>
    <x v="0"/>
    <n v="11"/>
    <s v="CA"/>
    <s v="White"/>
    <n v="3"/>
    <s v="Technical Degree"/>
    <x v="0"/>
    <s v="Single"/>
    <n v="58923"/>
    <n v="0"/>
    <x v="0"/>
    <d v="2022-04-19T00:00:00"/>
    <s v="No"/>
    <n v="0"/>
    <n v="0"/>
    <n v="0"/>
    <n v="0"/>
    <s v="Bachelors "/>
    <s v="Bachelors "/>
    <s v="Bachelors "/>
    <n v="0"/>
    <s v="20-29"/>
  </r>
  <r>
    <s v="5A8A-1547"/>
    <s v="Nora"/>
    <s v="Gittoes"/>
    <x v="2"/>
    <n v="19"/>
    <s v="Frequent Traveller"/>
    <x v="2"/>
    <n v="15"/>
    <s v="CA"/>
    <s v="White"/>
    <n v="4"/>
    <s v="Business Studies"/>
    <x v="7"/>
    <s v="Single"/>
    <n v="77905"/>
    <n v="0"/>
    <x v="0"/>
    <d v="2022-04-19T00:00:00"/>
    <s v="No"/>
    <n v="0"/>
    <n v="0"/>
    <n v="0"/>
    <n v="0"/>
    <s v="Masters "/>
    <s v="Masters "/>
    <s v="Masters "/>
    <n v="0"/>
    <s v="20-29"/>
  </r>
  <r>
    <s v="7CFC-C4DA"/>
    <s v="Brant"/>
    <s v="Damper"/>
    <x v="1"/>
    <n v="21"/>
    <s v="Some Travel"/>
    <x v="2"/>
    <n v="44"/>
    <s v="CA"/>
    <s v="White"/>
    <n v="2"/>
    <s v="Other"/>
    <x v="4"/>
    <s v="Single"/>
    <n v="32676"/>
    <n v="0"/>
    <x v="1"/>
    <d v="2022-04-20T00:00:00"/>
    <s v="Yes"/>
    <n v="0"/>
    <n v="0"/>
    <n v="0"/>
    <n v="0"/>
    <s v="High School "/>
    <s v="High School "/>
    <s v="High School "/>
    <n v="1"/>
    <s v="20-29"/>
  </r>
  <r>
    <s v="A409-0113"/>
    <s v="Aurthur"/>
    <s v="Attoe"/>
    <x v="1"/>
    <n v="27"/>
    <s v="Some Travel"/>
    <x v="1"/>
    <n v="4"/>
    <s v="CA"/>
    <s v="White"/>
    <n v="3"/>
    <s v="Marketing "/>
    <x v="1"/>
    <s v="Single"/>
    <n v="219195"/>
    <n v="1"/>
    <x v="1"/>
    <d v="2022-04-20T00:00:00"/>
    <s v="No"/>
    <n v="0"/>
    <n v="0"/>
    <n v="0"/>
    <n v="0"/>
    <s v="Bachelors "/>
    <s v="Bachelors "/>
    <s v="Bachelors "/>
    <n v="0"/>
    <s v="20-29"/>
  </r>
  <r>
    <s v="543B-0EE5"/>
    <s v="Theodore"/>
    <s v="Parrington"/>
    <x v="1"/>
    <n v="20"/>
    <s v="Some Travel"/>
    <x v="2"/>
    <n v="39"/>
    <s v="NY"/>
    <s v="White"/>
    <n v="3"/>
    <s v="Other"/>
    <x v="7"/>
    <s v="Married"/>
    <n v="20418"/>
    <n v="0"/>
    <x v="0"/>
    <d v="2022-04-24T00:00:00"/>
    <s v="No"/>
    <n v="0"/>
    <n v="0"/>
    <n v="0"/>
    <n v="0"/>
    <s v="Bachelors "/>
    <s v="Bachelors "/>
    <s v="Bachelors "/>
    <n v="0"/>
    <s v="20-29"/>
  </r>
  <r>
    <s v="4795-4D3F"/>
    <s v="Tammy"/>
    <s v="Flaws"/>
    <x v="1"/>
    <n v="20"/>
    <s v="Some Travel"/>
    <x v="2"/>
    <n v="18"/>
    <s v="CA"/>
    <s v="White"/>
    <n v="4"/>
    <s v="Computer Science"/>
    <x v="4"/>
    <s v="Married"/>
    <n v="28544"/>
    <n v="1"/>
    <x v="1"/>
    <d v="2022-04-27T00:00:00"/>
    <s v="No"/>
    <n v="0"/>
    <n v="0"/>
    <n v="0"/>
    <n v="0"/>
    <s v="Masters "/>
    <s v="Masters "/>
    <s v="Masters "/>
    <n v="0"/>
    <s v="20-29"/>
  </r>
  <r>
    <s v="BE54-B2AF"/>
    <s v="Nelia"/>
    <s v="Abramowitz"/>
    <x v="0"/>
    <n v="20"/>
    <s v="Frequent Traveller"/>
    <x v="2"/>
    <n v="45"/>
    <s v="CA"/>
    <s v="White"/>
    <n v="1"/>
    <s v="Computer Science"/>
    <x v="5"/>
    <s v="Married"/>
    <n v="46714"/>
    <n v="1"/>
    <x v="0"/>
    <d v="2022-04-28T00:00:00"/>
    <s v="No"/>
    <n v="0"/>
    <n v="0"/>
    <n v="0"/>
    <n v="0"/>
    <s v="No Formal Qualifications"/>
    <s v="No Formal Qualifications"/>
    <s v="No Formal Qualifications"/>
    <n v="0"/>
    <s v="20-29"/>
  </r>
  <r>
    <s v="2114-EC1F"/>
    <s v="Elliott"/>
    <s v="Franciskiewicz"/>
    <x v="1"/>
    <n v="32"/>
    <s v="Some Travel"/>
    <x v="0"/>
    <n v="21"/>
    <s v="NY"/>
    <s v="White"/>
    <n v="4"/>
    <s v="Marketing"/>
    <x v="0"/>
    <s v="Married"/>
    <n v="106476"/>
    <n v="2"/>
    <x v="0"/>
    <d v="2022-05-01T00:00:00"/>
    <s v="No"/>
    <n v="0"/>
    <n v="0"/>
    <n v="0"/>
    <n v="0"/>
    <s v="Masters "/>
    <s v="Masters "/>
    <s v="Masters "/>
    <n v="0"/>
    <s v="30-39"/>
  </r>
  <r>
    <s v="CA98-86ED"/>
    <s v="Paulette"/>
    <s v="Albertson"/>
    <x v="0"/>
    <n v="34"/>
    <s v="Frequent Traveller"/>
    <x v="2"/>
    <n v="1"/>
    <s v="CA"/>
    <s v="White"/>
    <n v="1"/>
    <s v="Information Systems"/>
    <x v="5"/>
    <s v="Single"/>
    <n v="178472"/>
    <n v="0"/>
    <x v="1"/>
    <d v="2022-05-07T00:00:00"/>
    <s v="No"/>
    <n v="0"/>
    <n v="0"/>
    <n v="0"/>
    <n v="0"/>
    <s v="No Formal Qualifications"/>
    <s v="No Formal Qualifications"/>
    <s v="No Formal Qualifications"/>
    <n v="0"/>
    <s v="30-39"/>
  </r>
  <r>
    <s v="5DBA-93C9"/>
    <s v="Allys"/>
    <s v="Bourdice"/>
    <x v="3"/>
    <n v="21"/>
    <s v="Some Travel"/>
    <x v="2"/>
    <n v="26"/>
    <s v="CA"/>
    <s v="White"/>
    <n v="4"/>
    <s v="Computer Science"/>
    <x v="4"/>
    <s v="Married"/>
    <n v="21202"/>
    <n v="1"/>
    <x v="0"/>
    <d v="2022-05-11T00:00:00"/>
    <s v="No"/>
    <n v="0"/>
    <n v="0"/>
    <n v="0"/>
    <n v="0"/>
    <s v="Masters "/>
    <s v="Masters "/>
    <s v="Masters "/>
    <n v="0"/>
    <s v="20-29"/>
  </r>
  <r>
    <s v="C3C0-349E"/>
    <s v="Isac"/>
    <s v="Dreus"/>
    <x v="1"/>
    <n v="45"/>
    <s v="Some Travel"/>
    <x v="0"/>
    <n v="22"/>
    <s v="CA"/>
    <s v="White"/>
    <n v="4"/>
    <s v="Marketing "/>
    <x v="0"/>
    <s v="Married"/>
    <n v="270302"/>
    <n v="0"/>
    <x v="0"/>
    <d v="2022-05-13T00:00:00"/>
    <s v="Yes"/>
    <n v="0"/>
    <n v="0"/>
    <n v="0"/>
    <n v="0"/>
    <s v="Masters "/>
    <s v="Masters "/>
    <s v="Masters "/>
    <n v="1"/>
    <s v="40-49"/>
  </r>
  <r>
    <s v="CAA0-3971"/>
    <s v="Ives"/>
    <s v="Cranston"/>
    <x v="1"/>
    <n v="22"/>
    <s v="Some Travel"/>
    <x v="0"/>
    <n v="31"/>
    <s v="NY"/>
    <s v="White"/>
    <n v="1"/>
    <s v="Marketing "/>
    <x v="0"/>
    <s v="Single"/>
    <n v="51582"/>
    <n v="0"/>
    <x v="0"/>
    <d v="2022-05-13T00:00:00"/>
    <s v="No"/>
    <n v="0"/>
    <n v="0"/>
    <n v="0"/>
    <n v="0"/>
    <s v="No Formal Qualifications"/>
    <s v="No Formal Qualifications"/>
    <s v="No Formal Qualifications"/>
    <n v="0"/>
    <s v="20-29"/>
  </r>
  <r>
    <s v="32F1-6903"/>
    <s v="Mariya"/>
    <s v="Mattheus"/>
    <x v="0"/>
    <n v="18"/>
    <s v="Frequent Traveller"/>
    <x v="2"/>
    <n v="10"/>
    <s v="IL"/>
    <s v="White"/>
    <n v="3"/>
    <s v="Computer Science"/>
    <x v="7"/>
    <s v="Single"/>
    <n v="26960"/>
    <n v="3"/>
    <x v="0"/>
    <d v="2022-05-17T00:00:00"/>
    <s v="No"/>
    <n v="0"/>
    <n v="0"/>
    <n v="0"/>
    <n v="0"/>
    <s v="Bachelors "/>
    <s v="Bachelors "/>
    <s v="Bachelors "/>
    <n v="0"/>
    <s v="20-29"/>
  </r>
  <r>
    <s v="D186-CBF5"/>
    <s v="Ibby"/>
    <s v="Witcomb"/>
    <x v="0"/>
    <n v="19"/>
    <s v="Some Travel"/>
    <x v="0"/>
    <n v="21"/>
    <s v="NY"/>
    <s v="White"/>
    <n v="3"/>
    <s v="Marketing"/>
    <x v="9"/>
    <s v="Single"/>
    <n v="33454"/>
    <n v="0"/>
    <x v="1"/>
    <d v="2022-05-19T00:00:00"/>
    <s v="Yes"/>
    <n v="0"/>
    <n v="0"/>
    <n v="0"/>
    <n v="0"/>
    <s v="Bachelors "/>
    <s v="Bachelors "/>
    <s v="Bachelors "/>
    <n v="1"/>
    <s v="20-29"/>
  </r>
  <r>
    <s v="E681-7B57"/>
    <s v="Durant"/>
    <s v="Ratley"/>
    <x v="1"/>
    <n v="18"/>
    <s v="Frequent Traveller"/>
    <x v="2"/>
    <n v="26"/>
    <s v="CA"/>
    <s v="White"/>
    <n v="2"/>
    <s v="Information Systems"/>
    <x v="4"/>
    <s v="Single"/>
    <n v="31532"/>
    <n v="0"/>
    <x v="0"/>
    <d v="2022-05-22T00:00:00"/>
    <s v="Yes"/>
    <n v="0"/>
    <n v="0"/>
    <n v="0"/>
    <n v="0"/>
    <s v="High School "/>
    <s v="High School "/>
    <s v="High School "/>
    <n v="1"/>
    <s v="20-29"/>
  </r>
  <r>
    <s v="14CF-051D"/>
    <s v="Prent"/>
    <s v="Salkeld"/>
    <x v="1"/>
    <n v="19"/>
    <s v="Some Travel"/>
    <x v="1"/>
    <n v="18"/>
    <s v="NY"/>
    <s v="White"/>
    <n v="4"/>
    <s v="Economics"/>
    <x v="3"/>
    <s v="Single"/>
    <n v="20778"/>
    <n v="0"/>
    <x v="0"/>
    <d v="2022-05-24T00:00:00"/>
    <s v="No"/>
    <n v="0"/>
    <n v="0"/>
    <n v="0"/>
    <n v="0"/>
    <s v="Masters "/>
    <s v="Masters "/>
    <s v="Masters "/>
    <n v="0"/>
    <s v="20-29"/>
  </r>
  <r>
    <s v="6576-8773"/>
    <s v="Ash"/>
    <s v="Slamaker"/>
    <x v="1"/>
    <n v="33"/>
    <s v="Frequent Traveller"/>
    <x v="2"/>
    <n v="24"/>
    <s v="NY"/>
    <s v="White"/>
    <n v="4"/>
    <s v="Computer Science"/>
    <x v="5"/>
    <s v="Divorced"/>
    <n v="283171"/>
    <n v="1"/>
    <x v="0"/>
    <d v="2022-05-24T00:00:00"/>
    <s v="No"/>
    <n v="0"/>
    <n v="0"/>
    <n v="0"/>
    <n v="0"/>
    <s v="Masters "/>
    <s v="Masters "/>
    <s v="Masters "/>
    <n v="0"/>
    <s v="30-39"/>
  </r>
  <r>
    <s v="ECD4-3FF7"/>
    <s v="Kenyon"/>
    <s v="Fawltey"/>
    <x v="1"/>
    <n v="19"/>
    <s v="Some Travel"/>
    <x v="2"/>
    <n v="15"/>
    <s v="CA"/>
    <s v="White"/>
    <n v="3"/>
    <s v="Computer Science"/>
    <x v="4"/>
    <s v="Single"/>
    <n v="58408"/>
    <n v="1"/>
    <x v="1"/>
    <d v="2022-05-31T00:00:00"/>
    <s v="No"/>
    <n v="0"/>
    <n v="0"/>
    <n v="0"/>
    <n v="0"/>
    <s v="Bachelors "/>
    <s v="Bachelors "/>
    <s v="Bachelors "/>
    <n v="0"/>
    <s v="20-29"/>
  </r>
  <r>
    <s v="B727-FCF9"/>
    <s v="Evy"/>
    <s v="Bichener"/>
    <x v="0"/>
    <n v="27"/>
    <s v="Some Travel"/>
    <x v="2"/>
    <n v="36"/>
    <s v="CA"/>
    <s v="White"/>
    <n v="3"/>
    <s v="Information Systems"/>
    <x v="2"/>
    <s v="Married"/>
    <n v="227477"/>
    <n v="0"/>
    <x v="0"/>
    <d v="2022-06-07T00:00:00"/>
    <s v="No"/>
    <n v="0"/>
    <n v="0"/>
    <n v="0"/>
    <n v="0"/>
    <s v="Bachelors "/>
    <s v="Bachelors "/>
    <s v="Bachelors "/>
    <n v="0"/>
    <s v="20-29"/>
  </r>
  <r>
    <s v="26A0-5791"/>
    <s v="Hayden"/>
    <s v="Yokelman"/>
    <x v="1"/>
    <n v="21"/>
    <s v="Some Travel"/>
    <x v="0"/>
    <n v="19"/>
    <s v="NY"/>
    <s v="White"/>
    <n v="4"/>
    <s v="Marketing "/>
    <x v="9"/>
    <s v="Married"/>
    <n v="22696"/>
    <n v="1"/>
    <x v="1"/>
    <d v="2022-06-08T00:00:00"/>
    <s v="No"/>
    <n v="0"/>
    <n v="0"/>
    <n v="0"/>
    <n v="0"/>
    <s v="Masters "/>
    <s v="Masters "/>
    <s v="Masters "/>
    <n v="0"/>
    <s v="20-29"/>
  </r>
  <r>
    <s v="CF4C-5525"/>
    <s v="Charleen"/>
    <s v="Wigsell"/>
    <x v="0"/>
    <n v="20"/>
    <s v="Some Travel"/>
    <x v="2"/>
    <n v="10"/>
    <s v="NY"/>
    <s v="White"/>
    <n v="5"/>
    <s v="Computer Science"/>
    <x v="7"/>
    <s v="Married"/>
    <n v="32077"/>
    <n v="1"/>
    <x v="0"/>
    <d v="2022-06-09T00:00:00"/>
    <s v="No"/>
    <n v="0"/>
    <n v="0"/>
    <n v="0"/>
    <n v="0"/>
    <s v="Doctorate"/>
    <s v="Doctorate"/>
    <s v="Doctorate"/>
    <n v="0"/>
    <s v="20-29"/>
  </r>
  <r>
    <s v="F749-A0E8"/>
    <s v="Marie"/>
    <s v="Klehn"/>
    <x v="0"/>
    <n v="19"/>
    <s v="Some Travel"/>
    <x v="2"/>
    <n v="26"/>
    <s v="CA"/>
    <s v="White"/>
    <n v="4"/>
    <s v="Information Systems"/>
    <x v="7"/>
    <s v="Single"/>
    <n v="66119"/>
    <n v="0"/>
    <x v="0"/>
    <d v="2022-06-12T00:00:00"/>
    <s v="No"/>
    <n v="0"/>
    <n v="0"/>
    <n v="0"/>
    <n v="0"/>
    <s v="Masters "/>
    <s v="Masters "/>
    <s v="Masters "/>
    <n v="0"/>
    <s v="20-29"/>
  </r>
  <r>
    <s v="422B-53AC"/>
    <s v="Otis"/>
    <s v="Liquorish"/>
    <x v="2"/>
    <n v="29"/>
    <s v="Some Travel"/>
    <x v="0"/>
    <n v="29"/>
    <s v="CA"/>
    <s v="White"/>
    <n v="2"/>
    <s v="Marketing "/>
    <x v="0"/>
    <s v="Single"/>
    <n v="134537"/>
    <n v="0"/>
    <x v="1"/>
    <d v="2022-06-16T00:00:00"/>
    <s v="No"/>
    <n v="0"/>
    <n v="0"/>
    <n v="0"/>
    <n v="0"/>
    <s v="High School "/>
    <s v="High School "/>
    <s v="High School "/>
    <n v="0"/>
    <s v="20-29"/>
  </r>
  <r>
    <s v="AAD3-BCC1"/>
    <s v="Nikita"/>
    <s v="Pettis"/>
    <x v="3"/>
    <n v="18"/>
    <s v="Some Travel"/>
    <x v="0"/>
    <n v="9"/>
    <s v="IL"/>
    <s v="White"/>
    <n v="3"/>
    <s v="Economics"/>
    <x v="0"/>
    <s v="Single"/>
    <n v="74515"/>
    <n v="0"/>
    <x v="0"/>
    <d v="2022-06-19T00:00:00"/>
    <s v="No"/>
    <n v="0"/>
    <n v="0"/>
    <n v="0"/>
    <n v="0"/>
    <s v="Bachelors "/>
    <s v="Bachelors "/>
    <s v="Bachelors "/>
    <n v="0"/>
    <s v="20-29"/>
  </r>
  <r>
    <s v="F245-F338"/>
    <s v="Jamie"/>
    <s v="Lavery"/>
    <x v="0"/>
    <n v="18"/>
    <s v="Frequent Traveller"/>
    <x v="0"/>
    <n v="26"/>
    <s v="CA"/>
    <s v="White"/>
    <n v="3"/>
    <s v="Economics"/>
    <x v="0"/>
    <s v="Single"/>
    <n v="62054"/>
    <n v="2"/>
    <x v="0"/>
    <d v="2022-06-21T00:00:00"/>
    <s v="No"/>
    <n v="0"/>
    <n v="0"/>
    <n v="0"/>
    <n v="0"/>
    <s v="Bachelors "/>
    <s v="Bachelors "/>
    <s v="Bachelors "/>
    <n v="0"/>
    <s v="20-29"/>
  </r>
  <r>
    <s v="921D-AE10"/>
    <s v="Greer"/>
    <s v="MacDearmaid"/>
    <x v="0"/>
    <n v="46"/>
    <s v="No Travel "/>
    <x v="0"/>
    <n v="24"/>
    <s v="CA"/>
    <s v="White"/>
    <n v="4"/>
    <s v="Economics"/>
    <x v="0"/>
    <s v="Single"/>
    <n v="236103"/>
    <n v="0"/>
    <x v="0"/>
    <d v="2022-06-21T00:00:00"/>
    <s v="No"/>
    <n v="0"/>
    <n v="0"/>
    <n v="0"/>
    <n v="0"/>
    <s v="Masters "/>
    <s v="Masters "/>
    <s v="Masters "/>
    <n v="0"/>
    <s v="40-49"/>
  </r>
  <r>
    <s v="6280-B47F"/>
    <s v="Durward"/>
    <s v="Buzek"/>
    <x v="1"/>
    <n v="25"/>
    <s v="Frequent Traveller"/>
    <x v="2"/>
    <n v="39"/>
    <s v="NY"/>
    <s v="White"/>
    <n v="4"/>
    <s v="Computer Science"/>
    <x v="7"/>
    <s v="Single"/>
    <n v="26545"/>
    <n v="1"/>
    <x v="1"/>
    <d v="2022-06-21T00:00:00"/>
    <s v="Yes"/>
    <n v="0"/>
    <n v="0"/>
    <n v="0"/>
    <n v="0"/>
    <s v="Masters "/>
    <s v="Masters "/>
    <s v="Masters "/>
    <n v="1"/>
    <s v="20-29"/>
  </r>
  <r>
    <s v="00E4-3D60"/>
    <s v="Sherilyn"/>
    <s v="Girke"/>
    <x v="0"/>
    <n v="30"/>
    <s v="Frequent Traveller"/>
    <x v="2"/>
    <n v="37"/>
    <s v="CA"/>
    <s v="White"/>
    <n v="1"/>
    <s v="Business Studies"/>
    <x v="4"/>
    <s v="Single"/>
    <n v="109778"/>
    <n v="0"/>
    <x v="0"/>
    <d v="2022-06-23T00:00:00"/>
    <s v="Yes"/>
    <n v="0"/>
    <n v="0"/>
    <n v="0"/>
    <n v="0"/>
    <s v="No Formal Qualifications"/>
    <s v="No Formal Qualifications"/>
    <s v="No Formal Qualifications"/>
    <n v="1"/>
    <s v="30-39"/>
  </r>
  <r>
    <s v="E368-3CF3"/>
    <s v="Reinaldos"/>
    <s v="LAbbet"/>
    <x v="1"/>
    <n v="18"/>
    <s v="Some Travel"/>
    <x v="0"/>
    <n v="9"/>
    <s v="IL"/>
    <s v="White"/>
    <n v="4"/>
    <s v="Marketing "/>
    <x v="9"/>
    <s v="Single"/>
    <n v="61582"/>
    <n v="0"/>
    <x v="0"/>
    <d v="2022-06-24T00:00:00"/>
    <s v="No"/>
    <n v="0"/>
    <n v="0"/>
    <n v="0"/>
    <n v="0"/>
    <s v="Masters "/>
    <s v="Masters "/>
    <s v="Masters "/>
    <n v="0"/>
    <s v="20-29"/>
  </r>
  <r>
    <s v="7B84-8387"/>
    <s v="Richardo"/>
    <s v="Lowres"/>
    <x v="1"/>
    <n v="20"/>
    <s v="Some Travel"/>
    <x v="2"/>
    <n v="4"/>
    <s v="CA"/>
    <s v="White"/>
    <n v="4"/>
    <s v="Information Systems"/>
    <x v="4"/>
    <s v="Single"/>
    <n v="34954"/>
    <n v="0"/>
    <x v="0"/>
    <d v="2022-06-24T00:00:00"/>
    <s v="No"/>
    <n v="0"/>
    <n v="0"/>
    <n v="0"/>
    <n v="0"/>
    <s v="Masters "/>
    <s v="Masters "/>
    <s v="Masters "/>
    <n v="0"/>
    <s v="20-29"/>
  </r>
  <r>
    <s v="D380-A175"/>
    <s v="Fritz"/>
    <s v="St. Quintin"/>
    <x v="1"/>
    <n v="18"/>
    <s v="Frequent Traveller"/>
    <x v="0"/>
    <n v="21"/>
    <s v="NY"/>
    <s v="White"/>
    <n v="4"/>
    <s v="Marketing"/>
    <x v="9"/>
    <s v="Single"/>
    <n v="22889"/>
    <n v="1"/>
    <x v="0"/>
    <d v="2022-06-25T00:00:00"/>
    <s v="No"/>
    <n v="0"/>
    <n v="0"/>
    <n v="0"/>
    <n v="0"/>
    <s v="Masters "/>
    <s v="Masters "/>
    <s v="Masters "/>
    <n v="0"/>
    <s v="20-29"/>
  </r>
  <r>
    <s v="078D-B654"/>
    <s v="Cob"/>
    <s v="Cruikshank"/>
    <x v="1"/>
    <n v="24"/>
    <s v="Some Travel"/>
    <x v="2"/>
    <n v="1"/>
    <s v="CA"/>
    <s v="White"/>
    <n v="4"/>
    <s v="Computer Science"/>
    <x v="8"/>
    <s v="Single"/>
    <n v="113262"/>
    <n v="0"/>
    <x v="0"/>
    <d v="2022-06-30T00:00:00"/>
    <s v="No"/>
    <n v="0"/>
    <n v="0"/>
    <n v="0"/>
    <n v="0"/>
    <s v="Masters "/>
    <s v="Masters "/>
    <s v="Masters "/>
    <n v="0"/>
    <s v="20-29"/>
  </r>
  <r>
    <s v="F1A4-58F5"/>
    <s v="Blake"/>
    <s v="Duffrie"/>
    <x v="1"/>
    <n v="19"/>
    <s v="Some Travel"/>
    <x v="2"/>
    <n v="21"/>
    <s v="CA"/>
    <s v="White"/>
    <n v="1"/>
    <s v="Computer Science"/>
    <x v="8"/>
    <s v="Single"/>
    <n v="71551"/>
    <n v="1"/>
    <x v="1"/>
    <d v="2022-07-01T00:00:00"/>
    <s v="No"/>
    <n v="0"/>
    <n v="0"/>
    <n v="0"/>
    <n v="0"/>
    <s v="No Formal Qualifications"/>
    <s v="No Formal Qualifications"/>
    <s v="No Formal Qualifications"/>
    <n v="0"/>
    <s v="20-29"/>
  </r>
  <r>
    <s v="D6AB-ED90"/>
    <s v="Pen"/>
    <s v="Glanister"/>
    <x v="0"/>
    <n v="20"/>
    <s v="No Travel "/>
    <x v="2"/>
    <n v="12"/>
    <s v="CA"/>
    <s v="White"/>
    <n v="3"/>
    <s v="Information Systems"/>
    <x v="7"/>
    <s v="Single"/>
    <n v="29329"/>
    <n v="0"/>
    <x v="0"/>
    <d v="2022-07-03T00:00:00"/>
    <s v="No"/>
    <n v="0"/>
    <n v="0"/>
    <n v="0"/>
    <n v="0"/>
    <s v="Bachelors "/>
    <s v="Bachelors "/>
    <s v="Bachelors "/>
    <n v="0"/>
    <s v="20-29"/>
  </r>
  <r>
    <s v="0D92-C1D0"/>
    <s v="Shandeigh"/>
    <s v="McCaster"/>
    <x v="0"/>
    <n v="26"/>
    <s v="Some Travel"/>
    <x v="2"/>
    <n v="43"/>
    <s v="IL"/>
    <s v="White"/>
    <n v="3"/>
    <s v="Other"/>
    <x v="5"/>
    <s v="Single"/>
    <n v="125232"/>
    <n v="1"/>
    <x v="0"/>
    <d v="2022-07-07T00:00:00"/>
    <s v="No"/>
    <n v="0"/>
    <n v="0"/>
    <n v="0"/>
    <n v="0"/>
    <s v="Bachelors "/>
    <s v="Bachelors "/>
    <s v="Bachelors "/>
    <n v="0"/>
    <s v="20-29"/>
  </r>
  <r>
    <s v="A3AE-B510"/>
    <s v="Cameron"/>
    <s v="Spencook"/>
    <x v="1"/>
    <n v="31"/>
    <s v="Some Travel"/>
    <x v="2"/>
    <n v="28"/>
    <s v="CA"/>
    <s v="White"/>
    <n v="4"/>
    <s v="Information Systems"/>
    <x v="2"/>
    <s v="Single"/>
    <n v="353335"/>
    <n v="1"/>
    <x v="1"/>
    <d v="2022-07-07T00:00:00"/>
    <s v="No"/>
    <n v="0"/>
    <n v="0"/>
    <n v="0"/>
    <n v="0"/>
    <s v="Masters "/>
    <s v="Masters "/>
    <s v="Masters "/>
    <n v="0"/>
    <s v="30-39"/>
  </r>
  <r>
    <s v="C1BA-AB7C"/>
    <s v="Gorden"/>
    <s v="Ferriby"/>
    <x v="1"/>
    <n v="27"/>
    <s v="Some Travel"/>
    <x v="2"/>
    <n v="19"/>
    <s v="IL"/>
    <s v="White"/>
    <n v="4"/>
    <s v="Business Studies"/>
    <x v="2"/>
    <s v="Married"/>
    <n v="118176"/>
    <n v="1"/>
    <x v="0"/>
    <d v="2022-07-14T00:00:00"/>
    <s v="No"/>
    <n v="0"/>
    <n v="0"/>
    <n v="0"/>
    <n v="0"/>
    <s v="Masters "/>
    <s v="Masters "/>
    <s v="Masters "/>
    <n v="0"/>
    <s v="20-29"/>
  </r>
  <r>
    <s v="FBAF-649F"/>
    <s v="Mathilda"/>
    <s v="Franchi"/>
    <x v="0"/>
    <n v="19"/>
    <s v="Some Travel"/>
    <x v="2"/>
    <n v="33"/>
    <s v="NY"/>
    <s v="White"/>
    <n v="3"/>
    <s v="Information Systems"/>
    <x v="5"/>
    <s v="Single"/>
    <n v="53571"/>
    <n v="0"/>
    <x v="1"/>
    <d v="2022-07-16T00:00:00"/>
    <s v="No"/>
    <n v="0"/>
    <n v="0"/>
    <n v="0"/>
    <n v="0"/>
    <s v="Bachelors "/>
    <s v="Bachelors "/>
    <s v="Bachelors "/>
    <n v="0"/>
    <s v="20-29"/>
  </r>
  <r>
    <s v="F45B-1442"/>
    <s v="Eddy"/>
    <s v="Dallaway"/>
    <x v="1"/>
    <n v="29"/>
    <s v="Some Travel"/>
    <x v="1"/>
    <n v="41"/>
    <s v="NY"/>
    <s v="White"/>
    <n v="3"/>
    <s v="Human Resources"/>
    <x v="11"/>
    <s v="Married"/>
    <n v="142773"/>
    <n v="0"/>
    <x v="1"/>
    <d v="2022-07-16T00:00:00"/>
    <s v="No"/>
    <n v="0"/>
    <n v="0"/>
    <n v="0"/>
    <n v="0"/>
    <s v="Bachelors "/>
    <s v="Bachelors "/>
    <s v="Bachelors "/>
    <n v="0"/>
    <s v="20-29"/>
  </r>
  <r>
    <s v="DB6C-3B2F"/>
    <s v="Yelena"/>
    <s v="Paskerful"/>
    <x v="0"/>
    <n v="19"/>
    <s v="Some Travel"/>
    <x v="2"/>
    <n v="43"/>
    <s v="CA"/>
    <s v="White"/>
    <n v="3"/>
    <s v="Information Systems"/>
    <x v="4"/>
    <s v="Single"/>
    <n v="49006"/>
    <n v="1"/>
    <x v="0"/>
    <d v="2022-07-18T00:00:00"/>
    <s v="Yes"/>
    <n v="0"/>
    <n v="0"/>
    <n v="0"/>
    <n v="0"/>
    <s v="Bachelors "/>
    <s v="Bachelors "/>
    <s v="Bachelors "/>
    <n v="1"/>
    <s v="20-29"/>
  </r>
  <r>
    <s v="DC50-0336"/>
    <s v="Krystyna"/>
    <s v="Bartozzi"/>
    <x v="0"/>
    <n v="31"/>
    <s v="No Travel "/>
    <x v="2"/>
    <n v="38"/>
    <s v="CA"/>
    <s v="White"/>
    <n v="2"/>
    <s v="Information Systems"/>
    <x v="5"/>
    <s v="Single"/>
    <n v="272255"/>
    <n v="1"/>
    <x v="0"/>
    <d v="2022-07-20T00:00:00"/>
    <s v="No"/>
    <n v="0"/>
    <n v="0"/>
    <n v="0"/>
    <n v="0"/>
    <s v="High School "/>
    <s v="High School "/>
    <s v="High School "/>
    <n v="0"/>
    <s v="30-39"/>
  </r>
  <r>
    <s v="D051-2C2D"/>
    <s v="Welby"/>
    <s v="Chansonnau"/>
    <x v="2"/>
    <n v="20"/>
    <s v="Some Travel"/>
    <x v="0"/>
    <n v="43"/>
    <s v="CA"/>
    <s v="White"/>
    <n v="5"/>
    <s v="Marketing"/>
    <x v="0"/>
    <s v="Married"/>
    <n v="39145"/>
    <n v="1"/>
    <x v="0"/>
    <d v="2022-07-25T00:00:00"/>
    <s v="No"/>
    <n v="0"/>
    <n v="0"/>
    <n v="0"/>
    <n v="0"/>
    <s v="Doctorate"/>
    <s v="Doctorate"/>
    <s v="Doctorate"/>
    <n v="0"/>
    <s v="20-29"/>
  </r>
  <r>
    <s v="FC2A-4F21"/>
    <s v="Torre"/>
    <s v="Blazynski"/>
    <x v="1"/>
    <n v="32"/>
    <s v="Some Travel"/>
    <x v="0"/>
    <n v="14"/>
    <s v="CA"/>
    <s v="White"/>
    <n v="3"/>
    <s v="Economics"/>
    <x v="0"/>
    <s v="Married"/>
    <n v="173656"/>
    <n v="2"/>
    <x v="0"/>
    <d v="2022-07-26T00:00:00"/>
    <s v="No"/>
    <n v="0"/>
    <n v="0"/>
    <n v="0"/>
    <n v="0"/>
    <s v="Bachelors "/>
    <s v="Bachelors "/>
    <s v="Bachelors "/>
    <n v="0"/>
    <s v="30-39"/>
  </r>
  <r>
    <s v="4044-F6D4"/>
    <s v="Erny"/>
    <s v="Waywell"/>
    <x v="1"/>
    <n v="40"/>
    <s v="Some Travel"/>
    <x v="2"/>
    <n v="33"/>
    <s v="CA"/>
    <s v="White"/>
    <n v="3"/>
    <s v="Business Studies"/>
    <x v="8"/>
    <s v="Single"/>
    <n v="271683"/>
    <n v="1"/>
    <x v="1"/>
    <d v="2022-07-26T00:00:00"/>
    <s v="No"/>
    <n v="0"/>
    <n v="0"/>
    <n v="0"/>
    <n v="0"/>
    <s v="Bachelors "/>
    <s v="Bachelors "/>
    <s v="Bachelors "/>
    <n v="0"/>
    <s v="40-49"/>
  </r>
  <r>
    <s v="380E-44B4"/>
    <s v="Esdras"/>
    <s v="Hallitt"/>
    <x v="1"/>
    <n v="21"/>
    <s v="Some Travel"/>
    <x v="2"/>
    <n v="19"/>
    <s v="IL"/>
    <s v="White"/>
    <n v="4"/>
    <s v="Computer Science"/>
    <x v="4"/>
    <s v="Single"/>
    <n v="25255"/>
    <n v="0"/>
    <x v="0"/>
    <d v="2022-08-01T00:00:00"/>
    <s v="Yes"/>
    <n v="0"/>
    <n v="0"/>
    <n v="0"/>
    <n v="0"/>
    <s v="Masters "/>
    <s v="Masters "/>
    <s v="Masters "/>
    <n v="1"/>
    <s v="20-29"/>
  </r>
  <r>
    <s v="D8E6-5593"/>
    <s v="Pammy"/>
    <s v="Glenny"/>
    <x v="2"/>
    <n v="19"/>
    <s v="Some Travel"/>
    <x v="0"/>
    <n v="38"/>
    <s v="CA"/>
    <s v="White"/>
    <n v="4"/>
    <s v="Marketing "/>
    <x v="9"/>
    <s v="Single"/>
    <n v="51132"/>
    <n v="0"/>
    <x v="1"/>
    <d v="2022-08-09T00:00:00"/>
    <s v="No"/>
    <n v="0"/>
    <n v="0"/>
    <n v="0"/>
    <n v="0"/>
    <s v="Masters "/>
    <s v="Masters "/>
    <s v="Masters "/>
    <n v="0"/>
    <s v="20-29"/>
  </r>
  <r>
    <s v="116F-33F1"/>
    <s v="Iain"/>
    <s v="MacNeilly"/>
    <x v="1"/>
    <n v="19"/>
    <s v="Frequent Traveller"/>
    <x v="0"/>
    <n v="43"/>
    <s v="NY"/>
    <s v="White"/>
    <n v="1"/>
    <s v="Marketing "/>
    <x v="0"/>
    <s v="Single"/>
    <n v="65010"/>
    <n v="0"/>
    <x v="0"/>
    <d v="2022-08-15T00:00:00"/>
    <s v="No"/>
    <n v="0"/>
    <n v="0"/>
    <n v="0"/>
    <n v="0"/>
    <s v="No Formal Qualifications"/>
    <s v="No Formal Qualifications"/>
    <s v="No Formal Qualifications"/>
    <n v="0"/>
    <s v="20-29"/>
  </r>
  <r>
    <s v="D210-D451"/>
    <s v="Titos"/>
    <s v="Ruston"/>
    <x v="1"/>
    <n v="21"/>
    <s v="Some Travel"/>
    <x v="2"/>
    <n v="43"/>
    <s v="CA"/>
    <s v="White"/>
    <n v="3"/>
    <s v="Computer Science"/>
    <x v="5"/>
    <s v="Married"/>
    <n v="59158"/>
    <n v="1"/>
    <x v="1"/>
    <d v="2022-08-20T00:00:00"/>
    <s v="No"/>
    <n v="0"/>
    <n v="0"/>
    <n v="0"/>
    <n v="0"/>
    <s v="Bachelors "/>
    <s v="Bachelors "/>
    <s v="Bachelors "/>
    <n v="0"/>
    <s v="20-29"/>
  </r>
  <r>
    <s v="7ED6-BEC8"/>
    <s v="Danika"/>
    <s v="Corbet"/>
    <x v="0"/>
    <n v="20"/>
    <s v="Frequent Traveller"/>
    <x v="2"/>
    <n v="2"/>
    <s v="NY"/>
    <s v="White"/>
    <n v="1"/>
    <s v="Information Systems"/>
    <x v="7"/>
    <s v="Married"/>
    <n v="38009"/>
    <n v="1"/>
    <x v="0"/>
    <d v="2022-08-24T00:00:00"/>
    <s v="No"/>
    <n v="0"/>
    <n v="0"/>
    <n v="0"/>
    <n v="0"/>
    <s v="No Formal Qualifications"/>
    <s v="No Formal Qualifications"/>
    <s v="No Formal Qualifications"/>
    <n v="0"/>
    <s v="20-29"/>
  </r>
  <r>
    <s v="C4F7-E118"/>
    <s v="Brit"/>
    <s v="Seine"/>
    <x v="0"/>
    <n v="21"/>
    <s v="Frequent Traveller"/>
    <x v="2"/>
    <n v="27"/>
    <s v="NY"/>
    <s v="White"/>
    <n v="3"/>
    <s v="Information Systems"/>
    <x v="4"/>
    <s v="Divorced"/>
    <n v="72355"/>
    <n v="2"/>
    <x v="0"/>
    <d v="2022-08-24T00:00:00"/>
    <s v="No"/>
    <n v="0"/>
    <n v="0"/>
    <n v="0"/>
    <n v="0"/>
    <s v="Bachelors "/>
    <s v="Bachelors "/>
    <s v="Bachelors "/>
    <n v="0"/>
    <s v="20-29"/>
  </r>
  <r>
    <s v="1268-3038"/>
    <s v="Christen"/>
    <s v="Hawtry"/>
    <x v="0"/>
    <n v="21"/>
    <s v="Some Travel"/>
    <x v="2"/>
    <n v="22"/>
    <s v="CA"/>
    <s v="White"/>
    <n v="3"/>
    <s v="Information Systems"/>
    <x v="4"/>
    <s v="Single"/>
    <n v="32456"/>
    <n v="0"/>
    <x v="0"/>
    <d v="2022-08-24T00:00:00"/>
    <s v="No"/>
    <n v="0"/>
    <n v="0"/>
    <n v="0"/>
    <n v="0"/>
    <s v="Bachelors "/>
    <s v="Bachelors "/>
    <s v="Bachelors "/>
    <n v="0"/>
    <s v="20-29"/>
  </r>
  <r>
    <s v="6725-A678"/>
    <s v="Gus"/>
    <s v="Redhouse"/>
    <x v="1"/>
    <n v="19"/>
    <s v="Some Travel"/>
    <x v="0"/>
    <n v="43"/>
    <s v="CA"/>
    <s v="White"/>
    <n v="2"/>
    <s v="Marketing "/>
    <x v="0"/>
    <s v="Single"/>
    <n v="61811"/>
    <n v="1"/>
    <x v="0"/>
    <d v="2022-08-26T00:00:00"/>
    <s v="No"/>
    <n v="0"/>
    <n v="0"/>
    <n v="0"/>
    <n v="0"/>
    <s v="High School "/>
    <s v="High School "/>
    <s v="High School "/>
    <n v="0"/>
    <s v="20-29"/>
  </r>
  <r>
    <s v="5154-0F13"/>
    <s v="Hilary"/>
    <s v="Easlea"/>
    <x v="1"/>
    <n v="19"/>
    <s v="Frequent Traveller"/>
    <x v="0"/>
    <n v="44"/>
    <s v="CA"/>
    <s v="White"/>
    <n v="3"/>
    <s v="Marketing"/>
    <x v="0"/>
    <s v="Single"/>
    <n v="37645"/>
    <n v="1"/>
    <x v="0"/>
    <d v="2022-08-27T00:00:00"/>
    <s v="No"/>
    <n v="0"/>
    <n v="0"/>
    <n v="0"/>
    <n v="0"/>
    <s v="Bachelors "/>
    <s v="Bachelors "/>
    <s v="Bachelors "/>
    <n v="0"/>
    <s v="20-29"/>
  </r>
  <r>
    <s v="6135-885F"/>
    <s v="Edeline"/>
    <s v="Knevett"/>
    <x v="0"/>
    <n v="18"/>
    <s v="Frequent Traveller"/>
    <x v="2"/>
    <n v="8"/>
    <s v="CA"/>
    <s v="White"/>
    <n v="3"/>
    <s v="Computer Science"/>
    <x v="7"/>
    <s v="Single"/>
    <n v="31894"/>
    <n v="0"/>
    <x v="1"/>
    <d v="2022-08-31T00:00:00"/>
    <s v="Yes"/>
    <n v="0"/>
    <n v="0"/>
    <n v="0"/>
    <n v="0"/>
    <s v="Bachelors "/>
    <s v="Bachelors "/>
    <s v="Bachelors "/>
    <n v="1"/>
    <s v="20-29"/>
  </r>
  <r>
    <s v="E496-0D9E"/>
    <s v="Waldon"/>
    <s v="Heyball"/>
    <x v="1"/>
    <n v="26"/>
    <s v="Some Travel"/>
    <x v="0"/>
    <n v="11"/>
    <s v="CA"/>
    <s v="White"/>
    <n v="4"/>
    <s v="Marketing "/>
    <x v="0"/>
    <s v="Single"/>
    <n v="63478"/>
    <n v="1"/>
    <x v="0"/>
    <d v="2022-08-31T00:00:00"/>
    <s v="No"/>
    <n v="0"/>
    <n v="0"/>
    <n v="0"/>
    <n v="0"/>
    <s v="Masters "/>
    <s v="Masters "/>
    <s v="Masters "/>
    <n v="0"/>
    <s v="20-29"/>
  </r>
  <r>
    <s v="DC3D-9231"/>
    <s v="Annabell"/>
    <s v="Pasticznyk"/>
    <x v="0"/>
    <n v="18"/>
    <s v="Some Travel"/>
    <x v="2"/>
    <n v="20"/>
    <s v="CA"/>
    <s v="White"/>
    <n v="4"/>
    <s v="Computer Science"/>
    <x v="5"/>
    <s v="Single"/>
    <n v="44770"/>
    <n v="1"/>
    <x v="0"/>
    <d v="2022-09-02T00:00:00"/>
    <s v="No"/>
    <n v="0"/>
    <n v="0"/>
    <n v="0"/>
    <n v="0"/>
    <s v="Masters "/>
    <s v="Masters "/>
    <s v="Masters "/>
    <n v="0"/>
    <s v="20-29"/>
  </r>
  <r>
    <s v="CE47-9991"/>
    <s v="Layton"/>
    <s v="Ord"/>
    <x v="1"/>
    <n v="40"/>
    <s v="Some Travel"/>
    <x v="0"/>
    <n v="36"/>
    <s v="NY"/>
    <s v="White"/>
    <n v="4"/>
    <s v="Marketing"/>
    <x v="0"/>
    <s v="Divorced"/>
    <n v="194967"/>
    <n v="1"/>
    <x v="0"/>
    <d v="2022-09-03T00:00:00"/>
    <s v="No"/>
    <n v="0"/>
    <n v="0"/>
    <n v="0"/>
    <n v="0"/>
    <s v="Masters "/>
    <s v="Masters "/>
    <s v="Masters "/>
    <n v="0"/>
    <s v="40-49"/>
  </r>
  <r>
    <s v="B140-AF36"/>
    <s v="Marjy"/>
    <s v="Matveyev"/>
    <x v="0"/>
    <n v="18"/>
    <s v="Some Travel"/>
    <x v="1"/>
    <n v="22"/>
    <s v="CA"/>
    <s v="White"/>
    <n v="3"/>
    <s v="Marketing "/>
    <x v="3"/>
    <s v="Single"/>
    <n v="31024"/>
    <n v="1"/>
    <x v="0"/>
    <d v="2022-09-04T00:00:00"/>
    <s v="No"/>
    <n v="0"/>
    <n v="0"/>
    <n v="0"/>
    <n v="0"/>
    <s v="Bachelors "/>
    <s v="Bachelors "/>
    <s v="Bachelors "/>
    <n v="0"/>
    <s v="20-29"/>
  </r>
  <r>
    <s v="B684-6C98"/>
    <s v="Kane"/>
    <s v="Skillicorn"/>
    <x v="1"/>
    <n v="31"/>
    <s v="Some Travel"/>
    <x v="0"/>
    <n v="19"/>
    <s v="CA"/>
    <s v="White"/>
    <n v="2"/>
    <s v="Marketing"/>
    <x v="0"/>
    <s v="Married"/>
    <n v="96806"/>
    <n v="1"/>
    <x v="1"/>
    <d v="2022-09-04T00:00:00"/>
    <s v="No"/>
    <n v="0"/>
    <n v="0"/>
    <n v="0"/>
    <n v="0"/>
    <s v="High School "/>
    <s v="High School "/>
    <s v="High School "/>
    <n v="0"/>
    <s v="30-39"/>
  </r>
  <r>
    <s v="30CC-0FDE"/>
    <s v="Ilyssa"/>
    <s v="Jacks"/>
    <x v="0"/>
    <n v="19"/>
    <s v="Some Travel"/>
    <x v="0"/>
    <n v="15"/>
    <s v="NY"/>
    <s v="White"/>
    <n v="1"/>
    <s v="Marketing"/>
    <x v="9"/>
    <s v="Single"/>
    <n v="44782"/>
    <n v="0"/>
    <x v="0"/>
    <d v="2022-09-06T00:00:00"/>
    <s v="No"/>
    <n v="0"/>
    <n v="0"/>
    <n v="0"/>
    <n v="0"/>
    <s v="No Formal Qualifications"/>
    <s v="No Formal Qualifications"/>
    <s v="No Formal Qualifications"/>
    <n v="0"/>
    <s v="20-29"/>
  </r>
  <r>
    <s v="5E73-CE19"/>
    <s v="Gus"/>
    <s v="Dyos"/>
    <x v="0"/>
    <n v="29"/>
    <s v="Some Travel"/>
    <x v="2"/>
    <n v="3"/>
    <s v="CA"/>
    <s v="White"/>
    <n v="2"/>
    <s v="Other"/>
    <x v="7"/>
    <s v="Single"/>
    <n v="314181"/>
    <n v="1"/>
    <x v="1"/>
    <d v="2022-09-13T00:00:00"/>
    <s v="No"/>
    <n v="0"/>
    <n v="0"/>
    <n v="0"/>
    <n v="0"/>
    <s v="High School "/>
    <s v="High School "/>
    <s v="High School "/>
    <n v="0"/>
    <s v="20-29"/>
  </r>
  <r>
    <s v="E442-5985"/>
    <s v="Bear"/>
    <s v="Bertolin"/>
    <x v="1"/>
    <n v="32"/>
    <s v="No Travel "/>
    <x v="2"/>
    <n v="5"/>
    <s v="CA"/>
    <s v="White"/>
    <n v="4"/>
    <s v="Computer Science"/>
    <x v="4"/>
    <s v="Married"/>
    <n v="124429"/>
    <n v="1"/>
    <x v="0"/>
    <d v="2022-09-13T00:00:00"/>
    <s v="No"/>
    <n v="0"/>
    <n v="0"/>
    <n v="0"/>
    <n v="0"/>
    <s v="Masters "/>
    <s v="Masters "/>
    <s v="Masters "/>
    <n v="0"/>
    <s v="30-39"/>
  </r>
  <r>
    <s v="6614-06D8"/>
    <s v="Cullin"/>
    <s v="Uzzell"/>
    <x v="1"/>
    <n v="20"/>
    <s v="Frequent Traveller"/>
    <x v="0"/>
    <n v="25"/>
    <s v="CA"/>
    <s v="White"/>
    <n v="4"/>
    <s v="Marketing"/>
    <x v="9"/>
    <s v="Divorced"/>
    <n v="29872"/>
    <n v="1"/>
    <x v="0"/>
    <d v="2022-09-16T00:00:00"/>
    <s v="No"/>
    <n v="0"/>
    <n v="0"/>
    <n v="0"/>
    <n v="0"/>
    <s v="Masters "/>
    <s v="Masters "/>
    <s v="Masters "/>
    <n v="0"/>
    <s v="20-29"/>
  </r>
  <r>
    <s v="372C-E204"/>
    <s v="Doralia"/>
    <s v="Vassie"/>
    <x v="0"/>
    <n v="35"/>
    <s v="Some Travel"/>
    <x v="2"/>
    <n v="44"/>
    <s v="NY"/>
    <s v="White"/>
    <n v="4"/>
    <s v="Computer Science"/>
    <x v="4"/>
    <s v="Single"/>
    <n v="455643"/>
    <n v="1"/>
    <x v="1"/>
    <d v="2022-09-21T00:00:00"/>
    <s v="No"/>
    <n v="0"/>
    <n v="0"/>
    <n v="0"/>
    <n v="0"/>
    <s v="Masters "/>
    <s v="Masters "/>
    <s v="Masters "/>
    <n v="0"/>
    <s v="30-39"/>
  </r>
  <r>
    <s v="A4FE-424E"/>
    <s v="Domenic"/>
    <s v="Lorenc"/>
    <x v="1"/>
    <n v="34"/>
    <s v="Frequent Traveller"/>
    <x v="2"/>
    <n v="38"/>
    <s v="CA"/>
    <s v="White"/>
    <n v="5"/>
    <s v="Information Systems"/>
    <x v="8"/>
    <s v="Married"/>
    <n v="311310"/>
    <n v="1"/>
    <x v="1"/>
    <d v="2022-09-21T00:00:00"/>
    <s v="No"/>
    <n v="0"/>
    <n v="0"/>
    <n v="0"/>
    <n v="0"/>
    <s v="Doctorate"/>
    <s v="Doctorate"/>
    <s v="Doctorate"/>
    <n v="0"/>
    <s v="30-39"/>
  </r>
  <r>
    <s v="6A2B-42DB"/>
    <s v="Catrina"/>
    <s v="Cufflin"/>
    <x v="0"/>
    <n v="21"/>
    <s v="Frequent Traveller"/>
    <x v="2"/>
    <n v="41"/>
    <s v="CA"/>
    <s v="White"/>
    <n v="2"/>
    <s v="Information Systems"/>
    <x v="7"/>
    <s v="Married"/>
    <n v="23612"/>
    <n v="1"/>
    <x v="1"/>
    <d v="2022-09-28T00:00:00"/>
    <s v="Yes"/>
    <n v="0"/>
    <n v="0"/>
    <n v="0"/>
    <n v="0"/>
    <s v="High School "/>
    <s v="High School "/>
    <s v="High School "/>
    <n v="1"/>
    <s v="20-29"/>
  </r>
  <r>
    <s v="5021-423E"/>
    <s v="Standford"/>
    <s v="Dodshun"/>
    <x v="1"/>
    <n v="18"/>
    <s v="Frequent Traveller"/>
    <x v="2"/>
    <n v="25"/>
    <s v="NY"/>
    <s v="White"/>
    <n v="4"/>
    <s v="Information Systems"/>
    <x v="4"/>
    <s v="Single"/>
    <n v="72639"/>
    <n v="0"/>
    <x v="0"/>
    <d v="2022-09-28T00:00:00"/>
    <s v="No"/>
    <n v="0"/>
    <n v="0"/>
    <n v="0"/>
    <n v="0"/>
    <s v="Masters "/>
    <s v="Masters "/>
    <s v="Masters "/>
    <n v="0"/>
    <s v="20-29"/>
  </r>
  <r>
    <s v="E3B6-49F8"/>
    <s v="Ker"/>
    <s v="Rao"/>
    <x v="1"/>
    <n v="20"/>
    <s v="Some Travel"/>
    <x v="2"/>
    <n v="23"/>
    <s v="NY"/>
    <s v="White"/>
    <n v="3"/>
    <s v="Business Studies"/>
    <x v="7"/>
    <s v="Single"/>
    <n v="33632"/>
    <n v="0"/>
    <x v="0"/>
    <d v="2022-09-28T00:00:00"/>
    <s v="Yes"/>
    <n v="0"/>
    <n v="0"/>
    <n v="0"/>
    <n v="0"/>
    <s v="Bachelors "/>
    <s v="Bachelors "/>
    <s v="Bachelors "/>
    <n v="1"/>
    <s v="20-29"/>
  </r>
  <r>
    <s v="04D3-B8D3"/>
    <s v="Ann"/>
    <s v="Sivorn"/>
    <x v="0"/>
    <n v="24"/>
    <s v="Frequent Traveller"/>
    <x v="2"/>
    <n v="23"/>
    <s v="NY"/>
    <s v="White"/>
    <n v="4"/>
    <s v="Computer Science"/>
    <x v="8"/>
    <s v="Single"/>
    <n v="158437"/>
    <n v="1"/>
    <x v="0"/>
    <d v="2022-10-03T00:00:00"/>
    <s v="No"/>
    <n v="0"/>
    <n v="0"/>
    <n v="0"/>
    <n v="0"/>
    <s v="Masters "/>
    <s v="Masters "/>
    <s v="Masters "/>
    <n v="0"/>
    <s v="20-29"/>
  </r>
  <r>
    <s v="964B-0E97"/>
    <s v="Dayna"/>
    <s v="Hutchin"/>
    <x v="0"/>
    <n v="32"/>
    <s v="Some Travel"/>
    <x v="2"/>
    <n v="8"/>
    <s v="CA"/>
    <s v="White"/>
    <n v="3"/>
    <s v="Information Systems"/>
    <x v="8"/>
    <s v="Married"/>
    <n v="111619"/>
    <n v="2"/>
    <x v="0"/>
    <d v="2022-10-06T00:00:00"/>
    <s v="No"/>
    <n v="0"/>
    <n v="0"/>
    <n v="0"/>
    <n v="0"/>
    <s v="Bachelors "/>
    <s v="Bachelors "/>
    <s v="Bachelors "/>
    <n v="0"/>
    <s v="30-39"/>
  </r>
  <r>
    <s v="2BF6-ACD3"/>
    <s v="Kimmy"/>
    <s v="Waples"/>
    <x v="0"/>
    <n v="19"/>
    <s v="Some Travel"/>
    <x v="2"/>
    <n v="15"/>
    <s v="CA"/>
    <s v="White"/>
    <n v="3"/>
    <s v="Information Systems"/>
    <x v="7"/>
    <s v="Single"/>
    <n v="47707"/>
    <n v="0"/>
    <x v="0"/>
    <d v="2022-10-07T00:00:00"/>
    <s v="No"/>
    <n v="0"/>
    <n v="0"/>
    <n v="0"/>
    <n v="0"/>
    <s v="Bachelors "/>
    <s v="Bachelors "/>
    <s v="Bachelors "/>
    <n v="0"/>
    <s v="20-29"/>
  </r>
  <r>
    <s v="6163-2BE8"/>
    <s v="Tracey"/>
    <s v="Joynson"/>
    <x v="0"/>
    <n v="32"/>
    <s v="Some Travel"/>
    <x v="0"/>
    <n v="14"/>
    <s v="NY"/>
    <s v="White"/>
    <n v="3"/>
    <s v="Marketing "/>
    <x v="0"/>
    <s v="Single"/>
    <n v="181293"/>
    <n v="0"/>
    <x v="0"/>
    <d v="2022-10-08T00:00:00"/>
    <s v="No"/>
    <n v="0"/>
    <n v="0"/>
    <n v="0"/>
    <n v="0"/>
    <s v="Bachelors "/>
    <s v="Bachelors "/>
    <s v="Bachelors "/>
    <n v="0"/>
    <s v="30-39"/>
  </r>
  <r>
    <s v="5982-CF7A"/>
    <s v="Haley"/>
    <s v="Macilhench"/>
    <x v="2"/>
    <n v="21"/>
    <s v="Some Travel"/>
    <x v="2"/>
    <n v="2"/>
    <s v="CA"/>
    <s v="White"/>
    <n v="4"/>
    <s v="Computer Science"/>
    <x v="5"/>
    <s v="Single"/>
    <n v="69344"/>
    <n v="0"/>
    <x v="0"/>
    <d v="2022-10-08T00:00:00"/>
    <s v="No"/>
    <n v="0"/>
    <n v="0"/>
    <n v="0"/>
    <n v="0"/>
    <s v="Masters "/>
    <s v="Masters "/>
    <s v="Masters "/>
    <n v="0"/>
    <s v="20-29"/>
  </r>
  <r>
    <s v="6051-1F41"/>
    <s v="Selestina"/>
    <s v="Ferrarello"/>
    <x v="0"/>
    <n v="32"/>
    <s v="Some Travel"/>
    <x v="0"/>
    <n v="31"/>
    <s v="NY"/>
    <s v="White"/>
    <n v="4"/>
    <s v="Marketing "/>
    <x v="0"/>
    <s v="Married"/>
    <n v="161538"/>
    <n v="2"/>
    <x v="1"/>
    <d v="2022-10-10T00:00:00"/>
    <s v="No"/>
    <n v="0"/>
    <n v="0"/>
    <n v="0"/>
    <n v="0"/>
    <s v="Masters "/>
    <s v="Masters "/>
    <s v="Masters "/>
    <n v="0"/>
    <s v="30-39"/>
  </r>
  <r>
    <s v="63BF-A86A"/>
    <s v="Ava"/>
    <s v="Galland"/>
    <x v="0"/>
    <n v="39"/>
    <s v="Frequent Traveller"/>
    <x v="1"/>
    <n v="16"/>
    <s v="CA"/>
    <s v="White"/>
    <n v="3"/>
    <s v="Human Resources"/>
    <x v="11"/>
    <s v="Single"/>
    <n v="201564"/>
    <n v="3"/>
    <x v="1"/>
    <d v="2022-10-12T00:00:00"/>
    <s v="Yes"/>
    <n v="0"/>
    <n v="0"/>
    <n v="0"/>
    <n v="0"/>
    <s v="Bachelors "/>
    <s v="Bachelors "/>
    <s v="Bachelors "/>
    <n v="1"/>
    <s v="30-39"/>
  </r>
  <r>
    <s v="6D1C-BAF1"/>
    <s v="Hans"/>
    <s v="Yewman"/>
    <x v="1"/>
    <n v="19"/>
    <s v="Some Travel"/>
    <x v="2"/>
    <n v="29"/>
    <s v="IL"/>
    <s v="White"/>
    <n v="4"/>
    <s v="Other"/>
    <x v="8"/>
    <s v="Single"/>
    <n v="54824"/>
    <n v="0"/>
    <x v="1"/>
    <d v="2022-10-12T00:00:00"/>
    <s v="No"/>
    <n v="0"/>
    <n v="0"/>
    <n v="0"/>
    <n v="0"/>
    <s v="Masters "/>
    <s v="Masters "/>
    <s v="Masters "/>
    <n v="0"/>
    <s v="20-29"/>
  </r>
  <r>
    <s v="CE3C-15A7"/>
    <s v="Flori"/>
    <s v="Ballham"/>
    <x v="0"/>
    <n v="18"/>
    <s v="Some Travel"/>
    <x v="2"/>
    <n v="15"/>
    <s v="NY"/>
    <s v="White"/>
    <n v="4"/>
    <s v="Information Systems"/>
    <x v="4"/>
    <s v="Single"/>
    <n v="58262"/>
    <n v="1"/>
    <x v="0"/>
    <d v="2022-10-14T00:00:00"/>
    <s v="No"/>
    <n v="0"/>
    <n v="0"/>
    <n v="0"/>
    <n v="0"/>
    <s v="Masters "/>
    <s v="Masters "/>
    <s v="Masters "/>
    <n v="0"/>
    <s v="20-29"/>
  </r>
  <r>
    <s v="4A5B-6102"/>
    <s v="Gabby"/>
    <s v="Gartsyde"/>
    <x v="1"/>
    <n v="19"/>
    <s v="Some Travel"/>
    <x v="2"/>
    <n v="23"/>
    <s v="CA"/>
    <s v="White"/>
    <n v="3"/>
    <s v="Computer Science"/>
    <x v="8"/>
    <s v="Single"/>
    <n v="67873"/>
    <n v="0"/>
    <x v="1"/>
    <d v="2022-10-15T00:00:00"/>
    <s v="No"/>
    <n v="0"/>
    <n v="0"/>
    <n v="0"/>
    <n v="0"/>
    <s v="Bachelors "/>
    <s v="Bachelors "/>
    <s v="Bachelors "/>
    <n v="0"/>
    <s v="20-29"/>
  </r>
  <r>
    <s v="018B-DF1E"/>
    <s v="Otha"/>
    <s v="Sopper"/>
    <x v="0"/>
    <n v="19"/>
    <s v="Some Travel"/>
    <x v="0"/>
    <n v="1"/>
    <s v="CA"/>
    <s v="White"/>
    <n v="1"/>
    <s v="Economics"/>
    <x v="9"/>
    <s v="Single"/>
    <n v="24499"/>
    <n v="0"/>
    <x v="1"/>
    <d v="2022-10-17T00:00:00"/>
    <s v="No"/>
    <n v="0"/>
    <n v="0"/>
    <n v="0"/>
    <n v="0"/>
    <s v="No Formal Qualifications"/>
    <s v="No Formal Qualifications"/>
    <s v="No Formal Qualifications"/>
    <n v="0"/>
    <s v="20-29"/>
  </r>
  <r>
    <s v="611A-F218"/>
    <s v="Kenna"/>
    <s v="Dougary"/>
    <x v="0"/>
    <n v="20"/>
    <s v="Some Travel"/>
    <x v="2"/>
    <n v="32"/>
    <s v="IL"/>
    <s v="White"/>
    <n v="2"/>
    <s v="Information Systems"/>
    <x v="4"/>
    <s v="Divorced"/>
    <n v="24504"/>
    <n v="1"/>
    <x v="0"/>
    <d v="2022-10-19T00:00:00"/>
    <s v="No"/>
    <n v="0"/>
    <n v="0"/>
    <n v="0"/>
    <n v="0"/>
    <s v="High School "/>
    <s v="High School "/>
    <s v="High School "/>
    <n v="0"/>
    <s v="20-29"/>
  </r>
  <r>
    <s v="9C97-B634"/>
    <s v="Hyacinthie"/>
    <s v="Diperaus"/>
    <x v="0"/>
    <n v="19"/>
    <s v="Some Travel"/>
    <x v="1"/>
    <n v="20"/>
    <s v="NY"/>
    <s v="White"/>
    <n v="2"/>
    <s v="Economics"/>
    <x v="3"/>
    <s v="Single"/>
    <n v="21026"/>
    <n v="0"/>
    <x v="0"/>
    <d v="2022-10-24T00:00:00"/>
    <s v="No"/>
    <n v="0"/>
    <n v="0"/>
    <n v="0"/>
    <n v="0"/>
    <s v="High School "/>
    <s v="High School "/>
    <s v="High School "/>
    <n v="0"/>
    <s v="20-29"/>
  </r>
  <r>
    <s v="39A2-9B0A"/>
    <s v="Leesa"/>
    <s v="Wittke"/>
    <x v="0"/>
    <n v="19"/>
    <s v="Frequent Traveller"/>
    <x v="0"/>
    <n v="35"/>
    <s v="CA"/>
    <s v="White"/>
    <n v="4"/>
    <s v="Marketing "/>
    <x v="9"/>
    <s v="Single"/>
    <n v="24959"/>
    <n v="1"/>
    <x v="0"/>
    <d v="2022-10-25T00:00:00"/>
    <s v="Yes"/>
    <n v="0"/>
    <n v="0"/>
    <n v="0"/>
    <n v="0"/>
    <s v="Masters "/>
    <s v="Masters "/>
    <s v="Masters "/>
    <n v="1"/>
    <s v="20-29"/>
  </r>
  <r>
    <s v="C472-DAAD"/>
    <s v="Raf"/>
    <s v="Laraway"/>
    <x v="2"/>
    <n v="18"/>
    <s v="Frequent Traveller"/>
    <x v="0"/>
    <n v="38"/>
    <s v="IL"/>
    <s v="Black or African American"/>
    <n v="1"/>
    <s v="Economics"/>
    <x v="0"/>
    <s v="Single"/>
    <n v="59962"/>
    <n v="2"/>
    <x v="1"/>
    <d v="2022-10-29T00:00:00"/>
    <s v="No"/>
    <n v="0"/>
    <n v="0"/>
    <n v="0"/>
    <n v="0"/>
    <s v="No Formal Qualifications"/>
    <s v="No Formal Qualifications"/>
    <s v="No Formal Qualifications"/>
    <n v="0"/>
    <s v="20-29"/>
  </r>
  <r>
    <s v="3E4A-F28F"/>
    <s v="Rubi"/>
    <s v="Hawkwood"/>
    <x v="0"/>
    <n v="20"/>
    <s v="Some Travel"/>
    <x v="2"/>
    <n v="45"/>
    <s v="IL"/>
    <s v="Black or African American"/>
    <n v="2"/>
    <s v="Information Systems"/>
    <x v="8"/>
    <s v="Married"/>
    <n v="41877"/>
    <n v="0"/>
    <x v="0"/>
    <d v="2022-11-02T00:00:00"/>
    <s v="Yes"/>
    <n v="0"/>
    <n v="0"/>
    <n v="0"/>
    <n v="0"/>
    <s v="High School "/>
    <s v="High School "/>
    <s v="High School "/>
    <n v="1"/>
    <s v="20-29"/>
  </r>
  <r>
    <s v="1CB3-F7D7"/>
    <s v="Janot"/>
    <s v="Cicchillo"/>
    <x v="0"/>
    <n v="21"/>
    <s v="No Travel "/>
    <x v="0"/>
    <n v="6"/>
    <s v="CA"/>
    <s v="Black or African American"/>
    <n v="4"/>
    <s v="Other"/>
    <x v="0"/>
    <s v="Married"/>
    <n v="43259"/>
    <n v="0"/>
    <x v="0"/>
    <d v="2022-11-03T00:00:00"/>
    <s v="Yes"/>
    <n v="0"/>
    <n v="0"/>
    <n v="0"/>
    <n v="0"/>
    <s v="Masters "/>
    <s v="Masters "/>
    <s v="Masters "/>
    <n v="1"/>
    <s v="20-29"/>
  </r>
  <r>
    <s v="F062-0B8F"/>
    <s v="Caty"/>
    <s v="Avarne"/>
    <x v="0"/>
    <n v="29"/>
    <s v="Some Travel"/>
    <x v="2"/>
    <n v="25"/>
    <s v="CA"/>
    <s v="Black or African American"/>
    <n v="2"/>
    <s v="Information Systems"/>
    <x v="10"/>
    <s v="Single"/>
    <n v="374977"/>
    <n v="1"/>
    <x v="0"/>
    <d v="2022-11-03T00:00:00"/>
    <s v="No"/>
    <n v="0"/>
    <n v="0"/>
    <n v="0"/>
    <n v="0"/>
    <s v="High School "/>
    <s v="High School "/>
    <s v="High School "/>
    <n v="0"/>
    <s v="20-29"/>
  </r>
  <r>
    <s v="B005-602F"/>
    <s v="Layney"/>
    <s v="Ratie"/>
    <x v="0"/>
    <n v="19"/>
    <s v="Some Travel"/>
    <x v="2"/>
    <n v="11"/>
    <s v="CA"/>
    <s v="Black or African American"/>
    <n v="4"/>
    <s v="Computer Science"/>
    <x v="7"/>
    <s v="Single"/>
    <n v="27760"/>
    <n v="3"/>
    <x v="1"/>
    <d v="2022-11-06T00:00:00"/>
    <s v="Yes"/>
    <n v="0"/>
    <n v="0"/>
    <n v="0"/>
    <n v="0"/>
    <s v="Masters "/>
    <s v="Masters "/>
    <s v="Masters "/>
    <n v="1"/>
    <s v="20-29"/>
  </r>
  <r>
    <s v="A08B-F4B1"/>
    <s v="Antone"/>
    <s v="Pinchback"/>
    <x v="1"/>
    <n v="33"/>
    <s v="Frequent Traveller"/>
    <x v="2"/>
    <n v="29"/>
    <s v="CA"/>
    <s v="Black or African American"/>
    <n v="3"/>
    <s v="Computer Science"/>
    <x v="5"/>
    <s v="Married"/>
    <n v="240197"/>
    <n v="1"/>
    <x v="0"/>
    <d v="2022-11-08T00:00:00"/>
    <s v="No"/>
    <n v="0"/>
    <n v="0"/>
    <n v="0"/>
    <n v="0"/>
    <s v="Bachelors "/>
    <s v="Bachelors "/>
    <s v="Bachelors "/>
    <n v="0"/>
    <s v="30-39"/>
  </r>
  <r>
    <s v="8695-09EC"/>
    <s v="Lyda"/>
    <s v="Everall"/>
    <x v="0"/>
    <n v="33"/>
    <s v="Frequent Traveller"/>
    <x v="2"/>
    <n v="5"/>
    <s v="IL"/>
    <s v="Black or African American"/>
    <n v="2"/>
    <s v="Computer Science"/>
    <x v="5"/>
    <s v="Single"/>
    <n v="249325"/>
    <n v="0"/>
    <x v="0"/>
    <d v="2022-11-09T00:00:00"/>
    <s v="No"/>
    <n v="0"/>
    <n v="0"/>
    <n v="0"/>
    <n v="0"/>
    <s v="High School "/>
    <s v="High School "/>
    <s v="High School "/>
    <n v="0"/>
    <s v="30-39"/>
  </r>
  <r>
    <s v="7563-AFCC"/>
    <s v="Charlot"/>
    <s v="Shoorbrooke"/>
    <x v="2"/>
    <n v="23"/>
    <s v="Some Travel"/>
    <x v="2"/>
    <n v="30"/>
    <s v="NY"/>
    <s v="Black or African American"/>
    <n v="4"/>
    <s v="Information Systems"/>
    <x v="5"/>
    <s v="Single"/>
    <n v="96942"/>
    <n v="1"/>
    <x v="0"/>
    <d v="2022-11-11T00:00:00"/>
    <s v="No"/>
    <n v="0"/>
    <n v="0"/>
    <n v="0"/>
    <n v="0"/>
    <s v="Masters "/>
    <s v="Masters "/>
    <s v="Masters "/>
    <n v="0"/>
    <s v="20-29"/>
  </r>
  <r>
    <s v="FF42-EA28"/>
    <s v="Madella"/>
    <s v="Worham"/>
    <x v="0"/>
    <n v="18"/>
    <s v="Some Travel"/>
    <x v="2"/>
    <n v="14"/>
    <s v="IL"/>
    <s v="Black or African American"/>
    <n v="1"/>
    <s v="Computer Science"/>
    <x v="4"/>
    <s v="Single"/>
    <n v="28246"/>
    <n v="1"/>
    <x v="0"/>
    <d v="2022-11-13T00:00:00"/>
    <s v="No"/>
    <n v="0"/>
    <n v="0"/>
    <n v="0"/>
    <n v="0"/>
    <s v="No Formal Qualifications"/>
    <s v="No Formal Qualifications"/>
    <s v="No Formal Qualifications"/>
    <n v="0"/>
    <s v="20-29"/>
  </r>
  <r>
    <s v="23B5-93C9"/>
    <s v="Carlita"/>
    <s v="Ivanenko"/>
    <x v="3"/>
    <n v="31"/>
    <s v="Frequent Traveller"/>
    <x v="2"/>
    <n v="12"/>
    <s v="NY"/>
    <s v="Black or African American"/>
    <n v="2"/>
    <s v="Computer Science"/>
    <x v="7"/>
    <s v="Divorced"/>
    <n v="103429"/>
    <n v="1"/>
    <x v="0"/>
    <d v="2022-11-20T00:00:00"/>
    <s v="No"/>
    <n v="0"/>
    <n v="0"/>
    <n v="0"/>
    <n v="0"/>
    <s v="High School "/>
    <s v="High School "/>
    <s v="High School "/>
    <n v="0"/>
    <s v="30-39"/>
  </r>
  <r>
    <s v="9160-043F"/>
    <s v="Jemie"/>
    <s v="Tasseler"/>
    <x v="0"/>
    <n v="29"/>
    <s v="Some Travel"/>
    <x v="2"/>
    <n v="30"/>
    <s v="CA"/>
    <s v="Black or African American"/>
    <n v="4"/>
    <s v="Business Studies"/>
    <x v="5"/>
    <s v="Single"/>
    <n v="220896"/>
    <n v="0"/>
    <x v="0"/>
    <d v="2022-11-22T00:00:00"/>
    <s v="No"/>
    <n v="0"/>
    <n v="0"/>
    <n v="0"/>
    <n v="0"/>
    <s v="Masters "/>
    <s v="Masters "/>
    <s v="Masters "/>
    <n v="0"/>
    <s v="20-29"/>
  </r>
  <r>
    <s v="45F9-3A37"/>
    <s v="Talbot"/>
    <s v="Sturgess"/>
    <x v="1"/>
    <n v="21"/>
    <s v="Some Travel"/>
    <x v="2"/>
    <n v="34"/>
    <s v="CA"/>
    <s v="Black or African American"/>
    <n v="4"/>
    <s v="Information Systems"/>
    <x v="7"/>
    <s v="Single"/>
    <n v="61758"/>
    <n v="0"/>
    <x v="0"/>
    <d v="2022-11-22T00:00:00"/>
    <s v="Yes"/>
    <n v="0"/>
    <n v="0"/>
    <n v="0"/>
    <n v="0"/>
    <s v="Masters "/>
    <s v="Masters "/>
    <s v="Masters "/>
    <n v="1"/>
    <s v="20-29"/>
  </r>
  <r>
    <s v="542E-321D"/>
    <s v="Spencer"/>
    <s v="Gabitis"/>
    <x v="1"/>
    <n v="30"/>
    <s v="No Travel "/>
    <x v="2"/>
    <n v="25"/>
    <s v="CA"/>
    <s v="Black or African American"/>
    <n v="3"/>
    <s v="Information Systems"/>
    <x v="5"/>
    <s v="Single"/>
    <n v="248259"/>
    <n v="0"/>
    <x v="0"/>
    <d v="2022-11-24T00:00:00"/>
    <s v="No"/>
    <n v="0"/>
    <n v="0"/>
    <n v="0"/>
    <n v="0"/>
    <s v="Bachelors "/>
    <s v="Bachelors "/>
    <s v="Bachelors "/>
    <n v="0"/>
    <s v="30-39"/>
  </r>
  <r>
    <s v="06E8-4FD4"/>
    <s v="Emilee"/>
    <s v="Wenham"/>
    <x v="0"/>
    <n v="20"/>
    <s v="Some Travel"/>
    <x v="0"/>
    <n v="32"/>
    <s v="CA"/>
    <s v="Black or African American"/>
    <n v="2"/>
    <s v="Marketing"/>
    <x v="9"/>
    <s v="Married"/>
    <n v="38532"/>
    <n v="3"/>
    <x v="1"/>
    <d v="2022-12-03T00:00:00"/>
    <s v="Yes"/>
    <n v="0"/>
    <n v="0"/>
    <n v="0"/>
    <n v="0"/>
    <s v="High School "/>
    <s v="High School "/>
    <s v="High School "/>
    <n v="1"/>
    <s v="20-29"/>
  </r>
  <r>
    <s v="06B1-2653"/>
    <s v="Montgomery"/>
    <s v="Galliford"/>
    <x v="1"/>
    <n v="19"/>
    <s v="Frequent Traveller"/>
    <x v="2"/>
    <n v="26"/>
    <s v="CA"/>
    <s v="Black or African American"/>
    <n v="3"/>
    <s v="Information Systems"/>
    <x v="7"/>
    <s v="Single"/>
    <n v="27474"/>
    <n v="0"/>
    <x v="0"/>
    <d v="2022-12-08T00:00:00"/>
    <s v="No"/>
    <n v="0"/>
    <n v="0"/>
    <n v="0"/>
    <n v="0"/>
    <s v="Bachelors "/>
    <s v="Bachelors "/>
    <s v="Bachelors "/>
    <n v="0"/>
    <s v="20-29"/>
  </r>
  <r>
    <s v="CB16-C876"/>
    <s v="April"/>
    <s v="Beckwith"/>
    <x v="0"/>
    <n v="19"/>
    <s v="Some Travel"/>
    <x v="2"/>
    <n v="2"/>
    <s v="CA"/>
    <s v="Black or African American"/>
    <n v="3"/>
    <s v="Computer Science"/>
    <x v="4"/>
    <s v="Single"/>
    <n v="26973"/>
    <n v="0"/>
    <x v="0"/>
    <d v="2022-12-11T00:00:00"/>
    <s v="No"/>
    <n v="0"/>
    <n v="0"/>
    <n v="0"/>
    <n v="0"/>
    <s v="Bachelors "/>
    <s v="Bachelors "/>
    <s v="Bachelors "/>
    <n v="0"/>
    <s v="20-29"/>
  </r>
  <r>
    <s v="8A34-59DF"/>
    <s v="Camellia"/>
    <s v="Shelmerdine"/>
    <x v="2"/>
    <n v="19"/>
    <s v="Some Travel"/>
    <x v="2"/>
    <n v="5"/>
    <s v="CA"/>
    <s v="Black or African American"/>
    <n v="2"/>
    <s v="Computer Science"/>
    <x v="7"/>
    <s v="Single"/>
    <n v="35372"/>
    <n v="3"/>
    <x v="0"/>
    <d v="2022-12-14T00:00:00"/>
    <s v="No"/>
    <n v="0"/>
    <n v="0"/>
    <n v="0"/>
    <n v="0"/>
    <s v="High School "/>
    <s v="High School "/>
    <s v="High School "/>
    <n v="0"/>
    <s v="20-29"/>
  </r>
  <r>
    <s v="85B2-41F5"/>
    <s v="Tessa"/>
    <s v="De Cristoforo"/>
    <x v="3"/>
    <n v="19"/>
    <s v="Some Travel"/>
    <x v="2"/>
    <n v="35"/>
    <s v="NY"/>
    <s v="Black or African American"/>
    <n v="3"/>
    <s v="Information Systems"/>
    <x v="4"/>
    <s v="Single"/>
    <n v="39722"/>
    <n v="1"/>
    <x v="0"/>
    <d v="2022-12-15T00:00:00"/>
    <s v="No"/>
    <n v="0"/>
    <n v="0"/>
    <n v="0"/>
    <n v="0"/>
    <s v="Bachelors "/>
    <s v="Bachelors "/>
    <s v="Bachelors "/>
    <n v="0"/>
    <s v="20-29"/>
  </r>
  <r>
    <s v="324B-F4DF"/>
    <s v="Hestia"/>
    <s v="Fishlee"/>
    <x v="0"/>
    <n v="20"/>
    <s v="No Travel "/>
    <x v="2"/>
    <n v="13"/>
    <s v="CA"/>
    <s v="Black or African American"/>
    <n v="4"/>
    <s v="Business Studies"/>
    <x v="7"/>
    <s v="Married"/>
    <n v="42097"/>
    <n v="1"/>
    <x v="0"/>
    <d v="2022-12-18T00:00:00"/>
    <s v="No"/>
    <n v="0"/>
    <n v="0"/>
    <n v="0"/>
    <n v="0"/>
    <s v="Masters "/>
    <s v="Masters "/>
    <s v="Masters "/>
    <n v="0"/>
    <s v="20-29"/>
  </r>
  <r>
    <s v="8B55-CBEC"/>
    <s v="Symon"/>
    <s v="Raisher"/>
    <x v="1"/>
    <n v="40"/>
    <s v="Some Travel"/>
    <x v="2"/>
    <n v="30"/>
    <s v="NY"/>
    <s v="Black or African American"/>
    <n v="3"/>
    <s v="Information Systems"/>
    <x v="8"/>
    <s v="Married"/>
    <n v="291663"/>
    <n v="0"/>
    <x v="0"/>
    <d v="2022-12-18T00:00:00"/>
    <s v="No"/>
    <n v="0"/>
    <n v="0"/>
    <n v="0"/>
    <n v="0"/>
    <s v="Bachelors "/>
    <s v="Bachelors "/>
    <s v="Bachelors "/>
    <n v="0"/>
    <s v="40-49"/>
  </r>
  <r>
    <s v="CABE-0B62"/>
    <s v="Laura"/>
    <s v="Janiak"/>
    <x v="0"/>
    <n v="23"/>
    <s v="Some Travel"/>
    <x v="0"/>
    <n v="43"/>
    <s v="CA"/>
    <s v="Black or African American"/>
    <n v="5"/>
    <s v="Marketing "/>
    <x v="0"/>
    <s v="Single"/>
    <n v="121414"/>
    <n v="0"/>
    <x v="0"/>
    <d v="2022-12-21T00:00:00"/>
    <s v="No"/>
    <n v="0"/>
    <n v="0"/>
    <n v="0"/>
    <n v="0"/>
    <s v="Doctorate"/>
    <s v="Doctorate"/>
    <s v="Doctorate"/>
    <n v="0"/>
    <s v="20-29"/>
  </r>
  <r>
    <s v="467E-977A"/>
    <s v="Jud"/>
    <s v="Melanaphy"/>
    <x v="1"/>
    <n v="20"/>
    <s v="Some Travel"/>
    <x v="2"/>
    <n v="28"/>
    <s v="CA"/>
    <s v="Black or African American"/>
    <n v="2"/>
    <s v="Computer Science"/>
    <x v="7"/>
    <s v="Single"/>
    <n v="38508"/>
    <n v="0"/>
    <x v="0"/>
    <d v="2022-12-26T00:00:00"/>
    <s v="No"/>
    <n v="0"/>
    <n v="0"/>
    <n v="0"/>
    <n v="0"/>
    <s v="High School "/>
    <s v="High School "/>
    <s v="High School "/>
    <n v="0"/>
    <s v="20-29"/>
  </r>
  <r>
    <s v="6FB9-A624"/>
    <s v="Marc"/>
    <s v="Calver"/>
    <x v="2"/>
    <n v="27"/>
    <s v="Some Travel"/>
    <x v="2"/>
    <n v="8"/>
    <s v="CA"/>
    <s v="Black or African American"/>
    <n v="3"/>
    <s v="Business Studies"/>
    <x v="8"/>
    <s v="Single"/>
    <n v="92995"/>
    <n v="3"/>
    <x v="0"/>
    <d v="2022-12-30T00:00:00"/>
    <s v="No"/>
    <n v="0"/>
    <n v="0"/>
    <n v="0"/>
    <n v="0"/>
    <s v="Bachelors "/>
    <s v="Bachelors "/>
    <s v="Bachelors "/>
    <n v="0"/>
    <s v="20-29"/>
  </r>
  <r>
    <s v="EBF4-5928"/>
    <s v="Rudolph"/>
    <s v="MacDearmont"/>
    <x v="1"/>
    <n v="21"/>
    <s v="Some Travel"/>
    <x v="0"/>
    <n v="4"/>
    <s v="CA"/>
    <s v="Black or African American"/>
    <n v="4"/>
    <s v="Marketing"/>
    <x v="0"/>
    <s v="Single"/>
    <n v="63375"/>
    <n v="0"/>
    <x v="0"/>
    <d v="2022-12-30T00:00:00"/>
    <s v="No"/>
    <n v="0"/>
    <n v="0"/>
    <n v="0"/>
    <n v="0"/>
    <s v="Masters "/>
    <s v="Masters "/>
    <s v="Masters "/>
    <n v="0"/>
    <s v="20-29"/>
  </r>
  <r>
    <s v="60E6-B1D9"/>
    <s v="Merill"/>
    <s v="Agg"/>
    <x v="1"/>
    <n v="21"/>
    <s v="Some Travel"/>
    <x v="2"/>
    <n v="7"/>
    <s v="CA"/>
    <s v="Black or African American"/>
    <n v="3"/>
    <s v="Information Systems"/>
    <x v="4"/>
    <s v="Married"/>
    <n v="46521"/>
    <n v="0"/>
    <x v="0"/>
    <d v="2022-12-30T00:00:00"/>
    <s v="No"/>
    <n v="0"/>
    <n v="0"/>
    <n v="0"/>
    <n v="0"/>
    <s v="Bachelors "/>
    <s v="Bachelors "/>
    <s v="Bachelors "/>
    <n v="0"/>
    <s v="20-29"/>
  </r>
  <r>
    <s v="84D4-D4C3"/>
    <s v="Naoma"/>
    <s v="Hebbard"/>
    <x v="0"/>
    <n v="20"/>
    <s v="No Travel "/>
    <x v="2"/>
    <n v="28"/>
    <s v="CA"/>
    <s v="Black or African American"/>
    <n v="2"/>
    <s v="Computer Science"/>
    <x v="4"/>
    <s v="Married"/>
    <n v="38258"/>
    <n v="0"/>
    <x v="0"/>
    <d v="2022-12-31T00:00:00"/>
    <s v="No"/>
    <n v="0"/>
    <n v="0"/>
    <n v="0"/>
    <n v="0"/>
    <s v="High School "/>
    <s v="High School "/>
    <s v="High School "/>
    <n v="0"/>
    <s v="20-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A5FAD-EA90-4CF4-AAD8-8112C810636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C6" firstHeaderRow="0" firstDataRow="1" firstDataCol="1"/>
  <pivotFields count="28">
    <pivotField showAll="0"/>
    <pivotField showAll="0"/>
    <pivotField showAll="0"/>
    <pivotField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4">
        <item x="10"/>
        <item x="4"/>
        <item x="2"/>
        <item x="1"/>
        <item x="11"/>
        <item x="12"/>
        <item x="5"/>
        <item x="6"/>
        <item x="3"/>
        <item x="0"/>
        <item x="9"/>
        <item x="8"/>
        <item x="7"/>
        <item t="default"/>
      </items>
    </pivotField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26" subtotal="average" baseField="6" baseItem="0" numFmtId="169"/>
    <dataField name="Average of Salary" fld="14" subtotal="average" baseField="6" baseItem="1" numFmtId="171"/>
  </dataFields>
  <formats count="2">
    <format dxfId="44">
      <pivotArea outline="0" collapsedLevelsAreSubtotals="1" fieldPosition="0"/>
    </format>
    <format dxfId="3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2BF44A5-6C45-4041-90B7-2BF3DDF63CA3}" autoFormatId="16" applyNumberFormats="0" applyBorderFormats="0" applyFontFormats="0" applyPatternFormats="0" applyAlignmentFormats="0" applyWidthHeightFormats="0">
  <queryTableRefresh nextId="30" unboundColumnsRight="3">
    <queryTableFields count="28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19" name="Attrition" tableColumnId="19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  <queryTableField id="25" name="EducationLevel" tableColumnId="25"/>
      <queryTableField id="26" name="EducationLevel2" tableColumnId="26"/>
      <queryTableField id="24" dataBound="0" tableColumnId="24"/>
      <queryTableField id="28" dataBound="0" tableColumnId="28"/>
      <queryTableField id="29" dataBound="0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1C5A69-1B40-4BC6-B6A8-88A4A1D7F952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S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12" name="SelfRatingLevel" tableColumnId="12"/>
      <queryTableField id="13" name="ManagerRatingLevel" tableColumnId="13"/>
      <queryTableField id="14" name="EnvironmentSatisfactionLevel" tableColumnId="14"/>
      <queryTableField id="15" name="JobSatisfactionLevel" tableColumnId="15"/>
      <queryTableField id="16" name="RelationshipSatisfactionLevel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96EE4-FC6F-45DF-B223-B0324A05B29E}" name="Employees" displayName="Employees" ref="A1:AB1471" tableType="queryTable" totalsRowShown="0">
  <autoFilter ref="A1:AB1471" xr:uid="{12496EE4-FC6F-45DF-B223-B0324A05B29E}"/>
  <tableColumns count="28">
    <tableColumn id="1" xr3:uid="{205C4B85-C79F-4C43-8E9E-E195E0193C00}" uniqueName="1" name="EmployeeID" queryTableFieldId="1" dataDxfId="73"/>
    <tableColumn id="2" xr3:uid="{FA50A0A8-0C87-4F53-9747-50FB52095987}" uniqueName="2" name="FirstName" queryTableFieldId="2" dataDxfId="72"/>
    <tableColumn id="3" xr3:uid="{025CF5A0-0AF1-41D0-BAEA-FF1864ACF305}" uniqueName="3" name="LastName" queryTableFieldId="3" dataDxfId="71"/>
    <tableColumn id="4" xr3:uid="{A7950E6C-2ED8-4E3F-BCCE-465707E92A8D}" uniqueName="4" name="Gender" queryTableFieldId="4" dataDxfId="70"/>
    <tableColumn id="5" xr3:uid="{B3D2767E-8CF7-4884-971E-1803A85369B6}" uniqueName="5" name="Age" queryTableFieldId="5"/>
    <tableColumn id="6" xr3:uid="{F599341D-BB14-439C-A2C4-26EBCD7072FB}" uniqueName="6" name="BusinessTravel" queryTableFieldId="6" dataDxfId="69"/>
    <tableColumn id="7" xr3:uid="{E6A5C6B2-FFCD-44B1-B7CC-7A8B8A8FAD10}" uniqueName="7" name="Department" queryTableFieldId="7" dataDxfId="68"/>
    <tableColumn id="8" xr3:uid="{9BDE4A21-CCDB-467D-86DF-BB3408594F78}" uniqueName="8" name="DistanceFromHome (KM)" queryTableFieldId="8"/>
    <tableColumn id="9" xr3:uid="{30B3EF4E-702F-447A-A8D5-05FCCBDF7830}" uniqueName="9" name="State" queryTableFieldId="9" dataDxfId="67"/>
    <tableColumn id="10" xr3:uid="{894BE15C-0E57-49D4-9061-4F27A63B6887}" uniqueName="10" name="Ethnicity" queryTableFieldId="10" dataDxfId="66"/>
    <tableColumn id="11" xr3:uid="{1F492503-218A-45F0-9D5F-119F97E105DC}" uniqueName="11" name="Education" queryTableFieldId="11"/>
    <tableColumn id="12" xr3:uid="{F762693A-8A7E-410D-A246-15BA62096CED}" uniqueName="12" name="EducationField" queryTableFieldId="12" dataDxfId="65"/>
    <tableColumn id="13" xr3:uid="{08BD8B21-F9EA-4F27-8A26-C403ADBA16B8}" uniqueName="13" name="JobRole" queryTableFieldId="13" dataDxfId="64"/>
    <tableColumn id="14" xr3:uid="{FCD5F165-ADF8-4720-A498-80877EA07EE3}" uniqueName="14" name="MaritalStatus" queryTableFieldId="14" dataDxfId="63"/>
    <tableColumn id="15" xr3:uid="{A24E3BB6-0C05-46B4-A904-70C038F38CA9}" uniqueName="15" name="Salary" queryTableFieldId="15"/>
    <tableColumn id="16" xr3:uid="{AB59DFF5-F8ED-4196-A399-7155A12816BE}" uniqueName="16" name="StockOptionLevel" queryTableFieldId="16"/>
    <tableColumn id="17" xr3:uid="{CE4FD667-96BA-4BF7-A008-236E5C7AB41E}" uniqueName="17" name="OverTime" queryTableFieldId="17" dataDxfId="62"/>
    <tableColumn id="18" xr3:uid="{CDEC92AF-A24E-4342-95BD-039DFD271FB9}" uniqueName="18" name="HireDate" queryTableFieldId="18" dataDxfId="61"/>
    <tableColumn id="19" xr3:uid="{02E8FE7E-F71D-4F3B-996C-86E1D0EA55E5}" uniqueName="19" name="Attrition" queryTableFieldId="19" dataDxfId="60"/>
    <tableColumn id="20" xr3:uid="{F9BCD72D-8244-4360-8636-0876620B443D}" uniqueName="20" name="YearsAtCompany" queryTableFieldId="20"/>
    <tableColumn id="21" xr3:uid="{9219E8E5-3816-4A66-A0D0-973933D52391}" uniqueName="21" name="YearsInMostRecentRole" queryTableFieldId="21"/>
    <tableColumn id="22" xr3:uid="{69263A6C-451E-4312-8112-FA20596A801C}" uniqueName="22" name="YearsSinceLastPromotion" queryTableFieldId="22"/>
    <tableColumn id="23" xr3:uid="{C837D40D-5D96-4179-859A-1BE3EC60E887}" uniqueName="23" name="YearsWithCurrManager" queryTableFieldId="23"/>
    <tableColumn id="25" xr3:uid="{54A598A0-5DD4-4F27-ADFB-F009661B24E1}" uniqueName="25" name="EducationLevel" queryTableFieldId="25"/>
    <tableColumn id="26" xr3:uid="{65302931-D770-43FA-9291-A15CF35308E7}" uniqueName="26" name="EducationLevel2" queryTableFieldId="26"/>
    <tableColumn id="24" xr3:uid="{0EC8E1AF-AE6E-44B2-8ECC-7367153D7053}" uniqueName="24" name="EducationLevel22" queryTableFieldId="24" dataDxfId="59">
      <calculatedColumnFormula>_xlfn.XLOOKUP(Employees[[#This Row],[Education]], EdLevel[EducationLevelID], EdLevel[EducationLevel])</calculatedColumnFormula>
    </tableColumn>
    <tableColumn id="28" xr3:uid="{3B1AA1E9-6640-4DE8-BBCE-3581B1FBABE4}" uniqueName="28" name="AttritionFlag" queryTableFieldId="28" dataDxfId="50">
      <calculatedColumnFormula>IF(Employees[[#This Row],[Attrition]] = "Yes", 1, 0)</calculatedColumnFormula>
    </tableColumn>
    <tableColumn id="29" xr3:uid="{2E2EF464-2BA4-4FE3-958F-1EEB15F2B123}" uniqueName="29" name="AgeGroup" queryTableFieldId="29" dataDxfId="49">
      <calculatedColumnFormula array="1">_xlfn.IFS(Employees[[#This Row],[Age]]&lt;30, "20-29", Employees[[#This Row],[Age]]&lt;40, "30-39", Employees[[#This Row],[Age]]&lt;50, "40-49", "TRUE", "50+")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D28682-27FE-442B-AD77-46DABC2FBB9A}" name="PerfRate" displayName="PerfRate" ref="A1:R6710" tableType="queryTable" totalsRowShown="0">
  <autoFilter ref="A1:R6710" xr:uid="{2CD28682-27FE-442B-AD77-46DABC2FBB9A}"/>
  <tableColumns count="18">
    <tableColumn id="1" xr3:uid="{2359ED49-CDE6-436C-93BB-51712B8855B1}" uniqueName="1" name="S" queryTableFieldId="1" dataDxfId="58"/>
    <tableColumn id="2" xr3:uid="{57BC80AF-7C46-48C6-9233-DA2A22DA32A6}" uniqueName="2" name="EmployeeID" queryTableFieldId="2" dataDxfId="57"/>
    <tableColumn id="3" xr3:uid="{FA07F3E9-F4B5-409D-B9E8-70117C93B1A0}" uniqueName="3" name="ReviewDate" queryTableFieldId="3" dataDxfId="56"/>
    <tableColumn id="4" xr3:uid="{CE34D7C7-64BD-4E1D-8E66-FAF500C48DC7}" uniqueName="4" name="EnvironmentSatisfaction" queryTableFieldId="4"/>
    <tableColumn id="5" xr3:uid="{54932BD8-4B1F-4BBF-A6EB-F6BE6D7D8902}" uniqueName="5" name="JobSatisfaction" queryTableFieldId="5"/>
    <tableColumn id="6" xr3:uid="{505B3914-5512-45A8-9073-94ADD5CE69AE}" uniqueName="6" name="RelationshipSatisfaction" queryTableFieldId="6"/>
    <tableColumn id="7" xr3:uid="{A9AD5E8A-2393-4984-8BDC-4DC45D66DCAE}" uniqueName="7" name="TrainingOpportunitiesWithinYear" queryTableFieldId="7"/>
    <tableColumn id="8" xr3:uid="{DDB61C96-6912-4996-A5EC-EB8C76FBDE9D}" uniqueName="8" name="TrainingOpportunitiesTaken" queryTableFieldId="8"/>
    <tableColumn id="9" xr3:uid="{1A59A084-7893-4F37-9F31-E761D5ED6771}" uniqueName="9" name="WorkLifeBalance" queryTableFieldId="9"/>
    <tableColumn id="10" xr3:uid="{76ABDC02-EB71-48C1-A395-CAA3E6C07385}" uniqueName="10" name="SelfRating" queryTableFieldId="10"/>
    <tableColumn id="11" xr3:uid="{A975AD02-1588-42AB-8D10-B89CD3C3B80E}" uniqueName="11" name="ManagerRating" queryTableFieldId="11"/>
    <tableColumn id="12" xr3:uid="{FB34BDAC-66AD-410C-AE89-F819314ED1E5}" uniqueName="12" name="SelfRatingLevel" queryTableFieldId="12" dataDxfId="55"/>
    <tableColumn id="13" xr3:uid="{97A3BD19-B3CE-461D-A81D-59E5D190FFAD}" uniqueName="13" name="ManagerRatingLevel" queryTableFieldId="13" dataDxfId="54"/>
    <tableColumn id="14" xr3:uid="{99DF1FBF-EE25-4542-8B9F-032F756E80CC}" uniqueName="14" name="EnvironmentSatisfactionLevel" queryTableFieldId="14" dataDxfId="53"/>
    <tableColumn id="15" xr3:uid="{3EC7DCB3-8AFE-407B-94A6-59BB55622E11}" uniqueName="15" name="JobSatisfactionLevel" queryTableFieldId="15" dataDxfId="52"/>
    <tableColumn id="16" xr3:uid="{094A723E-D58B-4785-8DF3-281290EE2CAD}" uniqueName="16" name="RelationshipSatisfactionLevel" queryTableFieldId="16" dataDxfId="51"/>
    <tableColumn id="17" xr3:uid="{30E23D3A-3DCF-4920-AC3A-542BA13A1FFF}" uniqueName="17" name="AvgSatisfactionScore" queryTableFieldId="17" dataDxfId="48">
      <calculatedColumnFormula>AVERAGE(PerfRate[[#This Row],[EnvironmentSatisfaction]],PerfRate[[#This Row],[JobSatisfaction]],PerfRate[[#This Row],[RelationshipSatisfaction]])</calculatedColumnFormula>
    </tableColumn>
    <tableColumn id="18" xr3:uid="{55035889-0011-4B36-B7B8-6B87190D08F5}" uniqueName="18" name="RatingGap" queryTableFieldId="18" dataDxfId="47">
      <calculatedColumnFormula>PerfRate[[#This Row],[ManagerRating]] - PerfRate[[#This Row],[SelfRating]]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5BEAB4-175B-4934-ADC2-EF823A20978B}" name="EdLevel" displayName="EdLevel" ref="A1:B6" totalsRowShown="0">
  <autoFilter ref="A1:B6" xr:uid="{73A848BA-C92D-49C2-BAD5-2326FE13EE63}"/>
  <tableColumns count="2">
    <tableColumn id="1" xr3:uid="{4A386152-DAC7-4AC2-8499-7761E75B8DAF}" name="EducationLevelID"/>
    <tableColumn id="2" xr3:uid="{84EAE0D2-EC38-4472-BD71-0DAA7946D72D}" name="Education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DAE2B2-E533-4FBC-8699-7A7AE765CEBF}" name="Rate" displayName="Rate" ref="A1:B6" totalsRowShown="0">
  <autoFilter ref="A1:B6" xr:uid="{6BFBE673-100E-4BA8-BEC6-D6C23A9EDFCD}"/>
  <tableColumns count="2">
    <tableColumn id="1" xr3:uid="{5CCD1D0F-EEE7-4EF4-8C5D-8CFEF076CE04}" name="RatingID"/>
    <tableColumn id="2" xr3:uid="{A3D89936-8B14-4A09-A912-68E6CDD43D3D}" name="RatingLe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60C73A-24B3-4090-B7E7-0756778787EF}" name="SatisfiedLevel" displayName="SatisfiedLevel" ref="A1:B6" totalsRowShown="0">
  <autoFilter ref="A1:B6" xr:uid="{D7E70E5A-CDB2-4F92-B926-F71F7D1CB7D4}"/>
  <tableColumns count="2">
    <tableColumn id="1" xr3:uid="{46100E16-7D58-47BC-BB74-07661CB82BC1}" name="SatisfactionID"/>
    <tableColumn id="2" xr3:uid="{24B6ED24-17BB-4267-BD52-489400B25294}" name="Satisfaction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9A80-1E07-4E99-BC2D-D109E87540AB}">
  <dimension ref="A3:C6"/>
  <sheetViews>
    <sheetView tabSelected="1" topLeftCell="A3" zoomScale="80" zoomScaleNormal="80" workbookViewId="0">
      <selection activeCell="D35" sqref="D35"/>
    </sheetView>
  </sheetViews>
  <sheetFormatPr defaultRowHeight="14.25"/>
  <cols>
    <col min="1" max="1" width="9.86328125" bestFit="1" customWidth="1"/>
    <col min="2" max="2" width="19.33203125" bestFit="1" customWidth="1"/>
    <col min="3" max="3" width="14.46484375" bestFit="1" customWidth="1"/>
    <col min="4" max="4" width="19.33203125" bestFit="1" customWidth="1"/>
    <col min="5" max="5" width="14.46484375" bestFit="1" customWidth="1"/>
    <col min="6" max="6" width="23.59765625" bestFit="1" customWidth="1"/>
    <col min="7" max="7" width="18.796875" bestFit="1" customWidth="1"/>
    <col min="8" max="8" width="19.265625" bestFit="1" customWidth="1"/>
    <col min="9" max="9" width="14.46484375" bestFit="1" customWidth="1"/>
    <col min="10" max="10" width="23.59765625" bestFit="1" customWidth="1"/>
    <col min="11" max="11" width="18.796875" bestFit="1" customWidth="1"/>
  </cols>
  <sheetData>
    <row r="3" spans="1:3">
      <c r="B3" t="s">
        <v>11052</v>
      </c>
      <c r="C3" t="s">
        <v>11053</v>
      </c>
    </row>
    <row r="4" spans="1:3">
      <c r="A4" s="4" t="s">
        <v>34</v>
      </c>
      <c r="B4" s="5">
        <v>0.10436432637571158</v>
      </c>
      <c r="C4" s="6">
        <v>112168.45635673625</v>
      </c>
    </row>
    <row r="5" spans="1:3">
      <c r="A5" s="4" t="s">
        <v>41</v>
      </c>
      <c r="B5" s="5">
        <v>0.30528846153846156</v>
      </c>
      <c r="C5" s="6">
        <v>114953.12259615384</v>
      </c>
    </row>
    <row r="6" spans="1:3">
      <c r="A6" s="4" t="s">
        <v>11051</v>
      </c>
      <c r="B6" s="5">
        <v>0.16122448979591836</v>
      </c>
      <c r="C6" s="6">
        <v>112956.49795918367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268D-4196-4182-827B-74A83E12B1C7}">
  <sheetPr codeName="Sheet1"/>
  <dimension ref="A1:AB1471"/>
  <sheetViews>
    <sheetView topLeftCell="A2" workbookViewId="0">
      <selection activeCell="V7" sqref="V7"/>
    </sheetView>
  </sheetViews>
  <sheetFormatPr defaultRowHeight="14.25"/>
  <cols>
    <col min="1" max="1" width="12.59765625" bestFit="1" customWidth="1"/>
    <col min="2" max="2" width="13.1328125" bestFit="1" customWidth="1"/>
    <col min="3" max="3" width="19.6640625" bestFit="1" customWidth="1"/>
    <col min="4" max="4" width="13.86328125" bestFit="1" customWidth="1"/>
    <col min="5" max="5" width="5.86328125" bestFit="1" customWidth="1"/>
    <col min="6" max="6" width="15" bestFit="1" customWidth="1"/>
    <col min="7" max="7" width="15.06640625" bestFit="1" customWidth="1"/>
    <col min="8" max="8" width="23" bestFit="1" customWidth="1"/>
    <col min="9" max="9" width="7.1328125" bestFit="1" customWidth="1"/>
    <col min="10" max="10" width="26.265625" bestFit="1" customWidth="1"/>
    <col min="11" max="11" width="10.86328125" bestFit="1" customWidth="1"/>
    <col min="12" max="12" width="16.9296875" bestFit="1" customWidth="1"/>
    <col min="13" max="13" width="21.73046875" bestFit="1" customWidth="1"/>
    <col min="14" max="14" width="13.53125" bestFit="1" customWidth="1"/>
    <col min="15" max="15" width="7.9296875" bestFit="1" customWidth="1"/>
    <col min="16" max="16" width="17.1328125" bestFit="1" customWidth="1"/>
    <col min="17" max="17" width="10.59765625" bestFit="1" customWidth="1"/>
    <col min="18" max="18" width="14.86328125" bestFit="1" customWidth="1"/>
    <col min="19" max="19" width="9.3984375" bestFit="1" customWidth="1"/>
    <col min="20" max="20" width="16.6640625" bestFit="1" customWidth="1"/>
    <col min="21" max="21" width="22.265625" bestFit="1" customWidth="1"/>
    <col min="22" max="22" width="23.6640625" bestFit="1" customWidth="1"/>
    <col min="23" max="23" width="21.53125" bestFit="1" customWidth="1"/>
    <col min="24" max="24" width="20.19921875" bestFit="1" customWidth="1"/>
    <col min="25" max="25" width="20.19921875" customWidth="1"/>
    <col min="26" max="26" width="20.19921875" bestFit="1" customWidth="1"/>
    <col min="27" max="27" width="9.1328125" bestFit="1" customWidth="1"/>
    <col min="28" max="28" width="13.86328125" bestFit="1" customWidth="1"/>
    <col min="29" max="29" width="11.86328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11019</v>
      </c>
      <c r="Y1" t="s">
        <v>11043</v>
      </c>
      <c r="Z1" t="s">
        <v>11045</v>
      </c>
      <c r="AA1" s="3" t="s">
        <v>11047</v>
      </c>
      <c r="AB1" s="3" t="s">
        <v>11048</v>
      </c>
    </row>
    <row r="2" spans="1:28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1">
        <v>40911</v>
      </c>
      <c r="S2" t="s">
        <v>34</v>
      </c>
      <c r="T2">
        <v>10</v>
      </c>
      <c r="U2">
        <v>4</v>
      </c>
      <c r="V2">
        <v>9</v>
      </c>
      <c r="W2">
        <v>7</v>
      </c>
      <c r="X2" t="s">
        <v>11024</v>
      </c>
      <c r="Y2" t="s">
        <v>11024</v>
      </c>
      <c r="Z2" t="str">
        <f>_xlfn.XLOOKUP(Employees[[#This Row],[Education]], EdLevel[EducationLevelID], EdLevel[EducationLevel])</f>
        <v>Doctorate</v>
      </c>
      <c r="AA2">
        <f>IF(Employees[[#This Row],[Attrition]] = "Yes", 1, 0)</f>
        <v>0</v>
      </c>
      <c r="AB2" t="str" cm="1">
        <f t="array" ref="AB2">_xlfn.IFS(Employees[[#This Row],[Age]]&lt;30, "20-29", Employees[[#This Row],[Age]]&lt;40, "30-39", Employees[[#This Row],[Age]]&lt;50, "40-49", "TRUE", "50+")</f>
        <v>30-39</v>
      </c>
    </row>
    <row r="3" spans="1:28">
      <c r="A3" t="s">
        <v>35</v>
      </c>
      <c r="B3" t="s">
        <v>36</v>
      </c>
      <c r="C3" t="s">
        <v>37</v>
      </c>
      <c r="D3" t="s">
        <v>38</v>
      </c>
      <c r="E3">
        <v>38</v>
      </c>
      <c r="F3" t="s">
        <v>27</v>
      </c>
      <c r="G3" t="s">
        <v>28</v>
      </c>
      <c r="H3">
        <v>23</v>
      </c>
      <c r="I3" t="s">
        <v>39</v>
      </c>
      <c r="J3" t="s">
        <v>30</v>
      </c>
      <c r="K3">
        <v>4</v>
      </c>
      <c r="L3" t="s">
        <v>31</v>
      </c>
      <c r="M3" t="s">
        <v>32</v>
      </c>
      <c r="N3" t="s">
        <v>40</v>
      </c>
      <c r="O3">
        <v>157718</v>
      </c>
      <c r="P3">
        <v>0</v>
      </c>
      <c r="Q3" t="s">
        <v>41</v>
      </c>
      <c r="R3" s="1">
        <v>40912</v>
      </c>
      <c r="S3" t="s">
        <v>34</v>
      </c>
      <c r="T3">
        <v>10</v>
      </c>
      <c r="U3">
        <v>6</v>
      </c>
      <c r="V3">
        <v>10</v>
      </c>
      <c r="W3">
        <v>0</v>
      </c>
      <c r="X3" t="s">
        <v>11023</v>
      </c>
      <c r="Y3" t="s">
        <v>11023</v>
      </c>
      <c r="Z3" t="str">
        <f>_xlfn.XLOOKUP(Employees[[#This Row],[Education]], EdLevel[EducationLevelID], EdLevel[EducationLevel])</f>
        <v xml:space="preserve">Masters </v>
      </c>
      <c r="AA3">
        <f>IF(Employees[[#This Row],[Attrition]] = "Yes", 1, 0)</f>
        <v>0</v>
      </c>
      <c r="AB3" t="str" cm="1">
        <f t="array" ref="AB3">_xlfn.IFS(Employees[[#This Row],[Age]]&lt;30, "20-29", Employees[[#This Row],[Age]]&lt;40, "30-39", Employees[[#This Row],[Age]]&lt;50, "40-49", "TRUE", "50+")</f>
        <v>30-39</v>
      </c>
    </row>
    <row r="4" spans="1:28">
      <c r="A4" t="s">
        <v>42</v>
      </c>
      <c r="B4" t="s">
        <v>43</v>
      </c>
      <c r="C4" t="s">
        <v>44</v>
      </c>
      <c r="D4" t="s">
        <v>38</v>
      </c>
      <c r="E4">
        <v>43</v>
      </c>
      <c r="F4" t="s">
        <v>27</v>
      </c>
      <c r="G4" t="s">
        <v>45</v>
      </c>
      <c r="H4">
        <v>29</v>
      </c>
      <c r="I4" t="s">
        <v>39</v>
      </c>
      <c r="J4" t="s">
        <v>46</v>
      </c>
      <c r="K4">
        <v>4</v>
      </c>
      <c r="L4" t="s">
        <v>47</v>
      </c>
      <c r="M4" t="s">
        <v>48</v>
      </c>
      <c r="N4" t="s">
        <v>49</v>
      </c>
      <c r="O4">
        <v>309964</v>
      </c>
      <c r="P4">
        <v>1</v>
      </c>
      <c r="Q4" t="s">
        <v>34</v>
      </c>
      <c r="R4" s="1">
        <v>40912</v>
      </c>
      <c r="S4" t="s">
        <v>34</v>
      </c>
      <c r="T4">
        <v>10</v>
      </c>
      <c r="U4">
        <v>6</v>
      </c>
      <c r="V4">
        <v>10</v>
      </c>
      <c r="W4">
        <v>8</v>
      </c>
      <c r="X4" t="s">
        <v>11023</v>
      </c>
      <c r="Y4" t="s">
        <v>11023</v>
      </c>
      <c r="Z4" t="str">
        <f>_xlfn.XLOOKUP(Employees[[#This Row],[Education]], EdLevel[EducationLevelID], EdLevel[EducationLevel])</f>
        <v xml:space="preserve">Masters </v>
      </c>
      <c r="AA4">
        <f>IF(Employees[[#This Row],[Attrition]] = "Yes", 1, 0)</f>
        <v>0</v>
      </c>
      <c r="AB4" t="str" cm="1">
        <f t="array" ref="AB4">_xlfn.IFS(Employees[[#This Row],[Age]]&lt;30, "20-29", Employees[[#This Row],[Age]]&lt;40, "30-39", Employees[[#This Row],[Age]]&lt;50, "40-49", "TRUE", "50+")</f>
        <v>40-49</v>
      </c>
    </row>
    <row r="5" spans="1:28">
      <c r="A5" t="s">
        <v>50</v>
      </c>
      <c r="B5" t="s">
        <v>51</v>
      </c>
      <c r="C5" t="s">
        <v>52</v>
      </c>
      <c r="D5" t="s">
        <v>53</v>
      </c>
      <c r="E5">
        <v>39</v>
      </c>
      <c r="F5" t="s">
        <v>27</v>
      </c>
      <c r="G5" t="s">
        <v>54</v>
      </c>
      <c r="H5">
        <v>12</v>
      </c>
      <c r="I5" t="s">
        <v>29</v>
      </c>
      <c r="J5" t="s">
        <v>30</v>
      </c>
      <c r="K5">
        <v>3</v>
      </c>
      <c r="L5" t="s">
        <v>55</v>
      </c>
      <c r="M5" t="s">
        <v>56</v>
      </c>
      <c r="N5" t="s">
        <v>49</v>
      </c>
      <c r="O5">
        <v>293132</v>
      </c>
      <c r="P5">
        <v>0</v>
      </c>
      <c r="Q5" t="s">
        <v>34</v>
      </c>
      <c r="R5" s="1">
        <v>40913</v>
      </c>
      <c r="S5" t="s">
        <v>34</v>
      </c>
      <c r="T5">
        <v>10</v>
      </c>
      <c r="U5">
        <v>10</v>
      </c>
      <c r="V5">
        <v>10</v>
      </c>
      <c r="W5">
        <v>0</v>
      </c>
      <c r="X5" t="s">
        <v>11022</v>
      </c>
      <c r="Y5" t="s">
        <v>11022</v>
      </c>
      <c r="Z5" t="str">
        <f>_xlfn.XLOOKUP(Employees[[#This Row],[Education]], EdLevel[EducationLevelID], EdLevel[EducationLevel])</f>
        <v xml:space="preserve">Bachelors </v>
      </c>
      <c r="AA5">
        <f>IF(Employees[[#This Row],[Attrition]] = "Yes", 1, 0)</f>
        <v>0</v>
      </c>
      <c r="AB5" t="str" cm="1">
        <f t="array" ref="AB5">_xlfn.IFS(Employees[[#This Row],[Age]]&lt;30, "20-29", Employees[[#This Row],[Age]]&lt;40, "30-39", Employees[[#This Row],[Age]]&lt;50, "40-49", "TRUE", "50+")</f>
        <v>30-39</v>
      </c>
    </row>
    <row r="6" spans="1:28">
      <c r="A6" t="s">
        <v>57</v>
      </c>
      <c r="B6" t="s">
        <v>58</v>
      </c>
      <c r="C6" t="s">
        <v>59</v>
      </c>
      <c r="D6" t="s">
        <v>26</v>
      </c>
      <c r="E6">
        <v>29</v>
      </c>
      <c r="F6" t="s">
        <v>27</v>
      </c>
      <c r="G6" t="s">
        <v>45</v>
      </c>
      <c r="H6">
        <v>29</v>
      </c>
      <c r="I6" t="s">
        <v>39</v>
      </c>
      <c r="J6" t="s">
        <v>30</v>
      </c>
      <c r="K6">
        <v>2</v>
      </c>
      <c r="L6" t="s">
        <v>60</v>
      </c>
      <c r="M6" t="s">
        <v>61</v>
      </c>
      <c r="N6" t="s">
        <v>40</v>
      </c>
      <c r="O6">
        <v>49606</v>
      </c>
      <c r="P6">
        <v>0</v>
      </c>
      <c r="Q6" t="s">
        <v>34</v>
      </c>
      <c r="R6" s="1">
        <v>40913</v>
      </c>
      <c r="S6" t="s">
        <v>41</v>
      </c>
      <c r="T6">
        <v>6</v>
      </c>
      <c r="U6">
        <v>1</v>
      </c>
      <c r="V6">
        <v>1</v>
      </c>
      <c r="W6">
        <v>6</v>
      </c>
      <c r="X6" t="s">
        <v>11021</v>
      </c>
      <c r="Y6" t="s">
        <v>11021</v>
      </c>
      <c r="Z6" t="str">
        <f>_xlfn.XLOOKUP(Employees[[#This Row],[Education]], EdLevel[EducationLevelID], EdLevel[EducationLevel])</f>
        <v xml:space="preserve">High School </v>
      </c>
      <c r="AA6">
        <f>IF(Employees[[#This Row],[Attrition]] = "Yes", 1, 0)</f>
        <v>1</v>
      </c>
      <c r="AB6" t="str" cm="1">
        <f t="array" ref="AB6">_xlfn.IFS(Employees[[#This Row],[Age]]&lt;30, "20-29", Employees[[#This Row],[Age]]&lt;40, "30-39", Employees[[#This Row],[Age]]&lt;50, "40-49", "TRUE", "50+")</f>
        <v>20-29</v>
      </c>
    </row>
    <row r="7" spans="1:28">
      <c r="A7" t="s">
        <v>62</v>
      </c>
      <c r="B7" t="s">
        <v>63</v>
      </c>
      <c r="C7" t="s">
        <v>64</v>
      </c>
      <c r="D7" t="s">
        <v>38</v>
      </c>
      <c r="E7">
        <v>34</v>
      </c>
      <c r="F7" t="s">
        <v>27</v>
      </c>
      <c r="G7" t="s">
        <v>28</v>
      </c>
      <c r="H7">
        <v>30</v>
      </c>
      <c r="I7" t="s">
        <v>65</v>
      </c>
      <c r="J7" t="s">
        <v>66</v>
      </c>
      <c r="K7">
        <v>2</v>
      </c>
      <c r="L7" t="s">
        <v>31</v>
      </c>
      <c r="M7" t="s">
        <v>32</v>
      </c>
      <c r="N7" t="s">
        <v>33</v>
      </c>
      <c r="O7">
        <v>133468</v>
      </c>
      <c r="P7">
        <v>1</v>
      </c>
      <c r="Q7" t="s">
        <v>34</v>
      </c>
      <c r="R7" s="1">
        <v>40913</v>
      </c>
      <c r="S7" t="s">
        <v>34</v>
      </c>
      <c r="T7">
        <v>10</v>
      </c>
      <c r="U7">
        <v>3</v>
      </c>
      <c r="V7">
        <v>7</v>
      </c>
      <c r="W7">
        <v>9</v>
      </c>
      <c r="X7" t="s">
        <v>11021</v>
      </c>
      <c r="Y7" t="s">
        <v>11021</v>
      </c>
      <c r="Z7" t="str">
        <f>_xlfn.XLOOKUP(Employees[[#This Row],[Education]], EdLevel[EducationLevelID], EdLevel[EducationLevel])</f>
        <v xml:space="preserve">High School </v>
      </c>
      <c r="AA7">
        <f>IF(Employees[[#This Row],[Attrition]] = "Yes", 1, 0)</f>
        <v>0</v>
      </c>
      <c r="AB7" t="str" cm="1">
        <f t="array" ref="AB7">_xlfn.IFS(Employees[[#This Row],[Age]]&lt;30, "20-29", Employees[[#This Row],[Age]]&lt;40, "30-39", Employees[[#This Row],[Age]]&lt;50, "40-49", "TRUE", "50+")</f>
        <v>30-39</v>
      </c>
    </row>
    <row r="8" spans="1:28">
      <c r="A8" t="s">
        <v>67</v>
      </c>
      <c r="B8" t="s">
        <v>68</v>
      </c>
      <c r="C8" t="s">
        <v>69</v>
      </c>
      <c r="D8" t="s">
        <v>26</v>
      </c>
      <c r="E8">
        <v>42</v>
      </c>
      <c r="F8" t="s">
        <v>70</v>
      </c>
      <c r="G8" t="s">
        <v>54</v>
      </c>
      <c r="H8">
        <v>45</v>
      </c>
      <c r="I8" t="s">
        <v>65</v>
      </c>
      <c r="J8" t="s">
        <v>71</v>
      </c>
      <c r="K8">
        <v>3</v>
      </c>
      <c r="L8" t="s">
        <v>72</v>
      </c>
      <c r="M8" t="s">
        <v>56</v>
      </c>
      <c r="N8" t="s">
        <v>49</v>
      </c>
      <c r="O8">
        <v>259284</v>
      </c>
      <c r="P8">
        <v>1</v>
      </c>
      <c r="Q8" t="s">
        <v>34</v>
      </c>
      <c r="R8" s="1">
        <v>40917</v>
      </c>
      <c r="S8" t="s">
        <v>34</v>
      </c>
      <c r="T8">
        <v>10</v>
      </c>
      <c r="U8">
        <v>2</v>
      </c>
      <c r="V8">
        <v>6</v>
      </c>
      <c r="W8">
        <v>6</v>
      </c>
      <c r="X8" t="s">
        <v>11022</v>
      </c>
      <c r="Y8" t="s">
        <v>11022</v>
      </c>
      <c r="Z8" t="str">
        <f>_xlfn.XLOOKUP(Employees[[#This Row],[Education]], EdLevel[EducationLevelID], EdLevel[EducationLevel])</f>
        <v xml:space="preserve">Bachelors </v>
      </c>
      <c r="AA8">
        <f>IF(Employees[[#This Row],[Attrition]] = "Yes", 1, 0)</f>
        <v>0</v>
      </c>
      <c r="AB8" t="str" cm="1">
        <f t="array" ref="AB8">_xlfn.IFS(Employees[[#This Row],[Age]]&lt;30, "20-29", Employees[[#This Row],[Age]]&lt;40, "30-39", Employees[[#This Row],[Age]]&lt;50, "40-49", "TRUE", "50+")</f>
        <v>40-49</v>
      </c>
    </row>
    <row r="9" spans="1:28">
      <c r="A9" t="s">
        <v>73</v>
      </c>
      <c r="B9" t="s">
        <v>74</v>
      </c>
      <c r="C9" t="s">
        <v>75</v>
      </c>
      <c r="D9" t="s">
        <v>26</v>
      </c>
      <c r="E9">
        <v>40</v>
      </c>
      <c r="F9" t="s">
        <v>27</v>
      </c>
      <c r="G9" t="s">
        <v>28</v>
      </c>
      <c r="H9">
        <v>3</v>
      </c>
      <c r="I9" t="s">
        <v>39</v>
      </c>
      <c r="J9" t="s">
        <v>76</v>
      </c>
      <c r="K9">
        <v>2</v>
      </c>
      <c r="L9" t="s">
        <v>77</v>
      </c>
      <c r="M9" t="s">
        <v>32</v>
      </c>
      <c r="N9" t="s">
        <v>33</v>
      </c>
      <c r="O9">
        <v>104426</v>
      </c>
      <c r="P9">
        <v>1</v>
      </c>
      <c r="Q9" t="s">
        <v>34</v>
      </c>
      <c r="R9" s="1">
        <v>40919</v>
      </c>
      <c r="S9" t="s">
        <v>34</v>
      </c>
      <c r="T9">
        <v>10</v>
      </c>
      <c r="U9">
        <v>3</v>
      </c>
      <c r="V9">
        <v>4</v>
      </c>
      <c r="W9">
        <v>6</v>
      </c>
      <c r="X9" t="s">
        <v>11021</v>
      </c>
      <c r="Y9" t="s">
        <v>11021</v>
      </c>
      <c r="Z9" t="str">
        <f>_xlfn.XLOOKUP(Employees[[#This Row],[Education]], EdLevel[EducationLevelID], EdLevel[EducationLevel])</f>
        <v xml:space="preserve">High School </v>
      </c>
      <c r="AA9">
        <f>IF(Employees[[#This Row],[Attrition]] = "Yes", 1, 0)</f>
        <v>0</v>
      </c>
      <c r="AB9" t="str" cm="1">
        <f t="array" ref="AB9">_xlfn.IFS(Employees[[#This Row],[Age]]&lt;30, "20-29", Employees[[#This Row],[Age]]&lt;40, "30-39", Employees[[#This Row],[Age]]&lt;50, "40-49", "TRUE", "50+")</f>
        <v>40-49</v>
      </c>
    </row>
    <row r="10" spans="1:28">
      <c r="A10" t="s">
        <v>78</v>
      </c>
      <c r="B10" t="s">
        <v>79</v>
      </c>
      <c r="C10" t="s">
        <v>80</v>
      </c>
      <c r="D10" t="s">
        <v>38</v>
      </c>
      <c r="E10">
        <v>38</v>
      </c>
      <c r="F10" t="s">
        <v>27</v>
      </c>
      <c r="G10" t="s">
        <v>28</v>
      </c>
      <c r="H10">
        <v>20</v>
      </c>
      <c r="I10" t="s">
        <v>29</v>
      </c>
      <c r="J10" t="s">
        <v>71</v>
      </c>
      <c r="K10">
        <v>4</v>
      </c>
      <c r="L10" t="s">
        <v>47</v>
      </c>
      <c r="M10" t="s">
        <v>32</v>
      </c>
      <c r="N10" t="s">
        <v>49</v>
      </c>
      <c r="O10">
        <v>147098</v>
      </c>
      <c r="P10">
        <v>1</v>
      </c>
      <c r="Q10" t="s">
        <v>34</v>
      </c>
      <c r="R10" s="1">
        <v>40919</v>
      </c>
      <c r="S10" t="s">
        <v>34</v>
      </c>
      <c r="T10">
        <v>10</v>
      </c>
      <c r="U10">
        <v>5</v>
      </c>
      <c r="V10">
        <v>8</v>
      </c>
      <c r="W10">
        <v>2</v>
      </c>
      <c r="X10" t="s">
        <v>11023</v>
      </c>
      <c r="Y10" t="s">
        <v>11023</v>
      </c>
      <c r="Z10" t="str">
        <f>_xlfn.XLOOKUP(Employees[[#This Row],[Education]], EdLevel[EducationLevelID], EdLevel[EducationLevel])</f>
        <v xml:space="preserve">Masters </v>
      </c>
      <c r="AA10">
        <f>IF(Employees[[#This Row],[Attrition]] = "Yes", 1, 0)</f>
        <v>0</v>
      </c>
      <c r="AB10" t="str" cm="1">
        <f t="array" ref="AB10">_xlfn.IFS(Employees[[#This Row],[Age]]&lt;30, "20-29", Employees[[#This Row],[Age]]&lt;40, "30-39", Employees[[#This Row],[Age]]&lt;50, "40-49", "TRUE", "50+")</f>
        <v>30-39</v>
      </c>
    </row>
    <row r="11" spans="1:28">
      <c r="A11" t="s">
        <v>81</v>
      </c>
      <c r="B11" t="s">
        <v>82</v>
      </c>
      <c r="C11" t="s">
        <v>83</v>
      </c>
      <c r="D11" t="s">
        <v>26</v>
      </c>
      <c r="E11">
        <v>31</v>
      </c>
      <c r="F11" t="s">
        <v>84</v>
      </c>
      <c r="G11" t="s">
        <v>54</v>
      </c>
      <c r="H11">
        <v>4</v>
      </c>
      <c r="I11" t="s">
        <v>65</v>
      </c>
      <c r="J11" t="s">
        <v>76</v>
      </c>
      <c r="K11">
        <v>2</v>
      </c>
      <c r="L11" t="s">
        <v>72</v>
      </c>
      <c r="M11" t="s">
        <v>85</v>
      </c>
      <c r="N11" t="s">
        <v>40</v>
      </c>
      <c r="O11">
        <v>69747</v>
      </c>
      <c r="P11">
        <v>0</v>
      </c>
      <c r="Q11" t="s">
        <v>34</v>
      </c>
      <c r="R11" s="1">
        <v>40920</v>
      </c>
      <c r="S11" t="s">
        <v>41</v>
      </c>
      <c r="T11">
        <v>6</v>
      </c>
      <c r="U11">
        <v>5</v>
      </c>
      <c r="V11">
        <v>5</v>
      </c>
      <c r="W11">
        <v>1</v>
      </c>
      <c r="X11" t="s">
        <v>11021</v>
      </c>
      <c r="Y11" t="s">
        <v>11021</v>
      </c>
      <c r="Z11" t="str">
        <f>_xlfn.XLOOKUP(Employees[[#This Row],[Education]], EdLevel[EducationLevelID], EdLevel[EducationLevel])</f>
        <v xml:space="preserve">High School </v>
      </c>
      <c r="AA11">
        <f>IF(Employees[[#This Row],[Attrition]] = "Yes", 1, 0)</f>
        <v>1</v>
      </c>
      <c r="AB11" t="str" cm="1">
        <f t="array" ref="AB11">_xlfn.IFS(Employees[[#This Row],[Age]]&lt;30, "20-29", Employees[[#This Row],[Age]]&lt;40, "30-39", Employees[[#This Row],[Age]]&lt;50, "40-49", "TRUE", "50+")</f>
        <v>30-39</v>
      </c>
    </row>
    <row r="12" spans="1:28">
      <c r="A12" t="s">
        <v>86</v>
      </c>
      <c r="B12" t="s">
        <v>87</v>
      </c>
      <c r="C12" t="s">
        <v>88</v>
      </c>
      <c r="D12" t="s">
        <v>26</v>
      </c>
      <c r="E12">
        <v>32</v>
      </c>
      <c r="F12" t="s">
        <v>27</v>
      </c>
      <c r="G12" t="s">
        <v>54</v>
      </c>
      <c r="H12">
        <v>42</v>
      </c>
      <c r="I12" t="s">
        <v>39</v>
      </c>
      <c r="J12" t="s">
        <v>30</v>
      </c>
      <c r="K12">
        <v>4</v>
      </c>
      <c r="L12" t="s">
        <v>55</v>
      </c>
      <c r="M12" t="s">
        <v>85</v>
      </c>
      <c r="N12" t="s">
        <v>40</v>
      </c>
      <c r="O12">
        <v>102022</v>
      </c>
      <c r="P12">
        <v>0</v>
      </c>
      <c r="Q12" t="s">
        <v>34</v>
      </c>
      <c r="R12" s="1">
        <v>40920</v>
      </c>
      <c r="S12" t="s">
        <v>34</v>
      </c>
      <c r="T12">
        <v>10</v>
      </c>
      <c r="U12">
        <v>4</v>
      </c>
      <c r="V12">
        <v>5</v>
      </c>
      <c r="W12">
        <v>8</v>
      </c>
      <c r="X12" t="s">
        <v>11023</v>
      </c>
      <c r="Y12" t="s">
        <v>11023</v>
      </c>
      <c r="Z12" t="str">
        <f>_xlfn.XLOOKUP(Employees[[#This Row],[Education]], EdLevel[EducationLevelID], EdLevel[EducationLevel])</f>
        <v xml:space="preserve">Masters </v>
      </c>
      <c r="AA12">
        <f>IF(Employees[[#This Row],[Attrition]] = "Yes", 1, 0)</f>
        <v>0</v>
      </c>
      <c r="AB12" t="str" cm="1">
        <f t="array" ref="AB12">_xlfn.IFS(Employees[[#This Row],[Age]]&lt;30, "20-29", Employees[[#This Row],[Age]]&lt;40, "30-39", Employees[[#This Row],[Age]]&lt;50, "40-49", "TRUE", "50+")</f>
        <v>30-39</v>
      </c>
    </row>
    <row r="13" spans="1:28">
      <c r="A13" t="s">
        <v>89</v>
      </c>
      <c r="B13" t="s">
        <v>90</v>
      </c>
      <c r="C13" t="s">
        <v>91</v>
      </c>
      <c r="D13" t="s">
        <v>26</v>
      </c>
      <c r="E13">
        <v>35</v>
      </c>
      <c r="F13" t="s">
        <v>27</v>
      </c>
      <c r="G13" t="s">
        <v>54</v>
      </c>
      <c r="H13">
        <v>8</v>
      </c>
      <c r="I13" t="s">
        <v>65</v>
      </c>
      <c r="J13" t="s">
        <v>92</v>
      </c>
      <c r="K13">
        <v>4</v>
      </c>
      <c r="L13" t="s">
        <v>72</v>
      </c>
      <c r="M13" t="s">
        <v>93</v>
      </c>
      <c r="N13" t="s">
        <v>40</v>
      </c>
      <c r="O13">
        <v>272175</v>
      </c>
      <c r="P13">
        <v>0</v>
      </c>
      <c r="Q13" t="s">
        <v>34</v>
      </c>
      <c r="R13" s="1">
        <v>40920</v>
      </c>
      <c r="S13" t="s">
        <v>34</v>
      </c>
      <c r="T13">
        <v>10</v>
      </c>
      <c r="U13">
        <v>7</v>
      </c>
      <c r="V13">
        <v>8</v>
      </c>
      <c r="W13">
        <v>2</v>
      </c>
      <c r="X13" t="s">
        <v>11023</v>
      </c>
      <c r="Y13" t="s">
        <v>11023</v>
      </c>
      <c r="Z13" t="str">
        <f>_xlfn.XLOOKUP(Employees[[#This Row],[Education]], EdLevel[EducationLevelID], EdLevel[EducationLevel])</f>
        <v xml:space="preserve">Masters </v>
      </c>
      <c r="AA13">
        <f>IF(Employees[[#This Row],[Attrition]] = "Yes", 1, 0)</f>
        <v>0</v>
      </c>
      <c r="AB13" t="str" cm="1">
        <f t="array" ref="AB13">_xlfn.IFS(Employees[[#This Row],[Age]]&lt;30, "20-29", Employees[[#This Row],[Age]]&lt;40, "30-39", Employees[[#This Row],[Age]]&lt;50, "40-49", "TRUE", "50+")</f>
        <v>30-39</v>
      </c>
    </row>
    <row r="14" spans="1:28">
      <c r="A14" t="s">
        <v>94</v>
      </c>
      <c r="B14" t="s">
        <v>95</v>
      </c>
      <c r="C14" t="s">
        <v>96</v>
      </c>
      <c r="D14" t="s">
        <v>38</v>
      </c>
      <c r="E14">
        <v>38</v>
      </c>
      <c r="F14" t="s">
        <v>27</v>
      </c>
      <c r="G14" t="s">
        <v>28</v>
      </c>
      <c r="H14">
        <v>35</v>
      </c>
      <c r="I14" t="s">
        <v>65</v>
      </c>
      <c r="J14" t="s">
        <v>46</v>
      </c>
      <c r="K14">
        <v>3</v>
      </c>
      <c r="L14" t="s">
        <v>47</v>
      </c>
      <c r="M14" t="s">
        <v>97</v>
      </c>
      <c r="N14" t="s">
        <v>40</v>
      </c>
      <c r="O14">
        <v>340229</v>
      </c>
      <c r="P14">
        <v>0</v>
      </c>
      <c r="Q14" t="s">
        <v>41</v>
      </c>
      <c r="R14" s="1">
        <v>40921</v>
      </c>
      <c r="S14" t="s">
        <v>34</v>
      </c>
      <c r="T14">
        <v>10</v>
      </c>
      <c r="U14">
        <v>7</v>
      </c>
      <c r="V14">
        <v>9</v>
      </c>
      <c r="W14">
        <v>3</v>
      </c>
      <c r="X14" t="s">
        <v>11022</v>
      </c>
      <c r="Y14" t="s">
        <v>11022</v>
      </c>
      <c r="Z14" t="str">
        <f>_xlfn.XLOOKUP(Employees[[#This Row],[Education]], EdLevel[EducationLevelID], EdLevel[EducationLevel])</f>
        <v xml:space="preserve">Bachelors </v>
      </c>
      <c r="AA14">
        <f>IF(Employees[[#This Row],[Attrition]] = "Yes", 1, 0)</f>
        <v>0</v>
      </c>
      <c r="AB14" t="str" cm="1">
        <f t="array" ref="AB14">_xlfn.IFS(Employees[[#This Row],[Age]]&lt;30, "20-29", Employees[[#This Row],[Age]]&lt;40, "30-39", Employees[[#This Row],[Age]]&lt;50, "40-49", "TRUE", "50+")</f>
        <v>30-39</v>
      </c>
    </row>
    <row r="15" spans="1:28">
      <c r="A15" t="s">
        <v>98</v>
      </c>
      <c r="B15" t="s">
        <v>99</v>
      </c>
      <c r="C15" t="s">
        <v>100</v>
      </c>
      <c r="D15" t="s">
        <v>53</v>
      </c>
      <c r="E15">
        <v>37</v>
      </c>
      <c r="F15" t="s">
        <v>27</v>
      </c>
      <c r="G15" t="s">
        <v>54</v>
      </c>
      <c r="H15">
        <v>3</v>
      </c>
      <c r="I15" t="s">
        <v>29</v>
      </c>
      <c r="J15" t="s">
        <v>30</v>
      </c>
      <c r="K15">
        <v>3</v>
      </c>
      <c r="L15" t="s">
        <v>55</v>
      </c>
      <c r="M15" t="s">
        <v>101</v>
      </c>
      <c r="N15" t="s">
        <v>33</v>
      </c>
      <c r="O15">
        <v>48395</v>
      </c>
      <c r="P15">
        <v>1</v>
      </c>
      <c r="Q15" t="s">
        <v>34</v>
      </c>
      <c r="R15" s="1">
        <v>40923</v>
      </c>
      <c r="S15" t="s">
        <v>34</v>
      </c>
      <c r="T15">
        <v>10</v>
      </c>
      <c r="U15">
        <v>2</v>
      </c>
      <c r="V15">
        <v>2</v>
      </c>
      <c r="W15">
        <v>4</v>
      </c>
      <c r="X15" t="s">
        <v>11022</v>
      </c>
      <c r="Y15" t="s">
        <v>11022</v>
      </c>
      <c r="Z15" t="str">
        <f>_xlfn.XLOOKUP(Employees[[#This Row],[Education]], EdLevel[EducationLevelID], EdLevel[EducationLevel])</f>
        <v xml:space="preserve">Bachelors </v>
      </c>
      <c r="AA15">
        <f>IF(Employees[[#This Row],[Attrition]] = "Yes", 1, 0)</f>
        <v>0</v>
      </c>
      <c r="AB15" t="str" cm="1">
        <f t="array" ref="AB15">_xlfn.IFS(Employees[[#This Row],[Age]]&lt;30, "20-29", Employees[[#This Row],[Age]]&lt;40, "30-39", Employees[[#This Row],[Age]]&lt;50, "40-49", "TRUE", "50+")</f>
        <v>30-39</v>
      </c>
    </row>
    <row r="16" spans="1:28">
      <c r="A16" t="s">
        <v>102</v>
      </c>
      <c r="B16" t="s">
        <v>103</v>
      </c>
      <c r="C16" t="s">
        <v>104</v>
      </c>
      <c r="D16" t="s">
        <v>38</v>
      </c>
      <c r="E16">
        <v>33</v>
      </c>
      <c r="F16" t="s">
        <v>27</v>
      </c>
      <c r="G16" t="s">
        <v>54</v>
      </c>
      <c r="H16">
        <v>4</v>
      </c>
      <c r="I16" t="s">
        <v>65</v>
      </c>
      <c r="J16" t="s">
        <v>66</v>
      </c>
      <c r="K16">
        <v>4</v>
      </c>
      <c r="L16" t="s">
        <v>77</v>
      </c>
      <c r="M16" t="s">
        <v>105</v>
      </c>
      <c r="N16" t="s">
        <v>40</v>
      </c>
      <c r="O16">
        <v>97126</v>
      </c>
      <c r="P16">
        <v>0</v>
      </c>
      <c r="Q16" t="s">
        <v>34</v>
      </c>
      <c r="R16" s="1">
        <v>40923</v>
      </c>
      <c r="S16" t="s">
        <v>34</v>
      </c>
      <c r="T16">
        <v>10</v>
      </c>
      <c r="U16">
        <v>8</v>
      </c>
      <c r="V16">
        <v>10</v>
      </c>
      <c r="W16">
        <v>2</v>
      </c>
      <c r="X16" t="s">
        <v>11023</v>
      </c>
      <c r="Y16" t="s">
        <v>11023</v>
      </c>
      <c r="Z16" t="str">
        <f>_xlfn.XLOOKUP(Employees[[#This Row],[Education]], EdLevel[EducationLevelID], EdLevel[EducationLevel])</f>
        <v xml:space="preserve">Masters </v>
      </c>
      <c r="AA16">
        <f>IF(Employees[[#This Row],[Attrition]] = "Yes", 1, 0)</f>
        <v>0</v>
      </c>
      <c r="AB16" t="str" cm="1">
        <f t="array" ref="AB16">_xlfn.IFS(Employees[[#This Row],[Age]]&lt;30, "20-29", Employees[[#This Row],[Age]]&lt;40, "30-39", Employees[[#This Row],[Age]]&lt;50, "40-49", "TRUE", "50+")</f>
        <v>30-39</v>
      </c>
    </row>
    <row r="17" spans="1:28">
      <c r="A17" t="s">
        <v>106</v>
      </c>
      <c r="B17" t="s">
        <v>107</v>
      </c>
      <c r="C17" t="s">
        <v>108</v>
      </c>
      <c r="D17" t="s">
        <v>26</v>
      </c>
      <c r="E17">
        <v>42</v>
      </c>
      <c r="F17" t="s">
        <v>27</v>
      </c>
      <c r="G17" t="s">
        <v>54</v>
      </c>
      <c r="H17">
        <v>21</v>
      </c>
      <c r="I17" t="s">
        <v>29</v>
      </c>
      <c r="J17" t="s">
        <v>71</v>
      </c>
      <c r="K17">
        <v>3</v>
      </c>
      <c r="L17" t="s">
        <v>72</v>
      </c>
      <c r="M17" t="s">
        <v>56</v>
      </c>
      <c r="N17" t="s">
        <v>49</v>
      </c>
      <c r="O17">
        <v>316208</v>
      </c>
      <c r="P17">
        <v>1</v>
      </c>
      <c r="Q17" t="s">
        <v>34</v>
      </c>
      <c r="R17" s="1">
        <v>40925</v>
      </c>
      <c r="S17" t="s">
        <v>34</v>
      </c>
      <c r="T17">
        <v>10</v>
      </c>
      <c r="U17">
        <v>8</v>
      </c>
      <c r="V17">
        <v>8</v>
      </c>
      <c r="W17">
        <v>7</v>
      </c>
      <c r="X17" t="s">
        <v>11022</v>
      </c>
      <c r="Y17" t="s">
        <v>11022</v>
      </c>
      <c r="Z17" t="str">
        <f>_xlfn.XLOOKUP(Employees[[#This Row],[Education]], EdLevel[EducationLevelID], EdLevel[EducationLevel])</f>
        <v xml:space="preserve">Bachelors </v>
      </c>
      <c r="AA17">
        <f>IF(Employees[[#This Row],[Attrition]] = "Yes", 1, 0)</f>
        <v>0</v>
      </c>
      <c r="AB17" t="str" cm="1">
        <f t="array" ref="AB17">_xlfn.IFS(Employees[[#This Row],[Age]]&lt;30, "20-29", Employees[[#This Row],[Age]]&lt;40, "30-39", Employees[[#This Row],[Age]]&lt;50, "40-49", "TRUE", "50+")</f>
        <v>40-49</v>
      </c>
    </row>
    <row r="18" spans="1:28">
      <c r="A18" t="s">
        <v>109</v>
      </c>
      <c r="B18" t="s">
        <v>110</v>
      </c>
      <c r="C18" t="s">
        <v>111</v>
      </c>
      <c r="D18" t="s">
        <v>38</v>
      </c>
      <c r="E18">
        <v>43</v>
      </c>
      <c r="F18" t="s">
        <v>27</v>
      </c>
      <c r="G18" t="s">
        <v>28</v>
      </c>
      <c r="H18">
        <v>27</v>
      </c>
      <c r="I18" t="s">
        <v>39</v>
      </c>
      <c r="J18" t="s">
        <v>66</v>
      </c>
      <c r="K18">
        <v>3</v>
      </c>
      <c r="L18" t="s">
        <v>31</v>
      </c>
      <c r="M18" t="s">
        <v>32</v>
      </c>
      <c r="N18" t="s">
        <v>40</v>
      </c>
      <c r="O18">
        <v>128885</v>
      </c>
      <c r="P18">
        <v>0</v>
      </c>
      <c r="Q18" t="s">
        <v>41</v>
      </c>
      <c r="R18" s="1">
        <v>40925</v>
      </c>
      <c r="S18" t="s">
        <v>34</v>
      </c>
      <c r="T18">
        <v>10</v>
      </c>
      <c r="U18">
        <v>1</v>
      </c>
      <c r="V18">
        <v>10</v>
      </c>
      <c r="W18">
        <v>2</v>
      </c>
      <c r="X18" t="s">
        <v>11022</v>
      </c>
      <c r="Y18" t="s">
        <v>11022</v>
      </c>
      <c r="Z18" t="str">
        <f>_xlfn.XLOOKUP(Employees[[#This Row],[Education]], EdLevel[EducationLevelID], EdLevel[EducationLevel])</f>
        <v xml:space="preserve">Bachelors </v>
      </c>
      <c r="AA18">
        <f>IF(Employees[[#This Row],[Attrition]] = "Yes", 1, 0)</f>
        <v>0</v>
      </c>
      <c r="AB18" t="str" cm="1">
        <f t="array" ref="AB18">_xlfn.IFS(Employees[[#This Row],[Age]]&lt;30, "20-29", Employees[[#This Row],[Age]]&lt;40, "30-39", Employees[[#This Row],[Age]]&lt;50, "40-49", "TRUE", "50+")</f>
        <v>40-49</v>
      </c>
    </row>
    <row r="19" spans="1:28">
      <c r="A19" t="s">
        <v>112</v>
      </c>
      <c r="B19" t="s">
        <v>113</v>
      </c>
      <c r="C19" t="s">
        <v>114</v>
      </c>
      <c r="D19" t="s">
        <v>38</v>
      </c>
      <c r="E19">
        <v>43</v>
      </c>
      <c r="F19" t="s">
        <v>70</v>
      </c>
      <c r="G19" t="s">
        <v>28</v>
      </c>
      <c r="H19">
        <v>34</v>
      </c>
      <c r="I19" t="s">
        <v>65</v>
      </c>
      <c r="J19" t="s">
        <v>30</v>
      </c>
      <c r="K19">
        <v>4</v>
      </c>
      <c r="L19" t="s">
        <v>47</v>
      </c>
      <c r="M19" t="s">
        <v>32</v>
      </c>
      <c r="N19" t="s">
        <v>49</v>
      </c>
      <c r="O19">
        <v>108315</v>
      </c>
      <c r="P19">
        <v>2</v>
      </c>
      <c r="Q19" t="s">
        <v>34</v>
      </c>
      <c r="R19" s="1">
        <v>40925</v>
      </c>
      <c r="S19" t="s">
        <v>34</v>
      </c>
      <c r="T19">
        <v>10</v>
      </c>
      <c r="U19">
        <v>9</v>
      </c>
      <c r="V19">
        <v>10</v>
      </c>
      <c r="W19">
        <v>10</v>
      </c>
      <c r="X19" t="s">
        <v>11023</v>
      </c>
      <c r="Y19" t="s">
        <v>11023</v>
      </c>
      <c r="Z19" t="str">
        <f>_xlfn.XLOOKUP(Employees[[#This Row],[Education]], EdLevel[EducationLevelID], EdLevel[EducationLevel])</f>
        <v xml:space="preserve">Masters </v>
      </c>
      <c r="AA19">
        <f>IF(Employees[[#This Row],[Attrition]] = "Yes", 1, 0)</f>
        <v>0</v>
      </c>
      <c r="AB19" t="str" cm="1">
        <f t="array" ref="AB19">_xlfn.IFS(Employees[[#This Row],[Age]]&lt;30, "20-29", Employees[[#This Row],[Age]]&lt;40, "30-39", Employees[[#This Row],[Age]]&lt;50, "40-49", "TRUE", "50+")</f>
        <v>40-49</v>
      </c>
    </row>
    <row r="20" spans="1:28">
      <c r="A20" t="s">
        <v>115</v>
      </c>
      <c r="B20" t="s">
        <v>116</v>
      </c>
      <c r="C20" t="s">
        <v>117</v>
      </c>
      <c r="D20" t="s">
        <v>26</v>
      </c>
      <c r="E20">
        <v>45</v>
      </c>
      <c r="F20" t="s">
        <v>84</v>
      </c>
      <c r="G20" t="s">
        <v>54</v>
      </c>
      <c r="H20">
        <v>19</v>
      </c>
      <c r="I20" t="s">
        <v>65</v>
      </c>
      <c r="J20" t="s">
        <v>46</v>
      </c>
      <c r="K20">
        <v>1</v>
      </c>
      <c r="L20" t="s">
        <v>55</v>
      </c>
      <c r="M20" t="s">
        <v>101</v>
      </c>
      <c r="N20" t="s">
        <v>49</v>
      </c>
      <c r="O20">
        <v>136521</v>
      </c>
      <c r="P20">
        <v>1</v>
      </c>
      <c r="Q20" t="s">
        <v>34</v>
      </c>
      <c r="R20" s="1">
        <v>40926</v>
      </c>
      <c r="S20" t="s">
        <v>34</v>
      </c>
      <c r="T20">
        <v>10</v>
      </c>
      <c r="U20">
        <v>3</v>
      </c>
      <c r="V20">
        <v>6</v>
      </c>
      <c r="W20">
        <v>1</v>
      </c>
      <c r="X20" t="s">
        <v>11020</v>
      </c>
      <c r="Y20" t="s">
        <v>11020</v>
      </c>
      <c r="Z20" t="str">
        <f>_xlfn.XLOOKUP(Employees[[#This Row],[Education]], EdLevel[EducationLevelID], EdLevel[EducationLevel])</f>
        <v>No Formal Qualifications</v>
      </c>
      <c r="AA20">
        <f>IF(Employees[[#This Row],[Attrition]] = "Yes", 1, 0)</f>
        <v>0</v>
      </c>
      <c r="AB20" t="str" cm="1">
        <f t="array" ref="AB20">_xlfn.IFS(Employees[[#This Row],[Age]]&lt;30, "20-29", Employees[[#This Row],[Age]]&lt;40, "30-39", Employees[[#This Row],[Age]]&lt;50, "40-49", "TRUE", "50+")</f>
        <v>40-49</v>
      </c>
    </row>
    <row r="21" spans="1:28">
      <c r="A21" t="s">
        <v>118</v>
      </c>
      <c r="B21" t="s">
        <v>119</v>
      </c>
      <c r="C21" t="s">
        <v>120</v>
      </c>
      <c r="D21" t="s">
        <v>26</v>
      </c>
      <c r="E21">
        <v>38</v>
      </c>
      <c r="F21" t="s">
        <v>27</v>
      </c>
      <c r="G21" t="s">
        <v>28</v>
      </c>
      <c r="H21">
        <v>1</v>
      </c>
      <c r="I21" t="s">
        <v>39</v>
      </c>
      <c r="J21" t="s">
        <v>30</v>
      </c>
      <c r="K21">
        <v>1</v>
      </c>
      <c r="L21" t="s">
        <v>121</v>
      </c>
      <c r="M21" t="s">
        <v>32</v>
      </c>
      <c r="N21" t="s">
        <v>40</v>
      </c>
      <c r="O21">
        <v>151141</v>
      </c>
      <c r="P21">
        <v>0</v>
      </c>
      <c r="Q21" t="s">
        <v>34</v>
      </c>
      <c r="R21" s="1">
        <v>40927</v>
      </c>
      <c r="S21" t="s">
        <v>34</v>
      </c>
      <c r="T21">
        <v>10</v>
      </c>
      <c r="U21">
        <v>3</v>
      </c>
      <c r="V21">
        <v>6</v>
      </c>
      <c r="W21">
        <v>9</v>
      </c>
      <c r="X21" t="s">
        <v>11020</v>
      </c>
      <c r="Y21" t="s">
        <v>11020</v>
      </c>
      <c r="Z21" t="str">
        <f>_xlfn.XLOOKUP(Employees[[#This Row],[Education]], EdLevel[EducationLevelID], EdLevel[EducationLevel])</f>
        <v>No Formal Qualifications</v>
      </c>
      <c r="AA21">
        <f>IF(Employees[[#This Row],[Attrition]] = "Yes", 1, 0)</f>
        <v>0</v>
      </c>
      <c r="AB21" t="str" cm="1">
        <f t="array" ref="AB21">_xlfn.IFS(Employees[[#This Row],[Age]]&lt;30, "20-29", Employees[[#This Row],[Age]]&lt;40, "30-39", Employees[[#This Row],[Age]]&lt;50, "40-49", "TRUE", "50+")</f>
        <v>30-39</v>
      </c>
    </row>
    <row r="22" spans="1:28">
      <c r="A22" t="s">
        <v>122</v>
      </c>
      <c r="B22" t="s">
        <v>123</v>
      </c>
      <c r="C22" t="s">
        <v>124</v>
      </c>
      <c r="D22" t="s">
        <v>26</v>
      </c>
      <c r="E22">
        <v>39</v>
      </c>
      <c r="F22" t="s">
        <v>84</v>
      </c>
      <c r="G22" t="s">
        <v>28</v>
      </c>
      <c r="H22">
        <v>17</v>
      </c>
      <c r="I22" t="s">
        <v>39</v>
      </c>
      <c r="J22" t="s">
        <v>30</v>
      </c>
      <c r="K22">
        <v>2</v>
      </c>
      <c r="L22" t="s">
        <v>60</v>
      </c>
      <c r="M22" t="s">
        <v>32</v>
      </c>
      <c r="N22" t="s">
        <v>49</v>
      </c>
      <c r="O22">
        <v>107863</v>
      </c>
      <c r="P22">
        <v>1</v>
      </c>
      <c r="Q22" t="s">
        <v>41</v>
      </c>
      <c r="R22" s="1">
        <v>40927</v>
      </c>
      <c r="S22" t="s">
        <v>41</v>
      </c>
      <c r="T22">
        <v>8</v>
      </c>
      <c r="U22">
        <v>8</v>
      </c>
      <c r="V22">
        <v>8</v>
      </c>
      <c r="W22">
        <v>5</v>
      </c>
      <c r="X22" t="s">
        <v>11021</v>
      </c>
      <c r="Y22" t="s">
        <v>11021</v>
      </c>
      <c r="Z22" t="str">
        <f>_xlfn.XLOOKUP(Employees[[#This Row],[Education]], EdLevel[EducationLevelID], EdLevel[EducationLevel])</f>
        <v xml:space="preserve">High School </v>
      </c>
      <c r="AA22">
        <f>IF(Employees[[#This Row],[Attrition]] = "Yes", 1, 0)</f>
        <v>1</v>
      </c>
      <c r="AB22" t="str" cm="1">
        <f t="array" ref="AB22">_xlfn.IFS(Employees[[#This Row],[Age]]&lt;30, "20-29", Employees[[#This Row],[Age]]&lt;40, "30-39", Employees[[#This Row],[Age]]&lt;50, "40-49", "TRUE", "50+")</f>
        <v>30-39</v>
      </c>
    </row>
    <row r="23" spans="1:28">
      <c r="A23" t="s">
        <v>125</v>
      </c>
      <c r="B23" t="s">
        <v>126</v>
      </c>
      <c r="C23" t="s">
        <v>127</v>
      </c>
      <c r="D23" t="s">
        <v>38</v>
      </c>
      <c r="E23">
        <v>33</v>
      </c>
      <c r="F23" t="s">
        <v>27</v>
      </c>
      <c r="G23" t="s">
        <v>45</v>
      </c>
      <c r="H23">
        <v>3</v>
      </c>
      <c r="I23" t="s">
        <v>39</v>
      </c>
      <c r="J23" t="s">
        <v>66</v>
      </c>
      <c r="K23">
        <v>1</v>
      </c>
      <c r="L23" t="s">
        <v>60</v>
      </c>
      <c r="M23" t="s">
        <v>61</v>
      </c>
      <c r="N23" t="s">
        <v>33</v>
      </c>
      <c r="O23">
        <v>53616</v>
      </c>
      <c r="P23">
        <v>1</v>
      </c>
      <c r="Q23" t="s">
        <v>41</v>
      </c>
      <c r="R23" s="1">
        <v>40927</v>
      </c>
      <c r="S23" t="s">
        <v>34</v>
      </c>
      <c r="T23">
        <v>10</v>
      </c>
      <c r="U23">
        <v>2</v>
      </c>
      <c r="V23">
        <v>3</v>
      </c>
      <c r="W23">
        <v>7</v>
      </c>
      <c r="X23" t="s">
        <v>11020</v>
      </c>
      <c r="Y23" t="s">
        <v>11020</v>
      </c>
      <c r="Z23" t="str">
        <f>_xlfn.XLOOKUP(Employees[[#This Row],[Education]], EdLevel[EducationLevelID], EdLevel[EducationLevel])</f>
        <v>No Formal Qualifications</v>
      </c>
      <c r="AA23">
        <f>IF(Employees[[#This Row],[Attrition]] = "Yes", 1, 0)</f>
        <v>0</v>
      </c>
      <c r="AB23" t="str" cm="1">
        <f t="array" ref="AB23">_xlfn.IFS(Employees[[#This Row],[Age]]&lt;30, "20-29", Employees[[#This Row],[Age]]&lt;40, "30-39", Employees[[#This Row],[Age]]&lt;50, "40-49", "TRUE", "50+")</f>
        <v>30-39</v>
      </c>
    </row>
    <row r="24" spans="1:28">
      <c r="A24" t="s">
        <v>128</v>
      </c>
      <c r="B24" t="s">
        <v>129</v>
      </c>
      <c r="C24" t="s">
        <v>130</v>
      </c>
      <c r="D24" t="s">
        <v>38</v>
      </c>
      <c r="E24">
        <v>36</v>
      </c>
      <c r="F24" t="s">
        <v>70</v>
      </c>
      <c r="G24" t="s">
        <v>54</v>
      </c>
      <c r="H24">
        <v>36</v>
      </c>
      <c r="I24" t="s">
        <v>29</v>
      </c>
      <c r="J24" t="s">
        <v>30</v>
      </c>
      <c r="K24">
        <v>2</v>
      </c>
      <c r="L24" t="s">
        <v>72</v>
      </c>
      <c r="M24" t="s">
        <v>101</v>
      </c>
      <c r="N24" t="s">
        <v>33</v>
      </c>
      <c r="O24">
        <v>61298</v>
      </c>
      <c r="P24">
        <v>1</v>
      </c>
      <c r="Q24" t="s">
        <v>41</v>
      </c>
      <c r="R24" s="1">
        <v>40927</v>
      </c>
      <c r="S24" t="s">
        <v>34</v>
      </c>
      <c r="T24">
        <v>10</v>
      </c>
      <c r="U24">
        <v>3</v>
      </c>
      <c r="V24">
        <v>9</v>
      </c>
      <c r="W24">
        <v>3</v>
      </c>
      <c r="X24" t="s">
        <v>11021</v>
      </c>
      <c r="Y24" t="s">
        <v>11021</v>
      </c>
      <c r="Z24" t="str">
        <f>_xlfn.XLOOKUP(Employees[[#This Row],[Education]], EdLevel[EducationLevelID], EdLevel[EducationLevel])</f>
        <v xml:space="preserve">High School </v>
      </c>
      <c r="AA24">
        <f>IF(Employees[[#This Row],[Attrition]] = "Yes", 1, 0)</f>
        <v>0</v>
      </c>
      <c r="AB24" t="str" cm="1">
        <f t="array" ref="AB24">_xlfn.IFS(Employees[[#This Row],[Age]]&lt;30, "20-29", Employees[[#This Row],[Age]]&lt;40, "30-39", Employees[[#This Row],[Age]]&lt;50, "40-49", "TRUE", "50+")</f>
        <v>30-39</v>
      </c>
    </row>
    <row r="25" spans="1:28">
      <c r="A25" t="s">
        <v>131</v>
      </c>
      <c r="B25" t="s">
        <v>132</v>
      </c>
      <c r="C25" t="s">
        <v>133</v>
      </c>
      <c r="D25" t="s">
        <v>26</v>
      </c>
      <c r="E25">
        <v>45</v>
      </c>
      <c r="F25" t="s">
        <v>27</v>
      </c>
      <c r="G25" t="s">
        <v>45</v>
      </c>
      <c r="H25">
        <v>34</v>
      </c>
      <c r="I25" t="s">
        <v>65</v>
      </c>
      <c r="J25" t="s">
        <v>71</v>
      </c>
      <c r="K25">
        <v>2</v>
      </c>
      <c r="L25" t="s">
        <v>45</v>
      </c>
      <c r="M25" t="s">
        <v>61</v>
      </c>
      <c r="N25" t="s">
        <v>33</v>
      </c>
      <c r="O25">
        <v>54132</v>
      </c>
      <c r="P25">
        <v>1</v>
      </c>
      <c r="Q25" t="s">
        <v>41</v>
      </c>
      <c r="R25" s="1">
        <v>40928</v>
      </c>
      <c r="S25" t="s">
        <v>34</v>
      </c>
      <c r="T25">
        <v>10</v>
      </c>
      <c r="U25">
        <v>10</v>
      </c>
      <c r="V25">
        <v>10</v>
      </c>
      <c r="W25">
        <v>10</v>
      </c>
      <c r="X25" t="s">
        <v>11021</v>
      </c>
      <c r="Y25" t="s">
        <v>11021</v>
      </c>
      <c r="Z25" t="str">
        <f>_xlfn.XLOOKUP(Employees[[#This Row],[Education]], EdLevel[EducationLevelID], EdLevel[EducationLevel])</f>
        <v xml:space="preserve">High School </v>
      </c>
      <c r="AA25">
        <f>IF(Employees[[#This Row],[Attrition]] = "Yes", 1, 0)</f>
        <v>0</v>
      </c>
      <c r="AB25" t="str" cm="1">
        <f t="array" ref="AB25">_xlfn.IFS(Employees[[#This Row],[Age]]&lt;30, "20-29", Employees[[#This Row],[Age]]&lt;40, "30-39", Employees[[#This Row],[Age]]&lt;50, "40-49", "TRUE", "50+")</f>
        <v>40-49</v>
      </c>
    </row>
    <row r="26" spans="1:28">
      <c r="A26" t="s">
        <v>134</v>
      </c>
      <c r="B26" t="s">
        <v>135</v>
      </c>
      <c r="C26" t="s">
        <v>136</v>
      </c>
      <c r="D26" t="s">
        <v>38</v>
      </c>
      <c r="E26">
        <v>30</v>
      </c>
      <c r="F26" t="s">
        <v>27</v>
      </c>
      <c r="G26" t="s">
        <v>54</v>
      </c>
      <c r="H26">
        <v>36</v>
      </c>
      <c r="I26" t="s">
        <v>39</v>
      </c>
      <c r="J26" t="s">
        <v>137</v>
      </c>
      <c r="K26">
        <v>4</v>
      </c>
      <c r="L26" t="s">
        <v>72</v>
      </c>
      <c r="M26" t="s">
        <v>56</v>
      </c>
      <c r="N26" t="s">
        <v>49</v>
      </c>
      <c r="O26">
        <v>328415</v>
      </c>
      <c r="P26">
        <v>0</v>
      </c>
      <c r="Q26" t="s">
        <v>34</v>
      </c>
      <c r="R26" s="1">
        <v>40928</v>
      </c>
      <c r="S26" t="s">
        <v>34</v>
      </c>
      <c r="T26">
        <v>10</v>
      </c>
      <c r="U26">
        <v>1</v>
      </c>
      <c r="V26">
        <v>10</v>
      </c>
      <c r="W26">
        <v>1</v>
      </c>
      <c r="X26" t="s">
        <v>11023</v>
      </c>
      <c r="Y26" t="s">
        <v>11023</v>
      </c>
      <c r="Z26" t="str">
        <f>_xlfn.XLOOKUP(Employees[[#This Row],[Education]], EdLevel[EducationLevelID], EdLevel[EducationLevel])</f>
        <v xml:space="preserve">Masters </v>
      </c>
      <c r="AA26">
        <f>IF(Employees[[#This Row],[Attrition]] = "Yes", 1, 0)</f>
        <v>0</v>
      </c>
      <c r="AB26" t="str" cm="1">
        <f t="array" ref="AB26">_xlfn.IFS(Employees[[#This Row],[Age]]&lt;30, "20-29", Employees[[#This Row],[Age]]&lt;40, "30-39", Employees[[#This Row],[Age]]&lt;50, "40-49", "TRUE", "50+")</f>
        <v>30-39</v>
      </c>
    </row>
    <row r="27" spans="1:28">
      <c r="A27" t="s">
        <v>138</v>
      </c>
      <c r="B27" t="s">
        <v>139</v>
      </c>
      <c r="C27" t="s">
        <v>140</v>
      </c>
      <c r="D27" t="s">
        <v>53</v>
      </c>
      <c r="E27">
        <v>48</v>
      </c>
      <c r="F27" t="s">
        <v>27</v>
      </c>
      <c r="G27" t="s">
        <v>54</v>
      </c>
      <c r="H27">
        <v>37</v>
      </c>
      <c r="I27" t="s">
        <v>39</v>
      </c>
      <c r="J27" t="s">
        <v>30</v>
      </c>
      <c r="K27">
        <v>3</v>
      </c>
      <c r="L27" t="s">
        <v>55</v>
      </c>
      <c r="M27" t="s">
        <v>93</v>
      </c>
      <c r="N27" t="s">
        <v>40</v>
      </c>
      <c r="O27">
        <v>145337</v>
      </c>
      <c r="P27">
        <v>0</v>
      </c>
      <c r="Q27" t="s">
        <v>34</v>
      </c>
      <c r="R27" s="1">
        <v>40929</v>
      </c>
      <c r="S27" t="s">
        <v>34</v>
      </c>
      <c r="T27">
        <v>10</v>
      </c>
      <c r="U27">
        <v>10</v>
      </c>
      <c r="V27">
        <v>10</v>
      </c>
      <c r="W27">
        <v>0</v>
      </c>
      <c r="X27" t="s">
        <v>11022</v>
      </c>
      <c r="Y27" t="s">
        <v>11022</v>
      </c>
      <c r="Z27" t="str">
        <f>_xlfn.XLOOKUP(Employees[[#This Row],[Education]], EdLevel[EducationLevelID], EdLevel[EducationLevel])</f>
        <v xml:space="preserve">Bachelors </v>
      </c>
      <c r="AA27">
        <f>IF(Employees[[#This Row],[Attrition]] = "Yes", 1, 0)</f>
        <v>0</v>
      </c>
      <c r="AB27" t="str" cm="1">
        <f t="array" ref="AB27">_xlfn.IFS(Employees[[#This Row],[Age]]&lt;30, "20-29", Employees[[#This Row],[Age]]&lt;40, "30-39", Employees[[#This Row],[Age]]&lt;50, "40-49", "TRUE", "50+")</f>
        <v>40-49</v>
      </c>
    </row>
    <row r="28" spans="1:28">
      <c r="A28" t="s">
        <v>141</v>
      </c>
      <c r="B28" t="s">
        <v>142</v>
      </c>
      <c r="C28" t="s">
        <v>143</v>
      </c>
      <c r="D28" t="s">
        <v>38</v>
      </c>
      <c r="E28">
        <v>33</v>
      </c>
      <c r="F28" t="s">
        <v>27</v>
      </c>
      <c r="G28" t="s">
        <v>28</v>
      </c>
      <c r="H28">
        <v>41</v>
      </c>
      <c r="I28" t="s">
        <v>39</v>
      </c>
      <c r="J28" t="s">
        <v>46</v>
      </c>
      <c r="K28">
        <v>2</v>
      </c>
      <c r="L28" t="s">
        <v>31</v>
      </c>
      <c r="M28" t="s">
        <v>32</v>
      </c>
      <c r="N28" t="s">
        <v>49</v>
      </c>
      <c r="O28">
        <v>71201</v>
      </c>
      <c r="P28">
        <v>2</v>
      </c>
      <c r="Q28" t="s">
        <v>34</v>
      </c>
      <c r="R28" s="1">
        <v>40932</v>
      </c>
      <c r="S28" t="s">
        <v>34</v>
      </c>
      <c r="T28">
        <v>10</v>
      </c>
      <c r="U28">
        <v>8</v>
      </c>
      <c r="V28">
        <v>10</v>
      </c>
      <c r="W28">
        <v>4</v>
      </c>
      <c r="X28" t="s">
        <v>11021</v>
      </c>
      <c r="Y28" t="s">
        <v>11021</v>
      </c>
      <c r="Z28" t="str">
        <f>_xlfn.XLOOKUP(Employees[[#This Row],[Education]], EdLevel[EducationLevelID], EdLevel[EducationLevel])</f>
        <v xml:space="preserve">High School </v>
      </c>
      <c r="AA28">
        <f>IF(Employees[[#This Row],[Attrition]] = "Yes", 1, 0)</f>
        <v>0</v>
      </c>
      <c r="AB28" t="str" cm="1">
        <f t="array" ref="AB28">_xlfn.IFS(Employees[[#This Row],[Age]]&lt;30, "20-29", Employees[[#This Row],[Age]]&lt;40, "30-39", Employees[[#This Row],[Age]]&lt;50, "40-49", "TRUE", "50+")</f>
        <v>30-39</v>
      </c>
    </row>
    <row r="29" spans="1:28">
      <c r="A29" t="s">
        <v>144</v>
      </c>
      <c r="B29" t="s">
        <v>145</v>
      </c>
      <c r="C29" t="s">
        <v>146</v>
      </c>
      <c r="D29" t="s">
        <v>26</v>
      </c>
      <c r="E29">
        <v>31</v>
      </c>
      <c r="F29" t="s">
        <v>70</v>
      </c>
      <c r="G29" t="s">
        <v>45</v>
      </c>
      <c r="H29">
        <v>25</v>
      </c>
      <c r="I29" t="s">
        <v>65</v>
      </c>
      <c r="J29" t="s">
        <v>137</v>
      </c>
      <c r="K29">
        <v>2</v>
      </c>
      <c r="L29" t="s">
        <v>47</v>
      </c>
      <c r="M29" t="s">
        <v>61</v>
      </c>
      <c r="N29" t="s">
        <v>33</v>
      </c>
      <c r="O29">
        <v>55682</v>
      </c>
      <c r="P29">
        <v>1</v>
      </c>
      <c r="Q29" t="s">
        <v>34</v>
      </c>
      <c r="R29" s="1">
        <v>40933</v>
      </c>
      <c r="S29" t="s">
        <v>34</v>
      </c>
      <c r="T29">
        <v>10</v>
      </c>
      <c r="U29">
        <v>0</v>
      </c>
      <c r="V29">
        <v>2</v>
      </c>
      <c r="W29">
        <v>0</v>
      </c>
      <c r="X29" t="s">
        <v>11021</v>
      </c>
      <c r="Y29" t="s">
        <v>11021</v>
      </c>
      <c r="Z29" t="str">
        <f>_xlfn.XLOOKUP(Employees[[#This Row],[Education]], EdLevel[EducationLevelID], EdLevel[EducationLevel])</f>
        <v xml:space="preserve">High School </v>
      </c>
      <c r="AA29">
        <f>IF(Employees[[#This Row],[Attrition]] = "Yes", 1, 0)</f>
        <v>0</v>
      </c>
      <c r="AB29" t="str" cm="1">
        <f t="array" ref="AB29">_xlfn.IFS(Employees[[#This Row],[Age]]&lt;30, "20-29", Employees[[#This Row],[Age]]&lt;40, "30-39", Employees[[#This Row],[Age]]&lt;50, "40-49", "TRUE", "50+")</f>
        <v>30-39</v>
      </c>
    </row>
    <row r="30" spans="1:28">
      <c r="A30" t="s">
        <v>147</v>
      </c>
      <c r="B30" t="s">
        <v>148</v>
      </c>
      <c r="C30" t="s">
        <v>149</v>
      </c>
      <c r="D30" t="s">
        <v>38</v>
      </c>
      <c r="E30">
        <v>40</v>
      </c>
      <c r="F30" t="s">
        <v>27</v>
      </c>
      <c r="G30" t="s">
        <v>28</v>
      </c>
      <c r="H30">
        <v>35</v>
      </c>
      <c r="I30" t="s">
        <v>65</v>
      </c>
      <c r="J30" t="s">
        <v>30</v>
      </c>
      <c r="K30">
        <v>2</v>
      </c>
      <c r="L30" t="s">
        <v>31</v>
      </c>
      <c r="M30" t="s">
        <v>150</v>
      </c>
      <c r="N30" t="s">
        <v>49</v>
      </c>
      <c r="O30">
        <v>63455</v>
      </c>
      <c r="P30">
        <v>1</v>
      </c>
      <c r="Q30" t="s">
        <v>41</v>
      </c>
      <c r="R30" s="1">
        <v>40934</v>
      </c>
      <c r="S30" t="s">
        <v>34</v>
      </c>
      <c r="T30">
        <v>10</v>
      </c>
      <c r="U30">
        <v>4</v>
      </c>
      <c r="V30">
        <v>8</v>
      </c>
      <c r="W30">
        <v>7</v>
      </c>
      <c r="X30" t="s">
        <v>11021</v>
      </c>
      <c r="Y30" t="s">
        <v>11021</v>
      </c>
      <c r="Z30" t="str">
        <f>_xlfn.XLOOKUP(Employees[[#This Row],[Education]], EdLevel[EducationLevelID], EdLevel[EducationLevel])</f>
        <v xml:space="preserve">High School </v>
      </c>
      <c r="AA30">
        <f>IF(Employees[[#This Row],[Attrition]] = "Yes", 1, 0)</f>
        <v>0</v>
      </c>
      <c r="AB30" t="str" cm="1">
        <f t="array" ref="AB30">_xlfn.IFS(Employees[[#This Row],[Age]]&lt;30, "20-29", Employees[[#This Row],[Age]]&lt;40, "30-39", Employees[[#This Row],[Age]]&lt;50, "40-49", "TRUE", "50+")</f>
        <v>40-49</v>
      </c>
    </row>
    <row r="31" spans="1:28">
      <c r="A31" t="s">
        <v>151</v>
      </c>
      <c r="B31" t="s">
        <v>152</v>
      </c>
      <c r="C31" t="s">
        <v>153</v>
      </c>
      <c r="D31" t="s">
        <v>26</v>
      </c>
      <c r="E31">
        <v>47</v>
      </c>
      <c r="F31" t="s">
        <v>84</v>
      </c>
      <c r="G31" t="s">
        <v>28</v>
      </c>
      <c r="H31">
        <v>21</v>
      </c>
      <c r="I31" t="s">
        <v>39</v>
      </c>
      <c r="J31" t="s">
        <v>30</v>
      </c>
      <c r="K31">
        <v>3</v>
      </c>
      <c r="L31" t="s">
        <v>121</v>
      </c>
      <c r="M31" t="s">
        <v>32</v>
      </c>
      <c r="N31" t="s">
        <v>40</v>
      </c>
      <c r="O31">
        <v>65626</v>
      </c>
      <c r="P31">
        <v>0</v>
      </c>
      <c r="Q31" t="s">
        <v>34</v>
      </c>
      <c r="R31" s="1">
        <v>40935</v>
      </c>
      <c r="S31" t="s">
        <v>34</v>
      </c>
      <c r="T31">
        <v>10</v>
      </c>
      <c r="U31">
        <v>2</v>
      </c>
      <c r="V31">
        <v>5</v>
      </c>
      <c r="W31">
        <v>1</v>
      </c>
      <c r="X31" t="s">
        <v>11022</v>
      </c>
      <c r="Y31" t="s">
        <v>11022</v>
      </c>
      <c r="Z31" t="str">
        <f>_xlfn.XLOOKUP(Employees[[#This Row],[Education]], EdLevel[EducationLevelID], EdLevel[EducationLevel])</f>
        <v xml:space="preserve">Bachelors </v>
      </c>
      <c r="AA31">
        <f>IF(Employees[[#This Row],[Attrition]] = "Yes", 1, 0)</f>
        <v>0</v>
      </c>
      <c r="AB31" t="str" cm="1">
        <f t="array" ref="AB31">_xlfn.IFS(Employees[[#This Row],[Age]]&lt;30, "20-29", Employees[[#This Row],[Age]]&lt;40, "30-39", Employees[[#This Row],[Age]]&lt;50, "40-49", "TRUE", "50+")</f>
        <v>40-49</v>
      </c>
    </row>
    <row r="32" spans="1:28">
      <c r="A32" t="s">
        <v>154</v>
      </c>
      <c r="B32" t="s">
        <v>155</v>
      </c>
      <c r="C32" t="s">
        <v>156</v>
      </c>
      <c r="D32" t="s">
        <v>26</v>
      </c>
      <c r="E32">
        <v>30</v>
      </c>
      <c r="F32" t="s">
        <v>84</v>
      </c>
      <c r="G32" t="s">
        <v>54</v>
      </c>
      <c r="H32">
        <v>44</v>
      </c>
      <c r="I32" t="s">
        <v>39</v>
      </c>
      <c r="J32" t="s">
        <v>71</v>
      </c>
      <c r="K32">
        <v>1</v>
      </c>
      <c r="L32" t="s">
        <v>55</v>
      </c>
      <c r="M32" t="s">
        <v>101</v>
      </c>
      <c r="N32" t="s">
        <v>40</v>
      </c>
      <c r="O32">
        <v>68508</v>
      </c>
      <c r="P32">
        <v>0</v>
      </c>
      <c r="Q32" t="s">
        <v>41</v>
      </c>
      <c r="R32" s="1">
        <v>40936</v>
      </c>
      <c r="S32" t="s">
        <v>41</v>
      </c>
      <c r="T32">
        <v>5</v>
      </c>
      <c r="U32">
        <v>4</v>
      </c>
      <c r="V32">
        <v>4</v>
      </c>
      <c r="W32">
        <v>4</v>
      </c>
      <c r="X32" t="s">
        <v>11020</v>
      </c>
      <c r="Y32" t="s">
        <v>11020</v>
      </c>
      <c r="Z32" t="str">
        <f>_xlfn.XLOOKUP(Employees[[#This Row],[Education]], EdLevel[EducationLevelID], EdLevel[EducationLevel])</f>
        <v>No Formal Qualifications</v>
      </c>
      <c r="AA32">
        <f>IF(Employees[[#This Row],[Attrition]] = "Yes", 1, 0)</f>
        <v>1</v>
      </c>
      <c r="AB32" t="str" cm="1">
        <f t="array" ref="AB32">_xlfn.IFS(Employees[[#This Row],[Age]]&lt;30, "20-29", Employees[[#This Row],[Age]]&lt;40, "30-39", Employees[[#This Row],[Age]]&lt;50, "40-49", "TRUE", "50+")</f>
        <v>30-39</v>
      </c>
    </row>
    <row r="33" spans="1:28">
      <c r="A33" t="s">
        <v>157</v>
      </c>
      <c r="B33" t="s">
        <v>158</v>
      </c>
      <c r="C33" t="s">
        <v>159</v>
      </c>
      <c r="D33" t="s">
        <v>26</v>
      </c>
      <c r="E33">
        <v>32</v>
      </c>
      <c r="F33" t="s">
        <v>27</v>
      </c>
      <c r="G33" t="s">
        <v>54</v>
      </c>
      <c r="H33">
        <v>22</v>
      </c>
      <c r="I33" t="s">
        <v>29</v>
      </c>
      <c r="J33" t="s">
        <v>30</v>
      </c>
      <c r="K33">
        <v>2</v>
      </c>
      <c r="L33" t="s">
        <v>77</v>
      </c>
      <c r="M33" t="s">
        <v>85</v>
      </c>
      <c r="N33" t="s">
        <v>49</v>
      </c>
      <c r="O33">
        <v>75821</v>
      </c>
      <c r="P33">
        <v>1</v>
      </c>
      <c r="Q33" t="s">
        <v>34</v>
      </c>
      <c r="R33" s="1">
        <v>40938</v>
      </c>
      <c r="S33" t="s">
        <v>34</v>
      </c>
      <c r="T33">
        <v>10</v>
      </c>
      <c r="U33">
        <v>1</v>
      </c>
      <c r="V33">
        <v>5</v>
      </c>
      <c r="W33">
        <v>1</v>
      </c>
      <c r="X33" t="s">
        <v>11021</v>
      </c>
      <c r="Y33" t="s">
        <v>11021</v>
      </c>
      <c r="Z33" t="str">
        <f>_xlfn.XLOOKUP(Employees[[#This Row],[Education]], EdLevel[EducationLevelID], EdLevel[EducationLevel])</f>
        <v xml:space="preserve">High School </v>
      </c>
      <c r="AA33">
        <f>IF(Employees[[#This Row],[Attrition]] = "Yes", 1, 0)</f>
        <v>0</v>
      </c>
      <c r="AB33" t="str" cm="1">
        <f t="array" ref="AB33">_xlfn.IFS(Employees[[#This Row],[Age]]&lt;30, "20-29", Employees[[#This Row],[Age]]&lt;40, "30-39", Employees[[#This Row],[Age]]&lt;50, "40-49", "TRUE", "50+")</f>
        <v>30-39</v>
      </c>
    </row>
    <row r="34" spans="1:28">
      <c r="A34" t="s">
        <v>160</v>
      </c>
      <c r="B34" t="s">
        <v>161</v>
      </c>
      <c r="C34" t="s">
        <v>162</v>
      </c>
      <c r="D34" t="s">
        <v>38</v>
      </c>
      <c r="E34">
        <v>44</v>
      </c>
      <c r="F34" t="s">
        <v>27</v>
      </c>
      <c r="G34" t="s">
        <v>28</v>
      </c>
      <c r="H34">
        <v>40</v>
      </c>
      <c r="I34" t="s">
        <v>65</v>
      </c>
      <c r="J34" t="s">
        <v>30</v>
      </c>
      <c r="K34">
        <v>2</v>
      </c>
      <c r="L34" t="s">
        <v>121</v>
      </c>
      <c r="M34" t="s">
        <v>97</v>
      </c>
      <c r="N34" t="s">
        <v>33</v>
      </c>
      <c r="O34">
        <v>285620</v>
      </c>
      <c r="P34">
        <v>1</v>
      </c>
      <c r="Q34" t="s">
        <v>34</v>
      </c>
      <c r="R34" s="1">
        <v>40938</v>
      </c>
      <c r="S34" t="s">
        <v>34</v>
      </c>
      <c r="T34">
        <v>10</v>
      </c>
      <c r="U34">
        <v>6</v>
      </c>
      <c r="V34">
        <v>8</v>
      </c>
      <c r="W34">
        <v>4</v>
      </c>
      <c r="X34" t="s">
        <v>11021</v>
      </c>
      <c r="Y34" t="s">
        <v>11021</v>
      </c>
      <c r="Z34" t="str">
        <f>_xlfn.XLOOKUP(Employees[[#This Row],[Education]], EdLevel[EducationLevelID], EdLevel[EducationLevel])</f>
        <v xml:space="preserve">High School </v>
      </c>
      <c r="AA34">
        <f>IF(Employees[[#This Row],[Attrition]] = "Yes", 1, 0)</f>
        <v>0</v>
      </c>
      <c r="AB34" t="str" cm="1">
        <f t="array" ref="AB34">_xlfn.IFS(Employees[[#This Row],[Age]]&lt;30, "20-29", Employees[[#This Row],[Age]]&lt;40, "30-39", Employees[[#This Row],[Age]]&lt;50, "40-49", "TRUE", "50+")</f>
        <v>40-49</v>
      </c>
    </row>
    <row r="35" spans="1:28">
      <c r="A35" t="s">
        <v>163</v>
      </c>
      <c r="B35" t="s">
        <v>164</v>
      </c>
      <c r="C35" t="s">
        <v>165</v>
      </c>
      <c r="D35" t="s">
        <v>26</v>
      </c>
      <c r="E35">
        <v>48</v>
      </c>
      <c r="F35" t="s">
        <v>27</v>
      </c>
      <c r="G35" t="s">
        <v>54</v>
      </c>
      <c r="H35">
        <v>17</v>
      </c>
      <c r="I35" t="s">
        <v>39</v>
      </c>
      <c r="J35" t="s">
        <v>71</v>
      </c>
      <c r="K35">
        <v>3</v>
      </c>
      <c r="L35" t="s">
        <v>72</v>
      </c>
      <c r="M35" t="s">
        <v>101</v>
      </c>
      <c r="N35" t="s">
        <v>40</v>
      </c>
      <c r="O35">
        <v>65860</v>
      </c>
      <c r="P35">
        <v>0</v>
      </c>
      <c r="Q35" t="s">
        <v>34</v>
      </c>
      <c r="R35" s="1">
        <v>40940</v>
      </c>
      <c r="S35" t="s">
        <v>34</v>
      </c>
      <c r="T35">
        <v>10</v>
      </c>
      <c r="U35">
        <v>6</v>
      </c>
      <c r="V35">
        <v>7</v>
      </c>
      <c r="W35">
        <v>1</v>
      </c>
      <c r="X35" t="s">
        <v>11022</v>
      </c>
      <c r="Y35" t="s">
        <v>11022</v>
      </c>
      <c r="Z35" t="str">
        <f>_xlfn.XLOOKUP(Employees[[#This Row],[Education]], EdLevel[EducationLevelID], EdLevel[EducationLevel])</f>
        <v xml:space="preserve">Bachelors </v>
      </c>
      <c r="AA35">
        <f>IF(Employees[[#This Row],[Attrition]] = "Yes", 1, 0)</f>
        <v>0</v>
      </c>
      <c r="AB35" t="str" cm="1">
        <f t="array" ref="AB35">_xlfn.IFS(Employees[[#This Row],[Age]]&lt;30, "20-29", Employees[[#This Row],[Age]]&lt;40, "30-39", Employees[[#This Row],[Age]]&lt;50, "40-49", "TRUE", "50+")</f>
        <v>40-49</v>
      </c>
    </row>
    <row r="36" spans="1:28">
      <c r="A36" t="s">
        <v>166</v>
      </c>
      <c r="B36" t="s">
        <v>167</v>
      </c>
      <c r="C36" t="s">
        <v>168</v>
      </c>
      <c r="D36" t="s">
        <v>38</v>
      </c>
      <c r="E36">
        <v>47</v>
      </c>
      <c r="F36" t="s">
        <v>27</v>
      </c>
      <c r="G36" t="s">
        <v>54</v>
      </c>
      <c r="H36">
        <v>41</v>
      </c>
      <c r="I36" t="s">
        <v>65</v>
      </c>
      <c r="J36" t="s">
        <v>137</v>
      </c>
      <c r="K36">
        <v>1</v>
      </c>
      <c r="L36" t="s">
        <v>55</v>
      </c>
      <c r="M36" t="s">
        <v>85</v>
      </c>
      <c r="N36" t="s">
        <v>49</v>
      </c>
      <c r="O36">
        <v>40786</v>
      </c>
      <c r="P36">
        <v>0</v>
      </c>
      <c r="Q36" t="s">
        <v>34</v>
      </c>
      <c r="R36" s="1">
        <v>40940</v>
      </c>
      <c r="S36" t="s">
        <v>34</v>
      </c>
      <c r="T36">
        <v>10</v>
      </c>
      <c r="U36">
        <v>3</v>
      </c>
      <c r="V36">
        <v>5</v>
      </c>
      <c r="W36">
        <v>5</v>
      </c>
      <c r="X36" t="s">
        <v>11020</v>
      </c>
      <c r="Y36" t="s">
        <v>11020</v>
      </c>
      <c r="Z36" t="str">
        <f>_xlfn.XLOOKUP(Employees[[#This Row],[Education]], EdLevel[EducationLevelID], EdLevel[EducationLevel])</f>
        <v>No Formal Qualifications</v>
      </c>
      <c r="AA36">
        <f>IF(Employees[[#This Row],[Attrition]] = "Yes", 1, 0)</f>
        <v>0</v>
      </c>
      <c r="AB36" t="str" cm="1">
        <f t="array" ref="AB36">_xlfn.IFS(Employees[[#This Row],[Age]]&lt;30, "20-29", Employees[[#This Row],[Age]]&lt;40, "30-39", Employees[[#This Row],[Age]]&lt;50, "40-49", "TRUE", "50+")</f>
        <v>40-49</v>
      </c>
    </row>
    <row r="37" spans="1:28">
      <c r="A37" t="s">
        <v>169</v>
      </c>
      <c r="B37" t="s">
        <v>170</v>
      </c>
      <c r="C37" t="s">
        <v>171</v>
      </c>
      <c r="D37" t="s">
        <v>26</v>
      </c>
      <c r="E37">
        <v>31</v>
      </c>
      <c r="F37" t="s">
        <v>27</v>
      </c>
      <c r="G37" t="s">
        <v>54</v>
      </c>
      <c r="H37">
        <v>20</v>
      </c>
      <c r="I37" t="s">
        <v>39</v>
      </c>
      <c r="J37" t="s">
        <v>30</v>
      </c>
      <c r="K37">
        <v>2</v>
      </c>
      <c r="L37" t="s">
        <v>55</v>
      </c>
      <c r="M37" t="s">
        <v>101</v>
      </c>
      <c r="N37" t="s">
        <v>40</v>
      </c>
      <c r="O37">
        <v>59697</v>
      </c>
      <c r="P37">
        <v>0</v>
      </c>
      <c r="Q37" t="s">
        <v>41</v>
      </c>
      <c r="R37" s="1">
        <v>40941</v>
      </c>
      <c r="S37" t="s">
        <v>41</v>
      </c>
      <c r="T37">
        <v>7</v>
      </c>
      <c r="U37">
        <v>5</v>
      </c>
      <c r="V37">
        <v>6</v>
      </c>
      <c r="W37">
        <v>0</v>
      </c>
      <c r="X37" t="s">
        <v>11021</v>
      </c>
      <c r="Y37" t="s">
        <v>11021</v>
      </c>
      <c r="Z37" t="str">
        <f>_xlfn.XLOOKUP(Employees[[#This Row],[Education]], EdLevel[EducationLevelID], EdLevel[EducationLevel])</f>
        <v xml:space="preserve">High School </v>
      </c>
      <c r="AA37">
        <f>IF(Employees[[#This Row],[Attrition]] = "Yes", 1, 0)</f>
        <v>1</v>
      </c>
      <c r="AB37" t="str" cm="1">
        <f t="array" ref="AB37">_xlfn.IFS(Employees[[#This Row],[Age]]&lt;30, "20-29", Employees[[#This Row],[Age]]&lt;40, "30-39", Employees[[#This Row],[Age]]&lt;50, "40-49", "TRUE", "50+")</f>
        <v>30-39</v>
      </c>
    </row>
    <row r="38" spans="1:28">
      <c r="A38" t="s">
        <v>172</v>
      </c>
      <c r="B38" t="s">
        <v>173</v>
      </c>
      <c r="C38" t="s">
        <v>174</v>
      </c>
      <c r="D38" t="s">
        <v>26</v>
      </c>
      <c r="E38">
        <v>32</v>
      </c>
      <c r="F38" t="s">
        <v>70</v>
      </c>
      <c r="G38" t="s">
        <v>54</v>
      </c>
      <c r="H38">
        <v>12</v>
      </c>
      <c r="I38" t="s">
        <v>65</v>
      </c>
      <c r="J38" t="s">
        <v>71</v>
      </c>
      <c r="K38">
        <v>3</v>
      </c>
      <c r="L38" t="s">
        <v>55</v>
      </c>
      <c r="M38" t="s">
        <v>56</v>
      </c>
      <c r="N38" t="s">
        <v>49</v>
      </c>
      <c r="O38">
        <v>316725</v>
      </c>
      <c r="P38">
        <v>1</v>
      </c>
      <c r="Q38" t="s">
        <v>34</v>
      </c>
      <c r="R38" s="1">
        <v>40941</v>
      </c>
      <c r="S38" t="s">
        <v>34</v>
      </c>
      <c r="T38">
        <v>10</v>
      </c>
      <c r="U38">
        <v>6</v>
      </c>
      <c r="V38">
        <v>10</v>
      </c>
      <c r="W38">
        <v>2</v>
      </c>
      <c r="X38" t="s">
        <v>11022</v>
      </c>
      <c r="Y38" t="s">
        <v>11022</v>
      </c>
      <c r="Z38" t="str">
        <f>_xlfn.XLOOKUP(Employees[[#This Row],[Education]], EdLevel[EducationLevelID], EdLevel[EducationLevel])</f>
        <v xml:space="preserve">Bachelors </v>
      </c>
      <c r="AA38">
        <f>IF(Employees[[#This Row],[Attrition]] = "Yes", 1, 0)</f>
        <v>0</v>
      </c>
      <c r="AB38" t="str" cm="1">
        <f t="array" ref="AB38">_xlfn.IFS(Employees[[#This Row],[Age]]&lt;30, "20-29", Employees[[#This Row],[Age]]&lt;40, "30-39", Employees[[#This Row],[Age]]&lt;50, "40-49", "TRUE", "50+")</f>
        <v>30-39</v>
      </c>
    </row>
    <row r="39" spans="1:28">
      <c r="A39" t="s">
        <v>175</v>
      </c>
      <c r="B39" t="s">
        <v>176</v>
      </c>
      <c r="C39" t="s">
        <v>177</v>
      </c>
      <c r="D39" t="s">
        <v>26</v>
      </c>
      <c r="E39">
        <v>28</v>
      </c>
      <c r="F39" t="s">
        <v>27</v>
      </c>
      <c r="G39" t="s">
        <v>54</v>
      </c>
      <c r="H39">
        <v>14</v>
      </c>
      <c r="I39" t="s">
        <v>29</v>
      </c>
      <c r="J39" t="s">
        <v>30</v>
      </c>
      <c r="K39">
        <v>2</v>
      </c>
      <c r="L39" t="s">
        <v>178</v>
      </c>
      <c r="M39" t="s">
        <v>101</v>
      </c>
      <c r="N39" t="s">
        <v>33</v>
      </c>
      <c r="O39">
        <v>105984</v>
      </c>
      <c r="P39">
        <v>2</v>
      </c>
      <c r="Q39" t="s">
        <v>41</v>
      </c>
      <c r="R39" s="1">
        <v>40943</v>
      </c>
      <c r="S39" t="s">
        <v>34</v>
      </c>
      <c r="T39">
        <v>10</v>
      </c>
      <c r="U39">
        <v>7</v>
      </c>
      <c r="V39">
        <v>9</v>
      </c>
      <c r="W39">
        <v>10</v>
      </c>
      <c r="X39" t="s">
        <v>11021</v>
      </c>
      <c r="Y39" t="s">
        <v>11021</v>
      </c>
      <c r="Z39" t="str">
        <f>_xlfn.XLOOKUP(Employees[[#This Row],[Education]], EdLevel[EducationLevelID], EdLevel[EducationLevel])</f>
        <v xml:space="preserve">High School </v>
      </c>
      <c r="AA39">
        <f>IF(Employees[[#This Row],[Attrition]] = "Yes", 1, 0)</f>
        <v>0</v>
      </c>
      <c r="AB39" t="str" cm="1">
        <f t="array" ref="AB39">_xlfn.IFS(Employees[[#This Row],[Age]]&lt;30, "20-29", Employees[[#This Row],[Age]]&lt;40, "30-39", Employees[[#This Row],[Age]]&lt;50, "40-49", "TRUE", "50+")</f>
        <v>20-29</v>
      </c>
    </row>
    <row r="40" spans="1:28">
      <c r="A40" t="s">
        <v>179</v>
      </c>
      <c r="B40" t="s">
        <v>180</v>
      </c>
      <c r="C40" t="s">
        <v>181</v>
      </c>
      <c r="D40" t="s">
        <v>38</v>
      </c>
      <c r="E40">
        <v>32</v>
      </c>
      <c r="F40" t="s">
        <v>27</v>
      </c>
      <c r="G40" t="s">
        <v>54</v>
      </c>
      <c r="H40">
        <v>15</v>
      </c>
      <c r="I40" t="s">
        <v>39</v>
      </c>
      <c r="J40" t="s">
        <v>66</v>
      </c>
      <c r="K40">
        <v>3</v>
      </c>
      <c r="L40" t="s">
        <v>77</v>
      </c>
      <c r="M40" t="s">
        <v>182</v>
      </c>
      <c r="N40" t="s">
        <v>49</v>
      </c>
      <c r="O40">
        <v>393294</v>
      </c>
      <c r="P40">
        <v>1</v>
      </c>
      <c r="Q40" t="s">
        <v>34</v>
      </c>
      <c r="R40" s="1">
        <v>40943</v>
      </c>
      <c r="S40" t="s">
        <v>34</v>
      </c>
      <c r="T40">
        <v>10</v>
      </c>
      <c r="U40">
        <v>2</v>
      </c>
      <c r="V40">
        <v>2</v>
      </c>
      <c r="W40">
        <v>2</v>
      </c>
      <c r="X40" t="s">
        <v>11022</v>
      </c>
      <c r="Y40" t="s">
        <v>11022</v>
      </c>
      <c r="Z40" t="str">
        <f>_xlfn.XLOOKUP(Employees[[#This Row],[Education]], EdLevel[EducationLevelID], EdLevel[EducationLevel])</f>
        <v xml:space="preserve">Bachelors </v>
      </c>
      <c r="AA40">
        <f>IF(Employees[[#This Row],[Attrition]] = "Yes", 1, 0)</f>
        <v>0</v>
      </c>
      <c r="AB40" t="str" cm="1">
        <f t="array" ref="AB40">_xlfn.IFS(Employees[[#This Row],[Age]]&lt;30, "20-29", Employees[[#This Row],[Age]]&lt;40, "30-39", Employees[[#This Row],[Age]]&lt;50, "40-49", "TRUE", "50+")</f>
        <v>30-39</v>
      </c>
    </row>
    <row r="41" spans="1:28">
      <c r="A41" t="s">
        <v>183</v>
      </c>
      <c r="B41" t="s">
        <v>184</v>
      </c>
      <c r="C41" t="s">
        <v>185</v>
      </c>
      <c r="D41" t="s">
        <v>26</v>
      </c>
      <c r="E41">
        <v>41</v>
      </c>
      <c r="F41" t="s">
        <v>84</v>
      </c>
      <c r="G41" t="s">
        <v>54</v>
      </c>
      <c r="H41">
        <v>7</v>
      </c>
      <c r="I41" t="s">
        <v>39</v>
      </c>
      <c r="J41" t="s">
        <v>71</v>
      </c>
      <c r="K41">
        <v>1</v>
      </c>
      <c r="L41" t="s">
        <v>178</v>
      </c>
      <c r="M41" t="s">
        <v>93</v>
      </c>
      <c r="N41" t="s">
        <v>40</v>
      </c>
      <c r="O41">
        <v>107008</v>
      </c>
      <c r="P41">
        <v>0</v>
      </c>
      <c r="Q41" t="s">
        <v>34</v>
      </c>
      <c r="R41" s="1">
        <v>40944</v>
      </c>
      <c r="S41" t="s">
        <v>34</v>
      </c>
      <c r="T41">
        <v>10</v>
      </c>
      <c r="U41">
        <v>9</v>
      </c>
      <c r="V41">
        <v>10</v>
      </c>
      <c r="W41">
        <v>9</v>
      </c>
      <c r="X41" t="s">
        <v>11020</v>
      </c>
      <c r="Y41" t="s">
        <v>11020</v>
      </c>
      <c r="Z41" t="str">
        <f>_xlfn.XLOOKUP(Employees[[#This Row],[Education]], EdLevel[EducationLevelID], EdLevel[EducationLevel])</f>
        <v>No Formal Qualifications</v>
      </c>
      <c r="AA41">
        <f>IF(Employees[[#This Row],[Attrition]] = "Yes", 1, 0)</f>
        <v>0</v>
      </c>
      <c r="AB41" t="str" cm="1">
        <f t="array" ref="AB41">_xlfn.IFS(Employees[[#This Row],[Age]]&lt;30, "20-29", Employees[[#This Row],[Age]]&lt;40, "30-39", Employees[[#This Row],[Age]]&lt;50, "40-49", "TRUE", "50+")</f>
        <v>40-49</v>
      </c>
    </row>
    <row r="42" spans="1:28">
      <c r="A42" t="s">
        <v>186</v>
      </c>
      <c r="B42" t="s">
        <v>187</v>
      </c>
      <c r="C42" t="s">
        <v>188</v>
      </c>
      <c r="D42" t="s">
        <v>26</v>
      </c>
      <c r="E42">
        <v>34</v>
      </c>
      <c r="F42" t="s">
        <v>27</v>
      </c>
      <c r="G42" t="s">
        <v>54</v>
      </c>
      <c r="H42">
        <v>5</v>
      </c>
      <c r="I42" t="s">
        <v>39</v>
      </c>
      <c r="J42" t="s">
        <v>30</v>
      </c>
      <c r="K42">
        <v>1</v>
      </c>
      <c r="L42" t="s">
        <v>72</v>
      </c>
      <c r="M42" t="s">
        <v>85</v>
      </c>
      <c r="N42" t="s">
        <v>40</v>
      </c>
      <c r="O42">
        <v>127432</v>
      </c>
      <c r="P42">
        <v>0</v>
      </c>
      <c r="Q42" t="s">
        <v>41</v>
      </c>
      <c r="R42" s="1">
        <v>40945</v>
      </c>
      <c r="S42" t="s">
        <v>34</v>
      </c>
      <c r="T42">
        <v>10</v>
      </c>
      <c r="U42">
        <v>8</v>
      </c>
      <c r="V42">
        <v>9</v>
      </c>
      <c r="W42">
        <v>9</v>
      </c>
      <c r="X42" t="s">
        <v>11020</v>
      </c>
      <c r="Y42" t="s">
        <v>11020</v>
      </c>
      <c r="Z42" t="str">
        <f>_xlfn.XLOOKUP(Employees[[#This Row],[Education]], EdLevel[EducationLevelID], EdLevel[EducationLevel])</f>
        <v>No Formal Qualifications</v>
      </c>
      <c r="AA42">
        <f>IF(Employees[[#This Row],[Attrition]] = "Yes", 1, 0)</f>
        <v>0</v>
      </c>
      <c r="AB42" t="str" cm="1">
        <f t="array" ref="AB42">_xlfn.IFS(Employees[[#This Row],[Age]]&lt;30, "20-29", Employees[[#This Row],[Age]]&lt;40, "30-39", Employees[[#This Row],[Age]]&lt;50, "40-49", "TRUE", "50+")</f>
        <v>30-39</v>
      </c>
    </row>
    <row r="43" spans="1:28">
      <c r="A43" t="s">
        <v>189</v>
      </c>
      <c r="B43" t="s">
        <v>190</v>
      </c>
      <c r="C43" t="s">
        <v>191</v>
      </c>
      <c r="D43" t="s">
        <v>38</v>
      </c>
      <c r="E43">
        <v>45</v>
      </c>
      <c r="F43" t="s">
        <v>27</v>
      </c>
      <c r="G43" t="s">
        <v>28</v>
      </c>
      <c r="H43">
        <v>20</v>
      </c>
      <c r="I43" t="s">
        <v>39</v>
      </c>
      <c r="J43" t="s">
        <v>30</v>
      </c>
      <c r="K43">
        <v>2</v>
      </c>
      <c r="L43" t="s">
        <v>47</v>
      </c>
      <c r="M43" t="s">
        <v>32</v>
      </c>
      <c r="N43" t="s">
        <v>49</v>
      </c>
      <c r="O43">
        <v>76693</v>
      </c>
      <c r="P43">
        <v>1</v>
      </c>
      <c r="Q43" t="s">
        <v>34</v>
      </c>
      <c r="R43" s="1">
        <v>40945</v>
      </c>
      <c r="S43" t="s">
        <v>34</v>
      </c>
      <c r="T43">
        <v>10</v>
      </c>
      <c r="U43">
        <v>2</v>
      </c>
      <c r="V43">
        <v>9</v>
      </c>
      <c r="W43">
        <v>10</v>
      </c>
      <c r="X43" t="s">
        <v>11021</v>
      </c>
      <c r="Y43" t="s">
        <v>11021</v>
      </c>
      <c r="Z43" t="str">
        <f>_xlfn.XLOOKUP(Employees[[#This Row],[Education]], EdLevel[EducationLevelID], EdLevel[EducationLevel])</f>
        <v xml:space="preserve">High School </v>
      </c>
      <c r="AA43">
        <f>IF(Employees[[#This Row],[Attrition]] = "Yes", 1, 0)</f>
        <v>0</v>
      </c>
      <c r="AB43" t="str" cm="1">
        <f t="array" ref="AB43">_xlfn.IFS(Employees[[#This Row],[Age]]&lt;30, "20-29", Employees[[#This Row],[Age]]&lt;40, "30-39", Employees[[#This Row],[Age]]&lt;50, "40-49", "TRUE", "50+")</f>
        <v>40-49</v>
      </c>
    </row>
    <row r="44" spans="1:28">
      <c r="A44" t="s">
        <v>192</v>
      </c>
      <c r="B44" t="s">
        <v>193</v>
      </c>
      <c r="C44" t="s">
        <v>194</v>
      </c>
      <c r="D44" t="s">
        <v>26</v>
      </c>
      <c r="E44">
        <v>39</v>
      </c>
      <c r="F44" t="s">
        <v>27</v>
      </c>
      <c r="G44" t="s">
        <v>54</v>
      </c>
      <c r="H44">
        <v>31</v>
      </c>
      <c r="I44" t="s">
        <v>39</v>
      </c>
      <c r="J44" t="s">
        <v>30</v>
      </c>
      <c r="K44">
        <v>3</v>
      </c>
      <c r="L44" t="s">
        <v>72</v>
      </c>
      <c r="M44" t="s">
        <v>101</v>
      </c>
      <c r="N44" t="s">
        <v>40</v>
      </c>
      <c r="O44">
        <v>90017</v>
      </c>
      <c r="P44">
        <v>0</v>
      </c>
      <c r="Q44" t="s">
        <v>41</v>
      </c>
      <c r="R44" s="1">
        <v>40946</v>
      </c>
      <c r="S44" t="s">
        <v>34</v>
      </c>
      <c r="T44">
        <v>10</v>
      </c>
      <c r="U44">
        <v>7</v>
      </c>
      <c r="V44">
        <v>7</v>
      </c>
      <c r="W44">
        <v>3</v>
      </c>
      <c r="X44" t="s">
        <v>11022</v>
      </c>
      <c r="Y44" t="s">
        <v>11022</v>
      </c>
      <c r="Z44" t="str">
        <f>_xlfn.XLOOKUP(Employees[[#This Row],[Education]], EdLevel[EducationLevelID], EdLevel[EducationLevel])</f>
        <v xml:space="preserve">Bachelors </v>
      </c>
      <c r="AA44">
        <f>IF(Employees[[#This Row],[Attrition]] = "Yes", 1, 0)</f>
        <v>0</v>
      </c>
      <c r="AB44" t="str" cm="1">
        <f t="array" ref="AB44">_xlfn.IFS(Employees[[#This Row],[Age]]&lt;30, "20-29", Employees[[#This Row],[Age]]&lt;40, "30-39", Employees[[#This Row],[Age]]&lt;50, "40-49", "TRUE", "50+")</f>
        <v>30-39</v>
      </c>
    </row>
    <row r="45" spans="1:28">
      <c r="A45" t="s">
        <v>195</v>
      </c>
      <c r="B45" t="s">
        <v>196</v>
      </c>
      <c r="C45" t="s">
        <v>197</v>
      </c>
      <c r="D45" t="s">
        <v>38</v>
      </c>
      <c r="E45">
        <v>44</v>
      </c>
      <c r="F45" t="s">
        <v>27</v>
      </c>
      <c r="G45" t="s">
        <v>28</v>
      </c>
      <c r="H45">
        <v>21</v>
      </c>
      <c r="I45" t="s">
        <v>39</v>
      </c>
      <c r="J45" t="s">
        <v>30</v>
      </c>
      <c r="K45">
        <v>3</v>
      </c>
      <c r="L45" t="s">
        <v>31</v>
      </c>
      <c r="M45" t="s">
        <v>97</v>
      </c>
      <c r="N45" t="s">
        <v>49</v>
      </c>
      <c r="O45">
        <v>426142</v>
      </c>
      <c r="P45">
        <v>0</v>
      </c>
      <c r="Q45" t="s">
        <v>34</v>
      </c>
      <c r="R45" s="1">
        <v>40946</v>
      </c>
      <c r="S45" t="s">
        <v>34</v>
      </c>
      <c r="T45">
        <v>10</v>
      </c>
      <c r="U45">
        <v>4</v>
      </c>
      <c r="V45">
        <v>5</v>
      </c>
      <c r="W45">
        <v>4</v>
      </c>
      <c r="X45" t="s">
        <v>11022</v>
      </c>
      <c r="Y45" t="s">
        <v>11022</v>
      </c>
      <c r="Z45" t="str">
        <f>_xlfn.XLOOKUP(Employees[[#This Row],[Education]], EdLevel[EducationLevelID], EdLevel[EducationLevel])</f>
        <v xml:space="preserve">Bachelors </v>
      </c>
      <c r="AA45">
        <f>IF(Employees[[#This Row],[Attrition]] = "Yes", 1, 0)</f>
        <v>0</v>
      </c>
      <c r="AB45" t="str" cm="1">
        <f t="array" ref="AB45">_xlfn.IFS(Employees[[#This Row],[Age]]&lt;30, "20-29", Employees[[#This Row],[Age]]&lt;40, "30-39", Employees[[#This Row],[Age]]&lt;50, "40-49", "TRUE", "50+")</f>
        <v>40-49</v>
      </c>
    </row>
    <row r="46" spans="1:28">
      <c r="A46" t="s">
        <v>198</v>
      </c>
      <c r="B46" t="s">
        <v>199</v>
      </c>
      <c r="C46" t="s">
        <v>200</v>
      </c>
      <c r="D46" t="s">
        <v>26</v>
      </c>
      <c r="E46">
        <v>47</v>
      </c>
      <c r="F46" t="s">
        <v>27</v>
      </c>
      <c r="G46" t="s">
        <v>54</v>
      </c>
      <c r="H46">
        <v>17</v>
      </c>
      <c r="I46" t="s">
        <v>65</v>
      </c>
      <c r="J46" t="s">
        <v>30</v>
      </c>
      <c r="K46">
        <v>2</v>
      </c>
      <c r="L46" t="s">
        <v>55</v>
      </c>
      <c r="M46" t="s">
        <v>101</v>
      </c>
      <c r="N46" t="s">
        <v>49</v>
      </c>
      <c r="O46">
        <v>46514</v>
      </c>
      <c r="P46">
        <v>2</v>
      </c>
      <c r="Q46" t="s">
        <v>34</v>
      </c>
      <c r="R46" s="1">
        <v>40951</v>
      </c>
      <c r="S46" t="s">
        <v>34</v>
      </c>
      <c r="T46">
        <v>10</v>
      </c>
      <c r="U46">
        <v>9</v>
      </c>
      <c r="V46">
        <v>9</v>
      </c>
      <c r="W46">
        <v>2</v>
      </c>
      <c r="X46" t="s">
        <v>11021</v>
      </c>
      <c r="Y46" t="s">
        <v>11021</v>
      </c>
      <c r="Z46" t="str">
        <f>_xlfn.XLOOKUP(Employees[[#This Row],[Education]], EdLevel[EducationLevelID], EdLevel[EducationLevel])</f>
        <v xml:space="preserve">High School </v>
      </c>
      <c r="AA46">
        <f>IF(Employees[[#This Row],[Attrition]] = "Yes", 1, 0)</f>
        <v>0</v>
      </c>
      <c r="AB46" t="str" cm="1">
        <f t="array" ref="AB46">_xlfn.IFS(Employees[[#This Row],[Age]]&lt;30, "20-29", Employees[[#This Row],[Age]]&lt;40, "30-39", Employees[[#This Row],[Age]]&lt;50, "40-49", "TRUE", "50+")</f>
        <v>40-49</v>
      </c>
    </row>
    <row r="47" spans="1:28">
      <c r="A47" t="s">
        <v>201</v>
      </c>
      <c r="B47" t="s">
        <v>202</v>
      </c>
      <c r="C47" t="s">
        <v>203</v>
      </c>
      <c r="D47" t="s">
        <v>38</v>
      </c>
      <c r="E47">
        <v>48</v>
      </c>
      <c r="F47" t="s">
        <v>70</v>
      </c>
      <c r="G47" t="s">
        <v>28</v>
      </c>
      <c r="H47">
        <v>9</v>
      </c>
      <c r="I47" t="s">
        <v>39</v>
      </c>
      <c r="J47" t="s">
        <v>30</v>
      </c>
      <c r="K47">
        <v>5</v>
      </c>
      <c r="L47" t="s">
        <v>121</v>
      </c>
      <c r="M47" t="s">
        <v>32</v>
      </c>
      <c r="N47" t="s">
        <v>40</v>
      </c>
      <c r="O47">
        <v>125587</v>
      </c>
      <c r="P47">
        <v>0</v>
      </c>
      <c r="Q47" t="s">
        <v>34</v>
      </c>
      <c r="R47" s="1">
        <v>40951</v>
      </c>
      <c r="S47" t="s">
        <v>34</v>
      </c>
      <c r="T47">
        <v>10</v>
      </c>
      <c r="U47">
        <v>10</v>
      </c>
      <c r="V47">
        <v>10</v>
      </c>
      <c r="W47">
        <v>4</v>
      </c>
      <c r="X47" t="s">
        <v>11024</v>
      </c>
      <c r="Y47" t="s">
        <v>11024</v>
      </c>
      <c r="Z47" t="str">
        <f>_xlfn.XLOOKUP(Employees[[#This Row],[Education]], EdLevel[EducationLevelID], EdLevel[EducationLevel])</f>
        <v>Doctorate</v>
      </c>
      <c r="AA47">
        <f>IF(Employees[[#This Row],[Attrition]] = "Yes", 1, 0)</f>
        <v>0</v>
      </c>
      <c r="AB47" t="str" cm="1">
        <f t="array" ref="AB47">_xlfn.IFS(Employees[[#This Row],[Age]]&lt;30, "20-29", Employees[[#This Row],[Age]]&lt;40, "30-39", Employees[[#This Row],[Age]]&lt;50, "40-49", "TRUE", "50+")</f>
        <v>40-49</v>
      </c>
    </row>
    <row r="48" spans="1:28">
      <c r="A48" t="s">
        <v>204</v>
      </c>
      <c r="B48" t="s">
        <v>205</v>
      </c>
      <c r="C48" t="s">
        <v>206</v>
      </c>
      <c r="D48" t="s">
        <v>26</v>
      </c>
      <c r="E48">
        <v>47</v>
      </c>
      <c r="F48" t="s">
        <v>27</v>
      </c>
      <c r="G48" t="s">
        <v>45</v>
      </c>
      <c r="H48">
        <v>21</v>
      </c>
      <c r="I48" t="s">
        <v>65</v>
      </c>
      <c r="J48" t="s">
        <v>66</v>
      </c>
      <c r="K48">
        <v>3</v>
      </c>
      <c r="L48" t="s">
        <v>47</v>
      </c>
      <c r="M48" t="s">
        <v>207</v>
      </c>
      <c r="N48" t="s">
        <v>40</v>
      </c>
      <c r="O48">
        <v>98608</v>
      </c>
      <c r="P48">
        <v>0</v>
      </c>
      <c r="Q48" t="s">
        <v>34</v>
      </c>
      <c r="R48" s="1">
        <v>40953</v>
      </c>
      <c r="S48" t="s">
        <v>34</v>
      </c>
      <c r="T48">
        <v>10</v>
      </c>
      <c r="U48">
        <v>5</v>
      </c>
      <c r="V48">
        <v>10</v>
      </c>
      <c r="W48">
        <v>4</v>
      </c>
      <c r="X48" t="s">
        <v>11022</v>
      </c>
      <c r="Y48" t="s">
        <v>11022</v>
      </c>
      <c r="Z48" t="str">
        <f>_xlfn.XLOOKUP(Employees[[#This Row],[Education]], EdLevel[EducationLevelID], EdLevel[EducationLevel])</f>
        <v xml:space="preserve">Bachelors </v>
      </c>
      <c r="AA48">
        <f>IF(Employees[[#This Row],[Attrition]] = "Yes", 1, 0)</f>
        <v>0</v>
      </c>
      <c r="AB48" t="str" cm="1">
        <f t="array" ref="AB48">_xlfn.IFS(Employees[[#This Row],[Age]]&lt;30, "20-29", Employees[[#This Row],[Age]]&lt;40, "30-39", Employees[[#This Row],[Age]]&lt;50, "40-49", "TRUE", "50+")</f>
        <v>40-49</v>
      </c>
    </row>
    <row r="49" spans="1:28">
      <c r="A49" t="s">
        <v>208</v>
      </c>
      <c r="B49" t="s">
        <v>209</v>
      </c>
      <c r="C49" t="s">
        <v>210</v>
      </c>
      <c r="D49" t="s">
        <v>26</v>
      </c>
      <c r="E49">
        <v>48</v>
      </c>
      <c r="F49" t="s">
        <v>27</v>
      </c>
      <c r="G49" t="s">
        <v>54</v>
      </c>
      <c r="H49">
        <v>30</v>
      </c>
      <c r="I49" t="s">
        <v>65</v>
      </c>
      <c r="J49" t="s">
        <v>71</v>
      </c>
      <c r="K49">
        <v>3</v>
      </c>
      <c r="L49" t="s">
        <v>72</v>
      </c>
      <c r="M49" t="s">
        <v>101</v>
      </c>
      <c r="N49" t="s">
        <v>49</v>
      </c>
      <c r="O49">
        <v>72794</v>
      </c>
      <c r="P49">
        <v>1</v>
      </c>
      <c r="Q49" t="s">
        <v>34</v>
      </c>
      <c r="R49" s="1">
        <v>40953</v>
      </c>
      <c r="S49" t="s">
        <v>34</v>
      </c>
      <c r="T49">
        <v>10</v>
      </c>
      <c r="U49">
        <v>4</v>
      </c>
      <c r="V49">
        <v>5</v>
      </c>
      <c r="W49">
        <v>3</v>
      </c>
      <c r="X49" t="s">
        <v>11022</v>
      </c>
      <c r="Y49" t="s">
        <v>11022</v>
      </c>
      <c r="Z49" t="str">
        <f>_xlfn.XLOOKUP(Employees[[#This Row],[Education]], EdLevel[EducationLevelID], EdLevel[EducationLevel])</f>
        <v xml:space="preserve">Bachelors </v>
      </c>
      <c r="AA49">
        <f>IF(Employees[[#This Row],[Attrition]] = "Yes", 1, 0)</f>
        <v>0</v>
      </c>
      <c r="AB49" t="str" cm="1">
        <f t="array" ref="AB49">_xlfn.IFS(Employees[[#This Row],[Age]]&lt;30, "20-29", Employees[[#This Row],[Age]]&lt;40, "30-39", Employees[[#This Row],[Age]]&lt;50, "40-49", "TRUE", "50+")</f>
        <v>40-49</v>
      </c>
    </row>
    <row r="50" spans="1:28">
      <c r="A50" t="s">
        <v>211</v>
      </c>
      <c r="B50" t="s">
        <v>212</v>
      </c>
      <c r="C50" t="s">
        <v>213</v>
      </c>
      <c r="D50" t="s">
        <v>53</v>
      </c>
      <c r="E50">
        <v>40</v>
      </c>
      <c r="F50" t="s">
        <v>27</v>
      </c>
      <c r="G50" t="s">
        <v>54</v>
      </c>
      <c r="H50">
        <v>44</v>
      </c>
      <c r="I50" t="s">
        <v>39</v>
      </c>
      <c r="J50" t="s">
        <v>30</v>
      </c>
      <c r="K50">
        <v>2</v>
      </c>
      <c r="L50" t="s">
        <v>55</v>
      </c>
      <c r="M50" t="s">
        <v>101</v>
      </c>
      <c r="N50" t="s">
        <v>40</v>
      </c>
      <c r="O50">
        <v>69119</v>
      </c>
      <c r="P50">
        <v>0</v>
      </c>
      <c r="Q50" t="s">
        <v>34</v>
      </c>
      <c r="R50" s="1">
        <v>40954</v>
      </c>
      <c r="S50" t="s">
        <v>34</v>
      </c>
      <c r="T50">
        <v>10</v>
      </c>
      <c r="U50">
        <v>8</v>
      </c>
      <c r="V50">
        <v>10</v>
      </c>
      <c r="W50">
        <v>5</v>
      </c>
      <c r="X50" t="s">
        <v>11021</v>
      </c>
      <c r="Y50" t="s">
        <v>11021</v>
      </c>
      <c r="Z50" t="str">
        <f>_xlfn.XLOOKUP(Employees[[#This Row],[Education]], EdLevel[EducationLevelID], EdLevel[EducationLevel])</f>
        <v xml:space="preserve">High School </v>
      </c>
      <c r="AA50">
        <f>IF(Employees[[#This Row],[Attrition]] = "Yes", 1, 0)</f>
        <v>0</v>
      </c>
      <c r="AB50" t="str" cm="1">
        <f t="array" ref="AB50">_xlfn.IFS(Employees[[#This Row],[Age]]&lt;30, "20-29", Employees[[#This Row],[Age]]&lt;40, "30-39", Employees[[#This Row],[Age]]&lt;50, "40-49", "TRUE", "50+")</f>
        <v>40-49</v>
      </c>
    </row>
    <row r="51" spans="1:28">
      <c r="A51" t="s">
        <v>214</v>
      </c>
      <c r="B51" t="s">
        <v>215</v>
      </c>
      <c r="C51" t="s">
        <v>216</v>
      </c>
      <c r="D51" t="s">
        <v>26</v>
      </c>
      <c r="E51">
        <v>32</v>
      </c>
      <c r="F51" t="s">
        <v>84</v>
      </c>
      <c r="G51" t="s">
        <v>54</v>
      </c>
      <c r="H51">
        <v>13</v>
      </c>
      <c r="I51" t="s">
        <v>39</v>
      </c>
      <c r="J51" t="s">
        <v>30</v>
      </c>
      <c r="K51">
        <v>1</v>
      </c>
      <c r="L51" t="s">
        <v>55</v>
      </c>
      <c r="M51" t="s">
        <v>85</v>
      </c>
      <c r="N51" t="s">
        <v>33</v>
      </c>
      <c r="O51">
        <v>48835</v>
      </c>
      <c r="P51">
        <v>1</v>
      </c>
      <c r="Q51" t="s">
        <v>41</v>
      </c>
      <c r="R51" s="1">
        <v>40956</v>
      </c>
      <c r="S51" t="s">
        <v>41</v>
      </c>
      <c r="T51">
        <v>8</v>
      </c>
      <c r="U51">
        <v>5</v>
      </c>
      <c r="V51">
        <v>7</v>
      </c>
      <c r="W51">
        <v>0</v>
      </c>
      <c r="X51" t="s">
        <v>11020</v>
      </c>
      <c r="Y51" t="s">
        <v>11020</v>
      </c>
      <c r="Z51" t="str">
        <f>_xlfn.XLOOKUP(Employees[[#This Row],[Education]], EdLevel[EducationLevelID], EdLevel[EducationLevel])</f>
        <v>No Formal Qualifications</v>
      </c>
      <c r="AA51">
        <f>IF(Employees[[#This Row],[Attrition]] = "Yes", 1, 0)</f>
        <v>1</v>
      </c>
      <c r="AB51" t="str" cm="1">
        <f t="array" ref="AB51">_xlfn.IFS(Employees[[#This Row],[Age]]&lt;30, "20-29", Employees[[#This Row],[Age]]&lt;40, "30-39", Employees[[#This Row],[Age]]&lt;50, "40-49", "TRUE", "50+")</f>
        <v>30-39</v>
      </c>
    </row>
    <row r="52" spans="1:28">
      <c r="A52" t="s">
        <v>217</v>
      </c>
      <c r="B52" t="s">
        <v>218</v>
      </c>
      <c r="C52" t="s">
        <v>219</v>
      </c>
      <c r="D52" t="s">
        <v>38</v>
      </c>
      <c r="E52">
        <v>28</v>
      </c>
      <c r="F52" t="s">
        <v>70</v>
      </c>
      <c r="G52" t="s">
        <v>54</v>
      </c>
      <c r="H52">
        <v>44</v>
      </c>
      <c r="I52" t="s">
        <v>65</v>
      </c>
      <c r="J52" t="s">
        <v>30</v>
      </c>
      <c r="K52">
        <v>2</v>
      </c>
      <c r="L52" t="s">
        <v>55</v>
      </c>
      <c r="M52" t="s">
        <v>105</v>
      </c>
      <c r="N52" t="s">
        <v>49</v>
      </c>
      <c r="O52">
        <v>218406</v>
      </c>
      <c r="P52">
        <v>1</v>
      </c>
      <c r="Q52" t="s">
        <v>34</v>
      </c>
      <c r="R52" s="1">
        <v>40956</v>
      </c>
      <c r="S52" t="s">
        <v>34</v>
      </c>
      <c r="T52">
        <v>10</v>
      </c>
      <c r="U52">
        <v>10</v>
      </c>
      <c r="V52">
        <v>10</v>
      </c>
      <c r="W52">
        <v>10</v>
      </c>
      <c r="X52" t="s">
        <v>11021</v>
      </c>
      <c r="Y52" t="s">
        <v>11021</v>
      </c>
      <c r="Z52" t="str">
        <f>_xlfn.XLOOKUP(Employees[[#This Row],[Education]], EdLevel[EducationLevelID], EdLevel[EducationLevel])</f>
        <v xml:space="preserve">High School </v>
      </c>
      <c r="AA52">
        <f>IF(Employees[[#This Row],[Attrition]] = "Yes", 1, 0)</f>
        <v>0</v>
      </c>
      <c r="AB52" t="str" cm="1">
        <f t="array" ref="AB52">_xlfn.IFS(Employees[[#This Row],[Age]]&lt;30, "20-29", Employees[[#This Row],[Age]]&lt;40, "30-39", Employees[[#This Row],[Age]]&lt;50, "40-49", "TRUE", "50+")</f>
        <v>20-29</v>
      </c>
    </row>
    <row r="53" spans="1:28">
      <c r="A53" t="s">
        <v>220</v>
      </c>
      <c r="B53" t="s">
        <v>221</v>
      </c>
      <c r="C53" t="s">
        <v>222</v>
      </c>
      <c r="D53" t="s">
        <v>26</v>
      </c>
      <c r="E53">
        <v>40</v>
      </c>
      <c r="F53" t="s">
        <v>84</v>
      </c>
      <c r="G53" t="s">
        <v>54</v>
      </c>
      <c r="H53">
        <v>27</v>
      </c>
      <c r="I53" t="s">
        <v>65</v>
      </c>
      <c r="J53" t="s">
        <v>71</v>
      </c>
      <c r="K53">
        <v>4</v>
      </c>
      <c r="L53" t="s">
        <v>55</v>
      </c>
      <c r="M53" t="s">
        <v>101</v>
      </c>
      <c r="N53" t="s">
        <v>33</v>
      </c>
      <c r="O53">
        <v>42333</v>
      </c>
      <c r="P53">
        <v>1</v>
      </c>
      <c r="Q53" t="s">
        <v>34</v>
      </c>
      <c r="R53" s="1">
        <v>40958</v>
      </c>
      <c r="S53" t="s">
        <v>34</v>
      </c>
      <c r="T53">
        <v>10</v>
      </c>
      <c r="U53">
        <v>4</v>
      </c>
      <c r="V53">
        <v>5</v>
      </c>
      <c r="W53">
        <v>5</v>
      </c>
      <c r="X53" t="s">
        <v>11023</v>
      </c>
      <c r="Y53" t="s">
        <v>11023</v>
      </c>
      <c r="Z53" t="str">
        <f>_xlfn.XLOOKUP(Employees[[#This Row],[Education]], EdLevel[EducationLevelID], EdLevel[EducationLevel])</f>
        <v xml:space="preserve">Masters </v>
      </c>
      <c r="AA53">
        <f>IF(Employees[[#This Row],[Attrition]] = "Yes", 1, 0)</f>
        <v>0</v>
      </c>
      <c r="AB53" t="str" cm="1">
        <f t="array" ref="AB53">_xlfn.IFS(Employees[[#This Row],[Age]]&lt;30, "20-29", Employees[[#This Row],[Age]]&lt;40, "30-39", Employees[[#This Row],[Age]]&lt;50, "40-49", "TRUE", "50+")</f>
        <v>40-49</v>
      </c>
    </row>
    <row r="54" spans="1:28">
      <c r="A54" t="s">
        <v>223</v>
      </c>
      <c r="B54" t="s">
        <v>224</v>
      </c>
      <c r="C54" t="s">
        <v>225</v>
      </c>
      <c r="D54" t="s">
        <v>38</v>
      </c>
      <c r="E54">
        <v>39</v>
      </c>
      <c r="F54" t="s">
        <v>27</v>
      </c>
      <c r="G54" t="s">
        <v>28</v>
      </c>
      <c r="H54">
        <v>38</v>
      </c>
      <c r="I54" t="s">
        <v>39</v>
      </c>
      <c r="J54" t="s">
        <v>66</v>
      </c>
      <c r="K54">
        <v>2</v>
      </c>
      <c r="L54" t="s">
        <v>60</v>
      </c>
      <c r="M54" t="s">
        <v>97</v>
      </c>
      <c r="N54" t="s">
        <v>49</v>
      </c>
      <c r="O54">
        <v>300299</v>
      </c>
      <c r="P54">
        <v>1</v>
      </c>
      <c r="Q54" t="s">
        <v>41</v>
      </c>
      <c r="R54" s="1">
        <v>40958</v>
      </c>
      <c r="S54" t="s">
        <v>34</v>
      </c>
      <c r="T54">
        <v>10</v>
      </c>
      <c r="U54">
        <v>7</v>
      </c>
      <c r="V54">
        <v>7</v>
      </c>
      <c r="W54">
        <v>10</v>
      </c>
      <c r="X54" t="s">
        <v>11021</v>
      </c>
      <c r="Y54" t="s">
        <v>11021</v>
      </c>
      <c r="Z54" t="str">
        <f>_xlfn.XLOOKUP(Employees[[#This Row],[Education]], EdLevel[EducationLevelID], EdLevel[EducationLevel])</f>
        <v xml:space="preserve">High School </v>
      </c>
      <c r="AA54">
        <f>IF(Employees[[#This Row],[Attrition]] = "Yes", 1, 0)</f>
        <v>0</v>
      </c>
      <c r="AB54" t="str" cm="1">
        <f t="array" ref="AB54">_xlfn.IFS(Employees[[#This Row],[Age]]&lt;30, "20-29", Employees[[#This Row],[Age]]&lt;40, "30-39", Employees[[#This Row],[Age]]&lt;50, "40-49", "TRUE", "50+")</f>
        <v>30-39</v>
      </c>
    </row>
    <row r="55" spans="1:28">
      <c r="A55" t="s">
        <v>226</v>
      </c>
      <c r="B55" t="s">
        <v>227</v>
      </c>
      <c r="C55" t="s">
        <v>228</v>
      </c>
      <c r="D55" t="s">
        <v>26</v>
      </c>
      <c r="E55">
        <v>34</v>
      </c>
      <c r="F55" t="s">
        <v>84</v>
      </c>
      <c r="G55" t="s">
        <v>28</v>
      </c>
      <c r="H55">
        <v>15</v>
      </c>
      <c r="I55" t="s">
        <v>39</v>
      </c>
      <c r="J55" t="s">
        <v>30</v>
      </c>
      <c r="K55">
        <v>2</v>
      </c>
      <c r="L55" t="s">
        <v>47</v>
      </c>
      <c r="M55" t="s">
        <v>32</v>
      </c>
      <c r="N55" t="s">
        <v>40</v>
      </c>
      <c r="O55">
        <v>173246</v>
      </c>
      <c r="P55">
        <v>0</v>
      </c>
      <c r="Q55" t="s">
        <v>41</v>
      </c>
      <c r="R55" s="1">
        <v>40959</v>
      </c>
      <c r="S55" t="s">
        <v>41</v>
      </c>
      <c r="T55">
        <v>9</v>
      </c>
      <c r="U55">
        <v>4</v>
      </c>
      <c r="V55">
        <v>7</v>
      </c>
      <c r="W55">
        <v>7</v>
      </c>
      <c r="X55" t="s">
        <v>11021</v>
      </c>
      <c r="Y55" t="s">
        <v>11021</v>
      </c>
      <c r="Z55" t="str">
        <f>_xlfn.XLOOKUP(Employees[[#This Row],[Education]], EdLevel[EducationLevelID], EdLevel[EducationLevel])</f>
        <v xml:space="preserve">High School </v>
      </c>
      <c r="AA55">
        <f>IF(Employees[[#This Row],[Attrition]] = "Yes", 1, 0)</f>
        <v>1</v>
      </c>
      <c r="AB55" t="str" cm="1">
        <f t="array" ref="AB55">_xlfn.IFS(Employees[[#This Row],[Age]]&lt;30, "20-29", Employees[[#This Row],[Age]]&lt;40, "30-39", Employees[[#This Row],[Age]]&lt;50, "40-49", "TRUE", "50+")</f>
        <v>30-39</v>
      </c>
    </row>
    <row r="56" spans="1:28">
      <c r="A56" t="s">
        <v>229</v>
      </c>
      <c r="B56" t="s">
        <v>230</v>
      </c>
      <c r="C56" t="s">
        <v>231</v>
      </c>
      <c r="D56" t="s">
        <v>26</v>
      </c>
      <c r="E56">
        <v>35</v>
      </c>
      <c r="F56" t="s">
        <v>27</v>
      </c>
      <c r="G56" t="s">
        <v>45</v>
      </c>
      <c r="H56">
        <v>22</v>
      </c>
      <c r="I56" t="s">
        <v>39</v>
      </c>
      <c r="J56" t="s">
        <v>66</v>
      </c>
      <c r="K56">
        <v>1</v>
      </c>
      <c r="L56" t="s">
        <v>121</v>
      </c>
      <c r="M56" t="s">
        <v>61</v>
      </c>
      <c r="N56" t="s">
        <v>49</v>
      </c>
      <c r="O56">
        <v>67264</v>
      </c>
      <c r="P56">
        <v>0</v>
      </c>
      <c r="Q56" t="s">
        <v>34</v>
      </c>
      <c r="R56" s="1">
        <v>40961</v>
      </c>
      <c r="S56" t="s">
        <v>34</v>
      </c>
      <c r="T56">
        <v>10</v>
      </c>
      <c r="U56">
        <v>8</v>
      </c>
      <c r="V56">
        <v>8</v>
      </c>
      <c r="W56">
        <v>2</v>
      </c>
      <c r="X56" t="s">
        <v>11020</v>
      </c>
      <c r="Y56" t="s">
        <v>11020</v>
      </c>
      <c r="Z56" t="str">
        <f>_xlfn.XLOOKUP(Employees[[#This Row],[Education]], EdLevel[EducationLevelID], EdLevel[EducationLevel])</f>
        <v>No Formal Qualifications</v>
      </c>
      <c r="AA56">
        <f>IF(Employees[[#This Row],[Attrition]] = "Yes", 1, 0)</f>
        <v>0</v>
      </c>
      <c r="AB56" t="str" cm="1">
        <f t="array" ref="AB56">_xlfn.IFS(Employees[[#This Row],[Age]]&lt;30, "20-29", Employees[[#This Row],[Age]]&lt;40, "30-39", Employees[[#This Row],[Age]]&lt;50, "40-49", "TRUE", "50+")</f>
        <v>30-39</v>
      </c>
    </row>
    <row r="57" spans="1:28">
      <c r="A57" t="s">
        <v>232</v>
      </c>
      <c r="B57" t="s">
        <v>233</v>
      </c>
      <c r="C57" t="s">
        <v>234</v>
      </c>
      <c r="D57" t="s">
        <v>38</v>
      </c>
      <c r="E57">
        <v>29</v>
      </c>
      <c r="F57" t="s">
        <v>84</v>
      </c>
      <c r="G57" t="s">
        <v>54</v>
      </c>
      <c r="H57">
        <v>14</v>
      </c>
      <c r="I57" t="s">
        <v>29</v>
      </c>
      <c r="J57" t="s">
        <v>46</v>
      </c>
      <c r="K57">
        <v>3</v>
      </c>
      <c r="L57" t="s">
        <v>55</v>
      </c>
      <c r="M57" t="s">
        <v>105</v>
      </c>
      <c r="N57" t="s">
        <v>49</v>
      </c>
      <c r="O57">
        <v>93591</v>
      </c>
      <c r="P57">
        <v>1</v>
      </c>
      <c r="Q57" t="s">
        <v>34</v>
      </c>
      <c r="R57" s="1">
        <v>40961</v>
      </c>
      <c r="S57" t="s">
        <v>34</v>
      </c>
      <c r="T57">
        <v>10</v>
      </c>
      <c r="U57">
        <v>4</v>
      </c>
      <c r="V57">
        <v>10</v>
      </c>
      <c r="W57">
        <v>3</v>
      </c>
      <c r="X57" t="s">
        <v>11022</v>
      </c>
      <c r="Y57" t="s">
        <v>11022</v>
      </c>
      <c r="Z57" t="str">
        <f>_xlfn.XLOOKUP(Employees[[#This Row],[Education]], EdLevel[EducationLevelID], EdLevel[EducationLevel])</f>
        <v xml:space="preserve">Bachelors </v>
      </c>
      <c r="AA57">
        <f>IF(Employees[[#This Row],[Attrition]] = "Yes", 1, 0)</f>
        <v>0</v>
      </c>
      <c r="AB57" t="str" cm="1">
        <f t="array" ref="AB57">_xlfn.IFS(Employees[[#This Row],[Age]]&lt;30, "20-29", Employees[[#This Row],[Age]]&lt;40, "30-39", Employees[[#This Row],[Age]]&lt;50, "40-49", "TRUE", "50+")</f>
        <v>20-29</v>
      </c>
    </row>
    <row r="58" spans="1:28">
      <c r="A58" t="s">
        <v>235</v>
      </c>
      <c r="B58" t="s">
        <v>236</v>
      </c>
      <c r="C58" t="s">
        <v>237</v>
      </c>
      <c r="D58" t="s">
        <v>26</v>
      </c>
      <c r="E58">
        <v>37</v>
      </c>
      <c r="F58" t="s">
        <v>70</v>
      </c>
      <c r="G58" t="s">
        <v>54</v>
      </c>
      <c r="H58">
        <v>16</v>
      </c>
      <c r="I58" t="s">
        <v>65</v>
      </c>
      <c r="J58" t="s">
        <v>66</v>
      </c>
      <c r="K58">
        <v>3</v>
      </c>
      <c r="L58" t="s">
        <v>72</v>
      </c>
      <c r="M58" t="s">
        <v>85</v>
      </c>
      <c r="N58" t="s">
        <v>33</v>
      </c>
      <c r="O58">
        <v>82099</v>
      </c>
      <c r="P58">
        <v>2</v>
      </c>
      <c r="Q58" t="s">
        <v>34</v>
      </c>
      <c r="R58" s="1">
        <v>40962</v>
      </c>
      <c r="S58" t="s">
        <v>34</v>
      </c>
      <c r="T58">
        <v>10</v>
      </c>
      <c r="U58">
        <v>1</v>
      </c>
      <c r="V58">
        <v>7</v>
      </c>
      <c r="W58">
        <v>6</v>
      </c>
      <c r="X58" t="s">
        <v>11022</v>
      </c>
      <c r="Y58" t="s">
        <v>11022</v>
      </c>
      <c r="Z58" t="str">
        <f>_xlfn.XLOOKUP(Employees[[#This Row],[Education]], EdLevel[EducationLevelID], EdLevel[EducationLevel])</f>
        <v xml:space="preserve">Bachelors </v>
      </c>
      <c r="AA58">
        <f>IF(Employees[[#This Row],[Attrition]] = "Yes", 1, 0)</f>
        <v>0</v>
      </c>
      <c r="AB58" t="str" cm="1">
        <f t="array" ref="AB58">_xlfn.IFS(Employees[[#This Row],[Age]]&lt;30, "20-29", Employees[[#This Row],[Age]]&lt;40, "30-39", Employees[[#This Row],[Age]]&lt;50, "40-49", "TRUE", "50+")</f>
        <v>30-39</v>
      </c>
    </row>
    <row r="59" spans="1:28">
      <c r="A59" t="s">
        <v>238</v>
      </c>
      <c r="B59" t="s">
        <v>239</v>
      </c>
      <c r="C59" t="s">
        <v>240</v>
      </c>
      <c r="D59" t="s">
        <v>26</v>
      </c>
      <c r="E59">
        <v>38</v>
      </c>
      <c r="F59" t="s">
        <v>27</v>
      </c>
      <c r="G59" t="s">
        <v>54</v>
      </c>
      <c r="H59">
        <v>39</v>
      </c>
      <c r="I59" t="s">
        <v>29</v>
      </c>
      <c r="J59" t="s">
        <v>30</v>
      </c>
      <c r="K59">
        <v>4</v>
      </c>
      <c r="L59" t="s">
        <v>72</v>
      </c>
      <c r="M59" t="s">
        <v>85</v>
      </c>
      <c r="N59" t="s">
        <v>49</v>
      </c>
      <c r="O59">
        <v>83590</v>
      </c>
      <c r="P59">
        <v>1</v>
      </c>
      <c r="Q59" t="s">
        <v>34</v>
      </c>
      <c r="R59" s="1">
        <v>40962</v>
      </c>
      <c r="S59" t="s">
        <v>34</v>
      </c>
      <c r="T59">
        <v>10</v>
      </c>
      <c r="U59">
        <v>2</v>
      </c>
      <c r="V59">
        <v>3</v>
      </c>
      <c r="W59">
        <v>9</v>
      </c>
      <c r="X59" t="s">
        <v>11023</v>
      </c>
      <c r="Y59" t="s">
        <v>11023</v>
      </c>
      <c r="Z59" t="str">
        <f>_xlfn.XLOOKUP(Employees[[#This Row],[Education]], EdLevel[EducationLevelID], EdLevel[EducationLevel])</f>
        <v xml:space="preserve">Masters </v>
      </c>
      <c r="AA59">
        <f>IF(Employees[[#This Row],[Attrition]] = "Yes", 1, 0)</f>
        <v>0</v>
      </c>
      <c r="AB59" t="str" cm="1">
        <f t="array" ref="AB59">_xlfn.IFS(Employees[[#This Row],[Age]]&lt;30, "20-29", Employees[[#This Row],[Age]]&lt;40, "30-39", Employees[[#This Row],[Age]]&lt;50, "40-49", "TRUE", "50+")</f>
        <v>30-39</v>
      </c>
    </row>
    <row r="60" spans="1:28">
      <c r="A60" t="s">
        <v>241</v>
      </c>
      <c r="B60" t="s">
        <v>242</v>
      </c>
      <c r="C60" t="s">
        <v>243</v>
      </c>
      <c r="D60" t="s">
        <v>26</v>
      </c>
      <c r="E60">
        <v>29</v>
      </c>
      <c r="F60" t="s">
        <v>27</v>
      </c>
      <c r="G60" t="s">
        <v>28</v>
      </c>
      <c r="H60">
        <v>19</v>
      </c>
      <c r="I60" t="s">
        <v>65</v>
      </c>
      <c r="J60" t="s">
        <v>30</v>
      </c>
      <c r="K60">
        <v>2</v>
      </c>
      <c r="L60" t="s">
        <v>47</v>
      </c>
      <c r="M60" t="s">
        <v>32</v>
      </c>
      <c r="N60" t="s">
        <v>40</v>
      </c>
      <c r="O60">
        <v>122811</v>
      </c>
      <c r="P60">
        <v>0</v>
      </c>
      <c r="Q60" t="s">
        <v>41</v>
      </c>
      <c r="R60" s="1">
        <v>40966</v>
      </c>
      <c r="S60" t="s">
        <v>41</v>
      </c>
      <c r="T60">
        <v>2</v>
      </c>
      <c r="U60">
        <v>1</v>
      </c>
      <c r="V60">
        <v>1</v>
      </c>
      <c r="W60">
        <v>1</v>
      </c>
      <c r="X60" t="s">
        <v>11021</v>
      </c>
      <c r="Y60" t="s">
        <v>11021</v>
      </c>
      <c r="Z60" t="str">
        <f>_xlfn.XLOOKUP(Employees[[#This Row],[Education]], EdLevel[EducationLevelID], EdLevel[EducationLevel])</f>
        <v xml:space="preserve">High School </v>
      </c>
      <c r="AA60">
        <f>IF(Employees[[#This Row],[Attrition]] = "Yes", 1, 0)</f>
        <v>1</v>
      </c>
      <c r="AB60" t="str" cm="1">
        <f t="array" ref="AB60">_xlfn.IFS(Employees[[#This Row],[Age]]&lt;30, "20-29", Employees[[#This Row],[Age]]&lt;40, "30-39", Employees[[#This Row],[Age]]&lt;50, "40-49", "TRUE", "50+")</f>
        <v>20-29</v>
      </c>
    </row>
    <row r="61" spans="1:28">
      <c r="A61" t="s">
        <v>244</v>
      </c>
      <c r="B61" t="s">
        <v>245</v>
      </c>
      <c r="C61" t="s">
        <v>246</v>
      </c>
      <c r="D61" t="s">
        <v>38</v>
      </c>
      <c r="E61">
        <v>40</v>
      </c>
      <c r="F61" t="s">
        <v>27</v>
      </c>
      <c r="G61" t="s">
        <v>54</v>
      </c>
      <c r="H61">
        <v>9</v>
      </c>
      <c r="I61" t="s">
        <v>65</v>
      </c>
      <c r="J61" t="s">
        <v>71</v>
      </c>
      <c r="K61">
        <v>1</v>
      </c>
      <c r="L61" t="s">
        <v>55</v>
      </c>
      <c r="M61" t="s">
        <v>101</v>
      </c>
      <c r="N61" t="s">
        <v>40</v>
      </c>
      <c r="O61">
        <v>58551</v>
      </c>
      <c r="P61">
        <v>0</v>
      </c>
      <c r="Q61" t="s">
        <v>34</v>
      </c>
      <c r="R61" s="1">
        <v>40966</v>
      </c>
      <c r="S61" t="s">
        <v>34</v>
      </c>
      <c r="T61">
        <v>10</v>
      </c>
      <c r="U61">
        <v>6</v>
      </c>
      <c r="V61">
        <v>7</v>
      </c>
      <c r="W61">
        <v>3</v>
      </c>
      <c r="X61" t="s">
        <v>11020</v>
      </c>
      <c r="Y61" t="s">
        <v>11020</v>
      </c>
      <c r="Z61" t="str">
        <f>_xlfn.XLOOKUP(Employees[[#This Row],[Education]], EdLevel[EducationLevelID], EdLevel[EducationLevel])</f>
        <v>No Formal Qualifications</v>
      </c>
      <c r="AA61">
        <f>IF(Employees[[#This Row],[Attrition]] = "Yes", 1, 0)</f>
        <v>0</v>
      </c>
      <c r="AB61" t="str" cm="1">
        <f t="array" ref="AB61">_xlfn.IFS(Employees[[#This Row],[Age]]&lt;30, "20-29", Employees[[#This Row],[Age]]&lt;40, "30-39", Employees[[#This Row],[Age]]&lt;50, "40-49", "TRUE", "50+")</f>
        <v>40-49</v>
      </c>
    </row>
    <row r="62" spans="1:28">
      <c r="A62" t="s">
        <v>247</v>
      </c>
      <c r="B62" t="s">
        <v>248</v>
      </c>
      <c r="C62" t="s">
        <v>249</v>
      </c>
      <c r="D62" t="s">
        <v>26</v>
      </c>
      <c r="E62">
        <v>44</v>
      </c>
      <c r="F62" t="s">
        <v>27</v>
      </c>
      <c r="G62" t="s">
        <v>54</v>
      </c>
      <c r="H62">
        <v>28</v>
      </c>
      <c r="I62" t="s">
        <v>39</v>
      </c>
      <c r="J62" t="s">
        <v>71</v>
      </c>
      <c r="K62">
        <v>3</v>
      </c>
      <c r="L62" t="s">
        <v>72</v>
      </c>
      <c r="M62" t="s">
        <v>101</v>
      </c>
      <c r="N62" t="s">
        <v>49</v>
      </c>
      <c r="O62">
        <v>53325</v>
      </c>
      <c r="P62">
        <v>1</v>
      </c>
      <c r="Q62" t="s">
        <v>41</v>
      </c>
      <c r="R62" s="1">
        <v>40967</v>
      </c>
      <c r="S62" t="s">
        <v>34</v>
      </c>
      <c r="T62">
        <v>10</v>
      </c>
      <c r="U62">
        <v>4</v>
      </c>
      <c r="V62">
        <v>8</v>
      </c>
      <c r="W62">
        <v>4</v>
      </c>
      <c r="X62" t="s">
        <v>11022</v>
      </c>
      <c r="Y62" t="s">
        <v>11022</v>
      </c>
      <c r="Z62" t="str">
        <f>_xlfn.XLOOKUP(Employees[[#This Row],[Education]], EdLevel[EducationLevelID], EdLevel[EducationLevel])</f>
        <v xml:space="preserve">Bachelors </v>
      </c>
      <c r="AA62">
        <f>IF(Employees[[#This Row],[Attrition]] = "Yes", 1, 0)</f>
        <v>0</v>
      </c>
      <c r="AB62" t="str" cm="1">
        <f t="array" ref="AB62">_xlfn.IFS(Employees[[#This Row],[Age]]&lt;30, "20-29", Employees[[#This Row],[Age]]&lt;40, "30-39", Employees[[#This Row],[Age]]&lt;50, "40-49", "TRUE", "50+")</f>
        <v>40-49</v>
      </c>
    </row>
    <row r="63" spans="1:28">
      <c r="A63" t="s">
        <v>250</v>
      </c>
      <c r="B63" t="s">
        <v>251</v>
      </c>
      <c r="C63" t="s">
        <v>252</v>
      </c>
      <c r="D63" t="s">
        <v>38</v>
      </c>
      <c r="E63">
        <v>45</v>
      </c>
      <c r="F63" t="s">
        <v>27</v>
      </c>
      <c r="G63" t="s">
        <v>28</v>
      </c>
      <c r="H63">
        <v>19</v>
      </c>
      <c r="I63" t="s">
        <v>29</v>
      </c>
      <c r="J63" t="s">
        <v>30</v>
      </c>
      <c r="K63">
        <v>4</v>
      </c>
      <c r="L63" t="s">
        <v>47</v>
      </c>
      <c r="M63" t="s">
        <v>150</v>
      </c>
      <c r="N63" t="s">
        <v>49</v>
      </c>
      <c r="O63">
        <v>47326</v>
      </c>
      <c r="P63">
        <v>1</v>
      </c>
      <c r="Q63" t="s">
        <v>34</v>
      </c>
      <c r="R63" s="1">
        <v>40968</v>
      </c>
      <c r="S63" t="s">
        <v>34</v>
      </c>
      <c r="T63">
        <v>10</v>
      </c>
      <c r="U63">
        <v>10</v>
      </c>
      <c r="V63">
        <v>10</v>
      </c>
      <c r="W63">
        <v>10</v>
      </c>
      <c r="X63" t="s">
        <v>11023</v>
      </c>
      <c r="Y63" t="s">
        <v>11023</v>
      </c>
      <c r="Z63" t="str">
        <f>_xlfn.XLOOKUP(Employees[[#This Row],[Education]], EdLevel[EducationLevelID], EdLevel[EducationLevel])</f>
        <v xml:space="preserve">Masters </v>
      </c>
      <c r="AA63">
        <f>IF(Employees[[#This Row],[Attrition]] = "Yes", 1, 0)</f>
        <v>0</v>
      </c>
      <c r="AB63" t="str" cm="1">
        <f t="array" ref="AB63">_xlfn.IFS(Employees[[#This Row],[Age]]&lt;30, "20-29", Employees[[#This Row],[Age]]&lt;40, "30-39", Employees[[#This Row],[Age]]&lt;50, "40-49", "TRUE", "50+")</f>
        <v>40-49</v>
      </c>
    </row>
    <row r="64" spans="1:28">
      <c r="A64" t="s">
        <v>253</v>
      </c>
      <c r="B64" t="s">
        <v>254</v>
      </c>
      <c r="C64" t="s">
        <v>255</v>
      </c>
      <c r="D64" t="s">
        <v>26</v>
      </c>
      <c r="E64">
        <v>41</v>
      </c>
      <c r="F64" t="s">
        <v>27</v>
      </c>
      <c r="G64" t="s">
        <v>28</v>
      </c>
      <c r="H64">
        <v>16</v>
      </c>
      <c r="I64" t="s">
        <v>39</v>
      </c>
      <c r="J64" t="s">
        <v>30</v>
      </c>
      <c r="K64">
        <v>1</v>
      </c>
      <c r="L64" t="s">
        <v>47</v>
      </c>
      <c r="M64" t="s">
        <v>150</v>
      </c>
      <c r="N64" t="s">
        <v>49</v>
      </c>
      <c r="O64">
        <v>48147</v>
      </c>
      <c r="P64">
        <v>1</v>
      </c>
      <c r="Q64" t="s">
        <v>34</v>
      </c>
      <c r="R64" s="1">
        <v>40969</v>
      </c>
      <c r="S64" t="s">
        <v>34</v>
      </c>
      <c r="T64">
        <v>10</v>
      </c>
      <c r="U64">
        <v>8</v>
      </c>
      <c r="V64">
        <v>10</v>
      </c>
      <c r="W64">
        <v>5</v>
      </c>
      <c r="X64" t="s">
        <v>11020</v>
      </c>
      <c r="Y64" t="s">
        <v>11020</v>
      </c>
      <c r="Z64" t="str">
        <f>_xlfn.XLOOKUP(Employees[[#This Row],[Education]], EdLevel[EducationLevelID], EdLevel[EducationLevel])</f>
        <v>No Formal Qualifications</v>
      </c>
      <c r="AA64">
        <f>IF(Employees[[#This Row],[Attrition]] = "Yes", 1, 0)</f>
        <v>0</v>
      </c>
      <c r="AB64" t="str" cm="1">
        <f t="array" ref="AB64">_xlfn.IFS(Employees[[#This Row],[Age]]&lt;30, "20-29", Employees[[#This Row],[Age]]&lt;40, "30-39", Employees[[#This Row],[Age]]&lt;50, "40-49", "TRUE", "50+")</f>
        <v>40-49</v>
      </c>
    </row>
    <row r="65" spans="1:28">
      <c r="A65" t="s">
        <v>256</v>
      </c>
      <c r="B65" t="s">
        <v>257</v>
      </c>
      <c r="C65" t="s">
        <v>258</v>
      </c>
      <c r="D65" t="s">
        <v>38</v>
      </c>
      <c r="E65">
        <v>42</v>
      </c>
      <c r="F65" t="s">
        <v>27</v>
      </c>
      <c r="G65" t="s">
        <v>45</v>
      </c>
      <c r="H65">
        <v>4</v>
      </c>
      <c r="I65" t="s">
        <v>29</v>
      </c>
      <c r="J65" t="s">
        <v>71</v>
      </c>
      <c r="K65">
        <v>3</v>
      </c>
      <c r="L65" t="s">
        <v>45</v>
      </c>
      <c r="M65" t="s">
        <v>259</v>
      </c>
      <c r="N65" t="s">
        <v>49</v>
      </c>
      <c r="O65">
        <v>463051</v>
      </c>
      <c r="P65">
        <v>1</v>
      </c>
      <c r="Q65" t="s">
        <v>34</v>
      </c>
      <c r="R65" s="1">
        <v>40969</v>
      </c>
      <c r="S65" t="s">
        <v>34</v>
      </c>
      <c r="T65">
        <v>10</v>
      </c>
      <c r="U65">
        <v>0</v>
      </c>
      <c r="V65">
        <v>10</v>
      </c>
      <c r="W65">
        <v>7</v>
      </c>
      <c r="X65" t="s">
        <v>11022</v>
      </c>
      <c r="Y65" t="s">
        <v>11022</v>
      </c>
      <c r="Z65" t="str">
        <f>_xlfn.XLOOKUP(Employees[[#This Row],[Education]], EdLevel[EducationLevelID], EdLevel[EducationLevel])</f>
        <v xml:space="preserve">Bachelors </v>
      </c>
      <c r="AA65">
        <f>IF(Employees[[#This Row],[Attrition]] = "Yes", 1, 0)</f>
        <v>0</v>
      </c>
      <c r="AB65" t="str" cm="1">
        <f t="array" ref="AB65">_xlfn.IFS(Employees[[#This Row],[Age]]&lt;30, "20-29", Employees[[#This Row],[Age]]&lt;40, "30-39", Employees[[#This Row],[Age]]&lt;50, "40-49", "TRUE", "50+")</f>
        <v>40-49</v>
      </c>
    </row>
    <row r="66" spans="1:28">
      <c r="A66" t="s">
        <v>260</v>
      </c>
      <c r="B66" t="s">
        <v>261</v>
      </c>
      <c r="C66" t="s">
        <v>262</v>
      </c>
      <c r="D66" t="s">
        <v>26</v>
      </c>
      <c r="E66">
        <v>36</v>
      </c>
      <c r="F66" t="s">
        <v>27</v>
      </c>
      <c r="G66" t="s">
        <v>54</v>
      </c>
      <c r="H66">
        <v>32</v>
      </c>
      <c r="I66" t="s">
        <v>39</v>
      </c>
      <c r="J66" t="s">
        <v>46</v>
      </c>
      <c r="K66">
        <v>3</v>
      </c>
      <c r="L66" t="s">
        <v>55</v>
      </c>
      <c r="M66" t="s">
        <v>105</v>
      </c>
      <c r="N66" t="s">
        <v>49</v>
      </c>
      <c r="O66">
        <v>111294</v>
      </c>
      <c r="P66">
        <v>1</v>
      </c>
      <c r="Q66" t="s">
        <v>34</v>
      </c>
      <c r="R66" s="1">
        <v>40970</v>
      </c>
      <c r="S66" t="s">
        <v>34</v>
      </c>
      <c r="T66">
        <v>10</v>
      </c>
      <c r="U66">
        <v>8</v>
      </c>
      <c r="V66">
        <v>8</v>
      </c>
      <c r="W66">
        <v>10</v>
      </c>
      <c r="X66" t="s">
        <v>11022</v>
      </c>
      <c r="Y66" t="s">
        <v>11022</v>
      </c>
      <c r="Z66" t="str">
        <f>_xlfn.XLOOKUP(Employees[[#This Row],[Education]], EdLevel[EducationLevelID], EdLevel[EducationLevel])</f>
        <v xml:space="preserve">Bachelors </v>
      </c>
      <c r="AA66">
        <f>IF(Employees[[#This Row],[Attrition]] = "Yes", 1, 0)</f>
        <v>0</v>
      </c>
      <c r="AB66" t="str" cm="1">
        <f t="array" ref="AB66">_xlfn.IFS(Employees[[#This Row],[Age]]&lt;30, "20-29", Employees[[#This Row],[Age]]&lt;40, "30-39", Employees[[#This Row],[Age]]&lt;50, "40-49", "TRUE", "50+")</f>
        <v>30-39</v>
      </c>
    </row>
    <row r="67" spans="1:28">
      <c r="A67" t="s">
        <v>263</v>
      </c>
      <c r="B67" t="s">
        <v>264</v>
      </c>
      <c r="C67" t="s">
        <v>265</v>
      </c>
      <c r="D67" t="s">
        <v>53</v>
      </c>
      <c r="E67">
        <v>35</v>
      </c>
      <c r="F67" t="s">
        <v>70</v>
      </c>
      <c r="G67" t="s">
        <v>54</v>
      </c>
      <c r="H67">
        <v>27</v>
      </c>
      <c r="I67" t="s">
        <v>39</v>
      </c>
      <c r="J67" t="s">
        <v>46</v>
      </c>
      <c r="K67">
        <v>3</v>
      </c>
      <c r="L67" t="s">
        <v>55</v>
      </c>
      <c r="M67" t="s">
        <v>182</v>
      </c>
      <c r="N67" t="s">
        <v>40</v>
      </c>
      <c r="O67">
        <v>542695</v>
      </c>
      <c r="P67">
        <v>0</v>
      </c>
      <c r="Q67" t="s">
        <v>34</v>
      </c>
      <c r="R67" s="1">
        <v>40970</v>
      </c>
      <c r="S67" t="s">
        <v>34</v>
      </c>
      <c r="T67">
        <v>10</v>
      </c>
      <c r="U67">
        <v>5</v>
      </c>
      <c r="V67">
        <v>5</v>
      </c>
      <c r="W67">
        <v>1</v>
      </c>
      <c r="X67" t="s">
        <v>11022</v>
      </c>
      <c r="Y67" t="s">
        <v>11022</v>
      </c>
      <c r="Z67" t="str">
        <f>_xlfn.XLOOKUP(Employees[[#This Row],[Education]], EdLevel[EducationLevelID], EdLevel[EducationLevel])</f>
        <v xml:space="preserve">Bachelors </v>
      </c>
      <c r="AA67">
        <f>IF(Employees[[#This Row],[Attrition]] = "Yes", 1, 0)</f>
        <v>0</v>
      </c>
      <c r="AB67" t="str" cm="1">
        <f t="array" ref="AB67">_xlfn.IFS(Employees[[#This Row],[Age]]&lt;30, "20-29", Employees[[#This Row],[Age]]&lt;40, "30-39", Employees[[#This Row],[Age]]&lt;50, "40-49", "TRUE", "50+")</f>
        <v>30-39</v>
      </c>
    </row>
    <row r="68" spans="1:28">
      <c r="A68" t="s">
        <v>266</v>
      </c>
      <c r="B68" t="s">
        <v>267</v>
      </c>
      <c r="C68" t="s">
        <v>268</v>
      </c>
      <c r="D68" t="s">
        <v>26</v>
      </c>
      <c r="E68">
        <v>45</v>
      </c>
      <c r="F68" t="s">
        <v>27</v>
      </c>
      <c r="G68" t="s">
        <v>54</v>
      </c>
      <c r="H68">
        <v>2</v>
      </c>
      <c r="I68" t="s">
        <v>29</v>
      </c>
      <c r="J68" t="s">
        <v>30</v>
      </c>
      <c r="K68">
        <v>1</v>
      </c>
      <c r="L68" t="s">
        <v>72</v>
      </c>
      <c r="M68" t="s">
        <v>85</v>
      </c>
      <c r="N68" t="s">
        <v>33</v>
      </c>
      <c r="O68">
        <v>64795</v>
      </c>
      <c r="P68">
        <v>3</v>
      </c>
      <c r="Q68" t="s">
        <v>41</v>
      </c>
      <c r="R68" s="1">
        <v>40971</v>
      </c>
      <c r="S68" t="s">
        <v>34</v>
      </c>
      <c r="T68">
        <v>10</v>
      </c>
      <c r="U68">
        <v>5</v>
      </c>
      <c r="V68">
        <v>8</v>
      </c>
      <c r="W68">
        <v>10</v>
      </c>
      <c r="X68" t="s">
        <v>11020</v>
      </c>
      <c r="Y68" t="s">
        <v>11020</v>
      </c>
      <c r="Z68" t="str">
        <f>_xlfn.XLOOKUP(Employees[[#This Row],[Education]], EdLevel[EducationLevelID], EdLevel[EducationLevel])</f>
        <v>No Formal Qualifications</v>
      </c>
      <c r="AA68">
        <f>IF(Employees[[#This Row],[Attrition]] = "Yes", 1, 0)</f>
        <v>0</v>
      </c>
      <c r="AB68" t="str" cm="1">
        <f t="array" ref="AB68">_xlfn.IFS(Employees[[#This Row],[Age]]&lt;30, "20-29", Employees[[#This Row],[Age]]&lt;40, "30-39", Employees[[#This Row],[Age]]&lt;50, "40-49", "TRUE", "50+")</f>
        <v>40-49</v>
      </c>
    </row>
    <row r="69" spans="1:28">
      <c r="A69" t="s">
        <v>269</v>
      </c>
      <c r="B69" t="s">
        <v>270</v>
      </c>
      <c r="C69" t="s">
        <v>271</v>
      </c>
      <c r="D69" t="s">
        <v>26</v>
      </c>
      <c r="E69">
        <v>35</v>
      </c>
      <c r="F69" t="s">
        <v>27</v>
      </c>
      <c r="G69" t="s">
        <v>54</v>
      </c>
      <c r="H69">
        <v>36</v>
      </c>
      <c r="I69" t="s">
        <v>39</v>
      </c>
      <c r="J69" t="s">
        <v>30</v>
      </c>
      <c r="K69">
        <v>4</v>
      </c>
      <c r="L69" t="s">
        <v>55</v>
      </c>
      <c r="M69" t="s">
        <v>101</v>
      </c>
      <c r="N69" t="s">
        <v>49</v>
      </c>
      <c r="O69">
        <v>59086</v>
      </c>
      <c r="P69">
        <v>1</v>
      </c>
      <c r="Q69" t="s">
        <v>41</v>
      </c>
      <c r="R69" s="1">
        <v>40972</v>
      </c>
      <c r="S69" t="s">
        <v>34</v>
      </c>
      <c r="T69">
        <v>10</v>
      </c>
      <c r="U69">
        <v>2</v>
      </c>
      <c r="V69">
        <v>8</v>
      </c>
      <c r="W69">
        <v>4</v>
      </c>
      <c r="X69" t="s">
        <v>11023</v>
      </c>
      <c r="Y69" t="s">
        <v>11023</v>
      </c>
      <c r="Z69" t="str">
        <f>_xlfn.XLOOKUP(Employees[[#This Row],[Education]], EdLevel[EducationLevelID], EdLevel[EducationLevel])</f>
        <v xml:space="preserve">Masters </v>
      </c>
      <c r="AA69">
        <f>IF(Employees[[#This Row],[Attrition]] = "Yes", 1, 0)</f>
        <v>0</v>
      </c>
      <c r="AB69" t="str" cm="1">
        <f t="array" ref="AB69">_xlfn.IFS(Employees[[#This Row],[Age]]&lt;30, "20-29", Employees[[#This Row],[Age]]&lt;40, "30-39", Employees[[#This Row],[Age]]&lt;50, "40-49", "TRUE", "50+")</f>
        <v>30-39</v>
      </c>
    </row>
    <row r="70" spans="1:28">
      <c r="A70" t="s">
        <v>272</v>
      </c>
      <c r="B70" t="s">
        <v>273</v>
      </c>
      <c r="C70" t="s">
        <v>274</v>
      </c>
      <c r="D70" t="s">
        <v>38</v>
      </c>
      <c r="E70">
        <v>41</v>
      </c>
      <c r="F70" t="s">
        <v>27</v>
      </c>
      <c r="G70" t="s">
        <v>28</v>
      </c>
      <c r="H70">
        <v>17</v>
      </c>
      <c r="I70" t="s">
        <v>65</v>
      </c>
      <c r="J70" t="s">
        <v>30</v>
      </c>
      <c r="K70">
        <v>3</v>
      </c>
      <c r="L70" t="s">
        <v>121</v>
      </c>
      <c r="M70" t="s">
        <v>32</v>
      </c>
      <c r="N70" t="s">
        <v>49</v>
      </c>
      <c r="O70">
        <v>116966</v>
      </c>
      <c r="P70">
        <v>2</v>
      </c>
      <c r="Q70" t="s">
        <v>34</v>
      </c>
      <c r="R70" s="1">
        <v>40972</v>
      </c>
      <c r="S70" t="s">
        <v>34</v>
      </c>
      <c r="T70">
        <v>10</v>
      </c>
      <c r="U70">
        <v>4</v>
      </c>
      <c r="V70">
        <v>10</v>
      </c>
      <c r="W70">
        <v>7</v>
      </c>
      <c r="X70" t="s">
        <v>11022</v>
      </c>
      <c r="Y70" t="s">
        <v>11022</v>
      </c>
      <c r="Z70" t="str">
        <f>_xlfn.XLOOKUP(Employees[[#This Row],[Education]], EdLevel[EducationLevelID], EdLevel[EducationLevel])</f>
        <v xml:space="preserve">Bachelors </v>
      </c>
      <c r="AA70">
        <f>IF(Employees[[#This Row],[Attrition]] = "Yes", 1, 0)</f>
        <v>0</v>
      </c>
      <c r="AB70" t="str" cm="1">
        <f t="array" ref="AB70">_xlfn.IFS(Employees[[#This Row],[Age]]&lt;30, "20-29", Employees[[#This Row],[Age]]&lt;40, "30-39", Employees[[#This Row],[Age]]&lt;50, "40-49", "TRUE", "50+")</f>
        <v>40-49</v>
      </c>
    </row>
    <row r="71" spans="1:28">
      <c r="A71" t="s">
        <v>275</v>
      </c>
      <c r="B71" t="s">
        <v>276</v>
      </c>
      <c r="C71" t="s">
        <v>277</v>
      </c>
      <c r="D71" t="s">
        <v>53</v>
      </c>
      <c r="E71">
        <v>39</v>
      </c>
      <c r="F71" t="s">
        <v>84</v>
      </c>
      <c r="G71" t="s">
        <v>54</v>
      </c>
      <c r="H71">
        <v>8</v>
      </c>
      <c r="I71" t="s">
        <v>39</v>
      </c>
      <c r="J71" t="s">
        <v>46</v>
      </c>
      <c r="K71">
        <v>4</v>
      </c>
      <c r="L71" t="s">
        <v>72</v>
      </c>
      <c r="M71" t="s">
        <v>101</v>
      </c>
      <c r="N71" t="s">
        <v>40</v>
      </c>
      <c r="O71">
        <v>137427</v>
      </c>
      <c r="P71">
        <v>0</v>
      </c>
      <c r="Q71" t="s">
        <v>41</v>
      </c>
      <c r="R71" s="1">
        <v>40972</v>
      </c>
      <c r="S71" t="s">
        <v>34</v>
      </c>
      <c r="T71">
        <v>10</v>
      </c>
      <c r="U71">
        <v>9</v>
      </c>
      <c r="V71">
        <v>10</v>
      </c>
      <c r="W71">
        <v>8</v>
      </c>
      <c r="X71" t="s">
        <v>11023</v>
      </c>
      <c r="Y71" t="s">
        <v>11023</v>
      </c>
      <c r="Z71" t="str">
        <f>_xlfn.XLOOKUP(Employees[[#This Row],[Education]], EdLevel[EducationLevelID], EdLevel[EducationLevel])</f>
        <v xml:space="preserve">Masters </v>
      </c>
      <c r="AA71">
        <f>IF(Employees[[#This Row],[Attrition]] = "Yes", 1, 0)</f>
        <v>0</v>
      </c>
      <c r="AB71" t="str" cm="1">
        <f t="array" ref="AB71">_xlfn.IFS(Employees[[#This Row],[Age]]&lt;30, "20-29", Employees[[#This Row],[Age]]&lt;40, "30-39", Employees[[#This Row],[Age]]&lt;50, "40-49", "TRUE", "50+")</f>
        <v>30-39</v>
      </c>
    </row>
    <row r="72" spans="1:28">
      <c r="A72" t="s">
        <v>278</v>
      </c>
      <c r="B72" t="s">
        <v>279</v>
      </c>
      <c r="C72" t="s">
        <v>280</v>
      </c>
      <c r="D72" t="s">
        <v>26</v>
      </c>
      <c r="E72">
        <v>48</v>
      </c>
      <c r="F72" t="s">
        <v>27</v>
      </c>
      <c r="G72" t="s">
        <v>54</v>
      </c>
      <c r="H72">
        <v>25</v>
      </c>
      <c r="I72" t="s">
        <v>39</v>
      </c>
      <c r="J72" t="s">
        <v>30</v>
      </c>
      <c r="K72">
        <v>1</v>
      </c>
      <c r="L72" t="s">
        <v>55</v>
      </c>
      <c r="M72" t="s">
        <v>85</v>
      </c>
      <c r="N72" t="s">
        <v>49</v>
      </c>
      <c r="O72">
        <v>47464</v>
      </c>
      <c r="P72">
        <v>0</v>
      </c>
      <c r="Q72" t="s">
        <v>34</v>
      </c>
      <c r="R72" s="1">
        <v>40974</v>
      </c>
      <c r="S72" t="s">
        <v>34</v>
      </c>
      <c r="T72">
        <v>10</v>
      </c>
      <c r="U72">
        <v>4</v>
      </c>
      <c r="V72">
        <v>8</v>
      </c>
      <c r="W72">
        <v>10</v>
      </c>
      <c r="X72" t="s">
        <v>11020</v>
      </c>
      <c r="Y72" t="s">
        <v>11020</v>
      </c>
      <c r="Z72" t="str">
        <f>_xlfn.XLOOKUP(Employees[[#This Row],[Education]], EdLevel[EducationLevelID], EdLevel[EducationLevel])</f>
        <v>No Formal Qualifications</v>
      </c>
      <c r="AA72">
        <f>IF(Employees[[#This Row],[Attrition]] = "Yes", 1, 0)</f>
        <v>0</v>
      </c>
      <c r="AB72" t="str" cm="1">
        <f t="array" ref="AB72">_xlfn.IFS(Employees[[#This Row],[Age]]&lt;30, "20-29", Employees[[#This Row],[Age]]&lt;40, "30-39", Employees[[#This Row],[Age]]&lt;50, "40-49", "TRUE", "50+")</f>
        <v>40-49</v>
      </c>
    </row>
    <row r="73" spans="1:28">
      <c r="A73" t="s">
        <v>281</v>
      </c>
      <c r="B73" t="s">
        <v>282</v>
      </c>
      <c r="C73" t="s">
        <v>283</v>
      </c>
      <c r="D73" t="s">
        <v>38</v>
      </c>
      <c r="E73">
        <v>46</v>
      </c>
      <c r="F73" t="s">
        <v>27</v>
      </c>
      <c r="G73" t="s">
        <v>28</v>
      </c>
      <c r="H73">
        <v>20</v>
      </c>
      <c r="I73" t="s">
        <v>39</v>
      </c>
      <c r="J73" t="s">
        <v>71</v>
      </c>
      <c r="K73">
        <v>2</v>
      </c>
      <c r="L73" t="s">
        <v>60</v>
      </c>
      <c r="M73" t="s">
        <v>32</v>
      </c>
      <c r="N73" t="s">
        <v>49</v>
      </c>
      <c r="O73">
        <v>150731</v>
      </c>
      <c r="P73">
        <v>2</v>
      </c>
      <c r="Q73" t="s">
        <v>34</v>
      </c>
      <c r="R73" s="1">
        <v>40974</v>
      </c>
      <c r="S73" t="s">
        <v>34</v>
      </c>
      <c r="T73">
        <v>10</v>
      </c>
      <c r="U73">
        <v>8</v>
      </c>
      <c r="V73">
        <v>9</v>
      </c>
      <c r="W73">
        <v>3</v>
      </c>
      <c r="X73" t="s">
        <v>11021</v>
      </c>
      <c r="Y73" t="s">
        <v>11021</v>
      </c>
      <c r="Z73" t="str">
        <f>_xlfn.XLOOKUP(Employees[[#This Row],[Education]], EdLevel[EducationLevelID], EdLevel[EducationLevel])</f>
        <v xml:space="preserve">High School </v>
      </c>
      <c r="AA73">
        <f>IF(Employees[[#This Row],[Attrition]] = "Yes", 1, 0)</f>
        <v>0</v>
      </c>
      <c r="AB73" t="str" cm="1">
        <f t="array" ref="AB73">_xlfn.IFS(Employees[[#This Row],[Age]]&lt;30, "20-29", Employees[[#This Row],[Age]]&lt;40, "30-39", Employees[[#This Row],[Age]]&lt;50, "40-49", "TRUE", "50+")</f>
        <v>40-49</v>
      </c>
    </row>
    <row r="74" spans="1:28">
      <c r="A74" t="s">
        <v>284</v>
      </c>
      <c r="B74" t="s">
        <v>285</v>
      </c>
      <c r="C74" t="s">
        <v>286</v>
      </c>
      <c r="D74" t="s">
        <v>26</v>
      </c>
      <c r="E74">
        <v>43</v>
      </c>
      <c r="F74" t="s">
        <v>27</v>
      </c>
      <c r="G74" t="s">
        <v>54</v>
      </c>
      <c r="H74">
        <v>35</v>
      </c>
      <c r="I74" t="s">
        <v>39</v>
      </c>
      <c r="J74" t="s">
        <v>30</v>
      </c>
      <c r="K74">
        <v>3</v>
      </c>
      <c r="L74" t="s">
        <v>55</v>
      </c>
      <c r="M74" t="s">
        <v>56</v>
      </c>
      <c r="N74" t="s">
        <v>33</v>
      </c>
      <c r="O74">
        <v>436813</v>
      </c>
      <c r="P74">
        <v>2</v>
      </c>
      <c r="Q74" t="s">
        <v>34</v>
      </c>
      <c r="R74" s="1">
        <v>40975</v>
      </c>
      <c r="S74" t="s">
        <v>34</v>
      </c>
      <c r="T74">
        <v>10</v>
      </c>
      <c r="U74">
        <v>8</v>
      </c>
      <c r="V74">
        <v>9</v>
      </c>
      <c r="W74">
        <v>7</v>
      </c>
      <c r="X74" t="s">
        <v>11022</v>
      </c>
      <c r="Y74" t="s">
        <v>11022</v>
      </c>
      <c r="Z74" t="str">
        <f>_xlfn.XLOOKUP(Employees[[#This Row],[Education]], EdLevel[EducationLevelID], EdLevel[EducationLevel])</f>
        <v xml:space="preserve">Bachelors </v>
      </c>
      <c r="AA74">
        <f>IF(Employees[[#This Row],[Attrition]] = "Yes", 1, 0)</f>
        <v>0</v>
      </c>
      <c r="AB74" t="str" cm="1">
        <f t="array" ref="AB74">_xlfn.IFS(Employees[[#This Row],[Age]]&lt;30, "20-29", Employees[[#This Row],[Age]]&lt;40, "30-39", Employees[[#This Row],[Age]]&lt;50, "40-49", "TRUE", "50+")</f>
        <v>40-49</v>
      </c>
    </row>
    <row r="75" spans="1:28">
      <c r="A75" t="s">
        <v>287</v>
      </c>
      <c r="B75" t="s">
        <v>288</v>
      </c>
      <c r="C75" t="s">
        <v>289</v>
      </c>
      <c r="D75" t="s">
        <v>26</v>
      </c>
      <c r="E75">
        <v>46</v>
      </c>
      <c r="F75" t="s">
        <v>84</v>
      </c>
      <c r="G75" t="s">
        <v>28</v>
      </c>
      <c r="H75">
        <v>14</v>
      </c>
      <c r="I75" t="s">
        <v>65</v>
      </c>
      <c r="J75" t="s">
        <v>30</v>
      </c>
      <c r="K75">
        <v>1</v>
      </c>
      <c r="L75" t="s">
        <v>121</v>
      </c>
      <c r="M75" t="s">
        <v>32</v>
      </c>
      <c r="N75" t="s">
        <v>49</v>
      </c>
      <c r="O75">
        <v>205159</v>
      </c>
      <c r="P75">
        <v>1</v>
      </c>
      <c r="Q75" t="s">
        <v>34</v>
      </c>
      <c r="R75" s="1">
        <v>40975</v>
      </c>
      <c r="S75" t="s">
        <v>34</v>
      </c>
      <c r="T75">
        <v>10</v>
      </c>
      <c r="U75">
        <v>1</v>
      </c>
      <c r="V75">
        <v>9</v>
      </c>
      <c r="W75">
        <v>6</v>
      </c>
      <c r="X75" t="s">
        <v>11020</v>
      </c>
      <c r="Y75" t="s">
        <v>11020</v>
      </c>
      <c r="Z75" t="str">
        <f>_xlfn.XLOOKUP(Employees[[#This Row],[Education]], EdLevel[EducationLevelID], EdLevel[EducationLevel])</f>
        <v>No Formal Qualifications</v>
      </c>
      <c r="AA75">
        <f>IF(Employees[[#This Row],[Attrition]] = "Yes", 1, 0)</f>
        <v>0</v>
      </c>
      <c r="AB75" t="str" cm="1">
        <f t="array" ref="AB75">_xlfn.IFS(Employees[[#This Row],[Age]]&lt;30, "20-29", Employees[[#This Row],[Age]]&lt;40, "30-39", Employees[[#This Row],[Age]]&lt;50, "40-49", "TRUE", "50+")</f>
        <v>40-49</v>
      </c>
    </row>
    <row r="76" spans="1:28">
      <c r="A76" t="s">
        <v>290</v>
      </c>
      <c r="B76" t="s">
        <v>291</v>
      </c>
      <c r="C76" t="s">
        <v>292</v>
      </c>
      <c r="D76" t="s">
        <v>26</v>
      </c>
      <c r="E76">
        <v>30</v>
      </c>
      <c r="F76" t="s">
        <v>27</v>
      </c>
      <c r="G76" t="s">
        <v>54</v>
      </c>
      <c r="H76">
        <v>8</v>
      </c>
      <c r="I76" t="s">
        <v>29</v>
      </c>
      <c r="J76" t="s">
        <v>30</v>
      </c>
      <c r="K76">
        <v>3</v>
      </c>
      <c r="L76" t="s">
        <v>72</v>
      </c>
      <c r="M76" t="s">
        <v>101</v>
      </c>
      <c r="N76" t="s">
        <v>49</v>
      </c>
      <c r="O76">
        <v>70771</v>
      </c>
      <c r="P76">
        <v>1</v>
      </c>
      <c r="Q76" t="s">
        <v>34</v>
      </c>
      <c r="R76" s="1">
        <v>40976</v>
      </c>
      <c r="S76" t="s">
        <v>34</v>
      </c>
      <c r="T76">
        <v>10</v>
      </c>
      <c r="U76">
        <v>9</v>
      </c>
      <c r="V76">
        <v>9</v>
      </c>
      <c r="W76">
        <v>2</v>
      </c>
      <c r="X76" t="s">
        <v>11022</v>
      </c>
      <c r="Y76" t="s">
        <v>11022</v>
      </c>
      <c r="Z76" t="str">
        <f>_xlfn.XLOOKUP(Employees[[#This Row],[Education]], EdLevel[EducationLevelID], EdLevel[EducationLevel])</f>
        <v xml:space="preserve">Bachelors </v>
      </c>
      <c r="AA76">
        <f>IF(Employees[[#This Row],[Attrition]] = "Yes", 1, 0)</f>
        <v>0</v>
      </c>
      <c r="AB76" t="str" cm="1">
        <f t="array" ref="AB76">_xlfn.IFS(Employees[[#This Row],[Age]]&lt;30, "20-29", Employees[[#This Row],[Age]]&lt;40, "30-39", Employees[[#This Row],[Age]]&lt;50, "40-49", "TRUE", "50+")</f>
        <v>30-39</v>
      </c>
    </row>
    <row r="77" spans="1:28">
      <c r="A77" t="s">
        <v>293</v>
      </c>
      <c r="B77" t="s">
        <v>294</v>
      </c>
      <c r="C77" t="s">
        <v>295</v>
      </c>
      <c r="D77" t="s">
        <v>38</v>
      </c>
      <c r="E77">
        <v>30</v>
      </c>
      <c r="F77" t="s">
        <v>27</v>
      </c>
      <c r="G77" t="s">
        <v>54</v>
      </c>
      <c r="H77">
        <v>6</v>
      </c>
      <c r="I77" t="s">
        <v>39</v>
      </c>
      <c r="J77" t="s">
        <v>71</v>
      </c>
      <c r="K77">
        <v>2</v>
      </c>
      <c r="L77" t="s">
        <v>55</v>
      </c>
      <c r="M77" t="s">
        <v>93</v>
      </c>
      <c r="N77" t="s">
        <v>49</v>
      </c>
      <c r="O77">
        <v>126238</v>
      </c>
      <c r="P77">
        <v>0</v>
      </c>
      <c r="Q77" t="s">
        <v>34</v>
      </c>
      <c r="R77" s="1">
        <v>40976</v>
      </c>
      <c r="S77" t="s">
        <v>34</v>
      </c>
      <c r="T77">
        <v>10</v>
      </c>
      <c r="U77">
        <v>3</v>
      </c>
      <c r="V77">
        <v>6</v>
      </c>
      <c r="W77">
        <v>6</v>
      </c>
      <c r="X77" t="s">
        <v>11021</v>
      </c>
      <c r="Y77" t="s">
        <v>11021</v>
      </c>
      <c r="Z77" t="str">
        <f>_xlfn.XLOOKUP(Employees[[#This Row],[Education]], EdLevel[EducationLevelID], EdLevel[EducationLevel])</f>
        <v xml:space="preserve">High School </v>
      </c>
      <c r="AA77">
        <f>IF(Employees[[#This Row],[Attrition]] = "Yes", 1, 0)</f>
        <v>0</v>
      </c>
      <c r="AB77" t="str" cm="1">
        <f t="array" ref="AB77">_xlfn.IFS(Employees[[#This Row],[Age]]&lt;30, "20-29", Employees[[#This Row],[Age]]&lt;40, "30-39", Employees[[#This Row],[Age]]&lt;50, "40-49", "TRUE", "50+")</f>
        <v>30-39</v>
      </c>
    </row>
    <row r="78" spans="1:28">
      <c r="A78" t="s">
        <v>296</v>
      </c>
      <c r="B78" t="s">
        <v>297</v>
      </c>
      <c r="C78" t="s">
        <v>298</v>
      </c>
      <c r="D78" t="s">
        <v>38</v>
      </c>
      <c r="E78">
        <v>39</v>
      </c>
      <c r="F78" t="s">
        <v>27</v>
      </c>
      <c r="G78" t="s">
        <v>54</v>
      </c>
      <c r="H78">
        <v>5</v>
      </c>
      <c r="I78" t="s">
        <v>39</v>
      </c>
      <c r="J78" t="s">
        <v>30</v>
      </c>
      <c r="K78">
        <v>2</v>
      </c>
      <c r="L78" t="s">
        <v>55</v>
      </c>
      <c r="M78" t="s">
        <v>85</v>
      </c>
      <c r="N78" t="s">
        <v>40</v>
      </c>
      <c r="O78">
        <v>58685</v>
      </c>
      <c r="P78">
        <v>0</v>
      </c>
      <c r="Q78" t="s">
        <v>34</v>
      </c>
      <c r="R78" s="1">
        <v>40976</v>
      </c>
      <c r="S78" t="s">
        <v>41</v>
      </c>
      <c r="T78">
        <v>9</v>
      </c>
      <c r="U78">
        <v>6</v>
      </c>
      <c r="V78">
        <v>6</v>
      </c>
      <c r="W78">
        <v>2</v>
      </c>
      <c r="X78" t="s">
        <v>11021</v>
      </c>
      <c r="Y78" t="s">
        <v>11021</v>
      </c>
      <c r="Z78" t="str">
        <f>_xlfn.XLOOKUP(Employees[[#This Row],[Education]], EdLevel[EducationLevelID], EdLevel[EducationLevel])</f>
        <v xml:space="preserve">High School </v>
      </c>
      <c r="AA78">
        <f>IF(Employees[[#This Row],[Attrition]] = "Yes", 1, 0)</f>
        <v>1</v>
      </c>
      <c r="AB78" t="str" cm="1">
        <f t="array" ref="AB78">_xlfn.IFS(Employees[[#This Row],[Age]]&lt;30, "20-29", Employees[[#This Row],[Age]]&lt;40, "30-39", Employees[[#This Row],[Age]]&lt;50, "40-49", "TRUE", "50+")</f>
        <v>30-39</v>
      </c>
    </row>
    <row r="79" spans="1:28">
      <c r="A79" t="s">
        <v>299</v>
      </c>
      <c r="B79" t="s">
        <v>300</v>
      </c>
      <c r="C79" t="s">
        <v>301</v>
      </c>
      <c r="D79" t="s">
        <v>38</v>
      </c>
      <c r="E79">
        <v>35</v>
      </c>
      <c r="F79" t="s">
        <v>27</v>
      </c>
      <c r="G79" t="s">
        <v>28</v>
      </c>
      <c r="H79">
        <v>29</v>
      </c>
      <c r="I79" t="s">
        <v>65</v>
      </c>
      <c r="J79" t="s">
        <v>30</v>
      </c>
      <c r="K79">
        <v>5</v>
      </c>
      <c r="L79" t="s">
        <v>31</v>
      </c>
      <c r="M79" t="s">
        <v>32</v>
      </c>
      <c r="N79" t="s">
        <v>33</v>
      </c>
      <c r="O79">
        <v>182764</v>
      </c>
      <c r="P79">
        <v>2</v>
      </c>
      <c r="Q79" t="s">
        <v>41</v>
      </c>
      <c r="R79" s="1">
        <v>40978</v>
      </c>
      <c r="S79" t="s">
        <v>34</v>
      </c>
      <c r="T79">
        <v>10</v>
      </c>
      <c r="U79">
        <v>7</v>
      </c>
      <c r="V79">
        <v>9</v>
      </c>
      <c r="W79">
        <v>9</v>
      </c>
      <c r="X79" t="s">
        <v>11024</v>
      </c>
      <c r="Y79" t="s">
        <v>11024</v>
      </c>
      <c r="Z79" t="str">
        <f>_xlfn.XLOOKUP(Employees[[#This Row],[Education]], EdLevel[EducationLevelID], EdLevel[EducationLevel])</f>
        <v>Doctorate</v>
      </c>
      <c r="AA79">
        <f>IF(Employees[[#This Row],[Attrition]] = "Yes", 1, 0)</f>
        <v>0</v>
      </c>
      <c r="AB79" t="str" cm="1">
        <f t="array" ref="AB79">_xlfn.IFS(Employees[[#This Row],[Age]]&lt;30, "20-29", Employees[[#This Row],[Age]]&lt;40, "30-39", Employees[[#This Row],[Age]]&lt;50, "40-49", "TRUE", "50+")</f>
        <v>30-39</v>
      </c>
    </row>
    <row r="80" spans="1:28">
      <c r="A80" t="s">
        <v>302</v>
      </c>
      <c r="B80" t="s">
        <v>303</v>
      </c>
      <c r="C80" t="s">
        <v>304</v>
      </c>
      <c r="D80" t="s">
        <v>26</v>
      </c>
      <c r="E80">
        <v>35</v>
      </c>
      <c r="F80" t="s">
        <v>27</v>
      </c>
      <c r="G80" t="s">
        <v>45</v>
      </c>
      <c r="H80">
        <v>7</v>
      </c>
      <c r="I80" t="s">
        <v>39</v>
      </c>
      <c r="J80" t="s">
        <v>66</v>
      </c>
      <c r="K80">
        <v>3</v>
      </c>
      <c r="L80" t="s">
        <v>47</v>
      </c>
      <c r="M80" t="s">
        <v>61</v>
      </c>
      <c r="N80" t="s">
        <v>33</v>
      </c>
      <c r="O80">
        <v>47995</v>
      </c>
      <c r="P80">
        <v>3</v>
      </c>
      <c r="Q80" t="s">
        <v>41</v>
      </c>
      <c r="R80" s="1">
        <v>40980</v>
      </c>
      <c r="S80" t="s">
        <v>34</v>
      </c>
      <c r="T80">
        <v>10</v>
      </c>
      <c r="U80">
        <v>5</v>
      </c>
      <c r="V80">
        <v>6</v>
      </c>
      <c r="W80">
        <v>3</v>
      </c>
      <c r="X80" t="s">
        <v>11022</v>
      </c>
      <c r="Y80" t="s">
        <v>11022</v>
      </c>
      <c r="Z80" t="str">
        <f>_xlfn.XLOOKUP(Employees[[#This Row],[Education]], EdLevel[EducationLevelID], EdLevel[EducationLevel])</f>
        <v xml:space="preserve">Bachelors </v>
      </c>
      <c r="AA80">
        <f>IF(Employees[[#This Row],[Attrition]] = "Yes", 1, 0)</f>
        <v>0</v>
      </c>
      <c r="AB80" t="str" cm="1">
        <f t="array" ref="AB80">_xlfn.IFS(Employees[[#This Row],[Age]]&lt;30, "20-29", Employees[[#This Row],[Age]]&lt;40, "30-39", Employees[[#This Row],[Age]]&lt;50, "40-49", "TRUE", "50+")</f>
        <v>30-39</v>
      </c>
    </row>
    <row r="81" spans="1:28">
      <c r="A81" t="s">
        <v>305</v>
      </c>
      <c r="B81" t="s">
        <v>306</v>
      </c>
      <c r="C81" t="s">
        <v>307</v>
      </c>
      <c r="D81" t="s">
        <v>26</v>
      </c>
      <c r="E81">
        <v>28</v>
      </c>
      <c r="F81" t="s">
        <v>84</v>
      </c>
      <c r="G81" t="s">
        <v>54</v>
      </c>
      <c r="H81">
        <v>9</v>
      </c>
      <c r="I81" t="s">
        <v>39</v>
      </c>
      <c r="J81" t="s">
        <v>71</v>
      </c>
      <c r="K81">
        <v>3</v>
      </c>
      <c r="L81" t="s">
        <v>55</v>
      </c>
      <c r="M81" t="s">
        <v>101</v>
      </c>
      <c r="N81" t="s">
        <v>49</v>
      </c>
      <c r="O81">
        <v>48930</v>
      </c>
      <c r="P81">
        <v>1</v>
      </c>
      <c r="Q81" t="s">
        <v>41</v>
      </c>
      <c r="R81" s="1">
        <v>40982</v>
      </c>
      <c r="S81" t="s">
        <v>41</v>
      </c>
      <c r="T81">
        <v>7</v>
      </c>
      <c r="U81">
        <v>4</v>
      </c>
      <c r="V81">
        <v>6</v>
      </c>
      <c r="W81">
        <v>2</v>
      </c>
      <c r="X81" t="s">
        <v>11022</v>
      </c>
      <c r="Y81" t="s">
        <v>11022</v>
      </c>
      <c r="Z81" t="str">
        <f>_xlfn.XLOOKUP(Employees[[#This Row],[Education]], EdLevel[EducationLevelID], EdLevel[EducationLevel])</f>
        <v xml:space="preserve">Bachelors </v>
      </c>
      <c r="AA81">
        <f>IF(Employees[[#This Row],[Attrition]] = "Yes", 1, 0)</f>
        <v>1</v>
      </c>
      <c r="AB81" t="str" cm="1">
        <f t="array" ref="AB81">_xlfn.IFS(Employees[[#This Row],[Age]]&lt;30, "20-29", Employees[[#This Row],[Age]]&lt;40, "30-39", Employees[[#This Row],[Age]]&lt;50, "40-49", "TRUE", "50+")</f>
        <v>20-29</v>
      </c>
    </row>
    <row r="82" spans="1:28">
      <c r="A82" t="s">
        <v>308</v>
      </c>
      <c r="B82" t="s">
        <v>309</v>
      </c>
      <c r="C82" t="s">
        <v>310</v>
      </c>
      <c r="D82" t="s">
        <v>53</v>
      </c>
      <c r="E82">
        <v>46</v>
      </c>
      <c r="F82" t="s">
        <v>27</v>
      </c>
      <c r="G82" t="s">
        <v>54</v>
      </c>
      <c r="H82">
        <v>36</v>
      </c>
      <c r="I82" t="s">
        <v>65</v>
      </c>
      <c r="J82" t="s">
        <v>71</v>
      </c>
      <c r="K82">
        <v>2</v>
      </c>
      <c r="L82" t="s">
        <v>55</v>
      </c>
      <c r="M82" t="s">
        <v>93</v>
      </c>
      <c r="N82" t="s">
        <v>49</v>
      </c>
      <c r="O82">
        <v>102964</v>
      </c>
      <c r="P82">
        <v>2</v>
      </c>
      <c r="Q82" t="s">
        <v>34</v>
      </c>
      <c r="R82" s="1">
        <v>40985</v>
      </c>
      <c r="S82" t="s">
        <v>34</v>
      </c>
      <c r="T82">
        <v>10</v>
      </c>
      <c r="U82">
        <v>10</v>
      </c>
      <c r="V82">
        <v>10</v>
      </c>
      <c r="W82">
        <v>2</v>
      </c>
      <c r="X82" t="s">
        <v>11021</v>
      </c>
      <c r="Y82" t="s">
        <v>11021</v>
      </c>
      <c r="Z82" t="str">
        <f>_xlfn.XLOOKUP(Employees[[#This Row],[Education]], EdLevel[EducationLevelID], EdLevel[EducationLevel])</f>
        <v xml:space="preserve">High School </v>
      </c>
      <c r="AA82">
        <f>IF(Employees[[#This Row],[Attrition]] = "Yes", 1, 0)</f>
        <v>0</v>
      </c>
      <c r="AB82" t="str" cm="1">
        <f t="array" ref="AB82">_xlfn.IFS(Employees[[#This Row],[Age]]&lt;30, "20-29", Employees[[#This Row],[Age]]&lt;40, "30-39", Employees[[#This Row],[Age]]&lt;50, "40-49", "TRUE", "50+")</f>
        <v>40-49</v>
      </c>
    </row>
    <row r="83" spans="1:28">
      <c r="A83" t="s">
        <v>311</v>
      </c>
      <c r="B83" t="s">
        <v>312</v>
      </c>
      <c r="C83" t="s">
        <v>313</v>
      </c>
      <c r="D83" t="s">
        <v>26</v>
      </c>
      <c r="E83">
        <v>43</v>
      </c>
      <c r="F83" t="s">
        <v>27</v>
      </c>
      <c r="G83" t="s">
        <v>54</v>
      </c>
      <c r="H83">
        <v>11</v>
      </c>
      <c r="I83" t="s">
        <v>39</v>
      </c>
      <c r="J83" t="s">
        <v>30</v>
      </c>
      <c r="K83">
        <v>5</v>
      </c>
      <c r="L83" t="s">
        <v>72</v>
      </c>
      <c r="M83" t="s">
        <v>182</v>
      </c>
      <c r="N83" t="s">
        <v>49</v>
      </c>
      <c r="O83">
        <v>482510</v>
      </c>
      <c r="P83">
        <v>1</v>
      </c>
      <c r="Q83" t="s">
        <v>34</v>
      </c>
      <c r="R83" s="1">
        <v>40985</v>
      </c>
      <c r="S83" t="s">
        <v>34</v>
      </c>
      <c r="T83">
        <v>10</v>
      </c>
      <c r="U83">
        <v>9</v>
      </c>
      <c r="V83">
        <v>9</v>
      </c>
      <c r="W83">
        <v>1</v>
      </c>
      <c r="X83" t="s">
        <v>11024</v>
      </c>
      <c r="Y83" t="s">
        <v>11024</v>
      </c>
      <c r="Z83" t="str">
        <f>_xlfn.XLOOKUP(Employees[[#This Row],[Education]], EdLevel[EducationLevelID], EdLevel[EducationLevel])</f>
        <v>Doctorate</v>
      </c>
      <c r="AA83">
        <f>IF(Employees[[#This Row],[Attrition]] = "Yes", 1, 0)</f>
        <v>0</v>
      </c>
      <c r="AB83" t="str" cm="1">
        <f t="array" ref="AB83">_xlfn.IFS(Employees[[#This Row],[Age]]&lt;30, "20-29", Employees[[#This Row],[Age]]&lt;40, "30-39", Employees[[#This Row],[Age]]&lt;50, "40-49", "TRUE", "50+")</f>
        <v>40-49</v>
      </c>
    </row>
    <row r="84" spans="1:28">
      <c r="A84" t="s">
        <v>314</v>
      </c>
      <c r="B84" t="s">
        <v>315</v>
      </c>
      <c r="C84" t="s">
        <v>316</v>
      </c>
      <c r="D84" t="s">
        <v>26</v>
      </c>
      <c r="E84">
        <v>36</v>
      </c>
      <c r="F84" t="s">
        <v>70</v>
      </c>
      <c r="G84" t="s">
        <v>28</v>
      </c>
      <c r="H84">
        <v>33</v>
      </c>
      <c r="I84" t="s">
        <v>65</v>
      </c>
      <c r="J84" t="s">
        <v>46</v>
      </c>
      <c r="K84">
        <v>4</v>
      </c>
      <c r="L84" t="s">
        <v>31</v>
      </c>
      <c r="M84" t="s">
        <v>32</v>
      </c>
      <c r="N84" t="s">
        <v>49</v>
      </c>
      <c r="O84">
        <v>116057</v>
      </c>
      <c r="P84">
        <v>1</v>
      </c>
      <c r="Q84" t="s">
        <v>34</v>
      </c>
      <c r="R84" s="1">
        <v>40987</v>
      </c>
      <c r="S84" t="s">
        <v>34</v>
      </c>
      <c r="T84">
        <v>10</v>
      </c>
      <c r="U84">
        <v>2</v>
      </c>
      <c r="V84">
        <v>10</v>
      </c>
      <c r="W84">
        <v>2</v>
      </c>
      <c r="X84" t="s">
        <v>11023</v>
      </c>
      <c r="Y84" t="s">
        <v>11023</v>
      </c>
      <c r="Z84" t="str">
        <f>_xlfn.XLOOKUP(Employees[[#This Row],[Education]], EdLevel[EducationLevelID], EdLevel[EducationLevel])</f>
        <v xml:space="preserve">Masters </v>
      </c>
      <c r="AA84">
        <f>IF(Employees[[#This Row],[Attrition]] = "Yes", 1, 0)</f>
        <v>0</v>
      </c>
      <c r="AB84" t="str" cm="1">
        <f t="array" ref="AB84">_xlfn.IFS(Employees[[#This Row],[Age]]&lt;30, "20-29", Employees[[#This Row],[Age]]&lt;40, "30-39", Employees[[#This Row],[Age]]&lt;50, "40-49", "TRUE", "50+")</f>
        <v>30-39</v>
      </c>
    </row>
    <row r="85" spans="1:28">
      <c r="A85" t="s">
        <v>317</v>
      </c>
      <c r="B85" t="s">
        <v>318</v>
      </c>
      <c r="C85" t="s">
        <v>319</v>
      </c>
      <c r="D85" t="s">
        <v>26</v>
      </c>
      <c r="E85">
        <v>45</v>
      </c>
      <c r="F85" t="s">
        <v>27</v>
      </c>
      <c r="G85" t="s">
        <v>54</v>
      </c>
      <c r="H85">
        <v>20</v>
      </c>
      <c r="I85" t="s">
        <v>65</v>
      </c>
      <c r="J85" t="s">
        <v>30</v>
      </c>
      <c r="K85">
        <v>1</v>
      </c>
      <c r="L85" t="s">
        <v>55</v>
      </c>
      <c r="M85" t="s">
        <v>101</v>
      </c>
      <c r="N85" t="s">
        <v>49</v>
      </c>
      <c r="O85">
        <v>90264</v>
      </c>
      <c r="P85">
        <v>0</v>
      </c>
      <c r="Q85" t="s">
        <v>41</v>
      </c>
      <c r="R85" s="1">
        <v>40987</v>
      </c>
      <c r="S85" t="s">
        <v>34</v>
      </c>
      <c r="T85">
        <v>10</v>
      </c>
      <c r="U85">
        <v>2</v>
      </c>
      <c r="V85">
        <v>4</v>
      </c>
      <c r="W85">
        <v>4</v>
      </c>
      <c r="X85" t="s">
        <v>11020</v>
      </c>
      <c r="Y85" t="s">
        <v>11020</v>
      </c>
      <c r="Z85" t="str">
        <f>_xlfn.XLOOKUP(Employees[[#This Row],[Education]], EdLevel[EducationLevelID], EdLevel[EducationLevel])</f>
        <v>No Formal Qualifications</v>
      </c>
      <c r="AA85">
        <f>IF(Employees[[#This Row],[Attrition]] = "Yes", 1, 0)</f>
        <v>0</v>
      </c>
      <c r="AB85" t="str" cm="1">
        <f t="array" ref="AB85">_xlfn.IFS(Employees[[#This Row],[Age]]&lt;30, "20-29", Employees[[#This Row],[Age]]&lt;40, "30-39", Employees[[#This Row],[Age]]&lt;50, "40-49", "TRUE", "50+")</f>
        <v>40-49</v>
      </c>
    </row>
    <row r="86" spans="1:28">
      <c r="A86" t="s">
        <v>320</v>
      </c>
      <c r="B86" t="s">
        <v>321</v>
      </c>
      <c r="C86" t="s">
        <v>322</v>
      </c>
      <c r="D86" t="s">
        <v>38</v>
      </c>
      <c r="E86">
        <v>42</v>
      </c>
      <c r="F86" t="s">
        <v>27</v>
      </c>
      <c r="G86" t="s">
        <v>28</v>
      </c>
      <c r="H86">
        <v>16</v>
      </c>
      <c r="I86" t="s">
        <v>29</v>
      </c>
      <c r="J86" t="s">
        <v>46</v>
      </c>
      <c r="K86">
        <v>4</v>
      </c>
      <c r="L86" t="s">
        <v>47</v>
      </c>
      <c r="M86" t="s">
        <v>32</v>
      </c>
      <c r="N86" t="s">
        <v>49</v>
      </c>
      <c r="O86">
        <v>106277</v>
      </c>
      <c r="P86">
        <v>2</v>
      </c>
      <c r="Q86" t="s">
        <v>34</v>
      </c>
      <c r="R86" s="1">
        <v>40987</v>
      </c>
      <c r="S86" t="s">
        <v>34</v>
      </c>
      <c r="T86">
        <v>10</v>
      </c>
      <c r="U86">
        <v>0</v>
      </c>
      <c r="V86">
        <v>5</v>
      </c>
      <c r="W86">
        <v>5</v>
      </c>
      <c r="X86" t="s">
        <v>11023</v>
      </c>
      <c r="Y86" t="s">
        <v>11023</v>
      </c>
      <c r="Z86" t="str">
        <f>_xlfn.XLOOKUP(Employees[[#This Row],[Education]], EdLevel[EducationLevelID], EdLevel[EducationLevel])</f>
        <v xml:space="preserve">Masters </v>
      </c>
      <c r="AA86">
        <f>IF(Employees[[#This Row],[Attrition]] = "Yes", 1, 0)</f>
        <v>0</v>
      </c>
      <c r="AB86" t="str" cm="1">
        <f t="array" ref="AB86">_xlfn.IFS(Employees[[#This Row],[Age]]&lt;30, "20-29", Employees[[#This Row],[Age]]&lt;40, "30-39", Employees[[#This Row],[Age]]&lt;50, "40-49", "TRUE", "50+")</f>
        <v>40-49</v>
      </c>
    </row>
    <row r="87" spans="1:28">
      <c r="A87" t="s">
        <v>323</v>
      </c>
      <c r="B87" t="s">
        <v>324</v>
      </c>
      <c r="C87" t="s">
        <v>325</v>
      </c>
      <c r="D87" t="s">
        <v>38</v>
      </c>
      <c r="E87">
        <v>39</v>
      </c>
      <c r="F87" t="s">
        <v>27</v>
      </c>
      <c r="G87" t="s">
        <v>54</v>
      </c>
      <c r="H87">
        <v>34</v>
      </c>
      <c r="I87" t="s">
        <v>39</v>
      </c>
      <c r="J87" t="s">
        <v>66</v>
      </c>
      <c r="K87">
        <v>1</v>
      </c>
      <c r="L87" t="s">
        <v>55</v>
      </c>
      <c r="M87" t="s">
        <v>93</v>
      </c>
      <c r="N87" t="s">
        <v>33</v>
      </c>
      <c r="O87">
        <v>264285</v>
      </c>
      <c r="P87">
        <v>1</v>
      </c>
      <c r="Q87" t="s">
        <v>34</v>
      </c>
      <c r="R87" s="1">
        <v>40991</v>
      </c>
      <c r="S87" t="s">
        <v>34</v>
      </c>
      <c r="T87">
        <v>10</v>
      </c>
      <c r="U87">
        <v>10</v>
      </c>
      <c r="V87">
        <v>10</v>
      </c>
      <c r="W87">
        <v>1</v>
      </c>
      <c r="X87" t="s">
        <v>11020</v>
      </c>
      <c r="Y87" t="s">
        <v>11020</v>
      </c>
      <c r="Z87" t="str">
        <f>_xlfn.XLOOKUP(Employees[[#This Row],[Education]], EdLevel[EducationLevelID], EdLevel[EducationLevel])</f>
        <v>No Formal Qualifications</v>
      </c>
      <c r="AA87">
        <f>IF(Employees[[#This Row],[Attrition]] = "Yes", 1, 0)</f>
        <v>0</v>
      </c>
      <c r="AB87" t="str" cm="1">
        <f t="array" ref="AB87">_xlfn.IFS(Employees[[#This Row],[Age]]&lt;30, "20-29", Employees[[#This Row],[Age]]&lt;40, "30-39", Employees[[#This Row],[Age]]&lt;50, "40-49", "TRUE", "50+")</f>
        <v>30-39</v>
      </c>
    </row>
    <row r="88" spans="1:28">
      <c r="A88" t="s">
        <v>326</v>
      </c>
      <c r="B88" t="s">
        <v>327</v>
      </c>
      <c r="C88" t="s">
        <v>328</v>
      </c>
      <c r="D88" t="s">
        <v>26</v>
      </c>
      <c r="E88">
        <v>34</v>
      </c>
      <c r="F88" t="s">
        <v>27</v>
      </c>
      <c r="G88" t="s">
        <v>54</v>
      </c>
      <c r="H88">
        <v>41</v>
      </c>
      <c r="I88" t="s">
        <v>39</v>
      </c>
      <c r="J88" t="s">
        <v>71</v>
      </c>
      <c r="K88">
        <v>2</v>
      </c>
      <c r="L88" t="s">
        <v>72</v>
      </c>
      <c r="M88" t="s">
        <v>56</v>
      </c>
      <c r="N88" t="s">
        <v>33</v>
      </c>
      <c r="O88">
        <v>357371</v>
      </c>
      <c r="P88">
        <v>1</v>
      </c>
      <c r="Q88" t="s">
        <v>34</v>
      </c>
      <c r="R88" s="1">
        <v>40992</v>
      </c>
      <c r="S88" t="s">
        <v>34</v>
      </c>
      <c r="T88">
        <v>10</v>
      </c>
      <c r="U88">
        <v>9</v>
      </c>
      <c r="V88">
        <v>9</v>
      </c>
      <c r="W88">
        <v>3</v>
      </c>
      <c r="X88" t="s">
        <v>11021</v>
      </c>
      <c r="Y88" t="s">
        <v>11021</v>
      </c>
      <c r="Z88" t="str">
        <f>_xlfn.XLOOKUP(Employees[[#This Row],[Education]], EdLevel[EducationLevelID], EdLevel[EducationLevel])</f>
        <v xml:space="preserve">High School </v>
      </c>
      <c r="AA88">
        <f>IF(Employees[[#This Row],[Attrition]] = "Yes", 1, 0)</f>
        <v>0</v>
      </c>
      <c r="AB88" t="str" cm="1">
        <f t="array" ref="AB88">_xlfn.IFS(Employees[[#This Row],[Age]]&lt;30, "20-29", Employees[[#This Row],[Age]]&lt;40, "30-39", Employees[[#This Row],[Age]]&lt;50, "40-49", "TRUE", "50+")</f>
        <v>30-39</v>
      </c>
    </row>
    <row r="89" spans="1:28">
      <c r="A89" t="s">
        <v>329</v>
      </c>
      <c r="B89" t="s">
        <v>330</v>
      </c>
      <c r="C89" t="s">
        <v>331</v>
      </c>
      <c r="D89" t="s">
        <v>26</v>
      </c>
      <c r="E89">
        <v>41</v>
      </c>
      <c r="F89" t="s">
        <v>27</v>
      </c>
      <c r="G89" t="s">
        <v>54</v>
      </c>
      <c r="H89">
        <v>9</v>
      </c>
      <c r="I89" t="s">
        <v>39</v>
      </c>
      <c r="J89" t="s">
        <v>71</v>
      </c>
      <c r="K89">
        <v>3</v>
      </c>
      <c r="L89" t="s">
        <v>55</v>
      </c>
      <c r="M89" t="s">
        <v>93</v>
      </c>
      <c r="N89" t="s">
        <v>40</v>
      </c>
      <c r="O89">
        <v>197592</v>
      </c>
      <c r="P89">
        <v>0</v>
      </c>
      <c r="Q89" t="s">
        <v>41</v>
      </c>
      <c r="R89" s="1">
        <v>40992</v>
      </c>
      <c r="S89" t="s">
        <v>34</v>
      </c>
      <c r="T89">
        <v>10</v>
      </c>
      <c r="U89">
        <v>5</v>
      </c>
      <c r="V89">
        <v>10</v>
      </c>
      <c r="W89">
        <v>0</v>
      </c>
      <c r="X89" t="s">
        <v>11022</v>
      </c>
      <c r="Y89" t="s">
        <v>11022</v>
      </c>
      <c r="Z89" t="str">
        <f>_xlfn.XLOOKUP(Employees[[#This Row],[Education]], EdLevel[EducationLevelID], EdLevel[EducationLevel])</f>
        <v xml:space="preserve">Bachelors </v>
      </c>
      <c r="AA89">
        <f>IF(Employees[[#This Row],[Attrition]] = "Yes", 1, 0)</f>
        <v>0</v>
      </c>
      <c r="AB89" t="str" cm="1">
        <f t="array" ref="AB89">_xlfn.IFS(Employees[[#This Row],[Age]]&lt;30, "20-29", Employees[[#This Row],[Age]]&lt;40, "30-39", Employees[[#This Row],[Age]]&lt;50, "40-49", "TRUE", "50+")</f>
        <v>40-49</v>
      </c>
    </row>
    <row r="90" spans="1:28">
      <c r="A90" t="s">
        <v>332</v>
      </c>
      <c r="B90" t="s">
        <v>333</v>
      </c>
      <c r="C90" t="s">
        <v>334</v>
      </c>
      <c r="D90" t="s">
        <v>26</v>
      </c>
      <c r="E90">
        <v>30</v>
      </c>
      <c r="F90" t="s">
        <v>27</v>
      </c>
      <c r="G90" t="s">
        <v>45</v>
      </c>
      <c r="H90">
        <v>19</v>
      </c>
      <c r="I90" t="s">
        <v>65</v>
      </c>
      <c r="J90" t="s">
        <v>66</v>
      </c>
      <c r="K90">
        <v>3</v>
      </c>
      <c r="L90" t="s">
        <v>45</v>
      </c>
      <c r="M90" t="s">
        <v>207</v>
      </c>
      <c r="N90" t="s">
        <v>49</v>
      </c>
      <c r="O90">
        <v>97153</v>
      </c>
      <c r="P90">
        <v>1</v>
      </c>
      <c r="Q90" t="s">
        <v>34</v>
      </c>
      <c r="R90" s="1">
        <v>40993</v>
      </c>
      <c r="S90" t="s">
        <v>34</v>
      </c>
      <c r="T90">
        <v>10</v>
      </c>
      <c r="U90">
        <v>5</v>
      </c>
      <c r="V90">
        <v>6</v>
      </c>
      <c r="W90">
        <v>9</v>
      </c>
      <c r="X90" t="s">
        <v>11022</v>
      </c>
      <c r="Y90" t="s">
        <v>11022</v>
      </c>
      <c r="Z90" t="str">
        <f>_xlfn.XLOOKUP(Employees[[#This Row],[Education]], EdLevel[EducationLevelID], EdLevel[EducationLevel])</f>
        <v xml:space="preserve">Bachelors </v>
      </c>
      <c r="AA90">
        <f>IF(Employees[[#This Row],[Attrition]] = "Yes", 1, 0)</f>
        <v>0</v>
      </c>
      <c r="AB90" t="str" cm="1">
        <f t="array" ref="AB90">_xlfn.IFS(Employees[[#This Row],[Age]]&lt;30, "20-29", Employees[[#This Row],[Age]]&lt;40, "30-39", Employees[[#This Row],[Age]]&lt;50, "40-49", "TRUE", "50+")</f>
        <v>30-39</v>
      </c>
    </row>
    <row r="91" spans="1:28">
      <c r="A91" t="s">
        <v>335</v>
      </c>
      <c r="B91" t="s">
        <v>336</v>
      </c>
      <c r="C91" t="s">
        <v>337</v>
      </c>
      <c r="D91" t="s">
        <v>38</v>
      </c>
      <c r="E91">
        <v>38</v>
      </c>
      <c r="F91" t="s">
        <v>27</v>
      </c>
      <c r="G91" t="s">
        <v>54</v>
      </c>
      <c r="H91">
        <v>39</v>
      </c>
      <c r="I91" t="s">
        <v>65</v>
      </c>
      <c r="J91" t="s">
        <v>30</v>
      </c>
      <c r="K91">
        <v>3</v>
      </c>
      <c r="L91" t="s">
        <v>55</v>
      </c>
      <c r="M91" t="s">
        <v>85</v>
      </c>
      <c r="N91" t="s">
        <v>40</v>
      </c>
      <c r="O91">
        <v>65416</v>
      </c>
      <c r="P91">
        <v>0</v>
      </c>
      <c r="Q91" t="s">
        <v>34</v>
      </c>
      <c r="R91" s="1">
        <v>40993</v>
      </c>
      <c r="S91" t="s">
        <v>34</v>
      </c>
      <c r="T91">
        <v>10</v>
      </c>
      <c r="U91">
        <v>5</v>
      </c>
      <c r="V91">
        <v>10</v>
      </c>
      <c r="W91">
        <v>7</v>
      </c>
      <c r="X91" t="s">
        <v>11022</v>
      </c>
      <c r="Y91" t="s">
        <v>11022</v>
      </c>
      <c r="Z91" t="str">
        <f>_xlfn.XLOOKUP(Employees[[#This Row],[Education]], EdLevel[EducationLevelID], EdLevel[EducationLevel])</f>
        <v xml:space="preserve">Bachelors </v>
      </c>
      <c r="AA91">
        <f>IF(Employees[[#This Row],[Attrition]] = "Yes", 1, 0)</f>
        <v>0</v>
      </c>
      <c r="AB91" t="str" cm="1">
        <f t="array" ref="AB91">_xlfn.IFS(Employees[[#This Row],[Age]]&lt;30, "20-29", Employees[[#This Row],[Age]]&lt;40, "30-39", Employees[[#This Row],[Age]]&lt;50, "40-49", "TRUE", "50+")</f>
        <v>30-39</v>
      </c>
    </row>
    <row r="92" spans="1:28">
      <c r="A92" t="s">
        <v>338</v>
      </c>
      <c r="B92" t="s">
        <v>339</v>
      </c>
      <c r="C92" t="s">
        <v>340</v>
      </c>
      <c r="D92" t="s">
        <v>38</v>
      </c>
      <c r="E92">
        <v>35</v>
      </c>
      <c r="F92" t="s">
        <v>70</v>
      </c>
      <c r="G92" t="s">
        <v>54</v>
      </c>
      <c r="H92">
        <v>17</v>
      </c>
      <c r="I92" t="s">
        <v>39</v>
      </c>
      <c r="J92" t="s">
        <v>46</v>
      </c>
      <c r="K92">
        <v>2</v>
      </c>
      <c r="L92" t="s">
        <v>55</v>
      </c>
      <c r="M92" t="s">
        <v>105</v>
      </c>
      <c r="N92" t="s">
        <v>33</v>
      </c>
      <c r="O92">
        <v>117151</v>
      </c>
      <c r="P92">
        <v>1</v>
      </c>
      <c r="Q92" t="s">
        <v>34</v>
      </c>
      <c r="R92" s="1">
        <v>40994</v>
      </c>
      <c r="S92" t="s">
        <v>34</v>
      </c>
      <c r="T92">
        <v>10</v>
      </c>
      <c r="U92">
        <v>3</v>
      </c>
      <c r="V92">
        <v>7</v>
      </c>
      <c r="W92">
        <v>6</v>
      </c>
      <c r="X92" t="s">
        <v>11021</v>
      </c>
      <c r="Y92" t="s">
        <v>11021</v>
      </c>
      <c r="Z92" t="str">
        <f>_xlfn.XLOOKUP(Employees[[#This Row],[Education]], EdLevel[EducationLevelID], EdLevel[EducationLevel])</f>
        <v xml:space="preserve">High School </v>
      </c>
      <c r="AA92">
        <f>IF(Employees[[#This Row],[Attrition]] = "Yes", 1, 0)</f>
        <v>0</v>
      </c>
      <c r="AB92" t="str" cm="1">
        <f t="array" ref="AB92">_xlfn.IFS(Employees[[#This Row],[Age]]&lt;30, "20-29", Employees[[#This Row],[Age]]&lt;40, "30-39", Employees[[#This Row],[Age]]&lt;50, "40-49", "TRUE", "50+")</f>
        <v>30-39</v>
      </c>
    </row>
    <row r="93" spans="1:28">
      <c r="A93" t="s">
        <v>341</v>
      </c>
      <c r="B93" t="s">
        <v>342</v>
      </c>
      <c r="C93" t="s">
        <v>343</v>
      </c>
      <c r="D93" t="s">
        <v>38</v>
      </c>
      <c r="E93">
        <v>32</v>
      </c>
      <c r="F93" t="s">
        <v>27</v>
      </c>
      <c r="G93" t="s">
        <v>28</v>
      </c>
      <c r="H93">
        <v>39</v>
      </c>
      <c r="I93" t="s">
        <v>39</v>
      </c>
      <c r="J93" t="s">
        <v>71</v>
      </c>
      <c r="K93">
        <v>4</v>
      </c>
      <c r="L93" t="s">
        <v>47</v>
      </c>
      <c r="M93" t="s">
        <v>32</v>
      </c>
      <c r="N93" t="s">
        <v>49</v>
      </c>
      <c r="O93">
        <v>105748</v>
      </c>
      <c r="P93">
        <v>2</v>
      </c>
      <c r="Q93" t="s">
        <v>34</v>
      </c>
      <c r="R93" s="1">
        <v>40996</v>
      </c>
      <c r="S93" t="s">
        <v>34</v>
      </c>
      <c r="T93">
        <v>10</v>
      </c>
      <c r="U93">
        <v>0</v>
      </c>
      <c r="V93">
        <v>1</v>
      </c>
      <c r="W93">
        <v>8</v>
      </c>
      <c r="X93" t="s">
        <v>11023</v>
      </c>
      <c r="Y93" t="s">
        <v>11023</v>
      </c>
      <c r="Z93" t="str">
        <f>_xlfn.XLOOKUP(Employees[[#This Row],[Education]], EdLevel[EducationLevelID], EdLevel[EducationLevel])</f>
        <v xml:space="preserve">Masters </v>
      </c>
      <c r="AA93">
        <f>IF(Employees[[#This Row],[Attrition]] = "Yes", 1, 0)</f>
        <v>0</v>
      </c>
      <c r="AB93" t="str" cm="1">
        <f t="array" ref="AB93">_xlfn.IFS(Employees[[#This Row],[Age]]&lt;30, "20-29", Employees[[#This Row],[Age]]&lt;40, "30-39", Employees[[#This Row],[Age]]&lt;50, "40-49", "TRUE", "50+")</f>
        <v>30-39</v>
      </c>
    </row>
    <row r="94" spans="1:28">
      <c r="A94" t="s">
        <v>344</v>
      </c>
      <c r="B94" t="s">
        <v>345</v>
      </c>
      <c r="C94" t="s">
        <v>346</v>
      </c>
      <c r="D94" t="s">
        <v>38</v>
      </c>
      <c r="E94">
        <v>46</v>
      </c>
      <c r="F94" t="s">
        <v>27</v>
      </c>
      <c r="G94" t="s">
        <v>54</v>
      </c>
      <c r="H94">
        <v>11</v>
      </c>
      <c r="I94" t="s">
        <v>39</v>
      </c>
      <c r="J94" t="s">
        <v>71</v>
      </c>
      <c r="K94">
        <v>4</v>
      </c>
      <c r="L94" t="s">
        <v>72</v>
      </c>
      <c r="M94" t="s">
        <v>101</v>
      </c>
      <c r="N94" t="s">
        <v>49</v>
      </c>
      <c r="O94">
        <v>56608</v>
      </c>
      <c r="P94">
        <v>3</v>
      </c>
      <c r="Q94" t="s">
        <v>41</v>
      </c>
      <c r="R94" s="1">
        <v>40999</v>
      </c>
      <c r="S94" t="s">
        <v>34</v>
      </c>
      <c r="T94">
        <v>10</v>
      </c>
      <c r="U94">
        <v>3</v>
      </c>
      <c r="V94">
        <v>5</v>
      </c>
      <c r="W94">
        <v>9</v>
      </c>
      <c r="X94" t="s">
        <v>11023</v>
      </c>
      <c r="Y94" t="s">
        <v>11023</v>
      </c>
      <c r="Z94" t="str">
        <f>_xlfn.XLOOKUP(Employees[[#This Row],[Education]], EdLevel[EducationLevelID], EdLevel[EducationLevel])</f>
        <v xml:space="preserve">Masters </v>
      </c>
      <c r="AA94">
        <f>IF(Employees[[#This Row],[Attrition]] = "Yes", 1, 0)</f>
        <v>0</v>
      </c>
      <c r="AB94" t="str" cm="1">
        <f t="array" ref="AB94">_xlfn.IFS(Employees[[#This Row],[Age]]&lt;30, "20-29", Employees[[#This Row],[Age]]&lt;40, "30-39", Employees[[#This Row],[Age]]&lt;50, "40-49", "TRUE", "50+")</f>
        <v>40-49</v>
      </c>
    </row>
    <row r="95" spans="1:28">
      <c r="A95" t="s">
        <v>347</v>
      </c>
      <c r="B95" t="s">
        <v>348</v>
      </c>
      <c r="C95" t="s">
        <v>349</v>
      </c>
      <c r="D95" t="s">
        <v>38</v>
      </c>
      <c r="E95">
        <v>30</v>
      </c>
      <c r="F95" t="s">
        <v>27</v>
      </c>
      <c r="G95" t="s">
        <v>54</v>
      </c>
      <c r="H95">
        <v>14</v>
      </c>
      <c r="I95" t="s">
        <v>39</v>
      </c>
      <c r="J95" t="s">
        <v>46</v>
      </c>
      <c r="K95">
        <v>4</v>
      </c>
      <c r="L95" t="s">
        <v>55</v>
      </c>
      <c r="M95" t="s">
        <v>93</v>
      </c>
      <c r="N95" t="s">
        <v>49</v>
      </c>
      <c r="O95">
        <v>194823</v>
      </c>
      <c r="P95">
        <v>1</v>
      </c>
      <c r="Q95" t="s">
        <v>34</v>
      </c>
      <c r="R95" s="1">
        <v>41000</v>
      </c>
      <c r="S95" t="s">
        <v>34</v>
      </c>
      <c r="T95">
        <v>10</v>
      </c>
      <c r="U95">
        <v>4</v>
      </c>
      <c r="V95">
        <v>9</v>
      </c>
      <c r="W95">
        <v>8</v>
      </c>
      <c r="X95" t="s">
        <v>11023</v>
      </c>
      <c r="Y95" t="s">
        <v>11023</v>
      </c>
      <c r="Z95" t="str">
        <f>_xlfn.XLOOKUP(Employees[[#This Row],[Education]], EdLevel[EducationLevelID], EdLevel[EducationLevel])</f>
        <v xml:space="preserve">Masters </v>
      </c>
      <c r="AA95">
        <f>IF(Employees[[#This Row],[Attrition]] = "Yes", 1, 0)</f>
        <v>0</v>
      </c>
      <c r="AB95" t="str" cm="1">
        <f t="array" ref="AB95">_xlfn.IFS(Employees[[#This Row],[Age]]&lt;30, "20-29", Employees[[#This Row],[Age]]&lt;40, "30-39", Employees[[#This Row],[Age]]&lt;50, "40-49", "TRUE", "50+")</f>
        <v>30-39</v>
      </c>
    </row>
    <row r="96" spans="1:28">
      <c r="A96" t="s">
        <v>350</v>
      </c>
      <c r="B96" t="s">
        <v>351</v>
      </c>
      <c r="C96" t="s">
        <v>352</v>
      </c>
      <c r="D96" t="s">
        <v>38</v>
      </c>
      <c r="E96">
        <v>28</v>
      </c>
      <c r="F96" t="s">
        <v>84</v>
      </c>
      <c r="G96" t="s">
        <v>54</v>
      </c>
      <c r="H96">
        <v>22</v>
      </c>
      <c r="I96" t="s">
        <v>39</v>
      </c>
      <c r="J96" t="s">
        <v>30</v>
      </c>
      <c r="K96">
        <v>5</v>
      </c>
      <c r="L96" t="s">
        <v>55</v>
      </c>
      <c r="M96" t="s">
        <v>93</v>
      </c>
      <c r="N96" t="s">
        <v>40</v>
      </c>
      <c r="O96">
        <v>205433</v>
      </c>
      <c r="P96">
        <v>0</v>
      </c>
      <c r="Q96" t="s">
        <v>34</v>
      </c>
      <c r="R96" s="1">
        <v>41001</v>
      </c>
      <c r="S96" t="s">
        <v>41</v>
      </c>
      <c r="T96">
        <v>4</v>
      </c>
      <c r="U96">
        <v>1</v>
      </c>
      <c r="V96">
        <v>2</v>
      </c>
      <c r="W96">
        <v>1</v>
      </c>
      <c r="X96" t="s">
        <v>11024</v>
      </c>
      <c r="Y96" t="s">
        <v>11024</v>
      </c>
      <c r="Z96" t="str">
        <f>_xlfn.XLOOKUP(Employees[[#This Row],[Education]], EdLevel[EducationLevelID], EdLevel[EducationLevel])</f>
        <v>Doctorate</v>
      </c>
      <c r="AA96">
        <f>IF(Employees[[#This Row],[Attrition]] = "Yes", 1, 0)</f>
        <v>1</v>
      </c>
      <c r="AB96" t="str" cm="1">
        <f t="array" ref="AB96">_xlfn.IFS(Employees[[#This Row],[Age]]&lt;30, "20-29", Employees[[#This Row],[Age]]&lt;40, "30-39", Employees[[#This Row],[Age]]&lt;50, "40-49", "TRUE", "50+")</f>
        <v>20-29</v>
      </c>
    </row>
    <row r="97" spans="1:28">
      <c r="A97" t="s">
        <v>353</v>
      </c>
      <c r="B97" t="s">
        <v>354</v>
      </c>
      <c r="C97" t="s">
        <v>355</v>
      </c>
      <c r="D97" t="s">
        <v>38</v>
      </c>
      <c r="E97">
        <v>42</v>
      </c>
      <c r="F97" t="s">
        <v>27</v>
      </c>
      <c r="G97" t="s">
        <v>54</v>
      </c>
      <c r="H97">
        <v>34</v>
      </c>
      <c r="I97" t="s">
        <v>65</v>
      </c>
      <c r="J97" t="s">
        <v>30</v>
      </c>
      <c r="K97">
        <v>4</v>
      </c>
      <c r="L97" t="s">
        <v>178</v>
      </c>
      <c r="M97" t="s">
        <v>93</v>
      </c>
      <c r="N97" t="s">
        <v>33</v>
      </c>
      <c r="O97">
        <v>126463</v>
      </c>
      <c r="P97">
        <v>1</v>
      </c>
      <c r="Q97" t="s">
        <v>34</v>
      </c>
      <c r="R97" s="1">
        <v>41003</v>
      </c>
      <c r="S97" t="s">
        <v>34</v>
      </c>
      <c r="T97">
        <v>10</v>
      </c>
      <c r="U97">
        <v>0</v>
      </c>
      <c r="V97">
        <v>1</v>
      </c>
      <c r="W97">
        <v>8</v>
      </c>
      <c r="X97" t="s">
        <v>11023</v>
      </c>
      <c r="Y97" t="s">
        <v>11023</v>
      </c>
      <c r="Z97" t="str">
        <f>_xlfn.XLOOKUP(Employees[[#This Row],[Education]], EdLevel[EducationLevelID], EdLevel[EducationLevel])</f>
        <v xml:space="preserve">Masters </v>
      </c>
      <c r="AA97">
        <f>IF(Employees[[#This Row],[Attrition]] = "Yes", 1, 0)</f>
        <v>0</v>
      </c>
      <c r="AB97" t="str" cm="1">
        <f t="array" ref="AB97">_xlfn.IFS(Employees[[#This Row],[Age]]&lt;30, "20-29", Employees[[#This Row],[Age]]&lt;40, "30-39", Employees[[#This Row],[Age]]&lt;50, "40-49", "TRUE", "50+")</f>
        <v>40-49</v>
      </c>
    </row>
    <row r="98" spans="1:28">
      <c r="A98" t="s">
        <v>356</v>
      </c>
      <c r="B98" t="s">
        <v>357</v>
      </c>
      <c r="C98" t="s">
        <v>358</v>
      </c>
      <c r="D98" t="s">
        <v>26</v>
      </c>
      <c r="E98">
        <v>47</v>
      </c>
      <c r="F98" t="s">
        <v>27</v>
      </c>
      <c r="G98" t="s">
        <v>54</v>
      </c>
      <c r="H98">
        <v>5</v>
      </c>
      <c r="I98" t="s">
        <v>65</v>
      </c>
      <c r="J98" t="s">
        <v>66</v>
      </c>
      <c r="K98">
        <v>5</v>
      </c>
      <c r="L98" t="s">
        <v>72</v>
      </c>
      <c r="M98" t="s">
        <v>85</v>
      </c>
      <c r="N98" t="s">
        <v>40</v>
      </c>
      <c r="O98">
        <v>133616</v>
      </c>
      <c r="P98">
        <v>0</v>
      </c>
      <c r="Q98" t="s">
        <v>41</v>
      </c>
      <c r="R98" s="1">
        <v>41005</v>
      </c>
      <c r="S98" t="s">
        <v>34</v>
      </c>
      <c r="T98">
        <v>10</v>
      </c>
      <c r="U98">
        <v>9</v>
      </c>
      <c r="V98">
        <v>9</v>
      </c>
      <c r="W98">
        <v>0</v>
      </c>
      <c r="X98" t="s">
        <v>11024</v>
      </c>
      <c r="Y98" t="s">
        <v>11024</v>
      </c>
      <c r="Z98" t="str">
        <f>_xlfn.XLOOKUP(Employees[[#This Row],[Education]], EdLevel[EducationLevelID], EdLevel[EducationLevel])</f>
        <v>Doctorate</v>
      </c>
      <c r="AA98">
        <f>IF(Employees[[#This Row],[Attrition]] = "Yes", 1, 0)</f>
        <v>0</v>
      </c>
      <c r="AB98" t="str" cm="1">
        <f t="array" ref="AB98">_xlfn.IFS(Employees[[#This Row],[Age]]&lt;30, "20-29", Employees[[#This Row],[Age]]&lt;40, "30-39", Employees[[#This Row],[Age]]&lt;50, "40-49", "TRUE", "50+")</f>
        <v>40-49</v>
      </c>
    </row>
    <row r="99" spans="1:28">
      <c r="A99" t="s">
        <v>359</v>
      </c>
      <c r="B99" t="s">
        <v>360</v>
      </c>
      <c r="C99" t="s">
        <v>361</v>
      </c>
      <c r="D99" t="s">
        <v>26</v>
      </c>
      <c r="E99">
        <v>36</v>
      </c>
      <c r="F99" t="s">
        <v>27</v>
      </c>
      <c r="G99" t="s">
        <v>54</v>
      </c>
      <c r="H99">
        <v>4</v>
      </c>
      <c r="I99" t="s">
        <v>39</v>
      </c>
      <c r="J99" t="s">
        <v>30</v>
      </c>
      <c r="K99">
        <v>3</v>
      </c>
      <c r="L99" t="s">
        <v>72</v>
      </c>
      <c r="M99" t="s">
        <v>105</v>
      </c>
      <c r="N99" t="s">
        <v>40</v>
      </c>
      <c r="O99">
        <v>208338</v>
      </c>
      <c r="P99">
        <v>0</v>
      </c>
      <c r="Q99" t="s">
        <v>34</v>
      </c>
      <c r="R99" s="1">
        <v>41006</v>
      </c>
      <c r="S99" t="s">
        <v>34</v>
      </c>
      <c r="T99">
        <v>10</v>
      </c>
      <c r="U99">
        <v>10</v>
      </c>
      <c r="V99">
        <v>10</v>
      </c>
      <c r="W99">
        <v>1</v>
      </c>
      <c r="X99" t="s">
        <v>11022</v>
      </c>
      <c r="Y99" t="s">
        <v>11022</v>
      </c>
      <c r="Z99" t="str">
        <f>_xlfn.XLOOKUP(Employees[[#This Row],[Education]], EdLevel[EducationLevelID], EdLevel[EducationLevel])</f>
        <v xml:space="preserve">Bachelors </v>
      </c>
      <c r="AA99">
        <f>IF(Employees[[#This Row],[Attrition]] = "Yes", 1, 0)</f>
        <v>0</v>
      </c>
      <c r="AB99" t="str" cm="1">
        <f t="array" ref="AB99">_xlfn.IFS(Employees[[#This Row],[Age]]&lt;30, "20-29", Employees[[#This Row],[Age]]&lt;40, "30-39", Employees[[#This Row],[Age]]&lt;50, "40-49", "TRUE", "50+")</f>
        <v>30-39</v>
      </c>
    </row>
    <row r="100" spans="1:28">
      <c r="A100" t="s">
        <v>362</v>
      </c>
      <c r="B100" t="s">
        <v>363</v>
      </c>
      <c r="C100" t="s">
        <v>364</v>
      </c>
      <c r="D100" t="s">
        <v>38</v>
      </c>
      <c r="E100">
        <v>31</v>
      </c>
      <c r="F100" t="s">
        <v>27</v>
      </c>
      <c r="G100" t="s">
        <v>28</v>
      </c>
      <c r="H100">
        <v>15</v>
      </c>
      <c r="I100" t="s">
        <v>39</v>
      </c>
      <c r="J100" t="s">
        <v>30</v>
      </c>
      <c r="K100">
        <v>3</v>
      </c>
      <c r="L100" t="s">
        <v>31</v>
      </c>
      <c r="M100" t="s">
        <v>32</v>
      </c>
      <c r="N100" t="s">
        <v>49</v>
      </c>
      <c r="O100">
        <v>187930</v>
      </c>
      <c r="P100">
        <v>3</v>
      </c>
      <c r="Q100" t="s">
        <v>34</v>
      </c>
      <c r="R100" s="1">
        <v>41006</v>
      </c>
      <c r="S100" t="s">
        <v>41</v>
      </c>
      <c r="T100">
        <v>3</v>
      </c>
      <c r="U100">
        <v>2</v>
      </c>
      <c r="V100">
        <v>2</v>
      </c>
      <c r="W100">
        <v>0</v>
      </c>
      <c r="X100" t="s">
        <v>11022</v>
      </c>
      <c r="Y100" t="s">
        <v>11022</v>
      </c>
      <c r="Z100" t="str">
        <f>_xlfn.XLOOKUP(Employees[[#This Row],[Education]], EdLevel[EducationLevelID], EdLevel[EducationLevel])</f>
        <v xml:space="preserve">Bachelors </v>
      </c>
      <c r="AA100">
        <f>IF(Employees[[#This Row],[Attrition]] = "Yes", 1, 0)</f>
        <v>1</v>
      </c>
      <c r="AB100" t="str" cm="1">
        <f t="array" ref="AB100">_xlfn.IFS(Employees[[#This Row],[Age]]&lt;30, "20-29", Employees[[#This Row],[Age]]&lt;40, "30-39", Employees[[#This Row],[Age]]&lt;50, "40-49", "TRUE", "50+")</f>
        <v>30-39</v>
      </c>
    </row>
    <row r="101" spans="1:28">
      <c r="A101" t="s">
        <v>365</v>
      </c>
      <c r="B101" t="s">
        <v>366</v>
      </c>
      <c r="C101" t="s">
        <v>367</v>
      </c>
      <c r="D101" t="s">
        <v>26</v>
      </c>
      <c r="E101">
        <v>43</v>
      </c>
      <c r="F101" t="s">
        <v>84</v>
      </c>
      <c r="G101" t="s">
        <v>28</v>
      </c>
      <c r="H101">
        <v>1</v>
      </c>
      <c r="I101" t="s">
        <v>65</v>
      </c>
      <c r="J101" t="s">
        <v>66</v>
      </c>
      <c r="K101">
        <v>3</v>
      </c>
      <c r="L101" t="s">
        <v>31</v>
      </c>
      <c r="M101" t="s">
        <v>32</v>
      </c>
      <c r="N101" t="s">
        <v>40</v>
      </c>
      <c r="O101">
        <v>180996</v>
      </c>
      <c r="P101">
        <v>0</v>
      </c>
      <c r="Q101" t="s">
        <v>34</v>
      </c>
      <c r="R101" s="1">
        <v>41009</v>
      </c>
      <c r="S101" t="s">
        <v>34</v>
      </c>
      <c r="T101">
        <v>10</v>
      </c>
      <c r="U101">
        <v>8</v>
      </c>
      <c r="V101">
        <v>10</v>
      </c>
      <c r="W101">
        <v>9</v>
      </c>
      <c r="X101" t="s">
        <v>11022</v>
      </c>
      <c r="Y101" t="s">
        <v>11022</v>
      </c>
      <c r="Z101" t="str">
        <f>_xlfn.XLOOKUP(Employees[[#This Row],[Education]], EdLevel[EducationLevelID], EdLevel[EducationLevel])</f>
        <v xml:space="preserve">Bachelors </v>
      </c>
      <c r="AA101">
        <f>IF(Employees[[#This Row],[Attrition]] = "Yes", 1, 0)</f>
        <v>0</v>
      </c>
      <c r="AB101" t="str" cm="1">
        <f t="array" ref="AB101">_xlfn.IFS(Employees[[#This Row],[Age]]&lt;30, "20-29", Employees[[#This Row],[Age]]&lt;40, "30-39", Employees[[#This Row],[Age]]&lt;50, "40-49", "TRUE", "50+")</f>
        <v>40-49</v>
      </c>
    </row>
    <row r="102" spans="1:28">
      <c r="A102" t="s">
        <v>368</v>
      </c>
      <c r="B102" t="s">
        <v>369</v>
      </c>
      <c r="C102" t="s">
        <v>370</v>
      </c>
      <c r="D102" t="s">
        <v>38</v>
      </c>
      <c r="E102">
        <v>47</v>
      </c>
      <c r="F102" t="s">
        <v>27</v>
      </c>
      <c r="G102" t="s">
        <v>54</v>
      </c>
      <c r="H102">
        <v>40</v>
      </c>
      <c r="I102" t="s">
        <v>65</v>
      </c>
      <c r="J102" t="s">
        <v>30</v>
      </c>
      <c r="K102">
        <v>2</v>
      </c>
      <c r="L102" t="s">
        <v>55</v>
      </c>
      <c r="M102" t="s">
        <v>85</v>
      </c>
      <c r="N102" t="s">
        <v>40</v>
      </c>
      <c r="O102">
        <v>108798</v>
      </c>
      <c r="P102">
        <v>0</v>
      </c>
      <c r="Q102" t="s">
        <v>34</v>
      </c>
      <c r="R102" s="1">
        <v>41011</v>
      </c>
      <c r="S102" t="s">
        <v>34</v>
      </c>
      <c r="T102">
        <v>10</v>
      </c>
      <c r="U102">
        <v>0</v>
      </c>
      <c r="V102">
        <v>4</v>
      </c>
      <c r="W102">
        <v>7</v>
      </c>
      <c r="X102" t="s">
        <v>11021</v>
      </c>
      <c r="Y102" t="s">
        <v>11021</v>
      </c>
      <c r="Z102" t="str">
        <f>_xlfn.XLOOKUP(Employees[[#This Row],[Education]], EdLevel[EducationLevelID], EdLevel[EducationLevel])</f>
        <v xml:space="preserve">High School </v>
      </c>
      <c r="AA102">
        <f>IF(Employees[[#This Row],[Attrition]] = "Yes", 1, 0)</f>
        <v>0</v>
      </c>
      <c r="AB102" t="str" cm="1">
        <f t="array" ref="AB102">_xlfn.IFS(Employees[[#This Row],[Age]]&lt;30, "20-29", Employees[[#This Row],[Age]]&lt;40, "30-39", Employees[[#This Row],[Age]]&lt;50, "40-49", "TRUE", "50+")</f>
        <v>40-49</v>
      </c>
    </row>
    <row r="103" spans="1:28">
      <c r="A103" t="s">
        <v>371</v>
      </c>
      <c r="B103" t="s">
        <v>372</v>
      </c>
      <c r="C103" t="s">
        <v>373</v>
      </c>
      <c r="D103" t="s">
        <v>38</v>
      </c>
      <c r="E103">
        <v>47</v>
      </c>
      <c r="F103" t="s">
        <v>70</v>
      </c>
      <c r="G103" t="s">
        <v>28</v>
      </c>
      <c r="H103">
        <v>17</v>
      </c>
      <c r="I103" t="s">
        <v>65</v>
      </c>
      <c r="J103" t="s">
        <v>30</v>
      </c>
      <c r="K103">
        <v>4</v>
      </c>
      <c r="L103" t="s">
        <v>77</v>
      </c>
      <c r="M103" t="s">
        <v>32</v>
      </c>
      <c r="N103" t="s">
        <v>49</v>
      </c>
      <c r="O103">
        <v>176158</v>
      </c>
      <c r="P103">
        <v>0</v>
      </c>
      <c r="Q103" t="s">
        <v>34</v>
      </c>
      <c r="R103" s="1">
        <v>41012</v>
      </c>
      <c r="S103" t="s">
        <v>34</v>
      </c>
      <c r="T103">
        <v>10</v>
      </c>
      <c r="U103">
        <v>9</v>
      </c>
      <c r="V103">
        <v>10</v>
      </c>
      <c r="W103">
        <v>2</v>
      </c>
      <c r="X103" t="s">
        <v>11023</v>
      </c>
      <c r="Y103" t="s">
        <v>11023</v>
      </c>
      <c r="Z103" t="str">
        <f>_xlfn.XLOOKUP(Employees[[#This Row],[Education]], EdLevel[EducationLevelID], EdLevel[EducationLevel])</f>
        <v xml:space="preserve">Masters </v>
      </c>
      <c r="AA103">
        <f>IF(Employees[[#This Row],[Attrition]] = "Yes", 1, 0)</f>
        <v>0</v>
      </c>
      <c r="AB103" t="str" cm="1">
        <f t="array" ref="AB103">_xlfn.IFS(Employees[[#This Row],[Age]]&lt;30, "20-29", Employees[[#This Row],[Age]]&lt;40, "30-39", Employees[[#This Row],[Age]]&lt;50, "40-49", "TRUE", "50+")</f>
        <v>40-49</v>
      </c>
    </row>
    <row r="104" spans="1:28">
      <c r="A104" t="s">
        <v>374</v>
      </c>
      <c r="B104" t="s">
        <v>375</v>
      </c>
      <c r="C104" t="s">
        <v>376</v>
      </c>
      <c r="D104" t="s">
        <v>38</v>
      </c>
      <c r="E104">
        <v>36</v>
      </c>
      <c r="F104" t="s">
        <v>27</v>
      </c>
      <c r="G104" t="s">
        <v>54</v>
      </c>
      <c r="H104">
        <v>7</v>
      </c>
      <c r="I104" t="s">
        <v>39</v>
      </c>
      <c r="J104" t="s">
        <v>71</v>
      </c>
      <c r="K104">
        <v>4</v>
      </c>
      <c r="L104" t="s">
        <v>55</v>
      </c>
      <c r="M104" t="s">
        <v>85</v>
      </c>
      <c r="N104" t="s">
        <v>33</v>
      </c>
      <c r="O104">
        <v>73643</v>
      </c>
      <c r="P104">
        <v>1</v>
      </c>
      <c r="Q104" t="s">
        <v>34</v>
      </c>
      <c r="R104" s="1">
        <v>41013</v>
      </c>
      <c r="S104" t="s">
        <v>34</v>
      </c>
      <c r="T104">
        <v>10</v>
      </c>
      <c r="U104">
        <v>0</v>
      </c>
      <c r="V104">
        <v>7</v>
      </c>
      <c r="W104">
        <v>9</v>
      </c>
      <c r="X104" t="s">
        <v>11023</v>
      </c>
      <c r="Y104" t="s">
        <v>11023</v>
      </c>
      <c r="Z104" t="str">
        <f>_xlfn.XLOOKUP(Employees[[#This Row],[Education]], EdLevel[EducationLevelID], EdLevel[EducationLevel])</f>
        <v xml:space="preserve">Masters </v>
      </c>
      <c r="AA104">
        <f>IF(Employees[[#This Row],[Attrition]] = "Yes", 1, 0)</f>
        <v>0</v>
      </c>
      <c r="AB104" t="str" cm="1">
        <f t="array" ref="AB104">_xlfn.IFS(Employees[[#This Row],[Age]]&lt;30, "20-29", Employees[[#This Row],[Age]]&lt;40, "30-39", Employees[[#This Row],[Age]]&lt;50, "40-49", "TRUE", "50+")</f>
        <v>30-39</v>
      </c>
    </row>
    <row r="105" spans="1:28">
      <c r="A105" t="s">
        <v>377</v>
      </c>
      <c r="B105" t="s">
        <v>378</v>
      </c>
      <c r="C105" t="s">
        <v>379</v>
      </c>
      <c r="D105" t="s">
        <v>38</v>
      </c>
      <c r="E105">
        <v>43</v>
      </c>
      <c r="F105" t="s">
        <v>70</v>
      </c>
      <c r="G105" t="s">
        <v>54</v>
      </c>
      <c r="H105">
        <v>15</v>
      </c>
      <c r="I105" t="s">
        <v>39</v>
      </c>
      <c r="J105" t="s">
        <v>46</v>
      </c>
      <c r="K105">
        <v>2</v>
      </c>
      <c r="L105" t="s">
        <v>77</v>
      </c>
      <c r="M105" t="s">
        <v>93</v>
      </c>
      <c r="N105" t="s">
        <v>33</v>
      </c>
      <c r="O105">
        <v>76826</v>
      </c>
      <c r="P105">
        <v>1</v>
      </c>
      <c r="Q105" t="s">
        <v>34</v>
      </c>
      <c r="R105" s="1">
        <v>41013</v>
      </c>
      <c r="S105" t="s">
        <v>34</v>
      </c>
      <c r="T105">
        <v>10</v>
      </c>
      <c r="U105">
        <v>9</v>
      </c>
      <c r="V105">
        <v>9</v>
      </c>
      <c r="W105">
        <v>7</v>
      </c>
      <c r="X105" t="s">
        <v>11021</v>
      </c>
      <c r="Y105" t="s">
        <v>11021</v>
      </c>
      <c r="Z105" t="str">
        <f>_xlfn.XLOOKUP(Employees[[#This Row],[Education]], EdLevel[EducationLevelID], EdLevel[EducationLevel])</f>
        <v xml:space="preserve">High School </v>
      </c>
      <c r="AA105">
        <f>IF(Employees[[#This Row],[Attrition]] = "Yes", 1, 0)</f>
        <v>0</v>
      </c>
      <c r="AB105" t="str" cm="1">
        <f t="array" ref="AB105">_xlfn.IFS(Employees[[#This Row],[Age]]&lt;30, "20-29", Employees[[#This Row],[Age]]&lt;40, "30-39", Employees[[#This Row],[Age]]&lt;50, "40-49", "TRUE", "50+")</f>
        <v>40-49</v>
      </c>
    </row>
    <row r="106" spans="1:28">
      <c r="A106" t="s">
        <v>380</v>
      </c>
      <c r="B106" t="s">
        <v>381</v>
      </c>
      <c r="C106" t="s">
        <v>382</v>
      </c>
      <c r="D106" t="s">
        <v>38</v>
      </c>
      <c r="E106">
        <v>38</v>
      </c>
      <c r="F106" t="s">
        <v>27</v>
      </c>
      <c r="G106" t="s">
        <v>54</v>
      </c>
      <c r="H106">
        <v>40</v>
      </c>
      <c r="I106" t="s">
        <v>39</v>
      </c>
      <c r="J106" t="s">
        <v>30</v>
      </c>
      <c r="K106">
        <v>4</v>
      </c>
      <c r="L106" t="s">
        <v>55</v>
      </c>
      <c r="M106" t="s">
        <v>105</v>
      </c>
      <c r="N106" t="s">
        <v>33</v>
      </c>
      <c r="O106">
        <v>126505</v>
      </c>
      <c r="P106">
        <v>1</v>
      </c>
      <c r="Q106" t="s">
        <v>34</v>
      </c>
      <c r="R106" s="1">
        <v>41014</v>
      </c>
      <c r="S106" t="s">
        <v>34</v>
      </c>
      <c r="T106">
        <v>10</v>
      </c>
      <c r="U106">
        <v>1</v>
      </c>
      <c r="V106">
        <v>5</v>
      </c>
      <c r="W106">
        <v>8</v>
      </c>
      <c r="X106" t="s">
        <v>11023</v>
      </c>
      <c r="Y106" t="s">
        <v>11023</v>
      </c>
      <c r="Z106" t="str">
        <f>_xlfn.XLOOKUP(Employees[[#This Row],[Education]], EdLevel[EducationLevelID], EdLevel[EducationLevel])</f>
        <v xml:space="preserve">Masters </v>
      </c>
      <c r="AA106">
        <f>IF(Employees[[#This Row],[Attrition]] = "Yes", 1, 0)</f>
        <v>0</v>
      </c>
      <c r="AB106" t="str" cm="1">
        <f t="array" ref="AB106">_xlfn.IFS(Employees[[#This Row],[Age]]&lt;30, "20-29", Employees[[#This Row],[Age]]&lt;40, "30-39", Employees[[#This Row],[Age]]&lt;50, "40-49", "TRUE", "50+")</f>
        <v>30-39</v>
      </c>
    </row>
    <row r="107" spans="1:28">
      <c r="A107" t="s">
        <v>383</v>
      </c>
      <c r="B107" t="s">
        <v>384</v>
      </c>
      <c r="C107" t="s">
        <v>385</v>
      </c>
      <c r="D107" t="s">
        <v>26</v>
      </c>
      <c r="E107">
        <v>45</v>
      </c>
      <c r="F107" t="s">
        <v>27</v>
      </c>
      <c r="G107" t="s">
        <v>54</v>
      </c>
      <c r="H107">
        <v>34</v>
      </c>
      <c r="I107" t="s">
        <v>65</v>
      </c>
      <c r="J107" t="s">
        <v>30</v>
      </c>
      <c r="K107">
        <v>2</v>
      </c>
      <c r="L107" t="s">
        <v>72</v>
      </c>
      <c r="M107" t="s">
        <v>93</v>
      </c>
      <c r="N107" t="s">
        <v>33</v>
      </c>
      <c r="O107">
        <v>152278</v>
      </c>
      <c r="P107">
        <v>1</v>
      </c>
      <c r="Q107" t="s">
        <v>41</v>
      </c>
      <c r="R107" s="1">
        <v>41017</v>
      </c>
      <c r="S107" t="s">
        <v>34</v>
      </c>
      <c r="T107">
        <v>10</v>
      </c>
      <c r="U107">
        <v>8</v>
      </c>
      <c r="V107">
        <v>8</v>
      </c>
      <c r="W107">
        <v>2</v>
      </c>
      <c r="X107" t="s">
        <v>11021</v>
      </c>
      <c r="Y107" t="s">
        <v>11021</v>
      </c>
      <c r="Z107" t="str">
        <f>_xlfn.XLOOKUP(Employees[[#This Row],[Education]], EdLevel[EducationLevelID], EdLevel[EducationLevel])</f>
        <v xml:space="preserve">High School </v>
      </c>
      <c r="AA107">
        <f>IF(Employees[[#This Row],[Attrition]] = "Yes", 1, 0)</f>
        <v>0</v>
      </c>
      <c r="AB107" t="str" cm="1">
        <f t="array" ref="AB107">_xlfn.IFS(Employees[[#This Row],[Age]]&lt;30, "20-29", Employees[[#This Row],[Age]]&lt;40, "30-39", Employees[[#This Row],[Age]]&lt;50, "40-49", "TRUE", "50+")</f>
        <v>40-49</v>
      </c>
    </row>
    <row r="108" spans="1:28">
      <c r="A108" t="s">
        <v>386</v>
      </c>
      <c r="B108" t="s">
        <v>387</v>
      </c>
      <c r="C108" t="s">
        <v>388</v>
      </c>
      <c r="D108" t="s">
        <v>38</v>
      </c>
      <c r="E108">
        <v>28</v>
      </c>
      <c r="F108" t="s">
        <v>27</v>
      </c>
      <c r="G108" t="s">
        <v>54</v>
      </c>
      <c r="H108">
        <v>6</v>
      </c>
      <c r="I108" t="s">
        <v>39</v>
      </c>
      <c r="J108" t="s">
        <v>30</v>
      </c>
      <c r="K108">
        <v>1</v>
      </c>
      <c r="L108" t="s">
        <v>72</v>
      </c>
      <c r="M108" t="s">
        <v>85</v>
      </c>
      <c r="N108" t="s">
        <v>40</v>
      </c>
      <c r="O108">
        <v>87175</v>
      </c>
      <c r="P108">
        <v>0</v>
      </c>
      <c r="Q108" t="s">
        <v>34</v>
      </c>
      <c r="R108" s="1">
        <v>41020</v>
      </c>
      <c r="S108" t="s">
        <v>34</v>
      </c>
      <c r="T108">
        <v>10</v>
      </c>
      <c r="U108">
        <v>6</v>
      </c>
      <c r="V108">
        <v>10</v>
      </c>
      <c r="W108">
        <v>7</v>
      </c>
      <c r="X108" t="s">
        <v>11020</v>
      </c>
      <c r="Y108" t="s">
        <v>11020</v>
      </c>
      <c r="Z108" t="str">
        <f>_xlfn.XLOOKUP(Employees[[#This Row],[Education]], EdLevel[EducationLevelID], EdLevel[EducationLevel])</f>
        <v>No Formal Qualifications</v>
      </c>
      <c r="AA108">
        <f>IF(Employees[[#This Row],[Attrition]] = "Yes", 1, 0)</f>
        <v>0</v>
      </c>
      <c r="AB108" t="str" cm="1">
        <f t="array" ref="AB108">_xlfn.IFS(Employees[[#This Row],[Age]]&lt;30, "20-29", Employees[[#This Row],[Age]]&lt;40, "30-39", Employees[[#This Row],[Age]]&lt;50, "40-49", "TRUE", "50+")</f>
        <v>20-29</v>
      </c>
    </row>
    <row r="109" spans="1:28">
      <c r="A109" t="s">
        <v>389</v>
      </c>
      <c r="B109" t="s">
        <v>390</v>
      </c>
      <c r="C109" t="s">
        <v>391</v>
      </c>
      <c r="D109" t="s">
        <v>53</v>
      </c>
      <c r="E109">
        <v>35</v>
      </c>
      <c r="F109" t="s">
        <v>27</v>
      </c>
      <c r="G109" t="s">
        <v>28</v>
      </c>
      <c r="H109">
        <v>26</v>
      </c>
      <c r="I109" t="s">
        <v>39</v>
      </c>
      <c r="J109" t="s">
        <v>71</v>
      </c>
      <c r="K109">
        <v>4</v>
      </c>
      <c r="L109" t="s">
        <v>31</v>
      </c>
      <c r="M109" t="s">
        <v>32</v>
      </c>
      <c r="N109" t="s">
        <v>40</v>
      </c>
      <c r="O109">
        <v>98435</v>
      </c>
      <c r="P109">
        <v>0</v>
      </c>
      <c r="Q109" t="s">
        <v>34</v>
      </c>
      <c r="R109" s="1">
        <v>41022</v>
      </c>
      <c r="S109" t="s">
        <v>34</v>
      </c>
      <c r="T109">
        <v>10</v>
      </c>
      <c r="U109">
        <v>7</v>
      </c>
      <c r="V109">
        <v>9</v>
      </c>
      <c r="W109">
        <v>9</v>
      </c>
      <c r="X109" t="s">
        <v>11023</v>
      </c>
      <c r="Y109" t="s">
        <v>11023</v>
      </c>
      <c r="Z109" t="str">
        <f>_xlfn.XLOOKUP(Employees[[#This Row],[Education]], EdLevel[EducationLevelID], EdLevel[EducationLevel])</f>
        <v xml:space="preserve">Masters </v>
      </c>
      <c r="AA109">
        <f>IF(Employees[[#This Row],[Attrition]] = "Yes", 1, 0)</f>
        <v>0</v>
      </c>
      <c r="AB109" t="str" cm="1">
        <f t="array" ref="AB109">_xlfn.IFS(Employees[[#This Row],[Age]]&lt;30, "20-29", Employees[[#This Row],[Age]]&lt;40, "30-39", Employees[[#This Row],[Age]]&lt;50, "40-49", "TRUE", "50+")</f>
        <v>30-39</v>
      </c>
    </row>
    <row r="110" spans="1:28">
      <c r="A110" t="s">
        <v>392</v>
      </c>
      <c r="B110" t="s">
        <v>393</v>
      </c>
      <c r="C110" t="s">
        <v>394</v>
      </c>
      <c r="D110" t="s">
        <v>26</v>
      </c>
      <c r="E110">
        <v>28</v>
      </c>
      <c r="F110" t="s">
        <v>27</v>
      </c>
      <c r="G110" t="s">
        <v>54</v>
      </c>
      <c r="H110">
        <v>33</v>
      </c>
      <c r="I110" t="s">
        <v>39</v>
      </c>
      <c r="J110" t="s">
        <v>46</v>
      </c>
      <c r="K110">
        <v>3</v>
      </c>
      <c r="L110" t="s">
        <v>55</v>
      </c>
      <c r="M110" t="s">
        <v>85</v>
      </c>
      <c r="N110" t="s">
        <v>40</v>
      </c>
      <c r="O110">
        <v>54536</v>
      </c>
      <c r="P110">
        <v>0</v>
      </c>
      <c r="Q110" t="s">
        <v>34</v>
      </c>
      <c r="R110" s="1">
        <v>41022</v>
      </c>
      <c r="S110" t="s">
        <v>41</v>
      </c>
      <c r="T110">
        <v>3</v>
      </c>
      <c r="U110">
        <v>3</v>
      </c>
      <c r="V110">
        <v>3</v>
      </c>
      <c r="W110">
        <v>2</v>
      </c>
      <c r="X110" t="s">
        <v>11022</v>
      </c>
      <c r="Y110" t="s">
        <v>11022</v>
      </c>
      <c r="Z110" t="str">
        <f>_xlfn.XLOOKUP(Employees[[#This Row],[Education]], EdLevel[EducationLevelID], EdLevel[EducationLevel])</f>
        <v xml:space="preserve">Bachelors </v>
      </c>
      <c r="AA110">
        <f>IF(Employees[[#This Row],[Attrition]] = "Yes", 1, 0)</f>
        <v>1</v>
      </c>
      <c r="AB110" t="str" cm="1">
        <f t="array" ref="AB110">_xlfn.IFS(Employees[[#This Row],[Age]]&lt;30, "20-29", Employees[[#This Row],[Age]]&lt;40, "30-39", Employees[[#This Row],[Age]]&lt;50, "40-49", "TRUE", "50+")</f>
        <v>20-29</v>
      </c>
    </row>
    <row r="111" spans="1:28">
      <c r="A111" t="s">
        <v>395</v>
      </c>
      <c r="B111" t="s">
        <v>396</v>
      </c>
      <c r="C111" t="s">
        <v>397</v>
      </c>
      <c r="D111" t="s">
        <v>26</v>
      </c>
      <c r="E111">
        <v>31</v>
      </c>
      <c r="F111" t="s">
        <v>27</v>
      </c>
      <c r="G111" t="s">
        <v>54</v>
      </c>
      <c r="H111">
        <v>14</v>
      </c>
      <c r="I111" t="s">
        <v>65</v>
      </c>
      <c r="J111" t="s">
        <v>66</v>
      </c>
      <c r="K111">
        <v>1</v>
      </c>
      <c r="L111" t="s">
        <v>77</v>
      </c>
      <c r="M111" t="s">
        <v>101</v>
      </c>
      <c r="N111" t="s">
        <v>40</v>
      </c>
      <c r="O111">
        <v>63482</v>
      </c>
      <c r="P111">
        <v>0</v>
      </c>
      <c r="Q111" t="s">
        <v>34</v>
      </c>
      <c r="R111" s="1">
        <v>41022</v>
      </c>
      <c r="S111" t="s">
        <v>41</v>
      </c>
      <c r="T111">
        <v>1</v>
      </c>
      <c r="U111">
        <v>0</v>
      </c>
      <c r="V111">
        <v>1</v>
      </c>
      <c r="W111">
        <v>1</v>
      </c>
      <c r="X111" t="s">
        <v>11020</v>
      </c>
      <c r="Y111" t="s">
        <v>11020</v>
      </c>
      <c r="Z111" t="str">
        <f>_xlfn.XLOOKUP(Employees[[#This Row],[Education]], EdLevel[EducationLevelID], EdLevel[EducationLevel])</f>
        <v>No Formal Qualifications</v>
      </c>
      <c r="AA111">
        <f>IF(Employees[[#This Row],[Attrition]] = "Yes", 1, 0)</f>
        <v>1</v>
      </c>
      <c r="AB111" t="str" cm="1">
        <f t="array" ref="AB111">_xlfn.IFS(Employees[[#This Row],[Age]]&lt;30, "20-29", Employees[[#This Row],[Age]]&lt;40, "30-39", Employees[[#This Row],[Age]]&lt;50, "40-49", "TRUE", "50+")</f>
        <v>30-39</v>
      </c>
    </row>
    <row r="112" spans="1:28">
      <c r="A112" t="s">
        <v>398</v>
      </c>
      <c r="B112" t="s">
        <v>399</v>
      </c>
      <c r="C112" t="s">
        <v>400</v>
      </c>
      <c r="D112" t="s">
        <v>38</v>
      </c>
      <c r="E112">
        <v>29</v>
      </c>
      <c r="F112" t="s">
        <v>27</v>
      </c>
      <c r="G112" t="s">
        <v>54</v>
      </c>
      <c r="H112">
        <v>33</v>
      </c>
      <c r="I112" t="s">
        <v>39</v>
      </c>
      <c r="J112" t="s">
        <v>30</v>
      </c>
      <c r="K112">
        <v>3</v>
      </c>
      <c r="L112" t="s">
        <v>55</v>
      </c>
      <c r="M112" t="s">
        <v>101</v>
      </c>
      <c r="N112" t="s">
        <v>33</v>
      </c>
      <c r="O112">
        <v>153909</v>
      </c>
      <c r="P112">
        <v>1</v>
      </c>
      <c r="Q112" t="s">
        <v>34</v>
      </c>
      <c r="R112" s="1">
        <v>41022</v>
      </c>
      <c r="S112" t="s">
        <v>34</v>
      </c>
      <c r="T112">
        <v>10</v>
      </c>
      <c r="U112">
        <v>10</v>
      </c>
      <c r="V112">
        <v>10</v>
      </c>
      <c r="W112">
        <v>2</v>
      </c>
      <c r="X112" t="s">
        <v>11022</v>
      </c>
      <c r="Y112" t="s">
        <v>11022</v>
      </c>
      <c r="Z112" t="str">
        <f>_xlfn.XLOOKUP(Employees[[#This Row],[Education]], EdLevel[EducationLevelID], EdLevel[EducationLevel])</f>
        <v xml:space="preserve">Bachelors </v>
      </c>
      <c r="AA112">
        <f>IF(Employees[[#This Row],[Attrition]] = "Yes", 1, 0)</f>
        <v>0</v>
      </c>
      <c r="AB112" t="str" cm="1">
        <f t="array" ref="AB112">_xlfn.IFS(Employees[[#This Row],[Age]]&lt;30, "20-29", Employees[[#This Row],[Age]]&lt;40, "30-39", Employees[[#This Row],[Age]]&lt;50, "40-49", "TRUE", "50+")</f>
        <v>20-29</v>
      </c>
    </row>
    <row r="113" spans="1:28">
      <c r="A113" t="s">
        <v>401</v>
      </c>
      <c r="B113" t="s">
        <v>402</v>
      </c>
      <c r="C113" t="s">
        <v>403</v>
      </c>
      <c r="D113" t="s">
        <v>38</v>
      </c>
      <c r="E113">
        <v>29</v>
      </c>
      <c r="F113" t="s">
        <v>84</v>
      </c>
      <c r="G113" t="s">
        <v>28</v>
      </c>
      <c r="H113">
        <v>42</v>
      </c>
      <c r="I113" t="s">
        <v>39</v>
      </c>
      <c r="J113" t="s">
        <v>30</v>
      </c>
      <c r="K113">
        <v>3</v>
      </c>
      <c r="L113" t="s">
        <v>60</v>
      </c>
      <c r="M113" t="s">
        <v>150</v>
      </c>
      <c r="N113" t="s">
        <v>49</v>
      </c>
      <c r="O113">
        <v>78726</v>
      </c>
      <c r="P113">
        <v>1</v>
      </c>
      <c r="Q113" t="s">
        <v>34</v>
      </c>
      <c r="R113" s="1">
        <v>41024</v>
      </c>
      <c r="S113" t="s">
        <v>41</v>
      </c>
      <c r="T113">
        <v>6</v>
      </c>
      <c r="U113">
        <v>0</v>
      </c>
      <c r="V113">
        <v>1</v>
      </c>
      <c r="W113">
        <v>1</v>
      </c>
      <c r="X113" t="s">
        <v>11022</v>
      </c>
      <c r="Y113" t="s">
        <v>11022</v>
      </c>
      <c r="Z113" t="str">
        <f>_xlfn.XLOOKUP(Employees[[#This Row],[Education]], EdLevel[EducationLevelID], EdLevel[EducationLevel])</f>
        <v xml:space="preserve">Bachelors </v>
      </c>
      <c r="AA113">
        <f>IF(Employees[[#This Row],[Attrition]] = "Yes", 1, 0)</f>
        <v>1</v>
      </c>
      <c r="AB113" t="str" cm="1">
        <f t="array" ref="AB113">_xlfn.IFS(Employees[[#This Row],[Age]]&lt;30, "20-29", Employees[[#This Row],[Age]]&lt;40, "30-39", Employees[[#This Row],[Age]]&lt;50, "40-49", "TRUE", "50+")</f>
        <v>20-29</v>
      </c>
    </row>
    <row r="114" spans="1:28">
      <c r="A114" t="s">
        <v>404</v>
      </c>
      <c r="B114" t="s">
        <v>405</v>
      </c>
      <c r="C114" t="s">
        <v>406</v>
      </c>
      <c r="D114" t="s">
        <v>26</v>
      </c>
      <c r="E114">
        <v>46</v>
      </c>
      <c r="F114" t="s">
        <v>27</v>
      </c>
      <c r="G114" t="s">
        <v>28</v>
      </c>
      <c r="H114">
        <v>36</v>
      </c>
      <c r="I114" t="s">
        <v>39</v>
      </c>
      <c r="J114" t="s">
        <v>30</v>
      </c>
      <c r="K114">
        <v>3</v>
      </c>
      <c r="L114" t="s">
        <v>47</v>
      </c>
      <c r="M114" t="s">
        <v>32</v>
      </c>
      <c r="N114" t="s">
        <v>49</v>
      </c>
      <c r="O114">
        <v>96188</v>
      </c>
      <c r="P114">
        <v>1</v>
      </c>
      <c r="Q114" t="s">
        <v>41</v>
      </c>
      <c r="R114" s="1">
        <v>41025</v>
      </c>
      <c r="S114" t="s">
        <v>41</v>
      </c>
      <c r="T114">
        <v>9</v>
      </c>
      <c r="U114">
        <v>8</v>
      </c>
      <c r="V114">
        <v>9</v>
      </c>
      <c r="W114">
        <v>5</v>
      </c>
      <c r="X114" t="s">
        <v>11022</v>
      </c>
      <c r="Y114" t="s">
        <v>11022</v>
      </c>
      <c r="Z114" t="str">
        <f>_xlfn.XLOOKUP(Employees[[#This Row],[Education]], EdLevel[EducationLevelID], EdLevel[EducationLevel])</f>
        <v xml:space="preserve">Bachelors </v>
      </c>
      <c r="AA114">
        <f>IF(Employees[[#This Row],[Attrition]] = "Yes", 1, 0)</f>
        <v>1</v>
      </c>
      <c r="AB114" t="str" cm="1">
        <f t="array" ref="AB114">_xlfn.IFS(Employees[[#This Row],[Age]]&lt;30, "20-29", Employees[[#This Row],[Age]]&lt;40, "30-39", Employees[[#This Row],[Age]]&lt;50, "40-49", "TRUE", "50+")</f>
        <v>40-49</v>
      </c>
    </row>
    <row r="115" spans="1:28">
      <c r="A115" t="s">
        <v>407</v>
      </c>
      <c r="B115" t="s">
        <v>408</v>
      </c>
      <c r="C115" t="s">
        <v>409</v>
      </c>
      <c r="D115" t="s">
        <v>26</v>
      </c>
      <c r="E115">
        <v>28</v>
      </c>
      <c r="F115" t="s">
        <v>84</v>
      </c>
      <c r="G115" t="s">
        <v>28</v>
      </c>
      <c r="H115">
        <v>32</v>
      </c>
      <c r="I115" t="s">
        <v>65</v>
      </c>
      <c r="J115" t="s">
        <v>71</v>
      </c>
      <c r="K115">
        <v>1</v>
      </c>
      <c r="L115" t="s">
        <v>60</v>
      </c>
      <c r="M115" t="s">
        <v>150</v>
      </c>
      <c r="N115" t="s">
        <v>40</v>
      </c>
      <c r="O115">
        <v>53439</v>
      </c>
      <c r="P115">
        <v>0</v>
      </c>
      <c r="Q115" t="s">
        <v>41</v>
      </c>
      <c r="R115" s="1">
        <v>41026</v>
      </c>
      <c r="S115" t="s">
        <v>41</v>
      </c>
      <c r="T115">
        <v>3</v>
      </c>
      <c r="U115">
        <v>0</v>
      </c>
      <c r="V115">
        <v>0</v>
      </c>
      <c r="W115">
        <v>1</v>
      </c>
      <c r="X115" t="s">
        <v>11020</v>
      </c>
      <c r="Y115" t="s">
        <v>11020</v>
      </c>
      <c r="Z115" t="str">
        <f>_xlfn.XLOOKUP(Employees[[#This Row],[Education]], EdLevel[EducationLevelID], EdLevel[EducationLevel])</f>
        <v>No Formal Qualifications</v>
      </c>
      <c r="AA115">
        <f>IF(Employees[[#This Row],[Attrition]] = "Yes", 1, 0)</f>
        <v>1</v>
      </c>
      <c r="AB115" t="str" cm="1">
        <f t="array" ref="AB115">_xlfn.IFS(Employees[[#This Row],[Age]]&lt;30, "20-29", Employees[[#This Row],[Age]]&lt;40, "30-39", Employees[[#This Row],[Age]]&lt;50, "40-49", "TRUE", "50+")</f>
        <v>20-29</v>
      </c>
    </row>
    <row r="116" spans="1:28">
      <c r="A116" t="s">
        <v>410</v>
      </c>
      <c r="B116" t="s">
        <v>411</v>
      </c>
      <c r="C116" t="s">
        <v>412</v>
      </c>
      <c r="D116" t="s">
        <v>26</v>
      </c>
      <c r="E116">
        <v>28</v>
      </c>
      <c r="F116" t="s">
        <v>27</v>
      </c>
      <c r="G116" t="s">
        <v>54</v>
      </c>
      <c r="H116">
        <v>9</v>
      </c>
      <c r="I116" t="s">
        <v>65</v>
      </c>
      <c r="J116" t="s">
        <v>46</v>
      </c>
      <c r="K116">
        <v>4</v>
      </c>
      <c r="L116" t="s">
        <v>55</v>
      </c>
      <c r="M116" t="s">
        <v>101</v>
      </c>
      <c r="N116" t="s">
        <v>40</v>
      </c>
      <c r="O116">
        <v>43578</v>
      </c>
      <c r="P116">
        <v>0</v>
      </c>
      <c r="Q116" t="s">
        <v>41</v>
      </c>
      <c r="R116" s="1">
        <v>41026</v>
      </c>
      <c r="S116" t="s">
        <v>41</v>
      </c>
      <c r="T116">
        <v>5</v>
      </c>
      <c r="U116">
        <v>3</v>
      </c>
      <c r="V116">
        <v>5</v>
      </c>
      <c r="W116">
        <v>5</v>
      </c>
      <c r="X116" t="s">
        <v>11023</v>
      </c>
      <c r="Y116" t="s">
        <v>11023</v>
      </c>
      <c r="Z116" t="str">
        <f>_xlfn.XLOOKUP(Employees[[#This Row],[Education]], EdLevel[EducationLevelID], EdLevel[EducationLevel])</f>
        <v xml:space="preserve">Masters </v>
      </c>
      <c r="AA116">
        <f>IF(Employees[[#This Row],[Attrition]] = "Yes", 1, 0)</f>
        <v>1</v>
      </c>
      <c r="AB116" t="str" cm="1">
        <f t="array" ref="AB116">_xlfn.IFS(Employees[[#This Row],[Age]]&lt;30, "20-29", Employees[[#This Row],[Age]]&lt;40, "30-39", Employees[[#This Row],[Age]]&lt;50, "40-49", "TRUE", "50+")</f>
        <v>20-29</v>
      </c>
    </row>
    <row r="117" spans="1:28">
      <c r="A117" t="s">
        <v>413</v>
      </c>
      <c r="B117" t="s">
        <v>414</v>
      </c>
      <c r="C117" t="s">
        <v>415</v>
      </c>
      <c r="D117" t="s">
        <v>26</v>
      </c>
      <c r="E117">
        <v>40</v>
      </c>
      <c r="F117" t="s">
        <v>27</v>
      </c>
      <c r="G117" t="s">
        <v>54</v>
      </c>
      <c r="H117">
        <v>26</v>
      </c>
      <c r="I117" t="s">
        <v>39</v>
      </c>
      <c r="J117" t="s">
        <v>66</v>
      </c>
      <c r="K117">
        <v>3</v>
      </c>
      <c r="L117" t="s">
        <v>72</v>
      </c>
      <c r="M117" t="s">
        <v>105</v>
      </c>
      <c r="N117" t="s">
        <v>40</v>
      </c>
      <c r="O117">
        <v>120858</v>
      </c>
      <c r="P117">
        <v>0</v>
      </c>
      <c r="Q117" t="s">
        <v>34</v>
      </c>
      <c r="R117" s="1">
        <v>41028</v>
      </c>
      <c r="S117" t="s">
        <v>34</v>
      </c>
      <c r="T117">
        <v>10</v>
      </c>
      <c r="U117">
        <v>9</v>
      </c>
      <c r="V117">
        <v>9</v>
      </c>
      <c r="W117">
        <v>8</v>
      </c>
      <c r="X117" t="s">
        <v>11022</v>
      </c>
      <c r="Y117" t="s">
        <v>11022</v>
      </c>
      <c r="Z117" t="str">
        <f>_xlfn.XLOOKUP(Employees[[#This Row],[Education]], EdLevel[EducationLevelID], EdLevel[EducationLevel])</f>
        <v xml:space="preserve">Bachelors </v>
      </c>
      <c r="AA117">
        <f>IF(Employees[[#This Row],[Attrition]] = "Yes", 1, 0)</f>
        <v>0</v>
      </c>
      <c r="AB117" t="str" cm="1">
        <f t="array" ref="AB117">_xlfn.IFS(Employees[[#This Row],[Age]]&lt;30, "20-29", Employees[[#This Row],[Age]]&lt;40, "30-39", Employees[[#This Row],[Age]]&lt;50, "40-49", "TRUE", "50+")</f>
        <v>40-49</v>
      </c>
    </row>
    <row r="118" spans="1:28">
      <c r="A118" t="s">
        <v>416</v>
      </c>
      <c r="B118" t="s">
        <v>417</v>
      </c>
      <c r="C118" t="s">
        <v>418</v>
      </c>
      <c r="D118" t="s">
        <v>38</v>
      </c>
      <c r="E118">
        <v>32</v>
      </c>
      <c r="F118" t="s">
        <v>27</v>
      </c>
      <c r="G118" t="s">
        <v>54</v>
      </c>
      <c r="H118">
        <v>36</v>
      </c>
      <c r="I118" t="s">
        <v>39</v>
      </c>
      <c r="J118" t="s">
        <v>71</v>
      </c>
      <c r="K118">
        <v>2</v>
      </c>
      <c r="L118" t="s">
        <v>55</v>
      </c>
      <c r="M118" t="s">
        <v>101</v>
      </c>
      <c r="N118" t="s">
        <v>40</v>
      </c>
      <c r="O118">
        <v>78672</v>
      </c>
      <c r="P118">
        <v>0</v>
      </c>
      <c r="Q118" t="s">
        <v>34</v>
      </c>
      <c r="R118" s="1">
        <v>41028</v>
      </c>
      <c r="S118" t="s">
        <v>34</v>
      </c>
      <c r="T118">
        <v>10</v>
      </c>
      <c r="U118">
        <v>6</v>
      </c>
      <c r="V118">
        <v>9</v>
      </c>
      <c r="W118">
        <v>5</v>
      </c>
      <c r="X118" t="s">
        <v>11021</v>
      </c>
      <c r="Y118" t="s">
        <v>11021</v>
      </c>
      <c r="Z118" t="str">
        <f>_xlfn.XLOOKUP(Employees[[#This Row],[Education]], EdLevel[EducationLevelID], EdLevel[EducationLevel])</f>
        <v xml:space="preserve">High School </v>
      </c>
      <c r="AA118">
        <f>IF(Employees[[#This Row],[Attrition]] = "Yes", 1, 0)</f>
        <v>0</v>
      </c>
      <c r="AB118" t="str" cm="1">
        <f t="array" ref="AB118">_xlfn.IFS(Employees[[#This Row],[Age]]&lt;30, "20-29", Employees[[#This Row],[Age]]&lt;40, "30-39", Employees[[#This Row],[Age]]&lt;50, "40-49", "TRUE", "50+")</f>
        <v>30-39</v>
      </c>
    </row>
    <row r="119" spans="1:28">
      <c r="A119" t="s">
        <v>419</v>
      </c>
      <c r="B119" t="s">
        <v>420</v>
      </c>
      <c r="C119" t="s">
        <v>421</v>
      </c>
      <c r="D119" t="s">
        <v>26</v>
      </c>
      <c r="E119">
        <v>30</v>
      </c>
      <c r="F119" t="s">
        <v>27</v>
      </c>
      <c r="G119" t="s">
        <v>54</v>
      </c>
      <c r="H119">
        <v>30</v>
      </c>
      <c r="I119" t="s">
        <v>65</v>
      </c>
      <c r="J119" t="s">
        <v>46</v>
      </c>
      <c r="K119">
        <v>1</v>
      </c>
      <c r="L119" t="s">
        <v>55</v>
      </c>
      <c r="M119" t="s">
        <v>93</v>
      </c>
      <c r="N119" t="s">
        <v>49</v>
      </c>
      <c r="O119">
        <v>228438</v>
      </c>
      <c r="P119">
        <v>1</v>
      </c>
      <c r="Q119" t="s">
        <v>34</v>
      </c>
      <c r="R119" s="1">
        <v>41029</v>
      </c>
      <c r="S119" t="s">
        <v>34</v>
      </c>
      <c r="T119">
        <v>10</v>
      </c>
      <c r="U119">
        <v>6</v>
      </c>
      <c r="V119">
        <v>9</v>
      </c>
      <c r="W119">
        <v>10</v>
      </c>
      <c r="X119" t="s">
        <v>11020</v>
      </c>
      <c r="Y119" t="s">
        <v>11020</v>
      </c>
      <c r="Z119" t="str">
        <f>_xlfn.XLOOKUP(Employees[[#This Row],[Education]], EdLevel[EducationLevelID], EdLevel[EducationLevel])</f>
        <v>No Formal Qualifications</v>
      </c>
      <c r="AA119">
        <f>IF(Employees[[#This Row],[Attrition]] = "Yes", 1, 0)</f>
        <v>0</v>
      </c>
      <c r="AB119" t="str" cm="1">
        <f t="array" ref="AB119">_xlfn.IFS(Employees[[#This Row],[Age]]&lt;30, "20-29", Employees[[#This Row],[Age]]&lt;40, "30-39", Employees[[#This Row],[Age]]&lt;50, "40-49", "TRUE", "50+")</f>
        <v>30-39</v>
      </c>
    </row>
    <row r="120" spans="1:28">
      <c r="A120" t="s">
        <v>422</v>
      </c>
      <c r="B120" t="s">
        <v>423</v>
      </c>
      <c r="C120" t="s">
        <v>424</v>
      </c>
      <c r="D120" t="s">
        <v>26</v>
      </c>
      <c r="E120">
        <v>35</v>
      </c>
      <c r="F120" t="s">
        <v>84</v>
      </c>
      <c r="G120" t="s">
        <v>54</v>
      </c>
      <c r="H120">
        <v>39</v>
      </c>
      <c r="I120" t="s">
        <v>39</v>
      </c>
      <c r="J120" t="s">
        <v>66</v>
      </c>
      <c r="K120">
        <v>4</v>
      </c>
      <c r="L120" t="s">
        <v>55</v>
      </c>
      <c r="M120" t="s">
        <v>101</v>
      </c>
      <c r="N120" t="s">
        <v>40</v>
      </c>
      <c r="O120">
        <v>71257</v>
      </c>
      <c r="P120">
        <v>0</v>
      </c>
      <c r="Q120" t="s">
        <v>34</v>
      </c>
      <c r="R120" s="1">
        <v>41030</v>
      </c>
      <c r="S120" t="s">
        <v>34</v>
      </c>
      <c r="T120">
        <v>10</v>
      </c>
      <c r="U120">
        <v>1</v>
      </c>
      <c r="V120">
        <v>6</v>
      </c>
      <c r="W120">
        <v>10</v>
      </c>
      <c r="X120" t="s">
        <v>11023</v>
      </c>
      <c r="Y120" t="s">
        <v>11023</v>
      </c>
      <c r="Z120" t="str">
        <f>_xlfn.XLOOKUP(Employees[[#This Row],[Education]], EdLevel[EducationLevelID], EdLevel[EducationLevel])</f>
        <v xml:space="preserve">Masters </v>
      </c>
      <c r="AA120">
        <f>IF(Employees[[#This Row],[Attrition]] = "Yes", 1, 0)</f>
        <v>0</v>
      </c>
      <c r="AB120" t="str" cm="1">
        <f t="array" ref="AB120">_xlfn.IFS(Employees[[#This Row],[Age]]&lt;30, "20-29", Employees[[#This Row],[Age]]&lt;40, "30-39", Employees[[#This Row],[Age]]&lt;50, "40-49", "TRUE", "50+")</f>
        <v>30-39</v>
      </c>
    </row>
    <row r="121" spans="1:28">
      <c r="A121" t="s">
        <v>425</v>
      </c>
      <c r="B121" t="s">
        <v>426</v>
      </c>
      <c r="C121" t="s">
        <v>427</v>
      </c>
      <c r="D121" t="s">
        <v>26</v>
      </c>
      <c r="E121">
        <v>37</v>
      </c>
      <c r="F121" t="s">
        <v>84</v>
      </c>
      <c r="G121" t="s">
        <v>54</v>
      </c>
      <c r="H121">
        <v>14</v>
      </c>
      <c r="I121" t="s">
        <v>39</v>
      </c>
      <c r="J121" t="s">
        <v>66</v>
      </c>
      <c r="K121">
        <v>4</v>
      </c>
      <c r="L121" t="s">
        <v>55</v>
      </c>
      <c r="M121" t="s">
        <v>93</v>
      </c>
      <c r="N121" t="s">
        <v>49</v>
      </c>
      <c r="O121">
        <v>99936</v>
      </c>
      <c r="P121">
        <v>1</v>
      </c>
      <c r="Q121" t="s">
        <v>34</v>
      </c>
      <c r="R121" s="1">
        <v>41030</v>
      </c>
      <c r="S121" t="s">
        <v>34</v>
      </c>
      <c r="T121">
        <v>10</v>
      </c>
      <c r="U121">
        <v>9</v>
      </c>
      <c r="V121">
        <v>10</v>
      </c>
      <c r="W121">
        <v>6</v>
      </c>
      <c r="X121" t="s">
        <v>11023</v>
      </c>
      <c r="Y121" t="s">
        <v>11023</v>
      </c>
      <c r="Z121" t="str">
        <f>_xlfn.XLOOKUP(Employees[[#This Row],[Education]], EdLevel[EducationLevelID], EdLevel[EducationLevel])</f>
        <v xml:space="preserve">Masters </v>
      </c>
      <c r="AA121">
        <f>IF(Employees[[#This Row],[Attrition]] = "Yes", 1, 0)</f>
        <v>0</v>
      </c>
      <c r="AB121" t="str" cm="1">
        <f t="array" ref="AB121">_xlfn.IFS(Employees[[#This Row],[Age]]&lt;30, "20-29", Employees[[#This Row],[Age]]&lt;40, "30-39", Employees[[#This Row],[Age]]&lt;50, "40-49", "TRUE", "50+")</f>
        <v>30-39</v>
      </c>
    </row>
    <row r="122" spans="1:28">
      <c r="A122" t="s">
        <v>428</v>
      </c>
      <c r="B122" t="s">
        <v>429</v>
      </c>
      <c r="C122" t="s">
        <v>430</v>
      </c>
      <c r="D122" t="s">
        <v>26</v>
      </c>
      <c r="E122">
        <v>29</v>
      </c>
      <c r="F122" t="s">
        <v>27</v>
      </c>
      <c r="G122" t="s">
        <v>28</v>
      </c>
      <c r="H122">
        <v>4</v>
      </c>
      <c r="I122" t="s">
        <v>39</v>
      </c>
      <c r="J122" t="s">
        <v>66</v>
      </c>
      <c r="K122">
        <v>2</v>
      </c>
      <c r="L122" t="s">
        <v>47</v>
      </c>
      <c r="M122" t="s">
        <v>32</v>
      </c>
      <c r="N122" t="s">
        <v>40</v>
      </c>
      <c r="O122">
        <v>129356</v>
      </c>
      <c r="P122">
        <v>0</v>
      </c>
      <c r="Q122" t="s">
        <v>34</v>
      </c>
      <c r="R122" s="1">
        <v>41031</v>
      </c>
      <c r="S122" t="s">
        <v>41</v>
      </c>
      <c r="T122">
        <v>5</v>
      </c>
      <c r="U122">
        <v>1</v>
      </c>
      <c r="V122">
        <v>1</v>
      </c>
      <c r="W122">
        <v>2</v>
      </c>
      <c r="X122" t="s">
        <v>11021</v>
      </c>
      <c r="Y122" t="s">
        <v>11021</v>
      </c>
      <c r="Z122" t="str">
        <f>_xlfn.XLOOKUP(Employees[[#This Row],[Education]], EdLevel[EducationLevelID], EdLevel[EducationLevel])</f>
        <v xml:space="preserve">High School </v>
      </c>
      <c r="AA122">
        <f>IF(Employees[[#This Row],[Attrition]] = "Yes", 1, 0)</f>
        <v>1</v>
      </c>
      <c r="AB122" t="str" cm="1">
        <f t="array" ref="AB122">_xlfn.IFS(Employees[[#This Row],[Age]]&lt;30, "20-29", Employees[[#This Row],[Age]]&lt;40, "30-39", Employees[[#This Row],[Age]]&lt;50, "40-49", "TRUE", "50+")</f>
        <v>20-29</v>
      </c>
    </row>
    <row r="123" spans="1:28">
      <c r="A123" t="s">
        <v>431</v>
      </c>
      <c r="B123" t="s">
        <v>432</v>
      </c>
      <c r="C123" t="s">
        <v>433</v>
      </c>
      <c r="D123" t="s">
        <v>26</v>
      </c>
      <c r="E123">
        <v>42</v>
      </c>
      <c r="F123" t="s">
        <v>27</v>
      </c>
      <c r="G123" t="s">
        <v>28</v>
      </c>
      <c r="H123">
        <v>39</v>
      </c>
      <c r="I123" t="s">
        <v>39</v>
      </c>
      <c r="J123" t="s">
        <v>30</v>
      </c>
      <c r="K123">
        <v>3</v>
      </c>
      <c r="L123" t="s">
        <v>121</v>
      </c>
      <c r="M123" t="s">
        <v>32</v>
      </c>
      <c r="N123" t="s">
        <v>49</v>
      </c>
      <c r="O123">
        <v>206277</v>
      </c>
      <c r="P123">
        <v>2</v>
      </c>
      <c r="Q123" t="s">
        <v>34</v>
      </c>
      <c r="R123" s="1">
        <v>41031</v>
      </c>
      <c r="S123" t="s">
        <v>34</v>
      </c>
      <c r="T123">
        <v>10</v>
      </c>
      <c r="U123">
        <v>6</v>
      </c>
      <c r="V123">
        <v>10</v>
      </c>
      <c r="W123">
        <v>1</v>
      </c>
      <c r="X123" t="s">
        <v>11022</v>
      </c>
      <c r="Y123" t="s">
        <v>11022</v>
      </c>
      <c r="Z123" t="str">
        <f>_xlfn.XLOOKUP(Employees[[#This Row],[Education]], EdLevel[EducationLevelID], EdLevel[EducationLevel])</f>
        <v xml:space="preserve">Bachelors </v>
      </c>
      <c r="AA123">
        <f>IF(Employees[[#This Row],[Attrition]] = "Yes", 1, 0)</f>
        <v>0</v>
      </c>
      <c r="AB123" t="str" cm="1">
        <f t="array" ref="AB123">_xlfn.IFS(Employees[[#This Row],[Age]]&lt;30, "20-29", Employees[[#This Row],[Age]]&lt;40, "30-39", Employees[[#This Row],[Age]]&lt;50, "40-49", "TRUE", "50+")</f>
        <v>40-49</v>
      </c>
    </row>
    <row r="124" spans="1:28">
      <c r="A124" t="s">
        <v>434</v>
      </c>
      <c r="B124" t="s">
        <v>435</v>
      </c>
      <c r="C124" t="s">
        <v>436</v>
      </c>
      <c r="D124" t="s">
        <v>26</v>
      </c>
      <c r="E124">
        <v>45</v>
      </c>
      <c r="F124" t="s">
        <v>27</v>
      </c>
      <c r="G124" t="s">
        <v>28</v>
      </c>
      <c r="H124">
        <v>43</v>
      </c>
      <c r="I124" t="s">
        <v>39</v>
      </c>
      <c r="J124" t="s">
        <v>71</v>
      </c>
      <c r="K124">
        <v>2</v>
      </c>
      <c r="L124" t="s">
        <v>77</v>
      </c>
      <c r="M124" t="s">
        <v>32</v>
      </c>
      <c r="N124" t="s">
        <v>33</v>
      </c>
      <c r="O124">
        <v>106610</v>
      </c>
      <c r="P124">
        <v>1</v>
      </c>
      <c r="Q124" t="s">
        <v>41</v>
      </c>
      <c r="R124" s="1">
        <v>41032</v>
      </c>
      <c r="S124" t="s">
        <v>34</v>
      </c>
      <c r="T124">
        <v>10</v>
      </c>
      <c r="U124">
        <v>0</v>
      </c>
      <c r="V124">
        <v>7</v>
      </c>
      <c r="W124">
        <v>5</v>
      </c>
      <c r="X124" t="s">
        <v>11021</v>
      </c>
      <c r="Y124" t="s">
        <v>11021</v>
      </c>
      <c r="Z124" t="str">
        <f>_xlfn.XLOOKUP(Employees[[#This Row],[Education]], EdLevel[EducationLevelID], EdLevel[EducationLevel])</f>
        <v xml:space="preserve">High School </v>
      </c>
      <c r="AA124">
        <f>IF(Employees[[#This Row],[Attrition]] = "Yes", 1, 0)</f>
        <v>0</v>
      </c>
      <c r="AB124" t="str" cm="1">
        <f t="array" ref="AB124">_xlfn.IFS(Employees[[#This Row],[Age]]&lt;30, "20-29", Employees[[#This Row],[Age]]&lt;40, "30-39", Employees[[#This Row],[Age]]&lt;50, "40-49", "TRUE", "50+")</f>
        <v>40-49</v>
      </c>
    </row>
    <row r="125" spans="1:28">
      <c r="A125" t="s">
        <v>437</v>
      </c>
      <c r="B125" t="s">
        <v>438</v>
      </c>
      <c r="C125" t="s">
        <v>439</v>
      </c>
      <c r="D125" t="s">
        <v>26</v>
      </c>
      <c r="E125">
        <v>28</v>
      </c>
      <c r="F125" t="s">
        <v>27</v>
      </c>
      <c r="G125" t="s">
        <v>28</v>
      </c>
      <c r="H125">
        <v>8</v>
      </c>
      <c r="I125" t="s">
        <v>39</v>
      </c>
      <c r="J125" t="s">
        <v>66</v>
      </c>
      <c r="K125">
        <v>3</v>
      </c>
      <c r="L125" t="s">
        <v>31</v>
      </c>
      <c r="M125" t="s">
        <v>32</v>
      </c>
      <c r="N125" t="s">
        <v>49</v>
      </c>
      <c r="O125">
        <v>194964</v>
      </c>
      <c r="P125">
        <v>1</v>
      </c>
      <c r="Q125" t="s">
        <v>41</v>
      </c>
      <c r="R125" s="1">
        <v>41033</v>
      </c>
      <c r="S125" t="s">
        <v>34</v>
      </c>
      <c r="T125">
        <v>10</v>
      </c>
      <c r="U125">
        <v>2</v>
      </c>
      <c r="V125">
        <v>2</v>
      </c>
      <c r="W125">
        <v>8</v>
      </c>
      <c r="X125" t="s">
        <v>11022</v>
      </c>
      <c r="Y125" t="s">
        <v>11022</v>
      </c>
      <c r="Z125" t="str">
        <f>_xlfn.XLOOKUP(Employees[[#This Row],[Education]], EdLevel[EducationLevelID], EdLevel[EducationLevel])</f>
        <v xml:space="preserve">Bachelors </v>
      </c>
      <c r="AA125">
        <f>IF(Employees[[#This Row],[Attrition]] = "Yes", 1, 0)</f>
        <v>0</v>
      </c>
      <c r="AB125" t="str" cm="1">
        <f t="array" ref="AB125">_xlfn.IFS(Employees[[#This Row],[Age]]&lt;30, "20-29", Employees[[#This Row],[Age]]&lt;40, "30-39", Employees[[#This Row],[Age]]&lt;50, "40-49", "TRUE", "50+")</f>
        <v>20-29</v>
      </c>
    </row>
    <row r="126" spans="1:28">
      <c r="A126" t="s">
        <v>440</v>
      </c>
      <c r="B126" t="s">
        <v>441</v>
      </c>
      <c r="C126" t="s">
        <v>442</v>
      </c>
      <c r="D126" t="s">
        <v>38</v>
      </c>
      <c r="E126">
        <v>42</v>
      </c>
      <c r="F126" t="s">
        <v>27</v>
      </c>
      <c r="G126" t="s">
        <v>54</v>
      </c>
      <c r="H126">
        <v>5</v>
      </c>
      <c r="I126" t="s">
        <v>65</v>
      </c>
      <c r="J126" t="s">
        <v>66</v>
      </c>
      <c r="K126">
        <v>1</v>
      </c>
      <c r="L126" t="s">
        <v>55</v>
      </c>
      <c r="M126" t="s">
        <v>85</v>
      </c>
      <c r="N126" t="s">
        <v>40</v>
      </c>
      <c r="O126">
        <v>47461</v>
      </c>
      <c r="P126">
        <v>0</v>
      </c>
      <c r="Q126" t="s">
        <v>34</v>
      </c>
      <c r="R126" s="1">
        <v>41034</v>
      </c>
      <c r="S126" t="s">
        <v>34</v>
      </c>
      <c r="T126">
        <v>10</v>
      </c>
      <c r="U126">
        <v>4</v>
      </c>
      <c r="V126">
        <v>7</v>
      </c>
      <c r="W126">
        <v>5</v>
      </c>
      <c r="X126" t="s">
        <v>11020</v>
      </c>
      <c r="Y126" t="s">
        <v>11020</v>
      </c>
      <c r="Z126" t="str">
        <f>_xlfn.XLOOKUP(Employees[[#This Row],[Education]], EdLevel[EducationLevelID], EdLevel[EducationLevel])</f>
        <v>No Formal Qualifications</v>
      </c>
      <c r="AA126">
        <f>IF(Employees[[#This Row],[Attrition]] = "Yes", 1, 0)</f>
        <v>0</v>
      </c>
      <c r="AB126" t="str" cm="1">
        <f t="array" ref="AB126">_xlfn.IFS(Employees[[#This Row],[Age]]&lt;30, "20-29", Employees[[#This Row],[Age]]&lt;40, "30-39", Employees[[#This Row],[Age]]&lt;50, "40-49", "TRUE", "50+")</f>
        <v>40-49</v>
      </c>
    </row>
    <row r="127" spans="1:28">
      <c r="A127" t="s">
        <v>443</v>
      </c>
      <c r="B127" t="s">
        <v>444</v>
      </c>
      <c r="C127" t="s">
        <v>445</v>
      </c>
      <c r="D127" t="s">
        <v>38</v>
      </c>
      <c r="E127">
        <v>43</v>
      </c>
      <c r="F127" t="s">
        <v>27</v>
      </c>
      <c r="G127" t="s">
        <v>28</v>
      </c>
      <c r="H127">
        <v>39</v>
      </c>
      <c r="I127" t="s">
        <v>39</v>
      </c>
      <c r="J127" t="s">
        <v>30</v>
      </c>
      <c r="K127">
        <v>2</v>
      </c>
      <c r="L127" t="s">
        <v>31</v>
      </c>
      <c r="M127" t="s">
        <v>32</v>
      </c>
      <c r="N127" t="s">
        <v>33</v>
      </c>
      <c r="O127">
        <v>176705</v>
      </c>
      <c r="P127">
        <v>1</v>
      </c>
      <c r="Q127" t="s">
        <v>34</v>
      </c>
      <c r="R127" s="1">
        <v>41034</v>
      </c>
      <c r="S127" t="s">
        <v>34</v>
      </c>
      <c r="T127">
        <v>10</v>
      </c>
      <c r="U127">
        <v>5</v>
      </c>
      <c r="V127">
        <v>7</v>
      </c>
      <c r="W127">
        <v>7</v>
      </c>
      <c r="X127" t="s">
        <v>11021</v>
      </c>
      <c r="Y127" t="s">
        <v>11021</v>
      </c>
      <c r="Z127" t="str">
        <f>_xlfn.XLOOKUP(Employees[[#This Row],[Education]], EdLevel[EducationLevelID], EdLevel[EducationLevel])</f>
        <v xml:space="preserve">High School </v>
      </c>
      <c r="AA127">
        <f>IF(Employees[[#This Row],[Attrition]] = "Yes", 1, 0)</f>
        <v>0</v>
      </c>
      <c r="AB127" t="str" cm="1">
        <f t="array" ref="AB127">_xlfn.IFS(Employees[[#This Row],[Age]]&lt;30, "20-29", Employees[[#This Row],[Age]]&lt;40, "30-39", Employees[[#This Row],[Age]]&lt;50, "40-49", "TRUE", "50+")</f>
        <v>40-49</v>
      </c>
    </row>
    <row r="128" spans="1:28">
      <c r="A128" t="s">
        <v>446</v>
      </c>
      <c r="B128" t="s">
        <v>447</v>
      </c>
      <c r="C128" t="s">
        <v>448</v>
      </c>
      <c r="D128" t="s">
        <v>38</v>
      </c>
      <c r="E128">
        <v>34</v>
      </c>
      <c r="F128" t="s">
        <v>27</v>
      </c>
      <c r="G128" t="s">
        <v>54</v>
      </c>
      <c r="H128">
        <v>40</v>
      </c>
      <c r="I128" t="s">
        <v>29</v>
      </c>
      <c r="J128" t="s">
        <v>30</v>
      </c>
      <c r="K128">
        <v>3</v>
      </c>
      <c r="L128" t="s">
        <v>55</v>
      </c>
      <c r="M128" t="s">
        <v>105</v>
      </c>
      <c r="N128" t="s">
        <v>49</v>
      </c>
      <c r="O128">
        <v>97542</v>
      </c>
      <c r="P128">
        <v>3</v>
      </c>
      <c r="Q128" t="s">
        <v>34</v>
      </c>
      <c r="R128" s="1">
        <v>41035</v>
      </c>
      <c r="S128" t="s">
        <v>34</v>
      </c>
      <c r="T128">
        <v>10</v>
      </c>
      <c r="U128">
        <v>10</v>
      </c>
      <c r="V128">
        <v>10</v>
      </c>
      <c r="W128">
        <v>7</v>
      </c>
      <c r="X128" t="s">
        <v>11022</v>
      </c>
      <c r="Y128" t="s">
        <v>11022</v>
      </c>
      <c r="Z128" t="str">
        <f>_xlfn.XLOOKUP(Employees[[#This Row],[Education]], EdLevel[EducationLevelID], EdLevel[EducationLevel])</f>
        <v xml:space="preserve">Bachelors </v>
      </c>
      <c r="AA128">
        <f>IF(Employees[[#This Row],[Attrition]] = "Yes", 1, 0)</f>
        <v>0</v>
      </c>
      <c r="AB128" t="str" cm="1">
        <f t="array" ref="AB128">_xlfn.IFS(Employees[[#This Row],[Age]]&lt;30, "20-29", Employees[[#This Row],[Age]]&lt;40, "30-39", Employees[[#This Row],[Age]]&lt;50, "40-49", "TRUE", "50+")</f>
        <v>30-39</v>
      </c>
    </row>
    <row r="129" spans="1:28">
      <c r="A129" t="s">
        <v>449</v>
      </c>
      <c r="B129" t="s">
        <v>450</v>
      </c>
      <c r="C129" t="s">
        <v>451</v>
      </c>
      <c r="D129" t="s">
        <v>26</v>
      </c>
      <c r="E129">
        <v>28</v>
      </c>
      <c r="F129" t="s">
        <v>27</v>
      </c>
      <c r="G129" t="s">
        <v>54</v>
      </c>
      <c r="H129">
        <v>23</v>
      </c>
      <c r="I129" t="s">
        <v>65</v>
      </c>
      <c r="J129" t="s">
        <v>30</v>
      </c>
      <c r="K129">
        <v>3</v>
      </c>
      <c r="L129" t="s">
        <v>72</v>
      </c>
      <c r="M129" t="s">
        <v>85</v>
      </c>
      <c r="N129" t="s">
        <v>49</v>
      </c>
      <c r="O129">
        <v>35606</v>
      </c>
      <c r="P129">
        <v>3</v>
      </c>
      <c r="Q129" t="s">
        <v>41</v>
      </c>
      <c r="R129" s="1">
        <v>41036</v>
      </c>
      <c r="S129" t="s">
        <v>41</v>
      </c>
      <c r="T129">
        <v>5</v>
      </c>
      <c r="U129">
        <v>3</v>
      </c>
      <c r="V129">
        <v>4</v>
      </c>
      <c r="W129">
        <v>5</v>
      </c>
      <c r="X129" t="s">
        <v>11022</v>
      </c>
      <c r="Y129" t="s">
        <v>11022</v>
      </c>
      <c r="Z129" t="str">
        <f>_xlfn.XLOOKUP(Employees[[#This Row],[Education]], EdLevel[EducationLevelID], EdLevel[EducationLevel])</f>
        <v xml:space="preserve">Bachelors </v>
      </c>
      <c r="AA129">
        <f>IF(Employees[[#This Row],[Attrition]] = "Yes", 1, 0)</f>
        <v>1</v>
      </c>
      <c r="AB129" t="str" cm="1">
        <f t="array" ref="AB129">_xlfn.IFS(Employees[[#This Row],[Age]]&lt;30, "20-29", Employees[[#This Row],[Age]]&lt;40, "30-39", Employees[[#This Row],[Age]]&lt;50, "40-49", "TRUE", "50+")</f>
        <v>20-29</v>
      </c>
    </row>
    <row r="130" spans="1:28">
      <c r="A130" t="s">
        <v>452</v>
      </c>
      <c r="B130" t="s">
        <v>453</v>
      </c>
      <c r="C130" t="s">
        <v>454</v>
      </c>
      <c r="D130" t="s">
        <v>26</v>
      </c>
      <c r="E130">
        <v>42</v>
      </c>
      <c r="F130" t="s">
        <v>70</v>
      </c>
      <c r="G130" t="s">
        <v>28</v>
      </c>
      <c r="H130">
        <v>10</v>
      </c>
      <c r="I130" t="s">
        <v>39</v>
      </c>
      <c r="J130" t="s">
        <v>30</v>
      </c>
      <c r="K130">
        <v>2</v>
      </c>
      <c r="L130" t="s">
        <v>47</v>
      </c>
      <c r="M130" t="s">
        <v>150</v>
      </c>
      <c r="N130" t="s">
        <v>49</v>
      </c>
      <c r="O130">
        <v>48922</v>
      </c>
      <c r="P130">
        <v>1</v>
      </c>
      <c r="Q130" t="s">
        <v>34</v>
      </c>
      <c r="R130" s="1">
        <v>41036</v>
      </c>
      <c r="S130" t="s">
        <v>34</v>
      </c>
      <c r="T130">
        <v>10</v>
      </c>
      <c r="U130">
        <v>3</v>
      </c>
      <c r="V130">
        <v>9</v>
      </c>
      <c r="W130">
        <v>9</v>
      </c>
      <c r="X130" t="s">
        <v>11021</v>
      </c>
      <c r="Y130" t="s">
        <v>11021</v>
      </c>
      <c r="Z130" t="str">
        <f>_xlfn.XLOOKUP(Employees[[#This Row],[Education]], EdLevel[EducationLevelID], EdLevel[EducationLevel])</f>
        <v xml:space="preserve">High School </v>
      </c>
      <c r="AA130">
        <f>IF(Employees[[#This Row],[Attrition]] = "Yes", 1, 0)</f>
        <v>0</v>
      </c>
      <c r="AB130" t="str" cm="1">
        <f t="array" ref="AB130">_xlfn.IFS(Employees[[#This Row],[Age]]&lt;30, "20-29", Employees[[#This Row],[Age]]&lt;40, "30-39", Employees[[#This Row],[Age]]&lt;50, "40-49", "TRUE", "50+")</f>
        <v>40-49</v>
      </c>
    </row>
    <row r="131" spans="1:28">
      <c r="A131" t="s">
        <v>455</v>
      </c>
      <c r="B131" t="s">
        <v>456</v>
      </c>
      <c r="C131" t="s">
        <v>457</v>
      </c>
      <c r="D131" t="s">
        <v>26</v>
      </c>
      <c r="E131">
        <v>28</v>
      </c>
      <c r="F131" t="s">
        <v>84</v>
      </c>
      <c r="G131" t="s">
        <v>54</v>
      </c>
      <c r="H131">
        <v>4</v>
      </c>
      <c r="I131" t="s">
        <v>39</v>
      </c>
      <c r="J131" t="s">
        <v>66</v>
      </c>
      <c r="K131">
        <v>3</v>
      </c>
      <c r="L131" t="s">
        <v>55</v>
      </c>
      <c r="M131" t="s">
        <v>85</v>
      </c>
      <c r="N131" t="s">
        <v>49</v>
      </c>
      <c r="O131">
        <v>65659</v>
      </c>
      <c r="P131">
        <v>1</v>
      </c>
      <c r="Q131" t="s">
        <v>41</v>
      </c>
      <c r="R131" s="1">
        <v>41038</v>
      </c>
      <c r="S131" t="s">
        <v>41</v>
      </c>
      <c r="T131">
        <v>2</v>
      </c>
      <c r="U131">
        <v>0</v>
      </c>
      <c r="V131">
        <v>0</v>
      </c>
      <c r="W131">
        <v>0</v>
      </c>
      <c r="X131" t="s">
        <v>11022</v>
      </c>
      <c r="Y131" t="s">
        <v>11022</v>
      </c>
      <c r="Z131" t="str">
        <f>_xlfn.XLOOKUP(Employees[[#This Row],[Education]], EdLevel[EducationLevelID], EdLevel[EducationLevel])</f>
        <v xml:space="preserve">Bachelors </v>
      </c>
      <c r="AA131">
        <f>IF(Employees[[#This Row],[Attrition]] = "Yes", 1, 0)</f>
        <v>1</v>
      </c>
      <c r="AB131" t="str" cm="1">
        <f t="array" ref="AB131">_xlfn.IFS(Employees[[#This Row],[Age]]&lt;30, "20-29", Employees[[#This Row],[Age]]&lt;40, "30-39", Employees[[#This Row],[Age]]&lt;50, "40-49", "TRUE", "50+")</f>
        <v>20-29</v>
      </c>
    </row>
    <row r="132" spans="1:28">
      <c r="A132" t="s">
        <v>458</v>
      </c>
      <c r="B132" t="s">
        <v>459</v>
      </c>
      <c r="C132" t="s">
        <v>460</v>
      </c>
      <c r="D132" t="s">
        <v>38</v>
      </c>
      <c r="E132">
        <v>28</v>
      </c>
      <c r="F132" t="s">
        <v>27</v>
      </c>
      <c r="G132" t="s">
        <v>45</v>
      </c>
      <c r="H132">
        <v>18</v>
      </c>
      <c r="I132" t="s">
        <v>39</v>
      </c>
      <c r="J132" t="s">
        <v>76</v>
      </c>
      <c r="K132">
        <v>2</v>
      </c>
      <c r="L132" t="s">
        <v>121</v>
      </c>
      <c r="M132" t="s">
        <v>207</v>
      </c>
      <c r="N132" t="s">
        <v>49</v>
      </c>
      <c r="O132">
        <v>179561</v>
      </c>
      <c r="P132">
        <v>1</v>
      </c>
      <c r="Q132" t="s">
        <v>34</v>
      </c>
      <c r="R132" s="1">
        <v>41038</v>
      </c>
      <c r="S132" t="s">
        <v>41</v>
      </c>
      <c r="T132">
        <v>1</v>
      </c>
      <c r="U132">
        <v>0</v>
      </c>
      <c r="V132">
        <v>0</v>
      </c>
      <c r="W132">
        <v>1</v>
      </c>
      <c r="X132" t="s">
        <v>11021</v>
      </c>
      <c r="Y132" t="s">
        <v>11021</v>
      </c>
      <c r="Z132" t="str">
        <f>_xlfn.XLOOKUP(Employees[[#This Row],[Education]], EdLevel[EducationLevelID], EdLevel[EducationLevel])</f>
        <v xml:space="preserve">High School </v>
      </c>
      <c r="AA132">
        <f>IF(Employees[[#This Row],[Attrition]] = "Yes", 1, 0)</f>
        <v>1</v>
      </c>
      <c r="AB132" t="str" cm="1">
        <f t="array" ref="AB132">_xlfn.IFS(Employees[[#This Row],[Age]]&lt;30, "20-29", Employees[[#This Row],[Age]]&lt;40, "30-39", Employees[[#This Row],[Age]]&lt;50, "40-49", "TRUE", "50+")</f>
        <v>20-29</v>
      </c>
    </row>
    <row r="133" spans="1:28">
      <c r="A133" t="s">
        <v>461</v>
      </c>
      <c r="B133" t="s">
        <v>462</v>
      </c>
      <c r="C133" t="s">
        <v>463</v>
      </c>
      <c r="D133" t="s">
        <v>38</v>
      </c>
      <c r="E133">
        <v>45</v>
      </c>
      <c r="F133" t="s">
        <v>84</v>
      </c>
      <c r="G133" t="s">
        <v>28</v>
      </c>
      <c r="H133">
        <v>1</v>
      </c>
      <c r="I133" t="s">
        <v>65</v>
      </c>
      <c r="J133" t="s">
        <v>71</v>
      </c>
      <c r="K133">
        <v>3</v>
      </c>
      <c r="L133" t="s">
        <v>47</v>
      </c>
      <c r="M133" t="s">
        <v>150</v>
      </c>
      <c r="N133" t="s">
        <v>49</v>
      </c>
      <c r="O133">
        <v>70487</v>
      </c>
      <c r="P133">
        <v>1</v>
      </c>
      <c r="Q133" t="s">
        <v>34</v>
      </c>
      <c r="R133" s="1">
        <v>41038</v>
      </c>
      <c r="S133" t="s">
        <v>34</v>
      </c>
      <c r="T133">
        <v>10</v>
      </c>
      <c r="U133">
        <v>0</v>
      </c>
      <c r="V133">
        <v>7</v>
      </c>
      <c r="W133">
        <v>3</v>
      </c>
      <c r="X133" t="s">
        <v>11022</v>
      </c>
      <c r="Y133" t="s">
        <v>11022</v>
      </c>
      <c r="Z133" t="str">
        <f>_xlfn.XLOOKUP(Employees[[#This Row],[Education]], EdLevel[EducationLevelID], EdLevel[EducationLevel])</f>
        <v xml:space="preserve">Bachelors </v>
      </c>
      <c r="AA133">
        <f>IF(Employees[[#This Row],[Attrition]] = "Yes", 1, 0)</f>
        <v>0</v>
      </c>
      <c r="AB133" t="str" cm="1">
        <f t="array" ref="AB133">_xlfn.IFS(Employees[[#This Row],[Age]]&lt;30, "20-29", Employees[[#This Row],[Age]]&lt;40, "30-39", Employees[[#This Row],[Age]]&lt;50, "40-49", "TRUE", "50+")</f>
        <v>40-49</v>
      </c>
    </row>
    <row r="134" spans="1:28">
      <c r="A134" t="s">
        <v>464</v>
      </c>
      <c r="B134" t="s">
        <v>465</v>
      </c>
      <c r="C134" t="s">
        <v>466</v>
      </c>
      <c r="D134" t="s">
        <v>26</v>
      </c>
      <c r="E134">
        <v>32</v>
      </c>
      <c r="F134" t="s">
        <v>27</v>
      </c>
      <c r="G134" t="s">
        <v>54</v>
      </c>
      <c r="H134">
        <v>39</v>
      </c>
      <c r="I134" t="s">
        <v>39</v>
      </c>
      <c r="J134" t="s">
        <v>46</v>
      </c>
      <c r="K134">
        <v>1</v>
      </c>
      <c r="L134" t="s">
        <v>55</v>
      </c>
      <c r="M134" t="s">
        <v>101</v>
      </c>
      <c r="N134" t="s">
        <v>40</v>
      </c>
      <c r="O134">
        <v>68256</v>
      </c>
      <c r="P134">
        <v>0</v>
      </c>
      <c r="Q134" t="s">
        <v>34</v>
      </c>
      <c r="R134" s="1">
        <v>41039</v>
      </c>
      <c r="S134" t="s">
        <v>34</v>
      </c>
      <c r="T134">
        <v>10</v>
      </c>
      <c r="U134">
        <v>7</v>
      </c>
      <c r="V134">
        <v>9</v>
      </c>
      <c r="W134">
        <v>6</v>
      </c>
      <c r="X134" t="s">
        <v>11020</v>
      </c>
      <c r="Y134" t="s">
        <v>11020</v>
      </c>
      <c r="Z134" t="str">
        <f>_xlfn.XLOOKUP(Employees[[#This Row],[Education]], EdLevel[EducationLevelID], EdLevel[EducationLevel])</f>
        <v>No Formal Qualifications</v>
      </c>
      <c r="AA134">
        <f>IF(Employees[[#This Row],[Attrition]] = "Yes", 1, 0)</f>
        <v>0</v>
      </c>
      <c r="AB134" t="str" cm="1">
        <f t="array" ref="AB134">_xlfn.IFS(Employees[[#This Row],[Age]]&lt;30, "20-29", Employees[[#This Row],[Age]]&lt;40, "30-39", Employees[[#This Row],[Age]]&lt;50, "40-49", "TRUE", "50+")</f>
        <v>30-39</v>
      </c>
    </row>
    <row r="135" spans="1:28">
      <c r="A135" t="s">
        <v>467</v>
      </c>
      <c r="B135" t="s">
        <v>468</v>
      </c>
      <c r="C135" t="s">
        <v>469</v>
      </c>
      <c r="D135" t="s">
        <v>26</v>
      </c>
      <c r="E135">
        <v>43</v>
      </c>
      <c r="F135" t="s">
        <v>27</v>
      </c>
      <c r="G135" t="s">
        <v>54</v>
      </c>
      <c r="H135">
        <v>10</v>
      </c>
      <c r="I135" t="s">
        <v>39</v>
      </c>
      <c r="J135" t="s">
        <v>30</v>
      </c>
      <c r="K135">
        <v>3</v>
      </c>
      <c r="L135" t="s">
        <v>55</v>
      </c>
      <c r="M135" t="s">
        <v>101</v>
      </c>
      <c r="N135" t="s">
        <v>33</v>
      </c>
      <c r="O135">
        <v>43211</v>
      </c>
      <c r="P135">
        <v>1</v>
      </c>
      <c r="Q135" t="s">
        <v>34</v>
      </c>
      <c r="R135" s="1">
        <v>41041</v>
      </c>
      <c r="S135" t="s">
        <v>34</v>
      </c>
      <c r="T135">
        <v>10</v>
      </c>
      <c r="U135">
        <v>2</v>
      </c>
      <c r="V135">
        <v>6</v>
      </c>
      <c r="W135">
        <v>9</v>
      </c>
      <c r="X135" t="s">
        <v>11022</v>
      </c>
      <c r="Y135" t="s">
        <v>11022</v>
      </c>
      <c r="Z135" t="str">
        <f>_xlfn.XLOOKUP(Employees[[#This Row],[Education]], EdLevel[EducationLevelID], EdLevel[EducationLevel])</f>
        <v xml:space="preserve">Bachelors </v>
      </c>
      <c r="AA135">
        <f>IF(Employees[[#This Row],[Attrition]] = "Yes", 1, 0)</f>
        <v>0</v>
      </c>
      <c r="AB135" t="str" cm="1">
        <f t="array" ref="AB135">_xlfn.IFS(Employees[[#This Row],[Age]]&lt;30, "20-29", Employees[[#This Row],[Age]]&lt;40, "30-39", Employees[[#This Row],[Age]]&lt;50, "40-49", "TRUE", "50+")</f>
        <v>40-49</v>
      </c>
    </row>
    <row r="136" spans="1:28">
      <c r="A136" t="s">
        <v>470</v>
      </c>
      <c r="B136" t="s">
        <v>471</v>
      </c>
      <c r="C136" t="s">
        <v>472</v>
      </c>
      <c r="D136" t="s">
        <v>26</v>
      </c>
      <c r="E136">
        <v>28</v>
      </c>
      <c r="F136" t="s">
        <v>27</v>
      </c>
      <c r="G136" t="s">
        <v>28</v>
      </c>
      <c r="H136">
        <v>1</v>
      </c>
      <c r="I136" t="s">
        <v>39</v>
      </c>
      <c r="J136" t="s">
        <v>30</v>
      </c>
      <c r="K136">
        <v>4</v>
      </c>
      <c r="L136" t="s">
        <v>47</v>
      </c>
      <c r="M136" t="s">
        <v>32</v>
      </c>
      <c r="N136" t="s">
        <v>49</v>
      </c>
      <c r="O136">
        <v>87039</v>
      </c>
      <c r="P136">
        <v>1</v>
      </c>
      <c r="Q136" t="s">
        <v>34</v>
      </c>
      <c r="R136" s="1">
        <v>41042</v>
      </c>
      <c r="S136" t="s">
        <v>34</v>
      </c>
      <c r="T136">
        <v>10</v>
      </c>
      <c r="U136">
        <v>3</v>
      </c>
      <c r="V136">
        <v>5</v>
      </c>
      <c r="W136">
        <v>4</v>
      </c>
      <c r="X136" t="s">
        <v>11023</v>
      </c>
      <c r="Y136" t="s">
        <v>11023</v>
      </c>
      <c r="Z136" t="str">
        <f>_xlfn.XLOOKUP(Employees[[#This Row],[Education]], EdLevel[EducationLevelID], EdLevel[EducationLevel])</f>
        <v xml:space="preserve">Masters </v>
      </c>
      <c r="AA136">
        <f>IF(Employees[[#This Row],[Attrition]] = "Yes", 1, 0)</f>
        <v>0</v>
      </c>
      <c r="AB136" t="str" cm="1">
        <f t="array" ref="AB136">_xlfn.IFS(Employees[[#This Row],[Age]]&lt;30, "20-29", Employees[[#This Row],[Age]]&lt;40, "30-39", Employees[[#This Row],[Age]]&lt;50, "40-49", "TRUE", "50+")</f>
        <v>20-29</v>
      </c>
    </row>
    <row r="137" spans="1:28">
      <c r="A137" t="s">
        <v>473</v>
      </c>
      <c r="B137" t="s">
        <v>474</v>
      </c>
      <c r="C137" t="s">
        <v>475</v>
      </c>
      <c r="D137" t="s">
        <v>38</v>
      </c>
      <c r="E137">
        <v>44</v>
      </c>
      <c r="F137" t="s">
        <v>27</v>
      </c>
      <c r="G137" t="s">
        <v>54</v>
      </c>
      <c r="H137">
        <v>23</v>
      </c>
      <c r="I137" t="s">
        <v>39</v>
      </c>
      <c r="J137" t="s">
        <v>76</v>
      </c>
      <c r="K137">
        <v>3</v>
      </c>
      <c r="L137" t="s">
        <v>72</v>
      </c>
      <c r="M137" t="s">
        <v>85</v>
      </c>
      <c r="N137" t="s">
        <v>40</v>
      </c>
      <c r="O137">
        <v>108623</v>
      </c>
      <c r="P137">
        <v>0</v>
      </c>
      <c r="Q137" t="s">
        <v>34</v>
      </c>
      <c r="R137" s="1">
        <v>41042</v>
      </c>
      <c r="S137" t="s">
        <v>34</v>
      </c>
      <c r="T137">
        <v>10</v>
      </c>
      <c r="U137">
        <v>3</v>
      </c>
      <c r="V137">
        <v>3</v>
      </c>
      <c r="W137">
        <v>8</v>
      </c>
      <c r="X137" t="s">
        <v>11022</v>
      </c>
      <c r="Y137" t="s">
        <v>11022</v>
      </c>
      <c r="Z137" t="str">
        <f>_xlfn.XLOOKUP(Employees[[#This Row],[Education]], EdLevel[EducationLevelID], EdLevel[EducationLevel])</f>
        <v xml:space="preserve">Bachelors </v>
      </c>
      <c r="AA137">
        <f>IF(Employees[[#This Row],[Attrition]] = "Yes", 1, 0)</f>
        <v>0</v>
      </c>
      <c r="AB137" t="str" cm="1">
        <f t="array" ref="AB137">_xlfn.IFS(Employees[[#This Row],[Age]]&lt;30, "20-29", Employees[[#This Row],[Age]]&lt;40, "30-39", Employees[[#This Row],[Age]]&lt;50, "40-49", "TRUE", "50+")</f>
        <v>40-49</v>
      </c>
    </row>
    <row r="138" spans="1:28">
      <c r="A138" t="s">
        <v>476</v>
      </c>
      <c r="B138" t="s">
        <v>477</v>
      </c>
      <c r="C138" t="s">
        <v>478</v>
      </c>
      <c r="D138" t="s">
        <v>26</v>
      </c>
      <c r="E138">
        <v>36</v>
      </c>
      <c r="F138" t="s">
        <v>27</v>
      </c>
      <c r="G138" t="s">
        <v>54</v>
      </c>
      <c r="H138">
        <v>41</v>
      </c>
      <c r="I138" t="s">
        <v>65</v>
      </c>
      <c r="J138" t="s">
        <v>30</v>
      </c>
      <c r="K138">
        <v>3</v>
      </c>
      <c r="L138" t="s">
        <v>55</v>
      </c>
      <c r="M138" t="s">
        <v>93</v>
      </c>
      <c r="N138" t="s">
        <v>40</v>
      </c>
      <c r="O138">
        <v>218940</v>
      </c>
      <c r="P138">
        <v>0</v>
      </c>
      <c r="Q138" t="s">
        <v>41</v>
      </c>
      <c r="R138" s="1">
        <v>41043</v>
      </c>
      <c r="S138" t="s">
        <v>34</v>
      </c>
      <c r="T138">
        <v>10</v>
      </c>
      <c r="U138">
        <v>6</v>
      </c>
      <c r="V138">
        <v>8</v>
      </c>
      <c r="W138">
        <v>5</v>
      </c>
      <c r="X138" t="s">
        <v>11022</v>
      </c>
      <c r="Y138" t="s">
        <v>11022</v>
      </c>
      <c r="Z138" t="str">
        <f>_xlfn.XLOOKUP(Employees[[#This Row],[Education]], EdLevel[EducationLevelID], EdLevel[EducationLevel])</f>
        <v xml:space="preserve">Bachelors </v>
      </c>
      <c r="AA138">
        <f>IF(Employees[[#This Row],[Attrition]] = "Yes", 1, 0)</f>
        <v>0</v>
      </c>
      <c r="AB138" t="str" cm="1">
        <f t="array" ref="AB138">_xlfn.IFS(Employees[[#This Row],[Age]]&lt;30, "20-29", Employees[[#This Row],[Age]]&lt;40, "30-39", Employees[[#This Row],[Age]]&lt;50, "40-49", "TRUE", "50+")</f>
        <v>30-39</v>
      </c>
    </row>
    <row r="139" spans="1:28">
      <c r="A139" t="s">
        <v>479</v>
      </c>
      <c r="B139" t="s">
        <v>480</v>
      </c>
      <c r="C139" t="s">
        <v>481</v>
      </c>
      <c r="D139" t="s">
        <v>53</v>
      </c>
      <c r="E139">
        <v>37</v>
      </c>
      <c r="F139" t="s">
        <v>27</v>
      </c>
      <c r="G139" t="s">
        <v>54</v>
      </c>
      <c r="H139">
        <v>28</v>
      </c>
      <c r="I139" t="s">
        <v>39</v>
      </c>
      <c r="J139" t="s">
        <v>71</v>
      </c>
      <c r="K139">
        <v>3</v>
      </c>
      <c r="L139" t="s">
        <v>72</v>
      </c>
      <c r="M139" t="s">
        <v>182</v>
      </c>
      <c r="N139" t="s">
        <v>40</v>
      </c>
      <c r="O139">
        <v>368494</v>
      </c>
      <c r="P139">
        <v>0</v>
      </c>
      <c r="Q139" t="s">
        <v>41</v>
      </c>
      <c r="R139" s="1">
        <v>41043</v>
      </c>
      <c r="S139" t="s">
        <v>34</v>
      </c>
      <c r="T139">
        <v>10</v>
      </c>
      <c r="U139">
        <v>8</v>
      </c>
      <c r="V139">
        <v>9</v>
      </c>
      <c r="W139">
        <v>6</v>
      </c>
      <c r="X139" t="s">
        <v>11022</v>
      </c>
      <c r="Y139" t="s">
        <v>11022</v>
      </c>
      <c r="Z139" t="str">
        <f>_xlfn.XLOOKUP(Employees[[#This Row],[Education]], EdLevel[EducationLevelID], EdLevel[EducationLevel])</f>
        <v xml:space="preserve">Bachelors </v>
      </c>
      <c r="AA139">
        <f>IF(Employees[[#This Row],[Attrition]] = "Yes", 1, 0)</f>
        <v>0</v>
      </c>
      <c r="AB139" t="str" cm="1">
        <f t="array" ref="AB139">_xlfn.IFS(Employees[[#This Row],[Age]]&lt;30, "20-29", Employees[[#This Row],[Age]]&lt;40, "30-39", Employees[[#This Row],[Age]]&lt;50, "40-49", "TRUE", "50+")</f>
        <v>30-39</v>
      </c>
    </row>
    <row r="140" spans="1:28">
      <c r="A140" t="s">
        <v>482</v>
      </c>
      <c r="B140" t="s">
        <v>483</v>
      </c>
      <c r="C140" t="s">
        <v>484</v>
      </c>
      <c r="D140" t="s">
        <v>26</v>
      </c>
      <c r="E140">
        <v>35</v>
      </c>
      <c r="F140" t="s">
        <v>27</v>
      </c>
      <c r="G140" t="s">
        <v>54</v>
      </c>
      <c r="H140">
        <v>32</v>
      </c>
      <c r="I140" t="s">
        <v>65</v>
      </c>
      <c r="J140" t="s">
        <v>66</v>
      </c>
      <c r="K140">
        <v>2</v>
      </c>
      <c r="L140" t="s">
        <v>178</v>
      </c>
      <c r="M140" t="s">
        <v>85</v>
      </c>
      <c r="N140" t="s">
        <v>49</v>
      </c>
      <c r="O140">
        <v>119917</v>
      </c>
      <c r="P140">
        <v>1</v>
      </c>
      <c r="Q140" t="s">
        <v>41</v>
      </c>
      <c r="R140" s="1">
        <v>41044</v>
      </c>
      <c r="S140" t="s">
        <v>34</v>
      </c>
      <c r="T140">
        <v>10</v>
      </c>
      <c r="U140">
        <v>5</v>
      </c>
      <c r="V140">
        <v>7</v>
      </c>
      <c r="W140">
        <v>4</v>
      </c>
      <c r="X140" t="s">
        <v>11021</v>
      </c>
      <c r="Y140" t="s">
        <v>11021</v>
      </c>
      <c r="Z140" t="str">
        <f>_xlfn.XLOOKUP(Employees[[#This Row],[Education]], EdLevel[EducationLevelID], EdLevel[EducationLevel])</f>
        <v xml:space="preserve">High School </v>
      </c>
      <c r="AA140">
        <f>IF(Employees[[#This Row],[Attrition]] = "Yes", 1, 0)</f>
        <v>0</v>
      </c>
      <c r="AB140" t="str" cm="1">
        <f t="array" ref="AB140">_xlfn.IFS(Employees[[#This Row],[Age]]&lt;30, "20-29", Employees[[#This Row],[Age]]&lt;40, "30-39", Employees[[#This Row],[Age]]&lt;50, "40-49", "TRUE", "50+")</f>
        <v>30-39</v>
      </c>
    </row>
    <row r="141" spans="1:28">
      <c r="A141" t="s">
        <v>485</v>
      </c>
      <c r="B141" t="s">
        <v>103</v>
      </c>
      <c r="C141" t="s">
        <v>486</v>
      </c>
      <c r="D141" t="s">
        <v>38</v>
      </c>
      <c r="E141">
        <v>48</v>
      </c>
      <c r="F141" t="s">
        <v>27</v>
      </c>
      <c r="G141" t="s">
        <v>28</v>
      </c>
      <c r="H141">
        <v>33</v>
      </c>
      <c r="I141" t="s">
        <v>65</v>
      </c>
      <c r="J141" t="s">
        <v>66</v>
      </c>
      <c r="K141">
        <v>2</v>
      </c>
      <c r="L141" t="s">
        <v>47</v>
      </c>
      <c r="M141" t="s">
        <v>32</v>
      </c>
      <c r="N141" t="s">
        <v>33</v>
      </c>
      <c r="O141">
        <v>191771</v>
      </c>
      <c r="P141">
        <v>1</v>
      </c>
      <c r="Q141" t="s">
        <v>34</v>
      </c>
      <c r="R141" s="1">
        <v>41046</v>
      </c>
      <c r="S141" t="s">
        <v>34</v>
      </c>
      <c r="T141">
        <v>10</v>
      </c>
      <c r="U141">
        <v>0</v>
      </c>
      <c r="V141">
        <v>10</v>
      </c>
      <c r="W141">
        <v>4</v>
      </c>
      <c r="X141" t="s">
        <v>11021</v>
      </c>
      <c r="Y141" t="s">
        <v>11021</v>
      </c>
      <c r="Z141" t="str">
        <f>_xlfn.XLOOKUP(Employees[[#This Row],[Education]], EdLevel[EducationLevelID], EdLevel[EducationLevel])</f>
        <v xml:space="preserve">High School </v>
      </c>
      <c r="AA141">
        <f>IF(Employees[[#This Row],[Attrition]] = "Yes", 1, 0)</f>
        <v>0</v>
      </c>
      <c r="AB141" t="str" cm="1">
        <f t="array" ref="AB141">_xlfn.IFS(Employees[[#This Row],[Age]]&lt;30, "20-29", Employees[[#This Row],[Age]]&lt;40, "30-39", Employees[[#This Row],[Age]]&lt;50, "40-49", "TRUE", "50+")</f>
        <v>40-49</v>
      </c>
    </row>
    <row r="142" spans="1:28">
      <c r="A142" t="s">
        <v>487</v>
      </c>
      <c r="B142" t="s">
        <v>488</v>
      </c>
      <c r="C142" t="s">
        <v>489</v>
      </c>
      <c r="D142" t="s">
        <v>38</v>
      </c>
      <c r="E142">
        <v>48</v>
      </c>
      <c r="F142" t="s">
        <v>27</v>
      </c>
      <c r="G142" t="s">
        <v>54</v>
      </c>
      <c r="H142">
        <v>26</v>
      </c>
      <c r="I142" t="s">
        <v>29</v>
      </c>
      <c r="J142" t="s">
        <v>30</v>
      </c>
      <c r="K142">
        <v>4</v>
      </c>
      <c r="L142" t="s">
        <v>72</v>
      </c>
      <c r="M142" t="s">
        <v>85</v>
      </c>
      <c r="N142" t="s">
        <v>33</v>
      </c>
      <c r="O142">
        <v>35749</v>
      </c>
      <c r="P142">
        <v>2</v>
      </c>
      <c r="Q142" t="s">
        <v>34</v>
      </c>
      <c r="R142" s="1">
        <v>41046</v>
      </c>
      <c r="S142" t="s">
        <v>34</v>
      </c>
      <c r="T142">
        <v>10</v>
      </c>
      <c r="U142">
        <v>7</v>
      </c>
      <c r="V142">
        <v>7</v>
      </c>
      <c r="W142">
        <v>8</v>
      </c>
      <c r="X142" t="s">
        <v>11023</v>
      </c>
      <c r="Y142" t="s">
        <v>11023</v>
      </c>
      <c r="Z142" t="str">
        <f>_xlfn.XLOOKUP(Employees[[#This Row],[Education]], EdLevel[EducationLevelID], EdLevel[EducationLevel])</f>
        <v xml:space="preserve">Masters </v>
      </c>
      <c r="AA142">
        <f>IF(Employees[[#This Row],[Attrition]] = "Yes", 1, 0)</f>
        <v>0</v>
      </c>
      <c r="AB142" t="str" cm="1">
        <f t="array" ref="AB142">_xlfn.IFS(Employees[[#This Row],[Age]]&lt;30, "20-29", Employees[[#This Row],[Age]]&lt;40, "30-39", Employees[[#This Row],[Age]]&lt;50, "40-49", "TRUE", "50+")</f>
        <v>40-49</v>
      </c>
    </row>
    <row r="143" spans="1:28">
      <c r="A143" t="s">
        <v>490</v>
      </c>
      <c r="B143" t="s">
        <v>491</v>
      </c>
      <c r="C143" t="s">
        <v>492</v>
      </c>
      <c r="D143" t="s">
        <v>26</v>
      </c>
      <c r="E143">
        <v>34</v>
      </c>
      <c r="F143" t="s">
        <v>27</v>
      </c>
      <c r="G143" t="s">
        <v>28</v>
      </c>
      <c r="H143">
        <v>16</v>
      </c>
      <c r="I143" t="s">
        <v>65</v>
      </c>
      <c r="J143" t="s">
        <v>30</v>
      </c>
      <c r="K143">
        <v>2</v>
      </c>
      <c r="L143" t="s">
        <v>121</v>
      </c>
      <c r="M143" t="s">
        <v>32</v>
      </c>
      <c r="N143" t="s">
        <v>33</v>
      </c>
      <c r="O143">
        <v>100710</v>
      </c>
      <c r="P143">
        <v>1</v>
      </c>
      <c r="Q143" t="s">
        <v>41</v>
      </c>
      <c r="R143" s="1">
        <v>41049</v>
      </c>
      <c r="S143" t="s">
        <v>34</v>
      </c>
      <c r="T143">
        <v>10</v>
      </c>
      <c r="U143">
        <v>10</v>
      </c>
      <c r="V143">
        <v>10</v>
      </c>
      <c r="W143">
        <v>2</v>
      </c>
      <c r="X143" t="s">
        <v>11021</v>
      </c>
      <c r="Y143" t="s">
        <v>11021</v>
      </c>
      <c r="Z143" t="str">
        <f>_xlfn.XLOOKUP(Employees[[#This Row],[Education]], EdLevel[EducationLevelID], EdLevel[EducationLevel])</f>
        <v xml:space="preserve">High School </v>
      </c>
      <c r="AA143">
        <f>IF(Employees[[#This Row],[Attrition]] = "Yes", 1, 0)</f>
        <v>0</v>
      </c>
      <c r="AB143" t="str" cm="1">
        <f t="array" ref="AB143">_xlfn.IFS(Employees[[#This Row],[Age]]&lt;30, "20-29", Employees[[#This Row],[Age]]&lt;40, "30-39", Employees[[#This Row],[Age]]&lt;50, "40-49", "TRUE", "50+")</f>
        <v>30-39</v>
      </c>
    </row>
    <row r="144" spans="1:28">
      <c r="A144" t="s">
        <v>493</v>
      </c>
      <c r="B144" t="s">
        <v>494</v>
      </c>
      <c r="C144" t="s">
        <v>495</v>
      </c>
      <c r="D144" t="s">
        <v>26</v>
      </c>
      <c r="E144">
        <v>34</v>
      </c>
      <c r="F144" t="s">
        <v>27</v>
      </c>
      <c r="G144" t="s">
        <v>54</v>
      </c>
      <c r="H144">
        <v>41</v>
      </c>
      <c r="I144" t="s">
        <v>65</v>
      </c>
      <c r="J144" t="s">
        <v>71</v>
      </c>
      <c r="K144">
        <v>3</v>
      </c>
      <c r="L144" t="s">
        <v>55</v>
      </c>
      <c r="M144" t="s">
        <v>101</v>
      </c>
      <c r="N144" t="s">
        <v>49</v>
      </c>
      <c r="O144">
        <v>50386</v>
      </c>
      <c r="P144">
        <v>1</v>
      </c>
      <c r="Q144" t="s">
        <v>34</v>
      </c>
      <c r="R144" s="1">
        <v>41049</v>
      </c>
      <c r="S144" t="s">
        <v>34</v>
      </c>
      <c r="T144">
        <v>10</v>
      </c>
      <c r="U144">
        <v>8</v>
      </c>
      <c r="V144">
        <v>9</v>
      </c>
      <c r="W144">
        <v>10</v>
      </c>
      <c r="X144" t="s">
        <v>11022</v>
      </c>
      <c r="Y144" t="s">
        <v>11022</v>
      </c>
      <c r="Z144" t="str">
        <f>_xlfn.XLOOKUP(Employees[[#This Row],[Education]], EdLevel[EducationLevelID], EdLevel[EducationLevel])</f>
        <v xml:space="preserve">Bachelors </v>
      </c>
      <c r="AA144">
        <f>IF(Employees[[#This Row],[Attrition]] = "Yes", 1, 0)</f>
        <v>0</v>
      </c>
      <c r="AB144" t="str" cm="1">
        <f t="array" ref="AB144">_xlfn.IFS(Employees[[#This Row],[Age]]&lt;30, "20-29", Employees[[#This Row],[Age]]&lt;40, "30-39", Employees[[#This Row],[Age]]&lt;50, "40-49", "TRUE", "50+")</f>
        <v>30-39</v>
      </c>
    </row>
    <row r="145" spans="1:28">
      <c r="A145" t="s">
        <v>496</v>
      </c>
      <c r="B145" t="s">
        <v>497</v>
      </c>
      <c r="C145" t="s">
        <v>498</v>
      </c>
      <c r="D145" t="s">
        <v>38</v>
      </c>
      <c r="E145">
        <v>46</v>
      </c>
      <c r="F145" t="s">
        <v>27</v>
      </c>
      <c r="G145" t="s">
        <v>45</v>
      </c>
      <c r="H145">
        <v>45</v>
      </c>
      <c r="I145" t="s">
        <v>29</v>
      </c>
      <c r="J145" t="s">
        <v>30</v>
      </c>
      <c r="K145">
        <v>3</v>
      </c>
      <c r="L145" t="s">
        <v>45</v>
      </c>
      <c r="M145" t="s">
        <v>61</v>
      </c>
      <c r="N145" t="s">
        <v>33</v>
      </c>
      <c r="O145">
        <v>48740</v>
      </c>
      <c r="P145">
        <v>3</v>
      </c>
      <c r="Q145" t="s">
        <v>41</v>
      </c>
      <c r="R145" s="1">
        <v>41049</v>
      </c>
      <c r="S145" t="s">
        <v>41</v>
      </c>
      <c r="T145">
        <v>10</v>
      </c>
      <c r="U145">
        <v>8</v>
      </c>
      <c r="V145">
        <v>9</v>
      </c>
      <c r="W145">
        <v>6</v>
      </c>
      <c r="X145" t="s">
        <v>11022</v>
      </c>
      <c r="Y145" t="s">
        <v>11022</v>
      </c>
      <c r="Z145" t="str">
        <f>_xlfn.XLOOKUP(Employees[[#This Row],[Education]], EdLevel[EducationLevelID], EdLevel[EducationLevel])</f>
        <v xml:space="preserve">Bachelors </v>
      </c>
      <c r="AA145">
        <f>IF(Employees[[#This Row],[Attrition]] = "Yes", 1, 0)</f>
        <v>1</v>
      </c>
      <c r="AB145" t="str" cm="1">
        <f t="array" ref="AB145">_xlfn.IFS(Employees[[#This Row],[Age]]&lt;30, "20-29", Employees[[#This Row],[Age]]&lt;40, "30-39", Employees[[#This Row],[Age]]&lt;50, "40-49", "TRUE", "50+")</f>
        <v>40-49</v>
      </c>
    </row>
    <row r="146" spans="1:28">
      <c r="A146" t="s">
        <v>499</v>
      </c>
      <c r="B146" t="s">
        <v>500</v>
      </c>
      <c r="C146" t="s">
        <v>501</v>
      </c>
      <c r="D146" t="s">
        <v>38</v>
      </c>
      <c r="E146">
        <v>47</v>
      </c>
      <c r="F146" t="s">
        <v>27</v>
      </c>
      <c r="G146" t="s">
        <v>28</v>
      </c>
      <c r="H146">
        <v>42</v>
      </c>
      <c r="I146" t="s">
        <v>39</v>
      </c>
      <c r="J146" t="s">
        <v>46</v>
      </c>
      <c r="K146">
        <v>3</v>
      </c>
      <c r="L146" t="s">
        <v>47</v>
      </c>
      <c r="M146" t="s">
        <v>32</v>
      </c>
      <c r="N146" t="s">
        <v>49</v>
      </c>
      <c r="O146">
        <v>249553</v>
      </c>
      <c r="P146">
        <v>1</v>
      </c>
      <c r="Q146" t="s">
        <v>34</v>
      </c>
      <c r="R146" s="1">
        <v>41049</v>
      </c>
      <c r="S146" t="s">
        <v>34</v>
      </c>
      <c r="T146">
        <v>10</v>
      </c>
      <c r="U146">
        <v>3</v>
      </c>
      <c r="V146">
        <v>4</v>
      </c>
      <c r="W146">
        <v>9</v>
      </c>
      <c r="X146" t="s">
        <v>11022</v>
      </c>
      <c r="Y146" t="s">
        <v>11022</v>
      </c>
      <c r="Z146" t="str">
        <f>_xlfn.XLOOKUP(Employees[[#This Row],[Education]], EdLevel[EducationLevelID], EdLevel[EducationLevel])</f>
        <v xml:space="preserve">Bachelors </v>
      </c>
      <c r="AA146">
        <f>IF(Employees[[#This Row],[Attrition]] = "Yes", 1, 0)</f>
        <v>0</v>
      </c>
      <c r="AB146" t="str" cm="1">
        <f t="array" ref="AB146">_xlfn.IFS(Employees[[#This Row],[Age]]&lt;30, "20-29", Employees[[#This Row],[Age]]&lt;40, "30-39", Employees[[#This Row],[Age]]&lt;50, "40-49", "TRUE", "50+")</f>
        <v>40-49</v>
      </c>
    </row>
    <row r="147" spans="1:28">
      <c r="A147" t="s">
        <v>502</v>
      </c>
      <c r="B147" t="s">
        <v>503</v>
      </c>
      <c r="C147" t="s">
        <v>504</v>
      </c>
      <c r="D147" t="s">
        <v>26</v>
      </c>
      <c r="E147">
        <v>32</v>
      </c>
      <c r="F147" t="s">
        <v>84</v>
      </c>
      <c r="G147" t="s">
        <v>54</v>
      </c>
      <c r="H147">
        <v>14</v>
      </c>
      <c r="I147" t="s">
        <v>29</v>
      </c>
      <c r="J147" t="s">
        <v>137</v>
      </c>
      <c r="K147">
        <v>3</v>
      </c>
      <c r="L147" t="s">
        <v>178</v>
      </c>
      <c r="M147" t="s">
        <v>101</v>
      </c>
      <c r="N147" t="s">
        <v>49</v>
      </c>
      <c r="O147">
        <v>86639</v>
      </c>
      <c r="P147">
        <v>0</v>
      </c>
      <c r="Q147" t="s">
        <v>34</v>
      </c>
      <c r="R147" s="1">
        <v>41050</v>
      </c>
      <c r="S147" t="s">
        <v>34</v>
      </c>
      <c r="T147">
        <v>10</v>
      </c>
      <c r="U147">
        <v>3</v>
      </c>
      <c r="V147">
        <v>9</v>
      </c>
      <c r="W147">
        <v>5</v>
      </c>
      <c r="X147" t="s">
        <v>11022</v>
      </c>
      <c r="Y147" t="s">
        <v>11022</v>
      </c>
      <c r="Z147" t="str">
        <f>_xlfn.XLOOKUP(Employees[[#This Row],[Education]], EdLevel[EducationLevelID], EdLevel[EducationLevel])</f>
        <v xml:space="preserve">Bachelors </v>
      </c>
      <c r="AA147">
        <f>IF(Employees[[#This Row],[Attrition]] = "Yes", 1, 0)</f>
        <v>0</v>
      </c>
      <c r="AB147" t="str" cm="1">
        <f t="array" ref="AB147">_xlfn.IFS(Employees[[#This Row],[Age]]&lt;30, "20-29", Employees[[#This Row],[Age]]&lt;40, "30-39", Employees[[#This Row],[Age]]&lt;50, "40-49", "TRUE", "50+")</f>
        <v>30-39</v>
      </c>
    </row>
    <row r="148" spans="1:28">
      <c r="A148" t="s">
        <v>505</v>
      </c>
      <c r="B148" t="s">
        <v>506</v>
      </c>
      <c r="C148" t="s">
        <v>507</v>
      </c>
      <c r="D148" t="s">
        <v>53</v>
      </c>
      <c r="E148">
        <v>42</v>
      </c>
      <c r="F148" t="s">
        <v>27</v>
      </c>
      <c r="G148" t="s">
        <v>54</v>
      </c>
      <c r="H148">
        <v>12</v>
      </c>
      <c r="I148" t="s">
        <v>39</v>
      </c>
      <c r="J148" t="s">
        <v>30</v>
      </c>
      <c r="K148">
        <v>4</v>
      </c>
      <c r="L148" t="s">
        <v>178</v>
      </c>
      <c r="M148" t="s">
        <v>105</v>
      </c>
      <c r="N148" t="s">
        <v>49</v>
      </c>
      <c r="O148">
        <v>167089</v>
      </c>
      <c r="P148">
        <v>1</v>
      </c>
      <c r="Q148" t="s">
        <v>34</v>
      </c>
      <c r="R148" s="1">
        <v>41053</v>
      </c>
      <c r="S148" t="s">
        <v>34</v>
      </c>
      <c r="T148">
        <v>10</v>
      </c>
      <c r="U148">
        <v>7</v>
      </c>
      <c r="V148">
        <v>9</v>
      </c>
      <c r="W148">
        <v>8</v>
      </c>
      <c r="X148" t="s">
        <v>11023</v>
      </c>
      <c r="Y148" t="s">
        <v>11023</v>
      </c>
      <c r="Z148" t="str">
        <f>_xlfn.XLOOKUP(Employees[[#This Row],[Education]], EdLevel[EducationLevelID], EdLevel[EducationLevel])</f>
        <v xml:space="preserve">Masters </v>
      </c>
      <c r="AA148">
        <f>IF(Employees[[#This Row],[Attrition]] = "Yes", 1, 0)</f>
        <v>0</v>
      </c>
      <c r="AB148" t="str" cm="1">
        <f t="array" ref="AB148">_xlfn.IFS(Employees[[#This Row],[Age]]&lt;30, "20-29", Employees[[#This Row],[Age]]&lt;40, "30-39", Employees[[#This Row],[Age]]&lt;50, "40-49", "TRUE", "50+")</f>
        <v>40-49</v>
      </c>
    </row>
    <row r="149" spans="1:28">
      <c r="A149" t="s">
        <v>508</v>
      </c>
      <c r="B149" t="s">
        <v>509</v>
      </c>
      <c r="C149" t="s">
        <v>510</v>
      </c>
      <c r="D149" t="s">
        <v>26</v>
      </c>
      <c r="E149">
        <v>43</v>
      </c>
      <c r="F149" t="s">
        <v>84</v>
      </c>
      <c r="G149" t="s">
        <v>28</v>
      </c>
      <c r="H149">
        <v>5</v>
      </c>
      <c r="I149" t="s">
        <v>39</v>
      </c>
      <c r="J149" t="s">
        <v>137</v>
      </c>
      <c r="K149">
        <v>3</v>
      </c>
      <c r="L149" t="s">
        <v>47</v>
      </c>
      <c r="M149" t="s">
        <v>32</v>
      </c>
      <c r="N149" t="s">
        <v>40</v>
      </c>
      <c r="O149">
        <v>350525</v>
      </c>
      <c r="P149">
        <v>0</v>
      </c>
      <c r="Q149" t="s">
        <v>41</v>
      </c>
      <c r="R149" s="1">
        <v>41056</v>
      </c>
      <c r="S149" t="s">
        <v>41</v>
      </c>
      <c r="T149">
        <v>9</v>
      </c>
      <c r="U149">
        <v>3</v>
      </c>
      <c r="V149">
        <v>9</v>
      </c>
      <c r="W149">
        <v>6</v>
      </c>
      <c r="X149" t="s">
        <v>11022</v>
      </c>
      <c r="Y149" t="s">
        <v>11022</v>
      </c>
      <c r="Z149" t="str">
        <f>_xlfn.XLOOKUP(Employees[[#This Row],[Education]], EdLevel[EducationLevelID], EdLevel[EducationLevel])</f>
        <v xml:space="preserve">Bachelors </v>
      </c>
      <c r="AA149">
        <f>IF(Employees[[#This Row],[Attrition]] = "Yes", 1, 0)</f>
        <v>1</v>
      </c>
      <c r="AB149" t="str" cm="1">
        <f t="array" ref="AB149">_xlfn.IFS(Employees[[#This Row],[Age]]&lt;30, "20-29", Employees[[#This Row],[Age]]&lt;40, "30-39", Employees[[#This Row],[Age]]&lt;50, "40-49", "TRUE", "50+")</f>
        <v>40-49</v>
      </c>
    </row>
    <row r="150" spans="1:28">
      <c r="A150" t="s">
        <v>511</v>
      </c>
      <c r="B150" t="s">
        <v>512</v>
      </c>
      <c r="C150" t="s">
        <v>513</v>
      </c>
      <c r="D150" t="s">
        <v>26</v>
      </c>
      <c r="E150">
        <v>36</v>
      </c>
      <c r="F150" t="s">
        <v>70</v>
      </c>
      <c r="G150" t="s">
        <v>54</v>
      </c>
      <c r="H150">
        <v>28</v>
      </c>
      <c r="I150" t="s">
        <v>39</v>
      </c>
      <c r="J150" t="s">
        <v>46</v>
      </c>
      <c r="K150">
        <v>4</v>
      </c>
      <c r="L150" t="s">
        <v>77</v>
      </c>
      <c r="M150" t="s">
        <v>85</v>
      </c>
      <c r="N150" t="s">
        <v>33</v>
      </c>
      <c r="O150">
        <v>77136</v>
      </c>
      <c r="P150">
        <v>2</v>
      </c>
      <c r="Q150" t="s">
        <v>34</v>
      </c>
      <c r="R150" s="1">
        <v>41057</v>
      </c>
      <c r="S150" t="s">
        <v>34</v>
      </c>
      <c r="T150">
        <v>10</v>
      </c>
      <c r="U150">
        <v>10</v>
      </c>
      <c r="V150">
        <v>10</v>
      </c>
      <c r="W150">
        <v>10</v>
      </c>
      <c r="X150" t="s">
        <v>11023</v>
      </c>
      <c r="Y150" t="s">
        <v>11023</v>
      </c>
      <c r="Z150" t="str">
        <f>_xlfn.XLOOKUP(Employees[[#This Row],[Education]], EdLevel[EducationLevelID], EdLevel[EducationLevel])</f>
        <v xml:space="preserve">Masters </v>
      </c>
      <c r="AA150">
        <f>IF(Employees[[#This Row],[Attrition]] = "Yes", 1, 0)</f>
        <v>0</v>
      </c>
      <c r="AB150" t="str" cm="1">
        <f t="array" ref="AB150">_xlfn.IFS(Employees[[#This Row],[Age]]&lt;30, "20-29", Employees[[#This Row],[Age]]&lt;40, "30-39", Employees[[#This Row],[Age]]&lt;50, "40-49", "TRUE", "50+")</f>
        <v>30-39</v>
      </c>
    </row>
    <row r="151" spans="1:28">
      <c r="A151" t="s">
        <v>514</v>
      </c>
      <c r="B151" t="s">
        <v>515</v>
      </c>
      <c r="C151" t="s">
        <v>516</v>
      </c>
      <c r="D151" t="s">
        <v>26</v>
      </c>
      <c r="E151">
        <v>48</v>
      </c>
      <c r="F151" t="s">
        <v>70</v>
      </c>
      <c r="G151" t="s">
        <v>54</v>
      </c>
      <c r="H151">
        <v>40</v>
      </c>
      <c r="I151" t="s">
        <v>39</v>
      </c>
      <c r="J151" t="s">
        <v>30</v>
      </c>
      <c r="K151">
        <v>2</v>
      </c>
      <c r="L151" t="s">
        <v>72</v>
      </c>
      <c r="M151" t="s">
        <v>93</v>
      </c>
      <c r="N151" t="s">
        <v>33</v>
      </c>
      <c r="O151">
        <v>92884</v>
      </c>
      <c r="P151">
        <v>1</v>
      </c>
      <c r="Q151" t="s">
        <v>34</v>
      </c>
      <c r="R151" s="1">
        <v>41059</v>
      </c>
      <c r="S151" t="s">
        <v>34</v>
      </c>
      <c r="T151">
        <v>10</v>
      </c>
      <c r="U151">
        <v>5</v>
      </c>
      <c r="V151">
        <v>9</v>
      </c>
      <c r="W151">
        <v>2</v>
      </c>
      <c r="X151" t="s">
        <v>11021</v>
      </c>
      <c r="Y151" t="s">
        <v>11021</v>
      </c>
      <c r="Z151" t="str">
        <f>_xlfn.XLOOKUP(Employees[[#This Row],[Education]], EdLevel[EducationLevelID], EdLevel[EducationLevel])</f>
        <v xml:space="preserve">High School </v>
      </c>
      <c r="AA151">
        <f>IF(Employees[[#This Row],[Attrition]] = "Yes", 1, 0)</f>
        <v>0</v>
      </c>
      <c r="AB151" t="str" cm="1">
        <f t="array" ref="AB151">_xlfn.IFS(Employees[[#This Row],[Age]]&lt;30, "20-29", Employees[[#This Row],[Age]]&lt;40, "30-39", Employees[[#This Row],[Age]]&lt;50, "40-49", "TRUE", "50+")</f>
        <v>40-49</v>
      </c>
    </row>
    <row r="152" spans="1:28">
      <c r="A152" t="s">
        <v>517</v>
      </c>
      <c r="B152" t="s">
        <v>518</v>
      </c>
      <c r="C152" t="s">
        <v>519</v>
      </c>
      <c r="D152" t="s">
        <v>38</v>
      </c>
      <c r="E152">
        <v>42</v>
      </c>
      <c r="F152" t="s">
        <v>27</v>
      </c>
      <c r="G152" t="s">
        <v>28</v>
      </c>
      <c r="H152">
        <v>26</v>
      </c>
      <c r="I152" t="s">
        <v>39</v>
      </c>
      <c r="J152" t="s">
        <v>30</v>
      </c>
      <c r="K152">
        <v>4</v>
      </c>
      <c r="L152" t="s">
        <v>31</v>
      </c>
      <c r="M152" t="s">
        <v>32</v>
      </c>
      <c r="N152" t="s">
        <v>40</v>
      </c>
      <c r="O152">
        <v>91179</v>
      </c>
      <c r="P152">
        <v>0</v>
      </c>
      <c r="Q152" t="s">
        <v>34</v>
      </c>
      <c r="R152" s="1">
        <v>41059</v>
      </c>
      <c r="S152" t="s">
        <v>34</v>
      </c>
      <c r="T152">
        <v>10</v>
      </c>
      <c r="U152">
        <v>7</v>
      </c>
      <c r="V152">
        <v>9</v>
      </c>
      <c r="W152">
        <v>0</v>
      </c>
      <c r="X152" t="s">
        <v>11023</v>
      </c>
      <c r="Y152" t="s">
        <v>11023</v>
      </c>
      <c r="Z152" t="str">
        <f>_xlfn.XLOOKUP(Employees[[#This Row],[Education]], EdLevel[EducationLevelID], EdLevel[EducationLevel])</f>
        <v xml:space="preserve">Masters </v>
      </c>
      <c r="AA152">
        <f>IF(Employees[[#This Row],[Attrition]] = "Yes", 1, 0)</f>
        <v>0</v>
      </c>
      <c r="AB152" t="str" cm="1">
        <f t="array" ref="AB152">_xlfn.IFS(Employees[[#This Row],[Age]]&lt;30, "20-29", Employees[[#This Row],[Age]]&lt;40, "30-39", Employees[[#This Row],[Age]]&lt;50, "40-49", "TRUE", "50+")</f>
        <v>40-49</v>
      </c>
    </row>
    <row r="153" spans="1:28">
      <c r="A153" t="s">
        <v>520</v>
      </c>
      <c r="B153" t="s">
        <v>521</v>
      </c>
      <c r="C153" t="s">
        <v>522</v>
      </c>
      <c r="D153" t="s">
        <v>26</v>
      </c>
      <c r="E153">
        <v>33</v>
      </c>
      <c r="F153" t="s">
        <v>27</v>
      </c>
      <c r="G153" t="s">
        <v>54</v>
      </c>
      <c r="H153">
        <v>36</v>
      </c>
      <c r="I153" t="s">
        <v>39</v>
      </c>
      <c r="J153" t="s">
        <v>46</v>
      </c>
      <c r="K153">
        <v>3</v>
      </c>
      <c r="L153" t="s">
        <v>55</v>
      </c>
      <c r="M153" t="s">
        <v>93</v>
      </c>
      <c r="N153" t="s">
        <v>40</v>
      </c>
      <c r="O153">
        <v>88726</v>
      </c>
      <c r="P153">
        <v>0</v>
      </c>
      <c r="Q153" t="s">
        <v>34</v>
      </c>
      <c r="R153" s="1">
        <v>41275</v>
      </c>
      <c r="S153" t="s">
        <v>34</v>
      </c>
      <c r="T153">
        <v>9</v>
      </c>
      <c r="U153">
        <v>8</v>
      </c>
      <c r="V153">
        <v>8</v>
      </c>
      <c r="W153">
        <v>6</v>
      </c>
      <c r="X153" t="s">
        <v>11022</v>
      </c>
      <c r="Y153" t="s">
        <v>11022</v>
      </c>
      <c r="Z153" t="str">
        <f>_xlfn.XLOOKUP(Employees[[#This Row],[Education]], EdLevel[EducationLevelID], EdLevel[EducationLevel])</f>
        <v xml:space="preserve">Bachelors </v>
      </c>
      <c r="AA153">
        <f>IF(Employees[[#This Row],[Attrition]] = "Yes", 1, 0)</f>
        <v>0</v>
      </c>
      <c r="AB153" t="str" cm="1">
        <f t="array" ref="AB153">_xlfn.IFS(Employees[[#This Row],[Age]]&lt;30, "20-29", Employees[[#This Row],[Age]]&lt;40, "30-39", Employees[[#This Row],[Age]]&lt;50, "40-49", "TRUE", "50+")</f>
        <v>30-39</v>
      </c>
    </row>
    <row r="154" spans="1:28">
      <c r="A154" t="s">
        <v>523</v>
      </c>
      <c r="B154" t="s">
        <v>524</v>
      </c>
      <c r="C154" t="s">
        <v>525</v>
      </c>
      <c r="D154" t="s">
        <v>26</v>
      </c>
      <c r="E154">
        <v>47</v>
      </c>
      <c r="F154" t="s">
        <v>84</v>
      </c>
      <c r="G154" t="s">
        <v>28</v>
      </c>
      <c r="H154">
        <v>19</v>
      </c>
      <c r="I154" t="s">
        <v>39</v>
      </c>
      <c r="J154" t="s">
        <v>137</v>
      </c>
      <c r="K154">
        <v>3</v>
      </c>
      <c r="L154" t="s">
        <v>60</v>
      </c>
      <c r="M154" t="s">
        <v>150</v>
      </c>
      <c r="N154" t="s">
        <v>49</v>
      </c>
      <c r="O154">
        <v>46684</v>
      </c>
      <c r="P154">
        <v>1</v>
      </c>
      <c r="Q154" t="s">
        <v>34</v>
      </c>
      <c r="R154" s="1">
        <v>41286</v>
      </c>
      <c r="S154" t="s">
        <v>34</v>
      </c>
      <c r="T154">
        <v>9</v>
      </c>
      <c r="U154">
        <v>4</v>
      </c>
      <c r="V154">
        <v>9</v>
      </c>
      <c r="W154">
        <v>3</v>
      </c>
      <c r="X154" t="s">
        <v>11022</v>
      </c>
      <c r="Y154" t="s">
        <v>11022</v>
      </c>
      <c r="Z154" t="str">
        <f>_xlfn.XLOOKUP(Employees[[#This Row],[Education]], EdLevel[EducationLevelID], EdLevel[EducationLevel])</f>
        <v xml:space="preserve">Bachelors </v>
      </c>
      <c r="AA154">
        <f>IF(Employees[[#This Row],[Attrition]] = "Yes", 1, 0)</f>
        <v>0</v>
      </c>
      <c r="AB154" t="str" cm="1">
        <f t="array" ref="AB154">_xlfn.IFS(Employees[[#This Row],[Age]]&lt;30, "20-29", Employees[[#This Row],[Age]]&lt;40, "30-39", Employees[[#This Row],[Age]]&lt;50, "40-49", "TRUE", "50+")</f>
        <v>40-49</v>
      </c>
    </row>
    <row r="155" spans="1:28">
      <c r="A155" t="s">
        <v>526</v>
      </c>
      <c r="B155" t="s">
        <v>527</v>
      </c>
      <c r="C155" t="s">
        <v>528</v>
      </c>
      <c r="D155" t="s">
        <v>38</v>
      </c>
      <c r="E155">
        <v>29</v>
      </c>
      <c r="F155" t="s">
        <v>27</v>
      </c>
      <c r="G155" t="s">
        <v>28</v>
      </c>
      <c r="H155">
        <v>38</v>
      </c>
      <c r="I155" t="s">
        <v>39</v>
      </c>
      <c r="J155" t="s">
        <v>46</v>
      </c>
      <c r="K155">
        <v>4</v>
      </c>
      <c r="L155" t="s">
        <v>31</v>
      </c>
      <c r="M155" t="s">
        <v>32</v>
      </c>
      <c r="N155" t="s">
        <v>49</v>
      </c>
      <c r="O155">
        <v>102061</v>
      </c>
      <c r="P155">
        <v>1</v>
      </c>
      <c r="Q155" t="s">
        <v>34</v>
      </c>
      <c r="R155" s="1">
        <v>41291</v>
      </c>
      <c r="S155" t="s">
        <v>34</v>
      </c>
      <c r="T155">
        <v>9</v>
      </c>
      <c r="U155">
        <v>5</v>
      </c>
      <c r="V155">
        <v>9</v>
      </c>
      <c r="W155">
        <v>5</v>
      </c>
      <c r="X155" t="s">
        <v>11023</v>
      </c>
      <c r="Y155" t="s">
        <v>11023</v>
      </c>
      <c r="Z155" t="str">
        <f>_xlfn.XLOOKUP(Employees[[#This Row],[Education]], EdLevel[EducationLevelID], EdLevel[EducationLevel])</f>
        <v xml:space="preserve">Masters </v>
      </c>
      <c r="AA155">
        <f>IF(Employees[[#This Row],[Attrition]] = "Yes", 1, 0)</f>
        <v>0</v>
      </c>
      <c r="AB155" t="str" cm="1">
        <f t="array" ref="AB155">_xlfn.IFS(Employees[[#This Row],[Age]]&lt;30, "20-29", Employees[[#This Row],[Age]]&lt;40, "30-39", Employees[[#This Row],[Age]]&lt;50, "40-49", "TRUE", "50+")</f>
        <v>20-29</v>
      </c>
    </row>
    <row r="156" spans="1:28">
      <c r="A156" t="s">
        <v>529</v>
      </c>
      <c r="B156" t="s">
        <v>530</v>
      </c>
      <c r="C156" t="s">
        <v>531</v>
      </c>
      <c r="D156" t="s">
        <v>26</v>
      </c>
      <c r="E156">
        <v>42</v>
      </c>
      <c r="F156" t="s">
        <v>27</v>
      </c>
      <c r="G156" t="s">
        <v>54</v>
      </c>
      <c r="H156">
        <v>9</v>
      </c>
      <c r="I156" t="s">
        <v>39</v>
      </c>
      <c r="J156" t="s">
        <v>46</v>
      </c>
      <c r="K156">
        <v>2</v>
      </c>
      <c r="L156" t="s">
        <v>72</v>
      </c>
      <c r="M156" t="s">
        <v>85</v>
      </c>
      <c r="N156" t="s">
        <v>49</v>
      </c>
      <c r="O156">
        <v>73577</v>
      </c>
      <c r="P156">
        <v>1</v>
      </c>
      <c r="Q156" t="s">
        <v>34</v>
      </c>
      <c r="R156" s="1">
        <v>41297</v>
      </c>
      <c r="S156" t="s">
        <v>34</v>
      </c>
      <c r="T156">
        <v>9</v>
      </c>
      <c r="U156">
        <v>9</v>
      </c>
      <c r="V156">
        <v>9</v>
      </c>
      <c r="W156">
        <v>6</v>
      </c>
      <c r="X156" t="s">
        <v>11021</v>
      </c>
      <c r="Y156" t="s">
        <v>11021</v>
      </c>
      <c r="Z156" t="str">
        <f>_xlfn.XLOOKUP(Employees[[#This Row],[Education]], EdLevel[EducationLevelID], EdLevel[EducationLevel])</f>
        <v xml:space="preserve">High School </v>
      </c>
      <c r="AA156">
        <f>IF(Employees[[#This Row],[Attrition]] = "Yes", 1, 0)</f>
        <v>0</v>
      </c>
      <c r="AB156" t="str" cm="1">
        <f t="array" ref="AB156">_xlfn.IFS(Employees[[#This Row],[Age]]&lt;30, "20-29", Employees[[#This Row],[Age]]&lt;40, "30-39", Employees[[#This Row],[Age]]&lt;50, "40-49", "TRUE", "50+")</f>
        <v>40-49</v>
      </c>
    </row>
    <row r="157" spans="1:28">
      <c r="A157" t="s">
        <v>532</v>
      </c>
      <c r="B157" t="s">
        <v>533</v>
      </c>
      <c r="C157" t="s">
        <v>534</v>
      </c>
      <c r="D157" t="s">
        <v>38</v>
      </c>
      <c r="E157">
        <v>39</v>
      </c>
      <c r="F157" t="s">
        <v>27</v>
      </c>
      <c r="G157" t="s">
        <v>54</v>
      </c>
      <c r="H157">
        <v>3</v>
      </c>
      <c r="I157" t="s">
        <v>39</v>
      </c>
      <c r="J157" t="s">
        <v>71</v>
      </c>
      <c r="K157">
        <v>3</v>
      </c>
      <c r="L157" t="s">
        <v>55</v>
      </c>
      <c r="M157" t="s">
        <v>93</v>
      </c>
      <c r="N157" t="s">
        <v>40</v>
      </c>
      <c r="O157">
        <v>81115</v>
      </c>
      <c r="P157">
        <v>0</v>
      </c>
      <c r="Q157" t="s">
        <v>34</v>
      </c>
      <c r="R157" s="1">
        <v>41298</v>
      </c>
      <c r="S157" t="s">
        <v>34</v>
      </c>
      <c r="T157">
        <v>9</v>
      </c>
      <c r="U157">
        <v>2</v>
      </c>
      <c r="V157">
        <v>4</v>
      </c>
      <c r="W157">
        <v>0</v>
      </c>
      <c r="X157" t="s">
        <v>11022</v>
      </c>
      <c r="Y157" t="s">
        <v>11022</v>
      </c>
      <c r="Z157" t="str">
        <f>_xlfn.XLOOKUP(Employees[[#This Row],[Education]], EdLevel[EducationLevelID], EdLevel[EducationLevel])</f>
        <v xml:space="preserve">Bachelors </v>
      </c>
      <c r="AA157">
        <f>IF(Employees[[#This Row],[Attrition]] = "Yes", 1, 0)</f>
        <v>0</v>
      </c>
      <c r="AB157" t="str" cm="1">
        <f t="array" ref="AB157">_xlfn.IFS(Employees[[#This Row],[Age]]&lt;30, "20-29", Employees[[#This Row],[Age]]&lt;40, "30-39", Employees[[#This Row],[Age]]&lt;50, "40-49", "TRUE", "50+")</f>
        <v>30-39</v>
      </c>
    </row>
    <row r="158" spans="1:28">
      <c r="A158" t="s">
        <v>535</v>
      </c>
      <c r="B158" t="s">
        <v>536</v>
      </c>
      <c r="C158" t="s">
        <v>537</v>
      </c>
      <c r="D158" t="s">
        <v>26</v>
      </c>
      <c r="E158">
        <v>46</v>
      </c>
      <c r="F158" t="s">
        <v>84</v>
      </c>
      <c r="G158" t="s">
        <v>54</v>
      </c>
      <c r="H158">
        <v>16</v>
      </c>
      <c r="I158" t="s">
        <v>65</v>
      </c>
      <c r="J158" t="s">
        <v>30</v>
      </c>
      <c r="K158">
        <v>2</v>
      </c>
      <c r="L158" t="s">
        <v>55</v>
      </c>
      <c r="M158" t="s">
        <v>101</v>
      </c>
      <c r="N158" t="s">
        <v>40</v>
      </c>
      <c r="O158">
        <v>100717</v>
      </c>
      <c r="P158">
        <v>0</v>
      </c>
      <c r="Q158" t="s">
        <v>41</v>
      </c>
      <c r="R158" s="1">
        <v>41304</v>
      </c>
      <c r="S158" t="s">
        <v>34</v>
      </c>
      <c r="T158">
        <v>9</v>
      </c>
      <c r="U158">
        <v>5</v>
      </c>
      <c r="V158">
        <v>9</v>
      </c>
      <c r="W158">
        <v>7</v>
      </c>
      <c r="X158" t="s">
        <v>11021</v>
      </c>
      <c r="Y158" t="s">
        <v>11021</v>
      </c>
      <c r="Z158" t="str">
        <f>_xlfn.XLOOKUP(Employees[[#This Row],[Education]], EdLevel[EducationLevelID], EdLevel[EducationLevel])</f>
        <v xml:space="preserve">High School </v>
      </c>
      <c r="AA158">
        <f>IF(Employees[[#This Row],[Attrition]] = "Yes", 1, 0)</f>
        <v>0</v>
      </c>
      <c r="AB158" t="str" cm="1">
        <f t="array" ref="AB158">_xlfn.IFS(Employees[[#This Row],[Age]]&lt;30, "20-29", Employees[[#This Row],[Age]]&lt;40, "30-39", Employees[[#This Row],[Age]]&lt;50, "40-49", "TRUE", "50+")</f>
        <v>40-49</v>
      </c>
    </row>
    <row r="159" spans="1:28">
      <c r="A159" t="s">
        <v>538</v>
      </c>
      <c r="B159" t="s">
        <v>539</v>
      </c>
      <c r="C159" t="s">
        <v>540</v>
      </c>
      <c r="D159" t="s">
        <v>38</v>
      </c>
      <c r="E159">
        <v>29</v>
      </c>
      <c r="F159" t="s">
        <v>27</v>
      </c>
      <c r="G159" t="s">
        <v>28</v>
      </c>
      <c r="H159">
        <v>20</v>
      </c>
      <c r="I159" t="s">
        <v>65</v>
      </c>
      <c r="J159" t="s">
        <v>71</v>
      </c>
      <c r="K159">
        <v>3</v>
      </c>
      <c r="L159" t="s">
        <v>47</v>
      </c>
      <c r="M159" t="s">
        <v>32</v>
      </c>
      <c r="N159" t="s">
        <v>40</v>
      </c>
      <c r="O159">
        <v>149688</v>
      </c>
      <c r="P159">
        <v>0</v>
      </c>
      <c r="Q159" t="s">
        <v>41</v>
      </c>
      <c r="R159" s="1">
        <v>41309</v>
      </c>
      <c r="S159" t="s">
        <v>41</v>
      </c>
      <c r="T159">
        <v>2</v>
      </c>
      <c r="U159">
        <v>2</v>
      </c>
      <c r="V159">
        <v>2</v>
      </c>
      <c r="W159">
        <v>2</v>
      </c>
      <c r="X159" t="s">
        <v>11022</v>
      </c>
      <c r="Y159" t="s">
        <v>11022</v>
      </c>
      <c r="Z159" t="str">
        <f>_xlfn.XLOOKUP(Employees[[#This Row],[Education]], EdLevel[EducationLevelID], EdLevel[EducationLevel])</f>
        <v xml:space="preserve">Bachelors </v>
      </c>
      <c r="AA159">
        <f>IF(Employees[[#This Row],[Attrition]] = "Yes", 1, 0)</f>
        <v>1</v>
      </c>
      <c r="AB159" t="str" cm="1">
        <f t="array" ref="AB159">_xlfn.IFS(Employees[[#This Row],[Age]]&lt;30, "20-29", Employees[[#This Row],[Age]]&lt;40, "30-39", Employees[[#This Row],[Age]]&lt;50, "40-49", "TRUE", "50+")</f>
        <v>20-29</v>
      </c>
    </row>
    <row r="160" spans="1:28">
      <c r="A160" t="s">
        <v>541</v>
      </c>
      <c r="B160" t="s">
        <v>542</v>
      </c>
      <c r="C160" t="s">
        <v>543</v>
      </c>
      <c r="D160" t="s">
        <v>26</v>
      </c>
      <c r="E160">
        <v>36</v>
      </c>
      <c r="F160" t="s">
        <v>27</v>
      </c>
      <c r="G160" t="s">
        <v>54</v>
      </c>
      <c r="H160">
        <v>35</v>
      </c>
      <c r="I160" t="s">
        <v>65</v>
      </c>
      <c r="J160" t="s">
        <v>30</v>
      </c>
      <c r="K160">
        <v>2</v>
      </c>
      <c r="L160" t="s">
        <v>55</v>
      </c>
      <c r="M160" t="s">
        <v>101</v>
      </c>
      <c r="N160" t="s">
        <v>49</v>
      </c>
      <c r="O160">
        <v>60585</v>
      </c>
      <c r="P160">
        <v>2</v>
      </c>
      <c r="Q160" t="s">
        <v>34</v>
      </c>
      <c r="R160" s="1">
        <v>41310</v>
      </c>
      <c r="S160" t="s">
        <v>34</v>
      </c>
      <c r="T160">
        <v>9</v>
      </c>
      <c r="U160">
        <v>0</v>
      </c>
      <c r="V160">
        <v>7</v>
      </c>
      <c r="W160">
        <v>9</v>
      </c>
      <c r="X160" t="s">
        <v>11021</v>
      </c>
      <c r="Y160" t="s">
        <v>11021</v>
      </c>
      <c r="Z160" t="str">
        <f>_xlfn.XLOOKUP(Employees[[#This Row],[Education]], EdLevel[EducationLevelID], EdLevel[EducationLevel])</f>
        <v xml:space="preserve">High School </v>
      </c>
      <c r="AA160">
        <f>IF(Employees[[#This Row],[Attrition]] = "Yes", 1, 0)</f>
        <v>0</v>
      </c>
      <c r="AB160" t="str" cm="1">
        <f t="array" ref="AB160">_xlfn.IFS(Employees[[#This Row],[Age]]&lt;30, "20-29", Employees[[#This Row],[Age]]&lt;40, "30-39", Employees[[#This Row],[Age]]&lt;50, "40-49", "TRUE", "50+")</f>
        <v>30-39</v>
      </c>
    </row>
    <row r="161" spans="1:28">
      <c r="A161" t="s">
        <v>544</v>
      </c>
      <c r="B161" t="s">
        <v>545</v>
      </c>
      <c r="C161" t="s">
        <v>546</v>
      </c>
      <c r="D161" t="s">
        <v>26</v>
      </c>
      <c r="E161">
        <v>46</v>
      </c>
      <c r="F161" t="s">
        <v>84</v>
      </c>
      <c r="G161" t="s">
        <v>54</v>
      </c>
      <c r="H161">
        <v>24</v>
      </c>
      <c r="I161" t="s">
        <v>65</v>
      </c>
      <c r="J161" t="s">
        <v>30</v>
      </c>
      <c r="K161">
        <v>3</v>
      </c>
      <c r="L161" t="s">
        <v>55</v>
      </c>
      <c r="M161" t="s">
        <v>56</v>
      </c>
      <c r="N161" t="s">
        <v>49</v>
      </c>
      <c r="O161">
        <v>514945</v>
      </c>
      <c r="P161">
        <v>0</v>
      </c>
      <c r="Q161" t="s">
        <v>41</v>
      </c>
      <c r="R161" s="1">
        <v>41310</v>
      </c>
      <c r="S161" t="s">
        <v>34</v>
      </c>
      <c r="T161">
        <v>9</v>
      </c>
      <c r="U161">
        <v>4</v>
      </c>
      <c r="V161">
        <v>7</v>
      </c>
      <c r="W161">
        <v>7</v>
      </c>
      <c r="X161" t="s">
        <v>11022</v>
      </c>
      <c r="Y161" t="s">
        <v>11022</v>
      </c>
      <c r="Z161" t="str">
        <f>_xlfn.XLOOKUP(Employees[[#This Row],[Education]], EdLevel[EducationLevelID], EdLevel[EducationLevel])</f>
        <v xml:space="preserve">Bachelors </v>
      </c>
      <c r="AA161">
        <f>IF(Employees[[#This Row],[Attrition]] = "Yes", 1, 0)</f>
        <v>0</v>
      </c>
      <c r="AB161" t="str" cm="1">
        <f t="array" ref="AB161">_xlfn.IFS(Employees[[#This Row],[Age]]&lt;30, "20-29", Employees[[#This Row],[Age]]&lt;40, "30-39", Employees[[#This Row],[Age]]&lt;50, "40-49", "TRUE", "50+")</f>
        <v>40-49</v>
      </c>
    </row>
    <row r="162" spans="1:28">
      <c r="A162" t="s">
        <v>547</v>
      </c>
      <c r="B162" t="s">
        <v>548</v>
      </c>
      <c r="C162" t="s">
        <v>549</v>
      </c>
      <c r="D162" t="s">
        <v>26</v>
      </c>
      <c r="E162">
        <v>31</v>
      </c>
      <c r="F162" t="s">
        <v>84</v>
      </c>
      <c r="G162" t="s">
        <v>28</v>
      </c>
      <c r="H162">
        <v>21</v>
      </c>
      <c r="I162" t="s">
        <v>65</v>
      </c>
      <c r="J162" t="s">
        <v>46</v>
      </c>
      <c r="K162">
        <v>3</v>
      </c>
      <c r="L162" t="s">
        <v>31</v>
      </c>
      <c r="M162" t="s">
        <v>32</v>
      </c>
      <c r="N162" t="s">
        <v>40</v>
      </c>
      <c r="O162">
        <v>253719</v>
      </c>
      <c r="P162">
        <v>0</v>
      </c>
      <c r="Q162" t="s">
        <v>34</v>
      </c>
      <c r="R162" s="1">
        <v>41317</v>
      </c>
      <c r="S162" t="s">
        <v>34</v>
      </c>
      <c r="T162">
        <v>9</v>
      </c>
      <c r="U162">
        <v>2</v>
      </c>
      <c r="V162">
        <v>4</v>
      </c>
      <c r="W162">
        <v>3</v>
      </c>
      <c r="X162" t="s">
        <v>11022</v>
      </c>
      <c r="Y162" t="s">
        <v>11022</v>
      </c>
      <c r="Z162" t="str">
        <f>_xlfn.XLOOKUP(Employees[[#This Row],[Education]], EdLevel[EducationLevelID], EdLevel[EducationLevel])</f>
        <v xml:space="preserve">Bachelors </v>
      </c>
      <c r="AA162">
        <f>IF(Employees[[#This Row],[Attrition]] = "Yes", 1, 0)</f>
        <v>0</v>
      </c>
      <c r="AB162" t="str" cm="1">
        <f t="array" ref="AB162">_xlfn.IFS(Employees[[#This Row],[Age]]&lt;30, "20-29", Employees[[#This Row],[Age]]&lt;40, "30-39", Employees[[#This Row],[Age]]&lt;50, "40-49", "TRUE", "50+")</f>
        <v>30-39</v>
      </c>
    </row>
    <row r="163" spans="1:28">
      <c r="A163" t="s">
        <v>550</v>
      </c>
      <c r="B163" t="s">
        <v>551</v>
      </c>
      <c r="C163" t="s">
        <v>552</v>
      </c>
      <c r="D163" t="s">
        <v>38</v>
      </c>
      <c r="E163">
        <v>29</v>
      </c>
      <c r="F163" t="s">
        <v>84</v>
      </c>
      <c r="G163" t="s">
        <v>54</v>
      </c>
      <c r="H163">
        <v>26</v>
      </c>
      <c r="I163" t="s">
        <v>39</v>
      </c>
      <c r="J163" t="s">
        <v>30</v>
      </c>
      <c r="K163">
        <v>3</v>
      </c>
      <c r="L163" t="s">
        <v>55</v>
      </c>
      <c r="M163" t="s">
        <v>85</v>
      </c>
      <c r="N163" t="s">
        <v>40</v>
      </c>
      <c r="O163">
        <v>78541</v>
      </c>
      <c r="P163">
        <v>0</v>
      </c>
      <c r="Q163" t="s">
        <v>41</v>
      </c>
      <c r="R163" s="1">
        <v>41328</v>
      </c>
      <c r="S163" t="s">
        <v>41</v>
      </c>
      <c r="T163">
        <v>6</v>
      </c>
      <c r="U163">
        <v>5</v>
      </c>
      <c r="V163">
        <v>5</v>
      </c>
      <c r="W163">
        <v>2</v>
      </c>
      <c r="X163" t="s">
        <v>11022</v>
      </c>
      <c r="Y163" t="s">
        <v>11022</v>
      </c>
      <c r="Z163" t="str">
        <f>_xlfn.XLOOKUP(Employees[[#This Row],[Education]], EdLevel[EducationLevelID], EdLevel[EducationLevel])</f>
        <v xml:space="preserve">Bachelors </v>
      </c>
      <c r="AA163">
        <f>IF(Employees[[#This Row],[Attrition]] = "Yes", 1, 0)</f>
        <v>1</v>
      </c>
      <c r="AB163" t="str" cm="1">
        <f t="array" ref="AB163">_xlfn.IFS(Employees[[#This Row],[Age]]&lt;30, "20-29", Employees[[#This Row],[Age]]&lt;40, "30-39", Employees[[#This Row],[Age]]&lt;50, "40-49", "TRUE", "50+")</f>
        <v>20-29</v>
      </c>
    </row>
    <row r="164" spans="1:28">
      <c r="A164" t="s">
        <v>553</v>
      </c>
      <c r="B164" t="s">
        <v>554</v>
      </c>
      <c r="C164" t="s">
        <v>555</v>
      </c>
      <c r="D164" t="s">
        <v>26</v>
      </c>
      <c r="E164">
        <v>38</v>
      </c>
      <c r="F164" t="s">
        <v>84</v>
      </c>
      <c r="G164" t="s">
        <v>54</v>
      </c>
      <c r="H164">
        <v>6</v>
      </c>
      <c r="I164" t="s">
        <v>39</v>
      </c>
      <c r="J164" t="s">
        <v>71</v>
      </c>
      <c r="K164">
        <v>3</v>
      </c>
      <c r="L164" t="s">
        <v>72</v>
      </c>
      <c r="M164" t="s">
        <v>105</v>
      </c>
      <c r="N164" t="s">
        <v>40</v>
      </c>
      <c r="O164">
        <v>126515</v>
      </c>
      <c r="P164">
        <v>0</v>
      </c>
      <c r="Q164" t="s">
        <v>34</v>
      </c>
      <c r="R164" s="1">
        <v>41332</v>
      </c>
      <c r="S164" t="s">
        <v>34</v>
      </c>
      <c r="T164">
        <v>9</v>
      </c>
      <c r="U164">
        <v>7</v>
      </c>
      <c r="V164">
        <v>9</v>
      </c>
      <c r="W164">
        <v>4</v>
      </c>
      <c r="X164" t="s">
        <v>11022</v>
      </c>
      <c r="Y164" t="s">
        <v>11022</v>
      </c>
      <c r="Z164" t="str">
        <f>_xlfn.XLOOKUP(Employees[[#This Row],[Education]], EdLevel[EducationLevelID], EdLevel[EducationLevel])</f>
        <v xml:space="preserve">Bachelors </v>
      </c>
      <c r="AA164">
        <f>IF(Employees[[#This Row],[Attrition]] = "Yes", 1, 0)</f>
        <v>0</v>
      </c>
      <c r="AB164" t="str" cm="1">
        <f t="array" ref="AB164">_xlfn.IFS(Employees[[#This Row],[Age]]&lt;30, "20-29", Employees[[#This Row],[Age]]&lt;40, "30-39", Employees[[#This Row],[Age]]&lt;50, "40-49", "TRUE", "50+")</f>
        <v>30-39</v>
      </c>
    </row>
    <row r="165" spans="1:28">
      <c r="A165" t="s">
        <v>556</v>
      </c>
      <c r="B165" t="s">
        <v>557</v>
      </c>
      <c r="C165" t="s">
        <v>558</v>
      </c>
      <c r="D165" t="s">
        <v>38</v>
      </c>
      <c r="E165">
        <v>38</v>
      </c>
      <c r="F165" t="s">
        <v>27</v>
      </c>
      <c r="G165" t="s">
        <v>54</v>
      </c>
      <c r="H165">
        <v>18</v>
      </c>
      <c r="I165" t="s">
        <v>39</v>
      </c>
      <c r="J165" t="s">
        <v>71</v>
      </c>
      <c r="K165">
        <v>2</v>
      </c>
      <c r="L165" t="s">
        <v>72</v>
      </c>
      <c r="M165" t="s">
        <v>85</v>
      </c>
      <c r="N165" t="s">
        <v>49</v>
      </c>
      <c r="O165">
        <v>89362</v>
      </c>
      <c r="P165">
        <v>0</v>
      </c>
      <c r="Q165" t="s">
        <v>34</v>
      </c>
      <c r="R165" s="1">
        <v>41334</v>
      </c>
      <c r="S165" t="s">
        <v>34</v>
      </c>
      <c r="T165">
        <v>9</v>
      </c>
      <c r="U165">
        <v>3</v>
      </c>
      <c r="V165">
        <v>9</v>
      </c>
      <c r="W165">
        <v>7</v>
      </c>
      <c r="X165" t="s">
        <v>11021</v>
      </c>
      <c r="Y165" t="s">
        <v>11021</v>
      </c>
      <c r="Z165" t="str">
        <f>_xlfn.XLOOKUP(Employees[[#This Row],[Education]], EdLevel[EducationLevelID], EdLevel[EducationLevel])</f>
        <v xml:space="preserve">High School </v>
      </c>
      <c r="AA165">
        <f>IF(Employees[[#This Row],[Attrition]] = "Yes", 1, 0)</f>
        <v>0</v>
      </c>
      <c r="AB165" t="str" cm="1">
        <f t="array" ref="AB165">_xlfn.IFS(Employees[[#This Row],[Age]]&lt;30, "20-29", Employees[[#This Row],[Age]]&lt;40, "30-39", Employees[[#This Row],[Age]]&lt;50, "40-49", "TRUE", "50+")</f>
        <v>30-39</v>
      </c>
    </row>
    <row r="166" spans="1:28">
      <c r="A166" t="s">
        <v>559</v>
      </c>
      <c r="B166" t="s">
        <v>560</v>
      </c>
      <c r="C166" t="s">
        <v>561</v>
      </c>
      <c r="D166" t="s">
        <v>26</v>
      </c>
      <c r="E166">
        <v>47</v>
      </c>
      <c r="F166" t="s">
        <v>84</v>
      </c>
      <c r="G166" t="s">
        <v>45</v>
      </c>
      <c r="H166">
        <v>3</v>
      </c>
      <c r="I166" t="s">
        <v>39</v>
      </c>
      <c r="J166" t="s">
        <v>30</v>
      </c>
      <c r="K166">
        <v>3</v>
      </c>
      <c r="L166" t="s">
        <v>47</v>
      </c>
      <c r="M166" t="s">
        <v>207</v>
      </c>
      <c r="N166" t="s">
        <v>49</v>
      </c>
      <c r="O166">
        <v>85744</v>
      </c>
      <c r="P166">
        <v>2</v>
      </c>
      <c r="Q166" t="s">
        <v>34</v>
      </c>
      <c r="R166" s="1">
        <v>41335</v>
      </c>
      <c r="S166" t="s">
        <v>34</v>
      </c>
      <c r="T166">
        <v>9</v>
      </c>
      <c r="U166">
        <v>0</v>
      </c>
      <c r="V166">
        <v>9</v>
      </c>
      <c r="W166">
        <v>8</v>
      </c>
      <c r="X166" t="s">
        <v>11022</v>
      </c>
      <c r="Y166" t="s">
        <v>11022</v>
      </c>
      <c r="Z166" t="str">
        <f>_xlfn.XLOOKUP(Employees[[#This Row],[Education]], EdLevel[EducationLevelID], EdLevel[EducationLevel])</f>
        <v xml:space="preserve">Bachelors </v>
      </c>
      <c r="AA166">
        <f>IF(Employees[[#This Row],[Attrition]] = "Yes", 1, 0)</f>
        <v>0</v>
      </c>
      <c r="AB166" t="str" cm="1">
        <f t="array" ref="AB166">_xlfn.IFS(Employees[[#This Row],[Age]]&lt;30, "20-29", Employees[[#This Row],[Age]]&lt;40, "30-39", Employees[[#This Row],[Age]]&lt;50, "40-49", "TRUE", "50+")</f>
        <v>40-49</v>
      </c>
    </row>
    <row r="167" spans="1:28">
      <c r="A167" t="s">
        <v>562</v>
      </c>
      <c r="B167" t="s">
        <v>563</v>
      </c>
      <c r="C167" t="s">
        <v>564</v>
      </c>
      <c r="D167" t="s">
        <v>38</v>
      </c>
      <c r="E167">
        <v>43</v>
      </c>
      <c r="F167" t="s">
        <v>70</v>
      </c>
      <c r="G167" t="s">
        <v>54</v>
      </c>
      <c r="H167">
        <v>21</v>
      </c>
      <c r="I167" t="s">
        <v>39</v>
      </c>
      <c r="J167" t="s">
        <v>30</v>
      </c>
      <c r="K167">
        <v>4</v>
      </c>
      <c r="L167" t="s">
        <v>72</v>
      </c>
      <c r="M167" t="s">
        <v>182</v>
      </c>
      <c r="N167" t="s">
        <v>40</v>
      </c>
      <c r="O167">
        <v>280756</v>
      </c>
      <c r="P167">
        <v>0</v>
      </c>
      <c r="Q167" t="s">
        <v>34</v>
      </c>
      <c r="R167" s="1">
        <v>41338</v>
      </c>
      <c r="S167" t="s">
        <v>34</v>
      </c>
      <c r="T167">
        <v>9</v>
      </c>
      <c r="U167">
        <v>8</v>
      </c>
      <c r="V167">
        <v>8</v>
      </c>
      <c r="W167">
        <v>3</v>
      </c>
      <c r="X167" t="s">
        <v>11023</v>
      </c>
      <c r="Y167" t="s">
        <v>11023</v>
      </c>
      <c r="Z167" t="str">
        <f>_xlfn.XLOOKUP(Employees[[#This Row],[Education]], EdLevel[EducationLevelID], EdLevel[EducationLevel])</f>
        <v xml:space="preserve">Masters </v>
      </c>
      <c r="AA167">
        <f>IF(Employees[[#This Row],[Attrition]] = "Yes", 1, 0)</f>
        <v>0</v>
      </c>
      <c r="AB167" t="str" cm="1">
        <f t="array" ref="AB167">_xlfn.IFS(Employees[[#This Row],[Age]]&lt;30, "20-29", Employees[[#This Row],[Age]]&lt;40, "30-39", Employees[[#This Row],[Age]]&lt;50, "40-49", "TRUE", "50+")</f>
        <v>40-49</v>
      </c>
    </row>
    <row r="168" spans="1:28">
      <c r="A168" t="s">
        <v>565</v>
      </c>
      <c r="B168" t="s">
        <v>566</v>
      </c>
      <c r="C168" t="s">
        <v>567</v>
      </c>
      <c r="D168" t="s">
        <v>38</v>
      </c>
      <c r="E168">
        <v>36</v>
      </c>
      <c r="F168" t="s">
        <v>27</v>
      </c>
      <c r="G168" t="s">
        <v>54</v>
      </c>
      <c r="H168">
        <v>28</v>
      </c>
      <c r="I168" t="s">
        <v>65</v>
      </c>
      <c r="J168" t="s">
        <v>71</v>
      </c>
      <c r="K168">
        <v>3</v>
      </c>
      <c r="L168" t="s">
        <v>72</v>
      </c>
      <c r="M168" t="s">
        <v>93</v>
      </c>
      <c r="N168" t="s">
        <v>49</v>
      </c>
      <c r="O168">
        <v>174019</v>
      </c>
      <c r="P168">
        <v>1</v>
      </c>
      <c r="Q168" t="s">
        <v>41</v>
      </c>
      <c r="R168" s="1">
        <v>41340</v>
      </c>
      <c r="S168" t="s">
        <v>34</v>
      </c>
      <c r="T168">
        <v>9</v>
      </c>
      <c r="U168">
        <v>8</v>
      </c>
      <c r="V168">
        <v>9</v>
      </c>
      <c r="W168">
        <v>1</v>
      </c>
      <c r="X168" t="s">
        <v>11022</v>
      </c>
      <c r="Y168" t="s">
        <v>11022</v>
      </c>
      <c r="Z168" t="str">
        <f>_xlfn.XLOOKUP(Employees[[#This Row],[Education]], EdLevel[EducationLevelID], EdLevel[EducationLevel])</f>
        <v xml:space="preserve">Bachelors </v>
      </c>
      <c r="AA168">
        <f>IF(Employees[[#This Row],[Attrition]] = "Yes", 1, 0)</f>
        <v>0</v>
      </c>
      <c r="AB168" t="str" cm="1">
        <f t="array" ref="AB168">_xlfn.IFS(Employees[[#This Row],[Age]]&lt;30, "20-29", Employees[[#This Row],[Age]]&lt;40, "30-39", Employees[[#This Row],[Age]]&lt;50, "40-49", "TRUE", "50+")</f>
        <v>30-39</v>
      </c>
    </row>
    <row r="169" spans="1:28">
      <c r="A169" t="s">
        <v>568</v>
      </c>
      <c r="B169" t="s">
        <v>569</v>
      </c>
      <c r="C169" t="s">
        <v>570</v>
      </c>
      <c r="D169" t="s">
        <v>26</v>
      </c>
      <c r="E169">
        <v>40</v>
      </c>
      <c r="F169" t="s">
        <v>27</v>
      </c>
      <c r="G169" t="s">
        <v>54</v>
      </c>
      <c r="H169">
        <v>17</v>
      </c>
      <c r="I169" t="s">
        <v>65</v>
      </c>
      <c r="J169" t="s">
        <v>30</v>
      </c>
      <c r="K169">
        <v>1</v>
      </c>
      <c r="L169" t="s">
        <v>72</v>
      </c>
      <c r="M169" t="s">
        <v>101</v>
      </c>
      <c r="N169" t="s">
        <v>49</v>
      </c>
      <c r="O169">
        <v>41601</v>
      </c>
      <c r="P169">
        <v>0</v>
      </c>
      <c r="Q169" t="s">
        <v>34</v>
      </c>
      <c r="R169" s="1">
        <v>41341</v>
      </c>
      <c r="S169" t="s">
        <v>34</v>
      </c>
      <c r="T169">
        <v>9</v>
      </c>
      <c r="U169">
        <v>8</v>
      </c>
      <c r="V169">
        <v>9</v>
      </c>
      <c r="W169">
        <v>8</v>
      </c>
      <c r="X169" t="s">
        <v>11020</v>
      </c>
      <c r="Y169" t="s">
        <v>11020</v>
      </c>
      <c r="Z169" t="str">
        <f>_xlfn.XLOOKUP(Employees[[#This Row],[Education]], EdLevel[EducationLevelID], EdLevel[EducationLevel])</f>
        <v>No Formal Qualifications</v>
      </c>
      <c r="AA169">
        <f>IF(Employees[[#This Row],[Attrition]] = "Yes", 1, 0)</f>
        <v>0</v>
      </c>
      <c r="AB169" t="str" cm="1">
        <f t="array" ref="AB169">_xlfn.IFS(Employees[[#This Row],[Age]]&lt;30, "20-29", Employees[[#This Row],[Age]]&lt;40, "30-39", Employees[[#This Row],[Age]]&lt;50, "40-49", "TRUE", "50+")</f>
        <v>40-49</v>
      </c>
    </row>
    <row r="170" spans="1:28">
      <c r="A170" t="s">
        <v>571</v>
      </c>
      <c r="B170" t="s">
        <v>572</v>
      </c>
      <c r="C170" t="s">
        <v>573</v>
      </c>
      <c r="D170" t="s">
        <v>26</v>
      </c>
      <c r="E170">
        <v>35</v>
      </c>
      <c r="F170" t="s">
        <v>27</v>
      </c>
      <c r="G170" t="s">
        <v>28</v>
      </c>
      <c r="H170">
        <v>23</v>
      </c>
      <c r="I170" t="s">
        <v>65</v>
      </c>
      <c r="J170" t="s">
        <v>30</v>
      </c>
      <c r="K170">
        <v>3</v>
      </c>
      <c r="L170" t="s">
        <v>121</v>
      </c>
      <c r="M170" t="s">
        <v>150</v>
      </c>
      <c r="N170" t="s">
        <v>49</v>
      </c>
      <c r="O170">
        <v>81389</v>
      </c>
      <c r="P170">
        <v>1</v>
      </c>
      <c r="Q170" t="s">
        <v>34</v>
      </c>
      <c r="R170" s="1">
        <v>41344</v>
      </c>
      <c r="S170" t="s">
        <v>34</v>
      </c>
      <c r="T170">
        <v>9</v>
      </c>
      <c r="U170">
        <v>3</v>
      </c>
      <c r="V170">
        <v>7</v>
      </c>
      <c r="W170">
        <v>5</v>
      </c>
      <c r="X170" t="s">
        <v>11022</v>
      </c>
      <c r="Y170" t="s">
        <v>11022</v>
      </c>
      <c r="Z170" t="str">
        <f>_xlfn.XLOOKUP(Employees[[#This Row],[Education]], EdLevel[EducationLevelID], EdLevel[EducationLevel])</f>
        <v xml:space="preserve">Bachelors </v>
      </c>
      <c r="AA170">
        <f>IF(Employees[[#This Row],[Attrition]] = "Yes", 1, 0)</f>
        <v>0</v>
      </c>
      <c r="AB170" t="str" cm="1">
        <f t="array" ref="AB170">_xlfn.IFS(Employees[[#This Row],[Age]]&lt;30, "20-29", Employees[[#This Row],[Age]]&lt;40, "30-39", Employees[[#This Row],[Age]]&lt;50, "40-49", "TRUE", "50+")</f>
        <v>30-39</v>
      </c>
    </row>
    <row r="171" spans="1:28">
      <c r="A171" t="s">
        <v>574</v>
      </c>
      <c r="B171" t="s">
        <v>575</v>
      </c>
      <c r="C171" t="s">
        <v>576</v>
      </c>
      <c r="D171" t="s">
        <v>26</v>
      </c>
      <c r="E171">
        <v>32</v>
      </c>
      <c r="F171" t="s">
        <v>27</v>
      </c>
      <c r="G171" t="s">
        <v>28</v>
      </c>
      <c r="H171">
        <v>9</v>
      </c>
      <c r="I171" t="s">
        <v>29</v>
      </c>
      <c r="J171" t="s">
        <v>30</v>
      </c>
      <c r="K171">
        <v>2</v>
      </c>
      <c r="L171" t="s">
        <v>47</v>
      </c>
      <c r="M171" t="s">
        <v>32</v>
      </c>
      <c r="N171" t="s">
        <v>33</v>
      </c>
      <c r="O171">
        <v>133865</v>
      </c>
      <c r="P171">
        <v>1</v>
      </c>
      <c r="Q171" t="s">
        <v>41</v>
      </c>
      <c r="R171" s="1">
        <v>41345</v>
      </c>
      <c r="S171" t="s">
        <v>34</v>
      </c>
      <c r="T171">
        <v>9</v>
      </c>
      <c r="U171">
        <v>3</v>
      </c>
      <c r="V171">
        <v>3</v>
      </c>
      <c r="W171">
        <v>0</v>
      </c>
      <c r="X171" t="s">
        <v>11021</v>
      </c>
      <c r="Y171" t="s">
        <v>11021</v>
      </c>
      <c r="Z171" t="str">
        <f>_xlfn.XLOOKUP(Employees[[#This Row],[Education]], EdLevel[EducationLevelID], EdLevel[EducationLevel])</f>
        <v xml:space="preserve">High School </v>
      </c>
      <c r="AA171">
        <f>IF(Employees[[#This Row],[Attrition]] = "Yes", 1, 0)</f>
        <v>0</v>
      </c>
      <c r="AB171" t="str" cm="1">
        <f t="array" ref="AB171">_xlfn.IFS(Employees[[#This Row],[Age]]&lt;30, "20-29", Employees[[#This Row],[Age]]&lt;40, "30-39", Employees[[#This Row],[Age]]&lt;50, "40-49", "TRUE", "50+")</f>
        <v>30-39</v>
      </c>
    </row>
    <row r="172" spans="1:28">
      <c r="A172" t="s">
        <v>577</v>
      </c>
      <c r="B172" t="s">
        <v>578</v>
      </c>
      <c r="C172" t="s">
        <v>579</v>
      </c>
      <c r="D172" t="s">
        <v>26</v>
      </c>
      <c r="E172">
        <v>30</v>
      </c>
      <c r="F172" t="s">
        <v>27</v>
      </c>
      <c r="G172" t="s">
        <v>54</v>
      </c>
      <c r="H172">
        <v>42</v>
      </c>
      <c r="I172" t="s">
        <v>39</v>
      </c>
      <c r="J172" t="s">
        <v>30</v>
      </c>
      <c r="K172">
        <v>5</v>
      </c>
      <c r="L172" t="s">
        <v>55</v>
      </c>
      <c r="M172" t="s">
        <v>101</v>
      </c>
      <c r="N172" t="s">
        <v>49</v>
      </c>
      <c r="O172">
        <v>93181</v>
      </c>
      <c r="P172">
        <v>0</v>
      </c>
      <c r="Q172" t="s">
        <v>34</v>
      </c>
      <c r="R172" s="1">
        <v>41348</v>
      </c>
      <c r="S172" t="s">
        <v>34</v>
      </c>
      <c r="T172">
        <v>9</v>
      </c>
      <c r="U172">
        <v>8</v>
      </c>
      <c r="V172">
        <v>9</v>
      </c>
      <c r="W172">
        <v>4</v>
      </c>
      <c r="X172" t="s">
        <v>11024</v>
      </c>
      <c r="Y172" t="s">
        <v>11024</v>
      </c>
      <c r="Z172" t="str">
        <f>_xlfn.XLOOKUP(Employees[[#This Row],[Education]], EdLevel[EducationLevelID], EdLevel[EducationLevel])</f>
        <v>Doctorate</v>
      </c>
      <c r="AA172">
        <f>IF(Employees[[#This Row],[Attrition]] = "Yes", 1, 0)</f>
        <v>0</v>
      </c>
      <c r="AB172" t="str" cm="1">
        <f t="array" ref="AB172">_xlfn.IFS(Employees[[#This Row],[Age]]&lt;30, "20-29", Employees[[#This Row],[Age]]&lt;40, "30-39", Employees[[#This Row],[Age]]&lt;50, "40-49", "TRUE", "50+")</f>
        <v>30-39</v>
      </c>
    </row>
    <row r="173" spans="1:28">
      <c r="A173" t="s">
        <v>580</v>
      </c>
      <c r="B173" t="s">
        <v>581</v>
      </c>
      <c r="C173" t="s">
        <v>582</v>
      </c>
      <c r="D173" t="s">
        <v>26</v>
      </c>
      <c r="E173">
        <v>30</v>
      </c>
      <c r="F173" t="s">
        <v>27</v>
      </c>
      <c r="G173" t="s">
        <v>54</v>
      </c>
      <c r="H173">
        <v>1</v>
      </c>
      <c r="I173" t="s">
        <v>29</v>
      </c>
      <c r="J173" t="s">
        <v>46</v>
      </c>
      <c r="K173">
        <v>4</v>
      </c>
      <c r="L173" t="s">
        <v>77</v>
      </c>
      <c r="M173" t="s">
        <v>85</v>
      </c>
      <c r="N173" t="s">
        <v>49</v>
      </c>
      <c r="O173">
        <v>40285</v>
      </c>
      <c r="P173">
        <v>0</v>
      </c>
      <c r="Q173" t="s">
        <v>41</v>
      </c>
      <c r="R173" s="1">
        <v>41354</v>
      </c>
      <c r="S173" t="s">
        <v>41</v>
      </c>
      <c r="T173">
        <v>1</v>
      </c>
      <c r="U173">
        <v>1</v>
      </c>
      <c r="V173">
        <v>1</v>
      </c>
      <c r="W173">
        <v>0</v>
      </c>
      <c r="X173" t="s">
        <v>11023</v>
      </c>
      <c r="Y173" t="s">
        <v>11023</v>
      </c>
      <c r="Z173" t="str">
        <f>_xlfn.XLOOKUP(Employees[[#This Row],[Education]], EdLevel[EducationLevelID], EdLevel[EducationLevel])</f>
        <v xml:space="preserve">Masters </v>
      </c>
      <c r="AA173">
        <f>IF(Employees[[#This Row],[Attrition]] = "Yes", 1, 0)</f>
        <v>1</v>
      </c>
      <c r="AB173" t="str" cm="1">
        <f t="array" ref="AB173">_xlfn.IFS(Employees[[#This Row],[Age]]&lt;30, "20-29", Employees[[#This Row],[Age]]&lt;40, "30-39", Employees[[#This Row],[Age]]&lt;50, "40-49", "TRUE", "50+")</f>
        <v>30-39</v>
      </c>
    </row>
    <row r="174" spans="1:28">
      <c r="A174" t="s">
        <v>583</v>
      </c>
      <c r="B174" t="s">
        <v>584</v>
      </c>
      <c r="C174" t="s">
        <v>585</v>
      </c>
      <c r="D174" t="s">
        <v>26</v>
      </c>
      <c r="E174">
        <v>45</v>
      </c>
      <c r="F174" t="s">
        <v>27</v>
      </c>
      <c r="G174" t="s">
        <v>28</v>
      </c>
      <c r="H174">
        <v>34</v>
      </c>
      <c r="I174" t="s">
        <v>39</v>
      </c>
      <c r="J174" t="s">
        <v>137</v>
      </c>
      <c r="K174">
        <v>3</v>
      </c>
      <c r="L174" t="s">
        <v>31</v>
      </c>
      <c r="M174" t="s">
        <v>32</v>
      </c>
      <c r="N174" t="s">
        <v>33</v>
      </c>
      <c r="O174">
        <v>173037</v>
      </c>
      <c r="P174">
        <v>3</v>
      </c>
      <c r="Q174" t="s">
        <v>34</v>
      </c>
      <c r="R174" s="1">
        <v>41359</v>
      </c>
      <c r="S174" t="s">
        <v>34</v>
      </c>
      <c r="T174">
        <v>9</v>
      </c>
      <c r="U174">
        <v>4</v>
      </c>
      <c r="V174">
        <v>9</v>
      </c>
      <c r="W174">
        <v>3</v>
      </c>
      <c r="X174" t="s">
        <v>11022</v>
      </c>
      <c r="Y174" t="s">
        <v>11022</v>
      </c>
      <c r="Z174" t="str">
        <f>_xlfn.XLOOKUP(Employees[[#This Row],[Education]], EdLevel[EducationLevelID], EdLevel[EducationLevel])</f>
        <v xml:space="preserve">Bachelors </v>
      </c>
      <c r="AA174">
        <f>IF(Employees[[#This Row],[Attrition]] = "Yes", 1, 0)</f>
        <v>0</v>
      </c>
      <c r="AB174" t="str" cm="1">
        <f t="array" ref="AB174">_xlfn.IFS(Employees[[#This Row],[Age]]&lt;30, "20-29", Employees[[#This Row],[Age]]&lt;40, "30-39", Employees[[#This Row],[Age]]&lt;50, "40-49", "TRUE", "50+")</f>
        <v>40-49</v>
      </c>
    </row>
    <row r="175" spans="1:28">
      <c r="A175" t="s">
        <v>586</v>
      </c>
      <c r="B175" t="s">
        <v>587</v>
      </c>
      <c r="C175" t="s">
        <v>588</v>
      </c>
      <c r="D175" t="s">
        <v>38</v>
      </c>
      <c r="E175">
        <v>30</v>
      </c>
      <c r="F175" t="s">
        <v>84</v>
      </c>
      <c r="G175" t="s">
        <v>28</v>
      </c>
      <c r="H175">
        <v>40</v>
      </c>
      <c r="I175" t="s">
        <v>39</v>
      </c>
      <c r="J175" t="s">
        <v>66</v>
      </c>
      <c r="K175">
        <v>2</v>
      </c>
      <c r="L175" t="s">
        <v>31</v>
      </c>
      <c r="M175" t="s">
        <v>150</v>
      </c>
      <c r="N175" t="s">
        <v>33</v>
      </c>
      <c r="O175">
        <v>44632</v>
      </c>
      <c r="P175">
        <v>1</v>
      </c>
      <c r="Q175" t="s">
        <v>34</v>
      </c>
      <c r="R175" s="1">
        <v>41359</v>
      </c>
      <c r="S175" t="s">
        <v>41</v>
      </c>
      <c r="T175">
        <v>1</v>
      </c>
      <c r="U175">
        <v>0</v>
      </c>
      <c r="V175">
        <v>0</v>
      </c>
      <c r="W175">
        <v>0</v>
      </c>
      <c r="X175" t="s">
        <v>11021</v>
      </c>
      <c r="Y175" t="s">
        <v>11021</v>
      </c>
      <c r="Z175" t="str">
        <f>_xlfn.XLOOKUP(Employees[[#This Row],[Education]], EdLevel[EducationLevelID], EdLevel[EducationLevel])</f>
        <v xml:space="preserve">High School </v>
      </c>
      <c r="AA175">
        <f>IF(Employees[[#This Row],[Attrition]] = "Yes", 1, 0)</f>
        <v>1</v>
      </c>
      <c r="AB175" t="str" cm="1">
        <f t="array" ref="AB175">_xlfn.IFS(Employees[[#This Row],[Age]]&lt;30, "20-29", Employees[[#This Row],[Age]]&lt;40, "30-39", Employees[[#This Row],[Age]]&lt;50, "40-49", "TRUE", "50+")</f>
        <v>30-39</v>
      </c>
    </row>
    <row r="176" spans="1:28">
      <c r="A176" t="s">
        <v>589</v>
      </c>
      <c r="B176" t="s">
        <v>590</v>
      </c>
      <c r="C176" t="s">
        <v>591</v>
      </c>
      <c r="D176" t="s">
        <v>38</v>
      </c>
      <c r="E176">
        <v>43</v>
      </c>
      <c r="F176" t="s">
        <v>27</v>
      </c>
      <c r="G176" t="s">
        <v>28</v>
      </c>
      <c r="H176">
        <v>3</v>
      </c>
      <c r="I176" t="s">
        <v>29</v>
      </c>
      <c r="J176" t="s">
        <v>66</v>
      </c>
      <c r="K176">
        <v>1</v>
      </c>
      <c r="L176" t="s">
        <v>121</v>
      </c>
      <c r="M176" t="s">
        <v>97</v>
      </c>
      <c r="N176" t="s">
        <v>49</v>
      </c>
      <c r="O176">
        <v>313198</v>
      </c>
      <c r="P176">
        <v>1</v>
      </c>
      <c r="Q176" t="s">
        <v>34</v>
      </c>
      <c r="R176" s="1">
        <v>41361</v>
      </c>
      <c r="S176" t="s">
        <v>34</v>
      </c>
      <c r="T176">
        <v>9</v>
      </c>
      <c r="U176">
        <v>5</v>
      </c>
      <c r="V176">
        <v>9</v>
      </c>
      <c r="W176">
        <v>2</v>
      </c>
      <c r="X176" t="s">
        <v>11020</v>
      </c>
      <c r="Y176" t="s">
        <v>11020</v>
      </c>
      <c r="Z176" t="str">
        <f>_xlfn.XLOOKUP(Employees[[#This Row],[Education]], EdLevel[EducationLevelID], EdLevel[EducationLevel])</f>
        <v>No Formal Qualifications</v>
      </c>
      <c r="AA176">
        <f>IF(Employees[[#This Row],[Attrition]] = "Yes", 1, 0)</f>
        <v>0</v>
      </c>
      <c r="AB176" t="str" cm="1">
        <f t="array" ref="AB176">_xlfn.IFS(Employees[[#This Row],[Age]]&lt;30, "20-29", Employees[[#This Row],[Age]]&lt;40, "30-39", Employees[[#This Row],[Age]]&lt;50, "40-49", "TRUE", "50+")</f>
        <v>40-49</v>
      </c>
    </row>
    <row r="177" spans="1:28">
      <c r="A177" t="s">
        <v>592</v>
      </c>
      <c r="B177" t="s">
        <v>593</v>
      </c>
      <c r="C177" t="s">
        <v>594</v>
      </c>
      <c r="D177" t="s">
        <v>26</v>
      </c>
      <c r="E177">
        <v>32</v>
      </c>
      <c r="F177" t="s">
        <v>27</v>
      </c>
      <c r="G177" t="s">
        <v>54</v>
      </c>
      <c r="H177">
        <v>2</v>
      </c>
      <c r="I177" t="s">
        <v>39</v>
      </c>
      <c r="J177" t="s">
        <v>66</v>
      </c>
      <c r="K177">
        <v>2</v>
      </c>
      <c r="L177" t="s">
        <v>55</v>
      </c>
      <c r="M177" t="s">
        <v>101</v>
      </c>
      <c r="N177" t="s">
        <v>40</v>
      </c>
      <c r="O177">
        <v>152314</v>
      </c>
      <c r="P177">
        <v>0</v>
      </c>
      <c r="Q177" t="s">
        <v>41</v>
      </c>
      <c r="R177" s="1">
        <v>41363</v>
      </c>
      <c r="S177" t="s">
        <v>34</v>
      </c>
      <c r="T177">
        <v>9</v>
      </c>
      <c r="U177">
        <v>4</v>
      </c>
      <c r="V177">
        <v>6</v>
      </c>
      <c r="W177">
        <v>0</v>
      </c>
      <c r="X177" t="s">
        <v>11021</v>
      </c>
      <c r="Y177" t="s">
        <v>11021</v>
      </c>
      <c r="Z177" t="str">
        <f>_xlfn.XLOOKUP(Employees[[#This Row],[Education]], EdLevel[EducationLevelID], EdLevel[EducationLevel])</f>
        <v xml:space="preserve">High School </v>
      </c>
      <c r="AA177">
        <f>IF(Employees[[#This Row],[Attrition]] = "Yes", 1, 0)</f>
        <v>0</v>
      </c>
      <c r="AB177" t="str" cm="1">
        <f t="array" ref="AB177">_xlfn.IFS(Employees[[#This Row],[Age]]&lt;30, "20-29", Employees[[#This Row],[Age]]&lt;40, "30-39", Employees[[#This Row],[Age]]&lt;50, "40-49", "TRUE", "50+")</f>
        <v>30-39</v>
      </c>
    </row>
    <row r="178" spans="1:28">
      <c r="A178" t="s">
        <v>595</v>
      </c>
      <c r="B178" t="s">
        <v>596</v>
      </c>
      <c r="C178" t="s">
        <v>597</v>
      </c>
      <c r="D178" t="s">
        <v>38</v>
      </c>
      <c r="E178">
        <v>28</v>
      </c>
      <c r="F178" t="s">
        <v>27</v>
      </c>
      <c r="G178" t="s">
        <v>28</v>
      </c>
      <c r="H178">
        <v>19</v>
      </c>
      <c r="I178" t="s">
        <v>65</v>
      </c>
      <c r="J178" t="s">
        <v>66</v>
      </c>
      <c r="K178">
        <v>2</v>
      </c>
      <c r="L178" t="s">
        <v>31</v>
      </c>
      <c r="M178" t="s">
        <v>150</v>
      </c>
      <c r="N178" t="s">
        <v>49</v>
      </c>
      <c r="O178">
        <v>56122</v>
      </c>
      <c r="P178">
        <v>0</v>
      </c>
      <c r="Q178" t="s">
        <v>41</v>
      </c>
      <c r="R178" s="1">
        <v>41364</v>
      </c>
      <c r="S178" t="s">
        <v>41</v>
      </c>
      <c r="T178">
        <v>7</v>
      </c>
      <c r="U178">
        <v>5</v>
      </c>
      <c r="V178">
        <v>5</v>
      </c>
      <c r="W178">
        <v>0</v>
      </c>
      <c r="X178" t="s">
        <v>11021</v>
      </c>
      <c r="Y178" t="s">
        <v>11021</v>
      </c>
      <c r="Z178" t="str">
        <f>_xlfn.XLOOKUP(Employees[[#This Row],[Education]], EdLevel[EducationLevelID], EdLevel[EducationLevel])</f>
        <v xml:space="preserve">High School </v>
      </c>
      <c r="AA178">
        <f>IF(Employees[[#This Row],[Attrition]] = "Yes", 1, 0)</f>
        <v>1</v>
      </c>
      <c r="AB178" t="str" cm="1">
        <f t="array" ref="AB178">_xlfn.IFS(Employees[[#This Row],[Age]]&lt;30, "20-29", Employees[[#This Row],[Age]]&lt;40, "30-39", Employees[[#This Row],[Age]]&lt;50, "40-49", "TRUE", "50+")</f>
        <v>20-29</v>
      </c>
    </row>
    <row r="179" spans="1:28">
      <c r="A179" t="s">
        <v>598</v>
      </c>
      <c r="B179" t="s">
        <v>599</v>
      </c>
      <c r="C179" t="s">
        <v>600</v>
      </c>
      <c r="D179" t="s">
        <v>38</v>
      </c>
      <c r="E179">
        <v>48</v>
      </c>
      <c r="F179" t="s">
        <v>27</v>
      </c>
      <c r="G179" t="s">
        <v>54</v>
      </c>
      <c r="H179">
        <v>44</v>
      </c>
      <c r="I179" t="s">
        <v>29</v>
      </c>
      <c r="J179" t="s">
        <v>30</v>
      </c>
      <c r="K179">
        <v>1</v>
      </c>
      <c r="L179" t="s">
        <v>55</v>
      </c>
      <c r="M179" t="s">
        <v>101</v>
      </c>
      <c r="N179" t="s">
        <v>40</v>
      </c>
      <c r="O179">
        <v>103198</v>
      </c>
      <c r="P179">
        <v>0</v>
      </c>
      <c r="Q179" t="s">
        <v>34</v>
      </c>
      <c r="R179" s="1">
        <v>41367</v>
      </c>
      <c r="S179" t="s">
        <v>34</v>
      </c>
      <c r="T179">
        <v>9</v>
      </c>
      <c r="U179">
        <v>7</v>
      </c>
      <c r="V179">
        <v>9</v>
      </c>
      <c r="W179">
        <v>2</v>
      </c>
      <c r="X179" t="s">
        <v>11020</v>
      </c>
      <c r="Y179" t="s">
        <v>11020</v>
      </c>
      <c r="Z179" t="str">
        <f>_xlfn.XLOOKUP(Employees[[#This Row],[Education]], EdLevel[EducationLevelID], EdLevel[EducationLevel])</f>
        <v>No Formal Qualifications</v>
      </c>
      <c r="AA179">
        <f>IF(Employees[[#This Row],[Attrition]] = "Yes", 1, 0)</f>
        <v>0</v>
      </c>
      <c r="AB179" t="str" cm="1">
        <f t="array" ref="AB179">_xlfn.IFS(Employees[[#This Row],[Age]]&lt;30, "20-29", Employees[[#This Row],[Age]]&lt;40, "30-39", Employees[[#This Row],[Age]]&lt;50, "40-49", "TRUE", "50+")</f>
        <v>40-49</v>
      </c>
    </row>
    <row r="180" spans="1:28">
      <c r="A180" t="s">
        <v>601</v>
      </c>
      <c r="B180" t="s">
        <v>602</v>
      </c>
      <c r="C180" t="s">
        <v>603</v>
      </c>
      <c r="D180" t="s">
        <v>53</v>
      </c>
      <c r="E180">
        <v>44</v>
      </c>
      <c r="F180" t="s">
        <v>27</v>
      </c>
      <c r="G180" t="s">
        <v>54</v>
      </c>
      <c r="H180">
        <v>14</v>
      </c>
      <c r="I180" t="s">
        <v>39</v>
      </c>
      <c r="J180" t="s">
        <v>71</v>
      </c>
      <c r="K180">
        <v>2</v>
      </c>
      <c r="L180" t="s">
        <v>55</v>
      </c>
      <c r="M180" t="s">
        <v>85</v>
      </c>
      <c r="N180" t="s">
        <v>40</v>
      </c>
      <c r="O180">
        <v>92634</v>
      </c>
      <c r="P180">
        <v>0</v>
      </c>
      <c r="Q180" t="s">
        <v>41</v>
      </c>
      <c r="R180" s="1">
        <v>41370</v>
      </c>
      <c r="S180" t="s">
        <v>34</v>
      </c>
      <c r="T180">
        <v>9</v>
      </c>
      <c r="U180">
        <v>8</v>
      </c>
      <c r="V180">
        <v>9</v>
      </c>
      <c r="W180">
        <v>9</v>
      </c>
      <c r="X180" t="s">
        <v>11021</v>
      </c>
      <c r="Y180" t="s">
        <v>11021</v>
      </c>
      <c r="Z180" t="str">
        <f>_xlfn.XLOOKUP(Employees[[#This Row],[Education]], EdLevel[EducationLevelID], EdLevel[EducationLevel])</f>
        <v xml:space="preserve">High School </v>
      </c>
      <c r="AA180">
        <f>IF(Employees[[#This Row],[Attrition]] = "Yes", 1, 0)</f>
        <v>0</v>
      </c>
      <c r="AB180" t="str" cm="1">
        <f t="array" ref="AB180">_xlfn.IFS(Employees[[#This Row],[Age]]&lt;30, "20-29", Employees[[#This Row],[Age]]&lt;40, "30-39", Employees[[#This Row],[Age]]&lt;50, "40-49", "TRUE", "50+")</f>
        <v>40-49</v>
      </c>
    </row>
    <row r="181" spans="1:28">
      <c r="A181" t="s">
        <v>604</v>
      </c>
      <c r="B181" t="s">
        <v>605</v>
      </c>
      <c r="C181" t="s">
        <v>606</v>
      </c>
      <c r="D181" t="s">
        <v>38</v>
      </c>
      <c r="E181">
        <v>47</v>
      </c>
      <c r="F181" t="s">
        <v>27</v>
      </c>
      <c r="G181" t="s">
        <v>54</v>
      </c>
      <c r="H181">
        <v>37</v>
      </c>
      <c r="I181" t="s">
        <v>39</v>
      </c>
      <c r="J181" t="s">
        <v>30</v>
      </c>
      <c r="K181">
        <v>1</v>
      </c>
      <c r="L181" t="s">
        <v>72</v>
      </c>
      <c r="M181" t="s">
        <v>85</v>
      </c>
      <c r="N181" t="s">
        <v>49</v>
      </c>
      <c r="O181">
        <v>62999</v>
      </c>
      <c r="P181">
        <v>1</v>
      </c>
      <c r="Q181" t="s">
        <v>34</v>
      </c>
      <c r="R181" s="1">
        <v>41370</v>
      </c>
      <c r="S181" t="s">
        <v>34</v>
      </c>
      <c r="T181">
        <v>9</v>
      </c>
      <c r="U181">
        <v>2</v>
      </c>
      <c r="V181">
        <v>3</v>
      </c>
      <c r="W181">
        <v>7</v>
      </c>
      <c r="X181" t="s">
        <v>11020</v>
      </c>
      <c r="Y181" t="s">
        <v>11020</v>
      </c>
      <c r="Z181" t="str">
        <f>_xlfn.XLOOKUP(Employees[[#This Row],[Education]], EdLevel[EducationLevelID], EdLevel[EducationLevel])</f>
        <v>No Formal Qualifications</v>
      </c>
      <c r="AA181">
        <f>IF(Employees[[#This Row],[Attrition]] = "Yes", 1, 0)</f>
        <v>0</v>
      </c>
      <c r="AB181" t="str" cm="1">
        <f t="array" ref="AB181">_xlfn.IFS(Employees[[#This Row],[Age]]&lt;30, "20-29", Employees[[#This Row],[Age]]&lt;40, "30-39", Employees[[#This Row],[Age]]&lt;50, "40-49", "TRUE", "50+")</f>
        <v>40-49</v>
      </c>
    </row>
    <row r="182" spans="1:28">
      <c r="A182" t="s">
        <v>607</v>
      </c>
      <c r="B182" t="s">
        <v>608</v>
      </c>
      <c r="C182" t="s">
        <v>609</v>
      </c>
      <c r="D182" t="s">
        <v>38</v>
      </c>
      <c r="E182">
        <v>30</v>
      </c>
      <c r="F182" t="s">
        <v>27</v>
      </c>
      <c r="G182" t="s">
        <v>54</v>
      </c>
      <c r="H182">
        <v>33</v>
      </c>
      <c r="I182" t="s">
        <v>39</v>
      </c>
      <c r="J182" t="s">
        <v>30</v>
      </c>
      <c r="K182">
        <v>3</v>
      </c>
      <c r="L182" t="s">
        <v>55</v>
      </c>
      <c r="M182" t="s">
        <v>101</v>
      </c>
      <c r="N182" t="s">
        <v>40</v>
      </c>
      <c r="O182">
        <v>78743</v>
      </c>
      <c r="P182">
        <v>0</v>
      </c>
      <c r="Q182" t="s">
        <v>34</v>
      </c>
      <c r="R182" s="1">
        <v>41373</v>
      </c>
      <c r="S182" t="s">
        <v>34</v>
      </c>
      <c r="T182">
        <v>9</v>
      </c>
      <c r="U182">
        <v>2</v>
      </c>
      <c r="V182">
        <v>7</v>
      </c>
      <c r="W182">
        <v>4</v>
      </c>
      <c r="X182" t="s">
        <v>11022</v>
      </c>
      <c r="Y182" t="s">
        <v>11022</v>
      </c>
      <c r="Z182" t="str">
        <f>_xlfn.XLOOKUP(Employees[[#This Row],[Education]], EdLevel[EducationLevelID], EdLevel[EducationLevel])</f>
        <v xml:space="preserve">Bachelors </v>
      </c>
      <c r="AA182">
        <f>IF(Employees[[#This Row],[Attrition]] = "Yes", 1, 0)</f>
        <v>0</v>
      </c>
      <c r="AB182" t="str" cm="1">
        <f t="array" ref="AB182">_xlfn.IFS(Employees[[#This Row],[Age]]&lt;30, "20-29", Employees[[#This Row],[Age]]&lt;40, "30-39", Employees[[#This Row],[Age]]&lt;50, "40-49", "TRUE", "50+")</f>
        <v>30-39</v>
      </c>
    </row>
    <row r="183" spans="1:28">
      <c r="A183" t="s">
        <v>610</v>
      </c>
      <c r="B183" t="s">
        <v>611</v>
      </c>
      <c r="C183" t="s">
        <v>612</v>
      </c>
      <c r="D183" t="s">
        <v>38</v>
      </c>
      <c r="E183">
        <v>29</v>
      </c>
      <c r="F183" t="s">
        <v>27</v>
      </c>
      <c r="G183" t="s">
        <v>54</v>
      </c>
      <c r="H183">
        <v>14</v>
      </c>
      <c r="I183" t="s">
        <v>65</v>
      </c>
      <c r="J183" t="s">
        <v>71</v>
      </c>
      <c r="K183">
        <v>3</v>
      </c>
      <c r="L183" t="s">
        <v>77</v>
      </c>
      <c r="M183" t="s">
        <v>85</v>
      </c>
      <c r="N183" t="s">
        <v>33</v>
      </c>
      <c r="O183">
        <v>70872</v>
      </c>
      <c r="P183">
        <v>1</v>
      </c>
      <c r="Q183" t="s">
        <v>34</v>
      </c>
      <c r="R183" s="1">
        <v>41374</v>
      </c>
      <c r="S183" t="s">
        <v>34</v>
      </c>
      <c r="T183">
        <v>9</v>
      </c>
      <c r="U183">
        <v>2</v>
      </c>
      <c r="V183">
        <v>7</v>
      </c>
      <c r="W183">
        <v>9</v>
      </c>
      <c r="X183" t="s">
        <v>11022</v>
      </c>
      <c r="Y183" t="s">
        <v>11022</v>
      </c>
      <c r="Z183" t="str">
        <f>_xlfn.XLOOKUP(Employees[[#This Row],[Education]], EdLevel[EducationLevelID], EdLevel[EducationLevel])</f>
        <v xml:space="preserve">Bachelors </v>
      </c>
      <c r="AA183">
        <f>IF(Employees[[#This Row],[Attrition]] = "Yes", 1, 0)</f>
        <v>0</v>
      </c>
      <c r="AB183" t="str" cm="1">
        <f t="array" ref="AB183">_xlfn.IFS(Employees[[#This Row],[Age]]&lt;30, "20-29", Employees[[#This Row],[Age]]&lt;40, "30-39", Employees[[#This Row],[Age]]&lt;50, "40-49", "TRUE", "50+")</f>
        <v>20-29</v>
      </c>
    </row>
    <row r="184" spans="1:28">
      <c r="A184" t="s">
        <v>613</v>
      </c>
      <c r="B184" t="s">
        <v>614</v>
      </c>
      <c r="C184" t="s">
        <v>615</v>
      </c>
      <c r="D184" t="s">
        <v>26</v>
      </c>
      <c r="E184">
        <v>29</v>
      </c>
      <c r="F184" t="s">
        <v>27</v>
      </c>
      <c r="G184" t="s">
        <v>54</v>
      </c>
      <c r="H184">
        <v>3</v>
      </c>
      <c r="I184" t="s">
        <v>65</v>
      </c>
      <c r="J184" t="s">
        <v>30</v>
      </c>
      <c r="K184">
        <v>3</v>
      </c>
      <c r="L184" t="s">
        <v>178</v>
      </c>
      <c r="M184" t="s">
        <v>85</v>
      </c>
      <c r="N184" t="s">
        <v>33</v>
      </c>
      <c r="O184">
        <v>60388</v>
      </c>
      <c r="P184">
        <v>2</v>
      </c>
      <c r="Q184" t="s">
        <v>41</v>
      </c>
      <c r="R184" s="1">
        <v>41375</v>
      </c>
      <c r="S184" t="s">
        <v>41</v>
      </c>
      <c r="T184">
        <v>5</v>
      </c>
      <c r="U184">
        <v>1</v>
      </c>
      <c r="V184">
        <v>3</v>
      </c>
      <c r="W184">
        <v>1</v>
      </c>
      <c r="X184" t="s">
        <v>11022</v>
      </c>
      <c r="Y184" t="s">
        <v>11022</v>
      </c>
      <c r="Z184" t="str">
        <f>_xlfn.XLOOKUP(Employees[[#This Row],[Education]], EdLevel[EducationLevelID], EdLevel[EducationLevel])</f>
        <v xml:space="preserve">Bachelors </v>
      </c>
      <c r="AA184">
        <f>IF(Employees[[#This Row],[Attrition]] = "Yes", 1, 0)</f>
        <v>1</v>
      </c>
      <c r="AB184" t="str" cm="1">
        <f t="array" ref="AB184">_xlfn.IFS(Employees[[#This Row],[Age]]&lt;30, "20-29", Employees[[#This Row],[Age]]&lt;40, "30-39", Employees[[#This Row],[Age]]&lt;50, "40-49", "TRUE", "50+")</f>
        <v>20-29</v>
      </c>
    </row>
    <row r="185" spans="1:28">
      <c r="A185" t="s">
        <v>616</v>
      </c>
      <c r="B185" t="s">
        <v>617</v>
      </c>
      <c r="C185" t="s">
        <v>618</v>
      </c>
      <c r="D185" t="s">
        <v>38</v>
      </c>
      <c r="E185">
        <v>32</v>
      </c>
      <c r="F185" t="s">
        <v>27</v>
      </c>
      <c r="G185" t="s">
        <v>54</v>
      </c>
      <c r="H185">
        <v>24</v>
      </c>
      <c r="I185" t="s">
        <v>39</v>
      </c>
      <c r="J185" t="s">
        <v>76</v>
      </c>
      <c r="K185">
        <v>3</v>
      </c>
      <c r="L185" t="s">
        <v>72</v>
      </c>
      <c r="M185" t="s">
        <v>85</v>
      </c>
      <c r="N185" t="s">
        <v>49</v>
      </c>
      <c r="O185">
        <v>41857</v>
      </c>
      <c r="P185">
        <v>1</v>
      </c>
      <c r="Q185" t="s">
        <v>34</v>
      </c>
      <c r="R185" s="1">
        <v>41376</v>
      </c>
      <c r="S185" t="s">
        <v>34</v>
      </c>
      <c r="T185">
        <v>9</v>
      </c>
      <c r="U185">
        <v>0</v>
      </c>
      <c r="V185">
        <v>5</v>
      </c>
      <c r="W185">
        <v>2</v>
      </c>
      <c r="X185" t="s">
        <v>11022</v>
      </c>
      <c r="Y185" t="s">
        <v>11022</v>
      </c>
      <c r="Z185" t="str">
        <f>_xlfn.XLOOKUP(Employees[[#This Row],[Education]], EdLevel[EducationLevelID], EdLevel[EducationLevel])</f>
        <v xml:space="preserve">Bachelors </v>
      </c>
      <c r="AA185">
        <f>IF(Employees[[#This Row],[Attrition]] = "Yes", 1, 0)</f>
        <v>0</v>
      </c>
      <c r="AB185" t="str" cm="1">
        <f t="array" ref="AB185">_xlfn.IFS(Employees[[#This Row],[Age]]&lt;30, "20-29", Employees[[#This Row],[Age]]&lt;40, "30-39", Employees[[#This Row],[Age]]&lt;50, "40-49", "TRUE", "50+")</f>
        <v>30-39</v>
      </c>
    </row>
    <row r="186" spans="1:28">
      <c r="A186" t="s">
        <v>619</v>
      </c>
      <c r="B186" t="s">
        <v>620</v>
      </c>
      <c r="C186" t="s">
        <v>621</v>
      </c>
      <c r="D186" t="s">
        <v>38</v>
      </c>
      <c r="E186">
        <v>36</v>
      </c>
      <c r="F186" t="s">
        <v>27</v>
      </c>
      <c r="G186" t="s">
        <v>28</v>
      </c>
      <c r="H186">
        <v>38</v>
      </c>
      <c r="I186" t="s">
        <v>39</v>
      </c>
      <c r="J186" t="s">
        <v>30</v>
      </c>
      <c r="K186">
        <v>2</v>
      </c>
      <c r="L186" t="s">
        <v>31</v>
      </c>
      <c r="M186" t="s">
        <v>32</v>
      </c>
      <c r="N186" t="s">
        <v>49</v>
      </c>
      <c r="O186">
        <v>298558</v>
      </c>
      <c r="P186">
        <v>1</v>
      </c>
      <c r="Q186" t="s">
        <v>41</v>
      </c>
      <c r="R186" s="1">
        <v>41376</v>
      </c>
      <c r="S186" t="s">
        <v>34</v>
      </c>
      <c r="T186">
        <v>9</v>
      </c>
      <c r="U186">
        <v>4</v>
      </c>
      <c r="V186">
        <v>4</v>
      </c>
      <c r="W186">
        <v>7</v>
      </c>
      <c r="X186" t="s">
        <v>11021</v>
      </c>
      <c r="Y186" t="s">
        <v>11021</v>
      </c>
      <c r="Z186" t="str">
        <f>_xlfn.XLOOKUP(Employees[[#This Row],[Education]], EdLevel[EducationLevelID], EdLevel[EducationLevel])</f>
        <v xml:space="preserve">High School </v>
      </c>
      <c r="AA186">
        <f>IF(Employees[[#This Row],[Attrition]] = "Yes", 1, 0)</f>
        <v>0</v>
      </c>
      <c r="AB186" t="str" cm="1">
        <f t="array" ref="AB186">_xlfn.IFS(Employees[[#This Row],[Age]]&lt;30, "20-29", Employees[[#This Row],[Age]]&lt;40, "30-39", Employees[[#This Row],[Age]]&lt;50, "40-49", "TRUE", "50+")</f>
        <v>30-39</v>
      </c>
    </row>
    <row r="187" spans="1:28">
      <c r="A187" t="s">
        <v>622</v>
      </c>
      <c r="B187" t="s">
        <v>623</v>
      </c>
      <c r="C187" t="s">
        <v>624</v>
      </c>
      <c r="D187" t="s">
        <v>26</v>
      </c>
      <c r="E187">
        <v>30</v>
      </c>
      <c r="F187" t="s">
        <v>27</v>
      </c>
      <c r="G187" t="s">
        <v>54</v>
      </c>
      <c r="H187">
        <v>26</v>
      </c>
      <c r="I187" t="s">
        <v>39</v>
      </c>
      <c r="J187" t="s">
        <v>30</v>
      </c>
      <c r="K187">
        <v>3</v>
      </c>
      <c r="L187" t="s">
        <v>72</v>
      </c>
      <c r="M187" t="s">
        <v>85</v>
      </c>
      <c r="N187" t="s">
        <v>40</v>
      </c>
      <c r="O187">
        <v>96170</v>
      </c>
      <c r="P187">
        <v>0</v>
      </c>
      <c r="Q187" t="s">
        <v>34</v>
      </c>
      <c r="R187" s="1">
        <v>41379</v>
      </c>
      <c r="S187" t="s">
        <v>34</v>
      </c>
      <c r="T187">
        <v>9</v>
      </c>
      <c r="U187">
        <v>4</v>
      </c>
      <c r="V187">
        <v>9</v>
      </c>
      <c r="W187">
        <v>1</v>
      </c>
      <c r="X187" t="s">
        <v>11022</v>
      </c>
      <c r="Y187" t="s">
        <v>11022</v>
      </c>
      <c r="Z187" t="str">
        <f>_xlfn.XLOOKUP(Employees[[#This Row],[Education]], EdLevel[EducationLevelID], EdLevel[EducationLevel])</f>
        <v xml:space="preserve">Bachelors </v>
      </c>
      <c r="AA187">
        <f>IF(Employees[[#This Row],[Attrition]] = "Yes", 1, 0)</f>
        <v>0</v>
      </c>
      <c r="AB187" t="str" cm="1">
        <f t="array" ref="AB187">_xlfn.IFS(Employees[[#This Row],[Age]]&lt;30, "20-29", Employees[[#This Row],[Age]]&lt;40, "30-39", Employees[[#This Row],[Age]]&lt;50, "40-49", "TRUE", "50+")</f>
        <v>30-39</v>
      </c>
    </row>
    <row r="188" spans="1:28">
      <c r="A188" t="s">
        <v>625</v>
      </c>
      <c r="B188" t="s">
        <v>626</v>
      </c>
      <c r="C188" t="s">
        <v>627</v>
      </c>
      <c r="D188" t="s">
        <v>53</v>
      </c>
      <c r="E188">
        <v>36</v>
      </c>
      <c r="F188" t="s">
        <v>70</v>
      </c>
      <c r="G188" t="s">
        <v>28</v>
      </c>
      <c r="H188">
        <v>31</v>
      </c>
      <c r="I188" t="s">
        <v>39</v>
      </c>
      <c r="J188" t="s">
        <v>66</v>
      </c>
      <c r="K188">
        <v>2</v>
      </c>
      <c r="L188" t="s">
        <v>121</v>
      </c>
      <c r="M188" t="s">
        <v>150</v>
      </c>
      <c r="N188" t="s">
        <v>40</v>
      </c>
      <c r="O188">
        <v>56937</v>
      </c>
      <c r="P188">
        <v>0</v>
      </c>
      <c r="Q188" t="s">
        <v>34</v>
      </c>
      <c r="R188" s="1">
        <v>41381</v>
      </c>
      <c r="S188" t="s">
        <v>34</v>
      </c>
      <c r="T188">
        <v>9</v>
      </c>
      <c r="U188">
        <v>5</v>
      </c>
      <c r="V188">
        <v>8</v>
      </c>
      <c r="W188">
        <v>2</v>
      </c>
      <c r="X188" t="s">
        <v>11021</v>
      </c>
      <c r="Y188" t="s">
        <v>11021</v>
      </c>
      <c r="Z188" t="str">
        <f>_xlfn.XLOOKUP(Employees[[#This Row],[Education]], EdLevel[EducationLevelID], EdLevel[EducationLevel])</f>
        <v xml:space="preserve">High School </v>
      </c>
      <c r="AA188">
        <f>IF(Employees[[#This Row],[Attrition]] = "Yes", 1, 0)</f>
        <v>0</v>
      </c>
      <c r="AB188" t="str" cm="1">
        <f t="array" ref="AB188">_xlfn.IFS(Employees[[#This Row],[Age]]&lt;30, "20-29", Employees[[#This Row],[Age]]&lt;40, "30-39", Employees[[#This Row],[Age]]&lt;50, "40-49", "TRUE", "50+")</f>
        <v>30-39</v>
      </c>
    </row>
    <row r="189" spans="1:28">
      <c r="A189" t="s">
        <v>628</v>
      </c>
      <c r="B189" t="s">
        <v>629</v>
      </c>
      <c r="C189" t="s">
        <v>630</v>
      </c>
      <c r="D189" t="s">
        <v>26</v>
      </c>
      <c r="E189">
        <v>33</v>
      </c>
      <c r="F189" t="s">
        <v>84</v>
      </c>
      <c r="G189" t="s">
        <v>54</v>
      </c>
      <c r="H189">
        <v>34</v>
      </c>
      <c r="I189" t="s">
        <v>29</v>
      </c>
      <c r="J189" t="s">
        <v>46</v>
      </c>
      <c r="K189">
        <v>2</v>
      </c>
      <c r="L189" t="s">
        <v>55</v>
      </c>
      <c r="M189" t="s">
        <v>93</v>
      </c>
      <c r="N189" t="s">
        <v>40</v>
      </c>
      <c r="O189">
        <v>91407</v>
      </c>
      <c r="P189">
        <v>0</v>
      </c>
      <c r="Q189" t="s">
        <v>34</v>
      </c>
      <c r="R189" s="1">
        <v>41381</v>
      </c>
      <c r="S189" t="s">
        <v>34</v>
      </c>
      <c r="T189">
        <v>9</v>
      </c>
      <c r="U189">
        <v>9</v>
      </c>
      <c r="V189">
        <v>9</v>
      </c>
      <c r="W189">
        <v>4</v>
      </c>
      <c r="X189" t="s">
        <v>11021</v>
      </c>
      <c r="Y189" t="s">
        <v>11021</v>
      </c>
      <c r="Z189" t="str">
        <f>_xlfn.XLOOKUP(Employees[[#This Row],[Education]], EdLevel[EducationLevelID], EdLevel[EducationLevel])</f>
        <v xml:space="preserve">High School </v>
      </c>
      <c r="AA189">
        <f>IF(Employees[[#This Row],[Attrition]] = "Yes", 1, 0)</f>
        <v>0</v>
      </c>
      <c r="AB189" t="str" cm="1">
        <f t="array" ref="AB189">_xlfn.IFS(Employees[[#This Row],[Age]]&lt;30, "20-29", Employees[[#This Row],[Age]]&lt;40, "30-39", Employees[[#This Row],[Age]]&lt;50, "40-49", "TRUE", "50+")</f>
        <v>30-39</v>
      </c>
    </row>
    <row r="190" spans="1:28">
      <c r="A190" t="s">
        <v>631</v>
      </c>
      <c r="B190" t="s">
        <v>632</v>
      </c>
      <c r="C190" t="s">
        <v>633</v>
      </c>
      <c r="D190" t="s">
        <v>26</v>
      </c>
      <c r="E190">
        <v>48</v>
      </c>
      <c r="F190" t="s">
        <v>27</v>
      </c>
      <c r="G190" t="s">
        <v>28</v>
      </c>
      <c r="H190">
        <v>32</v>
      </c>
      <c r="I190" t="s">
        <v>65</v>
      </c>
      <c r="J190" t="s">
        <v>30</v>
      </c>
      <c r="K190">
        <v>3</v>
      </c>
      <c r="L190" t="s">
        <v>60</v>
      </c>
      <c r="M190" t="s">
        <v>97</v>
      </c>
      <c r="N190" t="s">
        <v>49</v>
      </c>
      <c r="O190">
        <v>354336</v>
      </c>
      <c r="P190">
        <v>1</v>
      </c>
      <c r="Q190" t="s">
        <v>41</v>
      </c>
      <c r="R190" s="1">
        <v>41382</v>
      </c>
      <c r="S190" t="s">
        <v>34</v>
      </c>
      <c r="T190">
        <v>9</v>
      </c>
      <c r="U190">
        <v>1</v>
      </c>
      <c r="V190">
        <v>2</v>
      </c>
      <c r="W190">
        <v>9</v>
      </c>
      <c r="X190" t="s">
        <v>11022</v>
      </c>
      <c r="Y190" t="s">
        <v>11022</v>
      </c>
      <c r="Z190" t="str">
        <f>_xlfn.XLOOKUP(Employees[[#This Row],[Education]], EdLevel[EducationLevelID], EdLevel[EducationLevel])</f>
        <v xml:space="preserve">Bachelors </v>
      </c>
      <c r="AA190">
        <f>IF(Employees[[#This Row],[Attrition]] = "Yes", 1, 0)</f>
        <v>0</v>
      </c>
      <c r="AB190" t="str" cm="1">
        <f t="array" ref="AB190">_xlfn.IFS(Employees[[#This Row],[Age]]&lt;30, "20-29", Employees[[#This Row],[Age]]&lt;40, "30-39", Employees[[#This Row],[Age]]&lt;50, "40-49", "TRUE", "50+")</f>
        <v>40-49</v>
      </c>
    </row>
    <row r="191" spans="1:28">
      <c r="A191" t="s">
        <v>634</v>
      </c>
      <c r="B191" t="s">
        <v>635</v>
      </c>
      <c r="C191" t="s">
        <v>636</v>
      </c>
      <c r="D191" t="s">
        <v>38</v>
      </c>
      <c r="E191">
        <v>29</v>
      </c>
      <c r="F191" t="s">
        <v>84</v>
      </c>
      <c r="G191" t="s">
        <v>54</v>
      </c>
      <c r="H191">
        <v>17</v>
      </c>
      <c r="I191" t="s">
        <v>65</v>
      </c>
      <c r="J191" t="s">
        <v>71</v>
      </c>
      <c r="K191">
        <v>2</v>
      </c>
      <c r="L191" t="s">
        <v>55</v>
      </c>
      <c r="M191" t="s">
        <v>93</v>
      </c>
      <c r="N191" t="s">
        <v>33</v>
      </c>
      <c r="O191">
        <v>129703</v>
      </c>
      <c r="P191">
        <v>3</v>
      </c>
      <c r="Q191" t="s">
        <v>34</v>
      </c>
      <c r="R191" s="1">
        <v>41389</v>
      </c>
      <c r="S191" t="s">
        <v>34</v>
      </c>
      <c r="T191">
        <v>9</v>
      </c>
      <c r="U191">
        <v>6</v>
      </c>
      <c r="V191">
        <v>6</v>
      </c>
      <c r="W191">
        <v>3</v>
      </c>
      <c r="X191" t="s">
        <v>11021</v>
      </c>
      <c r="Y191" t="s">
        <v>11021</v>
      </c>
      <c r="Z191" t="str">
        <f>_xlfn.XLOOKUP(Employees[[#This Row],[Education]], EdLevel[EducationLevelID], EdLevel[EducationLevel])</f>
        <v xml:space="preserve">High School </v>
      </c>
      <c r="AA191">
        <f>IF(Employees[[#This Row],[Attrition]] = "Yes", 1, 0)</f>
        <v>0</v>
      </c>
      <c r="AB191" t="str" cm="1">
        <f t="array" ref="AB191">_xlfn.IFS(Employees[[#This Row],[Age]]&lt;30, "20-29", Employees[[#This Row],[Age]]&lt;40, "30-39", Employees[[#This Row],[Age]]&lt;50, "40-49", "TRUE", "50+")</f>
        <v>20-29</v>
      </c>
    </row>
    <row r="192" spans="1:28">
      <c r="A192" t="s">
        <v>637</v>
      </c>
      <c r="B192" t="s">
        <v>638</v>
      </c>
      <c r="C192" t="s">
        <v>639</v>
      </c>
      <c r="D192" t="s">
        <v>26</v>
      </c>
      <c r="E192">
        <v>42</v>
      </c>
      <c r="F192" t="s">
        <v>27</v>
      </c>
      <c r="G192" t="s">
        <v>28</v>
      </c>
      <c r="H192">
        <v>36</v>
      </c>
      <c r="I192" t="s">
        <v>65</v>
      </c>
      <c r="J192" t="s">
        <v>92</v>
      </c>
      <c r="K192">
        <v>1</v>
      </c>
      <c r="L192" t="s">
        <v>47</v>
      </c>
      <c r="M192" t="s">
        <v>150</v>
      </c>
      <c r="N192" t="s">
        <v>40</v>
      </c>
      <c r="O192">
        <v>43753</v>
      </c>
      <c r="P192">
        <v>0</v>
      </c>
      <c r="Q192" t="s">
        <v>34</v>
      </c>
      <c r="R192" s="1">
        <v>41395</v>
      </c>
      <c r="S192" t="s">
        <v>34</v>
      </c>
      <c r="T192">
        <v>9</v>
      </c>
      <c r="U192">
        <v>0</v>
      </c>
      <c r="V192">
        <v>1</v>
      </c>
      <c r="W192">
        <v>1</v>
      </c>
      <c r="X192" t="s">
        <v>11020</v>
      </c>
      <c r="Y192" t="s">
        <v>11020</v>
      </c>
      <c r="Z192" t="str">
        <f>_xlfn.XLOOKUP(Employees[[#This Row],[Education]], EdLevel[EducationLevelID], EdLevel[EducationLevel])</f>
        <v>No Formal Qualifications</v>
      </c>
      <c r="AA192">
        <f>IF(Employees[[#This Row],[Attrition]] = "Yes", 1, 0)</f>
        <v>0</v>
      </c>
      <c r="AB192" t="str" cm="1">
        <f t="array" ref="AB192">_xlfn.IFS(Employees[[#This Row],[Age]]&lt;30, "20-29", Employees[[#This Row],[Age]]&lt;40, "30-39", Employees[[#This Row],[Age]]&lt;50, "40-49", "TRUE", "50+")</f>
        <v>40-49</v>
      </c>
    </row>
    <row r="193" spans="1:28">
      <c r="A193" t="s">
        <v>640</v>
      </c>
      <c r="B193" t="s">
        <v>641</v>
      </c>
      <c r="C193" t="s">
        <v>642</v>
      </c>
      <c r="D193" t="s">
        <v>53</v>
      </c>
      <c r="E193">
        <v>45</v>
      </c>
      <c r="F193" t="s">
        <v>84</v>
      </c>
      <c r="G193" t="s">
        <v>54</v>
      </c>
      <c r="H193">
        <v>17</v>
      </c>
      <c r="I193" t="s">
        <v>39</v>
      </c>
      <c r="J193" t="s">
        <v>30</v>
      </c>
      <c r="K193">
        <v>4</v>
      </c>
      <c r="L193" t="s">
        <v>55</v>
      </c>
      <c r="M193" t="s">
        <v>93</v>
      </c>
      <c r="N193" t="s">
        <v>40</v>
      </c>
      <c r="O193">
        <v>123619</v>
      </c>
      <c r="P193">
        <v>0</v>
      </c>
      <c r="Q193" t="s">
        <v>41</v>
      </c>
      <c r="R193" s="1">
        <v>41395</v>
      </c>
      <c r="S193" t="s">
        <v>34</v>
      </c>
      <c r="T193">
        <v>9</v>
      </c>
      <c r="U193">
        <v>7</v>
      </c>
      <c r="V193">
        <v>9</v>
      </c>
      <c r="W193">
        <v>2</v>
      </c>
      <c r="X193" t="s">
        <v>11023</v>
      </c>
      <c r="Y193" t="s">
        <v>11023</v>
      </c>
      <c r="Z193" t="str">
        <f>_xlfn.XLOOKUP(Employees[[#This Row],[Education]], EdLevel[EducationLevelID], EdLevel[EducationLevel])</f>
        <v xml:space="preserve">Masters </v>
      </c>
      <c r="AA193">
        <f>IF(Employees[[#This Row],[Attrition]] = "Yes", 1, 0)</f>
        <v>0</v>
      </c>
      <c r="AB193" t="str" cm="1">
        <f t="array" ref="AB193">_xlfn.IFS(Employees[[#This Row],[Age]]&lt;30, "20-29", Employees[[#This Row],[Age]]&lt;40, "30-39", Employees[[#This Row],[Age]]&lt;50, "40-49", "TRUE", "50+")</f>
        <v>40-49</v>
      </c>
    </row>
    <row r="194" spans="1:28">
      <c r="A194" t="s">
        <v>643</v>
      </c>
      <c r="B194" t="s">
        <v>644</v>
      </c>
      <c r="C194" t="s">
        <v>645</v>
      </c>
      <c r="D194" t="s">
        <v>53</v>
      </c>
      <c r="E194">
        <v>44</v>
      </c>
      <c r="F194" t="s">
        <v>27</v>
      </c>
      <c r="G194" t="s">
        <v>54</v>
      </c>
      <c r="H194">
        <v>32</v>
      </c>
      <c r="I194" t="s">
        <v>39</v>
      </c>
      <c r="J194" t="s">
        <v>30</v>
      </c>
      <c r="K194">
        <v>3</v>
      </c>
      <c r="L194" t="s">
        <v>55</v>
      </c>
      <c r="M194" t="s">
        <v>93</v>
      </c>
      <c r="N194" t="s">
        <v>49</v>
      </c>
      <c r="O194">
        <v>257978</v>
      </c>
      <c r="P194">
        <v>1</v>
      </c>
      <c r="Q194" t="s">
        <v>41</v>
      </c>
      <c r="R194" s="1">
        <v>41396</v>
      </c>
      <c r="S194" t="s">
        <v>34</v>
      </c>
      <c r="T194">
        <v>9</v>
      </c>
      <c r="U194">
        <v>2</v>
      </c>
      <c r="V194">
        <v>4</v>
      </c>
      <c r="W194">
        <v>1</v>
      </c>
      <c r="X194" t="s">
        <v>11022</v>
      </c>
      <c r="Y194" t="s">
        <v>11022</v>
      </c>
      <c r="Z194" t="str">
        <f>_xlfn.XLOOKUP(Employees[[#This Row],[Education]], EdLevel[EducationLevelID], EdLevel[EducationLevel])</f>
        <v xml:space="preserve">Bachelors </v>
      </c>
      <c r="AA194">
        <f>IF(Employees[[#This Row],[Attrition]] = "Yes", 1, 0)</f>
        <v>0</v>
      </c>
      <c r="AB194" t="str" cm="1">
        <f t="array" ref="AB194">_xlfn.IFS(Employees[[#This Row],[Age]]&lt;30, "20-29", Employees[[#This Row],[Age]]&lt;40, "30-39", Employees[[#This Row],[Age]]&lt;50, "40-49", "TRUE", "50+")</f>
        <v>40-49</v>
      </c>
    </row>
    <row r="195" spans="1:28">
      <c r="A195" t="s">
        <v>646</v>
      </c>
      <c r="B195" t="s">
        <v>647</v>
      </c>
      <c r="C195" t="s">
        <v>648</v>
      </c>
      <c r="D195" t="s">
        <v>38</v>
      </c>
      <c r="E195">
        <v>32</v>
      </c>
      <c r="F195" t="s">
        <v>27</v>
      </c>
      <c r="G195" t="s">
        <v>54</v>
      </c>
      <c r="H195">
        <v>22</v>
      </c>
      <c r="I195" t="s">
        <v>29</v>
      </c>
      <c r="J195" t="s">
        <v>71</v>
      </c>
      <c r="K195">
        <v>4</v>
      </c>
      <c r="L195" t="s">
        <v>178</v>
      </c>
      <c r="M195" t="s">
        <v>101</v>
      </c>
      <c r="N195" t="s">
        <v>49</v>
      </c>
      <c r="O195">
        <v>72688</v>
      </c>
      <c r="P195">
        <v>1</v>
      </c>
      <c r="Q195" t="s">
        <v>34</v>
      </c>
      <c r="R195" s="1">
        <v>41400</v>
      </c>
      <c r="S195" t="s">
        <v>34</v>
      </c>
      <c r="T195">
        <v>9</v>
      </c>
      <c r="U195">
        <v>3</v>
      </c>
      <c r="V195">
        <v>3</v>
      </c>
      <c r="W195">
        <v>8</v>
      </c>
      <c r="X195" t="s">
        <v>11023</v>
      </c>
      <c r="Y195" t="s">
        <v>11023</v>
      </c>
      <c r="Z195" t="str">
        <f>_xlfn.XLOOKUP(Employees[[#This Row],[Education]], EdLevel[EducationLevelID], EdLevel[EducationLevel])</f>
        <v xml:space="preserve">Masters </v>
      </c>
      <c r="AA195">
        <f>IF(Employees[[#This Row],[Attrition]] = "Yes", 1, 0)</f>
        <v>0</v>
      </c>
      <c r="AB195" t="str" cm="1">
        <f t="array" ref="AB195">_xlfn.IFS(Employees[[#This Row],[Age]]&lt;30, "20-29", Employees[[#This Row],[Age]]&lt;40, "30-39", Employees[[#This Row],[Age]]&lt;50, "40-49", "TRUE", "50+")</f>
        <v>30-39</v>
      </c>
    </row>
    <row r="196" spans="1:28">
      <c r="A196" t="s">
        <v>649</v>
      </c>
      <c r="B196" t="s">
        <v>650</v>
      </c>
      <c r="C196" t="s">
        <v>651</v>
      </c>
      <c r="D196" t="s">
        <v>53</v>
      </c>
      <c r="E196">
        <v>36</v>
      </c>
      <c r="F196" t="s">
        <v>84</v>
      </c>
      <c r="G196" t="s">
        <v>54</v>
      </c>
      <c r="H196">
        <v>14</v>
      </c>
      <c r="I196" t="s">
        <v>29</v>
      </c>
      <c r="J196" t="s">
        <v>30</v>
      </c>
      <c r="K196">
        <v>1</v>
      </c>
      <c r="L196" t="s">
        <v>72</v>
      </c>
      <c r="M196" t="s">
        <v>85</v>
      </c>
      <c r="N196" t="s">
        <v>40</v>
      </c>
      <c r="O196">
        <v>43358</v>
      </c>
      <c r="P196">
        <v>0</v>
      </c>
      <c r="Q196" t="s">
        <v>34</v>
      </c>
      <c r="R196" s="1">
        <v>41401</v>
      </c>
      <c r="S196" t="s">
        <v>34</v>
      </c>
      <c r="T196">
        <v>9</v>
      </c>
      <c r="U196">
        <v>0</v>
      </c>
      <c r="V196">
        <v>9</v>
      </c>
      <c r="W196">
        <v>5</v>
      </c>
      <c r="X196" t="s">
        <v>11020</v>
      </c>
      <c r="Y196" t="s">
        <v>11020</v>
      </c>
      <c r="Z196" t="str">
        <f>_xlfn.XLOOKUP(Employees[[#This Row],[Education]], EdLevel[EducationLevelID], EdLevel[EducationLevel])</f>
        <v>No Formal Qualifications</v>
      </c>
      <c r="AA196">
        <f>IF(Employees[[#This Row],[Attrition]] = "Yes", 1, 0)</f>
        <v>0</v>
      </c>
      <c r="AB196" t="str" cm="1">
        <f t="array" ref="AB196">_xlfn.IFS(Employees[[#This Row],[Age]]&lt;30, "20-29", Employees[[#This Row],[Age]]&lt;40, "30-39", Employees[[#This Row],[Age]]&lt;50, "40-49", "TRUE", "50+")</f>
        <v>30-39</v>
      </c>
    </row>
    <row r="197" spans="1:28">
      <c r="A197" t="s">
        <v>652</v>
      </c>
      <c r="B197" t="s">
        <v>653</v>
      </c>
      <c r="C197" t="s">
        <v>654</v>
      </c>
      <c r="D197" t="s">
        <v>26</v>
      </c>
      <c r="E197">
        <v>30</v>
      </c>
      <c r="F197" t="s">
        <v>70</v>
      </c>
      <c r="G197" t="s">
        <v>54</v>
      </c>
      <c r="H197">
        <v>3</v>
      </c>
      <c r="I197" t="s">
        <v>29</v>
      </c>
      <c r="J197" t="s">
        <v>30</v>
      </c>
      <c r="K197">
        <v>3</v>
      </c>
      <c r="L197" t="s">
        <v>72</v>
      </c>
      <c r="M197" t="s">
        <v>85</v>
      </c>
      <c r="N197" t="s">
        <v>49</v>
      </c>
      <c r="O197">
        <v>47338</v>
      </c>
      <c r="P197">
        <v>1</v>
      </c>
      <c r="Q197" t="s">
        <v>34</v>
      </c>
      <c r="R197" s="1">
        <v>41402</v>
      </c>
      <c r="S197" t="s">
        <v>34</v>
      </c>
      <c r="T197">
        <v>9</v>
      </c>
      <c r="U197">
        <v>4</v>
      </c>
      <c r="V197">
        <v>9</v>
      </c>
      <c r="W197">
        <v>1</v>
      </c>
      <c r="X197" t="s">
        <v>11022</v>
      </c>
      <c r="Y197" t="s">
        <v>11022</v>
      </c>
      <c r="Z197" t="str">
        <f>_xlfn.XLOOKUP(Employees[[#This Row],[Education]], EdLevel[EducationLevelID], EdLevel[EducationLevel])</f>
        <v xml:space="preserve">Bachelors </v>
      </c>
      <c r="AA197">
        <f>IF(Employees[[#This Row],[Attrition]] = "Yes", 1, 0)</f>
        <v>0</v>
      </c>
      <c r="AB197" t="str" cm="1">
        <f t="array" ref="AB197">_xlfn.IFS(Employees[[#This Row],[Age]]&lt;30, "20-29", Employees[[#This Row],[Age]]&lt;40, "30-39", Employees[[#This Row],[Age]]&lt;50, "40-49", "TRUE", "50+")</f>
        <v>30-39</v>
      </c>
    </row>
    <row r="198" spans="1:28">
      <c r="A198" t="s">
        <v>655</v>
      </c>
      <c r="B198" t="s">
        <v>656</v>
      </c>
      <c r="C198" t="s">
        <v>657</v>
      </c>
      <c r="D198" t="s">
        <v>38</v>
      </c>
      <c r="E198">
        <v>28</v>
      </c>
      <c r="F198" t="s">
        <v>27</v>
      </c>
      <c r="G198" t="s">
        <v>45</v>
      </c>
      <c r="H198">
        <v>34</v>
      </c>
      <c r="I198" t="s">
        <v>39</v>
      </c>
      <c r="J198" t="s">
        <v>46</v>
      </c>
      <c r="K198">
        <v>2</v>
      </c>
      <c r="L198" t="s">
        <v>47</v>
      </c>
      <c r="M198" t="s">
        <v>207</v>
      </c>
      <c r="N198" t="s">
        <v>40</v>
      </c>
      <c r="O198">
        <v>94534</v>
      </c>
      <c r="P198">
        <v>0</v>
      </c>
      <c r="Q198" t="s">
        <v>34</v>
      </c>
      <c r="R198" s="1">
        <v>41405</v>
      </c>
      <c r="S198" t="s">
        <v>34</v>
      </c>
      <c r="T198">
        <v>9</v>
      </c>
      <c r="U198">
        <v>3</v>
      </c>
      <c r="V198">
        <v>3</v>
      </c>
      <c r="W198">
        <v>1</v>
      </c>
      <c r="X198" t="s">
        <v>11021</v>
      </c>
      <c r="Y198" t="s">
        <v>11021</v>
      </c>
      <c r="Z198" t="str">
        <f>_xlfn.XLOOKUP(Employees[[#This Row],[Education]], EdLevel[EducationLevelID], EdLevel[EducationLevel])</f>
        <v xml:space="preserve">High School </v>
      </c>
      <c r="AA198">
        <f>IF(Employees[[#This Row],[Attrition]] = "Yes", 1, 0)</f>
        <v>0</v>
      </c>
      <c r="AB198" t="str" cm="1">
        <f t="array" ref="AB198">_xlfn.IFS(Employees[[#This Row],[Age]]&lt;30, "20-29", Employees[[#This Row],[Age]]&lt;40, "30-39", Employees[[#This Row],[Age]]&lt;50, "40-49", "TRUE", "50+")</f>
        <v>20-29</v>
      </c>
    </row>
    <row r="199" spans="1:28">
      <c r="A199" t="s">
        <v>658</v>
      </c>
      <c r="B199" t="s">
        <v>659</v>
      </c>
      <c r="C199" t="s">
        <v>660</v>
      </c>
      <c r="D199" t="s">
        <v>26</v>
      </c>
      <c r="E199">
        <v>30</v>
      </c>
      <c r="F199" t="s">
        <v>27</v>
      </c>
      <c r="G199" t="s">
        <v>54</v>
      </c>
      <c r="H199">
        <v>26</v>
      </c>
      <c r="I199" t="s">
        <v>39</v>
      </c>
      <c r="J199" t="s">
        <v>71</v>
      </c>
      <c r="K199">
        <v>1</v>
      </c>
      <c r="L199" t="s">
        <v>55</v>
      </c>
      <c r="M199" t="s">
        <v>105</v>
      </c>
      <c r="N199" t="s">
        <v>33</v>
      </c>
      <c r="O199">
        <v>159438</v>
      </c>
      <c r="P199">
        <v>2</v>
      </c>
      <c r="Q199" t="s">
        <v>34</v>
      </c>
      <c r="R199" s="1">
        <v>41416</v>
      </c>
      <c r="S199" t="s">
        <v>34</v>
      </c>
      <c r="T199">
        <v>9</v>
      </c>
      <c r="U199">
        <v>4</v>
      </c>
      <c r="V199">
        <v>4</v>
      </c>
      <c r="W199">
        <v>7</v>
      </c>
      <c r="X199" t="s">
        <v>11020</v>
      </c>
      <c r="Y199" t="s">
        <v>11020</v>
      </c>
      <c r="Z199" t="str">
        <f>_xlfn.XLOOKUP(Employees[[#This Row],[Education]], EdLevel[EducationLevelID], EdLevel[EducationLevel])</f>
        <v>No Formal Qualifications</v>
      </c>
      <c r="AA199">
        <f>IF(Employees[[#This Row],[Attrition]] = "Yes", 1, 0)</f>
        <v>0</v>
      </c>
      <c r="AB199" t="str" cm="1">
        <f t="array" ref="AB199">_xlfn.IFS(Employees[[#This Row],[Age]]&lt;30, "20-29", Employees[[#This Row],[Age]]&lt;40, "30-39", Employees[[#This Row],[Age]]&lt;50, "40-49", "TRUE", "50+")</f>
        <v>30-39</v>
      </c>
    </row>
    <row r="200" spans="1:28">
      <c r="A200" t="s">
        <v>661</v>
      </c>
      <c r="B200" t="s">
        <v>662</v>
      </c>
      <c r="C200" t="s">
        <v>663</v>
      </c>
      <c r="D200" t="s">
        <v>38</v>
      </c>
      <c r="E200">
        <v>36</v>
      </c>
      <c r="F200" t="s">
        <v>27</v>
      </c>
      <c r="G200" t="s">
        <v>54</v>
      </c>
      <c r="H200">
        <v>10</v>
      </c>
      <c r="I200" t="s">
        <v>39</v>
      </c>
      <c r="J200" t="s">
        <v>92</v>
      </c>
      <c r="K200">
        <v>3</v>
      </c>
      <c r="L200" t="s">
        <v>178</v>
      </c>
      <c r="M200" t="s">
        <v>105</v>
      </c>
      <c r="N200" t="s">
        <v>40</v>
      </c>
      <c r="O200">
        <v>189405</v>
      </c>
      <c r="P200">
        <v>0</v>
      </c>
      <c r="Q200" t="s">
        <v>34</v>
      </c>
      <c r="R200" s="1">
        <v>41417</v>
      </c>
      <c r="S200" t="s">
        <v>34</v>
      </c>
      <c r="T200">
        <v>9</v>
      </c>
      <c r="U200">
        <v>4</v>
      </c>
      <c r="V200">
        <v>6</v>
      </c>
      <c r="W200">
        <v>7</v>
      </c>
      <c r="X200" t="s">
        <v>11022</v>
      </c>
      <c r="Y200" t="s">
        <v>11022</v>
      </c>
      <c r="Z200" t="str">
        <f>_xlfn.XLOOKUP(Employees[[#This Row],[Education]], EdLevel[EducationLevelID], EdLevel[EducationLevel])</f>
        <v xml:space="preserve">Bachelors </v>
      </c>
      <c r="AA200">
        <f>IF(Employees[[#This Row],[Attrition]] = "Yes", 1, 0)</f>
        <v>0</v>
      </c>
      <c r="AB200" t="str" cm="1">
        <f t="array" ref="AB200">_xlfn.IFS(Employees[[#This Row],[Age]]&lt;30, "20-29", Employees[[#This Row],[Age]]&lt;40, "30-39", Employees[[#This Row],[Age]]&lt;50, "40-49", "TRUE", "50+")</f>
        <v>30-39</v>
      </c>
    </row>
    <row r="201" spans="1:28">
      <c r="A201" t="s">
        <v>664</v>
      </c>
      <c r="B201" t="s">
        <v>665</v>
      </c>
      <c r="C201" t="s">
        <v>666</v>
      </c>
      <c r="D201" t="s">
        <v>38</v>
      </c>
      <c r="E201">
        <v>44</v>
      </c>
      <c r="F201" t="s">
        <v>27</v>
      </c>
      <c r="G201" t="s">
        <v>54</v>
      </c>
      <c r="H201">
        <v>29</v>
      </c>
      <c r="I201" t="s">
        <v>39</v>
      </c>
      <c r="J201" t="s">
        <v>46</v>
      </c>
      <c r="K201">
        <v>3</v>
      </c>
      <c r="L201" t="s">
        <v>55</v>
      </c>
      <c r="M201" t="s">
        <v>85</v>
      </c>
      <c r="N201" t="s">
        <v>49</v>
      </c>
      <c r="O201">
        <v>57890</v>
      </c>
      <c r="P201">
        <v>0</v>
      </c>
      <c r="Q201" t="s">
        <v>34</v>
      </c>
      <c r="R201" s="1">
        <v>41418</v>
      </c>
      <c r="S201" t="s">
        <v>34</v>
      </c>
      <c r="T201">
        <v>9</v>
      </c>
      <c r="U201">
        <v>8</v>
      </c>
      <c r="V201">
        <v>8</v>
      </c>
      <c r="W201">
        <v>8</v>
      </c>
      <c r="X201" t="s">
        <v>11022</v>
      </c>
      <c r="Y201" t="s">
        <v>11022</v>
      </c>
      <c r="Z201" t="str">
        <f>_xlfn.XLOOKUP(Employees[[#This Row],[Education]], EdLevel[EducationLevelID], EdLevel[EducationLevel])</f>
        <v xml:space="preserve">Bachelors </v>
      </c>
      <c r="AA201">
        <f>IF(Employees[[#This Row],[Attrition]] = "Yes", 1, 0)</f>
        <v>0</v>
      </c>
      <c r="AB201" t="str" cm="1">
        <f t="array" ref="AB201">_xlfn.IFS(Employees[[#This Row],[Age]]&lt;30, "20-29", Employees[[#This Row],[Age]]&lt;40, "30-39", Employees[[#This Row],[Age]]&lt;50, "40-49", "TRUE", "50+")</f>
        <v>40-49</v>
      </c>
    </row>
    <row r="202" spans="1:28">
      <c r="A202" t="s">
        <v>667</v>
      </c>
      <c r="B202" t="s">
        <v>668</v>
      </c>
      <c r="C202" t="s">
        <v>669</v>
      </c>
      <c r="D202" t="s">
        <v>53</v>
      </c>
      <c r="E202">
        <v>39</v>
      </c>
      <c r="F202" t="s">
        <v>84</v>
      </c>
      <c r="G202" t="s">
        <v>54</v>
      </c>
      <c r="H202">
        <v>4</v>
      </c>
      <c r="I202" t="s">
        <v>39</v>
      </c>
      <c r="J202" t="s">
        <v>30</v>
      </c>
      <c r="K202">
        <v>1</v>
      </c>
      <c r="L202" t="s">
        <v>178</v>
      </c>
      <c r="M202" t="s">
        <v>101</v>
      </c>
      <c r="N202" t="s">
        <v>40</v>
      </c>
      <c r="O202">
        <v>87879</v>
      </c>
      <c r="P202">
        <v>0</v>
      </c>
      <c r="Q202" t="s">
        <v>41</v>
      </c>
      <c r="R202" s="1">
        <v>41419</v>
      </c>
      <c r="S202" t="s">
        <v>34</v>
      </c>
      <c r="T202">
        <v>9</v>
      </c>
      <c r="U202">
        <v>6</v>
      </c>
      <c r="V202">
        <v>8</v>
      </c>
      <c r="W202">
        <v>9</v>
      </c>
      <c r="X202" t="s">
        <v>11020</v>
      </c>
      <c r="Y202" t="s">
        <v>11020</v>
      </c>
      <c r="Z202" t="str">
        <f>_xlfn.XLOOKUP(Employees[[#This Row],[Education]], EdLevel[EducationLevelID], EdLevel[EducationLevel])</f>
        <v>No Formal Qualifications</v>
      </c>
      <c r="AA202">
        <f>IF(Employees[[#This Row],[Attrition]] = "Yes", 1, 0)</f>
        <v>0</v>
      </c>
      <c r="AB202" t="str" cm="1">
        <f t="array" ref="AB202">_xlfn.IFS(Employees[[#This Row],[Age]]&lt;30, "20-29", Employees[[#This Row],[Age]]&lt;40, "30-39", Employees[[#This Row],[Age]]&lt;50, "40-49", "TRUE", "50+")</f>
        <v>30-39</v>
      </c>
    </row>
    <row r="203" spans="1:28">
      <c r="A203" t="s">
        <v>670</v>
      </c>
      <c r="B203" t="s">
        <v>671</v>
      </c>
      <c r="C203" t="s">
        <v>672</v>
      </c>
      <c r="D203" t="s">
        <v>26</v>
      </c>
      <c r="E203">
        <v>34</v>
      </c>
      <c r="F203" t="s">
        <v>27</v>
      </c>
      <c r="G203" t="s">
        <v>54</v>
      </c>
      <c r="H203">
        <v>14</v>
      </c>
      <c r="I203" t="s">
        <v>65</v>
      </c>
      <c r="J203" t="s">
        <v>30</v>
      </c>
      <c r="K203">
        <v>2</v>
      </c>
      <c r="L203" t="s">
        <v>72</v>
      </c>
      <c r="M203" t="s">
        <v>105</v>
      </c>
      <c r="N203" t="s">
        <v>40</v>
      </c>
      <c r="O203">
        <v>154405</v>
      </c>
      <c r="P203">
        <v>0</v>
      </c>
      <c r="Q203" t="s">
        <v>34</v>
      </c>
      <c r="R203" s="1">
        <v>41421</v>
      </c>
      <c r="S203" t="s">
        <v>34</v>
      </c>
      <c r="T203">
        <v>9</v>
      </c>
      <c r="U203">
        <v>7</v>
      </c>
      <c r="V203">
        <v>7</v>
      </c>
      <c r="W203">
        <v>1</v>
      </c>
      <c r="X203" t="s">
        <v>11021</v>
      </c>
      <c r="Y203" t="s">
        <v>11021</v>
      </c>
      <c r="Z203" t="str">
        <f>_xlfn.XLOOKUP(Employees[[#This Row],[Education]], EdLevel[EducationLevelID], EdLevel[EducationLevel])</f>
        <v xml:space="preserve">High School </v>
      </c>
      <c r="AA203">
        <f>IF(Employees[[#This Row],[Attrition]] = "Yes", 1, 0)</f>
        <v>0</v>
      </c>
      <c r="AB203" t="str" cm="1">
        <f t="array" ref="AB203">_xlfn.IFS(Employees[[#This Row],[Age]]&lt;30, "20-29", Employees[[#This Row],[Age]]&lt;40, "30-39", Employees[[#This Row],[Age]]&lt;50, "40-49", "TRUE", "50+")</f>
        <v>30-39</v>
      </c>
    </row>
    <row r="204" spans="1:28">
      <c r="A204" t="s">
        <v>673</v>
      </c>
      <c r="B204" t="s">
        <v>674</v>
      </c>
      <c r="C204" t="s">
        <v>675</v>
      </c>
      <c r="D204" t="s">
        <v>38</v>
      </c>
      <c r="E204">
        <v>42</v>
      </c>
      <c r="F204" t="s">
        <v>27</v>
      </c>
      <c r="G204" t="s">
        <v>54</v>
      </c>
      <c r="H204">
        <v>37</v>
      </c>
      <c r="I204" t="s">
        <v>39</v>
      </c>
      <c r="J204" t="s">
        <v>71</v>
      </c>
      <c r="K204">
        <v>4</v>
      </c>
      <c r="L204" t="s">
        <v>55</v>
      </c>
      <c r="M204" t="s">
        <v>182</v>
      </c>
      <c r="N204" t="s">
        <v>49</v>
      </c>
      <c r="O204">
        <v>244114</v>
      </c>
      <c r="P204">
        <v>1</v>
      </c>
      <c r="Q204" t="s">
        <v>34</v>
      </c>
      <c r="R204" s="1">
        <v>41422</v>
      </c>
      <c r="S204" t="s">
        <v>34</v>
      </c>
      <c r="T204">
        <v>9</v>
      </c>
      <c r="U204">
        <v>6</v>
      </c>
      <c r="V204">
        <v>7</v>
      </c>
      <c r="W204">
        <v>0</v>
      </c>
      <c r="X204" t="s">
        <v>11023</v>
      </c>
      <c r="Y204" t="s">
        <v>11023</v>
      </c>
      <c r="Z204" t="str">
        <f>_xlfn.XLOOKUP(Employees[[#This Row],[Education]], EdLevel[EducationLevelID], EdLevel[EducationLevel])</f>
        <v xml:space="preserve">Masters </v>
      </c>
      <c r="AA204">
        <f>IF(Employees[[#This Row],[Attrition]] = "Yes", 1, 0)</f>
        <v>0</v>
      </c>
      <c r="AB204" t="str" cm="1">
        <f t="array" ref="AB204">_xlfn.IFS(Employees[[#This Row],[Age]]&lt;30, "20-29", Employees[[#This Row],[Age]]&lt;40, "30-39", Employees[[#This Row],[Age]]&lt;50, "40-49", "TRUE", "50+")</f>
        <v>40-49</v>
      </c>
    </row>
    <row r="205" spans="1:28">
      <c r="A205" t="s">
        <v>676</v>
      </c>
      <c r="B205" t="s">
        <v>677</v>
      </c>
      <c r="C205" t="s">
        <v>678</v>
      </c>
      <c r="D205" t="s">
        <v>38</v>
      </c>
      <c r="E205">
        <v>29</v>
      </c>
      <c r="F205" t="s">
        <v>27</v>
      </c>
      <c r="G205" t="s">
        <v>28</v>
      </c>
      <c r="H205">
        <v>12</v>
      </c>
      <c r="I205" t="s">
        <v>29</v>
      </c>
      <c r="J205" t="s">
        <v>46</v>
      </c>
      <c r="K205">
        <v>2</v>
      </c>
      <c r="L205" t="s">
        <v>47</v>
      </c>
      <c r="M205" t="s">
        <v>150</v>
      </c>
      <c r="N205" t="s">
        <v>49</v>
      </c>
      <c r="O205">
        <v>97794</v>
      </c>
      <c r="P205">
        <v>0</v>
      </c>
      <c r="Q205" t="s">
        <v>34</v>
      </c>
      <c r="R205" s="1">
        <v>41424</v>
      </c>
      <c r="S205" t="s">
        <v>41</v>
      </c>
      <c r="T205">
        <v>2</v>
      </c>
      <c r="U205">
        <v>0</v>
      </c>
      <c r="V205">
        <v>1</v>
      </c>
      <c r="W205">
        <v>0</v>
      </c>
      <c r="X205" t="s">
        <v>11021</v>
      </c>
      <c r="Y205" t="s">
        <v>11021</v>
      </c>
      <c r="Z205" t="str">
        <f>_xlfn.XLOOKUP(Employees[[#This Row],[Education]], EdLevel[EducationLevelID], EdLevel[EducationLevel])</f>
        <v xml:space="preserve">High School </v>
      </c>
      <c r="AA205">
        <f>IF(Employees[[#This Row],[Attrition]] = "Yes", 1, 0)</f>
        <v>1</v>
      </c>
      <c r="AB205" t="str" cm="1">
        <f t="array" ref="AB205">_xlfn.IFS(Employees[[#This Row],[Age]]&lt;30, "20-29", Employees[[#This Row],[Age]]&lt;40, "30-39", Employees[[#This Row],[Age]]&lt;50, "40-49", "TRUE", "50+")</f>
        <v>20-29</v>
      </c>
    </row>
    <row r="206" spans="1:28">
      <c r="A206" t="s">
        <v>679</v>
      </c>
      <c r="B206" t="s">
        <v>148</v>
      </c>
      <c r="C206" t="s">
        <v>680</v>
      </c>
      <c r="D206" t="s">
        <v>38</v>
      </c>
      <c r="E206">
        <v>48</v>
      </c>
      <c r="F206" t="s">
        <v>27</v>
      </c>
      <c r="G206" t="s">
        <v>54</v>
      </c>
      <c r="H206">
        <v>36</v>
      </c>
      <c r="I206" t="s">
        <v>29</v>
      </c>
      <c r="J206" t="s">
        <v>30</v>
      </c>
      <c r="K206">
        <v>3</v>
      </c>
      <c r="L206" t="s">
        <v>72</v>
      </c>
      <c r="M206" t="s">
        <v>105</v>
      </c>
      <c r="N206" t="s">
        <v>40</v>
      </c>
      <c r="O206">
        <v>180561</v>
      </c>
      <c r="P206">
        <v>0</v>
      </c>
      <c r="Q206" t="s">
        <v>34</v>
      </c>
      <c r="R206" s="1">
        <v>41426</v>
      </c>
      <c r="S206" t="s">
        <v>34</v>
      </c>
      <c r="T206">
        <v>9</v>
      </c>
      <c r="U206">
        <v>1</v>
      </c>
      <c r="V206">
        <v>8</v>
      </c>
      <c r="W206">
        <v>7</v>
      </c>
      <c r="X206" t="s">
        <v>11022</v>
      </c>
      <c r="Y206" t="s">
        <v>11022</v>
      </c>
      <c r="Z206" t="str">
        <f>_xlfn.XLOOKUP(Employees[[#This Row],[Education]], EdLevel[EducationLevelID], EdLevel[EducationLevel])</f>
        <v xml:space="preserve">Bachelors </v>
      </c>
      <c r="AA206">
        <f>IF(Employees[[#This Row],[Attrition]] = "Yes", 1, 0)</f>
        <v>0</v>
      </c>
      <c r="AB206" t="str" cm="1">
        <f t="array" ref="AB206">_xlfn.IFS(Employees[[#This Row],[Age]]&lt;30, "20-29", Employees[[#This Row],[Age]]&lt;40, "30-39", Employees[[#This Row],[Age]]&lt;50, "40-49", "TRUE", "50+")</f>
        <v>40-49</v>
      </c>
    </row>
    <row r="207" spans="1:28">
      <c r="A207" t="s">
        <v>681</v>
      </c>
      <c r="B207" t="s">
        <v>682</v>
      </c>
      <c r="C207" t="s">
        <v>683</v>
      </c>
      <c r="D207" t="s">
        <v>26</v>
      </c>
      <c r="E207">
        <v>38</v>
      </c>
      <c r="F207" t="s">
        <v>27</v>
      </c>
      <c r="G207" t="s">
        <v>54</v>
      </c>
      <c r="H207">
        <v>25</v>
      </c>
      <c r="I207" t="s">
        <v>39</v>
      </c>
      <c r="J207" t="s">
        <v>46</v>
      </c>
      <c r="K207">
        <v>2</v>
      </c>
      <c r="L207" t="s">
        <v>77</v>
      </c>
      <c r="M207" t="s">
        <v>85</v>
      </c>
      <c r="N207" t="s">
        <v>49</v>
      </c>
      <c r="O207">
        <v>60549</v>
      </c>
      <c r="P207">
        <v>1</v>
      </c>
      <c r="Q207" t="s">
        <v>34</v>
      </c>
      <c r="R207" s="1">
        <v>41430</v>
      </c>
      <c r="S207" t="s">
        <v>34</v>
      </c>
      <c r="T207">
        <v>9</v>
      </c>
      <c r="U207">
        <v>5</v>
      </c>
      <c r="V207">
        <v>6</v>
      </c>
      <c r="W207">
        <v>6</v>
      </c>
      <c r="X207" t="s">
        <v>11021</v>
      </c>
      <c r="Y207" t="s">
        <v>11021</v>
      </c>
      <c r="Z207" t="str">
        <f>_xlfn.XLOOKUP(Employees[[#This Row],[Education]], EdLevel[EducationLevelID], EdLevel[EducationLevel])</f>
        <v xml:space="preserve">High School </v>
      </c>
      <c r="AA207">
        <f>IF(Employees[[#This Row],[Attrition]] = "Yes", 1, 0)</f>
        <v>0</v>
      </c>
      <c r="AB207" t="str" cm="1">
        <f t="array" ref="AB207">_xlfn.IFS(Employees[[#This Row],[Age]]&lt;30, "20-29", Employees[[#This Row],[Age]]&lt;40, "30-39", Employees[[#This Row],[Age]]&lt;50, "40-49", "TRUE", "50+")</f>
        <v>30-39</v>
      </c>
    </row>
    <row r="208" spans="1:28">
      <c r="A208" t="s">
        <v>684</v>
      </c>
      <c r="B208" t="s">
        <v>685</v>
      </c>
      <c r="C208" t="s">
        <v>686</v>
      </c>
      <c r="D208" t="s">
        <v>38</v>
      </c>
      <c r="E208">
        <v>30</v>
      </c>
      <c r="F208" t="s">
        <v>27</v>
      </c>
      <c r="G208" t="s">
        <v>54</v>
      </c>
      <c r="H208">
        <v>7</v>
      </c>
      <c r="I208" t="s">
        <v>39</v>
      </c>
      <c r="J208" t="s">
        <v>30</v>
      </c>
      <c r="K208">
        <v>1</v>
      </c>
      <c r="L208" t="s">
        <v>72</v>
      </c>
      <c r="M208" t="s">
        <v>85</v>
      </c>
      <c r="N208" t="s">
        <v>49</v>
      </c>
      <c r="O208">
        <v>70182</v>
      </c>
      <c r="P208">
        <v>1</v>
      </c>
      <c r="Q208" t="s">
        <v>34</v>
      </c>
      <c r="R208" s="1">
        <v>41432</v>
      </c>
      <c r="S208" t="s">
        <v>34</v>
      </c>
      <c r="T208">
        <v>9</v>
      </c>
      <c r="U208">
        <v>8</v>
      </c>
      <c r="V208">
        <v>9</v>
      </c>
      <c r="W208">
        <v>8</v>
      </c>
      <c r="X208" t="s">
        <v>11020</v>
      </c>
      <c r="Y208" t="s">
        <v>11020</v>
      </c>
      <c r="Z208" t="str">
        <f>_xlfn.XLOOKUP(Employees[[#This Row],[Education]], EdLevel[EducationLevelID], EdLevel[EducationLevel])</f>
        <v>No Formal Qualifications</v>
      </c>
      <c r="AA208">
        <f>IF(Employees[[#This Row],[Attrition]] = "Yes", 1, 0)</f>
        <v>0</v>
      </c>
      <c r="AB208" t="str" cm="1">
        <f t="array" ref="AB208">_xlfn.IFS(Employees[[#This Row],[Age]]&lt;30, "20-29", Employees[[#This Row],[Age]]&lt;40, "30-39", Employees[[#This Row],[Age]]&lt;50, "40-49", "TRUE", "50+")</f>
        <v>30-39</v>
      </c>
    </row>
    <row r="209" spans="1:28">
      <c r="A209" t="s">
        <v>687</v>
      </c>
      <c r="B209" t="s">
        <v>688</v>
      </c>
      <c r="C209" t="s">
        <v>689</v>
      </c>
      <c r="D209" t="s">
        <v>26</v>
      </c>
      <c r="E209">
        <v>29</v>
      </c>
      <c r="F209" t="s">
        <v>27</v>
      </c>
      <c r="G209" t="s">
        <v>54</v>
      </c>
      <c r="H209">
        <v>44</v>
      </c>
      <c r="I209" t="s">
        <v>39</v>
      </c>
      <c r="J209" t="s">
        <v>46</v>
      </c>
      <c r="K209">
        <v>3</v>
      </c>
      <c r="L209" t="s">
        <v>178</v>
      </c>
      <c r="M209" t="s">
        <v>85</v>
      </c>
      <c r="N209" t="s">
        <v>33</v>
      </c>
      <c r="O209">
        <v>67578</v>
      </c>
      <c r="P209">
        <v>1</v>
      </c>
      <c r="Q209" t="s">
        <v>34</v>
      </c>
      <c r="R209" s="1">
        <v>41435</v>
      </c>
      <c r="S209" t="s">
        <v>41</v>
      </c>
      <c r="T209">
        <v>1</v>
      </c>
      <c r="U209">
        <v>0</v>
      </c>
      <c r="V209">
        <v>0</v>
      </c>
      <c r="W209">
        <v>0</v>
      </c>
      <c r="X209" t="s">
        <v>11022</v>
      </c>
      <c r="Y209" t="s">
        <v>11022</v>
      </c>
      <c r="Z209" t="str">
        <f>_xlfn.XLOOKUP(Employees[[#This Row],[Education]], EdLevel[EducationLevelID], EdLevel[EducationLevel])</f>
        <v xml:space="preserve">Bachelors </v>
      </c>
      <c r="AA209">
        <f>IF(Employees[[#This Row],[Attrition]] = "Yes", 1, 0)</f>
        <v>1</v>
      </c>
      <c r="AB209" t="str" cm="1">
        <f t="array" ref="AB209">_xlfn.IFS(Employees[[#This Row],[Age]]&lt;30, "20-29", Employees[[#This Row],[Age]]&lt;40, "30-39", Employees[[#This Row],[Age]]&lt;50, "40-49", "TRUE", "50+")</f>
        <v>20-29</v>
      </c>
    </row>
    <row r="210" spans="1:28">
      <c r="A210" t="s">
        <v>690</v>
      </c>
      <c r="B210" t="s">
        <v>691</v>
      </c>
      <c r="C210" t="s">
        <v>692</v>
      </c>
      <c r="D210" t="s">
        <v>38</v>
      </c>
      <c r="E210">
        <v>29</v>
      </c>
      <c r="F210" t="s">
        <v>27</v>
      </c>
      <c r="G210" t="s">
        <v>28</v>
      </c>
      <c r="H210">
        <v>35</v>
      </c>
      <c r="I210" t="s">
        <v>65</v>
      </c>
      <c r="J210" t="s">
        <v>71</v>
      </c>
      <c r="K210">
        <v>2</v>
      </c>
      <c r="L210" t="s">
        <v>121</v>
      </c>
      <c r="M210" t="s">
        <v>32</v>
      </c>
      <c r="N210" t="s">
        <v>49</v>
      </c>
      <c r="O210">
        <v>140962</v>
      </c>
      <c r="P210">
        <v>0</v>
      </c>
      <c r="Q210" t="s">
        <v>41</v>
      </c>
      <c r="R210" s="1">
        <v>41438</v>
      </c>
      <c r="S210" t="s">
        <v>41</v>
      </c>
      <c r="T210">
        <v>4</v>
      </c>
      <c r="U210">
        <v>0</v>
      </c>
      <c r="V210">
        <v>2</v>
      </c>
      <c r="W210">
        <v>4</v>
      </c>
      <c r="X210" t="s">
        <v>11021</v>
      </c>
      <c r="Y210" t="s">
        <v>11021</v>
      </c>
      <c r="Z210" t="str">
        <f>_xlfn.XLOOKUP(Employees[[#This Row],[Education]], EdLevel[EducationLevelID], EdLevel[EducationLevel])</f>
        <v xml:space="preserve">High School </v>
      </c>
      <c r="AA210">
        <f>IF(Employees[[#This Row],[Attrition]] = "Yes", 1, 0)</f>
        <v>1</v>
      </c>
      <c r="AB210" t="str" cm="1">
        <f t="array" ref="AB210">_xlfn.IFS(Employees[[#This Row],[Age]]&lt;30, "20-29", Employees[[#This Row],[Age]]&lt;40, "30-39", Employees[[#This Row],[Age]]&lt;50, "40-49", "TRUE", "50+")</f>
        <v>20-29</v>
      </c>
    </row>
    <row r="211" spans="1:28">
      <c r="A211" t="s">
        <v>693</v>
      </c>
      <c r="B211" t="s">
        <v>694</v>
      </c>
      <c r="C211" t="s">
        <v>695</v>
      </c>
      <c r="D211" t="s">
        <v>38</v>
      </c>
      <c r="E211">
        <v>29</v>
      </c>
      <c r="F211" t="s">
        <v>27</v>
      </c>
      <c r="G211" t="s">
        <v>28</v>
      </c>
      <c r="H211">
        <v>14</v>
      </c>
      <c r="I211" t="s">
        <v>39</v>
      </c>
      <c r="J211" t="s">
        <v>30</v>
      </c>
      <c r="K211">
        <v>4</v>
      </c>
      <c r="L211" t="s">
        <v>31</v>
      </c>
      <c r="M211" t="s">
        <v>32</v>
      </c>
      <c r="N211" t="s">
        <v>49</v>
      </c>
      <c r="O211">
        <v>96319</v>
      </c>
      <c r="P211">
        <v>2</v>
      </c>
      <c r="Q211" t="s">
        <v>34</v>
      </c>
      <c r="R211" s="1">
        <v>41439</v>
      </c>
      <c r="S211" t="s">
        <v>34</v>
      </c>
      <c r="T211">
        <v>9</v>
      </c>
      <c r="U211">
        <v>1</v>
      </c>
      <c r="V211">
        <v>4</v>
      </c>
      <c r="W211">
        <v>5</v>
      </c>
      <c r="X211" t="s">
        <v>11023</v>
      </c>
      <c r="Y211" t="s">
        <v>11023</v>
      </c>
      <c r="Z211" t="str">
        <f>_xlfn.XLOOKUP(Employees[[#This Row],[Education]], EdLevel[EducationLevelID], EdLevel[EducationLevel])</f>
        <v xml:space="preserve">Masters </v>
      </c>
      <c r="AA211">
        <f>IF(Employees[[#This Row],[Attrition]] = "Yes", 1, 0)</f>
        <v>0</v>
      </c>
      <c r="AB211" t="str" cm="1">
        <f t="array" ref="AB211">_xlfn.IFS(Employees[[#This Row],[Age]]&lt;30, "20-29", Employees[[#This Row],[Age]]&lt;40, "30-39", Employees[[#This Row],[Age]]&lt;50, "40-49", "TRUE", "50+")</f>
        <v>20-29</v>
      </c>
    </row>
    <row r="212" spans="1:28">
      <c r="A212" t="s">
        <v>696</v>
      </c>
      <c r="B212" t="s">
        <v>697</v>
      </c>
      <c r="C212" t="s">
        <v>698</v>
      </c>
      <c r="D212" t="s">
        <v>26</v>
      </c>
      <c r="E212">
        <v>38</v>
      </c>
      <c r="F212" t="s">
        <v>27</v>
      </c>
      <c r="G212" t="s">
        <v>54</v>
      </c>
      <c r="H212">
        <v>12</v>
      </c>
      <c r="I212" t="s">
        <v>39</v>
      </c>
      <c r="J212" t="s">
        <v>30</v>
      </c>
      <c r="K212">
        <v>1</v>
      </c>
      <c r="L212" t="s">
        <v>77</v>
      </c>
      <c r="M212" t="s">
        <v>105</v>
      </c>
      <c r="N212" t="s">
        <v>49</v>
      </c>
      <c r="O212">
        <v>253077</v>
      </c>
      <c r="P212">
        <v>1</v>
      </c>
      <c r="Q212" t="s">
        <v>34</v>
      </c>
      <c r="R212" s="1">
        <v>41440</v>
      </c>
      <c r="S212" t="s">
        <v>34</v>
      </c>
      <c r="T212">
        <v>9</v>
      </c>
      <c r="U212">
        <v>3</v>
      </c>
      <c r="V212">
        <v>3</v>
      </c>
      <c r="W212">
        <v>8</v>
      </c>
      <c r="X212" t="s">
        <v>11020</v>
      </c>
      <c r="Y212" t="s">
        <v>11020</v>
      </c>
      <c r="Z212" t="str">
        <f>_xlfn.XLOOKUP(Employees[[#This Row],[Education]], EdLevel[EducationLevelID], EdLevel[EducationLevel])</f>
        <v>No Formal Qualifications</v>
      </c>
      <c r="AA212">
        <f>IF(Employees[[#This Row],[Attrition]] = "Yes", 1, 0)</f>
        <v>0</v>
      </c>
      <c r="AB212" t="str" cm="1">
        <f t="array" ref="AB212">_xlfn.IFS(Employees[[#This Row],[Age]]&lt;30, "20-29", Employees[[#This Row],[Age]]&lt;40, "30-39", Employees[[#This Row],[Age]]&lt;50, "40-49", "TRUE", "50+")</f>
        <v>30-39</v>
      </c>
    </row>
    <row r="213" spans="1:28">
      <c r="A213" t="s">
        <v>699</v>
      </c>
      <c r="B213" t="s">
        <v>700</v>
      </c>
      <c r="C213" t="s">
        <v>701</v>
      </c>
      <c r="D213" t="s">
        <v>26</v>
      </c>
      <c r="E213">
        <v>43</v>
      </c>
      <c r="F213" t="s">
        <v>27</v>
      </c>
      <c r="G213" t="s">
        <v>54</v>
      </c>
      <c r="H213">
        <v>21</v>
      </c>
      <c r="I213" t="s">
        <v>65</v>
      </c>
      <c r="J213" t="s">
        <v>30</v>
      </c>
      <c r="K213">
        <v>2</v>
      </c>
      <c r="L213" t="s">
        <v>55</v>
      </c>
      <c r="M213" t="s">
        <v>101</v>
      </c>
      <c r="N213" t="s">
        <v>49</v>
      </c>
      <c r="O213">
        <v>94499</v>
      </c>
      <c r="P213">
        <v>1</v>
      </c>
      <c r="Q213" t="s">
        <v>34</v>
      </c>
      <c r="R213" s="1">
        <v>41447</v>
      </c>
      <c r="S213" t="s">
        <v>34</v>
      </c>
      <c r="T213">
        <v>9</v>
      </c>
      <c r="U213">
        <v>0</v>
      </c>
      <c r="V213">
        <v>1</v>
      </c>
      <c r="W213">
        <v>7</v>
      </c>
      <c r="X213" t="s">
        <v>11021</v>
      </c>
      <c r="Y213" t="s">
        <v>11021</v>
      </c>
      <c r="Z213" t="str">
        <f>_xlfn.XLOOKUP(Employees[[#This Row],[Education]], EdLevel[EducationLevelID], EdLevel[EducationLevel])</f>
        <v xml:space="preserve">High School </v>
      </c>
      <c r="AA213">
        <f>IF(Employees[[#This Row],[Attrition]] = "Yes", 1, 0)</f>
        <v>0</v>
      </c>
      <c r="AB213" t="str" cm="1">
        <f t="array" ref="AB213">_xlfn.IFS(Employees[[#This Row],[Age]]&lt;30, "20-29", Employees[[#This Row],[Age]]&lt;40, "30-39", Employees[[#This Row],[Age]]&lt;50, "40-49", "TRUE", "50+")</f>
        <v>40-49</v>
      </c>
    </row>
    <row r="214" spans="1:28">
      <c r="A214" t="s">
        <v>702</v>
      </c>
      <c r="B214" t="s">
        <v>703</v>
      </c>
      <c r="C214" t="s">
        <v>704</v>
      </c>
      <c r="D214" t="s">
        <v>26</v>
      </c>
      <c r="E214">
        <v>39</v>
      </c>
      <c r="F214" t="s">
        <v>27</v>
      </c>
      <c r="G214" t="s">
        <v>54</v>
      </c>
      <c r="H214">
        <v>10</v>
      </c>
      <c r="I214" t="s">
        <v>39</v>
      </c>
      <c r="J214" t="s">
        <v>66</v>
      </c>
      <c r="K214">
        <v>2</v>
      </c>
      <c r="L214" t="s">
        <v>72</v>
      </c>
      <c r="M214" t="s">
        <v>85</v>
      </c>
      <c r="N214" t="s">
        <v>33</v>
      </c>
      <c r="O214">
        <v>65796</v>
      </c>
      <c r="P214">
        <v>1</v>
      </c>
      <c r="Q214" t="s">
        <v>34</v>
      </c>
      <c r="R214" s="1">
        <v>41457</v>
      </c>
      <c r="S214" t="s">
        <v>34</v>
      </c>
      <c r="T214">
        <v>9</v>
      </c>
      <c r="U214">
        <v>9</v>
      </c>
      <c r="V214">
        <v>9</v>
      </c>
      <c r="W214">
        <v>5</v>
      </c>
      <c r="X214" t="s">
        <v>11021</v>
      </c>
      <c r="Y214" t="s">
        <v>11021</v>
      </c>
      <c r="Z214" t="str">
        <f>_xlfn.XLOOKUP(Employees[[#This Row],[Education]], EdLevel[EducationLevelID], EdLevel[EducationLevel])</f>
        <v xml:space="preserve">High School </v>
      </c>
      <c r="AA214">
        <f>IF(Employees[[#This Row],[Attrition]] = "Yes", 1, 0)</f>
        <v>0</v>
      </c>
      <c r="AB214" t="str" cm="1">
        <f t="array" ref="AB214">_xlfn.IFS(Employees[[#This Row],[Age]]&lt;30, "20-29", Employees[[#This Row],[Age]]&lt;40, "30-39", Employees[[#This Row],[Age]]&lt;50, "40-49", "TRUE", "50+")</f>
        <v>30-39</v>
      </c>
    </row>
    <row r="215" spans="1:28">
      <c r="A215" t="s">
        <v>705</v>
      </c>
      <c r="B215" t="s">
        <v>706</v>
      </c>
      <c r="C215" t="s">
        <v>707</v>
      </c>
      <c r="D215" t="s">
        <v>38</v>
      </c>
      <c r="E215">
        <v>28</v>
      </c>
      <c r="F215" t="s">
        <v>27</v>
      </c>
      <c r="G215" t="s">
        <v>54</v>
      </c>
      <c r="H215">
        <v>27</v>
      </c>
      <c r="I215" t="s">
        <v>39</v>
      </c>
      <c r="J215" t="s">
        <v>30</v>
      </c>
      <c r="K215">
        <v>1</v>
      </c>
      <c r="L215" t="s">
        <v>72</v>
      </c>
      <c r="M215" t="s">
        <v>182</v>
      </c>
      <c r="N215" t="s">
        <v>49</v>
      </c>
      <c r="O215">
        <v>277344</v>
      </c>
      <c r="P215">
        <v>0</v>
      </c>
      <c r="Q215" t="s">
        <v>41</v>
      </c>
      <c r="R215" s="1">
        <v>41457</v>
      </c>
      <c r="S215" t="s">
        <v>41</v>
      </c>
      <c r="T215">
        <v>3</v>
      </c>
      <c r="U215">
        <v>1</v>
      </c>
      <c r="V215">
        <v>1</v>
      </c>
      <c r="W215">
        <v>1</v>
      </c>
      <c r="X215" t="s">
        <v>11020</v>
      </c>
      <c r="Y215" t="s">
        <v>11020</v>
      </c>
      <c r="Z215" t="str">
        <f>_xlfn.XLOOKUP(Employees[[#This Row],[Education]], EdLevel[EducationLevelID], EdLevel[EducationLevel])</f>
        <v>No Formal Qualifications</v>
      </c>
      <c r="AA215">
        <f>IF(Employees[[#This Row],[Attrition]] = "Yes", 1, 0)</f>
        <v>1</v>
      </c>
      <c r="AB215" t="str" cm="1">
        <f t="array" ref="AB215">_xlfn.IFS(Employees[[#This Row],[Age]]&lt;30, "20-29", Employees[[#This Row],[Age]]&lt;40, "30-39", Employees[[#This Row],[Age]]&lt;50, "40-49", "TRUE", "50+")</f>
        <v>20-29</v>
      </c>
    </row>
    <row r="216" spans="1:28">
      <c r="A216" t="s">
        <v>708</v>
      </c>
      <c r="B216" t="s">
        <v>709</v>
      </c>
      <c r="C216" t="s">
        <v>710</v>
      </c>
      <c r="D216" t="s">
        <v>26</v>
      </c>
      <c r="E216">
        <v>48</v>
      </c>
      <c r="F216" t="s">
        <v>27</v>
      </c>
      <c r="G216" t="s">
        <v>54</v>
      </c>
      <c r="H216">
        <v>35</v>
      </c>
      <c r="I216" t="s">
        <v>39</v>
      </c>
      <c r="J216" t="s">
        <v>66</v>
      </c>
      <c r="K216">
        <v>2</v>
      </c>
      <c r="L216" t="s">
        <v>72</v>
      </c>
      <c r="M216" t="s">
        <v>56</v>
      </c>
      <c r="N216" t="s">
        <v>33</v>
      </c>
      <c r="O216">
        <v>314656</v>
      </c>
      <c r="P216">
        <v>1</v>
      </c>
      <c r="Q216" t="s">
        <v>34</v>
      </c>
      <c r="R216" s="1">
        <v>41464</v>
      </c>
      <c r="S216" t="s">
        <v>34</v>
      </c>
      <c r="T216">
        <v>9</v>
      </c>
      <c r="U216">
        <v>7</v>
      </c>
      <c r="V216">
        <v>8</v>
      </c>
      <c r="W216">
        <v>3</v>
      </c>
      <c r="X216" t="s">
        <v>11021</v>
      </c>
      <c r="Y216" t="s">
        <v>11021</v>
      </c>
      <c r="Z216" t="str">
        <f>_xlfn.XLOOKUP(Employees[[#This Row],[Education]], EdLevel[EducationLevelID], EdLevel[EducationLevel])</f>
        <v xml:space="preserve">High School </v>
      </c>
      <c r="AA216">
        <f>IF(Employees[[#This Row],[Attrition]] = "Yes", 1, 0)</f>
        <v>0</v>
      </c>
      <c r="AB216" t="str" cm="1">
        <f t="array" ref="AB216">_xlfn.IFS(Employees[[#This Row],[Age]]&lt;30, "20-29", Employees[[#This Row],[Age]]&lt;40, "30-39", Employees[[#This Row],[Age]]&lt;50, "40-49", "TRUE", "50+")</f>
        <v>40-49</v>
      </c>
    </row>
    <row r="217" spans="1:28">
      <c r="A217" t="s">
        <v>711</v>
      </c>
      <c r="B217" t="s">
        <v>712</v>
      </c>
      <c r="C217" t="s">
        <v>713</v>
      </c>
      <c r="D217" t="s">
        <v>38</v>
      </c>
      <c r="E217">
        <v>31</v>
      </c>
      <c r="F217" t="s">
        <v>27</v>
      </c>
      <c r="G217" t="s">
        <v>54</v>
      </c>
      <c r="H217">
        <v>39</v>
      </c>
      <c r="I217" t="s">
        <v>29</v>
      </c>
      <c r="J217" t="s">
        <v>137</v>
      </c>
      <c r="K217">
        <v>3</v>
      </c>
      <c r="L217" t="s">
        <v>55</v>
      </c>
      <c r="M217" t="s">
        <v>105</v>
      </c>
      <c r="N217" t="s">
        <v>40</v>
      </c>
      <c r="O217">
        <v>242890</v>
      </c>
      <c r="P217">
        <v>0</v>
      </c>
      <c r="Q217" t="s">
        <v>34</v>
      </c>
      <c r="R217" s="1">
        <v>41466</v>
      </c>
      <c r="S217" t="s">
        <v>34</v>
      </c>
      <c r="T217">
        <v>9</v>
      </c>
      <c r="U217">
        <v>3</v>
      </c>
      <c r="V217">
        <v>3</v>
      </c>
      <c r="W217">
        <v>9</v>
      </c>
      <c r="X217" t="s">
        <v>11022</v>
      </c>
      <c r="Y217" t="s">
        <v>11022</v>
      </c>
      <c r="Z217" t="str">
        <f>_xlfn.XLOOKUP(Employees[[#This Row],[Education]], EdLevel[EducationLevelID], EdLevel[EducationLevel])</f>
        <v xml:space="preserve">Bachelors </v>
      </c>
      <c r="AA217">
        <f>IF(Employees[[#This Row],[Attrition]] = "Yes", 1, 0)</f>
        <v>0</v>
      </c>
      <c r="AB217" t="str" cm="1">
        <f t="array" ref="AB217">_xlfn.IFS(Employees[[#This Row],[Age]]&lt;30, "20-29", Employees[[#This Row],[Age]]&lt;40, "30-39", Employees[[#This Row],[Age]]&lt;50, "40-49", "TRUE", "50+")</f>
        <v>30-39</v>
      </c>
    </row>
    <row r="218" spans="1:28">
      <c r="A218" t="s">
        <v>714</v>
      </c>
      <c r="B218" t="s">
        <v>715</v>
      </c>
      <c r="C218" t="s">
        <v>716</v>
      </c>
      <c r="D218" t="s">
        <v>26</v>
      </c>
      <c r="E218">
        <v>27</v>
      </c>
      <c r="F218" t="s">
        <v>27</v>
      </c>
      <c r="G218" t="s">
        <v>54</v>
      </c>
      <c r="H218">
        <v>1</v>
      </c>
      <c r="I218" t="s">
        <v>65</v>
      </c>
      <c r="J218" t="s">
        <v>71</v>
      </c>
      <c r="K218">
        <v>4</v>
      </c>
      <c r="L218" t="s">
        <v>55</v>
      </c>
      <c r="M218" t="s">
        <v>85</v>
      </c>
      <c r="N218" t="s">
        <v>33</v>
      </c>
      <c r="O218">
        <v>40050</v>
      </c>
      <c r="P218">
        <v>1</v>
      </c>
      <c r="Q218" t="s">
        <v>41</v>
      </c>
      <c r="R218" s="1">
        <v>41471</v>
      </c>
      <c r="S218" t="s">
        <v>41</v>
      </c>
      <c r="T218">
        <v>1</v>
      </c>
      <c r="U218">
        <v>0</v>
      </c>
      <c r="V218">
        <v>0</v>
      </c>
      <c r="W218">
        <v>0</v>
      </c>
      <c r="X218" t="s">
        <v>11023</v>
      </c>
      <c r="Y218" t="s">
        <v>11023</v>
      </c>
      <c r="Z218" t="str">
        <f>_xlfn.XLOOKUP(Employees[[#This Row],[Education]], EdLevel[EducationLevelID], EdLevel[EducationLevel])</f>
        <v xml:space="preserve">Masters </v>
      </c>
      <c r="AA218">
        <f>IF(Employees[[#This Row],[Attrition]] = "Yes", 1, 0)</f>
        <v>1</v>
      </c>
      <c r="AB218" t="str" cm="1">
        <f t="array" ref="AB218">_xlfn.IFS(Employees[[#This Row],[Age]]&lt;30, "20-29", Employees[[#This Row],[Age]]&lt;40, "30-39", Employees[[#This Row],[Age]]&lt;50, "40-49", "TRUE", "50+")</f>
        <v>20-29</v>
      </c>
    </row>
    <row r="219" spans="1:28">
      <c r="A219" t="s">
        <v>717</v>
      </c>
      <c r="B219" t="s">
        <v>718</v>
      </c>
      <c r="C219" t="s">
        <v>719</v>
      </c>
      <c r="D219" t="s">
        <v>38</v>
      </c>
      <c r="E219">
        <v>29</v>
      </c>
      <c r="F219" t="s">
        <v>27</v>
      </c>
      <c r="G219" t="s">
        <v>28</v>
      </c>
      <c r="H219">
        <v>44</v>
      </c>
      <c r="I219" t="s">
        <v>39</v>
      </c>
      <c r="J219" t="s">
        <v>30</v>
      </c>
      <c r="K219">
        <v>3</v>
      </c>
      <c r="L219" t="s">
        <v>31</v>
      </c>
      <c r="M219" t="s">
        <v>97</v>
      </c>
      <c r="N219" t="s">
        <v>40</v>
      </c>
      <c r="O219">
        <v>377203</v>
      </c>
      <c r="P219">
        <v>0</v>
      </c>
      <c r="Q219" t="s">
        <v>41</v>
      </c>
      <c r="R219" s="1">
        <v>41471</v>
      </c>
      <c r="S219" t="s">
        <v>41</v>
      </c>
      <c r="T219">
        <v>5</v>
      </c>
      <c r="U219">
        <v>4</v>
      </c>
      <c r="V219">
        <v>4</v>
      </c>
      <c r="W219">
        <v>0</v>
      </c>
      <c r="X219" t="s">
        <v>11022</v>
      </c>
      <c r="Y219" t="s">
        <v>11022</v>
      </c>
      <c r="Z219" t="str">
        <f>_xlfn.XLOOKUP(Employees[[#This Row],[Education]], EdLevel[EducationLevelID], EdLevel[EducationLevel])</f>
        <v xml:space="preserve">Bachelors </v>
      </c>
      <c r="AA219">
        <f>IF(Employees[[#This Row],[Attrition]] = "Yes", 1, 0)</f>
        <v>1</v>
      </c>
      <c r="AB219" t="str" cm="1">
        <f t="array" ref="AB219">_xlfn.IFS(Employees[[#This Row],[Age]]&lt;30, "20-29", Employees[[#This Row],[Age]]&lt;40, "30-39", Employees[[#This Row],[Age]]&lt;50, "40-49", "TRUE", "50+")</f>
        <v>20-29</v>
      </c>
    </row>
    <row r="220" spans="1:28">
      <c r="A220" t="s">
        <v>720</v>
      </c>
      <c r="B220" t="s">
        <v>721</v>
      </c>
      <c r="C220" t="s">
        <v>722</v>
      </c>
      <c r="D220" t="s">
        <v>26</v>
      </c>
      <c r="E220">
        <v>28</v>
      </c>
      <c r="F220" t="s">
        <v>70</v>
      </c>
      <c r="G220" t="s">
        <v>54</v>
      </c>
      <c r="H220">
        <v>43</v>
      </c>
      <c r="I220" t="s">
        <v>39</v>
      </c>
      <c r="J220" t="s">
        <v>30</v>
      </c>
      <c r="K220">
        <v>3</v>
      </c>
      <c r="L220" t="s">
        <v>55</v>
      </c>
      <c r="M220" t="s">
        <v>101</v>
      </c>
      <c r="N220" t="s">
        <v>40</v>
      </c>
      <c r="O220">
        <v>50175</v>
      </c>
      <c r="P220">
        <v>0</v>
      </c>
      <c r="Q220" t="s">
        <v>34</v>
      </c>
      <c r="R220" s="1">
        <v>41473</v>
      </c>
      <c r="S220" t="s">
        <v>34</v>
      </c>
      <c r="T220">
        <v>9</v>
      </c>
      <c r="U220">
        <v>9</v>
      </c>
      <c r="V220">
        <v>9</v>
      </c>
      <c r="W220">
        <v>3</v>
      </c>
      <c r="X220" t="s">
        <v>11022</v>
      </c>
      <c r="Y220" t="s">
        <v>11022</v>
      </c>
      <c r="Z220" t="str">
        <f>_xlfn.XLOOKUP(Employees[[#This Row],[Education]], EdLevel[EducationLevelID], EdLevel[EducationLevel])</f>
        <v xml:space="preserve">Bachelors </v>
      </c>
      <c r="AA220">
        <f>IF(Employees[[#This Row],[Attrition]] = "Yes", 1, 0)</f>
        <v>0</v>
      </c>
      <c r="AB220" t="str" cm="1">
        <f t="array" ref="AB220">_xlfn.IFS(Employees[[#This Row],[Age]]&lt;30, "20-29", Employees[[#This Row],[Age]]&lt;40, "30-39", Employees[[#This Row],[Age]]&lt;50, "40-49", "TRUE", "50+")</f>
        <v>20-29</v>
      </c>
    </row>
    <row r="221" spans="1:28">
      <c r="A221" t="s">
        <v>723</v>
      </c>
      <c r="B221" t="s">
        <v>724</v>
      </c>
      <c r="C221" t="s">
        <v>725</v>
      </c>
      <c r="D221" t="s">
        <v>26</v>
      </c>
      <c r="E221">
        <v>32</v>
      </c>
      <c r="F221" t="s">
        <v>70</v>
      </c>
      <c r="G221" t="s">
        <v>28</v>
      </c>
      <c r="H221">
        <v>23</v>
      </c>
      <c r="I221" t="s">
        <v>39</v>
      </c>
      <c r="J221" t="s">
        <v>46</v>
      </c>
      <c r="K221">
        <v>4</v>
      </c>
      <c r="L221" t="s">
        <v>121</v>
      </c>
      <c r="M221" t="s">
        <v>32</v>
      </c>
      <c r="N221" t="s">
        <v>33</v>
      </c>
      <c r="O221">
        <v>237749</v>
      </c>
      <c r="P221">
        <v>1</v>
      </c>
      <c r="Q221" t="s">
        <v>34</v>
      </c>
      <c r="R221" s="1">
        <v>41474</v>
      </c>
      <c r="S221" t="s">
        <v>34</v>
      </c>
      <c r="T221">
        <v>9</v>
      </c>
      <c r="U221">
        <v>1</v>
      </c>
      <c r="V221">
        <v>6</v>
      </c>
      <c r="W221">
        <v>6</v>
      </c>
      <c r="X221" t="s">
        <v>11023</v>
      </c>
      <c r="Y221" t="s">
        <v>11023</v>
      </c>
      <c r="Z221" t="str">
        <f>_xlfn.XLOOKUP(Employees[[#This Row],[Education]], EdLevel[EducationLevelID], EdLevel[EducationLevel])</f>
        <v xml:space="preserve">Masters </v>
      </c>
      <c r="AA221">
        <f>IF(Employees[[#This Row],[Attrition]] = "Yes", 1, 0)</f>
        <v>0</v>
      </c>
      <c r="AB221" t="str" cm="1">
        <f t="array" ref="AB221">_xlfn.IFS(Employees[[#This Row],[Age]]&lt;30, "20-29", Employees[[#This Row],[Age]]&lt;40, "30-39", Employees[[#This Row],[Age]]&lt;50, "40-49", "TRUE", "50+")</f>
        <v>30-39</v>
      </c>
    </row>
    <row r="222" spans="1:28">
      <c r="A222" t="s">
        <v>726</v>
      </c>
      <c r="B222" t="s">
        <v>727</v>
      </c>
      <c r="C222" t="s">
        <v>728</v>
      </c>
      <c r="D222" t="s">
        <v>38</v>
      </c>
      <c r="E222">
        <v>32</v>
      </c>
      <c r="F222" t="s">
        <v>70</v>
      </c>
      <c r="G222" t="s">
        <v>54</v>
      </c>
      <c r="H222">
        <v>12</v>
      </c>
      <c r="I222" t="s">
        <v>65</v>
      </c>
      <c r="J222" t="s">
        <v>30</v>
      </c>
      <c r="K222">
        <v>4</v>
      </c>
      <c r="L222" t="s">
        <v>72</v>
      </c>
      <c r="M222" t="s">
        <v>101</v>
      </c>
      <c r="N222" t="s">
        <v>49</v>
      </c>
      <c r="O222">
        <v>111294</v>
      </c>
      <c r="P222">
        <v>1</v>
      </c>
      <c r="Q222" t="s">
        <v>34</v>
      </c>
      <c r="R222" s="1">
        <v>41474</v>
      </c>
      <c r="S222" t="s">
        <v>34</v>
      </c>
      <c r="T222">
        <v>9</v>
      </c>
      <c r="U222">
        <v>2</v>
      </c>
      <c r="V222">
        <v>9</v>
      </c>
      <c r="W222">
        <v>4</v>
      </c>
      <c r="X222" t="s">
        <v>11023</v>
      </c>
      <c r="Y222" t="s">
        <v>11023</v>
      </c>
      <c r="Z222" t="str">
        <f>_xlfn.XLOOKUP(Employees[[#This Row],[Education]], EdLevel[EducationLevelID], EdLevel[EducationLevel])</f>
        <v xml:space="preserve">Masters </v>
      </c>
      <c r="AA222">
        <f>IF(Employees[[#This Row],[Attrition]] = "Yes", 1, 0)</f>
        <v>0</v>
      </c>
      <c r="AB222" t="str" cm="1">
        <f t="array" ref="AB222">_xlfn.IFS(Employees[[#This Row],[Age]]&lt;30, "20-29", Employees[[#This Row],[Age]]&lt;40, "30-39", Employees[[#This Row],[Age]]&lt;50, "40-49", "TRUE", "50+")</f>
        <v>30-39</v>
      </c>
    </row>
    <row r="223" spans="1:28">
      <c r="A223" t="s">
        <v>729</v>
      </c>
      <c r="B223" t="s">
        <v>730</v>
      </c>
      <c r="C223" t="s">
        <v>731</v>
      </c>
      <c r="D223" t="s">
        <v>53</v>
      </c>
      <c r="E223">
        <v>41</v>
      </c>
      <c r="F223" t="s">
        <v>84</v>
      </c>
      <c r="G223" t="s">
        <v>28</v>
      </c>
      <c r="H223">
        <v>3</v>
      </c>
      <c r="I223" t="s">
        <v>65</v>
      </c>
      <c r="J223" t="s">
        <v>30</v>
      </c>
      <c r="K223">
        <v>3</v>
      </c>
      <c r="L223" t="s">
        <v>47</v>
      </c>
      <c r="M223" t="s">
        <v>32</v>
      </c>
      <c r="N223" t="s">
        <v>40</v>
      </c>
      <c r="O223">
        <v>248987</v>
      </c>
      <c r="P223">
        <v>0</v>
      </c>
      <c r="Q223" t="s">
        <v>34</v>
      </c>
      <c r="R223" s="1">
        <v>41474</v>
      </c>
      <c r="S223" t="s">
        <v>34</v>
      </c>
      <c r="T223">
        <v>9</v>
      </c>
      <c r="U223">
        <v>5</v>
      </c>
      <c r="V223">
        <v>9</v>
      </c>
      <c r="W223">
        <v>5</v>
      </c>
      <c r="X223" t="s">
        <v>11022</v>
      </c>
      <c r="Y223" t="s">
        <v>11022</v>
      </c>
      <c r="Z223" t="str">
        <f>_xlfn.XLOOKUP(Employees[[#This Row],[Education]], EdLevel[EducationLevelID], EdLevel[EducationLevel])</f>
        <v xml:space="preserve">Bachelors </v>
      </c>
      <c r="AA223">
        <f>IF(Employees[[#This Row],[Attrition]] = "Yes", 1, 0)</f>
        <v>0</v>
      </c>
      <c r="AB223" t="str" cm="1">
        <f t="array" ref="AB223">_xlfn.IFS(Employees[[#This Row],[Age]]&lt;30, "20-29", Employees[[#This Row],[Age]]&lt;40, "30-39", Employees[[#This Row],[Age]]&lt;50, "40-49", "TRUE", "50+")</f>
        <v>40-49</v>
      </c>
    </row>
    <row r="224" spans="1:28">
      <c r="A224" t="s">
        <v>732</v>
      </c>
      <c r="B224" t="s">
        <v>733</v>
      </c>
      <c r="C224" t="s">
        <v>734</v>
      </c>
      <c r="D224" t="s">
        <v>26</v>
      </c>
      <c r="E224">
        <v>41</v>
      </c>
      <c r="F224" t="s">
        <v>70</v>
      </c>
      <c r="G224" t="s">
        <v>28</v>
      </c>
      <c r="H224">
        <v>34</v>
      </c>
      <c r="I224" t="s">
        <v>65</v>
      </c>
      <c r="J224" t="s">
        <v>30</v>
      </c>
      <c r="K224">
        <v>2</v>
      </c>
      <c r="L224" t="s">
        <v>47</v>
      </c>
      <c r="M224" t="s">
        <v>32</v>
      </c>
      <c r="N224" t="s">
        <v>49</v>
      </c>
      <c r="O224">
        <v>109747</v>
      </c>
      <c r="P224">
        <v>1</v>
      </c>
      <c r="Q224" t="s">
        <v>34</v>
      </c>
      <c r="R224" s="1">
        <v>41475</v>
      </c>
      <c r="S224" t="s">
        <v>34</v>
      </c>
      <c r="T224">
        <v>9</v>
      </c>
      <c r="U224">
        <v>8</v>
      </c>
      <c r="V224">
        <v>9</v>
      </c>
      <c r="W224">
        <v>5</v>
      </c>
      <c r="X224" t="s">
        <v>11021</v>
      </c>
      <c r="Y224" t="s">
        <v>11021</v>
      </c>
      <c r="Z224" t="str">
        <f>_xlfn.XLOOKUP(Employees[[#This Row],[Education]], EdLevel[EducationLevelID], EdLevel[EducationLevel])</f>
        <v xml:space="preserve">High School </v>
      </c>
      <c r="AA224">
        <f>IF(Employees[[#This Row],[Attrition]] = "Yes", 1, 0)</f>
        <v>0</v>
      </c>
      <c r="AB224" t="str" cm="1">
        <f t="array" ref="AB224">_xlfn.IFS(Employees[[#This Row],[Age]]&lt;30, "20-29", Employees[[#This Row],[Age]]&lt;40, "30-39", Employees[[#This Row],[Age]]&lt;50, "40-49", "TRUE", "50+")</f>
        <v>40-49</v>
      </c>
    </row>
    <row r="225" spans="1:28">
      <c r="A225" t="s">
        <v>735</v>
      </c>
      <c r="B225" t="s">
        <v>736</v>
      </c>
      <c r="C225" t="s">
        <v>737</v>
      </c>
      <c r="D225" t="s">
        <v>26</v>
      </c>
      <c r="E225">
        <v>39</v>
      </c>
      <c r="F225" t="s">
        <v>27</v>
      </c>
      <c r="G225" t="s">
        <v>28</v>
      </c>
      <c r="H225">
        <v>15</v>
      </c>
      <c r="I225" t="s">
        <v>39</v>
      </c>
      <c r="J225" t="s">
        <v>66</v>
      </c>
      <c r="K225">
        <v>3</v>
      </c>
      <c r="L225" t="s">
        <v>47</v>
      </c>
      <c r="M225" t="s">
        <v>32</v>
      </c>
      <c r="N225" t="s">
        <v>49</v>
      </c>
      <c r="O225">
        <v>136970</v>
      </c>
      <c r="P225">
        <v>1</v>
      </c>
      <c r="Q225" t="s">
        <v>34</v>
      </c>
      <c r="R225" s="1">
        <v>41483</v>
      </c>
      <c r="S225" t="s">
        <v>34</v>
      </c>
      <c r="T225">
        <v>9</v>
      </c>
      <c r="U225">
        <v>4</v>
      </c>
      <c r="V225">
        <v>8</v>
      </c>
      <c r="W225">
        <v>2</v>
      </c>
      <c r="X225" t="s">
        <v>11022</v>
      </c>
      <c r="Y225" t="s">
        <v>11022</v>
      </c>
      <c r="Z225" t="str">
        <f>_xlfn.XLOOKUP(Employees[[#This Row],[Education]], EdLevel[EducationLevelID], EdLevel[EducationLevel])</f>
        <v xml:space="preserve">Bachelors </v>
      </c>
      <c r="AA225">
        <f>IF(Employees[[#This Row],[Attrition]] = "Yes", 1, 0)</f>
        <v>0</v>
      </c>
      <c r="AB225" t="str" cm="1">
        <f t="array" ref="AB225">_xlfn.IFS(Employees[[#This Row],[Age]]&lt;30, "20-29", Employees[[#This Row],[Age]]&lt;40, "30-39", Employees[[#This Row],[Age]]&lt;50, "40-49", "TRUE", "50+")</f>
        <v>30-39</v>
      </c>
    </row>
    <row r="226" spans="1:28">
      <c r="A226" t="s">
        <v>738</v>
      </c>
      <c r="B226" t="s">
        <v>739</v>
      </c>
      <c r="C226" t="s">
        <v>740</v>
      </c>
      <c r="D226" t="s">
        <v>38</v>
      </c>
      <c r="E226">
        <v>28</v>
      </c>
      <c r="F226" t="s">
        <v>84</v>
      </c>
      <c r="G226" t="s">
        <v>28</v>
      </c>
      <c r="H226">
        <v>28</v>
      </c>
      <c r="I226" t="s">
        <v>65</v>
      </c>
      <c r="J226" t="s">
        <v>66</v>
      </c>
      <c r="K226">
        <v>3</v>
      </c>
      <c r="L226" t="s">
        <v>47</v>
      </c>
      <c r="M226" t="s">
        <v>150</v>
      </c>
      <c r="N226" t="s">
        <v>40</v>
      </c>
      <c r="O226">
        <v>43939</v>
      </c>
      <c r="P226">
        <v>0</v>
      </c>
      <c r="Q226" t="s">
        <v>34</v>
      </c>
      <c r="R226" s="1">
        <v>41484</v>
      </c>
      <c r="S226" t="s">
        <v>41</v>
      </c>
      <c r="T226">
        <v>6</v>
      </c>
      <c r="U226">
        <v>1</v>
      </c>
      <c r="V226">
        <v>4</v>
      </c>
      <c r="W226">
        <v>3</v>
      </c>
      <c r="X226" t="s">
        <v>11022</v>
      </c>
      <c r="Y226" t="s">
        <v>11022</v>
      </c>
      <c r="Z226" t="str">
        <f>_xlfn.XLOOKUP(Employees[[#This Row],[Education]], EdLevel[EducationLevelID], EdLevel[EducationLevel])</f>
        <v xml:space="preserve">Bachelors </v>
      </c>
      <c r="AA226">
        <f>IF(Employees[[#This Row],[Attrition]] = "Yes", 1, 0)</f>
        <v>1</v>
      </c>
      <c r="AB226" t="str" cm="1">
        <f t="array" ref="AB226">_xlfn.IFS(Employees[[#This Row],[Age]]&lt;30, "20-29", Employees[[#This Row],[Age]]&lt;40, "30-39", Employees[[#This Row],[Age]]&lt;50, "40-49", "TRUE", "50+")</f>
        <v>20-29</v>
      </c>
    </row>
    <row r="227" spans="1:28">
      <c r="A227" t="s">
        <v>741</v>
      </c>
      <c r="B227" t="s">
        <v>742</v>
      </c>
      <c r="C227" t="s">
        <v>743</v>
      </c>
      <c r="D227" t="s">
        <v>38</v>
      </c>
      <c r="E227">
        <v>43</v>
      </c>
      <c r="F227" t="s">
        <v>27</v>
      </c>
      <c r="G227" t="s">
        <v>54</v>
      </c>
      <c r="H227">
        <v>38</v>
      </c>
      <c r="I227" t="s">
        <v>39</v>
      </c>
      <c r="J227" t="s">
        <v>30</v>
      </c>
      <c r="K227">
        <v>4</v>
      </c>
      <c r="L227" t="s">
        <v>55</v>
      </c>
      <c r="M227" t="s">
        <v>101</v>
      </c>
      <c r="N227" t="s">
        <v>49</v>
      </c>
      <c r="O227">
        <v>155786</v>
      </c>
      <c r="P227">
        <v>1</v>
      </c>
      <c r="Q227" t="s">
        <v>41</v>
      </c>
      <c r="R227" s="1">
        <v>41484</v>
      </c>
      <c r="S227" t="s">
        <v>34</v>
      </c>
      <c r="T227">
        <v>9</v>
      </c>
      <c r="U227">
        <v>0</v>
      </c>
      <c r="V227">
        <v>7</v>
      </c>
      <c r="W227">
        <v>5</v>
      </c>
      <c r="X227" t="s">
        <v>11023</v>
      </c>
      <c r="Y227" t="s">
        <v>11023</v>
      </c>
      <c r="Z227" t="str">
        <f>_xlfn.XLOOKUP(Employees[[#This Row],[Education]], EdLevel[EducationLevelID], EdLevel[EducationLevel])</f>
        <v xml:space="preserve">Masters </v>
      </c>
      <c r="AA227">
        <f>IF(Employees[[#This Row],[Attrition]] = "Yes", 1, 0)</f>
        <v>0</v>
      </c>
      <c r="AB227" t="str" cm="1">
        <f t="array" ref="AB227">_xlfn.IFS(Employees[[#This Row],[Age]]&lt;30, "20-29", Employees[[#This Row],[Age]]&lt;40, "30-39", Employees[[#This Row],[Age]]&lt;50, "40-49", "TRUE", "50+")</f>
        <v>40-49</v>
      </c>
    </row>
    <row r="228" spans="1:28">
      <c r="A228" t="s">
        <v>744</v>
      </c>
      <c r="B228" t="s">
        <v>745</v>
      </c>
      <c r="C228" t="s">
        <v>746</v>
      </c>
      <c r="D228" t="s">
        <v>26</v>
      </c>
      <c r="E228">
        <v>32</v>
      </c>
      <c r="F228" t="s">
        <v>27</v>
      </c>
      <c r="G228" t="s">
        <v>54</v>
      </c>
      <c r="H228">
        <v>7</v>
      </c>
      <c r="I228" t="s">
        <v>39</v>
      </c>
      <c r="J228" t="s">
        <v>66</v>
      </c>
      <c r="K228">
        <v>4</v>
      </c>
      <c r="L228" t="s">
        <v>55</v>
      </c>
      <c r="M228" t="s">
        <v>101</v>
      </c>
      <c r="N228" t="s">
        <v>33</v>
      </c>
      <c r="O228">
        <v>85568</v>
      </c>
      <c r="P228">
        <v>1</v>
      </c>
      <c r="Q228" t="s">
        <v>34</v>
      </c>
      <c r="R228" s="1">
        <v>41486</v>
      </c>
      <c r="S228" t="s">
        <v>34</v>
      </c>
      <c r="T228">
        <v>9</v>
      </c>
      <c r="U228">
        <v>7</v>
      </c>
      <c r="V228">
        <v>9</v>
      </c>
      <c r="W228">
        <v>1</v>
      </c>
      <c r="X228" t="s">
        <v>11023</v>
      </c>
      <c r="Y228" t="s">
        <v>11023</v>
      </c>
      <c r="Z228" t="str">
        <f>_xlfn.XLOOKUP(Employees[[#This Row],[Education]], EdLevel[EducationLevelID], EdLevel[EducationLevel])</f>
        <v xml:space="preserve">Masters </v>
      </c>
      <c r="AA228">
        <f>IF(Employees[[#This Row],[Attrition]] = "Yes", 1, 0)</f>
        <v>0</v>
      </c>
      <c r="AB228" t="str" cm="1">
        <f t="array" ref="AB228">_xlfn.IFS(Employees[[#This Row],[Age]]&lt;30, "20-29", Employees[[#This Row],[Age]]&lt;40, "30-39", Employees[[#This Row],[Age]]&lt;50, "40-49", "TRUE", "50+")</f>
        <v>30-39</v>
      </c>
    </row>
    <row r="229" spans="1:28">
      <c r="A229" t="s">
        <v>747</v>
      </c>
      <c r="B229" t="s">
        <v>748</v>
      </c>
      <c r="C229" t="s">
        <v>749</v>
      </c>
      <c r="D229" t="s">
        <v>38</v>
      </c>
      <c r="E229">
        <v>34</v>
      </c>
      <c r="F229" t="s">
        <v>70</v>
      </c>
      <c r="G229" t="s">
        <v>54</v>
      </c>
      <c r="H229">
        <v>25</v>
      </c>
      <c r="I229" t="s">
        <v>39</v>
      </c>
      <c r="J229" t="s">
        <v>66</v>
      </c>
      <c r="K229">
        <v>1</v>
      </c>
      <c r="L229" t="s">
        <v>55</v>
      </c>
      <c r="M229" t="s">
        <v>105</v>
      </c>
      <c r="N229" t="s">
        <v>49</v>
      </c>
      <c r="O229">
        <v>238630</v>
      </c>
      <c r="P229">
        <v>1</v>
      </c>
      <c r="Q229" t="s">
        <v>34</v>
      </c>
      <c r="R229" s="1">
        <v>41491</v>
      </c>
      <c r="S229" t="s">
        <v>34</v>
      </c>
      <c r="T229">
        <v>9</v>
      </c>
      <c r="U229">
        <v>0</v>
      </c>
      <c r="V229">
        <v>3</v>
      </c>
      <c r="W229">
        <v>6</v>
      </c>
      <c r="X229" t="s">
        <v>11020</v>
      </c>
      <c r="Y229" t="s">
        <v>11020</v>
      </c>
      <c r="Z229" t="str">
        <f>_xlfn.XLOOKUP(Employees[[#This Row],[Education]], EdLevel[EducationLevelID], EdLevel[EducationLevel])</f>
        <v>No Formal Qualifications</v>
      </c>
      <c r="AA229">
        <f>IF(Employees[[#This Row],[Attrition]] = "Yes", 1, 0)</f>
        <v>0</v>
      </c>
      <c r="AB229" t="str" cm="1">
        <f t="array" ref="AB229">_xlfn.IFS(Employees[[#This Row],[Age]]&lt;30, "20-29", Employees[[#This Row],[Age]]&lt;40, "30-39", Employees[[#This Row],[Age]]&lt;50, "40-49", "TRUE", "50+")</f>
        <v>30-39</v>
      </c>
    </row>
    <row r="230" spans="1:28">
      <c r="A230" t="s">
        <v>750</v>
      </c>
      <c r="B230" t="s">
        <v>751</v>
      </c>
      <c r="C230" t="s">
        <v>752</v>
      </c>
      <c r="D230" t="s">
        <v>53</v>
      </c>
      <c r="E230">
        <v>29</v>
      </c>
      <c r="F230" t="s">
        <v>84</v>
      </c>
      <c r="G230" t="s">
        <v>28</v>
      </c>
      <c r="H230">
        <v>31</v>
      </c>
      <c r="I230" t="s">
        <v>39</v>
      </c>
      <c r="J230" t="s">
        <v>30</v>
      </c>
      <c r="K230">
        <v>4</v>
      </c>
      <c r="L230" t="s">
        <v>31</v>
      </c>
      <c r="M230" t="s">
        <v>32</v>
      </c>
      <c r="N230" t="s">
        <v>49</v>
      </c>
      <c r="O230">
        <v>100925</v>
      </c>
      <c r="P230">
        <v>1</v>
      </c>
      <c r="Q230" t="s">
        <v>41</v>
      </c>
      <c r="R230" s="1">
        <v>41494</v>
      </c>
      <c r="S230" t="s">
        <v>41</v>
      </c>
      <c r="T230">
        <v>3</v>
      </c>
      <c r="U230">
        <v>1</v>
      </c>
      <c r="V230">
        <v>1</v>
      </c>
      <c r="W230">
        <v>1</v>
      </c>
      <c r="X230" t="s">
        <v>11023</v>
      </c>
      <c r="Y230" t="s">
        <v>11023</v>
      </c>
      <c r="Z230" t="str">
        <f>_xlfn.XLOOKUP(Employees[[#This Row],[Education]], EdLevel[EducationLevelID], EdLevel[EducationLevel])</f>
        <v xml:space="preserve">Masters </v>
      </c>
      <c r="AA230">
        <f>IF(Employees[[#This Row],[Attrition]] = "Yes", 1, 0)</f>
        <v>1</v>
      </c>
      <c r="AB230" t="str" cm="1">
        <f t="array" ref="AB230">_xlfn.IFS(Employees[[#This Row],[Age]]&lt;30, "20-29", Employees[[#This Row],[Age]]&lt;40, "30-39", Employees[[#This Row],[Age]]&lt;50, "40-49", "TRUE", "50+")</f>
        <v>20-29</v>
      </c>
    </row>
    <row r="231" spans="1:28">
      <c r="A231" t="s">
        <v>753</v>
      </c>
      <c r="B231" t="s">
        <v>754</v>
      </c>
      <c r="C231" t="s">
        <v>755</v>
      </c>
      <c r="D231" t="s">
        <v>38</v>
      </c>
      <c r="E231">
        <v>30</v>
      </c>
      <c r="F231" t="s">
        <v>70</v>
      </c>
      <c r="G231" t="s">
        <v>54</v>
      </c>
      <c r="H231">
        <v>7</v>
      </c>
      <c r="I231" t="s">
        <v>65</v>
      </c>
      <c r="J231" t="s">
        <v>137</v>
      </c>
      <c r="K231">
        <v>3</v>
      </c>
      <c r="L231" t="s">
        <v>55</v>
      </c>
      <c r="M231" t="s">
        <v>85</v>
      </c>
      <c r="N231" t="s">
        <v>49</v>
      </c>
      <c r="O231">
        <v>138989</v>
      </c>
      <c r="P231">
        <v>1</v>
      </c>
      <c r="Q231" t="s">
        <v>41</v>
      </c>
      <c r="R231" s="1">
        <v>41500</v>
      </c>
      <c r="S231" t="s">
        <v>34</v>
      </c>
      <c r="T231">
        <v>9</v>
      </c>
      <c r="U231">
        <v>2</v>
      </c>
      <c r="V231">
        <v>4</v>
      </c>
      <c r="W231">
        <v>8</v>
      </c>
      <c r="X231" t="s">
        <v>11022</v>
      </c>
      <c r="Y231" t="s">
        <v>11022</v>
      </c>
      <c r="Z231" t="str">
        <f>_xlfn.XLOOKUP(Employees[[#This Row],[Education]], EdLevel[EducationLevelID], EdLevel[EducationLevel])</f>
        <v xml:space="preserve">Bachelors </v>
      </c>
      <c r="AA231">
        <f>IF(Employees[[#This Row],[Attrition]] = "Yes", 1, 0)</f>
        <v>0</v>
      </c>
      <c r="AB231" t="str" cm="1">
        <f t="array" ref="AB231">_xlfn.IFS(Employees[[#This Row],[Age]]&lt;30, "20-29", Employees[[#This Row],[Age]]&lt;40, "30-39", Employees[[#This Row],[Age]]&lt;50, "40-49", "TRUE", "50+")</f>
        <v>30-39</v>
      </c>
    </row>
    <row r="232" spans="1:28">
      <c r="A232" t="s">
        <v>756</v>
      </c>
      <c r="B232" t="s">
        <v>757</v>
      </c>
      <c r="C232" t="s">
        <v>758</v>
      </c>
      <c r="D232" t="s">
        <v>38</v>
      </c>
      <c r="E232">
        <v>42</v>
      </c>
      <c r="F232" t="s">
        <v>27</v>
      </c>
      <c r="G232" t="s">
        <v>54</v>
      </c>
      <c r="H232">
        <v>40</v>
      </c>
      <c r="I232" t="s">
        <v>39</v>
      </c>
      <c r="J232" t="s">
        <v>71</v>
      </c>
      <c r="K232">
        <v>4</v>
      </c>
      <c r="L232" t="s">
        <v>55</v>
      </c>
      <c r="M232" t="s">
        <v>85</v>
      </c>
      <c r="N232" t="s">
        <v>33</v>
      </c>
      <c r="O232">
        <v>142075</v>
      </c>
      <c r="P232">
        <v>1</v>
      </c>
      <c r="Q232" t="s">
        <v>34</v>
      </c>
      <c r="R232" s="1">
        <v>41501</v>
      </c>
      <c r="S232" t="s">
        <v>34</v>
      </c>
      <c r="T232">
        <v>9</v>
      </c>
      <c r="U232">
        <v>9</v>
      </c>
      <c r="V232">
        <v>9</v>
      </c>
      <c r="W232">
        <v>4</v>
      </c>
      <c r="X232" t="s">
        <v>11023</v>
      </c>
      <c r="Y232" t="s">
        <v>11023</v>
      </c>
      <c r="Z232" t="str">
        <f>_xlfn.XLOOKUP(Employees[[#This Row],[Education]], EdLevel[EducationLevelID], EdLevel[EducationLevel])</f>
        <v xml:space="preserve">Masters </v>
      </c>
      <c r="AA232">
        <f>IF(Employees[[#This Row],[Attrition]] = "Yes", 1, 0)</f>
        <v>0</v>
      </c>
      <c r="AB232" t="str" cm="1">
        <f t="array" ref="AB232">_xlfn.IFS(Employees[[#This Row],[Age]]&lt;30, "20-29", Employees[[#This Row],[Age]]&lt;40, "30-39", Employees[[#This Row],[Age]]&lt;50, "40-49", "TRUE", "50+")</f>
        <v>40-49</v>
      </c>
    </row>
    <row r="233" spans="1:28">
      <c r="A233" t="s">
        <v>759</v>
      </c>
      <c r="B233" t="s">
        <v>760</v>
      </c>
      <c r="C233" t="s">
        <v>761</v>
      </c>
      <c r="D233" t="s">
        <v>26</v>
      </c>
      <c r="E233">
        <v>29</v>
      </c>
      <c r="F233" t="s">
        <v>27</v>
      </c>
      <c r="G233" t="s">
        <v>54</v>
      </c>
      <c r="H233">
        <v>45</v>
      </c>
      <c r="I233" t="s">
        <v>39</v>
      </c>
      <c r="J233" t="s">
        <v>30</v>
      </c>
      <c r="K233">
        <v>3</v>
      </c>
      <c r="L233" t="s">
        <v>55</v>
      </c>
      <c r="M233" t="s">
        <v>93</v>
      </c>
      <c r="N233" t="s">
        <v>49</v>
      </c>
      <c r="O233">
        <v>207952</v>
      </c>
      <c r="P233">
        <v>1</v>
      </c>
      <c r="Q233" t="s">
        <v>41</v>
      </c>
      <c r="R233" s="1">
        <v>41503</v>
      </c>
      <c r="S233" t="s">
        <v>34</v>
      </c>
      <c r="T233">
        <v>9</v>
      </c>
      <c r="U233">
        <v>9</v>
      </c>
      <c r="V233">
        <v>9</v>
      </c>
      <c r="W233">
        <v>7</v>
      </c>
      <c r="X233" t="s">
        <v>11022</v>
      </c>
      <c r="Y233" t="s">
        <v>11022</v>
      </c>
      <c r="Z233" t="str">
        <f>_xlfn.XLOOKUP(Employees[[#This Row],[Education]], EdLevel[EducationLevelID], EdLevel[EducationLevel])</f>
        <v xml:space="preserve">Bachelors </v>
      </c>
      <c r="AA233">
        <f>IF(Employees[[#This Row],[Attrition]] = "Yes", 1, 0)</f>
        <v>0</v>
      </c>
      <c r="AB233" t="str" cm="1">
        <f t="array" ref="AB233">_xlfn.IFS(Employees[[#This Row],[Age]]&lt;30, "20-29", Employees[[#This Row],[Age]]&lt;40, "30-39", Employees[[#This Row],[Age]]&lt;50, "40-49", "TRUE", "50+")</f>
        <v>20-29</v>
      </c>
    </row>
    <row r="234" spans="1:28">
      <c r="A234" t="s">
        <v>762</v>
      </c>
      <c r="B234" t="s">
        <v>763</v>
      </c>
      <c r="C234" t="s">
        <v>764</v>
      </c>
      <c r="D234" t="s">
        <v>26</v>
      </c>
      <c r="E234">
        <v>43</v>
      </c>
      <c r="F234" t="s">
        <v>27</v>
      </c>
      <c r="G234" t="s">
        <v>28</v>
      </c>
      <c r="H234">
        <v>38</v>
      </c>
      <c r="I234" t="s">
        <v>65</v>
      </c>
      <c r="J234" t="s">
        <v>137</v>
      </c>
      <c r="K234">
        <v>2</v>
      </c>
      <c r="L234" t="s">
        <v>31</v>
      </c>
      <c r="M234" t="s">
        <v>32</v>
      </c>
      <c r="N234" t="s">
        <v>49</v>
      </c>
      <c r="O234">
        <v>121510</v>
      </c>
      <c r="P234">
        <v>1</v>
      </c>
      <c r="Q234" t="s">
        <v>34</v>
      </c>
      <c r="R234" s="1">
        <v>41504</v>
      </c>
      <c r="S234" t="s">
        <v>34</v>
      </c>
      <c r="T234">
        <v>9</v>
      </c>
      <c r="U234">
        <v>8</v>
      </c>
      <c r="V234">
        <v>8</v>
      </c>
      <c r="W234">
        <v>5</v>
      </c>
      <c r="X234" t="s">
        <v>11021</v>
      </c>
      <c r="Y234" t="s">
        <v>11021</v>
      </c>
      <c r="Z234" t="str">
        <f>_xlfn.XLOOKUP(Employees[[#This Row],[Education]], EdLevel[EducationLevelID], EdLevel[EducationLevel])</f>
        <v xml:space="preserve">High School </v>
      </c>
      <c r="AA234">
        <f>IF(Employees[[#This Row],[Attrition]] = "Yes", 1, 0)</f>
        <v>0</v>
      </c>
      <c r="AB234" t="str" cm="1">
        <f t="array" ref="AB234">_xlfn.IFS(Employees[[#This Row],[Age]]&lt;30, "20-29", Employees[[#This Row],[Age]]&lt;40, "30-39", Employees[[#This Row],[Age]]&lt;50, "40-49", "TRUE", "50+")</f>
        <v>40-49</v>
      </c>
    </row>
    <row r="235" spans="1:28">
      <c r="A235" t="s">
        <v>765</v>
      </c>
      <c r="B235" t="s">
        <v>766</v>
      </c>
      <c r="C235" t="s">
        <v>767</v>
      </c>
      <c r="D235" t="s">
        <v>38</v>
      </c>
      <c r="E235">
        <v>40</v>
      </c>
      <c r="F235" t="s">
        <v>84</v>
      </c>
      <c r="G235" t="s">
        <v>54</v>
      </c>
      <c r="H235">
        <v>14</v>
      </c>
      <c r="I235" t="s">
        <v>39</v>
      </c>
      <c r="J235" t="s">
        <v>46</v>
      </c>
      <c r="K235">
        <v>2</v>
      </c>
      <c r="L235" t="s">
        <v>72</v>
      </c>
      <c r="M235" t="s">
        <v>85</v>
      </c>
      <c r="N235" t="s">
        <v>49</v>
      </c>
      <c r="O235">
        <v>43854</v>
      </c>
      <c r="P235">
        <v>1</v>
      </c>
      <c r="Q235" t="s">
        <v>34</v>
      </c>
      <c r="R235" s="1">
        <v>41505</v>
      </c>
      <c r="S235" t="s">
        <v>34</v>
      </c>
      <c r="T235">
        <v>9</v>
      </c>
      <c r="U235">
        <v>4</v>
      </c>
      <c r="V235">
        <v>9</v>
      </c>
      <c r="W235">
        <v>2</v>
      </c>
      <c r="X235" t="s">
        <v>11021</v>
      </c>
      <c r="Y235" t="s">
        <v>11021</v>
      </c>
      <c r="Z235" t="str">
        <f>_xlfn.XLOOKUP(Employees[[#This Row],[Education]], EdLevel[EducationLevelID], EdLevel[EducationLevel])</f>
        <v xml:space="preserve">High School </v>
      </c>
      <c r="AA235">
        <f>IF(Employees[[#This Row],[Attrition]] = "Yes", 1, 0)</f>
        <v>0</v>
      </c>
      <c r="AB235" t="str" cm="1">
        <f t="array" ref="AB235">_xlfn.IFS(Employees[[#This Row],[Age]]&lt;30, "20-29", Employees[[#This Row],[Age]]&lt;40, "30-39", Employees[[#This Row],[Age]]&lt;50, "40-49", "TRUE", "50+")</f>
        <v>40-49</v>
      </c>
    </row>
    <row r="236" spans="1:28">
      <c r="A236" t="s">
        <v>768</v>
      </c>
      <c r="B236" t="s">
        <v>769</v>
      </c>
      <c r="C236" t="s">
        <v>770</v>
      </c>
      <c r="D236" t="s">
        <v>53</v>
      </c>
      <c r="E236">
        <v>41</v>
      </c>
      <c r="F236" t="s">
        <v>27</v>
      </c>
      <c r="G236" t="s">
        <v>54</v>
      </c>
      <c r="H236">
        <v>11</v>
      </c>
      <c r="I236" t="s">
        <v>39</v>
      </c>
      <c r="J236" t="s">
        <v>71</v>
      </c>
      <c r="K236">
        <v>5</v>
      </c>
      <c r="L236" t="s">
        <v>72</v>
      </c>
      <c r="M236" t="s">
        <v>56</v>
      </c>
      <c r="N236" t="s">
        <v>33</v>
      </c>
      <c r="O236">
        <v>372980</v>
      </c>
      <c r="P236">
        <v>1</v>
      </c>
      <c r="Q236" t="s">
        <v>34</v>
      </c>
      <c r="R236" s="1">
        <v>41508</v>
      </c>
      <c r="S236" t="s">
        <v>34</v>
      </c>
      <c r="T236">
        <v>9</v>
      </c>
      <c r="U236">
        <v>1</v>
      </c>
      <c r="V236">
        <v>2</v>
      </c>
      <c r="W236">
        <v>3</v>
      </c>
      <c r="X236" t="s">
        <v>11024</v>
      </c>
      <c r="Y236" t="s">
        <v>11024</v>
      </c>
      <c r="Z236" t="str">
        <f>_xlfn.XLOOKUP(Employees[[#This Row],[Education]], EdLevel[EducationLevelID], EdLevel[EducationLevel])</f>
        <v>Doctorate</v>
      </c>
      <c r="AA236">
        <f>IF(Employees[[#This Row],[Attrition]] = "Yes", 1, 0)</f>
        <v>0</v>
      </c>
      <c r="AB236" t="str" cm="1">
        <f t="array" ref="AB236">_xlfn.IFS(Employees[[#This Row],[Age]]&lt;30, "20-29", Employees[[#This Row],[Age]]&lt;40, "30-39", Employees[[#This Row],[Age]]&lt;50, "40-49", "TRUE", "50+")</f>
        <v>40-49</v>
      </c>
    </row>
    <row r="237" spans="1:28">
      <c r="A237" t="s">
        <v>771</v>
      </c>
      <c r="B237" t="s">
        <v>772</v>
      </c>
      <c r="C237" t="s">
        <v>773</v>
      </c>
      <c r="D237" t="s">
        <v>38</v>
      </c>
      <c r="E237">
        <v>30</v>
      </c>
      <c r="F237" t="s">
        <v>84</v>
      </c>
      <c r="G237" t="s">
        <v>54</v>
      </c>
      <c r="H237">
        <v>13</v>
      </c>
      <c r="I237" t="s">
        <v>39</v>
      </c>
      <c r="J237" t="s">
        <v>66</v>
      </c>
      <c r="K237">
        <v>4</v>
      </c>
      <c r="L237" t="s">
        <v>55</v>
      </c>
      <c r="M237" t="s">
        <v>101</v>
      </c>
      <c r="N237" t="s">
        <v>33</v>
      </c>
      <c r="O237">
        <v>40321</v>
      </c>
      <c r="P237">
        <v>1</v>
      </c>
      <c r="Q237" t="s">
        <v>41</v>
      </c>
      <c r="R237" s="1">
        <v>41512</v>
      </c>
      <c r="S237" t="s">
        <v>41</v>
      </c>
      <c r="T237">
        <v>5</v>
      </c>
      <c r="U237">
        <v>0</v>
      </c>
      <c r="V237">
        <v>0</v>
      </c>
      <c r="W237">
        <v>3</v>
      </c>
      <c r="X237" t="s">
        <v>11023</v>
      </c>
      <c r="Y237" t="s">
        <v>11023</v>
      </c>
      <c r="Z237" t="str">
        <f>_xlfn.XLOOKUP(Employees[[#This Row],[Education]], EdLevel[EducationLevelID], EdLevel[EducationLevel])</f>
        <v xml:space="preserve">Masters </v>
      </c>
      <c r="AA237">
        <f>IF(Employees[[#This Row],[Attrition]] = "Yes", 1, 0)</f>
        <v>1</v>
      </c>
      <c r="AB237" t="str" cm="1">
        <f t="array" ref="AB237">_xlfn.IFS(Employees[[#This Row],[Age]]&lt;30, "20-29", Employees[[#This Row],[Age]]&lt;40, "30-39", Employees[[#This Row],[Age]]&lt;50, "40-49", "TRUE", "50+")</f>
        <v>30-39</v>
      </c>
    </row>
    <row r="238" spans="1:28">
      <c r="A238" t="s">
        <v>774</v>
      </c>
      <c r="B238" t="s">
        <v>775</v>
      </c>
      <c r="C238" t="s">
        <v>776</v>
      </c>
      <c r="D238" t="s">
        <v>38</v>
      </c>
      <c r="E238">
        <v>37</v>
      </c>
      <c r="F238" t="s">
        <v>27</v>
      </c>
      <c r="G238" t="s">
        <v>54</v>
      </c>
      <c r="H238">
        <v>22</v>
      </c>
      <c r="I238" t="s">
        <v>65</v>
      </c>
      <c r="J238" t="s">
        <v>30</v>
      </c>
      <c r="K238">
        <v>2</v>
      </c>
      <c r="L238" t="s">
        <v>72</v>
      </c>
      <c r="M238" t="s">
        <v>101</v>
      </c>
      <c r="N238" t="s">
        <v>40</v>
      </c>
      <c r="O238">
        <v>45927</v>
      </c>
      <c r="P238">
        <v>0</v>
      </c>
      <c r="Q238" t="s">
        <v>34</v>
      </c>
      <c r="R238" s="1">
        <v>41512</v>
      </c>
      <c r="S238" t="s">
        <v>34</v>
      </c>
      <c r="T238">
        <v>9</v>
      </c>
      <c r="U238">
        <v>5</v>
      </c>
      <c r="V238">
        <v>6</v>
      </c>
      <c r="W238">
        <v>6</v>
      </c>
      <c r="X238" t="s">
        <v>11021</v>
      </c>
      <c r="Y238" t="s">
        <v>11021</v>
      </c>
      <c r="Z238" t="str">
        <f>_xlfn.XLOOKUP(Employees[[#This Row],[Education]], EdLevel[EducationLevelID], EdLevel[EducationLevel])</f>
        <v xml:space="preserve">High School </v>
      </c>
      <c r="AA238">
        <f>IF(Employees[[#This Row],[Attrition]] = "Yes", 1, 0)</f>
        <v>0</v>
      </c>
      <c r="AB238" t="str" cm="1">
        <f t="array" ref="AB238">_xlfn.IFS(Employees[[#This Row],[Age]]&lt;30, "20-29", Employees[[#This Row],[Age]]&lt;40, "30-39", Employees[[#This Row],[Age]]&lt;50, "40-49", "TRUE", "50+")</f>
        <v>30-39</v>
      </c>
    </row>
    <row r="239" spans="1:28">
      <c r="A239" t="s">
        <v>777</v>
      </c>
      <c r="B239" t="s">
        <v>429</v>
      </c>
      <c r="C239" t="s">
        <v>778</v>
      </c>
      <c r="D239" t="s">
        <v>26</v>
      </c>
      <c r="E239">
        <v>28</v>
      </c>
      <c r="F239" t="s">
        <v>27</v>
      </c>
      <c r="G239" t="s">
        <v>28</v>
      </c>
      <c r="H239">
        <v>18</v>
      </c>
      <c r="I239" t="s">
        <v>29</v>
      </c>
      <c r="J239" t="s">
        <v>30</v>
      </c>
      <c r="K239">
        <v>4</v>
      </c>
      <c r="L239" t="s">
        <v>31</v>
      </c>
      <c r="M239" t="s">
        <v>32</v>
      </c>
      <c r="N239" t="s">
        <v>40</v>
      </c>
      <c r="O239">
        <v>134427</v>
      </c>
      <c r="P239">
        <v>0</v>
      </c>
      <c r="Q239" t="s">
        <v>41</v>
      </c>
      <c r="R239" s="1">
        <v>41514</v>
      </c>
      <c r="S239" t="s">
        <v>34</v>
      </c>
      <c r="T239">
        <v>9</v>
      </c>
      <c r="U239">
        <v>9</v>
      </c>
      <c r="V239">
        <v>9</v>
      </c>
      <c r="W239">
        <v>2</v>
      </c>
      <c r="X239" t="s">
        <v>11023</v>
      </c>
      <c r="Y239" t="s">
        <v>11023</v>
      </c>
      <c r="Z239" t="str">
        <f>_xlfn.XLOOKUP(Employees[[#This Row],[Education]], EdLevel[EducationLevelID], EdLevel[EducationLevel])</f>
        <v xml:space="preserve">Masters </v>
      </c>
      <c r="AA239">
        <f>IF(Employees[[#This Row],[Attrition]] = "Yes", 1, 0)</f>
        <v>0</v>
      </c>
      <c r="AB239" t="str" cm="1">
        <f t="array" ref="AB239">_xlfn.IFS(Employees[[#This Row],[Age]]&lt;30, "20-29", Employees[[#This Row],[Age]]&lt;40, "30-39", Employees[[#This Row],[Age]]&lt;50, "40-49", "TRUE", "50+")</f>
        <v>20-29</v>
      </c>
    </row>
    <row r="240" spans="1:28">
      <c r="A240" t="s">
        <v>779</v>
      </c>
      <c r="B240" t="s">
        <v>780</v>
      </c>
      <c r="C240" t="s">
        <v>781</v>
      </c>
      <c r="D240" t="s">
        <v>26</v>
      </c>
      <c r="E240">
        <v>28</v>
      </c>
      <c r="F240" t="s">
        <v>27</v>
      </c>
      <c r="G240" t="s">
        <v>54</v>
      </c>
      <c r="H240">
        <v>24</v>
      </c>
      <c r="I240" t="s">
        <v>39</v>
      </c>
      <c r="J240" t="s">
        <v>66</v>
      </c>
      <c r="K240">
        <v>3</v>
      </c>
      <c r="L240" t="s">
        <v>72</v>
      </c>
      <c r="M240" t="s">
        <v>85</v>
      </c>
      <c r="N240" t="s">
        <v>49</v>
      </c>
      <c r="O240">
        <v>46313</v>
      </c>
      <c r="P240">
        <v>1</v>
      </c>
      <c r="Q240" t="s">
        <v>41</v>
      </c>
      <c r="R240" s="1">
        <v>41516</v>
      </c>
      <c r="S240" t="s">
        <v>41</v>
      </c>
      <c r="T240">
        <v>1</v>
      </c>
      <c r="U240">
        <v>1</v>
      </c>
      <c r="V240">
        <v>1</v>
      </c>
      <c r="W240">
        <v>0</v>
      </c>
      <c r="X240" t="s">
        <v>11022</v>
      </c>
      <c r="Y240" t="s">
        <v>11022</v>
      </c>
      <c r="Z240" t="str">
        <f>_xlfn.XLOOKUP(Employees[[#This Row],[Education]], EdLevel[EducationLevelID], EdLevel[EducationLevel])</f>
        <v xml:space="preserve">Bachelors </v>
      </c>
      <c r="AA240">
        <f>IF(Employees[[#This Row],[Attrition]] = "Yes", 1, 0)</f>
        <v>1</v>
      </c>
      <c r="AB240" t="str" cm="1">
        <f t="array" ref="AB240">_xlfn.IFS(Employees[[#This Row],[Age]]&lt;30, "20-29", Employees[[#This Row],[Age]]&lt;40, "30-39", Employees[[#This Row],[Age]]&lt;50, "40-49", "TRUE", "50+")</f>
        <v>20-29</v>
      </c>
    </row>
    <row r="241" spans="1:28">
      <c r="A241" t="s">
        <v>782</v>
      </c>
      <c r="B241" t="s">
        <v>783</v>
      </c>
      <c r="C241" t="s">
        <v>784</v>
      </c>
      <c r="D241" t="s">
        <v>38</v>
      </c>
      <c r="E241">
        <v>37</v>
      </c>
      <c r="F241" t="s">
        <v>27</v>
      </c>
      <c r="G241" t="s">
        <v>54</v>
      </c>
      <c r="H241">
        <v>29</v>
      </c>
      <c r="I241" t="s">
        <v>29</v>
      </c>
      <c r="J241" t="s">
        <v>30</v>
      </c>
      <c r="K241">
        <v>3</v>
      </c>
      <c r="L241" t="s">
        <v>55</v>
      </c>
      <c r="M241" t="s">
        <v>182</v>
      </c>
      <c r="N241" t="s">
        <v>49</v>
      </c>
      <c r="O241">
        <v>513608</v>
      </c>
      <c r="P241">
        <v>0</v>
      </c>
      <c r="Q241" t="s">
        <v>34</v>
      </c>
      <c r="R241" s="1">
        <v>41520</v>
      </c>
      <c r="S241" t="s">
        <v>34</v>
      </c>
      <c r="T241">
        <v>9</v>
      </c>
      <c r="U241">
        <v>4</v>
      </c>
      <c r="V241">
        <v>7</v>
      </c>
      <c r="W241">
        <v>3</v>
      </c>
      <c r="X241" t="s">
        <v>11022</v>
      </c>
      <c r="Y241" t="s">
        <v>11022</v>
      </c>
      <c r="Z241" t="str">
        <f>_xlfn.XLOOKUP(Employees[[#This Row],[Education]], EdLevel[EducationLevelID], EdLevel[EducationLevel])</f>
        <v xml:space="preserve">Bachelors </v>
      </c>
      <c r="AA241">
        <f>IF(Employees[[#This Row],[Attrition]] = "Yes", 1, 0)</f>
        <v>0</v>
      </c>
      <c r="AB241" t="str" cm="1">
        <f t="array" ref="AB241">_xlfn.IFS(Employees[[#This Row],[Age]]&lt;30, "20-29", Employees[[#This Row],[Age]]&lt;40, "30-39", Employees[[#This Row],[Age]]&lt;50, "40-49", "TRUE", "50+")</f>
        <v>30-39</v>
      </c>
    </row>
    <row r="242" spans="1:28">
      <c r="A242" t="s">
        <v>785</v>
      </c>
      <c r="B242" t="s">
        <v>786</v>
      </c>
      <c r="C242" t="s">
        <v>787</v>
      </c>
      <c r="D242" t="s">
        <v>38</v>
      </c>
      <c r="E242">
        <v>43</v>
      </c>
      <c r="F242" t="s">
        <v>27</v>
      </c>
      <c r="G242" t="s">
        <v>28</v>
      </c>
      <c r="H242">
        <v>3</v>
      </c>
      <c r="I242" t="s">
        <v>29</v>
      </c>
      <c r="J242" t="s">
        <v>30</v>
      </c>
      <c r="K242">
        <v>3</v>
      </c>
      <c r="L242" t="s">
        <v>31</v>
      </c>
      <c r="M242" t="s">
        <v>97</v>
      </c>
      <c r="N242" t="s">
        <v>49</v>
      </c>
      <c r="O242">
        <v>429939</v>
      </c>
      <c r="P242">
        <v>1</v>
      </c>
      <c r="Q242" t="s">
        <v>41</v>
      </c>
      <c r="R242" s="1">
        <v>41522</v>
      </c>
      <c r="S242" t="s">
        <v>34</v>
      </c>
      <c r="T242">
        <v>9</v>
      </c>
      <c r="U242">
        <v>3</v>
      </c>
      <c r="V242">
        <v>3</v>
      </c>
      <c r="W242">
        <v>7</v>
      </c>
      <c r="X242" t="s">
        <v>11022</v>
      </c>
      <c r="Y242" t="s">
        <v>11022</v>
      </c>
      <c r="Z242" t="str">
        <f>_xlfn.XLOOKUP(Employees[[#This Row],[Education]], EdLevel[EducationLevelID], EdLevel[EducationLevel])</f>
        <v xml:space="preserve">Bachelors </v>
      </c>
      <c r="AA242">
        <f>IF(Employees[[#This Row],[Attrition]] = "Yes", 1, 0)</f>
        <v>0</v>
      </c>
      <c r="AB242" t="str" cm="1">
        <f t="array" ref="AB242">_xlfn.IFS(Employees[[#This Row],[Age]]&lt;30, "20-29", Employees[[#This Row],[Age]]&lt;40, "30-39", Employees[[#This Row],[Age]]&lt;50, "40-49", "TRUE", "50+")</f>
        <v>40-49</v>
      </c>
    </row>
    <row r="243" spans="1:28">
      <c r="A243" t="s">
        <v>788</v>
      </c>
      <c r="B243" t="s">
        <v>789</v>
      </c>
      <c r="C243" t="s">
        <v>790</v>
      </c>
      <c r="D243" t="s">
        <v>38</v>
      </c>
      <c r="E243">
        <v>31</v>
      </c>
      <c r="F243" t="s">
        <v>27</v>
      </c>
      <c r="G243" t="s">
        <v>54</v>
      </c>
      <c r="H243">
        <v>45</v>
      </c>
      <c r="I243" t="s">
        <v>29</v>
      </c>
      <c r="J243" t="s">
        <v>137</v>
      </c>
      <c r="K243">
        <v>3</v>
      </c>
      <c r="L243" t="s">
        <v>77</v>
      </c>
      <c r="M243" t="s">
        <v>93</v>
      </c>
      <c r="N243" t="s">
        <v>49</v>
      </c>
      <c r="O243">
        <v>195261</v>
      </c>
      <c r="P243">
        <v>1</v>
      </c>
      <c r="Q243" t="s">
        <v>34</v>
      </c>
      <c r="R243" s="1">
        <v>41526</v>
      </c>
      <c r="S243" t="s">
        <v>34</v>
      </c>
      <c r="T243">
        <v>9</v>
      </c>
      <c r="U243">
        <v>3</v>
      </c>
      <c r="V243">
        <v>4</v>
      </c>
      <c r="W243">
        <v>5</v>
      </c>
      <c r="X243" t="s">
        <v>11022</v>
      </c>
      <c r="Y243" t="s">
        <v>11022</v>
      </c>
      <c r="Z243" t="str">
        <f>_xlfn.XLOOKUP(Employees[[#This Row],[Education]], EdLevel[EducationLevelID], EdLevel[EducationLevel])</f>
        <v xml:space="preserve">Bachelors </v>
      </c>
      <c r="AA243">
        <f>IF(Employees[[#This Row],[Attrition]] = "Yes", 1, 0)</f>
        <v>0</v>
      </c>
      <c r="AB243" t="str" cm="1">
        <f t="array" ref="AB243">_xlfn.IFS(Employees[[#This Row],[Age]]&lt;30, "20-29", Employees[[#This Row],[Age]]&lt;40, "30-39", Employees[[#This Row],[Age]]&lt;50, "40-49", "TRUE", "50+")</f>
        <v>30-39</v>
      </c>
    </row>
    <row r="244" spans="1:28">
      <c r="A244" t="s">
        <v>791</v>
      </c>
      <c r="B244" t="s">
        <v>792</v>
      </c>
      <c r="C244" t="s">
        <v>793</v>
      </c>
      <c r="D244" t="s">
        <v>38</v>
      </c>
      <c r="E244">
        <v>34</v>
      </c>
      <c r="F244" t="s">
        <v>84</v>
      </c>
      <c r="G244" t="s">
        <v>54</v>
      </c>
      <c r="H244">
        <v>25</v>
      </c>
      <c r="I244" t="s">
        <v>65</v>
      </c>
      <c r="J244" t="s">
        <v>46</v>
      </c>
      <c r="K244">
        <v>2</v>
      </c>
      <c r="L244" t="s">
        <v>77</v>
      </c>
      <c r="M244" t="s">
        <v>85</v>
      </c>
      <c r="N244" t="s">
        <v>49</v>
      </c>
      <c r="O244">
        <v>39015</v>
      </c>
      <c r="P244">
        <v>1</v>
      </c>
      <c r="Q244" t="s">
        <v>34</v>
      </c>
      <c r="R244" s="1">
        <v>41532</v>
      </c>
      <c r="S244" t="s">
        <v>34</v>
      </c>
      <c r="T244">
        <v>9</v>
      </c>
      <c r="U244">
        <v>5</v>
      </c>
      <c r="V244">
        <v>6</v>
      </c>
      <c r="W244">
        <v>4</v>
      </c>
      <c r="X244" t="s">
        <v>11021</v>
      </c>
      <c r="Y244" t="s">
        <v>11021</v>
      </c>
      <c r="Z244" t="str">
        <f>_xlfn.XLOOKUP(Employees[[#This Row],[Education]], EdLevel[EducationLevelID], EdLevel[EducationLevel])</f>
        <v xml:space="preserve">High School </v>
      </c>
      <c r="AA244">
        <f>IF(Employees[[#This Row],[Attrition]] = "Yes", 1, 0)</f>
        <v>0</v>
      </c>
      <c r="AB244" t="str" cm="1">
        <f t="array" ref="AB244">_xlfn.IFS(Employees[[#This Row],[Age]]&lt;30, "20-29", Employees[[#This Row],[Age]]&lt;40, "30-39", Employees[[#This Row],[Age]]&lt;50, "40-49", "TRUE", "50+")</f>
        <v>30-39</v>
      </c>
    </row>
    <row r="245" spans="1:28">
      <c r="A245" t="s">
        <v>794</v>
      </c>
      <c r="B245" t="s">
        <v>795</v>
      </c>
      <c r="C245" t="s">
        <v>796</v>
      </c>
      <c r="D245" t="s">
        <v>26</v>
      </c>
      <c r="E245">
        <v>35</v>
      </c>
      <c r="F245" t="s">
        <v>27</v>
      </c>
      <c r="G245" t="s">
        <v>45</v>
      </c>
      <c r="H245">
        <v>18</v>
      </c>
      <c r="I245" t="s">
        <v>39</v>
      </c>
      <c r="J245" t="s">
        <v>46</v>
      </c>
      <c r="K245">
        <v>4</v>
      </c>
      <c r="L245" t="s">
        <v>47</v>
      </c>
      <c r="M245" t="s">
        <v>207</v>
      </c>
      <c r="N245" t="s">
        <v>40</v>
      </c>
      <c r="O245">
        <v>132563</v>
      </c>
      <c r="P245">
        <v>0</v>
      </c>
      <c r="Q245" t="s">
        <v>41</v>
      </c>
      <c r="R245" s="1">
        <v>41539</v>
      </c>
      <c r="S245" t="s">
        <v>34</v>
      </c>
      <c r="T245">
        <v>9</v>
      </c>
      <c r="U245">
        <v>1</v>
      </c>
      <c r="V245">
        <v>6</v>
      </c>
      <c r="W245">
        <v>9</v>
      </c>
      <c r="X245" t="s">
        <v>11023</v>
      </c>
      <c r="Y245" t="s">
        <v>11023</v>
      </c>
      <c r="Z245" t="str">
        <f>_xlfn.XLOOKUP(Employees[[#This Row],[Education]], EdLevel[EducationLevelID], EdLevel[EducationLevel])</f>
        <v xml:space="preserve">Masters </v>
      </c>
      <c r="AA245">
        <f>IF(Employees[[#This Row],[Attrition]] = "Yes", 1, 0)</f>
        <v>0</v>
      </c>
      <c r="AB245" t="str" cm="1">
        <f t="array" ref="AB245">_xlfn.IFS(Employees[[#This Row],[Age]]&lt;30, "20-29", Employees[[#This Row],[Age]]&lt;40, "30-39", Employees[[#This Row],[Age]]&lt;50, "40-49", "TRUE", "50+")</f>
        <v>30-39</v>
      </c>
    </row>
    <row r="246" spans="1:28">
      <c r="A246" t="s">
        <v>797</v>
      </c>
      <c r="B246" t="s">
        <v>798</v>
      </c>
      <c r="C246" t="s">
        <v>799</v>
      </c>
      <c r="D246" t="s">
        <v>53</v>
      </c>
      <c r="E246">
        <v>33</v>
      </c>
      <c r="F246" t="s">
        <v>27</v>
      </c>
      <c r="G246" t="s">
        <v>54</v>
      </c>
      <c r="H246">
        <v>26</v>
      </c>
      <c r="I246" t="s">
        <v>39</v>
      </c>
      <c r="J246" t="s">
        <v>30</v>
      </c>
      <c r="K246">
        <v>3</v>
      </c>
      <c r="L246" t="s">
        <v>72</v>
      </c>
      <c r="M246" t="s">
        <v>56</v>
      </c>
      <c r="N246" t="s">
        <v>40</v>
      </c>
      <c r="O246">
        <v>267009</v>
      </c>
      <c r="P246">
        <v>0</v>
      </c>
      <c r="Q246" t="s">
        <v>34</v>
      </c>
      <c r="R246" s="1">
        <v>41540</v>
      </c>
      <c r="S246" t="s">
        <v>34</v>
      </c>
      <c r="T246">
        <v>9</v>
      </c>
      <c r="U246">
        <v>0</v>
      </c>
      <c r="V246">
        <v>1</v>
      </c>
      <c r="W246">
        <v>7</v>
      </c>
      <c r="X246" t="s">
        <v>11022</v>
      </c>
      <c r="Y246" t="s">
        <v>11022</v>
      </c>
      <c r="Z246" t="str">
        <f>_xlfn.XLOOKUP(Employees[[#This Row],[Education]], EdLevel[EducationLevelID], EdLevel[EducationLevel])</f>
        <v xml:space="preserve">Bachelors </v>
      </c>
      <c r="AA246">
        <f>IF(Employees[[#This Row],[Attrition]] = "Yes", 1, 0)</f>
        <v>0</v>
      </c>
      <c r="AB246" t="str" cm="1">
        <f t="array" ref="AB246">_xlfn.IFS(Employees[[#This Row],[Age]]&lt;30, "20-29", Employees[[#This Row],[Age]]&lt;40, "30-39", Employees[[#This Row],[Age]]&lt;50, "40-49", "TRUE", "50+")</f>
        <v>30-39</v>
      </c>
    </row>
    <row r="247" spans="1:28">
      <c r="A247" t="s">
        <v>800</v>
      </c>
      <c r="B247" t="s">
        <v>801</v>
      </c>
      <c r="C247" t="s">
        <v>802</v>
      </c>
      <c r="D247" t="s">
        <v>26</v>
      </c>
      <c r="E247">
        <v>32</v>
      </c>
      <c r="F247" t="s">
        <v>27</v>
      </c>
      <c r="G247" t="s">
        <v>28</v>
      </c>
      <c r="H247">
        <v>29</v>
      </c>
      <c r="I247" t="s">
        <v>39</v>
      </c>
      <c r="J247" t="s">
        <v>30</v>
      </c>
      <c r="K247">
        <v>4</v>
      </c>
      <c r="L247" t="s">
        <v>121</v>
      </c>
      <c r="M247" t="s">
        <v>32</v>
      </c>
      <c r="N247" t="s">
        <v>33</v>
      </c>
      <c r="O247">
        <v>68043</v>
      </c>
      <c r="P247">
        <v>0</v>
      </c>
      <c r="Q247" t="s">
        <v>34</v>
      </c>
      <c r="R247" s="1">
        <v>41542</v>
      </c>
      <c r="S247" t="s">
        <v>41</v>
      </c>
      <c r="T247">
        <v>8</v>
      </c>
      <c r="U247">
        <v>0</v>
      </c>
      <c r="V247">
        <v>1</v>
      </c>
      <c r="W247">
        <v>6</v>
      </c>
      <c r="X247" t="s">
        <v>11023</v>
      </c>
      <c r="Y247" t="s">
        <v>11023</v>
      </c>
      <c r="Z247" t="str">
        <f>_xlfn.XLOOKUP(Employees[[#This Row],[Education]], EdLevel[EducationLevelID], EdLevel[EducationLevel])</f>
        <v xml:space="preserve">Masters </v>
      </c>
      <c r="AA247">
        <f>IF(Employees[[#This Row],[Attrition]] = "Yes", 1, 0)</f>
        <v>1</v>
      </c>
      <c r="AB247" t="str" cm="1">
        <f t="array" ref="AB247">_xlfn.IFS(Employees[[#This Row],[Age]]&lt;30, "20-29", Employees[[#This Row],[Age]]&lt;40, "30-39", Employees[[#This Row],[Age]]&lt;50, "40-49", "TRUE", "50+")</f>
        <v>30-39</v>
      </c>
    </row>
    <row r="248" spans="1:28">
      <c r="A248" t="s">
        <v>803</v>
      </c>
      <c r="B248" t="s">
        <v>804</v>
      </c>
      <c r="C248" t="s">
        <v>805</v>
      </c>
      <c r="D248" t="s">
        <v>38</v>
      </c>
      <c r="E248">
        <v>34</v>
      </c>
      <c r="F248" t="s">
        <v>84</v>
      </c>
      <c r="G248" t="s">
        <v>28</v>
      </c>
      <c r="H248">
        <v>40</v>
      </c>
      <c r="I248" t="s">
        <v>29</v>
      </c>
      <c r="J248" t="s">
        <v>46</v>
      </c>
      <c r="K248">
        <v>3</v>
      </c>
      <c r="L248" t="s">
        <v>121</v>
      </c>
      <c r="M248" t="s">
        <v>32</v>
      </c>
      <c r="N248" t="s">
        <v>49</v>
      </c>
      <c r="O248">
        <v>140097</v>
      </c>
      <c r="P248">
        <v>0</v>
      </c>
      <c r="Q248" t="s">
        <v>34</v>
      </c>
      <c r="R248" s="1">
        <v>41544</v>
      </c>
      <c r="S248" t="s">
        <v>34</v>
      </c>
      <c r="T248">
        <v>9</v>
      </c>
      <c r="U248">
        <v>2</v>
      </c>
      <c r="V248">
        <v>8</v>
      </c>
      <c r="W248">
        <v>6</v>
      </c>
      <c r="X248" t="s">
        <v>11022</v>
      </c>
      <c r="Y248" t="s">
        <v>11022</v>
      </c>
      <c r="Z248" t="str">
        <f>_xlfn.XLOOKUP(Employees[[#This Row],[Education]], EdLevel[EducationLevelID], EdLevel[EducationLevel])</f>
        <v xml:space="preserve">Bachelors </v>
      </c>
      <c r="AA248">
        <f>IF(Employees[[#This Row],[Attrition]] = "Yes", 1, 0)</f>
        <v>0</v>
      </c>
      <c r="AB248" t="str" cm="1">
        <f t="array" ref="AB248">_xlfn.IFS(Employees[[#This Row],[Age]]&lt;30, "20-29", Employees[[#This Row],[Age]]&lt;40, "30-39", Employees[[#This Row],[Age]]&lt;50, "40-49", "TRUE", "50+")</f>
        <v>30-39</v>
      </c>
    </row>
    <row r="249" spans="1:28">
      <c r="A249" t="s">
        <v>806</v>
      </c>
      <c r="B249" t="s">
        <v>551</v>
      </c>
      <c r="C249" t="s">
        <v>807</v>
      </c>
      <c r="D249" t="s">
        <v>38</v>
      </c>
      <c r="E249">
        <v>36</v>
      </c>
      <c r="F249" t="s">
        <v>27</v>
      </c>
      <c r="G249" t="s">
        <v>28</v>
      </c>
      <c r="H249">
        <v>13</v>
      </c>
      <c r="I249" t="s">
        <v>39</v>
      </c>
      <c r="J249" t="s">
        <v>46</v>
      </c>
      <c r="K249">
        <v>5</v>
      </c>
      <c r="L249" t="s">
        <v>47</v>
      </c>
      <c r="M249" t="s">
        <v>97</v>
      </c>
      <c r="N249" t="s">
        <v>49</v>
      </c>
      <c r="O249">
        <v>432191</v>
      </c>
      <c r="P249">
        <v>1</v>
      </c>
      <c r="Q249" t="s">
        <v>34</v>
      </c>
      <c r="R249" s="1">
        <v>41544</v>
      </c>
      <c r="S249" t="s">
        <v>34</v>
      </c>
      <c r="T249">
        <v>9</v>
      </c>
      <c r="U249">
        <v>1</v>
      </c>
      <c r="V249">
        <v>8</v>
      </c>
      <c r="W249">
        <v>0</v>
      </c>
      <c r="X249" t="s">
        <v>11024</v>
      </c>
      <c r="Y249" t="s">
        <v>11024</v>
      </c>
      <c r="Z249" t="str">
        <f>_xlfn.XLOOKUP(Employees[[#This Row],[Education]], EdLevel[EducationLevelID], EdLevel[EducationLevel])</f>
        <v>Doctorate</v>
      </c>
      <c r="AA249">
        <f>IF(Employees[[#This Row],[Attrition]] = "Yes", 1, 0)</f>
        <v>0</v>
      </c>
      <c r="AB249" t="str" cm="1">
        <f t="array" ref="AB249">_xlfn.IFS(Employees[[#This Row],[Age]]&lt;30, "20-29", Employees[[#This Row],[Age]]&lt;40, "30-39", Employees[[#This Row],[Age]]&lt;50, "40-49", "TRUE", "50+")</f>
        <v>30-39</v>
      </c>
    </row>
    <row r="250" spans="1:28">
      <c r="A250" t="s">
        <v>808</v>
      </c>
      <c r="B250" t="s">
        <v>809</v>
      </c>
      <c r="C250" t="s">
        <v>810</v>
      </c>
      <c r="D250" t="s">
        <v>38</v>
      </c>
      <c r="E250">
        <v>42</v>
      </c>
      <c r="F250" t="s">
        <v>27</v>
      </c>
      <c r="G250" t="s">
        <v>28</v>
      </c>
      <c r="H250">
        <v>12</v>
      </c>
      <c r="I250" t="s">
        <v>39</v>
      </c>
      <c r="J250" t="s">
        <v>30</v>
      </c>
      <c r="K250">
        <v>1</v>
      </c>
      <c r="L250" t="s">
        <v>60</v>
      </c>
      <c r="M250" t="s">
        <v>150</v>
      </c>
      <c r="N250" t="s">
        <v>49</v>
      </c>
      <c r="O250">
        <v>70535</v>
      </c>
      <c r="P250">
        <v>1</v>
      </c>
      <c r="Q250" t="s">
        <v>34</v>
      </c>
      <c r="R250" s="1">
        <v>41546</v>
      </c>
      <c r="S250" t="s">
        <v>34</v>
      </c>
      <c r="T250">
        <v>9</v>
      </c>
      <c r="U250">
        <v>3</v>
      </c>
      <c r="V250">
        <v>8</v>
      </c>
      <c r="W250">
        <v>5</v>
      </c>
      <c r="X250" t="s">
        <v>11020</v>
      </c>
      <c r="Y250" t="s">
        <v>11020</v>
      </c>
      <c r="Z250" t="str">
        <f>_xlfn.XLOOKUP(Employees[[#This Row],[Education]], EdLevel[EducationLevelID], EdLevel[EducationLevel])</f>
        <v>No Formal Qualifications</v>
      </c>
      <c r="AA250">
        <f>IF(Employees[[#This Row],[Attrition]] = "Yes", 1, 0)</f>
        <v>0</v>
      </c>
      <c r="AB250" t="str" cm="1">
        <f t="array" ref="AB250">_xlfn.IFS(Employees[[#This Row],[Age]]&lt;30, "20-29", Employees[[#This Row],[Age]]&lt;40, "30-39", Employees[[#This Row],[Age]]&lt;50, "40-49", "TRUE", "50+")</f>
        <v>40-49</v>
      </c>
    </row>
    <row r="251" spans="1:28">
      <c r="A251" t="s">
        <v>811</v>
      </c>
      <c r="B251" t="s">
        <v>812</v>
      </c>
      <c r="C251" t="s">
        <v>813</v>
      </c>
      <c r="D251" t="s">
        <v>26</v>
      </c>
      <c r="E251">
        <v>35</v>
      </c>
      <c r="F251" t="s">
        <v>27</v>
      </c>
      <c r="G251" t="s">
        <v>54</v>
      </c>
      <c r="H251">
        <v>7</v>
      </c>
      <c r="I251" t="s">
        <v>65</v>
      </c>
      <c r="J251" t="s">
        <v>66</v>
      </c>
      <c r="K251">
        <v>3</v>
      </c>
      <c r="L251" t="s">
        <v>72</v>
      </c>
      <c r="M251" t="s">
        <v>105</v>
      </c>
      <c r="N251" t="s">
        <v>33</v>
      </c>
      <c r="O251">
        <v>253952</v>
      </c>
      <c r="P251">
        <v>1</v>
      </c>
      <c r="Q251" t="s">
        <v>41</v>
      </c>
      <c r="R251" s="1">
        <v>41549</v>
      </c>
      <c r="S251" t="s">
        <v>34</v>
      </c>
      <c r="T251">
        <v>9</v>
      </c>
      <c r="U251">
        <v>9</v>
      </c>
      <c r="V251">
        <v>9</v>
      </c>
      <c r="W251">
        <v>4</v>
      </c>
      <c r="X251" t="s">
        <v>11022</v>
      </c>
      <c r="Y251" t="s">
        <v>11022</v>
      </c>
      <c r="Z251" t="str">
        <f>_xlfn.XLOOKUP(Employees[[#This Row],[Education]], EdLevel[EducationLevelID], EdLevel[EducationLevel])</f>
        <v xml:space="preserve">Bachelors </v>
      </c>
      <c r="AA251">
        <f>IF(Employees[[#This Row],[Attrition]] = "Yes", 1, 0)</f>
        <v>0</v>
      </c>
      <c r="AB251" t="str" cm="1">
        <f t="array" ref="AB251">_xlfn.IFS(Employees[[#This Row],[Age]]&lt;30, "20-29", Employees[[#This Row],[Age]]&lt;40, "30-39", Employees[[#This Row],[Age]]&lt;50, "40-49", "TRUE", "50+")</f>
        <v>30-39</v>
      </c>
    </row>
    <row r="252" spans="1:28">
      <c r="A252" t="s">
        <v>814</v>
      </c>
      <c r="B252" t="s">
        <v>815</v>
      </c>
      <c r="C252" t="s">
        <v>816</v>
      </c>
      <c r="D252" t="s">
        <v>26</v>
      </c>
      <c r="E252">
        <v>45</v>
      </c>
      <c r="F252" t="s">
        <v>27</v>
      </c>
      <c r="G252" t="s">
        <v>54</v>
      </c>
      <c r="H252">
        <v>14</v>
      </c>
      <c r="I252" t="s">
        <v>39</v>
      </c>
      <c r="J252" t="s">
        <v>30</v>
      </c>
      <c r="K252">
        <v>2</v>
      </c>
      <c r="L252" t="s">
        <v>55</v>
      </c>
      <c r="M252" t="s">
        <v>93</v>
      </c>
      <c r="N252" t="s">
        <v>33</v>
      </c>
      <c r="O252">
        <v>223124</v>
      </c>
      <c r="P252">
        <v>1</v>
      </c>
      <c r="Q252" t="s">
        <v>34</v>
      </c>
      <c r="R252" s="1">
        <v>41549</v>
      </c>
      <c r="S252" t="s">
        <v>34</v>
      </c>
      <c r="T252">
        <v>9</v>
      </c>
      <c r="U252">
        <v>2</v>
      </c>
      <c r="V252">
        <v>3</v>
      </c>
      <c r="W252">
        <v>2</v>
      </c>
      <c r="X252" t="s">
        <v>11021</v>
      </c>
      <c r="Y252" t="s">
        <v>11021</v>
      </c>
      <c r="Z252" t="str">
        <f>_xlfn.XLOOKUP(Employees[[#This Row],[Education]], EdLevel[EducationLevelID], EdLevel[EducationLevel])</f>
        <v xml:space="preserve">High School </v>
      </c>
      <c r="AA252">
        <f>IF(Employees[[#This Row],[Attrition]] = "Yes", 1, 0)</f>
        <v>0</v>
      </c>
      <c r="AB252" t="str" cm="1">
        <f t="array" ref="AB252">_xlfn.IFS(Employees[[#This Row],[Age]]&lt;30, "20-29", Employees[[#This Row],[Age]]&lt;40, "30-39", Employees[[#This Row],[Age]]&lt;50, "40-49", "TRUE", "50+")</f>
        <v>40-49</v>
      </c>
    </row>
    <row r="253" spans="1:28">
      <c r="A253" t="s">
        <v>817</v>
      </c>
      <c r="B253" t="s">
        <v>818</v>
      </c>
      <c r="C253" t="s">
        <v>819</v>
      </c>
      <c r="D253" t="s">
        <v>26</v>
      </c>
      <c r="E253">
        <v>37</v>
      </c>
      <c r="F253" t="s">
        <v>27</v>
      </c>
      <c r="G253" t="s">
        <v>54</v>
      </c>
      <c r="H253">
        <v>6</v>
      </c>
      <c r="I253" t="s">
        <v>39</v>
      </c>
      <c r="J253" t="s">
        <v>66</v>
      </c>
      <c r="K253">
        <v>2</v>
      </c>
      <c r="L253" t="s">
        <v>55</v>
      </c>
      <c r="M253" t="s">
        <v>85</v>
      </c>
      <c r="N253" t="s">
        <v>49</v>
      </c>
      <c r="O253">
        <v>42188</v>
      </c>
      <c r="P253">
        <v>1</v>
      </c>
      <c r="Q253" t="s">
        <v>34</v>
      </c>
      <c r="R253" s="1">
        <v>41551</v>
      </c>
      <c r="S253" t="s">
        <v>41</v>
      </c>
      <c r="T253">
        <v>8</v>
      </c>
      <c r="U253">
        <v>3</v>
      </c>
      <c r="V253">
        <v>5</v>
      </c>
      <c r="W253">
        <v>6</v>
      </c>
      <c r="X253" t="s">
        <v>11021</v>
      </c>
      <c r="Y253" t="s">
        <v>11021</v>
      </c>
      <c r="Z253" t="str">
        <f>_xlfn.XLOOKUP(Employees[[#This Row],[Education]], EdLevel[EducationLevelID], EdLevel[EducationLevel])</f>
        <v xml:space="preserve">High School </v>
      </c>
      <c r="AA253">
        <f>IF(Employees[[#This Row],[Attrition]] = "Yes", 1, 0)</f>
        <v>1</v>
      </c>
      <c r="AB253" t="str" cm="1">
        <f t="array" ref="AB253">_xlfn.IFS(Employees[[#This Row],[Age]]&lt;30, "20-29", Employees[[#This Row],[Age]]&lt;40, "30-39", Employees[[#This Row],[Age]]&lt;50, "40-49", "TRUE", "50+")</f>
        <v>30-39</v>
      </c>
    </row>
    <row r="254" spans="1:28">
      <c r="A254" t="s">
        <v>820</v>
      </c>
      <c r="B254" t="s">
        <v>821</v>
      </c>
      <c r="C254" t="s">
        <v>822</v>
      </c>
      <c r="D254" t="s">
        <v>26</v>
      </c>
      <c r="E254">
        <v>32</v>
      </c>
      <c r="F254" t="s">
        <v>84</v>
      </c>
      <c r="G254" t="s">
        <v>54</v>
      </c>
      <c r="H254">
        <v>15</v>
      </c>
      <c r="I254" t="s">
        <v>39</v>
      </c>
      <c r="J254" t="s">
        <v>30</v>
      </c>
      <c r="K254">
        <v>2</v>
      </c>
      <c r="L254" t="s">
        <v>72</v>
      </c>
      <c r="M254" t="s">
        <v>85</v>
      </c>
      <c r="N254" t="s">
        <v>49</v>
      </c>
      <c r="O254">
        <v>44388</v>
      </c>
      <c r="P254">
        <v>1</v>
      </c>
      <c r="Q254" t="s">
        <v>34</v>
      </c>
      <c r="R254" s="1">
        <v>41557</v>
      </c>
      <c r="S254" t="s">
        <v>34</v>
      </c>
      <c r="T254">
        <v>9</v>
      </c>
      <c r="U254">
        <v>8</v>
      </c>
      <c r="V254">
        <v>9</v>
      </c>
      <c r="W254">
        <v>8</v>
      </c>
      <c r="X254" t="s">
        <v>11021</v>
      </c>
      <c r="Y254" t="s">
        <v>11021</v>
      </c>
      <c r="Z254" t="str">
        <f>_xlfn.XLOOKUP(Employees[[#This Row],[Education]], EdLevel[EducationLevelID], EdLevel[EducationLevel])</f>
        <v xml:space="preserve">High School </v>
      </c>
      <c r="AA254">
        <f>IF(Employees[[#This Row],[Attrition]] = "Yes", 1, 0)</f>
        <v>0</v>
      </c>
      <c r="AB254" t="str" cm="1">
        <f t="array" ref="AB254">_xlfn.IFS(Employees[[#This Row],[Age]]&lt;30, "20-29", Employees[[#This Row],[Age]]&lt;40, "30-39", Employees[[#This Row],[Age]]&lt;50, "40-49", "TRUE", "50+")</f>
        <v>30-39</v>
      </c>
    </row>
    <row r="255" spans="1:28">
      <c r="A255" t="s">
        <v>823</v>
      </c>
      <c r="B255" t="s">
        <v>824</v>
      </c>
      <c r="C255" t="s">
        <v>825</v>
      </c>
      <c r="D255" t="s">
        <v>53</v>
      </c>
      <c r="E255">
        <v>33</v>
      </c>
      <c r="F255" t="s">
        <v>27</v>
      </c>
      <c r="G255" t="s">
        <v>54</v>
      </c>
      <c r="H255">
        <v>15</v>
      </c>
      <c r="I255" t="s">
        <v>39</v>
      </c>
      <c r="J255" t="s">
        <v>30</v>
      </c>
      <c r="K255">
        <v>4</v>
      </c>
      <c r="L255" t="s">
        <v>77</v>
      </c>
      <c r="M255" t="s">
        <v>105</v>
      </c>
      <c r="N255" t="s">
        <v>49</v>
      </c>
      <c r="O255">
        <v>108095</v>
      </c>
      <c r="P255">
        <v>0</v>
      </c>
      <c r="Q255" t="s">
        <v>41</v>
      </c>
      <c r="R255" s="1">
        <v>41557</v>
      </c>
      <c r="S255" t="s">
        <v>34</v>
      </c>
      <c r="T255">
        <v>9</v>
      </c>
      <c r="U255">
        <v>8</v>
      </c>
      <c r="V255">
        <v>9</v>
      </c>
      <c r="W255">
        <v>9</v>
      </c>
      <c r="X255" t="s">
        <v>11023</v>
      </c>
      <c r="Y255" t="s">
        <v>11023</v>
      </c>
      <c r="Z255" t="str">
        <f>_xlfn.XLOOKUP(Employees[[#This Row],[Education]], EdLevel[EducationLevelID], EdLevel[EducationLevel])</f>
        <v xml:space="preserve">Masters </v>
      </c>
      <c r="AA255">
        <f>IF(Employees[[#This Row],[Attrition]] = "Yes", 1, 0)</f>
        <v>0</v>
      </c>
      <c r="AB255" t="str" cm="1">
        <f t="array" ref="AB255">_xlfn.IFS(Employees[[#This Row],[Age]]&lt;30, "20-29", Employees[[#This Row],[Age]]&lt;40, "30-39", Employees[[#This Row],[Age]]&lt;50, "40-49", "TRUE", "50+")</f>
        <v>30-39</v>
      </c>
    </row>
    <row r="256" spans="1:28">
      <c r="A256" t="s">
        <v>826</v>
      </c>
      <c r="B256" t="s">
        <v>827</v>
      </c>
      <c r="C256" t="s">
        <v>828</v>
      </c>
      <c r="D256" t="s">
        <v>38</v>
      </c>
      <c r="E256">
        <v>30</v>
      </c>
      <c r="F256" t="s">
        <v>27</v>
      </c>
      <c r="G256" t="s">
        <v>54</v>
      </c>
      <c r="H256">
        <v>4</v>
      </c>
      <c r="I256" t="s">
        <v>39</v>
      </c>
      <c r="J256" t="s">
        <v>76</v>
      </c>
      <c r="K256">
        <v>1</v>
      </c>
      <c r="L256" t="s">
        <v>72</v>
      </c>
      <c r="M256" t="s">
        <v>85</v>
      </c>
      <c r="N256" t="s">
        <v>49</v>
      </c>
      <c r="O256">
        <v>42045</v>
      </c>
      <c r="P256">
        <v>0</v>
      </c>
      <c r="Q256" t="s">
        <v>41</v>
      </c>
      <c r="R256" s="1">
        <v>41562</v>
      </c>
      <c r="S256" t="s">
        <v>41</v>
      </c>
      <c r="T256">
        <v>6</v>
      </c>
      <c r="U256">
        <v>0</v>
      </c>
      <c r="V256">
        <v>3</v>
      </c>
      <c r="W256">
        <v>3</v>
      </c>
      <c r="X256" t="s">
        <v>11020</v>
      </c>
      <c r="Y256" t="s">
        <v>11020</v>
      </c>
      <c r="Z256" t="str">
        <f>_xlfn.XLOOKUP(Employees[[#This Row],[Education]], EdLevel[EducationLevelID], EdLevel[EducationLevel])</f>
        <v>No Formal Qualifications</v>
      </c>
      <c r="AA256">
        <f>IF(Employees[[#This Row],[Attrition]] = "Yes", 1, 0)</f>
        <v>1</v>
      </c>
      <c r="AB256" t="str" cm="1">
        <f t="array" ref="AB256">_xlfn.IFS(Employees[[#This Row],[Age]]&lt;30, "20-29", Employees[[#This Row],[Age]]&lt;40, "30-39", Employees[[#This Row],[Age]]&lt;50, "40-49", "TRUE", "50+")</f>
        <v>30-39</v>
      </c>
    </row>
    <row r="257" spans="1:28">
      <c r="A257" t="s">
        <v>829</v>
      </c>
      <c r="B257" t="s">
        <v>830</v>
      </c>
      <c r="C257" t="s">
        <v>831</v>
      </c>
      <c r="D257" t="s">
        <v>26</v>
      </c>
      <c r="E257">
        <v>30</v>
      </c>
      <c r="F257" t="s">
        <v>27</v>
      </c>
      <c r="G257" t="s">
        <v>28</v>
      </c>
      <c r="H257">
        <v>35</v>
      </c>
      <c r="I257" t="s">
        <v>39</v>
      </c>
      <c r="J257" t="s">
        <v>30</v>
      </c>
      <c r="K257">
        <v>3</v>
      </c>
      <c r="L257" t="s">
        <v>77</v>
      </c>
      <c r="M257" t="s">
        <v>32</v>
      </c>
      <c r="N257" t="s">
        <v>40</v>
      </c>
      <c r="O257">
        <v>160352</v>
      </c>
      <c r="P257">
        <v>0</v>
      </c>
      <c r="Q257" t="s">
        <v>34</v>
      </c>
      <c r="R257" s="1">
        <v>41565</v>
      </c>
      <c r="S257" t="s">
        <v>34</v>
      </c>
      <c r="T257">
        <v>9</v>
      </c>
      <c r="U257">
        <v>0</v>
      </c>
      <c r="V257">
        <v>5</v>
      </c>
      <c r="W257">
        <v>4</v>
      </c>
      <c r="X257" t="s">
        <v>11022</v>
      </c>
      <c r="Y257" t="s">
        <v>11022</v>
      </c>
      <c r="Z257" t="str">
        <f>_xlfn.XLOOKUP(Employees[[#This Row],[Education]], EdLevel[EducationLevelID], EdLevel[EducationLevel])</f>
        <v xml:space="preserve">Bachelors </v>
      </c>
      <c r="AA257">
        <f>IF(Employees[[#This Row],[Attrition]] = "Yes", 1, 0)</f>
        <v>0</v>
      </c>
      <c r="AB257" t="str" cm="1">
        <f t="array" ref="AB257">_xlfn.IFS(Employees[[#This Row],[Age]]&lt;30, "20-29", Employees[[#This Row],[Age]]&lt;40, "30-39", Employees[[#This Row],[Age]]&lt;50, "40-49", "TRUE", "50+")</f>
        <v>30-39</v>
      </c>
    </row>
    <row r="258" spans="1:28">
      <c r="A258" t="s">
        <v>832</v>
      </c>
      <c r="B258" t="s">
        <v>833</v>
      </c>
      <c r="C258" t="s">
        <v>834</v>
      </c>
      <c r="D258" t="s">
        <v>26</v>
      </c>
      <c r="E258">
        <v>48</v>
      </c>
      <c r="F258" t="s">
        <v>27</v>
      </c>
      <c r="G258" t="s">
        <v>54</v>
      </c>
      <c r="H258">
        <v>45</v>
      </c>
      <c r="I258" t="s">
        <v>29</v>
      </c>
      <c r="J258" t="s">
        <v>30</v>
      </c>
      <c r="K258">
        <v>3</v>
      </c>
      <c r="L258" t="s">
        <v>77</v>
      </c>
      <c r="M258" t="s">
        <v>105</v>
      </c>
      <c r="N258" t="s">
        <v>40</v>
      </c>
      <c r="O258">
        <v>207456</v>
      </c>
      <c r="P258">
        <v>0</v>
      </c>
      <c r="Q258" t="s">
        <v>34</v>
      </c>
      <c r="R258" s="1">
        <v>41565</v>
      </c>
      <c r="S258" t="s">
        <v>34</v>
      </c>
      <c r="T258">
        <v>9</v>
      </c>
      <c r="U258">
        <v>2</v>
      </c>
      <c r="V258">
        <v>6</v>
      </c>
      <c r="W258">
        <v>4</v>
      </c>
      <c r="X258" t="s">
        <v>11022</v>
      </c>
      <c r="Y258" t="s">
        <v>11022</v>
      </c>
      <c r="Z258" t="str">
        <f>_xlfn.XLOOKUP(Employees[[#This Row],[Education]], EdLevel[EducationLevelID], EdLevel[EducationLevel])</f>
        <v xml:space="preserve">Bachelors </v>
      </c>
      <c r="AA258">
        <f>IF(Employees[[#This Row],[Attrition]] = "Yes", 1, 0)</f>
        <v>0</v>
      </c>
      <c r="AB258" t="str" cm="1">
        <f t="array" ref="AB258">_xlfn.IFS(Employees[[#This Row],[Age]]&lt;30, "20-29", Employees[[#This Row],[Age]]&lt;40, "30-39", Employees[[#This Row],[Age]]&lt;50, "40-49", "TRUE", "50+")</f>
        <v>40-49</v>
      </c>
    </row>
    <row r="259" spans="1:28">
      <c r="A259" t="s">
        <v>835</v>
      </c>
      <c r="B259" t="s">
        <v>836</v>
      </c>
      <c r="C259" t="s">
        <v>837</v>
      </c>
      <c r="D259" t="s">
        <v>26</v>
      </c>
      <c r="E259">
        <v>43</v>
      </c>
      <c r="F259" t="s">
        <v>27</v>
      </c>
      <c r="G259" t="s">
        <v>54</v>
      </c>
      <c r="H259">
        <v>14</v>
      </c>
      <c r="I259" t="s">
        <v>39</v>
      </c>
      <c r="J259" t="s">
        <v>30</v>
      </c>
      <c r="K259">
        <v>3</v>
      </c>
      <c r="L259" t="s">
        <v>55</v>
      </c>
      <c r="M259" t="s">
        <v>56</v>
      </c>
      <c r="N259" t="s">
        <v>49</v>
      </c>
      <c r="O259">
        <v>309141</v>
      </c>
      <c r="P259">
        <v>0</v>
      </c>
      <c r="Q259" t="s">
        <v>34</v>
      </c>
      <c r="R259" s="1">
        <v>41566</v>
      </c>
      <c r="S259" t="s">
        <v>34</v>
      </c>
      <c r="T259">
        <v>9</v>
      </c>
      <c r="U259">
        <v>6</v>
      </c>
      <c r="V259">
        <v>6</v>
      </c>
      <c r="W259">
        <v>9</v>
      </c>
      <c r="X259" t="s">
        <v>11022</v>
      </c>
      <c r="Y259" t="s">
        <v>11022</v>
      </c>
      <c r="Z259" t="str">
        <f>_xlfn.XLOOKUP(Employees[[#This Row],[Education]], EdLevel[EducationLevelID], EdLevel[EducationLevel])</f>
        <v xml:space="preserve">Bachelors </v>
      </c>
      <c r="AA259">
        <f>IF(Employees[[#This Row],[Attrition]] = "Yes", 1, 0)</f>
        <v>0</v>
      </c>
      <c r="AB259" t="str" cm="1">
        <f t="array" ref="AB259">_xlfn.IFS(Employees[[#This Row],[Age]]&lt;30, "20-29", Employees[[#This Row],[Age]]&lt;40, "30-39", Employees[[#This Row],[Age]]&lt;50, "40-49", "TRUE", "50+")</f>
        <v>40-49</v>
      </c>
    </row>
    <row r="260" spans="1:28">
      <c r="A260" t="s">
        <v>838</v>
      </c>
      <c r="B260" t="s">
        <v>839</v>
      </c>
      <c r="C260" t="s">
        <v>840</v>
      </c>
      <c r="D260" t="s">
        <v>26</v>
      </c>
      <c r="E260">
        <v>29</v>
      </c>
      <c r="F260" t="s">
        <v>27</v>
      </c>
      <c r="G260" t="s">
        <v>54</v>
      </c>
      <c r="H260">
        <v>9</v>
      </c>
      <c r="I260" t="s">
        <v>65</v>
      </c>
      <c r="J260" t="s">
        <v>71</v>
      </c>
      <c r="K260">
        <v>4</v>
      </c>
      <c r="L260" t="s">
        <v>55</v>
      </c>
      <c r="M260" t="s">
        <v>85</v>
      </c>
      <c r="N260" t="s">
        <v>40</v>
      </c>
      <c r="O260">
        <v>48321</v>
      </c>
      <c r="P260">
        <v>0</v>
      </c>
      <c r="Q260" t="s">
        <v>41</v>
      </c>
      <c r="R260" s="1">
        <v>41573</v>
      </c>
      <c r="S260" t="s">
        <v>41</v>
      </c>
      <c r="T260">
        <v>7</v>
      </c>
      <c r="U260">
        <v>2</v>
      </c>
      <c r="V260">
        <v>3</v>
      </c>
      <c r="W260">
        <v>2</v>
      </c>
      <c r="X260" t="s">
        <v>11023</v>
      </c>
      <c r="Y260" t="s">
        <v>11023</v>
      </c>
      <c r="Z260" t="str">
        <f>_xlfn.XLOOKUP(Employees[[#This Row],[Education]], EdLevel[EducationLevelID], EdLevel[EducationLevel])</f>
        <v xml:space="preserve">Masters </v>
      </c>
      <c r="AA260">
        <f>IF(Employees[[#This Row],[Attrition]] = "Yes", 1, 0)</f>
        <v>1</v>
      </c>
      <c r="AB260" t="str" cm="1">
        <f t="array" ref="AB260">_xlfn.IFS(Employees[[#This Row],[Age]]&lt;30, "20-29", Employees[[#This Row],[Age]]&lt;40, "30-39", Employees[[#This Row],[Age]]&lt;50, "40-49", "TRUE", "50+")</f>
        <v>20-29</v>
      </c>
    </row>
    <row r="261" spans="1:28">
      <c r="A261" t="s">
        <v>841</v>
      </c>
      <c r="B261" t="s">
        <v>842</v>
      </c>
      <c r="C261" t="s">
        <v>843</v>
      </c>
      <c r="D261" t="s">
        <v>26</v>
      </c>
      <c r="E261">
        <v>47</v>
      </c>
      <c r="F261" t="s">
        <v>27</v>
      </c>
      <c r="G261" t="s">
        <v>54</v>
      </c>
      <c r="H261">
        <v>7</v>
      </c>
      <c r="I261" t="s">
        <v>39</v>
      </c>
      <c r="J261" t="s">
        <v>30</v>
      </c>
      <c r="K261">
        <v>3</v>
      </c>
      <c r="L261" t="s">
        <v>72</v>
      </c>
      <c r="M261" t="s">
        <v>85</v>
      </c>
      <c r="N261" t="s">
        <v>49</v>
      </c>
      <c r="O261">
        <v>116165</v>
      </c>
      <c r="P261">
        <v>1</v>
      </c>
      <c r="Q261" t="s">
        <v>34</v>
      </c>
      <c r="R261" s="1">
        <v>41574</v>
      </c>
      <c r="S261" t="s">
        <v>34</v>
      </c>
      <c r="T261">
        <v>9</v>
      </c>
      <c r="U261">
        <v>0</v>
      </c>
      <c r="V261">
        <v>7</v>
      </c>
      <c r="W261">
        <v>8</v>
      </c>
      <c r="X261" t="s">
        <v>11022</v>
      </c>
      <c r="Y261" t="s">
        <v>11022</v>
      </c>
      <c r="Z261" t="str">
        <f>_xlfn.XLOOKUP(Employees[[#This Row],[Education]], EdLevel[EducationLevelID], EdLevel[EducationLevel])</f>
        <v xml:space="preserve">Bachelors </v>
      </c>
      <c r="AA261">
        <f>IF(Employees[[#This Row],[Attrition]] = "Yes", 1, 0)</f>
        <v>0</v>
      </c>
      <c r="AB261" t="str" cm="1">
        <f t="array" ref="AB261">_xlfn.IFS(Employees[[#This Row],[Age]]&lt;30, "20-29", Employees[[#This Row],[Age]]&lt;40, "30-39", Employees[[#This Row],[Age]]&lt;50, "40-49", "TRUE", "50+")</f>
        <v>40-49</v>
      </c>
    </row>
    <row r="262" spans="1:28">
      <c r="A262" t="s">
        <v>844</v>
      </c>
      <c r="B262" t="s">
        <v>845</v>
      </c>
      <c r="C262" t="s">
        <v>846</v>
      </c>
      <c r="D262" t="s">
        <v>38</v>
      </c>
      <c r="E262">
        <v>39</v>
      </c>
      <c r="F262" t="s">
        <v>27</v>
      </c>
      <c r="G262" t="s">
        <v>54</v>
      </c>
      <c r="H262">
        <v>33</v>
      </c>
      <c r="I262" t="s">
        <v>65</v>
      </c>
      <c r="J262" t="s">
        <v>66</v>
      </c>
      <c r="K262">
        <v>2</v>
      </c>
      <c r="L262" t="s">
        <v>72</v>
      </c>
      <c r="M262" t="s">
        <v>93</v>
      </c>
      <c r="N262" t="s">
        <v>49</v>
      </c>
      <c r="O262">
        <v>99602</v>
      </c>
      <c r="P262">
        <v>0</v>
      </c>
      <c r="Q262" t="s">
        <v>34</v>
      </c>
      <c r="R262" s="1">
        <v>41576</v>
      </c>
      <c r="S262" t="s">
        <v>34</v>
      </c>
      <c r="T262">
        <v>9</v>
      </c>
      <c r="U262">
        <v>5</v>
      </c>
      <c r="V262">
        <v>8</v>
      </c>
      <c r="W262">
        <v>4</v>
      </c>
      <c r="X262" t="s">
        <v>11021</v>
      </c>
      <c r="Y262" t="s">
        <v>11021</v>
      </c>
      <c r="Z262" t="str">
        <f>_xlfn.XLOOKUP(Employees[[#This Row],[Education]], EdLevel[EducationLevelID], EdLevel[EducationLevel])</f>
        <v xml:space="preserve">High School </v>
      </c>
      <c r="AA262">
        <f>IF(Employees[[#This Row],[Attrition]] = "Yes", 1, 0)</f>
        <v>0</v>
      </c>
      <c r="AB262" t="str" cm="1">
        <f t="array" ref="AB262">_xlfn.IFS(Employees[[#This Row],[Age]]&lt;30, "20-29", Employees[[#This Row],[Age]]&lt;40, "30-39", Employees[[#This Row],[Age]]&lt;50, "40-49", "TRUE", "50+")</f>
        <v>30-39</v>
      </c>
    </row>
    <row r="263" spans="1:28">
      <c r="A263" t="s">
        <v>847</v>
      </c>
      <c r="B263" t="s">
        <v>848</v>
      </c>
      <c r="C263" t="s">
        <v>849</v>
      </c>
      <c r="D263" t="s">
        <v>26</v>
      </c>
      <c r="E263">
        <v>32</v>
      </c>
      <c r="F263" t="s">
        <v>27</v>
      </c>
      <c r="G263" t="s">
        <v>54</v>
      </c>
      <c r="H263">
        <v>20</v>
      </c>
      <c r="I263" t="s">
        <v>29</v>
      </c>
      <c r="J263" t="s">
        <v>76</v>
      </c>
      <c r="K263">
        <v>4</v>
      </c>
      <c r="L263" t="s">
        <v>55</v>
      </c>
      <c r="M263" t="s">
        <v>85</v>
      </c>
      <c r="N263" t="s">
        <v>40</v>
      </c>
      <c r="O263">
        <v>85884</v>
      </c>
      <c r="P263">
        <v>0</v>
      </c>
      <c r="Q263" t="s">
        <v>34</v>
      </c>
      <c r="R263" s="1">
        <v>41578</v>
      </c>
      <c r="S263" t="s">
        <v>34</v>
      </c>
      <c r="T263">
        <v>9</v>
      </c>
      <c r="U263">
        <v>9</v>
      </c>
      <c r="V263">
        <v>9</v>
      </c>
      <c r="W263">
        <v>5</v>
      </c>
      <c r="X263" t="s">
        <v>11023</v>
      </c>
      <c r="Y263" t="s">
        <v>11023</v>
      </c>
      <c r="Z263" t="str">
        <f>_xlfn.XLOOKUP(Employees[[#This Row],[Education]], EdLevel[EducationLevelID], EdLevel[EducationLevel])</f>
        <v xml:space="preserve">Masters </v>
      </c>
      <c r="AA263">
        <f>IF(Employees[[#This Row],[Attrition]] = "Yes", 1, 0)</f>
        <v>0</v>
      </c>
      <c r="AB263" t="str" cm="1">
        <f t="array" ref="AB263">_xlfn.IFS(Employees[[#This Row],[Age]]&lt;30, "20-29", Employees[[#This Row],[Age]]&lt;40, "30-39", Employees[[#This Row],[Age]]&lt;50, "40-49", "TRUE", "50+")</f>
        <v>30-39</v>
      </c>
    </row>
    <row r="264" spans="1:28">
      <c r="A264" t="s">
        <v>850</v>
      </c>
      <c r="B264" t="s">
        <v>851</v>
      </c>
      <c r="C264" t="s">
        <v>852</v>
      </c>
      <c r="D264" t="s">
        <v>38</v>
      </c>
      <c r="E264">
        <v>48</v>
      </c>
      <c r="F264" t="s">
        <v>27</v>
      </c>
      <c r="G264" t="s">
        <v>54</v>
      </c>
      <c r="H264">
        <v>20</v>
      </c>
      <c r="I264" t="s">
        <v>39</v>
      </c>
      <c r="J264" t="s">
        <v>30</v>
      </c>
      <c r="K264">
        <v>3</v>
      </c>
      <c r="L264" t="s">
        <v>72</v>
      </c>
      <c r="M264" t="s">
        <v>101</v>
      </c>
      <c r="N264" t="s">
        <v>49</v>
      </c>
      <c r="O264">
        <v>56546</v>
      </c>
      <c r="P264">
        <v>1</v>
      </c>
      <c r="Q264" t="s">
        <v>34</v>
      </c>
      <c r="R264" s="1">
        <v>41579</v>
      </c>
      <c r="S264" t="s">
        <v>34</v>
      </c>
      <c r="T264">
        <v>9</v>
      </c>
      <c r="U264">
        <v>4</v>
      </c>
      <c r="V264">
        <v>6</v>
      </c>
      <c r="W264">
        <v>3</v>
      </c>
      <c r="X264" t="s">
        <v>11022</v>
      </c>
      <c r="Y264" t="s">
        <v>11022</v>
      </c>
      <c r="Z264" t="str">
        <f>_xlfn.XLOOKUP(Employees[[#This Row],[Education]], EdLevel[EducationLevelID], EdLevel[EducationLevel])</f>
        <v xml:space="preserve">Bachelors </v>
      </c>
      <c r="AA264">
        <f>IF(Employees[[#This Row],[Attrition]] = "Yes", 1, 0)</f>
        <v>0</v>
      </c>
      <c r="AB264" t="str" cm="1">
        <f t="array" ref="AB264">_xlfn.IFS(Employees[[#This Row],[Age]]&lt;30, "20-29", Employees[[#This Row],[Age]]&lt;40, "30-39", Employees[[#This Row],[Age]]&lt;50, "40-49", "TRUE", "50+")</f>
        <v>40-49</v>
      </c>
    </row>
    <row r="265" spans="1:28">
      <c r="A265" t="s">
        <v>853</v>
      </c>
      <c r="B265" t="s">
        <v>854</v>
      </c>
      <c r="C265" t="s">
        <v>855</v>
      </c>
      <c r="D265" t="s">
        <v>38</v>
      </c>
      <c r="E265">
        <v>30</v>
      </c>
      <c r="F265" t="s">
        <v>27</v>
      </c>
      <c r="G265" t="s">
        <v>28</v>
      </c>
      <c r="H265">
        <v>42</v>
      </c>
      <c r="I265" t="s">
        <v>39</v>
      </c>
      <c r="J265" t="s">
        <v>30</v>
      </c>
      <c r="K265">
        <v>4</v>
      </c>
      <c r="L265" t="s">
        <v>31</v>
      </c>
      <c r="M265" t="s">
        <v>32</v>
      </c>
      <c r="N265" t="s">
        <v>40</v>
      </c>
      <c r="O265">
        <v>148862</v>
      </c>
      <c r="P265">
        <v>0</v>
      </c>
      <c r="Q265" t="s">
        <v>41</v>
      </c>
      <c r="R265" s="1">
        <v>41581</v>
      </c>
      <c r="S265" t="s">
        <v>41</v>
      </c>
      <c r="T265">
        <v>2</v>
      </c>
      <c r="U265">
        <v>0</v>
      </c>
      <c r="V265">
        <v>1</v>
      </c>
      <c r="W265">
        <v>1</v>
      </c>
      <c r="X265" t="s">
        <v>11023</v>
      </c>
      <c r="Y265" t="s">
        <v>11023</v>
      </c>
      <c r="Z265" t="str">
        <f>_xlfn.XLOOKUP(Employees[[#This Row],[Education]], EdLevel[EducationLevelID], EdLevel[EducationLevel])</f>
        <v xml:space="preserve">Masters </v>
      </c>
      <c r="AA265">
        <f>IF(Employees[[#This Row],[Attrition]] = "Yes", 1, 0)</f>
        <v>1</v>
      </c>
      <c r="AB265" t="str" cm="1">
        <f t="array" ref="AB265">_xlfn.IFS(Employees[[#This Row],[Age]]&lt;30, "20-29", Employees[[#This Row],[Age]]&lt;40, "30-39", Employees[[#This Row],[Age]]&lt;50, "40-49", "TRUE", "50+")</f>
        <v>30-39</v>
      </c>
    </row>
    <row r="266" spans="1:28">
      <c r="A266" t="s">
        <v>856</v>
      </c>
      <c r="B266" t="s">
        <v>857</v>
      </c>
      <c r="C266" t="s">
        <v>858</v>
      </c>
      <c r="D266" t="s">
        <v>859</v>
      </c>
      <c r="E266">
        <v>43</v>
      </c>
      <c r="F266" t="s">
        <v>27</v>
      </c>
      <c r="G266" t="s">
        <v>54</v>
      </c>
      <c r="H266">
        <v>14</v>
      </c>
      <c r="I266" t="s">
        <v>65</v>
      </c>
      <c r="J266" t="s">
        <v>30</v>
      </c>
      <c r="K266">
        <v>4</v>
      </c>
      <c r="L266" t="s">
        <v>72</v>
      </c>
      <c r="M266" t="s">
        <v>56</v>
      </c>
      <c r="N266" t="s">
        <v>49</v>
      </c>
      <c r="O266">
        <v>365504</v>
      </c>
      <c r="P266">
        <v>3</v>
      </c>
      <c r="Q266" t="s">
        <v>41</v>
      </c>
      <c r="R266" s="1">
        <v>41582</v>
      </c>
      <c r="S266" t="s">
        <v>34</v>
      </c>
      <c r="T266">
        <v>9</v>
      </c>
      <c r="U266">
        <v>6</v>
      </c>
      <c r="V266">
        <v>7</v>
      </c>
      <c r="W266">
        <v>8</v>
      </c>
      <c r="X266" t="s">
        <v>11023</v>
      </c>
      <c r="Y266" t="s">
        <v>11023</v>
      </c>
      <c r="Z266" t="str">
        <f>_xlfn.XLOOKUP(Employees[[#This Row],[Education]], EdLevel[EducationLevelID], EdLevel[EducationLevel])</f>
        <v xml:space="preserve">Masters </v>
      </c>
      <c r="AA266">
        <f>IF(Employees[[#This Row],[Attrition]] = "Yes", 1, 0)</f>
        <v>0</v>
      </c>
      <c r="AB266" t="str" cm="1">
        <f t="array" ref="AB266">_xlfn.IFS(Employees[[#This Row],[Age]]&lt;30, "20-29", Employees[[#This Row],[Age]]&lt;40, "30-39", Employees[[#This Row],[Age]]&lt;50, "40-49", "TRUE", "50+")</f>
        <v>40-49</v>
      </c>
    </row>
    <row r="267" spans="1:28">
      <c r="A267" t="s">
        <v>860</v>
      </c>
      <c r="B267" t="s">
        <v>861</v>
      </c>
      <c r="C267" t="s">
        <v>862</v>
      </c>
      <c r="D267" t="s">
        <v>26</v>
      </c>
      <c r="E267">
        <v>44</v>
      </c>
      <c r="F267" t="s">
        <v>27</v>
      </c>
      <c r="G267" t="s">
        <v>54</v>
      </c>
      <c r="H267">
        <v>21</v>
      </c>
      <c r="I267" t="s">
        <v>65</v>
      </c>
      <c r="J267" t="s">
        <v>71</v>
      </c>
      <c r="K267">
        <v>2</v>
      </c>
      <c r="L267" t="s">
        <v>55</v>
      </c>
      <c r="M267" t="s">
        <v>101</v>
      </c>
      <c r="N267" t="s">
        <v>49</v>
      </c>
      <c r="O267">
        <v>91563</v>
      </c>
      <c r="P267">
        <v>1</v>
      </c>
      <c r="Q267" t="s">
        <v>34</v>
      </c>
      <c r="R267" s="1">
        <v>41584</v>
      </c>
      <c r="S267" t="s">
        <v>34</v>
      </c>
      <c r="T267">
        <v>9</v>
      </c>
      <c r="U267">
        <v>9</v>
      </c>
      <c r="V267">
        <v>9</v>
      </c>
      <c r="W267">
        <v>8</v>
      </c>
      <c r="X267" t="s">
        <v>11021</v>
      </c>
      <c r="Y267" t="s">
        <v>11021</v>
      </c>
      <c r="Z267" t="str">
        <f>_xlfn.XLOOKUP(Employees[[#This Row],[Education]], EdLevel[EducationLevelID], EdLevel[EducationLevel])</f>
        <v xml:space="preserve">High School </v>
      </c>
      <c r="AA267">
        <f>IF(Employees[[#This Row],[Attrition]] = "Yes", 1, 0)</f>
        <v>0</v>
      </c>
      <c r="AB267" t="str" cm="1">
        <f t="array" ref="AB267">_xlfn.IFS(Employees[[#This Row],[Age]]&lt;30, "20-29", Employees[[#This Row],[Age]]&lt;40, "30-39", Employees[[#This Row],[Age]]&lt;50, "40-49", "TRUE", "50+")</f>
        <v>40-49</v>
      </c>
    </row>
    <row r="268" spans="1:28">
      <c r="A268" t="s">
        <v>863</v>
      </c>
      <c r="B268" t="s">
        <v>864</v>
      </c>
      <c r="C268" t="s">
        <v>865</v>
      </c>
      <c r="D268" t="s">
        <v>38</v>
      </c>
      <c r="E268">
        <v>30</v>
      </c>
      <c r="F268" t="s">
        <v>84</v>
      </c>
      <c r="G268" t="s">
        <v>28</v>
      </c>
      <c r="H268">
        <v>25</v>
      </c>
      <c r="I268" t="s">
        <v>39</v>
      </c>
      <c r="J268" t="s">
        <v>30</v>
      </c>
      <c r="K268">
        <v>2</v>
      </c>
      <c r="L268" t="s">
        <v>31</v>
      </c>
      <c r="M268" t="s">
        <v>32</v>
      </c>
      <c r="N268" t="s">
        <v>33</v>
      </c>
      <c r="O268">
        <v>135919</v>
      </c>
      <c r="P268">
        <v>1</v>
      </c>
      <c r="Q268" t="s">
        <v>34</v>
      </c>
      <c r="R268" s="1">
        <v>41586</v>
      </c>
      <c r="S268" t="s">
        <v>34</v>
      </c>
      <c r="T268">
        <v>9</v>
      </c>
      <c r="U268">
        <v>6</v>
      </c>
      <c r="V268">
        <v>6</v>
      </c>
      <c r="W268">
        <v>0</v>
      </c>
      <c r="X268" t="s">
        <v>11021</v>
      </c>
      <c r="Y268" t="s">
        <v>11021</v>
      </c>
      <c r="Z268" t="str">
        <f>_xlfn.XLOOKUP(Employees[[#This Row],[Education]], EdLevel[EducationLevelID], EdLevel[EducationLevel])</f>
        <v xml:space="preserve">High School </v>
      </c>
      <c r="AA268">
        <f>IF(Employees[[#This Row],[Attrition]] = "Yes", 1, 0)</f>
        <v>0</v>
      </c>
      <c r="AB268" t="str" cm="1">
        <f t="array" ref="AB268">_xlfn.IFS(Employees[[#This Row],[Age]]&lt;30, "20-29", Employees[[#This Row],[Age]]&lt;40, "30-39", Employees[[#This Row],[Age]]&lt;50, "40-49", "TRUE", "50+")</f>
        <v>30-39</v>
      </c>
    </row>
    <row r="269" spans="1:28">
      <c r="A269" t="s">
        <v>866</v>
      </c>
      <c r="B269" t="s">
        <v>867</v>
      </c>
      <c r="C269" t="s">
        <v>868</v>
      </c>
      <c r="D269" t="s">
        <v>26</v>
      </c>
      <c r="E269">
        <v>28</v>
      </c>
      <c r="F269" t="s">
        <v>84</v>
      </c>
      <c r="G269" t="s">
        <v>54</v>
      </c>
      <c r="H269">
        <v>6</v>
      </c>
      <c r="I269" t="s">
        <v>39</v>
      </c>
      <c r="J269" t="s">
        <v>30</v>
      </c>
      <c r="K269">
        <v>1</v>
      </c>
      <c r="L269" t="s">
        <v>72</v>
      </c>
      <c r="M269" t="s">
        <v>101</v>
      </c>
      <c r="N269" t="s">
        <v>33</v>
      </c>
      <c r="O269">
        <v>47148</v>
      </c>
      <c r="P269">
        <v>2</v>
      </c>
      <c r="Q269" t="s">
        <v>34</v>
      </c>
      <c r="R269" s="1">
        <v>41587</v>
      </c>
      <c r="S269" t="s">
        <v>34</v>
      </c>
      <c r="T269">
        <v>9</v>
      </c>
      <c r="U269">
        <v>3</v>
      </c>
      <c r="V269">
        <v>8</v>
      </c>
      <c r="W269">
        <v>8</v>
      </c>
      <c r="X269" t="s">
        <v>11020</v>
      </c>
      <c r="Y269" t="s">
        <v>11020</v>
      </c>
      <c r="Z269" t="str">
        <f>_xlfn.XLOOKUP(Employees[[#This Row],[Education]], EdLevel[EducationLevelID], EdLevel[EducationLevel])</f>
        <v>No Formal Qualifications</v>
      </c>
      <c r="AA269">
        <f>IF(Employees[[#This Row],[Attrition]] = "Yes", 1, 0)</f>
        <v>0</v>
      </c>
      <c r="AB269" t="str" cm="1">
        <f t="array" ref="AB269">_xlfn.IFS(Employees[[#This Row],[Age]]&lt;30, "20-29", Employees[[#This Row],[Age]]&lt;40, "30-39", Employees[[#This Row],[Age]]&lt;50, "40-49", "TRUE", "50+")</f>
        <v>20-29</v>
      </c>
    </row>
    <row r="270" spans="1:28">
      <c r="A270" t="s">
        <v>869</v>
      </c>
      <c r="B270" t="s">
        <v>870</v>
      </c>
      <c r="C270" t="s">
        <v>871</v>
      </c>
      <c r="D270" t="s">
        <v>26</v>
      </c>
      <c r="E270">
        <v>33</v>
      </c>
      <c r="F270" t="s">
        <v>84</v>
      </c>
      <c r="G270" t="s">
        <v>28</v>
      </c>
      <c r="H270">
        <v>33</v>
      </c>
      <c r="I270" t="s">
        <v>39</v>
      </c>
      <c r="J270" t="s">
        <v>66</v>
      </c>
      <c r="K270">
        <v>5</v>
      </c>
      <c r="L270" t="s">
        <v>31</v>
      </c>
      <c r="M270" t="s">
        <v>32</v>
      </c>
      <c r="N270" t="s">
        <v>49</v>
      </c>
      <c r="O270">
        <v>115114</v>
      </c>
      <c r="P270">
        <v>1</v>
      </c>
      <c r="Q270" t="s">
        <v>34</v>
      </c>
      <c r="R270" s="1">
        <v>41590</v>
      </c>
      <c r="S270" t="s">
        <v>34</v>
      </c>
      <c r="T270">
        <v>9</v>
      </c>
      <c r="U270">
        <v>9</v>
      </c>
      <c r="V270">
        <v>9</v>
      </c>
      <c r="W270">
        <v>6</v>
      </c>
      <c r="X270" t="s">
        <v>11024</v>
      </c>
      <c r="Y270" t="s">
        <v>11024</v>
      </c>
      <c r="Z270" t="str">
        <f>_xlfn.XLOOKUP(Employees[[#This Row],[Education]], EdLevel[EducationLevelID], EdLevel[EducationLevel])</f>
        <v>Doctorate</v>
      </c>
      <c r="AA270">
        <f>IF(Employees[[#This Row],[Attrition]] = "Yes", 1, 0)</f>
        <v>0</v>
      </c>
      <c r="AB270" t="str" cm="1">
        <f t="array" ref="AB270">_xlfn.IFS(Employees[[#This Row],[Age]]&lt;30, "20-29", Employees[[#This Row],[Age]]&lt;40, "30-39", Employees[[#This Row],[Age]]&lt;50, "40-49", "TRUE", "50+")</f>
        <v>30-39</v>
      </c>
    </row>
    <row r="271" spans="1:28">
      <c r="A271" t="s">
        <v>872</v>
      </c>
      <c r="B271" t="s">
        <v>873</v>
      </c>
      <c r="C271" t="s">
        <v>874</v>
      </c>
      <c r="D271" t="s">
        <v>38</v>
      </c>
      <c r="E271">
        <v>28</v>
      </c>
      <c r="F271" t="s">
        <v>84</v>
      </c>
      <c r="G271" t="s">
        <v>28</v>
      </c>
      <c r="H271">
        <v>4</v>
      </c>
      <c r="I271" t="s">
        <v>39</v>
      </c>
      <c r="J271" t="s">
        <v>71</v>
      </c>
      <c r="K271">
        <v>4</v>
      </c>
      <c r="L271" t="s">
        <v>77</v>
      </c>
      <c r="M271" t="s">
        <v>32</v>
      </c>
      <c r="N271" t="s">
        <v>40</v>
      </c>
      <c r="O271">
        <v>110839</v>
      </c>
      <c r="P271">
        <v>0</v>
      </c>
      <c r="Q271" t="s">
        <v>34</v>
      </c>
      <c r="R271" s="1">
        <v>41590</v>
      </c>
      <c r="S271" t="s">
        <v>34</v>
      </c>
      <c r="T271">
        <v>9</v>
      </c>
      <c r="U271">
        <v>8</v>
      </c>
      <c r="V271">
        <v>8</v>
      </c>
      <c r="W271">
        <v>4</v>
      </c>
      <c r="X271" t="s">
        <v>11023</v>
      </c>
      <c r="Y271" t="s">
        <v>11023</v>
      </c>
      <c r="Z271" t="str">
        <f>_xlfn.XLOOKUP(Employees[[#This Row],[Education]], EdLevel[EducationLevelID], EdLevel[EducationLevel])</f>
        <v xml:space="preserve">Masters </v>
      </c>
      <c r="AA271">
        <f>IF(Employees[[#This Row],[Attrition]] = "Yes", 1, 0)</f>
        <v>0</v>
      </c>
      <c r="AB271" t="str" cm="1">
        <f t="array" ref="AB271">_xlfn.IFS(Employees[[#This Row],[Age]]&lt;30, "20-29", Employees[[#This Row],[Age]]&lt;40, "30-39", Employees[[#This Row],[Age]]&lt;50, "40-49", "TRUE", "50+")</f>
        <v>20-29</v>
      </c>
    </row>
    <row r="272" spans="1:28">
      <c r="A272" t="s">
        <v>875</v>
      </c>
      <c r="B272" t="s">
        <v>309</v>
      </c>
      <c r="C272" t="s">
        <v>876</v>
      </c>
      <c r="D272" t="s">
        <v>38</v>
      </c>
      <c r="E272">
        <v>45</v>
      </c>
      <c r="F272" t="s">
        <v>84</v>
      </c>
      <c r="G272" t="s">
        <v>54</v>
      </c>
      <c r="H272">
        <v>6</v>
      </c>
      <c r="I272" t="s">
        <v>39</v>
      </c>
      <c r="J272" t="s">
        <v>66</v>
      </c>
      <c r="K272">
        <v>4</v>
      </c>
      <c r="L272" t="s">
        <v>72</v>
      </c>
      <c r="M272" t="s">
        <v>101</v>
      </c>
      <c r="N272" t="s">
        <v>33</v>
      </c>
      <c r="O272">
        <v>92613</v>
      </c>
      <c r="P272">
        <v>1</v>
      </c>
      <c r="Q272" t="s">
        <v>41</v>
      </c>
      <c r="R272" s="1">
        <v>41601</v>
      </c>
      <c r="S272" t="s">
        <v>34</v>
      </c>
      <c r="T272">
        <v>9</v>
      </c>
      <c r="U272">
        <v>6</v>
      </c>
      <c r="V272">
        <v>6</v>
      </c>
      <c r="W272">
        <v>2</v>
      </c>
      <c r="X272" t="s">
        <v>11023</v>
      </c>
      <c r="Y272" t="s">
        <v>11023</v>
      </c>
      <c r="Z272" t="str">
        <f>_xlfn.XLOOKUP(Employees[[#This Row],[Education]], EdLevel[EducationLevelID], EdLevel[EducationLevel])</f>
        <v xml:space="preserve">Masters </v>
      </c>
      <c r="AA272">
        <f>IF(Employees[[#This Row],[Attrition]] = "Yes", 1, 0)</f>
        <v>0</v>
      </c>
      <c r="AB272" t="str" cm="1">
        <f t="array" ref="AB272">_xlfn.IFS(Employees[[#This Row],[Age]]&lt;30, "20-29", Employees[[#This Row],[Age]]&lt;40, "30-39", Employees[[#This Row],[Age]]&lt;50, "40-49", "TRUE", "50+")</f>
        <v>40-49</v>
      </c>
    </row>
    <row r="273" spans="1:28">
      <c r="A273" t="s">
        <v>877</v>
      </c>
      <c r="B273" t="s">
        <v>878</v>
      </c>
      <c r="C273" t="s">
        <v>879</v>
      </c>
      <c r="D273" t="s">
        <v>38</v>
      </c>
      <c r="E273">
        <v>37</v>
      </c>
      <c r="F273" t="s">
        <v>84</v>
      </c>
      <c r="G273" t="s">
        <v>54</v>
      </c>
      <c r="H273">
        <v>7</v>
      </c>
      <c r="I273" t="s">
        <v>65</v>
      </c>
      <c r="J273" t="s">
        <v>66</v>
      </c>
      <c r="K273">
        <v>4</v>
      </c>
      <c r="L273" t="s">
        <v>72</v>
      </c>
      <c r="M273" t="s">
        <v>182</v>
      </c>
      <c r="N273" t="s">
        <v>33</v>
      </c>
      <c r="O273">
        <v>276322</v>
      </c>
      <c r="P273">
        <v>1</v>
      </c>
      <c r="Q273" t="s">
        <v>34</v>
      </c>
      <c r="R273" s="1">
        <v>41604</v>
      </c>
      <c r="S273" t="s">
        <v>34</v>
      </c>
      <c r="T273">
        <v>9</v>
      </c>
      <c r="U273">
        <v>0</v>
      </c>
      <c r="V273">
        <v>9</v>
      </c>
      <c r="W273">
        <v>1</v>
      </c>
      <c r="X273" t="s">
        <v>11023</v>
      </c>
      <c r="Y273" t="s">
        <v>11023</v>
      </c>
      <c r="Z273" t="str">
        <f>_xlfn.XLOOKUP(Employees[[#This Row],[Education]], EdLevel[EducationLevelID], EdLevel[EducationLevel])</f>
        <v xml:space="preserve">Masters </v>
      </c>
      <c r="AA273">
        <f>IF(Employees[[#This Row],[Attrition]] = "Yes", 1, 0)</f>
        <v>0</v>
      </c>
      <c r="AB273" t="str" cm="1">
        <f t="array" ref="AB273">_xlfn.IFS(Employees[[#This Row],[Age]]&lt;30, "20-29", Employees[[#This Row],[Age]]&lt;40, "30-39", Employees[[#This Row],[Age]]&lt;50, "40-49", "TRUE", "50+")</f>
        <v>30-39</v>
      </c>
    </row>
    <row r="274" spans="1:28">
      <c r="A274" t="s">
        <v>880</v>
      </c>
      <c r="B274" t="s">
        <v>881</v>
      </c>
      <c r="C274" t="s">
        <v>882</v>
      </c>
      <c r="D274" t="s">
        <v>38</v>
      </c>
      <c r="E274">
        <v>44</v>
      </c>
      <c r="F274" t="s">
        <v>27</v>
      </c>
      <c r="G274" t="s">
        <v>54</v>
      </c>
      <c r="H274">
        <v>4</v>
      </c>
      <c r="I274" t="s">
        <v>29</v>
      </c>
      <c r="J274" t="s">
        <v>66</v>
      </c>
      <c r="K274">
        <v>3</v>
      </c>
      <c r="L274" t="s">
        <v>55</v>
      </c>
      <c r="M274" t="s">
        <v>85</v>
      </c>
      <c r="N274" t="s">
        <v>49</v>
      </c>
      <c r="O274">
        <v>74172</v>
      </c>
      <c r="P274">
        <v>2</v>
      </c>
      <c r="Q274" t="s">
        <v>34</v>
      </c>
      <c r="R274" s="1">
        <v>41604</v>
      </c>
      <c r="S274" t="s">
        <v>34</v>
      </c>
      <c r="T274">
        <v>9</v>
      </c>
      <c r="U274">
        <v>8</v>
      </c>
      <c r="V274">
        <v>9</v>
      </c>
      <c r="W274">
        <v>9</v>
      </c>
      <c r="X274" t="s">
        <v>11022</v>
      </c>
      <c r="Y274" t="s">
        <v>11022</v>
      </c>
      <c r="Z274" t="str">
        <f>_xlfn.XLOOKUP(Employees[[#This Row],[Education]], EdLevel[EducationLevelID], EdLevel[EducationLevel])</f>
        <v xml:space="preserve">Bachelors </v>
      </c>
      <c r="AA274">
        <f>IF(Employees[[#This Row],[Attrition]] = "Yes", 1, 0)</f>
        <v>0</v>
      </c>
      <c r="AB274" t="str" cm="1">
        <f t="array" ref="AB274">_xlfn.IFS(Employees[[#This Row],[Age]]&lt;30, "20-29", Employees[[#This Row],[Age]]&lt;40, "30-39", Employees[[#This Row],[Age]]&lt;50, "40-49", "TRUE", "50+")</f>
        <v>40-49</v>
      </c>
    </row>
    <row r="275" spans="1:28">
      <c r="A275" t="s">
        <v>883</v>
      </c>
      <c r="B275" t="s">
        <v>884</v>
      </c>
      <c r="C275" t="s">
        <v>885</v>
      </c>
      <c r="D275" t="s">
        <v>26</v>
      </c>
      <c r="E275">
        <v>30</v>
      </c>
      <c r="F275" t="s">
        <v>27</v>
      </c>
      <c r="G275" t="s">
        <v>54</v>
      </c>
      <c r="H275">
        <v>26</v>
      </c>
      <c r="I275" t="s">
        <v>65</v>
      </c>
      <c r="J275" t="s">
        <v>71</v>
      </c>
      <c r="K275">
        <v>4</v>
      </c>
      <c r="L275" t="s">
        <v>55</v>
      </c>
      <c r="M275" t="s">
        <v>85</v>
      </c>
      <c r="N275" t="s">
        <v>49</v>
      </c>
      <c r="O275">
        <v>36280</v>
      </c>
      <c r="P275">
        <v>2</v>
      </c>
      <c r="Q275" t="s">
        <v>34</v>
      </c>
      <c r="R275" s="1">
        <v>41612</v>
      </c>
      <c r="S275" t="s">
        <v>34</v>
      </c>
      <c r="T275">
        <v>9</v>
      </c>
      <c r="U275">
        <v>9</v>
      </c>
      <c r="V275">
        <v>9</v>
      </c>
      <c r="W275">
        <v>9</v>
      </c>
      <c r="X275" t="s">
        <v>11023</v>
      </c>
      <c r="Y275" t="s">
        <v>11023</v>
      </c>
      <c r="Z275" t="str">
        <f>_xlfn.XLOOKUP(Employees[[#This Row],[Education]], EdLevel[EducationLevelID], EdLevel[EducationLevel])</f>
        <v xml:space="preserve">Masters </v>
      </c>
      <c r="AA275">
        <f>IF(Employees[[#This Row],[Attrition]] = "Yes", 1, 0)</f>
        <v>0</v>
      </c>
      <c r="AB275" t="str" cm="1">
        <f t="array" ref="AB275">_xlfn.IFS(Employees[[#This Row],[Age]]&lt;30, "20-29", Employees[[#This Row],[Age]]&lt;40, "30-39", Employees[[#This Row],[Age]]&lt;50, "40-49", "TRUE", "50+")</f>
        <v>30-39</v>
      </c>
    </row>
    <row r="276" spans="1:28">
      <c r="A276" t="s">
        <v>886</v>
      </c>
      <c r="B276" t="s">
        <v>887</v>
      </c>
      <c r="C276" t="s">
        <v>888</v>
      </c>
      <c r="D276" t="s">
        <v>26</v>
      </c>
      <c r="E276">
        <v>40</v>
      </c>
      <c r="F276" t="s">
        <v>27</v>
      </c>
      <c r="G276" t="s">
        <v>45</v>
      </c>
      <c r="H276">
        <v>7</v>
      </c>
      <c r="I276" t="s">
        <v>39</v>
      </c>
      <c r="J276" t="s">
        <v>30</v>
      </c>
      <c r="K276">
        <v>4</v>
      </c>
      <c r="L276" t="s">
        <v>60</v>
      </c>
      <c r="M276" t="s">
        <v>61</v>
      </c>
      <c r="N276" t="s">
        <v>40</v>
      </c>
      <c r="O276">
        <v>70703</v>
      </c>
      <c r="P276">
        <v>0</v>
      </c>
      <c r="Q276" t="s">
        <v>34</v>
      </c>
      <c r="R276" s="1">
        <v>41612</v>
      </c>
      <c r="S276" t="s">
        <v>34</v>
      </c>
      <c r="T276">
        <v>9</v>
      </c>
      <c r="U276">
        <v>0</v>
      </c>
      <c r="V276">
        <v>9</v>
      </c>
      <c r="W276">
        <v>7</v>
      </c>
      <c r="X276" t="s">
        <v>11023</v>
      </c>
      <c r="Y276" t="s">
        <v>11023</v>
      </c>
      <c r="Z276" t="str">
        <f>_xlfn.XLOOKUP(Employees[[#This Row],[Education]], EdLevel[EducationLevelID], EdLevel[EducationLevel])</f>
        <v xml:space="preserve">Masters </v>
      </c>
      <c r="AA276">
        <f>IF(Employees[[#This Row],[Attrition]] = "Yes", 1, 0)</f>
        <v>0</v>
      </c>
      <c r="AB276" t="str" cm="1">
        <f t="array" ref="AB276">_xlfn.IFS(Employees[[#This Row],[Age]]&lt;30, "20-29", Employees[[#This Row],[Age]]&lt;40, "30-39", Employees[[#This Row],[Age]]&lt;50, "40-49", "TRUE", "50+")</f>
        <v>40-49</v>
      </c>
    </row>
    <row r="277" spans="1:28">
      <c r="A277" t="s">
        <v>889</v>
      </c>
      <c r="B277" t="s">
        <v>890</v>
      </c>
      <c r="C277" t="s">
        <v>891</v>
      </c>
      <c r="D277" t="s">
        <v>26</v>
      </c>
      <c r="E277">
        <v>48</v>
      </c>
      <c r="F277" t="s">
        <v>84</v>
      </c>
      <c r="G277" t="s">
        <v>28</v>
      </c>
      <c r="H277">
        <v>2</v>
      </c>
      <c r="I277" t="s">
        <v>39</v>
      </c>
      <c r="J277" t="s">
        <v>30</v>
      </c>
      <c r="K277">
        <v>1</v>
      </c>
      <c r="L277" t="s">
        <v>60</v>
      </c>
      <c r="M277" t="s">
        <v>150</v>
      </c>
      <c r="N277" t="s">
        <v>40</v>
      </c>
      <c r="O277">
        <v>37124</v>
      </c>
      <c r="P277">
        <v>0</v>
      </c>
      <c r="Q277" t="s">
        <v>34</v>
      </c>
      <c r="R277" s="1">
        <v>41614</v>
      </c>
      <c r="S277" t="s">
        <v>41</v>
      </c>
      <c r="T277">
        <v>9</v>
      </c>
      <c r="U277">
        <v>8</v>
      </c>
      <c r="V277">
        <v>8</v>
      </c>
      <c r="W277">
        <v>7</v>
      </c>
      <c r="X277" t="s">
        <v>11020</v>
      </c>
      <c r="Y277" t="s">
        <v>11020</v>
      </c>
      <c r="Z277" t="str">
        <f>_xlfn.XLOOKUP(Employees[[#This Row],[Education]], EdLevel[EducationLevelID], EdLevel[EducationLevel])</f>
        <v>No Formal Qualifications</v>
      </c>
      <c r="AA277">
        <f>IF(Employees[[#This Row],[Attrition]] = "Yes", 1, 0)</f>
        <v>1</v>
      </c>
      <c r="AB277" t="str" cm="1">
        <f t="array" ref="AB277">_xlfn.IFS(Employees[[#This Row],[Age]]&lt;30, "20-29", Employees[[#This Row],[Age]]&lt;40, "30-39", Employees[[#This Row],[Age]]&lt;50, "40-49", "TRUE", "50+")</f>
        <v>40-49</v>
      </c>
    </row>
    <row r="278" spans="1:28">
      <c r="A278" t="s">
        <v>892</v>
      </c>
      <c r="B278" t="s">
        <v>893</v>
      </c>
      <c r="C278" t="s">
        <v>894</v>
      </c>
      <c r="D278" t="s">
        <v>26</v>
      </c>
      <c r="E278">
        <v>41</v>
      </c>
      <c r="F278" t="s">
        <v>70</v>
      </c>
      <c r="G278" t="s">
        <v>54</v>
      </c>
      <c r="H278">
        <v>22</v>
      </c>
      <c r="I278" t="s">
        <v>39</v>
      </c>
      <c r="J278" t="s">
        <v>76</v>
      </c>
      <c r="K278">
        <v>3</v>
      </c>
      <c r="L278" t="s">
        <v>55</v>
      </c>
      <c r="M278" t="s">
        <v>85</v>
      </c>
      <c r="N278" t="s">
        <v>49</v>
      </c>
      <c r="O278">
        <v>52581</v>
      </c>
      <c r="P278">
        <v>0</v>
      </c>
      <c r="Q278" t="s">
        <v>34</v>
      </c>
      <c r="R278" s="1">
        <v>41617</v>
      </c>
      <c r="S278" t="s">
        <v>34</v>
      </c>
      <c r="T278">
        <v>9</v>
      </c>
      <c r="U278">
        <v>8</v>
      </c>
      <c r="V278">
        <v>8</v>
      </c>
      <c r="W278">
        <v>7</v>
      </c>
      <c r="X278" t="s">
        <v>11022</v>
      </c>
      <c r="Y278" t="s">
        <v>11022</v>
      </c>
      <c r="Z278" t="str">
        <f>_xlfn.XLOOKUP(Employees[[#This Row],[Education]], EdLevel[EducationLevelID], EdLevel[EducationLevel])</f>
        <v xml:space="preserve">Bachelors </v>
      </c>
      <c r="AA278">
        <f>IF(Employees[[#This Row],[Attrition]] = "Yes", 1, 0)</f>
        <v>0</v>
      </c>
      <c r="AB278" t="str" cm="1">
        <f t="array" ref="AB278">_xlfn.IFS(Employees[[#This Row],[Age]]&lt;30, "20-29", Employees[[#This Row],[Age]]&lt;40, "30-39", Employees[[#This Row],[Age]]&lt;50, "40-49", "TRUE", "50+")</f>
        <v>40-49</v>
      </c>
    </row>
    <row r="279" spans="1:28">
      <c r="A279" t="s">
        <v>895</v>
      </c>
      <c r="B279" t="s">
        <v>896</v>
      </c>
      <c r="C279" t="s">
        <v>897</v>
      </c>
      <c r="D279" t="s">
        <v>53</v>
      </c>
      <c r="E279">
        <v>40</v>
      </c>
      <c r="F279" t="s">
        <v>27</v>
      </c>
      <c r="G279" t="s">
        <v>54</v>
      </c>
      <c r="H279">
        <v>30</v>
      </c>
      <c r="I279" t="s">
        <v>29</v>
      </c>
      <c r="J279" t="s">
        <v>66</v>
      </c>
      <c r="K279">
        <v>4</v>
      </c>
      <c r="L279" t="s">
        <v>55</v>
      </c>
      <c r="M279" t="s">
        <v>93</v>
      </c>
      <c r="N279" t="s">
        <v>49</v>
      </c>
      <c r="O279">
        <v>145328</v>
      </c>
      <c r="P279">
        <v>1</v>
      </c>
      <c r="Q279" t="s">
        <v>34</v>
      </c>
      <c r="R279" s="1">
        <v>41617</v>
      </c>
      <c r="S279" t="s">
        <v>34</v>
      </c>
      <c r="T279">
        <v>9</v>
      </c>
      <c r="U279">
        <v>0</v>
      </c>
      <c r="V279">
        <v>9</v>
      </c>
      <c r="W279">
        <v>9</v>
      </c>
      <c r="X279" t="s">
        <v>11023</v>
      </c>
      <c r="Y279" t="s">
        <v>11023</v>
      </c>
      <c r="Z279" t="str">
        <f>_xlfn.XLOOKUP(Employees[[#This Row],[Education]], EdLevel[EducationLevelID], EdLevel[EducationLevel])</f>
        <v xml:space="preserve">Masters </v>
      </c>
      <c r="AA279">
        <f>IF(Employees[[#This Row],[Attrition]] = "Yes", 1, 0)</f>
        <v>0</v>
      </c>
      <c r="AB279" t="str" cm="1">
        <f t="array" ref="AB279">_xlfn.IFS(Employees[[#This Row],[Age]]&lt;30, "20-29", Employees[[#This Row],[Age]]&lt;40, "30-39", Employees[[#This Row],[Age]]&lt;50, "40-49", "TRUE", "50+")</f>
        <v>40-49</v>
      </c>
    </row>
    <row r="280" spans="1:28">
      <c r="A280" t="s">
        <v>898</v>
      </c>
      <c r="B280" t="s">
        <v>899</v>
      </c>
      <c r="C280" t="s">
        <v>900</v>
      </c>
      <c r="D280" t="s">
        <v>53</v>
      </c>
      <c r="E280">
        <v>43</v>
      </c>
      <c r="F280" t="s">
        <v>27</v>
      </c>
      <c r="G280" t="s">
        <v>54</v>
      </c>
      <c r="H280">
        <v>31</v>
      </c>
      <c r="I280" t="s">
        <v>65</v>
      </c>
      <c r="J280" t="s">
        <v>30</v>
      </c>
      <c r="K280">
        <v>4</v>
      </c>
      <c r="L280" t="s">
        <v>55</v>
      </c>
      <c r="M280" t="s">
        <v>101</v>
      </c>
      <c r="N280" t="s">
        <v>49</v>
      </c>
      <c r="O280">
        <v>130665</v>
      </c>
      <c r="P280">
        <v>1</v>
      </c>
      <c r="Q280" t="s">
        <v>34</v>
      </c>
      <c r="R280" s="1">
        <v>41618</v>
      </c>
      <c r="S280" t="s">
        <v>34</v>
      </c>
      <c r="T280">
        <v>9</v>
      </c>
      <c r="U280">
        <v>6</v>
      </c>
      <c r="V280">
        <v>9</v>
      </c>
      <c r="W280">
        <v>6</v>
      </c>
      <c r="X280" t="s">
        <v>11023</v>
      </c>
      <c r="Y280" t="s">
        <v>11023</v>
      </c>
      <c r="Z280" t="str">
        <f>_xlfn.XLOOKUP(Employees[[#This Row],[Education]], EdLevel[EducationLevelID], EdLevel[EducationLevel])</f>
        <v xml:space="preserve">Masters </v>
      </c>
      <c r="AA280">
        <f>IF(Employees[[#This Row],[Attrition]] = "Yes", 1, 0)</f>
        <v>0</v>
      </c>
      <c r="AB280" t="str" cm="1">
        <f t="array" ref="AB280">_xlfn.IFS(Employees[[#This Row],[Age]]&lt;30, "20-29", Employees[[#This Row],[Age]]&lt;40, "30-39", Employees[[#This Row],[Age]]&lt;50, "40-49", "TRUE", "50+")</f>
        <v>40-49</v>
      </c>
    </row>
    <row r="281" spans="1:28">
      <c r="A281" t="s">
        <v>901</v>
      </c>
      <c r="B281" t="s">
        <v>902</v>
      </c>
      <c r="C281" t="s">
        <v>903</v>
      </c>
      <c r="D281" t="s">
        <v>38</v>
      </c>
      <c r="E281">
        <v>44</v>
      </c>
      <c r="F281" t="s">
        <v>27</v>
      </c>
      <c r="G281" t="s">
        <v>54</v>
      </c>
      <c r="H281">
        <v>31</v>
      </c>
      <c r="I281" t="s">
        <v>39</v>
      </c>
      <c r="J281" t="s">
        <v>30</v>
      </c>
      <c r="K281">
        <v>2</v>
      </c>
      <c r="L281" t="s">
        <v>55</v>
      </c>
      <c r="M281" t="s">
        <v>101</v>
      </c>
      <c r="N281" t="s">
        <v>33</v>
      </c>
      <c r="O281">
        <v>81297</v>
      </c>
      <c r="P281">
        <v>2</v>
      </c>
      <c r="Q281" t="s">
        <v>41</v>
      </c>
      <c r="R281" s="1">
        <v>41622</v>
      </c>
      <c r="S281" t="s">
        <v>34</v>
      </c>
      <c r="T281">
        <v>9</v>
      </c>
      <c r="U281">
        <v>1</v>
      </c>
      <c r="V281">
        <v>8</v>
      </c>
      <c r="W281">
        <v>9</v>
      </c>
      <c r="X281" t="s">
        <v>11021</v>
      </c>
      <c r="Y281" t="s">
        <v>11021</v>
      </c>
      <c r="Z281" t="str">
        <f>_xlfn.XLOOKUP(Employees[[#This Row],[Education]], EdLevel[EducationLevelID], EdLevel[EducationLevel])</f>
        <v xml:space="preserve">High School </v>
      </c>
      <c r="AA281">
        <f>IF(Employees[[#This Row],[Attrition]] = "Yes", 1, 0)</f>
        <v>0</v>
      </c>
      <c r="AB281" t="str" cm="1">
        <f t="array" ref="AB281">_xlfn.IFS(Employees[[#This Row],[Age]]&lt;30, "20-29", Employees[[#This Row],[Age]]&lt;40, "30-39", Employees[[#This Row],[Age]]&lt;50, "40-49", "TRUE", "50+")</f>
        <v>40-49</v>
      </c>
    </row>
    <row r="282" spans="1:28">
      <c r="A282" t="s">
        <v>904</v>
      </c>
      <c r="B282" t="s">
        <v>905</v>
      </c>
      <c r="C282" t="s">
        <v>906</v>
      </c>
      <c r="D282" t="s">
        <v>53</v>
      </c>
      <c r="E282">
        <v>27</v>
      </c>
      <c r="F282" t="s">
        <v>27</v>
      </c>
      <c r="G282" t="s">
        <v>28</v>
      </c>
      <c r="H282">
        <v>37</v>
      </c>
      <c r="I282" t="s">
        <v>39</v>
      </c>
      <c r="J282" t="s">
        <v>30</v>
      </c>
      <c r="K282">
        <v>4</v>
      </c>
      <c r="L282" t="s">
        <v>47</v>
      </c>
      <c r="M282" t="s">
        <v>32</v>
      </c>
      <c r="N282" t="s">
        <v>40</v>
      </c>
      <c r="O282">
        <v>141998</v>
      </c>
      <c r="P282">
        <v>0</v>
      </c>
      <c r="Q282" t="s">
        <v>41</v>
      </c>
      <c r="R282" s="1">
        <v>41622</v>
      </c>
      <c r="S282" t="s">
        <v>41</v>
      </c>
      <c r="T282">
        <v>5</v>
      </c>
      <c r="U282">
        <v>5</v>
      </c>
      <c r="V282">
        <v>5</v>
      </c>
      <c r="W282">
        <v>1</v>
      </c>
      <c r="X282" t="s">
        <v>11023</v>
      </c>
      <c r="Y282" t="s">
        <v>11023</v>
      </c>
      <c r="Z282" t="str">
        <f>_xlfn.XLOOKUP(Employees[[#This Row],[Education]], EdLevel[EducationLevelID], EdLevel[EducationLevel])</f>
        <v xml:space="preserve">Masters </v>
      </c>
      <c r="AA282">
        <f>IF(Employees[[#This Row],[Attrition]] = "Yes", 1, 0)</f>
        <v>1</v>
      </c>
      <c r="AB282" t="str" cm="1">
        <f t="array" ref="AB282">_xlfn.IFS(Employees[[#This Row],[Age]]&lt;30, "20-29", Employees[[#This Row],[Age]]&lt;40, "30-39", Employees[[#This Row],[Age]]&lt;50, "40-49", "TRUE", "50+")</f>
        <v>20-29</v>
      </c>
    </row>
    <row r="283" spans="1:28">
      <c r="A283" t="s">
        <v>907</v>
      </c>
      <c r="B283" t="s">
        <v>908</v>
      </c>
      <c r="C283" t="s">
        <v>909</v>
      </c>
      <c r="D283" t="s">
        <v>26</v>
      </c>
      <c r="E283">
        <v>38</v>
      </c>
      <c r="F283" t="s">
        <v>27</v>
      </c>
      <c r="G283" t="s">
        <v>28</v>
      </c>
      <c r="H283">
        <v>9</v>
      </c>
      <c r="I283" t="s">
        <v>39</v>
      </c>
      <c r="J283" t="s">
        <v>46</v>
      </c>
      <c r="K283">
        <v>4</v>
      </c>
      <c r="L283" t="s">
        <v>121</v>
      </c>
      <c r="M283" t="s">
        <v>32</v>
      </c>
      <c r="N283" t="s">
        <v>33</v>
      </c>
      <c r="O283">
        <v>114713</v>
      </c>
      <c r="P283">
        <v>2</v>
      </c>
      <c r="Q283" t="s">
        <v>34</v>
      </c>
      <c r="R283" s="1">
        <v>41625</v>
      </c>
      <c r="S283" t="s">
        <v>34</v>
      </c>
      <c r="T283">
        <v>9</v>
      </c>
      <c r="U283">
        <v>0</v>
      </c>
      <c r="V283">
        <v>0</v>
      </c>
      <c r="W283">
        <v>1</v>
      </c>
      <c r="X283" t="s">
        <v>11023</v>
      </c>
      <c r="Y283" t="s">
        <v>11023</v>
      </c>
      <c r="Z283" t="str">
        <f>_xlfn.XLOOKUP(Employees[[#This Row],[Education]], EdLevel[EducationLevelID], EdLevel[EducationLevel])</f>
        <v xml:space="preserve">Masters </v>
      </c>
      <c r="AA283">
        <f>IF(Employees[[#This Row],[Attrition]] = "Yes", 1, 0)</f>
        <v>0</v>
      </c>
      <c r="AB283" t="str" cm="1">
        <f t="array" ref="AB283">_xlfn.IFS(Employees[[#This Row],[Age]]&lt;30, "20-29", Employees[[#This Row],[Age]]&lt;40, "30-39", Employees[[#This Row],[Age]]&lt;50, "40-49", "TRUE", "50+")</f>
        <v>30-39</v>
      </c>
    </row>
    <row r="284" spans="1:28">
      <c r="A284" t="s">
        <v>910</v>
      </c>
      <c r="B284" t="s">
        <v>911</v>
      </c>
      <c r="C284" t="s">
        <v>912</v>
      </c>
      <c r="D284" t="s">
        <v>38</v>
      </c>
      <c r="E284">
        <v>30</v>
      </c>
      <c r="F284" t="s">
        <v>84</v>
      </c>
      <c r="G284" t="s">
        <v>54</v>
      </c>
      <c r="H284">
        <v>33</v>
      </c>
      <c r="I284" t="s">
        <v>39</v>
      </c>
      <c r="J284" t="s">
        <v>30</v>
      </c>
      <c r="K284">
        <v>2</v>
      </c>
      <c r="L284" t="s">
        <v>55</v>
      </c>
      <c r="M284" t="s">
        <v>85</v>
      </c>
      <c r="N284" t="s">
        <v>40</v>
      </c>
      <c r="O284">
        <v>35126</v>
      </c>
      <c r="P284">
        <v>0</v>
      </c>
      <c r="Q284" t="s">
        <v>41</v>
      </c>
      <c r="R284" s="1">
        <v>41626</v>
      </c>
      <c r="S284" t="s">
        <v>34</v>
      </c>
      <c r="T284">
        <v>9</v>
      </c>
      <c r="U284">
        <v>1</v>
      </c>
      <c r="V284">
        <v>5</v>
      </c>
      <c r="W284">
        <v>5</v>
      </c>
      <c r="X284" t="s">
        <v>11021</v>
      </c>
      <c r="Y284" t="s">
        <v>11021</v>
      </c>
      <c r="Z284" t="str">
        <f>_xlfn.XLOOKUP(Employees[[#This Row],[Education]], EdLevel[EducationLevelID], EdLevel[EducationLevel])</f>
        <v xml:space="preserve">High School </v>
      </c>
      <c r="AA284">
        <f>IF(Employees[[#This Row],[Attrition]] = "Yes", 1, 0)</f>
        <v>0</v>
      </c>
      <c r="AB284" t="str" cm="1">
        <f t="array" ref="AB284">_xlfn.IFS(Employees[[#This Row],[Age]]&lt;30, "20-29", Employees[[#This Row],[Age]]&lt;40, "30-39", Employees[[#This Row],[Age]]&lt;50, "40-49", "TRUE", "50+")</f>
        <v>30-39</v>
      </c>
    </row>
    <row r="285" spans="1:28">
      <c r="A285" t="s">
        <v>913</v>
      </c>
      <c r="B285" t="s">
        <v>914</v>
      </c>
      <c r="C285" t="s">
        <v>915</v>
      </c>
      <c r="D285" t="s">
        <v>38</v>
      </c>
      <c r="E285">
        <v>30</v>
      </c>
      <c r="F285" t="s">
        <v>27</v>
      </c>
      <c r="G285" t="s">
        <v>54</v>
      </c>
      <c r="H285">
        <v>45</v>
      </c>
      <c r="I285" t="s">
        <v>39</v>
      </c>
      <c r="J285" t="s">
        <v>30</v>
      </c>
      <c r="K285">
        <v>2</v>
      </c>
      <c r="L285" t="s">
        <v>178</v>
      </c>
      <c r="M285" t="s">
        <v>93</v>
      </c>
      <c r="N285" t="s">
        <v>40</v>
      </c>
      <c r="O285">
        <v>262409</v>
      </c>
      <c r="P285">
        <v>0</v>
      </c>
      <c r="Q285" t="s">
        <v>34</v>
      </c>
      <c r="R285" s="1">
        <v>41628</v>
      </c>
      <c r="S285" t="s">
        <v>34</v>
      </c>
      <c r="T285">
        <v>9</v>
      </c>
      <c r="U285">
        <v>8</v>
      </c>
      <c r="V285">
        <v>9</v>
      </c>
      <c r="W285">
        <v>8</v>
      </c>
      <c r="X285" t="s">
        <v>11021</v>
      </c>
      <c r="Y285" t="s">
        <v>11021</v>
      </c>
      <c r="Z285" t="str">
        <f>_xlfn.XLOOKUP(Employees[[#This Row],[Education]], EdLevel[EducationLevelID], EdLevel[EducationLevel])</f>
        <v xml:space="preserve">High School </v>
      </c>
      <c r="AA285">
        <f>IF(Employees[[#This Row],[Attrition]] = "Yes", 1, 0)</f>
        <v>0</v>
      </c>
      <c r="AB285" t="str" cm="1">
        <f t="array" ref="AB285">_xlfn.IFS(Employees[[#This Row],[Age]]&lt;30, "20-29", Employees[[#This Row],[Age]]&lt;40, "30-39", Employees[[#This Row],[Age]]&lt;50, "40-49", "TRUE", "50+")</f>
        <v>30-39</v>
      </c>
    </row>
    <row r="286" spans="1:28">
      <c r="A286" t="s">
        <v>916</v>
      </c>
      <c r="B286" t="s">
        <v>917</v>
      </c>
      <c r="C286" t="s">
        <v>918</v>
      </c>
      <c r="D286" t="s">
        <v>26</v>
      </c>
      <c r="E286">
        <v>30</v>
      </c>
      <c r="F286" t="s">
        <v>27</v>
      </c>
      <c r="G286" t="s">
        <v>54</v>
      </c>
      <c r="H286">
        <v>33</v>
      </c>
      <c r="I286" t="s">
        <v>39</v>
      </c>
      <c r="J286" t="s">
        <v>71</v>
      </c>
      <c r="K286">
        <v>2</v>
      </c>
      <c r="L286" t="s">
        <v>72</v>
      </c>
      <c r="M286" t="s">
        <v>101</v>
      </c>
      <c r="N286" t="s">
        <v>40</v>
      </c>
      <c r="O286">
        <v>55485</v>
      </c>
      <c r="P286">
        <v>0</v>
      </c>
      <c r="Q286" t="s">
        <v>34</v>
      </c>
      <c r="R286" s="1">
        <v>41633</v>
      </c>
      <c r="S286" t="s">
        <v>34</v>
      </c>
      <c r="T286">
        <v>9</v>
      </c>
      <c r="U286">
        <v>8</v>
      </c>
      <c r="V286">
        <v>9</v>
      </c>
      <c r="W286">
        <v>2</v>
      </c>
      <c r="X286" t="s">
        <v>11021</v>
      </c>
      <c r="Y286" t="s">
        <v>11021</v>
      </c>
      <c r="Z286" t="str">
        <f>_xlfn.XLOOKUP(Employees[[#This Row],[Education]], EdLevel[EducationLevelID], EdLevel[EducationLevel])</f>
        <v xml:space="preserve">High School </v>
      </c>
      <c r="AA286">
        <f>IF(Employees[[#This Row],[Attrition]] = "Yes", 1, 0)</f>
        <v>0</v>
      </c>
      <c r="AB286" t="str" cm="1">
        <f t="array" ref="AB286">_xlfn.IFS(Employees[[#This Row],[Age]]&lt;30, "20-29", Employees[[#This Row],[Age]]&lt;40, "30-39", Employees[[#This Row],[Age]]&lt;50, "40-49", "TRUE", "50+")</f>
        <v>30-39</v>
      </c>
    </row>
    <row r="287" spans="1:28">
      <c r="A287" t="s">
        <v>919</v>
      </c>
      <c r="B287" t="s">
        <v>920</v>
      </c>
      <c r="C287" t="s">
        <v>921</v>
      </c>
      <c r="D287" t="s">
        <v>26</v>
      </c>
      <c r="E287">
        <v>42</v>
      </c>
      <c r="F287" t="s">
        <v>27</v>
      </c>
      <c r="G287" t="s">
        <v>54</v>
      </c>
      <c r="H287">
        <v>43</v>
      </c>
      <c r="I287" t="s">
        <v>39</v>
      </c>
      <c r="J287" t="s">
        <v>71</v>
      </c>
      <c r="K287">
        <v>4</v>
      </c>
      <c r="L287" t="s">
        <v>55</v>
      </c>
      <c r="M287" t="s">
        <v>93</v>
      </c>
      <c r="N287" t="s">
        <v>33</v>
      </c>
      <c r="O287">
        <v>110069</v>
      </c>
      <c r="P287">
        <v>1</v>
      </c>
      <c r="Q287" t="s">
        <v>34</v>
      </c>
      <c r="R287" s="1">
        <v>41634</v>
      </c>
      <c r="S287" t="s">
        <v>34</v>
      </c>
      <c r="T287">
        <v>9</v>
      </c>
      <c r="U287">
        <v>3</v>
      </c>
      <c r="V287">
        <v>8</v>
      </c>
      <c r="W287">
        <v>4</v>
      </c>
      <c r="X287" t="s">
        <v>11023</v>
      </c>
      <c r="Y287" t="s">
        <v>11023</v>
      </c>
      <c r="Z287" t="str">
        <f>_xlfn.XLOOKUP(Employees[[#This Row],[Education]], EdLevel[EducationLevelID], EdLevel[EducationLevel])</f>
        <v xml:space="preserve">Masters </v>
      </c>
      <c r="AA287">
        <f>IF(Employees[[#This Row],[Attrition]] = "Yes", 1, 0)</f>
        <v>0</v>
      </c>
      <c r="AB287" t="str" cm="1">
        <f t="array" ref="AB287">_xlfn.IFS(Employees[[#This Row],[Age]]&lt;30, "20-29", Employees[[#This Row],[Age]]&lt;40, "30-39", Employees[[#This Row],[Age]]&lt;50, "40-49", "TRUE", "50+")</f>
        <v>40-49</v>
      </c>
    </row>
    <row r="288" spans="1:28">
      <c r="A288" t="s">
        <v>922</v>
      </c>
      <c r="B288" t="s">
        <v>923</v>
      </c>
      <c r="C288" t="s">
        <v>924</v>
      </c>
      <c r="D288" t="s">
        <v>38</v>
      </c>
      <c r="E288">
        <v>30</v>
      </c>
      <c r="F288" t="s">
        <v>27</v>
      </c>
      <c r="G288" t="s">
        <v>54</v>
      </c>
      <c r="H288">
        <v>26</v>
      </c>
      <c r="I288" t="s">
        <v>65</v>
      </c>
      <c r="J288" t="s">
        <v>30</v>
      </c>
      <c r="K288">
        <v>3</v>
      </c>
      <c r="L288" t="s">
        <v>72</v>
      </c>
      <c r="M288" t="s">
        <v>93</v>
      </c>
      <c r="N288" t="s">
        <v>33</v>
      </c>
      <c r="O288">
        <v>94791</v>
      </c>
      <c r="P288">
        <v>1</v>
      </c>
      <c r="Q288" t="s">
        <v>34</v>
      </c>
      <c r="R288" s="1">
        <v>41635</v>
      </c>
      <c r="S288" t="s">
        <v>34</v>
      </c>
      <c r="T288">
        <v>9</v>
      </c>
      <c r="U288">
        <v>9</v>
      </c>
      <c r="V288">
        <v>9</v>
      </c>
      <c r="W288">
        <v>0</v>
      </c>
      <c r="X288" t="s">
        <v>11022</v>
      </c>
      <c r="Y288" t="s">
        <v>11022</v>
      </c>
      <c r="Z288" t="str">
        <f>_xlfn.XLOOKUP(Employees[[#This Row],[Education]], EdLevel[EducationLevelID], EdLevel[EducationLevel])</f>
        <v xml:space="preserve">Bachelors </v>
      </c>
      <c r="AA288">
        <f>IF(Employees[[#This Row],[Attrition]] = "Yes", 1, 0)</f>
        <v>0</v>
      </c>
      <c r="AB288" t="str" cm="1">
        <f t="array" ref="AB288">_xlfn.IFS(Employees[[#This Row],[Age]]&lt;30, "20-29", Employees[[#This Row],[Age]]&lt;40, "30-39", Employees[[#This Row],[Age]]&lt;50, "40-49", "TRUE", "50+")</f>
        <v>30-39</v>
      </c>
    </row>
    <row r="289" spans="1:28">
      <c r="A289" t="s">
        <v>925</v>
      </c>
      <c r="B289" t="s">
        <v>926</v>
      </c>
      <c r="C289" t="s">
        <v>927</v>
      </c>
      <c r="D289" t="s">
        <v>26</v>
      </c>
      <c r="E289">
        <v>31</v>
      </c>
      <c r="F289" t="s">
        <v>84</v>
      </c>
      <c r="G289" t="s">
        <v>28</v>
      </c>
      <c r="H289">
        <v>28</v>
      </c>
      <c r="I289" t="s">
        <v>65</v>
      </c>
      <c r="J289" t="s">
        <v>30</v>
      </c>
      <c r="K289">
        <v>2</v>
      </c>
      <c r="L289" t="s">
        <v>47</v>
      </c>
      <c r="M289" t="s">
        <v>32</v>
      </c>
      <c r="N289" t="s">
        <v>49</v>
      </c>
      <c r="O289">
        <v>183189</v>
      </c>
      <c r="P289">
        <v>1</v>
      </c>
      <c r="Q289" t="s">
        <v>34</v>
      </c>
      <c r="R289" s="1">
        <v>41640</v>
      </c>
      <c r="S289" t="s">
        <v>34</v>
      </c>
      <c r="T289">
        <v>8</v>
      </c>
      <c r="U289">
        <v>3</v>
      </c>
      <c r="V289">
        <v>6</v>
      </c>
      <c r="W289">
        <v>6</v>
      </c>
      <c r="X289" t="s">
        <v>11021</v>
      </c>
      <c r="Y289" t="s">
        <v>11021</v>
      </c>
      <c r="Z289" t="str">
        <f>_xlfn.XLOOKUP(Employees[[#This Row],[Education]], EdLevel[EducationLevelID], EdLevel[EducationLevel])</f>
        <v xml:space="preserve">High School </v>
      </c>
      <c r="AA289">
        <f>IF(Employees[[#This Row],[Attrition]] = "Yes", 1, 0)</f>
        <v>0</v>
      </c>
      <c r="AB289" t="str" cm="1">
        <f t="array" ref="AB289">_xlfn.IFS(Employees[[#This Row],[Age]]&lt;30, "20-29", Employees[[#This Row],[Age]]&lt;40, "30-39", Employees[[#This Row],[Age]]&lt;50, "40-49", "TRUE", "50+")</f>
        <v>30-39</v>
      </c>
    </row>
    <row r="290" spans="1:28">
      <c r="A290" t="s">
        <v>928</v>
      </c>
      <c r="B290" t="s">
        <v>929</v>
      </c>
      <c r="C290" t="s">
        <v>930</v>
      </c>
      <c r="D290" t="s">
        <v>38</v>
      </c>
      <c r="E290">
        <v>44</v>
      </c>
      <c r="F290" t="s">
        <v>27</v>
      </c>
      <c r="G290" t="s">
        <v>28</v>
      </c>
      <c r="H290">
        <v>29</v>
      </c>
      <c r="I290" t="s">
        <v>65</v>
      </c>
      <c r="J290" t="s">
        <v>30</v>
      </c>
      <c r="K290">
        <v>3</v>
      </c>
      <c r="L290" t="s">
        <v>47</v>
      </c>
      <c r="M290" t="s">
        <v>32</v>
      </c>
      <c r="N290" t="s">
        <v>49</v>
      </c>
      <c r="O290">
        <v>126073</v>
      </c>
      <c r="P290">
        <v>1</v>
      </c>
      <c r="Q290" t="s">
        <v>34</v>
      </c>
      <c r="R290" s="1">
        <v>41642</v>
      </c>
      <c r="S290" t="s">
        <v>34</v>
      </c>
      <c r="T290">
        <v>8</v>
      </c>
      <c r="U290">
        <v>0</v>
      </c>
      <c r="V290">
        <v>2</v>
      </c>
      <c r="W290">
        <v>0</v>
      </c>
      <c r="X290" t="s">
        <v>11022</v>
      </c>
      <c r="Y290" t="s">
        <v>11022</v>
      </c>
      <c r="Z290" t="str">
        <f>_xlfn.XLOOKUP(Employees[[#This Row],[Education]], EdLevel[EducationLevelID], EdLevel[EducationLevel])</f>
        <v xml:space="preserve">Bachelors </v>
      </c>
      <c r="AA290">
        <f>IF(Employees[[#This Row],[Attrition]] = "Yes", 1, 0)</f>
        <v>0</v>
      </c>
      <c r="AB290" t="str" cm="1">
        <f t="array" ref="AB290">_xlfn.IFS(Employees[[#This Row],[Age]]&lt;30, "20-29", Employees[[#This Row],[Age]]&lt;40, "30-39", Employees[[#This Row],[Age]]&lt;50, "40-49", "TRUE", "50+")</f>
        <v>40-49</v>
      </c>
    </row>
    <row r="291" spans="1:28">
      <c r="A291" t="s">
        <v>931</v>
      </c>
      <c r="B291" t="s">
        <v>932</v>
      </c>
      <c r="C291" t="s">
        <v>933</v>
      </c>
      <c r="D291" t="s">
        <v>26</v>
      </c>
      <c r="E291">
        <v>47</v>
      </c>
      <c r="F291" t="s">
        <v>27</v>
      </c>
      <c r="G291" t="s">
        <v>54</v>
      </c>
      <c r="H291">
        <v>8</v>
      </c>
      <c r="I291" t="s">
        <v>39</v>
      </c>
      <c r="J291" t="s">
        <v>46</v>
      </c>
      <c r="K291">
        <v>3</v>
      </c>
      <c r="L291" t="s">
        <v>55</v>
      </c>
      <c r="M291" t="s">
        <v>56</v>
      </c>
      <c r="N291" t="s">
        <v>49</v>
      </c>
      <c r="O291">
        <v>287710</v>
      </c>
      <c r="P291">
        <v>1</v>
      </c>
      <c r="Q291" t="s">
        <v>34</v>
      </c>
      <c r="R291" s="1">
        <v>41644</v>
      </c>
      <c r="S291" t="s">
        <v>34</v>
      </c>
      <c r="T291">
        <v>8</v>
      </c>
      <c r="U291">
        <v>8</v>
      </c>
      <c r="V291">
        <v>8</v>
      </c>
      <c r="W291">
        <v>5</v>
      </c>
      <c r="X291" t="s">
        <v>11022</v>
      </c>
      <c r="Y291" t="s">
        <v>11022</v>
      </c>
      <c r="Z291" t="str">
        <f>_xlfn.XLOOKUP(Employees[[#This Row],[Education]], EdLevel[EducationLevelID], EdLevel[EducationLevel])</f>
        <v xml:space="preserve">Bachelors </v>
      </c>
      <c r="AA291">
        <f>IF(Employees[[#This Row],[Attrition]] = "Yes", 1, 0)</f>
        <v>0</v>
      </c>
      <c r="AB291" t="str" cm="1">
        <f t="array" ref="AB291">_xlfn.IFS(Employees[[#This Row],[Age]]&lt;30, "20-29", Employees[[#This Row],[Age]]&lt;40, "30-39", Employees[[#This Row],[Age]]&lt;50, "40-49", "TRUE", "50+")</f>
        <v>40-49</v>
      </c>
    </row>
    <row r="292" spans="1:28">
      <c r="A292" t="s">
        <v>934</v>
      </c>
      <c r="B292" t="s">
        <v>935</v>
      </c>
      <c r="C292" t="s">
        <v>936</v>
      </c>
      <c r="D292" t="s">
        <v>38</v>
      </c>
      <c r="E292">
        <v>28</v>
      </c>
      <c r="F292" t="s">
        <v>84</v>
      </c>
      <c r="G292" t="s">
        <v>54</v>
      </c>
      <c r="H292">
        <v>5</v>
      </c>
      <c r="I292" t="s">
        <v>65</v>
      </c>
      <c r="J292" t="s">
        <v>66</v>
      </c>
      <c r="K292">
        <v>3</v>
      </c>
      <c r="L292" t="s">
        <v>72</v>
      </c>
      <c r="M292" t="s">
        <v>85</v>
      </c>
      <c r="N292" t="s">
        <v>40</v>
      </c>
      <c r="O292">
        <v>76133</v>
      </c>
      <c r="P292">
        <v>0</v>
      </c>
      <c r="Q292" t="s">
        <v>41</v>
      </c>
      <c r="R292" s="1">
        <v>41645</v>
      </c>
      <c r="S292" t="s">
        <v>41</v>
      </c>
      <c r="T292">
        <v>1</v>
      </c>
      <c r="U292">
        <v>0</v>
      </c>
      <c r="V292">
        <v>1</v>
      </c>
      <c r="W292">
        <v>0</v>
      </c>
      <c r="X292" t="s">
        <v>11022</v>
      </c>
      <c r="Y292" t="s">
        <v>11022</v>
      </c>
      <c r="Z292" t="str">
        <f>_xlfn.XLOOKUP(Employees[[#This Row],[Education]], EdLevel[EducationLevelID], EdLevel[EducationLevel])</f>
        <v xml:space="preserve">Bachelors </v>
      </c>
      <c r="AA292">
        <f>IF(Employees[[#This Row],[Attrition]] = "Yes", 1, 0)</f>
        <v>1</v>
      </c>
      <c r="AB292" t="str" cm="1">
        <f t="array" ref="AB292">_xlfn.IFS(Employees[[#This Row],[Age]]&lt;30, "20-29", Employees[[#This Row],[Age]]&lt;40, "30-39", Employees[[#This Row],[Age]]&lt;50, "40-49", "TRUE", "50+")</f>
        <v>20-29</v>
      </c>
    </row>
    <row r="293" spans="1:28">
      <c r="A293" t="s">
        <v>937</v>
      </c>
      <c r="B293" t="s">
        <v>938</v>
      </c>
      <c r="C293" t="s">
        <v>939</v>
      </c>
      <c r="D293" t="s">
        <v>53</v>
      </c>
      <c r="E293">
        <v>47</v>
      </c>
      <c r="F293" t="s">
        <v>27</v>
      </c>
      <c r="G293" t="s">
        <v>54</v>
      </c>
      <c r="H293">
        <v>13</v>
      </c>
      <c r="I293" t="s">
        <v>39</v>
      </c>
      <c r="J293" t="s">
        <v>30</v>
      </c>
      <c r="K293">
        <v>3</v>
      </c>
      <c r="L293" t="s">
        <v>55</v>
      </c>
      <c r="M293" t="s">
        <v>85</v>
      </c>
      <c r="N293" t="s">
        <v>33</v>
      </c>
      <c r="O293">
        <v>61915</v>
      </c>
      <c r="P293">
        <v>1</v>
      </c>
      <c r="Q293" t="s">
        <v>34</v>
      </c>
      <c r="R293" s="1">
        <v>41646</v>
      </c>
      <c r="S293" t="s">
        <v>34</v>
      </c>
      <c r="T293">
        <v>8</v>
      </c>
      <c r="U293">
        <v>2</v>
      </c>
      <c r="V293">
        <v>4</v>
      </c>
      <c r="W293">
        <v>7</v>
      </c>
      <c r="X293" t="s">
        <v>11022</v>
      </c>
      <c r="Y293" t="s">
        <v>11022</v>
      </c>
      <c r="Z293" t="str">
        <f>_xlfn.XLOOKUP(Employees[[#This Row],[Education]], EdLevel[EducationLevelID], EdLevel[EducationLevel])</f>
        <v xml:space="preserve">Bachelors </v>
      </c>
      <c r="AA293">
        <f>IF(Employees[[#This Row],[Attrition]] = "Yes", 1, 0)</f>
        <v>0</v>
      </c>
      <c r="AB293" t="str" cm="1">
        <f t="array" ref="AB293">_xlfn.IFS(Employees[[#This Row],[Age]]&lt;30, "20-29", Employees[[#This Row],[Age]]&lt;40, "30-39", Employees[[#This Row],[Age]]&lt;50, "40-49", "TRUE", "50+")</f>
        <v>40-49</v>
      </c>
    </row>
    <row r="294" spans="1:28">
      <c r="A294" t="s">
        <v>940</v>
      </c>
      <c r="B294" t="s">
        <v>941</v>
      </c>
      <c r="C294" t="s">
        <v>942</v>
      </c>
      <c r="D294" t="s">
        <v>38</v>
      </c>
      <c r="E294">
        <v>26</v>
      </c>
      <c r="F294" t="s">
        <v>27</v>
      </c>
      <c r="G294" t="s">
        <v>28</v>
      </c>
      <c r="H294">
        <v>44</v>
      </c>
      <c r="I294" t="s">
        <v>39</v>
      </c>
      <c r="J294" t="s">
        <v>30</v>
      </c>
      <c r="K294">
        <v>1</v>
      </c>
      <c r="L294" t="s">
        <v>60</v>
      </c>
      <c r="M294" t="s">
        <v>150</v>
      </c>
      <c r="N294" t="s">
        <v>40</v>
      </c>
      <c r="O294">
        <v>40638</v>
      </c>
      <c r="P294">
        <v>0</v>
      </c>
      <c r="Q294" t="s">
        <v>41</v>
      </c>
      <c r="R294" s="1">
        <v>41650</v>
      </c>
      <c r="S294" t="s">
        <v>41</v>
      </c>
      <c r="T294">
        <v>2</v>
      </c>
      <c r="U294">
        <v>0</v>
      </c>
      <c r="V294">
        <v>0</v>
      </c>
      <c r="W294">
        <v>1</v>
      </c>
      <c r="X294" t="s">
        <v>11020</v>
      </c>
      <c r="Y294" t="s">
        <v>11020</v>
      </c>
      <c r="Z294" t="str">
        <f>_xlfn.XLOOKUP(Employees[[#This Row],[Education]], EdLevel[EducationLevelID], EdLevel[EducationLevel])</f>
        <v>No Formal Qualifications</v>
      </c>
      <c r="AA294">
        <f>IF(Employees[[#This Row],[Attrition]] = "Yes", 1, 0)</f>
        <v>1</v>
      </c>
      <c r="AB294" t="str" cm="1">
        <f t="array" ref="AB294">_xlfn.IFS(Employees[[#This Row],[Age]]&lt;30, "20-29", Employees[[#This Row],[Age]]&lt;40, "30-39", Employees[[#This Row],[Age]]&lt;50, "40-49", "TRUE", "50+")</f>
        <v>20-29</v>
      </c>
    </row>
    <row r="295" spans="1:28">
      <c r="A295" t="s">
        <v>943</v>
      </c>
      <c r="B295" t="s">
        <v>944</v>
      </c>
      <c r="C295" t="s">
        <v>945</v>
      </c>
      <c r="D295" t="s">
        <v>26</v>
      </c>
      <c r="E295">
        <v>33</v>
      </c>
      <c r="F295" t="s">
        <v>27</v>
      </c>
      <c r="G295" t="s">
        <v>54</v>
      </c>
      <c r="H295">
        <v>40</v>
      </c>
      <c r="I295" t="s">
        <v>29</v>
      </c>
      <c r="J295" t="s">
        <v>71</v>
      </c>
      <c r="K295">
        <v>4</v>
      </c>
      <c r="L295" t="s">
        <v>55</v>
      </c>
      <c r="M295" t="s">
        <v>105</v>
      </c>
      <c r="N295" t="s">
        <v>40</v>
      </c>
      <c r="O295">
        <v>181244</v>
      </c>
      <c r="P295">
        <v>0</v>
      </c>
      <c r="Q295" t="s">
        <v>34</v>
      </c>
      <c r="R295" s="1">
        <v>41654</v>
      </c>
      <c r="S295" t="s">
        <v>34</v>
      </c>
      <c r="T295">
        <v>8</v>
      </c>
      <c r="U295">
        <v>4</v>
      </c>
      <c r="V295">
        <v>8</v>
      </c>
      <c r="W295">
        <v>8</v>
      </c>
      <c r="X295" t="s">
        <v>11023</v>
      </c>
      <c r="Y295" t="s">
        <v>11023</v>
      </c>
      <c r="Z295" t="str">
        <f>_xlfn.XLOOKUP(Employees[[#This Row],[Education]], EdLevel[EducationLevelID], EdLevel[EducationLevel])</f>
        <v xml:space="preserve">Masters </v>
      </c>
      <c r="AA295">
        <f>IF(Employees[[#This Row],[Attrition]] = "Yes", 1, 0)</f>
        <v>0</v>
      </c>
      <c r="AB295" t="str" cm="1">
        <f t="array" ref="AB295">_xlfn.IFS(Employees[[#This Row],[Age]]&lt;30, "20-29", Employees[[#This Row],[Age]]&lt;40, "30-39", Employees[[#This Row],[Age]]&lt;50, "40-49", "TRUE", "50+")</f>
        <v>30-39</v>
      </c>
    </row>
    <row r="296" spans="1:28">
      <c r="A296" t="s">
        <v>946</v>
      </c>
      <c r="B296" t="s">
        <v>947</v>
      </c>
      <c r="C296" t="s">
        <v>948</v>
      </c>
      <c r="D296" t="s">
        <v>26</v>
      </c>
      <c r="E296">
        <v>30</v>
      </c>
      <c r="F296" t="s">
        <v>84</v>
      </c>
      <c r="G296" t="s">
        <v>54</v>
      </c>
      <c r="H296">
        <v>28</v>
      </c>
      <c r="I296" t="s">
        <v>65</v>
      </c>
      <c r="J296" t="s">
        <v>30</v>
      </c>
      <c r="K296">
        <v>3</v>
      </c>
      <c r="L296" t="s">
        <v>72</v>
      </c>
      <c r="M296" t="s">
        <v>101</v>
      </c>
      <c r="N296" t="s">
        <v>33</v>
      </c>
      <c r="O296">
        <v>46388</v>
      </c>
      <c r="P296">
        <v>1</v>
      </c>
      <c r="Q296" t="s">
        <v>34</v>
      </c>
      <c r="R296" s="1">
        <v>41655</v>
      </c>
      <c r="S296" t="s">
        <v>34</v>
      </c>
      <c r="T296">
        <v>8</v>
      </c>
      <c r="U296">
        <v>6</v>
      </c>
      <c r="V296">
        <v>6</v>
      </c>
      <c r="W296">
        <v>3</v>
      </c>
      <c r="X296" t="s">
        <v>11022</v>
      </c>
      <c r="Y296" t="s">
        <v>11022</v>
      </c>
      <c r="Z296" t="str">
        <f>_xlfn.XLOOKUP(Employees[[#This Row],[Education]], EdLevel[EducationLevelID], EdLevel[EducationLevel])</f>
        <v xml:space="preserve">Bachelors </v>
      </c>
      <c r="AA296">
        <f>IF(Employees[[#This Row],[Attrition]] = "Yes", 1, 0)</f>
        <v>0</v>
      </c>
      <c r="AB296" t="str" cm="1">
        <f t="array" ref="AB296">_xlfn.IFS(Employees[[#This Row],[Age]]&lt;30, "20-29", Employees[[#This Row],[Age]]&lt;40, "30-39", Employees[[#This Row],[Age]]&lt;50, "40-49", "TRUE", "50+")</f>
        <v>30-39</v>
      </c>
    </row>
    <row r="297" spans="1:28">
      <c r="A297" t="s">
        <v>949</v>
      </c>
      <c r="B297" t="s">
        <v>950</v>
      </c>
      <c r="C297" t="s">
        <v>951</v>
      </c>
      <c r="D297" t="s">
        <v>38</v>
      </c>
      <c r="E297">
        <v>38</v>
      </c>
      <c r="F297" t="s">
        <v>70</v>
      </c>
      <c r="G297" t="s">
        <v>54</v>
      </c>
      <c r="H297">
        <v>4</v>
      </c>
      <c r="I297" t="s">
        <v>39</v>
      </c>
      <c r="J297" t="s">
        <v>30</v>
      </c>
      <c r="K297">
        <v>3</v>
      </c>
      <c r="L297" t="s">
        <v>72</v>
      </c>
      <c r="M297" t="s">
        <v>101</v>
      </c>
      <c r="N297" t="s">
        <v>33</v>
      </c>
      <c r="O297">
        <v>45942</v>
      </c>
      <c r="P297">
        <v>1</v>
      </c>
      <c r="Q297" t="s">
        <v>41</v>
      </c>
      <c r="R297" s="1">
        <v>41669</v>
      </c>
      <c r="S297" t="s">
        <v>34</v>
      </c>
      <c r="T297">
        <v>8</v>
      </c>
      <c r="U297">
        <v>4</v>
      </c>
      <c r="V297">
        <v>5</v>
      </c>
      <c r="W297">
        <v>8</v>
      </c>
      <c r="X297" t="s">
        <v>11022</v>
      </c>
      <c r="Y297" t="s">
        <v>11022</v>
      </c>
      <c r="Z297" t="str">
        <f>_xlfn.XLOOKUP(Employees[[#This Row],[Education]], EdLevel[EducationLevelID], EdLevel[EducationLevel])</f>
        <v xml:space="preserve">Bachelors </v>
      </c>
      <c r="AA297">
        <f>IF(Employees[[#This Row],[Attrition]] = "Yes", 1, 0)</f>
        <v>0</v>
      </c>
      <c r="AB297" t="str" cm="1">
        <f t="array" ref="AB297">_xlfn.IFS(Employees[[#This Row],[Age]]&lt;30, "20-29", Employees[[#This Row],[Age]]&lt;40, "30-39", Employees[[#This Row],[Age]]&lt;50, "40-49", "TRUE", "50+")</f>
        <v>30-39</v>
      </c>
    </row>
    <row r="298" spans="1:28">
      <c r="A298" t="s">
        <v>952</v>
      </c>
      <c r="B298" t="s">
        <v>953</v>
      </c>
      <c r="C298" t="s">
        <v>954</v>
      </c>
      <c r="D298" t="s">
        <v>26</v>
      </c>
      <c r="E298">
        <v>43</v>
      </c>
      <c r="F298" t="s">
        <v>27</v>
      </c>
      <c r="G298" t="s">
        <v>54</v>
      </c>
      <c r="H298">
        <v>18</v>
      </c>
      <c r="I298" t="s">
        <v>29</v>
      </c>
      <c r="J298" t="s">
        <v>92</v>
      </c>
      <c r="K298">
        <v>1</v>
      </c>
      <c r="L298" t="s">
        <v>55</v>
      </c>
      <c r="M298" t="s">
        <v>101</v>
      </c>
      <c r="N298" t="s">
        <v>49</v>
      </c>
      <c r="O298">
        <v>49882</v>
      </c>
      <c r="P298">
        <v>1</v>
      </c>
      <c r="Q298" t="s">
        <v>34</v>
      </c>
      <c r="R298" s="1">
        <v>41672</v>
      </c>
      <c r="S298" t="s">
        <v>34</v>
      </c>
      <c r="T298">
        <v>8</v>
      </c>
      <c r="U298">
        <v>3</v>
      </c>
      <c r="V298">
        <v>8</v>
      </c>
      <c r="W298">
        <v>2</v>
      </c>
      <c r="X298" t="s">
        <v>11020</v>
      </c>
      <c r="Y298" t="s">
        <v>11020</v>
      </c>
      <c r="Z298" t="str">
        <f>_xlfn.XLOOKUP(Employees[[#This Row],[Education]], EdLevel[EducationLevelID], EdLevel[EducationLevel])</f>
        <v>No Formal Qualifications</v>
      </c>
      <c r="AA298">
        <f>IF(Employees[[#This Row],[Attrition]] = "Yes", 1, 0)</f>
        <v>0</v>
      </c>
      <c r="AB298" t="str" cm="1">
        <f t="array" ref="AB298">_xlfn.IFS(Employees[[#This Row],[Age]]&lt;30, "20-29", Employees[[#This Row],[Age]]&lt;40, "30-39", Employees[[#This Row],[Age]]&lt;50, "40-49", "TRUE", "50+")</f>
        <v>40-49</v>
      </c>
    </row>
    <row r="299" spans="1:28">
      <c r="A299" t="s">
        <v>955</v>
      </c>
      <c r="B299" t="s">
        <v>956</v>
      </c>
      <c r="C299" t="s">
        <v>957</v>
      </c>
      <c r="D299" t="s">
        <v>26</v>
      </c>
      <c r="E299">
        <v>35</v>
      </c>
      <c r="F299" t="s">
        <v>27</v>
      </c>
      <c r="G299" t="s">
        <v>54</v>
      </c>
      <c r="H299">
        <v>43</v>
      </c>
      <c r="I299" t="s">
        <v>65</v>
      </c>
      <c r="J299" t="s">
        <v>71</v>
      </c>
      <c r="K299">
        <v>1</v>
      </c>
      <c r="L299" t="s">
        <v>178</v>
      </c>
      <c r="M299" t="s">
        <v>56</v>
      </c>
      <c r="N299" t="s">
        <v>33</v>
      </c>
      <c r="O299">
        <v>243863</v>
      </c>
      <c r="P299">
        <v>1</v>
      </c>
      <c r="Q299" t="s">
        <v>41</v>
      </c>
      <c r="R299" s="1">
        <v>41674</v>
      </c>
      <c r="S299" t="s">
        <v>34</v>
      </c>
      <c r="T299">
        <v>8</v>
      </c>
      <c r="U299">
        <v>1</v>
      </c>
      <c r="V299">
        <v>6</v>
      </c>
      <c r="W299">
        <v>6</v>
      </c>
      <c r="X299" t="s">
        <v>11020</v>
      </c>
      <c r="Y299" t="s">
        <v>11020</v>
      </c>
      <c r="Z299" t="str">
        <f>_xlfn.XLOOKUP(Employees[[#This Row],[Education]], EdLevel[EducationLevelID], EdLevel[EducationLevel])</f>
        <v>No Formal Qualifications</v>
      </c>
      <c r="AA299">
        <f>IF(Employees[[#This Row],[Attrition]] = "Yes", 1, 0)</f>
        <v>0</v>
      </c>
      <c r="AB299" t="str" cm="1">
        <f t="array" ref="AB299">_xlfn.IFS(Employees[[#This Row],[Age]]&lt;30, "20-29", Employees[[#This Row],[Age]]&lt;40, "30-39", Employees[[#This Row],[Age]]&lt;50, "40-49", "TRUE", "50+")</f>
        <v>30-39</v>
      </c>
    </row>
    <row r="300" spans="1:28">
      <c r="A300" t="s">
        <v>958</v>
      </c>
      <c r="B300" t="s">
        <v>959</v>
      </c>
      <c r="C300" t="s">
        <v>960</v>
      </c>
      <c r="D300" t="s">
        <v>26</v>
      </c>
      <c r="E300">
        <v>40</v>
      </c>
      <c r="F300" t="s">
        <v>27</v>
      </c>
      <c r="G300" t="s">
        <v>54</v>
      </c>
      <c r="H300">
        <v>26</v>
      </c>
      <c r="I300" t="s">
        <v>39</v>
      </c>
      <c r="J300" t="s">
        <v>66</v>
      </c>
      <c r="K300">
        <v>3</v>
      </c>
      <c r="L300" t="s">
        <v>72</v>
      </c>
      <c r="M300" t="s">
        <v>85</v>
      </c>
      <c r="N300" t="s">
        <v>33</v>
      </c>
      <c r="O300">
        <v>59899</v>
      </c>
      <c r="P300">
        <v>3</v>
      </c>
      <c r="Q300" t="s">
        <v>34</v>
      </c>
      <c r="R300" s="1">
        <v>41676</v>
      </c>
      <c r="S300" t="s">
        <v>34</v>
      </c>
      <c r="T300">
        <v>8</v>
      </c>
      <c r="U300">
        <v>2</v>
      </c>
      <c r="V300">
        <v>3</v>
      </c>
      <c r="W300">
        <v>6</v>
      </c>
      <c r="X300" t="s">
        <v>11022</v>
      </c>
      <c r="Y300" t="s">
        <v>11022</v>
      </c>
      <c r="Z300" t="str">
        <f>_xlfn.XLOOKUP(Employees[[#This Row],[Education]], EdLevel[EducationLevelID], EdLevel[EducationLevel])</f>
        <v xml:space="preserve">Bachelors </v>
      </c>
      <c r="AA300">
        <f>IF(Employees[[#This Row],[Attrition]] = "Yes", 1, 0)</f>
        <v>0</v>
      </c>
      <c r="AB300" t="str" cm="1">
        <f t="array" ref="AB300">_xlfn.IFS(Employees[[#This Row],[Age]]&lt;30, "20-29", Employees[[#This Row],[Age]]&lt;40, "30-39", Employees[[#This Row],[Age]]&lt;50, "40-49", "TRUE", "50+")</f>
        <v>40-49</v>
      </c>
    </row>
    <row r="301" spans="1:28">
      <c r="A301" t="s">
        <v>961</v>
      </c>
      <c r="B301" t="s">
        <v>962</v>
      </c>
      <c r="C301" t="s">
        <v>963</v>
      </c>
      <c r="D301" t="s">
        <v>26</v>
      </c>
      <c r="E301">
        <v>32</v>
      </c>
      <c r="F301" t="s">
        <v>27</v>
      </c>
      <c r="G301" t="s">
        <v>54</v>
      </c>
      <c r="H301">
        <v>33</v>
      </c>
      <c r="I301" t="s">
        <v>39</v>
      </c>
      <c r="J301" t="s">
        <v>66</v>
      </c>
      <c r="K301">
        <v>3</v>
      </c>
      <c r="L301" t="s">
        <v>72</v>
      </c>
      <c r="M301" t="s">
        <v>85</v>
      </c>
      <c r="N301" t="s">
        <v>49</v>
      </c>
      <c r="O301">
        <v>121881</v>
      </c>
      <c r="P301">
        <v>2</v>
      </c>
      <c r="Q301" t="s">
        <v>34</v>
      </c>
      <c r="R301" s="1">
        <v>41679</v>
      </c>
      <c r="S301" t="s">
        <v>34</v>
      </c>
      <c r="T301">
        <v>8</v>
      </c>
      <c r="U301">
        <v>7</v>
      </c>
      <c r="V301">
        <v>8</v>
      </c>
      <c r="W301">
        <v>8</v>
      </c>
      <c r="X301" t="s">
        <v>11022</v>
      </c>
      <c r="Y301" t="s">
        <v>11022</v>
      </c>
      <c r="Z301" t="str">
        <f>_xlfn.XLOOKUP(Employees[[#This Row],[Education]], EdLevel[EducationLevelID], EdLevel[EducationLevel])</f>
        <v xml:space="preserve">Bachelors </v>
      </c>
      <c r="AA301">
        <f>IF(Employees[[#This Row],[Attrition]] = "Yes", 1, 0)</f>
        <v>0</v>
      </c>
      <c r="AB301" t="str" cm="1">
        <f t="array" ref="AB301">_xlfn.IFS(Employees[[#This Row],[Age]]&lt;30, "20-29", Employees[[#This Row],[Age]]&lt;40, "30-39", Employees[[#This Row],[Age]]&lt;50, "40-49", "TRUE", "50+")</f>
        <v>30-39</v>
      </c>
    </row>
    <row r="302" spans="1:28">
      <c r="A302" t="s">
        <v>964</v>
      </c>
      <c r="B302" t="s">
        <v>965</v>
      </c>
      <c r="C302" t="s">
        <v>966</v>
      </c>
      <c r="D302" t="s">
        <v>38</v>
      </c>
      <c r="E302">
        <v>43</v>
      </c>
      <c r="F302" t="s">
        <v>27</v>
      </c>
      <c r="G302" t="s">
        <v>54</v>
      </c>
      <c r="H302">
        <v>17</v>
      </c>
      <c r="I302" t="s">
        <v>39</v>
      </c>
      <c r="J302" t="s">
        <v>71</v>
      </c>
      <c r="K302">
        <v>4</v>
      </c>
      <c r="L302" t="s">
        <v>72</v>
      </c>
      <c r="M302" t="s">
        <v>93</v>
      </c>
      <c r="N302" t="s">
        <v>40</v>
      </c>
      <c r="O302">
        <v>130848</v>
      </c>
      <c r="P302">
        <v>0</v>
      </c>
      <c r="Q302" t="s">
        <v>41</v>
      </c>
      <c r="R302" s="1">
        <v>41679</v>
      </c>
      <c r="S302" t="s">
        <v>34</v>
      </c>
      <c r="T302">
        <v>8</v>
      </c>
      <c r="U302">
        <v>8</v>
      </c>
      <c r="V302">
        <v>8</v>
      </c>
      <c r="W302">
        <v>8</v>
      </c>
      <c r="X302" t="s">
        <v>11023</v>
      </c>
      <c r="Y302" t="s">
        <v>11023</v>
      </c>
      <c r="Z302" t="str">
        <f>_xlfn.XLOOKUP(Employees[[#This Row],[Education]], EdLevel[EducationLevelID], EdLevel[EducationLevel])</f>
        <v xml:space="preserve">Masters </v>
      </c>
      <c r="AA302">
        <f>IF(Employees[[#This Row],[Attrition]] = "Yes", 1, 0)</f>
        <v>0</v>
      </c>
      <c r="AB302" t="str" cm="1">
        <f t="array" ref="AB302">_xlfn.IFS(Employees[[#This Row],[Age]]&lt;30, "20-29", Employees[[#This Row],[Age]]&lt;40, "30-39", Employees[[#This Row],[Age]]&lt;50, "40-49", "TRUE", "50+")</f>
        <v>40-49</v>
      </c>
    </row>
    <row r="303" spans="1:28">
      <c r="A303" t="s">
        <v>967</v>
      </c>
      <c r="B303" t="s">
        <v>968</v>
      </c>
      <c r="C303" t="s">
        <v>969</v>
      </c>
      <c r="D303" t="s">
        <v>26</v>
      </c>
      <c r="E303">
        <v>34</v>
      </c>
      <c r="F303" t="s">
        <v>70</v>
      </c>
      <c r="G303" t="s">
        <v>54</v>
      </c>
      <c r="H303">
        <v>8</v>
      </c>
      <c r="I303" t="s">
        <v>39</v>
      </c>
      <c r="J303" t="s">
        <v>46</v>
      </c>
      <c r="K303">
        <v>4</v>
      </c>
      <c r="L303" t="s">
        <v>72</v>
      </c>
      <c r="M303" t="s">
        <v>85</v>
      </c>
      <c r="N303" t="s">
        <v>40</v>
      </c>
      <c r="O303">
        <v>104268</v>
      </c>
      <c r="P303">
        <v>0</v>
      </c>
      <c r="Q303" t="s">
        <v>34</v>
      </c>
      <c r="R303" s="1">
        <v>41680</v>
      </c>
      <c r="S303" t="s">
        <v>34</v>
      </c>
      <c r="T303">
        <v>8</v>
      </c>
      <c r="U303">
        <v>7</v>
      </c>
      <c r="V303">
        <v>7</v>
      </c>
      <c r="W303">
        <v>7</v>
      </c>
      <c r="X303" t="s">
        <v>11023</v>
      </c>
      <c r="Y303" t="s">
        <v>11023</v>
      </c>
      <c r="Z303" t="str">
        <f>_xlfn.XLOOKUP(Employees[[#This Row],[Education]], EdLevel[EducationLevelID], EdLevel[EducationLevel])</f>
        <v xml:space="preserve">Masters </v>
      </c>
      <c r="AA303">
        <f>IF(Employees[[#This Row],[Attrition]] = "Yes", 1, 0)</f>
        <v>0</v>
      </c>
      <c r="AB303" t="str" cm="1">
        <f t="array" ref="AB303">_xlfn.IFS(Employees[[#This Row],[Age]]&lt;30, "20-29", Employees[[#This Row],[Age]]&lt;40, "30-39", Employees[[#This Row],[Age]]&lt;50, "40-49", "TRUE", "50+")</f>
        <v>30-39</v>
      </c>
    </row>
    <row r="304" spans="1:28">
      <c r="A304" t="s">
        <v>970</v>
      </c>
      <c r="B304" t="s">
        <v>971</v>
      </c>
      <c r="C304" t="s">
        <v>972</v>
      </c>
      <c r="D304" t="s">
        <v>53</v>
      </c>
      <c r="E304">
        <v>30</v>
      </c>
      <c r="F304" t="s">
        <v>27</v>
      </c>
      <c r="G304" t="s">
        <v>28</v>
      </c>
      <c r="H304">
        <v>37</v>
      </c>
      <c r="I304" t="s">
        <v>39</v>
      </c>
      <c r="J304" t="s">
        <v>46</v>
      </c>
      <c r="K304">
        <v>4</v>
      </c>
      <c r="L304" t="s">
        <v>121</v>
      </c>
      <c r="M304" t="s">
        <v>32</v>
      </c>
      <c r="N304" t="s">
        <v>40</v>
      </c>
      <c r="O304">
        <v>341039</v>
      </c>
      <c r="P304">
        <v>0</v>
      </c>
      <c r="Q304" t="s">
        <v>34</v>
      </c>
      <c r="R304" s="1">
        <v>41686</v>
      </c>
      <c r="S304" t="s">
        <v>34</v>
      </c>
      <c r="T304">
        <v>8</v>
      </c>
      <c r="U304">
        <v>2</v>
      </c>
      <c r="V304">
        <v>4</v>
      </c>
      <c r="W304">
        <v>1</v>
      </c>
      <c r="X304" t="s">
        <v>11023</v>
      </c>
      <c r="Y304" t="s">
        <v>11023</v>
      </c>
      <c r="Z304" t="str">
        <f>_xlfn.XLOOKUP(Employees[[#This Row],[Education]], EdLevel[EducationLevelID], EdLevel[EducationLevel])</f>
        <v xml:space="preserve">Masters </v>
      </c>
      <c r="AA304">
        <f>IF(Employees[[#This Row],[Attrition]] = "Yes", 1, 0)</f>
        <v>0</v>
      </c>
      <c r="AB304" t="str" cm="1">
        <f t="array" ref="AB304">_xlfn.IFS(Employees[[#This Row],[Age]]&lt;30, "20-29", Employees[[#This Row],[Age]]&lt;40, "30-39", Employees[[#This Row],[Age]]&lt;50, "40-49", "TRUE", "50+")</f>
        <v>30-39</v>
      </c>
    </row>
    <row r="305" spans="1:28">
      <c r="A305" t="s">
        <v>973</v>
      </c>
      <c r="B305" t="s">
        <v>974</v>
      </c>
      <c r="C305" t="s">
        <v>975</v>
      </c>
      <c r="D305" t="s">
        <v>26</v>
      </c>
      <c r="E305">
        <v>36</v>
      </c>
      <c r="F305" t="s">
        <v>27</v>
      </c>
      <c r="G305" t="s">
        <v>28</v>
      </c>
      <c r="H305">
        <v>23</v>
      </c>
      <c r="I305" t="s">
        <v>39</v>
      </c>
      <c r="J305" t="s">
        <v>66</v>
      </c>
      <c r="K305">
        <v>4</v>
      </c>
      <c r="L305" t="s">
        <v>31</v>
      </c>
      <c r="M305" t="s">
        <v>32</v>
      </c>
      <c r="N305" t="s">
        <v>40</v>
      </c>
      <c r="O305">
        <v>195502</v>
      </c>
      <c r="P305">
        <v>0</v>
      </c>
      <c r="Q305" t="s">
        <v>34</v>
      </c>
      <c r="R305" s="1">
        <v>41693</v>
      </c>
      <c r="S305" t="s">
        <v>34</v>
      </c>
      <c r="T305">
        <v>8</v>
      </c>
      <c r="U305">
        <v>0</v>
      </c>
      <c r="V305">
        <v>3</v>
      </c>
      <c r="W305">
        <v>0</v>
      </c>
      <c r="X305" t="s">
        <v>11023</v>
      </c>
      <c r="Y305" t="s">
        <v>11023</v>
      </c>
      <c r="Z305" t="str">
        <f>_xlfn.XLOOKUP(Employees[[#This Row],[Education]], EdLevel[EducationLevelID], EdLevel[EducationLevel])</f>
        <v xml:space="preserve">Masters </v>
      </c>
      <c r="AA305">
        <f>IF(Employees[[#This Row],[Attrition]] = "Yes", 1, 0)</f>
        <v>0</v>
      </c>
      <c r="AB305" t="str" cm="1">
        <f t="array" ref="AB305">_xlfn.IFS(Employees[[#This Row],[Age]]&lt;30, "20-29", Employees[[#This Row],[Age]]&lt;40, "30-39", Employees[[#This Row],[Age]]&lt;50, "40-49", "TRUE", "50+")</f>
        <v>30-39</v>
      </c>
    </row>
    <row r="306" spans="1:28">
      <c r="A306" t="s">
        <v>976</v>
      </c>
      <c r="B306" t="s">
        <v>977</v>
      </c>
      <c r="C306" t="s">
        <v>978</v>
      </c>
      <c r="D306" t="s">
        <v>26</v>
      </c>
      <c r="E306">
        <v>39</v>
      </c>
      <c r="F306" t="s">
        <v>27</v>
      </c>
      <c r="G306" t="s">
        <v>28</v>
      </c>
      <c r="H306">
        <v>37</v>
      </c>
      <c r="I306" t="s">
        <v>29</v>
      </c>
      <c r="J306" t="s">
        <v>46</v>
      </c>
      <c r="K306">
        <v>3</v>
      </c>
      <c r="L306" t="s">
        <v>121</v>
      </c>
      <c r="M306" t="s">
        <v>150</v>
      </c>
      <c r="N306" t="s">
        <v>40</v>
      </c>
      <c r="O306">
        <v>65612</v>
      </c>
      <c r="P306">
        <v>0</v>
      </c>
      <c r="Q306" t="s">
        <v>34</v>
      </c>
      <c r="R306" s="1">
        <v>41693</v>
      </c>
      <c r="S306" t="s">
        <v>34</v>
      </c>
      <c r="T306">
        <v>8</v>
      </c>
      <c r="U306">
        <v>2</v>
      </c>
      <c r="V306">
        <v>8</v>
      </c>
      <c r="W306">
        <v>7</v>
      </c>
      <c r="X306" t="s">
        <v>11022</v>
      </c>
      <c r="Y306" t="s">
        <v>11022</v>
      </c>
      <c r="Z306" t="str">
        <f>_xlfn.XLOOKUP(Employees[[#This Row],[Education]], EdLevel[EducationLevelID], EdLevel[EducationLevel])</f>
        <v xml:space="preserve">Bachelors </v>
      </c>
      <c r="AA306">
        <f>IF(Employees[[#This Row],[Attrition]] = "Yes", 1, 0)</f>
        <v>0</v>
      </c>
      <c r="AB306" t="str" cm="1">
        <f t="array" ref="AB306">_xlfn.IFS(Employees[[#This Row],[Age]]&lt;30, "20-29", Employees[[#This Row],[Age]]&lt;40, "30-39", Employees[[#This Row],[Age]]&lt;50, "40-49", "TRUE", "50+")</f>
        <v>30-39</v>
      </c>
    </row>
    <row r="307" spans="1:28">
      <c r="A307" t="s">
        <v>979</v>
      </c>
      <c r="B307" t="s">
        <v>980</v>
      </c>
      <c r="C307" t="s">
        <v>981</v>
      </c>
      <c r="D307" t="s">
        <v>38</v>
      </c>
      <c r="E307">
        <v>31</v>
      </c>
      <c r="F307" t="s">
        <v>27</v>
      </c>
      <c r="G307" t="s">
        <v>54</v>
      </c>
      <c r="H307">
        <v>8</v>
      </c>
      <c r="I307" t="s">
        <v>29</v>
      </c>
      <c r="J307" t="s">
        <v>30</v>
      </c>
      <c r="K307">
        <v>1</v>
      </c>
      <c r="L307" t="s">
        <v>72</v>
      </c>
      <c r="M307" t="s">
        <v>101</v>
      </c>
      <c r="N307" t="s">
        <v>40</v>
      </c>
      <c r="O307">
        <v>70682</v>
      </c>
      <c r="P307">
        <v>0</v>
      </c>
      <c r="Q307" t="s">
        <v>34</v>
      </c>
      <c r="R307" s="1">
        <v>41694</v>
      </c>
      <c r="S307" t="s">
        <v>34</v>
      </c>
      <c r="T307">
        <v>8</v>
      </c>
      <c r="U307">
        <v>4</v>
      </c>
      <c r="V307">
        <v>8</v>
      </c>
      <c r="W307">
        <v>2</v>
      </c>
      <c r="X307" t="s">
        <v>11020</v>
      </c>
      <c r="Y307" t="s">
        <v>11020</v>
      </c>
      <c r="Z307" t="str">
        <f>_xlfn.XLOOKUP(Employees[[#This Row],[Education]], EdLevel[EducationLevelID], EdLevel[EducationLevel])</f>
        <v>No Formal Qualifications</v>
      </c>
      <c r="AA307">
        <f>IF(Employees[[#This Row],[Attrition]] = "Yes", 1, 0)</f>
        <v>0</v>
      </c>
      <c r="AB307" t="str" cm="1">
        <f t="array" ref="AB307">_xlfn.IFS(Employees[[#This Row],[Age]]&lt;30, "20-29", Employees[[#This Row],[Age]]&lt;40, "30-39", Employees[[#This Row],[Age]]&lt;50, "40-49", "TRUE", "50+")</f>
        <v>30-39</v>
      </c>
    </row>
    <row r="308" spans="1:28">
      <c r="A308" t="s">
        <v>982</v>
      </c>
      <c r="B308" t="s">
        <v>983</v>
      </c>
      <c r="C308" t="s">
        <v>984</v>
      </c>
      <c r="D308" t="s">
        <v>26</v>
      </c>
      <c r="E308">
        <v>29</v>
      </c>
      <c r="F308" t="s">
        <v>84</v>
      </c>
      <c r="G308" t="s">
        <v>54</v>
      </c>
      <c r="H308">
        <v>17</v>
      </c>
      <c r="I308" t="s">
        <v>39</v>
      </c>
      <c r="J308" t="s">
        <v>71</v>
      </c>
      <c r="K308">
        <v>3</v>
      </c>
      <c r="L308" t="s">
        <v>55</v>
      </c>
      <c r="M308" t="s">
        <v>85</v>
      </c>
      <c r="N308" t="s">
        <v>49</v>
      </c>
      <c r="O308">
        <v>105554</v>
      </c>
      <c r="P308">
        <v>1</v>
      </c>
      <c r="Q308" t="s">
        <v>41</v>
      </c>
      <c r="R308" s="1">
        <v>41695</v>
      </c>
      <c r="S308" t="s">
        <v>41</v>
      </c>
      <c r="T308">
        <v>5</v>
      </c>
      <c r="U308">
        <v>2</v>
      </c>
      <c r="V308">
        <v>5</v>
      </c>
      <c r="W308">
        <v>2</v>
      </c>
      <c r="X308" t="s">
        <v>11022</v>
      </c>
      <c r="Y308" t="s">
        <v>11022</v>
      </c>
      <c r="Z308" t="str">
        <f>_xlfn.XLOOKUP(Employees[[#This Row],[Education]], EdLevel[EducationLevelID], EdLevel[EducationLevel])</f>
        <v xml:space="preserve">Bachelors </v>
      </c>
      <c r="AA308">
        <f>IF(Employees[[#This Row],[Attrition]] = "Yes", 1, 0)</f>
        <v>1</v>
      </c>
      <c r="AB308" t="str" cm="1">
        <f t="array" ref="AB308">_xlfn.IFS(Employees[[#This Row],[Age]]&lt;30, "20-29", Employees[[#This Row],[Age]]&lt;40, "30-39", Employees[[#This Row],[Age]]&lt;50, "40-49", "TRUE", "50+")</f>
        <v>20-29</v>
      </c>
    </row>
    <row r="309" spans="1:28">
      <c r="A309" t="s">
        <v>985</v>
      </c>
      <c r="B309" t="s">
        <v>986</v>
      </c>
      <c r="C309" t="s">
        <v>987</v>
      </c>
      <c r="D309" t="s">
        <v>38</v>
      </c>
      <c r="E309">
        <v>36</v>
      </c>
      <c r="F309" t="s">
        <v>27</v>
      </c>
      <c r="G309" t="s">
        <v>54</v>
      </c>
      <c r="H309">
        <v>7</v>
      </c>
      <c r="I309" t="s">
        <v>39</v>
      </c>
      <c r="J309" t="s">
        <v>71</v>
      </c>
      <c r="K309">
        <v>3</v>
      </c>
      <c r="L309" t="s">
        <v>72</v>
      </c>
      <c r="M309" t="s">
        <v>85</v>
      </c>
      <c r="N309" t="s">
        <v>33</v>
      </c>
      <c r="O309">
        <v>46773</v>
      </c>
      <c r="P309">
        <v>1</v>
      </c>
      <c r="Q309" t="s">
        <v>41</v>
      </c>
      <c r="R309" s="1">
        <v>41698</v>
      </c>
      <c r="S309" t="s">
        <v>34</v>
      </c>
      <c r="T309">
        <v>8</v>
      </c>
      <c r="U309">
        <v>7</v>
      </c>
      <c r="V309">
        <v>8</v>
      </c>
      <c r="W309">
        <v>2</v>
      </c>
      <c r="X309" t="s">
        <v>11022</v>
      </c>
      <c r="Y309" t="s">
        <v>11022</v>
      </c>
      <c r="Z309" t="str">
        <f>_xlfn.XLOOKUP(Employees[[#This Row],[Education]], EdLevel[EducationLevelID], EdLevel[EducationLevel])</f>
        <v xml:space="preserve">Bachelors </v>
      </c>
      <c r="AA309">
        <f>IF(Employees[[#This Row],[Attrition]] = "Yes", 1, 0)</f>
        <v>0</v>
      </c>
      <c r="AB309" t="str" cm="1">
        <f t="array" ref="AB309">_xlfn.IFS(Employees[[#This Row],[Age]]&lt;30, "20-29", Employees[[#This Row],[Age]]&lt;40, "30-39", Employees[[#This Row],[Age]]&lt;50, "40-49", "TRUE", "50+")</f>
        <v>30-39</v>
      </c>
    </row>
    <row r="310" spans="1:28">
      <c r="A310" t="s">
        <v>988</v>
      </c>
      <c r="B310" t="s">
        <v>989</v>
      </c>
      <c r="C310" t="s">
        <v>990</v>
      </c>
      <c r="D310" t="s">
        <v>26</v>
      </c>
      <c r="E310">
        <v>29</v>
      </c>
      <c r="F310" t="s">
        <v>27</v>
      </c>
      <c r="G310" t="s">
        <v>54</v>
      </c>
      <c r="H310">
        <v>29</v>
      </c>
      <c r="I310" t="s">
        <v>39</v>
      </c>
      <c r="J310" t="s">
        <v>66</v>
      </c>
      <c r="K310">
        <v>3</v>
      </c>
      <c r="L310" t="s">
        <v>55</v>
      </c>
      <c r="M310" t="s">
        <v>105</v>
      </c>
      <c r="N310" t="s">
        <v>40</v>
      </c>
      <c r="O310">
        <v>110744</v>
      </c>
      <c r="P310">
        <v>0</v>
      </c>
      <c r="Q310" t="s">
        <v>34</v>
      </c>
      <c r="R310" s="1">
        <v>41700</v>
      </c>
      <c r="S310" t="s">
        <v>34</v>
      </c>
      <c r="T310">
        <v>8</v>
      </c>
      <c r="U310">
        <v>8</v>
      </c>
      <c r="V310">
        <v>8</v>
      </c>
      <c r="W310">
        <v>1</v>
      </c>
      <c r="X310" t="s">
        <v>11022</v>
      </c>
      <c r="Y310" t="s">
        <v>11022</v>
      </c>
      <c r="Z310" t="str">
        <f>_xlfn.XLOOKUP(Employees[[#This Row],[Education]], EdLevel[EducationLevelID], EdLevel[EducationLevel])</f>
        <v xml:space="preserve">Bachelors </v>
      </c>
      <c r="AA310">
        <f>IF(Employees[[#This Row],[Attrition]] = "Yes", 1, 0)</f>
        <v>0</v>
      </c>
      <c r="AB310" t="str" cm="1">
        <f t="array" ref="AB310">_xlfn.IFS(Employees[[#This Row],[Age]]&lt;30, "20-29", Employees[[#This Row],[Age]]&lt;40, "30-39", Employees[[#This Row],[Age]]&lt;50, "40-49", "TRUE", "50+")</f>
        <v>20-29</v>
      </c>
    </row>
    <row r="311" spans="1:28">
      <c r="A311" t="s">
        <v>991</v>
      </c>
      <c r="B311" t="s">
        <v>992</v>
      </c>
      <c r="C311" t="s">
        <v>993</v>
      </c>
      <c r="D311" t="s">
        <v>26</v>
      </c>
      <c r="E311">
        <v>36</v>
      </c>
      <c r="F311" t="s">
        <v>27</v>
      </c>
      <c r="G311" t="s">
        <v>54</v>
      </c>
      <c r="H311">
        <v>17</v>
      </c>
      <c r="I311" t="s">
        <v>39</v>
      </c>
      <c r="J311" t="s">
        <v>46</v>
      </c>
      <c r="K311">
        <v>3</v>
      </c>
      <c r="L311" t="s">
        <v>55</v>
      </c>
      <c r="M311" t="s">
        <v>85</v>
      </c>
      <c r="N311" t="s">
        <v>40</v>
      </c>
      <c r="O311">
        <v>72118</v>
      </c>
      <c r="P311">
        <v>0</v>
      </c>
      <c r="Q311" t="s">
        <v>34</v>
      </c>
      <c r="R311" s="1">
        <v>41702</v>
      </c>
      <c r="S311" t="s">
        <v>34</v>
      </c>
      <c r="T311">
        <v>8</v>
      </c>
      <c r="U311">
        <v>7</v>
      </c>
      <c r="V311">
        <v>7</v>
      </c>
      <c r="W311">
        <v>8</v>
      </c>
      <c r="X311" t="s">
        <v>11022</v>
      </c>
      <c r="Y311" t="s">
        <v>11022</v>
      </c>
      <c r="Z311" t="str">
        <f>_xlfn.XLOOKUP(Employees[[#This Row],[Education]], EdLevel[EducationLevelID], EdLevel[EducationLevel])</f>
        <v xml:space="preserve">Bachelors </v>
      </c>
      <c r="AA311">
        <f>IF(Employees[[#This Row],[Attrition]] = "Yes", 1, 0)</f>
        <v>0</v>
      </c>
      <c r="AB311" t="str" cm="1">
        <f t="array" ref="AB311">_xlfn.IFS(Employees[[#This Row],[Age]]&lt;30, "20-29", Employees[[#This Row],[Age]]&lt;40, "30-39", Employees[[#This Row],[Age]]&lt;50, "40-49", "TRUE", "50+")</f>
        <v>30-39</v>
      </c>
    </row>
    <row r="312" spans="1:28">
      <c r="A312" t="s">
        <v>994</v>
      </c>
      <c r="B312" t="s">
        <v>995</v>
      </c>
      <c r="C312" t="s">
        <v>996</v>
      </c>
      <c r="D312" t="s">
        <v>38</v>
      </c>
      <c r="E312">
        <v>34</v>
      </c>
      <c r="F312" t="s">
        <v>84</v>
      </c>
      <c r="G312" t="s">
        <v>54</v>
      </c>
      <c r="H312">
        <v>34</v>
      </c>
      <c r="I312" t="s">
        <v>29</v>
      </c>
      <c r="J312" t="s">
        <v>30</v>
      </c>
      <c r="K312">
        <v>2</v>
      </c>
      <c r="L312" t="s">
        <v>72</v>
      </c>
      <c r="M312" t="s">
        <v>93</v>
      </c>
      <c r="N312" t="s">
        <v>49</v>
      </c>
      <c r="O312">
        <v>265922</v>
      </c>
      <c r="P312">
        <v>1</v>
      </c>
      <c r="Q312" t="s">
        <v>41</v>
      </c>
      <c r="R312" s="1">
        <v>41704</v>
      </c>
      <c r="S312" t="s">
        <v>34</v>
      </c>
      <c r="T312">
        <v>8</v>
      </c>
      <c r="U312">
        <v>3</v>
      </c>
      <c r="V312">
        <v>3</v>
      </c>
      <c r="W312">
        <v>5</v>
      </c>
      <c r="X312" t="s">
        <v>11021</v>
      </c>
      <c r="Y312" t="s">
        <v>11021</v>
      </c>
      <c r="Z312" t="str">
        <f>_xlfn.XLOOKUP(Employees[[#This Row],[Education]], EdLevel[EducationLevelID], EdLevel[EducationLevel])</f>
        <v xml:space="preserve">High School </v>
      </c>
      <c r="AA312">
        <f>IF(Employees[[#This Row],[Attrition]] = "Yes", 1, 0)</f>
        <v>0</v>
      </c>
      <c r="AB312" t="str" cm="1">
        <f t="array" ref="AB312">_xlfn.IFS(Employees[[#This Row],[Age]]&lt;30, "20-29", Employees[[#This Row],[Age]]&lt;40, "30-39", Employees[[#This Row],[Age]]&lt;50, "40-49", "TRUE", "50+")</f>
        <v>30-39</v>
      </c>
    </row>
    <row r="313" spans="1:28">
      <c r="A313" t="s">
        <v>997</v>
      </c>
      <c r="B313" t="s">
        <v>998</v>
      </c>
      <c r="C313" t="s">
        <v>999</v>
      </c>
      <c r="D313" t="s">
        <v>38</v>
      </c>
      <c r="E313">
        <v>34</v>
      </c>
      <c r="F313" t="s">
        <v>27</v>
      </c>
      <c r="G313" t="s">
        <v>28</v>
      </c>
      <c r="H313">
        <v>19</v>
      </c>
      <c r="I313" t="s">
        <v>39</v>
      </c>
      <c r="J313" t="s">
        <v>46</v>
      </c>
      <c r="K313">
        <v>3</v>
      </c>
      <c r="L313" t="s">
        <v>47</v>
      </c>
      <c r="M313" t="s">
        <v>150</v>
      </c>
      <c r="N313" t="s">
        <v>40</v>
      </c>
      <c r="O313">
        <v>46740</v>
      </c>
      <c r="P313">
        <v>0</v>
      </c>
      <c r="Q313" t="s">
        <v>34</v>
      </c>
      <c r="R313" s="1">
        <v>41704</v>
      </c>
      <c r="S313" t="s">
        <v>34</v>
      </c>
      <c r="T313">
        <v>8</v>
      </c>
      <c r="U313">
        <v>1</v>
      </c>
      <c r="V313">
        <v>6</v>
      </c>
      <c r="W313">
        <v>1</v>
      </c>
      <c r="X313" t="s">
        <v>11022</v>
      </c>
      <c r="Y313" t="s">
        <v>11022</v>
      </c>
      <c r="Z313" t="str">
        <f>_xlfn.XLOOKUP(Employees[[#This Row],[Education]], EdLevel[EducationLevelID], EdLevel[EducationLevel])</f>
        <v xml:space="preserve">Bachelors </v>
      </c>
      <c r="AA313">
        <f>IF(Employees[[#This Row],[Attrition]] = "Yes", 1, 0)</f>
        <v>0</v>
      </c>
      <c r="AB313" t="str" cm="1">
        <f t="array" ref="AB313">_xlfn.IFS(Employees[[#This Row],[Age]]&lt;30, "20-29", Employees[[#This Row],[Age]]&lt;40, "30-39", Employees[[#This Row],[Age]]&lt;50, "40-49", "TRUE", "50+")</f>
        <v>30-39</v>
      </c>
    </row>
    <row r="314" spans="1:28">
      <c r="A314" t="s">
        <v>1000</v>
      </c>
      <c r="B314" t="s">
        <v>1001</v>
      </c>
      <c r="C314" t="s">
        <v>1002</v>
      </c>
      <c r="D314" t="s">
        <v>26</v>
      </c>
      <c r="E314">
        <v>32</v>
      </c>
      <c r="F314" t="s">
        <v>27</v>
      </c>
      <c r="G314" t="s">
        <v>28</v>
      </c>
      <c r="H314">
        <v>42</v>
      </c>
      <c r="I314" t="s">
        <v>39</v>
      </c>
      <c r="J314" t="s">
        <v>66</v>
      </c>
      <c r="K314">
        <v>3</v>
      </c>
      <c r="L314" t="s">
        <v>31</v>
      </c>
      <c r="M314" t="s">
        <v>32</v>
      </c>
      <c r="N314" t="s">
        <v>49</v>
      </c>
      <c r="O314">
        <v>108213</v>
      </c>
      <c r="P314">
        <v>0</v>
      </c>
      <c r="Q314" t="s">
        <v>34</v>
      </c>
      <c r="R314" s="1">
        <v>41708</v>
      </c>
      <c r="S314" t="s">
        <v>34</v>
      </c>
      <c r="T314">
        <v>8</v>
      </c>
      <c r="U314">
        <v>6</v>
      </c>
      <c r="V314">
        <v>6</v>
      </c>
      <c r="W314">
        <v>4</v>
      </c>
      <c r="X314" t="s">
        <v>11022</v>
      </c>
      <c r="Y314" t="s">
        <v>11022</v>
      </c>
      <c r="Z314" t="str">
        <f>_xlfn.XLOOKUP(Employees[[#This Row],[Education]], EdLevel[EducationLevelID], EdLevel[EducationLevel])</f>
        <v xml:space="preserve">Bachelors </v>
      </c>
      <c r="AA314">
        <f>IF(Employees[[#This Row],[Attrition]] = "Yes", 1, 0)</f>
        <v>0</v>
      </c>
      <c r="AB314" t="str" cm="1">
        <f t="array" ref="AB314">_xlfn.IFS(Employees[[#This Row],[Age]]&lt;30, "20-29", Employees[[#This Row],[Age]]&lt;40, "30-39", Employees[[#This Row],[Age]]&lt;50, "40-49", "TRUE", "50+")</f>
        <v>30-39</v>
      </c>
    </row>
    <row r="315" spans="1:28">
      <c r="A315" t="s">
        <v>1003</v>
      </c>
      <c r="B315" t="s">
        <v>1004</v>
      </c>
      <c r="C315" t="s">
        <v>1005</v>
      </c>
      <c r="D315" t="s">
        <v>26</v>
      </c>
      <c r="E315">
        <v>40</v>
      </c>
      <c r="F315" t="s">
        <v>70</v>
      </c>
      <c r="G315" t="s">
        <v>54</v>
      </c>
      <c r="H315">
        <v>26</v>
      </c>
      <c r="I315" t="s">
        <v>39</v>
      </c>
      <c r="J315" t="s">
        <v>46</v>
      </c>
      <c r="K315">
        <v>1</v>
      </c>
      <c r="L315" t="s">
        <v>178</v>
      </c>
      <c r="M315" t="s">
        <v>101</v>
      </c>
      <c r="N315" t="s">
        <v>33</v>
      </c>
      <c r="O315">
        <v>48125</v>
      </c>
      <c r="P315">
        <v>3</v>
      </c>
      <c r="Q315" t="s">
        <v>34</v>
      </c>
      <c r="R315" s="1">
        <v>41712</v>
      </c>
      <c r="S315" t="s">
        <v>34</v>
      </c>
      <c r="T315">
        <v>8</v>
      </c>
      <c r="U315">
        <v>5</v>
      </c>
      <c r="V315">
        <v>8</v>
      </c>
      <c r="W315">
        <v>2</v>
      </c>
      <c r="X315" t="s">
        <v>11020</v>
      </c>
      <c r="Y315" t="s">
        <v>11020</v>
      </c>
      <c r="Z315" t="str">
        <f>_xlfn.XLOOKUP(Employees[[#This Row],[Education]], EdLevel[EducationLevelID], EdLevel[EducationLevel])</f>
        <v>No Formal Qualifications</v>
      </c>
      <c r="AA315">
        <f>IF(Employees[[#This Row],[Attrition]] = "Yes", 1, 0)</f>
        <v>0</v>
      </c>
      <c r="AB315" t="str" cm="1">
        <f t="array" ref="AB315">_xlfn.IFS(Employees[[#This Row],[Age]]&lt;30, "20-29", Employees[[#This Row],[Age]]&lt;40, "30-39", Employees[[#This Row],[Age]]&lt;50, "40-49", "TRUE", "50+")</f>
        <v>40-49</v>
      </c>
    </row>
    <row r="316" spans="1:28">
      <c r="A316" t="s">
        <v>1006</v>
      </c>
      <c r="B316" t="s">
        <v>1007</v>
      </c>
      <c r="C316" t="s">
        <v>1008</v>
      </c>
      <c r="D316" t="s">
        <v>38</v>
      </c>
      <c r="E316">
        <v>43</v>
      </c>
      <c r="F316" t="s">
        <v>27</v>
      </c>
      <c r="G316" t="s">
        <v>54</v>
      </c>
      <c r="H316">
        <v>17</v>
      </c>
      <c r="I316" t="s">
        <v>39</v>
      </c>
      <c r="J316" t="s">
        <v>30</v>
      </c>
      <c r="K316">
        <v>3</v>
      </c>
      <c r="L316" t="s">
        <v>55</v>
      </c>
      <c r="M316" t="s">
        <v>101</v>
      </c>
      <c r="N316" t="s">
        <v>49</v>
      </c>
      <c r="O316">
        <v>50946</v>
      </c>
      <c r="P316">
        <v>0</v>
      </c>
      <c r="Q316" t="s">
        <v>41</v>
      </c>
      <c r="R316" s="1">
        <v>41713</v>
      </c>
      <c r="S316" t="s">
        <v>41</v>
      </c>
      <c r="T316">
        <v>8</v>
      </c>
      <c r="U316">
        <v>6</v>
      </c>
      <c r="V316">
        <v>7</v>
      </c>
      <c r="W316">
        <v>3</v>
      </c>
      <c r="X316" t="s">
        <v>11022</v>
      </c>
      <c r="Y316" t="s">
        <v>11022</v>
      </c>
      <c r="Z316" t="str">
        <f>_xlfn.XLOOKUP(Employees[[#This Row],[Education]], EdLevel[EducationLevelID], EdLevel[EducationLevel])</f>
        <v xml:space="preserve">Bachelors </v>
      </c>
      <c r="AA316">
        <f>IF(Employees[[#This Row],[Attrition]] = "Yes", 1, 0)</f>
        <v>1</v>
      </c>
      <c r="AB316" t="str" cm="1">
        <f t="array" ref="AB316">_xlfn.IFS(Employees[[#This Row],[Age]]&lt;30, "20-29", Employees[[#This Row],[Age]]&lt;40, "30-39", Employees[[#This Row],[Age]]&lt;50, "40-49", "TRUE", "50+")</f>
        <v>40-49</v>
      </c>
    </row>
    <row r="317" spans="1:28">
      <c r="A317" t="s">
        <v>1009</v>
      </c>
      <c r="B317" t="s">
        <v>1010</v>
      </c>
      <c r="C317" t="s">
        <v>1011</v>
      </c>
      <c r="D317" t="s">
        <v>38</v>
      </c>
      <c r="E317">
        <v>44</v>
      </c>
      <c r="F317" t="s">
        <v>27</v>
      </c>
      <c r="G317" t="s">
        <v>28</v>
      </c>
      <c r="H317">
        <v>27</v>
      </c>
      <c r="I317" t="s">
        <v>65</v>
      </c>
      <c r="J317" t="s">
        <v>46</v>
      </c>
      <c r="K317">
        <v>3</v>
      </c>
      <c r="L317" t="s">
        <v>121</v>
      </c>
      <c r="M317" t="s">
        <v>32</v>
      </c>
      <c r="N317" t="s">
        <v>40</v>
      </c>
      <c r="O317">
        <v>101906</v>
      </c>
      <c r="P317">
        <v>0</v>
      </c>
      <c r="Q317" t="s">
        <v>34</v>
      </c>
      <c r="R317" s="1">
        <v>41713</v>
      </c>
      <c r="S317" t="s">
        <v>34</v>
      </c>
      <c r="T317">
        <v>8</v>
      </c>
      <c r="U317">
        <v>3</v>
      </c>
      <c r="V317">
        <v>4</v>
      </c>
      <c r="W317">
        <v>7</v>
      </c>
      <c r="X317" t="s">
        <v>11022</v>
      </c>
      <c r="Y317" t="s">
        <v>11022</v>
      </c>
      <c r="Z317" t="str">
        <f>_xlfn.XLOOKUP(Employees[[#This Row],[Education]], EdLevel[EducationLevelID], EdLevel[EducationLevel])</f>
        <v xml:space="preserve">Bachelors </v>
      </c>
      <c r="AA317">
        <f>IF(Employees[[#This Row],[Attrition]] = "Yes", 1, 0)</f>
        <v>0</v>
      </c>
      <c r="AB317" t="str" cm="1">
        <f t="array" ref="AB317">_xlfn.IFS(Employees[[#This Row],[Age]]&lt;30, "20-29", Employees[[#This Row],[Age]]&lt;40, "30-39", Employees[[#This Row],[Age]]&lt;50, "40-49", "TRUE", "50+")</f>
        <v>40-49</v>
      </c>
    </row>
    <row r="318" spans="1:28">
      <c r="A318" t="s">
        <v>1012</v>
      </c>
      <c r="B318" t="s">
        <v>1013</v>
      </c>
      <c r="C318" t="s">
        <v>1014</v>
      </c>
      <c r="D318" t="s">
        <v>53</v>
      </c>
      <c r="E318">
        <v>26</v>
      </c>
      <c r="F318" t="s">
        <v>70</v>
      </c>
      <c r="G318" t="s">
        <v>28</v>
      </c>
      <c r="H318">
        <v>10</v>
      </c>
      <c r="I318" t="s">
        <v>65</v>
      </c>
      <c r="J318" t="s">
        <v>76</v>
      </c>
      <c r="K318">
        <v>2</v>
      </c>
      <c r="L318" t="s">
        <v>121</v>
      </c>
      <c r="M318" t="s">
        <v>32</v>
      </c>
      <c r="N318" t="s">
        <v>40</v>
      </c>
      <c r="O318">
        <v>55537</v>
      </c>
      <c r="P318">
        <v>0</v>
      </c>
      <c r="Q318" t="s">
        <v>34</v>
      </c>
      <c r="R318" s="1">
        <v>41714</v>
      </c>
      <c r="S318" t="s">
        <v>41</v>
      </c>
      <c r="T318">
        <v>4</v>
      </c>
      <c r="U318">
        <v>1</v>
      </c>
      <c r="V318">
        <v>1</v>
      </c>
      <c r="W318">
        <v>1</v>
      </c>
      <c r="X318" t="s">
        <v>11021</v>
      </c>
      <c r="Y318" t="s">
        <v>11021</v>
      </c>
      <c r="Z318" t="str">
        <f>_xlfn.XLOOKUP(Employees[[#This Row],[Education]], EdLevel[EducationLevelID], EdLevel[EducationLevel])</f>
        <v xml:space="preserve">High School </v>
      </c>
      <c r="AA318">
        <f>IF(Employees[[#This Row],[Attrition]] = "Yes", 1, 0)</f>
        <v>1</v>
      </c>
      <c r="AB318" t="str" cm="1">
        <f t="array" ref="AB318">_xlfn.IFS(Employees[[#This Row],[Age]]&lt;30, "20-29", Employees[[#This Row],[Age]]&lt;40, "30-39", Employees[[#This Row],[Age]]&lt;50, "40-49", "TRUE", "50+")</f>
        <v>20-29</v>
      </c>
    </row>
    <row r="319" spans="1:28">
      <c r="A319" t="s">
        <v>1015</v>
      </c>
      <c r="B319" t="s">
        <v>1016</v>
      </c>
      <c r="C319" t="s">
        <v>1017</v>
      </c>
      <c r="D319" t="s">
        <v>38</v>
      </c>
      <c r="E319">
        <v>37</v>
      </c>
      <c r="F319" t="s">
        <v>27</v>
      </c>
      <c r="G319" t="s">
        <v>54</v>
      </c>
      <c r="H319">
        <v>29</v>
      </c>
      <c r="I319" t="s">
        <v>29</v>
      </c>
      <c r="J319" t="s">
        <v>66</v>
      </c>
      <c r="K319">
        <v>3</v>
      </c>
      <c r="L319" t="s">
        <v>55</v>
      </c>
      <c r="M319" t="s">
        <v>93</v>
      </c>
      <c r="N319" t="s">
        <v>40</v>
      </c>
      <c r="O319">
        <v>155506</v>
      </c>
      <c r="P319">
        <v>0</v>
      </c>
      <c r="Q319" t="s">
        <v>34</v>
      </c>
      <c r="R319" s="1">
        <v>41716</v>
      </c>
      <c r="S319" t="s">
        <v>34</v>
      </c>
      <c r="T319">
        <v>8</v>
      </c>
      <c r="U319">
        <v>8</v>
      </c>
      <c r="V319">
        <v>8</v>
      </c>
      <c r="W319">
        <v>8</v>
      </c>
      <c r="X319" t="s">
        <v>11022</v>
      </c>
      <c r="Y319" t="s">
        <v>11022</v>
      </c>
      <c r="Z319" t="str">
        <f>_xlfn.XLOOKUP(Employees[[#This Row],[Education]], EdLevel[EducationLevelID], EdLevel[EducationLevel])</f>
        <v xml:space="preserve">Bachelors </v>
      </c>
      <c r="AA319">
        <f>IF(Employees[[#This Row],[Attrition]] = "Yes", 1, 0)</f>
        <v>0</v>
      </c>
      <c r="AB319" t="str" cm="1">
        <f t="array" ref="AB319">_xlfn.IFS(Employees[[#This Row],[Age]]&lt;30, "20-29", Employees[[#This Row],[Age]]&lt;40, "30-39", Employees[[#This Row],[Age]]&lt;50, "40-49", "TRUE", "50+")</f>
        <v>30-39</v>
      </c>
    </row>
    <row r="320" spans="1:28">
      <c r="A320" t="s">
        <v>1018</v>
      </c>
      <c r="B320" t="s">
        <v>1019</v>
      </c>
      <c r="C320" t="s">
        <v>1020</v>
      </c>
      <c r="D320" t="s">
        <v>38</v>
      </c>
      <c r="E320">
        <v>44</v>
      </c>
      <c r="F320" t="s">
        <v>27</v>
      </c>
      <c r="G320" t="s">
        <v>54</v>
      </c>
      <c r="H320">
        <v>29</v>
      </c>
      <c r="I320" t="s">
        <v>39</v>
      </c>
      <c r="J320" t="s">
        <v>30</v>
      </c>
      <c r="K320">
        <v>3</v>
      </c>
      <c r="L320" t="s">
        <v>72</v>
      </c>
      <c r="M320" t="s">
        <v>182</v>
      </c>
      <c r="N320" t="s">
        <v>33</v>
      </c>
      <c r="O320">
        <v>304520</v>
      </c>
      <c r="P320">
        <v>3</v>
      </c>
      <c r="Q320" t="s">
        <v>41</v>
      </c>
      <c r="R320" s="1">
        <v>41718</v>
      </c>
      <c r="S320" t="s">
        <v>34</v>
      </c>
      <c r="T320">
        <v>8</v>
      </c>
      <c r="U320">
        <v>2</v>
      </c>
      <c r="V320">
        <v>2</v>
      </c>
      <c r="W320">
        <v>4</v>
      </c>
      <c r="X320" t="s">
        <v>11022</v>
      </c>
      <c r="Y320" t="s">
        <v>11022</v>
      </c>
      <c r="Z320" t="str">
        <f>_xlfn.XLOOKUP(Employees[[#This Row],[Education]], EdLevel[EducationLevelID], EdLevel[EducationLevel])</f>
        <v xml:space="preserve">Bachelors </v>
      </c>
      <c r="AA320">
        <f>IF(Employees[[#This Row],[Attrition]] = "Yes", 1, 0)</f>
        <v>0</v>
      </c>
      <c r="AB320" t="str" cm="1">
        <f t="array" ref="AB320">_xlfn.IFS(Employees[[#This Row],[Age]]&lt;30, "20-29", Employees[[#This Row],[Age]]&lt;40, "30-39", Employees[[#This Row],[Age]]&lt;50, "40-49", "TRUE", "50+")</f>
        <v>40-49</v>
      </c>
    </row>
    <row r="321" spans="1:28">
      <c r="A321" t="s">
        <v>1021</v>
      </c>
      <c r="B321" t="s">
        <v>1022</v>
      </c>
      <c r="C321" t="s">
        <v>1023</v>
      </c>
      <c r="D321" t="s">
        <v>53</v>
      </c>
      <c r="E321">
        <v>48</v>
      </c>
      <c r="F321" t="s">
        <v>27</v>
      </c>
      <c r="G321" t="s">
        <v>54</v>
      </c>
      <c r="H321">
        <v>26</v>
      </c>
      <c r="I321" t="s">
        <v>65</v>
      </c>
      <c r="J321" t="s">
        <v>66</v>
      </c>
      <c r="K321">
        <v>1</v>
      </c>
      <c r="L321" t="s">
        <v>72</v>
      </c>
      <c r="M321" t="s">
        <v>101</v>
      </c>
      <c r="N321" t="s">
        <v>49</v>
      </c>
      <c r="O321">
        <v>42008</v>
      </c>
      <c r="P321">
        <v>2</v>
      </c>
      <c r="Q321" t="s">
        <v>34</v>
      </c>
      <c r="R321" s="1">
        <v>41722</v>
      </c>
      <c r="S321" t="s">
        <v>34</v>
      </c>
      <c r="T321">
        <v>8</v>
      </c>
      <c r="U321">
        <v>7</v>
      </c>
      <c r="V321">
        <v>7</v>
      </c>
      <c r="W321">
        <v>0</v>
      </c>
      <c r="X321" t="s">
        <v>11020</v>
      </c>
      <c r="Y321" t="s">
        <v>11020</v>
      </c>
      <c r="Z321" t="str">
        <f>_xlfn.XLOOKUP(Employees[[#This Row],[Education]], EdLevel[EducationLevelID], EdLevel[EducationLevel])</f>
        <v>No Formal Qualifications</v>
      </c>
      <c r="AA321">
        <f>IF(Employees[[#This Row],[Attrition]] = "Yes", 1, 0)</f>
        <v>0</v>
      </c>
      <c r="AB321" t="str" cm="1">
        <f t="array" ref="AB321">_xlfn.IFS(Employees[[#This Row],[Age]]&lt;30, "20-29", Employees[[#This Row],[Age]]&lt;40, "30-39", Employees[[#This Row],[Age]]&lt;50, "40-49", "TRUE", "50+")</f>
        <v>40-49</v>
      </c>
    </row>
    <row r="322" spans="1:28">
      <c r="A322" t="s">
        <v>1024</v>
      </c>
      <c r="B322" t="s">
        <v>1025</v>
      </c>
      <c r="C322" t="s">
        <v>1026</v>
      </c>
      <c r="D322" t="s">
        <v>26</v>
      </c>
      <c r="E322">
        <v>45</v>
      </c>
      <c r="F322" t="s">
        <v>27</v>
      </c>
      <c r="G322" t="s">
        <v>54</v>
      </c>
      <c r="H322">
        <v>7</v>
      </c>
      <c r="I322" t="s">
        <v>39</v>
      </c>
      <c r="J322" t="s">
        <v>30</v>
      </c>
      <c r="K322">
        <v>4</v>
      </c>
      <c r="L322" t="s">
        <v>178</v>
      </c>
      <c r="M322" t="s">
        <v>105</v>
      </c>
      <c r="N322" t="s">
        <v>40</v>
      </c>
      <c r="O322">
        <v>104720</v>
      </c>
      <c r="P322">
        <v>0</v>
      </c>
      <c r="Q322" t="s">
        <v>34</v>
      </c>
      <c r="R322" s="1">
        <v>41727</v>
      </c>
      <c r="S322" t="s">
        <v>34</v>
      </c>
      <c r="T322">
        <v>8</v>
      </c>
      <c r="U322">
        <v>7</v>
      </c>
      <c r="V322">
        <v>7</v>
      </c>
      <c r="W322">
        <v>0</v>
      </c>
      <c r="X322" t="s">
        <v>11023</v>
      </c>
      <c r="Y322" t="s">
        <v>11023</v>
      </c>
      <c r="Z322" t="str">
        <f>_xlfn.XLOOKUP(Employees[[#This Row],[Education]], EdLevel[EducationLevelID], EdLevel[EducationLevel])</f>
        <v xml:space="preserve">Masters </v>
      </c>
      <c r="AA322">
        <f>IF(Employees[[#This Row],[Attrition]] = "Yes", 1, 0)</f>
        <v>0</v>
      </c>
      <c r="AB322" t="str" cm="1">
        <f t="array" ref="AB322">_xlfn.IFS(Employees[[#This Row],[Age]]&lt;30, "20-29", Employees[[#This Row],[Age]]&lt;40, "30-39", Employees[[#This Row],[Age]]&lt;50, "40-49", "TRUE", "50+")</f>
        <v>40-49</v>
      </c>
    </row>
    <row r="323" spans="1:28">
      <c r="A323" t="s">
        <v>1027</v>
      </c>
      <c r="B323" t="s">
        <v>1028</v>
      </c>
      <c r="C323" t="s">
        <v>1029</v>
      </c>
      <c r="D323" t="s">
        <v>26</v>
      </c>
      <c r="E323">
        <v>28</v>
      </c>
      <c r="F323" t="s">
        <v>27</v>
      </c>
      <c r="G323" t="s">
        <v>54</v>
      </c>
      <c r="H323">
        <v>12</v>
      </c>
      <c r="I323" t="s">
        <v>39</v>
      </c>
      <c r="J323" t="s">
        <v>30</v>
      </c>
      <c r="K323">
        <v>2</v>
      </c>
      <c r="L323" t="s">
        <v>55</v>
      </c>
      <c r="M323" t="s">
        <v>85</v>
      </c>
      <c r="N323" t="s">
        <v>49</v>
      </c>
      <c r="O323">
        <v>115895</v>
      </c>
      <c r="P323">
        <v>1</v>
      </c>
      <c r="Q323" t="s">
        <v>34</v>
      </c>
      <c r="R323" s="1">
        <v>41729</v>
      </c>
      <c r="S323" t="s">
        <v>41</v>
      </c>
      <c r="T323">
        <v>4</v>
      </c>
      <c r="U323">
        <v>1</v>
      </c>
      <c r="V323">
        <v>3</v>
      </c>
      <c r="W323">
        <v>2</v>
      </c>
      <c r="X323" t="s">
        <v>11021</v>
      </c>
      <c r="Y323" t="s">
        <v>11021</v>
      </c>
      <c r="Z323" t="str">
        <f>_xlfn.XLOOKUP(Employees[[#This Row],[Education]], EdLevel[EducationLevelID], EdLevel[EducationLevel])</f>
        <v xml:space="preserve">High School </v>
      </c>
      <c r="AA323">
        <f>IF(Employees[[#This Row],[Attrition]] = "Yes", 1, 0)</f>
        <v>1</v>
      </c>
      <c r="AB323" t="str" cm="1">
        <f t="array" ref="AB323">_xlfn.IFS(Employees[[#This Row],[Age]]&lt;30, "20-29", Employees[[#This Row],[Age]]&lt;40, "30-39", Employees[[#This Row],[Age]]&lt;50, "40-49", "TRUE", "50+")</f>
        <v>20-29</v>
      </c>
    </row>
    <row r="324" spans="1:28">
      <c r="A324" t="s">
        <v>1030</v>
      </c>
      <c r="B324" t="s">
        <v>1031</v>
      </c>
      <c r="C324" t="s">
        <v>1032</v>
      </c>
      <c r="D324" t="s">
        <v>26</v>
      </c>
      <c r="E324">
        <v>27</v>
      </c>
      <c r="F324" t="s">
        <v>27</v>
      </c>
      <c r="G324" t="s">
        <v>54</v>
      </c>
      <c r="H324">
        <v>30</v>
      </c>
      <c r="I324" t="s">
        <v>39</v>
      </c>
      <c r="J324" t="s">
        <v>30</v>
      </c>
      <c r="K324">
        <v>1</v>
      </c>
      <c r="L324" t="s">
        <v>72</v>
      </c>
      <c r="M324" t="s">
        <v>85</v>
      </c>
      <c r="N324" t="s">
        <v>40</v>
      </c>
      <c r="O324">
        <v>49374</v>
      </c>
      <c r="P324">
        <v>0</v>
      </c>
      <c r="Q324" t="s">
        <v>41</v>
      </c>
      <c r="R324" s="1">
        <v>41731</v>
      </c>
      <c r="S324" t="s">
        <v>41</v>
      </c>
      <c r="T324">
        <v>1</v>
      </c>
      <c r="U324">
        <v>0</v>
      </c>
      <c r="V324">
        <v>0</v>
      </c>
      <c r="W324">
        <v>1</v>
      </c>
      <c r="X324" t="s">
        <v>11020</v>
      </c>
      <c r="Y324" t="s">
        <v>11020</v>
      </c>
      <c r="Z324" t="str">
        <f>_xlfn.XLOOKUP(Employees[[#This Row],[Education]], EdLevel[EducationLevelID], EdLevel[EducationLevel])</f>
        <v>No Formal Qualifications</v>
      </c>
      <c r="AA324">
        <f>IF(Employees[[#This Row],[Attrition]] = "Yes", 1, 0)</f>
        <v>1</v>
      </c>
      <c r="AB324" t="str" cm="1">
        <f t="array" ref="AB324">_xlfn.IFS(Employees[[#This Row],[Age]]&lt;30, "20-29", Employees[[#This Row],[Age]]&lt;40, "30-39", Employees[[#This Row],[Age]]&lt;50, "40-49", "TRUE", "50+")</f>
        <v>20-29</v>
      </c>
    </row>
    <row r="325" spans="1:28">
      <c r="A325" t="s">
        <v>1033</v>
      </c>
      <c r="B325" t="s">
        <v>1034</v>
      </c>
      <c r="C325" t="s">
        <v>1035</v>
      </c>
      <c r="D325" t="s">
        <v>53</v>
      </c>
      <c r="E325">
        <v>31</v>
      </c>
      <c r="F325" t="s">
        <v>84</v>
      </c>
      <c r="G325" t="s">
        <v>28</v>
      </c>
      <c r="H325">
        <v>35</v>
      </c>
      <c r="I325" t="s">
        <v>39</v>
      </c>
      <c r="J325" t="s">
        <v>30</v>
      </c>
      <c r="K325">
        <v>3</v>
      </c>
      <c r="L325" t="s">
        <v>31</v>
      </c>
      <c r="M325" t="s">
        <v>32</v>
      </c>
      <c r="N325" t="s">
        <v>49</v>
      </c>
      <c r="O325">
        <v>115982</v>
      </c>
      <c r="P325">
        <v>1</v>
      </c>
      <c r="Q325" t="s">
        <v>34</v>
      </c>
      <c r="R325" s="1">
        <v>41732</v>
      </c>
      <c r="S325" t="s">
        <v>34</v>
      </c>
      <c r="T325">
        <v>8</v>
      </c>
      <c r="U325">
        <v>7</v>
      </c>
      <c r="V325">
        <v>7</v>
      </c>
      <c r="W325">
        <v>4</v>
      </c>
      <c r="X325" t="s">
        <v>11022</v>
      </c>
      <c r="Y325" t="s">
        <v>11022</v>
      </c>
      <c r="Z325" t="str">
        <f>_xlfn.XLOOKUP(Employees[[#This Row],[Education]], EdLevel[EducationLevelID], EdLevel[EducationLevel])</f>
        <v xml:space="preserve">Bachelors </v>
      </c>
      <c r="AA325">
        <f>IF(Employees[[#This Row],[Attrition]] = "Yes", 1, 0)</f>
        <v>0</v>
      </c>
      <c r="AB325" t="str" cm="1">
        <f t="array" ref="AB325">_xlfn.IFS(Employees[[#This Row],[Age]]&lt;30, "20-29", Employees[[#This Row],[Age]]&lt;40, "30-39", Employees[[#This Row],[Age]]&lt;50, "40-49", "TRUE", "50+")</f>
        <v>30-39</v>
      </c>
    </row>
    <row r="326" spans="1:28">
      <c r="A326" t="s">
        <v>1036</v>
      </c>
      <c r="B326" t="s">
        <v>1037</v>
      </c>
      <c r="C326" t="s">
        <v>1038</v>
      </c>
      <c r="D326" t="s">
        <v>26</v>
      </c>
      <c r="E326">
        <v>35</v>
      </c>
      <c r="F326" t="s">
        <v>84</v>
      </c>
      <c r="G326" t="s">
        <v>28</v>
      </c>
      <c r="H326">
        <v>43</v>
      </c>
      <c r="I326" t="s">
        <v>39</v>
      </c>
      <c r="J326" t="s">
        <v>71</v>
      </c>
      <c r="K326">
        <v>2</v>
      </c>
      <c r="L326" t="s">
        <v>121</v>
      </c>
      <c r="M326" t="s">
        <v>150</v>
      </c>
      <c r="N326" t="s">
        <v>49</v>
      </c>
      <c r="O326">
        <v>46112</v>
      </c>
      <c r="P326">
        <v>1</v>
      </c>
      <c r="Q326" t="s">
        <v>34</v>
      </c>
      <c r="R326" s="1">
        <v>41740</v>
      </c>
      <c r="S326" t="s">
        <v>34</v>
      </c>
      <c r="T326">
        <v>8</v>
      </c>
      <c r="U326">
        <v>6</v>
      </c>
      <c r="V326">
        <v>7</v>
      </c>
      <c r="W326">
        <v>2</v>
      </c>
      <c r="X326" t="s">
        <v>11021</v>
      </c>
      <c r="Y326" t="s">
        <v>11021</v>
      </c>
      <c r="Z326" t="str">
        <f>_xlfn.XLOOKUP(Employees[[#This Row],[Education]], EdLevel[EducationLevelID], EdLevel[EducationLevel])</f>
        <v xml:space="preserve">High School </v>
      </c>
      <c r="AA326">
        <f>IF(Employees[[#This Row],[Attrition]] = "Yes", 1, 0)</f>
        <v>0</v>
      </c>
      <c r="AB326" t="str" cm="1">
        <f t="array" ref="AB326">_xlfn.IFS(Employees[[#This Row],[Age]]&lt;30, "20-29", Employees[[#This Row],[Age]]&lt;40, "30-39", Employees[[#This Row],[Age]]&lt;50, "40-49", "TRUE", "50+")</f>
        <v>30-39</v>
      </c>
    </row>
    <row r="327" spans="1:28">
      <c r="A327" t="s">
        <v>1039</v>
      </c>
      <c r="B327" t="s">
        <v>1040</v>
      </c>
      <c r="C327" t="s">
        <v>1041</v>
      </c>
      <c r="D327" t="s">
        <v>26</v>
      </c>
      <c r="E327">
        <v>28</v>
      </c>
      <c r="F327" t="s">
        <v>84</v>
      </c>
      <c r="G327" t="s">
        <v>28</v>
      </c>
      <c r="H327">
        <v>40</v>
      </c>
      <c r="I327" t="s">
        <v>29</v>
      </c>
      <c r="J327" t="s">
        <v>71</v>
      </c>
      <c r="K327">
        <v>5</v>
      </c>
      <c r="L327" t="s">
        <v>47</v>
      </c>
      <c r="M327" t="s">
        <v>32</v>
      </c>
      <c r="N327" t="s">
        <v>49</v>
      </c>
      <c r="O327">
        <v>215327</v>
      </c>
      <c r="P327">
        <v>1</v>
      </c>
      <c r="Q327" t="s">
        <v>34</v>
      </c>
      <c r="R327" s="1">
        <v>41742</v>
      </c>
      <c r="S327" t="s">
        <v>34</v>
      </c>
      <c r="T327">
        <v>8</v>
      </c>
      <c r="U327">
        <v>1</v>
      </c>
      <c r="V327">
        <v>6</v>
      </c>
      <c r="W327">
        <v>8</v>
      </c>
      <c r="X327" t="s">
        <v>11024</v>
      </c>
      <c r="Y327" t="s">
        <v>11024</v>
      </c>
      <c r="Z327" t="str">
        <f>_xlfn.XLOOKUP(Employees[[#This Row],[Education]], EdLevel[EducationLevelID], EdLevel[EducationLevel])</f>
        <v>Doctorate</v>
      </c>
      <c r="AA327">
        <f>IF(Employees[[#This Row],[Attrition]] = "Yes", 1, 0)</f>
        <v>0</v>
      </c>
      <c r="AB327" t="str" cm="1">
        <f t="array" ref="AB327">_xlfn.IFS(Employees[[#This Row],[Age]]&lt;30, "20-29", Employees[[#This Row],[Age]]&lt;40, "30-39", Employees[[#This Row],[Age]]&lt;50, "40-49", "TRUE", "50+")</f>
        <v>20-29</v>
      </c>
    </row>
    <row r="328" spans="1:28">
      <c r="A328" t="s">
        <v>1042</v>
      </c>
      <c r="B328" t="s">
        <v>1043</v>
      </c>
      <c r="C328" t="s">
        <v>1044</v>
      </c>
      <c r="D328" t="s">
        <v>38</v>
      </c>
      <c r="E328">
        <v>40</v>
      </c>
      <c r="F328" t="s">
        <v>27</v>
      </c>
      <c r="G328" t="s">
        <v>54</v>
      </c>
      <c r="H328">
        <v>39</v>
      </c>
      <c r="I328" t="s">
        <v>39</v>
      </c>
      <c r="J328" t="s">
        <v>30</v>
      </c>
      <c r="K328">
        <v>2</v>
      </c>
      <c r="L328" t="s">
        <v>55</v>
      </c>
      <c r="M328" t="s">
        <v>182</v>
      </c>
      <c r="N328" t="s">
        <v>33</v>
      </c>
      <c r="O328">
        <v>409998</v>
      </c>
      <c r="P328">
        <v>2</v>
      </c>
      <c r="Q328" t="s">
        <v>34</v>
      </c>
      <c r="R328" s="1">
        <v>41743</v>
      </c>
      <c r="S328" t="s">
        <v>34</v>
      </c>
      <c r="T328">
        <v>8</v>
      </c>
      <c r="U328">
        <v>3</v>
      </c>
      <c r="V328">
        <v>6</v>
      </c>
      <c r="W328">
        <v>3</v>
      </c>
      <c r="X328" t="s">
        <v>11021</v>
      </c>
      <c r="Y328" t="s">
        <v>11021</v>
      </c>
      <c r="Z328" t="str">
        <f>_xlfn.XLOOKUP(Employees[[#This Row],[Education]], EdLevel[EducationLevelID], EdLevel[EducationLevel])</f>
        <v xml:space="preserve">High School </v>
      </c>
      <c r="AA328">
        <f>IF(Employees[[#This Row],[Attrition]] = "Yes", 1, 0)</f>
        <v>0</v>
      </c>
      <c r="AB328" t="str" cm="1">
        <f t="array" ref="AB328">_xlfn.IFS(Employees[[#This Row],[Age]]&lt;30, "20-29", Employees[[#This Row],[Age]]&lt;40, "30-39", Employees[[#This Row],[Age]]&lt;50, "40-49", "TRUE", "50+")</f>
        <v>40-49</v>
      </c>
    </row>
    <row r="329" spans="1:28">
      <c r="A329" t="s">
        <v>1045</v>
      </c>
      <c r="B329" t="s">
        <v>1046</v>
      </c>
      <c r="C329" t="s">
        <v>1047</v>
      </c>
      <c r="D329" t="s">
        <v>38</v>
      </c>
      <c r="E329">
        <v>35</v>
      </c>
      <c r="F329" t="s">
        <v>27</v>
      </c>
      <c r="G329" t="s">
        <v>54</v>
      </c>
      <c r="H329">
        <v>26</v>
      </c>
      <c r="I329" t="s">
        <v>39</v>
      </c>
      <c r="J329" t="s">
        <v>30</v>
      </c>
      <c r="K329">
        <v>3</v>
      </c>
      <c r="L329" t="s">
        <v>72</v>
      </c>
      <c r="M329" t="s">
        <v>56</v>
      </c>
      <c r="N329" t="s">
        <v>49</v>
      </c>
      <c r="O329">
        <v>311475</v>
      </c>
      <c r="P329">
        <v>0</v>
      </c>
      <c r="Q329" t="s">
        <v>34</v>
      </c>
      <c r="R329" s="1">
        <v>41744</v>
      </c>
      <c r="S329" t="s">
        <v>34</v>
      </c>
      <c r="T329">
        <v>8</v>
      </c>
      <c r="U329">
        <v>0</v>
      </c>
      <c r="V329">
        <v>0</v>
      </c>
      <c r="W329">
        <v>2</v>
      </c>
      <c r="X329" t="s">
        <v>11022</v>
      </c>
      <c r="Y329" t="s">
        <v>11022</v>
      </c>
      <c r="Z329" t="str">
        <f>_xlfn.XLOOKUP(Employees[[#This Row],[Education]], EdLevel[EducationLevelID], EdLevel[EducationLevel])</f>
        <v xml:space="preserve">Bachelors </v>
      </c>
      <c r="AA329">
        <f>IF(Employees[[#This Row],[Attrition]] = "Yes", 1, 0)</f>
        <v>0</v>
      </c>
      <c r="AB329" t="str" cm="1">
        <f t="array" ref="AB329">_xlfn.IFS(Employees[[#This Row],[Age]]&lt;30, "20-29", Employees[[#This Row],[Age]]&lt;40, "30-39", Employees[[#This Row],[Age]]&lt;50, "40-49", "TRUE", "50+")</f>
        <v>30-39</v>
      </c>
    </row>
    <row r="330" spans="1:28">
      <c r="A330" t="s">
        <v>1048</v>
      </c>
      <c r="B330" t="s">
        <v>1049</v>
      </c>
      <c r="C330" t="s">
        <v>1050</v>
      </c>
      <c r="D330" t="s">
        <v>26</v>
      </c>
      <c r="E330">
        <v>32</v>
      </c>
      <c r="F330" t="s">
        <v>84</v>
      </c>
      <c r="G330" t="s">
        <v>54</v>
      </c>
      <c r="H330">
        <v>14</v>
      </c>
      <c r="I330" t="s">
        <v>39</v>
      </c>
      <c r="J330" t="s">
        <v>71</v>
      </c>
      <c r="K330">
        <v>1</v>
      </c>
      <c r="L330" t="s">
        <v>55</v>
      </c>
      <c r="M330" t="s">
        <v>93</v>
      </c>
      <c r="N330" t="s">
        <v>33</v>
      </c>
      <c r="O330">
        <v>97595</v>
      </c>
      <c r="P330">
        <v>2</v>
      </c>
      <c r="Q330" t="s">
        <v>34</v>
      </c>
      <c r="R330" s="1">
        <v>41749</v>
      </c>
      <c r="S330" t="s">
        <v>34</v>
      </c>
      <c r="T330">
        <v>8</v>
      </c>
      <c r="U330">
        <v>0</v>
      </c>
      <c r="V330">
        <v>0</v>
      </c>
      <c r="W330">
        <v>1</v>
      </c>
      <c r="X330" t="s">
        <v>11020</v>
      </c>
      <c r="Y330" t="s">
        <v>11020</v>
      </c>
      <c r="Z330" t="str">
        <f>_xlfn.XLOOKUP(Employees[[#This Row],[Education]], EdLevel[EducationLevelID], EdLevel[EducationLevel])</f>
        <v>No Formal Qualifications</v>
      </c>
      <c r="AA330">
        <f>IF(Employees[[#This Row],[Attrition]] = "Yes", 1, 0)</f>
        <v>0</v>
      </c>
      <c r="AB330" t="str" cm="1">
        <f t="array" ref="AB330">_xlfn.IFS(Employees[[#This Row],[Age]]&lt;30, "20-29", Employees[[#This Row],[Age]]&lt;40, "30-39", Employees[[#This Row],[Age]]&lt;50, "40-49", "TRUE", "50+")</f>
        <v>30-39</v>
      </c>
    </row>
    <row r="331" spans="1:28">
      <c r="A331" t="s">
        <v>1051</v>
      </c>
      <c r="B331" t="s">
        <v>1052</v>
      </c>
      <c r="C331" t="s">
        <v>1053</v>
      </c>
      <c r="D331" t="s">
        <v>26</v>
      </c>
      <c r="E331">
        <v>33</v>
      </c>
      <c r="F331" t="s">
        <v>70</v>
      </c>
      <c r="G331" t="s">
        <v>28</v>
      </c>
      <c r="H331">
        <v>41</v>
      </c>
      <c r="I331" t="s">
        <v>65</v>
      </c>
      <c r="J331" t="s">
        <v>66</v>
      </c>
      <c r="K331">
        <v>2</v>
      </c>
      <c r="L331" t="s">
        <v>121</v>
      </c>
      <c r="M331" t="s">
        <v>32</v>
      </c>
      <c r="N331" t="s">
        <v>40</v>
      </c>
      <c r="O331">
        <v>193190</v>
      </c>
      <c r="P331">
        <v>0</v>
      </c>
      <c r="Q331" t="s">
        <v>41</v>
      </c>
      <c r="R331" s="1">
        <v>41751</v>
      </c>
      <c r="S331" t="s">
        <v>34</v>
      </c>
      <c r="T331">
        <v>8</v>
      </c>
      <c r="U331">
        <v>0</v>
      </c>
      <c r="V331">
        <v>3</v>
      </c>
      <c r="W331">
        <v>4</v>
      </c>
      <c r="X331" t="s">
        <v>11021</v>
      </c>
      <c r="Y331" t="s">
        <v>11021</v>
      </c>
      <c r="Z331" t="str">
        <f>_xlfn.XLOOKUP(Employees[[#This Row],[Education]], EdLevel[EducationLevelID], EdLevel[EducationLevel])</f>
        <v xml:space="preserve">High School </v>
      </c>
      <c r="AA331">
        <f>IF(Employees[[#This Row],[Attrition]] = "Yes", 1, 0)</f>
        <v>0</v>
      </c>
      <c r="AB331" t="str" cm="1">
        <f t="array" ref="AB331">_xlfn.IFS(Employees[[#This Row],[Age]]&lt;30, "20-29", Employees[[#This Row],[Age]]&lt;40, "30-39", Employees[[#This Row],[Age]]&lt;50, "40-49", "TRUE", "50+")</f>
        <v>30-39</v>
      </c>
    </row>
    <row r="332" spans="1:28">
      <c r="A332" t="s">
        <v>1054</v>
      </c>
      <c r="B332" t="s">
        <v>763</v>
      </c>
      <c r="C332" t="s">
        <v>1055</v>
      </c>
      <c r="D332" t="s">
        <v>26</v>
      </c>
      <c r="E332">
        <v>36</v>
      </c>
      <c r="F332" t="s">
        <v>27</v>
      </c>
      <c r="G332" t="s">
        <v>54</v>
      </c>
      <c r="H332">
        <v>21</v>
      </c>
      <c r="I332" t="s">
        <v>39</v>
      </c>
      <c r="J332" t="s">
        <v>66</v>
      </c>
      <c r="K332">
        <v>4</v>
      </c>
      <c r="L332" t="s">
        <v>55</v>
      </c>
      <c r="M332" t="s">
        <v>101</v>
      </c>
      <c r="N332" t="s">
        <v>33</v>
      </c>
      <c r="O332">
        <v>57327</v>
      </c>
      <c r="P332">
        <v>2</v>
      </c>
      <c r="Q332" t="s">
        <v>34</v>
      </c>
      <c r="R332" s="1">
        <v>41753</v>
      </c>
      <c r="S332" t="s">
        <v>34</v>
      </c>
      <c r="T332">
        <v>8</v>
      </c>
      <c r="U332">
        <v>5</v>
      </c>
      <c r="V332">
        <v>8</v>
      </c>
      <c r="W332">
        <v>4</v>
      </c>
      <c r="X332" t="s">
        <v>11023</v>
      </c>
      <c r="Y332" t="s">
        <v>11023</v>
      </c>
      <c r="Z332" t="str">
        <f>_xlfn.XLOOKUP(Employees[[#This Row],[Education]], EdLevel[EducationLevelID], EdLevel[EducationLevel])</f>
        <v xml:space="preserve">Masters </v>
      </c>
      <c r="AA332">
        <f>IF(Employees[[#This Row],[Attrition]] = "Yes", 1, 0)</f>
        <v>0</v>
      </c>
      <c r="AB332" t="str" cm="1">
        <f t="array" ref="AB332">_xlfn.IFS(Employees[[#This Row],[Age]]&lt;30, "20-29", Employees[[#This Row],[Age]]&lt;40, "30-39", Employees[[#This Row],[Age]]&lt;50, "40-49", "TRUE", "50+")</f>
        <v>30-39</v>
      </c>
    </row>
    <row r="333" spans="1:28">
      <c r="A333" t="s">
        <v>1056</v>
      </c>
      <c r="B333" t="s">
        <v>1057</v>
      </c>
      <c r="C333" t="s">
        <v>1058</v>
      </c>
      <c r="D333" t="s">
        <v>38</v>
      </c>
      <c r="E333">
        <v>29</v>
      </c>
      <c r="F333" t="s">
        <v>27</v>
      </c>
      <c r="G333" t="s">
        <v>54</v>
      </c>
      <c r="H333">
        <v>8</v>
      </c>
      <c r="I333" t="s">
        <v>65</v>
      </c>
      <c r="J333" t="s">
        <v>30</v>
      </c>
      <c r="K333">
        <v>2</v>
      </c>
      <c r="L333" t="s">
        <v>55</v>
      </c>
      <c r="M333" t="s">
        <v>93</v>
      </c>
      <c r="N333" t="s">
        <v>49</v>
      </c>
      <c r="O333">
        <v>119083</v>
      </c>
      <c r="P333">
        <v>2</v>
      </c>
      <c r="Q333" t="s">
        <v>34</v>
      </c>
      <c r="R333" s="1">
        <v>41754</v>
      </c>
      <c r="S333" t="s">
        <v>34</v>
      </c>
      <c r="T333">
        <v>8</v>
      </c>
      <c r="U333">
        <v>3</v>
      </c>
      <c r="V333">
        <v>6</v>
      </c>
      <c r="W333">
        <v>4</v>
      </c>
      <c r="X333" t="s">
        <v>11021</v>
      </c>
      <c r="Y333" t="s">
        <v>11021</v>
      </c>
      <c r="Z333" t="str">
        <f>_xlfn.XLOOKUP(Employees[[#This Row],[Education]], EdLevel[EducationLevelID], EdLevel[EducationLevel])</f>
        <v xml:space="preserve">High School </v>
      </c>
      <c r="AA333">
        <f>IF(Employees[[#This Row],[Attrition]] = "Yes", 1, 0)</f>
        <v>0</v>
      </c>
      <c r="AB333" t="str" cm="1">
        <f t="array" ref="AB333">_xlfn.IFS(Employees[[#This Row],[Age]]&lt;30, "20-29", Employees[[#This Row],[Age]]&lt;40, "30-39", Employees[[#This Row],[Age]]&lt;50, "40-49", "TRUE", "50+")</f>
        <v>20-29</v>
      </c>
    </row>
    <row r="334" spans="1:28">
      <c r="A334" t="s">
        <v>1059</v>
      </c>
      <c r="B334" t="s">
        <v>1060</v>
      </c>
      <c r="C334" t="s">
        <v>1061</v>
      </c>
      <c r="D334" t="s">
        <v>859</v>
      </c>
      <c r="E334">
        <v>41</v>
      </c>
      <c r="F334" t="s">
        <v>27</v>
      </c>
      <c r="G334" t="s">
        <v>28</v>
      </c>
      <c r="H334">
        <v>33</v>
      </c>
      <c r="I334" t="s">
        <v>65</v>
      </c>
      <c r="J334" t="s">
        <v>137</v>
      </c>
      <c r="K334">
        <v>1</v>
      </c>
      <c r="L334" t="s">
        <v>47</v>
      </c>
      <c r="M334" t="s">
        <v>32</v>
      </c>
      <c r="N334" t="s">
        <v>33</v>
      </c>
      <c r="O334">
        <v>119592</v>
      </c>
      <c r="P334">
        <v>1</v>
      </c>
      <c r="Q334" t="s">
        <v>41</v>
      </c>
      <c r="R334" s="1">
        <v>41765</v>
      </c>
      <c r="S334" t="s">
        <v>34</v>
      </c>
      <c r="T334">
        <v>8</v>
      </c>
      <c r="U334">
        <v>7</v>
      </c>
      <c r="V334">
        <v>8</v>
      </c>
      <c r="W334">
        <v>2</v>
      </c>
      <c r="X334" t="s">
        <v>11020</v>
      </c>
      <c r="Y334" t="s">
        <v>11020</v>
      </c>
      <c r="Z334" t="str">
        <f>_xlfn.XLOOKUP(Employees[[#This Row],[Education]], EdLevel[EducationLevelID], EdLevel[EducationLevel])</f>
        <v>No Formal Qualifications</v>
      </c>
      <c r="AA334">
        <f>IF(Employees[[#This Row],[Attrition]] = "Yes", 1, 0)</f>
        <v>0</v>
      </c>
      <c r="AB334" t="str" cm="1">
        <f t="array" ref="AB334">_xlfn.IFS(Employees[[#This Row],[Age]]&lt;30, "20-29", Employees[[#This Row],[Age]]&lt;40, "30-39", Employees[[#This Row],[Age]]&lt;50, "40-49", "TRUE", "50+")</f>
        <v>40-49</v>
      </c>
    </row>
    <row r="335" spans="1:28">
      <c r="A335" t="s">
        <v>1062</v>
      </c>
      <c r="B335" t="s">
        <v>1063</v>
      </c>
      <c r="C335" t="s">
        <v>1064</v>
      </c>
      <c r="D335" t="s">
        <v>38</v>
      </c>
      <c r="E335">
        <v>44</v>
      </c>
      <c r="F335" t="s">
        <v>27</v>
      </c>
      <c r="G335" t="s">
        <v>54</v>
      </c>
      <c r="H335">
        <v>5</v>
      </c>
      <c r="I335" t="s">
        <v>65</v>
      </c>
      <c r="J335" t="s">
        <v>66</v>
      </c>
      <c r="K335">
        <v>3</v>
      </c>
      <c r="L335" t="s">
        <v>178</v>
      </c>
      <c r="M335" t="s">
        <v>101</v>
      </c>
      <c r="N335" t="s">
        <v>49</v>
      </c>
      <c r="O335">
        <v>48994</v>
      </c>
      <c r="P335">
        <v>0</v>
      </c>
      <c r="Q335" t="s">
        <v>34</v>
      </c>
      <c r="R335" s="1">
        <v>41768</v>
      </c>
      <c r="S335" t="s">
        <v>34</v>
      </c>
      <c r="T335">
        <v>8</v>
      </c>
      <c r="U335">
        <v>7</v>
      </c>
      <c r="V335">
        <v>7</v>
      </c>
      <c r="W335">
        <v>3</v>
      </c>
      <c r="X335" t="s">
        <v>11022</v>
      </c>
      <c r="Y335" t="s">
        <v>11022</v>
      </c>
      <c r="Z335" t="str">
        <f>_xlfn.XLOOKUP(Employees[[#This Row],[Education]], EdLevel[EducationLevelID], EdLevel[EducationLevel])</f>
        <v xml:space="preserve">Bachelors </v>
      </c>
      <c r="AA335">
        <f>IF(Employees[[#This Row],[Attrition]] = "Yes", 1, 0)</f>
        <v>0</v>
      </c>
      <c r="AB335" t="str" cm="1">
        <f t="array" ref="AB335">_xlfn.IFS(Employees[[#This Row],[Age]]&lt;30, "20-29", Employees[[#This Row],[Age]]&lt;40, "30-39", Employees[[#This Row],[Age]]&lt;50, "40-49", "TRUE", "50+")</f>
        <v>40-49</v>
      </c>
    </row>
    <row r="336" spans="1:28">
      <c r="A336" t="s">
        <v>1065</v>
      </c>
      <c r="B336" t="s">
        <v>1066</v>
      </c>
      <c r="C336" t="s">
        <v>1067</v>
      </c>
      <c r="D336" t="s">
        <v>38</v>
      </c>
      <c r="E336">
        <v>26</v>
      </c>
      <c r="F336" t="s">
        <v>27</v>
      </c>
      <c r="G336" t="s">
        <v>28</v>
      </c>
      <c r="H336">
        <v>45</v>
      </c>
      <c r="I336" t="s">
        <v>39</v>
      </c>
      <c r="J336" t="s">
        <v>71</v>
      </c>
      <c r="K336">
        <v>3</v>
      </c>
      <c r="L336" t="s">
        <v>60</v>
      </c>
      <c r="M336" t="s">
        <v>150</v>
      </c>
      <c r="N336" t="s">
        <v>49</v>
      </c>
      <c r="O336">
        <v>20650</v>
      </c>
      <c r="P336">
        <v>1</v>
      </c>
      <c r="Q336" t="s">
        <v>34</v>
      </c>
      <c r="R336" s="1">
        <v>41769</v>
      </c>
      <c r="S336" t="s">
        <v>41</v>
      </c>
      <c r="T336">
        <v>2</v>
      </c>
      <c r="U336">
        <v>0</v>
      </c>
      <c r="V336">
        <v>0</v>
      </c>
      <c r="W336">
        <v>1</v>
      </c>
      <c r="X336" t="s">
        <v>11022</v>
      </c>
      <c r="Y336" t="s">
        <v>11022</v>
      </c>
      <c r="Z336" t="str">
        <f>_xlfn.XLOOKUP(Employees[[#This Row],[Education]], EdLevel[EducationLevelID], EdLevel[EducationLevel])</f>
        <v xml:space="preserve">Bachelors </v>
      </c>
      <c r="AA336">
        <f>IF(Employees[[#This Row],[Attrition]] = "Yes", 1, 0)</f>
        <v>1</v>
      </c>
      <c r="AB336" t="str" cm="1">
        <f t="array" ref="AB336">_xlfn.IFS(Employees[[#This Row],[Age]]&lt;30, "20-29", Employees[[#This Row],[Age]]&lt;40, "30-39", Employees[[#This Row],[Age]]&lt;50, "40-49", "TRUE", "50+")</f>
        <v>20-29</v>
      </c>
    </row>
    <row r="337" spans="1:28">
      <c r="A337" t="s">
        <v>1068</v>
      </c>
      <c r="B337" t="s">
        <v>1069</v>
      </c>
      <c r="C337" t="s">
        <v>1070</v>
      </c>
      <c r="D337" t="s">
        <v>38</v>
      </c>
      <c r="E337">
        <v>29</v>
      </c>
      <c r="F337" t="s">
        <v>70</v>
      </c>
      <c r="G337" t="s">
        <v>54</v>
      </c>
      <c r="H337">
        <v>12</v>
      </c>
      <c r="I337" t="s">
        <v>29</v>
      </c>
      <c r="J337" t="s">
        <v>30</v>
      </c>
      <c r="K337">
        <v>4</v>
      </c>
      <c r="L337" t="s">
        <v>55</v>
      </c>
      <c r="M337" t="s">
        <v>85</v>
      </c>
      <c r="N337" t="s">
        <v>49</v>
      </c>
      <c r="O337">
        <v>62756</v>
      </c>
      <c r="P337">
        <v>0</v>
      </c>
      <c r="Q337" t="s">
        <v>34</v>
      </c>
      <c r="R337" s="1">
        <v>41773</v>
      </c>
      <c r="S337" t="s">
        <v>34</v>
      </c>
      <c r="T337">
        <v>8</v>
      </c>
      <c r="U337">
        <v>3</v>
      </c>
      <c r="V337">
        <v>5</v>
      </c>
      <c r="W337">
        <v>8</v>
      </c>
      <c r="X337" t="s">
        <v>11023</v>
      </c>
      <c r="Y337" t="s">
        <v>11023</v>
      </c>
      <c r="Z337" t="str">
        <f>_xlfn.XLOOKUP(Employees[[#This Row],[Education]], EdLevel[EducationLevelID], EdLevel[EducationLevel])</f>
        <v xml:space="preserve">Masters </v>
      </c>
      <c r="AA337">
        <f>IF(Employees[[#This Row],[Attrition]] = "Yes", 1, 0)</f>
        <v>0</v>
      </c>
      <c r="AB337" t="str" cm="1">
        <f t="array" ref="AB337">_xlfn.IFS(Employees[[#This Row],[Age]]&lt;30, "20-29", Employees[[#This Row],[Age]]&lt;40, "30-39", Employees[[#This Row],[Age]]&lt;50, "40-49", "TRUE", "50+")</f>
        <v>20-29</v>
      </c>
    </row>
    <row r="338" spans="1:28">
      <c r="A338" t="s">
        <v>1071</v>
      </c>
      <c r="B338" t="s">
        <v>1072</v>
      </c>
      <c r="C338" t="s">
        <v>1073</v>
      </c>
      <c r="D338" t="s">
        <v>38</v>
      </c>
      <c r="E338">
        <v>29</v>
      </c>
      <c r="F338" t="s">
        <v>27</v>
      </c>
      <c r="G338" t="s">
        <v>28</v>
      </c>
      <c r="H338">
        <v>3</v>
      </c>
      <c r="I338" t="s">
        <v>39</v>
      </c>
      <c r="J338" t="s">
        <v>137</v>
      </c>
      <c r="K338">
        <v>3</v>
      </c>
      <c r="L338" t="s">
        <v>77</v>
      </c>
      <c r="M338" t="s">
        <v>150</v>
      </c>
      <c r="N338" t="s">
        <v>40</v>
      </c>
      <c r="O338">
        <v>46465</v>
      </c>
      <c r="P338">
        <v>0</v>
      </c>
      <c r="Q338" t="s">
        <v>41</v>
      </c>
      <c r="R338" s="1">
        <v>41775</v>
      </c>
      <c r="S338" t="s">
        <v>41</v>
      </c>
      <c r="T338">
        <v>4</v>
      </c>
      <c r="U338">
        <v>3</v>
      </c>
      <c r="V338">
        <v>3</v>
      </c>
      <c r="W338">
        <v>3</v>
      </c>
      <c r="X338" t="s">
        <v>11022</v>
      </c>
      <c r="Y338" t="s">
        <v>11022</v>
      </c>
      <c r="Z338" t="str">
        <f>_xlfn.XLOOKUP(Employees[[#This Row],[Education]], EdLevel[EducationLevelID], EdLevel[EducationLevel])</f>
        <v xml:space="preserve">Bachelors </v>
      </c>
      <c r="AA338">
        <f>IF(Employees[[#This Row],[Attrition]] = "Yes", 1, 0)</f>
        <v>1</v>
      </c>
      <c r="AB338" t="str" cm="1">
        <f t="array" ref="AB338">_xlfn.IFS(Employees[[#This Row],[Age]]&lt;30, "20-29", Employees[[#This Row],[Age]]&lt;40, "30-39", Employees[[#This Row],[Age]]&lt;50, "40-49", "TRUE", "50+")</f>
        <v>20-29</v>
      </c>
    </row>
    <row r="339" spans="1:28">
      <c r="A339" t="s">
        <v>1074</v>
      </c>
      <c r="B339" t="s">
        <v>309</v>
      </c>
      <c r="C339" t="s">
        <v>1075</v>
      </c>
      <c r="D339" t="s">
        <v>53</v>
      </c>
      <c r="E339">
        <v>34</v>
      </c>
      <c r="F339" t="s">
        <v>84</v>
      </c>
      <c r="G339" t="s">
        <v>54</v>
      </c>
      <c r="H339">
        <v>12</v>
      </c>
      <c r="I339" t="s">
        <v>39</v>
      </c>
      <c r="J339" t="s">
        <v>30</v>
      </c>
      <c r="K339">
        <v>2</v>
      </c>
      <c r="L339" t="s">
        <v>55</v>
      </c>
      <c r="M339" t="s">
        <v>85</v>
      </c>
      <c r="N339" t="s">
        <v>49</v>
      </c>
      <c r="O339">
        <v>44057</v>
      </c>
      <c r="P339">
        <v>1</v>
      </c>
      <c r="Q339" t="s">
        <v>41</v>
      </c>
      <c r="R339" s="1">
        <v>41776</v>
      </c>
      <c r="S339" t="s">
        <v>34</v>
      </c>
      <c r="T339">
        <v>8</v>
      </c>
      <c r="U339">
        <v>7</v>
      </c>
      <c r="V339">
        <v>7</v>
      </c>
      <c r="W339">
        <v>1</v>
      </c>
      <c r="X339" t="s">
        <v>11021</v>
      </c>
      <c r="Y339" t="s">
        <v>11021</v>
      </c>
      <c r="Z339" t="str">
        <f>_xlfn.XLOOKUP(Employees[[#This Row],[Education]], EdLevel[EducationLevelID], EdLevel[EducationLevel])</f>
        <v xml:space="preserve">High School </v>
      </c>
      <c r="AA339">
        <f>IF(Employees[[#This Row],[Attrition]] = "Yes", 1, 0)</f>
        <v>0</v>
      </c>
      <c r="AB339" t="str" cm="1">
        <f t="array" ref="AB339">_xlfn.IFS(Employees[[#This Row],[Age]]&lt;30, "20-29", Employees[[#This Row],[Age]]&lt;40, "30-39", Employees[[#This Row],[Age]]&lt;50, "40-49", "TRUE", "50+")</f>
        <v>30-39</v>
      </c>
    </row>
    <row r="340" spans="1:28">
      <c r="A340" t="s">
        <v>1076</v>
      </c>
      <c r="B340" t="s">
        <v>1077</v>
      </c>
      <c r="C340" t="s">
        <v>1078</v>
      </c>
      <c r="D340" t="s">
        <v>53</v>
      </c>
      <c r="E340">
        <v>48</v>
      </c>
      <c r="F340" t="s">
        <v>84</v>
      </c>
      <c r="G340" t="s">
        <v>28</v>
      </c>
      <c r="H340">
        <v>9</v>
      </c>
      <c r="I340" t="s">
        <v>65</v>
      </c>
      <c r="J340" t="s">
        <v>76</v>
      </c>
      <c r="K340">
        <v>3</v>
      </c>
      <c r="L340" t="s">
        <v>121</v>
      </c>
      <c r="M340" t="s">
        <v>32</v>
      </c>
      <c r="N340" t="s">
        <v>33</v>
      </c>
      <c r="O340">
        <v>288450</v>
      </c>
      <c r="P340">
        <v>2</v>
      </c>
      <c r="Q340" t="s">
        <v>41</v>
      </c>
      <c r="R340" s="1">
        <v>41783</v>
      </c>
      <c r="S340" t="s">
        <v>34</v>
      </c>
      <c r="T340">
        <v>8</v>
      </c>
      <c r="U340">
        <v>2</v>
      </c>
      <c r="V340">
        <v>6</v>
      </c>
      <c r="W340">
        <v>4</v>
      </c>
      <c r="X340" t="s">
        <v>11022</v>
      </c>
      <c r="Y340" t="s">
        <v>11022</v>
      </c>
      <c r="Z340" t="str">
        <f>_xlfn.XLOOKUP(Employees[[#This Row],[Education]], EdLevel[EducationLevelID], EdLevel[EducationLevel])</f>
        <v xml:space="preserve">Bachelors </v>
      </c>
      <c r="AA340">
        <f>IF(Employees[[#This Row],[Attrition]] = "Yes", 1, 0)</f>
        <v>0</v>
      </c>
      <c r="AB340" t="str" cm="1">
        <f t="array" ref="AB340">_xlfn.IFS(Employees[[#This Row],[Age]]&lt;30, "20-29", Employees[[#This Row],[Age]]&lt;40, "30-39", Employees[[#This Row],[Age]]&lt;50, "40-49", "TRUE", "50+")</f>
        <v>40-49</v>
      </c>
    </row>
    <row r="341" spans="1:28">
      <c r="A341" t="s">
        <v>1079</v>
      </c>
      <c r="B341" t="s">
        <v>1080</v>
      </c>
      <c r="C341" t="s">
        <v>1081</v>
      </c>
      <c r="D341" t="s">
        <v>26</v>
      </c>
      <c r="E341">
        <v>41</v>
      </c>
      <c r="F341" t="s">
        <v>27</v>
      </c>
      <c r="G341" t="s">
        <v>28</v>
      </c>
      <c r="H341">
        <v>42</v>
      </c>
      <c r="I341" t="s">
        <v>39</v>
      </c>
      <c r="J341" t="s">
        <v>46</v>
      </c>
      <c r="K341">
        <v>3</v>
      </c>
      <c r="L341" t="s">
        <v>60</v>
      </c>
      <c r="M341" t="s">
        <v>32</v>
      </c>
      <c r="N341" t="s">
        <v>49</v>
      </c>
      <c r="O341">
        <v>142853</v>
      </c>
      <c r="P341">
        <v>1</v>
      </c>
      <c r="Q341" t="s">
        <v>34</v>
      </c>
      <c r="R341" s="1">
        <v>41786</v>
      </c>
      <c r="S341" t="s">
        <v>34</v>
      </c>
      <c r="T341">
        <v>8</v>
      </c>
      <c r="U341">
        <v>7</v>
      </c>
      <c r="V341">
        <v>8</v>
      </c>
      <c r="W341">
        <v>7</v>
      </c>
      <c r="X341" t="s">
        <v>11022</v>
      </c>
      <c r="Y341" t="s">
        <v>11022</v>
      </c>
      <c r="Z341" t="str">
        <f>_xlfn.XLOOKUP(Employees[[#This Row],[Education]], EdLevel[EducationLevelID], EdLevel[EducationLevel])</f>
        <v xml:space="preserve">Bachelors </v>
      </c>
      <c r="AA341">
        <f>IF(Employees[[#This Row],[Attrition]] = "Yes", 1, 0)</f>
        <v>0</v>
      </c>
      <c r="AB341" t="str" cm="1">
        <f t="array" ref="AB341">_xlfn.IFS(Employees[[#This Row],[Age]]&lt;30, "20-29", Employees[[#This Row],[Age]]&lt;40, "30-39", Employees[[#This Row],[Age]]&lt;50, "40-49", "TRUE", "50+")</f>
        <v>40-49</v>
      </c>
    </row>
    <row r="342" spans="1:28">
      <c r="A342" t="s">
        <v>1082</v>
      </c>
      <c r="B342" t="s">
        <v>1083</v>
      </c>
      <c r="C342" t="s">
        <v>325</v>
      </c>
      <c r="D342" t="s">
        <v>26</v>
      </c>
      <c r="E342">
        <v>29</v>
      </c>
      <c r="F342" t="s">
        <v>27</v>
      </c>
      <c r="G342" t="s">
        <v>54</v>
      </c>
      <c r="H342">
        <v>36</v>
      </c>
      <c r="I342" t="s">
        <v>39</v>
      </c>
      <c r="J342" t="s">
        <v>46</v>
      </c>
      <c r="K342">
        <v>3</v>
      </c>
      <c r="L342" t="s">
        <v>55</v>
      </c>
      <c r="M342" t="s">
        <v>85</v>
      </c>
      <c r="N342" t="s">
        <v>49</v>
      </c>
      <c r="O342">
        <v>46813</v>
      </c>
      <c r="P342">
        <v>0</v>
      </c>
      <c r="Q342" t="s">
        <v>34</v>
      </c>
      <c r="R342" s="1">
        <v>41788</v>
      </c>
      <c r="S342" t="s">
        <v>41</v>
      </c>
      <c r="T342">
        <v>6</v>
      </c>
      <c r="U342">
        <v>1</v>
      </c>
      <c r="V342">
        <v>1</v>
      </c>
      <c r="W342">
        <v>1</v>
      </c>
      <c r="X342" t="s">
        <v>11022</v>
      </c>
      <c r="Y342" t="s">
        <v>11022</v>
      </c>
      <c r="Z342" t="str">
        <f>_xlfn.XLOOKUP(Employees[[#This Row],[Education]], EdLevel[EducationLevelID], EdLevel[EducationLevel])</f>
        <v xml:space="preserve">Bachelors </v>
      </c>
      <c r="AA342">
        <f>IF(Employees[[#This Row],[Attrition]] = "Yes", 1, 0)</f>
        <v>1</v>
      </c>
      <c r="AB342" t="str" cm="1">
        <f t="array" ref="AB342">_xlfn.IFS(Employees[[#This Row],[Age]]&lt;30, "20-29", Employees[[#This Row],[Age]]&lt;40, "30-39", Employees[[#This Row],[Age]]&lt;50, "40-49", "TRUE", "50+")</f>
        <v>20-29</v>
      </c>
    </row>
    <row r="343" spans="1:28">
      <c r="A343" t="s">
        <v>1084</v>
      </c>
      <c r="B343" t="s">
        <v>1085</v>
      </c>
      <c r="C343" t="s">
        <v>1086</v>
      </c>
      <c r="D343" t="s">
        <v>26</v>
      </c>
      <c r="E343">
        <v>46</v>
      </c>
      <c r="F343" t="s">
        <v>70</v>
      </c>
      <c r="G343" t="s">
        <v>54</v>
      </c>
      <c r="H343">
        <v>21</v>
      </c>
      <c r="I343" t="s">
        <v>39</v>
      </c>
      <c r="J343" t="s">
        <v>92</v>
      </c>
      <c r="K343">
        <v>1</v>
      </c>
      <c r="L343" t="s">
        <v>55</v>
      </c>
      <c r="M343" t="s">
        <v>182</v>
      </c>
      <c r="N343" t="s">
        <v>49</v>
      </c>
      <c r="O343">
        <v>281175</v>
      </c>
      <c r="P343">
        <v>0</v>
      </c>
      <c r="Q343" t="s">
        <v>41</v>
      </c>
      <c r="R343" s="1">
        <v>41792</v>
      </c>
      <c r="S343" t="s">
        <v>34</v>
      </c>
      <c r="T343">
        <v>8</v>
      </c>
      <c r="U343">
        <v>1</v>
      </c>
      <c r="V343">
        <v>2</v>
      </c>
      <c r="W343">
        <v>2</v>
      </c>
      <c r="X343" t="s">
        <v>11020</v>
      </c>
      <c r="Y343" t="s">
        <v>11020</v>
      </c>
      <c r="Z343" t="str">
        <f>_xlfn.XLOOKUP(Employees[[#This Row],[Education]], EdLevel[EducationLevelID], EdLevel[EducationLevel])</f>
        <v>No Formal Qualifications</v>
      </c>
      <c r="AA343">
        <f>IF(Employees[[#This Row],[Attrition]] = "Yes", 1, 0)</f>
        <v>0</v>
      </c>
      <c r="AB343" t="str" cm="1">
        <f t="array" ref="AB343">_xlfn.IFS(Employees[[#This Row],[Age]]&lt;30, "20-29", Employees[[#This Row],[Age]]&lt;40, "30-39", Employees[[#This Row],[Age]]&lt;50, "40-49", "TRUE", "50+")</f>
        <v>40-49</v>
      </c>
    </row>
    <row r="344" spans="1:28">
      <c r="A344" t="s">
        <v>1087</v>
      </c>
      <c r="B344" t="s">
        <v>1088</v>
      </c>
      <c r="C344" t="s">
        <v>1089</v>
      </c>
      <c r="D344" t="s">
        <v>38</v>
      </c>
      <c r="E344">
        <v>40</v>
      </c>
      <c r="F344" t="s">
        <v>27</v>
      </c>
      <c r="G344" t="s">
        <v>54</v>
      </c>
      <c r="H344">
        <v>22</v>
      </c>
      <c r="I344" t="s">
        <v>39</v>
      </c>
      <c r="J344" t="s">
        <v>71</v>
      </c>
      <c r="K344">
        <v>1</v>
      </c>
      <c r="L344" t="s">
        <v>178</v>
      </c>
      <c r="M344" t="s">
        <v>85</v>
      </c>
      <c r="N344" t="s">
        <v>49</v>
      </c>
      <c r="O344">
        <v>38849</v>
      </c>
      <c r="P344">
        <v>1</v>
      </c>
      <c r="Q344" t="s">
        <v>34</v>
      </c>
      <c r="R344" s="1">
        <v>41796</v>
      </c>
      <c r="S344" t="s">
        <v>34</v>
      </c>
      <c r="T344">
        <v>8</v>
      </c>
      <c r="U344">
        <v>6</v>
      </c>
      <c r="V344">
        <v>6</v>
      </c>
      <c r="W344">
        <v>3</v>
      </c>
      <c r="X344" t="s">
        <v>11020</v>
      </c>
      <c r="Y344" t="s">
        <v>11020</v>
      </c>
      <c r="Z344" t="str">
        <f>_xlfn.XLOOKUP(Employees[[#This Row],[Education]], EdLevel[EducationLevelID], EdLevel[EducationLevel])</f>
        <v>No Formal Qualifications</v>
      </c>
      <c r="AA344">
        <f>IF(Employees[[#This Row],[Attrition]] = "Yes", 1, 0)</f>
        <v>0</v>
      </c>
      <c r="AB344" t="str" cm="1">
        <f t="array" ref="AB344">_xlfn.IFS(Employees[[#This Row],[Age]]&lt;30, "20-29", Employees[[#This Row],[Age]]&lt;40, "30-39", Employees[[#This Row],[Age]]&lt;50, "40-49", "TRUE", "50+")</f>
        <v>40-49</v>
      </c>
    </row>
    <row r="345" spans="1:28">
      <c r="A345" t="s">
        <v>1090</v>
      </c>
      <c r="B345" t="s">
        <v>1091</v>
      </c>
      <c r="C345" t="s">
        <v>1092</v>
      </c>
      <c r="D345" t="s">
        <v>53</v>
      </c>
      <c r="E345">
        <v>37</v>
      </c>
      <c r="F345" t="s">
        <v>27</v>
      </c>
      <c r="G345" t="s">
        <v>28</v>
      </c>
      <c r="H345">
        <v>30</v>
      </c>
      <c r="I345" t="s">
        <v>65</v>
      </c>
      <c r="J345" t="s">
        <v>76</v>
      </c>
      <c r="K345">
        <v>3</v>
      </c>
      <c r="L345" t="s">
        <v>31</v>
      </c>
      <c r="M345" t="s">
        <v>32</v>
      </c>
      <c r="N345" t="s">
        <v>49</v>
      </c>
      <c r="O345">
        <v>61117</v>
      </c>
      <c r="P345">
        <v>1</v>
      </c>
      <c r="Q345" t="s">
        <v>41</v>
      </c>
      <c r="R345" s="1">
        <v>41800</v>
      </c>
      <c r="S345" t="s">
        <v>34</v>
      </c>
      <c r="T345">
        <v>8</v>
      </c>
      <c r="U345">
        <v>2</v>
      </c>
      <c r="V345">
        <v>5</v>
      </c>
      <c r="W345">
        <v>0</v>
      </c>
      <c r="X345" t="s">
        <v>11022</v>
      </c>
      <c r="Y345" t="s">
        <v>11022</v>
      </c>
      <c r="Z345" t="str">
        <f>_xlfn.XLOOKUP(Employees[[#This Row],[Education]], EdLevel[EducationLevelID], EdLevel[EducationLevel])</f>
        <v xml:space="preserve">Bachelors </v>
      </c>
      <c r="AA345">
        <f>IF(Employees[[#This Row],[Attrition]] = "Yes", 1, 0)</f>
        <v>0</v>
      </c>
      <c r="AB345" t="str" cm="1">
        <f t="array" ref="AB345">_xlfn.IFS(Employees[[#This Row],[Age]]&lt;30, "20-29", Employees[[#This Row],[Age]]&lt;40, "30-39", Employees[[#This Row],[Age]]&lt;50, "40-49", "TRUE", "50+")</f>
        <v>30-39</v>
      </c>
    </row>
    <row r="346" spans="1:28">
      <c r="A346" t="s">
        <v>1093</v>
      </c>
      <c r="B346" t="s">
        <v>1094</v>
      </c>
      <c r="C346" t="s">
        <v>1095</v>
      </c>
      <c r="D346" t="s">
        <v>26</v>
      </c>
      <c r="E346">
        <v>40</v>
      </c>
      <c r="F346" t="s">
        <v>27</v>
      </c>
      <c r="G346" t="s">
        <v>28</v>
      </c>
      <c r="H346">
        <v>2</v>
      </c>
      <c r="I346" t="s">
        <v>65</v>
      </c>
      <c r="J346" t="s">
        <v>30</v>
      </c>
      <c r="K346">
        <v>4</v>
      </c>
      <c r="L346" t="s">
        <v>60</v>
      </c>
      <c r="M346" t="s">
        <v>32</v>
      </c>
      <c r="N346" t="s">
        <v>49</v>
      </c>
      <c r="O346">
        <v>204005</v>
      </c>
      <c r="P346">
        <v>1</v>
      </c>
      <c r="Q346" t="s">
        <v>34</v>
      </c>
      <c r="R346" s="1">
        <v>41800</v>
      </c>
      <c r="S346" t="s">
        <v>34</v>
      </c>
      <c r="T346">
        <v>8</v>
      </c>
      <c r="U346">
        <v>7</v>
      </c>
      <c r="V346">
        <v>7</v>
      </c>
      <c r="W346">
        <v>3</v>
      </c>
      <c r="X346" t="s">
        <v>11023</v>
      </c>
      <c r="Y346" t="s">
        <v>11023</v>
      </c>
      <c r="Z346" t="str">
        <f>_xlfn.XLOOKUP(Employees[[#This Row],[Education]], EdLevel[EducationLevelID], EdLevel[EducationLevel])</f>
        <v xml:space="preserve">Masters </v>
      </c>
      <c r="AA346">
        <f>IF(Employees[[#This Row],[Attrition]] = "Yes", 1, 0)</f>
        <v>0</v>
      </c>
      <c r="AB346" t="str" cm="1">
        <f t="array" ref="AB346">_xlfn.IFS(Employees[[#This Row],[Age]]&lt;30, "20-29", Employees[[#This Row],[Age]]&lt;40, "30-39", Employees[[#This Row],[Age]]&lt;50, "40-49", "TRUE", "50+")</f>
        <v>40-49</v>
      </c>
    </row>
    <row r="347" spans="1:28">
      <c r="A347" t="s">
        <v>1096</v>
      </c>
      <c r="B347" t="s">
        <v>1097</v>
      </c>
      <c r="C347" t="s">
        <v>1098</v>
      </c>
      <c r="D347" t="s">
        <v>38</v>
      </c>
      <c r="E347">
        <v>30</v>
      </c>
      <c r="F347" t="s">
        <v>27</v>
      </c>
      <c r="G347" t="s">
        <v>54</v>
      </c>
      <c r="H347">
        <v>19</v>
      </c>
      <c r="I347" t="s">
        <v>39</v>
      </c>
      <c r="J347" t="s">
        <v>71</v>
      </c>
      <c r="K347">
        <v>3</v>
      </c>
      <c r="L347" t="s">
        <v>72</v>
      </c>
      <c r="M347" t="s">
        <v>85</v>
      </c>
      <c r="N347" t="s">
        <v>49</v>
      </c>
      <c r="O347">
        <v>53336</v>
      </c>
      <c r="P347">
        <v>1</v>
      </c>
      <c r="Q347" t="s">
        <v>34</v>
      </c>
      <c r="R347" s="1">
        <v>41801</v>
      </c>
      <c r="S347" t="s">
        <v>34</v>
      </c>
      <c r="T347">
        <v>8</v>
      </c>
      <c r="U347">
        <v>3</v>
      </c>
      <c r="V347">
        <v>3</v>
      </c>
      <c r="W347">
        <v>7</v>
      </c>
      <c r="X347" t="s">
        <v>11022</v>
      </c>
      <c r="Y347" t="s">
        <v>11022</v>
      </c>
      <c r="Z347" t="str">
        <f>_xlfn.XLOOKUP(Employees[[#This Row],[Education]], EdLevel[EducationLevelID], EdLevel[EducationLevel])</f>
        <v xml:space="preserve">Bachelors </v>
      </c>
      <c r="AA347">
        <f>IF(Employees[[#This Row],[Attrition]] = "Yes", 1, 0)</f>
        <v>0</v>
      </c>
      <c r="AB347" t="str" cm="1">
        <f t="array" ref="AB347">_xlfn.IFS(Employees[[#This Row],[Age]]&lt;30, "20-29", Employees[[#This Row],[Age]]&lt;40, "30-39", Employees[[#This Row],[Age]]&lt;50, "40-49", "TRUE", "50+")</f>
        <v>30-39</v>
      </c>
    </row>
    <row r="348" spans="1:28">
      <c r="A348" t="s">
        <v>1099</v>
      </c>
      <c r="B348" t="s">
        <v>1100</v>
      </c>
      <c r="C348" t="s">
        <v>1101</v>
      </c>
      <c r="D348" t="s">
        <v>38</v>
      </c>
      <c r="E348">
        <v>33</v>
      </c>
      <c r="F348" t="s">
        <v>27</v>
      </c>
      <c r="G348" t="s">
        <v>54</v>
      </c>
      <c r="H348">
        <v>31</v>
      </c>
      <c r="I348" t="s">
        <v>39</v>
      </c>
      <c r="J348" t="s">
        <v>30</v>
      </c>
      <c r="K348">
        <v>1</v>
      </c>
      <c r="L348" t="s">
        <v>72</v>
      </c>
      <c r="M348" t="s">
        <v>85</v>
      </c>
      <c r="N348" t="s">
        <v>49</v>
      </c>
      <c r="O348">
        <v>60754</v>
      </c>
      <c r="P348">
        <v>1</v>
      </c>
      <c r="Q348" t="s">
        <v>34</v>
      </c>
      <c r="R348" s="1">
        <v>41805</v>
      </c>
      <c r="S348" t="s">
        <v>34</v>
      </c>
      <c r="T348">
        <v>8</v>
      </c>
      <c r="U348">
        <v>7</v>
      </c>
      <c r="V348">
        <v>8</v>
      </c>
      <c r="W348">
        <v>1</v>
      </c>
      <c r="X348" t="s">
        <v>11020</v>
      </c>
      <c r="Y348" t="s">
        <v>11020</v>
      </c>
      <c r="Z348" t="str">
        <f>_xlfn.XLOOKUP(Employees[[#This Row],[Education]], EdLevel[EducationLevelID], EdLevel[EducationLevel])</f>
        <v>No Formal Qualifications</v>
      </c>
      <c r="AA348">
        <f>IF(Employees[[#This Row],[Attrition]] = "Yes", 1, 0)</f>
        <v>0</v>
      </c>
      <c r="AB348" t="str" cm="1">
        <f t="array" ref="AB348">_xlfn.IFS(Employees[[#This Row],[Age]]&lt;30, "20-29", Employees[[#This Row],[Age]]&lt;40, "30-39", Employees[[#This Row],[Age]]&lt;50, "40-49", "TRUE", "50+")</f>
        <v>30-39</v>
      </c>
    </row>
    <row r="349" spans="1:28">
      <c r="A349" t="s">
        <v>1102</v>
      </c>
      <c r="B349" t="s">
        <v>1103</v>
      </c>
      <c r="C349" t="s">
        <v>1104</v>
      </c>
      <c r="D349" t="s">
        <v>38</v>
      </c>
      <c r="E349">
        <v>41</v>
      </c>
      <c r="F349" t="s">
        <v>27</v>
      </c>
      <c r="G349" t="s">
        <v>54</v>
      </c>
      <c r="H349">
        <v>16</v>
      </c>
      <c r="I349" t="s">
        <v>39</v>
      </c>
      <c r="J349" t="s">
        <v>71</v>
      </c>
      <c r="K349">
        <v>2</v>
      </c>
      <c r="L349" t="s">
        <v>55</v>
      </c>
      <c r="M349" t="s">
        <v>85</v>
      </c>
      <c r="N349" t="s">
        <v>49</v>
      </c>
      <c r="O349">
        <v>45989</v>
      </c>
      <c r="P349">
        <v>1</v>
      </c>
      <c r="Q349" t="s">
        <v>34</v>
      </c>
      <c r="R349" s="1">
        <v>41807</v>
      </c>
      <c r="S349" t="s">
        <v>34</v>
      </c>
      <c r="T349">
        <v>8</v>
      </c>
      <c r="U349">
        <v>4</v>
      </c>
      <c r="V349">
        <v>8</v>
      </c>
      <c r="W349">
        <v>4</v>
      </c>
      <c r="X349" t="s">
        <v>11021</v>
      </c>
      <c r="Y349" t="s">
        <v>11021</v>
      </c>
      <c r="Z349" t="str">
        <f>_xlfn.XLOOKUP(Employees[[#This Row],[Education]], EdLevel[EducationLevelID], EdLevel[EducationLevel])</f>
        <v xml:space="preserve">High School </v>
      </c>
      <c r="AA349">
        <f>IF(Employees[[#This Row],[Attrition]] = "Yes", 1, 0)</f>
        <v>0</v>
      </c>
      <c r="AB349" t="str" cm="1">
        <f t="array" ref="AB349">_xlfn.IFS(Employees[[#This Row],[Age]]&lt;30, "20-29", Employees[[#This Row],[Age]]&lt;40, "30-39", Employees[[#This Row],[Age]]&lt;50, "40-49", "TRUE", "50+")</f>
        <v>40-49</v>
      </c>
    </row>
    <row r="350" spans="1:28">
      <c r="A350" t="s">
        <v>1105</v>
      </c>
      <c r="B350" t="s">
        <v>1106</v>
      </c>
      <c r="C350" t="s">
        <v>1107</v>
      </c>
      <c r="D350" t="s">
        <v>38</v>
      </c>
      <c r="E350">
        <v>43</v>
      </c>
      <c r="F350" t="s">
        <v>70</v>
      </c>
      <c r="G350" t="s">
        <v>54</v>
      </c>
      <c r="H350">
        <v>14</v>
      </c>
      <c r="I350" t="s">
        <v>65</v>
      </c>
      <c r="J350" t="s">
        <v>30</v>
      </c>
      <c r="K350">
        <v>1</v>
      </c>
      <c r="L350" t="s">
        <v>55</v>
      </c>
      <c r="M350" t="s">
        <v>85</v>
      </c>
      <c r="N350" t="s">
        <v>49</v>
      </c>
      <c r="O350">
        <v>76331</v>
      </c>
      <c r="P350">
        <v>0</v>
      </c>
      <c r="Q350" t="s">
        <v>34</v>
      </c>
      <c r="R350" s="1">
        <v>41808</v>
      </c>
      <c r="S350" t="s">
        <v>34</v>
      </c>
      <c r="T350">
        <v>8</v>
      </c>
      <c r="U350">
        <v>2</v>
      </c>
      <c r="V350">
        <v>4</v>
      </c>
      <c r="W350">
        <v>3</v>
      </c>
      <c r="X350" t="s">
        <v>11020</v>
      </c>
      <c r="Y350" t="s">
        <v>11020</v>
      </c>
      <c r="Z350" t="str">
        <f>_xlfn.XLOOKUP(Employees[[#This Row],[Education]], EdLevel[EducationLevelID], EdLevel[EducationLevel])</f>
        <v>No Formal Qualifications</v>
      </c>
      <c r="AA350">
        <f>IF(Employees[[#This Row],[Attrition]] = "Yes", 1, 0)</f>
        <v>0</v>
      </c>
      <c r="AB350" t="str" cm="1">
        <f t="array" ref="AB350">_xlfn.IFS(Employees[[#This Row],[Age]]&lt;30, "20-29", Employees[[#This Row],[Age]]&lt;40, "30-39", Employees[[#This Row],[Age]]&lt;50, "40-49", "TRUE", "50+")</f>
        <v>40-49</v>
      </c>
    </row>
    <row r="351" spans="1:28">
      <c r="A351" t="s">
        <v>1108</v>
      </c>
      <c r="B351" t="s">
        <v>1109</v>
      </c>
      <c r="C351" t="s">
        <v>1110</v>
      </c>
      <c r="D351" t="s">
        <v>26</v>
      </c>
      <c r="E351">
        <v>33</v>
      </c>
      <c r="F351" t="s">
        <v>70</v>
      </c>
      <c r="G351" t="s">
        <v>28</v>
      </c>
      <c r="H351">
        <v>29</v>
      </c>
      <c r="I351" t="s">
        <v>29</v>
      </c>
      <c r="J351" t="s">
        <v>30</v>
      </c>
      <c r="K351">
        <v>3</v>
      </c>
      <c r="L351" t="s">
        <v>121</v>
      </c>
      <c r="M351" t="s">
        <v>32</v>
      </c>
      <c r="N351" t="s">
        <v>49</v>
      </c>
      <c r="O351">
        <v>65094</v>
      </c>
      <c r="P351">
        <v>0</v>
      </c>
      <c r="Q351" t="s">
        <v>34</v>
      </c>
      <c r="R351" s="1">
        <v>41810</v>
      </c>
      <c r="S351" t="s">
        <v>34</v>
      </c>
      <c r="T351">
        <v>8</v>
      </c>
      <c r="U351">
        <v>8</v>
      </c>
      <c r="V351">
        <v>8</v>
      </c>
      <c r="W351">
        <v>0</v>
      </c>
      <c r="X351" t="s">
        <v>11022</v>
      </c>
      <c r="Y351" t="s">
        <v>11022</v>
      </c>
      <c r="Z351" t="str">
        <f>_xlfn.XLOOKUP(Employees[[#This Row],[Education]], EdLevel[EducationLevelID], EdLevel[EducationLevel])</f>
        <v xml:space="preserve">Bachelors </v>
      </c>
      <c r="AA351">
        <f>IF(Employees[[#This Row],[Attrition]] = "Yes", 1, 0)</f>
        <v>0</v>
      </c>
      <c r="AB351" t="str" cm="1">
        <f t="array" ref="AB351">_xlfn.IFS(Employees[[#This Row],[Age]]&lt;30, "20-29", Employees[[#This Row],[Age]]&lt;40, "30-39", Employees[[#This Row],[Age]]&lt;50, "40-49", "TRUE", "50+")</f>
        <v>30-39</v>
      </c>
    </row>
    <row r="352" spans="1:28">
      <c r="A352" t="s">
        <v>1111</v>
      </c>
      <c r="B352" t="s">
        <v>1112</v>
      </c>
      <c r="C352" t="s">
        <v>1113</v>
      </c>
      <c r="D352" t="s">
        <v>53</v>
      </c>
      <c r="E352">
        <v>26</v>
      </c>
      <c r="F352" t="s">
        <v>84</v>
      </c>
      <c r="G352" t="s">
        <v>28</v>
      </c>
      <c r="H352">
        <v>14</v>
      </c>
      <c r="I352" t="s">
        <v>29</v>
      </c>
      <c r="J352" t="s">
        <v>66</v>
      </c>
      <c r="K352">
        <v>4</v>
      </c>
      <c r="L352" t="s">
        <v>47</v>
      </c>
      <c r="M352" t="s">
        <v>32</v>
      </c>
      <c r="N352" t="s">
        <v>33</v>
      </c>
      <c r="O352">
        <v>71349</v>
      </c>
      <c r="P352">
        <v>2</v>
      </c>
      <c r="Q352" t="s">
        <v>34</v>
      </c>
      <c r="R352" s="1">
        <v>41810</v>
      </c>
      <c r="S352" t="s">
        <v>41</v>
      </c>
      <c r="T352">
        <v>7</v>
      </c>
      <c r="U352">
        <v>2</v>
      </c>
      <c r="V352">
        <v>2</v>
      </c>
      <c r="W352">
        <v>1</v>
      </c>
      <c r="X352" t="s">
        <v>11023</v>
      </c>
      <c r="Y352" t="s">
        <v>11023</v>
      </c>
      <c r="Z352" t="str">
        <f>_xlfn.XLOOKUP(Employees[[#This Row],[Education]], EdLevel[EducationLevelID], EdLevel[EducationLevel])</f>
        <v xml:space="preserve">Masters </v>
      </c>
      <c r="AA352">
        <f>IF(Employees[[#This Row],[Attrition]] = "Yes", 1, 0)</f>
        <v>1</v>
      </c>
      <c r="AB352" t="str" cm="1">
        <f t="array" ref="AB352">_xlfn.IFS(Employees[[#This Row],[Age]]&lt;30, "20-29", Employees[[#This Row],[Age]]&lt;40, "30-39", Employees[[#This Row],[Age]]&lt;50, "40-49", "TRUE", "50+")</f>
        <v>20-29</v>
      </c>
    </row>
    <row r="353" spans="1:28">
      <c r="A353" t="s">
        <v>1114</v>
      </c>
      <c r="B353" t="s">
        <v>899</v>
      </c>
      <c r="C353" t="s">
        <v>1115</v>
      </c>
      <c r="D353" t="s">
        <v>26</v>
      </c>
      <c r="E353">
        <v>32</v>
      </c>
      <c r="F353" t="s">
        <v>84</v>
      </c>
      <c r="G353" t="s">
        <v>54</v>
      </c>
      <c r="H353">
        <v>40</v>
      </c>
      <c r="I353" t="s">
        <v>39</v>
      </c>
      <c r="J353" t="s">
        <v>30</v>
      </c>
      <c r="K353">
        <v>5</v>
      </c>
      <c r="L353" t="s">
        <v>55</v>
      </c>
      <c r="M353" t="s">
        <v>85</v>
      </c>
      <c r="N353" t="s">
        <v>40</v>
      </c>
      <c r="O353">
        <v>60759</v>
      </c>
      <c r="P353">
        <v>0</v>
      </c>
      <c r="Q353" t="s">
        <v>34</v>
      </c>
      <c r="R353" s="1">
        <v>41812</v>
      </c>
      <c r="S353" t="s">
        <v>34</v>
      </c>
      <c r="T353">
        <v>8</v>
      </c>
      <c r="U353">
        <v>0</v>
      </c>
      <c r="V353">
        <v>6</v>
      </c>
      <c r="W353">
        <v>3</v>
      </c>
      <c r="X353" t="s">
        <v>11024</v>
      </c>
      <c r="Y353" t="s">
        <v>11024</v>
      </c>
      <c r="Z353" t="str">
        <f>_xlfn.XLOOKUP(Employees[[#This Row],[Education]], EdLevel[EducationLevelID], EdLevel[EducationLevel])</f>
        <v>Doctorate</v>
      </c>
      <c r="AA353">
        <f>IF(Employees[[#This Row],[Attrition]] = "Yes", 1, 0)</f>
        <v>0</v>
      </c>
      <c r="AB353" t="str" cm="1">
        <f t="array" ref="AB353">_xlfn.IFS(Employees[[#This Row],[Age]]&lt;30, "20-29", Employees[[#This Row],[Age]]&lt;40, "30-39", Employees[[#This Row],[Age]]&lt;50, "40-49", "TRUE", "50+")</f>
        <v>30-39</v>
      </c>
    </row>
    <row r="354" spans="1:28">
      <c r="A354" t="s">
        <v>1116</v>
      </c>
      <c r="B354" t="s">
        <v>1117</v>
      </c>
      <c r="C354" t="s">
        <v>1118</v>
      </c>
      <c r="D354" t="s">
        <v>38</v>
      </c>
      <c r="E354">
        <v>37</v>
      </c>
      <c r="F354" t="s">
        <v>27</v>
      </c>
      <c r="G354" t="s">
        <v>28</v>
      </c>
      <c r="H354">
        <v>22</v>
      </c>
      <c r="I354" t="s">
        <v>39</v>
      </c>
      <c r="J354" t="s">
        <v>30</v>
      </c>
      <c r="K354">
        <v>4</v>
      </c>
      <c r="L354" t="s">
        <v>31</v>
      </c>
      <c r="M354" t="s">
        <v>32</v>
      </c>
      <c r="N354" t="s">
        <v>33</v>
      </c>
      <c r="O354">
        <v>92483</v>
      </c>
      <c r="P354">
        <v>1</v>
      </c>
      <c r="Q354" t="s">
        <v>41</v>
      </c>
      <c r="R354" s="1">
        <v>41813</v>
      </c>
      <c r="S354" t="s">
        <v>34</v>
      </c>
      <c r="T354">
        <v>8</v>
      </c>
      <c r="U354">
        <v>5</v>
      </c>
      <c r="V354">
        <v>5</v>
      </c>
      <c r="W354">
        <v>3</v>
      </c>
      <c r="X354" t="s">
        <v>11023</v>
      </c>
      <c r="Y354" t="s">
        <v>11023</v>
      </c>
      <c r="Z354" t="str">
        <f>_xlfn.XLOOKUP(Employees[[#This Row],[Education]], EdLevel[EducationLevelID], EdLevel[EducationLevel])</f>
        <v xml:space="preserve">Masters </v>
      </c>
      <c r="AA354">
        <f>IF(Employees[[#This Row],[Attrition]] = "Yes", 1, 0)</f>
        <v>0</v>
      </c>
      <c r="AB354" t="str" cm="1">
        <f t="array" ref="AB354">_xlfn.IFS(Employees[[#This Row],[Age]]&lt;30, "20-29", Employees[[#This Row],[Age]]&lt;40, "30-39", Employees[[#This Row],[Age]]&lt;50, "40-49", "TRUE", "50+")</f>
        <v>30-39</v>
      </c>
    </row>
    <row r="355" spans="1:28">
      <c r="A355" t="s">
        <v>1119</v>
      </c>
      <c r="B355" t="s">
        <v>593</v>
      </c>
      <c r="C355" t="s">
        <v>1120</v>
      </c>
      <c r="D355" t="s">
        <v>26</v>
      </c>
      <c r="E355">
        <v>36</v>
      </c>
      <c r="F355" t="s">
        <v>27</v>
      </c>
      <c r="G355" t="s">
        <v>54</v>
      </c>
      <c r="H355">
        <v>43</v>
      </c>
      <c r="I355" t="s">
        <v>39</v>
      </c>
      <c r="J355" t="s">
        <v>71</v>
      </c>
      <c r="K355">
        <v>3</v>
      </c>
      <c r="L355" t="s">
        <v>55</v>
      </c>
      <c r="M355" t="s">
        <v>182</v>
      </c>
      <c r="N355" t="s">
        <v>40</v>
      </c>
      <c r="O355">
        <v>454993</v>
      </c>
      <c r="P355">
        <v>0</v>
      </c>
      <c r="Q355" t="s">
        <v>34</v>
      </c>
      <c r="R355" s="1">
        <v>41814</v>
      </c>
      <c r="S355" t="s">
        <v>34</v>
      </c>
      <c r="T355">
        <v>8</v>
      </c>
      <c r="U355">
        <v>3</v>
      </c>
      <c r="V355">
        <v>4</v>
      </c>
      <c r="W355">
        <v>0</v>
      </c>
      <c r="X355" t="s">
        <v>11022</v>
      </c>
      <c r="Y355" t="s">
        <v>11022</v>
      </c>
      <c r="Z355" t="str">
        <f>_xlfn.XLOOKUP(Employees[[#This Row],[Education]], EdLevel[EducationLevelID], EdLevel[EducationLevel])</f>
        <v xml:space="preserve">Bachelors </v>
      </c>
      <c r="AA355">
        <f>IF(Employees[[#This Row],[Attrition]] = "Yes", 1, 0)</f>
        <v>0</v>
      </c>
      <c r="AB355" t="str" cm="1">
        <f t="array" ref="AB355">_xlfn.IFS(Employees[[#This Row],[Age]]&lt;30, "20-29", Employees[[#This Row],[Age]]&lt;40, "30-39", Employees[[#This Row],[Age]]&lt;50, "40-49", "TRUE", "50+")</f>
        <v>30-39</v>
      </c>
    </row>
    <row r="356" spans="1:28">
      <c r="A356" t="s">
        <v>1121</v>
      </c>
      <c r="B356" t="s">
        <v>1122</v>
      </c>
      <c r="C356" t="s">
        <v>1123</v>
      </c>
      <c r="D356" t="s">
        <v>38</v>
      </c>
      <c r="E356">
        <v>31</v>
      </c>
      <c r="F356" t="s">
        <v>27</v>
      </c>
      <c r="G356" t="s">
        <v>54</v>
      </c>
      <c r="H356">
        <v>10</v>
      </c>
      <c r="I356" t="s">
        <v>29</v>
      </c>
      <c r="J356" t="s">
        <v>30</v>
      </c>
      <c r="K356">
        <v>3</v>
      </c>
      <c r="L356" t="s">
        <v>55</v>
      </c>
      <c r="M356" t="s">
        <v>105</v>
      </c>
      <c r="N356" t="s">
        <v>49</v>
      </c>
      <c r="O356">
        <v>168087</v>
      </c>
      <c r="P356">
        <v>1</v>
      </c>
      <c r="Q356" t="s">
        <v>34</v>
      </c>
      <c r="R356" s="1">
        <v>41814</v>
      </c>
      <c r="S356" t="s">
        <v>34</v>
      </c>
      <c r="T356">
        <v>8</v>
      </c>
      <c r="U356">
        <v>4</v>
      </c>
      <c r="V356">
        <v>7</v>
      </c>
      <c r="W356">
        <v>3</v>
      </c>
      <c r="X356" t="s">
        <v>11022</v>
      </c>
      <c r="Y356" t="s">
        <v>11022</v>
      </c>
      <c r="Z356" t="str">
        <f>_xlfn.XLOOKUP(Employees[[#This Row],[Education]], EdLevel[EducationLevelID], EdLevel[EducationLevel])</f>
        <v xml:space="preserve">Bachelors </v>
      </c>
      <c r="AA356">
        <f>IF(Employees[[#This Row],[Attrition]] = "Yes", 1, 0)</f>
        <v>0</v>
      </c>
      <c r="AB356" t="str" cm="1">
        <f t="array" ref="AB356">_xlfn.IFS(Employees[[#This Row],[Age]]&lt;30, "20-29", Employees[[#This Row],[Age]]&lt;40, "30-39", Employees[[#This Row],[Age]]&lt;50, "40-49", "TRUE", "50+")</f>
        <v>30-39</v>
      </c>
    </row>
    <row r="357" spans="1:28">
      <c r="A357" t="s">
        <v>1124</v>
      </c>
      <c r="B357" t="s">
        <v>1125</v>
      </c>
      <c r="C357" t="s">
        <v>1126</v>
      </c>
      <c r="D357" t="s">
        <v>38</v>
      </c>
      <c r="E357">
        <v>38</v>
      </c>
      <c r="F357" t="s">
        <v>27</v>
      </c>
      <c r="G357" t="s">
        <v>54</v>
      </c>
      <c r="H357">
        <v>4</v>
      </c>
      <c r="I357" t="s">
        <v>65</v>
      </c>
      <c r="J357" t="s">
        <v>66</v>
      </c>
      <c r="K357">
        <v>4</v>
      </c>
      <c r="L357" t="s">
        <v>77</v>
      </c>
      <c r="M357" t="s">
        <v>182</v>
      </c>
      <c r="N357" t="s">
        <v>49</v>
      </c>
      <c r="O357">
        <v>361616</v>
      </c>
      <c r="P357">
        <v>1</v>
      </c>
      <c r="Q357" t="s">
        <v>41</v>
      </c>
      <c r="R357" s="1">
        <v>41815</v>
      </c>
      <c r="S357" t="s">
        <v>34</v>
      </c>
      <c r="T357">
        <v>8</v>
      </c>
      <c r="U357">
        <v>1</v>
      </c>
      <c r="V357">
        <v>6</v>
      </c>
      <c r="W357">
        <v>5</v>
      </c>
      <c r="X357" t="s">
        <v>11023</v>
      </c>
      <c r="Y357" t="s">
        <v>11023</v>
      </c>
      <c r="Z357" t="str">
        <f>_xlfn.XLOOKUP(Employees[[#This Row],[Education]], EdLevel[EducationLevelID], EdLevel[EducationLevel])</f>
        <v xml:space="preserve">Masters </v>
      </c>
      <c r="AA357">
        <f>IF(Employees[[#This Row],[Attrition]] = "Yes", 1, 0)</f>
        <v>0</v>
      </c>
      <c r="AB357" t="str" cm="1">
        <f t="array" ref="AB357">_xlfn.IFS(Employees[[#This Row],[Age]]&lt;30, "20-29", Employees[[#This Row],[Age]]&lt;40, "30-39", Employees[[#This Row],[Age]]&lt;50, "40-49", "TRUE", "50+")</f>
        <v>30-39</v>
      </c>
    </row>
    <row r="358" spans="1:28">
      <c r="A358" t="s">
        <v>1127</v>
      </c>
      <c r="B358" t="s">
        <v>1128</v>
      </c>
      <c r="C358" t="s">
        <v>1129</v>
      </c>
      <c r="D358" t="s">
        <v>26</v>
      </c>
      <c r="E358">
        <v>28</v>
      </c>
      <c r="F358" t="s">
        <v>27</v>
      </c>
      <c r="G358" t="s">
        <v>54</v>
      </c>
      <c r="H358">
        <v>23</v>
      </c>
      <c r="I358" t="s">
        <v>39</v>
      </c>
      <c r="J358" t="s">
        <v>66</v>
      </c>
      <c r="K358">
        <v>2</v>
      </c>
      <c r="L358" t="s">
        <v>178</v>
      </c>
      <c r="M358" t="s">
        <v>85</v>
      </c>
      <c r="N358" t="s">
        <v>49</v>
      </c>
      <c r="O358">
        <v>65328</v>
      </c>
      <c r="P358">
        <v>1</v>
      </c>
      <c r="Q358" t="s">
        <v>34</v>
      </c>
      <c r="R358" s="1">
        <v>41817</v>
      </c>
      <c r="S358" t="s">
        <v>41</v>
      </c>
      <c r="T358">
        <v>5</v>
      </c>
      <c r="U358">
        <v>4</v>
      </c>
      <c r="V358">
        <v>4</v>
      </c>
      <c r="W358">
        <v>0</v>
      </c>
      <c r="X358" t="s">
        <v>11021</v>
      </c>
      <c r="Y358" t="s">
        <v>11021</v>
      </c>
      <c r="Z358" t="str">
        <f>_xlfn.XLOOKUP(Employees[[#This Row],[Education]], EdLevel[EducationLevelID], EdLevel[EducationLevel])</f>
        <v xml:space="preserve">High School </v>
      </c>
      <c r="AA358">
        <f>IF(Employees[[#This Row],[Attrition]] = "Yes", 1, 0)</f>
        <v>1</v>
      </c>
      <c r="AB358" t="str" cm="1">
        <f t="array" ref="AB358">_xlfn.IFS(Employees[[#This Row],[Age]]&lt;30, "20-29", Employees[[#This Row],[Age]]&lt;40, "30-39", Employees[[#This Row],[Age]]&lt;50, "40-49", "TRUE", "50+")</f>
        <v>20-29</v>
      </c>
    </row>
    <row r="359" spans="1:28">
      <c r="A359" t="s">
        <v>1130</v>
      </c>
      <c r="B359" t="s">
        <v>1131</v>
      </c>
      <c r="C359" t="s">
        <v>1132</v>
      </c>
      <c r="D359" t="s">
        <v>26</v>
      </c>
      <c r="E359">
        <v>38</v>
      </c>
      <c r="F359" t="s">
        <v>84</v>
      </c>
      <c r="G359" t="s">
        <v>54</v>
      </c>
      <c r="H359">
        <v>31</v>
      </c>
      <c r="I359" t="s">
        <v>65</v>
      </c>
      <c r="J359" t="s">
        <v>71</v>
      </c>
      <c r="K359">
        <v>3</v>
      </c>
      <c r="L359" t="s">
        <v>55</v>
      </c>
      <c r="M359" t="s">
        <v>85</v>
      </c>
      <c r="N359" t="s">
        <v>49</v>
      </c>
      <c r="O359">
        <v>90187</v>
      </c>
      <c r="P359">
        <v>1</v>
      </c>
      <c r="Q359" t="s">
        <v>41</v>
      </c>
      <c r="R359" s="1">
        <v>41817</v>
      </c>
      <c r="S359" t="s">
        <v>34</v>
      </c>
      <c r="T359">
        <v>8</v>
      </c>
      <c r="U359">
        <v>4</v>
      </c>
      <c r="V359">
        <v>5</v>
      </c>
      <c r="W359">
        <v>2</v>
      </c>
      <c r="X359" t="s">
        <v>11022</v>
      </c>
      <c r="Y359" t="s">
        <v>11022</v>
      </c>
      <c r="Z359" t="str">
        <f>_xlfn.XLOOKUP(Employees[[#This Row],[Education]], EdLevel[EducationLevelID], EdLevel[EducationLevel])</f>
        <v xml:space="preserve">Bachelors </v>
      </c>
      <c r="AA359">
        <f>IF(Employees[[#This Row],[Attrition]] = "Yes", 1, 0)</f>
        <v>0</v>
      </c>
      <c r="AB359" t="str" cm="1">
        <f t="array" ref="AB359">_xlfn.IFS(Employees[[#This Row],[Age]]&lt;30, "20-29", Employees[[#This Row],[Age]]&lt;40, "30-39", Employees[[#This Row],[Age]]&lt;50, "40-49", "TRUE", "50+")</f>
        <v>30-39</v>
      </c>
    </row>
    <row r="360" spans="1:28">
      <c r="A360" t="s">
        <v>1133</v>
      </c>
      <c r="B360" t="s">
        <v>1134</v>
      </c>
      <c r="C360" t="s">
        <v>1135</v>
      </c>
      <c r="D360" t="s">
        <v>26</v>
      </c>
      <c r="E360">
        <v>48</v>
      </c>
      <c r="F360" t="s">
        <v>27</v>
      </c>
      <c r="G360" t="s">
        <v>54</v>
      </c>
      <c r="H360">
        <v>43</v>
      </c>
      <c r="I360" t="s">
        <v>39</v>
      </c>
      <c r="J360" t="s">
        <v>30</v>
      </c>
      <c r="K360">
        <v>3</v>
      </c>
      <c r="L360" t="s">
        <v>72</v>
      </c>
      <c r="M360" t="s">
        <v>85</v>
      </c>
      <c r="N360" t="s">
        <v>49</v>
      </c>
      <c r="O360">
        <v>56053</v>
      </c>
      <c r="P360">
        <v>1</v>
      </c>
      <c r="Q360" t="s">
        <v>34</v>
      </c>
      <c r="R360" s="1">
        <v>41817</v>
      </c>
      <c r="S360" t="s">
        <v>34</v>
      </c>
      <c r="T360">
        <v>8</v>
      </c>
      <c r="U360">
        <v>6</v>
      </c>
      <c r="V360">
        <v>8</v>
      </c>
      <c r="W360">
        <v>4</v>
      </c>
      <c r="X360" t="s">
        <v>11022</v>
      </c>
      <c r="Y360" t="s">
        <v>11022</v>
      </c>
      <c r="Z360" t="str">
        <f>_xlfn.XLOOKUP(Employees[[#This Row],[Education]], EdLevel[EducationLevelID], EdLevel[EducationLevel])</f>
        <v xml:space="preserve">Bachelors </v>
      </c>
      <c r="AA360">
        <f>IF(Employees[[#This Row],[Attrition]] = "Yes", 1, 0)</f>
        <v>0</v>
      </c>
      <c r="AB360" t="str" cm="1">
        <f t="array" ref="AB360">_xlfn.IFS(Employees[[#This Row],[Age]]&lt;30, "20-29", Employees[[#This Row],[Age]]&lt;40, "30-39", Employees[[#This Row],[Age]]&lt;50, "40-49", "TRUE", "50+")</f>
        <v>40-49</v>
      </c>
    </row>
    <row r="361" spans="1:28">
      <c r="A361" t="s">
        <v>1136</v>
      </c>
      <c r="B361" t="s">
        <v>1137</v>
      </c>
      <c r="C361" t="s">
        <v>1138</v>
      </c>
      <c r="D361" t="s">
        <v>38</v>
      </c>
      <c r="E361">
        <v>41</v>
      </c>
      <c r="F361" t="s">
        <v>84</v>
      </c>
      <c r="G361" t="s">
        <v>45</v>
      </c>
      <c r="H361">
        <v>39</v>
      </c>
      <c r="I361" t="s">
        <v>39</v>
      </c>
      <c r="J361" t="s">
        <v>66</v>
      </c>
      <c r="K361">
        <v>1</v>
      </c>
      <c r="L361" t="s">
        <v>45</v>
      </c>
      <c r="M361" t="s">
        <v>207</v>
      </c>
      <c r="N361" t="s">
        <v>40</v>
      </c>
      <c r="O361">
        <v>79990</v>
      </c>
      <c r="P361">
        <v>0</v>
      </c>
      <c r="Q361" t="s">
        <v>34</v>
      </c>
      <c r="R361" s="1">
        <v>41819</v>
      </c>
      <c r="S361" t="s">
        <v>34</v>
      </c>
      <c r="T361">
        <v>8</v>
      </c>
      <c r="U361">
        <v>5</v>
      </c>
      <c r="V361">
        <v>5</v>
      </c>
      <c r="W361">
        <v>8</v>
      </c>
      <c r="X361" t="s">
        <v>11020</v>
      </c>
      <c r="Y361" t="s">
        <v>11020</v>
      </c>
      <c r="Z361" t="str">
        <f>_xlfn.XLOOKUP(Employees[[#This Row],[Education]], EdLevel[EducationLevelID], EdLevel[EducationLevel])</f>
        <v>No Formal Qualifications</v>
      </c>
      <c r="AA361">
        <f>IF(Employees[[#This Row],[Attrition]] = "Yes", 1, 0)</f>
        <v>0</v>
      </c>
      <c r="AB361" t="str" cm="1">
        <f t="array" ref="AB361">_xlfn.IFS(Employees[[#This Row],[Age]]&lt;30, "20-29", Employees[[#This Row],[Age]]&lt;40, "30-39", Employees[[#This Row],[Age]]&lt;50, "40-49", "TRUE", "50+")</f>
        <v>40-49</v>
      </c>
    </row>
    <row r="362" spans="1:28">
      <c r="A362" t="s">
        <v>1139</v>
      </c>
      <c r="B362" t="s">
        <v>1140</v>
      </c>
      <c r="C362" t="s">
        <v>1141</v>
      </c>
      <c r="D362" t="s">
        <v>38</v>
      </c>
      <c r="E362">
        <v>46</v>
      </c>
      <c r="F362" t="s">
        <v>27</v>
      </c>
      <c r="G362" t="s">
        <v>54</v>
      </c>
      <c r="H362">
        <v>24</v>
      </c>
      <c r="I362" t="s">
        <v>39</v>
      </c>
      <c r="J362" t="s">
        <v>30</v>
      </c>
      <c r="K362">
        <v>4</v>
      </c>
      <c r="L362" t="s">
        <v>55</v>
      </c>
      <c r="M362" t="s">
        <v>85</v>
      </c>
      <c r="N362" t="s">
        <v>33</v>
      </c>
      <c r="O362">
        <v>43487</v>
      </c>
      <c r="P362">
        <v>1</v>
      </c>
      <c r="Q362" t="s">
        <v>34</v>
      </c>
      <c r="R362" s="1">
        <v>41819</v>
      </c>
      <c r="S362" t="s">
        <v>34</v>
      </c>
      <c r="T362">
        <v>8</v>
      </c>
      <c r="U362">
        <v>8</v>
      </c>
      <c r="V362">
        <v>8</v>
      </c>
      <c r="W362">
        <v>8</v>
      </c>
      <c r="X362" t="s">
        <v>11023</v>
      </c>
      <c r="Y362" t="s">
        <v>11023</v>
      </c>
      <c r="Z362" t="str">
        <f>_xlfn.XLOOKUP(Employees[[#This Row],[Education]], EdLevel[EducationLevelID], EdLevel[EducationLevel])</f>
        <v xml:space="preserve">Masters </v>
      </c>
      <c r="AA362">
        <f>IF(Employees[[#This Row],[Attrition]] = "Yes", 1, 0)</f>
        <v>0</v>
      </c>
      <c r="AB362" t="str" cm="1">
        <f t="array" ref="AB362">_xlfn.IFS(Employees[[#This Row],[Age]]&lt;30, "20-29", Employees[[#This Row],[Age]]&lt;40, "30-39", Employees[[#This Row],[Age]]&lt;50, "40-49", "TRUE", "50+")</f>
        <v>40-49</v>
      </c>
    </row>
    <row r="363" spans="1:28">
      <c r="A363" t="s">
        <v>1142</v>
      </c>
      <c r="B363" t="s">
        <v>1143</v>
      </c>
      <c r="C363" t="s">
        <v>1144</v>
      </c>
      <c r="D363" t="s">
        <v>26</v>
      </c>
      <c r="E363">
        <v>28</v>
      </c>
      <c r="F363" t="s">
        <v>27</v>
      </c>
      <c r="G363" t="s">
        <v>28</v>
      </c>
      <c r="H363">
        <v>32</v>
      </c>
      <c r="I363" t="s">
        <v>39</v>
      </c>
      <c r="J363" t="s">
        <v>66</v>
      </c>
      <c r="K363">
        <v>1</v>
      </c>
      <c r="L363" t="s">
        <v>121</v>
      </c>
      <c r="M363" t="s">
        <v>150</v>
      </c>
      <c r="N363" t="s">
        <v>49</v>
      </c>
      <c r="O363">
        <v>52528</v>
      </c>
      <c r="P363">
        <v>0</v>
      </c>
      <c r="Q363" t="s">
        <v>34</v>
      </c>
      <c r="R363" s="1">
        <v>41822</v>
      </c>
      <c r="S363" t="s">
        <v>34</v>
      </c>
      <c r="T363">
        <v>8</v>
      </c>
      <c r="U363">
        <v>2</v>
      </c>
      <c r="V363">
        <v>4</v>
      </c>
      <c r="W363">
        <v>6</v>
      </c>
      <c r="X363" t="s">
        <v>11020</v>
      </c>
      <c r="Y363" t="s">
        <v>11020</v>
      </c>
      <c r="Z363" t="str">
        <f>_xlfn.XLOOKUP(Employees[[#This Row],[Education]], EdLevel[EducationLevelID], EdLevel[EducationLevel])</f>
        <v>No Formal Qualifications</v>
      </c>
      <c r="AA363">
        <f>IF(Employees[[#This Row],[Attrition]] = "Yes", 1, 0)</f>
        <v>0</v>
      </c>
      <c r="AB363" t="str" cm="1">
        <f t="array" ref="AB363">_xlfn.IFS(Employees[[#This Row],[Age]]&lt;30, "20-29", Employees[[#This Row],[Age]]&lt;40, "30-39", Employees[[#This Row],[Age]]&lt;50, "40-49", "TRUE", "50+")</f>
        <v>20-29</v>
      </c>
    </row>
    <row r="364" spans="1:28">
      <c r="A364" t="s">
        <v>1145</v>
      </c>
      <c r="B364" t="s">
        <v>1146</v>
      </c>
      <c r="C364" t="s">
        <v>1147</v>
      </c>
      <c r="D364" t="s">
        <v>26</v>
      </c>
      <c r="E364">
        <v>43</v>
      </c>
      <c r="F364" t="s">
        <v>27</v>
      </c>
      <c r="G364" t="s">
        <v>54</v>
      </c>
      <c r="H364">
        <v>31</v>
      </c>
      <c r="I364" t="s">
        <v>39</v>
      </c>
      <c r="J364" t="s">
        <v>71</v>
      </c>
      <c r="K364">
        <v>1</v>
      </c>
      <c r="L364" t="s">
        <v>72</v>
      </c>
      <c r="M364" t="s">
        <v>101</v>
      </c>
      <c r="N364" t="s">
        <v>40</v>
      </c>
      <c r="O364">
        <v>98693</v>
      </c>
      <c r="P364">
        <v>0</v>
      </c>
      <c r="Q364" t="s">
        <v>34</v>
      </c>
      <c r="R364" s="1">
        <v>41824</v>
      </c>
      <c r="S364" t="s">
        <v>34</v>
      </c>
      <c r="T364">
        <v>8</v>
      </c>
      <c r="U364">
        <v>5</v>
      </c>
      <c r="V364">
        <v>8</v>
      </c>
      <c r="W364">
        <v>6</v>
      </c>
      <c r="X364" t="s">
        <v>11020</v>
      </c>
      <c r="Y364" t="s">
        <v>11020</v>
      </c>
      <c r="Z364" t="str">
        <f>_xlfn.XLOOKUP(Employees[[#This Row],[Education]], EdLevel[EducationLevelID], EdLevel[EducationLevel])</f>
        <v>No Formal Qualifications</v>
      </c>
      <c r="AA364">
        <f>IF(Employees[[#This Row],[Attrition]] = "Yes", 1, 0)</f>
        <v>0</v>
      </c>
      <c r="AB364" t="str" cm="1">
        <f t="array" ref="AB364">_xlfn.IFS(Employees[[#This Row],[Age]]&lt;30, "20-29", Employees[[#This Row],[Age]]&lt;40, "30-39", Employees[[#This Row],[Age]]&lt;50, "40-49", "TRUE", "50+")</f>
        <v>40-49</v>
      </c>
    </row>
    <row r="365" spans="1:28">
      <c r="A365" t="s">
        <v>1148</v>
      </c>
      <c r="B365" t="s">
        <v>1149</v>
      </c>
      <c r="C365" t="s">
        <v>1150</v>
      </c>
      <c r="D365" t="s">
        <v>26</v>
      </c>
      <c r="E365">
        <v>43</v>
      </c>
      <c r="F365" t="s">
        <v>84</v>
      </c>
      <c r="G365" t="s">
        <v>28</v>
      </c>
      <c r="H365">
        <v>40</v>
      </c>
      <c r="I365" t="s">
        <v>39</v>
      </c>
      <c r="J365" t="s">
        <v>30</v>
      </c>
      <c r="K365">
        <v>4</v>
      </c>
      <c r="L365" t="s">
        <v>121</v>
      </c>
      <c r="M365" t="s">
        <v>32</v>
      </c>
      <c r="N365" t="s">
        <v>49</v>
      </c>
      <c r="O365">
        <v>86038</v>
      </c>
      <c r="P365">
        <v>3</v>
      </c>
      <c r="Q365" t="s">
        <v>34</v>
      </c>
      <c r="R365" s="1">
        <v>41826</v>
      </c>
      <c r="S365" t="s">
        <v>34</v>
      </c>
      <c r="T365">
        <v>8</v>
      </c>
      <c r="U365">
        <v>1</v>
      </c>
      <c r="V365">
        <v>3</v>
      </c>
      <c r="W365">
        <v>3</v>
      </c>
      <c r="X365" t="s">
        <v>11023</v>
      </c>
      <c r="Y365" t="s">
        <v>11023</v>
      </c>
      <c r="Z365" t="str">
        <f>_xlfn.XLOOKUP(Employees[[#This Row],[Education]], EdLevel[EducationLevelID], EdLevel[EducationLevel])</f>
        <v xml:space="preserve">Masters </v>
      </c>
      <c r="AA365">
        <f>IF(Employees[[#This Row],[Attrition]] = "Yes", 1, 0)</f>
        <v>0</v>
      </c>
      <c r="AB365" t="str" cm="1">
        <f t="array" ref="AB365">_xlfn.IFS(Employees[[#This Row],[Age]]&lt;30, "20-29", Employees[[#This Row],[Age]]&lt;40, "30-39", Employees[[#This Row],[Age]]&lt;50, "40-49", "TRUE", "50+")</f>
        <v>40-49</v>
      </c>
    </row>
    <row r="366" spans="1:28">
      <c r="A366" t="s">
        <v>1151</v>
      </c>
      <c r="B366" t="s">
        <v>1152</v>
      </c>
      <c r="C366" t="s">
        <v>1153</v>
      </c>
      <c r="D366" t="s">
        <v>38</v>
      </c>
      <c r="E366">
        <v>48</v>
      </c>
      <c r="F366" t="s">
        <v>27</v>
      </c>
      <c r="G366" t="s">
        <v>54</v>
      </c>
      <c r="H366">
        <v>19</v>
      </c>
      <c r="I366" t="s">
        <v>39</v>
      </c>
      <c r="J366" t="s">
        <v>71</v>
      </c>
      <c r="K366">
        <v>5</v>
      </c>
      <c r="L366" t="s">
        <v>55</v>
      </c>
      <c r="M366" t="s">
        <v>56</v>
      </c>
      <c r="N366" t="s">
        <v>33</v>
      </c>
      <c r="O366">
        <v>241907</v>
      </c>
      <c r="P366">
        <v>3</v>
      </c>
      <c r="Q366" t="s">
        <v>34</v>
      </c>
      <c r="R366" s="1">
        <v>41827</v>
      </c>
      <c r="S366" t="s">
        <v>34</v>
      </c>
      <c r="T366">
        <v>8</v>
      </c>
      <c r="U366">
        <v>3</v>
      </c>
      <c r="V366">
        <v>3</v>
      </c>
      <c r="W366">
        <v>0</v>
      </c>
      <c r="X366" t="s">
        <v>11024</v>
      </c>
      <c r="Y366" t="s">
        <v>11024</v>
      </c>
      <c r="Z366" t="str">
        <f>_xlfn.XLOOKUP(Employees[[#This Row],[Education]], EdLevel[EducationLevelID], EdLevel[EducationLevel])</f>
        <v>Doctorate</v>
      </c>
      <c r="AA366">
        <f>IF(Employees[[#This Row],[Attrition]] = "Yes", 1, 0)</f>
        <v>0</v>
      </c>
      <c r="AB366" t="str" cm="1">
        <f t="array" ref="AB366">_xlfn.IFS(Employees[[#This Row],[Age]]&lt;30, "20-29", Employees[[#This Row],[Age]]&lt;40, "30-39", Employees[[#This Row],[Age]]&lt;50, "40-49", "TRUE", "50+")</f>
        <v>40-49</v>
      </c>
    </row>
    <row r="367" spans="1:28">
      <c r="A367" t="s">
        <v>1154</v>
      </c>
      <c r="B367" t="s">
        <v>1155</v>
      </c>
      <c r="C367" t="s">
        <v>1156</v>
      </c>
      <c r="D367" t="s">
        <v>26</v>
      </c>
      <c r="E367">
        <v>29</v>
      </c>
      <c r="F367" t="s">
        <v>84</v>
      </c>
      <c r="G367" t="s">
        <v>28</v>
      </c>
      <c r="H367">
        <v>18</v>
      </c>
      <c r="I367" t="s">
        <v>39</v>
      </c>
      <c r="J367" t="s">
        <v>137</v>
      </c>
      <c r="K367">
        <v>3</v>
      </c>
      <c r="L367" t="s">
        <v>31</v>
      </c>
      <c r="M367" t="s">
        <v>32</v>
      </c>
      <c r="N367" t="s">
        <v>40</v>
      </c>
      <c r="O367">
        <v>177402</v>
      </c>
      <c r="P367">
        <v>0</v>
      </c>
      <c r="Q367" t="s">
        <v>34</v>
      </c>
      <c r="R367" s="1">
        <v>41830</v>
      </c>
      <c r="S367" t="s">
        <v>41</v>
      </c>
      <c r="T367">
        <v>6</v>
      </c>
      <c r="U367">
        <v>3</v>
      </c>
      <c r="V367">
        <v>5</v>
      </c>
      <c r="W367">
        <v>3</v>
      </c>
      <c r="X367" t="s">
        <v>11022</v>
      </c>
      <c r="Y367" t="s">
        <v>11022</v>
      </c>
      <c r="Z367" t="str">
        <f>_xlfn.XLOOKUP(Employees[[#This Row],[Education]], EdLevel[EducationLevelID], EdLevel[EducationLevel])</f>
        <v xml:space="preserve">Bachelors </v>
      </c>
      <c r="AA367">
        <f>IF(Employees[[#This Row],[Attrition]] = "Yes", 1, 0)</f>
        <v>1</v>
      </c>
      <c r="AB367" t="str" cm="1">
        <f t="array" ref="AB367">_xlfn.IFS(Employees[[#This Row],[Age]]&lt;30, "20-29", Employees[[#This Row],[Age]]&lt;40, "30-39", Employees[[#This Row],[Age]]&lt;50, "40-49", "TRUE", "50+")</f>
        <v>20-29</v>
      </c>
    </row>
    <row r="368" spans="1:28">
      <c r="A368" t="s">
        <v>1157</v>
      </c>
      <c r="B368" t="s">
        <v>1158</v>
      </c>
      <c r="C368" t="s">
        <v>1159</v>
      </c>
      <c r="D368" t="s">
        <v>26</v>
      </c>
      <c r="E368">
        <v>42</v>
      </c>
      <c r="F368" t="s">
        <v>84</v>
      </c>
      <c r="G368" t="s">
        <v>28</v>
      </c>
      <c r="H368">
        <v>37</v>
      </c>
      <c r="I368" t="s">
        <v>39</v>
      </c>
      <c r="J368" t="s">
        <v>66</v>
      </c>
      <c r="K368">
        <v>3</v>
      </c>
      <c r="L368" t="s">
        <v>47</v>
      </c>
      <c r="M368" t="s">
        <v>32</v>
      </c>
      <c r="N368" t="s">
        <v>40</v>
      </c>
      <c r="O368">
        <v>189256</v>
      </c>
      <c r="P368">
        <v>0</v>
      </c>
      <c r="Q368" t="s">
        <v>34</v>
      </c>
      <c r="R368" s="1">
        <v>41830</v>
      </c>
      <c r="S368" t="s">
        <v>34</v>
      </c>
      <c r="T368">
        <v>8</v>
      </c>
      <c r="U368">
        <v>1</v>
      </c>
      <c r="V368">
        <v>2</v>
      </c>
      <c r="W368">
        <v>2</v>
      </c>
      <c r="X368" t="s">
        <v>11022</v>
      </c>
      <c r="Y368" t="s">
        <v>11022</v>
      </c>
      <c r="Z368" t="str">
        <f>_xlfn.XLOOKUP(Employees[[#This Row],[Education]], EdLevel[EducationLevelID], EdLevel[EducationLevel])</f>
        <v xml:space="preserve">Bachelors </v>
      </c>
      <c r="AA368">
        <f>IF(Employees[[#This Row],[Attrition]] = "Yes", 1, 0)</f>
        <v>0</v>
      </c>
      <c r="AB368" t="str" cm="1">
        <f t="array" ref="AB368">_xlfn.IFS(Employees[[#This Row],[Age]]&lt;30, "20-29", Employees[[#This Row],[Age]]&lt;40, "30-39", Employees[[#This Row],[Age]]&lt;50, "40-49", "TRUE", "50+")</f>
        <v>40-49</v>
      </c>
    </row>
    <row r="369" spans="1:28">
      <c r="A369" t="s">
        <v>1160</v>
      </c>
      <c r="B369" t="s">
        <v>1161</v>
      </c>
      <c r="C369" t="s">
        <v>1162</v>
      </c>
      <c r="D369" t="s">
        <v>26</v>
      </c>
      <c r="E369">
        <v>45</v>
      </c>
      <c r="F369" t="s">
        <v>27</v>
      </c>
      <c r="G369" t="s">
        <v>54</v>
      </c>
      <c r="H369">
        <v>13</v>
      </c>
      <c r="I369" t="s">
        <v>39</v>
      </c>
      <c r="J369" t="s">
        <v>30</v>
      </c>
      <c r="K369">
        <v>2</v>
      </c>
      <c r="L369" t="s">
        <v>77</v>
      </c>
      <c r="M369" t="s">
        <v>182</v>
      </c>
      <c r="N369" t="s">
        <v>40</v>
      </c>
      <c r="O369">
        <v>349793</v>
      </c>
      <c r="P369">
        <v>0</v>
      </c>
      <c r="Q369" t="s">
        <v>34</v>
      </c>
      <c r="R369" s="1">
        <v>41830</v>
      </c>
      <c r="S369" t="s">
        <v>34</v>
      </c>
      <c r="T369">
        <v>8</v>
      </c>
      <c r="U369">
        <v>0</v>
      </c>
      <c r="V369">
        <v>8</v>
      </c>
      <c r="W369">
        <v>6</v>
      </c>
      <c r="X369" t="s">
        <v>11021</v>
      </c>
      <c r="Y369" t="s">
        <v>11021</v>
      </c>
      <c r="Z369" t="str">
        <f>_xlfn.XLOOKUP(Employees[[#This Row],[Education]], EdLevel[EducationLevelID], EdLevel[EducationLevel])</f>
        <v xml:space="preserve">High School </v>
      </c>
      <c r="AA369">
        <f>IF(Employees[[#This Row],[Attrition]] = "Yes", 1, 0)</f>
        <v>0</v>
      </c>
      <c r="AB369" t="str" cm="1">
        <f t="array" ref="AB369">_xlfn.IFS(Employees[[#This Row],[Age]]&lt;30, "20-29", Employees[[#This Row],[Age]]&lt;40, "30-39", Employees[[#This Row],[Age]]&lt;50, "40-49", "TRUE", "50+")</f>
        <v>40-49</v>
      </c>
    </row>
    <row r="370" spans="1:28">
      <c r="A370" t="s">
        <v>1163</v>
      </c>
      <c r="B370" t="s">
        <v>1164</v>
      </c>
      <c r="C370" t="s">
        <v>1165</v>
      </c>
      <c r="D370" t="s">
        <v>26</v>
      </c>
      <c r="E370">
        <v>37</v>
      </c>
      <c r="F370" t="s">
        <v>27</v>
      </c>
      <c r="G370" t="s">
        <v>54</v>
      </c>
      <c r="H370">
        <v>40</v>
      </c>
      <c r="I370" t="s">
        <v>65</v>
      </c>
      <c r="J370" t="s">
        <v>137</v>
      </c>
      <c r="K370">
        <v>4</v>
      </c>
      <c r="L370" t="s">
        <v>72</v>
      </c>
      <c r="M370" t="s">
        <v>85</v>
      </c>
      <c r="N370" t="s">
        <v>49</v>
      </c>
      <c r="O370">
        <v>49550</v>
      </c>
      <c r="P370">
        <v>3</v>
      </c>
      <c r="Q370" t="s">
        <v>34</v>
      </c>
      <c r="R370" s="1">
        <v>41831</v>
      </c>
      <c r="S370" t="s">
        <v>34</v>
      </c>
      <c r="T370">
        <v>8</v>
      </c>
      <c r="U370">
        <v>2</v>
      </c>
      <c r="V370">
        <v>8</v>
      </c>
      <c r="W370">
        <v>6</v>
      </c>
      <c r="X370" t="s">
        <v>11023</v>
      </c>
      <c r="Y370" t="s">
        <v>11023</v>
      </c>
      <c r="Z370" t="str">
        <f>_xlfn.XLOOKUP(Employees[[#This Row],[Education]], EdLevel[EducationLevelID], EdLevel[EducationLevel])</f>
        <v xml:space="preserve">Masters </v>
      </c>
      <c r="AA370">
        <f>IF(Employees[[#This Row],[Attrition]] = "Yes", 1, 0)</f>
        <v>0</v>
      </c>
      <c r="AB370" t="str" cm="1">
        <f t="array" ref="AB370">_xlfn.IFS(Employees[[#This Row],[Age]]&lt;30, "20-29", Employees[[#This Row],[Age]]&lt;40, "30-39", Employees[[#This Row],[Age]]&lt;50, "40-49", "TRUE", "50+")</f>
        <v>30-39</v>
      </c>
    </row>
    <row r="371" spans="1:28">
      <c r="A371" t="s">
        <v>1166</v>
      </c>
      <c r="B371" t="s">
        <v>378</v>
      </c>
      <c r="C371" t="s">
        <v>1167</v>
      </c>
      <c r="D371" t="s">
        <v>38</v>
      </c>
      <c r="E371">
        <v>36</v>
      </c>
      <c r="F371" t="s">
        <v>27</v>
      </c>
      <c r="G371" t="s">
        <v>28</v>
      </c>
      <c r="H371">
        <v>13</v>
      </c>
      <c r="I371" t="s">
        <v>39</v>
      </c>
      <c r="J371" t="s">
        <v>30</v>
      </c>
      <c r="K371">
        <v>3</v>
      </c>
      <c r="L371" t="s">
        <v>47</v>
      </c>
      <c r="M371" t="s">
        <v>32</v>
      </c>
      <c r="N371" t="s">
        <v>40</v>
      </c>
      <c r="O371">
        <v>121303</v>
      </c>
      <c r="P371">
        <v>0</v>
      </c>
      <c r="Q371" t="s">
        <v>34</v>
      </c>
      <c r="R371" s="1">
        <v>41832</v>
      </c>
      <c r="S371" t="s">
        <v>34</v>
      </c>
      <c r="T371">
        <v>8</v>
      </c>
      <c r="U371">
        <v>2</v>
      </c>
      <c r="V371">
        <v>3</v>
      </c>
      <c r="W371">
        <v>0</v>
      </c>
      <c r="X371" t="s">
        <v>11022</v>
      </c>
      <c r="Y371" t="s">
        <v>11022</v>
      </c>
      <c r="Z371" t="str">
        <f>_xlfn.XLOOKUP(Employees[[#This Row],[Education]], EdLevel[EducationLevelID], EdLevel[EducationLevel])</f>
        <v xml:space="preserve">Bachelors </v>
      </c>
      <c r="AA371">
        <f>IF(Employees[[#This Row],[Attrition]] = "Yes", 1, 0)</f>
        <v>0</v>
      </c>
      <c r="AB371" t="str" cm="1">
        <f t="array" ref="AB371">_xlfn.IFS(Employees[[#This Row],[Age]]&lt;30, "20-29", Employees[[#This Row],[Age]]&lt;40, "30-39", Employees[[#This Row],[Age]]&lt;50, "40-49", "TRUE", "50+")</f>
        <v>30-39</v>
      </c>
    </row>
    <row r="372" spans="1:28">
      <c r="A372" t="s">
        <v>1168</v>
      </c>
      <c r="B372" t="s">
        <v>1169</v>
      </c>
      <c r="C372" t="s">
        <v>1170</v>
      </c>
      <c r="D372" t="s">
        <v>26</v>
      </c>
      <c r="E372">
        <v>36</v>
      </c>
      <c r="F372" t="s">
        <v>27</v>
      </c>
      <c r="G372" t="s">
        <v>28</v>
      </c>
      <c r="H372">
        <v>37</v>
      </c>
      <c r="I372" t="s">
        <v>39</v>
      </c>
      <c r="J372" t="s">
        <v>66</v>
      </c>
      <c r="K372">
        <v>3</v>
      </c>
      <c r="L372" t="s">
        <v>47</v>
      </c>
      <c r="M372" t="s">
        <v>32</v>
      </c>
      <c r="N372" t="s">
        <v>33</v>
      </c>
      <c r="O372">
        <v>192475</v>
      </c>
      <c r="P372">
        <v>2</v>
      </c>
      <c r="Q372" t="s">
        <v>34</v>
      </c>
      <c r="R372" s="1">
        <v>41840</v>
      </c>
      <c r="S372" t="s">
        <v>34</v>
      </c>
      <c r="T372">
        <v>8</v>
      </c>
      <c r="U372">
        <v>2</v>
      </c>
      <c r="V372">
        <v>2</v>
      </c>
      <c r="W372">
        <v>0</v>
      </c>
      <c r="X372" t="s">
        <v>11022</v>
      </c>
      <c r="Y372" t="s">
        <v>11022</v>
      </c>
      <c r="Z372" t="str">
        <f>_xlfn.XLOOKUP(Employees[[#This Row],[Education]], EdLevel[EducationLevelID], EdLevel[EducationLevel])</f>
        <v xml:space="preserve">Bachelors </v>
      </c>
      <c r="AA372">
        <f>IF(Employees[[#This Row],[Attrition]] = "Yes", 1, 0)</f>
        <v>0</v>
      </c>
      <c r="AB372" t="str" cm="1">
        <f t="array" ref="AB372">_xlfn.IFS(Employees[[#This Row],[Age]]&lt;30, "20-29", Employees[[#This Row],[Age]]&lt;40, "30-39", Employees[[#This Row],[Age]]&lt;50, "40-49", "TRUE", "50+")</f>
        <v>30-39</v>
      </c>
    </row>
    <row r="373" spans="1:28">
      <c r="A373" t="s">
        <v>1171</v>
      </c>
      <c r="B373" t="s">
        <v>1172</v>
      </c>
      <c r="C373" t="s">
        <v>1173</v>
      </c>
      <c r="D373" t="s">
        <v>26</v>
      </c>
      <c r="E373">
        <v>32</v>
      </c>
      <c r="F373" t="s">
        <v>27</v>
      </c>
      <c r="G373" t="s">
        <v>54</v>
      </c>
      <c r="H373">
        <v>31</v>
      </c>
      <c r="I373" t="s">
        <v>65</v>
      </c>
      <c r="J373" t="s">
        <v>30</v>
      </c>
      <c r="K373">
        <v>4</v>
      </c>
      <c r="L373" t="s">
        <v>178</v>
      </c>
      <c r="M373" t="s">
        <v>105</v>
      </c>
      <c r="N373" t="s">
        <v>49</v>
      </c>
      <c r="O373">
        <v>186169</v>
      </c>
      <c r="P373">
        <v>0</v>
      </c>
      <c r="Q373" t="s">
        <v>34</v>
      </c>
      <c r="R373" s="1">
        <v>41846</v>
      </c>
      <c r="S373" t="s">
        <v>34</v>
      </c>
      <c r="T373">
        <v>8</v>
      </c>
      <c r="U373">
        <v>2</v>
      </c>
      <c r="V373">
        <v>6</v>
      </c>
      <c r="W373">
        <v>0</v>
      </c>
      <c r="X373" t="s">
        <v>11023</v>
      </c>
      <c r="Y373" t="s">
        <v>11023</v>
      </c>
      <c r="Z373" t="str">
        <f>_xlfn.XLOOKUP(Employees[[#This Row],[Education]], EdLevel[EducationLevelID], EdLevel[EducationLevel])</f>
        <v xml:space="preserve">Masters </v>
      </c>
      <c r="AA373">
        <f>IF(Employees[[#This Row],[Attrition]] = "Yes", 1, 0)</f>
        <v>0</v>
      </c>
      <c r="AB373" t="str" cm="1">
        <f t="array" ref="AB373">_xlfn.IFS(Employees[[#This Row],[Age]]&lt;30, "20-29", Employees[[#This Row],[Age]]&lt;40, "30-39", Employees[[#This Row],[Age]]&lt;50, "40-49", "TRUE", "50+")</f>
        <v>30-39</v>
      </c>
    </row>
    <row r="374" spans="1:28">
      <c r="A374" t="s">
        <v>1174</v>
      </c>
      <c r="B374" t="s">
        <v>1175</v>
      </c>
      <c r="C374" t="s">
        <v>1176</v>
      </c>
      <c r="D374" t="s">
        <v>26</v>
      </c>
      <c r="E374">
        <v>32</v>
      </c>
      <c r="F374" t="s">
        <v>70</v>
      </c>
      <c r="G374" t="s">
        <v>28</v>
      </c>
      <c r="H374">
        <v>2</v>
      </c>
      <c r="I374" t="s">
        <v>39</v>
      </c>
      <c r="J374" t="s">
        <v>71</v>
      </c>
      <c r="K374">
        <v>4</v>
      </c>
      <c r="L374" t="s">
        <v>31</v>
      </c>
      <c r="M374" t="s">
        <v>32</v>
      </c>
      <c r="N374" t="s">
        <v>33</v>
      </c>
      <c r="O374">
        <v>114246</v>
      </c>
      <c r="P374">
        <v>1</v>
      </c>
      <c r="Q374" t="s">
        <v>34</v>
      </c>
      <c r="R374" s="1">
        <v>41846</v>
      </c>
      <c r="S374" t="s">
        <v>34</v>
      </c>
      <c r="T374">
        <v>8</v>
      </c>
      <c r="U374">
        <v>3</v>
      </c>
      <c r="V374">
        <v>6</v>
      </c>
      <c r="W374">
        <v>5</v>
      </c>
      <c r="X374" t="s">
        <v>11023</v>
      </c>
      <c r="Y374" t="s">
        <v>11023</v>
      </c>
      <c r="Z374" t="str">
        <f>_xlfn.XLOOKUP(Employees[[#This Row],[Education]], EdLevel[EducationLevelID], EdLevel[EducationLevel])</f>
        <v xml:space="preserve">Masters </v>
      </c>
      <c r="AA374">
        <f>IF(Employees[[#This Row],[Attrition]] = "Yes", 1, 0)</f>
        <v>0</v>
      </c>
      <c r="AB374" t="str" cm="1">
        <f t="array" ref="AB374">_xlfn.IFS(Employees[[#This Row],[Age]]&lt;30, "20-29", Employees[[#This Row],[Age]]&lt;40, "30-39", Employees[[#This Row],[Age]]&lt;50, "40-49", "TRUE", "50+")</f>
        <v>30-39</v>
      </c>
    </row>
    <row r="375" spans="1:28">
      <c r="A375" t="s">
        <v>1177</v>
      </c>
      <c r="B375" t="s">
        <v>1178</v>
      </c>
      <c r="C375" t="s">
        <v>1179</v>
      </c>
      <c r="D375" t="s">
        <v>38</v>
      </c>
      <c r="E375">
        <v>29</v>
      </c>
      <c r="F375" t="s">
        <v>27</v>
      </c>
      <c r="G375" t="s">
        <v>45</v>
      </c>
      <c r="H375">
        <v>14</v>
      </c>
      <c r="I375" t="s">
        <v>29</v>
      </c>
      <c r="J375" t="s">
        <v>76</v>
      </c>
      <c r="K375">
        <v>4</v>
      </c>
      <c r="L375" t="s">
        <v>60</v>
      </c>
      <c r="M375" t="s">
        <v>61</v>
      </c>
      <c r="N375" t="s">
        <v>49</v>
      </c>
      <c r="O375">
        <v>46703</v>
      </c>
      <c r="P375">
        <v>0</v>
      </c>
      <c r="Q375" t="s">
        <v>34</v>
      </c>
      <c r="R375" s="1">
        <v>41851</v>
      </c>
      <c r="S375" t="s">
        <v>41</v>
      </c>
      <c r="T375">
        <v>0</v>
      </c>
      <c r="U375">
        <v>0</v>
      </c>
      <c r="V375">
        <v>0</v>
      </c>
      <c r="W375">
        <v>0</v>
      </c>
      <c r="X375" t="s">
        <v>11023</v>
      </c>
      <c r="Y375" t="s">
        <v>11023</v>
      </c>
      <c r="Z375" t="str">
        <f>_xlfn.XLOOKUP(Employees[[#This Row],[Education]], EdLevel[EducationLevelID], EdLevel[EducationLevel])</f>
        <v xml:space="preserve">Masters </v>
      </c>
      <c r="AA375">
        <f>IF(Employees[[#This Row],[Attrition]] = "Yes", 1, 0)</f>
        <v>1</v>
      </c>
      <c r="AB375" t="str" cm="1">
        <f t="array" ref="AB375">_xlfn.IFS(Employees[[#This Row],[Age]]&lt;30, "20-29", Employees[[#This Row],[Age]]&lt;40, "30-39", Employees[[#This Row],[Age]]&lt;50, "40-49", "TRUE", "50+")</f>
        <v>20-29</v>
      </c>
    </row>
    <row r="376" spans="1:28">
      <c r="A376" t="s">
        <v>1180</v>
      </c>
      <c r="B376" t="s">
        <v>1181</v>
      </c>
      <c r="C376" t="s">
        <v>1182</v>
      </c>
      <c r="D376" t="s">
        <v>26</v>
      </c>
      <c r="E376">
        <v>26</v>
      </c>
      <c r="F376" t="s">
        <v>27</v>
      </c>
      <c r="G376" t="s">
        <v>54</v>
      </c>
      <c r="H376">
        <v>37</v>
      </c>
      <c r="I376" t="s">
        <v>65</v>
      </c>
      <c r="J376" t="s">
        <v>66</v>
      </c>
      <c r="K376">
        <v>3</v>
      </c>
      <c r="L376" t="s">
        <v>55</v>
      </c>
      <c r="M376" t="s">
        <v>101</v>
      </c>
      <c r="N376" t="s">
        <v>40</v>
      </c>
      <c r="O376">
        <v>26296</v>
      </c>
      <c r="P376">
        <v>0</v>
      </c>
      <c r="Q376" t="s">
        <v>41</v>
      </c>
      <c r="R376" s="1">
        <v>41852</v>
      </c>
      <c r="S376" t="s">
        <v>41</v>
      </c>
      <c r="T376">
        <v>5</v>
      </c>
      <c r="U376">
        <v>2</v>
      </c>
      <c r="V376">
        <v>2</v>
      </c>
      <c r="W376">
        <v>2</v>
      </c>
      <c r="X376" t="s">
        <v>11022</v>
      </c>
      <c r="Y376" t="s">
        <v>11022</v>
      </c>
      <c r="Z376" t="str">
        <f>_xlfn.XLOOKUP(Employees[[#This Row],[Education]], EdLevel[EducationLevelID], EdLevel[EducationLevel])</f>
        <v xml:space="preserve">Bachelors </v>
      </c>
      <c r="AA376">
        <f>IF(Employees[[#This Row],[Attrition]] = "Yes", 1, 0)</f>
        <v>1</v>
      </c>
      <c r="AB376" t="str" cm="1">
        <f t="array" ref="AB376">_xlfn.IFS(Employees[[#This Row],[Age]]&lt;30, "20-29", Employees[[#This Row],[Age]]&lt;40, "30-39", Employees[[#This Row],[Age]]&lt;50, "40-49", "TRUE", "50+")</f>
        <v>20-29</v>
      </c>
    </row>
    <row r="377" spans="1:28">
      <c r="A377" t="s">
        <v>1183</v>
      </c>
      <c r="B377" t="s">
        <v>1184</v>
      </c>
      <c r="C377" t="s">
        <v>1185</v>
      </c>
      <c r="D377" t="s">
        <v>26</v>
      </c>
      <c r="E377">
        <v>36</v>
      </c>
      <c r="F377" t="s">
        <v>84</v>
      </c>
      <c r="G377" t="s">
        <v>54</v>
      </c>
      <c r="H377">
        <v>6</v>
      </c>
      <c r="I377" t="s">
        <v>39</v>
      </c>
      <c r="J377" t="s">
        <v>46</v>
      </c>
      <c r="K377">
        <v>4</v>
      </c>
      <c r="L377" t="s">
        <v>72</v>
      </c>
      <c r="M377" t="s">
        <v>85</v>
      </c>
      <c r="N377" t="s">
        <v>40</v>
      </c>
      <c r="O377">
        <v>51050</v>
      </c>
      <c r="P377">
        <v>0</v>
      </c>
      <c r="Q377" t="s">
        <v>41</v>
      </c>
      <c r="R377" s="1">
        <v>41856</v>
      </c>
      <c r="S377" t="s">
        <v>34</v>
      </c>
      <c r="T377">
        <v>8</v>
      </c>
      <c r="U377">
        <v>6</v>
      </c>
      <c r="V377">
        <v>7</v>
      </c>
      <c r="W377">
        <v>2</v>
      </c>
      <c r="X377" t="s">
        <v>11023</v>
      </c>
      <c r="Y377" t="s">
        <v>11023</v>
      </c>
      <c r="Z377" t="str">
        <f>_xlfn.XLOOKUP(Employees[[#This Row],[Education]], EdLevel[EducationLevelID], EdLevel[EducationLevel])</f>
        <v xml:space="preserve">Masters </v>
      </c>
      <c r="AA377">
        <f>IF(Employees[[#This Row],[Attrition]] = "Yes", 1, 0)</f>
        <v>0</v>
      </c>
      <c r="AB377" t="str" cm="1">
        <f t="array" ref="AB377">_xlfn.IFS(Employees[[#This Row],[Age]]&lt;30, "20-29", Employees[[#This Row],[Age]]&lt;40, "30-39", Employees[[#This Row],[Age]]&lt;50, "40-49", "TRUE", "50+")</f>
        <v>30-39</v>
      </c>
    </row>
    <row r="378" spans="1:28">
      <c r="A378" t="s">
        <v>1186</v>
      </c>
      <c r="B378" t="s">
        <v>1187</v>
      </c>
      <c r="C378" t="s">
        <v>1188</v>
      </c>
      <c r="D378" t="s">
        <v>859</v>
      </c>
      <c r="E378">
        <v>40</v>
      </c>
      <c r="F378" t="s">
        <v>27</v>
      </c>
      <c r="G378" t="s">
        <v>54</v>
      </c>
      <c r="H378">
        <v>29</v>
      </c>
      <c r="I378" t="s">
        <v>65</v>
      </c>
      <c r="J378" t="s">
        <v>30</v>
      </c>
      <c r="K378">
        <v>2</v>
      </c>
      <c r="L378" t="s">
        <v>178</v>
      </c>
      <c r="M378" t="s">
        <v>182</v>
      </c>
      <c r="N378" t="s">
        <v>49</v>
      </c>
      <c r="O378">
        <v>295688</v>
      </c>
      <c r="P378">
        <v>0</v>
      </c>
      <c r="Q378" t="s">
        <v>34</v>
      </c>
      <c r="R378" s="1">
        <v>41856</v>
      </c>
      <c r="S378" t="s">
        <v>34</v>
      </c>
      <c r="T378">
        <v>8</v>
      </c>
      <c r="U378">
        <v>1</v>
      </c>
      <c r="V378">
        <v>5</v>
      </c>
      <c r="W378">
        <v>8</v>
      </c>
      <c r="X378" t="s">
        <v>11021</v>
      </c>
      <c r="Y378" t="s">
        <v>11021</v>
      </c>
      <c r="Z378" t="str">
        <f>_xlfn.XLOOKUP(Employees[[#This Row],[Education]], EdLevel[EducationLevelID], EdLevel[EducationLevel])</f>
        <v xml:space="preserve">High School </v>
      </c>
      <c r="AA378">
        <f>IF(Employees[[#This Row],[Attrition]] = "Yes", 1, 0)</f>
        <v>0</v>
      </c>
      <c r="AB378" t="str" cm="1">
        <f t="array" ref="AB378">_xlfn.IFS(Employees[[#This Row],[Age]]&lt;30, "20-29", Employees[[#This Row],[Age]]&lt;40, "30-39", Employees[[#This Row],[Age]]&lt;50, "40-49", "TRUE", "50+")</f>
        <v>40-49</v>
      </c>
    </row>
    <row r="379" spans="1:28">
      <c r="A379" t="s">
        <v>1189</v>
      </c>
      <c r="B379" t="s">
        <v>1190</v>
      </c>
      <c r="C379" t="s">
        <v>1191</v>
      </c>
      <c r="D379" t="s">
        <v>38</v>
      </c>
      <c r="E379">
        <v>26</v>
      </c>
      <c r="F379" t="s">
        <v>84</v>
      </c>
      <c r="G379" t="s">
        <v>45</v>
      </c>
      <c r="H379">
        <v>17</v>
      </c>
      <c r="I379" t="s">
        <v>39</v>
      </c>
      <c r="J379" t="s">
        <v>66</v>
      </c>
      <c r="K379">
        <v>3</v>
      </c>
      <c r="L379" t="s">
        <v>45</v>
      </c>
      <c r="M379" t="s">
        <v>61</v>
      </c>
      <c r="N379" t="s">
        <v>33</v>
      </c>
      <c r="O379">
        <v>30502</v>
      </c>
      <c r="P379">
        <v>1</v>
      </c>
      <c r="Q379" t="s">
        <v>34</v>
      </c>
      <c r="R379" s="1">
        <v>41860</v>
      </c>
      <c r="S379" t="s">
        <v>41</v>
      </c>
      <c r="T379">
        <v>0</v>
      </c>
      <c r="U379">
        <v>0</v>
      </c>
      <c r="V379">
        <v>0</v>
      </c>
      <c r="W379">
        <v>0</v>
      </c>
      <c r="X379" t="s">
        <v>11022</v>
      </c>
      <c r="Y379" t="s">
        <v>11022</v>
      </c>
      <c r="Z379" t="str">
        <f>_xlfn.XLOOKUP(Employees[[#This Row],[Education]], EdLevel[EducationLevelID], EdLevel[EducationLevel])</f>
        <v xml:space="preserve">Bachelors </v>
      </c>
      <c r="AA379">
        <f>IF(Employees[[#This Row],[Attrition]] = "Yes", 1, 0)</f>
        <v>1</v>
      </c>
      <c r="AB379" t="str" cm="1">
        <f t="array" ref="AB379">_xlfn.IFS(Employees[[#This Row],[Age]]&lt;30, "20-29", Employees[[#This Row],[Age]]&lt;40, "30-39", Employees[[#This Row],[Age]]&lt;50, "40-49", "TRUE", "50+")</f>
        <v>20-29</v>
      </c>
    </row>
    <row r="380" spans="1:28">
      <c r="A380" t="s">
        <v>1192</v>
      </c>
      <c r="B380" t="s">
        <v>1193</v>
      </c>
      <c r="C380" t="s">
        <v>1194</v>
      </c>
      <c r="D380" t="s">
        <v>26</v>
      </c>
      <c r="E380">
        <v>38</v>
      </c>
      <c r="F380" t="s">
        <v>84</v>
      </c>
      <c r="G380" t="s">
        <v>54</v>
      </c>
      <c r="H380">
        <v>2</v>
      </c>
      <c r="I380" t="s">
        <v>39</v>
      </c>
      <c r="J380" t="s">
        <v>30</v>
      </c>
      <c r="K380">
        <v>4</v>
      </c>
      <c r="L380" t="s">
        <v>55</v>
      </c>
      <c r="M380" t="s">
        <v>85</v>
      </c>
      <c r="N380" t="s">
        <v>40</v>
      </c>
      <c r="O380">
        <v>58828</v>
      </c>
      <c r="P380">
        <v>0</v>
      </c>
      <c r="Q380" t="s">
        <v>34</v>
      </c>
      <c r="R380" s="1">
        <v>41862</v>
      </c>
      <c r="S380" t="s">
        <v>34</v>
      </c>
      <c r="T380">
        <v>8</v>
      </c>
      <c r="U380">
        <v>7</v>
      </c>
      <c r="V380">
        <v>8</v>
      </c>
      <c r="W380">
        <v>0</v>
      </c>
      <c r="X380" t="s">
        <v>11023</v>
      </c>
      <c r="Y380" t="s">
        <v>11023</v>
      </c>
      <c r="Z380" t="str">
        <f>_xlfn.XLOOKUP(Employees[[#This Row],[Education]], EdLevel[EducationLevelID], EdLevel[EducationLevel])</f>
        <v xml:space="preserve">Masters </v>
      </c>
      <c r="AA380">
        <f>IF(Employees[[#This Row],[Attrition]] = "Yes", 1, 0)</f>
        <v>0</v>
      </c>
      <c r="AB380" t="str" cm="1">
        <f t="array" ref="AB380">_xlfn.IFS(Employees[[#This Row],[Age]]&lt;30, "20-29", Employees[[#This Row],[Age]]&lt;40, "30-39", Employees[[#This Row],[Age]]&lt;50, "40-49", "TRUE", "50+")</f>
        <v>30-39</v>
      </c>
    </row>
    <row r="381" spans="1:28">
      <c r="A381" t="s">
        <v>1195</v>
      </c>
      <c r="B381" t="s">
        <v>1196</v>
      </c>
      <c r="C381" t="s">
        <v>1197</v>
      </c>
      <c r="D381" t="s">
        <v>26</v>
      </c>
      <c r="E381">
        <v>27</v>
      </c>
      <c r="F381" t="s">
        <v>84</v>
      </c>
      <c r="G381" t="s">
        <v>28</v>
      </c>
      <c r="H381">
        <v>43</v>
      </c>
      <c r="I381" t="s">
        <v>39</v>
      </c>
      <c r="J381" t="s">
        <v>66</v>
      </c>
      <c r="K381">
        <v>3</v>
      </c>
      <c r="L381" t="s">
        <v>31</v>
      </c>
      <c r="M381" t="s">
        <v>150</v>
      </c>
      <c r="N381" t="s">
        <v>40</v>
      </c>
      <c r="O381">
        <v>24583</v>
      </c>
      <c r="P381">
        <v>0</v>
      </c>
      <c r="Q381" t="s">
        <v>41</v>
      </c>
      <c r="R381" s="1">
        <v>41867</v>
      </c>
      <c r="S381" t="s">
        <v>41</v>
      </c>
      <c r="T381">
        <v>7</v>
      </c>
      <c r="U381">
        <v>0</v>
      </c>
      <c r="V381">
        <v>1</v>
      </c>
      <c r="W381">
        <v>6</v>
      </c>
      <c r="X381" t="s">
        <v>11022</v>
      </c>
      <c r="Y381" t="s">
        <v>11022</v>
      </c>
      <c r="Z381" t="str">
        <f>_xlfn.XLOOKUP(Employees[[#This Row],[Education]], EdLevel[EducationLevelID], EdLevel[EducationLevel])</f>
        <v xml:space="preserve">Bachelors </v>
      </c>
      <c r="AA381">
        <f>IF(Employees[[#This Row],[Attrition]] = "Yes", 1, 0)</f>
        <v>1</v>
      </c>
      <c r="AB381" t="str" cm="1">
        <f t="array" ref="AB381">_xlfn.IFS(Employees[[#This Row],[Age]]&lt;30, "20-29", Employees[[#This Row],[Age]]&lt;40, "30-39", Employees[[#This Row],[Age]]&lt;50, "40-49", "TRUE", "50+")</f>
        <v>20-29</v>
      </c>
    </row>
    <row r="382" spans="1:28">
      <c r="A382" t="s">
        <v>1198</v>
      </c>
      <c r="B382" t="s">
        <v>1199</v>
      </c>
      <c r="C382" t="s">
        <v>1200</v>
      </c>
      <c r="D382" t="s">
        <v>38</v>
      </c>
      <c r="E382">
        <v>44</v>
      </c>
      <c r="F382" t="s">
        <v>27</v>
      </c>
      <c r="G382" t="s">
        <v>54</v>
      </c>
      <c r="H382">
        <v>4</v>
      </c>
      <c r="I382" t="s">
        <v>65</v>
      </c>
      <c r="J382" t="s">
        <v>71</v>
      </c>
      <c r="K382">
        <v>4</v>
      </c>
      <c r="L382" t="s">
        <v>77</v>
      </c>
      <c r="M382" t="s">
        <v>85</v>
      </c>
      <c r="N382" t="s">
        <v>33</v>
      </c>
      <c r="O382">
        <v>85523</v>
      </c>
      <c r="P382">
        <v>1</v>
      </c>
      <c r="Q382" t="s">
        <v>41</v>
      </c>
      <c r="R382" s="1">
        <v>41869</v>
      </c>
      <c r="S382" t="s">
        <v>41</v>
      </c>
      <c r="T382">
        <v>8</v>
      </c>
      <c r="U382">
        <v>0</v>
      </c>
      <c r="V382">
        <v>4</v>
      </c>
      <c r="W382">
        <v>1</v>
      </c>
      <c r="X382" t="s">
        <v>11023</v>
      </c>
      <c r="Y382" t="s">
        <v>11023</v>
      </c>
      <c r="Z382" t="str">
        <f>_xlfn.XLOOKUP(Employees[[#This Row],[Education]], EdLevel[EducationLevelID], EdLevel[EducationLevel])</f>
        <v xml:space="preserve">Masters </v>
      </c>
      <c r="AA382">
        <f>IF(Employees[[#This Row],[Attrition]] = "Yes", 1, 0)</f>
        <v>1</v>
      </c>
      <c r="AB382" t="str" cm="1">
        <f t="array" ref="AB382">_xlfn.IFS(Employees[[#This Row],[Age]]&lt;30, "20-29", Employees[[#This Row],[Age]]&lt;40, "30-39", Employees[[#This Row],[Age]]&lt;50, "40-49", "TRUE", "50+")</f>
        <v>40-49</v>
      </c>
    </row>
    <row r="383" spans="1:28">
      <c r="A383" t="s">
        <v>1201</v>
      </c>
      <c r="B383" t="s">
        <v>1202</v>
      </c>
      <c r="C383" t="s">
        <v>1203</v>
      </c>
      <c r="D383" t="s">
        <v>53</v>
      </c>
      <c r="E383">
        <v>29</v>
      </c>
      <c r="F383" t="s">
        <v>27</v>
      </c>
      <c r="G383" t="s">
        <v>54</v>
      </c>
      <c r="H383">
        <v>24</v>
      </c>
      <c r="I383" t="s">
        <v>65</v>
      </c>
      <c r="J383" t="s">
        <v>71</v>
      </c>
      <c r="K383">
        <v>3</v>
      </c>
      <c r="L383" t="s">
        <v>55</v>
      </c>
      <c r="M383" t="s">
        <v>101</v>
      </c>
      <c r="N383" t="s">
        <v>40</v>
      </c>
      <c r="O383">
        <v>41307</v>
      </c>
      <c r="P383">
        <v>0</v>
      </c>
      <c r="Q383" t="s">
        <v>34</v>
      </c>
      <c r="R383" s="1">
        <v>41870</v>
      </c>
      <c r="S383" t="s">
        <v>41</v>
      </c>
      <c r="T383">
        <v>0</v>
      </c>
      <c r="U383">
        <v>0</v>
      </c>
      <c r="V383">
        <v>0</v>
      </c>
      <c r="W383">
        <v>0</v>
      </c>
      <c r="X383" t="s">
        <v>11022</v>
      </c>
      <c r="Y383" t="s">
        <v>11022</v>
      </c>
      <c r="Z383" t="str">
        <f>_xlfn.XLOOKUP(Employees[[#This Row],[Education]], EdLevel[EducationLevelID], EdLevel[EducationLevel])</f>
        <v xml:space="preserve">Bachelors </v>
      </c>
      <c r="AA383">
        <f>IF(Employees[[#This Row],[Attrition]] = "Yes", 1, 0)</f>
        <v>1</v>
      </c>
      <c r="AB383" t="str" cm="1">
        <f t="array" ref="AB383">_xlfn.IFS(Employees[[#This Row],[Age]]&lt;30, "20-29", Employees[[#This Row],[Age]]&lt;40, "30-39", Employees[[#This Row],[Age]]&lt;50, "40-49", "TRUE", "50+")</f>
        <v>20-29</v>
      </c>
    </row>
    <row r="384" spans="1:28">
      <c r="A384" t="s">
        <v>1204</v>
      </c>
      <c r="B384" t="s">
        <v>1205</v>
      </c>
      <c r="C384" t="s">
        <v>1206</v>
      </c>
      <c r="D384" t="s">
        <v>38</v>
      </c>
      <c r="E384">
        <v>31</v>
      </c>
      <c r="F384" t="s">
        <v>27</v>
      </c>
      <c r="G384" t="s">
        <v>54</v>
      </c>
      <c r="H384">
        <v>20</v>
      </c>
      <c r="I384" t="s">
        <v>39</v>
      </c>
      <c r="J384" t="s">
        <v>71</v>
      </c>
      <c r="K384">
        <v>2</v>
      </c>
      <c r="L384" t="s">
        <v>55</v>
      </c>
      <c r="M384" t="s">
        <v>105</v>
      </c>
      <c r="N384" t="s">
        <v>33</v>
      </c>
      <c r="O384">
        <v>149482</v>
      </c>
      <c r="P384">
        <v>1</v>
      </c>
      <c r="Q384" t="s">
        <v>41</v>
      </c>
      <c r="R384" s="1">
        <v>41873</v>
      </c>
      <c r="S384" t="s">
        <v>34</v>
      </c>
      <c r="T384">
        <v>8</v>
      </c>
      <c r="U384">
        <v>3</v>
      </c>
      <c r="V384">
        <v>7</v>
      </c>
      <c r="W384">
        <v>2</v>
      </c>
      <c r="X384" t="s">
        <v>11021</v>
      </c>
      <c r="Y384" t="s">
        <v>11021</v>
      </c>
      <c r="Z384" t="str">
        <f>_xlfn.XLOOKUP(Employees[[#This Row],[Education]], EdLevel[EducationLevelID], EdLevel[EducationLevel])</f>
        <v xml:space="preserve">High School </v>
      </c>
      <c r="AA384">
        <f>IF(Employees[[#This Row],[Attrition]] = "Yes", 1, 0)</f>
        <v>0</v>
      </c>
      <c r="AB384" t="str" cm="1">
        <f t="array" ref="AB384">_xlfn.IFS(Employees[[#This Row],[Age]]&lt;30, "20-29", Employees[[#This Row],[Age]]&lt;40, "30-39", Employees[[#This Row],[Age]]&lt;50, "40-49", "TRUE", "50+")</f>
        <v>30-39</v>
      </c>
    </row>
    <row r="385" spans="1:28">
      <c r="A385" t="s">
        <v>1207</v>
      </c>
      <c r="B385" t="s">
        <v>1208</v>
      </c>
      <c r="C385" t="s">
        <v>1209</v>
      </c>
      <c r="D385" t="s">
        <v>53</v>
      </c>
      <c r="E385">
        <v>35</v>
      </c>
      <c r="F385" t="s">
        <v>27</v>
      </c>
      <c r="G385" t="s">
        <v>54</v>
      </c>
      <c r="H385">
        <v>31</v>
      </c>
      <c r="I385" t="s">
        <v>39</v>
      </c>
      <c r="J385" t="s">
        <v>46</v>
      </c>
      <c r="K385">
        <v>4</v>
      </c>
      <c r="L385" t="s">
        <v>55</v>
      </c>
      <c r="M385" t="s">
        <v>101</v>
      </c>
      <c r="N385" t="s">
        <v>40</v>
      </c>
      <c r="O385">
        <v>77269</v>
      </c>
      <c r="P385">
        <v>0</v>
      </c>
      <c r="Q385" t="s">
        <v>34</v>
      </c>
      <c r="R385" s="1">
        <v>41895</v>
      </c>
      <c r="S385" t="s">
        <v>34</v>
      </c>
      <c r="T385">
        <v>8</v>
      </c>
      <c r="U385">
        <v>8</v>
      </c>
      <c r="V385">
        <v>8</v>
      </c>
      <c r="W385">
        <v>6</v>
      </c>
      <c r="X385" t="s">
        <v>11023</v>
      </c>
      <c r="Y385" t="s">
        <v>11023</v>
      </c>
      <c r="Z385" t="str">
        <f>_xlfn.XLOOKUP(Employees[[#This Row],[Education]], EdLevel[EducationLevelID], EdLevel[EducationLevel])</f>
        <v xml:space="preserve">Masters </v>
      </c>
      <c r="AA385">
        <f>IF(Employees[[#This Row],[Attrition]] = "Yes", 1, 0)</f>
        <v>0</v>
      </c>
      <c r="AB385" t="str" cm="1">
        <f t="array" ref="AB385">_xlfn.IFS(Employees[[#This Row],[Age]]&lt;30, "20-29", Employees[[#This Row],[Age]]&lt;40, "30-39", Employees[[#This Row],[Age]]&lt;50, "40-49", "TRUE", "50+")</f>
        <v>30-39</v>
      </c>
    </row>
    <row r="386" spans="1:28">
      <c r="A386" t="s">
        <v>1210</v>
      </c>
      <c r="B386" t="s">
        <v>1211</v>
      </c>
      <c r="C386" t="s">
        <v>712</v>
      </c>
      <c r="D386" t="s">
        <v>859</v>
      </c>
      <c r="E386">
        <v>33</v>
      </c>
      <c r="F386" t="s">
        <v>27</v>
      </c>
      <c r="G386" t="s">
        <v>28</v>
      </c>
      <c r="H386">
        <v>30</v>
      </c>
      <c r="I386" t="s">
        <v>39</v>
      </c>
      <c r="J386" t="s">
        <v>66</v>
      </c>
      <c r="K386">
        <v>3</v>
      </c>
      <c r="L386" t="s">
        <v>121</v>
      </c>
      <c r="M386" t="s">
        <v>32</v>
      </c>
      <c r="N386" t="s">
        <v>49</v>
      </c>
      <c r="O386">
        <v>90726</v>
      </c>
      <c r="P386">
        <v>0</v>
      </c>
      <c r="Q386" t="s">
        <v>34</v>
      </c>
      <c r="R386" s="1">
        <v>41899</v>
      </c>
      <c r="S386" t="s">
        <v>34</v>
      </c>
      <c r="T386">
        <v>8</v>
      </c>
      <c r="U386">
        <v>0</v>
      </c>
      <c r="V386">
        <v>5</v>
      </c>
      <c r="W386">
        <v>1</v>
      </c>
      <c r="X386" t="s">
        <v>11022</v>
      </c>
      <c r="Y386" t="s">
        <v>11022</v>
      </c>
      <c r="Z386" t="str">
        <f>_xlfn.XLOOKUP(Employees[[#This Row],[Education]], EdLevel[EducationLevelID], EdLevel[EducationLevel])</f>
        <v xml:space="preserve">Bachelors </v>
      </c>
      <c r="AA386">
        <f>IF(Employees[[#This Row],[Attrition]] = "Yes", 1, 0)</f>
        <v>0</v>
      </c>
      <c r="AB386" t="str" cm="1">
        <f t="array" ref="AB386">_xlfn.IFS(Employees[[#This Row],[Age]]&lt;30, "20-29", Employees[[#This Row],[Age]]&lt;40, "30-39", Employees[[#This Row],[Age]]&lt;50, "40-49", "TRUE", "50+")</f>
        <v>30-39</v>
      </c>
    </row>
    <row r="387" spans="1:28">
      <c r="A387" t="s">
        <v>1212</v>
      </c>
      <c r="B387" t="s">
        <v>1213</v>
      </c>
      <c r="C387" t="s">
        <v>1214</v>
      </c>
      <c r="D387" t="s">
        <v>38</v>
      </c>
      <c r="E387">
        <v>31</v>
      </c>
      <c r="F387" t="s">
        <v>84</v>
      </c>
      <c r="G387" t="s">
        <v>54</v>
      </c>
      <c r="H387">
        <v>38</v>
      </c>
      <c r="I387" t="s">
        <v>39</v>
      </c>
      <c r="J387" t="s">
        <v>30</v>
      </c>
      <c r="K387">
        <v>1</v>
      </c>
      <c r="L387" t="s">
        <v>55</v>
      </c>
      <c r="M387" t="s">
        <v>182</v>
      </c>
      <c r="N387" t="s">
        <v>33</v>
      </c>
      <c r="O387">
        <v>547204</v>
      </c>
      <c r="P387">
        <v>1</v>
      </c>
      <c r="Q387" t="s">
        <v>41</v>
      </c>
      <c r="R387" s="1">
        <v>41910</v>
      </c>
      <c r="S387" t="s">
        <v>34</v>
      </c>
      <c r="T387">
        <v>8</v>
      </c>
      <c r="U387">
        <v>7</v>
      </c>
      <c r="V387">
        <v>8</v>
      </c>
      <c r="W387">
        <v>5</v>
      </c>
      <c r="X387" t="s">
        <v>11020</v>
      </c>
      <c r="Y387" t="s">
        <v>11020</v>
      </c>
      <c r="Z387" t="str">
        <f>_xlfn.XLOOKUP(Employees[[#This Row],[Education]], EdLevel[EducationLevelID], EdLevel[EducationLevel])</f>
        <v>No Formal Qualifications</v>
      </c>
      <c r="AA387">
        <f>IF(Employees[[#This Row],[Attrition]] = "Yes", 1, 0)</f>
        <v>0</v>
      </c>
      <c r="AB387" t="str" cm="1">
        <f t="array" ref="AB387">_xlfn.IFS(Employees[[#This Row],[Age]]&lt;30, "20-29", Employees[[#This Row],[Age]]&lt;40, "30-39", Employees[[#This Row],[Age]]&lt;50, "40-49", "TRUE", "50+")</f>
        <v>30-39</v>
      </c>
    </row>
    <row r="388" spans="1:28">
      <c r="A388" t="s">
        <v>1215</v>
      </c>
      <c r="B388" t="s">
        <v>1216</v>
      </c>
      <c r="C388" t="s">
        <v>1217</v>
      </c>
      <c r="D388" t="s">
        <v>38</v>
      </c>
      <c r="E388">
        <v>33</v>
      </c>
      <c r="F388" t="s">
        <v>70</v>
      </c>
      <c r="G388" t="s">
        <v>54</v>
      </c>
      <c r="H388">
        <v>26</v>
      </c>
      <c r="I388" t="s">
        <v>39</v>
      </c>
      <c r="J388" t="s">
        <v>30</v>
      </c>
      <c r="K388">
        <v>3</v>
      </c>
      <c r="L388" t="s">
        <v>55</v>
      </c>
      <c r="M388" t="s">
        <v>85</v>
      </c>
      <c r="N388" t="s">
        <v>33</v>
      </c>
      <c r="O388">
        <v>43998</v>
      </c>
      <c r="P388">
        <v>3</v>
      </c>
      <c r="Q388" t="s">
        <v>34</v>
      </c>
      <c r="R388" s="1">
        <v>41911</v>
      </c>
      <c r="S388" t="s">
        <v>34</v>
      </c>
      <c r="T388">
        <v>8</v>
      </c>
      <c r="U388">
        <v>6</v>
      </c>
      <c r="V388">
        <v>7</v>
      </c>
      <c r="W388">
        <v>2</v>
      </c>
      <c r="X388" t="s">
        <v>11022</v>
      </c>
      <c r="Y388" t="s">
        <v>11022</v>
      </c>
      <c r="Z388" t="str">
        <f>_xlfn.XLOOKUP(Employees[[#This Row],[Education]], EdLevel[EducationLevelID], EdLevel[EducationLevel])</f>
        <v xml:space="preserve">Bachelors </v>
      </c>
      <c r="AA388">
        <f>IF(Employees[[#This Row],[Attrition]] = "Yes", 1, 0)</f>
        <v>0</v>
      </c>
      <c r="AB388" t="str" cm="1">
        <f t="array" ref="AB388">_xlfn.IFS(Employees[[#This Row],[Age]]&lt;30, "20-29", Employees[[#This Row],[Age]]&lt;40, "30-39", Employees[[#This Row],[Age]]&lt;50, "40-49", "TRUE", "50+")</f>
        <v>30-39</v>
      </c>
    </row>
    <row r="389" spans="1:28">
      <c r="A389" t="s">
        <v>1218</v>
      </c>
      <c r="B389" t="s">
        <v>1219</v>
      </c>
      <c r="C389" t="s">
        <v>1220</v>
      </c>
      <c r="D389" t="s">
        <v>26</v>
      </c>
      <c r="E389">
        <v>30</v>
      </c>
      <c r="F389" t="s">
        <v>27</v>
      </c>
      <c r="G389" t="s">
        <v>28</v>
      </c>
      <c r="H389">
        <v>24</v>
      </c>
      <c r="I389" t="s">
        <v>39</v>
      </c>
      <c r="J389" t="s">
        <v>66</v>
      </c>
      <c r="K389">
        <v>4</v>
      </c>
      <c r="L389" t="s">
        <v>47</v>
      </c>
      <c r="M389" t="s">
        <v>150</v>
      </c>
      <c r="N389" t="s">
        <v>40</v>
      </c>
      <c r="O389">
        <v>38382</v>
      </c>
      <c r="P389">
        <v>0</v>
      </c>
      <c r="Q389" t="s">
        <v>41</v>
      </c>
      <c r="R389" s="1">
        <v>41914</v>
      </c>
      <c r="S389" t="s">
        <v>34</v>
      </c>
      <c r="T389">
        <v>8</v>
      </c>
      <c r="U389">
        <v>7</v>
      </c>
      <c r="V389">
        <v>8</v>
      </c>
      <c r="W389">
        <v>0</v>
      </c>
      <c r="X389" t="s">
        <v>11023</v>
      </c>
      <c r="Y389" t="s">
        <v>11023</v>
      </c>
      <c r="Z389" t="str">
        <f>_xlfn.XLOOKUP(Employees[[#This Row],[Education]], EdLevel[EducationLevelID], EdLevel[EducationLevel])</f>
        <v xml:space="preserve">Masters </v>
      </c>
      <c r="AA389">
        <f>IF(Employees[[#This Row],[Attrition]] = "Yes", 1, 0)</f>
        <v>0</v>
      </c>
      <c r="AB389" t="str" cm="1">
        <f t="array" ref="AB389">_xlfn.IFS(Employees[[#This Row],[Age]]&lt;30, "20-29", Employees[[#This Row],[Age]]&lt;40, "30-39", Employees[[#This Row],[Age]]&lt;50, "40-49", "TRUE", "50+")</f>
        <v>30-39</v>
      </c>
    </row>
    <row r="390" spans="1:28">
      <c r="A390" t="s">
        <v>1221</v>
      </c>
      <c r="B390" t="s">
        <v>1222</v>
      </c>
      <c r="C390" t="s">
        <v>1223</v>
      </c>
      <c r="D390" t="s">
        <v>38</v>
      </c>
      <c r="E390">
        <v>44</v>
      </c>
      <c r="F390" t="s">
        <v>27</v>
      </c>
      <c r="G390" t="s">
        <v>54</v>
      </c>
      <c r="H390">
        <v>28</v>
      </c>
      <c r="I390" t="s">
        <v>39</v>
      </c>
      <c r="J390" t="s">
        <v>66</v>
      </c>
      <c r="K390">
        <v>3</v>
      </c>
      <c r="L390" t="s">
        <v>55</v>
      </c>
      <c r="M390" t="s">
        <v>101</v>
      </c>
      <c r="N390" t="s">
        <v>49</v>
      </c>
      <c r="O390">
        <v>49447</v>
      </c>
      <c r="P390">
        <v>1</v>
      </c>
      <c r="Q390" t="s">
        <v>34</v>
      </c>
      <c r="R390" s="1">
        <v>41921</v>
      </c>
      <c r="S390" t="s">
        <v>34</v>
      </c>
      <c r="T390">
        <v>8</v>
      </c>
      <c r="U390">
        <v>7</v>
      </c>
      <c r="V390">
        <v>7</v>
      </c>
      <c r="W390">
        <v>8</v>
      </c>
      <c r="X390" t="s">
        <v>11022</v>
      </c>
      <c r="Y390" t="s">
        <v>11022</v>
      </c>
      <c r="Z390" t="str">
        <f>_xlfn.XLOOKUP(Employees[[#This Row],[Education]], EdLevel[EducationLevelID], EdLevel[EducationLevel])</f>
        <v xml:space="preserve">Bachelors </v>
      </c>
      <c r="AA390">
        <f>IF(Employees[[#This Row],[Attrition]] = "Yes", 1, 0)</f>
        <v>0</v>
      </c>
      <c r="AB390" t="str" cm="1">
        <f t="array" ref="AB390">_xlfn.IFS(Employees[[#This Row],[Age]]&lt;30, "20-29", Employees[[#This Row],[Age]]&lt;40, "30-39", Employees[[#This Row],[Age]]&lt;50, "40-49", "TRUE", "50+")</f>
        <v>40-49</v>
      </c>
    </row>
    <row r="391" spans="1:28">
      <c r="A391" t="s">
        <v>1224</v>
      </c>
      <c r="B391" t="s">
        <v>1225</v>
      </c>
      <c r="C391" t="s">
        <v>1226</v>
      </c>
      <c r="D391" t="s">
        <v>38</v>
      </c>
      <c r="E391">
        <v>40</v>
      </c>
      <c r="F391" t="s">
        <v>70</v>
      </c>
      <c r="G391" t="s">
        <v>54</v>
      </c>
      <c r="H391">
        <v>28</v>
      </c>
      <c r="I391" t="s">
        <v>39</v>
      </c>
      <c r="J391" t="s">
        <v>30</v>
      </c>
      <c r="K391">
        <v>3</v>
      </c>
      <c r="L391" t="s">
        <v>72</v>
      </c>
      <c r="M391" t="s">
        <v>101</v>
      </c>
      <c r="N391" t="s">
        <v>33</v>
      </c>
      <c r="O391">
        <v>46285</v>
      </c>
      <c r="P391">
        <v>3</v>
      </c>
      <c r="Q391" t="s">
        <v>34</v>
      </c>
      <c r="R391" s="1">
        <v>41935</v>
      </c>
      <c r="S391" t="s">
        <v>34</v>
      </c>
      <c r="T391">
        <v>8</v>
      </c>
      <c r="U391">
        <v>8</v>
      </c>
      <c r="V391">
        <v>8</v>
      </c>
      <c r="W391">
        <v>3</v>
      </c>
      <c r="X391" t="s">
        <v>11022</v>
      </c>
      <c r="Y391" t="s">
        <v>11022</v>
      </c>
      <c r="Z391" t="str">
        <f>_xlfn.XLOOKUP(Employees[[#This Row],[Education]], EdLevel[EducationLevelID], EdLevel[EducationLevel])</f>
        <v xml:space="preserve">Bachelors </v>
      </c>
      <c r="AA391">
        <f>IF(Employees[[#This Row],[Attrition]] = "Yes", 1, 0)</f>
        <v>0</v>
      </c>
      <c r="AB391" t="str" cm="1">
        <f t="array" ref="AB391">_xlfn.IFS(Employees[[#This Row],[Age]]&lt;30, "20-29", Employees[[#This Row],[Age]]&lt;40, "30-39", Employees[[#This Row],[Age]]&lt;50, "40-49", "TRUE", "50+")</f>
        <v>40-49</v>
      </c>
    </row>
    <row r="392" spans="1:28">
      <c r="A392" t="s">
        <v>1227</v>
      </c>
      <c r="B392" t="s">
        <v>1228</v>
      </c>
      <c r="C392" t="s">
        <v>1229</v>
      </c>
      <c r="D392" t="s">
        <v>38</v>
      </c>
      <c r="E392">
        <v>44</v>
      </c>
      <c r="F392" t="s">
        <v>27</v>
      </c>
      <c r="G392" t="s">
        <v>28</v>
      </c>
      <c r="H392">
        <v>35</v>
      </c>
      <c r="I392" t="s">
        <v>39</v>
      </c>
      <c r="J392" t="s">
        <v>66</v>
      </c>
      <c r="K392">
        <v>3</v>
      </c>
      <c r="L392" t="s">
        <v>31</v>
      </c>
      <c r="M392" t="s">
        <v>150</v>
      </c>
      <c r="N392" t="s">
        <v>49</v>
      </c>
      <c r="O392">
        <v>75667</v>
      </c>
      <c r="P392">
        <v>1</v>
      </c>
      <c r="Q392" t="s">
        <v>34</v>
      </c>
      <c r="R392" s="1">
        <v>41939</v>
      </c>
      <c r="S392" t="s">
        <v>34</v>
      </c>
      <c r="T392">
        <v>8</v>
      </c>
      <c r="U392">
        <v>6</v>
      </c>
      <c r="V392">
        <v>6</v>
      </c>
      <c r="W392">
        <v>3</v>
      </c>
      <c r="X392" t="s">
        <v>11022</v>
      </c>
      <c r="Y392" t="s">
        <v>11022</v>
      </c>
      <c r="Z392" t="str">
        <f>_xlfn.XLOOKUP(Employees[[#This Row],[Education]], EdLevel[EducationLevelID], EdLevel[EducationLevel])</f>
        <v xml:space="preserve">Bachelors </v>
      </c>
      <c r="AA392">
        <f>IF(Employees[[#This Row],[Attrition]] = "Yes", 1, 0)</f>
        <v>0</v>
      </c>
      <c r="AB392" t="str" cm="1">
        <f t="array" ref="AB392">_xlfn.IFS(Employees[[#This Row],[Age]]&lt;30, "20-29", Employees[[#This Row],[Age]]&lt;40, "30-39", Employees[[#This Row],[Age]]&lt;50, "40-49", "TRUE", "50+")</f>
        <v>40-49</v>
      </c>
    </row>
    <row r="393" spans="1:28">
      <c r="A393" t="s">
        <v>1230</v>
      </c>
      <c r="B393" t="s">
        <v>142</v>
      </c>
      <c r="C393" t="s">
        <v>1231</v>
      </c>
      <c r="D393" t="s">
        <v>38</v>
      </c>
      <c r="E393">
        <v>47</v>
      </c>
      <c r="F393" t="s">
        <v>84</v>
      </c>
      <c r="G393" t="s">
        <v>28</v>
      </c>
      <c r="H393">
        <v>42</v>
      </c>
      <c r="I393" t="s">
        <v>65</v>
      </c>
      <c r="J393" t="s">
        <v>30</v>
      </c>
      <c r="K393">
        <v>3</v>
      </c>
      <c r="L393" t="s">
        <v>31</v>
      </c>
      <c r="M393" t="s">
        <v>32</v>
      </c>
      <c r="N393" t="s">
        <v>49</v>
      </c>
      <c r="O393">
        <v>232155</v>
      </c>
      <c r="P393">
        <v>0</v>
      </c>
      <c r="Q393" t="s">
        <v>34</v>
      </c>
      <c r="R393" s="1">
        <v>41942</v>
      </c>
      <c r="S393" t="s">
        <v>34</v>
      </c>
      <c r="T393">
        <v>8</v>
      </c>
      <c r="U393">
        <v>7</v>
      </c>
      <c r="V393">
        <v>7</v>
      </c>
      <c r="W393">
        <v>3</v>
      </c>
      <c r="X393" t="s">
        <v>11022</v>
      </c>
      <c r="Y393" t="s">
        <v>11022</v>
      </c>
      <c r="Z393" t="str">
        <f>_xlfn.XLOOKUP(Employees[[#This Row],[Education]], EdLevel[EducationLevelID], EdLevel[EducationLevel])</f>
        <v xml:space="preserve">Bachelors </v>
      </c>
      <c r="AA393">
        <f>IF(Employees[[#This Row],[Attrition]] = "Yes", 1, 0)</f>
        <v>0</v>
      </c>
      <c r="AB393" t="str" cm="1">
        <f t="array" ref="AB393">_xlfn.IFS(Employees[[#This Row],[Age]]&lt;30, "20-29", Employees[[#This Row],[Age]]&lt;40, "30-39", Employees[[#This Row],[Age]]&lt;50, "40-49", "TRUE", "50+")</f>
        <v>40-49</v>
      </c>
    </row>
    <row r="394" spans="1:28">
      <c r="A394" t="s">
        <v>1232</v>
      </c>
      <c r="B394" t="s">
        <v>1233</v>
      </c>
      <c r="C394" t="s">
        <v>1234</v>
      </c>
      <c r="D394" t="s">
        <v>38</v>
      </c>
      <c r="E394">
        <v>44</v>
      </c>
      <c r="F394" t="s">
        <v>84</v>
      </c>
      <c r="G394" t="s">
        <v>54</v>
      </c>
      <c r="H394">
        <v>18</v>
      </c>
      <c r="I394" t="s">
        <v>39</v>
      </c>
      <c r="J394" t="s">
        <v>71</v>
      </c>
      <c r="K394">
        <v>3</v>
      </c>
      <c r="L394" t="s">
        <v>55</v>
      </c>
      <c r="M394" t="s">
        <v>105</v>
      </c>
      <c r="N394" t="s">
        <v>40</v>
      </c>
      <c r="O394">
        <v>102708</v>
      </c>
      <c r="P394">
        <v>0</v>
      </c>
      <c r="Q394" t="s">
        <v>41</v>
      </c>
      <c r="R394" s="1">
        <v>41946</v>
      </c>
      <c r="S394" t="s">
        <v>34</v>
      </c>
      <c r="T394">
        <v>8</v>
      </c>
      <c r="U394">
        <v>3</v>
      </c>
      <c r="V394">
        <v>4</v>
      </c>
      <c r="W394">
        <v>7</v>
      </c>
      <c r="X394" t="s">
        <v>11022</v>
      </c>
      <c r="Y394" t="s">
        <v>11022</v>
      </c>
      <c r="Z394" t="str">
        <f>_xlfn.XLOOKUP(Employees[[#This Row],[Education]], EdLevel[EducationLevelID], EdLevel[EducationLevel])</f>
        <v xml:space="preserve">Bachelors </v>
      </c>
      <c r="AA394">
        <f>IF(Employees[[#This Row],[Attrition]] = "Yes", 1, 0)</f>
        <v>0</v>
      </c>
      <c r="AB394" t="str" cm="1">
        <f t="array" ref="AB394">_xlfn.IFS(Employees[[#This Row],[Age]]&lt;30, "20-29", Employees[[#This Row],[Age]]&lt;40, "30-39", Employees[[#This Row],[Age]]&lt;50, "40-49", "TRUE", "50+")</f>
        <v>40-49</v>
      </c>
    </row>
    <row r="395" spans="1:28">
      <c r="A395" t="s">
        <v>1235</v>
      </c>
      <c r="B395" t="s">
        <v>1236</v>
      </c>
      <c r="C395" t="s">
        <v>1237</v>
      </c>
      <c r="D395" t="s">
        <v>38</v>
      </c>
      <c r="E395">
        <v>28</v>
      </c>
      <c r="F395" t="s">
        <v>84</v>
      </c>
      <c r="G395" t="s">
        <v>54</v>
      </c>
      <c r="H395">
        <v>3</v>
      </c>
      <c r="I395" t="s">
        <v>65</v>
      </c>
      <c r="J395" t="s">
        <v>30</v>
      </c>
      <c r="K395">
        <v>3</v>
      </c>
      <c r="L395" t="s">
        <v>178</v>
      </c>
      <c r="M395" t="s">
        <v>101</v>
      </c>
      <c r="N395" t="s">
        <v>49</v>
      </c>
      <c r="O395">
        <v>58993</v>
      </c>
      <c r="P395">
        <v>1</v>
      </c>
      <c r="Q395" t="s">
        <v>41</v>
      </c>
      <c r="R395" s="1">
        <v>41950</v>
      </c>
      <c r="S395" t="s">
        <v>41</v>
      </c>
      <c r="T395">
        <v>7</v>
      </c>
      <c r="U395">
        <v>2</v>
      </c>
      <c r="V395">
        <v>7</v>
      </c>
      <c r="W395">
        <v>1</v>
      </c>
      <c r="X395" t="s">
        <v>11022</v>
      </c>
      <c r="Y395" t="s">
        <v>11022</v>
      </c>
      <c r="Z395" t="str">
        <f>_xlfn.XLOOKUP(Employees[[#This Row],[Education]], EdLevel[EducationLevelID], EdLevel[EducationLevel])</f>
        <v xml:space="preserve">Bachelors </v>
      </c>
      <c r="AA395">
        <f>IF(Employees[[#This Row],[Attrition]] = "Yes", 1, 0)</f>
        <v>1</v>
      </c>
      <c r="AB395" t="str" cm="1">
        <f t="array" ref="AB395">_xlfn.IFS(Employees[[#This Row],[Age]]&lt;30, "20-29", Employees[[#This Row],[Age]]&lt;40, "30-39", Employees[[#This Row],[Age]]&lt;50, "40-49", "TRUE", "50+")</f>
        <v>20-29</v>
      </c>
    </row>
    <row r="396" spans="1:28">
      <c r="A396" t="s">
        <v>1238</v>
      </c>
      <c r="B396" t="s">
        <v>99</v>
      </c>
      <c r="C396" t="s">
        <v>1239</v>
      </c>
      <c r="D396" t="s">
        <v>26</v>
      </c>
      <c r="E396">
        <v>30</v>
      </c>
      <c r="F396" t="s">
        <v>27</v>
      </c>
      <c r="G396" t="s">
        <v>54</v>
      </c>
      <c r="H396">
        <v>32</v>
      </c>
      <c r="I396" t="s">
        <v>65</v>
      </c>
      <c r="J396" t="s">
        <v>46</v>
      </c>
      <c r="K396">
        <v>4</v>
      </c>
      <c r="L396" t="s">
        <v>55</v>
      </c>
      <c r="M396" t="s">
        <v>101</v>
      </c>
      <c r="N396" t="s">
        <v>40</v>
      </c>
      <c r="O396">
        <v>155259</v>
      </c>
      <c r="P396">
        <v>0</v>
      </c>
      <c r="Q396" t="s">
        <v>34</v>
      </c>
      <c r="R396" s="1">
        <v>41953</v>
      </c>
      <c r="S396" t="s">
        <v>34</v>
      </c>
      <c r="T396">
        <v>8</v>
      </c>
      <c r="U396">
        <v>3</v>
      </c>
      <c r="V396">
        <v>5</v>
      </c>
      <c r="W396">
        <v>6</v>
      </c>
      <c r="X396" t="s">
        <v>11023</v>
      </c>
      <c r="Y396" t="s">
        <v>11023</v>
      </c>
      <c r="Z396" t="str">
        <f>_xlfn.XLOOKUP(Employees[[#This Row],[Education]], EdLevel[EducationLevelID], EdLevel[EducationLevel])</f>
        <v xml:space="preserve">Masters </v>
      </c>
      <c r="AA396">
        <f>IF(Employees[[#This Row],[Attrition]] = "Yes", 1, 0)</f>
        <v>0</v>
      </c>
      <c r="AB396" t="str" cm="1">
        <f t="array" ref="AB396">_xlfn.IFS(Employees[[#This Row],[Age]]&lt;30, "20-29", Employees[[#This Row],[Age]]&lt;40, "30-39", Employees[[#This Row],[Age]]&lt;50, "40-49", "TRUE", "50+")</f>
        <v>30-39</v>
      </c>
    </row>
    <row r="397" spans="1:28">
      <c r="A397" t="s">
        <v>1240</v>
      </c>
      <c r="B397" t="s">
        <v>1241</v>
      </c>
      <c r="C397" t="s">
        <v>1242</v>
      </c>
      <c r="D397" t="s">
        <v>26</v>
      </c>
      <c r="E397">
        <v>39</v>
      </c>
      <c r="F397" t="s">
        <v>70</v>
      </c>
      <c r="G397" t="s">
        <v>28</v>
      </c>
      <c r="H397">
        <v>12</v>
      </c>
      <c r="I397" t="s">
        <v>65</v>
      </c>
      <c r="J397" t="s">
        <v>30</v>
      </c>
      <c r="K397">
        <v>2</v>
      </c>
      <c r="L397" t="s">
        <v>47</v>
      </c>
      <c r="M397" t="s">
        <v>32</v>
      </c>
      <c r="N397" t="s">
        <v>40</v>
      </c>
      <c r="O397">
        <v>89351</v>
      </c>
      <c r="P397">
        <v>0</v>
      </c>
      <c r="Q397" t="s">
        <v>34</v>
      </c>
      <c r="R397" s="1">
        <v>41954</v>
      </c>
      <c r="S397" t="s">
        <v>34</v>
      </c>
      <c r="T397">
        <v>8</v>
      </c>
      <c r="U397">
        <v>2</v>
      </c>
      <c r="V397">
        <v>2</v>
      </c>
      <c r="W397">
        <v>0</v>
      </c>
      <c r="X397" t="s">
        <v>11021</v>
      </c>
      <c r="Y397" t="s">
        <v>11021</v>
      </c>
      <c r="Z397" t="str">
        <f>_xlfn.XLOOKUP(Employees[[#This Row],[Education]], EdLevel[EducationLevelID], EdLevel[EducationLevel])</f>
        <v xml:space="preserve">High School </v>
      </c>
      <c r="AA397">
        <f>IF(Employees[[#This Row],[Attrition]] = "Yes", 1, 0)</f>
        <v>0</v>
      </c>
      <c r="AB397" t="str" cm="1">
        <f t="array" ref="AB397">_xlfn.IFS(Employees[[#This Row],[Age]]&lt;30, "20-29", Employees[[#This Row],[Age]]&lt;40, "30-39", Employees[[#This Row],[Age]]&lt;50, "40-49", "TRUE", "50+")</f>
        <v>30-39</v>
      </c>
    </row>
    <row r="398" spans="1:28">
      <c r="A398" t="s">
        <v>1243</v>
      </c>
      <c r="B398" t="s">
        <v>1244</v>
      </c>
      <c r="C398" t="s">
        <v>1245</v>
      </c>
      <c r="D398" t="s">
        <v>38</v>
      </c>
      <c r="E398">
        <v>37</v>
      </c>
      <c r="F398" t="s">
        <v>84</v>
      </c>
      <c r="G398" t="s">
        <v>54</v>
      </c>
      <c r="H398">
        <v>15</v>
      </c>
      <c r="I398" t="s">
        <v>65</v>
      </c>
      <c r="J398" t="s">
        <v>71</v>
      </c>
      <c r="K398">
        <v>4</v>
      </c>
      <c r="L398" t="s">
        <v>55</v>
      </c>
      <c r="M398" t="s">
        <v>85</v>
      </c>
      <c r="N398" t="s">
        <v>49</v>
      </c>
      <c r="O398">
        <v>53929</v>
      </c>
      <c r="P398">
        <v>2</v>
      </c>
      <c r="Q398" t="s">
        <v>34</v>
      </c>
      <c r="R398" s="1">
        <v>41958</v>
      </c>
      <c r="S398" t="s">
        <v>34</v>
      </c>
      <c r="T398">
        <v>8</v>
      </c>
      <c r="U398">
        <v>7</v>
      </c>
      <c r="V398">
        <v>7</v>
      </c>
      <c r="W398">
        <v>5</v>
      </c>
      <c r="X398" t="s">
        <v>11023</v>
      </c>
      <c r="Y398" t="s">
        <v>11023</v>
      </c>
      <c r="Z398" t="str">
        <f>_xlfn.XLOOKUP(Employees[[#This Row],[Education]], EdLevel[EducationLevelID], EdLevel[EducationLevel])</f>
        <v xml:space="preserve">Masters </v>
      </c>
      <c r="AA398">
        <f>IF(Employees[[#This Row],[Attrition]] = "Yes", 1, 0)</f>
        <v>0</v>
      </c>
      <c r="AB398" t="str" cm="1">
        <f t="array" ref="AB398">_xlfn.IFS(Employees[[#This Row],[Age]]&lt;30, "20-29", Employees[[#This Row],[Age]]&lt;40, "30-39", Employees[[#This Row],[Age]]&lt;50, "40-49", "TRUE", "50+")</f>
        <v>30-39</v>
      </c>
    </row>
    <row r="399" spans="1:28">
      <c r="A399" t="s">
        <v>1246</v>
      </c>
      <c r="B399" t="s">
        <v>1247</v>
      </c>
      <c r="C399" t="s">
        <v>1248</v>
      </c>
      <c r="D399" t="s">
        <v>26</v>
      </c>
      <c r="E399">
        <v>28</v>
      </c>
      <c r="F399" t="s">
        <v>84</v>
      </c>
      <c r="G399" t="s">
        <v>54</v>
      </c>
      <c r="H399">
        <v>27</v>
      </c>
      <c r="I399" t="s">
        <v>39</v>
      </c>
      <c r="J399" t="s">
        <v>30</v>
      </c>
      <c r="K399">
        <v>2</v>
      </c>
      <c r="L399" t="s">
        <v>72</v>
      </c>
      <c r="M399" t="s">
        <v>182</v>
      </c>
      <c r="N399" t="s">
        <v>49</v>
      </c>
      <c r="O399">
        <v>546549</v>
      </c>
      <c r="P399">
        <v>1</v>
      </c>
      <c r="Q399" t="s">
        <v>34</v>
      </c>
      <c r="R399" s="1">
        <v>41961</v>
      </c>
      <c r="S399" t="s">
        <v>34</v>
      </c>
      <c r="T399">
        <v>8</v>
      </c>
      <c r="U399">
        <v>8</v>
      </c>
      <c r="V399">
        <v>8</v>
      </c>
      <c r="W399">
        <v>2</v>
      </c>
      <c r="X399" t="s">
        <v>11021</v>
      </c>
      <c r="Y399" t="s">
        <v>11021</v>
      </c>
      <c r="Z399" t="str">
        <f>_xlfn.XLOOKUP(Employees[[#This Row],[Education]], EdLevel[EducationLevelID], EdLevel[EducationLevel])</f>
        <v xml:space="preserve">High School </v>
      </c>
      <c r="AA399">
        <f>IF(Employees[[#This Row],[Attrition]] = "Yes", 1, 0)</f>
        <v>0</v>
      </c>
      <c r="AB399" t="str" cm="1">
        <f t="array" ref="AB399">_xlfn.IFS(Employees[[#This Row],[Age]]&lt;30, "20-29", Employees[[#This Row],[Age]]&lt;40, "30-39", Employees[[#This Row],[Age]]&lt;50, "40-49", "TRUE", "50+")</f>
        <v>20-29</v>
      </c>
    </row>
    <row r="400" spans="1:28">
      <c r="A400" t="s">
        <v>1249</v>
      </c>
      <c r="B400" t="s">
        <v>1250</v>
      </c>
      <c r="C400" t="s">
        <v>1251</v>
      </c>
      <c r="D400" t="s">
        <v>26</v>
      </c>
      <c r="E400">
        <v>48</v>
      </c>
      <c r="F400" t="s">
        <v>27</v>
      </c>
      <c r="G400" t="s">
        <v>28</v>
      </c>
      <c r="H400">
        <v>4</v>
      </c>
      <c r="I400" t="s">
        <v>65</v>
      </c>
      <c r="J400" t="s">
        <v>71</v>
      </c>
      <c r="K400">
        <v>3</v>
      </c>
      <c r="L400" t="s">
        <v>31</v>
      </c>
      <c r="M400" t="s">
        <v>150</v>
      </c>
      <c r="N400" t="s">
        <v>40</v>
      </c>
      <c r="O400">
        <v>55880</v>
      </c>
      <c r="P400">
        <v>0</v>
      </c>
      <c r="Q400" t="s">
        <v>34</v>
      </c>
      <c r="R400" s="1">
        <v>41962</v>
      </c>
      <c r="S400" t="s">
        <v>34</v>
      </c>
      <c r="T400">
        <v>8</v>
      </c>
      <c r="U400">
        <v>1</v>
      </c>
      <c r="V400">
        <v>6</v>
      </c>
      <c r="W400">
        <v>5</v>
      </c>
      <c r="X400" t="s">
        <v>11022</v>
      </c>
      <c r="Y400" t="s">
        <v>11022</v>
      </c>
      <c r="Z400" t="str">
        <f>_xlfn.XLOOKUP(Employees[[#This Row],[Education]], EdLevel[EducationLevelID], EdLevel[EducationLevel])</f>
        <v xml:space="preserve">Bachelors </v>
      </c>
      <c r="AA400">
        <f>IF(Employees[[#This Row],[Attrition]] = "Yes", 1, 0)</f>
        <v>0</v>
      </c>
      <c r="AB400" t="str" cm="1">
        <f t="array" ref="AB400">_xlfn.IFS(Employees[[#This Row],[Age]]&lt;30, "20-29", Employees[[#This Row],[Age]]&lt;40, "30-39", Employees[[#This Row],[Age]]&lt;50, "40-49", "TRUE", "50+")</f>
        <v>40-49</v>
      </c>
    </row>
    <row r="401" spans="1:28">
      <c r="A401" t="s">
        <v>1252</v>
      </c>
      <c r="B401" t="s">
        <v>1253</v>
      </c>
      <c r="C401" t="s">
        <v>1254</v>
      </c>
      <c r="D401" t="s">
        <v>38</v>
      </c>
      <c r="E401">
        <v>29</v>
      </c>
      <c r="F401" t="s">
        <v>27</v>
      </c>
      <c r="G401" t="s">
        <v>54</v>
      </c>
      <c r="H401">
        <v>36</v>
      </c>
      <c r="I401" t="s">
        <v>65</v>
      </c>
      <c r="J401" t="s">
        <v>30</v>
      </c>
      <c r="K401">
        <v>1</v>
      </c>
      <c r="L401" t="s">
        <v>72</v>
      </c>
      <c r="M401" t="s">
        <v>85</v>
      </c>
      <c r="N401" t="s">
        <v>33</v>
      </c>
      <c r="O401">
        <v>86428</v>
      </c>
      <c r="P401">
        <v>3</v>
      </c>
      <c r="Q401" t="s">
        <v>34</v>
      </c>
      <c r="R401" s="1">
        <v>41963</v>
      </c>
      <c r="S401" t="s">
        <v>41</v>
      </c>
      <c r="T401">
        <v>6</v>
      </c>
      <c r="U401">
        <v>5</v>
      </c>
      <c r="V401">
        <v>5</v>
      </c>
      <c r="W401">
        <v>5</v>
      </c>
      <c r="X401" t="s">
        <v>11020</v>
      </c>
      <c r="Y401" t="s">
        <v>11020</v>
      </c>
      <c r="Z401" t="str">
        <f>_xlfn.XLOOKUP(Employees[[#This Row],[Education]], EdLevel[EducationLevelID], EdLevel[EducationLevel])</f>
        <v>No Formal Qualifications</v>
      </c>
      <c r="AA401">
        <f>IF(Employees[[#This Row],[Attrition]] = "Yes", 1, 0)</f>
        <v>1</v>
      </c>
      <c r="AB401" t="str" cm="1">
        <f t="array" ref="AB401">_xlfn.IFS(Employees[[#This Row],[Age]]&lt;30, "20-29", Employees[[#This Row],[Age]]&lt;40, "30-39", Employees[[#This Row],[Age]]&lt;50, "40-49", "TRUE", "50+")</f>
        <v>20-29</v>
      </c>
    </row>
    <row r="402" spans="1:28">
      <c r="A402" t="s">
        <v>1255</v>
      </c>
      <c r="B402" t="s">
        <v>1256</v>
      </c>
      <c r="C402" t="s">
        <v>1257</v>
      </c>
      <c r="D402" t="s">
        <v>38</v>
      </c>
      <c r="E402">
        <v>47</v>
      </c>
      <c r="F402" t="s">
        <v>27</v>
      </c>
      <c r="G402" t="s">
        <v>54</v>
      </c>
      <c r="H402">
        <v>12</v>
      </c>
      <c r="I402" t="s">
        <v>39</v>
      </c>
      <c r="J402" t="s">
        <v>30</v>
      </c>
      <c r="K402">
        <v>4</v>
      </c>
      <c r="L402" t="s">
        <v>72</v>
      </c>
      <c r="M402" t="s">
        <v>101</v>
      </c>
      <c r="N402" t="s">
        <v>40</v>
      </c>
      <c r="O402">
        <v>105126</v>
      </c>
      <c r="P402">
        <v>0</v>
      </c>
      <c r="Q402" t="s">
        <v>34</v>
      </c>
      <c r="R402" s="1">
        <v>41964</v>
      </c>
      <c r="S402" t="s">
        <v>34</v>
      </c>
      <c r="T402">
        <v>8</v>
      </c>
      <c r="U402">
        <v>0</v>
      </c>
      <c r="V402">
        <v>7</v>
      </c>
      <c r="W402">
        <v>1</v>
      </c>
      <c r="X402" t="s">
        <v>11023</v>
      </c>
      <c r="Y402" t="s">
        <v>11023</v>
      </c>
      <c r="Z402" t="str">
        <f>_xlfn.XLOOKUP(Employees[[#This Row],[Education]], EdLevel[EducationLevelID], EdLevel[EducationLevel])</f>
        <v xml:space="preserve">Masters </v>
      </c>
      <c r="AA402">
        <f>IF(Employees[[#This Row],[Attrition]] = "Yes", 1, 0)</f>
        <v>0</v>
      </c>
      <c r="AB402" t="str" cm="1">
        <f t="array" ref="AB402">_xlfn.IFS(Employees[[#This Row],[Age]]&lt;30, "20-29", Employees[[#This Row],[Age]]&lt;40, "30-39", Employees[[#This Row],[Age]]&lt;50, "40-49", "TRUE", "50+")</f>
        <v>40-49</v>
      </c>
    </row>
    <row r="403" spans="1:28">
      <c r="A403" t="s">
        <v>1258</v>
      </c>
      <c r="B403" t="s">
        <v>1259</v>
      </c>
      <c r="C403" t="s">
        <v>1260</v>
      </c>
      <c r="D403" t="s">
        <v>26</v>
      </c>
      <c r="E403">
        <v>32</v>
      </c>
      <c r="F403" t="s">
        <v>84</v>
      </c>
      <c r="G403" t="s">
        <v>28</v>
      </c>
      <c r="H403">
        <v>22</v>
      </c>
      <c r="I403" t="s">
        <v>65</v>
      </c>
      <c r="J403" t="s">
        <v>30</v>
      </c>
      <c r="K403">
        <v>3</v>
      </c>
      <c r="L403" t="s">
        <v>31</v>
      </c>
      <c r="M403" t="s">
        <v>32</v>
      </c>
      <c r="N403" t="s">
        <v>49</v>
      </c>
      <c r="O403">
        <v>142488</v>
      </c>
      <c r="P403">
        <v>1</v>
      </c>
      <c r="Q403" t="s">
        <v>34</v>
      </c>
      <c r="R403" s="1">
        <v>41965</v>
      </c>
      <c r="S403" t="s">
        <v>34</v>
      </c>
      <c r="T403">
        <v>8</v>
      </c>
      <c r="U403">
        <v>0</v>
      </c>
      <c r="V403">
        <v>6</v>
      </c>
      <c r="W403">
        <v>7</v>
      </c>
      <c r="X403" t="s">
        <v>11022</v>
      </c>
      <c r="Y403" t="s">
        <v>11022</v>
      </c>
      <c r="Z403" t="str">
        <f>_xlfn.XLOOKUP(Employees[[#This Row],[Education]], EdLevel[EducationLevelID], EdLevel[EducationLevel])</f>
        <v xml:space="preserve">Bachelors </v>
      </c>
      <c r="AA403">
        <f>IF(Employees[[#This Row],[Attrition]] = "Yes", 1, 0)</f>
        <v>0</v>
      </c>
      <c r="AB403" t="str" cm="1">
        <f t="array" ref="AB403">_xlfn.IFS(Employees[[#This Row],[Age]]&lt;30, "20-29", Employees[[#This Row],[Age]]&lt;40, "30-39", Employees[[#This Row],[Age]]&lt;50, "40-49", "TRUE", "50+")</f>
        <v>30-39</v>
      </c>
    </row>
    <row r="404" spans="1:28">
      <c r="A404" t="s">
        <v>1261</v>
      </c>
      <c r="B404" t="s">
        <v>190</v>
      </c>
      <c r="C404" t="s">
        <v>1262</v>
      </c>
      <c r="D404" t="s">
        <v>26</v>
      </c>
      <c r="E404">
        <v>30</v>
      </c>
      <c r="F404" t="s">
        <v>27</v>
      </c>
      <c r="G404" t="s">
        <v>54</v>
      </c>
      <c r="H404">
        <v>38</v>
      </c>
      <c r="I404" t="s">
        <v>39</v>
      </c>
      <c r="J404" t="s">
        <v>30</v>
      </c>
      <c r="K404">
        <v>4</v>
      </c>
      <c r="L404" t="s">
        <v>55</v>
      </c>
      <c r="M404" t="s">
        <v>85</v>
      </c>
      <c r="N404" t="s">
        <v>49</v>
      </c>
      <c r="O404">
        <v>88609</v>
      </c>
      <c r="P404">
        <v>1</v>
      </c>
      <c r="Q404" t="s">
        <v>41</v>
      </c>
      <c r="R404" s="1">
        <v>41967</v>
      </c>
      <c r="S404" t="s">
        <v>34</v>
      </c>
      <c r="T404">
        <v>8</v>
      </c>
      <c r="U404">
        <v>4</v>
      </c>
      <c r="V404">
        <v>4</v>
      </c>
      <c r="W404">
        <v>1</v>
      </c>
      <c r="X404" t="s">
        <v>11023</v>
      </c>
      <c r="Y404" t="s">
        <v>11023</v>
      </c>
      <c r="Z404" t="str">
        <f>_xlfn.XLOOKUP(Employees[[#This Row],[Education]], EdLevel[EducationLevelID], EdLevel[EducationLevel])</f>
        <v xml:space="preserve">Masters </v>
      </c>
      <c r="AA404">
        <f>IF(Employees[[#This Row],[Attrition]] = "Yes", 1, 0)</f>
        <v>0</v>
      </c>
      <c r="AB404" t="str" cm="1">
        <f t="array" ref="AB404">_xlfn.IFS(Employees[[#This Row],[Age]]&lt;30, "20-29", Employees[[#This Row],[Age]]&lt;40, "30-39", Employees[[#This Row],[Age]]&lt;50, "40-49", "TRUE", "50+")</f>
        <v>30-39</v>
      </c>
    </row>
    <row r="405" spans="1:28">
      <c r="A405" t="s">
        <v>1263</v>
      </c>
      <c r="B405" t="s">
        <v>1264</v>
      </c>
      <c r="C405" t="s">
        <v>1265</v>
      </c>
      <c r="D405" t="s">
        <v>26</v>
      </c>
      <c r="E405">
        <v>29</v>
      </c>
      <c r="F405" t="s">
        <v>84</v>
      </c>
      <c r="G405" t="s">
        <v>54</v>
      </c>
      <c r="H405">
        <v>12</v>
      </c>
      <c r="I405" t="s">
        <v>29</v>
      </c>
      <c r="J405" t="s">
        <v>66</v>
      </c>
      <c r="K405">
        <v>3</v>
      </c>
      <c r="L405" t="s">
        <v>72</v>
      </c>
      <c r="M405" t="s">
        <v>101</v>
      </c>
      <c r="N405" t="s">
        <v>40</v>
      </c>
      <c r="O405">
        <v>72057</v>
      </c>
      <c r="P405">
        <v>0</v>
      </c>
      <c r="Q405" t="s">
        <v>34</v>
      </c>
      <c r="R405" s="1">
        <v>41970</v>
      </c>
      <c r="S405" t="s">
        <v>34</v>
      </c>
      <c r="T405">
        <v>8</v>
      </c>
      <c r="U405">
        <v>8</v>
      </c>
      <c r="V405">
        <v>8</v>
      </c>
      <c r="W405">
        <v>3</v>
      </c>
      <c r="X405" t="s">
        <v>11022</v>
      </c>
      <c r="Y405" t="s">
        <v>11022</v>
      </c>
      <c r="Z405" t="str">
        <f>_xlfn.XLOOKUP(Employees[[#This Row],[Education]], EdLevel[EducationLevelID], EdLevel[EducationLevel])</f>
        <v xml:space="preserve">Bachelors </v>
      </c>
      <c r="AA405">
        <f>IF(Employees[[#This Row],[Attrition]] = "Yes", 1, 0)</f>
        <v>0</v>
      </c>
      <c r="AB405" t="str" cm="1">
        <f t="array" ref="AB405">_xlfn.IFS(Employees[[#This Row],[Age]]&lt;30, "20-29", Employees[[#This Row],[Age]]&lt;40, "30-39", Employees[[#This Row],[Age]]&lt;50, "40-49", "TRUE", "50+")</f>
        <v>20-29</v>
      </c>
    </row>
    <row r="406" spans="1:28">
      <c r="A406" t="s">
        <v>1266</v>
      </c>
      <c r="B406" t="s">
        <v>1267</v>
      </c>
      <c r="C406" t="s">
        <v>165</v>
      </c>
      <c r="D406" t="s">
        <v>38</v>
      </c>
      <c r="E406">
        <v>41</v>
      </c>
      <c r="F406" t="s">
        <v>27</v>
      </c>
      <c r="G406" t="s">
        <v>28</v>
      </c>
      <c r="H406">
        <v>11</v>
      </c>
      <c r="I406" t="s">
        <v>29</v>
      </c>
      <c r="J406" t="s">
        <v>66</v>
      </c>
      <c r="K406">
        <v>1</v>
      </c>
      <c r="L406" t="s">
        <v>31</v>
      </c>
      <c r="M406" t="s">
        <v>32</v>
      </c>
      <c r="N406" t="s">
        <v>49</v>
      </c>
      <c r="O406">
        <v>81654</v>
      </c>
      <c r="P406">
        <v>0</v>
      </c>
      <c r="Q406" t="s">
        <v>34</v>
      </c>
      <c r="R406" s="1">
        <v>41971</v>
      </c>
      <c r="S406" t="s">
        <v>34</v>
      </c>
      <c r="T406">
        <v>8</v>
      </c>
      <c r="U406">
        <v>3</v>
      </c>
      <c r="V406">
        <v>4</v>
      </c>
      <c r="W406">
        <v>7</v>
      </c>
      <c r="X406" t="s">
        <v>11020</v>
      </c>
      <c r="Y406" t="s">
        <v>11020</v>
      </c>
      <c r="Z406" t="str">
        <f>_xlfn.XLOOKUP(Employees[[#This Row],[Education]], EdLevel[EducationLevelID], EdLevel[EducationLevel])</f>
        <v>No Formal Qualifications</v>
      </c>
      <c r="AA406">
        <f>IF(Employees[[#This Row],[Attrition]] = "Yes", 1, 0)</f>
        <v>0</v>
      </c>
      <c r="AB406" t="str" cm="1">
        <f t="array" ref="AB406">_xlfn.IFS(Employees[[#This Row],[Age]]&lt;30, "20-29", Employees[[#This Row],[Age]]&lt;40, "30-39", Employees[[#This Row],[Age]]&lt;50, "40-49", "TRUE", "50+")</f>
        <v>40-49</v>
      </c>
    </row>
    <row r="407" spans="1:28">
      <c r="A407" t="s">
        <v>1268</v>
      </c>
      <c r="B407" t="s">
        <v>1269</v>
      </c>
      <c r="C407" t="s">
        <v>1270</v>
      </c>
      <c r="D407" t="s">
        <v>26</v>
      </c>
      <c r="E407">
        <v>44</v>
      </c>
      <c r="F407" t="s">
        <v>27</v>
      </c>
      <c r="G407" t="s">
        <v>54</v>
      </c>
      <c r="H407">
        <v>13</v>
      </c>
      <c r="I407" t="s">
        <v>65</v>
      </c>
      <c r="J407" t="s">
        <v>30</v>
      </c>
      <c r="K407">
        <v>3</v>
      </c>
      <c r="L407" t="s">
        <v>72</v>
      </c>
      <c r="M407" t="s">
        <v>101</v>
      </c>
      <c r="N407" t="s">
        <v>40</v>
      </c>
      <c r="O407">
        <v>57296</v>
      </c>
      <c r="P407">
        <v>0</v>
      </c>
      <c r="Q407" t="s">
        <v>34</v>
      </c>
      <c r="R407" s="1">
        <v>41972</v>
      </c>
      <c r="S407" t="s">
        <v>34</v>
      </c>
      <c r="T407">
        <v>8</v>
      </c>
      <c r="U407">
        <v>5</v>
      </c>
      <c r="V407">
        <v>7</v>
      </c>
      <c r="W407">
        <v>3</v>
      </c>
      <c r="X407" t="s">
        <v>11022</v>
      </c>
      <c r="Y407" t="s">
        <v>11022</v>
      </c>
      <c r="Z407" t="str">
        <f>_xlfn.XLOOKUP(Employees[[#This Row],[Education]], EdLevel[EducationLevelID], EdLevel[EducationLevel])</f>
        <v xml:space="preserve">Bachelors </v>
      </c>
      <c r="AA407">
        <f>IF(Employees[[#This Row],[Attrition]] = "Yes", 1, 0)</f>
        <v>0</v>
      </c>
      <c r="AB407" t="str" cm="1">
        <f t="array" ref="AB407">_xlfn.IFS(Employees[[#This Row],[Age]]&lt;30, "20-29", Employees[[#This Row],[Age]]&lt;40, "30-39", Employees[[#This Row],[Age]]&lt;50, "40-49", "TRUE", "50+")</f>
        <v>40-49</v>
      </c>
    </row>
    <row r="408" spans="1:28">
      <c r="A408" t="s">
        <v>1271</v>
      </c>
      <c r="B408" t="s">
        <v>1272</v>
      </c>
      <c r="C408" t="s">
        <v>1273</v>
      </c>
      <c r="D408" t="s">
        <v>26</v>
      </c>
      <c r="E408">
        <v>28</v>
      </c>
      <c r="F408" t="s">
        <v>27</v>
      </c>
      <c r="G408" t="s">
        <v>54</v>
      </c>
      <c r="H408">
        <v>27</v>
      </c>
      <c r="I408" t="s">
        <v>65</v>
      </c>
      <c r="J408" t="s">
        <v>66</v>
      </c>
      <c r="K408">
        <v>2</v>
      </c>
      <c r="L408" t="s">
        <v>72</v>
      </c>
      <c r="M408" t="s">
        <v>93</v>
      </c>
      <c r="N408" t="s">
        <v>33</v>
      </c>
      <c r="O408">
        <v>117918</v>
      </c>
      <c r="P408">
        <v>2</v>
      </c>
      <c r="Q408" t="s">
        <v>34</v>
      </c>
      <c r="R408" s="1">
        <v>41975</v>
      </c>
      <c r="S408" t="s">
        <v>34</v>
      </c>
      <c r="T408">
        <v>8</v>
      </c>
      <c r="U408">
        <v>3</v>
      </c>
      <c r="V408">
        <v>8</v>
      </c>
      <c r="W408">
        <v>7</v>
      </c>
      <c r="X408" t="s">
        <v>11021</v>
      </c>
      <c r="Y408" t="s">
        <v>11021</v>
      </c>
      <c r="Z408" t="str">
        <f>_xlfn.XLOOKUP(Employees[[#This Row],[Education]], EdLevel[EducationLevelID], EdLevel[EducationLevel])</f>
        <v xml:space="preserve">High School </v>
      </c>
      <c r="AA408">
        <f>IF(Employees[[#This Row],[Attrition]] = "Yes", 1, 0)</f>
        <v>0</v>
      </c>
      <c r="AB408" t="str" cm="1">
        <f t="array" ref="AB408">_xlfn.IFS(Employees[[#This Row],[Age]]&lt;30, "20-29", Employees[[#This Row],[Age]]&lt;40, "30-39", Employees[[#This Row],[Age]]&lt;50, "40-49", "TRUE", "50+")</f>
        <v>20-29</v>
      </c>
    </row>
    <row r="409" spans="1:28">
      <c r="A409" t="s">
        <v>1274</v>
      </c>
      <c r="B409" t="s">
        <v>1275</v>
      </c>
      <c r="C409" t="s">
        <v>1276</v>
      </c>
      <c r="D409" t="s">
        <v>38</v>
      </c>
      <c r="E409">
        <v>47</v>
      </c>
      <c r="F409" t="s">
        <v>27</v>
      </c>
      <c r="G409" t="s">
        <v>28</v>
      </c>
      <c r="H409">
        <v>23</v>
      </c>
      <c r="I409" t="s">
        <v>39</v>
      </c>
      <c r="J409" t="s">
        <v>71</v>
      </c>
      <c r="K409">
        <v>3</v>
      </c>
      <c r="L409" t="s">
        <v>31</v>
      </c>
      <c r="M409" t="s">
        <v>150</v>
      </c>
      <c r="N409" t="s">
        <v>49</v>
      </c>
      <c r="O409">
        <v>44646</v>
      </c>
      <c r="P409">
        <v>0</v>
      </c>
      <c r="Q409" t="s">
        <v>34</v>
      </c>
      <c r="R409" s="1">
        <v>41975</v>
      </c>
      <c r="S409" t="s">
        <v>34</v>
      </c>
      <c r="T409">
        <v>8</v>
      </c>
      <c r="U409">
        <v>5</v>
      </c>
      <c r="V409">
        <v>5</v>
      </c>
      <c r="W409">
        <v>4</v>
      </c>
      <c r="X409" t="s">
        <v>11022</v>
      </c>
      <c r="Y409" t="s">
        <v>11022</v>
      </c>
      <c r="Z409" t="str">
        <f>_xlfn.XLOOKUP(Employees[[#This Row],[Education]], EdLevel[EducationLevelID], EdLevel[EducationLevel])</f>
        <v xml:space="preserve">Bachelors </v>
      </c>
      <c r="AA409">
        <f>IF(Employees[[#This Row],[Attrition]] = "Yes", 1, 0)</f>
        <v>0</v>
      </c>
      <c r="AB409" t="str" cm="1">
        <f t="array" ref="AB409">_xlfn.IFS(Employees[[#This Row],[Age]]&lt;30, "20-29", Employees[[#This Row],[Age]]&lt;40, "30-39", Employees[[#This Row],[Age]]&lt;50, "40-49", "TRUE", "50+")</f>
        <v>40-49</v>
      </c>
    </row>
    <row r="410" spans="1:28">
      <c r="A410" t="s">
        <v>1277</v>
      </c>
      <c r="B410" t="s">
        <v>1278</v>
      </c>
      <c r="C410" t="s">
        <v>1279</v>
      </c>
      <c r="D410" t="s">
        <v>26</v>
      </c>
      <c r="E410">
        <v>47</v>
      </c>
      <c r="F410" t="s">
        <v>27</v>
      </c>
      <c r="G410" t="s">
        <v>28</v>
      </c>
      <c r="H410">
        <v>14</v>
      </c>
      <c r="I410" t="s">
        <v>65</v>
      </c>
      <c r="J410" t="s">
        <v>30</v>
      </c>
      <c r="K410">
        <v>4</v>
      </c>
      <c r="L410" t="s">
        <v>47</v>
      </c>
      <c r="M410" t="s">
        <v>97</v>
      </c>
      <c r="N410" t="s">
        <v>40</v>
      </c>
      <c r="O410">
        <v>410970</v>
      </c>
      <c r="P410">
        <v>0</v>
      </c>
      <c r="Q410" t="s">
        <v>34</v>
      </c>
      <c r="R410" s="1">
        <v>41979</v>
      </c>
      <c r="S410" t="s">
        <v>34</v>
      </c>
      <c r="T410">
        <v>8</v>
      </c>
      <c r="U410">
        <v>2</v>
      </c>
      <c r="V410">
        <v>5</v>
      </c>
      <c r="W410">
        <v>8</v>
      </c>
      <c r="X410" t="s">
        <v>11023</v>
      </c>
      <c r="Y410" t="s">
        <v>11023</v>
      </c>
      <c r="Z410" t="str">
        <f>_xlfn.XLOOKUP(Employees[[#This Row],[Education]], EdLevel[EducationLevelID], EdLevel[EducationLevel])</f>
        <v xml:space="preserve">Masters </v>
      </c>
      <c r="AA410">
        <f>IF(Employees[[#This Row],[Attrition]] = "Yes", 1, 0)</f>
        <v>0</v>
      </c>
      <c r="AB410" t="str" cm="1">
        <f t="array" ref="AB410">_xlfn.IFS(Employees[[#This Row],[Age]]&lt;30, "20-29", Employees[[#This Row],[Age]]&lt;40, "30-39", Employees[[#This Row],[Age]]&lt;50, "40-49", "TRUE", "50+")</f>
        <v>40-49</v>
      </c>
    </row>
    <row r="411" spans="1:28">
      <c r="A411" t="s">
        <v>1280</v>
      </c>
      <c r="B411" t="s">
        <v>1281</v>
      </c>
      <c r="C411" t="s">
        <v>1282</v>
      </c>
      <c r="D411" t="s">
        <v>38</v>
      </c>
      <c r="E411">
        <v>47</v>
      </c>
      <c r="F411" t="s">
        <v>27</v>
      </c>
      <c r="G411" t="s">
        <v>28</v>
      </c>
      <c r="H411">
        <v>17</v>
      </c>
      <c r="I411" t="s">
        <v>39</v>
      </c>
      <c r="J411" t="s">
        <v>30</v>
      </c>
      <c r="K411">
        <v>3</v>
      </c>
      <c r="L411" t="s">
        <v>77</v>
      </c>
      <c r="M411" t="s">
        <v>32</v>
      </c>
      <c r="N411" t="s">
        <v>40</v>
      </c>
      <c r="O411">
        <v>106840</v>
      </c>
      <c r="P411">
        <v>0</v>
      </c>
      <c r="Q411" t="s">
        <v>34</v>
      </c>
      <c r="R411" s="1">
        <v>41979</v>
      </c>
      <c r="S411" t="s">
        <v>34</v>
      </c>
      <c r="T411">
        <v>8</v>
      </c>
      <c r="U411">
        <v>3</v>
      </c>
      <c r="V411">
        <v>4</v>
      </c>
      <c r="W411">
        <v>8</v>
      </c>
      <c r="X411" t="s">
        <v>11022</v>
      </c>
      <c r="Y411" t="s">
        <v>11022</v>
      </c>
      <c r="Z411" t="str">
        <f>_xlfn.XLOOKUP(Employees[[#This Row],[Education]], EdLevel[EducationLevelID], EdLevel[EducationLevel])</f>
        <v xml:space="preserve">Bachelors </v>
      </c>
      <c r="AA411">
        <f>IF(Employees[[#This Row],[Attrition]] = "Yes", 1, 0)</f>
        <v>0</v>
      </c>
      <c r="AB411" t="str" cm="1">
        <f t="array" ref="AB411">_xlfn.IFS(Employees[[#This Row],[Age]]&lt;30, "20-29", Employees[[#This Row],[Age]]&lt;40, "30-39", Employees[[#This Row],[Age]]&lt;50, "40-49", "TRUE", "50+")</f>
        <v>40-49</v>
      </c>
    </row>
    <row r="412" spans="1:28">
      <c r="A412" t="s">
        <v>1283</v>
      </c>
      <c r="B412" t="s">
        <v>1284</v>
      </c>
      <c r="C412" t="s">
        <v>1285</v>
      </c>
      <c r="D412" t="s">
        <v>26</v>
      </c>
      <c r="E412">
        <v>37</v>
      </c>
      <c r="F412" t="s">
        <v>27</v>
      </c>
      <c r="G412" t="s">
        <v>28</v>
      </c>
      <c r="H412">
        <v>17</v>
      </c>
      <c r="I412" t="s">
        <v>39</v>
      </c>
      <c r="J412" t="s">
        <v>30</v>
      </c>
      <c r="K412">
        <v>4</v>
      </c>
      <c r="L412" t="s">
        <v>121</v>
      </c>
      <c r="M412" t="s">
        <v>97</v>
      </c>
      <c r="N412" t="s">
        <v>40</v>
      </c>
      <c r="O412">
        <v>476151</v>
      </c>
      <c r="P412">
        <v>0</v>
      </c>
      <c r="Q412" t="s">
        <v>34</v>
      </c>
      <c r="R412" s="1">
        <v>41981</v>
      </c>
      <c r="S412" t="s">
        <v>34</v>
      </c>
      <c r="T412">
        <v>8</v>
      </c>
      <c r="U412">
        <v>3</v>
      </c>
      <c r="V412">
        <v>4</v>
      </c>
      <c r="W412">
        <v>8</v>
      </c>
      <c r="X412" t="s">
        <v>11023</v>
      </c>
      <c r="Y412" t="s">
        <v>11023</v>
      </c>
      <c r="Z412" t="str">
        <f>_xlfn.XLOOKUP(Employees[[#This Row],[Education]], EdLevel[EducationLevelID], EdLevel[EducationLevel])</f>
        <v xml:space="preserve">Masters </v>
      </c>
      <c r="AA412">
        <f>IF(Employees[[#This Row],[Attrition]] = "Yes", 1, 0)</f>
        <v>0</v>
      </c>
      <c r="AB412" t="str" cm="1">
        <f t="array" ref="AB412">_xlfn.IFS(Employees[[#This Row],[Age]]&lt;30, "20-29", Employees[[#This Row],[Age]]&lt;40, "30-39", Employees[[#This Row],[Age]]&lt;50, "40-49", "TRUE", "50+")</f>
        <v>30-39</v>
      </c>
    </row>
    <row r="413" spans="1:28">
      <c r="A413" t="s">
        <v>1286</v>
      </c>
      <c r="B413" t="s">
        <v>1287</v>
      </c>
      <c r="C413" t="s">
        <v>1288</v>
      </c>
      <c r="D413" t="s">
        <v>38</v>
      </c>
      <c r="E413">
        <v>34</v>
      </c>
      <c r="F413" t="s">
        <v>27</v>
      </c>
      <c r="G413" t="s">
        <v>54</v>
      </c>
      <c r="H413">
        <v>24</v>
      </c>
      <c r="I413" t="s">
        <v>39</v>
      </c>
      <c r="J413" t="s">
        <v>46</v>
      </c>
      <c r="K413">
        <v>3</v>
      </c>
      <c r="L413" t="s">
        <v>55</v>
      </c>
      <c r="M413" t="s">
        <v>101</v>
      </c>
      <c r="N413" t="s">
        <v>49</v>
      </c>
      <c r="O413">
        <v>42721</v>
      </c>
      <c r="P413">
        <v>1</v>
      </c>
      <c r="Q413" t="s">
        <v>34</v>
      </c>
      <c r="R413" s="1">
        <v>41983</v>
      </c>
      <c r="S413" t="s">
        <v>34</v>
      </c>
      <c r="T413">
        <v>8</v>
      </c>
      <c r="U413">
        <v>3</v>
      </c>
      <c r="V413">
        <v>3</v>
      </c>
      <c r="W413">
        <v>7</v>
      </c>
      <c r="X413" t="s">
        <v>11022</v>
      </c>
      <c r="Y413" t="s">
        <v>11022</v>
      </c>
      <c r="Z413" t="str">
        <f>_xlfn.XLOOKUP(Employees[[#This Row],[Education]], EdLevel[EducationLevelID], EdLevel[EducationLevel])</f>
        <v xml:space="preserve">Bachelors </v>
      </c>
      <c r="AA413">
        <f>IF(Employees[[#This Row],[Attrition]] = "Yes", 1, 0)</f>
        <v>0</v>
      </c>
      <c r="AB413" t="str" cm="1">
        <f t="array" ref="AB413">_xlfn.IFS(Employees[[#This Row],[Age]]&lt;30, "20-29", Employees[[#This Row],[Age]]&lt;40, "30-39", Employees[[#This Row],[Age]]&lt;50, "40-49", "TRUE", "50+")</f>
        <v>30-39</v>
      </c>
    </row>
    <row r="414" spans="1:28">
      <c r="A414" t="s">
        <v>1289</v>
      </c>
      <c r="B414" t="s">
        <v>1290</v>
      </c>
      <c r="C414" t="s">
        <v>1291</v>
      </c>
      <c r="D414" t="s">
        <v>26</v>
      </c>
      <c r="E414">
        <v>38</v>
      </c>
      <c r="F414" t="s">
        <v>27</v>
      </c>
      <c r="G414" t="s">
        <v>28</v>
      </c>
      <c r="H414">
        <v>13</v>
      </c>
      <c r="I414" t="s">
        <v>39</v>
      </c>
      <c r="J414" t="s">
        <v>71</v>
      </c>
      <c r="K414">
        <v>3</v>
      </c>
      <c r="L414" t="s">
        <v>31</v>
      </c>
      <c r="M414" t="s">
        <v>32</v>
      </c>
      <c r="N414" t="s">
        <v>33</v>
      </c>
      <c r="O414">
        <v>240248</v>
      </c>
      <c r="P414">
        <v>1</v>
      </c>
      <c r="Q414" t="s">
        <v>41</v>
      </c>
      <c r="R414" s="1">
        <v>41987</v>
      </c>
      <c r="S414" t="s">
        <v>34</v>
      </c>
      <c r="T414">
        <v>8</v>
      </c>
      <c r="U414">
        <v>4</v>
      </c>
      <c r="V414">
        <v>8</v>
      </c>
      <c r="W414">
        <v>0</v>
      </c>
      <c r="X414" t="s">
        <v>11022</v>
      </c>
      <c r="Y414" t="s">
        <v>11022</v>
      </c>
      <c r="Z414" t="str">
        <f>_xlfn.XLOOKUP(Employees[[#This Row],[Education]], EdLevel[EducationLevelID], EdLevel[EducationLevel])</f>
        <v xml:space="preserve">Bachelors </v>
      </c>
      <c r="AA414">
        <f>IF(Employees[[#This Row],[Attrition]] = "Yes", 1, 0)</f>
        <v>0</v>
      </c>
      <c r="AB414" t="str" cm="1">
        <f t="array" ref="AB414">_xlfn.IFS(Employees[[#This Row],[Age]]&lt;30, "20-29", Employees[[#This Row],[Age]]&lt;40, "30-39", Employees[[#This Row],[Age]]&lt;50, "40-49", "TRUE", "50+")</f>
        <v>30-39</v>
      </c>
    </row>
    <row r="415" spans="1:28">
      <c r="A415" t="s">
        <v>1292</v>
      </c>
      <c r="B415" t="s">
        <v>1293</v>
      </c>
      <c r="C415" t="s">
        <v>1294</v>
      </c>
      <c r="D415" t="s">
        <v>26</v>
      </c>
      <c r="E415">
        <v>26</v>
      </c>
      <c r="F415" t="s">
        <v>27</v>
      </c>
      <c r="G415" t="s">
        <v>54</v>
      </c>
      <c r="H415">
        <v>25</v>
      </c>
      <c r="I415" t="s">
        <v>39</v>
      </c>
      <c r="J415" t="s">
        <v>30</v>
      </c>
      <c r="K415">
        <v>3</v>
      </c>
      <c r="L415" t="s">
        <v>72</v>
      </c>
      <c r="M415" t="s">
        <v>101</v>
      </c>
      <c r="N415" t="s">
        <v>49</v>
      </c>
      <c r="O415">
        <v>22089</v>
      </c>
      <c r="P415">
        <v>1</v>
      </c>
      <c r="Q415" t="s">
        <v>41</v>
      </c>
      <c r="R415" s="1">
        <v>41988</v>
      </c>
      <c r="S415" t="s">
        <v>41</v>
      </c>
      <c r="T415">
        <v>1</v>
      </c>
      <c r="U415">
        <v>0</v>
      </c>
      <c r="V415">
        <v>0</v>
      </c>
      <c r="W415">
        <v>0</v>
      </c>
      <c r="X415" t="s">
        <v>11022</v>
      </c>
      <c r="Y415" t="s">
        <v>11022</v>
      </c>
      <c r="Z415" t="str">
        <f>_xlfn.XLOOKUP(Employees[[#This Row],[Education]], EdLevel[EducationLevelID], EdLevel[EducationLevel])</f>
        <v xml:space="preserve">Bachelors </v>
      </c>
      <c r="AA415">
        <f>IF(Employees[[#This Row],[Attrition]] = "Yes", 1, 0)</f>
        <v>1</v>
      </c>
      <c r="AB415" t="str" cm="1">
        <f t="array" ref="AB415">_xlfn.IFS(Employees[[#This Row],[Age]]&lt;30, "20-29", Employees[[#This Row],[Age]]&lt;40, "30-39", Employees[[#This Row],[Age]]&lt;50, "40-49", "TRUE", "50+")</f>
        <v>20-29</v>
      </c>
    </row>
    <row r="416" spans="1:28">
      <c r="A416" t="s">
        <v>1295</v>
      </c>
      <c r="B416" t="s">
        <v>1296</v>
      </c>
      <c r="C416" t="s">
        <v>1297</v>
      </c>
      <c r="D416" t="s">
        <v>26</v>
      </c>
      <c r="E416">
        <v>37</v>
      </c>
      <c r="F416" t="s">
        <v>27</v>
      </c>
      <c r="G416" t="s">
        <v>28</v>
      </c>
      <c r="H416">
        <v>19</v>
      </c>
      <c r="I416" t="s">
        <v>65</v>
      </c>
      <c r="J416" t="s">
        <v>30</v>
      </c>
      <c r="K416">
        <v>3</v>
      </c>
      <c r="L416" t="s">
        <v>47</v>
      </c>
      <c r="M416" t="s">
        <v>32</v>
      </c>
      <c r="N416" t="s">
        <v>49</v>
      </c>
      <c r="O416">
        <v>230381</v>
      </c>
      <c r="P416">
        <v>1</v>
      </c>
      <c r="Q416" t="s">
        <v>34</v>
      </c>
      <c r="R416" s="1">
        <v>41992</v>
      </c>
      <c r="S416" t="s">
        <v>34</v>
      </c>
      <c r="T416">
        <v>8</v>
      </c>
      <c r="U416">
        <v>3</v>
      </c>
      <c r="V416">
        <v>3</v>
      </c>
      <c r="W416">
        <v>7</v>
      </c>
      <c r="X416" t="s">
        <v>11022</v>
      </c>
      <c r="Y416" t="s">
        <v>11022</v>
      </c>
      <c r="Z416" t="str">
        <f>_xlfn.XLOOKUP(Employees[[#This Row],[Education]], EdLevel[EducationLevelID], EdLevel[EducationLevel])</f>
        <v xml:space="preserve">Bachelors </v>
      </c>
      <c r="AA416">
        <f>IF(Employees[[#This Row],[Attrition]] = "Yes", 1, 0)</f>
        <v>0</v>
      </c>
      <c r="AB416" t="str" cm="1">
        <f t="array" ref="AB416">_xlfn.IFS(Employees[[#This Row],[Age]]&lt;30, "20-29", Employees[[#This Row],[Age]]&lt;40, "30-39", Employees[[#This Row],[Age]]&lt;50, "40-49", "TRUE", "50+")</f>
        <v>30-39</v>
      </c>
    </row>
    <row r="417" spans="1:28">
      <c r="A417" t="s">
        <v>1298</v>
      </c>
      <c r="B417" t="s">
        <v>1299</v>
      </c>
      <c r="C417" t="s">
        <v>1300</v>
      </c>
      <c r="D417" t="s">
        <v>53</v>
      </c>
      <c r="E417">
        <v>40</v>
      </c>
      <c r="F417" t="s">
        <v>84</v>
      </c>
      <c r="G417" t="s">
        <v>54</v>
      </c>
      <c r="H417">
        <v>7</v>
      </c>
      <c r="I417" t="s">
        <v>29</v>
      </c>
      <c r="J417" t="s">
        <v>66</v>
      </c>
      <c r="K417">
        <v>3</v>
      </c>
      <c r="L417" t="s">
        <v>55</v>
      </c>
      <c r="M417" t="s">
        <v>101</v>
      </c>
      <c r="N417" t="s">
        <v>49</v>
      </c>
      <c r="O417">
        <v>95808</v>
      </c>
      <c r="P417">
        <v>2</v>
      </c>
      <c r="Q417" t="s">
        <v>34</v>
      </c>
      <c r="R417" s="1">
        <v>41994</v>
      </c>
      <c r="S417" t="s">
        <v>34</v>
      </c>
      <c r="T417">
        <v>8</v>
      </c>
      <c r="U417">
        <v>8</v>
      </c>
      <c r="V417">
        <v>8</v>
      </c>
      <c r="W417">
        <v>2</v>
      </c>
      <c r="X417" t="s">
        <v>11022</v>
      </c>
      <c r="Y417" t="s">
        <v>11022</v>
      </c>
      <c r="Z417" t="str">
        <f>_xlfn.XLOOKUP(Employees[[#This Row],[Education]], EdLevel[EducationLevelID], EdLevel[EducationLevel])</f>
        <v xml:space="preserve">Bachelors </v>
      </c>
      <c r="AA417">
        <f>IF(Employees[[#This Row],[Attrition]] = "Yes", 1, 0)</f>
        <v>0</v>
      </c>
      <c r="AB417" t="str" cm="1">
        <f t="array" ref="AB417">_xlfn.IFS(Employees[[#This Row],[Age]]&lt;30, "20-29", Employees[[#This Row],[Age]]&lt;40, "30-39", Employees[[#This Row],[Age]]&lt;50, "40-49", "TRUE", "50+")</f>
        <v>40-49</v>
      </c>
    </row>
    <row r="418" spans="1:28">
      <c r="A418" t="s">
        <v>1301</v>
      </c>
      <c r="B418" t="s">
        <v>1302</v>
      </c>
      <c r="C418" t="s">
        <v>903</v>
      </c>
      <c r="D418" t="s">
        <v>38</v>
      </c>
      <c r="E418">
        <v>32</v>
      </c>
      <c r="F418" t="s">
        <v>27</v>
      </c>
      <c r="G418" t="s">
        <v>54</v>
      </c>
      <c r="H418">
        <v>30</v>
      </c>
      <c r="I418" t="s">
        <v>39</v>
      </c>
      <c r="J418" t="s">
        <v>71</v>
      </c>
      <c r="K418">
        <v>4</v>
      </c>
      <c r="L418" t="s">
        <v>55</v>
      </c>
      <c r="M418" t="s">
        <v>101</v>
      </c>
      <c r="N418" t="s">
        <v>49</v>
      </c>
      <c r="O418">
        <v>48377</v>
      </c>
      <c r="P418">
        <v>1</v>
      </c>
      <c r="Q418" t="s">
        <v>41</v>
      </c>
      <c r="R418" s="1">
        <v>41994</v>
      </c>
      <c r="S418" t="s">
        <v>34</v>
      </c>
      <c r="T418">
        <v>8</v>
      </c>
      <c r="U418">
        <v>5</v>
      </c>
      <c r="V418">
        <v>5</v>
      </c>
      <c r="W418">
        <v>6</v>
      </c>
      <c r="X418" t="s">
        <v>11023</v>
      </c>
      <c r="Y418" t="s">
        <v>11023</v>
      </c>
      <c r="Z418" t="str">
        <f>_xlfn.XLOOKUP(Employees[[#This Row],[Education]], EdLevel[EducationLevelID], EdLevel[EducationLevel])</f>
        <v xml:space="preserve">Masters </v>
      </c>
      <c r="AA418">
        <f>IF(Employees[[#This Row],[Attrition]] = "Yes", 1, 0)</f>
        <v>0</v>
      </c>
      <c r="AB418" t="str" cm="1">
        <f t="array" ref="AB418">_xlfn.IFS(Employees[[#This Row],[Age]]&lt;30, "20-29", Employees[[#This Row],[Age]]&lt;40, "30-39", Employees[[#This Row],[Age]]&lt;50, "40-49", "TRUE", "50+")</f>
        <v>30-39</v>
      </c>
    </row>
    <row r="419" spans="1:28">
      <c r="A419" t="s">
        <v>1303</v>
      </c>
      <c r="B419" t="s">
        <v>1304</v>
      </c>
      <c r="C419" t="s">
        <v>1305</v>
      </c>
      <c r="D419" t="s">
        <v>38</v>
      </c>
      <c r="E419">
        <v>31</v>
      </c>
      <c r="F419" t="s">
        <v>27</v>
      </c>
      <c r="G419" t="s">
        <v>28</v>
      </c>
      <c r="H419">
        <v>10</v>
      </c>
      <c r="I419" t="s">
        <v>39</v>
      </c>
      <c r="J419" t="s">
        <v>71</v>
      </c>
      <c r="K419">
        <v>3</v>
      </c>
      <c r="L419" t="s">
        <v>47</v>
      </c>
      <c r="M419" t="s">
        <v>32</v>
      </c>
      <c r="N419" t="s">
        <v>40</v>
      </c>
      <c r="O419">
        <v>110076</v>
      </c>
      <c r="P419">
        <v>0</v>
      </c>
      <c r="Q419" t="s">
        <v>41</v>
      </c>
      <c r="R419" s="1">
        <v>41996</v>
      </c>
      <c r="S419" t="s">
        <v>34</v>
      </c>
      <c r="T419">
        <v>8</v>
      </c>
      <c r="U419">
        <v>5</v>
      </c>
      <c r="V419">
        <v>8</v>
      </c>
      <c r="W419">
        <v>6</v>
      </c>
      <c r="X419" t="s">
        <v>11022</v>
      </c>
      <c r="Y419" t="s">
        <v>11022</v>
      </c>
      <c r="Z419" t="str">
        <f>_xlfn.XLOOKUP(Employees[[#This Row],[Education]], EdLevel[EducationLevelID], EdLevel[EducationLevel])</f>
        <v xml:space="preserve">Bachelors </v>
      </c>
      <c r="AA419">
        <f>IF(Employees[[#This Row],[Attrition]] = "Yes", 1, 0)</f>
        <v>0</v>
      </c>
      <c r="AB419" t="str" cm="1">
        <f t="array" ref="AB419">_xlfn.IFS(Employees[[#This Row],[Age]]&lt;30, "20-29", Employees[[#This Row],[Age]]&lt;40, "30-39", Employees[[#This Row],[Age]]&lt;50, "40-49", "TRUE", "50+")</f>
        <v>30-39</v>
      </c>
    </row>
    <row r="420" spans="1:28">
      <c r="A420" t="s">
        <v>1306</v>
      </c>
      <c r="B420" t="s">
        <v>1307</v>
      </c>
      <c r="C420" t="s">
        <v>1308</v>
      </c>
      <c r="D420" t="s">
        <v>38</v>
      </c>
      <c r="E420">
        <v>41</v>
      </c>
      <c r="F420" t="s">
        <v>27</v>
      </c>
      <c r="G420" t="s">
        <v>45</v>
      </c>
      <c r="H420">
        <v>36</v>
      </c>
      <c r="I420" t="s">
        <v>39</v>
      </c>
      <c r="J420" t="s">
        <v>30</v>
      </c>
      <c r="K420">
        <v>3</v>
      </c>
      <c r="L420" t="s">
        <v>45</v>
      </c>
      <c r="M420" t="s">
        <v>207</v>
      </c>
      <c r="N420" t="s">
        <v>49</v>
      </c>
      <c r="O420">
        <v>131047</v>
      </c>
      <c r="P420">
        <v>0</v>
      </c>
      <c r="Q420" t="s">
        <v>34</v>
      </c>
      <c r="R420" s="1">
        <v>41996</v>
      </c>
      <c r="S420" t="s">
        <v>34</v>
      </c>
      <c r="T420">
        <v>8</v>
      </c>
      <c r="U420">
        <v>4</v>
      </c>
      <c r="V420">
        <v>4</v>
      </c>
      <c r="W420">
        <v>7</v>
      </c>
      <c r="X420" t="s">
        <v>11022</v>
      </c>
      <c r="Y420" t="s">
        <v>11022</v>
      </c>
      <c r="Z420" t="str">
        <f>_xlfn.XLOOKUP(Employees[[#This Row],[Education]], EdLevel[EducationLevelID], EdLevel[EducationLevel])</f>
        <v xml:space="preserve">Bachelors </v>
      </c>
      <c r="AA420">
        <f>IF(Employees[[#This Row],[Attrition]] = "Yes", 1, 0)</f>
        <v>0</v>
      </c>
      <c r="AB420" t="str" cm="1">
        <f t="array" ref="AB420">_xlfn.IFS(Employees[[#This Row],[Age]]&lt;30, "20-29", Employees[[#This Row],[Age]]&lt;40, "30-39", Employees[[#This Row],[Age]]&lt;50, "40-49", "TRUE", "50+")</f>
        <v>40-49</v>
      </c>
    </row>
    <row r="421" spans="1:28">
      <c r="A421" t="s">
        <v>1309</v>
      </c>
      <c r="B421" t="s">
        <v>1310</v>
      </c>
      <c r="C421" t="s">
        <v>1311</v>
      </c>
      <c r="D421" t="s">
        <v>53</v>
      </c>
      <c r="E421">
        <v>30</v>
      </c>
      <c r="F421" t="s">
        <v>27</v>
      </c>
      <c r="G421" t="s">
        <v>28</v>
      </c>
      <c r="H421">
        <v>11</v>
      </c>
      <c r="I421" t="s">
        <v>39</v>
      </c>
      <c r="J421" t="s">
        <v>30</v>
      </c>
      <c r="K421">
        <v>1</v>
      </c>
      <c r="L421" t="s">
        <v>31</v>
      </c>
      <c r="M421" t="s">
        <v>32</v>
      </c>
      <c r="N421" t="s">
        <v>49</v>
      </c>
      <c r="O421">
        <v>127014</v>
      </c>
      <c r="P421">
        <v>0</v>
      </c>
      <c r="Q421" t="s">
        <v>34</v>
      </c>
      <c r="R421" s="1">
        <v>41999</v>
      </c>
      <c r="S421" t="s">
        <v>34</v>
      </c>
      <c r="T421">
        <v>8</v>
      </c>
      <c r="U421">
        <v>4</v>
      </c>
      <c r="V421">
        <v>8</v>
      </c>
      <c r="W421">
        <v>0</v>
      </c>
      <c r="X421" t="s">
        <v>11020</v>
      </c>
      <c r="Y421" t="s">
        <v>11020</v>
      </c>
      <c r="Z421" t="str">
        <f>_xlfn.XLOOKUP(Employees[[#This Row],[Education]], EdLevel[EducationLevelID], EdLevel[EducationLevel])</f>
        <v>No Formal Qualifications</v>
      </c>
      <c r="AA421">
        <f>IF(Employees[[#This Row],[Attrition]] = "Yes", 1, 0)</f>
        <v>0</v>
      </c>
      <c r="AB421" t="str" cm="1">
        <f t="array" ref="AB421">_xlfn.IFS(Employees[[#This Row],[Age]]&lt;30, "20-29", Employees[[#This Row],[Age]]&lt;40, "30-39", Employees[[#This Row],[Age]]&lt;50, "40-49", "TRUE", "50+")</f>
        <v>30-39</v>
      </c>
    </row>
    <row r="422" spans="1:28">
      <c r="A422" t="s">
        <v>1312</v>
      </c>
      <c r="B422" t="s">
        <v>1313</v>
      </c>
      <c r="C422" t="s">
        <v>1314</v>
      </c>
      <c r="D422" t="s">
        <v>38</v>
      </c>
      <c r="E422">
        <v>27</v>
      </c>
      <c r="F422" t="s">
        <v>27</v>
      </c>
      <c r="G422" t="s">
        <v>28</v>
      </c>
      <c r="H422">
        <v>1</v>
      </c>
      <c r="I422" t="s">
        <v>39</v>
      </c>
      <c r="J422" t="s">
        <v>71</v>
      </c>
      <c r="K422">
        <v>4</v>
      </c>
      <c r="L422" t="s">
        <v>47</v>
      </c>
      <c r="M422" t="s">
        <v>150</v>
      </c>
      <c r="N422" t="s">
        <v>40</v>
      </c>
      <c r="O422">
        <v>30870</v>
      </c>
      <c r="P422">
        <v>0</v>
      </c>
      <c r="Q422" t="s">
        <v>34</v>
      </c>
      <c r="R422" s="1">
        <v>42001</v>
      </c>
      <c r="S422" t="s">
        <v>41</v>
      </c>
      <c r="T422">
        <v>3</v>
      </c>
      <c r="U422">
        <v>1</v>
      </c>
      <c r="V422">
        <v>2</v>
      </c>
      <c r="W422">
        <v>3</v>
      </c>
      <c r="X422" t="s">
        <v>11023</v>
      </c>
      <c r="Y422" t="s">
        <v>11023</v>
      </c>
      <c r="Z422" t="str">
        <f>_xlfn.XLOOKUP(Employees[[#This Row],[Education]], EdLevel[EducationLevelID], EdLevel[EducationLevel])</f>
        <v xml:space="preserve">Masters </v>
      </c>
      <c r="AA422">
        <f>IF(Employees[[#This Row],[Attrition]] = "Yes", 1, 0)</f>
        <v>1</v>
      </c>
      <c r="AB422" t="str" cm="1">
        <f t="array" ref="AB422">_xlfn.IFS(Employees[[#This Row],[Age]]&lt;30, "20-29", Employees[[#This Row],[Age]]&lt;40, "30-39", Employees[[#This Row],[Age]]&lt;50, "40-49", "TRUE", "50+")</f>
        <v>20-29</v>
      </c>
    </row>
    <row r="423" spans="1:28">
      <c r="A423" t="s">
        <v>1315</v>
      </c>
      <c r="B423" t="s">
        <v>1316</v>
      </c>
      <c r="C423" t="s">
        <v>1317</v>
      </c>
      <c r="D423" t="s">
        <v>53</v>
      </c>
      <c r="E423">
        <v>41</v>
      </c>
      <c r="F423" t="s">
        <v>84</v>
      </c>
      <c r="G423" t="s">
        <v>54</v>
      </c>
      <c r="H423">
        <v>7</v>
      </c>
      <c r="I423" t="s">
        <v>65</v>
      </c>
      <c r="J423" t="s">
        <v>137</v>
      </c>
      <c r="K423">
        <v>3</v>
      </c>
      <c r="L423" t="s">
        <v>55</v>
      </c>
      <c r="M423" t="s">
        <v>101</v>
      </c>
      <c r="N423" t="s">
        <v>49</v>
      </c>
      <c r="O423">
        <v>96632</v>
      </c>
      <c r="P423">
        <v>1</v>
      </c>
      <c r="Q423" t="s">
        <v>34</v>
      </c>
      <c r="R423" s="1">
        <v>42004</v>
      </c>
      <c r="S423" t="s">
        <v>34</v>
      </c>
      <c r="T423">
        <v>8</v>
      </c>
      <c r="U423">
        <v>2</v>
      </c>
      <c r="V423">
        <v>8</v>
      </c>
      <c r="W423">
        <v>0</v>
      </c>
      <c r="X423" t="s">
        <v>11022</v>
      </c>
      <c r="Y423" t="s">
        <v>11022</v>
      </c>
      <c r="Z423" t="str">
        <f>_xlfn.XLOOKUP(Employees[[#This Row],[Education]], EdLevel[EducationLevelID], EdLevel[EducationLevel])</f>
        <v xml:space="preserve">Bachelors </v>
      </c>
      <c r="AA423">
        <f>IF(Employees[[#This Row],[Attrition]] = "Yes", 1, 0)</f>
        <v>0</v>
      </c>
      <c r="AB423" t="str" cm="1">
        <f t="array" ref="AB423">_xlfn.IFS(Employees[[#This Row],[Age]]&lt;30, "20-29", Employees[[#This Row],[Age]]&lt;40, "30-39", Employees[[#This Row],[Age]]&lt;50, "40-49", "TRUE", "50+")</f>
        <v>40-49</v>
      </c>
    </row>
    <row r="424" spans="1:28">
      <c r="A424" t="s">
        <v>1318</v>
      </c>
      <c r="B424" t="s">
        <v>1319</v>
      </c>
      <c r="C424" t="s">
        <v>1320</v>
      </c>
      <c r="D424" t="s">
        <v>38</v>
      </c>
      <c r="E424">
        <v>43</v>
      </c>
      <c r="F424" t="s">
        <v>27</v>
      </c>
      <c r="G424" t="s">
        <v>54</v>
      </c>
      <c r="H424">
        <v>40</v>
      </c>
      <c r="I424" t="s">
        <v>39</v>
      </c>
      <c r="J424" t="s">
        <v>71</v>
      </c>
      <c r="K424">
        <v>3</v>
      </c>
      <c r="L424" t="s">
        <v>72</v>
      </c>
      <c r="M424" t="s">
        <v>101</v>
      </c>
      <c r="N424" t="s">
        <v>40</v>
      </c>
      <c r="O424">
        <v>63511</v>
      </c>
      <c r="P424">
        <v>0</v>
      </c>
      <c r="Q424" t="s">
        <v>34</v>
      </c>
      <c r="R424" s="1">
        <v>42004</v>
      </c>
      <c r="S424" t="s">
        <v>34</v>
      </c>
      <c r="T424">
        <v>8</v>
      </c>
      <c r="U424">
        <v>5</v>
      </c>
      <c r="V424">
        <v>7</v>
      </c>
      <c r="W424">
        <v>4</v>
      </c>
      <c r="X424" t="s">
        <v>11022</v>
      </c>
      <c r="Y424" t="s">
        <v>11022</v>
      </c>
      <c r="Z424" t="str">
        <f>_xlfn.XLOOKUP(Employees[[#This Row],[Education]], EdLevel[EducationLevelID], EdLevel[EducationLevel])</f>
        <v xml:space="preserve">Bachelors </v>
      </c>
      <c r="AA424">
        <f>IF(Employees[[#This Row],[Attrition]] = "Yes", 1, 0)</f>
        <v>0</v>
      </c>
      <c r="AB424" t="str" cm="1">
        <f t="array" ref="AB424">_xlfn.IFS(Employees[[#This Row],[Age]]&lt;30, "20-29", Employees[[#This Row],[Age]]&lt;40, "30-39", Employees[[#This Row],[Age]]&lt;50, "40-49", "TRUE", "50+")</f>
        <v>40-49</v>
      </c>
    </row>
    <row r="425" spans="1:28">
      <c r="A425" t="s">
        <v>1321</v>
      </c>
      <c r="B425" t="s">
        <v>1322</v>
      </c>
      <c r="C425" t="s">
        <v>1323</v>
      </c>
      <c r="D425" t="s">
        <v>53</v>
      </c>
      <c r="E425">
        <v>27</v>
      </c>
      <c r="F425" t="s">
        <v>70</v>
      </c>
      <c r="G425" t="s">
        <v>28</v>
      </c>
      <c r="H425">
        <v>2</v>
      </c>
      <c r="I425" t="s">
        <v>39</v>
      </c>
      <c r="J425" t="s">
        <v>71</v>
      </c>
      <c r="K425">
        <v>3</v>
      </c>
      <c r="L425" t="s">
        <v>77</v>
      </c>
      <c r="M425" t="s">
        <v>32</v>
      </c>
      <c r="N425" t="s">
        <v>33</v>
      </c>
      <c r="O425">
        <v>92022</v>
      </c>
      <c r="P425">
        <v>1</v>
      </c>
      <c r="Q425" t="s">
        <v>34</v>
      </c>
      <c r="R425" s="1">
        <v>42010</v>
      </c>
      <c r="S425" t="s">
        <v>34</v>
      </c>
      <c r="T425">
        <v>7</v>
      </c>
      <c r="U425">
        <v>7</v>
      </c>
      <c r="V425">
        <v>7</v>
      </c>
      <c r="W425">
        <v>0</v>
      </c>
      <c r="X425" t="s">
        <v>11022</v>
      </c>
      <c r="Y425" t="s">
        <v>11022</v>
      </c>
      <c r="Z425" t="str">
        <f>_xlfn.XLOOKUP(Employees[[#This Row],[Education]], EdLevel[EducationLevelID], EdLevel[EducationLevel])</f>
        <v xml:space="preserve">Bachelors </v>
      </c>
      <c r="AA425">
        <f>IF(Employees[[#This Row],[Attrition]] = "Yes", 1, 0)</f>
        <v>0</v>
      </c>
      <c r="AB425" t="str" cm="1">
        <f t="array" ref="AB425">_xlfn.IFS(Employees[[#This Row],[Age]]&lt;30, "20-29", Employees[[#This Row],[Age]]&lt;40, "30-39", Employees[[#This Row],[Age]]&lt;50, "40-49", "TRUE", "50+")</f>
        <v>20-29</v>
      </c>
    </row>
    <row r="426" spans="1:28">
      <c r="A426" t="s">
        <v>1324</v>
      </c>
      <c r="B426" t="s">
        <v>1299</v>
      </c>
      <c r="C426" t="s">
        <v>1325</v>
      </c>
      <c r="D426" t="s">
        <v>26</v>
      </c>
      <c r="E426">
        <v>27</v>
      </c>
      <c r="F426" t="s">
        <v>27</v>
      </c>
      <c r="G426" t="s">
        <v>54</v>
      </c>
      <c r="H426">
        <v>1</v>
      </c>
      <c r="I426" t="s">
        <v>39</v>
      </c>
      <c r="J426" t="s">
        <v>30</v>
      </c>
      <c r="K426">
        <v>3</v>
      </c>
      <c r="L426" t="s">
        <v>55</v>
      </c>
      <c r="M426" t="s">
        <v>101</v>
      </c>
      <c r="N426" t="s">
        <v>40</v>
      </c>
      <c r="O426">
        <v>31450</v>
      </c>
      <c r="P426">
        <v>0</v>
      </c>
      <c r="Q426" t="s">
        <v>34</v>
      </c>
      <c r="R426" s="1">
        <v>42014</v>
      </c>
      <c r="S426" t="s">
        <v>34</v>
      </c>
      <c r="T426">
        <v>7</v>
      </c>
      <c r="U426">
        <v>3</v>
      </c>
      <c r="V426">
        <v>5</v>
      </c>
      <c r="W426">
        <v>7</v>
      </c>
      <c r="X426" t="s">
        <v>11022</v>
      </c>
      <c r="Y426" t="s">
        <v>11022</v>
      </c>
      <c r="Z426" t="str">
        <f>_xlfn.XLOOKUP(Employees[[#This Row],[Education]], EdLevel[EducationLevelID], EdLevel[EducationLevel])</f>
        <v xml:space="preserve">Bachelors </v>
      </c>
      <c r="AA426">
        <f>IF(Employees[[#This Row],[Attrition]] = "Yes", 1, 0)</f>
        <v>0</v>
      </c>
      <c r="AB426" t="str" cm="1">
        <f t="array" ref="AB426">_xlfn.IFS(Employees[[#This Row],[Age]]&lt;30, "20-29", Employees[[#This Row],[Age]]&lt;40, "30-39", Employees[[#This Row],[Age]]&lt;50, "40-49", "TRUE", "50+")</f>
        <v>20-29</v>
      </c>
    </row>
    <row r="427" spans="1:28">
      <c r="A427" t="s">
        <v>1326</v>
      </c>
      <c r="B427" t="s">
        <v>1327</v>
      </c>
      <c r="C427" t="s">
        <v>1328</v>
      </c>
      <c r="D427" t="s">
        <v>26</v>
      </c>
      <c r="E427">
        <v>25</v>
      </c>
      <c r="F427" t="s">
        <v>84</v>
      </c>
      <c r="G427" t="s">
        <v>45</v>
      </c>
      <c r="H427">
        <v>3</v>
      </c>
      <c r="I427" t="s">
        <v>39</v>
      </c>
      <c r="J427" t="s">
        <v>137</v>
      </c>
      <c r="K427">
        <v>3</v>
      </c>
      <c r="L427" t="s">
        <v>45</v>
      </c>
      <c r="M427" t="s">
        <v>61</v>
      </c>
      <c r="N427" t="s">
        <v>49</v>
      </c>
      <c r="O427">
        <v>23547</v>
      </c>
      <c r="P427">
        <v>0</v>
      </c>
      <c r="Q427" t="s">
        <v>34</v>
      </c>
      <c r="R427" s="1">
        <v>42017</v>
      </c>
      <c r="S427" t="s">
        <v>41</v>
      </c>
      <c r="T427">
        <v>3</v>
      </c>
      <c r="U427">
        <v>0</v>
      </c>
      <c r="V427">
        <v>2</v>
      </c>
      <c r="W427">
        <v>1</v>
      </c>
      <c r="X427" t="s">
        <v>11022</v>
      </c>
      <c r="Y427" t="s">
        <v>11022</v>
      </c>
      <c r="Z427" t="str">
        <f>_xlfn.XLOOKUP(Employees[[#This Row],[Education]], EdLevel[EducationLevelID], EdLevel[EducationLevel])</f>
        <v xml:space="preserve">Bachelors </v>
      </c>
      <c r="AA427">
        <f>IF(Employees[[#This Row],[Attrition]] = "Yes", 1, 0)</f>
        <v>1</v>
      </c>
      <c r="AB427" t="str" cm="1">
        <f t="array" ref="AB427">_xlfn.IFS(Employees[[#This Row],[Age]]&lt;30, "20-29", Employees[[#This Row],[Age]]&lt;40, "30-39", Employees[[#This Row],[Age]]&lt;50, "40-49", "TRUE", "50+")</f>
        <v>20-29</v>
      </c>
    </row>
    <row r="428" spans="1:28">
      <c r="A428" t="s">
        <v>1329</v>
      </c>
      <c r="B428" t="s">
        <v>1330</v>
      </c>
      <c r="C428" t="s">
        <v>1331</v>
      </c>
      <c r="D428" t="s">
        <v>26</v>
      </c>
      <c r="E428">
        <v>26</v>
      </c>
      <c r="F428" t="s">
        <v>27</v>
      </c>
      <c r="G428" t="s">
        <v>54</v>
      </c>
      <c r="H428">
        <v>20</v>
      </c>
      <c r="I428" t="s">
        <v>39</v>
      </c>
      <c r="J428" t="s">
        <v>30</v>
      </c>
      <c r="K428">
        <v>3</v>
      </c>
      <c r="L428" t="s">
        <v>178</v>
      </c>
      <c r="M428" t="s">
        <v>101</v>
      </c>
      <c r="N428" t="s">
        <v>40</v>
      </c>
      <c r="O428">
        <v>33273</v>
      </c>
      <c r="P428">
        <v>0</v>
      </c>
      <c r="Q428" t="s">
        <v>41</v>
      </c>
      <c r="R428" s="1">
        <v>42024</v>
      </c>
      <c r="S428" t="s">
        <v>41</v>
      </c>
      <c r="T428">
        <v>2</v>
      </c>
      <c r="U428">
        <v>1</v>
      </c>
      <c r="V428">
        <v>1</v>
      </c>
      <c r="W428">
        <v>0</v>
      </c>
      <c r="X428" t="s">
        <v>11022</v>
      </c>
      <c r="Y428" t="s">
        <v>11022</v>
      </c>
      <c r="Z428" t="str">
        <f>_xlfn.XLOOKUP(Employees[[#This Row],[Education]], EdLevel[EducationLevelID], EdLevel[EducationLevel])</f>
        <v xml:space="preserve">Bachelors </v>
      </c>
      <c r="AA428">
        <f>IF(Employees[[#This Row],[Attrition]] = "Yes", 1, 0)</f>
        <v>1</v>
      </c>
      <c r="AB428" t="str" cm="1">
        <f t="array" ref="AB428">_xlfn.IFS(Employees[[#This Row],[Age]]&lt;30, "20-29", Employees[[#This Row],[Age]]&lt;40, "30-39", Employees[[#This Row],[Age]]&lt;50, "40-49", "TRUE", "50+")</f>
        <v>20-29</v>
      </c>
    </row>
    <row r="429" spans="1:28">
      <c r="A429" t="s">
        <v>1332</v>
      </c>
      <c r="B429" t="s">
        <v>1333</v>
      </c>
      <c r="C429" t="s">
        <v>1334</v>
      </c>
      <c r="D429" t="s">
        <v>38</v>
      </c>
      <c r="E429">
        <v>28</v>
      </c>
      <c r="F429" t="s">
        <v>84</v>
      </c>
      <c r="G429" t="s">
        <v>54</v>
      </c>
      <c r="H429">
        <v>7</v>
      </c>
      <c r="I429" t="s">
        <v>39</v>
      </c>
      <c r="J429" t="s">
        <v>30</v>
      </c>
      <c r="K429">
        <v>4</v>
      </c>
      <c r="L429" t="s">
        <v>178</v>
      </c>
      <c r="M429" t="s">
        <v>105</v>
      </c>
      <c r="N429" t="s">
        <v>49</v>
      </c>
      <c r="O429">
        <v>140538</v>
      </c>
      <c r="P429">
        <v>1</v>
      </c>
      <c r="Q429" t="s">
        <v>34</v>
      </c>
      <c r="R429" s="1">
        <v>42025</v>
      </c>
      <c r="S429" t="s">
        <v>34</v>
      </c>
      <c r="T429">
        <v>7</v>
      </c>
      <c r="U429">
        <v>3</v>
      </c>
      <c r="V429">
        <v>5</v>
      </c>
      <c r="W429">
        <v>0</v>
      </c>
      <c r="X429" t="s">
        <v>11023</v>
      </c>
      <c r="Y429" t="s">
        <v>11023</v>
      </c>
      <c r="Z429" t="str">
        <f>_xlfn.XLOOKUP(Employees[[#This Row],[Education]], EdLevel[EducationLevelID], EdLevel[EducationLevel])</f>
        <v xml:space="preserve">Masters </v>
      </c>
      <c r="AA429">
        <f>IF(Employees[[#This Row],[Attrition]] = "Yes", 1, 0)</f>
        <v>0</v>
      </c>
      <c r="AB429" t="str" cm="1">
        <f t="array" ref="AB429">_xlfn.IFS(Employees[[#This Row],[Age]]&lt;30, "20-29", Employees[[#This Row],[Age]]&lt;40, "30-39", Employees[[#This Row],[Age]]&lt;50, "40-49", "TRUE", "50+")</f>
        <v>20-29</v>
      </c>
    </row>
    <row r="430" spans="1:28">
      <c r="A430" t="s">
        <v>1335</v>
      </c>
      <c r="B430" t="s">
        <v>1336</v>
      </c>
      <c r="C430" t="s">
        <v>1337</v>
      </c>
      <c r="D430" t="s">
        <v>26</v>
      </c>
      <c r="E430">
        <v>27</v>
      </c>
      <c r="F430" t="s">
        <v>27</v>
      </c>
      <c r="G430" t="s">
        <v>54</v>
      </c>
      <c r="H430">
        <v>30</v>
      </c>
      <c r="I430" t="s">
        <v>39</v>
      </c>
      <c r="J430" t="s">
        <v>66</v>
      </c>
      <c r="K430">
        <v>2</v>
      </c>
      <c r="L430" t="s">
        <v>72</v>
      </c>
      <c r="M430" t="s">
        <v>182</v>
      </c>
      <c r="N430" t="s">
        <v>33</v>
      </c>
      <c r="O430">
        <v>240633</v>
      </c>
      <c r="P430">
        <v>1</v>
      </c>
      <c r="Q430" t="s">
        <v>34</v>
      </c>
      <c r="R430" s="1">
        <v>42026</v>
      </c>
      <c r="S430" t="s">
        <v>34</v>
      </c>
      <c r="T430">
        <v>7</v>
      </c>
      <c r="U430">
        <v>1</v>
      </c>
      <c r="V430">
        <v>6</v>
      </c>
      <c r="W430">
        <v>7</v>
      </c>
      <c r="X430" t="s">
        <v>11021</v>
      </c>
      <c r="Y430" t="s">
        <v>11021</v>
      </c>
      <c r="Z430" t="str">
        <f>_xlfn.XLOOKUP(Employees[[#This Row],[Education]], EdLevel[EducationLevelID], EdLevel[EducationLevel])</f>
        <v xml:space="preserve">High School </v>
      </c>
      <c r="AA430">
        <f>IF(Employees[[#This Row],[Attrition]] = "Yes", 1, 0)</f>
        <v>0</v>
      </c>
      <c r="AB430" t="str" cm="1">
        <f t="array" ref="AB430">_xlfn.IFS(Employees[[#This Row],[Age]]&lt;30, "20-29", Employees[[#This Row],[Age]]&lt;40, "30-39", Employees[[#This Row],[Age]]&lt;50, "40-49", "TRUE", "50+")</f>
        <v>20-29</v>
      </c>
    </row>
    <row r="431" spans="1:28">
      <c r="A431" t="s">
        <v>1338</v>
      </c>
      <c r="B431" t="s">
        <v>1339</v>
      </c>
      <c r="C431" t="s">
        <v>1340</v>
      </c>
      <c r="D431" t="s">
        <v>38</v>
      </c>
      <c r="E431">
        <v>27</v>
      </c>
      <c r="F431" t="s">
        <v>27</v>
      </c>
      <c r="G431" t="s">
        <v>54</v>
      </c>
      <c r="H431">
        <v>19</v>
      </c>
      <c r="I431" t="s">
        <v>29</v>
      </c>
      <c r="J431" t="s">
        <v>137</v>
      </c>
      <c r="K431">
        <v>4</v>
      </c>
      <c r="L431" t="s">
        <v>55</v>
      </c>
      <c r="M431" t="s">
        <v>101</v>
      </c>
      <c r="N431" t="s">
        <v>33</v>
      </c>
      <c r="O431">
        <v>25276</v>
      </c>
      <c r="P431">
        <v>1</v>
      </c>
      <c r="Q431" t="s">
        <v>34</v>
      </c>
      <c r="R431" s="1">
        <v>42026</v>
      </c>
      <c r="S431" t="s">
        <v>34</v>
      </c>
      <c r="T431">
        <v>7</v>
      </c>
      <c r="U431">
        <v>6</v>
      </c>
      <c r="V431">
        <v>7</v>
      </c>
      <c r="W431">
        <v>1</v>
      </c>
      <c r="X431" t="s">
        <v>11023</v>
      </c>
      <c r="Y431" t="s">
        <v>11023</v>
      </c>
      <c r="Z431" t="str">
        <f>_xlfn.XLOOKUP(Employees[[#This Row],[Education]], EdLevel[EducationLevelID], EdLevel[EducationLevel])</f>
        <v xml:space="preserve">Masters </v>
      </c>
      <c r="AA431">
        <f>IF(Employees[[#This Row],[Attrition]] = "Yes", 1, 0)</f>
        <v>0</v>
      </c>
      <c r="AB431" t="str" cm="1">
        <f t="array" ref="AB431">_xlfn.IFS(Employees[[#This Row],[Age]]&lt;30, "20-29", Employees[[#This Row],[Age]]&lt;40, "30-39", Employees[[#This Row],[Age]]&lt;50, "40-49", "TRUE", "50+")</f>
        <v>20-29</v>
      </c>
    </row>
    <row r="432" spans="1:28">
      <c r="A432" t="s">
        <v>1341</v>
      </c>
      <c r="B432" t="s">
        <v>1342</v>
      </c>
      <c r="C432" t="s">
        <v>1343</v>
      </c>
      <c r="D432" t="s">
        <v>26</v>
      </c>
      <c r="E432">
        <v>26</v>
      </c>
      <c r="F432" t="s">
        <v>27</v>
      </c>
      <c r="G432" t="s">
        <v>45</v>
      </c>
      <c r="H432">
        <v>5</v>
      </c>
      <c r="I432" t="s">
        <v>39</v>
      </c>
      <c r="J432" t="s">
        <v>66</v>
      </c>
      <c r="K432">
        <v>4</v>
      </c>
      <c r="L432" t="s">
        <v>45</v>
      </c>
      <c r="M432" t="s">
        <v>259</v>
      </c>
      <c r="N432" t="s">
        <v>49</v>
      </c>
      <c r="O432">
        <v>315071</v>
      </c>
      <c r="P432">
        <v>1</v>
      </c>
      <c r="Q432" t="s">
        <v>41</v>
      </c>
      <c r="R432" s="1">
        <v>42029</v>
      </c>
      <c r="S432" t="s">
        <v>34</v>
      </c>
      <c r="T432">
        <v>7</v>
      </c>
      <c r="U432">
        <v>7</v>
      </c>
      <c r="V432">
        <v>7</v>
      </c>
      <c r="W432">
        <v>1</v>
      </c>
      <c r="X432" t="s">
        <v>11023</v>
      </c>
      <c r="Y432" t="s">
        <v>11023</v>
      </c>
      <c r="Z432" t="str">
        <f>_xlfn.XLOOKUP(Employees[[#This Row],[Education]], EdLevel[EducationLevelID], EdLevel[EducationLevel])</f>
        <v xml:space="preserve">Masters </v>
      </c>
      <c r="AA432">
        <f>IF(Employees[[#This Row],[Attrition]] = "Yes", 1, 0)</f>
        <v>0</v>
      </c>
      <c r="AB432" t="str" cm="1">
        <f t="array" ref="AB432">_xlfn.IFS(Employees[[#This Row],[Age]]&lt;30, "20-29", Employees[[#This Row],[Age]]&lt;40, "30-39", Employees[[#This Row],[Age]]&lt;50, "40-49", "TRUE", "50+")</f>
        <v>20-29</v>
      </c>
    </row>
    <row r="433" spans="1:28">
      <c r="A433" t="s">
        <v>1344</v>
      </c>
      <c r="B433" t="s">
        <v>1345</v>
      </c>
      <c r="C433" t="s">
        <v>1346</v>
      </c>
      <c r="D433" t="s">
        <v>53</v>
      </c>
      <c r="E433">
        <v>26</v>
      </c>
      <c r="F433" t="s">
        <v>27</v>
      </c>
      <c r="G433" t="s">
        <v>54</v>
      </c>
      <c r="H433">
        <v>16</v>
      </c>
      <c r="I433" t="s">
        <v>39</v>
      </c>
      <c r="J433" t="s">
        <v>30</v>
      </c>
      <c r="K433">
        <v>1</v>
      </c>
      <c r="L433" t="s">
        <v>55</v>
      </c>
      <c r="M433" t="s">
        <v>105</v>
      </c>
      <c r="N433" t="s">
        <v>49</v>
      </c>
      <c r="O433">
        <v>54746</v>
      </c>
      <c r="P433">
        <v>1</v>
      </c>
      <c r="Q433" t="s">
        <v>41</v>
      </c>
      <c r="R433" s="1">
        <v>42031</v>
      </c>
      <c r="S433" t="s">
        <v>34</v>
      </c>
      <c r="T433">
        <v>7</v>
      </c>
      <c r="U433">
        <v>2</v>
      </c>
      <c r="V433">
        <v>4</v>
      </c>
      <c r="W433">
        <v>4</v>
      </c>
      <c r="X433" t="s">
        <v>11020</v>
      </c>
      <c r="Y433" t="s">
        <v>11020</v>
      </c>
      <c r="Z433" t="str">
        <f>_xlfn.XLOOKUP(Employees[[#This Row],[Education]], EdLevel[EducationLevelID], EdLevel[EducationLevel])</f>
        <v>No Formal Qualifications</v>
      </c>
      <c r="AA433">
        <f>IF(Employees[[#This Row],[Attrition]] = "Yes", 1, 0)</f>
        <v>0</v>
      </c>
      <c r="AB433" t="str" cm="1">
        <f t="array" ref="AB433">_xlfn.IFS(Employees[[#This Row],[Age]]&lt;30, "20-29", Employees[[#This Row],[Age]]&lt;40, "30-39", Employees[[#This Row],[Age]]&lt;50, "40-49", "TRUE", "50+")</f>
        <v>20-29</v>
      </c>
    </row>
    <row r="434" spans="1:28">
      <c r="A434" t="s">
        <v>1347</v>
      </c>
      <c r="B434" t="s">
        <v>1348</v>
      </c>
      <c r="C434" t="s">
        <v>1349</v>
      </c>
      <c r="D434" t="s">
        <v>26</v>
      </c>
      <c r="E434">
        <v>25</v>
      </c>
      <c r="F434" t="s">
        <v>27</v>
      </c>
      <c r="G434" t="s">
        <v>54</v>
      </c>
      <c r="H434">
        <v>20</v>
      </c>
      <c r="I434" t="s">
        <v>65</v>
      </c>
      <c r="J434" t="s">
        <v>66</v>
      </c>
      <c r="K434">
        <v>2</v>
      </c>
      <c r="L434" t="s">
        <v>55</v>
      </c>
      <c r="M434" t="s">
        <v>101</v>
      </c>
      <c r="N434" t="s">
        <v>49</v>
      </c>
      <c r="O434">
        <v>43438</v>
      </c>
      <c r="P434">
        <v>1</v>
      </c>
      <c r="Q434" t="s">
        <v>41</v>
      </c>
      <c r="R434" s="1">
        <v>42033</v>
      </c>
      <c r="S434" t="s">
        <v>34</v>
      </c>
      <c r="T434">
        <v>7</v>
      </c>
      <c r="U434">
        <v>7</v>
      </c>
      <c r="V434">
        <v>7</v>
      </c>
      <c r="W434">
        <v>3</v>
      </c>
      <c r="X434" t="s">
        <v>11021</v>
      </c>
      <c r="Y434" t="s">
        <v>11021</v>
      </c>
      <c r="Z434" t="str">
        <f>_xlfn.XLOOKUP(Employees[[#This Row],[Education]], EdLevel[EducationLevelID], EdLevel[EducationLevel])</f>
        <v xml:space="preserve">High School </v>
      </c>
      <c r="AA434">
        <f>IF(Employees[[#This Row],[Attrition]] = "Yes", 1, 0)</f>
        <v>0</v>
      </c>
      <c r="AB434" t="str" cm="1">
        <f t="array" ref="AB434">_xlfn.IFS(Employees[[#This Row],[Age]]&lt;30, "20-29", Employees[[#This Row],[Age]]&lt;40, "30-39", Employees[[#This Row],[Age]]&lt;50, "40-49", "TRUE", "50+")</f>
        <v>20-29</v>
      </c>
    </row>
    <row r="435" spans="1:28">
      <c r="A435" t="s">
        <v>1350</v>
      </c>
      <c r="B435" t="s">
        <v>1351</v>
      </c>
      <c r="C435" t="s">
        <v>1352</v>
      </c>
      <c r="D435" t="s">
        <v>26</v>
      </c>
      <c r="E435">
        <v>27</v>
      </c>
      <c r="F435" t="s">
        <v>70</v>
      </c>
      <c r="G435" t="s">
        <v>54</v>
      </c>
      <c r="H435">
        <v>34</v>
      </c>
      <c r="I435" t="s">
        <v>39</v>
      </c>
      <c r="J435" t="s">
        <v>46</v>
      </c>
      <c r="K435">
        <v>2</v>
      </c>
      <c r="L435" t="s">
        <v>178</v>
      </c>
      <c r="M435" t="s">
        <v>85</v>
      </c>
      <c r="N435" t="s">
        <v>40</v>
      </c>
      <c r="O435">
        <v>30783</v>
      </c>
      <c r="P435">
        <v>0</v>
      </c>
      <c r="Q435" t="s">
        <v>34</v>
      </c>
      <c r="R435" s="1">
        <v>42038</v>
      </c>
      <c r="S435" t="s">
        <v>34</v>
      </c>
      <c r="T435">
        <v>7</v>
      </c>
      <c r="U435">
        <v>7</v>
      </c>
      <c r="V435">
        <v>7</v>
      </c>
      <c r="W435">
        <v>2</v>
      </c>
      <c r="X435" t="s">
        <v>11021</v>
      </c>
      <c r="Y435" t="s">
        <v>11021</v>
      </c>
      <c r="Z435" t="str">
        <f>_xlfn.XLOOKUP(Employees[[#This Row],[Education]], EdLevel[EducationLevelID], EdLevel[EducationLevel])</f>
        <v xml:space="preserve">High School </v>
      </c>
      <c r="AA435">
        <f>IF(Employees[[#This Row],[Attrition]] = "Yes", 1, 0)</f>
        <v>0</v>
      </c>
      <c r="AB435" t="str" cm="1">
        <f t="array" ref="AB435">_xlfn.IFS(Employees[[#This Row],[Age]]&lt;30, "20-29", Employees[[#This Row],[Age]]&lt;40, "30-39", Employees[[#This Row],[Age]]&lt;50, "40-49", "TRUE", "50+")</f>
        <v>20-29</v>
      </c>
    </row>
    <row r="436" spans="1:28">
      <c r="A436" t="s">
        <v>1353</v>
      </c>
      <c r="B436" t="s">
        <v>1354</v>
      </c>
      <c r="C436" t="s">
        <v>1355</v>
      </c>
      <c r="D436" t="s">
        <v>38</v>
      </c>
      <c r="E436">
        <v>26</v>
      </c>
      <c r="F436" t="s">
        <v>27</v>
      </c>
      <c r="G436" t="s">
        <v>54</v>
      </c>
      <c r="H436">
        <v>31</v>
      </c>
      <c r="I436" t="s">
        <v>39</v>
      </c>
      <c r="J436" t="s">
        <v>30</v>
      </c>
      <c r="K436">
        <v>2</v>
      </c>
      <c r="L436" t="s">
        <v>55</v>
      </c>
      <c r="M436" t="s">
        <v>56</v>
      </c>
      <c r="N436" t="s">
        <v>49</v>
      </c>
      <c r="O436">
        <v>148211</v>
      </c>
      <c r="P436">
        <v>3</v>
      </c>
      <c r="Q436" t="s">
        <v>41</v>
      </c>
      <c r="R436" s="1">
        <v>42046</v>
      </c>
      <c r="S436" t="s">
        <v>34</v>
      </c>
      <c r="T436">
        <v>7</v>
      </c>
      <c r="U436">
        <v>1</v>
      </c>
      <c r="V436">
        <v>6</v>
      </c>
      <c r="W436">
        <v>0</v>
      </c>
      <c r="X436" t="s">
        <v>11021</v>
      </c>
      <c r="Y436" t="s">
        <v>11021</v>
      </c>
      <c r="Z436" t="str">
        <f>_xlfn.XLOOKUP(Employees[[#This Row],[Education]], EdLevel[EducationLevelID], EdLevel[EducationLevel])</f>
        <v xml:space="preserve">High School </v>
      </c>
      <c r="AA436">
        <f>IF(Employees[[#This Row],[Attrition]] = "Yes", 1, 0)</f>
        <v>0</v>
      </c>
      <c r="AB436" t="str" cm="1">
        <f t="array" ref="AB436">_xlfn.IFS(Employees[[#This Row],[Age]]&lt;30, "20-29", Employees[[#This Row],[Age]]&lt;40, "30-39", Employees[[#This Row],[Age]]&lt;50, "40-49", "TRUE", "50+")</f>
        <v>20-29</v>
      </c>
    </row>
    <row r="437" spans="1:28">
      <c r="A437" t="s">
        <v>1356</v>
      </c>
      <c r="B437" t="s">
        <v>1357</v>
      </c>
      <c r="C437" t="s">
        <v>1358</v>
      </c>
      <c r="D437" t="s">
        <v>38</v>
      </c>
      <c r="E437">
        <v>28</v>
      </c>
      <c r="F437" t="s">
        <v>27</v>
      </c>
      <c r="G437" t="s">
        <v>54</v>
      </c>
      <c r="H437">
        <v>15</v>
      </c>
      <c r="I437" t="s">
        <v>65</v>
      </c>
      <c r="J437" t="s">
        <v>30</v>
      </c>
      <c r="K437">
        <v>3</v>
      </c>
      <c r="L437" t="s">
        <v>55</v>
      </c>
      <c r="M437" t="s">
        <v>85</v>
      </c>
      <c r="N437" t="s">
        <v>49</v>
      </c>
      <c r="O437">
        <v>83951</v>
      </c>
      <c r="P437">
        <v>2</v>
      </c>
      <c r="Q437" t="s">
        <v>34</v>
      </c>
      <c r="R437" s="1">
        <v>42047</v>
      </c>
      <c r="S437" t="s">
        <v>34</v>
      </c>
      <c r="T437">
        <v>7</v>
      </c>
      <c r="U437">
        <v>3</v>
      </c>
      <c r="V437">
        <v>6</v>
      </c>
      <c r="W437">
        <v>5</v>
      </c>
      <c r="X437" t="s">
        <v>11022</v>
      </c>
      <c r="Y437" t="s">
        <v>11022</v>
      </c>
      <c r="Z437" t="str">
        <f>_xlfn.XLOOKUP(Employees[[#This Row],[Education]], EdLevel[EducationLevelID], EdLevel[EducationLevel])</f>
        <v xml:space="preserve">Bachelors </v>
      </c>
      <c r="AA437">
        <f>IF(Employees[[#This Row],[Attrition]] = "Yes", 1, 0)</f>
        <v>0</v>
      </c>
      <c r="AB437" t="str" cm="1">
        <f t="array" ref="AB437">_xlfn.IFS(Employees[[#This Row],[Age]]&lt;30, "20-29", Employees[[#This Row],[Age]]&lt;40, "30-39", Employees[[#This Row],[Age]]&lt;50, "40-49", "TRUE", "50+")</f>
        <v>20-29</v>
      </c>
    </row>
    <row r="438" spans="1:28">
      <c r="A438" t="s">
        <v>1359</v>
      </c>
      <c r="B438" t="s">
        <v>1360</v>
      </c>
      <c r="C438" t="s">
        <v>1361</v>
      </c>
      <c r="D438" t="s">
        <v>26</v>
      </c>
      <c r="E438">
        <v>27</v>
      </c>
      <c r="F438" t="s">
        <v>27</v>
      </c>
      <c r="G438" t="s">
        <v>28</v>
      </c>
      <c r="H438">
        <v>25</v>
      </c>
      <c r="I438" t="s">
        <v>65</v>
      </c>
      <c r="J438" t="s">
        <v>30</v>
      </c>
      <c r="K438">
        <v>3</v>
      </c>
      <c r="L438" t="s">
        <v>60</v>
      </c>
      <c r="M438" t="s">
        <v>32</v>
      </c>
      <c r="N438" t="s">
        <v>49</v>
      </c>
      <c r="O438">
        <v>91202</v>
      </c>
      <c r="P438">
        <v>0</v>
      </c>
      <c r="Q438" t="s">
        <v>41</v>
      </c>
      <c r="R438" s="1">
        <v>42050</v>
      </c>
      <c r="S438" t="s">
        <v>34</v>
      </c>
      <c r="T438">
        <v>7</v>
      </c>
      <c r="U438">
        <v>5</v>
      </c>
      <c r="V438">
        <v>7</v>
      </c>
      <c r="W438">
        <v>2</v>
      </c>
      <c r="X438" t="s">
        <v>11022</v>
      </c>
      <c r="Y438" t="s">
        <v>11022</v>
      </c>
      <c r="Z438" t="str">
        <f>_xlfn.XLOOKUP(Employees[[#This Row],[Education]], EdLevel[EducationLevelID], EdLevel[EducationLevel])</f>
        <v xml:space="preserve">Bachelors </v>
      </c>
      <c r="AA438">
        <f>IF(Employees[[#This Row],[Attrition]] = "Yes", 1, 0)</f>
        <v>0</v>
      </c>
      <c r="AB438" t="str" cm="1">
        <f t="array" ref="AB438">_xlfn.IFS(Employees[[#This Row],[Age]]&lt;30, "20-29", Employees[[#This Row],[Age]]&lt;40, "30-39", Employees[[#This Row],[Age]]&lt;50, "40-49", "TRUE", "50+")</f>
        <v>20-29</v>
      </c>
    </row>
    <row r="439" spans="1:28">
      <c r="A439" t="s">
        <v>1362</v>
      </c>
      <c r="B439" t="s">
        <v>1363</v>
      </c>
      <c r="C439" t="s">
        <v>1364</v>
      </c>
      <c r="D439" t="s">
        <v>26</v>
      </c>
      <c r="E439">
        <v>27</v>
      </c>
      <c r="F439" t="s">
        <v>27</v>
      </c>
      <c r="G439" t="s">
        <v>54</v>
      </c>
      <c r="H439">
        <v>40</v>
      </c>
      <c r="I439" t="s">
        <v>39</v>
      </c>
      <c r="J439" t="s">
        <v>46</v>
      </c>
      <c r="K439">
        <v>4</v>
      </c>
      <c r="L439" t="s">
        <v>72</v>
      </c>
      <c r="M439" t="s">
        <v>105</v>
      </c>
      <c r="N439" t="s">
        <v>49</v>
      </c>
      <c r="O439">
        <v>112728</v>
      </c>
      <c r="P439">
        <v>1</v>
      </c>
      <c r="Q439" t="s">
        <v>34</v>
      </c>
      <c r="R439" s="1">
        <v>42053</v>
      </c>
      <c r="S439" t="s">
        <v>34</v>
      </c>
      <c r="T439">
        <v>7</v>
      </c>
      <c r="U439">
        <v>5</v>
      </c>
      <c r="V439">
        <v>6</v>
      </c>
      <c r="W439">
        <v>4</v>
      </c>
      <c r="X439" t="s">
        <v>11023</v>
      </c>
      <c r="Y439" t="s">
        <v>11023</v>
      </c>
      <c r="Z439" t="str">
        <f>_xlfn.XLOOKUP(Employees[[#This Row],[Education]], EdLevel[EducationLevelID], EdLevel[EducationLevel])</f>
        <v xml:space="preserve">Masters </v>
      </c>
      <c r="AA439">
        <f>IF(Employees[[#This Row],[Attrition]] = "Yes", 1, 0)</f>
        <v>0</v>
      </c>
      <c r="AB439" t="str" cm="1">
        <f t="array" ref="AB439">_xlfn.IFS(Employees[[#This Row],[Age]]&lt;30, "20-29", Employees[[#This Row],[Age]]&lt;40, "30-39", Employees[[#This Row],[Age]]&lt;50, "40-49", "TRUE", "50+")</f>
        <v>20-29</v>
      </c>
    </row>
    <row r="440" spans="1:28">
      <c r="A440" t="s">
        <v>1365</v>
      </c>
      <c r="B440" t="s">
        <v>1366</v>
      </c>
      <c r="C440" t="s">
        <v>1367</v>
      </c>
      <c r="D440" t="s">
        <v>26</v>
      </c>
      <c r="E440">
        <v>25</v>
      </c>
      <c r="F440" t="s">
        <v>27</v>
      </c>
      <c r="G440" t="s">
        <v>28</v>
      </c>
      <c r="H440">
        <v>38</v>
      </c>
      <c r="I440" t="s">
        <v>29</v>
      </c>
      <c r="J440" t="s">
        <v>66</v>
      </c>
      <c r="K440">
        <v>2</v>
      </c>
      <c r="L440" t="s">
        <v>47</v>
      </c>
      <c r="M440" t="s">
        <v>32</v>
      </c>
      <c r="N440" t="s">
        <v>40</v>
      </c>
      <c r="O440">
        <v>57018</v>
      </c>
      <c r="P440">
        <v>0</v>
      </c>
      <c r="Q440" t="s">
        <v>34</v>
      </c>
      <c r="R440" s="1">
        <v>42056</v>
      </c>
      <c r="S440" t="s">
        <v>41</v>
      </c>
      <c r="T440">
        <v>1</v>
      </c>
      <c r="U440">
        <v>0</v>
      </c>
      <c r="V440">
        <v>0</v>
      </c>
      <c r="W440">
        <v>0</v>
      </c>
      <c r="X440" t="s">
        <v>11021</v>
      </c>
      <c r="Y440" t="s">
        <v>11021</v>
      </c>
      <c r="Z440" t="str">
        <f>_xlfn.XLOOKUP(Employees[[#This Row],[Education]], EdLevel[EducationLevelID], EdLevel[EducationLevel])</f>
        <v xml:space="preserve">High School </v>
      </c>
      <c r="AA440">
        <f>IF(Employees[[#This Row],[Attrition]] = "Yes", 1, 0)</f>
        <v>1</v>
      </c>
      <c r="AB440" t="str" cm="1">
        <f t="array" ref="AB440">_xlfn.IFS(Employees[[#This Row],[Age]]&lt;30, "20-29", Employees[[#This Row],[Age]]&lt;40, "30-39", Employees[[#This Row],[Age]]&lt;50, "40-49", "TRUE", "50+")</f>
        <v>20-29</v>
      </c>
    </row>
    <row r="441" spans="1:28">
      <c r="A441" t="s">
        <v>1368</v>
      </c>
      <c r="B441" t="s">
        <v>1369</v>
      </c>
      <c r="C441" t="s">
        <v>1370</v>
      </c>
      <c r="D441" t="s">
        <v>38</v>
      </c>
      <c r="E441">
        <v>27</v>
      </c>
      <c r="F441" t="s">
        <v>27</v>
      </c>
      <c r="G441" t="s">
        <v>54</v>
      </c>
      <c r="H441">
        <v>27</v>
      </c>
      <c r="I441" t="s">
        <v>39</v>
      </c>
      <c r="J441" t="s">
        <v>66</v>
      </c>
      <c r="K441">
        <v>4</v>
      </c>
      <c r="L441" t="s">
        <v>72</v>
      </c>
      <c r="M441" t="s">
        <v>93</v>
      </c>
      <c r="N441" t="s">
        <v>49</v>
      </c>
      <c r="O441">
        <v>92522</v>
      </c>
      <c r="P441">
        <v>0</v>
      </c>
      <c r="Q441" t="s">
        <v>34</v>
      </c>
      <c r="R441" s="1">
        <v>42057</v>
      </c>
      <c r="S441" t="s">
        <v>34</v>
      </c>
      <c r="T441">
        <v>7</v>
      </c>
      <c r="U441">
        <v>4</v>
      </c>
      <c r="V441">
        <v>5</v>
      </c>
      <c r="W441">
        <v>2</v>
      </c>
      <c r="X441" t="s">
        <v>11023</v>
      </c>
      <c r="Y441" t="s">
        <v>11023</v>
      </c>
      <c r="Z441" t="str">
        <f>_xlfn.XLOOKUP(Employees[[#This Row],[Education]], EdLevel[EducationLevelID], EdLevel[EducationLevel])</f>
        <v xml:space="preserve">Masters </v>
      </c>
      <c r="AA441">
        <f>IF(Employees[[#This Row],[Attrition]] = "Yes", 1, 0)</f>
        <v>0</v>
      </c>
      <c r="AB441" t="str" cm="1">
        <f t="array" ref="AB441">_xlfn.IFS(Employees[[#This Row],[Age]]&lt;30, "20-29", Employees[[#This Row],[Age]]&lt;40, "30-39", Employees[[#This Row],[Age]]&lt;50, "40-49", "TRUE", "50+")</f>
        <v>20-29</v>
      </c>
    </row>
    <row r="442" spans="1:28">
      <c r="A442" t="s">
        <v>1371</v>
      </c>
      <c r="B442" t="s">
        <v>1372</v>
      </c>
      <c r="C442" t="s">
        <v>1373</v>
      </c>
      <c r="D442" t="s">
        <v>38</v>
      </c>
      <c r="E442">
        <v>28</v>
      </c>
      <c r="F442" t="s">
        <v>70</v>
      </c>
      <c r="G442" t="s">
        <v>54</v>
      </c>
      <c r="H442">
        <v>30</v>
      </c>
      <c r="I442" t="s">
        <v>39</v>
      </c>
      <c r="J442" t="s">
        <v>30</v>
      </c>
      <c r="K442">
        <v>3</v>
      </c>
      <c r="L442" t="s">
        <v>55</v>
      </c>
      <c r="M442" t="s">
        <v>85</v>
      </c>
      <c r="N442" t="s">
        <v>40</v>
      </c>
      <c r="O442">
        <v>52930</v>
      </c>
      <c r="P442">
        <v>0</v>
      </c>
      <c r="Q442" t="s">
        <v>34</v>
      </c>
      <c r="R442" s="1">
        <v>42058</v>
      </c>
      <c r="S442" t="s">
        <v>34</v>
      </c>
      <c r="T442">
        <v>7</v>
      </c>
      <c r="U442">
        <v>1</v>
      </c>
      <c r="V442">
        <v>4</v>
      </c>
      <c r="W442">
        <v>2</v>
      </c>
      <c r="X442" t="s">
        <v>11022</v>
      </c>
      <c r="Y442" t="s">
        <v>11022</v>
      </c>
      <c r="Z442" t="str">
        <f>_xlfn.XLOOKUP(Employees[[#This Row],[Education]], EdLevel[EducationLevelID], EdLevel[EducationLevel])</f>
        <v xml:space="preserve">Bachelors </v>
      </c>
      <c r="AA442">
        <f>IF(Employees[[#This Row],[Attrition]] = "Yes", 1, 0)</f>
        <v>0</v>
      </c>
      <c r="AB442" t="str" cm="1">
        <f t="array" ref="AB442">_xlfn.IFS(Employees[[#This Row],[Age]]&lt;30, "20-29", Employees[[#This Row],[Age]]&lt;40, "30-39", Employees[[#This Row],[Age]]&lt;50, "40-49", "TRUE", "50+")</f>
        <v>20-29</v>
      </c>
    </row>
    <row r="443" spans="1:28">
      <c r="A443" t="s">
        <v>1374</v>
      </c>
      <c r="B443" t="s">
        <v>1375</v>
      </c>
      <c r="C443" t="s">
        <v>1376</v>
      </c>
      <c r="D443" t="s">
        <v>859</v>
      </c>
      <c r="E443">
        <v>25</v>
      </c>
      <c r="F443" t="s">
        <v>27</v>
      </c>
      <c r="G443" t="s">
        <v>54</v>
      </c>
      <c r="H443">
        <v>4</v>
      </c>
      <c r="I443" t="s">
        <v>65</v>
      </c>
      <c r="J443" t="s">
        <v>30</v>
      </c>
      <c r="K443">
        <v>2</v>
      </c>
      <c r="L443" t="s">
        <v>55</v>
      </c>
      <c r="M443" t="s">
        <v>56</v>
      </c>
      <c r="N443" t="s">
        <v>40</v>
      </c>
      <c r="O443">
        <v>179602</v>
      </c>
      <c r="P443">
        <v>0</v>
      </c>
      <c r="Q443" t="s">
        <v>34</v>
      </c>
      <c r="R443" s="1">
        <v>42064</v>
      </c>
      <c r="S443" t="s">
        <v>34</v>
      </c>
      <c r="T443">
        <v>7</v>
      </c>
      <c r="U443">
        <v>6</v>
      </c>
      <c r="V443">
        <v>6</v>
      </c>
      <c r="W443">
        <v>6</v>
      </c>
      <c r="X443" t="s">
        <v>11021</v>
      </c>
      <c r="Y443" t="s">
        <v>11021</v>
      </c>
      <c r="Z443" t="str">
        <f>_xlfn.XLOOKUP(Employees[[#This Row],[Education]], EdLevel[EducationLevelID], EdLevel[EducationLevel])</f>
        <v xml:space="preserve">High School </v>
      </c>
      <c r="AA443">
        <f>IF(Employees[[#This Row],[Attrition]] = "Yes", 1, 0)</f>
        <v>0</v>
      </c>
      <c r="AB443" t="str" cm="1">
        <f t="array" ref="AB443">_xlfn.IFS(Employees[[#This Row],[Age]]&lt;30, "20-29", Employees[[#This Row],[Age]]&lt;40, "30-39", Employees[[#This Row],[Age]]&lt;50, "40-49", "TRUE", "50+")</f>
        <v>20-29</v>
      </c>
    </row>
    <row r="444" spans="1:28">
      <c r="A444" t="s">
        <v>1377</v>
      </c>
      <c r="B444" t="s">
        <v>1378</v>
      </c>
      <c r="C444" t="s">
        <v>1379</v>
      </c>
      <c r="D444" t="s">
        <v>38</v>
      </c>
      <c r="E444">
        <v>27</v>
      </c>
      <c r="F444" t="s">
        <v>84</v>
      </c>
      <c r="G444" t="s">
        <v>54</v>
      </c>
      <c r="H444">
        <v>9</v>
      </c>
      <c r="I444" t="s">
        <v>65</v>
      </c>
      <c r="J444" t="s">
        <v>71</v>
      </c>
      <c r="K444">
        <v>4</v>
      </c>
      <c r="L444" t="s">
        <v>55</v>
      </c>
      <c r="M444" t="s">
        <v>101</v>
      </c>
      <c r="N444" t="s">
        <v>49</v>
      </c>
      <c r="O444">
        <v>39001</v>
      </c>
      <c r="P444">
        <v>0</v>
      </c>
      <c r="Q444" t="s">
        <v>41</v>
      </c>
      <c r="R444" s="1">
        <v>42066</v>
      </c>
      <c r="S444" t="s">
        <v>34</v>
      </c>
      <c r="T444">
        <v>7</v>
      </c>
      <c r="U444">
        <v>7</v>
      </c>
      <c r="V444">
        <v>7</v>
      </c>
      <c r="W444">
        <v>4</v>
      </c>
      <c r="X444" t="s">
        <v>11023</v>
      </c>
      <c r="Y444" t="s">
        <v>11023</v>
      </c>
      <c r="Z444" t="str">
        <f>_xlfn.XLOOKUP(Employees[[#This Row],[Education]], EdLevel[EducationLevelID], EdLevel[EducationLevel])</f>
        <v xml:space="preserve">Masters </v>
      </c>
      <c r="AA444">
        <f>IF(Employees[[#This Row],[Attrition]] = "Yes", 1, 0)</f>
        <v>0</v>
      </c>
      <c r="AB444" t="str" cm="1">
        <f t="array" ref="AB444">_xlfn.IFS(Employees[[#This Row],[Age]]&lt;30, "20-29", Employees[[#This Row],[Age]]&lt;40, "30-39", Employees[[#This Row],[Age]]&lt;50, "40-49", "TRUE", "50+")</f>
        <v>20-29</v>
      </c>
    </row>
    <row r="445" spans="1:28">
      <c r="A445" t="s">
        <v>1380</v>
      </c>
      <c r="B445" t="s">
        <v>1381</v>
      </c>
      <c r="C445" t="s">
        <v>1382</v>
      </c>
      <c r="D445" t="s">
        <v>38</v>
      </c>
      <c r="E445">
        <v>27</v>
      </c>
      <c r="F445" t="s">
        <v>27</v>
      </c>
      <c r="G445" t="s">
        <v>28</v>
      </c>
      <c r="H445">
        <v>42</v>
      </c>
      <c r="I445" t="s">
        <v>39</v>
      </c>
      <c r="J445" t="s">
        <v>92</v>
      </c>
      <c r="K445">
        <v>2</v>
      </c>
      <c r="L445" t="s">
        <v>60</v>
      </c>
      <c r="M445" t="s">
        <v>32</v>
      </c>
      <c r="N445" t="s">
        <v>49</v>
      </c>
      <c r="O445">
        <v>68638</v>
      </c>
      <c r="P445">
        <v>0</v>
      </c>
      <c r="Q445" t="s">
        <v>41</v>
      </c>
      <c r="R445" s="1">
        <v>42073</v>
      </c>
      <c r="S445" t="s">
        <v>34</v>
      </c>
      <c r="T445">
        <v>7</v>
      </c>
      <c r="U445">
        <v>7</v>
      </c>
      <c r="V445">
        <v>7</v>
      </c>
      <c r="W445">
        <v>0</v>
      </c>
      <c r="X445" t="s">
        <v>11021</v>
      </c>
      <c r="Y445" t="s">
        <v>11021</v>
      </c>
      <c r="Z445" t="str">
        <f>_xlfn.XLOOKUP(Employees[[#This Row],[Education]], EdLevel[EducationLevelID], EdLevel[EducationLevel])</f>
        <v xml:space="preserve">High School </v>
      </c>
      <c r="AA445">
        <f>IF(Employees[[#This Row],[Attrition]] = "Yes", 1, 0)</f>
        <v>0</v>
      </c>
      <c r="AB445" t="str" cm="1">
        <f t="array" ref="AB445">_xlfn.IFS(Employees[[#This Row],[Age]]&lt;30, "20-29", Employees[[#This Row],[Age]]&lt;40, "30-39", Employees[[#This Row],[Age]]&lt;50, "40-49", "TRUE", "50+")</f>
        <v>20-29</v>
      </c>
    </row>
    <row r="446" spans="1:28">
      <c r="A446" t="s">
        <v>1383</v>
      </c>
      <c r="B446" t="s">
        <v>1384</v>
      </c>
      <c r="C446" t="s">
        <v>1385</v>
      </c>
      <c r="D446" t="s">
        <v>38</v>
      </c>
      <c r="E446">
        <v>26</v>
      </c>
      <c r="F446" t="s">
        <v>27</v>
      </c>
      <c r="G446" t="s">
        <v>28</v>
      </c>
      <c r="H446">
        <v>24</v>
      </c>
      <c r="I446" t="s">
        <v>39</v>
      </c>
      <c r="J446" t="s">
        <v>30</v>
      </c>
      <c r="K446">
        <v>3</v>
      </c>
      <c r="L446" t="s">
        <v>31</v>
      </c>
      <c r="M446" t="s">
        <v>32</v>
      </c>
      <c r="N446" t="s">
        <v>40</v>
      </c>
      <c r="O446">
        <v>85982</v>
      </c>
      <c r="P446">
        <v>0</v>
      </c>
      <c r="Q446" t="s">
        <v>34</v>
      </c>
      <c r="R446" s="1">
        <v>42076</v>
      </c>
      <c r="S446" t="s">
        <v>41</v>
      </c>
      <c r="T446">
        <v>5</v>
      </c>
      <c r="U446">
        <v>1</v>
      </c>
      <c r="V446">
        <v>1</v>
      </c>
      <c r="W446">
        <v>0</v>
      </c>
      <c r="X446" t="s">
        <v>11022</v>
      </c>
      <c r="Y446" t="s">
        <v>11022</v>
      </c>
      <c r="Z446" t="str">
        <f>_xlfn.XLOOKUP(Employees[[#This Row],[Education]], EdLevel[EducationLevelID], EdLevel[EducationLevel])</f>
        <v xml:space="preserve">Bachelors </v>
      </c>
      <c r="AA446">
        <f>IF(Employees[[#This Row],[Attrition]] = "Yes", 1, 0)</f>
        <v>1</v>
      </c>
      <c r="AB446" t="str" cm="1">
        <f t="array" ref="AB446">_xlfn.IFS(Employees[[#This Row],[Age]]&lt;30, "20-29", Employees[[#This Row],[Age]]&lt;40, "30-39", Employees[[#This Row],[Age]]&lt;50, "40-49", "TRUE", "50+")</f>
        <v>20-29</v>
      </c>
    </row>
    <row r="447" spans="1:28">
      <c r="A447" t="s">
        <v>1386</v>
      </c>
      <c r="B447" t="s">
        <v>1387</v>
      </c>
      <c r="C447" t="s">
        <v>1388</v>
      </c>
      <c r="D447" t="s">
        <v>38</v>
      </c>
      <c r="E447">
        <v>25</v>
      </c>
      <c r="F447" t="s">
        <v>70</v>
      </c>
      <c r="G447" t="s">
        <v>54</v>
      </c>
      <c r="H447">
        <v>12</v>
      </c>
      <c r="I447" t="s">
        <v>65</v>
      </c>
      <c r="J447" t="s">
        <v>71</v>
      </c>
      <c r="K447">
        <v>3</v>
      </c>
      <c r="L447" t="s">
        <v>72</v>
      </c>
      <c r="M447" t="s">
        <v>85</v>
      </c>
      <c r="N447" t="s">
        <v>40</v>
      </c>
      <c r="O447">
        <v>31962</v>
      </c>
      <c r="P447">
        <v>0</v>
      </c>
      <c r="Q447" t="s">
        <v>34</v>
      </c>
      <c r="R447" s="1">
        <v>42077</v>
      </c>
      <c r="S447" t="s">
        <v>34</v>
      </c>
      <c r="T447">
        <v>7</v>
      </c>
      <c r="U447">
        <v>2</v>
      </c>
      <c r="V447">
        <v>7</v>
      </c>
      <c r="W447">
        <v>4</v>
      </c>
      <c r="X447" t="s">
        <v>11022</v>
      </c>
      <c r="Y447" t="s">
        <v>11022</v>
      </c>
      <c r="Z447" t="str">
        <f>_xlfn.XLOOKUP(Employees[[#This Row],[Education]], EdLevel[EducationLevelID], EdLevel[EducationLevel])</f>
        <v xml:space="preserve">Bachelors </v>
      </c>
      <c r="AA447">
        <f>IF(Employees[[#This Row],[Attrition]] = "Yes", 1, 0)</f>
        <v>0</v>
      </c>
      <c r="AB447" t="str" cm="1">
        <f t="array" ref="AB447">_xlfn.IFS(Employees[[#This Row],[Age]]&lt;30, "20-29", Employees[[#This Row],[Age]]&lt;40, "30-39", Employees[[#This Row],[Age]]&lt;50, "40-49", "TRUE", "50+")</f>
        <v>20-29</v>
      </c>
    </row>
    <row r="448" spans="1:28">
      <c r="A448" t="s">
        <v>1389</v>
      </c>
      <c r="B448" t="s">
        <v>742</v>
      </c>
      <c r="C448" t="s">
        <v>1390</v>
      </c>
      <c r="D448" t="s">
        <v>38</v>
      </c>
      <c r="E448">
        <v>25</v>
      </c>
      <c r="F448" t="s">
        <v>27</v>
      </c>
      <c r="G448" t="s">
        <v>54</v>
      </c>
      <c r="H448">
        <v>23</v>
      </c>
      <c r="I448" t="s">
        <v>65</v>
      </c>
      <c r="J448" t="s">
        <v>71</v>
      </c>
      <c r="K448">
        <v>3</v>
      </c>
      <c r="L448" t="s">
        <v>55</v>
      </c>
      <c r="M448" t="s">
        <v>85</v>
      </c>
      <c r="N448" t="s">
        <v>40</v>
      </c>
      <c r="O448">
        <v>24626</v>
      </c>
      <c r="P448">
        <v>0</v>
      </c>
      <c r="Q448" t="s">
        <v>34</v>
      </c>
      <c r="R448" s="1">
        <v>42077</v>
      </c>
      <c r="S448" t="s">
        <v>34</v>
      </c>
      <c r="T448">
        <v>7</v>
      </c>
      <c r="U448">
        <v>7</v>
      </c>
      <c r="V448">
        <v>7</v>
      </c>
      <c r="W448">
        <v>1</v>
      </c>
      <c r="X448" t="s">
        <v>11022</v>
      </c>
      <c r="Y448" t="s">
        <v>11022</v>
      </c>
      <c r="Z448" t="str">
        <f>_xlfn.XLOOKUP(Employees[[#This Row],[Education]], EdLevel[EducationLevelID], EdLevel[EducationLevel])</f>
        <v xml:space="preserve">Bachelors </v>
      </c>
      <c r="AA448">
        <f>IF(Employees[[#This Row],[Attrition]] = "Yes", 1, 0)</f>
        <v>0</v>
      </c>
      <c r="AB448" t="str" cm="1">
        <f t="array" ref="AB448">_xlfn.IFS(Employees[[#This Row],[Age]]&lt;30, "20-29", Employees[[#This Row],[Age]]&lt;40, "30-39", Employees[[#This Row],[Age]]&lt;50, "40-49", "TRUE", "50+")</f>
        <v>20-29</v>
      </c>
    </row>
    <row r="449" spans="1:28">
      <c r="A449" t="s">
        <v>1391</v>
      </c>
      <c r="B449" t="s">
        <v>1392</v>
      </c>
      <c r="C449" t="s">
        <v>1393</v>
      </c>
      <c r="D449" t="s">
        <v>38</v>
      </c>
      <c r="E449">
        <v>25</v>
      </c>
      <c r="F449" t="s">
        <v>84</v>
      </c>
      <c r="G449" t="s">
        <v>28</v>
      </c>
      <c r="H449">
        <v>25</v>
      </c>
      <c r="I449" t="s">
        <v>65</v>
      </c>
      <c r="J449" t="s">
        <v>30</v>
      </c>
      <c r="K449">
        <v>1</v>
      </c>
      <c r="L449" t="s">
        <v>47</v>
      </c>
      <c r="M449" t="s">
        <v>32</v>
      </c>
      <c r="N449" t="s">
        <v>40</v>
      </c>
      <c r="O449">
        <v>57030</v>
      </c>
      <c r="P449">
        <v>0</v>
      </c>
      <c r="Q449" t="s">
        <v>34</v>
      </c>
      <c r="R449" s="1">
        <v>42083</v>
      </c>
      <c r="S449" t="s">
        <v>34</v>
      </c>
      <c r="T449">
        <v>7</v>
      </c>
      <c r="U449">
        <v>5</v>
      </c>
      <c r="V449">
        <v>7</v>
      </c>
      <c r="W449">
        <v>6</v>
      </c>
      <c r="X449" t="s">
        <v>11020</v>
      </c>
      <c r="Y449" t="s">
        <v>11020</v>
      </c>
      <c r="Z449" t="str">
        <f>_xlfn.XLOOKUP(Employees[[#This Row],[Education]], EdLevel[EducationLevelID], EdLevel[EducationLevel])</f>
        <v>No Formal Qualifications</v>
      </c>
      <c r="AA449">
        <f>IF(Employees[[#This Row],[Attrition]] = "Yes", 1, 0)</f>
        <v>0</v>
      </c>
      <c r="AB449" t="str" cm="1">
        <f t="array" ref="AB449">_xlfn.IFS(Employees[[#This Row],[Age]]&lt;30, "20-29", Employees[[#This Row],[Age]]&lt;40, "30-39", Employees[[#This Row],[Age]]&lt;50, "40-49", "TRUE", "50+")</f>
        <v>20-29</v>
      </c>
    </row>
    <row r="450" spans="1:28">
      <c r="A450" t="s">
        <v>1394</v>
      </c>
      <c r="B450" t="s">
        <v>1395</v>
      </c>
      <c r="C450" t="s">
        <v>1396</v>
      </c>
      <c r="D450" t="s">
        <v>26</v>
      </c>
      <c r="E450">
        <v>28</v>
      </c>
      <c r="F450" t="s">
        <v>84</v>
      </c>
      <c r="G450" t="s">
        <v>54</v>
      </c>
      <c r="H450">
        <v>38</v>
      </c>
      <c r="I450" t="s">
        <v>39</v>
      </c>
      <c r="J450" t="s">
        <v>66</v>
      </c>
      <c r="K450">
        <v>4</v>
      </c>
      <c r="L450" t="s">
        <v>55</v>
      </c>
      <c r="M450" t="s">
        <v>85</v>
      </c>
      <c r="N450" t="s">
        <v>49</v>
      </c>
      <c r="O450">
        <v>87704</v>
      </c>
      <c r="P450">
        <v>2</v>
      </c>
      <c r="Q450" t="s">
        <v>34</v>
      </c>
      <c r="R450" s="1">
        <v>42091</v>
      </c>
      <c r="S450" t="s">
        <v>34</v>
      </c>
      <c r="T450">
        <v>7</v>
      </c>
      <c r="U450">
        <v>1</v>
      </c>
      <c r="V450">
        <v>3</v>
      </c>
      <c r="W450">
        <v>6</v>
      </c>
      <c r="X450" t="s">
        <v>11023</v>
      </c>
      <c r="Y450" t="s">
        <v>11023</v>
      </c>
      <c r="Z450" t="str">
        <f>_xlfn.XLOOKUP(Employees[[#This Row],[Education]], EdLevel[EducationLevelID], EdLevel[EducationLevel])</f>
        <v xml:space="preserve">Masters </v>
      </c>
      <c r="AA450">
        <f>IF(Employees[[#This Row],[Attrition]] = "Yes", 1, 0)</f>
        <v>0</v>
      </c>
      <c r="AB450" t="str" cm="1">
        <f t="array" ref="AB450">_xlfn.IFS(Employees[[#This Row],[Age]]&lt;30, "20-29", Employees[[#This Row],[Age]]&lt;40, "30-39", Employees[[#This Row],[Age]]&lt;50, "40-49", "TRUE", "50+")</f>
        <v>20-29</v>
      </c>
    </row>
    <row r="451" spans="1:28">
      <c r="A451" t="s">
        <v>1397</v>
      </c>
      <c r="B451" t="s">
        <v>1398</v>
      </c>
      <c r="C451" t="s">
        <v>1399</v>
      </c>
      <c r="D451" t="s">
        <v>38</v>
      </c>
      <c r="E451">
        <v>25</v>
      </c>
      <c r="F451" t="s">
        <v>27</v>
      </c>
      <c r="G451" t="s">
        <v>28</v>
      </c>
      <c r="H451">
        <v>12</v>
      </c>
      <c r="I451" t="s">
        <v>65</v>
      </c>
      <c r="J451" t="s">
        <v>46</v>
      </c>
      <c r="K451">
        <v>4</v>
      </c>
      <c r="L451" t="s">
        <v>31</v>
      </c>
      <c r="M451" t="s">
        <v>32</v>
      </c>
      <c r="N451" t="s">
        <v>33</v>
      </c>
      <c r="O451">
        <v>67814</v>
      </c>
      <c r="P451">
        <v>0</v>
      </c>
      <c r="Q451" t="s">
        <v>34</v>
      </c>
      <c r="R451" s="1">
        <v>42091</v>
      </c>
      <c r="S451" t="s">
        <v>34</v>
      </c>
      <c r="T451">
        <v>7</v>
      </c>
      <c r="U451">
        <v>6</v>
      </c>
      <c r="V451">
        <v>7</v>
      </c>
      <c r="W451">
        <v>1</v>
      </c>
      <c r="X451" t="s">
        <v>11023</v>
      </c>
      <c r="Y451" t="s">
        <v>11023</v>
      </c>
      <c r="Z451" t="str">
        <f>_xlfn.XLOOKUP(Employees[[#This Row],[Education]], EdLevel[EducationLevelID], EdLevel[EducationLevel])</f>
        <v xml:space="preserve">Masters </v>
      </c>
      <c r="AA451">
        <f>IF(Employees[[#This Row],[Attrition]] = "Yes", 1, 0)</f>
        <v>0</v>
      </c>
      <c r="AB451" t="str" cm="1">
        <f t="array" ref="AB451">_xlfn.IFS(Employees[[#This Row],[Age]]&lt;30, "20-29", Employees[[#This Row],[Age]]&lt;40, "30-39", Employees[[#This Row],[Age]]&lt;50, "40-49", "TRUE", "50+")</f>
        <v>20-29</v>
      </c>
    </row>
    <row r="452" spans="1:28">
      <c r="A452" t="s">
        <v>1400</v>
      </c>
      <c r="B452" t="s">
        <v>1401</v>
      </c>
      <c r="C452" t="s">
        <v>1402</v>
      </c>
      <c r="D452" t="s">
        <v>53</v>
      </c>
      <c r="E452">
        <v>41</v>
      </c>
      <c r="F452" t="s">
        <v>27</v>
      </c>
      <c r="G452" t="s">
        <v>45</v>
      </c>
      <c r="H452">
        <v>11</v>
      </c>
      <c r="I452" t="s">
        <v>65</v>
      </c>
      <c r="J452" t="s">
        <v>71</v>
      </c>
      <c r="K452">
        <v>2</v>
      </c>
      <c r="L452" t="s">
        <v>121</v>
      </c>
      <c r="M452" t="s">
        <v>48</v>
      </c>
      <c r="N452" t="s">
        <v>40</v>
      </c>
      <c r="O452">
        <v>445906</v>
      </c>
      <c r="P452">
        <v>0</v>
      </c>
      <c r="Q452" t="s">
        <v>41</v>
      </c>
      <c r="R452" s="1">
        <v>42095</v>
      </c>
      <c r="S452" t="s">
        <v>34</v>
      </c>
      <c r="T452">
        <v>7</v>
      </c>
      <c r="U452">
        <v>1</v>
      </c>
      <c r="V452">
        <v>5</v>
      </c>
      <c r="W452">
        <v>4</v>
      </c>
      <c r="X452" t="s">
        <v>11021</v>
      </c>
      <c r="Y452" t="s">
        <v>11021</v>
      </c>
      <c r="Z452" t="str">
        <f>_xlfn.XLOOKUP(Employees[[#This Row],[Education]], EdLevel[EducationLevelID], EdLevel[EducationLevel])</f>
        <v xml:space="preserve">High School </v>
      </c>
      <c r="AA452">
        <f>IF(Employees[[#This Row],[Attrition]] = "Yes", 1, 0)</f>
        <v>0</v>
      </c>
      <c r="AB452" t="str" cm="1">
        <f t="array" ref="AB452">_xlfn.IFS(Employees[[#This Row],[Age]]&lt;30, "20-29", Employees[[#This Row],[Age]]&lt;40, "30-39", Employees[[#This Row],[Age]]&lt;50, "40-49", "TRUE", "50+")</f>
        <v>40-49</v>
      </c>
    </row>
    <row r="453" spans="1:28">
      <c r="A453" t="s">
        <v>1403</v>
      </c>
      <c r="B453" t="s">
        <v>1404</v>
      </c>
      <c r="C453" t="s">
        <v>1405</v>
      </c>
      <c r="D453" t="s">
        <v>26</v>
      </c>
      <c r="E453">
        <v>27</v>
      </c>
      <c r="F453" t="s">
        <v>27</v>
      </c>
      <c r="G453" t="s">
        <v>28</v>
      </c>
      <c r="H453">
        <v>4</v>
      </c>
      <c r="I453" t="s">
        <v>39</v>
      </c>
      <c r="J453" t="s">
        <v>71</v>
      </c>
      <c r="K453">
        <v>1</v>
      </c>
      <c r="L453" t="s">
        <v>121</v>
      </c>
      <c r="M453" t="s">
        <v>32</v>
      </c>
      <c r="N453" t="s">
        <v>49</v>
      </c>
      <c r="O453">
        <v>45046</v>
      </c>
      <c r="P453">
        <v>2</v>
      </c>
      <c r="Q453" t="s">
        <v>41</v>
      </c>
      <c r="R453" s="1">
        <v>42097</v>
      </c>
      <c r="S453" t="s">
        <v>34</v>
      </c>
      <c r="T453">
        <v>7</v>
      </c>
      <c r="U453">
        <v>6</v>
      </c>
      <c r="V453">
        <v>7</v>
      </c>
      <c r="W453">
        <v>0</v>
      </c>
      <c r="X453" t="s">
        <v>11020</v>
      </c>
      <c r="Y453" t="s">
        <v>11020</v>
      </c>
      <c r="Z453" t="str">
        <f>_xlfn.XLOOKUP(Employees[[#This Row],[Education]], EdLevel[EducationLevelID], EdLevel[EducationLevel])</f>
        <v>No Formal Qualifications</v>
      </c>
      <c r="AA453">
        <f>IF(Employees[[#This Row],[Attrition]] = "Yes", 1, 0)</f>
        <v>0</v>
      </c>
      <c r="AB453" t="str" cm="1">
        <f t="array" ref="AB453">_xlfn.IFS(Employees[[#This Row],[Age]]&lt;30, "20-29", Employees[[#This Row],[Age]]&lt;40, "30-39", Employees[[#This Row],[Age]]&lt;50, "40-49", "TRUE", "50+")</f>
        <v>20-29</v>
      </c>
    </row>
    <row r="454" spans="1:28">
      <c r="A454" t="s">
        <v>1406</v>
      </c>
      <c r="B454" t="s">
        <v>1407</v>
      </c>
      <c r="C454" t="s">
        <v>1408</v>
      </c>
      <c r="D454" t="s">
        <v>38</v>
      </c>
      <c r="E454">
        <v>26</v>
      </c>
      <c r="F454" t="s">
        <v>27</v>
      </c>
      <c r="G454" t="s">
        <v>28</v>
      </c>
      <c r="H454">
        <v>24</v>
      </c>
      <c r="I454" t="s">
        <v>39</v>
      </c>
      <c r="J454" t="s">
        <v>137</v>
      </c>
      <c r="K454">
        <v>1</v>
      </c>
      <c r="L454" t="s">
        <v>47</v>
      </c>
      <c r="M454" t="s">
        <v>32</v>
      </c>
      <c r="N454" t="s">
        <v>40</v>
      </c>
      <c r="O454">
        <v>82312</v>
      </c>
      <c r="P454">
        <v>0</v>
      </c>
      <c r="Q454" t="s">
        <v>41</v>
      </c>
      <c r="R454" s="1">
        <v>42105</v>
      </c>
      <c r="S454" t="s">
        <v>34</v>
      </c>
      <c r="T454">
        <v>7</v>
      </c>
      <c r="U454">
        <v>2</v>
      </c>
      <c r="V454">
        <v>7</v>
      </c>
      <c r="W454">
        <v>6</v>
      </c>
      <c r="X454" t="s">
        <v>11020</v>
      </c>
      <c r="Y454" t="s">
        <v>11020</v>
      </c>
      <c r="Z454" t="str">
        <f>_xlfn.XLOOKUP(Employees[[#This Row],[Education]], EdLevel[EducationLevelID], EdLevel[EducationLevel])</f>
        <v>No Formal Qualifications</v>
      </c>
      <c r="AA454">
        <f>IF(Employees[[#This Row],[Attrition]] = "Yes", 1, 0)</f>
        <v>0</v>
      </c>
      <c r="AB454" t="str" cm="1">
        <f t="array" ref="AB454">_xlfn.IFS(Employees[[#This Row],[Age]]&lt;30, "20-29", Employees[[#This Row],[Age]]&lt;40, "30-39", Employees[[#This Row],[Age]]&lt;50, "40-49", "TRUE", "50+")</f>
        <v>20-29</v>
      </c>
    </row>
    <row r="455" spans="1:28">
      <c r="A455" t="s">
        <v>1409</v>
      </c>
      <c r="B455" t="s">
        <v>1410</v>
      </c>
      <c r="C455" t="s">
        <v>1411</v>
      </c>
      <c r="D455" t="s">
        <v>38</v>
      </c>
      <c r="E455">
        <v>27</v>
      </c>
      <c r="F455" t="s">
        <v>84</v>
      </c>
      <c r="G455" t="s">
        <v>28</v>
      </c>
      <c r="H455">
        <v>16</v>
      </c>
      <c r="I455" t="s">
        <v>39</v>
      </c>
      <c r="J455" t="s">
        <v>30</v>
      </c>
      <c r="K455">
        <v>3</v>
      </c>
      <c r="L455" t="s">
        <v>60</v>
      </c>
      <c r="M455" t="s">
        <v>32</v>
      </c>
      <c r="N455" t="s">
        <v>40</v>
      </c>
      <c r="O455">
        <v>50559</v>
      </c>
      <c r="P455">
        <v>0</v>
      </c>
      <c r="Q455" t="s">
        <v>34</v>
      </c>
      <c r="R455" s="1">
        <v>42108</v>
      </c>
      <c r="S455" t="s">
        <v>41</v>
      </c>
      <c r="T455">
        <v>6</v>
      </c>
      <c r="U455">
        <v>0</v>
      </c>
      <c r="V455">
        <v>5</v>
      </c>
      <c r="W455">
        <v>5</v>
      </c>
      <c r="X455" t="s">
        <v>11022</v>
      </c>
      <c r="Y455" t="s">
        <v>11022</v>
      </c>
      <c r="Z455" t="str">
        <f>_xlfn.XLOOKUP(Employees[[#This Row],[Education]], EdLevel[EducationLevelID], EdLevel[EducationLevel])</f>
        <v xml:space="preserve">Bachelors </v>
      </c>
      <c r="AA455">
        <f>IF(Employees[[#This Row],[Attrition]] = "Yes", 1, 0)</f>
        <v>1</v>
      </c>
      <c r="AB455" t="str" cm="1">
        <f t="array" ref="AB455">_xlfn.IFS(Employees[[#This Row],[Age]]&lt;30, "20-29", Employees[[#This Row],[Age]]&lt;40, "30-39", Employees[[#This Row],[Age]]&lt;50, "40-49", "TRUE", "50+")</f>
        <v>20-29</v>
      </c>
    </row>
    <row r="456" spans="1:28">
      <c r="A456" t="s">
        <v>1412</v>
      </c>
      <c r="B456" t="s">
        <v>1413</v>
      </c>
      <c r="C456" t="s">
        <v>1414</v>
      </c>
      <c r="D456" t="s">
        <v>26</v>
      </c>
      <c r="E456">
        <v>25</v>
      </c>
      <c r="F456" t="s">
        <v>27</v>
      </c>
      <c r="G456" t="s">
        <v>54</v>
      </c>
      <c r="H456">
        <v>5</v>
      </c>
      <c r="I456" t="s">
        <v>39</v>
      </c>
      <c r="J456" t="s">
        <v>66</v>
      </c>
      <c r="K456">
        <v>4</v>
      </c>
      <c r="L456" t="s">
        <v>77</v>
      </c>
      <c r="M456" t="s">
        <v>101</v>
      </c>
      <c r="N456" t="s">
        <v>40</v>
      </c>
      <c r="O456">
        <v>51454</v>
      </c>
      <c r="P456">
        <v>0</v>
      </c>
      <c r="Q456" t="s">
        <v>34</v>
      </c>
      <c r="R456" s="1">
        <v>42111</v>
      </c>
      <c r="S456" t="s">
        <v>34</v>
      </c>
      <c r="T456">
        <v>7</v>
      </c>
      <c r="U456">
        <v>1</v>
      </c>
      <c r="V456">
        <v>6</v>
      </c>
      <c r="W456">
        <v>7</v>
      </c>
      <c r="X456" t="s">
        <v>11023</v>
      </c>
      <c r="Y456" t="s">
        <v>11023</v>
      </c>
      <c r="Z456" t="str">
        <f>_xlfn.XLOOKUP(Employees[[#This Row],[Education]], EdLevel[EducationLevelID], EdLevel[EducationLevel])</f>
        <v xml:space="preserve">Masters </v>
      </c>
      <c r="AA456">
        <f>IF(Employees[[#This Row],[Attrition]] = "Yes", 1, 0)</f>
        <v>0</v>
      </c>
      <c r="AB456" t="str" cm="1">
        <f t="array" ref="AB456">_xlfn.IFS(Employees[[#This Row],[Age]]&lt;30, "20-29", Employees[[#This Row],[Age]]&lt;40, "30-39", Employees[[#This Row],[Age]]&lt;50, "40-49", "TRUE", "50+")</f>
        <v>20-29</v>
      </c>
    </row>
    <row r="457" spans="1:28">
      <c r="A457" t="s">
        <v>1415</v>
      </c>
      <c r="B457" t="s">
        <v>1416</v>
      </c>
      <c r="C457" t="s">
        <v>1417</v>
      </c>
      <c r="D457" t="s">
        <v>53</v>
      </c>
      <c r="E457">
        <v>27</v>
      </c>
      <c r="F457" t="s">
        <v>27</v>
      </c>
      <c r="G457" t="s">
        <v>54</v>
      </c>
      <c r="H457">
        <v>1</v>
      </c>
      <c r="I457" t="s">
        <v>39</v>
      </c>
      <c r="J457" t="s">
        <v>30</v>
      </c>
      <c r="K457">
        <v>1</v>
      </c>
      <c r="L457" t="s">
        <v>72</v>
      </c>
      <c r="M457" t="s">
        <v>101</v>
      </c>
      <c r="N457" t="s">
        <v>40</v>
      </c>
      <c r="O457">
        <v>48442</v>
      </c>
      <c r="P457">
        <v>0</v>
      </c>
      <c r="Q457" t="s">
        <v>34</v>
      </c>
      <c r="R457" s="1">
        <v>42111</v>
      </c>
      <c r="S457" t="s">
        <v>34</v>
      </c>
      <c r="T457">
        <v>7</v>
      </c>
      <c r="U457">
        <v>3</v>
      </c>
      <c r="V457">
        <v>4</v>
      </c>
      <c r="W457">
        <v>5</v>
      </c>
      <c r="X457" t="s">
        <v>11020</v>
      </c>
      <c r="Y457" t="s">
        <v>11020</v>
      </c>
      <c r="Z457" t="str">
        <f>_xlfn.XLOOKUP(Employees[[#This Row],[Education]], EdLevel[EducationLevelID], EdLevel[EducationLevel])</f>
        <v>No Formal Qualifications</v>
      </c>
      <c r="AA457">
        <f>IF(Employees[[#This Row],[Attrition]] = "Yes", 1, 0)</f>
        <v>0</v>
      </c>
      <c r="AB457" t="str" cm="1">
        <f t="array" ref="AB457">_xlfn.IFS(Employees[[#This Row],[Age]]&lt;30, "20-29", Employees[[#This Row],[Age]]&lt;40, "30-39", Employees[[#This Row],[Age]]&lt;50, "40-49", "TRUE", "50+")</f>
        <v>20-29</v>
      </c>
    </row>
    <row r="458" spans="1:28">
      <c r="A458" t="s">
        <v>1418</v>
      </c>
      <c r="B458" t="s">
        <v>1419</v>
      </c>
      <c r="C458" t="s">
        <v>1420</v>
      </c>
      <c r="D458" t="s">
        <v>53</v>
      </c>
      <c r="E458">
        <v>27</v>
      </c>
      <c r="F458" t="s">
        <v>27</v>
      </c>
      <c r="G458" t="s">
        <v>54</v>
      </c>
      <c r="H458">
        <v>10</v>
      </c>
      <c r="I458" t="s">
        <v>39</v>
      </c>
      <c r="J458" t="s">
        <v>30</v>
      </c>
      <c r="K458">
        <v>3</v>
      </c>
      <c r="L458" t="s">
        <v>72</v>
      </c>
      <c r="M458" t="s">
        <v>85</v>
      </c>
      <c r="N458" t="s">
        <v>40</v>
      </c>
      <c r="O458">
        <v>45438</v>
      </c>
      <c r="P458">
        <v>0</v>
      </c>
      <c r="Q458" t="s">
        <v>34</v>
      </c>
      <c r="R458" s="1">
        <v>42113</v>
      </c>
      <c r="S458" t="s">
        <v>34</v>
      </c>
      <c r="T458">
        <v>7</v>
      </c>
      <c r="U458">
        <v>1</v>
      </c>
      <c r="V458">
        <v>5</v>
      </c>
      <c r="W458">
        <v>5</v>
      </c>
      <c r="X458" t="s">
        <v>11022</v>
      </c>
      <c r="Y458" t="s">
        <v>11022</v>
      </c>
      <c r="Z458" t="str">
        <f>_xlfn.XLOOKUP(Employees[[#This Row],[Education]], EdLevel[EducationLevelID], EdLevel[EducationLevel])</f>
        <v xml:space="preserve">Bachelors </v>
      </c>
      <c r="AA458">
        <f>IF(Employees[[#This Row],[Attrition]] = "Yes", 1, 0)</f>
        <v>0</v>
      </c>
      <c r="AB458" t="str" cm="1">
        <f t="array" ref="AB458">_xlfn.IFS(Employees[[#This Row],[Age]]&lt;30, "20-29", Employees[[#This Row],[Age]]&lt;40, "30-39", Employees[[#This Row],[Age]]&lt;50, "40-49", "TRUE", "50+")</f>
        <v>20-29</v>
      </c>
    </row>
    <row r="459" spans="1:28">
      <c r="A459" t="s">
        <v>1421</v>
      </c>
      <c r="B459" t="s">
        <v>1422</v>
      </c>
      <c r="C459" t="s">
        <v>153</v>
      </c>
      <c r="D459" t="s">
        <v>38</v>
      </c>
      <c r="E459">
        <v>26</v>
      </c>
      <c r="F459" t="s">
        <v>27</v>
      </c>
      <c r="G459" t="s">
        <v>54</v>
      </c>
      <c r="H459">
        <v>22</v>
      </c>
      <c r="I459" t="s">
        <v>39</v>
      </c>
      <c r="J459" t="s">
        <v>46</v>
      </c>
      <c r="K459">
        <v>3</v>
      </c>
      <c r="L459" t="s">
        <v>72</v>
      </c>
      <c r="M459" t="s">
        <v>101</v>
      </c>
      <c r="N459" t="s">
        <v>49</v>
      </c>
      <c r="O459">
        <v>52390</v>
      </c>
      <c r="P459">
        <v>1</v>
      </c>
      <c r="Q459" t="s">
        <v>41</v>
      </c>
      <c r="R459" s="1">
        <v>42115</v>
      </c>
      <c r="S459" t="s">
        <v>34</v>
      </c>
      <c r="T459">
        <v>7</v>
      </c>
      <c r="U459">
        <v>4</v>
      </c>
      <c r="V459">
        <v>5</v>
      </c>
      <c r="W459">
        <v>3</v>
      </c>
      <c r="X459" t="s">
        <v>11022</v>
      </c>
      <c r="Y459" t="s">
        <v>11022</v>
      </c>
      <c r="Z459" t="str">
        <f>_xlfn.XLOOKUP(Employees[[#This Row],[Education]], EdLevel[EducationLevelID], EdLevel[EducationLevel])</f>
        <v xml:space="preserve">Bachelors </v>
      </c>
      <c r="AA459">
        <f>IF(Employees[[#This Row],[Attrition]] = "Yes", 1, 0)</f>
        <v>0</v>
      </c>
      <c r="AB459" t="str" cm="1">
        <f t="array" ref="AB459">_xlfn.IFS(Employees[[#This Row],[Age]]&lt;30, "20-29", Employees[[#This Row],[Age]]&lt;40, "30-39", Employees[[#This Row],[Age]]&lt;50, "40-49", "TRUE", "50+")</f>
        <v>20-29</v>
      </c>
    </row>
    <row r="460" spans="1:28">
      <c r="A460" t="s">
        <v>1423</v>
      </c>
      <c r="B460" t="s">
        <v>1424</v>
      </c>
      <c r="C460" t="s">
        <v>1425</v>
      </c>
      <c r="D460" t="s">
        <v>38</v>
      </c>
      <c r="E460">
        <v>25</v>
      </c>
      <c r="F460" t="s">
        <v>27</v>
      </c>
      <c r="G460" t="s">
        <v>54</v>
      </c>
      <c r="H460">
        <v>1</v>
      </c>
      <c r="I460" t="s">
        <v>65</v>
      </c>
      <c r="J460" t="s">
        <v>46</v>
      </c>
      <c r="K460">
        <v>4</v>
      </c>
      <c r="L460" t="s">
        <v>72</v>
      </c>
      <c r="M460" t="s">
        <v>105</v>
      </c>
      <c r="N460" t="s">
        <v>49</v>
      </c>
      <c r="O460">
        <v>72840</v>
      </c>
      <c r="P460">
        <v>0</v>
      </c>
      <c r="Q460" t="s">
        <v>34</v>
      </c>
      <c r="R460" s="1">
        <v>42117</v>
      </c>
      <c r="S460" t="s">
        <v>34</v>
      </c>
      <c r="T460">
        <v>7</v>
      </c>
      <c r="U460">
        <v>6</v>
      </c>
      <c r="V460">
        <v>6</v>
      </c>
      <c r="W460">
        <v>0</v>
      </c>
      <c r="X460" t="s">
        <v>11023</v>
      </c>
      <c r="Y460" t="s">
        <v>11023</v>
      </c>
      <c r="Z460" t="str">
        <f>_xlfn.XLOOKUP(Employees[[#This Row],[Education]], EdLevel[EducationLevelID], EdLevel[EducationLevel])</f>
        <v xml:space="preserve">Masters </v>
      </c>
      <c r="AA460">
        <f>IF(Employees[[#This Row],[Attrition]] = "Yes", 1, 0)</f>
        <v>0</v>
      </c>
      <c r="AB460" t="str" cm="1">
        <f t="array" ref="AB460">_xlfn.IFS(Employees[[#This Row],[Age]]&lt;30, "20-29", Employees[[#This Row],[Age]]&lt;40, "30-39", Employees[[#This Row],[Age]]&lt;50, "40-49", "TRUE", "50+")</f>
        <v>20-29</v>
      </c>
    </row>
    <row r="461" spans="1:28">
      <c r="A461" t="s">
        <v>1426</v>
      </c>
      <c r="B461" t="s">
        <v>1427</v>
      </c>
      <c r="C461" t="s">
        <v>1428</v>
      </c>
      <c r="D461" t="s">
        <v>38</v>
      </c>
      <c r="E461">
        <v>26</v>
      </c>
      <c r="F461" t="s">
        <v>27</v>
      </c>
      <c r="G461" t="s">
        <v>54</v>
      </c>
      <c r="H461">
        <v>10</v>
      </c>
      <c r="I461" t="s">
        <v>39</v>
      </c>
      <c r="J461" t="s">
        <v>30</v>
      </c>
      <c r="K461">
        <v>4</v>
      </c>
      <c r="L461" t="s">
        <v>72</v>
      </c>
      <c r="M461" t="s">
        <v>105</v>
      </c>
      <c r="N461" t="s">
        <v>33</v>
      </c>
      <c r="O461">
        <v>148080</v>
      </c>
      <c r="P461">
        <v>1</v>
      </c>
      <c r="Q461" t="s">
        <v>41</v>
      </c>
      <c r="R461" s="1">
        <v>42127</v>
      </c>
      <c r="S461" t="s">
        <v>34</v>
      </c>
      <c r="T461">
        <v>7</v>
      </c>
      <c r="U461">
        <v>7</v>
      </c>
      <c r="V461">
        <v>7</v>
      </c>
      <c r="W461">
        <v>1</v>
      </c>
      <c r="X461" t="s">
        <v>11023</v>
      </c>
      <c r="Y461" t="s">
        <v>11023</v>
      </c>
      <c r="Z461" t="str">
        <f>_xlfn.XLOOKUP(Employees[[#This Row],[Education]], EdLevel[EducationLevelID], EdLevel[EducationLevel])</f>
        <v xml:space="preserve">Masters </v>
      </c>
      <c r="AA461">
        <f>IF(Employees[[#This Row],[Attrition]] = "Yes", 1, 0)</f>
        <v>0</v>
      </c>
      <c r="AB461" t="str" cm="1">
        <f t="array" ref="AB461">_xlfn.IFS(Employees[[#This Row],[Age]]&lt;30, "20-29", Employees[[#This Row],[Age]]&lt;40, "30-39", Employees[[#This Row],[Age]]&lt;50, "40-49", "TRUE", "50+")</f>
        <v>20-29</v>
      </c>
    </row>
    <row r="462" spans="1:28">
      <c r="A462" t="s">
        <v>1429</v>
      </c>
      <c r="B462" t="s">
        <v>1430</v>
      </c>
      <c r="C462" t="s">
        <v>1431</v>
      </c>
      <c r="D462" t="s">
        <v>26</v>
      </c>
      <c r="E462">
        <v>26</v>
      </c>
      <c r="F462" t="s">
        <v>84</v>
      </c>
      <c r="G462" t="s">
        <v>54</v>
      </c>
      <c r="H462">
        <v>42</v>
      </c>
      <c r="I462" t="s">
        <v>39</v>
      </c>
      <c r="J462" t="s">
        <v>46</v>
      </c>
      <c r="K462">
        <v>1</v>
      </c>
      <c r="L462" t="s">
        <v>55</v>
      </c>
      <c r="M462" t="s">
        <v>85</v>
      </c>
      <c r="N462" t="s">
        <v>49</v>
      </c>
      <c r="O462">
        <v>56966</v>
      </c>
      <c r="P462">
        <v>1</v>
      </c>
      <c r="Q462" t="s">
        <v>34</v>
      </c>
      <c r="R462" s="1">
        <v>42128</v>
      </c>
      <c r="S462" t="s">
        <v>34</v>
      </c>
      <c r="T462">
        <v>7</v>
      </c>
      <c r="U462">
        <v>4</v>
      </c>
      <c r="V462">
        <v>5</v>
      </c>
      <c r="W462">
        <v>2</v>
      </c>
      <c r="X462" t="s">
        <v>11020</v>
      </c>
      <c r="Y462" t="s">
        <v>11020</v>
      </c>
      <c r="Z462" t="str">
        <f>_xlfn.XLOOKUP(Employees[[#This Row],[Education]], EdLevel[EducationLevelID], EdLevel[EducationLevel])</f>
        <v>No Formal Qualifications</v>
      </c>
      <c r="AA462">
        <f>IF(Employees[[#This Row],[Attrition]] = "Yes", 1, 0)</f>
        <v>0</v>
      </c>
      <c r="AB462" t="str" cm="1">
        <f t="array" ref="AB462">_xlfn.IFS(Employees[[#This Row],[Age]]&lt;30, "20-29", Employees[[#This Row],[Age]]&lt;40, "30-39", Employees[[#This Row],[Age]]&lt;50, "40-49", "TRUE", "50+")</f>
        <v>20-29</v>
      </c>
    </row>
    <row r="463" spans="1:28">
      <c r="A463" t="s">
        <v>1432</v>
      </c>
      <c r="B463" t="s">
        <v>1433</v>
      </c>
      <c r="C463" t="s">
        <v>1434</v>
      </c>
      <c r="D463" t="s">
        <v>26</v>
      </c>
      <c r="E463">
        <v>27</v>
      </c>
      <c r="F463" t="s">
        <v>27</v>
      </c>
      <c r="G463" t="s">
        <v>54</v>
      </c>
      <c r="H463">
        <v>42</v>
      </c>
      <c r="I463" t="s">
        <v>39</v>
      </c>
      <c r="J463" t="s">
        <v>30</v>
      </c>
      <c r="K463">
        <v>3</v>
      </c>
      <c r="L463" t="s">
        <v>55</v>
      </c>
      <c r="M463" t="s">
        <v>101</v>
      </c>
      <c r="N463" t="s">
        <v>49</v>
      </c>
      <c r="O463">
        <v>33606</v>
      </c>
      <c r="P463">
        <v>2</v>
      </c>
      <c r="Q463" t="s">
        <v>34</v>
      </c>
      <c r="R463" s="1">
        <v>42131</v>
      </c>
      <c r="S463" t="s">
        <v>34</v>
      </c>
      <c r="T463">
        <v>7</v>
      </c>
      <c r="U463">
        <v>0</v>
      </c>
      <c r="V463">
        <v>0</v>
      </c>
      <c r="W463">
        <v>2</v>
      </c>
      <c r="X463" t="s">
        <v>11022</v>
      </c>
      <c r="Y463" t="s">
        <v>11022</v>
      </c>
      <c r="Z463" t="str">
        <f>_xlfn.XLOOKUP(Employees[[#This Row],[Education]], EdLevel[EducationLevelID], EdLevel[EducationLevel])</f>
        <v xml:space="preserve">Bachelors </v>
      </c>
      <c r="AA463">
        <f>IF(Employees[[#This Row],[Attrition]] = "Yes", 1, 0)</f>
        <v>0</v>
      </c>
      <c r="AB463" t="str" cm="1">
        <f t="array" ref="AB463">_xlfn.IFS(Employees[[#This Row],[Age]]&lt;30, "20-29", Employees[[#This Row],[Age]]&lt;40, "30-39", Employees[[#This Row],[Age]]&lt;50, "40-49", "TRUE", "50+")</f>
        <v>20-29</v>
      </c>
    </row>
    <row r="464" spans="1:28">
      <c r="A464" t="s">
        <v>1435</v>
      </c>
      <c r="B464" t="s">
        <v>1436</v>
      </c>
      <c r="C464" t="s">
        <v>1437</v>
      </c>
      <c r="D464" t="s">
        <v>38</v>
      </c>
      <c r="E464">
        <v>25</v>
      </c>
      <c r="F464" t="s">
        <v>27</v>
      </c>
      <c r="G464" t="s">
        <v>28</v>
      </c>
      <c r="H464">
        <v>4</v>
      </c>
      <c r="I464" t="s">
        <v>39</v>
      </c>
      <c r="J464" t="s">
        <v>76</v>
      </c>
      <c r="K464">
        <v>2</v>
      </c>
      <c r="L464" t="s">
        <v>121</v>
      </c>
      <c r="M464" t="s">
        <v>32</v>
      </c>
      <c r="N464" t="s">
        <v>33</v>
      </c>
      <c r="O464">
        <v>57698</v>
      </c>
      <c r="P464">
        <v>2</v>
      </c>
      <c r="Q464" t="s">
        <v>41</v>
      </c>
      <c r="R464" s="1">
        <v>42135</v>
      </c>
      <c r="S464" t="s">
        <v>41</v>
      </c>
      <c r="T464">
        <v>6</v>
      </c>
      <c r="U464">
        <v>5</v>
      </c>
      <c r="V464">
        <v>6</v>
      </c>
      <c r="W464">
        <v>2</v>
      </c>
      <c r="X464" t="s">
        <v>11021</v>
      </c>
      <c r="Y464" t="s">
        <v>11021</v>
      </c>
      <c r="Z464" t="str">
        <f>_xlfn.XLOOKUP(Employees[[#This Row],[Education]], EdLevel[EducationLevelID], EdLevel[EducationLevel])</f>
        <v xml:space="preserve">High School </v>
      </c>
      <c r="AA464">
        <f>IF(Employees[[#This Row],[Attrition]] = "Yes", 1, 0)</f>
        <v>1</v>
      </c>
      <c r="AB464" t="str" cm="1">
        <f t="array" ref="AB464">_xlfn.IFS(Employees[[#This Row],[Age]]&lt;30, "20-29", Employees[[#This Row],[Age]]&lt;40, "30-39", Employees[[#This Row],[Age]]&lt;50, "40-49", "TRUE", "50+")</f>
        <v>20-29</v>
      </c>
    </row>
    <row r="465" spans="1:28">
      <c r="A465" t="s">
        <v>1438</v>
      </c>
      <c r="B465" t="s">
        <v>1439</v>
      </c>
      <c r="C465" t="s">
        <v>1440</v>
      </c>
      <c r="D465" t="s">
        <v>26</v>
      </c>
      <c r="E465">
        <v>25</v>
      </c>
      <c r="F465" t="s">
        <v>27</v>
      </c>
      <c r="G465" t="s">
        <v>54</v>
      </c>
      <c r="H465">
        <v>16</v>
      </c>
      <c r="I465" t="s">
        <v>39</v>
      </c>
      <c r="J465" t="s">
        <v>30</v>
      </c>
      <c r="K465">
        <v>5</v>
      </c>
      <c r="L465" t="s">
        <v>72</v>
      </c>
      <c r="M465" t="s">
        <v>101</v>
      </c>
      <c r="N465" t="s">
        <v>49</v>
      </c>
      <c r="O465">
        <v>28317</v>
      </c>
      <c r="P465">
        <v>0</v>
      </c>
      <c r="Q465" t="s">
        <v>41</v>
      </c>
      <c r="R465" s="1">
        <v>42137</v>
      </c>
      <c r="S465" t="s">
        <v>34</v>
      </c>
      <c r="T465">
        <v>7</v>
      </c>
      <c r="U465">
        <v>4</v>
      </c>
      <c r="V465">
        <v>6</v>
      </c>
      <c r="W465">
        <v>5</v>
      </c>
      <c r="X465" t="s">
        <v>11024</v>
      </c>
      <c r="Y465" t="s">
        <v>11024</v>
      </c>
      <c r="Z465" t="str">
        <f>_xlfn.XLOOKUP(Employees[[#This Row],[Education]], EdLevel[EducationLevelID], EdLevel[EducationLevel])</f>
        <v>Doctorate</v>
      </c>
      <c r="AA465">
        <f>IF(Employees[[#This Row],[Attrition]] = "Yes", 1, 0)</f>
        <v>0</v>
      </c>
      <c r="AB465" t="str" cm="1">
        <f t="array" ref="AB465">_xlfn.IFS(Employees[[#This Row],[Age]]&lt;30, "20-29", Employees[[#This Row],[Age]]&lt;40, "30-39", Employees[[#This Row],[Age]]&lt;50, "40-49", "TRUE", "50+")</f>
        <v>20-29</v>
      </c>
    </row>
    <row r="466" spans="1:28">
      <c r="A466" t="s">
        <v>1441</v>
      </c>
      <c r="B466" t="s">
        <v>1442</v>
      </c>
      <c r="C466" t="s">
        <v>1443</v>
      </c>
      <c r="D466" t="s">
        <v>26</v>
      </c>
      <c r="E466">
        <v>26</v>
      </c>
      <c r="F466" t="s">
        <v>27</v>
      </c>
      <c r="G466" t="s">
        <v>28</v>
      </c>
      <c r="H466">
        <v>17</v>
      </c>
      <c r="I466" t="s">
        <v>39</v>
      </c>
      <c r="J466" t="s">
        <v>46</v>
      </c>
      <c r="K466">
        <v>4</v>
      </c>
      <c r="L466" t="s">
        <v>47</v>
      </c>
      <c r="M466" t="s">
        <v>32</v>
      </c>
      <c r="N466" t="s">
        <v>40</v>
      </c>
      <c r="O466">
        <v>97811</v>
      </c>
      <c r="P466">
        <v>0</v>
      </c>
      <c r="Q466" t="s">
        <v>41</v>
      </c>
      <c r="R466" s="1">
        <v>42140</v>
      </c>
      <c r="S466" t="s">
        <v>34</v>
      </c>
      <c r="T466">
        <v>7</v>
      </c>
      <c r="U466">
        <v>3</v>
      </c>
      <c r="V466">
        <v>6</v>
      </c>
      <c r="W466">
        <v>4</v>
      </c>
      <c r="X466" t="s">
        <v>11023</v>
      </c>
      <c r="Y466" t="s">
        <v>11023</v>
      </c>
      <c r="Z466" t="str">
        <f>_xlfn.XLOOKUP(Employees[[#This Row],[Education]], EdLevel[EducationLevelID], EdLevel[EducationLevel])</f>
        <v xml:space="preserve">Masters </v>
      </c>
      <c r="AA466">
        <f>IF(Employees[[#This Row],[Attrition]] = "Yes", 1, 0)</f>
        <v>0</v>
      </c>
      <c r="AB466" t="str" cm="1">
        <f t="array" ref="AB466">_xlfn.IFS(Employees[[#This Row],[Age]]&lt;30, "20-29", Employees[[#This Row],[Age]]&lt;40, "30-39", Employees[[#This Row],[Age]]&lt;50, "40-49", "TRUE", "50+")</f>
        <v>20-29</v>
      </c>
    </row>
    <row r="467" spans="1:28">
      <c r="A467" t="s">
        <v>1444</v>
      </c>
      <c r="B467" t="s">
        <v>1445</v>
      </c>
      <c r="C467" t="s">
        <v>1446</v>
      </c>
      <c r="D467" t="s">
        <v>26</v>
      </c>
      <c r="E467">
        <v>25</v>
      </c>
      <c r="F467" t="s">
        <v>27</v>
      </c>
      <c r="G467" t="s">
        <v>54</v>
      </c>
      <c r="H467">
        <v>43</v>
      </c>
      <c r="I467" t="s">
        <v>39</v>
      </c>
      <c r="J467" t="s">
        <v>46</v>
      </c>
      <c r="K467">
        <v>1</v>
      </c>
      <c r="L467" t="s">
        <v>55</v>
      </c>
      <c r="M467" t="s">
        <v>56</v>
      </c>
      <c r="N467" t="s">
        <v>33</v>
      </c>
      <c r="O467">
        <v>190198</v>
      </c>
      <c r="P467">
        <v>2</v>
      </c>
      <c r="Q467" t="s">
        <v>34</v>
      </c>
      <c r="R467" s="1">
        <v>42142</v>
      </c>
      <c r="S467" t="s">
        <v>34</v>
      </c>
      <c r="T467">
        <v>7</v>
      </c>
      <c r="U467">
        <v>0</v>
      </c>
      <c r="V467">
        <v>2</v>
      </c>
      <c r="W467">
        <v>3</v>
      </c>
      <c r="X467" t="s">
        <v>11020</v>
      </c>
      <c r="Y467" t="s">
        <v>11020</v>
      </c>
      <c r="Z467" t="str">
        <f>_xlfn.XLOOKUP(Employees[[#This Row],[Education]], EdLevel[EducationLevelID], EdLevel[EducationLevel])</f>
        <v>No Formal Qualifications</v>
      </c>
      <c r="AA467">
        <f>IF(Employees[[#This Row],[Attrition]] = "Yes", 1, 0)</f>
        <v>0</v>
      </c>
      <c r="AB467" t="str" cm="1">
        <f t="array" ref="AB467">_xlfn.IFS(Employees[[#This Row],[Age]]&lt;30, "20-29", Employees[[#This Row],[Age]]&lt;40, "30-39", Employees[[#This Row],[Age]]&lt;50, "40-49", "TRUE", "50+")</f>
        <v>20-29</v>
      </c>
    </row>
    <row r="468" spans="1:28">
      <c r="A468" t="s">
        <v>1447</v>
      </c>
      <c r="B468" t="s">
        <v>1448</v>
      </c>
      <c r="C468" t="s">
        <v>1449</v>
      </c>
      <c r="D468" t="s">
        <v>38</v>
      </c>
      <c r="E468">
        <v>26</v>
      </c>
      <c r="F468" t="s">
        <v>27</v>
      </c>
      <c r="G468" t="s">
        <v>54</v>
      </c>
      <c r="H468">
        <v>4</v>
      </c>
      <c r="I468" t="s">
        <v>29</v>
      </c>
      <c r="J468" t="s">
        <v>30</v>
      </c>
      <c r="K468">
        <v>4</v>
      </c>
      <c r="L468" t="s">
        <v>55</v>
      </c>
      <c r="M468" t="s">
        <v>105</v>
      </c>
      <c r="N468" t="s">
        <v>40</v>
      </c>
      <c r="O468">
        <v>167509</v>
      </c>
      <c r="P468">
        <v>0</v>
      </c>
      <c r="Q468" t="s">
        <v>34</v>
      </c>
      <c r="R468" s="1">
        <v>42143</v>
      </c>
      <c r="S468" t="s">
        <v>34</v>
      </c>
      <c r="T468">
        <v>7</v>
      </c>
      <c r="U468">
        <v>6</v>
      </c>
      <c r="V468">
        <v>6</v>
      </c>
      <c r="W468">
        <v>0</v>
      </c>
      <c r="X468" t="s">
        <v>11023</v>
      </c>
      <c r="Y468" t="s">
        <v>11023</v>
      </c>
      <c r="Z468" t="str">
        <f>_xlfn.XLOOKUP(Employees[[#This Row],[Education]], EdLevel[EducationLevelID], EdLevel[EducationLevel])</f>
        <v xml:space="preserve">Masters </v>
      </c>
      <c r="AA468">
        <f>IF(Employees[[#This Row],[Attrition]] = "Yes", 1, 0)</f>
        <v>0</v>
      </c>
      <c r="AB468" t="str" cm="1">
        <f t="array" ref="AB468">_xlfn.IFS(Employees[[#This Row],[Age]]&lt;30, "20-29", Employees[[#This Row],[Age]]&lt;40, "30-39", Employees[[#This Row],[Age]]&lt;50, "40-49", "TRUE", "50+")</f>
        <v>20-29</v>
      </c>
    </row>
    <row r="469" spans="1:28">
      <c r="A469" t="s">
        <v>1450</v>
      </c>
      <c r="B469" t="s">
        <v>1451</v>
      </c>
      <c r="C469" t="s">
        <v>1452</v>
      </c>
      <c r="D469" t="s">
        <v>26</v>
      </c>
      <c r="E469">
        <v>25</v>
      </c>
      <c r="F469" t="s">
        <v>27</v>
      </c>
      <c r="G469" t="s">
        <v>54</v>
      </c>
      <c r="H469">
        <v>5</v>
      </c>
      <c r="I469" t="s">
        <v>65</v>
      </c>
      <c r="J469" t="s">
        <v>76</v>
      </c>
      <c r="K469">
        <v>3</v>
      </c>
      <c r="L469" t="s">
        <v>55</v>
      </c>
      <c r="M469" t="s">
        <v>93</v>
      </c>
      <c r="N469" t="s">
        <v>33</v>
      </c>
      <c r="O469">
        <v>44082</v>
      </c>
      <c r="P469">
        <v>1</v>
      </c>
      <c r="Q469" t="s">
        <v>34</v>
      </c>
      <c r="R469" s="1">
        <v>42148</v>
      </c>
      <c r="S469" t="s">
        <v>34</v>
      </c>
      <c r="T469">
        <v>7</v>
      </c>
      <c r="U469">
        <v>3</v>
      </c>
      <c r="V469">
        <v>4</v>
      </c>
      <c r="W469">
        <v>2</v>
      </c>
      <c r="X469" t="s">
        <v>11022</v>
      </c>
      <c r="Y469" t="s">
        <v>11022</v>
      </c>
      <c r="Z469" t="str">
        <f>_xlfn.XLOOKUP(Employees[[#This Row],[Education]], EdLevel[EducationLevelID], EdLevel[EducationLevel])</f>
        <v xml:space="preserve">Bachelors </v>
      </c>
      <c r="AA469">
        <f>IF(Employees[[#This Row],[Attrition]] = "Yes", 1, 0)</f>
        <v>0</v>
      </c>
      <c r="AB469" t="str" cm="1">
        <f t="array" ref="AB469">_xlfn.IFS(Employees[[#This Row],[Age]]&lt;30, "20-29", Employees[[#This Row],[Age]]&lt;40, "30-39", Employees[[#This Row],[Age]]&lt;50, "40-49", "TRUE", "50+")</f>
        <v>20-29</v>
      </c>
    </row>
    <row r="470" spans="1:28">
      <c r="A470" t="s">
        <v>1453</v>
      </c>
      <c r="B470" t="s">
        <v>1454</v>
      </c>
      <c r="C470" t="s">
        <v>1455</v>
      </c>
      <c r="D470" t="s">
        <v>26</v>
      </c>
      <c r="E470">
        <v>26</v>
      </c>
      <c r="F470" t="s">
        <v>84</v>
      </c>
      <c r="G470" t="s">
        <v>54</v>
      </c>
      <c r="H470">
        <v>17</v>
      </c>
      <c r="I470" t="s">
        <v>39</v>
      </c>
      <c r="J470" t="s">
        <v>30</v>
      </c>
      <c r="K470">
        <v>2</v>
      </c>
      <c r="L470" t="s">
        <v>72</v>
      </c>
      <c r="M470" t="s">
        <v>105</v>
      </c>
      <c r="N470" t="s">
        <v>49</v>
      </c>
      <c r="O470">
        <v>59981</v>
      </c>
      <c r="P470">
        <v>1</v>
      </c>
      <c r="Q470" t="s">
        <v>41</v>
      </c>
      <c r="R470" s="1">
        <v>42149</v>
      </c>
      <c r="S470" t="s">
        <v>34</v>
      </c>
      <c r="T470">
        <v>7</v>
      </c>
      <c r="U470">
        <v>1</v>
      </c>
      <c r="V470">
        <v>5</v>
      </c>
      <c r="W470">
        <v>2</v>
      </c>
      <c r="X470" t="s">
        <v>11021</v>
      </c>
      <c r="Y470" t="s">
        <v>11021</v>
      </c>
      <c r="Z470" t="str">
        <f>_xlfn.XLOOKUP(Employees[[#This Row],[Education]], EdLevel[EducationLevelID], EdLevel[EducationLevel])</f>
        <v xml:space="preserve">High School </v>
      </c>
      <c r="AA470">
        <f>IF(Employees[[#This Row],[Attrition]] = "Yes", 1, 0)</f>
        <v>0</v>
      </c>
      <c r="AB470" t="str" cm="1">
        <f t="array" ref="AB470">_xlfn.IFS(Employees[[#This Row],[Age]]&lt;30, "20-29", Employees[[#This Row],[Age]]&lt;40, "30-39", Employees[[#This Row],[Age]]&lt;50, "40-49", "TRUE", "50+")</f>
        <v>20-29</v>
      </c>
    </row>
    <row r="471" spans="1:28">
      <c r="A471" t="s">
        <v>1456</v>
      </c>
      <c r="B471" t="s">
        <v>1457</v>
      </c>
      <c r="C471" t="s">
        <v>1458</v>
      </c>
      <c r="D471" t="s">
        <v>38</v>
      </c>
      <c r="E471">
        <v>28</v>
      </c>
      <c r="F471" t="s">
        <v>27</v>
      </c>
      <c r="G471" t="s">
        <v>54</v>
      </c>
      <c r="H471">
        <v>38</v>
      </c>
      <c r="I471" t="s">
        <v>29</v>
      </c>
      <c r="J471" t="s">
        <v>30</v>
      </c>
      <c r="K471">
        <v>3</v>
      </c>
      <c r="L471" t="s">
        <v>72</v>
      </c>
      <c r="M471" t="s">
        <v>105</v>
      </c>
      <c r="N471" t="s">
        <v>49</v>
      </c>
      <c r="O471">
        <v>194982</v>
      </c>
      <c r="P471">
        <v>1</v>
      </c>
      <c r="Q471" t="s">
        <v>34</v>
      </c>
      <c r="R471" s="1">
        <v>42149</v>
      </c>
      <c r="S471" t="s">
        <v>34</v>
      </c>
      <c r="T471">
        <v>7</v>
      </c>
      <c r="U471">
        <v>2</v>
      </c>
      <c r="V471">
        <v>7</v>
      </c>
      <c r="W471">
        <v>2</v>
      </c>
      <c r="X471" t="s">
        <v>11022</v>
      </c>
      <c r="Y471" t="s">
        <v>11022</v>
      </c>
      <c r="Z471" t="str">
        <f>_xlfn.XLOOKUP(Employees[[#This Row],[Education]], EdLevel[EducationLevelID], EdLevel[EducationLevel])</f>
        <v xml:space="preserve">Bachelors </v>
      </c>
      <c r="AA471">
        <f>IF(Employees[[#This Row],[Attrition]] = "Yes", 1, 0)</f>
        <v>0</v>
      </c>
      <c r="AB471" t="str" cm="1">
        <f t="array" ref="AB471">_xlfn.IFS(Employees[[#This Row],[Age]]&lt;30, "20-29", Employees[[#This Row],[Age]]&lt;40, "30-39", Employees[[#This Row],[Age]]&lt;50, "40-49", "TRUE", "50+")</f>
        <v>20-29</v>
      </c>
    </row>
    <row r="472" spans="1:28">
      <c r="A472" t="s">
        <v>1459</v>
      </c>
      <c r="B472" t="s">
        <v>1460</v>
      </c>
      <c r="C472" t="s">
        <v>1461</v>
      </c>
      <c r="D472" t="s">
        <v>26</v>
      </c>
      <c r="E472">
        <v>27</v>
      </c>
      <c r="F472" t="s">
        <v>27</v>
      </c>
      <c r="G472" t="s">
        <v>54</v>
      </c>
      <c r="H472">
        <v>9</v>
      </c>
      <c r="I472" t="s">
        <v>39</v>
      </c>
      <c r="J472" t="s">
        <v>30</v>
      </c>
      <c r="K472">
        <v>2</v>
      </c>
      <c r="L472" t="s">
        <v>55</v>
      </c>
      <c r="M472" t="s">
        <v>182</v>
      </c>
      <c r="N472" t="s">
        <v>49</v>
      </c>
      <c r="O472">
        <v>252301</v>
      </c>
      <c r="P472">
        <v>1</v>
      </c>
      <c r="Q472" t="s">
        <v>34</v>
      </c>
      <c r="R472" s="1">
        <v>42154</v>
      </c>
      <c r="S472" t="s">
        <v>34</v>
      </c>
      <c r="T472">
        <v>7</v>
      </c>
      <c r="U472">
        <v>1</v>
      </c>
      <c r="V472">
        <v>6</v>
      </c>
      <c r="W472">
        <v>5</v>
      </c>
      <c r="X472" t="s">
        <v>11021</v>
      </c>
      <c r="Y472" t="s">
        <v>11021</v>
      </c>
      <c r="Z472" t="str">
        <f>_xlfn.XLOOKUP(Employees[[#This Row],[Education]], EdLevel[EducationLevelID], EdLevel[EducationLevel])</f>
        <v xml:space="preserve">High School </v>
      </c>
      <c r="AA472">
        <f>IF(Employees[[#This Row],[Attrition]] = "Yes", 1, 0)</f>
        <v>0</v>
      </c>
      <c r="AB472" t="str" cm="1">
        <f t="array" ref="AB472">_xlfn.IFS(Employees[[#This Row],[Age]]&lt;30, "20-29", Employees[[#This Row],[Age]]&lt;40, "30-39", Employees[[#This Row],[Age]]&lt;50, "40-49", "TRUE", "50+")</f>
        <v>20-29</v>
      </c>
    </row>
    <row r="473" spans="1:28">
      <c r="A473" t="s">
        <v>1462</v>
      </c>
      <c r="B473" t="s">
        <v>1463</v>
      </c>
      <c r="C473" t="s">
        <v>1464</v>
      </c>
      <c r="D473" t="s">
        <v>26</v>
      </c>
      <c r="E473">
        <v>25</v>
      </c>
      <c r="F473" t="s">
        <v>27</v>
      </c>
      <c r="G473" t="s">
        <v>45</v>
      </c>
      <c r="H473">
        <v>22</v>
      </c>
      <c r="I473" t="s">
        <v>65</v>
      </c>
      <c r="J473" t="s">
        <v>71</v>
      </c>
      <c r="K473">
        <v>2</v>
      </c>
      <c r="L473" t="s">
        <v>121</v>
      </c>
      <c r="M473" t="s">
        <v>207</v>
      </c>
      <c r="N473" t="s">
        <v>33</v>
      </c>
      <c r="O473">
        <v>49131</v>
      </c>
      <c r="P473">
        <v>1</v>
      </c>
      <c r="Q473" t="s">
        <v>34</v>
      </c>
      <c r="R473" s="1">
        <v>42154</v>
      </c>
      <c r="S473" t="s">
        <v>34</v>
      </c>
      <c r="T473">
        <v>7</v>
      </c>
      <c r="U473">
        <v>2</v>
      </c>
      <c r="V473">
        <v>6</v>
      </c>
      <c r="W473">
        <v>2</v>
      </c>
      <c r="X473" t="s">
        <v>11021</v>
      </c>
      <c r="Y473" t="s">
        <v>11021</v>
      </c>
      <c r="Z473" t="str">
        <f>_xlfn.XLOOKUP(Employees[[#This Row],[Education]], EdLevel[EducationLevelID], EdLevel[EducationLevel])</f>
        <v xml:space="preserve">High School </v>
      </c>
      <c r="AA473">
        <f>IF(Employees[[#This Row],[Attrition]] = "Yes", 1, 0)</f>
        <v>0</v>
      </c>
      <c r="AB473" t="str" cm="1">
        <f t="array" ref="AB473">_xlfn.IFS(Employees[[#This Row],[Age]]&lt;30, "20-29", Employees[[#This Row],[Age]]&lt;40, "30-39", Employees[[#This Row],[Age]]&lt;50, "40-49", "TRUE", "50+")</f>
        <v>20-29</v>
      </c>
    </row>
    <row r="474" spans="1:28">
      <c r="A474" t="s">
        <v>1465</v>
      </c>
      <c r="B474" t="s">
        <v>1466</v>
      </c>
      <c r="C474" t="s">
        <v>1467</v>
      </c>
      <c r="D474" t="s">
        <v>859</v>
      </c>
      <c r="E474">
        <v>26</v>
      </c>
      <c r="F474" t="s">
        <v>27</v>
      </c>
      <c r="G474" t="s">
        <v>54</v>
      </c>
      <c r="H474">
        <v>16</v>
      </c>
      <c r="I474" t="s">
        <v>39</v>
      </c>
      <c r="J474" t="s">
        <v>30</v>
      </c>
      <c r="K474">
        <v>4</v>
      </c>
      <c r="L474" t="s">
        <v>77</v>
      </c>
      <c r="M474" t="s">
        <v>101</v>
      </c>
      <c r="N474" t="s">
        <v>40</v>
      </c>
      <c r="O474">
        <v>60834</v>
      </c>
      <c r="P474">
        <v>0</v>
      </c>
      <c r="Q474" t="s">
        <v>34</v>
      </c>
      <c r="R474" s="1">
        <v>42156</v>
      </c>
      <c r="S474" t="s">
        <v>34</v>
      </c>
      <c r="T474">
        <v>7</v>
      </c>
      <c r="U474">
        <v>0</v>
      </c>
      <c r="V474">
        <v>0</v>
      </c>
      <c r="W474">
        <v>5</v>
      </c>
      <c r="X474" t="s">
        <v>11023</v>
      </c>
      <c r="Y474" t="s">
        <v>11023</v>
      </c>
      <c r="Z474" t="str">
        <f>_xlfn.XLOOKUP(Employees[[#This Row],[Education]], EdLevel[EducationLevelID], EdLevel[EducationLevel])</f>
        <v xml:space="preserve">Masters </v>
      </c>
      <c r="AA474">
        <f>IF(Employees[[#This Row],[Attrition]] = "Yes", 1, 0)</f>
        <v>0</v>
      </c>
      <c r="AB474" t="str" cm="1">
        <f t="array" ref="AB474">_xlfn.IFS(Employees[[#This Row],[Age]]&lt;30, "20-29", Employees[[#This Row],[Age]]&lt;40, "30-39", Employees[[#This Row],[Age]]&lt;50, "40-49", "TRUE", "50+")</f>
        <v>20-29</v>
      </c>
    </row>
    <row r="475" spans="1:28">
      <c r="A475" t="s">
        <v>1468</v>
      </c>
      <c r="B475" t="s">
        <v>1469</v>
      </c>
      <c r="C475" t="s">
        <v>1470</v>
      </c>
      <c r="D475" t="s">
        <v>26</v>
      </c>
      <c r="E475">
        <v>28</v>
      </c>
      <c r="F475" t="s">
        <v>84</v>
      </c>
      <c r="G475" t="s">
        <v>54</v>
      </c>
      <c r="H475">
        <v>20</v>
      </c>
      <c r="I475" t="s">
        <v>39</v>
      </c>
      <c r="J475" t="s">
        <v>71</v>
      </c>
      <c r="K475">
        <v>1</v>
      </c>
      <c r="L475" t="s">
        <v>55</v>
      </c>
      <c r="M475" t="s">
        <v>85</v>
      </c>
      <c r="N475" t="s">
        <v>49</v>
      </c>
      <c r="O475">
        <v>62016</v>
      </c>
      <c r="P475">
        <v>3</v>
      </c>
      <c r="Q475" t="s">
        <v>34</v>
      </c>
      <c r="R475" s="1">
        <v>42157</v>
      </c>
      <c r="S475" t="s">
        <v>34</v>
      </c>
      <c r="T475">
        <v>7</v>
      </c>
      <c r="U475">
        <v>6</v>
      </c>
      <c r="V475">
        <v>6</v>
      </c>
      <c r="W475">
        <v>4</v>
      </c>
      <c r="X475" t="s">
        <v>11020</v>
      </c>
      <c r="Y475" t="s">
        <v>11020</v>
      </c>
      <c r="Z475" t="str">
        <f>_xlfn.XLOOKUP(Employees[[#This Row],[Education]], EdLevel[EducationLevelID], EdLevel[EducationLevel])</f>
        <v>No Formal Qualifications</v>
      </c>
      <c r="AA475">
        <f>IF(Employees[[#This Row],[Attrition]] = "Yes", 1, 0)</f>
        <v>0</v>
      </c>
      <c r="AB475" t="str" cm="1">
        <f t="array" ref="AB475">_xlfn.IFS(Employees[[#This Row],[Age]]&lt;30, "20-29", Employees[[#This Row],[Age]]&lt;40, "30-39", Employees[[#This Row],[Age]]&lt;50, "40-49", "TRUE", "50+")</f>
        <v>20-29</v>
      </c>
    </row>
    <row r="476" spans="1:28">
      <c r="A476" t="s">
        <v>1471</v>
      </c>
      <c r="B476" t="s">
        <v>1472</v>
      </c>
      <c r="C476" t="s">
        <v>1473</v>
      </c>
      <c r="D476" t="s">
        <v>53</v>
      </c>
      <c r="E476">
        <v>28</v>
      </c>
      <c r="F476" t="s">
        <v>27</v>
      </c>
      <c r="G476" t="s">
        <v>54</v>
      </c>
      <c r="H476">
        <v>5</v>
      </c>
      <c r="I476" t="s">
        <v>39</v>
      </c>
      <c r="J476" t="s">
        <v>30</v>
      </c>
      <c r="K476">
        <v>3</v>
      </c>
      <c r="L476" t="s">
        <v>72</v>
      </c>
      <c r="M476" t="s">
        <v>93</v>
      </c>
      <c r="N476" t="s">
        <v>49</v>
      </c>
      <c r="O476">
        <v>140377</v>
      </c>
      <c r="P476">
        <v>1</v>
      </c>
      <c r="Q476" t="s">
        <v>41</v>
      </c>
      <c r="R476" s="1">
        <v>42157</v>
      </c>
      <c r="S476" t="s">
        <v>34</v>
      </c>
      <c r="T476">
        <v>7</v>
      </c>
      <c r="U476">
        <v>2</v>
      </c>
      <c r="V476">
        <v>7</v>
      </c>
      <c r="W476">
        <v>5</v>
      </c>
      <c r="X476" t="s">
        <v>11022</v>
      </c>
      <c r="Y476" t="s">
        <v>11022</v>
      </c>
      <c r="Z476" t="str">
        <f>_xlfn.XLOOKUP(Employees[[#This Row],[Education]], EdLevel[EducationLevelID], EdLevel[EducationLevel])</f>
        <v xml:space="preserve">Bachelors </v>
      </c>
      <c r="AA476">
        <f>IF(Employees[[#This Row],[Attrition]] = "Yes", 1, 0)</f>
        <v>0</v>
      </c>
      <c r="AB476" t="str" cm="1">
        <f t="array" ref="AB476">_xlfn.IFS(Employees[[#This Row],[Age]]&lt;30, "20-29", Employees[[#This Row],[Age]]&lt;40, "30-39", Employees[[#This Row],[Age]]&lt;50, "40-49", "TRUE", "50+")</f>
        <v>20-29</v>
      </c>
    </row>
    <row r="477" spans="1:28">
      <c r="A477" t="s">
        <v>1474</v>
      </c>
      <c r="B477" t="s">
        <v>1304</v>
      </c>
      <c r="C477" t="s">
        <v>1475</v>
      </c>
      <c r="D477" t="s">
        <v>53</v>
      </c>
      <c r="E477">
        <v>27</v>
      </c>
      <c r="F477" t="s">
        <v>27</v>
      </c>
      <c r="G477" t="s">
        <v>54</v>
      </c>
      <c r="H477">
        <v>20</v>
      </c>
      <c r="I477" t="s">
        <v>39</v>
      </c>
      <c r="J477" t="s">
        <v>30</v>
      </c>
      <c r="K477">
        <v>1</v>
      </c>
      <c r="L477" t="s">
        <v>178</v>
      </c>
      <c r="M477" t="s">
        <v>101</v>
      </c>
      <c r="N477" t="s">
        <v>40</v>
      </c>
      <c r="O477">
        <v>22986</v>
      </c>
      <c r="P477">
        <v>0</v>
      </c>
      <c r="Q477" t="s">
        <v>41</v>
      </c>
      <c r="R477" s="1">
        <v>42157</v>
      </c>
      <c r="S477" t="s">
        <v>34</v>
      </c>
      <c r="T477">
        <v>7</v>
      </c>
      <c r="U477">
        <v>6</v>
      </c>
      <c r="V477">
        <v>7</v>
      </c>
      <c r="W477">
        <v>0</v>
      </c>
      <c r="X477" t="s">
        <v>11020</v>
      </c>
      <c r="Y477" t="s">
        <v>11020</v>
      </c>
      <c r="Z477" t="str">
        <f>_xlfn.XLOOKUP(Employees[[#This Row],[Education]], EdLevel[EducationLevelID], EdLevel[EducationLevel])</f>
        <v>No Formal Qualifications</v>
      </c>
      <c r="AA477">
        <f>IF(Employees[[#This Row],[Attrition]] = "Yes", 1, 0)</f>
        <v>0</v>
      </c>
      <c r="AB477" t="str" cm="1">
        <f t="array" ref="AB477">_xlfn.IFS(Employees[[#This Row],[Age]]&lt;30, "20-29", Employees[[#This Row],[Age]]&lt;40, "30-39", Employees[[#This Row],[Age]]&lt;50, "40-49", "TRUE", "50+")</f>
        <v>20-29</v>
      </c>
    </row>
    <row r="478" spans="1:28">
      <c r="A478" t="s">
        <v>1476</v>
      </c>
      <c r="B478" t="s">
        <v>1477</v>
      </c>
      <c r="C478" t="s">
        <v>1478</v>
      </c>
      <c r="D478" t="s">
        <v>38</v>
      </c>
      <c r="E478">
        <v>28</v>
      </c>
      <c r="F478" t="s">
        <v>27</v>
      </c>
      <c r="G478" t="s">
        <v>54</v>
      </c>
      <c r="H478">
        <v>39</v>
      </c>
      <c r="I478" t="s">
        <v>65</v>
      </c>
      <c r="J478" t="s">
        <v>71</v>
      </c>
      <c r="K478">
        <v>5</v>
      </c>
      <c r="L478" t="s">
        <v>55</v>
      </c>
      <c r="M478" t="s">
        <v>101</v>
      </c>
      <c r="N478" t="s">
        <v>40</v>
      </c>
      <c r="O478">
        <v>81906</v>
      </c>
      <c r="P478">
        <v>0</v>
      </c>
      <c r="Q478" t="s">
        <v>34</v>
      </c>
      <c r="R478" s="1">
        <v>42159</v>
      </c>
      <c r="S478" t="s">
        <v>34</v>
      </c>
      <c r="T478">
        <v>7</v>
      </c>
      <c r="U478">
        <v>4</v>
      </c>
      <c r="V478">
        <v>4</v>
      </c>
      <c r="W478">
        <v>1</v>
      </c>
      <c r="X478" t="s">
        <v>11024</v>
      </c>
      <c r="Y478" t="s">
        <v>11024</v>
      </c>
      <c r="Z478" t="str">
        <f>_xlfn.XLOOKUP(Employees[[#This Row],[Education]], EdLevel[EducationLevelID], EdLevel[EducationLevel])</f>
        <v>Doctorate</v>
      </c>
      <c r="AA478">
        <f>IF(Employees[[#This Row],[Attrition]] = "Yes", 1, 0)</f>
        <v>0</v>
      </c>
      <c r="AB478" t="str" cm="1">
        <f t="array" ref="AB478">_xlfn.IFS(Employees[[#This Row],[Age]]&lt;30, "20-29", Employees[[#This Row],[Age]]&lt;40, "30-39", Employees[[#This Row],[Age]]&lt;50, "40-49", "TRUE", "50+")</f>
        <v>20-29</v>
      </c>
    </row>
    <row r="479" spans="1:28">
      <c r="A479" t="s">
        <v>1479</v>
      </c>
      <c r="B479" t="s">
        <v>1480</v>
      </c>
      <c r="C479" t="s">
        <v>1481</v>
      </c>
      <c r="D479" t="s">
        <v>26</v>
      </c>
      <c r="E479">
        <v>27</v>
      </c>
      <c r="F479" t="s">
        <v>27</v>
      </c>
      <c r="G479" t="s">
        <v>45</v>
      </c>
      <c r="H479">
        <v>40</v>
      </c>
      <c r="I479" t="s">
        <v>39</v>
      </c>
      <c r="J479" t="s">
        <v>30</v>
      </c>
      <c r="K479">
        <v>3</v>
      </c>
      <c r="L479" t="s">
        <v>45</v>
      </c>
      <c r="M479" t="s">
        <v>61</v>
      </c>
      <c r="N479" t="s">
        <v>49</v>
      </c>
      <c r="O479">
        <v>34320</v>
      </c>
      <c r="P479">
        <v>1</v>
      </c>
      <c r="Q479" t="s">
        <v>34</v>
      </c>
      <c r="R479" s="1">
        <v>42162</v>
      </c>
      <c r="S479" t="s">
        <v>34</v>
      </c>
      <c r="T479">
        <v>7</v>
      </c>
      <c r="U479">
        <v>5</v>
      </c>
      <c r="V479">
        <v>6</v>
      </c>
      <c r="W479">
        <v>5</v>
      </c>
      <c r="X479" t="s">
        <v>11022</v>
      </c>
      <c r="Y479" t="s">
        <v>11022</v>
      </c>
      <c r="Z479" t="str">
        <f>_xlfn.XLOOKUP(Employees[[#This Row],[Education]], EdLevel[EducationLevelID], EdLevel[EducationLevel])</f>
        <v xml:space="preserve">Bachelors </v>
      </c>
      <c r="AA479">
        <f>IF(Employees[[#This Row],[Attrition]] = "Yes", 1, 0)</f>
        <v>0</v>
      </c>
      <c r="AB479" t="str" cm="1">
        <f t="array" ref="AB479">_xlfn.IFS(Employees[[#This Row],[Age]]&lt;30, "20-29", Employees[[#This Row],[Age]]&lt;40, "30-39", Employees[[#This Row],[Age]]&lt;50, "40-49", "TRUE", "50+")</f>
        <v>20-29</v>
      </c>
    </row>
    <row r="480" spans="1:28">
      <c r="A480" t="s">
        <v>1482</v>
      </c>
      <c r="B480" t="s">
        <v>1483</v>
      </c>
      <c r="C480" t="s">
        <v>1484</v>
      </c>
      <c r="D480" t="s">
        <v>38</v>
      </c>
      <c r="E480">
        <v>25</v>
      </c>
      <c r="F480" t="s">
        <v>27</v>
      </c>
      <c r="G480" t="s">
        <v>54</v>
      </c>
      <c r="H480">
        <v>10</v>
      </c>
      <c r="I480" t="s">
        <v>39</v>
      </c>
      <c r="J480" t="s">
        <v>30</v>
      </c>
      <c r="K480">
        <v>3</v>
      </c>
      <c r="L480" t="s">
        <v>178</v>
      </c>
      <c r="M480" t="s">
        <v>93</v>
      </c>
      <c r="N480" t="s">
        <v>49</v>
      </c>
      <c r="O480">
        <v>145905</v>
      </c>
      <c r="P480">
        <v>2</v>
      </c>
      <c r="Q480" t="s">
        <v>41</v>
      </c>
      <c r="R480" s="1">
        <v>42162</v>
      </c>
      <c r="S480" t="s">
        <v>34</v>
      </c>
      <c r="T480">
        <v>7</v>
      </c>
      <c r="U480">
        <v>3</v>
      </c>
      <c r="V480">
        <v>3</v>
      </c>
      <c r="W480">
        <v>2</v>
      </c>
      <c r="X480" t="s">
        <v>11022</v>
      </c>
      <c r="Y480" t="s">
        <v>11022</v>
      </c>
      <c r="Z480" t="str">
        <f>_xlfn.XLOOKUP(Employees[[#This Row],[Education]], EdLevel[EducationLevelID], EdLevel[EducationLevel])</f>
        <v xml:space="preserve">Bachelors </v>
      </c>
      <c r="AA480">
        <f>IF(Employees[[#This Row],[Attrition]] = "Yes", 1, 0)</f>
        <v>0</v>
      </c>
      <c r="AB480" t="str" cm="1">
        <f t="array" ref="AB480">_xlfn.IFS(Employees[[#This Row],[Age]]&lt;30, "20-29", Employees[[#This Row],[Age]]&lt;40, "30-39", Employees[[#This Row],[Age]]&lt;50, "40-49", "TRUE", "50+")</f>
        <v>20-29</v>
      </c>
    </row>
    <row r="481" spans="1:28">
      <c r="A481" t="s">
        <v>1485</v>
      </c>
      <c r="B481" t="s">
        <v>1486</v>
      </c>
      <c r="C481" t="s">
        <v>1487</v>
      </c>
      <c r="D481" t="s">
        <v>26</v>
      </c>
      <c r="E481">
        <v>26</v>
      </c>
      <c r="F481" t="s">
        <v>70</v>
      </c>
      <c r="G481" t="s">
        <v>54</v>
      </c>
      <c r="H481">
        <v>20</v>
      </c>
      <c r="I481" t="s">
        <v>65</v>
      </c>
      <c r="J481" t="s">
        <v>66</v>
      </c>
      <c r="K481">
        <v>3</v>
      </c>
      <c r="L481" t="s">
        <v>178</v>
      </c>
      <c r="M481" t="s">
        <v>101</v>
      </c>
      <c r="N481" t="s">
        <v>33</v>
      </c>
      <c r="O481">
        <v>28751</v>
      </c>
      <c r="P481">
        <v>2</v>
      </c>
      <c r="Q481" t="s">
        <v>34</v>
      </c>
      <c r="R481" s="1">
        <v>42170</v>
      </c>
      <c r="S481" t="s">
        <v>34</v>
      </c>
      <c r="T481">
        <v>7</v>
      </c>
      <c r="U481">
        <v>6</v>
      </c>
      <c r="V481">
        <v>6</v>
      </c>
      <c r="W481">
        <v>2</v>
      </c>
      <c r="X481" t="s">
        <v>11022</v>
      </c>
      <c r="Y481" t="s">
        <v>11022</v>
      </c>
      <c r="Z481" t="str">
        <f>_xlfn.XLOOKUP(Employees[[#This Row],[Education]], EdLevel[EducationLevelID], EdLevel[EducationLevel])</f>
        <v xml:space="preserve">Bachelors </v>
      </c>
      <c r="AA481">
        <f>IF(Employees[[#This Row],[Attrition]] = "Yes", 1, 0)</f>
        <v>0</v>
      </c>
      <c r="AB481" t="str" cm="1">
        <f t="array" ref="AB481">_xlfn.IFS(Employees[[#This Row],[Age]]&lt;30, "20-29", Employees[[#This Row],[Age]]&lt;40, "30-39", Employees[[#This Row],[Age]]&lt;50, "40-49", "TRUE", "50+")</f>
        <v>20-29</v>
      </c>
    </row>
    <row r="482" spans="1:28">
      <c r="A482" t="s">
        <v>1488</v>
      </c>
      <c r="B482" t="s">
        <v>1489</v>
      </c>
      <c r="C482" t="s">
        <v>1490</v>
      </c>
      <c r="D482" t="s">
        <v>26</v>
      </c>
      <c r="E482">
        <v>27</v>
      </c>
      <c r="F482" t="s">
        <v>27</v>
      </c>
      <c r="G482" t="s">
        <v>54</v>
      </c>
      <c r="H482">
        <v>13</v>
      </c>
      <c r="I482" t="s">
        <v>65</v>
      </c>
      <c r="J482" t="s">
        <v>46</v>
      </c>
      <c r="K482">
        <v>4</v>
      </c>
      <c r="L482" t="s">
        <v>55</v>
      </c>
      <c r="M482" t="s">
        <v>93</v>
      </c>
      <c r="N482" t="s">
        <v>49</v>
      </c>
      <c r="O482">
        <v>77039</v>
      </c>
      <c r="P482">
        <v>1</v>
      </c>
      <c r="Q482" t="s">
        <v>34</v>
      </c>
      <c r="R482" s="1">
        <v>42173</v>
      </c>
      <c r="S482" t="s">
        <v>34</v>
      </c>
      <c r="T482">
        <v>7</v>
      </c>
      <c r="U482">
        <v>3</v>
      </c>
      <c r="V482">
        <v>6</v>
      </c>
      <c r="W482">
        <v>0</v>
      </c>
      <c r="X482" t="s">
        <v>11023</v>
      </c>
      <c r="Y482" t="s">
        <v>11023</v>
      </c>
      <c r="Z482" t="str">
        <f>_xlfn.XLOOKUP(Employees[[#This Row],[Education]], EdLevel[EducationLevelID], EdLevel[EducationLevel])</f>
        <v xml:space="preserve">Masters </v>
      </c>
      <c r="AA482">
        <f>IF(Employees[[#This Row],[Attrition]] = "Yes", 1, 0)</f>
        <v>0</v>
      </c>
      <c r="AB482" t="str" cm="1">
        <f t="array" ref="AB482">_xlfn.IFS(Employees[[#This Row],[Age]]&lt;30, "20-29", Employees[[#This Row],[Age]]&lt;40, "30-39", Employees[[#This Row],[Age]]&lt;50, "40-49", "TRUE", "50+")</f>
        <v>20-29</v>
      </c>
    </row>
    <row r="483" spans="1:28">
      <c r="A483" t="s">
        <v>1491</v>
      </c>
      <c r="B483" t="s">
        <v>1492</v>
      </c>
      <c r="C483" t="s">
        <v>1493</v>
      </c>
      <c r="D483" t="s">
        <v>26</v>
      </c>
      <c r="E483">
        <v>26</v>
      </c>
      <c r="F483" t="s">
        <v>27</v>
      </c>
      <c r="G483" t="s">
        <v>54</v>
      </c>
      <c r="H483">
        <v>22</v>
      </c>
      <c r="I483" t="s">
        <v>39</v>
      </c>
      <c r="J483" t="s">
        <v>66</v>
      </c>
      <c r="K483">
        <v>3</v>
      </c>
      <c r="L483" t="s">
        <v>178</v>
      </c>
      <c r="M483" t="s">
        <v>56</v>
      </c>
      <c r="N483" t="s">
        <v>49</v>
      </c>
      <c r="O483">
        <v>206137</v>
      </c>
      <c r="P483">
        <v>1</v>
      </c>
      <c r="Q483" t="s">
        <v>34</v>
      </c>
      <c r="R483" s="1">
        <v>42182</v>
      </c>
      <c r="S483" t="s">
        <v>34</v>
      </c>
      <c r="T483">
        <v>7</v>
      </c>
      <c r="U483">
        <v>1</v>
      </c>
      <c r="V483">
        <v>1</v>
      </c>
      <c r="W483">
        <v>5</v>
      </c>
      <c r="X483" t="s">
        <v>11022</v>
      </c>
      <c r="Y483" t="s">
        <v>11022</v>
      </c>
      <c r="Z483" t="str">
        <f>_xlfn.XLOOKUP(Employees[[#This Row],[Education]], EdLevel[EducationLevelID], EdLevel[EducationLevel])</f>
        <v xml:space="preserve">Bachelors </v>
      </c>
      <c r="AA483">
        <f>IF(Employees[[#This Row],[Attrition]] = "Yes", 1, 0)</f>
        <v>0</v>
      </c>
      <c r="AB483" t="str" cm="1">
        <f t="array" ref="AB483">_xlfn.IFS(Employees[[#This Row],[Age]]&lt;30, "20-29", Employees[[#This Row],[Age]]&lt;40, "30-39", Employees[[#This Row],[Age]]&lt;50, "40-49", "TRUE", "50+")</f>
        <v>20-29</v>
      </c>
    </row>
    <row r="484" spans="1:28">
      <c r="A484" t="s">
        <v>1494</v>
      </c>
      <c r="B484" t="s">
        <v>1495</v>
      </c>
      <c r="C484" t="s">
        <v>1496</v>
      </c>
      <c r="D484" t="s">
        <v>38</v>
      </c>
      <c r="E484">
        <v>28</v>
      </c>
      <c r="F484" t="s">
        <v>70</v>
      </c>
      <c r="G484" t="s">
        <v>54</v>
      </c>
      <c r="H484">
        <v>4</v>
      </c>
      <c r="I484" t="s">
        <v>39</v>
      </c>
      <c r="J484" t="s">
        <v>46</v>
      </c>
      <c r="K484">
        <v>3</v>
      </c>
      <c r="L484" t="s">
        <v>178</v>
      </c>
      <c r="M484" t="s">
        <v>101</v>
      </c>
      <c r="N484" t="s">
        <v>33</v>
      </c>
      <c r="O484">
        <v>57837</v>
      </c>
      <c r="P484">
        <v>2</v>
      </c>
      <c r="Q484" t="s">
        <v>34</v>
      </c>
      <c r="R484" s="1">
        <v>42185</v>
      </c>
      <c r="S484" t="s">
        <v>34</v>
      </c>
      <c r="T484">
        <v>7</v>
      </c>
      <c r="U484">
        <v>3</v>
      </c>
      <c r="V484">
        <v>3</v>
      </c>
      <c r="W484">
        <v>6</v>
      </c>
      <c r="X484" t="s">
        <v>11022</v>
      </c>
      <c r="Y484" t="s">
        <v>11022</v>
      </c>
      <c r="Z484" t="str">
        <f>_xlfn.XLOOKUP(Employees[[#This Row],[Education]], EdLevel[EducationLevelID], EdLevel[EducationLevel])</f>
        <v xml:space="preserve">Bachelors </v>
      </c>
      <c r="AA484">
        <f>IF(Employees[[#This Row],[Attrition]] = "Yes", 1, 0)</f>
        <v>0</v>
      </c>
      <c r="AB484" t="str" cm="1">
        <f t="array" ref="AB484">_xlfn.IFS(Employees[[#This Row],[Age]]&lt;30, "20-29", Employees[[#This Row],[Age]]&lt;40, "30-39", Employees[[#This Row],[Age]]&lt;50, "40-49", "TRUE", "50+")</f>
        <v>20-29</v>
      </c>
    </row>
    <row r="485" spans="1:28">
      <c r="A485" t="s">
        <v>1497</v>
      </c>
      <c r="B485" t="s">
        <v>1498</v>
      </c>
      <c r="C485" t="s">
        <v>1499</v>
      </c>
      <c r="D485" t="s">
        <v>38</v>
      </c>
      <c r="E485">
        <v>25</v>
      </c>
      <c r="F485" t="s">
        <v>27</v>
      </c>
      <c r="G485" t="s">
        <v>54</v>
      </c>
      <c r="H485">
        <v>5</v>
      </c>
      <c r="I485" t="s">
        <v>39</v>
      </c>
      <c r="J485" t="s">
        <v>30</v>
      </c>
      <c r="K485">
        <v>3</v>
      </c>
      <c r="L485" t="s">
        <v>55</v>
      </c>
      <c r="M485" t="s">
        <v>101</v>
      </c>
      <c r="N485" t="s">
        <v>49</v>
      </c>
      <c r="O485">
        <v>28646</v>
      </c>
      <c r="P485">
        <v>1</v>
      </c>
      <c r="Q485" t="s">
        <v>34</v>
      </c>
      <c r="R485" s="1">
        <v>42187</v>
      </c>
      <c r="S485" t="s">
        <v>34</v>
      </c>
      <c r="T485">
        <v>7</v>
      </c>
      <c r="U485">
        <v>6</v>
      </c>
      <c r="V485">
        <v>6</v>
      </c>
      <c r="W485">
        <v>3</v>
      </c>
      <c r="X485" t="s">
        <v>11022</v>
      </c>
      <c r="Y485" t="s">
        <v>11022</v>
      </c>
      <c r="Z485" t="str">
        <f>_xlfn.XLOOKUP(Employees[[#This Row],[Education]], EdLevel[EducationLevelID], EdLevel[EducationLevel])</f>
        <v xml:space="preserve">Bachelors </v>
      </c>
      <c r="AA485">
        <f>IF(Employees[[#This Row],[Attrition]] = "Yes", 1, 0)</f>
        <v>0</v>
      </c>
      <c r="AB485" t="str" cm="1">
        <f t="array" ref="AB485">_xlfn.IFS(Employees[[#This Row],[Age]]&lt;30, "20-29", Employees[[#This Row],[Age]]&lt;40, "30-39", Employees[[#This Row],[Age]]&lt;50, "40-49", "TRUE", "50+")</f>
        <v>20-29</v>
      </c>
    </row>
    <row r="486" spans="1:28">
      <c r="A486" t="s">
        <v>1500</v>
      </c>
      <c r="B486" t="s">
        <v>1501</v>
      </c>
      <c r="C486" t="s">
        <v>1502</v>
      </c>
      <c r="D486" t="s">
        <v>38</v>
      </c>
      <c r="E486">
        <v>25</v>
      </c>
      <c r="F486" t="s">
        <v>27</v>
      </c>
      <c r="G486" t="s">
        <v>54</v>
      </c>
      <c r="H486">
        <v>6</v>
      </c>
      <c r="I486" t="s">
        <v>65</v>
      </c>
      <c r="J486" t="s">
        <v>30</v>
      </c>
      <c r="K486">
        <v>3</v>
      </c>
      <c r="L486" t="s">
        <v>55</v>
      </c>
      <c r="M486" t="s">
        <v>56</v>
      </c>
      <c r="N486" t="s">
        <v>40</v>
      </c>
      <c r="O486">
        <v>195911</v>
      </c>
      <c r="P486">
        <v>0</v>
      </c>
      <c r="Q486" t="s">
        <v>34</v>
      </c>
      <c r="R486" s="1">
        <v>42194</v>
      </c>
      <c r="S486" t="s">
        <v>34</v>
      </c>
      <c r="T486">
        <v>7</v>
      </c>
      <c r="U486">
        <v>0</v>
      </c>
      <c r="V486">
        <v>3</v>
      </c>
      <c r="W486">
        <v>4</v>
      </c>
      <c r="X486" t="s">
        <v>11022</v>
      </c>
      <c r="Y486" t="s">
        <v>11022</v>
      </c>
      <c r="Z486" t="str">
        <f>_xlfn.XLOOKUP(Employees[[#This Row],[Education]], EdLevel[EducationLevelID], EdLevel[EducationLevel])</f>
        <v xml:space="preserve">Bachelors </v>
      </c>
      <c r="AA486">
        <f>IF(Employees[[#This Row],[Attrition]] = "Yes", 1, 0)</f>
        <v>0</v>
      </c>
      <c r="AB486" t="str" cm="1">
        <f t="array" ref="AB486">_xlfn.IFS(Employees[[#This Row],[Age]]&lt;30, "20-29", Employees[[#This Row],[Age]]&lt;40, "30-39", Employees[[#This Row],[Age]]&lt;50, "40-49", "TRUE", "50+")</f>
        <v>20-29</v>
      </c>
    </row>
    <row r="487" spans="1:28">
      <c r="A487" t="s">
        <v>1503</v>
      </c>
      <c r="B487" t="s">
        <v>300</v>
      </c>
      <c r="C487" t="s">
        <v>1504</v>
      </c>
      <c r="D487" t="s">
        <v>38</v>
      </c>
      <c r="E487">
        <v>26</v>
      </c>
      <c r="F487" t="s">
        <v>27</v>
      </c>
      <c r="G487" t="s">
        <v>28</v>
      </c>
      <c r="H487">
        <v>14</v>
      </c>
      <c r="I487" t="s">
        <v>29</v>
      </c>
      <c r="J487" t="s">
        <v>30</v>
      </c>
      <c r="K487">
        <v>4</v>
      </c>
      <c r="L487" t="s">
        <v>47</v>
      </c>
      <c r="M487" t="s">
        <v>32</v>
      </c>
      <c r="N487" t="s">
        <v>40</v>
      </c>
      <c r="O487">
        <v>127450</v>
      </c>
      <c r="P487">
        <v>0</v>
      </c>
      <c r="Q487" t="s">
        <v>34</v>
      </c>
      <c r="R487" s="1">
        <v>42196</v>
      </c>
      <c r="S487" t="s">
        <v>34</v>
      </c>
      <c r="T487">
        <v>7</v>
      </c>
      <c r="U487">
        <v>0</v>
      </c>
      <c r="V487">
        <v>0</v>
      </c>
      <c r="W487">
        <v>1</v>
      </c>
      <c r="X487" t="s">
        <v>11023</v>
      </c>
      <c r="Y487" t="s">
        <v>11023</v>
      </c>
      <c r="Z487" t="str">
        <f>_xlfn.XLOOKUP(Employees[[#This Row],[Education]], EdLevel[EducationLevelID], EdLevel[EducationLevel])</f>
        <v xml:space="preserve">Masters </v>
      </c>
      <c r="AA487">
        <f>IF(Employees[[#This Row],[Attrition]] = "Yes", 1, 0)</f>
        <v>0</v>
      </c>
      <c r="AB487" t="str" cm="1">
        <f t="array" ref="AB487">_xlfn.IFS(Employees[[#This Row],[Age]]&lt;30, "20-29", Employees[[#This Row],[Age]]&lt;40, "30-39", Employees[[#This Row],[Age]]&lt;50, "40-49", "TRUE", "50+")</f>
        <v>20-29</v>
      </c>
    </row>
    <row r="488" spans="1:28">
      <c r="A488" t="s">
        <v>1505</v>
      </c>
      <c r="B488" t="s">
        <v>1506</v>
      </c>
      <c r="C488" t="s">
        <v>1507</v>
      </c>
      <c r="D488" t="s">
        <v>53</v>
      </c>
      <c r="E488">
        <v>28</v>
      </c>
      <c r="F488" t="s">
        <v>27</v>
      </c>
      <c r="G488" t="s">
        <v>54</v>
      </c>
      <c r="H488">
        <v>1</v>
      </c>
      <c r="I488" t="s">
        <v>39</v>
      </c>
      <c r="J488" t="s">
        <v>66</v>
      </c>
      <c r="K488">
        <v>2</v>
      </c>
      <c r="L488" t="s">
        <v>178</v>
      </c>
      <c r="M488" t="s">
        <v>56</v>
      </c>
      <c r="N488" t="s">
        <v>40</v>
      </c>
      <c r="O488">
        <v>339731</v>
      </c>
      <c r="P488">
        <v>0</v>
      </c>
      <c r="Q488" t="s">
        <v>34</v>
      </c>
      <c r="R488" s="1">
        <v>42199</v>
      </c>
      <c r="S488" t="s">
        <v>34</v>
      </c>
      <c r="T488">
        <v>7</v>
      </c>
      <c r="U488">
        <v>5</v>
      </c>
      <c r="V488">
        <v>7</v>
      </c>
      <c r="W488">
        <v>0</v>
      </c>
      <c r="X488" t="s">
        <v>11021</v>
      </c>
      <c r="Y488" t="s">
        <v>11021</v>
      </c>
      <c r="Z488" t="str">
        <f>_xlfn.XLOOKUP(Employees[[#This Row],[Education]], EdLevel[EducationLevelID], EdLevel[EducationLevel])</f>
        <v xml:space="preserve">High School </v>
      </c>
      <c r="AA488">
        <f>IF(Employees[[#This Row],[Attrition]] = "Yes", 1, 0)</f>
        <v>0</v>
      </c>
      <c r="AB488" t="str" cm="1">
        <f t="array" ref="AB488">_xlfn.IFS(Employees[[#This Row],[Age]]&lt;30, "20-29", Employees[[#This Row],[Age]]&lt;40, "30-39", Employees[[#This Row],[Age]]&lt;50, "40-49", "TRUE", "50+")</f>
        <v>20-29</v>
      </c>
    </row>
    <row r="489" spans="1:28">
      <c r="A489" t="s">
        <v>1508</v>
      </c>
      <c r="B489" t="s">
        <v>1509</v>
      </c>
      <c r="C489" t="s">
        <v>1510</v>
      </c>
      <c r="D489" t="s">
        <v>38</v>
      </c>
      <c r="E489">
        <v>25</v>
      </c>
      <c r="F489" t="s">
        <v>27</v>
      </c>
      <c r="G489" t="s">
        <v>54</v>
      </c>
      <c r="H489">
        <v>13</v>
      </c>
      <c r="I489" t="s">
        <v>65</v>
      </c>
      <c r="J489" t="s">
        <v>71</v>
      </c>
      <c r="K489">
        <v>5</v>
      </c>
      <c r="L489" t="s">
        <v>55</v>
      </c>
      <c r="M489" t="s">
        <v>56</v>
      </c>
      <c r="N489" t="s">
        <v>40</v>
      </c>
      <c r="O489">
        <v>178337</v>
      </c>
      <c r="P489">
        <v>0</v>
      </c>
      <c r="Q489" t="s">
        <v>34</v>
      </c>
      <c r="R489" s="1">
        <v>42201</v>
      </c>
      <c r="S489" t="s">
        <v>34</v>
      </c>
      <c r="T489">
        <v>7</v>
      </c>
      <c r="U489">
        <v>1</v>
      </c>
      <c r="V489">
        <v>7</v>
      </c>
      <c r="W489">
        <v>2</v>
      </c>
      <c r="X489" t="s">
        <v>11024</v>
      </c>
      <c r="Y489" t="s">
        <v>11024</v>
      </c>
      <c r="Z489" t="str">
        <f>_xlfn.XLOOKUP(Employees[[#This Row],[Education]], EdLevel[EducationLevelID], EdLevel[EducationLevel])</f>
        <v>Doctorate</v>
      </c>
      <c r="AA489">
        <f>IF(Employees[[#This Row],[Attrition]] = "Yes", 1, 0)</f>
        <v>0</v>
      </c>
      <c r="AB489" t="str" cm="1">
        <f t="array" ref="AB489">_xlfn.IFS(Employees[[#This Row],[Age]]&lt;30, "20-29", Employees[[#This Row],[Age]]&lt;40, "30-39", Employees[[#This Row],[Age]]&lt;50, "40-49", "TRUE", "50+")</f>
        <v>20-29</v>
      </c>
    </row>
    <row r="490" spans="1:28">
      <c r="A490" t="s">
        <v>1511</v>
      </c>
      <c r="B490" t="s">
        <v>1512</v>
      </c>
      <c r="C490" t="s">
        <v>1513</v>
      </c>
      <c r="D490" t="s">
        <v>38</v>
      </c>
      <c r="E490">
        <v>26</v>
      </c>
      <c r="F490" t="s">
        <v>27</v>
      </c>
      <c r="G490" t="s">
        <v>54</v>
      </c>
      <c r="H490">
        <v>41</v>
      </c>
      <c r="I490" t="s">
        <v>65</v>
      </c>
      <c r="J490" t="s">
        <v>66</v>
      </c>
      <c r="K490">
        <v>3</v>
      </c>
      <c r="L490" t="s">
        <v>55</v>
      </c>
      <c r="M490" t="s">
        <v>105</v>
      </c>
      <c r="N490" t="s">
        <v>33</v>
      </c>
      <c r="O490">
        <v>47676</v>
      </c>
      <c r="P490">
        <v>1</v>
      </c>
      <c r="Q490" t="s">
        <v>34</v>
      </c>
      <c r="R490" s="1">
        <v>42205</v>
      </c>
      <c r="S490" t="s">
        <v>34</v>
      </c>
      <c r="T490">
        <v>7</v>
      </c>
      <c r="U490">
        <v>4</v>
      </c>
      <c r="V490">
        <v>6</v>
      </c>
      <c r="W490">
        <v>1</v>
      </c>
      <c r="X490" t="s">
        <v>11022</v>
      </c>
      <c r="Y490" t="s">
        <v>11022</v>
      </c>
      <c r="Z490" t="str">
        <f>_xlfn.XLOOKUP(Employees[[#This Row],[Education]], EdLevel[EducationLevelID], EdLevel[EducationLevel])</f>
        <v xml:space="preserve">Bachelors </v>
      </c>
      <c r="AA490">
        <f>IF(Employees[[#This Row],[Attrition]] = "Yes", 1, 0)</f>
        <v>0</v>
      </c>
      <c r="AB490" t="str" cm="1">
        <f t="array" ref="AB490">_xlfn.IFS(Employees[[#This Row],[Age]]&lt;30, "20-29", Employees[[#This Row],[Age]]&lt;40, "30-39", Employees[[#This Row],[Age]]&lt;50, "40-49", "TRUE", "50+")</f>
        <v>20-29</v>
      </c>
    </row>
    <row r="491" spans="1:28">
      <c r="A491" t="s">
        <v>1514</v>
      </c>
      <c r="B491" t="s">
        <v>1515</v>
      </c>
      <c r="C491" t="s">
        <v>1516</v>
      </c>
      <c r="D491" t="s">
        <v>38</v>
      </c>
      <c r="E491">
        <v>28</v>
      </c>
      <c r="F491" t="s">
        <v>27</v>
      </c>
      <c r="G491" t="s">
        <v>28</v>
      </c>
      <c r="H491">
        <v>3</v>
      </c>
      <c r="I491" t="s">
        <v>39</v>
      </c>
      <c r="J491" t="s">
        <v>46</v>
      </c>
      <c r="K491">
        <v>2</v>
      </c>
      <c r="L491" t="s">
        <v>47</v>
      </c>
      <c r="M491" t="s">
        <v>32</v>
      </c>
      <c r="N491" t="s">
        <v>49</v>
      </c>
      <c r="O491">
        <v>128719</v>
      </c>
      <c r="P491">
        <v>1</v>
      </c>
      <c r="Q491" t="s">
        <v>34</v>
      </c>
      <c r="R491" s="1">
        <v>42206</v>
      </c>
      <c r="S491" t="s">
        <v>34</v>
      </c>
      <c r="T491">
        <v>7</v>
      </c>
      <c r="U491">
        <v>1</v>
      </c>
      <c r="V491">
        <v>3</v>
      </c>
      <c r="W491">
        <v>6</v>
      </c>
      <c r="X491" t="s">
        <v>11021</v>
      </c>
      <c r="Y491" t="s">
        <v>11021</v>
      </c>
      <c r="Z491" t="str">
        <f>_xlfn.XLOOKUP(Employees[[#This Row],[Education]], EdLevel[EducationLevelID], EdLevel[EducationLevel])</f>
        <v xml:space="preserve">High School </v>
      </c>
      <c r="AA491">
        <f>IF(Employees[[#This Row],[Attrition]] = "Yes", 1, 0)</f>
        <v>0</v>
      </c>
      <c r="AB491" t="str" cm="1">
        <f t="array" ref="AB491">_xlfn.IFS(Employees[[#This Row],[Age]]&lt;30, "20-29", Employees[[#This Row],[Age]]&lt;40, "30-39", Employees[[#This Row],[Age]]&lt;50, "40-49", "TRUE", "50+")</f>
        <v>20-29</v>
      </c>
    </row>
    <row r="492" spans="1:28">
      <c r="A492" t="s">
        <v>1517</v>
      </c>
      <c r="B492" t="s">
        <v>1518</v>
      </c>
      <c r="C492" t="s">
        <v>1519</v>
      </c>
      <c r="D492" t="s">
        <v>38</v>
      </c>
      <c r="E492">
        <v>28</v>
      </c>
      <c r="F492" t="s">
        <v>27</v>
      </c>
      <c r="G492" t="s">
        <v>28</v>
      </c>
      <c r="H492">
        <v>24</v>
      </c>
      <c r="I492" t="s">
        <v>65</v>
      </c>
      <c r="J492" t="s">
        <v>66</v>
      </c>
      <c r="K492">
        <v>2</v>
      </c>
      <c r="L492" t="s">
        <v>47</v>
      </c>
      <c r="M492" t="s">
        <v>32</v>
      </c>
      <c r="N492" t="s">
        <v>49</v>
      </c>
      <c r="O492">
        <v>78735</v>
      </c>
      <c r="P492">
        <v>1</v>
      </c>
      <c r="Q492" t="s">
        <v>34</v>
      </c>
      <c r="R492" s="1">
        <v>42208</v>
      </c>
      <c r="S492" t="s">
        <v>34</v>
      </c>
      <c r="T492">
        <v>7</v>
      </c>
      <c r="U492">
        <v>0</v>
      </c>
      <c r="V492">
        <v>2</v>
      </c>
      <c r="W492">
        <v>4</v>
      </c>
      <c r="X492" t="s">
        <v>11021</v>
      </c>
      <c r="Y492" t="s">
        <v>11021</v>
      </c>
      <c r="Z492" t="str">
        <f>_xlfn.XLOOKUP(Employees[[#This Row],[Education]], EdLevel[EducationLevelID], EdLevel[EducationLevel])</f>
        <v xml:space="preserve">High School </v>
      </c>
      <c r="AA492">
        <f>IF(Employees[[#This Row],[Attrition]] = "Yes", 1, 0)</f>
        <v>0</v>
      </c>
      <c r="AB492" t="str" cm="1">
        <f t="array" ref="AB492">_xlfn.IFS(Employees[[#This Row],[Age]]&lt;30, "20-29", Employees[[#This Row],[Age]]&lt;40, "30-39", Employees[[#This Row],[Age]]&lt;50, "40-49", "TRUE", "50+")</f>
        <v>20-29</v>
      </c>
    </row>
    <row r="493" spans="1:28">
      <c r="A493" t="s">
        <v>1520</v>
      </c>
      <c r="B493" t="s">
        <v>1521</v>
      </c>
      <c r="C493" t="s">
        <v>1522</v>
      </c>
      <c r="D493" t="s">
        <v>38</v>
      </c>
      <c r="E493">
        <v>26</v>
      </c>
      <c r="F493" t="s">
        <v>27</v>
      </c>
      <c r="G493" t="s">
        <v>54</v>
      </c>
      <c r="H493">
        <v>32</v>
      </c>
      <c r="I493" t="s">
        <v>65</v>
      </c>
      <c r="J493" t="s">
        <v>30</v>
      </c>
      <c r="K493">
        <v>3</v>
      </c>
      <c r="L493" t="s">
        <v>72</v>
      </c>
      <c r="M493" t="s">
        <v>101</v>
      </c>
      <c r="N493" t="s">
        <v>40</v>
      </c>
      <c r="O493">
        <v>40100</v>
      </c>
      <c r="P493">
        <v>0</v>
      </c>
      <c r="Q493" t="s">
        <v>41</v>
      </c>
      <c r="R493" s="1">
        <v>42215</v>
      </c>
      <c r="S493" t="s">
        <v>41</v>
      </c>
      <c r="T493">
        <v>0</v>
      </c>
      <c r="U493">
        <v>0</v>
      </c>
      <c r="V493">
        <v>0</v>
      </c>
      <c r="W493">
        <v>0</v>
      </c>
      <c r="X493" t="s">
        <v>11022</v>
      </c>
      <c r="Y493" t="s">
        <v>11022</v>
      </c>
      <c r="Z493" t="str">
        <f>_xlfn.XLOOKUP(Employees[[#This Row],[Education]], EdLevel[EducationLevelID], EdLevel[EducationLevel])</f>
        <v xml:space="preserve">Bachelors </v>
      </c>
      <c r="AA493">
        <f>IF(Employees[[#This Row],[Attrition]] = "Yes", 1, 0)</f>
        <v>1</v>
      </c>
      <c r="AB493" t="str" cm="1">
        <f t="array" ref="AB493">_xlfn.IFS(Employees[[#This Row],[Age]]&lt;30, "20-29", Employees[[#This Row],[Age]]&lt;40, "30-39", Employees[[#This Row],[Age]]&lt;50, "40-49", "TRUE", "50+")</f>
        <v>20-29</v>
      </c>
    </row>
    <row r="494" spans="1:28">
      <c r="A494" t="s">
        <v>1523</v>
      </c>
      <c r="B494" t="s">
        <v>1524</v>
      </c>
      <c r="C494" t="s">
        <v>1525</v>
      </c>
      <c r="D494" t="s">
        <v>26</v>
      </c>
      <c r="E494">
        <v>27</v>
      </c>
      <c r="F494" t="s">
        <v>70</v>
      </c>
      <c r="G494" t="s">
        <v>54</v>
      </c>
      <c r="H494">
        <v>12</v>
      </c>
      <c r="I494" t="s">
        <v>39</v>
      </c>
      <c r="J494" t="s">
        <v>30</v>
      </c>
      <c r="K494">
        <v>1</v>
      </c>
      <c r="L494" t="s">
        <v>55</v>
      </c>
      <c r="M494" t="s">
        <v>93</v>
      </c>
      <c r="N494" t="s">
        <v>40</v>
      </c>
      <c r="O494">
        <v>105398</v>
      </c>
      <c r="P494">
        <v>0</v>
      </c>
      <c r="Q494" t="s">
        <v>34</v>
      </c>
      <c r="R494" s="1">
        <v>42216</v>
      </c>
      <c r="S494" t="s">
        <v>34</v>
      </c>
      <c r="T494">
        <v>7</v>
      </c>
      <c r="U494">
        <v>1</v>
      </c>
      <c r="V494">
        <v>7</v>
      </c>
      <c r="W494">
        <v>4</v>
      </c>
      <c r="X494" t="s">
        <v>11020</v>
      </c>
      <c r="Y494" t="s">
        <v>11020</v>
      </c>
      <c r="Z494" t="str">
        <f>_xlfn.XLOOKUP(Employees[[#This Row],[Education]], EdLevel[EducationLevelID], EdLevel[EducationLevel])</f>
        <v>No Formal Qualifications</v>
      </c>
      <c r="AA494">
        <f>IF(Employees[[#This Row],[Attrition]] = "Yes", 1, 0)</f>
        <v>0</v>
      </c>
      <c r="AB494" t="str" cm="1">
        <f t="array" ref="AB494">_xlfn.IFS(Employees[[#This Row],[Age]]&lt;30, "20-29", Employees[[#This Row],[Age]]&lt;40, "30-39", Employees[[#This Row],[Age]]&lt;50, "40-49", "TRUE", "50+")</f>
        <v>20-29</v>
      </c>
    </row>
    <row r="495" spans="1:28">
      <c r="A495" t="s">
        <v>1526</v>
      </c>
      <c r="B495" t="s">
        <v>1527</v>
      </c>
      <c r="C495" t="s">
        <v>1528</v>
      </c>
      <c r="D495" t="s">
        <v>26</v>
      </c>
      <c r="E495">
        <v>27</v>
      </c>
      <c r="F495" t="s">
        <v>84</v>
      </c>
      <c r="G495" t="s">
        <v>54</v>
      </c>
      <c r="H495">
        <v>40</v>
      </c>
      <c r="I495" t="s">
        <v>39</v>
      </c>
      <c r="J495" t="s">
        <v>71</v>
      </c>
      <c r="K495">
        <v>3</v>
      </c>
      <c r="L495" t="s">
        <v>72</v>
      </c>
      <c r="M495" t="s">
        <v>85</v>
      </c>
      <c r="N495" t="s">
        <v>49</v>
      </c>
      <c r="O495">
        <v>31672</v>
      </c>
      <c r="P495">
        <v>1</v>
      </c>
      <c r="Q495" t="s">
        <v>34</v>
      </c>
      <c r="R495" s="1">
        <v>42218</v>
      </c>
      <c r="S495" t="s">
        <v>34</v>
      </c>
      <c r="T495">
        <v>7</v>
      </c>
      <c r="U495">
        <v>1</v>
      </c>
      <c r="V495">
        <v>3</v>
      </c>
      <c r="W495">
        <v>6</v>
      </c>
      <c r="X495" t="s">
        <v>11022</v>
      </c>
      <c r="Y495" t="s">
        <v>11022</v>
      </c>
      <c r="Z495" t="str">
        <f>_xlfn.XLOOKUP(Employees[[#This Row],[Education]], EdLevel[EducationLevelID], EdLevel[EducationLevel])</f>
        <v xml:space="preserve">Bachelors </v>
      </c>
      <c r="AA495">
        <f>IF(Employees[[#This Row],[Attrition]] = "Yes", 1, 0)</f>
        <v>0</v>
      </c>
      <c r="AB495" t="str" cm="1">
        <f t="array" ref="AB495">_xlfn.IFS(Employees[[#This Row],[Age]]&lt;30, "20-29", Employees[[#This Row],[Age]]&lt;40, "30-39", Employees[[#This Row],[Age]]&lt;50, "40-49", "TRUE", "50+")</f>
        <v>20-29</v>
      </c>
    </row>
    <row r="496" spans="1:28">
      <c r="A496" t="s">
        <v>1529</v>
      </c>
      <c r="B496" t="s">
        <v>1530</v>
      </c>
      <c r="C496" t="s">
        <v>1531</v>
      </c>
      <c r="D496" t="s">
        <v>26</v>
      </c>
      <c r="E496">
        <v>27</v>
      </c>
      <c r="F496" t="s">
        <v>27</v>
      </c>
      <c r="G496" t="s">
        <v>54</v>
      </c>
      <c r="H496">
        <v>5</v>
      </c>
      <c r="I496" t="s">
        <v>65</v>
      </c>
      <c r="J496" t="s">
        <v>71</v>
      </c>
      <c r="K496">
        <v>3</v>
      </c>
      <c r="L496" t="s">
        <v>55</v>
      </c>
      <c r="M496" t="s">
        <v>56</v>
      </c>
      <c r="N496" t="s">
        <v>49</v>
      </c>
      <c r="O496">
        <v>238435</v>
      </c>
      <c r="P496">
        <v>1</v>
      </c>
      <c r="Q496" t="s">
        <v>34</v>
      </c>
      <c r="R496" s="1">
        <v>42223</v>
      </c>
      <c r="S496" t="s">
        <v>34</v>
      </c>
      <c r="T496">
        <v>7</v>
      </c>
      <c r="U496">
        <v>2</v>
      </c>
      <c r="V496">
        <v>4</v>
      </c>
      <c r="W496">
        <v>1</v>
      </c>
      <c r="X496" t="s">
        <v>11022</v>
      </c>
      <c r="Y496" t="s">
        <v>11022</v>
      </c>
      <c r="Z496" t="str">
        <f>_xlfn.XLOOKUP(Employees[[#This Row],[Education]], EdLevel[EducationLevelID], EdLevel[EducationLevel])</f>
        <v xml:space="preserve">Bachelors </v>
      </c>
      <c r="AA496">
        <f>IF(Employees[[#This Row],[Attrition]] = "Yes", 1, 0)</f>
        <v>0</v>
      </c>
      <c r="AB496" t="str" cm="1">
        <f t="array" ref="AB496">_xlfn.IFS(Employees[[#This Row],[Age]]&lt;30, "20-29", Employees[[#This Row],[Age]]&lt;40, "30-39", Employees[[#This Row],[Age]]&lt;50, "40-49", "TRUE", "50+")</f>
        <v>20-29</v>
      </c>
    </row>
    <row r="497" spans="1:28">
      <c r="A497" t="s">
        <v>1532</v>
      </c>
      <c r="B497" t="s">
        <v>1533</v>
      </c>
      <c r="C497" t="s">
        <v>1534</v>
      </c>
      <c r="D497" t="s">
        <v>53</v>
      </c>
      <c r="E497">
        <v>26</v>
      </c>
      <c r="F497" t="s">
        <v>27</v>
      </c>
      <c r="G497" t="s">
        <v>54</v>
      </c>
      <c r="H497">
        <v>28</v>
      </c>
      <c r="I497" t="s">
        <v>39</v>
      </c>
      <c r="J497" t="s">
        <v>30</v>
      </c>
      <c r="K497">
        <v>4</v>
      </c>
      <c r="L497" t="s">
        <v>55</v>
      </c>
      <c r="M497" t="s">
        <v>85</v>
      </c>
      <c r="N497" t="s">
        <v>40</v>
      </c>
      <c r="O497">
        <v>29791</v>
      </c>
      <c r="P497">
        <v>0</v>
      </c>
      <c r="Q497" t="s">
        <v>34</v>
      </c>
      <c r="R497" s="1">
        <v>42223</v>
      </c>
      <c r="S497" t="s">
        <v>34</v>
      </c>
      <c r="T497">
        <v>7</v>
      </c>
      <c r="U497">
        <v>7</v>
      </c>
      <c r="V497">
        <v>7</v>
      </c>
      <c r="W497">
        <v>1</v>
      </c>
      <c r="X497" t="s">
        <v>11023</v>
      </c>
      <c r="Y497" t="s">
        <v>11023</v>
      </c>
      <c r="Z497" t="str">
        <f>_xlfn.XLOOKUP(Employees[[#This Row],[Education]], EdLevel[EducationLevelID], EdLevel[EducationLevel])</f>
        <v xml:space="preserve">Masters </v>
      </c>
      <c r="AA497">
        <f>IF(Employees[[#This Row],[Attrition]] = "Yes", 1, 0)</f>
        <v>0</v>
      </c>
      <c r="AB497" t="str" cm="1">
        <f t="array" ref="AB497">_xlfn.IFS(Employees[[#This Row],[Age]]&lt;30, "20-29", Employees[[#This Row],[Age]]&lt;40, "30-39", Employees[[#This Row],[Age]]&lt;50, "40-49", "TRUE", "50+")</f>
        <v>20-29</v>
      </c>
    </row>
    <row r="498" spans="1:28">
      <c r="A498" t="s">
        <v>1535</v>
      </c>
      <c r="B498" t="s">
        <v>1536</v>
      </c>
      <c r="C498" t="s">
        <v>1537</v>
      </c>
      <c r="D498" t="s">
        <v>26</v>
      </c>
      <c r="E498">
        <v>26</v>
      </c>
      <c r="F498" t="s">
        <v>70</v>
      </c>
      <c r="G498" t="s">
        <v>54</v>
      </c>
      <c r="H498">
        <v>18</v>
      </c>
      <c r="I498" t="s">
        <v>39</v>
      </c>
      <c r="J498" t="s">
        <v>66</v>
      </c>
      <c r="K498">
        <v>4</v>
      </c>
      <c r="L498" t="s">
        <v>72</v>
      </c>
      <c r="M498" t="s">
        <v>56</v>
      </c>
      <c r="N498" t="s">
        <v>33</v>
      </c>
      <c r="O498">
        <v>153420</v>
      </c>
      <c r="P498">
        <v>2</v>
      </c>
      <c r="Q498" t="s">
        <v>41</v>
      </c>
      <c r="R498" s="1">
        <v>42226</v>
      </c>
      <c r="S498" t="s">
        <v>34</v>
      </c>
      <c r="T498">
        <v>7</v>
      </c>
      <c r="U498">
        <v>5</v>
      </c>
      <c r="V498">
        <v>5</v>
      </c>
      <c r="W498">
        <v>7</v>
      </c>
      <c r="X498" t="s">
        <v>11023</v>
      </c>
      <c r="Y498" t="s">
        <v>11023</v>
      </c>
      <c r="Z498" t="str">
        <f>_xlfn.XLOOKUP(Employees[[#This Row],[Education]], EdLevel[EducationLevelID], EdLevel[EducationLevel])</f>
        <v xml:space="preserve">Masters </v>
      </c>
      <c r="AA498">
        <f>IF(Employees[[#This Row],[Attrition]] = "Yes", 1, 0)</f>
        <v>0</v>
      </c>
      <c r="AB498" t="str" cm="1">
        <f t="array" ref="AB498">_xlfn.IFS(Employees[[#This Row],[Age]]&lt;30, "20-29", Employees[[#This Row],[Age]]&lt;40, "30-39", Employees[[#This Row],[Age]]&lt;50, "40-49", "TRUE", "50+")</f>
        <v>20-29</v>
      </c>
    </row>
    <row r="499" spans="1:28">
      <c r="A499" t="s">
        <v>1538</v>
      </c>
      <c r="B499" t="s">
        <v>1539</v>
      </c>
      <c r="C499" t="s">
        <v>1540</v>
      </c>
      <c r="D499" t="s">
        <v>38</v>
      </c>
      <c r="E499">
        <v>25</v>
      </c>
      <c r="F499" t="s">
        <v>27</v>
      </c>
      <c r="G499" t="s">
        <v>54</v>
      </c>
      <c r="H499">
        <v>8</v>
      </c>
      <c r="I499" t="s">
        <v>39</v>
      </c>
      <c r="J499" t="s">
        <v>66</v>
      </c>
      <c r="K499">
        <v>1</v>
      </c>
      <c r="L499" t="s">
        <v>72</v>
      </c>
      <c r="M499" t="s">
        <v>101</v>
      </c>
      <c r="N499" t="s">
        <v>40</v>
      </c>
      <c r="O499">
        <v>30931</v>
      </c>
      <c r="P499">
        <v>0</v>
      </c>
      <c r="Q499" t="s">
        <v>41</v>
      </c>
      <c r="R499" s="1">
        <v>42229</v>
      </c>
      <c r="S499" t="s">
        <v>41</v>
      </c>
      <c r="T499">
        <v>1</v>
      </c>
      <c r="U499">
        <v>0</v>
      </c>
      <c r="V499">
        <v>0</v>
      </c>
      <c r="W499">
        <v>1</v>
      </c>
      <c r="X499" t="s">
        <v>11020</v>
      </c>
      <c r="Y499" t="s">
        <v>11020</v>
      </c>
      <c r="Z499" t="str">
        <f>_xlfn.XLOOKUP(Employees[[#This Row],[Education]], EdLevel[EducationLevelID], EdLevel[EducationLevel])</f>
        <v>No Formal Qualifications</v>
      </c>
      <c r="AA499">
        <f>IF(Employees[[#This Row],[Attrition]] = "Yes", 1, 0)</f>
        <v>1</v>
      </c>
      <c r="AB499" t="str" cm="1">
        <f t="array" ref="AB499">_xlfn.IFS(Employees[[#This Row],[Age]]&lt;30, "20-29", Employees[[#This Row],[Age]]&lt;40, "30-39", Employees[[#This Row],[Age]]&lt;50, "40-49", "TRUE", "50+")</f>
        <v>20-29</v>
      </c>
    </row>
    <row r="500" spans="1:28">
      <c r="A500" t="s">
        <v>1541</v>
      </c>
      <c r="B500" t="s">
        <v>1542</v>
      </c>
      <c r="C500" t="s">
        <v>1543</v>
      </c>
      <c r="D500" t="s">
        <v>38</v>
      </c>
      <c r="E500">
        <v>27</v>
      </c>
      <c r="F500" t="s">
        <v>27</v>
      </c>
      <c r="G500" t="s">
        <v>54</v>
      </c>
      <c r="H500">
        <v>34</v>
      </c>
      <c r="I500" t="s">
        <v>39</v>
      </c>
      <c r="J500" t="s">
        <v>30</v>
      </c>
      <c r="K500">
        <v>4</v>
      </c>
      <c r="L500" t="s">
        <v>55</v>
      </c>
      <c r="M500" t="s">
        <v>101</v>
      </c>
      <c r="N500" t="s">
        <v>49</v>
      </c>
      <c r="O500">
        <v>50949</v>
      </c>
      <c r="P500">
        <v>1</v>
      </c>
      <c r="Q500" t="s">
        <v>34</v>
      </c>
      <c r="R500" s="1">
        <v>42229</v>
      </c>
      <c r="S500" t="s">
        <v>34</v>
      </c>
      <c r="T500">
        <v>7</v>
      </c>
      <c r="U500">
        <v>6</v>
      </c>
      <c r="V500">
        <v>7</v>
      </c>
      <c r="W500">
        <v>3</v>
      </c>
      <c r="X500" t="s">
        <v>11023</v>
      </c>
      <c r="Y500" t="s">
        <v>11023</v>
      </c>
      <c r="Z500" t="str">
        <f>_xlfn.XLOOKUP(Employees[[#This Row],[Education]], EdLevel[EducationLevelID], EdLevel[EducationLevel])</f>
        <v xml:space="preserve">Masters </v>
      </c>
      <c r="AA500">
        <f>IF(Employees[[#This Row],[Attrition]] = "Yes", 1, 0)</f>
        <v>0</v>
      </c>
      <c r="AB500" t="str" cm="1">
        <f t="array" ref="AB500">_xlfn.IFS(Employees[[#This Row],[Age]]&lt;30, "20-29", Employees[[#This Row],[Age]]&lt;40, "30-39", Employees[[#This Row],[Age]]&lt;50, "40-49", "TRUE", "50+")</f>
        <v>20-29</v>
      </c>
    </row>
    <row r="501" spans="1:28">
      <c r="A501" t="s">
        <v>1544</v>
      </c>
      <c r="B501" t="s">
        <v>1545</v>
      </c>
      <c r="C501" t="s">
        <v>698</v>
      </c>
      <c r="D501" t="s">
        <v>53</v>
      </c>
      <c r="E501">
        <v>27</v>
      </c>
      <c r="F501" t="s">
        <v>27</v>
      </c>
      <c r="G501" t="s">
        <v>54</v>
      </c>
      <c r="H501">
        <v>4</v>
      </c>
      <c r="I501" t="s">
        <v>65</v>
      </c>
      <c r="J501" t="s">
        <v>46</v>
      </c>
      <c r="K501">
        <v>3</v>
      </c>
      <c r="L501" t="s">
        <v>55</v>
      </c>
      <c r="M501" t="s">
        <v>93</v>
      </c>
      <c r="N501" t="s">
        <v>49</v>
      </c>
      <c r="O501">
        <v>60967</v>
      </c>
      <c r="P501">
        <v>2</v>
      </c>
      <c r="Q501" t="s">
        <v>34</v>
      </c>
      <c r="R501" s="1">
        <v>42230</v>
      </c>
      <c r="S501" t="s">
        <v>34</v>
      </c>
      <c r="T501">
        <v>7</v>
      </c>
      <c r="U501">
        <v>7</v>
      </c>
      <c r="V501">
        <v>7</v>
      </c>
      <c r="W501">
        <v>0</v>
      </c>
      <c r="X501" t="s">
        <v>11022</v>
      </c>
      <c r="Y501" t="s">
        <v>11022</v>
      </c>
      <c r="Z501" t="str">
        <f>_xlfn.XLOOKUP(Employees[[#This Row],[Education]], EdLevel[EducationLevelID], EdLevel[EducationLevel])</f>
        <v xml:space="preserve">Bachelors </v>
      </c>
      <c r="AA501">
        <f>IF(Employees[[#This Row],[Attrition]] = "Yes", 1, 0)</f>
        <v>0</v>
      </c>
      <c r="AB501" t="str" cm="1">
        <f t="array" ref="AB501">_xlfn.IFS(Employees[[#This Row],[Age]]&lt;30, "20-29", Employees[[#This Row],[Age]]&lt;40, "30-39", Employees[[#This Row],[Age]]&lt;50, "40-49", "TRUE", "50+")</f>
        <v>20-29</v>
      </c>
    </row>
    <row r="502" spans="1:28">
      <c r="A502" t="s">
        <v>1546</v>
      </c>
      <c r="B502" t="s">
        <v>1547</v>
      </c>
      <c r="C502" t="s">
        <v>1548</v>
      </c>
      <c r="D502" t="s">
        <v>38</v>
      </c>
      <c r="E502">
        <v>28</v>
      </c>
      <c r="F502" t="s">
        <v>27</v>
      </c>
      <c r="G502" t="s">
        <v>28</v>
      </c>
      <c r="H502">
        <v>45</v>
      </c>
      <c r="I502" t="s">
        <v>39</v>
      </c>
      <c r="J502" t="s">
        <v>46</v>
      </c>
      <c r="K502">
        <v>2</v>
      </c>
      <c r="L502" t="s">
        <v>31</v>
      </c>
      <c r="M502" t="s">
        <v>32</v>
      </c>
      <c r="N502" t="s">
        <v>49</v>
      </c>
      <c r="O502">
        <v>110057</v>
      </c>
      <c r="P502">
        <v>2</v>
      </c>
      <c r="Q502" t="s">
        <v>34</v>
      </c>
      <c r="R502" s="1">
        <v>42230</v>
      </c>
      <c r="S502" t="s">
        <v>34</v>
      </c>
      <c r="T502">
        <v>7</v>
      </c>
      <c r="U502">
        <v>5</v>
      </c>
      <c r="V502">
        <v>5</v>
      </c>
      <c r="W502">
        <v>4</v>
      </c>
      <c r="X502" t="s">
        <v>11021</v>
      </c>
      <c r="Y502" t="s">
        <v>11021</v>
      </c>
      <c r="Z502" t="str">
        <f>_xlfn.XLOOKUP(Employees[[#This Row],[Education]], EdLevel[EducationLevelID], EdLevel[EducationLevel])</f>
        <v xml:space="preserve">High School </v>
      </c>
      <c r="AA502">
        <f>IF(Employees[[#This Row],[Attrition]] = "Yes", 1, 0)</f>
        <v>0</v>
      </c>
      <c r="AB502" t="str" cm="1">
        <f t="array" ref="AB502">_xlfn.IFS(Employees[[#This Row],[Age]]&lt;30, "20-29", Employees[[#This Row],[Age]]&lt;40, "30-39", Employees[[#This Row],[Age]]&lt;50, "40-49", "TRUE", "50+")</f>
        <v>20-29</v>
      </c>
    </row>
    <row r="503" spans="1:28">
      <c r="A503" t="s">
        <v>1549</v>
      </c>
      <c r="B503" t="s">
        <v>1550</v>
      </c>
      <c r="C503" t="s">
        <v>1551</v>
      </c>
      <c r="D503" t="s">
        <v>26</v>
      </c>
      <c r="E503">
        <v>27</v>
      </c>
      <c r="F503" t="s">
        <v>27</v>
      </c>
      <c r="G503" t="s">
        <v>54</v>
      </c>
      <c r="H503">
        <v>3</v>
      </c>
      <c r="I503" t="s">
        <v>39</v>
      </c>
      <c r="J503" t="s">
        <v>46</v>
      </c>
      <c r="K503">
        <v>2</v>
      </c>
      <c r="L503" t="s">
        <v>55</v>
      </c>
      <c r="M503" t="s">
        <v>56</v>
      </c>
      <c r="N503" t="s">
        <v>49</v>
      </c>
      <c r="O503">
        <v>137012</v>
      </c>
      <c r="P503">
        <v>1</v>
      </c>
      <c r="Q503" t="s">
        <v>34</v>
      </c>
      <c r="R503" s="1">
        <v>42232</v>
      </c>
      <c r="S503" t="s">
        <v>34</v>
      </c>
      <c r="T503">
        <v>7</v>
      </c>
      <c r="U503">
        <v>6</v>
      </c>
      <c r="V503">
        <v>7</v>
      </c>
      <c r="W503">
        <v>7</v>
      </c>
      <c r="X503" t="s">
        <v>11021</v>
      </c>
      <c r="Y503" t="s">
        <v>11021</v>
      </c>
      <c r="Z503" t="str">
        <f>_xlfn.XLOOKUP(Employees[[#This Row],[Education]], EdLevel[EducationLevelID], EdLevel[EducationLevel])</f>
        <v xml:space="preserve">High School </v>
      </c>
      <c r="AA503">
        <f>IF(Employees[[#This Row],[Attrition]] = "Yes", 1, 0)</f>
        <v>0</v>
      </c>
      <c r="AB503" t="str" cm="1">
        <f t="array" ref="AB503">_xlfn.IFS(Employees[[#This Row],[Age]]&lt;30, "20-29", Employees[[#This Row],[Age]]&lt;40, "30-39", Employees[[#This Row],[Age]]&lt;50, "40-49", "TRUE", "50+")</f>
        <v>20-29</v>
      </c>
    </row>
    <row r="504" spans="1:28">
      <c r="A504" t="s">
        <v>1552</v>
      </c>
      <c r="B504" t="s">
        <v>1553</v>
      </c>
      <c r="C504" t="s">
        <v>1554</v>
      </c>
      <c r="D504" t="s">
        <v>53</v>
      </c>
      <c r="E504">
        <v>27</v>
      </c>
      <c r="F504" t="s">
        <v>27</v>
      </c>
      <c r="G504" t="s">
        <v>28</v>
      </c>
      <c r="H504">
        <v>31</v>
      </c>
      <c r="I504" t="s">
        <v>39</v>
      </c>
      <c r="J504" t="s">
        <v>66</v>
      </c>
      <c r="K504">
        <v>5</v>
      </c>
      <c r="L504" t="s">
        <v>47</v>
      </c>
      <c r="M504" t="s">
        <v>97</v>
      </c>
      <c r="N504" t="s">
        <v>40</v>
      </c>
      <c r="O504">
        <v>205622</v>
      </c>
      <c r="P504">
        <v>0</v>
      </c>
      <c r="Q504" t="s">
        <v>34</v>
      </c>
      <c r="R504" s="1">
        <v>42235</v>
      </c>
      <c r="S504" t="s">
        <v>34</v>
      </c>
      <c r="T504">
        <v>7</v>
      </c>
      <c r="U504">
        <v>5</v>
      </c>
      <c r="V504">
        <v>5</v>
      </c>
      <c r="W504">
        <v>3</v>
      </c>
      <c r="X504" t="s">
        <v>11024</v>
      </c>
      <c r="Y504" t="s">
        <v>11024</v>
      </c>
      <c r="Z504" t="str">
        <f>_xlfn.XLOOKUP(Employees[[#This Row],[Education]], EdLevel[EducationLevelID], EdLevel[EducationLevel])</f>
        <v>Doctorate</v>
      </c>
      <c r="AA504">
        <f>IF(Employees[[#This Row],[Attrition]] = "Yes", 1, 0)</f>
        <v>0</v>
      </c>
      <c r="AB504" t="str" cm="1">
        <f t="array" ref="AB504">_xlfn.IFS(Employees[[#This Row],[Age]]&lt;30, "20-29", Employees[[#This Row],[Age]]&lt;40, "30-39", Employees[[#This Row],[Age]]&lt;50, "40-49", "TRUE", "50+")</f>
        <v>20-29</v>
      </c>
    </row>
    <row r="505" spans="1:28">
      <c r="A505" t="s">
        <v>1555</v>
      </c>
      <c r="B505" t="s">
        <v>1556</v>
      </c>
      <c r="C505" t="s">
        <v>534</v>
      </c>
      <c r="D505" t="s">
        <v>38</v>
      </c>
      <c r="E505">
        <v>26</v>
      </c>
      <c r="F505" t="s">
        <v>27</v>
      </c>
      <c r="G505" t="s">
        <v>54</v>
      </c>
      <c r="H505">
        <v>39</v>
      </c>
      <c r="I505" t="s">
        <v>39</v>
      </c>
      <c r="J505" t="s">
        <v>30</v>
      </c>
      <c r="K505">
        <v>3</v>
      </c>
      <c r="L505" t="s">
        <v>72</v>
      </c>
      <c r="M505" t="s">
        <v>101</v>
      </c>
      <c r="N505" t="s">
        <v>49</v>
      </c>
      <c r="O505">
        <v>60494</v>
      </c>
      <c r="P505">
        <v>1</v>
      </c>
      <c r="Q505" t="s">
        <v>41</v>
      </c>
      <c r="R505" s="1">
        <v>42238</v>
      </c>
      <c r="S505" t="s">
        <v>34</v>
      </c>
      <c r="T505">
        <v>7</v>
      </c>
      <c r="U505">
        <v>7</v>
      </c>
      <c r="V505">
        <v>7</v>
      </c>
      <c r="W505">
        <v>7</v>
      </c>
      <c r="X505" t="s">
        <v>11022</v>
      </c>
      <c r="Y505" t="s">
        <v>11022</v>
      </c>
      <c r="Z505" t="str">
        <f>_xlfn.XLOOKUP(Employees[[#This Row],[Education]], EdLevel[EducationLevelID], EdLevel[EducationLevel])</f>
        <v xml:space="preserve">Bachelors </v>
      </c>
      <c r="AA505">
        <f>IF(Employees[[#This Row],[Attrition]] = "Yes", 1, 0)</f>
        <v>0</v>
      </c>
      <c r="AB505" t="str" cm="1">
        <f t="array" ref="AB505">_xlfn.IFS(Employees[[#This Row],[Age]]&lt;30, "20-29", Employees[[#This Row],[Age]]&lt;40, "30-39", Employees[[#This Row],[Age]]&lt;50, "40-49", "TRUE", "50+")</f>
        <v>20-29</v>
      </c>
    </row>
    <row r="506" spans="1:28">
      <c r="A506" t="s">
        <v>1557</v>
      </c>
      <c r="B506" t="s">
        <v>1558</v>
      </c>
      <c r="C506" t="s">
        <v>1559</v>
      </c>
      <c r="D506" t="s">
        <v>38</v>
      </c>
      <c r="E506">
        <v>28</v>
      </c>
      <c r="F506" t="s">
        <v>27</v>
      </c>
      <c r="G506" t="s">
        <v>54</v>
      </c>
      <c r="H506">
        <v>43</v>
      </c>
      <c r="I506" t="s">
        <v>29</v>
      </c>
      <c r="J506" t="s">
        <v>30</v>
      </c>
      <c r="K506">
        <v>4</v>
      </c>
      <c r="L506" t="s">
        <v>72</v>
      </c>
      <c r="M506" t="s">
        <v>56</v>
      </c>
      <c r="N506" t="s">
        <v>49</v>
      </c>
      <c r="O506">
        <v>249071</v>
      </c>
      <c r="P506">
        <v>2</v>
      </c>
      <c r="Q506" t="s">
        <v>34</v>
      </c>
      <c r="R506" s="1">
        <v>42240</v>
      </c>
      <c r="S506" t="s">
        <v>34</v>
      </c>
      <c r="T506">
        <v>7</v>
      </c>
      <c r="U506">
        <v>5</v>
      </c>
      <c r="V506">
        <v>5</v>
      </c>
      <c r="W506">
        <v>6</v>
      </c>
      <c r="X506" t="s">
        <v>11023</v>
      </c>
      <c r="Y506" t="s">
        <v>11023</v>
      </c>
      <c r="Z506" t="str">
        <f>_xlfn.XLOOKUP(Employees[[#This Row],[Education]], EdLevel[EducationLevelID], EdLevel[EducationLevel])</f>
        <v xml:space="preserve">Masters </v>
      </c>
      <c r="AA506">
        <f>IF(Employees[[#This Row],[Attrition]] = "Yes", 1, 0)</f>
        <v>0</v>
      </c>
      <c r="AB506" t="str" cm="1">
        <f t="array" ref="AB506">_xlfn.IFS(Employees[[#This Row],[Age]]&lt;30, "20-29", Employees[[#This Row],[Age]]&lt;40, "30-39", Employees[[#This Row],[Age]]&lt;50, "40-49", "TRUE", "50+")</f>
        <v>20-29</v>
      </c>
    </row>
    <row r="507" spans="1:28">
      <c r="A507" t="s">
        <v>1560</v>
      </c>
      <c r="B507" t="s">
        <v>1561</v>
      </c>
      <c r="C507" t="s">
        <v>1562</v>
      </c>
      <c r="D507" t="s">
        <v>38</v>
      </c>
      <c r="E507">
        <v>27</v>
      </c>
      <c r="F507" t="s">
        <v>70</v>
      </c>
      <c r="G507" t="s">
        <v>54</v>
      </c>
      <c r="H507">
        <v>21</v>
      </c>
      <c r="I507" t="s">
        <v>39</v>
      </c>
      <c r="J507" t="s">
        <v>30</v>
      </c>
      <c r="K507">
        <v>4</v>
      </c>
      <c r="L507" t="s">
        <v>72</v>
      </c>
      <c r="M507" t="s">
        <v>105</v>
      </c>
      <c r="N507" t="s">
        <v>33</v>
      </c>
      <c r="O507">
        <v>73326</v>
      </c>
      <c r="P507">
        <v>1</v>
      </c>
      <c r="Q507" t="s">
        <v>34</v>
      </c>
      <c r="R507" s="1">
        <v>42249</v>
      </c>
      <c r="S507" t="s">
        <v>34</v>
      </c>
      <c r="T507">
        <v>7</v>
      </c>
      <c r="U507">
        <v>0</v>
      </c>
      <c r="V507">
        <v>5</v>
      </c>
      <c r="W507">
        <v>0</v>
      </c>
      <c r="X507" t="s">
        <v>11023</v>
      </c>
      <c r="Y507" t="s">
        <v>11023</v>
      </c>
      <c r="Z507" t="str">
        <f>_xlfn.XLOOKUP(Employees[[#This Row],[Education]], EdLevel[EducationLevelID], EdLevel[EducationLevel])</f>
        <v xml:space="preserve">Masters </v>
      </c>
      <c r="AA507">
        <f>IF(Employees[[#This Row],[Attrition]] = "Yes", 1, 0)</f>
        <v>0</v>
      </c>
      <c r="AB507" t="str" cm="1">
        <f t="array" ref="AB507">_xlfn.IFS(Employees[[#This Row],[Age]]&lt;30, "20-29", Employees[[#This Row],[Age]]&lt;40, "30-39", Employees[[#This Row],[Age]]&lt;50, "40-49", "TRUE", "50+")</f>
        <v>20-29</v>
      </c>
    </row>
    <row r="508" spans="1:28">
      <c r="A508" t="s">
        <v>1563</v>
      </c>
      <c r="B508" t="s">
        <v>1564</v>
      </c>
      <c r="C508" t="s">
        <v>1565</v>
      </c>
      <c r="D508" t="s">
        <v>26</v>
      </c>
      <c r="E508">
        <v>26</v>
      </c>
      <c r="F508" t="s">
        <v>27</v>
      </c>
      <c r="G508" t="s">
        <v>54</v>
      </c>
      <c r="H508">
        <v>16</v>
      </c>
      <c r="I508" t="s">
        <v>29</v>
      </c>
      <c r="J508" t="s">
        <v>30</v>
      </c>
      <c r="K508">
        <v>3</v>
      </c>
      <c r="L508" t="s">
        <v>55</v>
      </c>
      <c r="M508" t="s">
        <v>101</v>
      </c>
      <c r="N508" t="s">
        <v>33</v>
      </c>
      <c r="O508">
        <v>25110</v>
      </c>
      <c r="P508">
        <v>2</v>
      </c>
      <c r="Q508" t="s">
        <v>34</v>
      </c>
      <c r="R508" s="1">
        <v>42250</v>
      </c>
      <c r="S508" t="s">
        <v>34</v>
      </c>
      <c r="T508">
        <v>7</v>
      </c>
      <c r="U508">
        <v>1</v>
      </c>
      <c r="V508">
        <v>5</v>
      </c>
      <c r="W508">
        <v>0</v>
      </c>
      <c r="X508" t="s">
        <v>11022</v>
      </c>
      <c r="Y508" t="s">
        <v>11022</v>
      </c>
      <c r="Z508" t="str">
        <f>_xlfn.XLOOKUP(Employees[[#This Row],[Education]], EdLevel[EducationLevelID], EdLevel[EducationLevel])</f>
        <v xml:space="preserve">Bachelors </v>
      </c>
      <c r="AA508">
        <f>IF(Employees[[#This Row],[Attrition]] = "Yes", 1, 0)</f>
        <v>0</v>
      </c>
      <c r="AB508" t="str" cm="1">
        <f t="array" ref="AB508">_xlfn.IFS(Employees[[#This Row],[Age]]&lt;30, "20-29", Employees[[#This Row],[Age]]&lt;40, "30-39", Employees[[#This Row],[Age]]&lt;50, "40-49", "TRUE", "50+")</f>
        <v>20-29</v>
      </c>
    </row>
    <row r="509" spans="1:28">
      <c r="A509" t="s">
        <v>1566</v>
      </c>
      <c r="B509" t="s">
        <v>1567</v>
      </c>
      <c r="C509" t="s">
        <v>1568</v>
      </c>
      <c r="D509" t="s">
        <v>26</v>
      </c>
      <c r="E509">
        <v>26</v>
      </c>
      <c r="F509" t="s">
        <v>27</v>
      </c>
      <c r="G509" t="s">
        <v>54</v>
      </c>
      <c r="H509">
        <v>43</v>
      </c>
      <c r="I509" t="s">
        <v>65</v>
      </c>
      <c r="J509" t="s">
        <v>71</v>
      </c>
      <c r="K509">
        <v>4</v>
      </c>
      <c r="L509" t="s">
        <v>55</v>
      </c>
      <c r="M509" t="s">
        <v>101</v>
      </c>
      <c r="N509" t="s">
        <v>49</v>
      </c>
      <c r="O509">
        <v>30217</v>
      </c>
      <c r="P509">
        <v>1</v>
      </c>
      <c r="Q509" t="s">
        <v>34</v>
      </c>
      <c r="R509" s="1">
        <v>42251</v>
      </c>
      <c r="S509" t="s">
        <v>34</v>
      </c>
      <c r="T509">
        <v>7</v>
      </c>
      <c r="U509">
        <v>2</v>
      </c>
      <c r="V509">
        <v>4</v>
      </c>
      <c r="W509">
        <v>0</v>
      </c>
      <c r="X509" t="s">
        <v>11023</v>
      </c>
      <c r="Y509" t="s">
        <v>11023</v>
      </c>
      <c r="Z509" t="str">
        <f>_xlfn.XLOOKUP(Employees[[#This Row],[Education]], EdLevel[EducationLevelID], EdLevel[EducationLevel])</f>
        <v xml:space="preserve">Masters </v>
      </c>
      <c r="AA509">
        <f>IF(Employees[[#This Row],[Attrition]] = "Yes", 1, 0)</f>
        <v>0</v>
      </c>
      <c r="AB509" t="str" cm="1">
        <f t="array" ref="AB509">_xlfn.IFS(Employees[[#This Row],[Age]]&lt;30, "20-29", Employees[[#This Row],[Age]]&lt;40, "30-39", Employees[[#This Row],[Age]]&lt;50, "40-49", "TRUE", "50+")</f>
        <v>20-29</v>
      </c>
    </row>
    <row r="510" spans="1:28">
      <c r="A510" t="s">
        <v>1569</v>
      </c>
      <c r="B510" t="s">
        <v>1570</v>
      </c>
      <c r="C510" t="s">
        <v>1571</v>
      </c>
      <c r="D510" t="s">
        <v>38</v>
      </c>
      <c r="E510">
        <v>25</v>
      </c>
      <c r="F510" t="s">
        <v>27</v>
      </c>
      <c r="G510" t="s">
        <v>28</v>
      </c>
      <c r="H510">
        <v>38</v>
      </c>
      <c r="I510" t="s">
        <v>65</v>
      </c>
      <c r="J510" t="s">
        <v>66</v>
      </c>
      <c r="K510">
        <v>3</v>
      </c>
      <c r="L510" t="s">
        <v>47</v>
      </c>
      <c r="M510" t="s">
        <v>32</v>
      </c>
      <c r="N510" t="s">
        <v>33</v>
      </c>
      <c r="O510">
        <v>86485</v>
      </c>
      <c r="P510">
        <v>1</v>
      </c>
      <c r="Q510" t="s">
        <v>41</v>
      </c>
      <c r="R510" s="1">
        <v>42254</v>
      </c>
      <c r="S510" t="s">
        <v>34</v>
      </c>
      <c r="T510">
        <v>7</v>
      </c>
      <c r="U510">
        <v>6</v>
      </c>
      <c r="V510">
        <v>6</v>
      </c>
      <c r="W510">
        <v>0</v>
      </c>
      <c r="X510" t="s">
        <v>11022</v>
      </c>
      <c r="Y510" t="s">
        <v>11022</v>
      </c>
      <c r="Z510" t="str">
        <f>_xlfn.XLOOKUP(Employees[[#This Row],[Education]], EdLevel[EducationLevelID], EdLevel[EducationLevel])</f>
        <v xml:space="preserve">Bachelors </v>
      </c>
      <c r="AA510">
        <f>IF(Employees[[#This Row],[Attrition]] = "Yes", 1, 0)</f>
        <v>0</v>
      </c>
      <c r="AB510" t="str" cm="1">
        <f t="array" ref="AB510">_xlfn.IFS(Employees[[#This Row],[Age]]&lt;30, "20-29", Employees[[#This Row],[Age]]&lt;40, "30-39", Employees[[#This Row],[Age]]&lt;50, "40-49", "TRUE", "50+")</f>
        <v>20-29</v>
      </c>
    </row>
    <row r="511" spans="1:28">
      <c r="A511" t="s">
        <v>1572</v>
      </c>
      <c r="B511" t="s">
        <v>1573</v>
      </c>
      <c r="C511" t="s">
        <v>1574</v>
      </c>
      <c r="D511" t="s">
        <v>38</v>
      </c>
      <c r="E511">
        <v>28</v>
      </c>
      <c r="F511" t="s">
        <v>70</v>
      </c>
      <c r="G511" t="s">
        <v>54</v>
      </c>
      <c r="H511">
        <v>17</v>
      </c>
      <c r="I511" t="s">
        <v>65</v>
      </c>
      <c r="J511" t="s">
        <v>71</v>
      </c>
      <c r="K511">
        <v>2</v>
      </c>
      <c r="L511" t="s">
        <v>72</v>
      </c>
      <c r="M511" t="s">
        <v>101</v>
      </c>
      <c r="N511" t="s">
        <v>40</v>
      </c>
      <c r="O511">
        <v>54324</v>
      </c>
      <c r="P511">
        <v>0</v>
      </c>
      <c r="Q511" t="s">
        <v>41</v>
      </c>
      <c r="R511" s="1">
        <v>42257</v>
      </c>
      <c r="S511" t="s">
        <v>41</v>
      </c>
      <c r="T511">
        <v>3</v>
      </c>
      <c r="U511">
        <v>3</v>
      </c>
      <c r="V511">
        <v>3</v>
      </c>
      <c r="W511">
        <v>1</v>
      </c>
      <c r="X511" t="s">
        <v>11021</v>
      </c>
      <c r="Y511" t="s">
        <v>11021</v>
      </c>
      <c r="Z511" t="str">
        <f>_xlfn.XLOOKUP(Employees[[#This Row],[Education]], EdLevel[EducationLevelID], EdLevel[EducationLevel])</f>
        <v xml:space="preserve">High School </v>
      </c>
      <c r="AA511">
        <f>IF(Employees[[#This Row],[Attrition]] = "Yes", 1, 0)</f>
        <v>1</v>
      </c>
      <c r="AB511" t="str" cm="1">
        <f t="array" ref="AB511">_xlfn.IFS(Employees[[#This Row],[Age]]&lt;30, "20-29", Employees[[#This Row],[Age]]&lt;40, "30-39", Employees[[#This Row],[Age]]&lt;50, "40-49", "TRUE", "50+")</f>
        <v>20-29</v>
      </c>
    </row>
    <row r="512" spans="1:28">
      <c r="A512" t="s">
        <v>1575</v>
      </c>
      <c r="B512" t="s">
        <v>1576</v>
      </c>
      <c r="C512" t="s">
        <v>1577</v>
      </c>
      <c r="D512" t="s">
        <v>26</v>
      </c>
      <c r="E512">
        <v>25</v>
      </c>
      <c r="F512" t="s">
        <v>84</v>
      </c>
      <c r="G512" t="s">
        <v>28</v>
      </c>
      <c r="H512">
        <v>6</v>
      </c>
      <c r="I512" t="s">
        <v>39</v>
      </c>
      <c r="J512" t="s">
        <v>66</v>
      </c>
      <c r="K512">
        <v>3</v>
      </c>
      <c r="L512" t="s">
        <v>31</v>
      </c>
      <c r="M512" t="s">
        <v>32</v>
      </c>
      <c r="N512" t="s">
        <v>49</v>
      </c>
      <c r="O512">
        <v>102569</v>
      </c>
      <c r="P512">
        <v>0</v>
      </c>
      <c r="Q512" t="s">
        <v>34</v>
      </c>
      <c r="R512" s="1">
        <v>42259</v>
      </c>
      <c r="S512" t="s">
        <v>34</v>
      </c>
      <c r="T512">
        <v>7</v>
      </c>
      <c r="U512">
        <v>1</v>
      </c>
      <c r="V512">
        <v>2</v>
      </c>
      <c r="W512">
        <v>5</v>
      </c>
      <c r="X512" t="s">
        <v>11022</v>
      </c>
      <c r="Y512" t="s">
        <v>11022</v>
      </c>
      <c r="Z512" t="str">
        <f>_xlfn.XLOOKUP(Employees[[#This Row],[Education]], EdLevel[EducationLevelID], EdLevel[EducationLevel])</f>
        <v xml:space="preserve">Bachelors </v>
      </c>
      <c r="AA512">
        <f>IF(Employees[[#This Row],[Attrition]] = "Yes", 1, 0)</f>
        <v>0</v>
      </c>
      <c r="AB512" t="str" cm="1">
        <f t="array" ref="AB512">_xlfn.IFS(Employees[[#This Row],[Age]]&lt;30, "20-29", Employees[[#This Row],[Age]]&lt;40, "30-39", Employees[[#This Row],[Age]]&lt;50, "40-49", "TRUE", "50+")</f>
        <v>20-29</v>
      </c>
    </row>
    <row r="513" spans="1:28">
      <c r="A513" t="s">
        <v>1578</v>
      </c>
      <c r="B513" t="s">
        <v>1579</v>
      </c>
      <c r="C513" t="s">
        <v>1580</v>
      </c>
      <c r="D513" t="s">
        <v>26</v>
      </c>
      <c r="E513">
        <v>27</v>
      </c>
      <c r="F513" t="s">
        <v>27</v>
      </c>
      <c r="G513" t="s">
        <v>54</v>
      </c>
      <c r="H513">
        <v>1</v>
      </c>
      <c r="I513" t="s">
        <v>29</v>
      </c>
      <c r="J513" t="s">
        <v>30</v>
      </c>
      <c r="K513">
        <v>3</v>
      </c>
      <c r="L513" t="s">
        <v>72</v>
      </c>
      <c r="M513" t="s">
        <v>56</v>
      </c>
      <c r="N513" t="s">
        <v>40</v>
      </c>
      <c r="O513">
        <v>200409</v>
      </c>
      <c r="P513">
        <v>0</v>
      </c>
      <c r="Q513" t="s">
        <v>34</v>
      </c>
      <c r="R513" s="1">
        <v>42264</v>
      </c>
      <c r="S513" t="s">
        <v>34</v>
      </c>
      <c r="T513">
        <v>7</v>
      </c>
      <c r="U513">
        <v>5</v>
      </c>
      <c r="V513">
        <v>6</v>
      </c>
      <c r="W513">
        <v>1</v>
      </c>
      <c r="X513" t="s">
        <v>11022</v>
      </c>
      <c r="Y513" t="s">
        <v>11022</v>
      </c>
      <c r="Z513" t="str">
        <f>_xlfn.XLOOKUP(Employees[[#This Row],[Education]], EdLevel[EducationLevelID], EdLevel[EducationLevel])</f>
        <v xml:space="preserve">Bachelors </v>
      </c>
      <c r="AA513">
        <f>IF(Employees[[#This Row],[Attrition]] = "Yes", 1, 0)</f>
        <v>0</v>
      </c>
      <c r="AB513" t="str" cm="1">
        <f t="array" ref="AB513">_xlfn.IFS(Employees[[#This Row],[Age]]&lt;30, "20-29", Employees[[#This Row],[Age]]&lt;40, "30-39", Employees[[#This Row],[Age]]&lt;50, "40-49", "TRUE", "50+")</f>
        <v>20-29</v>
      </c>
    </row>
    <row r="514" spans="1:28">
      <c r="A514" t="s">
        <v>1581</v>
      </c>
      <c r="B514" t="s">
        <v>1582</v>
      </c>
      <c r="C514" t="s">
        <v>1583</v>
      </c>
      <c r="D514" t="s">
        <v>53</v>
      </c>
      <c r="E514">
        <v>28</v>
      </c>
      <c r="F514" t="s">
        <v>27</v>
      </c>
      <c r="G514" t="s">
        <v>28</v>
      </c>
      <c r="H514">
        <v>38</v>
      </c>
      <c r="I514" t="s">
        <v>29</v>
      </c>
      <c r="J514" t="s">
        <v>66</v>
      </c>
      <c r="K514">
        <v>3</v>
      </c>
      <c r="L514" t="s">
        <v>31</v>
      </c>
      <c r="M514" t="s">
        <v>32</v>
      </c>
      <c r="N514" t="s">
        <v>33</v>
      </c>
      <c r="O514">
        <v>185380</v>
      </c>
      <c r="P514">
        <v>1</v>
      </c>
      <c r="Q514" t="s">
        <v>34</v>
      </c>
      <c r="R514" s="1">
        <v>42268</v>
      </c>
      <c r="S514" t="s">
        <v>41</v>
      </c>
      <c r="T514">
        <v>5</v>
      </c>
      <c r="U514">
        <v>2</v>
      </c>
      <c r="V514">
        <v>5</v>
      </c>
      <c r="W514">
        <v>3</v>
      </c>
      <c r="X514" t="s">
        <v>11022</v>
      </c>
      <c r="Y514" t="s">
        <v>11022</v>
      </c>
      <c r="Z514" t="str">
        <f>_xlfn.XLOOKUP(Employees[[#This Row],[Education]], EdLevel[EducationLevelID], EdLevel[EducationLevel])</f>
        <v xml:space="preserve">Bachelors </v>
      </c>
      <c r="AA514">
        <f>IF(Employees[[#This Row],[Attrition]] = "Yes", 1, 0)</f>
        <v>1</v>
      </c>
      <c r="AB514" t="str" cm="1">
        <f t="array" ref="AB514">_xlfn.IFS(Employees[[#This Row],[Age]]&lt;30, "20-29", Employees[[#This Row],[Age]]&lt;40, "30-39", Employees[[#This Row],[Age]]&lt;50, "40-49", "TRUE", "50+")</f>
        <v>20-29</v>
      </c>
    </row>
    <row r="515" spans="1:28">
      <c r="A515" t="s">
        <v>1584</v>
      </c>
      <c r="B515" t="s">
        <v>1585</v>
      </c>
      <c r="C515" t="s">
        <v>1586</v>
      </c>
      <c r="D515" t="s">
        <v>38</v>
      </c>
      <c r="E515">
        <v>26</v>
      </c>
      <c r="F515" t="s">
        <v>27</v>
      </c>
      <c r="G515" t="s">
        <v>28</v>
      </c>
      <c r="H515">
        <v>3</v>
      </c>
      <c r="I515" t="s">
        <v>65</v>
      </c>
      <c r="J515" t="s">
        <v>30</v>
      </c>
      <c r="K515">
        <v>1</v>
      </c>
      <c r="L515" t="s">
        <v>47</v>
      </c>
      <c r="M515" t="s">
        <v>32</v>
      </c>
      <c r="N515" t="s">
        <v>49</v>
      </c>
      <c r="O515">
        <v>56892</v>
      </c>
      <c r="P515">
        <v>0</v>
      </c>
      <c r="Q515" t="s">
        <v>34</v>
      </c>
      <c r="R515" s="1">
        <v>42276</v>
      </c>
      <c r="S515" t="s">
        <v>34</v>
      </c>
      <c r="T515">
        <v>7</v>
      </c>
      <c r="U515">
        <v>1</v>
      </c>
      <c r="V515">
        <v>3</v>
      </c>
      <c r="W515">
        <v>3</v>
      </c>
      <c r="X515" t="s">
        <v>11020</v>
      </c>
      <c r="Y515" t="s">
        <v>11020</v>
      </c>
      <c r="Z515" t="str">
        <f>_xlfn.XLOOKUP(Employees[[#This Row],[Education]], EdLevel[EducationLevelID], EdLevel[EducationLevel])</f>
        <v>No Formal Qualifications</v>
      </c>
      <c r="AA515">
        <f>IF(Employees[[#This Row],[Attrition]] = "Yes", 1, 0)</f>
        <v>0</v>
      </c>
      <c r="AB515" t="str" cm="1">
        <f t="array" ref="AB515">_xlfn.IFS(Employees[[#This Row],[Age]]&lt;30, "20-29", Employees[[#This Row],[Age]]&lt;40, "30-39", Employees[[#This Row],[Age]]&lt;50, "40-49", "TRUE", "50+")</f>
        <v>20-29</v>
      </c>
    </row>
    <row r="516" spans="1:28">
      <c r="A516" t="s">
        <v>1587</v>
      </c>
      <c r="B516" t="s">
        <v>1588</v>
      </c>
      <c r="C516" t="s">
        <v>1589</v>
      </c>
      <c r="D516" t="s">
        <v>53</v>
      </c>
      <c r="E516">
        <v>28</v>
      </c>
      <c r="F516" t="s">
        <v>70</v>
      </c>
      <c r="G516" t="s">
        <v>54</v>
      </c>
      <c r="H516">
        <v>26</v>
      </c>
      <c r="I516" t="s">
        <v>39</v>
      </c>
      <c r="J516" t="s">
        <v>66</v>
      </c>
      <c r="K516">
        <v>5</v>
      </c>
      <c r="L516" t="s">
        <v>55</v>
      </c>
      <c r="M516" t="s">
        <v>85</v>
      </c>
      <c r="N516" t="s">
        <v>49</v>
      </c>
      <c r="O516">
        <v>112175</v>
      </c>
      <c r="P516">
        <v>3</v>
      </c>
      <c r="Q516" t="s">
        <v>34</v>
      </c>
      <c r="R516" s="1">
        <v>42277</v>
      </c>
      <c r="S516" t="s">
        <v>34</v>
      </c>
      <c r="T516">
        <v>7</v>
      </c>
      <c r="U516">
        <v>1</v>
      </c>
      <c r="V516">
        <v>3</v>
      </c>
      <c r="W516">
        <v>4</v>
      </c>
      <c r="X516" t="s">
        <v>11024</v>
      </c>
      <c r="Y516" t="s">
        <v>11024</v>
      </c>
      <c r="Z516" t="str">
        <f>_xlfn.XLOOKUP(Employees[[#This Row],[Education]], EdLevel[EducationLevelID], EdLevel[EducationLevel])</f>
        <v>Doctorate</v>
      </c>
      <c r="AA516">
        <f>IF(Employees[[#This Row],[Attrition]] = "Yes", 1, 0)</f>
        <v>0</v>
      </c>
      <c r="AB516" t="str" cm="1">
        <f t="array" ref="AB516">_xlfn.IFS(Employees[[#This Row],[Age]]&lt;30, "20-29", Employees[[#This Row],[Age]]&lt;40, "30-39", Employees[[#This Row],[Age]]&lt;50, "40-49", "TRUE", "50+")</f>
        <v>20-29</v>
      </c>
    </row>
    <row r="517" spans="1:28">
      <c r="A517" t="s">
        <v>1590</v>
      </c>
      <c r="B517" t="s">
        <v>1591</v>
      </c>
      <c r="C517" t="s">
        <v>1592</v>
      </c>
      <c r="D517" t="s">
        <v>859</v>
      </c>
      <c r="E517">
        <v>28</v>
      </c>
      <c r="F517" t="s">
        <v>70</v>
      </c>
      <c r="G517" t="s">
        <v>54</v>
      </c>
      <c r="H517">
        <v>45</v>
      </c>
      <c r="I517" t="s">
        <v>29</v>
      </c>
      <c r="J517" t="s">
        <v>66</v>
      </c>
      <c r="K517">
        <v>4</v>
      </c>
      <c r="L517" t="s">
        <v>72</v>
      </c>
      <c r="M517" t="s">
        <v>93</v>
      </c>
      <c r="N517" t="s">
        <v>49</v>
      </c>
      <c r="O517">
        <v>87762</v>
      </c>
      <c r="P517">
        <v>0</v>
      </c>
      <c r="Q517" t="s">
        <v>34</v>
      </c>
      <c r="R517" s="1">
        <v>42279</v>
      </c>
      <c r="S517" t="s">
        <v>34</v>
      </c>
      <c r="T517">
        <v>7</v>
      </c>
      <c r="U517">
        <v>2</v>
      </c>
      <c r="V517">
        <v>7</v>
      </c>
      <c r="W517">
        <v>2</v>
      </c>
      <c r="X517" t="s">
        <v>11023</v>
      </c>
      <c r="Y517" t="s">
        <v>11023</v>
      </c>
      <c r="Z517" t="str">
        <f>_xlfn.XLOOKUP(Employees[[#This Row],[Education]], EdLevel[EducationLevelID], EdLevel[EducationLevel])</f>
        <v xml:space="preserve">Masters </v>
      </c>
      <c r="AA517">
        <f>IF(Employees[[#This Row],[Attrition]] = "Yes", 1, 0)</f>
        <v>0</v>
      </c>
      <c r="AB517" t="str" cm="1">
        <f t="array" ref="AB517">_xlfn.IFS(Employees[[#This Row],[Age]]&lt;30, "20-29", Employees[[#This Row],[Age]]&lt;40, "30-39", Employees[[#This Row],[Age]]&lt;50, "40-49", "TRUE", "50+")</f>
        <v>20-29</v>
      </c>
    </row>
    <row r="518" spans="1:28">
      <c r="A518" t="s">
        <v>1593</v>
      </c>
      <c r="B518" t="s">
        <v>1594</v>
      </c>
      <c r="C518" t="s">
        <v>1595</v>
      </c>
      <c r="D518" t="s">
        <v>53</v>
      </c>
      <c r="E518">
        <v>27</v>
      </c>
      <c r="F518" t="s">
        <v>27</v>
      </c>
      <c r="G518" t="s">
        <v>54</v>
      </c>
      <c r="H518">
        <v>5</v>
      </c>
      <c r="I518" t="s">
        <v>65</v>
      </c>
      <c r="J518" t="s">
        <v>30</v>
      </c>
      <c r="K518">
        <v>2</v>
      </c>
      <c r="L518" t="s">
        <v>55</v>
      </c>
      <c r="M518" t="s">
        <v>101</v>
      </c>
      <c r="N518" t="s">
        <v>49</v>
      </c>
      <c r="O518">
        <v>26542</v>
      </c>
      <c r="P518">
        <v>1</v>
      </c>
      <c r="Q518" t="s">
        <v>34</v>
      </c>
      <c r="R518" s="1">
        <v>42282</v>
      </c>
      <c r="S518" t="s">
        <v>34</v>
      </c>
      <c r="T518">
        <v>7</v>
      </c>
      <c r="U518">
        <v>1</v>
      </c>
      <c r="V518">
        <v>7</v>
      </c>
      <c r="W518">
        <v>5</v>
      </c>
      <c r="X518" t="s">
        <v>11021</v>
      </c>
      <c r="Y518" t="s">
        <v>11021</v>
      </c>
      <c r="Z518" t="str">
        <f>_xlfn.XLOOKUP(Employees[[#This Row],[Education]], EdLevel[EducationLevelID], EdLevel[EducationLevel])</f>
        <v xml:space="preserve">High School </v>
      </c>
      <c r="AA518">
        <f>IF(Employees[[#This Row],[Attrition]] = "Yes", 1, 0)</f>
        <v>0</v>
      </c>
      <c r="AB518" t="str" cm="1">
        <f t="array" ref="AB518">_xlfn.IFS(Employees[[#This Row],[Age]]&lt;30, "20-29", Employees[[#This Row],[Age]]&lt;40, "30-39", Employees[[#This Row],[Age]]&lt;50, "40-49", "TRUE", "50+")</f>
        <v>20-29</v>
      </c>
    </row>
    <row r="519" spans="1:28">
      <c r="A519" t="s">
        <v>1596</v>
      </c>
      <c r="B519" t="s">
        <v>1597</v>
      </c>
      <c r="C519" t="s">
        <v>1598</v>
      </c>
      <c r="D519" t="s">
        <v>53</v>
      </c>
      <c r="E519">
        <v>27</v>
      </c>
      <c r="F519" t="s">
        <v>27</v>
      </c>
      <c r="G519" t="s">
        <v>54</v>
      </c>
      <c r="H519">
        <v>2</v>
      </c>
      <c r="I519" t="s">
        <v>39</v>
      </c>
      <c r="J519" t="s">
        <v>66</v>
      </c>
      <c r="K519">
        <v>4</v>
      </c>
      <c r="L519" t="s">
        <v>55</v>
      </c>
      <c r="M519" t="s">
        <v>85</v>
      </c>
      <c r="N519" t="s">
        <v>49</v>
      </c>
      <c r="O519">
        <v>39198</v>
      </c>
      <c r="P519">
        <v>1</v>
      </c>
      <c r="Q519" t="s">
        <v>34</v>
      </c>
      <c r="R519" s="1">
        <v>42287</v>
      </c>
      <c r="S519" t="s">
        <v>34</v>
      </c>
      <c r="T519">
        <v>7</v>
      </c>
      <c r="U519">
        <v>6</v>
      </c>
      <c r="V519">
        <v>7</v>
      </c>
      <c r="W519">
        <v>4</v>
      </c>
      <c r="X519" t="s">
        <v>11023</v>
      </c>
      <c r="Y519" t="s">
        <v>11023</v>
      </c>
      <c r="Z519" t="str">
        <f>_xlfn.XLOOKUP(Employees[[#This Row],[Education]], EdLevel[EducationLevelID], EdLevel[EducationLevel])</f>
        <v xml:space="preserve">Masters </v>
      </c>
      <c r="AA519">
        <f>IF(Employees[[#This Row],[Attrition]] = "Yes", 1, 0)</f>
        <v>0</v>
      </c>
      <c r="AB519" t="str" cm="1">
        <f t="array" ref="AB519">_xlfn.IFS(Employees[[#This Row],[Age]]&lt;30, "20-29", Employees[[#This Row],[Age]]&lt;40, "30-39", Employees[[#This Row],[Age]]&lt;50, "40-49", "TRUE", "50+")</f>
        <v>20-29</v>
      </c>
    </row>
    <row r="520" spans="1:28">
      <c r="A520" t="s">
        <v>1599</v>
      </c>
      <c r="B520" t="s">
        <v>1600</v>
      </c>
      <c r="C520" t="s">
        <v>1601</v>
      </c>
      <c r="D520" t="s">
        <v>38</v>
      </c>
      <c r="E520">
        <v>28</v>
      </c>
      <c r="F520" t="s">
        <v>27</v>
      </c>
      <c r="G520" t="s">
        <v>28</v>
      </c>
      <c r="H520">
        <v>43</v>
      </c>
      <c r="I520" t="s">
        <v>65</v>
      </c>
      <c r="J520" t="s">
        <v>66</v>
      </c>
      <c r="K520">
        <v>4</v>
      </c>
      <c r="L520" t="s">
        <v>47</v>
      </c>
      <c r="M520" t="s">
        <v>32</v>
      </c>
      <c r="N520" t="s">
        <v>33</v>
      </c>
      <c r="O520">
        <v>157549</v>
      </c>
      <c r="P520">
        <v>1</v>
      </c>
      <c r="Q520" t="s">
        <v>34</v>
      </c>
      <c r="R520" s="1">
        <v>42297</v>
      </c>
      <c r="S520" t="s">
        <v>34</v>
      </c>
      <c r="T520">
        <v>7</v>
      </c>
      <c r="U520">
        <v>0</v>
      </c>
      <c r="V520">
        <v>0</v>
      </c>
      <c r="W520">
        <v>3</v>
      </c>
      <c r="X520" t="s">
        <v>11023</v>
      </c>
      <c r="Y520" t="s">
        <v>11023</v>
      </c>
      <c r="Z520" t="str">
        <f>_xlfn.XLOOKUP(Employees[[#This Row],[Education]], EdLevel[EducationLevelID], EdLevel[EducationLevel])</f>
        <v xml:space="preserve">Masters </v>
      </c>
      <c r="AA520">
        <f>IF(Employees[[#This Row],[Attrition]] = "Yes", 1, 0)</f>
        <v>0</v>
      </c>
      <c r="AB520" t="str" cm="1">
        <f t="array" ref="AB520">_xlfn.IFS(Employees[[#This Row],[Age]]&lt;30, "20-29", Employees[[#This Row],[Age]]&lt;40, "30-39", Employees[[#This Row],[Age]]&lt;50, "40-49", "TRUE", "50+")</f>
        <v>20-29</v>
      </c>
    </row>
    <row r="521" spans="1:28">
      <c r="A521" t="s">
        <v>1602</v>
      </c>
      <c r="B521" t="s">
        <v>1603</v>
      </c>
      <c r="C521" t="s">
        <v>1604</v>
      </c>
      <c r="D521" t="s">
        <v>38</v>
      </c>
      <c r="E521">
        <v>27</v>
      </c>
      <c r="F521" t="s">
        <v>27</v>
      </c>
      <c r="G521" t="s">
        <v>28</v>
      </c>
      <c r="H521">
        <v>7</v>
      </c>
      <c r="I521" t="s">
        <v>39</v>
      </c>
      <c r="J521" t="s">
        <v>71</v>
      </c>
      <c r="K521">
        <v>3</v>
      </c>
      <c r="L521" t="s">
        <v>31</v>
      </c>
      <c r="M521" t="s">
        <v>32</v>
      </c>
      <c r="N521" t="s">
        <v>49</v>
      </c>
      <c r="O521">
        <v>73918</v>
      </c>
      <c r="P521">
        <v>1</v>
      </c>
      <c r="Q521" t="s">
        <v>34</v>
      </c>
      <c r="R521" s="1">
        <v>42298</v>
      </c>
      <c r="S521" t="s">
        <v>34</v>
      </c>
      <c r="T521">
        <v>7</v>
      </c>
      <c r="U521">
        <v>3</v>
      </c>
      <c r="V521">
        <v>4</v>
      </c>
      <c r="W521">
        <v>1</v>
      </c>
      <c r="X521" t="s">
        <v>11022</v>
      </c>
      <c r="Y521" t="s">
        <v>11022</v>
      </c>
      <c r="Z521" t="str">
        <f>_xlfn.XLOOKUP(Employees[[#This Row],[Education]], EdLevel[EducationLevelID], EdLevel[EducationLevel])</f>
        <v xml:space="preserve">Bachelors </v>
      </c>
      <c r="AA521">
        <f>IF(Employees[[#This Row],[Attrition]] = "Yes", 1, 0)</f>
        <v>0</v>
      </c>
      <c r="AB521" t="str" cm="1">
        <f t="array" ref="AB521">_xlfn.IFS(Employees[[#This Row],[Age]]&lt;30, "20-29", Employees[[#This Row],[Age]]&lt;40, "30-39", Employees[[#This Row],[Age]]&lt;50, "40-49", "TRUE", "50+")</f>
        <v>20-29</v>
      </c>
    </row>
    <row r="522" spans="1:28">
      <c r="A522" t="s">
        <v>1605</v>
      </c>
      <c r="B522" t="s">
        <v>1606</v>
      </c>
      <c r="C522" t="s">
        <v>1607</v>
      </c>
      <c r="D522" t="s">
        <v>38</v>
      </c>
      <c r="E522">
        <v>28</v>
      </c>
      <c r="F522" t="s">
        <v>27</v>
      </c>
      <c r="G522" t="s">
        <v>28</v>
      </c>
      <c r="H522">
        <v>10</v>
      </c>
      <c r="I522" t="s">
        <v>65</v>
      </c>
      <c r="J522" t="s">
        <v>66</v>
      </c>
      <c r="K522">
        <v>1</v>
      </c>
      <c r="L522" t="s">
        <v>47</v>
      </c>
      <c r="M522" t="s">
        <v>32</v>
      </c>
      <c r="N522" t="s">
        <v>49</v>
      </c>
      <c r="O522">
        <v>83864</v>
      </c>
      <c r="P522">
        <v>2</v>
      </c>
      <c r="Q522" t="s">
        <v>34</v>
      </c>
      <c r="R522" s="1">
        <v>42298</v>
      </c>
      <c r="S522" t="s">
        <v>34</v>
      </c>
      <c r="T522">
        <v>7</v>
      </c>
      <c r="U522">
        <v>7</v>
      </c>
      <c r="V522">
        <v>7</v>
      </c>
      <c r="W522">
        <v>5</v>
      </c>
      <c r="X522" t="s">
        <v>11020</v>
      </c>
      <c r="Y522" t="s">
        <v>11020</v>
      </c>
      <c r="Z522" t="str">
        <f>_xlfn.XLOOKUP(Employees[[#This Row],[Education]], EdLevel[EducationLevelID], EdLevel[EducationLevel])</f>
        <v>No Formal Qualifications</v>
      </c>
      <c r="AA522">
        <f>IF(Employees[[#This Row],[Attrition]] = "Yes", 1, 0)</f>
        <v>0</v>
      </c>
      <c r="AB522" t="str" cm="1">
        <f t="array" ref="AB522">_xlfn.IFS(Employees[[#This Row],[Age]]&lt;30, "20-29", Employees[[#This Row],[Age]]&lt;40, "30-39", Employees[[#This Row],[Age]]&lt;50, "40-49", "TRUE", "50+")</f>
        <v>20-29</v>
      </c>
    </row>
    <row r="523" spans="1:28">
      <c r="A523" t="s">
        <v>1608</v>
      </c>
      <c r="B523" t="s">
        <v>1609</v>
      </c>
      <c r="C523" t="s">
        <v>1610</v>
      </c>
      <c r="D523" t="s">
        <v>26</v>
      </c>
      <c r="E523">
        <v>26</v>
      </c>
      <c r="F523" t="s">
        <v>27</v>
      </c>
      <c r="G523" t="s">
        <v>54</v>
      </c>
      <c r="H523">
        <v>27</v>
      </c>
      <c r="I523" t="s">
        <v>39</v>
      </c>
      <c r="J523" t="s">
        <v>30</v>
      </c>
      <c r="K523">
        <v>2</v>
      </c>
      <c r="L523" t="s">
        <v>55</v>
      </c>
      <c r="M523" t="s">
        <v>85</v>
      </c>
      <c r="N523" t="s">
        <v>49</v>
      </c>
      <c r="O523">
        <v>42052</v>
      </c>
      <c r="P523">
        <v>1</v>
      </c>
      <c r="Q523" t="s">
        <v>34</v>
      </c>
      <c r="R523" s="1">
        <v>42303</v>
      </c>
      <c r="S523" t="s">
        <v>34</v>
      </c>
      <c r="T523">
        <v>7</v>
      </c>
      <c r="U523">
        <v>7</v>
      </c>
      <c r="V523">
        <v>7</v>
      </c>
      <c r="W523">
        <v>2</v>
      </c>
      <c r="X523" t="s">
        <v>11021</v>
      </c>
      <c r="Y523" t="s">
        <v>11021</v>
      </c>
      <c r="Z523" t="str">
        <f>_xlfn.XLOOKUP(Employees[[#This Row],[Education]], EdLevel[EducationLevelID], EdLevel[EducationLevel])</f>
        <v xml:space="preserve">High School </v>
      </c>
      <c r="AA523">
        <f>IF(Employees[[#This Row],[Attrition]] = "Yes", 1, 0)</f>
        <v>0</v>
      </c>
      <c r="AB523" t="str" cm="1">
        <f t="array" ref="AB523">_xlfn.IFS(Employees[[#This Row],[Age]]&lt;30, "20-29", Employees[[#This Row],[Age]]&lt;40, "30-39", Employees[[#This Row],[Age]]&lt;50, "40-49", "TRUE", "50+")</f>
        <v>20-29</v>
      </c>
    </row>
    <row r="524" spans="1:28">
      <c r="A524" t="s">
        <v>1611</v>
      </c>
      <c r="B524" t="s">
        <v>1612</v>
      </c>
      <c r="C524" t="s">
        <v>1613</v>
      </c>
      <c r="D524" t="s">
        <v>38</v>
      </c>
      <c r="E524">
        <v>28</v>
      </c>
      <c r="F524" t="s">
        <v>27</v>
      </c>
      <c r="G524" t="s">
        <v>54</v>
      </c>
      <c r="H524">
        <v>2</v>
      </c>
      <c r="I524" t="s">
        <v>39</v>
      </c>
      <c r="J524" t="s">
        <v>46</v>
      </c>
      <c r="K524">
        <v>3</v>
      </c>
      <c r="L524" t="s">
        <v>55</v>
      </c>
      <c r="M524" t="s">
        <v>93</v>
      </c>
      <c r="N524" t="s">
        <v>40</v>
      </c>
      <c r="O524">
        <v>220234</v>
      </c>
      <c r="P524">
        <v>0</v>
      </c>
      <c r="Q524" t="s">
        <v>41</v>
      </c>
      <c r="R524" s="1">
        <v>42303</v>
      </c>
      <c r="S524" t="s">
        <v>34</v>
      </c>
      <c r="T524">
        <v>7</v>
      </c>
      <c r="U524">
        <v>5</v>
      </c>
      <c r="V524">
        <v>7</v>
      </c>
      <c r="W524">
        <v>1</v>
      </c>
      <c r="X524" t="s">
        <v>11022</v>
      </c>
      <c r="Y524" t="s">
        <v>11022</v>
      </c>
      <c r="Z524" t="str">
        <f>_xlfn.XLOOKUP(Employees[[#This Row],[Education]], EdLevel[EducationLevelID], EdLevel[EducationLevel])</f>
        <v xml:space="preserve">Bachelors </v>
      </c>
      <c r="AA524">
        <f>IF(Employees[[#This Row],[Attrition]] = "Yes", 1, 0)</f>
        <v>0</v>
      </c>
      <c r="AB524" t="str" cm="1">
        <f t="array" ref="AB524">_xlfn.IFS(Employees[[#This Row],[Age]]&lt;30, "20-29", Employees[[#This Row],[Age]]&lt;40, "30-39", Employees[[#This Row],[Age]]&lt;50, "40-49", "TRUE", "50+")</f>
        <v>20-29</v>
      </c>
    </row>
    <row r="525" spans="1:28">
      <c r="A525" t="s">
        <v>1614</v>
      </c>
      <c r="B525" t="s">
        <v>1615</v>
      </c>
      <c r="C525" t="s">
        <v>1616</v>
      </c>
      <c r="D525" t="s">
        <v>26</v>
      </c>
      <c r="E525">
        <v>27</v>
      </c>
      <c r="F525" t="s">
        <v>27</v>
      </c>
      <c r="G525" t="s">
        <v>28</v>
      </c>
      <c r="H525">
        <v>1</v>
      </c>
      <c r="I525" t="s">
        <v>39</v>
      </c>
      <c r="J525" t="s">
        <v>92</v>
      </c>
      <c r="K525">
        <v>2</v>
      </c>
      <c r="L525" t="s">
        <v>60</v>
      </c>
      <c r="M525" t="s">
        <v>150</v>
      </c>
      <c r="N525" t="s">
        <v>40</v>
      </c>
      <c r="O525">
        <v>62496</v>
      </c>
      <c r="P525">
        <v>0</v>
      </c>
      <c r="Q525" t="s">
        <v>34</v>
      </c>
      <c r="R525" s="1">
        <v>42304</v>
      </c>
      <c r="S525" t="s">
        <v>34</v>
      </c>
      <c r="T525">
        <v>7</v>
      </c>
      <c r="U525">
        <v>6</v>
      </c>
      <c r="V525">
        <v>6</v>
      </c>
      <c r="W525">
        <v>1</v>
      </c>
      <c r="X525" t="s">
        <v>11021</v>
      </c>
      <c r="Y525" t="s">
        <v>11021</v>
      </c>
      <c r="Z525" t="str">
        <f>_xlfn.XLOOKUP(Employees[[#This Row],[Education]], EdLevel[EducationLevelID], EdLevel[EducationLevel])</f>
        <v xml:space="preserve">High School </v>
      </c>
      <c r="AA525">
        <f>IF(Employees[[#This Row],[Attrition]] = "Yes", 1, 0)</f>
        <v>0</v>
      </c>
      <c r="AB525" t="str" cm="1">
        <f t="array" ref="AB525">_xlfn.IFS(Employees[[#This Row],[Age]]&lt;30, "20-29", Employees[[#This Row],[Age]]&lt;40, "30-39", Employees[[#This Row],[Age]]&lt;50, "40-49", "TRUE", "50+")</f>
        <v>20-29</v>
      </c>
    </row>
    <row r="526" spans="1:28">
      <c r="A526" t="s">
        <v>1617</v>
      </c>
      <c r="B526" t="s">
        <v>1618</v>
      </c>
      <c r="C526" t="s">
        <v>1619</v>
      </c>
      <c r="D526" t="s">
        <v>26</v>
      </c>
      <c r="E526">
        <v>28</v>
      </c>
      <c r="F526" t="s">
        <v>27</v>
      </c>
      <c r="G526" t="s">
        <v>28</v>
      </c>
      <c r="H526">
        <v>44</v>
      </c>
      <c r="I526" t="s">
        <v>39</v>
      </c>
      <c r="J526" t="s">
        <v>30</v>
      </c>
      <c r="K526">
        <v>3</v>
      </c>
      <c r="L526" t="s">
        <v>121</v>
      </c>
      <c r="M526" t="s">
        <v>32</v>
      </c>
      <c r="N526" t="s">
        <v>49</v>
      </c>
      <c r="O526">
        <v>304858</v>
      </c>
      <c r="P526">
        <v>1</v>
      </c>
      <c r="Q526" t="s">
        <v>41</v>
      </c>
      <c r="R526" s="1">
        <v>42309</v>
      </c>
      <c r="S526" t="s">
        <v>34</v>
      </c>
      <c r="T526">
        <v>7</v>
      </c>
      <c r="U526">
        <v>5</v>
      </c>
      <c r="V526">
        <v>7</v>
      </c>
      <c r="W526">
        <v>2</v>
      </c>
      <c r="X526" t="s">
        <v>11022</v>
      </c>
      <c r="Y526" t="s">
        <v>11022</v>
      </c>
      <c r="Z526" t="str">
        <f>_xlfn.XLOOKUP(Employees[[#This Row],[Education]], EdLevel[EducationLevelID], EdLevel[EducationLevel])</f>
        <v xml:space="preserve">Bachelors </v>
      </c>
      <c r="AA526">
        <f>IF(Employees[[#This Row],[Attrition]] = "Yes", 1, 0)</f>
        <v>0</v>
      </c>
      <c r="AB526" t="str" cm="1">
        <f t="array" ref="AB526">_xlfn.IFS(Employees[[#This Row],[Age]]&lt;30, "20-29", Employees[[#This Row],[Age]]&lt;40, "30-39", Employees[[#This Row],[Age]]&lt;50, "40-49", "TRUE", "50+")</f>
        <v>20-29</v>
      </c>
    </row>
    <row r="527" spans="1:28">
      <c r="A527" t="s">
        <v>1620</v>
      </c>
      <c r="B527" t="s">
        <v>1621</v>
      </c>
      <c r="C527" t="s">
        <v>1622</v>
      </c>
      <c r="D527" t="s">
        <v>26</v>
      </c>
      <c r="E527">
        <v>28</v>
      </c>
      <c r="F527" t="s">
        <v>27</v>
      </c>
      <c r="G527" t="s">
        <v>28</v>
      </c>
      <c r="H527">
        <v>7</v>
      </c>
      <c r="I527" t="s">
        <v>39</v>
      </c>
      <c r="J527" t="s">
        <v>30</v>
      </c>
      <c r="K527">
        <v>5</v>
      </c>
      <c r="L527" t="s">
        <v>31</v>
      </c>
      <c r="M527" t="s">
        <v>32</v>
      </c>
      <c r="N527" t="s">
        <v>49</v>
      </c>
      <c r="O527">
        <v>181164</v>
      </c>
      <c r="P527">
        <v>1</v>
      </c>
      <c r="Q527" t="s">
        <v>34</v>
      </c>
      <c r="R527" s="1">
        <v>42309</v>
      </c>
      <c r="S527" t="s">
        <v>34</v>
      </c>
      <c r="T527">
        <v>7</v>
      </c>
      <c r="U527">
        <v>5</v>
      </c>
      <c r="V527">
        <v>6</v>
      </c>
      <c r="W527">
        <v>1</v>
      </c>
      <c r="X527" t="s">
        <v>11024</v>
      </c>
      <c r="Y527" t="s">
        <v>11024</v>
      </c>
      <c r="Z527" t="str">
        <f>_xlfn.XLOOKUP(Employees[[#This Row],[Education]], EdLevel[EducationLevelID], EdLevel[EducationLevel])</f>
        <v>Doctorate</v>
      </c>
      <c r="AA527">
        <f>IF(Employees[[#This Row],[Attrition]] = "Yes", 1, 0)</f>
        <v>0</v>
      </c>
      <c r="AB527" t="str" cm="1">
        <f t="array" ref="AB527">_xlfn.IFS(Employees[[#This Row],[Age]]&lt;30, "20-29", Employees[[#This Row],[Age]]&lt;40, "30-39", Employees[[#This Row],[Age]]&lt;50, "40-49", "TRUE", "50+")</f>
        <v>20-29</v>
      </c>
    </row>
    <row r="528" spans="1:28">
      <c r="A528" t="s">
        <v>1623</v>
      </c>
      <c r="B528" t="s">
        <v>1624</v>
      </c>
      <c r="C528" t="s">
        <v>1625</v>
      </c>
      <c r="D528" t="s">
        <v>38</v>
      </c>
      <c r="E528">
        <v>25</v>
      </c>
      <c r="F528" t="s">
        <v>84</v>
      </c>
      <c r="G528" t="s">
        <v>54</v>
      </c>
      <c r="H528">
        <v>11</v>
      </c>
      <c r="I528" t="s">
        <v>65</v>
      </c>
      <c r="J528" t="s">
        <v>66</v>
      </c>
      <c r="K528">
        <v>1</v>
      </c>
      <c r="L528" t="s">
        <v>178</v>
      </c>
      <c r="M528" t="s">
        <v>93</v>
      </c>
      <c r="N528" t="s">
        <v>49</v>
      </c>
      <c r="O528">
        <v>67708</v>
      </c>
      <c r="P528">
        <v>1</v>
      </c>
      <c r="Q528" t="s">
        <v>34</v>
      </c>
      <c r="R528" s="1">
        <v>42310</v>
      </c>
      <c r="S528" t="s">
        <v>34</v>
      </c>
      <c r="T528">
        <v>7</v>
      </c>
      <c r="U528">
        <v>7</v>
      </c>
      <c r="V528">
        <v>7</v>
      </c>
      <c r="W528">
        <v>0</v>
      </c>
      <c r="X528" t="s">
        <v>11020</v>
      </c>
      <c r="Y528" t="s">
        <v>11020</v>
      </c>
      <c r="Z528" t="str">
        <f>_xlfn.XLOOKUP(Employees[[#This Row],[Education]], EdLevel[EducationLevelID], EdLevel[EducationLevel])</f>
        <v>No Formal Qualifications</v>
      </c>
      <c r="AA528">
        <f>IF(Employees[[#This Row],[Attrition]] = "Yes", 1, 0)</f>
        <v>0</v>
      </c>
      <c r="AB528" t="str" cm="1">
        <f t="array" ref="AB528">_xlfn.IFS(Employees[[#This Row],[Age]]&lt;30, "20-29", Employees[[#This Row],[Age]]&lt;40, "30-39", Employees[[#This Row],[Age]]&lt;50, "40-49", "TRUE", "50+")</f>
        <v>20-29</v>
      </c>
    </row>
    <row r="529" spans="1:28">
      <c r="A529" t="s">
        <v>1626</v>
      </c>
      <c r="B529" t="s">
        <v>1627</v>
      </c>
      <c r="C529" t="s">
        <v>1628</v>
      </c>
      <c r="D529" t="s">
        <v>38</v>
      </c>
      <c r="E529">
        <v>26</v>
      </c>
      <c r="F529" t="s">
        <v>27</v>
      </c>
      <c r="G529" t="s">
        <v>54</v>
      </c>
      <c r="H529">
        <v>17</v>
      </c>
      <c r="I529" t="s">
        <v>29</v>
      </c>
      <c r="J529" t="s">
        <v>137</v>
      </c>
      <c r="K529">
        <v>3</v>
      </c>
      <c r="L529" t="s">
        <v>72</v>
      </c>
      <c r="M529" t="s">
        <v>101</v>
      </c>
      <c r="N529" t="s">
        <v>49</v>
      </c>
      <c r="O529">
        <v>55778</v>
      </c>
      <c r="P529">
        <v>1</v>
      </c>
      <c r="Q529" t="s">
        <v>34</v>
      </c>
      <c r="R529" s="1">
        <v>42313</v>
      </c>
      <c r="S529" t="s">
        <v>34</v>
      </c>
      <c r="T529">
        <v>7</v>
      </c>
      <c r="U529">
        <v>4</v>
      </c>
      <c r="V529">
        <v>7</v>
      </c>
      <c r="W529">
        <v>6</v>
      </c>
      <c r="X529" t="s">
        <v>11022</v>
      </c>
      <c r="Y529" t="s">
        <v>11022</v>
      </c>
      <c r="Z529" t="str">
        <f>_xlfn.XLOOKUP(Employees[[#This Row],[Education]], EdLevel[EducationLevelID], EdLevel[EducationLevel])</f>
        <v xml:space="preserve">Bachelors </v>
      </c>
      <c r="AA529">
        <f>IF(Employees[[#This Row],[Attrition]] = "Yes", 1, 0)</f>
        <v>0</v>
      </c>
      <c r="AB529" t="str" cm="1">
        <f t="array" ref="AB529">_xlfn.IFS(Employees[[#This Row],[Age]]&lt;30, "20-29", Employees[[#This Row],[Age]]&lt;40, "30-39", Employees[[#This Row],[Age]]&lt;50, "40-49", "TRUE", "50+")</f>
        <v>20-29</v>
      </c>
    </row>
    <row r="530" spans="1:28">
      <c r="A530" t="s">
        <v>1629</v>
      </c>
      <c r="B530" t="s">
        <v>1630</v>
      </c>
      <c r="C530" t="s">
        <v>1631</v>
      </c>
      <c r="D530" t="s">
        <v>38</v>
      </c>
      <c r="E530">
        <v>27</v>
      </c>
      <c r="F530" t="s">
        <v>27</v>
      </c>
      <c r="G530" t="s">
        <v>54</v>
      </c>
      <c r="H530">
        <v>14</v>
      </c>
      <c r="I530" t="s">
        <v>39</v>
      </c>
      <c r="J530" t="s">
        <v>71</v>
      </c>
      <c r="K530">
        <v>2</v>
      </c>
      <c r="L530" t="s">
        <v>72</v>
      </c>
      <c r="M530" t="s">
        <v>93</v>
      </c>
      <c r="N530" t="s">
        <v>33</v>
      </c>
      <c r="O530">
        <v>120049</v>
      </c>
      <c r="P530">
        <v>1</v>
      </c>
      <c r="Q530" t="s">
        <v>34</v>
      </c>
      <c r="R530" s="1">
        <v>42315</v>
      </c>
      <c r="S530" t="s">
        <v>34</v>
      </c>
      <c r="T530">
        <v>7</v>
      </c>
      <c r="U530">
        <v>1</v>
      </c>
      <c r="V530">
        <v>6</v>
      </c>
      <c r="W530">
        <v>1</v>
      </c>
      <c r="X530" t="s">
        <v>11021</v>
      </c>
      <c r="Y530" t="s">
        <v>11021</v>
      </c>
      <c r="Z530" t="str">
        <f>_xlfn.XLOOKUP(Employees[[#This Row],[Education]], EdLevel[EducationLevelID], EdLevel[EducationLevel])</f>
        <v xml:space="preserve">High School </v>
      </c>
      <c r="AA530">
        <f>IF(Employees[[#This Row],[Attrition]] = "Yes", 1, 0)</f>
        <v>0</v>
      </c>
      <c r="AB530" t="str" cm="1">
        <f t="array" ref="AB530">_xlfn.IFS(Employees[[#This Row],[Age]]&lt;30, "20-29", Employees[[#This Row],[Age]]&lt;40, "30-39", Employees[[#This Row],[Age]]&lt;50, "40-49", "TRUE", "50+")</f>
        <v>20-29</v>
      </c>
    </row>
    <row r="531" spans="1:28">
      <c r="A531" t="s">
        <v>1632</v>
      </c>
      <c r="B531" t="s">
        <v>1633</v>
      </c>
      <c r="C531" t="s">
        <v>1634</v>
      </c>
      <c r="D531" t="s">
        <v>38</v>
      </c>
      <c r="E531">
        <v>28</v>
      </c>
      <c r="F531" t="s">
        <v>27</v>
      </c>
      <c r="G531" t="s">
        <v>28</v>
      </c>
      <c r="H531">
        <v>32</v>
      </c>
      <c r="I531" t="s">
        <v>39</v>
      </c>
      <c r="J531" t="s">
        <v>30</v>
      </c>
      <c r="K531">
        <v>4</v>
      </c>
      <c r="L531" t="s">
        <v>31</v>
      </c>
      <c r="M531" t="s">
        <v>32</v>
      </c>
      <c r="N531" t="s">
        <v>33</v>
      </c>
      <c r="O531">
        <v>128222</v>
      </c>
      <c r="P531">
        <v>2</v>
      </c>
      <c r="Q531" t="s">
        <v>34</v>
      </c>
      <c r="R531" s="1">
        <v>42315</v>
      </c>
      <c r="S531" t="s">
        <v>34</v>
      </c>
      <c r="T531">
        <v>7</v>
      </c>
      <c r="U531">
        <v>6</v>
      </c>
      <c r="V531">
        <v>7</v>
      </c>
      <c r="W531">
        <v>1</v>
      </c>
      <c r="X531" t="s">
        <v>11023</v>
      </c>
      <c r="Y531" t="s">
        <v>11023</v>
      </c>
      <c r="Z531" t="str">
        <f>_xlfn.XLOOKUP(Employees[[#This Row],[Education]], EdLevel[EducationLevelID], EdLevel[EducationLevel])</f>
        <v xml:space="preserve">Masters </v>
      </c>
      <c r="AA531">
        <f>IF(Employees[[#This Row],[Attrition]] = "Yes", 1, 0)</f>
        <v>0</v>
      </c>
      <c r="AB531" t="str" cm="1">
        <f t="array" ref="AB531">_xlfn.IFS(Employees[[#This Row],[Age]]&lt;30, "20-29", Employees[[#This Row],[Age]]&lt;40, "30-39", Employees[[#This Row],[Age]]&lt;50, "40-49", "TRUE", "50+")</f>
        <v>20-29</v>
      </c>
    </row>
    <row r="532" spans="1:28">
      <c r="A532" t="s">
        <v>1635</v>
      </c>
      <c r="B532" t="s">
        <v>1636</v>
      </c>
      <c r="C532" t="s">
        <v>1637</v>
      </c>
      <c r="D532" t="s">
        <v>26</v>
      </c>
      <c r="E532">
        <v>27</v>
      </c>
      <c r="F532" t="s">
        <v>27</v>
      </c>
      <c r="G532" t="s">
        <v>54</v>
      </c>
      <c r="H532">
        <v>31</v>
      </c>
      <c r="I532" t="s">
        <v>39</v>
      </c>
      <c r="J532" t="s">
        <v>30</v>
      </c>
      <c r="K532">
        <v>4</v>
      </c>
      <c r="L532" t="s">
        <v>55</v>
      </c>
      <c r="M532" t="s">
        <v>105</v>
      </c>
      <c r="N532" t="s">
        <v>33</v>
      </c>
      <c r="O532">
        <v>120225</v>
      </c>
      <c r="P532">
        <v>2</v>
      </c>
      <c r="Q532" t="s">
        <v>34</v>
      </c>
      <c r="R532" s="1">
        <v>42316</v>
      </c>
      <c r="S532" t="s">
        <v>34</v>
      </c>
      <c r="T532">
        <v>7</v>
      </c>
      <c r="U532">
        <v>2</v>
      </c>
      <c r="V532">
        <v>5</v>
      </c>
      <c r="W532">
        <v>4</v>
      </c>
      <c r="X532" t="s">
        <v>11023</v>
      </c>
      <c r="Y532" t="s">
        <v>11023</v>
      </c>
      <c r="Z532" t="str">
        <f>_xlfn.XLOOKUP(Employees[[#This Row],[Education]], EdLevel[EducationLevelID], EdLevel[EducationLevel])</f>
        <v xml:space="preserve">Masters </v>
      </c>
      <c r="AA532">
        <f>IF(Employees[[#This Row],[Attrition]] = "Yes", 1, 0)</f>
        <v>0</v>
      </c>
      <c r="AB532" t="str" cm="1">
        <f t="array" ref="AB532">_xlfn.IFS(Employees[[#This Row],[Age]]&lt;30, "20-29", Employees[[#This Row],[Age]]&lt;40, "30-39", Employees[[#This Row],[Age]]&lt;50, "40-49", "TRUE", "50+")</f>
        <v>20-29</v>
      </c>
    </row>
    <row r="533" spans="1:28">
      <c r="A533" t="s">
        <v>1638</v>
      </c>
      <c r="B533" t="s">
        <v>1639</v>
      </c>
      <c r="C533" t="s">
        <v>1640</v>
      </c>
      <c r="D533" t="s">
        <v>38</v>
      </c>
      <c r="E533">
        <v>26</v>
      </c>
      <c r="F533" t="s">
        <v>27</v>
      </c>
      <c r="G533" t="s">
        <v>54</v>
      </c>
      <c r="H533">
        <v>14</v>
      </c>
      <c r="I533" t="s">
        <v>65</v>
      </c>
      <c r="J533" t="s">
        <v>71</v>
      </c>
      <c r="K533">
        <v>1</v>
      </c>
      <c r="L533" t="s">
        <v>55</v>
      </c>
      <c r="M533" t="s">
        <v>101</v>
      </c>
      <c r="N533" t="s">
        <v>49</v>
      </c>
      <c r="O533">
        <v>33180</v>
      </c>
      <c r="P533">
        <v>1</v>
      </c>
      <c r="Q533" t="s">
        <v>41</v>
      </c>
      <c r="R533" s="1">
        <v>42318</v>
      </c>
      <c r="S533" t="s">
        <v>34</v>
      </c>
      <c r="T533">
        <v>7</v>
      </c>
      <c r="U533">
        <v>5</v>
      </c>
      <c r="V533">
        <v>7</v>
      </c>
      <c r="W533">
        <v>3</v>
      </c>
      <c r="X533" t="s">
        <v>11020</v>
      </c>
      <c r="Y533" t="s">
        <v>11020</v>
      </c>
      <c r="Z533" t="str">
        <f>_xlfn.XLOOKUP(Employees[[#This Row],[Education]], EdLevel[EducationLevelID], EdLevel[EducationLevel])</f>
        <v>No Formal Qualifications</v>
      </c>
      <c r="AA533">
        <f>IF(Employees[[#This Row],[Attrition]] = "Yes", 1, 0)</f>
        <v>0</v>
      </c>
      <c r="AB533" t="str" cm="1">
        <f t="array" ref="AB533">_xlfn.IFS(Employees[[#This Row],[Age]]&lt;30, "20-29", Employees[[#This Row],[Age]]&lt;40, "30-39", Employees[[#This Row],[Age]]&lt;50, "40-49", "TRUE", "50+")</f>
        <v>20-29</v>
      </c>
    </row>
    <row r="534" spans="1:28">
      <c r="A534" t="s">
        <v>1641</v>
      </c>
      <c r="B534" t="s">
        <v>1642</v>
      </c>
      <c r="C534" t="s">
        <v>1643</v>
      </c>
      <c r="D534" t="s">
        <v>38</v>
      </c>
      <c r="E534">
        <v>26</v>
      </c>
      <c r="F534" t="s">
        <v>27</v>
      </c>
      <c r="G534" t="s">
        <v>28</v>
      </c>
      <c r="H534">
        <v>22</v>
      </c>
      <c r="I534" t="s">
        <v>39</v>
      </c>
      <c r="J534" t="s">
        <v>66</v>
      </c>
      <c r="K534">
        <v>1</v>
      </c>
      <c r="L534" t="s">
        <v>47</v>
      </c>
      <c r="M534" t="s">
        <v>32</v>
      </c>
      <c r="N534" t="s">
        <v>49</v>
      </c>
      <c r="O534">
        <v>87142</v>
      </c>
      <c r="P534">
        <v>1</v>
      </c>
      <c r="Q534" t="s">
        <v>34</v>
      </c>
      <c r="R534" s="1">
        <v>42319</v>
      </c>
      <c r="S534" t="s">
        <v>41</v>
      </c>
      <c r="T534">
        <v>2</v>
      </c>
      <c r="U534">
        <v>1</v>
      </c>
      <c r="V534">
        <v>1</v>
      </c>
      <c r="W534">
        <v>0</v>
      </c>
      <c r="X534" t="s">
        <v>11020</v>
      </c>
      <c r="Y534" t="s">
        <v>11020</v>
      </c>
      <c r="Z534" t="str">
        <f>_xlfn.XLOOKUP(Employees[[#This Row],[Education]], EdLevel[EducationLevelID], EdLevel[EducationLevel])</f>
        <v>No Formal Qualifications</v>
      </c>
      <c r="AA534">
        <f>IF(Employees[[#This Row],[Attrition]] = "Yes", 1, 0)</f>
        <v>1</v>
      </c>
      <c r="AB534" t="str" cm="1">
        <f t="array" ref="AB534">_xlfn.IFS(Employees[[#This Row],[Age]]&lt;30, "20-29", Employees[[#This Row],[Age]]&lt;40, "30-39", Employees[[#This Row],[Age]]&lt;50, "40-49", "TRUE", "50+")</f>
        <v>20-29</v>
      </c>
    </row>
    <row r="535" spans="1:28">
      <c r="A535" t="s">
        <v>1644</v>
      </c>
      <c r="B535" t="s">
        <v>1645</v>
      </c>
      <c r="C535" t="s">
        <v>1646</v>
      </c>
      <c r="D535" t="s">
        <v>26</v>
      </c>
      <c r="E535">
        <v>27</v>
      </c>
      <c r="F535" t="s">
        <v>70</v>
      </c>
      <c r="G535" t="s">
        <v>54</v>
      </c>
      <c r="H535">
        <v>12</v>
      </c>
      <c r="I535" t="s">
        <v>29</v>
      </c>
      <c r="J535" t="s">
        <v>30</v>
      </c>
      <c r="K535">
        <v>3</v>
      </c>
      <c r="L535" t="s">
        <v>72</v>
      </c>
      <c r="M535" t="s">
        <v>85</v>
      </c>
      <c r="N535" t="s">
        <v>40</v>
      </c>
      <c r="O535">
        <v>41524</v>
      </c>
      <c r="P535">
        <v>0</v>
      </c>
      <c r="Q535" t="s">
        <v>34</v>
      </c>
      <c r="R535" s="1">
        <v>42320</v>
      </c>
      <c r="S535" t="s">
        <v>34</v>
      </c>
      <c r="T535">
        <v>7</v>
      </c>
      <c r="U535">
        <v>6</v>
      </c>
      <c r="V535">
        <v>6</v>
      </c>
      <c r="W535">
        <v>6</v>
      </c>
      <c r="X535" t="s">
        <v>11022</v>
      </c>
      <c r="Y535" t="s">
        <v>11022</v>
      </c>
      <c r="Z535" t="str">
        <f>_xlfn.XLOOKUP(Employees[[#This Row],[Education]], EdLevel[EducationLevelID], EdLevel[EducationLevel])</f>
        <v xml:space="preserve">Bachelors </v>
      </c>
      <c r="AA535">
        <f>IF(Employees[[#This Row],[Attrition]] = "Yes", 1, 0)</f>
        <v>0</v>
      </c>
      <c r="AB535" t="str" cm="1">
        <f t="array" ref="AB535">_xlfn.IFS(Employees[[#This Row],[Age]]&lt;30, "20-29", Employees[[#This Row],[Age]]&lt;40, "30-39", Employees[[#This Row],[Age]]&lt;50, "40-49", "TRUE", "50+")</f>
        <v>20-29</v>
      </c>
    </row>
    <row r="536" spans="1:28">
      <c r="A536" t="s">
        <v>1647</v>
      </c>
      <c r="B536" t="s">
        <v>1648</v>
      </c>
      <c r="C536" t="s">
        <v>605</v>
      </c>
      <c r="D536" t="s">
        <v>26</v>
      </c>
      <c r="E536">
        <v>26</v>
      </c>
      <c r="F536" t="s">
        <v>84</v>
      </c>
      <c r="G536" t="s">
        <v>54</v>
      </c>
      <c r="H536">
        <v>14</v>
      </c>
      <c r="I536" t="s">
        <v>65</v>
      </c>
      <c r="J536" t="s">
        <v>137</v>
      </c>
      <c r="K536">
        <v>3</v>
      </c>
      <c r="L536" t="s">
        <v>55</v>
      </c>
      <c r="M536" t="s">
        <v>101</v>
      </c>
      <c r="N536" t="s">
        <v>40</v>
      </c>
      <c r="O536">
        <v>36794</v>
      </c>
      <c r="P536">
        <v>0</v>
      </c>
      <c r="Q536" t="s">
        <v>34</v>
      </c>
      <c r="R536" s="1">
        <v>42326</v>
      </c>
      <c r="S536" t="s">
        <v>41</v>
      </c>
      <c r="T536">
        <v>5</v>
      </c>
      <c r="U536">
        <v>3</v>
      </c>
      <c r="V536">
        <v>4</v>
      </c>
      <c r="W536">
        <v>3</v>
      </c>
      <c r="X536" t="s">
        <v>11022</v>
      </c>
      <c r="Y536" t="s">
        <v>11022</v>
      </c>
      <c r="Z536" t="str">
        <f>_xlfn.XLOOKUP(Employees[[#This Row],[Education]], EdLevel[EducationLevelID], EdLevel[EducationLevel])</f>
        <v xml:space="preserve">Bachelors </v>
      </c>
      <c r="AA536">
        <f>IF(Employees[[#This Row],[Attrition]] = "Yes", 1, 0)</f>
        <v>1</v>
      </c>
      <c r="AB536" t="str" cm="1">
        <f t="array" ref="AB536">_xlfn.IFS(Employees[[#This Row],[Age]]&lt;30, "20-29", Employees[[#This Row],[Age]]&lt;40, "30-39", Employees[[#This Row],[Age]]&lt;50, "40-49", "TRUE", "50+")</f>
        <v>20-29</v>
      </c>
    </row>
    <row r="537" spans="1:28">
      <c r="A537" t="s">
        <v>1649</v>
      </c>
      <c r="B537" t="s">
        <v>1650</v>
      </c>
      <c r="C537" t="s">
        <v>1651</v>
      </c>
      <c r="D537" t="s">
        <v>38</v>
      </c>
      <c r="E537">
        <v>28</v>
      </c>
      <c r="F537" t="s">
        <v>84</v>
      </c>
      <c r="G537" t="s">
        <v>54</v>
      </c>
      <c r="H537">
        <v>40</v>
      </c>
      <c r="I537" t="s">
        <v>65</v>
      </c>
      <c r="J537" t="s">
        <v>30</v>
      </c>
      <c r="K537">
        <v>5</v>
      </c>
      <c r="L537" t="s">
        <v>72</v>
      </c>
      <c r="M537" t="s">
        <v>85</v>
      </c>
      <c r="N537" t="s">
        <v>33</v>
      </c>
      <c r="O537">
        <v>109172</v>
      </c>
      <c r="P537">
        <v>1</v>
      </c>
      <c r="Q537" t="s">
        <v>41</v>
      </c>
      <c r="R537" s="1">
        <v>42327</v>
      </c>
      <c r="S537" t="s">
        <v>34</v>
      </c>
      <c r="T537">
        <v>7</v>
      </c>
      <c r="U537">
        <v>1</v>
      </c>
      <c r="V537">
        <v>3</v>
      </c>
      <c r="W537">
        <v>1</v>
      </c>
      <c r="X537" t="s">
        <v>11024</v>
      </c>
      <c r="Y537" t="s">
        <v>11024</v>
      </c>
      <c r="Z537" t="str">
        <f>_xlfn.XLOOKUP(Employees[[#This Row],[Education]], EdLevel[EducationLevelID], EdLevel[EducationLevel])</f>
        <v>Doctorate</v>
      </c>
      <c r="AA537">
        <f>IF(Employees[[#This Row],[Attrition]] = "Yes", 1, 0)</f>
        <v>0</v>
      </c>
      <c r="AB537" t="str" cm="1">
        <f t="array" ref="AB537">_xlfn.IFS(Employees[[#This Row],[Age]]&lt;30, "20-29", Employees[[#This Row],[Age]]&lt;40, "30-39", Employees[[#This Row],[Age]]&lt;50, "40-49", "TRUE", "50+")</f>
        <v>20-29</v>
      </c>
    </row>
    <row r="538" spans="1:28">
      <c r="A538" t="s">
        <v>1652</v>
      </c>
      <c r="B538" t="s">
        <v>1653</v>
      </c>
      <c r="C538" t="s">
        <v>1654</v>
      </c>
      <c r="D538" t="s">
        <v>26</v>
      </c>
      <c r="E538">
        <v>28</v>
      </c>
      <c r="F538" t="s">
        <v>27</v>
      </c>
      <c r="G538" t="s">
        <v>28</v>
      </c>
      <c r="H538">
        <v>17</v>
      </c>
      <c r="I538" t="s">
        <v>39</v>
      </c>
      <c r="J538" t="s">
        <v>30</v>
      </c>
      <c r="K538">
        <v>3</v>
      </c>
      <c r="L538" t="s">
        <v>60</v>
      </c>
      <c r="M538" t="s">
        <v>150</v>
      </c>
      <c r="N538" t="s">
        <v>33</v>
      </c>
      <c r="O538">
        <v>70787</v>
      </c>
      <c r="P538">
        <v>2</v>
      </c>
      <c r="Q538" t="s">
        <v>41</v>
      </c>
      <c r="R538" s="1">
        <v>42334</v>
      </c>
      <c r="S538" t="s">
        <v>34</v>
      </c>
      <c r="T538">
        <v>7</v>
      </c>
      <c r="U538">
        <v>2</v>
      </c>
      <c r="V538">
        <v>5</v>
      </c>
      <c r="W538">
        <v>5</v>
      </c>
      <c r="X538" t="s">
        <v>11022</v>
      </c>
      <c r="Y538" t="s">
        <v>11022</v>
      </c>
      <c r="Z538" t="str">
        <f>_xlfn.XLOOKUP(Employees[[#This Row],[Education]], EdLevel[EducationLevelID], EdLevel[EducationLevel])</f>
        <v xml:space="preserve">Bachelors </v>
      </c>
      <c r="AA538">
        <f>IF(Employees[[#This Row],[Attrition]] = "Yes", 1, 0)</f>
        <v>0</v>
      </c>
      <c r="AB538" t="str" cm="1">
        <f t="array" ref="AB538">_xlfn.IFS(Employees[[#This Row],[Age]]&lt;30, "20-29", Employees[[#This Row],[Age]]&lt;40, "30-39", Employees[[#This Row],[Age]]&lt;50, "40-49", "TRUE", "50+")</f>
        <v>20-29</v>
      </c>
    </row>
    <row r="539" spans="1:28">
      <c r="A539" t="s">
        <v>1655</v>
      </c>
      <c r="B539" t="s">
        <v>242</v>
      </c>
      <c r="C539" t="s">
        <v>1656</v>
      </c>
      <c r="D539" t="s">
        <v>26</v>
      </c>
      <c r="E539">
        <v>27</v>
      </c>
      <c r="F539" t="s">
        <v>27</v>
      </c>
      <c r="G539" t="s">
        <v>28</v>
      </c>
      <c r="H539">
        <v>45</v>
      </c>
      <c r="I539" t="s">
        <v>39</v>
      </c>
      <c r="J539" t="s">
        <v>66</v>
      </c>
      <c r="K539">
        <v>2</v>
      </c>
      <c r="L539" t="s">
        <v>121</v>
      </c>
      <c r="M539" t="s">
        <v>32</v>
      </c>
      <c r="N539" t="s">
        <v>40</v>
      </c>
      <c r="O539">
        <v>57102</v>
      </c>
      <c r="P539">
        <v>0</v>
      </c>
      <c r="Q539" t="s">
        <v>34</v>
      </c>
      <c r="R539" s="1">
        <v>42337</v>
      </c>
      <c r="S539" t="s">
        <v>34</v>
      </c>
      <c r="T539">
        <v>7</v>
      </c>
      <c r="U539">
        <v>6</v>
      </c>
      <c r="V539">
        <v>6</v>
      </c>
      <c r="W539">
        <v>4</v>
      </c>
      <c r="X539" t="s">
        <v>11021</v>
      </c>
      <c r="Y539" t="s">
        <v>11021</v>
      </c>
      <c r="Z539" t="str">
        <f>_xlfn.XLOOKUP(Employees[[#This Row],[Education]], EdLevel[EducationLevelID], EdLevel[EducationLevel])</f>
        <v xml:space="preserve">High School </v>
      </c>
      <c r="AA539">
        <f>IF(Employees[[#This Row],[Attrition]] = "Yes", 1, 0)</f>
        <v>0</v>
      </c>
      <c r="AB539" t="str" cm="1">
        <f t="array" ref="AB539">_xlfn.IFS(Employees[[#This Row],[Age]]&lt;30, "20-29", Employees[[#This Row],[Age]]&lt;40, "30-39", Employees[[#This Row],[Age]]&lt;50, "40-49", "TRUE", "50+")</f>
        <v>20-29</v>
      </c>
    </row>
    <row r="540" spans="1:28">
      <c r="A540" t="s">
        <v>1657</v>
      </c>
      <c r="B540" t="s">
        <v>1658</v>
      </c>
      <c r="C540" t="s">
        <v>1659</v>
      </c>
      <c r="D540" t="s">
        <v>26</v>
      </c>
      <c r="E540">
        <v>26</v>
      </c>
      <c r="F540" t="s">
        <v>27</v>
      </c>
      <c r="G540" t="s">
        <v>28</v>
      </c>
      <c r="H540">
        <v>29</v>
      </c>
      <c r="I540" t="s">
        <v>65</v>
      </c>
      <c r="J540" t="s">
        <v>71</v>
      </c>
      <c r="K540">
        <v>3</v>
      </c>
      <c r="L540" t="s">
        <v>121</v>
      </c>
      <c r="M540" t="s">
        <v>150</v>
      </c>
      <c r="N540" t="s">
        <v>40</v>
      </c>
      <c r="O540">
        <v>28024</v>
      </c>
      <c r="P540">
        <v>0</v>
      </c>
      <c r="Q540" t="s">
        <v>34</v>
      </c>
      <c r="R540" s="1">
        <v>42338</v>
      </c>
      <c r="S540" t="s">
        <v>34</v>
      </c>
      <c r="T540">
        <v>7</v>
      </c>
      <c r="U540">
        <v>0</v>
      </c>
      <c r="V540">
        <v>7</v>
      </c>
      <c r="W540">
        <v>5</v>
      </c>
      <c r="X540" t="s">
        <v>11022</v>
      </c>
      <c r="Y540" t="s">
        <v>11022</v>
      </c>
      <c r="Z540" t="str">
        <f>_xlfn.XLOOKUP(Employees[[#This Row],[Education]], EdLevel[EducationLevelID], EdLevel[EducationLevel])</f>
        <v xml:space="preserve">Bachelors </v>
      </c>
      <c r="AA540">
        <f>IF(Employees[[#This Row],[Attrition]] = "Yes", 1, 0)</f>
        <v>0</v>
      </c>
      <c r="AB540" t="str" cm="1">
        <f t="array" ref="AB540">_xlfn.IFS(Employees[[#This Row],[Age]]&lt;30, "20-29", Employees[[#This Row],[Age]]&lt;40, "30-39", Employees[[#This Row],[Age]]&lt;50, "40-49", "TRUE", "50+")</f>
        <v>20-29</v>
      </c>
    </row>
    <row r="541" spans="1:28">
      <c r="A541" t="s">
        <v>1660</v>
      </c>
      <c r="B541" t="s">
        <v>1661</v>
      </c>
      <c r="C541" t="s">
        <v>1662</v>
      </c>
      <c r="D541" t="s">
        <v>26</v>
      </c>
      <c r="E541">
        <v>26</v>
      </c>
      <c r="F541" t="s">
        <v>27</v>
      </c>
      <c r="G541" t="s">
        <v>54</v>
      </c>
      <c r="H541">
        <v>7</v>
      </c>
      <c r="I541" t="s">
        <v>65</v>
      </c>
      <c r="J541" t="s">
        <v>71</v>
      </c>
      <c r="K541">
        <v>3</v>
      </c>
      <c r="L541" t="s">
        <v>55</v>
      </c>
      <c r="M541" t="s">
        <v>85</v>
      </c>
      <c r="N541" t="s">
        <v>49</v>
      </c>
      <c r="O541">
        <v>34047</v>
      </c>
      <c r="P541">
        <v>1</v>
      </c>
      <c r="Q541" t="s">
        <v>41</v>
      </c>
      <c r="R541" s="1">
        <v>42341</v>
      </c>
      <c r="S541" t="s">
        <v>34</v>
      </c>
      <c r="T541">
        <v>7</v>
      </c>
      <c r="U541">
        <v>4</v>
      </c>
      <c r="V541">
        <v>4</v>
      </c>
      <c r="W541">
        <v>2</v>
      </c>
      <c r="X541" t="s">
        <v>11022</v>
      </c>
      <c r="Y541" t="s">
        <v>11022</v>
      </c>
      <c r="Z541" t="str">
        <f>_xlfn.XLOOKUP(Employees[[#This Row],[Education]], EdLevel[EducationLevelID], EdLevel[EducationLevel])</f>
        <v xml:space="preserve">Bachelors </v>
      </c>
      <c r="AA541">
        <f>IF(Employees[[#This Row],[Attrition]] = "Yes", 1, 0)</f>
        <v>0</v>
      </c>
      <c r="AB541" t="str" cm="1">
        <f t="array" ref="AB541">_xlfn.IFS(Employees[[#This Row],[Age]]&lt;30, "20-29", Employees[[#This Row],[Age]]&lt;40, "30-39", Employees[[#This Row],[Age]]&lt;50, "40-49", "TRUE", "50+")</f>
        <v>20-29</v>
      </c>
    </row>
    <row r="542" spans="1:28">
      <c r="A542" t="s">
        <v>1663</v>
      </c>
      <c r="B542" t="s">
        <v>1664</v>
      </c>
      <c r="C542" t="s">
        <v>1665</v>
      </c>
      <c r="D542" t="s">
        <v>26</v>
      </c>
      <c r="E542">
        <v>25</v>
      </c>
      <c r="F542" t="s">
        <v>27</v>
      </c>
      <c r="G542" t="s">
        <v>54</v>
      </c>
      <c r="H542">
        <v>1</v>
      </c>
      <c r="I542" t="s">
        <v>29</v>
      </c>
      <c r="J542" t="s">
        <v>30</v>
      </c>
      <c r="K542">
        <v>2</v>
      </c>
      <c r="L542" t="s">
        <v>55</v>
      </c>
      <c r="M542" t="s">
        <v>85</v>
      </c>
      <c r="N542" t="s">
        <v>49</v>
      </c>
      <c r="O542">
        <v>32354</v>
      </c>
      <c r="P542">
        <v>1</v>
      </c>
      <c r="Q542" t="s">
        <v>41</v>
      </c>
      <c r="R542" s="1">
        <v>42344</v>
      </c>
      <c r="S542" t="s">
        <v>41</v>
      </c>
      <c r="T542">
        <v>7</v>
      </c>
      <c r="U542">
        <v>4</v>
      </c>
      <c r="V542">
        <v>6</v>
      </c>
      <c r="W542">
        <v>2</v>
      </c>
      <c r="X542" t="s">
        <v>11021</v>
      </c>
      <c r="Y542" t="s">
        <v>11021</v>
      </c>
      <c r="Z542" t="str">
        <f>_xlfn.XLOOKUP(Employees[[#This Row],[Education]], EdLevel[EducationLevelID], EdLevel[EducationLevel])</f>
        <v xml:space="preserve">High School </v>
      </c>
      <c r="AA542">
        <f>IF(Employees[[#This Row],[Attrition]] = "Yes", 1, 0)</f>
        <v>1</v>
      </c>
      <c r="AB542" t="str" cm="1">
        <f t="array" ref="AB542">_xlfn.IFS(Employees[[#This Row],[Age]]&lt;30, "20-29", Employees[[#This Row],[Age]]&lt;40, "30-39", Employees[[#This Row],[Age]]&lt;50, "40-49", "TRUE", "50+")</f>
        <v>20-29</v>
      </c>
    </row>
    <row r="543" spans="1:28">
      <c r="A543" t="s">
        <v>1666</v>
      </c>
      <c r="B543" t="s">
        <v>1667</v>
      </c>
      <c r="C543" t="s">
        <v>1668</v>
      </c>
      <c r="D543" t="s">
        <v>38</v>
      </c>
      <c r="E543">
        <v>27</v>
      </c>
      <c r="F543" t="s">
        <v>27</v>
      </c>
      <c r="G543" t="s">
        <v>54</v>
      </c>
      <c r="H543">
        <v>44</v>
      </c>
      <c r="I543" t="s">
        <v>39</v>
      </c>
      <c r="J543" t="s">
        <v>66</v>
      </c>
      <c r="K543">
        <v>3</v>
      </c>
      <c r="L543" t="s">
        <v>55</v>
      </c>
      <c r="M543" t="s">
        <v>101</v>
      </c>
      <c r="N543" t="s">
        <v>40</v>
      </c>
      <c r="O543">
        <v>45276</v>
      </c>
      <c r="P543">
        <v>0</v>
      </c>
      <c r="Q543" t="s">
        <v>41</v>
      </c>
      <c r="R543" s="1">
        <v>42350</v>
      </c>
      <c r="S543" t="s">
        <v>34</v>
      </c>
      <c r="T543">
        <v>7</v>
      </c>
      <c r="U543">
        <v>6</v>
      </c>
      <c r="V543">
        <v>6</v>
      </c>
      <c r="W543">
        <v>2</v>
      </c>
      <c r="X543" t="s">
        <v>11022</v>
      </c>
      <c r="Y543" t="s">
        <v>11022</v>
      </c>
      <c r="Z543" t="str">
        <f>_xlfn.XLOOKUP(Employees[[#This Row],[Education]], EdLevel[EducationLevelID], EdLevel[EducationLevel])</f>
        <v xml:space="preserve">Bachelors </v>
      </c>
      <c r="AA543">
        <f>IF(Employees[[#This Row],[Attrition]] = "Yes", 1, 0)</f>
        <v>0</v>
      </c>
      <c r="AB543" t="str" cm="1">
        <f t="array" ref="AB543">_xlfn.IFS(Employees[[#This Row],[Age]]&lt;30, "20-29", Employees[[#This Row],[Age]]&lt;40, "30-39", Employees[[#This Row],[Age]]&lt;50, "40-49", "TRUE", "50+")</f>
        <v>20-29</v>
      </c>
    </row>
    <row r="544" spans="1:28">
      <c r="A544" t="s">
        <v>1669</v>
      </c>
      <c r="B544" t="s">
        <v>1670</v>
      </c>
      <c r="C544" t="s">
        <v>1671</v>
      </c>
      <c r="D544" t="s">
        <v>26</v>
      </c>
      <c r="E544">
        <v>27</v>
      </c>
      <c r="F544" t="s">
        <v>70</v>
      </c>
      <c r="G544" t="s">
        <v>54</v>
      </c>
      <c r="H544">
        <v>19</v>
      </c>
      <c r="I544" t="s">
        <v>65</v>
      </c>
      <c r="J544" t="s">
        <v>71</v>
      </c>
      <c r="K544">
        <v>2</v>
      </c>
      <c r="L544" t="s">
        <v>178</v>
      </c>
      <c r="M544" t="s">
        <v>105</v>
      </c>
      <c r="N544" t="s">
        <v>40</v>
      </c>
      <c r="O544">
        <v>89785</v>
      </c>
      <c r="P544">
        <v>0</v>
      </c>
      <c r="Q544" t="s">
        <v>34</v>
      </c>
      <c r="R544" s="1">
        <v>42357</v>
      </c>
      <c r="S544" t="s">
        <v>41</v>
      </c>
      <c r="T544">
        <v>0</v>
      </c>
      <c r="U544">
        <v>0</v>
      </c>
      <c r="V544">
        <v>0</v>
      </c>
      <c r="W544">
        <v>0</v>
      </c>
      <c r="X544" t="s">
        <v>11021</v>
      </c>
      <c r="Y544" t="s">
        <v>11021</v>
      </c>
      <c r="Z544" t="str">
        <f>_xlfn.XLOOKUP(Employees[[#This Row],[Education]], EdLevel[EducationLevelID], EdLevel[EducationLevel])</f>
        <v xml:space="preserve">High School </v>
      </c>
      <c r="AA544">
        <f>IF(Employees[[#This Row],[Attrition]] = "Yes", 1, 0)</f>
        <v>1</v>
      </c>
      <c r="AB544" t="str" cm="1">
        <f t="array" ref="AB544">_xlfn.IFS(Employees[[#This Row],[Age]]&lt;30, "20-29", Employees[[#This Row],[Age]]&lt;40, "30-39", Employees[[#This Row],[Age]]&lt;50, "40-49", "TRUE", "50+")</f>
        <v>20-29</v>
      </c>
    </row>
    <row r="545" spans="1:28">
      <c r="A545" t="s">
        <v>1672</v>
      </c>
      <c r="B545" t="s">
        <v>1109</v>
      </c>
      <c r="C545" t="s">
        <v>1673</v>
      </c>
      <c r="D545" t="s">
        <v>53</v>
      </c>
      <c r="E545">
        <v>27</v>
      </c>
      <c r="F545" t="s">
        <v>70</v>
      </c>
      <c r="G545" t="s">
        <v>54</v>
      </c>
      <c r="H545">
        <v>36</v>
      </c>
      <c r="I545" t="s">
        <v>39</v>
      </c>
      <c r="J545" t="s">
        <v>76</v>
      </c>
      <c r="K545">
        <v>4</v>
      </c>
      <c r="L545" t="s">
        <v>178</v>
      </c>
      <c r="M545" t="s">
        <v>101</v>
      </c>
      <c r="N545" t="s">
        <v>49</v>
      </c>
      <c r="O545">
        <v>50046</v>
      </c>
      <c r="P545">
        <v>1</v>
      </c>
      <c r="Q545" t="s">
        <v>34</v>
      </c>
      <c r="R545" s="1">
        <v>42358</v>
      </c>
      <c r="S545" t="s">
        <v>34</v>
      </c>
      <c r="T545">
        <v>7</v>
      </c>
      <c r="U545">
        <v>1</v>
      </c>
      <c r="V545">
        <v>6</v>
      </c>
      <c r="W545">
        <v>2</v>
      </c>
      <c r="X545" t="s">
        <v>11023</v>
      </c>
      <c r="Y545" t="s">
        <v>11023</v>
      </c>
      <c r="Z545" t="str">
        <f>_xlfn.XLOOKUP(Employees[[#This Row],[Education]], EdLevel[EducationLevelID], EdLevel[EducationLevel])</f>
        <v xml:space="preserve">Masters </v>
      </c>
      <c r="AA545">
        <f>IF(Employees[[#This Row],[Attrition]] = "Yes", 1, 0)</f>
        <v>0</v>
      </c>
      <c r="AB545" t="str" cm="1">
        <f t="array" ref="AB545">_xlfn.IFS(Employees[[#This Row],[Age]]&lt;30, "20-29", Employees[[#This Row],[Age]]&lt;40, "30-39", Employees[[#This Row],[Age]]&lt;50, "40-49", "TRUE", "50+")</f>
        <v>20-29</v>
      </c>
    </row>
    <row r="546" spans="1:28">
      <c r="A546" t="s">
        <v>1674</v>
      </c>
      <c r="B546" t="s">
        <v>1675</v>
      </c>
      <c r="C546" t="s">
        <v>1676</v>
      </c>
      <c r="D546" t="s">
        <v>38</v>
      </c>
      <c r="E546">
        <v>25</v>
      </c>
      <c r="F546" t="s">
        <v>27</v>
      </c>
      <c r="G546" t="s">
        <v>28</v>
      </c>
      <c r="H546">
        <v>14</v>
      </c>
      <c r="I546" t="s">
        <v>29</v>
      </c>
      <c r="J546" t="s">
        <v>30</v>
      </c>
      <c r="K546">
        <v>3</v>
      </c>
      <c r="L546" t="s">
        <v>47</v>
      </c>
      <c r="M546" t="s">
        <v>32</v>
      </c>
      <c r="N546" t="s">
        <v>40</v>
      </c>
      <c r="O546">
        <v>123307</v>
      </c>
      <c r="P546">
        <v>0</v>
      </c>
      <c r="Q546" t="s">
        <v>41</v>
      </c>
      <c r="R546" s="1">
        <v>42361</v>
      </c>
      <c r="S546" t="s">
        <v>41</v>
      </c>
      <c r="T546">
        <v>7</v>
      </c>
      <c r="U546">
        <v>2</v>
      </c>
      <c r="V546">
        <v>3</v>
      </c>
      <c r="W546">
        <v>1</v>
      </c>
      <c r="X546" t="s">
        <v>11022</v>
      </c>
      <c r="Y546" t="s">
        <v>11022</v>
      </c>
      <c r="Z546" t="str">
        <f>_xlfn.XLOOKUP(Employees[[#This Row],[Education]], EdLevel[EducationLevelID], EdLevel[EducationLevel])</f>
        <v xml:space="preserve">Bachelors </v>
      </c>
      <c r="AA546">
        <f>IF(Employees[[#This Row],[Attrition]] = "Yes", 1, 0)</f>
        <v>1</v>
      </c>
      <c r="AB546" t="str" cm="1">
        <f t="array" ref="AB546">_xlfn.IFS(Employees[[#This Row],[Age]]&lt;30, "20-29", Employees[[#This Row],[Age]]&lt;40, "30-39", Employees[[#This Row],[Age]]&lt;50, "40-49", "TRUE", "50+")</f>
        <v>20-29</v>
      </c>
    </row>
    <row r="547" spans="1:28">
      <c r="A547" t="s">
        <v>1677</v>
      </c>
      <c r="B547" t="s">
        <v>1678</v>
      </c>
      <c r="C547" t="s">
        <v>1679</v>
      </c>
      <c r="D547" t="s">
        <v>38</v>
      </c>
      <c r="E547">
        <v>26</v>
      </c>
      <c r="F547" t="s">
        <v>27</v>
      </c>
      <c r="G547" t="s">
        <v>28</v>
      </c>
      <c r="H547">
        <v>16</v>
      </c>
      <c r="I547" t="s">
        <v>39</v>
      </c>
      <c r="J547" t="s">
        <v>71</v>
      </c>
      <c r="K547">
        <v>2</v>
      </c>
      <c r="L547" t="s">
        <v>31</v>
      </c>
      <c r="M547" t="s">
        <v>32</v>
      </c>
      <c r="N547" t="s">
        <v>40</v>
      </c>
      <c r="O547">
        <v>113512</v>
      </c>
      <c r="P547">
        <v>0</v>
      </c>
      <c r="Q547" t="s">
        <v>34</v>
      </c>
      <c r="R547" s="1">
        <v>42363</v>
      </c>
      <c r="S547" t="s">
        <v>34</v>
      </c>
      <c r="T547">
        <v>7</v>
      </c>
      <c r="U547">
        <v>3</v>
      </c>
      <c r="V547">
        <v>7</v>
      </c>
      <c r="W547">
        <v>6</v>
      </c>
      <c r="X547" t="s">
        <v>11021</v>
      </c>
      <c r="Y547" t="s">
        <v>11021</v>
      </c>
      <c r="Z547" t="str">
        <f>_xlfn.XLOOKUP(Employees[[#This Row],[Education]], EdLevel[EducationLevelID], EdLevel[EducationLevel])</f>
        <v xml:space="preserve">High School </v>
      </c>
      <c r="AA547">
        <f>IF(Employees[[#This Row],[Attrition]] = "Yes", 1, 0)</f>
        <v>0</v>
      </c>
      <c r="AB547" t="str" cm="1">
        <f t="array" ref="AB547">_xlfn.IFS(Employees[[#This Row],[Age]]&lt;30, "20-29", Employees[[#This Row],[Age]]&lt;40, "30-39", Employees[[#This Row],[Age]]&lt;50, "40-49", "TRUE", "50+")</f>
        <v>20-29</v>
      </c>
    </row>
    <row r="548" spans="1:28">
      <c r="A548" t="s">
        <v>1680</v>
      </c>
      <c r="B548" t="s">
        <v>1681</v>
      </c>
      <c r="C548" t="s">
        <v>1682</v>
      </c>
      <c r="D548" t="s">
        <v>38</v>
      </c>
      <c r="E548">
        <v>26</v>
      </c>
      <c r="F548" t="s">
        <v>27</v>
      </c>
      <c r="G548" t="s">
        <v>54</v>
      </c>
      <c r="H548">
        <v>8</v>
      </c>
      <c r="I548" t="s">
        <v>29</v>
      </c>
      <c r="J548" t="s">
        <v>71</v>
      </c>
      <c r="K548">
        <v>2</v>
      </c>
      <c r="L548" t="s">
        <v>72</v>
      </c>
      <c r="M548" t="s">
        <v>101</v>
      </c>
      <c r="N548" t="s">
        <v>49</v>
      </c>
      <c r="O548">
        <v>50614</v>
      </c>
      <c r="P548">
        <v>1</v>
      </c>
      <c r="Q548" t="s">
        <v>34</v>
      </c>
      <c r="R548" s="1">
        <v>42363</v>
      </c>
      <c r="S548" t="s">
        <v>34</v>
      </c>
      <c r="T548">
        <v>7</v>
      </c>
      <c r="U548">
        <v>7</v>
      </c>
      <c r="V548">
        <v>7</v>
      </c>
      <c r="W548">
        <v>2</v>
      </c>
      <c r="X548" t="s">
        <v>11021</v>
      </c>
      <c r="Y548" t="s">
        <v>11021</v>
      </c>
      <c r="Z548" t="str">
        <f>_xlfn.XLOOKUP(Employees[[#This Row],[Education]], EdLevel[EducationLevelID], EdLevel[EducationLevel])</f>
        <v xml:space="preserve">High School </v>
      </c>
      <c r="AA548">
        <f>IF(Employees[[#This Row],[Attrition]] = "Yes", 1, 0)</f>
        <v>0</v>
      </c>
      <c r="AB548" t="str" cm="1">
        <f t="array" ref="AB548">_xlfn.IFS(Employees[[#This Row],[Age]]&lt;30, "20-29", Employees[[#This Row],[Age]]&lt;40, "30-39", Employees[[#This Row],[Age]]&lt;50, "40-49", "TRUE", "50+")</f>
        <v>20-29</v>
      </c>
    </row>
    <row r="549" spans="1:28">
      <c r="A549" t="s">
        <v>1683</v>
      </c>
      <c r="B549" t="s">
        <v>1684</v>
      </c>
      <c r="C549" t="s">
        <v>1685</v>
      </c>
      <c r="D549" t="s">
        <v>26</v>
      </c>
      <c r="E549">
        <v>25</v>
      </c>
      <c r="F549" t="s">
        <v>27</v>
      </c>
      <c r="G549" t="s">
        <v>54</v>
      </c>
      <c r="H549">
        <v>42</v>
      </c>
      <c r="I549" t="s">
        <v>39</v>
      </c>
      <c r="J549" t="s">
        <v>76</v>
      </c>
      <c r="K549">
        <v>3</v>
      </c>
      <c r="L549" t="s">
        <v>55</v>
      </c>
      <c r="M549" t="s">
        <v>101</v>
      </c>
      <c r="N549" t="s">
        <v>49</v>
      </c>
      <c r="O549">
        <v>70068</v>
      </c>
      <c r="P549">
        <v>2</v>
      </c>
      <c r="Q549" t="s">
        <v>34</v>
      </c>
      <c r="R549" s="1">
        <v>42367</v>
      </c>
      <c r="S549" t="s">
        <v>34</v>
      </c>
      <c r="T549">
        <v>7</v>
      </c>
      <c r="U549">
        <v>4</v>
      </c>
      <c r="V549">
        <v>6</v>
      </c>
      <c r="W549">
        <v>7</v>
      </c>
      <c r="X549" t="s">
        <v>11022</v>
      </c>
      <c r="Y549" t="s">
        <v>11022</v>
      </c>
      <c r="Z549" t="str">
        <f>_xlfn.XLOOKUP(Employees[[#This Row],[Education]], EdLevel[EducationLevelID], EdLevel[EducationLevel])</f>
        <v xml:space="preserve">Bachelors </v>
      </c>
      <c r="AA549">
        <f>IF(Employees[[#This Row],[Attrition]] = "Yes", 1, 0)</f>
        <v>0</v>
      </c>
      <c r="AB549" t="str" cm="1">
        <f t="array" ref="AB549">_xlfn.IFS(Employees[[#This Row],[Age]]&lt;30, "20-29", Employees[[#This Row],[Age]]&lt;40, "30-39", Employees[[#This Row],[Age]]&lt;50, "40-49", "TRUE", "50+")</f>
        <v>20-29</v>
      </c>
    </row>
    <row r="550" spans="1:28">
      <c r="A550" t="s">
        <v>1686</v>
      </c>
      <c r="B550" t="s">
        <v>1687</v>
      </c>
      <c r="C550" t="s">
        <v>1688</v>
      </c>
      <c r="D550" t="s">
        <v>26</v>
      </c>
      <c r="E550">
        <v>28</v>
      </c>
      <c r="F550" t="s">
        <v>27</v>
      </c>
      <c r="G550" t="s">
        <v>54</v>
      </c>
      <c r="H550">
        <v>24</v>
      </c>
      <c r="I550" t="s">
        <v>39</v>
      </c>
      <c r="J550" t="s">
        <v>66</v>
      </c>
      <c r="K550">
        <v>3</v>
      </c>
      <c r="L550" t="s">
        <v>55</v>
      </c>
      <c r="M550" t="s">
        <v>101</v>
      </c>
      <c r="N550" t="s">
        <v>49</v>
      </c>
      <c r="O550">
        <v>71553</v>
      </c>
      <c r="P550">
        <v>1</v>
      </c>
      <c r="Q550" t="s">
        <v>34</v>
      </c>
      <c r="R550" s="1">
        <v>42368</v>
      </c>
      <c r="S550" t="s">
        <v>34</v>
      </c>
      <c r="T550">
        <v>7</v>
      </c>
      <c r="U550">
        <v>6</v>
      </c>
      <c r="V550">
        <v>6</v>
      </c>
      <c r="W550">
        <v>0</v>
      </c>
      <c r="X550" t="s">
        <v>11022</v>
      </c>
      <c r="Y550" t="s">
        <v>11022</v>
      </c>
      <c r="Z550" t="str">
        <f>_xlfn.XLOOKUP(Employees[[#This Row],[Education]], EdLevel[EducationLevelID], EdLevel[EducationLevel])</f>
        <v xml:space="preserve">Bachelors </v>
      </c>
      <c r="AA550">
        <f>IF(Employees[[#This Row],[Attrition]] = "Yes", 1, 0)</f>
        <v>0</v>
      </c>
      <c r="AB550" t="str" cm="1">
        <f t="array" ref="AB550">_xlfn.IFS(Employees[[#This Row],[Age]]&lt;30, "20-29", Employees[[#This Row],[Age]]&lt;40, "30-39", Employees[[#This Row],[Age]]&lt;50, "40-49", "TRUE", "50+")</f>
        <v>20-29</v>
      </c>
    </row>
    <row r="551" spans="1:28">
      <c r="A551" t="s">
        <v>1689</v>
      </c>
      <c r="B551" t="s">
        <v>1690</v>
      </c>
      <c r="C551" t="s">
        <v>1691</v>
      </c>
      <c r="D551" t="s">
        <v>38</v>
      </c>
      <c r="E551">
        <v>29</v>
      </c>
      <c r="F551" t="s">
        <v>27</v>
      </c>
      <c r="G551" t="s">
        <v>54</v>
      </c>
      <c r="H551">
        <v>36</v>
      </c>
      <c r="I551" t="s">
        <v>65</v>
      </c>
      <c r="J551" t="s">
        <v>71</v>
      </c>
      <c r="K551">
        <v>5</v>
      </c>
      <c r="L551" t="s">
        <v>178</v>
      </c>
      <c r="M551" t="s">
        <v>101</v>
      </c>
      <c r="N551" t="s">
        <v>40</v>
      </c>
      <c r="O551">
        <v>113448</v>
      </c>
      <c r="P551">
        <v>0</v>
      </c>
      <c r="Q551" t="s">
        <v>41</v>
      </c>
      <c r="R551" s="1">
        <v>42369</v>
      </c>
      <c r="S551" t="s">
        <v>34</v>
      </c>
      <c r="T551">
        <v>7</v>
      </c>
      <c r="U551">
        <v>0</v>
      </c>
      <c r="V551">
        <v>4</v>
      </c>
      <c r="W551">
        <v>1</v>
      </c>
      <c r="X551" t="s">
        <v>11024</v>
      </c>
      <c r="Y551" t="s">
        <v>11024</v>
      </c>
      <c r="Z551" t="str">
        <f>_xlfn.XLOOKUP(Employees[[#This Row],[Education]], EdLevel[EducationLevelID], EdLevel[EducationLevel])</f>
        <v>Doctorate</v>
      </c>
      <c r="AA551">
        <f>IF(Employees[[#This Row],[Attrition]] = "Yes", 1, 0)</f>
        <v>0</v>
      </c>
      <c r="AB551" t="str" cm="1">
        <f t="array" ref="AB551">_xlfn.IFS(Employees[[#This Row],[Age]]&lt;30, "20-29", Employees[[#This Row],[Age]]&lt;40, "30-39", Employees[[#This Row],[Age]]&lt;50, "40-49", "TRUE", "50+")</f>
        <v>20-29</v>
      </c>
    </row>
    <row r="552" spans="1:28">
      <c r="A552" t="s">
        <v>1692</v>
      </c>
      <c r="B552" t="s">
        <v>1693</v>
      </c>
      <c r="C552" t="s">
        <v>1694</v>
      </c>
      <c r="D552" t="s">
        <v>26</v>
      </c>
      <c r="E552">
        <v>26</v>
      </c>
      <c r="F552" t="s">
        <v>27</v>
      </c>
      <c r="G552" t="s">
        <v>54</v>
      </c>
      <c r="H552">
        <v>37</v>
      </c>
      <c r="I552" t="s">
        <v>39</v>
      </c>
      <c r="J552" t="s">
        <v>137</v>
      </c>
      <c r="K552">
        <v>4</v>
      </c>
      <c r="L552" t="s">
        <v>72</v>
      </c>
      <c r="M552" t="s">
        <v>182</v>
      </c>
      <c r="N552" t="s">
        <v>49</v>
      </c>
      <c r="O552">
        <v>107863</v>
      </c>
      <c r="P552">
        <v>2</v>
      </c>
      <c r="Q552" t="s">
        <v>41</v>
      </c>
      <c r="R552" s="1">
        <v>42372</v>
      </c>
      <c r="S552" t="s">
        <v>34</v>
      </c>
      <c r="T552">
        <v>6</v>
      </c>
      <c r="U552">
        <v>3</v>
      </c>
      <c r="V552">
        <v>6</v>
      </c>
      <c r="W552">
        <v>0</v>
      </c>
      <c r="X552" t="s">
        <v>11023</v>
      </c>
      <c r="Y552" t="s">
        <v>11023</v>
      </c>
      <c r="Z552" t="str">
        <f>_xlfn.XLOOKUP(Employees[[#This Row],[Education]], EdLevel[EducationLevelID], EdLevel[EducationLevel])</f>
        <v xml:space="preserve">Masters </v>
      </c>
      <c r="AA552">
        <f>IF(Employees[[#This Row],[Attrition]] = "Yes", 1, 0)</f>
        <v>0</v>
      </c>
      <c r="AB552" t="str" cm="1">
        <f t="array" ref="AB552">_xlfn.IFS(Employees[[#This Row],[Age]]&lt;30, "20-29", Employees[[#This Row],[Age]]&lt;40, "30-39", Employees[[#This Row],[Age]]&lt;50, "40-49", "TRUE", "50+")</f>
        <v>20-29</v>
      </c>
    </row>
    <row r="553" spans="1:28">
      <c r="A553" t="s">
        <v>1695</v>
      </c>
      <c r="B553" t="s">
        <v>1696</v>
      </c>
      <c r="C553" t="s">
        <v>1697</v>
      </c>
      <c r="D553" t="s">
        <v>26</v>
      </c>
      <c r="E553">
        <v>25</v>
      </c>
      <c r="F553" t="s">
        <v>70</v>
      </c>
      <c r="G553" t="s">
        <v>54</v>
      </c>
      <c r="H553">
        <v>24</v>
      </c>
      <c r="I553" t="s">
        <v>29</v>
      </c>
      <c r="J553" t="s">
        <v>71</v>
      </c>
      <c r="K553">
        <v>4</v>
      </c>
      <c r="L553" t="s">
        <v>55</v>
      </c>
      <c r="M553" t="s">
        <v>101</v>
      </c>
      <c r="N553" t="s">
        <v>49</v>
      </c>
      <c r="O553">
        <v>44146</v>
      </c>
      <c r="P553">
        <v>3</v>
      </c>
      <c r="Q553" t="s">
        <v>34</v>
      </c>
      <c r="R553" s="1">
        <v>42377</v>
      </c>
      <c r="S553" t="s">
        <v>34</v>
      </c>
      <c r="T553">
        <v>6</v>
      </c>
      <c r="U553">
        <v>1</v>
      </c>
      <c r="V553">
        <v>1</v>
      </c>
      <c r="W553">
        <v>3</v>
      </c>
      <c r="X553" t="s">
        <v>11023</v>
      </c>
      <c r="Y553" t="s">
        <v>11023</v>
      </c>
      <c r="Z553" t="str">
        <f>_xlfn.XLOOKUP(Employees[[#This Row],[Education]], EdLevel[EducationLevelID], EdLevel[EducationLevel])</f>
        <v xml:space="preserve">Masters </v>
      </c>
      <c r="AA553">
        <f>IF(Employees[[#This Row],[Attrition]] = "Yes", 1, 0)</f>
        <v>0</v>
      </c>
      <c r="AB553" t="str" cm="1">
        <f t="array" ref="AB553">_xlfn.IFS(Employees[[#This Row],[Age]]&lt;30, "20-29", Employees[[#This Row],[Age]]&lt;40, "30-39", Employees[[#This Row],[Age]]&lt;50, "40-49", "TRUE", "50+")</f>
        <v>20-29</v>
      </c>
    </row>
    <row r="554" spans="1:28">
      <c r="A554" t="s">
        <v>1698</v>
      </c>
      <c r="B554" t="s">
        <v>1699</v>
      </c>
      <c r="C554" t="s">
        <v>1700</v>
      </c>
      <c r="D554" t="s">
        <v>38</v>
      </c>
      <c r="E554">
        <v>25</v>
      </c>
      <c r="F554" t="s">
        <v>27</v>
      </c>
      <c r="G554" t="s">
        <v>54</v>
      </c>
      <c r="H554">
        <v>41</v>
      </c>
      <c r="I554" t="s">
        <v>39</v>
      </c>
      <c r="J554" t="s">
        <v>30</v>
      </c>
      <c r="K554">
        <v>1</v>
      </c>
      <c r="L554" t="s">
        <v>55</v>
      </c>
      <c r="M554" t="s">
        <v>85</v>
      </c>
      <c r="N554" t="s">
        <v>49</v>
      </c>
      <c r="O554">
        <v>28137</v>
      </c>
      <c r="P554">
        <v>0</v>
      </c>
      <c r="Q554" t="s">
        <v>41</v>
      </c>
      <c r="R554" s="1">
        <v>42379</v>
      </c>
      <c r="S554" t="s">
        <v>41</v>
      </c>
      <c r="T554">
        <v>4</v>
      </c>
      <c r="U554">
        <v>3</v>
      </c>
      <c r="V554">
        <v>3</v>
      </c>
      <c r="W554">
        <v>1</v>
      </c>
      <c r="X554" t="s">
        <v>11020</v>
      </c>
      <c r="Y554" t="s">
        <v>11020</v>
      </c>
      <c r="Z554" t="str">
        <f>_xlfn.XLOOKUP(Employees[[#This Row],[Education]], EdLevel[EducationLevelID], EdLevel[EducationLevel])</f>
        <v>No Formal Qualifications</v>
      </c>
      <c r="AA554">
        <f>IF(Employees[[#This Row],[Attrition]] = "Yes", 1, 0)</f>
        <v>1</v>
      </c>
      <c r="AB554" t="str" cm="1">
        <f t="array" ref="AB554">_xlfn.IFS(Employees[[#This Row],[Age]]&lt;30, "20-29", Employees[[#This Row],[Age]]&lt;40, "30-39", Employees[[#This Row],[Age]]&lt;50, "40-49", "TRUE", "50+")</f>
        <v>20-29</v>
      </c>
    </row>
    <row r="555" spans="1:28">
      <c r="A555" t="s">
        <v>1701</v>
      </c>
      <c r="B555" t="s">
        <v>1702</v>
      </c>
      <c r="C555" t="s">
        <v>1703</v>
      </c>
      <c r="D555" t="s">
        <v>38</v>
      </c>
      <c r="E555">
        <v>26</v>
      </c>
      <c r="F555" t="s">
        <v>70</v>
      </c>
      <c r="G555" t="s">
        <v>28</v>
      </c>
      <c r="H555">
        <v>5</v>
      </c>
      <c r="I555" t="s">
        <v>39</v>
      </c>
      <c r="J555" t="s">
        <v>30</v>
      </c>
      <c r="K555">
        <v>2</v>
      </c>
      <c r="L555" t="s">
        <v>31</v>
      </c>
      <c r="M555" t="s">
        <v>32</v>
      </c>
      <c r="N555" t="s">
        <v>49</v>
      </c>
      <c r="O555">
        <v>93170</v>
      </c>
      <c r="P555">
        <v>1</v>
      </c>
      <c r="Q555" t="s">
        <v>34</v>
      </c>
      <c r="R555" s="1">
        <v>42379</v>
      </c>
      <c r="S555" t="s">
        <v>34</v>
      </c>
      <c r="T555">
        <v>6</v>
      </c>
      <c r="U555">
        <v>3</v>
      </c>
      <c r="V555">
        <v>6</v>
      </c>
      <c r="W555">
        <v>1</v>
      </c>
      <c r="X555" t="s">
        <v>11021</v>
      </c>
      <c r="Y555" t="s">
        <v>11021</v>
      </c>
      <c r="Z555" t="str">
        <f>_xlfn.XLOOKUP(Employees[[#This Row],[Education]], EdLevel[EducationLevelID], EdLevel[EducationLevel])</f>
        <v xml:space="preserve">High School </v>
      </c>
      <c r="AA555">
        <f>IF(Employees[[#This Row],[Attrition]] = "Yes", 1, 0)</f>
        <v>0</v>
      </c>
      <c r="AB555" t="str" cm="1">
        <f t="array" ref="AB555">_xlfn.IFS(Employees[[#This Row],[Age]]&lt;30, "20-29", Employees[[#This Row],[Age]]&lt;40, "30-39", Employees[[#This Row],[Age]]&lt;50, "40-49", "TRUE", "50+")</f>
        <v>20-29</v>
      </c>
    </row>
    <row r="556" spans="1:28">
      <c r="A556" t="s">
        <v>1704</v>
      </c>
      <c r="B556" t="s">
        <v>1705</v>
      </c>
      <c r="C556" t="s">
        <v>1706</v>
      </c>
      <c r="D556" t="s">
        <v>26</v>
      </c>
      <c r="E556">
        <v>27</v>
      </c>
      <c r="F556" t="s">
        <v>27</v>
      </c>
      <c r="G556" t="s">
        <v>28</v>
      </c>
      <c r="H556">
        <v>21</v>
      </c>
      <c r="I556" t="s">
        <v>39</v>
      </c>
      <c r="J556" t="s">
        <v>30</v>
      </c>
      <c r="K556">
        <v>1</v>
      </c>
      <c r="L556" t="s">
        <v>31</v>
      </c>
      <c r="M556" t="s">
        <v>150</v>
      </c>
      <c r="N556" t="s">
        <v>40</v>
      </c>
      <c r="O556">
        <v>22648</v>
      </c>
      <c r="P556">
        <v>0</v>
      </c>
      <c r="Q556" t="s">
        <v>41</v>
      </c>
      <c r="R556" s="1">
        <v>42381</v>
      </c>
      <c r="S556" t="s">
        <v>41</v>
      </c>
      <c r="T556">
        <v>1</v>
      </c>
      <c r="U556">
        <v>0</v>
      </c>
      <c r="V556">
        <v>0</v>
      </c>
      <c r="W556">
        <v>0</v>
      </c>
      <c r="X556" t="s">
        <v>11020</v>
      </c>
      <c r="Y556" t="s">
        <v>11020</v>
      </c>
      <c r="Z556" t="str">
        <f>_xlfn.XLOOKUP(Employees[[#This Row],[Education]], EdLevel[EducationLevelID], EdLevel[EducationLevel])</f>
        <v>No Formal Qualifications</v>
      </c>
      <c r="AA556">
        <f>IF(Employees[[#This Row],[Attrition]] = "Yes", 1, 0)</f>
        <v>1</v>
      </c>
      <c r="AB556" t="str" cm="1">
        <f t="array" ref="AB556">_xlfn.IFS(Employees[[#This Row],[Age]]&lt;30, "20-29", Employees[[#This Row],[Age]]&lt;40, "30-39", Employees[[#This Row],[Age]]&lt;50, "40-49", "TRUE", "50+")</f>
        <v>20-29</v>
      </c>
    </row>
    <row r="557" spans="1:28">
      <c r="A557" t="s">
        <v>1707</v>
      </c>
      <c r="B557" t="s">
        <v>1708</v>
      </c>
      <c r="C557" t="s">
        <v>1709</v>
      </c>
      <c r="D557" t="s">
        <v>38</v>
      </c>
      <c r="E557">
        <v>26</v>
      </c>
      <c r="F557" t="s">
        <v>27</v>
      </c>
      <c r="G557" t="s">
        <v>54</v>
      </c>
      <c r="H557">
        <v>5</v>
      </c>
      <c r="I557" t="s">
        <v>39</v>
      </c>
      <c r="J557" t="s">
        <v>30</v>
      </c>
      <c r="K557">
        <v>3</v>
      </c>
      <c r="L557" t="s">
        <v>77</v>
      </c>
      <c r="M557" t="s">
        <v>85</v>
      </c>
      <c r="N557" t="s">
        <v>33</v>
      </c>
      <c r="O557">
        <v>49045</v>
      </c>
      <c r="P557">
        <v>1</v>
      </c>
      <c r="Q557" t="s">
        <v>34</v>
      </c>
      <c r="R557" s="1">
        <v>42382</v>
      </c>
      <c r="S557" t="s">
        <v>41</v>
      </c>
      <c r="T557">
        <v>1</v>
      </c>
      <c r="U557">
        <v>0</v>
      </c>
      <c r="V557">
        <v>0</v>
      </c>
      <c r="W557">
        <v>0</v>
      </c>
      <c r="X557" t="s">
        <v>11022</v>
      </c>
      <c r="Y557" t="s">
        <v>11022</v>
      </c>
      <c r="Z557" t="str">
        <f>_xlfn.XLOOKUP(Employees[[#This Row],[Education]], EdLevel[EducationLevelID], EdLevel[EducationLevel])</f>
        <v xml:space="preserve">Bachelors </v>
      </c>
      <c r="AA557">
        <f>IF(Employees[[#This Row],[Attrition]] = "Yes", 1, 0)</f>
        <v>1</v>
      </c>
      <c r="AB557" t="str" cm="1">
        <f t="array" ref="AB557">_xlfn.IFS(Employees[[#This Row],[Age]]&lt;30, "20-29", Employees[[#This Row],[Age]]&lt;40, "30-39", Employees[[#This Row],[Age]]&lt;50, "40-49", "TRUE", "50+")</f>
        <v>20-29</v>
      </c>
    </row>
    <row r="558" spans="1:28">
      <c r="A558" t="s">
        <v>1710</v>
      </c>
      <c r="B558" t="s">
        <v>1711</v>
      </c>
      <c r="C558" t="s">
        <v>1712</v>
      </c>
      <c r="D558" t="s">
        <v>26</v>
      </c>
      <c r="E558">
        <v>24</v>
      </c>
      <c r="F558" t="s">
        <v>27</v>
      </c>
      <c r="G558" t="s">
        <v>28</v>
      </c>
      <c r="H558">
        <v>25</v>
      </c>
      <c r="I558" t="s">
        <v>65</v>
      </c>
      <c r="J558" t="s">
        <v>66</v>
      </c>
      <c r="K558">
        <v>1</v>
      </c>
      <c r="L558" t="s">
        <v>31</v>
      </c>
      <c r="M558" t="s">
        <v>32</v>
      </c>
      <c r="N558" t="s">
        <v>33</v>
      </c>
      <c r="O558">
        <v>105383</v>
      </c>
      <c r="P558">
        <v>2</v>
      </c>
      <c r="Q558" t="s">
        <v>41</v>
      </c>
      <c r="R558" s="1">
        <v>42383</v>
      </c>
      <c r="S558" t="s">
        <v>34</v>
      </c>
      <c r="T558">
        <v>6</v>
      </c>
      <c r="U558">
        <v>6</v>
      </c>
      <c r="V558">
        <v>6</v>
      </c>
      <c r="W558">
        <v>5</v>
      </c>
      <c r="X558" t="s">
        <v>11020</v>
      </c>
      <c r="Y558" t="s">
        <v>11020</v>
      </c>
      <c r="Z558" t="str">
        <f>_xlfn.XLOOKUP(Employees[[#This Row],[Education]], EdLevel[EducationLevelID], EdLevel[EducationLevel])</f>
        <v>No Formal Qualifications</v>
      </c>
      <c r="AA558">
        <f>IF(Employees[[#This Row],[Attrition]] = "Yes", 1, 0)</f>
        <v>0</v>
      </c>
      <c r="AB558" t="str" cm="1">
        <f t="array" ref="AB558">_xlfn.IFS(Employees[[#This Row],[Age]]&lt;30, "20-29", Employees[[#This Row],[Age]]&lt;40, "30-39", Employees[[#This Row],[Age]]&lt;50, "40-49", "TRUE", "50+")</f>
        <v>20-29</v>
      </c>
    </row>
    <row r="559" spans="1:28">
      <c r="A559" t="s">
        <v>1713</v>
      </c>
      <c r="B559" t="s">
        <v>1714</v>
      </c>
      <c r="C559" t="s">
        <v>1715</v>
      </c>
      <c r="D559" t="s">
        <v>38</v>
      </c>
      <c r="E559">
        <v>27</v>
      </c>
      <c r="F559" t="s">
        <v>84</v>
      </c>
      <c r="G559" t="s">
        <v>54</v>
      </c>
      <c r="H559">
        <v>16</v>
      </c>
      <c r="I559" t="s">
        <v>39</v>
      </c>
      <c r="J559" t="s">
        <v>66</v>
      </c>
      <c r="K559">
        <v>4</v>
      </c>
      <c r="L559" t="s">
        <v>72</v>
      </c>
      <c r="M559" t="s">
        <v>105</v>
      </c>
      <c r="N559" t="s">
        <v>40</v>
      </c>
      <c r="O559">
        <v>75275</v>
      </c>
      <c r="P559">
        <v>0</v>
      </c>
      <c r="Q559" t="s">
        <v>34</v>
      </c>
      <c r="R559" s="1">
        <v>42388</v>
      </c>
      <c r="S559" t="s">
        <v>34</v>
      </c>
      <c r="T559">
        <v>6</v>
      </c>
      <c r="U559">
        <v>4</v>
      </c>
      <c r="V559">
        <v>5</v>
      </c>
      <c r="W559">
        <v>5</v>
      </c>
      <c r="X559" t="s">
        <v>11023</v>
      </c>
      <c r="Y559" t="s">
        <v>11023</v>
      </c>
      <c r="Z559" t="str">
        <f>_xlfn.XLOOKUP(Employees[[#This Row],[Education]], EdLevel[EducationLevelID], EdLevel[EducationLevel])</f>
        <v xml:space="preserve">Masters </v>
      </c>
      <c r="AA559">
        <f>IF(Employees[[#This Row],[Attrition]] = "Yes", 1, 0)</f>
        <v>0</v>
      </c>
      <c r="AB559" t="str" cm="1">
        <f t="array" ref="AB559">_xlfn.IFS(Employees[[#This Row],[Age]]&lt;30, "20-29", Employees[[#This Row],[Age]]&lt;40, "30-39", Employees[[#This Row],[Age]]&lt;50, "40-49", "TRUE", "50+")</f>
        <v>20-29</v>
      </c>
    </row>
    <row r="560" spans="1:28">
      <c r="A560" t="s">
        <v>1716</v>
      </c>
      <c r="B560" t="s">
        <v>1717</v>
      </c>
      <c r="C560" t="s">
        <v>1718</v>
      </c>
      <c r="D560" t="s">
        <v>38</v>
      </c>
      <c r="E560">
        <v>26</v>
      </c>
      <c r="F560" t="s">
        <v>84</v>
      </c>
      <c r="G560" t="s">
        <v>54</v>
      </c>
      <c r="H560">
        <v>45</v>
      </c>
      <c r="I560" t="s">
        <v>39</v>
      </c>
      <c r="J560" t="s">
        <v>66</v>
      </c>
      <c r="K560">
        <v>3</v>
      </c>
      <c r="L560" t="s">
        <v>72</v>
      </c>
      <c r="M560" t="s">
        <v>93</v>
      </c>
      <c r="N560" t="s">
        <v>33</v>
      </c>
      <c r="O560">
        <v>108865</v>
      </c>
      <c r="P560">
        <v>2</v>
      </c>
      <c r="Q560" t="s">
        <v>34</v>
      </c>
      <c r="R560" s="1">
        <v>42390</v>
      </c>
      <c r="S560" t="s">
        <v>41</v>
      </c>
      <c r="T560">
        <v>1</v>
      </c>
      <c r="U560">
        <v>0</v>
      </c>
      <c r="V560">
        <v>0</v>
      </c>
      <c r="W560">
        <v>1</v>
      </c>
      <c r="X560" t="s">
        <v>11022</v>
      </c>
      <c r="Y560" t="s">
        <v>11022</v>
      </c>
      <c r="Z560" t="str">
        <f>_xlfn.XLOOKUP(Employees[[#This Row],[Education]], EdLevel[EducationLevelID], EdLevel[EducationLevel])</f>
        <v xml:space="preserve">Bachelors </v>
      </c>
      <c r="AA560">
        <f>IF(Employees[[#This Row],[Attrition]] = "Yes", 1, 0)</f>
        <v>1</v>
      </c>
      <c r="AB560" t="str" cm="1">
        <f t="array" ref="AB560">_xlfn.IFS(Employees[[#This Row],[Age]]&lt;30, "20-29", Employees[[#This Row],[Age]]&lt;40, "30-39", Employees[[#This Row],[Age]]&lt;50, "40-49", "TRUE", "50+")</f>
        <v>20-29</v>
      </c>
    </row>
    <row r="561" spans="1:28">
      <c r="A561" t="s">
        <v>1719</v>
      </c>
      <c r="B561" t="s">
        <v>1699</v>
      </c>
      <c r="C561" t="s">
        <v>1720</v>
      </c>
      <c r="D561" t="s">
        <v>38</v>
      </c>
      <c r="E561">
        <v>27</v>
      </c>
      <c r="F561" t="s">
        <v>27</v>
      </c>
      <c r="G561" t="s">
        <v>28</v>
      </c>
      <c r="H561">
        <v>44</v>
      </c>
      <c r="I561" t="s">
        <v>39</v>
      </c>
      <c r="J561" t="s">
        <v>71</v>
      </c>
      <c r="K561">
        <v>4</v>
      </c>
      <c r="L561" t="s">
        <v>31</v>
      </c>
      <c r="M561" t="s">
        <v>97</v>
      </c>
      <c r="N561" t="s">
        <v>49</v>
      </c>
      <c r="O561">
        <v>152147</v>
      </c>
      <c r="P561">
        <v>1</v>
      </c>
      <c r="Q561" t="s">
        <v>34</v>
      </c>
      <c r="R561" s="1">
        <v>42391</v>
      </c>
      <c r="S561" t="s">
        <v>34</v>
      </c>
      <c r="T561">
        <v>6</v>
      </c>
      <c r="U561">
        <v>6</v>
      </c>
      <c r="V561">
        <v>6</v>
      </c>
      <c r="W561">
        <v>6</v>
      </c>
      <c r="X561" t="s">
        <v>11023</v>
      </c>
      <c r="Y561" t="s">
        <v>11023</v>
      </c>
      <c r="Z561" t="str">
        <f>_xlfn.XLOOKUP(Employees[[#This Row],[Education]], EdLevel[EducationLevelID], EdLevel[EducationLevel])</f>
        <v xml:space="preserve">Masters </v>
      </c>
      <c r="AA561">
        <f>IF(Employees[[#This Row],[Attrition]] = "Yes", 1, 0)</f>
        <v>0</v>
      </c>
      <c r="AB561" t="str" cm="1">
        <f t="array" ref="AB561">_xlfn.IFS(Employees[[#This Row],[Age]]&lt;30, "20-29", Employees[[#This Row],[Age]]&lt;40, "30-39", Employees[[#This Row],[Age]]&lt;50, "40-49", "TRUE", "50+")</f>
        <v>20-29</v>
      </c>
    </row>
    <row r="562" spans="1:28">
      <c r="A562" t="s">
        <v>1721</v>
      </c>
      <c r="B562" t="s">
        <v>1722</v>
      </c>
      <c r="C562" t="s">
        <v>1723</v>
      </c>
      <c r="D562" t="s">
        <v>38</v>
      </c>
      <c r="E562">
        <v>24</v>
      </c>
      <c r="F562" t="s">
        <v>84</v>
      </c>
      <c r="G562" t="s">
        <v>54</v>
      </c>
      <c r="H562">
        <v>15</v>
      </c>
      <c r="I562" t="s">
        <v>65</v>
      </c>
      <c r="J562" t="s">
        <v>30</v>
      </c>
      <c r="K562">
        <v>3</v>
      </c>
      <c r="L562" t="s">
        <v>55</v>
      </c>
      <c r="M562" t="s">
        <v>105</v>
      </c>
      <c r="N562" t="s">
        <v>33</v>
      </c>
      <c r="O562">
        <v>139627</v>
      </c>
      <c r="P562">
        <v>3</v>
      </c>
      <c r="Q562" t="s">
        <v>34</v>
      </c>
      <c r="R562" s="1">
        <v>42396</v>
      </c>
      <c r="S562" t="s">
        <v>41</v>
      </c>
      <c r="T562">
        <v>5</v>
      </c>
      <c r="U562">
        <v>0</v>
      </c>
      <c r="V562">
        <v>4</v>
      </c>
      <c r="W562">
        <v>1</v>
      </c>
      <c r="X562" t="s">
        <v>11022</v>
      </c>
      <c r="Y562" t="s">
        <v>11022</v>
      </c>
      <c r="Z562" t="str">
        <f>_xlfn.XLOOKUP(Employees[[#This Row],[Education]], EdLevel[EducationLevelID], EdLevel[EducationLevel])</f>
        <v xml:space="preserve">Bachelors </v>
      </c>
      <c r="AA562">
        <f>IF(Employees[[#This Row],[Attrition]] = "Yes", 1, 0)</f>
        <v>1</v>
      </c>
      <c r="AB562" t="str" cm="1">
        <f t="array" ref="AB562">_xlfn.IFS(Employees[[#This Row],[Age]]&lt;30, "20-29", Employees[[#This Row],[Age]]&lt;40, "30-39", Employees[[#This Row],[Age]]&lt;50, "40-49", "TRUE", "50+")</f>
        <v>20-29</v>
      </c>
    </row>
    <row r="563" spans="1:28">
      <c r="A563" t="s">
        <v>1724</v>
      </c>
      <c r="B563" t="s">
        <v>1725</v>
      </c>
      <c r="C563" t="s">
        <v>1726</v>
      </c>
      <c r="D563" t="s">
        <v>38</v>
      </c>
      <c r="E563">
        <v>24</v>
      </c>
      <c r="F563" t="s">
        <v>27</v>
      </c>
      <c r="G563" t="s">
        <v>28</v>
      </c>
      <c r="H563">
        <v>27</v>
      </c>
      <c r="I563" t="s">
        <v>39</v>
      </c>
      <c r="J563" t="s">
        <v>66</v>
      </c>
      <c r="K563">
        <v>4</v>
      </c>
      <c r="L563" t="s">
        <v>47</v>
      </c>
      <c r="M563" t="s">
        <v>32</v>
      </c>
      <c r="N563" t="s">
        <v>40</v>
      </c>
      <c r="O563">
        <v>79828</v>
      </c>
      <c r="P563">
        <v>0</v>
      </c>
      <c r="Q563" t="s">
        <v>34</v>
      </c>
      <c r="R563" s="1">
        <v>42396</v>
      </c>
      <c r="S563" t="s">
        <v>34</v>
      </c>
      <c r="T563">
        <v>6</v>
      </c>
      <c r="U563">
        <v>2</v>
      </c>
      <c r="V563">
        <v>3</v>
      </c>
      <c r="W563">
        <v>0</v>
      </c>
      <c r="X563" t="s">
        <v>11023</v>
      </c>
      <c r="Y563" t="s">
        <v>11023</v>
      </c>
      <c r="Z563" t="str">
        <f>_xlfn.XLOOKUP(Employees[[#This Row],[Education]], EdLevel[EducationLevelID], EdLevel[EducationLevel])</f>
        <v xml:space="preserve">Masters </v>
      </c>
      <c r="AA563">
        <f>IF(Employees[[#This Row],[Attrition]] = "Yes", 1, 0)</f>
        <v>0</v>
      </c>
      <c r="AB563" t="str" cm="1">
        <f t="array" ref="AB563">_xlfn.IFS(Employees[[#This Row],[Age]]&lt;30, "20-29", Employees[[#This Row],[Age]]&lt;40, "30-39", Employees[[#This Row],[Age]]&lt;50, "40-49", "TRUE", "50+")</f>
        <v>20-29</v>
      </c>
    </row>
    <row r="564" spans="1:28">
      <c r="A564" t="s">
        <v>1727</v>
      </c>
      <c r="B564" t="s">
        <v>1728</v>
      </c>
      <c r="C564" t="s">
        <v>1729</v>
      </c>
      <c r="D564" t="s">
        <v>38</v>
      </c>
      <c r="E564">
        <v>25</v>
      </c>
      <c r="F564" t="s">
        <v>70</v>
      </c>
      <c r="G564" t="s">
        <v>28</v>
      </c>
      <c r="H564">
        <v>35</v>
      </c>
      <c r="I564" t="s">
        <v>65</v>
      </c>
      <c r="J564" t="s">
        <v>30</v>
      </c>
      <c r="K564">
        <v>4</v>
      </c>
      <c r="L564" t="s">
        <v>47</v>
      </c>
      <c r="M564" t="s">
        <v>32</v>
      </c>
      <c r="N564" t="s">
        <v>33</v>
      </c>
      <c r="O564">
        <v>149519</v>
      </c>
      <c r="P564">
        <v>1</v>
      </c>
      <c r="Q564" t="s">
        <v>41</v>
      </c>
      <c r="R564" s="1">
        <v>42403</v>
      </c>
      <c r="S564" t="s">
        <v>34</v>
      </c>
      <c r="T564">
        <v>6</v>
      </c>
      <c r="U564">
        <v>2</v>
      </c>
      <c r="V564">
        <v>4</v>
      </c>
      <c r="W564">
        <v>3</v>
      </c>
      <c r="X564" t="s">
        <v>11023</v>
      </c>
      <c r="Y564" t="s">
        <v>11023</v>
      </c>
      <c r="Z564" t="str">
        <f>_xlfn.XLOOKUP(Employees[[#This Row],[Education]], EdLevel[EducationLevelID], EdLevel[EducationLevel])</f>
        <v xml:space="preserve">Masters </v>
      </c>
      <c r="AA564">
        <f>IF(Employees[[#This Row],[Attrition]] = "Yes", 1, 0)</f>
        <v>0</v>
      </c>
      <c r="AB564" t="str" cm="1">
        <f t="array" ref="AB564">_xlfn.IFS(Employees[[#This Row],[Age]]&lt;30, "20-29", Employees[[#This Row],[Age]]&lt;40, "30-39", Employees[[#This Row],[Age]]&lt;50, "40-49", "TRUE", "50+")</f>
        <v>20-29</v>
      </c>
    </row>
    <row r="565" spans="1:28">
      <c r="A565" t="s">
        <v>1730</v>
      </c>
      <c r="B565" t="s">
        <v>1731</v>
      </c>
      <c r="C565" t="s">
        <v>1732</v>
      </c>
      <c r="D565" t="s">
        <v>38</v>
      </c>
      <c r="E565">
        <v>27</v>
      </c>
      <c r="F565" t="s">
        <v>27</v>
      </c>
      <c r="G565" t="s">
        <v>28</v>
      </c>
      <c r="H565">
        <v>27</v>
      </c>
      <c r="I565" t="s">
        <v>39</v>
      </c>
      <c r="J565" t="s">
        <v>92</v>
      </c>
      <c r="K565">
        <v>5</v>
      </c>
      <c r="L565" t="s">
        <v>31</v>
      </c>
      <c r="M565" t="s">
        <v>32</v>
      </c>
      <c r="N565" t="s">
        <v>33</v>
      </c>
      <c r="O565">
        <v>45880</v>
      </c>
      <c r="P565">
        <v>1</v>
      </c>
      <c r="Q565" t="s">
        <v>41</v>
      </c>
      <c r="R565" s="1">
        <v>42403</v>
      </c>
      <c r="S565" t="s">
        <v>34</v>
      </c>
      <c r="T565">
        <v>6</v>
      </c>
      <c r="U565">
        <v>1</v>
      </c>
      <c r="V565">
        <v>4</v>
      </c>
      <c r="W565">
        <v>0</v>
      </c>
      <c r="X565" t="s">
        <v>11024</v>
      </c>
      <c r="Y565" t="s">
        <v>11024</v>
      </c>
      <c r="Z565" t="str">
        <f>_xlfn.XLOOKUP(Employees[[#This Row],[Education]], EdLevel[EducationLevelID], EdLevel[EducationLevel])</f>
        <v>Doctorate</v>
      </c>
      <c r="AA565">
        <f>IF(Employees[[#This Row],[Attrition]] = "Yes", 1, 0)</f>
        <v>0</v>
      </c>
      <c r="AB565" t="str" cm="1">
        <f t="array" ref="AB565">_xlfn.IFS(Employees[[#This Row],[Age]]&lt;30, "20-29", Employees[[#This Row],[Age]]&lt;40, "30-39", Employees[[#This Row],[Age]]&lt;50, "40-49", "TRUE", "50+")</f>
        <v>20-29</v>
      </c>
    </row>
    <row r="566" spans="1:28">
      <c r="A566" t="s">
        <v>1733</v>
      </c>
      <c r="B566" t="s">
        <v>1734</v>
      </c>
      <c r="C566" t="s">
        <v>1735</v>
      </c>
      <c r="D566" t="s">
        <v>26</v>
      </c>
      <c r="E566">
        <v>25</v>
      </c>
      <c r="F566" t="s">
        <v>27</v>
      </c>
      <c r="G566" t="s">
        <v>54</v>
      </c>
      <c r="H566">
        <v>34</v>
      </c>
      <c r="I566" t="s">
        <v>39</v>
      </c>
      <c r="J566" t="s">
        <v>30</v>
      </c>
      <c r="K566">
        <v>3</v>
      </c>
      <c r="L566" t="s">
        <v>72</v>
      </c>
      <c r="M566" t="s">
        <v>85</v>
      </c>
      <c r="N566" t="s">
        <v>40</v>
      </c>
      <c r="O566">
        <v>37053</v>
      </c>
      <c r="P566">
        <v>0</v>
      </c>
      <c r="Q566" t="s">
        <v>34</v>
      </c>
      <c r="R566" s="1">
        <v>42405</v>
      </c>
      <c r="S566" t="s">
        <v>34</v>
      </c>
      <c r="T566">
        <v>6</v>
      </c>
      <c r="U566">
        <v>5</v>
      </c>
      <c r="V566">
        <v>5</v>
      </c>
      <c r="W566">
        <v>0</v>
      </c>
      <c r="X566" t="s">
        <v>11022</v>
      </c>
      <c r="Y566" t="s">
        <v>11022</v>
      </c>
      <c r="Z566" t="str">
        <f>_xlfn.XLOOKUP(Employees[[#This Row],[Education]], EdLevel[EducationLevelID], EdLevel[EducationLevel])</f>
        <v xml:space="preserve">Bachelors </v>
      </c>
      <c r="AA566">
        <f>IF(Employees[[#This Row],[Attrition]] = "Yes", 1, 0)</f>
        <v>0</v>
      </c>
      <c r="AB566" t="str" cm="1">
        <f t="array" ref="AB566">_xlfn.IFS(Employees[[#This Row],[Age]]&lt;30, "20-29", Employees[[#This Row],[Age]]&lt;40, "30-39", Employees[[#This Row],[Age]]&lt;50, "40-49", "TRUE", "50+")</f>
        <v>20-29</v>
      </c>
    </row>
    <row r="567" spans="1:28">
      <c r="A567" t="s">
        <v>1736</v>
      </c>
      <c r="B567" t="s">
        <v>1737</v>
      </c>
      <c r="C567" t="s">
        <v>1738</v>
      </c>
      <c r="D567" t="s">
        <v>26</v>
      </c>
      <c r="E567">
        <v>27</v>
      </c>
      <c r="F567" t="s">
        <v>84</v>
      </c>
      <c r="G567" t="s">
        <v>54</v>
      </c>
      <c r="H567">
        <v>4</v>
      </c>
      <c r="I567" t="s">
        <v>65</v>
      </c>
      <c r="J567" t="s">
        <v>30</v>
      </c>
      <c r="K567">
        <v>3</v>
      </c>
      <c r="L567" t="s">
        <v>77</v>
      </c>
      <c r="M567" t="s">
        <v>85</v>
      </c>
      <c r="N567" t="s">
        <v>49</v>
      </c>
      <c r="O567">
        <v>27550</v>
      </c>
      <c r="P567">
        <v>1</v>
      </c>
      <c r="Q567" t="s">
        <v>34</v>
      </c>
      <c r="R567" s="1">
        <v>42409</v>
      </c>
      <c r="S567" t="s">
        <v>34</v>
      </c>
      <c r="T567">
        <v>6</v>
      </c>
      <c r="U567">
        <v>6</v>
      </c>
      <c r="V567">
        <v>6</v>
      </c>
      <c r="W567">
        <v>5</v>
      </c>
      <c r="X567" t="s">
        <v>11022</v>
      </c>
      <c r="Y567" t="s">
        <v>11022</v>
      </c>
      <c r="Z567" t="str">
        <f>_xlfn.XLOOKUP(Employees[[#This Row],[Education]], EdLevel[EducationLevelID], EdLevel[EducationLevel])</f>
        <v xml:space="preserve">Bachelors </v>
      </c>
      <c r="AA567">
        <f>IF(Employees[[#This Row],[Attrition]] = "Yes", 1, 0)</f>
        <v>0</v>
      </c>
      <c r="AB567" t="str" cm="1">
        <f t="array" ref="AB567">_xlfn.IFS(Employees[[#This Row],[Age]]&lt;30, "20-29", Employees[[#This Row],[Age]]&lt;40, "30-39", Employees[[#This Row],[Age]]&lt;50, "40-49", "TRUE", "50+")</f>
        <v>20-29</v>
      </c>
    </row>
    <row r="568" spans="1:28">
      <c r="A568" t="s">
        <v>1739</v>
      </c>
      <c r="B568" t="s">
        <v>381</v>
      </c>
      <c r="C568" t="s">
        <v>1740</v>
      </c>
      <c r="D568" t="s">
        <v>38</v>
      </c>
      <c r="E568">
        <v>25</v>
      </c>
      <c r="F568" t="s">
        <v>27</v>
      </c>
      <c r="G568" t="s">
        <v>28</v>
      </c>
      <c r="H568">
        <v>5</v>
      </c>
      <c r="I568" t="s">
        <v>65</v>
      </c>
      <c r="J568" t="s">
        <v>71</v>
      </c>
      <c r="K568">
        <v>2</v>
      </c>
      <c r="L568" t="s">
        <v>31</v>
      </c>
      <c r="M568" t="s">
        <v>32</v>
      </c>
      <c r="N568" t="s">
        <v>33</v>
      </c>
      <c r="O568">
        <v>69539</v>
      </c>
      <c r="P568">
        <v>2</v>
      </c>
      <c r="Q568" t="s">
        <v>34</v>
      </c>
      <c r="R568" s="1">
        <v>42413</v>
      </c>
      <c r="S568" t="s">
        <v>34</v>
      </c>
      <c r="T568">
        <v>6</v>
      </c>
      <c r="U568">
        <v>0</v>
      </c>
      <c r="V568">
        <v>4</v>
      </c>
      <c r="W568">
        <v>4</v>
      </c>
      <c r="X568" t="s">
        <v>11021</v>
      </c>
      <c r="Y568" t="s">
        <v>11021</v>
      </c>
      <c r="Z568" t="str">
        <f>_xlfn.XLOOKUP(Employees[[#This Row],[Education]], EdLevel[EducationLevelID], EdLevel[EducationLevel])</f>
        <v xml:space="preserve">High School </v>
      </c>
      <c r="AA568">
        <f>IF(Employees[[#This Row],[Attrition]] = "Yes", 1, 0)</f>
        <v>0</v>
      </c>
      <c r="AB568" t="str" cm="1">
        <f t="array" ref="AB568">_xlfn.IFS(Employees[[#This Row],[Age]]&lt;30, "20-29", Employees[[#This Row],[Age]]&lt;40, "30-39", Employees[[#This Row],[Age]]&lt;50, "40-49", "TRUE", "50+")</f>
        <v>20-29</v>
      </c>
    </row>
    <row r="569" spans="1:28">
      <c r="A569" t="s">
        <v>1741</v>
      </c>
      <c r="B569" t="s">
        <v>1742</v>
      </c>
      <c r="C569" t="s">
        <v>1743</v>
      </c>
      <c r="D569" t="s">
        <v>26</v>
      </c>
      <c r="E569">
        <v>26</v>
      </c>
      <c r="F569" t="s">
        <v>27</v>
      </c>
      <c r="G569" t="s">
        <v>54</v>
      </c>
      <c r="H569">
        <v>2</v>
      </c>
      <c r="I569" t="s">
        <v>39</v>
      </c>
      <c r="J569" t="s">
        <v>30</v>
      </c>
      <c r="K569">
        <v>4</v>
      </c>
      <c r="L569" t="s">
        <v>72</v>
      </c>
      <c r="M569" t="s">
        <v>101</v>
      </c>
      <c r="N569" t="s">
        <v>40</v>
      </c>
      <c r="O569">
        <v>55565</v>
      </c>
      <c r="P569">
        <v>0</v>
      </c>
      <c r="Q569" t="s">
        <v>34</v>
      </c>
      <c r="R569" s="1">
        <v>42422</v>
      </c>
      <c r="S569" t="s">
        <v>34</v>
      </c>
      <c r="T569">
        <v>6</v>
      </c>
      <c r="U569">
        <v>6</v>
      </c>
      <c r="V569">
        <v>6</v>
      </c>
      <c r="W569">
        <v>4</v>
      </c>
      <c r="X569" t="s">
        <v>11023</v>
      </c>
      <c r="Y569" t="s">
        <v>11023</v>
      </c>
      <c r="Z569" t="str">
        <f>_xlfn.XLOOKUP(Employees[[#This Row],[Education]], EdLevel[EducationLevelID], EdLevel[EducationLevel])</f>
        <v xml:space="preserve">Masters </v>
      </c>
      <c r="AA569">
        <f>IF(Employees[[#This Row],[Attrition]] = "Yes", 1, 0)</f>
        <v>0</v>
      </c>
      <c r="AB569" t="str" cm="1">
        <f t="array" ref="AB569">_xlfn.IFS(Employees[[#This Row],[Age]]&lt;30, "20-29", Employees[[#This Row],[Age]]&lt;40, "30-39", Employees[[#This Row],[Age]]&lt;50, "40-49", "TRUE", "50+")</f>
        <v>20-29</v>
      </c>
    </row>
    <row r="570" spans="1:28">
      <c r="A570" t="s">
        <v>1744</v>
      </c>
      <c r="B570" t="s">
        <v>1745</v>
      </c>
      <c r="C570" t="s">
        <v>1746</v>
      </c>
      <c r="D570" t="s">
        <v>38</v>
      </c>
      <c r="E570">
        <v>25</v>
      </c>
      <c r="F570" t="s">
        <v>27</v>
      </c>
      <c r="G570" t="s">
        <v>54</v>
      </c>
      <c r="H570">
        <v>26</v>
      </c>
      <c r="I570" t="s">
        <v>39</v>
      </c>
      <c r="J570" t="s">
        <v>30</v>
      </c>
      <c r="K570">
        <v>3</v>
      </c>
      <c r="L570" t="s">
        <v>72</v>
      </c>
      <c r="M570" t="s">
        <v>105</v>
      </c>
      <c r="N570" t="s">
        <v>40</v>
      </c>
      <c r="O570">
        <v>85412</v>
      </c>
      <c r="P570">
        <v>0</v>
      </c>
      <c r="Q570" t="s">
        <v>34</v>
      </c>
      <c r="R570" s="1">
        <v>42423</v>
      </c>
      <c r="S570" t="s">
        <v>34</v>
      </c>
      <c r="T570">
        <v>6</v>
      </c>
      <c r="U570">
        <v>0</v>
      </c>
      <c r="V570">
        <v>5</v>
      </c>
      <c r="W570">
        <v>6</v>
      </c>
      <c r="X570" t="s">
        <v>11022</v>
      </c>
      <c r="Y570" t="s">
        <v>11022</v>
      </c>
      <c r="Z570" t="str">
        <f>_xlfn.XLOOKUP(Employees[[#This Row],[Education]], EdLevel[EducationLevelID], EdLevel[EducationLevel])</f>
        <v xml:space="preserve">Bachelors </v>
      </c>
      <c r="AA570">
        <f>IF(Employees[[#This Row],[Attrition]] = "Yes", 1, 0)</f>
        <v>0</v>
      </c>
      <c r="AB570" t="str" cm="1">
        <f t="array" ref="AB570">_xlfn.IFS(Employees[[#This Row],[Age]]&lt;30, "20-29", Employees[[#This Row],[Age]]&lt;40, "30-39", Employees[[#This Row],[Age]]&lt;50, "40-49", "TRUE", "50+")</f>
        <v>20-29</v>
      </c>
    </row>
    <row r="571" spans="1:28">
      <c r="A571" t="s">
        <v>1747</v>
      </c>
      <c r="B571" t="s">
        <v>1748</v>
      </c>
      <c r="C571" t="s">
        <v>1749</v>
      </c>
      <c r="D571" t="s">
        <v>38</v>
      </c>
      <c r="E571">
        <v>25</v>
      </c>
      <c r="F571" t="s">
        <v>27</v>
      </c>
      <c r="G571" t="s">
        <v>54</v>
      </c>
      <c r="H571">
        <v>33</v>
      </c>
      <c r="I571" t="s">
        <v>65</v>
      </c>
      <c r="J571" t="s">
        <v>66</v>
      </c>
      <c r="K571">
        <v>3</v>
      </c>
      <c r="L571" t="s">
        <v>72</v>
      </c>
      <c r="M571" t="s">
        <v>101</v>
      </c>
      <c r="N571" t="s">
        <v>49</v>
      </c>
      <c r="O571">
        <v>24417</v>
      </c>
      <c r="P571">
        <v>1</v>
      </c>
      <c r="Q571" t="s">
        <v>34</v>
      </c>
      <c r="R571" s="1">
        <v>42426</v>
      </c>
      <c r="S571" t="s">
        <v>34</v>
      </c>
      <c r="T571">
        <v>6</v>
      </c>
      <c r="U571">
        <v>2</v>
      </c>
      <c r="V571">
        <v>6</v>
      </c>
      <c r="W571">
        <v>6</v>
      </c>
      <c r="X571" t="s">
        <v>11022</v>
      </c>
      <c r="Y571" t="s">
        <v>11022</v>
      </c>
      <c r="Z571" t="str">
        <f>_xlfn.XLOOKUP(Employees[[#This Row],[Education]], EdLevel[EducationLevelID], EdLevel[EducationLevel])</f>
        <v xml:space="preserve">Bachelors </v>
      </c>
      <c r="AA571">
        <f>IF(Employees[[#This Row],[Attrition]] = "Yes", 1, 0)</f>
        <v>0</v>
      </c>
      <c r="AB571" t="str" cm="1">
        <f t="array" ref="AB571">_xlfn.IFS(Employees[[#This Row],[Age]]&lt;30, "20-29", Employees[[#This Row],[Age]]&lt;40, "30-39", Employees[[#This Row],[Age]]&lt;50, "40-49", "TRUE", "50+")</f>
        <v>20-29</v>
      </c>
    </row>
    <row r="572" spans="1:28">
      <c r="A572" t="s">
        <v>1750</v>
      </c>
      <c r="B572" t="s">
        <v>1751</v>
      </c>
      <c r="C572" t="s">
        <v>1752</v>
      </c>
      <c r="D572" t="s">
        <v>38</v>
      </c>
      <c r="E572">
        <v>25</v>
      </c>
      <c r="F572" t="s">
        <v>27</v>
      </c>
      <c r="G572" t="s">
        <v>54</v>
      </c>
      <c r="H572">
        <v>21</v>
      </c>
      <c r="I572" t="s">
        <v>39</v>
      </c>
      <c r="J572" t="s">
        <v>66</v>
      </c>
      <c r="K572">
        <v>5</v>
      </c>
      <c r="L572" t="s">
        <v>72</v>
      </c>
      <c r="M572" t="s">
        <v>101</v>
      </c>
      <c r="N572" t="s">
        <v>49</v>
      </c>
      <c r="O572">
        <v>46362</v>
      </c>
      <c r="P572">
        <v>1</v>
      </c>
      <c r="Q572" t="s">
        <v>41</v>
      </c>
      <c r="R572" s="1">
        <v>42444</v>
      </c>
      <c r="S572" t="s">
        <v>34</v>
      </c>
      <c r="T572">
        <v>6</v>
      </c>
      <c r="U572">
        <v>0</v>
      </c>
      <c r="V572">
        <v>4</v>
      </c>
      <c r="W572">
        <v>5</v>
      </c>
      <c r="X572" t="s">
        <v>11024</v>
      </c>
      <c r="Y572" t="s">
        <v>11024</v>
      </c>
      <c r="Z572" t="str">
        <f>_xlfn.XLOOKUP(Employees[[#This Row],[Education]], EdLevel[EducationLevelID], EdLevel[EducationLevel])</f>
        <v>Doctorate</v>
      </c>
      <c r="AA572">
        <f>IF(Employees[[#This Row],[Attrition]] = "Yes", 1, 0)</f>
        <v>0</v>
      </c>
      <c r="AB572" t="str" cm="1">
        <f t="array" ref="AB572">_xlfn.IFS(Employees[[#This Row],[Age]]&lt;30, "20-29", Employees[[#This Row],[Age]]&lt;40, "30-39", Employees[[#This Row],[Age]]&lt;50, "40-49", "TRUE", "50+")</f>
        <v>20-29</v>
      </c>
    </row>
    <row r="573" spans="1:28">
      <c r="A573" t="s">
        <v>1753</v>
      </c>
      <c r="B573" t="s">
        <v>1754</v>
      </c>
      <c r="C573" t="s">
        <v>1755</v>
      </c>
      <c r="D573" t="s">
        <v>38</v>
      </c>
      <c r="E573">
        <v>29</v>
      </c>
      <c r="F573" t="s">
        <v>27</v>
      </c>
      <c r="G573" t="s">
        <v>54</v>
      </c>
      <c r="H573">
        <v>3</v>
      </c>
      <c r="I573" t="s">
        <v>39</v>
      </c>
      <c r="J573" t="s">
        <v>30</v>
      </c>
      <c r="K573">
        <v>3</v>
      </c>
      <c r="L573" t="s">
        <v>55</v>
      </c>
      <c r="M573" t="s">
        <v>182</v>
      </c>
      <c r="N573" t="s">
        <v>40</v>
      </c>
      <c r="O573">
        <v>393103</v>
      </c>
      <c r="P573">
        <v>0</v>
      </c>
      <c r="Q573" t="s">
        <v>41</v>
      </c>
      <c r="R573" s="1">
        <v>42459</v>
      </c>
      <c r="S573" t="s">
        <v>34</v>
      </c>
      <c r="T573">
        <v>6</v>
      </c>
      <c r="U573">
        <v>4</v>
      </c>
      <c r="V573">
        <v>4</v>
      </c>
      <c r="W573">
        <v>5</v>
      </c>
      <c r="X573" t="s">
        <v>11022</v>
      </c>
      <c r="Y573" t="s">
        <v>11022</v>
      </c>
      <c r="Z573" t="str">
        <f>_xlfn.XLOOKUP(Employees[[#This Row],[Education]], EdLevel[EducationLevelID], EdLevel[EducationLevel])</f>
        <v xml:space="preserve">Bachelors </v>
      </c>
      <c r="AA573">
        <f>IF(Employees[[#This Row],[Attrition]] = "Yes", 1, 0)</f>
        <v>0</v>
      </c>
      <c r="AB573" t="str" cm="1">
        <f t="array" ref="AB573">_xlfn.IFS(Employees[[#This Row],[Age]]&lt;30, "20-29", Employees[[#This Row],[Age]]&lt;40, "30-39", Employees[[#This Row],[Age]]&lt;50, "40-49", "TRUE", "50+")</f>
        <v>20-29</v>
      </c>
    </row>
    <row r="574" spans="1:28">
      <c r="A574" t="s">
        <v>1756</v>
      </c>
      <c r="B574" t="s">
        <v>1757</v>
      </c>
      <c r="C574" t="s">
        <v>783</v>
      </c>
      <c r="D574" t="s">
        <v>38</v>
      </c>
      <c r="E574">
        <v>25</v>
      </c>
      <c r="F574" t="s">
        <v>27</v>
      </c>
      <c r="G574" t="s">
        <v>28</v>
      </c>
      <c r="H574">
        <v>30</v>
      </c>
      <c r="I574" t="s">
        <v>39</v>
      </c>
      <c r="J574" t="s">
        <v>30</v>
      </c>
      <c r="K574">
        <v>4</v>
      </c>
      <c r="L574" t="s">
        <v>31</v>
      </c>
      <c r="M574" t="s">
        <v>32</v>
      </c>
      <c r="N574" t="s">
        <v>49</v>
      </c>
      <c r="O574">
        <v>106738</v>
      </c>
      <c r="P574">
        <v>1</v>
      </c>
      <c r="Q574" t="s">
        <v>34</v>
      </c>
      <c r="R574" s="1">
        <v>42462</v>
      </c>
      <c r="S574" t="s">
        <v>34</v>
      </c>
      <c r="T574">
        <v>6</v>
      </c>
      <c r="U574">
        <v>4</v>
      </c>
      <c r="V574">
        <v>5</v>
      </c>
      <c r="W574">
        <v>2</v>
      </c>
      <c r="X574" t="s">
        <v>11023</v>
      </c>
      <c r="Y574" t="s">
        <v>11023</v>
      </c>
      <c r="Z574" t="str">
        <f>_xlfn.XLOOKUP(Employees[[#This Row],[Education]], EdLevel[EducationLevelID], EdLevel[EducationLevel])</f>
        <v xml:space="preserve">Masters </v>
      </c>
      <c r="AA574">
        <f>IF(Employees[[#This Row],[Attrition]] = "Yes", 1, 0)</f>
        <v>0</v>
      </c>
      <c r="AB574" t="str" cm="1">
        <f t="array" ref="AB574">_xlfn.IFS(Employees[[#This Row],[Age]]&lt;30, "20-29", Employees[[#This Row],[Age]]&lt;40, "30-39", Employees[[#This Row],[Age]]&lt;50, "40-49", "TRUE", "50+")</f>
        <v>20-29</v>
      </c>
    </row>
    <row r="575" spans="1:28">
      <c r="A575" t="s">
        <v>1758</v>
      </c>
      <c r="B575" t="s">
        <v>1759</v>
      </c>
      <c r="C575" t="s">
        <v>1760</v>
      </c>
      <c r="D575" t="s">
        <v>26</v>
      </c>
      <c r="E575">
        <v>24</v>
      </c>
      <c r="F575" t="s">
        <v>27</v>
      </c>
      <c r="G575" t="s">
        <v>54</v>
      </c>
      <c r="H575">
        <v>26</v>
      </c>
      <c r="I575" t="s">
        <v>65</v>
      </c>
      <c r="J575" t="s">
        <v>46</v>
      </c>
      <c r="K575">
        <v>2</v>
      </c>
      <c r="L575" t="s">
        <v>77</v>
      </c>
      <c r="M575" t="s">
        <v>85</v>
      </c>
      <c r="N575" t="s">
        <v>40</v>
      </c>
      <c r="O575">
        <v>39048</v>
      </c>
      <c r="P575">
        <v>0</v>
      </c>
      <c r="Q575" t="s">
        <v>34</v>
      </c>
      <c r="R575" s="1">
        <v>42465</v>
      </c>
      <c r="S575" t="s">
        <v>34</v>
      </c>
      <c r="T575">
        <v>6</v>
      </c>
      <c r="U575">
        <v>1</v>
      </c>
      <c r="V575">
        <v>4</v>
      </c>
      <c r="W575">
        <v>1</v>
      </c>
      <c r="X575" t="s">
        <v>11021</v>
      </c>
      <c r="Y575" t="s">
        <v>11021</v>
      </c>
      <c r="Z575" t="str">
        <f>_xlfn.XLOOKUP(Employees[[#This Row],[Education]], EdLevel[EducationLevelID], EdLevel[EducationLevel])</f>
        <v xml:space="preserve">High School </v>
      </c>
      <c r="AA575">
        <f>IF(Employees[[#This Row],[Attrition]] = "Yes", 1, 0)</f>
        <v>0</v>
      </c>
      <c r="AB575" t="str" cm="1">
        <f t="array" ref="AB575">_xlfn.IFS(Employees[[#This Row],[Age]]&lt;30, "20-29", Employees[[#This Row],[Age]]&lt;40, "30-39", Employees[[#This Row],[Age]]&lt;50, "40-49", "TRUE", "50+")</f>
        <v>20-29</v>
      </c>
    </row>
    <row r="576" spans="1:28">
      <c r="A576" t="s">
        <v>1761</v>
      </c>
      <c r="B576" t="s">
        <v>1762</v>
      </c>
      <c r="C576" t="s">
        <v>1763</v>
      </c>
      <c r="D576" t="s">
        <v>38</v>
      </c>
      <c r="E576">
        <v>26</v>
      </c>
      <c r="F576" t="s">
        <v>27</v>
      </c>
      <c r="G576" t="s">
        <v>28</v>
      </c>
      <c r="H576">
        <v>41</v>
      </c>
      <c r="I576" t="s">
        <v>65</v>
      </c>
      <c r="J576" t="s">
        <v>46</v>
      </c>
      <c r="K576">
        <v>4</v>
      </c>
      <c r="L576" t="s">
        <v>47</v>
      </c>
      <c r="M576" t="s">
        <v>32</v>
      </c>
      <c r="N576" t="s">
        <v>40</v>
      </c>
      <c r="O576">
        <v>61238</v>
      </c>
      <c r="P576">
        <v>0</v>
      </c>
      <c r="Q576" t="s">
        <v>34</v>
      </c>
      <c r="R576" s="1">
        <v>42471</v>
      </c>
      <c r="S576" t="s">
        <v>34</v>
      </c>
      <c r="T576">
        <v>6</v>
      </c>
      <c r="U576">
        <v>4</v>
      </c>
      <c r="V576">
        <v>6</v>
      </c>
      <c r="W576">
        <v>3</v>
      </c>
      <c r="X576" t="s">
        <v>11023</v>
      </c>
      <c r="Y576" t="s">
        <v>11023</v>
      </c>
      <c r="Z576" t="str">
        <f>_xlfn.XLOOKUP(Employees[[#This Row],[Education]], EdLevel[EducationLevelID], EdLevel[EducationLevel])</f>
        <v xml:space="preserve">Masters </v>
      </c>
      <c r="AA576">
        <f>IF(Employees[[#This Row],[Attrition]] = "Yes", 1, 0)</f>
        <v>0</v>
      </c>
      <c r="AB576" t="str" cm="1">
        <f t="array" ref="AB576">_xlfn.IFS(Employees[[#This Row],[Age]]&lt;30, "20-29", Employees[[#This Row],[Age]]&lt;40, "30-39", Employees[[#This Row],[Age]]&lt;50, "40-49", "TRUE", "50+")</f>
        <v>20-29</v>
      </c>
    </row>
    <row r="577" spans="1:28">
      <c r="A577" t="s">
        <v>1764</v>
      </c>
      <c r="B577" t="s">
        <v>1765</v>
      </c>
      <c r="C577" t="s">
        <v>1766</v>
      </c>
      <c r="D577" t="s">
        <v>26</v>
      </c>
      <c r="E577">
        <v>27</v>
      </c>
      <c r="F577" t="s">
        <v>70</v>
      </c>
      <c r="G577" t="s">
        <v>54</v>
      </c>
      <c r="H577">
        <v>8</v>
      </c>
      <c r="I577" t="s">
        <v>29</v>
      </c>
      <c r="J577" t="s">
        <v>46</v>
      </c>
      <c r="K577">
        <v>1</v>
      </c>
      <c r="L577" t="s">
        <v>72</v>
      </c>
      <c r="M577" t="s">
        <v>56</v>
      </c>
      <c r="N577" t="s">
        <v>33</v>
      </c>
      <c r="O577">
        <v>152322</v>
      </c>
      <c r="P577">
        <v>1</v>
      </c>
      <c r="Q577" t="s">
        <v>34</v>
      </c>
      <c r="R577" s="1">
        <v>42477</v>
      </c>
      <c r="S577" t="s">
        <v>34</v>
      </c>
      <c r="T577">
        <v>6</v>
      </c>
      <c r="U577">
        <v>0</v>
      </c>
      <c r="V577">
        <v>5</v>
      </c>
      <c r="W577">
        <v>4</v>
      </c>
      <c r="X577" t="s">
        <v>11020</v>
      </c>
      <c r="Y577" t="s">
        <v>11020</v>
      </c>
      <c r="Z577" t="str">
        <f>_xlfn.XLOOKUP(Employees[[#This Row],[Education]], EdLevel[EducationLevelID], EdLevel[EducationLevel])</f>
        <v>No Formal Qualifications</v>
      </c>
      <c r="AA577">
        <f>IF(Employees[[#This Row],[Attrition]] = "Yes", 1, 0)</f>
        <v>0</v>
      </c>
      <c r="AB577" t="str" cm="1">
        <f t="array" ref="AB577">_xlfn.IFS(Employees[[#This Row],[Age]]&lt;30, "20-29", Employees[[#This Row],[Age]]&lt;40, "30-39", Employees[[#This Row],[Age]]&lt;50, "40-49", "TRUE", "50+")</f>
        <v>20-29</v>
      </c>
    </row>
    <row r="578" spans="1:28">
      <c r="A578" t="s">
        <v>1767</v>
      </c>
      <c r="B578" t="s">
        <v>1768</v>
      </c>
      <c r="C578" t="s">
        <v>1769</v>
      </c>
      <c r="D578" t="s">
        <v>26</v>
      </c>
      <c r="E578">
        <v>27</v>
      </c>
      <c r="F578" t="s">
        <v>27</v>
      </c>
      <c r="G578" t="s">
        <v>54</v>
      </c>
      <c r="H578">
        <v>25</v>
      </c>
      <c r="I578" t="s">
        <v>65</v>
      </c>
      <c r="J578" t="s">
        <v>46</v>
      </c>
      <c r="K578">
        <v>4</v>
      </c>
      <c r="L578" t="s">
        <v>72</v>
      </c>
      <c r="M578" t="s">
        <v>85</v>
      </c>
      <c r="N578" t="s">
        <v>33</v>
      </c>
      <c r="O578">
        <v>24571</v>
      </c>
      <c r="P578">
        <v>3</v>
      </c>
      <c r="Q578" t="s">
        <v>34</v>
      </c>
      <c r="R578" s="1">
        <v>42477</v>
      </c>
      <c r="S578" t="s">
        <v>34</v>
      </c>
      <c r="T578">
        <v>6</v>
      </c>
      <c r="U578">
        <v>5</v>
      </c>
      <c r="V578">
        <v>5</v>
      </c>
      <c r="W578">
        <v>6</v>
      </c>
      <c r="X578" t="s">
        <v>11023</v>
      </c>
      <c r="Y578" t="s">
        <v>11023</v>
      </c>
      <c r="Z578" t="str">
        <f>_xlfn.XLOOKUP(Employees[[#This Row],[Education]], EdLevel[EducationLevelID], EdLevel[EducationLevel])</f>
        <v xml:space="preserve">Masters </v>
      </c>
      <c r="AA578">
        <f>IF(Employees[[#This Row],[Attrition]] = "Yes", 1, 0)</f>
        <v>0</v>
      </c>
      <c r="AB578" t="str" cm="1">
        <f t="array" ref="AB578">_xlfn.IFS(Employees[[#This Row],[Age]]&lt;30, "20-29", Employees[[#This Row],[Age]]&lt;40, "30-39", Employees[[#This Row],[Age]]&lt;50, "40-49", "TRUE", "50+")</f>
        <v>20-29</v>
      </c>
    </row>
    <row r="579" spans="1:28">
      <c r="A579" t="s">
        <v>1770</v>
      </c>
      <c r="B579" t="s">
        <v>1771</v>
      </c>
      <c r="C579" t="s">
        <v>1772</v>
      </c>
      <c r="D579" t="s">
        <v>26</v>
      </c>
      <c r="E579">
        <v>26</v>
      </c>
      <c r="F579" t="s">
        <v>27</v>
      </c>
      <c r="G579" t="s">
        <v>54</v>
      </c>
      <c r="H579">
        <v>18</v>
      </c>
      <c r="I579" t="s">
        <v>65</v>
      </c>
      <c r="J579" t="s">
        <v>30</v>
      </c>
      <c r="K579">
        <v>3</v>
      </c>
      <c r="L579" t="s">
        <v>55</v>
      </c>
      <c r="M579" t="s">
        <v>182</v>
      </c>
      <c r="N579" t="s">
        <v>49</v>
      </c>
      <c r="O579">
        <v>178836</v>
      </c>
      <c r="P579">
        <v>0</v>
      </c>
      <c r="Q579" t="s">
        <v>34</v>
      </c>
      <c r="R579" s="1">
        <v>42478</v>
      </c>
      <c r="S579" t="s">
        <v>34</v>
      </c>
      <c r="T579">
        <v>6</v>
      </c>
      <c r="U579">
        <v>4</v>
      </c>
      <c r="V579">
        <v>5</v>
      </c>
      <c r="W579">
        <v>6</v>
      </c>
      <c r="X579" t="s">
        <v>11022</v>
      </c>
      <c r="Y579" t="s">
        <v>11022</v>
      </c>
      <c r="Z579" t="str">
        <f>_xlfn.XLOOKUP(Employees[[#This Row],[Education]], EdLevel[EducationLevelID], EdLevel[EducationLevel])</f>
        <v xml:space="preserve">Bachelors </v>
      </c>
      <c r="AA579">
        <f>IF(Employees[[#This Row],[Attrition]] = "Yes", 1, 0)</f>
        <v>0</v>
      </c>
      <c r="AB579" t="str" cm="1">
        <f t="array" ref="AB579">_xlfn.IFS(Employees[[#This Row],[Age]]&lt;30, "20-29", Employees[[#This Row],[Age]]&lt;40, "30-39", Employees[[#This Row],[Age]]&lt;50, "40-49", "TRUE", "50+")</f>
        <v>20-29</v>
      </c>
    </row>
    <row r="580" spans="1:28">
      <c r="A580" t="s">
        <v>1773</v>
      </c>
      <c r="B580" t="s">
        <v>1774</v>
      </c>
      <c r="C580" t="s">
        <v>1775</v>
      </c>
      <c r="D580" t="s">
        <v>26</v>
      </c>
      <c r="E580">
        <v>25</v>
      </c>
      <c r="F580" t="s">
        <v>84</v>
      </c>
      <c r="G580" t="s">
        <v>54</v>
      </c>
      <c r="H580">
        <v>15</v>
      </c>
      <c r="I580" t="s">
        <v>39</v>
      </c>
      <c r="J580" t="s">
        <v>71</v>
      </c>
      <c r="K580">
        <v>4</v>
      </c>
      <c r="L580" t="s">
        <v>77</v>
      </c>
      <c r="M580" t="s">
        <v>85</v>
      </c>
      <c r="N580" t="s">
        <v>49</v>
      </c>
      <c r="O580">
        <v>31931</v>
      </c>
      <c r="P580">
        <v>1</v>
      </c>
      <c r="Q580" t="s">
        <v>34</v>
      </c>
      <c r="R580" s="1">
        <v>42481</v>
      </c>
      <c r="S580" t="s">
        <v>34</v>
      </c>
      <c r="T580">
        <v>6</v>
      </c>
      <c r="U580">
        <v>1</v>
      </c>
      <c r="V580">
        <v>1</v>
      </c>
      <c r="W580">
        <v>3</v>
      </c>
      <c r="X580" t="s">
        <v>11023</v>
      </c>
      <c r="Y580" t="s">
        <v>11023</v>
      </c>
      <c r="Z580" t="str">
        <f>_xlfn.XLOOKUP(Employees[[#This Row],[Education]], EdLevel[EducationLevelID], EdLevel[EducationLevel])</f>
        <v xml:space="preserve">Masters </v>
      </c>
      <c r="AA580">
        <f>IF(Employees[[#This Row],[Attrition]] = "Yes", 1, 0)</f>
        <v>0</v>
      </c>
      <c r="AB580" t="str" cm="1">
        <f t="array" ref="AB580">_xlfn.IFS(Employees[[#This Row],[Age]]&lt;30, "20-29", Employees[[#This Row],[Age]]&lt;40, "30-39", Employees[[#This Row],[Age]]&lt;50, "40-49", "TRUE", "50+")</f>
        <v>20-29</v>
      </c>
    </row>
    <row r="581" spans="1:28">
      <c r="A581" t="s">
        <v>1776</v>
      </c>
      <c r="B581" t="s">
        <v>1777</v>
      </c>
      <c r="C581" t="s">
        <v>1778</v>
      </c>
      <c r="D581" t="s">
        <v>38</v>
      </c>
      <c r="E581">
        <v>25</v>
      </c>
      <c r="F581" t="s">
        <v>27</v>
      </c>
      <c r="G581" t="s">
        <v>54</v>
      </c>
      <c r="H581">
        <v>2</v>
      </c>
      <c r="I581" t="s">
        <v>39</v>
      </c>
      <c r="J581" t="s">
        <v>30</v>
      </c>
      <c r="K581">
        <v>3</v>
      </c>
      <c r="L581" t="s">
        <v>55</v>
      </c>
      <c r="M581" t="s">
        <v>56</v>
      </c>
      <c r="N581" t="s">
        <v>49</v>
      </c>
      <c r="O581">
        <v>217544</v>
      </c>
      <c r="P581">
        <v>0</v>
      </c>
      <c r="Q581" t="s">
        <v>34</v>
      </c>
      <c r="R581" s="1">
        <v>42485</v>
      </c>
      <c r="S581" t="s">
        <v>34</v>
      </c>
      <c r="T581">
        <v>6</v>
      </c>
      <c r="U581">
        <v>5</v>
      </c>
      <c r="V581">
        <v>6</v>
      </c>
      <c r="W581">
        <v>6</v>
      </c>
      <c r="X581" t="s">
        <v>11022</v>
      </c>
      <c r="Y581" t="s">
        <v>11022</v>
      </c>
      <c r="Z581" t="str">
        <f>_xlfn.XLOOKUP(Employees[[#This Row],[Education]], EdLevel[EducationLevelID], EdLevel[EducationLevel])</f>
        <v xml:space="preserve">Bachelors </v>
      </c>
      <c r="AA581">
        <f>IF(Employees[[#This Row],[Attrition]] = "Yes", 1, 0)</f>
        <v>0</v>
      </c>
      <c r="AB581" t="str" cm="1">
        <f t="array" ref="AB581">_xlfn.IFS(Employees[[#This Row],[Age]]&lt;30, "20-29", Employees[[#This Row],[Age]]&lt;40, "30-39", Employees[[#This Row],[Age]]&lt;50, "40-49", "TRUE", "50+")</f>
        <v>20-29</v>
      </c>
    </row>
    <row r="582" spans="1:28">
      <c r="A582" t="s">
        <v>1779</v>
      </c>
      <c r="B582" t="s">
        <v>1780</v>
      </c>
      <c r="C582" t="s">
        <v>1781</v>
      </c>
      <c r="D582" t="s">
        <v>38</v>
      </c>
      <c r="E582">
        <v>26</v>
      </c>
      <c r="F582" t="s">
        <v>27</v>
      </c>
      <c r="G582" t="s">
        <v>54</v>
      </c>
      <c r="H582">
        <v>8</v>
      </c>
      <c r="I582" t="s">
        <v>65</v>
      </c>
      <c r="J582" t="s">
        <v>71</v>
      </c>
      <c r="K582">
        <v>4</v>
      </c>
      <c r="L582" t="s">
        <v>77</v>
      </c>
      <c r="M582" t="s">
        <v>101</v>
      </c>
      <c r="N582" t="s">
        <v>40</v>
      </c>
      <c r="O582">
        <v>22918</v>
      </c>
      <c r="P582">
        <v>0</v>
      </c>
      <c r="Q582" t="s">
        <v>41</v>
      </c>
      <c r="R582" s="1">
        <v>42491</v>
      </c>
      <c r="S582" t="s">
        <v>41</v>
      </c>
      <c r="T582">
        <v>0</v>
      </c>
      <c r="U582">
        <v>0</v>
      </c>
      <c r="V582">
        <v>0</v>
      </c>
      <c r="W582">
        <v>0</v>
      </c>
      <c r="X582" t="s">
        <v>11023</v>
      </c>
      <c r="Y582" t="s">
        <v>11023</v>
      </c>
      <c r="Z582" t="str">
        <f>_xlfn.XLOOKUP(Employees[[#This Row],[Education]], EdLevel[EducationLevelID], EdLevel[EducationLevel])</f>
        <v xml:space="preserve">Masters </v>
      </c>
      <c r="AA582">
        <f>IF(Employees[[#This Row],[Attrition]] = "Yes", 1, 0)</f>
        <v>1</v>
      </c>
      <c r="AB582" t="str" cm="1">
        <f t="array" ref="AB582">_xlfn.IFS(Employees[[#This Row],[Age]]&lt;30, "20-29", Employees[[#This Row],[Age]]&lt;40, "30-39", Employees[[#This Row],[Age]]&lt;50, "40-49", "TRUE", "50+")</f>
        <v>20-29</v>
      </c>
    </row>
    <row r="583" spans="1:28">
      <c r="A583" t="s">
        <v>1782</v>
      </c>
      <c r="B583" t="s">
        <v>1783</v>
      </c>
      <c r="C583" t="s">
        <v>1784</v>
      </c>
      <c r="D583" t="s">
        <v>26</v>
      </c>
      <c r="E583">
        <v>26</v>
      </c>
      <c r="F583" t="s">
        <v>70</v>
      </c>
      <c r="G583" t="s">
        <v>54</v>
      </c>
      <c r="H583">
        <v>21</v>
      </c>
      <c r="I583" t="s">
        <v>39</v>
      </c>
      <c r="J583" t="s">
        <v>30</v>
      </c>
      <c r="K583">
        <v>3</v>
      </c>
      <c r="L583" t="s">
        <v>55</v>
      </c>
      <c r="M583" t="s">
        <v>85</v>
      </c>
      <c r="N583" t="s">
        <v>49</v>
      </c>
      <c r="O583">
        <v>26919</v>
      </c>
      <c r="P583">
        <v>1</v>
      </c>
      <c r="Q583" t="s">
        <v>34</v>
      </c>
      <c r="R583" s="1">
        <v>42494</v>
      </c>
      <c r="S583" t="s">
        <v>34</v>
      </c>
      <c r="T583">
        <v>6</v>
      </c>
      <c r="U583">
        <v>0</v>
      </c>
      <c r="V583">
        <v>5</v>
      </c>
      <c r="W583">
        <v>3</v>
      </c>
      <c r="X583" t="s">
        <v>11022</v>
      </c>
      <c r="Y583" t="s">
        <v>11022</v>
      </c>
      <c r="Z583" t="str">
        <f>_xlfn.XLOOKUP(Employees[[#This Row],[Education]], EdLevel[EducationLevelID], EdLevel[EducationLevel])</f>
        <v xml:space="preserve">Bachelors </v>
      </c>
      <c r="AA583">
        <f>IF(Employees[[#This Row],[Attrition]] = "Yes", 1, 0)</f>
        <v>0</v>
      </c>
      <c r="AB583" t="str" cm="1">
        <f t="array" ref="AB583">_xlfn.IFS(Employees[[#This Row],[Age]]&lt;30, "20-29", Employees[[#This Row],[Age]]&lt;40, "30-39", Employees[[#This Row],[Age]]&lt;50, "40-49", "TRUE", "50+")</f>
        <v>20-29</v>
      </c>
    </row>
    <row r="584" spans="1:28">
      <c r="A584" t="s">
        <v>1785</v>
      </c>
      <c r="B584" t="s">
        <v>1786</v>
      </c>
      <c r="C584" t="s">
        <v>1787</v>
      </c>
      <c r="D584" t="s">
        <v>38</v>
      </c>
      <c r="E584">
        <v>25</v>
      </c>
      <c r="F584" t="s">
        <v>70</v>
      </c>
      <c r="G584" t="s">
        <v>54</v>
      </c>
      <c r="H584">
        <v>32</v>
      </c>
      <c r="I584" t="s">
        <v>65</v>
      </c>
      <c r="J584" t="s">
        <v>66</v>
      </c>
      <c r="K584">
        <v>4</v>
      </c>
      <c r="L584" t="s">
        <v>72</v>
      </c>
      <c r="M584" t="s">
        <v>93</v>
      </c>
      <c r="N584" t="s">
        <v>49</v>
      </c>
      <c r="O584">
        <v>52614</v>
      </c>
      <c r="P584">
        <v>1</v>
      </c>
      <c r="Q584" t="s">
        <v>34</v>
      </c>
      <c r="R584" s="1">
        <v>42498</v>
      </c>
      <c r="S584" t="s">
        <v>34</v>
      </c>
      <c r="T584">
        <v>6</v>
      </c>
      <c r="U584">
        <v>4</v>
      </c>
      <c r="V584">
        <v>5</v>
      </c>
      <c r="W584">
        <v>1</v>
      </c>
      <c r="X584" t="s">
        <v>11023</v>
      </c>
      <c r="Y584" t="s">
        <v>11023</v>
      </c>
      <c r="Z584" t="str">
        <f>_xlfn.XLOOKUP(Employees[[#This Row],[Education]], EdLevel[EducationLevelID], EdLevel[EducationLevel])</f>
        <v xml:space="preserve">Masters </v>
      </c>
      <c r="AA584">
        <f>IF(Employees[[#This Row],[Attrition]] = "Yes", 1, 0)</f>
        <v>0</v>
      </c>
      <c r="AB584" t="str" cm="1">
        <f t="array" ref="AB584">_xlfn.IFS(Employees[[#This Row],[Age]]&lt;30, "20-29", Employees[[#This Row],[Age]]&lt;40, "30-39", Employees[[#This Row],[Age]]&lt;50, "40-49", "TRUE", "50+")</f>
        <v>20-29</v>
      </c>
    </row>
    <row r="585" spans="1:28">
      <c r="A585" t="s">
        <v>1788</v>
      </c>
      <c r="B585" t="s">
        <v>1789</v>
      </c>
      <c r="C585" t="s">
        <v>1790</v>
      </c>
      <c r="D585" t="s">
        <v>26</v>
      </c>
      <c r="E585">
        <v>24</v>
      </c>
      <c r="F585" t="s">
        <v>27</v>
      </c>
      <c r="G585" t="s">
        <v>54</v>
      </c>
      <c r="H585">
        <v>27</v>
      </c>
      <c r="I585" t="s">
        <v>29</v>
      </c>
      <c r="J585" t="s">
        <v>30</v>
      </c>
      <c r="K585">
        <v>4</v>
      </c>
      <c r="L585" t="s">
        <v>77</v>
      </c>
      <c r="M585" t="s">
        <v>85</v>
      </c>
      <c r="N585" t="s">
        <v>49</v>
      </c>
      <c r="O585">
        <v>33554</v>
      </c>
      <c r="P585">
        <v>0</v>
      </c>
      <c r="Q585" t="s">
        <v>34</v>
      </c>
      <c r="R585" s="1">
        <v>42511</v>
      </c>
      <c r="S585" t="s">
        <v>34</v>
      </c>
      <c r="T585">
        <v>6</v>
      </c>
      <c r="U585">
        <v>1</v>
      </c>
      <c r="V585">
        <v>2</v>
      </c>
      <c r="W585">
        <v>6</v>
      </c>
      <c r="X585" t="s">
        <v>11023</v>
      </c>
      <c r="Y585" t="s">
        <v>11023</v>
      </c>
      <c r="Z585" t="str">
        <f>_xlfn.XLOOKUP(Employees[[#This Row],[Education]], EdLevel[EducationLevelID], EdLevel[EducationLevel])</f>
        <v xml:space="preserve">Masters </v>
      </c>
      <c r="AA585">
        <f>IF(Employees[[#This Row],[Attrition]] = "Yes", 1, 0)</f>
        <v>0</v>
      </c>
      <c r="AB585" t="str" cm="1">
        <f t="array" ref="AB585">_xlfn.IFS(Employees[[#This Row],[Age]]&lt;30, "20-29", Employees[[#This Row],[Age]]&lt;40, "30-39", Employees[[#This Row],[Age]]&lt;50, "40-49", "TRUE", "50+")</f>
        <v>20-29</v>
      </c>
    </row>
    <row r="586" spans="1:28">
      <c r="A586" t="s">
        <v>1791</v>
      </c>
      <c r="B586" t="s">
        <v>1792</v>
      </c>
      <c r="C586" t="s">
        <v>1793</v>
      </c>
      <c r="D586" t="s">
        <v>38</v>
      </c>
      <c r="E586">
        <v>24</v>
      </c>
      <c r="F586" t="s">
        <v>27</v>
      </c>
      <c r="G586" t="s">
        <v>54</v>
      </c>
      <c r="H586">
        <v>23</v>
      </c>
      <c r="I586" t="s">
        <v>65</v>
      </c>
      <c r="J586" t="s">
        <v>30</v>
      </c>
      <c r="K586">
        <v>5</v>
      </c>
      <c r="L586" t="s">
        <v>55</v>
      </c>
      <c r="M586" t="s">
        <v>105</v>
      </c>
      <c r="N586" t="s">
        <v>40</v>
      </c>
      <c r="O586">
        <v>92798</v>
      </c>
      <c r="P586">
        <v>0</v>
      </c>
      <c r="Q586" t="s">
        <v>41</v>
      </c>
      <c r="R586" s="1">
        <v>42513</v>
      </c>
      <c r="S586" t="s">
        <v>34</v>
      </c>
      <c r="T586">
        <v>6</v>
      </c>
      <c r="U586">
        <v>4</v>
      </c>
      <c r="V586">
        <v>4</v>
      </c>
      <c r="W586">
        <v>1</v>
      </c>
      <c r="X586" t="s">
        <v>11024</v>
      </c>
      <c r="Y586" t="s">
        <v>11024</v>
      </c>
      <c r="Z586" t="str">
        <f>_xlfn.XLOOKUP(Employees[[#This Row],[Education]], EdLevel[EducationLevelID], EdLevel[EducationLevel])</f>
        <v>Doctorate</v>
      </c>
      <c r="AA586">
        <f>IF(Employees[[#This Row],[Attrition]] = "Yes", 1, 0)</f>
        <v>0</v>
      </c>
      <c r="AB586" t="str" cm="1">
        <f t="array" ref="AB586">_xlfn.IFS(Employees[[#This Row],[Age]]&lt;30, "20-29", Employees[[#This Row],[Age]]&lt;40, "30-39", Employees[[#This Row],[Age]]&lt;50, "40-49", "TRUE", "50+")</f>
        <v>20-29</v>
      </c>
    </row>
    <row r="587" spans="1:28">
      <c r="A587" t="s">
        <v>1794</v>
      </c>
      <c r="B587" t="s">
        <v>1795</v>
      </c>
      <c r="C587" t="s">
        <v>1796</v>
      </c>
      <c r="D587" t="s">
        <v>38</v>
      </c>
      <c r="E587">
        <v>25</v>
      </c>
      <c r="F587" t="s">
        <v>84</v>
      </c>
      <c r="G587" t="s">
        <v>54</v>
      </c>
      <c r="H587">
        <v>35</v>
      </c>
      <c r="I587" t="s">
        <v>65</v>
      </c>
      <c r="J587" t="s">
        <v>30</v>
      </c>
      <c r="K587">
        <v>2</v>
      </c>
      <c r="L587" t="s">
        <v>72</v>
      </c>
      <c r="M587" t="s">
        <v>85</v>
      </c>
      <c r="N587" t="s">
        <v>40</v>
      </c>
      <c r="O587">
        <v>28139</v>
      </c>
      <c r="P587">
        <v>0</v>
      </c>
      <c r="Q587" t="s">
        <v>34</v>
      </c>
      <c r="R587" s="1">
        <v>42513</v>
      </c>
      <c r="S587" t="s">
        <v>34</v>
      </c>
      <c r="T587">
        <v>6</v>
      </c>
      <c r="U587">
        <v>1</v>
      </c>
      <c r="V587">
        <v>1</v>
      </c>
      <c r="W587">
        <v>5</v>
      </c>
      <c r="X587" t="s">
        <v>11021</v>
      </c>
      <c r="Y587" t="s">
        <v>11021</v>
      </c>
      <c r="Z587" t="str">
        <f>_xlfn.XLOOKUP(Employees[[#This Row],[Education]], EdLevel[EducationLevelID], EdLevel[EducationLevel])</f>
        <v xml:space="preserve">High School </v>
      </c>
      <c r="AA587">
        <f>IF(Employees[[#This Row],[Attrition]] = "Yes", 1, 0)</f>
        <v>0</v>
      </c>
      <c r="AB587" t="str" cm="1">
        <f t="array" ref="AB587">_xlfn.IFS(Employees[[#This Row],[Age]]&lt;30, "20-29", Employees[[#This Row],[Age]]&lt;40, "30-39", Employees[[#This Row],[Age]]&lt;50, "40-49", "TRUE", "50+")</f>
        <v>20-29</v>
      </c>
    </row>
    <row r="588" spans="1:28">
      <c r="A588" t="s">
        <v>1797</v>
      </c>
      <c r="B588" t="s">
        <v>1798</v>
      </c>
      <c r="C588" t="s">
        <v>1799</v>
      </c>
      <c r="D588" t="s">
        <v>38</v>
      </c>
      <c r="E588">
        <v>27</v>
      </c>
      <c r="F588" t="s">
        <v>70</v>
      </c>
      <c r="G588" t="s">
        <v>28</v>
      </c>
      <c r="H588">
        <v>17</v>
      </c>
      <c r="I588" t="s">
        <v>29</v>
      </c>
      <c r="J588" t="s">
        <v>46</v>
      </c>
      <c r="K588">
        <v>4</v>
      </c>
      <c r="L588" t="s">
        <v>31</v>
      </c>
      <c r="M588" t="s">
        <v>32</v>
      </c>
      <c r="N588" t="s">
        <v>49</v>
      </c>
      <c r="O588">
        <v>71832</v>
      </c>
      <c r="P588">
        <v>1</v>
      </c>
      <c r="Q588" t="s">
        <v>34</v>
      </c>
      <c r="R588" s="1">
        <v>42513</v>
      </c>
      <c r="S588" t="s">
        <v>34</v>
      </c>
      <c r="T588">
        <v>6</v>
      </c>
      <c r="U588">
        <v>6</v>
      </c>
      <c r="V588">
        <v>6</v>
      </c>
      <c r="W588">
        <v>1</v>
      </c>
      <c r="X588" t="s">
        <v>11023</v>
      </c>
      <c r="Y588" t="s">
        <v>11023</v>
      </c>
      <c r="Z588" t="str">
        <f>_xlfn.XLOOKUP(Employees[[#This Row],[Education]], EdLevel[EducationLevelID], EdLevel[EducationLevel])</f>
        <v xml:space="preserve">Masters </v>
      </c>
      <c r="AA588">
        <f>IF(Employees[[#This Row],[Attrition]] = "Yes", 1, 0)</f>
        <v>0</v>
      </c>
      <c r="AB588" t="str" cm="1">
        <f t="array" ref="AB588">_xlfn.IFS(Employees[[#This Row],[Age]]&lt;30, "20-29", Employees[[#This Row],[Age]]&lt;40, "30-39", Employees[[#This Row],[Age]]&lt;50, "40-49", "TRUE", "50+")</f>
        <v>20-29</v>
      </c>
    </row>
    <row r="589" spans="1:28">
      <c r="A589" t="s">
        <v>1800</v>
      </c>
      <c r="B589" t="s">
        <v>748</v>
      </c>
      <c r="C589" t="s">
        <v>1801</v>
      </c>
      <c r="D589" t="s">
        <v>38</v>
      </c>
      <c r="E589">
        <v>27</v>
      </c>
      <c r="F589" t="s">
        <v>27</v>
      </c>
      <c r="G589" t="s">
        <v>54</v>
      </c>
      <c r="H589">
        <v>1</v>
      </c>
      <c r="I589" t="s">
        <v>39</v>
      </c>
      <c r="J589" t="s">
        <v>92</v>
      </c>
      <c r="K589">
        <v>2</v>
      </c>
      <c r="L589" t="s">
        <v>55</v>
      </c>
      <c r="M589" t="s">
        <v>105</v>
      </c>
      <c r="N589" t="s">
        <v>33</v>
      </c>
      <c r="O589">
        <v>90487</v>
      </c>
      <c r="P589">
        <v>1</v>
      </c>
      <c r="Q589" t="s">
        <v>34</v>
      </c>
      <c r="R589" s="1">
        <v>42515</v>
      </c>
      <c r="S589" t="s">
        <v>34</v>
      </c>
      <c r="T589">
        <v>6</v>
      </c>
      <c r="U589">
        <v>4</v>
      </c>
      <c r="V589">
        <v>4</v>
      </c>
      <c r="W589">
        <v>4</v>
      </c>
      <c r="X589" t="s">
        <v>11021</v>
      </c>
      <c r="Y589" t="s">
        <v>11021</v>
      </c>
      <c r="Z589" t="str">
        <f>_xlfn.XLOOKUP(Employees[[#This Row],[Education]], EdLevel[EducationLevelID], EdLevel[EducationLevel])</f>
        <v xml:space="preserve">High School </v>
      </c>
      <c r="AA589">
        <f>IF(Employees[[#This Row],[Attrition]] = "Yes", 1, 0)</f>
        <v>0</v>
      </c>
      <c r="AB589" t="str" cm="1">
        <f t="array" ref="AB589">_xlfn.IFS(Employees[[#This Row],[Age]]&lt;30, "20-29", Employees[[#This Row],[Age]]&lt;40, "30-39", Employees[[#This Row],[Age]]&lt;50, "40-49", "TRUE", "50+")</f>
        <v>20-29</v>
      </c>
    </row>
    <row r="590" spans="1:28">
      <c r="A590" t="s">
        <v>1802</v>
      </c>
      <c r="B590" t="s">
        <v>1043</v>
      </c>
      <c r="C590" t="s">
        <v>1803</v>
      </c>
      <c r="D590" t="s">
        <v>38</v>
      </c>
      <c r="E590">
        <v>25</v>
      </c>
      <c r="F590" t="s">
        <v>84</v>
      </c>
      <c r="G590" t="s">
        <v>54</v>
      </c>
      <c r="H590">
        <v>28</v>
      </c>
      <c r="I590" t="s">
        <v>39</v>
      </c>
      <c r="J590" t="s">
        <v>66</v>
      </c>
      <c r="K590">
        <v>1</v>
      </c>
      <c r="L590" t="s">
        <v>72</v>
      </c>
      <c r="M590" t="s">
        <v>101</v>
      </c>
      <c r="N590" t="s">
        <v>40</v>
      </c>
      <c r="O590">
        <v>23993</v>
      </c>
      <c r="P590">
        <v>0</v>
      </c>
      <c r="Q590" t="s">
        <v>41</v>
      </c>
      <c r="R590" s="1">
        <v>42521</v>
      </c>
      <c r="S590" t="s">
        <v>34</v>
      </c>
      <c r="T590">
        <v>6</v>
      </c>
      <c r="U590">
        <v>3</v>
      </c>
      <c r="V590">
        <v>4</v>
      </c>
      <c r="W590">
        <v>4</v>
      </c>
      <c r="X590" t="s">
        <v>11020</v>
      </c>
      <c r="Y590" t="s">
        <v>11020</v>
      </c>
      <c r="Z590" t="str">
        <f>_xlfn.XLOOKUP(Employees[[#This Row],[Education]], EdLevel[EducationLevelID], EdLevel[EducationLevel])</f>
        <v>No Formal Qualifications</v>
      </c>
      <c r="AA590">
        <f>IF(Employees[[#This Row],[Attrition]] = "Yes", 1, 0)</f>
        <v>0</v>
      </c>
      <c r="AB590" t="str" cm="1">
        <f t="array" ref="AB590">_xlfn.IFS(Employees[[#This Row],[Age]]&lt;30, "20-29", Employees[[#This Row],[Age]]&lt;40, "30-39", Employees[[#This Row],[Age]]&lt;50, "40-49", "TRUE", "50+")</f>
        <v>20-29</v>
      </c>
    </row>
    <row r="591" spans="1:28">
      <c r="A591" t="s">
        <v>1804</v>
      </c>
      <c r="B591" t="s">
        <v>1805</v>
      </c>
      <c r="C591" t="s">
        <v>1806</v>
      </c>
      <c r="D591" t="s">
        <v>26</v>
      </c>
      <c r="E591">
        <v>24</v>
      </c>
      <c r="F591" t="s">
        <v>27</v>
      </c>
      <c r="G591" t="s">
        <v>54</v>
      </c>
      <c r="H591">
        <v>3</v>
      </c>
      <c r="I591" t="s">
        <v>39</v>
      </c>
      <c r="J591" t="s">
        <v>30</v>
      </c>
      <c r="K591">
        <v>3</v>
      </c>
      <c r="L591" t="s">
        <v>178</v>
      </c>
      <c r="M591" t="s">
        <v>101</v>
      </c>
      <c r="N591" t="s">
        <v>49</v>
      </c>
      <c r="O591">
        <v>41664</v>
      </c>
      <c r="P591">
        <v>1</v>
      </c>
      <c r="Q591" t="s">
        <v>34</v>
      </c>
      <c r="R591" s="1">
        <v>42529</v>
      </c>
      <c r="S591" t="s">
        <v>34</v>
      </c>
      <c r="T591">
        <v>6</v>
      </c>
      <c r="U591">
        <v>3</v>
      </c>
      <c r="V591">
        <v>4</v>
      </c>
      <c r="W591">
        <v>2</v>
      </c>
      <c r="X591" t="s">
        <v>11022</v>
      </c>
      <c r="Y591" t="s">
        <v>11022</v>
      </c>
      <c r="Z591" t="str">
        <f>_xlfn.XLOOKUP(Employees[[#This Row],[Education]], EdLevel[EducationLevelID], EdLevel[EducationLevel])</f>
        <v xml:space="preserve">Bachelors </v>
      </c>
      <c r="AA591">
        <f>IF(Employees[[#This Row],[Attrition]] = "Yes", 1, 0)</f>
        <v>0</v>
      </c>
      <c r="AB591" t="str" cm="1">
        <f t="array" ref="AB591">_xlfn.IFS(Employees[[#This Row],[Age]]&lt;30, "20-29", Employees[[#This Row],[Age]]&lt;40, "30-39", Employees[[#This Row],[Age]]&lt;50, "40-49", "TRUE", "50+")</f>
        <v>20-29</v>
      </c>
    </row>
    <row r="592" spans="1:28">
      <c r="A592" t="s">
        <v>1807</v>
      </c>
      <c r="B592" t="s">
        <v>1808</v>
      </c>
      <c r="C592" t="s">
        <v>1809</v>
      </c>
      <c r="D592" t="s">
        <v>53</v>
      </c>
      <c r="E592">
        <v>24</v>
      </c>
      <c r="F592" t="s">
        <v>27</v>
      </c>
      <c r="G592" t="s">
        <v>28</v>
      </c>
      <c r="H592">
        <v>41</v>
      </c>
      <c r="I592" t="s">
        <v>39</v>
      </c>
      <c r="J592" t="s">
        <v>66</v>
      </c>
      <c r="K592">
        <v>2</v>
      </c>
      <c r="L592" t="s">
        <v>47</v>
      </c>
      <c r="M592" t="s">
        <v>32</v>
      </c>
      <c r="N592" t="s">
        <v>33</v>
      </c>
      <c r="O592">
        <v>111750</v>
      </c>
      <c r="P592">
        <v>1</v>
      </c>
      <c r="Q592" t="s">
        <v>34</v>
      </c>
      <c r="R592" s="1">
        <v>42531</v>
      </c>
      <c r="S592" t="s">
        <v>34</v>
      </c>
      <c r="T592">
        <v>6</v>
      </c>
      <c r="U592">
        <v>4</v>
      </c>
      <c r="V592">
        <v>6</v>
      </c>
      <c r="W592">
        <v>2</v>
      </c>
      <c r="X592" t="s">
        <v>11021</v>
      </c>
      <c r="Y592" t="s">
        <v>11021</v>
      </c>
      <c r="Z592" t="str">
        <f>_xlfn.XLOOKUP(Employees[[#This Row],[Education]], EdLevel[EducationLevelID], EdLevel[EducationLevel])</f>
        <v xml:space="preserve">High School </v>
      </c>
      <c r="AA592">
        <f>IF(Employees[[#This Row],[Attrition]] = "Yes", 1, 0)</f>
        <v>0</v>
      </c>
      <c r="AB592" t="str" cm="1">
        <f t="array" ref="AB592">_xlfn.IFS(Employees[[#This Row],[Age]]&lt;30, "20-29", Employees[[#This Row],[Age]]&lt;40, "30-39", Employees[[#This Row],[Age]]&lt;50, "40-49", "TRUE", "50+")</f>
        <v>20-29</v>
      </c>
    </row>
    <row r="593" spans="1:28">
      <c r="A593" t="s">
        <v>1810</v>
      </c>
      <c r="B593" t="s">
        <v>1811</v>
      </c>
      <c r="C593" t="s">
        <v>1812</v>
      </c>
      <c r="D593" t="s">
        <v>26</v>
      </c>
      <c r="E593">
        <v>25</v>
      </c>
      <c r="F593" t="s">
        <v>84</v>
      </c>
      <c r="G593" t="s">
        <v>54</v>
      </c>
      <c r="H593">
        <v>17</v>
      </c>
      <c r="I593" t="s">
        <v>39</v>
      </c>
      <c r="J593" t="s">
        <v>76</v>
      </c>
      <c r="K593">
        <v>3</v>
      </c>
      <c r="L593" t="s">
        <v>55</v>
      </c>
      <c r="M593" t="s">
        <v>101</v>
      </c>
      <c r="N593" t="s">
        <v>49</v>
      </c>
      <c r="O593">
        <v>54566</v>
      </c>
      <c r="P593">
        <v>1</v>
      </c>
      <c r="Q593" t="s">
        <v>34</v>
      </c>
      <c r="R593" s="1">
        <v>42536</v>
      </c>
      <c r="S593" t="s">
        <v>34</v>
      </c>
      <c r="T593">
        <v>6</v>
      </c>
      <c r="U593">
        <v>3</v>
      </c>
      <c r="V593">
        <v>6</v>
      </c>
      <c r="W593">
        <v>5</v>
      </c>
      <c r="X593" t="s">
        <v>11022</v>
      </c>
      <c r="Y593" t="s">
        <v>11022</v>
      </c>
      <c r="Z593" t="str">
        <f>_xlfn.XLOOKUP(Employees[[#This Row],[Education]], EdLevel[EducationLevelID], EdLevel[EducationLevel])</f>
        <v xml:space="preserve">Bachelors </v>
      </c>
      <c r="AA593">
        <f>IF(Employees[[#This Row],[Attrition]] = "Yes", 1, 0)</f>
        <v>0</v>
      </c>
      <c r="AB593" t="str" cm="1">
        <f t="array" ref="AB593">_xlfn.IFS(Employees[[#This Row],[Age]]&lt;30, "20-29", Employees[[#This Row],[Age]]&lt;40, "30-39", Employees[[#This Row],[Age]]&lt;50, "40-49", "TRUE", "50+")</f>
        <v>20-29</v>
      </c>
    </row>
    <row r="594" spans="1:28">
      <c r="A594" t="s">
        <v>1813</v>
      </c>
      <c r="B594" t="s">
        <v>1814</v>
      </c>
      <c r="C594" t="s">
        <v>1815</v>
      </c>
      <c r="D594" t="s">
        <v>38</v>
      </c>
      <c r="E594">
        <v>27</v>
      </c>
      <c r="F594" t="s">
        <v>27</v>
      </c>
      <c r="G594" t="s">
        <v>54</v>
      </c>
      <c r="H594">
        <v>42</v>
      </c>
      <c r="I594" t="s">
        <v>65</v>
      </c>
      <c r="J594" t="s">
        <v>137</v>
      </c>
      <c r="K594">
        <v>3</v>
      </c>
      <c r="L594" t="s">
        <v>77</v>
      </c>
      <c r="M594" t="s">
        <v>93</v>
      </c>
      <c r="N594" t="s">
        <v>49</v>
      </c>
      <c r="O594">
        <v>49343</v>
      </c>
      <c r="P594">
        <v>1</v>
      </c>
      <c r="Q594" t="s">
        <v>34</v>
      </c>
      <c r="R594" s="1">
        <v>42537</v>
      </c>
      <c r="S594" t="s">
        <v>34</v>
      </c>
      <c r="T594">
        <v>6</v>
      </c>
      <c r="U594">
        <v>3</v>
      </c>
      <c r="V594">
        <v>3</v>
      </c>
      <c r="W594">
        <v>0</v>
      </c>
      <c r="X594" t="s">
        <v>11022</v>
      </c>
      <c r="Y594" t="s">
        <v>11022</v>
      </c>
      <c r="Z594" t="str">
        <f>_xlfn.XLOOKUP(Employees[[#This Row],[Education]], EdLevel[EducationLevelID], EdLevel[EducationLevel])</f>
        <v xml:space="preserve">Bachelors </v>
      </c>
      <c r="AA594">
        <f>IF(Employees[[#This Row],[Attrition]] = "Yes", 1, 0)</f>
        <v>0</v>
      </c>
      <c r="AB594" t="str" cm="1">
        <f t="array" ref="AB594">_xlfn.IFS(Employees[[#This Row],[Age]]&lt;30, "20-29", Employees[[#This Row],[Age]]&lt;40, "30-39", Employees[[#This Row],[Age]]&lt;50, "40-49", "TRUE", "50+")</f>
        <v>20-29</v>
      </c>
    </row>
    <row r="595" spans="1:28">
      <c r="A595" t="s">
        <v>1816</v>
      </c>
      <c r="B595" t="s">
        <v>1817</v>
      </c>
      <c r="C595" t="s">
        <v>1011</v>
      </c>
      <c r="D595" t="s">
        <v>38</v>
      </c>
      <c r="E595">
        <v>27</v>
      </c>
      <c r="F595" t="s">
        <v>84</v>
      </c>
      <c r="G595" t="s">
        <v>54</v>
      </c>
      <c r="H595">
        <v>45</v>
      </c>
      <c r="I595" t="s">
        <v>39</v>
      </c>
      <c r="J595" t="s">
        <v>30</v>
      </c>
      <c r="K595">
        <v>2</v>
      </c>
      <c r="L595" t="s">
        <v>72</v>
      </c>
      <c r="M595" t="s">
        <v>85</v>
      </c>
      <c r="N595" t="s">
        <v>40</v>
      </c>
      <c r="O595">
        <v>34579</v>
      </c>
      <c r="P595">
        <v>0</v>
      </c>
      <c r="Q595" t="s">
        <v>34</v>
      </c>
      <c r="R595" s="1">
        <v>42538</v>
      </c>
      <c r="S595" t="s">
        <v>34</v>
      </c>
      <c r="T595">
        <v>6</v>
      </c>
      <c r="U595">
        <v>4</v>
      </c>
      <c r="V595">
        <v>4</v>
      </c>
      <c r="W595">
        <v>4</v>
      </c>
      <c r="X595" t="s">
        <v>11021</v>
      </c>
      <c r="Y595" t="s">
        <v>11021</v>
      </c>
      <c r="Z595" t="str">
        <f>_xlfn.XLOOKUP(Employees[[#This Row],[Education]], EdLevel[EducationLevelID], EdLevel[EducationLevel])</f>
        <v xml:space="preserve">High School </v>
      </c>
      <c r="AA595">
        <f>IF(Employees[[#This Row],[Attrition]] = "Yes", 1, 0)</f>
        <v>0</v>
      </c>
      <c r="AB595" t="str" cm="1">
        <f t="array" ref="AB595">_xlfn.IFS(Employees[[#This Row],[Age]]&lt;30, "20-29", Employees[[#This Row],[Age]]&lt;40, "30-39", Employees[[#This Row],[Age]]&lt;50, "40-49", "TRUE", "50+")</f>
        <v>20-29</v>
      </c>
    </row>
    <row r="596" spans="1:28">
      <c r="A596" t="s">
        <v>1818</v>
      </c>
      <c r="B596" t="s">
        <v>1819</v>
      </c>
      <c r="C596" t="s">
        <v>1820</v>
      </c>
      <c r="D596" t="s">
        <v>38</v>
      </c>
      <c r="E596">
        <v>24</v>
      </c>
      <c r="F596" t="s">
        <v>70</v>
      </c>
      <c r="G596" t="s">
        <v>28</v>
      </c>
      <c r="H596">
        <v>8</v>
      </c>
      <c r="I596" t="s">
        <v>39</v>
      </c>
      <c r="J596" t="s">
        <v>30</v>
      </c>
      <c r="K596">
        <v>3</v>
      </c>
      <c r="L596" t="s">
        <v>31</v>
      </c>
      <c r="M596" t="s">
        <v>32</v>
      </c>
      <c r="N596" t="s">
        <v>40</v>
      </c>
      <c r="O596">
        <v>82405</v>
      </c>
      <c r="P596">
        <v>0</v>
      </c>
      <c r="Q596" t="s">
        <v>41</v>
      </c>
      <c r="R596" s="1">
        <v>42540</v>
      </c>
      <c r="S596" t="s">
        <v>41</v>
      </c>
      <c r="T596">
        <v>5</v>
      </c>
      <c r="U596">
        <v>1</v>
      </c>
      <c r="V596">
        <v>4</v>
      </c>
      <c r="W596">
        <v>1</v>
      </c>
      <c r="X596" t="s">
        <v>11022</v>
      </c>
      <c r="Y596" t="s">
        <v>11022</v>
      </c>
      <c r="Z596" t="str">
        <f>_xlfn.XLOOKUP(Employees[[#This Row],[Education]], EdLevel[EducationLevelID], EdLevel[EducationLevel])</f>
        <v xml:space="preserve">Bachelors </v>
      </c>
      <c r="AA596">
        <f>IF(Employees[[#This Row],[Attrition]] = "Yes", 1, 0)</f>
        <v>1</v>
      </c>
      <c r="AB596" t="str" cm="1">
        <f t="array" ref="AB596">_xlfn.IFS(Employees[[#This Row],[Age]]&lt;30, "20-29", Employees[[#This Row],[Age]]&lt;40, "30-39", Employees[[#This Row],[Age]]&lt;50, "40-49", "TRUE", "50+")</f>
        <v>20-29</v>
      </c>
    </row>
    <row r="597" spans="1:28">
      <c r="A597" t="s">
        <v>1821</v>
      </c>
      <c r="B597" t="s">
        <v>1822</v>
      </c>
      <c r="C597" t="s">
        <v>1823</v>
      </c>
      <c r="D597" t="s">
        <v>53</v>
      </c>
      <c r="E597">
        <v>26</v>
      </c>
      <c r="F597" t="s">
        <v>27</v>
      </c>
      <c r="G597" t="s">
        <v>28</v>
      </c>
      <c r="H597">
        <v>5</v>
      </c>
      <c r="I597" t="s">
        <v>65</v>
      </c>
      <c r="J597" t="s">
        <v>30</v>
      </c>
      <c r="K597">
        <v>3</v>
      </c>
      <c r="L597" t="s">
        <v>31</v>
      </c>
      <c r="M597" t="s">
        <v>32</v>
      </c>
      <c r="N597" t="s">
        <v>49</v>
      </c>
      <c r="O597">
        <v>107966</v>
      </c>
      <c r="P597">
        <v>2</v>
      </c>
      <c r="Q597" t="s">
        <v>34</v>
      </c>
      <c r="R597" s="1">
        <v>42544</v>
      </c>
      <c r="S597" t="s">
        <v>34</v>
      </c>
      <c r="T597">
        <v>6</v>
      </c>
      <c r="U597">
        <v>6</v>
      </c>
      <c r="V597">
        <v>6</v>
      </c>
      <c r="W597">
        <v>6</v>
      </c>
      <c r="X597" t="s">
        <v>11022</v>
      </c>
      <c r="Y597" t="s">
        <v>11022</v>
      </c>
      <c r="Z597" t="str">
        <f>_xlfn.XLOOKUP(Employees[[#This Row],[Education]], EdLevel[EducationLevelID], EdLevel[EducationLevel])</f>
        <v xml:space="preserve">Bachelors </v>
      </c>
      <c r="AA597">
        <f>IF(Employees[[#This Row],[Attrition]] = "Yes", 1, 0)</f>
        <v>0</v>
      </c>
      <c r="AB597" t="str" cm="1">
        <f t="array" ref="AB597">_xlfn.IFS(Employees[[#This Row],[Age]]&lt;30, "20-29", Employees[[#This Row],[Age]]&lt;40, "30-39", Employees[[#This Row],[Age]]&lt;50, "40-49", "TRUE", "50+")</f>
        <v>20-29</v>
      </c>
    </row>
    <row r="598" spans="1:28">
      <c r="A598" t="s">
        <v>1824</v>
      </c>
      <c r="B598" t="s">
        <v>1825</v>
      </c>
      <c r="C598" t="s">
        <v>1826</v>
      </c>
      <c r="D598" t="s">
        <v>26</v>
      </c>
      <c r="E598">
        <v>24</v>
      </c>
      <c r="F598" t="s">
        <v>27</v>
      </c>
      <c r="G598" t="s">
        <v>28</v>
      </c>
      <c r="H598">
        <v>4</v>
      </c>
      <c r="I598" t="s">
        <v>39</v>
      </c>
      <c r="J598" t="s">
        <v>66</v>
      </c>
      <c r="K598">
        <v>3</v>
      </c>
      <c r="L598" t="s">
        <v>121</v>
      </c>
      <c r="M598" t="s">
        <v>32</v>
      </c>
      <c r="N598" t="s">
        <v>49</v>
      </c>
      <c r="O598">
        <v>133274</v>
      </c>
      <c r="P598">
        <v>1</v>
      </c>
      <c r="Q598" t="s">
        <v>34</v>
      </c>
      <c r="R598" s="1">
        <v>42544</v>
      </c>
      <c r="S598" t="s">
        <v>34</v>
      </c>
      <c r="T598">
        <v>6</v>
      </c>
      <c r="U598">
        <v>2</v>
      </c>
      <c r="V598">
        <v>3</v>
      </c>
      <c r="W598">
        <v>1</v>
      </c>
      <c r="X598" t="s">
        <v>11022</v>
      </c>
      <c r="Y598" t="s">
        <v>11022</v>
      </c>
      <c r="Z598" t="str">
        <f>_xlfn.XLOOKUP(Employees[[#This Row],[Education]], EdLevel[EducationLevelID], EdLevel[EducationLevel])</f>
        <v xml:space="preserve">Bachelors </v>
      </c>
      <c r="AA598">
        <f>IF(Employees[[#This Row],[Attrition]] = "Yes", 1, 0)</f>
        <v>0</v>
      </c>
      <c r="AB598" t="str" cm="1">
        <f t="array" ref="AB598">_xlfn.IFS(Employees[[#This Row],[Age]]&lt;30, "20-29", Employees[[#This Row],[Age]]&lt;40, "30-39", Employees[[#This Row],[Age]]&lt;50, "40-49", "TRUE", "50+")</f>
        <v>20-29</v>
      </c>
    </row>
    <row r="599" spans="1:28">
      <c r="A599" t="s">
        <v>1827</v>
      </c>
      <c r="B599" t="s">
        <v>1828</v>
      </c>
      <c r="C599" t="s">
        <v>1829</v>
      </c>
      <c r="D599" t="s">
        <v>26</v>
      </c>
      <c r="E599">
        <v>43</v>
      </c>
      <c r="F599" t="s">
        <v>27</v>
      </c>
      <c r="G599" t="s">
        <v>28</v>
      </c>
      <c r="H599">
        <v>12</v>
      </c>
      <c r="I599" t="s">
        <v>39</v>
      </c>
      <c r="J599" t="s">
        <v>30</v>
      </c>
      <c r="K599">
        <v>4</v>
      </c>
      <c r="L599" t="s">
        <v>47</v>
      </c>
      <c r="M599" t="s">
        <v>97</v>
      </c>
      <c r="N599" t="s">
        <v>49</v>
      </c>
      <c r="O599">
        <v>513262</v>
      </c>
      <c r="P599">
        <v>0</v>
      </c>
      <c r="Q599" t="s">
        <v>34</v>
      </c>
      <c r="R599" s="1">
        <v>42551</v>
      </c>
      <c r="S599" t="s">
        <v>34</v>
      </c>
      <c r="T599">
        <v>6</v>
      </c>
      <c r="U599">
        <v>1</v>
      </c>
      <c r="V599">
        <v>3</v>
      </c>
      <c r="W599">
        <v>1</v>
      </c>
      <c r="X599" t="s">
        <v>11023</v>
      </c>
      <c r="Y599" t="s">
        <v>11023</v>
      </c>
      <c r="Z599" t="str">
        <f>_xlfn.XLOOKUP(Employees[[#This Row],[Education]], EdLevel[EducationLevelID], EdLevel[EducationLevel])</f>
        <v xml:space="preserve">Masters </v>
      </c>
      <c r="AA599">
        <f>IF(Employees[[#This Row],[Attrition]] = "Yes", 1, 0)</f>
        <v>0</v>
      </c>
      <c r="AB599" t="str" cm="1">
        <f t="array" ref="AB599">_xlfn.IFS(Employees[[#This Row],[Age]]&lt;30, "20-29", Employees[[#This Row],[Age]]&lt;40, "30-39", Employees[[#This Row],[Age]]&lt;50, "40-49", "TRUE", "50+")</f>
        <v>40-49</v>
      </c>
    </row>
    <row r="600" spans="1:28">
      <c r="A600" t="s">
        <v>1830</v>
      </c>
      <c r="B600" t="s">
        <v>1831</v>
      </c>
      <c r="C600" t="s">
        <v>1832</v>
      </c>
      <c r="D600" t="s">
        <v>38</v>
      </c>
      <c r="E600">
        <v>26</v>
      </c>
      <c r="F600" t="s">
        <v>27</v>
      </c>
      <c r="G600" t="s">
        <v>28</v>
      </c>
      <c r="H600">
        <v>7</v>
      </c>
      <c r="I600" t="s">
        <v>39</v>
      </c>
      <c r="J600" t="s">
        <v>71</v>
      </c>
      <c r="K600">
        <v>3</v>
      </c>
      <c r="L600" t="s">
        <v>47</v>
      </c>
      <c r="M600" t="s">
        <v>150</v>
      </c>
      <c r="N600" t="s">
        <v>40</v>
      </c>
      <c r="O600">
        <v>36101</v>
      </c>
      <c r="P600">
        <v>0</v>
      </c>
      <c r="Q600" t="s">
        <v>34</v>
      </c>
      <c r="R600" s="1">
        <v>42551</v>
      </c>
      <c r="S600" t="s">
        <v>34</v>
      </c>
      <c r="T600">
        <v>6</v>
      </c>
      <c r="U600">
        <v>6</v>
      </c>
      <c r="V600">
        <v>6</v>
      </c>
      <c r="W600">
        <v>6</v>
      </c>
      <c r="X600" t="s">
        <v>11022</v>
      </c>
      <c r="Y600" t="s">
        <v>11022</v>
      </c>
      <c r="Z600" t="str">
        <f>_xlfn.XLOOKUP(Employees[[#This Row],[Education]], EdLevel[EducationLevelID], EdLevel[EducationLevel])</f>
        <v xml:space="preserve">Bachelors </v>
      </c>
      <c r="AA600">
        <f>IF(Employees[[#This Row],[Attrition]] = "Yes", 1, 0)</f>
        <v>0</v>
      </c>
      <c r="AB600" t="str" cm="1">
        <f t="array" ref="AB600">_xlfn.IFS(Employees[[#This Row],[Age]]&lt;30, "20-29", Employees[[#This Row],[Age]]&lt;40, "30-39", Employees[[#This Row],[Age]]&lt;50, "40-49", "TRUE", "50+")</f>
        <v>20-29</v>
      </c>
    </row>
    <row r="601" spans="1:28">
      <c r="A601" t="s">
        <v>1833</v>
      </c>
      <c r="B601" t="s">
        <v>1834</v>
      </c>
      <c r="C601" t="s">
        <v>1835</v>
      </c>
      <c r="D601" t="s">
        <v>38</v>
      </c>
      <c r="E601">
        <v>25</v>
      </c>
      <c r="F601" t="s">
        <v>27</v>
      </c>
      <c r="G601" t="s">
        <v>54</v>
      </c>
      <c r="H601">
        <v>44</v>
      </c>
      <c r="I601" t="s">
        <v>39</v>
      </c>
      <c r="J601" t="s">
        <v>30</v>
      </c>
      <c r="K601">
        <v>4</v>
      </c>
      <c r="L601" t="s">
        <v>77</v>
      </c>
      <c r="M601" t="s">
        <v>101</v>
      </c>
      <c r="N601" t="s">
        <v>33</v>
      </c>
      <c r="O601">
        <v>52210</v>
      </c>
      <c r="P601">
        <v>3</v>
      </c>
      <c r="Q601" t="s">
        <v>34</v>
      </c>
      <c r="R601" s="1">
        <v>42552</v>
      </c>
      <c r="S601" t="s">
        <v>34</v>
      </c>
      <c r="T601">
        <v>6</v>
      </c>
      <c r="U601">
        <v>0</v>
      </c>
      <c r="V601">
        <v>1</v>
      </c>
      <c r="W601">
        <v>0</v>
      </c>
      <c r="X601" t="s">
        <v>11023</v>
      </c>
      <c r="Y601" t="s">
        <v>11023</v>
      </c>
      <c r="Z601" t="str">
        <f>_xlfn.XLOOKUP(Employees[[#This Row],[Education]], EdLevel[EducationLevelID], EdLevel[EducationLevel])</f>
        <v xml:space="preserve">Masters </v>
      </c>
      <c r="AA601">
        <f>IF(Employees[[#This Row],[Attrition]] = "Yes", 1, 0)</f>
        <v>0</v>
      </c>
      <c r="AB601" t="str" cm="1">
        <f t="array" ref="AB601">_xlfn.IFS(Employees[[#This Row],[Age]]&lt;30, "20-29", Employees[[#This Row],[Age]]&lt;40, "30-39", Employees[[#This Row],[Age]]&lt;50, "40-49", "TRUE", "50+")</f>
        <v>20-29</v>
      </c>
    </row>
    <row r="602" spans="1:28">
      <c r="A602" t="s">
        <v>1836</v>
      </c>
      <c r="B602" t="s">
        <v>1837</v>
      </c>
      <c r="C602" t="s">
        <v>1838</v>
      </c>
      <c r="D602" t="s">
        <v>26</v>
      </c>
      <c r="E602">
        <v>24</v>
      </c>
      <c r="F602" t="s">
        <v>70</v>
      </c>
      <c r="G602" t="s">
        <v>28</v>
      </c>
      <c r="H602">
        <v>39</v>
      </c>
      <c r="I602" t="s">
        <v>39</v>
      </c>
      <c r="J602" t="s">
        <v>66</v>
      </c>
      <c r="K602">
        <v>2</v>
      </c>
      <c r="L602" t="s">
        <v>31</v>
      </c>
      <c r="M602" t="s">
        <v>32</v>
      </c>
      <c r="N602" t="s">
        <v>49</v>
      </c>
      <c r="O602">
        <v>151986</v>
      </c>
      <c r="P602">
        <v>1</v>
      </c>
      <c r="Q602" t="s">
        <v>41</v>
      </c>
      <c r="R602" s="1">
        <v>42560</v>
      </c>
      <c r="S602" t="s">
        <v>34</v>
      </c>
      <c r="T602">
        <v>6</v>
      </c>
      <c r="U602">
        <v>5</v>
      </c>
      <c r="V602">
        <v>6</v>
      </c>
      <c r="W602">
        <v>3</v>
      </c>
      <c r="X602" t="s">
        <v>11021</v>
      </c>
      <c r="Y602" t="s">
        <v>11021</v>
      </c>
      <c r="Z602" t="str">
        <f>_xlfn.XLOOKUP(Employees[[#This Row],[Education]], EdLevel[EducationLevelID], EdLevel[EducationLevel])</f>
        <v xml:space="preserve">High School </v>
      </c>
      <c r="AA602">
        <f>IF(Employees[[#This Row],[Attrition]] = "Yes", 1, 0)</f>
        <v>0</v>
      </c>
      <c r="AB602" t="str" cm="1">
        <f t="array" ref="AB602">_xlfn.IFS(Employees[[#This Row],[Age]]&lt;30, "20-29", Employees[[#This Row],[Age]]&lt;40, "30-39", Employees[[#This Row],[Age]]&lt;50, "40-49", "TRUE", "50+")</f>
        <v>20-29</v>
      </c>
    </row>
    <row r="603" spans="1:28">
      <c r="A603" t="s">
        <v>1839</v>
      </c>
      <c r="B603" t="s">
        <v>432</v>
      </c>
      <c r="C603" t="s">
        <v>1840</v>
      </c>
      <c r="D603" t="s">
        <v>26</v>
      </c>
      <c r="E603">
        <v>27</v>
      </c>
      <c r="F603" t="s">
        <v>27</v>
      </c>
      <c r="G603" t="s">
        <v>54</v>
      </c>
      <c r="H603">
        <v>45</v>
      </c>
      <c r="I603" t="s">
        <v>29</v>
      </c>
      <c r="J603" t="s">
        <v>66</v>
      </c>
      <c r="K603">
        <v>3</v>
      </c>
      <c r="L603" t="s">
        <v>178</v>
      </c>
      <c r="M603" t="s">
        <v>101</v>
      </c>
      <c r="N603" t="s">
        <v>49</v>
      </c>
      <c r="O603">
        <v>28828</v>
      </c>
      <c r="P603">
        <v>1</v>
      </c>
      <c r="Q603" t="s">
        <v>34</v>
      </c>
      <c r="R603" s="1">
        <v>42560</v>
      </c>
      <c r="S603" t="s">
        <v>34</v>
      </c>
      <c r="T603">
        <v>6</v>
      </c>
      <c r="U603">
        <v>1</v>
      </c>
      <c r="V603">
        <v>6</v>
      </c>
      <c r="W603">
        <v>4</v>
      </c>
      <c r="X603" t="s">
        <v>11022</v>
      </c>
      <c r="Y603" t="s">
        <v>11022</v>
      </c>
      <c r="Z603" t="str">
        <f>_xlfn.XLOOKUP(Employees[[#This Row],[Education]], EdLevel[EducationLevelID], EdLevel[EducationLevel])</f>
        <v xml:space="preserve">Bachelors </v>
      </c>
      <c r="AA603">
        <f>IF(Employees[[#This Row],[Attrition]] = "Yes", 1, 0)</f>
        <v>0</v>
      </c>
      <c r="AB603" t="str" cm="1">
        <f t="array" ref="AB603">_xlfn.IFS(Employees[[#This Row],[Age]]&lt;30, "20-29", Employees[[#This Row],[Age]]&lt;40, "30-39", Employees[[#This Row],[Age]]&lt;50, "40-49", "TRUE", "50+")</f>
        <v>20-29</v>
      </c>
    </row>
    <row r="604" spans="1:28">
      <c r="A604" t="s">
        <v>1841</v>
      </c>
      <c r="B604" t="s">
        <v>1842</v>
      </c>
      <c r="C604" t="s">
        <v>1843</v>
      </c>
      <c r="D604" t="s">
        <v>38</v>
      </c>
      <c r="E604">
        <v>26</v>
      </c>
      <c r="F604" t="s">
        <v>27</v>
      </c>
      <c r="G604" t="s">
        <v>45</v>
      </c>
      <c r="H604">
        <v>11</v>
      </c>
      <c r="I604" t="s">
        <v>65</v>
      </c>
      <c r="J604" t="s">
        <v>46</v>
      </c>
      <c r="K604">
        <v>3</v>
      </c>
      <c r="L604" t="s">
        <v>77</v>
      </c>
      <c r="M604" t="s">
        <v>207</v>
      </c>
      <c r="N604" t="s">
        <v>40</v>
      </c>
      <c r="O604">
        <v>70395</v>
      </c>
      <c r="P604">
        <v>0</v>
      </c>
      <c r="Q604" t="s">
        <v>34</v>
      </c>
      <c r="R604" s="1">
        <v>42562</v>
      </c>
      <c r="S604" t="s">
        <v>34</v>
      </c>
      <c r="T604">
        <v>6</v>
      </c>
      <c r="U604">
        <v>5</v>
      </c>
      <c r="V604">
        <v>6</v>
      </c>
      <c r="W604">
        <v>2</v>
      </c>
      <c r="X604" t="s">
        <v>11022</v>
      </c>
      <c r="Y604" t="s">
        <v>11022</v>
      </c>
      <c r="Z604" t="str">
        <f>_xlfn.XLOOKUP(Employees[[#This Row],[Education]], EdLevel[EducationLevelID], EdLevel[EducationLevel])</f>
        <v xml:space="preserve">Bachelors </v>
      </c>
      <c r="AA604">
        <f>IF(Employees[[#This Row],[Attrition]] = "Yes", 1, 0)</f>
        <v>0</v>
      </c>
      <c r="AB604" t="str" cm="1">
        <f t="array" ref="AB604">_xlfn.IFS(Employees[[#This Row],[Age]]&lt;30, "20-29", Employees[[#This Row],[Age]]&lt;40, "30-39", Employees[[#This Row],[Age]]&lt;50, "40-49", "TRUE", "50+")</f>
        <v>20-29</v>
      </c>
    </row>
    <row r="605" spans="1:28">
      <c r="A605" t="s">
        <v>1844</v>
      </c>
      <c r="B605" t="s">
        <v>1845</v>
      </c>
      <c r="C605" t="s">
        <v>1846</v>
      </c>
      <c r="D605" t="s">
        <v>26</v>
      </c>
      <c r="E605">
        <v>26</v>
      </c>
      <c r="F605" t="s">
        <v>27</v>
      </c>
      <c r="G605" t="s">
        <v>28</v>
      </c>
      <c r="H605">
        <v>42</v>
      </c>
      <c r="I605" t="s">
        <v>39</v>
      </c>
      <c r="J605" t="s">
        <v>30</v>
      </c>
      <c r="K605">
        <v>3</v>
      </c>
      <c r="L605" t="s">
        <v>31</v>
      </c>
      <c r="M605" t="s">
        <v>32</v>
      </c>
      <c r="N605" t="s">
        <v>49</v>
      </c>
      <c r="O605">
        <v>92364</v>
      </c>
      <c r="P605">
        <v>1</v>
      </c>
      <c r="Q605" t="s">
        <v>41</v>
      </c>
      <c r="R605" s="1">
        <v>42563</v>
      </c>
      <c r="S605" t="s">
        <v>34</v>
      </c>
      <c r="T605">
        <v>6</v>
      </c>
      <c r="U605">
        <v>4</v>
      </c>
      <c r="V605">
        <v>5</v>
      </c>
      <c r="W605">
        <v>6</v>
      </c>
      <c r="X605" t="s">
        <v>11022</v>
      </c>
      <c r="Y605" t="s">
        <v>11022</v>
      </c>
      <c r="Z605" t="str">
        <f>_xlfn.XLOOKUP(Employees[[#This Row],[Education]], EdLevel[EducationLevelID], EdLevel[EducationLevel])</f>
        <v xml:space="preserve">Bachelors </v>
      </c>
      <c r="AA605">
        <f>IF(Employees[[#This Row],[Attrition]] = "Yes", 1, 0)</f>
        <v>0</v>
      </c>
      <c r="AB605" t="str" cm="1">
        <f t="array" ref="AB605">_xlfn.IFS(Employees[[#This Row],[Age]]&lt;30, "20-29", Employees[[#This Row],[Age]]&lt;40, "30-39", Employees[[#This Row],[Age]]&lt;50, "40-49", "TRUE", "50+")</f>
        <v>20-29</v>
      </c>
    </row>
    <row r="606" spans="1:28">
      <c r="A606" t="s">
        <v>1847</v>
      </c>
      <c r="B606" t="s">
        <v>1848</v>
      </c>
      <c r="C606" t="s">
        <v>1849</v>
      </c>
      <c r="D606" t="s">
        <v>26</v>
      </c>
      <c r="E606">
        <v>27</v>
      </c>
      <c r="F606" t="s">
        <v>27</v>
      </c>
      <c r="G606" t="s">
        <v>45</v>
      </c>
      <c r="H606">
        <v>24</v>
      </c>
      <c r="I606" t="s">
        <v>39</v>
      </c>
      <c r="J606" t="s">
        <v>66</v>
      </c>
      <c r="K606">
        <v>2</v>
      </c>
      <c r="L606" t="s">
        <v>77</v>
      </c>
      <c r="M606" t="s">
        <v>207</v>
      </c>
      <c r="N606" t="s">
        <v>33</v>
      </c>
      <c r="O606">
        <v>55206</v>
      </c>
      <c r="P606">
        <v>0</v>
      </c>
      <c r="Q606" t="s">
        <v>34</v>
      </c>
      <c r="R606" s="1">
        <v>42564</v>
      </c>
      <c r="S606" t="s">
        <v>34</v>
      </c>
      <c r="T606">
        <v>6</v>
      </c>
      <c r="U606">
        <v>1</v>
      </c>
      <c r="V606">
        <v>3</v>
      </c>
      <c r="W606">
        <v>4</v>
      </c>
      <c r="X606" t="s">
        <v>11021</v>
      </c>
      <c r="Y606" t="s">
        <v>11021</v>
      </c>
      <c r="Z606" t="str">
        <f>_xlfn.XLOOKUP(Employees[[#This Row],[Education]], EdLevel[EducationLevelID], EdLevel[EducationLevel])</f>
        <v xml:space="preserve">High School </v>
      </c>
      <c r="AA606">
        <f>IF(Employees[[#This Row],[Attrition]] = "Yes", 1, 0)</f>
        <v>0</v>
      </c>
      <c r="AB606" t="str" cm="1">
        <f t="array" ref="AB606">_xlfn.IFS(Employees[[#This Row],[Age]]&lt;30, "20-29", Employees[[#This Row],[Age]]&lt;40, "30-39", Employees[[#This Row],[Age]]&lt;50, "40-49", "TRUE", "50+")</f>
        <v>20-29</v>
      </c>
    </row>
    <row r="607" spans="1:28">
      <c r="A607" t="s">
        <v>1850</v>
      </c>
      <c r="B607" t="s">
        <v>1851</v>
      </c>
      <c r="C607" t="s">
        <v>1852</v>
      </c>
      <c r="D607" t="s">
        <v>26</v>
      </c>
      <c r="E607">
        <v>25</v>
      </c>
      <c r="F607" t="s">
        <v>27</v>
      </c>
      <c r="G607" t="s">
        <v>54</v>
      </c>
      <c r="H607">
        <v>34</v>
      </c>
      <c r="I607" t="s">
        <v>39</v>
      </c>
      <c r="J607" t="s">
        <v>30</v>
      </c>
      <c r="K607">
        <v>3</v>
      </c>
      <c r="L607" t="s">
        <v>72</v>
      </c>
      <c r="M607" t="s">
        <v>85</v>
      </c>
      <c r="N607" t="s">
        <v>40</v>
      </c>
      <c r="O607">
        <v>45286</v>
      </c>
      <c r="P607">
        <v>0</v>
      </c>
      <c r="Q607" t="s">
        <v>41</v>
      </c>
      <c r="R607" s="1">
        <v>42565</v>
      </c>
      <c r="S607" t="s">
        <v>34</v>
      </c>
      <c r="T607">
        <v>6</v>
      </c>
      <c r="U607">
        <v>1</v>
      </c>
      <c r="V607">
        <v>3</v>
      </c>
      <c r="W607">
        <v>1</v>
      </c>
      <c r="X607" t="s">
        <v>11022</v>
      </c>
      <c r="Y607" t="s">
        <v>11022</v>
      </c>
      <c r="Z607" t="str">
        <f>_xlfn.XLOOKUP(Employees[[#This Row],[Education]], EdLevel[EducationLevelID], EdLevel[EducationLevel])</f>
        <v xml:space="preserve">Bachelors </v>
      </c>
      <c r="AA607">
        <f>IF(Employees[[#This Row],[Attrition]] = "Yes", 1, 0)</f>
        <v>0</v>
      </c>
      <c r="AB607" t="str" cm="1">
        <f t="array" ref="AB607">_xlfn.IFS(Employees[[#This Row],[Age]]&lt;30, "20-29", Employees[[#This Row],[Age]]&lt;40, "30-39", Employees[[#This Row],[Age]]&lt;50, "40-49", "TRUE", "50+")</f>
        <v>20-29</v>
      </c>
    </row>
    <row r="608" spans="1:28">
      <c r="A608" t="s">
        <v>1853</v>
      </c>
      <c r="B608" t="s">
        <v>1854</v>
      </c>
      <c r="C608" t="s">
        <v>1855</v>
      </c>
      <c r="D608" t="s">
        <v>26</v>
      </c>
      <c r="E608">
        <v>25</v>
      </c>
      <c r="F608" t="s">
        <v>27</v>
      </c>
      <c r="G608" t="s">
        <v>54</v>
      </c>
      <c r="H608">
        <v>13</v>
      </c>
      <c r="I608" t="s">
        <v>29</v>
      </c>
      <c r="J608" t="s">
        <v>30</v>
      </c>
      <c r="K608">
        <v>3</v>
      </c>
      <c r="L608" t="s">
        <v>72</v>
      </c>
      <c r="M608" t="s">
        <v>182</v>
      </c>
      <c r="N608" t="s">
        <v>49</v>
      </c>
      <c r="O608">
        <v>211401</v>
      </c>
      <c r="P608">
        <v>0</v>
      </c>
      <c r="Q608" t="s">
        <v>34</v>
      </c>
      <c r="R608" s="1">
        <v>42568</v>
      </c>
      <c r="S608" t="s">
        <v>34</v>
      </c>
      <c r="T608">
        <v>6</v>
      </c>
      <c r="U608">
        <v>1</v>
      </c>
      <c r="V608">
        <v>1</v>
      </c>
      <c r="W608">
        <v>3</v>
      </c>
      <c r="X608" t="s">
        <v>11022</v>
      </c>
      <c r="Y608" t="s">
        <v>11022</v>
      </c>
      <c r="Z608" t="str">
        <f>_xlfn.XLOOKUP(Employees[[#This Row],[Education]], EdLevel[EducationLevelID], EdLevel[EducationLevel])</f>
        <v xml:space="preserve">Bachelors </v>
      </c>
      <c r="AA608">
        <f>IF(Employees[[#This Row],[Attrition]] = "Yes", 1, 0)</f>
        <v>0</v>
      </c>
      <c r="AB608" t="str" cm="1">
        <f t="array" ref="AB608">_xlfn.IFS(Employees[[#This Row],[Age]]&lt;30, "20-29", Employees[[#This Row],[Age]]&lt;40, "30-39", Employees[[#This Row],[Age]]&lt;50, "40-49", "TRUE", "50+")</f>
        <v>20-29</v>
      </c>
    </row>
    <row r="609" spans="1:28">
      <c r="A609" t="s">
        <v>1856</v>
      </c>
      <c r="B609" t="s">
        <v>1857</v>
      </c>
      <c r="C609" t="s">
        <v>1858</v>
      </c>
      <c r="D609" t="s">
        <v>26</v>
      </c>
      <c r="E609">
        <v>27</v>
      </c>
      <c r="F609" t="s">
        <v>84</v>
      </c>
      <c r="G609" t="s">
        <v>28</v>
      </c>
      <c r="H609">
        <v>21</v>
      </c>
      <c r="I609" t="s">
        <v>65</v>
      </c>
      <c r="J609" t="s">
        <v>30</v>
      </c>
      <c r="K609">
        <v>3</v>
      </c>
      <c r="L609" t="s">
        <v>121</v>
      </c>
      <c r="M609" t="s">
        <v>32</v>
      </c>
      <c r="N609" t="s">
        <v>49</v>
      </c>
      <c r="O609">
        <v>66488</v>
      </c>
      <c r="P609">
        <v>1</v>
      </c>
      <c r="Q609" t="s">
        <v>34</v>
      </c>
      <c r="R609" s="1">
        <v>42569</v>
      </c>
      <c r="S609" t="s">
        <v>34</v>
      </c>
      <c r="T609">
        <v>6</v>
      </c>
      <c r="U609">
        <v>5</v>
      </c>
      <c r="V609">
        <v>6</v>
      </c>
      <c r="W609">
        <v>3</v>
      </c>
      <c r="X609" t="s">
        <v>11022</v>
      </c>
      <c r="Y609" t="s">
        <v>11022</v>
      </c>
      <c r="Z609" t="str">
        <f>_xlfn.XLOOKUP(Employees[[#This Row],[Education]], EdLevel[EducationLevelID], EdLevel[EducationLevel])</f>
        <v xml:space="preserve">Bachelors </v>
      </c>
      <c r="AA609">
        <f>IF(Employees[[#This Row],[Attrition]] = "Yes", 1, 0)</f>
        <v>0</v>
      </c>
      <c r="AB609" t="str" cm="1">
        <f t="array" ref="AB609">_xlfn.IFS(Employees[[#This Row],[Age]]&lt;30, "20-29", Employees[[#This Row],[Age]]&lt;40, "30-39", Employees[[#This Row],[Age]]&lt;50, "40-49", "TRUE", "50+")</f>
        <v>20-29</v>
      </c>
    </row>
    <row r="610" spans="1:28">
      <c r="A610" t="s">
        <v>1859</v>
      </c>
      <c r="B610" t="s">
        <v>1860</v>
      </c>
      <c r="C610" t="s">
        <v>1861</v>
      </c>
      <c r="D610" t="s">
        <v>38</v>
      </c>
      <c r="E610">
        <v>25</v>
      </c>
      <c r="F610" t="s">
        <v>27</v>
      </c>
      <c r="G610" t="s">
        <v>54</v>
      </c>
      <c r="H610">
        <v>28</v>
      </c>
      <c r="I610" t="s">
        <v>65</v>
      </c>
      <c r="J610" t="s">
        <v>92</v>
      </c>
      <c r="K610">
        <v>4</v>
      </c>
      <c r="L610" t="s">
        <v>72</v>
      </c>
      <c r="M610" t="s">
        <v>101</v>
      </c>
      <c r="N610" t="s">
        <v>49</v>
      </c>
      <c r="O610">
        <v>29126</v>
      </c>
      <c r="P610">
        <v>2</v>
      </c>
      <c r="Q610" t="s">
        <v>34</v>
      </c>
      <c r="R610" s="1">
        <v>42569</v>
      </c>
      <c r="S610" t="s">
        <v>34</v>
      </c>
      <c r="T610">
        <v>6</v>
      </c>
      <c r="U610">
        <v>0</v>
      </c>
      <c r="V610">
        <v>2</v>
      </c>
      <c r="W610">
        <v>3</v>
      </c>
      <c r="X610" t="s">
        <v>11023</v>
      </c>
      <c r="Y610" t="s">
        <v>11023</v>
      </c>
      <c r="Z610" t="str">
        <f>_xlfn.XLOOKUP(Employees[[#This Row],[Education]], EdLevel[EducationLevelID], EdLevel[EducationLevel])</f>
        <v xml:space="preserve">Masters </v>
      </c>
      <c r="AA610">
        <f>IF(Employees[[#This Row],[Attrition]] = "Yes", 1, 0)</f>
        <v>0</v>
      </c>
      <c r="AB610" t="str" cm="1">
        <f t="array" ref="AB610">_xlfn.IFS(Employees[[#This Row],[Age]]&lt;30, "20-29", Employees[[#This Row],[Age]]&lt;40, "30-39", Employees[[#This Row],[Age]]&lt;50, "40-49", "TRUE", "50+")</f>
        <v>20-29</v>
      </c>
    </row>
    <row r="611" spans="1:28">
      <c r="A611" t="s">
        <v>1862</v>
      </c>
      <c r="B611" t="s">
        <v>1863</v>
      </c>
      <c r="C611" t="s">
        <v>1864</v>
      </c>
      <c r="D611" t="s">
        <v>26</v>
      </c>
      <c r="E611">
        <v>25</v>
      </c>
      <c r="F611" t="s">
        <v>27</v>
      </c>
      <c r="G611" t="s">
        <v>54</v>
      </c>
      <c r="H611">
        <v>9</v>
      </c>
      <c r="I611" t="s">
        <v>65</v>
      </c>
      <c r="J611" t="s">
        <v>30</v>
      </c>
      <c r="K611">
        <v>3</v>
      </c>
      <c r="L611" t="s">
        <v>72</v>
      </c>
      <c r="M611" t="s">
        <v>101</v>
      </c>
      <c r="N611" t="s">
        <v>40</v>
      </c>
      <c r="O611">
        <v>39636</v>
      </c>
      <c r="P611">
        <v>0</v>
      </c>
      <c r="Q611" t="s">
        <v>41</v>
      </c>
      <c r="R611" s="1">
        <v>42572</v>
      </c>
      <c r="S611" t="s">
        <v>34</v>
      </c>
      <c r="T611">
        <v>6</v>
      </c>
      <c r="U611">
        <v>0</v>
      </c>
      <c r="V611">
        <v>5</v>
      </c>
      <c r="W611">
        <v>1</v>
      </c>
      <c r="X611" t="s">
        <v>11022</v>
      </c>
      <c r="Y611" t="s">
        <v>11022</v>
      </c>
      <c r="Z611" t="str">
        <f>_xlfn.XLOOKUP(Employees[[#This Row],[Education]], EdLevel[EducationLevelID], EdLevel[EducationLevel])</f>
        <v xml:space="preserve">Bachelors </v>
      </c>
      <c r="AA611">
        <f>IF(Employees[[#This Row],[Attrition]] = "Yes", 1, 0)</f>
        <v>0</v>
      </c>
      <c r="AB611" t="str" cm="1">
        <f t="array" ref="AB611">_xlfn.IFS(Employees[[#This Row],[Age]]&lt;30, "20-29", Employees[[#This Row],[Age]]&lt;40, "30-39", Employees[[#This Row],[Age]]&lt;50, "40-49", "TRUE", "50+")</f>
        <v>20-29</v>
      </c>
    </row>
    <row r="612" spans="1:28">
      <c r="A612" t="s">
        <v>1865</v>
      </c>
      <c r="B612" t="s">
        <v>1866</v>
      </c>
      <c r="C612" t="s">
        <v>1867</v>
      </c>
      <c r="D612" t="s">
        <v>38</v>
      </c>
      <c r="E612">
        <v>26</v>
      </c>
      <c r="F612" t="s">
        <v>27</v>
      </c>
      <c r="G612" t="s">
        <v>54</v>
      </c>
      <c r="H612">
        <v>18</v>
      </c>
      <c r="I612" t="s">
        <v>39</v>
      </c>
      <c r="J612" t="s">
        <v>46</v>
      </c>
      <c r="K612">
        <v>3</v>
      </c>
      <c r="L612" t="s">
        <v>72</v>
      </c>
      <c r="M612" t="s">
        <v>93</v>
      </c>
      <c r="N612" t="s">
        <v>33</v>
      </c>
      <c r="O612">
        <v>54470</v>
      </c>
      <c r="P612">
        <v>1</v>
      </c>
      <c r="Q612" t="s">
        <v>34</v>
      </c>
      <c r="R612" s="1">
        <v>42572</v>
      </c>
      <c r="S612" t="s">
        <v>34</v>
      </c>
      <c r="T612">
        <v>6</v>
      </c>
      <c r="U612">
        <v>0</v>
      </c>
      <c r="V612">
        <v>6</v>
      </c>
      <c r="W612">
        <v>3</v>
      </c>
      <c r="X612" t="s">
        <v>11022</v>
      </c>
      <c r="Y612" t="s">
        <v>11022</v>
      </c>
      <c r="Z612" t="str">
        <f>_xlfn.XLOOKUP(Employees[[#This Row],[Education]], EdLevel[EducationLevelID], EdLevel[EducationLevel])</f>
        <v xml:space="preserve">Bachelors </v>
      </c>
      <c r="AA612">
        <f>IF(Employees[[#This Row],[Attrition]] = "Yes", 1, 0)</f>
        <v>0</v>
      </c>
      <c r="AB612" t="str" cm="1">
        <f t="array" ref="AB612">_xlfn.IFS(Employees[[#This Row],[Age]]&lt;30, "20-29", Employees[[#This Row],[Age]]&lt;40, "30-39", Employees[[#This Row],[Age]]&lt;50, "40-49", "TRUE", "50+")</f>
        <v>20-29</v>
      </c>
    </row>
    <row r="613" spans="1:28">
      <c r="A613" t="s">
        <v>1868</v>
      </c>
      <c r="B613" t="s">
        <v>1869</v>
      </c>
      <c r="C613" t="s">
        <v>1870</v>
      </c>
      <c r="D613" t="s">
        <v>38</v>
      </c>
      <c r="E613">
        <v>25</v>
      </c>
      <c r="F613" t="s">
        <v>27</v>
      </c>
      <c r="G613" t="s">
        <v>28</v>
      </c>
      <c r="H613">
        <v>37</v>
      </c>
      <c r="I613" t="s">
        <v>39</v>
      </c>
      <c r="J613" t="s">
        <v>46</v>
      </c>
      <c r="K613">
        <v>3</v>
      </c>
      <c r="L613" t="s">
        <v>121</v>
      </c>
      <c r="M613" t="s">
        <v>32</v>
      </c>
      <c r="N613" t="s">
        <v>49</v>
      </c>
      <c r="O613">
        <v>79329</v>
      </c>
      <c r="P613">
        <v>0</v>
      </c>
      <c r="Q613" t="s">
        <v>34</v>
      </c>
      <c r="R613" s="1">
        <v>42573</v>
      </c>
      <c r="S613" t="s">
        <v>41</v>
      </c>
      <c r="T613">
        <v>1</v>
      </c>
      <c r="U613">
        <v>1</v>
      </c>
      <c r="V613">
        <v>1</v>
      </c>
      <c r="W613">
        <v>1</v>
      </c>
      <c r="X613" t="s">
        <v>11022</v>
      </c>
      <c r="Y613" t="s">
        <v>11022</v>
      </c>
      <c r="Z613" t="str">
        <f>_xlfn.XLOOKUP(Employees[[#This Row],[Education]], EdLevel[EducationLevelID], EdLevel[EducationLevel])</f>
        <v xml:space="preserve">Bachelors </v>
      </c>
      <c r="AA613">
        <f>IF(Employees[[#This Row],[Attrition]] = "Yes", 1, 0)</f>
        <v>1</v>
      </c>
      <c r="AB613" t="str" cm="1">
        <f t="array" ref="AB613">_xlfn.IFS(Employees[[#This Row],[Age]]&lt;30, "20-29", Employees[[#This Row],[Age]]&lt;40, "30-39", Employees[[#This Row],[Age]]&lt;50, "40-49", "TRUE", "50+")</f>
        <v>20-29</v>
      </c>
    </row>
    <row r="614" spans="1:28">
      <c r="A614" t="s">
        <v>1871</v>
      </c>
      <c r="B614" t="s">
        <v>1134</v>
      </c>
      <c r="C614" t="s">
        <v>1364</v>
      </c>
      <c r="D614" t="s">
        <v>26</v>
      </c>
      <c r="E614">
        <v>27</v>
      </c>
      <c r="F614" t="s">
        <v>27</v>
      </c>
      <c r="G614" t="s">
        <v>28</v>
      </c>
      <c r="H614">
        <v>36</v>
      </c>
      <c r="I614" t="s">
        <v>39</v>
      </c>
      <c r="J614" t="s">
        <v>46</v>
      </c>
      <c r="K614">
        <v>3</v>
      </c>
      <c r="L614" t="s">
        <v>60</v>
      </c>
      <c r="M614" t="s">
        <v>32</v>
      </c>
      <c r="N614" t="s">
        <v>33</v>
      </c>
      <c r="O614">
        <v>173994</v>
      </c>
      <c r="P614">
        <v>1</v>
      </c>
      <c r="Q614" t="s">
        <v>34</v>
      </c>
      <c r="R614" s="1">
        <v>42574</v>
      </c>
      <c r="S614" t="s">
        <v>34</v>
      </c>
      <c r="T614">
        <v>6</v>
      </c>
      <c r="U614">
        <v>1</v>
      </c>
      <c r="V614">
        <v>5</v>
      </c>
      <c r="W614">
        <v>6</v>
      </c>
      <c r="X614" t="s">
        <v>11022</v>
      </c>
      <c r="Y614" t="s">
        <v>11022</v>
      </c>
      <c r="Z614" t="str">
        <f>_xlfn.XLOOKUP(Employees[[#This Row],[Education]], EdLevel[EducationLevelID], EdLevel[EducationLevel])</f>
        <v xml:space="preserve">Bachelors </v>
      </c>
      <c r="AA614">
        <f>IF(Employees[[#This Row],[Attrition]] = "Yes", 1, 0)</f>
        <v>0</v>
      </c>
      <c r="AB614" t="str" cm="1">
        <f t="array" ref="AB614">_xlfn.IFS(Employees[[#This Row],[Age]]&lt;30, "20-29", Employees[[#This Row],[Age]]&lt;40, "30-39", Employees[[#This Row],[Age]]&lt;50, "40-49", "TRUE", "50+")</f>
        <v>20-29</v>
      </c>
    </row>
    <row r="615" spans="1:28">
      <c r="A615" t="s">
        <v>1872</v>
      </c>
      <c r="B615" t="s">
        <v>1873</v>
      </c>
      <c r="C615" t="s">
        <v>1874</v>
      </c>
      <c r="D615" t="s">
        <v>38</v>
      </c>
      <c r="E615">
        <v>24</v>
      </c>
      <c r="F615" t="s">
        <v>27</v>
      </c>
      <c r="G615" t="s">
        <v>54</v>
      </c>
      <c r="H615">
        <v>30</v>
      </c>
      <c r="I615" t="s">
        <v>39</v>
      </c>
      <c r="J615" t="s">
        <v>30</v>
      </c>
      <c r="K615">
        <v>3</v>
      </c>
      <c r="L615" t="s">
        <v>178</v>
      </c>
      <c r="M615" t="s">
        <v>101</v>
      </c>
      <c r="N615" t="s">
        <v>40</v>
      </c>
      <c r="O615">
        <v>26363</v>
      </c>
      <c r="P615">
        <v>0</v>
      </c>
      <c r="Q615" t="s">
        <v>34</v>
      </c>
      <c r="R615" s="1">
        <v>42575</v>
      </c>
      <c r="S615" t="s">
        <v>34</v>
      </c>
      <c r="T615">
        <v>6</v>
      </c>
      <c r="U615">
        <v>6</v>
      </c>
      <c r="V615">
        <v>6</v>
      </c>
      <c r="W615">
        <v>2</v>
      </c>
      <c r="X615" t="s">
        <v>11022</v>
      </c>
      <c r="Y615" t="s">
        <v>11022</v>
      </c>
      <c r="Z615" t="str">
        <f>_xlfn.XLOOKUP(Employees[[#This Row],[Education]], EdLevel[EducationLevelID], EdLevel[EducationLevel])</f>
        <v xml:space="preserve">Bachelors </v>
      </c>
      <c r="AA615">
        <f>IF(Employees[[#This Row],[Attrition]] = "Yes", 1, 0)</f>
        <v>0</v>
      </c>
      <c r="AB615" t="str" cm="1">
        <f t="array" ref="AB615">_xlfn.IFS(Employees[[#This Row],[Age]]&lt;30, "20-29", Employees[[#This Row],[Age]]&lt;40, "30-39", Employees[[#This Row],[Age]]&lt;50, "40-49", "TRUE", "50+")</f>
        <v>20-29</v>
      </c>
    </row>
    <row r="616" spans="1:28">
      <c r="A616" t="s">
        <v>1875</v>
      </c>
      <c r="B616" t="s">
        <v>1876</v>
      </c>
      <c r="C616" t="s">
        <v>1877</v>
      </c>
      <c r="D616" t="s">
        <v>859</v>
      </c>
      <c r="E616">
        <v>27</v>
      </c>
      <c r="F616" t="s">
        <v>27</v>
      </c>
      <c r="G616" t="s">
        <v>54</v>
      </c>
      <c r="H616">
        <v>37</v>
      </c>
      <c r="I616" t="s">
        <v>65</v>
      </c>
      <c r="J616" t="s">
        <v>30</v>
      </c>
      <c r="K616">
        <v>3</v>
      </c>
      <c r="L616" t="s">
        <v>72</v>
      </c>
      <c r="M616" t="s">
        <v>182</v>
      </c>
      <c r="N616" t="s">
        <v>40</v>
      </c>
      <c r="O616">
        <v>130012</v>
      </c>
      <c r="P616">
        <v>0</v>
      </c>
      <c r="Q616" t="s">
        <v>34</v>
      </c>
      <c r="R616" s="1">
        <v>42576</v>
      </c>
      <c r="S616" t="s">
        <v>34</v>
      </c>
      <c r="T616">
        <v>6</v>
      </c>
      <c r="U616">
        <v>6</v>
      </c>
      <c r="V616">
        <v>6</v>
      </c>
      <c r="W616">
        <v>0</v>
      </c>
      <c r="X616" t="s">
        <v>11022</v>
      </c>
      <c r="Y616" t="s">
        <v>11022</v>
      </c>
      <c r="Z616" t="str">
        <f>_xlfn.XLOOKUP(Employees[[#This Row],[Education]], EdLevel[EducationLevelID], EdLevel[EducationLevel])</f>
        <v xml:space="preserve">Bachelors </v>
      </c>
      <c r="AA616">
        <f>IF(Employees[[#This Row],[Attrition]] = "Yes", 1, 0)</f>
        <v>0</v>
      </c>
      <c r="AB616" t="str" cm="1">
        <f t="array" ref="AB616">_xlfn.IFS(Employees[[#This Row],[Age]]&lt;30, "20-29", Employees[[#This Row],[Age]]&lt;40, "30-39", Employees[[#This Row],[Age]]&lt;50, "40-49", "TRUE", "50+")</f>
        <v>20-29</v>
      </c>
    </row>
    <row r="617" spans="1:28">
      <c r="A617" t="s">
        <v>1878</v>
      </c>
      <c r="B617" t="s">
        <v>1879</v>
      </c>
      <c r="C617" t="s">
        <v>1880</v>
      </c>
      <c r="D617" t="s">
        <v>26</v>
      </c>
      <c r="E617">
        <v>26</v>
      </c>
      <c r="F617" t="s">
        <v>27</v>
      </c>
      <c r="G617" t="s">
        <v>54</v>
      </c>
      <c r="H617">
        <v>16</v>
      </c>
      <c r="I617" t="s">
        <v>39</v>
      </c>
      <c r="J617" t="s">
        <v>137</v>
      </c>
      <c r="K617">
        <v>2</v>
      </c>
      <c r="L617" t="s">
        <v>178</v>
      </c>
      <c r="M617" t="s">
        <v>101</v>
      </c>
      <c r="N617" t="s">
        <v>49</v>
      </c>
      <c r="O617">
        <v>34630</v>
      </c>
      <c r="P617">
        <v>0</v>
      </c>
      <c r="Q617" t="s">
        <v>34</v>
      </c>
      <c r="R617" s="1">
        <v>42581</v>
      </c>
      <c r="S617" t="s">
        <v>34</v>
      </c>
      <c r="T617">
        <v>6</v>
      </c>
      <c r="U617">
        <v>2</v>
      </c>
      <c r="V617">
        <v>6</v>
      </c>
      <c r="W617">
        <v>0</v>
      </c>
      <c r="X617" t="s">
        <v>11021</v>
      </c>
      <c r="Y617" t="s">
        <v>11021</v>
      </c>
      <c r="Z617" t="str">
        <f>_xlfn.XLOOKUP(Employees[[#This Row],[Education]], EdLevel[EducationLevelID], EdLevel[EducationLevel])</f>
        <v xml:space="preserve">High School </v>
      </c>
      <c r="AA617">
        <f>IF(Employees[[#This Row],[Attrition]] = "Yes", 1, 0)</f>
        <v>0</v>
      </c>
      <c r="AB617" t="str" cm="1">
        <f t="array" ref="AB617">_xlfn.IFS(Employees[[#This Row],[Age]]&lt;30, "20-29", Employees[[#This Row],[Age]]&lt;40, "30-39", Employees[[#This Row],[Age]]&lt;50, "40-49", "TRUE", "50+")</f>
        <v>20-29</v>
      </c>
    </row>
    <row r="618" spans="1:28">
      <c r="A618" t="s">
        <v>1881</v>
      </c>
      <c r="B618" t="s">
        <v>873</v>
      </c>
      <c r="C618" t="s">
        <v>1882</v>
      </c>
      <c r="D618" t="s">
        <v>26</v>
      </c>
      <c r="E618">
        <v>24</v>
      </c>
      <c r="F618" t="s">
        <v>27</v>
      </c>
      <c r="G618" t="s">
        <v>54</v>
      </c>
      <c r="H618">
        <v>30</v>
      </c>
      <c r="I618" t="s">
        <v>39</v>
      </c>
      <c r="J618" t="s">
        <v>30</v>
      </c>
      <c r="K618">
        <v>3</v>
      </c>
      <c r="L618" t="s">
        <v>72</v>
      </c>
      <c r="M618" t="s">
        <v>85</v>
      </c>
      <c r="N618" t="s">
        <v>40</v>
      </c>
      <c r="O618">
        <v>61883</v>
      </c>
      <c r="P618">
        <v>0</v>
      </c>
      <c r="Q618" t="s">
        <v>34</v>
      </c>
      <c r="R618" s="1">
        <v>42584</v>
      </c>
      <c r="S618" t="s">
        <v>41</v>
      </c>
      <c r="T618">
        <v>1</v>
      </c>
      <c r="U618">
        <v>1</v>
      </c>
      <c r="V618">
        <v>1</v>
      </c>
      <c r="W618">
        <v>0</v>
      </c>
      <c r="X618" t="s">
        <v>11022</v>
      </c>
      <c r="Y618" t="s">
        <v>11022</v>
      </c>
      <c r="Z618" t="str">
        <f>_xlfn.XLOOKUP(Employees[[#This Row],[Education]], EdLevel[EducationLevelID], EdLevel[EducationLevel])</f>
        <v xml:space="preserve">Bachelors </v>
      </c>
      <c r="AA618">
        <f>IF(Employees[[#This Row],[Attrition]] = "Yes", 1, 0)</f>
        <v>1</v>
      </c>
      <c r="AB618" t="str" cm="1">
        <f t="array" ref="AB618">_xlfn.IFS(Employees[[#This Row],[Age]]&lt;30, "20-29", Employees[[#This Row],[Age]]&lt;40, "30-39", Employees[[#This Row],[Age]]&lt;50, "40-49", "TRUE", "50+")</f>
        <v>20-29</v>
      </c>
    </row>
    <row r="619" spans="1:28">
      <c r="A619" t="s">
        <v>1883</v>
      </c>
      <c r="B619" t="s">
        <v>1884</v>
      </c>
      <c r="C619" t="s">
        <v>1885</v>
      </c>
      <c r="D619" t="s">
        <v>26</v>
      </c>
      <c r="E619">
        <v>27</v>
      </c>
      <c r="F619" t="s">
        <v>84</v>
      </c>
      <c r="G619" t="s">
        <v>54</v>
      </c>
      <c r="H619">
        <v>1</v>
      </c>
      <c r="I619" t="s">
        <v>39</v>
      </c>
      <c r="J619" t="s">
        <v>30</v>
      </c>
      <c r="K619">
        <v>4</v>
      </c>
      <c r="L619" t="s">
        <v>55</v>
      </c>
      <c r="M619" t="s">
        <v>105</v>
      </c>
      <c r="N619" t="s">
        <v>49</v>
      </c>
      <c r="O619">
        <v>56302</v>
      </c>
      <c r="P619">
        <v>2</v>
      </c>
      <c r="Q619" t="s">
        <v>41</v>
      </c>
      <c r="R619" s="1">
        <v>42586</v>
      </c>
      <c r="S619" t="s">
        <v>34</v>
      </c>
      <c r="T619">
        <v>6</v>
      </c>
      <c r="U619">
        <v>3</v>
      </c>
      <c r="V619">
        <v>5</v>
      </c>
      <c r="W619">
        <v>4</v>
      </c>
      <c r="X619" t="s">
        <v>11023</v>
      </c>
      <c r="Y619" t="s">
        <v>11023</v>
      </c>
      <c r="Z619" t="str">
        <f>_xlfn.XLOOKUP(Employees[[#This Row],[Education]], EdLevel[EducationLevelID], EdLevel[EducationLevel])</f>
        <v xml:space="preserve">Masters </v>
      </c>
      <c r="AA619">
        <f>IF(Employees[[#This Row],[Attrition]] = "Yes", 1, 0)</f>
        <v>0</v>
      </c>
      <c r="AB619" t="str" cm="1">
        <f t="array" ref="AB619">_xlfn.IFS(Employees[[#This Row],[Age]]&lt;30, "20-29", Employees[[#This Row],[Age]]&lt;40, "30-39", Employees[[#This Row],[Age]]&lt;50, "40-49", "TRUE", "50+")</f>
        <v>20-29</v>
      </c>
    </row>
    <row r="620" spans="1:28">
      <c r="A620" t="s">
        <v>1886</v>
      </c>
      <c r="B620" t="s">
        <v>1887</v>
      </c>
      <c r="C620" t="s">
        <v>1888</v>
      </c>
      <c r="D620" t="s">
        <v>26</v>
      </c>
      <c r="E620">
        <v>24</v>
      </c>
      <c r="F620" t="s">
        <v>27</v>
      </c>
      <c r="G620" t="s">
        <v>28</v>
      </c>
      <c r="H620">
        <v>3</v>
      </c>
      <c r="I620" t="s">
        <v>39</v>
      </c>
      <c r="J620" t="s">
        <v>46</v>
      </c>
      <c r="K620">
        <v>3</v>
      </c>
      <c r="L620" t="s">
        <v>31</v>
      </c>
      <c r="M620" t="s">
        <v>32</v>
      </c>
      <c r="N620" t="s">
        <v>33</v>
      </c>
      <c r="O620">
        <v>130774</v>
      </c>
      <c r="P620">
        <v>1</v>
      </c>
      <c r="Q620" t="s">
        <v>41</v>
      </c>
      <c r="R620" s="1">
        <v>42597</v>
      </c>
      <c r="S620" t="s">
        <v>41</v>
      </c>
      <c r="T620">
        <v>4</v>
      </c>
      <c r="U620">
        <v>3</v>
      </c>
      <c r="V620">
        <v>3</v>
      </c>
      <c r="W620">
        <v>4</v>
      </c>
      <c r="X620" t="s">
        <v>11022</v>
      </c>
      <c r="Y620" t="s">
        <v>11022</v>
      </c>
      <c r="Z620" t="str">
        <f>_xlfn.XLOOKUP(Employees[[#This Row],[Education]], EdLevel[EducationLevelID], EdLevel[EducationLevel])</f>
        <v xml:space="preserve">Bachelors </v>
      </c>
      <c r="AA620">
        <f>IF(Employees[[#This Row],[Attrition]] = "Yes", 1, 0)</f>
        <v>1</v>
      </c>
      <c r="AB620" t="str" cm="1">
        <f t="array" ref="AB620">_xlfn.IFS(Employees[[#This Row],[Age]]&lt;30, "20-29", Employees[[#This Row],[Age]]&lt;40, "30-39", Employees[[#This Row],[Age]]&lt;50, "40-49", "TRUE", "50+")</f>
        <v>20-29</v>
      </c>
    </row>
    <row r="621" spans="1:28">
      <c r="A621" t="s">
        <v>1889</v>
      </c>
      <c r="B621" t="s">
        <v>1890</v>
      </c>
      <c r="C621" t="s">
        <v>1891</v>
      </c>
      <c r="D621" t="s">
        <v>26</v>
      </c>
      <c r="E621">
        <v>26</v>
      </c>
      <c r="F621" t="s">
        <v>27</v>
      </c>
      <c r="G621" t="s">
        <v>28</v>
      </c>
      <c r="H621">
        <v>2</v>
      </c>
      <c r="I621" t="s">
        <v>39</v>
      </c>
      <c r="J621" t="s">
        <v>46</v>
      </c>
      <c r="K621">
        <v>2</v>
      </c>
      <c r="L621" t="s">
        <v>31</v>
      </c>
      <c r="M621" t="s">
        <v>32</v>
      </c>
      <c r="N621" t="s">
        <v>40</v>
      </c>
      <c r="O621">
        <v>149390</v>
      </c>
      <c r="P621">
        <v>0</v>
      </c>
      <c r="Q621" t="s">
        <v>41</v>
      </c>
      <c r="R621" s="1">
        <v>42597</v>
      </c>
      <c r="S621" t="s">
        <v>41</v>
      </c>
      <c r="T621">
        <v>3</v>
      </c>
      <c r="U621">
        <v>1</v>
      </c>
      <c r="V621">
        <v>1</v>
      </c>
      <c r="W621">
        <v>2</v>
      </c>
      <c r="X621" t="s">
        <v>11021</v>
      </c>
      <c r="Y621" t="s">
        <v>11021</v>
      </c>
      <c r="Z621" t="str">
        <f>_xlfn.XLOOKUP(Employees[[#This Row],[Education]], EdLevel[EducationLevelID], EdLevel[EducationLevel])</f>
        <v xml:space="preserve">High School </v>
      </c>
      <c r="AA621">
        <f>IF(Employees[[#This Row],[Attrition]] = "Yes", 1, 0)</f>
        <v>1</v>
      </c>
      <c r="AB621" t="str" cm="1">
        <f t="array" ref="AB621">_xlfn.IFS(Employees[[#This Row],[Age]]&lt;30, "20-29", Employees[[#This Row],[Age]]&lt;40, "30-39", Employees[[#This Row],[Age]]&lt;50, "40-49", "TRUE", "50+")</f>
        <v>20-29</v>
      </c>
    </row>
    <row r="622" spans="1:28">
      <c r="A622" t="s">
        <v>1892</v>
      </c>
      <c r="B622" t="s">
        <v>1893</v>
      </c>
      <c r="C622" t="s">
        <v>1894</v>
      </c>
      <c r="D622" t="s">
        <v>38</v>
      </c>
      <c r="E622">
        <v>24</v>
      </c>
      <c r="F622" t="s">
        <v>27</v>
      </c>
      <c r="G622" t="s">
        <v>54</v>
      </c>
      <c r="H622">
        <v>19</v>
      </c>
      <c r="I622" t="s">
        <v>39</v>
      </c>
      <c r="J622" t="s">
        <v>66</v>
      </c>
      <c r="K622">
        <v>4</v>
      </c>
      <c r="L622" t="s">
        <v>55</v>
      </c>
      <c r="M622" t="s">
        <v>101</v>
      </c>
      <c r="N622" t="s">
        <v>33</v>
      </c>
      <c r="O622">
        <v>35270</v>
      </c>
      <c r="P622">
        <v>1</v>
      </c>
      <c r="Q622" t="s">
        <v>34</v>
      </c>
      <c r="R622" s="1">
        <v>42598</v>
      </c>
      <c r="S622" t="s">
        <v>34</v>
      </c>
      <c r="T622">
        <v>6</v>
      </c>
      <c r="U622">
        <v>0</v>
      </c>
      <c r="V622">
        <v>5</v>
      </c>
      <c r="W622">
        <v>2</v>
      </c>
      <c r="X622" t="s">
        <v>11023</v>
      </c>
      <c r="Y622" t="s">
        <v>11023</v>
      </c>
      <c r="Z622" t="str">
        <f>_xlfn.XLOOKUP(Employees[[#This Row],[Education]], EdLevel[EducationLevelID], EdLevel[EducationLevel])</f>
        <v xml:space="preserve">Masters </v>
      </c>
      <c r="AA622">
        <f>IF(Employees[[#This Row],[Attrition]] = "Yes", 1, 0)</f>
        <v>0</v>
      </c>
      <c r="AB622" t="str" cm="1">
        <f t="array" ref="AB622">_xlfn.IFS(Employees[[#This Row],[Age]]&lt;30, "20-29", Employees[[#This Row],[Age]]&lt;40, "30-39", Employees[[#This Row],[Age]]&lt;50, "40-49", "TRUE", "50+")</f>
        <v>20-29</v>
      </c>
    </row>
    <row r="623" spans="1:28">
      <c r="A623" t="s">
        <v>1895</v>
      </c>
      <c r="B623" t="s">
        <v>1896</v>
      </c>
      <c r="C623" t="s">
        <v>1897</v>
      </c>
      <c r="D623" t="s">
        <v>38</v>
      </c>
      <c r="E623">
        <v>27</v>
      </c>
      <c r="F623" t="s">
        <v>27</v>
      </c>
      <c r="G623" t="s">
        <v>54</v>
      </c>
      <c r="H623">
        <v>28</v>
      </c>
      <c r="I623" t="s">
        <v>39</v>
      </c>
      <c r="J623" t="s">
        <v>30</v>
      </c>
      <c r="K623">
        <v>3</v>
      </c>
      <c r="L623" t="s">
        <v>55</v>
      </c>
      <c r="M623" t="s">
        <v>85</v>
      </c>
      <c r="N623" t="s">
        <v>40</v>
      </c>
      <c r="O623">
        <v>20387</v>
      </c>
      <c r="P623">
        <v>0</v>
      </c>
      <c r="Q623" t="s">
        <v>34</v>
      </c>
      <c r="R623" s="1">
        <v>42598</v>
      </c>
      <c r="S623" t="s">
        <v>41</v>
      </c>
      <c r="T623">
        <v>0</v>
      </c>
      <c r="U623">
        <v>0</v>
      </c>
      <c r="V623">
        <v>0</v>
      </c>
      <c r="W623">
        <v>0</v>
      </c>
      <c r="X623" t="s">
        <v>11022</v>
      </c>
      <c r="Y623" t="s">
        <v>11022</v>
      </c>
      <c r="Z623" t="str">
        <f>_xlfn.XLOOKUP(Employees[[#This Row],[Education]], EdLevel[EducationLevelID], EdLevel[EducationLevel])</f>
        <v xml:space="preserve">Bachelors </v>
      </c>
      <c r="AA623">
        <f>IF(Employees[[#This Row],[Attrition]] = "Yes", 1, 0)</f>
        <v>1</v>
      </c>
      <c r="AB623" t="str" cm="1">
        <f t="array" ref="AB623">_xlfn.IFS(Employees[[#This Row],[Age]]&lt;30, "20-29", Employees[[#This Row],[Age]]&lt;40, "30-39", Employees[[#This Row],[Age]]&lt;50, "40-49", "TRUE", "50+")</f>
        <v>20-29</v>
      </c>
    </row>
    <row r="624" spans="1:28">
      <c r="A624" t="s">
        <v>1898</v>
      </c>
      <c r="B624" t="s">
        <v>1899</v>
      </c>
      <c r="C624" t="s">
        <v>1900</v>
      </c>
      <c r="D624" t="s">
        <v>53</v>
      </c>
      <c r="E624">
        <v>26</v>
      </c>
      <c r="F624" t="s">
        <v>27</v>
      </c>
      <c r="G624" t="s">
        <v>54</v>
      </c>
      <c r="H624">
        <v>8</v>
      </c>
      <c r="I624" t="s">
        <v>65</v>
      </c>
      <c r="J624" t="s">
        <v>30</v>
      </c>
      <c r="K624">
        <v>2</v>
      </c>
      <c r="L624" t="s">
        <v>55</v>
      </c>
      <c r="M624" t="s">
        <v>101</v>
      </c>
      <c r="N624" t="s">
        <v>33</v>
      </c>
      <c r="O624">
        <v>27219</v>
      </c>
      <c r="P624">
        <v>2</v>
      </c>
      <c r="Q624" t="s">
        <v>34</v>
      </c>
      <c r="R624" s="1">
        <v>42598</v>
      </c>
      <c r="S624" t="s">
        <v>34</v>
      </c>
      <c r="T624">
        <v>6</v>
      </c>
      <c r="U624">
        <v>3</v>
      </c>
      <c r="V624">
        <v>5</v>
      </c>
      <c r="W624">
        <v>4</v>
      </c>
      <c r="X624" t="s">
        <v>11021</v>
      </c>
      <c r="Y624" t="s">
        <v>11021</v>
      </c>
      <c r="Z624" t="str">
        <f>_xlfn.XLOOKUP(Employees[[#This Row],[Education]], EdLevel[EducationLevelID], EdLevel[EducationLevel])</f>
        <v xml:space="preserve">High School </v>
      </c>
      <c r="AA624">
        <f>IF(Employees[[#This Row],[Attrition]] = "Yes", 1, 0)</f>
        <v>0</v>
      </c>
      <c r="AB624" t="str" cm="1">
        <f t="array" ref="AB624">_xlfn.IFS(Employees[[#This Row],[Age]]&lt;30, "20-29", Employees[[#This Row],[Age]]&lt;40, "30-39", Employees[[#This Row],[Age]]&lt;50, "40-49", "TRUE", "50+")</f>
        <v>20-29</v>
      </c>
    </row>
    <row r="625" spans="1:28">
      <c r="A625" t="s">
        <v>1901</v>
      </c>
      <c r="B625" t="s">
        <v>1233</v>
      </c>
      <c r="C625" t="s">
        <v>1902</v>
      </c>
      <c r="D625" t="s">
        <v>38</v>
      </c>
      <c r="E625">
        <v>25</v>
      </c>
      <c r="F625" t="s">
        <v>84</v>
      </c>
      <c r="G625" t="s">
        <v>28</v>
      </c>
      <c r="H625">
        <v>25</v>
      </c>
      <c r="I625" t="s">
        <v>39</v>
      </c>
      <c r="J625" t="s">
        <v>71</v>
      </c>
      <c r="K625">
        <v>3</v>
      </c>
      <c r="L625" t="s">
        <v>47</v>
      </c>
      <c r="M625" t="s">
        <v>32</v>
      </c>
      <c r="N625" t="s">
        <v>49</v>
      </c>
      <c r="O625">
        <v>46283</v>
      </c>
      <c r="P625">
        <v>1</v>
      </c>
      <c r="Q625" t="s">
        <v>34</v>
      </c>
      <c r="R625" s="1">
        <v>42606</v>
      </c>
      <c r="S625" t="s">
        <v>34</v>
      </c>
      <c r="T625">
        <v>6</v>
      </c>
      <c r="U625">
        <v>5</v>
      </c>
      <c r="V625">
        <v>6</v>
      </c>
      <c r="W625">
        <v>1</v>
      </c>
      <c r="X625" t="s">
        <v>11022</v>
      </c>
      <c r="Y625" t="s">
        <v>11022</v>
      </c>
      <c r="Z625" t="str">
        <f>_xlfn.XLOOKUP(Employees[[#This Row],[Education]], EdLevel[EducationLevelID], EdLevel[EducationLevel])</f>
        <v xml:space="preserve">Bachelors </v>
      </c>
      <c r="AA625">
        <f>IF(Employees[[#This Row],[Attrition]] = "Yes", 1, 0)</f>
        <v>0</v>
      </c>
      <c r="AB625" t="str" cm="1">
        <f t="array" ref="AB625">_xlfn.IFS(Employees[[#This Row],[Age]]&lt;30, "20-29", Employees[[#This Row],[Age]]&lt;40, "30-39", Employees[[#This Row],[Age]]&lt;50, "40-49", "TRUE", "50+")</f>
        <v>20-29</v>
      </c>
    </row>
    <row r="626" spans="1:28">
      <c r="A626" t="s">
        <v>1903</v>
      </c>
      <c r="B626" t="s">
        <v>1904</v>
      </c>
      <c r="C626" t="s">
        <v>1905</v>
      </c>
      <c r="D626" t="s">
        <v>26</v>
      </c>
      <c r="E626">
        <v>27</v>
      </c>
      <c r="F626" t="s">
        <v>27</v>
      </c>
      <c r="G626" t="s">
        <v>28</v>
      </c>
      <c r="H626">
        <v>19</v>
      </c>
      <c r="I626" t="s">
        <v>39</v>
      </c>
      <c r="J626" t="s">
        <v>137</v>
      </c>
      <c r="K626">
        <v>4</v>
      </c>
      <c r="L626" t="s">
        <v>31</v>
      </c>
      <c r="M626" t="s">
        <v>97</v>
      </c>
      <c r="N626" t="s">
        <v>49</v>
      </c>
      <c r="O626">
        <v>149813</v>
      </c>
      <c r="P626">
        <v>0</v>
      </c>
      <c r="Q626" t="s">
        <v>34</v>
      </c>
      <c r="R626" s="1">
        <v>42612</v>
      </c>
      <c r="S626" t="s">
        <v>34</v>
      </c>
      <c r="T626">
        <v>6</v>
      </c>
      <c r="U626">
        <v>0</v>
      </c>
      <c r="V626">
        <v>1</v>
      </c>
      <c r="W626">
        <v>1</v>
      </c>
      <c r="X626" t="s">
        <v>11023</v>
      </c>
      <c r="Y626" t="s">
        <v>11023</v>
      </c>
      <c r="Z626" t="str">
        <f>_xlfn.XLOOKUP(Employees[[#This Row],[Education]], EdLevel[EducationLevelID], EdLevel[EducationLevel])</f>
        <v xml:space="preserve">Masters </v>
      </c>
      <c r="AA626">
        <f>IF(Employees[[#This Row],[Attrition]] = "Yes", 1, 0)</f>
        <v>0</v>
      </c>
      <c r="AB626" t="str" cm="1">
        <f t="array" ref="AB626">_xlfn.IFS(Employees[[#This Row],[Age]]&lt;30, "20-29", Employees[[#This Row],[Age]]&lt;40, "30-39", Employees[[#This Row],[Age]]&lt;50, "40-49", "TRUE", "50+")</f>
        <v>20-29</v>
      </c>
    </row>
    <row r="627" spans="1:28">
      <c r="A627" t="s">
        <v>1906</v>
      </c>
      <c r="B627" t="s">
        <v>1907</v>
      </c>
      <c r="C627" t="s">
        <v>1908</v>
      </c>
      <c r="D627" t="s">
        <v>38</v>
      </c>
      <c r="E627">
        <v>25</v>
      </c>
      <c r="F627" t="s">
        <v>84</v>
      </c>
      <c r="G627" t="s">
        <v>28</v>
      </c>
      <c r="H627">
        <v>19</v>
      </c>
      <c r="I627" t="s">
        <v>39</v>
      </c>
      <c r="J627" t="s">
        <v>66</v>
      </c>
      <c r="K627">
        <v>4</v>
      </c>
      <c r="L627" t="s">
        <v>47</v>
      </c>
      <c r="M627" t="s">
        <v>150</v>
      </c>
      <c r="N627" t="s">
        <v>40</v>
      </c>
      <c r="O627">
        <v>28090</v>
      </c>
      <c r="P627">
        <v>0</v>
      </c>
      <c r="Q627" t="s">
        <v>34</v>
      </c>
      <c r="R627" s="1">
        <v>42613</v>
      </c>
      <c r="S627" t="s">
        <v>41</v>
      </c>
      <c r="T627">
        <v>0</v>
      </c>
      <c r="U627">
        <v>0</v>
      </c>
      <c r="V627">
        <v>0</v>
      </c>
      <c r="W627">
        <v>0</v>
      </c>
      <c r="X627" t="s">
        <v>11023</v>
      </c>
      <c r="Y627" t="s">
        <v>11023</v>
      </c>
      <c r="Z627" t="str">
        <f>_xlfn.XLOOKUP(Employees[[#This Row],[Education]], EdLevel[EducationLevelID], EdLevel[EducationLevel])</f>
        <v xml:space="preserve">Masters </v>
      </c>
      <c r="AA627">
        <f>IF(Employees[[#This Row],[Attrition]] = "Yes", 1, 0)</f>
        <v>1</v>
      </c>
      <c r="AB627" t="str" cm="1">
        <f t="array" ref="AB627">_xlfn.IFS(Employees[[#This Row],[Age]]&lt;30, "20-29", Employees[[#This Row],[Age]]&lt;40, "30-39", Employees[[#This Row],[Age]]&lt;50, "40-49", "TRUE", "50+")</f>
        <v>20-29</v>
      </c>
    </row>
    <row r="628" spans="1:28">
      <c r="A628" t="s">
        <v>1909</v>
      </c>
      <c r="B628" t="s">
        <v>1910</v>
      </c>
      <c r="C628" t="s">
        <v>1911</v>
      </c>
      <c r="D628" t="s">
        <v>38</v>
      </c>
      <c r="E628">
        <v>26</v>
      </c>
      <c r="F628" t="s">
        <v>27</v>
      </c>
      <c r="G628" t="s">
        <v>54</v>
      </c>
      <c r="H628">
        <v>2</v>
      </c>
      <c r="I628" t="s">
        <v>29</v>
      </c>
      <c r="J628" t="s">
        <v>30</v>
      </c>
      <c r="K628">
        <v>3</v>
      </c>
      <c r="L628" t="s">
        <v>55</v>
      </c>
      <c r="M628" t="s">
        <v>85</v>
      </c>
      <c r="N628" t="s">
        <v>33</v>
      </c>
      <c r="O628">
        <v>30207</v>
      </c>
      <c r="P628">
        <v>1</v>
      </c>
      <c r="Q628" t="s">
        <v>41</v>
      </c>
      <c r="R628" s="1">
        <v>42614</v>
      </c>
      <c r="S628" t="s">
        <v>41</v>
      </c>
      <c r="T628">
        <v>5</v>
      </c>
      <c r="U628">
        <v>1</v>
      </c>
      <c r="V628">
        <v>3</v>
      </c>
      <c r="W628">
        <v>0</v>
      </c>
      <c r="X628" t="s">
        <v>11022</v>
      </c>
      <c r="Y628" t="s">
        <v>11022</v>
      </c>
      <c r="Z628" t="str">
        <f>_xlfn.XLOOKUP(Employees[[#This Row],[Education]], EdLevel[EducationLevelID], EdLevel[EducationLevel])</f>
        <v xml:space="preserve">Bachelors </v>
      </c>
      <c r="AA628">
        <f>IF(Employees[[#This Row],[Attrition]] = "Yes", 1, 0)</f>
        <v>1</v>
      </c>
      <c r="AB628" t="str" cm="1">
        <f t="array" ref="AB628">_xlfn.IFS(Employees[[#This Row],[Age]]&lt;30, "20-29", Employees[[#This Row],[Age]]&lt;40, "30-39", Employees[[#This Row],[Age]]&lt;50, "40-49", "TRUE", "50+")</f>
        <v>20-29</v>
      </c>
    </row>
    <row r="629" spans="1:28">
      <c r="A629" t="s">
        <v>1912</v>
      </c>
      <c r="B629" t="s">
        <v>1913</v>
      </c>
      <c r="C629" t="s">
        <v>1914</v>
      </c>
      <c r="D629" t="s">
        <v>38</v>
      </c>
      <c r="E629">
        <v>24</v>
      </c>
      <c r="F629" t="s">
        <v>27</v>
      </c>
      <c r="G629" t="s">
        <v>54</v>
      </c>
      <c r="H629">
        <v>1</v>
      </c>
      <c r="I629" t="s">
        <v>65</v>
      </c>
      <c r="J629" t="s">
        <v>30</v>
      </c>
      <c r="K629">
        <v>4</v>
      </c>
      <c r="L629" t="s">
        <v>55</v>
      </c>
      <c r="M629" t="s">
        <v>105</v>
      </c>
      <c r="N629" t="s">
        <v>49</v>
      </c>
      <c r="O629">
        <v>70849</v>
      </c>
      <c r="P629">
        <v>2</v>
      </c>
      <c r="Q629" t="s">
        <v>34</v>
      </c>
      <c r="R629" s="1">
        <v>42616</v>
      </c>
      <c r="S629" t="s">
        <v>34</v>
      </c>
      <c r="T629">
        <v>6</v>
      </c>
      <c r="U629">
        <v>0</v>
      </c>
      <c r="V629">
        <v>1</v>
      </c>
      <c r="W629">
        <v>6</v>
      </c>
      <c r="X629" t="s">
        <v>11023</v>
      </c>
      <c r="Y629" t="s">
        <v>11023</v>
      </c>
      <c r="Z629" t="str">
        <f>_xlfn.XLOOKUP(Employees[[#This Row],[Education]], EdLevel[EducationLevelID], EdLevel[EducationLevel])</f>
        <v xml:space="preserve">Masters </v>
      </c>
      <c r="AA629">
        <f>IF(Employees[[#This Row],[Attrition]] = "Yes", 1, 0)</f>
        <v>0</v>
      </c>
      <c r="AB629" t="str" cm="1">
        <f t="array" ref="AB629">_xlfn.IFS(Employees[[#This Row],[Age]]&lt;30, "20-29", Employees[[#This Row],[Age]]&lt;40, "30-39", Employees[[#This Row],[Age]]&lt;50, "40-49", "TRUE", "50+")</f>
        <v>20-29</v>
      </c>
    </row>
    <row r="630" spans="1:28">
      <c r="A630" t="s">
        <v>1915</v>
      </c>
      <c r="B630" t="s">
        <v>1916</v>
      </c>
      <c r="C630" t="s">
        <v>1917</v>
      </c>
      <c r="D630" t="s">
        <v>26</v>
      </c>
      <c r="E630">
        <v>25</v>
      </c>
      <c r="F630" t="s">
        <v>84</v>
      </c>
      <c r="G630" t="s">
        <v>54</v>
      </c>
      <c r="H630">
        <v>24</v>
      </c>
      <c r="I630" t="s">
        <v>39</v>
      </c>
      <c r="J630" t="s">
        <v>66</v>
      </c>
      <c r="K630">
        <v>1</v>
      </c>
      <c r="L630" t="s">
        <v>178</v>
      </c>
      <c r="M630" t="s">
        <v>101</v>
      </c>
      <c r="N630" t="s">
        <v>40</v>
      </c>
      <c r="O630">
        <v>40314</v>
      </c>
      <c r="P630">
        <v>0</v>
      </c>
      <c r="Q630" t="s">
        <v>34</v>
      </c>
      <c r="R630" s="1">
        <v>42628</v>
      </c>
      <c r="S630" t="s">
        <v>41</v>
      </c>
      <c r="T630">
        <v>3</v>
      </c>
      <c r="U630">
        <v>1</v>
      </c>
      <c r="V630">
        <v>3</v>
      </c>
      <c r="W630">
        <v>3</v>
      </c>
      <c r="X630" t="s">
        <v>11020</v>
      </c>
      <c r="Y630" t="s">
        <v>11020</v>
      </c>
      <c r="Z630" t="str">
        <f>_xlfn.XLOOKUP(Employees[[#This Row],[Education]], EdLevel[EducationLevelID], EdLevel[EducationLevel])</f>
        <v>No Formal Qualifications</v>
      </c>
      <c r="AA630">
        <f>IF(Employees[[#This Row],[Attrition]] = "Yes", 1, 0)</f>
        <v>1</v>
      </c>
      <c r="AB630" t="str" cm="1">
        <f t="array" ref="AB630">_xlfn.IFS(Employees[[#This Row],[Age]]&lt;30, "20-29", Employees[[#This Row],[Age]]&lt;40, "30-39", Employees[[#This Row],[Age]]&lt;50, "40-49", "TRUE", "50+")</f>
        <v>20-29</v>
      </c>
    </row>
    <row r="631" spans="1:28">
      <c r="A631" t="s">
        <v>1918</v>
      </c>
      <c r="B631" t="s">
        <v>1919</v>
      </c>
      <c r="C631" t="s">
        <v>1920</v>
      </c>
      <c r="D631" t="s">
        <v>26</v>
      </c>
      <c r="E631">
        <v>24</v>
      </c>
      <c r="F631" t="s">
        <v>27</v>
      </c>
      <c r="G631" t="s">
        <v>54</v>
      </c>
      <c r="H631">
        <v>30</v>
      </c>
      <c r="I631" t="s">
        <v>39</v>
      </c>
      <c r="J631" t="s">
        <v>30</v>
      </c>
      <c r="K631">
        <v>3</v>
      </c>
      <c r="L631" t="s">
        <v>55</v>
      </c>
      <c r="M631" t="s">
        <v>93</v>
      </c>
      <c r="N631" t="s">
        <v>33</v>
      </c>
      <c r="O631">
        <v>94318</v>
      </c>
      <c r="P631">
        <v>1</v>
      </c>
      <c r="Q631" t="s">
        <v>41</v>
      </c>
      <c r="R631" s="1">
        <v>42634</v>
      </c>
      <c r="S631" t="s">
        <v>34</v>
      </c>
      <c r="T631">
        <v>6</v>
      </c>
      <c r="U631">
        <v>3</v>
      </c>
      <c r="V631">
        <v>6</v>
      </c>
      <c r="W631">
        <v>5</v>
      </c>
      <c r="X631" t="s">
        <v>11022</v>
      </c>
      <c r="Y631" t="s">
        <v>11022</v>
      </c>
      <c r="Z631" t="str">
        <f>_xlfn.XLOOKUP(Employees[[#This Row],[Education]], EdLevel[EducationLevelID], EdLevel[EducationLevel])</f>
        <v xml:space="preserve">Bachelors </v>
      </c>
      <c r="AA631">
        <f>IF(Employees[[#This Row],[Attrition]] = "Yes", 1, 0)</f>
        <v>0</v>
      </c>
      <c r="AB631" t="str" cm="1">
        <f t="array" ref="AB631">_xlfn.IFS(Employees[[#This Row],[Age]]&lt;30, "20-29", Employees[[#This Row],[Age]]&lt;40, "30-39", Employees[[#This Row],[Age]]&lt;50, "40-49", "TRUE", "50+")</f>
        <v>20-29</v>
      </c>
    </row>
    <row r="632" spans="1:28">
      <c r="A632" t="s">
        <v>1921</v>
      </c>
      <c r="B632" t="s">
        <v>1922</v>
      </c>
      <c r="C632" t="s">
        <v>1923</v>
      </c>
      <c r="D632" t="s">
        <v>38</v>
      </c>
      <c r="E632">
        <v>24</v>
      </c>
      <c r="F632" t="s">
        <v>84</v>
      </c>
      <c r="G632" t="s">
        <v>54</v>
      </c>
      <c r="H632">
        <v>7</v>
      </c>
      <c r="I632" t="s">
        <v>29</v>
      </c>
      <c r="J632" t="s">
        <v>30</v>
      </c>
      <c r="K632">
        <v>3</v>
      </c>
      <c r="L632" t="s">
        <v>72</v>
      </c>
      <c r="M632" t="s">
        <v>85</v>
      </c>
      <c r="N632" t="s">
        <v>33</v>
      </c>
      <c r="O632">
        <v>104649</v>
      </c>
      <c r="P632">
        <v>2</v>
      </c>
      <c r="Q632" t="s">
        <v>34</v>
      </c>
      <c r="R632" s="1">
        <v>42636</v>
      </c>
      <c r="S632" t="s">
        <v>41</v>
      </c>
      <c r="T632">
        <v>4</v>
      </c>
      <c r="U632">
        <v>4</v>
      </c>
      <c r="V632">
        <v>4</v>
      </c>
      <c r="W632">
        <v>3</v>
      </c>
      <c r="X632" t="s">
        <v>11022</v>
      </c>
      <c r="Y632" t="s">
        <v>11022</v>
      </c>
      <c r="Z632" t="str">
        <f>_xlfn.XLOOKUP(Employees[[#This Row],[Education]], EdLevel[EducationLevelID], EdLevel[EducationLevel])</f>
        <v xml:space="preserve">Bachelors </v>
      </c>
      <c r="AA632">
        <f>IF(Employees[[#This Row],[Attrition]] = "Yes", 1, 0)</f>
        <v>1</v>
      </c>
      <c r="AB632" t="str" cm="1">
        <f t="array" ref="AB632">_xlfn.IFS(Employees[[#This Row],[Age]]&lt;30, "20-29", Employees[[#This Row],[Age]]&lt;40, "30-39", Employees[[#This Row],[Age]]&lt;50, "40-49", "TRUE", "50+")</f>
        <v>20-29</v>
      </c>
    </row>
    <row r="633" spans="1:28">
      <c r="A633" t="s">
        <v>1924</v>
      </c>
      <c r="B633" t="s">
        <v>1925</v>
      </c>
      <c r="C633" t="s">
        <v>1926</v>
      </c>
      <c r="D633" t="s">
        <v>38</v>
      </c>
      <c r="E633">
        <v>27</v>
      </c>
      <c r="F633" t="s">
        <v>27</v>
      </c>
      <c r="G633" t="s">
        <v>54</v>
      </c>
      <c r="H633">
        <v>6</v>
      </c>
      <c r="I633" t="s">
        <v>39</v>
      </c>
      <c r="J633" t="s">
        <v>66</v>
      </c>
      <c r="K633">
        <v>3</v>
      </c>
      <c r="L633" t="s">
        <v>72</v>
      </c>
      <c r="M633" t="s">
        <v>56</v>
      </c>
      <c r="N633" t="s">
        <v>49</v>
      </c>
      <c r="O633">
        <v>292500</v>
      </c>
      <c r="P633">
        <v>3</v>
      </c>
      <c r="Q633" t="s">
        <v>34</v>
      </c>
      <c r="R633" s="1">
        <v>42638</v>
      </c>
      <c r="S633" t="s">
        <v>34</v>
      </c>
      <c r="T633">
        <v>6</v>
      </c>
      <c r="U633">
        <v>5</v>
      </c>
      <c r="V633">
        <v>6</v>
      </c>
      <c r="W633">
        <v>2</v>
      </c>
      <c r="X633" t="s">
        <v>11022</v>
      </c>
      <c r="Y633" t="s">
        <v>11022</v>
      </c>
      <c r="Z633" t="str">
        <f>_xlfn.XLOOKUP(Employees[[#This Row],[Education]], EdLevel[EducationLevelID], EdLevel[EducationLevel])</f>
        <v xml:space="preserve">Bachelors </v>
      </c>
      <c r="AA633">
        <f>IF(Employees[[#This Row],[Attrition]] = "Yes", 1, 0)</f>
        <v>0</v>
      </c>
      <c r="AB633" t="str" cm="1">
        <f t="array" ref="AB633">_xlfn.IFS(Employees[[#This Row],[Age]]&lt;30, "20-29", Employees[[#This Row],[Age]]&lt;40, "30-39", Employees[[#This Row],[Age]]&lt;50, "40-49", "TRUE", "50+")</f>
        <v>20-29</v>
      </c>
    </row>
    <row r="634" spans="1:28">
      <c r="A634" t="s">
        <v>1927</v>
      </c>
      <c r="B634" t="s">
        <v>1928</v>
      </c>
      <c r="C634" t="s">
        <v>1929</v>
      </c>
      <c r="D634" t="s">
        <v>38</v>
      </c>
      <c r="E634">
        <v>25</v>
      </c>
      <c r="F634" t="s">
        <v>27</v>
      </c>
      <c r="G634" t="s">
        <v>54</v>
      </c>
      <c r="H634">
        <v>18</v>
      </c>
      <c r="I634" t="s">
        <v>39</v>
      </c>
      <c r="J634" t="s">
        <v>30</v>
      </c>
      <c r="K634">
        <v>4</v>
      </c>
      <c r="L634" t="s">
        <v>72</v>
      </c>
      <c r="M634" t="s">
        <v>93</v>
      </c>
      <c r="N634" t="s">
        <v>49</v>
      </c>
      <c r="O634">
        <v>130434</v>
      </c>
      <c r="P634">
        <v>0</v>
      </c>
      <c r="Q634" t="s">
        <v>41</v>
      </c>
      <c r="R634" s="1">
        <v>42639</v>
      </c>
      <c r="S634" t="s">
        <v>41</v>
      </c>
      <c r="T634">
        <v>0</v>
      </c>
      <c r="U634">
        <v>0</v>
      </c>
      <c r="V634">
        <v>0</v>
      </c>
      <c r="W634">
        <v>0</v>
      </c>
      <c r="X634" t="s">
        <v>11023</v>
      </c>
      <c r="Y634" t="s">
        <v>11023</v>
      </c>
      <c r="Z634" t="str">
        <f>_xlfn.XLOOKUP(Employees[[#This Row],[Education]], EdLevel[EducationLevelID], EdLevel[EducationLevel])</f>
        <v xml:space="preserve">Masters </v>
      </c>
      <c r="AA634">
        <f>IF(Employees[[#This Row],[Attrition]] = "Yes", 1, 0)</f>
        <v>1</v>
      </c>
      <c r="AB634" t="str" cm="1">
        <f t="array" ref="AB634">_xlfn.IFS(Employees[[#This Row],[Age]]&lt;30, "20-29", Employees[[#This Row],[Age]]&lt;40, "30-39", Employees[[#This Row],[Age]]&lt;50, "40-49", "TRUE", "50+")</f>
        <v>20-29</v>
      </c>
    </row>
    <row r="635" spans="1:28">
      <c r="A635" t="s">
        <v>1930</v>
      </c>
      <c r="B635" t="s">
        <v>1931</v>
      </c>
      <c r="C635" t="s">
        <v>1932</v>
      </c>
      <c r="D635" t="s">
        <v>26</v>
      </c>
      <c r="E635">
        <v>27</v>
      </c>
      <c r="F635" t="s">
        <v>27</v>
      </c>
      <c r="G635" t="s">
        <v>54</v>
      </c>
      <c r="H635">
        <v>26</v>
      </c>
      <c r="I635" t="s">
        <v>65</v>
      </c>
      <c r="J635" t="s">
        <v>30</v>
      </c>
      <c r="K635">
        <v>1</v>
      </c>
      <c r="L635" t="s">
        <v>72</v>
      </c>
      <c r="M635" t="s">
        <v>101</v>
      </c>
      <c r="N635" t="s">
        <v>40</v>
      </c>
      <c r="O635">
        <v>37423</v>
      </c>
      <c r="P635">
        <v>0</v>
      </c>
      <c r="Q635" t="s">
        <v>41</v>
      </c>
      <c r="R635" s="1">
        <v>42643</v>
      </c>
      <c r="S635" t="s">
        <v>34</v>
      </c>
      <c r="T635">
        <v>6</v>
      </c>
      <c r="U635">
        <v>4</v>
      </c>
      <c r="V635">
        <v>4</v>
      </c>
      <c r="W635">
        <v>2</v>
      </c>
      <c r="X635" t="s">
        <v>11020</v>
      </c>
      <c r="Y635" t="s">
        <v>11020</v>
      </c>
      <c r="Z635" t="str">
        <f>_xlfn.XLOOKUP(Employees[[#This Row],[Education]], EdLevel[EducationLevelID], EdLevel[EducationLevel])</f>
        <v>No Formal Qualifications</v>
      </c>
      <c r="AA635">
        <f>IF(Employees[[#This Row],[Attrition]] = "Yes", 1, 0)</f>
        <v>0</v>
      </c>
      <c r="AB635" t="str" cm="1">
        <f t="array" ref="AB635">_xlfn.IFS(Employees[[#This Row],[Age]]&lt;30, "20-29", Employees[[#This Row],[Age]]&lt;40, "30-39", Employees[[#This Row],[Age]]&lt;50, "40-49", "TRUE", "50+")</f>
        <v>20-29</v>
      </c>
    </row>
    <row r="636" spans="1:28">
      <c r="A636" t="s">
        <v>1933</v>
      </c>
      <c r="B636" t="s">
        <v>1934</v>
      </c>
      <c r="C636" t="s">
        <v>1935</v>
      </c>
      <c r="D636" t="s">
        <v>26</v>
      </c>
      <c r="E636">
        <v>24</v>
      </c>
      <c r="F636" t="s">
        <v>27</v>
      </c>
      <c r="G636" t="s">
        <v>54</v>
      </c>
      <c r="H636">
        <v>12</v>
      </c>
      <c r="I636" t="s">
        <v>39</v>
      </c>
      <c r="J636" t="s">
        <v>30</v>
      </c>
      <c r="K636">
        <v>3</v>
      </c>
      <c r="L636" t="s">
        <v>72</v>
      </c>
      <c r="M636" t="s">
        <v>85</v>
      </c>
      <c r="N636" t="s">
        <v>49</v>
      </c>
      <c r="O636">
        <v>47183</v>
      </c>
      <c r="P636">
        <v>1</v>
      </c>
      <c r="Q636" t="s">
        <v>34</v>
      </c>
      <c r="R636" s="1">
        <v>42647</v>
      </c>
      <c r="S636" t="s">
        <v>34</v>
      </c>
      <c r="T636">
        <v>6</v>
      </c>
      <c r="U636">
        <v>6</v>
      </c>
      <c r="V636">
        <v>6</v>
      </c>
      <c r="W636">
        <v>6</v>
      </c>
      <c r="X636" t="s">
        <v>11022</v>
      </c>
      <c r="Y636" t="s">
        <v>11022</v>
      </c>
      <c r="Z636" t="str">
        <f>_xlfn.XLOOKUP(Employees[[#This Row],[Education]], EdLevel[EducationLevelID], EdLevel[EducationLevel])</f>
        <v xml:space="preserve">Bachelors </v>
      </c>
      <c r="AA636">
        <f>IF(Employees[[#This Row],[Attrition]] = "Yes", 1, 0)</f>
        <v>0</v>
      </c>
      <c r="AB636" t="str" cm="1">
        <f t="array" ref="AB636">_xlfn.IFS(Employees[[#This Row],[Age]]&lt;30, "20-29", Employees[[#This Row],[Age]]&lt;40, "30-39", Employees[[#This Row],[Age]]&lt;50, "40-49", "TRUE", "50+")</f>
        <v>20-29</v>
      </c>
    </row>
    <row r="637" spans="1:28">
      <c r="A637" t="s">
        <v>1936</v>
      </c>
      <c r="B637" t="s">
        <v>1937</v>
      </c>
      <c r="C637" t="s">
        <v>1938</v>
      </c>
      <c r="D637" t="s">
        <v>26</v>
      </c>
      <c r="E637">
        <v>27</v>
      </c>
      <c r="F637" t="s">
        <v>27</v>
      </c>
      <c r="G637" t="s">
        <v>54</v>
      </c>
      <c r="H637">
        <v>16</v>
      </c>
      <c r="I637" t="s">
        <v>39</v>
      </c>
      <c r="J637" t="s">
        <v>30</v>
      </c>
      <c r="K637">
        <v>1</v>
      </c>
      <c r="L637" t="s">
        <v>72</v>
      </c>
      <c r="M637" t="s">
        <v>101</v>
      </c>
      <c r="N637" t="s">
        <v>40</v>
      </c>
      <c r="O637">
        <v>54379</v>
      </c>
      <c r="P637">
        <v>0</v>
      </c>
      <c r="Q637" t="s">
        <v>34</v>
      </c>
      <c r="R637" s="1">
        <v>42647</v>
      </c>
      <c r="S637" t="s">
        <v>34</v>
      </c>
      <c r="T637">
        <v>6</v>
      </c>
      <c r="U637">
        <v>1</v>
      </c>
      <c r="V637">
        <v>2</v>
      </c>
      <c r="W637">
        <v>2</v>
      </c>
      <c r="X637" t="s">
        <v>11020</v>
      </c>
      <c r="Y637" t="s">
        <v>11020</v>
      </c>
      <c r="Z637" t="str">
        <f>_xlfn.XLOOKUP(Employees[[#This Row],[Education]], EdLevel[EducationLevelID], EdLevel[EducationLevel])</f>
        <v>No Formal Qualifications</v>
      </c>
      <c r="AA637">
        <f>IF(Employees[[#This Row],[Attrition]] = "Yes", 1, 0)</f>
        <v>0</v>
      </c>
      <c r="AB637" t="str" cm="1">
        <f t="array" ref="AB637">_xlfn.IFS(Employees[[#This Row],[Age]]&lt;30, "20-29", Employees[[#This Row],[Age]]&lt;40, "30-39", Employees[[#This Row],[Age]]&lt;50, "40-49", "TRUE", "50+")</f>
        <v>20-29</v>
      </c>
    </row>
    <row r="638" spans="1:28">
      <c r="A638" t="s">
        <v>1939</v>
      </c>
      <c r="B638" t="s">
        <v>1940</v>
      </c>
      <c r="C638" t="s">
        <v>1941</v>
      </c>
      <c r="D638" t="s">
        <v>38</v>
      </c>
      <c r="E638">
        <v>26</v>
      </c>
      <c r="F638" t="s">
        <v>27</v>
      </c>
      <c r="G638" t="s">
        <v>54</v>
      </c>
      <c r="H638">
        <v>6</v>
      </c>
      <c r="I638" t="s">
        <v>39</v>
      </c>
      <c r="J638" t="s">
        <v>71</v>
      </c>
      <c r="K638">
        <v>4</v>
      </c>
      <c r="L638" t="s">
        <v>72</v>
      </c>
      <c r="M638" t="s">
        <v>93</v>
      </c>
      <c r="N638" t="s">
        <v>49</v>
      </c>
      <c r="O638">
        <v>89771</v>
      </c>
      <c r="P638">
        <v>2</v>
      </c>
      <c r="Q638" t="s">
        <v>41</v>
      </c>
      <c r="R638" s="1">
        <v>42647</v>
      </c>
      <c r="S638" t="s">
        <v>41</v>
      </c>
      <c r="T638">
        <v>1</v>
      </c>
      <c r="U638">
        <v>0</v>
      </c>
      <c r="V638">
        <v>0</v>
      </c>
      <c r="W638">
        <v>0</v>
      </c>
      <c r="X638" t="s">
        <v>11023</v>
      </c>
      <c r="Y638" t="s">
        <v>11023</v>
      </c>
      <c r="Z638" t="str">
        <f>_xlfn.XLOOKUP(Employees[[#This Row],[Education]], EdLevel[EducationLevelID], EdLevel[EducationLevel])</f>
        <v xml:space="preserve">Masters </v>
      </c>
      <c r="AA638">
        <f>IF(Employees[[#This Row],[Attrition]] = "Yes", 1, 0)</f>
        <v>1</v>
      </c>
      <c r="AB638" t="str" cm="1">
        <f t="array" ref="AB638">_xlfn.IFS(Employees[[#This Row],[Age]]&lt;30, "20-29", Employees[[#This Row],[Age]]&lt;40, "30-39", Employees[[#This Row],[Age]]&lt;50, "40-49", "TRUE", "50+")</f>
        <v>20-29</v>
      </c>
    </row>
    <row r="639" spans="1:28">
      <c r="A639" t="s">
        <v>1942</v>
      </c>
      <c r="B639" t="s">
        <v>1943</v>
      </c>
      <c r="C639" t="s">
        <v>1944</v>
      </c>
      <c r="D639" t="s">
        <v>38</v>
      </c>
      <c r="E639">
        <v>27</v>
      </c>
      <c r="F639" t="s">
        <v>27</v>
      </c>
      <c r="G639" t="s">
        <v>54</v>
      </c>
      <c r="H639">
        <v>22</v>
      </c>
      <c r="I639" t="s">
        <v>39</v>
      </c>
      <c r="J639" t="s">
        <v>30</v>
      </c>
      <c r="K639">
        <v>2</v>
      </c>
      <c r="L639" t="s">
        <v>55</v>
      </c>
      <c r="M639" t="s">
        <v>85</v>
      </c>
      <c r="N639" t="s">
        <v>40</v>
      </c>
      <c r="O639">
        <v>56449</v>
      </c>
      <c r="P639">
        <v>0</v>
      </c>
      <c r="Q639" t="s">
        <v>41</v>
      </c>
      <c r="R639" s="1">
        <v>42647</v>
      </c>
      <c r="S639" t="s">
        <v>41</v>
      </c>
      <c r="T639">
        <v>3</v>
      </c>
      <c r="U639">
        <v>1</v>
      </c>
      <c r="V639">
        <v>1</v>
      </c>
      <c r="W639">
        <v>2</v>
      </c>
      <c r="X639" t="s">
        <v>11021</v>
      </c>
      <c r="Y639" t="s">
        <v>11021</v>
      </c>
      <c r="Z639" t="str">
        <f>_xlfn.XLOOKUP(Employees[[#This Row],[Education]], EdLevel[EducationLevelID], EdLevel[EducationLevel])</f>
        <v xml:space="preserve">High School </v>
      </c>
      <c r="AA639">
        <f>IF(Employees[[#This Row],[Attrition]] = "Yes", 1, 0)</f>
        <v>1</v>
      </c>
      <c r="AB639" t="str" cm="1">
        <f t="array" ref="AB639">_xlfn.IFS(Employees[[#This Row],[Age]]&lt;30, "20-29", Employees[[#This Row],[Age]]&lt;40, "30-39", Employees[[#This Row],[Age]]&lt;50, "40-49", "TRUE", "50+")</f>
        <v>20-29</v>
      </c>
    </row>
    <row r="640" spans="1:28">
      <c r="A640" t="s">
        <v>1945</v>
      </c>
      <c r="B640" t="s">
        <v>1946</v>
      </c>
      <c r="C640" t="s">
        <v>1947</v>
      </c>
      <c r="D640" t="s">
        <v>53</v>
      </c>
      <c r="E640">
        <v>27</v>
      </c>
      <c r="F640" t="s">
        <v>84</v>
      </c>
      <c r="G640" t="s">
        <v>28</v>
      </c>
      <c r="H640">
        <v>41</v>
      </c>
      <c r="I640" t="s">
        <v>39</v>
      </c>
      <c r="J640" t="s">
        <v>46</v>
      </c>
      <c r="K640">
        <v>3</v>
      </c>
      <c r="L640" t="s">
        <v>31</v>
      </c>
      <c r="M640" t="s">
        <v>150</v>
      </c>
      <c r="N640" t="s">
        <v>40</v>
      </c>
      <c r="O640">
        <v>28984</v>
      </c>
      <c r="P640">
        <v>0</v>
      </c>
      <c r="Q640" t="s">
        <v>41</v>
      </c>
      <c r="R640" s="1">
        <v>42653</v>
      </c>
      <c r="S640" t="s">
        <v>41</v>
      </c>
      <c r="T640">
        <v>3</v>
      </c>
      <c r="U640">
        <v>1</v>
      </c>
      <c r="V640">
        <v>1</v>
      </c>
      <c r="W640">
        <v>0</v>
      </c>
      <c r="X640" t="s">
        <v>11022</v>
      </c>
      <c r="Y640" t="s">
        <v>11022</v>
      </c>
      <c r="Z640" t="str">
        <f>_xlfn.XLOOKUP(Employees[[#This Row],[Education]], EdLevel[EducationLevelID], EdLevel[EducationLevel])</f>
        <v xml:space="preserve">Bachelors </v>
      </c>
      <c r="AA640">
        <f>IF(Employees[[#This Row],[Attrition]] = "Yes", 1, 0)</f>
        <v>1</v>
      </c>
      <c r="AB640" t="str" cm="1">
        <f t="array" ref="AB640">_xlfn.IFS(Employees[[#This Row],[Age]]&lt;30, "20-29", Employees[[#This Row],[Age]]&lt;40, "30-39", Employees[[#This Row],[Age]]&lt;50, "40-49", "TRUE", "50+")</f>
        <v>20-29</v>
      </c>
    </row>
    <row r="641" spans="1:28">
      <c r="A641" t="s">
        <v>1948</v>
      </c>
      <c r="B641" t="s">
        <v>1506</v>
      </c>
      <c r="C641" t="s">
        <v>1949</v>
      </c>
      <c r="D641" t="s">
        <v>38</v>
      </c>
      <c r="E641">
        <v>24</v>
      </c>
      <c r="F641" t="s">
        <v>84</v>
      </c>
      <c r="G641" t="s">
        <v>54</v>
      </c>
      <c r="H641">
        <v>10</v>
      </c>
      <c r="I641" t="s">
        <v>65</v>
      </c>
      <c r="J641" t="s">
        <v>66</v>
      </c>
      <c r="K641">
        <v>4</v>
      </c>
      <c r="L641" t="s">
        <v>55</v>
      </c>
      <c r="M641" t="s">
        <v>85</v>
      </c>
      <c r="N641" t="s">
        <v>49</v>
      </c>
      <c r="O641">
        <v>67447</v>
      </c>
      <c r="P641">
        <v>1</v>
      </c>
      <c r="Q641" t="s">
        <v>41</v>
      </c>
      <c r="R641" s="1">
        <v>42653</v>
      </c>
      <c r="S641" t="s">
        <v>34</v>
      </c>
      <c r="T641">
        <v>6</v>
      </c>
      <c r="U641">
        <v>2</v>
      </c>
      <c r="V641">
        <v>6</v>
      </c>
      <c r="W641">
        <v>6</v>
      </c>
      <c r="X641" t="s">
        <v>11023</v>
      </c>
      <c r="Y641" t="s">
        <v>11023</v>
      </c>
      <c r="Z641" t="str">
        <f>_xlfn.XLOOKUP(Employees[[#This Row],[Education]], EdLevel[EducationLevelID], EdLevel[EducationLevel])</f>
        <v xml:space="preserve">Masters </v>
      </c>
      <c r="AA641">
        <f>IF(Employees[[#This Row],[Attrition]] = "Yes", 1, 0)</f>
        <v>0</v>
      </c>
      <c r="AB641" t="str" cm="1">
        <f t="array" ref="AB641">_xlfn.IFS(Employees[[#This Row],[Age]]&lt;30, "20-29", Employees[[#This Row],[Age]]&lt;40, "30-39", Employees[[#This Row],[Age]]&lt;50, "40-49", "TRUE", "50+")</f>
        <v>20-29</v>
      </c>
    </row>
    <row r="642" spans="1:28">
      <c r="A642" t="s">
        <v>1950</v>
      </c>
      <c r="B642" t="s">
        <v>1951</v>
      </c>
      <c r="C642" t="s">
        <v>1952</v>
      </c>
      <c r="D642" t="s">
        <v>26</v>
      </c>
      <c r="E642">
        <v>26</v>
      </c>
      <c r="F642" t="s">
        <v>27</v>
      </c>
      <c r="G642" t="s">
        <v>54</v>
      </c>
      <c r="H642">
        <v>36</v>
      </c>
      <c r="I642" t="s">
        <v>39</v>
      </c>
      <c r="J642" t="s">
        <v>30</v>
      </c>
      <c r="K642">
        <v>4</v>
      </c>
      <c r="L642" t="s">
        <v>72</v>
      </c>
      <c r="M642" t="s">
        <v>85</v>
      </c>
      <c r="N642" t="s">
        <v>49</v>
      </c>
      <c r="O642">
        <v>22162</v>
      </c>
      <c r="P642">
        <v>1</v>
      </c>
      <c r="Q642" t="s">
        <v>41</v>
      </c>
      <c r="R642" s="1">
        <v>42658</v>
      </c>
      <c r="S642" t="s">
        <v>34</v>
      </c>
      <c r="T642">
        <v>6</v>
      </c>
      <c r="U642">
        <v>4</v>
      </c>
      <c r="V642">
        <v>5</v>
      </c>
      <c r="W642">
        <v>6</v>
      </c>
      <c r="X642" t="s">
        <v>11023</v>
      </c>
      <c r="Y642" t="s">
        <v>11023</v>
      </c>
      <c r="Z642" t="str">
        <f>_xlfn.XLOOKUP(Employees[[#This Row],[Education]], EdLevel[EducationLevelID], EdLevel[EducationLevel])</f>
        <v xml:space="preserve">Masters </v>
      </c>
      <c r="AA642">
        <f>IF(Employees[[#This Row],[Attrition]] = "Yes", 1, 0)</f>
        <v>0</v>
      </c>
      <c r="AB642" t="str" cm="1">
        <f t="array" ref="AB642">_xlfn.IFS(Employees[[#This Row],[Age]]&lt;30, "20-29", Employees[[#This Row],[Age]]&lt;40, "30-39", Employees[[#This Row],[Age]]&lt;50, "40-49", "TRUE", "50+")</f>
        <v>20-29</v>
      </c>
    </row>
    <row r="643" spans="1:28">
      <c r="A643" t="s">
        <v>1953</v>
      </c>
      <c r="B643" t="s">
        <v>1954</v>
      </c>
      <c r="C643" t="s">
        <v>1955</v>
      </c>
      <c r="D643" t="s">
        <v>26</v>
      </c>
      <c r="E643">
        <v>27</v>
      </c>
      <c r="F643" t="s">
        <v>27</v>
      </c>
      <c r="G643" t="s">
        <v>28</v>
      </c>
      <c r="H643">
        <v>4</v>
      </c>
      <c r="I643" t="s">
        <v>39</v>
      </c>
      <c r="J643" t="s">
        <v>46</v>
      </c>
      <c r="K643">
        <v>4</v>
      </c>
      <c r="L643" t="s">
        <v>47</v>
      </c>
      <c r="M643" t="s">
        <v>97</v>
      </c>
      <c r="N643" t="s">
        <v>33</v>
      </c>
      <c r="O643">
        <v>255718</v>
      </c>
      <c r="P643">
        <v>3</v>
      </c>
      <c r="Q643" t="s">
        <v>34</v>
      </c>
      <c r="R643" s="1">
        <v>42658</v>
      </c>
      <c r="S643" t="s">
        <v>34</v>
      </c>
      <c r="T643">
        <v>6</v>
      </c>
      <c r="U643">
        <v>0</v>
      </c>
      <c r="V643">
        <v>5</v>
      </c>
      <c r="W643">
        <v>4</v>
      </c>
      <c r="X643" t="s">
        <v>11023</v>
      </c>
      <c r="Y643" t="s">
        <v>11023</v>
      </c>
      <c r="Z643" t="str">
        <f>_xlfn.XLOOKUP(Employees[[#This Row],[Education]], EdLevel[EducationLevelID], EdLevel[EducationLevel])</f>
        <v xml:space="preserve">Masters </v>
      </c>
      <c r="AA643">
        <f>IF(Employees[[#This Row],[Attrition]] = "Yes", 1, 0)</f>
        <v>0</v>
      </c>
      <c r="AB643" t="str" cm="1">
        <f t="array" ref="AB643">_xlfn.IFS(Employees[[#This Row],[Age]]&lt;30, "20-29", Employees[[#This Row],[Age]]&lt;40, "30-39", Employees[[#This Row],[Age]]&lt;50, "40-49", "TRUE", "50+")</f>
        <v>20-29</v>
      </c>
    </row>
    <row r="644" spans="1:28">
      <c r="A644" t="s">
        <v>1956</v>
      </c>
      <c r="B644" t="s">
        <v>1957</v>
      </c>
      <c r="C644" t="s">
        <v>1958</v>
      </c>
      <c r="D644" t="s">
        <v>26</v>
      </c>
      <c r="E644">
        <v>27</v>
      </c>
      <c r="F644" t="s">
        <v>84</v>
      </c>
      <c r="G644" t="s">
        <v>54</v>
      </c>
      <c r="H644">
        <v>20</v>
      </c>
      <c r="I644" t="s">
        <v>39</v>
      </c>
      <c r="J644" t="s">
        <v>30</v>
      </c>
      <c r="K644">
        <v>3</v>
      </c>
      <c r="L644" t="s">
        <v>72</v>
      </c>
      <c r="M644" t="s">
        <v>105</v>
      </c>
      <c r="N644" t="s">
        <v>49</v>
      </c>
      <c r="O644">
        <v>167879</v>
      </c>
      <c r="P644">
        <v>1</v>
      </c>
      <c r="Q644" t="s">
        <v>41</v>
      </c>
      <c r="R644" s="1">
        <v>42658</v>
      </c>
      <c r="S644" t="s">
        <v>34</v>
      </c>
      <c r="T644">
        <v>6</v>
      </c>
      <c r="U644">
        <v>6</v>
      </c>
      <c r="V644">
        <v>6</v>
      </c>
      <c r="W644">
        <v>3</v>
      </c>
      <c r="X644" t="s">
        <v>11022</v>
      </c>
      <c r="Y644" t="s">
        <v>11022</v>
      </c>
      <c r="Z644" t="str">
        <f>_xlfn.XLOOKUP(Employees[[#This Row],[Education]], EdLevel[EducationLevelID], EdLevel[EducationLevel])</f>
        <v xml:space="preserve">Bachelors </v>
      </c>
      <c r="AA644">
        <f>IF(Employees[[#This Row],[Attrition]] = "Yes", 1, 0)</f>
        <v>0</v>
      </c>
      <c r="AB644" t="str" cm="1">
        <f t="array" ref="AB644">_xlfn.IFS(Employees[[#This Row],[Age]]&lt;30, "20-29", Employees[[#This Row],[Age]]&lt;40, "30-39", Employees[[#This Row],[Age]]&lt;50, "40-49", "TRUE", "50+")</f>
        <v>20-29</v>
      </c>
    </row>
    <row r="645" spans="1:28">
      <c r="A645" t="s">
        <v>1959</v>
      </c>
      <c r="B645" t="s">
        <v>1960</v>
      </c>
      <c r="C645" t="s">
        <v>1961</v>
      </c>
      <c r="D645" t="s">
        <v>53</v>
      </c>
      <c r="E645">
        <v>26</v>
      </c>
      <c r="F645" t="s">
        <v>27</v>
      </c>
      <c r="G645" t="s">
        <v>28</v>
      </c>
      <c r="H645">
        <v>38</v>
      </c>
      <c r="I645" t="s">
        <v>39</v>
      </c>
      <c r="J645" t="s">
        <v>66</v>
      </c>
      <c r="K645">
        <v>3</v>
      </c>
      <c r="L645" t="s">
        <v>60</v>
      </c>
      <c r="M645" t="s">
        <v>32</v>
      </c>
      <c r="N645" t="s">
        <v>33</v>
      </c>
      <c r="O645">
        <v>104898</v>
      </c>
      <c r="P645">
        <v>1</v>
      </c>
      <c r="Q645" t="s">
        <v>34</v>
      </c>
      <c r="R645" s="1">
        <v>42659</v>
      </c>
      <c r="S645" t="s">
        <v>34</v>
      </c>
      <c r="T645">
        <v>6</v>
      </c>
      <c r="U645">
        <v>5</v>
      </c>
      <c r="V645">
        <v>5</v>
      </c>
      <c r="W645">
        <v>1</v>
      </c>
      <c r="X645" t="s">
        <v>11022</v>
      </c>
      <c r="Y645" t="s">
        <v>11022</v>
      </c>
      <c r="Z645" t="str">
        <f>_xlfn.XLOOKUP(Employees[[#This Row],[Education]], EdLevel[EducationLevelID], EdLevel[EducationLevel])</f>
        <v xml:space="preserve">Bachelors </v>
      </c>
      <c r="AA645">
        <f>IF(Employees[[#This Row],[Attrition]] = "Yes", 1, 0)</f>
        <v>0</v>
      </c>
      <c r="AB645" t="str" cm="1">
        <f t="array" ref="AB645">_xlfn.IFS(Employees[[#This Row],[Age]]&lt;30, "20-29", Employees[[#This Row],[Age]]&lt;40, "30-39", Employees[[#This Row],[Age]]&lt;50, "40-49", "TRUE", "50+")</f>
        <v>20-29</v>
      </c>
    </row>
    <row r="646" spans="1:28">
      <c r="A646" t="s">
        <v>1962</v>
      </c>
      <c r="B646" t="s">
        <v>1963</v>
      </c>
      <c r="C646" t="s">
        <v>1964</v>
      </c>
      <c r="D646" t="s">
        <v>38</v>
      </c>
      <c r="E646">
        <v>26</v>
      </c>
      <c r="F646" t="s">
        <v>27</v>
      </c>
      <c r="G646" t="s">
        <v>54</v>
      </c>
      <c r="H646">
        <v>3</v>
      </c>
      <c r="I646" t="s">
        <v>65</v>
      </c>
      <c r="J646" t="s">
        <v>71</v>
      </c>
      <c r="K646">
        <v>4</v>
      </c>
      <c r="L646" t="s">
        <v>72</v>
      </c>
      <c r="M646" t="s">
        <v>85</v>
      </c>
      <c r="N646" t="s">
        <v>33</v>
      </c>
      <c r="O646">
        <v>28952</v>
      </c>
      <c r="P646">
        <v>1</v>
      </c>
      <c r="Q646" t="s">
        <v>41</v>
      </c>
      <c r="R646" s="1">
        <v>42665</v>
      </c>
      <c r="S646" t="s">
        <v>41</v>
      </c>
      <c r="T646">
        <v>0</v>
      </c>
      <c r="U646">
        <v>0</v>
      </c>
      <c r="V646">
        <v>0</v>
      </c>
      <c r="W646">
        <v>0</v>
      </c>
      <c r="X646" t="s">
        <v>11023</v>
      </c>
      <c r="Y646" t="s">
        <v>11023</v>
      </c>
      <c r="Z646" t="str">
        <f>_xlfn.XLOOKUP(Employees[[#This Row],[Education]], EdLevel[EducationLevelID], EdLevel[EducationLevel])</f>
        <v xml:space="preserve">Masters </v>
      </c>
      <c r="AA646">
        <f>IF(Employees[[#This Row],[Attrition]] = "Yes", 1, 0)</f>
        <v>1</v>
      </c>
      <c r="AB646" t="str" cm="1">
        <f t="array" ref="AB646">_xlfn.IFS(Employees[[#This Row],[Age]]&lt;30, "20-29", Employees[[#This Row],[Age]]&lt;40, "30-39", Employees[[#This Row],[Age]]&lt;50, "40-49", "TRUE", "50+")</f>
        <v>20-29</v>
      </c>
    </row>
    <row r="647" spans="1:28">
      <c r="A647" t="s">
        <v>1965</v>
      </c>
      <c r="B647" t="s">
        <v>1966</v>
      </c>
      <c r="C647" t="s">
        <v>1967</v>
      </c>
      <c r="D647" t="s">
        <v>26</v>
      </c>
      <c r="E647">
        <v>24</v>
      </c>
      <c r="F647" t="s">
        <v>84</v>
      </c>
      <c r="G647" t="s">
        <v>54</v>
      </c>
      <c r="H647">
        <v>26</v>
      </c>
      <c r="I647" t="s">
        <v>39</v>
      </c>
      <c r="J647" t="s">
        <v>30</v>
      </c>
      <c r="K647">
        <v>4</v>
      </c>
      <c r="L647" t="s">
        <v>178</v>
      </c>
      <c r="M647" t="s">
        <v>105</v>
      </c>
      <c r="N647" t="s">
        <v>40</v>
      </c>
      <c r="O647">
        <v>133949</v>
      </c>
      <c r="P647">
        <v>0</v>
      </c>
      <c r="Q647" t="s">
        <v>34</v>
      </c>
      <c r="R647" s="1">
        <v>42669</v>
      </c>
      <c r="S647" t="s">
        <v>34</v>
      </c>
      <c r="T647">
        <v>6</v>
      </c>
      <c r="U647">
        <v>4</v>
      </c>
      <c r="V647">
        <v>6</v>
      </c>
      <c r="W647">
        <v>6</v>
      </c>
      <c r="X647" t="s">
        <v>11023</v>
      </c>
      <c r="Y647" t="s">
        <v>11023</v>
      </c>
      <c r="Z647" t="str">
        <f>_xlfn.XLOOKUP(Employees[[#This Row],[Education]], EdLevel[EducationLevelID], EdLevel[EducationLevel])</f>
        <v xml:space="preserve">Masters </v>
      </c>
      <c r="AA647">
        <f>IF(Employees[[#This Row],[Attrition]] = "Yes", 1, 0)</f>
        <v>0</v>
      </c>
      <c r="AB647" t="str" cm="1">
        <f t="array" ref="AB647">_xlfn.IFS(Employees[[#This Row],[Age]]&lt;30, "20-29", Employees[[#This Row],[Age]]&lt;40, "30-39", Employees[[#This Row],[Age]]&lt;50, "40-49", "TRUE", "50+")</f>
        <v>20-29</v>
      </c>
    </row>
    <row r="648" spans="1:28">
      <c r="A648" t="s">
        <v>1968</v>
      </c>
      <c r="B648" t="s">
        <v>830</v>
      </c>
      <c r="C648" t="s">
        <v>1969</v>
      </c>
      <c r="D648" t="s">
        <v>38</v>
      </c>
      <c r="E648">
        <v>25</v>
      </c>
      <c r="F648" t="s">
        <v>27</v>
      </c>
      <c r="G648" t="s">
        <v>54</v>
      </c>
      <c r="H648">
        <v>22</v>
      </c>
      <c r="I648" t="s">
        <v>29</v>
      </c>
      <c r="J648" t="s">
        <v>71</v>
      </c>
      <c r="K648">
        <v>3</v>
      </c>
      <c r="L648" t="s">
        <v>72</v>
      </c>
      <c r="M648" t="s">
        <v>85</v>
      </c>
      <c r="N648" t="s">
        <v>49</v>
      </c>
      <c r="O648">
        <v>21350</v>
      </c>
      <c r="P648">
        <v>0</v>
      </c>
      <c r="Q648" t="s">
        <v>41</v>
      </c>
      <c r="R648" s="1">
        <v>42670</v>
      </c>
      <c r="S648" t="s">
        <v>41</v>
      </c>
      <c r="T648">
        <v>5</v>
      </c>
      <c r="U648">
        <v>3</v>
      </c>
      <c r="V648">
        <v>3</v>
      </c>
      <c r="W648">
        <v>2</v>
      </c>
      <c r="X648" t="s">
        <v>11022</v>
      </c>
      <c r="Y648" t="s">
        <v>11022</v>
      </c>
      <c r="Z648" t="str">
        <f>_xlfn.XLOOKUP(Employees[[#This Row],[Education]], EdLevel[EducationLevelID], EdLevel[EducationLevel])</f>
        <v xml:space="preserve">Bachelors </v>
      </c>
      <c r="AA648">
        <f>IF(Employees[[#This Row],[Attrition]] = "Yes", 1, 0)</f>
        <v>1</v>
      </c>
      <c r="AB648" t="str" cm="1">
        <f t="array" ref="AB648">_xlfn.IFS(Employees[[#This Row],[Age]]&lt;30, "20-29", Employees[[#This Row],[Age]]&lt;40, "30-39", Employees[[#This Row],[Age]]&lt;50, "40-49", "TRUE", "50+")</f>
        <v>20-29</v>
      </c>
    </row>
    <row r="649" spans="1:28">
      <c r="A649" t="s">
        <v>1970</v>
      </c>
      <c r="B649" t="s">
        <v>1971</v>
      </c>
      <c r="C649" t="s">
        <v>1972</v>
      </c>
      <c r="D649" t="s">
        <v>38</v>
      </c>
      <c r="E649">
        <v>25</v>
      </c>
      <c r="F649" t="s">
        <v>27</v>
      </c>
      <c r="G649" t="s">
        <v>54</v>
      </c>
      <c r="H649">
        <v>2</v>
      </c>
      <c r="I649" t="s">
        <v>39</v>
      </c>
      <c r="J649" t="s">
        <v>71</v>
      </c>
      <c r="K649">
        <v>4</v>
      </c>
      <c r="L649" t="s">
        <v>55</v>
      </c>
      <c r="M649" t="s">
        <v>101</v>
      </c>
      <c r="N649" t="s">
        <v>33</v>
      </c>
      <c r="O649">
        <v>73825</v>
      </c>
      <c r="P649">
        <v>1</v>
      </c>
      <c r="Q649" t="s">
        <v>41</v>
      </c>
      <c r="R649" s="1">
        <v>42676</v>
      </c>
      <c r="S649" t="s">
        <v>34</v>
      </c>
      <c r="T649">
        <v>6</v>
      </c>
      <c r="U649">
        <v>1</v>
      </c>
      <c r="V649">
        <v>4</v>
      </c>
      <c r="W649">
        <v>4</v>
      </c>
      <c r="X649" t="s">
        <v>11023</v>
      </c>
      <c r="Y649" t="s">
        <v>11023</v>
      </c>
      <c r="Z649" t="str">
        <f>_xlfn.XLOOKUP(Employees[[#This Row],[Education]], EdLevel[EducationLevelID], EdLevel[EducationLevel])</f>
        <v xml:space="preserve">Masters </v>
      </c>
      <c r="AA649">
        <f>IF(Employees[[#This Row],[Attrition]] = "Yes", 1, 0)</f>
        <v>0</v>
      </c>
      <c r="AB649" t="str" cm="1">
        <f t="array" ref="AB649">_xlfn.IFS(Employees[[#This Row],[Age]]&lt;30, "20-29", Employees[[#This Row],[Age]]&lt;40, "30-39", Employees[[#This Row],[Age]]&lt;50, "40-49", "TRUE", "50+")</f>
        <v>20-29</v>
      </c>
    </row>
    <row r="650" spans="1:28">
      <c r="A650" t="s">
        <v>1973</v>
      </c>
      <c r="B650" t="s">
        <v>1974</v>
      </c>
      <c r="C650" t="s">
        <v>1975</v>
      </c>
      <c r="D650" t="s">
        <v>38</v>
      </c>
      <c r="E650">
        <v>26</v>
      </c>
      <c r="F650" t="s">
        <v>27</v>
      </c>
      <c r="G650" t="s">
        <v>28</v>
      </c>
      <c r="H650">
        <v>17</v>
      </c>
      <c r="I650" t="s">
        <v>29</v>
      </c>
      <c r="J650" t="s">
        <v>71</v>
      </c>
      <c r="K650">
        <v>4</v>
      </c>
      <c r="L650" t="s">
        <v>121</v>
      </c>
      <c r="M650" t="s">
        <v>97</v>
      </c>
      <c r="N650" t="s">
        <v>33</v>
      </c>
      <c r="O650">
        <v>290774</v>
      </c>
      <c r="P650">
        <v>1</v>
      </c>
      <c r="Q650" t="s">
        <v>34</v>
      </c>
      <c r="R650" s="1">
        <v>42679</v>
      </c>
      <c r="S650" t="s">
        <v>34</v>
      </c>
      <c r="T650">
        <v>6</v>
      </c>
      <c r="U650">
        <v>5</v>
      </c>
      <c r="V650">
        <v>5</v>
      </c>
      <c r="W650">
        <v>3</v>
      </c>
      <c r="X650" t="s">
        <v>11023</v>
      </c>
      <c r="Y650" t="s">
        <v>11023</v>
      </c>
      <c r="Z650" t="str">
        <f>_xlfn.XLOOKUP(Employees[[#This Row],[Education]], EdLevel[EducationLevelID], EdLevel[EducationLevel])</f>
        <v xml:space="preserve">Masters </v>
      </c>
      <c r="AA650">
        <f>IF(Employees[[#This Row],[Attrition]] = "Yes", 1, 0)</f>
        <v>0</v>
      </c>
      <c r="AB650" t="str" cm="1">
        <f t="array" ref="AB650">_xlfn.IFS(Employees[[#This Row],[Age]]&lt;30, "20-29", Employees[[#This Row],[Age]]&lt;40, "30-39", Employees[[#This Row],[Age]]&lt;50, "40-49", "TRUE", "50+")</f>
        <v>20-29</v>
      </c>
    </row>
    <row r="651" spans="1:28">
      <c r="A651" t="s">
        <v>1976</v>
      </c>
      <c r="B651" t="s">
        <v>1977</v>
      </c>
      <c r="C651" t="s">
        <v>1978</v>
      </c>
      <c r="D651" t="s">
        <v>38</v>
      </c>
      <c r="E651">
        <v>26</v>
      </c>
      <c r="F651" t="s">
        <v>84</v>
      </c>
      <c r="G651" t="s">
        <v>54</v>
      </c>
      <c r="H651">
        <v>22</v>
      </c>
      <c r="I651" t="s">
        <v>39</v>
      </c>
      <c r="J651" t="s">
        <v>46</v>
      </c>
      <c r="K651">
        <v>3</v>
      </c>
      <c r="L651" t="s">
        <v>55</v>
      </c>
      <c r="M651" t="s">
        <v>101</v>
      </c>
      <c r="N651" t="s">
        <v>33</v>
      </c>
      <c r="O651">
        <v>81726</v>
      </c>
      <c r="P651">
        <v>2</v>
      </c>
      <c r="Q651" t="s">
        <v>41</v>
      </c>
      <c r="R651" s="1">
        <v>42680</v>
      </c>
      <c r="S651" t="s">
        <v>34</v>
      </c>
      <c r="T651">
        <v>6</v>
      </c>
      <c r="U651">
        <v>0</v>
      </c>
      <c r="V651">
        <v>6</v>
      </c>
      <c r="W651">
        <v>1</v>
      </c>
      <c r="X651" t="s">
        <v>11022</v>
      </c>
      <c r="Y651" t="s">
        <v>11022</v>
      </c>
      <c r="Z651" t="str">
        <f>_xlfn.XLOOKUP(Employees[[#This Row],[Education]], EdLevel[EducationLevelID], EdLevel[EducationLevel])</f>
        <v xml:space="preserve">Bachelors </v>
      </c>
      <c r="AA651">
        <f>IF(Employees[[#This Row],[Attrition]] = "Yes", 1, 0)</f>
        <v>0</v>
      </c>
      <c r="AB651" t="str" cm="1">
        <f t="array" ref="AB651">_xlfn.IFS(Employees[[#This Row],[Age]]&lt;30, "20-29", Employees[[#This Row],[Age]]&lt;40, "30-39", Employees[[#This Row],[Age]]&lt;50, "40-49", "TRUE", "50+")</f>
        <v>20-29</v>
      </c>
    </row>
    <row r="652" spans="1:28">
      <c r="A652" t="s">
        <v>1979</v>
      </c>
      <c r="B652" t="s">
        <v>1980</v>
      </c>
      <c r="C652" t="s">
        <v>1361</v>
      </c>
      <c r="D652" t="s">
        <v>38</v>
      </c>
      <c r="E652">
        <v>25</v>
      </c>
      <c r="F652" t="s">
        <v>27</v>
      </c>
      <c r="G652" t="s">
        <v>28</v>
      </c>
      <c r="H652">
        <v>2</v>
      </c>
      <c r="I652" t="s">
        <v>39</v>
      </c>
      <c r="J652" t="s">
        <v>71</v>
      </c>
      <c r="K652">
        <v>4</v>
      </c>
      <c r="L652" t="s">
        <v>121</v>
      </c>
      <c r="M652" t="s">
        <v>32</v>
      </c>
      <c r="N652" t="s">
        <v>49</v>
      </c>
      <c r="O652">
        <v>75555</v>
      </c>
      <c r="P652">
        <v>1</v>
      </c>
      <c r="Q652" t="s">
        <v>34</v>
      </c>
      <c r="R652" s="1">
        <v>42682</v>
      </c>
      <c r="S652" t="s">
        <v>34</v>
      </c>
      <c r="T652">
        <v>6</v>
      </c>
      <c r="U652">
        <v>5</v>
      </c>
      <c r="V652">
        <v>6</v>
      </c>
      <c r="W652">
        <v>4</v>
      </c>
      <c r="X652" t="s">
        <v>11023</v>
      </c>
      <c r="Y652" t="s">
        <v>11023</v>
      </c>
      <c r="Z652" t="str">
        <f>_xlfn.XLOOKUP(Employees[[#This Row],[Education]], EdLevel[EducationLevelID], EdLevel[EducationLevel])</f>
        <v xml:space="preserve">Masters </v>
      </c>
      <c r="AA652">
        <f>IF(Employees[[#This Row],[Attrition]] = "Yes", 1, 0)</f>
        <v>0</v>
      </c>
      <c r="AB652" t="str" cm="1">
        <f t="array" ref="AB652">_xlfn.IFS(Employees[[#This Row],[Age]]&lt;30, "20-29", Employees[[#This Row],[Age]]&lt;40, "30-39", Employees[[#This Row],[Age]]&lt;50, "40-49", "TRUE", "50+")</f>
        <v>20-29</v>
      </c>
    </row>
    <row r="653" spans="1:28">
      <c r="A653" t="s">
        <v>1981</v>
      </c>
      <c r="B653" t="s">
        <v>1982</v>
      </c>
      <c r="C653" t="s">
        <v>1983</v>
      </c>
      <c r="D653" t="s">
        <v>38</v>
      </c>
      <c r="E653">
        <v>26</v>
      </c>
      <c r="F653" t="s">
        <v>27</v>
      </c>
      <c r="G653" t="s">
        <v>28</v>
      </c>
      <c r="H653">
        <v>2</v>
      </c>
      <c r="I653" t="s">
        <v>39</v>
      </c>
      <c r="J653" t="s">
        <v>46</v>
      </c>
      <c r="K653">
        <v>4</v>
      </c>
      <c r="L653" t="s">
        <v>121</v>
      </c>
      <c r="M653" t="s">
        <v>32</v>
      </c>
      <c r="N653" t="s">
        <v>40</v>
      </c>
      <c r="O653">
        <v>60087</v>
      </c>
      <c r="P653">
        <v>0</v>
      </c>
      <c r="Q653" t="s">
        <v>41</v>
      </c>
      <c r="R653" s="1">
        <v>42682</v>
      </c>
      <c r="S653" t="s">
        <v>41</v>
      </c>
      <c r="T653">
        <v>4</v>
      </c>
      <c r="U653">
        <v>0</v>
      </c>
      <c r="V653">
        <v>0</v>
      </c>
      <c r="W653">
        <v>3</v>
      </c>
      <c r="X653" t="s">
        <v>11023</v>
      </c>
      <c r="Y653" t="s">
        <v>11023</v>
      </c>
      <c r="Z653" t="str">
        <f>_xlfn.XLOOKUP(Employees[[#This Row],[Education]], EdLevel[EducationLevelID], EdLevel[EducationLevel])</f>
        <v xml:space="preserve">Masters </v>
      </c>
      <c r="AA653">
        <f>IF(Employees[[#This Row],[Attrition]] = "Yes", 1, 0)</f>
        <v>1</v>
      </c>
      <c r="AB653" t="str" cm="1">
        <f t="array" ref="AB653">_xlfn.IFS(Employees[[#This Row],[Age]]&lt;30, "20-29", Employees[[#This Row],[Age]]&lt;40, "30-39", Employees[[#This Row],[Age]]&lt;50, "40-49", "TRUE", "50+")</f>
        <v>20-29</v>
      </c>
    </row>
    <row r="654" spans="1:28">
      <c r="A654" t="s">
        <v>1984</v>
      </c>
      <c r="B654" t="s">
        <v>1985</v>
      </c>
      <c r="C654" t="s">
        <v>1986</v>
      </c>
      <c r="D654" t="s">
        <v>26</v>
      </c>
      <c r="E654">
        <v>26</v>
      </c>
      <c r="F654" t="s">
        <v>84</v>
      </c>
      <c r="G654" t="s">
        <v>54</v>
      </c>
      <c r="H654">
        <v>14</v>
      </c>
      <c r="I654" t="s">
        <v>65</v>
      </c>
      <c r="J654" t="s">
        <v>66</v>
      </c>
      <c r="K654">
        <v>3</v>
      </c>
      <c r="L654" t="s">
        <v>55</v>
      </c>
      <c r="M654" t="s">
        <v>93</v>
      </c>
      <c r="N654" t="s">
        <v>33</v>
      </c>
      <c r="O654">
        <v>92778</v>
      </c>
      <c r="P654">
        <v>1</v>
      </c>
      <c r="Q654" t="s">
        <v>34</v>
      </c>
      <c r="R654" s="1">
        <v>42683</v>
      </c>
      <c r="S654" t="s">
        <v>34</v>
      </c>
      <c r="T654">
        <v>6</v>
      </c>
      <c r="U654">
        <v>6</v>
      </c>
      <c r="V654">
        <v>6</v>
      </c>
      <c r="W654">
        <v>1</v>
      </c>
      <c r="X654" t="s">
        <v>11022</v>
      </c>
      <c r="Y654" t="s">
        <v>11022</v>
      </c>
      <c r="Z654" t="str">
        <f>_xlfn.XLOOKUP(Employees[[#This Row],[Education]], EdLevel[EducationLevelID], EdLevel[EducationLevel])</f>
        <v xml:space="preserve">Bachelors </v>
      </c>
      <c r="AA654">
        <f>IF(Employees[[#This Row],[Attrition]] = "Yes", 1, 0)</f>
        <v>0</v>
      </c>
      <c r="AB654" t="str" cm="1">
        <f t="array" ref="AB654">_xlfn.IFS(Employees[[#This Row],[Age]]&lt;30, "20-29", Employees[[#This Row],[Age]]&lt;40, "30-39", Employees[[#This Row],[Age]]&lt;50, "40-49", "TRUE", "50+")</f>
        <v>20-29</v>
      </c>
    </row>
    <row r="655" spans="1:28">
      <c r="A655" t="s">
        <v>1987</v>
      </c>
      <c r="B655" t="s">
        <v>1988</v>
      </c>
      <c r="C655" t="s">
        <v>1989</v>
      </c>
      <c r="D655" t="s">
        <v>26</v>
      </c>
      <c r="E655">
        <v>24</v>
      </c>
      <c r="F655" t="s">
        <v>27</v>
      </c>
      <c r="G655" t="s">
        <v>54</v>
      </c>
      <c r="H655">
        <v>5</v>
      </c>
      <c r="I655" t="s">
        <v>65</v>
      </c>
      <c r="J655" t="s">
        <v>46</v>
      </c>
      <c r="K655">
        <v>2</v>
      </c>
      <c r="L655" t="s">
        <v>72</v>
      </c>
      <c r="M655" t="s">
        <v>85</v>
      </c>
      <c r="N655" t="s">
        <v>33</v>
      </c>
      <c r="O655">
        <v>46151</v>
      </c>
      <c r="P655">
        <v>1</v>
      </c>
      <c r="Q655" t="s">
        <v>34</v>
      </c>
      <c r="R655" s="1">
        <v>42686</v>
      </c>
      <c r="S655" t="s">
        <v>34</v>
      </c>
      <c r="T655">
        <v>6</v>
      </c>
      <c r="U655">
        <v>4</v>
      </c>
      <c r="V655">
        <v>6</v>
      </c>
      <c r="W655">
        <v>2</v>
      </c>
      <c r="X655" t="s">
        <v>11021</v>
      </c>
      <c r="Y655" t="s">
        <v>11021</v>
      </c>
      <c r="Z655" t="str">
        <f>_xlfn.XLOOKUP(Employees[[#This Row],[Education]], EdLevel[EducationLevelID], EdLevel[EducationLevel])</f>
        <v xml:space="preserve">High School </v>
      </c>
      <c r="AA655">
        <f>IF(Employees[[#This Row],[Attrition]] = "Yes", 1, 0)</f>
        <v>0</v>
      </c>
      <c r="AB655" t="str" cm="1">
        <f t="array" ref="AB655">_xlfn.IFS(Employees[[#This Row],[Age]]&lt;30, "20-29", Employees[[#This Row],[Age]]&lt;40, "30-39", Employees[[#This Row],[Age]]&lt;50, "40-49", "TRUE", "50+")</f>
        <v>20-29</v>
      </c>
    </row>
    <row r="656" spans="1:28">
      <c r="A656" t="s">
        <v>1990</v>
      </c>
      <c r="B656" t="s">
        <v>1734</v>
      </c>
      <c r="C656" t="s">
        <v>1991</v>
      </c>
      <c r="D656" t="s">
        <v>26</v>
      </c>
      <c r="E656">
        <v>25</v>
      </c>
      <c r="F656" t="s">
        <v>27</v>
      </c>
      <c r="G656" t="s">
        <v>54</v>
      </c>
      <c r="H656">
        <v>16</v>
      </c>
      <c r="I656" t="s">
        <v>39</v>
      </c>
      <c r="J656" t="s">
        <v>71</v>
      </c>
      <c r="K656">
        <v>2</v>
      </c>
      <c r="L656" t="s">
        <v>55</v>
      </c>
      <c r="M656" t="s">
        <v>56</v>
      </c>
      <c r="N656" t="s">
        <v>49</v>
      </c>
      <c r="O656">
        <v>184441</v>
      </c>
      <c r="P656">
        <v>1</v>
      </c>
      <c r="Q656" t="s">
        <v>34</v>
      </c>
      <c r="R656" s="1">
        <v>42687</v>
      </c>
      <c r="S656" t="s">
        <v>34</v>
      </c>
      <c r="T656">
        <v>6</v>
      </c>
      <c r="U656">
        <v>6</v>
      </c>
      <c r="V656">
        <v>6</v>
      </c>
      <c r="W656">
        <v>3</v>
      </c>
      <c r="X656" t="s">
        <v>11021</v>
      </c>
      <c r="Y656" t="s">
        <v>11021</v>
      </c>
      <c r="Z656" t="str">
        <f>_xlfn.XLOOKUP(Employees[[#This Row],[Education]], EdLevel[EducationLevelID], EdLevel[EducationLevel])</f>
        <v xml:space="preserve">High School </v>
      </c>
      <c r="AA656">
        <f>IF(Employees[[#This Row],[Attrition]] = "Yes", 1, 0)</f>
        <v>0</v>
      </c>
      <c r="AB656" t="str" cm="1">
        <f t="array" ref="AB656">_xlfn.IFS(Employees[[#This Row],[Age]]&lt;30, "20-29", Employees[[#This Row],[Age]]&lt;40, "30-39", Employees[[#This Row],[Age]]&lt;50, "40-49", "TRUE", "50+")</f>
        <v>20-29</v>
      </c>
    </row>
    <row r="657" spans="1:28">
      <c r="A657" t="s">
        <v>1992</v>
      </c>
      <c r="B657" t="s">
        <v>1993</v>
      </c>
      <c r="C657" t="s">
        <v>1994</v>
      </c>
      <c r="D657" t="s">
        <v>38</v>
      </c>
      <c r="E657">
        <v>25</v>
      </c>
      <c r="F657" t="s">
        <v>84</v>
      </c>
      <c r="G657" t="s">
        <v>54</v>
      </c>
      <c r="H657">
        <v>21</v>
      </c>
      <c r="I657" t="s">
        <v>39</v>
      </c>
      <c r="J657" t="s">
        <v>30</v>
      </c>
      <c r="K657">
        <v>4</v>
      </c>
      <c r="L657" t="s">
        <v>72</v>
      </c>
      <c r="M657" t="s">
        <v>56</v>
      </c>
      <c r="N657" t="s">
        <v>40</v>
      </c>
      <c r="O657">
        <v>182961</v>
      </c>
      <c r="P657">
        <v>0</v>
      </c>
      <c r="Q657" t="s">
        <v>34</v>
      </c>
      <c r="R657" s="1">
        <v>42689</v>
      </c>
      <c r="S657" t="s">
        <v>34</v>
      </c>
      <c r="T657">
        <v>6</v>
      </c>
      <c r="U657">
        <v>3</v>
      </c>
      <c r="V657">
        <v>5</v>
      </c>
      <c r="W657">
        <v>1</v>
      </c>
      <c r="X657" t="s">
        <v>11023</v>
      </c>
      <c r="Y657" t="s">
        <v>11023</v>
      </c>
      <c r="Z657" t="str">
        <f>_xlfn.XLOOKUP(Employees[[#This Row],[Education]], EdLevel[EducationLevelID], EdLevel[EducationLevel])</f>
        <v xml:space="preserve">Masters </v>
      </c>
      <c r="AA657">
        <f>IF(Employees[[#This Row],[Attrition]] = "Yes", 1, 0)</f>
        <v>0</v>
      </c>
      <c r="AB657" t="str" cm="1">
        <f t="array" ref="AB657">_xlfn.IFS(Employees[[#This Row],[Age]]&lt;30, "20-29", Employees[[#This Row],[Age]]&lt;40, "30-39", Employees[[#This Row],[Age]]&lt;50, "40-49", "TRUE", "50+")</f>
        <v>20-29</v>
      </c>
    </row>
    <row r="658" spans="1:28">
      <c r="A658" t="s">
        <v>1995</v>
      </c>
      <c r="B658" t="s">
        <v>1128</v>
      </c>
      <c r="C658" t="s">
        <v>1996</v>
      </c>
      <c r="D658" t="s">
        <v>26</v>
      </c>
      <c r="E658">
        <v>27</v>
      </c>
      <c r="F658" t="s">
        <v>27</v>
      </c>
      <c r="G658" t="s">
        <v>28</v>
      </c>
      <c r="H658">
        <v>34</v>
      </c>
      <c r="I658" t="s">
        <v>39</v>
      </c>
      <c r="J658" t="s">
        <v>30</v>
      </c>
      <c r="K658">
        <v>2</v>
      </c>
      <c r="L658" t="s">
        <v>47</v>
      </c>
      <c r="M658" t="s">
        <v>32</v>
      </c>
      <c r="N658" t="s">
        <v>49</v>
      </c>
      <c r="O658">
        <v>129366</v>
      </c>
      <c r="P658">
        <v>1</v>
      </c>
      <c r="Q658" t="s">
        <v>34</v>
      </c>
      <c r="R658" s="1">
        <v>42691</v>
      </c>
      <c r="S658" t="s">
        <v>34</v>
      </c>
      <c r="T658">
        <v>6</v>
      </c>
      <c r="U658">
        <v>0</v>
      </c>
      <c r="V658">
        <v>5</v>
      </c>
      <c r="W658">
        <v>0</v>
      </c>
      <c r="X658" t="s">
        <v>11021</v>
      </c>
      <c r="Y658" t="s">
        <v>11021</v>
      </c>
      <c r="Z658" t="str">
        <f>_xlfn.XLOOKUP(Employees[[#This Row],[Education]], EdLevel[EducationLevelID], EdLevel[EducationLevel])</f>
        <v xml:space="preserve">High School </v>
      </c>
      <c r="AA658">
        <f>IF(Employees[[#This Row],[Attrition]] = "Yes", 1, 0)</f>
        <v>0</v>
      </c>
      <c r="AB658" t="str" cm="1">
        <f t="array" ref="AB658">_xlfn.IFS(Employees[[#This Row],[Age]]&lt;30, "20-29", Employees[[#This Row],[Age]]&lt;40, "30-39", Employees[[#This Row],[Age]]&lt;50, "40-49", "TRUE", "50+")</f>
        <v>20-29</v>
      </c>
    </row>
    <row r="659" spans="1:28">
      <c r="A659" t="s">
        <v>1997</v>
      </c>
      <c r="B659" t="s">
        <v>1236</v>
      </c>
      <c r="C659" t="s">
        <v>1998</v>
      </c>
      <c r="D659" t="s">
        <v>38</v>
      </c>
      <c r="E659">
        <v>24</v>
      </c>
      <c r="F659" t="s">
        <v>27</v>
      </c>
      <c r="G659" t="s">
        <v>54</v>
      </c>
      <c r="H659">
        <v>24</v>
      </c>
      <c r="I659" t="s">
        <v>65</v>
      </c>
      <c r="J659" t="s">
        <v>30</v>
      </c>
      <c r="K659">
        <v>3</v>
      </c>
      <c r="L659" t="s">
        <v>55</v>
      </c>
      <c r="M659" t="s">
        <v>101</v>
      </c>
      <c r="N659" t="s">
        <v>40</v>
      </c>
      <c r="O659">
        <v>28156</v>
      </c>
      <c r="P659">
        <v>0</v>
      </c>
      <c r="Q659" t="s">
        <v>41</v>
      </c>
      <c r="R659" s="1">
        <v>42692</v>
      </c>
      <c r="S659" t="s">
        <v>34</v>
      </c>
      <c r="T659">
        <v>6</v>
      </c>
      <c r="U659">
        <v>6</v>
      </c>
      <c r="V659">
        <v>6</v>
      </c>
      <c r="W659">
        <v>5</v>
      </c>
      <c r="X659" t="s">
        <v>11022</v>
      </c>
      <c r="Y659" t="s">
        <v>11022</v>
      </c>
      <c r="Z659" t="str">
        <f>_xlfn.XLOOKUP(Employees[[#This Row],[Education]], EdLevel[EducationLevelID], EdLevel[EducationLevel])</f>
        <v xml:space="preserve">Bachelors </v>
      </c>
      <c r="AA659">
        <f>IF(Employees[[#This Row],[Attrition]] = "Yes", 1, 0)</f>
        <v>0</v>
      </c>
      <c r="AB659" t="str" cm="1">
        <f t="array" ref="AB659">_xlfn.IFS(Employees[[#This Row],[Age]]&lt;30, "20-29", Employees[[#This Row],[Age]]&lt;40, "30-39", Employees[[#This Row],[Age]]&lt;50, "40-49", "TRUE", "50+")</f>
        <v>20-29</v>
      </c>
    </row>
    <row r="660" spans="1:28">
      <c r="A660" t="s">
        <v>1999</v>
      </c>
      <c r="B660" t="s">
        <v>2000</v>
      </c>
      <c r="C660" t="s">
        <v>2001</v>
      </c>
      <c r="D660" t="s">
        <v>26</v>
      </c>
      <c r="E660">
        <v>24</v>
      </c>
      <c r="F660" t="s">
        <v>27</v>
      </c>
      <c r="G660" t="s">
        <v>54</v>
      </c>
      <c r="H660">
        <v>26</v>
      </c>
      <c r="I660" t="s">
        <v>29</v>
      </c>
      <c r="J660" t="s">
        <v>30</v>
      </c>
      <c r="K660">
        <v>2</v>
      </c>
      <c r="L660" t="s">
        <v>72</v>
      </c>
      <c r="M660" t="s">
        <v>93</v>
      </c>
      <c r="N660" t="s">
        <v>49</v>
      </c>
      <c r="O660">
        <v>93490</v>
      </c>
      <c r="P660">
        <v>1</v>
      </c>
      <c r="Q660" t="s">
        <v>41</v>
      </c>
      <c r="R660" s="1">
        <v>42698</v>
      </c>
      <c r="S660" t="s">
        <v>34</v>
      </c>
      <c r="T660">
        <v>6</v>
      </c>
      <c r="U660">
        <v>4</v>
      </c>
      <c r="V660">
        <v>5</v>
      </c>
      <c r="W660">
        <v>6</v>
      </c>
      <c r="X660" t="s">
        <v>11021</v>
      </c>
      <c r="Y660" t="s">
        <v>11021</v>
      </c>
      <c r="Z660" t="str">
        <f>_xlfn.XLOOKUP(Employees[[#This Row],[Education]], EdLevel[EducationLevelID], EdLevel[EducationLevel])</f>
        <v xml:space="preserve">High School </v>
      </c>
      <c r="AA660">
        <f>IF(Employees[[#This Row],[Attrition]] = "Yes", 1, 0)</f>
        <v>0</v>
      </c>
      <c r="AB660" t="str" cm="1">
        <f t="array" ref="AB660">_xlfn.IFS(Employees[[#This Row],[Age]]&lt;30, "20-29", Employees[[#This Row],[Age]]&lt;40, "30-39", Employees[[#This Row],[Age]]&lt;50, "40-49", "TRUE", "50+")</f>
        <v>20-29</v>
      </c>
    </row>
    <row r="661" spans="1:28">
      <c r="A661" t="s">
        <v>2002</v>
      </c>
      <c r="B661" t="s">
        <v>2003</v>
      </c>
      <c r="C661" t="s">
        <v>2004</v>
      </c>
      <c r="D661" t="s">
        <v>26</v>
      </c>
      <c r="E661">
        <v>27</v>
      </c>
      <c r="F661" t="s">
        <v>70</v>
      </c>
      <c r="G661" t="s">
        <v>54</v>
      </c>
      <c r="H661">
        <v>25</v>
      </c>
      <c r="I661" t="s">
        <v>39</v>
      </c>
      <c r="J661" t="s">
        <v>30</v>
      </c>
      <c r="K661">
        <v>3</v>
      </c>
      <c r="L661" t="s">
        <v>55</v>
      </c>
      <c r="M661" t="s">
        <v>101</v>
      </c>
      <c r="N661" t="s">
        <v>40</v>
      </c>
      <c r="O661">
        <v>27369</v>
      </c>
      <c r="P661">
        <v>0</v>
      </c>
      <c r="Q661" t="s">
        <v>34</v>
      </c>
      <c r="R661" s="1">
        <v>42703</v>
      </c>
      <c r="S661" t="s">
        <v>34</v>
      </c>
      <c r="T661">
        <v>6</v>
      </c>
      <c r="U661">
        <v>4</v>
      </c>
      <c r="V661">
        <v>6</v>
      </c>
      <c r="W661">
        <v>3</v>
      </c>
      <c r="X661" t="s">
        <v>11022</v>
      </c>
      <c r="Y661" t="s">
        <v>11022</v>
      </c>
      <c r="Z661" t="str">
        <f>_xlfn.XLOOKUP(Employees[[#This Row],[Education]], EdLevel[EducationLevelID], EdLevel[EducationLevel])</f>
        <v xml:space="preserve">Bachelors </v>
      </c>
      <c r="AA661">
        <f>IF(Employees[[#This Row],[Attrition]] = "Yes", 1, 0)</f>
        <v>0</v>
      </c>
      <c r="AB661" t="str" cm="1">
        <f t="array" ref="AB661">_xlfn.IFS(Employees[[#This Row],[Age]]&lt;30, "20-29", Employees[[#This Row],[Age]]&lt;40, "30-39", Employees[[#This Row],[Age]]&lt;50, "40-49", "TRUE", "50+")</f>
        <v>20-29</v>
      </c>
    </row>
    <row r="662" spans="1:28">
      <c r="A662" t="s">
        <v>2005</v>
      </c>
      <c r="B662" t="s">
        <v>2006</v>
      </c>
      <c r="C662" t="s">
        <v>2007</v>
      </c>
      <c r="D662" t="s">
        <v>26</v>
      </c>
      <c r="E662">
        <v>26</v>
      </c>
      <c r="F662" t="s">
        <v>27</v>
      </c>
      <c r="G662" t="s">
        <v>28</v>
      </c>
      <c r="H662">
        <v>4</v>
      </c>
      <c r="I662" t="s">
        <v>65</v>
      </c>
      <c r="J662" t="s">
        <v>71</v>
      </c>
      <c r="K662">
        <v>2</v>
      </c>
      <c r="L662" t="s">
        <v>121</v>
      </c>
      <c r="M662" t="s">
        <v>32</v>
      </c>
      <c r="N662" t="s">
        <v>49</v>
      </c>
      <c r="O662">
        <v>82147</v>
      </c>
      <c r="P662">
        <v>2</v>
      </c>
      <c r="Q662" t="s">
        <v>34</v>
      </c>
      <c r="R662" s="1">
        <v>42709</v>
      </c>
      <c r="S662" t="s">
        <v>34</v>
      </c>
      <c r="T662">
        <v>6</v>
      </c>
      <c r="U662">
        <v>2</v>
      </c>
      <c r="V662">
        <v>4</v>
      </c>
      <c r="W662">
        <v>3</v>
      </c>
      <c r="X662" t="s">
        <v>11021</v>
      </c>
      <c r="Y662" t="s">
        <v>11021</v>
      </c>
      <c r="Z662" t="str">
        <f>_xlfn.XLOOKUP(Employees[[#This Row],[Education]], EdLevel[EducationLevelID], EdLevel[EducationLevel])</f>
        <v xml:space="preserve">High School </v>
      </c>
      <c r="AA662">
        <f>IF(Employees[[#This Row],[Attrition]] = "Yes", 1, 0)</f>
        <v>0</v>
      </c>
      <c r="AB662" t="str" cm="1">
        <f t="array" ref="AB662">_xlfn.IFS(Employees[[#This Row],[Age]]&lt;30, "20-29", Employees[[#This Row],[Age]]&lt;40, "30-39", Employees[[#This Row],[Age]]&lt;50, "40-49", "TRUE", "50+")</f>
        <v>20-29</v>
      </c>
    </row>
    <row r="663" spans="1:28">
      <c r="A663" t="s">
        <v>2008</v>
      </c>
      <c r="B663" t="s">
        <v>2009</v>
      </c>
      <c r="C663" t="s">
        <v>2010</v>
      </c>
      <c r="D663" t="s">
        <v>38</v>
      </c>
      <c r="E663">
        <v>27</v>
      </c>
      <c r="F663" t="s">
        <v>27</v>
      </c>
      <c r="G663" t="s">
        <v>54</v>
      </c>
      <c r="H663">
        <v>14</v>
      </c>
      <c r="I663" t="s">
        <v>29</v>
      </c>
      <c r="J663" t="s">
        <v>30</v>
      </c>
      <c r="K663">
        <v>4</v>
      </c>
      <c r="L663" t="s">
        <v>55</v>
      </c>
      <c r="M663" t="s">
        <v>85</v>
      </c>
      <c r="N663" t="s">
        <v>40</v>
      </c>
      <c r="O663">
        <v>37545</v>
      </c>
      <c r="P663">
        <v>0</v>
      </c>
      <c r="Q663" t="s">
        <v>34</v>
      </c>
      <c r="R663" s="1">
        <v>42710</v>
      </c>
      <c r="S663" t="s">
        <v>41</v>
      </c>
      <c r="T663">
        <v>2</v>
      </c>
      <c r="U663">
        <v>1</v>
      </c>
      <c r="V663">
        <v>1</v>
      </c>
      <c r="W663">
        <v>1</v>
      </c>
      <c r="X663" t="s">
        <v>11023</v>
      </c>
      <c r="Y663" t="s">
        <v>11023</v>
      </c>
      <c r="Z663" t="str">
        <f>_xlfn.XLOOKUP(Employees[[#This Row],[Education]], EdLevel[EducationLevelID], EdLevel[EducationLevel])</f>
        <v xml:space="preserve">Masters </v>
      </c>
      <c r="AA663">
        <f>IF(Employees[[#This Row],[Attrition]] = "Yes", 1, 0)</f>
        <v>1</v>
      </c>
      <c r="AB663" t="str" cm="1">
        <f t="array" ref="AB663">_xlfn.IFS(Employees[[#This Row],[Age]]&lt;30, "20-29", Employees[[#This Row],[Age]]&lt;40, "30-39", Employees[[#This Row],[Age]]&lt;50, "40-49", "TRUE", "50+")</f>
        <v>20-29</v>
      </c>
    </row>
    <row r="664" spans="1:28">
      <c r="A664" t="s">
        <v>2011</v>
      </c>
      <c r="B664" t="s">
        <v>2012</v>
      </c>
      <c r="C664" t="s">
        <v>2013</v>
      </c>
      <c r="D664" t="s">
        <v>26</v>
      </c>
      <c r="E664">
        <v>25</v>
      </c>
      <c r="F664" t="s">
        <v>27</v>
      </c>
      <c r="G664" t="s">
        <v>54</v>
      </c>
      <c r="H664">
        <v>27</v>
      </c>
      <c r="I664" t="s">
        <v>39</v>
      </c>
      <c r="J664" t="s">
        <v>66</v>
      </c>
      <c r="K664">
        <v>2</v>
      </c>
      <c r="L664" t="s">
        <v>55</v>
      </c>
      <c r="M664" t="s">
        <v>93</v>
      </c>
      <c r="N664" t="s">
        <v>49</v>
      </c>
      <c r="O664">
        <v>84770</v>
      </c>
      <c r="P664">
        <v>1</v>
      </c>
      <c r="Q664" t="s">
        <v>41</v>
      </c>
      <c r="R664" s="1">
        <v>42724</v>
      </c>
      <c r="S664" t="s">
        <v>34</v>
      </c>
      <c r="T664">
        <v>6</v>
      </c>
      <c r="U664">
        <v>0</v>
      </c>
      <c r="V664">
        <v>5</v>
      </c>
      <c r="W664">
        <v>0</v>
      </c>
      <c r="X664" t="s">
        <v>11021</v>
      </c>
      <c r="Y664" t="s">
        <v>11021</v>
      </c>
      <c r="Z664" t="str">
        <f>_xlfn.XLOOKUP(Employees[[#This Row],[Education]], EdLevel[EducationLevelID], EdLevel[EducationLevel])</f>
        <v xml:space="preserve">High School </v>
      </c>
      <c r="AA664">
        <f>IF(Employees[[#This Row],[Attrition]] = "Yes", 1, 0)</f>
        <v>0</v>
      </c>
      <c r="AB664" t="str" cm="1">
        <f t="array" ref="AB664">_xlfn.IFS(Employees[[#This Row],[Age]]&lt;30, "20-29", Employees[[#This Row],[Age]]&lt;40, "30-39", Employees[[#This Row],[Age]]&lt;50, "40-49", "TRUE", "50+")</f>
        <v>20-29</v>
      </c>
    </row>
    <row r="665" spans="1:28">
      <c r="A665" t="s">
        <v>2014</v>
      </c>
      <c r="B665" t="s">
        <v>2015</v>
      </c>
      <c r="C665" t="s">
        <v>2016</v>
      </c>
      <c r="D665" t="s">
        <v>26</v>
      </c>
      <c r="E665">
        <v>26</v>
      </c>
      <c r="F665" t="s">
        <v>84</v>
      </c>
      <c r="G665" t="s">
        <v>54</v>
      </c>
      <c r="H665">
        <v>5</v>
      </c>
      <c r="I665" t="s">
        <v>29</v>
      </c>
      <c r="J665" t="s">
        <v>30</v>
      </c>
      <c r="K665">
        <v>3</v>
      </c>
      <c r="L665" t="s">
        <v>55</v>
      </c>
      <c r="M665" t="s">
        <v>105</v>
      </c>
      <c r="N665" t="s">
        <v>49</v>
      </c>
      <c r="O665">
        <v>99203</v>
      </c>
      <c r="P665">
        <v>1</v>
      </c>
      <c r="Q665" t="s">
        <v>41</v>
      </c>
      <c r="R665" s="1">
        <v>42732</v>
      </c>
      <c r="S665" t="s">
        <v>34</v>
      </c>
      <c r="T665">
        <v>6</v>
      </c>
      <c r="U665">
        <v>3</v>
      </c>
      <c r="V665">
        <v>3</v>
      </c>
      <c r="W665">
        <v>4</v>
      </c>
      <c r="X665" t="s">
        <v>11022</v>
      </c>
      <c r="Y665" t="s">
        <v>11022</v>
      </c>
      <c r="Z665" t="str">
        <f>_xlfn.XLOOKUP(Employees[[#This Row],[Education]], EdLevel[EducationLevelID], EdLevel[EducationLevel])</f>
        <v xml:space="preserve">Bachelors </v>
      </c>
      <c r="AA665">
        <f>IF(Employees[[#This Row],[Attrition]] = "Yes", 1, 0)</f>
        <v>0</v>
      </c>
      <c r="AB665" t="str" cm="1">
        <f t="array" ref="AB665">_xlfn.IFS(Employees[[#This Row],[Age]]&lt;30, "20-29", Employees[[#This Row],[Age]]&lt;40, "30-39", Employees[[#This Row],[Age]]&lt;50, "40-49", "TRUE", "50+")</f>
        <v>20-29</v>
      </c>
    </row>
    <row r="666" spans="1:28">
      <c r="A666" t="s">
        <v>2017</v>
      </c>
      <c r="B666" t="s">
        <v>560</v>
      </c>
      <c r="C666" t="s">
        <v>2018</v>
      </c>
      <c r="D666" t="s">
        <v>26</v>
      </c>
      <c r="E666">
        <v>29</v>
      </c>
      <c r="F666" t="s">
        <v>27</v>
      </c>
      <c r="G666" t="s">
        <v>54</v>
      </c>
      <c r="H666">
        <v>32</v>
      </c>
      <c r="I666" t="s">
        <v>29</v>
      </c>
      <c r="J666" t="s">
        <v>76</v>
      </c>
      <c r="K666">
        <v>3</v>
      </c>
      <c r="L666" t="s">
        <v>72</v>
      </c>
      <c r="M666" t="s">
        <v>56</v>
      </c>
      <c r="N666" t="s">
        <v>49</v>
      </c>
      <c r="O666">
        <v>388605</v>
      </c>
      <c r="P666">
        <v>1</v>
      </c>
      <c r="Q666" t="s">
        <v>41</v>
      </c>
      <c r="R666" s="1">
        <v>42736</v>
      </c>
      <c r="S666" t="s">
        <v>34</v>
      </c>
      <c r="T666">
        <v>5</v>
      </c>
      <c r="U666">
        <v>2</v>
      </c>
      <c r="V666">
        <v>5</v>
      </c>
      <c r="W666">
        <v>0</v>
      </c>
      <c r="X666" t="s">
        <v>11022</v>
      </c>
      <c r="Y666" t="s">
        <v>11022</v>
      </c>
      <c r="Z666" t="str">
        <f>_xlfn.XLOOKUP(Employees[[#This Row],[Education]], EdLevel[EducationLevelID], EdLevel[EducationLevel])</f>
        <v xml:space="preserve">Bachelors </v>
      </c>
      <c r="AA666">
        <f>IF(Employees[[#This Row],[Attrition]] = "Yes", 1, 0)</f>
        <v>0</v>
      </c>
      <c r="AB666" t="str" cm="1">
        <f t="array" ref="AB666">_xlfn.IFS(Employees[[#This Row],[Age]]&lt;30, "20-29", Employees[[#This Row],[Age]]&lt;40, "30-39", Employees[[#This Row],[Age]]&lt;50, "40-49", "TRUE", "50+")</f>
        <v>20-29</v>
      </c>
    </row>
    <row r="667" spans="1:28">
      <c r="A667" t="s">
        <v>2019</v>
      </c>
      <c r="B667" t="s">
        <v>2020</v>
      </c>
      <c r="C667" t="s">
        <v>2021</v>
      </c>
      <c r="D667" t="s">
        <v>38</v>
      </c>
      <c r="E667">
        <v>25</v>
      </c>
      <c r="F667" t="s">
        <v>27</v>
      </c>
      <c r="G667" t="s">
        <v>54</v>
      </c>
      <c r="H667">
        <v>18</v>
      </c>
      <c r="I667" t="s">
        <v>39</v>
      </c>
      <c r="J667" t="s">
        <v>30</v>
      </c>
      <c r="K667">
        <v>3</v>
      </c>
      <c r="L667" t="s">
        <v>55</v>
      </c>
      <c r="M667" t="s">
        <v>105</v>
      </c>
      <c r="N667" t="s">
        <v>49</v>
      </c>
      <c r="O667">
        <v>55541</v>
      </c>
      <c r="P667">
        <v>1</v>
      </c>
      <c r="Q667" t="s">
        <v>34</v>
      </c>
      <c r="R667" s="1">
        <v>42743</v>
      </c>
      <c r="S667" t="s">
        <v>34</v>
      </c>
      <c r="T667">
        <v>5</v>
      </c>
      <c r="U667">
        <v>4</v>
      </c>
      <c r="V667">
        <v>5</v>
      </c>
      <c r="W667">
        <v>4</v>
      </c>
      <c r="X667" t="s">
        <v>11022</v>
      </c>
      <c r="Y667" t="s">
        <v>11022</v>
      </c>
      <c r="Z667" t="str">
        <f>_xlfn.XLOOKUP(Employees[[#This Row],[Education]], EdLevel[EducationLevelID], EdLevel[EducationLevel])</f>
        <v xml:space="preserve">Bachelors </v>
      </c>
      <c r="AA667">
        <f>IF(Employees[[#This Row],[Attrition]] = "Yes", 1, 0)</f>
        <v>0</v>
      </c>
      <c r="AB667" t="str" cm="1">
        <f t="array" ref="AB667">_xlfn.IFS(Employees[[#This Row],[Age]]&lt;30, "20-29", Employees[[#This Row],[Age]]&lt;40, "30-39", Employees[[#This Row],[Age]]&lt;50, "40-49", "TRUE", "50+")</f>
        <v>20-29</v>
      </c>
    </row>
    <row r="668" spans="1:28">
      <c r="A668" t="s">
        <v>2022</v>
      </c>
      <c r="B668" t="s">
        <v>123</v>
      </c>
      <c r="C668" t="s">
        <v>2023</v>
      </c>
      <c r="D668" t="s">
        <v>26</v>
      </c>
      <c r="E668">
        <v>25</v>
      </c>
      <c r="F668" t="s">
        <v>84</v>
      </c>
      <c r="G668" t="s">
        <v>28</v>
      </c>
      <c r="H668">
        <v>33</v>
      </c>
      <c r="I668" t="s">
        <v>39</v>
      </c>
      <c r="J668" t="s">
        <v>30</v>
      </c>
      <c r="K668">
        <v>3</v>
      </c>
      <c r="L668" t="s">
        <v>31</v>
      </c>
      <c r="M668" t="s">
        <v>32</v>
      </c>
      <c r="N668" t="s">
        <v>40</v>
      </c>
      <c r="O668">
        <v>94810</v>
      </c>
      <c r="P668">
        <v>0</v>
      </c>
      <c r="Q668" t="s">
        <v>34</v>
      </c>
      <c r="R668" s="1">
        <v>42753</v>
      </c>
      <c r="S668" t="s">
        <v>34</v>
      </c>
      <c r="T668">
        <v>5</v>
      </c>
      <c r="U668">
        <v>0</v>
      </c>
      <c r="V668">
        <v>0</v>
      </c>
      <c r="W668">
        <v>3</v>
      </c>
      <c r="X668" t="s">
        <v>11022</v>
      </c>
      <c r="Y668" t="s">
        <v>11022</v>
      </c>
      <c r="Z668" t="str">
        <f>_xlfn.XLOOKUP(Employees[[#This Row],[Education]], EdLevel[EducationLevelID], EdLevel[EducationLevel])</f>
        <v xml:space="preserve">Bachelors </v>
      </c>
      <c r="AA668">
        <f>IF(Employees[[#This Row],[Attrition]] = "Yes", 1, 0)</f>
        <v>0</v>
      </c>
      <c r="AB668" t="str" cm="1">
        <f t="array" ref="AB668">_xlfn.IFS(Employees[[#This Row],[Age]]&lt;30, "20-29", Employees[[#This Row],[Age]]&lt;40, "30-39", Employees[[#This Row],[Age]]&lt;50, "40-49", "TRUE", "50+")</f>
        <v>20-29</v>
      </c>
    </row>
    <row r="669" spans="1:28">
      <c r="A669" t="s">
        <v>2024</v>
      </c>
      <c r="B669" t="s">
        <v>2025</v>
      </c>
      <c r="C669" t="s">
        <v>2026</v>
      </c>
      <c r="D669" t="s">
        <v>38</v>
      </c>
      <c r="E669">
        <v>23</v>
      </c>
      <c r="F669" t="s">
        <v>27</v>
      </c>
      <c r="G669" t="s">
        <v>28</v>
      </c>
      <c r="H669">
        <v>26</v>
      </c>
      <c r="I669" t="s">
        <v>65</v>
      </c>
      <c r="J669" t="s">
        <v>76</v>
      </c>
      <c r="K669">
        <v>2</v>
      </c>
      <c r="L669" t="s">
        <v>47</v>
      </c>
      <c r="M669" t="s">
        <v>32</v>
      </c>
      <c r="N669" t="s">
        <v>40</v>
      </c>
      <c r="O669">
        <v>58345</v>
      </c>
      <c r="P669">
        <v>0</v>
      </c>
      <c r="Q669" t="s">
        <v>41</v>
      </c>
      <c r="R669" s="1">
        <v>42754</v>
      </c>
      <c r="S669" t="s">
        <v>34</v>
      </c>
      <c r="T669">
        <v>5</v>
      </c>
      <c r="U669">
        <v>4</v>
      </c>
      <c r="V669">
        <v>4</v>
      </c>
      <c r="W669">
        <v>4</v>
      </c>
      <c r="X669" t="s">
        <v>11021</v>
      </c>
      <c r="Y669" t="s">
        <v>11021</v>
      </c>
      <c r="Z669" t="str">
        <f>_xlfn.XLOOKUP(Employees[[#This Row],[Education]], EdLevel[EducationLevelID], EdLevel[EducationLevel])</f>
        <v xml:space="preserve">High School </v>
      </c>
      <c r="AA669">
        <f>IF(Employees[[#This Row],[Attrition]] = "Yes", 1, 0)</f>
        <v>0</v>
      </c>
      <c r="AB669" t="str" cm="1">
        <f t="array" ref="AB669">_xlfn.IFS(Employees[[#This Row],[Age]]&lt;30, "20-29", Employees[[#This Row],[Age]]&lt;40, "30-39", Employees[[#This Row],[Age]]&lt;50, "40-49", "TRUE", "50+")</f>
        <v>20-29</v>
      </c>
    </row>
    <row r="670" spans="1:28">
      <c r="A670" t="s">
        <v>2027</v>
      </c>
      <c r="B670" t="s">
        <v>2028</v>
      </c>
      <c r="C670" t="s">
        <v>2029</v>
      </c>
      <c r="D670" t="s">
        <v>26</v>
      </c>
      <c r="E670">
        <v>24</v>
      </c>
      <c r="F670" t="s">
        <v>27</v>
      </c>
      <c r="G670" t="s">
        <v>28</v>
      </c>
      <c r="H670">
        <v>16</v>
      </c>
      <c r="I670" t="s">
        <v>39</v>
      </c>
      <c r="J670" t="s">
        <v>30</v>
      </c>
      <c r="K670">
        <v>2</v>
      </c>
      <c r="L670" t="s">
        <v>47</v>
      </c>
      <c r="M670" t="s">
        <v>32</v>
      </c>
      <c r="N670" t="s">
        <v>40</v>
      </c>
      <c r="O670">
        <v>43158</v>
      </c>
      <c r="P670">
        <v>0</v>
      </c>
      <c r="Q670" t="s">
        <v>41</v>
      </c>
      <c r="R670" s="1">
        <v>42764</v>
      </c>
      <c r="S670" t="s">
        <v>34</v>
      </c>
      <c r="T670">
        <v>5</v>
      </c>
      <c r="U670">
        <v>0</v>
      </c>
      <c r="V670">
        <v>5</v>
      </c>
      <c r="W670">
        <v>5</v>
      </c>
      <c r="X670" t="s">
        <v>11021</v>
      </c>
      <c r="Y670" t="s">
        <v>11021</v>
      </c>
      <c r="Z670" t="str">
        <f>_xlfn.XLOOKUP(Employees[[#This Row],[Education]], EdLevel[EducationLevelID], EdLevel[EducationLevel])</f>
        <v xml:space="preserve">High School </v>
      </c>
      <c r="AA670">
        <f>IF(Employees[[#This Row],[Attrition]] = "Yes", 1, 0)</f>
        <v>0</v>
      </c>
      <c r="AB670" t="str" cm="1">
        <f t="array" ref="AB670">_xlfn.IFS(Employees[[#This Row],[Age]]&lt;30, "20-29", Employees[[#This Row],[Age]]&lt;40, "30-39", Employees[[#This Row],[Age]]&lt;50, "40-49", "TRUE", "50+")</f>
        <v>20-29</v>
      </c>
    </row>
    <row r="671" spans="1:28">
      <c r="A671" t="s">
        <v>2030</v>
      </c>
      <c r="B671" t="s">
        <v>2031</v>
      </c>
      <c r="C671" t="s">
        <v>2032</v>
      </c>
      <c r="D671" t="s">
        <v>26</v>
      </c>
      <c r="E671">
        <v>26</v>
      </c>
      <c r="F671" t="s">
        <v>27</v>
      </c>
      <c r="G671" t="s">
        <v>54</v>
      </c>
      <c r="H671">
        <v>21</v>
      </c>
      <c r="I671" t="s">
        <v>39</v>
      </c>
      <c r="J671" t="s">
        <v>30</v>
      </c>
      <c r="K671">
        <v>2</v>
      </c>
      <c r="L671" t="s">
        <v>77</v>
      </c>
      <c r="M671" t="s">
        <v>85</v>
      </c>
      <c r="N671" t="s">
        <v>49</v>
      </c>
      <c r="O671">
        <v>89366</v>
      </c>
      <c r="P671">
        <v>1</v>
      </c>
      <c r="Q671" t="s">
        <v>34</v>
      </c>
      <c r="R671" s="1">
        <v>42765</v>
      </c>
      <c r="S671" t="s">
        <v>34</v>
      </c>
      <c r="T671">
        <v>5</v>
      </c>
      <c r="U671">
        <v>5</v>
      </c>
      <c r="V671">
        <v>5</v>
      </c>
      <c r="W671">
        <v>0</v>
      </c>
      <c r="X671" t="s">
        <v>11021</v>
      </c>
      <c r="Y671" t="s">
        <v>11021</v>
      </c>
      <c r="Z671" t="str">
        <f>_xlfn.XLOOKUP(Employees[[#This Row],[Education]], EdLevel[EducationLevelID], EdLevel[EducationLevel])</f>
        <v xml:space="preserve">High School </v>
      </c>
      <c r="AA671">
        <f>IF(Employees[[#This Row],[Attrition]] = "Yes", 1, 0)</f>
        <v>0</v>
      </c>
      <c r="AB671" t="str" cm="1">
        <f t="array" ref="AB671">_xlfn.IFS(Employees[[#This Row],[Age]]&lt;30, "20-29", Employees[[#This Row],[Age]]&lt;40, "30-39", Employees[[#This Row],[Age]]&lt;50, "40-49", "TRUE", "50+")</f>
        <v>20-29</v>
      </c>
    </row>
    <row r="672" spans="1:28">
      <c r="A672" t="s">
        <v>2033</v>
      </c>
      <c r="B672" t="s">
        <v>2034</v>
      </c>
      <c r="C672" t="s">
        <v>2035</v>
      </c>
      <c r="D672" t="s">
        <v>859</v>
      </c>
      <c r="E672">
        <v>34</v>
      </c>
      <c r="F672" t="s">
        <v>27</v>
      </c>
      <c r="G672" t="s">
        <v>54</v>
      </c>
      <c r="H672">
        <v>18</v>
      </c>
      <c r="I672" t="s">
        <v>39</v>
      </c>
      <c r="J672" t="s">
        <v>30</v>
      </c>
      <c r="K672">
        <v>3</v>
      </c>
      <c r="L672" t="s">
        <v>55</v>
      </c>
      <c r="M672" t="s">
        <v>56</v>
      </c>
      <c r="N672" t="s">
        <v>33</v>
      </c>
      <c r="O672">
        <v>323488</v>
      </c>
      <c r="P672">
        <v>1</v>
      </c>
      <c r="Q672" t="s">
        <v>34</v>
      </c>
      <c r="R672" s="1">
        <v>42767</v>
      </c>
      <c r="S672" t="s">
        <v>34</v>
      </c>
      <c r="T672">
        <v>5</v>
      </c>
      <c r="U672">
        <v>0</v>
      </c>
      <c r="V672">
        <v>1</v>
      </c>
      <c r="W672">
        <v>1</v>
      </c>
      <c r="X672" t="s">
        <v>11022</v>
      </c>
      <c r="Y672" t="s">
        <v>11022</v>
      </c>
      <c r="Z672" t="str">
        <f>_xlfn.XLOOKUP(Employees[[#This Row],[Education]], EdLevel[EducationLevelID], EdLevel[EducationLevel])</f>
        <v xml:space="preserve">Bachelors </v>
      </c>
      <c r="AA672">
        <f>IF(Employees[[#This Row],[Attrition]] = "Yes", 1, 0)</f>
        <v>0</v>
      </c>
      <c r="AB672" t="str" cm="1">
        <f t="array" ref="AB672">_xlfn.IFS(Employees[[#This Row],[Age]]&lt;30, "20-29", Employees[[#This Row],[Age]]&lt;40, "30-39", Employees[[#This Row],[Age]]&lt;50, "40-49", "TRUE", "50+")</f>
        <v>30-39</v>
      </c>
    </row>
    <row r="673" spans="1:28">
      <c r="A673" t="s">
        <v>2036</v>
      </c>
      <c r="B673" t="s">
        <v>2037</v>
      </c>
      <c r="C673" t="s">
        <v>2038</v>
      </c>
      <c r="D673" t="s">
        <v>26</v>
      </c>
      <c r="E673">
        <v>23</v>
      </c>
      <c r="F673" t="s">
        <v>27</v>
      </c>
      <c r="G673" t="s">
        <v>28</v>
      </c>
      <c r="H673">
        <v>21</v>
      </c>
      <c r="I673" t="s">
        <v>39</v>
      </c>
      <c r="J673" t="s">
        <v>30</v>
      </c>
      <c r="K673">
        <v>4</v>
      </c>
      <c r="L673" t="s">
        <v>31</v>
      </c>
      <c r="M673" t="s">
        <v>32</v>
      </c>
      <c r="N673" t="s">
        <v>40</v>
      </c>
      <c r="O673">
        <v>37626</v>
      </c>
      <c r="P673">
        <v>0</v>
      </c>
      <c r="Q673" t="s">
        <v>34</v>
      </c>
      <c r="R673" s="1">
        <v>42770</v>
      </c>
      <c r="S673" t="s">
        <v>34</v>
      </c>
      <c r="T673">
        <v>5</v>
      </c>
      <c r="U673">
        <v>4</v>
      </c>
      <c r="V673">
        <v>4</v>
      </c>
      <c r="W673">
        <v>2</v>
      </c>
      <c r="X673" t="s">
        <v>11023</v>
      </c>
      <c r="Y673" t="s">
        <v>11023</v>
      </c>
      <c r="Z673" t="str">
        <f>_xlfn.XLOOKUP(Employees[[#This Row],[Education]], EdLevel[EducationLevelID], EdLevel[EducationLevel])</f>
        <v xml:space="preserve">Masters </v>
      </c>
      <c r="AA673">
        <f>IF(Employees[[#This Row],[Attrition]] = "Yes", 1, 0)</f>
        <v>0</v>
      </c>
      <c r="AB673" t="str" cm="1">
        <f t="array" ref="AB673">_xlfn.IFS(Employees[[#This Row],[Age]]&lt;30, "20-29", Employees[[#This Row],[Age]]&lt;40, "30-39", Employees[[#This Row],[Age]]&lt;50, "40-49", "TRUE", "50+")</f>
        <v>20-29</v>
      </c>
    </row>
    <row r="674" spans="1:28">
      <c r="A674" t="s">
        <v>2039</v>
      </c>
      <c r="B674" t="s">
        <v>2040</v>
      </c>
      <c r="C674" t="s">
        <v>2041</v>
      </c>
      <c r="D674" t="s">
        <v>26</v>
      </c>
      <c r="E674">
        <v>24</v>
      </c>
      <c r="F674" t="s">
        <v>27</v>
      </c>
      <c r="G674" t="s">
        <v>54</v>
      </c>
      <c r="H674">
        <v>42</v>
      </c>
      <c r="I674" t="s">
        <v>39</v>
      </c>
      <c r="J674" t="s">
        <v>30</v>
      </c>
      <c r="K674">
        <v>2</v>
      </c>
      <c r="L674" t="s">
        <v>77</v>
      </c>
      <c r="M674" t="s">
        <v>85</v>
      </c>
      <c r="N674" t="s">
        <v>49</v>
      </c>
      <c r="O674">
        <v>38775</v>
      </c>
      <c r="P674">
        <v>1</v>
      </c>
      <c r="Q674" t="s">
        <v>41</v>
      </c>
      <c r="R674" s="1">
        <v>42772</v>
      </c>
      <c r="S674" t="s">
        <v>34</v>
      </c>
      <c r="T674">
        <v>5</v>
      </c>
      <c r="U674">
        <v>0</v>
      </c>
      <c r="V674">
        <v>5</v>
      </c>
      <c r="W674">
        <v>1</v>
      </c>
      <c r="X674" t="s">
        <v>11021</v>
      </c>
      <c r="Y674" t="s">
        <v>11021</v>
      </c>
      <c r="Z674" t="str">
        <f>_xlfn.XLOOKUP(Employees[[#This Row],[Education]], EdLevel[EducationLevelID], EdLevel[EducationLevel])</f>
        <v xml:space="preserve">High School </v>
      </c>
      <c r="AA674">
        <f>IF(Employees[[#This Row],[Attrition]] = "Yes", 1, 0)</f>
        <v>0</v>
      </c>
      <c r="AB674" t="str" cm="1">
        <f t="array" ref="AB674">_xlfn.IFS(Employees[[#This Row],[Age]]&lt;30, "20-29", Employees[[#This Row],[Age]]&lt;40, "30-39", Employees[[#This Row],[Age]]&lt;50, "40-49", "TRUE", "50+")</f>
        <v>20-29</v>
      </c>
    </row>
    <row r="675" spans="1:28">
      <c r="A675" t="s">
        <v>2042</v>
      </c>
      <c r="B675" t="s">
        <v>2043</v>
      </c>
      <c r="C675" t="s">
        <v>2044</v>
      </c>
      <c r="D675" t="s">
        <v>38</v>
      </c>
      <c r="E675">
        <v>23</v>
      </c>
      <c r="F675" t="s">
        <v>27</v>
      </c>
      <c r="G675" t="s">
        <v>54</v>
      </c>
      <c r="H675">
        <v>19</v>
      </c>
      <c r="I675" t="s">
        <v>65</v>
      </c>
      <c r="J675" t="s">
        <v>137</v>
      </c>
      <c r="K675">
        <v>4</v>
      </c>
      <c r="L675" t="s">
        <v>178</v>
      </c>
      <c r="M675" t="s">
        <v>85</v>
      </c>
      <c r="N675" t="s">
        <v>49</v>
      </c>
      <c r="O675">
        <v>25986</v>
      </c>
      <c r="P675">
        <v>1</v>
      </c>
      <c r="Q675" t="s">
        <v>34</v>
      </c>
      <c r="R675" s="1">
        <v>42774</v>
      </c>
      <c r="S675" t="s">
        <v>34</v>
      </c>
      <c r="T675">
        <v>5</v>
      </c>
      <c r="U675">
        <v>4</v>
      </c>
      <c r="V675">
        <v>4</v>
      </c>
      <c r="W675">
        <v>3</v>
      </c>
      <c r="X675" t="s">
        <v>11023</v>
      </c>
      <c r="Y675" t="s">
        <v>11023</v>
      </c>
      <c r="Z675" t="str">
        <f>_xlfn.XLOOKUP(Employees[[#This Row],[Education]], EdLevel[EducationLevelID], EdLevel[EducationLevel])</f>
        <v xml:space="preserve">Masters </v>
      </c>
      <c r="AA675">
        <f>IF(Employees[[#This Row],[Attrition]] = "Yes", 1, 0)</f>
        <v>0</v>
      </c>
      <c r="AB675" t="str" cm="1">
        <f t="array" ref="AB675">_xlfn.IFS(Employees[[#This Row],[Age]]&lt;30, "20-29", Employees[[#This Row],[Age]]&lt;40, "30-39", Employees[[#This Row],[Age]]&lt;50, "40-49", "TRUE", "50+")</f>
        <v>20-29</v>
      </c>
    </row>
    <row r="676" spans="1:28">
      <c r="A676" t="s">
        <v>2045</v>
      </c>
      <c r="B676" t="s">
        <v>2046</v>
      </c>
      <c r="C676" t="s">
        <v>2047</v>
      </c>
      <c r="D676" t="s">
        <v>26</v>
      </c>
      <c r="E676">
        <v>25</v>
      </c>
      <c r="F676" t="s">
        <v>84</v>
      </c>
      <c r="G676" t="s">
        <v>54</v>
      </c>
      <c r="H676">
        <v>36</v>
      </c>
      <c r="I676" t="s">
        <v>39</v>
      </c>
      <c r="J676" t="s">
        <v>137</v>
      </c>
      <c r="K676">
        <v>2</v>
      </c>
      <c r="L676" t="s">
        <v>72</v>
      </c>
      <c r="M676" t="s">
        <v>85</v>
      </c>
      <c r="N676" t="s">
        <v>40</v>
      </c>
      <c r="O676">
        <v>31698</v>
      </c>
      <c r="P676">
        <v>0</v>
      </c>
      <c r="Q676" t="s">
        <v>34</v>
      </c>
      <c r="R676" s="1">
        <v>42779</v>
      </c>
      <c r="S676" t="s">
        <v>34</v>
      </c>
      <c r="T676">
        <v>5</v>
      </c>
      <c r="U676">
        <v>5</v>
      </c>
      <c r="V676">
        <v>5</v>
      </c>
      <c r="W676">
        <v>2</v>
      </c>
      <c r="X676" t="s">
        <v>11021</v>
      </c>
      <c r="Y676" t="s">
        <v>11021</v>
      </c>
      <c r="Z676" t="str">
        <f>_xlfn.XLOOKUP(Employees[[#This Row],[Education]], EdLevel[EducationLevelID], EdLevel[EducationLevel])</f>
        <v xml:space="preserve">High School </v>
      </c>
      <c r="AA676">
        <f>IF(Employees[[#This Row],[Attrition]] = "Yes", 1, 0)</f>
        <v>0</v>
      </c>
      <c r="AB676" t="str" cm="1">
        <f t="array" ref="AB676">_xlfn.IFS(Employees[[#This Row],[Age]]&lt;30, "20-29", Employees[[#This Row],[Age]]&lt;40, "30-39", Employees[[#This Row],[Age]]&lt;50, "40-49", "TRUE", "50+")</f>
        <v>20-29</v>
      </c>
    </row>
    <row r="677" spans="1:28">
      <c r="A677" t="s">
        <v>2048</v>
      </c>
      <c r="B677" t="s">
        <v>2049</v>
      </c>
      <c r="C677" t="s">
        <v>2050</v>
      </c>
      <c r="D677" t="s">
        <v>38</v>
      </c>
      <c r="E677">
        <v>24</v>
      </c>
      <c r="F677" t="s">
        <v>27</v>
      </c>
      <c r="G677" t="s">
        <v>28</v>
      </c>
      <c r="H677">
        <v>29</v>
      </c>
      <c r="I677" t="s">
        <v>39</v>
      </c>
      <c r="J677" t="s">
        <v>66</v>
      </c>
      <c r="K677">
        <v>3</v>
      </c>
      <c r="L677" t="s">
        <v>31</v>
      </c>
      <c r="M677" t="s">
        <v>32</v>
      </c>
      <c r="N677" t="s">
        <v>49</v>
      </c>
      <c r="O677">
        <v>105859</v>
      </c>
      <c r="P677">
        <v>2</v>
      </c>
      <c r="Q677" t="s">
        <v>34</v>
      </c>
      <c r="R677" s="1">
        <v>42779</v>
      </c>
      <c r="S677" t="s">
        <v>34</v>
      </c>
      <c r="T677">
        <v>5</v>
      </c>
      <c r="U677">
        <v>5</v>
      </c>
      <c r="V677">
        <v>5</v>
      </c>
      <c r="W677">
        <v>3</v>
      </c>
      <c r="X677" t="s">
        <v>11022</v>
      </c>
      <c r="Y677" t="s">
        <v>11022</v>
      </c>
      <c r="Z677" t="str">
        <f>_xlfn.XLOOKUP(Employees[[#This Row],[Education]], EdLevel[EducationLevelID], EdLevel[EducationLevel])</f>
        <v xml:space="preserve">Bachelors </v>
      </c>
      <c r="AA677">
        <f>IF(Employees[[#This Row],[Attrition]] = "Yes", 1, 0)</f>
        <v>0</v>
      </c>
      <c r="AB677" t="str" cm="1">
        <f t="array" ref="AB677">_xlfn.IFS(Employees[[#This Row],[Age]]&lt;30, "20-29", Employees[[#This Row],[Age]]&lt;40, "30-39", Employees[[#This Row],[Age]]&lt;50, "40-49", "TRUE", "50+")</f>
        <v>20-29</v>
      </c>
    </row>
    <row r="678" spans="1:28">
      <c r="A678" t="s">
        <v>2051</v>
      </c>
      <c r="B678" t="s">
        <v>2052</v>
      </c>
      <c r="C678" t="s">
        <v>2053</v>
      </c>
      <c r="D678" t="s">
        <v>26</v>
      </c>
      <c r="E678">
        <v>25</v>
      </c>
      <c r="F678" t="s">
        <v>27</v>
      </c>
      <c r="G678" t="s">
        <v>54</v>
      </c>
      <c r="H678">
        <v>32</v>
      </c>
      <c r="I678" t="s">
        <v>65</v>
      </c>
      <c r="J678" t="s">
        <v>66</v>
      </c>
      <c r="K678">
        <v>3</v>
      </c>
      <c r="L678" t="s">
        <v>72</v>
      </c>
      <c r="M678" t="s">
        <v>101</v>
      </c>
      <c r="N678" t="s">
        <v>49</v>
      </c>
      <c r="O678">
        <v>35586</v>
      </c>
      <c r="P678">
        <v>0</v>
      </c>
      <c r="Q678" t="s">
        <v>34</v>
      </c>
      <c r="R678" s="1">
        <v>42783</v>
      </c>
      <c r="S678" t="s">
        <v>34</v>
      </c>
      <c r="T678">
        <v>5</v>
      </c>
      <c r="U678">
        <v>4</v>
      </c>
      <c r="V678">
        <v>5</v>
      </c>
      <c r="W678">
        <v>0</v>
      </c>
      <c r="X678" t="s">
        <v>11022</v>
      </c>
      <c r="Y678" t="s">
        <v>11022</v>
      </c>
      <c r="Z678" t="str">
        <f>_xlfn.XLOOKUP(Employees[[#This Row],[Education]], EdLevel[EducationLevelID], EdLevel[EducationLevel])</f>
        <v xml:space="preserve">Bachelors </v>
      </c>
      <c r="AA678">
        <f>IF(Employees[[#This Row],[Attrition]] = "Yes", 1, 0)</f>
        <v>0</v>
      </c>
      <c r="AB678" t="str" cm="1">
        <f t="array" ref="AB678">_xlfn.IFS(Employees[[#This Row],[Age]]&lt;30, "20-29", Employees[[#This Row],[Age]]&lt;40, "30-39", Employees[[#This Row],[Age]]&lt;50, "40-49", "TRUE", "50+")</f>
        <v>20-29</v>
      </c>
    </row>
    <row r="679" spans="1:28">
      <c r="A679" t="s">
        <v>2054</v>
      </c>
      <c r="B679" t="s">
        <v>2055</v>
      </c>
      <c r="C679" t="s">
        <v>2056</v>
      </c>
      <c r="D679" t="s">
        <v>26</v>
      </c>
      <c r="E679">
        <v>25</v>
      </c>
      <c r="F679" t="s">
        <v>70</v>
      </c>
      <c r="G679" t="s">
        <v>54</v>
      </c>
      <c r="H679">
        <v>27</v>
      </c>
      <c r="I679" t="s">
        <v>65</v>
      </c>
      <c r="J679" t="s">
        <v>66</v>
      </c>
      <c r="K679">
        <v>4</v>
      </c>
      <c r="L679" t="s">
        <v>178</v>
      </c>
      <c r="M679" t="s">
        <v>101</v>
      </c>
      <c r="N679" t="s">
        <v>49</v>
      </c>
      <c r="O679">
        <v>28288</v>
      </c>
      <c r="P679">
        <v>2</v>
      </c>
      <c r="Q679" t="s">
        <v>34</v>
      </c>
      <c r="R679" s="1">
        <v>42795</v>
      </c>
      <c r="S679" t="s">
        <v>34</v>
      </c>
      <c r="T679">
        <v>5</v>
      </c>
      <c r="U679">
        <v>5</v>
      </c>
      <c r="V679">
        <v>5</v>
      </c>
      <c r="W679">
        <v>0</v>
      </c>
      <c r="X679" t="s">
        <v>11023</v>
      </c>
      <c r="Y679" t="s">
        <v>11023</v>
      </c>
      <c r="Z679" t="str">
        <f>_xlfn.XLOOKUP(Employees[[#This Row],[Education]], EdLevel[EducationLevelID], EdLevel[EducationLevel])</f>
        <v xml:space="preserve">Masters </v>
      </c>
      <c r="AA679">
        <f>IF(Employees[[#This Row],[Attrition]] = "Yes", 1, 0)</f>
        <v>0</v>
      </c>
      <c r="AB679" t="str" cm="1">
        <f t="array" ref="AB679">_xlfn.IFS(Employees[[#This Row],[Age]]&lt;30, "20-29", Employees[[#This Row],[Age]]&lt;40, "30-39", Employees[[#This Row],[Age]]&lt;50, "40-49", "TRUE", "50+")</f>
        <v>20-29</v>
      </c>
    </row>
    <row r="680" spans="1:28">
      <c r="A680" t="s">
        <v>2057</v>
      </c>
      <c r="B680" t="s">
        <v>2058</v>
      </c>
      <c r="C680" t="s">
        <v>2059</v>
      </c>
      <c r="D680" t="s">
        <v>38</v>
      </c>
      <c r="E680">
        <v>23</v>
      </c>
      <c r="F680" t="s">
        <v>27</v>
      </c>
      <c r="G680" t="s">
        <v>54</v>
      </c>
      <c r="H680">
        <v>25</v>
      </c>
      <c r="I680" t="s">
        <v>39</v>
      </c>
      <c r="J680" t="s">
        <v>30</v>
      </c>
      <c r="K680">
        <v>2</v>
      </c>
      <c r="L680" t="s">
        <v>72</v>
      </c>
      <c r="M680" t="s">
        <v>85</v>
      </c>
      <c r="N680" t="s">
        <v>49</v>
      </c>
      <c r="O680">
        <v>50570</v>
      </c>
      <c r="P680">
        <v>1</v>
      </c>
      <c r="Q680" t="s">
        <v>34</v>
      </c>
      <c r="R680" s="1">
        <v>42795</v>
      </c>
      <c r="S680" t="s">
        <v>34</v>
      </c>
      <c r="T680">
        <v>5</v>
      </c>
      <c r="U680">
        <v>2</v>
      </c>
      <c r="V680">
        <v>3</v>
      </c>
      <c r="W680">
        <v>2</v>
      </c>
      <c r="X680" t="s">
        <v>11021</v>
      </c>
      <c r="Y680" t="s">
        <v>11021</v>
      </c>
      <c r="Z680" t="str">
        <f>_xlfn.XLOOKUP(Employees[[#This Row],[Education]], EdLevel[EducationLevelID], EdLevel[EducationLevel])</f>
        <v xml:space="preserve">High School </v>
      </c>
      <c r="AA680">
        <f>IF(Employees[[#This Row],[Attrition]] = "Yes", 1, 0)</f>
        <v>0</v>
      </c>
      <c r="AB680" t="str" cm="1">
        <f t="array" ref="AB680">_xlfn.IFS(Employees[[#This Row],[Age]]&lt;30, "20-29", Employees[[#This Row],[Age]]&lt;40, "30-39", Employees[[#This Row],[Age]]&lt;50, "40-49", "TRUE", "50+")</f>
        <v>20-29</v>
      </c>
    </row>
    <row r="681" spans="1:28">
      <c r="A681" t="s">
        <v>2060</v>
      </c>
      <c r="B681" t="s">
        <v>2061</v>
      </c>
      <c r="C681" t="s">
        <v>1840</v>
      </c>
      <c r="D681" t="s">
        <v>38</v>
      </c>
      <c r="E681">
        <v>24</v>
      </c>
      <c r="F681" t="s">
        <v>27</v>
      </c>
      <c r="G681" t="s">
        <v>45</v>
      </c>
      <c r="H681">
        <v>36</v>
      </c>
      <c r="I681" t="s">
        <v>29</v>
      </c>
      <c r="J681" t="s">
        <v>66</v>
      </c>
      <c r="K681">
        <v>3</v>
      </c>
      <c r="L681" t="s">
        <v>45</v>
      </c>
      <c r="M681" t="s">
        <v>61</v>
      </c>
      <c r="N681" t="s">
        <v>49</v>
      </c>
      <c r="O681">
        <v>29428</v>
      </c>
      <c r="P681">
        <v>0</v>
      </c>
      <c r="Q681" t="s">
        <v>34</v>
      </c>
      <c r="R681" s="1">
        <v>42796</v>
      </c>
      <c r="S681" t="s">
        <v>34</v>
      </c>
      <c r="T681">
        <v>5</v>
      </c>
      <c r="U681">
        <v>5</v>
      </c>
      <c r="V681">
        <v>5</v>
      </c>
      <c r="W681">
        <v>0</v>
      </c>
      <c r="X681" t="s">
        <v>11022</v>
      </c>
      <c r="Y681" t="s">
        <v>11022</v>
      </c>
      <c r="Z681" t="str">
        <f>_xlfn.XLOOKUP(Employees[[#This Row],[Education]], EdLevel[EducationLevelID], EdLevel[EducationLevel])</f>
        <v xml:space="preserve">Bachelors </v>
      </c>
      <c r="AA681">
        <f>IF(Employees[[#This Row],[Attrition]] = "Yes", 1, 0)</f>
        <v>0</v>
      </c>
      <c r="AB681" t="str" cm="1">
        <f t="array" ref="AB681">_xlfn.IFS(Employees[[#This Row],[Age]]&lt;30, "20-29", Employees[[#This Row],[Age]]&lt;40, "30-39", Employees[[#This Row],[Age]]&lt;50, "40-49", "TRUE", "50+")</f>
        <v>20-29</v>
      </c>
    </row>
    <row r="682" spans="1:28">
      <c r="A682" t="s">
        <v>2062</v>
      </c>
      <c r="B682" t="s">
        <v>2063</v>
      </c>
      <c r="C682" t="s">
        <v>2064</v>
      </c>
      <c r="D682" t="s">
        <v>38</v>
      </c>
      <c r="E682">
        <v>24</v>
      </c>
      <c r="F682" t="s">
        <v>27</v>
      </c>
      <c r="G682" t="s">
        <v>28</v>
      </c>
      <c r="H682">
        <v>13</v>
      </c>
      <c r="I682" t="s">
        <v>39</v>
      </c>
      <c r="J682" t="s">
        <v>66</v>
      </c>
      <c r="K682">
        <v>2</v>
      </c>
      <c r="L682" t="s">
        <v>121</v>
      </c>
      <c r="M682" t="s">
        <v>32</v>
      </c>
      <c r="N682" t="s">
        <v>49</v>
      </c>
      <c r="O682">
        <v>64852</v>
      </c>
      <c r="P682">
        <v>1</v>
      </c>
      <c r="Q682" t="s">
        <v>34</v>
      </c>
      <c r="R682" s="1">
        <v>42799</v>
      </c>
      <c r="S682" t="s">
        <v>34</v>
      </c>
      <c r="T682">
        <v>5</v>
      </c>
      <c r="U682">
        <v>1</v>
      </c>
      <c r="V682">
        <v>5</v>
      </c>
      <c r="W682">
        <v>2</v>
      </c>
      <c r="X682" t="s">
        <v>11021</v>
      </c>
      <c r="Y682" t="s">
        <v>11021</v>
      </c>
      <c r="Z682" t="str">
        <f>_xlfn.XLOOKUP(Employees[[#This Row],[Education]], EdLevel[EducationLevelID], EdLevel[EducationLevel])</f>
        <v xml:space="preserve">High School </v>
      </c>
      <c r="AA682">
        <f>IF(Employees[[#This Row],[Attrition]] = "Yes", 1, 0)</f>
        <v>0</v>
      </c>
      <c r="AB682" t="str" cm="1">
        <f t="array" ref="AB682">_xlfn.IFS(Employees[[#This Row],[Age]]&lt;30, "20-29", Employees[[#This Row],[Age]]&lt;40, "30-39", Employees[[#This Row],[Age]]&lt;50, "40-49", "TRUE", "50+")</f>
        <v>20-29</v>
      </c>
    </row>
    <row r="683" spans="1:28">
      <c r="A683" t="s">
        <v>2065</v>
      </c>
      <c r="B683" t="s">
        <v>2066</v>
      </c>
      <c r="C683" t="s">
        <v>2067</v>
      </c>
      <c r="D683" t="s">
        <v>38</v>
      </c>
      <c r="E683">
        <v>23</v>
      </c>
      <c r="F683" t="s">
        <v>27</v>
      </c>
      <c r="G683" t="s">
        <v>54</v>
      </c>
      <c r="H683">
        <v>6</v>
      </c>
      <c r="I683" t="s">
        <v>39</v>
      </c>
      <c r="J683" t="s">
        <v>66</v>
      </c>
      <c r="K683">
        <v>4</v>
      </c>
      <c r="L683" t="s">
        <v>77</v>
      </c>
      <c r="M683" t="s">
        <v>101</v>
      </c>
      <c r="N683" t="s">
        <v>49</v>
      </c>
      <c r="O683">
        <v>87483</v>
      </c>
      <c r="P683">
        <v>1</v>
      </c>
      <c r="Q683" t="s">
        <v>41</v>
      </c>
      <c r="R683" s="1">
        <v>42800</v>
      </c>
      <c r="S683" t="s">
        <v>34</v>
      </c>
      <c r="T683">
        <v>5</v>
      </c>
      <c r="U683">
        <v>1</v>
      </c>
      <c r="V683">
        <v>2</v>
      </c>
      <c r="W683">
        <v>0</v>
      </c>
      <c r="X683" t="s">
        <v>11023</v>
      </c>
      <c r="Y683" t="s">
        <v>11023</v>
      </c>
      <c r="Z683" t="str">
        <f>_xlfn.XLOOKUP(Employees[[#This Row],[Education]], EdLevel[EducationLevelID], EdLevel[EducationLevel])</f>
        <v xml:space="preserve">Masters </v>
      </c>
      <c r="AA683">
        <f>IF(Employees[[#This Row],[Attrition]] = "Yes", 1, 0)</f>
        <v>0</v>
      </c>
      <c r="AB683" t="str" cm="1">
        <f t="array" ref="AB683">_xlfn.IFS(Employees[[#This Row],[Age]]&lt;30, "20-29", Employees[[#This Row],[Age]]&lt;40, "30-39", Employees[[#This Row],[Age]]&lt;50, "40-49", "TRUE", "50+")</f>
        <v>20-29</v>
      </c>
    </row>
    <row r="684" spans="1:28">
      <c r="A684" t="s">
        <v>2068</v>
      </c>
      <c r="B684" t="s">
        <v>2069</v>
      </c>
      <c r="C684" t="s">
        <v>2070</v>
      </c>
      <c r="D684" t="s">
        <v>26</v>
      </c>
      <c r="E684">
        <v>26</v>
      </c>
      <c r="F684" t="s">
        <v>27</v>
      </c>
      <c r="G684" t="s">
        <v>54</v>
      </c>
      <c r="H684">
        <v>23</v>
      </c>
      <c r="I684" t="s">
        <v>39</v>
      </c>
      <c r="J684" t="s">
        <v>137</v>
      </c>
      <c r="K684">
        <v>2</v>
      </c>
      <c r="L684" t="s">
        <v>72</v>
      </c>
      <c r="M684" t="s">
        <v>182</v>
      </c>
      <c r="N684" t="s">
        <v>49</v>
      </c>
      <c r="O684">
        <v>221954</v>
      </c>
      <c r="P684">
        <v>1</v>
      </c>
      <c r="Q684" t="s">
        <v>34</v>
      </c>
      <c r="R684" s="1">
        <v>42802</v>
      </c>
      <c r="S684" t="s">
        <v>34</v>
      </c>
      <c r="T684">
        <v>5</v>
      </c>
      <c r="U684">
        <v>0</v>
      </c>
      <c r="V684">
        <v>3</v>
      </c>
      <c r="W684">
        <v>1</v>
      </c>
      <c r="X684" t="s">
        <v>11021</v>
      </c>
      <c r="Y684" t="s">
        <v>11021</v>
      </c>
      <c r="Z684" t="str">
        <f>_xlfn.XLOOKUP(Employees[[#This Row],[Education]], EdLevel[EducationLevelID], EdLevel[EducationLevel])</f>
        <v xml:space="preserve">High School </v>
      </c>
      <c r="AA684">
        <f>IF(Employees[[#This Row],[Attrition]] = "Yes", 1, 0)</f>
        <v>0</v>
      </c>
      <c r="AB684" t="str" cm="1">
        <f t="array" ref="AB684">_xlfn.IFS(Employees[[#This Row],[Age]]&lt;30, "20-29", Employees[[#This Row],[Age]]&lt;40, "30-39", Employees[[#This Row],[Age]]&lt;50, "40-49", "TRUE", "50+")</f>
        <v>20-29</v>
      </c>
    </row>
    <row r="685" spans="1:28">
      <c r="A685" t="s">
        <v>2071</v>
      </c>
      <c r="B685" t="s">
        <v>2072</v>
      </c>
      <c r="C685" t="s">
        <v>2073</v>
      </c>
      <c r="D685" t="s">
        <v>26</v>
      </c>
      <c r="E685">
        <v>26</v>
      </c>
      <c r="F685" t="s">
        <v>70</v>
      </c>
      <c r="G685" t="s">
        <v>28</v>
      </c>
      <c r="H685">
        <v>8</v>
      </c>
      <c r="I685" t="s">
        <v>29</v>
      </c>
      <c r="J685" t="s">
        <v>30</v>
      </c>
      <c r="K685">
        <v>2</v>
      </c>
      <c r="L685" t="s">
        <v>60</v>
      </c>
      <c r="M685" t="s">
        <v>32</v>
      </c>
      <c r="N685" t="s">
        <v>49</v>
      </c>
      <c r="O685">
        <v>61686</v>
      </c>
      <c r="P685">
        <v>1</v>
      </c>
      <c r="Q685" t="s">
        <v>41</v>
      </c>
      <c r="R685" s="1">
        <v>42808</v>
      </c>
      <c r="S685" t="s">
        <v>34</v>
      </c>
      <c r="T685">
        <v>5</v>
      </c>
      <c r="U685">
        <v>0</v>
      </c>
      <c r="V685">
        <v>0</v>
      </c>
      <c r="W685">
        <v>1</v>
      </c>
      <c r="X685" t="s">
        <v>11021</v>
      </c>
      <c r="Y685" t="s">
        <v>11021</v>
      </c>
      <c r="Z685" t="str">
        <f>_xlfn.XLOOKUP(Employees[[#This Row],[Education]], EdLevel[EducationLevelID], EdLevel[EducationLevel])</f>
        <v xml:space="preserve">High School </v>
      </c>
      <c r="AA685">
        <f>IF(Employees[[#This Row],[Attrition]] = "Yes", 1, 0)</f>
        <v>0</v>
      </c>
      <c r="AB685" t="str" cm="1">
        <f t="array" ref="AB685">_xlfn.IFS(Employees[[#This Row],[Age]]&lt;30, "20-29", Employees[[#This Row],[Age]]&lt;40, "30-39", Employees[[#This Row],[Age]]&lt;50, "40-49", "TRUE", "50+")</f>
        <v>20-29</v>
      </c>
    </row>
    <row r="686" spans="1:28">
      <c r="A686" t="s">
        <v>2074</v>
      </c>
      <c r="B686" t="s">
        <v>2075</v>
      </c>
      <c r="C686" t="s">
        <v>2076</v>
      </c>
      <c r="D686" t="s">
        <v>38</v>
      </c>
      <c r="E686">
        <v>26</v>
      </c>
      <c r="F686" t="s">
        <v>27</v>
      </c>
      <c r="G686" t="s">
        <v>54</v>
      </c>
      <c r="H686">
        <v>15</v>
      </c>
      <c r="I686" t="s">
        <v>65</v>
      </c>
      <c r="J686" t="s">
        <v>30</v>
      </c>
      <c r="K686">
        <v>1</v>
      </c>
      <c r="L686" t="s">
        <v>72</v>
      </c>
      <c r="M686" t="s">
        <v>101</v>
      </c>
      <c r="N686" t="s">
        <v>49</v>
      </c>
      <c r="O686">
        <v>45085</v>
      </c>
      <c r="P686">
        <v>2</v>
      </c>
      <c r="Q686" t="s">
        <v>34</v>
      </c>
      <c r="R686" s="1">
        <v>42811</v>
      </c>
      <c r="S686" t="s">
        <v>34</v>
      </c>
      <c r="T686">
        <v>5</v>
      </c>
      <c r="U686">
        <v>2</v>
      </c>
      <c r="V686">
        <v>4</v>
      </c>
      <c r="W686">
        <v>2</v>
      </c>
      <c r="X686" t="s">
        <v>11020</v>
      </c>
      <c r="Y686" t="s">
        <v>11020</v>
      </c>
      <c r="Z686" t="str">
        <f>_xlfn.XLOOKUP(Employees[[#This Row],[Education]], EdLevel[EducationLevelID], EdLevel[EducationLevel])</f>
        <v>No Formal Qualifications</v>
      </c>
      <c r="AA686">
        <f>IF(Employees[[#This Row],[Attrition]] = "Yes", 1, 0)</f>
        <v>0</v>
      </c>
      <c r="AB686" t="str" cm="1">
        <f t="array" ref="AB686">_xlfn.IFS(Employees[[#This Row],[Age]]&lt;30, "20-29", Employees[[#This Row],[Age]]&lt;40, "30-39", Employees[[#This Row],[Age]]&lt;50, "40-49", "TRUE", "50+")</f>
        <v>20-29</v>
      </c>
    </row>
    <row r="687" spans="1:28">
      <c r="A687" t="s">
        <v>2077</v>
      </c>
      <c r="B687" t="s">
        <v>2078</v>
      </c>
      <c r="C687" t="s">
        <v>2079</v>
      </c>
      <c r="D687" t="s">
        <v>38</v>
      </c>
      <c r="E687">
        <v>24</v>
      </c>
      <c r="F687" t="s">
        <v>27</v>
      </c>
      <c r="G687" t="s">
        <v>54</v>
      </c>
      <c r="H687">
        <v>16</v>
      </c>
      <c r="I687" t="s">
        <v>39</v>
      </c>
      <c r="J687" t="s">
        <v>46</v>
      </c>
      <c r="K687">
        <v>1</v>
      </c>
      <c r="L687" t="s">
        <v>55</v>
      </c>
      <c r="M687" t="s">
        <v>93</v>
      </c>
      <c r="N687" t="s">
        <v>49</v>
      </c>
      <c r="O687">
        <v>55814</v>
      </c>
      <c r="P687">
        <v>2</v>
      </c>
      <c r="Q687" t="s">
        <v>34</v>
      </c>
      <c r="R687" s="1">
        <v>42815</v>
      </c>
      <c r="S687" t="s">
        <v>34</v>
      </c>
      <c r="T687">
        <v>5</v>
      </c>
      <c r="U687">
        <v>3</v>
      </c>
      <c r="V687">
        <v>4</v>
      </c>
      <c r="W687">
        <v>3</v>
      </c>
      <c r="X687" t="s">
        <v>11020</v>
      </c>
      <c r="Y687" t="s">
        <v>11020</v>
      </c>
      <c r="Z687" t="str">
        <f>_xlfn.XLOOKUP(Employees[[#This Row],[Education]], EdLevel[EducationLevelID], EdLevel[EducationLevel])</f>
        <v>No Formal Qualifications</v>
      </c>
      <c r="AA687">
        <f>IF(Employees[[#This Row],[Attrition]] = "Yes", 1, 0)</f>
        <v>0</v>
      </c>
      <c r="AB687" t="str" cm="1">
        <f t="array" ref="AB687">_xlfn.IFS(Employees[[#This Row],[Age]]&lt;30, "20-29", Employees[[#This Row],[Age]]&lt;40, "30-39", Employees[[#This Row],[Age]]&lt;50, "40-49", "TRUE", "50+")</f>
        <v>20-29</v>
      </c>
    </row>
    <row r="688" spans="1:28">
      <c r="A688" t="s">
        <v>2080</v>
      </c>
      <c r="B688" t="s">
        <v>2081</v>
      </c>
      <c r="C688" t="s">
        <v>2082</v>
      </c>
      <c r="D688" t="s">
        <v>26</v>
      </c>
      <c r="E688">
        <v>23</v>
      </c>
      <c r="F688" t="s">
        <v>27</v>
      </c>
      <c r="G688" t="s">
        <v>28</v>
      </c>
      <c r="H688">
        <v>16</v>
      </c>
      <c r="I688" t="s">
        <v>39</v>
      </c>
      <c r="J688" t="s">
        <v>30</v>
      </c>
      <c r="K688">
        <v>3</v>
      </c>
      <c r="L688" t="s">
        <v>31</v>
      </c>
      <c r="M688" t="s">
        <v>150</v>
      </c>
      <c r="N688" t="s">
        <v>40</v>
      </c>
      <c r="O688">
        <v>23794</v>
      </c>
      <c r="P688">
        <v>0</v>
      </c>
      <c r="Q688" t="s">
        <v>34</v>
      </c>
      <c r="R688" s="1">
        <v>42819</v>
      </c>
      <c r="S688" t="s">
        <v>41</v>
      </c>
      <c r="T688">
        <v>1</v>
      </c>
      <c r="U688">
        <v>0</v>
      </c>
      <c r="V688">
        <v>0</v>
      </c>
      <c r="W688">
        <v>0</v>
      </c>
      <c r="X688" t="s">
        <v>11022</v>
      </c>
      <c r="Y688" t="s">
        <v>11022</v>
      </c>
      <c r="Z688" t="str">
        <f>_xlfn.XLOOKUP(Employees[[#This Row],[Education]], EdLevel[EducationLevelID], EdLevel[EducationLevel])</f>
        <v xml:space="preserve">Bachelors </v>
      </c>
      <c r="AA688">
        <f>IF(Employees[[#This Row],[Attrition]] = "Yes", 1, 0)</f>
        <v>1</v>
      </c>
      <c r="AB688" t="str" cm="1">
        <f t="array" ref="AB688">_xlfn.IFS(Employees[[#This Row],[Age]]&lt;30, "20-29", Employees[[#This Row],[Age]]&lt;40, "30-39", Employees[[#This Row],[Age]]&lt;50, "40-49", "TRUE", "50+")</f>
        <v>20-29</v>
      </c>
    </row>
    <row r="689" spans="1:28">
      <c r="A689" t="s">
        <v>2083</v>
      </c>
      <c r="B689" t="s">
        <v>2084</v>
      </c>
      <c r="C689" t="s">
        <v>2085</v>
      </c>
      <c r="D689" t="s">
        <v>38</v>
      </c>
      <c r="E689">
        <v>25</v>
      </c>
      <c r="F689" t="s">
        <v>27</v>
      </c>
      <c r="G689" t="s">
        <v>45</v>
      </c>
      <c r="H689">
        <v>18</v>
      </c>
      <c r="I689" t="s">
        <v>65</v>
      </c>
      <c r="J689" t="s">
        <v>71</v>
      </c>
      <c r="K689">
        <v>4</v>
      </c>
      <c r="L689" t="s">
        <v>47</v>
      </c>
      <c r="M689" t="s">
        <v>48</v>
      </c>
      <c r="N689" t="s">
        <v>40</v>
      </c>
      <c r="O689">
        <v>190466</v>
      </c>
      <c r="P689">
        <v>0</v>
      </c>
      <c r="Q689" t="s">
        <v>34</v>
      </c>
      <c r="R689" s="1">
        <v>42820</v>
      </c>
      <c r="S689" t="s">
        <v>34</v>
      </c>
      <c r="T689">
        <v>5</v>
      </c>
      <c r="U689">
        <v>2</v>
      </c>
      <c r="V689">
        <v>2</v>
      </c>
      <c r="W689">
        <v>5</v>
      </c>
      <c r="X689" t="s">
        <v>11023</v>
      </c>
      <c r="Y689" t="s">
        <v>11023</v>
      </c>
      <c r="Z689" t="str">
        <f>_xlfn.XLOOKUP(Employees[[#This Row],[Education]], EdLevel[EducationLevelID], EdLevel[EducationLevel])</f>
        <v xml:space="preserve">Masters </v>
      </c>
      <c r="AA689">
        <f>IF(Employees[[#This Row],[Attrition]] = "Yes", 1, 0)</f>
        <v>0</v>
      </c>
      <c r="AB689" t="str" cm="1">
        <f t="array" ref="AB689">_xlfn.IFS(Employees[[#This Row],[Age]]&lt;30, "20-29", Employees[[#This Row],[Age]]&lt;40, "30-39", Employees[[#This Row],[Age]]&lt;50, "40-49", "TRUE", "50+")</f>
        <v>20-29</v>
      </c>
    </row>
    <row r="690" spans="1:28">
      <c r="A690" t="s">
        <v>2086</v>
      </c>
      <c r="B690" t="s">
        <v>2087</v>
      </c>
      <c r="C690" t="s">
        <v>2088</v>
      </c>
      <c r="D690" t="s">
        <v>38</v>
      </c>
      <c r="E690">
        <v>23</v>
      </c>
      <c r="F690" t="s">
        <v>27</v>
      </c>
      <c r="G690" t="s">
        <v>54</v>
      </c>
      <c r="H690">
        <v>45</v>
      </c>
      <c r="I690" t="s">
        <v>39</v>
      </c>
      <c r="J690" t="s">
        <v>46</v>
      </c>
      <c r="K690">
        <v>2</v>
      </c>
      <c r="L690" t="s">
        <v>55</v>
      </c>
      <c r="M690" t="s">
        <v>101</v>
      </c>
      <c r="N690" t="s">
        <v>49</v>
      </c>
      <c r="O690">
        <v>37322</v>
      </c>
      <c r="P690">
        <v>1</v>
      </c>
      <c r="Q690" t="s">
        <v>34</v>
      </c>
      <c r="R690" s="1">
        <v>42822</v>
      </c>
      <c r="S690" t="s">
        <v>34</v>
      </c>
      <c r="T690">
        <v>5</v>
      </c>
      <c r="U690">
        <v>3</v>
      </c>
      <c r="V690">
        <v>3</v>
      </c>
      <c r="W690">
        <v>3</v>
      </c>
      <c r="X690" t="s">
        <v>11021</v>
      </c>
      <c r="Y690" t="s">
        <v>11021</v>
      </c>
      <c r="Z690" t="str">
        <f>_xlfn.XLOOKUP(Employees[[#This Row],[Education]], EdLevel[EducationLevelID], EdLevel[EducationLevel])</f>
        <v xml:space="preserve">High School </v>
      </c>
      <c r="AA690">
        <f>IF(Employees[[#This Row],[Attrition]] = "Yes", 1, 0)</f>
        <v>0</v>
      </c>
      <c r="AB690" t="str" cm="1">
        <f t="array" ref="AB690">_xlfn.IFS(Employees[[#This Row],[Age]]&lt;30, "20-29", Employees[[#This Row],[Age]]&lt;40, "30-39", Employees[[#This Row],[Age]]&lt;50, "40-49", "TRUE", "50+")</f>
        <v>20-29</v>
      </c>
    </row>
    <row r="691" spans="1:28">
      <c r="A691" t="s">
        <v>2089</v>
      </c>
      <c r="B691" t="s">
        <v>1690</v>
      </c>
      <c r="C691" t="s">
        <v>2090</v>
      </c>
      <c r="D691" t="s">
        <v>38</v>
      </c>
      <c r="E691">
        <v>23</v>
      </c>
      <c r="F691" t="s">
        <v>27</v>
      </c>
      <c r="G691" t="s">
        <v>54</v>
      </c>
      <c r="H691">
        <v>33</v>
      </c>
      <c r="I691" t="s">
        <v>65</v>
      </c>
      <c r="J691" t="s">
        <v>76</v>
      </c>
      <c r="K691">
        <v>2</v>
      </c>
      <c r="L691" t="s">
        <v>72</v>
      </c>
      <c r="M691" t="s">
        <v>85</v>
      </c>
      <c r="N691" t="s">
        <v>49</v>
      </c>
      <c r="O691">
        <v>26198</v>
      </c>
      <c r="P691">
        <v>1</v>
      </c>
      <c r="Q691" t="s">
        <v>41</v>
      </c>
      <c r="R691" s="1">
        <v>42829</v>
      </c>
      <c r="S691" t="s">
        <v>34</v>
      </c>
      <c r="T691">
        <v>5</v>
      </c>
      <c r="U691">
        <v>4</v>
      </c>
      <c r="V691">
        <v>4</v>
      </c>
      <c r="W691">
        <v>0</v>
      </c>
      <c r="X691" t="s">
        <v>11021</v>
      </c>
      <c r="Y691" t="s">
        <v>11021</v>
      </c>
      <c r="Z691" t="str">
        <f>_xlfn.XLOOKUP(Employees[[#This Row],[Education]], EdLevel[EducationLevelID], EdLevel[EducationLevel])</f>
        <v xml:space="preserve">High School </v>
      </c>
      <c r="AA691">
        <f>IF(Employees[[#This Row],[Attrition]] = "Yes", 1, 0)</f>
        <v>0</v>
      </c>
      <c r="AB691" t="str" cm="1">
        <f t="array" ref="AB691">_xlfn.IFS(Employees[[#This Row],[Age]]&lt;30, "20-29", Employees[[#This Row],[Age]]&lt;40, "30-39", Employees[[#This Row],[Age]]&lt;50, "40-49", "TRUE", "50+")</f>
        <v>20-29</v>
      </c>
    </row>
    <row r="692" spans="1:28">
      <c r="A692" t="s">
        <v>2091</v>
      </c>
      <c r="B692" t="s">
        <v>2092</v>
      </c>
      <c r="C692" t="s">
        <v>2093</v>
      </c>
      <c r="D692" t="s">
        <v>38</v>
      </c>
      <c r="E692">
        <v>24</v>
      </c>
      <c r="F692" t="s">
        <v>27</v>
      </c>
      <c r="G692" t="s">
        <v>54</v>
      </c>
      <c r="H692">
        <v>35</v>
      </c>
      <c r="I692" t="s">
        <v>39</v>
      </c>
      <c r="J692" t="s">
        <v>71</v>
      </c>
      <c r="K692">
        <v>3</v>
      </c>
      <c r="L692" t="s">
        <v>72</v>
      </c>
      <c r="M692" t="s">
        <v>93</v>
      </c>
      <c r="N692" t="s">
        <v>49</v>
      </c>
      <c r="O692">
        <v>128126</v>
      </c>
      <c r="P692">
        <v>0</v>
      </c>
      <c r="Q692" t="s">
        <v>41</v>
      </c>
      <c r="R692" s="1">
        <v>42829</v>
      </c>
      <c r="S692" t="s">
        <v>34</v>
      </c>
      <c r="T692">
        <v>5</v>
      </c>
      <c r="U692">
        <v>0</v>
      </c>
      <c r="V692">
        <v>0</v>
      </c>
      <c r="W692">
        <v>5</v>
      </c>
      <c r="X692" t="s">
        <v>11022</v>
      </c>
      <c r="Y692" t="s">
        <v>11022</v>
      </c>
      <c r="Z692" t="str">
        <f>_xlfn.XLOOKUP(Employees[[#This Row],[Education]], EdLevel[EducationLevelID], EdLevel[EducationLevel])</f>
        <v xml:space="preserve">Bachelors </v>
      </c>
      <c r="AA692">
        <f>IF(Employees[[#This Row],[Attrition]] = "Yes", 1, 0)</f>
        <v>0</v>
      </c>
      <c r="AB692" t="str" cm="1">
        <f t="array" ref="AB692">_xlfn.IFS(Employees[[#This Row],[Age]]&lt;30, "20-29", Employees[[#This Row],[Age]]&lt;40, "30-39", Employees[[#This Row],[Age]]&lt;50, "40-49", "TRUE", "50+")</f>
        <v>20-29</v>
      </c>
    </row>
    <row r="693" spans="1:28">
      <c r="A693" t="s">
        <v>2094</v>
      </c>
      <c r="B693" t="s">
        <v>2095</v>
      </c>
      <c r="C693" t="s">
        <v>2096</v>
      </c>
      <c r="D693" t="s">
        <v>26</v>
      </c>
      <c r="E693">
        <v>26</v>
      </c>
      <c r="F693" t="s">
        <v>27</v>
      </c>
      <c r="G693" t="s">
        <v>28</v>
      </c>
      <c r="H693">
        <v>29</v>
      </c>
      <c r="I693" t="s">
        <v>65</v>
      </c>
      <c r="J693" t="s">
        <v>30</v>
      </c>
      <c r="K693">
        <v>1</v>
      </c>
      <c r="L693" t="s">
        <v>31</v>
      </c>
      <c r="M693" t="s">
        <v>97</v>
      </c>
      <c r="N693" t="s">
        <v>49</v>
      </c>
      <c r="O693">
        <v>172070</v>
      </c>
      <c r="P693">
        <v>1</v>
      </c>
      <c r="Q693" t="s">
        <v>34</v>
      </c>
      <c r="R693" s="1">
        <v>42834</v>
      </c>
      <c r="S693" t="s">
        <v>34</v>
      </c>
      <c r="T693">
        <v>5</v>
      </c>
      <c r="U693">
        <v>4</v>
      </c>
      <c r="V693">
        <v>4</v>
      </c>
      <c r="W693">
        <v>3</v>
      </c>
      <c r="X693" t="s">
        <v>11020</v>
      </c>
      <c r="Y693" t="s">
        <v>11020</v>
      </c>
      <c r="Z693" t="str">
        <f>_xlfn.XLOOKUP(Employees[[#This Row],[Education]], EdLevel[EducationLevelID], EdLevel[EducationLevel])</f>
        <v>No Formal Qualifications</v>
      </c>
      <c r="AA693">
        <f>IF(Employees[[#This Row],[Attrition]] = "Yes", 1, 0)</f>
        <v>0</v>
      </c>
      <c r="AB693" t="str" cm="1">
        <f t="array" ref="AB693">_xlfn.IFS(Employees[[#This Row],[Age]]&lt;30, "20-29", Employees[[#This Row],[Age]]&lt;40, "30-39", Employees[[#This Row],[Age]]&lt;50, "40-49", "TRUE", "50+")</f>
        <v>20-29</v>
      </c>
    </row>
    <row r="694" spans="1:28">
      <c r="A694" t="s">
        <v>2097</v>
      </c>
      <c r="B694" t="s">
        <v>2098</v>
      </c>
      <c r="C694" t="s">
        <v>2099</v>
      </c>
      <c r="D694" t="s">
        <v>38</v>
      </c>
      <c r="E694">
        <v>23</v>
      </c>
      <c r="F694" t="s">
        <v>27</v>
      </c>
      <c r="G694" t="s">
        <v>54</v>
      </c>
      <c r="H694">
        <v>5</v>
      </c>
      <c r="I694" t="s">
        <v>39</v>
      </c>
      <c r="J694" t="s">
        <v>46</v>
      </c>
      <c r="K694">
        <v>3</v>
      </c>
      <c r="L694" t="s">
        <v>72</v>
      </c>
      <c r="M694" t="s">
        <v>101</v>
      </c>
      <c r="N694" t="s">
        <v>40</v>
      </c>
      <c r="O694">
        <v>63709</v>
      </c>
      <c r="P694">
        <v>0</v>
      </c>
      <c r="Q694" t="s">
        <v>34</v>
      </c>
      <c r="R694" s="1">
        <v>42839</v>
      </c>
      <c r="S694" t="s">
        <v>41</v>
      </c>
      <c r="T694">
        <v>1</v>
      </c>
      <c r="U694">
        <v>0</v>
      </c>
      <c r="V694">
        <v>0</v>
      </c>
      <c r="W694">
        <v>0</v>
      </c>
      <c r="X694" t="s">
        <v>11022</v>
      </c>
      <c r="Y694" t="s">
        <v>11022</v>
      </c>
      <c r="Z694" t="str">
        <f>_xlfn.XLOOKUP(Employees[[#This Row],[Education]], EdLevel[EducationLevelID], EdLevel[EducationLevel])</f>
        <v xml:space="preserve">Bachelors </v>
      </c>
      <c r="AA694">
        <f>IF(Employees[[#This Row],[Attrition]] = "Yes", 1, 0)</f>
        <v>1</v>
      </c>
      <c r="AB694" t="str" cm="1">
        <f t="array" ref="AB694">_xlfn.IFS(Employees[[#This Row],[Age]]&lt;30, "20-29", Employees[[#This Row],[Age]]&lt;40, "30-39", Employees[[#This Row],[Age]]&lt;50, "40-49", "TRUE", "50+")</f>
        <v>20-29</v>
      </c>
    </row>
    <row r="695" spans="1:28">
      <c r="A695" t="s">
        <v>2100</v>
      </c>
      <c r="B695" t="s">
        <v>2101</v>
      </c>
      <c r="C695" t="s">
        <v>2102</v>
      </c>
      <c r="D695" t="s">
        <v>53</v>
      </c>
      <c r="E695">
        <v>25</v>
      </c>
      <c r="F695" t="s">
        <v>27</v>
      </c>
      <c r="G695" t="s">
        <v>54</v>
      </c>
      <c r="H695">
        <v>4</v>
      </c>
      <c r="I695" t="s">
        <v>39</v>
      </c>
      <c r="J695" t="s">
        <v>66</v>
      </c>
      <c r="K695">
        <v>3</v>
      </c>
      <c r="L695" t="s">
        <v>178</v>
      </c>
      <c r="M695" t="s">
        <v>93</v>
      </c>
      <c r="N695" t="s">
        <v>33</v>
      </c>
      <c r="O695">
        <v>39456</v>
      </c>
      <c r="P695">
        <v>2</v>
      </c>
      <c r="Q695" t="s">
        <v>34</v>
      </c>
      <c r="R695" s="1">
        <v>42840</v>
      </c>
      <c r="S695" t="s">
        <v>34</v>
      </c>
      <c r="T695">
        <v>5</v>
      </c>
      <c r="U695">
        <v>1</v>
      </c>
      <c r="V695">
        <v>5</v>
      </c>
      <c r="W695">
        <v>4</v>
      </c>
      <c r="X695" t="s">
        <v>11022</v>
      </c>
      <c r="Y695" t="s">
        <v>11022</v>
      </c>
      <c r="Z695" t="str">
        <f>_xlfn.XLOOKUP(Employees[[#This Row],[Education]], EdLevel[EducationLevelID], EdLevel[EducationLevel])</f>
        <v xml:space="preserve">Bachelors </v>
      </c>
      <c r="AA695">
        <f>IF(Employees[[#This Row],[Attrition]] = "Yes", 1, 0)</f>
        <v>0</v>
      </c>
      <c r="AB695" t="str" cm="1">
        <f t="array" ref="AB695">_xlfn.IFS(Employees[[#This Row],[Age]]&lt;30, "20-29", Employees[[#This Row],[Age]]&lt;40, "30-39", Employees[[#This Row],[Age]]&lt;50, "40-49", "TRUE", "50+")</f>
        <v>20-29</v>
      </c>
    </row>
    <row r="696" spans="1:28">
      <c r="A696" t="s">
        <v>2103</v>
      </c>
      <c r="B696" t="s">
        <v>2104</v>
      </c>
      <c r="C696" t="s">
        <v>2105</v>
      </c>
      <c r="D696" t="s">
        <v>26</v>
      </c>
      <c r="E696">
        <v>25</v>
      </c>
      <c r="F696" t="s">
        <v>84</v>
      </c>
      <c r="G696" t="s">
        <v>54</v>
      </c>
      <c r="H696">
        <v>5</v>
      </c>
      <c r="I696" t="s">
        <v>39</v>
      </c>
      <c r="J696" t="s">
        <v>66</v>
      </c>
      <c r="K696">
        <v>4</v>
      </c>
      <c r="L696" t="s">
        <v>55</v>
      </c>
      <c r="M696" t="s">
        <v>101</v>
      </c>
      <c r="N696" t="s">
        <v>40</v>
      </c>
      <c r="O696">
        <v>67151</v>
      </c>
      <c r="P696">
        <v>0</v>
      </c>
      <c r="Q696" t="s">
        <v>41</v>
      </c>
      <c r="R696" s="1">
        <v>42847</v>
      </c>
      <c r="S696" t="s">
        <v>34</v>
      </c>
      <c r="T696">
        <v>5</v>
      </c>
      <c r="U696">
        <v>4</v>
      </c>
      <c r="V696">
        <v>5</v>
      </c>
      <c r="W696">
        <v>4</v>
      </c>
      <c r="X696" t="s">
        <v>11023</v>
      </c>
      <c r="Y696" t="s">
        <v>11023</v>
      </c>
      <c r="Z696" t="str">
        <f>_xlfn.XLOOKUP(Employees[[#This Row],[Education]], EdLevel[EducationLevelID], EdLevel[EducationLevel])</f>
        <v xml:space="preserve">Masters </v>
      </c>
      <c r="AA696">
        <f>IF(Employees[[#This Row],[Attrition]] = "Yes", 1, 0)</f>
        <v>0</v>
      </c>
      <c r="AB696" t="str" cm="1">
        <f t="array" ref="AB696">_xlfn.IFS(Employees[[#This Row],[Age]]&lt;30, "20-29", Employees[[#This Row],[Age]]&lt;40, "30-39", Employees[[#This Row],[Age]]&lt;50, "40-49", "TRUE", "50+")</f>
        <v>20-29</v>
      </c>
    </row>
    <row r="697" spans="1:28">
      <c r="A697" t="s">
        <v>2106</v>
      </c>
      <c r="B697" t="s">
        <v>2107</v>
      </c>
      <c r="C697" t="s">
        <v>2108</v>
      </c>
      <c r="D697" t="s">
        <v>38</v>
      </c>
      <c r="E697">
        <v>26</v>
      </c>
      <c r="F697" t="s">
        <v>84</v>
      </c>
      <c r="G697" t="s">
        <v>54</v>
      </c>
      <c r="H697">
        <v>12</v>
      </c>
      <c r="I697" t="s">
        <v>29</v>
      </c>
      <c r="J697" t="s">
        <v>30</v>
      </c>
      <c r="K697">
        <v>3</v>
      </c>
      <c r="L697" t="s">
        <v>77</v>
      </c>
      <c r="M697" t="s">
        <v>85</v>
      </c>
      <c r="N697" t="s">
        <v>49</v>
      </c>
      <c r="O697">
        <v>29449</v>
      </c>
      <c r="P697">
        <v>1</v>
      </c>
      <c r="Q697" t="s">
        <v>34</v>
      </c>
      <c r="R697" s="1">
        <v>42847</v>
      </c>
      <c r="S697" t="s">
        <v>34</v>
      </c>
      <c r="T697">
        <v>5</v>
      </c>
      <c r="U697">
        <v>1</v>
      </c>
      <c r="V697">
        <v>3</v>
      </c>
      <c r="W697">
        <v>1</v>
      </c>
      <c r="X697" t="s">
        <v>11022</v>
      </c>
      <c r="Y697" t="s">
        <v>11022</v>
      </c>
      <c r="Z697" t="str">
        <f>_xlfn.XLOOKUP(Employees[[#This Row],[Education]], EdLevel[EducationLevelID], EdLevel[EducationLevel])</f>
        <v xml:space="preserve">Bachelors </v>
      </c>
      <c r="AA697">
        <f>IF(Employees[[#This Row],[Attrition]] = "Yes", 1, 0)</f>
        <v>0</v>
      </c>
      <c r="AB697" t="str" cm="1">
        <f t="array" ref="AB697">_xlfn.IFS(Employees[[#This Row],[Age]]&lt;30, "20-29", Employees[[#This Row],[Age]]&lt;40, "30-39", Employees[[#This Row],[Age]]&lt;50, "40-49", "TRUE", "50+")</f>
        <v>20-29</v>
      </c>
    </row>
    <row r="698" spans="1:28">
      <c r="A698" t="s">
        <v>2109</v>
      </c>
      <c r="B698" t="s">
        <v>2110</v>
      </c>
      <c r="C698" t="s">
        <v>2111</v>
      </c>
      <c r="D698" t="s">
        <v>53</v>
      </c>
      <c r="E698">
        <v>24</v>
      </c>
      <c r="F698" t="s">
        <v>27</v>
      </c>
      <c r="G698" t="s">
        <v>54</v>
      </c>
      <c r="H698">
        <v>23</v>
      </c>
      <c r="I698" t="s">
        <v>39</v>
      </c>
      <c r="J698" t="s">
        <v>137</v>
      </c>
      <c r="K698">
        <v>3</v>
      </c>
      <c r="L698" t="s">
        <v>55</v>
      </c>
      <c r="M698" t="s">
        <v>85</v>
      </c>
      <c r="N698" t="s">
        <v>40</v>
      </c>
      <c r="O698">
        <v>100586</v>
      </c>
      <c r="P698">
        <v>0</v>
      </c>
      <c r="Q698" t="s">
        <v>34</v>
      </c>
      <c r="R698" s="1">
        <v>42848</v>
      </c>
      <c r="S698" t="s">
        <v>41</v>
      </c>
      <c r="T698">
        <v>4</v>
      </c>
      <c r="U698">
        <v>4</v>
      </c>
      <c r="V698">
        <v>4</v>
      </c>
      <c r="W698">
        <v>4</v>
      </c>
      <c r="X698" t="s">
        <v>11022</v>
      </c>
      <c r="Y698" t="s">
        <v>11022</v>
      </c>
      <c r="Z698" t="str">
        <f>_xlfn.XLOOKUP(Employees[[#This Row],[Education]], EdLevel[EducationLevelID], EdLevel[EducationLevel])</f>
        <v xml:space="preserve">Bachelors </v>
      </c>
      <c r="AA698">
        <f>IF(Employees[[#This Row],[Attrition]] = "Yes", 1, 0)</f>
        <v>1</v>
      </c>
      <c r="AB698" t="str" cm="1">
        <f t="array" ref="AB698">_xlfn.IFS(Employees[[#This Row],[Age]]&lt;30, "20-29", Employees[[#This Row],[Age]]&lt;40, "30-39", Employees[[#This Row],[Age]]&lt;50, "40-49", "TRUE", "50+")</f>
        <v>20-29</v>
      </c>
    </row>
    <row r="699" spans="1:28">
      <c r="A699" t="s">
        <v>2112</v>
      </c>
      <c r="B699" t="s">
        <v>2113</v>
      </c>
      <c r="C699" t="s">
        <v>2114</v>
      </c>
      <c r="D699" t="s">
        <v>38</v>
      </c>
      <c r="E699">
        <v>25</v>
      </c>
      <c r="F699" t="s">
        <v>27</v>
      </c>
      <c r="G699" t="s">
        <v>45</v>
      </c>
      <c r="H699">
        <v>44</v>
      </c>
      <c r="I699" t="s">
        <v>39</v>
      </c>
      <c r="J699" t="s">
        <v>71</v>
      </c>
      <c r="K699">
        <v>4</v>
      </c>
      <c r="L699" t="s">
        <v>121</v>
      </c>
      <c r="M699" t="s">
        <v>207</v>
      </c>
      <c r="N699" t="s">
        <v>49</v>
      </c>
      <c r="O699">
        <v>132102</v>
      </c>
      <c r="P699">
        <v>1</v>
      </c>
      <c r="Q699" t="s">
        <v>34</v>
      </c>
      <c r="R699" s="1">
        <v>42848</v>
      </c>
      <c r="S699" t="s">
        <v>34</v>
      </c>
      <c r="T699">
        <v>5</v>
      </c>
      <c r="U699">
        <v>5</v>
      </c>
      <c r="V699">
        <v>5</v>
      </c>
      <c r="W699">
        <v>0</v>
      </c>
      <c r="X699" t="s">
        <v>11023</v>
      </c>
      <c r="Y699" t="s">
        <v>11023</v>
      </c>
      <c r="Z699" t="str">
        <f>_xlfn.XLOOKUP(Employees[[#This Row],[Education]], EdLevel[EducationLevelID], EdLevel[EducationLevel])</f>
        <v xml:space="preserve">Masters </v>
      </c>
      <c r="AA699">
        <f>IF(Employees[[#This Row],[Attrition]] = "Yes", 1, 0)</f>
        <v>0</v>
      </c>
      <c r="AB699" t="str" cm="1">
        <f t="array" ref="AB699">_xlfn.IFS(Employees[[#This Row],[Age]]&lt;30, "20-29", Employees[[#This Row],[Age]]&lt;40, "30-39", Employees[[#This Row],[Age]]&lt;50, "40-49", "TRUE", "50+")</f>
        <v>20-29</v>
      </c>
    </row>
    <row r="700" spans="1:28">
      <c r="A700" t="s">
        <v>2115</v>
      </c>
      <c r="B700" t="s">
        <v>233</v>
      </c>
      <c r="C700" t="s">
        <v>2116</v>
      </c>
      <c r="D700" t="s">
        <v>38</v>
      </c>
      <c r="E700">
        <v>24</v>
      </c>
      <c r="F700" t="s">
        <v>27</v>
      </c>
      <c r="G700" t="s">
        <v>45</v>
      </c>
      <c r="H700">
        <v>1</v>
      </c>
      <c r="I700" t="s">
        <v>29</v>
      </c>
      <c r="J700" t="s">
        <v>66</v>
      </c>
      <c r="K700">
        <v>5</v>
      </c>
      <c r="L700" t="s">
        <v>45</v>
      </c>
      <c r="M700" t="s">
        <v>207</v>
      </c>
      <c r="N700" t="s">
        <v>49</v>
      </c>
      <c r="O700">
        <v>44634</v>
      </c>
      <c r="P700">
        <v>0</v>
      </c>
      <c r="Q700" t="s">
        <v>34</v>
      </c>
      <c r="R700" s="1">
        <v>42850</v>
      </c>
      <c r="S700" t="s">
        <v>41</v>
      </c>
      <c r="T700">
        <v>4</v>
      </c>
      <c r="U700">
        <v>3</v>
      </c>
      <c r="V700">
        <v>3</v>
      </c>
      <c r="W700">
        <v>2</v>
      </c>
      <c r="X700" t="s">
        <v>11024</v>
      </c>
      <c r="Y700" t="s">
        <v>11024</v>
      </c>
      <c r="Z700" t="str">
        <f>_xlfn.XLOOKUP(Employees[[#This Row],[Education]], EdLevel[EducationLevelID], EdLevel[EducationLevel])</f>
        <v>Doctorate</v>
      </c>
      <c r="AA700">
        <f>IF(Employees[[#This Row],[Attrition]] = "Yes", 1, 0)</f>
        <v>1</v>
      </c>
      <c r="AB700" t="str" cm="1">
        <f t="array" ref="AB700">_xlfn.IFS(Employees[[#This Row],[Age]]&lt;30, "20-29", Employees[[#This Row],[Age]]&lt;40, "30-39", Employees[[#This Row],[Age]]&lt;50, "40-49", "TRUE", "50+")</f>
        <v>20-29</v>
      </c>
    </row>
    <row r="701" spans="1:28">
      <c r="A701" t="s">
        <v>2117</v>
      </c>
      <c r="B701" t="s">
        <v>2046</v>
      </c>
      <c r="C701" t="s">
        <v>2118</v>
      </c>
      <c r="D701" t="s">
        <v>53</v>
      </c>
      <c r="E701">
        <v>23</v>
      </c>
      <c r="F701" t="s">
        <v>27</v>
      </c>
      <c r="G701" t="s">
        <v>54</v>
      </c>
      <c r="H701">
        <v>7</v>
      </c>
      <c r="I701" t="s">
        <v>65</v>
      </c>
      <c r="J701" t="s">
        <v>46</v>
      </c>
      <c r="K701">
        <v>3</v>
      </c>
      <c r="L701" t="s">
        <v>178</v>
      </c>
      <c r="M701" t="s">
        <v>101</v>
      </c>
      <c r="N701" t="s">
        <v>40</v>
      </c>
      <c r="O701">
        <v>28753</v>
      </c>
      <c r="P701">
        <v>0</v>
      </c>
      <c r="Q701" t="s">
        <v>34</v>
      </c>
      <c r="R701" s="1">
        <v>42857</v>
      </c>
      <c r="S701" t="s">
        <v>41</v>
      </c>
      <c r="T701">
        <v>2</v>
      </c>
      <c r="U701">
        <v>1</v>
      </c>
      <c r="V701">
        <v>1</v>
      </c>
      <c r="W701">
        <v>0</v>
      </c>
      <c r="X701" t="s">
        <v>11022</v>
      </c>
      <c r="Y701" t="s">
        <v>11022</v>
      </c>
      <c r="Z701" t="str">
        <f>_xlfn.XLOOKUP(Employees[[#This Row],[Education]], EdLevel[EducationLevelID], EdLevel[EducationLevel])</f>
        <v xml:space="preserve">Bachelors </v>
      </c>
      <c r="AA701">
        <f>IF(Employees[[#This Row],[Attrition]] = "Yes", 1, 0)</f>
        <v>1</v>
      </c>
      <c r="AB701" t="str" cm="1">
        <f t="array" ref="AB701">_xlfn.IFS(Employees[[#This Row],[Age]]&lt;30, "20-29", Employees[[#This Row],[Age]]&lt;40, "30-39", Employees[[#This Row],[Age]]&lt;50, "40-49", "TRUE", "50+")</f>
        <v>20-29</v>
      </c>
    </row>
    <row r="702" spans="1:28">
      <c r="A702" t="s">
        <v>2119</v>
      </c>
      <c r="B702" t="s">
        <v>2120</v>
      </c>
      <c r="C702" t="s">
        <v>2121</v>
      </c>
      <c r="D702" t="s">
        <v>38</v>
      </c>
      <c r="E702">
        <v>25</v>
      </c>
      <c r="F702" t="s">
        <v>27</v>
      </c>
      <c r="G702" t="s">
        <v>54</v>
      </c>
      <c r="H702">
        <v>20</v>
      </c>
      <c r="I702" t="s">
        <v>39</v>
      </c>
      <c r="J702" t="s">
        <v>30</v>
      </c>
      <c r="K702">
        <v>3</v>
      </c>
      <c r="L702" t="s">
        <v>55</v>
      </c>
      <c r="M702" t="s">
        <v>85</v>
      </c>
      <c r="N702" t="s">
        <v>49</v>
      </c>
      <c r="O702">
        <v>27673</v>
      </c>
      <c r="P702">
        <v>2</v>
      </c>
      <c r="Q702" t="s">
        <v>41</v>
      </c>
      <c r="R702" s="1">
        <v>42860</v>
      </c>
      <c r="S702" t="s">
        <v>41</v>
      </c>
      <c r="T702">
        <v>3</v>
      </c>
      <c r="U702">
        <v>2</v>
      </c>
      <c r="V702">
        <v>3</v>
      </c>
      <c r="W702">
        <v>1</v>
      </c>
      <c r="X702" t="s">
        <v>11022</v>
      </c>
      <c r="Y702" t="s">
        <v>11022</v>
      </c>
      <c r="Z702" t="str">
        <f>_xlfn.XLOOKUP(Employees[[#This Row],[Education]], EdLevel[EducationLevelID], EdLevel[EducationLevel])</f>
        <v xml:space="preserve">Bachelors </v>
      </c>
      <c r="AA702">
        <f>IF(Employees[[#This Row],[Attrition]] = "Yes", 1, 0)</f>
        <v>1</v>
      </c>
      <c r="AB702" t="str" cm="1">
        <f t="array" ref="AB702">_xlfn.IFS(Employees[[#This Row],[Age]]&lt;30, "20-29", Employees[[#This Row],[Age]]&lt;40, "30-39", Employees[[#This Row],[Age]]&lt;50, "40-49", "TRUE", "50+")</f>
        <v>20-29</v>
      </c>
    </row>
    <row r="703" spans="1:28">
      <c r="A703" t="s">
        <v>2122</v>
      </c>
      <c r="B703" t="s">
        <v>2123</v>
      </c>
      <c r="C703" t="s">
        <v>2124</v>
      </c>
      <c r="D703" t="s">
        <v>26</v>
      </c>
      <c r="E703">
        <v>26</v>
      </c>
      <c r="F703" t="s">
        <v>27</v>
      </c>
      <c r="G703" t="s">
        <v>54</v>
      </c>
      <c r="H703">
        <v>18</v>
      </c>
      <c r="I703" t="s">
        <v>39</v>
      </c>
      <c r="J703" t="s">
        <v>30</v>
      </c>
      <c r="K703">
        <v>3</v>
      </c>
      <c r="L703" t="s">
        <v>55</v>
      </c>
      <c r="M703" t="s">
        <v>85</v>
      </c>
      <c r="N703" t="s">
        <v>33</v>
      </c>
      <c r="O703">
        <v>26414</v>
      </c>
      <c r="P703">
        <v>2</v>
      </c>
      <c r="Q703" t="s">
        <v>34</v>
      </c>
      <c r="R703" s="1">
        <v>42869</v>
      </c>
      <c r="S703" t="s">
        <v>34</v>
      </c>
      <c r="T703">
        <v>5</v>
      </c>
      <c r="U703">
        <v>5</v>
      </c>
      <c r="V703">
        <v>5</v>
      </c>
      <c r="W703">
        <v>0</v>
      </c>
      <c r="X703" t="s">
        <v>11022</v>
      </c>
      <c r="Y703" t="s">
        <v>11022</v>
      </c>
      <c r="Z703" t="str">
        <f>_xlfn.XLOOKUP(Employees[[#This Row],[Education]], EdLevel[EducationLevelID], EdLevel[EducationLevel])</f>
        <v xml:space="preserve">Bachelors </v>
      </c>
      <c r="AA703">
        <f>IF(Employees[[#This Row],[Attrition]] = "Yes", 1, 0)</f>
        <v>0</v>
      </c>
      <c r="AB703" t="str" cm="1">
        <f t="array" ref="AB703">_xlfn.IFS(Employees[[#This Row],[Age]]&lt;30, "20-29", Employees[[#This Row],[Age]]&lt;40, "30-39", Employees[[#This Row],[Age]]&lt;50, "40-49", "TRUE", "50+")</f>
        <v>20-29</v>
      </c>
    </row>
    <row r="704" spans="1:28">
      <c r="A704" t="s">
        <v>2125</v>
      </c>
      <c r="B704" t="s">
        <v>2126</v>
      </c>
      <c r="C704" t="s">
        <v>2127</v>
      </c>
      <c r="D704" t="s">
        <v>38</v>
      </c>
      <c r="E704">
        <v>25</v>
      </c>
      <c r="F704" t="s">
        <v>27</v>
      </c>
      <c r="G704" t="s">
        <v>54</v>
      </c>
      <c r="H704">
        <v>9</v>
      </c>
      <c r="I704" t="s">
        <v>65</v>
      </c>
      <c r="J704" t="s">
        <v>30</v>
      </c>
      <c r="K704">
        <v>3</v>
      </c>
      <c r="L704" t="s">
        <v>72</v>
      </c>
      <c r="M704" t="s">
        <v>56</v>
      </c>
      <c r="N704" t="s">
        <v>40</v>
      </c>
      <c r="O704">
        <v>243908</v>
      </c>
      <c r="P704">
        <v>0</v>
      </c>
      <c r="Q704" t="s">
        <v>34</v>
      </c>
      <c r="R704" s="1">
        <v>42870</v>
      </c>
      <c r="S704" t="s">
        <v>34</v>
      </c>
      <c r="T704">
        <v>5</v>
      </c>
      <c r="U704">
        <v>4</v>
      </c>
      <c r="V704">
        <v>4</v>
      </c>
      <c r="W704">
        <v>1</v>
      </c>
      <c r="X704" t="s">
        <v>11022</v>
      </c>
      <c r="Y704" t="s">
        <v>11022</v>
      </c>
      <c r="Z704" t="str">
        <f>_xlfn.XLOOKUP(Employees[[#This Row],[Education]], EdLevel[EducationLevelID], EdLevel[EducationLevel])</f>
        <v xml:space="preserve">Bachelors </v>
      </c>
      <c r="AA704">
        <f>IF(Employees[[#This Row],[Attrition]] = "Yes", 1, 0)</f>
        <v>0</v>
      </c>
      <c r="AB704" t="str" cm="1">
        <f t="array" ref="AB704">_xlfn.IFS(Employees[[#This Row],[Age]]&lt;30, "20-29", Employees[[#This Row],[Age]]&lt;40, "30-39", Employees[[#This Row],[Age]]&lt;50, "40-49", "TRUE", "50+")</f>
        <v>20-29</v>
      </c>
    </row>
    <row r="705" spans="1:28">
      <c r="A705" t="s">
        <v>2128</v>
      </c>
      <c r="B705" t="s">
        <v>2129</v>
      </c>
      <c r="C705" t="s">
        <v>2130</v>
      </c>
      <c r="D705" t="s">
        <v>26</v>
      </c>
      <c r="E705">
        <v>24</v>
      </c>
      <c r="F705" t="s">
        <v>70</v>
      </c>
      <c r="G705" t="s">
        <v>54</v>
      </c>
      <c r="H705">
        <v>26</v>
      </c>
      <c r="I705" t="s">
        <v>39</v>
      </c>
      <c r="J705" t="s">
        <v>46</v>
      </c>
      <c r="K705">
        <v>4</v>
      </c>
      <c r="L705" t="s">
        <v>55</v>
      </c>
      <c r="M705" t="s">
        <v>105</v>
      </c>
      <c r="N705" t="s">
        <v>33</v>
      </c>
      <c r="O705">
        <v>77358</v>
      </c>
      <c r="P705">
        <v>1</v>
      </c>
      <c r="Q705" t="s">
        <v>41</v>
      </c>
      <c r="R705" s="1">
        <v>42885</v>
      </c>
      <c r="S705" t="s">
        <v>34</v>
      </c>
      <c r="T705">
        <v>5</v>
      </c>
      <c r="U705">
        <v>0</v>
      </c>
      <c r="V705">
        <v>0</v>
      </c>
      <c r="W705">
        <v>4</v>
      </c>
      <c r="X705" t="s">
        <v>11023</v>
      </c>
      <c r="Y705" t="s">
        <v>11023</v>
      </c>
      <c r="Z705" t="str">
        <f>_xlfn.XLOOKUP(Employees[[#This Row],[Education]], EdLevel[EducationLevelID], EdLevel[EducationLevel])</f>
        <v xml:space="preserve">Masters </v>
      </c>
      <c r="AA705">
        <f>IF(Employees[[#This Row],[Attrition]] = "Yes", 1, 0)</f>
        <v>0</v>
      </c>
      <c r="AB705" t="str" cm="1">
        <f t="array" ref="AB705">_xlfn.IFS(Employees[[#This Row],[Age]]&lt;30, "20-29", Employees[[#This Row],[Age]]&lt;40, "30-39", Employees[[#This Row],[Age]]&lt;50, "40-49", "TRUE", "50+")</f>
        <v>20-29</v>
      </c>
    </row>
    <row r="706" spans="1:28">
      <c r="A706" t="s">
        <v>2131</v>
      </c>
      <c r="B706" t="s">
        <v>2132</v>
      </c>
      <c r="C706" t="s">
        <v>2133</v>
      </c>
      <c r="D706" t="s">
        <v>38</v>
      </c>
      <c r="E706">
        <v>41</v>
      </c>
      <c r="F706" t="s">
        <v>27</v>
      </c>
      <c r="G706" t="s">
        <v>28</v>
      </c>
      <c r="H706">
        <v>25</v>
      </c>
      <c r="I706" t="s">
        <v>39</v>
      </c>
      <c r="J706" t="s">
        <v>137</v>
      </c>
      <c r="K706">
        <v>3</v>
      </c>
      <c r="L706" t="s">
        <v>47</v>
      </c>
      <c r="M706" t="s">
        <v>32</v>
      </c>
      <c r="N706" t="s">
        <v>40</v>
      </c>
      <c r="O706">
        <v>231843</v>
      </c>
      <c r="P706">
        <v>0</v>
      </c>
      <c r="Q706" t="s">
        <v>41</v>
      </c>
      <c r="R706" s="1">
        <v>42887</v>
      </c>
      <c r="S706" t="s">
        <v>41</v>
      </c>
      <c r="T706">
        <v>1</v>
      </c>
      <c r="U706">
        <v>1</v>
      </c>
      <c r="V706">
        <v>1</v>
      </c>
      <c r="W706">
        <v>0</v>
      </c>
      <c r="X706" t="s">
        <v>11022</v>
      </c>
      <c r="Y706" t="s">
        <v>11022</v>
      </c>
      <c r="Z706" t="str">
        <f>_xlfn.XLOOKUP(Employees[[#This Row],[Education]], EdLevel[EducationLevelID], EdLevel[EducationLevel])</f>
        <v xml:space="preserve">Bachelors </v>
      </c>
      <c r="AA706">
        <f>IF(Employees[[#This Row],[Attrition]] = "Yes", 1, 0)</f>
        <v>1</v>
      </c>
      <c r="AB706" t="str" cm="1">
        <f t="array" ref="AB706">_xlfn.IFS(Employees[[#This Row],[Age]]&lt;30, "20-29", Employees[[#This Row],[Age]]&lt;40, "30-39", Employees[[#This Row],[Age]]&lt;50, "40-49", "TRUE", "50+")</f>
        <v>40-49</v>
      </c>
    </row>
    <row r="707" spans="1:28">
      <c r="A707" t="s">
        <v>2134</v>
      </c>
      <c r="B707" t="s">
        <v>2135</v>
      </c>
      <c r="C707" t="s">
        <v>2136</v>
      </c>
      <c r="D707" t="s">
        <v>26</v>
      </c>
      <c r="E707">
        <v>25</v>
      </c>
      <c r="F707" t="s">
        <v>70</v>
      </c>
      <c r="G707" t="s">
        <v>54</v>
      </c>
      <c r="H707">
        <v>30</v>
      </c>
      <c r="I707" t="s">
        <v>39</v>
      </c>
      <c r="J707" t="s">
        <v>30</v>
      </c>
      <c r="K707">
        <v>2</v>
      </c>
      <c r="L707" t="s">
        <v>55</v>
      </c>
      <c r="M707" t="s">
        <v>105</v>
      </c>
      <c r="N707" t="s">
        <v>33</v>
      </c>
      <c r="O707">
        <v>43644</v>
      </c>
      <c r="P707">
        <v>2</v>
      </c>
      <c r="Q707" t="s">
        <v>34</v>
      </c>
      <c r="R707" s="1">
        <v>42888</v>
      </c>
      <c r="S707" t="s">
        <v>34</v>
      </c>
      <c r="T707">
        <v>5</v>
      </c>
      <c r="U707">
        <v>3</v>
      </c>
      <c r="V707">
        <v>3</v>
      </c>
      <c r="W707">
        <v>5</v>
      </c>
      <c r="X707" t="s">
        <v>11021</v>
      </c>
      <c r="Y707" t="s">
        <v>11021</v>
      </c>
      <c r="Z707" t="str">
        <f>_xlfn.XLOOKUP(Employees[[#This Row],[Education]], EdLevel[EducationLevelID], EdLevel[EducationLevel])</f>
        <v xml:space="preserve">High School </v>
      </c>
      <c r="AA707">
        <f>IF(Employees[[#This Row],[Attrition]] = "Yes", 1, 0)</f>
        <v>0</v>
      </c>
      <c r="AB707" t="str" cm="1">
        <f t="array" ref="AB707">_xlfn.IFS(Employees[[#This Row],[Age]]&lt;30, "20-29", Employees[[#This Row],[Age]]&lt;40, "30-39", Employees[[#This Row],[Age]]&lt;50, "40-49", "TRUE", "50+")</f>
        <v>20-29</v>
      </c>
    </row>
    <row r="708" spans="1:28">
      <c r="A708" t="s">
        <v>2137</v>
      </c>
      <c r="B708" t="s">
        <v>2138</v>
      </c>
      <c r="C708" t="s">
        <v>2139</v>
      </c>
      <c r="D708" t="s">
        <v>38</v>
      </c>
      <c r="E708">
        <v>25</v>
      </c>
      <c r="F708" t="s">
        <v>27</v>
      </c>
      <c r="G708" t="s">
        <v>28</v>
      </c>
      <c r="H708">
        <v>44</v>
      </c>
      <c r="I708" t="s">
        <v>39</v>
      </c>
      <c r="J708" t="s">
        <v>66</v>
      </c>
      <c r="K708">
        <v>2</v>
      </c>
      <c r="L708" t="s">
        <v>31</v>
      </c>
      <c r="M708" t="s">
        <v>32</v>
      </c>
      <c r="N708" t="s">
        <v>49</v>
      </c>
      <c r="O708">
        <v>75635</v>
      </c>
      <c r="P708">
        <v>2</v>
      </c>
      <c r="Q708" t="s">
        <v>34</v>
      </c>
      <c r="R708" s="1">
        <v>42893</v>
      </c>
      <c r="S708" t="s">
        <v>34</v>
      </c>
      <c r="T708">
        <v>5</v>
      </c>
      <c r="U708">
        <v>2</v>
      </c>
      <c r="V708">
        <v>2</v>
      </c>
      <c r="W708">
        <v>5</v>
      </c>
      <c r="X708" t="s">
        <v>11021</v>
      </c>
      <c r="Y708" t="s">
        <v>11021</v>
      </c>
      <c r="Z708" t="str">
        <f>_xlfn.XLOOKUP(Employees[[#This Row],[Education]], EdLevel[EducationLevelID], EdLevel[EducationLevel])</f>
        <v xml:space="preserve">High School </v>
      </c>
      <c r="AA708">
        <f>IF(Employees[[#This Row],[Attrition]] = "Yes", 1, 0)</f>
        <v>0</v>
      </c>
      <c r="AB708" t="str" cm="1">
        <f t="array" ref="AB708">_xlfn.IFS(Employees[[#This Row],[Age]]&lt;30, "20-29", Employees[[#This Row],[Age]]&lt;40, "30-39", Employees[[#This Row],[Age]]&lt;50, "40-49", "TRUE", "50+")</f>
        <v>20-29</v>
      </c>
    </row>
    <row r="709" spans="1:28">
      <c r="A709" t="s">
        <v>2140</v>
      </c>
      <c r="B709" t="s">
        <v>1835</v>
      </c>
      <c r="C709" t="s">
        <v>2141</v>
      </c>
      <c r="D709" t="s">
        <v>38</v>
      </c>
      <c r="E709">
        <v>25</v>
      </c>
      <c r="F709" t="s">
        <v>84</v>
      </c>
      <c r="G709" t="s">
        <v>54</v>
      </c>
      <c r="H709">
        <v>20</v>
      </c>
      <c r="I709" t="s">
        <v>65</v>
      </c>
      <c r="J709" t="s">
        <v>137</v>
      </c>
      <c r="K709">
        <v>3</v>
      </c>
      <c r="L709" t="s">
        <v>72</v>
      </c>
      <c r="M709" t="s">
        <v>85</v>
      </c>
      <c r="N709" t="s">
        <v>40</v>
      </c>
      <c r="O709">
        <v>61054</v>
      </c>
      <c r="P709">
        <v>0</v>
      </c>
      <c r="Q709" t="s">
        <v>34</v>
      </c>
      <c r="R709" s="1">
        <v>42910</v>
      </c>
      <c r="S709" t="s">
        <v>34</v>
      </c>
      <c r="T709">
        <v>5</v>
      </c>
      <c r="U709">
        <v>0</v>
      </c>
      <c r="V709">
        <v>1</v>
      </c>
      <c r="W709">
        <v>0</v>
      </c>
      <c r="X709" t="s">
        <v>11022</v>
      </c>
      <c r="Y709" t="s">
        <v>11022</v>
      </c>
      <c r="Z709" t="str">
        <f>_xlfn.XLOOKUP(Employees[[#This Row],[Education]], EdLevel[EducationLevelID], EdLevel[EducationLevel])</f>
        <v xml:space="preserve">Bachelors </v>
      </c>
      <c r="AA709">
        <f>IF(Employees[[#This Row],[Attrition]] = "Yes", 1, 0)</f>
        <v>0</v>
      </c>
      <c r="AB709" t="str" cm="1">
        <f t="array" ref="AB709">_xlfn.IFS(Employees[[#This Row],[Age]]&lt;30, "20-29", Employees[[#This Row],[Age]]&lt;40, "30-39", Employees[[#This Row],[Age]]&lt;50, "40-49", "TRUE", "50+")</f>
        <v>20-29</v>
      </c>
    </row>
    <row r="710" spans="1:28">
      <c r="A710" t="s">
        <v>2142</v>
      </c>
      <c r="B710" t="s">
        <v>2143</v>
      </c>
      <c r="C710" t="s">
        <v>2144</v>
      </c>
      <c r="D710" t="s">
        <v>859</v>
      </c>
      <c r="E710">
        <v>23</v>
      </c>
      <c r="F710" t="s">
        <v>27</v>
      </c>
      <c r="G710" t="s">
        <v>45</v>
      </c>
      <c r="H710">
        <v>42</v>
      </c>
      <c r="I710" t="s">
        <v>39</v>
      </c>
      <c r="J710" t="s">
        <v>71</v>
      </c>
      <c r="K710">
        <v>1</v>
      </c>
      <c r="L710" t="s">
        <v>47</v>
      </c>
      <c r="M710" t="s">
        <v>61</v>
      </c>
      <c r="N710" t="s">
        <v>49</v>
      </c>
      <c r="O710">
        <v>30683</v>
      </c>
      <c r="P710">
        <v>1</v>
      </c>
      <c r="Q710" t="s">
        <v>34</v>
      </c>
      <c r="R710" s="1">
        <v>42911</v>
      </c>
      <c r="S710" t="s">
        <v>34</v>
      </c>
      <c r="T710">
        <v>5</v>
      </c>
      <c r="U710">
        <v>5</v>
      </c>
      <c r="V710">
        <v>5</v>
      </c>
      <c r="W710">
        <v>5</v>
      </c>
      <c r="X710" t="s">
        <v>11020</v>
      </c>
      <c r="Y710" t="s">
        <v>11020</v>
      </c>
      <c r="Z710" t="str">
        <f>_xlfn.XLOOKUP(Employees[[#This Row],[Education]], EdLevel[EducationLevelID], EdLevel[EducationLevel])</f>
        <v>No Formal Qualifications</v>
      </c>
      <c r="AA710">
        <f>IF(Employees[[#This Row],[Attrition]] = "Yes", 1, 0)</f>
        <v>0</v>
      </c>
      <c r="AB710" t="str" cm="1">
        <f t="array" ref="AB710">_xlfn.IFS(Employees[[#This Row],[Age]]&lt;30, "20-29", Employees[[#This Row],[Age]]&lt;40, "30-39", Employees[[#This Row],[Age]]&lt;50, "40-49", "TRUE", "50+")</f>
        <v>20-29</v>
      </c>
    </row>
    <row r="711" spans="1:28">
      <c r="A711" t="s">
        <v>2145</v>
      </c>
      <c r="B711" t="s">
        <v>2146</v>
      </c>
      <c r="C711" t="s">
        <v>2147</v>
      </c>
      <c r="D711" t="s">
        <v>26</v>
      </c>
      <c r="E711">
        <v>26</v>
      </c>
      <c r="F711" t="s">
        <v>27</v>
      </c>
      <c r="G711" t="s">
        <v>54</v>
      </c>
      <c r="H711">
        <v>18</v>
      </c>
      <c r="I711" t="s">
        <v>39</v>
      </c>
      <c r="J711" t="s">
        <v>66</v>
      </c>
      <c r="K711">
        <v>3</v>
      </c>
      <c r="L711" t="s">
        <v>72</v>
      </c>
      <c r="M711" t="s">
        <v>85</v>
      </c>
      <c r="N711" t="s">
        <v>49</v>
      </c>
      <c r="O711">
        <v>46809</v>
      </c>
      <c r="P711">
        <v>1</v>
      </c>
      <c r="Q711" t="s">
        <v>34</v>
      </c>
      <c r="R711" s="1">
        <v>42915</v>
      </c>
      <c r="S711" t="s">
        <v>34</v>
      </c>
      <c r="T711">
        <v>5</v>
      </c>
      <c r="U711">
        <v>0</v>
      </c>
      <c r="V711">
        <v>0</v>
      </c>
      <c r="W711">
        <v>2</v>
      </c>
      <c r="X711" t="s">
        <v>11022</v>
      </c>
      <c r="Y711" t="s">
        <v>11022</v>
      </c>
      <c r="Z711" t="str">
        <f>_xlfn.XLOOKUP(Employees[[#This Row],[Education]], EdLevel[EducationLevelID], EdLevel[EducationLevel])</f>
        <v xml:space="preserve">Bachelors </v>
      </c>
      <c r="AA711">
        <f>IF(Employees[[#This Row],[Attrition]] = "Yes", 1, 0)</f>
        <v>0</v>
      </c>
      <c r="AB711" t="str" cm="1">
        <f t="array" ref="AB711">_xlfn.IFS(Employees[[#This Row],[Age]]&lt;30, "20-29", Employees[[#This Row],[Age]]&lt;40, "30-39", Employees[[#This Row],[Age]]&lt;50, "40-49", "TRUE", "50+")</f>
        <v>20-29</v>
      </c>
    </row>
    <row r="712" spans="1:28">
      <c r="A712" t="s">
        <v>2148</v>
      </c>
      <c r="B712" t="s">
        <v>650</v>
      </c>
      <c r="C712" t="s">
        <v>2149</v>
      </c>
      <c r="D712" t="s">
        <v>38</v>
      </c>
      <c r="E712">
        <v>26</v>
      </c>
      <c r="F712" t="s">
        <v>27</v>
      </c>
      <c r="G712" t="s">
        <v>54</v>
      </c>
      <c r="H712">
        <v>2</v>
      </c>
      <c r="I712" t="s">
        <v>39</v>
      </c>
      <c r="J712" t="s">
        <v>30</v>
      </c>
      <c r="K712">
        <v>3</v>
      </c>
      <c r="L712" t="s">
        <v>55</v>
      </c>
      <c r="M712" t="s">
        <v>101</v>
      </c>
      <c r="N712" t="s">
        <v>49</v>
      </c>
      <c r="O712">
        <v>57722</v>
      </c>
      <c r="P712">
        <v>1</v>
      </c>
      <c r="Q712" t="s">
        <v>41</v>
      </c>
      <c r="R712" s="1">
        <v>42916</v>
      </c>
      <c r="S712" t="s">
        <v>34</v>
      </c>
      <c r="T712">
        <v>5</v>
      </c>
      <c r="U712">
        <v>4</v>
      </c>
      <c r="V712">
        <v>4</v>
      </c>
      <c r="W712">
        <v>0</v>
      </c>
      <c r="X712" t="s">
        <v>11022</v>
      </c>
      <c r="Y712" t="s">
        <v>11022</v>
      </c>
      <c r="Z712" t="str">
        <f>_xlfn.XLOOKUP(Employees[[#This Row],[Education]], EdLevel[EducationLevelID], EdLevel[EducationLevel])</f>
        <v xml:space="preserve">Bachelors </v>
      </c>
      <c r="AA712">
        <f>IF(Employees[[#This Row],[Attrition]] = "Yes", 1, 0)</f>
        <v>0</v>
      </c>
      <c r="AB712" t="str" cm="1">
        <f t="array" ref="AB712">_xlfn.IFS(Employees[[#This Row],[Age]]&lt;30, "20-29", Employees[[#This Row],[Age]]&lt;40, "30-39", Employees[[#This Row],[Age]]&lt;50, "40-49", "TRUE", "50+")</f>
        <v>20-29</v>
      </c>
    </row>
    <row r="713" spans="1:28">
      <c r="A713" t="s">
        <v>2150</v>
      </c>
      <c r="B713" t="s">
        <v>2151</v>
      </c>
      <c r="C713" t="s">
        <v>2152</v>
      </c>
      <c r="D713" t="s">
        <v>859</v>
      </c>
      <c r="E713">
        <v>23</v>
      </c>
      <c r="F713" t="s">
        <v>27</v>
      </c>
      <c r="G713" t="s">
        <v>54</v>
      </c>
      <c r="H713">
        <v>32</v>
      </c>
      <c r="I713" t="s">
        <v>39</v>
      </c>
      <c r="J713" t="s">
        <v>30</v>
      </c>
      <c r="K713">
        <v>4</v>
      </c>
      <c r="L713" t="s">
        <v>55</v>
      </c>
      <c r="M713" t="s">
        <v>101</v>
      </c>
      <c r="N713" t="s">
        <v>33</v>
      </c>
      <c r="O713">
        <v>23041</v>
      </c>
      <c r="P713">
        <v>1</v>
      </c>
      <c r="Q713" t="s">
        <v>41</v>
      </c>
      <c r="R713" s="1">
        <v>42916</v>
      </c>
      <c r="S713" t="s">
        <v>34</v>
      </c>
      <c r="T713">
        <v>5</v>
      </c>
      <c r="U713">
        <v>1</v>
      </c>
      <c r="V713">
        <v>5</v>
      </c>
      <c r="W713">
        <v>3</v>
      </c>
      <c r="X713" t="s">
        <v>11023</v>
      </c>
      <c r="Y713" t="s">
        <v>11023</v>
      </c>
      <c r="Z713" t="str">
        <f>_xlfn.XLOOKUP(Employees[[#This Row],[Education]], EdLevel[EducationLevelID], EdLevel[EducationLevel])</f>
        <v xml:space="preserve">Masters </v>
      </c>
      <c r="AA713">
        <f>IF(Employees[[#This Row],[Attrition]] = "Yes", 1, 0)</f>
        <v>0</v>
      </c>
      <c r="AB713" t="str" cm="1">
        <f t="array" ref="AB713">_xlfn.IFS(Employees[[#This Row],[Age]]&lt;30, "20-29", Employees[[#This Row],[Age]]&lt;40, "30-39", Employees[[#This Row],[Age]]&lt;50, "40-49", "TRUE", "50+")</f>
        <v>20-29</v>
      </c>
    </row>
    <row r="714" spans="1:28">
      <c r="A714" t="s">
        <v>2153</v>
      </c>
      <c r="B714" t="s">
        <v>2154</v>
      </c>
      <c r="C714" t="s">
        <v>2155</v>
      </c>
      <c r="D714" t="s">
        <v>26</v>
      </c>
      <c r="E714">
        <v>23</v>
      </c>
      <c r="F714" t="s">
        <v>27</v>
      </c>
      <c r="G714" t="s">
        <v>28</v>
      </c>
      <c r="H714">
        <v>18</v>
      </c>
      <c r="I714" t="s">
        <v>65</v>
      </c>
      <c r="J714" t="s">
        <v>92</v>
      </c>
      <c r="K714">
        <v>4</v>
      </c>
      <c r="L714" t="s">
        <v>60</v>
      </c>
      <c r="M714" t="s">
        <v>32</v>
      </c>
      <c r="N714" t="s">
        <v>49</v>
      </c>
      <c r="O714">
        <v>83677</v>
      </c>
      <c r="P714">
        <v>1</v>
      </c>
      <c r="Q714" t="s">
        <v>41</v>
      </c>
      <c r="R714" s="1">
        <v>42926</v>
      </c>
      <c r="S714" t="s">
        <v>34</v>
      </c>
      <c r="T714">
        <v>5</v>
      </c>
      <c r="U714">
        <v>0</v>
      </c>
      <c r="V714">
        <v>5</v>
      </c>
      <c r="W714">
        <v>3</v>
      </c>
      <c r="X714" t="s">
        <v>11023</v>
      </c>
      <c r="Y714" t="s">
        <v>11023</v>
      </c>
      <c r="Z714" t="str">
        <f>_xlfn.XLOOKUP(Employees[[#This Row],[Education]], EdLevel[EducationLevelID], EdLevel[EducationLevel])</f>
        <v xml:space="preserve">Masters </v>
      </c>
      <c r="AA714">
        <f>IF(Employees[[#This Row],[Attrition]] = "Yes", 1, 0)</f>
        <v>0</v>
      </c>
      <c r="AB714" t="str" cm="1">
        <f t="array" ref="AB714">_xlfn.IFS(Employees[[#This Row],[Age]]&lt;30, "20-29", Employees[[#This Row],[Age]]&lt;40, "30-39", Employees[[#This Row],[Age]]&lt;50, "40-49", "TRUE", "50+")</f>
        <v>20-29</v>
      </c>
    </row>
    <row r="715" spans="1:28">
      <c r="A715" t="s">
        <v>2156</v>
      </c>
      <c r="B715" t="s">
        <v>1433</v>
      </c>
      <c r="C715" t="s">
        <v>2157</v>
      </c>
      <c r="D715" t="s">
        <v>26</v>
      </c>
      <c r="E715">
        <v>25</v>
      </c>
      <c r="F715" t="s">
        <v>27</v>
      </c>
      <c r="G715" t="s">
        <v>54</v>
      </c>
      <c r="H715">
        <v>12</v>
      </c>
      <c r="I715" t="s">
        <v>65</v>
      </c>
      <c r="J715" t="s">
        <v>66</v>
      </c>
      <c r="K715">
        <v>3</v>
      </c>
      <c r="L715" t="s">
        <v>178</v>
      </c>
      <c r="M715" t="s">
        <v>101</v>
      </c>
      <c r="N715" t="s">
        <v>33</v>
      </c>
      <c r="O715">
        <v>52957</v>
      </c>
      <c r="P715">
        <v>1</v>
      </c>
      <c r="Q715" t="s">
        <v>34</v>
      </c>
      <c r="R715" s="1">
        <v>42926</v>
      </c>
      <c r="S715" t="s">
        <v>34</v>
      </c>
      <c r="T715">
        <v>5</v>
      </c>
      <c r="U715">
        <v>3</v>
      </c>
      <c r="V715">
        <v>5</v>
      </c>
      <c r="W715">
        <v>4</v>
      </c>
      <c r="X715" t="s">
        <v>11022</v>
      </c>
      <c r="Y715" t="s">
        <v>11022</v>
      </c>
      <c r="Z715" t="str">
        <f>_xlfn.XLOOKUP(Employees[[#This Row],[Education]], EdLevel[EducationLevelID], EdLevel[EducationLevel])</f>
        <v xml:space="preserve">Bachelors </v>
      </c>
      <c r="AA715">
        <f>IF(Employees[[#This Row],[Attrition]] = "Yes", 1, 0)</f>
        <v>0</v>
      </c>
      <c r="AB715" t="str" cm="1">
        <f t="array" ref="AB715">_xlfn.IFS(Employees[[#This Row],[Age]]&lt;30, "20-29", Employees[[#This Row],[Age]]&lt;40, "30-39", Employees[[#This Row],[Age]]&lt;50, "40-49", "TRUE", "50+")</f>
        <v>20-29</v>
      </c>
    </row>
    <row r="716" spans="1:28">
      <c r="A716" t="s">
        <v>2158</v>
      </c>
      <c r="B716" t="s">
        <v>363</v>
      </c>
      <c r="C716" t="s">
        <v>2159</v>
      </c>
      <c r="D716" t="s">
        <v>38</v>
      </c>
      <c r="E716">
        <v>23</v>
      </c>
      <c r="F716" t="s">
        <v>84</v>
      </c>
      <c r="G716" t="s">
        <v>28</v>
      </c>
      <c r="H716">
        <v>31</v>
      </c>
      <c r="I716" t="s">
        <v>39</v>
      </c>
      <c r="J716" t="s">
        <v>66</v>
      </c>
      <c r="K716">
        <v>3</v>
      </c>
      <c r="L716" t="s">
        <v>60</v>
      </c>
      <c r="M716" t="s">
        <v>150</v>
      </c>
      <c r="N716" t="s">
        <v>40</v>
      </c>
      <c r="O716">
        <v>23505</v>
      </c>
      <c r="P716">
        <v>0</v>
      </c>
      <c r="Q716" t="s">
        <v>34</v>
      </c>
      <c r="R716" s="1">
        <v>42928</v>
      </c>
      <c r="S716" t="s">
        <v>41</v>
      </c>
      <c r="T716">
        <v>1</v>
      </c>
      <c r="U716">
        <v>0</v>
      </c>
      <c r="V716">
        <v>0</v>
      </c>
      <c r="W716">
        <v>0</v>
      </c>
      <c r="X716" t="s">
        <v>11022</v>
      </c>
      <c r="Y716" t="s">
        <v>11022</v>
      </c>
      <c r="Z716" t="str">
        <f>_xlfn.XLOOKUP(Employees[[#This Row],[Education]], EdLevel[EducationLevelID], EdLevel[EducationLevel])</f>
        <v xml:space="preserve">Bachelors </v>
      </c>
      <c r="AA716">
        <f>IF(Employees[[#This Row],[Attrition]] = "Yes", 1, 0)</f>
        <v>1</v>
      </c>
      <c r="AB716" t="str" cm="1">
        <f t="array" ref="AB716">_xlfn.IFS(Employees[[#This Row],[Age]]&lt;30, "20-29", Employees[[#This Row],[Age]]&lt;40, "30-39", Employees[[#This Row],[Age]]&lt;50, "40-49", "TRUE", "50+")</f>
        <v>20-29</v>
      </c>
    </row>
    <row r="717" spans="1:28">
      <c r="A717" t="s">
        <v>2160</v>
      </c>
      <c r="B717" t="s">
        <v>2161</v>
      </c>
      <c r="C717" t="s">
        <v>2162</v>
      </c>
      <c r="D717" t="s">
        <v>38</v>
      </c>
      <c r="E717">
        <v>24</v>
      </c>
      <c r="F717" t="s">
        <v>27</v>
      </c>
      <c r="G717" t="s">
        <v>54</v>
      </c>
      <c r="H717">
        <v>45</v>
      </c>
      <c r="I717" t="s">
        <v>39</v>
      </c>
      <c r="J717" t="s">
        <v>66</v>
      </c>
      <c r="K717">
        <v>4</v>
      </c>
      <c r="L717" t="s">
        <v>72</v>
      </c>
      <c r="M717" t="s">
        <v>85</v>
      </c>
      <c r="N717" t="s">
        <v>49</v>
      </c>
      <c r="O717">
        <v>38022</v>
      </c>
      <c r="P717">
        <v>0</v>
      </c>
      <c r="Q717" t="s">
        <v>34</v>
      </c>
      <c r="R717" s="1">
        <v>42930</v>
      </c>
      <c r="S717" t="s">
        <v>34</v>
      </c>
      <c r="T717">
        <v>5</v>
      </c>
      <c r="U717">
        <v>5</v>
      </c>
      <c r="V717">
        <v>5</v>
      </c>
      <c r="W717">
        <v>1</v>
      </c>
      <c r="X717" t="s">
        <v>11023</v>
      </c>
      <c r="Y717" t="s">
        <v>11023</v>
      </c>
      <c r="Z717" t="str">
        <f>_xlfn.XLOOKUP(Employees[[#This Row],[Education]], EdLevel[EducationLevelID], EdLevel[EducationLevel])</f>
        <v xml:space="preserve">Masters </v>
      </c>
      <c r="AA717">
        <f>IF(Employees[[#This Row],[Attrition]] = "Yes", 1, 0)</f>
        <v>0</v>
      </c>
      <c r="AB717" t="str" cm="1">
        <f t="array" ref="AB717">_xlfn.IFS(Employees[[#This Row],[Age]]&lt;30, "20-29", Employees[[#This Row],[Age]]&lt;40, "30-39", Employees[[#This Row],[Age]]&lt;50, "40-49", "TRUE", "50+")</f>
        <v>20-29</v>
      </c>
    </row>
    <row r="718" spans="1:28">
      <c r="A718" t="s">
        <v>2163</v>
      </c>
      <c r="B718" t="s">
        <v>2164</v>
      </c>
      <c r="C718" t="s">
        <v>2165</v>
      </c>
      <c r="D718" t="s">
        <v>38</v>
      </c>
      <c r="E718">
        <v>24</v>
      </c>
      <c r="F718" t="s">
        <v>84</v>
      </c>
      <c r="G718" t="s">
        <v>54</v>
      </c>
      <c r="H718">
        <v>15</v>
      </c>
      <c r="I718" t="s">
        <v>29</v>
      </c>
      <c r="J718" t="s">
        <v>30</v>
      </c>
      <c r="K718">
        <v>2</v>
      </c>
      <c r="L718" t="s">
        <v>55</v>
      </c>
      <c r="M718" t="s">
        <v>85</v>
      </c>
      <c r="N718" t="s">
        <v>33</v>
      </c>
      <c r="O718">
        <v>63078</v>
      </c>
      <c r="P718">
        <v>1</v>
      </c>
      <c r="Q718" t="s">
        <v>34</v>
      </c>
      <c r="R718" s="1">
        <v>42933</v>
      </c>
      <c r="S718" t="s">
        <v>34</v>
      </c>
      <c r="T718">
        <v>5</v>
      </c>
      <c r="U718">
        <v>5</v>
      </c>
      <c r="V718">
        <v>5</v>
      </c>
      <c r="W718">
        <v>2</v>
      </c>
      <c r="X718" t="s">
        <v>11021</v>
      </c>
      <c r="Y718" t="s">
        <v>11021</v>
      </c>
      <c r="Z718" t="str">
        <f>_xlfn.XLOOKUP(Employees[[#This Row],[Education]], EdLevel[EducationLevelID], EdLevel[EducationLevel])</f>
        <v xml:space="preserve">High School </v>
      </c>
      <c r="AA718">
        <f>IF(Employees[[#This Row],[Attrition]] = "Yes", 1, 0)</f>
        <v>0</v>
      </c>
      <c r="AB718" t="str" cm="1">
        <f t="array" ref="AB718">_xlfn.IFS(Employees[[#This Row],[Age]]&lt;30, "20-29", Employees[[#This Row],[Age]]&lt;40, "30-39", Employees[[#This Row],[Age]]&lt;50, "40-49", "TRUE", "50+")</f>
        <v>20-29</v>
      </c>
    </row>
    <row r="719" spans="1:28">
      <c r="A719" t="s">
        <v>2166</v>
      </c>
      <c r="B719" t="s">
        <v>2167</v>
      </c>
      <c r="C719" t="s">
        <v>2168</v>
      </c>
      <c r="D719" t="s">
        <v>53</v>
      </c>
      <c r="E719">
        <v>23</v>
      </c>
      <c r="F719" t="s">
        <v>84</v>
      </c>
      <c r="G719" t="s">
        <v>54</v>
      </c>
      <c r="H719">
        <v>15</v>
      </c>
      <c r="I719" t="s">
        <v>39</v>
      </c>
      <c r="J719" t="s">
        <v>46</v>
      </c>
      <c r="K719">
        <v>3</v>
      </c>
      <c r="L719" t="s">
        <v>72</v>
      </c>
      <c r="M719" t="s">
        <v>85</v>
      </c>
      <c r="N719" t="s">
        <v>40</v>
      </c>
      <c r="O719">
        <v>29890</v>
      </c>
      <c r="P719">
        <v>0</v>
      </c>
      <c r="Q719" t="s">
        <v>34</v>
      </c>
      <c r="R719" s="1">
        <v>42940</v>
      </c>
      <c r="S719" t="s">
        <v>34</v>
      </c>
      <c r="T719">
        <v>5</v>
      </c>
      <c r="U719">
        <v>0</v>
      </c>
      <c r="V719">
        <v>1</v>
      </c>
      <c r="W719">
        <v>1</v>
      </c>
      <c r="X719" t="s">
        <v>11022</v>
      </c>
      <c r="Y719" t="s">
        <v>11022</v>
      </c>
      <c r="Z719" t="str">
        <f>_xlfn.XLOOKUP(Employees[[#This Row],[Education]], EdLevel[EducationLevelID], EdLevel[EducationLevel])</f>
        <v xml:space="preserve">Bachelors </v>
      </c>
      <c r="AA719">
        <f>IF(Employees[[#This Row],[Attrition]] = "Yes", 1, 0)</f>
        <v>0</v>
      </c>
      <c r="AB719" t="str" cm="1">
        <f t="array" ref="AB719">_xlfn.IFS(Employees[[#This Row],[Age]]&lt;30, "20-29", Employees[[#This Row],[Age]]&lt;40, "30-39", Employees[[#This Row],[Age]]&lt;50, "40-49", "TRUE", "50+")</f>
        <v>20-29</v>
      </c>
    </row>
    <row r="720" spans="1:28">
      <c r="A720" t="s">
        <v>2169</v>
      </c>
      <c r="B720" t="s">
        <v>2170</v>
      </c>
      <c r="C720" t="s">
        <v>2171</v>
      </c>
      <c r="D720" t="s">
        <v>26</v>
      </c>
      <c r="E720">
        <v>26</v>
      </c>
      <c r="F720" t="s">
        <v>27</v>
      </c>
      <c r="G720" t="s">
        <v>54</v>
      </c>
      <c r="H720">
        <v>24</v>
      </c>
      <c r="I720" t="s">
        <v>39</v>
      </c>
      <c r="J720" t="s">
        <v>30</v>
      </c>
      <c r="K720">
        <v>4</v>
      </c>
      <c r="L720" t="s">
        <v>55</v>
      </c>
      <c r="M720" t="s">
        <v>85</v>
      </c>
      <c r="N720" t="s">
        <v>33</v>
      </c>
      <c r="O720">
        <v>35757</v>
      </c>
      <c r="P720">
        <v>1</v>
      </c>
      <c r="Q720" t="s">
        <v>34</v>
      </c>
      <c r="R720" s="1">
        <v>42941</v>
      </c>
      <c r="S720" t="s">
        <v>34</v>
      </c>
      <c r="T720">
        <v>5</v>
      </c>
      <c r="U720">
        <v>3</v>
      </c>
      <c r="V720">
        <v>4</v>
      </c>
      <c r="W720">
        <v>0</v>
      </c>
      <c r="X720" t="s">
        <v>11023</v>
      </c>
      <c r="Y720" t="s">
        <v>11023</v>
      </c>
      <c r="Z720" t="str">
        <f>_xlfn.XLOOKUP(Employees[[#This Row],[Education]], EdLevel[EducationLevelID], EdLevel[EducationLevel])</f>
        <v xml:space="preserve">Masters </v>
      </c>
      <c r="AA720">
        <f>IF(Employees[[#This Row],[Attrition]] = "Yes", 1, 0)</f>
        <v>0</v>
      </c>
      <c r="AB720" t="str" cm="1">
        <f t="array" ref="AB720">_xlfn.IFS(Employees[[#This Row],[Age]]&lt;30, "20-29", Employees[[#This Row],[Age]]&lt;40, "30-39", Employees[[#This Row],[Age]]&lt;50, "40-49", "TRUE", "50+")</f>
        <v>20-29</v>
      </c>
    </row>
    <row r="721" spans="1:28">
      <c r="A721" t="s">
        <v>2172</v>
      </c>
      <c r="B721" t="s">
        <v>2173</v>
      </c>
      <c r="C721" t="s">
        <v>2174</v>
      </c>
      <c r="D721" t="s">
        <v>38</v>
      </c>
      <c r="E721">
        <v>25</v>
      </c>
      <c r="F721" t="s">
        <v>27</v>
      </c>
      <c r="G721" t="s">
        <v>54</v>
      </c>
      <c r="H721">
        <v>17</v>
      </c>
      <c r="I721" t="s">
        <v>65</v>
      </c>
      <c r="J721" t="s">
        <v>66</v>
      </c>
      <c r="K721">
        <v>3</v>
      </c>
      <c r="L721" t="s">
        <v>55</v>
      </c>
      <c r="M721" t="s">
        <v>101</v>
      </c>
      <c r="N721" t="s">
        <v>49</v>
      </c>
      <c r="O721">
        <v>44082</v>
      </c>
      <c r="P721">
        <v>0</v>
      </c>
      <c r="Q721" t="s">
        <v>34</v>
      </c>
      <c r="R721" s="1">
        <v>42941</v>
      </c>
      <c r="S721" t="s">
        <v>34</v>
      </c>
      <c r="T721">
        <v>5</v>
      </c>
      <c r="U721">
        <v>1</v>
      </c>
      <c r="V721">
        <v>3</v>
      </c>
      <c r="W721">
        <v>0</v>
      </c>
      <c r="X721" t="s">
        <v>11022</v>
      </c>
      <c r="Y721" t="s">
        <v>11022</v>
      </c>
      <c r="Z721" t="str">
        <f>_xlfn.XLOOKUP(Employees[[#This Row],[Education]], EdLevel[EducationLevelID], EdLevel[EducationLevel])</f>
        <v xml:space="preserve">Bachelors </v>
      </c>
      <c r="AA721">
        <f>IF(Employees[[#This Row],[Attrition]] = "Yes", 1, 0)</f>
        <v>0</v>
      </c>
      <c r="AB721" t="str" cm="1">
        <f t="array" ref="AB721">_xlfn.IFS(Employees[[#This Row],[Age]]&lt;30, "20-29", Employees[[#This Row],[Age]]&lt;40, "30-39", Employees[[#This Row],[Age]]&lt;50, "40-49", "TRUE", "50+")</f>
        <v>20-29</v>
      </c>
    </row>
    <row r="722" spans="1:28">
      <c r="A722" t="s">
        <v>2175</v>
      </c>
      <c r="B722" t="s">
        <v>2176</v>
      </c>
      <c r="C722" t="s">
        <v>2177</v>
      </c>
      <c r="D722" t="s">
        <v>26</v>
      </c>
      <c r="E722">
        <v>25</v>
      </c>
      <c r="F722" t="s">
        <v>27</v>
      </c>
      <c r="G722" t="s">
        <v>54</v>
      </c>
      <c r="H722">
        <v>21</v>
      </c>
      <c r="I722" t="s">
        <v>39</v>
      </c>
      <c r="J722" t="s">
        <v>30</v>
      </c>
      <c r="K722">
        <v>1</v>
      </c>
      <c r="L722" t="s">
        <v>72</v>
      </c>
      <c r="M722" t="s">
        <v>105</v>
      </c>
      <c r="N722" t="s">
        <v>33</v>
      </c>
      <c r="O722">
        <v>64398</v>
      </c>
      <c r="P722">
        <v>3</v>
      </c>
      <c r="Q722" t="s">
        <v>34</v>
      </c>
      <c r="R722" s="1">
        <v>42943</v>
      </c>
      <c r="S722" t="s">
        <v>34</v>
      </c>
      <c r="T722">
        <v>5</v>
      </c>
      <c r="U722">
        <v>2</v>
      </c>
      <c r="V722">
        <v>3</v>
      </c>
      <c r="W722">
        <v>3</v>
      </c>
      <c r="X722" t="s">
        <v>11020</v>
      </c>
      <c r="Y722" t="s">
        <v>11020</v>
      </c>
      <c r="Z722" t="str">
        <f>_xlfn.XLOOKUP(Employees[[#This Row],[Education]], EdLevel[EducationLevelID], EdLevel[EducationLevel])</f>
        <v>No Formal Qualifications</v>
      </c>
      <c r="AA722">
        <f>IF(Employees[[#This Row],[Attrition]] = "Yes", 1, 0)</f>
        <v>0</v>
      </c>
      <c r="AB722" t="str" cm="1">
        <f t="array" ref="AB722">_xlfn.IFS(Employees[[#This Row],[Age]]&lt;30, "20-29", Employees[[#This Row],[Age]]&lt;40, "30-39", Employees[[#This Row],[Age]]&lt;50, "40-49", "TRUE", "50+")</f>
        <v>20-29</v>
      </c>
    </row>
    <row r="723" spans="1:28">
      <c r="A723" t="s">
        <v>2178</v>
      </c>
      <c r="B723" t="s">
        <v>2179</v>
      </c>
      <c r="C723" t="s">
        <v>2180</v>
      </c>
      <c r="D723" t="s">
        <v>53</v>
      </c>
      <c r="E723">
        <v>26</v>
      </c>
      <c r="F723" t="s">
        <v>27</v>
      </c>
      <c r="G723" t="s">
        <v>54</v>
      </c>
      <c r="H723">
        <v>12</v>
      </c>
      <c r="I723" t="s">
        <v>65</v>
      </c>
      <c r="J723" t="s">
        <v>30</v>
      </c>
      <c r="K723">
        <v>4</v>
      </c>
      <c r="L723" t="s">
        <v>55</v>
      </c>
      <c r="M723" t="s">
        <v>101</v>
      </c>
      <c r="N723" t="s">
        <v>40</v>
      </c>
      <c r="O723">
        <v>37530</v>
      </c>
      <c r="P723">
        <v>0</v>
      </c>
      <c r="Q723" t="s">
        <v>34</v>
      </c>
      <c r="R723" s="1">
        <v>42946</v>
      </c>
      <c r="S723" t="s">
        <v>34</v>
      </c>
      <c r="T723">
        <v>5</v>
      </c>
      <c r="U723">
        <v>5</v>
      </c>
      <c r="V723">
        <v>5</v>
      </c>
      <c r="W723">
        <v>5</v>
      </c>
      <c r="X723" t="s">
        <v>11023</v>
      </c>
      <c r="Y723" t="s">
        <v>11023</v>
      </c>
      <c r="Z723" t="str">
        <f>_xlfn.XLOOKUP(Employees[[#This Row],[Education]], EdLevel[EducationLevelID], EdLevel[EducationLevel])</f>
        <v xml:space="preserve">Masters </v>
      </c>
      <c r="AA723">
        <f>IF(Employees[[#This Row],[Attrition]] = "Yes", 1, 0)</f>
        <v>0</v>
      </c>
      <c r="AB723" t="str" cm="1">
        <f t="array" ref="AB723">_xlfn.IFS(Employees[[#This Row],[Age]]&lt;30, "20-29", Employees[[#This Row],[Age]]&lt;40, "30-39", Employees[[#This Row],[Age]]&lt;50, "40-49", "TRUE", "50+")</f>
        <v>20-29</v>
      </c>
    </row>
    <row r="724" spans="1:28">
      <c r="A724" t="s">
        <v>2181</v>
      </c>
      <c r="B724" t="s">
        <v>2182</v>
      </c>
      <c r="C724" t="s">
        <v>2183</v>
      </c>
      <c r="D724" t="s">
        <v>26</v>
      </c>
      <c r="E724">
        <v>25</v>
      </c>
      <c r="F724" t="s">
        <v>27</v>
      </c>
      <c r="G724" t="s">
        <v>54</v>
      </c>
      <c r="H724">
        <v>21</v>
      </c>
      <c r="I724" t="s">
        <v>39</v>
      </c>
      <c r="J724" t="s">
        <v>30</v>
      </c>
      <c r="K724">
        <v>4</v>
      </c>
      <c r="L724" t="s">
        <v>72</v>
      </c>
      <c r="M724" t="s">
        <v>56</v>
      </c>
      <c r="N724" t="s">
        <v>49</v>
      </c>
      <c r="O724">
        <v>261970</v>
      </c>
      <c r="P724">
        <v>1</v>
      </c>
      <c r="Q724" t="s">
        <v>41</v>
      </c>
      <c r="R724" s="1">
        <v>42947</v>
      </c>
      <c r="S724" t="s">
        <v>34</v>
      </c>
      <c r="T724">
        <v>5</v>
      </c>
      <c r="U724">
        <v>4</v>
      </c>
      <c r="V724">
        <v>4</v>
      </c>
      <c r="W724">
        <v>3</v>
      </c>
      <c r="X724" t="s">
        <v>11023</v>
      </c>
      <c r="Y724" t="s">
        <v>11023</v>
      </c>
      <c r="Z724" t="str">
        <f>_xlfn.XLOOKUP(Employees[[#This Row],[Education]], EdLevel[EducationLevelID], EdLevel[EducationLevel])</f>
        <v xml:space="preserve">Masters </v>
      </c>
      <c r="AA724">
        <f>IF(Employees[[#This Row],[Attrition]] = "Yes", 1, 0)</f>
        <v>0</v>
      </c>
      <c r="AB724" t="str" cm="1">
        <f t="array" ref="AB724">_xlfn.IFS(Employees[[#This Row],[Age]]&lt;30, "20-29", Employees[[#This Row],[Age]]&lt;40, "30-39", Employees[[#This Row],[Age]]&lt;50, "40-49", "TRUE", "50+")</f>
        <v>20-29</v>
      </c>
    </row>
    <row r="725" spans="1:28">
      <c r="A725" t="s">
        <v>2184</v>
      </c>
      <c r="B725" t="s">
        <v>2185</v>
      </c>
      <c r="C725" t="s">
        <v>2186</v>
      </c>
      <c r="D725" t="s">
        <v>38</v>
      </c>
      <c r="E725">
        <v>26</v>
      </c>
      <c r="F725" t="s">
        <v>70</v>
      </c>
      <c r="G725" t="s">
        <v>54</v>
      </c>
      <c r="H725">
        <v>15</v>
      </c>
      <c r="I725" t="s">
        <v>29</v>
      </c>
      <c r="J725" t="s">
        <v>66</v>
      </c>
      <c r="K725">
        <v>4</v>
      </c>
      <c r="L725" t="s">
        <v>178</v>
      </c>
      <c r="M725" t="s">
        <v>101</v>
      </c>
      <c r="N725" t="s">
        <v>49</v>
      </c>
      <c r="O725">
        <v>35373</v>
      </c>
      <c r="P725">
        <v>1</v>
      </c>
      <c r="Q725" t="s">
        <v>41</v>
      </c>
      <c r="R725" s="1">
        <v>42949</v>
      </c>
      <c r="S725" t="s">
        <v>41</v>
      </c>
      <c r="T725">
        <v>4</v>
      </c>
      <c r="U725">
        <v>3</v>
      </c>
      <c r="V725">
        <v>3</v>
      </c>
      <c r="W725">
        <v>0</v>
      </c>
      <c r="X725" t="s">
        <v>11023</v>
      </c>
      <c r="Y725" t="s">
        <v>11023</v>
      </c>
      <c r="Z725" t="str">
        <f>_xlfn.XLOOKUP(Employees[[#This Row],[Education]], EdLevel[EducationLevelID], EdLevel[EducationLevel])</f>
        <v xml:space="preserve">Masters </v>
      </c>
      <c r="AA725">
        <f>IF(Employees[[#This Row],[Attrition]] = "Yes", 1, 0)</f>
        <v>1</v>
      </c>
      <c r="AB725" t="str" cm="1">
        <f t="array" ref="AB725">_xlfn.IFS(Employees[[#This Row],[Age]]&lt;30, "20-29", Employees[[#This Row],[Age]]&lt;40, "30-39", Employees[[#This Row],[Age]]&lt;50, "40-49", "TRUE", "50+")</f>
        <v>20-29</v>
      </c>
    </row>
    <row r="726" spans="1:28">
      <c r="A726" t="s">
        <v>2187</v>
      </c>
      <c r="B726" t="s">
        <v>2188</v>
      </c>
      <c r="C726" t="s">
        <v>2189</v>
      </c>
      <c r="D726" t="s">
        <v>53</v>
      </c>
      <c r="E726">
        <v>26</v>
      </c>
      <c r="F726" t="s">
        <v>70</v>
      </c>
      <c r="G726" t="s">
        <v>45</v>
      </c>
      <c r="H726">
        <v>23</v>
      </c>
      <c r="I726" t="s">
        <v>39</v>
      </c>
      <c r="J726" t="s">
        <v>30</v>
      </c>
      <c r="K726">
        <v>3</v>
      </c>
      <c r="L726" t="s">
        <v>45</v>
      </c>
      <c r="M726" t="s">
        <v>48</v>
      </c>
      <c r="N726" t="s">
        <v>40</v>
      </c>
      <c r="O726">
        <v>240035</v>
      </c>
      <c r="P726">
        <v>0</v>
      </c>
      <c r="Q726" t="s">
        <v>41</v>
      </c>
      <c r="R726" s="1">
        <v>42950</v>
      </c>
      <c r="S726" t="s">
        <v>34</v>
      </c>
      <c r="T726">
        <v>5</v>
      </c>
      <c r="U726">
        <v>5</v>
      </c>
      <c r="V726">
        <v>5</v>
      </c>
      <c r="W726">
        <v>3</v>
      </c>
      <c r="X726" t="s">
        <v>11022</v>
      </c>
      <c r="Y726" t="s">
        <v>11022</v>
      </c>
      <c r="Z726" t="str">
        <f>_xlfn.XLOOKUP(Employees[[#This Row],[Education]], EdLevel[EducationLevelID], EdLevel[EducationLevel])</f>
        <v xml:space="preserve">Bachelors </v>
      </c>
      <c r="AA726">
        <f>IF(Employees[[#This Row],[Attrition]] = "Yes", 1, 0)</f>
        <v>0</v>
      </c>
      <c r="AB726" t="str" cm="1">
        <f t="array" ref="AB726">_xlfn.IFS(Employees[[#This Row],[Age]]&lt;30, "20-29", Employees[[#This Row],[Age]]&lt;40, "30-39", Employees[[#This Row],[Age]]&lt;50, "40-49", "TRUE", "50+")</f>
        <v>20-29</v>
      </c>
    </row>
    <row r="727" spans="1:28">
      <c r="A727" t="s">
        <v>2190</v>
      </c>
      <c r="B727" t="s">
        <v>2191</v>
      </c>
      <c r="C727" t="s">
        <v>2192</v>
      </c>
      <c r="D727" t="s">
        <v>38</v>
      </c>
      <c r="E727">
        <v>33</v>
      </c>
      <c r="F727" t="s">
        <v>27</v>
      </c>
      <c r="G727" t="s">
        <v>54</v>
      </c>
      <c r="H727">
        <v>4</v>
      </c>
      <c r="I727" t="s">
        <v>39</v>
      </c>
      <c r="J727" t="s">
        <v>71</v>
      </c>
      <c r="K727">
        <v>4</v>
      </c>
      <c r="L727" t="s">
        <v>72</v>
      </c>
      <c r="M727" t="s">
        <v>56</v>
      </c>
      <c r="N727" t="s">
        <v>40</v>
      </c>
      <c r="O727">
        <v>335261</v>
      </c>
      <c r="P727">
        <v>0</v>
      </c>
      <c r="Q727" t="s">
        <v>34</v>
      </c>
      <c r="R727" s="1">
        <v>42950</v>
      </c>
      <c r="S727" t="s">
        <v>34</v>
      </c>
      <c r="T727">
        <v>5</v>
      </c>
      <c r="U727">
        <v>5</v>
      </c>
      <c r="V727">
        <v>5</v>
      </c>
      <c r="W727">
        <v>0</v>
      </c>
      <c r="X727" t="s">
        <v>11023</v>
      </c>
      <c r="Y727" t="s">
        <v>11023</v>
      </c>
      <c r="Z727" t="str">
        <f>_xlfn.XLOOKUP(Employees[[#This Row],[Education]], EdLevel[EducationLevelID], EdLevel[EducationLevel])</f>
        <v xml:space="preserve">Masters </v>
      </c>
      <c r="AA727">
        <f>IF(Employees[[#This Row],[Attrition]] = "Yes", 1, 0)</f>
        <v>0</v>
      </c>
      <c r="AB727" t="str" cm="1">
        <f t="array" ref="AB727">_xlfn.IFS(Employees[[#This Row],[Age]]&lt;30, "20-29", Employees[[#This Row],[Age]]&lt;40, "30-39", Employees[[#This Row],[Age]]&lt;50, "40-49", "TRUE", "50+")</f>
        <v>30-39</v>
      </c>
    </row>
    <row r="728" spans="1:28">
      <c r="A728" t="s">
        <v>2193</v>
      </c>
      <c r="B728" t="s">
        <v>2194</v>
      </c>
      <c r="C728" t="s">
        <v>82</v>
      </c>
      <c r="D728" t="s">
        <v>26</v>
      </c>
      <c r="E728">
        <v>24</v>
      </c>
      <c r="F728" t="s">
        <v>27</v>
      </c>
      <c r="G728" t="s">
        <v>54</v>
      </c>
      <c r="H728">
        <v>33</v>
      </c>
      <c r="I728" t="s">
        <v>65</v>
      </c>
      <c r="J728" t="s">
        <v>30</v>
      </c>
      <c r="K728">
        <v>3</v>
      </c>
      <c r="L728" t="s">
        <v>72</v>
      </c>
      <c r="M728" t="s">
        <v>105</v>
      </c>
      <c r="N728" t="s">
        <v>40</v>
      </c>
      <c r="O728">
        <v>115399</v>
      </c>
      <c r="P728">
        <v>0</v>
      </c>
      <c r="Q728" t="s">
        <v>34</v>
      </c>
      <c r="R728" s="1">
        <v>42956</v>
      </c>
      <c r="S728" t="s">
        <v>34</v>
      </c>
      <c r="T728">
        <v>5</v>
      </c>
      <c r="U728">
        <v>5</v>
      </c>
      <c r="V728">
        <v>5</v>
      </c>
      <c r="W728">
        <v>3</v>
      </c>
      <c r="X728" t="s">
        <v>11022</v>
      </c>
      <c r="Y728" t="s">
        <v>11022</v>
      </c>
      <c r="Z728" t="str">
        <f>_xlfn.XLOOKUP(Employees[[#This Row],[Education]], EdLevel[EducationLevelID], EdLevel[EducationLevel])</f>
        <v xml:space="preserve">Bachelors </v>
      </c>
      <c r="AA728">
        <f>IF(Employees[[#This Row],[Attrition]] = "Yes", 1, 0)</f>
        <v>0</v>
      </c>
      <c r="AB728" t="str" cm="1">
        <f t="array" ref="AB728">_xlfn.IFS(Employees[[#This Row],[Age]]&lt;30, "20-29", Employees[[#This Row],[Age]]&lt;40, "30-39", Employees[[#This Row],[Age]]&lt;50, "40-49", "TRUE", "50+")</f>
        <v>20-29</v>
      </c>
    </row>
    <row r="729" spans="1:28">
      <c r="A729" t="s">
        <v>2195</v>
      </c>
      <c r="B729" t="s">
        <v>2196</v>
      </c>
      <c r="C729" t="s">
        <v>2197</v>
      </c>
      <c r="D729" t="s">
        <v>26</v>
      </c>
      <c r="E729">
        <v>23</v>
      </c>
      <c r="F729" t="s">
        <v>27</v>
      </c>
      <c r="G729" t="s">
        <v>54</v>
      </c>
      <c r="H729">
        <v>29</v>
      </c>
      <c r="I729" t="s">
        <v>39</v>
      </c>
      <c r="J729" t="s">
        <v>66</v>
      </c>
      <c r="K729">
        <v>3</v>
      </c>
      <c r="L729" t="s">
        <v>72</v>
      </c>
      <c r="M729" t="s">
        <v>101</v>
      </c>
      <c r="N729" t="s">
        <v>33</v>
      </c>
      <c r="O729">
        <v>25500</v>
      </c>
      <c r="P729">
        <v>1</v>
      </c>
      <c r="Q729" t="s">
        <v>34</v>
      </c>
      <c r="R729" s="1">
        <v>42959</v>
      </c>
      <c r="S729" t="s">
        <v>34</v>
      </c>
      <c r="T729">
        <v>5</v>
      </c>
      <c r="U729">
        <v>5</v>
      </c>
      <c r="V729">
        <v>5</v>
      </c>
      <c r="W729">
        <v>3</v>
      </c>
      <c r="X729" t="s">
        <v>11022</v>
      </c>
      <c r="Y729" t="s">
        <v>11022</v>
      </c>
      <c r="Z729" t="str">
        <f>_xlfn.XLOOKUP(Employees[[#This Row],[Education]], EdLevel[EducationLevelID], EdLevel[EducationLevel])</f>
        <v xml:space="preserve">Bachelors </v>
      </c>
      <c r="AA729">
        <f>IF(Employees[[#This Row],[Attrition]] = "Yes", 1, 0)</f>
        <v>0</v>
      </c>
      <c r="AB729" t="str" cm="1">
        <f t="array" ref="AB729">_xlfn.IFS(Employees[[#This Row],[Age]]&lt;30, "20-29", Employees[[#This Row],[Age]]&lt;40, "30-39", Employees[[#This Row],[Age]]&lt;50, "40-49", "TRUE", "50+")</f>
        <v>20-29</v>
      </c>
    </row>
    <row r="730" spans="1:28">
      <c r="A730" t="s">
        <v>2198</v>
      </c>
      <c r="B730" t="s">
        <v>2199</v>
      </c>
      <c r="C730" t="s">
        <v>2200</v>
      </c>
      <c r="D730" t="s">
        <v>38</v>
      </c>
      <c r="E730">
        <v>26</v>
      </c>
      <c r="F730" t="s">
        <v>27</v>
      </c>
      <c r="G730" t="s">
        <v>54</v>
      </c>
      <c r="H730">
        <v>35</v>
      </c>
      <c r="I730" t="s">
        <v>39</v>
      </c>
      <c r="J730" t="s">
        <v>137</v>
      </c>
      <c r="K730">
        <v>4</v>
      </c>
      <c r="L730" t="s">
        <v>72</v>
      </c>
      <c r="M730" t="s">
        <v>56</v>
      </c>
      <c r="N730" t="s">
        <v>33</v>
      </c>
      <c r="O730">
        <v>292386</v>
      </c>
      <c r="P730">
        <v>2</v>
      </c>
      <c r="Q730" t="s">
        <v>34</v>
      </c>
      <c r="R730" s="1">
        <v>42961</v>
      </c>
      <c r="S730" t="s">
        <v>34</v>
      </c>
      <c r="T730">
        <v>5</v>
      </c>
      <c r="U730">
        <v>2</v>
      </c>
      <c r="V730">
        <v>2</v>
      </c>
      <c r="W730">
        <v>5</v>
      </c>
      <c r="X730" t="s">
        <v>11023</v>
      </c>
      <c r="Y730" t="s">
        <v>11023</v>
      </c>
      <c r="Z730" t="str">
        <f>_xlfn.XLOOKUP(Employees[[#This Row],[Education]], EdLevel[EducationLevelID], EdLevel[EducationLevel])</f>
        <v xml:space="preserve">Masters </v>
      </c>
      <c r="AA730">
        <f>IF(Employees[[#This Row],[Attrition]] = "Yes", 1, 0)</f>
        <v>0</v>
      </c>
      <c r="AB730" t="str" cm="1">
        <f t="array" ref="AB730">_xlfn.IFS(Employees[[#This Row],[Age]]&lt;30, "20-29", Employees[[#This Row],[Age]]&lt;40, "30-39", Employees[[#This Row],[Age]]&lt;50, "40-49", "TRUE", "50+")</f>
        <v>20-29</v>
      </c>
    </row>
    <row r="731" spans="1:28">
      <c r="A731" t="s">
        <v>2201</v>
      </c>
      <c r="B731" t="s">
        <v>2202</v>
      </c>
      <c r="C731" t="s">
        <v>2203</v>
      </c>
      <c r="D731" t="s">
        <v>26</v>
      </c>
      <c r="E731">
        <v>24</v>
      </c>
      <c r="F731" t="s">
        <v>70</v>
      </c>
      <c r="G731" t="s">
        <v>54</v>
      </c>
      <c r="H731">
        <v>29</v>
      </c>
      <c r="I731" t="s">
        <v>39</v>
      </c>
      <c r="J731" t="s">
        <v>30</v>
      </c>
      <c r="K731">
        <v>4</v>
      </c>
      <c r="L731" t="s">
        <v>72</v>
      </c>
      <c r="M731" t="s">
        <v>93</v>
      </c>
      <c r="N731" t="s">
        <v>49</v>
      </c>
      <c r="O731">
        <v>158330</v>
      </c>
      <c r="P731">
        <v>3</v>
      </c>
      <c r="Q731" t="s">
        <v>41</v>
      </c>
      <c r="R731" s="1">
        <v>42965</v>
      </c>
      <c r="S731" t="s">
        <v>34</v>
      </c>
      <c r="T731">
        <v>5</v>
      </c>
      <c r="U731">
        <v>1</v>
      </c>
      <c r="V731">
        <v>3</v>
      </c>
      <c r="W731">
        <v>0</v>
      </c>
      <c r="X731" t="s">
        <v>11023</v>
      </c>
      <c r="Y731" t="s">
        <v>11023</v>
      </c>
      <c r="Z731" t="str">
        <f>_xlfn.XLOOKUP(Employees[[#This Row],[Education]], EdLevel[EducationLevelID], EdLevel[EducationLevel])</f>
        <v xml:space="preserve">Masters </v>
      </c>
      <c r="AA731">
        <f>IF(Employees[[#This Row],[Attrition]] = "Yes", 1, 0)</f>
        <v>0</v>
      </c>
      <c r="AB731" t="str" cm="1">
        <f t="array" ref="AB731">_xlfn.IFS(Employees[[#This Row],[Age]]&lt;30, "20-29", Employees[[#This Row],[Age]]&lt;40, "30-39", Employees[[#This Row],[Age]]&lt;50, "40-49", "TRUE", "50+")</f>
        <v>20-29</v>
      </c>
    </row>
    <row r="732" spans="1:28">
      <c r="A732" t="s">
        <v>2204</v>
      </c>
      <c r="B732" t="s">
        <v>2205</v>
      </c>
      <c r="C732" t="s">
        <v>2206</v>
      </c>
      <c r="D732" t="s">
        <v>26</v>
      </c>
      <c r="E732">
        <v>25</v>
      </c>
      <c r="F732" t="s">
        <v>27</v>
      </c>
      <c r="G732" t="s">
        <v>28</v>
      </c>
      <c r="H732">
        <v>4</v>
      </c>
      <c r="I732" t="s">
        <v>39</v>
      </c>
      <c r="J732" t="s">
        <v>92</v>
      </c>
      <c r="K732">
        <v>3</v>
      </c>
      <c r="L732" t="s">
        <v>31</v>
      </c>
      <c r="M732" t="s">
        <v>32</v>
      </c>
      <c r="N732" t="s">
        <v>40</v>
      </c>
      <c r="O732">
        <v>48917</v>
      </c>
      <c r="P732">
        <v>0</v>
      </c>
      <c r="Q732" t="s">
        <v>34</v>
      </c>
      <c r="R732" s="1">
        <v>42966</v>
      </c>
      <c r="S732" t="s">
        <v>34</v>
      </c>
      <c r="T732">
        <v>5</v>
      </c>
      <c r="U732">
        <v>2</v>
      </c>
      <c r="V732">
        <v>4</v>
      </c>
      <c r="W732">
        <v>3</v>
      </c>
      <c r="X732" t="s">
        <v>11022</v>
      </c>
      <c r="Y732" t="s">
        <v>11022</v>
      </c>
      <c r="Z732" t="str">
        <f>_xlfn.XLOOKUP(Employees[[#This Row],[Education]], EdLevel[EducationLevelID], EdLevel[EducationLevel])</f>
        <v xml:space="preserve">Bachelors </v>
      </c>
      <c r="AA732">
        <f>IF(Employees[[#This Row],[Attrition]] = "Yes", 1, 0)</f>
        <v>0</v>
      </c>
      <c r="AB732" t="str" cm="1">
        <f t="array" ref="AB732">_xlfn.IFS(Employees[[#This Row],[Age]]&lt;30, "20-29", Employees[[#This Row],[Age]]&lt;40, "30-39", Employees[[#This Row],[Age]]&lt;50, "40-49", "TRUE", "50+")</f>
        <v>20-29</v>
      </c>
    </row>
    <row r="733" spans="1:28">
      <c r="A733" t="s">
        <v>2207</v>
      </c>
      <c r="B733" t="s">
        <v>2208</v>
      </c>
      <c r="C733" t="s">
        <v>2209</v>
      </c>
      <c r="D733" t="s">
        <v>53</v>
      </c>
      <c r="E733">
        <v>26</v>
      </c>
      <c r="F733" t="s">
        <v>70</v>
      </c>
      <c r="G733" t="s">
        <v>28</v>
      </c>
      <c r="H733">
        <v>18</v>
      </c>
      <c r="I733" t="s">
        <v>29</v>
      </c>
      <c r="J733" t="s">
        <v>30</v>
      </c>
      <c r="K733">
        <v>2</v>
      </c>
      <c r="L733" t="s">
        <v>121</v>
      </c>
      <c r="M733" t="s">
        <v>32</v>
      </c>
      <c r="N733" t="s">
        <v>40</v>
      </c>
      <c r="O733">
        <v>65194</v>
      </c>
      <c r="P733">
        <v>0</v>
      </c>
      <c r="Q733" t="s">
        <v>34</v>
      </c>
      <c r="R733" s="1">
        <v>42969</v>
      </c>
      <c r="S733" t="s">
        <v>34</v>
      </c>
      <c r="T733">
        <v>5</v>
      </c>
      <c r="U733">
        <v>3</v>
      </c>
      <c r="V733">
        <v>4</v>
      </c>
      <c r="W733">
        <v>5</v>
      </c>
      <c r="X733" t="s">
        <v>11021</v>
      </c>
      <c r="Y733" t="s">
        <v>11021</v>
      </c>
      <c r="Z733" t="str">
        <f>_xlfn.XLOOKUP(Employees[[#This Row],[Education]], EdLevel[EducationLevelID], EdLevel[EducationLevel])</f>
        <v xml:space="preserve">High School </v>
      </c>
      <c r="AA733">
        <f>IF(Employees[[#This Row],[Attrition]] = "Yes", 1, 0)</f>
        <v>0</v>
      </c>
      <c r="AB733" t="str" cm="1">
        <f t="array" ref="AB733">_xlfn.IFS(Employees[[#This Row],[Age]]&lt;30, "20-29", Employees[[#This Row],[Age]]&lt;40, "30-39", Employees[[#This Row],[Age]]&lt;50, "40-49", "TRUE", "50+")</f>
        <v>20-29</v>
      </c>
    </row>
    <row r="734" spans="1:28">
      <c r="A734" t="s">
        <v>2210</v>
      </c>
      <c r="B734" t="s">
        <v>2211</v>
      </c>
      <c r="C734" t="s">
        <v>2212</v>
      </c>
      <c r="D734" t="s">
        <v>53</v>
      </c>
      <c r="E734">
        <v>24</v>
      </c>
      <c r="F734" t="s">
        <v>84</v>
      </c>
      <c r="G734" t="s">
        <v>28</v>
      </c>
      <c r="H734">
        <v>17</v>
      </c>
      <c r="I734" t="s">
        <v>39</v>
      </c>
      <c r="J734" t="s">
        <v>30</v>
      </c>
      <c r="K734">
        <v>4</v>
      </c>
      <c r="L734" t="s">
        <v>47</v>
      </c>
      <c r="M734" t="s">
        <v>32</v>
      </c>
      <c r="N734" t="s">
        <v>49</v>
      </c>
      <c r="O734">
        <v>56155</v>
      </c>
      <c r="P734">
        <v>1</v>
      </c>
      <c r="Q734" t="s">
        <v>34</v>
      </c>
      <c r="R734" s="1">
        <v>42973</v>
      </c>
      <c r="S734" t="s">
        <v>34</v>
      </c>
      <c r="T734">
        <v>5</v>
      </c>
      <c r="U734">
        <v>2</v>
      </c>
      <c r="V734">
        <v>2</v>
      </c>
      <c r="W734">
        <v>0</v>
      </c>
      <c r="X734" t="s">
        <v>11023</v>
      </c>
      <c r="Y734" t="s">
        <v>11023</v>
      </c>
      <c r="Z734" t="str">
        <f>_xlfn.XLOOKUP(Employees[[#This Row],[Education]], EdLevel[EducationLevelID], EdLevel[EducationLevel])</f>
        <v xml:space="preserve">Masters </v>
      </c>
      <c r="AA734">
        <f>IF(Employees[[#This Row],[Attrition]] = "Yes", 1, 0)</f>
        <v>0</v>
      </c>
      <c r="AB734" t="str" cm="1">
        <f t="array" ref="AB734">_xlfn.IFS(Employees[[#This Row],[Age]]&lt;30, "20-29", Employees[[#This Row],[Age]]&lt;40, "30-39", Employees[[#This Row],[Age]]&lt;50, "40-49", "TRUE", "50+")</f>
        <v>20-29</v>
      </c>
    </row>
    <row r="735" spans="1:28">
      <c r="A735" t="s">
        <v>2213</v>
      </c>
      <c r="B735" t="s">
        <v>2214</v>
      </c>
      <c r="C735" t="s">
        <v>2215</v>
      </c>
      <c r="D735" t="s">
        <v>38</v>
      </c>
      <c r="E735">
        <v>23</v>
      </c>
      <c r="F735" t="s">
        <v>27</v>
      </c>
      <c r="G735" t="s">
        <v>54</v>
      </c>
      <c r="H735">
        <v>1</v>
      </c>
      <c r="I735" t="s">
        <v>29</v>
      </c>
      <c r="J735" t="s">
        <v>71</v>
      </c>
      <c r="K735">
        <v>1</v>
      </c>
      <c r="L735" t="s">
        <v>77</v>
      </c>
      <c r="M735" t="s">
        <v>85</v>
      </c>
      <c r="N735" t="s">
        <v>33</v>
      </c>
      <c r="O735">
        <v>47648</v>
      </c>
      <c r="P735">
        <v>1</v>
      </c>
      <c r="Q735" t="s">
        <v>41</v>
      </c>
      <c r="R735" s="1">
        <v>42976</v>
      </c>
      <c r="S735" t="s">
        <v>34</v>
      </c>
      <c r="T735">
        <v>5</v>
      </c>
      <c r="U735">
        <v>2</v>
      </c>
      <c r="V735">
        <v>4</v>
      </c>
      <c r="W735">
        <v>5</v>
      </c>
      <c r="X735" t="s">
        <v>11020</v>
      </c>
      <c r="Y735" t="s">
        <v>11020</v>
      </c>
      <c r="Z735" t="str">
        <f>_xlfn.XLOOKUP(Employees[[#This Row],[Education]], EdLevel[EducationLevelID], EdLevel[EducationLevel])</f>
        <v>No Formal Qualifications</v>
      </c>
      <c r="AA735">
        <f>IF(Employees[[#This Row],[Attrition]] = "Yes", 1, 0)</f>
        <v>0</v>
      </c>
      <c r="AB735" t="str" cm="1">
        <f t="array" ref="AB735">_xlfn.IFS(Employees[[#This Row],[Age]]&lt;30, "20-29", Employees[[#This Row],[Age]]&lt;40, "30-39", Employees[[#This Row],[Age]]&lt;50, "40-49", "TRUE", "50+")</f>
        <v>20-29</v>
      </c>
    </row>
    <row r="736" spans="1:28">
      <c r="A736" t="s">
        <v>2216</v>
      </c>
      <c r="B736" t="s">
        <v>2217</v>
      </c>
      <c r="C736" t="s">
        <v>2218</v>
      </c>
      <c r="D736" t="s">
        <v>38</v>
      </c>
      <c r="E736">
        <v>25</v>
      </c>
      <c r="F736" t="s">
        <v>84</v>
      </c>
      <c r="G736" t="s">
        <v>54</v>
      </c>
      <c r="H736">
        <v>23</v>
      </c>
      <c r="I736" t="s">
        <v>39</v>
      </c>
      <c r="J736" t="s">
        <v>71</v>
      </c>
      <c r="K736">
        <v>3</v>
      </c>
      <c r="L736" t="s">
        <v>72</v>
      </c>
      <c r="M736" t="s">
        <v>101</v>
      </c>
      <c r="N736" t="s">
        <v>49</v>
      </c>
      <c r="O736">
        <v>22525</v>
      </c>
      <c r="P736">
        <v>1</v>
      </c>
      <c r="Q736" t="s">
        <v>34</v>
      </c>
      <c r="R736" s="1">
        <v>42978</v>
      </c>
      <c r="S736" t="s">
        <v>34</v>
      </c>
      <c r="T736">
        <v>5</v>
      </c>
      <c r="U736">
        <v>3</v>
      </c>
      <c r="V736">
        <v>4</v>
      </c>
      <c r="W736">
        <v>5</v>
      </c>
      <c r="X736" t="s">
        <v>11022</v>
      </c>
      <c r="Y736" t="s">
        <v>11022</v>
      </c>
      <c r="Z736" t="str">
        <f>_xlfn.XLOOKUP(Employees[[#This Row],[Education]], EdLevel[EducationLevelID], EdLevel[EducationLevel])</f>
        <v xml:space="preserve">Bachelors </v>
      </c>
      <c r="AA736">
        <f>IF(Employees[[#This Row],[Attrition]] = "Yes", 1, 0)</f>
        <v>0</v>
      </c>
      <c r="AB736" t="str" cm="1">
        <f t="array" ref="AB736">_xlfn.IFS(Employees[[#This Row],[Age]]&lt;30, "20-29", Employees[[#This Row],[Age]]&lt;40, "30-39", Employees[[#This Row],[Age]]&lt;50, "40-49", "TRUE", "50+")</f>
        <v>20-29</v>
      </c>
    </row>
    <row r="737" spans="1:28">
      <c r="A737" t="s">
        <v>2219</v>
      </c>
      <c r="B737" t="s">
        <v>2220</v>
      </c>
      <c r="C737" t="s">
        <v>2221</v>
      </c>
      <c r="D737" t="s">
        <v>38</v>
      </c>
      <c r="E737">
        <v>26</v>
      </c>
      <c r="F737" t="s">
        <v>27</v>
      </c>
      <c r="G737" t="s">
        <v>54</v>
      </c>
      <c r="H737">
        <v>28</v>
      </c>
      <c r="I737" t="s">
        <v>39</v>
      </c>
      <c r="J737" t="s">
        <v>66</v>
      </c>
      <c r="K737">
        <v>5</v>
      </c>
      <c r="L737" t="s">
        <v>55</v>
      </c>
      <c r="M737" t="s">
        <v>56</v>
      </c>
      <c r="N737" t="s">
        <v>49</v>
      </c>
      <c r="O737">
        <v>246505</v>
      </c>
      <c r="P737">
        <v>1</v>
      </c>
      <c r="Q737" t="s">
        <v>34</v>
      </c>
      <c r="R737" s="1">
        <v>42982</v>
      </c>
      <c r="S737" t="s">
        <v>34</v>
      </c>
      <c r="T737">
        <v>5</v>
      </c>
      <c r="U737">
        <v>1</v>
      </c>
      <c r="V737">
        <v>3</v>
      </c>
      <c r="W737">
        <v>2</v>
      </c>
      <c r="X737" t="s">
        <v>11024</v>
      </c>
      <c r="Y737" t="s">
        <v>11024</v>
      </c>
      <c r="Z737" t="str">
        <f>_xlfn.XLOOKUP(Employees[[#This Row],[Education]], EdLevel[EducationLevelID], EdLevel[EducationLevel])</f>
        <v>Doctorate</v>
      </c>
      <c r="AA737">
        <f>IF(Employees[[#This Row],[Attrition]] = "Yes", 1, 0)</f>
        <v>0</v>
      </c>
      <c r="AB737" t="str" cm="1">
        <f t="array" ref="AB737">_xlfn.IFS(Employees[[#This Row],[Age]]&lt;30, "20-29", Employees[[#This Row],[Age]]&lt;40, "30-39", Employees[[#This Row],[Age]]&lt;50, "40-49", "TRUE", "50+")</f>
        <v>20-29</v>
      </c>
    </row>
    <row r="738" spans="1:28">
      <c r="A738" t="s">
        <v>2222</v>
      </c>
      <c r="B738" t="s">
        <v>2223</v>
      </c>
      <c r="C738" t="s">
        <v>2224</v>
      </c>
      <c r="D738" t="s">
        <v>26</v>
      </c>
      <c r="E738">
        <v>38</v>
      </c>
      <c r="F738" t="s">
        <v>84</v>
      </c>
      <c r="G738" t="s">
        <v>54</v>
      </c>
      <c r="H738">
        <v>44</v>
      </c>
      <c r="I738" t="s">
        <v>39</v>
      </c>
      <c r="J738" t="s">
        <v>30</v>
      </c>
      <c r="K738">
        <v>2</v>
      </c>
      <c r="L738" t="s">
        <v>55</v>
      </c>
      <c r="M738" t="s">
        <v>56</v>
      </c>
      <c r="N738" t="s">
        <v>40</v>
      </c>
      <c r="O738">
        <v>293425</v>
      </c>
      <c r="P738">
        <v>0</v>
      </c>
      <c r="Q738" t="s">
        <v>41</v>
      </c>
      <c r="R738" s="1">
        <v>42983</v>
      </c>
      <c r="S738" t="s">
        <v>34</v>
      </c>
      <c r="T738">
        <v>5</v>
      </c>
      <c r="U738">
        <v>4</v>
      </c>
      <c r="V738">
        <v>4</v>
      </c>
      <c r="W738">
        <v>4</v>
      </c>
      <c r="X738" t="s">
        <v>11021</v>
      </c>
      <c r="Y738" t="s">
        <v>11021</v>
      </c>
      <c r="Z738" t="str">
        <f>_xlfn.XLOOKUP(Employees[[#This Row],[Education]], EdLevel[EducationLevelID], EdLevel[EducationLevel])</f>
        <v xml:space="preserve">High School </v>
      </c>
      <c r="AA738">
        <f>IF(Employees[[#This Row],[Attrition]] = "Yes", 1, 0)</f>
        <v>0</v>
      </c>
      <c r="AB738" t="str" cm="1">
        <f t="array" ref="AB738">_xlfn.IFS(Employees[[#This Row],[Age]]&lt;30, "20-29", Employees[[#This Row],[Age]]&lt;40, "30-39", Employees[[#This Row],[Age]]&lt;50, "40-49", "TRUE", "50+")</f>
        <v>30-39</v>
      </c>
    </row>
    <row r="739" spans="1:28">
      <c r="A739" t="s">
        <v>2225</v>
      </c>
      <c r="B739" t="s">
        <v>2226</v>
      </c>
      <c r="C739" t="s">
        <v>2227</v>
      </c>
      <c r="D739" t="s">
        <v>38</v>
      </c>
      <c r="E739">
        <v>26</v>
      </c>
      <c r="F739" t="s">
        <v>27</v>
      </c>
      <c r="G739" t="s">
        <v>54</v>
      </c>
      <c r="H739">
        <v>20</v>
      </c>
      <c r="I739" t="s">
        <v>65</v>
      </c>
      <c r="J739" t="s">
        <v>30</v>
      </c>
      <c r="K739">
        <v>1</v>
      </c>
      <c r="L739" t="s">
        <v>55</v>
      </c>
      <c r="M739" t="s">
        <v>105</v>
      </c>
      <c r="N739" t="s">
        <v>49</v>
      </c>
      <c r="O739">
        <v>207687</v>
      </c>
      <c r="P739">
        <v>1</v>
      </c>
      <c r="Q739" t="s">
        <v>41</v>
      </c>
      <c r="R739" s="1">
        <v>42986</v>
      </c>
      <c r="S739" t="s">
        <v>34</v>
      </c>
      <c r="T739">
        <v>5</v>
      </c>
      <c r="U739">
        <v>0</v>
      </c>
      <c r="V739">
        <v>5</v>
      </c>
      <c r="W739">
        <v>4</v>
      </c>
      <c r="X739" t="s">
        <v>11020</v>
      </c>
      <c r="Y739" t="s">
        <v>11020</v>
      </c>
      <c r="Z739" t="str">
        <f>_xlfn.XLOOKUP(Employees[[#This Row],[Education]], EdLevel[EducationLevelID], EdLevel[EducationLevel])</f>
        <v>No Formal Qualifications</v>
      </c>
      <c r="AA739">
        <f>IF(Employees[[#This Row],[Attrition]] = "Yes", 1, 0)</f>
        <v>0</v>
      </c>
      <c r="AB739" t="str" cm="1">
        <f t="array" ref="AB739">_xlfn.IFS(Employees[[#This Row],[Age]]&lt;30, "20-29", Employees[[#This Row],[Age]]&lt;40, "30-39", Employees[[#This Row],[Age]]&lt;50, "40-49", "TRUE", "50+")</f>
        <v>20-29</v>
      </c>
    </row>
    <row r="740" spans="1:28">
      <c r="A740" t="s">
        <v>2228</v>
      </c>
      <c r="B740" t="s">
        <v>2229</v>
      </c>
      <c r="C740" t="s">
        <v>2230</v>
      </c>
      <c r="D740" t="s">
        <v>38</v>
      </c>
      <c r="E740">
        <v>24</v>
      </c>
      <c r="F740" t="s">
        <v>27</v>
      </c>
      <c r="G740" t="s">
        <v>54</v>
      </c>
      <c r="H740">
        <v>17</v>
      </c>
      <c r="I740" t="s">
        <v>65</v>
      </c>
      <c r="J740" t="s">
        <v>66</v>
      </c>
      <c r="K740">
        <v>4</v>
      </c>
      <c r="L740" t="s">
        <v>77</v>
      </c>
      <c r="M740" t="s">
        <v>101</v>
      </c>
      <c r="N740" t="s">
        <v>49</v>
      </c>
      <c r="O740">
        <v>30720</v>
      </c>
      <c r="P740">
        <v>1</v>
      </c>
      <c r="Q740" t="s">
        <v>34</v>
      </c>
      <c r="R740" s="1">
        <v>42987</v>
      </c>
      <c r="S740" t="s">
        <v>34</v>
      </c>
      <c r="T740">
        <v>5</v>
      </c>
      <c r="U740">
        <v>4</v>
      </c>
      <c r="V740">
        <v>5</v>
      </c>
      <c r="W740">
        <v>4</v>
      </c>
      <c r="X740" t="s">
        <v>11023</v>
      </c>
      <c r="Y740" t="s">
        <v>11023</v>
      </c>
      <c r="Z740" t="str">
        <f>_xlfn.XLOOKUP(Employees[[#This Row],[Education]], EdLevel[EducationLevelID], EdLevel[EducationLevel])</f>
        <v xml:space="preserve">Masters </v>
      </c>
      <c r="AA740">
        <f>IF(Employees[[#This Row],[Attrition]] = "Yes", 1, 0)</f>
        <v>0</v>
      </c>
      <c r="AB740" t="str" cm="1">
        <f t="array" ref="AB740">_xlfn.IFS(Employees[[#This Row],[Age]]&lt;30, "20-29", Employees[[#This Row],[Age]]&lt;40, "30-39", Employees[[#This Row],[Age]]&lt;50, "40-49", "TRUE", "50+")</f>
        <v>20-29</v>
      </c>
    </row>
    <row r="741" spans="1:28">
      <c r="A741" t="s">
        <v>2231</v>
      </c>
      <c r="B741" t="s">
        <v>2232</v>
      </c>
      <c r="C741" t="s">
        <v>2233</v>
      </c>
      <c r="D741" t="s">
        <v>26</v>
      </c>
      <c r="E741">
        <v>24</v>
      </c>
      <c r="F741" t="s">
        <v>84</v>
      </c>
      <c r="G741" t="s">
        <v>28</v>
      </c>
      <c r="H741">
        <v>29</v>
      </c>
      <c r="I741" t="s">
        <v>39</v>
      </c>
      <c r="J741" t="s">
        <v>71</v>
      </c>
      <c r="K741">
        <v>1</v>
      </c>
      <c r="L741" t="s">
        <v>121</v>
      </c>
      <c r="M741" t="s">
        <v>150</v>
      </c>
      <c r="N741" t="s">
        <v>40</v>
      </c>
      <c r="O741">
        <v>26608</v>
      </c>
      <c r="P741">
        <v>0</v>
      </c>
      <c r="Q741" t="s">
        <v>34</v>
      </c>
      <c r="R741" s="1">
        <v>42990</v>
      </c>
      <c r="S741" t="s">
        <v>34</v>
      </c>
      <c r="T741">
        <v>5</v>
      </c>
      <c r="U741">
        <v>0</v>
      </c>
      <c r="V741">
        <v>3</v>
      </c>
      <c r="W741">
        <v>1</v>
      </c>
      <c r="X741" t="s">
        <v>11020</v>
      </c>
      <c r="Y741" t="s">
        <v>11020</v>
      </c>
      <c r="Z741" t="str">
        <f>_xlfn.XLOOKUP(Employees[[#This Row],[Education]], EdLevel[EducationLevelID], EdLevel[EducationLevel])</f>
        <v>No Formal Qualifications</v>
      </c>
      <c r="AA741">
        <f>IF(Employees[[#This Row],[Attrition]] = "Yes", 1, 0)</f>
        <v>0</v>
      </c>
      <c r="AB741" t="str" cm="1">
        <f t="array" ref="AB741">_xlfn.IFS(Employees[[#This Row],[Age]]&lt;30, "20-29", Employees[[#This Row],[Age]]&lt;40, "30-39", Employees[[#This Row],[Age]]&lt;50, "40-49", "TRUE", "50+")</f>
        <v>20-29</v>
      </c>
    </row>
    <row r="742" spans="1:28">
      <c r="A742" t="s">
        <v>2234</v>
      </c>
      <c r="B742" t="s">
        <v>2235</v>
      </c>
      <c r="C742" t="s">
        <v>2236</v>
      </c>
      <c r="D742" t="s">
        <v>38</v>
      </c>
      <c r="E742">
        <v>24</v>
      </c>
      <c r="F742" t="s">
        <v>27</v>
      </c>
      <c r="G742" t="s">
        <v>28</v>
      </c>
      <c r="H742">
        <v>31</v>
      </c>
      <c r="I742" t="s">
        <v>39</v>
      </c>
      <c r="J742" t="s">
        <v>137</v>
      </c>
      <c r="K742">
        <v>4</v>
      </c>
      <c r="L742" t="s">
        <v>31</v>
      </c>
      <c r="M742" t="s">
        <v>32</v>
      </c>
      <c r="N742" t="s">
        <v>49</v>
      </c>
      <c r="O742">
        <v>105502</v>
      </c>
      <c r="P742">
        <v>2</v>
      </c>
      <c r="Q742" t="s">
        <v>34</v>
      </c>
      <c r="R742" s="1">
        <v>42990</v>
      </c>
      <c r="S742" t="s">
        <v>34</v>
      </c>
      <c r="T742">
        <v>5</v>
      </c>
      <c r="U742">
        <v>2</v>
      </c>
      <c r="V742">
        <v>5</v>
      </c>
      <c r="W742">
        <v>2</v>
      </c>
      <c r="X742" t="s">
        <v>11023</v>
      </c>
      <c r="Y742" t="s">
        <v>11023</v>
      </c>
      <c r="Z742" t="str">
        <f>_xlfn.XLOOKUP(Employees[[#This Row],[Education]], EdLevel[EducationLevelID], EdLevel[EducationLevel])</f>
        <v xml:space="preserve">Masters </v>
      </c>
      <c r="AA742">
        <f>IF(Employees[[#This Row],[Attrition]] = "Yes", 1, 0)</f>
        <v>0</v>
      </c>
      <c r="AB742" t="str" cm="1">
        <f t="array" ref="AB742">_xlfn.IFS(Employees[[#This Row],[Age]]&lt;30, "20-29", Employees[[#This Row],[Age]]&lt;40, "30-39", Employees[[#This Row],[Age]]&lt;50, "40-49", "TRUE", "50+")</f>
        <v>20-29</v>
      </c>
    </row>
    <row r="743" spans="1:28">
      <c r="A743" t="s">
        <v>2237</v>
      </c>
      <c r="B743" t="s">
        <v>1128</v>
      </c>
      <c r="C743" t="s">
        <v>2238</v>
      </c>
      <c r="D743" t="s">
        <v>26</v>
      </c>
      <c r="E743">
        <v>26</v>
      </c>
      <c r="F743" t="s">
        <v>27</v>
      </c>
      <c r="G743" t="s">
        <v>54</v>
      </c>
      <c r="H743">
        <v>45</v>
      </c>
      <c r="I743" t="s">
        <v>29</v>
      </c>
      <c r="J743" t="s">
        <v>71</v>
      </c>
      <c r="K743">
        <v>3</v>
      </c>
      <c r="L743" t="s">
        <v>55</v>
      </c>
      <c r="M743" t="s">
        <v>101</v>
      </c>
      <c r="N743" t="s">
        <v>40</v>
      </c>
      <c r="O743">
        <v>74096</v>
      </c>
      <c r="P743">
        <v>0</v>
      </c>
      <c r="Q743" t="s">
        <v>34</v>
      </c>
      <c r="R743" s="1">
        <v>42997</v>
      </c>
      <c r="S743" t="s">
        <v>34</v>
      </c>
      <c r="T743">
        <v>5</v>
      </c>
      <c r="U743">
        <v>0</v>
      </c>
      <c r="V743">
        <v>5</v>
      </c>
      <c r="W743">
        <v>4</v>
      </c>
      <c r="X743" t="s">
        <v>11022</v>
      </c>
      <c r="Y743" t="s">
        <v>11022</v>
      </c>
      <c r="Z743" t="str">
        <f>_xlfn.XLOOKUP(Employees[[#This Row],[Education]], EdLevel[EducationLevelID], EdLevel[EducationLevel])</f>
        <v xml:space="preserve">Bachelors </v>
      </c>
      <c r="AA743">
        <f>IF(Employees[[#This Row],[Attrition]] = "Yes", 1, 0)</f>
        <v>0</v>
      </c>
      <c r="AB743" t="str" cm="1">
        <f t="array" ref="AB743">_xlfn.IFS(Employees[[#This Row],[Age]]&lt;30, "20-29", Employees[[#This Row],[Age]]&lt;40, "30-39", Employees[[#This Row],[Age]]&lt;50, "40-49", "TRUE", "50+")</f>
        <v>20-29</v>
      </c>
    </row>
    <row r="744" spans="1:28">
      <c r="A744" t="s">
        <v>2239</v>
      </c>
      <c r="B744" t="s">
        <v>2240</v>
      </c>
      <c r="C744" t="s">
        <v>2241</v>
      </c>
      <c r="D744" t="s">
        <v>26</v>
      </c>
      <c r="E744">
        <v>25</v>
      </c>
      <c r="F744" t="s">
        <v>70</v>
      </c>
      <c r="G744" t="s">
        <v>54</v>
      </c>
      <c r="H744">
        <v>28</v>
      </c>
      <c r="I744" t="s">
        <v>39</v>
      </c>
      <c r="J744" t="s">
        <v>30</v>
      </c>
      <c r="K744">
        <v>4</v>
      </c>
      <c r="L744" t="s">
        <v>77</v>
      </c>
      <c r="M744" t="s">
        <v>105</v>
      </c>
      <c r="N744" t="s">
        <v>40</v>
      </c>
      <c r="O744">
        <v>68762</v>
      </c>
      <c r="P744">
        <v>0</v>
      </c>
      <c r="Q744" t="s">
        <v>41</v>
      </c>
      <c r="R744" s="1">
        <v>43001</v>
      </c>
      <c r="S744" t="s">
        <v>34</v>
      </c>
      <c r="T744">
        <v>5</v>
      </c>
      <c r="U744">
        <v>3</v>
      </c>
      <c r="V744">
        <v>5</v>
      </c>
      <c r="W744">
        <v>4</v>
      </c>
      <c r="X744" t="s">
        <v>11023</v>
      </c>
      <c r="Y744" t="s">
        <v>11023</v>
      </c>
      <c r="Z744" t="str">
        <f>_xlfn.XLOOKUP(Employees[[#This Row],[Education]], EdLevel[EducationLevelID], EdLevel[EducationLevel])</f>
        <v xml:space="preserve">Masters </v>
      </c>
      <c r="AA744">
        <f>IF(Employees[[#This Row],[Attrition]] = "Yes", 1, 0)</f>
        <v>0</v>
      </c>
      <c r="AB744" t="str" cm="1">
        <f t="array" ref="AB744">_xlfn.IFS(Employees[[#This Row],[Age]]&lt;30, "20-29", Employees[[#This Row],[Age]]&lt;40, "30-39", Employees[[#This Row],[Age]]&lt;50, "40-49", "TRUE", "50+")</f>
        <v>20-29</v>
      </c>
    </row>
    <row r="745" spans="1:28">
      <c r="A745" t="s">
        <v>2242</v>
      </c>
      <c r="B745" t="s">
        <v>2243</v>
      </c>
      <c r="C745" t="s">
        <v>2244</v>
      </c>
      <c r="D745" t="s">
        <v>26</v>
      </c>
      <c r="E745">
        <v>25</v>
      </c>
      <c r="F745" t="s">
        <v>27</v>
      </c>
      <c r="G745" t="s">
        <v>28</v>
      </c>
      <c r="H745">
        <v>3</v>
      </c>
      <c r="I745" t="s">
        <v>39</v>
      </c>
      <c r="J745" t="s">
        <v>30</v>
      </c>
      <c r="K745">
        <v>1</v>
      </c>
      <c r="L745" t="s">
        <v>31</v>
      </c>
      <c r="M745" t="s">
        <v>32</v>
      </c>
      <c r="N745" t="s">
        <v>49</v>
      </c>
      <c r="O745">
        <v>58631</v>
      </c>
      <c r="P745">
        <v>3</v>
      </c>
      <c r="Q745" t="s">
        <v>41</v>
      </c>
      <c r="R745" s="1">
        <v>43004</v>
      </c>
      <c r="S745" t="s">
        <v>34</v>
      </c>
      <c r="T745">
        <v>5</v>
      </c>
      <c r="U745">
        <v>4</v>
      </c>
      <c r="V745">
        <v>4</v>
      </c>
      <c r="W745">
        <v>3</v>
      </c>
      <c r="X745" t="s">
        <v>11020</v>
      </c>
      <c r="Y745" t="s">
        <v>11020</v>
      </c>
      <c r="Z745" t="str">
        <f>_xlfn.XLOOKUP(Employees[[#This Row],[Education]], EdLevel[EducationLevelID], EdLevel[EducationLevel])</f>
        <v>No Formal Qualifications</v>
      </c>
      <c r="AA745">
        <f>IF(Employees[[#This Row],[Attrition]] = "Yes", 1, 0)</f>
        <v>0</v>
      </c>
      <c r="AB745" t="str" cm="1">
        <f t="array" ref="AB745">_xlfn.IFS(Employees[[#This Row],[Age]]&lt;30, "20-29", Employees[[#This Row],[Age]]&lt;40, "30-39", Employees[[#This Row],[Age]]&lt;50, "40-49", "TRUE", "50+")</f>
        <v>20-29</v>
      </c>
    </row>
    <row r="746" spans="1:28">
      <c r="A746" t="s">
        <v>2245</v>
      </c>
      <c r="B746" t="s">
        <v>2246</v>
      </c>
      <c r="C746" t="s">
        <v>2247</v>
      </c>
      <c r="D746" t="s">
        <v>26</v>
      </c>
      <c r="E746">
        <v>26</v>
      </c>
      <c r="F746" t="s">
        <v>84</v>
      </c>
      <c r="G746" t="s">
        <v>54</v>
      </c>
      <c r="H746">
        <v>28</v>
      </c>
      <c r="I746" t="s">
        <v>65</v>
      </c>
      <c r="J746" t="s">
        <v>66</v>
      </c>
      <c r="K746">
        <v>4</v>
      </c>
      <c r="L746" t="s">
        <v>72</v>
      </c>
      <c r="M746" t="s">
        <v>93</v>
      </c>
      <c r="N746" t="s">
        <v>33</v>
      </c>
      <c r="O746">
        <v>79324</v>
      </c>
      <c r="P746">
        <v>0</v>
      </c>
      <c r="Q746" t="s">
        <v>41</v>
      </c>
      <c r="R746" s="1">
        <v>43007</v>
      </c>
      <c r="S746" t="s">
        <v>34</v>
      </c>
      <c r="T746">
        <v>5</v>
      </c>
      <c r="U746">
        <v>2</v>
      </c>
      <c r="V746">
        <v>3</v>
      </c>
      <c r="W746">
        <v>5</v>
      </c>
      <c r="X746" t="s">
        <v>11023</v>
      </c>
      <c r="Y746" t="s">
        <v>11023</v>
      </c>
      <c r="Z746" t="str">
        <f>_xlfn.XLOOKUP(Employees[[#This Row],[Education]], EdLevel[EducationLevelID], EdLevel[EducationLevel])</f>
        <v xml:space="preserve">Masters </v>
      </c>
      <c r="AA746">
        <f>IF(Employees[[#This Row],[Attrition]] = "Yes", 1, 0)</f>
        <v>0</v>
      </c>
      <c r="AB746" t="str" cm="1">
        <f t="array" ref="AB746">_xlfn.IFS(Employees[[#This Row],[Age]]&lt;30, "20-29", Employees[[#This Row],[Age]]&lt;40, "30-39", Employees[[#This Row],[Age]]&lt;50, "40-49", "TRUE", "50+")</f>
        <v>20-29</v>
      </c>
    </row>
    <row r="747" spans="1:28">
      <c r="A747" t="s">
        <v>2248</v>
      </c>
      <c r="B747" t="s">
        <v>2249</v>
      </c>
      <c r="C747" t="s">
        <v>2250</v>
      </c>
      <c r="D747" t="s">
        <v>26</v>
      </c>
      <c r="E747">
        <v>24</v>
      </c>
      <c r="F747" t="s">
        <v>70</v>
      </c>
      <c r="G747" t="s">
        <v>54</v>
      </c>
      <c r="H747">
        <v>7</v>
      </c>
      <c r="I747" t="s">
        <v>39</v>
      </c>
      <c r="J747" t="s">
        <v>71</v>
      </c>
      <c r="K747">
        <v>2</v>
      </c>
      <c r="L747" t="s">
        <v>72</v>
      </c>
      <c r="M747" t="s">
        <v>105</v>
      </c>
      <c r="N747" t="s">
        <v>49</v>
      </c>
      <c r="O747">
        <v>126527</v>
      </c>
      <c r="P747">
        <v>1</v>
      </c>
      <c r="Q747" t="s">
        <v>41</v>
      </c>
      <c r="R747" s="1">
        <v>43009</v>
      </c>
      <c r="S747" t="s">
        <v>34</v>
      </c>
      <c r="T747">
        <v>5</v>
      </c>
      <c r="U747">
        <v>1</v>
      </c>
      <c r="V747">
        <v>5</v>
      </c>
      <c r="W747">
        <v>3</v>
      </c>
      <c r="X747" t="s">
        <v>11021</v>
      </c>
      <c r="Y747" t="s">
        <v>11021</v>
      </c>
      <c r="Z747" t="str">
        <f>_xlfn.XLOOKUP(Employees[[#This Row],[Education]], EdLevel[EducationLevelID], EdLevel[EducationLevel])</f>
        <v xml:space="preserve">High School </v>
      </c>
      <c r="AA747">
        <f>IF(Employees[[#This Row],[Attrition]] = "Yes", 1, 0)</f>
        <v>0</v>
      </c>
      <c r="AB747" t="str" cm="1">
        <f t="array" ref="AB747">_xlfn.IFS(Employees[[#This Row],[Age]]&lt;30, "20-29", Employees[[#This Row],[Age]]&lt;40, "30-39", Employees[[#This Row],[Age]]&lt;50, "40-49", "TRUE", "50+")</f>
        <v>20-29</v>
      </c>
    </row>
    <row r="748" spans="1:28">
      <c r="A748" t="s">
        <v>2251</v>
      </c>
      <c r="B748" t="s">
        <v>2252</v>
      </c>
      <c r="C748" t="s">
        <v>2253</v>
      </c>
      <c r="D748" t="s">
        <v>26</v>
      </c>
      <c r="E748">
        <v>25</v>
      </c>
      <c r="F748" t="s">
        <v>27</v>
      </c>
      <c r="G748" t="s">
        <v>54</v>
      </c>
      <c r="H748">
        <v>40</v>
      </c>
      <c r="I748" t="s">
        <v>65</v>
      </c>
      <c r="J748" t="s">
        <v>30</v>
      </c>
      <c r="K748">
        <v>2</v>
      </c>
      <c r="L748" t="s">
        <v>55</v>
      </c>
      <c r="M748" t="s">
        <v>93</v>
      </c>
      <c r="N748" t="s">
        <v>49</v>
      </c>
      <c r="O748">
        <v>80779</v>
      </c>
      <c r="P748">
        <v>1</v>
      </c>
      <c r="Q748" t="s">
        <v>41</v>
      </c>
      <c r="R748" s="1">
        <v>43012</v>
      </c>
      <c r="S748" t="s">
        <v>34</v>
      </c>
      <c r="T748">
        <v>5</v>
      </c>
      <c r="U748">
        <v>1</v>
      </c>
      <c r="V748">
        <v>4</v>
      </c>
      <c r="W748">
        <v>5</v>
      </c>
      <c r="X748" t="s">
        <v>11021</v>
      </c>
      <c r="Y748" t="s">
        <v>11021</v>
      </c>
      <c r="Z748" t="str">
        <f>_xlfn.XLOOKUP(Employees[[#This Row],[Education]], EdLevel[EducationLevelID], EdLevel[EducationLevel])</f>
        <v xml:space="preserve">High School </v>
      </c>
      <c r="AA748">
        <f>IF(Employees[[#This Row],[Attrition]] = "Yes", 1, 0)</f>
        <v>0</v>
      </c>
      <c r="AB748" t="str" cm="1">
        <f t="array" ref="AB748">_xlfn.IFS(Employees[[#This Row],[Age]]&lt;30, "20-29", Employees[[#This Row],[Age]]&lt;40, "30-39", Employees[[#This Row],[Age]]&lt;50, "40-49", "TRUE", "50+")</f>
        <v>20-29</v>
      </c>
    </row>
    <row r="749" spans="1:28">
      <c r="A749" t="s">
        <v>2254</v>
      </c>
      <c r="B749" t="s">
        <v>2255</v>
      </c>
      <c r="C749" t="s">
        <v>2256</v>
      </c>
      <c r="D749" t="s">
        <v>26</v>
      </c>
      <c r="E749">
        <v>26</v>
      </c>
      <c r="F749" t="s">
        <v>27</v>
      </c>
      <c r="G749" t="s">
        <v>28</v>
      </c>
      <c r="H749">
        <v>18</v>
      </c>
      <c r="I749" t="s">
        <v>39</v>
      </c>
      <c r="J749" t="s">
        <v>30</v>
      </c>
      <c r="K749">
        <v>2</v>
      </c>
      <c r="L749" t="s">
        <v>47</v>
      </c>
      <c r="M749" t="s">
        <v>32</v>
      </c>
      <c r="N749" t="s">
        <v>40</v>
      </c>
      <c r="O749">
        <v>62868</v>
      </c>
      <c r="P749">
        <v>0</v>
      </c>
      <c r="Q749" t="s">
        <v>34</v>
      </c>
      <c r="R749" s="1">
        <v>43017</v>
      </c>
      <c r="S749" t="s">
        <v>34</v>
      </c>
      <c r="T749">
        <v>5</v>
      </c>
      <c r="U749">
        <v>2</v>
      </c>
      <c r="V749">
        <v>4</v>
      </c>
      <c r="W749">
        <v>0</v>
      </c>
      <c r="X749" t="s">
        <v>11021</v>
      </c>
      <c r="Y749" t="s">
        <v>11021</v>
      </c>
      <c r="Z749" t="str">
        <f>_xlfn.XLOOKUP(Employees[[#This Row],[Education]], EdLevel[EducationLevelID], EdLevel[EducationLevel])</f>
        <v xml:space="preserve">High School </v>
      </c>
      <c r="AA749">
        <f>IF(Employees[[#This Row],[Attrition]] = "Yes", 1, 0)</f>
        <v>0</v>
      </c>
      <c r="AB749" t="str" cm="1">
        <f t="array" ref="AB749">_xlfn.IFS(Employees[[#This Row],[Age]]&lt;30, "20-29", Employees[[#This Row],[Age]]&lt;40, "30-39", Employees[[#This Row],[Age]]&lt;50, "40-49", "TRUE", "50+")</f>
        <v>20-29</v>
      </c>
    </row>
    <row r="750" spans="1:28">
      <c r="A750" t="s">
        <v>2257</v>
      </c>
      <c r="B750" t="s">
        <v>2258</v>
      </c>
      <c r="C750" t="s">
        <v>2259</v>
      </c>
      <c r="D750" t="s">
        <v>26</v>
      </c>
      <c r="E750">
        <v>24</v>
      </c>
      <c r="F750" t="s">
        <v>27</v>
      </c>
      <c r="G750" t="s">
        <v>54</v>
      </c>
      <c r="H750">
        <v>26</v>
      </c>
      <c r="I750" t="s">
        <v>39</v>
      </c>
      <c r="J750" t="s">
        <v>30</v>
      </c>
      <c r="K750">
        <v>3</v>
      </c>
      <c r="L750" t="s">
        <v>72</v>
      </c>
      <c r="M750" t="s">
        <v>105</v>
      </c>
      <c r="N750" t="s">
        <v>49</v>
      </c>
      <c r="O750">
        <v>80374</v>
      </c>
      <c r="P750">
        <v>2</v>
      </c>
      <c r="Q750" t="s">
        <v>34</v>
      </c>
      <c r="R750" s="1">
        <v>43022</v>
      </c>
      <c r="S750" t="s">
        <v>34</v>
      </c>
      <c r="T750">
        <v>5</v>
      </c>
      <c r="U750">
        <v>4</v>
      </c>
      <c r="V750">
        <v>4</v>
      </c>
      <c r="W750">
        <v>4</v>
      </c>
      <c r="X750" t="s">
        <v>11022</v>
      </c>
      <c r="Y750" t="s">
        <v>11022</v>
      </c>
      <c r="Z750" t="str">
        <f>_xlfn.XLOOKUP(Employees[[#This Row],[Education]], EdLevel[EducationLevelID], EdLevel[EducationLevel])</f>
        <v xml:space="preserve">Bachelors </v>
      </c>
      <c r="AA750">
        <f>IF(Employees[[#This Row],[Attrition]] = "Yes", 1, 0)</f>
        <v>0</v>
      </c>
      <c r="AB750" t="str" cm="1">
        <f t="array" ref="AB750">_xlfn.IFS(Employees[[#This Row],[Age]]&lt;30, "20-29", Employees[[#This Row],[Age]]&lt;40, "30-39", Employees[[#This Row],[Age]]&lt;50, "40-49", "TRUE", "50+")</f>
        <v>20-29</v>
      </c>
    </row>
    <row r="751" spans="1:28">
      <c r="A751" t="s">
        <v>2260</v>
      </c>
      <c r="B751" t="s">
        <v>2261</v>
      </c>
      <c r="C751" t="s">
        <v>2262</v>
      </c>
      <c r="D751" t="s">
        <v>38</v>
      </c>
      <c r="E751">
        <v>24</v>
      </c>
      <c r="F751" t="s">
        <v>70</v>
      </c>
      <c r="G751" t="s">
        <v>28</v>
      </c>
      <c r="H751">
        <v>2</v>
      </c>
      <c r="I751" t="s">
        <v>39</v>
      </c>
      <c r="J751" t="s">
        <v>137</v>
      </c>
      <c r="K751">
        <v>4</v>
      </c>
      <c r="L751" t="s">
        <v>47</v>
      </c>
      <c r="M751" t="s">
        <v>32</v>
      </c>
      <c r="N751" t="s">
        <v>40</v>
      </c>
      <c r="O751">
        <v>64277</v>
      </c>
      <c r="P751">
        <v>0</v>
      </c>
      <c r="Q751" t="s">
        <v>34</v>
      </c>
      <c r="R751" s="1">
        <v>43023</v>
      </c>
      <c r="S751" t="s">
        <v>34</v>
      </c>
      <c r="T751">
        <v>5</v>
      </c>
      <c r="U751">
        <v>4</v>
      </c>
      <c r="V751">
        <v>4</v>
      </c>
      <c r="W751">
        <v>5</v>
      </c>
      <c r="X751" t="s">
        <v>11023</v>
      </c>
      <c r="Y751" t="s">
        <v>11023</v>
      </c>
      <c r="Z751" t="str">
        <f>_xlfn.XLOOKUP(Employees[[#This Row],[Education]], EdLevel[EducationLevelID], EdLevel[EducationLevel])</f>
        <v xml:space="preserve">Masters </v>
      </c>
      <c r="AA751">
        <f>IF(Employees[[#This Row],[Attrition]] = "Yes", 1, 0)</f>
        <v>0</v>
      </c>
      <c r="AB751" t="str" cm="1">
        <f t="array" ref="AB751">_xlfn.IFS(Employees[[#This Row],[Age]]&lt;30, "20-29", Employees[[#This Row],[Age]]&lt;40, "30-39", Employees[[#This Row],[Age]]&lt;50, "40-49", "TRUE", "50+")</f>
        <v>20-29</v>
      </c>
    </row>
    <row r="752" spans="1:28">
      <c r="A752" t="s">
        <v>2263</v>
      </c>
      <c r="B752" t="s">
        <v>2264</v>
      </c>
      <c r="C752" t="s">
        <v>2265</v>
      </c>
      <c r="D752" t="s">
        <v>38</v>
      </c>
      <c r="E752">
        <v>41</v>
      </c>
      <c r="F752" t="s">
        <v>27</v>
      </c>
      <c r="G752" t="s">
        <v>54</v>
      </c>
      <c r="H752">
        <v>28</v>
      </c>
      <c r="I752" t="s">
        <v>65</v>
      </c>
      <c r="J752" t="s">
        <v>137</v>
      </c>
      <c r="K752">
        <v>4</v>
      </c>
      <c r="L752" t="s">
        <v>178</v>
      </c>
      <c r="M752" t="s">
        <v>105</v>
      </c>
      <c r="N752" t="s">
        <v>33</v>
      </c>
      <c r="O752">
        <v>184411</v>
      </c>
      <c r="P752">
        <v>3</v>
      </c>
      <c r="Q752" t="s">
        <v>34</v>
      </c>
      <c r="R752" s="1">
        <v>43025</v>
      </c>
      <c r="S752" t="s">
        <v>34</v>
      </c>
      <c r="T752">
        <v>5</v>
      </c>
      <c r="U752">
        <v>5</v>
      </c>
      <c r="V752">
        <v>5</v>
      </c>
      <c r="W752">
        <v>4</v>
      </c>
      <c r="X752" t="s">
        <v>11023</v>
      </c>
      <c r="Y752" t="s">
        <v>11023</v>
      </c>
      <c r="Z752" t="str">
        <f>_xlfn.XLOOKUP(Employees[[#This Row],[Education]], EdLevel[EducationLevelID], EdLevel[EducationLevel])</f>
        <v xml:space="preserve">Masters </v>
      </c>
      <c r="AA752">
        <f>IF(Employees[[#This Row],[Attrition]] = "Yes", 1, 0)</f>
        <v>0</v>
      </c>
      <c r="AB752" t="str" cm="1">
        <f t="array" ref="AB752">_xlfn.IFS(Employees[[#This Row],[Age]]&lt;30, "20-29", Employees[[#This Row],[Age]]&lt;40, "30-39", Employees[[#This Row],[Age]]&lt;50, "40-49", "TRUE", "50+")</f>
        <v>40-49</v>
      </c>
    </row>
    <row r="753" spans="1:28">
      <c r="A753" t="s">
        <v>2266</v>
      </c>
      <c r="B753" t="s">
        <v>2267</v>
      </c>
      <c r="C753" t="s">
        <v>2268</v>
      </c>
      <c r="D753" t="s">
        <v>26</v>
      </c>
      <c r="E753">
        <v>26</v>
      </c>
      <c r="F753" t="s">
        <v>27</v>
      </c>
      <c r="G753" t="s">
        <v>54</v>
      </c>
      <c r="H753">
        <v>33</v>
      </c>
      <c r="I753" t="s">
        <v>39</v>
      </c>
      <c r="J753" t="s">
        <v>71</v>
      </c>
      <c r="K753">
        <v>3</v>
      </c>
      <c r="L753" t="s">
        <v>55</v>
      </c>
      <c r="M753" t="s">
        <v>85</v>
      </c>
      <c r="N753" t="s">
        <v>49</v>
      </c>
      <c r="O753">
        <v>34805</v>
      </c>
      <c r="P753">
        <v>0</v>
      </c>
      <c r="Q753" t="s">
        <v>34</v>
      </c>
      <c r="R753" s="1">
        <v>43029</v>
      </c>
      <c r="S753" t="s">
        <v>34</v>
      </c>
      <c r="T753">
        <v>5</v>
      </c>
      <c r="U753">
        <v>5</v>
      </c>
      <c r="V753">
        <v>5</v>
      </c>
      <c r="W753">
        <v>0</v>
      </c>
      <c r="X753" t="s">
        <v>11022</v>
      </c>
      <c r="Y753" t="s">
        <v>11022</v>
      </c>
      <c r="Z753" t="str">
        <f>_xlfn.XLOOKUP(Employees[[#This Row],[Education]], EdLevel[EducationLevelID], EdLevel[EducationLevel])</f>
        <v xml:space="preserve">Bachelors </v>
      </c>
      <c r="AA753">
        <f>IF(Employees[[#This Row],[Attrition]] = "Yes", 1, 0)</f>
        <v>0</v>
      </c>
      <c r="AB753" t="str" cm="1">
        <f t="array" ref="AB753">_xlfn.IFS(Employees[[#This Row],[Age]]&lt;30, "20-29", Employees[[#This Row],[Age]]&lt;40, "30-39", Employees[[#This Row],[Age]]&lt;50, "40-49", "TRUE", "50+")</f>
        <v>20-29</v>
      </c>
    </row>
    <row r="754" spans="1:28">
      <c r="A754" t="s">
        <v>2269</v>
      </c>
      <c r="B754" t="s">
        <v>2270</v>
      </c>
      <c r="C754" t="s">
        <v>2271</v>
      </c>
      <c r="D754" t="s">
        <v>38</v>
      </c>
      <c r="E754">
        <v>33</v>
      </c>
      <c r="F754" t="s">
        <v>84</v>
      </c>
      <c r="G754" t="s">
        <v>54</v>
      </c>
      <c r="H754">
        <v>30</v>
      </c>
      <c r="I754" t="s">
        <v>39</v>
      </c>
      <c r="J754" t="s">
        <v>30</v>
      </c>
      <c r="K754">
        <v>2</v>
      </c>
      <c r="L754" t="s">
        <v>55</v>
      </c>
      <c r="M754" t="s">
        <v>93</v>
      </c>
      <c r="N754" t="s">
        <v>49</v>
      </c>
      <c r="O754">
        <v>200350</v>
      </c>
      <c r="P754">
        <v>1</v>
      </c>
      <c r="Q754" t="s">
        <v>34</v>
      </c>
      <c r="R754" s="1">
        <v>43030</v>
      </c>
      <c r="S754" t="s">
        <v>34</v>
      </c>
      <c r="T754">
        <v>5</v>
      </c>
      <c r="U754">
        <v>3</v>
      </c>
      <c r="V754">
        <v>5</v>
      </c>
      <c r="W754">
        <v>0</v>
      </c>
      <c r="X754" t="s">
        <v>11021</v>
      </c>
      <c r="Y754" t="s">
        <v>11021</v>
      </c>
      <c r="Z754" t="str">
        <f>_xlfn.XLOOKUP(Employees[[#This Row],[Education]], EdLevel[EducationLevelID], EdLevel[EducationLevel])</f>
        <v xml:space="preserve">High School </v>
      </c>
      <c r="AA754">
        <f>IF(Employees[[#This Row],[Attrition]] = "Yes", 1, 0)</f>
        <v>0</v>
      </c>
      <c r="AB754" t="str" cm="1">
        <f t="array" ref="AB754">_xlfn.IFS(Employees[[#This Row],[Age]]&lt;30, "20-29", Employees[[#This Row],[Age]]&lt;40, "30-39", Employees[[#This Row],[Age]]&lt;50, "40-49", "TRUE", "50+")</f>
        <v>30-39</v>
      </c>
    </row>
    <row r="755" spans="1:28">
      <c r="A755" t="s">
        <v>2272</v>
      </c>
      <c r="B755" t="s">
        <v>2273</v>
      </c>
      <c r="C755" t="s">
        <v>2274</v>
      </c>
      <c r="D755" t="s">
        <v>38</v>
      </c>
      <c r="E755">
        <v>26</v>
      </c>
      <c r="F755" t="s">
        <v>27</v>
      </c>
      <c r="G755" t="s">
        <v>54</v>
      </c>
      <c r="H755">
        <v>23</v>
      </c>
      <c r="I755" t="s">
        <v>39</v>
      </c>
      <c r="J755" t="s">
        <v>30</v>
      </c>
      <c r="K755">
        <v>5</v>
      </c>
      <c r="L755" t="s">
        <v>72</v>
      </c>
      <c r="M755" t="s">
        <v>93</v>
      </c>
      <c r="N755" t="s">
        <v>49</v>
      </c>
      <c r="O755">
        <v>78934</v>
      </c>
      <c r="P755">
        <v>3</v>
      </c>
      <c r="Q755" t="s">
        <v>34</v>
      </c>
      <c r="R755" s="1">
        <v>43032</v>
      </c>
      <c r="S755" t="s">
        <v>34</v>
      </c>
      <c r="T755">
        <v>5</v>
      </c>
      <c r="U755">
        <v>2</v>
      </c>
      <c r="V755">
        <v>2</v>
      </c>
      <c r="W755">
        <v>4</v>
      </c>
      <c r="X755" t="s">
        <v>11024</v>
      </c>
      <c r="Y755" t="s">
        <v>11024</v>
      </c>
      <c r="Z755" t="str">
        <f>_xlfn.XLOOKUP(Employees[[#This Row],[Education]], EdLevel[EducationLevelID], EdLevel[EducationLevel])</f>
        <v>Doctorate</v>
      </c>
      <c r="AA755">
        <f>IF(Employees[[#This Row],[Attrition]] = "Yes", 1, 0)</f>
        <v>0</v>
      </c>
      <c r="AB755" t="str" cm="1">
        <f t="array" ref="AB755">_xlfn.IFS(Employees[[#This Row],[Age]]&lt;30, "20-29", Employees[[#This Row],[Age]]&lt;40, "30-39", Employees[[#This Row],[Age]]&lt;50, "40-49", "TRUE", "50+")</f>
        <v>20-29</v>
      </c>
    </row>
    <row r="756" spans="1:28">
      <c r="A756" t="s">
        <v>2275</v>
      </c>
      <c r="B756" t="s">
        <v>2276</v>
      </c>
      <c r="C756" t="s">
        <v>2277</v>
      </c>
      <c r="D756" t="s">
        <v>38</v>
      </c>
      <c r="E756">
        <v>23</v>
      </c>
      <c r="F756" t="s">
        <v>27</v>
      </c>
      <c r="G756" t="s">
        <v>45</v>
      </c>
      <c r="H756">
        <v>39</v>
      </c>
      <c r="I756" t="s">
        <v>39</v>
      </c>
      <c r="J756" t="s">
        <v>92</v>
      </c>
      <c r="K756">
        <v>2</v>
      </c>
      <c r="L756" t="s">
        <v>45</v>
      </c>
      <c r="M756" t="s">
        <v>207</v>
      </c>
      <c r="N756" t="s">
        <v>49</v>
      </c>
      <c r="O756">
        <v>55805</v>
      </c>
      <c r="P756">
        <v>1</v>
      </c>
      <c r="Q756" t="s">
        <v>34</v>
      </c>
      <c r="R756" s="1">
        <v>43037</v>
      </c>
      <c r="S756" t="s">
        <v>34</v>
      </c>
      <c r="T756">
        <v>5</v>
      </c>
      <c r="U756">
        <v>3</v>
      </c>
      <c r="V756">
        <v>3</v>
      </c>
      <c r="W756">
        <v>1</v>
      </c>
      <c r="X756" t="s">
        <v>11021</v>
      </c>
      <c r="Y756" t="s">
        <v>11021</v>
      </c>
      <c r="Z756" t="str">
        <f>_xlfn.XLOOKUP(Employees[[#This Row],[Education]], EdLevel[EducationLevelID], EdLevel[EducationLevel])</f>
        <v xml:space="preserve">High School </v>
      </c>
      <c r="AA756">
        <f>IF(Employees[[#This Row],[Attrition]] = "Yes", 1, 0)</f>
        <v>0</v>
      </c>
      <c r="AB756" t="str" cm="1">
        <f t="array" ref="AB756">_xlfn.IFS(Employees[[#This Row],[Age]]&lt;30, "20-29", Employees[[#This Row],[Age]]&lt;40, "30-39", Employees[[#This Row],[Age]]&lt;50, "40-49", "TRUE", "50+")</f>
        <v>20-29</v>
      </c>
    </row>
    <row r="757" spans="1:28">
      <c r="A757" t="s">
        <v>2278</v>
      </c>
      <c r="B757" t="s">
        <v>2279</v>
      </c>
      <c r="C757" t="s">
        <v>2280</v>
      </c>
      <c r="D757" t="s">
        <v>38</v>
      </c>
      <c r="E757">
        <v>26</v>
      </c>
      <c r="F757" t="s">
        <v>27</v>
      </c>
      <c r="G757" t="s">
        <v>28</v>
      </c>
      <c r="H757">
        <v>39</v>
      </c>
      <c r="I757" t="s">
        <v>39</v>
      </c>
      <c r="J757" t="s">
        <v>71</v>
      </c>
      <c r="K757">
        <v>3</v>
      </c>
      <c r="L757" t="s">
        <v>47</v>
      </c>
      <c r="M757" t="s">
        <v>32</v>
      </c>
      <c r="N757" t="s">
        <v>49</v>
      </c>
      <c r="O757">
        <v>104176</v>
      </c>
      <c r="P757">
        <v>1</v>
      </c>
      <c r="Q757" t="s">
        <v>34</v>
      </c>
      <c r="R757" s="1">
        <v>43042</v>
      </c>
      <c r="S757" t="s">
        <v>34</v>
      </c>
      <c r="T757">
        <v>5</v>
      </c>
      <c r="U757">
        <v>2</v>
      </c>
      <c r="V757">
        <v>3</v>
      </c>
      <c r="W757">
        <v>3</v>
      </c>
      <c r="X757" t="s">
        <v>11022</v>
      </c>
      <c r="Y757" t="s">
        <v>11022</v>
      </c>
      <c r="Z757" t="str">
        <f>_xlfn.XLOOKUP(Employees[[#This Row],[Education]], EdLevel[EducationLevelID], EdLevel[EducationLevel])</f>
        <v xml:space="preserve">Bachelors </v>
      </c>
      <c r="AA757">
        <f>IF(Employees[[#This Row],[Attrition]] = "Yes", 1, 0)</f>
        <v>0</v>
      </c>
      <c r="AB757" t="str" cm="1">
        <f t="array" ref="AB757">_xlfn.IFS(Employees[[#This Row],[Age]]&lt;30, "20-29", Employees[[#This Row],[Age]]&lt;40, "30-39", Employees[[#This Row],[Age]]&lt;50, "40-49", "TRUE", "50+")</f>
        <v>20-29</v>
      </c>
    </row>
    <row r="758" spans="1:28">
      <c r="A758" t="s">
        <v>2281</v>
      </c>
      <c r="B758" t="s">
        <v>2282</v>
      </c>
      <c r="C758" t="s">
        <v>2283</v>
      </c>
      <c r="D758" t="s">
        <v>26</v>
      </c>
      <c r="E758">
        <v>26</v>
      </c>
      <c r="F758" t="s">
        <v>27</v>
      </c>
      <c r="G758" t="s">
        <v>54</v>
      </c>
      <c r="H758">
        <v>34</v>
      </c>
      <c r="I758" t="s">
        <v>39</v>
      </c>
      <c r="J758" t="s">
        <v>71</v>
      </c>
      <c r="K758">
        <v>4</v>
      </c>
      <c r="L758" t="s">
        <v>72</v>
      </c>
      <c r="M758" t="s">
        <v>101</v>
      </c>
      <c r="N758" t="s">
        <v>49</v>
      </c>
      <c r="O758">
        <v>71198</v>
      </c>
      <c r="P758">
        <v>0</v>
      </c>
      <c r="Q758" t="s">
        <v>34</v>
      </c>
      <c r="R758" s="1">
        <v>43046</v>
      </c>
      <c r="S758" t="s">
        <v>41</v>
      </c>
      <c r="T758">
        <v>5</v>
      </c>
      <c r="U758">
        <v>0</v>
      </c>
      <c r="V758">
        <v>0</v>
      </c>
      <c r="W758">
        <v>1</v>
      </c>
      <c r="X758" t="s">
        <v>11023</v>
      </c>
      <c r="Y758" t="s">
        <v>11023</v>
      </c>
      <c r="Z758" t="str">
        <f>_xlfn.XLOOKUP(Employees[[#This Row],[Education]], EdLevel[EducationLevelID], EdLevel[EducationLevel])</f>
        <v xml:space="preserve">Masters </v>
      </c>
      <c r="AA758">
        <f>IF(Employees[[#This Row],[Attrition]] = "Yes", 1, 0)</f>
        <v>1</v>
      </c>
      <c r="AB758" t="str" cm="1">
        <f t="array" ref="AB758">_xlfn.IFS(Employees[[#This Row],[Age]]&lt;30, "20-29", Employees[[#This Row],[Age]]&lt;40, "30-39", Employees[[#This Row],[Age]]&lt;50, "40-49", "TRUE", "50+")</f>
        <v>20-29</v>
      </c>
    </row>
    <row r="759" spans="1:28">
      <c r="A759" t="s">
        <v>2284</v>
      </c>
      <c r="B759" t="s">
        <v>2285</v>
      </c>
      <c r="C759" t="s">
        <v>2286</v>
      </c>
      <c r="D759" t="s">
        <v>26</v>
      </c>
      <c r="E759">
        <v>25</v>
      </c>
      <c r="F759" t="s">
        <v>27</v>
      </c>
      <c r="G759" t="s">
        <v>54</v>
      </c>
      <c r="H759">
        <v>22</v>
      </c>
      <c r="I759" t="s">
        <v>65</v>
      </c>
      <c r="J759" t="s">
        <v>66</v>
      </c>
      <c r="K759">
        <v>3</v>
      </c>
      <c r="L759" t="s">
        <v>178</v>
      </c>
      <c r="M759" t="s">
        <v>101</v>
      </c>
      <c r="N759" t="s">
        <v>49</v>
      </c>
      <c r="O759">
        <v>53271</v>
      </c>
      <c r="P759">
        <v>1</v>
      </c>
      <c r="Q759" t="s">
        <v>34</v>
      </c>
      <c r="R759" s="1">
        <v>43058</v>
      </c>
      <c r="S759" t="s">
        <v>34</v>
      </c>
      <c r="T759">
        <v>5</v>
      </c>
      <c r="U759">
        <v>5</v>
      </c>
      <c r="V759">
        <v>5</v>
      </c>
      <c r="W759">
        <v>1</v>
      </c>
      <c r="X759" t="s">
        <v>11022</v>
      </c>
      <c r="Y759" t="s">
        <v>11022</v>
      </c>
      <c r="Z759" t="str">
        <f>_xlfn.XLOOKUP(Employees[[#This Row],[Education]], EdLevel[EducationLevelID], EdLevel[EducationLevel])</f>
        <v xml:space="preserve">Bachelors </v>
      </c>
      <c r="AA759">
        <f>IF(Employees[[#This Row],[Attrition]] = "Yes", 1, 0)</f>
        <v>0</v>
      </c>
      <c r="AB759" t="str" cm="1">
        <f t="array" ref="AB759">_xlfn.IFS(Employees[[#This Row],[Age]]&lt;30, "20-29", Employees[[#This Row],[Age]]&lt;40, "30-39", Employees[[#This Row],[Age]]&lt;50, "40-49", "TRUE", "50+")</f>
        <v>20-29</v>
      </c>
    </row>
    <row r="760" spans="1:28">
      <c r="A760" t="s">
        <v>2287</v>
      </c>
      <c r="B760" t="s">
        <v>2288</v>
      </c>
      <c r="C760" t="s">
        <v>2289</v>
      </c>
      <c r="D760" t="s">
        <v>53</v>
      </c>
      <c r="E760">
        <v>24</v>
      </c>
      <c r="F760" t="s">
        <v>27</v>
      </c>
      <c r="G760" t="s">
        <v>54</v>
      </c>
      <c r="H760">
        <v>26</v>
      </c>
      <c r="I760" t="s">
        <v>39</v>
      </c>
      <c r="J760" t="s">
        <v>71</v>
      </c>
      <c r="K760">
        <v>2</v>
      </c>
      <c r="L760" t="s">
        <v>55</v>
      </c>
      <c r="M760" t="s">
        <v>101</v>
      </c>
      <c r="N760" t="s">
        <v>40</v>
      </c>
      <c r="O760">
        <v>34657</v>
      </c>
      <c r="P760">
        <v>0</v>
      </c>
      <c r="Q760" t="s">
        <v>34</v>
      </c>
      <c r="R760" s="1">
        <v>43060</v>
      </c>
      <c r="S760" t="s">
        <v>34</v>
      </c>
      <c r="T760">
        <v>5</v>
      </c>
      <c r="U760">
        <v>5</v>
      </c>
      <c r="V760">
        <v>5</v>
      </c>
      <c r="W760">
        <v>2</v>
      </c>
      <c r="X760" t="s">
        <v>11021</v>
      </c>
      <c r="Y760" t="s">
        <v>11021</v>
      </c>
      <c r="Z760" t="str">
        <f>_xlfn.XLOOKUP(Employees[[#This Row],[Education]], EdLevel[EducationLevelID], EdLevel[EducationLevel])</f>
        <v xml:space="preserve">High School </v>
      </c>
      <c r="AA760">
        <f>IF(Employees[[#This Row],[Attrition]] = "Yes", 1, 0)</f>
        <v>0</v>
      </c>
      <c r="AB760" t="str" cm="1">
        <f t="array" ref="AB760">_xlfn.IFS(Employees[[#This Row],[Age]]&lt;30, "20-29", Employees[[#This Row],[Age]]&lt;40, "30-39", Employees[[#This Row],[Age]]&lt;50, "40-49", "TRUE", "50+")</f>
        <v>20-29</v>
      </c>
    </row>
    <row r="761" spans="1:28">
      <c r="A761" t="s">
        <v>2290</v>
      </c>
      <c r="B761" t="s">
        <v>2291</v>
      </c>
      <c r="C761" t="s">
        <v>2292</v>
      </c>
      <c r="D761" t="s">
        <v>26</v>
      </c>
      <c r="E761">
        <v>26</v>
      </c>
      <c r="F761" t="s">
        <v>84</v>
      </c>
      <c r="G761" t="s">
        <v>54</v>
      </c>
      <c r="H761">
        <v>16</v>
      </c>
      <c r="I761" t="s">
        <v>39</v>
      </c>
      <c r="J761" t="s">
        <v>30</v>
      </c>
      <c r="K761">
        <v>4</v>
      </c>
      <c r="L761" t="s">
        <v>77</v>
      </c>
      <c r="M761" t="s">
        <v>101</v>
      </c>
      <c r="N761" t="s">
        <v>49</v>
      </c>
      <c r="O761">
        <v>62602</v>
      </c>
      <c r="P761">
        <v>0</v>
      </c>
      <c r="Q761" t="s">
        <v>41</v>
      </c>
      <c r="R761" s="1">
        <v>43063</v>
      </c>
      <c r="S761" t="s">
        <v>34</v>
      </c>
      <c r="T761">
        <v>5</v>
      </c>
      <c r="U761">
        <v>2</v>
      </c>
      <c r="V761">
        <v>3</v>
      </c>
      <c r="W761">
        <v>2</v>
      </c>
      <c r="X761" t="s">
        <v>11023</v>
      </c>
      <c r="Y761" t="s">
        <v>11023</v>
      </c>
      <c r="Z761" t="str">
        <f>_xlfn.XLOOKUP(Employees[[#This Row],[Education]], EdLevel[EducationLevelID], EdLevel[EducationLevel])</f>
        <v xml:space="preserve">Masters </v>
      </c>
      <c r="AA761">
        <f>IF(Employees[[#This Row],[Attrition]] = "Yes", 1, 0)</f>
        <v>0</v>
      </c>
      <c r="AB761" t="str" cm="1">
        <f t="array" ref="AB761">_xlfn.IFS(Employees[[#This Row],[Age]]&lt;30, "20-29", Employees[[#This Row],[Age]]&lt;40, "30-39", Employees[[#This Row],[Age]]&lt;50, "40-49", "TRUE", "50+")</f>
        <v>20-29</v>
      </c>
    </row>
    <row r="762" spans="1:28">
      <c r="A762" t="s">
        <v>2293</v>
      </c>
      <c r="B762" t="s">
        <v>2294</v>
      </c>
      <c r="C762" t="s">
        <v>2295</v>
      </c>
      <c r="D762" t="s">
        <v>26</v>
      </c>
      <c r="E762">
        <v>35</v>
      </c>
      <c r="F762" t="s">
        <v>84</v>
      </c>
      <c r="G762" t="s">
        <v>54</v>
      </c>
      <c r="H762">
        <v>38</v>
      </c>
      <c r="I762" t="s">
        <v>65</v>
      </c>
      <c r="J762" t="s">
        <v>66</v>
      </c>
      <c r="K762">
        <v>5</v>
      </c>
      <c r="L762" t="s">
        <v>72</v>
      </c>
      <c r="M762" t="s">
        <v>56</v>
      </c>
      <c r="N762" t="s">
        <v>40</v>
      </c>
      <c r="O762">
        <v>310285</v>
      </c>
      <c r="P762">
        <v>0</v>
      </c>
      <c r="Q762" t="s">
        <v>41</v>
      </c>
      <c r="R762" s="1">
        <v>43069</v>
      </c>
      <c r="S762" t="s">
        <v>34</v>
      </c>
      <c r="T762">
        <v>5</v>
      </c>
      <c r="U762">
        <v>4</v>
      </c>
      <c r="V762">
        <v>4</v>
      </c>
      <c r="W762">
        <v>3</v>
      </c>
      <c r="X762" t="s">
        <v>11024</v>
      </c>
      <c r="Y762" t="s">
        <v>11024</v>
      </c>
      <c r="Z762" t="str">
        <f>_xlfn.XLOOKUP(Employees[[#This Row],[Education]], EdLevel[EducationLevelID], EdLevel[EducationLevel])</f>
        <v>Doctorate</v>
      </c>
      <c r="AA762">
        <f>IF(Employees[[#This Row],[Attrition]] = "Yes", 1, 0)</f>
        <v>0</v>
      </c>
      <c r="AB762" t="str" cm="1">
        <f t="array" ref="AB762">_xlfn.IFS(Employees[[#This Row],[Age]]&lt;30, "20-29", Employees[[#This Row],[Age]]&lt;40, "30-39", Employees[[#This Row],[Age]]&lt;50, "40-49", "TRUE", "50+")</f>
        <v>30-39</v>
      </c>
    </row>
    <row r="763" spans="1:28">
      <c r="A763" t="s">
        <v>2296</v>
      </c>
      <c r="B763" t="s">
        <v>2297</v>
      </c>
      <c r="C763" t="s">
        <v>2298</v>
      </c>
      <c r="D763" t="s">
        <v>38</v>
      </c>
      <c r="E763">
        <v>26</v>
      </c>
      <c r="F763" t="s">
        <v>27</v>
      </c>
      <c r="G763" t="s">
        <v>54</v>
      </c>
      <c r="H763">
        <v>41</v>
      </c>
      <c r="I763" t="s">
        <v>39</v>
      </c>
      <c r="J763" t="s">
        <v>30</v>
      </c>
      <c r="K763">
        <v>5</v>
      </c>
      <c r="L763" t="s">
        <v>178</v>
      </c>
      <c r="M763" t="s">
        <v>93</v>
      </c>
      <c r="N763" t="s">
        <v>49</v>
      </c>
      <c r="O763">
        <v>161600</v>
      </c>
      <c r="P763">
        <v>1</v>
      </c>
      <c r="Q763" t="s">
        <v>34</v>
      </c>
      <c r="R763" s="1">
        <v>43076</v>
      </c>
      <c r="S763" t="s">
        <v>41</v>
      </c>
      <c r="T763">
        <v>5</v>
      </c>
      <c r="U763">
        <v>0</v>
      </c>
      <c r="V763">
        <v>2</v>
      </c>
      <c r="W763">
        <v>0</v>
      </c>
      <c r="X763" t="s">
        <v>11024</v>
      </c>
      <c r="Y763" t="s">
        <v>11024</v>
      </c>
      <c r="Z763" t="str">
        <f>_xlfn.XLOOKUP(Employees[[#This Row],[Education]], EdLevel[EducationLevelID], EdLevel[EducationLevel])</f>
        <v>Doctorate</v>
      </c>
      <c r="AA763">
        <f>IF(Employees[[#This Row],[Attrition]] = "Yes", 1, 0)</f>
        <v>1</v>
      </c>
      <c r="AB763" t="str" cm="1">
        <f t="array" ref="AB763">_xlfn.IFS(Employees[[#This Row],[Age]]&lt;30, "20-29", Employees[[#This Row],[Age]]&lt;40, "30-39", Employees[[#This Row],[Age]]&lt;50, "40-49", "TRUE", "50+")</f>
        <v>20-29</v>
      </c>
    </row>
    <row r="764" spans="1:28">
      <c r="A764" t="s">
        <v>2299</v>
      </c>
      <c r="B764" t="s">
        <v>2300</v>
      </c>
      <c r="C764" t="s">
        <v>2301</v>
      </c>
      <c r="D764" t="s">
        <v>38</v>
      </c>
      <c r="E764">
        <v>25</v>
      </c>
      <c r="F764" t="s">
        <v>27</v>
      </c>
      <c r="G764" t="s">
        <v>54</v>
      </c>
      <c r="H764">
        <v>16</v>
      </c>
      <c r="I764" t="s">
        <v>65</v>
      </c>
      <c r="J764" t="s">
        <v>71</v>
      </c>
      <c r="K764">
        <v>3</v>
      </c>
      <c r="L764" t="s">
        <v>72</v>
      </c>
      <c r="M764" t="s">
        <v>85</v>
      </c>
      <c r="N764" t="s">
        <v>33</v>
      </c>
      <c r="O764">
        <v>37742</v>
      </c>
      <c r="P764">
        <v>1</v>
      </c>
      <c r="Q764" t="s">
        <v>34</v>
      </c>
      <c r="R764" s="1">
        <v>43081</v>
      </c>
      <c r="S764" t="s">
        <v>34</v>
      </c>
      <c r="T764">
        <v>5</v>
      </c>
      <c r="U764">
        <v>1</v>
      </c>
      <c r="V764">
        <v>3</v>
      </c>
      <c r="W764">
        <v>3</v>
      </c>
      <c r="X764" t="s">
        <v>11022</v>
      </c>
      <c r="Y764" t="s">
        <v>11022</v>
      </c>
      <c r="Z764" t="str">
        <f>_xlfn.XLOOKUP(Employees[[#This Row],[Education]], EdLevel[EducationLevelID], EdLevel[EducationLevel])</f>
        <v xml:space="preserve">Bachelors </v>
      </c>
      <c r="AA764">
        <f>IF(Employees[[#This Row],[Attrition]] = "Yes", 1, 0)</f>
        <v>0</v>
      </c>
      <c r="AB764" t="str" cm="1">
        <f t="array" ref="AB764">_xlfn.IFS(Employees[[#This Row],[Age]]&lt;30, "20-29", Employees[[#This Row],[Age]]&lt;40, "30-39", Employees[[#This Row],[Age]]&lt;50, "40-49", "TRUE", "50+")</f>
        <v>20-29</v>
      </c>
    </row>
    <row r="765" spans="1:28">
      <c r="A765" t="s">
        <v>2302</v>
      </c>
      <c r="B765" t="s">
        <v>527</v>
      </c>
      <c r="C765" t="s">
        <v>2303</v>
      </c>
      <c r="D765" t="s">
        <v>26</v>
      </c>
      <c r="E765">
        <v>31</v>
      </c>
      <c r="F765" t="s">
        <v>27</v>
      </c>
      <c r="G765" t="s">
        <v>54</v>
      </c>
      <c r="H765">
        <v>42</v>
      </c>
      <c r="I765" t="s">
        <v>65</v>
      </c>
      <c r="J765" t="s">
        <v>30</v>
      </c>
      <c r="K765">
        <v>3</v>
      </c>
      <c r="L765" t="s">
        <v>55</v>
      </c>
      <c r="M765" t="s">
        <v>56</v>
      </c>
      <c r="N765" t="s">
        <v>49</v>
      </c>
      <c r="O765">
        <v>442820</v>
      </c>
      <c r="P765">
        <v>0</v>
      </c>
      <c r="Q765" t="s">
        <v>41</v>
      </c>
      <c r="R765" s="1">
        <v>43084</v>
      </c>
      <c r="S765" t="s">
        <v>34</v>
      </c>
      <c r="T765">
        <v>5</v>
      </c>
      <c r="U765">
        <v>1</v>
      </c>
      <c r="V765">
        <v>2</v>
      </c>
      <c r="W765">
        <v>2</v>
      </c>
      <c r="X765" t="s">
        <v>11022</v>
      </c>
      <c r="Y765" t="s">
        <v>11022</v>
      </c>
      <c r="Z765" t="str">
        <f>_xlfn.XLOOKUP(Employees[[#This Row],[Education]], EdLevel[EducationLevelID], EdLevel[EducationLevel])</f>
        <v xml:space="preserve">Bachelors </v>
      </c>
      <c r="AA765">
        <f>IF(Employees[[#This Row],[Attrition]] = "Yes", 1, 0)</f>
        <v>0</v>
      </c>
      <c r="AB765" t="str" cm="1">
        <f t="array" ref="AB765">_xlfn.IFS(Employees[[#This Row],[Age]]&lt;30, "20-29", Employees[[#This Row],[Age]]&lt;40, "30-39", Employees[[#This Row],[Age]]&lt;50, "40-49", "TRUE", "50+")</f>
        <v>30-39</v>
      </c>
    </row>
    <row r="766" spans="1:28">
      <c r="A766" t="s">
        <v>2304</v>
      </c>
      <c r="B766" t="s">
        <v>2305</v>
      </c>
      <c r="C766" t="s">
        <v>2306</v>
      </c>
      <c r="D766" t="s">
        <v>38</v>
      </c>
      <c r="E766">
        <v>26</v>
      </c>
      <c r="F766" t="s">
        <v>27</v>
      </c>
      <c r="G766" t="s">
        <v>54</v>
      </c>
      <c r="H766">
        <v>17</v>
      </c>
      <c r="I766" t="s">
        <v>65</v>
      </c>
      <c r="J766" t="s">
        <v>71</v>
      </c>
      <c r="K766">
        <v>4</v>
      </c>
      <c r="L766" t="s">
        <v>178</v>
      </c>
      <c r="M766" t="s">
        <v>105</v>
      </c>
      <c r="N766" t="s">
        <v>49</v>
      </c>
      <c r="O766">
        <v>110761</v>
      </c>
      <c r="P766">
        <v>1</v>
      </c>
      <c r="Q766" t="s">
        <v>34</v>
      </c>
      <c r="R766" s="1">
        <v>43087</v>
      </c>
      <c r="S766" t="s">
        <v>34</v>
      </c>
      <c r="T766">
        <v>5</v>
      </c>
      <c r="U766">
        <v>0</v>
      </c>
      <c r="V766">
        <v>5</v>
      </c>
      <c r="W766">
        <v>3</v>
      </c>
      <c r="X766" t="s">
        <v>11023</v>
      </c>
      <c r="Y766" t="s">
        <v>11023</v>
      </c>
      <c r="Z766" t="str">
        <f>_xlfn.XLOOKUP(Employees[[#This Row],[Education]], EdLevel[EducationLevelID], EdLevel[EducationLevel])</f>
        <v xml:space="preserve">Masters </v>
      </c>
      <c r="AA766">
        <f>IF(Employees[[#This Row],[Attrition]] = "Yes", 1, 0)</f>
        <v>0</v>
      </c>
      <c r="AB766" t="str" cm="1">
        <f t="array" ref="AB766">_xlfn.IFS(Employees[[#This Row],[Age]]&lt;30, "20-29", Employees[[#This Row],[Age]]&lt;40, "30-39", Employees[[#This Row],[Age]]&lt;50, "40-49", "TRUE", "50+")</f>
        <v>20-29</v>
      </c>
    </row>
    <row r="767" spans="1:28">
      <c r="A767" t="s">
        <v>2307</v>
      </c>
      <c r="B767" t="s">
        <v>2308</v>
      </c>
      <c r="C767" t="s">
        <v>2309</v>
      </c>
      <c r="D767" t="s">
        <v>38</v>
      </c>
      <c r="E767">
        <v>25</v>
      </c>
      <c r="F767" t="s">
        <v>27</v>
      </c>
      <c r="G767" t="s">
        <v>54</v>
      </c>
      <c r="H767">
        <v>24</v>
      </c>
      <c r="I767" t="s">
        <v>39</v>
      </c>
      <c r="J767" t="s">
        <v>76</v>
      </c>
      <c r="K767">
        <v>4</v>
      </c>
      <c r="L767" t="s">
        <v>77</v>
      </c>
      <c r="M767" t="s">
        <v>56</v>
      </c>
      <c r="N767" t="s">
        <v>33</v>
      </c>
      <c r="O767">
        <v>204154</v>
      </c>
      <c r="P767">
        <v>1</v>
      </c>
      <c r="Q767" t="s">
        <v>41</v>
      </c>
      <c r="R767" s="1">
        <v>43090</v>
      </c>
      <c r="S767" t="s">
        <v>34</v>
      </c>
      <c r="T767">
        <v>5</v>
      </c>
      <c r="U767">
        <v>2</v>
      </c>
      <c r="V767">
        <v>3</v>
      </c>
      <c r="W767">
        <v>0</v>
      </c>
      <c r="X767" t="s">
        <v>11023</v>
      </c>
      <c r="Y767" t="s">
        <v>11023</v>
      </c>
      <c r="Z767" t="str">
        <f>_xlfn.XLOOKUP(Employees[[#This Row],[Education]], EdLevel[EducationLevelID], EdLevel[EducationLevel])</f>
        <v xml:space="preserve">Masters </v>
      </c>
      <c r="AA767">
        <f>IF(Employees[[#This Row],[Attrition]] = "Yes", 1, 0)</f>
        <v>0</v>
      </c>
      <c r="AB767" t="str" cm="1">
        <f t="array" ref="AB767">_xlfn.IFS(Employees[[#This Row],[Age]]&lt;30, "20-29", Employees[[#This Row],[Age]]&lt;40, "30-39", Employees[[#This Row],[Age]]&lt;50, "40-49", "TRUE", "50+")</f>
        <v>20-29</v>
      </c>
    </row>
    <row r="768" spans="1:28">
      <c r="A768" t="s">
        <v>2310</v>
      </c>
      <c r="B768" t="s">
        <v>995</v>
      </c>
      <c r="C768" t="s">
        <v>2311</v>
      </c>
      <c r="D768" t="s">
        <v>38</v>
      </c>
      <c r="E768">
        <v>23</v>
      </c>
      <c r="F768" t="s">
        <v>27</v>
      </c>
      <c r="G768" t="s">
        <v>54</v>
      </c>
      <c r="H768">
        <v>12</v>
      </c>
      <c r="I768" t="s">
        <v>65</v>
      </c>
      <c r="J768" t="s">
        <v>71</v>
      </c>
      <c r="K768">
        <v>3</v>
      </c>
      <c r="L768" t="s">
        <v>55</v>
      </c>
      <c r="M768" t="s">
        <v>101</v>
      </c>
      <c r="N768" t="s">
        <v>49</v>
      </c>
      <c r="O768">
        <v>35776</v>
      </c>
      <c r="P768">
        <v>2</v>
      </c>
      <c r="Q768" t="s">
        <v>41</v>
      </c>
      <c r="R768" s="1">
        <v>43091</v>
      </c>
      <c r="S768" t="s">
        <v>34</v>
      </c>
      <c r="T768">
        <v>5</v>
      </c>
      <c r="U768">
        <v>0</v>
      </c>
      <c r="V768">
        <v>3</v>
      </c>
      <c r="W768">
        <v>4</v>
      </c>
      <c r="X768" t="s">
        <v>11022</v>
      </c>
      <c r="Y768" t="s">
        <v>11022</v>
      </c>
      <c r="Z768" t="str">
        <f>_xlfn.XLOOKUP(Employees[[#This Row],[Education]], EdLevel[EducationLevelID], EdLevel[EducationLevel])</f>
        <v xml:space="preserve">Bachelors </v>
      </c>
      <c r="AA768">
        <f>IF(Employees[[#This Row],[Attrition]] = "Yes", 1, 0)</f>
        <v>0</v>
      </c>
      <c r="AB768" t="str" cm="1">
        <f t="array" ref="AB768">_xlfn.IFS(Employees[[#This Row],[Age]]&lt;30, "20-29", Employees[[#This Row],[Age]]&lt;40, "30-39", Employees[[#This Row],[Age]]&lt;50, "40-49", "TRUE", "50+")</f>
        <v>20-29</v>
      </c>
    </row>
    <row r="769" spans="1:28">
      <c r="A769" t="s">
        <v>2312</v>
      </c>
      <c r="B769" t="s">
        <v>2313</v>
      </c>
      <c r="C769" t="s">
        <v>2314</v>
      </c>
      <c r="D769" t="s">
        <v>26</v>
      </c>
      <c r="E769">
        <v>24</v>
      </c>
      <c r="F769" t="s">
        <v>27</v>
      </c>
      <c r="G769" t="s">
        <v>54</v>
      </c>
      <c r="H769">
        <v>5</v>
      </c>
      <c r="I769" t="s">
        <v>65</v>
      </c>
      <c r="J769" t="s">
        <v>30</v>
      </c>
      <c r="K769">
        <v>1</v>
      </c>
      <c r="L769" t="s">
        <v>72</v>
      </c>
      <c r="M769" t="s">
        <v>85</v>
      </c>
      <c r="N769" t="s">
        <v>40</v>
      </c>
      <c r="O769">
        <v>100818</v>
      </c>
      <c r="P769">
        <v>0</v>
      </c>
      <c r="Q769" t="s">
        <v>34</v>
      </c>
      <c r="R769" s="1">
        <v>43093</v>
      </c>
      <c r="S769" t="s">
        <v>34</v>
      </c>
      <c r="T769">
        <v>5</v>
      </c>
      <c r="U769">
        <v>1</v>
      </c>
      <c r="V769">
        <v>3</v>
      </c>
      <c r="W769">
        <v>0</v>
      </c>
      <c r="X769" t="s">
        <v>11020</v>
      </c>
      <c r="Y769" t="s">
        <v>11020</v>
      </c>
      <c r="Z769" t="str">
        <f>_xlfn.XLOOKUP(Employees[[#This Row],[Education]], EdLevel[EducationLevelID], EdLevel[EducationLevel])</f>
        <v>No Formal Qualifications</v>
      </c>
      <c r="AA769">
        <f>IF(Employees[[#This Row],[Attrition]] = "Yes", 1, 0)</f>
        <v>0</v>
      </c>
      <c r="AB769" t="str" cm="1">
        <f t="array" ref="AB769">_xlfn.IFS(Employees[[#This Row],[Age]]&lt;30, "20-29", Employees[[#This Row],[Age]]&lt;40, "30-39", Employees[[#This Row],[Age]]&lt;50, "40-49", "TRUE", "50+")</f>
        <v>20-29</v>
      </c>
    </row>
    <row r="770" spans="1:28">
      <c r="A770" t="s">
        <v>2315</v>
      </c>
      <c r="B770" t="s">
        <v>2316</v>
      </c>
      <c r="C770" t="s">
        <v>2317</v>
      </c>
      <c r="D770" t="s">
        <v>53</v>
      </c>
      <c r="E770">
        <v>24</v>
      </c>
      <c r="F770" t="s">
        <v>27</v>
      </c>
      <c r="G770" t="s">
        <v>28</v>
      </c>
      <c r="H770">
        <v>8</v>
      </c>
      <c r="I770" t="s">
        <v>29</v>
      </c>
      <c r="J770" t="s">
        <v>71</v>
      </c>
      <c r="K770">
        <v>2</v>
      </c>
      <c r="L770" t="s">
        <v>121</v>
      </c>
      <c r="M770" t="s">
        <v>32</v>
      </c>
      <c r="N770" t="s">
        <v>40</v>
      </c>
      <c r="O770">
        <v>85238</v>
      </c>
      <c r="P770">
        <v>0</v>
      </c>
      <c r="Q770" t="s">
        <v>34</v>
      </c>
      <c r="R770" s="1">
        <v>43093</v>
      </c>
      <c r="S770" t="s">
        <v>34</v>
      </c>
      <c r="T770">
        <v>5</v>
      </c>
      <c r="U770">
        <v>0</v>
      </c>
      <c r="V770">
        <v>4</v>
      </c>
      <c r="W770">
        <v>1</v>
      </c>
      <c r="X770" t="s">
        <v>11021</v>
      </c>
      <c r="Y770" t="s">
        <v>11021</v>
      </c>
      <c r="Z770" t="str">
        <f>_xlfn.XLOOKUP(Employees[[#This Row],[Education]], EdLevel[EducationLevelID], EdLevel[EducationLevel])</f>
        <v xml:space="preserve">High School </v>
      </c>
      <c r="AA770">
        <f>IF(Employees[[#This Row],[Attrition]] = "Yes", 1, 0)</f>
        <v>0</v>
      </c>
      <c r="AB770" t="str" cm="1">
        <f t="array" ref="AB770">_xlfn.IFS(Employees[[#This Row],[Age]]&lt;30, "20-29", Employees[[#This Row],[Age]]&lt;40, "30-39", Employees[[#This Row],[Age]]&lt;50, "40-49", "TRUE", "50+")</f>
        <v>20-29</v>
      </c>
    </row>
    <row r="771" spans="1:28">
      <c r="A771" t="s">
        <v>2318</v>
      </c>
      <c r="B771" t="s">
        <v>2319</v>
      </c>
      <c r="C771" t="s">
        <v>2320</v>
      </c>
      <c r="D771" t="s">
        <v>38</v>
      </c>
      <c r="E771">
        <v>24</v>
      </c>
      <c r="F771" t="s">
        <v>27</v>
      </c>
      <c r="G771" t="s">
        <v>54</v>
      </c>
      <c r="H771">
        <v>12</v>
      </c>
      <c r="I771" t="s">
        <v>65</v>
      </c>
      <c r="J771" t="s">
        <v>30</v>
      </c>
      <c r="K771">
        <v>3</v>
      </c>
      <c r="L771" t="s">
        <v>55</v>
      </c>
      <c r="M771" t="s">
        <v>101</v>
      </c>
      <c r="N771" t="s">
        <v>40</v>
      </c>
      <c r="O771">
        <v>33202</v>
      </c>
      <c r="P771">
        <v>0</v>
      </c>
      <c r="Q771" t="s">
        <v>34</v>
      </c>
      <c r="R771" s="1">
        <v>43099</v>
      </c>
      <c r="S771" t="s">
        <v>34</v>
      </c>
      <c r="T771">
        <v>5</v>
      </c>
      <c r="U771">
        <v>5</v>
      </c>
      <c r="V771">
        <v>5</v>
      </c>
      <c r="W771">
        <v>4</v>
      </c>
      <c r="X771" t="s">
        <v>11022</v>
      </c>
      <c r="Y771" t="s">
        <v>11022</v>
      </c>
      <c r="Z771" t="str">
        <f>_xlfn.XLOOKUP(Employees[[#This Row],[Education]], EdLevel[EducationLevelID], EdLevel[EducationLevel])</f>
        <v xml:space="preserve">Bachelors </v>
      </c>
      <c r="AA771">
        <f>IF(Employees[[#This Row],[Attrition]] = "Yes", 1, 0)</f>
        <v>0</v>
      </c>
      <c r="AB771" t="str" cm="1">
        <f t="array" ref="AB771">_xlfn.IFS(Employees[[#This Row],[Age]]&lt;30, "20-29", Employees[[#This Row],[Age]]&lt;40, "30-39", Employees[[#This Row],[Age]]&lt;50, "40-49", "TRUE", "50+")</f>
        <v>20-29</v>
      </c>
    </row>
    <row r="772" spans="1:28">
      <c r="A772" t="s">
        <v>2321</v>
      </c>
      <c r="B772" t="s">
        <v>2322</v>
      </c>
      <c r="C772" t="s">
        <v>2323</v>
      </c>
      <c r="D772" t="s">
        <v>26</v>
      </c>
      <c r="E772">
        <v>23</v>
      </c>
      <c r="F772" t="s">
        <v>27</v>
      </c>
      <c r="G772" t="s">
        <v>54</v>
      </c>
      <c r="H772">
        <v>37</v>
      </c>
      <c r="I772" t="s">
        <v>65</v>
      </c>
      <c r="J772" t="s">
        <v>30</v>
      </c>
      <c r="K772">
        <v>2</v>
      </c>
      <c r="L772" t="s">
        <v>178</v>
      </c>
      <c r="M772" t="s">
        <v>85</v>
      </c>
      <c r="N772" t="s">
        <v>33</v>
      </c>
      <c r="O772">
        <v>36098</v>
      </c>
      <c r="P772">
        <v>3</v>
      </c>
      <c r="Q772" t="s">
        <v>34</v>
      </c>
      <c r="R772" s="1">
        <v>43101</v>
      </c>
      <c r="S772" t="s">
        <v>34</v>
      </c>
      <c r="T772">
        <v>4</v>
      </c>
      <c r="U772">
        <v>3</v>
      </c>
      <c r="V772">
        <v>3</v>
      </c>
      <c r="W772">
        <v>1</v>
      </c>
      <c r="X772" t="s">
        <v>11021</v>
      </c>
      <c r="Y772" t="s">
        <v>11021</v>
      </c>
      <c r="Z772" t="str">
        <f>_xlfn.XLOOKUP(Employees[[#This Row],[Education]], EdLevel[EducationLevelID], EdLevel[EducationLevel])</f>
        <v xml:space="preserve">High School </v>
      </c>
      <c r="AA772">
        <f>IF(Employees[[#This Row],[Attrition]] = "Yes", 1, 0)</f>
        <v>0</v>
      </c>
      <c r="AB772" t="str" cm="1">
        <f t="array" ref="AB772">_xlfn.IFS(Employees[[#This Row],[Age]]&lt;30, "20-29", Employees[[#This Row],[Age]]&lt;40, "30-39", Employees[[#This Row],[Age]]&lt;50, "40-49", "TRUE", "50+")</f>
        <v>20-29</v>
      </c>
    </row>
    <row r="773" spans="1:28">
      <c r="A773" t="s">
        <v>2324</v>
      </c>
      <c r="B773" t="s">
        <v>2325</v>
      </c>
      <c r="C773" t="s">
        <v>1991</v>
      </c>
      <c r="D773" t="s">
        <v>26</v>
      </c>
      <c r="E773">
        <v>25</v>
      </c>
      <c r="F773" t="s">
        <v>84</v>
      </c>
      <c r="G773" t="s">
        <v>28</v>
      </c>
      <c r="H773">
        <v>21</v>
      </c>
      <c r="I773" t="s">
        <v>29</v>
      </c>
      <c r="J773" t="s">
        <v>71</v>
      </c>
      <c r="K773">
        <v>2</v>
      </c>
      <c r="L773" t="s">
        <v>60</v>
      </c>
      <c r="M773" t="s">
        <v>32</v>
      </c>
      <c r="N773" t="s">
        <v>49</v>
      </c>
      <c r="O773">
        <v>91332</v>
      </c>
      <c r="P773">
        <v>1</v>
      </c>
      <c r="Q773" t="s">
        <v>34</v>
      </c>
      <c r="R773" s="1">
        <v>43103</v>
      </c>
      <c r="S773" t="s">
        <v>34</v>
      </c>
      <c r="T773">
        <v>4</v>
      </c>
      <c r="U773">
        <v>3</v>
      </c>
      <c r="V773">
        <v>3</v>
      </c>
      <c r="W773">
        <v>3</v>
      </c>
      <c r="X773" t="s">
        <v>11021</v>
      </c>
      <c r="Y773" t="s">
        <v>11021</v>
      </c>
      <c r="Z773" t="str">
        <f>_xlfn.XLOOKUP(Employees[[#This Row],[Education]], EdLevel[EducationLevelID], EdLevel[EducationLevel])</f>
        <v xml:space="preserve">High School </v>
      </c>
      <c r="AA773">
        <f>IF(Employees[[#This Row],[Attrition]] = "Yes", 1, 0)</f>
        <v>0</v>
      </c>
      <c r="AB773" t="str" cm="1">
        <f t="array" ref="AB773">_xlfn.IFS(Employees[[#This Row],[Age]]&lt;30, "20-29", Employees[[#This Row],[Age]]&lt;40, "30-39", Employees[[#This Row],[Age]]&lt;50, "40-49", "TRUE", "50+")</f>
        <v>20-29</v>
      </c>
    </row>
    <row r="774" spans="1:28">
      <c r="A774" t="s">
        <v>2326</v>
      </c>
      <c r="B774" t="s">
        <v>2327</v>
      </c>
      <c r="C774" t="s">
        <v>2328</v>
      </c>
      <c r="D774" t="s">
        <v>26</v>
      </c>
      <c r="E774">
        <v>22</v>
      </c>
      <c r="F774" t="s">
        <v>27</v>
      </c>
      <c r="G774" t="s">
        <v>54</v>
      </c>
      <c r="H774">
        <v>2</v>
      </c>
      <c r="I774" t="s">
        <v>65</v>
      </c>
      <c r="J774" t="s">
        <v>30</v>
      </c>
      <c r="K774">
        <v>4</v>
      </c>
      <c r="L774" t="s">
        <v>55</v>
      </c>
      <c r="M774" t="s">
        <v>85</v>
      </c>
      <c r="N774" t="s">
        <v>49</v>
      </c>
      <c r="O774">
        <v>39732</v>
      </c>
      <c r="P774">
        <v>1</v>
      </c>
      <c r="Q774" t="s">
        <v>41</v>
      </c>
      <c r="R774" s="1">
        <v>43108</v>
      </c>
      <c r="S774" t="s">
        <v>34</v>
      </c>
      <c r="T774">
        <v>4</v>
      </c>
      <c r="U774">
        <v>1</v>
      </c>
      <c r="V774">
        <v>2</v>
      </c>
      <c r="W774">
        <v>2</v>
      </c>
      <c r="X774" t="s">
        <v>11023</v>
      </c>
      <c r="Y774" t="s">
        <v>11023</v>
      </c>
      <c r="Z774" t="str">
        <f>_xlfn.XLOOKUP(Employees[[#This Row],[Education]], EdLevel[EducationLevelID], EdLevel[EducationLevel])</f>
        <v xml:space="preserve">Masters </v>
      </c>
      <c r="AA774">
        <f>IF(Employees[[#This Row],[Attrition]] = "Yes", 1, 0)</f>
        <v>0</v>
      </c>
      <c r="AB774" t="str" cm="1">
        <f t="array" ref="AB774">_xlfn.IFS(Employees[[#This Row],[Age]]&lt;30, "20-29", Employees[[#This Row],[Age]]&lt;40, "30-39", Employees[[#This Row],[Age]]&lt;50, "40-49", "TRUE", "50+")</f>
        <v>20-29</v>
      </c>
    </row>
    <row r="775" spans="1:28">
      <c r="A775" t="s">
        <v>2329</v>
      </c>
      <c r="B775" t="s">
        <v>2330</v>
      </c>
      <c r="C775" t="s">
        <v>2331</v>
      </c>
      <c r="D775" t="s">
        <v>38</v>
      </c>
      <c r="E775">
        <v>25</v>
      </c>
      <c r="F775" t="s">
        <v>84</v>
      </c>
      <c r="G775" t="s">
        <v>28</v>
      </c>
      <c r="H775">
        <v>42</v>
      </c>
      <c r="I775" t="s">
        <v>29</v>
      </c>
      <c r="J775" t="s">
        <v>71</v>
      </c>
      <c r="K775">
        <v>3</v>
      </c>
      <c r="L775" t="s">
        <v>47</v>
      </c>
      <c r="M775" t="s">
        <v>32</v>
      </c>
      <c r="N775" t="s">
        <v>49</v>
      </c>
      <c r="O775">
        <v>72758</v>
      </c>
      <c r="P775">
        <v>2</v>
      </c>
      <c r="Q775" t="s">
        <v>34</v>
      </c>
      <c r="R775" s="1">
        <v>43112</v>
      </c>
      <c r="S775" t="s">
        <v>34</v>
      </c>
      <c r="T775">
        <v>4</v>
      </c>
      <c r="U775">
        <v>3</v>
      </c>
      <c r="V775">
        <v>3</v>
      </c>
      <c r="W775">
        <v>3</v>
      </c>
      <c r="X775" t="s">
        <v>11022</v>
      </c>
      <c r="Y775" t="s">
        <v>11022</v>
      </c>
      <c r="Z775" t="str">
        <f>_xlfn.XLOOKUP(Employees[[#This Row],[Education]], EdLevel[EducationLevelID], EdLevel[EducationLevel])</f>
        <v xml:space="preserve">Bachelors </v>
      </c>
      <c r="AA775">
        <f>IF(Employees[[#This Row],[Attrition]] = "Yes", 1, 0)</f>
        <v>0</v>
      </c>
      <c r="AB775" t="str" cm="1">
        <f t="array" ref="AB775">_xlfn.IFS(Employees[[#This Row],[Age]]&lt;30, "20-29", Employees[[#This Row],[Age]]&lt;40, "30-39", Employees[[#This Row],[Age]]&lt;50, "40-49", "TRUE", "50+")</f>
        <v>20-29</v>
      </c>
    </row>
    <row r="776" spans="1:28">
      <c r="A776" t="s">
        <v>2332</v>
      </c>
      <c r="B776" t="s">
        <v>2333</v>
      </c>
      <c r="C776" t="s">
        <v>2334</v>
      </c>
      <c r="D776" t="s">
        <v>26</v>
      </c>
      <c r="E776">
        <v>36</v>
      </c>
      <c r="F776" t="s">
        <v>27</v>
      </c>
      <c r="G776" t="s">
        <v>45</v>
      </c>
      <c r="H776">
        <v>31</v>
      </c>
      <c r="I776" t="s">
        <v>29</v>
      </c>
      <c r="J776" t="s">
        <v>71</v>
      </c>
      <c r="K776">
        <v>4</v>
      </c>
      <c r="L776" t="s">
        <v>45</v>
      </c>
      <c r="M776" t="s">
        <v>259</v>
      </c>
      <c r="N776" t="s">
        <v>33</v>
      </c>
      <c r="O776">
        <v>509940</v>
      </c>
      <c r="P776">
        <v>3</v>
      </c>
      <c r="Q776" t="s">
        <v>34</v>
      </c>
      <c r="R776" s="1">
        <v>43115</v>
      </c>
      <c r="S776" t="s">
        <v>34</v>
      </c>
      <c r="T776">
        <v>4</v>
      </c>
      <c r="U776">
        <v>4</v>
      </c>
      <c r="V776">
        <v>4</v>
      </c>
      <c r="W776">
        <v>2</v>
      </c>
      <c r="X776" t="s">
        <v>11023</v>
      </c>
      <c r="Y776" t="s">
        <v>11023</v>
      </c>
      <c r="Z776" t="str">
        <f>_xlfn.XLOOKUP(Employees[[#This Row],[Education]], EdLevel[EducationLevelID], EdLevel[EducationLevel])</f>
        <v xml:space="preserve">Masters </v>
      </c>
      <c r="AA776">
        <f>IF(Employees[[#This Row],[Attrition]] = "Yes", 1, 0)</f>
        <v>0</v>
      </c>
      <c r="AB776" t="str" cm="1">
        <f t="array" ref="AB776">_xlfn.IFS(Employees[[#This Row],[Age]]&lt;30, "20-29", Employees[[#This Row],[Age]]&lt;40, "30-39", Employees[[#This Row],[Age]]&lt;50, "40-49", "TRUE", "50+")</f>
        <v>30-39</v>
      </c>
    </row>
    <row r="777" spans="1:28">
      <c r="A777" t="s">
        <v>2335</v>
      </c>
      <c r="B777" t="s">
        <v>2336</v>
      </c>
      <c r="C777" t="s">
        <v>2127</v>
      </c>
      <c r="D777" t="s">
        <v>38</v>
      </c>
      <c r="E777">
        <v>24</v>
      </c>
      <c r="F777" t="s">
        <v>27</v>
      </c>
      <c r="G777" t="s">
        <v>54</v>
      </c>
      <c r="H777">
        <v>7</v>
      </c>
      <c r="I777" t="s">
        <v>39</v>
      </c>
      <c r="J777" t="s">
        <v>46</v>
      </c>
      <c r="K777">
        <v>4</v>
      </c>
      <c r="L777" t="s">
        <v>72</v>
      </c>
      <c r="M777" t="s">
        <v>101</v>
      </c>
      <c r="N777" t="s">
        <v>49</v>
      </c>
      <c r="O777">
        <v>85074</v>
      </c>
      <c r="P777">
        <v>1</v>
      </c>
      <c r="Q777" t="s">
        <v>34</v>
      </c>
      <c r="R777" s="1">
        <v>43115</v>
      </c>
      <c r="S777" t="s">
        <v>34</v>
      </c>
      <c r="T777">
        <v>4</v>
      </c>
      <c r="U777">
        <v>1</v>
      </c>
      <c r="V777">
        <v>2</v>
      </c>
      <c r="W777">
        <v>4</v>
      </c>
      <c r="X777" t="s">
        <v>11023</v>
      </c>
      <c r="Y777" t="s">
        <v>11023</v>
      </c>
      <c r="Z777" t="str">
        <f>_xlfn.XLOOKUP(Employees[[#This Row],[Education]], EdLevel[EducationLevelID], EdLevel[EducationLevel])</f>
        <v xml:space="preserve">Masters </v>
      </c>
      <c r="AA777">
        <f>IF(Employees[[#This Row],[Attrition]] = "Yes", 1, 0)</f>
        <v>0</v>
      </c>
      <c r="AB777" t="str" cm="1">
        <f t="array" ref="AB777">_xlfn.IFS(Employees[[#This Row],[Age]]&lt;30, "20-29", Employees[[#This Row],[Age]]&lt;40, "30-39", Employees[[#This Row],[Age]]&lt;50, "40-49", "TRUE", "50+")</f>
        <v>20-29</v>
      </c>
    </row>
    <row r="778" spans="1:28">
      <c r="A778" t="s">
        <v>2337</v>
      </c>
      <c r="B778" t="s">
        <v>2338</v>
      </c>
      <c r="C778" t="s">
        <v>2339</v>
      </c>
      <c r="D778" t="s">
        <v>26</v>
      </c>
      <c r="E778">
        <v>23</v>
      </c>
      <c r="F778" t="s">
        <v>27</v>
      </c>
      <c r="G778" t="s">
        <v>28</v>
      </c>
      <c r="H778">
        <v>19</v>
      </c>
      <c r="I778" t="s">
        <v>65</v>
      </c>
      <c r="J778" t="s">
        <v>66</v>
      </c>
      <c r="K778">
        <v>4</v>
      </c>
      <c r="L778" t="s">
        <v>121</v>
      </c>
      <c r="M778" t="s">
        <v>32</v>
      </c>
      <c r="N778" t="s">
        <v>33</v>
      </c>
      <c r="O778">
        <v>87629</v>
      </c>
      <c r="P778">
        <v>2</v>
      </c>
      <c r="Q778" t="s">
        <v>34</v>
      </c>
      <c r="R778" s="1">
        <v>43119</v>
      </c>
      <c r="S778" t="s">
        <v>34</v>
      </c>
      <c r="T778">
        <v>4</v>
      </c>
      <c r="U778">
        <v>4</v>
      </c>
      <c r="V778">
        <v>4</v>
      </c>
      <c r="W778">
        <v>1</v>
      </c>
      <c r="X778" t="s">
        <v>11023</v>
      </c>
      <c r="Y778" t="s">
        <v>11023</v>
      </c>
      <c r="Z778" t="str">
        <f>_xlfn.XLOOKUP(Employees[[#This Row],[Education]], EdLevel[EducationLevelID], EdLevel[EducationLevel])</f>
        <v xml:space="preserve">Masters </v>
      </c>
      <c r="AA778">
        <f>IF(Employees[[#This Row],[Attrition]] = "Yes", 1, 0)</f>
        <v>0</v>
      </c>
      <c r="AB778" t="str" cm="1">
        <f t="array" ref="AB778">_xlfn.IFS(Employees[[#This Row],[Age]]&lt;30, "20-29", Employees[[#This Row],[Age]]&lt;40, "30-39", Employees[[#This Row],[Age]]&lt;50, "40-49", "TRUE", "50+")</f>
        <v>20-29</v>
      </c>
    </row>
    <row r="779" spans="1:28">
      <c r="A779" t="s">
        <v>2340</v>
      </c>
      <c r="B779" t="s">
        <v>2341</v>
      </c>
      <c r="C779" t="s">
        <v>2342</v>
      </c>
      <c r="D779" t="s">
        <v>26</v>
      </c>
      <c r="E779">
        <v>25</v>
      </c>
      <c r="F779" t="s">
        <v>27</v>
      </c>
      <c r="G779" t="s">
        <v>54</v>
      </c>
      <c r="H779">
        <v>13</v>
      </c>
      <c r="I779" t="s">
        <v>65</v>
      </c>
      <c r="J779" t="s">
        <v>71</v>
      </c>
      <c r="K779">
        <v>1</v>
      </c>
      <c r="L779" t="s">
        <v>72</v>
      </c>
      <c r="M779" t="s">
        <v>182</v>
      </c>
      <c r="N779" t="s">
        <v>49</v>
      </c>
      <c r="O779">
        <v>168483</v>
      </c>
      <c r="P779">
        <v>0</v>
      </c>
      <c r="Q779" t="s">
        <v>41</v>
      </c>
      <c r="R779" s="1">
        <v>43120</v>
      </c>
      <c r="S779" t="s">
        <v>34</v>
      </c>
      <c r="T779">
        <v>4</v>
      </c>
      <c r="U779">
        <v>2</v>
      </c>
      <c r="V779">
        <v>3</v>
      </c>
      <c r="W779">
        <v>1</v>
      </c>
      <c r="X779" t="s">
        <v>11020</v>
      </c>
      <c r="Y779" t="s">
        <v>11020</v>
      </c>
      <c r="Z779" t="str">
        <f>_xlfn.XLOOKUP(Employees[[#This Row],[Education]], EdLevel[EducationLevelID], EdLevel[EducationLevel])</f>
        <v>No Formal Qualifications</v>
      </c>
      <c r="AA779">
        <f>IF(Employees[[#This Row],[Attrition]] = "Yes", 1, 0)</f>
        <v>0</v>
      </c>
      <c r="AB779" t="str" cm="1">
        <f t="array" ref="AB779">_xlfn.IFS(Employees[[#This Row],[Age]]&lt;30, "20-29", Employees[[#This Row],[Age]]&lt;40, "30-39", Employees[[#This Row],[Age]]&lt;50, "40-49", "TRUE", "50+")</f>
        <v>20-29</v>
      </c>
    </row>
    <row r="780" spans="1:28">
      <c r="A780" t="s">
        <v>2343</v>
      </c>
      <c r="B780" t="s">
        <v>2025</v>
      </c>
      <c r="C780" t="s">
        <v>2344</v>
      </c>
      <c r="D780" t="s">
        <v>38</v>
      </c>
      <c r="E780">
        <v>25</v>
      </c>
      <c r="F780" t="s">
        <v>27</v>
      </c>
      <c r="G780" t="s">
        <v>54</v>
      </c>
      <c r="H780">
        <v>37</v>
      </c>
      <c r="I780" t="s">
        <v>39</v>
      </c>
      <c r="J780" t="s">
        <v>71</v>
      </c>
      <c r="K780">
        <v>2</v>
      </c>
      <c r="L780" t="s">
        <v>55</v>
      </c>
      <c r="M780" t="s">
        <v>85</v>
      </c>
      <c r="N780" t="s">
        <v>49</v>
      </c>
      <c r="O780">
        <v>38038</v>
      </c>
      <c r="P780">
        <v>0</v>
      </c>
      <c r="Q780" t="s">
        <v>34</v>
      </c>
      <c r="R780" s="1">
        <v>43126</v>
      </c>
      <c r="S780" t="s">
        <v>41</v>
      </c>
      <c r="T780">
        <v>2</v>
      </c>
      <c r="U780">
        <v>1</v>
      </c>
      <c r="V780">
        <v>1</v>
      </c>
      <c r="W780">
        <v>1</v>
      </c>
      <c r="X780" t="s">
        <v>11021</v>
      </c>
      <c r="Y780" t="s">
        <v>11021</v>
      </c>
      <c r="Z780" t="str">
        <f>_xlfn.XLOOKUP(Employees[[#This Row],[Education]], EdLevel[EducationLevelID], EdLevel[EducationLevel])</f>
        <v xml:space="preserve">High School </v>
      </c>
      <c r="AA780">
        <f>IF(Employees[[#This Row],[Attrition]] = "Yes", 1, 0)</f>
        <v>1</v>
      </c>
      <c r="AB780" t="str" cm="1">
        <f t="array" ref="AB780">_xlfn.IFS(Employees[[#This Row],[Age]]&lt;30, "20-29", Employees[[#This Row],[Age]]&lt;40, "30-39", Employees[[#This Row],[Age]]&lt;50, "40-49", "TRUE", "50+")</f>
        <v>20-29</v>
      </c>
    </row>
    <row r="781" spans="1:28">
      <c r="A781" t="s">
        <v>2345</v>
      </c>
      <c r="B781" t="s">
        <v>2346</v>
      </c>
      <c r="C781" t="s">
        <v>2347</v>
      </c>
      <c r="D781" t="s">
        <v>26</v>
      </c>
      <c r="E781">
        <v>23</v>
      </c>
      <c r="F781" t="s">
        <v>27</v>
      </c>
      <c r="G781" t="s">
        <v>28</v>
      </c>
      <c r="H781">
        <v>19</v>
      </c>
      <c r="I781" t="s">
        <v>39</v>
      </c>
      <c r="J781" t="s">
        <v>30</v>
      </c>
      <c r="K781">
        <v>3</v>
      </c>
      <c r="L781" t="s">
        <v>77</v>
      </c>
      <c r="M781" t="s">
        <v>150</v>
      </c>
      <c r="N781" t="s">
        <v>40</v>
      </c>
      <c r="O781">
        <v>27185</v>
      </c>
      <c r="P781">
        <v>0</v>
      </c>
      <c r="Q781" t="s">
        <v>34</v>
      </c>
      <c r="R781" s="1">
        <v>43130</v>
      </c>
      <c r="S781" t="s">
        <v>34</v>
      </c>
      <c r="T781">
        <v>4</v>
      </c>
      <c r="U781">
        <v>4</v>
      </c>
      <c r="V781">
        <v>4</v>
      </c>
      <c r="W781">
        <v>0</v>
      </c>
      <c r="X781" t="s">
        <v>11022</v>
      </c>
      <c r="Y781" t="s">
        <v>11022</v>
      </c>
      <c r="Z781" t="str">
        <f>_xlfn.XLOOKUP(Employees[[#This Row],[Education]], EdLevel[EducationLevelID], EdLevel[EducationLevel])</f>
        <v xml:space="preserve">Bachelors </v>
      </c>
      <c r="AA781">
        <f>IF(Employees[[#This Row],[Attrition]] = "Yes", 1, 0)</f>
        <v>0</v>
      </c>
      <c r="AB781" t="str" cm="1">
        <f t="array" ref="AB781">_xlfn.IFS(Employees[[#This Row],[Age]]&lt;30, "20-29", Employees[[#This Row],[Age]]&lt;40, "30-39", Employees[[#This Row],[Age]]&lt;50, "40-49", "TRUE", "50+")</f>
        <v>20-29</v>
      </c>
    </row>
    <row r="782" spans="1:28">
      <c r="A782" t="s">
        <v>2348</v>
      </c>
      <c r="B782" t="s">
        <v>2349</v>
      </c>
      <c r="C782" t="s">
        <v>2350</v>
      </c>
      <c r="D782" t="s">
        <v>38</v>
      </c>
      <c r="E782">
        <v>25</v>
      </c>
      <c r="F782" t="s">
        <v>84</v>
      </c>
      <c r="G782" t="s">
        <v>54</v>
      </c>
      <c r="H782">
        <v>20</v>
      </c>
      <c r="I782" t="s">
        <v>65</v>
      </c>
      <c r="J782" t="s">
        <v>66</v>
      </c>
      <c r="K782">
        <v>4</v>
      </c>
      <c r="L782" t="s">
        <v>55</v>
      </c>
      <c r="M782" t="s">
        <v>93</v>
      </c>
      <c r="N782" t="s">
        <v>49</v>
      </c>
      <c r="O782">
        <v>96514</v>
      </c>
      <c r="P782">
        <v>1</v>
      </c>
      <c r="Q782" t="s">
        <v>34</v>
      </c>
      <c r="R782" s="1">
        <v>43135</v>
      </c>
      <c r="S782" t="s">
        <v>34</v>
      </c>
      <c r="T782">
        <v>4</v>
      </c>
      <c r="U782">
        <v>4</v>
      </c>
      <c r="V782">
        <v>4</v>
      </c>
      <c r="W782">
        <v>0</v>
      </c>
      <c r="X782" t="s">
        <v>11023</v>
      </c>
      <c r="Y782" t="s">
        <v>11023</v>
      </c>
      <c r="Z782" t="str">
        <f>_xlfn.XLOOKUP(Employees[[#This Row],[Education]], EdLevel[EducationLevelID], EdLevel[EducationLevel])</f>
        <v xml:space="preserve">Masters </v>
      </c>
      <c r="AA782">
        <f>IF(Employees[[#This Row],[Attrition]] = "Yes", 1, 0)</f>
        <v>0</v>
      </c>
      <c r="AB782" t="str" cm="1">
        <f t="array" ref="AB782">_xlfn.IFS(Employees[[#This Row],[Age]]&lt;30, "20-29", Employees[[#This Row],[Age]]&lt;40, "30-39", Employees[[#This Row],[Age]]&lt;50, "40-49", "TRUE", "50+")</f>
        <v>20-29</v>
      </c>
    </row>
    <row r="783" spans="1:28">
      <c r="A783" t="s">
        <v>2351</v>
      </c>
      <c r="B783" t="s">
        <v>2352</v>
      </c>
      <c r="C783" t="s">
        <v>2353</v>
      </c>
      <c r="D783" t="s">
        <v>38</v>
      </c>
      <c r="E783">
        <v>24</v>
      </c>
      <c r="F783" t="s">
        <v>70</v>
      </c>
      <c r="G783" t="s">
        <v>54</v>
      </c>
      <c r="H783">
        <v>35</v>
      </c>
      <c r="I783" t="s">
        <v>39</v>
      </c>
      <c r="J783" t="s">
        <v>46</v>
      </c>
      <c r="K783">
        <v>3</v>
      </c>
      <c r="L783" t="s">
        <v>55</v>
      </c>
      <c r="M783" t="s">
        <v>85</v>
      </c>
      <c r="N783" t="s">
        <v>40</v>
      </c>
      <c r="O783">
        <v>32502</v>
      </c>
      <c r="P783">
        <v>0</v>
      </c>
      <c r="Q783" t="s">
        <v>41</v>
      </c>
      <c r="R783" s="1">
        <v>43137</v>
      </c>
      <c r="S783" t="s">
        <v>41</v>
      </c>
      <c r="T783">
        <v>1</v>
      </c>
      <c r="U783">
        <v>1</v>
      </c>
      <c r="V783">
        <v>1</v>
      </c>
      <c r="W783">
        <v>0</v>
      </c>
      <c r="X783" t="s">
        <v>11022</v>
      </c>
      <c r="Y783" t="s">
        <v>11022</v>
      </c>
      <c r="Z783" t="str">
        <f>_xlfn.XLOOKUP(Employees[[#This Row],[Education]], EdLevel[EducationLevelID], EdLevel[EducationLevel])</f>
        <v xml:space="preserve">Bachelors </v>
      </c>
      <c r="AA783">
        <f>IF(Employees[[#This Row],[Attrition]] = "Yes", 1, 0)</f>
        <v>1</v>
      </c>
      <c r="AB783" t="str" cm="1">
        <f t="array" ref="AB783">_xlfn.IFS(Employees[[#This Row],[Age]]&lt;30, "20-29", Employees[[#This Row],[Age]]&lt;40, "30-39", Employees[[#This Row],[Age]]&lt;50, "40-49", "TRUE", "50+")</f>
        <v>20-29</v>
      </c>
    </row>
    <row r="784" spans="1:28">
      <c r="A784" t="s">
        <v>2354</v>
      </c>
      <c r="B784" t="s">
        <v>2355</v>
      </c>
      <c r="C784" t="s">
        <v>2356</v>
      </c>
      <c r="D784" t="s">
        <v>53</v>
      </c>
      <c r="E784">
        <v>25</v>
      </c>
      <c r="F784" t="s">
        <v>27</v>
      </c>
      <c r="G784" t="s">
        <v>54</v>
      </c>
      <c r="H784">
        <v>19</v>
      </c>
      <c r="I784" t="s">
        <v>29</v>
      </c>
      <c r="J784" t="s">
        <v>66</v>
      </c>
      <c r="K784">
        <v>3</v>
      </c>
      <c r="L784" t="s">
        <v>55</v>
      </c>
      <c r="M784" t="s">
        <v>105</v>
      </c>
      <c r="N784" t="s">
        <v>33</v>
      </c>
      <c r="O784">
        <v>90418</v>
      </c>
      <c r="P784">
        <v>2</v>
      </c>
      <c r="Q784" t="s">
        <v>41</v>
      </c>
      <c r="R784" s="1">
        <v>43145</v>
      </c>
      <c r="S784" t="s">
        <v>34</v>
      </c>
      <c r="T784">
        <v>4</v>
      </c>
      <c r="U784">
        <v>4</v>
      </c>
      <c r="V784">
        <v>4</v>
      </c>
      <c r="W784">
        <v>4</v>
      </c>
      <c r="X784" t="s">
        <v>11022</v>
      </c>
      <c r="Y784" t="s">
        <v>11022</v>
      </c>
      <c r="Z784" t="str">
        <f>_xlfn.XLOOKUP(Employees[[#This Row],[Education]], EdLevel[EducationLevelID], EdLevel[EducationLevel])</f>
        <v xml:space="preserve">Bachelors </v>
      </c>
      <c r="AA784">
        <f>IF(Employees[[#This Row],[Attrition]] = "Yes", 1, 0)</f>
        <v>0</v>
      </c>
      <c r="AB784" t="str" cm="1">
        <f t="array" ref="AB784">_xlfn.IFS(Employees[[#This Row],[Age]]&lt;30, "20-29", Employees[[#This Row],[Age]]&lt;40, "30-39", Employees[[#This Row],[Age]]&lt;50, "40-49", "TRUE", "50+")</f>
        <v>20-29</v>
      </c>
    </row>
    <row r="785" spans="1:28">
      <c r="A785" t="s">
        <v>2357</v>
      </c>
      <c r="B785" t="s">
        <v>2358</v>
      </c>
      <c r="C785" t="s">
        <v>2359</v>
      </c>
      <c r="D785" t="s">
        <v>26</v>
      </c>
      <c r="E785">
        <v>22</v>
      </c>
      <c r="F785" t="s">
        <v>27</v>
      </c>
      <c r="G785" t="s">
        <v>54</v>
      </c>
      <c r="H785">
        <v>16</v>
      </c>
      <c r="I785" t="s">
        <v>39</v>
      </c>
      <c r="J785" t="s">
        <v>137</v>
      </c>
      <c r="K785">
        <v>3</v>
      </c>
      <c r="L785" t="s">
        <v>178</v>
      </c>
      <c r="M785" t="s">
        <v>101</v>
      </c>
      <c r="N785" t="s">
        <v>40</v>
      </c>
      <c r="O785">
        <v>30838</v>
      </c>
      <c r="P785">
        <v>0</v>
      </c>
      <c r="Q785" t="s">
        <v>34</v>
      </c>
      <c r="R785" s="1">
        <v>43147</v>
      </c>
      <c r="S785" t="s">
        <v>34</v>
      </c>
      <c r="T785">
        <v>4</v>
      </c>
      <c r="U785">
        <v>4</v>
      </c>
      <c r="V785">
        <v>4</v>
      </c>
      <c r="W785">
        <v>0</v>
      </c>
      <c r="X785" t="s">
        <v>11022</v>
      </c>
      <c r="Y785" t="s">
        <v>11022</v>
      </c>
      <c r="Z785" t="str">
        <f>_xlfn.XLOOKUP(Employees[[#This Row],[Education]], EdLevel[EducationLevelID], EdLevel[EducationLevel])</f>
        <v xml:space="preserve">Bachelors </v>
      </c>
      <c r="AA785">
        <f>IF(Employees[[#This Row],[Attrition]] = "Yes", 1, 0)</f>
        <v>0</v>
      </c>
      <c r="AB785" t="str" cm="1">
        <f t="array" ref="AB785">_xlfn.IFS(Employees[[#This Row],[Age]]&lt;30, "20-29", Employees[[#This Row],[Age]]&lt;40, "30-39", Employees[[#This Row],[Age]]&lt;50, "40-49", "TRUE", "50+")</f>
        <v>20-29</v>
      </c>
    </row>
    <row r="786" spans="1:28">
      <c r="A786" t="s">
        <v>2360</v>
      </c>
      <c r="B786" t="s">
        <v>2361</v>
      </c>
      <c r="C786" t="s">
        <v>2362</v>
      </c>
      <c r="D786" t="s">
        <v>38</v>
      </c>
      <c r="E786">
        <v>23</v>
      </c>
      <c r="F786" t="s">
        <v>27</v>
      </c>
      <c r="G786" t="s">
        <v>28</v>
      </c>
      <c r="H786">
        <v>33</v>
      </c>
      <c r="I786" t="s">
        <v>65</v>
      </c>
      <c r="J786" t="s">
        <v>30</v>
      </c>
      <c r="K786">
        <v>3</v>
      </c>
      <c r="L786" t="s">
        <v>121</v>
      </c>
      <c r="M786" t="s">
        <v>150</v>
      </c>
      <c r="N786" t="s">
        <v>49</v>
      </c>
      <c r="O786">
        <v>30477</v>
      </c>
      <c r="P786">
        <v>1</v>
      </c>
      <c r="Q786" t="s">
        <v>34</v>
      </c>
      <c r="R786" s="1">
        <v>43151</v>
      </c>
      <c r="S786" t="s">
        <v>34</v>
      </c>
      <c r="T786">
        <v>4</v>
      </c>
      <c r="U786">
        <v>2</v>
      </c>
      <c r="V786">
        <v>3</v>
      </c>
      <c r="W786">
        <v>3</v>
      </c>
      <c r="X786" t="s">
        <v>11022</v>
      </c>
      <c r="Y786" t="s">
        <v>11022</v>
      </c>
      <c r="Z786" t="str">
        <f>_xlfn.XLOOKUP(Employees[[#This Row],[Education]], EdLevel[EducationLevelID], EdLevel[EducationLevel])</f>
        <v xml:space="preserve">Bachelors </v>
      </c>
      <c r="AA786">
        <f>IF(Employees[[#This Row],[Attrition]] = "Yes", 1, 0)</f>
        <v>0</v>
      </c>
      <c r="AB786" t="str" cm="1">
        <f t="array" ref="AB786">_xlfn.IFS(Employees[[#This Row],[Age]]&lt;30, "20-29", Employees[[#This Row],[Age]]&lt;40, "30-39", Employees[[#This Row],[Age]]&lt;50, "40-49", "TRUE", "50+")</f>
        <v>20-29</v>
      </c>
    </row>
    <row r="787" spans="1:28">
      <c r="A787" t="s">
        <v>2363</v>
      </c>
      <c r="B787" t="s">
        <v>2364</v>
      </c>
      <c r="C787" t="s">
        <v>2365</v>
      </c>
      <c r="D787" t="s">
        <v>53</v>
      </c>
      <c r="E787">
        <v>29</v>
      </c>
      <c r="F787" t="s">
        <v>27</v>
      </c>
      <c r="G787" t="s">
        <v>54</v>
      </c>
      <c r="H787">
        <v>25</v>
      </c>
      <c r="I787" t="s">
        <v>39</v>
      </c>
      <c r="J787" t="s">
        <v>137</v>
      </c>
      <c r="K787">
        <v>2</v>
      </c>
      <c r="L787" t="s">
        <v>72</v>
      </c>
      <c r="M787" t="s">
        <v>105</v>
      </c>
      <c r="N787" t="s">
        <v>49</v>
      </c>
      <c r="O787">
        <v>145716</v>
      </c>
      <c r="P787">
        <v>1</v>
      </c>
      <c r="Q787" t="s">
        <v>34</v>
      </c>
      <c r="R787" s="1">
        <v>43153</v>
      </c>
      <c r="S787" t="s">
        <v>41</v>
      </c>
      <c r="T787">
        <v>1</v>
      </c>
      <c r="U787">
        <v>0</v>
      </c>
      <c r="V787">
        <v>1</v>
      </c>
      <c r="W787">
        <v>1</v>
      </c>
      <c r="X787" t="s">
        <v>11021</v>
      </c>
      <c r="Y787" t="s">
        <v>11021</v>
      </c>
      <c r="Z787" t="str">
        <f>_xlfn.XLOOKUP(Employees[[#This Row],[Education]], EdLevel[EducationLevelID], EdLevel[EducationLevel])</f>
        <v xml:space="preserve">High School </v>
      </c>
      <c r="AA787">
        <f>IF(Employees[[#This Row],[Attrition]] = "Yes", 1, 0)</f>
        <v>1</v>
      </c>
      <c r="AB787" t="str" cm="1">
        <f t="array" ref="AB787">_xlfn.IFS(Employees[[#This Row],[Age]]&lt;30, "20-29", Employees[[#This Row],[Age]]&lt;40, "30-39", Employees[[#This Row],[Age]]&lt;50, "40-49", "TRUE", "50+")</f>
        <v>20-29</v>
      </c>
    </row>
    <row r="788" spans="1:28">
      <c r="A788" t="s">
        <v>2366</v>
      </c>
      <c r="B788" t="s">
        <v>2367</v>
      </c>
      <c r="C788" t="s">
        <v>2368</v>
      </c>
      <c r="D788" t="s">
        <v>26</v>
      </c>
      <c r="E788">
        <v>24</v>
      </c>
      <c r="F788" t="s">
        <v>27</v>
      </c>
      <c r="G788" t="s">
        <v>28</v>
      </c>
      <c r="H788">
        <v>27</v>
      </c>
      <c r="I788" t="s">
        <v>65</v>
      </c>
      <c r="J788" t="s">
        <v>30</v>
      </c>
      <c r="K788">
        <v>4</v>
      </c>
      <c r="L788" t="s">
        <v>31</v>
      </c>
      <c r="M788" t="s">
        <v>32</v>
      </c>
      <c r="N788" t="s">
        <v>40</v>
      </c>
      <c r="O788">
        <v>208684</v>
      </c>
      <c r="P788">
        <v>0</v>
      </c>
      <c r="Q788" t="s">
        <v>41</v>
      </c>
      <c r="R788" s="1">
        <v>43165</v>
      </c>
      <c r="S788" t="s">
        <v>41</v>
      </c>
      <c r="T788">
        <v>2</v>
      </c>
      <c r="U788">
        <v>0</v>
      </c>
      <c r="V788">
        <v>0</v>
      </c>
      <c r="W788">
        <v>0</v>
      </c>
      <c r="X788" t="s">
        <v>11023</v>
      </c>
      <c r="Y788" t="s">
        <v>11023</v>
      </c>
      <c r="Z788" t="str">
        <f>_xlfn.XLOOKUP(Employees[[#This Row],[Education]], EdLevel[EducationLevelID], EdLevel[EducationLevel])</f>
        <v xml:space="preserve">Masters </v>
      </c>
      <c r="AA788">
        <f>IF(Employees[[#This Row],[Attrition]] = "Yes", 1, 0)</f>
        <v>1</v>
      </c>
      <c r="AB788" t="str" cm="1">
        <f t="array" ref="AB788">_xlfn.IFS(Employees[[#This Row],[Age]]&lt;30, "20-29", Employees[[#This Row],[Age]]&lt;40, "30-39", Employees[[#This Row],[Age]]&lt;50, "40-49", "TRUE", "50+")</f>
        <v>20-29</v>
      </c>
    </row>
    <row r="789" spans="1:28">
      <c r="A789" t="s">
        <v>2369</v>
      </c>
      <c r="B789" t="s">
        <v>2370</v>
      </c>
      <c r="C789" t="s">
        <v>2371</v>
      </c>
      <c r="D789" t="s">
        <v>26</v>
      </c>
      <c r="E789">
        <v>25</v>
      </c>
      <c r="F789" t="s">
        <v>70</v>
      </c>
      <c r="G789" t="s">
        <v>54</v>
      </c>
      <c r="H789">
        <v>12</v>
      </c>
      <c r="I789" t="s">
        <v>65</v>
      </c>
      <c r="J789" t="s">
        <v>71</v>
      </c>
      <c r="K789">
        <v>2</v>
      </c>
      <c r="L789" t="s">
        <v>72</v>
      </c>
      <c r="M789" t="s">
        <v>85</v>
      </c>
      <c r="N789" t="s">
        <v>33</v>
      </c>
      <c r="O789">
        <v>28926</v>
      </c>
      <c r="P789">
        <v>2</v>
      </c>
      <c r="Q789" t="s">
        <v>41</v>
      </c>
      <c r="R789" s="1">
        <v>43165</v>
      </c>
      <c r="S789" t="s">
        <v>34</v>
      </c>
      <c r="T789">
        <v>4</v>
      </c>
      <c r="U789">
        <v>1</v>
      </c>
      <c r="V789">
        <v>3</v>
      </c>
      <c r="W789">
        <v>4</v>
      </c>
      <c r="X789" t="s">
        <v>11021</v>
      </c>
      <c r="Y789" t="s">
        <v>11021</v>
      </c>
      <c r="Z789" t="str">
        <f>_xlfn.XLOOKUP(Employees[[#This Row],[Education]], EdLevel[EducationLevelID], EdLevel[EducationLevel])</f>
        <v xml:space="preserve">High School </v>
      </c>
      <c r="AA789">
        <f>IF(Employees[[#This Row],[Attrition]] = "Yes", 1, 0)</f>
        <v>0</v>
      </c>
      <c r="AB789" t="str" cm="1">
        <f t="array" ref="AB789">_xlfn.IFS(Employees[[#This Row],[Age]]&lt;30, "20-29", Employees[[#This Row],[Age]]&lt;40, "30-39", Employees[[#This Row],[Age]]&lt;50, "40-49", "TRUE", "50+")</f>
        <v>20-29</v>
      </c>
    </row>
    <row r="790" spans="1:28">
      <c r="A790" t="s">
        <v>2372</v>
      </c>
      <c r="B790" t="s">
        <v>2373</v>
      </c>
      <c r="C790" t="s">
        <v>2374</v>
      </c>
      <c r="D790" t="s">
        <v>26</v>
      </c>
      <c r="E790">
        <v>22</v>
      </c>
      <c r="F790" t="s">
        <v>70</v>
      </c>
      <c r="G790" t="s">
        <v>54</v>
      </c>
      <c r="H790">
        <v>27</v>
      </c>
      <c r="I790" t="s">
        <v>39</v>
      </c>
      <c r="J790" t="s">
        <v>30</v>
      </c>
      <c r="K790">
        <v>1</v>
      </c>
      <c r="L790" t="s">
        <v>72</v>
      </c>
      <c r="M790" t="s">
        <v>85</v>
      </c>
      <c r="N790" t="s">
        <v>40</v>
      </c>
      <c r="O790">
        <v>23039</v>
      </c>
      <c r="P790">
        <v>0</v>
      </c>
      <c r="Q790" t="s">
        <v>34</v>
      </c>
      <c r="R790" s="1">
        <v>43167</v>
      </c>
      <c r="S790" t="s">
        <v>41</v>
      </c>
      <c r="T790">
        <v>0</v>
      </c>
      <c r="U790">
        <v>0</v>
      </c>
      <c r="V790">
        <v>0</v>
      </c>
      <c r="W790">
        <v>0</v>
      </c>
      <c r="X790" t="s">
        <v>11020</v>
      </c>
      <c r="Y790" t="s">
        <v>11020</v>
      </c>
      <c r="Z790" t="str">
        <f>_xlfn.XLOOKUP(Employees[[#This Row],[Education]], EdLevel[EducationLevelID], EdLevel[EducationLevel])</f>
        <v>No Formal Qualifications</v>
      </c>
      <c r="AA790">
        <f>IF(Employees[[#This Row],[Attrition]] = "Yes", 1, 0)</f>
        <v>1</v>
      </c>
      <c r="AB790" t="str" cm="1">
        <f t="array" ref="AB790">_xlfn.IFS(Employees[[#This Row],[Age]]&lt;30, "20-29", Employees[[#This Row],[Age]]&lt;40, "30-39", Employees[[#This Row],[Age]]&lt;50, "40-49", "TRUE", "50+")</f>
        <v>20-29</v>
      </c>
    </row>
    <row r="791" spans="1:28">
      <c r="A791" t="s">
        <v>2375</v>
      </c>
      <c r="B791" t="s">
        <v>2376</v>
      </c>
      <c r="C791" t="s">
        <v>2377</v>
      </c>
      <c r="D791" t="s">
        <v>38</v>
      </c>
      <c r="E791">
        <v>22</v>
      </c>
      <c r="F791" t="s">
        <v>27</v>
      </c>
      <c r="G791" t="s">
        <v>54</v>
      </c>
      <c r="H791">
        <v>11</v>
      </c>
      <c r="I791" t="s">
        <v>29</v>
      </c>
      <c r="J791" t="s">
        <v>66</v>
      </c>
      <c r="K791">
        <v>3</v>
      </c>
      <c r="L791" t="s">
        <v>55</v>
      </c>
      <c r="M791" t="s">
        <v>101</v>
      </c>
      <c r="N791" t="s">
        <v>33</v>
      </c>
      <c r="O791">
        <v>74314</v>
      </c>
      <c r="P791">
        <v>1</v>
      </c>
      <c r="Q791" t="s">
        <v>34</v>
      </c>
      <c r="R791" s="1">
        <v>43173</v>
      </c>
      <c r="S791" t="s">
        <v>34</v>
      </c>
      <c r="T791">
        <v>4</v>
      </c>
      <c r="U791">
        <v>0</v>
      </c>
      <c r="V791">
        <v>1</v>
      </c>
      <c r="W791">
        <v>3</v>
      </c>
      <c r="X791" t="s">
        <v>11022</v>
      </c>
      <c r="Y791" t="s">
        <v>11022</v>
      </c>
      <c r="Z791" t="str">
        <f>_xlfn.XLOOKUP(Employees[[#This Row],[Education]], EdLevel[EducationLevelID], EdLevel[EducationLevel])</f>
        <v xml:space="preserve">Bachelors </v>
      </c>
      <c r="AA791">
        <f>IF(Employees[[#This Row],[Attrition]] = "Yes", 1, 0)</f>
        <v>0</v>
      </c>
      <c r="AB791" t="str" cm="1">
        <f t="array" ref="AB791">_xlfn.IFS(Employees[[#This Row],[Age]]&lt;30, "20-29", Employees[[#This Row],[Age]]&lt;40, "30-39", Employees[[#This Row],[Age]]&lt;50, "40-49", "TRUE", "50+")</f>
        <v>20-29</v>
      </c>
    </row>
    <row r="792" spans="1:28">
      <c r="A792" t="s">
        <v>2378</v>
      </c>
      <c r="B792" t="s">
        <v>2379</v>
      </c>
      <c r="C792" t="s">
        <v>2380</v>
      </c>
      <c r="D792" t="s">
        <v>38</v>
      </c>
      <c r="E792">
        <v>25</v>
      </c>
      <c r="F792" t="s">
        <v>70</v>
      </c>
      <c r="G792" t="s">
        <v>54</v>
      </c>
      <c r="H792">
        <v>43</v>
      </c>
      <c r="I792" t="s">
        <v>39</v>
      </c>
      <c r="J792" t="s">
        <v>30</v>
      </c>
      <c r="K792">
        <v>3</v>
      </c>
      <c r="L792" t="s">
        <v>55</v>
      </c>
      <c r="M792" t="s">
        <v>85</v>
      </c>
      <c r="N792" t="s">
        <v>40</v>
      </c>
      <c r="O792">
        <v>33086</v>
      </c>
      <c r="P792">
        <v>0</v>
      </c>
      <c r="Q792" t="s">
        <v>34</v>
      </c>
      <c r="R792" s="1">
        <v>43174</v>
      </c>
      <c r="S792" t="s">
        <v>34</v>
      </c>
      <c r="T792">
        <v>4</v>
      </c>
      <c r="U792">
        <v>4</v>
      </c>
      <c r="V792">
        <v>4</v>
      </c>
      <c r="W792">
        <v>2</v>
      </c>
      <c r="X792" t="s">
        <v>11022</v>
      </c>
      <c r="Y792" t="s">
        <v>11022</v>
      </c>
      <c r="Z792" t="str">
        <f>_xlfn.XLOOKUP(Employees[[#This Row],[Education]], EdLevel[EducationLevelID], EdLevel[EducationLevel])</f>
        <v xml:space="preserve">Bachelors </v>
      </c>
      <c r="AA792">
        <f>IF(Employees[[#This Row],[Attrition]] = "Yes", 1, 0)</f>
        <v>0</v>
      </c>
      <c r="AB792" t="str" cm="1">
        <f t="array" ref="AB792">_xlfn.IFS(Employees[[#This Row],[Age]]&lt;30, "20-29", Employees[[#This Row],[Age]]&lt;40, "30-39", Employees[[#This Row],[Age]]&lt;50, "40-49", "TRUE", "50+")</f>
        <v>20-29</v>
      </c>
    </row>
    <row r="793" spans="1:28">
      <c r="A793" t="s">
        <v>2381</v>
      </c>
      <c r="B793" t="s">
        <v>2382</v>
      </c>
      <c r="C793" t="s">
        <v>2383</v>
      </c>
      <c r="D793" t="s">
        <v>26</v>
      </c>
      <c r="E793">
        <v>40</v>
      </c>
      <c r="F793" t="s">
        <v>84</v>
      </c>
      <c r="G793" t="s">
        <v>28</v>
      </c>
      <c r="H793">
        <v>30</v>
      </c>
      <c r="I793" t="s">
        <v>65</v>
      </c>
      <c r="J793" t="s">
        <v>46</v>
      </c>
      <c r="K793">
        <v>4</v>
      </c>
      <c r="L793" t="s">
        <v>47</v>
      </c>
      <c r="M793" t="s">
        <v>32</v>
      </c>
      <c r="N793" t="s">
        <v>49</v>
      </c>
      <c r="O793">
        <v>250555</v>
      </c>
      <c r="P793">
        <v>1</v>
      </c>
      <c r="Q793" t="s">
        <v>41</v>
      </c>
      <c r="R793" s="1">
        <v>43178</v>
      </c>
      <c r="S793" t="s">
        <v>34</v>
      </c>
      <c r="T793">
        <v>4</v>
      </c>
      <c r="U793">
        <v>4</v>
      </c>
      <c r="V793">
        <v>4</v>
      </c>
      <c r="W793">
        <v>2</v>
      </c>
      <c r="X793" t="s">
        <v>11023</v>
      </c>
      <c r="Y793" t="s">
        <v>11023</v>
      </c>
      <c r="Z793" t="str">
        <f>_xlfn.XLOOKUP(Employees[[#This Row],[Education]], EdLevel[EducationLevelID], EdLevel[EducationLevel])</f>
        <v xml:space="preserve">Masters </v>
      </c>
      <c r="AA793">
        <f>IF(Employees[[#This Row],[Attrition]] = "Yes", 1, 0)</f>
        <v>0</v>
      </c>
      <c r="AB793" t="str" cm="1">
        <f t="array" ref="AB793">_xlfn.IFS(Employees[[#This Row],[Age]]&lt;30, "20-29", Employees[[#This Row],[Age]]&lt;40, "30-39", Employees[[#This Row],[Age]]&lt;50, "40-49", "TRUE", "50+")</f>
        <v>40-49</v>
      </c>
    </row>
    <row r="794" spans="1:28">
      <c r="A794" t="s">
        <v>2384</v>
      </c>
      <c r="B794" t="s">
        <v>2385</v>
      </c>
      <c r="C794" t="s">
        <v>2386</v>
      </c>
      <c r="D794" t="s">
        <v>26</v>
      </c>
      <c r="E794">
        <v>22</v>
      </c>
      <c r="F794" t="s">
        <v>27</v>
      </c>
      <c r="G794" t="s">
        <v>28</v>
      </c>
      <c r="H794">
        <v>36</v>
      </c>
      <c r="I794" t="s">
        <v>65</v>
      </c>
      <c r="J794" t="s">
        <v>71</v>
      </c>
      <c r="K794">
        <v>3</v>
      </c>
      <c r="L794" t="s">
        <v>31</v>
      </c>
      <c r="M794" t="s">
        <v>32</v>
      </c>
      <c r="N794" t="s">
        <v>40</v>
      </c>
      <c r="O794">
        <v>60699</v>
      </c>
      <c r="P794">
        <v>0</v>
      </c>
      <c r="Q794" t="s">
        <v>34</v>
      </c>
      <c r="R794" s="1">
        <v>43180</v>
      </c>
      <c r="S794" t="s">
        <v>34</v>
      </c>
      <c r="T794">
        <v>4</v>
      </c>
      <c r="U794">
        <v>0</v>
      </c>
      <c r="V794">
        <v>3</v>
      </c>
      <c r="W794">
        <v>0</v>
      </c>
      <c r="X794" t="s">
        <v>11022</v>
      </c>
      <c r="Y794" t="s">
        <v>11022</v>
      </c>
      <c r="Z794" t="str">
        <f>_xlfn.XLOOKUP(Employees[[#This Row],[Education]], EdLevel[EducationLevelID], EdLevel[EducationLevel])</f>
        <v xml:space="preserve">Bachelors </v>
      </c>
      <c r="AA794">
        <f>IF(Employees[[#This Row],[Attrition]] = "Yes", 1, 0)</f>
        <v>0</v>
      </c>
      <c r="AB794" t="str" cm="1">
        <f t="array" ref="AB794">_xlfn.IFS(Employees[[#This Row],[Age]]&lt;30, "20-29", Employees[[#This Row],[Age]]&lt;40, "30-39", Employees[[#This Row],[Age]]&lt;50, "40-49", "TRUE", "50+")</f>
        <v>20-29</v>
      </c>
    </row>
    <row r="795" spans="1:28">
      <c r="A795" t="s">
        <v>2387</v>
      </c>
      <c r="B795" t="s">
        <v>224</v>
      </c>
      <c r="C795" t="s">
        <v>2388</v>
      </c>
      <c r="D795" t="s">
        <v>38</v>
      </c>
      <c r="E795">
        <v>25</v>
      </c>
      <c r="F795" t="s">
        <v>27</v>
      </c>
      <c r="G795" t="s">
        <v>54</v>
      </c>
      <c r="H795">
        <v>11</v>
      </c>
      <c r="I795" t="s">
        <v>65</v>
      </c>
      <c r="J795" t="s">
        <v>30</v>
      </c>
      <c r="K795">
        <v>2</v>
      </c>
      <c r="L795" t="s">
        <v>55</v>
      </c>
      <c r="M795" t="s">
        <v>56</v>
      </c>
      <c r="N795" t="s">
        <v>49</v>
      </c>
      <c r="O795">
        <v>285138</v>
      </c>
      <c r="P795">
        <v>1</v>
      </c>
      <c r="Q795" t="s">
        <v>34</v>
      </c>
      <c r="R795" s="1">
        <v>43180</v>
      </c>
      <c r="S795" t="s">
        <v>34</v>
      </c>
      <c r="T795">
        <v>4</v>
      </c>
      <c r="U795">
        <v>0</v>
      </c>
      <c r="V795">
        <v>3</v>
      </c>
      <c r="W795">
        <v>4</v>
      </c>
      <c r="X795" t="s">
        <v>11021</v>
      </c>
      <c r="Y795" t="s">
        <v>11021</v>
      </c>
      <c r="Z795" t="str">
        <f>_xlfn.XLOOKUP(Employees[[#This Row],[Education]], EdLevel[EducationLevelID], EdLevel[EducationLevel])</f>
        <v xml:space="preserve">High School </v>
      </c>
      <c r="AA795">
        <f>IF(Employees[[#This Row],[Attrition]] = "Yes", 1, 0)</f>
        <v>0</v>
      </c>
      <c r="AB795" t="str" cm="1">
        <f t="array" ref="AB795">_xlfn.IFS(Employees[[#This Row],[Age]]&lt;30, "20-29", Employees[[#This Row],[Age]]&lt;40, "30-39", Employees[[#This Row],[Age]]&lt;50, "40-49", "TRUE", "50+")</f>
        <v>20-29</v>
      </c>
    </row>
    <row r="796" spans="1:28">
      <c r="A796" t="s">
        <v>2389</v>
      </c>
      <c r="B796" t="s">
        <v>2390</v>
      </c>
      <c r="C796" t="s">
        <v>2391</v>
      </c>
      <c r="D796" t="s">
        <v>38</v>
      </c>
      <c r="E796">
        <v>25</v>
      </c>
      <c r="F796" t="s">
        <v>84</v>
      </c>
      <c r="G796" t="s">
        <v>54</v>
      </c>
      <c r="H796">
        <v>24</v>
      </c>
      <c r="I796" t="s">
        <v>39</v>
      </c>
      <c r="J796" t="s">
        <v>30</v>
      </c>
      <c r="K796">
        <v>1</v>
      </c>
      <c r="L796" t="s">
        <v>55</v>
      </c>
      <c r="M796" t="s">
        <v>105</v>
      </c>
      <c r="N796" t="s">
        <v>33</v>
      </c>
      <c r="O796">
        <v>121373</v>
      </c>
      <c r="P796">
        <v>1</v>
      </c>
      <c r="Q796" t="s">
        <v>34</v>
      </c>
      <c r="R796" s="1">
        <v>43180</v>
      </c>
      <c r="S796" t="s">
        <v>34</v>
      </c>
      <c r="T796">
        <v>4</v>
      </c>
      <c r="U796">
        <v>0</v>
      </c>
      <c r="V796">
        <v>2</v>
      </c>
      <c r="W796">
        <v>1</v>
      </c>
      <c r="X796" t="s">
        <v>11020</v>
      </c>
      <c r="Y796" t="s">
        <v>11020</v>
      </c>
      <c r="Z796" t="str">
        <f>_xlfn.XLOOKUP(Employees[[#This Row],[Education]], EdLevel[EducationLevelID], EdLevel[EducationLevel])</f>
        <v>No Formal Qualifications</v>
      </c>
      <c r="AA796">
        <f>IF(Employees[[#This Row],[Attrition]] = "Yes", 1, 0)</f>
        <v>0</v>
      </c>
      <c r="AB796" t="str" cm="1">
        <f t="array" ref="AB796">_xlfn.IFS(Employees[[#This Row],[Age]]&lt;30, "20-29", Employees[[#This Row],[Age]]&lt;40, "30-39", Employees[[#This Row],[Age]]&lt;50, "40-49", "TRUE", "50+")</f>
        <v>20-29</v>
      </c>
    </row>
    <row r="797" spans="1:28">
      <c r="A797" t="s">
        <v>2392</v>
      </c>
      <c r="B797" t="s">
        <v>2393</v>
      </c>
      <c r="C797" t="s">
        <v>2394</v>
      </c>
      <c r="D797" t="s">
        <v>38</v>
      </c>
      <c r="E797">
        <v>23</v>
      </c>
      <c r="F797" t="s">
        <v>27</v>
      </c>
      <c r="G797" t="s">
        <v>54</v>
      </c>
      <c r="H797">
        <v>44</v>
      </c>
      <c r="I797" t="s">
        <v>65</v>
      </c>
      <c r="J797" t="s">
        <v>30</v>
      </c>
      <c r="K797">
        <v>3</v>
      </c>
      <c r="L797" t="s">
        <v>72</v>
      </c>
      <c r="M797" t="s">
        <v>105</v>
      </c>
      <c r="N797" t="s">
        <v>49</v>
      </c>
      <c r="O797">
        <v>81034</v>
      </c>
      <c r="P797">
        <v>2</v>
      </c>
      <c r="Q797" t="s">
        <v>41</v>
      </c>
      <c r="R797" s="1">
        <v>43184</v>
      </c>
      <c r="S797" t="s">
        <v>34</v>
      </c>
      <c r="T797">
        <v>4</v>
      </c>
      <c r="U797">
        <v>1</v>
      </c>
      <c r="V797">
        <v>1</v>
      </c>
      <c r="W797">
        <v>0</v>
      </c>
      <c r="X797" t="s">
        <v>11022</v>
      </c>
      <c r="Y797" t="s">
        <v>11022</v>
      </c>
      <c r="Z797" t="str">
        <f>_xlfn.XLOOKUP(Employees[[#This Row],[Education]], EdLevel[EducationLevelID], EdLevel[EducationLevel])</f>
        <v xml:space="preserve">Bachelors </v>
      </c>
      <c r="AA797">
        <f>IF(Employees[[#This Row],[Attrition]] = "Yes", 1, 0)</f>
        <v>0</v>
      </c>
      <c r="AB797" t="str" cm="1">
        <f t="array" ref="AB797">_xlfn.IFS(Employees[[#This Row],[Age]]&lt;30, "20-29", Employees[[#This Row],[Age]]&lt;40, "30-39", Employees[[#This Row],[Age]]&lt;50, "40-49", "TRUE", "50+")</f>
        <v>20-29</v>
      </c>
    </row>
    <row r="798" spans="1:28">
      <c r="A798" t="s">
        <v>2395</v>
      </c>
      <c r="B798" t="s">
        <v>2396</v>
      </c>
      <c r="C798" t="s">
        <v>2397</v>
      </c>
      <c r="D798" t="s">
        <v>38</v>
      </c>
      <c r="E798">
        <v>23</v>
      </c>
      <c r="F798" t="s">
        <v>27</v>
      </c>
      <c r="G798" t="s">
        <v>54</v>
      </c>
      <c r="H798">
        <v>8</v>
      </c>
      <c r="I798" t="s">
        <v>65</v>
      </c>
      <c r="J798" t="s">
        <v>30</v>
      </c>
      <c r="K798">
        <v>4</v>
      </c>
      <c r="L798" t="s">
        <v>77</v>
      </c>
      <c r="M798" t="s">
        <v>101</v>
      </c>
      <c r="N798" t="s">
        <v>49</v>
      </c>
      <c r="O798">
        <v>42250</v>
      </c>
      <c r="P798">
        <v>2</v>
      </c>
      <c r="Q798" t="s">
        <v>34</v>
      </c>
      <c r="R798" s="1">
        <v>43185</v>
      </c>
      <c r="S798" t="s">
        <v>34</v>
      </c>
      <c r="T798">
        <v>4</v>
      </c>
      <c r="U798">
        <v>1</v>
      </c>
      <c r="V798">
        <v>2</v>
      </c>
      <c r="W798">
        <v>4</v>
      </c>
      <c r="X798" t="s">
        <v>11023</v>
      </c>
      <c r="Y798" t="s">
        <v>11023</v>
      </c>
      <c r="Z798" t="str">
        <f>_xlfn.XLOOKUP(Employees[[#This Row],[Education]], EdLevel[EducationLevelID], EdLevel[EducationLevel])</f>
        <v xml:space="preserve">Masters </v>
      </c>
      <c r="AA798">
        <f>IF(Employees[[#This Row],[Attrition]] = "Yes", 1, 0)</f>
        <v>0</v>
      </c>
      <c r="AB798" t="str" cm="1">
        <f t="array" ref="AB798">_xlfn.IFS(Employees[[#This Row],[Age]]&lt;30, "20-29", Employees[[#This Row],[Age]]&lt;40, "30-39", Employees[[#This Row],[Age]]&lt;50, "40-49", "TRUE", "50+")</f>
        <v>20-29</v>
      </c>
    </row>
    <row r="799" spans="1:28">
      <c r="A799" t="s">
        <v>2398</v>
      </c>
      <c r="B799" t="s">
        <v>2399</v>
      </c>
      <c r="C799" t="s">
        <v>2400</v>
      </c>
      <c r="D799" t="s">
        <v>26</v>
      </c>
      <c r="E799">
        <v>24</v>
      </c>
      <c r="F799" t="s">
        <v>27</v>
      </c>
      <c r="G799" t="s">
        <v>54</v>
      </c>
      <c r="H799">
        <v>21</v>
      </c>
      <c r="I799" t="s">
        <v>39</v>
      </c>
      <c r="J799" t="s">
        <v>66</v>
      </c>
      <c r="K799">
        <v>3</v>
      </c>
      <c r="L799" t="s">
        <v>72</v>
      </c>
      <c r="M799" t="s">
        <v>85</v>
      </c>
      <c r="N799" t="s">
        <v>33</v>
      </c>
      <c r="O799">
        <v>36862</v>
      </c>
      <c r="P799">
        <v>1</v>
      </c>
      <c r="Q799" t="s">
        <v>41</v>
      </c>
      <c r="R799" s="1">
        <v>43188</v>
      </c>
      <c r="S799" t="s">
        <v>34</v>
      </c>
      <c r="T799">
        <v>4</v>
      </c>
      <c r="U799">
        <v>2</v>
      </c>
      <c r="V799">
        <v>4</v>
      </c>
      <c r="W799">
        <v>0</v>
      </c>
      <c r="X799" t="s">
        <v>11022</v>
      </c>
      <c r="Y799" t="s">
        <v>11022</v>
      </c>
      <c r="Z799" t="str">
        <f>_xlfn.XLOOKUP(Employees[[#This Row],[Education]], EdLevel[EducationLevelID], EdLevel[EducationLevel])</f>
        <v xml:space="preserve">Bachelors </v>
      </c>
      <c r="AA799">
        <f>IF(Employees[[#This Row],[Attrition]] = "Yes", 1, 0)</f>
        <v>0</v>
      </c>
      <c r="AB799" t="str" cm="1">
        <f t="array" ref="AB799">_xlfn.IFS(Employees[[#This Row],[Age]]&lt;30, "20-29", Employees[[#This Row],[Age]]&lt;40, "30-39", Employees[[#This Row],[Age]]&lt;50, "40-49", "TRUE", "50+")</f>
        <v>20-29</v>
      </c>
    </row>
    <row r="800" spans="1:28">
      <c r="A800" t="s">
        <v>2401</v>
      </c>
      <c r="B800" t="s">
        <v>315</v>
      </c>
      <c r="C800" t="s">
        <v>2402</v>
      </c>
      <c r="D800" t="s">
        <v>26</v>
      </c>
      <c r="E800">
        <v>23</v>
      </c>
      <c r="F800" t="s">
        <v>84</v>
      </c>
      <c r="G800" t="s">
        <v>54</v>
      </c>
      <c r="H800">
        <v>16</v>
      </c>
      <c r="I800" t="s">
        <v>39</v>
      </c>
      <c r="J800" t="s">
        <v>66</v>
      </c>
      <c r="K800">
        <v>4</v>
      </c>
      <c r="L800" t="s">
        <v>55</v>
      </c>
      <c r="M800" t="s">
        <v>93</v>
      </c>
      <c r="N800" t="s">
        <v>33</v>
      </c>
      <c r="O800">
        <v>67558</v>
      </c>
      <c r="P800">
        <v>1</v>
      </c>
      <c r="Q800" t="s">
        <v>34</v>
      </c>
      <c r="R800" s="1">
        <v>43190</v>
      </c>
      <c r="S800" t="s">
        <v>34</v>
      </c>
      <c r="T800">
        <v>4</v>
      </c>
      <c r="U800">
        <v>1</v>
      </c>
      <c r="V800">
        <v>1</v>
      </c>
      <c r="W800">
        <v>1</v>
      </c>
      <c r="X800" t="s">
        <v>11023</v>
      </c>
      <c r="Y800" t="s">
        <v>11023</v>
      </c>
      <c r="Z800" t="str">
        <f>_xlfn.XLOOKUP(Employees[[#This Row],[Education]], EdLevel[EducationLevelID], EdLevel[EducationLevel])</f>
        <v xml:space="preserve">Masters </v>
      </c>
      <c r="AA800">
        <f>IF(Employees[[#This Row],[Attrition]] = "Yes", 1, 0)</f>
        <v>0</v>
      </c>
      <c r="AB800" t="str" cm="1">
        <f t="array" ref="AB800">_xlfn.IFS(Employees[[#This Row],[Age]]&lt;30, "20-29", Employees[[#This Row],[Age]]&lt;40, "30-39", Employees[[#This Row],[Age]]&lt;50, "40-49", "TRUE", "50+")</f>
        <v>20-29</v>
      </c>
    </row>
    <row r="801" spans="1:28">
      <c r="A801" t="s">
        <v>2403</v>
      </c>
      <c r="B801" t="s">
        <v>2404</v>
      </c>
      <c r="C801" t="s">
        <v>2405</v>
      </c>
      <c r="D801" t="s">
        <v>53</v>
      </c>
      <c r="E801">
        <v>25</v>
      </c>
      <c r="F801" t="s">
        <v>70</v>
      </c>
      <c r="G801" t="s">
        <v>54</v>
      </c>
      <c r="H801">
        <v>29</v>
      </c>
      <c r="I801" t="s">
        <v>39</v>
      </c>
      <c r="J801" t="s">
        <v>30</v>
      </c>
      <c r="K801">
        <v>4</v>
      </c>
      <c r="L801" t="s">
        <v>55</v>
      </c>
      <c r="M801" t="s">
        <v>93</v>
      </c>
      <c r="N801" t="s">
        <v>40</v>
      </c>
      <c r="O801">
        <v>105411</v>
      </c>
      <c r="P801">
        <v>0</v>
      </c>
      <c r="Q801" t="s">
        <v>34</v>
      </c>
      <c r="R801" s="1">
        <v>43191</v>
      </c>
      <c r="S801" t="s">
        <v>34</v>
      </c>
      <c r="T801">
        <v>4</v>
      </c>
      <c r="U801">
        <v>2</v>
      </c>
      <c r="V801">
        <v>4</v>
      </c>
      <c r="W801">
        <v>2</v>
      </c>
      <c r="X801" t="s">
        <v>11023</v>
      </c>
      <c r="Y801" t="s">
        <v>11023</v>
      </c>
      <c r="Z801" t="str">
        <f>_xlfn.XLOOKUP(Employees[[#This Row],[Education]], EdLevel[EducationLevelID], EdLevel[EducationLevel])</f>
        <v xml:space="preserve">Masters </v>
      </c>
      <c r="AA801">
        <f>IF(Employees[[#This Row],[Attrition]] = "Yes", 1, 0)</f>
        <v>0</v>
      </c>
      <c r="AB801" t="str" cm="1">
        <f t="array" ref="AB801">_xlfn.IFS(Employees[[#This Row],[Age]]&lt;30, "20-29", Employees[[#This Row],[Age]]&lt;40, "30-39", Employees[[#This Row],[Age]]&lt;50, "40-49", "TRUE", "50+")</f>
        <v>20-29</v>
      </c>
    </row>
    <row r="802" spans="1:28">
      <c r="A802" t="s">
        <v>2406</v>
      </c>
      <c r="B802" t="s">
        <v>2407</v>
      </c>
      <c r="C802" t="s">
        <v>2408</v>
      </c>
      <c r="D802" t="s">
        <v>26</v>
      </c>
      <c r="E802">
        <v>23</v>
      </c>
      <c r="F802" t="s">
        <v>27</v>
      </c>
      <c r="G802" t="s">
        <v>28</v>
      </c>
      <c r="H802">
        <v>5</v>
      </c>
      <c r="I802" t="s">
        <v>29</v>
      </c>
      <c r="J802" t="s">
        <v>30</v>
      </c>
      <c r="K802">
        <v>3</v>
      </c>
      <c r="L802" t="s">
        <v>47</v>
      </c>
      <c r="M802" t="s">
        <v>32</v>
      </c>
      <c r="N802" t="s">
        <v>49</v>
      </c>
      <c r="O802">
        <v>69678</v>
      </c>
      <c r="P802">
        <v>1</v>
      </c>
      <c r="Q802" t="s">
        <v>34</v>
      </c>
      <c r="R802" s="1">
        <v>43194</v>
      </c>
      <c r="S802" t="s">
        <v>34</v>
      </c>
      <c r="T802">
        <v>4</v>
      </c>
      <c r="U802">
        <v>0</v>
      </c>
      <c r="V802">
        <v>0</v>
      </c>
      <c r="W802">
        <v>2</v>
      </c>
      <c r="X802" t="s">
        <v>11022</v>
      </c>
      <c r="Y802" t="s">
        <v>11022</v>
      </c>
      <c r="Z802" t="str">
        <f>_xlfn.XLOOKUP(Employees[[#This Row],[Education]], EdLevel[EducationLevelID], EdLevel[EducationLevel])</f>
        <v xml:space="preserve">Bachelors </v>
      </c>
      <c r="AA802">
        <f>IF(Employees[[#This Row],[Attrition]] = "Yes", 1, 0)</f>
        <v>0</v>
      </c>
      <c r="AB802" t="str" cm="1">
        <f t="array" ref="AB802">_xlfn.IFS(Employees[[#This Row],[Age]]&lt;30, "20-29", Employees[[#This Row],[Age]]&lt;40, "30-39", Employees[[#This Row],[Age]]&lt;50, "40-49", "TRUE", "50+")</f>
        <v>20-29</v>
      </c>
    </row>
    <row r="803" spans="1:28">
      <c r="A803" t="s">
        <v>2409</v>
      </c>
      <c r="B803" t="s">
        <v>2410</v>
      </c>
      <c r="C803" t="s">
        <v>2411</v>
      </c>
      <c r="D803" t="s">
        <v>26</v>
      </c>
      <c r="E803">
        <v>23</v>
      </c>
      <c r="F803" t="s">
        <v>27</v>
      </c>
      <c r="G803" t="s">
        <v>28</v>
      </c>
      <c r="H803">
        <v>8</v>
      </c>
      <c r="I803" t="s">
        <v>65</v>
      </c>
      <c r="J803" t="s">
        <v>66</v>
      </c>
      <c r="K803">
        <v>4</v>
      </c>
      <c r="L803" t="s">
        <v>121</v>
      </c>
      <c r="M803" t="s">
        <v>32</v>
      </c>
      <c r="N803" t="s">
        <v>49</v>
      </c>
      <c r="O803">
        <v>78937</v>
      </c>
      <c r="P803">
        <v>1</v>
      </c>
      <c r="Q803" t="s">
        <v>34</v>
      </c>
      <c r="R803" s="1">
        <v>43200</v>
      </c>
      <c r="S803" t="s">
        <v>34</v>
      </c>
      <c r="T803">
        <v>4</v>
      </c>
      <c r="U803">
        <v>0</v>
      </c>
      <c r="V803">
        <v>3</v>
      </c>
      <c r="W803">
        <v>0</v>
      </c>
      <c r="X803" t="s">
        <v>11023</v>
      </c>
      <c r="Y803" t="s">
        <v>11023</v>
      </c>
      <c r="Z803" t="str">
        <f>_xlfn.XLOOKUP(Employees[[#This Row],[Education]], EdLevel[EducationLevelID], EdLevel[EducationLevel])</f>
        <v xml:space="preserve">Masters </v>
      </c>
      <c r="AA803">
        <f>IF(Employees[[#This Row],[Attrition]] = "Yes", 1, 0)</f>
        <v>0</v>
      </c>
      <c r="AB803" t="str" cm="1">
        <f t="array" ref="AB803">_xlfn.IFS(Employees[[#This Row],[Age]]&lt;30, "20-29", Employees[[#This Row],[Age]]&lt;40, "30-39", Employees[[#This Row],[Age]]&lt;50, "40-49", "TRUE", "50+")</f>
        <v>20-29</v>
      </c>
    </row>
    <row r="804" spans="1:28">
      <c r="A804" t="s">
        <v>2412</v>
      </c>
      <c r="B804" t="s">
        <v>2413</v>
      </c>
      <c r="C804" t="s">
        <v>2414</v>
      </c>
      <c r="D804" t="s">
        <v>53</v>
      </c>
      <c r="E804">
        <v>25</v>
      </c>
      <c r="F804" t="s">
        <v>84</v>
      </c>
      <c r="G804" t="s">
        <v>54</v>
      </c>
      <c r="H804">
        <v>34</v>
      </c>
      <c r="I804" t="s">
        <v>65</v>
      </c>
      <c r="J804" t="s">
        <v>71</v>
      </c>
      <c r="K804">
        <v>1</v>
      </c>
      <c r="L804" t="s">
        <v>55</v>
      </c>
      <c r="M804" t="s">
        <v>56</v>
      </c>
      <c r="N804" t="s">
        <v>49</v>
      </c>
      <c r="O804">
        <v>170803</v>
      </c>
      <c r="P804">
        <v>0</v>
      </c>
      <c r="Q804" t="s">
        <v>34</v>
      </c>
      <c r="R804" s="1">
        <v>43210</v>
      </c>
      <c r="S804" t="s">
        <v>34</v>
      </c>
      <c r="T804">
        <v>4</v>
      </c>
      <c r="U804">
        <v>2</v>
      </c>
      <c r="V804">
        <v>2</v>
      </c>
      <c r="W804">
        <v>3</v>
      </c>
      <c r="X804" t="s">
        <v>11020</v>
      </c>
      <c r="Y804" t="s">
        <v>11020</v>
      </c>
      <c r="Z804" t="str">
        <f>_xlfn.XLOOKUP(Employees[[#This Row],[Education]], EdLevel[EducationLevelID], EdLevel[EducationLevel])</f>
        <v>No Formal Qualifications</v>
      </c>
      <c r="AA804">
        <f>IF(Employees[[#This Row],[Attrition]] = "Yes", 1, 0)</f>
        <v>0</v>
      </c>
      <c r="AB804" t="str" cm="1">
        <f t="array" ref="AB804">_xlfn.IFS(Employees[[#This Row],[Age]]&lt;30, "20-29", Employees[[#This Row],[Age]]&lt;40, "30-39", Employees[[#This Row],[Age]]&lt;50, "40-49", "TRUE", "50+")</f>
        <v>20-29</v>
      </c>
    </row>
    <row r="805" spans="1:28">
      <c r="A805" t="s">
        <v>2415</v>
      </c>
      <c r="B805" t="s">
        <v>2416</v>
      </c>
      <c r="C805" t="s">
        <v>2417</v>
      </c>
      <c r="D805" t="s">
        <v>38</v>
      </c>
      <c r="E805">
        <v>25</v>
      </c>
      <c r="F805" t="s">
        <v>27</v>
      </c>
      <c r="G805" t="s">
        <v>28</v>
      </c>
      <c r="H805">
        <v>44</v>
      </c>
      <c r="I805" t="s">
        <v>39</v>
      </c>
      <c r="J805" t="s">
        <v>30</v>
      </c>
      <c r="K805">
        <v>1</v>
      </c>
      <c r="L805" t="s">
        <v>60</v>
      </c>
      <c r="M805" t="s">
        <v>150</v>
      </c>
      <c r="N805" t="s">
        <v>40</v>
      </c>
      <c r="O805">
        <v>37461</v>
      </c>
      <c r="P805">
        <v>0</v>
      </c>
      <c r="Q805" t="s">
        <v>34</v>
      </c>
      <c r="R805" s="1">
        <v>43213</v>
      </c>
      <c r="S805" t="s">
        <v>34</v>
      </c>
      <c r="T805">
        <v>4</v>
      </c>
      <c r="U805">
        <v>3</v>
      </c>
      <c r="V805">
        <v>4</v>
      </c>
      <c r="W805">
        <v>3</v>
      </c>
      <c r="X805" t="s">
        <v>11020</v>
      </c>
      <c r="Y805" t="s">
        <v>11020</v>
      </c>
      <c r="Z805" t="str">
        <f>_xlfn.XLOOKUP(Employees[[#This Row],[Education]], EdLevel[EducationLevelID], EdLevel[EducationLevel])</f>
        <v>No Formal Qualifications</v>
      </c>
      <c r="AA805">
        <f>IF(Employees[[#This Row],[Attrition]] = "Yes", 1, 0)</f>
        <v>0</v>
      </c>
      <c r="AB805" t="str" cm="1">
        <f t="array" ref="AB805">_xlfn.IFS(Employees[[#This Row],[Age]]&lt;30, "20-29", Employees[[#This Row],[Age]]&lt;40, "30-39", Employees[[#This Row],[Age]]&lt;50, "40-49", "TRUE", "50+")</f>
        <v>20-29</v>
      </c>
    </row>
    <row r="806" spans="1:28">
      <c r="A806" t="s">
        <v>2418</v>
      </c>
      <c r="B806" t="s">
        <v>2419</v>
      </c>
      <c r="C806" t="s">
        <v>2420</v>
      </c>
      <c r="D806" t="s">
        <v>26</v>
      </c>
      <c r="E806">
        <v>39</v>
      </c>
      <c r="F806" t="s">
        <v>84</v>
      </c>
      <c r="G806" t="s">
        <v>54</v>
      </c>
      <c r="H806">
        <v>25</v>
      </c>
      <c r="I806" t="s">
        <v>39</v>
      </c>
      <c r="J806" t="s">
        <v>30</v>
      </c>
      <c r="K806">
        <v>4</v>
      </c>
      <c r="L806" t="s">
        <v>55</v>
      </c>
      <c r="M806" t="s">
        <v>56</v>
      </c>
      <c r="N806" t="s">
        <v>40</v>
      </c>
      <c r="O806">
        <v>300594</v>
      </c>
      <c r="P806">
        <v>0</v>
      </c>
      <c r="Q806" t="s">
        <v>41</v>
      </c>
      <c r="R806" s="1">
        <v>43214</v>
      </c>
      <c r="S806" t="s">
        <v>34</v>
      </c>
      <c r="T806">
        <v>4</v>
      </c>
      <c r="U806">
        <v>1</v>
      </c>
      <c r="V806">
        <v>4</v>
      </c>
      <c r="W806">
        <v>2</v>
      </c>
      <c r="X806" t="s">
        <v>11023</v>
      </c>
      <c r="Y806" t="s">
        <v>11023</v>
      </c>
      <c r="Z806" t="str">
        <f>_xlfn.XLOOKUP(Employees[[#This Row],[Education]], EdLevel[EducationLevelID], EdLevel[EducationLevel])</f>
        <v xml:space="preserve">Masters </v>
      </c>
      <c r="AA806">
        <f>IF(Employees[[#This Row],[Attrition]] = "Yes", 1, 0)</f>
        <v>0</v>
      </c>
      <c r="AB806" t="str" cm="1">
        <f t="array" ref="AB806">_xlfn.IFS(Employees[[#This Row],[Age]]&lt;30, "20-29", Employees[[#This Row],[Age]]&lt;40, "30-39", Employees[[#This Row],[Age]]&lt;50, "40-49", "TRUE", "50+")</f>
        <v>30-39</v>
      </c>
    </row>
    <row r="807" spans="1:28">
      <c r="A807" t="s">
        <v>2421</v>
      </c>
      <c r="B807" t="s">
        <v>2422</v>
      </c>
      <c r="C807" t="s">
        <v>2423</v>
      </c>
      <c r="D807" t="s">
        <v>26</v>
      </c>
      <c r="E807">
        <v>25</v>
      </c>
      <c r="F807" t="s">
        <v>27</v>
      </c>
      <c r="G807" t="s">
        <v>28</v>
      </c>
      <c r="H807">
        <v>28</v>
      </c>
      <c r="I807" t="s">
        <v>39</v>
      </c>
      <c r="J807" t="s">
        <v>30</v>
      </c>
      <c r="K807">
        <v>4</v>
      </c>
      <c r="L807" t="s">
        <v>31</v>
      </c>
      <c r="M807" t="s">
        <v>32</v>
      </c>
      <c r="N807" t="s">
        <v>40</v>
      </c>
      <c r="O807">
        <v>167051</v>
      </c>
      <c r="P807">
        <v>0</v>
      </c>
      <c r="Q807" t="s">
        <v>34</v>
      </c>
      <c r="R807" s="1">
        <v>43214</v>
      </c>
      <c r="S807" t="s">
        <v>34</v>
      </c>
      <c r="T807">
        <v>4</v>
      </c>
      <c r="U807">
        <v>3</v>
      </c>
      <c r="V807">
        <v>4</v>
      </c>
      <c r="W807">
        <v>1</v>
      </c>
      <c r="X807" t="s">
        <v>11023</v>
      </c>
      <c r="Y807" t="s">
        <v>11023</v>
      </c>
      <c r="Z807" t="str">
        <f>_xlfn.XLOOKUP(Employees[[#This Row],[Education]], EdLevel[EducationLevelID], EdLevel[EducationLevel])</f>
        <v xml:space="preserve">Masters </v>
      </c>
      <c r="AA807">
        <f>IF(Employees[[#This Row],[Attrition]] = "Yes", 1, 0)</f>
        <v>0</v>
      </c>
      <c r="AB807" t="str" cm="1">
        <f t="array" ref="AB807">_xlfn.IFS(Employees[[#This Row],[Age]]&lt;30, "20-29", Employees[[#This Row],[Age]]&lt;40, "30-39", Employees[[#This Row],[Age]]&lt;50, "40-49", "TRUE", "50+")</f>
        <v>20-29</v>
      </c>
    </row>
    <row r="808" spans="1:28">
      <c r="A808" t="s">
        <v>2424</v>
      </c>
      <c r="B808" t="s">
        <v>2425</v>
      </c>
      <c r="C808" t="s">
        <v>2426</v>
      </c>
      <c r="D808" t="s">
        <v>26</v>
      </c>
      <c r="E808">
        <v>23</v>
      </c>
      <c r="F808" t="s">
        <v>27</v>
      </c>
      <c r="G808" t="s">
        <v>54</v>
      </c>
      <c r="H808">
        <v>5</v>
      </c>
      <c r="I808" t="s">
        <v>65</v>
      </c>
      <c r="J808" t="s">
        <v>30</v>
      </c>
      <c r="K808">
        <v>3</v>
      </c>
      <c r="L808" t="s">
        <v>72</v>
      </c>
      <c r="M808" t="s">
        <v>101</v>
      </c>
      <c r="N808" t="s">
        <v>33</v>
      </c>
      <c r="O808">
        <v>23995</v>
      </c>
      <c r="P808">
        <v>1</v>
      </c>
      <c r="Q808" t="s">
        <v>34</v>
      </c>
      <c r="R808" s="1">
        <v>43217</v>
      </c>
      <c r="S808" t="s">
        <v>34</v>
      </c>
      <c r="T808">
        <v>4</v>
      </c>
      <c r="U808">
        <v>4</v>
      </c>
      <c r="V808">
        <v>4</v>
      </c>
      <c r="W808">
        <v>0</v>
      </c>
      <c r="X808" t="s">
        <v>11022</v>
      </c>
      <c r="Y808" t="s">
        <v>11022</v>
      </c>
      <c r="Z808" t="str">
        <f>_xlfn.XLOOKUP(Employees[[#This Row],[Education]], EdLevel[EducationLevelID], EdLevel[EducationLevel])</f>
        <v xml:space="preserve">Bachelors </v>
      </c>
      <c r="AA808">
        <f>IF(Employees[[#This Row],[Attrition]] = "Yes", 1, 0)</f>
        <v>0</v>
      </c>
      <c r="AB808" t="str" cm="1">
        <f t="array" ref="AB808">_xlfn.IFS(Employees[[#This Row],[Age]]&lt;30, "20-29", Employees[[#This Row],[Age]]&lt;40, "30-39", Employees[[#This Row],[Age]]&lt;50, "40-49", "TRUE", "50+")</f>
        <v>20-29</v>
      </c>
    </row>
    <row r="809" spans="1:28">
      <c r="A809" t="s">
        <v>2427</v>
      </c>
      <c r="B809" t="s">
        <v>288</v>
      </c>
      <c r="C809" t="s">
        <v>2428</v>
      </c>
      <c r="D809" t="s">
        <v>26</v>
      </c>
      <c r="E809">
        <v>24</v>
      </c>
      <c r="F809" t="s">
        <v>27</v>
      </c>
      <c r="G809" t="s">
        <v>28</v>
      </c>
      <c r="H809">
        <v>13</v>
      </c>
      <c r="I809" t="s">
        <v>39</v>
      </c>
      <c r="J809" t="s">
        <v>71</v>
      </c>
      <c r="K809">
        <v>3</v>
      </c>
      <c r="L809" t="s">
        <v>121</v>
      </c>
      <c r="M809" t="s">
        <v>150</v>
      </c>
      <c r="N809" t="s">
        <v>40</v>
      </c>
      <c r="O809">
        <v>24095</v>
      </c>
      <c r="P809">
        <v>0</v>
      </c>
      <c r="Q809" t="s">
        <v>34</v>
      </c>
      <c r="R809" s="1">
        <v>43218</v>
      </c>
      <c r="S809" t="s">
        <v>41</v>
      </c>
      <c r="T809">
        <v>2</v>
      </c>
      <c r="U809">
        <v>2</v>
      </c>
      <c r="V809">
        <v>2</v>
      </c>
      <c r="W809">
        <v>1</v>
      </c>
      <c r="X809" t="s">
        <v>11022</v>
      </c>
      <c r="Y809" t="s">
        <v>11022</v>
      </c>
      <c r="Z809" t="str">
        <f>_xlfn.XLOOKUP(Employees[[#This Row],[Education]], EdLevel[EducationLevelID], EdLevel[EducationLevel])</f>
        <v xml:space="preserve">Bachelors </v>
      </c>
      <c r="AA809">
        <f>IF(Employees[[#This Row],[Attrition]] = "Yes", 1, 0)</f>
        <v>1</v>
      </c>
      <c r="AB809" t="str" cm="1">
        <f t="array" ref="AB809">_xlfn.IFS(Employees[[#This Row],[Age]]&lt;30, "20-29", Employees[[#This Row],[Age]]&lt;40, "30-39", Employees[[#This Row],[Age]]&lt;50, "40-49", "TRUE", "50+")</f>
        <v>20-29</v>
      </c>
    </row>
    <row r="810" spans="1:28">
      <c r="A810" t="s">
        <v>2429</v>
      </c>
      <c r="B810" t="s">
        <v>2430</v>
      </c>
      <c r="C810" t="s">
        <v>2431</v>
      </c>
      <c r="D810" t="s">
        <v>26</v>
      </c>
      <c r="E810">
        <v>25</v>
      </c>
      <c r="F810" t="s">
        <v>27</v>
      </c>
      <c r="G810" t="s">
        <v>54</v>
      </c>
      <c r="H810">
        <v>26</v>
      </c>
      <c r="I810" t="s">
        <v>65</v>
      </c>
      <c r="J810" t="s">
        <v>30</v>
      </c>
      <c r="K810">
        <v>4</v>
      </c>
      <c r="L810" t="s">
        <v>55</v>
      </c>
      <c r="M810" t="s">
        <v>182</v>
      </c>
      <c r="N810" t="s">
        <v>33</v>
      </c>
      <c r="O810">
        <v>174400</v>
      </c>
      <c r="P810">
        <v>1</v>
      </c>
      <c r="Q810" t="s">
        <v>34</v>
      </c>
      <c r="R810" s="1">
        <v>43218</v>
      </c>
      <c r="S810" t="s">
        <v>34</v>
      </c>
      <c r="T810">
        <v>4</v>
      </c>
      <c r="U810">
        <v>0</v>
      </c>
      <c r="V810">
        <v>2</v>
      </c>
      <c r="W810">
        <v>4</v>
      </c>
      <c r="X810" t="s">
        <v>11023</v>
      </c>
      <c r="Y810" t="s">
        <v>11023</v>
      </c>
      <c r="Z810" t="str">
        <f>_xlfn.XLOOKUP(Employees[[#This Row],[Education]], EdLevel[EducationLevelID], EdLevel[EducationLevel])</f>
        <v xml:space="preserve">Masters </v>
      </c>
      <c r="AA810">
        <f>IF(Employees[[#This Row],[Attrition]] = "Yes", 1, 0)</f>
        <v>0</v>
      </c>
      <c r="AB810" t="str" cm="1">
        <f t="array" ref="AB810">_xlfn.IFS(Employees[[#This Row],[Age]]&lt;30, "20-29", Employees[[#This Row],[Age]]&lt;40, "30-39", Employees[[#This Row],[Age]]&lt;50, "40-49", "TRUE", "50+")</f>
        <v>20-29</v>
      </c>
    </row>
    <row r="811" spans="1:28">
      <c r="A811" t="s">
        <v>2432</v>
      </c>
      <c r="B811" t="s">
        <v>2433</v>
      </c>
      <c r="C811" t="s">
        <v>2434</v>
      </c>
      <c r="D811" t="s">
        <v>26</v>
      </c>
      <c r="E811">
        <v>25</v>
      </c>
      <c r="F811" t="s">
        <v>27</v>
      </c>
      <c r="G811" t="s">
        <v>45</v>
      </c>
      <c r="H811">
        <v>31</v>
      </c>
      <c r="I811" t="s">
        <v>39</v>
      </c>
      <c r="J811" t="s">
        <v>66</v>
      </c>
      <c r="K811">
        <v>3</v>
      </c>
      <c r="L811" t="s">
        <v>47</v>
      </c>
      <c r="M811" t="s">
        <v>207</v>
      </c>
      <c r="N811" t="s">
        <v>49</v>
      </c>
      <c r="O811">
        <v>48797</v>
      </c>
      <c r="P811">
        <v>2</v>
      </c>
      <c r="Q811" t="s">
        <v>34</v>
      </c>
      <c r="R811" s="1">
        <v>43218</v>
      </c>
      <c r="S811" t="s">
        <v>34</v>
      </c>
      <c r="T811">
        <v>4</v>
      </c>
      <c r="U811">
        <v>2</v>
      </c>
      <c r="V811">
        <v>4</v>
      </c>
      <c r="W811">
        <v>4</v>
      </c>
      <c r="X811" t="s">
        <v>11022</v>
      </c>
      <c r="Y811" t="s">
        <v>11022</v>
      </c>
      <c r="Z811" t="str">
        <f>_xlfn.XLOOKUP(Employees[[#This Row],[Education]], EdLevel[EducationLevelID], EdLevel[EducationLevel])</f>
        <v xml:space="preserve">Bachelors </v>
      </c>
      <c r="AA811">
        <f>IF(Employees[[#This Row],[Attrition]] = "Yes", 1, 0)</f>
        <v>0</v>
      </c>
      <c r="AB811" t="str" cm="1">
        <f t="array" ref="AB811">_xlfn.IFS(Employees[[#This Row],[Age]]&lt;30, "20-29", Employees[[#This Row],[Age]]&lt;40, "30-39", Employees[[#This Row],[Age]]&lt;50, "40-49", "TRUE", "50+")</f>
        <v>20-29</v>
      </c>
    </row>
    <row r="812" spans="1:28">
      <c r="A812" t="s">
        <v>2435</v>
      </c>
      <c r="B812" t="s">
        <v>2436</v>
      </c>
      <c r="C812" t="s">
        <v>2437</v>
      </c>
      <c r="D812" t="s">
        <v>26</v>
      </c>
      <c r="E812">
        <v>22</v>
      </c>
      <c r="F812" t="s">
        <v>84</v>
      </c>
      <c r="G812" t="s">
        <v>54</v>
      </c>
      <c r="H812">
        <v>21</v>
      </c>
      <c r="I812" t="s">
        <v>39</v>
      </c>
      <c r="J812" t="s">
        <v>66</v>
      </c>
      <c r="K812">
        <v>1</v>
      </c>
      <c r="L812" t="s">
        <v>72</v>
      </c>
      <c r="M812" t="s">
        <v>85</v>
      </c>
      <c r="N812" t="s">
        <v>49</v>
      </c>
      <c r="O812">
        <v>34193</v>
      </c>
      <c r="P812">
        <v>0</v>
      </c>
      <c r="Q812" t="s">
        <v>34</v>
      </c>
      <c r="R812" s="1">
        <v>43219</v>
      </c>
      <c r="S812" t="s">
        <v>34</v>
      </c>
      <c r="T812">
        <v>4</v>
      </c>
      <c r="U812">
        <v>2</v>
      </c>
      <c r="V812">
        <v>4</v>
      </c>
      <c r="W812">
        <v>3</v>
      </c>
      <c r="X812" t="s">
        <v>11020</v>
      </c>
      <c r="Y812" t="s">
        <v>11020</v>
      </c>
      <c r="Z812" t="str">
        <f>_xlfn.XLOOKUP(Employees[[#This Row],[Education]], EdLevel[EducationLevelID], EdLevel[EducationLevel])</f>
        <v>No Formal Qualifications</v>
      </c>
      <c r="AA812">
        <f>IF(Employees[[#This Row],[Attrition]] = "Yes", 1, 0)</f>
        <v>0</v>
      </c>
      <c r="AB812" t="str" cm="1">
        <f t="array" ref="AB812">_xlfn.IFS(Employees[[#This Row],[Age]]&lt;30, "20-29", Employees[[#This Row],[Age]]&lt;40, "30-39", Employees[[#This Row],[Age]]&lt;50, "40-49", "TRUE", "50+")</f>
        <v>20-29</v>
      </c>
    </row>
    <row r="813" spans="1:28">
      <c r="A813" t="s">
        <v>2438</v>
      </c>
      <c r="B813" t="s">
        <v>2439</v>
      </c>
      <c r="C813" t="s">
        <v>2440</v>
      </c>
      <c r="D813" t="s">
        <v>26</v>
      </c>
      <c r="E813">
        <v>25</v>
      </c>
      <c r="F813" t="s">
        <v>27</v>
      </c>
      <c r="G813" t="s">
        <v>54</v>
      </c>
      <c r="H813">
        <v>1</v>
      </c>
      <c r="I813" t="s">
        <v>29</v>
      </c>
      <c r="J813" t="s">
        <v>76</v>
      </c>
      <c r="K813">
        <v>1</v>
      </c>
      <c r="L813" t="s">
        <v>72</v>
      </c>
      <c r="M813" t="s">
        <v>101</v>
      </c>
      <c r="N813" t="s">
        <v>49</v>
      </c>
      <c r="O813">
        <v>48570</v>
      </c>
      <c r="P813">
        <v>1</v>
      </c>
      <c r="Q813" t="s">
        <v>41</v>
      </c>
      <c r="R813" s="1">
        <v>43223</v>
      </c>
      <c r="S813" t="s">
        <v>34</v>
      </c>
      <c r="T813">
        <v>4</v>
      </c>
      <c r="U813">
        <v>4</v>
      </c>
      <c r="V813">
        <v>4</v>
      </c>
      <c r="W813">
        <v>1</v>
      </c>
      <c r="X813" t="s">
        <v>11020</v>
      </c>
      <c r="Y813" t="s">
        <v>11020</v>
      </c>
      <c r="Z813" t="str">
        <f>_xlfn.XLOOKUP(Employees[[#This Row],[Education]], EdLevel[EducationLevelID], EdLevel[EducationLevel])</f>
        <v>No Formal Qualifications</v>
      </c>
      <c r="AA813">
        <f>IF(Employees[[#This Row],[Attrition]] = "Yes", 1, 0)</f>
        <v>0</v>
      </c>
      <c r="AB813" t="str" cm="1">
        <f t="array" ref="AB813">_xlfn.IFS(Employees[[#This Row],[Age]]&lt;30, "20-29", Employees[[#This Row],[Age]]&lt;40, "30-39", Employees[[#This Row],[Age]]&lt;50, "40-49", "TRUE", "50+")</f>
        <v>20-29</v>
      </c>
    </row>
    <row r="814" spans="1:28">
      <c r="A814" t="s">
        <v>2441</v>
      </c>
      <c r="B814" t="s">
        <v>2442</v>
      </c>
      <c r="C814" t="s">
        <v>2443</v>
      </c>
      <c r="D814" t="s">
        <v>38</v>
      </c>
      <c r="E814">
        <v>28</v>
      </c>
      <c r="F814" t="s">
        <v>70</v>
      </c>
      <c r="G814" t="s">
        <v>54</v>
      </c>
      <c r="H814">
        <v>24</v>
      </c>
      <c r="I814" t="s">
        <v>65</v>
      </c>
      <c r="J814" t="s">
        <v>30</v>
      </c>
      <c r="K814">
        <v>4</v>
      </c>
      <c r="L814" t="s">
        <v>55</v>
      </c>
      <c r="M814" t="s">
        <v>93</v>
      </c>
      <c r="N814" t="s">
        <v>33</v>
      </c>
      <c r="O814">
        <v>193347</v>
      </c>
      <c r="P814">
        <v>2</v>
      </c>
      <c r="Q814" t="s">
        <v>41</v>
      </c>
      <c r="R814" s="1">
        <v>43229</v>
      </c>
      <c r="S814" t="s">
        <v>34</v>
      </c>
      <c r="T814">
        <v>4</v>
      </c>
      <c r="U814">
        <v>4</v>
      </c>
      <c r="V814">
        <v>4</v>
      </c>
      <c r="W814">
        <v>0</v>
      </c>
      <c r="X814" t="s">
        <v>11023</v>
      </c>
      <c r="Y814" t="s">
        <v>11023</v>
      </c>
      <c r="Z814" t="str">
        <f>_xlfn.XLOOKUP(Employees[[#This Row],[Education]], EdLevel[EducationLevelID], EdLevel[EducationLevel])</f>
        <v xml:space="preserve">Masters </v>
      </c>
      <c r="AA814">
        <f>IF(Employees[[#This Row],[Attrition]] = "Yes", 1, 0)</f>
        <v>0</v>
      </c>
      <c r="AB814" t="str" cm="1">
        <f t="array" ref="AB814">_xlfn.IFS(Employees[[#This Row],[Age]]&lt;30, "20-29", Employees[[#This Row],[Age]]&lt;40, "30-39", Employees[[#This Row],[Age]]&lt;50, "40-49", "TRUE", "50+")</f>
        <v>20-29</v>
      </c>
    </row>
    <row r="815" spans="1:28">
      <c r="A815" t="s">
        <v>2444</v>
      </c>
      <c r="B815" t="s">
        <v>2445</v>
      </c>
      <c r="C815" t="s">
        <v>2446</v>
      </c>
      <c r="D815" t="s">
        <v>26</v>
      </c>
      <c r="E815">
        <v>25</v>
      </c>
      <c r="F815" t="s">
        <v>27</v>
      </c>
      <c r="G815" t="s">
        <v>28</v>
      </c>
      <c r="H815">
        <v>30</v>
      </c>
      <c r="I815" t="s">
        <v>39</v>
      </c>
      <c r="J815" t="s">
        <v>66</v>
      </c>
      <c r="K815">
        <v>4</v>
      </c>
      <c r="L815" t="s">
        <v>31</v>
      </c>
      <c r="M815" t="s">
        <v>32</v>
      </c>
      <c r="N815" t="s">
        <v>33</v>
      </c>
      <c r="O815">
        <v>57742</v>
      </c>
      <c r="P815">
        <v>2</v>
      </c>
      <c r="Q815" t="s">
        <v>41</v>
      </c>
      <c r="R815" s="1">
        <v>43230</v>
      </c>
      <c r="S815" t="s">
        <v>34</v>
      </c>
      <c r="T815">
        <v>4</v>
      </c>
      <c r="U815">
        <v>3</v>
      </c>
      <c r="V815">
        <v>4</v>
      </c>
      <c r="W815">
        <v>1</v>
      </c>
      <c r="X815" t="s">
        <v>11023</v>
      </c>
      <c r="Y815" t="s">
        <v>11023</v>
      </c>
      <c r="Z815" t="str">
        <f>_xlfn.XLOOKUP(Employees[[#This Row],[Education]], EdLevel[EducationLevelID], EdLevel[EducationLevel])</f>
        <v xml:space="preserve">Masters </v>
      </c>
      <c r="AA815">
        <f>IF(Employees[[#This Row],[Attrition]] = "Yes", 1, 0)</f>
        <v>0</v>
      </c>
      <c r="AB815" t="str" cm="1">
        <f t="array" ref="AB815">_xlfn.IFS(Employees[[#This Row],[Age]]&lt;30, "20-29", Employees[[#This Row],[Age]]&lt;40, "30-39", Employees[[#This Row],[Age]]&lt;50, "40-49", "TRUE", "50+")</f>
        <v>20-29</v>
      </c>
    </row>
    <row r="816" spans="1:28">
      <c r="A816" t="s">
        <v>2447</v>
      </c>
      <c r="B816" t="s">
        <v>2448</v>
      </c>
      <c r="C816" t="s">
        <v>2449</v>
      </c>
      <c r="D816" t="s">
        <v>38</v>
      </c>
      <c r="E816">
        <v>25</v>
      </c>
      <c r="F816" t="s">
        <v>27</v>
      </c>
      <c r="G816" t="s">
        <v>54</v>
      </c>
      <c r="H816">
        <v>25</v>
      </c>
      <c r="I816" t="s">
        <v>39</v>
      </c>
      <c r="J816" t="s">
        <v>30</v>
      </c>
      <c r="K816">
        <v>3</v>
      </c>
      <c r="L816" t="s">
        <v>77</v>
      </c>
      <c r="M816" t="s">
        <v>182</v>
      </c>
      <c r="N816" t="s">
        <v>33</v>
      </c>
      <c r="O816">
        <v>303446</v>
      </c>
      <c r="P816">
        <v>1</v>
      </c>
      <c r="Q816" t="s">
        <v>34</v>
      </c>
      <c r="R816" s="1">
        <v>43231</v>
      </c>
      <c r="S816" t="s">
        <v>34</v>
      </c>
      <c r="T816">
        <v>4</v>
      </c>
      <c r="U816">
        <v>0</v>
      </c>
      <c r="V816">
        <v>3</v>
      </c>
      <c r="W816">
        <v>0</v>
      </c>
      <c r="X816" t="s">
        <v>11022</v>
      </c>
      <c r="Y816" t="s">
        <v>11022</v>
      </c>
      <c r="Z816" t="str">
        <f>_xlfn.XLOOKUP(Employees[[#This Row],[Education]], EdLevel[EducationLevelID], EdLevel[EducationLevel])</f>
        <v xml:space="preserve">Bachelors </v>
      </c>
      <c r="AA816">
        <f>IF(Employees[[#This Row],[Attrition]] = "Yes", 1, 0)</f>
        <v>0</v>
      </c>
      <c r="AB816" t="str" cm="1">
        <f t="array" ref="AB816">_xlfn.IFS(Employees[[#This Row],[Age]]&lt;30, "20-29", Employees[[#This Row],[Age]]&lt;40, "30-39", Employees[[#This Row],[Age]]&lt;50, "40-49", "TRUE", "50+")</f>
        <v>20-29</v>
      </c>
    </row>
    <row r="817" spans="1:28">
      <c r="A817" t="s">
        <v>2450</v>
      </c>
      <c r="B817" t="s">
        <v>2451</v>
      </c>
      <c r="C817" t="s">
        <v>2452</v>
      </c>
      <c r="D817" t="s">
        <v>26</v>
      </c>
      <c r="E817">
        <v>25</v>
      </c>
      <c r="F817" t="s">
        <v>70</v>
      </c>
      <c r="G817" t="s">
        <v>54</v>
      </c>
      <c r="H817">
        <v>11</v>
      </c>
      <c r="I817" t="s">
        <v>39</v>
      </c>
      <c r="J817" t="s">
        <v>71</v>
      </c>
      <c r="K817">
        <v>3</v>
      </c>
      <c r="L817" t="s">
        <v>55</v>
      </c>
      <c r="M817" t="s">
        <v>85</v>
      </c>
      <c r="N817" t="s">
        <v>40</v>
      </c>
      <c r="O817">
        <v>96779</v>
      </c>
      <c r="P817">
        <v>0</v>
      </c>
      <c r="Q817" t="s">
        <v>34</v>
      </c>
      <c r="R817" s="1">
        <v>43234</v>
      </c>
      <c r="S817" t="s">
        <v>34</v>
      </c>
      <c r="T817">
        <v>4</v>
      </c>
      <c r="U817">
        <v>0</v>
      </c>
      <c r="V817">
        <v>0</v>
      </c>
      <c r="W817">
        <v>3</v>
      </c>
      <c r="X817" t="s">
        <v>11022</v>
      </c>
      <c r="Y817" t="s">
        <v>11022</v>
      </c>
      <c r="Z817" t="str">
        <f>_xlfn.XLOOKUP(Employees[[#This Row],[Education]], EdLevel[EducationLevelID], EdLevel[EducationLevel])</f>
        <v xml:space="preserve">Bachelors </v>
      </c>
      <c r="AA817">
        <f>IF(Employees[[#This Row],[Attrition]] = "Yes", 1, 0)</f>
        <v>0</v>
      </c>
      <c r="AB817" t="str" cm="1">
        <f t="array" ref="AB817">_xlfn.IFS(Employees[[#This Row],[Age]]&lt;30, "20-29", Employees[[#This Row],[Age]]&lt;40, "30-39", Employees[[#This Row],[Age]]&lt;50, "40-49", "TRUE", "50+")</f>
        <v>20-29</v>
      </c>
    </row>
    <row r="818" spans="1:28">
      <c r="A818" t="s">
        <v>2453</v>
      </c>
      <c r="B818" t="s">
        <v>2454</v>
      </c>
      <c r="C818" t="s">
        <v>2455</v>
      </c>
      <c r="D818" t="s">
        <v>26</v>
      </c>
      <c r="E818">
        <v>25</v>
      </c>
      <c r="F818" t="s">
        <v>27</v>
      </c>
      <c r="G818" t="s">
        <v>28</v>
      </c>
      <c r="H818">
        <v>22</v>
      </c>
      <c r="I818" t="s">
        <v>65</v>
      </c>
      <c r="J818" t="s">
        <v>137</v>
      </c>
      <c r="K818">
        <v>1</v>
      </c>
      <c r="L818" t="s">
        <v>31</v>
      </c>
      <c r="M818" t="s">
        <v>150</v>
      </c>
      <c r="N818" t="s">
        <v>40</v>
      </c>
      <c r="O818">
        <v>32894</v>
      </c>
      <c r="P818">
        <v>0</v>
      </c>
      <c r="Q818" t="s">
        <v>34</v>
      </c>
      <c r="R818" s="1">
        <v>43234</v>
      </c>
      <c r="S818" t="s">
        <v>41</v>
      </c>
      <c r="T818">
        <v>2</v>
      </c>
      <c r="U818">
        <v>2</v>
      </c>
      <c r="V818">
        <v>2</v>
      </c>
      <c r="W818">
        <v>1</v>
      </c>
      <c r="X818" t="s">
        <v>11020</v>
      </c>
      <c r="Y818" t="s">
        <v>11020</v>
      </c>
      <c r="Z818" t="str">
        <f>_xlfn.XLOOKUP(Employees[[#This Row],[Education]], EdLevel[EducationLevelID], EdLevel[EducationLevel])</f>
        <v>No Formal Qualifications</v>
      </c>
      <c r="AA818">
        <f>IF(Employees[[#This Row],[Attrition]] = "Yes", 1, 0)</f>
        <v>1</v>
      </c>
      <c r="AB818" t="str" cm="1">
        <f t="array" ref="AB818">_xlfn.IFS(Employees[[#This Row],[Age]]&lt;30, "20-29", Employees[[#This Row],[Age]]&lt;40, "30-39", Employees[[#This Row],[Age]]&lt;50, "40-49", "TRUE", "50+")</f>
        <v>20-29</v>
      </c>
    </row>
    <row r="819" spans="1:28">
      <c r="A819" t="s">
        <v>2456</v>
      </c>
      <c r="B819" t="s">
        <v>2457</v>
      </c>
      <c r="C819" t="s">
        <v>2458</v>
      </c>
      <c r="D819" t="s">
        <v>38</v>
      </c>
      <c r="E819">
        <v>25</v>
      </c>
      <c r="F819" t="s">
        <v>27</v>
      </c>
      <c r="G819" t="s">
        <v>28</v>
      </c>
      <c r="H819">
        <v>29</v>
      </c>
      <c r="I819" t="s">
        <v>39</v>
      </c>
      <c r="J819" t="s">
        <v>30</v>
      </c>
      <c r="K819">
        <v>4</v>
      </c>
      <c r="L819" t="s">
        <v>31</v>
      </c>
      <c r="M819" t="s">
        <v>32</v>
      </c>
      <c r="N819" t="s">
        <v>49</v>
      </c>
      <c r="O819">
        <v>95643</v>
      </c>
      <c r="P819">
        <v>1</v>
      </c>
      <c r="Q819" t="s">
        <v>34</v>
      </c>
      <c r="R819" s="1">
        <v>43234</v>
      </c>
      <c r="S819" t="s">
        <v>34</v>
      </c>
      <c r="T819">
        <v>4</v>
      </c>
      <c r="U819">
        <v>0</v>
      </c>
      <c r="V819">
        <v>3</v>
      </c>
      <c r="W819">
        <v>1</v>
      </c>
      <c r="X819" t="s">
        <v>11023</v>
      </c>
      <c r="Y819" t="s">
        <v>11023</v>
      </c>
      <c r="Z819" t="str">
        <f>_xlfn.XLOOKUP(Employees[[#This Row],[Education]], EdLevel[EducationLevelID], EdLevel[EducationLevel])</f>
        <v xml:space="preserve">Masters </v>
      </c>
      <c r="AA819">
        <f>IF(Employees[[#This Row],[Attrition]] = "Yes", 1, 0)</f>
        <v>0</v>
      </c>
      <c r="AB819" t="str" cm="1">
        <f t="array" ref="AB819">_xlfn.IFS(Employees[[#This Row],[Age]]&lt;30, "20-29", Employees[[#This Row],[Age]]&lt;40, "30-39", Employees[[#This Row],[Age]]&lt;50, "40-49", "TRUE", "50+")</f>
        <v>20-29</v>
      </c>
    </row>
    <row r="820" spans="1:28">
      <c r="A820" t="s">
        <v>2459</v>
      </c>
      <c r="B820" t="s">
        <v>2460</v>
      </c>
      <c r="C820" t="s">
        <v>2461</v>
      </c>
      <c r="D820" t="s">
        <v>53</v>
      </c>
      <c r="E820">
        <v>24</v>
      </c>
      <c r="F820" t="s">
        <v>27</v>
      </c>
      <c r="G820" t="s">
        <v>54</v>
      </c>
      <c r="H820">
        <v>7</v>
      </c>
      <c r="I820" t="s">
        <v>39</v>
      </c>
      <c r="J820" t="s">
        <v>71</v>
      </c>
      <c r="K820">
        <v>4</v>
      </c>
      <c r="L820" t="s">
        <v>55</v>
      </c>
      <c r="M820" t="s">
        <v>105</v>
      </c>
      <c r="N820" t="s">
        <v>49</v>
      </c>
      <c r="O820">
        <v>44256</v>
      </c>
      <c r="P820">
        <v>2</v>
      </c>
      <c r="Q820" t="s">
        <v>34</v>
      </c>
      <c r="R820" s="1">
        <v>43238</v>
      </c>
      <c r="S820" t="s">
        <v>34</v>
      </c>
      <c r="T820">
        <v>4</v>
      </c>
      <c r="U820">
        <v>2</v>
      </c>
      <c r="V820">
        <v>4</v>
      </c>
      <c r="W820">
        <v>3</v>
      </c>
      <c r="X820" t="s">
        <v>11023</v>
      </c>
      <c r="Y820" t="s">
        <v>11023</v>
      </c>
      <c r="Z820" t="str">
        <f>_xlfn.XLOOKUP(Employees[[#This Row],[Education]], EdLevel[EducationLevelID], EdLevel[EducationLevel])</f>
        <v xml:space="preserve">Masters </v>
      </c>
      <c r="AA820">
        <f>IF(Employees[[#This Row],[Attrition]] = "Yes", 1, 0)</f>
        <v>0</v>
      </c>
      <c r="AB820" t="str" cm="1">
        <f t="array" ref="AB820">_xlfn.IFS(Employees[[#This Row],[Age]]&lt;30, "20-29", Employees[[#This Row],[Age]]&lt;40, "30-39", Employees[[#This Row],[Age]]&lt;50, "40-49", "TRUE", "50+")</f>
        <v>20-29</v>
      </c>
    </row>
    <row r="821" spans="1:28">
      <c r="A821" t="s">
        <v>2462</v>
      </c>
      <c r="B821" t="s">
        <v>1834</v>
      </c>
      <c r="C821" t="s">
        <v>2463</v>
      </c>
      <c r="D821" t="s">
        <v>26</v>
      </c>
      <c r="E821">
        <v>22</v>
      </c>
      <c r="F821" t="s">
        <v>27</v>
      </c>
      <c r="G821" t="s">
        <v>54</v>
      </c>
      <c r="H821">
        <v>36</v>
      </c>
      <c r="I821" t="s">
        <v>39</v>
      </c>
      <c r="J821" t="s">
        <v>30</v>
      </c>
      <c r="K821">
        <v>3</v>
      </c>
      <c r="L821" t="s">
        <v>77</v>
      </c>
      <c r="M821" t="s">
        <v>85</v>
      </c>
      <c r="N821" t="s">
        <v>33</v>
      </c>
      <c r="O821">
        <v>57686</v>
      </c>
      <c r="P821">
        <v>2</v>
      </c>
      <c r="Q821" t="s">
        <v>34</v>
      </c>
      <c r="R821" s="1">
        <v>43243</v>
      </c>
      <c r="S821" t="s">
        <v>34</v>
      </c>
      <c r="T821">
        <v>4</v>
      </c>
      <c r="U821">
        <v>2</v>
      </c>
      <c r="V821">
        <v>4</v>
      </c>
      <c r="W821">
        <v>1</v>
      </c>
      <c r="X821" t="s">
        <v>11022</v>
      </c>
      <c r="Y821" t="s">
        <v>11022</v>
      </c>
      <c r="Z821" t="str">
        <f>_xlfn.XLOOKUP(Employees[[#This Row],[Education]], EdLevel[EducationLevelID], EdLevel[EducationLevel])</f>
        <v xml:space="preserve">Bachelors </v>
      </c>
      <c r="AA821">
        <f>IF(Employees[[#This Row],[Attrition]] = "Yes", 1, 0)</f>
        <v>0</v>
      </c>
      <c r="AB821" t="str" cm="1">
        <f t="array" ref="AB821">_xlfn.IFS(Employees[[#This Row],[Age]]&lt;30, "20-29", Employees[[#This Row],[Age]]&lt;40, "30-39", Employees[[#This Row],[Age]]&lt;50, "40-49", "TRUE", "50+")</f>
        <v>20-29</v>
      </c>
    </row>
    <row r="822" spans="1:28">
      <c r="A822" t="s">
        <v>2464</v>
      </c>
      <c r="B822" t="s">
        <v>2465</v>
      </c>
      <c r="C822" t="s">
        <v>2466</v>
      </c>
      <c r="D822" t="s">
        <v>26</v>
      </c>
      <c r="E822">
        <v>22</v>
      </c>
      <c r="F822" t="s">
        <v>84</v>
      </c>
      <c r="G822" t="s">
        <v>28</v>
      </c>
      <c r="H822">
        <v>26</v>
      </c>
      <c r="I822" t="s">
        <v>39</v>
      </c>
      <c r="J822" t="s">
        <v>30</v>
      </c>
      <c r="K822">
        <v>2</v>
      </c>
      <c r="L822" t="s">
        <v>121</v>
      </c>
      <c r="M822" t="s">
        <v>150</v>
      </c>
      <c r="N822" t="s">
        <v>49</v>
      </c>
      <c r="O822">
        <v>42250</v>
      </c>
      <c r="P822">
        <v>2</v>
      </c>
      <c r="Q822" t="s">
        <v>41</v>
      </c>
      <c r="R822" s="1">
        <v>43243</v>
      </c>
      <c r="S822" t="s">
        <v>41</v>
      </c>
      <c r="T822">
        <v>4</v>
      </c>
      <c r="U822">
        <v>1</v>
      </c>
      <c r="V822">
        <v>3</v>
      </c>
      <c r="W822">
        <v>2</v>
      </c>
      <c r="X822" t="s">
        <v>11021</v>
      </c>
      <c r="Y822" t="s">
        <v>11021</v>
      </c>
      <c r="Z822" t="str">
        <f>_xlfn.XLOOKUP(Employees[[#This Row],[Education]], EdLevel[EducationLevelID], EdLevel[EducationLevel])</f>
        <v xml:space="preserve">High School </v>
      </c>
      <c r="AA822">
        <f>IF(Employees[[#This Row],[Attrition]] = "Yes", 1, 0)</f>
        <v>1</v>
      </c>
      <c r="AB822" t="str" cm="1">
        <f t="array" ref="AB822">_xlfn.IFS(Employees[[#This Row],[Age]]&lt;30, "20-29", Employees[[#This Row],[Age]]&lt;40, "30-39", Employees[[#This Row],[Age]]&lt;50, "40-49", "TRUE", "50+")</f>
        <v>20-29</v>
      </c>
    </row>
    <row r="823" spans="1:28">
      <c r="A823" t="s">
        <v>2467</v>
      </c>
      <c r="B823" t="s">
        <v>2468</v>
      </c>
      <c r="C823" t="s">
        <v>2469</v>
      </c>
      <c r="D823" t="s">
        <v>53</v>
      </c>
      <c r="E823">
        <v>23</v>
      </c>
      <c r="F823" t="s">
        <v>27</v>
      </c>
      <c r="G823" t="s">
        <v>45</v>
      </c>
      <c r="H823">
        <v>45</v>
      </c>
      <c r="I823" t="s">
        <v>39</v>
      </c>
      <c r="J823" t="s">
        <v>30</v>
      </c>
      <c r="K823">
        <v>3</v>
      </c>
      <c r="L823" t="s">
        <v>47</v>
      </c>
      <c r="M823" t="s">
        <v>207</v>
      </c>
      <c r="N823" t="s">
        <v>49</v>
      </c>
      <c r="O823">
        <v>99052</v>
      </c>
      <c r="P823">
        <v>2</v>
      </c>
      <c r="Q823" t="s">
        <v>34</v>
      </c>
      <c r="R823" s="1">
        <v>43245</v>
      </c>
      <c r="S823" t="s">
        <v>34</v>
      </c>
      <c r="T823">
        <v>4</v>
      </c>
      <c r="U823">
        <v>3</v>
      </c>
      <c r="V823">
        <v>4</v>
      </c>
      <c r="W823">
        <v>2</v>
      </c>
      <c r="X823" t="s">
        <v>11022</v>
      </c>
      <c r="Y823" t="s">
        <v>11022</v>
      </c>
      <c r="Z823" t="str">
        <f>_xlfn.XLOOKUP(Employees[[#This Row],[Education]], EdLevel[EducationLevelID], EdLevel[EducationLevel])</f>
        <v xml:space="preserve">Bachelors </v>
      </c>
      <c r="AA823">
        <f>IF(Employees[[#This Row],[Attrition]] = "Yes", 1, 0)</f>
        <v>0</v>
      </c>
      <c r="AB823" t="str" cm="1">
        <f t="array" ref="AB823">_xlfn.IFS(Employees[[#This Row],[Age]]&lt;30, "20-29", Employees[[#This Row],[Age]]&lt;40, "30-39", Employees[[#This Row],[Age]]&lt;50, "40-49", "TRUE", "50+")</f>
        <v>20-29</v>
      </c>
    </row>
    <row r="824" spans="1:28">
      <c r="A824" t="s">
        <v>2470</v>
      </c>
      <c r="B824" t="s">
        <v>2471</v>
      </c>
      <c r="C824" t="s">
        <v>2472</v>
      </c>
      <c r="D824" t="s">
        <v>38</v>
      </c>
      <c r="E824">
        <v>22</v>
      </c>
      <c r="F824" t="s">
        <v>27</v>
      </c>
      <c r="G824" t="s">
        <v>54</v>
      </c>
      <c r="H824">
        <v>37</v>
      </c>
      <c r="I824" t="s">
        <v>29</v>
      </c>
      <c r="J824" t="s">
        <v>46</v>
      </c>
      <c r="K824">
        <v>2</v>
      </c>
      <c r="L824" t="s">
        <v>72</v>
      </c>
      <c r="M824" t="s">
        <v>105</v>
      </c>
      <c r="N824" t="s">
        <v>33</v>
      </c>
      <c r="O824">
        <v>52314</v>
      </c>
      <c r="P824">
        <v>2</v>
      </c>
      <c r="Q824" t="s">
        <v>34</v>
      </c>
      <c r="R824" s="1">
        <v>43245</v>
      </c>
      <c r="S824" t="s">
        <v>34</v>
      </c>
      <c r="T824">
        <v>4</v>
      </c>
      <c r="U824">
        <v>0</v>
      </c>
      <c r="V824">
        <v>3</v>
      </c>
      <c r="W824">
        <v>0</v>
      </c>
      <c r="X824" t="s">
        <v>11021</v>
      </c>
      <c r="Y824" t="s">
        <v>11021</v>
      </c>
      <c r="Z824" t="str">
        <f>_xlfn.XLOOKUP(Employees[[#This Row],[Education]], EdLevel[EducationLevelID], EdLevel[EducationLevel])</f>
        <v xml:space="preserve">High School </v>
      </c>
      <c r="AA824">
        <f>IF(Employees[[#This Row],[Attrition]] = "Yes", 1, 0)</f>
        <v>0</v>
      </c>
      <c r="AB824" t="str" cm="1">
        <f t="array" ref="AB824">_xlfn.IFS(Employees[[#This Row],[Age]]&lt;30, "20-29", Employees[[#This Row],[Age]]&lt;40, "30-39", Employees[[#This Row],[Age]]&lt;50, "40-49", "TRUE", "50+")</f>
        <v>20-29</v>
      </c>
    </row>
    <row r="825" spans="1:28">
      <c r="A825" t="s">
        <v>2473</v>
      </c>
      <c r="B825" t="s">
        <v>2474</v>
      </c>
      <c r="C825" t="s">
        <v>1577</v>
      </c>
      <c r="D825" t="s">
        <v>26</v>
      </c>
      <c r="E825">
        <v>36</v>
      </c>
      <c r="F825" t="s">
        <v>70</v>
      </c>
      <c r="G825" t="s">
        <v>54</v>
      </c>
      <c r="H825">
        <v>35</v>
      </c>
      <c r="I825" t="s">
        <v>29</v>
      </c>
      <c r="J825" t="s">
        <v>30</v>
      </c>
      <c r="K825">
        <v>1</v>
      </c>
      <c r="L825" t="s">
        <v>72</v>
      </c>
      <c r="M825" t="s">
        <v>105</v>
      </c>
      <c r="N825" t="s">
        <v>33</v>
      </c>
      <c r="O825">
        <v>356378</v>
      </c>
      <c r="P825">
        <v>1</v>
      </c>
      <c r="Q825" t="s">
        <v>41</v>
      </c>
      <c r="R825" s="1">
        <v>43250</v>
      </c>
      <c r="S825" t="s">
        <v>34</v>
      </c>
      <c r="T825">
        <v>4</v>
      </c>
      <c r="U825">
        <v>2</v>
      </c>
      <c r="V825">
        <v>4</v>
      </c>
      <c r="W825">
        <v>4</v>
      </c>
      <c r="X825" t="s">
        <v>11020</v>
      </c>
      <c r="Y825" t="s">
        <v>11020</v>
      </c>
      <c r="Z825" t="str">
        <f>_xlfn.XLOOKUP(Employees[[#This Row],[Education]], EdLevel[EducationLevelID], EdLevel[EducationLevel])</f>
        <v>No Formal Qualifications</v>
      </c>
      <c r="AA825">
        <f>IF(Employees[[#This Row],[Attrition]] = "Yes", 1, 0)</f>
        <v>0</v>
      </c>
      <c r="AB825" t="str" cm="1">
        <f t="array" ref="AB825">_xlfn.IFS(Employees[[#This Row],[Age]]&lt;30, "20-29", Employees[[#This Row],[Age]]&lt;40, "30-39", Employees[[#This Row],[Age]]&lt;50, "40-49", "TRUE", "50+")</f>
        <v>30-39</v>
      </c>
    </row>
    <row r="826" spans="1:28">
      <c r="A826" t="s">
        <v>2475</v>
      </c>
      <c r="B826" t="s">
        <v>2476</v>
      </c>
      <c r="C826" t="s">
        <v>2477</v>
      </c>
      <c r="D826" t="s">
        <v>26</v>
      </c>
      <c r="E826">
        <v>24</v>
      </c>
      <c r="F826" t="s">
        <v>27</v>
      </c>
      <c r="G826" t="s">
        <v>28</v>
      </c>
      <c r="H826">
        <v>43</v>
      </c>
      <c r="I826" t="s">
        <v>39</v>
      </c>
      <c r="J826" t="s">
        <v>30</v>
      </c>
      <c r="K826">
        <v>2</v>
      </c>
      <c r="L826" t="s">
        <v>121</v>
      </c>
      <c r="M826" t="s">
        <v>32</v>
      </c>
      <c r="N826" t="s">
        <v>33</v>
      </c>
      <c r="O826">
        <v>54841</v>
      </c>
      <c r="P826">
        <v>3</v>
      </c>
      <c r="Q826" t="s">
        <v>41</v>
      </c>
      <c r="R826" s="1">
        <v>43251</v>
      </c>
      <c r="S826" t="s">
        <v>34</v>
      </c>
      <c r="T826">
        <v>4</v>
      </c>
      <c r="U826">
        <v>3</v>
      </c>
      <c r="V826">
        <v>4</v>
      </c>
      <c r="W826">
        <v>0</v>
      </c>
      <c r="X826" t="s">
        <v>11021</v>
      </c>
      <c r="Y826" t="s">
        <v>11021</v>
      </c>
      <c r="Z826" t="str">
        <f>_xlfn.XLOOKUP(Employees[[#This Row],[Education]], EdLevel[EducationLevelID], EdLevel[EducationLevel])</f>
        <v xml:space="preserve">High School </v>
      </c>
      <c r="AA826">
        <f>IF(Employees[[#This Row],[Attrition]] = "Yes", 1, 0)</f>
        <v>0</v>
      </c>
      <c r="AB826" t="str" cm="1">
        <f t="array" ref="AB826">_xlfn.IFS(Employees[[#This Row],[Age]]&lt;30, "20-29", Employees[[#This Row],[Age]]&lt;40, "30-39", Employees[[#This Row],[Age]]&lt;50, "40-49", "TRUE", "50+")</f>
        <v>20-29</v>
      </c>
    </row>
    <row r="827" spans="1:28">
      <c r="A827" t="s">
        <v>2478</v>
      </c>
      <c r="B827" t="s">
        <v>2479</v>
      </c>
      <c r="C827" t="s">
        <v>2480</v>
      </c>
      <c r="D827" t="s">
        <v>26</v>
      </c>
      <c r="E827">
        <v>24</v>
      </c>
      <c r="F827" t="s">
        <v>27</v>
      </c>
      <c r="G827" t="s">
        <v>54</v>
      </c>
      <c r="H827">
        <v>17</v>
      </c>
      <c r="I827" t="s">
        <v>65</v>
      </c>
      <c r="J827" t="s">
        <v>66</v>
      </c>
      <c r="K827">
        <v>3</v>
      </c>
      <c r="L827" t="s">
        <v>72</v>
      </c>
      <c r="M827" t="s">
        <v>85</v>
      </c>
      <c r="N827" t="s">
        <v>49</v>
      </c>
      <c r="O827">
        <v>101408</v>
      </c>
      <c r="P827">
        <v>3</v>
      </c>
      <c r="Q827" t="s">
        <v>34</v>
      </c>
      <c r="R827" s="1">
        <v>43251</v>
      </c>
      <c r="S827" t="s">
        <v>34</v>
      </c>
      <c r="T827">
        <v>4</v>
      </c>
      <c r="U827">
        <v>0</v>
      </c>
      <c r="V827">
        <v>2</v>
      </c>
      <c r="W827">
        <v>1</v>
      </c>
      <c r="X827" t="s">
        <v>11022</v>
      </c>
      <c r="Y827" t="s">
        <v>11022</v>
      </c>
      <c r="Z827" t="str">
        <f>_xlfn.XLOOKUP(Employees[[#This Row],[Education]], EdLevel[EducationLevelID], EdLevel[EducationLevel])</f>
        <v xml:space="preserve">Bachelors </v>
      </c>
      <c r="AA827">
        <f>IF(Employees[[#This Row],[Attrition]] = "Yes", 1, 0)</f>
        <v>0</v>
      </c>
      <c r="AB827" t="str" cm="1">
        <f t="array" ref="AB827">_xlfn.IFS(Employees[[#This Row],[Age]]&lt;30, "20-29", Employees[[#This Row],[Age]]&lt;40, "30-39", Employees[[#This Row],[Age]]&lt;50, "40-49", "TRUE", "50+")</f>
        <v>20-29</v>
      </c>
    </row>
    <row r="828" spans="1:28">
      <c r="A828" t="s">
        <v>2481</v>
      </c>
      <c r="B828" t="s">
        <v>781</v>
      </c>
      <c r="C828" t="s">
        <v>2482</v>
      </c>
      <c r="D828" t="s">
        <v>38</v>
      </c>
      <c r="E828">
        <v>23</v>
      </c>
      <c r="F828" t="s">
        <v>84</v>
      </c>
      <c r="G828" t="s">
        <v>28</v>
      </c>
      <c r="H828">
        <v>26</v>
      </c>
      <c r="I828" t="s">
        <v>39</v>
      </c>
      <c r="J828" t="s">
        <v>46</v>
      </c>
      <c r="K828">
        <v>4</v>
      </c>
      <c r="L828" t="s">
        <v>31</v>
      </c>
      <c r="M828" t="s">
        <v>32</v>
      </c>
      <c r="N828" t="s">
        <v>40</v>
      </c>
      <c r="O828">
        <v>68046</v>
      </c>
      <c r="P828">
        <v>0</v>
      </c>
      <c r="Q828" t="s">
        <v>34</v>
      </c>
      <c r="R828" s="1">
        <v>43252</v>
      </c>
      <c r="S828" t="s">
        <v>34</v>
      </c>
      <c r="T828">
        <v>4</v>
      </c>
      <c r="U828">
        <v>4</v>
      </c>
      <c r="V828">
        <v>4</v>
      </c>
      <c r="W828">
        <v>2</v>
      </c>
      <c r="X828" t="s">
        <v>11023</v>
      </c>
      <c r="Y828" t="s">
        <v>11023</v>
      </c>
      <c r="Z828" t="str">
        <f>_xlfn.XLOOKUP(Employees[[#This Row],[Education]], EdLevel[EducationLevelID], EdLevel[EducationLevel])</f>
        <v xml:space="preserve">Masters </v>
      </c>
      <c r="AA828">
        <f>IF(Employees[[#This Row],[Attrition]] = "Yes", 1, 0)</f>
        <v>0</v>
      </c>
      <c r="AB828" t="str" cm="1">
        <f t="array" ref="AB828">_xlfn.IFS(Employees[[#This Row],[Age]]&lt;30, "20-29", Employees[[#This Row],[Age]]&lt;40, "30-39", Employees[[#This Row],[Age]]&lt;50, "40-49", "TRUE", "50+")</f>
        <v>20-29</v>
      </c>
    </row>
    <row r="829" spans="1:28">
      <c r="A829" t="s">
        <v>2483</v>
      </c>
      <c r="B829" t="s">
        <v>2484</v>
      </c>
      <c r="C829" t="s">
        <v>2485</v>
      </c>
      <c r="D829" t="s">
        <v>38</v>
      </c>
      <c r="E829">
        <v>24</v>
      </c>
      <c r="F829" t="s">
        <v>70</v>
      </c>
      <c r="G829" t="s">
        <v>28</v>
      </c>
      <c r="H829">
        <v>3</v>
      </c>
      <c r="I829" t="s">
        <v>65</v>
      </c>
      <c r="J829" t="s">
        <v>30</v>
      </c>
      <c r="K829">
        <v>3</v>
      </c>
      <c r="L829" t="s">
        <v>121</v>
      </c>
      <c r="M829" t="s">
        <v>32</v>
      </c>
      <c r="N829" t="s">
        <v>40</v>
      </c>
      <c r="O829">
        <v>128634</v>
      </c>
      <c r="P829">
        <v>0</v>
      </c>
      <c r="Q829" t="s">
        <v>34</v>
      </c>
      <c r="R829" s="1">
        <v>43262</v>
      </c>
      <c r="S829" t="s">
        <v>34</v>
      </c>
      <c r="T829">
        <v>4</v>
      </c>
      <c r="U829">
        <v>4</v>
      </c>
      <c r="V829">
        <v>4</v>
      </c>
      <c r="W829">
        <v>4</v>
      </c>
      <c r="X829" t="s">
        <v>11022</v>
      </c>
      <c r="Y829" t="s">
        <v>11022</v>
      </c>
      <c r="Z829" t="str">
        <f>_xlfn.XLOOKUP(Employees[[#This Row],[Education]], EdLevel[EducationLevelID], EdLevel[EducationLevel])</f>
        <v xml:space="preserve">Bachelors </v>
      </c>
      <c r="AA829">
        <f>IF(Employees[[#This Row],[Attrition]] = "Yes", 1, 0)</f>
        <v>0</v>
      </c>
      <c r="AB829" t="str" cm="1">
        <f t="array" ref="AB829">_xlfn.IFS(Employees[[#This Row],[Age]]&lt;30, "20-29", Employees[[#This Row],[Age]]&lt;40, "30-39", Employees[[#This Row],[Age]]&lt;50, "40-49", "TRUE", "50+")</f>
        <v>20-29</v>
      </c>
    </row>
    <row r="830" spans="1:28">
      <c r="A830" t="s">
        <v>2486</v>
      </c>
      <c r="B830" t="s">
        <v>2487</v>
      </c>
      <c r="C830" t="s">
        <v>1178</v>
      </c>
      <c r="D830" t="s">
        <v>26</v>
      </c>
      <c r="E830">
        <v>24</v>
      </c>
      <c r="F830" t="s">
        <v>27</v>
      </c>
      <c r="G830" t="s">
        <v>54</v>
      </c>
      <c r="H830">
        <v>12</v>
      </c>
      <c r="I830" t="s">
        <v>39</v>
      </c>
      <c r="J830" t="s">
        <v>30</v>
      </c>
      <c r="K830">
        <v>4</v>
      </c>
      <c r="L830" t="s">
        <v>72</v>
      </c>
      <c r="M830" t="s">
        <v>101</v>
      </c>
      <c r="N830" t="s">
        <v>49</v>
      </c>
      <c r="O830">
        <v>22965</v>
      </c>
      <c r="P830">
        <v>3</v>
      </c>
      <c r="Q830" t="s">
        <v>34</v>
      </c>
      <c r="R830" s="1">
        <v>43263</v>
      </c>
      <c r="S830" t="s">
        <v>34</v>
      </c>
      <c r="T830">
        <v>4</v>
      </c>
      <c r="U830">
        <v>4</v>
      </c>
      <c r="V830">
        <v>4</v>
      </c>
      <c r="W830">
        <v>4</v>
      </c>
      <c r="X830" t="s">
        <v>11023</v>
      </c>
      <c r="Y830" t="s">
        <v>11023</v>
      </c>
      <c r="Z830" t="str">
        <f>_xlfn.XLOOKUP(Employees[[#This Row],[Education]], EdLevel[EducationLevelID], EdLevel[EducationLevel])</f>
        <v xml:space="preserve">Masters </v>
      </c>
      <c r="AA830">
        <f>IF(Employees[[#This Row],[Attrition]] = "Yes", 1, 0)</f>
        <v>0</v>
      </c>
      <c r="AB830" t="str" cm="1">
        <f t="array" ref="AB830">_xlfn.IFS(Employees[[#This Row],[Age]]&lt;30, "20-29", Employees[[#This Row],[Age]]&lt;40, "30-39", Employees[[#This Row],[Age]]&lt;50, "40-49", "TRUE", "50+")</f>
        <v>20-29</v>
      </c>
    </row>
    <row r="831" spans="1:28">
      <c r="A831" t="s">
        <v>2488</v>
      </c>
      <c r="B831" t="s">
        <v>2489</v>
      </c>
      <c r="C831" t="s">
        <v>2490</v>
      </c>
      <c r="D831" t="s">
        <v>38</v>
      </c>
      <c r="E831">
        <v>22</v>
      </c>
      <c r="F831" t="s">
        <v>27</v>
      </c>
      <c r="G831" t="s">
        <v>28</v>
      </c>
      <c r="H831">
        <v>32</v>
      </c>
      <c r="I831" t="s">
        <v>65</v>
      </c>
      <c r="J831" t="s">
        <v>66</v>
      </c>
      <c r="K831">
        <v>3</v>
      </c>
      <c r="L831" t="s">
        <v>47</v>
      </c>
      <c r="M831" t="s">
        <v>32</v>
      </c>
      <c r="N831" t="s">
        <v>49</v>
      </c>
      <c r="O831">
        <v>52318</v>
      </c>
      <c r="P831">
        <v>1</v>
      </c>
      <c r="Q831" t="s">
        <v>34</v>
      </c>
      <c r="R831" s="1">
        <v>43265</v>
      </c>
      <c r="S831" t="s">
        <v>34</v>
      </c>
      <c r="T831">
        <v>4</v>
      </c>
      <c r="U831">
        <v>4</v>
      </c>
      <c r="V831">
        <v>4</v>
      </c>
      <c r="W831">
        <v>0</v>
      </c>
      <c r="X831" t="s">
        <v>11022</v>
      </c>
      <c r="Y831" t="s">
        <v>11022</v>
      </c>
      <c r="Z831" t="str">
        <f>_xlfn.XLOOKUP(Employees[[#This Row],[Education]], EdLevel[EducationLevelID], EdLevel[EducationLevel])</f>
        <v xml:space="preserve">Bachelors </v>
      </c>
      <c r="AA831">
        <f>IF(Employees[[#This Row],[Attrition]] = "Yes", 1, 0)</f>
        <v>0</v>
      </c>
      <c r="AB831" t="str" cm="1">
        <f t="array" ref="AB831">_xlfn.IFS(Employees[[#This Row],[Age]]&lt;30, "20-29", Employees[[#This Row],[Age]]&lt;40, "30-39", Employees[[#This Row],[Age]]&lt;50, "40-49", "TRUE", "50+")</f>
        <v>20-29</v>
      </c>
    </row>
    <row r="832" spans="1:28">
      <c r="A832" t="s">
        <v>2491</v>
      </c>
      <c r="B832" t="s">
        <v>2492</v>
      </c>
      <c r="C832" t="s">
        <v>2493</v>
      </c>
      <c r="D832" t="s">
        <v>38</v>
      </c>
      <c r="E832">
        <v>46</v>
      </c>
      <c r="F832" t="s">
        <v>27</v>
      </c>
      <c r="G832" t="s">
        <v>54</v>
      </c>
      <c r="H832">
        <v>39</v>
      </c>
      <c r="I832" t="s">
        <v>39</v>
      </c>
      <c r="J832" t="s">
        <v>66</v>
      </c>
      <c r="K832">
        <v>3</v>
      </c>
      <c r="L832" t="s">
        <v>55</v>
      </c>
      <c r="M832" t="s">
        <v>182</v>
      </c>
      <c r="N832" t="s">
        <v>40</v>
      </c>
      <c r="O832">
        <v>381759</v>
      </c>
      <c r="P832">
        <v>0</v>
      </c>
      <c r="Q832" t="s">
        <v>34</v>
      </c>
      <c r="R832" s="1">
        <v>43266</v>
      </c>
      <c r="S832" t="s">
        <v>34</v>
      </c>
      <c r="T832">
        <v>4</v>
      </c>
      <c r="U832">
        <v>2</v>
      </c>
      <c r="V832">
        <v>4</v>
      </c>
      <c r="W832">
        <v>4</v>
      </c>
      <c r="X832" t="s">
        <v>11022</v>
      </c>
      <c r="Y832" t="s">
        <v>11022</v>
      </c>
      <c r="Z832" t="str">
        <f>_xlfn.XLOOKUP(Employees[[#This Row],[Education]], EdLevel[EducationLevelID], EdLevel[EducationLevel])</f>
        <v xml:space="preserve">Bachelors </v>
      </c>
      <c r="AA832">
        <f>IF(Employees[[#This Row],[Attrition]] = "Yes", 1, 0)</f>
        <v>0</v>
      </c>
      <c r="AB832" t="str" cm="1">
        <f t="array" ref="AB832">_xlfn.IFS(Employees[[#This Row],[Age]]&lt;30, "20-29", Employees[[#This Row],[Age]]&lt;40, "30-39", Employees[[#This Row],[Age]]&lt;50, "40-49", "TRUE", "50+")</f>
        <v>40-49</v>
      </c>
    </row>
    <row r="833" spans="1:28">
      <c r="A833" t="s">
        <v>2494</v>
      </c>
      <c r="B833" t="s">
        <v>2495</v>
      </c>
      <c r="C833" t="s">
        <v>2496</v>
      </c>
      <c r="D833" t="s">
        <v>38</v>
      </c>
      <c r="E833">
        <v>24</v>
      </c>
      <c r="F833" t="s">
        <v>70</v>
      </c>
      <c r="G833" t="s">
        <v>54</v>
      </c>
      <c r="H833">
        <v>35</v>
      </c>
      <c r="I833" t="s">
        <v>39</v>
      </c>
      <c r="J833" t="s">
        <v>46</v>
      </c>
      <c r="K833">
        <v>3</v>
      </c>
      <c r="L833" t="s">
        <v>72</v>
      </c>
      <c r="M833" t="s">
        <v>101</v>
      </c>
      <c r="N833" t="s">
        <v>33</v>
      </c>
      <c r="O833">
        <v>65838</v>
      </c>
      <c r="P833">
        <v>3</v>
      </c>
      <c r="Q833" t="s">
        <v>41</v>
      </c>
      <c r="R833" s="1">
        <v>43268</v>
      </c>
      <c r="S833" t="s">
        <v>34</v>
      </c>
      <c r="T833">
        <v>4</v>
      </c>
      <c r="U833">
        <v>2</v>
      </c>
      <c r="V833">
        <v>2</v>
      </c>
      <c r="W833">
        <v>2</v>
      </c>
      <c r="X833" t="s">
        <v>11022</v>
      </c>
      <c r="Y833" t="s">
        <v>11022</v>
      </c>
      <c r="Z833" t="str">
        <f>_xlfn.XLOOKUP(Employees[[#This Row],[Education]], EdLevel[EducationLevelID], EdLevel[EducationLevel])</f>
        <v xml:space="preserve">Bachelors </v>
      </c>
      <c r="AA833">
        <f>IF(Employees[[#This Row],[Attrition]] = "Yes", 1, 0)</f>
        <v>0</v>
      </c>
      <c r="AB833" t="str" cm="1">
        <f t="array" ref="AB833">_xlfn.IFS(Employees[[#This Row],[Age]]&lt;30, "20-29", Employees[[#This Row],[Age]]&lt;40, "30-39", Employees[[#This Row],[Age]]&lt;50, "40-49", "TRUE", "50+")</f>
        <v>20-29</v>
      </c>
    </row>
    <row r="834" spans="1:28">
      <c r="A834" t="s">
        <v>2497</v>
      </c>
      <c r="B834" t="s">
        <v>2498</v>
      </c>
      <c r="C834" t="s">
        <v>2499</v>
      </c>
      <c r="D834" t="s">
        <v>53</v>
      </c>
      <c r="E834">
        <v>25</v>
      </c>
      <c r="F834" t="s">
        <v>27</v>
      </c>
      <c r="G834" t="s">
        <v>54</v>
      </c>
      <c r="H834">
        <v>8</v>
      </c>
      <c r="I834" t="s">
        <v>39</v>
      </c>
      <c r="J834" t="s">
        <v>137</v>
      </c>
      <c r="K834">
        <v>3</v>
      </c>
      <c r="L834" t="s">
        <v>72</v>
      </c>
      <c r="M834" t="s">
        <v>105</v>
      </c>
      <c r="N834" t="s">
        <v>40</v>
      </c>
      <c r="O834">
        <v>126055</v>
      </c>
      <c r="P834">
        <v>0</v>
      </c>
      <c r="Q834" t="s">
        <v>34</v>
      </c>
      <c r="R834" s="1">
        <v>43268</v>
      </c>
      <c r="S834" t="s">
        <v>34</v>
      </c>
      <c r="T834">
        <v>4</v>
      </c>
      <c r="U834">
        <v>4</v>
      </c>
      <c r="V834">
        <v>4</v>
      </c>
      <c r="W834">
        <v>2</v>
      </c>
      <c r="X834" t="s">
        <v>11022</v>
      </c>
      <c r="Y834" t="s">
        <v>11022</v>
      </c>
      <c r="Z834" t="str">
        <f>_xlfn.XLOOKUP(Employees[[#This Row],[Education]], EdLevel[EducationLevelID], EdLevel[EducationLevel])</f>
        <v xml:space="preserve">Bachelors </v>
      </c>
      <c r="AA834">
        <f>IF(Employees[[#This Row],[Attrition]] = "Yes", 1, 0)</f>
        <v>0</v>
      </c>
      <c r="AB834" t="str" cm="1">
        <f t="array" ref="AB834">_xlfn.IFS(Employees[[#This Row],[Age]]&lt;30, "20-29", Employees[[#This Row],[Age]]&lt;40, "30-39", Employees[[#This Row],[Age]]&lt;50, "40-49", "TRUE", "50+")</f>
        <v>20-29</v>
      </c>
    </row>
    <row r="835" spans="1:28">
      <c r="A835" t="s">
        <v>2500</v>
      </c>
      <c r="B835" t="s">
        <v>2501</v>
      </c>
      <c r="C835" t="s">
        <v>2502</v>
      </c>
      <c r="D835" t="s">
        <v>26</v>
      </c>
      <c r="E835">
        <v>25</v>
      </c>
      <c r="F835" t="s">
        <v>27</v>
      </c>
      <c r="G835" t="s">
        <v>45</v>
      </c>
      <c r="H835">
        <v>14</v>
      </c>
      <c r="I835" t="s">
        <v>39</v>
      </c>
      <c r="J835" t="s">
        <v>92</v>
      </c>
      <c r="K835">
        <v>1</v>
      </c>
      <c r="L835" t="s">
        <v>45</v>
      </c>
      <c r="M835" t="s">
        <v>61</v>
      </c>
      <c r="N835" t="s">
        <v>49</v>
      </c>
      <c r="O835">
        <v>22150</v>
      </c>
      <c r="P835">
        <v>1</v>
      </c>
      <c r="Q835" t="s">
        <v>34</v>
      </c>
      <c r="R835" s="1">
        <v>43276</v>
      </c>
      <c r="S835" t="s">
        <v>41</v>
      </c>
      <c r="T835">
        <v>2</v>
      </c>
      <c r="U835">
        <v>0</v>
      </c>
      <c r="V835">
        <v>1</v>
      </c>
      <c r="W835">
        <v>1</v>
      </c>
      <c r="X835" t="s">
        <v>11020</v>
      </c>
      <c r="Y835" t="s">
        <v>11020</v>
      </c>
      <c r="Z835" t="str">
        <f>_xlfn.XLOOKUP(Employees[[#This Row],[Education]], EdLevel[EducationLevelID], EdLevel[EducationLevel])</f>
        <v>No Formal Qualifications</v>
      </c>
      <c r="AA835">
        <f>IF(Employees[[#This Row],[Attrition]] = "Yes", 1, 0)</f>
        <v>1</v>
      </c>
      <c r="AB835" t="str" cm="1">
        <f t="array" ref="AB835">_xlfn.IFS(Employees[[#This Row],[Age]]&lt;30, "20-29", Employees[[#This Row],[Age]]&lt;40, "30-39", Employees[[#This Row],[Age]]&lt;50, "40-49", "TRUE", "50+")</f>
        <v>20-29</v>
      </c>
    </row>
    <row r="836" spans="1:28">
      <c r="A836" t="s">
        <v>2503</v>
      </c>
      <c r="B836" t="s">
        <v>2504</v>
      </c>
      <c r="C836" t="s">
        <v>2505</v>
      </c>
      <c r="D836" t="s">
        <v>38</v>
      </c>
      <c r="E836">
        <v>36</v>
      </c>
      <c r="F836" t="s">
        <v>27</v>
      </c>
      <c r="G836" t="s">
        <v>54</v>
      </c>
      <c r="H836">
        <v>11</v>
      </c>
      <c r="I836" t="s">
        <v>65</v>
      </c>
      <c r="J836" t="s">
        <v>46</v>
      </c>
      <c r="K836">
        <v>3</v>
      </c>
      <c r="L836" t="s">
        <v>55</v>
      </c>
      <c r="M836" t="s">
        <v>93</v>
      </c>
      <c r="N836" t="s">
        <v>49</v>
      </c>
      <c r="O836">
        <v>236739</v>
      </c>
      <c r="P836">
        <v>2</v>
      </c>
      <c r="Q836" t="s">
        <v>34</v>
      </c>
      <c r="R836" s="1">
        <v>43277</v>
      </c>
      <c r="S836" t="s">
        <v>34</v>
      </c>
      <c r="T836">
        <v>4</v>
      </c>
      <c r="U836">
        <v>3</v>
      </c>
      <c r="V836">
        <v>4</v>
      </c>
      <c r="W836">
        <v>3</v>
      </c>
      <c r="X836" t="s">
        <v>11022</v>
      </c>
      <c r="Y836" t="s">
        <v>11022</v>
      </c>
      <c r="Z836" t="str">
        <f>_xlfn.XLOOKUP(Employees[[#This Row],[Education]], EdLevel[EducationLevelID], EdLevel[EducationLevel])</f>
        <v xml:space="preserve">Bachelors </v>
      </c>
      <c r="AA836">
        <f>IF(Employees[[#This Row],[Attrition]] = "Yes", 1, 0)</f>
        <v>0</v>
      </c>
      <c r="AB836" t="str" cm="1">
        <f t="array" ref="AB836">_xlfn.IFS(Employees[[#This Row],[Age]]&lt;30, "20-29", Employees[[#This Row],[Age]]&lt;40, "30-39", Employees[[#This Row],[Age]]&lt;50, "40-49", "TRUE", "50+")</f>
        <v>30-39</v>
      </c>
    </row>
    <row r="837" spans="1:28">
      <c r="A837" t="s">
        <v>2506</v>
      </c>
      <c r="B837" t="s">
        <v>2507</v>
      </c>
      <c r="C837" t="s">
        <v>2508</v>
      </c>
      <c r="D837" t="s">
        <v>26</v>
      </c>
      <c r="E837">
        <v>24</v>
      </c>
      <c r="F837" t="s">
        <v>27</v>
      </c>
      <c r="G837" t="s">
        <v>28</v>
      </c>
      <c r="H837">
        <v>16</v>
      </c>
      <c r="I837" t="s">
        <v>39</v>
      </c>
      <c r="J837" t="s">
        <v>30</v>
      </c>
      <c r="K837">
        <v>4</v>
      </c>
      <c r="L837" t="s">
        <v>47</v>
      </c>
      <c r="M837" t="s">
        <v>32</v>
      </c>
      <c r="N837" t="s">
        <v>33</v>
      </c>
      <c r="O837">
        <v>75250</v>
      </c>
      <c r="P837">
        <v>1</v>
      </c>
      <c r="Q837" t="s">
        <v>34</v>
      </c>
      <c r="R837" s="1">
        <v>43280</v>
      </c>
      <c r="S837" t="s">
        <v>34</v>
      </c>
      <c r="T837">
        <v>4</v>
      </c>
      <c r="U837">
        <v>0</v>
      </c>
      <c r="V837">
        <v>0</v>
      </c>
      <c r="W837">
        <v>0</v>
      </c>
      <c r="X837" t="s">
        <v>11023</v>
      </c>
      <c r="Y837" t="s">
        <v>11023</v>
      </c>
      <c r="Z837" t="str">
        <f>_xlfn.XLOOKUP(Employees[[#This Row],[Education]], EdLevel[EducationLevelID], EdLevel[EducationLevel])</f>
        <v xml:space="preserve">Masters </v>
      </c>
      <c r="AA837">
        <f>IF(Employees[[#This Row],[Attrition]] = "Yes", 1, 0)</f>
        <v>0</v>
      </c>
      <c r="AB837" t="str" cm="1">
        <f t="array" ref="AB837">_xlfn.IFS(Employees[[#This Row],[Age]]&lt;30, "20-29", Employees[[#This Row],[Age]]&lt;40, "30-39", Employees[[#This Row],[Age]]&lt;50, "40-49", "TRUE", "50+")</f>
        <v>20-29</v>
      </c>
    </row>
    <row r="838" spans="1:28">
      <c r="A838" t="s">
        <v>2509</v>
      </c>
      <c r="B838" t="s">
        <v>724</v>
      </c>
      <c r="C838" t="s">
        <v>2510</v>
      </c>
      <c r="D838" t="s">
        <v>859</v>
      </c>
      <c r="E838">
        <v>25</v>
      </c>
      <c r="F838" t="s">
        <v>70</v>
      </c>
      <c r="G838" t="s">
        <v>54</v>
      </c>
      <c r="H838">
        <v>19</v>
      </c>
      <c r="I838" t="s">
        <v>65</v>
      </c>
      <c r="J838" t="s">
        <v>46</v>
      </c>
      <c r="K838">
        <v>2</v>
      </c>
      <c r="L838" t="s">
        <v>72</v>
      </c>
      <c r="M838" t="s">
        <v>93</v>
      </c>
      <c r="N838" t="s">
        <v>33</v>
      </c>
      <c r="O838">
        <v>83894</v>
      </c>
      <c r="P838">
        <v>1</v>
      </c>
      <c r="Q838" t="s">
        <v>34</v>
      </c>
      <c r="R838" s="1">
        <v>43281</v>
      </c>
      <c r="S838" t="s">
        <v>34</v>
      </c>
      <c r="T838">
        <v>4</v>
      </c>
      <c r="U838">
        <v>2</v>
      </c>
      <c r="V838">
        <v>2</v>
      </c>
      <c r="W838">
        <v>3</v>
      </c>
      <c r="X838" t="s">
        <v>11021</v>
      </c>
      <c r="Y838" t="s">
        <v>11021</v>
      </c>
      <c r="Z838" t="str">
        <f>_xlfn.XLOOKUP(Employees[[#This Row],[Education]], EdLevel[EducationLevelID], EdLevel[EducationLevel])</f>
        <v xml:space="preserve">High School </v>
      </c>
      <c r="AA838">
        <f>IF(Employees[[#This Row],[Attrition]] = "Yes", 1, 0)</f>
        <v>0</v>
      </c>
      <c r="AB838" t="str" cm="1">
        <f t="array" ref="AB838">_xlfn.IFS(Employees[[#This Row],[Age]]&lt;30, "20-29", Employees[[#This Row],[Age]]&lt;40, "30-39", Employees[[#This Row],[Age]]&lt;50, "40-49", "TRUE", "50+")</f>
        <v>20-29</v>
      </c>
    </row>
    <row r="839" spans="1:28">
      <c r="A839" t="s">
        <v>2511</v>
      </c>
      <c r="B839" t="s">
        <v>2512</v>
      </c>
      <c r="C839" t="s">
        <v>2513</v>
      </c>
      <c r="D839" t="s">
        <v>26</v>
      </c>
      <c r="E839">
        <v>23</v>
      </c>
      <c r="F839" t="s">
        <v>70</v>
      </c>
      <c r="G839" t="s">
        <v>54</v>
      </c>
      <c r="H839">
        <v>24</v>
      </c>
      <c r="I839" t="s">
        <v>65</v>
      </c>
      <c r="J839" t="s">
        <v>66</v>
      </c>
      <c r="K839">
        <v>4</v>
      </c>
      <c r="L839" t="s">
        <v>55</v>
      </c>
      <c r="M839" t="s">
        <v>105</v>
      </c>
      <c r="N839" t="s">
        <v>33</v>
      </c>
      <c r="O839">
        <v>69325</v>
      </c>
      <c r="P839">
        <v>1</v>
      </c>
      <c r="Q839" t="s">
        <v>34</v>
      </c>
      <c r="R839" s="1">
        <v>43285</v>
      </c>
      <c r="S839" t="s">
        <v>34</v>
      </c>
      <c r="T839">
        <v>4</v>
      </c>
      <c r="U839">
        <v>3</v>
      </c>
      <c r="V839">
        <v>4</v>
      </c>
      <c r="W839">
        <v>4</v>
      </c>
      <c r="X839" t="s">
        <v>11023</v>
      </c>
      <c r="Y839" t="s">
        <v>11023</v>
      </c>
      <c r="Z839" t="str">
        <f>_xlfn.XLOOKUP(Employees[[#This Row],[Education]], EdLevel[EducationLevelID], EdLevel[EducationLevel])</f>
        <v xml:space="preserve">Masters </v>
      </c>
      <c r="AA839">
        <f>IF(Employees[[#This Row],[Attrition]] = "Yes", 1, 0)</f>
        <v>0</v>
      </c>
      <c r="AB839" t="str" cm="1">
        <f t="array" ref="AB839">_xlfn.IFS(Employees[[#This Row],[Age]]&lt;30, "20-29", Employees[[#This Row],[Age]]&lt;40, "30-39", Employees[[#This Row],[Age]]&lt;50, "40-49", "TRUE", "50+")</f>
        <v>20-29</v>
      </c>
    </row>
    <row r="840" spans="1:28">
      <c r="A840" t="s">
        <v>2514</v>
      </c>
      <c r="B840" t="s">
        <v>2515</v>
      </c>
      <c r="C840" t="s">
        <v>2516</v>
      </c>
      <c r="D840" t="s">
        <v>38</v>
      </c>
      <c r="E840">
        <v>47</v>
      </c>
      <c r="F840" t="s">
        <v>27</v>
      </c>
      <c r="G840" t="s">
        <v>28</v>
      </c>
      <c r="H840">
        <v>26</v>
      </c>
      <c r="I840" t="s">
        <v>39</v>
      </c>
      <c r="J840" t="s">
        <v>66</v>
      </c>
      <c r="K840">
        <v>4</v>
      </c>
      <c r="L840" t="s">
        <v>31</v>
      </c>
      <c r="M840" t="s">
        <v>32</v>
      </c>
      <c r="N840" t="s">
        <v>33</v>
      </c>
      <c r="O840">
        <v>244765</v>
      </c>
      <c r="P840">
        <v>2</v>
      </c>
      <c r="Q840" t="s">
        <v>41</v>
      </c>
      <c r="R840" s="1">
        <v>43285</v>
      </c>
      <c r="S840" t="s">
        <v>34</v>
      </c>
      <c r="T840">
        <v>4</v>
      </c>
      <c r="U840">
        <v>2</v>
      </c>
      <c r="V840">
        <v>3</v>
      </c>
      <c r="W840">
        <v>1</v>
      </c>
      <c r="X840" t="s">
        <v>11023</v>
      </c>
      <c r="Y840" t="s">
        <v>11023</v>
      </c>
      <c r="Z840" t="str">
        <f>_xlfn.XLOOKUP(Employees[[#This Row],[Education]], EdLevel[EducationLevelID], EdLevel[EducationLevel])</f>
        <v xml:space="preserve">Masters </v>
      </c>
      <c r="AA840">
        <f>IF(Employees[[#This Row],[Attrition]] = "Yes", 1, 0)</f>
        <v>0</v>
      </c>
      <c r="AB840" t="str" cm="1">
        <f t="array" ref="AB840">_xlfn.IFS(Employees[[#This Row],[Age]]&lt;30, "20-29", Employees[[#This Row],[Age]]&lt;40, "30-39", Employees[[#This Row],[Age]]&lt;50, "40-49", "TRUE", "50+")</f>
        <v>40-49</v>
      </c>
    </row>
    <row r="841" spans="1:28">
      <c r="A841" t="s">
        <v>2517</v>
      </c>
      <c r="B841" t="s">
        <v>2518</v>
      </c>
      <c r="C841" t="s">
        <v>2519</v>
      </c>
      <c r="D841" t="s">
        <v>38</v>
      </c>
      <c r="E841">
        <v>24</v>
      </c>
      <c r="F841" t="s">
        <v>70</v>
      </c>
      <c r="G841" t="s">
        <v>28</v>
      </c>
      <c r="H841">
        <v>6</v>
      </c>
      <c r="I841" t="s">
        <v>39</v>
      </c>
      <c r="J841" t="s">
        <v>71</v>
      </c>
      <c r="K841">
        <v>3</v>
      </c>
      <c r="L841" t="s">
        <v>121</v>
      </c>
      <c r="M841" t="s">
        <v>97</v>
      </c>
      <c r="N841" t="s">
        <v>33</v>
      </c>
      <c r="O841">
        <v>135407</v>
      </c>
      <c r="P841">
        <v>1</v>
      </c>
      <c r="Q841" t="s">
        <v>34</v>
      </c>
      <c r="R841" s="1">
        <v>43286</v>
      </c>
      <c r="S841" t="s">
        <v>34</v>
      </c>
      <c r="T841">
        <v>4</v>
      </c>
      <c r="U841">
        <v>2</v>
      </c>
      <c r="V841">
        <v>4</v>
      </c>
      <c r="W841">
        <v>2</v>
      </c>
      <c r="X841" t="s">
        <v>11022</v>
      </c>
      <c r="Y841" t="s">
        <v>11022</v>
      </c>
      <c r="Z841" t="str">
        <f>_xlfn.XLOOKUP(Employees[[#This Row],[Education]], EdLevel[EducationLevelID], EdLevel[EducationLevel])</f>
        <v xml:space="preserve">Bachelors </v>
      </c>
      <c r="AA841">
        <f>IF(Employees[[#This Row],[Attrition]] = "Yes", 1, 0)</f>
        <v>0</v>
      </c>
      <c r="AB841" t="str" cm="1">
        <f t="array" ref="AB841">_xlfn.IFS(Employees[[#This Row],[Age]]&lt;30, "20-29", Employees[[#This Row],[Age]]&lt;40, "30-39", Employees[[#This Row],[Age]]&lt;50, "40-49", "TRUE", "50+")</f>
        <v>20-29</v>
      </c>
    </row>
    <row r="842" spans="1:28">
      <c r="A842" t="s">
        <v>2520</v>
      </c>
      <c r="B842" t="s">
        <v>2521</v>
      </c>
      <c r="C842" t="s">
        <v>2522</v>
      </c>
      <c r="D842" t="s">
        <v>26</v>
      </c>
      <c r="E842">
        <v>25</v>
      </c>
      <c r="F842" t="s">
        <v>27</v>
      </c>
      <c r="G842" t="s">
        <v>54</v>
      </c>
      <c r="H842">
        <v>28</v>
      </c>
      <c r="I842" t="s">
        <v>39</v>
      </c>
      <c r="J842" t="s">
        <v>30</v>
      </c>
      <c r="K842">
        <v>4</v>
      </c>
      <c r="L842" t="s">
        <v>55</v>
      </c>
      <c r="M842" t="s">
        <v>105</v>
      </c>
      <c r="N842" t="s">
        <v>40</v>
      </c>
      <c r="O842">
        <v>70737</v>
      </c>
      <c r="P842">
        <v>0</v>
      </c>
      <c r="Q842" t="s">
        <v>34</v>
      </c>
      <c r="R842" s="1">
        <v>43287</v>
      </c>
      <c r="S842" t="s">
        <v>34</v>
      </c>
      <c r="T842">
        <v>4</v>
      </c>
      <c r="U842">
        <v>3</v>
      </c>
      <c r="V842">
        <v>3</v>
      </c>
      <c r="W842">
        <v>3</v>
      </c>
      <c r="X842" t="s">
        <v>11023</v>
      </c>
      <c r="Y842" t="s">
        <v>11023</v>
      </c>
      <c r="Z842" t="str">
        <f>_xlfn.XLOOKUP(Employees[[#This Row],[Education]], EdLevel[EducationLevelID], EdLevel[EducationLevel])</f>
        <v xml:space="preserve">Masters </v>
      </c>
      <c r="AA842">
        <f>IF(Employees[[#This Row],[Attrition]] = "Yes", 1, 0)</f>
        <v>0</v>
      </c>
      <c r="AB842" t="str" cm="1">
        <f t="array" ref="AB842">_xlfn.IFS(Employees[[#This Row],[Age]]&lt;30, "20-29", Employees[[#This Row],[Age]]&lt;40, "30-39", Employees[[#This Row],[Age]]&lt;50, "40-49", "TRUE", "50+")</f>
        <v>20-29</v>
      </c>
    </row>
    <row r="843" spans="1:28">
      <c r="A843" t="s">
        <v>2523</v>
      </c>
      <c r="B843" t="s">
        <v>2524</v>
      </c>
      <c r="C843" t="s">
        <v>2525</v>
      </c>
      <c r="D843" t="s">
        <v>53</v>
      </c>
      <c r="E843">
        <v>28</v>
      </c>
      <c r="F843" t="s">
        <v>27</v>
      </c>
      <c r="G843" t="s">
        <v>54</v>
      </c>
      <c r="H843">
        <v>15</v>
      </c>
      <c r="I843" t="s">
        <v>39</v>
      </c>
      <c r="J843" t="s">
        <v>76</v>
      </c>
      <c r="K843">
        <v>4</v>
      </c>
      <c r="L843" t="s">
        <v>55</v>
      </c>
      <c r="M843" t="s">
        <v>56</v>
      </c>
      <c r="N843" t="s">
        <v>40</v>
      </c>
      <c r="O843">
        <v>337046</v>
      </c>
      <c r="P843">
        <v>0</v>
      </c>
      <c r="Q843" t="s">
        <v>34</v>
      </c>
      <c r="R843" s="1">
        <v>43289</v>
      </c>
      <c r="S843" t="s">
        <v>34</v>
      </c>
      <c r="T843">
        <v>4</v>
      </c>
      <c r="U843">
        <v>3</v>
      </c>
      <c r="V843">
        <v>4</v>
      </c>
      <c r="W843">
        <v>0</v>
      </c>
      <c r="X843" t="s">
        <v>11023</v>
      </c>
      <c r="Y843" t="s">
        <v>11023</v>
      </c>
      <c r="Z843" t="str">
        <f>_xlfn.XLOOKUP(Employees[[#This Row],[Education]], EdLevel[EducationLevelID], EdLevel[EducationLevel])</f>
        <v xml:space="preserve">Masters </v>
      </c>
      <c r="AA843">
        <f>IF(Employees[[#This Row],[Attrition]] = "Yes", 1, 0)</f>
        <v>0</v>
      </c>
      <c r="AB843" t="str" cm="1">
        <f t="array" ref="AB843">_xlfn.IFS(Employees[[#This Row],[Age]]&lt;30, "20-29", Employees[[#This Row],[Age]]&lt;40, "30-39", Employees[[#This Row],[Age]]&lt;50, "40-49", "TRUE", "50+")</f>
        <v>20-29</v>
      </c>
    </row>
    <row r="844" spans="1:28">
      <c r="A844" t="s">
        <v>2526</v>
      </c>
      <c r="B844" t="s">
        <v>2527</v>
      </c>
      <c r="C844" t="s">
        <v>2528</v>
      </c>
      <c r="D844" t="s">
        <v>38</v>
      </c>
      <c r="E844">
        <v>25</v>
      </c>
      <c r="F844" t="s">
        <v>27</v>
      </c>
      <c r="G844" t="s">
        <v>28</v>
      </c>
      <c r="H844">
        <v>11</v>
      </c>
      <c r="I844" t="s">
        <v>39</v>
      </c>
      <c r="J844" t="s">
        <v>71</v>
      </c>
      <c r="K844">
        <v>3</v>
      </c>
      <c r="L844" t="s">
        <v>47</v>
      </c>
      <c r="M844" t="s">
        <v>32</v>
      </c>
      <c r="N844" t="s">
        <v>40</v>
      </c>
      <c r="O844">
        <v>58914</v>
      </c>
      <c r="P844">
        <v>0</v>
      </c>
      <c r="Q844" t="s">
        <v>34</v>
      </c>
      <c r="R844" s="1">
        <v>43292</v>
      </c>
      <c r="S844" t="s">
        <v>34</v>
      </c>
      <c r="T844">
        <v>4</v>
      </c>
      <c r="U844">
        <v>0</v>
      </c>
      <c r="V844">
        <v>1</v>
      </c>
      <c r="W844">
        <v>0</v>
      </c>
      <c r="X844" t="s">
        <v>11022</v>
      </c>
      <c r="Y844" t="s">
        <v>11022</v>
      </c>
      <c r="Z844" t="str">
        <f>_xlfn.XLOOKUP(Employees[[#This Row],[Education]], EdLevel[EducationLevelID], EdLevel[EducationLevel])</f>
        <v xml:space="preserve">Bachelors </v>
      </c>
      <c r="AA844">
        <f>IF(Employees[[#This Row],[Attrition]] = "Yes", 1, 0)</f>
        <v>0</v>
      </c>
      <c r="AB844" t="str" cm="1">
        <f t="array" ref="AB844">_xlfn.IFS(Employees[[#This Row],[Age]]&lt;30, "20-29", Employees[[#This Row],[Age]]&lt;40, "30-39", Employees[[#This Row],[Age]]&lt;50, "40-49", "TRUE", "50+")</f>
        <v>20-29</v>
      </c>
    </row>
    <row r="845" spans="1:28">
      <c r="A845" t="s">
        <v>2529</v>
      </c>
      <c r="B845" t="s">
        <v>2530</v>
      </c>
      <c r="C845" t="s">
        <v>2531</v>
      </c>
      <c r="D845" t="s">
        <v>26</v>
      </c>
      <c r="E845">
        <v>25</v>
      </c>
      <c r="F845" t="s">
        <v>27</v>
      </c>
      <c r="G845" t="s">
        <v>54</v>
      </c>
      <c r="H845">
        <v>23</v>
      </c>
      <c r="I845" t="s">
        <v>39</v>
      </c>
      <c r="J845" t="s">
        <v>66</v>
      </c>
      <c r="K845">
        <v>1</v>
      </c>
      <c r="L845" t="s">
        <v>72</v>
      </c>
      <c r="M845" t="s">
        <v>101</v>
      </c>
      <c r="N845" t="s">
        <v>40</v>
      </c>
      <c r="O845">
        <v>42656</v>
      </c>
      <c r="P845">
        <v>0</v>
      </c>
      <c r="Q845" t="s">
        <v>34</v>
      </c>
      <c r="R845" s="1">
        <v>43296</v>
      </c>
      <c r="S845" t="s">
        <v>34</v>
      </c>
      <c r="T845">
        <v>4</v>
      </c>
      <c r="U845">
        <v>1</v>
      </c>
      <c r="V845">
        <v>4</v>
      </c>
      <c r="W845">
        <v>2</v>
      </c>
      <c r="X845" t="s">
        <v>11020</v>
      </c>
      <c r="Y845" t="s">
        <v>11020</v>
      </c>
      <c r="Z845" t="str">
        <f>_xlfn.XLOOKUP(Employees[[#This Row],[Education]], EdLevel[EducationLevelID], EdLevel[EducationLevel])</f>
        <v>No Formal Qualifications</v>
      </c>
      <c r="AA845">
        <f>IF(Employees[[#This Row],[Attrition]] = "Yes", 1, 0)</f>
        <v>0</v>
      </c>
      <c r="AB845" t="str" cm="1">
        <f t="array" ref="AB845">_xlfn.IFS(Employees[[#This Row],[Age]]&lt;30, "20-29", Employees[[#This Row],[Age]]&lt;40, "30-39", Employees[[#This Row],[Age]]&lt;50, "40-49", "TRUE", "50+")</f>
        <v>20-29</v>
      </c>
    </row>
    <row r="846" spans="1:28">
      <c r="A846" t="s">
        <v>2532</v>
      </c>
      <c r="B846" t="s">
        <v>1786</v>
      </c>
      <c r="C846" t="s">
        <v>2311</v>
      </c>
      <c r="D846" t="s">
        <v>38</v>
      </c>
      <c r="E846">
        <v>22</v>
      </c>
      <c r="F846" t="s">
        <v>27</v>
      </c>
      <c r="G846" t="s">
        <v>54</v>
      </c>
      <c r="H846">
        <v>23</v>
      </c>
      <c r="I846" t="s">
        <v>39</v>
      </c>
      <c r="J846" t="s">
        <v>66</v>
      </c>
      <c r="K846">
        <v>3</v>
      </c>
      <c r="L846" t="s">
        <v>55</v>
      </c>
      <c r="M846" t="s">
        <v>85</v>
      </c>
      <c r="N846" t="s">
        <v>40</v>
      </c>
      <c r="O846">
        <v>37021</v>
      </c>
      <c r="P846">
        <v>0</v>
      </c>
      <c r="Q846" t="s">
        <v>34</v>
      </c>
      <c r="R846" s="1">
        <v>43296</v>
      </c>
      <c r="S846" t="s">
        <v>41</v>
      </c>
      <c r="T846">
        <v>3</v>
      </c>
      <c r="U846">
        <v>0</v>
      </c>
      <c r="V846">
        <v>1</v>
      </c>
      <c r="W846">
        <v>2</v>
      </c>
      <c r="X846" t="s">
        <v>11022</v>
      </c>
      <c r="Y846" t="s">
        <v>11022</v>
      </c>
      <c r="Z846" t="str">
        <f>_xlfn.XLOOKUP(Employees[[#This Row],[Education]], EdLevel[EducationLevelID], EdLevel[EducationLevel])</f>
        <v xml:space="preserve">Bachelors </v>
      </c>
      <c r="AA846">
        <f>IF(Employees[[#This Row],[Attrition]] = "Yes", 1, 0)</f>
        <v>1</v>
      </c>
      <c r="AB846" t="str" cm="1">
        <f t="array" ref="AB846">_xlfn.IFS(Employees[[#This Row],[Age]]&lt;30, "20-29", Employees[[#This Row],[Age]]&lt;40, "30-39", Employees[[#This Row],[Age]]&lt;50, "40-49", "TRUE", "50+")</f>
        <v>20-29</v>
      </c>
    </row>
    <row r="847" spans="1:28">
      <c r="A847" t="s">
        <v>2533</v>
      </c>
      <c r="B847" t="s">
        <v>2534</v>
      </c>
      <c r="C847" t="s">
        <v>2535</v>
      </c>
      <c r="D847" t="s">
        <v>38</v>
      </c>
      <c r="E847">
        <v>22</v>
      </c>
      <c r="F847" t="s">
        <v>27</v>
      </c>
      <c r="G847" t="s">
        <v>54</v>
      </c>
      <c r="H847">
        <v>3</v>
      </c>
      <c r="I847" t="s">
        <v>39</v>
      </c>
      <c r="J847" t="s">
        <v>92</v>
      </c>
      <c r="K847">
        <v>3</v>
      </c>
      <c r="L847" t="s">
        <v>55</v>
      </c>
      <c r="M847" t="s">
        <v>85</v>
      </c>
      <c r="N847" t="s">
        <v>40</v>
      </c>
      <c r="O847">
        <v>34753</v>
      </c>
      <c r="P847">
        <v>0</v>
      </c>
      <c r="Q847" t="s">
        <v>41</v>
      </c>
      <c r="R847" s="1">
        <v>43299</v>
      </c>
      <c r="S847" t="s">
        <v>41</v>
      </c>
      <c r="T847">
        <v>1</v>
      </c>
      <c r="U847">
        <v>0</v>
      </c>
      <c r="V847">
        <v>0</v>
      </c>
      <c r="W847">
        <v>0</v>
      </c>
      <c r="X847" t="s">
        <v>11022</v>
      </c>
      <c r="Y847" t="s">
        <v>11022</v>
      </c>
      <c r="Z847" t="str">
        <f>_xlfn.XLOOKUP(Employees[[#This Row],[Education]], EdLevel[EducationLevelID], EdLevel[EducationLevel])</f>
        <v xml:space="preserve">Bachelors </v>
      </c>
      <c r="AA847">
        <f>IF(Employees[[#This Row],[Attrition]] = "Yes", 1, 0)</f>
        <v>1</v>
      </c>
      <c r="AB847" t="str" cm="1">
        <f t="array" ref="AB847">_xlfn.IFS(Employees[[#This Row],[Age]]&lt;30, "20-29", Employees[[#This Row],[Age]]&lt;40, "30-39", Employees[[#This Row],[Age]]&lt;50, "40-49", "TRUE", "50+")</f>
        <v>20-29</v>
      </c>
    </row>
    <row r="848" spans="1:28">
      <c r="A848" t="s">
        <v>2536</v>
      </c>
      <c r="B848" t="s">
        <v>623</v>
      </c>
      <c r="C848" t="s">
        <v>2023</v>
      </c>
      <c r="D848" t="s">
        <v>26</v>
      </c>
      <c r="E848">
        <v>25</v>
      </c>
      <c r="F848" t="s">
        <v>27</v>
      </c>
      <c r="G848" t="s">
        <v>54</v>
      </c>
      <c r="H848">
        <v>37</v>
      </c>
      <c r="I848" t="s">
        <v>65</v>
      </c>
      <c r="J848" t="s">
        <v>66</v>
      </c>
      <c r="K848">
        <v>2</v>
      </c>
      <c r="L848" t="s">
        <v>72</v>
      </c>
      <c r="M848" t="s">
        <v>56</v>
      </c>
      <c r="N848" t="s">
        <v>49</v>
      </c>
      <c r="O848">
        <v>188516</v>
      </c>
      <c r="P848">
        <v>1</v>
      </c>
      <c r="Q848" t="s">
        <v>34</v>
      </c>
      <c r="R848" s="1">
        <v>43301</v>
      </c>
      <c r="S848" t="s">
        <v>34</v>
      </c>
      <c r="T848">
        <v>4</v>
      </c>
      <c r="U848">
        <v>1</v>
      </c>
      <c r="V848">
        <v>3</v>
      </c>
      <c r="W848">
        <v>1</v>
      </c>
      <c r="X848" t="s">
        <v>11021</v>
      </c>
      <c r="Y848" t="s">
        <v>11021</v>
      </c>
      <c r="Z848" t="str">
        <f>_xlfn.XLOOKUP(Employees[[#This Row],[Education]], EdLevel[EducationLevelID], EdLevel[EducationLevel])</f>
        <v xml:space="preserve">High School </v>
      </c>
      <c r="AA848">
        <f>IF(Employees[[#This Row],[Attrition]] = "Yes", 1, 0)</f>
        <v>0</v>
      </c>
      <c r="AB848" t="str" cm="1">
        <f t="array" ref="AB848">_xlfn.IFS(Employees[[#This Row],[Age]]&lt;30, "20-29", Employees[[#This Row],[Age]]&lt;40, "30-39", Employees[[#This Row],[Age]]&lt;50, "40-49", "TRUE", "50+")</f>
        <v>20-29</v>
      </c>
    </row>
    <row r="849" spans="1:28">
      <c r="A849" t="s">
        <v>2537</v>
      </c>
      <c r="B849" t="s">
        <v>2538</v>
      </c>
      <c r="C849" t="s">
        <v>2539</v>
      </c>
      <c r="D849" t="s">
        <v>53</v>
      </c>
      <c r="E849">
        <v>40</v>
      </c>
      <c r="F849" t="s">
        <v>27</v>
      </c>
      <c r="G849" t="s">
        <v>54</v>
      </c>
      <c r="H849">
        <v>40</v>
      </c>
      <c r="I849" t="s">
        <v>39</v>
      </c>
      <c r="J849" t="s">
        <v>30</v>
      </c>
      <c r="K849">
        <v>4</v>
      </c>
      <c r="L849" t="s">
        <v>55</v>
      </c>
      <c r="M849" t="s">
        <v>93</v>
      </c>
      <c r="N849" t="s">
        <v>33</v>
      </c>
      <c r="O849">
        <v>265523</v>
      </c>
      <c r="P849">
        <v>1</v>
      </c>
      <c r="Q849" t="s">
        <v>34</v>
      </c>
      <c r="R849" s="1">
        <v>43301</v>
      </c>
      <c r="S849" t="s">
        <v>34</v>
      </c>
      <c r="T849">
        <v>4</v>
      </c>
      <c r="U849">
        <v>1</v>
      </c>
      <c r="V849">
        <v>3</v>
      </c>
      <c r="W849">
        <v>1</v>
      </c>
      <c r="X849" t="s">
        <v>11023</v>
      </c>
      <c r="Y849" t="s">
        <v>11023</v>
      </c>
      <c r="Z849" t="str">
        <f>_xlfn.XLOOKUP(Employees[[#This Row],[Education]], EdLevel[EducationLevelID], EdLevel[EducationLevel])</f>
        <v xml:space="preserve">Masters </v>
      </c>
      <c r="AA849">
        <f>IF(Employees[[#This Row],[Attrition]] = "Yes", 1, 0)</f>
        <v>0</v>
      </c>
      <c r="AB849" t="str" cm="1">
        <f t="array" ref="AB849">_xlfn.IFS(Employees[[#This Row],[Age]]&lt;30, "20-29", Employees[[#This Row],[Age]]&lt;40, "30-39", Employees[[#This Row],[Age]]&lt;50, "40-49", "TRUE", "50+")</f>
        <v>40-49</v>
      </c>
    </row>
    <row r="850" spans="1:28">
      <c r="A850" t="s">
        <v>2540</v>
      </c>
      <c r="B850" t="s">
        <v>393</v>
      </c>
      <c r="C850" t="s">
        <v>2541</v>
      </c>
      <c r="D850" t="s">
        <v>38</v>
      </c>
      <c r="E850">
        <v>24</v>
      </c>
      <c r="F850" t="s">
        <v>84</v>
      </c>
      <c r="G850" t="s">
        <v>28</v>
      </c>
      <c r="H850">
        <v>44</v>
      </c>
      <c r="I850" t="s">
        <v>65</v>
      </c>
      <c r="J850" t="s">
        <v>71</v>
      </c>
      <c r="K850">
        <v>3</v>
      </c>
      <c r="L850" t="s">
        <v>31</v>
      </c>
      <c r="M850" t="s">
        <v>32</v>
      </c>
      <c r="N850" t="s">
        <v>49</v>
      </c>
      <c r="O850">
        <v>41741</v>
      </c>
      <c r="P850">
        <v>1</v>
      </c>
      <c r="Q850" t="s">
        <v>34</v>
      </c>
      <c r="R850" s="1">
        <v>43301</v>
      </c>
      <c r="S850" t="s">
        <v>34</v>
      </c>
      <c r="T850">
        <v>4</v>
      </c>
      <c r="U850">
        <v>0</v>
      </c>
      <c r="V850">
        <v>1</v>
      </c>
      <c r="W850">
        <v>0</v>
      </c>
      <c r="X850" t="s">
        <v>11022</v>
      </c>
      <c r="Y850" t="s">
        <v>11022</v>
      </c>
      <c r="Z850" t="str">
        <f>_xlfn.XLOOKUP(Employees[[#This Row],[Education]], EdLevel[EducationLevelID], EdLevel[EducationLevel])</f>
        <v xml:space="preserve">Bachelors </v>
      </c>
      <c r="AA850">
        <f>IF(Employees[[#This Row],[Attrition]] = "Yes", 1, 0)</f>
        <v>0</v>
      </c>
      <c r="AB850" t="str" cm="1">
        <f t="array" ref="AB850">_xlfn.IFS(Employees[[#This Row],[Age]]&lt;30, "20-29", Employees[[#This Row],[Age]]&lt;40, "30-39", Employees[[#This Row],[Age]]&lt;50, "40-49", "TRUE", "50+")</f>
        <v>20-29</v>
      </c>
    </row>
    <row r="851" spans="1:28">
      <c r="A851" t="s">
        <v>2542</v>
      </c>
      <c r="B851" t="s">
        <v>2543</v>
      </c>
      <c r="C851" t="s">
        <v>2544</v>
      </c>
      <c r="D851" t="s">
        <v>26</v>
      </c>
      <c r="E851">
        <v>24</v>
      </c>
      <c r="F851" t="s">
        <v>27</v>
      </c>
      <c r="G851" t="s">
        <v>28</v>
      </c>
      <c r="H851">
        <v>33</v>
      </c>
      <c r="I851" t="s">
        <v>39</v>
      </c>
      <c r="J851" t="s">
        <v>76</v>
      </c>
      <c r="K851">
        <v>3</v>
      </c>
      <c r="L851" t="s">
        <v>47</v>
      </c>
      <c r="M851" t="s">
        <v>32</v>
      </c>
      <c r="N851" t="s">
        <v>40</v>
      </c>
      <c r="O851">
        <v>91915</v>
      </c>
      <c r="P851">
        <v>0</v>
      </c>
      <c r="Q851" t="s">
        <v>34</v>
      </c>
      <c r="R851" s="1">
        <v>43304</v>
      </c>
      <c r="S851" t="s">
        <v>34</v>
      </c>
      <c r="T851">
        <v>4</v>
      </c>
      <c r="U851">
        <v>0</v>
      </c>
      <c r="V851">
        <v>4</v>
      </c>
      <c r="W851">
        <v>4</v>
      </c>
      <c r="X851" t="s">
        <v>11022</v>
      </c>
      <c r="Y851" t="s">
        <v>11022</v>
      </c>
      <c r="Z851" t="str">
        <f>_xlfn.XLOOKUP(Employees[[#This Row],[Education]], EdLevel[EducationLevelID], EdLevel[EducationLevel])</f>
        <v xml:space="preserve">Bachelors </v>
      </c>
      <c r="AA851">
        <f>IF(Employees[[#This Row],[Attrition]] = "Yes", 1, 0)</f>
        <v>0</v>
      </c>
      <c r="AB851" t="str" cm="1">
        <f t="array" ref="AB851">_xlfn.IFS(Employees[[#This Row],[Age]]&lt;30, "20-29", Employees[[#This Row],[Age]]&lt;40, "30-39", Employees[[#This Row],[Age]]&lt;50, "40-49", "TRUE", "50+")</f>
        <v>20-29</v>
      </c>
    </row>
    <row r="852" spans="1:28">
      <c r="A852" t="s">
        <v>2545</v>
      </c>
      <c r="B852" t="s">
        <v>2546</v>
      </c>
      <c r="C852" t="s">
        <v>2547</v>
      </c>
      <c r="D852" t="s">
        <v>38</v>
      </c>
      <c r="E852">
        <v>22</v>
      </c>
      <c r="F852" t="s">
        <v>84</v>
      </c>
      <c r="G852" t="s">
        <v>28</v>
      </c>
      <c r="H852">
        <v>33</v>
      </c>
      <c r="I852" t="s">
        <v>65</v>
      </c>
      <c r="J852" t="s">
        <v>30</v>
      </c>
      <c r="K852">
        <v>3</v>
      </c>
      <c r="L852" t="s">
        <v>31</v>
      </c>
      <c r="M852" t="s">
        <v>150</v>
      </c>
      <c r="N852" t="s">
        <v>49</v>
      </c>
      <c r="O852">
        <v>33657</v>
      </c>
      <c r="P852">
        <v>1</v>
      </c>
      <c r="Q852" t="s">
        <v>34</v>
      </c>
      <c r="R852" s="1">
        <v>43304</v>
      </c>
      <c r="S852" t="s">
        <v>41</v>
      </c>
      <c r="T852">
        <v>3</v>
      </c>
      <c r="U852">
        <v>0</v>
      </c>
      <c r="V852">
        <v>2</v>
      </c>
      <c r="W852">
        <v>0</v>
      </c>
      <c r="X852" t="s">
        <v>11022</v>
      </c>
      <c r="Y852" t="s">
        <v>11022</v>
      </c>
      <c r="Z852" t="str">
        <f>_xlfn.XLOOKUP(Employees[[#This Row],[Education]], EdLevel[EducationLevelID], EdLevel[EducationLevel])</f>
        <v xml:space="preserve">Bachelors </v>
      </c>
      <c r="AA852">
        <f>IF(Employees[[#This Row],[Attrition]] = "Yes", 1, 0)</f>
        <v>1</v>
      </c>
      <c r="AB852" t="str" cm="1">
        <f t="array" ref="AB852">_xlfn.IFS(Employees[[#This Row],[Age]]&lt;30, "20-29", Employees[[#This Row],[Age]]&lt;40, "30-39", Employees[[#This Row],[Age]]&lt;50, "40-49", "TRUE", "50+")</f>
        <v>20-29</v>
      </c>
    </row>
    <row r="853" spans="1:28">
      <c r="A853" t="s">
        <v>2548</v>
      </c>
      <c r="B853" t="s">
        <v>2549</v>
      </c>
      <c r="C853" t="s">
        <v>2550</v>
      </c>
      <c r="D853" t="s">
        <v>26</v>
      </c>
      <c r="E853">
        <v>25</v>
      </c>
      <c r="F853" t="s">
        <v>27</v>
      </c>
      <c r="G853" t="s">
        <v>54</v>
      </c>
      <c r="H853">
        <v>10</v>
      </c>
      <c r="I853" t="s">
        <v>39</v>
      </c>
      <c r="J853" t="s">
        <v>66</v>
      </c>
      <c r="K853">
        <v>3</v>
      </c>
      <c r="L853" t="s">
        <v>72</v>
      </c>
      <c r="M853" t="s">
        <v>85</v>
      </c>
      <c r="N853" t="s">
        <v>40</v>
      </c>
      <c r="O853">
        <v>23198</v>
      </c>
      <c r="P853">
        <v>0</v>
      </c>
      <c r="Q853" t="s">
        <v>34</v>
      </c>
      <c r="R853" s="1">
        <v>43307</v>
      </c>
      <c r="S853" t="s">
        <v>34</v>
      </c>
      <c r="T853">
        <v>4</v>
      </c>
      <c r="U853">
        <v>0</v>
      </c>
      <c r="V853">
        <v>3</v>
      </c>
      <c r="W853">
        <v>0</v>
      </c>
      <c r="X853" t="s">
        <v>11022</v>
      </c>
      <c r="Y853" t="s">
        <v>11022</v>
      </c>
      <c r="Z853" t="str">
        <f>_xlfn.XLOOKUP(Employees[[#This Row],[Education]], EdLevel[EducationLevelID], EdLevel[EducationLevel])</f>
        <v xml:space="preserve">Bachelors </v>
      </c>
      <c r="AA853">
        <f>IF(Employees[[#This Row],[Attrition]] = "Yes", 1, 0)</f>
        <v>0</v>
      </c>
      <c r="AB853" t="str" cm="1">
        <f t="array" ref="AB853">_xlfn.IFS(Employees[[#This Row],[Age]]&lt;30, "20-29", Employees[[#This Row],[Age]]&lt;40, "30-39", Employees[[#This Row],[Age]]&lt;50, "40-49", "TRUE", "50+")</f>
        <v>20-29</v>
      </c>
    </row>
    <row r="854" spans="1:28">
      <c r="A854" t="s">
        <v>2551</v>
      </c>
      <c r="B854" t="s">
        <v>2552</v>
      </c>
      <c r="C854" t="s">
        <v>2553</v>
      </c>
      <c r="D854" t="s">
        <v>38</v>
      </c>
      <c r="E854">
        <v>24</v>
      </c>
      <c r="F854" t="s">
        <v>84</v>
      </c>
      <c r="G854" t="s">
        <v>54</v>
      </c>
      <c r="H854">
        <v>14</v>
      </c>
      <c r="I854" t="s">
        <v>39</v>
      </c>
      <c r="J854" t="s">
        <v>66</v>
      </c>
      <c r="K854">
        <v>4</v>
      </c>
      <c r="L854" t="s">
        <v>55</v>
      </c>
      <c r="M854" t="s">
        <v>85</v>
      </c>
      <c r="N854" t="s">
        <v>33</v>
      </c>
      <c r="O854">
        <v>67538</v>
      </c>
      <c r="P854">
        <v>1</v>
      </c>
      <c r="Q854" t="s">
        <v>34</v>
      </c>
      <c r="R854" s="1">
        <v>43309</v>
      </c>
      <c r="S854" t="s">
        <v>34</v>
      </c>
      <c r="T854">
        <v>4</v>
      </c>
      <c r="U854">
        <v>3</v>
      </c>
      <c r="V854">
        <v>4</v>
      </c>
      <c r="W854">
        <v>2</v>
      </c>
      <c r="X854" t="s">
        <v>11023</v>
      </c>
      <c r="Y854" t="s">
        <v>11023</v>
      </c>
      <c r="Z854" t="str">
        <f>_xlfn.XLOOKUP(Employees[[#This Row],[Education]], EdLevel[EducationLevelID], EdLevel[EducationLevel])</f>
        <v xml:space="preserve">Masters </v>
      </c>
      <c r="AA854">
        <f>IF(Employees[[#This Row],[Attrition]] = "Yes", 1, 0)</f>
        <v>0</v>
      </c>
      <c r="AB854" t="str" cm="1">
        <f t="array" ref="AB854">_xlfn.IFS(Employees[[#This Row],[Age]]&lt;30, "20-29", Employees[[#This Row],[Age]]&lt;40, "30-39", Employees[[#This Row],[Age]]&lt;50, "40-49", "TRUE", "50+")</f>
        <v>20-29</v>
      </c>
    </row>
    <row r="855" spans="1:28">
      <c r="A855" t="s">
        <v>2554</v>
      </c>
      <c r="B855" t="s">
        <v>2555</v>
      </c>
      <c r="C855" t="s">
        <v>2556</v>
      </c>
      <c r="D855" t="s">
        <v>38</v>
      </c>
      <c r="E855">
        <v>24</v>
      </c>
      <c r="F855" t="s">
        <v>27</v>
      </c>
      <c r="G855" t="s">
        <v>54</v>
      </c>
      <c r="H855">
        <v>1</v>
      </c>
      <c r="I855" t="s">
        <v>39</v>
      </c>
      <c r="J855" t="s">
        <v>30</v>
      </c>
      <c r="K855">
        <v>3</v>
      </c>
      <c r="L855" t="s">
        <v>77</v>
      </c>
      <c r="M855" t="s">
        <v>101</v>
      </c>
      <c r="N855" t="s">
        <v>40</v>
      </c>
      <c r="O855">
        <v>54501</v>
      </c>
      <c r="P855">
        <v>0</v>
      </c>
      <c r="Q855" t="s">
        <v>34</v>
      </c>
      <c r="R855" s="1">
        <v>43313</v>
      </c>
      <c r="S855" t="s">
        <v>34</v>
      </c>
      <c r="T855">
        <v>4</v>
      </c>
      <c r="U855">
        <v>4</v>
      </c>
      <c r="V855">
        <v>4</v>
      </c>
      <c r="W855">
        <v>2</v>
      </c>
      <c r="X855" t="s">
        <v>11022</v>
      </c>
      <c r="Y855" t="s">
        <v>11022</v>
      </c>
      <c r="Z855" t="str">
        <f>_xlfn.XLOOKUP(Employees[[#This Row],[Education]], EdLevel[EducationLevelID], EdLevel[EducationLevel])</f>
        <v xml:space="preserve">Bachelors </v>
      </c>
      <c r="AA855">
        <f>IF(Employees[[#This Row],[Attrition]] = "Yes", 1, 0)</f>
        <v>0</v>
      </c>
      <c r="AB855" t="str" cm="1">
        <f t="array" ref="AB855">_xlfn.IFS(Employees[[#This Row],[Age]]&lt;30, "20-29", Employees[[#This Row],[Age]]&lt;40, "30-39", Employees[[#This Row],[Age]]&lt;50, "40-49", "TRUE", "50+")</f>
        <v>20-29</v>
      </c>
    </row>
    <row r="856" spans="1:28">
      <c r="A856" t="s">
        <v>2557</v>
      </c>
      <c r="B856" t="s">
        <v>2558</v>
      </c>
      <c r="C856" t="s">
        <v>2559</v>
      </c>
      <c r="D856" t="s">
        <v>26</v>
      </c>
      <c r="E856">
        <v>24</v>
      </c>
      <c r="F856" t="s">
        <v>27</v>
      </c>
      <c r="G856" t="s">
        <v>28</v>
      </c>
      <c r="H856">
        <v>8</v>
      </c>
      <c r="I856" t="s">
        <v>39</v>
      </c>
      <c r="J856" t="s">
        <v>30</v>
      </c>
      <c r="K856">
        <v>4</v>
      </c>
      <c r="L856" t="s">
        <v>31</v>
      </c>
      <c r="M856" t="s">
        <v>150</v>
      </c>
      <c r="N856" t="s">
        <v>49</v>
      </c>
      <c r="O856">
        <v>50513</v>
      </c>
      <c r="P856">
        <v>1</v>
      </c>
      <c r="Q856" t="s">
        <v>34</v>
      </c>
      <c r="R856" s="1">
        <v>43316</v>
      </c>
      <c r="S856" t="s">
        <v>34</v>
      </c>
      <c r="T856">
        <v>4</v>
      </c>
      <c r="U856">
        <v>0</v>
      </c>
      <c r="V856">
        <v>4</v>
      </c>
      <c r="W856">
        <v>1</v>
      </c>
      <c r="X856" t="s">
        <v>11023</v>
      </c>
      <c r="Y856" t="s">
        <v>11023</v>
      </c>
      <c r="Z856" t="str">
        <f>_xlfn.XLOOKUP(Employees[[#This Row],[Education]], EdLevel[EducationLevelID], EdLevel[EducationLevel])</f>
        <v xml:space="preserve">Masters </v>
      </c>
      <c r="AA856">
        <f>IF(Employees[[#This Row],[Attrition]] = "Yes", 1, 0)</f>
        <v>0</v>
      </c>
      <c r="AB856" t="str" cm="1">
        <f t="array" ref="AB856">_xlfn.IFS(Employees[[#This Row],[Age]]&lt;30, "20-29", Employees[[#This Row],[Age]]&lt;40, "30-39", Employees[[#This Row],[Age]]&lt;50, "40-49", "TRUE", "50+")</f>
        <v>20-29</v>
      </c>
    </row>
    <row r="857" spans="1:28">
      <c r="A857" t="s">
        <v>2560</v>
      </c>
      <c r="B857" t="s">
        <v>2561</v>
      </c>
      <c r="C857" t="s">
        <v>2562</v>
      </c>
      <c r="D857" t="s">
        <v>38</v>
      </c>
      <c r="E857">
        <v>22</v>
      </c>
      <c r="F857" t="s">
        <v>27</v>
      </c>
      <c r="G857" t="s">
        <v>54</v>
      </c>
      <c r="H857">
        <v>8</v>
      </c>
      <c r="I857" t="s">
        <v>65</v>
      </c>
      <c r="J857" t="s">
        <v>30</v>
      </c>
      <c r="K857">
        <v>1</v>
      </c>
      <c r="L857" t="s">
        <v>72</v>
      </c>
      <c r="M857" t="s">
        <v>85</v>
      </c>
      <c r="N857" t="s">
        <v>33</v>
      </c>
      <c r="O857">
        <v>54371</v>
      </c>
      <c r="P857">
        <v>3</v>
      </c>
      <c r="Q857" t="s">
        <v>34</v>
      </c>
      <c r="R857" s="1">
        <v>43318</v>
      </c>
      <c r="S857" t="s">
        <v>34</v>
      </c>
      <c r="T857">
        <v>4</v>
      </c>
      <c r="U857">
        <v>4</v>
      </c>
      <c r="V857">
        <v>4</v>
      </c>
      <c r="W857">
        <v>2</v>
      </c>
      <c r="X857" t="s">
        <v>11020</v>
      </c>
      <c r="Y857" t="s">
        <v>11020</v>
      </c>
      <c r="Z857" t="str">
        <f>_xlfn.XLOOKUP(Employees[[#This Row],[Education]], EdLevel[EducationLevelID], EdLevel[EducationLevel])</f>
        <v>No Formal Qualifications</v>
      </c>
      <c r="AA857">
        <f>IF(Employees[[#This Row],[Attrition]] = "Yes", 1, 0)</f>
        <v>0</v>
      </c>
      <c r="AB857" t="str" cm="1">
        <f t="array" ref="AB857">_xlfn.IFS(Employees[[#This Row],[Age]]&lt;30, "20-29", Employees[[#This Row],[Age]]&lt;40, "30-39", Employees[[#This Row],[Age]]&lt;50, "40-49", "TRUE", "50+")</f>
        <v>20-29</v>
      </c>
    </row>
    <row r="858" spans="1:28">
      <c r="A858" t="s">
        <v>2563</v>
      </c>
      <c r="B858" t="s">
        <v>2564</v>
      </c>
      <c r="C858" t="s">
        <v>2565</v>
      </c>
      <c r="D858" t="s">
        <v>38</v>
      </c>
      <c r="E858">
        <v>24</v>
      </c>
      <c r="F858" t="s">
        <v>84</v>
      </c>
      <c r="G858" t="s">
        <v>28</v>
      </c>
      <c r="H858">
        <v>23</v>
      </c>
      <c r="I858" t="s">
        <v>39</v>
      </c>
      <c r="J858" t="s">
        <v>46</v>
      </c>
      <c r="K858">
        <v>2</v>
      </c>
      <c r="L858" t="s">
        <v>121</v>
      </c>
      <c r="M858" t="s">
        <v>150</v>
      </c>
      <c r="N858" t="s">
        <v>40</v>
      </c>
      <c r="O858">
        <v>38448</v>
      </c>
      <c r="P858">
        <v>0</v>
      </c>
      <c r="Q858" t="s">
        <v>41</v>
      </c>
      <c r="R858" s="1">
        <v>43321</v>
      </c>
      <c r="S858" t="s">
        <v>41</v>
      </c>
      <c r="T858">
        <v>4</v>
      </c>
      <c r="U858">
        <v>3</v>
      </c>
      <c r="V858">
        <v>3</v>
      </c>
      <c r="W858">
        <v>2</v>
      </c>
      <c r="X858" t="s">
        <v>11021</v>
      </c>
      <c r="Y858" t="s">
        <v>11021</v>
      </c>
      <c r="Z858" t="str">
        <f>_xlfn.XLOOKUP(Employees[[#This Row],[Education]], EdLevel[EducationLevelID], EdLevel[EducationLevel])</f>
        <v xml:space="preserve">High School </v>
      </c>
      <c r="AA858">
        <f>IF(Employees[[#This Row],[Attrition]] = "Yes", 1, 0)</f>
        <v>1</v>
      </c>
      <c r="AB858" t="str" cm="1">
        <f t="array" ref="AB858">_xlfn.IFS(Employees[[#This Row],[Age]]&lt;30, "20-29", Employees[[#This Row],[Age]]&lt;40, "30-39", Employees[[#This Row],[Age]]&lt;50, "40-49", "TRUE", "50+")</f>
        <v>20-29</v>
      </c>
    </row>
    <row r="859" spans="1:28">
      <c r="A859" t="s">
        <v>2566</v>
      </c>
      <c r="B859" t="s">
        <v>2567</v>
      </c>
      <c r="C859" t="s">
        <v>2568</v>
      </c>
      <c r="D859" t="s">
        <v>26</v>
      </c>
      <c r="E859">
        <v>36</v>
      </c>
      <c r="F859" t="s">
        <v>27</v>
      </c>
      <c r="G859" t="s">
        <v>54</v>
      </c>
      <c r="H859">
        <v>14</v>
      </c>
      <c r="I859" t="s">
        <v>39</v>
      </c>
      <c r="J859" t="s">
        <v>137</v>
      </c>
      <c r="K859">
        <v>3</v>
      </c>
      <c r="L859" t="s">
        <v>178</v>
      </c>
      <c r="M859" t="s">
        <v>93</v>
      </c>
      <c r="N859" t="s">
        <v>49</v>
      </c>
      <c r="O859">
        <v>251681</v>
      </c>
      <c r="P859">
        <v>1</v>
      </c>
      <c r="Q859" t="s">
        <v>34</v>
      </c>
      <c r="R859" s="1">
        <v>43324</v>
      </c>
      <c r="S859" t="s">
        <v>34</v>
      </c>
      <c r="T859">
        <v>4</v>
      </c>
      <c r="U859">
        <v>2</v>
      </c>
      <c r="V859">
        <v>3</v>
      </c>
      <c r="W859">
        <v>3</v>
      </c>
      <c r="X859" t="s">
        <v>11022</v>
      </c>
      <c r="Y859" t="s">
        <v>11022</v>
      </c>
      <c r="Z859" t="str">
        <f>_xlfn.XLOOKUP(Employees[[#This Row],[Education]], EdLevel[EducationLevelID], EdLevel[EducationLevel])</f>
        <v xml:space="preserve">Bachelors </v>
      </c>
      <c r="AA859">
        <f>IF(Employees[[#This Row],[Attrition]] = "Yes", 1, 0)</f>
        <v>0</v>
      </c>
      <c r="AB859" t="str" cm="1">
        <f t="array" ref="AB859">_xlfn.IFS(Employees[[#This Row],[Age]]&lt;30, "20-29", Employees[[#This Row],[Age]]&lt;40, "30-39", Employees[[#This Row],[Age]]&lt;50, "40-49", "TRUE", "50+")</f>
        <v>30-39</v>
      </c>
    </row>
    <row r="860" spans="1:28">
      <c r="A860" t="s">
        <v>2569</v>
      </c>
      <c r="B860" t="s">
        <v>2570</v>
      </c>
      <c r="C860" t="s">
        <v>2571</v>
      </c>
      <c r="D860" t="s">
        <v>26</v>
      </c>
      <c r="E860">
        <v>24</v>
      </c>
      <c r="F860" t="s">
        <v>27</v>
      </c>
      <c r="G860" t="s">
        <v>54</v>
      </c>
      <c r="H860">
        <v>11</v>
      </c>
      <c r="I860" t="s">
        <v>39</v>
      </c>
      <c r="J860" t="s">
        <v>30</v>
      </c>
      <c r="K860">
        <v>3</v>
      </c>
      <c r="L860" t="s">
        <v>55</v>
      </c>
      <c r="M860" t="s">
        <v>105</v>
      </c>
      <c r="N860" t="s">
        <v>49</v>
      </c>
      <c r="O860">
        <v>65486</v>
      </c>
      <c r="P860">
        <v>1</v>
      </c>
      <c r="Q860" t="s">
        <v>34</v>
      </c>
      <c r="R860" s="1">
        <v>43326</v>
      </c>
      <c r="S860" t="s">
        <v>34</v>
      </c>
      <c r="T860">
        <v>4</v>
      </c>
      <c r="U860">
        <v>4</v>
      </c>
      <c r="V860">
        <v>4</v>
      </c>
      <c r="W860">
        <v>0</v>
      </c>
      <c r="X860" t="s">
        <v>11022</v>
      </c>
      <c r="Y860" t="s">
        <v>11022</v>
      </c>
      <c r="Z860" t="str">
        <f>_xlfn.XLOOKUP(Employees[[#This Row],[Education]], EdLevel[EducationLevelID], EdLevel[EducationLevel])</f>
        <v xml:space="preserve">Bachelors </v>
      </c>
      <c r="AA860">
        <f>IF(Employees[[#This Row],[Attrition]] = "Yes", 1, 0)</f>
        <v>0</v>
      </c>
      <c r="AB860" t="str" cm="1">
        <f t="array" ref="AB860">_xlfn.IFS(Employees[[#This Row],[Age]]&lt;30, "20-29", Employees[[#This Row],[Age]]&lt;40, "30-39", Employees[[#This Row],[Age]]&lt;50, "40-49", "TRUE", "50+")</f>
        <v>20-29</v>
      </c>
    </row>
    <row r="861" spans="1:28">
      <c r="A861" t="s">
        <v>2572</v>
      </c>
      <c r="B861" t="s">
        <v>2573</v>
      </c>
      <c r="C861" t="s">
        <v>2574</v>
      </c>
      <c r="D861" t="s">
        <v>26</v>
      </c>
      <c r="E861">
        <v>24</v>
      </c>
      <c r="F861" t="s">
        <v>27</v>
      </c>
      <c r="G861" t="s">
        <v>54</v>
      </c>
      <c r="H861">
        <v>4</v>
      </c>
      <c r="I861" t="s">
        <v>39</v>
      </c>
      <c r="J861" t="s">
        <v>71</v>
      </c>
      <c r="K861">
        <v>3</v>
      </c>
      <c r="L861" t="s">
        <v>178</v>
      </c>
      <c r="M861" t="s">
        <v>85</v>
      </c>
      <c r="N861" t="s">
        <v>49</v>
      </c>
      <c r="O861">
        <v>41555</v>
      </c>
      <c r="P861">
        <v>1</v>
      </c>
      <c r="Q861" t="s">
        <v>34</v>
      </c>
      <c r="R861" s="1">
        <v>43328</v>
      </c>
      <c r="S861" t="s">
        <v>34</v>
      </c>
      <c r="T861">
        <v>4</v>
      </c>
      <c r="U861">
        <v>4</v>
      </c>
      <c r="V861">
        <v>4</v>
      </c>
      <c r="W861">
        <v>2</v>
      </c>
      <c r="X861" t="s">
        <v>11022</v>
      </c>
      <c r="Y861" t="s">
        <v>11022</v>
      </c>
      <c r="Z861" t="str">
        <f>_xlfn.XLOOKUP(Employees[[#This Row],[Education]], EdLevel[EducationLevelID], EdLevel[EducationLevel])</f>
        <v xml:space="preserve">Bachelors </v>
      </c>
      <c r="AA861">
        <f>IF(Employees[[#This Row],[Attrition]] = "Yes", 1, 0)</f>
        <v>0</v>
      </c>
      <c r="AB861" t="str" cm="1">
        <f t="array" ref="AB861">_xlfn.IFS(Employees[[#This Row],[Age]]&lt;30, "20-29", Employees[[#This Row],[Age]]&lt;40, "30-39", Employees[[#This Row],[Age]]&lt;50, "40-49", "TRUE", "50+")</f>
        <v>20-29</v>
      </c>
    </row>
    <row r="862" spans="1:28">
      <c r="A862" t="s">
        <v>2575</v>
      </c>
      <c r="B862" t="s">
        <v>2576</v>
      </c>
      <c r="C862" t="s">
        <v>2577</v>
      </c>
      <c r="D862" t="s">
        <v>53</v>
      </c>
      <c r="E862">
        <v>24</v>
      </c>
      <c r="F862" t="s">
        <v>27</v>
      </c>
      <c r="G862" t="s">
        <v>54</v>
      </c>
      <c r="H862">
        <v>1</v>
      </c>
      <c r="I862" t="s">
        <v>39</v>
      </c>
      <c r="J862" t="s">
        <v>30</v>
      </c>
      <c r="K862">
        <v>3</v>
      </c>
      <c r="L862" t="s">
        <v>178</v>
      </c>
      <c r="M862" t="s">
        <v>101</v>
      </c>
      <c r="N862" t="s">
        <v>33</v>
      </c>
      <c r="O862">
        <v>35199</v>
      </c>
      <c r="P862">
        <v>1</v>
      </c>
      <c r="Q862" t="s">
        <v>34</v>
      </c>
      <c r="R862" s="1">
        <v>43328</v>
      </c>
      <c r="S862" t="s">
        <v>34</v>
      </c>
      <c r="T862">
        <v>4</v>
      </c>
      <c r="U862">
        <v>0</v>
      </c>
      <c r="V862">
        <v>0</v>
      </c>
      <c r="W862">
        <v>1</v>
      </c>
      <c r="X862" t="s">
        <v>11022</v>
      </c>
      <c r="Y862" t="s">
        <v>11022</v>
      </c>
      <c r="Z862" t="str">
        <f>_xlfn.XLOOKUP(Employees[[#This Row],[Education]], EdLevel[EducationLevelID], EdLevel[EducationLevel])</f>
        <v xml:space="preserve">Bachelors </v>
      </c>
      <c r="AA862">
        <f>IF(Employees[[#This Row],[Attrition]] = "Yes", 1, 0)</f>
        <v>0</v>
      </c>
      <c r="AB862" t="str" cm="1">
        <f t="array" ref="AB862">_xlfn.IFS(Employees[[#This Row],[Age]]&lt;30, "20-29", Employees[[#This Row],[Age]]&lt;40, "30-39", Employees[[#This Row],[Age]]&lt;50, "40-49", "TRUE", "50+")</f>
        <v>20-29</v>
      </c>
    </row>
    <row r="863" spans="1:28">
      <c r="A863" t="s">
        <v>2578</v>
      </c>
      <c r="B863" t="s">
        <v>2579</v>
      </c>
      <c r="C863" t="s">
        <v>2580</v>
      </c>
      <c r="D863" t="s">
        <v>38</v>
      </c>
      <c r="E863">
        <v>24</v>
      </c>
      <c r="F863" t="s">
        <v>27</v>
      </c>
      <c r="G863" t="s">
        <v>28</v>
      </c>
      <c r="H863">
        <v>16</v>
      </c>
      <c r="I863" t="s">
        <v>39</v>
      </c>
      <c r="J863" t="s">
        <v>66</v>
      </c>
      <c r="K863">
        <v>3</v>
      </c>
      <c r="L863" t="s">
        <v>31</v>
      </c>
      <c r="M863" t="s">
        <v>32</v>
      </c>
      <c r="N863" t="s">
        <v>40</v>
      </c>
      <c r="O863">
        <v>116132</v>
      </c>
      <c r="P863">
        <v>0</v>
      </c>
      <c r="Q863" t="s">
        <v>34</v>
      </c>
      <c r="R863" s="1">
        <v>43332</v>
      </c>
      <c r="S863" t="s">
        <v>34</v>
      </c>
      <c r="T863">
        <v>4</v>
      </c>
      <c r="U863">
        <v>1</v>
      </c>
      <c r="V863">
        <v>4</v>
      </c>
      <c r="W863">
        <v>1</v>
      </c>
      <c r="X863" t="s">
        <v>11022</v>
      </c>
      <c r="Y863" t="s">
        <v>11022</v>
      </c>
      <c r="Z863" t="str">
        <f>_xlfn.XLOOKUP(Employees[[#This Row],[Education]], EdLevel[EducationLevelID], EdLevel[EducationLevel])</f>
        <v xml:space="preserve">Bachelors </v>
      </c>
      <c r="AA863">
        <f>IF(Employees[[#This Row],[Attrition]] = "Yes", 1, 0)</f>
        <v>0</v>
      </c>
      <c r="AB863" t="str" cm="1">
        <f t="array" ref="AB863">_xlfn.IFS(Employees[[#This Row],[Age]]&lt;30, "20-29", Employees[[#This Row],[Age]]&lt;40, "30-39", Employees[[#This Row],[Age]]&lt;50, "40-49", "TRUE", "50+")</f>
        <v>20-29</v>
      </c>
    </row>
    <row r="864" spans="1:28">
      <c r="A864" t="s">
        <v>2581</v>
      </c>
      <c r="B864" t="s">
        <v>2582</v>
      </c>
      <c r="C864" t="s">
        <v>2583</v>
      </c>
      <c r="D864" t="s">
        <v>26</v>
      </c>
      <c r="E864">
        <v>24</v>
      </c>
      <c r="F864" t="s">
        <v>27</v>
      </c>
      <c r="G864" t="s">
        <v>54</v>
      </c>
      <c r="H864">
        <v>13</v>
      </c>
      <c r="I864" t="s">
        <v>65</v>
      </c>
      <c r="J864" t="s">
        <v>30</v>
      </c>
      <c r="K864">
        <v>4</v>
      </c>
      <c r="L864" t="s">
        <v>55</v>
      </c>
      <c r="M864" t="s">
        <v>85</v>
      </c>
      <c r="N864" t="s">
        <v>40</v>
      </c>
      <c r="O864">
        <v>30117</v>
      </c>
      <c r="P864">
        <v>0</v>
      </c>
      <c r="Q864" t="s">
        <v>34</v>
      </c>
      <c r="R864" s="1">
        <v>43333</v>
      </c>
      <c r="S864" t="s">
        <v>41</v>
      </c>
      <c r="T864">
        <v>3</v>
      </c>
      <c r="U864">
        <v>1</v>
      </c>
      <c r="V864">
        <v>1</v>
      </c>
      <c r="W864">
        <v>2</v>
      </c>
      <c r="X864" t="s">
        <v>11023</v>
      </c>
      <c r="Y864" t="s">
        <v>11023</v>
      </c>
      <c r="Z864" t="str">
        <f>_xlfn.XLOOKUP(Employees[[#This Row],[Education]], EdLevel[EducationLevelID], EdLevel[EducationLevel])</f>
        <v xml:space="preserve">Masters </v>
      </c>
      <c r="AA864">
        <f>IF(Employees[[#This Row],[Attrition]] = "Yes", 1, 0)</f>
        <v>1</v>
      </c>
      <c r="AB864" t="str" cm="1">
        <f t="array" ref="AB864">_xlfn.IFS(Employees[[#This Row],[Age]]&lt;30, "20-29", Employees[[#This Row],[Age]]&lt;40, "30-39", Employees[[#This Row],[Age]]&lt;50, "40-49", "TRUE", "50+")</f>
        <v>20-29</v>
      </c>
    </row>
    <row r="865" spans="1:28">
      <c r="A865" t="s">
        <v>2584</v>
      </c>
      <c r="B865" t="s">
        <v>2585</v>
      </c>
      <c r="C865" t="s">
        <v>2586</v>
      </c>
      <c r="D865" t="s">
        <v>26</v>
      </c>
      <c r="E865">
        <v>44</v>
      </c>
      <c r="F865" t="s">
        <v>84</v>
      </c>
      <c r="G865" t="s">
        <v>54</v>
      </c>
      <c r="H865">
        <v>29</v>
      </c>
      <c r="I865" t="s">
        <v>39</v>
      </c>
      <c r="J865" t="s">
        <v>66</v>
      </c>
      <c r="K865">
        <v>1</v>
      </c>
      <c r="L865" t="s">
        <v>55</v>
      </c>
      <c r="M865" t="s">
        <v>93</v>
      </c>
      <c r="N865" t="s">
        <v>49</v>
      </c>
      <c r="O865">
        <v>303779</v>
      </c>
      <c r="P865">
        <v>1</v>
      </c>
      <c r="Q865" t="s">
        <v>34</v>
      </c>
      <c r="R865" s="1">
        <v>43336</v>
      </c>
      <c r="S865" t="s">
        <v>34</v>
      </c>
      <c r="T865">
        <v>4</v>
      </c>
      <c r="U865">
        <v>0</v>
      </c>
      <c r="V865">
        <v>0</v>
      </c>
      <c r="W865">
        <v>0</v>
      </c>
      <c r="X865" t="s">
        <v>11020</v>
      </c>
      <c r="Y865" t="s">
        <v>11020</v>
      </c>
      <c r="Z865" t="str">
        <f>_xlfn.XLOOKUP(Employees[[#This Row],[Education]], EdLevel[EducationLevelID], EdLevel[EducationLevel])</f>
        <v>No Formal Qualifications</v>
      </c>
      <c r="AA865">
        <f>IF(Employees[[#This Row],[Attrition]] = "Yes", 1, 0)</f>
        <v>0</v>
      </c>
      <c r="AB865" t="str" cm="1">
        <f t="array" ref="AB865">_xlfn.IFS(Employees[[#This Row],[Age]]&lt;30, "20-29", Employees[[#This Row],[Age]]&lt;40, "30-39", Employees[[#This Row],[Age]]&lt;50, "40-49", "TRUE", "50+")</f>
        <v>40-49</v>
      </c>
    </row>
    <row r="866" spans="1:28">
      <c r="A866" t="s">
        <v>2587</v>
      </c>
      <c r="B866" t="s">
        <v>2588</v>
      </c>
      <c r="C866" t="s">
        <v>2589</v>
      </c>
      <c r="D866" t="s">
        <v>26</v>
      </c>
      <c r="E866">
        <v>24</v>
      </c>
      <c r="F866" t="s">
        <v>27</v>
      </c>
      <c r="G866" t="s">
        <v>54</v>
      </c>
      <c r="H866">
        <v>18</v>
      </c>
      <c r="I866" t="s">
        <v>39</v>
      </c>
      <c r="J866" t="s">
        <v>66</v>
      </c>
      <c r="K866">
        <v>4</v>
      </c>
      <c r="L866" t="s">
        <v>55</v>
      </c>
      <c r="M866" t="s">
        <v>85</v>
      </c>
      <c r="N866" t="s">
        <v>33</v>
      </c>
      <c r="O866">
        <v>28539</v>
      </c>
      <c r="P866">
        <v>2</v>
      </c>
      <c r="Q866" t="s">
        <v>34</v>
      </c>
      <c r="R866" s="1">
        <v>43345</v>
      </c>
      <c r="S866" t="s">
        <v>34</v>
      </c>
      <c r="T866">
        <v>4</v>
      </c>
      <c r="U866">
        <v>1</v>
      </c>
      <c r="V866">
        <v>2</v>
      </c>
      <c r="W866">
        <v>1</v>
      </c>
      <c r="X866" t="s">
        <v>11023</v>
      </c>
      <c r="Y866" t="s">
        <v>11023</v>
      </c>
      <c r="Z866" t="str">
        <f>_xlfn.XLOOKUP(Employees[[#This Row],[Education]], EdLevel[EducationLevelID], EdLevel[EducationLevel])</f>
        <v xml:space="preserve">Masters </v>
      </c>
      <c r="AA866">
        <f>IF(Employees[[#This Row],[Attrition]] = "Yes", 1, 0)</f>
        <v>0</v>
      </c>
      <c r="AB866" t="str" cm="1">
        <f t="array" ref="AB866">_xlfn.IFS(Employees[[#This Row],[Age]]&lt;30, "20-29", Employees[[#This Row],[Age]]&lt;40, "30-39", Employees[[#This Row],[Age]]&lt;50, "40-49", "TRUE", "50+")</f>
        <v>20-29</v>
      </c>
    </row>
    <row r="867" spans="1:28">
      <c r="A867" t="s">
        <v>2590</v>
      </c>
      <c r="B867" t="s">
        <v>2591</v>
      </c>
      <c r="C867" t="s">
        <v>2592</v>
      </c>
      <c r="D867" t="s">
        <v>26</v>
      </c>
      <c r="E867">
        <v>23</v>
      </c>
      <c r="F867" t="s">
        <v>27</v>
      </c>
      <c r="G867" t="s">
        <v>28</v>
      </c>
      <c r="H867">
        <v>40</v>
      </c>
      <c r="I867" t="s">
        <v>29</v>
      </c>
      <c r="J867" t="s">
        <v>30</v>
      </c>
      <c r="K867">
        <v>4</v>
      </c>
      <c r="L867" t="s">
        <v>47</v>
      </c>
      <c r="M867" t="s">
        <v>32</v>
      </c>
      <c r="N867" t="s">
        <v>49</v>
      </c>
      <c r="O867">
        <v>52039</v>
      </c>
      <c r="P867">
        <v>0</v>
      </c>
      <c r="Q867" t="s">
        <v>41</v>
      </c>
      <c r="R867" s="1">
        <v>43346</v>
      </c>
      <c r="S867" t="s">
        <v>34</v>
      </c>
      <c r="T867">
        <v>4</v>
      </c>
      <c r="U867">
        <v>1</v>
      </c>
      <c r="V867">
        <v>1</v>
      </c>
      <c r="W867">
        <v>0</v>
      </c>
      <c r="X867" t="s">
        <v>11023</v>
      </c>
      <c r="Y867" t="s">
        <v>11023</v>
      </c>
      <c r="Z867" t="str">
        <f>_xlfn.XLOOKUP(Employees[[#This Row],[Education]], EdLevel[EducationLevelID], EdLevel[EducationLevel])</f>
        <v xml:space="preserve">Masters </v>
      </c>
      <c r="AA867">
        <f>IF(Employees[[#This Row],[Attrition]] = "Yes", 1, 0)</f>
        <v>0</v>
      </c>
      <c r="AB867" t="str" cm="1">
        <f t="array" ref="AB867">_xlfn.IFS(Employees[[#This Row],[Age]]&lt;30, "20-29", Employees[[#This Row],[Age]]&lt;40, "30-39", Employees[[#This Row],[Age]]&lt;50, "40-49", "TRUE", "50+")</f>
        <v>20-29</v>
      </c>
    </row>
    <row r="868" spans="1:28">
      <c r="A868" t="s">
        <v>2593</v>
      </c>
      <c r="B868" t="s">
        <v>2594</v>
      </c>
      <c r="C868" t="s">
        <v>2595</v>
      </c>
      <c r="D868" t="s">
        <v>26</v>
      </c>
      <c r="E868">
        <v>24</v>
      </c>
      <c r="F868" t="s">
        <v>70</v>
      </c>
      <c r="G868" t="s">
        <v>45</v>
      </c>
      <c r="H868">
        <v>5</v>
      </c>
      <c r="I868" t="s">
        <v>65</v>
      </c>
      <c r="J868" t="s">
        <v>46</v>
      </c>
      <c r="K868">
        <v>3</v>
      </c>
      <c r="L868" t="s">
        <v>45</v>
      </c>
      <c r="M868" t="s">
        <v>207</v>
      </c>
      <c r="N868" t="s">
        <v>33</v>
      </c>
      <c r="O868">
        <v>41745</v>
      </c>
      <c r="P868">
        <v>3</v>
      </c>
      <c r="Q868" t="s">
        <v>34</v>
      </c>
      <c r="R868" s="1">
        <v>43346</v>
      </c>
      <c r="S868" t="s">
        <v>34</v>
      </c>
      <c r="T868">
        <v>4</v>
      </c>
      <c r="U868">
        <v>2</v>
      </c>
      <c r="V868">
        <v>4</v>
      </c>
      <c r="W868">
        <v>0</v>
      </c>
      <c r="X868" t="s">
        <v>11022</v>
      </c>
      <c r="Y868" t="s">
        <v>11022</v>
      </c>
      <c r="Z868" t="str">
        <f>_xlfn.XLOOKUP(Employees[[#This Row],[Education]], EdLevel[EducationLevelID], EdLevel[EducationLevel])</f>
        <v xml:space="preserve">Bachelors </v>
      </c>
      <c r="AA868">
        <f>IF(Employees[[#This Row],[Attrition]] = "Yes", 1, 0)</f>
        <v>0</v>
      </c>
      <c r="AB868" t="str" cm="1">
        <f t="array" ref="AB868">_xlfn.IFS(Employees[[#This Row],[Age]]&lt;30, "20-29", Employees[[#This Row],[Age]]&lt;40, "30-39", Employees[[#This Row],[Age]]&lt;50, "40-49", "TRUE", "50+")</f>
        <v>20-29</v>
      </c>
    </row>
    <row r="869" spans="1:28">
      <c r="A869" t="s">
        <v>2596</v>
      </c>
      <c r="B869" t="s">
        <v>2597</v>
      </c>
      <c r="C869" t="s">
        <v>2598</v>
      </c>
      <c r="D869" t="s">
        <v>53</v>
      </c>
      <c r="E869">
        <v>41</v>
      </c>
      <c r="F869" t="s">
        <v>70</v>
      </c>
      <c r="G869" t="s">
        <v>54</v>
      </c>
      <c r="H869">
        <v>26</v>
      </c>
      <c r="I869" t="s">
        <v>39</v>
      </c>
      <c r="J869" t="s">
        <v>30</v>
      </c>
      <c r="K869">
        <v>4</v>
      </c>
      <c r="L869" t="s">
        <v>55</v>
      </c>
      <c r="M869" t="s">
        <v>182</v>
      </c>
      <c r="N869" t="s">
        <v>49</v>
      </c>
      <c r="O869">
        <v>283081</v>
      </c>
      <c r="P869">
        <v>1</v>
      </c>
      <c r="Q869" t="s">
        <v>41</v>
      </c>
      <c r="R869" s="1">
        <v>43346</v>
      </c>
      <c r="S869" t="s">
        <v>41</v>
      </c>
      <c r="T869">
        <v>4</v>
      </c>
      <c r="U869">
        <v>1</v>
      </c>
      <c r="V869">
        <v>3</v>
      </c>
      <c r="W869">
        <v>2</v>
      </c>
      <c r="X869" t="s">
        <v>11023</v>
      </c>
      <c r="Y869" t="s">
        <v>11023</v>
      </c>
      <c r="Z869" t="str">
        <f>_xlfn.XLOOKUP(Employees[[#This Row],[Education]], EdLevel[EducationLevelID], EdLevel[EducationLevel])</f>
        <v xml:space="preserve">Masters </v>
      </c>
      <c r="AA869">
        <f>IF(Employees[[#This Row],[Attrition]] = "Yes", 1, 0)</f>
        <v>1</v>
      </c>
      <c r="AB869" t="str" cm="1">
        <f t="array" ref="AB869">_xlfn.IFS(Employees[[#This Row],[Age]]&lt;30, "20-29", Employees[[#This Row],[Age]]&lt;40, "30-39", Employees[[#This Row],[Age]]&lt;50, "40-49", "TRUE", "50+")</f>
        <v>40-49</v>
      </c>
    </row>
    <row r="870" spans="1:28">
      <c r="A870" t="s">
        <v>2599</v>
      </c>
      <c r="B870" t="s">
        <v>2600</v>
      </c>
      <c r="C870" t="s">
        <v>2601</v>
      </c>
      <c r="D870" t="s">
        <v>38</v>
      </c>
      <c r="E870">
        <v>25</v>
      </c>
      <c r="F870" t="s">
        <v>27</v>
      </c>
      <c r="G870" t="s">
        <v>54</v>
      </c>
      <c r="H870">
        <v>24</v>
      </c>
      <c r="I870" t="s">
        <v>65</v>
      </c>
      <c r="J870" t="s">
        <v>71</v>
      </c>
      <c r="K870">
        <v>2</v>
      </c>
      <c r="L870" t="s">
        <v>178</v>
      </c>
      <c r="M870" t="s">
        <v>105</v>
      </c>
      <c r="N870" t="s">
        <v>40</v>
      </c>
      <c r="O870">
        <v>175342</v>
      </c>
      <c r="P870">
        <v>0</v>
      </c>
      <c r="Q870" t="s">
        <v>41</v>
      </c>
      <c r="R870" s="1">
        <v>43347</v>
      </c>
      <c r="S870" t="s">
        <v>34</v>
      </c>
      <c r="T870">
        <v>4</v>
      </c>
      <c r="U870">
        <v>3</v>
      </c>
      <c r="V870">
        <v>4</v>
      </c>
      <c r="W870">
        <v>3</v>
      </c>
      <c r="X870" t="s">
        <v>11021</v>
      </c>
      <c r="Y870" t="s">
        <v>11021</v>
      </c>
      <c r="Z870" t="str">
        <f>_xlfn.XLOOKUP(Employees[[#This Row],[Education]], EdLevel[EducationLevelID], EdLevel[EducationLevel])</f>
        <v xml:space="preserve">High School </v>
      </c>
      <c r="AA870">
        <f>IF(Employees[[#This Row],[Attrition]] = "Yes", 1, 0)</f>
        <v>0</v>
      </c>
      <c r="AB870" t="str" cm="1">
        <f t="array" ref="AB870">_xlfn.IFS(Employees[[#This Row],[Age]]&lt;30, "20-29", Employees[[#This Row],[Age]]&lt;40, "30-39", Employees[[#This Row],[Age]]&lt;50, "40-49", "TRUE", "50+")</f>
        <v>20-29</v>
      </c>
    </row>
    <row r="871" spans="1:28">
      <c r="A871" t="s">
        <v>2602</v>
      </c>
      <c r="B871" t="s">
        <v>2603</v>
      </c>
      <c r="C871" t="s">
        <v>2604</v>
      </c>
      <c r="D871" t="s">
        <v>26</v>
      </c>
      <c r="E871">
        <v>22</v>
      </c>
      <c r="F871" t="s">
        <v>70</v>
      </c>
      <c r="G871" t="s">
        <v>54</v>
      </c>
      <c r="H871">
        <v>6</v>
      </c>
      <c r="I871" t="s">
        <v>39</v>
      </c>
      <c r="J871" t="s">
        <v>30</v>
      </c>
      <c r="K871">
        <v>2</v>
      </c>
      <c r="L871" t="s">
        <v>72</v>
      </c>
      <c r="M871" t="s">
        <v>85</v>
      </c>
      <c r="N871" t="s">
        <v>33</v>
      </c>
      <c r="O871">
        <v>38169</v>
      </c>
      <c r="P871">
        <v>3</v>
      </c>
      <c r="Q871" t="s">
        <v>34</v>
      </c>
      <c r="R871" s="1">
        <v>43354</v>
      </c>
      <c r="S871" t="s">
        <v>34</v>
      </c>
      <c r="T871">
        <v>4</v>
      </c>
      <c r="U871">
        <v>4</v>
      </c>
      <c r="V871">
        <v>4</v>
      </c>
      <c r="W871">
        <v>4</v>
      </c>
      <c r="X871" t="s">
        <v>11021</v>
      </c>
      <c r="Y871" t="s">
        <v>11021</v>
      </c>
      <c r="Z871" t="str">
        <f>_xlfn.XLOOKUP(Employees[[#This Row],[Education]], EdLevel[EducationLevelID], EdLevel[EducationLevel])</f>
        <v xml:space="preserve">High School </v>
      </c>
      <c r="AA871">
        <f>IF(Employees[[#This Row],[Attrition]] = "Yes", 1, 0)</f>
        <v>0</v>
      </c>
      <c r="AB871" t="str" cm="1">
        <f t="array" ref="AB871">_xlfn.IFS(Employees[[#This Row],[Age]]&lt;30, "20-29", Employees[[#This Row],[Age]]&lt;40, "30-39", Employees[[#This Row],[Age]]&lt;50, "40-49", "TRUE", "50+")</f>
        <v>20-29</v>
      </c>
    </row>
    <row r="872" spans="1:28">
      <c r="A872" t="s">
        <v>2605</v>
      </c>
      <c r="B872" t="s">
        <v>2606</v>
      </c>
      <c r="C872" t="s">
        <v>2607</v>
      </c>
      <c r="D872" t="s">
        <v>26</v>
      </c>
      <c r="E872">
        <v>25</v>
      </c>
      <c r="F872" t="s">
        <v>27</v>
      </c>
      <c r="G872" t="s">
        <v>28</v>
      </c>
      <c r="H872">
        <v>11</v>
      </c>
      <c r="I872" t="s">
        <v>29</v>
      </c>
      <c r="J872" t="s">
        <v>71</v>
      </c>
      <c r="K872">
        <v>3</v>
      </c>
      <c r="L872" t="s">
        <v>31</v>
      </c>
      <c r="M872" t="s">
        <v>32</v>
      </c>
      <c r="N872" t="s">
        <v>40</v>
      </c>
      <c r="O872">
        <v>53930</v>
      </c>
      <c r="P872">
        <v>0</v>
      </c>
      <c r="Q872" t="s">
        <v>41</v>
      </c>
      <c r="R872" s="1">
        <v>43356</v>
      </c>
      <c r="S872" t="s">
        <v>41</v>
      </c>
      <c r="T872">
        <v>3</v>
      </c>
      <c r="U872">
        <v>2</v>
      </c>
      <c r="V872">
        <v>3</v>
      </c>
      <c r="W872">
        <v>1</v>
      </c>
      <c r="X872" t="s">
        <v>11022</v>
      </c>
      <c r="Y872" t="s">
        <v>11022</v>
      </c>
      <c r="Z872" t="str">
        <f>_xlfn.XLOOKUP(Employees[[#This Row],[Education]], EdLevel[EducationLevelID], EdLevel[EducationLevel])</f>
        <v xml:space="preserve">Bachelors </v>
      </c>
      <c r="AA872">
        <f>IF(Employees[[#This Row],[Attrition]] = "Yes", 1, 0)</f>
        <v>1</v>
      </c>
      <c r="AB872" t="str" cm="1">
        <f t="array" ref="AB872">_xlfn.IFS(Employees[[#This Row],[Age]]&lt;30, "20-29", Employees[[#This Row],[Age]]&lt;40, "30-39", Employees[[#This Row],[Age]]&lt;50, "40-49", "TRUE", "50+")</f>
        <v>20-29</v>
      </c>
    </row>
    <row r="873" spans="1:28">
      <c r="A873" t="s">
        <v>2608</v>
      </c>
      <c r="B873" t="s">
        <v>2609</v>
      </c>
      <c r="C873" t="s">
        <v>2610</v>
      </c>
      <c r="D873" t="s">
        <v>38</v>
      </c>
      <c r="E873">
        <v>25</v>
      </c>
      <c r="F873" t="s">
        <v>27</v>
      </c>
      <c r="G873" t="s">
        <v>28</v>
      </c>
      <c r="H873">
        <v>12</v>
      </c>
      <c r="I873" t="s">
        <v>29</v>
      </c>
      <c r="J873" t="s">
        <v>46</v>
      </c>
      <c r="K873">
        <v>3</v>
      </c>
      <c r="L873" t="s">
        <v>47</v>
      </c>
      <c r="M873" t="s">
        <v>32</v>
      </c>
      <c r="N873" t="s">
        <v>33</v>
      </c>
      <c r="O873">
        <v>118048</v>
      </c>
      <c r="P873">
        <v>2</v>
      </c>
      <c r="Q873" t="s">
        <v>34</v>
      </c>
      <c r="R873" s="1">
        <v>43357</v>
      </c>
      <c r="S873" t="s">
        <v>34</v>
      </c>
      <c r="T873">
        <v>4</v>
      </c>
      <c r="U873">
        <v>4</v>
      </c>
      <c r="V873">
        <v>4</v>
      </c>
      <c r="W873">
        <v>3</v>
      </c>
      <c r="X873" t="s">
        <v>11022</v>
      </c>
      <c r="Y873" t="s">
        <v>11022</v>
      </c>
      <c r="Z873" t="str">
        <f>_xlfn.XLOOKUP(Employees[[#This Row],[Education]], EdLevel[EducationLevelID], EdLevel[EducationLevel])</f>
        <v xml:space="preserve">Bachelors </v>
      </c>
      <c r="AA873">
        <f>IF(Employees[[#This Row],[Attrition]] = "Yes", 1, 0)</f>
        <v>0</v>
      </c>
      <c r="AB873" t="str" cm="1">
        <f t="array" ref="AB873">_xlfn.IFS(Employees[[#This Row],[Age]]&lt;30, "20-29", Employees[[#This Row],[Age]]&lt;40, "30-39", Employees[[#This Row],[Age]]&lt;50, "40-49", "TRUE", "50+")</f>
        <v>20-29</v>
      </c>
    </row>
    <row r="874" spans="1:28">
      <c r="A874" t="s">
        <v>2611</v>
      </c>
      <c r="B874" t="s">
        <v>2612</v>
      </c>
      <c r="C874" t="s">
        <v>2613</v>
      </c>
      <c r="D874" t="s">
        <v>26</v>
      </c>
      <c r="E874">
        <v>22</v>
      </c>
      <c r="F874" t="s">
        <v>27</v>
      </c>
      <c r="G874" t="s">
        <v>54</v>
      </c>
      <c r="H874">
        <v>45</v>
      </c>
      <c r="I874" t="s">
        <v>65</v>
      </c>
      <c r="J874" t="s">
        <v>46</v>
      </c>
      <c r="K874">
        <v>3</v>
      </c>
      <c r="L874" t="s">
        <v>72</v>
      </c>
      <c r="M874" t="s">
        <v>105</v>
      </c>
      <c r="N874" t="s">
        <v>33</v>
      </c>
      <c r="O874">
        <v>80975</v>
      </c>
      <c r="P874">
        <v>3</v>
      </c>
      <c r="Q874" t="s">
        <v>34</v>
      </c>
      <c r="R874" s="1">
        <v>43358</v>
      </c>
      <c r="S874" t="s">
        <v>34</v>
      </c>
      <c r="T874">
        <v>4</v>
      </c>
      <c r="U874">
        <v>4</v>
      </c>
      <c r="V874">
        <v>4</v>
      </c>
      <c r="W874">
        <v>1</v>
      </c>
      <c r="X874" t="s">
        <v>11022</v>
      </c>
      <c r="Y874" t="s">
        <v>11022</v>
      </c>
      <c r="Z874" t="str">
        <f>_xlfn.XLOOKUP(Employees[[#This Row],[Education]], EdLevel[EducationLevelID], EdLevel[EducationLevel])</f>
        <v xml:space="preserve">Bachelors </v>
      </c>
      <c r="AA874">
        <f>IF(Employees[[#This Row],[Attrition]] = "Yes", 1, 0)</f>
        <v>0</v>
      </c>
      <c r="AB874" t="str" cm="1">
        <f t="array" ref="AB874">_xlfn.IFS(Employees[[#This Row],[Age]]&lt;30, "20-29", Employees[[#This Row],[Age]]&lt;40, "30-39", Employees[[#This Row],[Age]]&lt;50, "40-49", "TRUE", "50+")</f>
        <v>20-29</v>
      </c>
    </row>
    <row r="875" spans="1:28">
      <c r="A875" t="s">
        <v>2614</v>
      </c>
      <c r="B875" t="s">
        <v>2615</v>
      </c>
      <c r="C875" t="s">
        <v>2616</v>
      </c>
      <c r="D875" t="s">
        <v>53</v>
      </c>
      <c r="E875">
        <v>24</v>
      </c>
      <c r="F875" t="s">
        <v>27</v>
      </c>
      <c r="G875" t="s">
        <v>28</v>
      </c>
      <c r="H875">
        <v>22</v>
      </c>
      <c r="I875" t="s">
        <v>39</v>
      </c>
      <c r="J875" t="s">
        <v>66</v>
      </c>
      <c r="K875">
        <v>3</v>
      </c>
      <c r="L875" t="s">
        <v>31</v>
      </c>
      <c r="M875" t="s">
        <v>32</v>
      </c>
      <c r="N875" t="s">
        <v>49</v>
      </c>
      <c r="O875">
        <v>53530</v>
      </c>
      <c r="P875">
        <v>0</v>
      </c>
      <c r="Q875" t="s">
        <v>41</v>
      </c>
      <c r="R875" s="1">
        <v>43362</v>
      </c>
      <c r="S875" t="s">
        <v>34</v>
      </c>
      <c r="T875">
        <v>4</v>
      </c>
      <c r="U875">
        <v>3</v>
      </c>
      <c r="V875">
        <v>3</v>
      </c>
      <c r="W875">
        <v>1</v>
      </c>
      <c r="X875" t="s">
        <v>11022</v>
      </c>
      <c r="Y875" t="s">
        <v>11022</v>
      </c>
      <c r="Z875" t="str">
        <f>_xlfn.XLOOKUP(Employees[[#This Row],[Education]], EdLevel[EducationLevelID], EdLevel[EducationLevel])</f>
        <v xml:space="preserve">Bachelors </v>
      </c>
      <c r="AA875">
        <f>IF(Employees[[#This Row],[Attrition]] = "Yes", 1, 0)</f>
        <v>0</v>
      </c>
      <c r="AB875" t="str" cm="1">
        <f t="array" ref="AB875">_xlfn.IFS(Employees[[#This Row],[Age]]&lt;30, "20-29", Employees[[#This Row],[Age]]&lt;40, "30-39", Employees[[#This Row],[Age]]&lt;50, "40-49", "TRUE", "50+")</f>
        <v>20-29</v>
      </c>
    </row>
    <row r="876" spans="1:28">
      <c r="A876" t="s">
        <v>2617</v>
      </c>
      <c r="B876" t="s">
        <v>2618</v>
      </c>
      <c r="C876" t="s">
        <v>2619</v>
      </c>
      <c r="D876" t="s">
        <v>26</v>
      </c>
      <c r="E876">
        <v>25</v>
      </c>
      <c r="F876" t="s">
        <v>27</v>
      </c>
      <c r="G876" t="s">
        <v>54</v>
      </c>
      <c r="H876">
        <v>40</v>
      </c>
      <c r="I876" t="s">
        <v>65</v>
      </c>
      <c r="J876" t="s">
        <v>30</v>
      </c>
      <c r="K876">
        <v>3</v>
      </c>
      <c r="L876" t="s">
        <v>178</v>
      </c>
      <c r="M876" t="s">
        <v>93</v>
      </c>
      <c r="N876" t="s">
        <v>49</v>
      </c>
      <c r="O876">
        <v>75250</v>
      </c>
      <c r="P876">
        <v>1</v>
      </c>
      <c r="Q876" t="s">
        <v>34</v>
      </c>
      <c r="R876" s="1">
        <v>43363</v>
      </c>
      <c r="S876" t="s">
        <v>34</v>
      </c>
      <c r="T876">
        <v>4</v>
      </c>
      <c r="U876">
        <v>1</v>
      </c>
      <c r="V876">
        <v>4</v>
      </c>
      <c r="W876">
        <v>0</v>
      </c>
      <c r="X876" t="s">
        <v>11022</v>
      </c>
      <c r="Y876" t="s">
        <v>11022</v>
      </c>
      <c r="Z876" t="str">
        <f>_xlfn.XLOOKUP(Employees[[#This Row],[Education]], EdLevel[EducationLevelID], EdLevel[EducationLevel])</f>
        <v xml:space="preserve">Bachelors </v>
      </c>
      <c r="AA876">
        <f>IF(Employees[[#This Row],[Attrition]] = "Yes", 1, 0)</f>
        <v>0</v>
      </c>
      <c r="AB876" t="str" cm="1">
        <f t="array" ref="AB876">_xlfn.IFS(Employees[[#This Row],[Age]]&lt;30, "20-29", Employees[[#This Row],[Age]]&lt;40, "30-39", Employees[[#This Row],[Age]]&lt;50, "40-49", "TRUE", "50+")</f>
        <v>20-29</v>
      </c>
    </row>
    <row r="877" spans="1:28">
      <c r="A877" t="s">
        <v>2620</v>
      </c>
      <c r="B877" t="s">
        <v>1069</v>
      </c>
      <c r="C877" t="s">
        <v>2621</v>
      </c>
      <c r="D877" t="s">
        <v>38</v>
      </c>
      <c r="E877">
        <v>23</v>
      </c>
      <c r="F877" t="s">
        <v>27</v>
      </c>
      <c r="G877" t="s">
        <v>54</v>
      </c>
      <c r="H877">
        <v>25</v>
      </c>
      <c r="I877" t="s">
        <v>39</v>
      </c>
      <c r="J877" t="s">
        <v>66</v>
      </c>
      <c r="K877">
        <v>3</v>
      </c>
      <c r="L877" t="s">
        <v>178</v>
      </c>
      <c r="M877" t="s">
        <v>85</v>
      </c>
      <c r="N877" t="s">
        <v>40</v>
      </c>
      <c r="O877">
        <v>37121</v>
      </c>
      <c r="P877">
        <v>0</v>
      </c>
      <c r="Q877" t="s">
        <v>41</v>
      </c>
      <c r="R877" s="1">
        <v>43375</v>
      </c>
      <c r="S877" t="s">
        <v>41</v>
      </c>
      <c r="T877">
        <v>1</v>
      </c>
      <c r="U877">
        <v>0</v>
      </c>
      <c r="V877">
        <v>0</v>
      </c>
      <c r="W877">
        <v>0</v>
      </c>
      <c r="X877" t="s">
        <v>11022</v>
      </c>
      <c r="Y877" t="s">
        <v>11022</v>
      </c>
      <c r="Z877" t="str">
        <f>_xlfn.XLOOKUP(Employees[[#This Row],[Education]], EdLevel[EducationLevelID], EdLevel[EducationLevel])</f>
        <v xml:space="preserve">Bachelors </v>
      </c>
      <c r="AA877">
        <f>IF(Employees[[#This Row],[Attrition]] = "Yes", 1, 0)</f>
        <v>1</v>
      </c>
      <c r="AB877" t="str" cm="1">
        <f t="array" ref="AB877">_xlfn.IFS(Employees[[#This Row],[Age]]&lt;30, "20-29", Employees[[#This Row],[Age]]&lt;40, "30-39", Employees[[#This Row],[Age]]&lt;50, "40-49", "TRUE", "50+")</f>
        <v>20-29</v>
      </c>
    </row>
    <row r="878" spans="1:28">
      <c r="A878" t="s">
        <v>2622</v>
      </c>
      <c r="B878" t="s">
        <v>2623</v>
      </c>
      <c r="C878" t="s">
        <v>2624</v>
      </c>
      <c r="D878" t="s">
        <v>26</v>
      </c>
      <c r="E878">
        <v>24</v>
      </c>
      <c r="F878" t="s">
        <v>27</v>
      </c>
      <c r="G878" t="s">
        <v>28</v>
      </c>
      <c r="H878">
        <v>43</v>
      </c>
      <c r="I878" t="s">
        <v>39</v>
      </c>
      <c r="J878" t="s">
        <v>46</v>
      </c>
      <c r="K878">
        <v>4</v>
      </c>
      <c r="L878" t="s">
        <v>121</v>
      </c>
      <c r="M878" t="s">
        <v>32</v>
      </c>
      <c r="N878" t="s">
        <v>49</v>
      </c>
      <c r="O878">
        <v>144335</v>
      </c>
      <c r="P878">
        <v>0</v>
      </c>
      <c r="Q878" t="s">
        <v>34</v>
      </c>
      <c r="R878" s="1">
        <v>43384</v>
      </c>
      <c r="S878" t="s">
        <v>41</v>
      </c>
      <c r="T878">
        <v>0</v>
      </c>
      <c r="U878">
        <v>0</v>
      </c>
      <c r="V878">
        <v>0</v>
      </c>
      <c r="W878">
        <v>0</v>
      </c>
      <c r="X878" t="s">
        <v>11023</v>
      </c>
      <c r="Y878" t="s">
        <v>11023</v>
      </c>
      <c r="Z878" t="str">
        <f>_xlfn.XLOOKUP(Employees[[#This Row],[Education]], EdLevel[EducationLevelID], EdLevel[EducationLevel])</f>
        <v xml:space="preserve">Masters </v>
      </c>
      <c r="AA878">
        <f>IF(Employees[[#This Row],[Attrition]] = "Yes", 1, 0)</f>
        <v>1</v>
      </c>
      <c r="AB878" t="str" cm="1">
        <f t="array" ref="AB878">_xlfn.IFS(Employees[[#This Row],[Age]]&lt;30, "20-29", Employees[[#This Row],[Age]]&lt;40, "30-39", Employees[[#This Row],[Age]]&lt;50, "40-49", "TRUE", "50+")</f>
        <v>20-29</v>
      </c>
    </row>
    <row r="879" spans="1:28">
      <c r="A879" t="s">
        <v>2625</v>
      </c>
      <c r="B879" t="s">
        <v>2626</v>
      </c>
      <c r="C879" t="s">
        <v>2627</v>
      </c>
      <c r="D879" t="s">
        <v>26</v>
      </c>
      <c r="E879">
        <v>23</v>
      </c>
      <c r="F879" t="s">
        <v>27</v>
      </c>
      <c r="G879" t="s">
        <v>28</v>
      </c>
      <c r="H879">
        <v>12</v>
      </c>
      <c r="I879" t="s">
        <v>65</v>
      </c>
      <c r="J879" t="s">
        <v>71</v>
      </c>
      <c r="K879">
        <v>4</v>
      </c>
      <c r="L879" t="s">
        <v>31</v>
      </c>
      <c r="M879" t="s">
        <v>32</v>
      </c>
      <c r="N879" t="s">
        <v>40</v>
      </c>
      <c r="O879">
        <v>45024</v>
      </c>
      <c r="P879">
        <v>0</v>
      </c>
      <c r="Q879" t="s">
        <v>34</v>
      </c>
      <c r="R879" s="1">
        <v>43390</v>
      </c>
      <c r="S879" t="s">
        <v>34</v>
      </c>
      <c r="T879">
        <v>4</v>
      </c>
      <c r="U879">
        <v>0</v>
      </c>
      <c r="V879">
        <v>1</v>
      </c>
      <c r="W879">
        <v>0</v>
      </c>
      <c r="X879" t="s">
        <v>11023</v>
      </c>
      <c r="Y879" t="s">
        <v>11023</v>
      </c>
      <c r="Z879" t="str">
        <f>_xlfn.XLOOKUP(Employees[[#This Row],[Education]], EdLevel[EducationLevelID], EdLevel[EducationLevel])</f>
        <v xml:space="preserve">Masters </v>
      </c>
      <c r="AA879">
        <f>IF(Employees[[#This Row],[Attrition]] = "Yes", 1, 0)</f>
        <v>0</v>
      </c>
      <c r="AB879" t="str" cm="1">
        <f t="array" ref="AB879">_xlfn.IFS(Employees[[#This Row],[Age]]&lt;30, "20-29", Employees[[#This Row],[Age]]&lt;40, "30-39", Employees[[#This Row],[Age]]&lt;50, "40-49", "TRUE", "50+")</f>
        <v>20-29</v>
      </c>
    </row>
    <row r="880" spans="1:28">
      <c r="A880" t="s">
        <v>2628</v>
      </c>
      <c r="B880" t="s">
        <v>2567</v>
      </c>
      <c r="C880" t="s">
        <v>2629</v>
      </c>
      <c r="D880" t="s">
        <v>26</v>
      </c>
      <c r="E880">
        <v>23</v>
      </c>
      <c r="F880" t="s">
        <v>27</v>
      </c>
      <c r="G880" t="s">
        <v>54</v>
      </c>
      <c r="H880">
        <v>4</v>
      </c>
      <c r="I880" t="s">
        <v>29</v>
      </c>
      <c r="J880" t="s">
        <v>30</v>
      </c>
      <c r="K880">
        <v>3</v>
      </c>
      <c r="L880" t="s">
        <v>178</v>
      </c>
      <c r="M880" t="s">
        <v>93</v>
      </c>
      <c r="N880" t="s">
        <v>33</v>
      </c>
      <c r="O880">
        <v>106418</v>
      </c>
      <c r="P880">
        <v>1</v>
      </c>
      <c r="Q880" t="s">
        <v>41</v>
      </c>
      <c r="R880" s="1">
        <v>43393</v>
      </c>
      <c r="S880" t="s">
        <v>34</v>
      </c>
      <c r="T880">
        <v>4</v>
      </c>
      <c r="U880">
        <v>0</v>
      </c>
      <c r="V880">
        <v>3</v>
      </c>
      <c r="W880">
        <v>0</v>
      </c>
      <c r="X880" t="s">
        <v>11022</v>
      </c>
      <c r="Y880" t="s">
        <v>11022</v>
      </c>
      <c r="Z880" t="str">
        <f>_xlfn.XLOOKUP(Employees[[#This Row],[Education]], EdLevel[EducationLevelID], EdLevel[EducationLevel])</f>
        <v xml:space="preserve">Bachelors </v>
      </c>
      <c r="AA880">
        <f>IF(Employees[[#This Row],[Attrition]] = "Yes", 1, 0)</f>
        <v>0</v>
      </c>
      <c r="AB880" t="str" cm="1">
        <f t="array" ref="AB880">_xlfn.IFS(Employees[[#This Row],[Age]]&lt;30, "20-29", Employees[[#This Row],[Age]]&lt;40, "30-39", Employees[[#This Row],[Age]]&lt;50, "40-49", "TRUE", "50+")</f>
        <v>20-29</v>
      </c>
    </row>
    <row r="881" spans="1:28">
      <c r="A881" t="s">
        <v>2630</v>
      </c>
      <c r="B881" t="s">
        <v>2631</v>
      </c>
      <c r="C881" t="s">
        <v>2632</v>
      </c>
      <c r="D881" t="s">
        <v>38</v>
      </c>
      <c r="E881">
        <v>41</v>
      </c>
      <c r="F881" t="s">
        <v>27</v>
      </c>
      <c r="G881" t="s">
        <v>54</v>
      </c>
      <c r="H881">
        <v>7</v>
      </c>
      <c r="I881" t="s">
        <v>65</v>
      </c>
      <c r="J881" t="s">
        <v>46</v>
      </c>
      <c r="K881">
        <v>4</v>
      </c>
      <c r="L881" t="s">
        <v>72</v>
      </c>
      <c r="M881" t="s">
        <v>56</v>
      </c>
      <c r="N881" t="s">
        <v>33</v>
      </c>
      <c r="O881">
        <v>273211</v>
      </c>
      <c r="P881">
        <v>2</v>
      </c>
      <c r="Q881" t="s">
        <v>34</v>
      </c>
      <c r="R881" s="1">
        <v>43393</v>
      </c>
      <c r="S881" t="s">
        <v>34</v>
      </c>
      <c r="T881">
        <v>4</v>
      </c>
      <c r="U881">
        <v>3</v>
      </c>
      <c r="V881">
        <v>4</v>
      </c>
      <c r="W881">
        <v>3</v>
      </c>
      <c r="X881" t="s">
        <v>11023</v>
      </c>
      <c r="Y881" t="s">
        <v>11023</v>
      </c>
      <c r="Z881" t="str">
        <f>_xlfn.XLOOKUP(Employees[[#This Row],[Education]], EdLevel[EducationLevelID], EdLevel[EducationLevel])</f>
        <v xml:space="preserve">Masters </v>
      </c>
      <c r="AA881">
        <f>IF(Employees[[#This Row],[Attrition]] = "Yes", 1, 0)</f>
        <v>0</v>
      </c>
      <c r="AB881" t="str" cm="1">
        <f t="array" ref="AB881">_xlfn.IFS(Employees[[#This Row],[Age]]&lt;30, "20-29", Employees[[#This Row],[Age]]&lt;40, "30-39", Employees[[#This Row],[Age]]&lt;50, "40-49", "TRUE", "50+")</f>
        <v>40-49</v>
      </c>
    </row>
    <row r="882" spans="1:28">
      <c r="A882" t="s">
        <v>2633</v>
      </c>
      <c r="B882" t="s">
        <v>1876</v>
      </c>
      <c r="C882" t="s">
        <v>2634</v>
      </c>
      <c r="D882" t="s">
        <v>38</v>
      </c>
      <c r="E882">
        <v>23</v>
      </c>
      <c r="F882" t="s">
        <v>27</v>
      </c>
      <c r="G882" t="s">
        <v>54</v>
      </c>
      <c r="H882">
        <v>8</v>
      </c>
      <c r="I882" t="s">
        <v>39</v>
      </c>
      <c r="J882" t="s">
        <v>30</v>
      </c>
      <c r="K882">
        <v>2</v>
      </c>
      <c r="L882" t="s">
        <v>72</v>
      </c>
      <c r="M882" t="s">
        <v>93</v>
      </c>
      <c r="N882" t="s">
        <v>49</v>
      </c>
      <c r="O882">
        <v>46850</v>
      </c>
      <c r="P882">
        <v>1</v>
      </c>
      <c r="Q882" t="s">
        <v>34</v>
      </c>
      <c r="R882" s="1">
        <v>43393</v>
      </c>
      <c r="S882" t="s">
        <v>34</v>
      </c>
      <c r="T882">
        <v>4</v>
      </c>
      <c r="U882">
        <v>3</v>
      </c>
      <c r="V882">
        <v>4</v>
      </c>
      <c r="W882">
        <v>2</v>
      </c>
      <c r="X882" t="s">
        <v>11021</v>
      </c>
      <c r="Y882" t="s">
        <v>11021</v>
      </c>
      <c r="Z882" t="str">
        <f>_xlfn.XLOOKUP(Employees[[#This Row],[Education]], EdLevel[EducationLevelID], EdLevel[EducationLevel])</f>
        <v xml:space="preserve">High School </v>
      </c>
      <c r="AA882">
        <f>IF(Employees[[#This Row],[Attrition]] = "Yes", 1, 0)</f>
        <v>0</v>
      </c>
      <c r="AB882" t="str" cm="1">
        <f t="array" ref="AB882">_xlfn.IFS(Employees[[#This Row],[Age]]&lt;30, "20-29", Employees[[#This Row],[Age]]&lt;40, "30-39", Employees[[#This Row],[Age]]&lt;50, "40-49", "TRUE", "50+")</f>
        <v>20-29</v>
      </c>
    </row>
    <row r="883" spans="1:28">
      <c r="A883" t="s">
        <v>2635</v>
      </c>
      <c r="B883" t="s">
        <v>2636</v>
      </c>
      <c r="C883" t="s">
        <v>2637</v>
      </c>
      <c r="D883" t="s">
        <v>38</v>
      </c>
      <c r="E883">
        <v>23</v>
      </c>
      <c r="F883" t="s">
        <v>27</v>
      </c>
      <c r="G883" t="s">
        <v>54</v>
      </c>
      <c r="H883">
        <v>5</v>
      </c>
      <c r="I883" t="s">
        <v>39</v>
      </c>
      <c r="J883" t="s">
        <v>30</v>
      </c>
      <c r="K883">
        <v>2</v>
      </c>
      <c r="L883" t="s">
        <v>77</v>
      </c>
      <c r="M883" t="s">
        <v>93</v>
      </c>
      <c r="N883" t="s">
        <v>33</v>
      </c>
      <c r="O883">
        <v>77420</v>
      </c>
      <c r="P883">
        <v>2</v>
      </c>
      <c r="Q883" t="s">
        <v>34</v>
      </c>
      <c r="R883" s="1">
        <v>43397</v>
      </c>
      <c r="S883" t="s">
        <v>34</v>
      </c>
      <c r="T883">
        <v>4</v>
      </c>
      <c r="U883">
        <v>4</v>
      </c>
      <c r="V883">
        <v>4</v>
      </c>
      <c r="W883">
        <v>3</v>
      </c>
      <c r="X883" t="s">
        <v>11021</v>
      </c>
      <c r="Y883" t="s">
        <v>11021</v>
      </c>
      <c r="Z883" t="str">
        <f>_xlfn.XLOOKUP(Employees[[#This Row],[Education]], EdLevel[EducationLevelID], EdLevel[EducationLevel])</f>
        <v xml:space="preserve">High School </v>
      </c>
      <c r="AA883">
        <f>IF(Employees[[#This Row],[Attrition]] = "Yes", 1, 0)</f>
        <v>0</v>
      </c>
      <c r="AB883" t="str" cm="1">
        <f t="array" ref="AB883">_xlfn.IFS(Employees[[#This Row],[Age]]&lt;30, "20-29", Employees[[#This Row],[Age]]&lt;40, "30-39", Employees[[#This Row],[Age]]&lt;50, "40-49", "TRUE", "50+")</f>
        <v>20-29</v>
      </c>
    </row>
    <row r="884" spans="1:28">
      <c r="A884" t="s">
        <v>2638</v>
      </c>
      <c r="B884" t="s">
        <v>2639</v>
      </c>
      <c r="C884" t="s">
        <v>2640</v>
      </c>
      <c r="D884" t="s">
        <v>38</v>
      </c>
      <c r="E884">
        <v>25</v>
      </c>
      <c r="F884" t="s">
        <v>70</v>
      </c>
      <c r="G884" t="s">
        <v>54</v>
      </c>
      <c r="H884">
        <v>44</v>
      </c>
      <c r="I884" t="s">
        <v>39</v>
      </c>
      <c r="J884" t="s">
        <v>137</v>
      </c>
      <c r="K884">
        <v>4</v>
      </c>
      <c r="L884" t="s">
        <v>72</v>
      </c>
      <c r="M884" t="s">
        <v>93</v>
      </c>
      <c r="N884" t="s">
        <v>49</v>
      </c>
      <c r="O884">
        <v>57765</v>
      </c>
      <c r="P884">
        <v>0</v>
      </c>
      <c r="Q884" t="s">
        <v>34</v>
      </c>
      <c r="R884" s="1">
        <v>43398</v>
      </c>
      <c r="S884" t="s">
        <v>34</v>
      </c>
      <c r="T884">
        <v>4</v>
      </c>
      <c r="U884">
        <v>1</v>
      </c>
      <c r="V884">
        <v>3</v>
      </c>
      <c r="W884">
        <v>2</v>
      </c>
      <c r="X884" t="s">
        <v>11023</v>
      </c>
      <c r="Y884" t="s">
        <v>11023</v>
      </c>
      <c r="Z884" t="str">
        <f>_xlfn.XLOOKUP(Employees[[#This Row],[Education]], EdLevel[EducationLevelID], EdLevel[EducationLevel])</f>
        <v xml:space="preserve">Masters </v>
      </c>
      <c r="AA884">
        <f>IF(Employees[[#This Row],[Attrition]] = "Yes", 1, 0)</f>
        <v>0</v>
      </c>
      <c r="AB884" t="str" cm="1">
        <f t="array" ref="AB884">_xlfn.IFS(Employees[[#This Row],[Age]]&lt;30, "20-29", Employees[[#This Row],[Age]]&lt;40, "30-39", Employees[[#This Row],[Age]]&lt;50, "40-49", "TRUE", "50+")</f>
        <v>20-29</v>
      </c>
    </row>
    <row r="885" spans="1:28">
      <c r="A885" t="s">
        <v>2641</v>
      </c>
      <c r="B885" t="s">
        <v>2642</v>
      </c>
      <c r="C885" t="s">
        <v>2643</v>
      </c>
      <c r="D885" t="s">
        <v>26</v>
      </c>
      <c r="E885">
        <v>22</v>
      </c>
      <c r="F885" t="s">
        <v>84</v>
      </c>
      <c r="G885" t="s">
        <v>28</v>
      </c>
      <c r="H885">
        <v>19</v>
      </c>
      <c r="I885" t="s">
        <v>65</v>
      </c>
      <c r="J885" t="s">
        <v>66</v>
      </c>
      <c r="K885">
        <v>3</v>
      </c>
      <c r="L885" t="s">
        <v>47</v>
      </c>
      <c r="M885" t="s">
        <v>150</v>
      </c>
      <c r="N885" t="s">
        <v>40</v>
      </c>
      <c r="O885">
        <v>22122</v>
      </c>
      <c r="P885">
        <v>0</v>
      </c>
      <c r="Q885" t="s">
        <v>41</v>
      </c>
      <c r="R885" s="1">
        <v>43399</v>
      </c>
      <c r="S885" t="s">
        <v>41</v>
      </c>
      <c r="T885">
        <v>3</v>
      </c>
      <c r="U885">
        <v>2</v>
      </c>
      <c r="V885">
        <v>2</v>
      </c>
      <c r="W885">
        <v>1</v>
      </c>
      <c r="X885" t="s">
        <v>11022</v>
      </c>
      <c r="Y885" t="s">
        <v>11022</v>
      </c>
      <c r="Z885" t="str">
        <f>_xlfn.XLOOKUP(Employees[[#This Row],[Education]], EdLevel[EducationLevelID], EdLevel[EducationLevel])</f>
        <v xml:space="preserve">Bachelors </v>
      </c>
      <c r="AA885">
        <f>IF(Employees[[#This Row],[Attrition]] = "Yes", 1, 0)</f>
        <v>1</v>
      </c>
      <c r="AB885" t="str" cm="1">
        <f t="array" ref="AB885">_xlfn.IFS(Employees[[#This Row],[Age]]&lt;30, "20-29", Employees[[#This Row],[Age]]&lt;40, "30-39", Employees[[#This Row],[Age]]&lt;50, "40-49", "TRUE", "50+")</f>
        <v>20-29</v>
      </c>
    </row>
    <row r="886" spans="1:28">
      <c r="A886" t="s">
        <v>2644</v>
      </c>
      <c r="B886" t="s">
        <v>2645</v>
      </c>
      <c r="C886" t="s">
        <v>2646</v>
      </c>
      <c r="D886" t="s">
        <v>26</v>
      </c>
      <c r="E886">
        <v>40</v>
      </c>
      <c r="F886" t="s">
        <v>27</v>
      </c>
      <c r="G886" t="s">
        <v>54</v>
      </c>
      <c r="H886">
        <v>29</v>
      </c>
      <c r="I886" t="s">
        <v>39</v>
      </c>
      <c r="J886" t="s">
        <v>30</v>
      </c>
      <c r="K886">
        <v>3</v>
      </c>
      <c r="L886" t="s">
        <v>55</v>
      </c>
      <c r="M886" t="s">
        <v>56</v>
      </c>
      <c r="N886" t="s">
        <v>49</v>
      </c>
      <c r="O886">
        <v>304343</v>
      </c>
      <c r="P886">
        <v>1</v>
      </c>
      <c r="Q886" t="s">
        <v>41</v>
      </c>
      <c r="R886" s="1">
        <v>43400</v>
      </c>
      <c r="S886" t="s">
        <v>34</v>
      </c>
      <c r="T886">
        <v>4</v>
      </c>
      <c r="U886">
        <v>2</v>
      </c>
      <c r="V886">
        <v>4</v>
      </c>
      <c r="W886">
        <v>0</v>
      </c>
      <c r="X886" t="s">
        <v>11022</v>
      </c>
      <c r="Y886" t="s">
        <v>11022</v>
      </c>
      <c r="Z886" t="str">
        <f>_xlfn.XLOOKUP(Employees[[#This Row],[Education]], EdLevel[EducationLevelID], EdLevel[EducationLevel])</f>
        <v xml:space="preserve">Bachelors </v>
      </c>
      <c r="AA886">
        <f>IF(Employees[[#This Row],[Attrition]] = "Yes", 1, 0)</f>
        <v>0</v>
      </c>
      <c r="AB886" t="str" cm="1">
        <f t="array" ref="AB886">_xlfn.IFS(Employees[[#This Row],[Age]]&lt;30, "20-29", Employees[[#This Row],[Age]]&lt;40, "30-39", Employees[[#This Row],[Age]]&lt;50, "40-49", "TRUE", "50+")</f>
        <v>40-49</v>
      </c>
    </row>
    <row r="887" spans="1:28">
      <c r="A887" t="s">
        <v>2647</v>
      </c>
      <c r="B887" t="s">
        <v>2648</v>
      </c>
      <c r="C887" t="s">
        <v>2649</v>
      </c>
      <c r="D887" t="s">
        <v>26</v>
      </c>
      <c r="E887">
        <v>25</v>
      </c>
      <c r="F887" t="s">
        <v>27</v>
      </c>
      <c r="G887" t="s">
        <v>54</v>
      </c>
      <c r="H887">
        <v>24</v>
      </c>
      <c r="I887" t="s">
        <v>65</v>
      </c>
      <c r="J887" t="s">
        <v>66</v>
      </c>
      <c r="K887">
        <v>4</v>
      </c>
      <c r="L887" t="s">
        <v>77</v>
      </c>
      <c r="M887" t="s">
        <v>101</v>
      </c>
      <c r="N887" t="s">
        <v>40</v>
      </c>
      <c r="O887">
        <v>41243</v>
      </c>
      <c r="P887">
        <v>0</v>
      </c>
      <c r="Q887" t="s">
        <v>41</v>
      </c>
      <c r="R887" s="1">
        <v>43404</v>
      </c>
      <c r="S887" t="s">
        <v>34</v>
      </c>
      <c r="T887">
        <v>4</v>
      </c>
      <c r="U887">
        <v>3</v>
      </c>
      <c r="V887">
        <v>4</v>
      </c>
      <c r="W887">
        <v>4</v>
      </c>
      <c r="X887" t="s">
        <v>11023</v>
      </c>
      <c r="Y887" t="s">
        <v>11023</v>
      </c>
      <c r="Z887" t="str">
        <f>_xlfn.XLOOKUP(Employees[[#This Row],[Education]], EdLevel[EducationLevelID], EdLevel[EducationLevel])</f>
        <v xml:space="preserve">Masters </v>
      </c>
      <c r="AA887">
        <f>IF(Employees[[#This Row],[Attrition]] = "Yes", 1, 0)</f>
        <v>0</v>
      </c>
      <c r="AB887" t="str" cm="1">
        <f t="array" ref="AB887">_xlfn.IFS(Employees[[#This Row],[Age]]&lt;30, "20-29", Employees[[#This Row],[Age]]&lt;40, "30-39", Employees[[#This Row],[Age]]&lt;50, "40-49", "TRUE", "50+")</f>
        <v>20-29</v>
      </c>
    </row>
    <row r="888" spans="1:28">
      <c r="A888" t="s">
        <v>2650</v>
      </c>
      <c r="B888" t="s">
        <v>2651</v>
      </c>
      <c r="C888" t="s">
        <v>2652</v>
      </c>
      <c r="D888" t="s">
        <v>53</v>
      </c>
      <c r="E888">
        <v>25</v>
      </c>
      <c r="F888" t="s">
        <v>84</v>
      </c>
      <c r="G888" t="s">
        <v>28</v>
      </c>
      <c r="H888">
        <v>43</v>
      </c>
      <c r="I888" t="s">
        <v>39</v>
      </c>
      <c r="J888" t="s">
        <v>30</v>
      </c>
      <c r="K888">
        <v>4</v>
      </c>
      <c r="L888" t="s">
        <v>31</v>
      </c>
      <c r="M888" t="s">
        <v>32</v>
      </c>
      <c r="N888" t="s">
        <v>49</v>
      </c>
      <c r="O888">
        <v>81889</v>
      </c>
      <c r="P888">
        <v>0</v>
      </c>
      <c r="Q888" t="s">
        <v>41</v>
      </c>
      <c r="R888" s="1">
        <v>43406</v>
      </c>
      <c r="S888" t="s">
        <v>41</v>
      </c>
      <c r="T888">
        <v>0</v>
      </c>
      <c r="U888">
        <v>0</v>
      </c>
      <c r="V888">
        <v>0</v>
      </c>
      <c r="W888">
        <v>0</v>
      </c>
      <c r="X888" t="s">
        <v>11023</v>
      </c>
      <c r="Y888" t="s">
        <v>11023</v>
      </c>
      <c r="Z888" t="str">
        <f>_xlfn.XLOOKUP(Employees[[#This Row],[Education]], EdLevel[EducationLevelID], EdLevel[EducationLevel])</f>
        <v xml:space="preserve">Masters </v>
      </c>
      <c r="AA888">
        <f>IF(Employees[[#This Row],[Attrition]] = "Yes", 1, 0)</f>
        <v>1</v>
      </c>
      <c r="AB888" t="str" cm="1">
        <f t="array" ref="AB888">_xlfn.IFS(Employees[[#This Row],[Age]]&lt;30, "20-29", Employees[[#This Row],[Age]]&lt;40, "30-39", Employees[[#This Row],[Age]]&lt;50, "40-49", "TRUE", "50+")</f>
        <v>20-29</v>
      </c>
    </row>
    <row r="889" spans="1:28">
      <c r="A889" t="s">
        <v>2653</v>
      </c>
      <c r="B889" t="s">
        <v>2654</v>
      </c>
      <c r="C889" t="s">
        <v>2655</v>
      </c>
      <c r="D889" t="s">
        <v>38</v>
      </c>
      <c r="E889">
        <v>38</v>
      </c>
      <c r="F889" t="s">
        <v>84</v>
      </c>
      <c r="G889" t="s">
        <v>54</v>
      </c>
      <c r="H889">
        <v>23</v>
      </c>
      <c r="I889" t="s">
        <v>39</v>
      </c>
      <c r="J889" t="s">
        <v>137</v>
      </c>
      <c r="K889">
        <v>4</v>
      </c>
      <c r="L889" t="s">
        <v>55</v>
      </c>
      <c r="M889" t="s">
        <v>93</v>
      </c>
      <c r="N889" t="s">
        <v>40</v>
      </c>
      <c r="O889">
        <v>231699</v>
      </c>
      <c r="P889">
        <v>0</v>
      </c>
      <c r="Q889" t="s">
        <v>34</v>
      </c>
      <c r="R889" s="1">
        <v>43410</v>
      </c>
      <c r="S889" t="s">
        <v>41</v>
      </c>
      <c r="T889">
        <v>1</v>
      </c>
      <c r="U889">
        <v>0</v>
      </c>
      <c r="V889">
        <v>0</v>
      </c>
      <c r="W889">
        <v>0</v>
      </c>
      <c r="X889" t="s">
        <v>11023</v>
      </c>
      <c r="Y889" t="s">
        <v>11023</v>
      </c>
      <c r="Z889" t="str">
        <f>_xlfn.XLOOKUP(Employees[[#This Row],[Education]], EdLevel[EducationLevelID], EdLevel[EducationLevel])</f>
        <v xml:space="preserve">Masters </v>
      </c>
      <c r="AA889">
        <f>IF(Employees[[#This Row],[Attrition]] = "Yes", 1, 0)</f>
        <v>1</v>
      </c>
      <c r="AB889" t="str" cm="1">
        <f t="array" ref="AB889">_xlfn.IFS(Employees[[#This Row],[Age]]&lt;30, "20-29", Employees[[#This Row],[Age]]&lt;40, "30-39", Employees[[#This Row],[Age]]&lt;50, "40-49", "TRUE", "50+")</f>
        <v>30-39</v>
      </c>
    </row>
    <row r="890" spans="1:28">
      <c r="A890" t="s">
        <v>2656</v>
      </c>
      <c r="B890" t="s">
        <v>2657</v>
      </c>
      <c r="C890" t="s">
        <v>2658</v>
      </c>
      <c r="D890" t="s">
        <v>38</v>
      </c>
      <c r="E890">
        <v>25</v>
      </c>
      <c r="F890" t="s">
        <v>27</v>
      </c>
      <c r="G890" t="s">
        <v>54</v>
      </c>
      <c r="H890">
        <v>14</v>
      </c>
      <c r="I890" t="s">
        <v>29</v>
      </c>
      <c r="J890" t="s">
        <v>71</v>
      </c>
      <c r="K890">
        <v>2</v>
      </c>
      <c r="L890" t="s">
        <v>55</v>
      </c>
      <c r="M890" t="s">
        <v>101</v>
      </c>
      <c r="N890" t="s">
        <v>40</v>
      </c>
      <c r="O890">
        <v>40079</v>
      </c>
      <c r="P890">
        <v>0</v>
      </c>
      <c r="Q890" t="s">
        <v>41</v>
      </c>
      <c r="R890" s="1">
        <v>43416</v>
      </c>
      <c r="S890" t="s">
        <v>34</v>
      </c>
      <c r="T890">
        <v>4</v>
      </c>
      <c r="U890">
        <v>3</v>
      </c>
      <c r="V890">
        <v>4</v>
      </c>
      <c r="W890">
        <v>1</v>
      </c>
      <c r="X890" t="s">
        <v>11021</v>
      </c>
      <c r="Y890" t="s">
        <v>11021</v>
      </c>
      <c r="Z890" t="str">
        <f>_xlfn.XLOOKUP(Employees[[#This Row],[Education]], EdLevel[EducationLevelID], EdLevel[EducationLevel])</f>
        <v xml:space="preserve">High School </v>
      </c>
      <c r="AA890">
        <f>IF(Employees[[#This Row],[Attrition]] = "Yes", 1, 0)</f>
        <v>0</v>
      </c>
      <c r="AB890" t="str" cm="1">
        <f t="array" ref="AB890">_xlfn.IFS(Employees[[#This Row],[Age]]&lt;30, "20-29", Employees[[#This Row],[Age]]&lt;40, "30-39", Employees[[#This Row],[Age]]&lt;50, "40-49", "TRUE", "50+")</f>
        <v>20-29</v>
      </c>
    </row>
    <row r="891" spans="1:28">
      <c r="A891" t="s">
        <v>2659</v>
      </c>
      <c r="B891" t="s">
        <v>2660</v>
      </c>
      <c r="C891" t="s">
        <v>2661</v>
      </c>
      <c r="D891" t="s">
        <v>26</v>
      </c>
      <c r="E891">
        <v>23</v>
      </c>
      <c r="F891" t="s">
        <v>27</v>
      </c>
      <c r="G891" t="s">
        <v>54</v>
      </c>
      <c r="H891">
        <v>23</v>
      </c>
      <c r="I891" t="s">
        <v>39</v>
      </c>
      <c r="J891" t="s">
        <v>30</v>
      </c>
      <c r="K891">
        <v>3</v>
      </c>
      <c r="L891" t="s">
        <v>55</v>
      </c>
      <c r="M891" t="s">
        <v>101</v>
      </c>
      <c r="N891" t="s">
        <v>40</v>
      </c>
      <c r="O891">
        <v>40438</v>
      </c>
      <c r="P891">
        <v>0</v>
      </c>
      <c r="Q891" t="s">
        <v>41</v>
      </c>
      <c r="R891" s="1">
        <v>43424</v>
      </c>
      <c r="S891" t="s">
        <v>34</v>
      </c>
      <c r="T891">
        <v>4</v>
      </c>
      <c r="U891">
        <v>0</v>
      </c>
      <c r="V891">
        <v>0</v>
      </c>
      <c r="W891">
        <v>2</v>
      </c>
      <c r="X891" t="s">
        <v>11022</v>
      </c>
      <c r="Y891" t="s">
        <v>11022</v>
      </c>
      <c r="Z891" t="str">
        <f>_xlfn.XLOOKUP(Employees[[#This Row],[Education]], EdLevel[EducationLevelID], EdLevel[EducationLevel])</f>
        <v xml:space="preserve">Bachelors </v>
      </c>
      <c r="AA891">
        <f>IF(Employees[[#This Row],[Attrition]] = "Yes", 1, 0)</f>
        <v>0</v>
      </c>
      <c r="AB891" t="str" cm="1">
        <f t="array" ref="AB891">_xlfn.IFS(Employees[[#This Row],[Age]]&lt;30, "20-29", Employees[[#This Row],[Age]]&lt;40, "30-39", Employees[[#This Row],[Age]]&lt;50, "40-49", "TRUE", "50+")</f>
        <v>20-29</v>
      </c>
    </row>
    <row r="892" spans="1:28">
      <c r="A892" t="s">
        <v>2662</v>
      </c>
      <c r="B892" t="s">
        <v>1940</v>
      </c>
      <c r="C892" t="s">
        <v>2663</v>
      </c>
      <c r="D892" t="s">
        <v>38</v>
      </c>
      <c r="E892">
        <v>24</v>
      </c>
      <c r="F892" t="s">
        <v>84</v>
      </c>
      <c r="G892" t="s">
        <v>54</v>
      </c>
      <c r="H892">
        <v>36</v>
      </c>
      <c r="I892" t="s">
        <v>39</v>
      </c>
      <c r="J892" t="s">
        <v>30</v>
      </c>
      <c r="K892">
        <v>3</v>
      </c>
      <c r="L892" t="s">
        <v>55</v>
      </c>
      <c r="M892" t="s">
        <v>101</v>
      </c>
      <c r="N892" t="s">
        <v>33</v>
      </c>
      <c r="O892">
        <v>30233</v>
      </c>
      <c r="P892">
        <v>3</v>
      </c>
      <c r="Q892" t="s">
        <v>34</v>
      </c>
      <c r="R892" s="1">
        <v>43424</v>
      </c>
      <c r="S892" t="s">
        <v>34</v>
      </c>
      <c r="T892">
        <v>4</v>
      </c>
      <c r="U892">
        <v>0</v>
      </c>
      <c r="V892">
        <v>4</v>
      </c>
      <c r="W892">
        <v>0</v>
      </c>
      <c r="X892" t="s">
        <v>11022</v>
      </c>
      <c r="Y892" t="s">
        <v>11022</v>
      </c>
      <c r="Z892" t="str">
        <f>_xlfn.XLOOKUP(Employees[[#This Row],[Education]], EdLevel[EducationLevelID], EdLevel[EducationLevel])</f>
        <v xml:space="preserve">Bachelors </v>
      </c>
      <c r="AA892">
        <f>IF(Employees[[#This Row],[Attrition]] = "Yes", 1, 0)</f>
        <v>0</v>
      </c>
      <c r="AB892" t="str" cm="1">
        <f t="array" ref="AB892">_xlfn.IFS(Employees[[#This Row],[Age]]&lt;30, "20-29", Employees[[#This Row],[Age]]&lt;40, "30-39", Employees[[#This Row],[Age]]&lt;50, "40-49", "TRUE", "50+")</f>
        <v>20-29</v>
      </c>
    </row>
    <row r="893" spans="1:28">
      <c r="A893" t="s">
        <v>2664</v>
      </c>
      <c r="B893" t="s">
        <v>1722</v>
      </c>
      <c r="C893" t="s">
        <v>2665</v>
      </c>
      <c r="D893" t="s">
        <v>26</v>
      </c>
      <c r="E893">
        <v>24</v>
      </c>
      <c r="F893" t="s">
        <v>84</v>
      </c>
      <c r="G893" t="s">
        <v>28</v>
      </c>
      <c r="H893">
        <v>9</v>
      </c>
      <c r="I893" t="s">
        <v>39</v>
      </c>
      <c r="J893" t="s">
        <v>137</v>
      </c>
      <c r="K893">
        <v>1</v>
      </c>
      <c r="L893" t="s">
        <v>47</v>
      </c>
      <c r="M893" t="s">
        <v>32</v>
      </c>
      <c r="N893" t="s">
        <v>49</v>
      </c>
      <c r="O893">
        <v>125759</v>
      </c>
      <c r="P893">
        <v>0</v>
      </c>
      <c r="Q893" t="s">
        <v>34</v>
      </c>
      <c r="R893" s="1">
        <v>43425</v>
      </c>
      <c r="S893" t="s">
        <v>34</v>
      </c>
      <c r="T893">
        <v>4</v>
      </c>
      <c r="U893">
        <v>3</v>
      </c>
      <c r="V893">
        <v>3</v>
      </c>
      <c r="W893">
        <v>0</v>
      </c>
      <c r="X893" t="s">
        <v>11020</v>
      </c>
      <c r="Y893" t="s">
        <v>11020</v>
      </c>
      <c r="Z893" t="str">
        <f>_xlfn.XLOOKUP(Employees[[#This Row],[Education]], EdLevel[EducationLevelID], EdLevel[EducationLevel])</f>
        <v>No Formal Qualifications</v>
      </c>
      <c r="AA893">
        <f>IF(Employees[[#This Row],[Attrition]] = "Yes", 1, 0)</f>
        <v>0</v>
      </c>
      <c r="AB893" t="str" cm="1">
        <f t="array" ref="AB893">_xlfn.IFS(Employees[[#This Row],[Age]]&lt;30, "20-29", Employees[[#This Row],[Age]]&lt;40, "30-39", Employees[[#This Row],[Age]]&lt;50, "40-49", "TRUE", "50+")</f>
        <v>20-29</v>
      </c>
    </row>
    <row r="894" spans="1:28">
      <c r="A894" t="s">
        <v>2666</v>
      </c>
      <c r="B894" t="s">
        <v>2667</v>
      </c>
      <c r="C894" t="s">
        <v>2668</v>
      </c>
      <c r="D894" t="s">
        <v>26</v>
      </c>
      <c r="E894">
        <v>23</v>
      </c>
      <c r="F894" t="s">
        <v>27</v>
      </c>
      <c r="G894" t="s">
        <v>54</v>
      </c>
      <c r="H894">
        <v>16</v>
      </c>
      <c r="I894" t="s">
        <v>39</v>
      </c>
      <c r="J894" t="s">
        <v>30</v>
      </c>
      <c r="K894">
        <v>2</v>
      </c>
      <c r="L894" t="s">
        <v>72</v>
      </c>
      <c r="M894" t="s">
        <v>93</v>
      </c>
      <c r="N894" t="s">
        <v>49</v>
      </c>
      <c r="O894">
        <v>56946</v>
      </c>
      <c r="P894">
        <v>1</v>
      </c>
      <c r="Q894" t="s">
        <v>34</v>
      </c>
      <c r="R894" s="1">
        <v>43426</v>
      </c>
      <c r="S894" t="s">
        <v>34</v>
      </c>
      <c r="T894">
        <v>4</v>
      </c>
      <c r="U894">
        <v>2</v>
      </c>
      <c r="V894">
        <v>4</v>
      </c>
      <c r="W894">
        <v>4</v>
      </c>
      <c r="X894" t="s">
        <v>11021</v>
      </c>
      <c r="Y894" t="s">
        <v>11021</v>
      </c>
      <c r="Z894" t="str">
        <f>_xlfn.XLOOKUP(Employees[[#This Row],[Education]], EdLevel[EducationLevelID], EdLevel[EducationLevel])</f>
        <v xml:space="preserve">High School </v>
      </c>
      <c r="AA894">
        <f>IF(Employees[[#This Row],[Attrition]] = "Yes", 1, 0)</f>
        <v>0</v>
      </c>
      <c r="AB894" t="str" cm="1">
        <f t="array" ref="AB894">_xlfn.IFS(Employees[[#This Row],[Age]]&lt;30, "20-29", Employees[[#This Row],[Age]]&lt;40, "30-39", Employees[[#This Row],[Age]]&lt;50, "40-49", "TRUE", "50+")</f>
        <v>20-29</v>
      </c>
    </row>
    <row r="895" spans="1:28">
      <c r="A895" t="s">
        <v>2669</v>
      </c>
      <c r="B895" t="s">
        <v>2670</v>
      </c>
      <c r="C895" t="s">
        <v>2671</v>
      </c>
      <c r="D895" t="s">
        <v>26</v>
      </c>
      <c r="E895">
        <v>25</v>
      </c>
      <c r="F895" t="s">
        <v>27</v>
      </c>
      <c r="G895" t="s">
        <v>54</v>
      </c>
      <c r="H895">
        <v>20</v>
      </c>
      <c r="I895" t="s">
        <v>65</v>
      </c>
      <c r="J895" t="s">
        <v>66</v>
      </c>
      <c r="K895">
        <v>3</v>
      </c>
      <c r="L895" t="s">
        <v>55</v>
      </c>
      <c r="M895" t="s">
        <v>93</v>
      </c>
      <c r="N895" t="s">
        <v>49</v>
      </c>
      <c r="O895">
        <v>65642</v>
      </c>
      <c r="P895">
        <v>1</v>
      </c>
      <c r="Q895" t="s">
        <v>34</v>
      </c>
      <c r="R895" s="1">
        <v>43429</v>
      </c>
      <c r="S895" t="s">
        <v>34</v>
      </c>
      <c r="T895">
        <v>4</v>
      </c>
      <c r="U895">
        <v>4</v>
      </c>
      <c r="V895">
        <v>4</v>
      </c>
      <c r="W895">
        <v>0</v>
      </c>
      <c r="X895" t="s">
        <v>11022</v>
      </c>
      <c r="Y895" t="s">
        <v>11022</v>
      </c>
      <c r="Z895" t="str">
        <f>_xlfn.XLOOKUP(Employees[[#This Row],[Education]], EdLevel[EducationLevelID], EdLevel[EducationLevel])</f>
        <v xml:space="preserve">Bachelors </v>
      </c>
      <c r="AA895">
        <f>IF(Employees[[#This Row],[Attrition]] = "Yes", 1, 0)</f>
        <v>0</v>
      </c>
      <c r="AB895" t="str" cm="1">
        <f t="array" ref="AB895">_xlfn.IFS(Employees[[#This Row],[Age]]&lt;30, "20-29", Employees[[#This Row],[Age]]&lt;40, "30-39", Employees[[#This Row],[Age]]&lt;50, "40-49", "TRUE", "50+")</f>
        <v>20-29</v>
      </c>
    </row>
    <row r="896" spans="1:28">
      <c r="A896" t="s">
        <v>2672</v>
      </c>
      <c r="B896" t="s">
        <v>2673</v>
      </c>
      <c r="C896" t="s">
        <v>2674</v>
      </c>
      <c r="D896" t="s">
        <v>26</v>
      </c>
      <c r="E896">
        <v>25</v>
      </c>
      <c r="F896" t="s">
        <v>84</v>
      </c>
      <c r="G896" t="s">
        <v>28</v>
      </c>
      <c r="H896">
        <v>3</v>
      </c>
      <c r="I896" t="s">
        <v>29</v>
      </c>
      <c r="J896" t="s">
        <v>66</v>
      </c>
      <c r="K896">
        <v>4</v>
      </c>
      <c r="L896" t="s">
        <v>77</v>
      </c>
      <c r="M896" t="s">
        <v>32</v>
      </c>
      <c r="N896" t="s">
        <v>40</v>
      </c>
      <c r="O896">
        <v>56163</v>
      </c>
      <c r="P896">
        <v>0</v>
      </c>
      <c r="Q896" t="s">
        <v>41</v>
      </c>
      <c r="R896" s="1">
        <v>43430</v>
      </c>
      <c r="S896" t="s">
        <v>41</v>
      </c>
      <c r="T896">
        <v>0</v>
      </c>
      <c r="U896">
        <v>0</v>
      </c>
      <c r="V896">
        <v>0</v>
      </c>
      <c r="W896">
        <v>0</v>
      </c>
      <c r="X896" t="s">
        <v>11023</v>
      </c>
      <c r="Y896" t="s">
        <v>11023</v>
      </c>
      <c r="Z896" t="str">
        <f>_xlfn.XLOOKUP(Employees[[#This Row],[Education]], EdLevel[EducationLevelID], EdLevel[EducationLevel])</f>
        <v xml:space="preserve">Masters </v>
      </c>
      <c r="AA896">
        <f>IF(Employees[[#This Row],[Attrition]] = "Yes", 1, 0)</f>
        <v>1</v>
      </c>
      <c r="AB896" t="str" cm="1">
        <f t="array" ref="AB896">_xlfn.IFS(Employees[[#This Row],[Age]]&lt;30, "20-29", Employees[[#This Row],[Age]]&lt;40, "30-39", Employees[[#This Row],[Age]]&lt;50, "40-49", "TRUE", "50+")</f>
        <v>20-29</v>
      </c>
    </row>
    <row r="897" spans="1:28">
      <c r="A897" t="s">
        <v>2675</v>
      </c>
      <c r="B897" t="s">
        <v>2676</v>
      </c>
      <c r="C897" t="s">
        <v>2677</v>
      </c>
      <c r="D897" t="s">
        <v>38</v>
      </c>
      <c r="E897">
        <v>24</v>
      </c>
      <c r="F897" t="s">
        <v>27</v>
      </c>
      <c r="G897" t="s">
        <v>54</v>
      </c>
      <c r="H897">
        <v>11</v>
      </c>
      <c r="I897" t="s">
        <v>39</v>
      </c>
      <c r="J897" t="s">
        <v>30</v>
      </c>
      <c r="K897">
        <v>3</v>
      </c>
      <c r="L897" t="s">
        <v>55</v>
      </c>
      <c r="M897" t="s">
        <v>105</v>
      </c>
      <c r="N897" t="s">
        <v>40</v>
      </c>
      <c r="O897">
        <v>57054</v>
      </c>
      <c r="P897">
        <v>0</v>
      </c>
      <c r="Q897" t="s">
        <v>34</v>
      </c>
      <c r="R897" s="1">
        <v>43432</v>
      </c>
      <c r="S897" t="s">
        <v>34</v>
      </c>
      <c r="T897">
        <v>4</v>
      </c>
      <c r="U897">
        <v>4</v>
      </c>
      <c r="V897">
        <v>4</v>
      </c>
      <c r="W897">
        <v>4</v>
      </c>
      <c r="X897" t="s">
        <v>11022</v>
      </c>
      <c r="Y897" t="s">
        <v>11022</v>
      </c>
      <c r="Z897" t="str">
        <f>_xlfn.XLOOKUP(Employees[[#This Row],[Education]], EdLevel[EducationLevelID], EdLevel[EducationLevel])</f>
        <v xml:space="preserve">Bachelors </v>
      </c>
      <c r="AA897">
        <f>IF(Employees[[#This Row],[Attrition]] = "Yes", 1, 0)</f>
        <v>0</v>
      </c>
      <c r="AB897" t="str" cm="1">
        <f t="array" ref="AB897">_xlfn.IFS(Employees[[#This Row],[Age]]&lt;30, "20-29", Employees[[#This Row],[Age]]&lt;40, "30-39", Employees[[#This Row],[Age]]&lt;50, "40-49", "TRUE", "50+")</f>
        <v>20-29</v>
      </c>
    </row>
    <row r="898" spans="1:28">
      <c r="A898" t="s">
        <v>2678</v>
      </c>
      <c r="B898" t="s">
        <v>2679</v>
      </c>
      <c r="C898" t="s">
        <v>2680</v>
      </c>
      <c r="D898" t="s">
        <v>53</v>
      </c>
      <c r="E898">
        <v>22</v>
      </c>
      <c r="F898" t="s">
        <v>27</v>
      </c>
      <c r="G898" t="s">
        <v>54</v>
      </c>
      <c r="H898">
        <v>6</v>
      </c>
      <c r="I898" t="s">
        <v>65</v>
      </c>
      <c r="J898" t="s">
        <v>30</v>
      </c>
      <c r="K898">
        <v>3</v>
      </c>
      <c r="L898" t="s">
        <v>178</v>
      </c>
      <c r="M898" t="s">
        <v>101</v>
      </c>
      <c r="N898" t="s">
        <v>49</v>
      </c>
      <c r="O898">
        <v>21649</v>
      </c>
      <c r="P898">
        <v>1</v>
      </c>
      <c r="Q898" t="s">
        <v>34</v>
      </c>
      <c r="R898" s="1">
        <v>43436</v>
      </c>
      <c r="S898" t="s">
        <v>34</v>
      </c>
      <c r="T898">
        <v>4</v>
      </c>
      <c r="U898">
        <v>1</v>
      </c>
      <c r="V898">
        <v>4</v>
      </c>
      <c r="W898">
        <v>1</v>
      </c>
      <c r="X898" t="s">
        <v>11022</v>
      </c>
      <c r="Y898" t="s">
        <v>11022</v>
      </c>
      <c r="Z898" t="str">
        <f>_xlfn.XLOOKUP(Employees[[#This Row],[Education]], EdLevel[EducationLevelID], EdLevel[EducationLevel])</f>
        <v xml:space="preserve">Bachelors </v>
      </c>
      <c r="AA898">
        <f>IF(Employees[[#This Row],[Attrition]] = "Yes", 1, 0)</f>
        <v>0</v>
      </c>
      <c r="AB898" t="str" cm="1">
        <f t="array" ref="AB898">_xlfn.IFS(Employees[[#This Row],[Age]]&lt;30, "20-29", Employees[[#This Row],[Age]]&lt;40, "30-39", Employees[[#This Row],[Age]]&lt;50, "40-49", "TRUE", "50+")</f>
        <v>20-29</v>
      </c>
    </row>
    <row r="899" spans="1:28">
      <c r="A899" t="s">
        <v>2681</v>
      </c>
      <c r="B899" t="s">
        <v>2682</v>
      </c>
      <c r="C899" t="s">
        <v>2683</v>
      </c>
      <c r="D899" t="s">
        <v>26</v>
      </c>
      <c r="E899">
        <v>22</v>
      </c>
      <c r="F899" t="s">
        <v>84</v>
      </c>
      <c r="G899" t="s">
        <v>54</v>
      </c>
      <c r="H899">
        <v>29</v>
      </c>
      <c r="I899" t="s">
        <v>39</v>
      </c>
      <c r="J899" t="s">
        <v>66</v>
      </c>
      <c r="K899">
        <v>2</v>
      </c>
      <c r="L899" t="s">
        <v>55</v>
      </c>
      <c r="M899" t="s">
        <v>85</v>
      </c>
      <c r="N899" t="s">
        <v>40</v>
      </c>
      <c r="O899">
        <v>45850</v>
      </c>
      <c r="P899">
        <v>0</v>
      </c>
      <c r="Q899" t="s">
        <v>34</v>
      </c>
      <c r="R899" s="1">
        <v>43442</v>
      </c>
      <c r="S899" t="s">
        <v>34</v>
      </c>
      <c r="T899">
        <v>4</v>
      </c>
      <c r="U899">
        <v>2</v>
      </c>
      <c r="V899">
        <v>3</v>
      </c>
      <c r="W899">
        <v>1</v>
      </c>
      <c r="X899" t="s">
        <v>11021</v>
      </c>
      <c r="Y899" t="s">
        <v>11021</v>
      </c>
      <c r="Z899" t="str">
        <f>_xlfn.XLOOKUP(Employees[[#This Row],[Education]], EdLevel[EducationLevelID], EdLevel[EducationLevel])</f>
        <v xml:space="preserve">High School </v>
      </c>
      <c r="AA899">
        <f>IF(Employees[[#This Row],[Attrition]] = "Yes", 1, 0)</f>
        <v>0</v>
      </c>
      <c r="AB899" t="str" cm="1">
        <f t="array" ref="AB899">_xlfn.IFS(Employees[[#This Row],[Age]]&lt;30, "20-29", Employees[[#This Row],[Age]]&lt;40, "30-39", Employees[[#This Row],[Age]]&lt;50, "40-49", "TRUE", "50+")</f>
        <v>20-29</v>
      </c>
    </row>
    <row r="900" spans="1:28">
      <c r="A900" t="s">
        <v>2684</v>
      </c>
      <c r="B900" t="s">
        <v>1594</v>
      </c>
      <c r="C900" t="s">
        <v>2685</v>
      </c>
      <c r="D900" t="s">
        <v>38</v>
      </c>
      <c r="E900">
        <v>46</v>
      </c>
      <c r="F900" t="s">
        <v>27</v>
      </c>
      <c r="G900" t="s">
        <v>28</v>
      </c>
      <c r="H900">
        <v>38</v>
      </c>
      <c r="I900" t="s">
        <v>29</v>
      </c>
      <c r="J900" t="s">
        <v>30</v>
      </c>
      <c r="K900">
        <v>3</v>
      </c>
      <c r="L900" t="s">
        <v>31</v>
      </c>
      <c r="M900" t="s">
        <v>32</v>
      </c>
      <c r="N900" t="s">
        <v>49</v>
      </c>
      <c r="O900">
        <v>325452</v>
      </c>
      <c r="P900">
        <v>1</v>
      </c>
      <c r="Q900" t="s">
        <v>34</v>
      </c>
      <c r="R900" s="1">
        <v>43450</v>
      </c>
      <c r="S900" t="s">
        <v>34</v>
      </c>
      <c r="T900">
        <v>4</v>
      </c>
      <c r="U900">
        <v>3</v>
      </c>
      <c r="V900">
        <v>4</v>
      </c>
      <c r="W900">
        <v>3</v>
      </c>
      <c r="X900" t="s">
        <v>11022</v>
      </c>
      <c r="Y900" t="s">
        <v>11022</v>
      </c>
      <c r="Z900" t="str">
        <f>_xlfn.XLOOKUP(Employees[[#This Row],[Education]], EdLevel[EducationLevelID], EdLevel[EducationLevel])</f>
        <v xml:space="preserve">Bachelors </v>
      </c>
      <c r="AA900">
        <f>IF(Employees[[#This Row],[Attrition]] = "Yes", 1, 0)</f>
        <v>0</v>
      </c>
      <c r="AB900" t="str" cm="1">
        <f t="array" ref="AB900">_xlfn.IFS(Employees[[#This Row],[Age]]&lt;30, "20-29", Employees[[#This Row],[Age]]&lt;40, "30-39", Employees[[#This Row],[Age]]&lt;50, "40-49", "TRUE", "50+")</f>
        <v>40-49</v>
      </c>
    </row>
    <row r="901" spans="1:28">
      <c r="A901" t="s">
        <v>2686</v>
      </c>
      <c r="B901" t="s">
        <v>2687</v>
      </c>
      <c r="C901" t="s">
        <v>2688</v>
      </c>
      <c r="D901" t="s">
        <v>26</v>
      </c>
      <c r="E901">
        <v>22</v>
      </c>
      <c r="F901" t="s">
        <v>27</v>
      </c>
      <c r="G901" t="s">
        <v>54</v>
      </c>
      <c r="H901">
        <v>4</v>
      </c>
      <c r="I901" t="s">
        <v>39</v>
      </c>
      <c r="J901" t="s">
        <v>30</v>
      </c>
      <c r="K901">
        <v>2</v>
      </c>
      <c r="L901" t="s">
        <v>55</v>
      </c>
      <c r="M901" t="s">
        <v>105</v>
      </c>
      <c r="N901" t="s">
        <v>40</v>
      </c>
      <c r="O901">
        <v>73653</v>
      </c>
      <c r="P901">
        <v>0</v>
      </c>
      <c r="Q901" t="s">
        <v>34</v>
      </c>
      <c r="R901" s="1">
        <v>43453</v>
      </c>
      <c r="S901" t="s">
        <v>34</v>
      </c>
      <c r="T901">
        <v>4</v>
      </c>
      <c r="U901">
        <v>2</v>
      </c>
      <c r="V901">
        <v>3</v>
      </c>
      <c r="W901">
        <v>3</v>
      </c>
      <c r="X901" t="s">
        <v>11021</v>
      </c>
      <c r="Y901" t="s">
        <v>11021</v>
      </c>
      <c r="Z901" t="str">
        <f>_xlfn.XLOOKUP(Employees[[#This Row],[Education]], EdLevel[EducationLevelID], EdLevel[EducationLevel])</f>
        <v xml:space="preserve">High School </v>
      </c>
      <c r="AA901">
        <f>IF(Employees[[#This Row],[Attrition]] = "Yes", 1, 0)</f>
        <v>0</v>
      </c>
      <c r="AB901" t="str" cm="1">
        <f t="array" ref="AB901">_xlfn.IFS(Employees[[#This Row],[Age]]&lt;30, "20-29", Employees[[#This Row],[Age]]&lt;40, "30-39", Employees[[#This Row],[Age]]&lt;50, "40-49", "TRUE", "50+")</f>
        <v>20-29</v>
      </c>
    </row>
    <row r="902" spans="1:28">
      <c r="A902" t="s">
        <v>2689</v>
      </c>
      <c r="B902" t="s">
        <v>644</v>
      </c>
      <c r="C902" t="s">
        <v>2690</v>
      </c>
      <c r="D902" t="s">
        <v>38</v>
      </c>
      <c r="E902">
        <v>44</v>
      </c>
      <c r="F902" t="s">
        <v>27</v>
      </c>
      <c r="G902" t="s">
        <v>28</v>
      </c>
      <c r="H902">
        <v>44</v>
      </c>
      <c r="I902" t="s">
        <v>39</v>
      </c>
      <c r="J902" t="s">
        <v>66</v>
      </c>
      <c r="K902">
        <v>3</v>
      </c>
      <c r="L902" t="s">
        <v>31</v>
      </c>
      <c r="M902" t="s">
        <v>97</v>
      </c>
      <c r="N902" t="s">
        <v>33</v>
      </c>
      <c r="O902">
        <v>313891</v>
      </c>
      <c r="P902">
        <v>1</v>
      </c>
      <c r="Q902" t="s">
        <v>34</v>
      </c>
      <c r="R902" s="1">
        <v>43457</v>
      </c>
      <c r="S902" t="s">
        <v>34</v>
      </c>
      <c r="T902">
        <v>4</v>
      </c>
      <c r="U902">
        <v>4</v>
      </c>
      <c r="V902">
        <v>4</v>
      </c>
      <c r="W902">
        <v>3</v>
      </c>
      <c r="X902" t="s">
        <v>11022</v>
      </c>
      <c r="Y902" t="s">
        <v>11022</v>
      </c>
      <c r="Z902" t="str">
        <f>_xlfn.XLOOKUP(Employees[[#This Row],[Education]], EdLevel[EducationLevelID], EdLevel[EducationLevel])</f>
        <v xml:space="preserve">Bachelors </v>
      </c>
      <c r="AA902">
        <f>IF(Employees[[#This Row],[Attrition]] = "Yes", 1, 0)</f>
        <v>0</v>
      </c>
      <c r="AB902" t="str" cm="1">
        <f t="array" ref="AB902">_xlfn.IFS(Employees[[#This Row],[Age]]&lt;30, "20-29", Employees[[#This Row],[Age]]&lt;40, "30-39", Employees[[#This Row],[Age]]&lt;50, "40-49", "TRUE", "50+")</f>
        <v>40-49</v>
      </c>
    </row>
    <row r="903" spans="1:28">
      <c r="A903" t="s">
        <v>2691</v>
      </c>
      <c r="B903" t="s">
        <v>2692</v>
      </c>
      <c r="C903" t="s">
        <v>2693</v>
      </c>
      <c r="D903" t="s">
        <v>26</v>
      </c>
      <c r="E903">
        <v>22</v>
      </c>
      <c r="F903" t="s">
        <v>27</v>
      </c>
      <c r="G903" t="s">
        <v>54</v>
      </c>
      <c r="H903">
        <v>41</v>
      </c>
      <c r="I903" t="s">
        <v>39</v>
      </c>
      <c r="J903" t="s">
        <v>71</v>
      </c>
      <c r="K903">
        <v>5</v>
      </c>
      <c r="L903" t="s">
        <v>72</v>
      </c>
      <c r="M903" t="s">
        <v>93</v>
      </c>
      <c r="N903" t="s">
        <v>40</v>
      </c>
      <c r="O903">
        <v>75810</v>
      </c>
      <c r="P903">
        <v>0</v>
      </c>
      <c r="Q903" t="s">
        <v>34</v>
      </c>
      <c r="R903" s="1">
        <v>43458</v>
      </c>
      <c r="S903" t="s">
        <v>34</v>
      </c>
      <c r="T903">
        <v>4</v>
      </c>
      <c r="U903">
        <v>2</v>
      </c>
      <c r="V903">
        <v>4</v>
      </c>
      <c r="W903">
        <v>3</v>
      </c>
      <c r="X903" t="s">
        <v>11024</v>
      </c>
      <c r="Y903" t="s">
        <v>11024</v>
      </c>
      <c r="Z903" t="str">
        <f>_xlfn.XLOOKUP(Employees[[#This Row],[Education]], EdLevel[EducationLevelID], EdLevel[EducationLevel])</f>
        <v>Doctorate</v>
      </c>
      <c r="AA903">
        <f>IF(Employees[[#This Row],[Attrition]] = "Yes", 1, 0)</f>
        <v>0</v>
      </c>
      <c r="AB903" t="str" cm="1">
        <f t="array" ref="AB903">_xlfn.IFS(Employees[[#This Row],[Age]]&lt;30, "20-29", Employees[[#This Row],[Age]]&lt;40, "30-39", Employees[[#This Row],[Age]]&lt;50, "40-49", "TRUE", "50+")</f>
        <v>20-29</v>
      </c>
    </row>
    <row r="904" spans="1:28">
      <c r="A904" t="s">
        <v>2694</v>
      </c>
      <c r="B904" t="s">
        <v>2695</v>
      </c>
      <c r="C904" t="s">
        <v>2696</v>
      </c>
      <c r="D904" t="s">
        <v>38</v>
      </c>
      <c r="E904">
        <v>24</v>
      </c>
      <c r="F904" t="s">
        <v>27</v>
      </c>
      <c r="G904" t="s">
        <v>54</v>
      </c>
      <c r="H904">
        <v>19</v>
      </c>
      <c r="I904" t="s">
        <v>39</v>
      </c>
      <c r="J904" t="s">
        <v>30</v>
      </c>
      <c r="K904">
        <v>2</v>
      </c>
      <c r="L904" t="s">
        <v>55</v>
      </c>
      <c r="M904" t="s">
        <v>85</v>
      </c>
      <c r="N904" t="s">
        <v>40</v>
      </c>
      <c r="O904">
        <v>32173</v>
      </c>
      <c r="P904">
        <v>0</v>
      </c>
      <c r="Q904" t="s">
        <v>34</v>
      </c>
      <c r="R904" s="1">
        <v>43458</v>
      </c>
      <c r="S904" t="s">
        <v>34</v>
      </c>
      <c r="T904">
        <v>4</v>
      </c>
      <c r="U904">
        <v>1</v>
      </c>
      <c r="V904">
        <v>4</v>
      </c>
      <c r="W904">
        <v>1</v>
      </c>
      <c r="X904" t="s">
        <v>11021</v>
      </c>
      <c r="Y904" t="s">
        <v>11021</v>
      </c>
      <c r="Z904" t="str">
        <f>_xlfn.XLOOKUP(Employees[[#This Row],[Education]], EdLevel[EducationLevelID], EdLevel[EducationLevel])</f>
        <v xml:space="preserve">High School </v>
      </c>
      <c r="AA904">
        <f>IF(Employees[[#This Row],[Attrition]] = "Yes", 1, 0)</f>
        <v>0</v>
      </c>
      <c r="AB904" t="str" cm="1">
        <f t="array" ref="AB904">_xlfn.IFS(Employees[[#This Row],[Age]]&lt;30, "20-29", Employees[[#This Row],[Age]]&lt;40, "30-39", Employees[[#This Row],[Age]]&lt;50, "40-49", "TRUE", "50+")</f>
        <v>20-29</v>
      </c>
    </row>
    <row r="905" spans="1:28">
      <c r="A905" t="s">
        <v>2697</v>
      </c>
      <c r="B905" t="s">
        <v>2698</v>
      </c>
      <c r="C905" t="s">
        <v>2699</v>
      </c>
      <c r="D905" t="s">
        <v>26</v>
      </c>
      <c r="E905">
        <v>23</v>
      </c>
      <c r="F905" t="s">
        <v>27</v>
      </c>
      <c r="G905" t="s">
        <v>54</v>
      </c>
      <c r="H905">
        <v>31</v>
      </c>
      <c r="I905" t="s">
        <v>39</v>
      </c>
      <c r="J905" t="s">
        <v>46</v>
      </c>
      <c r="K905">
        <v>3</v>
      </c>
      <c r="L905" t="s">
        <v>55</v>
      </c>
      <c r="M905" t="s">
        <v>85</v>
      </c>
      <c r="N905" t="s">
        <v>40</v>
      </c>
      <c r="O905">
        <v>49543</v>
      </c>
      <c r="P905">
        <v>0</v>
      </c>
      <c r="Q905" t="s">
        <v>34</v>
      </c>
      <c r="R905" s="1">
        <v>43462</v>
      </c>
      <c r="S905" t="s">
        <v>34</v>
      </c>
      <c r="T905">
        <v>4</v>
      </c>
      <c r="U905">
        <v>3</v>
      </c>
      <c r="V905">
        <v>3</v>
      </c>
      <c r="W905">
        <v>1</v>
      </c>
      <c r="X905" t="s">
        <v>11022</v>
      </c>
      <c r="Y905" t="s">
        <v>11022</v>
      </c>
      <c r="Z905" t="str">
        <f>_xlfn.XLOOKUP(Employees[[#This Row],[Education]], EdLevel[EducationLevelID], EdLevel[EducationLevel])</f>
        <v xml:space="preserve">Bachelors </v>
      </c>
      <c r="AA905">
        <f>IF(Employees[[#This Row],[Attrition]] = "Yes", 1, 0)</f>
        <v>0</v>
      </c>
      <c r="AB905" t="str" cm="1">
        <f t="array" ref="AB905">_xlfn.IFS(Employees[[#This Row],[Age]]&lt;30, "20-29", Employees[[#This Row],[Age]]&lt;40, "30-39", Employees[[#This Row],[Age]]&lt;50, "40-49", "TRUE", "50+")</f>
        <v>20-29</v>
      </c>
    </row>
    <row r="906" spans="1:28">
      <c r="A906" t="s">
        <v>2700</v>
      </c>
      <c r="B906" t="s">
        <v>2701</v>
      </c>
      <c r="C906" t="s">
        <v>2702</v>
      </c>
      <c r="D906" t="s">
        <v>26</v>
      </c>
      <c r="E906">
        <v>25</v>
      </c>
      <c r="F906" t="s">
        <v>84</v>
      </c>
      <c r="G906" t="s">
        <v>54</v>
      </c>
      <c r="H906">
        <v>4</v>
      </c>
      <c r="I906" t="s">
        <v>39</v>
      </c>
      <c r="J906" t="s">
        <v>46</v>
      </c>
      <c r="K906">
        <v>5</v>
      </c>
      <c r="L906" t="s">
        <v>72</v>
      </c>
      <c r="M906" t="s">
        <v>56</v>
      </c>
      <c r="N906" t="s">
        <v>49</v>
      </c>
      <c r="O906">
        <v>199034</v>
      </c>
      <c r="P906">
        <v>0</v>
      </c>
      <c r="Q906" t="s">
        <v>41</v>
      </c>
      <c r="R906" s="1">
        <v>43464</v>
      </c>
      <c r="S906" t="s">
        <v>34</v>
      </c>
      <c r="T906">
        <v>4</v>
      </c>
      <c r="U906">
        <v>4</v>
      </c>
      <c r="V906">
        <v>4</v>
      </c>
      <c r="W906">
        <v>4</v>
      </c>
      <c r="X906" t="s">
        <v>11024</v>
      </c>
      <c r="Y906" t="s">
        <v>11024</v>
      </c>
      <c r="Z906" t="str">
        <f>_xlfn.XLOOKUP(Employees[[#This Row],[Education]], EdLevel[EducationLevelID], EdLevel[EducationLevel])</f>
        <v>Doctorate</v>
      </c>
      <c r="AA906">
        <f>IF(Employees[[#This Row],[Attrition]] = "Yes", 1, 0)</f>
        <v>0</v>
      </c>
      <c r="AB906" t="str" cm="1">
        <f t="array" ref="AB906">_xlfn.IFS(Employees[[#This Row],[Age]]&lt;30, "20-29", Employees[[#This Row],[Age]]&lt;40, "30-39", Employees[[#This Row],[Age]]&lt;50, "40-49", "TRUE", "50+")</f>
        <v>20-29</v>
      </c>
    </row>
    <row r="907" spans="1:28">
      <c r="A907" t="s">
        <v>2703</v>
      </c>
      <c r="B907" t="s">
        <v>2704</v>
      </c>
      <c r="C907" t="s">
        <v>2705</v>
      </c>
      <c r="D907" t="s">
        <v>38</v>
      </c>
      <c r="E907">
        <v>22</v>
      </c>
      <c r="F907" t="s">
        <v>27</v>
      </c>
      <c r="G907" t="s">
        <v>54</v>
      </c>
      <c r="H907">
        <v>10</v>
      </c>
      <c r="I907" t="s">
        <v>39</v>
      </c>
      <c r="J907" t="s">
        <v>71</v>
      </c>
      <c r="K907">
        <v>3</v>
      </c>
      <c r="L907" t="s">
        <v>55</v>
      </c>
      <c r="M907" t="s">
        <v>105</v>
      </c>
      <c r="N907" t="s">
        <v>49</v>
      </c>
      <c r="O907">
        <v>66552</v>
      </c>
      <c r="P907">
        <v>1</v>
      </c>
      <c r="Q907" t="s">
        <v>41</v>
      </c>
      <c r="R907" s="1">
        <v>43464</v>
      </c>
      <c r="S907" t="s">
        <v>34</v>
      </c>
      <c r="T907">
        <v>4</v>
      </c>
      <c r="U907">
        <v>1</v>
      </c>
      <c r="V907">
        <v>2</v>
      </c>
      <c r="W907">
        <v>0</v>
      </c>
      <c r="X907" t="s">
        <v>11022</v>
      </c>
      <c r="Y907" t="s">
        <v>11022</v>
      </c>
      <c r="Z907" t="str">
        <f>_xlfn.XLOOKUP(Employees[[#This Row],[Education]], EdLevel[EducationLevelID], EdLevel[EducationLevel])</f>
        <v xml:space="preserve">Bachelors </v>
      </c>
      <c r="AA907">
        <f>IF(Employees[[#This Row],[Attrition]] = "Yes", 1, 0)</f>
        <v>0</v>
      </c>
      <c r="AB907" t="str" cm="1">
        <f t="array" ref="AB907">_xlfn.IFS(Employees[[#This Row],[Age]]&lt;30, "20-29", Employees[[#This Row],[Age]]&lt;40, "30-39", Employees[[#This Row],[Age]]&lt;50, "40-49", "TRUE", "50+")</f>
        <v>20-29</v>
      </c>
    </row>
    <row r="908" spans="1:28">
      <c r="A908" t="s">
        <v>2706</v>
      </c>
      <c r="B908" t="s">
        <v>2707</v>
      </c>
      <c r="C908" t="s">
        <v>2708</v>
      </c>
      <c r="D908" t="s">
        <v>38</v>
      </c>
      <c r="E908">
        <v>24</v>
      </c>
      <c r="F908" t="s">
        <v>84</v>
      </c>
      <c r="G908" t="s">
        <v>28</v>
      </c>
      <c r="H908">
        <v>3</v>
      </c>
      <c r="I908" t="s">
        <v>39</v>
      </c>
      <c r="J908" t="s">
        <v>30</v>
      </c>
      <c r="K908">
        <v>4</v>
      </c>
      <c r="L908" t="s">
        <v>31</v>
      </c>
      <c r="M908" t="s">
        <v>32</v>
      </c>
      <c r="N908" t="s">
        <v>40</v>
      </c>
      <c r="O908">
        <v>70546</v>
      </c>
      <c r="P908">
        <v>0</v>
      </c>
      <c r="Q908" t="s">
        <v>41</v>
      </c>
      <c r="R908" s="1">
        <v>43466</v>
      </c>
      <c r="S908" t="s">
        <v>34</v>
      </c>
      <c r="T908">
        <v>3</v>
      </c>
      <c r="U908">
        <v>2</v>
      </c>
      <c r="V908">
        <v>2</v>
      </c>
      <c r="W908">
        <v>0</v>
      </c>
      <c r="X908" t="s">
        <v>11023</v>
      </c>
      <c r="Y908" t="s">
        <v>11023</v>
      </c>
      <c r="Z908" t="str">
        <f>_xlfn.XLOOKUP(Employees[[#This Row],[Education]], EdLevel[EducationLevelID], EdLevel[EducationLevel])</f>
        <v xml:space="preserve">Masters </v>
      </c>
      <c r="AA908">
        <f>IF(Employees[[#This Row],[Attrition]] = "Yes", 1, 0)</f>
        <v>0</v>
      </c>
      <c r="AB908" t="str" cm="1">
        <f t="array" ref="AB908">_xlfn.IFS(Employees[[#This Row],[Age]]&lt;30, "20-29", Employees[[#This Row],[Age]]&lt;40, "30-39", Employees[[#This Row],[Age]]&lt;50, "40-49", "TRUE", "50+")</f>
        <v>20-29</v>
      </c>
    </row>
    <row r="909" spans="1:28">
      <c r="A909" t="s">
        <v>2709</v>
      </c>
      <c r="B909" t="s">
        <v>2710</v>
      </c>
      <c r="C909" t="s">
        <v>2711</v>
      </c>
      <c r="D909" t="s">
        <v>53</v>
      </c>
      <c r="E909">
        <v>42</v>
      </c>
      <c r="F909" t="s">
        <v>27</v>
      </c>
      <c r="G909" t="s">
        <v>54</v>
      </c>
      <c r="H909">
        <v>33</v>
      </c>
      <c r="I909" t="s">
        <v>39</v>
      </c>
      <c r="J909" t="s">
        <v>46</v>
      </c>
      <c r="K909">
        <v>4</v>
      </c>
      <c r="L909" t="s">
        <v>55</v>
      </c>
      <c r="M909" t="s">
        <v>56</v>
      </c>
      <c r="N909" t="s">
        <v>49</v>
      </c>
      <c r="O909">
        <v>213191</v>
      </c>
      <c r="P909">
        <v>2</v>
      </c>
      <c r="Q909" t="s">
        <v>34</v>
      </c>
      <c r="R909" s="1">
        <v>43468</v>
      </c>
      <c r="S909" t="s">
        <v>34</v>
      </c>
      <c r="T909">
        <v>3</v>
      </c>
      <c r="U909">
        <v>0</v>
      </c>
      <c r="V909">
        <v>1</v>
      </c>
      <c r="W909">
        <v>2</v>
      </c>
      <c r="X909" t="s">
        <v>11023</v>
      </c>
      <c r="Y909" t="s">
        <v>11023</v>
      </c>
      <c r="Z909" t="str">
        <f>_xlfn.XLOOKUP(Employees[[#This Row],[Education]], EdLevel[EducationLevelID], EdLevel[EducationLevel])</f>
        <v xml:space="preserve">Masters </v>
      </c>
      <c r="AA909">
        <f>IF(Employees[[#This Row],[Attrition]] = "Yes", 1, 0)</f>
        <v>0</v>
      </c>
      <c r="AB909" t="str" cm="1">
        <f t="array" ref="AB909">_xlfn.IFS(Employees[[#This Row],[Age]]&lt;30, "20-29", Employees[[#This Row],[Age]]&lt;40, "30-39", Employees[[#This Row],[Age]]&lt;50, "40-49", "TRUE", "50+")</f>
        <v>40-49</v>
      </c>
    </row>
    <row r="910" spans="1:28">
      <c r="A910" t="s">
        <v>2712</v>
      </c>
      <c r="B910" t="s">
        <v>2713</v>
      </c>
      <c r="C910" t="s">
        <v>2714</v>
      </c>
      <c r="D910" t="s">
        <v>53</v>
      </c>
      <c r="E910">
        <v>21</v>
      </c>
      <c r="F910" t="s">
        <v>84</v>
      </c>
      <c r="G910" t="s">
        <v>54</v>
      </c>
      <c r="H910">
        <v>29</v>
      </c>
      <c r="I910" t="s">
        <v>29</v>
      </c>
      <c r="J910" t="s">
        <v>46</v>
      </c>
      <c r="K910">
        <v>3</v>
      </c>
      <c r="L910" t="s">
        <v>55</v>
      </c>
      <c r="M910" t="s">
        <v>85</v>
      </c>
      <c r="N910" t="s">
        <v>33</v>
      </c>
      <c r="O910">
        <v>64887</v>
      </c>
      <c r="P910">
        <v>1</v>
      </c>
      <c r="Q910" t="s">
        <v>34</v>
      </c>
      <c r="R910" s="1">
        <v>43468</v>
      </c>
      <c r="S910" t="s">
        <v>34</v>
      </c>
      <c r="T910">
        <v>3</v>
      </c>
      <c r="U910">
        <v>3</v>
      </c>
      <c r="V910">
        <v>3</v>
      </c>
      <c r="W910">
        <v>0</v>
      </c>
      <c r="X910" t="s">
        <v>11022</v>
      </c>
      <c r="Y910" t="s">
        <v>11022</v>
      </c>
      <c r="Z910" t="str">
        <f>_xlfn.XLOOKUP(Employees[[#This Row],[Education]], EdLevel[EducationLevelID], EdLevel[EducationLevel])</f>
        <v xml:space="preserve">Bachelors </v>
      </c>
      <c r="AA910">
        <f>IF(Employees[[#This Row],[Attrition]] = "Yes", 1, 0)</f>
        <v>0</v>
      </c>
      <c r="AB910" t="str" cm="1">
        <f t="array" ref="AB910">_xlfn.IFS(Employees[[#This Row],[Age]]&lt;30, "20-29", Employees[[#This Row],[Age]]&lt;40, "30-39", Employees[[#This Row],[Age]]&lt;50, "40-49", "TRUE", "50+")</f>
        <v>20-29</v>
      </c>
    </row>
    <row r="911" spans="1:28">
      <c r="A911" t="s">
        <v>2715</v>
      </c>
      <c r="B911" t="s">
        <v>2716</v>
      </c>
      <c r="C911" t="s">
        <v>2717</v>
      </c>
      <c r="D911" t="s">
        <v>26</v>
      </c>
      <c r="E911">
        <v>42</v>
      </c>
      <c r="F911" t="s">
        <v>27</v>
      </c>
      <c r="G911" t="s">
        <v>28</v>
      </c>
      <c r="H911">
        <v>20</v>
      </c>
      <c r="I911" t="s">
        <v>39</v>
      </c>
      <c r="J911" t="s">
        <v>71</v>
      </c>
      <c r="K911">
        <v>4</v>
      </c>
      <c r="L911" t="s">
        <v>47</v>
      </c>
      <c r="M911" t="s">
        <v>32</v>
      </c>
      <c r="N911" t="s">
        <v>49</v>
      </c>
      <c r="O911">
        <v>241646</v>
      </c>
      <c r="P911">
        <v>3</v>
      </c>
      <c r="Q911" t="s">
        <v>41</v>
      </c>
      <c r="R911" s="1">
        <v>43472</v>
      </c>
      <c r="S911" t="s">
        <v>34</v>
      </c>
      <c r="T911">
        <v>3</v>
      </c>
      <c r="U911">
        <v>0</v>
      </c>
      <c r="V911">
        <v>1</v>
      </c>
      <c r="W911">
        <v>3</v>
      </c>
      <c r="X911" t="s">
        <v>11023</v>
      </c>
      <c r="Y911" t="s">
        <v>11023</v>
      </c>
      <c r="Z911" t="str">
        <f>_xlfn.XLOOKUP(Employees[[#This Row],[Education]], EdLevel[EducationLevelID], EdLevel[EducationLevel])</f>
        <v xml:space="preserve">Masters </v>
      </c>
      <c r="AA911">
        <f>IF(Employees[[#This Row],[Attrition]] = "Yes", 1, 0)</f>
        <v>0</v>
      </c>
      <c r="AB911" t="str" cm="1">
        <f t="array" ref="AB911">_xlfn.IFS(Employees[[#This Row],[Age]]&lt;30, "20-29", Employees[[#This Row],[Age]]&lt;40, "30-39", Employees[[#This Row],[Age]]&lt;50, "40-49", "TRUE", "50+")</f>
        <v>40-49</v>
      </c>
    </row>
    <row r="912" spans="1:28">
      <c r="A912" t="s">
        <v>2718</v>
      </c>
      <c r="B912" t="s">
        <v>2719</v>
      </c>
      <c r="C912" t="s">
        <v>2720</v>
      </c>
      <c r="D912" t="s">
        <v>26</v>
      </c>
      <c r="E912">
        <v>22</v>
      </c>
      <c r="F912" t="s">
        <v>27</v>
      </c>
      <c r="G912" t="s">
        <v>54</v>
      </c>
      <c r="H912">
        <v>31</v>
      </c>
      <c r="I912" t="s">
        <v>29</v>
      </c>
      <c r="J912" t="s">
        <v>46</v>
      </c>
      <c r="K912">
        <v>1</v>
      </c>
      <c r="L912" t="s">
        <v>55</v>
      </c>
      <c r="M912" t="s">
        <v>101</v>
      </c>
      <c r="N912" t="s">
        <v>33</v>
      </c>
      <c r="O912">
        <v>43588</v>
      </c>
      <c r="P912">
        <v>2</v>
      </c>
      <c r="Q912" t="s">
        <v>34</v>
      </c>
      <c r="R912" s="1">
        <v>43472</v>
      </c>
      <c r="S912" t="s">
        <v>34</v>
      </c>
      <c r="T912">
        <v>3</v>
      </c>
      <c r="U912">
        <v>2</v>
      </c>
      <c r="V912">
        <v>3</v>
      </c>
      <c r="W912">
        <v>2</v>
      </c>
      <c r="X912" t="s">
        <v>11020</v>
      </c>
      <c r="Y912" t="s">
        <v>11020</v>
      </c>
      <c r="Z912" t="str">
        <f>_xlfn.XLOOKUP(Employees[[#This Row],[Education]], EdLevel[EducationLevelID], EdLevel[EducationLevel])</f>
        <v>No Formal Qualifications</v>
      </c>
      <c r="AA912">
        <f>IF(Employees[[#This Row],[Attrition]] = "Yes", 1, 0)</f>
        <v>0</v>
      </c>
      <c r="AB912" t="str" cm="1">
        <f t="array" ref="AB912">_xlfn.IFS(Employees[[#This Row],[Age]]&lt;30, "20-29", Employees[[#This Row],[Age]]&lt;40, "30-39", Employees[[#This Row],[Age]]&lt;50, "40-49", "TRUE", "50+")</f>
        <v>20-29</v>
      </c>
    </row>
    <row r="913" spans="1:28">
      <c r="A913" t="s">
        <v>2721</v>
      </c>
      <c r="B913" t="s">
        <v>2722</v>
      </c>
      <c r="C913" t="s">
        <v>2723</v>
      </c>
      <c r="D913" t="s">
        <v>26</v>
      </c>
      <c r="E913">
        <v>22</v>
      </c>
      <c r="F913" t="s">
        <v>27</v>
      </c>
      <c r="G913" t="s">
        <v>54</v>
      </c>
      <c r="H913">
        <v>29</v>
      </c>
      <c r="I913" t="s">
        <v>39</v>
      </c>
      <c r="J913" t="s">
        <v>30</v>
      </c>
      <c r="K913">
        <v>3</v>
      </c>
      <c r="L913" t="s">
        <v>72</v>
      </c>
      <c r="M913" t="s">
        <v>85</v>
      </c>
      <c r="N913" t="s">
        <v>33</v>
      </c>
      <c r="O913">
        <v>28790</v>
      </c>
      <c r="P913">
        <v>1</v>
      </c>
      <c r="Q913" t="s">
        <v>34</v>
      </c>
      <c r="R913" s="1">
        <v>43474</v>
      </c>
      <c r="S913" t="s">
        <v>41</v>
      </c>
      <c r="T913">
        <v>3</v>
      </c>
      <c r="U913">
        <v>1</v>
      </c>
      <c r="V913">
        <v>1</v>
      </c>
      <c r="W913">
        <v>2</v>
      </c>
      <c r="X913" t="s">
        <v>11022</v>
      </c>
      <c r="Y913" t="s">
        <v>11022</v>
      </c>
      <c r="Z913" t="str">
        <f>_xlfn.XLOOKUP(Employees[[#This Row],[Education]], EdLevel[EducationLevelID], EdLevel[EducationLevel])</f>
        <v xml:space="preserve">Bachelors </v>
      </c>
      <c r="AA913">
        <f>IF(Employees[[#This Row],[Attrition]] = "Yes", 1, 0)</f>
        <v>1</v>
      </c>
      <c r="AB913" t="str" cm="1">
        <f t="array" ref="AB913">_xlfn.IFS(Employees[[#This Row],[Age]]&lt;30, "20-29", Employees[[#This Row],[Age]]&lt;40, "30-39", Employees[[#This Row],[Age]]&lt;50, "40-49", "TRUE", "50+")</f>
        <v>20-29</v>
      </c>
    </row>
    <row r="914" spans="1:28">
      <c r="A914" t="s">
        <v>2724</v>
      </c>
      <c r="B914" t="s">
        <v>2725</v>
      </c>
      <c r="C914" t="s">
        <v>2726</v>
      </c>
      <c r="D914" t="s">
        <v>26</v>
      </c>
      <c r="E914">
        <v>22</v>
      </c>
      <c r="F914" t="s">
        <v>27</v>
      </c>
      <c r="G914" t="s">
        <v>54</v>
      </c>
      <c r="H914">
        <v>26</v>
      </c>
      <c r="I914" t="s">
        <v>39</v>
      </c>
      <c r="J914" t="s">
        <v>66</v>
      </c>
      <c r="K914">
        <v>3</v>
      </c>
      <c r="L914" t="s">
        <v>72</v>
      </c>
      <c r="M914" t="s">
        <v>101</v>
      </c>
      <c r="N914" t="s">
        <v>40</v>
      </c>
      <c r="O914">
        <v>24208</v>
      </c>
      <c r="P914">
        <v>0</v>
      </c>
      <c r="Q914" t="s">
        <v>34</v>
      </c>
      <c r="R914" s="1">
        <v>43474</v>
      </c>
      <c r="S914" t="s">
        <v>34</v>
      </c>
      <c r="T914">
        <v>3</v>
      </c>
      <c r="U914">
        <v>1</v>
      </c>
      <c r="V914">
        <v>3</v>
      </c>
      <c r="W914">
        <v>2</v>
      </c>
      <c r="X914" t="s">
        <v>11022</v>
      </c>
      <c r="Y914" t="s">
        <v>11022</v>
      </c>
      <c r="Z914" t="str">
        <f>_xlfn.XLOOKUP(Employees[[#This Row],[Education]], EdLevel[EducationLevelID], EdLevel[EducationLevel])</f>
        <v xml:space="preserve">Bachelors </v>
      </c>
      <c r="AA914">
        <f>IF(Employees[[#This Row],[Attrition]] = "Yes", 1, 0)</f>
        <v>0</v>
      </c>
      <c r="AB914" t="str" cm="1">
        <f t="array" ref="AB914">_xlfn.IFS(Employees[[#This Row],[Age]]&lt;30, "20-29", Employees[[#This Row],[Age]]&lt;40, "30-39", Employees[[#This Row],[Age]]&lt;50, "40-49", "TRUE", "50+")</f>
        <v>20-29</v>
      </c>
    </row>
    <row r="915" spans="1:28">
      <c r="A915" t="s">
        <v>2727</v>
      </c>
      <c r="B915" t="s">
        <v>2728</v>
      </c>
      <c r="C915" t="s">
        <v>2729</v>
      </c>
      <c r="D915" t="s">
        <v>38</v>
      </c>
      <c r="E915">
        <v>24</v>
      </c>
      <c r="F915" t="s">
        <v>27</v>
      </c>
      <c r="G915" t="s">
        <v>54</v>
      </c>
      <c r="H915">
        <v>16</v>
      </c>
      <c r="I915" t="s">
        <v>39</v>
      </c>
      <c r="J915" t="s">
        <v>137</v>
      </c>
      <c r="K915">
        <v>4</v>
      </c>
      <c r="L915" t="s">
        <v>55</v>
      </c>
      <c r="M915" t="s">
        <v>105</v>
      </c>
      <c r="N915" t="s">
        <v>49</v>
      </c>
      <c r="O915">
        <v>82174</v>
      </c>
      <c r="P915">
        <v>2</v>
      </c>
      <c r="Q915" t="s">
        <v>34</v>
      </c>
      <c r="R915" s="1">
        <v>43476</v>
      </c>
      <c r="S915" t="s">
        <v>34</v>
      </c>
      <c r="T915">
        <v>3</v>
      </c>
      <c r="U915">
        <v>2</v>
      </c>
      <c r="V915">
        <v>2</v>
      </c>
      <c r="W915">
        <v>3</v>
      </c>
      <c r="X915" t="s">
        <v>11023</v>
      </c>
      <c r="Y915" t="s">
        <v>11023</v>
      </c>
      <c r="Z915" t="str">
        <f>_xlfn.XLOOKUP(Employees[[#This Row],[Education]], EdLevel[EducationLevelID], EdLevel[EducationLevel])</f>
        <v xml:space="preserve">Masters </v>
      </c>
      <c r="AA915">
        <f>IF(Employees[[#This Row],[Attrition]] = "Yes", 1, 0)</f>
        <v>0</v>
      </c>
      <c r="AB915" t="str" cm="1">
        <f t="array" ref="AB915">_xlfn.IFS(Employees[[#This Row],[Age]]&lt;30, "20-29", Employees[[#This Row],[Age]]&lt;40, "30-39", Employees[[#This Row],[Age]]&lt;50, "40-49", "TRUE", "50+")</f>
        <v>20-29</v>
      </c>
    </row>
    <row r="916" spans="1:28">
      <c r="A916" t="s">
        <v>2730</v>
      </c>
      <c r="B916" t="s">
        <v>2731</v>
      </c>
      <c r="C916" t="s">
        <v>2732</v>
      </c>
      <c r="D916" t="s">
        <v>53</v>
      </c>
      <c r="E916">
        <v>22</v>
      </c>
      <c r="F916" t="s">
        <v>84</v>
      </c>
      <c r="G916" t="s">
        <v>28</v>
      </c>
      <c r="H916">
        <v>28</v>
      </c>
      <c r="I916" t="s">
        <v>65</v>
      </c>
      <c r="J916" t="s">
        <v>66</v>
      </c>
      <c r="K916">
        <v>4</v>
      </c>
      <c r="L916" t="s">
        <v>47</v>
      </c>
      <c r="M916" t="s">
        <v>32</v>
      </c>
      <c r="N916" t="s">
        <v>49</v>
      </c>
      <c r="O916">
        <v>39845</v>
      </c>
      <c r="P916">
        <v>2</v>
      </c>
      <c r="Q916" t="s">
        <v>34</v>
      </c>
      <c r="R916" s="1">
        <v>43478</v>
      </c>
      <c r="S916" t="s">
        <v>41</v>
      </c>
      <c r="T916">
        <v>1</v>
      </c>
      <c r="U916">
        <v>0</v>
      </c>
      <c r="V916">
        <v>0</v>
      </c>
      <c r="W916">
        <v>0</v>
      </c>
      <c r="X916" t="s">
        <v>11023</v>
      </c>
      <c r="Y916" t="s">
        <v>11023</v>
      </c>
      <c r="Z916" t="str">
        <f>_xlfn.XLOOKUP(Employees[[#This Row],[Education]], EdLevel[EducationLevelID], EdLevel[EducationLevel])</f>
        <v xml:space="preserve">Masters </v>
      </c>
      <c r="AA916">
        <f>IF(Employees[[#This Row],[Attrition]] = "Yes", 1, 0)</f>
        <v>1</v>
      </c>
      <c r="AB916" t="str" cm="1">
        <f t="array" ref="AB916">_xlfn.IFS(Employees[[#This Row],[Age]]&lt;30, "20-29", Employees[[#This Row],[Age]]&lt;40, "30-39", Employees[[#This Row],[Age]]&lt;50, "40-49", "TRUE", "50+")</f>
        <v>20-29</v>
      </c>
    </row>
    <row r="917" spans="1:28">
      <c r="A917" t="s">
        <v>2733</v>
      </c>
      <c r="B917" t="s">
        <v>2734</v>
      </c>
      <c r="C917" t="s">
        <v>2735</v>
      </c>
      <c r="D917" t="s">
        <v>26</v>
      </c>
      <c r="E917">
        <v>21</v>
      </c>
      <c r="F917" t="s">
        <v>70</v>
      </c>
      <c r="G917" t="s">
        <v>28</v>
      </c>
      <c r="H917">
        <v>21</v>
      </c>
      <c r="I917" t="s">
        <v>39</v>
      </c>
      <c r="J917" t="s">
        <v>30</v>
      </c>
      <c r="K917">
        <v>3</v>
      </c>
      <c r="L917" t="s">
        <v>47</v>
      </c>
      <c r="M917" t="s">
        <v>32</v>
      </c>
      <c r="N917" t="s">
        <v>49</v>
      </c>
      <c r="O917">
        <v>69402</v>
      </c>
      <c r="P917">
        <v>1</v>
      </c>
      <c r="Q917" t="s">
        <v>34</v>
      </c>
      <c r="R917" s="1">
        <v>43479</v>
      </c>
      <c r="S917" t="s">
        <v>34</v>
      </c>
      <c r="T917">
        <v>3</v>
      </c>
      <c r="U917">
        <v>1</v>
      </c>
      <c r="V917">
        <v>3</v>
      </c>
      <c r="W917">
        <v>0</v>
      </c>
      <c r="X917" t="s">
        <v>11022</v>
      </c>
      <c r="Y917" t="s">
        <v>11022</v>
      </c>
      <c r="Z917" t="str">
        <f>_xlfn.XLOOKUP(Employees[[#This Row],[Education]], EdLevel[EducationLevelID], EdLevel[EducationLevel])</f>
        <v xml:space="preserve">Bachelors </v>
      </c>
      <c r="AA917">
        <f>IF(Employees[[#This Row],[Attrition]] = "Yes", 1, 0)</f>
        <v>0</v>
      </c>
      <c r="AB917" t="str" cm="1">
        <f t="array" ref="AB917">_xlfn.IFS(Employees[[#This Row],[Age]]&lt;30, "20-29", Employees[[#This Row],[Age]]&lt;40, "30-39", Employees[[#This Row],[Age]]&lt;50, "40-49", "TRUE", "50+")</f>
        <v>20-29</v>
      </c>
    </row>
    <row r="918" spans="1:28">
      <c r="A918" t="s">
        <v>2736</v>
      </c>
      <c r="B918" t="s">
        <v>2737</v>
      </c>
      <c r="C918" t="s">
        <v>2738</v>
      </c>
      <c r="D918" t="s">
        <v>26</v>
      </c>
      <c r="E918">
        <v>47</v>
      </c>
      <c r="F918" t="s">
        <v>84</v>
      </c>
      <c r="G918" t="s">
        <v>54</v>
      </c>
      <c r="H918">
        <v>37</v>
      </c>
      <c r="I918" t="s">
        <v>65</v>
      </c>
      <c r="J918" t="s">
        <v>71</v>
      </c>
      <c r="K918">
        <v>3</v>
      </c>
      <c r="L918" t="s">
        <v>55</v>
      </c>
      <c r="M918" t="s">
        <v>182</v>
      </c>
      <c r="N918" t="s">
        <v>33</v>
      </c>
      <c r="O918">
        <v>350101</v>
      </c>
      <c r="P918">
        <v>1</v>
      </c>
      <c r="Q918" t="s">
        <v>34</v>
      </c>
      <c r="R918" s="1">
        <v>43484</v>
      </c>
      <c r="S918" t="s">
        <v>34</v>
      </c>
      <c r="T918">
        <v>3</v>
      </c>
      <c r="U918">
        <v>0</v>
      </c>
      <c r="V918">
        <v>1</v>
      </c>
      <c r="W918">
        <v>0</v>
      </c>
      <c r="X918" t="s">
        <v>11022</v>
      </c>
      <c r="Y918" t="s">
        <v>11022</v>
      </c>
      <c r="Z918" t="str">
        <f>_xlfn.XLOOKUP(Employees[[#This Row],[Education]], EdLevel[EducationLevelID], EdLevel[EducationLevel])</f>
        <v xml:space="preserve">Bachelors </v>
      </c>
      <c r="AA918">
        <f>IF(Employees[[#This Row],[Attrition]] = "Yes", 1, 0)</f>
        <v>0</v>
      </c>
      <c r="AB918" t="str" cm="1">
        <f t="array" ref="AB918">_xlfn.IFS(Employees[[#This Row],[Age]]&lt;30, "20-29", Employees[[#This Row],[Age]]&lt;40, "30-39", Employees[[#This Row],[Age]]&lt;50, "40-49", "TRUE", "50+")</f>
        <v>40-49</v>
      </c>
    </row>
    <row r="919" spans="1:28">
      <c r="A919" t="s">
        <v>2739</v>
      </c>
      <c r="B919" t="s">
        <v>2740</v>
      </c>
      <c r="C919" t="s">
        <v>2741</v>
      </c>
      <c r="D919" t="s">
        <v>26</v>
      </c>
      <c r="E919">
        <v>24</v>
      </c>
      <c r="F919" t="s">
        <v>27</v>
      </c>
      <c r="G919" t="s">
        <v>54</v>
      </c>
      <c r="H919">
        <v>20</v>
      </c>
      <c r="I919" t="s">
        <v>65</v>
      </c>
      <c r="J919" t="s">
        <v>71</v>
      </c>
      <c r="K919">
        <v>3</v>
      </c>
      <c r="L919" t="s">
        <v>72</v>
      </c>
      <c r="M919" t="s">
        <v>105</v>
      </c>
      <c r="N919" t="s">
        <v>49</v>
      </c>
      <c r="O919">
        <v>52850</v>
      </c>
      <c r="P919">
        <v>1</v>
      </c>
      <c r="Q919" t="s">
        <v>34</v>
      </c>
      <c r="R919" s="1">
        <v>43485</v>
      </c>
      <c r="S919" t="s">
        <v>34</v>
      </c>
      <c r="T919">
        <v>3</v>
      </c>
      <c r="U919">
        <v>3</v>
      </c>
      <c r="V919">
        <v>3</v>
      </c>
      <c r="W919">
        <v>0</v>
      </c>
      <c r="X919" t="s">
        <v>11022</v>
      </c>
      <c r="Y919" t="s">
        <v>11022</v>
      </c>
      <c r="Z919" t="str">
        <f>_xlfn.XLOOKUP(Employees[[#This Row],[Education]], EdLevel[EducationLevelID], EdLevel[EducationLevel])</f>
        <v xml:space="preserve">Bachelors </v>
      </c>
      <c r="AA919">
        <f>IF(Employees[[#This Row],[Attrition]] = "Yes", 1, 0)</f>
        <v>0</v>
      </c>
      <c r="AB919" t="str" cm="1">
        <f t="array" ref="AB919">_xlfn.IFS(Employees[[#This Row],[Age]]&lt;30, "20-29", Employees[[#This Row],[Age]]&lt;40, "30-39", Employees[[#This Row],[Age]]&lt;50, "40-49", "TRUE", "50+")</f>
        <v>20-29</v>
      </c>
    </row>
    <row r="920" spans="1:28">
      <c r="A920" t="s">
        <v>2742</v>
      </c>
      <c r="B920" t="s">
        <v>2743</v>
      </c>
      <c r="C920" t="s">
        <v>2744</v>
      </c>
      <c r="D920" t="s">
        <v>38</v>
      </c>
      <c r="E920">
        <v>21</v>
      </c>
      <c r="F920" t="s">
        <v>84</v>
      </c>
      <c r="G920" t="s">
        <v>54</v>
      </c>
      <c r="H920">
        <v>36</v>
      </c>
      <c r="I920" t="s">
        <v>39</v>
      </c>
      <c r="J920" t="s">
        <v>137</v>
      </c>
      <c r="K920">
        <v>3</v>
      </c>
      <c r="L920" t="s">
        <v>55</v>
      </c>
      <c r="M920" t="s">
        <v>101</v>
      </c>
      <c r="N920" t="s">
        <v>33</v>
      </c>
      <c r="O920">
        <v>22462</v>
      </c>
      <c r="P920">
        <v>1</v>
      </c>
      <c r="Q920" t="s">
        <v>41</v>
      </c>
      <c r="R920" s="1">
        <v>43489</v>
      </c>
      <c r="S920" t="s">
        <v>34</v>
      </c>
      <c r="T920">
        <v>3</v>
      </c>
      <c r="U920">
        <v>2</v>
      </c>
      <c r="V920">
        <v>2</v>
      </c>
      <c r="W920">
        <v>3</v>
      </c>
      <c r="X920" t="s">
        <v>11022</v>
      </c>
      <c r="Y920" t="s">
        <v>11022</v>
      </c>
      <c r="Z920" t="str">
        <f>_xlfn.XLOOKUP(Employees[[#This Row],[Education]], EdLevel[EducationLevelID], EdLevel[EducationLevel])</f>
        <v xml:space="preserve">Bachelors </v>
      </c>
      <c r="AA920">
        <f>IF(Employees[[#This Row],[Attrition]] = "Yes", 1, 0)</f>
        <v>0</v>
      </c>
      <c r="AB920" t="str" cm="1">
        <f t="array" ref="AB920">_xlfn.IFS(Employees[[#This Row],[Age]]&lt;30, "20-29", Employees[[#This Row],[Age]]&lt;40, "30-39", Employees[[#This Row],[Age]]&lt;50, "40-49", "TRUE", "50+")</f>
        <v>20-29</v>
      </c>
    </row>
    <row r="921" spans="1:28">
      <c r="A921" t="s">
        <v>2745</v>
      </c>
      <c r="B921" t="s">
        <v>2746</v>
      </c>
      <c r="C921" t="s">
        <v>2747</v>
      </c>
      <c r="D921" t="s">
        <v>38</v>
      </c>
      <c r="E921">
        <v>22</v>
      </c>
      <c r="F921" t="s">
        <v>84</v>
      </c>
      <c r="G921" t="s">
        <v>54</v>
      </c>
      <c r="H921">
        <v>15</v>
      </c>
      <c r="I921" t="s">
        <v>65</v>
      </c>
      <c r="J921" t="s">
        <v>137</v>
      </c>
      <c r="K921">
        <v>4</v>
      </c>
      <c r="L921" t="s">
        <v>55</v>
      </c>
      <c r="M921" t="s">
        <v>101</v>
      </c>
      <c r="N921" t="s">
        <v>40</v>
      </c>
      <c r="O921">
        <v>40115</v>
      </c>
      <c r="P921">
        <v>0</v>
      </c>
      <c r="Q921" t="s">
        <v>34</v>
      </c>
      <c r="R921" s="1">
        <v>43497</v>
      </c>
      <c r="S921" t="s">
        <v>34</v>
      </c>
      <c r="T921">
        <v>3</v>
      </c>
      <c r="U921">
        <v>3</v>
      </c>
      <c r="V921">
        <v>3</v>
      </c>
      <c r="W921">
        <v>0</v>
      </c>
      <c r="X921" t="s">
        <v>11023</v>
      </c>
      <c r="Y921" t="s">
        <v>11023</v>
      </c>
      <c r="Z921" t="str">
        <f>_xlfn.XLOOKUP(Employees[[#This Row],[Education]], EdLevel[EducationLevelID], EdLevel[EducationLevel])</f>
        <v xml:space="preserve">Masters </v>
      </c>
      <c r="AA921">
        <f>IF(Employees[[#This Row],[Attrition]] = "Yes", 1, 0)</f>
        <v>0</v>
      </c>
      <c r="AB921" t="str" cm="1">
        <f t="array" ref="AB921">_xlfn.IFS(Employees[[#This Row],[Age]]&lt;30, "20-29", Employees[[#This Row],[Age]]&lt;40, "30-39", Employees[[#This Row],[Age]]&lt;50, "40-49", "TRUE", "50+")</f>
        <v>20-29</v>
      </c>
    </row>
    <row r="922" spans="1:28">
      <c r="A922" t="s">
        <v>2748</v>
      </c>
      <c r="B922" t="s">
        <v>2749</v>
      </c>
      <c r="C922" t="s">
        <v>2750</v>
      </c>
      <c r="D922" t="s">
        <v>38</v>
      </c>
      <c r="E922">
        <v>22</v>
      </c>
      <c r="F922" t="s">
        <v>70</v>
      </c>
      <c r="G922" t="s">
        <v>28</v>
      </c>
      <c r="H922">
        <v>17</v>
      </c>
      <c r="I922" t="s">
        <v>39</v>
      </c>
      <c r="J922" t="s">
        <v>66</v>
      </c>
      <c r="K922">
        <v>3</v>
      </c>
      <c r="L922" t="s">
        <v>47</v>
      </c>
      <c r="M922" t="s">
        <v>32</v>
      </c>
      <c r="N922" t="s">
        <v>49</v>
      </c>
      <c r="O922">
        <v>58270</v>
      </c>
      <c r="P922">
        <v>1</v>
      </c>
      <c r="Q922" t="s">
        <v>34</v>
      </c>
      <c r="R922" s="1">
        <v>43498</v>
      </c>
      <c r="S922" t="s">
        <v>34</v>
      </c>
      <c r="T922">
        <v>3</v>
      </c>
      <c r="U922">
        <v>1</v>
      </c>
      <c r="V922">
        <v>1</v>
      </c>
      <c r="W922">
        <v>1</v>
      </c>
      <c r="X922" t="s">
        <v>11022</v>
      </c>
      <c r="Y922" t="s">
        <v>11022</v>
      </c>
      <c r="Z922" t="str">
        <f>_xlfn.XLOOKUP(Employees[[#This Row],[Education]], EdLevel[EducationLevelID], EdLevel[EducationLevel])</f>
        <v xml:space="preserve">Bachelors </v>
      </c>
      <c r="AA922">
        <f>IF(Employees[[#This Row],[Attrition]] = "Yes", 1, 0)</f>
        <v>0</v>
      </c>
      <c r="AB922" t="str" cm="1">
        <f t="array" ref="AB922">_xlfn.IFS(Employees[[#This Row],[Age]]&lt;30, "20-29", Employees[[#This Row],[Age]]&lt;40, "30-39", Employees[[#This Row],[Age]]&lt;50, "40-49", "TRUE", "50+")</f>
        <v>20-29</v>
      </c>
    </row>
    <row r="923" spans="1:28">
      <c r="A923" t="s">
        <v>2751</v>
      </c>
      <c r="B923" t="s">
        <v>2752</v>
      </c>
      <c r="C923" t="s">
        <v>2753</v>
      </c>
      <c r="D923" t="s">
        <v>38</v>
      </c>
      <c r="E923">
        <v>22</v>
      </c>
      <c r="F923" t="s">
        <v>70</v>
      </c>
      <c r="G923" t="s">
        <v>28</v>
      </c>
      <c r="H923">
        <v>14</v>
      </c>
      <c r="I923" t="s">
        <v>39</v>
      </c>
      <c r="J923" t="s">
        <v>66</v>
      </c>
      <c r="K923">
        <v>3</v>
      </c>
      <c r="L923" t="s">
        <v>60</v>
      </c>
      <c r="M923" t="s">
        <v>32</v>
      </c>
      <c r="N923" t="s">
        <v>40</v>
      </c>
      <c r="O923">
        <v>53014</v>
      </c>
      <c r="P923">
        <v>0</v>
      </c>
      <c r="Q923" t="s">
        <v>41</v>
      </c>
      <c r="R923" s="1">
        <v>43500</v>
      </c>
      <c r="S923" t="s">
        <v>34</v>
      </c>
      <c r="T923">
        <v>3</v>
      </c>
      <c r="U923">
        <v>3</v>
      </c>
      <c r="V923">
        <v>3</v>
      </c>
      <c r="W923">
        <v>0</v>
      </c>
      <c r="X923" t="s">
        <v>11022</v>
      </c>
      <c r="Y923" t="s">
        <v>11022</v>
      </c>
      <c r="Z923" t="str">
        <f>_xlfn.XLOOKUP(Employees[[#This Row],[Education]], EdLevel[EducationLevelID], EdLevel[EducationLevel])</f>
        <v xml:space="preserve">Bachelors </v>
      </c>
      <c r="AA923">
        <f>IF(Employees[[#This Row],[Attrition]] = "Yes", 1, 0)</f>
        <v>0</v>
      </c>
      <c r="AB923" t="str" cm="1">
        <f t="array" ref="AB923">_xlfn.IFS(Employees[[#This Row],[Age]]&lt;30, "20-29", Employees[[#This Row],[Age]]&lt;40, "30-39", Employees[[#This Row],[Age]]&lt;50, "40-49", "TRUE", "50+")</f>
        <v>20-29</v>
      </c>
    </row>
    <row r="924" spans="1:28">
      <c r="A924" t="s">
        <v>2754</v>
      </c>
      <c r="B924" t="s">
        <v>2755</v>
      </c>
      <c r="C924" t="s">
        <v>2756</v>
      </c>
      <c r="D924" t="s">
        <v>38</v>
      </c>
      <c r="E924">
        <v>24</v>
      </c>
      <c r="F924" t="s">
        <v>84</v>
      </c>
      <c r="G924" t="s">
        <v>28</v>
      </c>
      <c r="H924">
        <v>9</v>
      </c>
      <c r="I924" t="s">
        <v>65</v>
      </c>
      <c r="J924" t="s">
        <v>71</v>
      </c>
      <c r="K924">
        <v>3</v>
      </c>
      <c r="L924" t="s">
        <v>47</v>
      </c>
      <c r="M924" t="s">
        <v>32</v>
      </c>
      <c r="N924" t="s">
        <v>40</v>
      </c>
      <c r="O924">
        <v>45410</v>
      </c>
      <c r="P924">
        <v>0</v>
      </c>
      <c r="Q924" t="s">
        <v>34</v>
      </c>
      <c r="R924" s="1">
        <v>43500</v>
      </c>
      <c r="S924" t="s">
        <v>34</v>
      </c>
      <c r="T924">
        <v>3</v>
      </c>
      <c r="U924">
        <v>3</v>
      </c>
      <c r="V924">
        <v>3</v>
      </c>
      <c r="W924">
        <v>1</v>
      </c>
      <c r="X924" t="s">
        <v>11022</v>
      </c>
      <c r="Y924" t="s">
        <v>11022</v>
      </c>
      <c r="Z924" t="str">
        <f>_xlfn.XLOOKUP(Employees[[#This Row],[Education]], EdLevel[EducationLevelID], EdLevel[EducationLevel])</f>
        <v xml:space="preserve">Bachelors </v>
      </c>
      <c r="AA924">
        <f>IF(Employees[[#This Row],[Attrition]] = "Yes", 1, 0)</f>
        <v>0</v>
      </c>
      <c r="AB924" t="str" cm="1">
        <f t="array" ref="AB924">_xlfn.IFS(Employees[[#This Row],[Age]]&lt;30, "20-29", Employees[[#This Row],[Age]]&lt;40, "30-39", Employees[[#This Row],[Age]]&lt;50, "40-49", "TRUE", "50+")</f>
        <v>20-29</v>
      </c>
    </row>
    <row r="925" spans="1:28">
      <c r="A925" t="s">
        <v>2757</v>
      </c>
      <c r="B925" t="s">
        <v>170</v>
      </c>
      <c r="C925" t="s">
        <v>2758</v>
      </c>
      <c r="D925" t="s">
        <v>26</v>
      </c>
      <c r="E925">
        <v>21</v>
      </c>
      <c r="F925" t="s">
        <v>27</v>
      </c>
      <c r="G925" t="s">
        <v>54</v>
      </c>
      <c r="H925">
        <v>39</v>
      </c>
      <c r="I925" t="s">
        <v>39</v>
      </c>
      <c r="J925" t="s">
        <v>46</v>
      </c>
      <c r="K925">
        <v>4</v>
      </c>
      <c r="L925" t="s">
        <v>55</v>
      </c>
      <c r="M925" t="s">
        <v>101</v>
      </c>
      <c r="N925" t="s">
        <v>49</v>
      </c>
      <c r="O925">
        <v>54130</v>
      </c>
      <c r="P925">
        <v>3</v>
      </c>
      <c r="Q925" t="s">
        <v>41</v>
      </c>
      <c r="R925" s="1">
        <v>43502</v>
      </c>
      <c r="S925" t="s">
        <v>41</v>
      </c>
      <c r="T925">
        <v>2</v>
      </c>
      <c r="U925">
        <v>1</v>
      </c>
      <c r="V925">
        <v>1</v>
      </c>
      <c r="W925">
        <v>2</v>
      </c>
      <c r="X925" t="s">
        <v>11023</v>
      </c>
      <c r="Y925" t="s">
        <v>11023</v>
      </c>
      <c r="Z925" t="str">
        <f>_xlfn.XLOOKUP(Employees[[#This Row],[Education]], EdLevel[EducationLevelID], EdLevel[EducationLevel])</f>
        <v xml:space="preserve">Masters </v>
      </c>
      <c r="AA925">
        <f>IF(Employees[[#This Row],[Attrition]] = "Yes", 1, 0)</f>
        <v>1</v>
      </c>
      <c r="AB925" t="str" cm="1">
        <f t="array" ref="AB925">_xlfn.IFS(Employees[[#This Row],[Age]]&lt;30, "20-29", Employees[[#This Row],[Age]]&lt;40, "30-39", Employees[[#This Row],[Age]]&lt;50, "40-49", "TRUE", "50+")</f>
        <v>20-29</v>
      </c>
    </row>
    <row r="926" spans="1:28">
      <c r="A926" t="s">
        <v>2759</v>
      </c>
      <c r="B926" t="s">
        <v>2760</v>
      </c>
      <c r="C926" t="s">
        <v>2761</v>
      </c>
      <c r="D926" t="s">
        <v>26</v>
      </c>
      <c r="E926">
        <v>22</v>
      </c>
      <c r="F926" t="s">
        <v>27</v>
      </c>
      <c r="G926" t="s">
        <v>54</v>
      </c>
      <c r="H926">
        <v>2</v>
      </c>
      <c r="I926" t="s">
        <v>39</v>
      </c>
      <c r="J926" t="s">
        <v>66</v>
      </c>
      <c r="K926">
        <v>1</v>
      </c>
      <c r="L926" t="s">
        <v>72</v>
      </c>
      <c r="M926" t="s">
        <v>101</v>
      </c>
      <c r="N926" t="s">
        <v>40</v>
      </c>
      <c r="O926">
        <v>24422</v>
      </c>
      <c r="P926">
        <v>0</v>
      </c>
      <c r="Q926" t="s">
        <v>34</v>
      </c>
      <c r="R926" s="1">
        <v>43507</v>
      </c>
      <c r="S926" t="s">
        <v>41</v>
      </c>
      <c r="T926">
        <v>1</v>
      </c>
      <c r="U926">
        <v>0</v>
      </c>
      <c r="V926">
        <v>0</v>
      </c>
      <c r="W926">
        <v>1</v>
      </c>
      <c r="X926" t="s">
        <v>11020</v>
      </c>
      <c r="Y926" t="s">
        <v>11020</v>
      </c>
      <c r="Z926" t="str">
        <f>_xlfn.XLOOKUP(Employees[[#This Row],[Education]], EdLevel[EducationLevelID], EdLevel[EducationLevel])</f>
        <v>No Formal Qualifications</v>
      </c>
      <c r="AA926">
        <f>IF(Employees[[#This Row],[Attrition]] = "Yes", 1, 0)</f>
        <v>1</v>
      </c>
      <c r="AB926" t="str" cm="1">
        <f t="array" ref="AB926">_xlfn.IFS(Employees[[#This Row],[Age]]&lt;30, "20-29", Employees[[#This Row],[Age]]&lt;40, "30-39", Employees[[#This Row],[Age]]&lt;50, "40-49", "TRUE", "50+")</f>
        <v>20-29</v>
      </c>
    </row>
    <row r="927" spans="1:28">
      <c r="A927" t="s">
        <v>2762</v>
      </c>
      <c r="B927" t="s">
        <v>1993</v>
      </c>
      <c r="C927" t="s">
        <v>2763</v>
      </c>
      <c r="D927" t="s">
        <v>38</v>
      </c>
      <c r="E927">
        <v>49</v>
      </c>
      <c r="F927" t="s">
        <v>84</v>
      </c>
      <c r="G927" t="s">
        <v>54</v>
      </c>
      <c r="H927">
        <v>43</v>
      </c>
      <c r="I927" t="s">
        <v>65</v>
      </c>
      <c r="J927" t="s">
        <v>92</v>
      </c>
      <c r="K927">
        <v>2</v>
      </c>
      <c r="L927" t="s">
        <v>55</v>
      </c>
      <c r="M927" t="s">
        <v>93</v>
      </c>
      <c r="N927" t="s">
        <v>33</v>
      </c>
      <c r="O927">
        <v>248115</v>
      </c>
      <c r="P927">
        <v>2</v>
      </c>
      <c r="Q927" t="s">
        <v>34</v>
      </c>
      <c r="R927" s="1">
        <v>43508</v>
      </c>
      <c r="S927" t="s">
        <v>34</v>
      </c>
      <c r="T927">
        <v>3</v>
      </c>
      <c r="U927">
        <v>2</v>
      </c>
      <c r="V927">
        <v>3</v>
      </c>
      <c r="W927">
        <v>3</v>
      </c>
      <c r="X927" t="s">
        <v>11021</v>
      </c>
      <c r="Y927" t="s">
        <v>11021</v>
      </c>
      <c r="Z927" t="str">
        <f>_xlfn.XLOOKUP(Employees[[#This Row],[Education]], EdLevel[EducationLevelID], EdLevel[EducationLevel])</f>
        <v xml:space="preserve">High School </v>
      </c>
      <c r="AA927">
        <f>IF(Employees[[#This Row],[Attrition]] = "Yes", 1, 0)</f>
        <v>0</v>
      </c>
      <c r="AB927" t="str" cm="1">
        <f t="array" ref="AB927">_xlfn.IFS(Employees[[#This Row],[Age]]&lt;30, "20-29", Employees[[#This Row],[Age]]&lt;40, "30-39", Employees[[#This Row],[Age]]&lt;50, "40-49", "TRUE", "50+")</f>
        <v>40-49</v>
      </c>
    </row>
    <row r="928" spans="1:28">
      <c r="A928" t="s">
        <v>2764</v>
      </c>
      <c r="B928" t="s">
        <v>2765</v>
      </c>
      <c r="C928" t="s">
        <v>2766</v>
      </c>
      <c r="D928" t="s">
        <v>26</v>
      </c>
      <c r="E928">
        <v>28</v>
      </c>
      <c r="F928" t="s">
        <v>70</v>
      </c>
      <c r="G928" t="s">
        <v>45</v>
      </c>
      <c r="H928">
        <v>4</v>
      </c>
      <c r="I928" t="s">
        <v>29</v>
      </c>
      <c r="J928" t="s">
        <v>30</v>
      </c>
      <c r="K928">
        <v>5</v>
      </c>
      <c r="L928" t="s">
        <v>121</v>
      </c>
      <c r="M928" t="s">
        <v>207</v>
      </c>
      <c r="N928" t="s">
        <v>49</v>
      </c>
      <c r="O928">
        <v>152909</v>
      </c>
      <c r="P928">
        <v>1</v>
      </c>
      <c r="Q928" t="s">
        <v>34</v>
      </c>
      <c r="R928" s="1">
        <v>43511</v>
      </c>
      <c r="S928" t="s">
        <v>34</v>
      </c>
      <c r="T928">
        <v>3</v>
      </c>
      <c r="U928">
        <v>1</v>
      </c>
      <c r="V928">
        <v>3</v>
      </c>
      <c r="W928">
        <v>2</v>
      </c>
      <c r="X928" t="s">
        <v>11024</v>
      </c>
      <c r="Y928" t="s">
        <v>11024</v>
      </c>
      <c r="Z928" t="str">
        <f>_xlfn.XLOOKUP(Employees[[#This Row],[Education]], EdLevel[EducationLevelID], EdLevel[EducationLevel])</f>
        <v>Doctorate</v>
      </c>
      <c r="AA928">
        <f>IF(Employees[[#This Row],[Attrition]] = "Yes", 1, 0)</f>
        <v>0</v>
      </c>
      <c r="AB928" t="str" cm="1">
        <f t="array" ref="AB928">_xlfn.IFS(Employees[[#This Row],[Age]]&lt;30, "20-29", Employees[[#This Row],[Age]]&lt;40, "30-39", Employees[[#This Row],[Age]]&lt;50, "40-49", "TRUE", "50+")</f>
        <v>20-29</v>
      </c>
    </row>
    <row r="929" spans="1:28">
      <c r="A929" t="s">
        <v>2767</v>
      </c>
      <c r="B929" t="s">
        <v>2768</v>
      </c>
      <c r="C929" t="s">
        <v>2769</v>
      </c>
      <c r="D929" t="s">
        <v>26</v>
      </c>
      <c r="E929">
        <v>22</v>
      </c>
      <c r="F929" t="s">
        <v>27</v>
      </c>
      <c r="G929" t="s">
        <v>54</v>
      </c>
      <c r="H929">
        <v>31</v>
      </c>
      <c r="I929" t="s">
        <v>39</v>
      </c>
      <c r="J929" t="s">
        <v>71</v>
      </c>
      <c r="K929">
        <v>4</v>
      </c>
      <c r="L929" t="s">
        <v>72</v>
      </c>
      <c r="M929" t="s">
        <v>101</v>
      </c>
      <c r="N929" t="s">
        <v>49</v>
      </c>
      <c r="O929">
        <v>75738</v>
      </c>
      <c r="P929">
        <v>3</v>
      </c>
      <c r="Q929" t="s">
        <v>41</v>
      </c>
      <c r="R929" s="1">
        <v>43519</v>
      </c>
      <c r="S929" t="s">
        <v>41</v>
      </c>
      <c r="T929">
        <v>3</v>
      </c>
      <c r="U929">
        <v>1</v>
      </c>
      <c r="V929">
        <v>2</v>
      </c>
      <c r="W929">
        <v>0</v>
      </c>
      <c r="X929" t="s">
        <v>11023</v>
      </c>
      <c r="Y929" t="s">
        <v>11023</v>
      </c>
      <c r="Z929" t="str">
        <f>_xlfn.XLOOKUP(Employees[[#This Row],[Education]], EdLevel[EducationLevelID], EdLevel[EducationLevel])</f>
        <v xml:space="preserve">Masters </v>
      </c>
      <c r="AA929">
        <f>IF(Employees[[#This Row],[Attrition]] = "Yes", 1, 0)</f>
        <v>1</v>
      </c>
      <c r="AB929" t="str" cm="1">
        <f t="array" ref="AB929">_xlfn.IFS(Employees[[#This Row],[Age]]&lt;30, "20-29", Employees[[#This Row],[Age]]&lt;40, "30-39", Employees[[#This Row],[Age]]&lt;50, "40-49", "TRUE", "50+")</f>
        <v>20-29</v>
      </c>
    </row>
    <row r="930" spans="1:28">
      <c r="A930" t="s">
        <v>2770</v>
      </c>
      <c r="B930" t="s">
        <v>363</v>
      </c>
      <c r="C930" t="s">
        <v>2771</v>
      </c>
      <c r="D930" t="s">
        <v>38</v>
      </c>
      <c r="E930">
        <v>29</v>
      </c>
      <c r="F930" t="s">
        <v>27</v>
      </c>
      <c r="G930" t="s">
        <v>28</v>
      </c>
      <c r="H930">
        <v>39</v>
      </c>
      <c r="I930" t="s">
        <v>65</v>
      </c>
      <c r="J930" t="s">
        <v>30</v>
      </c>
      <c r="K930">
        <v>1</v>
      </c>
      <c r="L930" t="s">
        <v>31</v>
      </c>
      <c r="M930" t="s">
        <v>32</v>
      </c>
      <c r="N930" t="s">
        <v>33</v>
      </c>
      <c r="O930">
        <v>183768</v>
      </c>
      <c r="P930">
        <v>1</v>
      </c>
      <c r="Q930" t="s">
        <v>41</v>
      </c>
      <c r="R930" s="1">
        <v>43521</v>
      </c>
      <c r="S930" t="s">
        <v>34</v>
      </c>
      <c r="T930">
        <v>3</v>
      </c>
      <c r="U930">
        <v>3</v>
      </c>
      <c r="V930">
        <v>3</v>
      </c>
      <c r="W930">
        <v>0</v>
      </c>
      <c r="X930" t="s">
        <v>11020</v>
      </c>
      <c r="Y930" t="s">
        <v>11020</v>
      </c>
      <c r="Z930" t="str">
        <f>_xlfn.XLOOKUP(Employees[[#This Row],[Education]], EdLevel[EducationLevelID], EdLevel[EducationLevel])</f>
        <v>No Formal Qualifications</v>
      </c>
      <c r="AA930">
        <f>IF(Employees[[#This Row],[Attrition]] = "Yes", 1, 0)</f>
        <v>0</v>
      </c>
      <c r="AB930" t="str" cm="1">
        <f t="array" ref="AB930">_xlfn.IFS(Employees[[#This Row],[Age]]&lt;30, "20-29", Employees[[#This Row],[Age]]&lt;40, "30-39", Employees[[#This Row],[Age]]&lt;50, "40-49", "TRUE", "50+")</f>
        <v>20-29</v>
      </c>
    </row>
    <row r="931" spans="1:28">
      <c r="A931" t="s">
        <v>2772</v>
      </c>
      <c r="B931" t="s">
        <v>2773</v>
      </c>
      <c r="C931" t="s">
        <v>2774</v>
      </c>
      <c r="D931" t="s">
        <v>38</v>
      </c>
      <c r="E931">
        <v>23</v>
      </c>
      <c r="F931" t="s">
        <v>27</v>
      </c>
      <c r="G931" t="s">
        <v>54</v>
      </c>
      <c r="H931">
        <v>27</v>
      </c>
      <c r="I931" t="s">
        <v>39</v>
      </c>
      <c r="J931" t="s">
        <v>66</v>
      </c>
      <c r="K931">
        <v>4</v>
      </c>
      <c r="L931" t="s">
        <v>72</v>
      </c>
      <c r="M931" t="s">
        <v>93</v>
      </c>
      <c r="N931" t="s">
        <v>33</v>
      </c>
      <c r="O931">
        <v>47046</v>
      </c>
      <c r="P931">
        <v>2</v>
      </c>
      <c r="Q931" t="s">
        <v>41</v>
      </c>
      <c r="R931" s="1">
        <v>43527</v>
      </c>
      <c r="S931" t="s">
        <v>34</v>
      </c>
      <c r="T931">
        <v>3</v>
      </c>
      <c r="U931">
        <v>2</v>
      </c>
      <c r="V931">
        <v>2</v>
      </c>
      <c r="W931">
        <v>1</v>
      </c>
      <c r="X931" t="s">
        <v>11023</v>
      </c>
      <c r="Y931" t="s">
        <v>11023</v>
      </c>
      <c r="Z931" t="str">
        <f>_xlfn.XLOOKUP(Employees[[#This Row],[Education]], EdLevel[EducationLevelID], EdLevel[EducationLevel])</f>
        <v xml:space="preserve">Masters </v>
      </c>
      <c r="AA931">
        <f>IF(Employees[[#This Row],[Attrition]] = "Yes", 1, 0)</f>
        <v>0</v>
      </c>
      <c r="AB931" t="str" cm="1">
        <f t="array" ref="AB931">_xlfn.IFS(Employees[[#This Row],[Age]]&lt;30, "20-29", Employees[[#This Row],[Age]]&lt;40, "30-39", Employees[[#This Row],[Age]]&lt;50, "40-49", "TRUE", "50+")</f>
        <v>20-29</v>
      </c>
    </row>
    <row r="932" spans="1:28">
      <c r="A932" t="s">
        <v>2775</v>
      </c>
      <c r="B932" t="s">
        <v>2776</v>
      </c>
      <c r="C932" t="s">
        <v>2777</v>
      </c>
      <c r="D932" t="s">
        <v>53</v>
      </c>
      <c r="E932">
        <v>24</v>
      </c>
      <c r="F932" t="s">
        <v>27</v>
      </c>
      <c r="G932" t="s">
        <v>54</v>
      </c>
      <c r="H932">
        <v>2</v>
      </c>
      <c r="I932" t="s">
        <v>39</v>
      </c>
      <c r="J932" t="s">
        <v>71</v>
      </c>
      <c r="K932">
        <v>1</v>
      </c>
      <c r="L932" t="s">
        <v>72</v>
      </c>
      <c r="M932" t="s">
        <v>85</v>
      </c>
      <c r="N932" t="s">
        <v>49</v>
      </c>
      <c r="O932">
        <v>28797</v>
      </c>
      <c r="P932">
        <v>3</v>
      </c>
      <c r="Q932" t="s">
        <v>41</v>
      </c>
      <c r="R932" s="1">
        <v>43528</v>
      </c>
      <c r="S932" t="s">
        <v>34</v>
      </c>
      <c r="T932">
        <v>3</v>
      </c>
      <c r="U932">
        <v>0</v>
      </c>
      <c r="V932">
        <v>2</v>
      </c>
      <c r="W932">
        <v>1</v>
      </c>
      <c r="X932" t="s">
        <v>11020</v>
      </c>
      <c r="Y932" t="s">
        <v>11020</v>
      </c>
      <c r="Z932" t="str">
        <f>_xlfn.XLOOKUP(Employees[[#This Row],[Education]], EdLevel[EducationLevelID], EdLevel[EducationLevel])</f>
        <v>No Formal Qualifications</v>
      </c>
      <c r="AA932">
        <f>IF(Employees[[#This Row],[Attrition]] = "Yes", 1, 0)</f>
        <v>0</v>
      </c>
      <c r="AB932" t="str" cm="1">
        <f t="array" ref="AB932">_xlfn.IFS(Employees[[#This Row],[Age]]&lt;30, "20-29", Employees[[#This Row],[Age]]&lt;40, "30-39", Employees[[#This Row],[Age]]&lt;50, "40-49", "TRUE", "50+")</f>
        <v>20-29</v>
      </c>
    </row>
    <row r="933" spans="1:28">
      <c r="A933" t="s">
        <v>2778</v>
      </c>
      <c r="B933" t="s">
        <v>2779</v>
      </c>
      <c r="C933" t="s">
        <v>2780</v>
      </c>
      <c r="D933" t="s">
        <v>38</v>
      </c>
      <c r="E933">
        <v>21</v>
      </c>
      <c r="F933" t="s">
        <v>70</v>
      </c>
      <c r="G933" t="s">
        <v>54</v>
      </c>
      <c r="H933">
        <v>42</v>
      </c>
      <c r="I933" t="s">
        <v>39</v>
      </c>
      <c r="J933" t="s">
        <v>30</v>
      </c>
      <c r="K933">
        <v>3</v>
      </c>
      <c r="L933" t="s">
        <v>55</v>
      </c>
      <c r="M933" t="s">
        <v>85</v>
      </c>
      <c r="N933" t="s">
        <v>49</v>
      </c>
      <c r="O933">
        <v>57118</v>
      </c>
      <c r="P933">
        <v>3</v>
      </c>
      <c r="Q933" t="s">
        <v>34</v>
      </c>
      <c r="R933" s="1">
        <v>43529</v>
      </c>
      <c r="S933" t="s">
        <v>34</v>
      </c>
      <c r="T933">
        <v>3</v>
      </c>
      <c r="U933">
        <v>1</v>
      </c>
      <c r="V933">
        <v>3</v>
      </c>
      <c r="W933">
        <v>0</v>
      </c>
      <c r="X933" t="s">
        <v>11022</v>
      </c>
      <c r="Y933" t="s">
        <v>11022</v>
      </c>
      <c r="Z933" t="str">
        <f>_xlfn.XLOOKUP(Employees[[#This Row],[Education]], EdLevel[EducationLevelID], EdLevel[EducationLevel])</f>
        <v xml:space="preserve">Bachelors </v>
      </c>
      <c r="AA933">
        <f>IF(Employees[[#This Row],[Attrition]] = "Yes", 1, 0)</f>
        <v>0</v>
      </c>
      <c r="AB933" t="str" cm="1">
        <f t="array" ref="AB933">_xlfn.IFS(Employees[[#This Row],[Age]]&lt;30, "20-29", Employees[[#This Row],[Age]]&lt;40, "30-39", Employees[[#This Row],[Age]]&lt;50, "40-49", "TRUE", "50+")</f>
        <v>20-29</v>
      </c>
    </row>
    <row r="934" spans="1:28">
      <c r="A934" t="s">
        <v>2781</v>
      </c>
      <c r="B934" t="s">
        <v>2710</v>
      </c>
      <c r="C934" t="s">
        <v>2782</v>
      </c>
      <c r="D934" t="s">
        <v>38</v>
      </c>
      <c r="E934">
        <v>21</v>
      </c>
      <c r="F934" t="s">
        <v>27</v>
      </c>
      <c r="G934" t="s">
        <v>54</v>
      </c>
      <c r="H934">
        <v>30</v>
      </c>
      <c r="I934" t="s">
        <v>39</v>
      </c>
      <c r="J934" t="s">
        <v>30</v>
      </c>
      <c r="K934">
        <v>3</v>
      </c>
      <c r="L934" t="s">
        <v>55</v>
      </c>
      <c r="M934" t="s">
        <v>101</v>
      </c>
      <c r="N934" t="s">
        <v>33</v>
      </c>
      <c r="O934">
        <v>37164</v>
      </c>
      <c r="P934">
        <v>1</v>
      </c>
      <c r="Q934" t="s">
        <v>41</v>
      </c>
      <c r="R934" s="1">
        <v>43530</v>
      </c>
      <c r="S934" t="s">
        <v>34</v>
      </c>
      <c r="T934">
        <v>3</v>
      </c>
      <c r="U934">
        <v>3</v>
      </c>
      <c r="V934">
        <v>3</v>
      </c>
      <c r="W934">
        <v>3</v>
      </c>
      <c r="X934" t="s">
        <v>11022</v>
      </c>
      <c r="Y934" t="s">
        <v>11022</v>
      </c>
      <c r="Z934" t="str">
        <f>_xlfn.XLOOKUP(Employees[[#This Row],[Education]], EdLevel[EducationLevelID], EdLevel[EducationLevel])</f>
        <v xml:space="preserve">Bachelors </v>
      </c>
      <c r="AA934">
        <f>IF(Employees[[#This Row],[Attrition]] = "Yes", 1, 0)</f>
        <v>0</v>
      </c>
      <c r="AB934" t="str" cm="1">
        <f t="array" ref="AB934">_xlfn.IFS(Employees[[#This Row],[Age]]&lt;30, "20-29", Employees[[#This Row],[Age]]&lt;40, "30-39", Employees[[#This Row],[Age]]&lt;50, "40-49", "TRUE", "50+")</f>
        <v>20-29</v>
      </c>
    </row>
    <row r="935" spans="1:28">
      <c r="A935" t="s">
        <v>2783</v>
      </c>
      <c r="B935" t="s">
        <v>2784</v>
      </c>
      <c r="C935" t="s">
        <v>2785</v>
      </c>
      <c r="D935" t="s">
        <v>26</v>
      </c>
      <c r="E935">
        <v>24</v>
      </c>
      <c r="F935" t="s">
        <v>27</v>
      </c>
      <c r="G935" t="s">
        <v>54</v>
      </c>
      <c r="H935">
        <v>34</v>
      </c>
      <c r="I935" t="s">
        <v>29</v>
      </c>
      <c r="J935" t="s">
        <v>66</v>
      </c>
      <c r="K935">
        <v>3</v>
      </c>
      <c r="L935" t="s">
        <v>55</v>
      </c>
      <c r="M935" t="s">
        <v>93</v>
      </c>
      <c r="N935" t="s">
        <v>49</v>
      </c>
      <c r="O935">
        <v>78242</v>
      </c>
      <c r="P935">
        <v>1</v>
      </c>
      <c r="Q935" t="s">
        <v>34</v>
      </c>
      <c r="R935" s="1">
        <v>43531</v>
      </c>
      <c r="S935" t="s">
        <v>34</v>
      </c>
      <c r="T935">
        <v>3</v>
      </c>
      <c r="U935">
        <v>0</v>
      </c>
      <c r="V935">
        <v>3</v>
      </c>
      <c r="W935">
        <v>2</v>
      </c>
      <c r="X935" t="s">
        <v>11022</v>
      </c>
      <c r="Y935" t="s">
        <v>11022</v>
      </c>
      <c r="Z935" t="str">
        <f>_xlfn.XLOOKUP(Employees[[#This Row],[Education]], EdLevel[EducationLevelID], EdLevel[EducationLevel])</f>
        <v xml:space="preserve">Bachelors </v>
      </c>
      <c r="AA935">
        <f>IF(Employees[[#This Row],[Attrition]] = "Yes", 1, 0)</f>
        <v>0</v>
      </c>
      <c r="AB935" t="str" cm="1">
        <f t="array" ref="AB935">_xlfn.IFS(Employees[[#This Row],[Age]]&lt;30, "20-29", Employees[[#This Row],[Age]]&lt;40, "30-39", Employees[[#This Row],[Age]]&lt;50, "40-49", "TRUE", "50+")</f>
        <v>20-29</v>
      </c>
    </row>
    <row r="936" spans="1:28">
      <c r="A936" t="s">
        <v>2786</v>
      </c>
      <c r="B936" t="s">
        <v>2787</v>
      </c>
      <c r="C936" t="s">
        <v>2788</v>
      </c>
      <c r="D936" t="s">
        <v>26</v>
      </c>
      <c r="E936">
        <v>40</v>
      </c>
      <c r="F936" t="s">
        <v>84</v>
      </c>
      <c r="G936" t="s">
        <v>54</v>
      </c>
      <c r="H936">
        <v>19</v>
      </c>
      <c r="I936" t="s">
        <v>39</v>
      </c>
      <c r="J936" t="s">
        <v>71</v>
      </c>
      <c r="K936">
        <v>3</v>
      </c>
      <c r="L936" t="s">
        <v>72</v>
      </c>
      <c r="M936" t="s">
        <v>182</v>
      </c>
      <c r="N936" t="s">
        <v>40</v>
      </c>
      <c r="O936">
        <v>513325</v>
      </c>
      <c r="P936">
        <v>0</v>
      </c>
      <c r="Q936" t="s">
        <v>34</v>
      </c>
      <c r="R936" s="1">
        <v>43534</v>
      </c>
      <c r="S936" t="s">
        <v>34</v>
      </c>
      <c r="T936">
        <v>3</v>
      </c>
      <c r="U936">
        <v>0</v>
      </c>
      <c r="V936">
        <v>0</v>
      </c>
      <c r="W936">
        <v>1</v>
      </c>
      <c r="X936" t="s">
        <v>11022</v>
      </c>
      <c r="Y936" t="s">
        <v>11022</v>
      </c>
      <c r="Z936" t="str">
        <f>_xlfn.XLOOKUP(Employees[[#This Row],[Education]], EdLevel[EducationLevelID], EdLevel[EducationLevel])</f>
        <v xml:space="preserve">Bachelors </v>
      </c>
      <c r="AA936">
        <f>IF(Employees[[#This Row],[Attrition]] = "Yes", 1, 0)</f>
        <v>0</v>
      </c>
      <c r="AB936" t="str" cm="1">
        <f t="array" ref="AB936">_xlfn.IFS(Employees[[#This Row],[Age]]&lt;30, "20-29", Employees[[#This Row],[Age]]&lt;40, "30-39", Employees[[#This Row],[Age]]&lt;50, "40-49", "TRUE", "50+")</f>
        <v>40-49</v>
      </c>
    </row>
    <row r="937" spans="1:28">
      <c r="A937" t="s">
        <v>2789</v>
      </c>
      <c r="B937" t="s">
        <v>2790</v>
      </c>
      <c r="C937" t="s">
        <v>2791</v>
      </c>
      <c r="D937" t="s">
        <v>53</v>
      </c>
      <c r="E937">
        <v>23</v>
      </c>
      <c r="F937" t="s">
        <v>27</v>
      </c>
      <c r="G937" t="s">
        <v>54</v>
      </c>
      <c r="H937">
        <v>7</v>
      </c>
      <c r="I937" t="s">
        <v>39</v>
      </c>
      <c r="J937" t="s">
        <v>30</v>
      </c>
      <c r="K937">
        <v>1</v>
      </c>
      <c r="L937" t="s">
        <v>72</v>
      </c>
      <c r="M937" t="s">
        <v>85</v>
      </c>
      <c r="N937" t="s">
        <v>40</v>
      </c>
      <c r="O937">
        <v>27360</v>
      </c>
      <c r="P937">
        <v>0</v>
      </c>
      <c r="Q937" t="s">
        <v>34</v>
      </c>
      <c r="R937" s="1">
        <v>43535</v>
      </c>
      <c r="S937" t="s">
        <v>34</v>
      </c>
      <c r="T937">
        <v>3</v>
      </c>
      <c r="U937">
        <v>2</v>
      </c>
      <c r="V937">
        <v>3</v>
      </c>
      <c r="W937">
        <v>3</v>
      </c>
      <c r="X937" t="s">
        <v>11020</v>
      </c>
      <c r="Y937" t="s">
        <v>11020</v>
      </c>
      <c r="Z937" t="str">
        <f>_xlfn.XLOOKUP(Employees[[#This Row],[Education]], EdLevel[EducationLevelID], EdLevel[EducationLevel])</f>
        <v>No Formal Qualifications</v>
      </c>
      <c r="AA937">
        <f>IF(Employees[[#This Row],[Attrition]] = "Yes", 1, 0)</f>
        <v>0</v>
      </c>
      <c r="AB937" t="str" cm="1">
        <f t="array" ref="AB937">_xlfn.IFS(Employees[[#This Row],[Age]]&lt;30, "20-29", Employees[[#This Row],[Age]]&lt;40, "30-39", Employees[[#This Row],[Age]]&lt;50, "40-49", "TRUE", "50+")</f>
        <v>20-29</v>
      </c>
    </row>
    <row r="938" spans="1:28">
      <c r="A938" t="s">
        <v>2792</v>
      </c>
      <c r="B938" t="s">
        <v>2793</v>
      </c>
      <c r="C938" t="s">
        <v>2794</v>
      </c>
      <c r="D938" t="s">
        <v>38</v>
      </c>
      <c r="E938">
        <v>24</v>
      </c>
      <c r="F938" t="s">
        <v>27</v>
      </c>
      <c r="G938" t="s">
        <v>28</v>
      </c>
      <c r="H938">
        <v>21</v>
      </c>
      <c r="I938" t="s">
        <v>39</v>
      </c>
      <c r="J938" t="s">
        <v>71</v>
      </c>
      <c r="K938">
        <v>4</v>
      </c>
      <c r="L938" t="s">
        <v>31</v>
      </c>
      <c r="M938" t="s">
        <v>32</v>
      </c>
      <c r="N938" t="s">
        <v>49</v>
      </c>
      <c r="O938">
        <v>85118</v>
      </c>
      <c r="P938">
        <v>3</v>
      </c>
      <c r="Q938" t="s">
        <v>34</v>
      </c>
      <c r="R938" s="1">
        <v>43542</v>
      </c>
      <c r="S938" t="s">
        <v>41</v>
      </c>
      <c r="T938">
        <v>0</v>
      </c>
      <c r="U938">
        <v>0</v>
      </c>
      <c r="V938">
        <v>0</v>
      </c>
      <c r="W938">
        <v>0</v>
      </c>
      <c r="X938" t="s">
        <v>11023</v>
      </c>
      <c r="Y938" t="s">
        <v>11023</v>
      </c>
      <c r="Z938" t="str">
        <f>_xlfn.XLOOKUP(Employees[[#This Row],[Education]], EdLevel[EducationLevelID], EdLevel[EducationLevel])</f>
        <v xml:space="preserve">Masters </v>
      </c>
      <c r="AA938">
        <f>IF(Employees[[#This Row],[Attrition]] = "Yes", 1, 0)</f>
        <v>1</v>
      </c>
      <c r="AB938" t="str" cm="1">
        <f t="array" ref="AB938">_xlfn.IFS(Employees[[#This Row],[Age]]&lt;30, "20-29", Employees[[#This Row],[Age]]&lt;40, "30-39", Employees[[#This Row],[Age]]&lt;50, "40-49", "TRUE", "50+")</f>
        <v>20-29</v>
      </c>
    </row>
    <row r="939" spans="1:28">
      <c r="A939" t="s">
        <v>2795</v>
      </c>
      <c r="B939" t="s">
        <v>2796</v>
      </c>
      <c r="C939" t="s">
        <v>2797</v>
      </c>
      <c r="D939" t="s">
        <v>26</v>
      </c>
      <c r="E939">
        <v>35</v>
      </c>
      <c r="F939" t="s">
        <v>27</v>
      </c>
      <c r="G939" t="s">
        <v>28</v>
      </c>
      <c r="H939">
        <v>36</v>
      </c>
      <c r="I939" t="s">
        <v>39</v>
      </c>
      <c r="J939" t="s">
        <v>71</v>
      </c>
      <c r="K939">
        <v>4</v>
      </c>
      <c r="L939" t="s">
        <v>31</v>
      </c>
      <c r="M939" t="s">
        <v>97</v>
      </c>
      <c r="N939" t="s">
        <v>40</v>
      </c>
      <c r="O939">
        <v>396470</v>
      </c>
      <c r="P939">
        <v>0</v>
      </c>
      <c r="Q939" t="s">
        <v>34</v>
      </c>
      <c r="R939" s="1">
        <v>43546</v>
      </c>
      <c r="S939" t="s">
        <v>34</v>
      </c>
      <c r="T939">
        <v>3</v>
      </c>
      <c r="U939">
        <v>3</v>
      </c>
      <c r="V939">
        <v>3</v>
      </c>
      <c r="W939">
        <v>2</v>
      </c>
      <c r="X939" t="s">
        <v>11023</v>
      </c>
      <c r="Y939" t="s">
        <v>11023</v>
      </c>
      <c r="Z939" t="str">
        <f>_xlfn.XLOOKUP(Employees[[#This Row],[Education]], EdLevel[EducationLevelID], EdLevel[EducationLevel])</f>
        <v xml:space="preserve">Masters </v>
      </c>
      <c r="AA939">
        <f>IF(Employees[[#This Row],[Attrition]] = "Yes", 1, 0)</f>
        <v>0</v>
      </c>
      <c r="AB939" t="str" cm="1">
        <f t="array" ref="AB939">_xlfn.IFS(Employees[[#This Row],[Age]]&lt;30, "20-29", Employees[[#This Row],[Age]]&lt;40, "30-39", Employees[[#This Row],[Age]]&lt;50, "40-49", "TRUE", "50+")</f>
        <v>30-39</v>
      </c>
    </row>
    <row r="940" spans="1:28">
      <c r="A940" t="s">
        <v>2798</v>
      </c>
      <c r="B940" t="s">
        <v>321</v>
      </c>
      <c r="C940" t="s">
        <v>2799</v>
      </c>
      <c r="D940" t="s">
        <v>53</v>
      </c>
      <c r="E940">
        <v>23</v>
      </c>
      <c r="F940" t="s">
        <v>84</v>
      </c>
      <c r="G940" t="s">
        <v>54</v>
      </c>
      <c r="H940">
        <v>26</v>
      </c>
      <c r="I940" t="s">
        <v>39</v>
      </c>
      <c r="J940" t="s">
        <v>30</v>
      </c>
      <c r="K940">
        <v>2</v>
      </c>
      <c r="L940" t="s">
        <v>72</v>
      </c>
      <c r="M940" t="s">
        <v>85</v>
      </c>
      <c r="N940" t="s">
        <v>40</v>
      </c>
      <c r="O940">
        <v>31342</v>
      </c>
      <c r="P940">
        <v>0</v>
      </c>
      <c r="Q940" t="s">
        <v>34</v>
      </c>
      <c r="R940" s="1">
        <v>43546</v>
      </c>
      <c r="S940" t="s">
        <v>34</v>
      </c>
      <c r="T940">
        <v>3</v>
      </c>
      <c r="U940">
        <v>0</v>
      </c>
      <c r="V940">
        <v>3</v>
      </c>
      <c r="W940">
        <v>0</v>
      </c>
      <c r="X940" t="s">
        <v>11021</v>
      </c>
      <c r="Y940" t="s">
        <v>11021</v>
      </c>
      <c r="Z940" t="str">
        <f>_xlfn.XLOOKUP(Employees[[#This Row],[Education]], EdLevel[EducationLevelID], EdLevel[EducationLevel])</f>
        <v xml:space="preserve">High School </v>
      </c>
      <c r="AA940">
        <f>IF(Employees[[#This Row],[Attrition]] = "Yes", 1, 0)</f>
        <v>0</v>
      </c>
      <c r="AB940" t="str" cm="1">
        <f t="array" ref="AB940">_xlfn.IFS(Employees[[#This Row],[Age]]&lt;30, "20-29", Employees[[#This Row],[Age]]&lt;40, "30-39", Employees[[#This Row],[Age]]&lt;50, "40-49", "TRUE", "50+")</f>
        <v>20-29</v>
      </c>
    </row>
    <row r="941" spans="1:28">
      <c r="A941" t="s">
        <v>2800</v>
      </c>
      <c r="B941" t="s">
        <v>2801</v>
      </c>
      <c r="C941" t="s">
        <v>2802</v>
      </c>
      <c r="D941" t="s">
        <v>38</v>
      </c>
      <c r="E941">
        <v>22</v>
      </c>
      <c r="F941" t="s">
        <v>27</v>
      </c>
      <c r="G941" t="s">
        <v>54</v>
      </c>
      <c r="H941">
        <v>18</v>
      </c>
      <c r="I941" t="s">
        <v>65</v>
      </c>
      <c r="J941" t="s">
        <v>30</v>
      </c>
      <c r="K941">
        <v>4</v>
      </c>
      <c r="L941" t="s">
        <v>72</v>
      </c>
      <c r="M941" t="s">
        <v>105</v>
      </c>
      <c r="N941" t="s">
        <v>49</v>
      </c>
      <c r="O941">
        <v>68743</v>
      </c>
      <c r="P941">
        <v>0</v>
      </c>
      <c r="Q941" t="s">
        <v>34</v>
      </c>
      <c r="R941" s="1">
        <v>43547</v>
      </c>
      <c r="S941" t="s">
        <v>34</v>
      </c>
      <c r="T941">
        <v>3</v>
      </c>
      <c r="U941">
        <v>0</v>
      </c>
      <c r="V941">
        <v>3</v>
      </c>
      <c r="W941">
        <v>1</v>
      </c>
      <c r="X941" t="s">
        <v>11023</v>
      </c>
      <c r="Y941" t="s">
        <v>11023</v>
      </c>
      <c r="Z941" t="str">
        <f>_xlfn.XLOOKUP(Employees[[#This Row],[Education]], EdLevel[EducationLevelID], EdLevel[EducationLevel])</f>
        <v xml:space="preserve">Masters </v>
      </c>
      <c r="AA941">
        <f>IF(Employees[[#This Row],[Attrition]] = "Yes", 1, 0)</f>
        <v>0</v>
      </c>
      <c r="AB941" t="str" cm="1">
        <f t="array" ref="AB941">_xlfn.IFS(Employees[[#This Row],[Age]]&lt;30, "20-29", Employees[[#This Row],[Age]]&lt;40, "30-39", Employees[[#This Row],[Age]]&lt;50, "40-49", "TRUE", "50+")</f>
        <v>20-29</v>
      </c>
    </row>
    <row r="942" spans="1:28">
      <c r="A942" t="s">
        <v>2803</v>
      </c>
      <c r="B942" t="s">
        <v>2804</v>
      </c>
      <c r="C942" t="s">
        <v>2805</v>
      </c>
      <c r="D942" t="s">
        <v>38</v>
      </c>
      <c r="E942">
        <v>22</v>
      </c>
      <c r="F942" t="s">
        <v>70</v>
      </c>
      <c r="G942" t="s">
        <v>54</v>
      </c>
      <c r="H942">
        <v>13</v>
      </c>
      <c r="I942" t="s">
        <v>39</v>
      </c>
      <c r="J942" t="s">
        <v>66</v>
      </c>
      <c r="K942">
        <v>5</v>
      </c>
      <c r="L942" t="s">
        <v>55</v>
      </c>
      <c r="M942" t="s">
        <v>105</v>
      </c>
      <c r="N942" t="s">
        <v>49</v>
      </c>
      <c r="O942">
        <v>68629</v>
      </c>
      <c r="P942">
        <v>1</v>
      </c>
      <c r="Q942" t="s">
        <v>34</v>
      </c>
      <c r="R942" s="1">
        <v>43549</v>
      </c>
      <c r="S942" t="s">
        <v>34</v>
      </c>
      <c r="T942">
        <v>3</v>
      </c>
      <c r="U942">
        <v>1</v>
      </c>
      <c r="V942">
        <v>1</v>
      </c>
      <c r="W942">
        <v>0</v>
      </c>
      <c r="X942" t="s">
        <v>11024</v>
      </c>
      <c r="Y942" t="s">
        <v>11024</v>
      </c>
      <c r="Z942" t="str">
        <f>_xlfn.XLOOKUP(Employees[[#This Row],[Education]], EdLevel[EducationLevelID], EdLevel[EducationLevel])</f>
        <v>Doctorate</v>
      </c>
      <c r="AA942">
        <f>IF(Employees[[#This Row],[Attrition]] = "Yes", 1, 0)</f>
        <v>0</v>
      </c>
      <c r="AB942" t="str" cm="1">
        <f t="array" ref="AB942">_xlfn.IFS(Employees[[#This Row],[Age]]&lt;30, "20-29", Employees[[#This Row],[Age]]&lt;40, "30-39", Employees[[#This Row],[Age]]&lt;50, "40-49", "TRUE", "50+")</f>
        <v>20-29</v>
      </c>
    </row>
    <row r="943" spans="1:28">
      <c r="A943" t="s">
        <v>2806</v>
      </c>
      <c r="B943" t="s">
        <v>2807</v>
      </c>
      <c r="C943" t="s">
        <v>2808</v>
      </c>
      <c r="D943" t="s">
        <v>26</v>
      </c>
      <c r="E943">
        <v>31</v>
      </c>
      <c r="F943" t="s">
        <v>27</v>
      </c>
      <c r="G943" t="s">
        <v>28</v>
      </c>
      <c r="H943">
        <v>38</v>
      </c>
      <c r="I943" t="s">
        <v>39</v>
      </c>
      <c r="J943" t="s">
        <v>71</v>
      </c>
      <c r="K943">
        <v>5</v>
      </c>
      <c r="L943" t="s">
        <v>31</v>
      </c>
      <c r="M943" t="s">
        <v>97</v>
      </c>
      <c r="N943" t="s">
        <v>49</v>
      </c>
      <c r="O943">
        <v>330940</v>
      </c>
      <c r="P943">
        <v>1</v>
      </c>
      <c r="Q943" t="s">
        <v>34</v>
      </c>
      <c r="R943" s="1">
        <v>43552</v>
      </c>
      <c r="S943" t="s">
        <v>34</v>
      </c>
      <c r="T943">
        <v>3</v>
      </c>
      <c r="U943">
        <v>1</v>
      </c>
      <c r="V943">
        <v>3</v>
      </c>
      <c r="W943">
        <v>3</v>
      </c>
      <c r="X943" t="s">
        <v>11024</v>
      </c>
      <c r="Y943" t="s">
        <v>11024</v>
      </c>
      <c r="Z943" t="str">
        <f>_xlfn.XLOOKUP(Employees[[#This Row],[Education]], EdLevel[EducationLevelID], EdLevel[EducationLevel])</f>
        <v>Doctorate</v>
      </c>
      <c r="AA943">
        <f>IF(Employees[[#This Row],[Attrition]] = "Yes", 1, 0)</f>
        <v>0</v>
      </c>
      <c r="AB943" t="str" cm="1">
        <f t="array" ref="AB943">_xlfn.IFS(Employees[[#This Row],[Age]]&lt;30, "20-29", Employees[[#This Row],[Age]]&lt;40, "30-39", Employees[[#This Row],[Age]]&lt;50, "40-49", "TRUE", "50+")</f>
        <v>30-39</v>
      </c>
    </row>
    <row r="944" spans="1:28">
      <c r="A944" t="s">
        <v>2809</v>
      </c>
      <c r="B944" t="s">
        <v>2810</v>
      </c>
      <c r="C944" t="s">
        <v>2811</v>
      </c>
      <c r="D944" t="s">
        <v>38</v>
      </c>
      <c r="E944">
        <v>27</v>
      </c>
      <c r="F944" t="s">
        <v>27</v>
      </c>
      <c r="G944" t="s">
        <v>54</v>
      </c>
      <c r="H944">
        <v>43</v>
      </c>
      <c r="I944" t="s">
        <v>39</v>
      </c>
      <c r="J944" t="s">
        <v>30</v>
      </c>
      <c r="K944">
        <v>4</v>
      </c>
      <c r="L944" t="s">
        <v>55</v>
      </c>
      <c r="M944" t="s">
        <v>105</v>
      </c>
      <c r="N944" t="s">
        <v>40</v>
      </c>
      <c r="O944">
        <v>105702</v>
      </c>
      <c r="P944">
        <v>0</v>
      </c>
      <c r="Q944" t="s">
        <v>34</v>
      </c>
      <c r="R944" s="1">
        <v>43554</v>
      </c>
      <c r="S944" t="s">
        <v>34</v>
      </c>
      <c r="T944">
        <v>3</v>
      </c>
      <c r="U944">
        <v>3</v>
      </c>
      <c r="V944">
        <v>3</v>
      </c>
      <c r="W944">
        <v>1</v>
      </c>
      <c r="X944" t="s">
        <v>11023</v>
      </c>
      <c r="Y944" t="s">
        <v>11023</v>
      </c>
      <c r="Z944" t="str">
        <f>_xlfn.XLOOKUP(Employees[[#This Row],[Education]], EdLevel[EducationLevelID], EdLevel[EducationLevel])</f>
        <v xml:space="preserve">Masters </v>
      </c>
      <c r="AA944">
        <f>IF(Employees[[#This Row],[Attrition]] = "Yes", 1, 0)</f>
        <v>0</v>
      </c>
      <c r="AB944" t="str" cm="1">
        <f t="array" ref="AB944">_xlfn.IFS(Employees[[#This Row],[Age]]&lt;30, "20-29", Employees[[#This Row],[Age]]&lt;40, "30-39", Employees[[#This Row],[Age]]&lt;50, "40-49", "TRUE", "50+")</f>
        <v>20-29</v>
      </c>
    </row>
    <row r="945" spans="1:28">
      <c r="A945" t="s">
        <v>2812</v>
      </c>
      <c r="B945" t="s">
        <v>2813</v>
      </c>
      <c r="C945" t="s">
        <v>1877</v>
      </c>
      <c r="D945" t="s">
        <v>26</v>
      </c>
      <c r="E945">
        <v>24</v>
      </c>
      <c r="F945" t="s">
        <v>27</v>
      </c>
      <c r="G945" t="s">
        <v>54</v>
      </c>
      <c r="H945">
        <v>17</v>
      </c>
      <c r="I945" t="s">
        <v>29</v>
      </c>
      <c r="J945" t="s">
        <v>66</v>
      </c>
      <c r="K945">
        <v>3</v>
      </c>
      <c r="L945" t="s">
        <v>72</v>
      </c>
      <c r="M945" t="s">
        <v>101</v>
      </c>
      <c r="N945" t="s">
        <v>49</v>
      </c>
      <c r="O945">
        <v>26937</v>
      </c>
      <c r="P945">
        <v>1</v>
      </c>
      <c r="Q945" t="s">
        <v>34</v>
      </c>
      <c r="R945" s="1">
        <v>43555</v>
      </c>
      <c r="S945" t="s">
        <v>34</v>
      </c>
      <c r="T945">
        <v>3</v>
      </c>
      <c r="U945">
        <v>2</v>
      </c>
      <c r="V945">
        <v>2</v>
      </c>
      <c r="W945">
        <v>1</v>
      </c>
      <c r="X945" t="s">
        <v>11022</v>
      </c>
      <c r="Y945" t="s">
        <v>11022</v>
      </c>
      <c r="Z945" t="str">
        <f>_xlfn.XLOOKUP(Employees[[#This Row],[Education]], EdLevel[EducationLevelID], EdLevel[EducationLevel])</f>
        <v xml:space="preserve">Bachelors </v>
      </c>
      <c r="AA945">
        <f>IF(Employees[[#This Row],[Attrition]] = "Yes", 1, 0)</f>
        <v>0</v>
      </c>
      <c r="AB945" t="str" cm="1">
        <f t="array" ref="AB945">_xlfn.IFS(Employees[[#This Row],[Age]]&lt;30, "20-29", Employees[[#This Row],[Age]]&lt;40, "30-39", Employees[[#This Row],[Age]]&lt;50, "40-49", "TRUE", "50+")</f>
        <v>20-29</v>
      </c>
    </row>
    <row r="946" spans="1:28">
      <c r="A946" t="s">
        <v>2814</v>
      </c>
      <c r="B946" t="s">
        <v>2815</v>
      </c>
      <c r="C946" t="s">
        <v>2816</v>
      </c>
      <c r="D946" t="s">
        <v>26</v>
      </c>
      <c r="E946">
        <v>36</v>
      </c>
      <c r="F946" t="s">
        <v>27</v>
      </c>
      <c r="G946" t="s">
        <v>28</v>
      </c>
      <c r="H946">
        <v>20</v>
      </c>
      <c r="I946" t="s">
        <v>29</v>
      </c>
      <c r="J946" t="s">
        <v>66</v>
      </c>
      <c r="K946">
        <v>4</v>
      </c>
      <c r="L946" t="s">
        <v>121</v>
      </c>
      <c r="M946" t="s">
        <v>32</v>
      </c>
      <c r="N946" t="s">
        <v>33</v>
      </c>
      <c r="O946">
        <v>220472</v>
      </c>
      <c r="P946">
        <v>1</v>
      </c>
      <c r="Q946" t="s">
        <v>34</v>
      </c>
      <c r="R946" s="1">
        <v>43558</v>
      </c>
      <c r="S946" t="s">
        <v>34</v>
      </c>
      <c r="T946">
        <v>3</v>
      </c>
      <c r="U946">
        <v>1</v>
      </c>
      <c r="V946">
        <v>1</v>
      </c>
      <c r="W946">
        <v>0</v>
      </c>
      <c r="X946" t="s">
        <v>11023</v>
      </c>
      <c r="Y946" t="s">
        <v>11023</v>
      </c>
      <c r="Z946" t="str">
        <f>_xlfn.XLOOKUP(Employees[[#This Row],[Education]], EdLevel[EducationLevelID], EdLevel[EducationLevel])</f>
        <v xml:space="preserve">Masters </v>
      </c>
      <c r="AA946">
        <f>IF(Employees[[#This Row],[Attrition]] = "Yes", 1, 0)</f>
        <v>0</v>
      </c>
      <c r="AB946" t="str" cm="1">
        <f t="array" ref="AB946">_xlfn.IFS(Employees[[#This Row],[Age]]&lt;30, "20-29", Employees[[#This Row],[Age]]&lt;40, "30-39", Employees[[#This Row],[Age]]&lt;50, "40-49", "TRUE", "50+")</f>
        <v>30-39</v>
      </c>
    </row>
    <row r="947" spans="1:28">
      <c r="A947" t="s">
        <v>2817</v>
      </c>
      <c r="B947" t="s">
        <v>1664</v>
      </c>
      <c r="C947" t="s">
        <v>2818</v>
      </c>
      <c r="D947" t="s">
        <v>26</v>
      </c>
      <c r="E947">
        <v>24</v>
      </c>
      <c r="F947" t="s">
        <v>84</v>
      </c>
      <c r="G947" t="s">
        <v>54</v>
      </c>
      <c r="H947">
        <v>26</v>
      </c>
      <c r="I947" t="s">
        <v>39</v>
      </c>
      <c r="J947" t="s">
        <v>76</v>
      </c>
      <c r="K947">
        <v>4</v>
      </c>
      <c r="L947" t="s">
        <v>77</v>
      </c>
      <c r="M947" t="s">
        <v>101</v>
      </c>
      <c r="N947" t="s">
        <v>33</v>
      </c>
      <c r="O947">
        <v>35885</v>
      </c>
      <c r="P947">
        <v>2</v>
      </c>
      <c r="Q947" t="s">
        <v>34</v>
      </c>
      <c r="R947" s="1">
        <v>43558</v>
      </c>
      <c r="S947" t="s">
        <v>34</v>
      </c>
      <c r="T947">
        <v>3</v>
      </c>
      <c r="U947">
        <v>1</v>
      </c>
      <c r="V947">
        <v>2</v>
      </c>
      <c r="W947">
        <v>2</v>
      </c>
      <c r="X947" t="s">
        <v>11023</v>
      </c>
      <c r="Y947" t="s">
        <v>11023</v>
      </c>
      <c r="Z947" t="str">
        <f>_xlfn.XLOOKUP(Employees[[#This Row],[Education]], EdLevel[EducationLevelID], EdLevel[EducationLevel])</f>
        <v xml:space="preserve">Masters </v>
      </c>
      <c r="AA947">
        <f>IF(Employees[[#This Row],[Attrition]] = "Yes", 1, 0)</f>
        <v>0</v>
      </c>
      <c r="AB947" t="str" cm="1">
        <f t="array" ref="AB947">_xlfn.IFS(Employees[[#This Row],[Age]]&lt;30, "20-29", Employees[[#This Row],[Age]]&lt;40, "30-39", Employees[[#This Row],[Age]]&lt;50, "40-49", "TRUE", "50+")</f>
        <v>20-29</v>
      </c>
    </row>
    <row r="948" spans="1:28">
      <c r="A948" t="s">
        <v>2819</v>
      </c>
      <c r="B948" t="s">
        <v>2820</v>
      </c>
      <c r="C948" t="s">
        <v>2821</v>
      </c>
      <c r="D948" t="s">
        <v>26</v>
      </c>
      <c r="E948">
        <v>39</v>
      </c>
      <c r="F948" t="s">
        <v>84</v>
      </c>
      <c r="G948" t="s">
        <v>45</v>
      </c>
      <c r="H948">
        <v>25</v>
      </c>
      <c r="I948" t="s">
        <v>39</v>
      </c>
      <c r="J948" t="s">
        <v>71</v>
      </c>
      <c r="K948">
        <v>3</v>
      </c>
      <c r="L948" t="s">
        <v>121</v>
      </c>
      <c r="M948" t="s">
        <v>48</v>
      </c>
      <c r="N948" t="s">
        <v>49</v>
      </c>
      <c r="O948">
        <v>349233</v>
      </c>
      <c r="P948">
        <v>1</v>
      </c>
      <c r="Q948" t="s">
        <v>34</v>
      </c>
      <c r="R948" s="1">
        <v>43561</v>
      </c>
      <c r="S948" t="s">
        <v>34</v>
      </c>
      <c r="T948">
        <v>3</v>
      </c>
      <c r="U948">
        <v>0</v>
      </c>
      <c r="V948">
        <v>2</v>
      </c>
      <c r="W948">
        <v>0</v>
      </c>
      <c r="X948" t="s">
        <v>11022</v>
      </c>
      <c r="Y948" t="s">
        <v>11022</v>
      </c>
      <c r="Z948" t="str">
        <f>_xlfn.XLOOKUP(Employees[[#This Row],[Education]], EdLevel[EducationLevelID], EdLevel[EducationLevel])</f>
        <v xml:space="preserve">Bachelors </v>
      </c>
      <c r="AA948">
        <f>IF(Employees[[#This Row],[Attrition]] = "Yes", 1, 0)</f>
        <v>0</v>
      </c>
      <c r="AB948" t="str" cm="1">
        <f t="array" ref="AB948">_xlfn.IFS(Employees[[#This Row],[Age]]&lt;30, "20-29", Employees[[#This Row],[Age]]&lt;40, "30-39", Employees[[#This Row],[Age]]&lt;50, "40-49", "TRUE", "50+")</f>
        <v>30-39</v>
      </c>
    </row>
    <row r="949" spans="1:28">
      <c r="A949" t="s">
        <v>2822</v>
      </c>
      <c r="B949" t="s">
        <v>1293</v>
      </c>
      <c r="C949" t="s">
        <v>2823</v>
      </c>
      <c r="D949" t="s">
        <v>26</v>
      </c>
      <c r="E949">
        <v>35</v>
      </c>
      <c r="F949" t="s">
        <v>84</v>
      </c>
      <c r="G949" t="s">
        <v>54</v>
      </c>
      <c r="H949">
        <v>28</v>
      </c>
      <c r="I949" t="s">
        <v>39</v>
      </c>
      <c r="J949" t="s">
        <v>66</v>
      </c>
      <c r="K949">
        <v>3</v>
      </c>
      <c r="L949" t="s">
        <v>55</v>
      </c>
      <c r="M949" t="s">
        <v>93</v>
      </c>
      <c r="N949" t="s">
        <v>40</v>
      </c>
      <c r="O949">
        <v>222303</v>
      </c>
      <c r="P949">
        <v>0</v>
      </c>
      <c r="Q949" t="s">
        <v>34</v>
      </c>
      <c r="R949" s="1">
        <v>43563</v>
      </c>
      <c r="S949" t="s">
        <v>34</v>
      </c>
      <c r="T949">
        <v>3</v>
      </c>
      <c r="U949">
        <v>0</v>
      </c>
      <c r="V949">
        <v>2</v>
      </c>
      <c r="W949">
        <v>2</v>
      </c>
      <c r="X949" t="s">
        <v>11022</v>
      </c>
      <c r="Y949" t="s">
        <v>11022</v>
      </c>
      <c r="Z949" t="str">
        <f>_xlfn.XLOOKUP(Employees[[#This Row],[Education]], EdLevel[EducationLevelID], EdLevel[EducationLevel])</f>
        <v xml:space="preserve">Bachelors </v>
      </c>
      <c r="AA949">
        <f>IF(Employees[[#This Row],[Attrition]] = "Yes", 1, 0)</f>
        <v>0</v>
      </c>
      <c r="AB949" t="str" cm="1">
        <f t="array" ref="AB949">_xlfn.IFS(Employees[[#This Row],[Age]]&lt;30, "20-29", Employees[[#This Row],[Age]]&lt;40, "30-39", Employees[[#This Row],[Age]]&lt;50, "40-49", "TRUE", "50+")</f>
        <v>30-39</v>
      </c>
    </row>
    <row r="950" spans="1:28">
      <c r="A950" t="s">
        <v>2824</v>
      </c>
      <c r="B950" t="s">
        <v>2825</v>
      </c>
      <c r="C950" t="s">
        <v>2826</v>
      </c>
      <c r="D950" t="s">
        <v>38</v>
      </c>
      <c r="E950">
        <v>31</v>
      </c>
      <c r="F950" t="s">
        <v>27</v>
      </c>
      <c r="G950" t="s">
        <v>54</v>
      </c>
      <c r="H950">
        <v>19</v>
      </c>
      <c r="I950" t="s">
        <v>39</v>
      </c>
      <c r="J950" t="s">
        <v>30</v>
      </c>
      <c r="K950">
        <v>1</v>
      </c>
      <c r="L950" t="s">
        <v>72</v>
      </c>
      <c r="M950" t="s">
        <v>56</v>
      </c>
      <c r="N950" t="s">
        <v>40</v>
      </c>
      <c r="O950">
        <v>371727</v>
      </c>
      <c r="P950">
        <v>0</v>
      </c>
      <c r="Q950" t="s">
        <v>34</v>
      </c>
      <c r="R950" s="1">
        <v>43564</v>
      </c>
      <c r="S950" t="s">
        <v>34</v>
      </c>
      <c r="T950">
        <v>3</v>
      </c>
      <c r="U950">
        <v>2</v>
      </c>
      <c r="V950">
        <v>3</v>
      </c>
      <c r="W950">
        <v>2</v>
      </c>
      <c r="X950" t="s">
        <v>11020</v>
      </c>
      <c r="Y950" t="s">
        <v>11020</v>
      </c>
      <c r="Z950" t="str">
        <f>_xlfn.XLOOKUP(Employees[[#This Row],[Education]], EdLevel[EducationLevelID], EdLevel[EducationLevel])</f>
        <v>No Formal Qualifications</v>
      </c>
      <c r="AA950">
        <f>IF(Employees[[#This Row],[Attrition]] = "Yes", 1, 0)</f>
        <v>0</v>
      </c>
      <c r="AB950" t="str" cm="1">
        <f t="array" ref="AB950">_xlfn.IFS(Employees[[#This Row],[Age]]&lt;30, "20-29", Employees[[#This Row],[Age]]&lt;40, "30-39", Employees[[#This Row],[Age]]&lt;50, "40-49", "TRUE", "50+")</f>
        <v>30-39</v>
      </c>
    </row>
    <row r="951" spans="1:28">
      <c r="A951" t="s">
        <v>2827</v>
      </c>
      <c r="B951" t="s">
        <v>2828</v>
      </c>
      <c r="C951" t="s">
        <v>2829</v>
      </c>
      <c r="D951" t="s">
        <v>26</v>
      </c>
      <c r="E951">
        <v>40</v>
      </c>
      <c r="F951" t="s">
        <v>27</v>
      </c>
      <c r="G951" t="s">
        <v>28</v>
      </c>
      <c r="H951">
        <v>5</v>
      </c>
      <c r="I951" t="s">
        <v>65</v>
      </c>
      <c r="J951" t="s">
        <v>30</v>
      </c>
      <c r="K951">
        <v>4</v>
      </c>
      <c r="L951" t="s">
        <v>47</v>
      </c>
      <c r="M951" t="s">
        <v>97</v>
      </c>
      <c r="N951" t="s">
        <v>49</v>
      </c>
      <c r="O951">
        <v>267834</v>
      </c>
      <c r="P951">
        <v>0</v>
      </c>
      <c r="Q951" t="s">
        <v>34</v>
      </c>
      <c r="R951" s="1">
        <v>43565</v>
      </c>
      <c r="S951" t="s">
        <v>34</v>
      </c>
      <c r="T951">
        <v>3</v>
      </c>
      <c r="U951">
        <v>3</v>
      </c>
      <c r="V951">
        <v>3</v>
      </c>
      <c r="W951">
        <v>0</v>
      </c>
      <c r="X951" t="s">
        <v>11023</v>
      </c>
      <c r="Y951" t="s">
        <v>11023</v>
      </c>
      <c r="Z951" t="str">
        <f>_xlfn.XLOOKUP(Employees[[#This Row],[Education]], EdLevel[EducationLevelID], EdLevel[EducationLevel])</f>
        <v xml:space="preserve">Masters </v>
      </c>
      <c r="AA951">
        <f>IF(Employees[[#This Row],[Attrition]] = "Yes", 1, 0)</f>
        <v>0</v>
      </c>
      <c r="AB951" t="str" cm="1">
        <f t="array" ref="AB951">_xlfn.IFS(Employees[[#This Row],[Age]]&lt;30, "20-29", Employees[[#This Row],[Age]]&lt;40, "30-39", Employees[[#This Row],[Age]]&lt;50, "40-49", "TRUE", "50+")</f>
        <v>40-49</v>
      </c>
    </row>
    <row r="952" spans="1:28">
      <c r="A952" t="s">
        <v>2830</v>
      </c>
      <c r="B952" t="s">
        <v>2831</v>
      </c>
      <c r="C952" t="s">
        <v>2832</v>
      </c>
      <c r="D952" t="s">
        <v>26</v>
      </c>
      <c r="E952">
        <v>34</v>
      </c>
      <c r="F952" t="s">
        <v>84</v>
      </c>
      <c r="G952" t="s">
        <v>28</v>
      </c>
      <c r="H952">
        <v>30</v>
      </c>
      <c r="I952" t="s">
        <v>39</v>
      </c>
      <c r="J952" t="s">
        <v>66</v>
      </c>
      <c r="K952">
        <v>2</v>
      </c>
      <c r="L952" t="s">
        <v>47</v>
      </c>
      <c r="M952" t="s">
        <v>97</v>
      </c>
      <c r="N952" t="s">
        <v>49</v>
      </c>
      <c r="O952">
        <v>311448</v>
      </c>
      <c r="P952">
        <v>2</v>
      </c>
      <c r="Q952" t="s">
        <v>41</v>
      </c>
      <c r="R952" s="1">
        <v>43567</v>
      </c>
      <c r="S952" t="s">
        <v>34</v>
      </c>
      <c r="T952">
        <v>3</v>
      </c>
      <c r="U952">
        <v>1</v>
      </c>
      <c r="V952">
        <v>2</v>
      </c>
      <c r="W952">
        <v>2</v>
      </c>
      <c r="X952" t="s">
        <v>11021</v>
      </c>
      <c r="Y952" t="s">
        <v>11021</v>
      </c>
      <c r="Z952" t="str">
        <f>_xlfn.XLOOKUP(Employees[[#This Row],[Education]], EdLevel[EducationLevelID], EdLevel[EducationLevel])</f>
        <v xml:space="preserve">High School </v>
      </c>
      <c r="AA952">
        <f>IF(Employees[[#This Row],[Attrition]] = "Yes", 1, 0)</f>
        <v>0</v>
      </c>
      <c r="AB952" t="str" cm="1">
        <f t="array" ref="AB952">_xlfn.IFS(Employees[[#This Row],[Age]]&lt;30, "20-29", Employees[[#This Row],[Age]]&lt;40, "30-39", Employees[[#This Row],[Age]]&lt;50, "40-49", "TRUE", "50+")</f>
        <v>30-39</v>
      </c>
    </row>
    <row r="953" spans="1:28">
      <c r="A953" t="s">
        <v>2833</v>
      </c>
      <c r="B953" t="s">
        <v>685</v>
      </c>
      <c r="C953" t="s">
        <v>2834</v>
      </c>
      <c r="D953" t="s">
        <v>38</v>
      </c>
      <c r="E953">
        <v>24</v>
      </c>
      <c r="F953" t="s">
        <v>27</v>
      </c>
      <c r="G953" t="s">
        <v>54</v>
      </c>
      <c r="H953">
        <v>33</v>
      </c>
      <c r="I953" t="s">
        <v>39</v>
      </c>
      <c r="J953" t="s">
        <v>30</v>
      </c>
      <c r="K953">
        <v>3</v>
      </c>
      <c r="L953" t="s">
        <v>55</v>
      </c>
      <c r="M953" t="s">
        <v>93</v>
      </c>
      <c r="N953" t="s">
        <v>49</v>
      </c>
      <c r="O953">
        <v>81974</v>
      </c>
      <c r="P953">
        <v>3</v>
      </c>
      <c r="Q953" t="s">
        <v>34</v>
      </c>
      <c r="R953" s="1">
        <v>43567</v>
      </c>
      <c r="S953" t="s">
        <v>34</v>
      </c>
      <c r="T953">
        <v>3</v>
      </c>
      <c r="U953">
        <v>1</v>
      </c>
      <c r="V953">
        <v>1</v>
      </c>
      <c r="W953">
        <v>1</v>
      </c>
      <c r="X953" t="s">
        <v>11022</v>
      </c>
      <c r="Y953" t="s">
        <v>11022</v>
      </c>
      <c r="Z953" t="str">
        <f>_xlfn.XLOOKUP(Employees[[#This Row],[Education]], EdLevel[EducationLevelID], EdLevel[EducationLevel])</f>
        <v xml:space="preserve">Bachelors </v>
      </c>
      <c r="AA953">
        <f>IF(Employees[[#This Row],[Attrition]] = "Yes", 1, 0)</f>
        <v>0</v>
      </c>
      <c r="AB953" t="str" cm="1">
        <f t="array" ref="AB953">_xlfn.IFS(Employees[[#This Row],[Age]]&lt;30, "20-29", Employees[[#This Row],[Age]]&lt;40, "30-39", Employees[[#This Row],[Age]]&lt;50, "40-49", "TRUE", "50+")</f>
        <v>20-29</v>
      </c>
    </row>
    <row r="954" spans="1:28">
      <c r="A954" t="s">
        <v>2835</v>
      </c>
      <c r="B954" t="s">
        <v>2836</v>
      </c>
      <c r="C954" t="s">
        <v>2837</v>
      </c>
      <c r="D954" t="s">
        <v>26</v>
      </c>
      <c r="E954">
        <v>24</v>
      </c>
      <c r="F954" t="s">
        <v>70</v>
      </c>
      <c r="G954" t="s">
        <v>28</v>
      </c>
      <c r="H954">
        <v>14</v>
      </c>
      <c r="I954" t="s">
        <v>39</v>
      </c>
      <c r="J954" t="s">
        <v>71</v>
      </c>
      <c r="K954">
        <v>3</v>
      </c>
      <c r="L954" t="s">
        <v>47</v>
      </c>
      <c r="M954" t="s">
        <v>32</v>
      </c>
      <c r="N954" t="s">
        <v>33</v>
      </c>
      <c r="O954">
        <v>52975</v>
      </c>
      <c r="P954">
        <v>1</v>
      </c>
      <c r="Q954" t="s">
        <v>41</v>
      </c>
      <c r="R954" s="1">
        <v>43573</v>
      </c>
      <c r="S954" t="s">
        <v>34</v>
      </c>
      <c r="T954">
        <v>3</v>
      </c>
      <c r="U954">
        <v>1</v>
      </c>
      <c r="V954">
        <v>3</v>
      </c>
      <c r="W954">
        <v>3</v>
      </c>
      <c r="X954" t="s">
        <v>11022</v>
      </c>
      <c r="Y954" t="s">
        <v>11022</v>
      </c>
      <c r="Z954" t="str">
        <f>_xlfn.XLOOKUP(Employees[[#This Row],[Education]], EdLevel[EducationLevelID], EdLevel[EducationLevel])</f>
        <v xml:space="preserve">Bachelors </v>
      </c>
      <c r="AA954">
        <f>IF(Employees[[#This Row],[Attrition]] = "Yes", 1, 0)</f>
        <v>0</v>
      </c>
      <c r="AB954" t="str" cm="1">
        <f t="array" ref="AB954">_xlfn.IFS(Employees[[#This Row],[Age]]&lt;30, "20-29", Employees[[#This Row],[Age]]&lt;40, "30-39", Employees[[#This Row],[Age]]&lt;50, "40-49", "TRUE", "50+")</f>
        <v>20-29</v>
      </c>
    </row>
    <row r="955" spans="1:28">
      <c r="A955" t="s">
        <v>2838</v>
      </c>
      <c r="B955" t="s">
        <v>2839</v>
      </c>
      <c r="C955" t="s">
        <v>2840</v>
      </c>
      <c r="D955" t="s">
        <v>38</v>
      </c>
      <c r="E955">
        <v>32</v>
      </c>
      <c r="F955" t="s">
        <v>27</v>
      </c>
      <c r="G955" t="s">
        <v>28</v>
      </c>
      <c r="H955">
        <v>15</v>
      </c>
      <c r="I955" t="s">
        <v>65</v>
      </c>
      <c r="J955" t="s">
        <v>66</v>
      </c>
      <c r="K955">
        <v>4</v>
      </c>
      <c r="L955" t="s">
        <v>60</v>
      </c>
      <c r="M955" t="s">
        <v>32</v>
      </c>
      <c r="N955" t="s">
        <v>49</v>
      </c>
      <c r="O955">
        <v>208435</v>
      </c>
      <c r="P955">
        <v>1</v>
      </c>
      <c r="Q955" t="s">
        <v>34</v>
      </c>
      <c r="R955" s="1">
        <v>43573</v>
      </c>
      <c r="S955" t="s">
        <v>34</v>
      </c>
      <c r="T955">
        <v>3</v>
      </c>
      <c r="U955">
        <v>1</v>
      </c>
      <c r="V955">
        <v>2</v>
      </c>
      <c r="W955">
        <v>1</v>
      </c>
      <c r="X955" t="s">
        <v>11023</v>
      </c>
      <c r="Y955" t="s">
        <v>11023</v>
      </c>
      <c r="Z955" t="str">
        <f>_xlfn.XLOOKUP(Employees[[#This Row],[Education]], EdLevel[EducationLevelID], EdLevel[EducationLevel])</f>
        <v xml:space="preserve">Masters </v>
      </c>
      <c r="AA955">
        <f>IF(Employees[[#This Row],[Attrition]] = "Yes", 1, 0)</f>
        <v>0</v>
      </c>
      <c r="AB955" t="str" cm="1">
        <f t="array" ref="AB955">_xlfn.IFS(Employees[[#This Row],[Age]]&lt;30, "20-29", Employees[[#This Row],[Age]]&lt;40, "30-39", Employees[[#This Row],[Age]]&lt;50, "40-49", "TRUE", "50+")</f>
        <v>30-39</v>
      </c>
    </row>
    <row r="956" spans="1:28">
      <c r="A956" t="s">
        <v>2841</v>
      </c>
      <c r="B956" t="s">
        <v>1650</v>
      </c>
      <c r="C956" t="s">
        <v>2842</v>
      </c>
      <c r="D956" t="s">
        <v>38</v>
      </c>
      <c r="E956">
        <v>23</v>
      </c>
      <c r="F956" t="s">
        <v>27</v>
      </c>
      <c r="G956" t="s">
        <v>54</v>
      </c>
      <c r="H956">
        <v>30</v>
      </c>
      <c r="I956" t="s">
        <v>39</v>
      </c>
      <c r="J956" t="s">
        <v>66</v>
      </c>
      <c r="K956">
        <v>4</v>
      </c>
      <c r="L956" t="s">
        <v>72</v>
      </c>
      <c r="M956" t="s">
        <v>105</v>
      </c>
      <c r="N956" t="s">
        <v>40</v>
      </c>
      <c r="O956">
        <v>54171</v>
      </c>
      <c r="P956">
        <v>0</v>
      </c>
      <c r="Q956" t="s">
        <v>41</v>
      </c>
      <c r="R956" s="1">
        <v>43573</v>
      </c>
      <c r="S956" t="s">
        <v>34</v>
      </c>
      <c r="T956">
        <v>3</v>
      </c>
      <c r="U956">
        <v>2</v>
      </c>
      <c r="V956">
        <v>3</v>
      </c>
      <c r="W956">
        <v>0</v>
      </c>
      <c r="X956" t="s">
        <v>11023</v>
      </c>
      <c r="Y956" t="s">
        <v>11023</v>
      </c>
      <c r="Z956" t="str">
        <f>_xlfn.XLOOKUP(Employees[[#This Row],[Education]], EdLevel[EducationLevelID], EdLevel[EducationLevel])</f>
        <v xml:space="preserve">Masters </v>
      </c>
      <c r="AA956">
        <f>IF(Employees[[#This Row],[Attrition]] = "Yes", 1, 0)</f>
        <v>0</v>
      </c>
      <c r="AB956" t="str" cm="1">
        <f t="array" ref="AB956">_xlfn.IFS(Employees[[#This Row],[Age]]&lt;30, "20-29", Employees[[#This Row],[Age]]&lt;40, "30-39", Employees[[#This Row],[Age]]&lt;50, "40-49", "TRUE", "50+")</f>
        <v>20-29</v>
      </c>
    </row>
    <row r="957" spans="1:28">
      <c r="A957" t="s">
        <v>2843</v>
      </c>
      <c r="B957" t="s">
        <v>2844</v>
      </c>
      <c r="C957" t="s">
        <v>2845</v>
      </c>
      <c r="D957" t="s">
        <v>26</v>
      </c>
      <c r="E957">
        <v>28</v>
      </c>
      <c r="F957" t="s">
        <v>84</v>
      </c>
      <c r="G957" t="s">
        <v>54</v>
      </c>
      <c r="H957">
        <v>31</v>
      </c>
      <c r="I957" t="s">
        <v>39</v>
      </c>
      <c r="J957" t="s">
        <v>30</v>
      </c>
      <c r="K957">
        <v>1</v>
      </c>
      <c r="L957" t="s">
        <v>77</v>
      </c>
      <c r="M957" t="s">
        <v>105</v>
      </c>
      <c r="N957" t="s">
        <v>40</v>
      </c>
      <c r="O957">
        <v>176282</v>
      </c>
      <c r="P957">
        <v>0</v>
      </c>
      <c r="Q957" t="s">
        <v>41</v>
      </c>
      <c r="R957" s="1">
        <v>43578</v>
      </c>
      <c r="S957" t="s">
        <v>41</v>
      </c>
      <c r="T957">
        <v>2</v>
      </c>
      <c r="U957">
        <v>0</v>
      </c>
      <c r="V957">
        <v>1</v>
      </c>
      <c r="W957">
        <v>0</v>
      </c>
      <c r="X957" t="s">
        <v>11020</v>
      </c>
      <c r="Y957" t="s">
        <v>11020</v>
      </c>
      <c r="Z957" t="str">
        <f>_xlfn.XLOOKUP(Employees[[#This Row],[Education]], EdLevel[EducationLevelID], EdLevel[EducationLevel])</f>
        <v>No Formal Qualifications</v>
      </c>
      <c r="AA957">
        <f>IF(Employees[[#This Row],[Attrition]] = "Yes", 1, 0)</f>
        <v>1</v>
      </c>
      <c r="AB957" t="str" cm="1">
        <f t="array" ref="AB957">_xlfn.IFS(Employees[[#This Row],[Age]]&lt;30, "20-29", Employees[[#This Row],[Age]]&lt;40, "30-39", Employees[[#This Row],[Age]]&lt;50, "40-49", "TRUE", "50+")</f>
        <v>20-29</v>
      </c>
    </row>
    <row r="958" spans="1:28">
      <c r="A958" t="s">
        <v>2846</v>
      </c>
      <c r="B958" t="s">
        <v>2847</v>
      </c>
      <c r="C958" t="s">
        <v>2848</v>
      </c>
      <c r="D958" t="s">
        <v>38</v>
      </c>
      <c r="E958">
        <v>23</v>
      </c>
      <c r="F958" t="s">
        <v>27</v>
      </c>
      <c r="G958" t="s">
        <v>54</v>
      </c>
      <c r="H958">
        <v>30</v>
      </c>
      <c r="I958" t="s">
        <v>39</v>
      </c>
      <c r="J958" t="s">
        <v>30</v>
      </c>
      <c r="K958">
        <v>2</v>
      </c>
      <c r="L958" t="s">
        <v>72</v>
      </c>
      <c r="M958" t="s">
        <v>85</v>
      </c>
      <c r="N958" t="s">
        <v>40</v>
      </c>
      <c r="O958">
        <v>24518</v>
      </c>
      <c r="P958">
        <v>0</v>
      </c>
      <c r="Q958" t="s">
        <v>34</v>
      </c>
      <c r="R958" s="1">
        <v>43580</v>
      </c>
      <c r="S958" t="s">
        <v>34</v>
      </c>
      <c r="T958">
        <v>3</v>
      </c>
      <c r="U958">
        <v>2</v>
      </c>
      <c r="V958">
        <v>2</v>
      </c>
      <c r="W958">
        <v>3</v>
      </c>
      <c r="X958" t="s">
        <v>11021</v>
      </c>
      <c r="Y958" t="s">
        <v>11021</v>
      </c>
      <c r="Z958" t="str">
        <f>_xlfn.XLOOKUP(Employees[[#This Row],[Education]], EdLevel[EducationLevelID], EdLevel[EducationLevel])</f>
        <v xml:space="preserve">High School </v>
      </c>
      <c r="AA958">
        <f>IF(Employees[[#This Row],[Attrition]] = "Yes", 1, 0)</f>
        <v>0</v>
      </c>
      <c r="AB958" t="str" cm="1">
        <f t="array" ref="AB958">_xlfn.IFS(Employees[[#This Row],[Age]]&lt;30, "20-29", Employees[[#This Row],[Age]]&lt;40, "30-39", Employees[[#This Row],[Age]]&lt;50, "40-49", "TRUE", "50+")</f>
        <v>20-29</v>
      </c>
    </row>
    <row r="959" spans="1:28">
      <c r="A959" t="s">
        <v>2849</v>
      </c>
      <c r="B959" t="s">
        <v>2390</v>
      </c>
      <c r="C959" t="s">
        <v>2850</v>
      </c>
      <c r="D959" t="s">
        <v>38</v>
      </c>
      <c r="E959">
        <v>33</v>
      </c>
      <c r="F959" t="s">
        <v>84</v>
      </c>
      <c r="G959" t="s">
        <v>54</v>
      </c>
      <c r="H959">
        <v>32</v>
      </c>
      <c r="I959" t="s">
        <v>39</v>
      </c>
      <c r="J959" t="s">
        <v>71</v>
      </c>
      <c r="K959">
        <v>1</v>
      </c>
      <c r="L959" t="s">
        <v>55</v>
      </c>
      <c r="M959" t="s">
        <v>93</v>
      </c>
      <c r="N959" t="s">
        <v>49</v>
      </c>
      <c r="O959">
        <v>188180</v>
      </c>
      <c r="P959">
        <v>0</v>
      </c>
      <c r="Q959" t="s">
        <v>34</v>
      </c>
      <c r="R959" s="1">
        <v>43582</v>
      </c>
      <c r="S959" t="s">
        <v>34</v>
      </c>
      <c r="T959">
        <v>3</v>
      </c>
      <c r="U959">
        <v>1</v>
      </c>
      <c r="V959">
        <v>3</v>
      </c>
      <c r="W959">
        <v>3</v>
      </c>
      <c r="X959" t="s">
        <v>11020</v>
      </c>
      <c r="Y959" t="s">
        <v>11020</v>
      </c>
      <c r="Z959" t="str">
        <f>_xlfn.XLOOKUP(Employees[[#This Row],[Education]], EdLevel[EducationLevelID], EdLevel[EducationLevel])</f>
        <v>No Formal Qualifications</v>
      </c>
      <c r="AA959">
        <f>IF(Employees[[#This Row],[Attrition]] = "Yes", 1, 0)</f>
        <v>0</v>
      </c>
      <c r="AB959" t="str" cm="1">
        <f t="array" ref="AB959">_xlfn.IFS(Employees[[#This Row],[Age]]&lt;30, "20-29", Employees[[#This Row],[Age]]&lt;40, "30-39", Employees[[#This Row],[Age]]&lt;50, "40-49", "TRUE", "50+")</f>
        <v>30-39</v>
      </c>
    </row>
    <row r="960" spans="1:28">
      <c r="A960" t="s">
        <v>2851</v>
      </c>
      <c r="B960" t="s">
        <v>2852</v>
      </c>
      <c r="C960" t="s">
        <v>2853</v>
      </c>
      <c r="D960" t="s">
        <v>26</v>
      </c>
      <c r="E960">
        <v>22</v>
      </c>
      <c r="F960" t="s">
        <v>27</v>
      </c>
      <c r="G960" t="s">
        <v>54</v>
      </c>
      <c r="H960">
        <v>21</v>
      </c>
      <c r="I960" t="s">
        <v>29</v>
      </c>
      <c r="J960" t="s">
        <v>71</v>
      </c>
      <c r="K960">
        <v>3</v>
      </c>
      <c r="L960" t="s">
        <v>55</v>
      </c>
      <c r="M960" t="s">
        <v>101</v>
      </c>
      <c r="N960" t="s">
        <v>40</v>
      </c>
      <c r="O960">
        <v>27097</v>
      </c>
      <c r="P960">
        <v>0</v>
      </c>
      <c r="Q960" t="s">
        <v>34</v>
      </c>
      <c r="R960" s="1">
        <v>43583</v>
      </c>
      <c r="S960" t="s">
        <v>34</v>
      </c>
      <c r="T960">
        <v>3</v>
      </c>
      <c r="U960">
        <v>3</v>
      </c>
      <c r="V960">
        <v>3</v>
      </c>
      <c r="W960">
        <v>1</v>
      </c>
      <c r="X960" t="s">
        <v>11022</v>
      </c>
      <c r="Y960" t="s">
        <v>11022</v>
      </c>
      <c r="Z960" t="str">
        <f>_xlfn.XLOOKUP(Employees[[#This Row],[Education]], EdLevel[EducationLevelID], EdLevel[EducationLevel])</f>
        <v xml:space="preserve">Bachelors </v>
      </c>
      <c r="AA960">
        <f>IF(Employees[[#This Row],[Attrition]] = "Yes", 1, 0)</f>
        <v>0</v>
      </c>
      <c r="AB960" t="str" cm="1">
        <f t="array" ref="AB960">_xlfn.IFS(Employees[[#This Row],[Age]]&lt;30, "20-29", Employees[[#This Row],[Age]]&lt;40, "30-39", Employees[[#This Row],[Age]]&lt;50, "40-49", "TRUE", "50+")</f>
        <v>20-29</v>
      </c>
    </row>
    <row r="961" spans="1:28">
      <c r="A961" t="s">
        <v>2854</v>
      </c>
      <c r="B961" t="s">
        <v>491</v>
      </c>
      <c r="C961" t="s">
        <v>2855</v>
      </c>
      <c r="D961" t="s">
        <v>26</v>
      </c>
      <c r="E961">
        <v>29</v>
      </c>
      <c r="F961" t="s">
        <v>27</v>
      </c>
      <c r="G961" t="s">
        <v>28</v>
      </c>
      <c r="H961">
        <v>8</v>
      </c>
      <c r="I961" t="s">
        <v>65</v>
      </c>
      <c r="J961" t="s">
        <v>30</v>
      </c>
      <c r="K961">
        <v>3</v>
      </c>
      <c r="L961" t="s">
        <v>31</v>
      </c>
      <c r="M961" t="s">
        <v>32</v>
      </c>
      <c r="N961" t="s">
        <v>49</v>
      </c>
      <c r="O961">
        <v>163950</v>
      </c>
      <c r="P961">
        <v>1</v>
      </c>
      <c r="Q961" t="s">
        <v>34</v>
      </c>
      <c r="R961" s="1">
        <v>43585</v>
      </c>
      <c r="S961" t="s">
        <v>34</v>
      </c>
      <c r="T961">
        <v>3</v>
      </c>
      <c r="U961">
        <v>3</v>
      </c>
      <c r="V961">
        <v>3</v>
      </c>
      <c r="W961">
        <v>0</v>
      </c>
      <c r="X961" t="s">
        <v>11022</v>
      </c>
      <c r="Y961" t="s">
        <v>11022</v>
      </c>
      <c r="Z961" t="str">
        <f>_xlfn.XLOOKUP(Employees[[#This Row],[Education]], EdLevel[EducationLevelID], EdLevel[EducationLevel])</f>
        <v xml:space="preserve">Bachelors </v>
      </c>
      <c r="AA961">
        <f>IF(Employees[[#This Row],[Attrition]] = "Yes", 1, 0)</f>
        <v>0</v>
      </c>
      <c r="AB961" t="str" cm="1">
        <f t="array" ref="AB961">_xlfn.IFS(Employees[[#This Row],[Age]]&lt;30, "20-29", Employees[[#This Row],[Age]]&lt;40, "30-39", Employees[[#This Row],[Age]]&lt;50, "40-49", "TRUE", "50+")</f>
        <v>20-29</v>
      </c>
    </row>
    <row r="962" spans="1:28">
      <c r="A962" t="s">
        <v>2856</v>
      </c>
      <c r="B962" t="s">
        <v>2857</v>
      </c>
      <c r="C962" t="s">
        <v>2858</v>
      </c>
      <c r="D962" t="s">
        <v>38</v>
      </c>
      <c r="E962">
        <v>24</v>
      </c>
      <c r="F962" t="s">
        <v>84</v>
      </c>
      <c r="G962" t="s">
        <v>54</v>
      </c>
      <c r="H962">
        <v>34</v>
      </c>
      <c r="I962" t="s">
        <v>65</v>
      </c>
      <c r="J962" t="s">
        <v>71</v>
      </c>
      <c r="K962">
        <v>2</v>
      </c>
      <c r="L962" t="s">
        <v>55</v>
      </c>
      <c r="M962" t="s">
        <v>101</v>
      </c>
      <c r="N962" t="s">
        <v>40</v>
      </c>
      <c r="O962">
        <v>28484</v>
      </c>
      <c r="P962">
        <v>0</v>
      </c>
      <c r="Q962" t="s">
        <v>41</v>
      </c>
      <c r="R962" s="1">
        <v>43586</v>
      </c>
      <c r="S962" t="s">
        <v>41</v>
      </c>
      <c r="T962">
        <v>1</v>
      </c>
      <c r="U962">
        <v>1</v>
      </c>
      <c r="V962">
        <v>1</v>
      </c>
      <c r="W962">
        <v>1</v>
      </c>
      <c r="X962" t="s">
        <v>11021</v>
      </c>
      <c r="Y962" t="s">
        <v>11021</v>
      </c>
      <c r="Z962" t="str">
        <f>_xlfn.XLOOKUP(Employees[[#This Row],[Education]], EdLevel[EducationLevelID], EdLevel[EducationLevel])</f>
        <v xml:space="preserve">High School </v>
      </c>
      <c r="AA962">
        <f>IF(Employees[[#This Row],[Attrition]] = "Yes", 1, 0)</f>
        <v>1</v>
      </c>
      <c r="AB962" t="str" cm="1">
        <f t="array" ref="AB962">_xlfn.IFS(Employees[[#This Row],[Age]]&lt;30, "20-29", Employees[[#This Row],[Age]]&lt;40, "30-39", Employees[[#This Row],[Age]]&lt;50, "40-49", "TRUE", "50+")</f>
        <v>20-29</v>
      </c>
    </row>
    <row r="963" spans="1:28">
      <c r="A963" t="s">
        <v>2859</v>
      </c>
      <c r="B963" t="s">
        <v>2860</v>
      </c>
      <c r="C963" t="s">
        <v>2861</v>
      </c>
      <c r="D963" t="s">
        <v>38</v>
      </c>
      <c r="E963">
        <v>35</v>
      </c>
      <c r="F963" t="s">
        <v>27</v>
      </c>
      <c r="G963" t="s">
        <v>54</v>
      </c>
      <c r="H963">
        <v>29</v>
      </c>
      <c r="I963" t="s">
        <v>39</v>
      </c>
      <c r="J963" t="s">
        <v>66</v>
      </c>
      <c r="K963">
        <v>3</v>
      </c>
      <c r="L963" t="s">
        <v>72</v>
      </c>
      <c r="M963" t="s">
        <v>56</v>
      </c>
      <c r="N963" t="s">
        <v>33</v>
      </c>
      <c r="O963">
        <v>519361</v>
      </c>
      <c r="P963">
        <v>1</v>
      </c>
      <c r="Q963" t="s">
        <v>41</v>
      </c>
      <c r="R963" s="1">
        <v>43589</v>
      </c>
      <c r="S963" t="s">
        <v>34</v>
      </c>
      <c r="T963">
        <v>3</v>
      </c>
      <c r="U963">
        <v>2</v>
      </c>
      <c r="V963">
        <v>3</v>
      </c>
      <c r="W963">
        <v>1</v>
      </c>
      <c r="X963" t="s">
        <v>11022</v>
      </c>
      <c r="Y963" t="s">
        <v>11022</v>
      </c>
      <c r="Z963" t="str">
        <f>_xlfn.XLOOKUP(Employees[[#This Row],[Education]], EdLevel[EducationLevelID], EdLevel[EducationLevel])</f>
        <v xml:space="preserve">Bachelors </v>
      </c>
      <c r="AA963">
        <f>IF(Employees[[#This Row],[Attrition]] = "Yes", 1, 0)</f>
        <v>0</v>
      </c>
      <c r="AB963" t="str" cm="1">
        <f t="array" ref="AB963">_xlfn.IFS(Employees[[#This Row],[Age]]&lt;30, "20-29", Employees[[#This Row],[Age]]&lt;40, "30-39", Employees[[#This Row],[Age]]&lt;50, "40-49", "TRUE", "50+")</f>
        <v>30-39</v>
      </c>
    </row>
    <row r="964" spans="1:28">
      <c r="A964" t="s">
        <v>2862</v>
      </c>
      <c r="B964" t="s">
        <v>1253</v>
      </c>
      <c r="C964" t="s">
        <v>2863</v>
      </c>
      <c r="D964" t="s">
        <v>38</v>
      </c>
      <c r="E964">
        <v>22</v>
      </c>
      <c r="F964" t="s">
        <v>70</v>
      </c>
      <c r="G964" t="s">
        <v>54</v>
      </c>
      <c r="H964">
        <v>25</v>
      </c>
      <c r="I964" t="s">
        <v>39</v>
      </c>
      <c r="J964" t="s">
        <v>30</v>
      </c>
      <c r="K964">
        <v>4</v>
      </c>
      <c r="L964" t="s">
        <v>178</v>
      </c>
      <c r="M964" t="s">
        <v>101</v>
      </c>
      <c r="N964" t="s">
        <v>40</v>
      </c>
      <c r="O964">
        <v>31386</v>
      </c>
      <c r="P964">
        <v>0</v>
      </c>
      <c r="Q964" t="s">
        <v>34</v>
      </c>
      <c r="R964" s="1">
        <v>43598</v>
      </c>
      <c r="S964" t="s">
        <v>34</v>
      </c>
      <c r="T964">
        <v>3</v>
      </c>
      <c r="U964">
        <v>2</v>
      </c>
      <c r="V964">
        <v>2</v>
      </c>
      <c r="W964">
        <v>1</v>
      </c>
      <c r="X964" t="s">
        <v>11023</v>
      </c>
      <c r="Y964" t="s">
        <v>11023</v>
      </c>
      <c r="Z964" t="str">
        <f>_xlfn.XLOOKUP(Employees[[#This Row],[Education]], EdLevel[EducationLevelID], EdLevel[EducationLevel])</f>
        <v xml:space="preserve">Masters </v>
      </c>
      <c r="AA964">
        <f>IF(Employees[[#This Row],[Attrition]] = "Yes", 1, 0)</f>
        <v>0</v>
      </c>
      <c r="AB964" t="str" cm="1">
        <f t="array" ref="AB964">_xlfn.IFS(Employees[[#This Row],[Age]]&lt;30, "20-29", Employees[[#This Row],[Age]]&lt;40, "30-39", Employees[[#This Row],[Age]]&lt;50, "40-49", "TRUE", "50+")</f>
        <v>20-29</v>
      </c>
    </row>
    <row r="965" spans="1:28">
      <c r="A965" t="s">
        <v>2864</v>
      </c>
      <c r="B965" t="s">
        <v>2865</v>
      </c>
      <c r="C965" t="s">
        <v>2866</v>
      </c>
      <c r="D965" t="s">
        <v>38</v>
      </c>
      <c r="E965">
        <v>21</v>
      </c>
      <c r="F965" t="s">
        <v>84</v>
      </c>
      <c r="G965" t="s">
        <v>54</v>
      </c>
      <c r="H965">
        <v>37</v>
      </c>
      <c r="I965" t="s">
        <v>39</v>
      </c>
      <c r="J965" t="s">
        <v>137</v>
      </c>
      <c r="K965">
        <v>4</v>
      </c>
      <c r="L965" t="s">
        <v>77</v>
      </c>
      <c r="M965" t="s">
        <v>101</v>
      </c>
      <c r="N965" t="s">
        <v>49</v>
      </c>
      <c r="O965">
        <v>32679</v>
      </c>
      <c r="P965">
        <v>1</v>
      </c>
      <c r="Q965" t="s">
        <v>34</v>
      </c>
      <c r="R965" s="1">
        <v>43599</v>
      </c>
      <c r="S965" t="s">
        <v>34</v>
      </c>
      <c r="T965">
        <v>3</v>
      </c>
      <c r="U965">
        <v>3</v>
      </c>
      <c r="V965">
        <v>3</v>
      </c>
      <c r="W965">
        <v>2</v>
      </c>
      <c r="X965" t="s">
        <v>11023</v>
      </c>
      <c r="Y965" t="s">
        <v>11023</v>
      </c>
      <c r="Z965" t="str">
        <f>_xlfn.XLOOKUP(Employees[[#This Row],[Education]], EdLevel[EducationLevelID], EdLevel[EducationLevel])</f>
        <v xml:space="preserve">Masters </v>
      </c>
      <c r="AA965">
        <f>IF(Employees[[#This Row],[Attrition]] = "Yes", 1, 0)</f>
        <v>0</v>
      </c>
      <c r="AB965" t="str" cm="1">
        <f t="array" ref="AB965">_xlfn.IFS(Employees[[#This Row],[Age]]&lt;30, "20-29", Employees[[#This Row],[Age]]&lt;40, "30-39", Employees[[#This Row],[Age]]&lt;50, "40-49", "TRUE", "50+")</f>
        <v>20-29</v>
      </c>
    </row>
    <row r="966" spans="1:28">
      <c r="A966" t="s">
        <v>2867</v>
      </c>
      <c r="B966" t="s">
        <v>2868</v>
      </c>
      <c r="C966" t="s">
        <v>2869</v>
      </c>
      <c r="D966" t="s">
        <v>53</v>
      </c>
      <c r="E966">
        <v>35</v>
      </c>
      <c r="F966" t="s">
        <v>27</v>
      </c>
      <c r="G966" t="s">
        <v>54</v>
      </c>
      <c r="H966">
        <v>19</v>
      </c>
      <c r="I966" t="s">
        <v>39</v>
      </c>
      <c r="J966" t="s">
        <v>137</v>
      </c>
      <c r="K966">
        <v>2</v>
      </c>
      <c r="L966" t="s">
        <v>72</v>
      </c>
      <c r="M966" t="s">
        <v>105</v>
      </c>
      <c r="N966" t="s">
        <v>49</v>
      </c>
      <c r="O966">
        <v>187372</v>
      </c>
      <c r="P966">
        <v>0</v>
      </c>
      <c r="Q966" t="s">
        <v>41</v>
      </c>
      <c r="R966" s="1">
        <v>43601</v>
      </c>
      <c r="S966" t="s">
        <v>34</v>
      </c>
      <c r="T966">
        <v>3</v>
      </c>
      <c r="U966">
        <v>1</v>
      </c>
      <c r="V966">
        <v>1</v>
      </c>
      <c r="W966">
        <v>2</v>
      </c>
      <c r="X966" t="s">
        <v>11021</v>
      </c>
      <c r="Y966" t="s">
        <v>11021</v>
      </c>
      <c r="Z966" t="str">
        <f>_xlfn.XLOOKUP(Employees[[#This Row],[Education]], EdLevel[EducationLevelID], EdLevel[EducationLevel])</f>
        <v xml:space="preserve">High School </v>
      </c>
      <c r="AA966">
        <f>IF(Employees[[#This Row],[Attrition]] = "Yes", 1, 0)</f>
        <v>0</v>
      </c>
      <c r="AB966" t="str" cm="1">
        <f t="array" ref="AB966">_xlfn.IFS(Employees[[#This Row],[Age]]&lt;30, "20-29", Employees[[#This Row],[Age]]&lt;40, "30-39", Employees[[#This Row],[Age]]&lt;50, "40-49", "TRUE", "50+")</f>
        <v>30-39</v>
      </c>
    </row>
    <row r="967" spans="1:28">
      <c r="A967" t="s">
        <v>2870</v>
      </c>
      <c r="B967" t="s">
        <v>2871</v>
      </c>
      <c r="C967" t="s">
        <v>2872</v>
      </c>
      <c r="D967" t="s">
        <v>26</v>
      </c>
      <c r="E967">
        <v>21</v>
      </c>
      <c r="F967" t="s">
        <v>27</v>
      </c>
      <c r="G967" t="s">
        <v>54</v>
      </c>
      <c r="H967">
        <v>44</v>
      </c>
      <c r="I967" t="s">
        <v>65</v>
      </c>
      <c r="J967" t="s">
        <v>71</v>
      </c>
      <c r="K967">
        <v>4</v>
      </c>
      <c r="L967" t="s">
        <v>55</v>
      </c>
      <c r="M967" t="s">
        <v>101</v>
      </c>
      <c r="N967" t="s">
        <v>49</v>
      </c>
      <c r="O967">
        <v>46366</v>
      </c>
      <c r="P967">
        <v>1</v>
      </c>
      <c r="Q967" t="s">
        <v>34</v>
      </c>
      <c r="R967" s="1">
        <v>43601</v>
      </c>
      <c r="S967" t="s">
        <v>34</v>
      </c>
      <c r="T967">
        <v>3</v>
      </c>
      <c r="U967">
        <v>0</v>
      </c>
      <c r="V967">
        <v>3</v>
      </c>
      <c r="W967">
        <v>0</v>
      </c>
      <c r="X967" t="s">
        <v>11023</v>
      </c>
      <c r="Y967" t="s">
        <v>11023</v>
      </c>
      <c r="Z967" t="str">
        <f>_xlfn.XLOOKUP(Employees[[#This Row],[Education]], EdLevel[EducationLevelID], EdLevel[EducationLevel])</f>
        <v xml:space="preserve">Masters </v>
      </c>
      <c r="AA967">
        <f>IF(Employees[[#This Row],[Attrition]] = "Yes", 1, 0)</f>
        <v>0</v>
      </c>
      <c r="AB967" t="str" cm="1">
        <f t="array" ref="AB967">_xlfn.IFS(Employees[[#This Row],[Age]]&lt;30, "20-29", Employees[[#This Row],[Age]]&lt;40, "30-39", Employees[[#This Row],[Age]]&lt;50, "40-49", "TRUE", "50+")</f>
        <v>20-29</v>
      </c>
    </row>
    <row r="968" spans="1:28">
      <c r="A968" t="s">
        <v>2873</v>
      </c>
      <c r="B968" t="s">
        <v>2874</v>
      </c>
      <c r="C968" t="s">
        <v>2875</v>
      </c>
      <c r="D968" t="s">
        <v>38</v>
      </c>
      <c r="E968">
        <v>21</v>
      </c>
      <c r="F968" t="s">
        <v>27</v>
      </c>
      <c r="G968" t="s">
        <v>28</v>
      </c>
      <c r="H968">
        <v>21</v>
      </c>
      <c r="I968" t="s">
        <v>29</v>
      </c>
      <c r="J968" t="s">
        <v>71</v>
      </c>
      <c r="K968">
        <v>4</v>
      </c>
      <c r="L968" t="s">
        <v>47</v>
      </c>
      <c r="M968" t="s">
        <v>150</v>
      </c>
      <c r="N968" t="s">
        <v>49</v>
      </c>
      <c r="O968">
        <v>33641</v>
      </c>
      <c r="P968">
        <v>2</v>
      </c>
      <c r="Q968" t="s">
        <v>34</v>
      </c>
      <c r="R968" s="1">
        <v>43605</v>
      </c>
      <c r="S968" t="s">
        <v>34</v>
      </c>
      <c r="T968">
        <v>3</v>
      </c>
      <c r="U968">
        <v>0</v>
      </c>
      <c r="V968">
        <v>3</v>
      </c>
      <c r="W968">
        <v>1</v>
      </c>
      <c r="X968" t="s">
        <v>11023</v>
      </c>
      <c r="Y968" t="s">
        <v>11023</v>
      </c>
      <c r="Z968" t="str">
        <f>_xlfn.XLOOKUP(Employees[[#This Row],[Education]], EdLevel[EducationLevelID], EdLevel[EducationLevel])</f>
        <v xml:space="preserve">Masters </v>
      </c>
      <c r="AA968">
        <f>IF(Employees[[#This Row],[Attrition]] = "Yes", 1, 0)</f>
        <v>0</v>
      </c>
      <c r="AB968" t="str" cm="1">
        <f t="array" ref="AB968">_xlfn.IFS(Employees[[#This Row],[Age]]&lt;30, "20-29", Employees[[#This Row],[Age]]&lt;40, "30-39", Employees[[#This Row],[Age]]&lt;50, "40-49", "TRUE", "50+")</f>
        <v>20-29</v>
      </c>
    </row>
    <row r="969" spans="1:28">
      <c r="A969" t="s">
        <v>2876</v>
      </c>
      <c r="B969" t="s">
        <v>2877</v>
      </c>
      <c r="C969" t="s">
        <v>2878</v>
      </c>
      <c r="D969" t="s">
        <v>38</v>
      </c>
      <c r="E969">
        <v>24</v>
      </c>
      <c r="F969" t="s">
        <v>70</v>
      </c>
      <c r="G969" t="s">
        <v>54</v>
      </c>
      <c r="H969">
        <v>42</v>
      </c>
      <c r="I969" t="s">
        <v>39</v>
      </c>
      <c r="J969" t="s">
        <v>30</v>
      </c>
      <c r="K969">
        <v>4</v>
      </c>
      <c r="L969" t="s">
        <v>55</v>
      </c>
      <c r="M969" t="s">
        <v>105</v>
      </c>
      <c r="N969" t="s">
        <v>49</v>
      </c>
      <c r="O969">
        <v>58717</v>
      </c>
      <c r="P969">
        <v>1</v>
      </c>
      <c r="Q969" t="s">
        <v>34</v>
      </c>
      <c r="R969" s="1">
        <v>43605</v>
      </c>
      <c r="S969" t="s">
        <v>34</v>
      </c>
      <c r="T969">
        <v>3</v>
      </c>
      <c r="U969">
        <v>0</v>
      </c>
      <c r="V969">
        <v>2</v>
      </c>
      <c r="W969">
        <v>1</v>
      </c>
      <c r="X969" t="s">
        <v>11023</v>
      </c>
      <c r="Y969" t="s">
        <v>11023</v>
      </c>
      <c r="Z969" t="str">
        <f>_xlfn.XLOOKUP(Employees[[#This Row],[Education]], EdLevel[EducationLevelID], EdLevel[EducationLevel])</f>
        <v xml:space="preserve">Masters </v>
      </c>
      <c r="AA969">
        <f>IF(Employees[[#This Row],[Attrition]] = "Yes", 1, 0)</f>
        <v>0</v>
      </c>
      <c r="AB969" t="str" cm="1">
        <f t="array" ref="AB969">_xlfn.IFS(Employees[[#This Row],[Age]]&lt;30, "20-29", Employees[[#This Row],[Age]]&lt;40, "30-39", Employees[[#This Row],[Age]]&lt;50, "40-49", "TRUE", "50+")</f>
        <v>20-29</v>
      </c>
    </row>
    <row r="970" spans="1:28">
      <c r="A970" t="s">
        <v>2879</v>
      </c>
      <c r="B970" t="s">
        <v>2880</v>
      </c>
      <c r="C970" t="s">
        <v>2881</v>
      </c>
      <c r="D970" t="s">
        <v>26</v>
      </c>
      <c r="E970">
        <v>21</v>
      </c>
      <c r="F970" t="s">
        <v>27</v>
      </c>
      <c r="G970" t="s">
        <v>54</v>
      </c>
      <c r="H970">
        <v>8</v>
      </c>
      <c r="I970" t="s">
        <v>39</v>
      </c>
      <c r="J970" t="s">
        <v>137</v>
      </c>
      <c r="K970">
        <v>3</v>
      </c>
      <c r="L970" t="s">
        <v>178</v>
      </c>
      <c r="M970" t="s">
        <v>85</v>
      </c>
      <c r="N970" t="s">
        <v>40</v>
      </c>
      <c r="O970">
        <v>36534</v>
      </c>
      <c r="P970">
        <v>0</v>
      </c>
      <c r="Q970" t="s">
        <v>34</v>
      </c>
      <c r="R970" s="1">
        <v>43609</v>
      </c>
      <c r="S970" t="s">
        <v>41</v>
      </c>
      <c r="T970">
        <v>0</v>
      </c>
      <c r="U970">
        <v>0</v>
      </c>
      <c r="V970">
        <v>0</v>
      </c>
      <c r="W970">
        <v>0</v>
      </c>
      <c r="X970" t="s">
        <v>11022</v>
      </c>
      <c r="Y970" t="s">
        <v>11022</v>
      </c>
      <c r="Z970" t="str">
        <f>_xlfn.XLOOKUP(Employees[[#This Row],[Education]], EdLevel[EducationLevelID], EdLevel[EducationLevel])</f>
        <v xml:space="preserve">Bachelors </v>
      </c>
      <c r="AA970">
        <f>IF(Employees[[#This Row],[Attrition]] = "Yes", 1, 0)</f>
        <v>1</v>
      </c>
      <c r="AB970" t="str" cm="1">
        <f t="array" ref="AB970">_xlfn.IFS(Employees[[#This Row],[Age]]&lt;30, "20-29", Employees[[#This Row],[Age]]&lt;40, "30-39", Employees[[#This Row],[Age]]&lt;50, "40-49", "TRUE", "50+")</f>
        <v>20-29</v>
      </c>
    </row>
    <row r="971" spans="1:28">
      <c r="A971" t="s">
        <v>2882</v>
      </c>
      <c r="B971" t="s">
        <v>2883</v>
      </c>
      <c r="C971" t="s">
        <v>2884</v>
      </c>
      <c r="D971" t="s">
        <v>26</v>
      </c>
      <c r="E971">
        <v>41</v>
      </c>
      <c r="F971" t="s">
        <v>27</v>
      </c>
      <c r="G971" t="s">
        <v>54</v>
      </c>
      <c r="H971">
        <v>22</v>
      </c>
      <c r="I971" t="s">
        <v>39</v>
      </c>
      <c r="J971" t="s">
        <v>30</v>
      </c>
      <c r="K971">
        <v>3</v>
      </c>
      <c r="L971" t="s">
        <v>55</v>
      </c>
      <c r="M971" t="s">
        <v>93</v>
      </c>
      <c r="N971" t="s">
        <v>40</v>
      </c>
      <c r="O971">
        <v>235812</v>
      </c>
      <c r="P971">
        <v>0</v>
      </c>
      <c r="Q971" t="s">
        <v>34</v>
      </c>
      <c r="R971" s="1">
        <v>43612</v>
      </c>
      <c r="S971" t="s">
        <v>34</v>
      </c>
      <c r="T971">
        <v>3</v>
      </c>
      <c r="U971">
        <v>1</v>
      </c>
      <c r="V971">
        <v>2</v>
      </c>
      <c r="W971">
        <v>2</v>
      </c>
      <c r="X971" t="s">
        <v>11022</v>
      </c>
      <c r="Y971" t="s">
        <v>11022</v>
      </c>
      <c r="Z971" t="str">
        <f>_xlfn.XLOOKUP(Employees[[#This Row],[Education]], EdLevel[EducationLevelID], EdLevel[EducationLevel])</f>
        <v xml:space="preserve">Bachelors </v>
      </c>
      <c r="AA971">
        <f>IF(Employees[[#This Row],[Attrition]] = "Yes", 1, 0)</f>
        <v>0</v>
      </c>
      <c r="AB971" t="str" cm="1">
        <f t="array" ref="AB971">_xlfn.IFS(Employees[[#This Row],[Age]]&lt;30, "20-29", Employees[[#This Row],[Age]]&lt;40, "30-39", Employees[[#This Row],[Age]]&lt;50, "40-49", "TRUE", "50+")</f>
        <v>40-49</v>
      </c>
    </row>
    <row r="972" spans="1:28">
      <c r="A972" t="s">
        <v>2885</v>
      </c>
      <c r="B972" t="s">
        <v>2886</v>
      </c>
      <c r="C972" t="s">
        <v>2887</v>
      </c>
      <c r="D972" t="s">
        <v>26</v>
      </c>
      <c r="E972">
        <v>24</v>
      </c>
      <c r="F972" t="s">
        <v>27</v>
      </c>
      <c r="G972" t="s">
        <v>28</v>
      </c>
      <c r="H972">
        <v>16</v>
      </c>
      <c r="I972" t="s">
        <v>39</v>
      </c>
      <c r="J972" t="s">
        <v>30</v>
      </c>
      <c r="K972">
        <v>3</v>
      </c>
      <c r="L972" t="s">
        <v>121</v>
      </c>
      <c r="M972" t="s">
        <v>150</v>
      </c>
      <c r="N972" t="s">
        <v>40</v>
      </c>
      <c r="O972">
        <v>25102</v>
      </c>
      <c r="P972">
        <v>0</v>
      </c>
      <c r="Q972" t="s">
        <v>34</v>
      </c>
      <c r="R972" s="1">
        <v>43621</v>
      </c>
      <c r="S972" t="s">
        <v>41</v>
      </c>
      <c r="T972">
        <v>1</v>
      </c>
      <c r="U972">
        <v>0</v>
      </c>
      <c r="V972">
        <v>0</v>
      </c>
      <c r="W972">
        <v>0</v>
      </c>
      <c r="X972" t="s">
        <v>11022</v>
      </c>
      <c r="Y972" t="s">
        <v>11022</v>
      </c>
      <c r="Z972" t="str">
        <f>_xlfn.XLOOKUP(Employees[[#This Row],[Education]], EdLevel[EducationLevelID], EdLevel[EducationLevel])</f>
        <v xml:space="preserve">Bachelors </v>
      </c>
      <c r="AA972">
        <f>IF(Employees[[#This Row],[Attrition]] = "Yes", 1, 0)</f>
        <v>1</v>
      </c>
      <c r="AB972" t="str" cm="1">
        <f t="array" ref="AB972">_xlfn.IFS(Employees[[#This Row],[Age]]&lt;30, "20-29", Employees[[#This Row],[Age]]&lt;40, "30-39", Employees[[#This Row],[Age]]&lt;50, "40-49", "TRUE", "50+")</f>
        <v>20-29</v>
      </c>
    </row>
    <row r="973" spans="1:28">
      <c r="A973" t="s">
        <v>2888</v>
      </c>
      <c r="B973" t="s">
        <v>2889</v>
      </c>
      <c r="C973" t="s">
        <v>2890</v>
      </c>
      <c r="D973" t="s">
        <v>38</v>
      </c>
      <c r="E973">
        <v>21</v>
      </c>
      <c r="F973" t="s">
        <v>27</v>
      </c>
      <c r="G973" t="s">
        <v>54</v>
      </c>
      <c r="H973">
        <v>43</v>
      </c>
      <c r="I973" t="s">
        <v>39</v>
      </c>
      <c r="J973" t="s">
        <v>30</v>
      </c>
      <c r="K973">
        <v>2</v>
      </c>
      <c r="L973" t="s">
        <v>55</v>
      </c>
      <c r="M973" t="s">
        <v>93</v>
      </c>
      <c r="N973" t="s">
        <v>40</v>
      </c>
      <c r="O973">
        <v>71698</v>
      </c>
      <c r="P973">
        <v>0</v>
      </c>
      <c r="Q973" t="s">
        <v>34</v>
      </c>
      <c r="R973" s="1">
        <v>43621</v>
      </c>
      <c r="S973" t="s">
        <v>34</v>
      </c>
      <c r="T973">
        <v>3</v>
      </c>
      <c r="U973">
        <v>0</v>
      </c>
      <c r="V973">
        <v>3</v>
      </c>
      <c r="W973">
        <v>3</v>
      </c>
      <c r="X973" t="s">
        <v>11021</v>
      </c>
      <c r="Y973" t="s">
        <v>11021</v>
      </c>
      <c r="Z973" t="str">
        <f>_xlfn.XLOOKUP(Employees[[#This Row],[Education]], EdLevel[EducationLevelID], EdLevel[EducationLevel])</f>
        <v xml:space="preserve">High School </v>
      </c>
      <c r="AA973">
        <f>IF(Employees[[#This Row],[Attrition]] = "Yes", 1, 0)</f>
        <v>0</v>
      </c>
      <c r="AB973" t="str" cm="1">
        <f t="array" ref="AB973">_xlfn.IFS(Employees[[#This Row],[Age]]&lt;30, "20-29", Employees[[#This Row],[Age]]&lt;40, "30-39", Employees[[#This Row],[Age]]&lt;50, "40-49", "TRUE", "50+")</f>
        <v>20-29</v>
      </c>
    </row>
    <row r="974" spans="1:28">
      <c r="A974" t="s">
        <v>2891</v>
      </c>
      <c r="B974" t="s">
        <v>2892</v>
      </c>
      <c r="C974" t="s">
        <v>2893</v>
      </c>
      <c r="D974" t="s">
        <v>38</v>
      </c>
      <c r="E974">
        <v>35</v>
      </c>
      <c r="F974" t="s">
        <v>27</v>
      </c>
      <c r="G974" t="s">
        <v>54</v>
      </c>
      <c r="H974">
        <v>8</v>
      </c>
      <c r="I974" t="s">
        <v>39</v>
      </c>
      <c r="J974" t="s">
        <v>71</v>
      </c>
      <c r="K974">
        <v>4</v>
      </c>
      <c r="L974" t="s">
        <v>55</v>
      </c>
      <c r="M974" t="s">
        <v>182</v>
      </c>
      <c r="N974" t="s">
        <v>49</v>
      </c>
      <c r="O974">
        <v>405965</v>
      </c>
      <c r="P974">
        <v>1</v>
      </c>
      <c r="Q974" t="s">
        <v>34</v>
      </c>
      <c r="R974" s="1">
        <v>43623</v>
      </c>
      <c r="S974" t="s">
        <v>34</v>
      </c>
      <c r="T974">
        <v>3</v>
      </c>
      <c r="U974">
        <v>1</v>
      </c>
      <c r="V974">
        <v>2</v>
      </c>
      <c r="W974">
        <v>0</v>
      </c>
      <c r="X974" t="s">
        <v>11023</v>
      </c>
      <c r="Y974" t="s">
        <v>11023</v>
      </c>
      <c r="Z974" t="str">
        <f>_xlfn.XLOOKUP(Employees[[#This Row],[Education]], EdLevel[EducationLevelID], EdLevel[EducationLevel])</f>
        <v xml:space="preserve">Masters </v>
      </c>
      <c r="AA974">
        <f>IF(Employees[[#This Row],[Attrition]] = "Yes", 1, 0)</f>
        <v>0</v>
      </c>
      <c r="AB974" t="str" cm="1">
        <f t="array" ref="AB974">_xlfn.IFS(Employees[[#This Row],[Age]]&lt;30, "20-29", Employees[[#This Row],[Age]]&lt;40, "30-39", Employees[[#This Row],[Age]]&lt;50, "40-49", "TRUE", "50+")</f>
        <v>30-39</v>
      </c>
    </row>
    <row r="975" spans="1:28">
      <c r="A975" t="s">
        <v>2894</v>
      </c>
      <c r="B975" t="s">
        <v>2895</v>
      </c>
      <c r="C975" t="s">
        <v>2896</v>
      </c>
      <c r="D975" t="s">
        <v>26</v>
      </c>
      <c r="E975">
        <v>24</v>
      </c>
      <c r="F975" t="s">
        <v>70</v>
      </c>
      <c r="G975" t="s">
        <v>54</v>
      </c>
      <c r="H975">
        <v>25</v>
      </c>
      <c r="I975" t="s">
        <v>39</v>
      </c>
      <c r="J975" t="s">
        <v>30</v>
      </c>
      <c r="K975">
        <v>2</v>
      </c>
      <c r="L975" t="s">
        <v>55</v>
      </c>
      <c r="M975" t="s">
        <v>85</v>
      </c>
      <c r="N975" t="s">
        <v>49</v>
      </c>
      <c r="O975">
        <v>40342</v>
      </c>
      <c r="P975">
        <v>1</v>
      </c>
      <c r="Q975" t="s">
        <v>41</v>
      </c>
      <c r="R975" s="1">
        <v>43624</v>
      </c>
      <c r="S975" t="s">
        <v>34</v>
      </c>
      <c r="T975">
        <v>3</v>
      </c>
      <c r="U975">
        <v>2</v>
      </c>
      <c r="V975">
        <v>3</v>
      </c>
      <c r="W975">
        <v>1</v>
      </c>
      <c r="X975" t="s">
        <v>11021</v>
      </c>
      <c r="Y975" t="s">
        <v>11021</v>
      </c>
      <c r="Z975" t="str">
        <f>_xlfn.XLOOKUP(Employees[[#This Row],[Education]], EdLevel[EducationLevelID], EdLevel[EducationLevel])</f>
        <v xml:space="preserve">High School </v>
      </c>
      <c r="AA975">
        <f>IF(Employees[[#This Row],[Attrition]] = "Yes", 1, 0)</f>
        <v>0</v>
      </c>
      <c r="AB975" t="str" cm="1">
        <f t="array" ref="AB975">_xlfn.IFS(Employees[[#This Row],[Age]]&lt;30, "20-29", Employees[[#This Row],[Age]]&lt;40, "30-39", Employees[[#This Row],[Age]]&lt;50, "40-49", "TRUE", "50+")</f>
        <v>20-29</v>
      </c>
    </row>
    <row r="976" spans="1:28">
      <c r="A976" t="s">
        <v>2897</v>
      </c>
      <c r="B976" t="s">
        <v>2898</v>
      </c>
      <c r="C976" t="s">
        <v>2899</v>
      </c>
      <c r="D976" t="s">
        <v>26</v>
      </c>
      <c r="E976">
        <v>24</v>
      </c>
      <c r="F976" t="s">
        <v>27</v>
      </c>
      <c r="G976" t="s">
        <v>54</v>
      </c>
      <c r="H976">
        <v>45</v>
      </c>
      <c r="I976" t="s">
        <v>39</v>
      </c>
      <c r="J976" t="s">
        <v>46</v>
      </c>
      <c r="K976">
        <v>3</v>
      </c>
      <c r="L976" t="s">
        <v>72</v>
      </c>
      <c r="M976" t="s">
        <v>101</v>
      </c>
      <c r="N976" t="s">
        <v>49</v>
      </c>
      <c r="O976">
        <v>30390</v>
      </c>
      <c r="P976">
        <v>1</v>
      </c>
      <c r="Q976" t="s">
        <v>34</v>
      </c>
      <c r="R976" s="1">
        <v>43630</v>
      </c>
      <c r="S976" t="s">
        <v>34</v>
      </c>
      <c r="T976">
        <v>3</v>
      </c>
      <c r="U976">
        <v>0</v>
      </c>
      <c r="V976">
        <v>2</v>
      </c>
      <c r="W976">
        <v>2</v>
      </c>
      <c r="X976" t="s">
        <v>11022</v>
      </c>
      <c r="Y976" t="s">
        <v>11022</v>
      </c>
      <c r="Z976" t="str">
        <f>_xlfn.XLOOKUP(Employees[[#This Row],[Education]], EdLevel[EducationLevelID], EdLevel[EducationLevel])</f>
        <v xml:space="preserve">Bachelors </v>
      </c>
      <c r="AA976">
        <f>IF(Employees[[#This Row],[Attrition]] = "Yes", 1, 0)</f>
        <v>0</v>
      </c>
      <c r="AB976" t="str" cm="1">
        <f t="array" ref="AB976">_xlfn.IFS(Employees[[#This Row],[Age]]&lt;30, "20-29", Employees[[#This Row],[Age]]&lt;40, "30-39", Employees[[#This Row],[Age]]&lt;50, "40-49", "TRUE", "50+")</f>
        <v>20-29</v>
      </c>
    </row>
    <row r="977" spans="1:28">
      <c r="A977" t="s">
        <v>2900</v>
      </c>
      <c r="B977" t="s">
        <v>2901</v>
      </c>
      <c r="C977" t="s">
        <v>2902</v>
      </c>
      <c r="D977" t="s">
        <v>26</v>
      </c>
      <c r="E977">
        <v>24</v>
      </c>
      <c r="F977" t="s">
        <v>70</v>
      </c>
      <c r="G977" t="s">
        <v>28</v>
      </c>
      <c r="H977">
        <v>10</v>
      </c>
      <c r="I977" t="s">
        <v>39</v>
      </c>
      <c r="J977" t="s">
        <v>66</v>
      </c>
      <c r="K977">
        <v>4</v>
      </c>
      <c r="L977" t="s">
        <v>31</v>
      </c>
      <c r="M977" t="s">
        <v>32</v>
      </c>
      <c r="N977" t="s">
        <v>49</v>
      </c>
      <c r="O977">
        <v>65432</v>
      </c>
      <c r="P977">
        <v>0</v>
      </c>
      <c r="Q977" t="s">
        <v>34</v>
      </c>
      <c r="R977" s="1">
        <v>43631</v>
      </c>
      <c r="S977" t="s">
        <v>34</v>
      </c>
      <c r="T977">
        <v>3</v>
      </c>
      <c r="U977">
        <v>1</v>
      </c>
      <c r="V977">
        <v>2</v>
      </c>
      <c r="W977">
        <v>0</v>
      </c>
      <c r="X977" t="s">
        <v>11023</v>
      </c>
      <c r="Y977" t="s">
        <v>11023</v>
      </c>
      <c r="Z977" t="str">
        <f>_xlfn.XLOOKUP(Employees[[#This Row],[Education]], EdLevel[EducationLevelID], EdLevel[EducationLevel])</f>
        <v xml:space="preserve">Masters </v>
      </c>
      <c r="AA977">
        <f>IF(Employees[[#This Row],[Attrition]] = "Yes", 1, 0)</f>
        <v>0</v>
      </c>
      <c r="AB977" t="str" cm="1">
        <f t="array" ref="AB977">_xlfn.IFS(Employees[[#This Row],[Age]]&lt;30, "20-29", Employees[[#This Row],[Age]]&lt;40, "30-39", Employees[[#This Row],[Age]]&lt;50, "40-49", "TRUE", "50+")</f>
        <v>20-29</v>
      </c>
    </row>
    <row r="978" spans="1:28">
      <c r="A978" t="s">
        <v>2903</v>
      </c>
      <c r="B978" t="s">
        <v>2904</v>
      </c>
      <c r="C978" t="s">
        <v>2905</v>
      </c>
      <c r="D978" t="s">
        <v>38</v>
      </c>
      <c r="E978">
        <v>21</v>
      </c>
      <c r="F978" t="s">
        <v>27</v>
      </c>
      <c r="G978" t="s">
        <v>54</v>
      </c>
      <c r="H978">
        <v>35</v>
      </c>
      <c r="I978" t="s">
        <v>29</v>
      </c>
      <c r="J978" t="s">
        <v>71</v>
      </c>
      <c r="K978">
        <v>3</v>
      </c>
      <c r="L978" t="s">
        <v>55</v>
      </c>
      <c r="M978" t="s">
        <v>85</v>
      </c>
      <c r="N978" t="s">
        <v>33</v>
      </c>
      <c r="O978">
        <v>51682</v>
      </c>
      <c r="P978">
        <v>1</v>
      </c>
      <c r="Q978" t="s">
        <v>34</v>
      </c>
      <c r="R978" s="1">
        <v>43631</v>
      </c>
      <c r="S978" t="s">
        <v>34</v>
      </c>
      <c r="T978">
        <v>3</v>
      </c>
      <c r="U978">
        <v>1</v>
      </c>
      <c r="V978">
        <v>3</v>
      </c>
      <c r="W978">
        <v>0</v>
      </c>
      <c r="X978" t="s">
        <v>11022</v>
      </c>
      <c r="Y978" t="s">
        <v>11022</v>
      </c>
      <c r="Z978" t="str">
        <f>_xlfn.XLOOKUP(Employees[[#This Row],[Education]], EdLevel[EducationLevelID], EdLevel[EducationLevel])</f>
        <v xml:space="preserve">Bachelors </v>
      </c>
      <c r="AA978">
        <f>IF(Employees[[#This Row],[Attrition]] = "Yes", 1, 0)</f>
        <v>0</v>
      </c>
      <c r="AB978" t="str" cm="1">
        <f t="array" ref="AB978">_xlfn.IFS(Employees[[#This Row],[Age]]&lt;30, "20-29", Employees[[#This Row],[Age]]&lt;40, "30-39", Employees[[#This Row],[Age]]&lt;50, "40-49", "TRUE", "50+")</f>
        <v>20-29</v>
      </c>
    </row>
    <row r="979" spans="1:28">
      <c r="A979" t="s">
        <v>2906</v>
      </c>
      <c r="B979" t="s">
        <v>2907</v>
      </c>
      <c r="C979" t="s">
        <v>488</v>
      </c>
      <c r="D979" t="s">
        <v>38</v>
      </c>
      <c r="E979">
        <v>21</v>
      </c>
      <c r="F979" t="s">
        <v>27</v>
      </c>
      <c r="G979" t="s">
        <v>54</v>
      </c>
      <c r="H979">
        <v>18</v>
      </c>
      <c r="I979" t="s">
        <v>39</v>
      </c>
      <c r="J979" t="s">
        <v>46</v>
      </c>
      <c r="K979">
        <v>2</v>
      </c>
      <c r="L979" t="s">
        <v>55</v>
      </c>
      <c r="M979" t="s">
        <v>101</v>
      </c>
      <c r="N979" t="s">
        <v>49</v>
      </c>
      <c r="O979">
        <v>29558</v>
      </c>
      <c r="P979">
        <v>1</v>
      </c>
      <c r="Q979" t="s">
        <v>41</v>
      </c>
      <c r="R979" s="1">
        <v>43633</v>
      </c>
      <c r="S979" t="s">
        <v>34</v>
      </c>
      <c r="T979">
        <v>3</v>
      </c>
      <c r="U979">
        <v>2</v>
      </c>
      <c r="V979">
        <v>3</v>
      </c>
      <c r="W979">
        <v>2</v>
      </c>
      <c r="X979" t="s">
        <v>11021</v>
      </c>
      <c r="Y979" t="s">
        <v>11021</v>
      </c>
      <c r="Z979" t="str">
        <f>_xlfn.XLOOKUP(Employees[[#This Row],[Education]], EdLevel[EducationLevelID], EdLevel[EducationLevel])</f>
        <v xml:space="preserve">High School </v>
      </c>
      <c r="AA979">
        <f>IF(Employees[[#This Row],[Attrition]] = "Yes", 1, 0)</f>
        <v>0</v>
      </c>
      <c r="AB979" t="str" cm="1">
        <f t="array" ref="AB979">_xlfn.IFS(Employees[[#This Row],[Age]]&lt;30, "20-29", Employees[[#This Row],[Age]]&lt;40, "30-39", Employees[[#This Row],[Age]]&lt;50, "40-49", "TRUE", "50+")</f>
        <v>20-29</v>
      </c>
    </row>
    <row r="980" spans="1:28">
      <c r="A980" t="s">
        <v>2908</v>
      </c>
      <c r="B980" t="s">
        <v>2909</v>
      </c>
      <c r="C980" t="s">
        <v>2910</v>
      </c>
      <c r="D980" t="s">
        <v>38</v>
      </c>
      <c r="E980">
        <v>22</v>
      </c>
      <c r="F980" t="s">
        <v>27</v>
      </c>
      <c r="G980" t="s">
        <v>54</v>
      </c>
      <c r="H980">
        <v>8</v>
      </c>
      <c r="I980" t="s">
        <v>39</v>
      </c>
      <c r="J980" t="s">
        <v>71</v>
      </c>
      <c r="K980">
        <v>3</v>
      </c>
      <c r="L980" t="s">
        <v>55</v>
      </c>
      <c r="M980" t="s">
        <v>101</v>
      </c>
      <c r="N980" t="s">
        <v>40</v>
      </c>
      <c r="O980">
        <v>26158</v>
      </c>
      <c r="P980">
        <v>0</v>
      </c>
      <c r="Q980" t="s">
        <v>34</v>
      </c>
      <c r="R980" s="1">
        <v>43634</v>
      </c>
      <c r="S980" t="s">
        <v>34</v>
      </c>
      <c r="T980">
        <v>3</v>
      </c>
      <c r="U980">
        <v>0</v>
      </c>
      <c r="V980">
        <v>3</v>
      </c>
      <c r="W980">
        <v>1</v>
      </c>
      <c r="X980" t="s">
        <v>11022</v>
      </c>
      <c r="Y980" t="s">
        <v>11022</v>
      </c>
      <c r="Z980" t="str">
        <f>_xlfn.XLOOKUP(Employees[[#This Row],[Education]], EdLevel[EducationLevelID], EdLevel[EducationLevel])</f>
        <v xml:space="preserve">Bachelors </v>
      </c>
      <c r="AA980">
        <f>IF(Employees[[#This Row],[Attrition]] = "Yes", 1, 0)</f>
        <v>0</v>
      </c>
      <c r="AB980" t="str" cm="1">
        <f t="array" ref="AB980">_xlfn.IFS(Employees[[#This Row],[Age]]&lt;30, "20-29", Employees[[#This Row],[Age]]&lt;40, "30-39", Employees[[#This Row],[Age]]&lt;50, "40-49", "TRUE", "50+")</f>
        <v>20-29</v>
      </c>
    </row>
    <row r="981" spans="1:28">
      <c r="A981" t="s">
        <v>2911</v>
      </c>
      <c r="B981" t="s">
        <v>2912</v>
      </c>
      <c r="C981" t="s">
        <v>2913</v>
      </c>
      <c r="D981" t="s">
        <v>53</v>
      </c>
      <c r="E981">
        <v>21</v>
      </c>
      <c r="F981" t="s">
        <v>27</v>
      </c>
      <c r="G981" t="s">
        <v>54</v>
      </c>
      <c r="H981">
        <v>41</v>
      </c>
      <c r="I981" t="s">
        <v>39</v>
      </c>
      <c r="J981" t="s">
        <v>71</v>
      </c>
      <c r="K981">
        <v>3</v>
      </c>
      <c r="L981" t="s">
        <v>55</v>
      </c>
      <c r="M981" t="s">
        <v>85</v>
      </c>
      <c r="N981" t="s">
        <v>40</v>
      </c>
      <c r="O981">
        <v>29793</v>
      </c>
      <c r="P981">
        <v>0</v>
      </c>
      <c r="Q981" t="s">
        <v>41</v>
      </c>
      <c r="R981" s="1">
        <v>43638</v>
      </c>
      <c r="S981" t="s">
        <v>41</v>
      </c>
      <c r="T981">
        <v>3</v>
      </c>
      <c r="U981">
        <v>0</v>
      </c>
      <c r="V981">
        <v>0</v>
      </c>
      <c r="W981">
        <v>2</v>
      </c>
      <c r="X981" t="s">
        <v>11022</v>
      </c>
      <c r="Y981" t="s">
        <v>11022</v>
      </c>
      <c r="Z981" t="str">
        <f>_xlfn.XLOOKUP(Employees[[#This Row],[Education]], EdLevel[EducationLevelID], EdLevel[EducationLevel])</f>
        <v xml:space="preserve">Bachelors </v>
      </c>
      <c r="AA981">
        <f>IF(Employees[[#This Row],[Attrition]] = "Yes", 1, 0)</f>
        <v>1</v>
      </c>
      <c r="AB981" t="str" cm="1">
        <f t="array" ref="AB981">_xlfn.IFS(Employees[[#This Row],[Age]]&lt;30, "20-29", Employees[[#This Row],[Age]]&lt;40, "30-39", Employees[[#This Row],[Age]]&lt;50, "40-49", "TRUE", "50+")</f>
        <v>20-29</v>
      </c>
    </row>
    <row r="982" spans="1:28">
      <c r="A982" t="s">
        <v>2914</v>
      </c>
      <c r="B982" t="s">
        <v>2915</v>
      </c>
      <c r="C982" t="s">
        <v>2916</v>
      </c>
      <c r="D982" t="s">
        <v>26</v>
      </c>
      <c r="E982">
        <v>21</v>
      </c>
      <c r="F982" t="s">
        <v>27</v>
      </c>
      <c r="G982" t="s">
        <v>54</v>
      </c>
      <c r="H982">
        <v>4</v>
      </c>
      <c r="I982" t="s">
        <v>65</v>
      </c>
      <c r="J982" t="s">
        <v>30</v>
      </c>
      <c r="K982">
        <v>3</v>
      </c>
      <c r="L982" t="s">
        <v>178</v>
      </c>
      <c r="M982" t="s">
        <v>101</v>
      </c>
      <c r="N982" t="s">
        <v>40</v>
      </c>
      <c r="O982">
        <v>67900</v>
      </c>
      <c r="P982">
        <v>0</v>
      </c>
      <c r="Q982" t="s">
        <v>34</v>
      </c>
      <c r="R982" s="1">
        <v>43640</v>
      </c>
      <c r="S982" t="s">
        <v>34</v>
      </c>
      <c r="T982">
        <v>3</v>
      </c>
      <c r="U982">
        <v>3</v>
      </c>
      <c r="V982">
        <v>3</v>
      </c>
      <c r="W982">
        <v>2</v>
      </c>
      <c r="X982" t="s">
        <v>11022</v>
      </c>
      <c r="Y982" t="s">
        <v>11022</v>
      </c>
      <c r="Z982" t="str">
        <f>_xlfn.XLOOKUP(Employees[[#This Row],[Education]], EdLevel[EducationLevelID], EdLevel[EducationLevel])</f>
        <v xml:space="preserve">Bachelors </v>
      </c>
      <c r="AA982">
        <f>IF(Employees[[#This Row],[Attrition]] = "Yes", 1, 0)</f>
        <v>0</v>
      </c>
      <c r="AB982" t="str" cm="1">
        <f t="array" ref="AB982">_xlfn.IFS(Employees[[#This Row],[Age]]&lt;30, "20-29", Employees[[#This Row],[Age]]&lt;40, "30-39", Employees[[#This Row],[Age]]&lt;50, "40-49", "TRUE", "50+")</f>
        <v>20-29</v>
      </c>
    </row>
    <row r="983" spans="1:28">
      <c r="A983" t="s">
        <v>2917</v>
      </c>
      <c r="B983" t="s">
        <v>2918</v>
      </c>
      <c r="C983" t="s">
        <v>2919</v>
      </c>
      <c r="D983" t="s">
        <v>38</v>
      </c>
      <c r="E983">
        <v>21</v>
      </c>
      <c r="F983" t="s">
        <v>27</v>
      </c>
      <c r="G983" t="s">
        <v>54</v>
      </c>
      <c r="H983">
        <v>40</v>
      </c>
      <c r="I983" t="s">
        <v>39</v>
      </c>
      <c r="J983" t="s">
        <v>30</v>
      </c>
      <c r="K983">
        <v>3</v>
      </c>
      <c r="L983" t="s">
        <v>178</v>
      </c>
      <c r="M983" t="s">
        <v>85</v>
      </c>
      <c r="N983" t="s">
        <v>49</v>
      </c>
      <c r="O983">
        <v>58274</v>
      </c>
      <c r="P983">
        <v>1</v>
      </c>
      <c r="Q983" t="s">
        <v>34</v>
      </c>
      <c r="R983" s="1">
        <v>43643</v>
      </c>
      <c r="S983" t="s">
        <v>34</v>
      </c>
      <c r="T983">
        <v>3</v>
      </c>
      <c r="U983">
        <v>3</v>
      </c>
      <c r="V983">
        <v>3</v>
      </c>
      <c r="W983">
        <v>3</v>
      </c>
      <c r="X983" t="s">
        <v>11022</v>
      </c>
      <c r="Y983" t="s">
        <v>11022</v>
      </c>
      <c r="Z983" t="str">
        <f>_xlfn.XLOOKUP(Employees[[#This Row],[Education]], EdLevel[EducationLevelID], EdLevel[EducationLevel])</f>
        <v xml:space="preserve">Bachelors </v>
      </c>
      <c r="AA983">
        <f>IF(Employees[[#This Row],[Attrition]] = "Yes", 1, 0)</f>
        <v>0</v>
      </c>
      <c r="AB983" t="str" cm="1">
        <f t="array" ref="AB983">_xlfn.IFS(Employees[[#This Row],[Age]]&lt;30, "20-29", Employees[[#This Row],[Age]]&lt;40, "30-39", Employees[[#This Row],[Age]]&lt;50, "40-49", "TRUE", "50+")</f>
        <v>20-29</v>
      </c>
    </row>
    <row r="984" spans="1:28">
      <c r="A984" t="s">
        <v>2920</v>
      </c>
      <c r="B984" t="s">
        <v>2921</v>
      </c>
      <c r="C984" t="s">
        <v>2922</v>
      </c>
      <c r="D984" t="s">
        <v>26</v>
      </c>
      <c r="E984">
        <v>41</v>
      </c>
      <c r="F984" t="s">
        <v>27</v>
      </c>
      <c r="G984" t="s">
        <v>54</v>
      </c>
      <c r="H984">
        <v>18</v>
      </c>
      <c r="I984" t="s">
        <v>39</v>
      </c>
      <c r="J984" t="s">
        <v>66</v>
      </c>
      <c r="K984">
        <v>4</v>
      </c>
      <c r="L984" t="s">
        <v>72</v>
      </c>
      <c r="M984" t="s">
        <v>105</v>
      </c>
      <c r="N984" t="s">
        <v>49</v>
      </c>
      <c r="O984">
        <v>268964</v>
      </c>
      <c r="P984">
        <v>1</v>
      </c>
      <c r="Q984" t="s">
        <v>34</v>
      </c>
      <c r="R984" s="1">
        <v>43647</v>
      </c>
      <c r="S984" t="s">
        <v>41</v>
      </c>
      <c r="T984">
        <v>3</v>
      </c>
      <c r="U984">
        <v>1</v>
      </c>
      <c r="V984">
        <v>1</v>
      </c>
      <c r="W984">
        <v>0</v>
      </c>
      <c r="X984" t="s">
        <v>11023</v>
      </c>
      <c r="Y984" t="s">
        <v>11023</v>
      </c>
      <c r="Z984" t="str">
        <f>_xlfn.XLOOKUP(Employees[[#This Row],[Education]], EdLevel[EducationLevelID], EdLevel[EducationLevel])</f>
        <v xml:space="preserve">Masters </v>
      </c>
      <c r="AA984">
        <f>IF(Employees[[#This Row],[Attrition]] = "Yes", 1, 0)</f>
        <v>1</v>
      </c>
      <c r="AB984" t="str" cm="1">
        <f t="array" ref="AB984">_xlfn.IFS(Employees[[#This Row],[Age]]&lt;30, "20-29", Employees[[#This Row],[Age]]&lt;40, "30-39", Employees[[#This Row],[Age]]&lt;50, "40-49", "TRUE", "50+")</f>
        <v>40-49</v>
      </c>
    </row>
    <row r="985" spans="1:28">
      <c r="A985" t="s">
        <v>2923</v>
      </c>
      <c r="B985" t="s">
        <v>2924</v>
      </c>
      <c r="C985" t="s">
        <v>2925</v>
      </c>
      <c r="D985" t="s">
        <v>38</v>
      </c>
      <c r="E985">
        <v>22</v>
      </c>
      <c r="F985" t="s">
        <v>27</v>
      </c>
      <c r="G985" t="s">
        <v>28</v>
      </c>
      <c r="H985">
        <v>29</v>
      </c>
      <c r="I985" t="s">
        <v>29</v>
      </c>
      <c r="J985" t="s">
        <v>66</v>
      </c>
      <c r="K985">
        <v>2</v>
      </c>
      <c r="L985" t="s">
        <v>121</v>
      </c>
      <c r="M985" t="s">
        <v>32</v>
      </c>
      <c r="N985" t="s">
        <v>33</v>
      </c>
      <c r="O985">
        <v>58992</v>
      </c>
      <c r="P985">
        <v>1</v>
      </c>
      <c r="Q985" t="s">
        <v>41</v>
      </c>
      <c r="R985" s="1">
        <v>43648</v>
      </c>
      <c r="S985" t="s">
        <v>34</v>
      </c>
      <c r="T985">
        <v>3</v>
      </c>
      <c r="U985">
        <v>3</v>
      </c>
      <c r="V985">
        <v>3</v>
      </c>
      <c r="W985">
        <v>2</v>
      </c>
      <c r="X985" t="s">
        <v>11021</v>
      </c>
      <c r="Y985" t="s">
        <v>11021</v>
      </c>
      <c r="Z985" t="str">
        <f>_xlfn.XLOOKUP(Employees[[#This Row],[Education]], EdLevel[EducationLevelID], EdLevel[EducationLevel])</f>
        <v xml:space="preserve">High School </v>
      </c>
      <c r="AA985">
        <f>IF(Employees[[#This Row],[Attrition]] = "Yes", 1, 0)</f>
        <v>0</v>
      </c>
      <c r="AB985" t="str" cm="1">
        <f t="array" ref="AB985">_xlfn.IFS(Employees[[#This Row],[Age]]&lt;30, "20-29", Employees[[#This Row],[Age]]&lt;40, "30-39", Employees[[#This Row],[Age]]&lt;50, "40-49", "TRUE", "50+")</f>
        <v>20-29</v>
      </c>
    </row>
    <row r="986" spans="1:28">
      <c r="A986" t="s">
        <v>2926</v>
      </c>
      <c r="B986" t="s">
        <v>2927</v>
      </c>
      <c r="C986" t="s">
        <v>2928</v>
      </c>
      <c r="D986" t="s">
        <v>53</v>
      </c>
      <c r="E986">
        <v>22</v>
      </c>
      <c r="F986" t="s">
        <v>70</v>
      </c>
      <c r="G986" t="s">
        <v>54</v>
      </c>
      <c r="H986">
        <v>32</v>
      </c>
      <c r="I986" t="s">
        <v>65</v>
      </c>
      <c r="J986" t="s">
        <v>30</v>
      </c>
      <c r="K986">
        <v>2</v>
      </c>
      <c r="L986" t="s">
        <v>55</v>
      </c>
      <c r="M986" t="s">
        <v>101</v>
      </c>
      <c r="N986" t="s">
        <v>40</v>
      </c>
      <c r="O986">
        <v>38358</v>
      </c>
      <c r="P986">
        <v>0</v>
      </c>
      <c r="Q986" t="s">
        <v>34</v>
      </c>
      <c r="R986" s="1">
        <v>43651</v>
      </c>
      <c r="S986" t="s">
        <v>34</v>
      </c>
      <c r="T986">
        <v>3</v>
      </c>
      <c r="U986">
        <v>2</v>
      </c>
      <c r="V986">
        <v>2</v>
      </c>
      <c r="W986">
        <v>3</v>
      </c>
      <c r="X986" t="s">
        <v>11021</v>
      </c>
      <c r="Y986" t="s">
        <v>11021</v>
      </c>
      <c r="Z986" t="str">
        <f>_xlfn.XLOOKUP(Employees[[#This Row],[Education]], EdLevel[EducationLevelID], EdLevel[EducationLevel])</f>
        <v xml:space="preserve">High School </v>
      </c>
      <c r="AA986">
        <f>IF(Employees[[#This Row],[Attrition]] = "Yes", 1, 0)</f>
        <v>0</v>
      </c>
      <c r="AB986" t="str" cm="1">
        <f t="array" ref="AB986">_xlfn.IFS(Employees[[#This Row],[Age]]&lt;30, "20-29", Employees[[#This Row],[Age]]&lt;40, "30-39", Employees[[#This Row],[Age]]&lt;50, "40-49", "TRUE", "50+")</f>
        <v>20-29</v>
      </c>
    </row>
    <row r="987" spans="1:28">
      <c r="A987" t="s">
        <v>2929</v>
      </c>
      <c r="B987" t="s">
        <v>2930</v>
      </c>
      <c r="C987" t="s">
        <v>2931</v>
      </c>
      <c r="D987" t="s">
        <v>53</v>
      </c>
      <c r="E987">
        <v>33</v>
      </c>
      <c r="F987" t="s">
        <v>27</v>
      </c>
      <c r="G987" t="s">
        <v>54</v>
      </c>
      <c r="H987">
        <v>44</v>
      </c>
      <c r="I987" t="s">
        <v>39</v>
      </c>
      <c r="J987" t="s">
        <v>30</v>
      </c>
      <c r="K987">
        <v>3</v>
      </c>
      <c r="L987" t="s">
        <v>72</v>
      </c>
      <c r="M987" t="s">
        <v>182</v>
      </c>
      <c r="N987" t="s">
        <v>40</v>
      </c>
      <c r="O987">
        <v>230945</v>
      </c>
      <c r="P987">
        <v>0</v>
      </c>
      <c r="Q987" t="s">
        <v>34</v>
      </c>
      <c r="R987" s="1">
        <v>43655</v>
      </c>
      <c r="S987" t="s">
        <v>34</v>
      </c>
      <c r="T987">
        <v>3</v>
      </c>
      <c r="U987">
        <v>0</v>
      </c>
      <c r="V987">
        <v>2</v>
      </c>
      <c r="W987">
        <v>0</v>
      </c>
      <c r="X987" t="s">
        <v>11022</v>
      </c>
      <c r="Y987" t="s">
        <v>11022</v>
      </c>
      <c r="Z987" t="str">
        <f>_xlfn.XLOOKUP(Employees[[#This Row],[Education]], EdLevel[EducationLevelID], EdLevel[EducationLevel])</f>
        <v xml:space="preserve">Bachelors </v>
      </c>
      <c r="AA987">
        <f>IF(Employees[[#This Row],[Attrition]] = "Yes", 1, 0)</f>
        <v>0</v>
      </c>
      <c r="AB987" t="str" cm="1">
        <f t="array" ref="AB987">_xlfn.IFS(Employees[[#This Row],[Age]]&lt;30, "20-29", Employees[[#This Row],[Age]]&lt;40, "30-39", Employees[[#This Row],[Age]]&lt;50, "40-49", "TRUE", "50+")</f>
        <v>30-39</v>
      </c>
    </row>
    <row r="988" spans="1:28">
      <c r="A988" t="s">
        <v>2932</v>
      </c>
      <c r="B988" t="s">
        <v>2933</v>
      </c>
      <c r="C988" t="s">
        <v>2934</v>
      </c>
      <c r="D988" t="s">
        <v>26</v>
      </c>
      <c r="E988">
        <v>23</v>
      </c>
      <c r="F988" t="s">
        <v>27</v>
      </c>
      <c r="G988" t="s">
        <v>54</v>
      </c>
      <c r="H988">
        <v>33</v>
      </c>
      <c r="I988" t="s">
        <v>39</v>
      </c>
      <c r="J988" t="s">
        <v>66</v>
      </c>
      <c r="K988">
        <v>2</v>
      </c>
      <c r="L988" t="s">
        <v>72</v>
      </c>
      <c r="M988" t="s">
        <v>93</v>
      </c>
      <c r="N988" t="s">
        <v>33</v>
      </c>
      <c r="O988">
        <v>77798</v>
      </c>
      <c r="P988">
        <v>3</v>
      </c>
      <c r="Q988" t="s">
        <v>34</v>
      </c>
      <c r="R988" s="1">
        <v>43658</v>
      </c>
      <c r="S988" t="s">
        <v>34</v>
      </c>
      <c r="T988">
        <v>3</v>
      </c>
      <c r="U988">
        <v>2</v>
      </c>
      <c r="V988">
        <v>3</v>
      </c>
      <c r="W988">
        <v>0</v>
      </c>
      <c r="X988" t="s">
        <v>11021</v>
      </c>
      <c r="Y988" t="s">
        <v>11021</v>
      </c>
      <c r="Z988" t="str">
        <f>_xlfn.XLOOKUP(Employees[[#This Row],[Education]], EdLevel[EducationLevelID], EdLevel[EducationLevel])</f>
        <v xml:space="preserve">High School </v>
      </c>
      <c r="AA988">
        <f>IF(Employees[[#This Row],[Attrition]] = "Yes", 1, 0)</f>
        <v>0</v>
      </c>
      <c r="AB988" t="str" cm="1">
        <f t="array" ref="AB988">_xlfn.IFS(Employees[[#This Row],[Age]]&lt;30, "20-29", Employees[[#This Row],[Age]]&lt;40, "30-39", Employees[[#This Row],[Age]]&lt;50, "40-49", "TRUE", "50+")</f>
        <v>20-29</v>
      </c>
    </row>
    <row r="989" spans="1:28">
      <c r="A989" t="s">
        <v>2935</v>
      </c>
      <c r="B989" t="s">
        <v>2936</v>
      </c>
      <c r="C989" t="s">
        <v>2937</v>
      </c>
      <c r="D989" t="s">
        <v>38</v>
      </c>
      <c r="E989">
        <v>24</v>
      </c>
      <c r="F989" t="s">
        <v>27</v>
      </c>
      <c r="G989" t="s">
        <v>54</v>
      </c>
      <c r="H989">
        <v>2</v>
      </c>
      <c r="I989" t="s">
        <v>65</v>
      </c>
      <c r="J989" t="s">
        <v>66</v>
      </c>
      <c r="K989">
        <v>2</v>
      </c>
      <c r="L989" t="s">
        <v>178</v>
      </c>
      <c r="M989" t="s">
        <v>101</v>
      </c>
      <c r="N989" t="s">
        <v>33</v>
      </c>
      <c r="O989">
        <v>32313</v>
      </c>
      <c r="P989">
        <v>2</v>
      </c>
      <c r="Q989" t="s">
        <v>34</v>
      </c>
      <c r="R989" s="1">
        <v>43660</v>
      </c>
      <c r="S989" t="s">
        <v>34</v>
      </c>
      <c r="T989">
        <v>3</v>
      </c>
      <c r="U989">
        <v>1</v>
      </c>
      <c r="V989">
        <v>1</v>
      </c>
      <c r="W989">
        <v>2</v>
      </c>
      <c r="X989" t="s">
        <v>11021</v>
      </c>
      <c r="Y989" t="s">
        <v>11021</v>
      </c>
      <c r="Z989" t="str">
        <f>_xlfn.XLOOKUP(Employees[[#This Row],[Education]], EdLevel[EducationLevelID], EdLevel[EducationLevel])</f>
        <v xml:space="preserve">High School </v>
      </c>
      <c r="AA989">
        <f>IF(Employees[[#This Row],[Attrition]] = "Yes", 1, 0)</f>
        <v>0</v>
      </c>
      <c r="AB989" t="str" cm="1">
        <f t="array" ref="AB989">_xlfn.IFS(Employees[[#This Row],[Age]]&lt;30, "20-29", Employees[[#This Row],[Age]]&lt;40, "30-39", Employees[[#This Row],[Age]]&lt;50, "40-49", "TRUE", "50+")</f>
        <v>20-29</v>
      </c>
    </row>
    <row r="990" spans="1:28">
      <c r="A990" t="s">
        <v>2938</v>
      </c>
      <c r="B990" t="s">
        <v>95</v>
      </c>
      <c r="C990" t="s">
        <v>2939</v>
      </c>
      <c r="D990" t="s">
        <v>26</v>
      </c>
      <c r="E990">
        <v>21</v>
      </c>
      <c r="F990" t="s">
        <v>70</v>
      </c>
      <c r="G990" t="s">
        <v>54</v>
      </c>
      <c r="H990">
        <v>22</v>
      </c>
      <c r="I990" t="s">
        <v>65</v>
      </c>
      <c r="J990" t="s">
        <v>71</v>
      </c>
      <c r="K990">
        <v>2</v>
      </c>
      <c r="L990" t="s">
        <v>77</v>
      </c>
      <c r="M990" t="s">
        <v>101</v>
      </c>
      <c r="N990" t="s">
        <v>49</v>
      </c>
      <c r="O990">
        <v>25208</v>
      </c>
      <c r="P990">
        <v>0</v>
      </c>
      <c r="Q990" t="s">
        <v>41</v>
      </c>
      <c r="R990" s="1">
        <v>43665</v>
      </c>
      <c r="S990" t="s">
        <v>34</v>
      </c>
      <c r="T990">
        <v>3</v>
      </c>
      <c r="U990">
        <v>0</v>
      </c>
      <c r="V990">
        <v>0</v>
      </c>
      <c r="W990">
        <v>1</v>
      </c>
      <c r="X990" t="s">
        <v>11021</v>
      </c>
      <c r="Y990" t="s">
        <v>11021</v>
      </c>
      <c r="Z990" t="str">
        <f>_xlfn.XLOOKUP(Employees[[#This Row],[Education]], EdLevel[EducationLevelID], EdLevel[EducationLevel])</f>
        <v xml:space="preserve">High School </v>
      </c>
      <c r="AA990">
        <f>IF(Employees[[#This Row],[Attrition]] = "Yes", 1, 0)</f>
        <v>0</v>
      </c>
      <c r="AB990" t="str" cm="1">
        <f t="array" ref="AB990">_xlfn.IFS(Employees[[#This Row],[Age]]&lt;30, "20-29", Employees[[#This Row],[Age]]&lt;40, "30-39", Employees[[#This Row],[Age]]&lt;50, "40-49", "TRUE", "50+")</f>
        <v>20-29</v>
      </c>
    </row>
    <row r="991" spans="1:28">
      <c r="A991" t="s">
        <v>2940</v>
      </c>
      <c r="B991" t="s">
        <v>2941</v>
      </c>
      <c r="C991" t="s">
        <v>2942</v>
      </c>
      <c r="D991" t="s">
        <v>26</v>
      </c>
      <c r="E991">
        <v>24</v>
      </c>
      <c r="F991" t="s">
        <v>84</v>
      </c>
      <c r="G991" t="s">
        <v>54</v>
      </c>
      <c r="H991">
        <v>30</v>
      </c>
      <c r="I991" t="s">
        <v>65</v>
      </c>
      <c r="J991" t="s">
        <v>30</v>
      </c>
      <c r="K991">
        <v>4</v>
      </c>
      <c r="L991" t="s">
        <v>72</v>
      </c>
      <c r="M991" t="s">
        <v>105</v>
      </c>
      <c r="N991" t="s">
        <v>49</v>
      </c>
      <c r="O991">
        <v>66110</v>
      </c>
      <c r="P991">
        <v>2</v>
      </c>
      <c r="Q991" t="s">
        <v>41</v>
      </c>
      <c r="R991" s="1">
        <v>43670</v>
      </c>
      <c r="S991" t="s">
        <v>34</v>
      </c>
      <c r="T991">
        <v>3</v>
      </c>
      <c r="U991">
        <v>2</v>
      </c>
      <c r="V991">
        <v>2</v>
      </c>
      <c r="W991">
        <v>0</v>
      </c>
      <c r="X991" t="s">
        <v>11023</v>
      </c>
      <c r="Y991" t="s">
        <v>11023</v>
      </c>
      <c r="Z991" t="str">
        <f>_xlfn.XLOOKUP(Employees[[#This Row],[Education]], EdLevel[EducationLevelID], EdLevel[EducationLevel])</f>
        <v xml:space="preserve">Masters </v>
      </c>
      <c r="AA991">
        <f>IF(Employees[[#This Row],[Attrition]] = "Yes", 1, 0)</f>
        <v>0</v>
      </c>
      <c r="AB991" t="str" cm="1">
        <f t="array" ref="AB991">_xlfn.IFS(Employees[[#This Row],[Age]]&lt;30, "20-29", Employees[[#This Row],[Age]]&lt;40, "30-39", Employees[[#This Row],[Age]]&lt;50, "40-49", "TRUE", "50+")</f>
        <v>20-29</v>
      </c>
    </row>
    <row r="992" spans="1:28">
      <c r="A992" t="s">
        <v>2943</v>
      </c>
      <c r="B992" t="s">
        <v>2944</v>
      </c>
      <c r="C992" t="s">
        <v>2945</v>
      </c>
      <c r="D992" t="s">
        <v>38</v>
      </c>
      <c r="E992">
        <v>23</v>
      </c>
      <c r="F992" t="s">
        <v>84</v>
      </c>
      <c r="G992" t="s">
        <v>54</v>
      </c>
      <c r="H992">
        <v>34</v>
      </c>
      <c r="I992" t="s">
        <v>65</v>
      </c>
      <c r="J992" t="s">
        <v>137</v>
      </c>
      <c r="K992">
        <v>3</v>
      </c>
      <c r="L992" t="s">
        <v>55</v>
      </c>
      <c r="M992" t="s">
        <v>101</v>
      </c>
      <c r="N992" t="s">
        <v>49</v>
      </c>
      <c r="O992">
        <v>43009</v>
      </c>
      <c r="P992">
        <v>0</v>
      </c>
      <c r="Q992" t="s">
        <v>34</v>
      </c>
      <c r="R992" s="1">
        <v>43670</v>
      </c>
      <c r="S992" t="s">
        <v>34</v>
      </c>
      <c r="T992">
        <v>3</v>
      </c>
      <c r="U992">
        <v>2</v>
      </c>
      <c r="V992">
        <v>2</v>
      </c>
      <c r="W992">
        <v>1</v>
      </c>
      <c r="X992" t="s">
        <v>11022</v>
      </c>
      <c r="Y992" t="s">
        <v>11022</v>
      </c>
      <c r="Z992" t="str">
        <f>_xlfn.XLOOKUP(Employees[[#This Row],[Education]], EdLevel[EducationLevelID], EdLevel[EducationLevel])</f>
        <v xml:space="preserve">Bachelors </v>
      </c>
      <c r="AA992">
        <f>IF(Employees[[#This Row],[Attrition]] = "Yes", 1, 0)</f>
        <v>0</v>
      </c>
      <c r="AB992" t="str" cm="1">
        <f t="array" ref="AB992">_xlfn.IFS(Employees[[#This Row],[Age]]&lt;30, "20-29", Employees[[#This Row],[Age]]&lt;40, "30-39", Employees[[#This Row],[Age]]&lt;50, "40-49", "TRUE", "50+")</f>
        <v>20-29</v>
      </c>
    </row>
    <row r="993" spans="1:28">
      <c r="A993" t="s">
        <v>2946</v>
      </c>
      <c r="B993" t="s">
        <v>2947</v>
      </c>
      <c r="C993" t="s">
        <v>2948</v>
      </c>
      <c r="D993" t="s">
        <v>38</v>
      </c>
      <c r="E993">
        <v>24</v>
      </c>
      <c r="F993" t="s">
        <v>27</v>
      </c>
      <c r="G993" t="s">
        <v>28</v>
      </c>
      <c r="H993">
        <v>16</v>
      </c>
      <c r="I993" t="s">
        <v>39</v>
      </c>
      <c r="J993" t="s">
        <v>46</v>
      </c>
      <c r="K993">
        <v>2</v>
      </c>
      <c r="L993" t="s">
        <v>31</v>
      </c>
      <c r="M993" t="s">
        <v>150</v>
      </c>
      <c r="N993" t="s">
        <v>40</v>
      </c>
      <c r="O993">
        <v>29128</v>
      </c>
      <c r="P993">
        <v>0</v>
      </c>
      <c r="Q993" t="s">
        <v>41</v>
      </c>
      <c r="R993" s="1">
        <v>43677</v>
      </c>
      <c r="S993" t="s">
        <v>41</v>
      </c>
      <c r="T993">
        <v>0</v>
      </c>
      <c r="U993">
        <v>0</v>
      </c>
      <c r="V993">
        <v>0</v>
      </c>
      <c r="W993">
        <v>0</v>
      </c>
      <c r="X993" t="s">
        <v>11021</v>
      </c>
      <c r="Y993" t="s">
        <v>11021</v>
      </c>
      <c r="Z993" t="str">
        <f>_xlfn.XLOOKUP(Employees[[#This Row],[Education]], EdLevel[EducationLevelID], EdLevel[EducationLevel])</f>
        <v xml:space="preserve">High School </v>
      </c>
      <c r="AA993">
        <f>IF(Employees[[#This Row],[Attrition]] = "Yes", 1, 0)</f>
        <v>1</v>
      </c>
      <c r="AB993" t="str" cm="1">
        <f t="array" ref="AB993">_xlfn.IFS(Employees[[#This Row],[Age]]&lt;30, "20-29", Employees[[#This Row],[Age]]&lt;40, "30-39", Employees[[#This Row],[Age]]&lt;50, "40-49", "TRUE", "50+")</f>
        <v>20-29</v>
      </c>
    </row>
    <row r="994" spans="1:28">
      <c r="A994" t="s">
        <v>2949</v>
      </c>
      <c r="B994" t="s">
        <v>2950</v>
      </c>
      <c r="C994" t="s">
        <v>2951</v>
      </c>
      <c r="D994" t="s">
        <v>53</v>
      </c>
      <c r="E994">
        <v>22</v>
      </c>
      <c r="F994" t="s">
        <v>27</v>
      </c>
      <c r="G994" t="s">
        <v>54</v>
      </c>
      <c r="H994">
        <v>10</v>
      </c>
      <c r="I994" t="s">
        <v>65</v>
      </c>
      <c r="J994" t="s">
        <v>46</v>
      </c>
      <c r="K994">
        <v>4</v>
      </c>
      <c r="L994" t="s">
        <v>55</v>
      </c>
      <c r="M994" t="s">
        <v>85</v>
      </c>
      <c r="N994" t="s">
        <v>49</v>
      </c>
      <c r="O994">
        <v>28953</v>
      </c>
      <c r="P994">
        <v>1</v>
      </c>
      <c r="Q994" t="s">
        <v>34</v>
      </c>
      <c r="R994" s="1">
        <v>43678</v>
      </c>
      <c r="S994" t="s">
        <v>34</v>
      </c>
      <c r="T994">
        <v>3</v>
      </c>
      <c r="U994">
        <v>1</v>
      </c>
      <c r="V994">
        <v>1</v>
      </c>
      <c r="W994">
        <v>1</v>
      </c>
      <c r="X994" t="s">
        <v>11023</v>
      </c>
      <c r="Y994" t="s">
        <v>11023</v>
      </c>
      <c r="Z994" t="str">
        <f>_xlfn.XLOOKUP(Employees[[#This Row],[Education]], EdLevel[EducationLevelID], EdLevel[EducationLevel])</f>
        <v xml:space="preserve">Masters </v>
      </c>
      <c r="AA994">
        <f>IF(Employees[[#This Row],[Attrition]] = "Yes", 1, 0)</f>
        <v>0</v>
      </c>
      <c r="AB994" t="str" cm="1">
        <f t="array" ref="AB994">_xlfn.IFS(Employees[[#This Row],[Age]]&lt;30, "20-29", Employees[[#This Row],[Age]]&lt;40, "30-39", Employees[[#This Row],[Age]]&lt;50, "40-49", "TRUE", "50+")</f>
        <v>20-29</v>
      </c>
    </row>
    <row r="995" spans="1:28">
      <c r="A995" t="s">
        <v>2952</v>
      </c>
      <c r="B995" t="s">
        <v>2953</v>
      </c>
      <c r="C995" t="s">
        <v>2954</v>
      </c>
      <c r="D995" t="s">
        <v>38</v>
      </c>
      <c r="E995">
        <v>31</v>
      </c>
      <c r="F995" t="s">
        <v>27</v>
      </c>
      <c r="G995" t="s">
        <v>54</v>
      </c>
      <c r="H995">
        <v>25</v>
      </c>
      <c r="I995" t="s">
        <v>39</v>
      </c>
      <c r="J995" t="s">
        <v>71</v>
      </c>
      <c r="K995">
        <v>3</v>
      </c>
      <c r="L995" t="s">
        <v>178</v>
      </c>
      <c r="M995" t="s">
        <v>93</v>
      </c>
      <c r="N995" t="s">
        <v>40</v>
      </c>
      <c r="O995">
        <v>157676</v>
      </c>
      <c r="P995">
        <v>0</v>
      </c>
      <c r="Q995" t="s">
        <v>34</v>
      </c>
      <c r="R995" s="1">
        <v>43684</v>
      </c>
      <c r="S995" t="s">
        <v>34</v>
      </c>
      <c r="T995">
        <v>3</v>
      </c>
      <c r="U995">
        <v>0</v>
      </c>
      <c r="V995">
        <v>2</v>
      </c>
      <c r="W995">
        <v>1</v>
      </c>
      <c r="X995" t="s">
        <v>11022</v>
      </c>
      <c r="Y995" t="s">
        <v>11022</v>
      </c>
      <c r="Z995" t="str">
        <f>_xlfn.XLOOKUP(Employees[[#This Row],[Education]], EdLevel[EducationLevelID], EdLevel[EducationLevel])</f>
        <v xml:space="preserve">Bachelors </v>
      </c>
      <c r="AA995">
        <f>IF(Employees[[#This Row],[Attrition]] = "Yes", 1, 0)</f>
        <v>0</v>
      </c>
      <c r="AB995" t="str" cm="1">
        <f t="array" ref="AB995">_xlfn.IFS(Employees[[#This Row],[Age]]&lt;30, "20-29", Employees[[#This Row],[Age]]&lt;40, "30-39", Employees[[#This Row],[Age]]&lt;50, "40-49", "TRUE", "50+")</f>
        <v>30-39</v>
      </c>
    </row>
    <row r="996" spans="1:28">
      <c r="A996" t="s">
        <v>2955</v>
      </c>
      <c r="B996" t="s">
        <v>2956</v>
      </c>
      <c r="C996" t="s">
        <v>2957</v>
      </c>
      <c r="D996" t="s">
        <v>26</v>
      </c>
      <c r="E996">
        <v>45</v>
      </c>
      <c r="F996" t="s">
        <v>84</v>
      </c>
      <c r="G996" t="s">
        <v>54</v>
      </c>
      <c r="H996">
        <v>4</v>
      </c>
      <c r="I996" t="s">
        <v>39</v>
      </c>
      <c r="J996" t="s">
        <v>76</v>
      </c>
      <c r="K996">
        <v>3</v>
      </c>
      <c r="L996" t="s">
        <v>72</v>
      </c>
      <c r="M996" t="s">
        <v>56</v>
      </c>
      <c r="N996" t="s">
        <v>33</v>
      </c>
      <c r="O996">
        <v>393420</v>
      </c>
      <c r="P996">
        <v>1</v>
      </c>
      <c r="Q996" t="s">
        <v>34</v>
      </c>
      <c r="R996" s="1">
        <v>43688</v>
      </c>
      <c r="S996" t="s">
        <v>34</v>
      </c>
      <c r="T996">
        <v>3</v>
      </c>
      <c r="U996">
        <v>1</v>
      </c>
      <c r="V996">
        <v>1</v>
      </c>
      <c r="W996">
        <v>1</v>
      </c>
      <c r="X996" t="s">
        <v>11022</v>
      </c>
      <c r="Y996" t="s">
        <v>11022</v>
      </c>
      <c r="Z996" t="str">
        <f>_xlfn.XLOOKUP(Employees[[#This Row],[Education]], EdLevel[EducationLevelID], EdLevel[EducationLevel])</f>
        <v xml:space="preserve">Bachelors </v>
      </c>
      <c r="AA996">
        <f>IF(Employees[[#This Row],[Attrition]] = "Yes", 1, 0)</f>
        <v>0</v>
      </c>
      <c r="AB996" t="str" cm="1">
        <f t="array" ref="AB996">_xlfn.IFS(Employees[[#This Row],[Age]]&lt;30, "20-29", Employees[[#This Row],[Age]]&lt;40, "30-39", Employees[[#This Row],[Age]]&lt;50, "40-49", "TRUE", "50+")</f>
        <v>40-49</v>
      </c>
    </row>
    <row r="997" spans="1:28">
      <c r="A997" t="s">
        <v>2958</v>
      </c>
      <c r="B997" t="s">
        <v>2959</v>
      </c>
      <c r="C997" t="s">
        <v>2960</v>
      </c>
      <c r="D997" t="s">
        <v>38</v>
      </c>
      <c r="E997">
        <v>24</v>
      </c>
      <c r="F997" t="s">
        <v>70</v>
      </c>
      <c r="G997" t="s">
        <v>54</v>
      </c>
      <c r="H997">
        <v>18</v>
      </c>
      <c r="I997" t="s">
        <v>65</v>
      </c>
      <c r="J997" t="s">
        <v>66</v>
      </c>
      <c r="K997">
        <v>3</v>
      </c>
      <c r="L997" t="s">
        <v>55</v>
      </c>
      <c r="M997" t="s">
        <v>85</v>
      </c>
      <c r="N997" t="s">
        <v>33</v>
      </c>
      <c r="O997">
        <v>104807</v>
      </c>
      <c r="P997">
        <v>1</v>
      </c>
      <c r="Q997" t="s">
        <v>34</v>
      </c>
      <c r="R997" s="1">
        <v>43688</v>
      </c>
      <c r="S997" t="s">
        <v>34</v>
      </c>
      <c r="T997">
        <v>3</v>
      </c>
      <c r="U997">
        <v>0</v>
      </c>
      <c r="V997">
        <v>0</v>
      </c>
      <c r="W997">
        <v>1</v>
      </c>
      <c r="X997" t="s">
        <v>11022</v>
      </c>
      <c r="Y997" t="s">
        <v>11022</v>
      </c>
      <c r="Z997" t="str">
        <f>_xlfn.XLOOKUP(Employees[[#This Row],[Education]], EdLevel[EducationLevelID], EdLevel[EducationLevel])</f>
        <v xml:space="preserve">Bachelors </v>
      </c>
      <c r="AA997">
        <f>IF(Employees[[#This Row],[Attrition]] = "Yes", 1, 0)</f>
        <v>0</v>
      </c>
      <c r="AB997" t="str" cm="1">
        <f t="array" ref="AB997">_xlfn.IFS(Employees[[#This Row],[Age]]&lt;30, "20-29", Employees[[#This Row],[Age]]&lt;40, "30-39", Employees[[#This Row],[Age]]&lt;50, "40-49", "TRUE", "50+")</f>
        <v>20-29</v>
      </c>
    </row>
    <row r="998" spans="1:28">
      <c r="A998" t="s">
        <v>2961</v>
      </c>
      <c r="B998" t="s">
        <v>2962</v>
      </c>
      <c r="C998" t="s">
        <v>2963</v>
      </c>
      <c r="D998" t="s">
        <v>26</v>
      </c>
      <c r="E998">
        <v>23</v>
      </c>
      <c r="F998" t="s">
        <v>27</v>
      </c>
      <c r="G998" t="s">
        <v>54</v>
      </c>
      <c r="H998">
        <v>25</v>
      </c>
      <c r="I998" t="s">
        <v>39</v>
      </c>
      <c r="J998" t="s">
        <v>46</v>
      </c>
      <c r="K998">
        <v>2</v>
      </c>
      <c r="L998" t="s">
        <v>77</v>
      </c>
      <c r="M998" t="s">
        <v>85</v>
      </c>
      <c r="N998" t="s">
        <v>33</v>
      </c>
      <c r="O998">
        <v>25425</v>
      </c>
      <c r="P998">
        <v>1</v>
      </c>
      <c r="Q998" t="s">
        <v>34</v>
      </c>
      <c r="R998" s="1">
        <v>43690</v>
      </c>
      <c r="S998" t="s">
        <v>34</v>
      </c>
      <c r="T998">
        <v>3</v>
      </c>
      <c r="U998">
        <v>1</v>
      </c>
      <c r="V998">
        <v>3</v>
      </c>
      <c r="W998">
        <v>2</v>
      </c>
      <c r="X998" t="s">
        <v>11021</v>
      </c>
      <c r="Y998" t="s">
        <v>11021</v>
      </c>
      <c r="Z998" t="str">
        <f>_xlfn.XLOOKUP(Employees[[#This Row],[Education]], EdLevel[EducationLevelID], EdLevel[EducationLevel])</f>
        <v xml:space="preserve">High School </v>
      </c>
      <c r="AA998">
        <f>IF(Employees[[#This Row],[Attrition]] = "Yes", 1, 0)</f>
        <v>0</v>
      </c>
      <c r="AB998" t="str" cm="1">
        <f t="array" ref="AB998">_xlfn.IFS(Employees[[#This Row],[Age]]&lt;30, "20-29", Employees[[#This Row],[Age]]&lt;40, "30-39", Employees[[#This Row],[Age]]&lt;50, "40-49", "TRUE", "50+")</f>
        <v>20-29</v>
      </c>
    </row>
    <row r="999" spans="1:28">
      <c r="A999" t="s">
        <v>2964</v>
      </c>
      <c r="B999" t="s">
        <v>2965</v>
      </c>
      <c r="C999" t="s">
        <v>2966</v>
      </c>
      <c r="D999" t="s">
        <v>38</v>
      </c>
      <c r="E999">
        <v>21</v>
      </c>
      <c r="F999" t="s">
        <v>84</v>
      </c>
      <c r="G999" t="s">
        <v>45</v>
      </c>
      <c r="H999">
        <v>42</v>
      </c>
      <c r="I999" t="s">
        <v>39</v>
      </c>
      <c r="J999" t="s">
        <v>71</v>
      </c>
      <c r="K999">
        <v>4</v>
      </c>
      <c r="L999" t="s">
        <v>77</v>
      </c>
      <c r="M999" t="s">
        <v>207</v>
      </c>
      <c r="N999" t="s">
        <v>49</v>
      </c>
      <c r="O999">
        <v>42303</v>
      </c>
      <c r="P999">
        <v>1</v>
      </c>
      <c r="Q999" t="s">
        <v>41</v>
      </c>
      <c r="R999" s="1">
        <v>43690</v>
      </c>
      <c r="S999" t="s">
        <v>34</v>
      </c>
      <c r="T999">
        <v>3</v>
      </c>
      <c r="U999">
        <v>2</v>
      </c>
      <c r="V999">
        <v>2</v>
      </c>
      <c r="W999">
        <v>2</v>
      </c>
      <c r="X999" t="s">
        <v>11023</v>
      </c>
      <c r="Y999" t="s">
        <v>11023</v>
      </c>
      <c r="Z999" t="str">
        <f>_xlfn.XLOOKUP(Employees[[#This Row],[Education]], EdLevel[EducationLevelID], EdLevel[EducationLevel])</f>
        <v xml:space="preserve">Masters </v>
      </c>
      <c r="AA999">
        <f>IF(Employees[[#This Row],[Attrition]] = "Yes", 1, 0)</f>
        <v>0</v>
      </c>
      <c r="AB999" t="str" cm="1">
        <f t="array" ref="AB999">_xlfn.IFS(Employees[[#This Row],[Age]]&lt;30, "20-29", Employees[[#This Row],[Age]]&lt;40, "30-39", Employees[[#This Row],[Age]]&lt;50, "40-49", "TRUE", "50+")</f>
        <v>20-29</v>
      </c>
    </row>
    <row r="1000" spans="1:28">
      <c r="A1000" t="s">
        <v>2967</v>
      </c>
      <c r="B1000" t="s">
        <v>477</v>
      </c>
      <c r="C1000" t="s">
        <v>2968</v>
      </c>
      <c r="D1000" t="s">
        <v>26</v>
      </c>
      <c r="E1000">
        <v>46</v>
      </c>
      <c r="F1000" t="s">
        <v>27</v>
      </c>
      <c r="G1000" t="s">
        <v>28</v>
      </c>
      <c r="H1000">
        <v>8</v>
      </c>
      <c r="I1000" t="s">
        <v>39</v>
      </c>
      <c r="J1000" t="s">
        <v>66</v>
      </c>
      <c r="K1000">
        <v>3</v>
      </c>
      <c r="L1000" t="s">
        <v>47</v>
      </c>
      <c r="M1000" t="s">
        <v>32</v>
      </c>
      <c r="N1000" t="s">
        <v>49</v>
      </c>
      <c r="O1000">
        <v>249505</v>
      </c>
      <c r="P1000">
        <v>3</v>
      </c>
      <c r="Q1000" t="s">
        <v>41</v>
      </c>
      <c r="R1000" s="1">
        <v>43691</v>
      </c>
      <c r="S1000" t="s">
        <v>34</v>
      </c>
      <c r="T1000">
        <v>3</v>
      </c>
      <c r="U1000">
        <v>2</v>
      </c>
      <c r="V1000">
        <v>2</v>
      </c>
      <c r="W1000">
        <v>1</v>
      </c>
      <c r="X1000" t="s">
        <v>11022</v>
      </c>
      <c r="Y1000" t="s">
        <v>11022</v>
      </c>
      <c r="Z1000" t="str">
        <f>_xlfn.XLOOKUP(Employees[[#This Row],[Education]], EdLevel[EducationLevelID], EdLevel[EducationLevel])</f>
        <v xml:space="preserve">Bachelors </v>
      </c>
      <c r="AA1000">
        <f>IF(Employees[[#This Row],[Attrition]] = "Yes", 1, 0)</f>
        <v>0</v>
      </c>
      <c r="AB1000" t="str" cm="1">
        <f t="array" ref="AB1000">_xlfn.IFS(Employees[[#This Row],[Age]]&lt;30, "20-29", Employees[[#This Row],[Age]]&lt;40, "30-39", Employees[[#This Row],[Age]]&lt;50, "40-49", "TRUE", "50+")</f>
        <v>40-49</v>
      </c>
    </row>
    <row r="1001" spans="1:28">
      <c r="A1001" t="s">
        <v>2969</v>
      </c>
      <c r="B1001" t="s">
        <v>2970</v>
      </c>
      <c r="C1001" t="s">
        <v>2971</v>
      </c>
      <c r="D1001" t="s">
        <v>26</v>
      </c>
      <c r="E1001">
        <v>23</v>
      </c>
      <c r="F1001" t="s">
        <v>27</v>
      </c>
      <c r="G1001" t="s">
        <v>54</v>
      </c>
      <c r="H1001">
        <v>1</v>
      </c>
      <c r="I1001" t="s">
        <v>39</v>
      </c>
      <c r="J1001" t="s">
        <v>30</v>
      </c>
      <c r="K1001">
        <v>1</v>
      </c>
      <c r="L1001" t="s">
        <v>72</v>
      </c>
      <c r="M1001" t="s">
        <v>93</v>
      </c>
      <c r="N1001" t="s">
        <v>33</v>
      </c>
      <c r="O1001">
        <v>62324</v>
      </c>
      <c r="P1001">
        <v>2</v>
      </c>
      <c r="Q1001" t="s">
        <v>34</v>
      </c>
      <c r="R1001" s="1">
        <v>43691</v>
      </c>
      <c r="S1001" t="s">
        <v>34</v>
      </c>
      <c r="T1001">
        <v>3</v>
      </c>
      <c r="U1001">
        <v>1</v>
      </c>
      <c r="V1001">
        <v>3</v>
      </c>
      <c r="W1001">
        <v>3</v>
      </c>
      <c r="X1001" t="s">
        <v>11020</v>
      </c>
      <c r="Y1001" t="s">
        <v>11020</v>
      </c>
      <c r="Z1001" t="str">
        <f>_xlfn.XLOOKUP(Employees[[#This Row],[Education]], EdLevel[EducationLevelID], EdLevel[EducationLevel])</f>
        <v>No Formal Qualifications</v>
      </c>
      <c r="AA1001">
        <f>IF(Employees[[#This Row],[Attrition]] = "Yes", 1, 0)</f>
        <v>0</v>
      </c>
      <c r="AB1001" t="str" cm="1">
        <f t="array" ref="AB1001">_xlfn.IFS(Employees[[#This Row],[Age]]&lt;30, "20-29", Employees[[#This Row],[Age]]&lt;40, "30-39", Employees[[#This Row],[Age]]&lt;50, "40-49", "TRUE", "50+")</f>
        <v>20-29</v>
      </c>
    </row>
    <row r="1002" spans="1:28">
      <c r="A1002" t="s">
        <v>2972</v>
      </c>
      <c r="B1002" t="s">
        <v>2973</v>
      </c>
      <c r="C1002" t="s">
        <v>2974</v>
      </c>
      <c r="D1002" t="s">
        <v>38</v>
      </c>
      <c r="E1002">
        <v>24</v>
      </c>
      <c r="F1002" t="s">
        <v>27</v>
      </c>
      <c r="G1002" t="s">
        <v>54</v>
      </c>
      <c r="H1002">
        <v>36</v>
      </c>
      <c r="I1002" t="s">
        <v>29</v>
      </c>
      <c r="J1002" t="s">
        <v>71</v>
      </c>
      <c r="K1002">
        <v>3</v>
      </c>
      <c r="L1002" t="s">
        <v>72</v>
      </c>
      <c r="M1002" t="s">
        <v>93</v>
      </c>
      <c r="N1002" t="s">
        <v>40</v>
      </c>
      <c r="O1002">
        <v>93015</v>
      </c>
      <c r="P1002">
        <v>0</v>
      </c>
      <c r="Q1002" t="s">
        <v>41</v>
      </c>
      <c r="R1002" s="1">
        <v>43691</v>
      </c>
      <c r="S1002" t="s">
        <v>34</v>
      </c>
      <c r="T1002">
        <v>3</v>
      </c>
      <c r="U1002">
        <v>0</v>
      </c>
      <c r="V1002">
        <v>2</v>
      </c>
      <c r="W1002">
        <v>2</v>
      </c>
      <c r="X1002" t="s">
        <v>11022</v>
      </c>
      <c r="Y1002" t="s">
        <v>11022</v>
      </c>
      <c r="Z1002" t="str">
        <f>_xlfn.XLOOKUP(Employees[[#This Row],[Education]], EdLevel[EducationLevelID], EdLevel[EducationLevel])</f>
        <v xml:space="preserve">Bachelors </v>
      </c>
      <c r="AA1002">
        <f>IF(Employees[[#This Row],[Attrition]] = "Yes", 1, 0)</f>
        <v>0</v>
      </c>
      <c r="AB1002" t="str" cm="1">
        <f t="array" ref="AB1002">_xlfn.IFS(Employees[[#This Row],[Age]]&lt;30, "20-29", Employees[[#This Row],[Age]]&lt;40, "30-39", Employees[[#This Row],[Age]]&lt;50, "40-49", "TRUE", "50+")</f>
        <v>20-29</v>
      </c>
    </row>
    <row r="1003" spans="1:28">
      <c r="A1003" t="s">
        <v>2975</v>
      </c>
      <c r="B1003" t="s">
        <v>2976</v>
      </c>
      <c r="C1003" t="s">
        <v>2977</v>
      </c>
      <c r="D1003" t="s">
        <v>38</v>
      </c>
      <c r="E1003">
        <v>24</v>
      </c>
      <c r="F1003" t="s">
        <v>84</v>
      </c>
      <c r="G1003" t="s">
        <v>54</v>
      </c>
      <c r="H1003">
        <v>44</v>
      </c>
      <c r="I1003" t="s">
        <v>39</v>
      </c>
      <c r="J1003" t="s">
        <v>30</v>
      </c>
      <c r="K1003">
        <v>4</v>
      </c>
      <c r="L1003" t="s">
        <v>55</v>
      </c>
      <c r="M1003" t="s">
        <v>101</v>
      </c>
      <c r="N1003" t="s">
        <v>33</v>
      </c>
      <c r="O1003">
        <v>61230</v>
      </c>
      <c r="P1003">
        <v>1</v>
      </c>
      <c r="Q1003" t="s">
        <v>34</v>
      </c>
      <c r="R1003" s="1">
        <v>43694</v>
      </c>
      <c r="S1003" t="s">
        <v>34</v>
      </c>
      <c r="T1003">
        <v>3</v>
      </c>
      <c r="U1003">
        <v>2</v>
      </c>
      <c r="V1003">
        <v>3</v>
      </c>
      <c r="W1003">
        <v>3</v>
      </c>
      <c r="X1003" t="s">
        <v>11023</v>
      </c>
      <c r="Y1003" t="s">
        <v>11023</v>
      </c>
      <c r="Z1003" t="str">
        <f>_xlfn.XLOOKUP(Employees[[#This Row],[Education]], EdLevel[EducationLevelID], EdLevel[EducationLevel])</f>
        <v xml:space="preserve">Masters </v>
      </c>
      <c r="AA1003">
        <f>IF(Employees[[#This Row],[Attrition]] = "Yes", 1, 0)</f>
        <v>0</v>
      </c>
      <c r="AB1003" t="str" cm="1">
        <f t="array" ref="AB1003">_xlfn.IFS(Employees[[#This Row],[Age]]&lt;30, "20-29", Employees[[#This Row],[Age]]&lt;40, "30-39", Employees[[#This Row],[Age]]&lt;50, "40-49", "TRUE", "50+")</f>
        <v>20-29</v>
      </c>
    </row>
    <row r="1004" spans="1:28">
      <c r="A1004" t="s">
        <v>2978</v>
      </c>
      <c r="B1004" t="s">
        <v>2979</v>
      </c>
      <c r="C1004" t="s">
        <v>2980</v>
      </c>
      <c r="D1004" t="s">
        <v>26</v>
      </c>
      <c r="E1004">
        <v>23</v>
      </c>
      <c r="F1004" t="s">
        <v>27</v>
      </c>
      <c r="G1004" t="s">
        <v>54</v>
      </c>
      <c r="H1004">
        <v>20</v>
      </c>
      <c r="I1004" t="s">
        <v>65</v>
      </c>
      <c r="J1004" t="s">
        <v>30</v>
      </c>
      <c r="K1004">
        <v>3</v>
      </c>
      <c r="L1004" t="s">
        <v>72</v>
      </c>
      <c r="M1004" t="s">
        <v>101</v>
      </c>
      <c r="N1004" t="s">
        <v>33</v>
      </c>
      <c r="O1004">
        <v>85006</v>
      </c>
      <c r="P1004">
        <v>2</v>
      </c>
      <c r="Q1004" t="s">
        <v>34</v>
      </c>
      <c r="R1004" s="1">
        <v>43695</v>
      </c>
      <c r="S1004" t="s">
        <v>34</v>
      </c>
      <c r="T1004">
        <v>3</v>
      </c>
      <c r="U1004">
        <v>2</v>
      </c>
      <c r="V1004">
        <v>3</v>
      </c>
      <c r="W1004">
        <v>0</v>
      </c>
      <c r="X1004" t="s">
        <v>11022</v>
      </c>
      <c r="Y1004" t="s">
        <v>11022</v>
      </c>
      <c r="Z1004" t="str">
        <f>_xlfn.XLOOKUP(Employees[[#This Row],[Education]], EdLevel[EducationLevelID], EdLevel[EducationLevel])</f>
        <v xml:space="preserve">Bachelors </v>
      </c>
      <c r="AA1004">
        <f>IF(Employees[[#This Row],[Attrition]] = "Yes", 1, 0)</f>
        <v>0</v>
      </c>
      <c r="AB1004" t="str" cm="1">
        <f t="array" ref="AB1004">_xlfn.IFS(Employees[[#This Row],[Age]]&lt;30, "20-29", Employees[[#This Row],[Age]]&lt;40, "30-39", Employees[[#This Row],[Age]]&lt;50, "40-49", "TRUE", "50+")</f>
        <v>20-29</v>
      </c>
    </row>
    <row r="1005" spans="1:28">
      <c r="A1005" t="s">
        <v>2981</v>
      </c>
      <c r="B1005" t="s">
        <v>2982</v>
      </c>
      <c r="C1005" t="s">
        <v>2983</v>
      </c>
      <c r="D1005" t="s">
        <v>26</v>
      </c>
      <c r="E1005">
        <v>23</v>
      </c>
      <c r="F1005" t="s">
        <v>84</v>
      </c>
      <c r="G1005" t="s">
        <v>54</v>
      </c>
      <c r="H1005">
        <v>28</v>
      </c>
      <c r="I1005" t="s">
        <v>39</v>
      </c>
      <c r="J1005" t="s">
        <v>30</v>
      </c>
      <c r="K1005">
        <v>2</v>
      </c>
      <c r="L1005" t="s">
        <v>55</v>
      </c>
      <c r="M1005" t="s">
        <v>85</v>
      </c>
      <c r="N1005" t="s">
        <v>40</v>
      </c>
      <c r="O1005">
        <v>57133</v>
      </c>
      <c r="P1005">
        <v>0</v>
      </c>
      <c r="Q1005" t="s">
        <v>34</v>
      </c>
      <c r="R1005" s="1">
        <v>43700</v>
      </c>
      <c r="S1005" t="s">
        <v>41</v>
      </c>
      <c r="T1005">
        <v>3</v>
      </c>
      <c r="U1005">
        <v>0</v>
      </c>
      <c r="V1005">
        <v>0</v>
      </c>
      <c r="W1005">
        <v>1</v>
      </c>
      <c r="X1005" t="s">
        <v>11021</v>
      </c>
      <c r="Y1005" t="s">
        <v>11021</v>
      </c>
      <c r="Z1005" t="str">
        <f>_xlfn.XLOOKUP(Employees[[#This Row],[Education]], EdLevel[EducationLevelID], EdLevel[EducationLevel])</f>
        <v xml:space="preserve">High School </v>
      </c>
      <c r="AA1005">
        <f>IF(Employees[[#This Row],[Attrition]] = "Yes", 1, 0)</f>
        <v>1</v>
      </c>
      <c r="AB1005" t="str" cm="1">
        <f t="array" ref="AB1005">_xlfn.IFS(Employees[[#This Row],[Age]]&lt;30, "20-29", Employees[[#This Row],[Age]]&lt;40, "30-39", Employees[[#This Row],[Age]]&lt;50, "40-49", "TRUE", "50+")</f>
        <v>20-29</v>
      </c>
    </row>
    <row r="1006" spans="1:28">
      <c r="A1006" t="s">
        <v>2984</v>
      </c>
      <c r="B1006" t="s">
        <v>2985</v>
      </c>
      <c r="C1006" t="s">
        <v>2986</v>
      </c>
      <c r="D1006" t="s">
        <v>38</v>
      </c>
      <c r="E1006">
        <v>24</v>
      </c>
      <c r="F1006" t="s">
        <v>27</v>
      </c>
      <c r="G1006" t="s">
        <v>28</v>
      </c>
      <c r="H1006">
        <v>9</v>
      </c>
      <c r="I1006" t="s">
        <v>39</v>
      </c>
      <c r="J1006" t="s">
        <v>30</v>
      </c>
      <c r="K1006">
        <v>4</v>
      </c>
      <c r="L1006" t="s">
        <v>31</v>
      </c>
      <c r="M1006" t="s">
        <v>32</v>
      </c>
      <c r="N1006" t="s">
        <v>33</v>
      </c>
      <c r="O1006">
        <v>110542</v>
      </c>
      <c r="P1006">
        <v>1</v>
      </c>
      <c r="Q1006" t="s">
        <v>34</v>
      </c>
      <c r="R1006" s="1">
        <v>43700</v>
      </c>
      <c r="S1006" t="s">
        <v>34</v>
      </c>
      <c r="T1006">
        <v>3</v>
      </c>
      <c r="U1006">
        <v>3</v>
      </c>
      <c r="V1006">
        <v>3</v>
      </c>
      <c r="W1006">
        <v>2</v>
      </c>
      <c r="X1006" t="s">
        <v>11023</v>
      </c>
      <c r="Y1006" t="s">
        <v>11023</v>
      </c>
      <c r="Z1006" t="str">
        <f>_xlfn.XLOOKUP(Employees[[#This Row],[Education]], EdLevel[EducationLevelID], EdLevel[EducationLevel])</f>
        <v xml:space="preserve">Masters </v>
      </c>
      <c r="AA1006">
        <f>IF(Employees[[#This Row],[Attrition]] = "Yes", 1, 0)</f>
        <v>0</v>
      </c>
      <c r="AB1006" t="str" cm="1">
        <f t="array" ref="AB1006">_xlfn.IFS(Employees[[#This Row],[Age]]&lt;30, "20-29", Employees[[#This Row],[Age]]&lt;40, "30-39", Employees[[#This Row],[Age]]&lt;50, "40-49", "TRUE", "50+")</f>
        <v>20-29</v>
      </c>
    </row>
    <row r="1007" spans="1:28">
      <c r="A1007" t="s">
        <v>2987</v>
      </c>
      <c r="B1007" t="s">
        <v>2988</v>
      </c>
      <c r="C1007" t="s">
        <v>2989</v>
      </c>
      <c r="D1007" t="s">
        <v>26</v>
      </c>
      <c r="E1007">
        <v>21</v>
      </c>
      <c r="F1007" t="s">
        <v>27</v>
      </c>
      <c r="G1007" t="s">
        <v>54</v>
      </c>
      <c r="H1007">
        <v>2</v>
      </c>
      <c r="I1007" t="s">
        <v>39</v>
      </c>
      <c r="J1007" t="s">
        <v>30</v>
      </c>
      <c r="K1007">
        <v>2</v>
      </c>
      <c r="L1007" t="s">
        <v>77</v>
      </c>
      <c r="M1007" t="s">
        <v>85</v>
      </c>
      <c r="N1007" t="s">
        <v>40</v>
      </c>
      <c r="O1007">
        <v>31254</v>
      </c>
      <c r="P1007">
        <v>0</v>
      </c>
      <c r="Q1007" t="s">
        <v>34</v>
      </c>
      <c r="R1007" s="1">
        <v>43702</v>
      </c>
      <c r="S1007" t="s">
        <v>34</v>
      </c>
      <c r="T1007">
        <v>3</v>
      </c>
      <c r="U1007">
        <v>0</v>
      </c>
      <c r="V1007">
        <v>1</v>
      </c>
      <c r="W1007">
        <v>1</v>
      </c>
      <c r="X1007" t="s">
        <v>11021</v>
      </c>
      <c r="Y1007" t="s">
        <v>11021</v>
      </c>
      <c r="Z1007" t="str">
        <f>_xlfn.XLOOKUP(Employees[[#This Row],[Education]], EdLevel[EducationLevelID], EdLevel[EducationLevel])</f>
        <v xml:space="preserve">High School </v>
      </c>
      <c r="AA1007">
        <f>IF(Employees[[#This Row],[Attrition]] = "Yes", 1, 0)</f>
        <v>0</v>
      </c>
      <c r="AB1007" t="str" cm="1">
        <f t="array" ref="AB1007">_xlfn.IFS(Employees[[#This Row],[Age]]&lt;30, "20-29", Employees[[#This Row],[Age]]&lt;40, "30-39", Employees[[#This Row],[Age]]&lt;50, "40-49", "TRUE", "50+")</f>
        <v>20-29</v>
      </c>
    </row>
    <row r="1008" spans="1:28">
      <c r="A1008" t="s">
        <v>2990</v>
      </c>
      <c r="B1008" t="s">
        <v>2991</v>
      </c>
      <c r="C1008" t="s">
        <v>2992</v>
      </c>
      <c r="D1008" t="s">
        <v>38</v>
      </c>
      <c r="E1008">
        <v>50</v>
      </c>
      <c r="F1008" t="s">
        <v>84</v>
      </c>
      <c r="G1008" t="s">
        <v>54</v>
      </c>
      <c r="H1008">
        <v>43</v>
      </c>
      <c r="I1008" t="s">
        <v>39</v>
      </c>
      <c r="J1008" t="s">
        <v>30</v>
      </c>
      <c r="K1008">
        <v>3</v>
      </c>
      <c r="L1008" t="s">
        <v>72</v>
      </c>
      <c r="M1008" t="s">
        <v>56</v>
      </c>
      <c r="N1008" t="s">
        <v>33</v>
      </c>
      <c r="O1008">
        <v>339245</v>
      </c>
      <c r="P1008">
        <v>2</v>
      </c>
      <c r="Q1008" t="s">
        <v>34</v>
      </c>
      <c r="R1008" s="1">
        <v>43703</v>
      </c>
      <c r="S1008" t="s">
        <v>34</v>
      </c>
      <c r="T1008">
        <v>3</v>
      </c>
      <c r="U1008">
        <v>0</v>
      </c>
      <c r="V1008">
        <v>0</v>
      </c>
      <c r="W1008">
        <v>1</v>
      </c>
      <c r="X1008" t="s">
        <v>11022</v>
      </c>
      <c r="Y1008" t="s">
        <v>11022</v>
      </c>
      <c r="Z1008" t="str">
        <f>_xlfn.XLOOKUP(Employees[[#This Row],[Education]], EdLevel[EducationLevelID], EdLevel[EducationLevel])</f>
        <v xml:space="preserve">Bachelors </v>
      </c>
      <c r="AA1008">
        <f>IF(Employees[[#This Row],[Attrition]] = "Yes", 1, 0)</f>
        <v>0</v>
      </c>
      <c r="AB1008" t="str" cm="1">
        <f t="array" ref="AB1008">_xlfn.IFS(Employees[[#This Row],[Age]]&lt;30, "20-29", Employees[[#This Row],[Age]]&lt;40, "30-39", Employees[[#This Row],[Age]]&lt;50, "40-49", "TRUE", "50+")</f>
        <v>50+</v>
      </c>
    </row>
    <row r="1009" spans="1:28">
      <c r="A1009" t="s">
        <v>2993</v>
      </c>
      <c r="B1009" t="s">
        <v>896</v>
      </c>
      <c r="C1009" t="s">
        <v>2994</v>
      </c>
      <c r="D1009" t="s">
        <v>38</v>
      </c>
      <c r="E1009">
        <v>23</v>
      </c>
      <c r="F1009" t="s">
        <v>27</v>
      </c>
      <c r="G1009" t="s">
        <v>54</v>
      </c>
      <c r="H1009">
        <v>35</v>
      </c>
      <c r="I1009" t="s">
        <v>29</v>
      </c>
      <c r="J1009" t="s">
        <v>30</v>
      </c>
      <c r="K1009">
        <v>3</v>
      </c>
      <c r="L1009" t="s">
        <v>55</v>
      </c>
      <c r="M1009" t="s">
        <v>85</v>
      </c>
      <c r="N1009" t="s">
        <v>40</v>
      </c>
      <c r="O1009">
        <v>28704</v>
      </c>
      <c r="P1009">
        <v>0</v>
      </c>
      <c r="Q1009" t="s">
        <v>34</v>
      </c>
      <c r="R1009" s="1">
        <v>43705</v>
      </c>
      <c r="S1009" t="s">
        <v>34</v>
      </c>
      <c r="T1009">
        <v>3</v>
      </c>
      <c r="U1009">
        <v>3</v>
      </c>
      <c r="V1009">
        <v>3</v>
      </c>
      <c r="W1009">
        <v>1</v>
      </c>
      <c r="X1009" t="s">
        <v>11022</v>
      </c>
      <c r="Y1009" t="s">
        <v>11022</v>
      </c>
      <c r="Z1009" t="str">
        <f>_xlfn.XLOOKUP(Employees[[#This Row],[Education]], EdLevel[EducationLevelID], EdLevel[EducationLevel])</f>
        <v xml:space="preserve">Bachelors </v>
      </c>
      <c r="AA1009">
        <f>IF(Employees[[#This Row],[Attrition]] = "Yes", 1, 0)</f>
        <v>0</v>
      </c>
      <c r="AB1009" t="str" cm="1">
        <f t="array" ref="AB1009">_xlfn.IFS(Employees[[#This Row],[Age]]&lt;30, "20-29", Employees[[#This Row],[Age]]&lt;40, "30-39", Employees[[#This Row],[Age]]&lt;50, "40-49", "TRUE", "50+")</f>
        <v>20-29</v>
      </c>
    </row>
    <row r="1010" spans="1:28">
      <c r="A1010" t="s">
        <v>2995</v>
      </c>
      <c r="B1010" t="s">
        <v>2996</v>
      </c>
      <c r="C1010" t="s">
        <v>2997</v>
      </c>
      <c r="D1010" t="s">
        <v>26</v>
      </c>
      <c r="E1010">
        <v>21</v>
      </c>
      <c r="F1010" t="s">
        <v>84</v>
      </c>
      <c r="G1010" t="s">
        <v>54</v>
      </c>
      <c r="H1010">
        <v>7</v>
      </c>
      <c r="I1010" t="s">
        <v>39</v>
      </c>
      <c r="J1010" t="s">
        <v>30</v>
      </c>
      <c r="K1010">
        <v>3</v>
      </c>
      <c r="L1010" t="s">
        <v>55</v>
      </c>
      <c r="M1010" t="s">
        <v>93</v>
      </c>
      <c r="N1010" t="s">
        <v>40</v>
      </c>
      <c r="O1010">
        <v>76518</v>
      </c>
      <c r="P1010">
        <v>0</v>
      </c>
      <c r="Q1010" t="s">
        <v>34</v>
      </c>
      <c r="R1010" s="1">
        <v>43708</v>
      </c>
      <c r="S1010" t="s">
        <v>34</v>
      </c>
      <c r="T1010">
        <v>3</v>
      </c>
      <c r="U1010">
        <v>1</v>
      </c>
      <c r="V1010">
        <v>2</v>
      </c>
      <c r="W1010">
        <v>1</v>
      </c>
      <c r="X1010" t="s">
        <v>11022</v>
      </c>
      <c r="Y1010" t="s">
        <v>11022</v>
      </c>
      <c r="Z1010" t="str">
        <f>_xlfn.XLOOKUP(Employees[[#This Row],[Education]], EdLevel[EducationLevelID], EdLevel[EducationLevel])</f>
        <v xml:space="preserve">Bachelors </v>
      </c>
      <c r="AA1010">
        <f>IF(Employees[[#This Row],[Attrition]] = "Yes", 1, 0)</f>
        <v>0</v>
      </c>
      <c r="AB1010" t="str" cm="1">
        <f t="array" ref="AB1010">_xlfn.IFS(Employees[[#This Row],[Age]]&lt;30, "20-29", Employees[[#This Row],[Age]]&lt;40, "30-39", Employees[[#This Row],[Age]]&lt;50, "40-49", "TRUE", "50+")</f>
        <v>20-29</v>
      </c>
    </row>
    <row r="1011" spans="1:28">
      <c r="A1011" t="s">
        <v>2998</v>
      </c>
      <c r="B1011" t="s">
        <v>2999</v>
      </c>
      <c r="C1011" t="s">
        <v>3000</v>
      </c>
      <c r="D1011" t="s">
        <v>26</v>
      </c>
      <c r="E1011">
        <v>21</v>
      </c>
      <c r="F1011" t="s">
        <v>70</v>
      </c>
      <c r="G1011" t="s">
        <v>28</v>
      </c>
      <c r="H1011">
        <v>25</v>
      </c>
      <c r="I1011" t="s">
        <v>39</v>
      </c>
      <c r="J1011" t="s">
        <v>30</v>
      </c>
      <c r="K1011">
        <v>3</v>
      </c>
      <c r="L1011" t="s">
        <v>31</v>
      </c>
      <c r="M1011" t="s">
        <v>32</v>
      </c>
      <c r="N1011" t="s">
        <v>49</v>
      </c>
      <c r="O1011">
        <v>69078</v>
      </c>
      <c r="P1011">
        <v>1</v>
      </c>
      <c r="Q1011" t="s">
        <v>34</v>
      </c>
      <c r="R1011" s="1">
        <v>43716</v>
      </c>
      <c r="S1011" t="s">
        <v>34</v>
      </c>
      <c r="T1011">
        <v>3</v>
      </c>
      <c r="U1011">
        <v>3</v>
      </c>
      <c r="V1011">
        <v>3</v>
      </c>
      <c r="W1011">
        <v>3</v>
      </c>
      <c r="X1011" t="s">
        <v>11022</v>
      </c>
      <c r="Y1011" t="s">
        <v>11022</v>
      </c>
      <c r="Z1011" t="str">
        <f>_xlfn.XLOOKUP(Employees[[#This Row],[Education]], EdLevel[EducationLevelID], EdLevel[EducationLevel])</f>
        <v xml:space="preserve">Bachelors </v>
      </c>
      <c r="AA1011">
        <f>IF(Employees[[#This Row],[Attrition]] = "Yes", 1, 0)</f>
        <v>0</v>
      </c>
      <c r="AB1011" t="str" cm="1">
        <f t="array" ref="AB1011">_xlfn.IFS(Employees[[#This Row],[Age]]&lt;30, "20-29", Employees[[#This Row],[Age]]&lt;40, "30-39", Employees[[#This Row],[Age]]&lt;50, "40-49", "TRUE", "50+")</f>
        <v>20-29</v>
      </c>
    </row>
    <row r="1012" spans="1:28">
      <c r="A1012" t="s">
        <v>3001</v>
      </c>
      <c r="B1012" t="s">
        <v>3002</v>
      </c>
      <c r="C1012" t="s">
        <v>3003</v>
      </c>
      <c r="D1012" t="s">
        <v>38</v>
      </c>
      <c r="E1012">
        <v>21</v>
      </c>
      <c r="F1012" t="s">
        <v>27</v>
      </c>
      <c r="G1012" t="s">
        <v>54</v>
      </c>
      <c r="H1012">
        <v>30</v>
      </c>
      <c r="I1012" t="s">
        <v>39</v>
      </c>
      <c r="J1012" t="s">
        <v>30</v>
      </c>
      <c r="K1012">
        <v>1</v>
      </c>
      <c r="L1012" t="s">
        <v>55</v>
      </c>
      <c r="M1012" t="s">
        <v>101</v>
      </c>
      <c r="N1012" t="s">
        <v>49</v>
      </c>
      <c r="O1012">
        <v>31624</v>
      </c>
      <c r="P1012">
        <v>0</v>
      </c>
      <c r="Q1012" t="s">
        <v>34</v>
      </c>
      <c r="R1012" s="1">
        <v>43716</v>
      </c>
      <c r="S1012" t="s">
        <v>34</v>
      </c>
      <c r="T1012">
        <v>3</v>
      </c>
      <c r="U1012">
        <v>3</v>
      </c>
      <c r="V1012">
        <v>3</v>
      </c>
      <c r="W1012">
        <v>2</v>
      </c>
      <c r="X1012" t="s">
        <v>11020</v>
      </c>
      <c r="Y1012" t="s">
        <v>11020</v>
      </c>
      <c r="Z1012" t="str">
        <f>_xlfn.XLOOKUP(Employees[[#This Row],[Education]], EdLevel[EducationLevelID], EdLevel[EducationLevel])</f>
        <v>No Formal Qualifications</v>
      </c>
      <c r="AA1012">
        <f>IF(Employees[[#This Row],[Attrition]] = "Yes", 1, 0)</f>
        <v>0</v>
      </c>
      <c r="AB1012" t="str" cm="1">
        <f t="array" ref="AB1012">_xlfn.IFS(Employees[[#This Row],[Age]]&lt;30, "20-29", Employees[[#This Row],[Age]]&lt;40, "30-39", Employees[[#This Row],[Age]]&lt;50, "40-49", "TRUE", "50+")</f>
        <v>20-29</v>
      </c>
    </row>
    <row r="1013" spans="1:28">
      <c r="A1013" t="s">
        <v>3004</v>
      </c>
      <c r="B1013" t="s">
        <v>2246</v>
      </c>
      <c r="C1013" t="s">
        <v>3005</v>
      </c>
      <c r="D1013" t="s">
        <v>26</v>
      </c>
      <c r="E1013">
        <v>22</v>
      </c>
      <c r="F1013" t="s">
        <v>27</v>
      </c>
      <c r="G1013" t="s">
        <v>54</v>
      </c>
      <c r="H1013">
        <v>14</v>
      </c>
      <c r="I1013" t="s">
        <v>39</v>
      </c>
      <c r="J1013" t="s">
        <v>30</v>
      </c>
      <c r="K1013">
        <v>2</v>
      </c>
      <c r="L1013" t="s">
        <v>55</v>
      </c>
      <c r="M1013" t="s">
        <v>85</v>
      </c>
      <c r="N1013" t="s">
        <v>49</v>
      </c>
      <c r="O1013">
        <v>28989</v>
      </c>
      <c r="P1013">
        <v>1</v>
      </c>
      <c r="Q1013" t="s">
        <v>34</v>
      </c>
      <c r="R1013" s="1">
        <v>43717</v>
      </c>
      <c r="S1013" t="s">
        <v>34</v>
      </c>
      <c r="T1013">
        <v>3</v>
      </c>
      <c r="U1013">
        <v>2</v>
      </c>
      <c r="V1013">
        <v>2</v>
      </c>
      <c r="W1013">
        <v>3</v>
      </c>
      <c r="X1013" t="s">
        <v>11021</v>
      </c>
      <c r="Y1013" t="s">
        <v>11021</v>
      </c>
      <c r="Z1013" t="str">
        <f>_xlfn.XLOOKUP(Employees[[#This Row],[Education]], EdLevel[EducationLevelID], EdLevel[EducationLevel])</f>
        <v xml:space="preserve">High School </v>
      </c>
      <c r="AA1013">
        <f>IF(Employees[[#This Row],[Attrition]] = "Yes", 1, 0)</f>
        <v>0</v>
      </c>
      <c r="AB1013" t="str" cm="1">
        <f t="array" ref="AB1013">_xlfn.IFS(Employees[[#This Row],[Age]]&lt;30, "20-29", Employees[[#This Row],[Age]]&lt;40, "30-39", Employees[[#This Row],[Age]]&lt;50, "40-49", "TRUE", "50+")</f>
        <v>20-29</v>
      </c>
    </row>
    <row r="1014" spans="1:28">
      <c r="A1014" t="s">
        <v>3006</v>
      </c>
      <c r="B1014" t="s">
        <v>3007</v>
      </c>
      <c r="C1014" t="s">
        <v>3008</v>
      </c>
      <c r="D1014" t="s">
        <v>38</v>
      </c>
      <c r="E1014">
        <v>23</v>
      </c>
      <c r="F1014" t="s">
        <v>27</v>
      </c>
      <c r="G1014" t="s">
        <v>54</v>
      </c>
      <c r="H1014">
        <v>26</v>
      </c>
      <c r="I1014" t="s">
        <v>65</v>
      </c>
      <c r="J1014" t="s">
        <v>30</v>
      </c>
      <c r="K1014">
        <v>2</v>
      </c>
      <c r="L1014" t="s">
        <v>55</v>
      </c>
      <c r="M1014" t="s">
        <v>85</v>
      </c>
      <c r="N1014" t="s">
        <v>33</v>
      </c>
      <c r="O1014">
        <v>31426</v>
      </c>
      <c r="P1014">
        <v>1</v>
      </c>
      <c r="Q1014" t="s">
        <v>34</v>
      </c>
      <c r="R1014" s="1">
        <v>43720</v>
      </c>
      <c r="S1014" t="s">
        <v>34</v>
      </c>
      <c r="T1014">
        <v>3</v>
      </c>
      <c r="U1014">
        <v>1</v>
      </c>
      <c r="V1014">
        <v>2</v>
      </c>
      <c r="W1014">
        <v>0</v>
      </c>
      <c r="X1014" t="s">
        <v>11021</v>
      </c>
      <c r="Y1014" t="s">
        <v>11021</v>
      </c>
      <c r="Z1014" t="str">
        <f>_xlfn.XLOOKUP(Employees[[#This Row],[Education]], EdLevel[EducationLevelID], EdLevel[EducationLevel])</f>
        <v xml:space="preserve">High School </v>
      </c>
      <c r="AA1014">
        <f>IF(Employees[[#This Row],[Attrition]] = "Yes", 1, 0)</f>
        <v>0</v>
      </c>
      <c r="AB1014" t="str" cm="1">
        <f t="array" ref="AB1014">_xlfn.IFS(Employees[[#This Row],[Age]]&lt;30, "20-29", Employees[[#This Row],[Age]]&lt;40, "30-39", Employees[[#This Row],[Age]]&lt;50, "40-49", "TRUE", "50+")</f>
        <v>20-29</v>
      </c>
    </row>
    <row r="1015" spans="1:28">
      <c r="A1015" t="s">
        <v>3009</v>
      </c>
      <c r="B1015" t="s">
        <v>3010</v>
      </c>
      <c r="C1015" t="s">
        <v>3011</v>
      </c>
      <c r="D1015" t="s">
        <v>26</v>
      </c>
      <c r="E1015">
        <v>21</v>
      </c>
      <c r="F1015" t="s">
        <v>27</v>
      </c>
      <c r="G1015" t="s">
        <v>28</v>
      </c>
      <c r="H1015">
        <v>11</v>
      </c>
      <c r="I1015" t="s">
        <v>65</v>
      </c>
      <c r="J1015" t="s">
        <v>30</v>
      </c>
      <c r="K1015">
        <v>1</v>
      </c>
      <c r="L1015" t="s">
        <v>121</v>
      </c>
      <c r="M1015" t="s">
        <v>150</v>
      </c>
      <c r="N1015" t="s">
        <v>49</v>
      </c>
      <c r="O1015">
        <v>42066</v>
      </c>
      <c r="P1015">
        <v>1</v>
      </c>
      <c r="Q1015" t="s">
        <v>34</v>
      </c>
      <c r="R1015" s="1">
        <v>43721</v>
      </c>
      <c r="S1015" t="s">
        <v>34</v>
      </c>
      <c r="T1015">
        <v>3</v>
      </c>
      <c r="U1015">
        <v>3</v>
      </c>
      <c r="V1015">
        <v>3</v>
      </c>
      <c r="W1015">
        <v>1</v>
      </c>
      <c r="X1015" t="s">
        <v>11020</v>
      </c>
      <c r="Y1015" t="s">
        <v>11020</v>
      </c>
      <c r="Z1015" t="str">
        <f>_xlfn.XLOOKUP(Employees[[#This Row],[Education]], EdLevel[EducationLevelID], EdLevel[EducationLevel])</f>
        <v>No Formal Qualifications</v>
      </c>
      <c r="AA1015">
        <f>IF(Employees[[#This Row],[Attrition]] = "Yes", 1, 0)</f>
        <v>0</v>
      </c>
      <c r="AB1015" t="str" cm="1">
        <f t="array" ref="AB1015">_xlfn.IFS(Employees[[#This Row],[Age]]&lt;30, "20-29", Employees[[#This Row],[Age]]&lt;40, "30-39", Employees[[#This Row],[Age]]&lt;50, "40-49", "TRUE", "50+")</f>
        <v>20-29</v>
      </c>
    </row>
    <row r="1016" spans="1:28">
      <c r="A1016" t="s">
        <v>3012</v>
      </c>
      <c r="B1016" t="s">
        <v>3013</v>
      </c>
      <c r="C1016" t="s">
        <v>3014</v>
      </c>
      <c r="D1016" t="s">
        <v>26</v>
      </c>
      <c r="E1016">
        <v>24</v>
      </c>
      <c r="F1016" t="s">
        <v>27</v>
      </c>
      <c r="G1016" t="s">
        <v>28</v>
      </c>
      <c r="H1016">
        <v>34</v>
      </c>
      <c r="I1016" t="s">
        <v>39</v>
      </c>
      <c r="J1016" t="s">
        <v>30</v>
      </c>
      <c r="K1016">
        <v>1</v>
      </c>
      <c r="L1016" t="s">
        <v>121</v>
      </c>
      <c r="M1016" t="s">
        <v>32</v>
      </c>
      <c r="N1016" t="s">
        <v>40</v>
      </c>
      <c r="O1016">
        <v>107634</v>
      </c>
      <c r="P1016">
        <v>0</v>
      </c>
      <c r="Q1016" t="s">
        <v>34</v>
      </c>
      <c r="R1016" s="1">
        <v>43723</v>
      </c>
      <c r="S1016" t="s">
        <v>34</v>
      </c>
      <c r="T1016">
        <v>3</v>
      </c>
      <c r="U1016">
        <v>2</v>
      </c>
      <c r="V1016">
        <v>2</v>
      </c>
      <c r="W1016">
        <v>2</v>
      </c>
      <c r="X1016" t="s">
        <v>11020</v>
      </c>
      <c r="Y1016" t="s">
        <v>11020</v>
      </c>
      <c r="Z1016" t="str">
        <f>_xlfn.XLOOKUP(Employees[[#This Row],[Education]], EdLevel[EducationLevelID], EdLevel[EducationLevel])</f>
        <v>No Formal Qualifications</v>
      </c>
      <c r="AA1016">
        <f>IF(Employees[[#This Row],[Attrition]] = "Yes", 1, 0)</f>
        <v>0</v>
      </c>
      <c r="AB1016" t="str" cm="1">
        <f t="array" ref="AB1016">_xlfn.IFS(Employees[[#This Row],[Age]]&lt;30, "20-29", Employees[[#This Row],[Age]]&lt;40, "30-39", Employees[[#This Row],[Age]]&lt;50, "40-49", "TRUE", "50+")</f>
        <v>20-29</v>
      </c>
    </row>
    <row r="1017" spans="1:28">
      <c r="A1017" t="s">
        <v>3015</v>
      </c>
      <c r="B1017" t="s">
        <v>2738</v>
      </c>
      <c r="C1017" t="s">
        <v>3016</v>
      </c>
      <c r="D1017" t="s">
        <v>38</v>
      </c>
      <c r="E1017">
        <v>22</v>
      </c>
      <c r="F1017" t="s">
        <v>70</v>
      </c>
      <c r="G1017" t="s">
        <v>28</v>
      </c>
      <c r="H1017">
        <v>41</v>
      </c>
      <c r="I1017" t="s">
        <v>39</v>
      </c>
      <c r="J1017" t="s">
        <v>30</v>
      </c>
      <c r="K1017">
        <v>1</v>
      </c>
      <c r="L1017" t="s">
        <v>47</v>
      </c>
      <c r="M1017" t="s">
        <v>150</v>
      </c>
      <c r="N1017" t="s">
        <v>40</v>
      </c>
      <c r="O1017">
        <v>27961</v>
      </c>
      <c r="P1017">
        <v>0</v>
      </c>
      <c r="Q1017" t="s">
        <v>34</v>
      </c>
      <c r="R1017" s="1">
        <v>43723</v>
      </c>
      <c r="S1017" t="s">
        <v>34</v>
      </c>
      <c r="T1017">
        <v>3</v>
      </c>
      <c r="U1017">
        <v>0</v>
      </c>
      <c r="V1017">
        <v>1</v>
      </c>
      <c r="W1017">
        <v>0</v>
      </c>
      <c r="X1017" t="s">
        <v>11020</v>
      </c>
      <c r="Y1017" t="s">
        <v>11020</v>
      </c>
      <c r="Z1017" t="str">
        <f>_xlfn.XLOOKUP(Employees[[#This Row],[Education]], EdLevel[EducationLevelID], EdLevel[EducationLevel])</f>
        <v>No Formal Qualifications</v>
      </c>
      <c r="AA1017">
        <f>IF(Employees[[#This Row],[Attrition]] = "Yes", 1, 0)</f>
        <v>0</v>
      </c>
      <c r="AB1017" t="str" cm="1">
        <f t="array" ref="AB1017">_xlfn.IFS(Employees[[#This Row],[Age]]&lt;30, "20-29", Employees[[#This Row],[Age]]&lt;40, "30-39", Employees[[#This Row],[Age]]&lt;50, "40-49", "TRUE", "50+")</f>
        <v>20-29</v>
      </c>
    </row>
    <row r="1018" spans="1:28">
      <c r="A1018" t="s">
        <v>3017</v>
      </c>
      <c r="B1018" t="s">
        <v>3018</v>
      </c>
      <c r="C1018" t="s">
        <v>3019</v>
      </c>
      <c r="D1018" t="s">
        <v>38</v>
      </c>
      <c r="E1018">
        <v>23</v>
      </c>
      <c r="F1018" t="s">
        <v>27</v>
      </c>
      <c r="G1018" t="s">
        <v>54</v>
      </c>
      <c r="H1018">
        <v>37</v>
      </c>
      <c r="I1018" t="s">
        <v>39</v>
      </c>
      <c r="J1018" t="s">
        <v>30</v>
      </c>
      <c r="K1018">
        <v>4</v>
      </c>
      <c r="L1018" t="s">
        <v>178</v>
      </c>
      <c r="M1018" t="s">
        <v>105</v>
      </c>
      <c r="N1018" t="s">
        <v>40</v>
      </c>
      <c r="O1018">
        <v>57603</v>
      </c>
      <c r="P1018">
        <v>0</v>
      </c>
      <c r="Q1018" t="s">
        <v>34</v>
      </c>
      <c r="R1018" s="1">
        <v>43726</v>
      </c>
      <c r="S1018" t="s">
        <v>34</v>
      </c>
      <c r="T1018">
        <v>3</v>
      </c>
      <c r="U1018">
        <v>0</v>
      </c>
      <c r="V1018">
        <v>1</v>
      </c>
      <c r="W1018">
        <v>1</v>
      </c>
      <c r="X1018" t="s">
        <v>11023</v>
      </c>
      <c r="Y1018" t="s">
        <v>11023</v>
      </c>
      <c r="Z1018" t="str">
        <f>_xlfn.XLOOKUP(Employees[[#This Row],[Education]], EdLevel[EducationLevelID], EdLevel[EducationLevel])</f>
        <v xml:space="preserve">Masters </v>
      </c>
      <c r="AA1018">
        <f>IF(Employees[[#This Row],[Attrition]] = "Yes", 1, 0)</f>
        <v>0</v>
      </c>
      <c r="AB1018" t="str" cm="1">
        <f t="array" ref="AB1018">_xlfn.IFS(Employees[[#This Row],[Age]]&lt;30, "20-29", Employees[[#This Row],[Age]]&lt;40, "30-39", Employees[[#This Row],[Age]]&lt;50, "40-49", "TRUE", "50+")</f>
        <v>20-29</v>
      </c>
    </row>
    <row r="1019" spans="1:28">
      <c r="A1019" t="s">
        <v>3020</v>
      </c>
      <c r="B1019" t="s">
        <v>3021</v>
      </c>
      <c r="C1019" t="s">
        <v>3022</v>
      </c>
      <c r="D1019" t="s">
        <v>38</v>
      </c>
      <c r="E1019">
        <v>24</v>
      </c>
      <c r="F1019" t="s">
        <v>70</v>
      </c>
      <c r="G1019" t="s">
        <v>54</v>
      </c>
      <c r="H1019">
        <v>21</v>
      </c>
      <c r="I1019" t="s">
        <v>65</v>
      </c>
      <c r="J1019" t="s">
        <v>30</v>
      </c>
      <c r="K1019">
        <v>3</v>
      </c>
      <c r="L1019" t="s">
        <v>72</v>
      </c>
      <c r="M1019" t="s">
        <v>101</v>
      </c>
      <c r="N1019" t="s">
        <v>40</v>
      </c>
      <c r="O1019">
        <v>26451</v>
      </c>
      <c r="P1019">
        <v>0</v>
      </c>
      <c r="Q1019" t="s">
        <v>34</v>
      </c>
      <c r="R1019" s="1">
        <v>43731</v>
      </c>
      <c r="S1019" t="s">
        <v>34</v>
      </c>
      <c r="T1019">
        <v>3</v>
      </c>
      <c r="U1019">
        <v>1</v>
      </c>
      <c r="V1019">
        <v>1</v>
      </c>
      <c r="W1019">
        <v>3</v>
      </c>
      <c r="X1019" t="s">
        <v>11022</v>
      </c>
      <c r="Y1019" t="s">
        <v>11022</v>
      </c>
      <c r="Z1019" t="str">
        <f>_xlfn.XLOOKUP(Employees[[#This Row],[Education]], EdLevel[EducationLevelID], EdLevel[EducationLevel])</f>
        <v xml:space="preserve">Bachelors </v>
      </c>
      <c r="AA1019">
        <f>IF(Employees[[#This Row],[Attrition]] = "Yes", 1, 0)</f>
        <v>0</v>
      </c>
      <c r="AB1019" t="str" cm="1">
        <f t="array" ref="AB1019">_xlfn.IFS(Employees[[#This Row],[Age]]&lt;30, "20-29", Employees[[#This Row],[Age]]&lt;40, "30-39", Employees[[#This Row],[Age]]&lt;50, "40-49", "TRUE", "50+")</f>
        <v>20-29</v>
      </c>
    </row>
    <row r="1020" spans="1:28">
      <c r="A1020" t="s">
        <v>3023</v>
      </c>
      <c r="B1020" t="s">
        <v>2642</v>
      </c>
      <c r="C1020" t="s">
        <v>3024</v>
      </c>
      <c r="D1020" t="s">
        <v>26</v>
      </c>
      <c r="E1020">
        <v>24</v>
      </c>
      <c r="F1020" t="s">
        <v>27</v>
      </c>
      <c r="G1020" t="s">
        <v>54</v>
      </c>
      <c r="H1020">
        <v>20</v>
      </c>
      <c r="I1020" t="s">
        <v>39</v>
      </c>
      <c r="J1020" t="s">
        <v>30</v>
      </c>
      <c r="K1020">
        <v>1</v>
      </c>
      <c r="L1020" t="s">
        <v>55</v>
      </c>
      <c r="M1020" t="s">
        <v>101</v>
      </c>
      <c r="N1020" t="s">
        <v>33</v>
      </c>
      <c r="O1020">
        <v>32930</v>
      </c>
      <c r="P1020">
        <v>2</v>
      </c>
      <c r="Q1020" t="s">
        <v>41</v>
      </c>
      <c r="R1020" s="1">
        <v>43732</v>
      </c>
      <c r="S1020" t="s">
        <v>34</v>
      </c>
      <c r="T1020">
        <v>3</v>
      </c>
      <c r="U1020">
        <v>3</v>
      </c>
      <c r="V1020">
        <v>3</v>
      </c>
      <c r="W1020">
        <v>0</v>
      </c>
      <c r="X1020" t="s">
        <v>11020</v>
      </c>
      <c r="Y1020" t="s">
        <v>11020</v>
      </c>
      <c r="Z1020" t="str">
        <f>_xlfn.XLOOKUP(Employees[[#This Row],[Education]], EdLevel[EducationLevelID], EdLevel[EducationLevel])</f>
        <v>No Formal Qualifications</v>
      </c>
      <c r="AA1020">
        <f>IF(Employees[[#This Row],[Attrition]] = "Yes", 1, 0)</f>
        <v>0</v>
      </c>
      <c r="AB1020" t="str" cm="1">
        <f t="array" ref="AB1020">_xlfn.IFS(Employees[[#This Row],[Age]]&lt;30, "20-29", Employees[[#This Row],[Age]]&lt;40, "30-39", Employees[[#This Row],[Age]]&lt;50, "40-49", "TRUE", "50+")</f>
        <v>20-29</v>
      </c>
    </row>
    <row r="1021" spans="1:28">
      <c r="A1021" t="s">
        <v>3025</v>
      </c>
      <c r="B1021" t="s">
        <v>3026</v>
      </c>
      <c r="C1021" t="s">
        <v>3027</v>
      </c>
      <c r="D1021" t="s">
        <v>38</v>
      </c>
      <c r="E1021">
        <v>24</v>
      </c>
      <c r="F1021" t="s">
        <v>27</v>
      </c>
      <c r="G1021" t="s">
        <v>54</v>
      </c>
      <c r="H1021">
        <v>9</v>
      </c>
      <c r="I1021" t="s">
        <v>39</v>
      </c>
      <c r="J1021" t="s">
        <v>30</v>
      </c>
      <c r="K1021">
        <v>3</v>
      </c>
      <c r="L1021" t="s">
        <v>178</v>
      </c>
      <c r="M1021" t="s">
        <v>101</v>
      </c>
      <c r="N1021" t="s">
        <v>49</v>
      </c>
      <c r="O1021">
        <v>33443</v>
      </c>
      <c r="P1021">
        <v>1</v>
      </c>
      <c r="Q1021" t="s">
        <v>41</v>
      </c>
      <c r="R1021" s="1">
        <v>43732</v>
      </c>
      <c r="S1021" t="s">
        <v>34</v>
      </c>
      <c r="T1021">
        <v>3</v>
      </c>
      <c r="U1021">
        <v>3</v>
      </c>
      <c r="V1021">
        <v>3</v>
      </c>
      <c r="W1021">
        <v>0</v>
      </c>
      <c r="X1021" t="s">
        <v>11022</v>
      </c>
      <c r="Y1021" t="s">
        <v>11022</v>
      </c>
      <c r="Z1021" t="str">
        <f>_xlfn.XLOOKUP(Employees[[#This Row],[Education]], EdLevel[EducationLevelID], EdLevel[EducationLevel])</f>
        <v xml:space="preserve">Bachelors </v>
      </c>
      <c r="AA1021">
        <f>IF(Employees[[#This Row],[Attrition]] = "Yes", 1, 0)</f>
        <v>0</v>
      </c>
      <c r="AB1021" t="str" cm="1">
        <f t="array" ref="AB1021">_xlfn.IFS(Employees[[#This Row],[Age]]&lt;30, "20-29", Employees[[#This Row],[Age]]&lt;40, "30-39", Employees[[#This Row],[Age]]&lt;50, "40-49", "TRUE", "50+")</f>
        <v>20-29</v>
      </c>
    </row>
    <row r="1022" spans="1:28">
      <c r="A1022" t="s">
        <v>3028</v>
      </c>
      <c r="B1022" t="s">
        <v>3029</v>
      </c>
      <c r="C1022" t="s">
        <v>3030</v>
      </c>
      <c r="D1022" t="s">
        <v>38</v>
      </c>
      <c r="E1022">
        <v>23</v>
      </c>
      <c r="F1022" t="s">
        <v>27</v>
      </c>
      <c r="G1022" t="s">
        <v>28</v>
      </c>
      <c r="H1022">
        <v>44</v>
      </c>
      <c r="I1022" t="s">
        <v>65</v>
      </c>
      <c r="J1022" t="s">
        <v>30</v>
      </c>
      <c r="K1022">
        <v>2</v>
      </c>
      <c r="L1022" t="s">
        <v>121</v>
      </c>
      <c r="M1022" t="s">
        <v>32</v>
      </c>
      <c r="N1022" t="s">
        <v>49</v>
      </c>
      <c r="O1022">
        <v>100314</v>
      </c>
      <c r="P1022">
        <v>3</v>
      </c>
      <c r="Q1022" t="s">
        <v>41</v>
      </c>
      <c r="R1022" s="1">
        <v>43733</v>
      </c>
      <c r="S1022" t="s">
        <v>34</v>
      </c>
      <c r="T1022">
        <v>3</v>
      </c>
      <c r="U1022">
        <v>2</v>
      </c>
      <c r="V1022">
        <v>3</v>
      </c>
      <c r="W1022">
        <v>3</v>
      </c>
      <c r="X1022" t="s">
        <v>11021</v>
      </c>
      <c r="Y1022" t="s">
        <v>11021</v>
      </c>
      <c r="Z1022" t="str">
        <f>_xlfn.XLOOKUP(Employees[[#This Row],[Education]], EdLevel[EducationLevelID], EdLevel[EducationLevel])</f>
        <v xml:space="preserve">High School </v>
      </c>
      <c r="AA1022">
        <f>IF(Employees[[#This Row],[Attrition]] = "Yes", 1, 0)</f>
        <v>0</v>
      </c>
      <c r="AB1022" t="str" cm="1">
        <f t="array" ref="AB1022">_xlfn.IFS(Employees[[#This Row],[Age]]&lt;30, "20-29", Employees[[#This Row],[Age]]&lt;40, "30-39", Employees[[#This Row],[Age]]&lt;50, "40-49", "TRUE", "50+")</f>
        <v>20-29</v>
      </c>
    </row>
    <row r="1023" spans="1:28">
      <c r="A1023" t="s">
        <v>3031</v>
      </c>
      <c r="B1023" t="s">
        <v>3032</v>
      </c>
      <c r="C1023" t="s">
        <v>3033</v>
      </c>
      <c r="D1023" t="s">
        <v>53</v>
      </c>
      <c r="E1023">
        <v>23</v>
      </c>
      <c r="F1023" t="s">
        <v>27</v>
      </c>
      <c r="G1023" t="s">
        <v>54</v>
      </c>
      <c r="H1023">
        <v>20</v>
      </c>
      <c r="I1023" t="s">
        <v>39</v>
      </c>
      <c r="J1023" t="s">
        <v>30</v>
      </c>
      <c r="K1023">
        <v>1</v>
      </c>
      <c r="L1023" t="s">
        <v>55</v>
      </c>
      <c r="M1023" t="s">
        <v>101</v>
      </c>
      <c r="N1023" t="s">
        <v>33</v>
      </c>
      <c r="O1023">
        <v>45995</v>
      </c>
      <c r="P1023">
        <v>1</v>
      </c>
      <c r="Q1023" t="s">
        <v>34</v>
      </c>
      <c r="R1023" s="1">
        <v>43735</v>
      </c>
      <c r="S1023" t="s">
        <v>34</v>
      </c>
      <c r="T1023">
        <v>3</v>
      </c>
      <c r="U1023">
        <v>1</v>
      </c>
      <c r="V1023">
        <v>1</v>
      </c>
      <c r="W1023">
        <v>2</v>
      </c>
      <c r="X1023" t="s">
        <v>11020</v>
      </c>
      <c r="Y1023" t="s">
        <v>11020</v>
      </c>
      <c r="Z1023" t="str">
        <f>_xlfn.XLOOKUP(Employees[[#This Row],[Education]], EdLevel[EducationLevelID], EdLevel[EducationLevel])</f>
        <v>No Formal Qualifications</v>
      </c>
      <c r="AA1023">
        <f>IF(Employees[[#This Row],[Attrition]] = "Yes", 1, 0)</f>
        <v>0</v>
      </c>
      <c r="AB1023" t="str" cm="1">
        <f t="array" ref="AB1023">_xlfn.IFS(Employees[[#This Row],[Age]]&lt;30, "20-29", Employees[[#This Row],[Age]]&lt;40, "30-39", Employees[[#This Row],[Age]]&lt;50, "40-49", "TRUE", "50+")</f>
        <v>20-29</v>
      </c>
    </row>
    <row r="1024" spans="1:28">
      <c r="A1024" t="s">
        <v>3034</v>
      </c>
      <c r="B1024" t="s">
        <v>3035</v>
      </c>
      <c r="C1024" t="s">
        <v>3036</v>
      </c>
      <c r="D1024" t="s">
        <v>26</v>
      </c>
      <c r="E1024">
        <v>21</v>
      </c>
      <c r="F1024" t="s">
        <v>27</v>
      </c>
      <c r="G1024" t="s">
        <v>54</v>
      </c>
      <c r="H1024">
        <v>17</v>
      </c>
      <c r="I1024" t="s">
        <v>65</v>
      </c>
      <c r="J1024" t="s">
        <v>30</v>
      </c>
      <c r="K1024">
        <v>3</v>
      </c>
      <c r="L1024" t="s">
        <v>55</v>
      </c>
      <c r="M1024" t="s">
        <v>105</v>
      </c>
      <c r="N1024" t="s">
        <v>40</v>
      </c>
      <c r="O1024">
        <v>44940</v>
      </c>
      <c r="P1024">
        <v>0</v>
      </c>
      <c r="Q1024" t="s">
        <v>34</v>
      </c>
      <c r="R1024" s="1">
        <v>43745</v>
      </c>
      <c r="S1024" t="s">
        <v>34</v>
      </c>
      <c r="T1024">
        <v>3</v>
      </c>
      <c r="U1024">
        <v>3</v>
      </c>
      <c r="V1024">
        <v>3</v>
      </c>
      <c r="W1024">
        <v>0</v>
      </c>
      <c r="X1024" t="s">
        <v>11022</v>
      </c>
      <c r="Y1024" t="s">
        <v>11022</v>
      </c>
      <c r="Z1024" t="str">
        <f>_xlfn.XLOOKUP(Employees[[#This Row],[Education]], EdLevel[EducationLevelID], EdLevel[EducationLevel])</f>
        <v xml:space="preserve">Bachelors </v>
      </c>
      <c r="AA1024">
        <f>IF(Employees[[#This Row],[Attrition]] = "Yes", 1, 0)</f>
        <v>0</v>
      </c>
      <c r="AB1024" t="str" cm="1">
        <f t="array" ref="AB1024">_xlfn.IFS(Employees[[#This Row],[Age]]&lt;30, "20-29", Employees[[#This Row],[Age]]&lt;40, "30-39", Employees[[#This Row],[Age]]&lt;50, "40-49", "TRUE", "50+")</f>
        <v>20-29</v>
      </c>
    </row>
    <row r="1025" spans="1:28">
      <c r="A1025" t="s">
        <v>3037</v>
      </c>
      <c r="B1025" t="s">
        <v>3038</v>
      </c>
      <c r="C1025" t="s">
        <v>3039</v>
      </c>
      <c r="D1025" t="s">
        <v>38</v>
      </c>
      <c r="E1025">
        <v>21</v>
      </c>
      <c r="F1025" t="s">
        <v>27</v>
      </c>
      <c r="G1025" t="s">
        <v>54</v>
      </c>
      <c r="H1025">
        <v>7</v>
      </c>
      <c r="I1025" t="s">
        <v>39</v>
      </c>
      <c r="J1025" t="s">
        <v>30</v>
      </c>
      <c r="K1025">
        <v>3</v>
      </c>
      <c r="L1025" t="s">
        <v>55</v>
      </c>
      <c r="M1025" t="s">
        <v>85</v>
      </c>
      <c r="N1025" t="s">
        <v>49</v>
      </c>
      <c r="O1025">
        <v>40561</v>
      </c>
      <c r="P1025">
        <v>1</v>
      </c>
      <c r="Q1025" t="s">
        <v>34</v>
      </c>
      <c r="R1025" s="1">
        <v>43747</v>
      </c>
      <c r="S1025" t="s">
        <v>34</v>
      </c>
      <c r="T1025">
        <v>3</v>
      </c>
      <c r="U1025">
        <v>3</v>
      </c>
      <c r="V1025">
        <v>3</v>
      </c>
      <c r="W1025">
        <v>1</v>
      </c>
      <c r="X1025" t="s">
        <v>11022</v>
      </c>
      <c r="Y1025" t="s">
        <v>11022</v>
      </c>
      <c r="Z1025" t="str">
        <f>_xlfn.XLOOKUP(Employees[[#This Row],[Education]], EdLevel[EducationLevelID], EdLevel[EducationLevel])</f>
        <v xml:space="preserve">Bachelors </v>
      </c>
      <c r="AA1025">
        <f>IF(Employees[[#This Row],[Attrition]] = "Yes", 1, 0)</f>
        <v>0</v>
      </c>
      <c r="AB1025" t="str" cm="1">
        <f t="array" ref="AB1025">_xlfn.IFS(Employees[[#This Row],[Age]]&lt;30, "20-29", Employees[[#This Row],[Age]]&lt;40, "30-39", Employees[[#This Row],[Age]]&lt;50, "40-49", "TRUE", "50+")</f>
        <v>20-29</v>
      </c>
    </row>
    <row r="1026" spans="1:28">
      <c r="A1026" t="s">
        <v>3040</v>
      </c>
      <c r="B1026" t="s">
        <v>360</v>
      </c>
      <c r="C1026" t="s">
        <v>3041</v>
      </c>
      <c r="D1026" t="s">
        <v>26</v>
      </c>
      <c r="E1026">
        <v>24</v>
      </c>
      <c r="F1026" t="s">
        <v>27</v>
      </c>
      <c r="G1026" t="s">
        <v>28</v>
      </c>
      <c r="H1026">
        <v>7</v>
      </c>
      <c r="I1026" t="s">
        <v>65</v>
      </c>
      <c r="J1026" t="s">
        <v>30</v>
      </c>
      <c r="K1026">
        <v>3</v>
      </c>
      <c r="L1026" t="s">
        <v>31</v>
      </c>
      <c r="M1026" t="s">
        <v>32</v>
      </c>
      <c r="N1026" t="s">
        <v>49</v>
      </c>
      <c r="O1026">
        <v>106586</v>
      </c>
      <c r="P1026">
        <v>1</v>
      </c>
      <c r="Q1026" t="s">
        <v>34</v>
      </c>
      <c r="R1026" s="1">
        <v>43752</v>
      </c>
      <c r="S1026" t="s">
        <v>34</v>
      </c>
      <c r="T1026">
        <v>3</v>
      </c>
      <c r="U1026">
        <v>1</v>
      </c>
      <c r="V1026">
        <v>3</v>
      </c>
      <c r="W1026">
        <v>3</v>
      </c>
      <c r="X1026" t="s">
        <v>11022</v>
      </c>
      <c r="Y1026" t="s">
        <v>11022</v>
      </c>
      <c r="Z1026" t="str">
        <f>_xlfn.XLOOKUP(Employees[[#This Row],[Education]], EdLevel[EducationLevelID], EdLevel[EducationLevel])</f>
        <v xml:space="preserve">Bachelors </v>
      </c>
      <c r="AA1026">
        <f>IF(Employees[[#This Row],[Attrition]] = "Yes", 1, 0)</f>
        <v>0</v>
      </c>
      <c r="AB1026" t="str" cm="1">
        <f t="array" ref="AB1026">_xlfn.IFS(Employees[[#This Row],[Age]]&lt;30, "20-29", Employees[[#This Row],[Age]]&lt;40, "30-39", Employees[[#This Row],[Age]]&lt;50, "40-49", "TRUE", "50+")</f>
        <v>20-29</v>
      </c>
    </row>
    <row r="1027" spans="1:28">
      <c r="A1027" t="s">
        <v>3042</v>
      </c>
      <c r="B1027" t="s">
        <v>3043</v>
      </c>
      <c r="C1027" t="s">
        <v>3044</v>
      </c>
      <c r="D1027" t="s">
        <v>26</v>
      </c>
      <c r="E1027">
        <v>22</v>
      </c>
      <c r="F1027" t="s">
        <v>27</v>
      </c>
      <c r="G1027" t="s">
        <v>28</v>
      </c>
      <c r="H1027">
        <v>16</v>
      </c>
      <c r="I1027" t="s">
        <v>65</v>
      </c>
      <c r="J1027" t="s">
        <v>30</v>
      </c>
      <c r="K1027">
        <v>3</v>
      </c>
      <c r="L1027" t="s">
        <v>31</v>
      </c>
      <c r="M1027" t="s">
        <v>32</v>
      </c>
      <c r="N1027" t="s">
        <v>49</v>
      </c>
      <c r="O1027">
        <v>48432</v>
      </c>
      <c r="P1027">
        <v>1</v>
      </c>
      <c r="Q1027" t="s">
        <v>34</v>
      </c>
      <c r="R1027" s="1">
        <v>43755</v>
      </c>
      <c r="S1027" t="s">
        <v>34</v>
      </c>
      <c r="T1027">
        <v>3</v>
      </c>
      <c r="U1027">
        <v>0</v>
      </c>
      <c r="V1027">
        <v>0</v>
      </c>
      <c r="W1027">
        <v>3</v>
      </c>
      <c r="X1027" t="s">
        <v>11022</v>
      </c>
      <c r="Y1027" t="s">
        <v>11022</v>
      </c>
      <c r="Z1027" t="str">
        <f>_xlfn.XLOOKUP(Employees[[#This Row],[Education]], EdLevel[EducationLevelID], EdLevel[EducationLevel])</f>
        <v xml:space="preserve">Bachelors </v>
      </c>
      <c r="AA1027">
        <f>IF(Employees[[#This Row],[Attrition]] = "Yes", 1, 0)</f>
        <v>0</v>
      </c>
      <c r="AB1027" t="str" cm="1">
        <f t="array" ref="AB1027">_xlfn.IFS(Employees[[#This Row],[Age]]&lt;30, "20-29", Employees[[#This Row],[Age]]&lt;40, "30-39", Employees[[#This Row],[Age]]&lt;50, "40-49", "TRUE", "50+")</f>
        <v>20-29</v>
      </c>
    </row>
    <row r="1028" spans="1:28">
      <c r="A1028" t="s">
        <v>3045</v>
      </c>
      <c r="B1028" t="s">
        <v>3046</v>
      </c>
      <c r="C1028" t="s">
        <v>3047</v>
      </c>
      <c r="D1028" t="s">
        <v>26</v>
      </c>
      <c r="E1028">
        <v>23</v>
      </c>
      <c r="F1028" t="s">
        <v>27</v>
      </c>
      <c r="G1028" t="s">
        <v>54</v>
      </c>
      <c r="H1028">
        <v>15</v>
      </c>
      <c r="I1028" t="s">
        <v>39</v>
      </c>
      <c r="J1028" t="s">
        <v>30</v>
      </c>
      <c r="K1028">
        <v>2</v>
      </c>
      <c r="L1028" t="s">
        <v>72</v>
      </c>
      <c r="M1028" t="s">
        <v>93</v>
      </c>
      <c r="N1028" t="s">
        <v>33</v>
      </c>
      <c r="O1028">
        <v>78275</v>
      </c>
      <c r="P1028">
        <v>2</v>
      </c>
      <c r="Q1028" t="s">
        <v>34</v>
      </c>
      <c r="R1028" s="1">
        <v>43756</v>
      </c>
      <c r="S1028" t="s">
        <v>34</v>
      </c>
      <c r="T1028">
        <v>3</v>
      </c>
      <c r="U1028">
        <v>0</v>
      </c>
      <c r="V1028">
        <v>3</v>
      </c>
      <c r="W1028">
        <v>2</v>
      </c>
      <c r="X1028" t="s">
        <v>11021</v>
      </c>
      <c r="Y1028" t="s">
        <v>11021</v>
      </c>
      <c r="Z1028" t="str">
        <f>_xlfn.XLOOKUP(Employees[[#This Row],[Education]], EdLevel[EducationLevelID], EdLevel[EducationLevel])</f>
        <v xml:space="preserve">High School </v>
      </c>
      <c r="AA1028">
        <f>IF(Employees[[#This Row],[Attrition]] = "Yes", 1, 0)</f>
        <v>0</v>
      </c>
      <c r="AB1028" t="str" cm="1">
        <f t="array" ref="AB1028">_xlfn.IFS(Employees[[#This Row],[Age]]&lt;30, "20-29", Employees[[#This Row],[Age]]&lt;40, "30-39", Employees[[#This Row],[Age]]&lt;50, "40-49", "TRUE", "50+")</f>
        <v>20-29</v>
      </c>
    </row>
    <row r="1029" spans="1:28">
      <c r="A1029" t="s">
        <v>3048</v>
      </c>
      <c r="B1029" t="s">
        <v>3049</v>
      </c>
      <c r="C1029" t="s">
        <v>3050</v>
      </c>
      <c r="D1029" t="s">
        <v>38</v>
      </c>
      <c r="E1029">
        <v>22</v>
      </c>
      <c r="F1029" t="s">
        <v>27</v>
      </c>
      <c r="G1029" t="s">
        <v>54</v>
      </c>
      <c r="H1029">
        <v>32</v>
      </c>
      <c r="I1029" t="s">
        <v>39</v>
      </c>
      <c r="J1029" t="s">
        <v>30</v>
      </c>
      <c r="K1029">
        <v>4</v>
      </c>
      <c r="L1029" t="s">
        <v>77</v>
      </c>
      <c r="M1029" t="s">
        <v>101</v>
      </c>
      <c r="N1029" t="s">
        <v>49</v>
      </c>
      <c r="O1029">
        <v>34823</v>
      </c>
      <c r="P1029">
        <v>2</v>
      </c>
      <c r="Q1029" t="s">
        <v>34</v>
      </c>
      <c r="R1029" s="1">
        <v>43759</v>
      </c>
      <c r="S1029" t="s">
        <v>34</v>
      </c>
      <c r="T1029">
        <v>3</v>
      </c>
      <c r="U1029">
        <v>3</v>
      </c>
      <c r="V1029">
        <v>3</v>
      </c>
      <c r="W1029">
        <v>3</v>
      </c>
      <c r="X1029" t="s">
        <v>11023</v>
      </c>
      <c r="Y1029" t="s">
        <v>11023</v>
      </c>
      <c r="Z1029" t="str">
        <f>_xlfn.XLOOKUP(Employees[[#This Row],[Education]], EdLevel[EducationLevelID], EdLevel[EducationLevel])</f>
        <v xml:space="preserve">Masters </v>
      </c>
      <c r="AA1029">
        <f>IF(Employees[[#This Row],[Attrition]] = "Yes", 1, 0)</f>
        <v>0</v>
      </c>
      <c r="AB1029" t="str" cm="1">
        <f t="array" ref="AB1029">_xlfn.IFS(Employees[[#This Row],[Age]]&lt;30, "20-29", Employees[[#This Row],[Age]]&lt;40, "30-39", Employees[[#This Row],[Age]]&lt;50, "40-49", "TRUE", "50+")</f>
        <v>20-29</v>
      </c>
    </row>
    <row r="1030" spans="1:28">
      <c r="A1030" t="s">
        <v>3051</v>
      </c>
      <c r="B1030" t="s">
        <v>3052</v>
      </c>
      <c r="C1030" t="s">
        <v>3053</v>
      </c>
      <c r="D1030" t="s">
        <v>26</v>
      </c>
      <c r="E1030">
        <v>37</v>
      </c>
      <c r="F1030" t="s">
        <v>27</v>
      </c>
      <c r="G1030" t="s">
        <v>28</v>
      </c>
      <c r="H1030">
        <v>20</v>
      </c>
      <c r="I1030" t="s">
        <v>29</v>
      </c>
      <c r="J1030" t="s">
        <v>30</v>
      </c>
      <c r="K1030">
        <v>3</v>
      </c>
      <c r="L1030" t="s">
        <v>121</v>
      </c>
      <c r="M1030" t="s">
        <v>32</v>
      </c>
      <c r="N1030" t="s">
        <v>49</v>
      </c>
      <c r="O1030">
        <v>195447</v>
      </c>
      <c r="P1030">
        <v>1</v>
      </c>
      <c r="Q1030" t="s">
        <v>41</v>
      </c>
      <c r="R1030" s="1">
        <v>43760</v>
      </c>
      <c r="S1030" t="s">
        <v>34</v>
      </c>
      <c r="T1030">
        <v>3</v>
      </c>
      <c r="U1030">
        <v>3</v>
      </c>
      <c r="V1030">
        <v>3</v>
      </c>
      <c r="W1030">
        <v>3</v>
      </c>
      <c r="X1030" t="s">
        <v>11022</v>
      </c>
      <c r="Y1030" t="s">
        <v>11022</v>
      </c>
      <c r="Z1030" t="str">
        <f>_xlfn.XLOOKUP(Employees[[#This Row],[Education]], EdLevel[EducationLevelID], EdLevel[EducationLevel])</f>
        <v xml:space="preserve">Bachelors </v>
      </c>
      <c r="AA1030">
        <f>IF(Employees[[#This Row],[Attrition]] = "Yes", 1, 0)</f>
        <v>0</v>
      </c>
      <c r="AB1030" t="str" cm="1">
        <f t="array" ref="AB1030">_xlfn.IFS(Employees[[#This Row],[Age]]&lt;30, "20-29", Employees[[#This Row],[Age]]&lt;40, "30-39", Employees[[#This Row],[Age]]&lt;50, "40-49", "TRUE", "50+")</f>
        <v>30-39</v>
      </c>
    </row>
    <row r="1031" spans="1:28">
      <c r="A1031" t="s">
        <v>3054</v>
      </c>
      <c r="B1031" t="s">
        <v>3055</v>
      </c>
      <c r="C1031" t="s">
        <v>3056</v>
      </c>
      <c r="D1031" t="s">
        <v>38</v>
      </c>
      <c r="E1031">
        <v>22</v>
      </c>
      <c r="F1031" t="s">
        <v>27</v>
      </c>
      <c r="G1031" t="s">
        <v>54</v>
      </c>
      <c r="H1031">
        <v>26</v>
      </c>
      <c r="I1031" t="s">
        <v>39</v>
      </c>
      <c r="J1031" t="s">
        <v>30</v>
      </c>
      <c r="K1031">
        <v>3</v>
      </c>
      <c r="L1031" t="s">
        <v>72</v>
      </c>
      <c r="M1031" t="s">
        <v>93</v>
      </c>
      <c r="N1031" t="s">
        <v>49</v>
      </c>
      <c r="O1031">
        <v>62509</v>
      </c>
      <c r="P1031">
        <v>2</v>
      </c>
      <c r="Q1031" t="s">
        <v>34</v>
      </c>
      <c r="R1031" s="1">
        <v>43761</v>
      </c>
      <c r="S1031" t="s">
        <v>41</v>
      </c>
      <c r="T1031">
        <v>1</v>
      </c>
      <c r="U1031">
        <v>0</v>
      </c>
      <c r="V1031">
        <v>0</v>
      </c>
      <c r="W1031">
        <v>0</v>
      </c>
      <c r="X1031" t="s">
        <v>11022</v>
      </c>
      <c r="Y1031" t="s">
        <v>11022</v>
      </c>
      <c r="Z1031" t="str">
        <f>_xlfn.XLOOKUP(Employees[[#This Row],[Education]], EdLevel[EducationLevelID], EdLevel[EducationLevel])</f>
        <v xml:space="preserve">Bachelors </v>
      </c>
      <c r="AA1031">
        <f>IF(Employees[[#This Row],[Attrition]] = "Yes", 1, 0)</f>
        <v>1</v>
      </c>
      <c r="AB1031" t="str" cm="1">
        <f t="array" ref="AB1031">_xlfn.IFS(Employees[[#This Row],[Age]]&lt;30, "20-29", Employees[[#This Row],[Age]]&lt;40, "30-39", Employees[[#This Row],[Age]]&lt;50, "40-49", "TRUE", "50+")</f>
        <v>20-29</v>
      </c>
    </row>
    <row r="1032" spans="1:28">
      <c r="A1032" t="s">
        <v>3057</v>
      </c>
      <c r="B1032" t="s">
        <v>3058</v>
      </c>
      <c r="C1032" t="s">
        <v>3059</v>
      </c>
      <c r="D1032" t="s">
        <v>26</v>
      </c>
      <c r="E1032">
        <v>24</v>
      </c>
      <c r="F1032" t="s">
        <v>27</v>
      </c>
      <c r="G1032" t="s">
        <v>28</v>
      </c>
      <c r="H1032">
        <v>41</v>
      </c>
      <c r="I1032" t="s">
        <v>65</v>
      </c>
      <c r="J1032" t="s">
        <v>30</v>
      </c>
      <c r="K1032">
        <v>1</v>
      </c>
      <c r="L1032" t="s">
        <v>121</v>
      </c>
      <c r="M1032" t="s">
        <v>32</v>
      </c>
      <c r="N1032" t="s">
        <v>49</v>
      </c>
      <c r="O1032">
        <v>73498</v>
      </c>
      <c r="P1032">
        <v>0</v>
      </c>
      <c r="Q1032" t="s">
        <v>41</v>
      </c>
      <c r="R1032" s="1">
        <v>43766</v>
      </c>
      <c r="S1032" t="s">
        <v>34</v>
      </c>
      <c r="T1032">
        <v>3</v>
      </c>
      <c r="U1032">
        <v>2</v>
      </c>
      <c r="V1032">
        <v>2</v>
      </c>
      <c r="W1032">
        <v>0</v>
      </c>
      <c r="X1032" t="s">
        <v>11020</v>
      </c>
      <c r="Y1032" t="s">
        <v>11020</v>
      </c>
      <c r="Z1032" t="str">
        <f>_xlfn.XLOOKUP(Employees[[#This Row],[Education]], EdLevel[EducationLevelID], EdLevel[EducationLevel])</f>
        <v>No Formal Qualifications</v>
      </c>
      <c r="AA1032">
        <f>IF(Employees[[#This Row],[Attrition]] = "Yes", 1, 0)</f>
        <v>0</v>
      </c>
      <c r="AB1032" t="str" cm="1">
        <f t="array" ref="AB1032">_xlfn.IFS(Employees[[#This Row],[Age]]&lt;30, "20-29", Employees[[#This Row],[Age]]&lt;40, "30-39", Employees[[#This Row],[Age]]&lt;50, "40-49", "TRUE", "50+")</f>
        <v>20-29</v>
      </c>
    </row>
    <row r="1033" spans="1:28">
      <c r="A1033" t="s">
        <v>3060</v>
      </c>
      <c r="B1033" t="s">
        <v>3061</v>
      </c>
      <c r="C1033" t="s">
        <v>3062</v>
      </c>
      <c r="D1033" t="s">
        <v>26</v>
      </c>
      <c r="E1033">
        <v>48</v>
      </c>
      <c r="F1033" t="s">
        <v>27</v>
      </c>
      <c r="G1033" t="s">
        <v>54</v>
      </c>
      <c r="H1033">
        <v>9</v>
      </c>
      <c r="I1033" t="s">
        <v>39</v>
      </c>
      <c r="J1033" t="s">
        <v>30</v>
      </c>
      <c r="K1033">
        <v>4</v>
      </c>
      <c r="L1033" t="s">
        <v>178</v>
      </c>
      <c r="M1033" t="s">
        <v>182</v>
      </c>
      <c r="N1033" t="s">
        <v>33</v>
      </c>
      <c r="O1033">
        <v>517695</v>
      </c>
      <c r="P1033">
        <v>1</v>
      </c>
      <c r="Q1033" t="s">
        <v>34</v>
      </c>
      <c r="R1033" s="1">
        <v>43767</v>
      </c>
      <c r="S1033" t="s">
        <v>34</v>
      </c>
      <c r="T1033">
        <v>3</v>
      </c>
      <c r="U1033">
        <v>2</v>
      </c>
      <c r="V1033">
        <v>2</v>
      </c>
      <c r="W1033">
        <v>3</v>
      </c>
      <c r="X1033" t="s">
        <v>11023</v>
      </c>
      <c r="Y1033" t="s">
        <v>11023</v>
      </c>
      <c r="Z1033" t="str">
        <f>_xlfn.XLOOKUP(Employees[[#This Row],[Education]], EdLevel[EducationLevelID], EdLevel[EducationLevel])</f>
        <v xml:space="preserve">Masters </v>
      </c>
      <c r="AA1033">
        <f>IF(Employees[[#This Row],[Attrition]] = "Yes", 1, 0)</f>
        <v>0</v>
      </c>
      <c r="AB1033" t="str" cm="1">
        <f t="array" ref="AB1033">_xlfn.IFS(Employees[[#This Row],[Age]]&lt;30, "20-29", Employees[[#This Row],[Age]]&lt;40, "30-39", Employees[[#This Row],[Age]]&lt;50, "40-49", "TRUE", "50+")</f>
        <v>40-49</v>
      </c>
    </row>
    <row r="1034" spans="1:28">
      <c r="A1034" t="s">
        <v>3063</v>
      </c>
      <c r="B1034" t="s">
        <v>3064</v>
      </c>
      <c r="C1034" t="s">
        <v>3065</v>
      </c>
      <c r="D1034" t="s">
        <v>38</v>
      </c>
      <c r="E1034">
        <v>24</v>
      </c>
      <c r="F1034" t="s">
        <v>27</v>
      </c>
      <c r="G1034" t="s">
        <v>54</v>
      </c>
      <c r="H1034">
        <v>7</v>
      </c>
      <c r="I1034" t="s">
        <v>65</v>
      </c>
      <c r="J1034" t="s">
        <v>30</v>
      </c>
      <c r="K1034">
        <v>3</v>
      </c>
      <c r="L1034" t="s">
        <v>77</v>
      </c>
      <c r="M1034" t="s">
        <v>93</v>
      </c>
      <c r="N1034" t="s">
        <v>40</v>
      </c>
      <c r="O1034">
        <v>121470</v>
      </c>
      <c r="P1034">
        <v>0</v>
      </c>
      <c r="Q1034" t="s">
        <v>34</v>
      </c>
      <c r="R1034" s="1">
        <v>43769</v>
      </c>
      <c r="S1034" t="s">
        <v>34</v>
      </c>
      <c r="T1034">
        <v>3</v>
      </c>
      <c r="U1034">
        <v>2</v>
      </c>
      <c r="V1034">
        <v>2</v>
      </c>
      <c r="W1034">
        <v>3</v>
      </c>
      <c r="X1034" t="s">
        <v>11022</v>
      </c>
      <c r="Y1034" t="s">
        <v>11022</v>
      </c>
      <c r="Z1034" t="str">
        <f>_xlfn.XLOOKUP(Employees[[#This Row],[Education]], EdLevel[EducationLevelID], EdLevel[EducationLevel])</f>
        <v xml:space="preserve">Bachelors </v>
      </c>
      <c r="AA1034">
        <f>IF(Employees[[#This Row],[Attrition]] = "Yes", 1, 0)</f>
        <v>0</v>
      </c>
      <c r="AB1034" t="str" cm="1">
        <f t="array" ref="AB1034">_xlfn.IFS(Employees[[#This Row],[Age]]&lt;30, "20-29", Employees[[#This Row],[Age]]&lt;40, "30-39", Employees[[#This Row],[Age]]&lt;50, "40-49", "TRUE", "50+")</f>
        <v>20-29</v>
      </c>
    </row>
    <row r="1035" spans="1:28">
      <c r="A1035" t="s">
        <v>3066</v>
      </c>
      <c r="B1035" t="s">
        <v>3067</v>
      </c>
      <c r="C1035" t="s">
        <v>3068</v>
      </c>
      <c r="D1035" t="s">
        <v>26</v>
      </c>
      <c r="E1035">
        <v>23</v>
      </c>
      <c r="F1035" t="s">
        <v>27</v>
      </c>
      <c r="G1035" t="s">
        <v>28</v>
      </c>
      <c r="H1035">
        <v>34</v>
      </c>
      <c r="I1035" t="s">
        <v>65</v>
      </c>
      <c r="J1035" t="s">
        <v>30</v>
      </c>
      <c r="K1035">
        <v>2</v>
      </c>
      <c r="L1035" t="s">
        <v>121</v>
      </c>
      <c r="M1035" t="s">
        <v>32</v>
      </c>
      <c r="N1035" t="s">
        <v>40</v>
      </c>
      <c r="O1035">
        <v>88382</v>
      </c>
      <c r="P1035">
        <v>0</v>
      </c>
      <c r="Q1035" t="s">
        <v>34</v>
      </c>
      <c r="R1035" s="1">
        <v>43770</v>
      </c>
      <c r="S1035" t="s">
        <v>34</v>
      </c>
      <c r="T1035">
        <v>3</v>
      </c>
      <c r="U1035">
        <v>1</v>
      </c>
      <c r="V1035">
        <v>3</v>
      </c>
      <c r="W1035">
        <v>1</v>
      </c>
      <c r="X1035" t="s">
        <v>11021</v>
      </c>
      <c r="Y1035" t="s">
        <v>11021</v>
      </c>
      <c r="Z1035" t="str">
        <f>_xlfn.XLOOKUP(Employees[[#This Row],[Education]], EdLevel[EducationLevelID], EdLevel[EducationLevel])</f>
        <v xml:space="preserve">High School </v>
      </c>
      <c r="AA1035">
        <f>IF(Employees[[#This Row],[Attrition]] = "Yes", 1, 0)</f>
        <v>0</v>
      </c>
      <c r="AB1035" t="str" cm="1">
        <f t="array" ref="AB1035">_xlfn.IFS(Employees[[#This Row],[Age]]&lt;30, "20-29", Employees[[#This Row],[Age]]&lt;40, "30-39", Employees[[#This Row],[Age]]&lt;50, "40-49", "TRUE", "50+")</f>
        <v>20-29</v>
      </c>
    </row>
    <row r="1036" spans="1:28">
      <c r="A1036" t="s">
        <v>3069</v>
      </c>
      <c r="B1036" t="s">
        <v>3070</v>
      </c>
      <c r="C1036" t="s">
        <v>1656</v>
      </c>
      <c r="D1036" t="s">
        <v>38</v>
      </c>
      <c r="E1036">
        <v>24</v>
      </c>
      <c r="F1036" t="s">
        <v>27</v>
      </c>
      <c r="G1036" t="s">
        <v>54</v>
      </c>
      <c r="H1036">
        <v>18</v>
      </c>
      <c r="I1036" t="s">
        <v>39</v>
      </c>
      <c r="J1036" t="s">
        <v>30</v>
      </c>
      <c r="K1036">
        <v>3</v>
      </c>
      <c r="L1036" t="s">
        <v>72</v>
      </c>
      <c r="M1036" t="s">
        <v>101</v>
      </c>
      <c r="N1036" t="s">
        <v>49</v>
      </c>
      <c r="O1036">
        <v>29722</v>
      </c>
      <c r="P1036">
        <v>1</v>
      </c>
      <c r="Q1036" t="s">
        <v>34</v>
      </c>
      <c r="R1036" s="1">
        <v>43775</v>
      </c>
      <c r="S1036" t="s">
        <v>34</v>
      </c>
      <c r="T1036">
        <v>3</v>
      </c>
      <c r="U1036">
        <v>1</v>
      </c>
      <c r="V1036">
        <v>3</v>
      </c>
      <c r="W1036">
        <v>2</v>
      </c>
      <c r="X1036" t="s">
        <v>11022</v>
      </c>
      <c r="Y1036" t="s">
        <v>11022</v>
      </c>
      <c r="Z1036" t="str">
        <f>_xlfn.XLOOKUP(Employees[[#This Row],[Education]], EdLevel[EducationLevelID], EdLevel[EducationLevel])</f>
        <v xml:space="preserve">Bachelors </v>
      </c>
      <c r="AA1036">
        <f>IF(Employees[[#This Row],[Attrition]] = "Yes", 1, 0)</f>
        <v>0</v>
      </c>
      <c r="AB1036" t="str" cm="1">
        <f t="array" ref="AB1036">_xlfn.IFS(Employees[[#This Row],[Age]]&lt;30, "20-29", Employees[[#This Row],[Age]]&lt;40, "30-39", Employees[[#This Row],[Age]]&lt;50, "40-49", "TRUE", "50+")</f>
        <v>20-29</v>
      </c>
    </row>
    <row r="1037" spans="1:28">
      <c r="A1037" t="s">
        <v>3071</v>
      </c>
      <c r="B1037" t="s">
        <v>3072</v>
      </c>
      <c r="C1037" t="s">
        <v>3073</v>
      </c>
      <c r="D1037" t="s">
        <v>38</v>
      </c>
      <c r="E1037">
        <v>22</v>
      </c>
      <c r="F1037" t="s">
        <v>84</v>
      </c>
      <c r="G1037" t="s">
        <v>54</v>
      </c>
      <c r="H1037">
        <v>45</v>
      </c>
      <c r="I1037" t="s">
        <v>39</v>
      </c>
      <c r="J1037" t="s">
        <v>30</v>
      </c>
      <c r="K1037">
        <v>2</v>
      </c>
      <c r="L1037" t="s">
        <v>55</v>
      </c>
      <c r="M1037" t="s">
        <v>101</v>
      </c>
      <c r="N1037" t="s">
        <v>40</v>
      </c>
      <c r="O1037">
        <v>26782</v>
      </c>
      <c r="P1037">
        <v>0</v>
      </c>
      <c r="Q1037" t="s">
        <v>41</v>
      </c>
      <c r="R1037" s="1">
        <v>43777</v>
      </c>
      <c r="S1037" t="s">
        <v>41</v>
      </c>
      <c r="T1037">
        <v>3</v>
      </c>
      <c r="U1037">
        <v>0</v>
      </c>
      <c r="V1037">
        <v>2</v>
      </c>
      <c r="W1037">
        <v>0</v>
      </c>
      <c r="X1037" t="s">
        <v>11021</v>
      </c>
      <c r="Y1037" t="s">
        <v>11021</v>
      </c>
      <c r="Z1037" t="str">
        <f>_xlfn.XLOOKUP(Employees[[#This Row],[Education]], EdLevel[EducationLevelID], EdLevel[EducationLevel])</f>
        <v xml:space="preserve">High School </v>
      </c>
      <c r="AA1037">
        <f>IF(Employees[[#This Row],[Attrition]] = "Yes", 1, 0)</f>
        <v>1</v>
      </c>
      <c r="AB1037" t="str" cm="1">
        <f t="array" ref="AB1037">_xlfn.IFS(Employees[[#This Row],[Age]]&lt;30, "20-29", Employees[[#This Row],[Age]]&lt;40, "30-39", Employees[[#This Row],[Age]]&lt;50, "40-49", "TRUE", "50+")</f>
        <v>20-29</v>
      </c>
    </row>
    <row r="1038" spans="1:28">
      <c r="A1038" t="s">
        <v>3074</v>
      </c>
      <c r="B1038" t="s">
        <v>3075</v>
      </c>
      <c r="C1038" t="s">
        <v>3076</v>
      </c>
      <c r="D1038" t="s">
        <v>38</v>
      </c>
      <c r="E1038">
        <v>25</v>
      </c>
      <c r="F1038" t="s">
        <v>27</v>
      </c>
      <c r="G1038" t="s">
        <v>28</v>
      </c>
      <c r="H1038">
        <v>33</v>
      </c>
      <c r="I1038" t="s">
        <v>65</v>
      </c>
      <c r="J1038" t="s">
        <v>30</v>
      </c>
      <c r="K1038">
        <v>5</v>
      </c>
      <c r="L1038" t="s">
        <v>31</v>
      </c>
      <c r="M1038" t="s">
        <v>32</v>
      </c>
      <c r="N1038" t="s">
        <v>33</v>
      </c>
      <c r="O1038">
        <v>87347</v>
      </c>
      <c r="P1038">
        <v>3</v>
      </c>
      <c r="Q1038" t="s">
        <v>41</v>
      </c>
      <c r="R1038" s="1">
        <v>43778</v>
      </c>
      <c r="S1038" t="s">
        <v>41</v>
      </c>
      <c r="T1038">
        <v>2</v>
      </c>
      <c r="U1038">
        <v>1</v>
      </c>
      <c r="V1038">
        <v>1</v>
      </c>
      <c r="W1038">
        <v>0</v>
      </c>
      <c r="X1038" t="s">
        <v>11024</v>
      </c>
      <c r="Y1038" t="s">
        <v>11024</v>
      </c>
      <c r="Z1038" t="str">
        <f>_xlfn.XLOOKUP(Employees[[#This Row],[Education]], EdLevel[EducationLevelID], EdLevel[EducationLevel])</f>
        <v>Doctorate</v>
      </c>
      <c r="AA1038">
        <f>IF(Employees[[#This Row],[Attrition]] = "Yes", 1, 0)</f>
        <v>1</v>
      </c>
      <c r="AB1038" t="str" cm="1">
        <f t="array" ref="AB1038">_xlfn.IFS(Employees[[#This Row],[Age]]&lt;30, "20-29", Employees[[#This Row],[Age]]&lt;40, "30-39", Employees[[#This Row],[Age]]&lt;50, "40-49", "TRUE", "50+")</f>
        <v>20-29</v>
      </c>
    </row>
    <row r="1039" spans="1:28">
      <c r="A1039" t="s">
        <v>3077</v>
      </c>
      <c r="B1039" t="s">
        <v>3078</v>
      </c>
      <c r="C1039" t="s">
        <v>3079</v>
      </c>
      <c r="D1039" t="s">
        <v>26</v>
      </c>
      <c r="E1039">
        <v>23</v>
      </c>
      <c r="F1039" t="s">
        <v>84</v>
      </c>
      <c r="G1039" t="s">
        <v>28</v>
      </c>
      <c r="H1039">
        <v>26</v>
      </c>
      <c r="I1039" t="s">
        <v>65</v>
      </c>
      <c r="J1039" t="s">
        <v>30</v>
      </c>
      <c r="K1039">
        <v>1</v>
      </c>
      <c r="L1039" t="s">
        <v>31</v>
      </c>
      <c r="M1039" t="s">
        <v>32</v>
      </c>
      <c r="N1039" t="s">
        <v>49</v>
      </c>
      <c r="O1039">
        <v>44646</v>
      </c>
      <c r="P1039">
        <v>1</v>
      </c>
      <c r="Q1039" t="s">
        <v>34</v>
      </c>
      <c r="R1039" s="1">
        <v>43784</v>
      </c>
      <c r="S1039" t="s">
        <v>34</v>
      </c>
      <c r="T1039">
        <v>3</v>
      </c>
      <c r="U1039">
        <v>1</v>
      </c>
      <c r="V1039">
        <v>2</v>
      </c>
      <c r="W1039">
        <v>2</v>
      </c>
      <c r="X1039" t="s">
        <v>11020</v>
      </c>
      <c r="Y1039" t="s">
        <v>11020</v>
      </c>
      <c r="Z1039" t="str">
        <f>_xlfn.XLOOKUP(Employees[[#This Row],[Education]], EdLevel[EducationLevelID], EdLevel[EducationLevel])</f>
        <v>No Formal Qualifications</v>
      </c>
      <c r="AA1039">
        <f>IF(Employees[[#This Row],[Attrition]] = "Yes", 1, 0)</f>
        <v>0</v>
      </c>
      <c r="AB1039" t="str" cm="1">
        <f t="array" ref="AB1039">_xlfn.IFS(Employees[[#This Row],[Age]]&lt;30, "20-29", Employees[[#This Row],[Age]]&lt;40, "30-39", Employees[[#This Row],[Age]]&lt;50, "40-49", "TRUE", "50+")</f>
        <v>20-29</v>
      </c>
    </row>
    <row r="1040" spans="1:28">
      <c r="A1040" t="s">
        <v>3080</v>
      </c>
      <c r="B1040" t="s">
        <v>650</v>
      </c>
      <c r="C1040" t="s">
        <v>3081</v>
      </c>
      <c r="D1040" t="s">
        <v>26</v>
      </c>
      <c r="E1040">
        <v>24</v>
      </c>
      <c r="F1040" t="s">
        <v>70</v>
      </c>
      <c r="G1040" t="s">
        <v>28</v>
      </c>
      <c r="H1040">
        <v>30</v>
      </c>
      <c r="I1040" t="s">
        <v>39</v>
      </c>
      <c r="J1040" t="s">
        <v>30</v>
      </c>
      <c r="K1040">
        <v>4</v>
      </c>
      <c r="L1040" t="s">
        <v>47</v>
      </c>
      <c r="M1040" t="s">
        <v>150</v>
      </c>
      <c r="N1040" t="s">
        <v>33</v>
      </c>
      <c r="O1040">
        <v>28898</v>
      </c>
      <c r="P1040">
        <v>2</v>
      </c>
      <c r="Q1040" t="s">
        <v>34</v>
      </c>
      <c r="R1040" s="1">
        <v>43784</v>
      </c>
      <c r="S1040" t="s">
        <v>34</v>
      </c>
      <c r="T1040">
        <v>3</v>
      </c>
      <c r="U1040">
        <v>0</v>
      </c>
      <c r="V1040">
        <v>1</v>
      </c>
      <c r="W1040">
        <v>0</v>
      </c>
      <c r="X1040" t="s">
        <v>11023</v>
      </c>
      <c r="Y1040" t="s">
        <v>11023</v>
      </c>
      <c r="Z1040" t="str">
        <f>_xlfn.XLOOKUP(Employees[[#This Row],[Education]], EdLevel[EducationLevelID], EdLevel[EducationLevel])</f>
        <v xml:space="preserve">Masters </v>
      </c>
      <c r="AA1040">
        <f>IF(Employees[[#This Row],[Attrition]] = "Yes", 1, 0)</f>
        <v>0</v>
      </c>
      <c r="AB1040" t="str" cm="1">
        <f t="array" ref="AB1040">_xlfn.IFS(Employees[[#This Row],[Age]]&lt;30, "20-29", Employees[[#This Row],[Age]]&lt;40, "30-39", Employees[[#This Row],[Age]]&lt;50, "40-49", "TRUE", "50+")</f>
        <v>20-29</v>
      </c>
    </row>
    <row r="1041" spans="1:28">
      <c r="A1041" t="s">
        <v>3082</v>
      </c>
      <c r="B1041" t="s">
        <v>3083</v>
      </c>
      <c r="C1041" t="s">
        <v>3084</v>
      </c>
      <c r="D1041" t="s">
        <v>38</v>
      </c>
      <c r="E1041">
        <v>24</v>
      </c>
      <c r="F1041" t="s">
        <v>70</v>
      </c>
      <c r="G1041" t="s">
        <v>54</v>
      </c>
      <c r="H1041">
        <v>19</v>
      </c>
      <c r="I1041" t="s">
        <v>65</v>
      </c>
      <c r="J1041" t="s">
        <v>30</v>
      </c>
      <c r="K1041">
        <v>1</v>
      </c>
      <c r="L1041" t="s">
        <v>72</v>
      </c>
      <c r="M1041" t="s">
        <v>56</v>
      </c>
      <c r="N1041" t="s">
        <v>49</v>
      </c>
      <c r="O1041">
        <v>115110</v>
      </c>
      <c r="P1041">
        <v>2</v>
      </c>
      <c r="Q1041" t="s">
        <v>34</v>
      </c>
      <c r="R1041" s="1">
        <v>43788</v>
      </c>
      <c r="S1041" t="s">
        <v>34</v>
      </c>
      <c r="T1041">
        <v>3</v>
      </c>
      <c r="U1041">
        <v>3</v>
      </c>
      <c r="V1041">
        <v>3</v>
      </c>
      <c r="W1041">
        <v>3</v>
      </c>
      <c r="X1041" t="s">
        <v>11020</v>
      </c>
      <c r="Y1041" t="s">
        <v>11020</v>
      </c>
      <c r="Z1041" t="str">
        <f>_xlfn.XLOOKUP(Employees[[#This Row],[Education]], EdLevel[EducationLevelID], EdLevel[EducationLevel])</f>
        <v>No Formal Qualifications</v>
      </c>
      <c r="AA1041">
        <f>IF(Employees[[#This Row],[Attrition]] = "Yes", 1, 0)</f>
        <v>0</v>
      </c>
      <c r="AB1041" t="str" cm="1">
        <f t="array" ref="AB1041">_xlfn.IFS(Employees[[#This Row],[Age]]&lt;30, "20-29", Employees[[#This Row],[Age]]&lt;40, "30-39", Employees[[#This Row],[Age]]&lt;50, "40-49", "TRUE", "50+")</f>
        <v>20-29</v>
      </c>
    </row>
    <row r="1042" spans="1:28">
      <c r="A1042" t="s">
        <v>3085</v>
      </c>
      <c r="B1042" t="s">
        <v>3086</v>
      </c>
      <c r="C1042" t="s">
        <v>3087</v>
      </c>
      <c r="D1042" t="s">
        <v>38</v>
      </c>
      <c r="E1042">
        <v>23</v>
      </c>
      <c r="F1042" t="s">
        <v>70</v>
      </c>
      <c r="G1042" t="s">
        <v>28</v>
      </c>
      <c r="H1042">
        <v>10</v>
      </c>
      <c r="I1042" t="s">
        <v>65</v>
      </c>
      <c r="J1042" t="s">
        <v>30</v>
      </c>
      <c r="K1042">
        <v>2</v>
      </c>
      <c r="L1042" t="s">
        <v>47</v>
      </c>
      <c r="M1042" t="s">
        <v>32</v>
      </c>
      <c r="N1042" t="s">
        <v>40</v>
      </c>
      <c r="O1042">
        <v>94417</v>
      </c>
      <c r="P1042">
        <v>0</v>
      </c>
      <c r="Q1042" t="s">
        <v>34</v>
      </c>
      <c r="R1042" s="1">
        <v>43802</v>
      </c>
      <c r="S1042" t="s">
        <v>34</v>
      </c>
      <c r="T1042">
        <v>3</v>
      </c>
      <c r="U1042">
        <v>3</v>
      </c>
      <c r="V1042">
        <v>3</v>
      </c>
      <c r="W1042">
        <v>2</v>
      </c>
      <c r="X1042" t="s">
        <v>11021</v>
      </c>
      <c r="Y1042" t="s">
        <v>11021</v>
      </c>
      <c r="Z1042" t="str">
        <f>_xlfn.XLOOKUP(Employees[[#This Row],[Education]], EdLevel[EducationLevelID], EdLevel[EducationLevel])</f>
        <v xml:space="preserve">High School </v>
      </c>
      <c r="AA1042">
        <f>IF(Employees[[#This Row],[Attrition]] = "Yes", 1, 0)</f>
        <v>0</v>
      </c>
      <c r="AB1042" t="str" cm="1">
        <f t="array" ref="AB1042">_xlfn.IFS(Employees[[#This Row],[Age]]&lt;30, "20-29", Employees[[#This Row],[Age]]&lt;40, "30-39", Employees[[#This Row],[Age]]&lt;50, "40-49", "TRUE", "50+")</f>
        <v>20-29</v>
      </c>
    </row>
    <row r="1043" spans="1:28">
      <c r="A1043" t="s">
        <v>3088</v>
      </c>
      <c r="B1043" t="s">
        <v>3089</v>
      </c>
      <c r="C1043" t="s">
        <v>3090</v>
      </c>
      <c r="D1043" t="s">
        <v>38</v>
      </c>
      <c r="E1043">
        <v>21</v>
      </c>
      <c r="F1043" t="s">
        <v>27</v>
      </c>
      <c r="G1043" t="s">
        <v>54</v>
      </c>
      <c r="H1043">
        <v>16</v>
      </c>
      <c r="I1043" t="s">
        <v>39</v>
      </c>
      <c r="J1043" t="s">
        <v>30</v>
      </c>
      <c r="K1043">
        <v>1</v>
      </c>
      <c r="L1043" t="s">
        <v>72</v>
      </c>
      <c r="M1043" t="s">
        <v>101</v>
      </c>
      <c r="N1043" t="s">
        <v>40</v>
      </c>
      <c r="O1043">
        <v>22515</v>
      </c>
      <c r="P1043">
        <v>0</v>
      </c>
      <c r="Q1043" t="s">
        <v>41</v>
      </c>
      <c r="R1043" s="1">
        <v>43804</v>
      </c>
      <c r="S1043" t="s">
        <v>41</v>
      </c>
      <c r="T1043">
        <v>1</v>
      </c>
      <c r="U1043">
        <v>0</v>
      </c>
      <c r="V1043">
        <v>0</v>
      </c>
      <c r="W1043">
        <v>0</v>
      </c>
      <c r="X1043" t="s">
        <v>11020</v>
      </c>
      <c r="Y1043" t="s">
        <v>11020</v>
      </c>
      <c r="Z1043" t="str">
        <f>_xlfn.XLOOKUP(Employees[[#This Row],[Education]], EdLevel[EducationLevelID], EdLevel[EducationLevel])</f>
        <v>No Formal Qualifications</v>
      </c>
      <c r="AA1043">
        <f>IF(Employees[[#This Row],[Attrition]] = "Yes", 1, 0)</f>
        <v>1</v>
      </c>
      <c r="AB1043" t="str" cm="1">
        <f t="array" ref="AB1043">_xlfn.IFS(Employees[[#This Row],[Age]]&lt;30, "20-29", Employees[[#This Row],[Age]]&lt;40, "30-39", Employees[[#This Row],[Age]]&lt;50, "40-49", "TRUE", "50+")</f>
        <v>20-29</v>
      </c>
    </row>
    <row r="1044" spans="1:28">
      <c r="A1044" t="s">
        <v>3091</v>
      </c>
      <c r="B1044" t="s">
        <v>809</v>
      </c>
      <c r="C1044" t="s">
        <v>3092</v>
      </c>
      <c r="D1044" t="s">
        <v>38</v>
      </c>
      <c r="E1044">
        <v>21</v>
      </c>
      <c r="F1044" t="s">
        <v>27</v>
      </c>
      <c r="G1044" t="s">
        <v>54</v>
      </c>
      <c r="H1044">
        <v>25</v>
      </c>
      <c r="I1044" t="s">
        <v>65</v>
      </c>
      <c r="J1044" t="s">
        <v>30</v>
      </c>
      <c r="K1044">
        <v>4</v>
      </c>
      <c r="L1044" t="s">
        <v>55</v>
      </c>
      <c r="M1044" t="s">
        <v>85</v>
      </c>
      <c r="N1044" t="s">
        <v>40</v>
      </c>
      <c r="O1044">
        <v>34634</v>
      </c>
      <c r="P1044">
        <v>0</v>
      </c>
      <c r="Q1044" t="s">
        <v>34</v>
      </c>
      <c r="R1044" s="1">
        <v>43810</v>
      </c>
      <c r="S1044" t="s">
        <v>41</v>
      </c>
      <c r="T1044">
        <v>1</v>
      </c>
      <c r="U1044">
        <v>1</v>
      </c>
      <c r="V1044">
        <v>1</v>
      </c>
      <c r="W1044">
        <v>1</v>
      </c>
      <c r="X1044" t="s">
        <v>11023</v>
      </c>
      <c r="Y1044" t="s">
        <v>11023</v>
      </c>
      <c r="Z1044" t="str">
        <f>_xlfn.XLOOKUP(Employees[[#This Row],[Education]], EdLevel[EducationLevelID], EdLevel[EducationLevel])</f>
        <v xml:space="preserve">Masters </v>
      </c>
      <c r="AA1044">
        <f>IF(Employees[[#This Row],[Attrition]] = "Yes", 1, 0)</f>
        <v>1</v>
      </c>
      <c r="AB1044" t="str" cm="1">
        <f t="array" ref="AB1044">_xlfn.IFS(Employees[[#This Row],[Age]]&lt;30, "20-29", Employees[[#This Row],[Age]]&lt;40, "30-39", Employees[[#This Row],[Age]]&lt;50, "40-49", "TRUE", "50+")</f>
        <v>20-29</v>
      </c>
    </row>
    <row r="1045" spans="1:28">
      <c r="A1045" t="s">
        <v>3093</v>
      </c>
      <c r="B1045" t="s">
        <v>3094</v>
      </c>
      <c r="C1045" t="s">
        <v>3095</v>
      </c>
      <c r="D1045" t="s">
        <v>26</v>
      </c>
      <c r="E1045">
        <v>23</v>
      </c>
      <c r="F1045" t="s">
        <v>27</v>
      </c>
      <c r="G1045" t="s">
        <v>28</v>
      </c>
      <c r="H1045">
        <v>35</v>
      </c>
      <c r="I1045" t="s">
        <v>39</v>
      </c>
      <c r="J1045" t="s">
        <v>30</v>
      </c>
      <c r="K1045">
        <v>3</v>
      </c>
      <c r="L1045" t="s">
        <v>121</v>
      </c>
      <c r="M1045" t="s">
        <v>32</v>
      </c>
      <c r="N1045" t="s">
        <v>33</v>
      </c>
      <c r="O1045">
        <v>45518</v>
      </c>
      <c r="P1045">
        <v>1</v>
      </c>
      <c r="Q1045" t="s">
        <v>41</v>
      </c>
      <c r="R1045" s="1">
        <v>43811</v>
      </c>
      <c r="S1045" t="s">
        <v>34</v>
      </c>
      <c r="T1045">
        <v>3</v>
      </c>
      <c r="U1045">
        <v>3</v>
      </c>
      <c r="V1045">
        <v>3</v>
      </c>
      <c r="W1045">
        <v>2</v>
      </c>
      <c r="X1045" t="s">
        <v>11022</v>
      </c>
      <c r="Y1045" t="s">
        <v>11022</v>
      </c>
      <c r="Z1045" t="str">
        <f>_xlfn.XLOOKUP(Employees[[#This Row],[Education]], EdLevel[EducationLevelID], EdLevel[EducationLevel])</f>
        <v xml:space="preserve">Bachelors </v>
      </c>
      <c r="AA1045">
        <f>IF(Employees[[#This Row],[Attrition]] = "Yes", 1, 0)</f>
        <v>0</v>
      </c>
      <c r="AB1045" t="str" cm="1">
        <f t="array" ref="AB1045">_xlfn.IFS(Employees[[#This Row],[Age]]&lt;30, "20-29", Employees[[#This Row],[Age]]&lt;40, "30-39", Employees[[#This Row],[Age]]&lt;50, "40-49", "TRUE", "50+")</f>
        <v>20-29</v>
      </c>
    </row>
    <row r="1046" spans="1:28">
      <c r="A1046" t="s">
        <v>3096</v>
      </c>
      <c r="B1046" t="s">
        <v>3097</v>
      </c>
      <c r="C1046" t="s">
        <v>3098</v>
      </c>
      <c r="D1046" t="s">
        <v>26</v>
      </c>
      <c r="E1046">
        <v>30</v>
      </c>
      <c r="F1046" t="s">
        <v>84</v>
      </c>
      <c r="G1046" t="s">
        <v>54</v>
      </c>
      <c r="H1046">
        <v>7</v>
      </c>
      <c r="I1046" t="s">
        <v>65</v>
      </c>
      <c r="J1046" t="s">
        <v>30</v>
      </c>
      <c r="K1046">
        <v>3</v>
      </c>
      <c r="L1046" t="s">
        <v>178</v>
      </c>
      <c r="M1046" t="s">
        <v>85</v>
      </c>
      <c r="N1046" t="s">
        <v>49</v>
      </c>
      <c r="O1046">
        <v>175692</v>
      </c>
      <c r="P1046">
        <v>1</v>
      </c>
      <c r="Q1046" t="s">
        <v>34</v>
      </c>
      <c r="R1046" s="1">
        <v>43815</v>
      </c>
      <c r="S1046" t="s">
        <v>34</v>
      </c>
      <c r="T1046">
        <v>3</v>
      </c>
      <c r="U1046">
        <v>0</v>
      </c>
      <c r="V1046">
        <v>3</v>
      </c>
      <c r="W1046">
        <v>3</v>
      </c>
      <c r="X1046" t="s">
        <v>11022</v>
      </c>
      <c r="Y1046" t="s">
        <v>11022</v>
      </c>
      <c r="Z1046" t="str">
        <f>_xlfn.XLOOKUP(Employees[[#This Row],[Education]], EdLevel[EducationLevelID], EdLevel[EducationLevel])</f>
        <v xml:space="preserve">Bachelors </v>
      </c>
      <c r="AA1046">
        <f>IF(Employees[[#This Row],[Attrition]] = "Yes", 1, 0)</f>
        <v>0</v>
      </c>
      <c r="AB1046" t="str" cm="1">
        <f t="array" ref="AB1046">_xlfn.IFS(Employees[[#This Row],[Age]]&lt;30, "20-29", Employees[[#This Row],[Age]]&lt;40, "30-39", Employees[[#This Row],[Age]]&lt;50, "40-49", "TRUE", "50+")</f>
        <v>30-39</v>
      </c>
    </row>
    <row r="1047" spans="1:28">
      <c r="A1047" t="s">
        <v>3099</v>
      </c>
      <c r="B1047" t="s">
        <v>3100</v>
      </c>
      <c r="C1047" t="s">
        <v>3101</v>
      </c>
      <c r="D1047" t="s">
        <v>26</v>
      </c>
      <c r="E1047">
        <v>24</v>
      </c>
      <c r="F1047" t="s">
        <v>27</v>
      </c>
      <c r="G1047" t="s">
        <v>54</v>
      </c>
      <c r="H1047">
        <v>5</v>
      </c>
      <c r="I1047" t="s">
        <v>39</v>
      </c>
      <c r="J1047" t="s">
        <v>30</v>
      </c>
      <c r="K1047">
        <v>4</v>
      </c>
      <c r="L1047" t="s">
        <v>55</v>
      </c>
      <c r="M1047" t="s">
        <v>85</v>
      </c>
      <c r="N1047" t="s">
        <v>40</v>
      </c>
      <c r="O1047">
        <v>100576</v>
      </c>
      <c r="P1047">
        <v>0</v>
      </c>
      <c r="Q1047" t="s">
        <v>34</v>
      </c>
      <c r="R1047" s="1">
        <v>43815</v>
      </c>
      <c r="S1047" t="s">
        <v>34</v>
      </c>
      <c r="T1047">
        <v>3</v>
      </c>
      <c r="U1047">
        <v>0</v>
      </c>
      <c r="V1047">
        <v>0</v>
      </c>
      <c r="W1047">
        <v>0</v>
      </c>
      <c r="X1047" t="s">
        <v>11023</v>
      </c>
      <c r="Y1047" t="s">
        <v>11023</v>
      </c>
      <c r="Z1047" t="str">
        <f>_xlfn.XLOOKUP(Employees[[#This Row],[Education]], EdLevel[EducationLevelID], EdLevel[EducationLevel])</f>
        <v xml:space="preserve">Masters </v>
      </c>
      <c r="AA1047">
        <f>IF(Employees[[#This Row],[Attrition]] = "Yes", 1, 0)</f>
        <v>0</v>
      </c>
      <c r="AB1047" t="str" cm="1">
        <f t="array" ref="AB1047">_xlfn.IFS(Employees[[#This Row],[Age]]&lt;30, "20-29", Employees[[#This Row],[Age]]&lt;40, "30-39", Employees[[#This Row],[Age]]&lt;50, "40-49", "TRUE", "50+")</f>
        <v>20-29</v>
      </c>
    </row>
    <row r="1048" spans="1:28">
      <c r="A1048" t="s">
        <v>3102</v>
      </c>
      <c r="B1048" t="s">
        <v>3103</v>
      </c>
      <c r="C1048" t="s">
        <v>3104</v>
      </c>
      <c r="D1048" t="s">
        <v>26</v>
      </c>
      <c r="E1048">
        <v>23</v>
      </c>
      <c r="F1048" t="s">
        <v>27</v>
      </c>
      <c r="G1048" t="s">
        <v>54</v>
      </c>
      <c r="H1048">
        <v>32</v>
      </c>
      <c r="I1048" t="s">
        <v>39</v>
      </c>
      <c r="J1048" t="s">
        <v>30</v>
      </c>
      <c r="K1048">
        <v>4</v>
      </c>
      <c r="L1048" t="s">
        <v>55</v>
      </c>
      <c r="M1048" t="s">
        <v>85</v>
      </c>
      <c r="N1048" t="s">
        <v>33</v>
      </c>
      <c r="O1048">
        <v>47294</v>
      </c>
      <c r="P1048">
        <v>3</v>
      </c>
      <c r="Q1048" t="s">
        <v>34</v>
      </c>
      <c r="R1048" s="1">
        <v>43817</v>
      </c>
      <c r="S1048" t="s">
        <v>34</v>
      </c>
      <c r="T1048">
        <v>3</v>
      </c>
      <c r="U1048">
        <v>0</v>
      </c>
      <c r="V1048">
        <v>2</v>
      </c>
      <c r="W1048">
        <v>0</v>
      </c>
      <c r="X1048" t="s">
        <v>11023</v>
      </c>
      <c r="Y1048" t="s">
        <v>11023</v>
      </c>
      <c r="Z1048" t="str">
        <f>_xlfn.XLOOKUP(Employees[[#This Row],[Education]], EdLevel[EducationLevelID], EdLevel[EducationLevel])</f>
        <v xml:space="preserve">Masters </v>
      </c>
      <c r="AA1048">
        <f>IF(Employees[[#This Row],[Attrition]] = "Yes", 1, 0)</f>
        <v>0</v>
      </c>
      <c r="AB1048" t="str" cm="1">
        <f t="array" ref="AB1048">_xlfn.IFS(Employees[[#This Row],[Age]]&lt;30, "20-29", Employees[[#This Row],[Age]]&lt;40, "30-39", Employees[[#This Row],[Age]]&lt;50, "40-49", "TRUE", "50+")</f>
        <v>20-29</v>
      </c>
    </row>
    <row r="1049" spans="1:28">
      <c r="A1049" t="s">
        <v>3105</v>
      </c>
      <c r="B1049" t="s">
        <v>3106</v>
      </c>
      <c r="C1049" t="s">
        <v>3107</v>
      </c>
      <c r="D1049" t="s">
        <v>26</v>
      </c>
      <c r="E1049">
        <v>22</v>
      </c>
      <c r="F1049" t="s">
        <v>27</v>
      </c>
      <c r="G1049" t="s">
        <v>54</v>
      </c>
      <c r="H1049">
        <v>40</v>
      </c>
      <c r="I1049" t="s">
        <v>39</v>
      </c>
      <c r="J1049" t="s">
        <v>30</v>
      </c>
      <c r="K1049">
        <v>1</v>
      </c>
      <c r="L1049" t="s">
        <v>178</v>
      </c>
      <c r="M1049" t="s">
        <v>85</v>
      </c>
      <c r="N1049" t="s">
        <v>49</v>
      </c>
      <c r="O1049">
        <v>53080</v>
      </c>
      <c r="P1049">
        <v>1</v>
      </c>
      <c r="Q1049" t="s">
        <v>41</v>
      </c>
      <c r="R1049" s="1">
        <v>43823</v>
      </c>
      <c r="S1049" t="s">
        <v>41</v>
      </c>
      <c r="T1049">
        <v>2</v>
      </c>
      <c r="U1049">
        <v>0</v>
      </c>
      <c r="V1049">
        <v>1</v>
      </c>
      <c r="W1049">
        <v>0</v>
      </c>
      <c r="X1049" t="s">
        <v>11020</v>
      </c>
      <c r="Y1049" t="s">
        <v>11020</v>
      </c>
      <c r="Z1049" t="str">
        <f>_xlfn.XLOOKUP(Employees[[#This Row],[Education]], EdLevel[EducationLevelID], EdLevel[EducationLevel])</f>
        <v>No Formal Qualifications</v>
      </c>
      <c r="AA1049">
        <f>IF(Employees[[#This Row],[Attrition]] = "Yes", 1, 0)</f>
        <v>1</v>
      </c>
      <c r="AB1049" t="str" cm="1">
        <f t="array" ref="AB1049">_xlfn.IFS(Employees[[#This Row],[Age]]&lt;30, "20-29", Employees[[#This Row],[Age]]&lt;40, "30-39", Employees[[#This Row],[Age]]&lt;50, "40-49", "TRUE", "50+")</f>
        <v>20-29</v>
      </c>
    </row>
    <row r="1050" spans="1:28">
      <c r="A1050" t="s">
        <v>3108</v>
      </c>
      <c r="B1050" t="s">
        <v>3109</v>
      </c>
      <c r="C1050" t="s">
        <v>3110</v>
      </c>
      <c r="D1050" t="s">
        <v>26</v>
      </c>
      <c r="E1050">
        <v>30</v>
      </c>
      <c r="F1050" t="s">
        <v>27</v>
      </c>
      <c r="G1050" t="s">
        <v>54</v>
      </c>
      <c r="H1050">
        <v>32</v>
      </c>
      <c r="I1050" t="s">
        <v>39</v>
      </c>
      <c r="J1050" t="s">
        <v>30</v>
      </c>
      <c r="K1050">
        <v>3</v>
      </c>
      <c r="L1050" t="s">
        <v>72</v>
      </c>
      <c r="M1050" t="s">
        <v>105</v>
      </c>
      <c r="N1050" t="s">
        <v>49</v>
      </c>
      <c r="O1050">
        <v>158656</v>
      </c>
      <c r="P1050">
        <v>1</v>
      </c>
      <c r="Q1050" t="s">
        <v>34</v>
      </c>
      <c r="R1050" s="1">
        <v>43824</v>
      </c>
      <c r="S1050" t="s">
        <v>41</v>
      </c>
      <c r="T1050">
        <v>2</v>
      </c>
      <c r="U1050">
        <v>1</v>
      </c>
      <c r="V1050">
        <v>1</v>
      </c>
      <c r="W1050">
        <v>2</v>
      </c>
      <c r="X1050" t="s">
        <v>11022</v>
      </c>
      <c r="Y1050" t="s">
        <v>11022</v>
      </c>
      <c r="Z1050" t="str">
        <f>_xlfn.XLOOKUP(Employees[[#This Row],[Education]], EdLevel[EducationLevelID], EdLevel[EducationLevel])</f>
        <v xml:space="preserve">Bachelors </v>
      </c>
      <c r="AA1050">
        <f>IF(Employees[[#This Row],[Attrition]] = "Yes", 1, 0)</f>
        <v>1</v>
      </c>
      <c r="AB1050" t="str" cm="1">
        <f t="array" ref="AB1050">_xlfn.IFS(Employees[[#This Row],[Age]]&lt;30, "20-29", Employees[[#This Row],[Age]]&lt;40, "30-39", Employees[[#This Row],[Age]]&lt;50, "40-49", "TRUE", "50+")</f>
        <v>30-39</v>
      </c>
    </row>
    <row r="1051" spans="1:28">
      <c r="A1051" t="s">
        <v>3111</v>
      </c>
      <c r="B1051" t="s">
        <v>3112</v>
      </c>
      <c r="C1051" t="s">
        <v>3113</v>
      </c>
      <c r="D1051" t="s">
        <v>53</v>
      </c>
      <c r="E1051">
        <v>24</v>
      </c>
      <c r="F1051" t="s">
        <v>27</v>
      </c>
      <c r="G1051" t="s">
        <v>28</v>
      </c>
      <c r="H1051">
        <v>33</v>
      </c>
      <c r="I1051" t="s">
        <v>39</v>
      </c>
      <c r="J1051" t="s">
        <v>30</v>
      </c>
      <c r="K1051">
        <v>1</v>
      </c>
      <c r="L1051" t="s">
        <v>60</v>
      </c>
      <c r="M1051" t="s">
        <v>150</v>
      </c>
      <c r="N1051" t="s">
        <v>33</v>
      </c>
      <c r="O1051">
        <v>24174</v>
      </c>
      <c r="P1051">
        <v>1</v>
      </c>
      <c r="Q1051" t="s">
        <v>34</v>
      </c>
      <c r="R1051" s="1">
        <v>43826</v>
      </c>
      <c r="S1051" t="s">
        <v>34</v>
      </c>
      <c r="T1051">
        <v>3</v>
      </c>
      <c r="U1051">
        <v>2</v>
      </c>
      <c r="V1051">
        <v>2</v>
      </c>
      <c r="W1051">
        <v>1</v>
      </c>
      <c r="X1051" t="s">
        <v>11020</v>
      </c>
      <c r="Y1051" t="s">
        <v>11020</v>
      </c>
      <c r="Z1051" t="str">
        <f>_xlfn.XLOOKUP(Employees[[#This Row],[Education]], EdLevel[EducationLevelID], EdLevel[EducationLevel])</f>
        <v>No Formal Qualifications</v>
      </c>
      <c r="AA1051">
        <f>IF(Employees[[#This Row],[Attrition]] = "Yes", 1, 0)</f>
        <v>0</v>
      </c>
      <c r="AB1051" t="str" cm="1">
        <f t="array" ref="AB1051">_xlfn.IFS(Employees[[#This Row],[Age]]&lt;30, "20-29", Employees[[#This Row],[Age]]&lt;40, "30-39", Employees[[#This Row],[Age]]&lt;50, "40-49", "TRUE", "50+")</f>
        <v>20-29</v>
      </c>
    </row>
    <row r="1052" spans="1:28">
      <c r="A1052" t="s">
        <v>3114</v>
      </c>
      <c r="B1052" t="s">
        <v>3115</v>
      </c>
      <c r="C1052" t="s">
        <v>3116</v>
      </c>
      <c r="D1052" t="s">
        <v>38</v>
      </c>
      <c r="E1052">
        <v>23</v>
      </c>
      <c r="F1052" t="s">
        <v>27</v>
      </c>
      <c r="G1052" t="s">
        <v>28</v>
      </c>
      <c r="H1052">
        <v>32</v>
      </c>
      <c r="I1052" t="s">
        <v>39</v>
      </c>
      <c r="J1052" t="s">
        <v>30</v>
      </c>
      <c r="K1052">
        <v>3</v>
      </c>
      <c r="L1052" t="s">
        <v>121</v>
      </c>
      <c r="M1052" t="s">
        <v>32</v>
      </c>
      <c r="N1052" t="s">
        <v>40</v>
      </c>
      <c r="O1052">
        <v>84558</v>
      </c>
      <c r="P1052">
        <v>0</v>
      </c>
      <c r="Q1052" t="s">
        <v>34</v>
      </c>
      <c r="R1052" s="1">
        <v>43829</v>
      </c>
      <c r="S1052" t="s">
        <v>34</v>
      </c>
      <c r="T1052">
        <v>3</v>
      </c>
      <c r="U1052">
        <v>3</v>
      </c>
      <c r="V1052">
        <v>3</v>
      </c>
      <c r="W1052">
        <v>2</v>
      </c>
      <c r="X1052" t="s">
        <v>11022</v>
      </c>
      <c r="Y1052" t="s">
        <v>11022</v>
      </c>
      <c r="Z1052" t="str">
        <f>_xlfn.XLOOKUP(Employees[[#This Row],[Education]], EdLevel[EducationLevelID], EdLevel[EducationLevel])</f>
        <v xml:space="preserve">Bachelors </v>
      </c>
      <c r="AA1052">
        <f>IF(Employees[[#This Row],[Attrition]] = "Yes", 1, 0)</f>
        <v>0</v>
      </c>
      <c r="AB1052" t="str" cm="1">
        <f t="array" ref="AB1052">_xlfn.IFS(Employees[[#This Row],[Age]]&lt;30, "20-29", Employees[[#This Row],[Age]]&lt;40, "30-39", Employees[[#This Row],[Age]]&lt;50, "40-49", "TRUE", "50+")</f>
        <v>20-29</v>
      </c>
    </row>
    <row r="1053" spans="1:28">
      <c r="A1053" t="s">
        <v>3117</v>
      </c>
      <c r="B1053" t="s">
        <v>3118</v>
      </c>
      <c r="C1053" t="s">
        <v>3119</v>
      </c>
      <c r="D1053" t="s">
        <v>26</v>
      </c>
      <c r="E1053">
        <v>22</v>
      </c>
      <c r="F1053" t="s">
        <v>27</v>
      </c>
      <c r="G1053" t="s">
        <v>28</v>
      </c>
      <c r="H1053">
        <v>29</v>
      </c>
      <c r="I1053" t="s">
        <v>29</v>
      </c>
      <c r="J1053" t="s">
        <v>30</v>
      </c>
      <c r="K1053">
        <v>1</v>
      </c>
      <c r="L1053" t="s">
        <v>121</v>
      </c>
      <c r="M1053" t="s">
        <v>150</v>
      </c>
      <c r="N1053" t="s">
        <v>49</v>
      </c>
      <c r="O1053">
        <v>20802</v>
      </c>
      <c r="P1053">
        <v>0</v>
      </c>
      <c r="Q1053" t="s">
        <v>34</v>
      </c>
      <c r="R1053" s="1">
        <v>43831</v>
      </c>
      <c r="S1053" t="s">
        <v>34</v>
      </c>
      <c r="T1053">
        <v>2</v>
      </c>
      <c r="U1053">
        <v>2</v>
      </c>
      <c r="V1053">
        <v>2</v>
      </c>
      <c r="W1053">
        <v>1</v>
      </c>
      <c r="X1053" t="s">
        <v>11020</v>
      </c>
      <c r="Y1053" t="s">
        <v>11020</v>
      </c>
      <c r="Z1053" t="str">
        <f>_xlfn.XLOOKUP(Employees[[#This Row],[Education]], EdLevel[EducationLevelID], EdLevel[EducationLevel])</f>
        <v>No Formal Qualifications</v>
      </c>
      <c r="AA1053">
        <f>IF(Employees[[#This Row],[Attrition]] = "Yes", 1, 0)</f>
        <v>0</v>
      </c>
      <c r="AB1053" t="str" cm="1">
        <f t="array" ref="AB1053">_xlfn.IFS(Employees[[#This Row],[Age]]&lt;30, "20-29", Employees[[#This Row],[Age]]&lt;40, "30-39", Employees[[#This Row],[Age]]&lt;50, "40-49", "TRUE", "50+")</f>
        <v>20-29</v>
      </c>
    </row>
    <row r="1054" spans="1:28">
      <c r="A1054" t="s">
        <v>3120</v>
      </c>
      <c r="B1054" t="s">
        <v>3121</v>
      </c>
      <c r="C1054" t="s">
        <v>3122</v>
      </c>
      <c r="D1054" t="s">
        <v>26</v>
      </c>
      <c r="E1054">
        <v>28</v>
      </c>
      <c r="F1054" t="s">
        <v>27</v>
      </c>
      <c r="G1054" t="s">
        <v>45</v>
      </c>
      <c r="H1054">
        <v>14</v>
      </c>
      <c r="I1054" t="s">
        <v>39</v>
      </c>
      <c r="J1054" t="s">
        <v>30</v>
      </c>
      <c r="K1054">
        <v>4</v>
      </c>
      <c r="L1054" t="s">
        <v>47</v>
      </c>
      <c r="M1054" t="s">
        <v>207</v>
      </c>
      <c r="N1054" t="s">
        <v>40</v>
      </c>
      <c r="O1054">
        <v>149734</v>
      </c>
      <c r="P1054">
        <v>0</v>
      </c>
      <c r="Q1054" t="s">
        <v>34</v>
      </c>
      <c r="R1054" s="1">
        <v>43832</v>
      </c>
      <c r="S1054" t="s">
        <v>34</v>
      </c>
      <c r="T1054">
        <v>2</v>
      </c>
      <c r="U1054">
        <v>0</v>
      </c>
      <c r="V1054">
        <v>1</v>
      </c>
      <c r="W1054">
        <v>1</v>
      </c>
      <c r="X1054" t="s">
        <v>11023</v>
      </c>
      <c r="Y1054" t="s">
        <v>11023</v>
      </c>
      <c r="Z1054" t="str">
        <f>_xlfn.XLOOKUP(Employees[[#This Row],[Education]], EdLevel[EducationLevelID], EdLevel[EducationLevel])</f>
        <v xml:space="preserve">Masters </v>
      </c>
      <c r="AA1054">
        <f>IF(Employees[[#This Row],[Attrition]] = "Yes", 1, 0)</f>
        <v>0</v>
      </c>
      <c r="AB1054" t="str" cm="1">
        <f t="array" ref="AB1054">_xlfn.IFS(Employees[[#This Row],[Age]]&lt;30, "20-29", Employees[[#This Row],[Age]]&lt;40, "30-39", Employees[[#This Row],[Age]]&lt;50, "40-49", "TRUE", "50+")</f>
        <v>20-29</v>
      </c>
    </row>
    <row r="1055" spans="1:28">
      <c r="A1055" t="s">
        <v>3123</v>
      </c>
      <c r="B1055" t="s">
        <v>3124</v>
      </c>
      <c r="C1055" t="s">
        <v>3125</v>
      </c>
      <c r="D1055" t="s">
        <v>38</v>
      </c>
      <c r="E1055">
        <v>28</v>
      </c>
      <c r="F1055" t="s">
        <v>27</v>
      </c>
      <c r="G1055" t="s">
        <v>54</v>
      </c>
      <c r="H1055">
        <v>17</v>
      </c>
      <c r="I1055" t="s">
        <v>29</v>
      </c>
      <c r="J1055" t="s">
        <v>30</v>
      </c>
      <c r="K1055">
        <v>3</v>
      </c>
      <c r="L1055" t="s">
        <v>72</v>
      </c>
      <c r="M1055" t="s">
        <v>105</v>
      </c>
      <c r="N1055" t="s">
        <v>49</v>
      </c>
      <c r="O1055">
        <v>101210</v>
      </c>
      <c r="P1055">
        <v>1</v>
      </c>
      <c r="Q1055" t="s">
        <v>34</v>
      </c>
      <c r="R1055" s="1">
        <v>43833</v>
      </c>
      <c r="S1055" t="s">
        <v>34</v>
      </c>
      <c r="T1055">
        <v>2</v>
      </c>
      <c r="U1055">
        <v>2</v>
      </c>
      <c r="V1055">
        <v>2</v>
      </c>
      <c r="W1055">
        <v>1</v>
      </c>
      <c r="X1055" t="s">
        <v>11022</v>
      </c>
      <c r="Y1055" t="s">
        <v>11022</v>
      </c>
      <c r="Z1055" t="str">
        <f>_xlfn.XLOOKUP(Employees[[#This Row],[Education]], EdLevel[EducationLevelID], EdLevel[EducationLevel])</f>
        <v xml:space="preserve">Bachelors </v>
      </c>
      <c r="AA1055">
        <f>IF(Employees[[#This Row],[Attrition]] = "Yes", 1, 0)</f>
        <v>0</v>
      </c>
      <c r="AB1055" t="str" cm="1">
        <f t="array" ref="AB1055">_xlfn.IFS(Employees[[#This Row],[Age]]&lt;30, "20-29", Employees[[#This Row],[Age]]&lt;40, "30-39", Employees[[#This Row],[Age]]&lt;50, "40-49", "TRUE", "50+")</f>
        <v>20-29</v>
      </c>
    </row>
    <row r="1056" spans="1:28">
      <c r="A1056" t="s">
        <v>3126</v>
      </c>
      <c r="B1056" t="s">
        <v>3127</v>
      </c>
      <c r="C1056" t="s">
        <v>3128</v>
      </c>
      <c r="D1056" t="s">
        <v>38</v>
      </c>
      <c r="E1056">
        <v>31</v>
      </c>
      <c r="F1056" t="s">
        <v>27</v>
      </c>
      <c r="G1056" t="s">
        <v>54</v>
      </c>
      <c r="H1056">
        <v>44</v>
      </c>
      <c r="I1056" t="s">
        <v>39</v>
      </c>
      <c r="J1056" t="s">
        <v>30</v>
      </c>
      <c r="K1056">
        <v>3</v>
      </c>
      <c r="L1056" t="s">
        <v>72</v>
      </c>
      <c r="M1056" t="s">
        <v>182</v>
      </c>
      <c r="N1056" t="s">
        <v>49</v>
      </c>
      <c r="O1056">
        <v>531629</v>
      </c>
      <c r="P1056">
        <v>1</v>
      </c>
      <c r="Q1056" t="s">
        <v>41</v>
      </c>
      <c r="R1056" s="1">
        <v>43836</v>
      </c>
      <c r="S1056" t="s">
        <v>41</v>
      </c>
      <c r="T1056">
        <v>1</v>
      </c>
      <c r="U1056">
        <v>0</v>
      </c>
      <c r="V1056">
        <v>1</v>
      </c>
      <c r="W1056">
        <v>1</v>
      </c>
      <c r="X1056" t="s">
        <v>11022</v>
      </c>
      <c r="Y1056" t="s">
        <v>11022</v>
      </c>
      <c r="Z1056" t="str">
        <f>_xlfn.XLOOKUP(Employees[[#This Row],[Education]], EdLevel[EducationLevelID], EdLevel[EducationLevel])</f>
        <v xml:space="preserve">Bachelors </v>
      </c>
      <c r="AA1056">
        <f>IF(Employees[[#This Row],[Attrition]] = "Yes", 1, 0)</f>
        <v>1</v>
      </c>
      <c r="AB1056" t="str" cm="1">
        <f t="array" ref="AB1056">_xlfn.IFS(Employees[[#This Row],[Age]]&lt;30, "20-29", Employees[[#This Row],[Age]]&lt;40, "30-39", Employees[[#This Row],[Age]]&lt;50, "40-49", "TRUE", "50+")</f>
        <v>30-39</v>
      </c>
    </row>
    <row r="1057" spans="1:28">
      <c r="A1057" t="s">
        <v>3129</v>
      </c>
      <c r="B1057" t="s">
        <v>3130</v>
      </c>
      <c r="C1057" t="s">
        <v>3131</v>
      </c>
      <c r="D1057" t="s">
        <v>38</v>
      </c>
      <c r="E1057">
        <v>24</v>
      </c>
      <c r="F1057" t="s">
        <v>27</v>
      </c>
      <c r="G1057" t="s">
        <v>28</v>
      </c>
      <c r="H1057">
        <v>17</v>
      </c>
      <c r="I1057" t="s">
        <v>29</v>
      </c>
      <c r="J1057" t="s">
        <v>30</v>
      </c>
      <c r="K1057">
        <v>2</v>
      </c>
      <c r="L1057" t="s">
        <v>47</v>
      </c>
      <c r="M1057" t="s">
        <v>150</v>
      </c>
      <c r="N1057" t="s">
        <v>49</v>
      </c>
      <c r="O1057">
        <v>63234</v>
      </c>
      <c r="P1057">
        <v>1</v>
      </c>
      <c r="Q1057" t="s">
        <v>34</v>
      </c>
      <c r="R1057" s="1">
        <v>43838</v>
      </c>
      <c r="S1057" t="s">
        <v>34</v>
      </c>
      <c r="T1057">
        <v>2</v>
      </c>
      <c r="U1057">
        <v>1</v>
      </c>
      <c r="V1057">
        <v>2</v>
      </c>
      <c r="W1057">
        <v>2</v>
      </c>
      <c r="X1057" t="s">
        <v>11021</v>
      </c>
      <c r="Y1057" t="s">
        <v>11021</v>
      </c>
      <c r="Z1057" t="str">
        <f>_xlfn.XLOOKUP(Employees[[#This Row],[Education]], EdLevel[EducationLevelID], EdLevel[EducationLevel])</f>
        <v xml:space="preserve">High School </v>
      </c>
      <c r="AA1057">
        <f>IF(Employees[[#This Row],[Attrition]] = "Yes", 1, 0)</f>
        <v>0</v>
      </c>
      <c r="AB1057" t="str" cm="1">
        <f t="array" ref="AB1057">_xlfn.IFS(Employees[[#This Row],[Age]]&lt;30, "20-29", Employees[[#This Row],[Age]]&lt;40, "30-39", Employees[[#This Row],[Age]]&lt;50, "40-49", "TRUE", "50+")</f>
        <v>20-29</v>
      </c>
    </row>
    <row r="1058" spans="1:28">
      <c r="A1058" t="s">
        <v>3132</v>
      </c>
      <c r="B1058" t="s">
        <v>3133</v>
      </c>
      <c r="C1058" t="s">
        <v>3134</v>
      </c>
      <c r="D1058" t="s">
        <v>38</v>
      </c>
      <c r="E1058">
        <v>24</v>
      </c>
      <c r="F1058" t="s">
        <v>27</v>
      </c>
      <c r="G1058" t="s">
        <v>54</v>
      </c>
      <c r="H1058">
        <v>17</v>
      </c>
      <c r="I1058" t="s">
        <v>65</v>
      </c>
      <c r="J1058" t="s">
        <v>30</v>
      </c>
      <c r="K1058">
        <v>5</v>
      </c>
      <c r="L1058" t="s">
        <v>55</v>
      </c>
      <c r="M1058" t="s">
        <v>93</v>
      </c>
      <c r="N1058" t="s">
        <v>33</v>
      </c>
      <c r="O1058">
        <v>63747</v>
      </c>
      <c r="P1058">
        <v>1</v>
      </c>
      <c r="Q1058" t="s">
        <v>34</v>
      </c>
      <c r="R1058" s="1">
        <v>43839</v>
      </c>
      <c r="S1058" t="s">
        <v>34</v>
      </c>
      <c r="T1058">
        <v>2</v>
      </c>
      <c r="U1058">
        <v>1</v>
      </c>
      <c r="V1058">
        <v>1</v>
      </c>
      <c r="W1058">
        <v>0</v>
      </c>
      <c r="X1058" t="s">
        <v>11024</v>
      </c>
      <c r="Y1058" t="s">
        <v>11024</v>
      </c>
      <c r="Z1058" t="str">
        <f>_xlfn.XLOOKUP(Employees[[#This Row],[Education]], EdLevel[EducationLevelID], EdLevel[EducationLevel])</f>
        <v>Doctorate</v>
      </c>
      <c r="AA1058">
        <f>IF(Employees[[#This Row],[Attrition]] = "Yes", 1, 0)</f>
        <v>0</v>
      </c>
      <c r="AB1058" t="str" cm="1">
        <f t="array" ref="AB1058">_xlfn.IFS(Employees[[#This Row],[Age]]&lt;30, "20-29", Employees[[#This Row],[Age]]&lt;40, "30-39", Employees[[#This Row],[Age]]&lt;50, "40-49", "TRUE", "50+")</f>
        <v>20-29</v>
      </c>
    </row>
    <row r="1059" spans="1:28">
      <c r="A1059" t="s">
        <v>3135</v>
      </c>
      <c r="B1059" t="s">
        <v>3136</v>
      </c>
      <c r="C1059" t="s">
        <v>3137</v>
      </c>
      <c r="D1059" t="s">
        <v>26</v>
      </c>
      <c r="E1059">
        <v>38</v>
      </c>
      <c r="F1059" t="s">
        <v>27</v>
      </c>
      <c r="G1059" t="s">
        <v>54</v>
      </c>
      <c r="H1059">
        <v>10</v>
      </c>
      <c r="I1059" t="s">
        <v>39</v>
      </c>
      <c r="J1059" t="s">
        <v>30</v>
      </c>
      <c r="K1059">
        <v>4</v>
      </c>
      <c r="L1059" t="s">
        <v>72</v>
      </c>
      <c r="M1059" t="s">
        <v>182</v>
      </c>
      <c r="N1059" t="s">
        <v>33</v>
      </c>
      <c r="O1059">
        <v>445906</v>
      </c>
      <c r="P1059">
        <v>2</v>
      </c>
      <c r="Q1059" t="s">
        <v>41</v>
      </c>
      <c r="R1059" s="1">
        <v>43843</v>
      </c>
      <c r="S1059" t="s">
        <v>34</v>
      </c>
      <c r="T1059">
        <v>2</v>
      </c>
      <c r="U1059">
        <v>0</v>
      </c>
      <c r="V1059">
        <v>1</v>
      </c>
      <c r="W1059">
        <v>2</v>
      </c>
      <c r="X1059" t="s">
        <v>11023</v>
      </c>
      <c r="Y1059" t="s">
        <v>11023</v>
      </c>
      <c r="Z1059" t="str">
        <f>_xlfn.XLOOKUP(Employees[[#This Row],[Education]], EdLevel[EducationLevelID], EdLevel[EducationLevel])</f>
        <v xml:space="preserve">Masters </v>
      </c>
      <c r="AA1059">
        <f>IF(Employees[[#This Row],[Attrition]] = "Yes", 1, 0)</f>
        <v>0</v>
      </c>
      <c r="AB1059" t="str" cm="1">
        <f t="array" ref="AB1059">_xlfn.IFS(Employees[[#This Row],[Age]]&lt;30, "20-29", Employees[[#This Row],[Age]]&lt;40, "30-39", Employees[[#This Row],[Age]]&lt;50, "40-49", "TRUE", "50+")</f>
        <v>30-39</v>
      </c>
    </row>
    <row r="1060" spans="1:28">
      <c r="A1060" t="s">
        <v>3138</v>
      </c>
      <c r="B1060" t="s">
        <v>3139</v>
      </c>
      <c r="C1060" t="s">
        <v>3140</v>
      </c>
      <c r="D1060" t="s">
        <v>38</v>
      </c>
      <c r="E1060">
        <v>23</v>
      </c>
      <c r="F1060" t="s">
        <v>84</v>
      </c>
      <c r="G1060" t="s">
        <v>54</v>
      </c>
      <c r="H1060">
        <v>35</v>
      </c>
      <c r="I1060" t="s">
        <v>39</v>
      </c>
      <c r="J1060" t="s">
        <v>30</v>
      </c>
      <c r="K1060">
        <v>4</v>
      </c>
      <c r="L1060" t="s">
        <v>72</v>
      </c>
      <c r="M1060" t="s">
        <v>105</v>
      </c>
      <c r="N1060" t="s">
        <v>40</v>
      </c>
      <c r="O1060">
        <v>51906</v>
      </c>
      <c r="P1060">
        <v>0</v>
      </c>
      <c r="Q1060" t="s">
        <v>34</v>
      </c>
      <c r="R1060" s="1">
        <v>43844</v>
      </c>
      <c r="S1060" t="s">
        <v>34</v>
      </c>
      <c r="T1060">
        <v>2</v>
      </c>
      <c r="U1060">
        <v>1</v>
      </c>
      <c r="V1060">
        <v>1</v>
      </c>
      <c r="W1060">
        <v>1</v>
      </c>
      <c r="X1060" t="s">
        <v>11023</v>
      </c>
      <c r="Y1060" t="s">
        <v>11023</v>
      </c>
      <c r="Z1060" t="str">
        <f>_xlfn.XLOOKUP(Employees[[#This Row],[Education]], EdLevel[EducationLevelID], EdLevel[EducationLevel])</f>
        <v xml:space="preserve">Masters </v>
      </c>
      <c r="AA1060">
        <f>IF(Employees[[#This Row],[Attrition]] = "Yes", 1, 0)</f>
        <v>0</v>
      </c>
      <c r="AB1060" t="str" cm="1">
        <f t="array" ref="AB1060">_xlfn.IFS(Employees[[#This Row],[Age]]&lt;30, "20-29", Employees[[#This Row],[Age]]&lt;40, "30-39", Employees[[#This Row],[Age]]&lt;50, "40-49", "TRUE", "50+")</f>
        <v>20-29</v>
      </c>
    </row>
    <row r="1061" spans="1:28">
      <c r="A1061" t="s">
        <v>3141</v>
      </c>
      <c r="B1061" t="s">
        <v>3142</v>
      </c>
      <c r="C1061" t="s">
        <v>3143</v>
      </c>
      <c r="D1061" t="s">
        <v>38</v>
      </c>
      <c r="E1061">
        <v>34</v>
      </c>
      <c r="F1061" t="s">
        <v>27</v>
      </c>
      <c r="G1061" t="s">
        <v>28</v>
      </c>
      <c r="H1061">
        <v>26</v>
      </c>
      <c r="I1061" t="s">
        <v>65</v>
      </c>
      <c r="J1061" t="s">
        <v>30</v>
      </c>
      <c r="K1061">
        <v>4</v>
      </c>
      <c r="L1061" t="s">
        <v>47</v>
      </c>
      <c r="M1061" t="s">
        <v>32</v>
      </c>
      <c r="N1061" t="s">
        <v>49</v>
      </c>
      <c r="O1061">
        <v>215246</v>
      </c>
      <c r="P1061">
        <v>1</v>
      </c>
      <c r="Q1061" t="s">
        <v>34</v>
      </c>
      <c r="R1061" s="1">
        <v>43845</v>
      </c>
      <c r="S1061" t="s">
        <v>34</v>
      </c>
      <c r="T1061">
        <v>2</v>
      </c>
      <c r="U1061">
        <v>0</v>
      </c>
      <c r="V1061">
        <v>0</v>
      </c>
      <c r="W1061">
        <v>0</v>
      </c>
      <c r="X1061" t="s">
        <v>11023</v>
      </c>
      <c r="Y1061" t="s">
        <v>11023</v>
      </c>
      <c r="Z1061" t="str">
        <f>_xlfn.XLOOKUP(Employees[[#This Row],[Education]], EdLevel[EducationLevelID], EdLevel[EducationLevel])</f>
        <v xml:space="preserve">Masters </v>
      </c>
      <c r="AA1061">
        <f>IF(Employees[[#This Row],[Attrition]] = "Yes", 1, 0)</f>
        <v>0</v>
      </c>
      <c r="AB1061" t="str" cm="1">
        <f t="array" ref="AB1061">_xlfn.IFS(Employees[[#This Row],[Age]]&lt;30, "20-29", Employees[[#This Row],[Age]]&lt;40, "30-39", Employees[[#This Row],[Age]]&lt;50, "40-49", "TRUE", "50+")</f>
        <v>30-39</v>
      </c>
    </row>
    <row r="1062" spans="1:28">
      <c r="A1062" t="s">
        <v>3144</v>
      </c>
      <c r="B1062" t="s">
        <v>3145</v>
      </c>
      <c r="C1062" t="s">
        <v>3146</v>
      </c>
      <c r="D1062" t="s">
        <v>26</v>
      </c>
      <c r="E1062">
        <v>28</v>
      </c>
      <c r="F1062" t="s">
        <v>27</v>
      </c>
      <c r="G1062" t="s">
        <v>54</v>
      </c>
      <c r="H1062">
        <v>38</v>
      </c>
      <c r="I1062" t="s">
        <v>39</v>
      </c>
      <c r="J1062" t="s">
        <v>30</v>
      </c>
      <c r="K1062">
        <v>3</v>
      </c>
      <c r="L1062" t="s">
        <v>55</v>
      </c>
      <c r="M1062" t="s">
        <v>93</v>
      </c>
      <c r="N1062" t="s">
        <v>33</v>
      </c>
      <c r="O1062">
        <v>151229</v>
      </c>
      <c r="P1062">
        <v>1</v>
      </c>
      <c r="Q1062" t="s">
        <v>34</v>
      </c>
      <c r="R1062" s="1">
        <v>43846</v>
      </c>
      <c r="S1062" t="s">
        <v>34</v>
      </c>
      <c r="T1062">
        <v>2</v>
      </c>
      <c r="U1062">
        <v>0</v>
      </c>
      <c r="V1062">
        <v>0</v>
      </c>
      <c r="W1062">
        <v>2</v>
      </c>
      <c r="X1062" t="s">
        <v>11022</v>
      </c>
      <c r="Y1062" t="s">
        <v>11022</v>
      </c>
      <c r="Z1062" t="str">
        <f>_xlfn.XLOOKUP(Employees[[#This Row],[Education]], EdLevel[EducationLevelID], EdLevel[EducationLevel])</f>
        <v xml:space="preserve">Bachelors </v>
      </c>
      <c r="AA1062">
        <f>IF(Employees[[#This Row],[Attrition]] = "Yes", 1, 0)</f>
        <v>0</v>
      </c>
      <c r="AB1062" t="str" cm="1">
        <f t="array" ref="AB1062">_xlfn.IFS(Employees[[#This Row],[Age]]&lt;30, "20-29", Employees[[#This Row],[Age]]&lt;40, "30-39", Employees[[#This Row],[Age]]&lt;50, "40-49", "TRUE", "50+")</f>
        <v>20-29</v>
      </c>
    </row>
    <row r="1063" spans="1:28">
      <c r="A1063" t="s">
        <v>3147</v>
      </c>
      <c r="B1063" t="s">
        <v>2515</v>
      </c>
      <c r="C1063" t="s">
        <v>3148</v>
      </c>
      <c r="D1063" t="s">
        <v>38</v>
      </c>
      <c r="E1063">
        <v>23</v>
      </c>
      <c r="F1063" t="s">
        <v>27</v>
      </c>
      <c r="G1063" t="s">
        <v>54</v>
      </c>
      <c r="H1063">
        <v>37</v>
      </c>
      <c r="I1063" t="s">
        <v>39</v>
      </c>
      <c r="J1063" t="s">
        <v>30</v>
      </c>
      <c r="K1063">
        <v>4</v>
      </c>
      <c r="L1063" t="s">
        <v>72</v>
      </c>
      <c r="M1063" t="s">
        <v>85</v>
      </c>
      <c r="N1063" t="s">
        <v>49</v>
      </c>
      <c r="O1063">
        <v>26406</v>
      </c>
      <c r="P1063">
        <v>3</v>
      </c>
      <c r="Q1063" t="s">
        <v>34</v>
      </c>
      <c r="R1063" s="1">
        <v>43847</v>
      </c>
      <c r="S1063" t="s">
        <v>34</v>
      </c>
      <c r="T1063">
        <v>2</v>
      </c>
      <c r="U1063">
        <v>0</v>
      </c>
      <c r="V1063">
        <v>1</v>
      </c>
      <c r="W1063">
        <v>0</v>
      </c>
      <c r="X1063" t="s">
        <v>11023</v>
      </c>
      <c r="Y1063" t="s">
        <v>11023</v>
      </c>
      <c r="Z1063" t="str">
        <f>_xlfn.XLOOKUP(Employees[[#This Row],[Education]], EdLevel[EducationLevelID], EdLevel[EducationLevel])</f>
        <v xml:space="preserve">Masters </v>
      </c>
      <c r="AA1063">
        <f>IF(Employees[[#This Row],[Attrition]] = "Yes", 1, 0)</f>
        <v>0</v>
      </c>
      <c r="AB1063" t="str" cm="1">
        <f t="array" ref="AB1063">_xlfn.IFS(Employees[[#This Row],[Age]]&lt;30, "20-29", Employees[[#This Row],[Age]]&lt;40, "30-39", Employees[[#This Row],[Age]]&lt;50, "40-49", "TRUE", "50+")</f>
        <v>20-29</v>
      </c>
    </row>
    <row r="1064" spans="1:28">
      <c r="A1064" t="s">
        <v>3149</v>
      </c>
      <c r="B1064" t="s">
        <v>2555</v>
      </c>
      <c r="C1064" t="s">
        <v>3150</v>
      </c>
      <c r="D1064" t="s">
        <v>53</v>
      </c>
      <c r="E1064">
        <v>22</v>
      </c>
      <c r="F1064" t="s">
        <v>27</v>
      </c>
      <c r="G1064" t="s">
        <v>28</v>
      </c>
      <c r="H1064">
        <v>5</v>
      </c>
      <c r="I1064" t="s">
        <v>65</v>
      </c>
      <c r="J1064" t="s">
        <v>30</v>
      </c>
      <c r="K1064">
        <v>1</v>
      </c>
      <c r="L1064" t="s">
        <v>121</v>
      </c>
      <c r="M1064" t="s">
        <v>32</v>
      </c>
      <c r="N1064" t="s">
        <v>40</v>
      </c>
      <c r="O1064">
        <v>64689</v>
      </c>
      <c r="P1064">
        <v>0</v>
      </c>
      <c r="Q1064" t="s">
        <v>34</v>
      </c>
      <c r="R1064" s="1">
        <v>43849</v>
      </c>
      <c r="S1064" t="s">
        <v>41</v>
      </c>
      <c r="T1064">
        <v>1</v>
      </c>
      <c r="U1064">
        <v>1</v>
      </c>
      <c r="V1064">
        <v>1</v>
      </c>
      <c r="W1064">
        <v>1</v>
      </c>
      <c r="X1064" t="s">
        <v>11020</v>
      </c>
      <c r="Y1064" t="s">
        <v>11020</v>
      </c>
      <c r="Z1064" t="str">
        <f>_xlfn.XLOOKUP(Employees[[#This Row],[Education]], EdLevel[EducationLevelID], EdLevel[EducationLevel])</f>
        <v>No Formal Qualifications</v>
      </c>
      <c r="AA1064">
        <f>IF(Employees[[#This Row],[Attrition]] = "Yes", 1, 0)</f>
        <v>1</v>
      </c>
      <c r="AB1064" t="str" cm="1">
        <f t="array" ref="AB1064">_xlfn.IFS(Employees[[#This Row],[Age]]&lt;30, "20-29", Employees[[#This Row],[Age]]&lt;40, "30-39", Employees[[#This Row],[Age]]&lt;50, "40-49", "TRUE", "50+")</f>
        <v>20-29</v>
      </c>
    </row>
    <row r="1065" spans="1:28">
      <c r="A1065" t="s">
        <v>3151</v>
      </c>
      <c r="B1065" t="s">
        <v>3152</v>
      </c>
      <c r="C1065" t="s">
        <v>3153</v>
      </c>
      <c r="D1065" t="s">
        <v>38</v>
      </c>
      <c r="E1065">
        <v>20</v>
      </c>
      <c r="F1065" t="s">
        <v>27</v>
      </c>
      <c r="G1065" t="s">
        <v>54</v>
      </c>
      <c r="H1065">
        <v>23</v>
      </c>
      <c r="I1065" t="s">
        <v>39</v>
      </c>
      <c r="J1065" t="s">
        <v>30</v>
      </c>
      <c r="K1065">
        <v>1</v>
      </c>
      <c r="L1065" t="s">
        <v>55</v>
      </c>
      <c r="M1065" t="s">
        <v>101</v>
      </c>
      <c r="N1065" t="s">
        <v>49</v>
      </c>
      <c r="O1065">
        <v>26752</v>
      </c>
      <c r="P1065">
        <v>0</v>
      </c>
      <c r="Q1065" t="s">
        <v>41</v>
      </c>
      <c r="R1065" s="1">
        <v>43858</v>
      </c>
      <c r="S1065" t="s">
        <v>34</v>
      </c>
      <c r="T1065">
        <v>2</v>
      </c>
      <c r="U1065">
        <v>0</v>
      </c>
      <c r="V1065">
        <v>1</v>
      </c>
      <c r="W1065">
        <v>1</v>
      </c>
      <c r="X1065" t="s">
        <v>11020</v>
      </c>
      <c r="Y1065" t="s">
        <v>11020</v>
      </c>
      <c r="Z1065" t="str">
        <f>_xlfn.XLOOKUP(Employees[[#This Row],[Education]], EdLevel[EducationLevelID], EdLevel[EducationLevel])</f>
        <v>No Formal Qualifications</v>
      </c>
      <c r="AA1065">
        <f>IF(Employees[[#This Row],[Attrition]] = "Yes", 1, 0)</f>
        <v>0</v>
      </c>
      <c r="AB1065" t="str" cm="1">
        <f t="array" ref="AB1065">_xlfn.IFS(Employees[[#This Row],[Age]]&lt;30, "20-29", Employees[[#This Row],[Age]]&lt;40, "30-39", Employees[[#This Row],[Age]]&lt;50, "40-49", "TRUE", "50+")</f>
        <v>20-29</v>
      </c>
    </row>
    <row r="1066" spans="1:28">
      <c r="A1066" t="s">
        <v>3154</v>
      </c>
      <c r="B1066" t="s">
        <v>3155</v>
      </c>
      <c r="C1066" t="s">
        <v>3156</v>
      </c>
      <c r="D1066" t="s">
        <v>38</v>
      </c>
      <c r="E1066">
        <v>23</v>
      </c>
      <c r="F1066" t="s">
        <v>84</v>
      </c>
      <c r="G1066" t="s">
        <v>54</v>
      </c>
      <c r="H1066">
        <v>10</v>
      </c>
      <c r="I1066" t="s">
        <v>65</v>
      </c>
      <c r="J1066" t="s">
        <v>30</v>
      </c>
      <c r="K1066">
        <v>3</v>
      </c>
      <c r="L1066" t="s">
        <v>72</v>
      </c>
      <c r="M1066" t="s">
        <v>101</v>
      </c>
      <c r="N1066" t="s">
        <v>33</v>
      </c>
      <c r="O1066">
        <v>44566</v>
      </c>
      <c r="P1066">
        <v>0</v>
      </c>
      <c r="Q1066" t="s">
        <v>41</v>
      </c>
      <c r="R1066" s="1">
        <v>43859</v>
      </c>
      <c r="S1066" t="s">
        <v>41</v>
      </c>
      <c r="T1066">
        <v>1</v>
      </c>
      <c r="U1066">
        <v>0</v>
      </c>
      <c r="V1066">
        <v>0</v>
      </c>
      <c r="W1066">
        <v>0</v>
      </c>
      <c r="X1066" t="s">
        <v>11022</v>
      </c>
      <c r="Y1066" t="s">
        <v>11022</v>
      </c>
      <c r="Z1066" t="str">
        <f>_xlfn.XLOOKUP(Employees[[#This Row],[Education]], EdLevel[EducationLevelID], EdLevel[EducationLevel])</f>
        <v xml:space="preserve">Bachelors </v>
      </c>
      <c r="AA1066">
        <f>IF(Employees[[#This Row],[Attrition]] = "Yes", 1, 0)</f>
        <v>1</v>
      </c>
      <c r="AB1066" t="str" cm="1">
        <f t="array" ref="AB1066">_xlfn.IFS(Employees[[#This Row],[Age]]&lt;30, "20-29", Employees[[#This Row],[Age]]&lt;40, "30-39", Employees[[#This Row],[Age]]&lt;50, "40-49", "TRUE", "50+")</f>
        <v>20-29</v>
      </c>
    </row>
    <row r="1067" spans="1:28">
      <c r="A1067" t="s">
        <v>3157</v>
      </c>
      <c r="B1067" t="s">
        <v>3158</v>
      </c>
      <c r="C1067" t="s">
        <v>3159</v>
      </c>
      <c r="D1067" t="s">
        <v>26</v>
      </c>
      <c r="E1067">
        <v>25</v>
      </c>
      <c r="F1067" t="s">
        <v>27</v>
      </c>
      <c r="G1067" t="s">
        <v>28</v>
      </c>
      <c r="H1067">
        <v>32</v>
      </c>
      <c r="I1067" t="s">
        <v>65</v>
      </c>
      <c r="J1067" t="s">
        <v>30</v>
      </c>
      <c r="K1067">
        <v>2</v>
      </c>
      <c r="L1067" t="s">
        <v>47</v>
      </c>
      <c r="M1067" t="s">
        <v>32</v>
      </c>
      <c r="N1067" t="s">
        <v>49</v>
      </c>
      <c r="O1067">
        <v>82357</v>
      </c>
      <c r="P1067">
        <v>1</v>
      </c>
      <c r="Q1067" t="s">
        <v>41</v>
      </c>
      <c r="R1067" s="1">
        <v>43864</v>
      </c>
      <c r="S1067" t="s">
        <v>34</v>
      </c>
      <c r="T1067">
        <v>2</v>
      </c>
      <c r="U1067">
        <v>2</v>
      </c>
      <c r="V1067">
        <v>2</v>
      </c>
      <c r="W1067">
        <v>2</v>
      </c>
      <c r="X1067" t="s">
        <v>11021</v>
      </c>
      <c r="Y1067" t="s">
        <v>11021</v>
      </c>
      <c r="Z1067" t="str">
        <f>_xlfn.XLOOKUP(Employees[[#This Row],[Education]], EdLevel[EducationLevelID], EdLevel[EducationLevel])</f>
        <v xml:space="preserve">High School </v>
      </c>
      <c r="AA1067">
        <f>IF(Employees[[#This Row],[Attrition]] = "Yes", 1, 0)</f>
        <v>0</v>
      </c>
      <c r="AB1067" t="str" cm="1">
        <f t="array" ref="AB1067">_xlfn.IFS(Employees[[#This Row],[Age]]&lt;30, "20-29", Employees[[#This Row],[Age]]&lt;40, "30-39", Employees[[#This Row],[Age]]&lt;50, "40-49", "TRUE", "50+")</f>
        <v>20-29</v>
      </c>
    </row>
    <row r="1068" spans="1:28">
      <c r="A1068" t="s">
        <v>3160</v>
      </c>
      <c r="B1068" t="s">
        <v>3161</v>
      </c>
      <c r="C1068" t="s">
        <v>3162</v>
      </c>
      <c r="D1068" t="s">
        <v>38</v>
      </c>
      <c r="E1068">
        <v>41</v>
      </c>
      <c r="F1068" t="s">
        <v>70</v>
      </c>
      <c r="G1068" t="s">
        <v>28</v>
      </c>
      <c r="H1068">
        <v>34</v>
      </c>
      <c r="I1068" t="s">
        <v>39</v>
      </c>
      <c r="J1068" t="s">
        <v>30</v>
      </c>
      <c r="K1068">
        <v>3</v>
      </c>
      <c r="L1068" t="s">
        <v>47</v>
      </c>
      <c r="M1068" t="s">
        <v>32</v>
      </c>
      <c r="N1068" t="s">
        <v>40</v>
      </c>
      <c r="O1068">
        <v>326896</v>
      </c>
      <c r="P1068">
        <v>0</v>
      </c>
      <c r="Q1068" t="s">
        <v>41</v>
      </c>
      <c r="R1068" s="1">
        <v>43864</v>
      </c>
      <c r="S1068" t="s">
        <v>41</v>
      </c>
      <c r="T1068">
        <v>2</v>
      </c>
      <c r="U1068">
        <v>1</v>
      </c>
      <c r="V1068">
        <v>1</v>
      </c>
      <c r="W1068">
        <v>1</v>
      </c>
      <c r="X1068" t="s">
        <v>11022</v>
      </c>
      <c r="Y1068" t="s">
        <v>11022</v>
      </c>
      <c r="Z1068" t="str">
        <f>_xlfn.XLOOKUP(Employees[[#This Row],[Education]], EdLevel[EducationLevelID], EdLevel[EducationLevel])</f>
        <v xml:space="preserve">Bachelors </v>
      </c>
      <c r="AA1068">
        <f>IF(Employees[[#This Row],[Attrition]] = "Yes", 1, 0)</f>
        <v>1</v>
      </c>
      <c r="AB1068" t="str" cm="1">
        <f t="array" ref="AB1068">_xlfn.IFS(Employees[[#This Row],[Age]]&lt;30, "20-29", Employees[[#This Row],[Age]]&lt;40, "30-39", Employees[[#This Row],[Age]]&lt;50, "40-49", "TRUE", "50+")</f>
        <v>40-49</v>
      </c>
    </row>
    <row r="1069" spans="1:28">
      <c r="A1069" t="s">
        <v>3163</v>
      </c>
      <c r="B1069" t="s">
        <v>3164</v>
      </c>
      <c r="C1069" t="s">
        <v>3165</v>
      </c>
      <c r="D1069" t="s">
        <v>26</v>
      </c>
      <c r="E1069">
        <v>23</v>
      </c>
      <c r="F1069" t="s">
        <v>27</v>
      </c>
      <c r="G1069" t="s">
        <v>54</v>
      </c>
      <c r="H1069">
        <v>12</v>
      </c>
      <c r="I1069" t="s">
        <v>65</v>
      </c>
      <c r="J1069" t="s">
        <v>30</v>
      </c>
      <c r="K1069">
        <v>3</v>
      </c>
      <c r="L1069" t="s">
        <v>55</v>
      </c>
      <c r="M1069" t="s">
        <v>85</v>
      </c>
      <c r="N1069" t="s">
        <v>49</v>
      </c>
      <c r="O1069">
        <v>27347</v>
      </c>
      <c r="P1069">
        <v>1</v>
      </c>
      <c r="Q1069" t="s">
        <v>34</v>
      </c>
      <c r="R1069" s="1">
        <v>43868</v>
      </c>
      <c r="S1069" t="s">
        <v>34</v>
      </c>
      <c r="T1069">
        <v>2</v>
      </c>
      <c r="U1069">
        <v>0</v>
      </c>
      <c r="V1069">
        <v>0</v>
      </c>
      <c r="W1069">
        <v>0</v>
      </c>
      <c r="X1069" t="s">
        <v>11022</v>
      </c>
      <c r="Y1069" t="s">
        <v>11022</v>
      </c>
      <c r="Z1069" t="str">
        <f>_xlfn.XLOOKUP(Employees[[#This Row],[Education]], EdLevel[EducationLevelID], EdLevel[EducationLevel])</f>
        <v xml:space="preserve">Bachelors </v>
      </c>
      <c r="AA1069">
        <f>IF(Employees[[#This Row],[Attrition]] = "Yes", 1, 0)</f>
        <v>0</v>
      </c>
      <c r="AB1069" t="str" cm="1">
        <f t="array" ref="AB1069">_xlfn.IFS(Employees[[#This Row],[Age]]&lt;30, "20-29", Employees[[#This Row],[Age]]&lt;40, "30-39", Employees[[#This Row],[Age]]&lt;50, "40-49", "TRUE", "50+")</f>
        <v>20-29</v>
      </c>
    </row>
    <row r="1070" spans="1:28">
      <c r="A1070" t="s">
        <v>3166</v>
      </c>
      <c r="B1070" t="s">
        <v>2161</v>
      </c>
      <c r="C1070" t="s">
        <v>3167</v>
      </c>
      <c r="D1070" t="s">
        <v>38</v>
      </c>
      <c r="E1070">
        <v>21</v>
      </c>
      <c r="F1070" t="s">
        <v>27</v>
      </c>
      <c r="G1070" t="s">
        <v>54</v>
      </c>
      <c r="H1070">
        <v>29</v>
      </c>
      <c r="I1070" t="s">
        <v>65</v>
      </c>
      <c r="J1070" t="s">
        <v>30</v>
      </c>
      <c r="K1070">
        <v>4</v>
      </c>
      <c r="L1070" t="s">
        <v>72</v>
      </c>
      <c r="M1070" t="s">
        <v>101</v>
      </c>
      <c r="N1070" t="s">
        <v>33</v>
      </c>
      <c r="O1070">
        <v>31618</v>
      </c>
      <c r="P1070">
        <v>2</v>
      </c>
      <c r="Q1070" t="s">
        <v>34</v>
      </c>
      <c r="R1070" s="1">
        <v>43874</v>
      </c>
      <c r="S1070" t="s">
        <v>34</v>
      </c>
      <c r="T1070">
        <v>2</v>
      </c>
      <c r="U1070">
        <v>0</v>
      </c>
      <c r="V1070">
        <v>2</v>
      </c>
      <c r="W1070">
        <v>2</v>
      </c>
      <c r="X1070" t="s">
        <v>11023</v>
      </c>
      <c r="Y1070" t="s">
        <v>11023</v>
      </c>
      <c r="Z1070" t="str">
        <f>_xlfn.XLOOKUP(Employees[[#This Row],[Education]], EdLevel[EducationLevelID], EdLevel[EducationLevel])</f>
        <v xml:space="preserve">Masters </v>
      </c>
      <c r="AA1070">
        <f>IF(Employees[[#This Row],[Attrition]] = "Yes", 1, 0)</f>
        <v>0</v>
      </c>
      <c r="AB1070" t="str" cm="1">
        <f t="array" ref="AB1070">_xlfn.IFS(Employees[[#This Row],[Age]]&lt;30, "20-29", Employees[[#This Row],[Age]]&lt;40, "30-39", Employees[[#This Row],[Age]]&lt;50, "40-49", "TRUE", "50+")</f>
        <v>20-29</v>
      </c>
    </row>
    <row r="1071" spans="1:28">
      <c r="A1071" t="s">
        <v>3168</v>
      </c>
      <c r="B1071" t="s">
        <v>3169</v>
      </c>
      <c r="C1071" t="s">
        <v>3170</v>
      </c>
      <c r="D1071" t="s">
        <v>859</v>
      </c>
      <c r="E1071">
        <v>23</v>
      </c>
      <c r="F1071" t="s">
        <v>27</v>
      </c>
      <c r="G1071" t="s">
        <v>54</v>
      </c>
      <c r="H1071">
        <v>25</v>
      </c>
      <c r="I1071" t="s">
        <v>29</v>
      </c>
      <c r="J1071" t="s">
        <v>30</v>
      </c>
      <c r="K1071">
        <v>4</v>
      </c>
      <c r="L1071" t="s">
        <v>72</v>
      </c>
      <c r="M1071" t="s">
        <v>93</v>
      </c>
      <c r="N1071" t="s">
        <v>49</v>
      </c>
      <c r="O1071">
        <v>57285</v>
      </c>
      <c r="P1071">
        <v>0</v>
      </c>
      <c r="Q1071" t="s">
        <v>34</v>
      </c>
      <c r="R1071" s="1">
        <v>43874</v>
      </c>
      <c r="S1071" t="s">
        <v>34</v>
      </c>
      <c r="T1071">
        <v>2</v>
      </c>
      <c r="U1071">
        <v>2</v>
      </c>
      <c r="V1071">
        <v>2</v>
      </c>
      <c r="W1071">
        <v>0</v>
      </c>
      <c r="X1071" t="s">
        <v>11023</v>
      </c>
      <c r="Y1071" t="s">
        <v>11023</v>
      </c>
      <c r="Z1071" t="str">
        <f>_xlfn.XLOOKUP(Employees[[#This Row],[Education]], EdLevel[EducationLevelID], EdLevel[EducationLevel])</f>
        <v xml:space="preserve">Masters </v>
      </c>
      <c r="AA1071">
        <f>IF(Employees[[#This Row],[Attrition]] = "Yes", 1, 0)</f>
        <v>0</v>
      </c>
      <c r="AB1071" t="str" cm="1">
        <f t="array" ref="AB1071">_xlfn.IFS(Employees[[#This Row],[Age]]&lt;30, "20-29", Employees[[#This Row],[Age]]&lt;40, "30-39", Employees[[#This Row],[Age]]&lt;50, "40-49", "TRUE", "50+")</f>
        <v>20-29</v>
      </c>
    </row>
    <row r="1072" spans="1:28">
      <c r="A1072" t="s">
        <v>3171</v>
      </c>
      <c r="B1072" t="s">
        <v>3172</v>
      </c>
      <c r="C1072" t="s">
        <v>3173</v>
      </c>
      <c r="D1072" t="s">
        <v>26</v>
      </c>
      <c r="E1072">
        <v>22</v>
      </c>
      <c r="F1072" t="s">
        <v>27</v>
      </c>
      <c r="G1072" t="s">
        <v>54</v>
      </c>
      <c r="H1072">
        <v>6</v>
      </c>
      <c r="I1072" t="s">
        <v>39</v>
      </c>
      <c r="J1072" t="s">
        <v>30</v>
      </c>
      <c r="K1072">
        <v>2</v>
      </c>
      <c r="L1072" t="s">
        <v>72</v>
      </c>
      <c r="M1072" t="s">
        <v>105</v>
      </c>
      <c r="N1072" t="s">
        <v>40</v>
      </c>
      <c r="O1072">
        <v>70766</v>
      </c>
      <c r="P1072">
        <v>0</v>
      </c>
      <c r="Q1072" t="s">
        <v>34</v>
      </c>
      <c r="R1072" s="1">
        <v>43876</v>
      </c>
      <c r="S1072" t="s">
        <v>34</v>
      </c>
      <c r="T1072">
        <v>2</v>
      </c>
      <c r="U1072">
        <v>0</v>
      </c>
      <c r="V1072">
        <v>2</v>
      </c>
      <c r="W1072">
        <v>1</v>
      </c>
      <c r="X1072" t="s">
        <v>11021</v>
      </c>
      <c r="Y1072" t="s">
        <v>11021</v>
      </c>
      <c r="Z1072" t="str">
        <f>_xlfn.XLOOKUP(Employees[[#This Row],[Education]], EdLevel[EducationLevelID], EdLevel[EducationLevel])</f>
        <v xml:space="preserve">High School </v>
      </c>
      <c r="AA1072">
        <f>IF(Employees[[#This Row],[Attrition]] = "Yes", 1, 0)</f>
        <v>0</v>
      </c>
      <c r="AB1072" t="str" cm="1">
        <f t="array" ref="AB1072">_xlfn.IFS(Employees[[#This Row],[Age]]&lt;30, "20-29", Employees[[#This Row],[Age]]&lt;40, "30-39", Employees[[#This Row],[Age]]&lt;50, "40-49", "TRUE", "50+")</f>
        <v>20-29</v>
      </c>
    </row>
    <row r="1073" spans="1:28">
      <c r="A1073" t="s">
        <v>3174</v>
      </c>
      <c r="B1073" t="s">
        <v>3175</v>
      </c>
      <c r="C1073" t="s">
        <v>3176</v>
      </c>
      <c r="D1073" t="s">
        <v>26</v>
      </c>
      <c r="E1073">
        <v>22</v>
      </c>
      <c r="F1073" t="s">
        <v>27</v>
      </c>
      <c r="G1073" t="s">
        <v>54</v>
      </c>
      <c r="H1073">
        <v>7</v>
      </c>
      <c r="I1073" t="s">
        <v>39</v>
      </c>
      <c r="J1073" t="s">
        <v>30</v>
      </c>
      <c r="K1073">
        <v>1</v>
      </c>
      <c r="L1073" t="s">
        <v>55</v>
      </c>
      <c r="M1073" t="s">
        <v>101</v>
      </c>
      <c r="N1073" t="s">
        <v>40</v>
      </c>
      <c r="O1073">
        <v>28359</v>
      </c>
      <c r="P1073">
        <v>0</v>
      </c>
      <c r="Q1073" t="s">
        <v>34</v>
      </c>
      <c r="R1073" s="1">
        <v>43884</v>
      </c>
      <c r="S1073" t="s">
        <v>34</v>
      </c>
      <c r="T1073">
        <v>2</v>
      </c>
      <c r="U1073">
        <v>1</v>
      </c>
      <c r="V1073">
        <v>2</v>
      </c>
      <c r="W1073">
        <v>1</v>
      </c>
      <c r="X1073" t="s">
        <v>11020</v>
      </c>
      <c r="Y1073" t="s">
        <v>11020</v>
      </c>
      <c r="Z1073" t="str">
        <f>_xlfn.XLOOKUP(Employees[[#This Row],[Education]], EdLevel[EducationLevelID], EdLevel[EducationLevel])</f>
        <v>No Formal Qualifications</v>
      </c>
      <c r="AA1073">
        <f>IF(Employees[[#This Row],[Attrition]] = "Yes", 1, 0)</f>
        <v>0</v>
      </c>
      <c r="AB1073" t="str" cm="1">
        <f t="array" ref="AB1073">_xlfn.IFS(Employees[[#This Row],[Age]]&lt;30, "20-29", Employees[[#This Row],[Age]]&lt;40, "30-39", Employees[[#This Row],[Age]]&lt;50, "40-49", "TRUE", "50+")</f>
        <v>20-29</v>
      </c>
    </row>
    <row r="1074" spans="1:28">
      <c r="A1074" t="s">
        <v>3177</v>
      </c>
      <c r="B1074" t="s">
        <v>3178</v>
      </c>
      <c r="C1074" t="s">
        <v>3179</v>
      </c>
      <c r="D1074" t="s">
        <v>38</v>
      </c>
      <c r="E1074">
        <v>27</v>
      </c>
      <c r="F1074" t="s">
        <v>27</v>
      </c>
      <c r="G1074" t="s">
        <v>28</v>
      </c>
      <c r="H1074">
        <v>17</v>
      </c>
      <c r="I1074" t="s">
        <v>39</v>
      </c>
      <c r="J1074" t="s">
        <v>30</v>
      </c>
      <c r="K1074">
        <v>5</v>
      </c>
      <c r="L1074" t="s">
        <v>31</v>
      </c>
      <c r="M1074" t="s">
        <v>32</v>
      </c>
      <c r="N1074" t="s">
        <v>49</v>
      </c>
      <c r="O1074">
        <v>81294</v>
      </c>
      <c r="P1074">
        <v>1</v>
      </c>
      <c r="Q1074" t="s">
        <v>34</v>
      </c>
      <c r="R1074" s="1">
        <v>43885</v>
      </c>
      <c r="S1074" t="s">
        <v>34</v>
      </c>
      <c r="T1074">
        <v>2</v>
      </c>
      <c r="U1074">
        <v>2</v>
      </c>
      <c r="V1074">
        <v>2</v>
      </c>
      <c r="W1074">
        <v>2</v>
      </c>
      <c r="X1074" t="s">
        <v>11024</v>
      </c>
      <c r="Y1074" t="s">
        <v>11024</v>
      </c>
      <c r="Z1074" t="str">
        <f>_xlfn.XLOOKUP(Employees[[#This Row],[Education]], EdLevel[EducationLevelID], EdLevel[EducationLevel])</f>
        <v>Doctorate</v>
      </c>
      <c r="AA1074">
        <f>IF(Employees[[#This Row],[Attrition]] = "Yes", 1, 0)</f>
        <v>0</v>
      </c>
      <c r="AB1074" t="str" cm="1">
        <f t="array" ref="AB1074">_xlfn.IFS(Employees[[#This Row],[Age]]&lt;30, "20-29", Employees[[#This Row],[Age]]&lt;40, "30-39", Employees[[#This Row],[Age]]&lt;50, "40-49", "TRUE", "50+")</f>
        <v>20-29</v>
      </c>
    </row>
    <row r="1075" spans="1:28">
      <c r="A1075" t="s">
        <v>3180</v>
      </c>
      <c r="B1075" t="s">
        <v>3181</v>
      </c>
      <c r="C1075" t="s">
        <v>3182</v>
      </c>
      <c r="D1075" t="s">
        <v>38</v>
      </c>
      <c r="E1075">
        <v>43</v>
      </c>
      <c r="F1075" t="s">
        <v>84</v>
      </c>
      <c r="G1075" t="s">
        <v>28</v>
      </c>
      <c r="H1075">
        <v>21</v>
      </c>
      <c r="I1075" t="s">
        <v>65</v>
      </c>
      <c r="J1075" t="s">
        <v>30</v>
      </c>
      <c r="K1075">
        <v>3</v>
      </c>
      <c r="L1075" t="s">
        <v>47</v>
      </c>
      <c r="M1075" t="s">
        <v>97</v>
      </c>
      <c r="N1075" t="s">
        <v>33</v>
      </c>
      <c r="O1075">
        <v>327587</v>
      </c>
      <c r="P1075">
        <v>1</v>
      </c>
      <c r="Q1075" t="s">
        <v>41</v>
      </c>
      <c r="R1075" s="1">
        <v>43886</v>
      </c>
      <c r="S1075" t="s">
        <v>34</v>
      </c>
      <c r="T1075">
        <v>2</v>
      </c>
      <c r="U1075">
        <v>1</v>
      </c>
      <c r="V1075">
        <v>1</v>
      </c>
      <c r="W1075">
        <v>1</v>
      </c>
      <c r="X1075" t="s">
        <v>11022</v>
      </c>
      <c r="Y1075" t="s">
        <v>11022</v>
      </c>
      <c r="Z1075" t="str">
        <f>_xlfn.XLOOKUP(Employees[[#This Row],[Education]], EdLevel[EducationLevelID], EdLevel[EducationLevel])</f>
        <v xml:space="preserve">Bachelors </v>
      </c>
      <c r="AA1075">
        <f>IF(Employees[[#This Row],[Attrition]] = "Yes", 1, 0)</f>
        <v>0</v>
      </c>
      <c r="AB1075" t="str" cm="1">
        <f t="array" ref="AB1075">_xlfn.IFS(Employees[[#This Row],[Age]]&lt;30, "20-29", Employees[[#This Row],[Age]]&lt;40, "30-39", Employees[[#This Row],[Age]]&lt;50, "40-49", "TRUE", "50+")</f>
        <v>40-49</v>
      </c>
    </row>
    <row r="1076" spans="1:28">
      <c r="A1076" t="s">
        <v>3183</v>
      </c>
      <c r="B1076" t="s">
        <v>3184</v>
      </c>
      <c r="C1076" t="s">
        <v>3185</v>
      </c>
      <c r="D1076" t="s">
        <v>38</v>
      </c>
      <c r="E1076">
        <v>20</v>
      </c>
      <c r="F1076" t="s">
        <v>27</v>
      </c>
      <c r="G1076" t="s">
        <v>54</v>
      </c>
      <c r="H1076">
        <v>37</v>
      </c>
      <c r="I1076" t="s">
        <v>39</v>
      </c>
      <c r="J1076" t="s">
        <v>30</v>
      </c>
      <c r="K1076">
        <v>4</v>
      </c>
      <c r="L1076" t="s">
        <v>55</v>
      </c>
      <c r="M1076" t="s">
        <v>85</v>
      </c>
      <c r="N1076" t="s">
        <v>49</v>
      </c>
      <c r="O1076">
        <v>35654</v>
      </c>
      <c r="P1076">
        <v>2</v>
      </c>
      <c r="Q1076" t="s">
        <v>34</v>
      </c>
      <c r="R1076" s="1">
        <v>43888</v>
      </c>
      <c r="S1076" t="s">
        <v>34</v>
      </c>
      <c r="T1076">
        <v>2</v>
      </c>
      <c r="U1076">
        <v>2</v>
      </c>
      <c r="V1076">
        <v>2</v>
      </c>
      <c r="W1076">
        <v>1</v>
      </c>
      <c r="X1076" t="s">
        <v>11023</v>
      </c>
      <c r="Y1076" t="s">
        <v>11023</v>
      </c>
      <c r="Z1076" t="str">
        <f>_xlfn.XLOOKUP(Employees[[#This Row],[Education]], EdLevel[EducationLevelID], EdLevel[EducationLevel])</f>
        <v xml:space="preserve">Masters </v>
      </c>
      <c r="AA1076">
        <f>IF(Employees[[#This Row],[Attrition]] = "Yes", 1, 0)</f>
        <v>0</v>
      </c>
      <c r="AB1076" t="str" cm="1">
        <f t="array" ref="AB1076">_xlfn.IFS(Employees[[#This Row],[Age]]&lt;30, "20-29", Employees[[#This Row],[Age]]&lt;40, "30-39", Employees[[#This Row],[Age]]&lt;50, "40-49", "TRUE", "50+")</f>
        <v>20-29</v>
      </c>
    </row>
    <row r="1077" spans="1:28">
      <c r="A1077" t="s">
        <v>3186</v>
      </c>
      <c r="B1077" t="s">
        <v>3187</v>
      </c>
      <c r="C1077" t="s">
        <v>3188</v>
      </c>
      <c r="D1077" t="s">
        <v>38</v>
      </c>
      <c r="E1077">
        <v>26</v>
      </c>
      <c r="F1077" t="s">
        <v>70</v>
      </c>
      <c r="G1077" t="s">
        <v>54</v>
      </c>
      <c r="H1077">
        <v>10</v>
      </c>
      <c r="I1077" t="s">
        <v>65</v>
      </c>
      <c r="J1077" t="s">
        <v>30</v>
      </c>
      <c r="K1077">
        <v>2</v>
      </c>
      <c r="L1077" t="s">
        <v>55</v>
      </c>
      <c r="M1077" t="s">
        <v>101</v>
      </c>
      <c r="N1077" t="s">
        <v>40</v>
      </c>
      <c r="O1077">
        <v>62828</v>
      </c>
      <c r="P1077">
        <v>0</v>
      </c>
      <c r="Q1077" t="s">
        <v>34</v>
      </c>
      <c r="R1077" s="1">
        <v>43889</v>
      </c>
      <c r="S1077" t="s">
        <v>34</v>
      </c>
      <c r="T1077">
        <v>2</v>
      </c>
      <c r="U1077">
        <v>0</v>
      </c>
      <c r="V1077">
        <v>2</v>
      </c>
      <c r="W1077">
        <v>1</v>
      </c>
      <c r="X1077" t="s">
        <v>11021</v>
      </c>
      <c r="Y1077" t="s">
        <v>11021</v>
      </c>
      <c r="Z1077" t="str">
        <f>_xlfn.XLOOKUP(Employees[[#This Row],[Education]], EdLevel[EducationLevelID], EdLevel[EducationLevel])</f>
        <v xml:space="preserve">High School </v>
      </c>
      <c r="AA1077">
        <f>IF(Employees[[#This Row],[Attrition]] = "Yes", 1, 0)</f>
        <v>0</v>
      </c>
      <c r="AB1077" t="str" cm="1">
        <f t="array" ref="AB1077">_xlfn.IFS(Employees[[#This Row],[Age]]&lt;30, "20-29", Employees[[#This Row],[Age]]&lt;40, "30-39", Employees[[#This Row],[Age]]&lt;50, "40-49", "TRUE", "50+")</f>
        <v>20-29</v>
      </c>
    </row>
    <row r="1078" spans="1:28">
      <c r="A1078" t="s">
        <v>3189</v>
      </c>
      <c r="B1078" t="s">
        <v>3190</v>
      </c>
      <c r="C1078" t="s">
        <v>3191</v>
      </c>
      <c r="D1078" t="s">
        <v>26</v>
      </c>
      <c r="E1078">
        <v>20</v>
      </c>
      <c r="F1078" t="s">
        <v>27</v>
      </c>
      <c r="G1078" t="s">
        <v>54</v>
      </c>
      <c r="H1078">
        <v>26</v>
      </c>
      <c r="I1078" t="s">
        <v>65</v>
      </c>
      <c r="J1078" t="s">
        <v>30</v>
      </c>
      <c r="K1078">
        <v>4</v>
      </c>
      <c r="L1078" t="s">
        <v>178</v>
      </c>
      <c r="M1078" t="s">
        <v>101</v>
      </c>
      <c r="N1078" t="s">
        <v>40</v>
      </c>
      <c r="O1078">
        <v>37094</v>
      </c>
      <c r="P1078">
        <v>0</v>
      </c>
      <c r="Q1078" t="s">
        <v>34</v>
      </c>
      <c r="R1078" s="1">
        <v>43892</v>
      </c>
      <c r="S1078" t="s">
        <v>41</v>
      </c>
      <c r="T1078">
        <v>1</v>
      </c>
      <c r="U1078">
        <v>0</v>
      </c>
      <c r="V1078">
        <v>0</v>
      </c>
      <c r="W1078">
        <v>0</v>
      </c>
      <c r="X1078" t="s">
        <v>11023</v>
      </c>
      <c r="Y1078" t="s">
        <v>11023</v>
      </c>
      <c r="Z1078" t="str">
        <f>_xlfn.XLOOKUP(Employees[[#This Row],[Education]], EdLevel[EducationLevelID], EdLevel[EducationLevel])</f>
        <v xml:space="preserve">Masters </v>
      </c>
      <c r="AA1078">
        <f>IF(Employees[[#This Row],[Attrition]] = "Yes", 1, 0)</f>
        <v>1</v>
      </c>
      <c r="AB1078" t="str" cm="1">
        <f t="array" ref="AB1078">_xlfn.IFS(Employees[[#This Row],[Age]]&lt;30, "20-29", Employees[[#This Row],[Age]]&lt;40, "30-39", Employees[[#This Row],[Age]]&lt;50, "40-49", "TRUE", "50+")</f>
        <v>20-29</v>
      </c>
    </row>
    <row r="1079" spans="1:28">
      <c r="A1079" t="s">
        <v>3192</v>
      </c>
      <c r="B1079" t="s">
        <v>3193</v>
      </c>
      <c r="C1079" t="s">
        <v>3194</v>
      </c>
      <c r="D1079" t="s">
        <v>53</v>
      </c>
      <c r="E1079">
        <v>21</v>
      </c>
      <c r="F1079" t="s">
        <v>27</v>
      </c>
      <c r="G1079" t="s">
        <v>54</v>
      </c>
      <c r="H1079">
        <v>37</v>
      </c>
      <c r="I1079" t="s">
        <v>29</v>
      </c>
      <c r="J1079" t="s">
        <v>30</v>
      </c>
      <c r="K1079">
        <v>3</v>
      </c>
      <c r="L1079" t="s">
        <v>72</v>
      </c>
      <c r="M1079" t="s">
        <v>101</v>
      </c>
      <c r="N1079" t="s">
        <v>49</v>
      </c>
      <c r="O1079">
        <v>41476</v>
      </c>
      <c r="P1079">
        <v>1</v>
      </c>
      <c r="Q1079" t="s">
        <v>41</v>
      </c>
      <c r="R1079" s="1">
        <v>43893</v>
      </c>
      <c r="S1079" t="s">
        <v>41</v>
      </c>
      <c r="T1079">
        <v>0</v>
      </c>
      <c r="U1079">
        <v>0</v>
      </c>
      <c r="V1079">
        <v>0</v>
      </c>
      <c r="W1079">
        <v>0</v>
      </c>
      <c r="X1079" t="s">
        <v>11022</v>
      </c>
      <c r="Y1079" t="s">
        <v>11022</v>
      </c>
      <c r="Z1079" t="str">
        <f>_xlfn.XLOOKUP(Employees[[#This Row],[Education]], EdLevel[EducationLevelID], EdLevel[EducationLevel])</f>
        <v xml:space="preserve">Bachelors </v>
      </c>
      <c r="AA1079">
        <f>IF(Employees[[#This Row],[Attrition]] = "Yes", 1, 0)</f>
        <v>1</v>
      </c>
      <c r="AB1079" t="str" cm="1">
        <f t="array" ref="AB1079">_xlfn.IFS(Employees[[#This Row],[Age]]&lt;30, "20-29", Employees[[#This Row],[Age]]&lt;40, "30-39", Employees[[#This Row],[Age]]&lt;50, "40-49", "TRUE", "50+")</f>
        <v>20-29</v>
      </c>
    </row>
    <row r="1080" spans="1:28">
      <c r="A1080" t="s">
        <v>3195</v>
      </c>
      <c r="B1080" t="s">
        <v>3196</v>
      </c>
      <c r="C1080" t="s">
        <v>3197</v>
      </c>
      <c r="D1080" t="s">
        <v>26</v>
      </c>
      <c r="E1080">
        <v>23</v>
      </c>
      <c r="F1080" t="s">
        <v>27</v>
      </c>
      <c r="G1080" t="s">
        <v>28</v>
      </c>
      <c r="H1080">
        <v>7</v>
      </c>
      <c r="I1080" t="s">
        <v>29</v>
      </c>
      <c r="J1080" t="s">
        <v>30</v>
      </c>
      <c r="K1080">
        <v>4</v>
      </c>
      <c r="L1080" t="s">
        <v>31</v>
      </c>
      <c r="M1080" t="s">
        <v>32</v>
      </c>
      <c r="N1080" t="s">
        <v>49</v>
      </c>
      <c r="O1080">
        <v>72622</v>
      </c>
      <c r="P1080">
        <v>0</v>
      </c>
      <c r="Q1080" t="s">
        <v>41</v>
      </c>
      <c r="R1080" s="1">
        <v>43893</v>
      </c>
      <c r="S1080" t="s">
        <v>34</v>
      </c>
      <c r="T1080">
        <v>2</v>
      </c>
      <c r="U1080">
        <v>0</v>
      </c>
      <c r="V1080">
        <v>2</v>
      </c>
      <c r="W1080">
        <v>0</v>
      </c>
      <c r="X1080" t="s">
        <v>11023</v>
      </c>
      <c r="Y1080" t="s">
        <v>11023</v>
      </c>
      <c r="Z1080" t="str">
        <f>_xlfn.XLOOKUP(Employees[[#This Row],[Education]], EdLevel[EducationLevelID], EdLevel[EducationLevel])</f>
        <v xml:space="preserve">Masters </v>
      </c>
      <c r="AA1080">
        <f>IF(Employees[[#This Row],[Attrition]] = "Yes", 1, 0)</f>
        <v>0</v>
      </c>
      <c r="AB1080" t="str" cm="1">
        <f t="array" ref="AB1080">_xlfn.IFS(Employees[[#This Row],[Age]]&lt;30, "20-29", Employees[[#This Row],[Age]]&lt;40, "30-39", Employees[[#This Row],[Age]]&lt;50, "40-49", "TRUE", "50+")</f>
        <v>20-29</v>
      </c>
    </row>
    <row r="1081" spans="1:28">
      <c r="A1081" t="s">
        <v>3198</v>
      </c>
      <c r="B1081" t="s">
        <v>3199</v>
      </c>
      <c r="C1081" t="s">
        <v>3200</v>
      </c>
      <c r="D1081" t="s">
        <v>38</v>
      </c>
      <c r="E1081">
        <v>20</v>
      </c>
      <c r="F1081" t="s">
        <v>27</v>
      </c>
      <c r="G1081" t="s">
        <v>45</v>
      </c>
      <c r="H1081">
        <v>8</v>
      </c>
      <c r="I1081" t="s">
        <v>39</v>
      </c>
      <c r="J1081" t="s">
        <v>30</v>
      </c>
      <c r="K1081">
        <v>4</v>
      </c>
      <c r="L1081" t="s">
        <v>45</v>
      </c>
      <c r="M1081" t="s">
        <v>61</v>
      </c>
      <c r="N1081" t="s">
        <v>33</v>
      </c>
      <c r="O1081">
        <v>26186</v>
      </c>
      <c r="P1081">
        <v>0</v>
      </c>
      <c r="Q1081" t="s">
        <v>41</v>
      </c>
      <c r="R1081" s="1">
        <v>43896</v>
      </c>
      <c r="S1081" t="s">
        <v>41</v>
      </c>
      <c r="T1081">
        <v>2</v>
      </c>
      <c r="U1081">
        <v>0</v>
      </c>
      <c r="V1081">
        <v>0</v>
      </c>
      <c r="W1081">
        <v>0</v>
      </c>
      <c r="X1081" t="s">
        <v>11023</v>
      </c>
      <c r="Y1081" t="s">
        <v>11023</v>
      </c>
      <c r="Z1081" t="str">
        <f>_xlfn.XLOOKUP(Employees[[#This Row],[Education]], EdLevel[EducationLevelID], EdLevel[EducationLevel])</f>
        <v xml:space="preserve">Masters </v>
      </c>
      <c r="AA1081">
        <f>IF(Employees[[#This Row],[Attrition]] = "Yes", 1, 0)</f>
        <v>1</v>
      </c>
      <c r="AB1081" t="str" cm="1">
        <f t="array" ref="AB1081">_xlfn.IFS(Employees[[#This Row],[Age]]&lt;30, "20-29", Employees[[#This Row],[Age]]&lt;40, "30-39", Employees[[#This Row],[Age]]&lt;50, "40-49", "TRUE", "50+")</f>
        <v>20-29</v>
      </c>
    </row>
    <row r="1082" spans="1:28">
      <c r="A1082" t="s">
        <v>3201</v>
      </c>
      <c r="B1082" t="s">
        <v>3202</v>
      </c>
      <c r="C1082" t="s">
        <v>3203</v>
      </c>
      <c r="D1082" t="s">
        <v>26</v>
      </c>
      <c r="E1082">
        <v>31</v>
      </c>
      <c r="F1082" t="s">
        <v>27</v>
      </c>
      <c r="G1082" t="s">
        <v>54</v>
      </c>
      <c r="H1082">
        <v>21</v>
      </c>
      <c r="I1082" t="s">
        <v>39</v>
      </c>
      <c r="J1082" t="s">
        <v>30</v>
      </c>
      <c r="K1082">
        <v>3</v>
      </c>
      <c r="L1082" t="s">
        <v>55</v>
      </c>
      <c r="M1082" t="s">
        <v>105</v>
      </c>
      <c r="N1082" t="s">
        <v>33</v>
      </c>
      <c r="O1082">
        <v>127182</v>
      </c>
      <c r="P1082">
        <v>1</v>
      </c>
      <c r="Q1082" t="s">
        <v>34</v>
      </c>
      <c r="R1082" s="1">
        <v>43898</v>
      </c>
      <c r="S1082" t="s">
        <v>34</v>
      </c>
      <c r="T1082">
        <v>2</v>
      </c>
      <c r="U1082">
        <v>0</v>
      </c>
      <c r="V1082">
        <v>0</v>
      </c>
      <c r="W1082">
        <v>1</v>
      </c>
      <c r="X1082" t="s">
        <v>11022</v>
      </c>
      <c r="Y1082" t="s">
        <v>11022</v>
      </c>
      <c r="Z1082" t="str">
        <f>_xlfn.XLOOKUP(Employees[[#This Row],[Education]], EdLevel[EducationLevelID], EdLevel[EducationLevel])</f>
        <v xml:space="preserve">Bachelors </v>
      </c>
      <c r="AA1082">
        <f>IF(Employees[[#This Row],[Attrition]] = "Yes", 1, 0)</f>
        <v>0</v>
      </c>
      <c r="AB1082" t="str" cm="1">
        <f t="array" ref="AB1082">_xlfn.IFS(Employees[[#This Row],[Age]]&lt;30, "20-29", Employees[[#This Row],[Age]]&lt;40, "30-39", Employees[[#This Row],[Age]]&lt;50, "40-49", "TRUE", "50+")</f>
        <v>30-39</v>
      </c>
    </row>
    <row r="1083" spans="1:28">
      <c r="A1083" t="s">
        <v>3204</v>
      </c>
      <c r="B1083" t="s">
        <v>3205</v>
      </c>
      <c r="C1083" t="s">
        <v>3206</v>
      </c>
      <c r="D1083" t="s">
        <v>38</v>
      </c>
      <c r="E1083">
        <v>40</v>
      </c>
      <c r="F1083" t="s">
        <v>70</v>
      </c>
      <c r="G1083" t="s">
        <v>54</v>
      </c>
      <c r="H1083">
        <v>31</v>
      </c>
      <c r="I1083" t="s">
        <v>39</v>
      </c>
      <c r="J1083" t="s">
        <v>30</v>
      </c>
      <c r="K1083">
        <v>4</v>
      </c>
      <c r="L1083" t="s">
        <v>55</v>
      </c>
      <c r="M1083" t="s">
        <v>182</v>
      </c>
      <c r="N1083" t="s">
        <v>33</v>
      </c>
      <c r="O1083">
        <v>456418</v>
      </c>
      <c r="P1083">
        <v>1</v>
      </c>
      <c r="Q1083" t="s">
        <v>34</v>
      </c>
      <c r="R1083" s="1">
        <v>43899</v>
      </c>
      <c r="S1083" t="s">
        <v>34</v>
      </c>
      <c r="T1083">
        <v>2</v>
      </c>
      <c r="U1083">
        <v>0</v>
      </c>
      <c r="V1083">
        <v>2</v>
      </c>
      <c r="W1083">
        <v>2</v>
      </c>
      <c r="X1083" t="s">
        <v>11023</v>
      </c>
      <c r="Y1083" t="s">
        <v>11023</v>
      </c>
      <c r="Z1083" t="str">
        <f>_xlfn.XLOOKUP(Employees[[#This Row],[Education]], EdLevel[EducationLevelID], EdLevel[EducationLevel])</f>
        <v xml:space="preserve">Masters </v>
      </c>
      <c r="AA1083">
        <f>IF(Employees[[#This Row],[Attrition]] = "Yes", 1, 0)</f>
        <v>0</v>
      </c>
      <c r="AB1083" t="str" cm="1">
        <f t="array" ref="AB1083">_xlfn.IFS(Employees[[#This Row],[Age]]&lt;30, "20-29", Employees[[#This Row],[Age]]&lt;40, "30-39", Employees[[#This Row],[Age]]&lt;50, "40-49", "TRUE", "50+")</f>
        <v>40-49</v>
      </c>
    </row>
    <row r="1084" spans="1:28">
      <c r="A1084" t="s">
        <v>3207</v>
      </c>
      <c r="B1084" t="s">
        <v>3208</v>
      </c>
      <c r="C1084" t="s">
        <v>1001</v>
      </c>
      <c r="D1084" t="s">
        <v>26</v>
      </c>
      <c r="E1084">
        <v>22</v>
      </c>
      <c r="F1084" t="s">
        <v>27</v>
      </c>
      <c r="G1084" t="s">
        <v>54</v>
      </c>
      <c r="H1084">
        <v>37</v>
      </c>
      <c r="I1084" t="s">
        <v>65</v>
      </c>
      <c r="J1084" t="s">
        <v>30</v>
      </c>
      <c r="K1084">
        <v>3</v>
      </c>
      <c r="L1084" t="s">
        <v>55</v>
      </c>
      <c r="M1084" t="s">
        <v>85</v>
      </c>
      <c r="N1084" t="s">
        <v>40</v>
      </c>
      <c r="O1084">
        <v>30442</v>
      </c>
      <c r="P1084">
        <v>0</v>
      </c>
      <c r="Q1084" t="s">
        <v>41</v>
      </c>
      <c r="R1084" s="1">
        <v>43901</v>
      </c>
      <c r="S1084" t="s">
        <v>41</v>
      </c>
      <c r="T1084">
        <v>0</v>
      </c>
      <c r="U1084">
        <v>0</v>
      </c>
      <c r="V1084">
        <v>0</v>
      </c>
      <c r="W1084">
        <v>0</v>
      </c>
      <c r="X1084" t="s">
        <v>11022</v>
      </c>
      <c r="Y1084" t="s">
        <v>11022</v>
      </c>
      <c r="Z1084" t="str">
        <f>_xlfn.XLOOKUP(Employees[[#This Row],[Education]], EdLevel[EducationLevelID], EdLevel[EducationLevel])</f>
        <v xml:space="preserve">Bachelors </v>
      </c>
      <c r="AA1084">
        <f>IF(Employees[[#This Row],[Attrition]] = "Yes", 1, 0)</f>
        <v>1</v>
      </c>
      <c r="AB1084" t="str" cm="1">
        <f t="array" ref="AB1084">_xlfn.IFS(Employees[[#This Row],[Age]]&lt;30, "20-29", Employees[[#This Row],[Age]]&lt;40, "30-39", Employees[[#This Row],[Age]]&lt;50, "40-49", "TRUE", "50+")</f>
        <v>20-29</v>
      </c>
    </row>
    <row r="1085" spans="1:28">
      <c r="A1085" t="s">
        <v>3209</v>
      </c>
      <c r="B1085" t="s">
        <v>3210</v>
      </c>
      <c r="C1085" t="s">
        <v>3211</v>
      </c>
      <c r="D1085" t="s">
        <v>38</v>
      </c>
      <c r="E1085">
        <v>31</v>
      </c>
      <c r="F1085" t="s">
        <v>70</v>
      </c>
      <c r="G1085" t="s">
        <v>28</v>
      </c>
      <c r="H1085">
        <v>6</v>
      </c>
      <c r="I1085" t="s">
        <v>65</v>
      </c>
      <c r="J1085" t="s">
        <v>30</v>
      </c>
      <c r="K1085">
        <v>4</v>
      </c>
      <c r="L1085" t="s">
        <v>47</v>
      </c>
      <c r="M1085" t="s">
        <v>97</v>
      </c>
      <c r="N1085" t="s">
        <v>40</v>
      </c>
      <c r="O1085">
        <v>321244</v>
      </c>
      <c r="P1085">
        <v>0</v>
      </c>
      <c r="Q1085" t="s">
        <v>41</v>
      </c>
      <c r="R1085" s="1">
        <v>43906</v>
      </c>
      <c r="S1085" t="s">
        <v>34</v>
      </c>
      <c r="T1085">
        <v>2</v>
      </c>
      <c r="U1085">
        <v>2</v>
      </c>
      <c r="V1085">
        <v>2</v>
      </c>
      <c r="W1085">
        <v>0</v>
      </c>
      <c r="X1085" t="s">
        <v>11023</v>
      </c>
      <c r="Y1085" t="s">
        <v>11023</v>
      </c>
      <c r="Z1085" t="str">
        <f>_xlfn.XLOOKUP(Employees[[#This Row],[Education]], EdLevel[EducationLevelID], EdLevel[EducationLevel])</f>
        <v xml:space="preserve">Masters </v>
      </c>
      <c r="AA1085">
        <f>IF(Employees[[#This Row],[Attrition]] = "Yes", 1, 0)</f>
        <v>0</v>
      </c>
      <c r="AB1085" t="str" cm="1">
        <f t="array" ref="AB1085">_xlfn.IFS(Employees[[#This Row],[Age]]&lt;30, "20-29", Employees[[#This Row],[Age]]&lt;40, "30-39", Employees[[#This Row],[Age]]&lt;50, "40-49", "TRUE", "50+")</f>
        <v>30-39</v>
      </c>
    </row>
    <row r="1086" spans="1:28">
      <c r="A1086" t="s">
        <v>3212</v>
      </c>
      <c r="B1086" t="s">
        <v>3213</v>
      </c>
      <c r="C1086" t="s">
        <v>3214</v>
      </c>
      <c r="D1086" t="s">
        <v>38</v>
      </c>
      <c r="E1086">
        <v>23</v>
      </c>
      <c r="F1086" t="s">
        <v>27</v>
      </c>
      <c r="G1086" t="s">
        <v>28</v>
      </c>
      <c r="H1086">
        <v>35</v>
      </c>
      <c r="I1086" t="s">
        <v>39</v>
      </c>
      <c r="J1086" t="s">
        <v>30</v>
      </c>
      <c r="K1086">
        <v>1</v>
      </c>
      <c r="L1086" t="s">
        <v>47</v>
      </c>
      <c r="M1086" t="s">
        <v>32</v>
      </c>
      <c r="N1086" t="s">
        <v>49</v>
      </c>
      <c r="O1086">
        <v>97824</v>
      </c>
      <c r="P1086">
        <v>1</v>
      </c>
      <c r="Q1086" t="s">
        <v>41</v>
      </c>
      <c r="R1086" s="1">
        <v>43906</v>
      </c>
      <c r="S1086" t="s">
        <v>41</v>
      </c>
      <c r="T1086">
        <v>1</v>
      </c>
      <c r="U1086">
        <v>0</v>
      </c>
      <c r="V1086">
        <v>1</v>
      </c>
      <c r="W1086">
        <v>0</v>
      </c>
      <c r="X1086" t="s">
        <v>11020</v>
      </c>
      <c r="Y1086" t="s">
        <v>11020</v>
      </c>
      <c r="Z1086" t="str">
        <f>_xlfn.XLOOKUP(Employees[[#This Row],[Education]], EdLevel[EducationLevelID], EdLevel[EducationLevel])</f>
        <v>No Formal Qualifications</v>
      </c>
      <c r="AA1086">
        <f>IF(Employees[[#This Row],[Attrition]] = "Yes", 1, 0)</f>
        <v>1</v>
      </c>
      <c r="AB1086" t="str" cm="1">
        <f t="array" ref="AB1086">_xlfn.IFS(Employees[[#This Row],[Age]]&lt;30, "20-29", Employees[[#This Row],[Age]]&lt;40, "30-39", Employees[[#This Row],[Age]]&lt;50, "40-49", "TRUE", "50+")</f>
        <v>20-29</v>
      </c>
    </row>
    <row r="1087" spans="1:28">
      <c r="A1087" t="s">
        <v>3215</v>
      </c>
      <c r="B1087" t="s">
        <v>2991</v>
      </c>
      <c r="C1087" t="s">
        <v>80</v>
      </c>
      <c r="D1087" t="s">
        <v>38</v>
      </c>
      <c r="E1087">
        <v>28</v>
      </c>
      <c r="F1087" t="s">
        <v>70</v>
      </c>
      <c r="G1087" t="s">
        <v>28</v>
      </c>
      <c r="H1087">
        <v>37</v>
      </c>
      <c r="I1087" t="s">
        <v>29</v>
      </c>
      <c r="J1087" t="s">
        <v>30</v>
      </c>
      <c r="K1087">
        <v>4</v>
      </c>
      <c r="L1087" t="s">
        <v>31</v>
      </c>
      <c r="M1087" t="s">
        <v>32</v>
      </c>
      <c r="N1087" t="s">
        <v>40</v>
      </c>
      <c r="O1087">
        <v>95591</v>
      </c>
      <c r="P1087">
        <v>0</v>
      </c>
      <c r="Q1087" t="s">
        <v>34</v>
      </c>
      <c r="R1087" s="1">
        <v>43909</v>
      </c>
      <c r="S1087" t="s">
        <v>34</v>
      </c>
      <c r="T1087">
        <v>2</v>
      </c>
      <c r="U1087">
        <v>2</v>
      </c>
      <c r="V1087">
        <v>2</v>
      </c>
      <c r="W1087">
        <v>2</v>
      </c>
      <c r="X1087" t="s">
        <v>11023</v>
      </c>
      <c r="Y1087" t="s">
        <v>11023</v>
      </c>
      <c r="Z1087" t="str">
        <f>_xlfn.XLOOKUP(Employees[[#This Row],[Education]], EdLevel[EducationLevelID], EdLevel[EducationLevel])</f>
        <v xml:space="preserve">Masters </v>
      </c>
      <c r="AA1087">
        <f>IF(Employees[[#This Row],[Attrition]] = "Yes", 1, 0)</f>
        <v>0</v>
      </c>
      <c r="AB1087" t="str" cm="1">
        <f t="array" ref="AB1087">_xlfn.IFS(Employees[[#This Row],[Age]]&lt;30, "20-29", Employees[[#This Row],[Age]]&lt;40, "30-39", Employees[[#This Row],[Age]]&lt;50, "40-49", "TRUE", "50+")</f>
        <v>20-29</v>
      </c>
    </row>
    <row r="1088" spans="1:28">
      <c r="A1088" t="s">
        <v>3216</v>
      </c>
      <c r="B1088" t="s">
        <v>3217</v>
      </c>
      <c r="C1088" t="s">
        <v>3218</v>
      </c>
      <c r="D1088" t="s">
        <v>38</v>
      </c>
      <c r="E1088">
        <v>21</v>
      </c>
      <c r="F1088" t="s">
        <v>84</v>
      </c>
      <c r="G1088" t="s">
        <v>28</v>
      </c>
      <c r="H1088">
        <v>42</v>
      </c>
      <c r="I1088" t="s">
        <v>65</v>
      </c>
      <c r="J1088" t="s">
        <v>30</v>
      </c>
      <c r="K1088">
        <v>2</v>
      </c>
      <c r="L1088" t="s">
        <v>47</v>
      </c>
      <c r="M1088" t="s">
        <v>32</v>
      </c>
      <c r="N1088" t="s">
        <v>40</v>
      </c>
      <c r="O1088">
        <v>46750</v>
      </c>
      <c r="P1088">
        <v>0</v>
      </c>
      <c r="Q1088" t="s">
        <v>34</v>
      </c>
      <c r="R1088" s="1">
        <v>43913</v>
      </c>
      <c r="S1088" t="s">
        <v>34</v>
      </c>
      <c r="T1088">
        <v>2</v>
      </c>
      <c r="U1088">
        <v>0</v>
      </c>
      <c r="V1088">
        <v>0</v>
      </c>
      <c r="W1088">
        <v>0</v>
      </c>
      <c r="X1088" t="s">
        <v>11021</v>
      </c>
      <c r="Y1088" t="s">
        <v>11021</v>
      </c>
      <c r="Z1088" t="str">
        <f>_xlfn.XLOOKUP(Employees[[#This Row],[Education]], EdLevel[EducationLevelID], EdLevel[EducationLevel])</f>
        <v xml:space="preserve">High School </v>
      </c>
      <c r="AA1088">
        <f>IF(Employees[[#This Row],[Attrition]] = "Yes", 1, 0)</f>
        <v>0</v>
      </c>
      <c r="AB1088" t="str" cm="1">
        <f t="array" ref="AB1088">_xlfn.IFS(Employees[[#This Row],[Age]]&lt;30, "20-29", Employees[[#This Row],[Age]]&lt;40, "30-39", Employees[[#This Row],[Age]]&lt;50, "40-49", "TRUE", "50+")</f>
        <v>20-29</v>
      </c>
    </row>
    <row r="1089" spans="1:28">
      <c r="A1089" t="s">
        <v>3219</v>
      </c>
      <c r="B1089" t="s">
        <v>3220</v>
      </c>
      <c r="C1089" t="s">
        <v>3221</v>
      </c>
      <c r="D1089" t="s">
        <v>38</v>
      </c>
      <c r="E1089">
        <v>40</v>
      </c>
      <c r="F1089" t="s">
        <v>84</v>
      </c>
      <c r="G1089" t="s">
        <v>54</v>
      </c>
      <c r="H1089">
        <v>1</v>
      </c>
      <c r="I1089" t="s">
        <v>39</v>
      </c>
      <c r="J1089" t="s">
        <v>30</v>
      </c>
      <c r="K1089">
        <v>4</v>
      </c>
      <c r="L1089" t="s">
        <v>72</v>
      </c>
      <c r="M1089" t="s">
        <v>56</v>
      </c>
      <c r="N1089" t="s">
        <v>33</v>
      </c>
      <c r="O1089">
        <v>314668</v>
      </c>
      <c r="P1089">
        <v>1</v>
      </c>
      <c r="Q1089" t="s">
        <v>34</v>
      </c>
      <c r="R1089" s="1">
        <v>43913</v>
      </c>
      <c r="S1089" t="s">
        <v>34</v>
      </c>
      <c r="T1089">
        <v>2</v>
      </c>
      <c r="U1089">
        <v>0</v>
      </c>
      <c r="V1089">
        <v>2</v>
      </c>
      <c r="W1089">
        <v>2</v>
      </c>
      <c r="X1089" t="s">
        <v>11023</v>
      </c>
      <c r="Y1089" t="s">
        <v>11023</v>
      </c>
      <c r="Z1089" t="str">
        <f>_xlfn.XLOOKUP(Employees[[#This Row],[Education]], EdLevel[EducationLevelID], EdLevel[EducationLevel])</f>
        <v xml:space="preserve">Masters </v>
      </c>
      <c r="AA1089">
        <f>IF(Employees[[#This Row],[Attrition]] = "Yes", 1, 0)</f>
        <v>0</v>
      </c>
      <c r="AB1089" t="str" cm="1">
        <f t="array" ref="AB1089">_xlfn.IFS(Employees[[#This Row],[Age]]&lt;30, "20-29", Employees[[#This Row],[Age]]&lt;40, "30-39", Employees[[#This Row],[Age]]&lt;50, "40-49", "TRUE", "50+")</f>
        <v>40-49</v>
      </c>
    </row>
    <row r="1090" spans="1:28">
      <c r="A1090" t="s">
        <v>3222</v>
      </c>
      <c r="B1090" t="s">
        <v>3223</v>
      </c>
      <c r="C1090" t="s">
        <v>3224</v>
      </c>
      <c r="D1090" t="s">
        <v>26</v>
      </c>
      <c r="E1090">
        <v>36</v>
      </c>
      <c r="F1090" t="s">
        <v>27</v>
      </c>
      <c r="G1090" t="s">
        <v>54</v>
      </c>
      <c r="H1090">
        <v>2</v>
      </c>
      <c r="I1090" t="s">
        <v>29</v>
      </c>
      <c r="J1090" t="s">
        <v>30</v>
      </c>
      <c r="K1090">
        <v>2</v>
      </c>
      <c r="L1090" t="s">
        <v>55</v>
      </c>
      <c r="M1090" t="s">
        <v>56</v>
      </c>
      <c r="N1090" t="s">
        <v>33</v>
      </c>
      <c r="O1090">
        <v>247730</v>
      </c>
      <c r="P1090">
        <v>1</v>
      </c>
      <c r="Q1090" t="s">
        <v>41</v>
      </c>
      <c r="R1090" s="1">
        <v>43915</v>
      </c>
      <c r="S1090" t="s">
        <v>34</v>
      </c>
      <c r="T1090">
        <v>2</v>
      </c>
      <c r="U1090">
        <v>2</v>
      </c>
      <c r="V1090">
        <v>2</v>
      </c>
      <c r="W1090">
        <v>0</v>
      </c>
      <c r="X1090" t="s">
        <v>11021</v>
      </c>
      <c r="Y1090" t="s">
        <v>11021</v>
      </c>
      <c r="Z1090" t="str">
        <f>_xlfn.XLOOKUP(Employees[[#This Row],[Education]], EdLevel[EducationLevelID], EdLevel[EducationLevel])</f>
        <v xml:space="preserve">High School </v>
      </c>
      <c r="AA1090">
        <f>IF(Employees[[#This Row],[Attrition]] = "Yes", 1, 0)</f>
        <v>0</v>
      </c>
      <c r="AB1090" t="str" cm="1">
        <f t="array" ref="AB1090">_xlfn.IFS(Employees[[#This Row],[Age]]&lt;30, "20-29", Employees[[#This Row],[Age]]&lt;40, "30-39", Employees[[#This Row],[Age]]&lt;50, "40-49", "TRUE", "50+")</f>
        <v>30-39</v>
      </c>
    </row>
    <row r="1091" spans="1:28">
      <c r="A1091" t="s">
        <v>3225</v>
      </c>
      <c r="B1091" t="s">
        <v>3226</v>
      </c>
      <c r="C1091" t="s">
        <v>3227</v>
      </c>
      <c r="D1091" t="s">
        <v>26</v>
      </c>
      <c r="E1091">
        <v>23</v>
      </c>
      <c r="F1091" t="s">
        <v>27</v>
      </c>
      <c r="G1091" t="s">
        <v>54</v>
      </c>
      <c r="H1091">
        <v>34</v>
      </c>
      <c r="I1091" t="s">
        <v>29</v>
      </c>
      <c r="J1091" t="s">
        <v>30</v>
      </c>
      <c r="K1091">
        <v>2</v>
      </c>
      <c r="L1091" t="s">
        <v>55</v>
      </c>
      <c r="M1091" t="s">
        <v>101</v>
      </c>
      <c r="N1091" t="s">
        <v>49</v>
      </c>
      <c r="O1091">
        <v>29956</v>
      </c>
      <c r="P1091">
        <v>0</v>
      </c>
      <c r="Q1091" t="s">
        <v>34</v>
      </c>
      <c r="R1091" s="1">
        <v>43915</v>
      </c>
      <c r="S1091" t="s">
        <v>34</v>
      </c>
      <c r="T1091">
        <v>2</v>
      </c>
      <c r="U1091">
        <v>1</v>
      </c>
      <c r="V1091">
        <v>1</v>
      </c>
      <c r="W1091">
        <v>2</v>
      </c>
      <c r="X1091" t="s">
        <v>11021</v>
      </c>
      <c r="Y1091" t="s">
        <v>11021</v>
      </c>
      <c r="Z1091" t="str">
        <f>_xlfn.XLOOKUP(Employees[[#This Row],[Education]], EdLevel[EducationLevelID], EdLevel[EducationLevel])</f>
        <v xml:space="preserve">High School </v>
      </c>
      <c r="AA1091">
        <f>IF(Employees[[#This Row],[Attrition]] = "Yes", 1, 0)</f>
        <v>0</v>
      </c>
      <c r="AB1091" t="str" cm="1">
        <f t="array" ref="AB1091">_xlfn.IFS(Employees[[#This Row],[Age]]&lt;30, "20-29", Employees[[#This Row],[Age]]&lt;40, "30-39", Employees[[#This Row],[Age]]&lt;50, "40-49", "TRUE", "50+")</f>
        <v>20-29</v>
      </c>
    </row>
    <row r="1092" spans="1:28">
      <c r="A1092" t="s">
        <v>3228</v>
      </c>
      <c r="B1092" t="s">
        <v>3229</v>
      </c>
      <c r="C1092" t="s">
        <v>3230</v>
      </c>
      <c r="D1092" t="s">
        <v>38</v>
      </c>
      <c r="E1092">
        <v>20</v>
      </c>
      <c r="F1092" t="s">
        <v>27</v>
      </c>
      <c r="G1092" t="s">
        <v>28</v>
      </c>
      <c r="H1092">
        <v>39</v>
      </c>
      <c r="I1092" t="s">
        <v>39</v>
      </c>
      <c r="J1092" t="s">
        <v>30</v>
      </c>
      <c r="K1092">
        <v>2</v>
      </c>
      <c r="L1092" t="s">
        <v>60</v>
      </c>
      <c r="M1092" t="s">
        <v>150</v>
      </c>
      <c r="N1092" t="s">
        <v>49</v>
      </c>
      <c r="O1092">
        <v>22558</v>
      </c>
      <c r="P1092">
        <v>1</v>
      </c>
      <c r="Q1092" t="s">
        <v>41</v>
      </c>
      <c r="R1092" s="1">
        <v>43920</v>
      </c>
      <c r="S1092" t="s">
        <v>34</v>
      </c>
      <c r="T1092">
        <v>2</v>
      </c>
      <c r="U1092">
        <v>0</v>
      </c>
      <c r="V1092">
        <v>1</v>
      </c>
      <c r="W1092">
        <v>1</v>
      </c>
      <c r="X1092" t="s">
        <v>11021</v>
      </c>
      <c r="Y1092" t="s">
        <v>11021</v>
      </c>
      <c r="Z1092" t="str">
        <f>_xlfn.XLOOKUP(Employees[[#This Row],[Education]], EdLevel[EducationLevelID], EdLevel[EducationLevel])</f>
        <v xml:space="preserve">High School </v>
      </c>
      <c r="AA1092">
        <f>IF(Employees[[#This Row],[Attrition]] = "Yes", 1, 0)</f>
        <v>0</v>
      </c>
      <c r="AB1092" t="str" cm="1">
        <f t="array" ref="AB1092">_xlfn.IFS(Employees[[#This Row],[Age]]&lt;30, "20-29", Employees[[#This Row],[Age]]&lt;40, "30-39", Employees[[#This Row],[Age]]&lt;50, "40-49", "TRUE", "50+")</f>
        <v>20-29</v>
      </c>
    </row>
    <row r="1093" spans="1:28">
      <c r="A1093" t="s">
        <v>3231</v>
      </c>
      <c r="B1093" t="s">
        <v>3232</v>
      </c>
      <c r="C1093" t="s">
        <v>3233</v>
      </c>
      <c r="D1093" t="s">
        <v>38</v>
      </c>
      <c r="E1093">
        <v>25</v>
      </c>
      <c r="F1093" t="s">
        <v>84</v>
      </c>
      <c r="G1093" t="s">
        <v>54</v>
      </c>
      <c r="H1093">
        <v>40</v>
      </c>
      <c r="I1093" t="s">
        <v>65</v>
      </c>
      <c r="J1093" t="s">
        <v>30</v>
      </c>
      <c r="K1093">
        <v>4</v>
      </c>
      <c r="L1093" t="s">
        <v>178</v>
      </c>
      <c r="M1093" t="s">
        <v>105</v>
      </c>
      <c r="N1093" t="s">
        <v>49</v>
      </c>
      <c r="O1093">
        <v>67200</v>
      </c>
      <c r="P1093">
        <v>3</v>
      </c>
      <c r="Q1093" t="s">
        <v>34</v>
      </c>
      <c r="R1093" s="1">
        <v>43926</v>
      </c>
      <c r="S1093" t="s">
        <v>34</v>
      </c>
      <c r="T1093">
        <v>2</v>
      </c>
      <c r="U1093">
        <v>2</v>
      </c>
      <c r="V1093">
        <v>2</v>
      </c>
      <c r="W1093">
        <v>2</v>
      </c>
      <c r="X1093" t="s">
        <v>11023</v>
      </c>
      <c r="Y1093" t="s">
        <v>11023</v>
      </c>
      <c r="Z1093" t="str">
        <f>_xlfn.XLOOKUP(Employees[[#This Row],[Education]], EdLevel[EducationLevelID], EdLevel[EducationLevel])</f>
        <v xml:space="preserve">Masters </v>
      </c>
      <c r="AA1093">
        <f>IF(Employees[[#This Row],[Attrition]] = "Yes", 1, 0)</f>
        <v>0</v>
      </c>
      <c r="AB1093" t="str" cm="1">
        <f t="array" ref="AB1093">_xlfn.IFS(Employees[[#This Row],[Age]]&lt;30, "20-29", Employees[[#This Row],[Age]]&lt;40, "30-39", Employees[[#This Row],[Age]]&lt;50, "40-49", "TRUE", "50+")</f>
        <v>20-29</v>
      </c>
    </row>
    <row r="1094" spans="1:28">
      <c r="A1094" t="s">
        <v>3234</v>
      </c>
      <c r="B1094" t="s">
        <v>3235</v>
      </c>
      <c r="C1094" t="s">
        <v>3236</v>
      </c>
      <c r="D1094" t="s">
        <v>26</v>
      </c>
      <c r="E1094">
        <v>22</v>
      </c>
      <c r="F1094" t="s">
        <v>70</v>
      </c>
      <c r="G1094" t="s">
        <v>28</v>
      </c>
      <c r="H1094">
        <v>16</v>
      </c>
      <c r="I1094" t="s">
        <v>29</v>
      </c>
      <c r="J1094" t="s">
        <v>30</v>
      </c>
      <c r="K1094">
        <v>1</v>
      </c>
      <c r="L1094" t="s">
        <v>47</v>
      </c>
      <c r="M1094" t="s">
        <v>150</v>
      </c>
      <c r="N1094" t="s">
        <v>33</v>
      </c>
      <c r="O1094">
        <v>27053</v>
      </c>
      <c r="P1094">
        <v>3</v>
      </c>
      <c r="Q1094" t="s">
        <v>34</v>
      </c>
      <c r="R1094" s="1">
        <v>43931</v>
      </c>
      <c r="S1094" t="s">
        <v>34</v>
      </c>
      <c r="T1094">
        <v>2</v>
      </c>
      <c r="U1094">
        <v>0</v>
      </c>
      <c r="V1094">
        <v>2</v>
      </c>
      <c r="W1094">
        <v>2</v>
      </c>
      <c r="X1094" t="s">
        <v>11020</v>
      </c>
      <c r="Y1094" t="s">
        <v>11020</v>
      </c>
      <c r="Z1094" t="str">
        <f>_xlfn.XLOOKUP(Employees[[#This Row],[Education]], EdLevel[EducationLevelID], EdLevel[EducationLevel])</f>
        <v>No Formal Qualifications</v>
      </c>
      <c r="AA1094">
        <f>IF(Employees[[#This Row],[Attrition]] = "Yes", 1, 0)</f>
        <v>0</v>
      </c>
      <c r="AB1094" t="str" cm="1">
        <f t="array" ref="AB1094">_xlfn.IFS(Employees[[#This Row],[Age]]&lt;30, "20-29", Employees[[#This Row],[Age]]&lt;40, "30-39", Employees[[#This Row],[Age]]&lt;50, "40-49", "TRUE", "50+")</f>
        <v>20-29</v>
      </c>
    </row>
    <row r="1095" spans="1:28">
      <c r="A1095" t="s">
        <v>3237</v>
      </c>
      <c r="B1095" t="s">
        <v>3238</v>
      </c>
      <c r="C1095" t="s">
        <v>3239</v>
      </c>
      <c r="D1095" t="s">
        <v>38</v>
      </c>
      <c r="E1095">
        <v>20</v>
      </c>
      <c r="F1095" t="s">
        <v>27</v>
      </c>
      <c r="G1095" t="s">
        <v>54</v>
      </c>
      <c r="H1095">
        <v>25</v>
      </c>
      <c r="I1095" t="s">
        <v>65</v>
      </c>
      <c r="J1095" t="s">
        <v>30</v>
      </c>
      <c r="K1095">
        <v>4</v>
      </c>
      <c r="L1095" t="s">
        <v>72</v>
      </c>
      <c r="M1095" t="s">
        <v>85</v>
      </c>
      <c r="N1095" t="s">
        <v>49</v>
      </c>
      <c r="O1095">
        <v>40341</v>
      </c>
      <c r="P1095">
        <v>1</v>
      </c>
      <c r="Q1095" t="s">
        <v>41</v>
      </c>
      <c r="R1095" s="1">
        <v>43939</v>
      </c>
      <c r="S1095" t="s">
        <v>34</v>
      </c>
      <c r="T1095">
        <v>2</v>
      </c>
      <c r="U1095">
        <v>1</v>
      </c>
      <c r="V1095">
        <v>1</v>
      </c>
      <c r="W1095">
        <v>2</v>
      </c>
      <c r="X1095" t="s">
        <v>11023</v>
      </c>
      <c r="Y1095" t="s">
        <v>11023</v>
      </c>
      <c r="Z1095" t="str">
        <f>_xlfn.XLOOKUP(Employees[[#This Row],[Education]], EdLevel[EducationLevelID], EdLevel[EducationLevel])</f>
        <v xml:space="preserve">Masters </v>
      </c>
      <c r="AA1095">
        <f>IF(Employees[[#This Row],[Attrition]] = "Yes", 1, 0)</f>
        <v>0</v>
      </c>
      <c r="AB1095" t="str" cm="1">
        <f t="array" ref="AB1095">_xlfn.IFS(Employees[[#This Row],[Age]]&lt;30, "20-29", Employees[[#This Row],[Age]]&lt;40, "30-39", Employees[[#This Row],[Age]]&lt;50, "40-49", "TRUE", "50+")</f>
        <v>20-29</v>
      </c>
    </row>
    <row r="1096" spans="1:28">
      <c r="A1096" t="s">
        <v>3240</v>
      </c>
      <c r="B1096" t="s">
        <v>1556</v>
      </c>
      <c r="C1096" t="s">
        <v>3241</v>
      </c>
      <c r="D1096" t="s">
        <v>38</v>
      </c>
      <c r="E1096">
        <v>44</v>
      </c>
      <c r="F1096" t="s">
        <v>27</v>
      </c>
      <c r="G1096" t="s">
        <v>28</v>
      </c>
      <c r="H1096">
        <v>35</v>
      </c>
      <c r="I1096" t="s">
        <v>65</v>
      </c>
      <c r="J1096" t="s">
        <v>30</v>
      </c>
      <c r="K1096">
        <v>3</v>
      </c>
      <c r="L1096" t="s">
        <v>47</v>
      </c>
      <c r="M1096" t="s">
        <v>32</v>
      </c>
      <c r="N1096" t="s">
        <v>33</v>
      </c>
      <c r="O1096">
        <v>223619</v>
      </c>
      <c r="P1096">
        <v>1</v>
      </c>
      <c r="Q1096" t="s">
        <v>34</v>
      </c>
      <c r="R1096" s="1">
        <v>43945</v>
      </c>
      <c r="S1096" t="s">
        <v>34</v>
      </c>
      <c r="T1096">
        <v>2</v>
      </c>
      <c r="U1096">
        <v>0</v>
      </c>
      <c r="V1096">
        <v>2</v>
      </c>
      <c r="W1096">
        <v>1</v>
      </c>
      <c r="X1096" t="s">
        <v>11022</v>
      </c>
      <c r="Y1096" t="s">
        <v>11022</v>
      </c>
      <c r="Z1096" t="str">
        <f>_xlfn.XLOOKUP(Employees[[#This Row],[Education]], EdLevel[EducationLevelID], EdLevel[EducationLevel])</f>
        <v xml:space="preserve">Bachelors </v>
      </c>
      <c r="AA1096">
        <f>IF(Employees[[#This Row],[Attrition]] = "Yes", 1, 0)</f>
        <v>0</v>
      </c>
      <c r="AB1096" t="str" cm="1">
        <f t="array" ref="AB1096">_xlfn.IFS(Employees[[#This Row],[Age]]&lt;30, "20-29", Employees[[#This Row],[Age]]&lt;40, "30-39", Employees[[#This Row],[Age]]&lt;50, "40-49", "TRUE", "50+")</f>
        <v>40-49</v>
      </c>
    </row>
    <row r="1097" spans="1:28">
      <c r="A1097" t="s">
        <v>3242</v>
      </c>
      <c r="B1097" t="s">
        <v>3243</v>
      </c>
      <c r="C1097" t="s">
        <v>3244</v>
      </c>
      <c r="D1097" t="s">
        <v>26</v>
      </c>
      <c r="E1097">
        <v>40</v>
      </c>
      <c r="F1097" t="s">
        <v>70</v>
      </c>
      <c r="G1097" t="s">
        <v>28</v>
      </c>
      <c r="H1097">
        <v>9</v>
      </c>
      <c r="I1097" t="s">
        <v>39</v>
      </c>
      <c r="J1097" t="s">
        <v>30</v>
      </c>
      <c r="K1097">
        <v>3</v>
      </c>
      <c r="L1097" t="s">
        <v>47</v>
      </c>
      <c r="M1097" t="s">
        <v>97</v>
      </c>
      <c r="N1097" t="s">
        <v>40</v>
      </c>
      <c r="O1097">
        <v>254535</v>
      </c>
      <c r="P1097">
        <v>0</v>
      </c>
      <c r="Q1097" t="s">
        <v>34</v>
      </c>
      <c r="R1097" s="1">
        <v>43946</v>
      </c>
      <c r="S1097" t="s">
        <v>34</v>
      </c>
      <c r="T1097">
        <v>2</v>
      </c>
      <c r="U1097">
        <v>2</v>
      </c>
      <c r="V1097">
        <v>2</v>
      </c>
      <c r="W1097">
        <v>1</v>
      </c>
      <c r="X1097" t="s">
        <v>11022</v>
      </c>
      <c r="Y1097" t="s">
        <v>11022</v>
      </c>
      <c r="Z1097" t="str">
        <f>_xlfn.XLOOKUP(Employees[[#This Row],[Education]], EdLevel[EducationLevelID], EdLevel[EducationLevel])</f>
        <v xml:space="preserve">Bachelors </v>
      </c>
      <c r="AA1097">
        <f>IF(Employees[[#This Row],[Attrition]] = "Yes", 1, 0)</f>
        <v>0</v>
      </c>
      <c r="AB1097" t="str" cm="1">
        <f t="array" ref="AB1097">_xlfn.IFS(Employees[[#This Row],[Age]]&lt;30, "20-29", Employees[[#This Row],[Age]]&lt;40, "30-39", Employees[[#This Row],[Age]]&lt;50, "40-49", "TRUE", "50+")</f>
        <v>40-49</v>
      </c>
    </row>
    <row r="1098" spans="1:28">
      <c r="A1098" t="s">
        <v>3245</v>
      </c>
      <c r="B1098" t="s">
        <v>3246</v>
      </c>
      <c r="C1098" t="s">
        <v>3247</v>
      </c>
      <c r="D1098" t="s">
        <v>26</v>
      </c>
      <c r="E1098">
        <v>36</v>
      </c>
      <c r="F1098" t="s">
        <v>84</v>
      </c>
      <c r="G1098" t="s">
        <v>54</v>
      </c>
      <c r="H1098">
        <v>2</v>
      </c>
      <c r="I1098" t="s">
        <v>39</v>
      </c>
      <c r="J1098" t="s">
        <v>30</v>
      </c>
      <c r="K1098">
        <v>3</v>
      </c>
      <c r="L1098" t="s">
        <v>72</v>
      </c>
      <c r="M1098" t="s">
        <v>182</v>
      </c>
      <c r="N1098" t="s">
        <v>33</v>
      </c>
      <c r="O1098">
        <v>462687</v>
      </c>
      <c r="P1098">
        <v>1</v>
      </c>
      <c r="Q1098" t="s">
        <v>34</v>
      </c>
      <c r="R1098" s="1">
        <v>43948</v>
      </c>
      <c r="S1098" t="s">
        <v>34</v>
      </c>
      <c r="T1098">
        <v>2</v>
      </c>
      <c r="U1098">
        <v>2</v>
      </c>
      <c r="V1098">
        <v>2</v>
      </c>
      <c r="W1098">
        <v>0</v>
      </c>
      <c r="X1098" t="s">
        <v>11022</v>
      </c>
      <c r="Y1098" t="s">
        <v>11022</v>
      </c>
      <c r="Z1098" t="str">
        <f>_xlfn.XLOOKUP(Employees[[#This Row],[Education]], EdLevel[EducationLevelID], EdLevel[EducationLevel])</f>
        <v xml:space="preserve">Bachelors </v>
      </c>
      <c r="AA1098">
        <f>IF(Employees[[#This Row],[Attrition]] = "Yes", 1, 0)</f>
        <v>0</v>
      </c>
      <c r="AB1098" t="str" cm="1">
        <f t="array" ref="AB1098">_xlfn.IFS(Employees[[#This Row],[Age]]&lt;30, "20-29", Employees[[#This Row],[Age]]&lt;40, "30-39", Employees[[#This Row],[Age]]&lt;50, "40-49", "TRUE", "50+")</f>
        <v>30-39</v>
      </c>
    </row>
    <row r="1099" spans="1:28">
      <c r="A1099" t="s">
        <v>3248</v>
      </c>
      <c r="B1099" t="s">
        <v>3249</v>
      </c>
      <c r="C1099" t="s">
        <v>3250</v>
      </c>
      <c r="D1099" t="s">
        <v>38</v>
      </c>
      <c r="E1099">
        <v>23</v>
      </c>
      <c r="F1099" t="s">
        <v>27</v>
      </c>
      <c r="G1099" t="s">
        <v>54</v>
      </c>
      <c r="H1099">
        <v>33</v>
      </c>
      <c r="I1099" t="s">
        <v>39</v>
      </c>
      <c r="J1099" t="s">
        <v>30</v>
      </c>
      <c r="K1099">
        <v>1</v>
      </c>
      <c r="L1099" t="s">
        <v>55</v>
      </c>
      <c r="M1099" t="s">
        <v>85</v>
      </c>
      <c r="N1099" t="s">
        <v>33</v>
      </c>
      <c r="O1099">
        <v>29490</v>
      </c>
      <c r="P1099">
        <v>1</v>
      </c>
      <c r="Q1099" t="s">
        <v>34</v>
      </c>
      <c r="R1099" s="1">
        <v>43948</v>
      </c>
      <c r="S1099" t="s">
        <v>34</v>
      </c>
      <c r="T1099">
        <v>2</v>
      </c>
      <c r="U1099">
        <v>0</v>
      </c>
      <c r="V1099">
        <v>1</v>
      </c>
      <c r="W1099">
        <v>2</v>
      </c>
      <c r="X1099" t="s">
        <v>11020</v>
      </c>
      <c r="Y1099" t="s">
        <v>11020</v>
      </c>
      <c r="Z1099" t="str">
        <f>_xlfn.XLOOKUP(Employees[[#This Row],[Education]], EdLevel[EducationLevelID], EdLevel[EducationLevel])</f>
        <v>No Formal Qualifications</v>
      </c>
      <c r="AA1099">
        <f>IF(Employees[[#This Row],[Attrition]] = "Yes", 1, 0)</f>
        <v>0</v>
      </c>
      <c r="AB1099" t="str" cm="1">
        <f t="array" ref="AB1099">_xlfn.IFS(Employees[[#This Row],[Age]]&lt;30, "20-29", Employees[[#This Row],[Age]]&lt;40, "30-39", Employees[[#This Row],[Age]]&lt;50, "40-49", "TRUE", "50+")</f>
        <v>20-29</v>
      </c>
    </row>
    <row r="1100" spans="1:28">
      <c r="A1100" t="s">
        <v>3251</v>
      </c>
      <c r="B1100" t="s">
        <v>3252</v>
      </c>
      <c r="C1100" t="s">
        <v>3253</v>
      </c>
      <c r="D1100" t="s">
        <v>38</v>
      </c>
      <c r="E1100">
        <v>39</v>
      </c>
      <c r="F1100" t="s">
        <v>84</v>
      </c>
      <c r="G1100" t="s">
        <v>54</v>
      </c>
      <c r="H1100">
        <v>42</v>
      </c>
      <c r="I1100" t="s">
        <v>65</v>
      </c>
      <c r="J1100" t="s">
        <v>30</v>
      </c>
      <c r="K1100">
        <v>3</v>
      </c>
      <c r="L1100" t="s">
        <v>72</v>
      </c>
      <c r="M1100" t="s">
        <v>182</v>
      </c>
      <c r="N1100" t="s">
        <v>49</v>
      </c>
      <c r="O1100">
        <v>495977</v>
      </c>
      <c r="P1100">
        <v>1</v>
      </c>
      <c r="Q1100" t="s">
        <v>34</v>
      </c>
      <c r="R1100" s="1">
        <v>43951</v>
      </c>
      <c r="S1100" t="s">
        <v>34</v>
      </c>
      <c r="T1100">
        <v>2</v>
      </c>
      <c r="U1100">
        <v>2</v>
      </c>
      <c r="V1100">
        <v>2</v>
      </c>
      <c r="W1100">
        <v>0</v>
      </c>
      <c r="X1100" t="s">
        <v>11022</v>
      </c>
      <c r="Y1100" t="s">
        <v>11022</v>
      </c>
      <c r="Z1100" t="str">
        <f>_xlfn.XLOOKUP(Employees[[#This Row],[Education]], EdLevel[EducationLevelID], EdLevel[EducationLevel])</f>
        <v xml:space="preserve">Bachelors </v>
      </c>
      <c r="AA1100">
        <f>IF(Employees[[#This Row],[Attrition]] = "Yes", 1, 0)</f>
        <v>0</v>
      </c>
      <c r="AB1100" t="str" cm="1">
        <f t="array" ref="AB1100">_xlfn.IFS(Employees[[#This Row],[Age]]&lt;30, "20-29", Employees[[#This Row],[Age]]&lt;40, "30-39", Employees[[#This Row],[Age]]&lt;50, "40-49", "TRUE", "50+")</f>
        <v>30-39</v>
      </c>
    </row>
    <row r="1101" spans="1:28">
      <c r="A1101" t="s">
        <v>3254</v>
      </c>
      <c r="B1101" t="s">
        <v>1440</v>
      </c>
      <c r="C1101" t="s">
        <v>3255</v>
      </c>
      <c r="D1101" t="s">
        <v>38</v>
      </c>
      <c r="E1101">
        <v>23</v>
      </c>
      <c r="F1101" t="s">
        <v>27</v>
      </c>
      <c r="G1101" t="s">
        <v>28</v>
      </c>
      <c r="H1101">
        <v>12</v>
      </c>
      <c r="I1101" t="s">
        <v>29</v>
      </c>
      <c r="J1101" t="s">
        <v>30</v>
      </c>
      <c r="K1101">
        <v>3</v>
      </c>
      <c r="L1101" t="s">
        <v>31</v>
      </c>
      <c r="M1101" t="s">
        <v>32</v>
      </c>
      <c r="N1101" t="s">
        <v>40</v>
      </c>
      <c r="O1101">
        <v>84985</v>
      </c>
      <c r="P1101">
        <v>0</v>
      </c>
      <c r="Q1101" t="s">
        <v>34</v>
      </c>
      <c r="R1101" s="1">
        <v>43952</v>
      </c>
      <c r="S1101" t="s">
        <v>41</v>
      </c>
      <c r="T1101">
        <v>1</v>
      </c>
      <c r="U1101">
        <v>0</v>
      </c>
      <c r="V1101">
        <v>0</v>
      </c>
      <c r="W1101">
        <v>0</v>
      </c>
      <c r="X1101" t="s">
        <v>11022</v>
      </c>
      <c r="Y1101" t="s">
        <v>11022</v>
      </c>
      <c r="Z1101" t="str">
        <f>_xlfn.XLOOKUP(Employees[[#This Row],[Education]], EdLevel[EducationLevelID], EdLevel[EducationLevel])</f>
        <v xml:space="preserve">Bachelors </v>
      </c>
      <c r="AA1101">
        <f>IF(Employees[[#This Row],[Attrition]] = "Yes", 1, 0)</f>
        <v>1</v>
      </c>
      <c r="AB1101" t="str" cm="1">
        <f t="array" ref="AB1101">_xlfn.IFS(Employees[[#This Row],[Age]]&lt;30, "20-29", Employees[[#This Row],[Age]]&lt;40, "30-39", Employees[[#This Row],[Age]]&lt;50, "40-49", "TRUE", "50+")</f>
        <v>20-29</v>
      </c>
    </row>
    <row r="1102" spans="1:28">
      <c r="A1102" t="s">
        <v>3256</v>
      </c>
      <c r="B1102" t="s">
        <v>682</v>
      </c>
      <c r="C1102" t="s">
        <v>3257</v>
      </c>
      <c r="D1102" t="s">
        <v>38</v>
      </c>
      <c r="E1102">
        <v>23</v>
      </c>
      <c r="F1102" t="s">
        <v>84</v>
      </c>
      <c r="G1102" t="s">
        <v>28</v>
      </c>
      <c r="H1102">
        <v>41</v>
      </c>
      <c r="I1102" t="s">
        <v>65</v>
      </c>
      <c r="J1102" t="s">
        <v>30</v>
      </c>
      <c r="K1102">
        <v>1</v>
      </c>
      <c r="L1102" t="s">
        <v>47</v>
      </c>
      <c r="M1102" t="s">
        <v>150</v>
      </c>
      <c r="N1102" t="s">
        <v>40</v>
      </c>
      <c r="O1102">
        <v>26508</v>
      </c>
      <c r="P1102">
        <v>0</v>
      </c>
      <c r="Q1102" t="s">
        <v>41</v>
      </c>
      <c r="R1102" s="1">
        <v>43952</v>
      </c>
      <c r="S1102" t="s">
        <v>41</v>
      </c>
      <c r="T1102">
        <v>1</v>
      </c>
      <c r="U1102">
        <v>0</v>
      </c>
      <c r="V1102">
        <v>0</v>
      </c>
      <c r="W1102">
        <v>0</v>
      </c>
      <c r="X1102" t="s">
        <v>11020</v>
      </c>
      <c r="Y1102" t="s">
        <v>11020</v>
      </c>
      <c r="Z1102" t="str">
        <f>_xlfn.XLOOKUP(Employees[[#This Row],[Education]], EdLevel[EducationLevelID], EdLevel[EducationLevel])</f>
        <v>No Formal Qualifications</v>
      </c>
      <c r="AA1102">
        <f>IF(Employees[[#This Row],[Attrition]] = "Yes", 1, 0)</f>
        <v>1</v>
      </c>
      <c r="AB1102" t="str" cm="1">
        <f t="array" ref="AB1102">_xlfn.IFS(Employees[[#This Row],[Age]]&lt;30, "20-29", Employees[[#This Row],[Age]]&lt;40, "30-39", Employees[[#This Row],[Age]]&lt;50, "40-49", "TRUE", "50+")</f>
        <v>20-29</v>
      </c>
    </row>
    <row r="1103" spans="1:28">
      <c r="A1103" t="s">
        <v>3258</v>
      </c>
      <c r="B1103" t="s">
        <v>3259</v>
      </c>
      <c r="C1103" t="s">
        <v>3260</v>
      </c>
      <c r="D1103" t="s">
        <v>38</v>
      </c>
      <c r="E1103">
        <v>40</v>
      </c>
      <c r="F1103" t="s">
        <v>84</v>
      </c>
      <c r="G1103" t="s">
        <v>54</v>
      </c>
      <c r="H1103">
        <v>2</v>
      </c>
      <c r="I1103" t="s">
        <v>65</v>
      </c>
      <c r="J1103" t="s">
        <v>30</v>
      </c>
      <c r="K1103">
        <v>4</v>
      </c>
      <c r="L1103" t="s">
        <v>55</v>
      </c>
      <c r="M1103" t="s">
        <v>182</v>
      </c>
      <c r="N1103" t="s">
        <v>49</v>
      </c>
      <c r="O1103">
        <v>260835</v>
      </c>
      <c r="P1103">
        <v>2</v>
      </c>
      <c r="Q1103" t="s">
        <v>34</v>
      </c>
      <c r="R1103" s="1">
        <v>43965</v>
      </c>
      <c r="S1103" t="s">
        <v>34</v>
      </c>
      <c r="T1103">
        <v>2</v>
      </c>
      <c r="U1103">
        <v>1</v>
      </c>
      <c r="V1103">
        <v>2</v>
      </c>
      <c r="W1103">
        <v>0</v>
      </c>
      <c r="X1103" t="s">
        <v>11023</v>
      </c>
      <c r="Y1103" t="s">
        <v>11023</v>
      </c>
      <c r="Z1103" t="str">
        <f>_xlfn.XLOOKUP(Employees[[#This Row],[Education]], EdLevel[EducationLevelID], EdLevel[EducationLevel])</f>
        <v xml:space="preserve">Masters </v>
      </c>
      <c r="AA1103">
        <f>IF(Employees[[#This Row],[Attrition]] = "Yes", 1, 0)</f>
        <v>0</v>
      </c>
      <c r="AB1103" t="str" cm="1">
        <f t="array" ref="AB1103">_xlfn.IFS(Employees[[#This Row],[Age]]&lt;30, "20-29", Employees[[#This Row],[Age]]&lt;40, "30-39", Employees[[#This Row],[Age]]&lt;50, "40-49", "TRUE", "50+")</f>
        <v>40-49</v>
      </c>
    </row>
    <row r="1104" spans="1:28">
      <c r="A1104" t="s">
        <v>3261</v>
      </c>
      <c r="B1104" t="s">
        <v>3262</v>
      </c>
      <c r="C1104" t="s">
        <v>3263</v>
      </c>
      <c r="D1104" t="s">
        <v>53</v>
      </c>
      <c r="E1104">
        <v>22</v>
      </c>
      <c r="F1104" t="s">
        <v>27</v>
      </c>
      <c r="G1104" t="s">
        <v>54</v>
      </c>
      <c r="H1104">
        <v>30</v>
      </c>
      <c r="I1104" t="s">
        <v>39</v>
      </c>
      <c r="J1104" t="s">
        <v>30</v>
      </c>
      <c r="K1104">
        <v>4</v>
      </c>
      <c r="L1104" t="s">
        <v>77</v>
      </c>
      <c r="M1104" t="s">
        <v>101</v>
      </c>
      <c r="N1104" t="s">
        <v>40</v>
      </c>
      <c r="O1104">
        <v>44135</v>
      </c>
      <c r="P1104">
        <v>0</v>
      </c>
      <c r="Q1104" t="s">
        <v>34</v>
      </c>
      <c r="R1104" s="1">
        <v>43966</v>
      </c>
      <c r="S1104" t="s">
        <v>34</v>
      </c>
      <c r="T1104">
        <v>2</v>
      </c>
      <c r="U1104">
        <v>0</v>
      </c>
      <c r="V1104">
        <v>1</v>
      </c>
      <c r="W1104">
        <v>1</v>
      </c>
      <c r="X1104" t="s">
        <v>11023</v>
      </c>
      <c r="Y1104" t="s">
        <v>11023</v>
      </c>
      <c r="Z1104" t="str">
        <f>_xlfn.XLOOKUP(Employees[[#This Row],[Education]], EdLevel[EducationLevelID], EdLevel[EducationLevel])</f>
        <v xml:space="preserve">Masters </v>
      </c>
      <c r="AA1104">
        <f>IF(Employees[[#This Row],[Attrition]] = "Yes", 1, 0)</f>
        <v>0</v>
      </c>
      <c r="AB1104" t="str" cm="1">
        <f t="array" ref="AB1104">_xlfn.IFS(Employees[[#This Row],[Age]]&lt;30, "20-29", Employees[[#This Row],[Age]]&lt;40, "30-39", Employees[[#This Row],[Age]]&lt;50, "40-49", "TRUE", "50+")</f>
        <v>20-29</v>
      </c>
    </row>
    <row r="1105" spans="1:28">
      <c r="A1105" t="s">
        <v>3264</v>
      </c>
      <c r="B1105" t="s">
        <v>3265</v>
      </c>
      <c r="C1105" t="s">
        <v>3266</v>
      </c>
      <c r="D1105" t="s">
        <v>26</v>
      </c>
      <c r="E1105">
        <v>22</v>
      </c>
      <c r="F1105" t="s">
        <v>27</v>
      </c>
      <c r="G1105" t="s">
        <v>28</v>
      </c>
      <c r="H1105">
        <v>5</v>
      </c>
      <c r="I1105" t="s">
        <v>65</v>
      </c>
      <c r="J1105" t="s">
        <v>30</v>
      </c>
      <c r="K1105">
        <v>2</v>
      </c>
      <c r="L1105" t="s">
        <v>121</v>
      </c>
      <c r="M1105" t="s">
        <v>32</v>
      </c>
      <c r="N1105" t="s">
        <v>49</v>
      </c>
      <c r="O1105">
        <v>45220</v>
      </c>
      <c r="P1105">
        <v>0</v>
      </c>
      <c r="Q1105" t="s">
        <v>34</v>
      </c>
      <c r="R1105" s="1">
        <v>43967</v>
      </c>
      <c r="S1105" t="s">
        <v>34</v>
      </c>
      <c r="T1105">
        <v>2</v>
      </c>
      <c r="U1105">
        <v>0</v>
      </c>
      <c r="V1105">
        <v>0</v>
      </c>
      <c r="W1105">
        <v>0</v>
      </c>
      <c r="X1105" t="s">
        <v>11021</v>
      </c>
      <c r="Y1105" t="s">
        <v>11021</v>
      </c>
      <c r="Z1105" t="str">
        <f>_xlfn.XLOOKUP(Employees[[#This Row],[Education]], EdLevel[EducationLevelID], EdLevel[EducationLevel])</f>
        <v xml:space="preserve">High School </v>
      </c>
      <c r="AA1105">
        <f>IF(Employees[[#This Row],[Attrition]] = "Yes", 1, 0)</f>
        <v>0</v>
      </c>
      <c r="AB1105" t="str" cm="1">
        <f t="array" ref="AB1105">_xlfn.IFS(Employees[[#This Row],[Age]]&lt;30, "20-29", Employees[[#This Row],[Age]]&lt;40, "30-39", Employees[[#This Row],[Age]]&lt;50, "40-49", "TRUE", "50+")</f>
        <v>20-29</v>
      </c>
    </row>
    <row r="1106" spans="1:28">
      <c r="A1106" t="s">
        <v>3267</v>
      </c>
      <c r="B1106" t="s">
        <v>3268</v>
      </c>
      <c r="C1106" t="s">
        <v>3269</v>
      </c>
      <c r="D1106" t="s">
        <v>26</v>
      </c>
      <c r="E1106">
        <v>32</v>
      </c>
      <c r="F1106" t="s">
        <v>27</v>
      </c>
      <c r="G1106" t="s">
        <v>28</v>
      </c>
      <c r="H1106">
        <v>38</v>
      </c>
      <c r="I1106" t="s">
        <v>39</v>
      </c>
      <c r="J1106" t="s">
        <v>30</v>
      </c>
      <c r="K1106">
        <v>4</v>
      </c>
      <c r="L1106" t="s">
        <v>47</v>
      </c>
      <c r="M1106" t="s">
        <v>32</v>
      </c>
      <c r="N1106" t="s">
        <v>40</v>
      </c>
      <c r="O1106">
        <v>105091</v>
      </c>
      <c r="P1106">
        <v>0</v>
      </c>
      <c r="Q1106" t="s">
        <v>34</v>
      </c>
      <c r="R1106" s="1">
        <v>43968</v>
      </c>
      <c r="S1106" t="s">
        <v>34</v>
      </c>
      <c r="T1106">
        <v>2</v>
      </c>
      <c r="U1106">
        <v>0</v>
      </c>
      <c r="V1106">
        <v>0</v>
      </c>
      <c r="W1106">
        <v>1</v>
      </c>
      <c r="X1106" t="s">
        <v>11023</v>
      </c>
      <c r="Y1106" t="s">
        <v>11023</v>
      </c>
      <c r="Z1106" t="str">
        <f>_xlfn.XLOOKUP(Employees[[#This Row],[Education]], EdLevel[EducationLevelID], EdLevel[EducationLevel])</f>
        <v xml:space="preserve">Masters </v>
      </c>
      <c r="AA1106">
        <f>IF(Employees[[#This Row],[Attrition]] = "Yes", 1, 0)</f>
        <v>0</v>
      </c>
      <c r="AB1106" t="str" cm="1">
        <f t="array" ref="AB1106">_xlfn.IFS(Employees[[#This Row],[Age]]&lt;30, "20-29", Employees[[#This Row],[Age]]&lt;40, "30-39", Employees[[#This Row],[Age]]&lt;50, "40-49", "TRUE", "50+")</f>
        <v>30-39</v>
      </c>
    </row>
    <row r="1107" spans="1:28">
      <c r="A1107" t="s">
        <v>3270</v>
      </c>
      <c r="B1107" t="s">
        <v>1693</v>
      </c>
      <c r="C1107" t="s">
        <v>3271</v>
      </c>
      <c r="D1107" t="s">
        <v>26</v>
      </c>
      <c r="E1107">
        <v>48</v>
      </c>
      <c r="F1107" t="s">
        <v>84</v>
      </c>
      <c r="G1107" t="s">
        <v>54</v>
      </c>
      <c r="H1107">
        <v>15</v>
      </c>
      <c r="I1107" t="s">
        <v>39</v>
      </c>
      <c r="J1107" t="s">
        <v>30</v>
      </c>
      <c r="K1107">
        <v>4</v>
      </c>
      <c r="L1107" t="s">
        <v>55</v>
      </c>
      <c r="M1107" t="s">
        <v>56</v>
      </c>
      <c r="N1107" t="s">
        <v>49</v>
      </c>
      <c r="O1107">
        <v>309371</v>
      </c>
      <c r="P1107">
        <v>0</v>
      </c>
      <c r="Q1107" t="s">
        <v>41</v>
      </c>
      <c r="R1107" s="1">
        <v>43969</v>
      </c>
      <c r="S1107" t="s">
        <v>34</v>
      </c>
      <c r="T1107">
        <v>2</v>
      </c>
      <c r="U1107">
        <v>1</v>
      </c>
      <c r="V1107">
        <v>1</v>
      </c>
      <c r="W1107">
        <v>1</v>
      </c>
      <c r="X1107" t="s">
        <v>11023</v>
      </c>
      <c r="Y1107" t="s">
        <v>11023</v>
      </c>
      <c r="Z1107" t="str">
        <f>_xlfn.XLOOKUP(Employees[[#This Row],[Education]], EdLevel[EducationLevelID], EdLevel[EducationLevel])</f>
        <v xml:space="preserve">Masters </v>
      </c>
      <c r="AA1107">
        <f>IF(Employees[[#This Row],[Attrition]] = "Yes", 1, 0)</f>
        <v>0</v>
      </c>
      <c r="AB1107" t="str" cm="1">
        <f t="array" ref="AB1107">_xlfn.IFS(Employees[[#This Row],[Age]]&lt;30, "20-29", Employees[[#This Row],[Age]]&lt;40, "30-39", Employees[[#This Row],[Age]]&lt;50, "40-49", "TRUE", "50+")</f>
        <v>40-49</v>
      </c>
    </row>
    <row r="1108" spans="1:28">
      <c r="A1108" t="s">
        <v>3272</v>
      </c>
      <c r="B1108" t="s">
        <v>3273</v>
      </c>
      <c r="C1108" t="s">
        <v>3274</v>
      </c>
      <c r="D1108" t="s">
        <v>26</v>
      </c>
      <c r="E1108">
        <v>26</v>
      </c>
      <c r="F1108" t="s">
        <v>27</v>
      </c>
      <c r="G1108" t="s">
        <v>54</v>
      </c>
      <c r="H1108">
        <v>31</v>
      </c>
      <c r="I1108" t="s">
        <v>39</v>
      </c>
      <c r="J1108" t="s">
        <v>30</v>
      </c>
      <c r="K1108">
        <v>2</v>
      </c>
      <c r="L1108" t="s">
        <v>72</v>
      </c>
      <c r="M1108" t="s">
        <v>101</v>
      </c>
      <c r="N1108" t="s">
        <v>49</v>
      </c>
      <c r="O1108">
        <v>56187</v>
      </c>
      <c r="P1108">
        <v>1</v>
      </c>
      <c r="Q1108" t="s">
        <v>34</v>
      </c>
      <c r="R1108" s="1">
        <v>43977</v>
      </c>
      <c r="S1108" t="s">
        <v>34</v>
      </c>
      <c r="T1108">
        <v>2</v>
      </c>
      <c r="U1108">
        <v>2</v>
      </c>
      <c r="V1108">
        <v>2</v>
      </c>
      <c r="W1108">
        <v>2</v>
      </c>
      <c r="X1108" t="s">
        <v>11021</v>
      </c>
      <c r="Y1108" t="s">
        <v>11021</v>
      </c>
      <c r="Z1108" t="str">
        <f>_xlfn.XLOOKUP(Employees[[#This Row],[Education]], EdLevel[EducationLevelID], EdLevel[EducationLevel])</f>
        <v xml:space="preserve">High School </v>
      </c>
      <c r="AA1108">
        <f>IF(Employees[[#This Row],[Attrition]] = "Yes", 1, 0)</f>
        <v>0</v>
      </c>
      <c r="AB1108" t="str" cm="1">
        <f t="array" ref="AB1108">_xlfn.IFS(Employees[[#This Row],[Age]]&lt;30, "20-29", Employees[[#This Row],[Age]]&lt;40, "30-39", Employees[[#This Row],[Age]]&lt;50, "40-49", "TRUE", "50+")</f>
        <v>20-29</v>
      </c>
    </row>
    <row r="1109" spans="1:28">
      <c r="A1109" t="s">
        <v>3275</v>
      </c>
      <c r="B1109" t="s">
        <v>3276</v>
      </c>
      <c r="C1109" t="s">
        <v>3277</v>
      </c>
      <c r="D1109" t="s">
        <v>26</v>
      </c>
      <c r="E1109">
        <v>50</v>
      </c>
      <c r="F1109" t="s">
        <v>27</v>
      </c>
      <c r="G1109" t="s">
        <v>28</v>
      </c>
      <c r="H1109">
        <v>23</v>
      </c>
      <c r="I1109" t="s">
        <v>39</v>
      </c>
      <c r="J1109" t="s">
        <v>30</v>
      </c>
      <c r="K1109">
        <v>3</v>
      </c>
      <c r="L1109" t="s">
        <v>47</v>
      </c>
      <c r="M1109" t="s">
        <v>97</v>
      </c>
      <c r="N1109" t="s">
        <v>49</v>
      </c>
      <c r="O1109">
        <v>266449</v>
      </c>
      <c r="P1109">
        <v>1</v>
      </c>
      <c r="Q1109" t="s">
        <v>41</v>
      </c>
      <c r="R1109" s="1">
        <v>43978</v>
      </c>
      <c r="S1109" t="s">
        <v>34</v>
      </c>
      <c r="T1109">
        <v>2</v>
      </c>
      <c r="U1109">
        <v>1</v>
      </c>
      <c r="V1109">
        <v>2</v>
      </c>
      <c r="W1109">
        <v>2</v>
      </c>
      <c r="X1109" t="s">
        <v>11022</v>
      </c>
      <c r="Y1109" t="s">
        <v>11022</v>
      </c>
      <c r="Z1109" t="str">
        <f>_xlfn.XLOOKUP(Employees[[#This Row],[Education]], EdLevel[EducationLevelID], EdLevel[EducationLevel])</f>
        <v xml:space="preserve">Bachelors </v>
      </c>
      <c r="AA1109">
        <f>IF(Employees[[#This Row],[Attrition]] = "Yes", 1, 0)</f>
        <v>0</v>
      </c>
      <c r="AB1109" t="str" cm="1">
        <f t="array" ref="AB1109">_xlfn.IFS(Employees[[#This Row],[Age]]&lt;30, "20-29", Employees[[#This Row],[Age]]&lt;40, "30-39", Employees[[#This Row],[Age]]&lt;50, "40-49", "TRUE", "50+")</f>
        <v>50+</v>
      </c>
    </row>
    <row r="1110" spans="1:28">
      <c r="A1110" t="s">
        <v>3278</v>
      </c>
      <c r="B1110" t="s">
        <v>3279</v>
      </c>
      <c r="C1110" t="s">
        <v>2636</v>
      </c>
      <c r="D1110" t="s">
        <v>26</v>
      </c>
      <c r="E1110">
        <v>21</v>
      </c>
      <c r="F1110" t="s">
        <v>27</v>
      </c>
      <c r="G1110" t="s">
        <v>54</v>
      </c>
      <c r="H1110">
        <v>1</v>
      </c>
      <c r="I1110" t="s">
        <v>65</v>
      </c>
      <c r="J1110" t="s">
        <v>30</v>
      </c>
      <c r="K1110">
        <v>4</v>
      </c>
      <c r="L1110" t="s">
        <v>72</v>
      </c>
      <c r="M1110" t="s">
        <v>101</v>
      </c>
      <c r="N1110" t="s">
        <v>49</v>
      </c>
      <c r="O1110">
        <v>34133</v>
      </c>
      <c r="P1110">
        <v>0</v>
      </c>
      <c r="Q1110" t="s">
        <v>41</v>
      </c>
      <c r="R1110" s="1">
        <v>43981</v>
      </c>
      <c r="S1110" t="s">
        <v>34</v>
      </c>
      <c r="T1110">
        <v>2</v>
      </c>
      <c r="U1110">
        <v>2</v>
      </c>
      <c r="V1110">
        <v>2</v>
      </c>
      <c r="W1110">
        <v>1</v>
      </c>
      <c r="X1110" t="s">
        <v>11023</v>
      </c>
      <c r="Y1110" t="s">
        <v>11023</v>
      </c>
      <c r="Z1110" t="str">
        <f>_xlfn.XLOOKUP(Employees[[#This Row],[Education]], EdLevel[EducationLevelID], EdLevel[EducationLevel])</f>
        <v xml:space="preserve">Masters </v>
      </c>
      <c r="AA1110">
        <f>IF(Employees[[#This Row],[Attrition]] = "Yes", 1, 0)</f>
        <v>0</v>
      </c>
      <c r="AB1110" t="str" cm="1">
        <f t="array" ref="AB1110">_xlfn.IFS(Employees[[#This Row],[Age]]&lt;30, "20-29", Employees[[#This Row],[Age]]&lt;40, "30-39", Employees[[#This Row],[Age]]&lt;50, "40-49", "TRUE", "50+")</f>
        <v>20-29</v>
      </c>
    </row>
    <row r="1111" spans="1:28">
      <c r="A1111" t="s">
        <v>3280</v>
      </c>
      <c r="B1111" t="s">
        <v>3281</v>
      </c>
      <c r="C1111" t="s">
        <v>3282</v>
      </c>
      <c r="D1111" t="s">
        <v>26</v>
      </c>
      <c r="E1111">
        <v>20</v>
      </c>
      <c r="F1111" t="s">
        <v>27</v>
      </c>
      <c r="G1111" t="s">
        <v>54</v>
      </c>
      <c r="H1111">
        <v>6</v>
      </c>
      <c r="I1111" t="s">
        <v>39</v>
      </c>
      <c r="J1111" t="s">
        <v>30</v>
      </c>
      <c r="K1111">
        <v>1</v>
      </c>
      <c r="L1111" t="s">
        <v>55</v>
      </c>
      <c r="M1111" t="s">
        <v>101</v>
      </c>
      <c r="N1111" t="s">
        <v>40</v>
      </c>
      <c r="O1111">
        <v>30714</v>
      </c>
      <c r="P1111">
        <v>0</v>
      </c>
      <c r="Q1111" t="s">
        <v>41</v>
      </c>
      <c r="R1111" s="1">
        <v>43987</v>
      </c>
      <c r="S1111" t="s">
        <v>41</v>
      </c>
      <c r="T1111">
        <v>2</v>
      </c>
      <c r="U1111">
        <v>0</v>
      </c>
      <c r="V1111">
        <v>1</v>
      </c>
      <c r="W1111">
        <v>1</v>
      </c>
      <c r="X1111" t="s">
        <v>11020</v>
      </c>
      <c r="Y1111" t="s">
        <v>11020</v>
      </c>
      <c r="Z1111" t="str">
        <f>_xlfn.XLOOKUP(Employees[[#This Row],[Education]], EdLevel[EducationLevelID], EdLevel[EducationLevel])</f>
        <v>No Formal Qualifications</v>
      </c>
      <c r="AA1111">
        <f>IF(Employees[[#This Row],[Attrition]] = "Yes", 1, 0)</f>
        <v>1</v>
      </c>
      <c r="AB1111" t="str" cm="1">
        <f t="array" ref="AB1111">_xlfn.IFS(Employees[[#This Row],[Age]]&lt;30, "20-29", Employees[[#This Row],[Age]]&lt;40, "30-39", Employees[[#This Row],[Age]]&lt;50, "40-49", "TRUE", "50+")</f>
        <v>20-29</v>
      </c>
    </row>
    <row r="1112" spans="1:28">
      <c r="A1112" t="s">
        <v>3283</v>
      </c>
      <c r="B1112" t="s">
        <v>345</v>
      </c>
      <c r="C1112" t="s">
        <v>3284</v>
      </c>
      <c r="D1112" t="s">
        <v>38</v>
      </c>
      <c r="E1112">
        <v>28</v>
      </c>
      <c r="F1112" t="s">
        <v>84</v>
      </c>
      <c r="G1112" t="s">
        <v>28</v>
      </c>
      <c r="H1112">
        <v>29</v>
      </c>
      <c r="I1112" t="s">
        <v>39</v>
      </c>
      <c r="J1112" t="s">
        <v>30</v>
      </c>
      <c r="K1112">
        <v>3</v>
      </c>
      <c r="L1112" t="s">
        <v>47</v>
      </c>
      <c r="M1112" t="s">
        <v>32</v>
      </c>
      <c r="N1112" t="s">
        <v>49</v>
      </c>
      <c r="O1112">
        <v>327674</v>
      </c>
      <c r="P1112">
        <v>3</v>
      </c>
      <c r="Q1112" t="s">
        <v>34</v>
      </c>
      <c r="R1112" s="1">
        <v>43987</v>
      </c>
      <c r="S1112" t="s">
        <v>34</v>
      </c>
      <c r="T1112">
        <v>2</v>
      </c>
      <c r="U1112">
        <v>2</v>
      </c>
      <c r="V1112">
        <v>2</v>
      </c>
      <c r="W1112">
        <v>1</v>
      </c>
      <c r="X1112" t="s">
        <v>11022</v>
      </c>
      <c r="Y1112" t="s">
        <v>11022</v>
      </c>
      <c r="Z1112" t="str">
        <f>_xlfn.XLOOKUP(Employees[[#This Row],[Education]], EdLevel[EducationLevelID], EdLevel[EducationLevel])</f>
        <v xml:space="preserve">Bachelors </v>
      </c>
      <c r="AA1112">
        <f>IF(Employees[[#This Row],[Attrition]] = "Yes", 1, 0)</f>
        <v>0</v>
      </c>
      <c r="AB1112" t="str" cm="1">
        <f t="array" ref="AB1112">_xlfn.IFS(Employees[[#This Row],[Age]]&lt;30, "20-29", Employees[[#This Row],[Age]]&lt;40, "30-39", Employees[[#This Row],[Age]]&lt;50, "40-49", "TRUE", "50+")</f>
        <v>20-29</v>
      </c>
    </row>
    <row r="1113" spans="1:28">
      <c r="A1113" t="s">
        <v>3285</v>
      </c>
      <c r="B1113" t="s">
        <v>3286</v>
      </c>
      <c r="C1113" t="s">
        <v>3287</v>
      </c>
      <c r="D1113" t="s">
        <v>38</v>
      </c>
      <c r="E1113">
        <v>21</v>
      </c>
      <c r="F1113" t="s">
        <v>27</v>
      </c>
      <c r="G1113" t="s">
        <v>45</v>
      </c>
      <c r="H1113">
        <v>41</v>
      </c>
      <c r="I1113" t="s">
        <v>65</v>
      </c>
      <c r="J1113" t="s">
        <v>30</v>
      </c>
      <c r="K1113">
        <v>2</v>
      </c>
      <c r="L1113" t="s">
        <v>121</v>
      </c>
      <c r="M1113" t="s">
        <v>61</v>
      </c>
      <c r="N1113" t="s">
        <v>40</v>
      </c>
      <c r="O1113">
        <v>20583</v>
      </c>
      <c r="P1113">
        <v>0</v>
      </c>
      <c r="Q1113" t="s">
        <v>34</v>
      </c>
      <c r="R1113" s="1">
        <v>44002</v>
      </c>
      <c r="S1113" t="s">
        <v>34</v>
      </c>
      <c r="T1113">
        <v>2</v>
      </c>
      <c r="U1113">
        <v>0</v>
      </c>
      <c r="V1113">
        <v>1</v>
      </c>
      <c r="W1113">
        <v>0</v>
      </c>
      <c r="X1113" t="s">
        <v>11021</v>
      </c>
      <c r="Y1113" t="s">
        <v>11021</v>
      </c>
      <c r="Z1113" t="str">
        <f>_xlfn.XLOOKUP(Employees[[#This Row],[Education]], EdLevel[EducationLevelID], EdLevel[EducationLevel])</f>
        <v xml:space="preserve">High School </v>
      </c>
      <c r="AA1113">
        <f>IF(Employees[[#This Row],[Attrition]] = "Yes", 1, 0)</f>
        <v>0</v>
      </c>
      <c r="AB1113" t="str" cm="1">
        <f t="array" ref="AB1113">_xlfn.IFS(Employees[[#This Row],[Age]]&lt;30, "20-29", Employees[[#This Row],[Age]]&lt;40, "30-39", Employees[[#This Row],[Age]]&lt;50, "40-49", "TRUE", "50+")</f>
        <v>20-29</v>
      </c>
    </row>
    <row r="1114" spans="1:28">
      <c r="A1114" t="s">
        <v>3288</v>
      </c>
      <c r="B1114" t="s">
        <v>3289</v>
      </c>
      <c r="C1114" t="s">
        <v>3290</v>
      </c>
      <c r="D1114" t="s">
        <v>38</v>
      </c>
      <c r="E1114">
        <v>21</v>
      </c>
      <c r="F1114" t="s">
        <v>27</v>
      </c>
      <c r="G1114" t="s">
        <v>54</v>
      </c>
      <c r="H1114">
        <v>4</v>
      </c>
      <c r="I1114" t="s">
        <v>39</v>
      </c>
      <c r="J1114" t="s">
        <v>30</v>
      </c>
      <c r="K1114">
        <v>2</v>
      </c>
      <c r="L1114" t="s">
        <v>55</v>
      </c>
      <c r="M1114" t="s">
        <v>101</v>
      </c>
      <c r="N1114" t="s">
        <v>49</v>
      </c>
      <c r="O1114">
        <v>21158</v>
      </c>
      <c r="P1114">
        <v>0</v>
      </c>
      <c r="Q1114" t="s">
        <v>41</v>
      </c>
      <c r="R1114" s="1">
        <v>44008</v>
      </c>
      <c r="S1114" t="s">
        <v>34</v>
      </c>
      <c r="T1114">
        <v>2</v>
      </c>
      <c r="U1114">
        <v>1</v>
      </c>
      <c r="V1114">
        <v>1</v>
      </c>
      <c r="W1114">
        <v>0</v>
      </c>
      <c r="X1114" t="s">
        <v>11021</v>
      </c>
      <c r="Y1114" t="s">
        <v>11021</v>
      </c>
      <c r="Z1114" t="str">
        <f>_xlfn.XLOOKUP(Employees[[#This Row],[Education]], EdLevel[EducationLevelID], EdLevel[EducationLevel])</f>
        <v xml:space="preserve">High School </v>
      </c>
      <c r="AA1114">
        <f>IF(Employees[[#This Row],[Attrition]] = "Yes", 1, 0)</f>
        <v>0</v>
      </c>
      <c r="AB1114" t="str" cm="1">
        <f t="array" ref="AB1114">_xlfn.IFS(Employees[[#This Row],[Age]]&lt;30, "20-29", Employees[[#This Row],[Age]]&lt;40, "30-39", Employees[[#This Row],[Age]]&lt;50, "40-49", "TRUE", "50+")</f>
        <v>20-29</v>
      </c>
    </row>
    <row r="1115" spans="1:28">
      <c r="A1115" t="s">
        <v>3291</v>
      </c>
      <c r="B1115" t="s">
        <v>3292</v>
      </c>
      <c r="C1115" t="s">
        <v>3293</v>
      </c>
      <c r="D1115" t="s">
        <v>38</v>
      </c>
      <c r="E1115">
        <v>22</v>
      </c>
      <c r="F1115" t="s">
        <v>27</v>
      </c>
      <c r="G1115" t="s">
        <v>28</v>
      </c>
      <c r="H1115">
        <v>41</v>
      </c>
      <c r="I1115" t="s">
        <v>39</v>
      </c>
      <c r="J1115" t="s">
        <v>30</v>
      </c>
      <c r="K1115">
        <v>4</v>
      </c>
      <c r="L1115" t="s">
        <v>121</v>
      </c>
      <c r="M1115" t="s">
        <v>150</v>
      </c>
      <c r="N1115" t="s">
        <v>49</v>
      </c>
      <c r="O1115">
        <v>22778</v>
      </c>
      <c r="P1115">
        <v>1</v>
      </c>
      <c r="Q1115" t="s">
        <v>34</v>
      </c>
      <c r="R1115" s="1">
        <v>44009</v>
      </c>
      <c r="S1115" t="s">
        <v>34</v>
      </c>
      <c r="T1115">
        <v>2</v>
      </c>
      <c r="U1115">
        <v>0</v>
      </c>
      <c r="V1115">
        <v>2</v>
      </c>
      <c r="W1115">
        <v>2</v>
      </c>
      <c r="X1115" t="s">
        <v>11023</v>
      </c>
      <c r="Y1115" t="s">
        <v>11023</v>
      </c>
      <c r="Z1115" t="str">
        <f>_xlfn.XLOOKUP(Employees[[#This Row],[Education]], EdLevel[EducationLevelID], EdLevel[EducationLevel])</f>
        <v xml:space="preserve">Masters </v>
      </c>
      <c r="AA1115">
        <f>IF(Employees[[#This Row],[Attrition]] = "Yes", 1, 0)</f>
        <v>0</v>
      </c>
      <c r="AB1115" t="str" cm="1">
        <f t="array" ref="AB1115">_xlfn.IFS(Employees[[#This Row],[Age]]&lt;30, "20-29", Employees[[#This Row],[Age]]&lt;40, "30-39", Employees[[#This Row],[Age]]&lt;50, "40-49", "TRUE", "50+")</f>
        <v>20-29</v>
      </c>
    </row>
    <row r="1116" spans="1:28">
      <c r="A1116" t="s">
        <v>3294</v>
      </c>
      <c r="B1116" t="s">
        <v>1486</v>
      </c>
      <c r="C1116" t="s">
        <v>3295</v>
      </c>
      <c r="D1116" t="s">
        <v>26</v>
      </c>
      <c r="E1116">
        <v>37</v>
      </c>
      <c r="F1116" t="s">
        <v>27</v>
      </c>
      <c r="G1116" t="s">
        <v>54</v>
      </c>
      <c r="H1116">
        <v>33</v>
      </c>
      <c r="I1116" t="s">
        <v>39</v>
      </c>
      <c r="J1116" t="s">
        <v>30</v>
      </c>
      <c r="K1116">
        <v>1</v>
      </c>
      <c r="L1116" t="s">
        <v>72</v>
      </c>
      <c r="M1116" t="s">
        <v>105</v>
      </c>
      <c r="N1116" t="s">
        <v>49</v>
      </c>
      <c r="O1116">
        <v>236732</v>
      </c>
      <c r="P1116">
        <v>1</v>
      </c>
      <c r="Q1116" t="s">
        <v>34</v>
      </c>
      <c r="R1116" s="1">
        <v>44012</v>
      </c>
      <c r="S1116" t="s">
        <v>34</v>
      </c>
      <c r="T1116">
        <v>2</v>
      </c>
      <c r="U1116">
        <v>2</v>
      </c>
      <c r="V1116">
        <v>2</v>
      </c>
      <c r="W1116">
        <v>2</v>
      </c>
      <c r="X1116" t="s">
        <v>11020</v>
      </c>
      <c r="Y1116" t="s">
        <v>11020</v>
      </c>
      <c r="Z1116" t="str">
        <f>_xlfn.XLOOKUP(Employees[[#This Row],[Education]], EdLevel[EducationLevelID], EdLevel[EducationLevel])</f>
        <v>No Formal Qualifications</v>
      </c>
      <c r="AA1116">
        <f>IF(Employees[[#This Row],[Attrition]] = "Yes", 1, 0)</f>
        <v>0</v>
      </c>
      <c r="AB1116" t="str" cm="1">
        <f t="array" ref="AB1116">_xlfn.IFS(Employees[[#This Row],[Age]]&lt;30, "20-29", Employees[[#This Row],[Age]]&lt;40, "30-39", Employees[[#This Row],[Age]]&lt;50, "40-49", "TRUE", "50+")</f>
        <v>30-39</v>
      </c>
    </row>
    <row r="1117" spans="1:28">
      <c r="A1117" t="s">
        <v>3296</v>
      </c>
      <c r="B1117" t="s">
        <v>3297</v>
      </c>
      <c r="C1117" t="s">
        <v>3298</v>
      </c>
      <c r="D1117" t="s">
        <v>38</v>
      </c>
      <c r="E1117">
        <v>35</v>
      </c>
      <c r="F1117" t="s">
        <v>27</v>
      </c>
      <c r="G1117" t="s">
        <v>28</v>
      </c>
      <c r="H1117">
        <v>30</v>
      </c>
      <c r="I1117" t="s">
        <v>39</v>
      </c>
      <c r="J1117" t="s">
        <v>30</v>
      </c>
      <c r="K1117">
        <v>2</v>
      </c>
      <c r="L1117" t="s">
        <v>47</v>
      </c>
      <c r="M1117" t="s">
        <v>97</v>
      </c>
      <c r="N1117" t="s">
        <v>49</v>
      </c>
      <c r="O1117">
        <v>360384</v>
      </c>
      <c r="P1117">
        <v>1</v>
      </c>
      <c r="Q1117" t="s">
        <v>34</v>
      </c>
      <c r="R1117" s="1">
        <v>44016</v>
      </c>
      <c r="S1117" t="s">
        <v>34</v>
      </c>
      <c r="T1117">
        <v>2</v>
      </c>
      <c r="U1117">
        <v>2</v>
      </c>
      <c r="V1117">
        <v>2</v>
      </c>
      <c r="W1117">
        <v>2</v>
      </c>
      <c r="X1117" t="s">
        <v>11021</v>
      </c>
      <c r="Y1117" t="s">
        <v>11021</v>
      </c>
      <c r="Z1117" t="str">
        <f>_xlfn.XLOOKUP(Employees[[#This Row],[Education]], EdLevel[EducationLevelID], EdLevel[EducationLevel])</f>
        <v xml:space="preserve">High School </v>
      </c>
      <c r="AA1117">
        <f>IF(Employees[[#This Row],[Attrition]] = "Yes", 1, 0)</f>
        <v>0</v>
      </c>
      <c r="AB1117" t="str" cm="1">
        <f t="array" ref="AB1117">_xlfn.IFS(Employees[[#This Row],[Age]]&lt;30, "20-29", Employees[[#This Row],[Age]]&lt;40, "30-39", Employees[[#This Row],[Age]]&lt;50, "40-49", "TRUE", "50+")</f>
        <v>30-39</v>
      </c>
    </row>
    <row r="1118" spans="1:28">
      <c r="A1118" t="s">
        <v>3299</v>
      </c>
      <c r="B1118" t="s">
        <v>3300</v>
      </c>
      <c r="C1118" t="s">
        <v>3301</v>
      </c>
      <c r="D1118" t="s">
        <v>38</v>
      </c>
      <c r="E1118">
        <v>23</v>
      </c>
      <c r="F1118" t="s">
        <v>27</v>
      </c>
      <c r="G1118" t="s">
        <v>54</v>
      </c>
      <c r="H1118">
        <v>42</v>
      </c>
      <c r="I1118" t="s">
        <v>39</v>
      </c>
      <c r="J1118" t="s">
        <v>30</v>
      </c>
      <c r="K1118">
        <v>4</v>
      </c>
      <c r="L1118" t="s">
        <v>55</v>
      </c>
      <c r="M1118" t="s">
        <v>101</v>
      </c>
      <c r="N1118" t="s">
        <v>40</v>
      </c>
      <c r="O1118">
        <v>28824</v>
      </c>
      <c r="P1118">
        <v>0</v>
      </c>
      <c r="Q1118" t="s">
        <v>41</v>
      </c>
      <c r="R1118" s="1">
        <v>44016</v>
      </c>
      <c r="S1118" t="s">
        <v>34</v>
      </c>
      <c r="T1118">
        <v>2</v>
      </c>
      <c r="U1118">
        <v>2</v>
      </c>
      <c r="V1118">
        <v>2</v>
      </c>
      <c r="W1118">
        <v>1</v>
      </c>
      <c r="X1118" t="s">
        <v>11023</v>
      </c>
      <c r="Y1118" t="s">
        <v>11023</v>
      </c>
      <c r="Z1118" t="str">
        <f>_xlfn.XLOOKUP(Employees[[#This Row],[Education]], EdLevel[EducationLevelID], EdLevel[EducationLevel])</f>
        <v xml:space="preserve">Masters </v>
      </c>
      <c r="AA1118">
        <f>IF(Employees[[#This Row],[Attrition]] = "Yes", 1, 0)</f>
        <v>0</v>
      </c>
      <c r="AB1118" t="str" cm="1">
        <f t="array" ref="AB1118">_xlfn.IFS(Employees[[#This Row],[Age]]&lt;30, "20-29", Employees[[#This Row],[Age]]&lt;40, "30-39", Employees[[#This Row],[Age]]&lt;50, "40-49", "TRUE", "50+")</f>
        <v>20-29</v>
      </c>
    </row>
    <row r="1119" spans="1:28">
      <c r="A1119" t="s">
        <v>3302</v>
      </c>
      <c r="B1119" t="s">
        <v>3303</v>
      </c>
      <c r="C1119" t="s">
        <v>3304</v>
      </c>
      <c r="D1119" t="s">
        <v>38</v>
      </c>
      <c r="E1119">
        <v>20</v>
      </c>
      <c r="F1119" t="s">
        <v>84</v>
      </c>
      <c r="G1119" t="s">
        <v>54</v>
      </c>
      <c r="H1119">
        <v>28</v>
      </c>
      <c r="I1119" t="s">
        <v>39</v>
      </c>
      <c r="J1119" t="s">
        <v>30</v>
      </c>
      <c r="K1119">
        <v>3</v>
      </c>
      <c r="L1119" t="s">
        <v>72</v>
      </c>
      <c r="M1119" t="s">
        <v>101</v>
      </c>
      <c r="N1119" t="s">
        <v>49</v>
      </c>
      <c r="O1119">
        <v>29835</v>
      </c>
      <c r="P1119">
        <v>3</v>
      </c>
      <c r="Q1119" t="s">
        <v>41</v>
      </c>
      <c r="R1119" s="1">
        <v>44017</v>
      </c>
      <c r="S1119" t="s">
        <v>34</v>
      </c>
      <c r="T1119">
        <v>2</v>
      </c>
      <c r="U1119">
        <v>0</v>
      </c>
      <c r="V1119">
        <v>0</v>
      </c>
      <c r="W1119">
        <v>0</v>
      </c>
      <c r="X1119" t="s">
        <v>11022</v>
      </c>
      <c r="Y1119" t="s">
        <v>11022</v>
      </c>
      <c r="Z1119" t="str">
        <f>_xlfn.XLOOKUP(Employees[[#This Row],[Education]], EdLevel[EducationLevelID], EdLevel[EducationLevel])</f>
        <v xml:space="preserve">Bachelors </v>
      </c>
      <c r="AA1119">
        <f>IF(Employees[[#This Row],[Attrition]] = "Yes", 1, 0)</f>
        <v>0</v>
      </c>
      <c r="AB1119" t="str" cm="1">
        <f t="array" ref="AB1119">_xlfn.IFS(Employees[[#This Row],[Age]]&lt;30, "20-29", Employees[[#This Row],[Age]]&lt;40, "30-39", Employees[[#This Row],[Age]]&lt;50, "40-49", "TRUE", "50+")</f>
        <v>20-29</v>
      </c>
    </row>
    <row r="1120" spans="1:28">
      <c r="A1120" t="s">
        <v>3305</v>
      </c>
      <c r="B1120" t="s">
        <v>3306</v>
      </c>
      <c r="C1120" t="s">
        <v>3307</v>
      </c>
      <c r="D1120" t="s">
        <v>38</v>
      </c>
      <c r="E1120">
        <v>42</v>
      </c>
      <c r="F1120" t="s">
        <v>84</v>
      </c>
      <c r="G1120" t="s">
        <v>54</v>
      </c>
      <c r="H1120">
        <v>28</v>
      </c>
      <c r="I1120" t="s">
        <v>65</v>
      </c>
      <c r="J1120" t="s">
        <v>30</v>
      </c>
      <c r="K1120">
        <v>3</v>
      </c>
      <c r="L1120" t="s">
        <v>55</v>
      </c>
      <c r="M1120" t="s">
        <v>105</v>
      </c>
      <c r="N1120" t="s">
        <v>49</v>
      </c>
      <c r="O1120">
        <v>264513</v>
      </c>
      <c r="P1120">
        <v>0</v>
      </c>
      <c r="Q1120" t="s">
        <v>34</v>
      </c>
      <c r="R1120" s="1">
        <v>44020</v>
      </c>
      <c r="S1120" t="s">
        <v>41</v>
      </c>
      <c r="T1120">
        <v>1</v>
      </c>
      <c r="U1120">
        <v>0</v>
      </c>
      <c r="V1120">
        <v>0</v>
      </c>
      <c r="W1120">
        <v>1</v>
      </c>
      <c r="X1120" t="s">
        <v>11022</v>
      </c>
      <c r="Y1120" t="s">
        <v>11022</v>
      </c>
      <c r="Z1120" t="str">
        <f>_xlfn.XLOOKUP(Employees[[#This Row],[Education]], EdLevel[EducationLevelID], EdLevel[EducationLevel])</f>
        <v xml:space="preserve">Bachelors </v>
      </c>
      <c r="AA1120">
        <f>IF(Employees[[#This Row],[Attrition]] = "Yes", 1, 0)</f>
        <v>1</v>
      </c>
      <c r="AB1120" t="str" cm="1">
        <f t="array" ref="AB1120">_xlfn.IFS(Employees[[#This Row],[Age]]&lt;30, "20-29", Employees[[#This Row],[Age]]&lt;40, "30-39", Employees[[#This Row],[Age]]&lt;50, "40-49", "TRUE", "50+")</f>
        <v>40-49</v>
      </c>
    </row>
    <row r="1121" spans="1:28">
      <c r="A1121" t="s">
        <v>3308</v>
      </c>
      <c r="B1121" t="s">
        <v>3309</v>
      </c>
      <c r="C1121" t="s">
        <v>3310</v>
      </c>
      <c r="D1121" t="s">
        <v>38</v>
      </c>
      <c r="E1121">
        <v>22</v>
      </c>
      <c r="F1121" t="s">
        <v>27</v>
      </c>
      <c r="G1121" t="s">
        <v>54</v>
      </c>
      <c r="H1121">
        <v>6</v>
      </c>
      <c r="I1121" t="s">
        <v>29</v>
      </c>
      <c r="J1121" t="s">
        <v>30</v>
      </c>
      <c r="K1121">
        <v>3</v>
      </c>
      <c r="L1121" t="s">
        <v>55</v>
      </c>
      <c r="M1121" t="s">
        <v>101</v>
      </c>
      <c r="N1121" t="s">
        <v>33</v>
      </c>
      <c r="O1121">
        <v>43072</v>
      </c>
      <c r="P1121">
        <v>1</v>
      </c>
      <c r="Q1121" t="s">
        <v>41</v>
      </c>
      <c r="R1121" s="1">
        <v>44021</v>
      </c>
      <c r="S1121" t="s">
        <v>34</v>
      </c>
      <c r="T1121">
        <v>2</v>
      </c>
      <c r="U1121">
        <v>1</v>
      </c>
      <c r="V1121">
        <v>2</v>
      </c>
      <c r="W1121">
        <v>1</v>
      </c>
      <c r="X1121" t="s">
        <v>11022</v>
      </c>
      <c r="Y1121" t="s">
        <v>11022</v>
      </c>
      <c r="Z1121" t="str">
        <f>_xlfn.XLOOKUP(Employees[[#This Row],[Education]], EdLevel[EducationLevelID], EdLevel[EducationLevel])</f>
        <v xml:space="preserve">Bachelors </v>
      </c>
      <c r="AA1121">
        <f>IF(Employees[[#This Row],[Attrition]] = "Yes", 1, 0)</f>
        <v>0</v>
      </c>
      <c r="AB1121" t="str" cm="1">
        <f t="array" ref="AB1121">_xlfn.IFS(Employees[[#This Row],[Age]]&lt;30, "20-29", Employees[[#This Row],[Age]]&lt;40, "30-39", Employees[[#This Row],[Age]]&lt;50, "40-49", "TRUE", "50+")</f>
        <v>20-29</v>
      </c>
    </row>
    <row r="1122" spans="1:28">
      <c r="A1122" t="s">
        <v>3311</v>
      </c>
      <c r="B1122" t="s">
        <v>3312</v>
      </c>
      <c r="C1122" t="s">
        <v>3313</v>
      </c>
      <c r="D1122" t="s">
        <v>38</v>
      </c>
      <c r="E1122">
        <v>23</v>
      </c>
      <c r="F1122" t="s">
        <v>27</v>
      </c>
      <c r="G1122" t="s">
        <v>28</v>
      </c>
      <c r="H1122">
        <v>9</v>
      </c>
      <c r="I1122" t="s">
        <v>65</v>
      </c>
      <c r="J1122" t="s">
        <v>30</v>
      </c>
      <c r="K1122">
        <v>2</v>
      </c>
      <c r="L1122" t="s">
        <v>47</v>
      </c>
      <c r="M1122" t="s">
        <v>150</v>
      </c>
      <c r="N1122" t="s">
        <v>49</v>
      </c>
      <c r="O1122">
        <v>33750</v>
      </c>
      <c r="P1122">
        <v>1</v>
      </c>
      <c r="Q1122" t="s">
        <v>34</v>
      </c>
      <c r="R1122" s="1">
        <v>44022</v>
      </c>
      <c r="S1122" t="s">
        <v>34</v>
      </c>
      <c r="T1122">
        <v>2</v>
      </c>
      <c r="U1122">
        <v>0</v>
      </c>
      <c r="V1122">
        <v>2</v>
      </c>
      <c r="W1122">
        <v>0</v>
      </c>
      <c r="X1122" t="s">
        <v>11021</v>
      </c>
      <c r="Y1122" t="s">
        <v>11021</v>
      </c>
      <c r="Z1122" t="str">
        <f>_xlfn.XLOOKUP(Employees[[#This Row],[Education]], EdLevel[EducationLevelID], EdLevel[EducationLevel])</f>
        <v xml:space="preserve">High School </v>
      </c>
      <c r="AA1122">
        <f>IF(Employees[[#This Row],[Attrition]] = "Yes", 1, 0)</f>
        <v>0</v>
      </c>
      <c r="AB1122" t="str" cm="1">
        <f t="array" ref="AB1122">_xlfn.IFS(Employees[[#This Row],[Age]]&lt;30, "20-29", Employees[[#This Row],[Age]]&lt;40, "30-39", Employees[[#This Row],[Age]]&lt;50, "40-49", "TRUE", "50+")</f>
        <v>20-29</v>
      </c>
    </row>
    <row r="1123" spans="1:28">
      <c r="A1123" t="s">
        <v>3314</v>
      </c>
      <c r="B1123" t="s">
        <v>3315</v>
      </c>
      <c r="C1123" t="s">
        <v>3316</v>
      </c>
      <c r="D1123" t="s">
        <v>38</v>
      </c>
      <c r="E1123">
        <v>23</v>
      </c>
      <c r="F1123" t="s">
        <v>27</v>
      </c>
      <c r="G1123" t="s">
        <v>28</v>
      </c>
      <c r="H1123">
        <v>1</v>
      </c>
      <c r="I1123" t="s">
        <v>39</v>
      </c>
      <c r="J1123" t="s">
        <v>30</v>
      </c>
      <c r="K1123">
        <v>2</v>
      </c>
      <c r="L1123" t="s">
        <v>77</v>
      </c>
      <c r="M1123" t="s">
        <v>32</v>
      </c>
      <c r="N1123" t="s">
        <v>49</v>
      </c>
      <c r="O1123">
        <v>65489</v>
      </c>
      <c r="P1123">
        <v>1</v>
      </c>
      <c r="Q1123" t="s">
        <v>34</v>
      </c>
      <c r="R1123" s="1">
        <v>44024</v>
      </c>
      <c r="S1123" t="s">
        <v>34</v>
      </c>
      <c r="T1123">
        <v>2</v>
      </c>
      <c r="U1123">
        <v>0</v>
      </c>
      <c r="V1123">
        <v>1</v>
      </c>
      <c r="W1123">
        <v>1</v>
      </c>
      <c r="X1123" t="s">
        <v>11021</v>
      </c>
      <c r="Y1123" t="s">
        <v>11021</v>
      </c>
      <c r="Z1123" t="str">
        <f>_xlfn.XLOOKUP(Employees[[#This Row],[Education]], EdLevel[EducationLevelID], EdLevel[EducationLevel])</f>
        <v xml:space="preserve">High School </v>
      </c>
      <c r="AA1123">
        <f>IF(Employees[[#This Row],[Attrition]] = "Yes", 1, 0)</f>
        <v>0</v>
      </c>
      <c r="AB1123" t="str" cm="1">
        <f t="array" ref="AB1123">_xlfn.IFS(Employees[[#This Row],[Age]]&lt;30, "20-29", Employees[[#This Row],[Age]]&lt;40, "30-39", Employees[[#This Row],[Age]]&lt;50, "40-49", "TRUE", "50+")</f>
        <v>20-29</v>
      </c>
    </row>
    <row r="1124" spans="1:28">
      <c r="A1124" t="s">
        <v>3317</v>
      </c>
      <c r="B1124" t="s">
        <v>3318</v>
      </c>
      <c r="C1124" t="s">
        <v>3319</v>
      </c>
      <c r="D1124" t="s">
        <v>26</v>
      </c>
      <c r="E1124">
        <v>20</v>
      </c>
      <c r="F1124" t="s">
        <v>27</v>
      </c>
      <c r="G1124" t="s">
        <v>54</v>
      </c>
      <c r="H1124">
        <v>3</v>
      </c>
      <c r="I1124" t="s">
        <v>39</v>
      </c>
      <c r="J1124" t="s">
        <v>30</v>
      </c>
      <c r="K1124">
        <v>1</v>
      </c>
      <c r="L1124" t="s">
        <v>72</v>
      </c>
      <c r="M1124" t="s">
        <v>93</v>
      </c>
      <c r="N1124" t="s">
        <v>49</v>
      </c>
      <c r="O1124">
        <v>41342</v>
      </c>
      <c r="P1124">
        <v>1</v>
      </c>
      <c r="Q1124" t="s">
        <v>41</v>
      </c>
      <c r="R1124" s="1">
        <v>44028</v>
      </c>
      <c r="S1124" t="s">
        <v>34</v>
      </c>
      <c r="T1124">
        <v>2</v>
      </c>
      <c r="U1124">
        <v>1</v>
      </c>
      <c r="V1124">
        <v>1</v>
      </c>
      <c r="W1124">
        <v>2</v>
      </c>
      <c r="X1124" t="s">
        <v>11020</v>
      </c>
      <c r="Y1124" t="s">
        <v>11020</v>
      </c>
      <c r="Z1124" t="str">
        <f>_xlfn.XLOOKUP(Employees[[#This Row],[Education]], EdLevel[EducationLevelID], EdLevel[EducationLevel])</f>
        <v>No Formal Qualifications</v>
      </c>
      <c r="AA1124">
        <f>IF(Employees[[#This Row],[Attrition]] = "Yes", 1, 0)</f>
        <v>0</v>
      </c>
      <c r="AB1124" t="str" cm="1">
        <f t="array" ref="AB1124">_xlfn.IFS(Employees[[#This Row],[Age]]&lt;30, "20-29", Employees[[#This Row],[Age]]&lt;40, "30-39", Employees[[#This Row],[Age]]&lt;50, "40-49", "TRUE", "50+")</f>
        <v>20-29</v>
      </c>
    </row>
    <row r="1125" spans="1:28">
      <c r="A1125" t="s">
        <v>3320</v>
      </c>
      <c r="B1125" t="s">
        <v>3321</v>
      </c>
      <c r="C1125" t="s">
        <v>3322</v>
      </c>
      <c r="D1125" t="s">
        <v>38</v>
      </c>
      <c r="E1125">
        <v>36</v>
      </c>
      <c r="F1125" t="s">
        <v>27</v>
      </c>
      <c r="G1125" t="s">
        <v>28</v>
      </c>
      <c r="H1125">
        <v>7</v>
      </c>
      <c r="I1125" t="s">
        <v>65</v>
      </c>
      <c r="J1125" t="s">
        <v>30</v>
      </c>
      <c r="K1125">
        <v>3</v>
      </c>
      <c r="L1125" t="s">
        <v>60</v>
      </c>
      <c r="M1125" t="s">
        <v>32</v>
      </c>
      <c r="N1125" t="s">
        <v>40</v>
      </c>
      <c r="O1125">
        <v>243989</v>
      </c>
      <c r="P1125">
        <v>0</v>
      </c>
      <c r="Q1125" t="s">
        <v>41</v>
      </c>
      <c r="R1125" s="1">
        <v>44030</v>
      </c>
      <c r="S1125" t="s">
        <v>41</v>
      </c>
      <c r="T1125">
        <v>1</v>
      </c>
      <c r="U1125">
        <v>0</v>
      </c>
      <c r="V1125">
        <v>1</v>
      </c>
      <c r="W1125">
        <v>1</v>
      </c>
      <c r="X1125" t="s">
        <v>11022</v>
      </c>
      <c r="Y1125" t="s">
        <v>11022</v>
      </c>
      <c r="Z1125" t="str">
        <f>_xlfn.XLOOKUP(Employees[[#This Row],[Education]], EdLevel[EducationLevelID], EdLevel[EducationLevel])</f>
        <v xml:space="preserve">Bachelors </v>
      </c>
      <c r="AA1125">
        <f>IF(Employees[[#This Row],[Attrition]] = "Yes", 1, 0)</f>
        <v>1</v>
      </c>
      <c r="AB1125" t="str" cm="1">
        <f t="array" ref="AB1125">_xlfn.IFS(Employees[[#This Row],[Age]]&lt;30, "20-29", Employees[[#This Row],[Age]]&lt;40, "30-39", Employees[[#This Row],[Age]]&lt;50, "40-49", "TRUE", "50+")</f>
        <v>30-39</v>
      </c>
    </row>
    <row r="1126" spans="1:28">
      <c r="A1126" t="s">
        <v>3323</v>
      </c>
      <c r="B1126" t="s">
        <v>3324</v>
      </c>
      <c r="C1126" t="s">
        <v>3325</v>
      </c>
      <c r="D1126" t="s">
        <v>26</v>
      </c>
      <c r="E1126">
        <v>28</v>
      </c>
      <c r="F1126" t="s">
        <v>27</v>
      </c>
      <c r="G1126" t="s">
        <v>28</v>
      </c>
      <c r="H1126">
        <v>13</v>
      </c>
      <c r="I1126" t="s">
        <v>39</v>
      </c>
      <c r="J1126" t="s">
        <v>30</v>
      </c>
      <c r="K1126">
        <v>3</v>
      </c>
      <c r="L1126" t="s">
        <v>47</v>
      </c>
      <c r="M1126" t="s">
        <v>32</v>
      </c>
      <c r="N1126" t="s">
        <v>49</v>
      </c>
      <c r="O1126">
        <v>207479</v>
      </c>
      <c r="P1126">
        <v>3</v>
      </c>
      <c r="Q1126" t="s">
        <v>34</v>
      </c>
      <c r="R1126" s="1">
        <v>44031</v>
      </c>
      <c r="S1126" t="s">
        <v>41</v>
      </c>
      <c r="T1126">
        <v>1</v>
      </c>
      <c r="U1126">
        <v>0</v>
      </c>
      <c r="V1126">
        <v>0</v>
      </c>
      <c r="W1126">
        <v>0</v>
      </c>
      <c r="X1126" t="s">
        <v>11022</v>
      </c>
      <c r="Y1126" t="s">
        <v>11022</v>
      </c>
      <c r="Z1126" t="str">
        <f>_xlfn.XLOOKUP(Employees[[#This Row],[Education]], EdLevel[EducationLevelID], EdLevel[EducationLevel])</f>
        <v xml:space="preserve">Bachelors </v>
      </c>
      <c r="AA1126">
        <f>IF(Employees[[#This Row],[Attrition]] = "Yes", 1, 0)</f>
        <v>1</v>
      </c>
      <c r="AB1126" t="str" cm="1">
        <f t="array" ref="AB1126">_xlfn.IFS(Employees[[#This Row],[Age]]&lt;30, "20-29", Employees[[#This Row],[Age]]&lt;40, "30-39", Employees[[#This Row],[Age]]&lt;50, "40-49", "TRUE", "50+")</f>
        <v>20-29</v>
      </c>
    </row>
    <row r="1127" spans="1:28">
      <c r="A1127" t="s">
        <v>3326</v>
      </c>
      <c r="B1127" t="s">
        <v>3327</v>
      </c>
      <c r="C1127" t="s">
        <v>3328</v>
      </c>
      <c r="D1127" t="s">
        <v>53</v>
      </c>
      <c r="E1127">
        <v>28</v>
      </c>
      <c r="F1127" t="s">
        <v>27</v>
      </c>
      <c r="G1127" t="s">
        <v>54</v>
      </c>
      <c r="H1127">
        <v>42</v>
      </c>
      <c r="I1127" t="s">
        <v>65</v>
      </c>
      <c r="J1127" t="s">
        <v>30</v>
      </c>
      <c r="K1127">
        <v>4</v>
      </c>
      <c r="L1127" t="s">
        <v>55</v>
      </c>
      <c r="M1127" t="s">
        <v>85</v>
      </c>
      <c r="N1127" t="s">
        <v>49</v>
      </c>
      <c r="O1127">
        <v>85987</v>
      </c>
      <c r="P1127">
        <v>1</v>
      </c>
      <c r="Q1127" t="s">
        <v>34</v>
      </c>
      <c r="R1127" s="1">
        <v>44032</v>
      </c>
      <c r="S1127" t="s">
        <v>34</v>
      </c>
      <c r="T1127">
        <v>2</v>
      </c>
      <c r="U1127">
        <v>0</v>
      </c>
      <c r="V1127">
        <v>1</v>
      </c>
      <c r="W1127">
        <v>0</v>
      </c>
      <c r="X1127" t="s">
        <v>11023</v>
      </c>
      <c r="Y1127" t="s">
        <v>11023</v>
      </c>
      <c r="Z1127" t="str">
        <f>_xlfn.XLOOKUP(Employees[[#This Row],[Education]], EdLevel[EducationLevelID], EdLevel[EducationLevel])</f>
        <v xml:space="preserve">Masters </v>
      </c>
      <c r="AA1127">
        <f>IF(Employees[[#This Row],[Attrition]] = "Yes", 1, 0)</f>
        <v>0</v>
      </c>
      <c r="AB1127" t="str" cm="1">
        <f t="array" ref="AB1127">_xlfn.IFS(Employees[[#This Row],[Age]]&lt;30, "20-29", Employees[[#This Row],[Age]]&lt;40, "30-39", Employees[[#This Row],[Age]]&lt;50, "40-49", "TRUE", "50+")</f>
        <v>20-29</v>
      </c>
    </row>
    <row r="1128" spans="1:28">
      <c r="A1128" t="s">
        <v>3329</v>
      </c>
      <c r="B1128" t="s">
        <v>3330</v>
      </c>
      <c r="C1128" t="s">
        <v>3331</v>
      </c>
      <c r="D1128" t="s">
        <v>26</v>
      </c>
      <c r="E1128">
        <v>22</v>
      </c>
      <c r="F1128" t="s">
        <v>84</v>
      </c>
      <c r="G1128" t="s">
        <v>54</v>
      </c>
      <c r="H1128">
        <v>30</v>
      </c>
      <c r="I1128" t="s">
        <v>65</v>
      </c>
      <c r="J1128" t="s">
        <v>30</v>
      </c>
      <c r="K1128">
        <v>3</v>
      </c>
      <c r="L1128" t="s">
        <v>55</v>
      </c>
      <c r="M1128" t="s">
        <v>85</v>
      </c>
      <c r="N1128" t="s">
        <v>33</v>
      </c>
      <c r="O1128">
        <v>40614</v>
      </c>
      <c r="P1128">
        <v>1</v>
      </c>
      <c r="Q1128" t="s">
        <v>41</v>
      </c>
      <c r="R1128" s="1">
        <v>44041</v>
      </c>
      <c r="S1128" t="s">
        <v>41</v>
      </c>
      <c r="T1128">
        <v>0</v>
      </c>
      <c r="U1128">
        <v>0</v>
      </c>
      <c r="V1128">
        <v>0</v>
      </c>
      <c r="W1128">
        <v>0</v>
      </c>
      <c r="X1128" t="s">
        <v>11022</v>
      </c>
      <c r="Y1128" t="s">
        <v>11022</v>
      </c>
      <c r="Z1128" t="str">
        <f>_xlfn.XLOOKUP(Employees[[#This Row],[Education]], EdLevel[EducationLevelID], EdLevel[EducationLevel])</f>
        <v xml:space="preserve">Bachelors </v>
      </c>
      <c r="AA1128">
        <f>IF(Employees[[#This Row],[Attrition]] = "Yes", 1, 0)</f>
        <v>1</v>
      </c>
      <c r="AB1128" t="str" cm="1">
        <f t="array" ref="AB1128">_xlfn.IFS(Employees[[#This Row],[Age]]&lt;30, "20-29", Employees[[#This Row],[Age]]&lt;40, "30-39", Employees[[#This Row],[Age]]&lt;50, "40-49", "TRUE", "50+")</f>
        <v>20-29</v>
      </c>
    </row>
    <row r="1129" spans="1:28">
      <c r="A1129" t="s">
        <v>3332</v>
      </c>
      <c r="B1129" t="s">
        <v>3333</v>
      </c>
      <c r="C1129" t="s">
        <v>3334</v>
      </c>
      <c r="D1129" t="s">
        <v>859</v>
      </c>
      <c r="E1129">
        <v>43</v>
      </c>
      <c r="F1129" t="s">
        <v>84</v>
      </c>
      <c r="G1129" t="s">
        <v>54</v>
      </c>
      <c r="H1129">
        <v>37</v>
      </c>
      <c r="I1129" t="s">
        <v>39</v>
      </c>
      <c r="J1129" t="s">
        <v>30</v>
      </c>
      <c r="K1129">
        <v>1</v>
      </c>
      <c r="L1129" t="s">
        <v>72</v>
      </c>
      <c r="M1129" t="s">
        <v>105</v>
      </c>
      <c r="N1129" t="s">
        <v>49</v>
      </c>
      <c r="O1129">
        <v>199718</v>
      </c>
      <c r="P1129">
        <v>0</v>
      </c>
      <c r="Q1129" t="s">
        <v>34</v>
      </c>
      <c r="R1129" s="1">
        <v>44046</v>
      </c>
      <c r="S1129" t="s">
        <v>34</v>
      </c>
      <c r="T1129">
        <v>2</v>
      </c>
      <c r="U1129">
        <v>1</v>
      </c>
      <c r="V1129">
        <v>2</v>
      </c>
      <c r="W1129">
        <v>2</v>
      </c>
      <c r="X1129" t="s">
        <v>11020</v>
      </c>
      <c r="Y1129" t="s">
        <v>11020</v>
      </c>
      <c r="Z1129" t="str">
        <f>_xlfn.XLOOKUP(Employees[[#This Row],[Education]], EdLevel[EducationLevelID], EdLevel[EducationLevel])</f>
        <v>No Formal Qualifications</v>
      </c>
      <c r="AA1129">
        <f>IF(Employees[[#This Row],[Attrition]] = "Yes", 1, 0)</f>
        <v>0</v>
      </c>
      <c r="AB1129" t="str" cm="1">
        <f t="array" ref="AB1129">_xlfn.IFS(Employees[[#This Row],[Age]]&lt;30, "20-29", Employees[[#This Row],[Age]]&lt;40, "30-39", Employees[[#This Row],[Age]]&lt;50, "40-49", "TRUE", "50+")</f>
        <v>40-49</v>
      </c>
    </row>
    <row r="1130" spans="1:28">
      <c r="A1130" t="s">
        <v>3335</v>
      </c>
      <c r="B1130" t="s">
        <v>3336</v>
      </c>
      <c r="C1130" t="s">
        <v>3337</v>
      </c>
      <c r="D1130" t="s">
        <v>38</v>
      </c>
      <c r="E1130">
        <v>22</v>
      </c>
      <c r="F1130" t="s">
        <v>84</v>
      </c>
      <c r="G1130" t="s">
        <v>54</v>
      </c>
      <c r="H1130">
        <v>9</v>
      </c>
      <c r="I1130" t="s">
        <v>65</v>
      </c>
      <c r="J1130" t="s">
        <v>30</v>
      </c>
      <c r="K1130">
        <v>2</v>
      </c>
      <c r="L1130" t="s">
        <v>55</v>
      </c>
      <c r="M1130" t="s">
        <v>105</v>
      </c>
      <c r="N1130" t="s">
        <v>33</v>
      </c>
      <c r="O1130">
        <v>73389</v>
      </c>
      <c r="P1130">
        <v>3</v>
      </c>
      <c r="Q1130" t="s">
        <v>34</v>
      </c>
      <c r="R1130" s="1">
        <v>44048</v>
      </c>
      <c r="S1130" t="s">
        <v>34</v>
      </c>
      <c r="T1130">
        <v>2</v>
      </c>
      <c r="U1130">
        <v>0</v>
      </c>
      <c r="V1130">
        <v>2</v>
      </c>
      <c r="W1130">
        <v>2</v>
      </c>
      <c r="X1130" t="s">
        <v>11021</v>
      </c>
      <c r="Y1130" t="s">
        <v>11021</v>
      </c>
      <c r="Z1130" t="str">
        <f>_xlfn.XLOOKUP(Employees[[#This Row],[Education]], EdLevel[EducationLevelID], EdLevel[EducationLevel])</f>
        <v xml:space="preserve">High School </v>
      </c>
      <c r="AA1130">
        <f>IF(Employees[[#This Row],[Attrition]] = "Yes", 1, 0)</f>
        <v>0</v>
      </c>
      <c r="AB1130" t="str" cm="1">
        <f t="array" ref="AB1130">_xlfn.IFS(Employees[[#This Row],[Age]]&lt;30, "20-29", Employees[[#This Row],[Age]]&lt;40, "30-39", Employees[[#This Row],[Age]]&lt;50, "40-49", "TRUE", "50+")</f>
        <v>20-29</v>
      </c>
    </row>
    <row r="1131" spans="1:28">
      <c r="A1131" t="s">
        <v>3338</v>
      </c>
      <c r="B1131" t="s">
        <v>3339</v>
      </c>
      <c r="C1131" t="s">
        <v>3340</v>
      </c>
      <c r="D1131" t="s">
        <v>38</v>
      </c>
      <c r="E1131">
        <v>23</v>
      </c>
      <c r="F1131" t="s">
        <v>84</v>
      </c>
      <c r="G1131" t="s">
        <v>54</v>
      </c>
      <c r="H1131">
        <v>12</v>
      </c>
      <c r="I1131" t="s">
        <v>65</v>
      </c>
      <c r="J1131" t="s">
        <v>30</v>
      </c>
      <c r="K1131">
        <v>3</v>
      </c>
      <c r="L1131" t="s">
        <v>55</v>
      </c>
      <c r="M1131" t="s">
        <v>105</v>
      </c>
      <c r="N1131" t="s">
        <v>33</v>
      </c>
      <c r="O1131">
        <v>68820</v>
      </c>
      <c r="P1131">
        <v>1</v>
      </c>
      <c r="Q1131" t="s">
        <v>34</v>
      </c>
      <c r="R1131" s="1">
        <v>44048</v>
      </c>
      <c r="S1131" t="s">
        <v>34</v>
      </c>
      <c r="T1131">
        <v>2</v>
      </c>
      <c r="U1131">
        <v>2</v>
      </c>
      <c r="V1131">
        <v>2</v>
      </c>
      <c r="W1131">
        <v>1</v>
      </c>
      <c r="X1131" t="s">
        <v>11022</v>
      </c>
      <c r="Y1131" t="s">
        <v>11022</v>
      </c>
      <c r="Z1131" t="str">
        <f>_xlfn.XLOOKUP(Employees[[#This Row],[Education]], EdLevel[EducationLevelID], EdLevel[EducationLevel])</f>
        <v xml:space="preserve">Bachelors </v>
      </c>
      <c r="AA1131">
        <f>IF(Employees[[#This Row],[Attrition]] = "Yes", 1, 0)</f>
        <v>0</v>
      </c>
      <c r="AB1131" t="str" cm="1">
        <f t="array" ref="AB1131">_xlfn.IFS(Employees[[#This Row],[Age]]&lt;30, "20-29", Employees[[#This Row],[Age]]&lt;40, "30-39", Employees[[#This Row],[Age]]&lt;50, "40-49", "TRUE", "50+")</f>
        <v>20-29</v>
      </c>
    </row>
    <row r="1132" spans="1:28">
      <c r="A1132" t="s">
        <v>3341</v>
      </c>
      <c r="B1132" t="s">
        <v>3342</v>
      </c>
      <c r="C1132" t="s">
        <v>3343</v>
      </c>
      <c r="D1132" t="s">
        <v>53</v>
      </c>
      <c r="E1132">
        <v>21</v>
      </c>
      <c r="F1132" t="s">
        <v>84</v>
      </c>
      <c r="G1132" t="s">
        <v>54</v>
      </c>
      <c r="H1132">
        <v>29</v>
      </c>
      <c r="I1132" t="s">
        <v>39</v>
      </c>
      <c r="J1132" t="s">
        <v>30</v>
      </c>
      <c r="K1132">
        <v>4</v>
      </c>
      <c r="L1132" t="s">
        <v>72</v>
      </c>
      <c r="M1132" t="s">
        <v>101</v>
      </c>
      <c r="N1132" t="s">
        <v>40</v>
      </c>
      <c r="O1132">
        <v>61345</v>
      </c>
      <c r="P1132">
        <v>0</v>
      </c>
      <c r="Q1132" t="s">
        <v>34</v>
      </c>
      <c r="R1132" s="1">
        <v>44050</v>
      </c>
      <c r="S1132" t="s">
        <v>41</v>
      </c>
      <c r="T1132">
        <v>1</v>
      </c>
      <c r="U1132">
        <v>0</v>
      </c>
      <c r="V1132">
        <v>0</v>
      </c>
      <c r="W1132">
        <v>0</v>
      </c>
      <c r="X1132" t="s">
        <v>11023</v>
      </c>
      <c r="Y1132" t="s">
        <v>11023</v>
      </c>
      <c r="Z1132" t="str">
        <f>_xlfn.XLOOKUP(Employees[[#This Row],[Education]], EdLevel[EducationLevelID], EdLevel[EducationLevel])</f>
        <v xml:space="preserve">Masters </v>
      </c>
      <c r="AA1132">
        <f>IF(Employees[[#This Row],[Attrition]] = "Yes", 1, 0)</f>
        <v>1</v>
      </c>
      <c r="AB1132" t="str" cm="1">
        <f t="array" ref="AB1132">_xlfn.IFS(Employees[[#This Row],[Age]]&lt;30, "20-29", Employees[[#This Row],[Age]]&lt;40, "30-39", Employees[[#This Row],[Age]]&lt;50, "40-49", "TRUE", "50+")</f>
        <v>20-29</v>
      </c>
    </row>
    <row r="1133" spans="1:28">
      <c r="A1133" t="s">
        <v>3344</v>
      </c>
      <c r="B1133" t="s">
        <v>3345</v>
      </c>
      <c r="C1133" t="s">
        <v>3346</v>
      </c>
      <c r="D1133" t="s">
        <v>26</v>
      </c>
      <c r="E1133">
        <v>23</v>
      </c>
      <c r="F1133" t="s">
        <v>27</v>
      </c>
      <c r="G1133" t="s">
        <v>28</v>
      </c>
      <c r="H1133">
        <v>26</v>
      </c>
      <c r="I1133" t="s">
        <v>65</v>
      </c>
      <c r="J1133" t="s">
        <v>30</v>
      </c>
      <c r="K1133">
        <v>3</v>
      </c>
      <c r="L1133" t="s">
        <v>121</v>
      </c>
      <c r="M1133" t="s">
        <v>32</v>
      </c>
      <c r="N1133" t="s">
        <v>40</v>
      </c>
      <c r="O1133">
        <v>67718</v>
      </c>
      <c r="P1133">
        <v>0</v>
      </c>
      <c r="Q1133" t="s">
        <v>34</v>
      </c>
      <c r="R1133" s="1">
        <v>44050</v>
      </c>
      <c r="S1133" t="s">
        <v>34</v>
      </c>
      <c r="T1133">
        <v>2</v>
      </c>
      <c r="U1133">
        <v>1</v>
      </c>
      <c r="V1133">
        <v>2</v>
      </c>
      <c r="W1133">
        <v>1</v>
      </c>
      <c r="X1133" t="s">
        <v>11022</v>
      </c>
      <c r="Y1133" t="s">
        <v>11022</v>
      </c>
      <c r="Z1133" t="str">
        <f>_xlfn.XLOOKUP(Employees[[#This Row],[Education]], EdLevel[EducationLevelID], EdLevel[EducationLevel])</f>
        <v xml:space="preserve">Bachelors </v>
      </c>
      <c r="AA1133">
        <f>IF(Employees[[#This Row],[Attrition]] = "Yes", 1, 0)</f>
        <v>0</v>
      </c>
      <c r="AB1133" t="str" cm="1">
        <f t="array" ref="AB1133">_xlfn.IFS(Employees[[#This Row],[Age]]&lt;30, "20-29", Employees[[#This Row],[Age]]&lt;40, "30-39", Employees[[#This Row],[Age]]&lt;50, "40-49", "TRUE", "50+")</f>
        <v>20-29</v>
      </c>
    </row>
    <row r="1134" spans="1:28">
      <c r="A1134" t="s">
        <v>3347</v>
      </c>
      <c r="B1134" t="s">
        <v>3348</v>
      </c>
      <c r="C1134" t="s">
        <v>3349</v>
      </c>
      <c r="D1134" t="s">
        <v>38</v>
      </c>
      <c r="E1134">
        <v>50</v>
      </c>
      <c r="F1134" t="s">
        <v>70</v>
      </c>
      <c r="G1134" t="s">
        <v>54</v>
      </c>
      <c r="H1134">
        <v>11</v>
      </c>
      <c r="I1134" t="s">
        <v>65</v>
      </c>
      <c r="J1134" t="s">
        <v>30</v>
      </c>
      <c r="K1134">
        <v>1</v>
      </c>
      <c r="L1134" t="s">
        <v>55</v>
      </c>
      <c r="M1134" t="s">
        <v>56</v>
      </c>
      <c r="N1134" t="s">
        <v>33</v>
      </c>
      <c r="O1134">
        <v>337946</v>
      </c>
      <c r="P1134">
        <v>2</v>
      </c>
      <c r="Q1134" t="s">
        <v>34</v>
      </c>
      <c r="R1134" s="1">
        <v>44058</v>
      </c>
      <c r="S1134" t="s">
        <v>34</v>
      </c>
      <c r="T1134">
        <v>2</v>
      </c>
      <c r="U1134">
        <v>1</v>
      </c>
      <c r="V1134">
        <v>2</v>
      </c>
      <c r="W1134">
        <v>1</v>
      </c>
      <c r="X1134" t="s">
        <v>11020</v>
      </c>
      <c r="Y1134" t="s">
        <v>11020</v>
      </c>
      <c r="Z1134" t="str">
        <f>_xlfn.XLOOKUP(Employees[[#This Row],[Education]], EdLevel[EducationLevelID], EdLevel[EducationLevel])</f>
        <v>No Formal Qualifications</v>
      </c>
      <c r="AA1134">
        <f>IF(Employees[[#This Row],[Attrition]] = "Yes", 1, 0)</f>
        <v>0</v>
      </c>
      <c r="AB1134" t="str" cm="1">
        <f t="array" ref="AB1134">_xlfn.IFS(Employees[[#This Row],[Age]]&lt;30, "20-29", Employees[[#This Row],[Age]]&lt;40, "30-39", Employees[[#This Row],[Age]]&lt;50, "40-49", "TRUE", "50+")</f>
        <v>50+</v>
      </c>
    </row>
    <row r="1135" spans="1:28">
      <c r="A1135" t="s">
        <v>3350</v>
      </c>
      <c r="B1135" t="s">
        <v>3351</v>
      </c>
      <c r="C1135" t="s">
        <v>3352</v>
      </c>
      <c r="D1135" t="s">
        <v>38</v>
      </c>
      <c r="E1135">
        <v>40</v>
      </c>
      <c r="F1135" t="s">
        <v>70</v>
      </c>
      <c r="G1135" t="s">
        <v>54</v>
      </c>
      <c r="H1135">
        <v>15</v>
      </c>
      <c r="I1135" t="s">
        <v>65</v>
      </c>
      <c r="J1135" t="s">
        <v>30</v>
      </c>
      <c r="K1135">
        <v>1</v>
      </c>
      <c r="L1135" t="s">
        <v>72</v>
      </c>
      <c r="M1135" t="s">
        <v>182</v>
      </c>
      <c r="N1135" t="s">
        <v>40</v>
      </c>
      <c r="O1135">
        <v>465219</v>
      </c>
      <c r="P1135">
        <v>0</v>
      </c>
      <c r="Q1135" t="s">
        <v>34</v>
      </c>
      <c r="R1135" s="1">
        <v>44060</v>
      </c>
      <c r="S1135" t="s">
        <v>34</v>
      </c>
      <c r="T1135">
        <v>2</v>
      </c>
      <c r="U1135">
        <v>2</v>
      </c>
      <c r="V1135">
        <v>2</v>
      </c>
      <c r="W1135">
        <v>0</v>
      </c>
      <c r="X1135" t="s">
        <v>11020</v>
      </c>
      <c r="Y1135" t="s">
        <v>11020</v>
      </c>
      <c r="Z1135" t="str">
        <f>_xlfn.XLOOKUP(Employees[[#This Row],[Education]], EdLevel[EducationLevelID], EdLevel[EducationLevel])</f>
        <v>No Formal Qualifications</v>
      </c>
      <c r="AA1135">
        <f>IF(Employees[[#This Row],[Attrition]] = "Yes", 1, 0)</f>
        <v>0</v>
      </c>
      <c r="AB1135" t="str" cm="1">
        <f t="array" ref="AB1135">_xlfn.IFS(Employees[[#This Row],[Age]]&lt;30, "20-29", Employees[[#This Row],[Age]]&lt;40, "30-39", Employees[[#This Row],[Age]]&lt;50, "40-49", "TRUE", "50+")</f>
        <v>40-49</v>
      </c>
    </row>
    <row r="1136" spans="1:28">
      <c r="A1136" t="s">
        <v>3353</v>
      </c>
      <c r="B1136" t="s">
        <v>3354</v>
      </c>
      <c r="C1136" t="s">
        <v>3355</v>
      </c>
      <c r="D1136" t="s">
        <v>26</v>
      </c>
      <c r="E1136">
        <v>20</v>
      </c>
      <c r="F1136" t="s">
        <v>27</v>
      </c>
      <c r="G1136" t="s">
        <v>28</v>
      </c>
      <c r="H1136">
        <v>16</v>
      </c>
      <c r="I1136" t="s">
        <v>65</v>
      </c>
      <c r="J1136" t="s">
        <v>30</v>
      </c>
      <c r="K1136">
        <v>3</v>
      </c>
      <c r="L1136" t="s">
        <v>47</v>
      </c>
      <c r="M1136" t="s">
        <v>150</v>
      </c>
      <c r="N1136" t="s">
        <v>40</v>
      </c>
      <c r="O1136">
        <v>35754</v>
      </c>
      <c r="P1136">
        <v>0</v>
      </c>
      <c r="Q1136" t="s">
        <v>34</v>
      </c>
      <c r="R1136" s="1">
        <v>44067</v>
      </c>
      <c r="S1136" t="s">
        <v>41</v>
      </c>
      <c r="T1136">
        <v>0</v>
      </c>
      <c r="U1136">
        <v>0</v>
      </c>
      <c r="V1136">
        <v>0</v>
      </c>
      <c r="W1136">
        <v>0</v>
      </c>
      <c r="X1136" t="s">
        <v>11022</v>
      </c>
      <c r="Y1136" t="s">
        <v>11022</v>
      </c>
      <c r="Z1136" t="str">
        <f>_xlfn.XLOOKUP(Employees[[#This Row],[Education]], EdLevel[EducationLevelID], EdLevel[EducationLevel])</f>
        <v xml:space="preserve">Bachelors </v>
      </c>
      <c r="AA1136">
        <f>IF(Employees[[#This Row],[Attrition]] = "Yes", 1, 0)</f>
        <v>1</v>
      </c>
      <c r="AB1136" t="str" cm="1">
        <f t="array" ref="AB1136">_xlfn.IFS(Employees[[#This Row],[Age]]&lt;30, "20-29", Employees[[#This Row],[Age]]&lt;40, "30-39", Employees[[#This Row],[Age]]&lt;50, "40-49", "TRUE", "50+")</f>
        <v>20-29</v>
      </c>
    </row>
    <row r="1137" spans="1:28">
      <c r="A1137" t="s">
        <v>3356</v>
      </c>
      <c r="B1137" t="s">
        <v>3357</v>
      </c>
      <c r="C1137" t="s">
        <v>3358</v>
      </c>
      <c r="D1137" t="s">
        <v>26</v>
      </c>
      <c r="E1137">
        <v>23</v>
      </c>
      <c r="F1137" t="s">
        <v>27</v>
      </c>
      <c r="G1137" t="s">
        <v>54</v>
      </c>
      <c r="H1137">
        <v>40</v>
      </c>
      <c r="I1137" t="s">
        <v>39</v>
      </c>
      <c r="J1137" t="s">
        <v>30</v>
      </c>
      <c r="K1137">
        <v>3</v>
      </c>
      <c r="L1137" t="s">
        <v>55</v>
      </c>
      <c r="M1137" t="s">
        <v>85</v>
      </c>
      <c r="N1137" t="s">
        <v>40</v>
      </c>
      <c r="O1137">
        <v>23632</v>
      </c>
      <c r="P1137">
        <v>0</v>
      </c>
      <c r="Q1137" t="s">
        <v>34</v>
      </c>
      <c r="R1137" s="1">
        <v>44067</v>
      </c>
      <c r="S1137" t="s">
        <v>34</v>
      </c>
      <c r="T1137">
        <v>2</v>
      </c>
      <c r="U1137">
        <v>2</v>
      </c>
      <c r="V1137">
        <v>2</v>
      </c>
      <c r="W1137">
        <v>0</v>
      </c>
      <c r="X1137" t="s">
        <v>11022</v>
      </c>
      <c r="Y1137" t="s">
        <v>11022</v>
      </c>
      <c r="Z1137" t="str">
        <f>_xlfn.XLOOKUP(Employees[[#This Row],[Education]], EdLevel[EducationLevelID], EdLevel[EducationLevel])</f>
        <v xml:space="preserve">Bachelors </v>
      </c>
      <c r="AA1137">
        <f>IF(Employees[[#This Row],[Attrition]] = "Yes", 1, 0)</f>
        <v>0</v>
      </c>
      <c r="AB1137" t="str" cm="1">
        <f t="array" ref="AB1137">_xlfn.IFS(Employees[[#This Row],[Age]]&lt;30, "20-29", Employees[[#This Row],[Age]]&lt;40, "30-39", Employees[[#This Row],[Age]]&lt;50, "40-49", "TRUE", "50+")</f>
        <v>20-29</v>
      </c>
    </row>
    <row r="1138" spans="1:28">
      <c r="A1138" t="s">
        <v>3359</v>
      </c>
      <c r="B1138" t="s">
        <v>3360</v>
      </c>
      <c r="C1138" t="s">
        <v>3361</v>
      </c>
      <c r="D1138" t="s">
        <v>26</v>
      </c>
      <c r="E1138">
        <v>20</v>
      </c>
      <c r="F1138" t="s">
        <v>27</v>
      </c>
      <c r="G1138" t="s">
        <v>54</v>
      </c>
      <c r="H1138">
        <v>24</v>
      </c>
      <c r="I1138" t="s">
        <v>65</v>
      </c>
      <c r="J1138" t="s">
        <v>30</v>
      </c>
      <c r="K1138">
        <v>2</v>
      </c>
      <c r="L1138" t="s">
        <v>178</v>
      </c>
      <c r="M1138" t="s">
        <v>85</v>
      </c>
      <c r="N1138" t="s">
        <v>40</v>
      </c>
      <c r="O1138">
        <v>38138</v>
      </c>
      <c r="P1138">
        <v>0</v>
      </c>
      <c r="Q1138" t="s">
        <v>34</v>
      </c>
      <c r="R1138" s="1">
        <v>44072</v>
      </c>
      <c r="S1138" t="s">
        <v>34</v>
      </c>
      <c r="T1138">
        <v>2</v>
      </c>
      <c r="U1138">
        <v>2</v>
      </c>
      <c r="V1138">
        <v>2</v>
      </c>
      <c r="W1138">
        <v>1</v>
      </c>
      <c r="X1138" t="s">
        <v>11021</v>
      </c>
      <c r="Y1138" t="s">
        <v>11021</v>
      </c>
      <c r="Z1138" t="str">
        <f>_xlfn.XLOOKUP(Employees[[#This Row],[Education]], EdLevel[EducationLevelID], EdLevel[EducationLevel])</f>
        <v xml:space="preserve">High School </v>
      </c>
      <c r="AA1138">
        <f>IF(Employees[[#This Row],[Attrition]] = "Yes", 1, 0)</f>
        <v>0</v>
      </c>
      <c r="AB1138" t="str" cm="1">
        <f t="array" ref="AB1138">_xlfn.IFS(Employees[[#This Row],[Age]]&lt;30, "20-29", Employees[[#This Row],[Age]]&lt;40, "30-39", Employees[[#This Row],[Age]]&lt;50, "40-49", "TRUE", "50+")</f>
        <v>20-29</v>
      </c>
    </row>
    <row r="1139" spans="1:28">
      <c r="A1139" t="s">
        <v>3362</v>
      </c>
      <c r="B1139" t="s">
        <v>3363</v>
      </c>
      <c r="C1139" t="s">
        <v>3364</v>
      </c>
      <c r="D1139" t="s">
        <v>26</v>
      </c>
      <c r="E1139">
        <v>20</v>
      </c>
      <c r="F1139" t="s">
        <v>70</v>
      </c>
      <c r="G1139" t="s">
        <v>54</v>
      </c>
      <c r="H1139">
        <v>45</v>
      </c>
      <c r="I1139" t="s">
        <v>39</v>
      </c>
      <c r="J1139" t="s">
        <v>30</v>
      </c>
      <c r="K1139">
        <v>2</v>
      </c>
      <c r="L1139" t="s">
        <v>55</v>
      </c>
      <c r="M1139" t="s">
        <v>101</v>
      </c>
      <c r="N1139" t="s">
        <v>33</v>
      </c>
      <c r="O1139">
        <v>28262</v>
      </c>
      <c r="P1139">
        <v>1</v>
      </c>
      <c r="Q1139" t="s">
        <v>34</v>
      </c>
      <c r="R1139" s="1">
        <v>44072</v>
      </c>
      <c r="S1139" t="s">
        <v>41</v>
      </c>
      <c r="T1139">
        <v>1</v>
      </c>
      <c r="U1139">
        <v>0</v>
      </c>
      <c r="V1139">
        <v>0</v>
      </c>
      <c r="W1139">
        <v>0</v>
      </c>
      <c r="X1139" t="s">
        <v>11021</v>
      </c>
      <c r="Y1139" t="s">
        <v>11021</v>
      </c>
      <c r="Z1139" t="str">
        <f>_xlfn.XLOOKUP(Employees[[#This Row],[Education]], EdLevel[EducationLevelID], EdLevel[EducationLevel])</f>
        <v xml:space="preserve">High School </v>
      </c>
      <c r="AA1139">
        <f>IF(Employees[[#This Row],[Attrition]] = "Yes", 1, 0)</f>
        <v>1</v>
      </c>
      <c r="AB1139" t="str" cm="1">
        <f t="array" ref="AB1139">_xlfn.IFS(Employees[[#This Row],[Age]]&lt;30, "20-29", Employees[[#This Row],[Age]]&lt;40, "30-39", Employees[[#This Row],[Age]]&lt;50, "40-49", "TRUE", "50+")</f>
        <v>20-29</v>
      </c>
    </row>
    <row r="1140" spans="1:28">
      <c r="A1140" t="s">
        <v>3365</v>
      </c>
      <c r="B1140" t="s">
        <v>3366</v>
      </c>
      <c r="C1140" t="s">
        <v>3367</v>
      </c>
      <c r="D1140" t="s">
        <v>38</v>
      </c>
      <c r="E1140">
        <v>34</v>
      </c>
      <c r="F1140" t="s">
        <v>84</v>
      </c>
      <c r="G1140" t="s">
        <v>28</v>
      </c>
      <c r="H1140">
        <v>45</v>
      </c>
      <c r="I1140" t="s">
        <v>65</v>
      </c>
      <c r="J1140" t="s">
        <v>30</v>
      </c>
      <c r="K1140">
        <v>3</v>
      </c>
      <c r="L1140" t="s">
        <v>47</v>
      </c>
      <c r="M1140" t="s">
        <v>32</v>
      </c>
      <c r="N1140" t="s">
        <v>49</v>
      </c>
      <c r="O1140">
        <v>341971</v>
      </c>
      <c r="P1140">
        <v>0</v>
      </c>
      <c r="Q1140" t="s">
        <v>34</v>
      </c>
      <c r="R1140" s="1">
        <v>44076</v>
      </c>
      <c r="S1140" t="s">
        <v>41</v>
      </c>
      <c r="T1140">
        <v>1</v>
      </c>
      <c r="U1140">
        <v>0</v>
      </c>
      <c r="V1140">
        <v>0</v>
      </c>
      <c r="W1140">
        <v>0</v>
      </c>
      <c r="X1140" t="s">
        <v>11022</v>
      </c>
      <c r="Y1140" t="s">
        <v>11022</v>
      </c>
      <c r="Z1140" t="str">
        <f>_xlfn.XLOOKUP(Employees[[#This Row],[Education]], EdLevel[EducationLevelID], EdLevel[EducationLevel])</f>
        <v xml:space="preserve">Bachelors </v>
      </c>
      <c r="AA1140">
        <f>IF(Employees[[#This Row],[Attrition]] = "Yes", 1, 0)</f>
        <v>1</v>
      </c>
      <c r="AB1140" t="str" cm="1">
        <f t="array" ref="AB1140">_xlfn.IFS(Employees[[#This Row],[Age]]&lt;30, "20-29", Employees[[#This Row],[Age]]&lt;40, "30-39", Employees[[#This Row],[Age]]&lt;50, "40-49", "TRUE", "50+")</f>
        <v>30-39</v>
      </c>
    </row>
    <row r="1141" spans="1:28">
      <c r="A1141" t="s">
        <v>3368</v>
      </c>
      <c r="B1141" t="s">
        <v>3369</v>
      </c>
      <c r="C1141" t="s">
        <v>3370</v>
      </c>
      <c r="D1141" t="s">
        <v>38</v>
      </c>
      <c r="E1141">
        <v>23</v>
      </c>
      <c r="F1141" t="s">
        <v>27</v>
      </c>
      <c r="G1141" t="s">
        <v>54</v>
      </c>
      <c r="H1141">
        <v>11</v>
      </c>
      <c r="I1141" t="s">
        <v>39</v>
      </c>
      <c r="J1141" t="s">
        <v>30</v>
      </c>
      <c r="K1141">
        <v>4</v>
      </c>
      <c r="L1141" t="s">
        <v>72</v>
      </c>
      <c r="M1141" t="s">
        <v>85</v>
      </c>
      <c r="N1141" t="s">
        <v>49</v>
      </c>
      <c r="O1141">
        <v>22488</v>
      </c>
      <c r="P1141">
        <v>1</v>
      </c>
      <c r="Q1141" t="s">
        <v>34</v>
      </c>
      <c r="R1141" s="1">
        <v>44078</v>
      </c>
      <c r="S1141" t="s">
        <v>34</v>
      </c>
      <c r="T1141">
        <v>2</v>
      </c>
      <c r="U1141">
        <v>2</v>
      </c>
      <c r="V1141">
        <v>2</v>
      </c>
      <c r="W1141">
        <v>2</v>
      </c>
      <c r="X1141" t="s">
        <v>11023</v>
      </c>
      <c r="Y1141" t="s">
        <v>11023</v>
      </c>
      <c r="Z1141" t="str">
        <f>_xlfn.XLOOKUP(Employees[[#This Row],[Education]], EdLevel[EducationLevelID], EdLevel[EducationLevel])</f>
        <v xml:space="preserve">Masters </v>
      </c>
      <c r="AA1141">
        <f>IF(Employees[[#This Row],[Attrition]] = "Yes", 1, 0)</f>
        <v>0</v>
      </c>
      <c r="AB1141" t="str" cm="1">
        <f t="array" ref="AB1141">_xlfn.IFS(Employees[[#This Row],[Age]]&lt;30, "20-29", Employees[[#This Row],[Age]]&lt;40, "30-39", Employees[[#This Row],[Age]]&lt;50, "40-49", "TRUE", "50+")</f>
        <v>20-29</v>
      </c>
    </row>
    <row r="1142" spans="1:28">
      <c r="A1142" t="s">
        <v>3371</v>
      </c>
      <c r="B1142" t="s">
        <v>2249</v>
      </c>
      <c r="C1142" t="s">
        <v>3372</v>
      </c>
      <c r="D1142" t="s">
        <v>26</v>
      </c>
      <c r="E1142">
        <v>27</v>
      </c>
      <c r="F1142" t="s">
        <v>27</v>
      </c>
      <c r="G1142" t="s">
        <v>54</v>
      </c>
      <c r="H1142">
        <v>28</v>
      </c>
      <c r="I1142" t="s">
        <v>39</v>
      </c>
      <c r="J1142" t="s">
        <v>30</v>
      </c>
      <c r="K1142">
        <v>4</v>
      </c>
      <c r="L1142" t="s">
        <v>55</v>
      </c>
      <c r="M1142" t="s">
        <v>93</v>
      </c>
      <c r="N1142" t="s">
        <v>49</v>
      </c>
      <c r="O1142">
        <v>93291</v>
      </c>
      <c r="P1142">
        <v>0</v>
      </c>
      <c r="Q1142" t="s">
        <v>34</v>
      </c>
      <c r="R1142" s="1">
        <v>44085</v>
      </c>
      <c r="S1142" t="s">
        <v>34</v>
      </c>
      <c r="T1142">
        <v>2</v>
      </c>
      <c r="U1142">
        <v>1</v>
      </c>
      <c r="V1142">
        <v>2</v>
      </c>
      <c r="W1142">
        <v>1</v>
      </c>
      <c r="X1142" t="s">
        <v>11023</v>
      </c>
      <c r="Y1142" t="s">
        <v>11023</v>
      </c>
      <c r="Z1142" t="str">
        <f>_xlfn.XLOOKUP(Employees[[#This Row],[Education]], EdLevel[EducationLevelID], EdLevel[EducationLevel])</f>
        <v xml:space="preserve">Masters </v>
      </c>
      <c r="AA1142">
        <f>IF(Employees[[#This Row],[Attrition]] = "Yes", 1, 0)</f>
        <v>0</v>
      </c>
      <c r="AB1142" t="str" cm="1">
        <f t="array" ref="AB1142">_xlfn.IFS(Employees[[#This Row],[Age]]&lt;30, "20-29", Employees[[#This Row],[Age]]&lt;40, "30-39", Employees[[#This Row],[Age]]&lt;50, "40-49", "TRUE", "50+")</f>
        <v>20-29</v>
      </c>
    </row>
    <row r="1143" spans="1:28">
      <c r="A1143" t="s">
        <v>3373</v>
      </c>
      <c r="B1143" t="s">
        <v>3374</v>
      </c>
      <c r="C1143" t="s">
        <v>3375</v>
      </c>
      <c r="D1143" t="s">
        <v>26</v>
      </c>
      <c r="E1143">
        <v>22</v>
      </c>
      <c r="F1143" t="s">
        <v>27</v>
      </c>
      <c r="G1143" t="s">
        <v>54</v>
      </c>
      <c r="H1143">
        <v>36</v>
      </c>
      <c r="I1143" t="s">
        <v>39</v>
      </c>
      <c r="J1143" t="s">
        <v>30</v>
      </c>
      <c r="K1143">
        <v>4</v>
      </c>
      <c r="L1143" t="s">
        <v>55</v>
      </c>
      <c r="M1143" t="s">
        <v>101</v>
      </c>
      <c r="N1143" t="s">
        <v>40</v>
      </c>
      <c r="O1143">
        <v>31072</v>
      </c>
      <c r="P1143">
        <v>0</v>
      </c>
      <c r="Q1143" t="s">
        <v>34</v>
      </c>
      <c r="R1143" s="1">
        <v>44089</v>
      </c>
      <c r="S1143" t="s">
        <v>34</v>
      </c>
      <c r="T1143">
        <v>2</v>
      </c>
      <c r="U1143">
        <v>2</v>
      </c>
      <c r="V1143">
        <v>2</v>
      </c>
      <c r="W1143">
        <v>1</v>
      </c>
      <c r="X1143" t="s">
        <v>11023</v>
      </c>
      <c r="Y1143" t="s">
        <v>11023</v>
      </c>
      <c r="Z1143" t="str">
        <f>_xlfn.XLOOKUP(Employees[[#This Row],[Education]], EdLevel[EducationLevelID], EdLevel[EducationLevel])</f>
        <v xml:space="preserve">Masters </v>
      </c>
      <c r="AA1143">
        <f>IF(Employees[[#This Row],[Attrition]] = "Yes", 1, 0)</f>
        <v>0</v>
      </c>
      <c r="AB1143" t="str" cm="1">
        <f t="array" ref="AB1143">_xlfn.IFS(Employees[[#This Row],[Age]]&lt;30, "20-29", Employees[[#This Row],[Age]]&lt;40, "30-39", Employees[[#This Row],[Age]]&lt;50, "40-49", "TRUE", "50+")</f>
        <v>20-29</v>
      </c>
    </row>
    <row r="1144" spans="1:28">
      <c r="A1144" t="s">
        <v>3376</v>
      </c>
      <c r="B1144" t="s">
        <v>3377</v>
      </c>
      <c r="C1144" t="s">
        <v>3378</v>
      </c>
      <c r="D1144" t="s">
        <v>26</v>
      </c>
      <c r="E1144">
        <v>28</v>
      </c>
      <c r="F1144" t="s">
        <v>27</v>
      </c>
      <c r="G1144" t="s">
        <v>28</v>
      </c>
      <c r="H1144">
        <v>18</v>
      </c>
      <c r="I1144" t="s">
        <v>29</v>
      </c>
      <c r="J1144" t="s">
        <v>30</v>
      </c>
      <c r="K1144">
        <v>3</v>
      </c>
      <c r="L1144" t="s">
        <v>121</v>
      </c>
      <c r="M1144" t="s">
        <v>32</v>
      </c>
      <c r="N1144" t="s">
        <v>49</v>
      </c>
      <c r="O1144">
        <v>113501</v>
      </c>
      <c r="P1144">
        <v>1</v>
      </c>
      <c r="Q1144" t="s">
        <v>41</v>
      </c>
      <c r="R1144" s="1">
        <v>44096</v>
      </c>
      <c r="S1144" t="s">
        <v>34</v>
      </c>
      <c r="T1144">
        <v>2</v>
      </c>
      <c r="U1144">
        <v>2</v>
      </c>
      <c r="V1144">
        <v>2</v>
      </c>
      <c r="W1144">
        <v>2</v>
      </c>
      <c r="X1144" t="s">
        <v>11022</v>
      </c>
      <c r="Y1144" t="s">
        <v>11022</v>
      </c>
      <c r="Z1144" t="str">
        <f>_xlfn.XLOOKUP(Employees[[#This Row],[Education]], EdLevel[EducationLevelID], EdLevel[EducationLevel])</f>
        <v xml:space="preserve">Bachelors </v>
      </c>
      <c r="AA1144">
        <f>IF(Employees[[#This Row],[Attrition]] = "Yes", 1, 0)</f>
        <v>0</v>
      </c>
      <c r="AB1144" t="str" cm="1">
        <f t="array" ref="AB1144">_xlfn.IFS(Employees[[#This Row],[Age]]&lt;30, "20-29", Employees[[#This Row],[Age]]&lt;40, "30-39", Employees[[#This Row],[Age]]&lt;50, "40-49", "TRUE", "50+")</f>
        <v>20-29</v>
      </c>
    </row>
    <row r="1145" spans="1:28">
      <c r="A1145" t="s">
        <v>3379</v>
      </c>
      <c r="B1145" t="s">
        <v>3380</v>
      </c>
      <c r="C1145" t="s">
        <v>3381</v>
      </c>
      <c r="D1145" t="s">
        <v>38</v>
      </c>
      <c r="E1145">
        <v>23</v>
      </c>
      <c r="F1145" t="s">
        <v>84</v>
      </c>
      <c r="G1145" t="s">
        <v>54</v>
      </c>
      <c r="H1145">
        <v>40</v>
      </c>
      <c r="I1145" t="s">
        <v>39</v>
      </c>
      <c r="J1145" t="s">
        <v>30</v>
      </c>
      <c r="K1145">
        <v>3</v>
      </c>
      <c r="L1145" t="s">
        <v>55</v>
      </c>
      <c r="M1145" t="s">
        <v>105</v>
      </c>
      <c r="N1145" t="s">
        <v>33</v>
      </c>
      <c r="O1145">
        <v>79724</v>
      </c>
      <c r="P1145">
        <v>1</v>
      </c>
      <c r="Q1145" t="s">
        <v>34</v>
      </c>
      <c r="R1145" s="1">
        <v>44097</v>
      </c>
      <c r="S1145" t="s">
        <v>34</v>
      </c>
      <c r="T1145">
        <v>2</v>
      </c>
      <c r="U1145">
        <v>0</v>
      </c>
      <c r="V1145">
        <v>2</v>
      </c>
      <c r="W1145">
        <v>0</v>
      </c>
      <c r="X1145" t="s">
        <v>11022</v>
      </c>
      <c r="Y1145" t="s">
        <v>11022</v>
      </c>
      <c r="Z1145" t="str">
        <f>_xlfn.XLOOKUP(Employees[[#This Row],[Education]], EdLevel[EducationLevelID], EdLevel[EducationLevel])</f>
        <v xml:space="preserve">Bachelors </v>
      </c>
      <c r="AA1145">
        <f>IF(Employees[[#This Row],[Attrition]] = "Yes", 1, 0)</f>
        <v>0</v>
      </c>
      <c r="AB1145" t="str" cm="1">
        <f t="array" ref="AB1145">_xlfn.IFS(Employees[[#This Row],[Age]]&lt;30, "20-29", Employees[[#This Row],[Age]]&lt;40, "30-39", Employees[[#This Row],[Age]]&lt;50, "40-49", "TRUE", "50+")</f>
        <v>20-29</v>
      </c>
    </row>
    <row r="1146" spans="1:28">
      <c r="A1146" t="s">
        <v>3382</v>
      </c>
      <c r="B1146" t="s">
        <v>3383</v>
      </c>
      <c r="C1146" t="s">
        <v>3384</v>
      </c>
      <c r="D1146" t="s">
        <v>38</v>
      </c>
      <c r="E1146">
        <v>20</v>
      </c>
      <c r="F1146" t="s">
        <v>27</v>
      </c>
      <c r="G1146" t="s">
        <v>54</v>
      </c>
      <c r="H1146">
        <v>38</v>
      </c>
      <c r="I1146" t="s">
        <v>39</v>
      </c>
      <c r="J1146" t="s">
        <v>30</v>
      </c>
      <c r="K1146">
        <v>3</v>
      </c>
      <c r="L1146" t="s">
        <v>178</v>
      </c>
      <c r="M1146" t="s">
        <v>101</v>
      </c>
      <c r="N1146" t="s">
        <v>33</v>
      </c>
      <c r="O1146">
        <v>21344</v>
      </c>
      <c r="P1146">
        <v>1</v>
      </c>
      <c r="Q1146" t="s">
        <v>34</v>
      </c>
      <c r="R1146" s="1">
        <v>44099</v>
      </c>
      <c r="S1146" t="s">
        <v>34</v>
      </c>
      <c r="T1146">
        <v>2</v>
      </c>
      <c r="U1146">
        <v>1</v>
      </c>
      <c r="V1146">
        <v>2</v>
      </c>
      <c r="W1146">
        <v>2</v>
      </c>
      <c r="X1146" t="s">
        <v>11022</v>
      </c>
      <c r="Y1146" t="s">
        <v>11022</v>
      </c>
      <c r="Z1146" t="str">
        <f>_xlfn.XLOOKUP(Employees[[#This Row],[Education]], EdLevel[EducationLevelID], EdLevel[EducationLevel])</f>
        <v xml:space="preserve">Bachelors </v>
      </c>
      <c r="AA1146">
        <f>IF(Employees[[#This Row],[Attrition]] = "Yes", 1, 0)</f>
        <v>0</v>
      </c>
      <c r="AB1146" t="str" cm="1">
        <f t="array" ref="AB1146">_xlfn.IFS(Employees[[#This Row],[Age]]&lt;30, "20-29", Employees[[#This Row],[Age]]&lt;40, "30-39", Employees[[#This Row],[Age]]&lt;50, "40-49", "TRUE", "50+")</f>
        <v>20-29</v>
      </c>
    </row>
    <row r="1147" spans="1:28">
      <c r="A1147" t="s">
        <v>3385</v>
      </c>
      <c r="B1147" t="s">
        <v>3386</v>
      </c>
      <c r="C1147" t="s">
        <v>3387</v>
      </c>
      <c r="D1147" t="s">
        <v>53</v>
      </c>
      <c r="E1147">
        <v>23</v>
      </c>
      <c r="F1147" t="s">
        <v>84</v>
      </c>
      <c r="G1147" t="s">
        <v>45</v>
      </c>
      <c r="H1147">
        <v>34</v>
      </c>
      <c r="I1147" t="s">
        <v>65</v>
      </c>
      <c r="J1147" t="s">
        <v>30</v>
      </c>
      <c r="K1147">
        <v>4</v>
      </c>
      <c r="L1147" t="s">
        <v>45</v>
      </c>
      <c r="M1147" t="s">
        <v>207</v>
      </c>
      <c r="N1147" t="s">
        <v>49</v>
      </c>
      <c r="O1147">
        <v>75948</v>
      </c>
      <c r="P1147">
        <v>0</v>
      </c>
      <c r="Q1147" t="s">
        <v>34</v>
      </c>
      <c r="R1147" s="1">
        <v>44100</v>
      </c>
      <c r="S1147" t="s">
        <v>34</v>
      </c>
      <c r="T1147">
        <v>2</v>
      </c>
      <c r="U1147">
        <v>0</v>
      </c>
      <c r="V1147">
        <v>0</v>
      </c>
      <c r="W1147">
        <v>2</v>
      </c>
      <c r="X1147" t="s">
        <v>11023</v>
      </c>
      <c r="Y1147" t="s">
        <v>11023</v>
      </c>
      <c r="Z1147" t="str">
        <f>_xlfn.XLOOKUP(Employees[[#This Row],[Education]], EdLevel[EducationLevelID], EdLevel[EducationLevel])</f>
        <v xml:space="preserve">Masters </v>
      </c>
      <c r="AA1147">
        <f>IF(Employees[[#This Row],[Attrition]] = "Yes", 1, 0)</f>
        <v>0</v>
      </c>
      <c r="AB1147" t="str" cm="1">
        <f t="array" ref="AB1147">_xlfn.IFS(Employees[[#This Row],[Age]]&lt;30, "20-29", Employees[[#This Row],[Age]]&lt;40, "30-39", Employees[[#This Row],[Age]]&lt;50, "40-49", "TRUE", "50+")</f>
        <v>20-29</v>
      </c>
    </row>
    <row r="1148" spans="1:28">
      <c r="A1148" t="s">
        <v>3388</v>
      </c>
      <c r="B1148" t="s">
        <v>3389</v>
      </c>
      <c r="C1148" t="s">
        <v>3390</v>
      </c>
      <c r="D1148" t="s">
        <v>38</v>
      </c>
      <c r="E1148">
        <v>31</v>
      </c>
      <c r="F1148" t="s">
        <v>27</v>
      </c>
      <c r="G1148" t="s">
        <v>28</v>
      </c>
      <c r="H1148">
        <v>11</v>
      </c>
      <c r="I1148" t="s">
        <v>39</v>
      </c>
      <c r="J1148" t="s">
        <v>30</v>
      </c>
      <c r="K1148">
        <v>3</v>
      </c>
      <c r="L1148" t="s">
        <v>31</v>
      </c>
      <c r="M1148" t="s">
        <v>32</v>
      </c>
      <c r="N1148" t="s">
        <v>33</v>
      </c>
      <c r="O1148">
        <v>155386</v>
      </c>
      <c r="P1148">
        <v>3</v>
      </c>
      <c r="Q1148" t="s">
        <v>34</v>
      </c>
      <c r="R1148" s="1">
        <v>44100</v>
      </c>
      <c r="S1148" t="s">
        <v>34</v>
      </c>
      <c r="T1148">
        <v>2</v>
      </c>
      <c r="U1148">
        <v>1</v>
      </c>
      <c r="V1148">
        <v>2</v>
      </c>
      <c r="W1148">
        <v>1</v>
      </c>
      <c r="X1148" t="s">
        <v>11022</v>
      </c>
      <c r="Y1148" t="s">
        <v>11022</v>
      </c>
      <c r="Z1148" t="str">
        <f>_xlfn.XLOOKUP(Employees[[#This Row],[Education]], EdLevel[EducationLevelID], EdLevel[EducationLevel])</f>
        <v xml:space="preserve">Bachelors </v>
      </c>
      <c r="AA1148">
        <f>IF(Employees[[#This Row],[Attrition]] = "Yes", 1, 0)</f>
        <v>0</v>
      </c>
      <c r="AB1148" t="str" cm="1">
        <f t="array" ref="AB1148">_xlfn.IFS(Employees[[#This Row],[Age]]&lt;30, "20-29", Employees[[#This Row],[Age]]&lt;40, "30-39", Employees[[#This Row],[Age]]&lt;50, "40-49", "TRUE", "50+")</f>
        <v>30-39</v>
      </c>
    </row>
    <row r="1149" spans="1:28">
      <c r="A1149" t="s">
        <v>3391</v>
      </c>
      <c r="B1149" t="s">
        <v>3392</v>
      </c>
      <c r="C1149" t="s">
        <v>3393</v>
      </c>
      <c r="D1149" t="s">
        <v>26</v>
      </c>
      <c r="E1149">
        <v>47</v>
      </c>
      <c r="F1149" t="s">
        <v>27</v>
      </c>
      <c r="G1149" t="s">
        <v>54</v>
      </c>
      <c r="H1149">
        <v>32</v>
      </c>
      <c r="I1149" t="s">
        <v>39</v>
      </c>
      <c r="J1149" t="s">
        <v>30</v>
      </c>
      <c r="K1149">
        <v>3</v>
      </c>
      <c r="L1149" t="s">
        <v>72</v>
      </c>
      <c r="M1149" t="s">
        <v>93</v>
      </c>
      <c r="N1149" t="s">
        <v>40</v>
      </c>
      <c r="O1149">
        <v>243869</v>
      </c>
      <c r="P1149">
        <v>0</v>
      </c>
      <c r="Q1149" t="s">
        <v>34</v>
      </c>
      <c r="R1149" s="1">
        <v>44108</v>
      </c>
      <c r="S1149" t="s">
        <v>34</v>
      </c>
      <c r="T1149">
        <v>2</v>
      </c>
      <c r="U1149">
        <v>1</v>
      </c>
      <c r="V1149">
        <v>1</v>
      </c>
      <c r="W1149">
        <v>0</v>
      </c>
      <c r="X1149" t="s">
        <v>11022</v>
      </c>
      <c r="Y1149" t="s">
        <v>11022</v>
      </c>
      <c r="Z1149" t="str">
        <f>_xlfn.XLOOKUP(Employees[[#This Row],[Education]], EdLevel[EducationLevelID], EdLevel[EducationLevel])</f>
        <v xml:space="preserve">Bachelors </v>
      </c>
      <c r="AA1149">
        <f>IF(Employees[[#This Row],[Attrition]] = "Yes", 1, 0)</f>
        <v>0</v>
      </c>
      <c r="AB1149" t="str" cm="1">
        <f t="array" ref="AB1149">_xlfn.IFS(Employees[[#This Row],[Age]]&lt;30, "20-29", Employees[[#This Row],[Age]]&lt;40, "30-39", Employees[[#This Row],[Age]]&lt;50, "40-49", "TRUE", "50+")</f>
        <v>40-49</v>
      </c>
    </row>
    <row r="1150" spans="1:28">
      <c r="A1150" t="s">
        <v>3394</v>
      </c>
      <c r="B1150" t="s">
        <v>3395</v>
      </c>
      <c r="C1150" t="s">
        <v>3396</v>
      </c>
      <c r="D1150" t="s">
        <v>38</v>
      </c>
      <c r="E1150">
        <v>40</v>
      </c>
      <c r="F1150" t="s">
        <v>27</v>
      </c>
      <c r="G1150" t="s">
        <v>28</v>
      </c>
      <c r="H1150">
        <v>37</v>
      </c>
      <c r="I1150" t="s">
        <v>39</v>
      </c>
      <c r="J1150" t="s">
        <v>30</v>
      </c>
      <c r="K1150">
        <v>4</v>
      </c>
      <c r="L1150" t="s">
        <v>31</v>
      </c>
      <c r="M1150" t="s">
        <v>32</v>
      </c>
      <c r="N1150" t="s">
        <v>40</v>
      </c>
      <c r="O1150">
        <v>226512</v>
      </c>
      <c r="P1150">
        <v>0</v>
      </c>
      <c r="Q1150" t="s">
        <v>41</v>
      </c>
      <c r="R1150" s="1">
        <v>44112</v>
      </c>
      <c r="S1150" t="s">
        <v>41</v>
      </c>
      <c r="T1150">
        <v>2</v>
      </c>
      <c r="U1150">
        <v>1</v>
      </c>
      <c r="V1150">
        <v>1</v>
      </c>
      <c r="W1150">
        <v>1</v>
      </c>
      <c r="X1150" t="s">
        <v>11023</v>
      </c>
      <c r="Y1150" t="s">
        <v>11023</v>
      </c>
      <c r="Z1150" t="str">
        <f>_xlfn.XLOOKUP(Employees[[#This Row],[Education]], EdLevel[EducationLevelID], EdLevel[EducationLevel])</f>
        <v xml:space="preserve">Masters </v>
      </c>
      <c r="AA1150">
        <f>IF(Employees[[#This Row],[Attrition]] = "Yes", 1, 0)</f>
        <v>1</v>
      </c>
      <c r="AB1150" t="str" cm="1">
        <f t="array" ref="AB1150">_xlfn.IFS(Employees[[#This Row],[Age]]&lt;30, "20-29", Employees[[#This Row],[Age]]&lt;40, "30-39", Employees[[#This Row],[Age]]&lt;50, "40-49", "TRUE", "50+")</f>
        <v>40-49</v>
      </c>
    </row>
    <row r="1151" spans="1:28">
      <c r="A1151" t="s">
        <v>3397</v>
      </c>
      <c r="B1151" t="s">
        <v>3398</v>
      </c>
      <c r="C1151" t="s">
        <v>3399</v>
      </c>
      <c r="D1151" t="s">
        <v>26</v>
      </c>
      <c r="E1151">
        <v>20</v>
      </c>
      <c r="F1151" t="s">
        <v>27</v>
      </c>
      <c r="G1151" t="s">
        <v>54</v>
      </c>
      <c r="H1151">
        <v>41</v>
      </c>
      <c r="I1151" t="s">
        <v>29</v>
      </c>
      <c r="J1151" t="s">
        <v>30</v>
      </c>
      <c r="K1151">
        <v>3</v>
      </c>
      <c r="L1151" t="s">
        <v>55</v>
      </c>
      <c r="M1151" t="s">
        <v>85</v>
      </c>
      <c r="N1151" t="s">
        <v>33</v>
      </c>
      <c r="O1151">
        <v>40701</v>
      </c>
      <c r="P1151">
        <v>1</v>
      </c>
      <c r="Q1151" t="s">
        <v>34</v>
      </c>
      <c r="R1151" s="1">
        <v>44115</v>
      </c>
      <c r="S1151" t="s">
        <v>34</v>
      </c>
      <c r="T1151">
        <v>2</v>
      </c>
      <c r="U1151">
        <v>1</v>
      </c>
      <c r="V1151">
        <v>1</v>
      </c>
      <c r="W1151">
        <v>1</v>
      </c>
      <c r="X1151" t="s">
        <v>11022</v>
      </c>
      <c r="Y1151" t="s">
        <v>11022</v>
      </c>
      <c r="Z1151" t="str">
        <f>_xlfn.XLOOKUP(Employees[[#This Row],[Education]], EdLevel[EducationLevelID], EdLevel[EducationLevel])</f>
        <v xml:space="preserve">Bachelors </v>
      </c>
      <c r="AA1151">
        <f>IF(Employees[[#This Row],[Attrition]] = "Yes", 1, 0)</f>
        <v>0</v>
      </c>
      <c r="AB1151" t="str" cm="1">
        <f t="array" ref="AB1151">_xlfn.IFS(Employees[[#This Row],[Age]]&lt;30, "20-29", Employees[[#This Row],[Age]]&lt;40, "30-39", Employees[[#This Row],[Age]]&lt;50, "40-49", "TRUE", "50+")</f>
        <v>20-29</v>
      </c>
    </row>
    <row r="1152" spans="1:28">
      <c r="A1152" t="s">
        <v>3400</v>
      </c>
      <c r="B1152" t="s">
        <v>3401</v>
      </c>
      <c r="C1152" t="s">
        <v>3402</v>
      </c>
      <c r="D1152" t="s">
        <v>26</v>
      </c>
      <c r="E1152">
        <v>33</v>
      </c>
      <c r="F1152" t="s">
        <v>27</v>
      </c>
      <c r="G1152" t="s">
        <v>54</v>
      </c>
      <c r="H1152">
        <v>3</v>
      </c>
      <c r="I1152" t="s">
        <v>39</v>
      </c>
      <c r="J1152" t="s">
        <v>30</v>
      </c>
      <c r="K1152">
        <v>4</v>
      </c>
      <c r="L1152" t="s">
        <v>55</v>
      </c>
      <c r="M1152" t="s">
        <v>56</v>
      </c>
      <c r="N1152" t="s">
        <v>40</v>
      </c>
      <c r="O1152">
        <v>307688</v>
      </c>
      <c r="P1152">
        <v>0</v>
      </c>
      <c r="Q1152" t="s">
        <v>34</v>
      </c>
      <c r="R1152" s="1">
        <v>44116</v>
      </c>
      <c r="S1152" t="s">
        <v>34</v>
      </c>
      <c r="T1152">
        <v>2</v>
      </c>
      <c r="U1152">
        <v>2</v>
      </c>
      <c r="V1152">
        <v>2</v>
      </c>
      <c r="W1152">
        <v>0</v>
      </c>
      <c r="X1152" t="s">
        <v>11023</v>
      </c>
      <c r="Y1152" t="s">
        <v>11023</v>
      </c>
      <c r="Z1152" t="str">
        <f>_xlfn.XLOOKUP(Employees[[#This Row],[Education]], EdLevel[EducationLevelID], EdLevel[EducationLevel])</f>
        <v xml:space="preserve">Masters </v>
      </c>
      <c r="AA1152">
        <f>IF(Employees[[#This Row],[Attrition]] = "Yes", 1, 0)</f>
        <v>0</v>
      </c>
      <c r="AB1152" t="str" cm="1">
        <f t="array" ref="AB1152">_xlfn.IFS(Employees[[#This Row],[Age]]&lt;30, "20-29", Employees[[#This Row],[Age]]&lt;40, "30-39", Employees[[#This Row],[Age]]&lt;50, "40-49", "TRUE", "50+")</f>
        <v>30-39</v>
      </c>
    </row>
    <row r="1153" spans="1:28">
      <c r="A1153" t="s">
        <v>3403</v>
      </c>
      <c r="B1153" t="s">
        <v>3404</v>
      </c>
      <c r="C1153" t="s">
        <v>3405</v>
      </c>
      <c r="D1153" t="s">
        <v>38</v>
      </c>
      <c r="E1153">
        <v>23</v>
      </c>
      <c r="F1153" t="s">
        <v>27</v>
      </c>
      <c r="G1153" t="s">
        <v>28</v>
      </c>
      <c r="H1153">
        <v>23</v>
      </c>
      <c r="I1153" t="s">
        <v>65</v>
      </c>
      <c r="J1153" t="s">
        <v>30</v>
      </c>
      <c r="K1153">
        <v>4</v>
      </c>
      <c r="L1153" t="s">
        <v>31</v>
      </c>
      <c r="M1153" t="s">
        <v>32</v>
      </c>
      <c r="N1153" t="s">
        <v>33</v>
      </c>
      <c r="O1153">
        <v>53590</v>
      </c>
      <c r="P1153">
        <v>2</v>
      </c>
      <c r="Q1153" t="s">
        <v>34</v>
      </c>
      <c r="R1153" s="1">
        <v>44117</v>
      </c>
      <c r="S1153" t="s">
        <v>34</v>
      </c>
      <c r="T1153">
        <v>2</v>
      </c>
      <c r="U1153">
        <v>0</v>
      </c>
      <c r="V1153">
        <v>2</v>
      </c>
      <c r="W1153">
        <v>0</v>
      </c>
      <c r="X1153" t="s">
        <v>11023</v>
      </c>
      <c r="Y1153" t="s">
        <v>11023</v>
      </c>
      <c r="Z1153" t="str">
        <f>_xlfn.XLOOKUP(Employees[[#This Row],[Education]], EdLevel[EducationLevelID], EdLevel[EducationLevel])</f>
        <v xml:space="preserve">Masters </v>
      </c>
      <c r="AA1153">
        <f>IF(Employees[[#This Row],[Attrition]] = "Yes", 1, 0)</f>
        <v>0</v>
      </c>
      <c r="AB1153" t="str" cm="1">
        <f t="array" ref="AB1153">_xlfn.IFS(Employees[[#This Row],[Age]]&lt;30, "20-29", Employees[[#This Row],[Age]]&lt;40, "30-39", Employees[[#This Row],[Age]]&lt;50, "40-49", "TRUE", "50+")</f>
        <v>20-29</v>
      </c>
    </row>
    <row r="1154" spans="1:28">
      <c r="A1154" t="s">
        <v>3406</v>
      </c>
      <c r="B1154" t="s">
        <v>3407</v>
      </c>
      <c r="C1154" t="s">
        <v>3408</v>
      </c>
      <c r="D1154" t="s">
        <v>38</v>
      </c>
      <c r="E1154">
        <v>22</v>
      </c>
      <c r="F1154" t="s">
        <v>84</v>
      </c>
      <c r="G1154" t="s">
        <v>54</v>
      </c>
      <c r="H1154">
        <v>2</v>
      </c>
      <c r="I1154" t="s">
        <v>65</v>
      </c>
      <c r="J1154" t="s">
        <v>30</v>
      </c>
      <c r="K1154">
        <v>3</v>
      </c>
      <c r="L1154" t="s">
        <v>178</v>
      </c>
      <c r="M1154" t="s">
        <v>101</v>
      </c>
      <c r="N1154" t="s">
        <v>40</v>
      </c>
      <c r="O1154">
        <v>37014</v>
      </c>
      <c r="P1154">
        <v>0</v>
      </c>
      <c r="Q1154" t="s">
        <v>41</v>
      </c>
      <c r="R1154" s="1">
        <v>44127</v>
      </c>
      <c r="S1154" t="s">
        <v>41</v>
      </c>
      <c r="T1154">
        <v>1</v>
      </c>
      <c r="U1154">
        <v>0</v>
      </c>
      <c r="V1154">
        <v>1</v>
      </c>
      <c r="W1154">
        <v>0</v>
      </c>
      <c r="X1154" t="s">
        <v>11022</v>
      </c>
      <c r="Y1154" t="s">
        <v>11022</v>
      </c>
      <c r="Z1154" t="str">
        <f>_xlfn.XLOOKUP(Employees[[#This Row],[Education]], EdLevel[EducationLevelID], EdLevel[EducationLevel])</f>
        <v xml:space="preserve">Bachelors </v>
      </c>
      <c r="AA1154">
        <f>IF(Employees[[#This Row],[Attrition]] = "Yes", 1, 0)</f>
        <v>1</v>
      </c>
      <c r="AB1154" t="str" cm="1">
        <f t="array" ref="AB1154">_xlfn.IFS(Employees[[#This Row],[Age]]&lt;30, "20-29", Employees[[#This Row],[Age]]&lt;40, "30-39", Employees[[#This Row],[Age]]&lt;50, "40-49", "TRUE", "50+")</f>
        <v>20-29</v>
      </c>
    </row>
    <row r="1155" spans="1:28">
      <c r="A1155" t="s">
        <v>3409</v>
      </c>
      <c r="B1155" t="s">
        <v>2776</v>
      </c>
      <c r="C1155" t="s">
        <v>3410</v>
      </c>
      <c r="D1155" t="s">
        <v>26</v>
      </c>
      <c r="E1155">
        <v>29</v>
      </c>
      <c r="F1155" t="s">
        <v>27</v>
      </c>
      <c r="G1155" t="s">
        <v>54</v>
      </c>
      <c r="H1155">
        <v>32</v>
      </c>
      <c r="I1155" t="s">
        <v>39</v>
      </c>
      <c r="J1155" t="s">
        <v>30</v>
      </c>
      <c r="K1155">
        <v>3</v>
      </c>
      <c r="L1155" t="s">
        <v>55</v>
      </c>
      <c r="M1155" t="s">
        <v>56</v>
      </c>
      <c r="N1155" t="s">
        <v>49</v>
      </c>
      <c r="O1155">
        <v>390142</v>
      </c>
      <c r="P1155">
        <v>0</v>
      </c>
      <c r="Q1155" t="s">
        <v>34</v>
      </c>
      <c r="R1155" s="1">
        <v>44131</v>
      </c>
      <c r="S1155" t="s">
        <v>34</v>
      </c>
      <c r="T1155">
        <v>2</v>
      </c>
      <c r="U1155">
        <v>1</v>
      </c>
      <c r="V1155">
        <v>2</v>
      </c>
      <c r="W1155">
        <v>2</v>
      </c>
      <c r="X1155" t="s">
        <v>11022</v>
      </c>
      <c r="Y1155" t="s">
        <v>11022</v>
      </c>
      <c r="Z1155" t="str">
        <f>_xlfn.XLOOKUP(Employees[[#This Row],[Education]], EdLevel[EducationLevelID], EdLevel[EducationLevel])</f>
        <v xml:space="preserve">Bachelors </v>
      </c>
      <c r="AA1155">
        <f>IF(Employees[[#This Row],[Attrition]] = "Yes", 1, 0)</f>
        <v>0</v>
      </c>
      <c r="AB1155" t="str" cm="1">
        <f t="array" ref="AB1155">_xlfn.IFS(Employees[[#This Row],[Age]]&lt;30, "20-29", Employees[[#This Row],[Age]]&lt;40, "30-39", Employees[[#This Row],[Age]]&lt;50, "40-49", "TRUE", "50+")</f>
        <v>20-29</v>
      </c>
    </row>
    <row r="1156" spans="1:28">
      <c r="A1156" t="s">
        <v>3411</v>
      </c>
      <c r="B1156" t="s">
        <v>3412</v>
      </c>
      <c r="C1156" t="s">
        <v>3413</v>
      </c>
      <c r="D1156" t="s">
        <v>26</v>
      </c>
      <c r="E1156">
        <v>21</v>
      </c>
      <c r="F1156" t="s">
        <v>27</v>
      </c>
      <c r="G1156" t="s">
        <v>54</v>
      </c>
      <c r="H1156">
        <v>6</v>
      </c>
      <c r="I1156" t="s">
        <v>39</v>
      </c>
      <c r="J1156" t="s">
        <v>30</v>
      </c>
      <c r="K1156">
        <v>5</v>
      </c>
      <c r="L1156" t="s">
        <v>178</v>
      </c>
      <c r="M1156" t="s">
        <v>101</v>
      </c>
      <c r="N1156" t="s">
        <v>49</v>
      </c>
      <c r="O1156">
        <v>25149</v>
      </c>
      <c r="P1156">
        <v>0</v>
      </c>
      <c r="Q1156" t="s">
        <v>34</v>
      </c>
      <c r="R1156" s="1">
        <v>44138</v>
      </c>
      <c r="S1156" t="s">
        <v>41</v>
      </c>
      <c r="T1156">
        <v>1</v>
      </c>
      <c r="U1156">
        <v>1</v>
      </c>
      <c r="V1156">
        <v>1</v>
      </c>
      <c r="W1156">
        <v>1</v>
      </c>
      <c r="X1156" t="s">
        <v>11024</v>
      </c>
      <c r="Y1156" t="s">
        <v>11024</v>
      </c>
      <c r="Z1156" t="str">
        <f>_xlfn.XLOOKUP(Employees[[#This Row],[Education]], EdLevel[EducationLevelID], EdLevel[EducationLevel])</f>
        <v>Doctorate</v>
      </c>
      <c r="AA1156">
        <f>IF(Employees[[#This Row],[Attrition]] = "Yes", 1, 0)</f>
        <v>1</v>
      </c>
      <c r="AB1156" t="str" cm="1">
        <f t="array" ref="AB1156">_xlfn.IFS(Employees[[#This Row],[Age]]&lt;30, "20-29", Employees[[#This Row],[Age]]&lt;40, "30-39", Employees[[#This Row],[Age]]&lt;50, "40-49", "TRUE", "50+")</f>
        <v>20-29</v>
      </c>
    </row>
    <row r="1157" spans="1:28">
      <c r="A1157" t="s">
        <v>3414</v>
      </c>
      <c r="B1157" t="s">
        <v>3415</v>
      </c>
      <c r="C1157" t="s">
        <v>3416</v>
      </c>
      <c r="D1157" t="s">
        <v>38</v>
      </c>
      <c r="E1157">
        <v>23</v>
      </c>
      <c r="F1157" t="s">
        <v>27</v>
      </c>
      <c r="G1157" t="s">
        <v>54</v>
      </c>
      <c r="H1157">
        <v>17</v>
      </c>
      <c r="I1157" t="s">
        <v>65</v>
      </c>
      <c r="J1157" t="s">
        <v>30</v>
      </c>
      <c r="K1157">
        <v>3</v>
      </c>
      <c r="L1157" t="s">
        <v>72</v>
      </c>
      <c r="M1157" t="s">
        <v>93</v>
      </c>
      <c r="N1157" t="s">
        <v>49</v>
      </c>
      <c r="O1157">
        <v>80236</v>
      </c>
      <c r="P1157">
        <v>0</v>
      </c>
      <c r="Q1157" t="s">
        <v>34</v>
      </c>
      <c r="R1157" s="1">
        <v>44138</v>
      </c>
      <c r="S1157" t="s">
        <v>34</v>
      </c>
      <c r="T1157">
        <v>2</v>
      </c>
      <c r="U1157">
        <v>0</v>
      </c>
      <c r="V1157">
        <v>2</v>
      </c>
      <c r="W1157">
        <v>1</v>
      </c>
      <c r="X1157" t="s">
        <v>11022</v>
      </c>
      <c r="Y1157" t="s">
        <v>11022</v>
      </c>
      <c r="Z1157" t="str">
        <f>_xlfn.XLOOKUP(Employees[[#This Row],[Education]], EdLevel[EducationLevelID], EdLevel[EducationLevel])</f>
        <v xml:space="preserve">Bachelors </v>
      </c>
      <c r="AA1157">
        <f>IF(Employees[[#This Row],[Attrition]] = "Yes", 1, 0)</f>
        <v>0</v>
      </c>
      <c r="AB1157" t="str" cm="1">
        <f t="array" ref="AB1157">_xlfn.IFS(Employees[[#This Row],[Age]]&lt;30, "20-29", Employees[[#This Row],[Age]]&lt;40, "30-39", Employees[[#This Row],[Age]]&lt;50, "40-49", "TRUE", "50+")</f>
        <v>20-29</v>
      </c>
    </row>
    <row r="1158" spans="1:28">
      <c r="A1158" t="s">
        <v>3417</v>
      </c>
      <c r="B1158" t="s">
        <v>3418</v>
      </c>
      <c r="C1158" t="s">
        <v>3419</v>
      </c>
      <c r="D1158" t="s">
        <v>26</v>
      </c>
      <c r="E1158">
        <v>20</v>
      </c>
      <c r="F1158" t="s">
        <v>27</v>
      </c>
      <c r="G1158" t="s">
        <v>54</v>
      </c>
      <c r="H1158">
        <v>30</v>
      </c>
      <c r="I1158" t="s">
        <v>39</v>
      </c>
      <c r="J1158" t="s">
        <v>30</v>
      </c>
      <c r="K1158">
        <v>2</v>
      </c>
      <c r="L1158" t="s">
        <v>72</v>
      </c>
      <c r="M1158" t="s">
        <v>85</v>
      </c>
      <c r="N1158" t="s">
        <v>33</v>
      </c>
      <c r="O1158">
        <v>41179</v>
      </c>
      <c r="P1158">
        <v>1</v>
      </c>
      <c r="Q1158" t="s">
        <v>34</v>
      </c>
      <c r="R1158" s="1">
        <v>44139</v>
      </c>
      <c r="S1158" t="s">
        <v>34</v>
      </c>
      <c r="T1158">
        <v>2</v>
      </c>
      <c r="U1158">
        <v>0</v>
      </c>
      <c r="V1158">
        <v>0</v>
      </c>
      <c r="W1158">
        <v>0</v>
      </c>
      <c r="X1158" t="s">
        <v>11021</v>
      </c>
      <c r="Y1158" t="s">
        <v>11021</v>
      </c>
      <c r="Z1158" t="str">
        <f>_xlfn.XLOOKUP(Employees[[#This Row],[Education]], EdLevel[EducationLevelID], EdLevel[EducationLevel])</f>
        <v xml:space="preserve">High School </v>
      </c>
      <c r="AA1158">
        <f>IF(Employees[[#This Row],[Attrition]] = "Yes", 1, 0)</f>
        <v>0</v>
      </c>
      <c r="AB1158" t="str" cm="1">
        <f t="array" ref="AB1158">_xlfn.IFS(Employees[[#This Row],[Age]]&lt;30, "20-29", Employees[[#This Row],[Age]]&lt;40, "30-39", Employees[[#This Row],[Age]]&lt;50, "40-49", "TRUE", "50+")</f>
        <v>20-29</v>
      </c>
    </row>
    <row r="1159" spans="1:28">
      <c r="A1159" t="s">
        <v>3420</v>
      </c>
      <c r="B1159" t="s">
        <v>24</v>
      </c>
      <c r="C1159" t="s">
        <v>3421</v>
      </c>
      <c r="D1159" t="s">
        <v>53</v>
      </c>
      <c r="E1159">
        <v>33</v>
      </c>
      <c r="F1159" t="s">
        <v>27</v>
      </c>
      <c r="G1159" t="s">
        <v>54</v>
      </c>
      <c r="H1159">
        <v>4</v>
      </c>
      <c r="I1159" t="s">
        <v>29</v>
      </c>
      <c r="J1159" t="s">
        <v>30</v>
      </c>
      <c r="K1159">
        <v>2</v>
      </c>
      <c r="L1159" t="s">
        <v>72</v>
      </c>
      <c r="M1159" t="s">
        <v>182</v>
      </c>
      <c r="N1159" t="s">
        <v>49</v>
      </c>
      <c r="O1159">
        <v>350024</v>
      </c>
      <c r="P1159">
        <v>1</v>
      </c>
      <c r="Q1159" t="s">
        <v>34</v>
      </c>
      <c r="R1159" s="1">
        <v>44139</v>
      </c>
      <c r="S1159" t="s">
        <v>34</v>
      </c>
      <c r="T1159">
        <v>2</v>
      </c>
      <c r="U1159">
        <v>1</v>
      </c>
      <c r="V1159">
        <v>2</v>
      </c>
      <c r="W1159">
        <v>0</v>
      </c>
      <c r="X1159" t="s">
        <v>11021</v>
      </c>
      <c r="Y1159" t="s">
        <v>11021</v>
      </c>
      <c r="Z1159" t="str">
        <f>_xlfn.XLOOKUP(Employees[[#This Row],[Education]], EdLevel[EducationLevelID], EdLevel[EducationLevel])</f>
        <v xml:space="preserve">High School </v>
      </c>
      <c r="AA1159">
        <f>IF(Employees[[#This Row],[Attrition]] = "Yes", 1, 0)</f>
        <v>0</v>
      </c>
      <c r="AB1159" t="str" cm="1">
        <f t="array" ref="AB1159">_xlfn.IFS(Employees[[#This Row],[Age]]&lt;30, "20-29", Employees[[#This Row],[Age]]&lt;40, "30-39", Employees[[#This Row],[Age]]&lt;50, "40-49", "TRUE", "50+")</f>
        <v>30-39</v>
      </c>
    </row>
    <row r="1160" spans="1:28">
      <c r="A1160" t="s">
        <v>3422</v>
      </c>
      <c r="B1160" t="s">
        <v>3423</v>
      </c>
      <c r="C1160" t="s">
        <v>3424</v>
      </c>
      <c r="D1160" t="s">
        <v>26</v>
      </c>
      <c r="E1160">
        <v>22</v>
      </c>
      <c r="F1160" t="s">
        <v>27</v>
      </c>
      <c r="G1160" t="s">
        <v>54</v>
      </c>
      <c r="H1160">
        <v>21</v>
      </c>
      <c r="I1160" t="s">
        <v>65</v>
      </c>
      <c r="J1160" t="s">
        <v>30</v>
      </c>
      <c r="K1160">
        <v>3</v>
      </c>
      <c r="L1160" t="s">
        <v>77</v>
      </c>
      <c r="M1160" t="s">
        <v>85</v>
      </c>
      <c r="N1160" t="s">
        <v>40</v>
      </c>
      <c r="O1160">
        <v>33354</v>
      </c>
      <c r="P1160">
        <v>0</v>
      </c>
      <c r="Q1160" t="s">
        <v>34</v>
      </c>
      <c r="R1160" s="1">
        <v>44143</v>
      </c>
      <c r="S1160" t="s">
        <v>34</v>
      </c>
      <c r="T1160">
        <v>2</v>
      </c>
      <c r="U1160">
        <v>1</v>
      </c>
      <c r="V1160">
        <v>2</v>
      </c>
      <c r="W1160">
        <v>2</v>
      </c>
      <c r="X1160" t="s">
        <v>11022</v>
      </c>
      <c r="Y1160" t="s">
        <v>11022</v>
      </c>
      <c r="Z1160" t="str">
        <f>_xlfn.XLOOKUP(Employees[[#This Row],[Education]], EdLevel[EducationLevelID], EdLevel[EducationLevel])</f>
        <v xml:space="preserve">Bachelors </v>
      </c>
      <c r="AA1160">
        <f>IF(Employees[[#This Row],[Attrition]] = "Yes", 1, 0)</f>
        <v>0</v>
      </c>
      <c r="AB1160" t="str" cm="1">
        <f t="array" ref="AB1160">_xlfn.IFS(Employees[[#This Row],[Age]]&lt;30, "20-29", Employees[[#This Row],[Age]]&lt;40, "30-39", Employees[[#This Row],[Age]]&lt;50, "40-49", "TRUE", "50+")</f>
        <v>20-29</v>
      </c>
    </row>
    <row r="1161" spans="1:28">
      <c r="A1161" t="s">
        <v>3425</v>
      </c>
      <c r="B1161" t="s">
        <v>3426</v>
      </c>
      <c r="C1161" t="s">
        <v>3427</v>
      </c>
      <c r="D1161" t="s">
        <v>38</v>
      </c>
      <c r="E1161">
        <v>21</v>
      </c>
      <c r="F1161" t="s">
        <v>84</v>
      </c>
      <c r="G1161" t="s">
        <v>28</v>
      </c>
      <c r="H1161">
        <v>36</v>
      </c>
      <c r="I1161" t="s">
        <v>29</v>
      </c>
      <c r="J1161" t="s">
        <v>30</v>
      </c>
      <c r="K1161">
        <v>4</v>
      </c>
      <c r="L1161" t="s">
        <v>77</v>
      </c>
      <c r="M1161" t="s">
        <v>32</v>
      </c>
      <c r="N1161" t="s">
        <v>40</v>
      </c>
      <c r="O1161">
        <v>46452</v>
      </c>
      <c r="P1161">
        <v>0</v>
      </c>
      <c r="Q1161" t="s">
        <v>41</v>
      </c>
      <c r="R1161" s="1">
        <v>44143</v>
      </c>
      <c r="S1161" t="s">
        <v>41</v>
      </c>
      <c r="T1161">
        <v>1</v>
      </c>
      <c r="U1161">
        <v>1</v>
      </c>
      <c r="V1161">
        <v>1</v>
      </c>
      <c r="W1161">
        <v>0</v>
      </c>
      <c r="X1161" t="s">
        <v>11023</v>
      </c>
      <c r="Y1161" t="s">
        <v>11023</v>
      </c>
      <c r="Z1161" t="str">
        <f>_xlfn.XLOOKUP(Employees[[#This Row],[Education]], EdLevel[EducationLevelID], EdLevel[EducationLevel])</f>
        <v xml:space="preserve">Masters </v>
      </c>
      <c r="AA1161">
        <f>IF(Employees[[#This Row],[Attrition]] = "Yes", 1, 0)</f>
        <v>1</v>
      </c>
      <c r="AB1161" t="str" cm="1">
        <f t="array" ref="AB1161">_xlfn.IFS(Employees[[#This Row],[Age]]&lt;30, "20-29", Employees[[#This Row],[Age]]&lt;40, "30-39", Employees[[#This Row],[Age]]&lt;50, "40-49", "TRUE", "50+")</f>
        <v>20-29</v>
      </c>
    </row>
    <row r="1162" spans="1:28">
      <c r="A1162" t="s">
        <v>3428</v>
      </c>
      <c r="B1162" t="s">
        <v>3429</v>
      </c>
      <c r="C1162" t="s">
        <v>3430</v>
      </c>
      <c r="D1162" t="s">
        <v>38</v>
      </c>
      <c r="E1162">
        <v>22</v>
      </c>
      <c r="F1162" t="s">
        <v>27</v>
      </c>
      <c r="G1162" t="s">
        <v>54</v>
      </c>
      <c r="H1162">
        <v>24</v>
      </c>
      <c r="I1162" t="s">
        <v>39</v>
      </c>
      <c r="J1162" t="s">
        <v>30</v>
      </c>
      <c r="K1162">
        <v>3</v>
      </c>
      <c r="L1162" t="s">
        <v>72</v>
      </c>
      <c r="M1162" t="s">
        <v>101</v>
      </c>
      <c r="N1162" t="s">
        <v>49</v>
      </c>
      <c r="O1162">
        <v>44076</v>
      </c>
      <c r="P1162">
        <v>1</v>
      </c>
      <c r="Q1162" t="s">
        <v>34</v>
      </c>
      <c r="R1162" s="1">
        <v>44143</v>
      </c>
      <c r="S1162" t="s">
        <v>34</v>
      </c>
      <c r="T1162">
        <v>2</v>
      </c>
      <c r="U1162">
        <v>1</v>
      </c>
      <c r="V1162">
        <v>1</v>
      </c>
      <c r="W1162">
        <v>1</v>
      </c>
      <c r="X1162" t="s">
        <v>11022</v>
      </c>
      <c r="Y1162" t="s">
        <v>11022</v>
      </c>
      <c r="Z1162" t="str">
        <f>_xlfn.XLOOKUP(Employees[[#This Row],[Education]], EdLevel[EducationLevelID], EdLevel[EducationLevel])</f>
        <v xml:space="preserve">Bachelors </v>
      </c>
      <c r="AA1162">
        <f>IF(Employees[[#This Row],[Attrition]] = "Yes", 1, 0)</f>
        <v>0</v>
      </c>
      <c r="AB1162" t="str" cm="1">
        <f t="array" ref="AB1162">_xlfn.IFS(Employees[[#This Row],[Age]]&lt;30, "20-29", Employees[[#This Row],[Age]]&lt;40, "30-39", Employees[[#This Row],[Age]]&lt;50, "40-49", "TRUE", "50+")</f>
        <v>20-29</v>
      </c>
    </row>
    <row r="1163" spans="1:28">
      <c r="A1163" t="s">
        <v>3431</v>
      </c>
      <c r="B1163" t="s">
        <v>3432</v>
      </c>
      <c r="C1163" t="s">
        <v>3433</v>
      </c>
      <c r="D1163" t="s">
        <v>26</v>
      </c>
      <c r="E1163">
        <v>28</v>
      </c>
      <c r="F1163" t="s">
        <v>27</v>
      </c>
      <c r="G1163" t="s">
        <v>45</v>
      </c>
      <c r="H1163">
        <v>31</v>
      </c>
      <c r="I1163" t="s">
        <v>65</v>
      </c>
      <c r="J1163" t="s">
        <v>30</v>
      </c>
      <c r="K1163">
        <v>3</v>
      </c>
      <c r="L1163" t="s">
        <v>45</v>
      </c>
      <c r="M1163" t="s">
        <v>207</v>
      </c>
      <c r="N1163" t="s">
        <v>49</v>
      </c>
      <c r="O1163">
        <v>96807</v>
      </c>
      <c r="P1163">
        <v>1</v>
      </c>
      <c r="Q1163" t="s">
        <v>34</v>
      </c>
      <c r="R1163" s="1">
        <v>44147</v>
      </c>
      <c r="S1163" t="s">
        <v>34</v>
      </c>
      <c r="T1163">
        <v>2</v>
      </c>
      <c r="U1163">
        <v>1</v>
      </c>
      <c r="V1163">
        <v>2</v>
      </c>
      <c r="W1163">
        <v>0</v>
      </c>
      <c r="X1163" t="s">
        <v>11022</v>
      </c>
      <c r="Y1163" t="s">
        <v>11022</v>
      </c>
      <c r="Z1163" t="str">
        <f>_xlfn.XLOOKUP(Employees[[#This Row],[Education]], EdLevel[EducationLevelID], EdLevel[EducationLevel])</f>
        <v xml:space="preserve">Bachelors </v>
      </c>
      <c r="AA1163">
        <f>IF(Employees[[#This Row],[Attrition]] = "Yes", 1, 0)</f>
        <v>0</v>
      </c>
      <c r="AB1163" t="str" cm="1">
        <f t="array" ref="AB1163">_xlfn.IFS(Employees[[#This Row],[Age]]&lt;30, "20-29", Employees[[#This Row],[Age]]&lt;40, "30-39", Employees[[#This Row],[Age]]&lt;50, "40-49", "TRUE", "50+")</f>
        <v>20-29</v>
      </c>
    </row>
    <row r="1164" spans="1:28">
      <c r="A1164" t="s">
        <v>3434</v>
      </c>
      <c r="B1164" t="s">
        <v>1288</v>
      </c>
      <c r="C1164" t="s">
        <v>3435</v>
      </c>
      <c r="D1164" t="s">
        <v>38</v>
      </c>
      <c r="E1164">
        <v>21</v>
      </c>
      <c r="F1164" t="s">
        <v>27</v>
      </c>
      <c r="G1164" t="s">
        <v>54</v>
      </c>
      <c r="H1164">
        <v>24</v>
      </c>
      <c r="I1164" t="s">
        <v>65</v>
      </c>
      <c r="J1164" t="s">
        <v>30</v>
      </c>
      <c r="K1164">
        <v>3</v>
      </c>
      <c r="L1164" t="s">
        <v>72</v>
      </c>
      <c r="M1164" t="s">
        <v>93</v>
      </c>
      <c r="N1164" t="s">
        <v>33</v>
      </c>
      <c r="O1164">
        <v>75816</v>
      </c>
      <c r="P1164">
        <v>1</v>
      </c>
      <c r="Q1164" t="s">
        <v>34</v>
      </c>
      <c r="R1164" s="1">
        <v>44150</v>
      </c>
      <c r="S1164" t="s">
        <v>34</v>
      </c>
      <c r="T1164">
        <v>2</v>
      </c>
      <c r="U1164">
        <v>1</v>
      </c>
      <c r="V1164">
        <v>1</v>
      </c>
      <c r="W1164">
        <v>0</v>
      </c>
      <c r="X1164" t="s">
        <v>11022</v>
      </c>
      <c r="Y1164" t="s">
        <v>11022</v>
      </c>
      <c r="Z1164" t="str">
        <f>_xlfn.XLOOKUP(Employees[[#This Row],[Education]], EdLevel[EducationLevelID], EdLevel[EducationLevel])</f>
        <v xml:space="preserve">Bachelors </v>
      </c>
      <c r="AA1164">
        <f>IF(Employees[[#This Row],[Attrition]] = "Yes", 1, 0)</f>
        <v>0</v>
      </c>
      <c r="AB1164" t="str" cm="1">
        <f t="array" ref="AB1164">_xlfn.IFS(Employees[[#This Row],[Age]]&lt;30, "20-29", Employees[[#This Row],[Age]]&lt;40, "30-39", Employees[[#This Row],[Age]]&lt;50, "40-49", "TRUE", "50+")</f>
        <v>20-29</v>
      </c>
    </row>
    <row r="1165" spans="1:28">
      <c r="A1165" t="s">
        <v>3436</v>
      </c>
      <c r="B1165" t="s">
        <v>3437</v>
      </c>
      <c r="C1165" t="s">
        <v>3438</v>
      </c>
      <c r="D1165" t="s">
        <v>38</v>
      </c>
      <c r="E1165">
        <v>22</v>
      </c>
      <c r="F1165" t="s">
        <v>27</v>
      </c>
      <c r="G1165" t="s">
        <v>54</v>
      </c>
      <c r="H1165">
        <v>40</v>
      </c>
      <c r="I1165" t="s">
        <v>65</v>
      </c>
      <c r="J1165" t="s">
        <v>30</v>
      </c>
      <c r="K1165">
        <v>3</v>
      </c>
      <c r="L1165" t="s">
        <v>72</v>
      </c>
      <c r="M1165" t="s">
        <v>105</v>
      </c>
      <c r="N1165" t="s">
        <v>49</v>
      </c>
      <c r="O1165">
        <v>54114</v>
      </c>
      <c r="P1165">
        <v>1</v>
      </c>
      <c r="Q1165" t="s">
        <v>41</v>
      </c>
      <c r="R1165" s="1">
        <v>44153</v>
      </c>
      <c r="S1165" t="s">
        <v>34</v>
      </c>
      <c r="T1165">
        <v>2</v>
      </c>
      <c r="U1165">
        <v>0</v>
      </c>
      <c r="V1165">
        <v>1</v>
      </c>
      <c r="W1165">
        <v>1</v>
      </c>
      <c r="X1165" t="s">
        <v>11022</v>
      </c>
      <c r="Y1165" t="s">
        <v>11022</v>
      </c>
      <c r="Z1165" t="str">
        <f>_xlfn.XLOOKUP(Employees[[#This Row],[Education]], EdLevel[EducationLevelID], EdLevel[EducationLevel])</f>
        <v xml:space="preserve">Bachelors </v>
      </c>
      <c r="AA1165">
        <f>IF(Employees[[#This Row],[Attrition]] = "Yes", 1, 0)</f>
        <v>0</v>
      </c>
      <c r="AB1165" t="str" cm="1">
        <f t="array" ref="AB1165">_xlfn.IFS(Employees[[#This Row],[Age]]&lt;30, "20-29", Employees[[#This Row],[Age]]&lt;40, "30-39", Employees[[#This Row],[Age]]&lt;50, "40-49", "TRUE", "50+")</f>
        <v>20-29</v>
      </c>
    </row>
    <row r="1166" spans="1:28">
      <c r="A1166" t="s">
        <v>3439</v>
      </c>
      <c r="B1166" t="s">
        <v>3440</v>
      </c>
      <c r="C1166" t="s">
        <v>3441</v>
      </c>
      <c r="D1166" t="s">
        <v>26</v>
      </c>
      <c r="E1166">
        <v>21</v>
      </c>
      <c r="F1166" t="s">
        <v>27</v>
      </c>
      <c r="G1166" t="s">
        <v>28</v>
      </c>
      <c r="H1166">
        <v>18</v>
      </c>
      <c r="I1166" t="s">
        <v>29</v>
      </c>
      <c r="J1166" t="s">
        <v>30</v>
      </c>
      <c r="K1166">
        <v>4</v>
      </c>
      <c r="L1166" t="s">
        <v>121</v>
      </c>
      <c r="M1166" t="s">
        <v>32</v>
      </c>
      <c r="N1166" t="s">
        <v>40</v>
      </c>
      <c r="O1166">
        <v>49374</v>
      </c>
      <c r="P1166">
        <v>0</v>
      </c>
      <c r="Q1166" t="s">
        <v>34</v>
      </c>
      <c r="R1166" s="1">
        <v>44154</v>
      </c>
      <c r="S1166" t="s">
        <v>34</v>
      </c>
      <c r="T1166">
        <v>2</v>
      </c>
      <c r="U1166">
        <v>2</v>
      </c>
      <c r="V1166">
        <v>2</v>
      </c>
      <c r="W1166">
        <v>1</v>
      </c>
      <c r="X1166" t="s">
        <v>11023</v>
      </c>
      <c r="Y1166" t="s">
        <v>11023</v>
      </c>
      <c r="Z1166" t="str">
        <f>_xlfn.XLOOKUP(Employees[[#This Row],[Education]], EdLevel[EducationLevelID], EdLevel[EducationLevel])</f>
        <v xml:space="preserve">Masters </v>
      </c>
      <c r="AA1166">
        <f>IF(Employees[[#This Row],[Attrition]] = "Yes", 1, 0)</f>
        <v>0</v>
      </c>
      <c r="AB1166" t="str" cm="1">
        <f t="array" ref="AB1166">_xlfn.IFS(Employees[[#This Row],[Age]]&lt;30, "20-29", Employees[[#This Row],[Age]]&lt;40, "30-39", Employees[[#This Row],[Age]]&lt;50, "40-49", "TRUE", "50+")</f>
        <v>20-29</v>
      </c>
    </row>
    <row r="1167" spans="1:28">
      <c r="A1167" t="s">
        <v>3442</v>
      </c>
      <c r="B1167" t="s">
        <v>3443</v>
      </c>
      <c r="C1167" t="s">
        <v>3444</v>
      </c>
      <c r="D1167" t="s">
        <v>38</v>
      </c>
      <c r="E1167">
        <v>30</v>
      </c>
      <c r="F1167" t="s">
        <v>27</v>
      </c>
      <c r="G1167" t="s">
        <v>54</v>
      </c>
      <c r="H1167">
        <v>19</v>
      </c>
      <c r="I1167" t="s">
        <v>29</v>
      </c>
      <c r="J1167" t="s">
        <v>30</v>
      </c>
      <c r="K1167">
        <v>4</v>
      </c>
      <c r="L1167" t="s">
        <v>178</v>
      </c>
      <c r="M1167" t="s">
        <v>85</v>
      </c>
      <c r="N1167" t="s">
        <v>40</v>
      </c>
      <c r="O1167">
        <v>96187</v>
      </c>
      <c r="P1167">
        <v>0</v>
      </c>
      <c r="Q1167" t="s">
        <v>41</v>
      </c>
      <c r="R1167" s="1">
        <v>44154</v>
      </c>
      <c r="S1167" t="s">
        <v>41</v>
      </c>
      <c r="T1167">
        <v>0</v>
      </c>
      <c r="U1167">
        <v>0</v>
      </c>
      <c r="V1167">
        <v>0</v>
      </c>
      <c r="W1167">
        <v>0</v>
      </c>
      <c r="X1167" t="s">
        <v>11023</v>
      </c>
      <c r="Y1167" t="s">
        <v>11023</v>
      </c>
      <c r="Z1167" t="str">
        <f>_xlfn.XLOOKUP(Employees[[#This Row],[Education]], EdLevel[EducationLevelID], EdLevel[EducationLevel])</f>
        <v xml:space="preserve">Masters </v>
      </c>
      <c r="AA1167">
        <f>IF(Employees[[#This Row],[Attrition]] = "Yes", 1, 0)</f>
        <v>1</v>
      </c>
      <c r="AB1167" t="str" cm="1">
        <f t="array" ref="AB1167">_xlfn.IFS(Employees[[#This Row],[Age]]&lt;30, "20-29", Employees[[#This Row],[Age]]&lt;40, "30-39", Employees[[#This Row],[Age]]&lt;50, "40-49", "TRUE", "50+")</f>
        <v>30-39</v>
      </c>
    </row>
    <row r="1168" spans="1:28">
      <c r="A1168" t="s">
        <v>3445</v>
      </c>
      <c r="B1168" t="s">
        <v>3446</v>
      </c>
      <c r="C1168" t="s">
        <v>3447</v>
      </c>
      <c r="D1168" t="s">
        <v>38</v>
      </c>
      <c r="E1168">
        <v>23</v>
      </c>
      <c r="F1168" t="s">
        <v>27</v>
      </c>
      <c r="G1168" t="s">
        <v>54</v>
      </c>
      <c r="H1168">
        <v>4</v>
      </c>
      <c r="I1168" t="s">
        <v>65</v>
      </c>
      <c r="J1168" t="s">
        <v>30</v>
      </c>
      <c r="K1168">
        <v>4</v>
      </c>
      <c r="L1168" t="s">
        <v>55</v>
      </c>
      <c r="M1168" t="s">
        <v>101</v>
      </c>
      <c r="N1168" t="s">
        <v>33</v>
      </c>
      <c r="O1168">
        <v>42687</v>
      </c>
      <c r="P1168">
        <v>3</v>
      </c>
      <c r="Q1168" t="s">
        <v>41</v>
      </c>
      <c r="R1168" s="1">
        <v>44156</v>
      </c>
      <c r="S1168" t="s">
        <v>34</v>
      </c>
      <c r="T1168">
        <v>2</v>
      </c>
      <c r="U1168">
        <v>2</v>
      </c>
      <c r="V1168">
        <v>2</v>
      </c>
      <c r="W1168">
        <v>2</v>
      </c>
      <c r="X1168" t="s">
        <v>11023</v>
      </c>
      <c r="Y1168" t="s">
        <v>11023</v>
      </c>
      <c r="Z1168" t="str">
        <f>_xlfn.XLOOKUP(Employees[[#This Row],[Education]], EdLevel[EducationLevelID], EdLevel[EducationLevel])</f>
        <v xml:space="preserve">Masters </v>
      </c>
      <c r="AA1168">
        <f>IF(Employees[[#This Row],[Attrition]] = "Yes", 1, 0)</f>
        <v>0</v>
      </c>
      <c r="AB1168" t="str" cm="1">
        <f t="array" ref="AB1168">_xlfn.IFS(Employees[[#This Row],[Age]]&lt;30, "20-29", Employees[[#This Row],[Age]]&lt;40, "30-39", Employees[[#This Row],[Age]]&lt;50, "40-49", "TRUE", "50+")</f>
        <v>20-29</v>
      </c>
    </row>
    <row r="1169" spans="1:28">
      <c r="A1169" t="s">
        <v>3448</v>
      </c>
      <c r="B1169" t="s">
        <v>3449</v>
      </c>
      <c r="C1169" t="s">
        <v>3450</v>
      </c>
      <c r="D1169" t="s">
        <v>26</v>
      </c>
      <c r="E1169">
        <v>39</v>
      </c>
      <c r="F1169" t="s">
        <v>27</v>
      </c>
      <c r="G1169" t="s">
        <v>54</v>
      </c>
      <c r="H1169">
        <v>42</v>
      </c>
      <c r="I1169" t="s">
        <v>39</v>
      </c>
      <c r="J1169" t="s">
        <v>30</v>
      </c>
      <c r="K1169">
        <v>4</v>
      </c>
      <c r="L1169" t="s">
        <v>55</v>
      </c>
      <c r="M1169" t="s">
        <v>56</v>
      </c>
      <c r="N1169" t="s">
        <v>40</v>
      </c>
      <c r="O1169">
        <v>539998</v>
      </c>
      <c r="P1169">
        <v>0</v>
      </c>
      <c r="Q1169" t="s">
        <v>41</v>
      </c>
      <c r="R1169" s="1">
        <v>44157</v>
      </c>
      <c r="S1169" t="s">
        <v>41</v>
      </c>
      <c r="T1169">
        <v>1</v>
      </c>
      <c r="U1169">
        <v>0</v>
      </c>
      <c r="V1169">
        <v>0</v>
      </c>
      <c r="W1169">
        <v>0</v>
      </c>
      <c r="X1169" t="s">
        <v>11023</v>
      </c>
      <c r="Y1169" t="s">
        <v>11023</v>
      </c>
      <c r="Z1169" t="str">
        <f>_xlfn.XLOOKUP(Employees[[#This Row],[Education]], EdLevel[EducationLevelID], EdLevel[EducationLevel])</f>
        <v xml:space="preserve">Masters </v>
      </c>
      <c r="AA1169">
        <f>IF(Employees[[#This Row],[Attrition]] = "Yes", 1, 0)</f>
        <v>1</v>
      </c>
      <c r="AB1169" t="str" cm="1">
        <f t="array" ref="AB1169">_xlfn.IFS(Employees[[#This Row],[Age]]&lt;30, "20-29", Employees[[#This Row],[Age]]&lt;40, "30-39", Employees[[#This Row],[Age]]&lt;50, "40-49", "TRUE", "50+")</f>
        <v>30-39</v>
      </c>
    </row>
    <row r="1170" spans="1:28">
      <c r="A1170" t="s">
        <v>3451</v>
      </c>
      <c r="B1170" t="s">
        <v>3452</v>
      </c>
      <c r="C1170" t="s">
        <v>3453</v>
      </c>
      <c r="D1170" t="s">
        <v>26</v>
      </c>
      <c r="E1170">
        <v>22</v>
      </c>
      <c r="F1170" t="s">
        <v>27</v>
      </c>
      <c r="G1170" t="s">
        <v>45</v>
      </c>
      <c r="H1170">
        <v>11</v>
      </c>
      <c r="I1170" t="s">
        <v>65</v>
      </c>
      <c r="J1170" t="s">
        <v>30</v>
      </c>
      <c r="K1170">
        <v>3</v>
      </c>
      <c r="L1170" t="s">
        <v>47</v>
      </c>
      <c r="M1170" t="s">
        <v>61</v>
      </c>
      <c r="N1170" t="s">
        <v>49</v>
      </c>
      <c r="O1170">
        <v>26880</v>
      </c>
      <c r="P1170">
        <v>0</v>
      </c>
      <c r="Q1170" t="s">
        <v>34</v>
      </c>
      <c r="R1170" s="1">
        <v>44175</v>
      </c>
      <c r="S1170" t="s">
        <v>34</v>
      </c>
      <c r="T1170">
        <v>2</v>
      </c>
      <c r="U1170">
        <v>2</v>
      </c>
      <c r="V1170">
        <v>2</v>
      </c>
      <c r="W1170">
        <v>1</v>
      </c>
      <c r="X1170" t="s">
        <v>11022</v>
      </c>
      <c r="Y1170" t="s">
        <v>11022</v>
      </c>
      <c r="Z1170" t="str">
        <f>_xlfn.XLOOKUP(Employees[[#This Row],[Education]], EdLevel[EducationLevelID], EdLevel[EducationLevel])</f>
        <v xml:space="preserve">Bachelors </v>
      </c>
      <c r="AA1170">
        <f>IF(Employees[[#This Row],[Attrition]] = "Yes", 1, 0)</f>
        <v>0</v>
      </c>
      <c r="AB1170" t="str" cm="1">
        <f t="array" ref="AB1170">_xlfn.IFS(Employees[[#This Row],[Age]]&lt;30, "20-29", Employees[[#This Row],[Age]]&lt;40, "30-39", Employees[[#This Row],[Age]]&lt;50, "40-49", "TRUE", "50+")</f>
        <v>20-29</v>
      </c>
    </row>
    <row r="1171" spans="1:28">
      <c r="A1171" t="s">
        <v>3454</v>
      </c>
      <c r="B1171" t="s">
        <v>3455</v>
      </c>
      <c r="C1171" t="s">
        <v>3456</v>
      </c>
      <c r="D1171" t="s">
        <v>38</v>
      </c>
      <c r="E1171">
        <v>21</v>
      </c>
      <c r="F1171" t="s">
        <v>27</v>
      </c>
      <c r="G1171" t="s">
        <v>54</v>
      </c>
      <c r="H1171">
        <v>23</v>
      </c>
      <c r="I1171" t="s">
        <v>39</v>
      </c>
      <c r="J1171" t="s">
        <v>30</v>
      </c>
      <c r="K1171">
        <v>2</v>
      </c>
      <c r="L1171" t="s">
        <v>72</v>
      </c>
      <c r="M1171" t="s">
        <v>93</v>
      </c>
      <c r="N1171" t="s">
        <v>33</v>
      </c>
      <c r="O1171">
        <v>56541</v>
      </c>
      <c r="P1171">
        <v>2</v>
      </c>
      <c r="Q1171" t="s">
        <v>34</v>
      </c>
      <c r="R1171" s="1">
        <v>44175</v>
      </c>
      <c r="S1171" t="s">
        <v>34</v>
      </c>
      <c r="T1171">
        <v>2</v>
      </c>
      <c r="U1171">
        <v>0</v>
      </c>
      <c r="V1171">
        <v>1</v>
      </c>
      <c r="W1171">
        <v>0</v>
      </c>
      <c r="X1171" t="s">
        <v>11021</v>
      </c>
      <c r="Y1171" t="s">
        <v>11021</v>
      </c>
      <c r="Z1171" t="str">
        <f>_xlfn.XLOOKUP(Employees[[#This Row],[Education]], EdLevel[EducationLevelID], EdLevel[EducationLevel])</f>
        <v xml:space="preserve">High School </v>
      </c>
      <c r="AA1171">
        <f>IF(Employees[[#This Row],[Attrition]] = "Yes", 1, 0)</f>
        <v>0</v>
      </c>
      <c r="AB1171" t="str" cm="1">
        <f t="array" ref="AB1171">_xlfn.IFS(Employees[[#This Row],[Age]]&lt;30, "20-29", Employees[[#This Row],[Age]]&lt;40, "30-39", Employees[[#This Row],[Age]]&lt;50, "40-49", "TRUE", "50+")</f>
        <v>20-29</v>
      </c>
    </row>
    <row r="1172" spans="1:28">
      <c r="A1172" t="s">
        <v>3457</v>
      </c>
      <c r="B1172" t="s">
        <v>3458</v>
      </c>
      <c r="C1172" t="s">
        <v>3459</v>
      </c>
      <c r="D1172" t="s">
        <v>26</v>
      </c>
      <c r="E1172">
        <v>21</v>
      </c>
      <c r="F1172" t="s">
        <v>27</v>
      </c>
      <c r="G1172" t="s">
        <v>28</v>
      </c>
      <c r="H1172">
        <v>36</v>
      </c>
      <c r="I1172" t="s">
        <v>39</v>
      </c>
      <c r="J1172" t="s">
        <v>30</v>
      </c>
      <c r="K1172">
        <v>3</v>
      </c>
      <c r="L1172" t="s">
        <v>31</v>
      </c>
      <c r="M1172" t="s">
        <v>32</v>
      </c>
      <c r="N1172" t="s">
        <v>49</v>
      </c>
      <c r="O1172">
        <v>76057</v>
      </c>
      <c r="P1172">
        <v>2</v>
      </c>
      <c r="Q1172" t="s">
        <v>34</v>
      </c>
      <c r="R1172" s="1">
        <v>44177</v>
      </c>
      <c r="S1172" t="s">
        <v>41</v>
      </c>
      <c r="T1172">
        <v>1</v>
      </c>
      <c r="U1172">
        <v>0</v>
      </c>
      <c r="V1172">
        <v>0</v>
      </c>
      <c r="W1172">
        <v>0</v>
      </c>
      <c r="X1172" t="s">
        <v>11022</v>
      </c>
      <c r="Y1172" t="s">
        <v>11022</v>
      </c>
      <c r="Z1172" t="str">
        <f>_xlfn.XLOOKUP(Employees[[#This Row],[Education]], EdLevel[EducationLevelID], EdLevel[EducationLevel])</f>
        <v xml:space="preserve">Bachelors </v>
      </c>
      <c r="AA1172">
        <f>IF(Employees[[#This Row],[Attrition]] = "Yes", 1, 0)</f>
        <v>1</v>
      </c>
      <c r="AB1172" t="str" cm="1">
        <f t="array" ref="AB1172">_xlfn.IFS(Employees[[#This Row],[Age]]&lt;30, "20-29", Employees[[#This Row],[Age]]&lt;40, "30-39", Employees[[#This Row],[Age]]&lt;50, "40-49", "TRUE", "50+")</f>
        <v>20-29</v>
      </c>
    </row>
    <row r="1173" spans="1:28">
      <c r="A1173" t="s">
        <v>3460</v>
      </c>
      <c r="B1173" t="s">
        <v>653</v>
      </c>
      <c r="C1173" t="s">
        <v>3461</v>
      </c>
      <c r="D1173" t="s">
        <v>26</v>
      </c>
      <c r="E1173">
        <v>21</v>
      </c>
      <c r="F1173" t="s">
        <v>27</v>
      </c>
      <c r="G1173" t="s">
        <v>54</v>
      </c>
      <c r="H1173">
        <v>30</v>
      </c>
      <c r="I1173" t="s">
        <v>39</v>
      </c>
      <c r="J1173" t="s">
        <v>30</v>
      </c>
      <c r="K1173">
        <v>3</v>
      </c>
      <c r="L1173" t="s">
        <v>178</v>
      </c>
      <c r="M1173" t="s">
        <v>85</v>
      </c>
      <c r="N1173" t="s">
        <v>33</v>
      </c>
      <c r="O1173">
        <v>56422</v>
      </c>
      <c r="P1173">
        <v>1</v>
      </c>
      <c r="Q1173" t="s">
        <v>34</v>
      </c>
      <c r="R1173" s="1">
        <v>44177</v>
      </c>
      <c r="S1173" t="s">
        <v>34</v>
      </c>
      <c r="T1173">
        <v>2</v>
      </c>
      <c r="U1173">
        <v>2</v>
      </c>
      <c r="V1173">
        <v>2</v>
      </c>
      <c r="W1173">
        <v>1</v>
      </c>
      <c r="X1173" t="s">
        <v>11022</v>
      </c>
      <c r="Y1173" t="s">
        <v>11022</v>
      </c>
      <c r="Z1173" t="str">
        <f>_xlfn.XLOOKUP(Employees[[#This Row],[Education]], EdLevel[EducationLevelID], EdLevel[EducationLevel])</f>
        <v xml:space="preserve">Bachelors </v>
      </c>
      <c r="AA1173">
        <f>IF(Employees[[#This Row],[Attrition]] = "Yes", 1, 0)</f>
        <v>0</v>
      </c>
      <c r="AB1173" t="str" cm="1">
        <f t="array" ref="AB1173">_xlfn.IFS(Employees[[#This Row],[Age]]&lt;30, "20-29", Employees[[#This Row],[Age]]&lt;40, "30-39", Employees[[#This Row],[Age]]&lt;50, "40-49", "TRUE", "50+")</f>
        <v>20-29</v>
      </c>
    </row>
    <row r="1174" spans="1:28">
      <c r="A1174" t="s">
        <v>3462</v>
      </c>
      <c r="B1174" t="s">
        <v>3463</v>
      </c>
      <c r="C1174" t="s">
        <v>3464</v>
      </c>
      <c r="D1174" t="s">
        <v>26</v>
      </c>
      <c r="E1174">
        <v>21</v>
      </c>
      <c r="F1174" t="s">
        <v>27</v>
      </c>
      <c r="G1174" t="s">
        <v>54</v>
      </c>
      <c r="H1174">
        <v>39</v>
      </c>
      <c r="I1174" t="s">
        <v>65</v>
      </c>
      <c r="J1174" t="s">
        <v>30</v>
      </c>
      <c r="K1174">
        <v>2</v>
      </c>
      <c r="L1174" t="s">
        <v>72</v>
      </c>
      <c r="M1174" t="s">
        <v>93</v>
      </c>
      <c r="N1174" t="s">
        <v>40</v>
      </c>
      <c r="O1174">
        <v>63201</v>
      </c>
      <c r="P1174">
        <v>0</v>
      </c>
      <c r="Q1174" t="s">
        <v>34</v>
      </c>
      <c r="R1174" s="1">
        <v>44178</v>
      </c>
      <c r="S1174" t="s">
        <v>34</v>
      </c>
      <c r="T1174">
        <v>2</v>
      </c>
      <c r="U1174">
        <v>2</v>
      </c>
      <c r="V1174">
        <v>2</v>
      </c>
      <c r="W1174">
        <v>2</v>
      </c>
      <c r="X1174" t="s">
        <v>11021</v>
      </c>
      <c r="Y1174" t="s">
        <v>11021</v>
      </c>
      <c r="Z1174" t="str">
        <f>_xlfn.XLOOKUP(Employees[[#This Row],[Education]], EdLevel[EducationLevelID], EdLevel[EducationLevel])</f>
        <v xml:space="preserve">High School </v>
      </c>
      <c r="AA1174">
        <f>IF(Employees[[#This Row],[Attrition]] = "Yes", 1, 0)</f>
        <v>0</v>
      </c>
      <c r="AB1174" t="str" cm="1">
        <f t="array" ref="AB1174">_xlfn.IFS(Employees[[#This Row],[Age]]&lt;30, "20-29", Employees[[#This Row],[Age]]&lt;40, "30-39", Employees[[#This Row],[Age]]&lt;50, "40-49", "TRUE", "50+")</f>
        <v>20-29</v>
      </c>
    </row>
    <row r="1175" spans="1:28">
      <c r="A1175" t="s">
        <v>3465</v>
      </c>
      <c r="B1175" t="s">
        <v>760</v>
      </c>
      <c r="C1175" t="s">
        <v>3466</v>
      </c>
      <c r="D1175" t="s">
        <v>26</v>
      </c>
      <c r="E1175">
        <v>29</v>
      </c>
      <c r="F1175" t="s">
        <v>84</v>
      </c>
      <c r="G1175" t="s">
        <v>28</v>
      </c>
      <c r="H1175">
        <v>13</v>
      </c>
      <c r="I1175" t="s">
        <v>39</v>
      </c>
      <c r="J1175" t="s">
        <v>30</v>
      </c>
      <c r="K1175">
        <v>3</v>
      </c>
      <c r="L1175" t="s">
        <v>47</v>
      </c>
      <c r="M1175" t="s">
        <v>32</v>
      </c>
      <c r="N1175" t="s">
        <v>49</v>
      </c>
      <c r="O1175">
        <v>126008</v>
      </c>
      <c r="P1175">
        <v>1</v>
      </c>
      <c r="Q1175" t="s">
        <v>34</v>
      </c>
      <c r="R1175" s="1">
        <v>44181</v>
      </c>
      <c r="S1175" t="s">
        <v>34</v>
      </c>
      <c r="T1175">
        <v>2</v>
      </c>
      <c r="U1175">
        <v>2</v>
      </c>
      <c r="V1175">
        <v>2</v>
      </c>
      <c r="W1175">
        <v>1</v>
      </c>
      <c r="X1175" t="s">
        <v>11022</v>
      </c>
      <c r="Y1175" t="s">
        <v>11022</v>
      </c>
      <c r="Z1175" t="str">
        <f>_xlfn.XLOOKUP(Employees[[#This Row],[Education]], EdLevel[EducationLevelID], EdLevel[EducationLevel])</f>
        <v xml:space="preserve">Bachelors </v>
      </c>
      <c r="AA1175">
        <f>IF(Employees[[#This Row],[Attrition]] = "Yes", 1, 0)</f>
        <v>0</v>
      </c>
      <c r="AB1175" t="str" cm="1">
        <f t="array" ref="AB1175">_xlfn.IFS(Employees[[#This Row],[Age]]&lt;30, "20-29", Employees[[#This Row],[Age]]&lt;40, "30-39", Employees[[#This Row],[Age]]&lt;50, "40-49", "TRUE", "50+")</f>
        <v>20-29</v>
      </c>
    </row>
    <row r="1176" spans="1:28">
      <c r="A1176" t="s">
        <v>3467</v>
      </c>
      <c r="B1176" t="s">
        <v>3468</v>
      </c>
      <c r="C1176" t="s">
        <v>3469</v>
      </c>
      <c r="D1176" t="s">
        <v>38</v>
      </c>
      <c r="E1176">
        <v>22</v>
      </c>
      <c r="F1176" t="s">
        <v>27</v>
      </c>
      <c r="G1176" t="s">
        <v>54</v>
      </c>
      <c r="H1176">
        <v>20</v>
      </c>
      <c r="I1176" t="s">
        <v>29</v>
      </c>
      <c r="J1176" t="s">
        <v>30</v>
      </c>
      <c r="K1176">
        <v>2</v>
      </c>
      <c r="L1176" t="s">
        <v>72</v>
      </c>
      <c r="M1176" t="s">
        <v>105</v>
      </c>
      <c r="N1176" t="s">
        <v>49</v>
      </c>
      <c r="O1176">
        <v>54899</v>
      </c>
      <c r="P1176">
        <v>1</v>
      </c>
      <c r="Q1176" t="s">
        <v>41</v>
      </c>
      <c r="R1176" s="1">
        <v>44183</v>
      </c>
      <c r="S1176" t="s">
        <v>34</v>
      </c>
      <c r="T1176">
        <v>2</v>
      </c>
      <c r="U1176">
        <v>0</v>
      </c>
      <c r="V1176">
        <v>1</v>
      </c>
      <c r="W1176">
        <v>0</v>
      </c>
      <c r="X1176" t="s">
        <v>11021</v>
      </c>
      <c r="Y1176" t="s">
        <v>11021</v>
      </c>
      <c r="Z1176" t="str">
        <f>_xlfn.XLOOKUP(Employees[[#This Row],[Education]], EdLevel[EducationLevelID], EdLevel[EducationLevel])</f>
        <v xml:space="preserve">High School </v>
      </c>
      <c r="AA1176">
        <f>IF(Employees[[#This Row],[Attrition]] = "Yes", 1, 0)</f>
        <v>0</v>
      </c>
      <c r="AB1176" t="str" cm="1">
        <f t="array" ref="AB1176">_xlfn.IFS(Employees[[#This Row],[Age]]&lt;30, "20-29", Employees[[#This Row],[Age]]&lt;40, "30-39", Employees[[#This Row],[Age]]&lt;50, "40-49", "TRUE", "50+")</f>
        <v>20-29</v>
      </c>
    </row>
    <row r="1177" spans="1:28">
      <c r="A1177" t="s">
        <v>3470</v>
      </c>
      <c r="B1177" t="s">
        <v>3471</v>
      </c>
      <c r="C1177" t="s">
        <v>3472</v>
      </c>
      <c r="D1177" t="s">
        <v>38</v>
      </c>
      <c r="E1177">
        <v>21</v>
      </c>
      <c r="F1177" t="s">
        <v>27</v>
      </c>
      <c r="G1177" t="s">
        <v>54</v>
      </c>
      <c r="H1177">
        <v>22</v>
      </c>
      <c r="I1177" t="s">
        <v>65</v>
      </c>
      <c r="J1177" t="s">
        <v>30</v>
      </c>
      <c r="K1177">
        <v>2</v>
      </c>
      <c r="L1177" t="s">
        <v>55</v>
      </c>
      <c r="M1177" t="s">
        <v>101</v>
      </c>
      <c r="N1177" t="s">
        <v>33</v>
      </c>
      <c r="O1177">
        <v>73075</v>
      </c>
      <c r="P1177">
        <v>2</v>
      </c>
      <c r="Q1177" t="s">
        <v>34</v>
      </c>
      <c r="R1177" s="1">
        <v>44188</v>
      </c>
      <c r="S1177" t="s">
        <v>34</v>
      </c>
      <c r="T1177">
        <v>2</v>
      </c>
      <c r="U1177">
        <v>1</v>
      </c>
      <c r="V1177">
        <v>1</v>
      </c>
      <c r="W1177">
        <v>1</v>
      </c>
      <c r="X1177" t="s">
        <v>11021</v>
      </c>
      <c r="Y1177" t="s">
        <v>11021</v>
      </c>
      <c r="Z1177" t="str">
        <f>_xlfn.XLOOKUP(Employees[[#This Row],[Education]], EdLevel[EducationLevelID], EdLevel[EducationLevel])</f>
        <v xml:space="preserve">High School </v>
      </c>
      <c r="AA1177">
        <f>IF(Employees[[#This Row],[Attrition]] = "Yes", 1, 0)</f>
        <v>0</v>
      </c>
      <c r="AB1177" t="str" cm="1">
        <f t="array" ref="AB1177">_xlfn.IFS(Employees[[#This Row],[Age]]&lt;30, "20-29", Employees[[#This Row],[Age]]&lt;40, "30-39", Employees[[#This Row],[Age]]&lt;50, "40-49", "TRUE", "50+")</f>
        <v>20-29</v>
      </c>
    </row>
    <row r="1178" spans="1:28">
      <c r="A1178" t="s">
        <v>3473</v>
      </c>
      <c r="B1178" t="s">
        <v>3474</v>
      </c>
      <c r="C1178" t="s">
        <v>3475</v>
      </c>
      <c r="D1178" t="s">
        <v>26</v>
      </c>
      <c r="E1178">
        <v>36</v>
      </c>
      <c r="F1178" t="s">
        <v>27</v>
      </c>
      <c r="G1178" t="s">
        <v>54</v>
      </c>
      <c r="H1178">
        <v>10</v>
      </c>
      <c r="I1178" t="s">
        <v>39</v>
      </c>
      <c r="J1178" t="s">
        <v>30</v>
      </c>
      <c r="K1178">
        <v>4</v>
      </c>
      <c r="L1178" t="s">
        <v>72</v>
      </c>
      <c r="M1178" t="s">
        <v>105</v>
      </c>
      <c r="N1178" t="s">
        <v>33</v>
      </c>
      <c r="O1178">
        <v>297181</v>
      </c>
      <c r="P1178">
        <v>1</v>
      </c>
      <c r="Q1178" t="s">
        <v>34</v>
      </c>
      <c r="R1178" s="1">
        <v>44189</v>
      </c>
      <c r="S1178" t="s">
        <v>34</v>
      </c>
      <c r="T1178">
        <v>2</v>
      </c>
      <c r="U1178">
        <v>2</v>
      </c>
      <c r="V1178">
        <v>2</v>
      </c>
      <c r="W1178">
        <v>2</v>
      </c>
      <c r="X1178" t="s">
        <v>11023</v>
      </c>
      <c r="Y1178" t="s">
        <v>11023</v>
      </c>
      <c r="Z1178" t="str">
        <f>_xlfn.XLOOKUP(Employees[[#This Row],[Education]], EdLevel[EducationLevelID], EdLevel[EducationLevel])</f>
        <v xml:space="preserve">Masters </v>
      </c>
      <c r="AA1178">
        <f>IF(Employees[[#This Row],[Attrition]] = "Yes", 1, 0)</f>
        <v>0</v>
      </c>
      <c r="AB1178" t="str" cm="1">
        <f t="array" ref="AB1178">_xlfn.IFS(Employees[[#This Row],[Age]]&lt;30, "20-29", Employees[[#This Row],[Age]]&lt;40, "30-39", Employees[[#This Row],[Age]]&lt;50, "40-49", "TRUE", "50+")</f>
        <v>30-39</v>
      </c>
    </row>
    <row r="1179" spans="1:28">
      <c r="A1179" t="s">
        <v>3476</v>
      </c>
      <c r="B1179" t="s">
        <v>3477</v>
      </c>
      <c r="C1179" t="s">
        <v>3478</v>
      </c>
      <c r="D1179" t="s">
        <v>38</v>
      </c>
      <c r="E1179">
        <v>22</v>
      </c>
      <c r="F1179" t="s">
        <v>84</v>
      </c>
      <c r="G1179" t="s">
        <v>28</v>
      </c>
      <c r="H1179">
        <v>4</v>
      </c>
      <c r="I1179" t="s">
        <v>65</v>
      </c>
      <c r="J1179" t="s">
        <v>30</v>
      </c>
      <c r="K1179">
        <v>4</v>
      </c>
      <c r="L1179" t="s">
        <v>31</v>
      </c>
      <c r="M1179" t="s">
        <v>32</v>
      </c>
      <c r="N1179" t="s">
        <v>40</v>
      </c>
      <c r="O1179">
        <v>75816</v>
      </c>
      <c r="P1179">
        <v>0</v>
      </c>
      <c r="Q1179" t="s">
        <v>34</v>
      </c>
      <c r="R1179" s="1">
        <v>44189</v>
      </c>
      <c r="S1179" t="s">
        <v>41</v>
      </c>
      <c r="T1179">
        <v>1</v>
      </c>
      <c r="U1179">
        <v>0</v>
      </c>
      <c r="V1179">
        <v>0</v>
      </c>
      <c r="W1179">
        <v>0</v>
      </c>
      <c r="X1179" t="s">
        <v>11023</v>
      </c>
      <c r="Y1179" t="s">
        <v>11023</v>
      </c>
      <c r="Z1179" t="str">
        <f>_xlfn.XLOOKUP(Employees[[#This Row],[Education]], EdLevel[EducationLevelID], EdLevel[EducationLevel])</f>
        <v xml:space="preserve">Masters </v>
      </c>
      <c r="AA1179">
        <f>IF(Employees[[#This Row],[Attrition]] = "Yes", 1, 0)</f>
        <v>1</v>
      </c>
      <c r="AB1179" t="str" cm="1">
        <f t="array" ref="AB1179">_xlfn.IFS(Employees[[#This Row],[Age]]&lt;30, "20-29", Employees[[#This Row],[Age]]&lt;40, "30-39", Employees[[#This Row],[Age]]&lt;50, "40-49", "TRUE", "50+")</f>
        <v>20-29</v>
      </c>
    </row>
    <row r="1180" spans="1:28">
      <c r="A1180" t="s">
        <v>3479</v>
      </c>
      <c r="B1180" t="s">
        <v>3480</v>
      </c>
      <c r="C1180" t="s">
        <v>3481</v>
      </c>
      <c r="D1180" t="s">
        <v>53</v>
      </c>
      <c r="E1180">
        <v>19</v>
      </c>
      <c r="F1180" t="s">
        <v>27</v>
      </c>
      <c r="G1180" t="s">
        <v>54</v>
      </c>
      <c r="H1180">
        <v>25</v>
      </c>
      <c r="I1180" t="s">
        <v>39</v>
      </c>
      <c r="J1180" t="s">
        <v>30</v>
      </c>
      <c r="K1180">
        <v>2</v>
      </c>
      <c r="L1180" t="s">
        <v>77</v>
      </c>
      <c r="M1180" t="s">
        <v>93</v>
      </c>
      <c r="N1180" t="s">
        <v>40</v>
      </c>
      <c r="O1180">
        <v>50352</v>
      </c>
      <c r="P1180">
        <v>0</v>
      </c>
      <c r="Q1180" t="s">
        <v>41</v>
      </c>
      <c r="R1180" s="1">
        <v>44198</v>
      </c>
      <c r="S1180" t="s">
        <v>34</v>
      </c>
      <c r="T1180">
        <v>1</v>
      </c>
      <c r="U1180">
        <v>1</v>
      </c>
      <c r="V1180">
        <v>1</v>
      </c>
      <c r="W1180">
        <v>1</v>
      </c>
      <c r="X1180" t="s">
        <v>11021</v>
      </c>
      <c r="Y1180" t="s">
        <v>11021</v>
      </c>
      <c r="Z1180" t="str">
        <f>_xlfn.XLOOKUP(Employees[[#This Row],[Education]], EdLevel[EducationLevelID], EdLevel[EducationLevel])</f>
        <v xml:space="preserve">High School </v>
      </c>
      <c r="AA1180">
        <f>IF(Employees[[#This Row],[Attrition]] = "Yes", 1, 0)</f>
        <v>0</v>
      </c>
      <c r="AB1180" t="str" cm="1">
        <f t="array" ref="AB1180">_xlfn.IFS(Employees[[#This Row],[Age]]&lt;30, "20-29", Employees[[#This Row],[Age]]&lt;40, "30-39", Employees[[#This Row],[Age]]&lt;50, "40-49", "TRUE", "50+")</f>
        <v>20-29</v>
      </c>
    </row>
    <row r="1181" spans="1:28">
      <c r="A1181" t="s">
        <v>3482</v>
      </c>
      <c r="B1181" t="s">
        <v>3483</v>
      </c>
      <c r="C1181" t="s">
        <v>3484</v>
      </c>
      <c r="D1181" t="s">
        <v>26</v>
      </c>
      <c r="E1181">
        <v>31</v>
      </c>
      <c r="F1181" t="s">
        <v>70</v>
      </c>
      <c r="G1181" t="s">
        <v>28</v>
      </c>
      <c r="H1181">
        <v>7</v>
      </c>
      <c r="I1181" t="s">
        <v>65</v>
      </c>
      <c r="J1181" t="s">
        <v>30</v>
      </c>
      <c r="K1181">
        <v>2</v>
      </c>
      <c r="L1181" t="s">
        <v>31</v>
      </c>
      <c r="M1181" t="s">
        <v>32</v>
      </c>
      <c r="N1181" t="s">
        <v>49</v>
      </c>
      <c r="O1181">
        <v>186215</v>
      </c>
      <c r="P1181">
        <v>1</v>
      </c>
      <c r="Q1181" t="s">
        <v>34</v>
      </c>
      <c r="R1181" s="1">
        <v>44200</v>
      </c>
      <c r="S1181" t="s">
        <v>34</v>
      </c>
      <c r="T1181">
        <v>1</v>
      </c>
      <c r="U1181">
        <v>0</v>
      </c>
      <c r="V1181">
        <v>1</v>
      </c>
      <c r="W1181">
        <v>1</v>
      </c>
      <c r="X1181" t="s">
        <v>11021</v>
      </c>
      <c r="Y1181" t="s">
        <v>11021</v>
      </c>
      <c r="Z1181" t="str">
        <f>_xlfn.XLOOKUP(Employees[[#This Row],[Education]], EdLevel[EducationLevelID], EdLevel[EducationLevel])</f>
        <v xml:space="preserve">High School </v>
      </c>
      <c r="AA1181">
        <f>IF(Employees[[#This Row],[Attrition]] = "Yes", 1, 0)</f>
        <v>0</v>
      </c>
      <c r="AB1181" t="str" cm="1">
        <f t="array" ref="AB1181">_xlfn.IFS(Employees[[#This Row],[Age]]&lt;30, "20-29", Employees[[#This Row],[Age]]&lt;40, "30-39", Employees[[#This Row],[Age]]&lt;50, "40-49", "TRUE", "50+")</f>
        <v>30-39</v>
      </c>
    </row>
    <row r="1182" spans="1:28">
      <c r="A1182" t="s">
        <v>3485</v>
      </c>
      <c r="B1182" t="s">
        <v>3486</v>
      </c>
      <c r="C1182" t="s">
        <v>3487</v>
      </c>
      <c r="D1182" t="s">
        <v>38</v>
      </c>
      <c r="E1182">
        <v>29</v>
      </c>
      <c r="F1182" t="s">
        <v>27</v>
      </c>
      <c r="G1182" t="s">
        <v>28</v>
      </c>
      <c r="H1182">
        <v>17</v>
      </c>
      <c r="I1182" t="s">
        <v>39</v>
      </c>
      <c r="J1182" t="s">
        <v>30</v>
      </c>
      <c r="K1182">
        <v>4</v>
      </c>
      <c r="L1182" t="s">
        <v>31</v>
      </c>
      <c r="M1182" t="s">
        <v>32</v>
      </c>
      <c r="N1182" t="s">
        <v>40</v>
      </c>
      <c r="O1182">
        <v>140158</v>
      </c>
      <c r="P1182">
        <v>0</v>
      </c>
      <c r="Q1182" t="s">
        <v>34</v>
      </c>
      <c r="R1182" s="1">
        <v>44200</v>
      </c>
      <c r="S1182" t="s">
        <v>34</v>
      </c>
      <c r="T1182">
        <v>1</v>
      </c>
      <c r="U1182">
        <v>0</v>
      </c>
      <c r="V1182">
        <v>1</v>
      </c>
      <c r="W1182">
        <v>1</v>
      </c>
      <c r="X1182" t="s">
        <v>11023</v>
      </c>
      <c r="Y1182" t="s">
        <v>11023</v>
      </c>
      <c r="Z1182" t="str">
        <f>_xlfn.XLOOKUP(Employees[[#This Row],[Education]], EdLevel[EducationLevelID], EdLevel[EducationLevel])</f>
        <v xml:space="preserve">Masters </v>
      </c>
      <c r="AA1182">
        <f>IF(Employees[[#This Row],[Attrition]] = "Yes", 1, 0)</f>
        <v>0</v>
      </c>
      <c r="AB1182" t="str" cm="1">
        <f t="array" ref="AB1182">_xlfn.IFS(Employees[[#This Row],[Age]]&lt;30, "20-29", Employees[[#This Row],[Age]]&lt;40, "30-39", Employees[[#This Row],[Age]]&lt;50, "40-49", "TRUE", "50+")</f>
        <v>20-29</v>
      </c>
    </row>
    <row r="1183" spans="1:28">
      <c r="A1183" t="s">
        <v>3488</v>
      </c>
      <c r="B1183" t="s">
        <v>2072</v>
      </c>
      <c r="C1183" t="s">
        <v>3489</v>
      </c>
      <c r="D1183" t="s">
        <v>26</v>
      </c>
      <c r="E1183">
        <v>19</v>
      </c>
      <c r="F1183" t="s">
        <v>27</v>
      </c>
      <c r="G1183" t="s">
        <v>54</v>
      </c>
      <c r="H1183">
        <v>36</v>
      </c>
      <c r="I1183" t="s">
        <v>39</v>
      </c>
      <c r="J1183" t="s">
        <v>30</v>
      </c>
      <c r="K1183">
        <v>2</v>
      </c>
      <c r="L1183" t="s">
        <v>72</v>
      </c>
      <c r="M1183" t="s">
        <v>101</v>
      </c>
      <c r="N1183" t="s">
        <v>40</v>
      </c>
      <c r="O1183">
        <v>23385</v>
      </c>
      <c r="P1183">
        <v>2</v>
      </c>
      <c r="Q1183" t="s">
        <v>34</v>
      </c>
      <c r="R1183" s="1">
        <v>44202</v>
      </c>
      <c r="S1183" t="s">
        <v>34</v>
      </c>
      <c r="T1183">
        <v>1</v>
      </c>
      <c r="U1183">
        <v>0</v>
      </c>
      <c r="V1183">
        <v>1</v>
      </c>
      <c r="W1183">
        <v>1</v>
      </c>
      <c r="X1183" t="s">
        <v>11021</v>
      </c>
      <c r="Y1183" t="s">
        <v>11021</v>
      </c>
      <c r="Z1183" t="str">
        <f>_xlfn.XLOOKUP(Employees[[#This Row],[Education]], EdLevel[EducationLevelID], EdLevel[EducationLevel])</f>
        <v xml:space="preserve">High School </v>
      </c>
      <c r="AA1183">
        <f>IF(Employees[[#This Row],[Attrition]] = "Yes", 1, 0)</f>
        <v>0</v>
      </c>
      <c r="AB1183" t="str" cm="1">
        <f t="array" ref="AB1183">_xlfn.IFS(Employees[[#This Row],[Age]]&lt;30, "20-29", Employees[[#This Row],[Age]]&lt;40, "30-39", Employees[[#This Row],[Age]]&lt;50, "40-49", "TRUE", "50+")</f>
        <v>20-29</v>
      </c>
    </row>
    <row r="1184" spans="1:28">
      <c r="A1184" t="s">
        <v>3490</v>
      </c>
      <c r="B1184" t="s">
        <v>830</v>
      </c>
      <c r="C1184" t="s">
        <v>3491</v>
      </c>
      <c r="D1184" t="s">
        <v>26</v>
      </c>
      <c r="E1184">
        <v>21</v>
      </c>
      <c r="F1184" t="s">
        <v>27</v>
      </c>
      <c r="G1184" t="s">
        <v>54</v>
      </c>
      <c r="H1184">
        <v>15</v>
      </c>
      <c r="I1184" t="s">
        <v>29</v>
      </c>
      <c r="J1184" t="s">
        <v>30</v>
      </c>
      <c r="K1184">
        <v>2</v>
      </c>
      <c r="L1184" t="s">
        <v>55</v>
      </c>
      <c r="M1184" t="s">
        <v>93</v>
      </c>
      <c r="N1184" t="s">
        <v>49</v>
      </c>
      <c r="O1184">
        <v>62882</v>
      </c>
      <c r="P1184">
        <v>0</v>
      </c>
      <c r="Q1184" t="s">
        <v>41</v>
      </c>
      <c r="R1184" s="1">
        <v>44205</v>
      </c>
      <c r="S1184" t="s">
        <v>41</v>
      </c>
      <c r="T1184">
        <v>0</v>
      </c>
      <c r="U1184">
        <v>0</v>
      </c>
      <c r="V1184">
        <v>0</v>
      </c>
      <c r="W1184">
        <v>0</v>
      </c>
      <c r="X1184" t="s">
        <v>11021</v>
      </c>
      <c r="Y1184" t="s">
        <v>11021</v>
      </c>
      <c r="Z1184" t="str">
        <f>_xlfn.XLOOKUP(Employees[[#This Row],[Education]], EdLevel[EducationLevelID], EdLevel[EducationLevel])</f>
        <v xml:space="preserve">High School </v>
      </c>
      <c r="AA1184">
        <f>IF(Employees[[#This Row],[Attrition]] = "Yes", 1, 0)</f>
        <v>1</v>
      </c>
      <c r="AB1184" t="str" cm="1">
        <f t="array" ref="AB1184">_xlfn.IFS(Employees[[#This Row],[Age]]&lt;30, "20-29", Employees[[#This Row],[Age]]&lt;40, "30-39", Employees[[#This Row],[Age]]&lt;50, "40-49", "TRUE", "50+")</f>
        <v>20-29</v>
      </c>
    </row>
    <row r="1185" spans="1:28">
      <c r="A1185" t="s">
        <v>3492</v>
      </c>
      <c r="B1185" t="s">
        <v>3493</v>
      </c>
      <c r="C1185" t="s">
        <v>3494</v>
      </c>
      <c r="D1185" t="s">
        <v>38</v>
      </c>
      <c r="E1185">
        <v>19</v>
      </c>
      <c r="F1185" t="s">
        <v>84</v>
      </c>
      <c r="G1185" t="s">
        <v>28</v>
      </c>
      <c r="H1185">
        <v>14</v>
      </c>
      <c r="I1185" t="s">
        <v>65</v>
      </c>
      <c r="J1185" t="s">
        <v>30</v>
      </c>
      <c r="K1185">
        <v>2</v>
      </c>
      <c r="L1185" t="s">
        <v>47</v>
      </c>
      <c r="M1185" t="s">
        <v>32</v>
      </c>
      <c r="N1185" t="s">
        <v>40</v>
      </c>
      <c r="O1185">
        <v>74458</v>
      </c>
      <c r="P1185">
        <v>1</v>
      </c>
      <c r="Q1185" t="s">
        <v>41</v>
      </c>
      <c r="R1185" s="1">
        <v>44206</v>
      </c>
      <c r="S1185" t="s">
        <v>34</v>
      </c>
      <c r="T1185">
        <v>1</v>
      </c>
      <c r="U1185">
        <v>0</v>
      </c>
      <c r="V1185">
        <v>0</v>
      </c>
      <c r="W1185">
        <v>1</v>
      </c>
      <c r="X1185" t="s">
        <v>11021</v>
      </c>
      <c r="Y1185" t="s">
        <v>11021</v>
      </c>
      <c r="Z1185" t="str">
        <f>_xlfn.XLOOKUP(Employees[[#This Row],[Education]], EdLevel[EducationLevelID], EdLevel[EducationLevel])</f>
        <v xml:space="preserve">High School </v>
      </c>
      <c r="AA1185">
        <f>IF(Employees[[#This Row],[Attrition]] = "Yes", 1, 0)</f>
        <v>0</v>
      </c>
      <c r="AB1185" t="str" cm="1">
        <f t="array" ref="AB1185">_xlfn.IFS(Employees[[#This Row],[Age]]&lt;30, "20-29", Employees[[#This Row],[Age]]&lt;40, "30-39", Employees[[#This Row],[Age]]&lt;50, "40-49", "TRUE", "50+")</f>
        <v>20-29</v>
      </c>
    </row>
    <row r="1186" spans="1:28">
      <c r="A1186" t="s">
        <v>3495</v>
      </c>
      <c r="B1186" t="s">
        <v>3496</v>
      </c>
      <c r="C1186" t="s">
        <v>3497</v>
      </c>
      <c r="D1186" t="s">
        <v>26</v>
      </c>
      <c r="E1186">
        <v>21</v>
      </c>
      <c r="F1186" t="s">
        <v>27</v>
      </c>
      <c r="G1186" t="s">
        <v>54</v>
      </c>
      <c r="H1186">
        <v>19</v>
      </c>
      <c r="I1186" t="s">
        <v>65</v>
      </c>
      <c r="J1186" t="s">
        <v>30</v>
      </c>
      <c r="K1186">
        <v>4</v>
      </c>
      <c r="L1186" t="s">
        <v>72</v>
      </c>
      <c r="M1186" t="s">
        <v>101</v>
      </c>
      <c r="N1186" t="s">
        <v>40</v>
      </c>
      <c r="O1186">
        <v>25114</v>
      </c>
      <c r="P1186">
        <v>0</v>
      </c>
      <c r="Q1186" t="s">
        <v>34</v>
      </c>
      <c r="R1186" s="1">
        <v>44212</v>
      </c>
      <c r="S1186" t="s">
        <v>34</v>
      </c>
      <c r="T1186">
        <v>1</v>
      </c>
      <c r="U1186">
        <v>1</v>
      </c>
      <c r="V1186">
        <v>1</v>
      </c>
      <c r="W1186">
        <v>1</v>
      </c>
      <c r="X1186" t="s">
        <v>11023</v>
      </c>
      <c r="Y1186" t="s">
        <v>11023</v>
      </c>
      <c r="Z1186" t="str">
        <f>_xlfn.XLOOKUP(Employees[[#This Row],[Education]], EdLevel[EducationLevelID], EdLevel[EducationLevel])</f>
        <v xml:space="preserve">Masters </v>
      </c>
      <c r="AA1186">
        <f>IF(Employees[[#This Row],[Attrition]] = "Yes", 1, 0)</f>
        <v>0</v>
      </c>
      <c r="AB1186" t="str" cm="1">
        <f t="array" ref="AB1186">_xlfn.IFS(Employees[[#This Row],[Age]]&lt;30, "20-29", Employees[[#This Row],[Age]]&lt;40, "30-39", Employees[[#This Row],[Age]]&lt;50, "40-49", "TRUE", "50+")</f>
        <v>20-29</v>
      </c>
    </row>
    <row r="1187" spans="1:28">
      <c r="A1187" t="s">
        <v>3498</v>
      </c>
      <c r="B1187" t="s">
        <v>3499</v>
      </c>
      <c r="C1187" t="s">
        <v>3500</v>
      </c>
      <c r="D1187" t="s">
        <v>38</v>
      </c>
      <c r="E1187">
        <v>51</v>
      </c>
      <c r="F1187" t="s">
        <v>27</v>
      </c>
      <c r="G1187" t="s">
        <v>54</v>
      </c>
      <c r="H1187">
        <v>30</v>
      </c>
      <c r="I1187" t="s">
        <v>65</v>
      </c>
      <c r="J1187" t="s">
        <v>30</v>
      </c>
      <c r="K1187">
        <v>3</v>
      </c>
      <c r="L1187" t="s">
        <v>55</v>
      </c>
      <c r="M1187" t="s">
        <v>182</v>
      </c>
      <c r="N1187" t="s">
        <v>33</v>
      </c>
      <c r="O1187">
        <v>232658</v>
      </c>
      <c r="P1187">
        <v>1</v>
      </c>
      <c r="Q1187" t="s">
        <v>34</v>
      </c>
      <c r="R1187" s="1">
        <v>44213</v>
      </c>
      <c r="S1187" t="s">
        <v>34</v>
      </c>
      <c r="T1187">
        <v>1</v>
      </c>
      <c r="U1187">
        <v>1</v>
      </c>
      <c r="V1187">
        <v>1</v>
      </c>
      <c r="W1187">
        <v>1</v>
      </c>
      <c r="X1187" t="s">
        <v>11022</v>
      </c>
      <c r="Y1187" t="s">
        <v>11022</v>
      </c>
      <c r="Z1187" t="str">
        <f>_xlfn.XLOOKUP(Employees[[#This Row],[Education]], EdLevel[EducationLevelID], EdLevel[EducationLevel])</f>
        <v xml:space="preserve">Bachelors </v>
      </c>
      <c r="AA1187">
        <f>IF(Employees[[#This Row],[Attrition]] = "Yes", 1, 0)</f>
        <v>0</v>
      </c>
      <c r="AB1187" t="str" cm="1">
        <f t="array" ref="AB1187">_xlfn.IFS(Employees[[#This Row],[Age]]&lt;30, "20-29", Employees[[#This Row],[Age]]&lt;40, "30-39", Employees[[#This Row],[Age]]&lt;50, "40-49", "TRUE", "50+")</f>
        <v>50+</v>
      </c>
    </row>
    <row r="1188" spans="1:28">
      <c r="A1188" t="s">
        <v>3501</v>
      </c>
      <c r="B1188" t="s">
        <v>3502</v>
      </c>
      <c r="C1188" t="s">
        <v>3503</v>
      </c>
      <c r="D1188" t="s">
        <v>53</v>
      </c>
      <c r="E1188">
        <v>22</v>
      </c>
      <c r="F1188" t="s">
        <v>27</v>
      </c>
      <c r="G1188" t="s">
        <v>54</v>
      </c>
      <c r="H1188">
        <v>16</v>
      </c>
      <c r="I1188" t="s">
        <v>65</v>
      </c>
      <c r="J1188" t="s">
        <v>30</v>
      </c>
      <c r="K1188">
        <v>1</v>
      </c>
      <c r="L1188" t="s">
        <v>55</v>
      </c>
      <c r="M1188" t="s">
        <v>85</v>
      </c>
      <c r="N1188" t="s">
        <v>49</v>
      </c>
      <c r="O1188">
        <v>78467</v>
      </c>
      <c r="P1188">
        <v>2</v>
      </c>
      <c r="Q1188" t="s">
        <v>41</v>
      </c>
      <c r="R1188" s="1">
        <v>44221</v>
      </c>
      <c r="S1188" t="s">
        <v>34</v>
      </c>
      <c r="T1188">
        <v>1</v>
      </c>
      <c r="U1188">
        <v>0</v>
      </c>
      <c r="V1188">
        <v>1</v>
      </c>
      <c r="W1188">
        <v>0</v>
      </c>
      <c r="X1188" t="s">
        <v>11020</v>
      </c>
      <c r="Y1188" t="s">
        <v>11020</v>
      </c>
      <c r="Z1188" t="str">
        <f>_xlfn.XLOOKUP(Employees[[#This Row],[Education]], EdLevel[EducationLevelID], EdLevel[EducationLevel])</f>
        <v>No Formal Qualifications</v>
      </c>
      <c r="AA1188">
        <f>IF(Employees[[#This Row],[Attrition]] = "Yes", 1, 0)</f>
        <v>0</v>
      </c>
      <c r="AB1188" t="str" cm="1">
        <f t="array" ref="AB1188">_xlfn.IFS(Employees[[#This Row],[Age]]&lt;30, "20-29", Employees[[#This Row],[Age]]&lt;40, "30-39", Employees[[#This Row],[Age]]&lt;50, "40-49", "TRUE", "50+")</f>
        <v>20-29</v>
      </c>
    </row>
    <row r="1189" spans="1:28">
      <c r="A1189" t="s">
        <v>3504</v>
      </c>
      <c r="B1189" t="s">
        <v>3505</v>
      </c>
      <c r="C1189" t="s">
        <v>3506</v>
      </c>
      <c r="D1189" t="s">
        <v>26</v>
      </c>
      <c r="E1189">
        <v>28</v>
      </c>
      <c r="F1189" t="s">
        <v>27</v>
      </c>
      <c r="G1189" t="s">
        <v>54</v>
      </c>
      <c r="H1189">
        <v>15</v>
      </c>
      <c r="I1189" t="s">
        <v>39</v>
      </c>
      <c r="J1189" t="s">
        <v>30</v>
      </c>
      <c r="K1189">
        <v>4</v>
      </c>
      <c r="L1189" t="s">
        <v>77</v>
      </c>
      <c r="M1189" t="s">
        <v>32</v>
      </c>
      <c r="N1189" t="s">
        <v>40</v>
      </c>
      <c r="O1189">
        <v>319619</v>
      </c>
      <c r="P1189">
        <v>0</v>
      </c>
      <c r="Q1189" t="s">
        <v>41</v>
      </c>
      <c r="R1189" s="1">
        <v>44222</v>
      </c>
      <c r="S1189" t="s">
        <v>34</v>
      </c>
      <c r="T1189">
        <v>1</v>
      </c>
      <c r="U1189">
        <v>1</v>
      </c>
      <c r="V1189">
        <v>1</v>
      </c>
      <c r="W1189">
        <v>0</v>
      </c>
      <c r="X1189" t="s">
        <v>11023</v>
      </c>
      <c r="Y1189" t="s">
        <v>11023</v>
      </c>
      <c r="Z1189" t="str">
        <f>_xlfn.XLOOKUP(Employees[[#This Row],[Education]], EdLevel[EducationLevelID], EdLevel[EducationLevel])</f>
        <v xml:space="preserve">Masters </v>
      </c>
      <c r="AA1189">
        <f>IF(Employees[[#This Row],[Attrition]] = "Yes", 1, 0)</f>
        <v>0</v>
      </c>
      <c r="AB1189" t="str" cm="1">
        <f t="array" ref="AB1189">_xlfn.IFS(Employees[[#This Row],[Age]]&lt;30, "20-29", Employees[[#This Row],[Age]]&lt;40, "30-39", Employees[[#This Row],[Age]]&lt;50, "40-49", "TRUE", "50+")</f>
        <v>20-29</v>
      </c>
    </row>
    <row r="1190" spans="1:28">
      <c r="A1190" t="s">
        <v>3507</v>
      </c>
      <c r="B1190" t="s">
        <v>3508</v>
      </c>
      <c r="C1190" t="s">
        <v>3509</v>
      </c>
      <c r="D1190" t="s">
        <v>26</v>
      </c>
      <c r="E1190">
        <v>22</v>
      </c>
      <c r="F1190" t="s">
        <v>27</v>
      </c>
      <c r="G1190" t="s">
        <v>54</v>
      </c>
      <c r="H1190">
        <v>40</v>
      </c>
      <c r="I1190" t="s">
        <v>29</v>
      </c>
      <c r="J1190" t="s">
        <v>30</v>
      </c>
      <c r="K1190">
        <v>4</v>
      </c>
      <c r="L1190" t="s">
        <v>55</v>
      </c>
      <c r="M1190" t="s">
        <v>105</v>
      </c>
      <c r="N1190" t="s">
        <v>49</v>
      </c>
      <c r="O1190">
        <v>66266</v>
      </c>
      <c r="P1190">
        <v>1</v>
      </c>
      <c r="Q1190" t="s">
        <v>34</v>
      </c>
      <c r="R1190" s="1">
        <v>44227</v>
      </c>
      <c r="S1190" t="s">
        <v>34</v>
      </c>
      <c r="T1190">
        <v>1</v>
      </c>
      <c r="U1190">
        <v>0</v>
      </c>
      <c r="V1190">
        <v>1</v>
      </c>
      <c r="W1190">
        <v>1</v>
      </c>
      <c r="X1190" t="s">
        <v>11023</v>
      </c>
      <c r="Y1190" t="s">
        <v>11023</v>
      </c>
      <c r="Z1190" t="str">
        <f>_xlfn.XLOOKUP(Employees[[#This Row],[Education]], EdLevel[EducationLevelID], EdLevel[EducationLevel])</f>
        <v xml:space="preserve">Masters </v>
      </c>
      <c r="AA1190">
        <f>IF(Employees[[#This Row],[Attrition]] = "Yes", 1, 0)</f>
        <v>0</v>
      </c>
      <c r="AB1190" t="str" cm="1">
        <f t="array" ref="AB1190">_xlfn.IFS(Employees[[#This Row],[Age]]&lt;30, "20-29", Employees[[#This Row],[Age]]&lt;40, "30-39", Employees[[#This Row],[Age]]&lt;50, "40-49", "TRUE", "50+")</f>
        <v>20-29</v>
      </c>
    </row>
    <row r="1191" spans="1:28">
      <c r="A1191" t="s">
        <v>3510</v>
      </c>
      <c r="B1191" t="s">
        <v>3511</v>
      </c>
      <c r="C1191" t="s">
        <v>3512</v>
      </c>
      <c r="D1191" t="s">
        <v>26</v>
      </c>
      <c r="E1191">
        <v>22</v>
      </c>
      <c r="F1191" t="s">
        <v>27</v>
      </c>
      <c r="G1191" t="s">
        <v>45</v>
      </c>
      <c r="H1191">
        <v>7</v>
      </c>
      <c r="I1191" t="s">
        <v>65</v>
      </c>
      <c r="J1191" t="s">
        <v>30</v>
      </c>
      <c r="K1191">
        <v>2</v>
      </c>
      <c r="L1191" t="s">
        <v>121</v>
      </c>
      <c r="M1191" t="s">
        <v>61</v>
      </c>
      <c r="N1191" t="s">
        <v>49</v>
      </c>
      <c r="O1191">
        <v>29322</v>
      </c>
      <c r="P1191">
        <v>0</v>
      </c>
      <c r="Q1191" t="s">
        <v>41</v>
      </c>
      <c r="R1191" s="1">
        <v>44227</v>
      </c>
      <c r="S1191" t="s">
        <v>41</v>
      </c>
      <c r="T1191">
        <v>1</v>
      </c>
      <c r="U1191">
        <v>0</v>
      </c>
      <c r="V1191">
        <v>0</v>
      </c>
      <c r="W1191">
        <v>0</v>
      </c>
      <c r="X1191" t="s">
        <v>11021</v>
      </c>
      <c r="Y1191" t="s">
        <v>11021</v>
      </c>
      <c r="Z1191" t="str">
        <f>_xlfn.XLOOKUP(Employees[[#This Row],[Education]], EdLevel[EducationLevelID], EdLevel[EducationLevel])</f>
        <v xml:space="preserve">High School </v>
      </c>
      <c r="AA1191">
        <f>IF(Employees[[#This Row],[Attrition]] = "Yes", 1, 0)</f>
        <v>1</v>
      </c>
      <c r="AB1191" t="str" cm="1">
        <f t="array" ref="AB1191">_xlfn.IFS(Employees[[#This Row],[Age]]&lt;30, "20-29", Employees[[#This Row],[Age]]&lt;40, "30-39", Employees[[#This Row],[Age]]&lt;50, "40-49", "TRUE", "50+")</f>
        <v>20-29</v>
      </c>
    </row>
    <row r="1192" spans="1:28">
      <c r="A1192" t="s">
        <v>3513</v>
      </c>
      <c r="B1192" t="s">
        <v>3514</v>
      </c>
      <c r="C1192" t="s">
        <v>3515</v>
      </c>
      <c r="D1192" t="s">
        <v>38</v>
      </c>
      <c r="E1192">
        <v>28</v>
      </c>
      <c r="F1192" t="s">
        <v>27</v>
      </c>
      <c r="G1192" t="s">
        <v>28</v>
      </c>
      <c r="H1192">
        <v>42</v>
      </c>
      <c r="I1192" t="s">
        <v>39</v>
      </c>
      <c r="J1192" t="s">
        <v>30</v>
      </c>
      <c r="K1192">
        <v>3</v>
      </c>
      <c r="L1192" t="s">
        <v>31</v>
      </c>
      <c r="M1192" t="s">
        <v>32</v>
      </c>
      <c r="N1192" t="s">
        <v>49</v>
      </c>
      <c r="O1192">
        <v>128192</v>
      </c>
      <c r="P1192">
        <v>1</v>
      </c>
      <c r="Q1192" t="s">
        <v>34</v>
      </c>
      <c r="R1192" s="1">
        <v>44232</v>
      </c>
      <c r="S1192" t="s">
        <v>34</v>
      </c>
      <c r="T1192">
        <v>1</v>
      </c>
      <c r="U1192">
        <v>1</v>
      </c>
      <c r="V1192">
        <v>1</v>
      </c>
      <c r="W1192">
        <v>0</v>
      </c>
      <c r="X1192" t="s">
        <v>11022</v>
      </c>
      <c r="Y1192" t="s">
        <v>11022</v>
      </c>
      <c r="Z1192" t="str">
        <f>_xlfn.XLOOKUP(Employees[[#This Row],[Education]], EdLevel[EducationLevelID], EdLevel[EducationLevel])</f>
        <v xml:space="preserve">Bachelors </v>
      </c>
      <c r="AA1192">
        <f>IF(Employees[[#This Row],[Attrition]] = "Yes", 1, 0)</f>
        <v>0</v>
      </c>
      <c r="AB1192" t="str" cm="1">
        <f t="array" ref="AB1192">_xlfn.IFS(Employees[[#This Row],[Age]]&lt;30, "20-29", Employees[[#This Row],[Age]]&lt;40, "30-39", Employees[[#This Row],[Age]]&lt;50, "40-49", "TRUE", "50+")</f>
        <v>20-29</v>
      </c>
    </row>
    <row r="1193" spans="1:28">
      <c r="A1193" t="s">
        <v>3516</v>
      </c>
      <c r="B1193" t="s">
        <v>3517</v>
      </c>
      <c r="C1193" t="s">
        <v>3518</v>
      </c>
      <c r="D1193" t="s">
        <v>38</v>
      </c>
      <c r="E1193">
        <v>42</v>
      </c>
      <c r="F1193" t="s">
        <v>27</v>
      </c>
      <c r="G1193" t="s">
        <v>54</v>
      </c>
      <c r="H1193">
        <v>28</v>
      </c>
      <c r="I1193" t="s">
        <v>39</v>
      </c>
      <c r="J1193" t="s">
        <v>30</v>
      </c>
      <c r="K1193">
        <v>3</v>
      </c>
      <c r="L1193" t="s">
        <v>55</v>
      </c>
      <c r="M1193" t="s">
        <v>56</v>
      </c>
      <c r="N1193" t="s">
        <v>40</v>
      </c>
      <c r="O1193">
        <v>380905</v>
      </c>
      <c r="P1193">
        <v>0</v>
      </c>
      <c r="Q1193" t="s">
        <v>34</v>
      </c>
      <c r="R1193" s="1">
        <v>44233</v>
      </c>
      <c r="S1193" t="s">
        <v>34</v>
      </c>
      <c r="T1193">
        <v>1</v>
      </c>
      <c r="U1193">
        <v>0</v>
      </c>
      <c r="V1193">
        <v>1</v>
      </c>
      <c r="W1193">
        <v>1</v>
      </c>
      <c r="X1193" t="s">
        <v>11022</v>
      </c>
      <c r="Y1193" t="s">
        <v>11022</v>
      </c>
      <c r="Z1193" t="str">
        <f>_xlfn.XLOOKUP(Employees[[#This Row],[Education]], EdLevel[EducationLevelID], EdLevel[EducationLevel])</f>
        <v xml:space="preserve">Bachelors </v>
      </c>
      <c r="AA1193">
        <f>IF(Employees[[#This Row],[Attrition]] = "Yes", 1, 0)</f>
        <v>0</v>
      </c>
      <c r="AB1193" t="str" cm="1">
        <f t="array" ref="AB1193">_xlfn.IFS(Employees[[#This Row],[Age]]&lt;30, "20-29", Employees[[#This Row],[Age]]&lt;40, "30-39", Employees[[#This Row],[Age]]&lt;50, "40-49", "TRUE", "50+")</f>
        <v>40-49</v>
      </c>
    </row>
    <row r="1194" spans="1:28">
      <c r="A1194" t="s">
        <v>3519</v>
      </c>
      <c r="B1194" t="s">
        <v>3520</v>
      </c>
      <c r="C1194" t="s">
        <v>3521</v>
      </c>
      <c r="D1194" t="s">
        <v>26</v>
      </c>
      <c r="E1194">
        <v>22</v>
      </c>
      <c r="F1194" t="s">
        <v>27</v>
      </c>
      <c r="G1194" t="s">
        <v>28</v>
      </c>
      <c r="H1194">
        <v>22</v>
      </c>
      <c r="I1194" t="s">
        <v>39</v>
      </c>
      <c r="J1194" t="s">
        <v>30</v>
      </c>
      <c r="K1194">
        <v>1</v>
      </c>
      <c r="L1194" t="s">
        <v>77</v>
      </c>
      <c r="M1194" t="s">
        <v>32</v>
      </c>
      <c r="N1194" t="s">
        <v>49</v>
      </c>
      <c r="O1194">
        <v>48698</v>
      </c>
      <c r="P1194">
        <v>0</v>
      </c>
      <c r="Q1194" t="s">
        <v>41</v>
      </c>
      <c r="R1194" s="1">
        <v>44245</v>
      </c>
      <c r="S1194" t="s">
        <v>34</v>
      </c>
      <c r="T1194">
        <v>1</v>
      </c>
      <c r="U1194">
        <v>0</v>
      </c>
      <c r="V1194">
        <v>1</v>
      </c>
      <c r="W1194">
        <v>1</v>
      </c>
      <c r="X1194" t="s">
        <v>11020</v>
      </c>
      <c r="Y1194" t="s">
        <v>11020</v>
      </c>
      <c r="Z1194" t="str">
        <f>_xlfn.XLOOKUP(Employees[[#This Row],[Education]], EdLevel[EducationLevelID], EdLevel[EducationLevel])</f>
        <v>No Formal Qualifications</v>
      </c>
      <c r="AA1194">
        <f>IF(Employees[[#This Row],[Attrition]] = "Yes", 1, 0)</f>
        <v>0</v>
      </c>
      <c r="AB1194" t="str" cm="1">
        <f t="array" ref="AB1194">_xlfn.IFS(Employees[[#This Row],[Age]]&lt;30, "20-29", Employees[[#This Row],[Age]]&lt;40, "30-39", Employees[[#This Row],[Age]]&lt;50, "40-49", "TRUE", "50+")</f>
        <v>20-29</v>
      </c>
    </row>
    <row r="1195" spans="1:28">
      <c r="A1195" t="s">
        <v>3522</v>
      </c>
      <c r="B1195" t="s">
        <v>3523</v>
      </c>
      <c r="C1195" t="s">
        <v>3524</v>
      </c>
      <c r="D1195" t="s">
        <v>38</v>
      </c>
      <c r="E1195">
        <v>19</v>
      </c>
      <c r="F1195" t="s">
        <v>27</v>
      </c>
      <c r="G1195" t="s">
        <v>54</v>
      </c>
      <c r="H1195">
        <v>26</v>
      </c>
      <c r="I1195" t="s">
        <v>39</v>
      </c>
      <c r="J1195" t="s">
        <v>30</v>
      </c>
      <c r="K1195">
        <v>3</v>
      </c>
      <c r="L1195" t="s">
        <v>72</v>
      </c>
      <c r="M1195" t="s">
        <v>101</v>
      </c>
      <c r="N1195" t="s">
        <v>40</v>
      </c>
      <c r="O1195">
        <v>43961</v>
      </c>
      <c r="P1195">
        <v>1</v>
      </c>
      <c r="Q1195" t="s">
        <v>34</v>
      </c>
      <c r="R1195" s="1">
        <v>44246</v>
      </c>
      <c r="S1195" t="s">
        <v>34</v>
      </c>
      <c r="T1195">
        <v>1</v>
      </c>
      <c r="U1195">
        <v>0</v>
      </c>
      <c r="V1195">
        <v>1</v>
      </c>
      <c r="W1195">
        <v>1</v>
      </c>
      <c r="X1195" t="s">
        <v>11022</v>
      </c>
      <c r="Y1195" t="s">
        <v>11022</v>
      </c>
      <c r="Z1195" t="str">
        <f>_xlfn.XLOOKUP(Employees[[#This Row],[Education]], EdLevel[EducationLevelID], EdLevel[EducationLevel])</f>
        <v xml:space="preserve">Bachelors </v>
      </c>
      <c r="AA1195">
        <f>IF(Employees[[#This Row],[Attrition]] = "Yes", 1, 0)</f>
        <v>0</v>
      </c>
      <c r="AB1195" t="str" cm="1">
        <f t="array" ref="AB1195">_xlfn.IFS(Employees[[#This Row],[Age]]&lt;30, "20-29", Employees[[#This Row],[Age]]&lt;40, "30-39", Employees[[#This Row],[Age]]&lt;50, "40-49", "TRUE", "50+")</f>
        <v>20-29</v>
      </c>
    </row>
    <row r="1196" spans="1:28">
      <c r="A1196" t="s">
        <v>3525</v>
      </c>
      <c r="B1196" t="s">
        <v>3526</v>
      </c>
      <c r="C1196" t="s">
        <v>3527</v>
      </c>
      <c r="D1196" t="s">
        <v>38</v>
      </c>
      <c r="E1196">
        <v>32</v>
      </c>
      <c r="F1196" t="s">
        <v>27</v>
      </c>
      <c r="G1196" t="s">
        <v>54</v>
      </c>
      <c r="H1196">
        <v>34</v>
      </c>
      <c r="I1196" t="s">
        <v>39</v>
      </c>
      <c r="J1196" t="s">
        <v>30</v>
      </c>
      <c r="K1196">
        <v>4</v>
      </c>
      <c r="L1196" t="s">
        <v>72</v>
      </c>
      <c r="M1196" t="s">
        <v>101</v>
      </c>
      <c r="N1196" t="s">
        <v>40</v>
      </c>
      <c r="O1196">
        <v>439641</v>
      </c>
      <c r="P1196">
        <v>0</v>
      </c>
      <c r="Q1196" t="s">
        <v>34</v>
      </c>
      <c r="R1196" s="1">
        <v>44247</v>
      </c>
      <c r="S1196" t="s">
        <v>34</v>
      </c>
      <c r="T1196">
        <v>1</v>
      </c>
      <c r="U1196">
        <v>0</v>
      </c>
      <c r="V1196">
        <v>1</v>
      </c>
      <c r="W1196">
        <v>1</v>
      </c>
      <c r="X1196" t="s">
        <v>11023</v>
      </c>
      <c r="Y1196" t="s">
        <v>11023</v>
      </c>
      <c r="Z1196" t="str">
        <f>_xlfn.XLOOKUP(Employees[[#This Row],[Education]], EdLevel[EducationLevelID], EdLevel[EducationLevel])</f>
        <v xml:space="preserve">Masters </v>
      </c>
      <c r="AA1196">
        <f>IF(Employees[[#This Row],[Attrition]] = "Yes", 1, 0)</f>
        <v>0</v>
      </c>
      <c r="AB1196" t="str" cm="1">
        <f t="array" ref="AB1196">_xlfn.IFS(Employees[[#This Row],[Age]]&lt;30, "20-29", Employees[[#This Row],[Age]]&lt;40, "30-39", Employees[[#This Row],[Age]]&lt;50, "40-49", "TRUE", "50+")</f>
        <v>30-39</v>
      </c>
    </row>
    <row r="1197" spans="1:28">
      <c r="A1197" t="s">
        <v>3528</v>
      </c>
      <c r="B1197" t="s">
        <v>3529</v>
      </c>
      <c r="C1197" t="s">
        <v>3530</v>
      </c>
      <c r="D1197" t="s">
        <v>26</v>
      </c>
      <c r="E1197">
        <v>19</v>
      </c>
      <c r="F1197" t="s">
        <v>27</v>
      </c>
      <c r="G1197" t="s">
        <v>54</v>
      </c>
      <c r="H1197">
        <v>44</v>
      </c>
      <c r="I1197" t="s">
        <v>39</v>
      </c>
      <c r="J1197" t="s">
        <v>30</v>
      </c>
      <c r="K1197">
        <v>4</v>
      </c>
      <c r="L1197" t="s">
        <v>55</v>
      </c>
      <c r="M1197" t="s">
        <v>93</v>
      </c>
      <c r="N1197" t="s">
        <v>40</v>
      </c>
      <c r="O1197">
        <v>42900</v>
      </c>
      <c r="P1197">
        <v>2</v>
      </c>
      <c r="Q1197" t="s">
        <v>41</v>
      </c>
      <c r="R1197" s="1">
        <v>44255</v>
      </c>
      <c r="S1197" t="s">
        <v>34</v>
      </c>
      <c r="T1197">
        <v>1</v>
      </c>
      <c r="U1197">
        <v>0</v>
      </c>
      <c r="V1197">
        <v>1</v>
      </c>
      <c r="W1197">
        <v>0</v>
      </c>
      <c r="X1197" t="s">
        <v>11023</v>
      </c>
      <c r="Y1197" t="s">
        <v>11023</v>
      </c>
      <c r="Z1197" t="str">
        <f>_xlfn.XLOOKUP(Employees[[#This Row],[Education]], EdLevel[EducationLevelID], EdLevel[EducationLevel])</f>
        <v xml:space="preserve">Masters </v>
      </c>
      <c r="AA1197">
        <f>IF(Employees[[#This Row],[Attrition]] = "Yes", 1, 0)</f>
        <v>0</v>
      </c>
      <c r="AB1197" t="str" cm="1">
        <f t="array" ref="AB1197">_xlfn.IFS(Employees[[#This Row],[Age]]&lt;30, "20-29", Employees[[#This Row],[Age]]&lt;40, "30-39", Employees[[#This Row],[Age]]&lt;50, "40-49", "TRUE", "50+")</f>
        <v>20-29</v>
      </c>
    </row>
    <row r="1198" spans="1:28">
      <c r="A1198" t="s">
        <v>3531</v>
      </c>
      <c r="B1198" t="s">
        <v>3532</v>
      </c>
      <c r="C1198" t="s">
        <v>3533</v>
      </c>
      <c r="D1198" t="s">
        <v>26</v>
      </c>
      <c r="E1198">
        <v>21</v>
      </c>
      <c r="F1198" t="s">
        <v>27</v>
      </c>
      <c r="G1198" t="s">
        <v>54</v>
      </c>
      <c r="H1198">
        <v>38</v>
      </c>
      <c r="I1198" t="s">
        <v>39</v>
      </c>
      <c r="J1198" t="s">
        <v>30</v>
      </c>
      <c r="K1198">
        <v>1</v>
      </c>
      <c r="L1198" t="s">
        <v>72</v>
      </c>
      <c r="M1198" t="s">
        <v>105</v>
      </c>
      <c r="N1198" t="s">
        <v>49</v>
      </c>
      <c r="O1198">
        <v>63049</v>
      </c>
      <c r="P1198">
        <v>0</v>
      </c>
      <c r="Q1198" t="s">
        <v>41</v>
      </c>
      <c r="R1198" s="1">
        <v>44256</v>
      </c>
      <c r="S1198" t="s">
        <v>41</v>
      </c>
      <c r="T1198">
        <v>0</v>
      </c>
      <c r="U1198">
        <v>0</v>
      </c>
      <c r="V1198">
        <v>0</v>
      </c>
      <c r="W1198">
        <v>0</v>
      </c>
      <c r="X1198" t="s">
        <v>11020</v>
      </c>
      <c r="Y1198" t="s">
        <v>11020</v>
      </c>
      <c r="Z1198" t="str">
        <f>_xlfn.XLOOKUP(Employees[[#This Row],[Education]], EdLevel[EducationLevelID], EdLevel[EducationLevel])</f>
        <v>No Formal Qualifications</v>
      </c>
      <c r="AA1198">
        <f>IF(Employees[[#This Row],[Attrition]] = "Yes", 1, 0)</f>
        <v>1</v>
      </c>
      <c r="AB1198" t="str" cm="1">
        <f t="array" ref="AB1198">_xlfn.IFS(Employees[[#This Row],[Age]]&lt;30, "20-29", Employees[[#This Row],[Age]]&lt;40, "30-39", Employees[[#This Row],[Age]]&lt;50, "40-49", "TRUE", "50+")</f>
        <v>20-29</v>
      </c>
    </row>
    <row r="1199" spans="1:28">
      <c r="A1199" t="s">
        <v>3534</v>
      </c>
      <c r="B1199" t="s">
        <v>3535</v>
      </c>
      <c r="C1199" t="s">
        <v>3536</v>
      </c>
      <c r="D1199" t="s">
        <v>38</v>
      </c>
      <c r="E1199">
        <v>37</v>
      </c>
      <c r="F1199" t="s">
        <v>27</v>
      </c>
      <c r="G1199" t="s">
        <v>54</v>
      </c>
      <c r="H1199">
        <v>22</v>
      </c>
      <c r="I1199" t="s">
        <v>29</v>
      </c>
      <c r="J1199" t="s">
        <v>30</v>
      </c>
      <c r="K1199">
        <v>3</v>
      </c>
      <c r="L1199" t="s">
        <v>55</v>
      </c>
      <c r="M1199" t="s">
        <v>105</v>
      </c>
      <c r="N1199" t="s">
        <v>49</v>
      </c>
      <c r="O1199">
        <v>193287</v>
      </c>
      <c r="P1199">
        <v>1</v>
      </c>
      <c r="Q1199" t="s">
        <v>41</v>
      </c>
      <c r="R1199" s="1">
        <v>44256</v>
      </c>
      <c r="S1199" t="s">
        <v>34</v>
      </c>
      <c r="T1199">
        <v>1</v>
      </c>
      <c r="U1199">
        <v>0</v>
      </c>
      <c r="V1199">
        <v>1</v>
      </c>
      <c r="W1199">
        <v>0</v>
      </c>
      <c r="X1199" t="s">
        <v>11022</v>
      </c>
      <c r="Y1199" t="s">
        <v>11022</v>
      </c>
      <c r="Z1199" t="str">
        <f>_xlfn.XLOOKUP(Employees[[#This Row],[Education]], EdLevel[EducationLevelID], EdLevel[EducationLevel])</f>
        <v xml:space="preserve">Bachelors </v>
      </c>
      <c r="AA1199">
        <f>IF(Employees[[#This Row],[Attrition]] = "Yes", 1, 0)</f>
        <v>0</v>
      </c>
      <c r="AB1199" t="str" cm="1">
        <f t="array" ref="AB1199">_xlfn.IFS(Employees[[#This Row],[Age]]&lt;30, "20-29", Employees[[#This Row],[Age]]&lt;40, "30-39", Employees[[#This Row],[Age]]&lt;50, "40-49", "TRUE", "50+")</f>
        <v>30-39</v>
      </c>
    </row>
    <row r="1200" spans="1:28">
      <c r="A1200" t="s">
        <v>3537</v>
      </c>
      <c r="B1200" t="s">
        <v>3538</v>
      </c>
      <c r="C1200" t="s">
        <v>3539</v>
      </c>
      <c r="D1200" t="s">
        <v>26</v>
      </c>
      <c r="E1200">
        <v>31</v>
      </c>
      <c r="F1200" t="s">
        <v>84</v>
      </c>
      <c r="G1200" t="s">
        <v>54</v>
      </c>
      <c r="H1200">
        <v>25</v>
      </c>
      <c r="I1200" t="s">
        <v>65</v>
      </c>
      <c r="J1200" t="s">
        <v>30</v>
      </c>
      <c r="K1200">
        <v>5</v>
      </c>
      <c r="L1200" t="s">
        <v>72</v>
      </c>
      <c r="M1200" t="s">
        <v>182</v>
      </c>
      <c r="N1200" t="s">
        <v>40</v>
      </c>
      <c r="O1200">
        <v>362540</v>
      </c>
      <c r="P1200">
        <v>1</v>
      </c>
      <c r="Q1200" t="s">
        <v>34</v>
      </c>
      <c r="R1200" s="1">
        <v>44258</v>
      </c>
      <c r="S1200" t="s">
        <v>34</v>
      </c>
      <c r="T1200">
        <v>1</v>
      </c>
      <c r="U1200">
        <v>0</v>
      </c>
      <c r="V1200">
        <v>0</v>
      </c>
      <c r="W1200">
        <v>0</v>
      </c>
      <c r="X1200" t="s">
        <v>11024</v>
      </c>
      <c r="Y1200" t="s">
        <v>11024</v>
      </c>
      <c r="Z1200" t="str">
        <f>_xlfn.XLOOKUP(Employees[[#This Row],[Education]], EdLevel[EducationLevelID], EdLevel[EducationLevel])</f>
        <v>Doctorate</v>
      </c>
      <c r="AA1200">
        <f>IF(Employees[[#This Row],[Attrition]] = "Yes", 1, 0)</f>
        <v>0</v>
      </c>
      <c r="AB1200" t="str" cm="1">
        <f t="array" ref="AB1200">_xlfn.IFS(Employees[[#This Row],[Age]]&lt;30, "20-29", Employees[[#This Row],[Age]]&lt;40, "30-39", Employees[[#This Row],[Age]]&lt;50, "40-49", "TRUE", "50+")</f>
        <v>30-39</v>
      </c>
    </row>
    <row r="1201" spans="1:28">
      <c r="A1201" t="s">
        <v>3540</v>
      </c>
      <c r="B1201" t="s">
        <v>3541</v>
      </c>
      <c r="C1201" t="s">
        <v>3542</v>
      </c>
      <c r="D1201" t="s">
        <v>38</v>
      </c>
      <c r="E1201">
        <v>35</v>
      </c>
      <c r="F1201" t="s">
        <v>27</v>
      </c>
      <c r="G1201" t="s">
        <v>54</v>
      </c>
      <c r="H1201">
        <v>19</v>
      </c>
      <c r="I1201" t="s">
        <v>65</v>
      </c>
      <c r="J1201" t="s">
        <v>30</v>
      </c>
      <c r="K1201">
        <v>4</v>
      </c>
      <c r="L1201" t="s">
        <v>55</v>
      </c>
      <c r="M1201" t="s">
        <v>93</v>
      </c>
      <c r="N1201" t="s">
        <v>49</v>
      </c>
      <c r="O1201">
        <v>286432</v>
      </c>
      <c r="P1201">
        <v>1</v>
      </c>
      <c r="Q1201" t="s">
        <v>34</v>
      </c>
      <c r="R1201" s="1">
        <v>44258</v>
      </c>
      <c r="S1201" t="s">
        <v>34</v>
      </c>
      <c r="T1201">
        <v>1</v>
      </c>
      <c r="U1201">
        <v>0</v>
      </c>
      <c r="V1201">
        <v>1</v>
      </c>
      <c r="W1201">
        <v>0</v>
      </c>
      <c r="X1201" t="s">
        <v>11023</v>
      </c>
      <c r="Y1201" t="s">
        <v>11023</v>
      </c>
      <c r="Z1201" t="str">
        <f>_xlfn.XLOOKUP(Employees[[#This Row],[Education]], EdLevel[EducationLevelID], EdLevel[EducationLevel])</f>
        <v xml:space="preserve">Masters </v>
      </c>
      <c r="AA1201">
        <f>IF(Employees[[#This Row],[Attrition]] = "Yes", 1, 0)</f>
        <v>0</v>
      </c>
      <c r="AB1201" t="str" cm="1">
        <f t="array" ref="AB1201">_xlfn.IFS(Employees[[#This Row],[Age]]&lt;30, "20-29", Employees[[#This Row],[Age]]&lt;40, "30-39", Employees[[#This Row],[Age]]&lt;50, "40-49", "TRUE", "50+")</f>
        <v>30-39</v>
      </c>
    </row>
    <row r="1202" spans="1:28">
      <c r="A1202" t="s">
        <v>3543</v>
      </c>
      <c r="B1202" t="s">
        <v>3544</v>
      </c>
      <c r="C1202" t="s">
        <v>3545</v>
      </c>
      <c r="D1202" t="s">
        <v>26</v>
      </c>
      <c r="E1202">
        <v>19</v>
      </c>
      <c r="F1202" t="s">
        <v>27</v>
      </c>
      <c r="G1202" t="s">
        <v>45</v>
      </c>
      <c r="H1202">
        <v>1</v>
      </c>
      <c r="I1202" t="s">
        <v>39</v>
      </c>
      <c r="J1202" t="s">
        <v>30</v>
      </c>
      <c r="K1202">
        <v>3</v>
      </c>
      <c r="L1202" t="s">
        <v>45</v>
      </c>
      <c r="M1202" t="s">
        <v>207</v>
      </c>
      <c r="N1202" t="s">
        <v>40</v>
      </c>
      <c r="O1202">
        <v>41958</v>
      </c>
      <c r="P1202">
        <v>1</v>
      </c>
      <c r="Q1202" t="s">
        <v>34</v>
      </c>
      <c r="R1202" s="1">
        <v>44264</v>
      </c>
      <c r="S1202" t="s">
        <v>34</v>
      </c>
      <c r="T1202">
        <v>1</v>
      </c>
      <c r="U1202">
        <v>1</v>
      </c>
      <c r="V1202">
        <v>1</v>
      </c>
      <c r="W1202">
        <v>0</v>
      </c>
      <c r="X1202" t="s">
        <v>11022</v>
      </c>
      <c r="Y1202" t="s">
        <v>11022</v>
      </c>
      <c r="Z1202" t="str">
        <f>_xlfn.XLOOKUP(Employees[[#This Row],[Education]], EdLevel[EducationLevelID], EdLevel[EducationLevel])</f>
        <v xml:space="preserve">Bachelors </v>
      </c>
      <c r="AA1202">
        <f>IF(Employees[[#This Row],[Attrition]] = "Yes", 1, 0)</f>
        <v>0</v>
      </c>
      <c r="AB1202" t="str" cm="1">
        <f t="array" ref="AB1202">_xlfn.IFS(Employees[[#This Row],[Age]]&lt;30, "20-29", Employees[[#This Row],[Age]]&lt;40, "30-39", Employees[[#This Row],[Age]]&lt;50, "40-49", "TRUE", "50+")</f>
        <v>20-29</v>
      </c>
    </row>
    <row r="1203" spans="1:28">
      <c r="A1203" t="s">
        <v>3546</v>
      </c>
      <c r="B1203" t="s">
        <v>3547</v>
      </c>
      <c r="C1203" t="s">
        <v>3548</v>
      </c>
      <c r="D1203" t="s">
        <v>26</v>
      </c>
      <c r="E1203">
        <v>30</v>
      </c>
      <c r="F1203" t="s">
        <v>27</v>
      </c>
      <c r="G1203" t="s">
        <v>54</v>
      </c>
      <c r="H1203">
        <v>19</v>
      </c>
      <c r="I1203" t="s">
        <v>39</v>
      </c>
      <c r="J1203" t="s">
        <v>30</v>
      </c>
      <c r="K1203">
        <v>3</v>
      </c>
      <c r="L1203" t="s">
        <v>55</v>
      </c>
      <c r="M1203" t="s">
        <v>105</v>
      </c>
      <c r="N1203" t="s">
        <v>33</v>
      </c>
      <c r="O1203">
        <v>125751</v>
      </c>
      <c r="P1203">
        <v>1</v>
      </c>
      <c r="Q1203" t="s">
        <v>34</v>
      </c>
      <c r="R1203" s="1">
        <v>44266</v>
      </c>
      <c r="S1203" t="s">
        <v>34</v>
      </c>
      <c r="T1203">
        <v>1</v>
      </c>
      <c r="U1203">
        <v>0</v>
      </c>
      <c r="V1203">
        <v>1</v>
      </c>
      <c r="W1203">
        <v>1</v>
      </c>
      <c r="X1203" t="s">
        <v>11022</v>
      </c>
      <c r="Y1203" t="s">
        <v>11022</v>
      </c>
      <c r="Z1203" t="str">
        <f>_xlfn.XLOOKUP(Employees[[#This Row],[Education]], EdLevel[EducationLevelID], EdLevel[EducationLevel])</f>
        <v xml:space="preserve">Bachelors </v>
      </c>
      <c r="AA1203">
        <f>IF(Employees[[#This Row],[Attrition]] = "Yes", 1, 0)</f>
        <v>0</v>
      </c>
      <c r="AB1203" t="str" cm="1">
        <f t="array" ref="AB1203">_xlfn.IFS(Employees[[#This Row],[Age]]&lt;30, "20-29", Employees[[#This Row],[Age]]&lt;40, "30-39", Employees[[#This Row],[Age]]&lt;50, "40-49", "TRUE", "50+")</f>
        <v>30-39</v>
      </c>
    </row>
    <row r="1204" spans="1:28">
      <c r="A1204" t="s">
        <v>3549</v>
      </c>
      <c r="B1204" t="s">
        <v>3550</v>
      </c>
      <c r="C1204" t="s">
        <v>3551</v>
      </c>
      <c r="D1204" t="s">
        <v>26</v>
      </c>
      <c r="E1204">
        <v>20</v>
      </c>
      <c r="F1204" t="s">
        <v>27</v>
      </c>
      <c r="G1204" t="s">
        <v>54</v>
      </c>
      <c r="H1204">
        <v>39</v>
      </c>
      <c r="I1204" t="s">
        <v>39</v>
      </c>
      <c r="J1204" t="s">
        <v>30</v>
      </c>
      <c r="K1204">
        <v>4</v>
      </c>
      <c r="L1204" t="s">
        <v>72</v>
      </c>
      <c r="M1204" t="s">
        <v>101</v>
      </c>
      <c r="N1204" t="s">
        <v>49</v>
      </c>
      <c r="O1204">
        <v>37436</v>
      </c>
      <c r="P1204">
        <v>0</v>
      </c>
      <c r="Q1204" t="s">
        <v>41</v>
      </c>
      <c r="R1204" s="1">
        <v>44269</v>
      </c>
      <c r="S1204" t="s">
        <v>41</v>
      </c>
      <c r="T1204">
        <v>0</v>
      </c>
      <c r="U1204">
        <v>0</v>
      </c>
      <c r="V1204">
        <v>0</v>
      </c>
      <c r="W1204">
        <v>0</v>
      </c>
      <c r="X1204" t="s">
        <v>11023</v>
      </c>
      <c r="Y1204" t="s">
        <v>11023</v>
      </c>
      <c r="Z1204" t="str">
        <f>_xlfn.XLOOKUP(Employees[[#This Row],[Education]], EdLevel[EducationLevelID], EdLevel[EducationLevel])</f>
        <v xml:space="preserve">Masters </v>
      </c>
      <c r="AA1204">
        <f>IF(Employees[[#This Row],[Attrition]] = "Yes", 1, 0)</f>
        <v>1</v>
      </c>
      <c r="AB1204" t="str" cm="1">
        <f t="array" ref="AB1204">_xlfn.IFS(Employees[[#This Row],[Age]]&lt;30, "20-29", Employees[[#This Row],[Age]]&lt;40, "30-39", Employees[[#This Row],[Age]]&lt;50, "40-49", "TRUE", "50+")</f>
        <v>20-29</v>
      </c>
    </row>
    <row r="1205" spans="1:28">
      <c r="A1205" t="s">
        <v>3552</v>
      </c>
      <c r="B1205" t="s">
        <v>3553</v>
      </c>
      <c r="C1205" t="s">
        <v>3554</v>
      </c>
      <c r="D1205" t="s">
        <v>38</v>
      </c>
      <c r="E1205">
        <v>19</v>
      </c>
      <c r="F1205" t="s">
        <v>27</v>
      </c>
      <c r="G1205" t="s">
        <v>54</v>
      </c>
      <c r="H1205">
        <v>7</v>
      </c>
      <c r="I1205" t="s">
        <v>39</v>
      </c>
      <c r="J1205" t="s">
        <v>30</v>
      </c>
      <c r="K1205">
        <v>3</v>
      </c>
      <c r="L1205" t="s">
        <v>72</v>
      </c>
      <c r="M1205" t="s">
        <v>101</v>
      </c>
      <c r="N1205" t="s">
        <v>40</v>
      </c>
      <c r="O1205">
        <v>30896</v>
      </c>
      <c r="P1205">
        <v>0</v>
      </c>
      <c r="Q1205" t="s">
        <v>41</v>
      </c>
      <c r="R1205" s="1">
        <v>44272</v>
      </c>
      <c r="S1205" t="s">
        <v>41</v>
      </c>
      <c r="T1205">
        <v>1</v>
      </c>
      <c r="U1205">
        <v>0</v>
      </c>
      <c r="V1205">
        <v>0</v>
      </c>
      <c r="W1205">
        <v>0</v>
      </c>
      <c r="X1205" t="s">
        <v>11022</v>
      </c>
      <c r="Y1205" t="s">
        <v>11022</v>
      </c>
      <c r="Z1205" t="str">
        <f>_xlfn.XLOOKUP(Employees[[#This Row],[Education]], EdLevel[EducationLevelID], EdLevel[EducationLevel])</f>
        <v xml:space="preserve">Bachelors </v>
      </c>
      <c r="AA1205">
        <f>IF(Employees[[#This Row],[Attrition]] = "Yes", 1, 0)</f>
        <v>1</v>
      </c>
      <c r="AB1205" t="str" cm="1">
        <f t="array" ref="AB1205">_xlfn.IFS(Employees[[#This Row],[Age]]&lt;30, "20-29", Employees[[#This Row],[Age]]&lt;40, "30-39", Employees[[#This Row],[Age]]&lt;50, "40-49", "TRUE", "50+")</f>
        <v>20-29</v>
      </c>
    </row>
    <row r="1206" spans="1:28">
      <c r="A1206" t="s">
        <v>3555</v>
      </c>
      <c r="B1206" t="s">
        <v>3556</v>
      </c>
      <c r="C1206" t="s">
        <v>3557</v>
      </c>
      <c r="D1206" t="s">
        <v>26</v>
      </c>
      <c r="E1206">
        <v>42</v>
      </c>
      <c r="F1206" t="s">
        <v>27</v>
      </c>
      <c r="G1206" t="s">
        <v>28</v>
      </c>
      <c r="H1206">
        <v>2</v>
      </c>
      <c r="I1206" t="s">
        <v>65</v>
      </c>
      <c r="J1206" t="s">
        <v>30</v>
      </c>
      <c r="K1206">
        <v>3</v>
      </c>
      <c r="L1206" t="s">
        <v>121</v>
      </c>
      <c r="M1206" t="s">
        <v>32</v>
      </c>
      <c r="N1206" t="s">
        <v>33</v>
      </c>
      <c r="O1206">
        <v>260021</v>
      </c>
      <c r="P1206">
        <v>1</v>
      </c>
      <c r="Q1206" t="s">
        <v>34</v>
      </c>
      <c r="R1206" s="1">
        <v>44277</v>
      </c>
      <c r="S1206" t="s">
        <v>34</v>
      </c>
      <c r="T1206">
        <v>1</v>
      </c>
      <c r="U1206">
        <v>1</v>
      </c>
      <c r="V1206">
        <v>1</v>
      </c>
      <c r="W1206">
        <v>0</v>
      </c>
      <c r="X1206" t="s">
        <v>11022</v>
      </c>
      <c r="Y1206" t="s">
        <v>11022</v>
      </c>
      <c r="Z1206" t="str">
        <f>_xlfn.XLOOKUP(Employees[[#This Row],[Education]], EdLevel[EducationLevelID], EdLevel[EducationLevel])</f>
        <v xml:space="preserve">Bachelors </v>
      </c>
      <c r="AA1206">
        <f>IF(Employees[[#This Row],[Attrition]] = "Yes", 1, 0)</f>
        <v>0</v>
      </c>
      <c r="AB1206" t="str" cm="1">
        <f t="array" ref="AB1206">_xlfn.IFS(Employees[[#This Row],[Age]]&lt;30, "20-29", Employees[[#This Row],[Age]]&lt;40, "30-39", Employees[[#This Row],[Age]]&lt;50, "40-49", "TRUE", "50+")</f>
        <v>40-49</v>
      </c>
    </row>
    <row r="1207" spans="1:28">
      <c r="A1207" t="s">
        <v>3558</v>
      </c>
      <c r="B1207" t="s">
        <v>3559</v>
      </c>
      <c r="C1207" t="s">
        <v>3560</v>
      </c>
      <c r="D1207" t="s">
        <v>38</v>
      </c>
      <c r="E1207">
        <v>21</v>
      </c>
      <c r="F1207" t="s">
        <v>27</v>
      </c>
      <c r="G1207" t="s">
        <v>54</v>
      </c>
      <c r="H1207">
        <v>5</v>
      </c>
      <c r="I1207" t="s">
        <v>65</v>
      </c>
      <c r="J1207" t="s">
        <v>30</v>
      </c>
      <c r="K1207">
        <v>3</v>
      </c>
      <c r="L1207" t="s">
        <v>55</v>
      </c>
      <c r="M1207" t="s">
        <v>101</v>
      </c>
      <c r="N1207" t="s">
        <v>49</v>
      </c>
      <c r="O1207">
        <v>25060</v>
      </c>
      <c r="P1207">
        <v>1</v>
      </c>
      <c r="Q1207" t="s">
        <v>34</v>
      </c>
      <c r="R1207" s="1">
        <v>44277</v>
      </c>
      <c r="S1207" t="s">
        <v>34</v>
      </c>
      <c r="T1207">
        <v>1</v>
      </c>
      <c r="U1207">
        <v>1</v>
      </c>
      <c r="V1207">
        <v>1</v>
      </c>
      <c r="W1207">
        <v>1</v>
      </c>
      <c r="X1207" t="s">
        <v>11022</v>
      </c>
      <c r="Y1207" t="s">
        <v>11022</v>
      </c>
      <c r="Z1207" t="str">
        <f>_xlfn.XLOOKUP(Employees[[#This Row],[Education]], EdLevel[EducationLevelID], EdLevel[EducationLevel])</f>
        <v xml:space="preserve">Bachelors </v>
      </c>
      <c r="AA1207">
        <f>IF(Employees[[#This Row],[Attrition]] = "Yes", 1, 0)</f>
        <v>0</v>
      </c>
      <c r="AB1207" t="str" cm="1">
        <f t="array" ref="AB1207">_xlfn.IFS(Employees[[#This Row],[Age]]&lt;30, "20-29", Employees[[#This Row],[Age]]&lt;40, "30-39", Employees[[#This Row],[Age]]&lt;50, "40-49", "TRUE", "50+")</f>
        <v>20-29</v>
      </c>
    </row>
    <row r="1208" spans="1:28">
      <c r="A1208" t="s">
        <v>3561</v>
      </c>
      <c r="B1208" t="s">
        <v>3562</v>
      </c>
      <c r="C1208" t="s">
        <v>3140</v>
      </c>
      <c r="D1208" t="s">
        <v>38</v>
      </c>
      <c r="E1208">
        <v>50</v>
      </c>
      <c r="F1208" t="s">
        <v>84</v>
      </c>
      <c r="G1208" t="s">
        <v>54</v>
      </c>
      <c r="H1208">
        <v>38</v>
      </c>
      <c r="I1208" t="s">
        <v>65</v>
      </c>
      <c r="J1208" t="s">
        <v>30</v>
      </c>
      <c r="K1208">
        <v>4</v>
      </c>
      <c r="L1208" t="s">
        <v>72</v>
      </c>
      <c r="M1208" t="s">
        <v>93</v>
      </c>
      <c r="N1208" t="s">
        <v>49</v>
      </c>
      <c r="O1208">
        <v>366078</v>
      </c>
      <c r="P1208">
        <v>0</v>
      </c>
      <c r="Q1208" t="s">
        <v>34</v>
      </c>
      <c r="R1208" s="1">
        <v>44280</v>
      </c>
      <c r="S1208" t="s">
        <v>34</v>
      </c>
      <c r="T1208">
        <v>1</v>
      </c>
      <c r="U1208">
        <v>0</v>
      </c>
      <c r="V1208">
        <v>0</v>
      </c>
      <c r="W1208">
        <v>1</v>
      </c>
      <c r="X1208" t="s">
        <v>11023</v>
      </c>
      <c r="Y1208" t="s">
        <v>11023</v>
      </c>
      <c r="Z1208" t="str">
        <f>_xlfn.XLOOKUP(Employees[[#This Row],[Education]], EdLevel[EducationLevelID], EdLevel[EducationLevel])</f>
        <v xml:space="preserve">Masters </v>
      </c>
      <c r="AA1208">
        <f>IF(Employees[[#This Row],[Attrition]] = "Yes", 1, 0)</f>
        <v>0</v>
      </c>
      <c r="AB1208" t="str" cm="1">
        <f t="array" ref="AB1208">_xlfn.IFS(Employees[[#This Row],[Age]]&lt;30, "20-29", Employees[[#This Row],[Age]]&lt;40, "30-39", Employees[[#This Row],[Age]]&lt;50, "40-49", "TRUE", "50+")</f>
        <v>50+</v>
      </c>
    </row>
    <row r="1209" spans="1:28">
      <c r="A1209" t="s">
        <v>3563</v>
      </c>
      <c r="B1209" t="s">
        <v>3564</v>
      </c>
      <c r="C1209" t="s">
        <v>3565</v>
      </c>
      <c r="D1209" t="s">
        <v>38</v>
      </c>
      <c r="E1209">
        <v>22</v>
      </c>
      <c r="F1209" t="s">
        <v>27</v>
      </c>
      <c r="G1209" t="s">
        <v>54</v>
      </c>
      <c r="H1209">
        <v>42</v>
      </c>
      <c r="I1209" t="s">
        <v>39</v>
      </c>
      <c r="J1209" t="s">
        <v>30</v>
      </c>
      <c r="K1209">
        <v>4</v>
      </c>
      <c r="L1209" t="s">
        <v>178</v>
      </c>
      <c r="M1209" t="s">
        <v>101</v>
      </c>
      <c r="N1209" t="s">
        <v>49</v>
      </c>
      <c r="O1209">
        <v>51272</v>
      </c>
      <c r="P1209">
        <v>1</v>
      </c>
      <c r="Q1209" t="s">
        <v>41</v>
      </c>
      <c r="R1209" s="1">
        <v>44281</v>
      </c>
      <c r="S1209" t="s">
        <v>34</v>
      </c>
      <c r="T1209">
        <v>1</v>
      </c>
      <c r="U1209">
        <v>0</v>
      </c>
      <c r="V1209">
        <v>0</v>
      </c>
      <c r="W1209">
        <v>1</v>
      </c>
      <c r="X1209" t="s">
        <v>11023</v>
      </c>
      <c r="Y1209" t="s">
        <v>11023</v>
      </c>
      <c r="Z1209" t="str">
        <f>_xlfn.XLOOKUP(Employees[[#This Row],[Education]], EdLevel[EducationLevelID], EdLevel[EducationLevel])</f>
        <v xml:space="preserve">Masters </v>
      </c>
      <c r="AA1209">
        <f>IF(Employees[[#This Row],[Attrition]] = "Yes", 1, 0)</f>
        <v>0</v>
      </c>
      <c r="AB1209" t="str" cm="1">
        <f t="array" ref="AB1209">_xlfn.IFS(Employees[[#This Row],[Age]]&lt;30, "20-29", Employees[[#This Row],[Age]]&lt;40, "30-39", Employees[[#This Row],[Age]]&lt;50, "40-49", "TRUE", "50+")</f>
        <v>20-29</v>
      </c>
    </row>
    <row r="1210" spans="1:28">
      <c r="A1210" t="s">
        <v>3566</v>
      </c>
      <c r="B1210" t="s">
        <v>3567</v>
      </c>
      <c r="C1210" t="s">
        <v>3568</v>
      </c>
      <c r="D1210" t="s">
        <v>53</v>
      </c>
      <c r="E1210">
        <v>19</v>
      </c>
      <c r="F1210" t="s">
        <v>27</v>
      </c>
      <c r="G1210" t="s">
        <v>28</v>
      </c>
      <c r="H1210">
        <v>29</v>
      </c>
      <c r="I1210" t="s">
        <v>39</v>
      </c>
      <c r="J1210" t="s">
        <v>30</v>
      </c>
      <c r="K1210">
        <v>1</v>
      </c>
      <c r="L1210" t="s">
        <v>31</v>
      </c>
      <c r="M1210" t="s">
        <v>150</v>
      </c>
      <c r="N1210" t="s">
        <v>40</v>
      </c>
      <c r="O1210">
        <v>29673</v>
      </c>
      <c r="P1210">
        <v>1</v>
      </c>
      <c r="Q1210" t="s">
        <v>34</v>
      </c>
      <c r="R1210" s="1">
        <v>44282</v>
      </c>
      <c r="S1210" t="s">
        <v>41</v>
      </c>
      <c r="T1210">
        <v>0</v>
      </c>
      <c r="U1210">
        <v>0</v>
      </c>
      <c r="V1210">
        <v>0</v>
      </c>
      <c r="W1210">
        <v>0</v>
      </c>
      <c r="X1210" t="s">
        <v>11020</v>
      </c>
      <c r="Y1210" t="s">
        <v>11020</v>
      </c>
      <c r="Z1210" t="str">
        <f>_xlfn.XLOOKUP(Employees[[#This Row],[Education]], EdLevel[EducationLevelID], EdLevel[EducationLevel])</f>
        <v>No Formal Qualifications</v>
      </c>
      <c r="AA1210">
        <f>IF(Employees[[#This Row],[Attrition]] = "Yes", 1, 0)</f>
        <v>1</v>
      </c>
      <c r="AB1210" t="str" cm="1">
        <f t="array" ref="AB1210">_xlfn.IFS(Employees[[#This Row],[Age]]&lt;30, "20-29", Employees[[#This Row],[Age]]&lt;40, "30-39", Employees[[#This Row],[Age]]&lt;50, "40-49", "TRUE", "50+")</f>
        <v>20-29</v>
      </c>
    </row>
    <row r="1211" spans="1:28">
      <c r="A1211" t="s">
        <v>3569</v>
      </c>
      <c r="B1211" t="s">
        <v>3570</v>
      </c>
      <c r="C1211" t="s">
        <v>3571</v>
      </c>
      <c r="D1211" t="s">
        <v>859</v>
      </c>
      <c r="E1211">
        <v>45</v>
      </c>
      <c r="F1211" t="s">
        <v>27</v>
      </c>
      <c r="G1211" t="s">
        <v>54</v>
      </c>
      <c r="H1211">
        <v>5</v>
      </c>
      <c r="I1211" t="s">
        <v>39</v>
      </c>
      <c r="J1211" t="s">
        <v>30</v>
      </c>
      <c r="K1211">
        <v>4</v>
      </c>
      <c r="L1211" t="s">
        <v>55</v>
      </c>
      <c r="M1211" t="s">
        <v>93</v>
      </c>
      <c r="N1211" t="s">
        <v>40</v>
      </c>
      <c r="O1211">
        <v>241664</v>
      </c>
      <c r="P1211">
        <v>0</v>
      </c>
      <c r="Q1211" t="s">
        <v>34</v>
      </c>
      <c r="R1211" s="1">
        <v>44282</v>
      </c>
      <c r="S1211" t="s">
        <v>34</v>
      </c>
      <c r="T1211">
        <v>1</v>
      </c>
      <c r="U1211">
        <v>1</v>
      </c>
      <c r="V1211">
        <v>1</v>
      </c>
      <c r="W1211">
        <v>0</v>
      </c>
      <c r="X1211" t="s">
        <v>11023</v>
      </c>
      <c r="Y1211" t="s">
        <v>11023</v>
      </c>
      <c r="Z1211" t="str">
        <f>_xlfn.XLOOKUP(Employees[[#This Row],[Education]], EdLevel[EducationLevelID], EdLevel[EducationLevel])</f>
        <v xml:space="preserve">Masters </v>
      </c>
      <c r="AA1211">
        <f>IF(Employees[[#This Row],[Attrition]] = "Yes", 1, 0)</f>
        <v>0</v>
      </c>
      <c r="AB1211" t="str" cm="1">
        <f t="array" ref="AB1211">_xlfn.IFS(Employees[[#This Row],[Age]]&lt;30, "20-29", Employees[[#This Row],[Age]]&lt;40, "30-39", Employees[[#This Row],[Age]]&lt;50, "40-49", "TRUE", "50+")</f>
        <v>40-49</v>
      </c>
    </row>
    <row r="1212" spans="1:28">
      <c r="A1212" t="s">
        <v>3572</v>
      </c>
      <c r="B1212" t="s">
        <v>2273</v>
      </c>
      <c r="C1212" t="s">
        <v>3573</v>
      </c>
      <c r="D1212" t="s">
        <v>38</v>
      </c>
      <c r="E1212">
        <v>24</v>
      </c>
      <c r="F1212" t="s">
        <v>84</v>
      </c>
      <c r="G1212" t="s">
        <v>54</v>
      </c>
      <c r="H1212">
        <v>45</v>
      </c>
      <c r="I1212" t="s">
        <v>39</v>
      </c>
      <c r="J1212" t="s">
        <v>30</v>
      </c>
      <c r="K1212">
        <v>3</v>
      </c>
      <c r="L1212" t="s">
        <v>55</v>
      </c>
      <c r="M1212" t="s">
        <v>85</v>
      </c>
      <c r="N1212" t="s">
        <v>40</v>
      </c>
      <c r="O1212">
        <v>85422</v>
      </c>
      <c r="P1212">
        <v>0</v>
      </c>
      <c r="Q1212" t="s">
        <v>41</v>
      </c>
      <c r="R1212" s="1">
        <v>44283</v>
      </c>
      <c r="S1212" t="s">
        <v>41</v>
      </c>
      <c r="T1212">
        <v>1</v>
      </c>
      <c r="U1212">
        <v>0</v>
      </c>
      <c r="V1212">
        <v>0</v>
      </c>
      <c r="W1212">
        <v>0</v>
      </c>
      <c r="X1212" t="s">
        <v>11022</v>
      </c>
      <c r="Y1212" t="s">
        <v>11022</v>
      </c>
      <c r="Z1212" t="str">
        <f>_xlfn.XLOOKUP(Employees[[#This Row],[Education]], EdLevel[EducationLevelID], EdLevel[EducationLevel])</f>
        <v xml:space="preserve">Bachelors </v>
      </c>
      <c r="AA1212">
        <f>IF(Employees[[#This Row],[Attrition]] = "Yes", 1, 0)</f>
        <v>1</v>
      </c>
      <c r="AB1212" t="str" cm="1">
        <f t="array" ref="AB1212">_xlfn.IFS(Employees[[#This Row],[Age]]&lt;30, "20-29", Employees[[#This Row],[Age]]&lt;40, "30-39", Employees[[#This Row],[Age]]&lt;50, "40-49", "TRUE", "50+")</f>
        <v>20-29</v>
      </c>
    </row>
    <row r="1213" spans="1:28">
      <c r="A1213" t="s">
        <v>3574</v>
      </c>
      <c r="B1213" t="s">
        <v>3575</v>
      </c>
      <c r="C1213" t="s">
        <v>3576</v>
      </c>
      <c r="D1213" t="s">
        <v>38</v>
      </c>
      <c r="E1213">
        <v>26</v>
      </c>
      <c r="F1213" t="s">
        <v>27</v>
      </c>
      <c r="G1213" t="s">
        <v>28</v>
      </c>
      <c r="H1213">
        <v>36</v>
      </c>
      <c r="I1213" t="s">
        <v>29</v>
      </c>
      <c r="J1213" t="s">
        <v>30</v>
      </c>
      <c r="K1213">
        <v>4</v>
      </c>
      <c r="L1213" t="s">
        <v>31</v>
      </c>
      <c r="M1213" t="s">
        <v>150</v>
      </c>
      <c r="N1213" t="s">
        <v>49</v>
      </c>
      <c r="O1213">
        <v>70455</v>
      </c>
      <c r="P1213">
        <v>2</v>
      </c>
      <c r="Q1213" t="s">
        <v>41</v>
      </c>
      <c r="R1213" s="1">
        <v>44285</v>
      </c>
      <c r="S1213" t="s">
        <v>34</v>
      </c>
      <c r="T1213">
        <v>1</v>
      </c>
      <c r="U1213">
        <v>1</v>
      </c>
      <c r="V1213">
        <v>1</v>
      </c>
      <c r="W1213">
        <v>1</v>
      </c>
      <c r="X1213" t="s">
        <v>11023</v>
      </c>
      <c r="Y1213" t="s">
        <v>11023</v>
      </c>
      <c r="Z1213" t="str">
        <f>_xlfn.XLOOKUP(Employees[[#This Row],[Education]], EdLevel[EducationLevelID], EdLevel[EducationLevel])</f>
        <v xml:space="preserve">Masters </v>
      </c>
      <c r="AA1213">
        <f>IF(Employees[[#This Row],[Attrition]] = "Yes", 1, 0)</f>
        <v>0</v>
      </c>
      <c r="AB1213" t="str" cm="1">
        <f t="array" ref="AB1213">_xlfn.IFS(Employees[[#This Row],[Age]]&lt;30, "20-29", Employees[[#This Row],[Age]]&lt;40, "30-39", Employees[[#This Row],[Age]]&lt;50, "40-49", "TRUE", "50+")</f>
        <v>20-29</v>
      </c>
    </row>
    <row r="1214" spans="1:28">
      <c r="A1214" t="s">
        <v>3577</v>
      </c>
      <c r="B1214" t="s">
        <v>3578</v>
      </c>
      <c r="C1214" t="s">
        <v>3579</v>
      </c>
      <c r="D1214" t="s">
        <v>26</v>
      </c>
      <c r="E1214">
        <v>21</v>
      </c>
      <c r="F1214" t="s">
        <v>70</v>
      </c>
      <c r="G1214" t="s">
        <v>54</v>
      </c>
      <c r="H1214">
        <v>24</v>
      </c>
      <c r="I1214" t="s">
        <v>39</v>
      </c>
      <c r="J1214" t="s">
        <v>30</v>
      </c>
      <c r="K1214">
        <v>5</v>
      </c>
      <c r="L1214" t="s">
        <v>72</v>
      </c>
      <c r="M1214" t="s">
        <v>101</v>
      </c>
      <c r="N1214" t="s">
        <v>49</v>
      </c>
      <c r="O1214">
        <v>53912</v>
      </c>
      <c r="P1214">
        <v>2</v>
      </c>
      <c r="Q1214" t="s">
        <v>41</v>
      </c>
      <c r="R1214" s="1">
        <v>44288</v>
      </c>
      <c r="S1214" t="s">
        <v>34</v>
      </c>
      <c r="T1214">
        <v>1</v>
      </c>
      <c r="U1214">
        <v>1</v>
      </c>
      <c r="V1214">
        <v>1</v>
      </c>
      <c r="W1214">
        <v>0</v>
      </c>
      <c r="X1214" t="s">
        <v>11024</v>
      </c>
      <c r="Y1214" t="s">
        <v>11024</v>
      </c>
      <c r="Z1214" t="str">
        <f>_xlfn.XLOOKUP(Employees[[#This Row],[Education]], EdLevel[EducationLevelID], EdLevel[EducationLevel])</f>
        <v>Doctorate</v>
      </c>
      <c r="AA1214">
        <f>IF(Employees[[#This Row],[Attrition]] = "Yes", 1, 0)</f>
        <v>0</v>
      </c>
      <c r="AB1214" t="str" cm="1">
        <f t="array" ref="AB1214">_xlfn.IFS(Employees[[#This Row],[Age]]&lt;30, "20-29", Employees[[#This Row],[Age]]&lt;40, "30-39", Employees[[#This Row],[Age]]&lt;50, "40-49", "TRUE", "50+")</f>
        <v>20-29</v>
      </c>
    </row>
    <row r="1215" spans="1:28">
      <c r="A1215" t="s">
        <v>3580</v>
      </c>
      <c r="B1215" t="s">
        <v>3581</v>
      </c>
      <c r="C1215" t="s">
        <v>3582</v>
      </c>
      <c r="D1215" t="s">
        <v>26</v>
      </c>
      <c r="E1215">
        <v>22</v>
      </c>
      <c r="F1215" t="s">
        <v>27</v>
      </c>
      <c r="G1215" t="s">
        <v>28</v>
      </c>
      <c r="H1215">
        <v>16</v>
      </c>
      <c r="I1215" t="s">
        <v>39</v>
      </c>
      <c r="J1215" t="s">
        <v>30</v>
      </c>
      <c r="K1215">
        <v>3</v>
      </c>
      <c r="L1215" t="s">
        <v>47</v>
      </c>
      <c r="M1215" t="s">
        <v>32</v>
      </c>
      <c r="N1215" t="s">
        <v>40</v>
      </c>
      <c r="O1215">
        <v>70202</v>
      </c>
      <c r="P1215">
        <v>0</v>
      </c>
      <c r="Q1215" t="s">
        <v>34</v>
      </c>
      <c r="R1215" s="1">
        <v>44294</v>
      </c>
      <c r="S1215" t="s">
        <v>34</v>
      </c>
      <c r="T1215">
        <v>1</v>
      </c>
      <c r="U1215">
        <v>0</v>
      </c>
      <c r="V1215">
        <v>0</v>
      </c>
      <c r="W1215">
        <v>0</v>
      </c>
      <c r="X1215" t="s">
        <v>11022</v>
      </c>
      <c r="Y1215" t="s">
        <v>11022</v>
      </c>
      <c r="Z1215" t="str">
        <f>_xlfn.XLOOKUP(Employees[[#This Row],[Education]], EdLevel[EducationLevelID], EdLevel[EducationLevel])</f>
        <v xml:space="preserve">Bachelors </v>
      </c>
      <c r="AA1215">
        <f>IF(Employees[[#This Row],[Attrition]] = "Yes", 1, 0)</f>
        <v>0</v>
      </c>
      <c r="AB1215" t="str" cm="1">
        <f t="array" ref="AB1215">_xlfn.IFS(Employees[[#This Row],[Age]]&lt;30, "20-29", Employees[[#This Row],[Age]]&lt;40, "30-39", Employees[[#This Row],[Age]]&lt;50, "40-49", "TRUE", "50+")</f>
        <v>20-29</v>
      </c>
    </row>
    <row r="1216" spans="1:28">
      <c r="A1216" t="s">
        <v>3583</v>
      </c>
      <c r="B1216" t="s">
        <v>3584</v>
      </c>
      <c r="C1216" t="s">
        <v>3585</v>
      </c>
      <c r="D1216" t="s">
        <v>38</v>
      </c>
      <c r="E1216">
        <v>20</v>
      </c>
      <c r="F1216" t="s">
        <v>84</v>
      </c>
      <c r="G1216" t="s">
        <v>54</v>
      </c>
      <c r="H1216">
        <v>45</v>
      </c>
      <c r="I1216" t="s">
        <v>39</v>
      </c>
      <c r="J1216" t="s">
        <v>30</v>
      </c>
      <c r="K1216">
        <v>2</v>
      </c>
      <c r="L1216" t="s">
        <v>72</v>
      </c>
      <c r="M1216" t="s">
        <v>101</v>
      </c>
      <c r="N1216" t="s">
        <v>33</v>
      </c>
      <c r="O1216">
        <v>22773</v>
      </c>
      <c r="P1216">
        <v>3</v>
      </c>
      <c r="Q1216" t="s">
        <v>41</v>
      </c>
      <c r="R1216" s="1">
        <v>44300</v>
      </c>
      <c r="S1216" t="s">
        <v>41</v>
      </c>
      <c r="T1216">
        <v>1</v>
      </c>
      <c r="U1216">
        <v>0</v>
      </c>
      <c r="V1216">
        <v>0</v>
      </c>
      <c r="W1216">
        <v>0</v>
      </c>
      <c r="X1216" t="s">
        <v>11021</v>
      </c>
      <c r="Y1216" t="s">
        <v>11021</v>
      </c>
      <c r="Z1216" t="str">
        <f>_xlfn.XLOOKUP(Employees[[#This Row],[Education]], EdLevel[EducationLevelID], EdLevel[EducationLevel])</f>
        <v xml:space="preserve">High School </v>
      </c>
      <c r="AA1216">
        <f>IF(Employees[[#This Row],[Attrition]] = "Yes", 1, 0)</f>
        <v>1</v>
      </c>
      <c r="AB1216" t="str" cm="1">
        <f t="array" ref="AB1216">_xlfn.IFS(Employees[[#This Row],[Age]]&lt;30, "20-29", Employees[[#This Row],[Age]]&lt;40, "30-39", Employees[[#This Row],[Age]]&lt;50, "40-49", "TRUE", "50+")</f>
        <v>20-29</v>
      </c>
    </row>
    <row r="1217" spans="1:28">
      <c r="A1217" t="s">
        <v>3586</v>
      </c>
      <c r="B1217" t="s">
        <v>3587</v>
      </c>
      <c r="C1217" t="s">
        <v>3588</v>
      </c>
      <c r="D1217" t="s">
        <v>26</v>
      </c>
      <c r="E1217">
        <v>21</v>
      </c>
      <c r="F1217" t="s">
        <v>84</v>
      </c>
      <c r="G1217" t="s">
        <v>28</v>
      </c>
      <c r="H1217">
        <v>40</v>
      </c>
      <c r="I1217" t="s">
        <v>39</v>
      </c>
      <c r="J1217" t="s">
        <v>30</v>
      </c>
      <c r="K1217">
        <v>3</v>
      </c>
      <c r="L1217" t="s">
        <v>31</v>
      </c>
      <c r="M1217" t="s">
        <v>32</v>
      </c>
      <c r="N1217" t="s">
        <v>40</v>
      </c>
      <c r="O1217">
        <v>59519</v>
      </c>
      <c r="P1217">
        <v>0</v>
      </c>
      <c r="Q1217" t="s">
        <v>34</v>
      </c>
      <c r="R1217" s="1">
        <v>44304</v>
      </c>
      <c r="S1217" t="s">
        <v>34</v>
      </c>
      <c r="T1217">
        <v>1</v>
      </c>
      <c r="U1217">
        <v>1</v>
      </c>
      <c r="V1217">
        <v>1</v>
      </c>
      <c r="W1217">
        <v>1</v>
      </c>
      <c r="X1217" t="s">
        <v>11022</v>
      </c>
      <c r="Y1217" t="s">
        <v>11022</v>
      </c>
      <c r="Z1217" t="str">
        <f>_xlfn.XLOOKUP(Employees[[#This Row],[Education]], EdLevel[EducationLevelID], EdLevel[EducationLevel])</f>
        <v xml:space="preserve">Bachelors </v>
      </c>
      <c r="AA1217">
        <f>IF(Employees[[#This Row],[Attrition]] = "Yes", 1, 0)</f>
        <v>0</v>
      </c>
      <c r="AB1217" t="str" cm="1">
        <f t="array" ref="AB1217">_xlfn.IFS(Employees[[#This Row],[Age]]&lt;30, "20-29", Employees[[#This Row],[Age]]&lt;40, "30-39", Employees[[#This Row],[Age]]&lt;50, "40-49", "TRUE", "50+")</f>
        <v>20-29</v>
      </c>
    </row>
    <row r="1218" spans="1:28">
      <c r="A1218" t="s">
        <v>3589</v>
      </c>
      <c r="B1218" t="s">
        <v>833</v>
      </c>
      <c r="C1218" t="s">
        <v>3590</v>
      </c>
      <c r="D1218" t="s">
        <v>26</v>
      </c>
      <c r="E1218">
        <v>19</v>
      </c>
      <c r="F1218" t="s">
        <v>84</v>
      </c>
      <c r="G1218" t="s">
        <v>54</v>
      </c>
      <c r="H1218">
        <v>45</v>
      </c>
      <c r="I1218" t="s">
        <v>39</v>
      </c>
      <c r="J1218" t="s">
        <v>30</v>
      </c>
      <c r="K1218">
        <v>3</v>
      </c>
      <c r="L1218" t="s">
        <v>55</v>
      </c>
      <c r="M1218" t="s">
        <v>85</v>
      </c>
      <c r="N1218" t="s">
        <v>40</v>
      </c>
      <c r="O1218">
        <v>32322</v>
      </c>
      <c r="P1218">
        <v>0</v>
      </c>
      <c r="Q1218" t="s">
        <v>34</v>
      </c>
      <c r="R1218" s="1">
        <v>44308</v>
      </c>
      <c r="S1218" t="s">
        <v>34</v>
      </c>
      <c r="T1218">
        <v>1</v>
      </c>
      <c r="U1218">
        <v>1</v>
      </c>
      <c r="V1218">
        <v>1</v>
      </c>
      <c r="W1218">
        <v>1</v>
      </c>
      <c r="X1218" t="s">
        <v>11022</v>
      </c>
      <c r="Y1218" t="s">
        <v>11022</v>
      </c>
      <c r="Z1218" t="str">
        <f>_xlfn.XLOOKUP(Employees[[#This Row],[Education]], EdLevel[EducationLevelID], EdLevel[EducationLevel])</f>
        <v xml:space="preserve">Bachelors </v>
      </c>
      <c r="AA1218">
        <f>IF(Employees[[#This Row],[Attrition]] = "Yes", 1, 0)</f>
        <v>0</v>
      </c>
      <c r="AB1218" t="str" cm="1">
        <f t="array" ref="AB1218">_xlfn.IFS(Employees[[#This Row],[Age]]&lt;30, "20-29", Employees[[#This Row],[Age]]&lt;40, "30-39", Employees[[#This Row],[Age]]&lt;50, "40-49", "TRUE", "50+")</f>
        <v>20-29</v>
      </c>
    </row>
    <row r="1219" spans="1:28">
      <c r="A1219" t="s">
        <v>3591</v>
      </c>
      <c r="B1219" t="s">
        <v>3592</v>
      </c>
      <c r="C1219" t="s">
        <v>3593</v>
      </c>
      <c r="D1219" t="s">
        <v>38</v>
      </c>
      <c r="E1219">
        <v>39</v>
      </c>
      <c r="F1219" t="s">
        <v>70</v>
      </c>
      <c r="G1219" t="s">
        <v>54</v>
      </c>
      <c r="H1219">
        <v>30</v>
      </c>
      <c r="I1219" t="s">
        <v>39</v>
      </c>
      <c r="J1219" t="s">
        <v>30</v>
      </c>
      <c r="K1219">
        <v>4</v>
      </c>
      <c r="L1219" t="s">
        <v>55</v>
      </c>
      <c r="M1219" t="s">
        <v>105</v>
      </c>
      <c r="N1219" t="s">
        <v>40</v>
      </c>
      <c r="O1219">
        <v>152771</v>
      </c>
      <c r="P1219">
        <v>1</v>
      </c>
      <c r="Q1219" t="s">
        <v>34</v>
      </c>
      <c r="R1219" s="1">
        <v>44310</v>
      </c>
      <c r="S1219" t="s">
        <v>34</v>
      </c>
      <c r="T1219">
        <v>1</v>
      </c>
      <c r="U1219">
        <v>1</v>
      </c>
      <c r="V1219">
        <v>1</v>
      </c>
      <c r="W1219">
        <v>1</v>
      </c>
      <c r="X1219" t="s">
        <v>11023</v>
      </c>
      <c r="Y1219" t="s">
        <v>11023</v>
      </c>
      <c r="Z1219" t="str">
        <f>_xlfn.XLOOKUP(Employees[[#This Row],[Education]], EdLevel[EducationLevelID], EdLevel[EducationLevel])</f>
        <v xml:space="preserve">Masters </v>
      </c>
      <c r="AA1219">
        <f>IF(Employees[[#This Row],[Attrition]] = "Yes", 1, 0)</f>
        <v>0</v>
      </c>
      <c r="AB1219" t="str" cm="1">
        <f t="array" ref="AB1219">_xlfn.IFS(Employees[[#This Row],[Age]]&lt;30, "20-29", Employees[[#This Row],[Age]]&lt;40, "30-39", Employees[[#This Row],[Age]]&lt;50, "40-49", "TRUE", "50+")</f>
        <v>30-39</v>
      </c>
    </row>
    <row r="1220" spans="1:28">
      <c r="A1220" t="s">
        <v>3594</v>
      </c>
      <c r="B1220" t="s">
        <v>3595</v>
      </c>
      <c r="C1220" t="s">
        <v>3596</v>
      </c>
      <c r="D1220" t="s">
        <v>26</v>
      </c>
      <c r="E1220">
        <v>42</v>
      </c>
      <c r="F1220" t="s">
        <v>27</v>
      </c>
      <c r="G1220" t="s">
        <v>54</v>
      </c>
      <c r="H1220">
        <v>13</v>
      </c>
      <c r="I1220" t="s">
        <v>39</v>
      </c>
      <c r="J1220" t="s">
        <v>30</v>
      </c>
      <c r="K1220">
        <v>3</v>
      </c>
      <c r="L1220" t="s">
        <v>55</v>
      </c>
      <c r="M1220" t="s">
        <v>93</v>
      </c>
      <c r="N1220" t="s">
        <v>40</v>
      </c>
      <c r="O1220">
        <v>293303</v>
      </c>
      <c r="P1220">
        <v>0</v>
      </c>
      <c r="Q1220" t="s">
        <v>34</v>
      </c>
      <c r="R1220" s="1">
        <v>44311</v>
      </c>
      <c r="S1220" t="s">
        <v>34</v>
      </c>
      <c r="T1220">
        <v>1</v>
      </c>
      <c r="U1220">
        <v>0</v>
      </c>
      <c r="V1220">
        <v>0</v>
      </c>
      <c r="W1220">
        <v>1</v>
      </c>
      <c r="X1220" t="s">
        <v>11022</v>
      </c>
      <c r="Y1220" t="s">
        <v>11022</v>
      </c>
      <c r="Z1220" t="str">
        <f>_xlfn.XLOOKUP(Employees[[#This Row],[Education]], EdLevel[EducationLevelID], EdLevel[EducationLevel])</f>
        <v xml:space="preserve">Bachelors </v>
      </c>
      <c r="AA1220">
        <f>IF(Employees[[#This Row],[Attrition]] = "Yes", 1, 0)</f>
        <v>0</v>
      </c>
      <c r="AB1220" t="str" cm="1">
        <f t="array" ref="AB1220">_xlfn.IFS(Employees[[#This Row],[Age]]&lt;30, "20-29", Employees[[#This Row],[Age]]&lt;40, "30-39", Employees[[#This Row],[Age]]&lt;50, "40-49", "TRUE", "50+")</f>
        <v>40-49</v>
      </c>
    </row>
    <row r="1221" spans="1:28">
      <c r="A1221" t="s">
        <v>3597</v>
      </c>
      <c r="B1221" t="s">
        <v>3598</v>
      </c>
      <c r="C1221" t="s">
        <v>3599</v>
      </c>
      <c r="D1221" t="s">
        <v>26</v>
      </c>
      <c r="E1221">
        <v>27</v>
      </c>
      <c r="F1221" t="s">
        <v>27</v>
      </c>
      <c r="G1221" t="s">
        <v>28</v>
      </c>
      <c r="H1221">
        <v>16</v>
      </c>
      <c r="I1221" t="s">
        <v>39</v>
      </c>
      <c r="J1221" t="s">
        <v>30</v>
      </c>
      <c r="K1221">
        <v>3</v>
      </c>
      <c r="L1221" t="s">
        <v>31</v>
      </c>
      <c r="M1221" t="s">
        <v>97</v>
      </c>
      <c r="N1221" t="s">
        <v>40</v>
      </c>
      <c r="O1221">
        <v>225831</v>
      </c>
      <c r="P1221">
        <v>1</v>
      </c>
      <c r="Q1221" t="s">
        <v>34</v>
      </c>
      <c r="R1221" s="1">
        <v>44311</v>
      </c>
      <c r="S1221" t="s">
        <v>34</v>
      </c>
      <c r="T1221">
        <v>1</v>
      </c>
      <c r="U1221">
        <v>1</v>
      </c>
      <c r="V1221">
        <v>1</v>
      </c>
      <c r="W1221">
        <v>0</v>
      </c>
      <c r="X1221" t="s">
        <v>11022</v>
      </c>
      <c r="Y1221" t="s">
        <v>11022</v>
      </c>
      <c r="Z1221" t="str">
        <f>_xlfn.XLOOKUP(Employees[[#This Row],[Education]], EdLevel[EducationLevelID], EdLevel[EducationLevel])</f>
        <v xml:space="preserve">Bachelors </v>
      </c>
      <c r="AA1221">
        <f>IF(Employees[[#This Row],[Attrition]] = "Yes", 1, 0)</f>
        <v>0</v>
      </c>
      <c r="AB1221" t="str" cm="1">
        <f t="array" ref="AB1221">_xlfn.IFS(Employees[[#This Row],[Age]]&lt;30, "20-29", Employees[[#This Row],[Age]]&lt;40, "30-39", Employees[[#This Row],[Age]]&lt;50, "40-49", "TRUE", "50+")</f>
        <v>20-29</v>
      </c>
    </row>
    <row r="1222" spans="1:28">
      <c r="A1222" t="s">
        <v>3600</v>
      </c>
      <c r="B1222" t="s">
        <v>3601</v>
      </c>
      <c r="C1222" t="s">
        <v>3602</v>
      </c>
      <c r="D1222" t="s">
        <v>26</v>
      </c>
      <c r="E1222">
        <v>43</v>
      </c>
      <c r="F1222" t="s">
        <v>27</v>
      </c>
      <c r="G1222" t="s">
        <v>54</v>
      </c>
      <c r="H1222">
        <v>35</v>
      </c>
      <c r="I1222" t="s">
        <v>39</v>
      </c>
      <c r="J1222" t="s">
        <v>30</v>
      </c>
      <c r="K1222">
        <v>5</v>
      </c>
      <c r="L1222" t="s">
        <v>55</v>
      </c>
      <c r="M1222" t="s">
        <v>56</v>
      </c>
      <c r="N1222" t="s">
        <v>40</v>
      </c>
      <c r="O1222">
        <v>286660</v>
      </c>
      <c r="P1222">
        <v>0</v>
      </c>
      <c r="Q1222" t="s">
        <v>34</v>
      </c>
      <c r="R1222" s="1">
        <v>44312</v>
      </c>
      <c r="S1222" t="s">
        <v>34</v>
      </c>
      <c r="T1222">
        <v>1</v>
      </c>
      <c r="U1222">
        <v>0</v>
      </c>
      <c r="V1222">
        <v>0</v>
      </c>
      <c r="W1222">
        <v>1</v>
      </c>
      <c r="X1222" t="s">
        <v>11024</v>
      </c>
      <c r="Y1222" t="s">
        <v>11024</v>
      </c>
      <c r="Z1222" t="str">
        <f>_xlfn.XLOOKUP(Employees[[#This Row],[Education]], EdLevel[EducationLevelID], EdLevel[EducationLevel])</f>
        <v>Doctorate</v>
      </c>
      <c r="AA1222">
        <f>IF(Employees[[#This Row],[Attrition]] = "Yes", 1, 0)</f>
        <v>0</v>
      </c>
      <c r="AB1222" t="str" cm="1">
        <f t="array" ref="AB1222">_xlfn.IFS(Employees[[#This Row],[Age]]&lt;30, "20-29", Employees[[#This Row],[Age]]&lt;40, "30-39", Employees[[#This Row],[Age]]&lt;50, "40-49", "TRUE", "50+")</f>
        <v>40-49</v>
      </c>
    </row>
    <row r="1223" spans="1:28">
      <c r="A1223" t="s">
        <v>3603</v>
      </c>
      <c r="B1223" t="s">
        <v>3604</v>
      </c>
      <c r="C1223" t="s">
        <v>3605</v>
      </c>
      <c r="D1223" t="s">
        <v>38</v>
      </c>
      <c r="E1223">
        <v>45</v>
      </c>
      <c r="F1223" t="s">
        <v>27</v>
      </c>
      <c r="G1223" t="s">
        <v>28</v>
      </c>
      <c r="H1223">
        <v>20</v>
      </c>
      <c r="I1223" t="s">
        <v>39</v>
      </c>
      <c r="J1223" t="s">
        <v>30</v>
      </c>
      <c r="K1223">
        <v>3</v>
      </c>
      <c r="L1223" t="s">
        <v>47</v>
      </c>
      <c r="M1223" t="s">
        <v>97</v>
      </c>
      <c r="N1223" t="s">
        <v>49</v>
      </c>
      <c r="O1223">
        <v>374781</v>
      </c>
      <c r="P1223">
        <v>1</v>
      </c>
      <c r="Q1223" t="s">
        <v>34</v>
      </c>
      <c r="R1223" s="1">
        <v>44316</v>
      </c>
      <c r="S1223" t="s">
        <v>34</v>
      </c>
      <c r="T1223">
        <v>1</v>
      </c>
      <c r="U1223">
        <v>1</v>
      </c>
      <c r="V1223">
        <v>1</v>
      </c>
      <c r="W1223">
        <v>1</v>
      </c>
      <c r="X1223" t="s">
        <v>11022</v>
      </c>
      <c r="Y1223" t="s">
        <v>11022</v>
      </c>
      <c r="Z1223" t="str">
        <f>_xlfn.XLOOKUP(Employees[[#This Row],[Education]], EdLevel[EducationLevelID], EdLevel[EducationLevel])</f>
        <v xml:space="preserve">Bachelors </v>
      </c>
      <c r="AA1223">
        <f>IF(Employees[[#This Row],[Attrition]] = "Yes", 1, 0)</f>
        <v>0</v>
      </c>
      <c r="AB1223" t="str" cm="1">
        <f t="array" ref="AB1223">_xlfn.IFS(Employees[[#This Row],[Age]]&lt;30, "20-29", Employees[[#This Row],[Age]]&lt;40, "30-39", Employees[[#This Row],[Age]]&lt;50, "40-49", "TRUE", "50+")</f>
        <v>40-49</v>
      </c>
    </row>
    <row r="1224" spans="1:28">
      <c r="A1224" t="s">
        <v>3606</v>
      </c>
      <c r="B1224" t="s">
        <v>3607</v>
      </c>
      <c r="C1224" t="s">
        <v>3608</v>
      </c>
      <c r="D1224" t="s">
        <v>38</v>
      </c>
      <c r="E1224">
        <v>24</v>
      </c>
      <c r="F1224" t="s">
        <v>27</v>
      </c>
      <c r="G1224" t="s">
        <v>28</v>
      </c>
      <c r="H1224">
        <v>27</v>
      </c>
      <c r="I1224" t="s">
        <v>39</v>
      </c>
      <c r="J1224" t="s">
        <v>30</v>
      </c>
      <c r="K1224">
        <v>4</v>
      </c>
      <c r="L1224" t="s">
        <v>47</v>
      </c>
      <c r="M1224" t="s">
        <v>32</v>
      </c>
      <c r="N1224" t="s">
        <v>49</v>
      </c>
      <c r="O1224">
        <v>86102</v>
      </c>
      <c r="P1224">
        <v>0</v>
      </c>
      <c r="Q1224" t="s">
        <v>41</v>
      </c>
      <c r="R1224" s="1">
        <v>44320</v>
      </c>
      <c r="S1224" t="s">
        <v>41</v>
      </c>
      <c r="T1224">
        <v>0</v>
      </c>
      <c r="U1224">
        <v>0</v>
      </c>
      <c r="V1224">
        <v>0</v>
      </c>
      <c r="W1224">
        <v>0</v>
      </c>
      <c r="X1224" t="s">
        <v>11023</v>
      </c>
      <c r="Y1224" t="s">
        <v>11023</v>
      </c>
      <c r="Z1224" t="str">
        <f>_xlfn.XLOOKUP(Employees[[#This Row],[Education]], EdLevel[EducationLevelID], EdLevel[EducationLevel])</f>
        <v xml:space="preserve">Masters </v>
      </c>
      <c r="AA1224">
        <f>IF(Employees[[#This Row],[Attrition]] = "Yes", 1, 0)</f>
        <v>1</v>
      </c>
      <c r="AB1224" t="str" cm="1">
        <f t="array" ref="AB1224">_xlfn.IFS(Employees[[#This Row],[Age]]&lt;30, "20-29", Employees[[#This Row],[Age]]&lt;40, "30-39", Employees[[#This Row],[Age]]&lt;50, "40-49", "TRUE", "50+")</f>
        <v>20-29</v>
      </c>
    </row>
    <row r="1225" spans="1:28">
      <c r="A1225" t="s">
        <v>3609</v>
      </c>
      <c r="B1225" t="s">
        <v>438</v>
      </c>
      <c r="C1225" t="s">
        <v>3610</v>
      </c>
      <c r="D1225" t="s">
        <v>26</v>
      </c>
      <c r="E1225">
        <v>19</v>
      </c>
      <c r="F1225" t="s">
        <v>84</v>
      </c>
      <c r="G1225" t="s">
        <v>45</v>
      </c>
      <c r="H1225">
        <v>24</v>
      </c>
      <c r="I1225" t="s">
        <v>29</v>
      </c>
      <c r="J1225" t="s">
        <v>30</v>
      </c>
      <c r="K1225">
        <v>3</v>
      </c>
      <c r="L1225" t="s">
        <v>121</v>
      </c>
      <c r="M1225" t="s">
        <v>61</v>
      </c>
      <c r="N1225" t="s">
        <v>49</v>
      </c>
      <c r="O1225">
        <v>25838</v>
      </c>
      <c r="P1225">
        <v>1</v>
      </c>
      <c r="Q1225" t="s">
        <v>34</v>
      </c>
      <c r="R1225" s="1">
        <v>44322</v>
      </c>
      <c r="S1225" t="s">
        <v>34</v>
      </c>
      <c r="T1225">
        <v>1</v>
      </c>
      <c r="U1225">
        <v>0</v>
      </c>
      <c r="V1225">
        <v>0</v>
      </c>
      <c r="W1225">
        <v>0</v>
      </c>
      <c r="X1225" t="s">
        <v>11022</v>
      </c>
      <c r="Y1225" t="s">
        <v>11022</v>
      </c>
      <c r="Z1225" t="str">
        <f>_xlfn.XLOOKUP(Employees[[#This Row],[Education]], EdLevel[EducationLevelID], EdLevel[EducationLevel])</f>
        <v xml:space="preserve">Bachelors </v>
      </c>
      <c r="AA1225">
        <f>IF(Employees[[#This Row],[Attrition]] = "Yes", 1, 0)</f>
        <v>0</v>
      </c>
      <c r="AB1225" t="str" cm="1">
        <f t="array" ref="AB1225">_xlfn.IFS(Employees[[#This Row],[Age]]&lt;30, "20-29", Employees[[#This Row],[Age]]&lt;40, "30-39", Employees[[#This Row],[Age]]&lt;50, "40-49", "TRUE", "50+")</f>
        <v>20-29</v>
      </c>
    </row>
    <row r="1226" spans="1:28">
      <c r="A1226" t="s">
        <v>3611</v>
      </c>
      <c r="B1226" t="s">
        <v>3612</v>
      </c>
      <c r="C1226" t="s">
        <v>3613</v>
      </c>
      <c r="D1226" t="s">
        <v>38</v>
      </c>
      <c r="E1226">
        <v>33</v>
      </c>
      <c r="F1226" t="s">
        <v>27</v>
      </c>
      <c r="G1226" t="s">
        <v>28</v>
      </c>
      <c r="H1226">
        <v>43</v>
      </c>
      <c r="I1226" t="s">
        <v>65</v>
      </c>
      <c r="J1226" t="s">
        <v>30</v>
      </c>
      <c r="K1226">
        <v>4</v>
      </c>
      <c r="L1226" t="s">
        <v>31</v>
      </c>
      <c r="M1226" t="s">
        <v>32</v>
      </c>
      <c r="N1226" t="s">
        <v>40</v>
      </c>
      <c r="O1226">
        <v>165988</v>
      </c>
      <c r="P1226">
        <v>0</v>
      </c>
      <c r="Q1226" t="s">
        <v>41</v>
      </c>
      <c r="R1226" s="1">
        <v>44324</v>
      </c>
      <c r="S1226" t="s">
        <v>41</v>
      </c>
      <c r="T1226">
        <v>1</v>
      </c>
      <c r="U1226">
        <v>0</v>
      </c>
      <c r="V1226">
        <v>0</v>
      </c>
      <c r="W1226">
        <v>0</v>
      </c>
      <c r="X1226" t="s">
        <v>11023</v>
      </c>
      <c r="Y1226" t="s">
        <v>11023</v>
      </c>
      <c r="Z1226" t="str">
        <f>_xlfn.XLOOKUP(Employees[[#This Row],[Education]], EdLevel[EducationLevelID], EdLevel[EducationLevel])</f>
        <v xml:space="preserve">Masters </v>
      </c>
      <c r="AA1226">
        <f>IF(Employees[[#This Row],[Attrition]] = "Yes", 1, 0)</f>
        <v>1</v>
      </c>
      <c r="AB1226" t="str" cm="1">
        <f t="array" ref="AB1226">_xlfn.IFS(Employees[[#This Row],[Age]]&lt;30, "20-29", Employees[[#This Row],[Age]]&lt;40, "30-39", Employees[[#This Row],[Age]]&lt;50, "40-49", "TRUE", "50+")</f>
        <v>30-39</v>
      </c>
    </row>
    <row r="1227" spans="1:28">
      <c r="A1227" t="s">
        <v>3614</v>
      </c>
      <c r="B1227" t="s">
        <v>3615</v>
      </c>
      <c r="C1227" t="s">
        <v>3616</v>
      </c>
      <c r="D1227" t="s">
        <v>38</v>
      </c>
      <c r="E1227">
        <v>31</v>
      </c>
      <c r="F1227" t="s">
        <v>27</v>
      </c>
      <c r="G1227" t="s">
        <v>54</v>
      </c>
      <c r="H1227">
        <v>6</v>
      </c>
      <c r="I1227" t="s">
        <v>39</v>
      </c>
      <c r="J1227" t="s">
        <v>30</v>
      </c>
      <c r="K1227">
        <v>1</v>
      </c>
      <c r="L1227" t="s">
        <v>72</v>
      </c>
      <c r="M1227" t="s">
        <v>182</v>
      </c>
      <c r="N1227" t="s">
        <v>49</v>
      </c>
      <c r="O1227">
        <v>376853</v>
      </c>
      <c r="P1227">
        <v>1</v>
      </c>
      <c r="Q1227" t="s">
        <v>34</v>
      </c>
      <c r="R1227" s="1">
        <v>44326</v>
      </c>
      <c r="S1227" t="s">
        <v>34</v>
      </c>
      <c r="T1227">
        <v>1</v>
      </c>
      <c r="U1227">
        <v>1</v>
      </c>
      <c r="V1227">
        <v>1</v>
      </c>
      <c r="W1227">
        <v>0</v>
      </c>
      <c r="X1227" t="s">
        <v>11020</v>
      </c>
      <c r="Y1227" t="s">
        <v>11020</v>
      </c>
      <c r="Z1227" t="str">
        <f>_xlfn.XLOOKUP(Employees[[#This Row],[Education]], EdLevel[EducationLevelID], EdLevel[EducationLevel])</f>
        <v>No Formal Qualifications</v>
      </c>
      <c r="AA1227">
        <f>IF(Employees[[#This Row],[Attrition]] = "Yes", 1, 0)</f>
        <v>0</v>
      </c>
      <c r="AB1227" t="str" cm="1">
        <f t="array" ref="AB1227">_xlfn.IFS(Employees[[#This Row],[Age]]&lt;30, "20-29", Employees[[#This Row],[Age]]&lt;40, "30-39", Employees[[#This Row],[Age]]&lt;50, "40-49", "TRUE", "50+")</f>
        <v>30-39</v>
      </c>
    </row>
    <row r="1228" spans="1:28">
      <c r="A1228" t="s">
        <v>3617</v>
      </c>
      <c r="B1228" t="s">
        <v>3618</v>
      </c>
      <c r="C1228" t="s">
        <v>3619</v>
      </c>
      <c r="D1228" t="s">
        <v>26</v>
      </c>
      <c r="E1228">
        <v>35</v>
      </c>
      <c r="F1228" t="s">
        <v>27</v>
      </c>
      <c r="G1228" t="s">
        <v>54</v>
      </c>
      <c r="H1228">
        <v>4</v>
      </c>
      <c r="I1228" t="s">
        <v>39</v>
      </c>
      <c r="J1228" t="s">
        <v>30</v>
      </c>
      <c r="K1228">
        <v>2</v>
      </c>
      <c r="L1228" t="s">
        <v>55</v>
      </c>
      <c r="M1228" t="s">
        <v>85</v>
      </c>
      <c r="N1228" t="s">
        <v>40</v>
      </c>
      <c r="O1228">
        <v>423941</v>
      </c>
      <c r="P1228">
        <v>0</v>
      </c>
      <c r="Q1228" t="s">
        <v>34</v>
      </c>
      <c r="R1228" s="1">
        <v>44330</v>
      </c>
      <c r="S1228" t="s">
        <v>34</v>
      </c>
      <c r="T1228">
        <v>1</v>
      </c>
      <c r="U1228">
        <v>1</v>
      </c>
      <c r="V1228">
        <v>1</v>
      </c>
      <c r="W1228">
        <v>1</v>
      </c>
      <c r="X1228" t="s">
        <v>11021</v>
      </c>
      <c r="Y1228" t="s">
        <v>11021</v>
      </c>
      <c r="Z1228" t="str">
        <f>_xlfn.XLOOKUP(Employees[[#This Row],[Education]], EdLevel[EducationLevelID], EdLevel[EducationLevel])</f>
        <v xml:space="preserve">High School </v>
      </c>
      <c r="AA1228">
        <f>IF(Employees[[#This Row],[Attrition]] = "Yes", 1, 0)</f>
        <v>0</v>
      </c>
      <c r="AB1228" t="str" cm="1">
        <f t="array" ref="AB1228">_xlfn.IFS(Employees[[#This Row],[Age]]&lt;30, "20-29", Employees[[#This Row],[Age]]&lt;40, "30-39", Employees[[#This Row],[Age]]&lt;50, "40-49", "TRUE", "50+")</f>
        <v>30-39</v>
      </c>
    </row>
    <row r="1229" spans="1:28">
      <c r="A1229" t="s">
        <v>3620</v>
      </c>
      <c r="B1229" t="s">
        <v>3621</v>
      </c>
      <c r="C1229" t="s">
        <v>3622</v>
      </c>
      <c r="D1229" t="s">
        <v>38</v>
      </c>
      <c r="E1229">
        <v>20</v>
      </c>
      <c r="F1229" t="s">
        <v>27</v>
      </c>
      <c r="G1229" t="s">
        <v>54</v>
      </c>
      <c r="H1229">
        <v>27</v>
      </c>
      <c r="I1229" t="s">
        <v>29</v>
      </c>
      <c r="J1229" t="s">
        <v>30</v>
      </c>
      <c r="K1229">
        <v>1</v>
      </c>
      <c r="L1229" t="s">
        <v>178</v>
      </c>
      <c r="M1229" t="s">
        <v>85</v>
      </c>
      <c r="N1229" t="s">
        <v>40</v>
      </c>
      <c r="O1229">
        <v>27141</v>
      </c>
      <c r="P1229">
        <v>0</v>
      </c>
      <c r="Q1229" t="s">
        <v>34</v>
      </c>
      <c r="R1229" s="1">
        <v>44331</v>
      </c>
      <c r="S1229" t="s">
        <v>34</v>
      </c>
      <c r="T1229">
        <v>1</v>
      </c>
      <c r="U1229">
        <v>1</v>
      </c>
      <c r="V1229">
        <v>1</v>
      </c>
      <c r="W1229">
        <v>1</v>
      </c>
      <c r="X1229" t="s">
        <v>11020</v>
      </c>
      <c r="Y1229" t="s">
        <v>11020</v>
      </c>
      <c r="Z1229" t="str">
        <f>_xlfn.XLOOKUP(Employees[[#This Row],[Education]], EdLevel[EducationLevelID], EdLevel[EducationLevel])</f>
        <v>No Formal Qualifications</v>
      </c>
      <c r="AA1229">
        <f>IF(Employees[[#This Row],[Attrition]] = "Yes", 1, 0)</f>
        <v>0</v>
      </c>
      <c r="AB1229" t="str" cm="1">
        <f t="array" ref="AB1229">_xlfn.IFS(Employees[[#This Row],[Age]]&lt;30, "20-29", Employees[[#This Row],[Age]]&lt;40, "30-39", Employees[[#This Row],[Age]]&lt;50, "40-49", "TRUE", "50+")</f>
        <v>20-29</v>
      </c>
    </row>
    <row r="1230" spans="1:28">
      <c r="A1230" t="s">
        <v>3623</v>
      </c>
      <c r="B1230" t="s">
        <v>3624</v>
      </c>
      <c r="C1230" t="s">
        <v>3625</v>
      </c>
      <c r="D1230" t="s">
        <v>26</v>
      </c>
      <c r="E1230">
        <v>21</v>
      </c>
      <c r="F1230" t="s">
        <v>84</v>
      </c>
      <c r="G1230" t="s">
        <v>28</v>
      </c>
      <c r="H1230">
        <v>33</v>
      </c>
      <c r="I1230" t="s">
        <v>65</v>
      </c>
      <c r="J1230" t="s">
        <v>30</v>
      </c>
      <c r="K1230">
        <v>3</v>
      </c>
      <c r="L1230" t="s">
        <v>47</v>
      </c>
      <c r="M1230" t="s">
        <v>32</v>
      </c>
      <c r="N1230" t="s">
        <v>33</v>
      </c>
      <c r="O1230">
        <v>60810</v>
      </c>
      <c r="P1230">
        <v>1</v>
      </c>
      <c r="Q1230" t="s">
        <v>34</v>
      </c>
      <c r="R1230" s="1">
        <v>44334</v>
      </c>
      <c r="S1230" t="s">
        <v>34</v>
      </c>
      <c r="T1230">
        <v>1</v>
      </c>
      <c r="U1230">
        <v>0</v>
      </c>
      <c r="V1230">
        <v>1</v>
      </c>
      <c r="W1230">
        <v>1</v>
      </c>
      <c r="X1230" t="s">
        <v>11022</v>
      </c>
      <c r="Y1230" t="s">
        <v>11022</v>
      </c>
      <c r="Z1230" t="str">
        <f>_xlfn.XLOOKUP(Employees[[#This Row],[Education]], EdLevel[EducationLevelID], EdLevel[EducationLevel])</f>
        <v xml:space="preserve">Bachelors </v>
      </c>
      <c r="AA1230">
        <f>IF(Employees[[#This Row],[Attrition]] = "Yes", 1, 0)</f>
        <v>0</v>
      </c>
      <c r="AB1230" t="str" cm="1">
        <f t="array" ref="AB1230">_xlfn.IFS(Employees[[#This Row],[Age]]&lt;30, "20-29", Employees[[#This Row],[Age]]&lt;40, "30-39", Employees[[#This Row],[Age]]&lt;50, "40-49", "TRUE", "50+")</f>
        <v>20-29</v>
      </c>
    </row>
    <row r="1231" spans="1:28">
      <c r="A1231" t="s">
        <v>3626</v>
      </c>
      <c r="B1231" t="s">
        <v>1202</v>
      </c>
      <c r="C1231" t="s">
        <v>3627</v>
      </c>
      <c r="D1231" t="s">
        <v>38</v>
      </c>
      <c r="E1231">
        <v>32</v>
      </c>
      <c r="F1231" t="s">
        <v>27</v>
      </c>
      <c r="G1231" t="s">
        <v>54</v>
      </c>
      <c r="H1231">
        <v>30</v>
      </c>
      <c r="I1231" t="s">
        <v>39</v>
      </c>
      <c r="J1231" t="s">
        <v>30</v>
      </c>
      <c r="K1231">
        <v>1</v>
      </c>
      <c r="L1231" t="s">
        <v>72</v>
      </c>
      <c r="M1231" t="s">
        <v>85</v>
      </c>
      <c r="N1231" t="s">
        <v>49</v>
      </c>
      <c r="O1231">
        <v>89960</v>
      </c>
      <c r="P1231">
        <v>3</v>
      </c>
      <c r="Q1231" t="s">
        <v>34</v>
      </c>
      <c r="R1231" s="1">
        <v>44334</v>
      </c>
      <c r="S1231" t="s">
        <v>34</v>
      </c>
      <c r="T1231">
        <v>1</v>
      </c>
      <c r="U1231">
        <v>0</v>
      </c>
      <c r="V1231">
        <v>1</v>
      </c>
      <c r="W1231">
        <v>1</v>
      </c>
      <c r="X1231" t="s">
        <v>11020</v>
      </c>
      <c r="Y1231" t="s">
        <v>11020</v>
      </c>
      <c r="Z1231" t="str">
        <f>_xlfn.XLOOKUP(Employees[[#This Row],[Education]], EdLevel[EducationLevelID], EdLevel[EducationLevel])</f>
        <v>No Formal Qualifications</v>
      </c>
      <c r="AA1231">
        <f>IF(Employees[[#This Row],[Attrition]] = "Yes", 1, 0)</f>
        <v>0</v>
      </c>
      <c r="AB1231" t="str" cm="1">
        <f t="array" ref="AB1231">_xlfn.IFS(Employees[[#This Row],[Age]]&lt;30, "20-29", Employees[[#This Row],[Age]]&lt;40, "30-39", Employees[[#This Row],[Age]]&lt;50, "40-49", "TRUE", "50+")</f>
        <v>30-39</v>
      </c>
    </row>
    <row r="1232" spans="1:28">
      <c r="A1232" t="s">
        <v>3628</v>
      </c>
      <c r="B1232" t="s">
        <v>3629</v>
      </c>
      <c r="C1232" t="s">
        <v>3630</v>
      </c>
      <c r="D1232" t="s">
        <v>26</v>
      </c>
      <c r="E1232">
        <v>22</v>
      </c>
      <c r="F1232" t="s">
        <v>27</v>
      </c>
      <c r="G1232" t="s">
        <v>28</v>
      </c>
      <c r="H1232">
        <v>25</v>
      </c>
      <c r="I1232" t="s">
        <v>39</v>
      </c>
      <c r="J1232" t="s">
        <v>30</v>
      </c>
      <c r="K1232">
        <v>3</v>
      </c>
      <c r="L1232" t="s">
        <v>77</v>
      </c>
      <c r="M1232" t="s">
        <v>32</v>
      </c>
      <c r="N1232" t="s">
        <v>49</v>
      </c>
      <c r="O1232">
        <v>48716</v>
      </c>
      <c r="P1232">
        <v>1</v>
      </c>
      <c r="Q1232" t="s">
        <v>34</v>
      </c>
      <c r="R1232" s="1">
        <v>44338</v>
      </c>
      <c r="S1232" t="s">
        <v>34</v>
      </c>
      <c r="T1232">
        <v>1</v>
      </c>
      <c r="U1232">
        <v>1</v>
      </c>
      <c r="V1232">
        <v>1</v>
      </c>
      <c r="W1232">
        <v>1</v>
      </c>
      <c r="X1232" t="s">
        <v>11022</v>
      </c>
      <c r="Y1232" t="s">
        <v>11022</v>
      </c>
      <c r="Z1232" t="str">
        <f>_xlfn.XLOOKUP(Employees[[#This Row],[Education]], EdLevel[EducationLevelID], EdLevel[EducationLevel])</f>
        <v xml:space="preserve">Bachelors </v>
      </c>
      <c r="AA1232">
        <f>IF(Employees[[#This Row],[Attrition]] = "Yes", 1, 0)</f>
        <v>0</v>
      </c>
      <c r="AB1232" t="str" cm="1">
        <f t="array" ref="AB1232">_xlfn.IFS(Employees[[#This Row],[Age]]&lt;30, "20-29", Employees[[#This Row],[Age]]&lt;40, "30-39", Employees[[#This Row],[Age]]&lt;50, "40-49", "TRUE", "50+")</f>
        <v>20-29</v>
      </c>
    </row>
    <row r="1233" spans="1:28">
      <c r="A1233" t="s">
        <v>3631</v>
      </c>
      <c r="B1233" t="s">
        <v>3632</v>
      </c>
      <c r="C1233" t="s">
        <v>3633</v>
      </c>
      <c r="D1233" t="s">
        <v>38</v>
      </c>
      <c r="E1233">
        <v>41</v>
      </c>
      <c r="F1233" t="s">
        <v>27</v>
      </c>
      <c r="G1233" t="s">
        <v>28</v>
      </c>
      <c r="H1233">
        <v>35</v>
      </c>
      <c r="I1233" t="s">
        <v>65</v>
      </c>
      <c r="J1233" t="s">
        <v>30</v>
      </c>
      <c r="K1233">
        <v>1</v>
      </c>
      <c r="L1233" t="s">
        <v>31</v>
      </c>
      <c r="M1233" t="s">
        <v>97</v>
      </c>
      <c r="N1233" t="s">
        <v>49</v>
      </c>
      <c r="O1233">
        <v>314961</v>
      </c>
      <c r="P1233">
        <v>1</v>
      </c>
      <c r="Q1233" t="s">
        <v>34</v>
      </c>
      <c r="R1233" s="1">
        <v>44339</v>
      </c>
      <c r="S1233" t="s">
        <v>41</v>
      </c>
      <c r="T1233">
        <v>0</v>
      </c>
      <c r="U1233">
        <v>0</v>
      </c>
      <c r="V1233">
        <v>0</v>
      </c>
      <c r="W1233">
        <v>0</v>
      </c>
      <c r="X1233" t="s">
        <v>11020</v>
      </c>
      <c r="Y1233" t="s">
        <v>11020</v>
      </c>
      <c r="Z1233" t="str">
        <f>_xlfn.XLOOKUP(Employees[[#This Row],[Education]], EdLevel[EducationLevelID], EdLevel[EducationLevel])</f>
        <v>No Formal Qualifications</v>
      </c>
      <c r="AA1233">
        <f>IF(Employees[[#This Row],[Attrition]] = "Yes", 1, 0)</f>
        <v>1</v>
      </c>
      <c r="AB1233" t="str" cm="1">
        <f t="array" ref="AB1233">_xlfn.IFS(Employees[[#This Row],[Age]]&lt;30, "20-29", Employees[[#This Row],[Age]]&lt;40, "30-39", Employees[[#This Row],[Age]]&lt;50, "40-49", "TRUE", "50+")</f>
        <v>40-49</v>
      </c>
    </row>
    <row r="1234" spans="1:28">
      <c r="A1234" t="s">
        <v>3634</v>
      </c>
      <c r="B1234" t="s">
        <v>3635</v>
      </c>
      <c r="C1234" t="s">
        <v>3636</v>
      </c>
      <c r="D1234" t="s">
        <v>26</v>
      </c>
      <c r="E1234">
        <v>20</v>
      </c>
      <c r="F1234" t="s">
        <v>84</v>
      </c>
      <c r="G1234" t="s">
        <v>54</v>
      </c>
      <c r="H1234">
        <v>32</v>
      </c>
      <c r="I1234" t="s">
        <v>39</v>
      </c>
      <c r="J1234" t="s">
        <v>30</v>
      </c>
      <c r="K1234">
        <v>3</v>
      </c>
      <c r="L1234" t="s">
        <v>55</v>
      </c>
      <c r="M1234" t="s">
        <v>101</v>
      </c>
      <c r="N1234" t="s">
        <v>33</v>
      </c>
      <c r="O1234">
        <v>33488</v>
      </c>
      <c r="P1234">
        <v>2</v>
      </c>
      <c r="Q1234" t="s">
        <v>34</v>
      </c>
      <c r="R1234" s="1">
        <v>44340</v>
      </c>
      <c r="S1234" t="s">
        <v>34</v>
      </c>
      <c r="T1234">
        <v>1</v>
      </c>
      <c r="U1234">
        <v>1</v>
      </c>
      <c r="V1234">
        <v>1</v>
      </c>
      <c r="W1234">
        <v>1</v>
      </c>
      <c r="X1234" t="s">
        <v>11022</v>
      </c>
      <c r="Y1234" t="s">
        <v>11022</v>
      </c>
      <c r="Z1234" t="str">
        <f>_xlfn.XLOOKUP(Employees[[#This Row],[Education]], EdLevel[EducationLevelID], EdLevel[EducationLevel])</f>
        <v xml:space="preserve">Bachelors </v>
      </c>
      <c r="AA1234">
        <f>IF(Employees[[#This Row],[Attrition]] = "Yes", 1, 0)</f>
        <v>0</v>
      </c>
      <c r="AB1234" t="str" cm="1">
        <f t="array" ref="AB1234">_xlfn.IFS(Employees[[#This Row],[Age]]&lt;30, "20-29", Employees[[#This Row],[Age]]&lt;40, "30-39", Employees[[#This Row],[Age]]&lt;50, "40-49", "TRUE", "50+")</f>
        <v>20-29</v>
      </c>
    </row>
    <row r="1235" spans="1:28">
      <c r="A1235" t="s">
        <v>3637</v>
      </c>
      <c r="B1235" t="s">
        <v>3638</v>
      </c>
      <c r="C1235" t="s">
        <v>3639</v>
      </c>
      <c r="D1235" t="s">
        <v>26</v>
      </c>
      <c r="E1235">
        <v>47</v>
      </c>
      <c r="F1235" t="s">
        <v>27</v>
      </c>
      <c r="G1235" t="s">
        <v>54</v>
      </c>
      <c r="H1235">
        <v>23</v>
      </c>
      <c r="I1235" t="s">
        <v>65</v>
      </c>
      <c r="J1235" t="s">
        <v>30</v>
      </c>
      <c r="K1235">
        <v>1</v>
      </c>
      <c r="L1235" t="s">
        <v>55</v>
      </c>
      <c r="M1235" t="s">
        <v>105</v>
      </c>
      <c r="N1235" t="s">
        <v>49</v>
      </c>
      <c r="O1235">
        <v>221827</v>
      </c>
      <c r="P1235">
        <v>1</v>
      </c>
      <c r="Q1235" t="s">
        <v>34</v>
      </c>
      <c r="R1235" s="1">
        <v>44352</v>
      </c>
      <c r="S1235" t="s">
        <v>34</v>
      </c>
      <c r="T1235">
        <v>1</v>
      </c>
      <c r="U1235">
        <v>0</v>
      </c>
      <c r="V1235">
        <v>0</v>
      </c>
      <c r="W1235">
        <v>1</v>
      </c>
      <c r="X1235" t="s">
        <v>11020</v>
      </c>
      <c r="Y1235" t="s">
        <v>11020</v>
      </c>
      <c r="Z1235" t="str">
        <f>_xlfn.XLOOKUP(Employees[[#This Row],[Education]], EdLevel[EducationLevelID], EdLevel[EducationLevel])</f>
        <v>No Formal Qualifications</v>
      </c>
      <c r="AA1235">
        <f>IF(Employees[[#This Row],[Attrition]] = "Yes", 1, 0)</f>
        <v>0</v>
      </c>
      <c r="AB1235" t="str" cm="1">
        <f t="array" ref="AB1235">_xlfn.IFS(Employees[[#This Row],[Age]]&lt;30, "20-29", Employees[[#This Row],[Age]]&lt;40, "30-39", Employees[[#This Row],[Age]]&lt;50, "40-49", "TRUE", "50+")</f>
        <v>40-49</v>
      </c>
    </row>
    <row r="1236" spans="1:28">
      <c r="A1236" t="s">
        <v>3640</v>
      </c>
      <c r="B1236" t="s">
        <v>270</v>
      </c>
      <c r="C1236" t="s">
        <v>3641</v>
      </c>
      <c r="D1236" t="s">
        <v>26</v>
      </c>
      <c r="E1236">
        <v>32</v>
      </c>
      <c r="F1236" t="s">
        <v>27</v>
      </c>
      <c r="G1236" t="s">
        <v>54</v>
      </c>
      <c r="H1236">
        <v>16</v>
      </c>
      <c r="I1236" t="s">
        <v>29</v>
      </c>
      <c r="J1236" t="s">
        <v>30</v>
      </c>
      <c r="K1236">
        <v>3</v>
      </c>
      <c r="L1236" t="s">
        <v>55</v>
      </c>
      <c r="M1236" t="s">
        <v>93</v>
      </c>
      <c r="N1236" t="s">
        <v>49</v>
      </c>
      <c r="O1236">
        <v>228427</v>
      </c>
      <c r="P1236">
        <v>1</v>
      </c>
      <c r="Q1236" t="s">
        <v>41</v>
      </c>
      <c r="R1236" s="1">
        <v>44353</v>
      </c>
      <c r="S1236" t="s">
        <v>34</v>
      </c>
      <c r="T1236">
        <v>1</v>
      </c>
      <c r="U1236">
        <v>1</v>
      </c>
      <c r="V1236">
        <v>1</v>
      </c>
      <c r="W1236">
        <v>1</v>
      </c>
      <c r="X1236" t="s">
        <v>11022</v>
      </c>
      <c r="Y1236" t="s">
        <v>11022</v>
      </c>
      <c r="Z1236" t="str">
        <f>_xlfn.XLOOKUP(Employees[[#This Row],[Education]], EdLevel[EducationLevelID], EdLevel[EducationLevel])</f>
        <v xml:space="preserve">Bachelors </v>
      </c>
      <c r="AA1236">
        <f>IF(Employees[[#This Row],[Attrition]] = "Yes", 1, 0)</f>
        <v>0</v>
      </c>
      <c r="AB1236" t="str" cm="1">
        <f t="array" ref="AB1236">_xlfn.IFS(Employees[[#This Row],[Age]]&lt;30, "20-29", Employees[[#This Row],[Age]]&lt;40, "30-39", Employees[[#This Row],[Age]]&lt;50, "40-49", "TRUE", "50+")</f>
        <v>30-39</v>
      </c>
    </row>
    <row r="1237" spans="1:28">
      <c r="A1237" t="s">
        <v>3642</v>
      </c>
      <c r="B1237" t="s">
        <v>3643</v>
      </c>
      <c r="C1237" t="s">
        <v>3644</v>
      </c>
      <c r="D1237" t="s">
        <v>26</v>
      </c>
      <c r="E1237">
        <v>19</v>
      </c>
      <c r="F1237" t="s">
        <v>27</v>
      </c>
      <c r="G1237" t="s">
        <v>54</v>
      </c>
      <c r="H1237">
        <v>18</v>
      </c>
      <c r="I1237" t="s">
        <v>29</v>
      </c>
      <c r="J1237" t="s">
        <v>30</v>
      </c>
      <c r="K1237">
        <v>3</v>
      </c>
      <c r="L1237" t="s">
        <v>55</v>
      </c>
      <c r="M1237" t="s">
        <v>101</v>
      </c>
      <c r="N1237" t="s">
        <v>40</v>
      </c>
      <c r="O1237">
        <v>28346</v>
      </c>
      <c r="P1237">
        <v>0</v>
      </c>
      <c r="Q1237" t="s">
        <v>34</v>
      </c>
      <c r="R1237" s="1">
        <v>44354</v>
      </c>
      <c r="S1237" t="s">
        <v>34</v>
      </c>
      <c r="T1237">
        <v>1</v>
      </c>
      <c r="U1237">
        <v>1</v>
      </c>
      <c r="V1237">
        <v>1</v>
      </c>
      <c r="W1237">
        <v>1</v>
      </c>
      <c r="X1237" t="s">
        <v>11022</v>
      </c>
      <c r="Y1237" t="s">
        <v>11022</v>
      </c>
      <c r="Z1237" t="str">
        <f>_xlfn.XLOOKUP(Employees[[#This Row],[Education]], EdLevel[EducationLevelID], EdLevel[EducationLevel])</f>
        <v xml:space="preserve">Bachelors </v>
      </c>
      <c r="AA1237">
        <f>IF(Employees[[#This Row],[Attrition]] = "Yes", 1, 0)</f>
        <v>0</v>
      </c>
      <c r="AB1237" t="str" cm="1">
        <f t="array" ref="AB1237">_xlfn.IFS(Employees[[#This Row],[Age]]&lt;30, "20-29", Employees[[#This Row],[Age]]&lt;40, "30-39", Employees[[#This Row],[Age]]&lt;50, "40-49", "TRUE", "50+")</f>
        <v>20-29</v>
      </c>
    </row>
    <row r="1238" spans="1:28">
      <c r="A1238" t="s">
        <v>3645</v>
      </c>
      <c r="B1238" t="s">
        <v>3646</v>
      </c>
      <c r="C1238" t="s">
        <v>3647</v>
      </c>
      <c r="D1238" t="s">
        <v>38</v>
      </c>
      <c r="E1238">
        <v>21</v>
      </c>
      <c r="F1238" t="s">
        <v>84</v>
      </c>
      <c r="G1238" t="s">
        <v>54</v>
      </c>
      <c r="H1238">
        <v>33</v>
      </c>
      <c r="I1238" t="s">
        <v>39</v>
      </c>
      <c r="J1238" t="s">
        <v>30</v>
      </c>
      <c r="K1238">
        <v>2</v>
      </c>
      <c r="L1238" t="s">
        <v>72</v>
      </c>
      <c r="M1238" t="s">
        <v>101</v>
      </c>
      <c r="N1238" t="s">
        <v>49</v>
      </c>
      <c r="O1238">
        <v>37954</v>
      </c>
      <c r="P1238">
        <v>1</v>
      </c>
      <c r="Q1238" t="s">
        <v>41</v>
      </c>
      <c r="R1238" s="1">
        <v>44354</v>
      </c>
      <c r="S1238" t="s">
        <v>34</v>
      </c>
      <c r="T1238">
        <v>1</v>
      </c>
      <c r="U1238">
        <v>0</v>
      </c>
      <c r="V1238">
        <v>0</v>
      </c>
      <c r="W1238">
        <v>1</v>
      </c>
      <c r="X1238" t="s">
        <v>11021</v>
      </c>
      <c r="Y1238" t="s">
        <v>11021</v>
      </c>
      <c r="Z1238" t="str">
        <f>_xlfn.XLOOKUP(Employees[[#This Row],[Education]], EdLevel[EducationLevelID], EdLevel[EducationLevel])</f>
        <v xml:space="preserve">High School </v>
      </c>
      <c r="AA1238">
        <f>IF(Employees[[#This Row],[Attrition]] = "Yes", 1, 0)</f>
        <v>0</v>
      </c>
      <c r="AB1238" t="str" cm="1">
        <f t="array" ref="AB1238">_xlfn.IFS(Employees[[#This Row],[Age]]&lt;30, "20-29", Employees[[#This Row],[Age]]&lt;40, "30-39", Employees[[#This Row],[Age]]&lt;50, "40-49", "TRUE", "50+")</f>
        <v>20-29</v>
      </c>
    </row>
    <row r="1239" spans="1:28">
      <c r="A1239" t="s">
        <v>3648</v>
      </c>
      <c r="B1239" t="s">
        <v>3649</v>
      </c>
      <c r="C1239" t="s">
        <v>3650</v>
      </c>
      <c r="D1239" t="s">
        <v>26</v>
      </c>
      <c r="E1239">
        <v>43</v>
      </c>
      <c r="F1239" t="s">
        <v>84</v>
      </c>
      <c r="G1239" t="s">
        <v>54</v>
      </c>
      <c r="H1239">
        <v>4</v>
      </c>
      <c r="I1239" t="s">
        <v>39</v>
      </c>
      <c r="J1239" t="s">
        <v>30</v>
      </c>
      <c r="K1239">
        <v>3</v>
      </c>
      <c r="L1239" t="s">
        <v>72</v>
      </c>
      <c r="M1239" t="s">
        <v>93</v>
      </c>
      <c r="N1239" t="s">
        <v>40</v>
      </c>
      <c r="O1239">
        <v>262392</v>
      </c>
      <c r="P1239">
        <v>0</v>
      </c>
      <c r="Q1239" t="s">
        <v>41</v>
      </c>
      <c r="R1239" s="1">
        <v>44355</v>
      </c>
      <c r="S1239" t="s">
        <v>34</v>
      </c>
      <c r="T1239">
        <v>1</v>
      </c>
      <c r="U1239">
        <v>1</v>
      </c>
      <c r="V1239">
        <v>1</v>
      </c>
      <c r="W1239">
        <v>1</v>
      </c>
      <c r="X1239" t="s">
        <v>11022</v>
      </c>
      <c r="Y1239" t="s">
        <v>11022</v>
      </c>
      <c r="Z1239" t="str">
        <f>_xlfn.XLOOKUP(Employees[[#This Row],[Education]], EdLevel[EducationLevelID], EdLevel[EducationLevel])</f>
        <v xml:space="preserve">Bachelors </v>
      </c>
      <c r="AA1239">
        <f>IF(Employees[[#This Row],[Attrition]] = "Yes", 1, 0)</f>
        <v>0</v>
      </c>
      <c r="AB1239" t="str" cm="1">
        <f t="array" ref="AB1239">_xlfn.IFS(Employees[[#This Row],[Age]]&lt;30, "20-29", Employees[[#This Row],[Age]]&lt;40, "30-39", Employees[[#This Row],[Age]]&lt;50, "40-49", "TRUE", "50+")</f>
        <v>40-49</v>
      </c>
    </row>
    <row r="1240" spans="1:28">
      <c r="A1240" t="s">
        <v>3651</v>
      </c>
      <c r="B1240" t="s">
        <v>3652</v>
      </c>
      <c r="C1240" t="s">
        <v>3653</v>
      </c>
      <c r="D1240" t="s">
        <v>26</v>
      </c>
      <c r="E1240">
        <v>40</v>
      </c>
      <c r="F1240" t="s">
        <v>27</v>
      </c>
      <c r="G1240" t="s">
        <v>54</v>
      </c>
      <c r="H1240">
        <v>38</v>
      </c>
      <c r="I1240" t="s">
        <v>39</v>
      </c>
      <c r="J1240" t="s">
        <v>30</v>
      </c>
      <c r="K1240">
        <v>2</v>
      </c>
      <c r="L1240" t="s">
        <v>72</v>
      </c>
      <c r="M1240" t="s">
        <v>105</v>
      </c>
      <c r="N1240" t="s">
        <v>49</v>
      </c>
      <c r="O1240">
        <v>380248</v>
      </c>
      <c r="P1240">
        <v>0</v>
      </c>
      <c r="Q1240" t="s">
        <v>41</v>
      </c>
      <c r="R1240" s="1">
        <v>44356</v>
      </c>
      <c r="S1240" t="s">
        <v>34</v>
      </c>
      <c r="T1240">
        <v>1</v>
      </c>
      <c r="U1240">
        <v>0</v>
      </c>
      <c r="V1240">
        <v>1</v>
      </c>
      <c r="W1240">
        <v>1</v>
      </c>
      <c r="X1240" t="s">
        <v>11021</v>
      </c>
      <c r="Y1240" t="s">
        <v>11021</v>
      </c>
      <c r="Z1240" t="str">
        <f>_xlfn.XLOOKUP(Employees[[#This Row],[Education]], EdLevel[EducationLevelID], EdLevel[EducationLevel])</f>
        <v xml:space="preserve">High School </v>
      </c>
      <c r="AA1240">
        <f>IF(Employees[[#This Row],[Attrition]] = "Yes", 1, 0)</f>
        <v>0</v>
      </c>
      <c r="AB1240" t="str" cm="1">
        <f t="array" ref="AB1240">_xlfn.IFS(Employees[[#This Row],[Age]]&lt;30, "20-29", Employees[[#This Row],[Age]]&lt;40, "30-39", Employees[[#This Row],[Age]]&lt;50, "40-49", "TRUE", "50+")</f>
        <v>40-49</v>
      </c>
    </row>
    <row r="1241" spans="1:28">
      <c r="A1241" t="s">
        <v>3654</v>
      </c>
      <c r="B1241" t="s">
        <v>3655</v>
      </c>
      <c r="C1241" t="s">
        <v>3656</v>
      </c>
      <c r="D1241" t="s">
        <v>53</v>
      </c>
      <c r="E1241">
        <v>21</v>
      </c>
      <c r="F1241" t="s">
        <v>27</v>
      </c>
      <c r="G1241" t="s">
        <v>54</v>
      </c>
      <c r="H1241">
        <v>37</v>
      </c>
      <c r="I1241" t="s">
        <v>39</v>
      </c>
      <c r="J1241" t="s">
        <v>30</v>
      </c>
      <c r="K1241">
        <v>3</v>
      </c>
      <c r="L1241" t="s">
        <v>72</v>
      </c>
      <c r="M1241" t="s">
        <v>85</v>
      </c>
      <c r="N1241" t="s">
        <v>40</v>
      </c>
      <c r="O1241">
        <v>43030</v>
      </c>
      <c r="P1241">
        <v>0</v>
      </c>
      <c r="Q1241" t="s">
        <v>34</v>
      </c>
      <c r="R1241" s="1">
        <v>44357</v>
      </c>
      <c r="S1241" t="s">
        <v>34</v>
      </c>
      <c r="T1241">
        <v>1</v>
      </c>
      <c r="U1241">
        <v>0</v>
      </c>
      <c r="V1241">
        <v>1</v>
      </c>
      <c r="W1241">
        <v>1</v>
      </c>
      <c r="X1241" t="s">
        <v>11022</v>
      </c>
      <c r="Y1241" t="s">
        <v>11022</v>
      </c>
      <c r="Z1241" t="str">
        <f>_xlfn.XLOOKUP(Employees[[#This Row],[Education]], EdLevel[EducationLevelID], EdLevel[EducationLevel])</f>
        <v xml:space="preserve">Bachelors </v>
      </c>
      <c r="AA1241">
        <f>IF(Employees[[#This Row],[Attrition]] = "Yes", 1, 0)</f>
        <v>0</v>
      </c>
      <c r="AB1241" t="str" cm="1">
        <f t="array" ref="AB1241">_xlfn.IFS(Employees[[#This Row],[Age]]&lt;30, "20-29", Employees[[#This Row],[Age]]&lt;40, "30-39", Employees[[#This Row],[Age]]&lt;50, "40-49", "TRUE", "50+")</f>
        <v>20-29</v>
      </c>
    </row>
    <row r="1242" spans="1:28">
      <c r="A1242" t="s">
        <v>3657</v>
      </c>
      <c r="B1242" t="s">
        <v>1731</v>
      </c>
      <c r="C1242" t="s">
        <v>3658</v>
      </c>
      <c r="D1242" t="s">
        <v>38</v>
      </c>
      <c r="E1242">
        <v>20</v>
      </c>
      <c r="F1242" t="s">
        <v>27</v>
      </c>
      <c r="G1242" t="s">
        <v>54</v>
      </c>
      <c r="H1242">
        <v>34</v>
      </c>
      <c r="I1242" t="s">
        <v>39</v>
      </c>
      <c r="J1242" t="s">
        <v>30</v>
      </c>
      <c r="K1242">
        <v>4</v>
      </c>
      <c r="L1242" t="s">
        <v>55</v>
      </c>
      <c r="M1242" t="s">
        <v>101</v>
      </c>
      <c r="N1242" t="s">
        <v>40</v>
      </c>
      <c r="O1242">
        <v>22925</v>
      </c>
      <c r="P1242">
        <v>0</v>
      </c>
      <c r="Q1242" t="s">
        <v>41</v>
      </c>
      <c r="R1242" s="1">
        <v>44360</v>
      </c>
      <c r="S1242" t="s">
        <v>41</v>
      </c>
      <c r="T1242">
        <v>1</v>
      </c>
      <c r="U1242">
        <v>0</v>
      </c>
      <c r="V1242">
        <v>0</v>
      </c>
      <c r="W1242">
        <v>0</v>
      </c>
      <c r="X1242" t="s">
        <v>11023</v>
      </c>
      <c r="Y1242" t="s">
        <v>11023</v>
      </c>
      <c r="Z1242" t="str">
        <f>_xlfn.XLOOKUP(Employees[[#This Row],[Education]], EdLevel[EducationLevelID], EdLevel[EducationLevel])</f>
        <v xml:space="preserve">Masters </v>
      </c>
      <c r="AA1242">
        <f>IF(Employees[[#This Row],[Attrition]] = "Yes", 1, 0)</f>
        <v>1</v>
      </c>
      <c r="AB1242" t="str" cm="1">
        <f t="array" ref="AB1242">_xlfn.IFS(Employees[[#This Row],[Age]]&lt;30, "20-29", Employees[[#This Row],[Age]]&lt;40, "30-39", Employees[[#This Row],[Age]]&lt;50, "40-49", "TRUE", "50+")</f>
        <v>20-29</v>
      </c>
    </row>
    <row r="1243" spans="1:28">
      <c r="A1243" t="s">
        <v>3659</v>
      </c>
      <c r="B1243" t="s">
        <v>3660</v>
      </c>
      <c r="C1243" t="s">
        <v>3661</v>
      </c>
      <c r="D1243" t="s">
        <v>26</v>
      </c>
      <c r="E1243">
        <v>19</v>
      </c>
      <c r="F1243" t="s">
        <v>27</v>
      </c>
      <c r="G1243" t="s">
        <v>54</v>
      </c>
      <c r="H1243">
        <v>24</v>
      </c>
      <c r="I1243" t="s">
        <v>39</v>
      </c>
      <c r="J1243" t="s">
        <v>30</v>
      </c>
      <c r="K1243">
        <v>2</v>
      </c>
      <c r="L1243" t="s">
        <v>55</v>
      </c>
      <c r="M1243" t="s">
        <v>85</v>
      </c>
      <c r="N1243" t="s">
        <v>40</v>
      </c>
      <c r="O1243">
        <v>31014</v>
      </c>
      <c r="P1243">
        <v>1</v>
      </c>
      <c r="Q1243" t="s">
        <v>34</v>
      </c>
      <c r="R1243" s="1">
        <v>44363</v>
      </c>
      <c r="S1243" t="s">
        <v>34</v>
      </c>
      <c r="T1243">
        <v>1</v>
      </c>
      <c r="U1243">
        <v>1</v>
      </c>
      <c r="V1243">
        <v>1</v>
      </c>
      <c r="W1243">
        <v>0</v>
      </c>
      <c r="X1243" t="s">
        <v>11021</v>
      </c>
      <c r="Y1243" t="s">
        <v>11021</v>
      </c>
      <c r="Z1243" t="str">
        <f>_xlfn.XLOOKUP(Employees[[#This Row],[Education]], EdLevel[EducationLevelID], EdLevel[EducationLevel])</f>
        <v xml:space="preserve">High School </v>
      </c>
      <c r="AA1243">
        <f>IF(Employees[[#This Row],[Attrition]] = "Yes", 1, 0)</f>
        <v>0</v>
      </c>
      <c r="AB1243" t="str" cm="1">
        <f t="array" ref="AB1243">_xlfn.IFS(Employees[[#This Row],[Age]]&lt;30, "20-29", Employees[[#This Row],[Age]]&lt;40, "30-39", Employees[[#This Row],[Age]]&lt;50, "40-49", "TRUE", "50+")</f>
        <v>20-29</v>
      </c>
    </row>
    <row r="1244" spans="1:28">
      <c r="A1244" t="s">
        <v>3662</v>
      </c>
      <c r="B1244" t="s">
        <v>3663</v>
      </c>
      <c r="C1244" t="s">
        <v>3664</v>
      </c>
      <c r="D1244" t="s">
        <v>53</v>
      </c>
      <c r="E1244">
        <v>28</v>
      </c>
      <c r="F1244" t="s">
        <v>84</v>
      </c>
      <c r="G1244" t="s">
        <v>54</v>
      </c>
      <c r="H1244">
        <v>40</v>
      </c>
      <c r="I1244" t="s">
        <v>39</v>
      </c>
      <c r="J1244" t="s">
        <v>30</v>
      </c>
      <c r="K1244">
        <v>1</v>
      </c>
      <c r="L1244" t="s">
        <v>55</v>
      </c>
      <c r="M1244" t="s">
        <v>105</v>
      </c>
      <c r="N1244" t="s">
        <v>40</v>
      </c>
      <c r="O1244">
        <v>187698</v>
      </c>
      <c r="P1244">
        <v>0</v>
      </c>
      <c r="Q1244" t="s">
        <v>34</v>
      </c>
      <c r="R1244" s="1">
        <v>44364</v>
      </c>
      <c r="S1244" t="s">
        <v>34</v>
      </c>
      <c r="T1244">
        <v>1</v>
      </c>
      <c r="U1244">
        <v>0</v>
      </c>
      <c r="V1244">
        <v>1</v>
      </c>
      <c r="W1244">
        <v>1</v>
      </c>
      <c r="X1244" t="s">
        <v>11020</v>
      </c>
      <c r="Y1244" t="s">
        <v>11020</v>
      </c>
      <c r="Z1244" t="str">
        <f>_xlfn.XLOOKUP(Employees[[#This Row],[Education]], EdLevel[EducationLevelID], EdLevel[EducationLevel])</f>
        <v>No Formal Qualifications</v>
      </c>
      <c r="AA1244">
        <f>IF(Employees[[#This Row],[Attrition]] = "Yes", 1, 0)</f>
        <v>0</v>
      </c>
      <c r="AB1244" t="str" cm="1">
        <f t="array" ref="AB1244">_xlfn.IFS(Employees[[#This Row],[Age]]&lt;30, "20-29", Employees[[#This Row],[Age]]&lt;40, "30-39", Employees[[#This Row],[Age]]&lt;50, "40-49", "TRUE", "50+")</f>
        <v>20-29</v>
      </c>
    </row>
    <row r="1245" spans="1:28">
      <c r="A1245" t="s">
        <v>3665</v>
      </c>
      <c r="B1245" t="s">
        <v>3666</v>
      </c>
      <c r="C1245" t="s">
        <v>3667</v>
      </c>
      <c r="D1245" t="s">
        <v>38</v>
      </c>
      <c r="E1245">
        <v>22</v>
      </c>
      <c r="F1245" t="s">
        <v>84</v>
      </c>
      <c r="G1245" t="s">
        <v>54</v>
      </c>
      <c r="H1245">
        <v>4</v>
      </c>
      <c r="I1245" t="s">
        <v>39</v>
      </c>
      <c r="J1245" t="s">
        <v>30</v>
      </c>
      <c r="K1245">
        <v>3</v>
      </c>
      <c r="L1245" t="s">
        <v>72</v>
      </c>
      <c r="M1245" t="s">
        <v>85</v>
      </c>
      <c r="N1245" t="s">
        <v>49</v>
      </c>
      <c r="O1245">
        <v>21854</v>
      </c>
      <c r="P1245">
        <v>1</v>
      </c>
      <c r="Q1245" t="s">
        <v>34</v>
      </c>
      <c r="R1245" s="1">
        <v>44365</v>
      </c>
      <c r="S1245" t="s">
        <v>41</v>
      </c>
      <c r="T1245">
        <v>0</v>
      </c>
      <c r="U1245">
        <v>0</v>
      </c>
      <c r="V1245">
        <v>0</v>
      </c>
      <c r="W1245">
        <v>0</v>
      </c>
      <c r="X1245" t="s">
        <v>11022</v>
      </c>
      <c r="Y1245" t="s">
        <v>11022</v>
      </c>
      <c r="Z1245" t="str">
        <f>_xlfn.XLOOKUP(Employees[[#This Row],[Education]], EdLevel[EducationLevelID], EdLevel[EducationLevel])</f>
        <v xml:space="preserve">Bachelors </v>
      </c>
      <c r="AA1245">
        <f>IF(Employees[[#This Row],[Attrition]] = "Yes", 1, 0)</f>
        <v>1</v>
      </c>
      <c r="AB1245" t="str" cm="1">
        <f t="array" ref="AB1245">_xlfn.IFS(Employees[[#This Row],[Age]]&lt;30, "20-29", Employees[[#This Row],[Age]]&lt;40, "30-39", Employees[[#This Row],[Age]]&lt;50, "40-49", "TRUE", "50+")</f>
        <v>20-29</v>
      </c>
    </row>
    <row r="1246" spans="1:28">
      <c r="A1246" t="s">
        <v>3668</v>
      </c>
      <c r="B1246" t="s">
        <v>3669</v>
      </c>
      <c r="C1246" t="s">
        <v>3670</v>
      </c>
      <c r="D1246" t="s">
        <v>26</v>
      </c>
      <c r="E1246">
        <v>30</v>
      </c>
      <c r="F1246" t="s">
        <v>27</v>
      </c>
      <c r="G1246" t="s">
        <v>28</v>
      </c>
      <c r="H1246">
        <v>12</v>
      </c>
      <c r="I1246" t="s">
        <v>39</v>
      </c>
      <c r="J1246" t="s">
        <v>30</v>
      </c>
      <c r="K1246">
        <v>3</v>
      </c>
      <c r="L1246" t="s">
        <v>31</v>
      </c>
      <c r="M1246" t="s">
        <v>32</v>
      </c>
      <c r="N1246" t="s">
        <v>33</v>
      </c>
      <c r="O1246">
        <v>145929</v>
      </c>
      <c r="P1246">
        <v>3</v>
      </c>
      <c r="Q1246" t="s">
        <v>34</v>
      </c>
      <c r="R1246" s="1">
        <v>44369</v>
      </c>
      <c r="S1246" t="s">
        <v>34</v>
      </c>
      <c r="T1246">
        <v>1</v>
      </c>
      <c r="U1246">
        <v>0</v>
      </c>
      <c r="V1246">
        <v>1</v>
      </c>
      <c r="W1246">
        <v>1</v>
      </c>
      <c r="X1246" t="s">
        <v>11022</v>
      </c>
      <c r="Y1246" t="s">
        <v>11022</v>
      </c>
      <c r="Z1246" t="str">
        <f>_xlfn.XLOOKUP(Employees[[#This Row],[Education]], EdLevel[EducationLevelID], EdLevel[EducationLevel])</f>
        <v xml:space="preserve">Bachelors </v>
      </c>
      <c r="AA1246">
        <f>IF(Employees[[#This Row],[Attrition]] = "Yes", 1, 0)</f>
        <v>0</v>
      </c>
      <c r="AB1246" t="str" cm="1">
        <f t="array" ref="AB1246">_xlfn.IFS(Employees[[#This Row],[Age]]&lt;30, "20-29", Employees[[#This Row],[Age]]&lt;40, "30-39", Employees[[#This Row],[Age]]&lt;50, "40-49", "TRUE", "50+")</f>
        <v>30-39</v>
      </c>
    </row>
    <row r="1247" spans="1:28">
      <c r="A1247" t="s">
        <v>3671</v>
      </c>
      <c r="B1247" t="s">
        <v>3672</v>
      </c>
      <c r="C1247" t="s">
        <v>2130</v>
      </c>
      <c r="D1247" t="s">
        <v>38</v>
      </c>
      <c r="E1247">
        <v>38</v>
      </c>
      <c r="F1247" t="s">
        <v>27</v>
      </c>
      <c r="G1247" t="s">
        <v>54</v>
      </c>
      <c r="H1247">
        <v>45</v>
      </c>
      <c r="I1247" t="s">
        <v>39</v>
      </c>
      <c r="J1247" t="s">
        <v>30</v>
      </c>
      <c r="K1247">
        <v>2</v>
      </c>
      <c r="L1247" t="s">
        <v>72</v>
      </c>
      <c r="M1247" t="s">
        <v>56</v>
      </c>
      <c r="N1247" t="s">
        <v>33</v>
      </c>
      <c r="O1247">
        <v>439935</v>
      </c>
      <c r="P1247">
        <v>1</v>
      </c>
      <c r="Q1247" t="s">
        <v>41</v>
      </c>
      <c r="R1247" s="1">
        <v>44369</v>
      </c>
      <c r="S1247" t="s">
        <v>34</v>
      </c>
      <c r="T1247">
        <v>1</v>
      </c>
      <c r="U1247">
        <v>1</v>
      </c>
      <c r="V1247">
        <v>1</v>
      </c>
      <c r="W1247">
        <v>1</v>
      </c>
      <c r="X1247" t="s">
        <v>11021</v>
      </c>
      <c r="Y1247" t="s">
        <v>11021</v>
      </c>
      <c r="Z1247" t="str">
        <f>_xlfn.XLOOKUP(Employees[[#This Row],[Education]], EdLevel[EducationLevelID], EdLevel[EducationLevel])</f>
        <v xml:space="preserve">High School </v>
      </c>
      <c r="AA1247">
        <f>IF(Employees[[#This Row],[Attrition]] = "Yes", 1, 0)</f>
        <v>0</v>
      </c>
      <c r="AB1247" t="str" cm="1">
        <f t="array" ref="AB1247">_xlfn.IFS(Employees[[#This Row],[Age]]&lt;30, "20-29", Employees[[#This Row],[Age]]&lt;40, "30-39", Employees[[#This Row],[Age]]&lt;50, "40-49", "TRUE", "50+")</f>
        <v>30-39</v>
      </c>
    </row>
    <row r="1248" spans="1:28">
      <c r="A1248" t="s">
        <v>3673</v>
      </c>
      <c r="B1248" t="s">
        <v>3674</v>
      </c>
      <c r="C1248" t="s">
        <v>3675</v>
      </c>
      <c r="D1248" t="s">
        <v>26</v>
      </c>
      <c r="E1248">
        <v>26</v>
      </c>
      <c r="F1248" t="s">
        <v>27</v>
      </c>
      <c r="G1248" t="s">
        <v>28</v>
      </c>
      <c r="H1248">
        <v>10</v>
      </c>
      <c r="I1248" t="s">
        <v>39</v>
      </c>
      <c r="J1248" t="s">
        <v>30</v>
      </c>
      <c r="K1248">
        <v>4</v>
      </c>
      <c r="L1248" t="s">
        <v>31</v>
      </c>
      <c r="M1248" t="s">
        <v>32</v>
      </c>
      <c r="N1248" t="s">
        <v>40</v>
      </c>
      <c r="O1248">
        <v>93246</v>
      </c>
      <c r="P1248">
        <v>0</v>
      </c>
      <c r="Q1248" t="s">
        <v>41</v>
      </c>
      <c r="R1248" s="1">
        <v>44372</v>
      </c>
      <c r="S1248" t="s">
        <v>41</v>
      </c>
      <c r="T1248">
        <v>1</v>
      </c>
      <c r="U1248">
        <v>0</v>
      </c>
      <c r="V1248">
        <v>0</v>
      </c>
      <c r="W1248">
        <v>0</v>
      </c>
      <c r="X1248" t="s">
        <v>11023</v>
      </c>
      <c r="Y1248" t="s">
        <v>11023</v>
      </c>
      <c r="Z1248" t="str">
        <f>_xlfn.XLOOKUP(Employees[[#This Row],[Education]], EdLevel[EducationLevelID], EdLevel[EducationLevel])</f>
        <v xml:space="preserve">Masters </v>
      </c>
      <c r="AA1248">
        <f>IF(Employees[[#This Row],[Attrition]] = "Yes", 1, 0)</f>
        <v>1</v>
      </c>
      <c r="AB1248" t="str" cm="1">
        <f t="array" ref="AB1248">_xlfn.IFS(Employees[[#This Row],[Age]]&lt;30, "20-29", Employees[[#This Row],[Age]]&lt;40, "30-39", Employees[[#This Row],[Age]]&lt;50, "40-49", "TRUE", "50+")</f>
        <v>20-29</v>
      </c>
    </row>
    <row r="1249" spans="1:28">
      <c r="A1249" t="s">
        <v>3676</v>
      </c>
      <c r="B1249" t="s">
        <v>3677</v>
      </c>
      <c r="C1249" t="s">
        <v>3678</v>
      </c>
      <c r="D1249" t="s">
        <v>38</v>
      </c>
      <c r="E1249">
        <v>21</v>
      </c>
      <c r="F1249" t="s">
        <v>27</v>
      </c>
      <c r="G1249" t="s">
        <v>54</v>
      </c>
      <c r="H1249">
        <v>34</v>
      </c>
      <c r="I1249" t="s">
        <v>65</v>
      </c>
      <c r="J1249" t="s">
        <v>30</v>
      </c>
      <c r="K1249">
        <v>2</v>
      </c>
      <c r="L1249" t="s">
        <v>55</v>
      </c>
      <c r="M1249" t="s">
        <v>101</v>
      </c>
      <c r="N1249" t="s">
        <v>49</v>
      </c>
      <c r="O1249">
        <v>26137</v>
      </c>
      <c r="P1249">
        <v>1</v>
      </c>
      <c r="Q1249" t="s">
        <v>34</v>
      </c>
      <c r="R1249" s="1">
        <v>44373</v>
      </c>
      <c r="S1249" t="s">
        <v>34</v>
      </c>
      <c r="T1249">
        <v>1</v>
      </c>
      <c r="U1249">
        <v>0</v>
      </c>
      <c r="V1249">
        <v>0</v>
      </c>
      <c r="W1249">
        <v>1</v>
      </c>
      <c r="X1249" t="s">
        <v>11021</v>
      </c>
      <c r="Y1249" t="s">
        <v>11021</v>
      </c>
      <c r="Z1249" t="str">
        <f>_xlfn.XLOOKUP(Employees[[#This Row],[Education]], EdLevel[EducationLevelID], EdLevel[EducationLevel])</f>
        <v xml:space="preserve">High School </v>
      </c>
      <c r="AA1249">
        <f>IF(Employees[[#This Row],[Attrition]] = "Yes", 1, 0)</f>
        <v>0</v>
      </c>
      <c r="AB1249" t="str" cm="1">
        <f t="array" ref="AB1249">_xlfn.IFS(Employees[[#This Row],[Age]]&lt;30, "20-29", Employees[[#This Row],[Age]]&lt;40, "30-39", Employees[[#This Row],[Age]]&lt;50, "40-49", "TRUE", "50+")</f>
        <v>20-29</v>
      </c>
    </row>
    <row r="1250" spans="1:28">
      <c r="A1250" t="s">
        <v>3679</v>
      </c>
      <c r="B1250" t="s">
        <v>3133</v>
      </c>
      <c r="C1250" t="s">
        <v>3680</v>
      </c>
      <c r="D1250" t="s">
        <v>38</v>
      </c>
      <c r="E1250">
        <v>19</v>
      </c>
      <c r="F1250" t="s">
        <v>27</v>
      </c>
      <c r="G1250" t="s">
        <v>54</v>
      </c>
      <c r="H1250">
        <v>28</v>
      </c>
      <c r="I1250" t="s">
        <v>39</v>
      </c>
      <c r="J1250" t="s">
        <v>30</v>
      </c>
      <c r="K1250">
        <v>3</v>
      </c>
      <c r="L1250" t="s">
        <v>72</v>
      </c>
      <c r="M1250" t="s">
        <v>85</v>
      </c>
      <c r="N1250" t="s">
        <v>40</v>
      </c>
      <c r="O1250">
        <v>26062</v>
      </c>
      <c r="P1250">
        <v>3</v>
      </c>
      <c r="Q1250" t="s">
        <v>41</v>
      </c>
      <c r="R1250" s="1">
        <v>44377</v>
      </c>
      <c r="S1250" t="s">
        <v>34</v>
      </c>
      <c r="T1250">
        <v>1</v>
      </c>
      <c r="U1250">
        <v>1</v>
      </c>
      <c r="V1250">
        <v>1</v>
      </c>
      <c r="W1250">
        <v>1</v>
      </c>
      <c r="X1250" t="s">
        <v>11022</v>
      </c>
      <c r="Y1250" t="s">
        <v>11022</v>
      </c>
      <c r="Z1250" t="str">
        <f>_xlfn.XLOOKUP(Employees[[#This Row],[Education]], EdLevel[EducationLevelID], EdLevel[EducationLevel])</f>
        <v xml:space="preserve">Bachelors </v>
      </c>
      <c r="AA1250">
        <f>IF(Employees[[#This Row],[Attrition]] = "Yes", 1, 0)</f>
        <v>0</v>
      </c>
      <c r="AB1250" t="str" cm="1">
        <f t="array" ref="AB1250">_xlfn.IFS(Employees[[#This Row],[Age]]&lt;30, "20-29", Employees[[#This Row],[Age]]&lt;40, "30-39", Employees[[#This Row],[Age]]&lt;50, "40-49", "TRUE", "50+")</f>
        <v>20-29</v>
      </c>
    </row>
    <row r="1251" spans="1:28">
      <c r="A1251" t="s">
        <v>3681</v>
      </c>
      <c r="B1251" t="s">
        <v>3682</v>
      </c>
      <c r="C1251" t="s">
        <v>3683</v>
      </c>
      <c r="D1251" t="s">
        <v>38</v>
      </c>
      <c r="E1251">
        <v>39</v>
      </c>
      <c r="F1251" t="s">
        <v>27</v>
      </c>
      <c r="G1251" t="s">
        <v>28</v>
      </c>
      <c r="H1251">
        <v>37</v>
      </c>
      <c r="I1251" t="s">
        <v>65</v>
      </c>
      <c r="J1251" t="s">
        <v>30</v>
      </c>
      <c r="K1251">
        <v>3</v>
      </c>
      <c r="L1251" t="s">
        <v>31</v>
      </c>
      <c r="M1251" t="s">
        <v>97</v>
      </c>
      <c r="N1251" t="s">
        <v>49</v>
      </c>
      <c r="O1251">
        <v>265712</v>
      </c>
      <c r="P1251">
        <v>1</v>
      </c>
      <c r="Q1251" t="s">
        <v>41</v>
      </c>
      <c r="R1251" s="1">
        <v>44383</v>
      </c>
      <c r="S1251" t="s">
        <v>34</v>
      </c>
      <c r="T1251">
        <v>1</v>
      </c>
      <c r="U1251">
        <v>0</v>
      </c>
      <c r="V1251">
        <v>0</v>
      </c>
      <c r="W1251">
        <v>1</v>
      </c>
      <c r="X1251" t="s">
        <v>11022</v>
      </c>
      <c r="Y1251" t="s">
        <v>11022</v>
      </c>
      <c r="Z1251" t="str">
        <f>_xlfn.XLOOKUP(Employees[[#This Row],[Education]], EdLevel[EducationLevelID], EdLevel[EducationLevel])</f>
        <v xml:space="preserve">Bachelors </v>
      </c>
      <c r="AA1251">
        <f>IF(Employees[[#This Row],[Attrition]] = "Yes", 1, 0)</f>
        <v>0</v>
      </c>
      <c r="AB1251" t="str" cm="1">
        <f t="array" ref="AB1251">_xlfn.IFS(Employees[[#This Row],[Age]]&lt;30, "20-29", Employees[[#This Row],[Age]]&lt;40, "30-39", Employees[[#This Row],[Age]]&lt;50, "40-49", "TRUE", "50+")</f>
        <v>30-39</v>
      </c>
    </row>
    <row r="1252" spans="1:28">
      <c r="A1252" t="s">
        <v>3684</v>
      </c>
      <c r="B1252" t="s">
        <v>3685</v>
      </c>
      <c r="C1252" t="s">
        <v>3686</v>
      </c>
      <c r="D1252" t="s">
        <v>38</v>
      </c>
      <c r="E1252">
        <v>20</v>
      </c>
      <c r="F1252" t="s">
        <v>84</v>
      </c>
      <c r="G1252" t="s">
        <v>54</v>
      </c>
      <c r="H1252">
        <v>39</v>
      </c>
      <c r="I1252" t="s">
        <v>39</v>
      </c>
      <c r="J1252" t="s">
        <v>30</v>
      </c>
      <c r="K1252">
        <v>3</v>
      </c>
      <c r="L1252" t="s">
        <v>72</v>
      </c>
      <c r="M1252" t="s">
        <v>93</v>
      </c>
      <c r="N1252" t="s">
        <v>40</v>
      </c>
      <c r="O1252">
        <v>42308</v>
      </c>
      <c r="P1252">
        <v>0</v>
      </c>
      <c r="Q1252" t="s">
        <v>34</v>
      </c>
      <c r="R1252" s="1">
        <v>44384</v>
      </c>
      <c r="S1252" t="s">
        <v>34</v>
      </c>
      <c r="T1252">
        <v>1</v>
      </c>
      <c r="U1252">
        <v>1</v>
      </c>
      <c r="V1252">
        <v>1</v>
      </c>
      <c r="W1252">
        <v>0</v>
      </c>
      <c r="X1252" t="s">
        <v>11022</v>
      </c>
      <c r="Y1252" t="s">
        <v>11022</v>
      </c>
      <c r="Z1252" t="str">
        <f>_xlfn.XLOOKUP(Employees[[#This Row],[Education]], EdLevel[EducationLevelID], EdLevel[EducationLevel])</f>
        <v xml:space="preserve">Bachelors </v>
      </c>
      <c r="AA1252">
        <f>IF(Employees[[#This Row],[Attrition]] = "Yes", 1, 0)</f>
        <v>0</v>
      </c>
      <c r="AB1252" t="str" cm="1">
        <f t="array" ref="AB1252">_xlfn.IFS(Employees[[#This Row],[Age]]&lt;30, "20-29", Employees[[#This Row],[Age]]&lt;40, "30-39", Employees[[#This Row],[Age]]&lt;50, "40-49", "TRUE", "50+")</f>
        <v>20-29</v>
      </c>
    </row>
    <row r="1253" spans="1:28">
      <c r="A1253" t="s">
        <v>3687</v>
      </c>
      <c r="B1253" t="s">
        <v>3688</v>
      </c>
      <c r="C1253" t="s">
        <v>3689</v>
      </c>
      <c r="D1253" t="s">
        <v>26</v>
      </c>
      <c r="E1253">
        <v>22</v>
      </c>
      <c r="F1253" t="s">
        <v>27</v>
      </c>
      <c r="G1253" t="s">
        <v>54</v>
      </c>
      <c r="H1253">
        <v>34</v>
      </c>
      <c r="I1253" t="s">
        <v>39</v>
      </c>
      <c r="J1253" t="s">
        <v>30</v>
      </c>
      <c r="K1253">
        <v>1</v>
      </c>
      <c r="L1253" t="s">
        <v>55</v>
      </c>
      <c r="M1253" t="s">
        <v>101</v>
      </c>
      <c r="N1253" t="s">
        <v>49</v>
      </c>
      <c r="O1253">
        <v>36677</v>
      </c>
      <c r="P1253">
        <v>1</v>
      </c>
      <c r="Q1253" t="s">
        <v>34</v>
      </c>
      <c r="R1253" s="1">
        <v>44386</v>
      </c>
      <c r="S1253" t="s">
        <v>34</v>
      </c>
      <c r="T1253">
        <v>1</v>
      </c>
      <c r="U1253">
        <v>0</v>
      </c>
      <c r="V1253">
        <v>1</v>
      </c>
      <c r="W1253">
        <v>1</v>
      </c>
      <c r="X1253" t="s">
        <v>11020</v>
      </c>
      <c r="Y1253" t="s">
        <v>11020</v>
      </c>
      <c r="Z1253" t="str">
        <f>_xlfn.XLOOKUP(Employees[[#This Row],[Education]], EdLevel[EducationLevelID], EdLevel[EducationLevel])</f>
        <v>No Formal Qualifications</v>
      </c>
      <c r="AA1253">
        <f>IF(Employees[[#This Row],[Attrition]] = "Yes", 1, 0)</f>
        <v>0</v>
      </c>
      <c r="AB1253" t="str" cm="1">
        <f t="array" ref="AB1253">_xlfn.IFS(Employees[[#This Row],[Age]]&lt;30, "20-29", Employees[[#This Row],[Age]]&lt;40, "30-39", Employees[[#This Row],[Age]]&lt;50, "40-49", "TRUE", "50+")</f>
        <v>20-29</v>
      </c>
    </row>
    <row r="1254" spans="1:28">
      <c r="A1254" t="s">
        <v>3690</v>
      </c>
      <c r="B1254" t="s">
        <v>3691</v>
      </c>
      <c r="C1254" t="s">
        <v>3692</v>
      </c>
      <c r="D1254" t="s">
        <v>26</v>
      </c>
      <c r="E1254">
        <v>27</v>
      </c>
      <c r="F1254" t="s">
        <v>70</v>
      </c>
      <c r="G1254" t="s">
        <v>45</v>
      </c>
      <c r="H1254">
        <v>4</v>
      </c>
      <c r="I1254" t="s">
        <v>39</v>
      </c>
      <c r="J1254" t="s">
        <v>30</v>
      </c>
      <c r="K1254">
        <v>3</v>
      </c>
      <c r="L1254" t="s">
        <v>45</v>
      </c>
      <c r="M1254" t="s">
        <v>207</v>
      </c>
      <c r="N1254" t="s">
        <v>49</v>
      </c>
      <c r="O1254">
        <v>78265</v>
      </c>
      <c r="P1254">
        <v>1</v>
      </c>
      <c r="Q1254" t="s">
        <v>34</v>
      </c>
      <c r="R1254" s="1">
        <v>44387</v>
      </c>
      <c r="S1254" t="s">
        <v>34</v>
      </c>
      <c r="T1254">
        <v>1</v>
      </c>
      <c r="U1254">
        <v>1</v>
      </c>
      <c r="V1254">
        <v>1</v>
      </c>
      <c r="W1254">
        <v>1</v>
      </c>
      <c r="X1254" t="s">
        <v>11022</v>
      </c>
      <c r="Y1254" t="s">
        <v>11022</v>
      </c>
      <c r="Z1254" t="str">
        <f>_xlfn.XLOOKUP(Employees[[#This Row],[Education]], EdLevel[EducationLevelID], EdLevel[EducationLevel])</f>
        <v xml:space="preserve">Bachelors </v>
      </c>
      <c r="AA1254">
        <f>IF(Employees[[#This Row],[Attrition]] = "Yes", 1, 0)</f>
        <v>0</v>
      </c>
      <c r="AB1254" t="str" cm="1">
        <f t="array" ref="AB1254">_xlfn.IFS(Employees[[#This Row],[Age]]&lt;30, "20-29", Employees[[#This Row],[Age]]&lt;40, "30-39", Employees[[#This Row],[Age]]&lt;50, "40-49", "TRUE", "50+")</f>
        <v>20-29</v>
      </c>
    </row>
    <row r="1255" spans="1:28">
      <c r="A1255" t="s">
        <v>3693</v>
      </c>
      <c r="B1255" t="s">
        <v>3694</v>
      </c>
      <c r="C1255" t="s">
        <v>3695</v>
      </c>
      <c r="D1255" t="s">
        <v>38</v>
      </c>
      <c r="E1255">
        <v>30</v>
      </c>
      <c r="F1255" t="s">
        <v>27</v>
      </c>
      <c r="G1255" t="s">
        <v>28</v>
      </c>
      <c r="H1255">
        <v>43</v>
      </c>
      <c r="I1255" t="s">
        <v>65</v>
      </c>
      <c r="J1255" t="s">
        <v>30</v>
      </c>
      <c r="K1255">
        <v>3</v>
      </c>
      <c r="L1255" t="s">
        <v>60</v>
      </c>
      <c r="M1255" t="s">
        <v>32</v>
      </c>
      <c r="N1255" t="s">
        <v>49</v>
      </c>
      <c r="O1255">
        <v>135160</v>
      </c>
      <c r="P1255">
        <v>1</v>
      </c>
      <c r="Q1255" t="s">
        <v>34</v>
      </c>
      <c r="R1255" s="1">
        <v>44387</v>
      </c>
      <c r="S1255" t="s">
        <v>34</v>
      </c>
      <c r="T1255">
        <v>1</v>
      </c>
      <c r="U1255">
        <v>1</v>
      </c>
      <c r="V1255">
        <v>1</v>
      </c>
      <c r="W1255">
        <v>0</v>
      </c>
      <c r="X1255" t="s">
        <v>11022</v>
      </c>
      <c r="Y1255" t="s">
        <v>11022</v>
      </c>
      <c r="Z1255" t="str">
        <f>_xlfn.XLOOKUP(Employees[[#This Row],[Education]], EdLevel[EducationLevelID], EdLevel[EducationLevel])</f>
        <v xml:space="preserve">Bachelors </v>
      </c>
      <c r="AA1255">
        <f>IF(Employees[[#This Row],[Attrition]] = "Yes", 1, 0)</f>
        <v>0</v>
      </c>
      <c r="AB1255" t="str" cm="1">
        <f t="array" ref="AB1255">_xlfn.IFS(Employees[[#This Row],[Age]]&lt;30, "20-29", Employees[[#This Row],[Age]]&lt;40, "30-39", Employees[[#This Row],[Age]]&lt;50, "40-49", "TRUE", "50+")</f>
        <v>30-39</v>
      </c>
    </row>
    <row r="1256" spans="1:28">
      <c r="A1256" t="s">
        <v>3696</v>
      </c>
      <c r="B1256" t="s">
        <v>3697</v>
      </c>
      <c r="C1256" t="s">
        <v>3698</v>
      </c>
      <c r="D1256" t="s">
        <v>38</v>
      </c>
      <c r="E1256">
        <v>19</v>
      </c>
      <c r="F1256" t="s">
        <v>27</v>
      </c>
      <c r="G1256" t="s">
        <v>54</v>
      </c>
      <c r="H1256">
        <v>4</v>
      </c>
      <c r="I1256" t="s">
        <v>39</v>
      </c>
      <c r="J1256" t="s">
        <v>30</v>
      </c>
      <c r="K1256">
        <v>3</v>
      </c>
      <c r="L1256" t="s">
        <v>55</v>
      </c>
      <c r="M1256" t="s">
        <v>93</v>
      </c>
      <c r="N1256" t="s">
        <v>40</v>
      </c>
      <c r="O1256">
        <v>60077</v>
      </c>
      <c r="P1256">
        <v>1</v>
      </c>
      <c r="Q1256" t="s">
        <v>34</v>
      </c>
      <c r="R1256" s="1">
        <v>44388</v>
      </c>
      <c r="S1256" t="s">
        <v>34</v>
      </c>
      <c r="T1256">
        <v>1</v>
      </c>
      <c r="U1256">
        <v>1</v>
      </c>
      <c r="V1256">
        <v>1</v>
      </c>
      <c r="W1256">
        <v>0</v>
      </c>
      <c r="X1256" t="s">
        <v>11022</v>
      </c>
      <c r="Y1256" t="s">
        <v>11022</v>
      </c>
      <c r="Z1256" t="str">
        <f>_xlfn.XLOOKUP(Employees[[#This Row],[Education]], EdLevel[EducationLevelID], EdLevel[EducationLevel])</f>
        <v xml:space="preserve">Bachelors </v>
      </c>
      <c r="AA1256">
        <f>IF(Employees[[#This Row],[Attrition]] = "Yes", 1, 0)</f>
        <v>0</v>
      </c>
      <c r="AB1256" t="str" cm="1">
        <f t="array" ref="AB1256">_xlfn.IFS(Employees[[#This Row],[Age]]&lt;30, "20-29", Employees[[#This Row],[Age]]&lt;40, "30-39", Employees[[#This Row],[Age]]&lt;50, "40-49", "TRUE", "50+")</f>
        <v>20-29</v>
      </c>
    </row>
    <row r="1257" spans="1:28">
      <c r="A1257" t="s">
        <v>3699</v>
      </c>
      <c r="B1257" t="s">
        <v>3700</v>
      </c>
      <c r="C1257" t="s">
        <v>3701</v>
      </c>
      <c r="D1257" t="s">
        <v>26</v>
      </c>
      <c r="E1257">
        <v>22</v>
      </c>
      <c r="F1257" t="s">
        <v>27</v>
      </c>
      <c r="G1257" t="s">
        <v>54</v>
      </c>
      <c r="H1257">
        <v>38</v>
      </c>
      <c r="I1257" t="s">
        <v>29</v>
      </c>
      <c r="J1257" t="s">
        <v>30</v>
      </c>
      <c r="K1257">
        <v>4</v>
      </c>
      <c r="L1257" t="s">
        <v>55</v>
      </c>
      <c r="M1257" t="s">
        <v>85</v>
      </c>
      <c r="N1257" t="s">
        <v>49</v>
      </c>
      <c r="O1257">
        <v>31161</v>
      </c>
      <c r="P1257">
        <v>1</v>
      </c>
      <c r="Q1257" t="s">
        <v>41</v>
      </c>
      <c r="R1257" s="1">
        <v>44396</v>
      </c>
      <c r="S1257" t="s">
        <v>34</v>
      </c>
      <c r="T1257">
        <v>1</v>
      </c>
      <c r="U1257">
        <v>0</v>
      </c>
      <c r="V1257">
        <v>0</v>
      </c>
      <c r="W1257">
        <v>0</v>
      </c>
      <c r="X1257" t="s">
        <v>11023</v>
      </c>
      <c r="Y1257" t="s">
        <v>11023</v>
      </c>
      <c r="Z1257" t="str">
        <f>_xlfn.XLOOKUP(Employees[[#This Row],[Education]], EdLevel[EducationLevelID], EdLevel[EducationLevel])</f>
        <v xml:space="preserve">Masters </v>
      </c>
      <c r="AA1257">
        <f>IF(Employees[[#This Row],[Attrition]] = "Yes", 1, 0)</f>
        <v>0</v>
      </c>
      <c r="AB1257" t="str" cm="1">
        <f t="array" ref="AB1257">_xlfn.IFS(Employees[[#This Row],[Age]]&lt;30, "20-29", Employees[[#This Row],[Age]]&lt;40, "30-39", Employees[[#This Row],[Age]]&lt;50, "40-49", "TRUE", "50+")</f>
        <v>20-29</v>
      </c>
    </row>
    <row r="1258" spans="1:28">
      <c r="A1258" t="s">
        <v>3702</v>
      </c>
      <c r="B1258" t="s">
        <v>3703</v>
      </c>
      <c r="C1258" t="s">
        <v>3704</v>
      </c>
      <c r="D1258" t="s">
        <v>53</v>
      </c>
      <c r="E1258">
        <v>46</v>
      </c>
      <c r="F1258" t="s">
        <v>27</v>
      </c>
      <c r="G1258" t="s">
        <v>28</v>
      </c>
      <c r="H1258">
        <v>17</v>
      </c>
      <c r="I1258" t="s">
        <v>39</v>
      </c>
      <c r="J1258" t="s">
        <v>30</v>
      </c>
      <c r="K1258">
        <v>3</v>
      </c>
      <c r="L1258" t="s">
        <v>47</v>
      </c>
      <c r="M1258" t="s">
        <v>32</v>
      </c>
      <c r="N1258" t="s">
        <v>49</v>
      </c>
      <c r="O1258">
        <v>223874</v>
      </c>
      <c r="P1258">
        <v>1</v>
      </c>
      <c r="Q1258" t="s">
        <v>34</v>
      </c>
      <c r="R1258" s="1">
        <v>44396</v>
      </c>
      <c r="S1258" t="s">
        <v>41</v>
      </c>
      <c r="T1258">
        <v>1</v>
      </c>
      <c r="U1258">
        <v>0</v>
      </c>
      <c r="V1258">
        <v>0</v>
      </c>
      <c r="W1258">
        <v>0</v>
      </c>
      <c r="X1258" t="s">
        <v>11022</v>
      </c>
      <c r="Y1258" t="s">
        <v>11022</v>
      </c>
      <c r="Z1258" t="str">
        <f>_xlfn.XLOOKUP(Employees[[#This Row],[Education]], EdLevel[EducationLevelID], EdLevel[EducationLevel])</f>
        <v xml:space="preserve">Bachelors </v>
      </c>
      <c r="AA1258">
        <f>IF(Employees[[#This Row],[Attrition]] = "Yes", 1, 0)</f>
        <v>1</v>
      </c>
      <c r="AB1258" t="str" cm="1">
        <f t="array" ref="AB1258">_xlfn.IFS(Employees[[#This Row],[Age]]&lt;30, "20-29", Employees[[#This Row],[Age]]&lt;40, "30-39", Employees[[#This Row],[Age]]&lt;50, "40-49", "TRUE", "50+")</f>
        <v>40-49</v>
      </c>
    </row>
    <row r="1259" spans="1:28">
      <c r="A1259" t="s">
        <v>3705</v>
      </c>
      <c r="B1259" t="s">
        <v>3706</v>
      </c>
      <c r="C1259" t="s">
        <v>3707</v>
      </c>
      <c r="D1259" t="s">
        <v>38</v>
      </c>
      <c r="E1259">
        <v>21</v>
      </c>
      <c r="F1259" t="s">
        <v>27</v>
      </c>
      <c r="G1259" t="s">
        <v>54</v>
      </c>
      <c r="H1259">
        <v>43</v>
      </c>
      <c r="I1259" t="s">
        <v>65</v>
      </c>
      <c r="J1259" t="s">
        <v>30</v>
      </c>
      <c r="K1259">
        <v>4</v>
      </c>
      <c r="L1259" t="s">
        <v>55</v>
      </c>
      <c r="M1259" t="s">
        <v>85</v>
      </c>
      <c r="N1259" t="s">
        <v>49</v>
      </c>
      <c r="O1259">
        <v>38749</v>
      </c>
      <c r="P1259">
        <v>1</v>
      </c>
      <c r="Q1259" t="s">
        <v>34</v>
      </c>
      <c r="R1259" s="1">
        <v>44398</v>
      </c>
      <c r="S1259" t="s">
        <v>34</v>
      </c>
      <c r="T1259">
        <v>1</v>
      </c>
      <c r="U1259">
        <v>0</v>
      </c>
      <c r="V1259">
        <v>0</v>
      </c>
      <c r="W1259">
        <v>0</v>
      </c>
      <c r="X1259" t="s">
        <v>11023</v>
      </c>
      <c r="Y1259" t="s">
        <v>11023</v>
      </c>
      <c r="Z1259" t="str">
        <f>_xlfn.XLOOKUP(Employees[[#This Row],[Education]], EdLevel[EducationLevelID], EdLevel[EducationLevel])</f>
        <v xml:space="preserve">Masters </v>
      </c>
      <c r="AA1259">
        <f>IF(Employees[[#This Row],[Attrition]] = "Yes", 1, 0)</f>
        <v>0</v>
      </c>
      <c r="AB1259" t="str" cm="1">
        <f t="array" ref="AB1259">_xlfn.IFS(Employees[[#This Row],[Age]]&lt;30, "20-29", Employees[[#This Row],[Age]]&lt;40, "30-39", Employees[[#This Row],[Age]]&lt;50, "40-49", "TRUE", "50+")</f>
        <v>20-29</v>
      </c>
    </row>
    <row r="1260" spans="1:28">
      <c r="A1260" t="s">
        <v>3708</v>
      </c>
      <c r="B1260" t="s">
        <v>3709</v>
      </c>
      <c r="C1260" t="s">
        <v>3710</v>
      </c>
      <c r="D1260" t="s">
        <v>26</v>
      </c>
      <c r="E1260">
        <v>30</v>
      </c>
      <c r="F1260" t="s">
        <v>84</v>
      </c>
      <c r="G1260" t="s">
        <v>54</v>
      </c>
      <c r="H1260">
        <v>32</v>
      </c>
      <c r="I1260" t="s">
        <v>39</v>
      </c>
      <c r="J1260" t="s">
        <v>30</v>
      </c>
      <c r="K1260">
        <v>4</v>
      </c>
      <c r="L1260" t="s">
        <v>77</v>
      </c>
      <c r="M1260" t="s">
        <v>105</v>
      </c>
      <c r="N1260" t="s">
        <v>40</v>
      </c>
      <c r="O1260">
        <v>145589</v>
      </c>
      <c r="P1260">
        <v>1</v>
      </c>
      <c r="Q1260" t="s">
        <v>41</v>
      </c>
      <c r="R1260" s="1">
        <v>44407</v>
      </c>
      <c r="S1260" t="s">
        <v>34</v>
      </c>
      <c r="T1260">
        <v>1</v>
      </c>
      <c r="U1260">
        <v>1</v>
      </c>
      <c r="V1260">
        <v>1</v>
      </c>
      <c r="W1260">
        <v>1</v>
      </c>
      <c r="X1260" t="s">
        <v>11023</v>
      </c>
      <c r="Y1260" t="s">
        <v>11023</v>
      </c>
      <c r="Z1260" t="str">
        <f>_xlfn.XLOOKUP(Employees[[#This Row],[Education]], EdLevel[EducationLevelID], EdLevel[EducationLevel])</f>
        <v xml:space="preserve">Masters </v>
      </c>
      <c r="AA1260">
        <f>IF(Employees[[#This Row],[Attrition]] = "Yes", 1, 0)</f>
        <v>0</v>
      </c>
      <c r="AB1260" t="str" cm="1">
        <f t="array" ref="AB1260">_xlfn.IFS(Employees[[#This Row],[Age]]&lt;30, "20-29", Employees[[#This Row],[Age]]&lt;40, "30-39", Employees[[#This Row],[Age]]&lt;50, "40-49", "TRUE", "50+")</f>
        <v>30-39</v>
      </c>
    </row>
    <row r="1261" spans="1:28">
      <c r="A1261" t="s">
        <v>3711</v>
      </c>
      <c r="B1261" t="s">
        <v>3712</v>
      </c>
      <c r="C1261" t="s">
        <v>3713</v>
      </c>
      <c r="D1261" t="s">
        <v>26</v>
      </c>
      <c r="E1261">
        <v>20</v>
      </c>
      <c r="F1261" t="s">
        <v>84</v>
      </c>
      <c r="G1261" t="s">
        <v>54</v>
      </c>
      <c r="H1261">
        <v>23</v>
      </c>
      <c r="I1261" t="s">
        <v>39</v>
      </c>
      <c r="J1261" t="s">
        <v>30</v>
      </c>
      <c r="K1261">
        <v>3</v>
      </c>
      <c r="L1261" t="s">
        <v>72</v>
      </c>
      <c r="M1261" t="s">
        <v>101</v>
      </c>
      <c r="N1261" t="s">
        <v>33</v>
      </c>
      <c r="O1261">
        <v>31801</v>
      </c>
      <c r="P1261">
        <v>1</v>
      </c>
      <c r="Q1261" t="s">
        <v>41</v>
      </c>
      <c r="R1261" s="1">
        <v>44410</v>
      </c>
      <c r="S1261" t="s">
        <v>34</v>
      </c>
      <c r="T1261">
        <v>1</v>
      </c>
      <c r="U1261">
        <v>1</v>
      </c>
      <c r="V1261">
        <v>1</v>
      </c>
      <c r="W1261">
        <v>0</v>
      </c>
      <c r="X1261" t="s">
        <v>11022</v>
      </c>
      <c r="Y1261" t="s">
        <v>11022</v>
      </c>
      <c r="Z1261" t="str">
        <f>_xlfn.XLOOKUP(Employees[[#This Row],[Education]], EdLevel[EducationLevelID], EdLevel[EducationLevel])</f>
        <v xml:space="preserve">Bachelors </v>
      </c>
      <c r="AA1261">
        <f>IF(Employees[[#This Row],[Attrition]] = "Yes", 1, 0)</f>
        <v>0</v>
      </c>
      <c r="AB1261" t="str" cm="1">
        <f t="array" ref="AB1261">_xlfn.IFS(Employees[[#This Row],[Age]]&lt;30, "20-29", Employees[[#This Row],[Age]]&lt;40, "30-39", Employees[[#This Row],[Age]]&lt;50, "40-49", "TRUE", "50+")</f>
        <v>20-29</v>
      </c>
    </row>
    <row r="1262" spans="1:28">
      <c r="A1262" t="s">
        <v>3714</v>
      </c>
      <c r="B1262" t="s">
        <v>3715</v>
      </c>
      <c r="C1262" t="s">
        <v>3716</v>
      </c>
      <c r="D1262" t="s">
        <v>26</v>
      </c>
      <c r="E1262">
        <v>19</v>
      </c>
      <c r="F1262" t="s">
        <v>27</v>
      </c>
      <c r="G1262" t="s">
        <v>54</v>
      </c>
      <c r="H1262">
        <v>33</v>
      </c>
      <c r="I1262" t="s">
        <v>65</v>
      </c>
      <c r="J1262" t="s">
        <v>30</v>
      </c>
      <c r="K1262">
        <v>3</v>
      </c>
      <c r="L1262" t="s">
        <v>77</v>
      </c>
      <c r="M1262" t="s">
        <v>105</v>
      </c>
      <c r="N1262" t="s">
        <v>49</v>
      </c>
      <c r="O1262">
        <v>49005</v>
      </c>
      <c r="P1262">
        <v>0</v>
      </c>
      <c r="Q1262" t="s">
        <v>34</v>
      </c>
      <c r="R1262" s="1">
        <v>44412</v>
      </c>
      <c r="S1262" t="s">
        <v>34</v>
      </c>
      <c r="T1262">
        <v>1</v>
      </c>
      <c r="U1262">
        <v>0</v>
      </c>
      <c r="V1262">
        <v>1</v>
      </c>
      <c r="W1262">
        <v>0</v>
      </c>
      <c r="X1262" t="s">
        <v>11022</v>
      </c>
      <c r="Y1262" t="s">
        <v>11022</v>
      </c>
      <c r="Z1262" t="str">
        <f>_xlfn.XLOOKUP(Employees[[#This Row],[Education]], EdLevel[EducationLevelID], EdLevel[EducationLevel])</f>
        <v xml:space="preserve">Bachelors </v>
      </c>
      <c r="AA1262">
        <f>IF(Employees[[#This Row],[Attrition]] = "Yes", 1, 0)</f>
        <v>0</v>
      </c>
      <c r="AB1262" t="str" cm="1">
        <f t="array" ref="AB1262">_xlfn.IFS(Employees[[#This Row],[Age]]&lt;30, "20-29", Employees[[#This Row],[Age]]&lt;40, "30-39", Employees[[#This Row],[Age]]&lt;50, "40-49", "TRUE", "50+")</f>
        <v>20-29</v>
      </c>
    </row>
    <row r="1263" spans="1:28">
      <c r="A1263" t="s">
        <v>3717</v>
      </c>
      <c r="B1263" t="s">
        <v>2078</v>
      </c>
      <c r="C1263" t="s">
        <v>3718</v>
      </c>
      <c r="D1263" t="s">
        <v>38</v>
      </c>
      <c r="E1263">
        <v>19</v>
      </c>
      <c r="F1263" t="s">
        <v>27</v>
      </c>
      <c r="G1263" t="s">
        <v>28</v>
      </c>
      <c r="H1263">
        <v>5</v>
      </c>
      <c r="I1263" t="s">
        <v>39</v>
      </c>
      <c r="J1263" t="s">
        <v>30</v>
      </c>
      <c r="K1263">
        <v>1</v>
      </c>
      <c r="L1263" t="s">
        <v>47</v>
      </c>
      <c r="M1263" t="s">
        <v>32</v>
      </c>
      <c r="N1263" t="s">
        <v>40</v>
      </c>
      <c r="O1263">
        <v>53387</v>
      </c>
      <c r="P1263">
        <v>0</v>
      </c>
      <c r="Q1263" t="s">
        <v>34</v>
      </c>
      <c r="R1263" s="1">
        <v>44417</v>
      </c>
      <c r="S1263" t="s">
        <v>34</v>
      </c>
      <c r="T1263">
        <v>1</v>
      </c>
      <c r="U1263">
        <v>0</v>
      </c>
      <c r="V1263">
        <v>1</v>
      </c>
      <c r="W1263">
        <v>1</v>
      </c>
      <c r="X1263" t="s">
        <v>11020</v>
      </c>
      <c r="Y1263" t="s">
        <v>11020</v>
      </c>
      <c r="Z1263" t="str">
        <f>_xlfn.XLOOKUP(Employees[[#This Row],[Education]], EdLevel[EducationLevelID], EdLevel[EducationLevel])</f>
        <v>No Formal Qualifications</v>
      </c>
      <c r="AA1263">
        <f>IF(Employees[[#This Row],[Attrition]] = "Yes", 1, 0)</f>
        <v>0</v>
      </c>
      <c r="AB1263" t="str" cm="1">
        <f t="array" ref="AB1263">_xlfn.IFS(Employees[[#This Row],[Age]]&lt;30, "20-29", Employees[[#This Row],[Age]]&lt;40, "30-39", Employees[[#This Row],[Age]]&lt;50, "40-49", "TRUE", "50+")</f>
        <v>20-29</v>
      </c>
    </row>
    <row r="1264" spans="1:28">
      <c r="A1264" t="s">
        <v>3719</v>
      </c>
      <c r="B1264" t="s">
        <v>3720</v>
      </c>
      <c r="C1264" t="s">
        <v>3721</v>
      </c>
      <c r="D1264" t="s">
        <v>26</v>
      </c>
      <c r="E1264">
        <v>27</v>
      </c>
      <c r="F1264" t="s">
        <v>27</v>
      </c>
      <c r="G1264" t="s">
        <v>54</v>
      </c>
      <c r="H1264">
        <v>39</v>
      </c>
      <c r="I1264" t="s">
        <v>39</v>
      </c>
      <c r="J1264" t="s">
        <v>30</v>
      </c>
      <c r="K1264">
        <v>3</v>
      </c>
      <c r="L1264" t="s">
        <v>55</v>
      </c>
      <c r="M1264" t="s">
        <v>105</v>
      </c>
      <c r="N1264" t="s">
        <v>33</v>
      </c>
      <c r="O1264">
        <v>88122</v>
      </c>
      <c r="P1264">
        <v>1</v>
      </c>
      <c r="Q1264" t="s">
        <v>34</v>
      </c>
      <c r="R1264" s="1">
        <v>44419</v>
      </c>
      <c r="S1264" t="s">
        <v>34</v>
      </c>
      <c r="T1264">
        <v>1</v>
      </c>
      <c r="U1264">
        <v>0</v>
      </c>
      <c r="V1264">
        <v>1</v>
      </c>
      <c r="W1264">
        <v>1</v>
      </c>
      <c r="X1264" t="s">
        <v>11022</v>
      </c>
      <c r="Y1264" t="s">
        <v>11022</v>
      </c>
      <c r="Z1264" t="str">
        <f>_xlfn.XLOOKUP(Employees[[#This Row],[Education]], EdLevel[EducationLevelID], EdLevel[EducationLevel])</f>
        <v xml:space="preserve">Bachelors </v>
      </c>
      <c r="AA1264">
        <f>IF(Employees[[#This Row],[Attrition]] = "Yes", 1, 0)</f>
        <v>0</v>
      </c>
      <c r="AB1264" t="str" cm="1">
        <f t="array" ref="AB1264">_xlfn.IFS(Employees[[#This Row],[Age]]&lt;30, "20-29", Employees[[#This Row],[Age]]&lt;40, "30-39", Employees[[#This Row],[Age]]&lt;50, "40-49", "TRUE", "50+")</f>
        <v>20-29</v>
      </c>
    </row>
    <row r="1265" spans="1:28">
      <c r="A1265" t="s">
        <v>3722</v>
      </c>
      <c r="B1265" t="s">
        <v>3512</v>
      </c>
      <c r="C1265" t="s">
        <v>3723</v>
      </c>
      <c r="D1265" t="s">
        <v>53</v>
      </c>
      <c r="E1265">
        <v>19</v>
      </c>
      <c r="F1265" t="s">
        <v>27</v>
      </c>
      <c r="G1265" t="s">
        <v>54</v>
      </c>
      <c r="H1265">
        <v>16</v>
      </c>
      <c r="I1265" t="s">
        <v>39</v>
      </c>
      <c r="J1265" t="s">
        <v>30</v>
      </c>
      <c r="K1265">
        <v>4</v>
      </c>
      <c r="L1265" t="s">
        <v>72</v>
      </c>
      <c r="M1265" t="s">
        <v>85</v>
      </c>
      <c r="N1265" t="s">
        <v>40</v>
      </c>
      <c r="O1265">
        <v>41092</v>
      </c>
      <c r="P1265">
        <v>1</v>
      </c>
      <c r="Q1265" t="s">
        <v>34</v>
      </c>
      <c r="R1265" s="1">
        <v>44428</v>
      </c>
      <c r="S1265" t="s">
        <v>34</v>
      </c>
      <c r="T1265">
        <v>1</v>
      </c>
      <c r="U1265">
        <v>1</v>
      </c>
      <c r="V1265">
        <v>1</v>
      </c>
      <c r="W1265">
        <v>0</v>
      </c>
      <c r="X1265" t="s">
        <v>11023</v>
      </c>
      <c r="Y1265" t="s">
        <v>11023</v>
      </c>
      <c r="Z1265" t="str">
        <f>_xlfn.XLOOKUP(Employees[[#This Row],[Education]], EdLevel[EducationLevelID], EdLevel[EducationLevel])</f>
        <v xml:space="preserve">Masters </v>
      </c>
      <c r="AA1265">
        <f>IF(Employees[[#This Row],[Attrition]] = "Yes", 1, 0)</f>
        <v>0</v>
      </c>
      <c r="AB1265" t="str" cm="1">
        <f t="array" ref="AB1265">_xlfn.IFS(Employees[[#This Row],[Age]]&lt;30, "20-29", Employees[[#This Row],[Age]]&lt;40, "30-39", Employees[[#This Row],[Age]]&lt;50, "40-49", "TRUE", "50+")</f>
        <v>20-29</v>
      </c>
    </row>
    <row r="1266" spans="1:28">
      <c r="A1266" t="s">
        <v>3724</v>
      </c>
      <c r="B1266" t="s">
        <v>3725</v>
      </c>
      <c r="C1266" t="s">
        <v>3726</v>
      </c>
      <c r="D1266" t="s">
        <v>26</v>
      </c>
      <c r="E1266">
        <v>19</v>
      </c>
      <c r="F1266" t="s">
        <v>27</v>
      </c>
      <c r="G1266" t="s">
        <v>54</v>
      </c>
      <c r="H1266">
        <v>7</v>
      </c>
      <c r="I1266" t="s">
        <v>29</v>
      </c>
      <c r="J1266" t="s">
        <v>30</v>
      </c>
      <c r="K1266">
        <v>4</v>
      </c>
      <c r="L1266" t="s">
        <v>55</v>
      </c>
      <c r="M1266" t="s">
        <v>93</v>
      </c>
      <c r="N1266" t="s">
        <v>40</v>
      </c>
      <c r="O1266">
        <v>64882</v>
      </c>
      <c r="P1266">
        <v>0</v>
      </c>
      <c r="Q1266" t="s">
        <v>41</v>
      </c>
      <c r="R1266" s="1">
        <v>44431</v>
      </c>
      <c r="S1266" t="s">
        <v>34</v>
      </c>
      <c r="T1266">
        <v>1</v>
      </c>
      <c r="U1266">
        <v>0</v>
      </c>
      <c r="V1266">
        <v>0</v>
      </c>
      <c r="W1266">
        <v>0</v>
      </c>
      <c r="X1266" t="s">
        <v>11023</v>
      </c>
      <c r="Y1266" t="s">
        <v>11023</v>
      </c>
      <c r="Z1266" t="str">
        <f>_xlfn.XLOOKUP(Employees[[#This Row],[Education]], EdLevel[EducationLevelID], EdLevel[EducationLevel])</f>
        <v xml:space="preserve">Masters </v>
      </c>
      <c r="AA1266">
        <f>IF(Employees[[#This Row],[Attrition]] = "Yes", 1, 0)</f>
        <v>0</v>
      </c>
      <c r="AB1266" t="str" cm="1">
        <f t="array" ref="AB1266">_xlfn.IFS(Employees[[#This Row],[Age]]&lt;30, "20-29", Employees[[#This Row],[Age]]&lt;40, "30-39", Employees[[#This Row],[Age]]&lt;50, "40-49", "TRUE", "50+")</f>
        <v>20-29</v>
      </c>
    </row>
    <row r="1267" spans="1:28">
      <c r="A1267" t="s">
        <v>3727</v>
      </c>
      <c r="B1267" t="s">
        <v>3728</v>
      </c>
      <c r="C1267" t="s">
        <v>3729</v>
      </c>
      <c r="D1267" t="s">
        <v>26</v>
      </c>
      <c r="E1267">
        <v>32</v>
      </c>
      <c r="F1267" t="s">
        <v>27</v>
      </c>
      <c r="G1267" t="s">
        <v>28</v>
      </c>
      <c r="H1267">
        <v>43</v>
      </c>
      <c r="I1267" t="s">
        <v>39</v>
      </c>
      <c r="J1267" t="s">
        <v>30</v>
      </c>
      <c r="K1267">
        <v>3</v>
      </c>
      <c r="L1267" t="s">
        <v>47</v>
      </c>
      <c r="M1267" t="s">
        <v>97</v>
      </c>
      <c r="N1267" t="s">
        <v>40</v>
      </c>
      <c r="O1267">
        <v>202322</v>
      </c>
      <c r="P1267">
        <v>1</v>
      </c>
      <c r="Q1267" t="s">
        <v>34</v>
      </c>
      <c r="R1267" s="1">
        <v>44438</v>
      </c>
      <c r="S1267" t="s">
        <v>34</v>
      </c>
      <c r="T1267">
        <v>1</v>
      </c>
      <c r="U1267">
        <v>0</v>
      </c>
      <c r="V1267">
        <v>1</v>
      </c>
      <c r="W1267">
        <v>0</v>
      </c>
      <c r="X1267" t="s">
        <v>11022</v>
      </c>
      <c r="Y1267" t="s">
        <v>11022</v>
      </c>
      <c r="Z1267" t="str">
        <f>_xlfn.XLOOKUP(Employees[[#This Row],[Education]], EdLevel[EducationLevelID], EdLevel[EducationLevel])</f>
        <v xml:space="preserve">Bachelors </v>
      </c>
      <c r="AA1267">
        <f>IF(Employees[[#This Row],[Attrition]] = "Yes", 1, 0)</f>
        <v>0</v>
      </c>
      <c r="AB1267" t="str" cm="1">
        <f t="array" ref="AB1267">_xlfn.IFS(Employees[[#This Row],[Age]]&lt;30, "20-29", Employees[[#This Row],[Age]]&lt;40, "30-39", Employees[[#This Row],[Age]]&lt;50, "40-49", "TRUE", "50+")</f>
        <v>30-39</v>
      </c>
    </row>
    <row r="1268" spans="1:28">
      <c r="A1268" t="s">
        <v>3730</v>
      </c>
      <c r="B1268" t="s">
        <v>3731</v>
      </c>
      <c r="C1268" t="s">
        <v>3732</v>
      </c>
      <c r="D1268" t="s">
        <v>38</v>
      </c>
      <c r="E1268">
        <v>21</v>
      </c>
      <c r="F1268" t="s">
        <v>70</v>
      </c>
      <c r="G1268" t="s">
        <v>54</v>
      </c>
      <c r="H1268">
        <v>19</v>
      </c>
      <c r="I1268" t="s">
        <v>65</v>
      </c>
      <c r="J1268" t="s">
        <v>30</v>
      </c>
      <c r="K1268">
        <v>2</v>
      </c>
      <c r="L1268" t="s">
        <v>55</v>
      </c>
      <c r="M1268" t="s">
        <v>105</v>
      </c>
      <c r="N1268" t="s">
        <v>33</v>
      </c>
      <c r="O1268">
        <v>36012</v>
      </c>
      <c r="P1268">
        <v>0</v>
      </c>
      <c r="Q1268" t="s">
        <v>41</v>
      </c>
      <c r="R1268" s="1">
        <v>44444</v>
      </c>
      <c r="S1268" t="s">
        <v>34</v>
      </c>
      <c r="T1268">
        <v>1</v>
      </c>
      <c r="U1268">
        <v>1</v>
      </c>
      <c r="V1268">
        <v>1</v>
      </c>
      <c r="W1268">
        <v>1</v>
      </c>
      <c r="X1268" t="s">
        <v>11021</v>
      </c>
      <c r="Y1268" t="s">
        <v>11021</v>
      </c>
      <c r="Z1268" t="str">
        <f>_xlfn.XLOOKUP(Employees[[#This Row],[Education]], EdLevel[EducationLevelID], EdLevel[EducationLevel])</f>
        <v xml:space="preserve">High School </v>
      </c>
      <c r="AA1268">
        <f>IF(Employees[[#This Row],[Attrition]] = "Yes", 1, 0)</f>
        <v>0</v>
      </c>
      <c r="AB1268" t="str" cm="1">
        <f t="array" ref="AB1268">_xlfn.IFS(Employees[[#This Row],[Age]]&lt;30, "20-29", Employees[[#This Row],[Age]]&lt;40, "30-39", Employees[[#This Row],[Age]]&lt;50, "40-49", "TRUE", "50+")</f>
        <v>20-29</v>
      </c>
    </row>
    <row r="1269" spans="1:28">
      <c r="A1269" t="s">
        <v>3733</v>
      </c>
      <c r="B1269" t="s">
        <v>3734</v>
      </c>
      <c r="C1269" t="s">
        <v>3735</v>
      </c>
      <c r="D1269" t="s">
        <v>38</v>
      </c>
      <c r="E1269">
        <v>22</v>
      </c>
      <c r="F1269" t="s">
        <v>27</v>
      </c>
      <c r="G1269" t="s">
        <v>54</v>
      </c>
      <c r="H1269">
        <v>40</v>
      </c>
      <c r="I1269" t="s">
        <v>39</v>
      </c>
      <c r="J1269" t="s">
        <v>30</v>
      </c>
      <c r="K1269">
        <v>4</v>
      </c>
      <c r="L1269" t="s">
        <v>72</v>
      </c>
      <c r="M1269" t="s">
        <v>101</v>
      </c>
      <c r="N1269" t="s">
        <v>49</v>
      </c>
      <c r="O1269">
        <v>27763</v>
      </c>
      <c r="P1269">
        <v>0</v>
      </c>
      <c r="Q1269" t="s">
        <v>34</v>
      </c>
      <c r="R1269" s="1">
        <v>44444</v>
      </c>
      <c r="S1269" t="s">
        <v>34</v>
      </c>
      <c r="T1269">
        <v>1</v>
      </c>
      <c r="U1269">
        <v>0</v>
      </c>
      <c r="V1269">
        <v>1</v>
      </c>
      <c r="W1269">
        <v>0</v>
      </c>
      <c r="X1269" t="s">
        <v>11023</v>
      </c>
      <c r="Y1269" t="s">
        <v>11023</v>
      </c>
      <c r="Z1269" t="str">
        <f>_xlfn.XLOOKUP(Employees[[#This Row],[Education]], EdLevel[EducationLevelID], EdLevel[EducationLevel])</f>
        <v xml:space="preserve">Masters </v>
      </c>
      <c r="AA1269">
        <f>IF(Employees[[#This Row],[Attrition]] = "Yes", 1, 0)</f>
        <v>0</v>
      </c>
      <c r="AB1269" t="str" cm="1">
        <f t="array" ref="AB1269">_xlfn.IFS(Employees[[#This Row],[Age]]&lt;30, "20-29", Employees[[#This Row],[Age]]&lt;40, "30-39", Employees[[#This Row],[Age]]&lt;50, "40-49", "TRUE", "50+")</f>
        <v>20-29</v>
      </c>
    </row>
    <row r="1270" spans="1:28">
      <c r="A1270" t="s">
        <v>3736</v>
      </c>
      <c r="B1270" t="s">
        <v>3737</v>
      </c>
      <c r="C1270" t="s">
        <v>3738</v>
      </c>
      <c r="D1270" t="s">
        <v>26</v>
      </c>
      <c r="E1270">
        <v>21</v>
      </c>
      <c r="F1270" t="s">
        <v>27</v>
      </c>
      <c r="G1270" t="s">
        <v>28</v>
      </c>
      <c r="H1270">
        <v>36</v>
      </c>
      <c r="I1270" t="s">
        <v>39</v>
      </c>
      <c r="J1270" t="s">
        <v>30</v>
      </c>
      <c r="K1270">
        <v>4</v>
      </c>
      <c r="L1270" t="s">
        <v>47</v>
      </c>
      <c r="M1270" t="s">
        <v>32</v>
      </c>
      <c r="N1270" t="s">
        <v>33</v>
      </c>
      <c r="O1270">
        <v>37035</v>
      </c>
      <c r="P1270">
        <v>3</v>
      </c>
      <c r="Q1270" t="s">
        <v>34</v>
      </c>
      <c r="R1270" s="1">
        <v>44450</v>
      </c>
      <c r="S1270" t="s">
        <v>34</v>
      </c>
      <c r="T1270">
        <v>1</v>
      </c>
      <c r="U1270">
        <v>1</v>
      </c>
      <c r="V1270">
        <v>1</v>
      </c>
      <c r="W1270">
        <v>1</v>
      </c>
      <c r="X1270" t="s">
        <v>11023</v>
      </c>
      <c r="Y1270" t="s">
        <v>11023</v>
      </c>
      <c r="Z1270" t="str">
        <f>_xlfn.XLOOKUP(Employees[[#This Row],[Education]], EdLevel[EducationLevelID], EdLevel[EducationLevel])</f>
        <v xml:space="preserve">Masters </v>
      </c>
      <c r="AA1270">
        <f>IF(Employees[[#This Row],[Attrition]] = "Yes", 1, 0)</f>
        <v>0</v>
      </c>
      <c r="AB1270" t="str" cm="1">
        <f t="array" ref="AB1270">_xlfn.IFS(Employees[[#This Row],[Age]]&lt;30, "20-29", Employees[[#This Row],[Age]]&lt;40, "30-39", Employees[[#This Row],[Age]]&lt;50, "40-49", "TRUE", "50+")</f>
        <v>20-29</v>
      </c>
    </row>
    <row r="1271" spans="1:28">
      <c r="A1271" t="s">
        <v>3739</v>
      </c>
      <c r="B1271" t="s">
        <v>1539</v>
      </c>
      <c r="C1271" t="s">
        <v>3740</v>
      </c>
      <c r="D1271" t="s">
        <v>26</v>
      </c>
      <c r="E1271">
        <v>20</v>
      </c>
      <c r="F1271" t="s">
        <v>84</v>
      </c>
      <c r="G1271" t="s">
        <v>54</v>
      </c>
      <c r="H1271">
        <v>31</v>
      </c>
      <c r="I1271" t="s">
        <v>65</v>
      </c>
      <c r="J1271" t="s">
        <v>30</v>
      </c>
      <c r="K1271">
        <v>3</v>
      </c>
      <c r="L1271" t="s">
        <v>72</v>
      </c>
      <c r="M1271" t="s">
        <v>85</v>
      </c>
      <c r="N1271" t="s">
        <v>40</v>
      </c>
      <c r="O1271">
        <v>37361</v>
      </c>
      <c r="P1271">
        <v>0</v>
      </c>
      <c r="Q1271" t="s">
        <v>34</v>
      </c>
      <c r="R1271" s="1">
        <v>44452</v>
      </c>
      <c r="S1271" t="s">
        <v>41</v>
      </c>
      <c r="T1271">
        <v>0</v>
      </c>
      <c r="U1271">
        <v>0</v>
      </c>
      <c r="V1271">
        <v>0</v>
      </c>
      <c r="W1271">
        <v>0</v>
      </c>
      <c r="X1271" t="s">
        <v>11022</v>
      </c>
      <c r="Y1271" t="s">
        <v>11022</v>
      </c>
      <c r="Z1271" t="str">
        <f>_xlfn.XLOOKUP(Employees[[#This Row],[Education]], EdLevel[EducationLevelID], EdLevel[EducationLevel])</f>
        <v xml:space="preserve">Bachelors </v>
      </c>
      <c r="AA1271">
        <f>IF(Employees[[#This Row],[Attrition]] = "Yes", 1, 0)</f>
        <v>1</v>
      </c>
      <c r="AB1271" t="str" cm="1">
        <f t="array" ref="AB1271">_xlfn.IFS(Employees[[#This Row],[Age]]&lt;30, "20-29", Employees[[#This Row],[Age]]&lt;40, "30-39", Employees[[#This Row],[Age]]&lt;50, "40-49", "TRUE", "50+")</f>
        <v>20-29</v>
      </c>
    </row>
    <row r="1272" spans="1:28">
      <c r="A1272" t="s">
        <v>3741</v>
      </c>
      <c r="B1272" t="s">
        <v>1313</v>
      </c>
      <c r="C1272" t="s">
        <v>3742</v>
      </c>
      <c r="D1272" t="s">
        <v>38</v>
      </c>
      <c r="E1272">
        <v>35</v>
      </c>
      <c r="F1272" t="s">
        <v>27</v>
      </c>
      <c r="G1272" t="s">
        <v>28</v>
      </c>
      <c r="H1272">
        <v>31</v>
      </c>
      <c r="I1272" t="s">
        <v>39</v>
      </c>
      <c r="J1272" t="s">
        <v>30</v>
      </c>
      <c r="K1272">
        <v>2</v>
      </c>
      <c r="L1272" t="s">
        <v>31</v>
      </c>
      <c r="M1272" t="s">
        <v>32</v>
      </c>
      <c r="N1272" t="s">
        <v>33</v>
      </c>
      <c r="O1272">
        <v>200802</v>
      </c>
      <c r="P1272">
        <v>3</v>
      </c>
      <c r="Q1272" t="s">
        <v>34</v>
      </c>
      <c r="R1272" s="1">
        <v>44465</v>
      </c>
      <c r="S1272" t="s">
        <v>34</v>
      </c>
      <c r="T1272">
        <v>1</v>
      </c>
      <c r="U1272">
        <v>0</v>
      </c>
      <c r="V1272">
        <v>1</v>
      </c>
      <c r="W1272">
        <v>0</v>
      </c>
      <c r="X1272" t="s">
        <v>11021</v>
      </c>
      <c r="Y1272" t="s">
        <v>11021</v>
      </c>
      <c r="Z1272" t="str">
        <f>_xlfn.XLOOKUP(Employees[[#This Row],[Education]], EdLevel[EducationLevelID], EdLevel[EducationLevel])</f>
        <v xml:space="preserve">High School </v>
      </c>
      <c r="AA1272">
        <f>IF(Employees[[#This Row],[Attrition]] = "Yes", 1, 0)</f>
        <v>0</v>
      </c>
      <c r="AB1272" t="str" cm="1">
        <f t="array" ref="AB1272">_xlfn.IFS(Employees[[#This Row],[Age]]&lt;30, "20-29", Employees[[#This Row],[Age]]&lt;40, "30-39", Employees[[#This Row],[Age]]&lt;50, "40-49", "TRUE", "50+")</f>
        <v>30-39</v>
      </c>
    </row>
    <row r="1273" spans="1:28">
      <c r="A1273" t="s">
        <v>3743</v>
      </c>
      <c r="B1273" t="s">
        <v>3744</v>
      </c>
      <c r="C1273" t="s">
        <v>3745</v>
      </c>
      <c r="D1273" t="s">
        <v>26</v>
      </c>
      <c r="E1273">
        <v>21</v>
      </c>
      <c r="F1273" t="s">
        <v>27</v>
      </c>
      <c r="G1273" t="s">
        <v>28</v>
      </c>
      <c r="H1273">
        <v>10</v>
      </c>
      <c r="I1273" t="s">
        <v>65</v>
      </c>
      <c r="J1273" t="s">
        <v>30</v>
      </c>
      <c r="K1273">
        <v>3</v>
      </c>
      <c r="L1273" t="s">
        <v>121</v>
      </c>
      <c r="M1273" t="s">
        <v>32</v>
      </c>
      <c r="N1273" t="s">
        <v>33</v>
      </c>
      <c r="O1273">
        <v>60769</v>
      </c>
      <c r="P1273">
        <v>1</v>
      </c>
      <c r="Q1273" t="s">
        <v>34</v>
      </c>
      <c r="R1273" s="1">
        <v>44466</v>
      </c>
      <c r="S1273" t="s">
        <v>34</v>
      </c>
      <c r="T1273">
        <v>1</v>
      </c>
      <c r="U1273">
        <v>1</v>
      </c>
      <c r="V1273">
        <v>1</v>
      </c>
      <c r="W1273">
        <v>1</v>
      </c>
      <c r="X1273" t="s">
        <v>11022</v>
      </c>
      <c r="Y1273" t="s">
        <v>11022</v>
      </c>
      <c r="Z1273" t="str">
        <f>_xlfn.XLOOKUP(Employees[[#This Row],[Education]], EdLevel[EducationLevelID], EdLevel[EducationLevel])</f>
        <v xml:space="preserve">Bachelors </v>
      </c>
      <c r="AA1273">
        <f>IF(Employees[[#This Row],[Attrition]] = "Yes", 1, 0)</f>
        <v>0</v>
      </c>
      <c r="AB1273" t="str" cm="1">
        <f t="array" ref="AB1273">_xlfn.IFS(Employees[[#This Row],[Age]]&lt;30, "20-29", Employees[[#This Row],[Age]]&lt;40, "30-39", Employees[[#This Row],[Age]]&lt;50, "40-49", "TRUE", "50+")</f>
        <v>20-29</v>
      </c>
    </row>
    <row r="1274" spans="1:28">
      <c r="A1274" t="s">
        <v>3746</v>
      </c>
      <c r="B1274" t="s">
        <v>3747</v>
      </c>
      <c r="C1274" t="s">
        <v>3748</v>
      </c>
      <c r="D1274" t="s">
        <v>38</v>
      </c>
      <c r="E1274">
        <v>32</v>
      </c>
      <c r="F1274" t="s">
        <v>27</v>
      </c>
      <c r="G1274" t="s">
        <v>54</v>
      </c>
      <c r="H1274">
        <v>39</v>
      </c>
      <c r="I1274" t="s">
        <v>65</v>
      </c>
      <c r="J1274" t="s">
        <v>30</v>
      </c>
      <c r="K1274">
        <v>3</v>
      </c>
      <c r="L1274" t="s">
        <v>178</v>
      </c>
      <c r="M1274" t="s">
        <v>182</v>
      </c>
      <c r="N1274" t="s">
        <v>49</v>
      </c>
      <c r="O1274">
        <v>253019</v>
      </c>
      <c r="P1274">
        <v>0</v>
      </c>
      <c r="Q1274" t="s">
        <v>34</v>
      </c>
      <c r="R1274" s="1">
        <v>44467</v>
      </c>
      <c r="S1274" t="s">
        <v>34</v>
      </c>
      <c r="T1274">
        <v>1</v>
      </c>
      <c r="U1274">
        <v>0</v>
      </c>
      <c r="V1274">
        <v>0</v>
      </c>
      <c r="W1274">
        <v>0</v>
      </c>
      <c r="X1274" t="s">
        <v>11022</v>
      </c>
      <c r="Y1274" t="s">
        <v>11022</v>
      </c>
      <c r="Z1274" t="str">
        <f>_xlfn.XLOOKUP(Employees[[#This Row],[Education]], EdLevel[EducationLevelID], EdLevel[EducationLevel])</f>
        <v xml:space="preserve">Bachelors </v>
      </c>
      <c r="AA1274">
        <f>IF(Employees[[#This Row],[Attrition]] = "Yes", 1, 0)</f>
        <v>0</v>
      </c>
      <c r="AB1274" t="str" cm="1">
        <f t="array" ref="AB1274">_xlfn.IFS(Employees[[#This Row],[Age]]&lt;30, "20-29", Employees[[#This Row],[Age]]&lt;40, "30-39", Employees[[#This Row],[Age]]&lt;50, "40-49", "TRUE", "50+")</f>
        <v>30-39</v>
      </c>
    </row>
    <row r="1275" spans="1:28">
      <c r="A1275" t="s">
        <v>3749</v>
      </c>
      <c r="B1275" t="s">
        <v>3750</v>
      </c>
      <c r="C1275" t="s">
        <v>3751</v>
      </c>
      <c r="D1275" t="s">
        <v>26</v>
      </c>
      <c r="E1275">
        <v>22</v>
      </c>
      <c r="F1275" t="s">
        <v>70</v>
      </c>
      <c r="G1275" t="s">
        <v>28</v>
      </c>
      <c r="H1275">
        <v>7</v>
      </c>
      <c r="I1275" t="s">
        <v>39</v>
      </c>
      <c r="J1275" t="s">
        <v>30</v>
      </c>
      <c r="K1275">
        <v>4</v>
      </c>
      <c r="L1275" t="s">
        <v>47</v>
      </c>
      <c r="M1275" t="s">
        <v>32</v>
      </c>
      <c r="N1275" t="s">
        <v>49</v>
      </c>
      <c r="O1275">
        <v>46546</v>
      </c>
      <c r="P1275">
        <v>1</v>
      </c>
      <c r="Q1275" t="s">
        <v>34</v>
      </c>
      <c r="R1275" s="1">
        <v>44468</v>
      </c>
      <c r="S1275" t="s">
        <v>34</v>
      </c>
      <c r="T1275">
        <v>1</v>
      </c>
      <c r="U1275">
        <v>0</v>
      </c>
      <c r="V1275">
        <v>1</v>
      </c>
      <c r="W1275">
        <v>1</v>
      </c>
      <c r="X1275" t="s">
        <v>11023</v>
      </c>
      <c r="Y1275" t="s">
        <v>11023</v>
      </c>
      <c r="Z1275" t="str">
        <f>_xlfn.XLOOKUP(Employees[[#This Row],[Education]], EdLevel[EducationLevelID], EdLevel[EducationLevel])</f>
        <v xml:space="preserve">Masters </v>
      </c>
      <c r="AA1275">
        <f>IF(Employees[[#This Row],[Attrition]] = "Yes", 1, 0)</f>
        <v>0</v>
      </c>
      <c r="AB1275" t="str" cm="1">
        <f t="array" ref="AB1275">_xlfn.IFS(Employees[[#This Row],[Age]]&lt;30, "20-29", Employees[[#This Row],[Age]]&lt;40, "30-39", Employees[[#This Row],[Age]]&lt;50, "40-49", "TRUE", "50+")</f>
        <v>20-29</v>
      </c>
    </row>
    <row r="1276" spans="1:28">
      <c r="A1276" t="s">
        <v>3752</v>
      </c>
      <c r="B1276" t="s">
        <v>3327</v>
      </c>
      <c r="C1276" t="s">
        <v>3753</v>
      </c>
      <c r="D1276" t="s">
        <v>26</v>
      </c>
      <c r="E1276">
        <v>21</v>
      </c>
      <c r="F1276" t="s">
        <v>70</v>
      </c>
      <c r="G1276" t="s">
        <v>28</v>
      </c>
      <c r="H1276">
        <v>15</v>
      </c>
      <c r="I1276" t="s">
        <v>39</v>
      </c>
      <c r="J1276" t="s">
        <v>30</v>
      </c>
      <c r="K1276">
        <v>4</v>
      </c>
      <c r="L1276" t="s">
        <v>47</v>
      </c>
      <c r="M1276" t="s">
        <v>32</v>
      </c>
      <c r="N1276" t="s">
        <v>49</v>
      </c>
      <c r="O1276">
        <v>76482</v>
      </c>
      <c r="P1276">
        <v>1</v>
      </c>
      <c r="Q1276" t="s">
        <v>34</v>
      </c>
      <c r="R1276" s="1">
        <v>44469</v>
      </c>
      <c r="S1276" t="s">
        <v>34</v>
      </c>
      <c r="T1276">
        <v>1</v>
      </c>
      <c r="U1276">
        <v>1</v>
      </c>
      <c r="V1276">
        <v>1</v>
      </c>
      <c r="W1276">
        <v>0</v>
      </c>
      <c r="X1276" t="s">
        <v>11023</v>
      </c>
      <c r="Y1276" t="s">
        <v>11023</v>
      </c>
      <c r="Z1276" t="str">
        <f>_xlfn.XLOOKUP(Employees[[#This Row],[Education]], EdLevel[EducationLevelID], EdLevel[EducationLevel])</f>
        <v xml:space="preserve">Masters </v>
      </c>
      <c r="AA1276">
        <f>IF(Employees[[#This Row],[Attrition]] = "Yes", 1, 0)</f>
        <v>0</v>
      </c>
      <c r="AB1276" t="str" cm="1">
        <f t="array" ref="AB1276">_xlfn.IFS(Employees[[#This Row],[Age]]&lt;30, "20-29", Employees[[#This Row],[Age]]&lt;40, "30-39", Employees[[#This Row],[Age]]&lt;50, "40-49", "TRUE", "50+")</f>
        <v>20-29</v>
      </c>
    </row>
    <row r="1277" spans="1:28">
      <c r="A1277" t="s">
        <v>3754</v>
      </c>
      <c r="B1277" t="s">
        <v>3755</v>
      </c>
      <c r="C1277" t="s">
        <v>3756</v>
      </c>
      <c r="D1277" t="s">
        <v>38</v>
      </c>
      <c r="E1277">
        <v>22</v>
      </c>
      <c r="F1277" t="s">
        <v>84</v>
      </c>
      <c r="G1277" t="s">
        <v>28</v>
      </c>
      <c r="H1277">
        <v>11</v>
      </c>
      <c r="I1277" t="s">
        <v>39</v>
      </c>
      <c r="J1277" t="s">
        <v>30</v>
      </c>
      <c r="K1277">
        <v>3</v>
      </c>
      <c r="L1277" t="s">
        <v>121</v>
      </c>
      <c r="M1277" t="s">
        <v>150</v>
      </c>
      <c r="N1277" t="s">
        <v>49</v>
      </c>
      <c r="O1277">
        <v>34432</v>
      </c>
      <c r="P1277">
        <v>2</v>
      </c>
      <c r="Q1277" t="s">
        <v>34</v>
      </c>
      <c r="R1277" s="1">
        <v>44469</v>
      </c>
      <c r="S1277" t="s">
        <v>34</v>
      </c>
      <c r="T1277">
        <v>1</v>
      </c>
      <c r="U1277">
        <v>0</v>
      </c>
      <c r="V1277">
        <v>0</v>
      </c>
      <c r="W1277">
        <v>1</v>
      </c>
      <c r="X1277" t="s">
        <v>11022</v>
      </c>
      <c r="Y1277" t="s">
        <v>11022</v>
      </c>
      <c r="Z1277" t="str">
        <f>_xlfn.XLOOKUP(Employees[[#This Row],[Education]], EdLevel[EducationLevelID], EdLevel[EducationLevel])</f>
        <v xml:space="preserve">Bachelors </v>
      </c>
      <c r="AA1277">
        <f>IF(Employees[[#This Row],[Attrition]] = "Yes", 1, 0)</f>
        <v>0</v>
      </c>
      <c r="AB1277" t="str" cm="1">
        <f t="array" ref="AB1277">_xlfn.IFS(Employees[[#This Row],[Age]]&lt;30, "20-29", Employees[[#This Row],[Age]]&lt;40, "30-39", Employees[[#This Row],[Age]]&lt;50, "40-49", "TRUE", "50+")</f>
        <v>20-29</v>
      </c>
    </row>
    <row r="1278" spans="1:28">
      <c r="A1278" t="s">
        <v>3757</v>
      </c>
      <c r="B1278" t="s">
        <v>3758</v>
      </c>
      <c r="C1278" t="s">
        <v>3759</v>
      </c>
      <c r="D1278" t="s">
        <v>38</v>
      </c>
      <c r="E1278">
        <v>21</v>
      </c>
      <c r="F1278" t="s">
        <v>27</v>
      </c>
      <c r="G1278" t="s">
        <v>28</v>
      </c>
      <c r="H1278">
        <v>43</v>
      </c>
      <c r="I1278" t="s">
        <v>65</v>
      </c>
      <c r="J1278" t="s">
        <v>30</v>
      </c>
      <c r="K1278">
        <v>3</v>
      </c>
      <c r="L1278" t="s">
        <v>47</v>
      </c>
      <c r="M1278" t="s">
        <v>32</v>
      </c>
      <c r="N1278" t="s">
        <v>40</v>
      </c>
      <c r="O1278">
        <v>47553</v>
      </c>
      <c r="P1278">
        <v>0</v>
      </c>
      <c r="Q1278" t="s">
        <v>34</v>
      </c>
      <c r="R1278" s="1">
        <v>44470</v>
      </c>
      <c r="S1278" t="s">
        <v>34</v>
      </c>
      <c r="T1278">
        <v>1</v>
      </c>
      <c r="U1278">
        <v>1</v>
      </c>
      <c r="V1278">
        <v>1</v>
      </c>
      <c r="W1278">
        <v>0</v>
      </c>
      <c r="X1278" t="s">
        <v>11022</v>
      </c>
      <c r="Y1278" t="s">
        <v>11022</v>
      </c>
      <c r="Z1278" t="str">
        <f>_xlfn.XLOOKUP(Employees[[#This Row],[Education]], EdLevel[EducationLevelID], EdLevel[EducationLevel])</f>
        <v xml:space="preserve">Bachelors </v>
      </c>
      <c r="AA1278">
        <f>IF(Employees[[#This Row],[Attrition]] = "Yes", 1, 0)</f>
        <v>0</v>
      </c>
      <c r="AB1278" t="str" cm="1">
        <f t="array" ref="AB1278">_xlfn.IFS(Employees[[#This Row],[Age]]&lt;30, "20-29", Employees[[#This Row],[Age]]&lt;40, "30-39", Employees[[#This Row],[Age]]&lt;50, "40-49", "TRUE", "50+")</f>
        <v>20-29</v>
      </c>
    </row>
    <row r="1279" spans="1:28">
      <c r="A1279" t="s">
        <v>3760</v>
      </c>
      <c r="B1279" t="s">
        <v>3761</v>
      </c>
      <c r="C1279" t="s">
        <v>3762</v>
      </c>
      <c r="D1279" t="s">
        <v>38</v>
      </c>
      <c r="E1279">
        <v>43</v>
      </c>
      <c r="F1279" t="s">
        <v>27</v>
      </c>
      <c r="G1279" t="s">
        <v>54</v>
      </c>
      <c r="H1279">
        <v>17</v>
      </c>
      <c r="I1279" t="s">
        <v>65</v>
      </c>
      <c r="J1279" t="s">
        <v>30</v>
      </c>
      <c r="K1279">
        <v>3</v>
      </c>
      <c r="L1279" t="s">
        <v>178</v>
      </c>
      <c r="M1279" t="s">
        <v>93</v>
      </c>
      <c r="N1279" t="s">
        <v>49</v>
      </c>
      <c r="O1279">
        <v>254834</v>
      </c>
      <c r="P1279">
        <v>0</v>
      </c>
      <c r="Q1279" t="s">
        <v>34</v>
      </c>
      <c r="R1279" s="1">
        <v>44474</v>
      </c>
      <c r="S1279" t="s">
        <v>34</v>
      </c>
      <c r="T1279">
        <v>1</v>
      </c>
      <c r="U1279">
        <v>1</v>
      </c>
      <c r="V1279">
        <v>1</v>
      </c>
      <c r="W1279">
        <v>1</v>
      </c>
      <c r="X1279" t="s">
        <v>11022</v>
      </c>
      <c r="Y1279" t="s">
        <v>11022</v>
      </c>
      <c r="Z1279" t="str">
        <f>_xlfn.XLOOKUP(Employees[[#This Row],[Education]], EdLevel[EducationLevelID], EdLevel[EducationLevel])</f>
        <v xml:space="preserve">Bachelors </v>
      </c>
      <c r="AA1279">
        <f>IF(Employees[[#This Row],[Attrition]] = "Yes", 1, 0)</f>
        <v>0</v>
      </c>
      <c r="AB1279" t="str" cm="1">
        <f t="array" ref="AB1279">_xlfn.IFS(Employees[[#This Row],[Age]]&lt;30, "20-29", Employees[[#This Row],[Age]]&lt;40, "30-39", Employees[[#This Row],[Age]]&lt;50, "40-49", "TRUE", "50+")</f>
        <v>40-49</v>
      </c>
    </row>
    <row r="1280" spans="1:28">
      <c r="A1280" t="s">
        <v>3763</v>
      </c>
      <c r="B1280" t="s">
        <v>3764</v>
      </c>
      <c r="C1280" t="s">
        <v>3765</v>
      </c>
      <c r="D1280" t="s">
        <v>53</v>
      </c>
      <c r="E1280">
        <v>19</v>
      </c>
      <c r="F1280" t="s">
        <v>27</v>
      </c>
      <c r="G1280" t="s">
        <v>28</v>
      </c>
      <c r="H1280">
        <v>22</v>
      </c>
      <c r="I1280" t="s">
        <v>39</v>
      </c>
      <c r="J1280" t="s">
        <v>30</v>
      </c>
      <c r="K1280">
        <v>4</v>
      </c>
      <c r="L1280" t="s">
        <v>47</v>
      </c>
      <c r="M1280" t="s">
        <v>32</v>
      </c>
      <c r="N1280" t="s">
        <v>40</v>
      </c>
      <c r="O1280">
        <v>46813</v>
      </c>
      <c r="P1280">
        <v>0</v>
      </c>
      <c r="Q1280" t="s">
        <v>34</v>
      </c>
      <c r="R1280" s="1">
        <v>44478</v>
      </c>
      <c r="S1280" t="s">
        <v>34</v>
      </c>
      <c r="T1280">
        <v>1</v>
      </c>
      <c r="U1280">
        <v>0</v>
      </c>
      <c r="V1280">
        <v>0</v>
      </c>
      <c r="W1280">
        <v>1</v>
      </c>
      <c r="X1280" t="s">
        <v>11023</v>
      </c>
      <c r="Y1280" t="s">
        <v>11023</v>
      </c>
      <c r="Z1280" t="str">
        <f>_xlfn.XLOOKUP(Employees[[#This Row],[Education]], EdLevel[EducationLevelID], EdLevel[EducationLevel])</f>
        <v xml:space="preserve">Masters </v>
      </c>
      <c r="AA1280">
        <f>IF(Employees[[#This Row],[Attrition]] = "Yes", 1, 0)</f>
        <v>0</v>
      </c>
      <c r="AB1280" t="str" cm="1">
        <f t="array" ref="AB1280">_xlfn.IFS(Employees[[#This Row],[Age]]&lt;30, "20-29", Employees[[#This Row],[Age]]&lt;40, "30-39", Employees[[#This Row],[Age]]&lt;50, "40-49", "TRUE", "50+")</f>
        <v>20-29</v>
      </c>
    </row>
    <row r="1281" spans="1:28">
      <c r="A1281" t="s">
        <v>3766</v>
      </c>
      <c r="B1281" t="s">
        <v>3767</v>
      </c>
      <c r="C1281" t="s">
        <v>3768</v>
      </c>
      <c r="D1281" t="s">
        <v>38</v>
      </c>
      <c r="E1281">
        <v>49</v>
      </c>
      <c r="F1281" t="s">
        <v>70</v>
      </c>
      <c r="G1281" t="s">
        <v>45</v>
      </c>
      <c r="H1281">
        <v>22</v>
      </c>
      <c r="I1281" t="s">
        <v>65</v>
      </c>
      <c r="J1281" t="s">
        <v>30</v>
      </c>
      <c r="K1281">
        <v>4</v>
      </c>
      <c r="L1281" t="s">
        <v>45</v>
      </c>
      <c r="M1281" t="s">
        <v>259</v>
      </c>
      <c r="N1281" t="s">
        <v>49</v>
      </c>
      <c r="O1281">
        <v>509261</v>
      </c>
      <c r="P1281">
        <v>1</v>
      </c>
      <c r="Q1281" t="s">
        <v>34</v>
      </c>
      <c r="R1281" s="1">
        <v>44481</v>
      </c>
      <c r="S1281" t="s">
        <v>34</v>
      </c>
      <c r="T1281">
        <v>1</v>
      </c>
      <c r="U1281">
        <v>1</v>
      </c>
      <c r="V1281">
        <v>1</v>
      </c>
      <c r="W1281">
        <v>0</v>
      </c>
      <c r="X1281" t="s">
        <v>11023</v>
      </c>
      <c r="Y1281" t="s">
        <v>11023</v>
      </c>
      <c r="Z1281" t="str">
        <f>_xlfn.XLOOKUP(Employees[[#This Row],[Education]], EdLevel[EducationLevelID], EdLevel[EducationLevel])</f>
        <v xml:space="preserve">Masters </v>
      </c>
      <c r="AA1281">
        <f>IF(Employees[[#This Row],[Attrition]] = "Yes", 1, 0)</f>
        <v>0</v>
      </c>
      <c r="AB1281" t="str" cm="1">
        <f t="array" ref="AB1281">_xlfn.IFS(Employees[[#This Row],[Age]]&lt;30, "20-29", Employees[[#This Row],[Age]]&lt;40, "30-39", Employees[[#This Row],[Age]]&lt;50, "40-49", "TRUE", "50+")</f>
        <v>40-49</v>
      </c>
    </row>
    <row r="1282" spans="1:28">
      <c r="A1282" t="s">
        <v>3769</v>
      </c>
      <c r="B1282" t="s">
        <v>3770</v>
      </c>
      <c r="C1282" t="s">
        <v>3771</v>
      </c>
      <c r="D1282" t="s">
        <v>26</v>
      </c>
      <c r="E1282">
        <v>50</v>
      </c>
      <c r="F1282" t="s">
        <v>84</v>
      </c>
      <c r="G1282" t="s">
        <v>28</v>
      </c>
      <c r="H1282">
        <v>26</v>
      </c>
      <c r="I1282" t="s">
        <v>65</v>
      </c>
      <c r="J1282" t="s">
        <v>30</v>
      </c>
      <c r="K1282">
        <v>4</v>
      </c>
      <c r="L1282" t="s">
        <v>121</v>
      </c>
      <c r="M1282" t="s">
        <v>32</v>
      </c>
      <c r="N1282" t="s">
        <v>49</v>
      </c>
      <c r="O1282">
        <v>214707</v>
      </c>
      <c r="P1282">
        <v>1</v>
      </c>
      <c r="Q1282" t="s">
        <v>34</v>
      </c>
      <c r="R1282" s="1">
        <v>44485</v>
      </c>
      <c r="S1282" t="s">
        <v>34</v>
      </c>
      <c r="T1282">
        <v>1</v>
      </c>
      <c r="U1282">
        <v>1</v>
      </c>
      <c r="V1282">
        <v>1</v>
      </c>
      <c r="W1282">
        <v>1</v>
      </c>
      <c r="X1282" t="s">
        <v>11023</v>
      </c>
      <c r="Y1282" t="s">
        <v>11023</v>
      </c>
      <c r="Z1282" t="str">
        <f>_xlfn.XLOOKUP(Employees[[#This Row],[Education]], EdLevel[EducationLevelID], EdLevel[EducationLevel])</f>
        <v xml:space="preserve">Masters </v>
      </c>
      <c r="AA1282">
        <f>IF(Employees[[#This Row],[Attrition]] = "Yes", 1, 0)</f>
        <v>0</v>
      </c>
      <c r="AB1282" t="str" cm="1">
        <f t="array" ref="AB1282">_xlfn.IFS(Employees[[#This Row],[Age]]&lt;30, "20-29", Employees[[#This Row],[Age]]&lt;40, "30-39", Employees[[#This Row],[Age]]&lt;50, "40-49", "TRUE", "50+")</f>
        <v>50+</v>
      </c>
    </row>
    <row r="1283" spans="1:28">
      <c r="A1283" t="s">
        <v>3772</v>
      </c>
      <c r="B1283" t="s">
        <v>3773</v>
      </c>
      <c r="C1283" t="s">
        <v>3774</v>
      </c>
      <c r="D1283" t="s">
        <v>26</v>
      </c>
      <c r="E1283">
        <v>38</v>
      </c>
      <c r="F1283" t="s">
        <v>27</v>
      </c>
      <c r="G1283" t="s">
        <v>54</v>
      </c>
      <c r="H1283">
        <v>10</v>
      </c>
      <c r="I1283" t="s">
        <v>29</v>
      </c>
      <c r="J1283" t="s">
        <v>30</v>
      </c>
      <c r="K1283">
        <v>3</v>
      </c>
      <c r="L1283" t="s">
        <v>178</v>
      </c>
      <c r="M1283" t="s">
        <v>56</v>
      </c>
      <c r="N1283" t="s">
        <v>49</v>
      </c>
      <c r="O1283">
        <v>303360</v>
      </c>
      <c r="P1283">
        <v>0</v>
      </c>
      <c r="Q1283" t="s">
        <v>34</v>
      </c>
      <c r="R1283" s="1">
        <v>44485</v>
      </c>
      <c r="S1283" t="s">
        <v>41</v>
      </c>
      <c r="T1283">
        <v>0</v>
      </c>
      <c r="U1283">
        <v>0</v>
      </c>
      <c r="V1283">
        <v>0</v>
      </c>
      <c r="W1283">
        <v>0</v>
      </c>
      <c r="X1283" t="s">
        <v>11022</v>
      </c>
      <c r="Y1283" t="s">
        <v>11022</v>
      </c>
      <c r="Z1283" t="str">
        <f>_xlfn.XLOOKUP(Employees[[#This Row],[Education]], EdLevel[EducationLevelID], EdLevel[EducationLevel])</f>
        <v xml:space="preserve">Bachelors </v>
      </c>
      <c r="AA1283">
        <f>IF(Employees[[#This Row],[Attrition]] = "Yes", 1, 0)</f>
        <v>1</v>
      </c>
      <c r="AB1283" t="str" cm="1">
        <f t="array" ref="AB1283">_xlfn.IFS(Employees[[#This Row],[Age]]&lt;30, "20-29", Employees[[#This Row],[Age]]&lt;40, "30-39", Employees[[#This Row],[Age]]&lt;50, "40-49", "TRUE", "50+")</f>
        <v>30-39</v>
      </c>
    </row>
    <row r="1284" spans="1:28">
      <c r="A1284" t="s">
        <v>3775</v>
      </c>
      <c r="B1284" t="s">
        <v>3776</v>
      </c>
      <c r="C1284" t="s">
        <v>3777</v>
      </c>
      <c r="D1284" t="s">
        <v>26</v>
      </c>
      <c r="E1284">
        <v>49</v>
      </c>
      <c r="F1284" t="s">
        <v>27</v>
      </c>
      <c r="G1284" t="s">
        <v>28</v>
      </c>
      <c r="H1284">
        <v>43</v>
      </c>
      <c r="I1284" t="s">
        <v>29</v>
      </c>
      <c r="J1284" t="s">
        <v>30</v>
      </c>
      <c r="K1284">
        <v>4</v>
      </c>
      <c r="L1284" t="s">
        <v>47</v>
      </c>
      <c r="M1284" t="s">
        <v>97</v>
      </c>
      <c r="N1284" t="s">
        <v>40</v>
      </c>
      <c r="O1284">
        <v>413946</v>
      </c>
      <c r="P1284">
        <v>0</v>
      </c>
      <c r="Q1284" t="s">
        <v>34</v>
      </c>
      <c r="R1284" s="1">
        <v>44488</v>
      </c>
      <c r="S1284" t="s">
        <v>34</v>
      </c>
      <c r="T1284">
        <v>1</v>
      </c>
      <c r="U1284">
        <v>1</v>
      </c>
      <c r="V1284">
        <v>1</v>
      </c>
      <c r="W1284">
        <v>1</v>
      </c>
      <c r="X1284" t="s">
        <v>11023</v>
      </c>
      <c r="Y1284" t="s">
        <v>11023</v>
      </c>
      <c r="Z1284" t="str">
        <f>_xlfn.XLOOKUP(Employees[[#This Row],[Education]], EdLevel[EducationLevelID], EdLevel[EducationLevel])</f>
        <v xml:space="preserve">Masters </v>
      </c>
      <c r="AA1284">
        <f>IF(Employees[[#This Row],[Attrition]] = "Yes", 1, 0)</f>
        <v>0</v>
      </c>
      <c r="AB1284" t="str" cm="1">
        <f t="array" ref="AB1284">_xlfn.IFS(Employees[[#This Row],[Age]]&lt;30, "20-29", Employees[[#This Row],[Age]]&lt;40, "30-39", Employees[[#This Row],[Age]]&lt;50, "40-49", "TRUE", "50+")</f>
        <v>40-49</v>
      </c>
    </row>
    <row r="1285" spans="1:28">
      <c r="A1285" t="s">
        <v>3778</v>
      </c>
      <c r="B1285" t="s">
        <v>3779</v>
      </c>
      <c r="C1285" t="s">
        <v>3780</v>
      </c>
      <c r="D1285" t="s">
        <v>38</v>
      </c>
      <c r="E1285">
        <v>21</v>
      </c>
      <c r="F1285" t="s">
        <v>27</v>
      </c>
      <c r="G1285" t="s">
        <v>54</v>
      </c>
      <c r="H1285">
        <v>40</v>
      </c>
      <c r="I1285" t="s">
        <v>29</v>
      </c>
      <c r="J1285" t="s">
        <v>30</v>
      </c>
      <c r="K1285">
        <v>4</v>
      </c>
      <c r="L1285" t="s">
        <v>72</v>
      </c>
      <c r="M1285" t="s">
        <v>101</v>
      </c>
      <c r="N1285" t="s">
        <v>40</v>
      </c>
      <c r="O1285">
        <v>65642</v>
      </c>
      <c r="P1285">
        <v>0</v>
      </c>
      <c r="Q1285" t="s">
        <v>34</v>
      </c>
      <c r="R1285" s="1">
        <v>44491</v>
      </c>
      <c r="S1285" t="s">
        <v>34</v>
      </c>
      <c r="T1285">
        <v>1</v>
      </c>
      <c r="U1285">
        <v>1</v>
      </c>
      <c r="V1285">
        <v>1</v>
      </c>
      <c r="W1285">
        <v>0</v>
      </c>
      <c r="X1285" t="s">
        <v>11023</v>
      </c>
      <c r="Y1285" t="s">
        <v>11023</v>
      </c>
      <c r="Z1285" t="str">
        <f>_xlfn.XLOOKUP(Employees[[#This Row],[Education]], EdLevel[EducationLevelID], EdLevel[EducationLevel])</f>
        <v xml:space="preserve">Masters </v>
      </c>
      <c r="AA1285">
        <f>IF(Employees[[#This Row],[Attrition]] = "Yes", 1, 0)</f>
        <v>0</v>
      </c>
      <c r="AB1285" t="str" cm="1">
        <f t="array" ref="AB1285">_xlfn.IFS(Employees[[#This Row],[Age]]&lt;30, "20-29", Employees[[#This Row],[Age]]&lt;40, "30-39", Employees[[#This Row],[Age]]&lt;50, "40-49", "TRUE", "50+")</f>
        <v>20-29</v>
      </c>
    </row>
    <row r="1286" spans="1:28">
      <c r="A1286" t="s">
        <v>3781</v>
      </c>
      <c r="B1286" t="s">
        <v>3217</v>
      </c>
      <c r="C1286" t="s">
        <v>3782</v>
      </c>
      <c r="D1286" t="s">
        <v>38</v>
      </c>
      <c r="E1286">
        <v>20</v>
      </c>
      <c r="F1286" t="s">
        <v>27</v>
      </c>
      <c r="G1286" t="s">
        <v>54</v>
      </c>
      <c r="H1286">
        <v>14</v>
      </c>
      <c r="I1286" t="s">
        <v>39</v>
      </c>
      <c r="J1286" t="s">
        <v>30</v>
      </c>
      <c r="K1286">
        <v>3</v>
      </c>
      <c r="L1286" t="s">
        <v>72</v>
      </c>
      <c r="M1286" t="s">
        <v>101</v>
      </c>
      <c r="N1286" t="s">
        <v>49</v>
      </c>
      <c r="O1286">
        <v>35355</v>
      </c>
      <c r="P1286">
        <v>2</v>
      </c>
      <c r="Q1286" t="s">
        <v>41</v>
      </c>
      <c r="R1286" s="1">
        <v>44498</v>
      </c>
      <c r="S1286" t="s">
        <v>34</v>
      </c>
      <c r="T1286">
        <v>1</v>
      </c>
      <c r="U1286">
        <v>0</v>
      </c>
      <c r="V1286">
        <v>1</v>
      </c>
      <c r="W1286">
        <v>1</v>
      </c>
      <c r="X1286" t="s">
        <v>11022</v>
      </c>
      <c r="Y1286" t="s">
        <v>11022</v>
      </c>
      <c r="Z1286" t="str">
        <f>_xlfn.XLOOKUP(Employees[[#This Row],[Education]], EdLevel[EducationLevelID], EdLevel[EducationLevel])</f>
        <v xml:space="preserve">Bachelors </v>
      </c>
      <c r="AA1286">
        <f>IF(Employees[[#This Row],[Attrition]] = "Yes", 1, 0)</f>
        <v>0</v>
      </c>
      <c r="AB1286" t="str" cm="1">
        <f t="array" ref="AB1286">_xlfn.IFS(Employees[[#This Row],[Age]]&lt;30, "20-29", Employees[[#This Row],[Age]]&lt;40, "30-39", Employees[[#This Row],[Age]]&lt;50, "40-49", "TRUE", "50+")</f>
        <v>20-29</v>
      </c>
    </row>
    <row r="1287" spans="1:28">
      <c r="A1287" t="s">
        <v>3783</v>
      </c>
      <c r="B1287" t="s">
        <v>2924</v>
      </c>
      <c r="C1287" t="s">
        <v>3784</v>
      </c>
      <c r="D1287" t="s">
        <v>53</v>
      </c>
      <c r="E1287">
        <v>21</v>
      </c>
      <c r="F1287" t="s">
        <v>27</v>
      </c>
      <c r="G1287" t="s">
        <v>45</v>
      </c>
      <c r="H1287">
        <v>33</v>
      </c>
      <c r="I1287" t="s">
        <v>65</v>
      </c>
      <c r="J1287" t="s">
        <v>30</v>
      </c>
      <c r="K1287">
        <v>2</v>
      </c>
      <c r="L1287" t="s">
        <v>121</v>
      </c>
      <c r="M1287" t="s">
        <v>207</v>
      </c>
      <c r="N1287" t="s">
        <v>33</v>
      </c>
      <c r="O1287">
        <v>70809</v>
      </c>
      <c r="P1287">
        <v>1</v>
      </c>
      <c r="Q1287" t="s">
        <v>41</v>
      </c>
      <c r="R1287" s="1">
        <v>44507</v>
      </c>
      <c r="S1287" t="s">
        <v>34</v>
      </c>
      <c r="T1287">
        <v>1</v>
      </c>
      <c r="U1287">
        <v>0</v>
      </c>
      <c r="V1287">
        <v>0</v>
      </c>
      <c r="W1287">
        <v>1</v>
      </c>
      <c r="X1287" t="s">
        <v>11021</v>
      </c>
      <c r="Y1287" t="s">
        <v>11021</v>
      </c>
      <c r="Z1287" t="str">
        <f>_xlfn.XLOOKUP(Employees[[#This Row],[Education]], EdLevel[EducationLevelID], EdLevel[EducationLevel])</f>
        <v xml:space="preserve">High School </v>
      </c>
      <c r="AA1287">
        <f>IF(Employees[[#This Row],[Attrition]] = "Yes", 1, 0)</f>
        <v>0</v>
      </c>
      <c r="AB1287" t="str" cm="1">
        <f t="array" ref="AB1287">_xlfn.IFS(Employees[[#This Row],[Age]]&lt;30, "20-29", Employees[[#This Row],[Age]]&lt;40, "30-39", Employees[[#This Row],[Age]]&lt;50, "40-49", "TRUE", "50+")</f>
        <v>20-29</v>
      </c>
    </row>
    <row r="1288" spans="1:28">
      <c r="A1288" t="s">
        <v>3785</v>
      </c>
      <c r="B1288" t="s">
        <v>3786</v>
      </c>
      <c r="C1288" t="s">
        <v>3787</v>
      </c>
      <c r="D1288" t="s">
        <v>38</v>
      </c>
      <c r="E1288">
        <v>37</v>
      </c>
      <c r="F1288" t="s">
        <v>27</v>
      </c>
      <c r="G1288" t="s">
        <v>54</v>
      </c>
      <c r="H1288">
        <v>11</v>
      </c>
      <c r="I1288" t="s">
        <v>39</v>
      </c>
      <c r="J1288" t="s">
        <v>30</v>
      </c>
      <c r="K1288">
        <v>4</v>
      </c>
      <c r="L1288" t="s">
        <v>72</v>
      </c>
      <c r="M1288" t="s">
        <v>105</v>
      </c>
      <c r="N1288" t="s">
        <v>40</v>
      </c>
      <c r="O1288">
        <v>211375</v>
      </c>
      <c r="P1288">
        <v>1</v>
      </c>
      <c r="Q1288" t="s">
        <v>34</v>
      </c>
      <c r="R1288" s="1">
        <v>44509</v>
      </c>
      <c r="S1288" t="s">
        <v>34</v>
      </c>
      <c r="T1288">
        <v>1</v>
      </c>
      <c r="U1288">
        <v>1</v>
      </c>
      <c r="V1288">
        <v>1</v>
      </c>
      <c r="W1288">
        <v>0</v>
      </c>
      <c r="X1288" t="s">
        <v>11023</v>
      </c>
      <c r="Y1288" t="s">
        <v>11023</v>
      </c>
      <c r="Z1288" t="str">
        <f>_xlfn.XLOOKUP(Employees[[#This Row],[Education]], EdLevel[EducationLevelID], EdLevel[EducationLevel])</f>
        <v xml:space="preserve">Masters </v>
      </c>
      <c r="AA1288">
        <f>IF(Employees[[#This Row],[Attrition]] = "Yes", 1, 0)</f>
        <v>0</v>
      </c>
      <c r="AB1288" t="str" cm="1">
        <f t="array" ref="AB1288">_xlfn.IFS(Employees[[#This Row],[Age]]&lt;30, "20-29", Employees[[#This Row],[Age]]&lt;40, "30-39", Employees[[#This Row],[Age]]&lt;50, "40-49", "TRUE", "50+")</f>
        <v>30-39</v>
      </c>
    </row>
    <row r="1289" spans="1:28">
      <c r="A1289" t="s">
        <v>3788</v>
      </c>
      <c r="B1289" t="s">
        <v>3789</v>
      </c>
      <c r="C1289" t="s">
        <v>3790</v>
      </c>
      <c r="D1289" t="s">
        <v>26</v>
      </c>
      <c r="E1289">
        <v>21</v>
      </c>
      <c r="F1289" t="s">
        <v>27</v>
      </c>
      <c r="G1289" t="s">
        <v>28</v>
      </c>
      <c r="H1289">
        <v>41</v>
      </c>
      <c r="I1289" t="s">
        <v>39</v>
      </c>
      <c r="J1289" t="s">
        <v>30</v>
      </c>
      <c r="K1289">
        <v>2</v>
      </c>
      <c r="L1289" t="s">
        <v>121</v>
      </c>
      <c r="M1289" t="s">
        <v>32</v>
      </c>
      <c r="N1289" t="s">
        <v>33</v>
      </c>
      <c r="O1289">
        <v>38066</v>
      </c>
      <c r="P1289">
        <v>2</v>
      </c>
      <c r="Q1289" t="s">
        <v>34</v>
      </c>
      <c r="R1289" s="1">
        <v>44513</v>
      </c>
      <c r="S1289" t="s">
        <v>34</v>
      </c>
      <c r="T1289">
        <v>1</v>
      </c>
      <c r="U1289">
        <v>0</v>
      </c>
      <c r="V1289">
        <v>0</v>
      </c>
      <c r="W1289">
        <v>0</v>
      </c>
      <c r="X1289" t="s">
        <v>11021</v>
      </c>
      <c r="Y1289" t="s">
        <v>11021</v>
      </c>
      <c r="Z1289" t="str">
        <f>_xlfn.XLOOKUP(Employees[[#This Row],[Education]], EdLevel[EducationLevelID], EdLevel[EducationLevel])</f>
        <v xml:space="preserve">High School </v>
      </c>
      <c r="AA1289">
        <f>IF(Employees[[#This Row],[Attrition]] = "Yes", 1, 0)</f>
        <v>0</v>
      </c>
      <c r="AB1289" t="str" cm="1">
        <f t="array" ref="AB1289">_xlfn.IFS(Employees[[#This Row],[Age]]&lt;30, "20-29", Employees[[#This Row],[Age]]&lt;40, "30-39", Employees[[#This Row],[Age]]&lt;50, "40-49", "TRUE", "50+")</f>
        <v>20-29</v>
      </c>
    </row>
    <row r="1290" spans="1:28">
      <c r="A1290" t="s">
        <v>3791</v>
      </c>
      <c r="B1290" t="s">
        <v>3792</v>
      </c>
      <c r="C1290" t="s">
        <v>3793</v>
      </c>
      <c r="D1290" t="s">
        <v>26</v>
      </c>
      <c r="E1290">
        <v>30</v>
      </c>
      <c r="F1290" t="s">
        <v>27</v>
      </c>
      <c r="G1290" t="s">
        <v>54</v>
      </c>
      <c r="H1290">
        <v>12</v>
      </c>
      <c r="I1290" t="s">
        <v>29</v>
      </c>
      <c r="J1290" t="s">
        <v>30</v>
      </c>
      <c r="K1290">
        <v>2</v>
      </c>
      <c r="L1290" t="s">
        <v>55</v>
      </c>
      <c r="M1290" t="s">
        <v>105</v>
      </c>
      <c r="N1290" t="s">
        <v>49</v>
      </c>
      <c r="O1290">
        <v>264407</v>
      </c>
      <c r="P1290">
        <v>1</v>
      </c>
      <c r="Q1290" t="s">
        <v>34</v>
      </c>
      <c r="R1290" s="1">
        <v>44514</v>
      </c>
      <c r="S1290" t="s">
        <v>34</v>
      </c>
      <c r="T1290">
        <v>1</v>
      </c>
      <c r="U1290">
        <v>1</v>
      </c>
      <c r="V1290">
        <v>1</v>
      </c>
      <c r="W1290">
        <v>0</v>
      </c>
      <c r="X1290" t="s">
        <v>11021</v>
      </c>
      <c r="Y1290" t="s">
        <v>11021</v>
      </c>
      <c r="Z1290" t="str">
        <f>_xlfn.XLOOKUP(Employees[[#This Row],[Education]], EdLevel[EducationLevelID], EdLevel[EducationLevel])</f>
        <v xml:space="preserve">High School </v>
      </c>
      <c r="AA1290">
        <f>IF(Employees[[#This Row],[Attrition]] = "Yes", 1, 0)</f>
        <v>0</v>
      </c>
      <c r="AB1290" t="str" cm="1">
        <f t="array" ref="AB1290">_xlfn.IFS(Employees[[#This Row],[Age]]&lt;30, "20-29", Employees[[#This Row],[Age]]&lt;40, "30-39", Employees[[#This Row],[Age]]&lt;50, "40-49", "TRUE", "50+")</f>
        <v>30-39</v>
      </c>
    </row>
    <row r="1291" spans="1:28">
      <c r="A1291" t="s">
        <v>3794</v>
      </c>
      <c r="B1291" t="s">
        <v>3795</v>
      </c>
      <c r="C1291" t="s">
        <v>3796</v>
      </c>
      <c r="D1291" t="s">
        <v>38</v>
      </c>
      <c r="E1291">
        <v>20</v>
      </c>
      <c r="F1291" t="s">
        <v>70</v>
      </c>
      <c r="G1291" t="s">
        <v>54</v>
      </c>
      <c r="H1291">
        <v>11</v>
      </c>
      <c r="I1291" t="s">
        <v>29</v>
      </c>
      <c r="J1291" t="s">
        <v>30</v>
      </c>
      <c r="K1291">
        <v>3</v>
      </c>
      <c r="L1291" t="s">
        <v>55</v>
      </c>
      <c r="M1291" t="s">
        <v>85</v>
      </c>
      <c r="N1291" t="s">
        <v>49</v>
      </c>
      <c r="O1291">
        <v>26702</v>
      </c>
      <c r="P1291">
        <v>2</v>
      </c>
      <c r="Q1291" t="s">
        <v>34</v>
      </c>
      <c r="R1291" s="1">
        <v>44514</v>
      </c>
      <c r="S1291" t="s">
        <v>34</v>
      </c>
      <c r="T1291">
        <v>1</v>
      </c>
      <c r="U1291">
        <v>1</v>
      </c>
      <c r="V1291">
        <v>1</v>
      </c>
      <c r="W1291">
        <v>0</v>
      </c>
      <c r="X1291" t="s">
        <v>11022</v>
      </c>
      <c r="Y1291" t="s">
        <v>11022</v>
      </c>
      <c r="Z1291" t="str">
        <f>_xlfn.XLOOKUP(Employees[[#This Row],[Education]], EdLevel[EducationLevelID], EdLevel[EducationLevel])</f>
        <v xml:space="preserve">Bachelors </v>
      </c>
      <c r="AA1291">
        <f>IF(Employees[[#This Row],[Attrition]] = "Yes", 1, 0)</f>
        <v>0</v>
      </c>
      <c r="AB1291" t="str" cm="1">
        <f t="array" ref="AB1291">_xlfn.IFS(Employees[[#This Row],[Age]]&lt;30, "20-29", Employees[[#This Row],[Age]]&lt;40, "30-39", Employees[[#This Row],[Age]]&lt;50, "40-49", "TRUE", "50+")</f>
        <v>20-29</v>
      </c>
    </row>
    <row r="1292" spans="1:28">
      <c r="A1292" t="s">
        <v>3797</v>
      </c>
      <c r="B1292" t="s">
        <v>1091</v>
      </c>
      <c r="C1292" t="s">
        <v>1846</v>
      </c>
      <c r="D1292" t="s">
        <v>38</v>
      </c>
      <c r="E1292">
        <v>19</v>
      </c>
      <c r="F1292" t="s">
        <v>84</v>
      </c>
      <c r="G1292" t="s">
        <v>28</v>
      </c>
      <c r="H1292">
        <v>13</v>
      </c>
      <c r="I1292" t="s">
        <v>39</v>
      </c>
      <c r="J1292" t="s">
        <v>30</v>
      </c>
      <c r="K1292">
        <v>2</v>
      </c>
      <c r="L1292" t="s">
        <v>121</v>
      </c>
      <c r="M1292" t="s">
        <v>32</v>
      </c>
      <c r="N1292" t="s">
        <v>40</v>
      </c>
      <c r="O1292">
        <v>65960</v>
      </c>
      <c r="P1292">
        <v>3</v>
      </c>
      <c r="Q1292" t="s">
        <v>34</v>
      </c>
      <c r="R1292" s="1">
        <v>44516</v>
      </c>
      <c r="S1292" t="s">
        <v>34</v>
      </c>
      <c r="T1292">
        <v>1</v>
      </c>
      <c r="U1292">
        <v>0</v>
      </c>
      <c r="V1292">
        <v>1</v>
      </c>
      <c r="W1292">
        <v>0</v>
      </c>
      <c r="X1292" t="s">
        <v>11021</v>
      </c>
      <c r="Y1292" t="s">
        <v>11021</v>
      </c>
      <c r="Z1292" t="str">
        <f>_xlfn.XLOOKUP(Employees[[#This Row],[Education]], EdLevel[EducationLevelID], EdLevel[EducationLevel])</f>
        <v xml:space="preserve">High School </v>
      </c>
      <c r="AA1292">
        <f>IF(Employees[[#This Row],[Attrition]] = "Yes", 1, 0)</f>
        <v>0</v>
      </c>
      <c r="AB1292" t="str" cm="1">
        <f t="array" ref="AB1292">_xlfn.IFS(Employees[[#This Row],[Age]]&lt;30, "20-29", Employees[[#This Row],[Age]]&lt;40, "30-39", Employees[[#This Row],[Age]]&lt;50, "40-49", "TRUE", "50+")</f>
        <v>20-29</v>
      </c>
    </row>
    <row r="1293" spans="1:28">
      <c r="A1293" t="s">
        <v>3798</v>
      </c>
      <c r="B1293" t="s">
        <v>3799</v>
      </c>
      <c r="C1293" t="s">
        <v>3800</v>
      </c>
      <c r="D1293" t="s">
        <v>26</v>
      </c>
      <c r="E1293">
        <v>42</v>
      </c>
      <c r="F1293" t="s">
        <v>27</v>
      </c>
      <c r="G1293" t="s">
        <v>54</v>
      </c>
      <c r="H1293">
        <v>38</v>
      </c>
      <c r="I1293" t="s">
        <v>29</v>
      </c>
      <c r="J1293" t="s">
        <v>30</v>
      </c>
      <c r="K1293">
        <v>4</v>
      </c>
      <c r="L1293" t="s">
        <v>55</v>
      </c>
      <c r="M1293" t="s">
        <v>182</v>
      </c>
      <c r="N1293" t="s">
        <v>49</v>
      </c>
      <c r="O1293">
        <v>392379</v>
      </c>
      <c r="P1293">
        <v>1</v>
      </c>
      <c r="Q1293" t="s">
        <v>34</v>
      </c>
      <c r="R1293" s="1">
        <v>44517</v>
      </c>
      <c r="S1293" t="s">
        <v>34</v>
      </c>
      <c r="T1293">
        <v>1</v>
      </c>
      <c r="U1293">
        <v>1</v>
      </c>
      <c r="V1293">
        <v>1</v>
      </c>
      <c r="W1293">
        <v>1</v>
      </c>
      <c r="X1293" t="s">
        <v>11023</v>
      </c>
      <c r="Y1293" t="s">
        <v>11023</v>
      </c>
      <c r="Z1293" t="str">
        <f>_xlfn.XLOOKUP(Employees[[#This Row],[Education]], EdLevel[EducationLevelID], EdLevel[EducationLevel])</f>
        <v xml:space="preserve">Masters </v>
      </c>
      <c r="AA1293">
        <f>IF(Employees[[#This Row],[Attrition]] = "Yes", 1, 0)</f>
        <v>0</v>
      </c>
      <c r="AB1293" t="str" cm="1">
        <f t="array" ref="AB1293">_xlfn.IFS(Employees[[#This Row],[Age]]&lt;30, "20-29", Employees[[#This Row],[Age]]&lt;40, "30-39", Employees[[#This Row],[Age]]&lt;50, "40-49", "TRUE", "50+")</f>
        <v>40-49</v>
      </c>
    </row>
    <row r="1294" spans="1:28">
      <c r="A1294" t="s">
        <v>3801</v>
      </c>
      <c r="B1294" t="s">
        <v>3802</v>
      </c>
      <c r="C1294" t="s">
        <v>3803</v>
      </c>
      <c r="D1294" t="s">
        <v>26</v>
      </c>
      <c r="E1294">
        <v>28</v>
      </c>
      <c r="F1294" t="s">
        <v>27</v>
      </c>
      <c r="G1294" t="s">
        <v>54</v>
      </c>
      <c r="H1294">
        <v>43</v>
      </c>
      <c r="I1294" t="s">
        <v>39</v>
      </c>
      <c r="J1294" t="s">
        <v>30</v>
      </c>
      <c r="K1294">
        <v>4</v>
      </c>
      <c r="L1294" t="s">
        <v>72</v>
      </c>
      <c r="M1294" t="s">
        <v>101</v>
      </c>
      <c r="N1294" t="s">
        <v>49</v>
      </c>
      <c r="O1294">
        <v>89527</v>
      </c>
      <c r="P1294">
        <v>1</v>
      </c>
      <c r="Q1294" t="s">
        <v>41</v>
      </c>
      <c r="R1294" s="1">
        <v>44521</v>
      </c>
      <c r="S1294" t="s">
        <v>34</v>
      </c>
      <c r="T1294">
        <v>1</v>
      </c>
      <c r="U1294">
        <v>1</v>
      </c>
      <c r="V1294">
        <v>1</v>
      </c>
      <c r="W1294">
        <v>1</v>
      </c>
      <c r="X1294" t="s">
        <v>11023</v>
      </c>
      <c r="Y1294" t="s">
        <v>11023</v>
      </c>
      <c r="Z1294" t="str">
        <f>_xlfn.XLOOKUP(Employees[[#This Row],[Education]], EdLevel[EducationLevelID], EdLevel[EducationLevel])</f>
        <v xml:space="preserve">Masters </v>
      </c>
      <c r="AA1294">
        <f>IF(Employees[[#This Row],[Attrition]] = "Yes", 1, 0)</f>
        <v>0</v>
      </c>
      <c r="AB1294" t="str" cm="1">
        <f t="array" ref="AB1294">_xlfn.IFS(Employees[[#This Row],[Age]]&lt;30, "20-29", Employees[[#This Row],[Age]]&lt;40, "30-39", Employees[[#This Row],[Age]]&lt;50, "40-49", "TRUE", "50+")</f>
        <v>20-29</v>
      </c>
    </row>
    <row r="1295" spans="1:28">
      <c r="A1295" t="s">
        <v>3804</v>
      </c>
      <c r="B1295" t="s">
        <v>3805</v>
      </c>
      <c r="C1295" t="s">
        <v>3806</v>
      </c>
      <c r="D1295" t="s">
        <v>26</v>
      </c>
      <c r="E1295">
        <v>22</v>
      </c>
      <c r="F1295" t="s">
        <v>27</v>
      </c>
      <c r="G1295" t="s">
        <v>54</v>
      </c>
      <c r="H1295">
        <v>19</v>
      </c>
      <c r="I1295" t="s">
        <v>65</v>
      </c>
      <c r="J1295" t="s">
        <v>30</v>
      </c>
      <c r="K1295">
        <v>2</v>
      </c>
      <c r="L1295" t="s">
        <v>72</v>
      </c>
      <c r="M1295" t="s">
        <v>101</v>
      </c>
      <c r="N1295" t="s">
        <v>49</v>
      </c>
      <c r="O1295">
        <v>60515</v>
      </c>
      <c r="P1295">
        <v>2</v>
      </c>
      <c r="Q1295" t="s">
        <v>34</v>
      </c>
      <c r="R1295" s="1">
        <v>44521</v>
      </c>
      <c r="S1295" t="s">
        <v>34</v>
      </c>
      <c r="T1295">
        <v>1</v>
      </c>
      <c r="U1295">
        <v>1</v>
      </c>
      <c r="V1295">
        <v>1</v>
      </c>
      <c r="W1295">
        <v>1</v>
      </c>
      <c r="X1295" t="s">
        <v>11021</v>
      </c>
      <c r="Y1295" t="s">
        <v>11021</v>
      </c>
      <c r="Z1295" t="str">
        <f>_xlfn.XLOOKUP(Employees[[#This Row],[Education]], EdLevel[EducationLevelID], EdLevel[EducationLevel])</f>
        <v xml:space="preserve">High School </v>
      </c>
      <c r="AA1295">
        <f>IF(Employees[[#This Row],[Attrition]] = "Yes", 1, 0)</f>
        <v>0</v>
      </c>
      <c r="AB1295" t="str" cm="1">
        <f t="array" ref="AB1295">_xlfn.IFS(Employees[[#This Row],[Age]]&lt;30, "20-29", Employees[[#This Row],[Age]]&lt;40, "30-39", Employees[[#This Row],[Age]]&lt;50, "40-49", "TRUE", "50+")</f>
        <v>20-29</v>
      </c>
    </row>
    <row r="1296" spans="1:28">
      <c r="A1296" t="s">
        <v>3807</v>
      </c>
      <c r="B1296" t="s">
        <v>3808</v>
      </c>
      <c r="C1296" t="s">
        <v>3809</v>
      </c>
      <c r="D1296" t="s">
        <v>26</v>
      </c>
      <c r="E1296">
        <v>31</v>
      </c>
      <c r="F1296" t="s">
        <v>27</v>
      </c>
      <c r="G1296" t="s">
        <v>28</v>
      </c>
      <c r="H1296">
        <v>13</v>
      </c>
      <c r="I1296" t="s">
        <v>39</v>
      </c>
      <c r="J1296" t="s">
        <v>30</v>
      </c>
      <c r="K1296">
        <v>5</v>
      </c>
      <c r="L1296" t="s">
        <v>31</v>
      </c>
      <c r="M1296" t="s">
        <v>32</v>
      </c>
      <c r="N1296" t="s">
        <v>49</v>
      </c>
      <c r="O1296">
        <v>183057</v>
      </c>
      <c r="P1296">
        <v>2</v>
      </c>
      <c r="Q1296" t="s">
        <v>34</v>
      </c>
      <c r="R1296" s="1">
        <v>44523</v>
      </c>
      <c r="S1296" t="s">
        <v>34</v>
      </c>
      <c r="T1296">
        <v>1</v>
      </c>
      <c r="U1296">
        <v>1</v>
      </c>
      <c r="V1296">
        <v>1</v>
      </c>
      <c r="W1296">
        <v>1</v>
      </c>
      <c r="X1296" t="s">
        <v>11024</v>
      </c>
      <c r="Y1296" t="s">
        <v>11024</v>
      </c>
      <c r="Z1296" t="str">
        <f>_xlfn.XLOOKUP(Employees[[#This Row],[Education]], EdLevel[EducationLevelID], EdLevel[EducationLevel])</f>
        <v>Doctorate</v>
      </c>
      <c r="AA1296">
        <f>IF(Employees[[#This Row],[Attrition]] = "Yes", 1, 0)</f>
        <v>0</v>
      </c>
      <c r="AB1296" t="str" cm="1">
        <f t="array" ref="AB1296">_xlfn.IFS(Employees[[#This Row],[Age]]&lt;30, "20-29", Employees[[#This Row],[Age]]&lt;40, "30-39", Employees[[#This Row],[Age]]&lt;50, "40-49", "TRUE", "50+")</f>
        <v>30-39</v>
      </c>
    </row>
    <row r="1297" spans="1:28">
      <c r="A1297" t="s">
        <v>3810</v>
      </c>
      <c r="B1297" t="s">
        <v>3811</v>
      </c>
      <c r="C1297" t="s">
        <v>3812</v>
      </c>
      <c r="D1297" t="s">
        <v>38</v>
      </c>
      <c r="E1297">
        <v>21</v>
      </c>
      <c r="F1297" t="s">
        <v>27</v>
      </c>
      <c r="G1297" t="s">
        <v>54</v>
      </c>
      <c r="H1297">
        <v>34</v>
      </c>
      <c r="I1297" t="s">
        <v>65</v>
      </c>
      <c r="J1297" t="s">
        <v>30</v>
      </c>
      <c r="K1297">
        <v>4</v>
      </c>
      <c r="L1297" t="s">
        <v>55</v>
      </c>
      <c r="M1297" t="s">
        <v>93</v>
      </c>
      <c r="N1297" t="s">
        <v>40</v>
      </c>
      <c r="O1297">
        <v>50502</v>
      </c>
      <c r="P1297">
        <v>0</v>
      </c>
      <c r="Q1297" t="s">
        <v>41</v>
      </c>
      <c r="R1297" s="1">
        <v>44523</v>
      </c>
      <c r="S1297" t="s">
        <v>34</v>
      </c>
      <c r="T1297">
        <v>1</v>
      </c>
      <c r="U1297">
        <v>1</v>
      </c>
      <c r="V1297">
        <v>1</v>
      </c>
      <c r="W1297">
        <v>0</v>
      </c>
      <c r="X1297" t="s">
        <v>11023</v>
      </c>
      <c r="Y1297" t="s">
        <v>11023</v>
      </c>
      <c r="Z1297" t="str">
        <f>_xlfn.XLOOKUP(Employees[[#This Row],[Education]], EdLevel[EducationLevelID], EdLevel[EducationLevel])</f>
        <v xml:space="preserve">Masters </v>
      </c>
      <c r="AA1297">
        <f>IF(Employees[[#This Row],[Attrition]] = "Yes", 1, 0)</f>
        <v>0</v>
      </c>
      <c r="AB1297" t="str" cm="1">
        <f t="array" ref="AB1297">_xlfn.IFS(Employees[[#This Row],[Age]]&lt;30, "20-29", Employees[[#This Row],[Age]]&lt;40, "30-39", Employees[[#This Row],[Age]]&lt;50, "40-49", "TRUE", "50+")</f>
        <v>20-29</v>
      </c>
    </row>
    <row r="1298" spans="1:28">
      <c r="A1298" t="s">
        <v>3813</v>
      </c>
      <c r="B1298" t="s">
        <v>3814</v>
      </c>
      <c r="C1298" t="s">
        <v>3815</v>
      </c>
      <c r="D1298" t="s">
        <v>26</v>
      </c>
      <c r="E1298">
        <v>38</v>
      </c>
      <c r="F1298" t="s">
        <v>27</v>
      </c>
      <c r="G1298" t="s">
        <v>54</v>
      </c>
      <c r="H1298">
        <v>27</v>
      </c>
      <c r="I1298" t="s">
        <v>29</v>
      </c>
      <c r="J1298" t="s">
        <v>30</v>
      </c>
      <c r="K1298">
        <v>4</v>
      </c>
      <c r="L1298" t="s">
        <v>77</v>
      </c>
      <c r="M1298" t="s">
        <v>56</v>
      </c>
      <c r="N1298" t="s">
        <v>49</v>
      </c>
      <c r="O1298">
        <v>301332</v>
      </c>
      <c r="P1298">
        <v>2</v>
      </c>
      <c r="Q1298" t="s">
        <v>34</v>
      </c>
      <c r="R1298" s="1">
        <v>44525</v>
      </c>
      <c r="S1298" t="s">
        <v>34</v>
      </c>
      <c r="T1298">
        <v>1</v>
      </c>
      <c r="U1298">
        <v>1</v>
      </c>
      <c r="V1298">
        <v>1</v>
      </c>
      <c r="W1298">
        <v>1</v>
      </c>
      <c r="X1298" t="s">
        <v>11023</v>
      </c>
      <c r="Y1298" t="s">
        <v>11023</v>
      </c>
      <c r="Z1298" t="str">
        <f>_xlfn.XLOOKUP(Employees[[#This Row],[Education]], EdLevel[EducationLevelID], EdLevel[EducationLevel])</f>
        <v xml:space="preserve">Masters </v>
      </c>
      <c r="AA1298">
        <f>IF(Employees[[#This Row],[Attrition]] = "Yes", 1, 0)</f>
        <v>0</v>
      </c>
      <c r="AB1298" t="str" cm="1">
        <f t="array" ref="AB1298">_xlfn.IFS(Employees[[#This Row],[Age]]&lt;30, "20-29", Employees[[#This Row],[Age]]&lt;40, "30-39", Employees[[#This Row],[Age]]&lt;50, "40-49", "TRUE", "50+")</f>
        <v>30-39</v>
      </c>
    </row>
    <row r="1299" spans="1:28">
      <c r="A1299" t="s">
        <v>3816</v>
      </c>
      <c r="B1299" t="s">
        <v>3817</v>
      </c>
      <c r="C1299" t="s">
        <v>2018</v>
      </c>
      <c r="D1299" t="s">
        <v>26</v>
      </c>
      <c r="E1299">
        <v>21</v>
      </c>
      <c r="F1299" t="s">
        <v>27</v>
      </c>
      <c r="G1299" t="s">
        <v>54</v>
      </c>
      <c r="H1299">
        <v>6</v>
      </c>
      <c r="I1299" t="s">
        <v>39</v>
      </c>
      <c r="J1299" t="s">
        <v>30</v>
      </c>
      <c r="K1299">
        <v>3</v>
      </c>
      <c r="L1299" t="s">
        <v>72</v>
      </c>
      <c r="M1299" t="s">
        <v>101</v>
      </c>
      <c r="N1299" t="s">
        <v>33</v>
      </c>
      <c r="O1299">
        <v>65743</v>
      </c>
      <c r="P1299">
        <v>2</v>
      </c>
      <c r="Q1299" t="s">
        <v>41</v>
      </c>
      <c r="R1299" s="1">
        <v>44527</v>
      </c>
      <c r="S1299" t="s">
        <v>34</v>
      </c>
      <c r="T1299">
        <v>1</v>
      </c>
      <c r="U1299">
        <v>0</v>
      </c>
      <c r="V1299">
        <v>1</v>
      </c>
      <c r="W1299">
        <v>0</v>
      </c>
      <c r="X1299" t="s">
        <v>11022</v>
      </c>
      <c r="Y1299" t="s">
        <v>11022</v>
      </c>
      <c r="Z1299" t="str">
        <f>_xlfn.XLOOKUP(Employees[[#This Row],[Education]], EdLevel[EducationLevelID], EdLevel[EducationLevel])</f>
        <v xml:space="preserve">Bachelors </v>
      </c>
      <c r="AA1299">
        <f>IF(Employees[[#This Row],[Attrition]] = "Yes", 1, 0)</f>
        <v>0</v>
      </c>
      <c r="AB1299" t="str" cm="1">
        <f t="array" ref="AB1299">_xlfn.IFS(Employees[[#This Row],[Age]]&lt;30, "20-29", Employees[[#This Row],[Age]]&lt;40, "30-39", Employees[[#This Row],[Age]]&lt;50, "40-49", "TRUE", "50+")</f>
        <v>20-29</v>
      </c>
    </row>
    <row r="1300" spans="1:28">
      <c r="A1300" t="s">
        <v>3818</v>
      </c>
      <c r="B1300" t="s">
        <v>3819</v>
      </c>
      <c r="C1300" t="s">
        <v>3820</v>
      </c>
      <c r="D1300" t="s">
        <v>38</v>
      </c>
      <c r="E1300">
        <v>22</v>
      </c>
      <c r="F1300" t="s">
        <v>27</v>
      </c>
      <c r="G1300" t="s">
        <v>28</v>
      </c>
      <c r="H1300">
        <v>16</v>
      </c>
      <c r="I1300" t="s">
        <v>39</v>
      </c>
      <c r="J1300" t="s">
        <v>30</v>
      </c>
      <c r="K1300">
        <v>2</v>
      </c>
      <c r="L1300" t="s">
        <v>31</v>
      </c>
      <c r="M1300" t="s">
        <v>32</v>
      </c>
      <c r="N1300" t="s">
        <v>49</v>
      </c>
      <c r="O1300">
        <v>53220</v>
      </c>
      <c r="P1300">
        <v>2</v>
      </c>
      <c r="Q1300" t="s">
        <v>41</v>
      </c>
      <c r="R1300" s="1">
        <v>44528</v>
      </c>
      <c r="S1300" t="s">
        <v>41</v>
      </c>
      <c r="T1300">
        <v>0</v>
      </c>
      <c r="U1300">
        <v>0</v>
      </c>
      <c r="V1300">
        <v>0</v>
      </c>
      <c r="W1300">
        <v>0</v>
      </c>
      <c r="X1300" t="s">
        <v>11021</v>
      </c>
      <c r="Y1300" t="s">
        <v>11021</v>
      </c>
      <c r="Z1300" t="str">
        <f>_xlfn.XLOOKUP(Employees[[#This Row],[Education]], EdLevel[EducationLevelID], EdLevel[EducationLevel])</f>
        <v xml:space="preserve">High School </v>
      </c>
      <c r="AA1300">
        <f>IF(Employees[[#This Row],[Attrition]] = "Yes", 1, 0)</f>
        <v>1</v>
      </c>
      <c r="AB1300" t="str" cm="1">
        <f t="array" ref="AB1300">_xlfn.IFS(Employees[[#This Row],[Age]]&lt;30, "20-29", Employees[[#This Row],[Age]]&lt;40, "30-39", Employees[[#This Row],[Age]]&lt;50, "40-49", "TRUE", "50+")</f>
        <v>20-29</v>
      </c>
    </row>
    <row r="1301" spans="1:28">
      <c r="A1301" t="s">
        <v>3821</v>
      </c>
      <c r="B1301" t="s">
        <v>3822</v>
      </c>
      <c r="C1301" t="s">
        <v>3823</v>
      </c>
      <c r="D1301" t="s">
        <v>26</v>
      </c>
      <c r="E1301">
        <v>19</v>
      </c>
      <c r="F1301" t="s">
        <v>70</v>
      </c>
      <c r="G1301" t="s">
        <v>28</v>
      </c>
      <c r="H1301">
        <v>38</v>
      </c>
      <c r="I1301" t="s">
        <v>29</v>
      </c>
      <c r="J1301" t="s">
        <v>30</v>
      </c>
      <c r="K1301">
        <v>4</v>
      </c>
      <c r="L1301" t="s">
        <v>60</v>
      </c>
      <c r="M1301" t="s">
        <v>32</v>
      </c>
      <c r="N1301" t="s">
        <v>40</v>
      </c>
      <c r="O1301">
        <v>51673</v>
      </c>
      <c r="P1301">
        <v>2</v>
      </c>
      <c r="Q1301" t="s">
        <v>34</v>
      </c>
      <c r="R1301" s="1">
        <v>44530</v>
      </c>
      <c r="S1301" t="s">
        <v>34</v>
      </c>
      <c r="T1301">
        <v>1</v>
      </c>
      <c r="U1301">
        <v>0</v>
      </c>
      <c r="V1301">
        <v>1</v>
      </c>
      <c r="W1301">
        <v>0</v>
      </c>
      <c r="X1301" t="s">
        <v>11023</v>
      </c>
      <c r="Y1301" t="s">
        <v>11023</v>
      </c>
      <c r="Z1301" t="str">
        <f>_xlfn.XLOOKUP(Employees[[#This Row],[Education]], EdLevel[EducationLevelID], EdLevel[EducationLevel])</f>
        <v xml:space="preserve">Masters </v>
      </c>
      <c r="AA1301">
        <f>IF(Employees[[#This Row],[Attrition]] = "Yes", 1, 0)</f>
        <v>0</v>
      </c>
      <c r="AB1301" t="str" cm="1">
        <f t="array" ref="AB1301">_xlfn.IFS(Employees[[#This Row],[Age]]&lt;30, "20-29", Employees[[#This Row],[Age]]&lt;40, "30-39", Employees[[#This Row],[Age]]&lt;50, "40-49", "TRUE", "50+")</f>
        <v>20-29</v>
      </c>
    </row>
    <row r="1302" spans="1:28">
      <c r="A1302" t="s">
        <v>3824</v>
      </c>
      <c r="B1302" t="s">
        <v>2031</v>
      </c>
      <c r="C1302" t="s">
        <v>3825</v>
      </c>
      <c r="D1302" t="s">
        <v>26</v>
      </c>
      <c r="E1302">
        <v>22</v>
      </c>
      <c r="F1302" t="s">
        <v>27</v>
      </c>
      <c r="G1302" t="s">
        <v>28</v>
      </c>
      <c r="H1302">
        <v>10</v>
      </c>
      <c r="I1302" t="s">
        <v>39</v>
      </c>
      <c r="J1302" t="s">
        <v>30</v>
      </c>
      <c r="K1302">
        <v>3</v>
      </c>
      <c r="L1302" t="s">
        <v>121</v>
      </c>
      <c r="M1302" t="s">
        <v>150</v>
      </c>
      <c r="N1302" t="s">
        <v>33</v>
      </c>
      <c r="O1302">
        <v>36980</v>
      </c>
      <c r="P1302">
        <v>3</v>
      </c>
      <c r="Q1302" t="s">
        <v>41</v>
      </c>
      <c r="R1302" s="1">
        <v>44531</v>
      </c>
      <c r="S1302" t="s">
        <v>41</v>
      </c>
      <c r="T1302">
        <v>0</v>
      </c>
      <c r="U1302">
        <v>0</v>
      </c>
      <c r="V1302">
        <v>0</v>
      </c>
      <c r="W1302">
        <v>0</v>
      </c>
      <c r="X1302" t="s">
        <v>11022</v>
      </c>
      <c r="Y1302" t="s">
        <v>11022</v>
      </c>
      <c r="Z1302" t="str">
        <f>_xlfn.XLOOKUP(Employees[[#This Row],[Education]], EdLevel[EducationLevelID], EdLevel[EducationLevel])</f>
        <v xml:space="preserve">Bachelors </v>
      </c>
      <c r="AA1302">
        <f>IF(Employees[[#This Row],[Attrition]] = "Yes", 1, 0)</f>
        <v>1</v>
      </c>
      <c r="AB1302" t="str" cm="1">
        <f t="array" ref="AB1302">_xlfn.IFS(Employees[[#This Row],[Age]]&lt;30, "20-29", Employees[[#This Row],[Age]]&lt;40, "30-39", Employees[[#This Row],[Age]]&lt;50, "40-49", "TRUE", "50+")</f>
        <v>20-29</v>
      </c>
    </row>
    <row r="1303" spans="1:28">
      <c r="A1303" t="s">
        <v>3826</v>
      </c>
      <c r="B1303" t="s">
        <v>3827</v>
      </c>
      <c r="C1303" t="s">
        <v>3828</v>
      </c>
      <c r="D1303" t="s">
        <v>38</v>
      </c>
      <c r="E1303">
        <v>22</v>
      </c>
      <c r="F1303" t="s">
        <v>70</v>
      </c>
      <c r="G1303" t="s">
        <v>54</v>
      </c>
      <c r="H1303">
        <v>6</v>
      </c>
      <c r="I1303" t="s">
        <v>39</v>
      </c>
      <c r="J1303" t="s">
        <v>30</v>
      </c>
      <c r="K1303">
        <v>2</v>
      </c>
      <c r="L1303" t="s">
        <v>72</v>
      </c>
      <c r="M1303" t="s">
        <v>93</v>
      </c>
      <c r="N1303" t="s">
        <v>40</v>
      </c>
      <c r="O1303">
        <v>68302</v>
      </c>
      <c r="P1303">
        <v>0</v>
      </c>
      <c r="Q1303" t="s">
        <v>41</v>
      </c>
      <c r="R1303" s="1">
        <v>44538</v>
      </c>
      <c r="S1303" t="s">
        <v>34</v>
      </c>
      <c r="T1303">
        <v>1</v>
      </c>
      <c r="U1303">
        <v>1</v>
      </c>
      <c r="V1303">
        <v>1</v>
      </c>
      <c r="W1303">
        <v>0</v>
      </c>
      <c r="X1303" t="s">
        <v>11021</v>
      </c>
      <c r="Y1303" t="s">
        <v>11021</v>
      </c>
      <c r="Z1303" t="str">
        <f>_xlfn.XLOOKUP(Employees[[#This Row],[Education]], EdLevel[EducationLevelID], EdLevel[EducationLevel])</f>
        <v xml:space="preserve">High School </v>
      </c>
      <c r="AA1303">
        <f>IF(Employees[[#This Row],[Attrition]] = "Yes", 1, 0)</f>
        <v>0</v>
      </c>
      <c r="AB1303" t="str" cm="1">
        <f t="array" ref="AB1303">_xlfn.IFS(Employees[[#This Row],[Age]]&lt;30, "20-29", Employees[[#This Row],[Age]]&lt;40, "30-39", Employees[[#This Row],[Age]]&lt;50, "40-49", "TRUE", "50+")</f>
        <v>20-29</v>
      </c>
    </row>
    <row r="1304" spans="1:28">
      <c r="A1304" t="s">
        <v>3829</v>
      </c>
      <c r="B1304" t="s">
        <v>3830</v>
      </c>
      <c r="C1304" t="s">
        <v>3831</v>
      </c>
      <c r="D1304" t="s">
        <v>26</v>
      </c>
      <c r="E1304">
        <v>22</v>
      </c>
      <c r="F1304" t="s">
        <v>27</v>
      </c>
      <c r="G1304" t="s">
        <v>54</v>
      </c>
      <c r="H1304">
        <v>13</v>
      </c>
      <c r="I1304" t="s">
        <v>39</v>
      </c>
      <c r="J1304" t="s">
        <v>30</v>
      </c>
      <c r="K1304">
        <v>4</v>
      </c>
      <c r="L1304" t="s">
        <v>72</v>
      </c>
      <c r="M1304" t="s">
        <v>93</v>
      </c>
      <c r="N1304" t="s">
        <v>40</v>
      </c>
      <c r="O1304">
        <v>64364</v>
      </c>
      <c r="P1304">
        <v>0</v>
      </c>
      <c r="Q1304" t="s">
        <v>34</v>
      </c>
      <c r="R1304" s="1">
        <v>44539</v>
      </c>
      <c r="S1304" t="s">
        <v>41</v>
      </c>
      <c r="T1304">
        <v>0</v>
      </c>
      <c r="U1304">
        <v>0</v>
      </c>
      <c r="V1304">
        <v>0</v>
      </c>
      <c r="W1304">
        <v>0</v>
      </c>
      <c r="X1304" t="s">
        <v>11023</v>
      </c>
      <c r="Y1304" t="s">
        <v>11023</v>
      </c>
      <c r="Z1304" t="str">
        <f>_xlfn.XLOOKUP(Employees[[#This Row],[Education]], EdLevel[EducationLevelID], EdLevel[EducationLevel])</f>
        <v xml:space="preserve">Masters </v>
      </c>
      <c r="AA1304">
        <f>IF(Employees[[#This Row],[Attrition]] = "Yes", 1, 0)</f>
        <v>1</v>
      </c>
      <c r="AB1304" t="str" cm="1">
        <f t="array" ref="AB1304">_xlfn.IFS(Employees[[#This Row],[Age]]&lt;30, "20-29", Employees[[#This Row],[Age]]&lt;40, "30-39", Employees[[#This Row],[Age]]&lt;50, "40-49", "TRUE", "50+")</f>
        <v>20-29</v>
      </c>
    </row>
    <row r="1305" spans="1:28">
      <c r="A1305" t="s">
        <v>3832</v>
      </c>
      <c r="B1305" t="s">
        <v>3833</v>
      </c>
      <c r="C1305" t="s">
        <v>3834</v>
      </c>
      <c r="D1305" t="s">
        <v>38</v>
      </c>
      <c r="E1305">
        <v>19</v>
      </c>
      <c r="F1305" t="s">
        <v>27</v>
      </c>
      <c r="G1305" t="s">
        <v>54</v>
      </c>
      <c r="H1305">
        <v>2</v>
      </c>
      <c r="I1305" t="s">
        <v>29</v>
      </c>
      <c r="J1305" t="s">
        <v>30</v>
      </c>
      <c r="K1305">
        <v>2</v>
      </c>
      <c r="L1305" t="s">
        <v>72</v>
      </c>
      <c r="M1305" t="s">
        <v>85</v>
      </c>
      <c r="N1305" t="s">
        <v>40</v>
      </c>
      <c r="O1305">
        <v>52260</v>
      </c>
      <c r="P1305">
        <v>1</v>
      </c>
      <c r="Q1305" t="s">
        <v>34</v>
      </c>
      <c r="R1305" s="1">
        <v>44539</v>
      </c>
      <c r="S1305" t="s">
        <v>34</v>
      </c>
      <c r="T1305">
        <v>1</v>
      </c>
      <c r="U1305">
        <v>1</v>
      </c>
      <c r="V1305">
        <v>1</v>
      </c>
      <c r="W1305">
        <v>0</v>
      </c>
      <c r="X1305" t="s">
        <v>11021</v>
      </c>
      <c r="Y1305" t="s">
        <v>11021</v>
      </c>
      <c r="Z1305" t="str">
        <f>_xlfn.XLOOKUP(Employees[[#This Row],[Education]], EdLevel[EducationLevelID], EdLevel[EducationLevel])</f>
        <v xml:space="preserve">High School </v>
      </c>
      <c r="AA1305">
        <f>IF(Employees[[#This Row],[Attrition]] = "Yes", 1, 0)</f>
        <v>0</v>
      </c>
      <c r="AB1305" t="str" cm="1">
        <f t="array" ref="AB1305">_xlfn.IFS(Employees[[#This Row],[Age]]&lt;30, "20-29", Employees[[#This Row],[Age]]&lt;40, "30-39", Employees[[#This Row],[Age]]&lt;50, "40-49", "TRUE", "50+")</f>
        <v>20-29</v>
      </c>
    </row>
    <row r="1306" spans="1:28">
      <c r="A1306" t="s">
        <v>3835</v>
      </c>
      <c r="B1306" t="s">
        <v>3836</v>
      </c>
      <c r="C1306" t="s">
        <v>3837</v>
      </c>
      <c r="D1306" t="s">
        <v>26</v>
      </c>
      <c r="E1306">
        <v>50</v>
      </c>
      <c r="F1306" t="s">
        <v>27</v>
      </c>
      <c r="G1306" t="s">
        <v>28</v>
      </c>
      <c r="H1306">
        <v>37</v>
      </c>
      <c r="I1306" t="s">
        <v>65</v>
      </c>
      <c r="J1306" t="s">
        <v>30</v>
      </c>
      <c r="K1306">
        <v>2</v>
      </c>
      <c r="L1306" t="s">
        <v>31</v>
      </c>
      <c r="M1306" t="s">
        <v>97</v>
      </c>
      <c r="N1306" t="s">
        <v>49</v>
      </c>
      <c r="O1306">
        <v>291477</v>
      </c>
      <c r="P1306">
        <v>0</v>
      </c>
      <c r="Q1306" t="s">
        <v>34</v>
      </c>
      <c r="R1306" s="1">
        <v>44540</v>
      </c>
      <c r="S1306" t="s">
        <v>34</v>
      </c>
      <c r="T1306">
        <v>1</v>
      </c>
      <c r="U1306">
        <v>0</v>
      </c>
      <c r="V1306">
        <v>0</v>
      </c>
      <c r="W1306">
        <v>1</v>
      </c>
      <c r="X1306" t="s">
        <v>11021</v>
      </c>
      <c r="Y1306" t="s">
        <v>11021</v>
      </c>
      <c r="Z1306" t="str">
        <f>_xlfn.XLOOKUP(Employees[[#This Row],[Education]], EdLevel[EducationLevelID], EdLevel[EducationLevel])</f>
        <v xml:space="preserve">High School </v>
      </c>
      <c r="AA1306">
        <f>IF(Employees[[#This Row],[Attrition]] = "Yes", 1, 0)</f>
        <v>0</v>
      </c>
      <c r="AB1306" t="str" cm="1">
        <f t="array" ref="AB1306">_xlfn.IFS(Employees[[#This Row],[Age]]&lt;30, "20-29", Employees[[#This Row],[Age]]&lt;40, "30-39", Employees[[#This Row],[Age]]&lt;50, "40-49", "TRUE", "50+")</f>
        <v>50+</v>
      </c>
    </row>
    <row r="1307" spans="1:28">
      <c r="A1307" t="s">
        <v>3838</v>
      </c>
      <c r="B1307" t="s">
        <v>3839</v>
      </c>
      <c r="C1307" t="s">
        <v>3840</v>
      </c>
      <c r="D1307" t="s">
        <v>38</v>
      </c>
      <c r="E1307">
        <v>22</v>
      </c>
      <c r="F1307" t="s">
        <v>27</v>
      </c>
      <c r="G1307" t="s">
        <v>54</v>
      </c>
      <c r="H1307">
        <v>11</v>
      </c>
      <c r="I1307" t="s">
        <v>39</v>
      </c>
      <c r="J1307" t="s">
        <v>30</v>
      </c>
      <c r="K1307">
        <v>4</v>
      </c>
      <c r="L1307" t="s">
        <v>72</v>
      </c>
      <c r="M1307" t="s">
        <v>101</v>
      </c>
      <c r="N1307" t="s">
        <v>40</v>
      </c>
      <c r="O1307">
        <v>22382</v>
      </c>
      <c r="P1307">
        <v>0</v>
      </c>
      <c r="Q1307" t="s">
        <v>34</v>
      </c>
      <c r="R1307" s="1">
        <v>44542</v>
      </c>
      <c r="S1307" t="s">
        <v>34</v>
      </c>
      <c r="T1307">
        <v>1</v>
      </c>
      <c r="U1307">
        <v>0</v>
      </c>
      <c r="V1307">
        <v>1</v>
      </c>
      <c r="W1307">
        <v>1</v>
      </c>
      <c r="X1307" t="s">
        <v>11023</v>
      </c>
      <c r="Y1307" t="s">
        <v>11023</v>
      </c>
      <c r="Z1307" t="str">
        <f>_xlfn.XLOOKUP(Employees[[#This Row],[Education]], EdLevel[EducationLevelID], EdLevel[EducationLevel])</f>
        <v xml:space="preserve">Masters </v>
      </c>
      <c r="AA1307">
        <f>IF(Employees[[#This Row],[Attrition]] = "Yes", 1, 0)</f>
        <v>0</v>
      </c>
      <c r="AB1307" t="str" cm="1">
        <f t="array" ref="AB1307">_xlfn.IFS(Employees[[#This Row],[Age]]&lt;30, "20-29", Employees[[#This Row],[Age]]&lt;40, "30-39", Employees[[#This Row],[Age]]&lt;50, "40-49", "TRUE", "50+")</f>
        <v>20-29</v>
      </c>
    </row>
    <row r="1308" spans="1:28">
      <c r="A1308" t="s">
        <v>3841</v>
      </c>
      <c r="B1308" t="s">
        <v>3130</v>
      </c>
      <c r="C1308" t="s">
        <v>3842</v>
      </c>
      <c r="D1308" t="s">
        <v>53</v>
      </c>
      <c r="E1308">
        <v>22</v>
      </c>
      <c r="F1308" t="s">
        <v>70</v>
      </c>
      <c r="G1308" t="s">
        <v>54</v>
      </c>
      <c r="H1308">
        <v>7</v>
      </c>
      <c r="I1308" t="s">
        <v>39</v>
      </c>
      <c r="J1308" t="s">
        <v>30</v>
      </c>
      <c r="K1308">
        <v>3</v>
      </c>
      <c r="L1308" t="s">
        <v>72</v>
      </c>
      <c r="M1308" t="s">
        <v>101</v>
      </c>
      <c r="N1308" t="s">
        <v>49</v>
      </c>
      <c r="O1308">
        <v>27782</v>
      </c>
      <c r="P1308">
        <v>3</v>
      </c>
      <c r="Q1308" t="s">
        <v>34</v>
      </c>
      <c r="R1308" s="1">
        <v>44543</v>
      </c>
      <c r="S1308" t="s">
        <v>34</v>
      </c>
      <c r="T1308">
        <v>1</v>
      </c>
      <c r="U1308">
        <v>1</v>
      </c>
      <c r="V1308">
        <v>1</v>
      </c>
      <c r="W1308">
        <v>1</v>
      </c>
      <c r="X1308" t="s">
        <v>11022</v>
      </c>
      <c r="Y1308" t="s">
        <v>11022</v>
      </c>
      <c r="Z1308" t="str">
        <f>_xlfn.XLOOKUP(Employees[[#This Row],[Education]], EdLevel[EducationLevelID], EdLevel[EducationLevel])</f>
        <v xml:space="preserve">Bachelors </v>
      </c>
      <c r="AA1308">
        <f>IF(Employees[[#This Row],[Attrition]] = "Yes", 1, 0)</f>
        <v>0</v>
      </c>
      <c r="AB1308" t="str" cm="1">
        <f t="array" ref="AB1308">_xlfn.IFS(Employees[[#This Row],[Age]]&lt;30, "20-29", Employees[[#This Row],[Age]]&lt;40, "30-39", Employees[[#This Row],[Age]]&lt;50, "40-49", "TRUE", "50+")</f>
        <v>20-29</v>
      </c>
    </row>
    <row r="1309" spans="1:28">
      <c r="A1309" t="s">
        <v>3843</v>
      </c>
      <c r="B1309" t="s">
        <v>2673</v>
      </c>
      <c r="C1309" t="s">
        <v>3844</v>
      </c>
      <c r="D1309" t="s">
        <v>26</v>
      </c>
      <c r="E1309">
        <v>19</v>
      </c>
      <c r="F1309" t="s">
        <v>70</v>
      </c>
      <c r="G1309" t="s">
        <v>54</v>
      </c>
      <c r="H1309">
        <v>8</v>
      </c>
      <c r="I1309" t="s">
        <v>39</v>
      </c>
      <c r="J1309" t="s">
        <v>30</v>
      </c>
      <c r="K1309">
        <v>2</v>
      </c>
      <c r="L1309" t="s">
        <v>55</v>
      </c>
      <c r="M1309" t="s">
        <v>101</v>
      </c>
      <c r="N1309" t="s">
        <v>40</v>
      </c>
      <c r="O1309">
        <v>54502</v>
      </c>
      <c r="P1309">
        <v>1</v>
      </c>
      <c r="Q1309" t="s">
        <v>34</v>
      </c>
      <c r="R1309" s="1">
        <v>44552</v>
      </c>
      <c r="S1309" t="s">
        <v>34</v>
      </c>
      <c r="T1309">
        <v>1</v>
      </c>
      <c r="U1309">
        <v>0</v>
      </c>
      <c r="V1309">
        <v>1</v>
      </c>
      <c r="W1309">
        <v>1</v>
      </c>
      <c r="X1309" t="s">
        <v>11021</v>
      </c>
      <c r="Y1309" t="s">
        <v>11021</v>
      </c>
      <c r="Z1309" t="str">
        <f>_xlfn.XLOOKUP(Employees[[#This Row],[Education]], EdLevel[EducationLevelID], EdLevel[EducationLevel])</f>
        <v xml:space="preserve">High School </v>
      </c>
      <c r="AA1309">
        <f>IF(Employees[[#This Row],[Attrition]] = "Yes", 1, 0)</f>
        <v>0</v>
      </c>
      <c r="AB1309" t="str" cm="1">
        <f t="array" ref="AB1309">_xlfn.IFS(Employees[[#This Row],[Age]]&lt;30, "20-29", Employees[[#This Row],[Age]]&lt;40, "30-39", Employees[[#This Row],[Age]]&lt;50, "40-49", "TRUE", "50+")</f>
        <v>20-29</v>
      </c>
    </row>
    <row r="1310" spans="1:28">
      <c r="A1310" t="s">
        <v>3845</v>
      </c>
      <c r="B1310" t="s">
        <v>3846</v>
      </c>
      <c r="C1310" t="s">
        <v>3847</v>
      </c>
      <c r="D1310" t="s">
        <v>26</v>
      </c>
      <c r="E1310">
        <v>41</v>
      </c>
      <c r="F1310" t="s">
        <v>84</v>
      </c>
      <c r="G1310" t="s">
        <v>28</v>
      </c>
      <c r="H1310">
        <v>4</v>
      </c>
      <c r="I1310" t="s">
        <v>39</v>
      </c>
      <c r="J1310" t="s">
        <v>30</v>
      </c>
      <c r="K1310">
        <v>4</v>
      </c>
      <c r="L1310" t="s">
        <v>121</v>
      </c>
      <c r="M1310" t="s">
        <v>32</v>
      </c>
      <c r="N1310" t="s">
        <v>33</v>
      </c>
      <c r="O1310">
        <v>175032</v>
      </c>
      <c r="P1310">
        <v>2</v>
      </c>
      <c r="Q1310" t="s">
        <v>34</v>
      </c>
      <c r="R1310" s="1">
        <v>44552</v>
      </c>
      <c r="S1310" t="s">
        <v>34</v>
      </c>
      <c r="T1310">
        <v>1</v>
      </c>
      <c r="U1310">
        <v>0</v>
      </c>
      <c r="V1310">
        <v>0</v>
      </c>
      <c r="W1310">
        <v>0</v>
      </c>
      <c r="X1310" t="s">
        <v>11023</v>
      </c>
      <c r="Y1310" t="s">
        <v>11023</v>
      </c>
      <c r="Z1310" t="str">
        <f>_xlfn.XLOOKUP(Employees[[#This Row],[Education]], EdLevel[EducationLevelID], EdLevel[EducationLevel])</f>
        <v xml:space="preserve">Masters </v>
      </c>
      <c r="AA1310">
        <f>IF(Employees[[#This Row],[Attrition]] = "Yes", 1, 0)</f>
        <v>0</v>
      </c>
      <c r="AB1310" t="str" cm="1">
        <f t="array" ref="AB1310">_xlfn.IFS(Employees[[#This Row],[Age]]&lt;30, "20-29", Employees[[#This Row],[Age]]&lt;40, "30-39", Employees[[#This Row],[Age]]&lt;50, "40-49", "TRUE", "50+")</f>
        <v>40-49</v>
      </c>
    </row>
    <row r="1311" spans="1:28">
      <c r="A1311" t="s">
        <v>3848</v>
      </c>
      <c r="B1311" t="s">
        <v>3849</v>
      </c>
      <c r="C1311" t="s">
        <v>3850</v>
      </c>
      <c r="D1311" t="s">
        <v>26</v>
      </c>
      <c r="E1311">
        <v>21</v>
      </c>
      <c r="F1311" t="s">
        <v>84</v>
      </c>
      <c r="G1311" t="s">
        <v>54</v>
      </c>
      <c r="H1311">
        <v>17</v>
      </c>
      <c r="I1311" t="s">
        <v>39</v>
      </c>
      <c r="J1311" t="s">
        <v>30</v>
      </c>
      <c r="K1311">
        <v>2</v>
      </c>
      <c r="L1311" t="s">
        <v>72</v>
      </c>
      <c r="M1311" t="s">
        <v>105</v>
      </c>
      <c r="N1311" t="s">
        <v>49</v>
      </c>
      <c r="O1311">
        <v>49516</v>
      </c>
      <c r="P1311">
        <v>1</v>
      </c>
      <c r="Q1311" t="s">
        <v>34</v>
      </c>
      <c r="R1311" s="1">
        <v>44555</v>
      </c>
      <c r="S1311" t="s">
        <v>34</v>
      </c>
      <c r="T1311">
        <v>1</v>
      </c>
      <c r="U1311">
        <v>1</v>
      </c>
      <c r="V1311">
        <v>1</v>
      </c>
      <c r="W1311">
        <v>0</v>
      </c>
      <c r="X1311" t="s">
        <v>11021</v>
      </c>
      <c r="Y1311" t="s">
        <v>11021</v>
      </c>
      <c r="Z1311" t="str">
        <f>_xlfn.XLOOKUP(Employees[[#This Row],[Education]], EdLevel[EducationLevelID], EdLevel[EducationLevel])</f>
        <v xml:space="preserve">High School </v>
      </c>
      <c r="AA1311">
        <f>IF(Employees[[#This Row],[Attrition]] = "Yes", 1, 0)</f>
        <v>0</v>
      </c>
      <c r="AB1311" t="str" cm="1">
        <f t="array" ref="AB1311">_xlfn.IFS(Employees[[#This Row],[Age]]&lt;30, "20-29", Employees[[#This Row],[Age]]&lt;40, "30-39", Employees[[#This Row],[Age]]&lt;50, "40-49", "TRUE", "50+")</f>
        <v>20-29</v>
      </c>
    </row>
    <row r="1312" spans="1:28">
      <c r="A1312" t="s">
        <v>3851</v>
      </c>
      <c r="B1312" t="s">
        <v>3852</v>
      </c>
      <c r="C1312" t="s">
        <v>3853</v>
      </c>
      <c r="D1312" t="s">
        <v>38</v>
      </c>
      <c r="E1312">
        <v>20</v>
      </c>
      <c r="F1312" t="s">
        <v>27</v>
      </c>
      <c r="G1312" t="s">
        <v>54</v>
      </c>
      <c r="H1312">
        <v>35</v>
      </c>
      <c r="I1312" t="s">
        <v>39</v>
      </c>
      <c r="J1312" t="s">
        <v>30</v>
      </c>
      <c r="K1312">
        <v>3</v>
      </c>
      <c r="L1312" t="s">
        <v>72</v>
      </c>
      <c r="M1312" t="s">
        <v>101</v>
      </c>
      <c r="N1312" t="s">
        <v>40</v>
      </c>
      <c r="O1312">
        <v>28506</v>
      </c>
      <c r="P1312">
        <v>0</v>
      </c>
      <c r="Q1312" t="s">
        <v>34</v>
      </c>
      <c r="R1312" s="1">
        <v>44556</v>
      </c>
      <c r="S1312" t="s">
        <v>34</v>
      </c>
      <c r="T1312">
        <v>1</v>
      </c>
      <c r="U1312">
        <v>0</v>
      </c>
      <c r="V1312">
        <v>1</v>
      </c>
      <c r="W1312">
        <v>1</v>
      </c>
      <c r="X1312" t="s">
        <v>11022</v>
      </c>
      <c r="Y1312" t="s">
        <v>11022</v>
      </c>
      <c r="Z1312" t="str">
        <f>_xlfn.XLOOKUP(Employees[[#This Row],[Education]], EdLevel[EducationLevelID], EdLevel[EducationLevel])</f>
        <v xml:space="preserve">Bachelors </v>
      </c>
      <c r="AA1312">
        <f>IF(Employees[[#This Row],[Attrition]] = "Yes", 1, 0)</f>
        <v>0</v>
      </c>
      <c r="AB1312" t="str" cm="1">
        <f t="array" ref="AB1312">_xlfn.IFS(Employees[[#This Row],[Age]]&lt;30, "20-29", Employees[[#This Row],[Age]]&lt;40, "30-39", Employees[[#This Row],[Age]]&lt;50, "40-49", "TRUE", "50+")</f>
        <v>20-29</v>
      </c>
    </row>
    <row r="1313" spans="1:28">
      <c r="A1313" t="s">
        <v>3854</v>
      </c>
      <c r="B1313" t="s">
        <v>3855</v>
      </c>
      <c r="C1313" t="s">
        <v>3856</v>
      </c>
      <c r="D1313" t="s">
        <v>26</v>
      </c>
      <c r="E1313">
        <v>19</v>
      </c>
      <c r="F1313" t="s">
        <v>27</v>
      </c>
      <c r="G1313" t="s">
        <v>54</v>
      </c>
      <c r="H1313">
        <v>10</v>
      </c>
      <c r="I1313" t="s">
        <v>29</v>
      </c>
      <c r="J1313" t="s">
        <v>30</v>
      </c>
      <c r="K1313">
        <v>4</v>
      </c>
      <c r="L1313" t="s">
        <v>55</v>
      </c>
      <c r="M1313" t="s">
        <v>105</v>
      </c>
      <c r="N1313" t="s">
        <v>40</v>
      </c>
      <c r="O1313">
        <v>51802</v>
      </c>
      <c r="P1313">
        <v>0</v>
      </c>
      <c r="Q1313" t="s">
        <v>41</v>
      </c>
      <c r="R1313" s="1">
        <v>44557</v>
      </c>
      <c r="S1313" t="s">
        <v>34</v>
      </c>
      <c r="T1313">
        <v>1</v>
      </c>
      <c r="U1313">
        <v>1</v>
      </c>
      <c r="V1313">
        <v>1</v>
      </c>
      <c r="W1313">
        <v>0</v>
      </c>
      <c r="X1313" t="s">
        <v>11023</v>
      </c>
      <c r="Y1313" t="s">
        <v>11023</v>
      </c>
      <c r="Z1313" t="str">
        <f>_xlfn.XLOOKUP(Employees[[#This Row],[Education]], EdLevel[EducationLevelID], EdLevel[EducationLevel])</f>
        <v xml:space="preserve">Masters </v>
      </c>
      <c r="AA1313">
        <f>IF(Employees[[#This Row],[Attrition]] = "Yes", 1, 0)</f>
        <v>0</v>
      </c>
      <c r="AB1313" t="str" cm="1">
        <f t="array" ref="AB1313">_xlfn.IFS(Employees[[#This Row],[Age]]&lt;30, "20-29", Employees[[#This Row],[Age]]&lt;40, "30-39", Employees[[#This Row],[Age]]&lt;50, "40-49", "TRUE", "50+")</f>
        <v>20-29</v>
      </c>
    </row>
    <row r="1314" spans="1:28">
      <c r="A1314" t="s">
        <v>3857</v>
      </c>
      <c r="B1314" t="s">
        <v>3858</v>
      </c>
      <c r="C1314" t="s">
        <v>3859</v>
      </c>
      <c r="D1314" t="s">
        <v>26</v>
      </c>
      <c r="E1314">
        <v>22</v>
      </c>
      <c r="F1314" t="s">
        <v>84</v>
      </c>
      <c r="G1314" t="s">
        <v>54</v>
      </c>
      <c r="H1314">
        <v>28</v>
      </c>
      <c r="I1314" t="s">
        <v>39</v>
      </c>
      <c r="J1314" t="s">
        <v>30</v>
      </c>
      <c r="K1314">
        <v>4</v>
      </c>
      <c r="L1314" t="s">
        <v>55</v>
      </c>
      <c r="M1314" t="s">
        <v>85</v>
      </c>
      <c r="N1314" t="s">
        <v>49</v>
      </c>
      <c r="O1314">
        <v>63571</v>
      </c>
      <c r="P1314">
        <v>1</v>
      </c>
      <c r="Q1314" t="s">
        <v>34</v>
      </c>
      <c r="R1314" s="1">
        <v>44558</v>
      </c>
      <c r="S1314" t="s">
        <v>41</v>
      </c>
      <c r="T1314">
        <v>0</v>
      </c>
      <c r="U1314">
        <v>0</v>
      </c>
      <c r="V1314">
        <v>0</v>
      </c>
      <c r="W1314">
        <v>0</v>
      </c>
      <c r="X1314" t="s">
        <v>11023</v>
      </c>
      <c r="Y1314" t="s">
        <v>11023</v>
      </c>
      <c r="Z1314" t="str">
        <f>_xlfn.XLOOKUP(Employees[[#This Row],[Education]], EdLevel[EducationLevelID], EdLevel[EducationLevel])</f>
        <v xml:space="preserve">Masters </v>
      </c>
      <c r="AA1314">
        <f>IF(Employees[[#This Row],[Attrition]] = "Yes", 1, 0)</f>
        <v>1</v>
      </c>
      <c r="AB1314" t="str" cm="1">
        <f t="array" ref="AB1314">_xlfn.IFS(Employees[[#This Row],[Age]]&lt;30, "20-29", Employees[[#This Row],[Age]]&lt;40, "30-39", Employees[[#This Row],[Age]]&lt;50, "40-49", "TRUE", "50+")</f>
        <v>20-29</v>
      </c>
    </row>
    <row r="1315" spans="1:28">
      <c r="A1315" t="s">
        <v>3860</v>
      </c>
      <c r="B1315" t="s">
        <v>3861</v>
      </c>
      <c r="C1315" t="s">
        <v>3862</v>
      </c>
      <c r="D1315" t="s">
        <v>38</v>
      </c>
      <c r="E1315">
        <v>19</v>
      </c>
      <c r="F1315" t="s">
        <v>27</v>
      </c>
      <c r="G1315" t="s">
        <v>28</v>
      </c>
      <c r="H1315">
        <v>4</v>
      </c>
      <c r="I1315" t="s">
        <v>29</v>
      </c>
      <c r="J1315" t="s">
        <v>30</v>
      </c>
      <c r="K1315">
        <v>4</v>
      </c>
      <c r="L1315" t="s">
        <v>31</v>
      </c>
      <c r="M1315" t="s">
        <v>32</v>
      </c>
      <c r="N1315" t="s">
        <v>40</v>
      </c>
      <c r="O1315">
        <v>38726</v>
      </c>
      <c r="P1315">
        <v>1</v>
      </c>
      <c r="Q1315" t="s">
        <v>41</v>
      </c>
      <c r="R1315" s="1">
        <v>44558</v>
      </c>
      <c r="S1315" t="s">
        <v>34</v>
      </c>
      <c r="T1315">
        <v>1</v>
      </c>
      <c r="U1315">
        <v>0</v>
      </c>
      <c r="V1315">
        <v>0</v>
      </c>
      <c r="W1315">
        <v>1</v>
      </c>
      <c r="X1315" t="s">
        <v>11023</v>
      </c>
      <c r="Y1315" t="s">
        <v>11023</v>
      </c>
      <c r="Z1315" t="str">
        <f>_xlfn.XLOOKUP(Employees[[#This Row],[Education]], EdLevel[EducationLevelID], EdLevel[EducationLevel])</f>
        <v xml:space="preserve">Masters </v>
      </c>
      <c r="AA1315">
        <f>IF(Employees[[#This Row],[Attrition]] = "Yes", 1, 0)</f>
        <v>0</v>
      </c>
      <c r="AB1315" t="str" cm="1">
        <f t="array" ref="AB1315">_xlfn.IFS(Employees[[#This Row],[Age]]&lt;30, "20-29", Employees[[#This Row],[Age]]&lt;40, "30-39", Employees[[#This Row],[Age]]&lt;50, "40-49", "TRUE", "50+")</f>
        <v>20-29</v>
      </c>
    </row>
    <row r="1316" spans="1:28">
      <c r="A1316" t="s">
        <v>3863</v>
      </c>
      <c r="B1316" t="s">
        <v>3864</v>
      </c>
      <c r="C1316" t="s">
        <v>3865</v>
      </c>
      <c r="D1316" t="s">
        <v>26</v>
      </c>
      <c r="E1316">
        <v>21</v>
      </c>
      <c r="F1316" t="s">
        <v>70</v>
      </c>
      <c r="G1316" t="s">
        <v>28</v>
      </c>
      <c r="H1316">
        <v>43</v>
      </c>
      <c r="I1316" t="s">
        <v>39</v>
      </c>
      <c r="J1316" t="s">
        <v>30</v>
      </c>
      <c r="K1316">
        <v>1</v>
      </c>
      <c r="L1316" t="s">
        <v>31</v>
      </c>
      <c r="M1316" t="s">
        <v>32</v>
      </c>
      <c r="N1316" t="s">
        <v>49</v>
      </c>
      <c r="O1316">
        <v>54355</v>
      </c>
      <c r="P1316">
        <v>1</v>
      </c>
      <c r="Q1316" t="s">
        <v>41</v>
      </c>
      <c r="R1316" s="1">
        <v>44561</v>
      </c>
      <c r="S1316" t="s">
        <v>34</v>
      </c>
      <c r="T1316">
        <v>1</v>
      </c>
      <c r="U1316">
        <v>0</v>
      </c>
      <c r="V1316">
        <v>1</v>
      </c>
      <c r="W1316">
        <v>1</v>
      </c>
      <c r="X1316" t="s">
        <v>11020</v>
      </c>
      <c r="Y1316" t="s">
        <v>11020</v>
      </c>
      <c r="Z1316" t="str">
        <f>_xlfn.XLOOKUP(Employees[[#This Row],[Education]], EdLevel[EducationLevelID], EdLevel[EducationLevel])</f>
        <v>No Formal Qualifications</v>
      </c>
      <c r="AA1316">
        <f>IF(Employees[[#This Row],[Attrition]] = "Yes", 1, 0)</f>
        <v>0</v>
      </c>
      <c r="AB1316" t="str" cm="1">
        <f t="array" ref="AB1316">_xlfn.IFS(Employees[[#This Row],[Age]]&lt;30, "20-29", Employees[[#This Row],[Age]]&lt;40, "30-39", Employees[[#This Row],[Age]]&lt;50, "40-49", "TRUE", "50+")</f>
        <v>20-29</v>
      </c>
    </row>
    <row r="1317" spans="1:28">
      <c r="A1317" t="s">
        <v>3866</v>
      </c>
      <c r="B1317" t="s">
        <v>2810</v>
      </c>
      <c r="C1317" t="s">
        <v>3867</v>
      </c>
      <c r="D1317" t="s">
        <v>38</v>
      </c>
      <c r="E1317">
        <v>19</v>
      </c>
      <c r="F1317" t="s">
        <v>27</v>
      </c>
      <c r="G1317" t="s">
        <v>54</v>
      </c>
      <c r="H1317">
        <v>6</v>
      </c>
      <c r="I1317" t="s">
        <v>39</v>
      </c>
      <c r="J1317" t="s">
        <v>30</v>
      </c>
      <c r="K1317">
        <v>3</v>
      </c>
      <c r="L1317" t="s">
        <v>55</v>
      </c>
      <c r="M1317" t="s">
        <v>101</v>
      </c>
      <c r="N1317" t="s">
        <v>40</v>
      </c>
      <c r="O1317">
        <v>41539</v>
      </c>
      <c r="P1317">
        <v>0</v>
      </c>
      <c r="Q1317" t="s">
        <v>34</v>
      </c>
      <c r="R1317" s="1">
        <v>44565</v>
      </c>
      <c r="S1317" t="s">
        <v>34</v>
      </c>
      <c r="T1317">
        <v>0</v>
      </c>
      <c r="U1317">
        <v>0</v>
      </c>
      <c r="V1317">
        <v>0</v>
      </c>
      <c r="W1317">
        <v>0</v>
      </c>
      <c r="X1317" t="s">
        <v>11022</v>
      </c>
      <c r="Y1317" t="s">
        <v>11022</v>
      </c>
      <c r="Z1317" t="str">
        <f>_xlfn.XLOOKUP(Employees[[#This Row],[Education]], EdLevel[EducationLevelID], EdLevel[EducationLevel])</f>
        <v xml:space="preserve">Bachelors </v>
      </c>
      <c r="AA1317">
        <f>IF(Employees[[#This Row],[Attrition]] = "Yes", 1, 0)</f>
        <v>0</v>
      </c>
      <c r="AB1317" t="str" cm="1">
        <f t="array" ref="AB1317">_xlfn.IFS(Employees[[#This Row],[Age]]&lt;30, "20-29", Employees[[#This Row],[Age]]&lt;40, "30-39", Employees[[#This Row],[Age]]&lt;50, "40-49", "TRUE", "50+")</f>
        <v>20-29</v>
      </c>
    </row>
    <row r="1318" spans="1:28">
      <c r="A1318" t="s">
        <v>3868</v>
      </c>
      <c r="B1318" t="s">
        <v>3869</v>
      </c>
      <c r="C1318" t="s">
        <v>3870</v>
      </c>
      <c r="D1318" t="s">
        <v>38</v>
      </c>
      <c r="E1318">
        <v>20</v>
      </c>
      <c r="F1318" t="s">
        <v>27</v>
      </c>
      <c r="G1318" t="s">
        <v>28</v>
      </c>
      <c r="H1318">
        <v>8</v>
      </c>
      <c r="I1318" t="s">
        <v>39</v>
      </c>
      <c r="J1318" t="s">
        <v>30</v>
      </c>
      <c r="K1318">
        <v>3</v>
      </c>
      <c r="L1318" t="s">
        <v>47</v>
      </c>
      <c r="M1318" t="s">
        <v>150</v>
      </c>
      <c r="N1318" t="s">
        <v>33</v>
      </c>
      <c r="O1318">
        <v>27060</v>
      </c>
      <c r="P1318">
        <v>1</v>
      </c>
      <c r="Q1318" t="s">
        <v>41</v>
      </c>
      <c r="R1318" s="1">
        <v>44565</v>
      </c>
      <c r="S1318" t="s">
        <v>41</v>
      </c>
      <c r="T1318">
        <v>0</v>
      </c>
      <c r="U1318">
        <v>0</v>
      </c>
      <c r="V1318">
        <v>0</v>
      </c>
      <c r="W1318">
        <v>0</v>
      </c>
      <c r="X1318" t="s">
        <v>11022</v>
      </c>
      <c r="Y1318" t="s">
        <v>11022</v>
      </c>
      <c r="Z1318" t="str">
        <f>_xlfn.XLOOKUP(Employees[[#This Row],[Education]], EdLevel[EducationLevelID], EdLevel[EducationLevel])</f>
        <v xml:space="preserve">Bachelors </v>
      </c>
      <c r="AA1318">
        <f>IF(Employees[[#This Row],[Attrition]] = "Yes", 1, 0)</f>
        <v>1</v>
      </c>
      <c r="AB1318" t="str" cm="1">
        <f t="array" ref="AB1318">_xlfn.IFS(Employees[[#This Row],[Age]]&lt;30, "20-29", Employees[[#This Row],[Age]]&lt;40, "30-39", Employees[[#This Row],[Age]]&lt;50, "40-49", "TRUE", "50+")</f>
        <v>20-29</v>
      </c>
    </row>
    <row r="1319" spans="1:28">
      <c r="A1319" t="s">
        <v>3871</v>
      </c>
      <c r="B1319" t="s">
        <v>3872</v>
      </c>
      <c r="C1319" t="s">
        <v>3873</v>
      </c>
      <c r="D1319" t="s">
        <v>38</v>
      </c>
      <c r="E1319">
        <v>24</v>
      </c>
      <c r="F1319" t="s">
        <v>84</v>
      </c>
      <c r="G1319" t="s">
        <v>45</v>
      </c>
      <c r="H1319">
        <v>17</v>
      </c>
      <c r="I1319" t="s">
        <v>39</v>
      </c>
      <c r="J1319" t="s">
        <v>30</v>
      </c>
      <c r="K1319">
        <v>5</v>
      </c>
      <c r="L1319" t="s">
        <v>45</v>
      </c>
      <c r="M1319" t="s">
        <v>207</v>
      </c>
      <c r="N1319" t="s">
        <v>40</v>
      </c>
      <c r="O1319">
        <v>93008</v>
      </c>
      <c r="P1319">
        <v>0</v>
      </c>
      <c r="Q1319" t="s">
        <v>41</v>
      </c>
      <c r="R1319" s="1">
        <v>44565</v>
      </c>
      <c r="S1319" t="s">
        <v>34</v>
      </c>
      <c r="T1319">
        <v>0</v>
      </c>
      <c r="U1319">
        <v>0</v>
      </c>
      <c r="V1319">
        <v>0</v>
      </c>
      <c r="W1319">
        <v>0</v>
      </c>
      <c r="X1319" t="s">
        <v>11024</v>
      </c>
      <c r="Y1319" t="s">
        <v>11024</v>
      </c>
      <c r="Z1319" t="str">
        <f>_xlfn.XLOOKUP(Employees[[#This Row],[Education]], EdLevel[EducationLevelID], EdLevel[EducationLevel])</f>
        <v>Doctorate</v>
      </c>
      <c r="AA1319">
        <f>IF(Employees[[#This Row],[Attrition]] = "Yes", 1, 0)</f>
        <v>0</v>
      </c>
      <c r="AB1319" t="str" cm="1">
        <f t="array" ref="AB1319">_xlfn.IFS(Employees[[#This Row],[Age]]&lt;30, "20-29", Employees[[#This Row],[Age]]&lt;40, "30-39", Employees[[#This Row],[Age]]&lt;50, "40-49", "TRUE", "50+")</f>
        <v>20-29</v>
      </c>
    </row>
    <row r="1320" spans="1:28">
      <c r="A1320" t="s">
        <v>3874</v>
      </c>
      <c r="B1320" t="s">
        <v>1460</v>
      </c>
      <c r="C1320" t="s">
        <v>3875</v>
      </c>
      <c r="D1320" t="s">
        <v>26</v>
      </c>
      <c r="E1320">
        <v>24</v>
      </c>
      <c r="F1320" t="s">
        <v>27</v>
      </c>
      <c r="G1320" t="s">
        <v>54</v>
      </c>
      <c r="H1320">
        <v>25</v>
      </c>
      <c r="I1320" t="s">
        <v>65</v>
      </c>
      <c r="J1320" t="s">
        <v>30</v>
      </c>
      <c r="K1320">
        <v>1</v>
      </c>
      <c r="L1320" t="s">
        <v>72</v>
      </c>
      <c r="M1320" t="s">
        <v>85</v>
      </c>
      <c r="N1320" t="s">
        <v>33</v>
      </c>
      <c r="O1320">
        <v>26973</v>
      </c>
      <c r="P1320">
        <v>3</v>
      </c>
      <c r="Q1320" t="s">
        <v>34</v>
      </c>
      <c r="R1320" s="1">
        <v>44571</v>
      </c>
      <c r="S1320" t="s">
        <v>34</v>
      </c>
      <c r="T1320">
        <v>0</v>
      </c>
      <c r="U1320">
        <v>0</v>
      </c>
      <c r="V1320">
        <v>0</v>
      </c>
      <c r="W1320">
        <v>0</v>
      </c>
      <c r="X1320" t="s">
        <v>11020</v>
      </c>
      <c r="Y1320" t="s">
        <v>11020</v>
      </c>
      <c r="Z1320" t="str">
        <f>_xlfn.XLOOKUP(Employees[[#This Row],[Education]], EdLevel[EducationLevelID], EdLevel[EducationLevel])</f>
        <v>No Formal Qualifications</v>
      </c>
      <c r="AA1320">
        <f>IF(Employees[[#This Row],[Attrition]] = "Yes", 1, 0)</f>
        <v>0</v>
      </c>
      <c r="AB1320" t="str" cm="1">
        <f t="array" ref="AB1320">_xlfn.IFS(Employees[[#This Row],[Age]]&lt;30, "20-29", Employees[[#This Row],[Age]]&lt;40, "30-39", Employees[[#This Row],[Age]]&lt;50, "40-49", "TRUE", "50+")</f>
        <v>20-29</v>
      </c>
    </row>
    <row r="1321" spans="1:28">
      <c r="A1321" t="s">
        <v>3876</v>
      </c>
      <c r="B1321" t="s">
        <v>3877</v>
      </c>
      <c r="C1321" t="s">
        <v>3686</v>
      </c>
      <c r="D1321" t="s">
        <v>26</v>
      </c>
      <c r="E1321">
        <v>35</v>
      </c>
      <c r="F1321" t="s">
        <v>27</v>
      </c>
      <c r="G1321" t="s">
        <v>28</v>
      </c>
      <c r="H1321">
        <v>36</v>
      </c>
      <c r="I1321" t="s">
        <v>39</v>
      </c>
      <c r="J1321" t="s">
        <v>30</v>
      </c>
      <c r="K1321">
        <v>2</v>
      </c>
      <c r="L1321" t="s">
        <v>31</v>
      </c>
      <c r="M1321" t="s">
        <v>97</v>
      </c>
      <c r="N1321" t="s">
        <v>49</v>
      </c>
      <c r="O1321">
        <v>487746</v>
      </c>
      <c r="P1321">
        <v>1</v>
      </c>
      <c r="Q1321" t="s">
        <v>34</v>
      </c>
      <c r="R1321" s="1">
        <v>44573</v>
      </c>
      <c r="S1321" t="s">
        <v>34</v>
      </c>
      <c r="T1321">
        <v>0</v>
      </c>
      <c r="U1321">
        <v>0</v>
      </c>
      <c r="V1321">
        <v>0</v>
      </c>
      <c r="W1321">
        <v>0</v>
      </c>
      <c r="X1321" t="s">
        <v>11021</v>
      </c>
      <c r="Y1321" t="s">
        <v>11021</v>
      </c>
      <c r="Z1321" t="str">
        <f>_xlfn.XLOOKUP(Employees[[#This Row],[Education]], EdLevel[EducationLevelID], EdLevel[EducationLevel])</f>
        <v xml:space="preserve">High School </v>
      </c>
      <c r="AA1321">
        <f>IF(Employees[[#This Row],[Attrition]] = "Yes", 1, 0)</f>
        <v>0</v>
      </c>
      <c r="AB1321" t="str" cm="1">
        <f t="array" ref="AB1321">_xlfn.IFS(Employees[[#This Row],[Age]]&lt;30, "20-29", Employees[[#This Row],[Age]]&lt;40, "30-39", Employees[[#This Row],[Age]]&lt;50, "40-49", "TRUE", "50+")</f>
        <v>30-39</v>
      </c>
    </row>
    <row r="1322" spans="1:28">
      <c r="A1322" t="s">
        <v>3878</v>
      </c>
      <c r="B1322" t="s">
        <v>3879</v>
      </c>
      <c r="C1322" t="s">
        <v>3880</v>
      </c>
      <c r="D1322" t="s">
        <v>26</v>
      </c>
      <c r="E1322">
        <v>18</v>
      </c>
      <c r="F1322" t="s">
        <v>84</v>
      </c>
      <c r="G1322" t="s">
        <v>54</v>
      </c>
      <c r="H1322">
        <v>34</v>
      </c>
      <c r="I1322" t="s">
        <v>65</v>
      </c>
      <c r="J1322" t="s">
        <v>30</v>
      </c>
      <c r="K1322">
        <v>4</v>
      </c>
      <c r="L1322" t="s">
        <v>72</v>
      </c>
      <c r="M1322" t="s">
        <v>101</v>
      </c>
      <c r="N1322" t="s">
        <v>40</v>
      </c>
      <c r="O1322">
        <v>54085</v>
      </c>
      <c r="P1322">
        <v>1</v>
      </c>
      <c r="Q1322" t="s">
        <v>41</v>
      </c>
      <c r="R1322" s="1">
        <v>44574</v>
      </c>
      <c r="S1322" t="s">
        <v>34</v>
      </c>
      <c r="T1322">
        <v>0</v>
      </c>
      <c r="U1322">
        <v>0</v>
      </c>
      <c r="V1322">
        <v>0</v>
      </c>
      <c r="W1322">
        <v>0</v>
      </c>
      <c r="X1322" t="s">
        <v>11023</v>
      </c>
      <c r="Y1322" t="s">
        <v>11023</v>
      </c>
      <c r="Z1322" t="str">
        <f>_xlfn.XLOOKUP(Employees[[#This Row],[Education]], EdLevel[EducationLevelID], EdLevel[EducationLevel])</f>
        <v xml:space="preserve">Masters </v>
      </c>
      <c r="AA1322">
        <f>IF(Employees[[#This Row],[Attrition]] = "Yes", 1, 0)</f>
        <v>0</v>
      </c>
      <c r="AB1322" t="str" cm="1">
        <f t="array" ref="AB1322">_xlfn.IFS(Employees[[#This Row],[Age]]&lt;30, "20-29", Employees[[#This Row],[Age]]&lt;40, "30-39", Employees[[#This Row],[Age]]&lt;50, "40-49", "TRUE", "50+")</f>
        <v>20-29</v>
      </c>
    </row>
    <row r="1323" spans="1:28">
      <c r="A1323" t="s">
        <v>3881</v>
      </c>
      <c r="B1323" t="s">
        <v>3882</v>
      </c>
      <c r="C1323" t="s">
        <v>2893</v>
      </c>
      <c r="D1323" t="s">
        <v>26</v>
      </c>
      <c r="E1323">
        <v>18</v>
      </c>
      <c r="F1323" t="s">
        <v>27</v>
      </c>
      <c r="G1323" t="s">
        <v>28</v>
      </c>
      <c r="H1323">
        <v>20</v>
      </c>
      <c r="I1323" t="s">
        <v>39</v>
      </c>
      <c r="J1323" t="s">
        <v>30</v>
      </c>
      <c r="K1323">
        <v>3</v>
      </c>
      <c r="L1323" t="s">
        <v>60</v>
      </c>
      <c r="M1323" t="s">
        <v>32</v>
      </c>
      <c r="N1323" t="s">
        <v>40</v>
      </c>
      <c r="O1323">
        <v>58523</v>
      </c>
      <c r="P1323">
        <v>0</v>
      </c>
      <c r="Q1323" t="s">
        <v>34</v>
      </c>
      <c r="R1323" s="1">
        <v>44586</v>
      </c>
      <c r="S1323" t="s">
        <v>41</v>
      </c>
      <c r="T1323">
        <v>0</v>
      </c>
      <c r="U1323">
        <v>0</v>
      </c>
      <c r="V1323">
        <v>0</v>
      </c>
      <c r="W1323">
        <v>0</v>
      </c>
      <c r="X1323" t="s">
        <v>11022</v>
      </c>
      <c r="Y1323" t="s">
        <v>11022</v>
      </c>
      <c r="Z1323" t="str">
        <f>_xlfn.XLOOKUP(Employees[[#This Row],[Education]], EdLevel[EducationLevelID], EdLevel[EducationLevel])</f>
        <v xml:space="preserve">Bachelors </v>
      </c>
      <c r="AA1323">
        <f>IF(Employees[[#This Row],[Attrition]] = "Yes", 1, 0)</f>
        <v>1</v>
      </c>
      <c r="AB1323" t="str" cm="1">
        <f t="array" ref="AB1323">_xlfn.IFS(Employees[[#This Row],[Age]]&lt;30, "20-29", Employees[[#This Row],[Age]]&lt;40, "30-39", Employees[[#This Row],[Age]]&lt;50, "40-49", "TRUE", "50+")</f>
        <v>20-29</v>
      </c>
    </row>
    <row r="1324" spans="1:28">
      <c r="A1324" t="s">
        <v>3883</v>
      </c>
      <c r="B1324" t="s">
        <v>3884</v>
      </c>
      <c r="C1324" t="s">
        <v>3885</v>
      </c>
      <c r="D1324" t="s">
        <v>26</v>
      </c>
      <c r="E1324">
        <v>18</v>
      </c>
      <c r="F1324" t="s">
        <v>27</v>
      </c>
      <c r="G1324" t="s">
        <v>54</v>
      </c>
      <c r="H1324">
        <v>32</v>
      </c>
      <c r="I1324" t="s">
        <v>39</v>
      </c>
      <c r="J1324" t="s">
        <v>30</v>
      </c>
      <c r="K1324">
        <v>4</v>
      </c>
      <c r="L1324" t="s">
        <v>72</v>
      </c>
      <c r="M1324" t="s">
        <v>101</v>
      </c>
      <c r="N1324" t="s">
        <v>40</v>
      </c>
      <c r="O1324">
        <v>24906</v>
      </c>
      <c r="P1324">
        <v>0</v>
      </c>
      <c r="Q1324" t="s">
        <v>34</v>
      </c>
      <c r="R1324" s="1">
        <v>44586</v>
      </c>
      <c r="S1324" t="s">
        <v>34</v>
      </c>
      <c r="T1324">
        <v>0</v>
      </c>
      <c r="U1324">
        <v>0</v>
      </c>
      <c r="V1324">
        <v>0</v>
      </c>
      <c r="W1324">
        <v>0</v>
      </c>
      <c r="X1324" t="s">
        <v>11023</v>
      </c>
      <c r="Y1324" t="s">
        <v>11023</v>
      </c>
      <c r="Z1324" t="str">
        <f>_xlfn.XLOOKUP(Employees[[#This Row],[Education]], EdLevel[EducationLevelID], EdLevel[EducationLevel])</f>
        <v xml:space="preserve">Masters </v>
      </c>
      <c r="AA1324">
        <f>IF(Employees[[#This Row],[Attrition]] = "Yes", 1, 0)</f>
        <v>0</v>
      </c>
      <c r="AB1324" t="str" cm="1">
        <f t="array" ref="AB1324">_xlfn.IFS(Employees[[#This Row],[Age]]&lt;30, "20-29", Employees[[#This Row],[Age]]&lt;40, "30-39", Employees[[#This Row],[Age]]&lt;50, "40-49", "TRUE", "50+")</f>
        <v>20-29</v>
      </c>
    </row>
    <row r="1325" spans="1:28">
      <c r="A1325" t="s">
        <v>3886</v>
      </c>
      <c r="B1325" t="s">
        <v>3289</v>
      </c>
      <c r="C1325" t="s">
        <v>3887</v>
      </c>
      <c r="D1325" t="s">
        <v>38</v>
      </c>
      <c r="E1325">
        <v>24</v>
      </c>
      <c r="F1325" t="s">
        <v>27</v>
      </c>
      <c r="G1325" t="s">
        <v>54</v>
      </c>
      <c r="H1325">
        <v>9</v>
      </c>
      <c r="I1325" t="s">
        <v>65</v>
      </c>
      <c r="J1325" t="s">
        <v>30</v>
      </c>
      <c r="K1325">
        <v>3</v>
      </c>
      <c r="L1325" t="s">
        <v>72</v>
      </c>
      <c r="M1325" t="s">
        <v>93</v>
      </c>
      <c r="N1325" t="s">
        <v>40</v>
      </c>
      <c r="O1325">
        <v>108352</v>
      </c>
      <c r="P1325">
        <v>0</v>
      </c>
      <c r="Q1325" t="s">
        <v>41</v>
      </c>
      <c r="R1325" s="1">
        <v>44587</v>
      </c>
      <c r="S1325" t="s">
        <v>34</v>
      </c>
      <c r="T1325">
        <v>0</v>
      </c>
      <c r="U1325">
        <v>0</v>
      </c>
      <c r="V1325">
        <v>0</v>
      </c>
      <c r="W1325">
        <v>0</v>
      </c>
      <c r="X1325" t="s">
        <v>11022</v>
      </c>
      <c r="Y1325" t="s">
        <v>11022</v>
      </c>
      <c r="Z1325" t="str">
        <f>_xlfn.XLOOKUP(Employees[[#This Row],[Education]], EdLevel[EducationLevelID], EdLevel[EducationLevel])</f>
        <v xml:space="preserve">Bachelors </v>
      </c>
      <c r="AA1325">
        <f>IF(Employees[[#This Row],[Attrition]] = "Yes", 1, 0)</f>
        <v>0</v>
      </c>
      <c r="AB1325" t="str" cm="1">
        <f t="array" ref="AB1325">_xlfn.IFS(Employees[[#This Row],[Age]]&lt;30, "20-29", Employees[[#This Row],[Age]]&lt;40, "30-39", Employees[[#This Row],[Age]]&lt;50, "40-49", "TRUE", "50+")</f>
        <v>20-29</v>
      </c>
    </row>
    <row r="1326" spans="1:28">
      <c r="A1326" t="s">
        <v>3888</v>
      </c>
      <c r="B1326" t="s">
        <v>3889</v>
      </c>
      <c r="C1326" t="s">
        <v>3890</v>
      </c>
      <c r="D1326" t="s">
        <v>26</v>
      </c>
      <c r="E1326">
        <v>19</v>
      </c>
      <c r="F1326" t="s">
        <v>27</v>
      </c>
      <c r="G1326" t="s">
        <v>54</v>
      </c>
      <c r="H1326">
        <v>14</v>
      </c>
      <c r="I1326" t="s">
        <v>39</v>
      </c>
      <c r="J1326" t="s">
        <v>30</v>
      </c>
      <c r="K1326">
        <v>3</v>
      </c>
      <c r="L1326" t="s">
        <v>55</v>
      </c>
      <c r="M1326" t="s">
        <v>101</v>
      </c>
      <c r="N1326" t="s">
        <v>40</v>
      </c>
      <c r="O1326">
        <v>36554</v>
      </c>
      <c r="P1326">
        <v>0</v>
      </c>
      <c r="Q1326" t="s">
        <v>34</v>
      </c>
      <c r="R1326" s="1">
        <v>44592</v>
      </c>
      <c r="S1326" t="s">
        <v>34</v>
      </c>
      <c r="T1326">
        <v>0</v>
      </c>
      <c r="U1326">
        <v>0</v>
      </c>
      <c r="V1326">
        <v>0</v>
      </c>
      <c r="W1326">
        <v>0</v>
      </c>
      <c r="X1326" t="s">
        <v>11022</v>
      </c>
      <c r="Y1326" t="s">
        <v>11022</v>
      </c>
      <c r="Z1326" t="str">
        <f>_xlfn.XLOOKUP(Employees[[#This Row],[Education]], EdLevel[EducationLevelID], EdLevel[EducationLevel])</f>
        <v xml:space="preserve">Bachelors </v>
      </c>
      <c r="AA1326">
        <f>IF(Employees[[#This Row],[Attrition]] = "Yes", 1, 0)</f>
        <v>0</v>
      </c>
      <c r="AB1326" t="str" cm="1">
        <f t="array" ref="AB1326">_xlfn.IFS(Employees[[#This Row],[Age]]&lt;30, "20-29", Employees[[#This Row],[Age]]&lt;40, "30-39", Employees[[#This Row],[Age]]&lt;50, "40-49", "TRUE", "50+")</f>
        <v>20-29</v>
      </c>
    </row>
    <row r="1327" spans="1:28">
      <c r="A1327" t="s">
        <v>3891</v>
      </c>
      <c r="B1327" t="s">
        <v>3892</v>
      </c>
      <c r="C1327" t="s">
        <v>3893</v>
      </c>
      <c r="D1327" t="s">
        <v>26</v>
      </c>
      <c r="E1327">
        <v>18</v>
      </c>
      <c r="F1327" t="s">
        <v>27</v>
      </c>
      <c r="G1327" t="s">
        <v>28</v>
      </c>
      <c r="H1327">
        <v>43</v>
      </c>
      <c r="I1327" t="s">
        <v>39</v>
      </c>
      <c r="J1327" t="s">
        <v>30</v>
      </c>
      <c r="K1327">
        <v>4</v>
      </c>
      <c r="L1327" t="s">
        <v>121</v>
      </c>
      <c r="M1327" t="s">
        <v>32</v>
      </c>
      <c r="N1327" t="s">
        <v>40</v>
      </c>
      <c r="O1327">
        <v>41708</v>
      </c>
      <c r="P1327">
        <v>0</v>
      </c>
      <c r="Q1327" t="s">
        <v>34</v>
      </c>
      <c r="R1327" s="1">
        <v>44598</v>
      </c>
      <c r="S1327" t="s">
        <v>34</v>
      </c>
      <c r="T1327">
        <v>0</v>
      </c>
      <c r="U1327">
        <v>0</v>
      </c>
      <c r="V1327">
        <v>0</v>
      </c>
      <c r="W1327">
        <v>0</v>
      </c>
      <c r="X1327" t="s">
        <v>11023</v>
      </c>
      <c r="Y1327" t="s">
        <v>11023</v>
      </c>
      <c r="Z1327" t="str">
        <f>_xlfn.XLOOKUP(Employees[[#This Row],[Education]], EdLevel[EducationLevelID], EdLevel[EducationLevel])</f>
        <v xml:space="preserve">Masters </v>
      </c>
      <c r="AA1327">
        <f>IF(Employees[[#This Row],[Attrition]] = "Yes", 1, 0)</f>
        <v>0</v>
      </c>
      <c r="AB1327" t="str" cm="1">
        <f t="array" ref="AB1327">_xlfn.IFS(Employees[[#This Row],[Age]]&lt;30, "20-29", Employees[[#This Row],[Age]]&lt;40, "30-39", Employees[[#This Row],[Age]]&lt;50, "40-49", "TRUE", "50+")</f>
        <v>20-29</v>
      </c>
    </row>
    <row r="1328" spans="1:28">
      <c r="A1328" t="s">
        <v>3894</v>
      </c>
      <c r="B1328" t="s">
        <v>3895</v>
      </c>
      <c r="C1328" t="s">
        <v>3896</v>
      </c>
      <c r="D1328" t="s">
        <v>38</v>
      </c>
      <c r="E1328">
        <v>18</v>
      </c>
      <c r="F1328" t="s">
        <v>84</v>
      </c>
      <c r="G1328" t="s">
        <v>28</v>
      </c>
      <c r="H1328">
        <v>41</v>
      </c>
      <c r="I1328" t="s">
        <v>39</v>
      </c>
      <c r="J1328" t="s">
        <v>30</v>
      </c>
      <c r="K1328">
        <v>4</v>
      </c>
      <c r="L1328" t="s">
        <v>31</v>
      </c>
      <c r="M1328" t="s">
        <v>32</v>
      </c>
      <c r="N1328" t="s">
        <v>40</v>
      </c>
      <c r="O1328">
        <v>72639</v>
      </c>
      <c r="P1328">
        <v>2</v>
      </c>
      <c r="Q1328" t="s">
        <v>34</v>
      </c>
      <c r="R1328" s="1">
        <v>44599</v>
      </c>
      <c r="S1328" t="s">
        <v>34</v>
      </c>
      <c r="T1328">
        <v>0</v>
      </c>
      <c r="U1328">
        <v>0</v>
      </c>
      <c r="V1328">
        <v>0</v>
      </c>
      <c r="W1328">
        <v>0</v>
      </c>
      <c r="X1328" t="s">
        <v>11023</v>
      </c>
      <c r="Y1328" t="s">
        <v>11023</v>
      </c>
      <c r="Z1328" t="str">
        <f>_xlfn.XLOOKUP(Employees[[#This Row],[Education]], EdLevel[EducationLevelID], EdLevel[EducationLevel])</f>
        <v xml:space="preserve">Masters </v>
      </c>
      <c r="AA1328">
        <f>IF(Employees[[#This Row],[Attrition]] = "Yes", 1, 0)</f>
        <v>0</v>
      </c>
      <c r="AB1328" t="str" cm="1">
        <f t="array" ref="AB1328">_xlfn.IFS(Employees[[#This Row],[Age]]&lt;30, "20-29", Employees[[#This Row],[Age]]&lt;40, "30-39", Employees[[#This Row],[Age]]&lt;50, "40-49", "TRUE", "50+")</f>
        <v>20-29</v>
      </c>
    </row>
    <row r="1329" spans="1:28">
      <c r="A1329" t="s">
        <v>3897</v>
      </c>
      <c r="B1329" t="s">
        <v>2270</v>
      </c>
      <c r="C1329" t="s">
        <v>3898</v>
      </c>
      <c r="D1329" t="s">
        <v>38</v>
      </c>
      <c r="E1329">
        <v>18</v>
      </c>
      <c r="F1329" t="s">
        <v>27</v>
      </c>
      <c r="G1329" t="s">
        <v>28</v>
      </c>
      <c r="H1329">
        <v>18</v>
      </c>
      <c r="I1329" t="s">
        <v>39</v>
      </c>
      <c r="J1329" t="s">
        <v>30</v>
      </c>
      <c r="K1329">
        <v>4</v>
      </c>
      <c r="L1329" t="s">
        <v>31</v>
      </c>
      <c r="M1329" t="s">
        <v>32</v>
      </c>
      <c r="N1329" t="s">
        <v>40</v>
      </c>
      <c r="O1329">
        <v>52198</v>
      </c>
      <c r="P1329">
        <v>0</v>
      </c>
      <c r="Q1329" t="s">
        <v>34</v>
      </c>
      <c r="R1329" s="1">
        <v>44603</v>
      </c>
      <c r="S1329" t="s">
        <v>34</v>
      </c>
      <c r="T1329">
        <v>0</v>
      </c>
      <c r="U1329">
        <v>0</v>
      </c>
      <c r="V1329">
        <v>0</v>
      </c>
      <c r="W1329">
        <v>0</v>
      </c>
      <c r="X1329" t="s">
        <v>11023</v>
      </c>
      <c r="Y1329" t="s">
        <v>11023</v>
      </c>
      <c r="Z1329" t="str">
        <f>_xlfn.XLOOKUP(Employees[[#This Row],[Education]], EdLevel[EducationLevelID], EdLevel[EducationLevel])</f>
        <v xml:space="preserve">Masters </v>
      </c>
      <c r="AA1329">
        <f>IF(Employees[[#This Row],[Attrition]] = "Yes", 1, 0)</f>
        <v>0</v>
      </c>
      <c r="AB1329" t="str" cm="1">
        <f t="array" ref="AB1329">_xlfn.IFS(Employees[[#This Row],[Age]]&lt;30, "20-29", Employees[[#This Row],[Age]]&lt;40, "30-39", Employees[[#This Row],[Age]]&lt;50, "40-49", "TRUE", "50+")</f>
        <v>20-29</v>
      </c>
    </row>
    <row r="1330" spans="1:28">
      <c r="A1330" t="s">
        <v>3899</v>
      </c>
      <c r="B1330" t="s">
        <v>3900</v>
      </c>
      <c r="C1330" t="s">
        <v>3901</v>
      </c>
      <c r="D1330" t="s">
        <v>38</v>
      </c>
      <c r="E1330">
        <v>31</v>
      </c>
      <c r="F1330" t="s">
        <v>27</v>
      </c>
      <c r="G1330" t="s">
        <v>28</v>
      </c>
      <c r="H1330">
        <v>36</v>
      </c>
      <c r="I1330" t="s">
        <v>65</v>
      </c>
      <c r="J1330" t="s">
        <v>30</v>
      </c>
      <c r="K1330">
        <v>3</v>
      </c>
      <c r="L1330" t="s">
        <v>31</v>
      </c>
      <c r="M1330" t="s">
        <v>32</v>
      </c>
      <c r="N1330" t="s">
        <v>40</v>
      </c>
      <c r="O1330">
        <v>139882</v>
      </c>
      <c r="P1330">
        <v>0</v>
      </c>
      <c r="Q1330" t="s">
        <v>34</v>
      </c>
      <c r="R1330" s="1">
        <v>44603</v>
      </c>
      <c r="S1330" t="s">
        <v>34</v>
      </c>
      <c r="T1330">
        <v>0</v>
      </c>
      <c r="U1330">
        <v>0</v>
      </c>
      <c r="V1330">
        <v>0</v>
      </c>
      <c r="W1330">
        <v>0</v>
      </c>
      <c r="X1330" t="s">
        <v>11022</v>
      </c>
      <c r="Y1330" t="s">
        <v>11022</v>
      </c>
      <c r="Z1330" t="str">
        <f>_xlfn.XLOOKUP(Employees[[#This Row],[Education]], EdLevel[EducationLevelID], EdLevel[EducationLevel])</f>
        <v xml:space="preserve">Bachelors </v>
      </c>
      <c r="AA1330">
        <f>IF(Employees[[#This Row],[Attrition]] = "Yes", 1, 0)</f>
        <v>0</v>
      </c>
      <c r="AB1330" t="str" cm="1">
        <f t="array" ref="AB1330">_xlfn.IFS(Employees[[#This Row],[Age]]&lt;30, "20-29", Employees[[#This Row],[Age]]&lt;40, "30-39", Employees[[#This Row],[Age]]&lt;50, "40-49", "TRUE", "50+")</f>
        <v>30-39</v>
      </c>
    </row>
    <row r="1331" spans="1:28">
      <c r="A1331" t="s">
        <v>3902</v>
      </c>
      <c r="B1331" t="s">
        <v>3903</v>
      </c>
      <c r="C1331" t="s">
        <v>3904</v>
      </c>
      <c r="D1331" t="s">
        <v>859</v>
      </c>
      <c r="E1331">
        <v>21</v>
      </c>
      <c r="F1331" t="s">
        <v>27</v>
      </c>
      <c r="G1331" t="s">
        <v>54</v>
      </c>
      <c r="H1331">
        <v>43</v>
      </c>
      <c r="I1331" t="s">
        <v>65</v>
      </c>
      <c r="J1331" t="s">
        <v>30</v>
      </c>
      <c r="K1331">
        <v>3</v>
      </c>
      <c r="L1331" t="s">
        <v>55</v>
      </c>
      <c r="M1331" t="s">
        <v>101</v>
      </c>
      <c r="N1331" t="s">
        <v>40</v>
      </c>
      <c r="O1331">
        <v>33306</v>
      </c>
      <c r="P1331">
        <v>0</v>
      </c>
      <c r="Q1331" t="s">
        <v>34</v>
      </c>
      <c r="R1331" s="1">
        <v>44606</v>
      </c>
      <c r="S1331" t="s">
        <v>34</v>
      </c>
      <c r="T1331">
        <v>0</v>
      </c>
      <c r="U1331">
        <v>0</v>
      </c>
      <c r="V1331">
        <v>0</v>
      </c>
      <c r="W1331">
        <v>0</v>
      </c>
      <c r="X1331" t="s">
        <v>11022</v>
      </c>
      <c r="Y1331" t="s">
        <v>11022</v>
      </c>
      <c r="Z1331" t="str">
        <f>_xlfn.XLOOKUP(Employees[[#This Row],[Education]], EdLevel[EducationLevelID], EdLevel[EducationLevel])</f>
        <v xml:space="preserve">Bachelors </v>
      </c>
      <c r="AA1331">
        <f>IF(Employees[[#This Row],[Attrition]] = "Yes", 1, 0)</f>
        <v>0</v>
      </c>
      <c r="AB1331" t="str" cm="1">
        <f t="array" ref="AB1331">_xlfn.IFS(Employees[[#This Row],[Age]]&lt;30, "20-29", Employees[[#This Row],[Age]]&lt;40, "30-39", Employees[[#This Row],[Age]]&lt;50, "40-49", "TRUE", "50+")</f>
        <v>20-29</v>
      </c>
    </row>
    <row r="1332" spans="1:28">
      <c r="A1332" t="s">
        <v>3905</v>
      </c>
      <c r="B1332" t="s">
        <v>3906</v>
      </c>
      <c r="C1332" t="s">
        <v>3907</v>
      </c>
      <c r="D1332" t="s">
        <v>26</v>
      </c>
      <c r="E1332">
        <v>36</v>
      </c>
      <c r="F1332" t="s">
        <v>84</v>
      </c>
      <c r="G1332" t="s">
        <v>54</v>
      </c>
      <c r="H1332">
        <v>29</v>
      </c>
      <c r="I1332" t="s">
        <v>39</v>
      </c>
      <c r="J1332" t="s">
        <v>30</v>
      </c>
      <c r="K1332">
        <v>3</v>
      </c>
      <c r="L1332" t="s">
        <v>72</v>
      </c>
      <c r="M1332" t="s">
        <v>101</v>
      </c>
      <c r="N1332" t="s">
        <v>40</v>
      </c>
      <c r="O1332">
        <v>144071</v>
      </c>
      <c r="P1332">
        <v>1</v>
      </c>
      <c r="Q1332" t="s">
        <v>34</v>
      </c>
      <c r="R1332" s="1">
        <v>44607</v>
      </c>
      <c r="S1332" t="s">
        <v>34</v>
      </c>
      <c r="T1332">
        <v>0</v>
      </c>
      <c r="U1332">
        <v>0</v>
      </c>
      <c r="V1332">
        <v>0</v>
      </c>
      <c r="W1332">
        <v>0</v>
      </c>
      <c r="X1332" t="s">
        <v>11022</v>
      </c>
      <c r="Y1332" t="s">
        <v>11022</v>
      </c>
      <c r="Z1332" t="str">
        <f>_xlfn.XLOOKUP(Employees[[#This Row],[Education]], EdLevel[EducationLevelID], EdLevel[EducationLevel])</f>
        <v xml:space="preserve">Bachelors </v>
      </c>
      <c r="AA1332">
        <f>IF(Employees[[#This Row],[Attrition]] = "Yes", 1, 0)</f>
        <v>0</v>
      </c>
      <c r="AB1332" t="str" cm="1">
        <f t="array" ref="AB1332">_xlfn.IFS(Employees[[#This Row],[Age]]&lt;30, "20-29", Employees[[#This Row],[Age]]&lt;40, "30-39", Employees[[#This Row],[Age]]&lt;50, "40-49", "TRUE", "50+")</f>
        <v>30-39</v>
      </c>
    </row>
    <row r="1333" spans="1:28">
      <c r="A1333" t="s">
        <v>3908</v>
      </c>
      <c r="B1333" t="s">
        <v>3909</v>
      </c>
      <c r="C1333" t="s">
        <v>3910</v>
      </c>
      <c r="D1333" t="s">
        <v>38</v>
      </c>
      <c r="E1333">
        <v>21</v>
      </c>
      <c r="F1333" t="s">
        <v>27</v>
      </c>
      <c r="G1333" t="s">
        <v>54</v>
      </c>
      <c r="H1333">
        <v>30</v>
      </c>
      <c r="I1333" t="s">
        <v>39</v>
      </c>
      <c r="J1333" t="s">
        <v>30</v>
      </c>
      <c r="K1333">
        <v>3</v>
      </c>
      <c r="L1333" t="s">
        <v>55</v>
      </c>
      <c r="M1333" t="s">
        <v>101</v>
      </c>
      <c r="N1333" t="s">
        <v>40</v>
      </c>
      <c r="O1333">
        <v>38906</v>
      </c>
      <c r="P1333">
        <v>0</v>
      </c>
      <c r="Q1333" t="s">
        <v>34</v>
      </c>
      <c r="R1333" s="1">
        <v>44607</v>
      </c>
      <c r="S1333" t="s">
        <v>34</v>
      </c>
      <c r="T1333">
        <v>0</v>
      </c>
      <c r="U1333">
        <v>0</v>
      </c>
      <c r="V1333">
        <v>0</v>
      </c>
      <c r="W1333">
        <v>0</v>
      </c>
      <c r="X1333" t="s">
        <v>11022</v>
      </c>
      <c r="Y1333" t="s">
        <v>11022</v>
      </c>
      <c r="Z1333" t="str">
        <f>_xlfn.XLOOKUP(Employees[[#This Row],[Education]], EdLevel[EducationLevelID], EdLevel[EducationLevel])</f>
        <v xml:space="preserve">Bachelors </v>
      </c>
      <c r="AA1333">
        <f>IF(Employees[[#This Row],[Attrition]] = "Yes", 1, 0)</f>
        <v>0</v>
      </c>
      <c r="AB1333" t="str" cm="1">
        <f t="array" ref="AB1333">_xlfn.IFS(Employees[[#This Row],[Age]]&lt;30, "20-29", Employees[[#This Row],[Age]]&lt;40, "30-39", Employees[[#This Row],[Age]]&lt;50, "40-49", "TRUE", "50+")</f>
        <v>20-29</v>
      </c>
    </row>
    <row r="1334" spans="1:28">
      <c r="A1334" t="s">
        <v>3911</v>
      </c>
      <c r="B1334" t="s">
        <v>3912</v>
      </c>
      <c r="C1334" t="s">
        <v>3913</v>
      </c>
      <c r="D1334" t="s">
        <v>38</v>
      </c>
      <c r="E1334">
        <v>23</v>
      </c>
      <c r="F1334" t="s">
        <v>27</v>
      </c>
      <c r="G1334" t="s">
        <v>54</v>
      </c>
      <c r="H1334">
        <v>28</v>
      </c>
      <c r="I1334" t="s">
        <v>65</v>
      </c>
      <c r="J1334" t="s">
        <v>30</v>
      </c>
      <c r="K1334">
        <v>3</v>
      </c>
      <c r="L1334" t="s">
        <v>72</v>
      </c>
      <c r="M1334" t="s">
        <v>93</v>
      </c>
      <c r="N1334" t="s">
        <v>40</v>
      </c>
      <c r="O1334">
        <v>83064</v>
      </c>
      <c r="P1334">
        <v>3</v>
      </c>
      <c r="Q1334" t="s">
        <v>34</v>
      </c>
      <c r="R1334" s="1">
        <v>44607</v>
      </c>
      <c r="S1334" t="s">
        <v>34</v>
      </c>
      <c r="T1334">
        <v>0</v>
      </c>
      <c r="U1334">
        <v>0</v>
      </c>
      <c r="V1334">
        <v>0</v>
      </c>
      <c r="W1334">
        <v>0</v>
      </c>
      <c r="X1334" t="s">
        <v>11022</v>
      </c>
      <c r="Y1334" t="s">
        <v>11022</v>
      </c>
      <c r="Z1334" t="str">
        <f>_xlfn.XLOOKUP(Employees[[#This Row],[Education]], EdLevel[EducationLevelID], EdLevel[EducationLevel])</f>
        <v xml:space="preserve">Bachelors </v>
      </c>
      <c r="AA1334">
        <f>IF(Employees[[#This Row],[Attrition]] = "Yes", 1, 0)</f>
        <v>0</v>
      </c>
      <c r="AB1334" t="str" cm="1">
        <f t="array" ref="AB1334">_xlfn.IFS(Employees[[#This Row],[Age]]&lt;30, "20-29", Employees[[#This Row],[Age]]&lt;40, "30-39", Employees[[#This Row],[Age]]&lt;50, "40-49", "TRUE", "50+")</f>
        <v>20-29</v>
      </c>
    </row>
    <row r="1335" spans="1:28">
      <c r="A1335" t="s">
        <v>3914</v>
      </c>
      <c r="B1335" t="s">
        <v>3915</v>
      </c>
      <c r="C1335" t="s">
        <v>3916</v>
      </c>
      <c r="D1335" t="s">
        <v>26</v>
      </c>
      <c r="E1335">
        <v>35</v>
      </c>
      <c r="F1335" t="s">
        <v>27</v>
      </c>
      <c r="G1335" t="s">
        <v>28</v>
      </c>
      <c r="H1335">
        <v>21</v>
      </c>
      <c r="I1335" t="s">
        <v>39</v>
      </c>
      <c r="J1335" t="s">
        <v>30</v>
      </c>
      <c r="K1335">
        <v>4</v>
      </c>
      <c r="L1335" t="s">
        <v>31</v>
      </c>
      <c r="M1335" t="s">
        <v>32</v>
      </c>
      <c r="N1335" t="s">
        <v>40</v>
      </c>
      <c r="O1335">
        <v>225565</v>
      </c>
      <c r="P1335">
        <v>1</v>
      </c>
      <c r="Q1335" t="s">
        <v>34</v>
      </c>
      <c r="R1335" s="1">
        <v>44608</v>
      </c>
      <c r="S1335" t="s">
        <v>34</v>
      </c>
      <c r="T1335">
        <v>0</v>
      </c>
      <c r="U1335">
        <v>0</v>
      </c>
      <c r="V1335">
        <v>0</v>
      </c>
      <c r="W1335">
        <v>0</v>
      </c>
      <c r="X1335" t="s">
        <v>11023</v>
      </c>
      <c r="Y1335" t="s">
        <v>11023</v>
      </c>
      <c r="Z1335" t="str">
        <f>_xlfn.XLOOKUP(Employees[[#This Row],[Education]], EdLevel[EducationLevelID], EdLevel[EducationLevel])</f>
        <v xml:space="preserve">Masters </v>
      </c>
      <c r="AA1335">
        <f>IF(Employees[[#This Row],[Attrition]] = "Yes", 1, 0)</f>
        <v>0</v>
      </c>
      <c r="AB1335" t="str" cm="1">
        <f t="array" ref="AB1335">_xlfn.IFS(Employees[[#This Row],[Age]]&lt;30, "20-29", Employees[[#This Row],[Age]]&lt;40, "30-39", Employees[[#This Row],[Age]]&lt;50, "40-49", "TRUE", "50+")</f>
        <v>30-39</v>
      </c>
    </row>
    <row r="1336" spans="1:28">
      <c r="A1336" t="s">
        <v>3917</v>
      </c>
      <c r="B1336" t="s">
        <v>3918</v>
      </c>
      <c r="C1336" t="s">
        <v>3919</v>
      </c>
      <c r="D1336" t="s">
        <v>38</v>
      </c>
      <c r="E1336">
        <v>19</v>
      </c>
      <c r="F1336" t="s">
        <v>27</v>
      </c>
      <c r="G1336" t="s">
        <v>54</v>
      </c>
      <c r="H1336">
        <v>7</v>
      </c>
      <c r="I1336" t="s">
        <v>65</v>
      </c>
      <c r="J1336" t="s">
        <v>30</v>
      </c>
      <c r="K1336">
        <v>4</v>
      </c>
      <c r="L1336" t="s">
        <v>178</v>
      </c>
      <c r="M1336" t="s">
        <v>101</v>
      </c>
      <c r="N1336" t="s">
        <v>40</v>
      </c>
      <c r="O1336">
        <v>29266</v>
      </c>
      <c r="P1336">
        <v>1</v>
      </c>
      <c r="Q1336" t="s">
        <v>34</v>
      </c>
      <c r="R1336" s="1">
        <v>44608</v>
      </c>
      <c r="S1336" t="s">
        <v>34</v>
      </c>
      <c r="T1336">
        <v>0</v>
      </c>
      <c r="U1336">
        <v>0</v>
      </c>
      <c r="V1336">
        <v>0</v>
      </c>
      <c r="W1336">
        <v>0</v>
      </c>
      <c r="X1336" t="s">
        <v>11023</v>
      </c>
      <c r="Y1336" t="s">
        <v>11023</v>
      </c>
      <c r="Z1336" t="str">
        <f>_xlfn.XLOOKUP(Employees[[#This Row],[Education]], EdLevel[EducationLevelID], EdLevel[EducationLevel])</f>
        <v xml:space="preserve">Masters </v>
      </c>
      <c r="AA1336">
        <f>IF(Employees[[#This Row],[Attrition]] = "Yes", 1, 0)</f>
        <v>0</v>
      </c>
      <c r="AB1336" t="str" cm="1">
        <f t="array" ref="AB1336">_xlfn.IFS(Employees[[#This Row],[Age]]&lt;30, "20-29", Employees[[#This Row],[Age]]&lt;40, "30-39", Employees[[#This Row],[Age]]&lt;50, "40-49", "TRUE", "50+")</f>
        <v>20-29</v>
      </c>
    </row>
    <row r="1337" spans="1:28">
      <c r="A1337" t="s">
        <v>3920</v>
      </c>
      <c r="B1337" t="s">
        <v>3921</v>
      </c>
      <c r="C1337" t="s">
        <v>3922</v>
      </c>
      <c r="D1337" t="s">
        <v>38</v>
      </c>
      <c r="E1337">
        <v>21</v>
      </c>
      <c r="F1337" t="s">
        <v>70</v>
      </c>
      <c r="G1337" t="s">
        <v>54</v>
      </c>
      <c r="H1337">
        <v>20</v>
      </c>
      <c r="I1337" t="s">
        <v>39</v>
      </c>
      <c r="J1337" t="s">
        <v>30</v>
      </c>
      <c r="K1337">
        <v>1</v>
      </c>
      <c r="L1337" t="s">
        <v>178</v>
      </c>
      <c r="M1337" t="s">
        <v>93</v>
      </c>
      <c r="N1337" t="s">
        <v>49</v>
      </c>
      <c r="O1337">
        <v>55170</v>
      </c>
      <c r="P1337">
        <v>1</v>
      </c>
      <c r="Q1337" t="s">
        <v>34</v>
      </c>
      <c r="R1337" s="1">
        <v>44610</v>
      </c>
      <c r="S1337" t="s">
        <v>34</v>
      </c>
      <c r="T1337">
        <v>0</v>
      </c>
      <c r="U1337">
        <v>0</v>
      </c>
      <c r="V1337">
        <v>0</v>
      </c>
      <c r="W1337">
        <v>0</v>
      </c>
      <c r="X1337" t="s">
        <v>11020</v>
      </c>
      <c r="Y1337" t="s">
        <v>11020</v>
      </c>
      <c r="Z1337" t="str">
        <f>_xlfn.XLOOKUP(Employees[[#This Row],[Education]], EdLevel[EducationLevelID], EdLevel[EducationLevel])</f>
        <v>No Formal Qualifications</v>
      </c>
      <c r="AA1337">
        <f>IF(Employees[[#This Row],[Attrition]] = "Yes", 1, 0)</f>
        <v>0</v>
      </c>
      <c r="AB1337" t="str" cm="1">
        <f t="array" ref="AB1337">_xlfn.IFS(Employees[[#This Row],[Age]]&lt;30, "20-29", Employees[[#This Row],[Age]]&lt;40, "30-39", Employees[[#This Row],[Age]]&lt;50, "40-49", "TRUE", "50+")</f>
        <v>20-29</v>
      </c>
    </row>
    <row r="1338" spans="1:28">
      <c r="A1338" t="s">
        <v>3923</v>
      </c>
      <c r="B1338" t="s">
        <v>3924</v>
      </c>
      <c r="C1338" t="s">
        <v>3925</v>
      </c>
      <c r="D1338" t="s">
        <v>53</v>
      </c>
      <c r="E1338">
        <v>20</v>
      </c>
      <c r="F1338" t="s">
        <v>84</v>
      </c>
      <c r="G1338" t="s">
        <v>54</v>
      </c>
      <c r="H1338">
        <v>16</v>
      </c>
      <c r="I1338" t="s">
        <v>39</v>
      </c>
      <c r="J1338" t="s">
        <v>30</v>
      </c>
      <c r="K1338">
        <v>3</v>
      </c>
      <c r="L1338" t="s">
        <v>72</v>
      </c>
      <c r="M1338" t="s">
        <v>101</v>
      </c>
      <c r="N1338" t="s">
        <v>49</v>
      </c>
      <c r="O1338">
        <v>38717</v>
      </c>
      <c r="P1338">
        <v>1</v>
      </c>
      <c r="Q1338" t="s">
        <v>34</v>
      </c>
      <c r="R1338" s="1">
        <v>44611</v>
      </c>
      <c r="S1338" t="s">
        <v>34</v>
      </c>
      <c r="T1338">
        <v>0</v>
      </c>
      <c r="U1338">
        <v>0</v>
      </c>
      <c r="V1338">
        <v>0</v>
      </c>
      <c r="W1338">
        <v>0</v>
      </c>
      <c r="X1338" t="s">
        <v>11022</v>
      </c>
      <c r="Y1338" t="s">
        <v>11022</v>
      </c>
      <c r="Z1338" t="str">
        <f>_xlfn.XLOOKUP(Employees[[#This Row],[Education]], EdLevel[EducationLevelID], EdLevel[EducationLevel])</f>
        <v xml:space="preserve">Bachelors </v>
      </c>
      <c r="AA1338">
        <f>IF(Employees[[#This Row],[Attrition]] = "Yes", 1, 0)</f>
        <v>0</v>
      </c>
      <c r="AB1338" t="str" cm="1">
        <f t="array" ref="AB1338">_xlfn.IFS(Employees[[#This Row],[Age]]&lt;30, "20-29", Employees[[#This Row],[Age]]&lt;40, "30-39", Employees[[#This Row],[Age]]&lt;50, "40-49", "TRUE", "50+")</f>
        <v>20-29</v>
      </c>
    </row>
    <row r="1339" spans="1:28">
      <c r="A1339" t="s">
        <v>3926</v>
      </c>
      <c r="B1339" t="s">
        <v>3927</v>
      </c>
      <c r="C1339" t="s">
        <v>3928</v>
      </c>
      <c r="D1339" t="s">
        <v>26</v>
      </c>
      <c r="E1339">
        <v>19</v>
      </c>
      <c r="F1339" t="s">
        <v>84</v>
      </c>
      <c r="G1339" t="s">
        <v>45</v>
      </c>
      <c r="H1339">
        <v>31</v>
      </c>
      <c r="I1339" t="s">
        <v>65</v>
      </c>
      <c r="J1339" t="s">
        <v>30</v>
      </c>
      <c r="K1339">
        <v>4</v>
      </c>
      <c r="L1339" t="s">
        <v>47</v>
      </c>
      <c r="M1339" t="s">
        <v>61</v>
      </c>
      <c r="N1339" t="s">
        <v>40</v>
      </c>
      <c r="O1339">
        <v>36832</v>
      </c>
      <c r="P1339">
        <v>1</v>
      </c>
      <c r="Q1339" t="s">
        <v>41</v>
      </c>
      <c r="R1339" s="1">
        <v>44612</v>
      </c>
      <c r="S1339" t="s">
        <v>41</v>
      </c>
      <c r="T1339">
        <v>0</v>
      </c>
      <c r="U1339">
        <v>0</v>
      </c>
      <c r="V1339">
        <v>0</v>
      </c>
      <c r="W1339">
        <v>0</v>
      </c>
      <c r="X1339" t="s">
        <v>11023</v>
      </c>
      <c r="Y1339" t="s">
        <v>11023</v>
      </c>
      <c r="Z1339" t="str">
        <f>_xlfn.XLOOKUP(Employees[[#This Row],[Education]], EdLevel[EducationLevelID], EdLevel[EducationLevel])</f>
        <v xml:space="preserve">Masters </v>
      </c>
      <c r="AA1339">
        <f>IF(Employees[[#This Row],[Attrition]] = "Yes", 1, 0)</f>
        <v>1</v>
      </c>
      <c r="AB1339" t="str" cm="1">
        <f t="array" ref="AB1339">_xlfn.IFS(Employees[[#This Row],[Age]]&lt;30, "20-29", Employees[[#This Row],[Age]]&lt;40, "30-39", Employees[[#This Row],[Age]]&lt;50, "40-49", "TRUE", "50+")</f>
        <v>20-29</v>
      </c>
    </row>
    <row r="1340" spans="1:28">
      <c r="A1340" t="s">
        <v>3929</v>
      </c>
      <c r="B1340" t="s">
        <v>3930</v>
      </c>
      <c r="C1340" t="s">
        <v>3931</v>
      </c>
      <c r="D1340" t="s">
        <v>26</v>
      </c>
      <c r="E1340">
        <v>39</v>
      </c>
      <c r="F1340" t="s">
        <v>27</v>
      </c>
      <c r="G1340" t="s">
        <v>45</v>
      </c>
      <c r="H1340">
        <v>28</v>
      </c>
      <c r="I1340" t="s">
        <v>65</v>
      </c>
      <c r="J1340" t="s">
        <v>30</v>
      </c>
      <c r="K1340">
        <v>3</v>
      </c>
      <c r="L1340" t="s">
        <v>45</v>
      </c>
      <c r="M1340" t="s">
        <v>48</v>
      </c>
      <c r="N1340" t="s">
        <v>40</v>
      </c>
      <c r="O1340">
        <v>443218</v>
      </c>
      <c r="P1340">
        <v>1</v>
      </c>
      <c r="Q1340" t="s">
        <v>34</v>
      </c>
      <c r="R1340" s="1">
        <v>44613</v>
      </c>
      <c r="S1340" t="s">
        <v>34</v>
      </c>
      <c r="T1340">
        <v>0</v>
      </c>
      <c r="U1340">
        <v>0</v>
      </c>
      <c r="V1340">
        <v>0</v>
      </c>
      <c r="W1340">
        <v>0</v>
      </c>
      <c r="X1340" t="s">
        <v>11022</v>
      </c>
      <c r="Y1340" t="s">
        <v>11022</v>
      </c>
      <c r="Z1340" t="str">
        <f>_xlfn.XLOOKUP(Employees[[#This Row],[Education]], EdLevel[EducationLevelID], EdLevel[EducationLevel])</f>
        <v xml:space="preserve">Bachelors </v>
      </c>
      <c r="AA1340">
        <f>IF(Employees[[#This Row],[Attrition]] = "Yes", 1, 0)</f>
        <v>0</v>
      </c>
      <c r="AB1340" t="str" cm="1">
        <f t="array" ref="AB1340">_xlfn.IFS(Employees[[#This Row],[Age]]&lt;30, "20-29", Employees[[#This Row],[Age]]&lt;40, "30-39", Employees[[#This Row],[Age]]&lt;50, "40-49", "TRUE", "50+")</f>
        <v>30-39</v>
      </c>
    </row>
    <row r="1341" spans="1:28">
      <c r="A1341" t="s">
        <v>3932</v>
      </c>
      <c r="B1341" t="s">
        <v>902</v>
      </c>
      <c r="C1341" t="s">
        <v>3933</v>
      </c>
      <c r="D1341" t="s">
        <v>38</v>
      </c>
      <c r="E1341">
        <v>21</v>
      </c>
      <c r="F1341" t="s">
        <v>27</v>
      </c>
      <c r="G1341" t="s">
        <v>54</v>
      </c>
      <c r="H1341">
        <v>18</v>
      </c>
      <c r="I1341" t="s">
        <v>65</v>
      </c>
      <c r="J1341" t="s">
        <v>30</v>
      </c>
      <c r="K1341">
        <v>2</v>
      </c>
      <c r="L1341" t="s">
        <v>72</v>
      </c>
      <c r="M1341" t="s">
        <v>93</v>
      </c>
      <c r="N1341" t="s">
        <v>49</v>
      </c>
      <c r="O1341">
        <v>71821</v>
      </c>
      <c r="P1341">
        <v>0</v>
      </c>
      <c r="Q1341" t="s">
        <v>34</v>
      </c>
      <c r="R1341" s="1">
        <v>44613</v>
      </c>
      <c r="S1341" t="s">
        <v>34</v>
      </c>
      <c r="T1341">
        <v>0</v>
      </c>
      <c r="U1341">
        <v>0</v>
      </c>
      <c r="V1341">
        <v>0</v>
      </c>
      <c r="W1341">
        <v>0</v>
      </c>
      <c r="X1341" t="s">
        <v>11021</v>
      </c>
      <c r="Y1341" t="s">
        <v>11021</v>
      </c>
      <c r="Z1341" t="str">
        <f>_xlfn.XLOOKUP(Employees[[#This Row],[Education]], EdLevel[EducationLevelID], EdLevel[EducationLevel])</f>
        <v xml:space="preserve">High School </v>
      </c>
      <c r="AA1341">
        <f>IF(Employees[[#This Row],[Attrition]] = "Yes", 1, 0)</f>
        <v>0</v>
      </c>
      <c r="AB1341" t="str" cm="1">
        <f t="array" ref="AB1341">_xlfn.IFS(Employees[[#This Row],[Age]]&lt;30, "20-29", Employees[[#This Row],[Age]]&lt;40, "30-39", Employees[[#This Row],[Age]]&lt;50, "40-49", "TRUE", "50+")</f>
        <v>20-29</v>
      </c>
    </row>
    <row r="1342" spans="1:28">
      <c r="A1342" t="s">
        <v>3934</v>
      </c>
      <c r="B1342" t="s">
        <v>3935</v>
      </c>
      <c r="C1342" t="s">
        <v>3936</v>
      </c>
      <c r="D1342" t="s">
        <v>38</v>
      </c>
      <c r="E1342">
        <v>26</v>
      </c>
      <c r="F1342" t="s">
        <v>27</v>
      </c>
      <c r="G1342" t="s">
        <v>54</v>
      </c>
      <c r="H1342">
        <v>37</v>
      </c>
      <c r="I1342" t="s">
        <v>39</v>
      </c>
      <c r="J1342" t="s">
        <v>30</v>
      </c>
      <c r="K1342">
        <v>3</v>
      </c>
      <c r="L1342" t="s">
        <v>72</v>
      </c>
      <c r="M1342" t="s">
        <v>182</v>
      </c>
      <c r="N1342" t="s">
        <v>40</v>
      </c>
      <c r="O1342">
        <v>192073</v>
      </c>
      <c r="P1342">
        <v>1</v>
      </c>
      <c r="Q1342" t="s">
        <v>34</v>
      </c>
      <c r="R1342" s="1">
        <v>44613</v>
      </c>
      <c r="S1342" t="s">
        <v>34</v>
      </c>
      <c r="T1342">
        <v>0</v>
      </c>
      <c r="U1342">
        <v>0</v>
      </c>
      <c r="V1342">
        <v>0</v>
      </c>
      <c r="W1342">
        <v>0</v>
      </c>
      <c r="X1342" t="s">
        <v>11022</v>
      </c>
      <c r="Y1342" t="s">
        <v>11022</v>
      </c>
      <c r="Z1342" t="str">
        <f>_xlfn.XLOOKUP(Employees[[#This Row],[Education]], EdLevel[EducationLevelID], EdLevel[EducationLevel])</f>
        <v xml:space="preserve">Bachelors </v>
      </c>
      <c r="AA1342">
        <f>IF(Employees[[#This Row],[Attrition]] = "Yes", 1, 0)</f>
        <v>0</v>
      </c>
      <c r="AB1342" t="str" cm="1">
        <f t="array" ref="AB1342">_xlfn.IFS(Employees[[#This Row],[Age]]&lt;30, "20-29", Employees[[#This Row],[Age]]&lt;40, "30-39", Employees[[#This Row],[Age]]&lt;50, "40-49", "TRUE", "50+")</f>
        <v>20-29</v>
      </c>
    </row>
    <row r="1343" spans="1:28">
      <c r="A1343" t="s">
        <v>3937</v>
      </c>
      <c r="B1343" t="s">
        <v>3938</v>
      </c>
      <c r="C1343" t="s">
        <v>3939</v>
      </c>
      <c r="D1343" t="s">
        <v>38</v>
      </c>
      <c r="E1343">
        <v>21</v>
      </c>
      <c r="F1343" t="s">
        <v>27</v>
      </c>
      <c r="G1343" t="s">
        <v>54</v>
      </c>
      <c r="H1343">
        <v>24</v>
      </c>
      <c r="I1343" t="s">
        <v>39</v>
      </c>
      <c r="J1343" t="s">
        <v>30</v>
      </c>
      <c r="K1343">
        <v>2</v>
      </c>
      <c r="L1343" t="s">
        <v>72</v>
      </c>
      <c r="M1343" t="s">
        <v>85</v>
      </c>
      <c r="N1343" t="s">
        <v>49</v>
      </c>
      <c r="O1343">
        <v>34024</v>
      </c>
      <c r="P1343">
        <v>2</v>
      </c>
      <c r="Q1343" t="s">
        <v>34</v>
      </c>
      <c r="R1343" s="1">
        <v>44616</v>
      </c>
      <c r="S1343" t="s">
        <v>34</v>
      </c>
      <c r="T1343">
        <v>0</v>
      </c>
      <c r="U1343">
        <v>0</v>
      </c>
      <c r="V1343">
        <v>0</v>
      </c>
      <c r="W1343">
        <v>0</v>
      </c>
      <c r="X1343" t="s">
        <v>11021</v>
      </c>
      <c r="Y1343" t="s">
        <v>11021</v>
      </c>
      <c r="Z1343" t="str">
        <f>_xlfn.XLOOKUP(Employees[[#This Row],[Education]], EdLevel[EducationLevelID], EdLevel[EducationLevel])</f>
        <v xml:space="preserve">High School </v>
      </c>
      <c r="AA1343">
        <f>IF(Employees[[#This Row],[Attrition]] = "Yes", 1, 0)</f>
        <v>0</v>
      </c>
      <c r="AB1343" t="str" cm="1">
        <f t="array" ref="AB1343">_xlfn.IFS(Employees[[#This Row],[Age]]&lt;30, "20-29", Employees[[#This Row],[Age]]&lt;40, "30-39", Employees[[#This Row],[Age]]&lt;50, "40-49", "TRUE", "50+")</f>
        <v>20-29</v>
      </c>
    </row>
    <row r="1344" spans="1:28">
      <c r="A1344" t="s">
        <v>3940</v>
      </c>
      <c r="B1344" t="s">
        <v>3941</v>
      </c>
      <c r="C1344" t="s">
        <v>3942</v>
      </c>
      <c r="D1344" t="s">
        <v>38</v>
      </c>
      <c r="E1344">
        <v>21</v>
      </c>
      <c r="F1344" t="s">
        <v>70</v>
      </c>
      <c r="G1344" t="s">
        <v>54</v>
      </c>
      <c r="H1344">
        <v>20</v>
      </c>
      <c r="I1344" t="s">
        <v>39</v>
      </c>
      <c r="J1344" t="s">
        <v>30</v>
      </c>
      <c r="K1344">
        <v>3</v>
      </c>
      <c r="L1344" t="s">
        <v>72</v>
      </c>
      <c r="M1344" t="s">
        <v>85</v>
      </c>
      <c r="N1344" t="s">
        <v>40</v>
      </c>
      <c r="O1344">
        <v>21454</v>
      </c>
      <c r="P1344">
        <v>0</v>
      </c>
      <c r="Q1344" t="s">
        <v>34</v>
      </c>
      <c r="R1344" s="1">
        <v>44619</v>
      </c>
      <c r="S1344" t="s">
        <v>34</v>
      </c>
      <c r="T1344">
        <v>0</v>
      </c>
      <c r="U1344">
        <v>0</v>
      </c>
      <c r="V1344">
        <v>0</v>
      </c>
      <c r="W1344">
        <v>0</v>
      </c>
      <c r="X1344" t="s">
        <v>11022</v>
      </c>
      <c r="Y1344" t="s">
        <v>11022</v>
      </c>
      <c r="Z1344" t="str">
        <f>_xlfn.XLOOKUP(Employees[[#This Row],[Education]], EdLevel[EducationLevelID], EdLevel[EducationLevel])</f>
        <v xml:space="preserve">Bachelors </v>
      </c>
      <c r="AA1344">
        <f>IF(Employees[[#This Row],[Attrition]] = "Yes", 1, 0)</f>
        <v>0</v>
      </c>
      <c r="AB1344" t="str" cm="1">
        <f t="array" ref="AB1344">_xlfn.IFS(Employees[[#This Row],[Age]]&lt;30, "20-29", Employees[[#This Row],[Age]]&lt;40, "30-39", Employees[[#This Row],[Age]]&lt;50, "40-49", "TRUE", "50+")</f>
        <v>20-29</v>
      </c>
    </row>
    <row r="1345" spans="1:28">
      <c r="A1345" t="s">
        <v>3943</v>
      </c>
      <c r="B1345" t="s">
        <v>2495</v>
      </c>
      <c r="C1345" t="s">
        <v>3944</v>
      </c>
      <c r="D1345" t="s">
        <v>38</v>
      </c>
      <c r="E1345">
        <v>18</v>
      </c>
      <c r="F1345" t="s">
        <v>27</v>
      </c>
      <c r="G1345" t="s">
        <v>54</v>
      </c>
      <c r="H1345">
        <v>21</v>
      </c>
      <c r="I1345" t="s">
        <v>39</v>
      </c>
      <c r="J1345" t="s">
        <v>30</v>
      </c>
      <c r="K1345">
        <v>3</v>
      </c>
      <c r="L1345" t="s">
        <v>55</v>
      </c>
      <c r="M1345" t="s">
        <v>101</v>
      </c>
      <c r="N1345" t="s">
        <v>49</v>
      </c>
      <c r="O1345">
        <v>42946</v>
      </c>
      <c r="P1345">
        <v>0</v>
      </c>
      <c r="Q1345" t="s">
        <v>34</v>
      </c>
      <c r="R1345" s="1">
        <v>44622</v>
      </c>
      <c r="S1345" t="s">
        <v>34</v>
      </c>
      <c r="T1345">
        <v>0</v>
      </c>
      <c r="U1345">
        <v>0</v>
      </c>
      <c r="V1345">
        <v>0</v>
      </c>
      <c r="W1345">
        <v>0</v>
      </c>
      <c r="X1345" t="s">
        <v>11022</v>
      </c>
      <c r="Y1345" t="s">
        <v>11022</v>
      </c>
      <c r="Z1345" t="str">
        <f>_xlfn.XLOOKUP(Employees[[#This Row],[Education]], EdLevel[EducationLevelID], EdLevel[EducationLevel])</f>
        <v xml:space="preserve">Bachelors </v>
      </c>
      <c r="AA1345">
        <f>IF(Employees[[#This Row],[Attrition]] = "Yes", 1, 0)</f>
        <v>0</v>
      </c>
      <c r="AB1345" t="str" cm="1">
        <f t="array" ref="AB1345">_xlfn.IFS(Employees[[#This Row],[Age]]&lt;30, "20-29", Employees[[#This Row],[Age]]&lt;40, "30-39", Employees[[#This Row],[Age]]&lt;50, "40-49", "TRUE", "50+")</f>
        <v>20-29</v>
      </c>
    </row>
    <row r="1346" spans="1:28">
      <c r="A1346" t="s">
        <v>3945</v>
      </c>
      <c r="B1346" t="s">
        <v>3946</v>
      </c>
      <c r="C1346" t="s">
        <v>3947</v>
      </c>
      <c r="D1346" t="s">
        <v>38</v>
      </c>
      <c r="E1346">
        <v>29</v>
      </c>
      <c r="F1346" t="s">
        <v>27</v>
      </c>
      <c r="G1346" t="s">
        <v>28</v>
      </c>
      <c r="H1346">
        <v>18</v>
      </c>
      <c r="I1346" t="s">
        <v>29</v>
      </c>
      <c r="J1346" t="s">
        <v>30</v>
      </c>
      <c r="K1346">
        <v>2</v>
      </c>
      <c r="L1346" t="s">
        <v>121</v>
      </c>
      <c r="M1346" t="s">
        <v>32</v>
      </c>
      <c r="N1346" t="s">
        <v>40</v>
      </c>
      <c r="O1346">
        <v>225330</v>
      </c>
      <c r="P1346">
        <v>0</v>
      </c>
      <c r="Q1346" t="s">
        <v>34</v>
      </c>
      <c r="R1346" s="1">
        <v>44622</v>
      </c>
      <c r="S1346" t="s">
        <v>41</v>
      </c>
      <c r="T1346">
        <v>0</v>
      </c>
      <c r="U1346">
        <v>0</v>
      </c>
      <c r="V1346">
        <v>0</v>
      </c>
      <c r="W1346">
        <v>0</v>
      </c>
      <c r="X1346" t="s">
        <v>11021</v>
      </c>
      <c r="Y1346" t="s">
        <v>11021</v>
      </c>
      <c r="Z1346" t="str">
        <f>_xlfn.XLOOKUP(Employees[[#This Row],[Education]], EdLevel[EducationLevelID], EdLevel[EducationLevel])</f>
        <v xml:space="preserve">High School </v>
      </c>
      <c r="AA1346">
        <f>IF(Employees[[#This Row],[Attrition]] = "Yes", 1, 0)</f>
        <v>1</v>
      </c>
      <c r="AB1346" t="str" cm="1">
        <f t="array" ref="AB1346">_xlfn.IFS(Employees[[#This Row],[Age]]&lt;30, "20-29", Employees[[#This Row],[Age]]&lt;40, "30-39", Employees[[#This Row],[Age]]&lt;50, "40-49", "TRUE", "50+")</f>
        <v>20-29</v>
      </c>
    </row>
    <row r="1347" spans="1:28">
      <c r="A1347" t="s">
        <v>3948</v>
      </c>
      <c r="B1347" t="s">
        <v>3949</v>
      </c>
      <c r="C1347" t="s">
        <v>3950</v>
      </c>
      <c r="D1347" t="s">
        <v>38</v>
      </c>
      <c r="E1347">
        <v>18</v>
      </c>
      <c r="F1347" t="s">
        <v>70</v>
      </c>
      <c r="G1347" t="s">
        <v>54</v>
      </c>
      <c r="H1347">
        <v>4</v>
      </c>
      <c r="I1347" t="s">
        <v>39</v>
      </c>
      <c r="J1347" t="s">
        <v>30</v>
      </c>
      <c r="K1347">
        <v>3</v>
      </c>
      <c r="L1347" t="s">
        <v>72</v>
      </c>
      <c r="M1347" t="s">
        <v>101</v>
      </c>
      <c r="N1347" t="s">
        <v>40</v>
      </c>
      <c r="O1347">
        <v>32191</v>
      </c>
      <c r="P1347">
        <v>1</v>
      </c>
      <c r="Q1347" t="s">
        <v>34</v>
      </c>
      <c r="R1347" s="1">
        <v>44627</v>
      </c>
      <c r="S1347" t="s">
        <v>34</v>
      </c>
      <c r="T1347">
        <v>0</v>
      </c>
      <c r="U1347">
        <v>0</v>
      </c>
      <c r="V1347">
        <v>0</v>
      </c>
      <c r="W1347">
        <v>0</v>
      </c>
      <c r="X1347" t="s">
        <v>11022</v>
      </c>
      <c r="Y1347" t="s">
        <v>11022</v>
      </c>
      <c r="Z1347" t="str">
        <f>_xlfn.XLOOKUP(Employees[[#This Row],[Education]], EdLevel[EducationLevelID], EdLevel[EducationLevel])</f>
        <v xml:space="preserve">Bachelors </v>
      </c>
      <c r="AA1347">
        <f>IF(Employees[[#This Row],[Attrition]] = "Yes", 1, 0)</f>
        <v>0</v>
      </c>
      <c r="AB1347" t="str" cm="1">
        <f t="array" ref="AB1347">_xlfn.IFS(Employees[[#This Row],[Age]]&lt;30, "20-29", Employees[[#This Row],[Age]]&lt;40, "30-39", Employees[[#This Row],[Age]]&lt;50, "40-49", "TRUE", "50+")</f>
        <v>20-29</v>
      </c>
    </row>
    <row r="1348" spans="1:28">
      <c r="A1348" t="s">
        <v>3951</v>
      </c>
      <c r="B1348" t="s">
        <v>3952</v>
      </c>
      <c r="C1348" t="s">
        <v>3953</v>
      </c>
      <c r="D1348" t="s">
        <v>38</v>
      </c>
      <c r="E1348">
        <v>20</v>
      </c>
      <c r="F1348" t="s">
        <v>27</v>
      </c>
      <c r="G1348" t="s">
        <v>54</v>
      </c>
      <c r="H1348">
        <v>29</v>
      </c>
      <c r="I1348" t="s">
        <v>39</v>
      </c>
      <c r="J1348" t="s">
        <v>30</v>
      </c>
      <c r="K1348">
        <v>1</v>
      </c>
      <c r="L1348" t="s">
        <v>55</v>
      </c>
      <c r="M1348" t="s">
        <v>85</v>
      </c>
      <c r="N1348" t="s">
        <v>49</v>
      </c>
      <c r="O1348">
        <v>20526</v>
      </c>
      <c r="P1348">
        <v>1</v>
      </c>
      <c r="Q1348" t="s">
        <v>34</v>
      </c>
      <c r="R1348" s="1">
        <v>44628</v>
      </c>
      <c r="S1348" t="s">
        <v>34</v>
      </c>
      <c r="T1348">
        <v>0</v>
      </c>
      <c r="U1348">
        <v>0</v>
      </c>
      <c r="V1348">
        <v>0</v>
      </c>
      <c r="W1348">
        <v>0</v>
      </c>
      <c r="X1348" t="s">
        <v>11020</v>
      </c>
      <c r="Y1348" t="s">
        <v>11020</v>
      </c>
      <c r="Z1348" t="str">
        <f>_xlfn.XLOOKUP(Employees[[#This Row],[Education]], EdLevel[EducationLevelID], EdLevel[EducationLevel])</f>
        <v>No Formal Qualifications</v>
      </c>
      <c r="AA1348">
        <f>IF(Employees[[#This Row],[Attrition]] = "Yes", 1, 0)</f>
        <v>0</v>
      </c>
      <c r="AB1348" t="str" cm="1">
        <f t="array" ref="AB1348">_xlfn.IFS(Employees[[#This Row],[Age]]&lt;30, "20-29", Employees[[#This Row],[Age]]&lt;40, "30-39", Employees[[#This Row],[Age]]&lt;50, "40-49", "TRUE", "50+")</f>
        <v>20-29</v>
      </c>
    </row>
    <row r="1349" spans="1:28">
      <c r="A1349" t="s">
        <v>3954</v>
      </c>
      <c r="B1349" t="s">
        <v>3955</v>
      </c>
      <c r="C1349" t="s">
        <v>3956</v>
      </c>
      <c r="D1349" t="s">
        <v>38</v>
      </c>
      <c r="E1349">
        <v>49</v>
      </c>
      <c r="F1349" t="s">
        <v>84</v>
      </c>
      <c r="G1349" t="s">
        <v>54</v>
      </c>
      <c r="H1349">
        <v>43</v>
      </c>
      <c r="I1349" t="s">
        <v>39</v>
      </c>
      <c r="J1349" t="s">
        <v>30</v>
      </c>
      <c r="K1349">
        <v>3</v>
      </c>
      <c r="L1349" t="s">
        <v>55</v>
      </c>
      <c r="M1349" t="s">
        <v>182</v>
      </c>
      <c r="N1349" t="s">
        <v>33</v>
      </c>
      <c r="O1349">
        <v>368010</v>
      </c>
      <c r="P1349">
        <v>1</v>
      </c>
      <c r="Q1349" t="s">
        <v>34</v>
      </c>
      <c r="R1349" s="1">
        <v>44633</v>
      </c>
      <c r="S1349" t="s">
        <v>34</v>
      </c>
      <c r="T1349">
        <v>0</v>
      </c>
      <c r="U1349">
        <v>0</v>
      </c>
      <c r="V1349">
        <v>0</v>
      </c>
      <c r="W1349">
        <v>0</v>
      </c>
      <c r="X1349" t="s">
        <v>11022</v>
      </c>
      <c r="Y1349" t="s">
        <v>11022</v>
      </c>
      <c r="Z1349" t="str">
        <f>_xlfn.XLOOKUP(Employees[[#This Row],[Education]], EdLevel[EducationLevelID], EdLevel[EducationLevel])</f>
        <v xml:space="preserve">Bachelors </v>
      </c>
      <c r="AA1349">
        <f>IF(Employees[[#This Row],[Attrition]] = "Yes", 1, 0)</f>
        <v>0</v>
      </c>
      <c r="AB1349" t="str" cm="1">
        <f t="array" ref="AB1349">_xlfn.IFS(Employees[[#This Row],[Age]]&lt;30, "20-29", Employees[[#This Row],[Age]]&lt;40, "30-39", Employees[[#This Row],[Age]]&lt;50, "40-49", "TRUE", "50+")</f>
        <v>40-49</v>
      </c>
    </row>
    <row r="1350" spans="1:28">
      <c r="A1350" t="s">
        <v>3957</v>
      </c>
      <c r="B1350" t="s">
        <v>3958</v>
      </c>
      <c r="C1350" t="s">
        <v>3959</v>
      </c>
      <c r="D1350" t="s">
        <v>26</v>
      </c>
      <c r="E1350">
        <v>19</v>
      </c>
      <c r="F1350" t="s">
        <v>27</v>
      </c>
      <c r="G1350" t="s">
        <v>28</v>
      </c>
      <c r="H1350">
        <v>9</v>
      </c>
      <c r="I1350" t="s">
        <v>39</v>
      </c>
      <c r="J1350" t="s">
        <v>30</v>
      </c>
      <c r="K1350">
        <v>3</v>
      </c>
      <c r="L1350" t="s">
        <v>31</v>
      </c>
      <c r="M1350" t="s">
        <v>150</v>
      </c>
      <c r="N1350" t="s">
        <v>40</v>
      </c>
      <c r="O1350">
        <v>21506</v>
      </c>
      <c r="P1350">
        <v>2</v>
      </c>
      <c r="Q1350" t="s">
        <v>34</v>
      </c>
      <c r="R1350" s="1">
        <v>44634</v>
      </c>
      <c r="S1350" t="s">
        <v>34</v>
      </c>
      <c r="T1350">
        <v>0</v>
      </c>
      <c r="U1350">
        <v>0</v>
      </c>
      <c r="V1350">
        <v>0</v>
      </c>
      <c r="W1350">
        <v>0</v>
      </c>
      <c r="X1350" t="s">
        <v>11022</v>
      </c>
      <c r="Y1350" t="s">
        <v>11022</v>
      </c>
      <c r="Z1350" t="str">
        <f>_xlfn.XLOOKUP(Employees[[#This Row],[Education]], EdLevel[EducationLevelID], EdLevel[EducationLevel])</f>
        <v xml:space="preserve">Bachelors </v>
      </c>
      <c r="AA1350">
        <f>IF(Employees[[#This Row],[Attrition]] = "Yes", 1, 0)</f>
        <v>0</v>
      </c>
      <c r="AB1350" t="str" cm="1">
        <f t="array" ref="AB1350">_xlfn.IFS(Employees[[#This Row],[Age]]&lt;30, "20-29", Employees[[#This Row],[Age]]&lt;40, "30-39", Employees[[#This Row],[Age]]&lt;50, "40-49", "TRUE", "50+")</f>
        <v>20-29</v>
      </c>
    </row>
    <row r="1351" spans="1:28">
      <c r="A1351" t="s">
        <v>3960</v>
      </c>
      <c r="B1351" t="s">
        <v>3961</v>
      </c>
      <c r="C1351" t="s">
        <v>3962</v>
      </c>
      <c r="D1351" t="s">
        <v>38</v>
      </c>
      <c r="E1351">
        <v>21</v>
      </c>
      <c r="F1351" t="s">
        <v>70</v>
      </c>
      <c r="G1351" t="s">
        <v>28</v>
      </c>
      <c r="H1351">
        <v>22</v>
      </c>
      <c r="I1351" t="s">
        <v>39</v>
      </c>
      <c r="J1351" t="s">
        <v>30</v>
      </c>
      <c r="K1351">
        <v>3</v>
      </c>
      <c r="L1351" t="s">
        <v>47</v>
      </c>
      <c r="M1351" t="s">
        <v>32</v>
      </c>
      <c r="N1351" t="s">
        <v>33</v>
      </c>
      <c r="O1351">
        <v>62828</v>
      </c>
      <c r="P1351">
        <v>1</v>
      </c>
      <c r="Q1351" t="s">
        <v>41</v>
      </c>
      <c r="R1351" s="1">
        <v>44634</v>
      </c>
      <c r="S1351" t="s">
        <v>34</v>
      </c>
      <c r="T1351">
        <v>0</v>
      </c>
      <c r="U1351">
        <v>0</v>
      </c>
      <c r="V1351">
        <v>0</v>
      </c>
      <c r="W1351">
        <v>0</v>
      </c>
      <c r="X1351" t="s">
        <v>11022</v>
      </c>
      <c r="Y1351" t="s">
        <v>11022</v>
      </c>
      <c r="Z1351" t="str">
        <f>_xlfn.XLOOKUP(Employees[[#This Row],[Education]], EdLevel[EducationLevelID], EdLevel[EducationLevel])</f>
        <v xml:space="preserve">Bachelors </v>
      </c>
      <c r="AA1351">
        <f>IF(Employees[[#This Row],[Attrition]] = "Yes", 1, 0)</f>
        <v>0</v>
      </c>
      <c r="AB1351" t="str" cm="1">
        <f t="array" ref="AB1351">_xlfn.IFS(Employees[[#This Row],[Age]]&lt;30, "20-29", Employees[[#This Row],[Age]]&lt;40, "30-39", Employees[[#This Row],[Age]]&lt;50, "40-49", "TRUE", "50+")</f>
        <v>20-29</v>
      </c>
    </row>
    <row r="1352" spans="1:28">
      <c r="A1352" t="s">
        <v>3963</v>
      </c>
      <c r="B1352" t="s">
        <v>3964</v>
      </c>
      <c r="C1352" t="s">
        <v>3965</v>
      </c>
      <c r="D1352" t="s">
        <v>38</v>
      </c>
      <c r="E1352">
        <v>19</v>
      </c>
      <c r="F1352" t="s">
        <v>70</v>
      </c>
      <c r="G1352" t="s">
        <v>54</v>
      </c>
      <c r="H1352">
        <v>9</v>
      </c>
      <c r="I1352" t="s">
        <v>39</v>
      </c>
      <c r="J1352" t="s">
        <v>30</v>
      </c>
      <c r="K1352">
        <v>3</v>
      </c>
      <c r="L1352" t="s">
        <v>72</v>
      </c>
      <c r="M1352" t="s">
        <v>101</v>
      </c>
      <c r="N1352" t="s">
        <v>40</v>
      </c>
      <c r="O1352">
        <v>29798</v>
      </c>
      <c r="P1352">
        <v>0</v>
      </c>
      <c r="Q1352" t="s">
        <v>41</v>
      </c>
      <c r="R1352" s="1">
        <v>44639</v>
      </c>
      <c r="S1352" t="s">
        <v>41</v>
      </c>
      <c r="T1352">
        <v>0</v>
      </c>
      <c r="U1352">
        <v>0</v>
      </c>
      <c r="V1352">
        <v>0</v>
      </c>
      <c r="W1352">
        <v>0</v>
      </c>
      <c r="X1352" t="s">
        <v>11022</v>
      </c>
      <c r="Y1352" t="s">
        <v>11022</v>
      </c>
      <c r="Z1352" t="str">
        <f>_xlfn.XLOOKUP(Employees[[#This Row],[Education]], EdLevel[EducationLevelID], EdLevel[EducationLevel])</f>
        <v xml:space="preserve">Bachelors </v>
      </c>
      <c r="AA1352">
        <f>IF(Employees[[#This Row],[Attrition]] = "Yes", 1, 0)</f>
        <v>1</v>
      </c>
      <c r="AB1352" t="str" cm="1">
        <f t="array" ref="AB1352">_xlfn.IFS(Employees[[#This Row],[Age]]&lt;30, "20-29", Employees[[#This Row],[Age]]&lt;40, "30-39", Employees[[#This Row],[Age]]&lt;50, "40-49", "TRUE", "50+")</f>
        <v>20-29</v>
      </c>
    </row>
    <row r="1353" spans="1:28">
      <c r="A1353" t="s">
        <v>3966</v>
      </c>
      <c r="B1353" t="s">
        <v>3967</v>
      </c>
      <c r="C1353" t="s">
        <v>3968</v>
      </c>
      <c r="D1353" t="s">
        <v>38</v>
      </c>
      <c r="E1353">
        <v>18</v>
      </c>
      <c r="F1353" t="s">
        <v>27</v>
      </c>
      <c r="G1353" t="s">
        <v>54</v>
      </c>
      <c r="H1353">
        <v>35</v>
      </c>
      <c r="I1353" t="s">
        <v>39</v>
      </c>
      <c r="J1353" t="s">
        <v>30</v>
      </c>
      <c r="K1353">
        <v>5</v>
      </c>
      <c r="L1353" t="s">
        <v>77</v>
      </c>
      <c r="M1353" t="s">
        <v>85</v>
      </c>
      <c r="N1353" t="s">
        <v>40</v>
      </c>
      <c r="O1353">
        <v>36353</v>
      </c>
      <c r="P1353">
        <v>0</v>
      </c>
      <c r="Q1353" t="s">
        <v>34</v>
      </c>
      <c r="R1353" s="1">
        <v>44640</v>
      </c>
      <c r="S1353" t="s">
        <v>34</v>
      </c>
      <c r="T1353">
        <v>0</v>
      </c>
      <c r="U1353">
        <v>0</v>
      </c>
      <c r="V1353">
        <v>0</v>
      </c>
      <c r="W1353">
        <v>0</v>
      </c>
      <c r="X1353" t="s">
        <v>11024</v>
      </c>
      <c r="Y1353" t="s">
        <v>11024</v>
      </c>
      <c r="Z1353" t="str">
        <f>_xlfn.XLOOKUP(Employees[[#This Row],[Education]], EdLevel[EducationLevelID], EdLevel[EducationLevel])</f>
        <v>Doctorate</v>
      </c>
      <c r="AA1353">
        <f>IF(Employees[[#This Row],[Attrition]] = "Yes", 1, 0)</f>
        <v>0</v>
      </c>
      <c r="AB1353" t="str" cm="1">
        <f t="array" ref="AB1353">_xlfn.IFS(Employees[[#This Row],[Age]]&lt;30, "20-29", Employees[[#This Row],[Age]]&lt;40, "30-39", Employees[[#This Row],[Age]]&lt;50, "40-49", "TRUE", "50+")</f>
        <v>20-29</v>
      </c>
    </row>
    <row r="1354" spans="1:28">
      <c r="A1354" t="s">
        <v>3969</v>
      </c>
      <c r="B1354" t="s">
        <v>3970</v>
      </c>
      <c r="C1354" t="s">
        <v>3971</v>
      </c>
      <c r="D1354" t="s">
        <v>26</v>
      </c>
      <c r="E1354">
        <v>18</v>
      </c>
      <c r="F1354" t="s">
        <v>70</v>
      </c>
      <c r="G1354" t="s">
        <v>28</v>
      </c>
      <c r="H1354">
        <v>34</v>
      </c>
      <c r="I1354" t="s">
        <v>29</v>
      </c>
      <c r="J1354" t="s">
        <v>30</v>
      </c>
      <c r="K1354">
        <v>3</v>
      </c>
      <c r="L1354" t="s">
        <v>31</v>
      </c>
      <c r="M1354" t="s">
        <v>32</v>
      </c>
      <c r="N1354" t="s">
        <v>40</v>
      </c>
      <c r="O1354">
        <v>49100</v>
      </c>
      <c r="P1354">
        <v>0</v>
      </c>
      <c r="Q1354" t="s">
        <v>34</v>
      </c>
      <c r="R1354" s="1">
        <v>44641</v>
      </c>
      <c r="S1354" t="s">
        <v>34</v>
      </c>
      <c r="T1354">
        <v>0</v>
      </c>
      <c r="U1354">
        <v>0</v>
      </c>
      <c r="V1354">
        <v>0</v>
      </c>
      <c r="W1354">
        <v>0</v>
      </c>
      <c r="X1354" t="s">
        <v>11022</v>
      </c>
      <c r="Y1354" t="s">
        <v>11022</v>
      </c>
      <c r="Z1354" t="str">
        <f>_xlfn.XLOOKUP(Employees[[#This Row],[Education]], EdLevel[EducationLevelID], EdLevel[EducationLevel])</f>
        <v xml:space="preserve">Bachelors </v>
      </c>
      <c r="AA1354">
        <f>IF(Employees[[#This Row],[Attrition]] = "Yes", 1, 0)</f>
        <v>0</v>
      </c>
      <c r="AB1354" t="str" cm="1">
        <f t="array" ref="AB1354">_xlfn.IFS(Employees[[#This Row],[Age]]&lt;30, "20-29", Employees[[#This Row],[Age]]&lt;40, "30-39", Employees[[#This Row],[Age]]&lt;50, "40-49", "TRUE", "50+")</f>
        <v>20-29</v>
      </c>
    </row>
    <row r="1355" spans="1:28">
      <c r="A1355" t="s">
        <v>3972</v>
      </c>
      <c r="B1355" t="s">
        <v>3973</v>
      </c>
      <c r="C1355" t="s">
        <v>379</v>
      </c>
      <c r="D1355" t="s">
        <v>53</v>
      </c>
      <c r="E1355">
        <v>18</v>
      </c>
      <c r="F1355" t="s">
        <v>27</v>
      </c>
      <c r="G1355" t="s">
        <v>28</v>
      </c>
      <c r="H1355">
        <v>4</v>
      </c>
      <c r="I1355" t="s">
        <v>65</v>
      </c>
      <c r="J1355" t="s">
        <v>30</v>
      </c>
      <c r="K1355">
        <v>4</v>
      </c>
      <c r="L1355" t="s">
        <v>47</v>
      </c>
      <c r="M1355" t="s">
        <v>32</v>
      </c>
      <c r="N1355" t="s">
        <v>40</v>
      </c>
      <c r="O1355">
        <v>74515</v>
      </c>
      <c r="P1355">
        <v>3</v>
      </c>
      <c r="Q1355" t="s">
        <v>41</v>
      </c>
      <c r="R1355" s="1">
        <v>44643</v>
      </c>
      <c r="S1355" t="s">
        <v>34</v>
      </c>
      <c r="T1355">
        <v>0</v>
      </c>
      <c r="U1355">
        <v>0</v>
      </c>
      <c r="V1355">
        <v>0</v>
      </c>
      <c r="W1355">
        <v>0</v>
      </c>
      <c r="X1355" t="s">
        <v>11023</v>
      </c>
      <c r="Y1355" t="s">
        <v>11023</v>
      </c>
      <c r="Z1355" t="str">
        <f>_xlfn.XLOOKUP(Employees[[#This Row],[Education]], EdLevel[EducationLevelID], EdLevel[EducationLevel])</f>
        <v xml:space="preserve">Masters </v>
      </c>
      <c r="AA1355">
        <f>IF(Employees[[#This Row],[Attrition]] = "Yes", 1, 0)</f>
        <v>0</v>
      </c>
      <c r="AB1355" t="str" cm="1">
        <f t="array" ref="AB1355">_xlfn.IFS(Employees[[#This Row],[Age]]&lt;30, "20-29", Employees[[#This Row],[Age]]&lt;40, "30-39", Employees[[#This Row],[Age]]&lt;50, "40-49", "TRUE", "50+")</f>
        <v>20-29</v>
      </c>
    </row>
    <row r="1356" spans="1:28">
      <c r="A1356" t="s">
        <v>3974</v>
      </c>
      <c r="B1356" t="s">
        <v>3975</v>
      </c>
      <c r="C1356" t="s">
        <v>3976</v>
      </c>
      <c r="D1356" t="s">
        <v>38</v>
      </c>
      <c r="E1356">
        <v>18</v>
      </c>
      <c r="F1356" t="s">
        <v>27</v>
      </c>
      <c r="G1356" t="s">
        <v>28</v>
      </c>
      <c r="H1356">
        <v>37</v>
      </c>
      <c r="I1356" t="s">
        <v>39</v>
      </c>
      <c r="J1356" t="s">
        <v>30</v>
      </c>
      <c r="K1356">
        <v>4</v>
      </c>
      <c r="L1356" t="s">
        <v>47</v>
      </c>
      <c r="M1356" t="s">
        <v>150</v>
      </c>
      <c r="N1356" t="s">
        <v>40</v>
      </c>
      <c r="O1356">
        <v>32480</v>
      </c>
      <c r="P1356">
        <v>0</v>
      </c>
      <c r="Q1356" t="s">
        <v>34</v>
      </c>
      <c r="R1356" s="1">
        <v>44645</v>
      </c>
      <c r="S1356" t="s">
        <v>34</v>
      </c>
      <c r="T1356">
        <v>0</v>
      </c>
      <c r="U1356">
        <v>0</v>
      </c>
      <c r="V1356">
        <v>0</v>
      </c>
      <c r="W1356">
        <v>0</v>
      </c>
      <c r="X1356" t="s">
        <v>11023</v>
      </c>
      <c r="Y1356" t="s">
        <v>11023</v>
      </c>
      <c r="Z1356" t="str">
        <f>_xlfn.XLOOKUP(Employees[[#This Row],[Education]], EdLevel[EducationLevelID], EdLevel[EducationLevel])</f>
        <v xml:space="preserve">Masters </v>
      </c>
      <c r="AA1356">
        <f>IF(Employees[[#This Row],[Attrition]] = "Yes", 1, 0)</f>
        <v>0</v>
      </c>
      <c r="AB1356" t="str" cm="1">
        <f t="array" ref="AB1356">_xlfn.IFS(Employees[[#This Row],[Age]]&lt;30, "20-29", Employees[[#This Row],[Age]]&lt;40, "30-39", Employees[[#This Row],[Age]]&lt;50, "40-49", "TRUE", "50+")</f>
        <v>20-29</v>
      </c>
    </row>
    <row r="1357" spans="1:28">
      <c r="A1357" t="s">
        <v>3977</v>
      </c>
      <c r="B1357" t="s">
        <v>3978</v>
      </c>
      <c r="C1357" t="s">
        <v>3979</v>
      </c>
      <c r="D1357" t="s">
        <v>38</v>
      </c>
      <c r="E1357">
        <v>25</v>
      </c>
      <c r="F1357" t="s">
        <v>27</v>
      </c>
      <c r="G1357" t="s">
        <v>28</v>
      </c>
      <c r="H1357">
        <v>15</v>
      </c>
      <c r="I1357" t="s">
        <v>65</v>
      </c>
      <c r="J1357" t="s">
        <v>30</v>
      </c>
      <c r="K1357">
        <v>1</v>
      </c>
      <c r="L1357" t="s">
        <v>31</v>
      </c>
      <c r="M1357" t="s">
        <v>32</v>
      </c>
      <c r="N1357" t="s">
        <v>49</v>
      </c>
      <c r="O1357">
        <v>118961</v>
      </c>
      <c r="P1357">
        <v>1</v>
      </c>
      <c r="Q1357" t="s">
        <v>34</v>
      </c>
      <c r="R1357" s="1">
        <v>44658</v>
      </c>
      <c r="S1357" t="s">
        <v>34</v>
      </c>
      <c r="T1357">
        <v>0</v>
      </c>
      <c r="U1357">
        <v>0</v>
      </c>
      <c r="V1357">
        <v>0</v>
      </c>
      <c r="W1357">
        <v>0</v>
      </c>
      <c r="X1357" t="s">
        <v>11020</v>
      </c>
      <c r="Y1357" t="s">
        <v>11020</v>
      </c>
      <c r="Z1357" t="str">
        <f>_xlfn.XLOOKUP(Employees[[#This Row],[Education]], EdLevel[EducationLevelID], EdLevel[EducationLevel])</f>
        <v>No Formal Qualifications</v>
      </c>
      <c r="AA1357">
        <f>IF(Employees[[#This Row],[Attrition]] = "Yes", 1, 0)</f>
        <v>0</v>
      </c>
      <c r="AB1357" t="str" cm="1">
        <f t="array" ref="AB1357">_xlfn.IFS(Employees[[#This Row],[Age]]&lt;30, "20-29", Employees[[#This Row],[Age]]&lt;40, "30-39", Employees[[#This Row],[Age]]&lt;50, "40-49", "TRUE", "50+")</f>
        <v>20-29</v>
      </c>
    </row>
    <row r="1358" spans="1:28">
      <c r="A1358" t="s">
        <v>3980</v>
      </c>
      <c r="B1358" t="s">
        <v>3981</v>
      </c>
      <c r="C1358" t="s">
        <v>3982</v>
      </c>
      <c r="D1358" t="s">
        <v>38</v>
      </c>
      <c r="E1358">
        <v>21</v>
      </c>
      <c r="F1358" t="s">
        <v>27</v>
      </c>
      <c r="G1358" t="s">
        <v>54</v>
      </c>
      <c r="H1358">
        <v>36</v>
      </c>
      <c r="I1358" t="s">
        <v>39</v>
      </c>
      <c r="J1358" t="s">
        <v>30</v>
      </c>
      <c r="K1358">
        <v>2</v>
      </c>
      <c r="L1358" t="s">
        <v>55</v>
      </c>
      <c r="M1358" t="s">
        <v>101</v>
      </c>
      <c r="N1358" t="s">
        <v>40</v>
      </c>
      <c r="O1358">
        <v>36431</v>
      </c>
      <c r="P1358">
        <v>0</v>
      </c>
      <c r="Q1358" t="s">
        <v>34</v>
      </c>
      <c r="R1358" s="1">
        <v>44661</v>
      </c>
      <c r="S1358" t="s">
        <v>34</v>
      </c>
      <c r="T1358">
        <v>0</v>
      </c>
      <c r="U1358">
        <v>0</v>
      </c>
      <c r="V1358">
        <v>0</v>
      </c>
      <c r="W1358">
        <v>0</v>
      </c>
      <c r="X1358" t="s">
        <v>11021</v>
      </c>
      <c r="Y1358" t="s">
        <v>11021</v>
      </c>
      <c r="Z1358" t="str">
        <f>_xlfn.XLOOKUP(Employees[[#This Row],[Education]], EdLevel[EducationLevelID], EdLevel[EducationLevel])</f>
        <v xml:space="preserve">High School </v>
      </c>
      <c r="AA1358">
        <f>IF(Employees[[#This Row],[Attrition]] = "Yes", 1, 0)</f>
        <v>0</v>
      </c>
      <c r="AB1358" t="str" cm="1">
        <f t="array" ref="AB1358">_xlfn.IFS(Employees[[#This Row],[Age]]&lt;30, "20-29", Employees[[#This Row],[Age]]&lt;40, "30-39", Employees[[#This Row],[Age]]&lt;50, "40-49", "TRUE", "50+")</f>
        <v>20-29</v>
      </c>
    </row>
    <row r="1359" spans="1:28">
      <c r="A1359" t="s">
        <v>3983</v>
      </c>
      <c r="B1359" t="s">
        <v>3984</v>
      </c>
      <c r="C1359" t="s">
        <v>3985</v>
      </c>
      <c r="D1359" t="s">
        <v>38</v>
      </c>
      <c r="E1359">
        <v>39</v>
      </c>
      <c r="F1359" t="s">
        <v>84</v>
      </c>
      <c r="G1359" t="s">
        <v>54</v>
      </c>
      <c r="H1359">
        <v>29</v>
      </c>
      <c r="I1359" t="s">
        <v>65</v>
      </c>
      <c r="J1359" t="s">
        <v>30</v>
      </c>
      <c r="K1359">
        <v>3</v>
      </c>
      <c r="L1359" t="s">
        <v>77</v>
      </c>
      <c r="M1359" t="s">
        <v>56</v>
      </c>
      <c r="N1359" t="s">
        <v>33</v>
      </c>
      <c r="O1359">
        <v>273739</v>
      </c>
      <c r="P1359">
        <v>3</v>
      </c>
      <c r="Q1359" t="s">
        <v>41</v>
      </c>
      <c r="R1359" s="1">
        <v>44663</v>
      </c>
      <c r="S1359" t="s">
        <v>34</v>
      </c>
      <c r="T1359">
        <v>0</v>
      </c>
      <c r="U1359">
        <v>0</v>
      </c>
      <c r="V1359">
        <v>0</v>
      </c>
      <c r="W1359">
        <v>0</v>
      </c>
      <c r="X1359" t="s">
        <v>11022</v>
      </c>
      <c r="Y1359" t="s">
        <v>11022</v>
      </c>
      <c r="Z1359" t="str">
        <f>_xlfn.XLOOKUP(Employees[[#This Row],[Education]], EdLevel[EducationLevelID], EdLevel[EducationLevel])</f>
        <v xml:space="preserve">Bachelors </v>
      </c>
      <c r="AA1359">
        <f>IF(Employees[[#This Row],[Attrition]] = "Yes", 1, 0)</f>
        <v>0</v>
      </c>
      <c r="AB1359" t="str" cm="1">
        <f t="array" ref="AB1359">_xlfn.IFS(Employees[[#This Row],[Age]]&lt;30, "20-29", Employees[[#This Row],[Age]]&lt;40, "30-39", Employees[[#This Row],[Age]]&lt;50, "40-49", "TRUE", "50+")</f>
        <v>30-39</v>
      </c>
    </row>
    <row r="1360" spans="1:28">
      <c r="A1360" t="s">
        <v>3986</v>
      </c>
      <c r="B1360" t="s">
        <v>3987</v>
      </c>
      <c r="C1360" t="s">
        <v>3988</v>
      </c>
      <c r="D1360" t="s">
        <v>38</v>
      </c>
      <c r="E1360">
        <v>21</v>
      </c>
      <c r="F1360" t="s">
        <v>84</v>
      </c>
      <c r="G1360" t="s">
        <v>54</v>
      </c>
      <c r="H1360">
        <v>16</v>
      </c>
      <c r="I1360" t="s">
        <v>39</v>
      </c>
      <c r="J1360" t="s">
        <v>30</v>
      </c>
      <c r="K1360">
        <v>2</v>
      </c>
      <c r="L1360" t="s">
        <v>55</v>
      </c>
      <c r="M1360" t="s">
        <v>85</v>
      </c>
      <c r="N1360" t="s">
        <v>40</v>
      </c>
      <c r="O1360">
        <v>42569</v>
      </c>
      <c r="P1360">
        <v>0</v>
      </c>
      <c r="Q1360" t="s">
        <v>34</v>
      </c>
      <c r="R1360" s="1">
        <v>44664</v>
      </c>
      <c r="S1360" t="s">
        <v>41</v>
      </c>
      <c r="T1360">
        <v>0</v>
      </c>
      <c r="U1360">
        <v>0</v>
      </c>
      <c r="V1360">
        <v>0</v>
      </c>
      <c r="W1360">
        <v>0</v>
      </c>
      <c r="X1360" t="s">
        <v>11021</v>
      </c>
      <c r="Y1360" t="s">
        <v>11021</v>
      </c>
      <c r="Z1360" t="str">
        <f>_xlfn.XLOOKUP(Employees[[#This Row],[Education]], EdLevel[EducationLevelID], EdLevel[EducationLevel])</f>
        <v xml:space="preserve">High School </v>
      </c>
      <c r="AA1360">
        <f>IF(Employees[[#This Row],[Attrition]] = "Yes", 1, 0)</f>
        <v>1</v>
      </c>
      <c r="AB1360" t="str" cm="1">
        <f t="array" ref="AB1360">_xlfn.IFS(Employees[[#This Row],[Age]]&lt;30, "20-29", Employees[[#This Row],[Age]]&lt;40, "30-39", Employees[[#This Row],[Age]]&lt;50, "40-49", "TRUE", "50+")</f>
        <v>20-29</v>
      </c>
    </row>
    <row r="1361" spans="1:28">
      <c r="A1361" t="s">
        <v>3989</v>
      </c>
      <c r="B1361" t="s">
        <v>3990</v>
      </c>
      <c r="C1361" t="s">
        <v>3991</v>
      </c>
      <c r="D1361" t="s">
        <v>26</v>
      </c>
      <c r="E1361">
        <v>21</v>
      </c>
      <c r="F1361" t="s">
        <v>84</v>
      </c>
      <c r="G1361" t="s">
        <v>28</v>
      </c>
      <c r="H1361">
        <v>9</v>
      </c>
      <c r="I1361" t="s">
        <v>39</v>
      </c>
      <c r="J1361" t="s">
        <v>30</v>
      </c>
      <c r="K1361">
        <v>3</v>
      </c>
      <c r="L1361" t="s">
        <v>31</v>
      </c>
      <c r="M1361" t="s">
        <v>150</v>
      </c>
      <c r="N1361" t="s">
        <v>33</v>
      </c>
      <c r="O1361">
        <v>35770</v>
      </c>
      <c r="P1361">
        <v>1</v>
      </c>
      <c r="Q1361" t="s">
        <v>34</v>
      </c>
      <c r="R1361" s="1">
        <v>44665</v>
      </c>
      <c r="S1361" t="s">
        <v>34</v>
      </c>
      <c r="T1361">
        <v>0</v>
      </c>
      <c r="U1361">
        <v>0</v>
      </c>
      <c r="V1361">
        <v>0</v>
      </c>
      <c r="W1361">
        <v>0</v>
      </c>
      <c r="X1361" t="s">
        <v>11022</v>
      </c>
      <c r="Y1361" t="s">
        <v>11022</v>
      </c>
      <c r="Z1361" t="str">
        <f>_xlfn.XLOOKUP(Employees[[#This Row],[Education]], EdLevel[EducationLevelID], EdLevel[EducationLevel])</f>
        <v xml:space="preserve">Bachelors </v>
      </c>
      <c r="AA1361">
        <f>IF(Employees[[#This Row],[Attrition]] = "Yes", 1, 0)</f>
        <v>0</v>
      </c>
      <c r="AB1361" t="str" cm="1">
        <f t="array" ref="AB1361">_xlfn.IFS(Employees[[#This Row],[Age]]&lt;30, "20-29", Employees[[#This Row],[Age]]&lt;40, "30-39", Employees[[#This Row],[Age]]&lt;50, "40-49", "TRUE", "50+")</f>
        <v>20-29</v>
      </c>
    </row>
    <row r="1362" spans="1:28">
      <c r="A1362" t="s">
        <v>3992</v>
      </c>
      <c r="B1362" t="s">
        <v>3993</v>
      </c>
      <c r="C1362" t="s">
        <v>3994</v>
      </c>
      <c r="D1362" t="s">
        <v>38</v>
      </c>
      <c r="E1362">
        <v>21</v>
      </c>
      <c r="F1362" t="s">
        <v>27</v>
      </c>
      <c r="G1362" t="s">
        <v>54</v>
      </c>
      <c r="H1362">
        <v>42</v>
      </c>
      <c r="I1362" t="s">
        <v>65</v>
      </c>
      <c r="J1362" t="s">
        <v>30</v>
      </c>
      <c r="K1362">
        <v>3</v>
      </c>
      <c r="L1362" t="s">
        <v>55</v>
      </c>
      <c r="M1362" t="s">
        <v>101</v>
      </c>
      <c r="N1362" t="s">
        <v>33</v>
      </c>
      <c r="O1362">
        <v>34257</v>
      </c>
      <c r="P1362">
        <v>3</v>
      </c>
      <c r="Q1362" t="s">
        <v>34</v>
      </c>
      <c r="R1362" s="1">
        <v>44667</v>
      </c>
      <c r="S1362" t="s">
        <v>34</v>
      </c>
      <c r="T1362">
        <v>0</v>
      </c>
      <c r="U1362">
        <v>0</v>
      </c>
      <c r="V1362">
        <v>0</v>
      </c>
      <c r="W1362">
        <v>0</v>
      </c>
      <c r="X1362" t="s">
        <v>11022</v>
      </c>
      <c r="Y1362" t="s">
        <v>11022</v>
      </c>
      <c r="Z1362" t="str">
        <f>_xlfn.XLOOKUP(Employees[[#This Row],[Education]], EdLevel[EducationLevelID], EdLevel[EducationLevel])</f>
        <v xml:space="preserve">Bachelors </v>
      </c>
      <c r="AA1362">
        <f>IF(Employees[[#This Row],[Attrition]] = "Yes", 1, 0)</f>
        <v>0</v>
      </c>
      <c r="AB1362" t="str" cm="1">
        <f t="array" ref="AB1362">_xlfn.IFS(Employees[[#This Row],[Age]]&lt;30, "20-29", Employees[[#This Row],[Age]]&lt;40, "30-39", Employees[[#This Row],[Age]]&lt;50, "40-49", "TRUE", "50+")</f>
        <v>20-29</v>
      </c>
    </row>
    <row r="1363" spans="1:28">
      <c r="A1363" t="s">
        <v>3995</v>
      </c>
      <c r="B1363" t="s">
        <v>3996</v>
      </c>
      <c r="C1363" t="s">
        <v>3997</v>
      </c>
      <c r="D1363" t="s">
        <v>38</v>
      </c>
      <c r="E1363">
        <v>18</v>
      </c>
      <c r="F1363" t="s">
        <v>27</v>
      </c>
      <c r="G1363" t="s">
        <v>54</v>
      </c>
      <c r="H1363">
        <v>32</v>
      </c>
      <c r="I1363" t="s">
        <v>65</v>
      </c>
      <c r="J1363" t="s">
        <v>30</v>
      </c>
      <c r="K1363">
        <v>1</v>
      </c>
      <c r="L1363" t="s">
        <v>55</v>
      </c>
      <c r="M1363" t="s">
        <v>93</v>
      </c>
      <c r="N1363" t="s">
        <v>40</v>
      </c>
      <c r="O1363">
        <v>50660</v>
      </c>
      <c r="P1363">
        <v>1</v>
      </c>
      <c r="Q1363" t="s">
        <v>41</v>
      </c>
      <c r="R1363" s="1">
        <v>44668</v>
      </c>
      <c r="S1363" t="s">
        <v>41</v>
      </c>
      <c r="T1363">
        <v>0</v>
      </c>
      <c r="U1363">
        <v>0</v>
      </c>
      <c r="V1363">
        <v>0</v>
      </c>
      <c r="W1363">
        <v>0</v>
      </c>
      <c r="X1363" t="s">
        <v>11020</v>
      </c>
      <c r="Y1363" t="s">
        <v>11020</v>
      </c>
      <c r="Z1363" t="str">
        <f>_xlfn.XLOOKUP(Employees[[#This Row],[Education]], EdLevel[EducationLevelID], EdLevel[EducationLevel])</f>
        <v>No Formal Qualifications</v>
      </c>
      <c r="AA1363">
        <f>IF(Employees[[#This Row],[Attrition]] = "Yes", 1, 0)</f>
        <v>1</v>
      </c>
      <c r="AB1363" t="str" cm="1">
        <f t="array" ref="AB1363">_xlfn.IFS(Employees[[#This Row],[Age]]&lt;30, "20-29", Employees[[#This Row],[Age]]&lt;40, "30-39", Employees[[#This Row],[Age]]&lt;50, "40-49", "TRUE", "50+")</f>
        <v>20-29</v>
      </c>
    </row>
    <row r="1364" spans="1:28">
      <c r="A1364" t="s">
        <v>3998</v>
      </c>
      <c r="B1364" t="s">
        <v>285</v>
      </c>
      <c r="C1364" t="s">
        <v>3999</v>
      </c>
      <c r="D1364" t="s">
        <v>26</v>
      </c>
      <c r="E1364">
        <v>24</v>
      </c>
      <c r="F1364" t="s">
        <v>27</v>
      </c>
      <c r="G1364" t="s">
        <v>28</v>
      </c>
      <c r="H1364">
        <v>11</v>
      </c>
      <c r="I1364" t="s">
        <v>39</v>
      </c>
      <c r="J1364" t="s">
        <v>30</v>
      </c>
      <c r="K1364">
        <v>3</v>
      </c>
      <c r="L1364" t="s">
        <v>60</v>
      </c>
      <c r="M1364" t="s">
        <v>32</v>
      </c>
      <c r="N1364" t="s">
        <v>40</v>
      </c>
      <c r="O1364">
        <v>58923</v>
      </c>
      <c r="P1364">
        <v>0</v>
      </c>
      <c r="Q1364" t="s">
        <v>34</v>
      </c>
      <c r="R1364" s="1">
        <v>44670</v>
      </c>
      <c r="S1364" t="s">
        <v>34</v>
      </c>
      <c r="T1364">
        <v>0</v>
      </c>
      <c r="U1364">
        <v>0</v>
      </c>
      <c r="V1364">
        <v>0</v>
      </c>
      <c r="W1364">
        <v>0</v>
      </c>
      <c r="X1364" t="s">
        <v>11022</v>
      </c>
      <c r="Y1364" t="s">
        <v>11022</v>
      </c>
      <c r="Z1364" t="str">
        <f>_xlfn.XLOOKUP(Employees[[#This Row],[Education]], EdLevel[EducationLevelID], EdLevel[EducationLevel])</f>
        <v xml:space="preserve">Bachelors </v>
      </c>
      <c r="AA1364">
        <f>IF(Employees[[#This Row],[Attrition]] = "Yes", 1, 0)</f>
        <v>0</v>
      </c>
      <c r="AB1364" t="str" cm="1">
        <f t="array" ref="AB1364">_xlfn.IFS(Employees[[#This Row],[Age]]&lt;30, "20-29", Employees[[#This Row],[Age]]&lt;40, "30-39", Employees[[#This Row],[Age]]&lt;50, "40-49", "TRUE", "50+")</f>
        <v>20-29</v>
      </c>
    </row>
    <row r="1365" spans="1:28">
      <c r="A1365" t="s">
        <v>4000</v>
      </c>
      <c r="B1365" t="s">
        <v>4001</v>
      </c>
      <c r="C1365" t="s">
        <v>1715</v>
      </c>
      <c r="D1365" t="s">
        <v>53</v>
      </c>
      <c r="E1365">
        <v>19</v>
      </c>
      <c r="F1365" t="s">
        <v>84</v>
      </c>
      <c r="G1365" t="s">
        <v>54</v>
      </c>
      <c r="H1365">
        <v>15</v>
      </c>
      <c r="I1365" t="s">
        <v>39</v>
      </c>
      <c r="J1365" t="s">
        <v>30</v>
      </c>
      <c r="K1365">
        <v>4</v>
      </c>
      <c r="L1365" t="s">
        <v>178</v>
      </c>
      <c r="M1365" t="s">
        <v>101</v>
      </c>
      <c r="N1365" t="s">
        <v>40</v>
      </c>
      <c r="O1365">
        <v>77905</v>
      </c>
      <c r="P1365">
        <v>0</v>
      </c>
      <c r="Q1365" t="s">
        <v>34</v>
      </c>
      <c r="R1365" s="1">
        <v>44670</v>
      </c>
      <c r="S1365" t="s">
        <v>34</v>
      </c>
      <c r="T1365">
        <v>0</v>
      </c>
      <c r="U1365">
        <v>0</v>
      </c>
      <c r="V1365">
        <v>0</v>
      </c>
      <c r="W1365">
        <v>0</v>
      </c>
      <c r="X1365" t="s">
        <v>11023</v>
      </c>
      <c r="Y1365" t="s">
        <v>11023</v>
      </c>
      <c r="Z1365" t="str">
        <f>_xlfn.XLOOKUP(Employees[[#This Row],[Education]], EdLevel[EducationLevelID], EdLevel[EducationLevel])</f>
        <v xml:space="preserve">Masters </v>
      </c>
      <c r="AA1365">
        <f>IF(Employees[[#This Row],[Attrition]] = "Yes", 1, 0)</f>
        <v>0</v>
      </c>
      <c r="AB1365" t="str" cm="1">
        <f t="array" ref="AB1365">_xlfn.IFS(Employees[[#This Row],[Age]]&lt;30, "20-29", Employees[[#This Row],[Age]]&lt;40, "30-39", Employees[[#This Row],[Age]]&lt;50, "40-49", "TRUE", "50+")</f>
        <v>20-29</v>
      </c>
    </row>
    <row r="1366" spans="1:28">
      <c r="A1366" t="s">
        <v>4002</v>
      </c>
      <c r="B1366" t="s">
        <v>4003</v>
      </c>
      <c r="C1366" t="s">
        <v>4004</v>
      </c>
      <c r="D1366" t="s">
        <v>38</v>
      </c>
      <c r="E1366">
        <v>21</v>
      </c>
      <c r="F1366" t="s">
        <v>27</v>
      </c>
      <c r="G1366" t="s">
        <v>54</v>
      </c>
      <c r="H1366">
        <v>44</v>
      </c>
      <c r="I1366" t="s">
        <v>39</v>
      </c>
      <c r="J1366" t="s">
        <v>30</v>
      </c>
      <c r="K1366">
        <v>2</v>
      </c>
      <c r="L1366" t="s">
        <v>77</v>
      </c>
      <c r="M1366" t="s">
        <v>85</v>
      </c>
      <c r="N1366" t="s">
        <v>40</v>
      </c>
      <c r="O1366">
        <v>32676</v>
      </c>
      <c r="P1366">
        <v>0</v>
      </c>
      <c r="Q1366" t="s">
        <v>41</v>
      </c>
      <c r="R1366" s="1">
        <v>44671</v>
      </c>
      <c r="S1366" t="s">
        <v>41</v>
      </c>
      <c r="T1366">
        <v>0</v>
      </c>
      <c r="U1366">
        <v>0</v>
      </c>
      <c r="V1366">
        <v>0</v>
      </c>
      <c r="W1366">
        <v>0</v>
      </c>
      <c r="X1366" t="s">
        <v>11021</v>
      </c>
      <c r="Y1366" t="s">
        <v>11021</v>
      </c>
      <c r="Z1366" t="str">
        <f>_xlfn.XLOOKUP(Employees[[#This Row],[Education]], EdLevel[EducationLevelID], EdLevel[EducationLevel])</f>
        <v xml:space="preserve">High School </v>
      </c>
      <c r="AA1366">
        <f>IF(Employees[[#This Row],[Attrition]] = "Yes", 1, 0)</f>
        <v>1</v>
      </c>
      <c r="AB1366" t="str" cm="1">
        <f t="array" ref="AB1366">_xlfn.IFS(Employees[[#This Row],[Age]]&lt;30, "20-29", Employees[[#This Row],[Age]]&lt;40, "30-39", Employees[[#This Row],[Age]]&lt;50, "40-49", "TRUE", "50+")</f>
        <v>20-29</v>
      </c>
    </row>
    <row r="1367" spans="1:28">
      <c r="A1367" t="s">
        <v>4005</v>
      </c>
      <c r="B1367" t="s">
        <v>1515</v>
      </c>
      <c r="C1367" t="s">
        <v>4006</v>
      </c>
      <c r="D1367" t="s">
        <v>38</v>
      </c>
      <c r="E1367">
        <v>27</v>
      </c>
      <c r="F1367" t="s">
        <v>27</v>
      </c>
      <c r="G1367" t="s">
        <v>45</v>
      </c>
      <c r="H1367">
        <v>4</v>
      </c>
      <c r="I1367" t="s">
        <v>39</v>
      </c>
      <c r="J1367" t="s">
        <v>30</v>
      </c>
      <c r="K1367">
        <v>3</v>
      </c>
      <c r="L1367" t="s">
        <v>47</v>
      </c>
      <c r="M1367" t="s">
        <v>48</v>
      </c>
      <c r="N1367" t="s">
        <v>40</v>
      </c>
      <c r="O1367">
        <v>219195</v>
      </c>
      <c r="P1367">
        <v>1</v>
      </c>
      <c r="Q1367" t="s">
        <v>41</v>
      </c>
      <c r="R1367" s="1">
        <v>44671</v>
      </c>
      <c r="S1367" t="s">
        <v>34</v>
      </c>
      <c r="T1367">
        <v>0</v>
      </c>
      <c r="U1367">
        <v>0</v>
      </c>
      <c r="V1367">
        <v>0</v>
      </c>
      <c r="W1367">
        <v>0</v>
      </c>
      <c r="X1367" t="s">
        <v>11022</v>
      </c>
      <c r="Y1367" t="s">
        <v>11022</v>
      </c>
      <c r="Z1367" t="str">
        <f>_xlfn.XLOOKUP(Employees[[#This Row],[Education]], EdLevel[EducationLevelID], EdLevel[EducationLevel])</f>
        <v xml:space="preserve">Bachelors </v>
      </c>
      <c r="AA1367">
        <f>IF(Employees[[#This Row],[Attrition]] = "Yes", 1, 0)</f>
        <v>0</v>
      </c>
      <c r="AB1367" t="str" cm="1">
        <f t="array" ref="AB1367">_xlfn.IFS(Employees[[#This Row],[Age]]&lt;30, "20-29", Employees[[#This Row],[Age]]&lt;40, "30-39", Employees[[#This Row],[Age]]&lt;50, "40-49", "TRUE", "50+")</f>
        <v>20-29</v>
      </c>
    </row>
    <row r="1368" spans="1:28">
      <c r="A1368" t="s">
        <v>4007</v>
      </c>
      <c r="B1368" t="s">
        <v>4008</v>
      </c>
      <c r="C1368" t="s">
        <v>4009</v>
      </c>
      <c r="D1368" t="s">
        <v>38</v>
      </c>
      <c r="E1368">
        <v>20</v>
      </c>
      <c r="F1368" t="s">
        <v>27</v>
      </c>
      <c r="G1368" t="s">
        <v>54</v>
      </c>
      <c r="H1368">
        <v>39</v>
      </c>
      <c r="I1368" t="s">
        <v>65</v>
      </c>
      <c r="J1368" t="s">
        <v>30</v>
      </c>
      <c r="K1368">
        <v>3</v>
      </c>
      <c r="L1368" t="s">
        <v>77</v>
      </c>
      <c r="M1368" t="s">
        <v>101</v>
      </c>
      <c r="N1368" t="s">
        <v>49</v>
      </c>
      <c r="O1368">
        <v>20418</v>
      </c>
      <c r="P1368">
        <v>0</v>
      </c>
      <c r="Q1368" t="s">
        <v>34</v>
      </c>
      <c r="R1368" s="1">
        <v>44675</v>
      </c>
      <c r="S1368" t="s">
        <v>34</v>
      </c>
      <c r="T1368">
        <v>0</v>
      </c>
      <c r="U1368">
        <v>0</v>
      </c>
      <c r="V1368">
        <v>0</v>
      </c>
      <c r="W1368">
        <v>0</v>
      </c>
      <c r="X1368" t="s">
        <v>11022</v>
      </c>
      <c r="Y1368" t="s">
        <v>11022</v>
      </c>
      <c r="Z1368" t="str">
        <f>_xlfn.XLOOKUP(Employees[[#This Row],[Education]], EdLevel[EducationLevelID], EdLevel[EducationLevel])</f>
        <v xml:space="preserve">Bachelors </v>
      </c>
      <c r="AA1368">
        <f>IF(Employees[[#This Row],[Attrition]] = "Yes", 1, 0)</f>
        <v>0</v>
      </c>
      <c r="AB1368" t="str" cm="1">
        <f t="array" ref="AB1368">_xlfn.IFS(Employees[[#This Row],[Age]]&lt;30, "20-29", Employees[[#This Row],[Age]]&lt;40, "30-39", Employees[[#This Row],[Age]]&lt;50, "40-49", "TRUE", "50+")</f>
        <v>20-29</v>
      </c>
    </row>
    <row r="1369" spans="1:28">
      <c r="A1369" t="s">
        <v>4010</v>
      </c>
      <c r="B1369" t="s">
        <v>4011</v>
      </c>
      <c r="C1369" t="s">
        <v>4012</v>
      </c>
      <c r="D1369" t="s">
        <v>38</v>
      </c>
      <c r="E1369">
        <v>20</v>
      </c>
      <c r="F1369" t="s">
        <v>27</v>
      </c>
      <c r="G1369" t="s">
        <v>54</v>
      </c>
      <c r="H1369">
        <v>18</v>
      </c>
      <c r="I1369" t="s">
        <v>39</v>
      </c>
      <c r="J1369" t="s">
        <v>30</v>
      </c>
      <c r="K1369">
        <v>4</v>
      </c>
      <c r="L1369" t="s">
        <v>55</v>
      </c>
      <c r="M1369" t="s">
        <v>85</v>
      </c>
      <c r="N1369" t="s">
        <v>49</v>
      </c>
      <c r="O1369">
        <v>28544</v>
      </c>
      <c r="P1369">
        <v>1</v>
      </c>
      <c r="Q1369" t="s">
        <v>41</v>
      </c>
      <c r="R1369" s="1">
        <v>44678</v>
      </c>
      <c r="S1369" t="s">
        <v>34</v>
      </c>
      <c r="T1369">
        <v>0</v>
      </c>
      <c r="U1369">
        <v>0</v>
      </c>
      <c r="V1369">
        <v>0</v>
      </c>
      <c r="W1369">
        <v>0</v>
      </c>
      <c r="X1369" t="s">
        <v>11023</v>
      </c>
      <c r="Y1369" t="s">
        <v>11023</v>
      </c>
      <c r="Z1369" t="str">
        <f>_xlfn.XLOOKUP(Employees[[#This Row],[Education]], EdLevel[EducationLevelID], EdLevel[EducationLevel])</f>
        <v xml:space="preserve">Masters </v>
      </c>
      <c r="AA1369">
        <f>IF(Employees[[#This Row],[Attrition]] = "Yes", 1, 0)</f>
        <v>0</v>
      </c>
      <c r="AB1369" t="str" cm="1">
        <f t="array" ref="AB1369">_xlfn.IFS(Employees[[#This Row],[Age]]&lt;30, "20-29", Employees[[#This Row],[Age]]&lt;40, "30-39", Employees[[#This Row],[Age]]&lt;50, "40-49", "TRUE", "50+")</f>
        <v>20-29</v>
      </c>
    </row>
    <row r="1370" spans="1:28">
      <c r="A1370" t="s">
        <v>4013</v>
      </c>
      <c r="B1370" t="s">
        <v>4014</v>
      </c>
      <c r="C1370" t="s">
        <v>4015</v>
      </c>
      <c r="D1370" t="s">
        <v>26</v>
      </c>
      <c r="E1370">
        <v>20</v>
      </c>
      <c r="F1370" t="s">
        <v>84</v>
      </c>
      <c r="G1370" t="s">
        <v>54</v>
      </c>
      <c r="H1370">
        <v>45</v>
      </c>
      <c r="I1370" t="s">
        <v>39</v>
      </c>
      <c r="J1370" t="s">
        <v>30</v>
      </c>
      <c r="K1370">
        <v>1</v>
      </c>
      <c r="L1370" t="s">
        <v>55</v>
      </c>
      <c r="M1370" t="s">
        <v>93</v>
      </c>
      <c r="N1370" t="s">
        <v>49</v>
      </c>
      <c r="O1370">
        <v>46714</v>
      </c>
      <c r="P1370">
        <v>1</v>
      </c>
      <c r="Q1370" t="s">
        <v>34</v>
      </c>
      <c r="R1370" s="1">
        <v>44679</v>
      </c>
      <c r="S1370" t="s">
        <v>34</v>
      </c>
      <c r="T1370">
        <v>0</v>
      </c>
      <c r="U1370">
        <v>0</v>
      </c>
      <c r="V1370">
        <v>0</v>
      </c>
      <c r="W1370">
        <v>0</v>
      </c>
      <c r="X1370" t="s">
        <v>11020</v>
      </c>
      <c r="Y1370" t="s">
        <v>11020</v>
      </c>
      <c r="Z1370" t="str">
        <f>_xlfn.XLOOKUP(Employees[[#This Row],[Education]], EdLevel[EducationLevelID], EdLevel[EducationLevel])</f>
        <v>No Formal Qualifications</v>
      </c>
      <c r="AA1370">
        <f>IF(Employees[[#This Row],[Attrition]] = "Yes", 1, 0)</f>
        <v>0</v>
      </c>
      <c r="AB1370" t="str" cm="1">
        <f t="array" ref="AB1370">_xlfn.IFS(Employees[[#This Row],[Age]]&lt;30, "20-29", Employees[[#This Row],[Age]]&lt;40, "30-39", Employees[[#This Row],[Age]]&lt;50, "40-49", "TRUE", "50+")</f>
        <v>20-29</v>
      </c>
    </row>
    <row r="1371" spans="1:28">
      <c r="A1371" t="s">
        <v>4016</v>
      </c>
      <c r="B1371" t="s">
        <v>4017</v>
      </c>
      <c r="C1371" t="s">
        <v>1709</v>
      </c>
      <c r="D1371" t="s">
        <v>38</v>
      </c>
      <c r="E1371">
        <v>32</v>
      </c>
      <c r="F1371" t="s">
        <v>27</v>
      </c>
      <c r="G1371" t="s">
        <v>28</v>
      </c>
      <c r="H1371">
        <v>21</v>
      </c>
      <c r="I1371" t="s">
        <v>65</v>
      </c>
      <c r="J1371" t="s">
        <v>30</v>
      </c>
      <c r="K1371">
        <v>4</v>
      </c>
      <c r="L1371" t="s">
        <v>31</v>
      </c>
      <c r="M1371" t="s">
        <v>32</v>
      </c>
      <c r="N1371" t="s">
        <v>49</v>
      </c>
      <c r="O1371">
        <v>106476</v>
      </c>
      <c r="P1371">
        <v>2</v>
      </c>
      <c r="Q1371" t="s">
        <v>34</v>
      </c>
      <c r="R1371" s="1">
        <v>44682</v>
      </c>
      <c r="S1371" t="s">
        <v>34</v>
      </c>
      <c r="T1371">
        <v>0</v>
      </c>
      <c r="U1371">
        <v>0</v>
      </c>
      <c r="V1371">
        <v>0</v>
      </c>
      <c r="W1371">
        <v>0</v>
      </c>
      <c r="X1371" t="s">
        <v>11023</v>
      </c>
      <c r="Y1371" t="s">
        <v>11023</v>
      </c>
      <c r="Z1371" t="str">
        <f>_xlfn.XLOOKUP(Employees[[#This Row],[Education]], EdLevel[EducationLevelID], EdLevel[EducationLevel])</f>
        <v xml:space="preserve">Masters </v>
      </c>
      <c r="AA1371">
        <f>IF(Employees[[#This Row],[Attrition]] = "Yes", 1, 0)</f>
        <v>0</v>
      </c>
      <c r="AB1371" t="str" cm="1">
        <f t="array" ref="AB1371">_xlfn.IFS(Employees[[#This Row],[Age]]&lt;30, "20-29", Employees[[#This Row],[Age]]&lt;40, "30-39", Employees[[#This Row],[Age]]&lt;50, "40-49", "TRUE", "50+")</f>
        <v>30-39</v>
      </c>
    </row>
    <row r="1372" spans="1:28">
      <c r="A1372" t="s">
        <v>4018</v>
      </c>
      <c r="B1372" t="s">
        <v>4019</v>
      </c>
      <c r="C1372" t="s">
        <v>4020</v>
      </c>
      <c r="D1372" t="s">
        <v>26</v>
      </c>
      <c r="E1372">
        <v>34</v>
      </c>
      <c r="F1372" t="s">
        <v>84</v>
      </c>
      <c r="G1372" t="s">
        <v>54</v>
      </c>
      <c r="H1372">
        <v>1</v>
      </c>
      <c r="I1372" t="s">
        <v>39</v>
      </c>
      <c r="J1372" t="s">
        <v>30</v>
      </c>
      <c r="K1372">
        <v>1</v>
      </c>
      <c r="L1372" t="s">
        <v>72</v>
      </c>
      <c r="M1372" t="s">
        <v>93</v>
      </c>
      <c r="N1372" t="s">
        <v>40</v>
      </c>
      <c r="O1372">
        <v>178472</v>
      </c>
      <c r="P1372">
        <v>0</v>
      </c>
      <c r="Q1372" t="s">
        <v>41</v>
      </c>
      <c r="R1372" s="1">
        <v>44688</v>
      </c>
      <c r="S1372" t="s">
        <v>34</v>
      </c>
      <c r="T1372">
        <v>0</v>
      </c>
      <c r="U1372">
        <v>0</v>
      </c>
      <c r="V1372">
        <v>0</v>
      </c>
      <c r="W1372">
        <v>0</v>
      </c>
      <c r="X1372" t="s">
        <v>11020</v>
      </c>
      <c r="Y1372" t="s">
        <v>11020</v>
      </c>
      <c r="Z1372" t="str">
        <f>_xlfn.XLOOKUP(Employees[[#This Row],[Education]], EdLevel[EducationLevelID], EdLevel[EducationLevel])</f>
        <v>No Formal Qualifications</v>
      </c>
      <c r="AA1372">
        <f>IF(Employees[[#This Row],[Attrition]] = "Yes", 1, 0)</f>
        <v>0</v>
      </c>
      <c r="AB1372" t="str" cm="1">
        <f t="array" ref="AB1372">_xlfn.IFS(Employees[[#This Row],[Age]]&lt;30, "20-29", Employees[[#This Row],[Age]]&lt;40, "30-39", Employees[[#This Row],[Age]]&lt;50, "40-49", "TRUE", "50+")</f>
        <v>30-39</v>
      </c>
    </row>
    <row r="1373" spans="1:28">
      <c r="A1373" t="s">
        <v>4021</v>
      </c>
      <c r="B1373" t="s">
        <v>2196</v>
      </c>
      <c r="C1373" t="s">
        <v>4022</v>
      </c>
      <c r="D1373" t="s">
        <v>859</v>
      </c>
      <c r="E1373">
        <v>21</v>
      </c>
      <c r="F1373" t="s">
        <v>27</v>
      </c>
      <c r="G1373" t="s">
        <v>54</v>
      </c>
      <c r="H1373">
        <v>26</v>
      </c>
      <c r="I1373" t="s">
        <v>39</v>
      </c>
      <c r="J1373" t="s">
        <v>30</v>
      </c>
      <c r="K1373">
        <v>4</v>
      </c>
      <c r="L1373" t="s">
        <v>55</v>
      </c>
      <c r="M1373" t="s">
        <v>85</v>
      </c>
      <c r="N1373" t="s">
        <v>49</v>
      </c>
      <c r="O1373">
        <v>21202</v>
      </c>
      <c r="P1373">
        <v>1</v>
      </c>
      <c r="Q1373" t="s">
        <v>34</v>
      </c>
      <c r="R1373" s="1">
        <v>44692</v>
      </c>
      <c r="S1373" t="s">
        <v>34</v>
      </c>
      <c r="T1373">
        <v>0</v>
      </c>
      <c r="U1373">
        <v>0</v>
      </c>
      <c r="V1373">
        <v>0</v>
      </c>
      <c r="W1373">
        <v>0</v>
      </c>
      <c r="X1373" t="s">
        <v>11023</v>
      </c>
      <c r="Y1373" t="s">
        <v>11023</v>
      </c>
      <c r="Z1373" t="str">
        <f>_xlfn.XLOOKUP(Employees[[#This Row],[Education]], EdLevel[EducationLevelID], EdLevel[EducationLevel])</f>
        <v xml:space="preserve">Masters </v>
      </c>
      <c r="AA1373">
        <f>IF(Employees[[#This Row],[Attrition]] = "Yes", 1, 0)</f>
        <v>0</v>
      </c>
      <c r="AB1373" t="str" cm="1">
        <f t="array" ref="AB1373">_xlfn.IFS(Employees[[#This Row],[Age]]&lt;30, "20-29", Employees[[#This Row],[Age]]&lt;40, "30-39", Employees[[#This Row],[Age]]&lt;50, "40-49", "TRUE", "50+")</f>
        <v>20-29</v>
      </c>
    </row>
    <row r="1374" spans="1:28">
      <c r="A1374" t="s">
        <v>4023</v>
      </c>
      <c r="B1374" t="s">
        <v>4024</v>
      </c>
      <c r="C1374" t="s">
        <v>4025</v>
      </c>
      <c r="D1374" t="s">
        <v>38</v>
      </c>
      <c r="E1374">
        <v>45</v>
      </c>
      <c r="F1374" t="s">
        <v>27</v>
      </c>
      <c r="G1374" t="s">
        <v>28</v>
      </c>
      <c r="H1374">
        <v>22</v>
      </c>
      <c r="I1374" t="s">
        <v>39</v>
      </c>
      <c r="J1374" t="s">
        <v>30</v>
      </c>
      <c r="K1374">
        <v>4</v>
      </c>
      <c r="L1374" t="s">
        <v>47</v>
      </c>
      <c r="M1374" t="s">
        <v>32</v>
      </c>
      <c r="N1374" t="s">
        <v>49</v>
      </c>
      <c r="O1374">
        <v>270302</v>
      </c>
      <c r="P1374">
        <v>0</v>
      </c>
      <c r="Q1374" t="s">
        <v>34</v>
      </c>
      <c r="R1374" s="1">
        <v>44694</v>
      </c>
      <c r="S1374" t="s">
        <v>41</v>
      </c>
      <c r="T1374">
        <v>0</v>
      </c>
      <c r="U1374">
        <v>0</v>
      </c>
      <c r="V1374">
        <v>0</v>
      </c>
      <c r="W1374">
        <v>0</v>
      </c>
      <c r="X1374" t="s">
        <v>11023</v>
      </c>
      <c r="Y1374" t="s">
        <v>11023</v>
      </c>
      <c r="Z1374" t="str">
        <f>_xlfn.XLOOKUP(Employees[[#This Row],[Education]], EdLevel[EducationLevelID], EdLevel[EducationLevel])</f>
        <v xml:space="preserve">Masters </v>
      </c>
      <c r="AA1374">
        <f>IF(Employees[[#This Row],[Attrition]] = "Yes", 1, 0)</f>
        <v>1</v>
      </c>
      <c r="AB1374" t="str" cm="1">
        <f t="array" ref="AB1374">_xlfn.IFS(Employees[[#This Row],[Age]]&lt;30, "20-29", Employees[[#This Row],[Age]]&lt;40, "30-39", Employees[[#This Row],[Age]]&lt;50, "40-49", "TRUE", "50+")</f>
        <v>40-49</v>
      </c>
    </row>
    <row r="1375" spans="1:28">
      <c r="A1375" t="s">
        <v>4026</v>
      </c>
      <c r="B1375" t="s">
        <v>4027</v>
      </c>
      <c r="C1375" t="s">
        <v>4028</v>
      </c>
      <c r="D1375" t="s">
        <v>38</v>
      </c>
      <c r="E1375">
        <v>22</v>
      </c>
      <c r="F1375" t="s">
        <v>27</v>
      </c>
      <c r="G1375" t="s">
        <v>28</v>
      </c>
      <c r="H1375">
        <v>31</v>
      </c>
      <c r="I1375" t="s">
        <v>65</v>
      </c>
      <c r="J1375" t="s">
        <v>30</v>
      </c>
      <c r="K1375">
        <v>1</v>
      </c>
      <c r="L1375" t="s">
        <v>47</v>
      </c>
      <c r="M1375" t="s">
        <v>32</v>
      </c>
      <c r="N1375" t="s">
        <v>40</v>
      </c>
      <c r="O1375">
        <v>51582</v>
      </c>
      <c r="P1375">
        <v>0</v>
      </c>
      <c r="Q1375" t="s">
        <v>34</v>
      </c>
      <c r="R1375" s="1">
        <v>44694</v>
      </c>
      <c r="S1375" t="s">
        <v>34</v>
      </c>
      <c r="T1375">
        <v>0</v>
      </c>
      <c r="U1375">
        <v>0</v>
      </c>
      <c r="V1375">
        <v>0</v>
      </c>
      <c r="W1375">
        <v>0</v>
      </c>
      <c r="X1375" t="s">
        <v>11020</v>
      </c>
      <c r="Y1375" t="s">
        <v>11020</v>
      </c>
      <c r="Z1375" t="str">
        <f>_xlfn.XLOOKUP(Employees[[#This Row],[Education]], EdLevel[EducationLevelID], EdLevel[EducationLevel])</f>
        <v>No Formal Qualifications</v>
      </c>
      <c r="AA1375">
        <f>IF(Employees[[#This Row],[Attrition]] = "Yes", 1, 0)</f>
        <v>0</v>
      </c>
      <c r="AB1375" t="str" cm="1">
        <f t="array" ref="AB1375">_xlfn.IFS(Employees[[#This Row],[Age]]&lt;30, "20-29", Employees[[#This Row],[Age]]&lt;40, "30-39", Employees[[#This Row],[Age]]&lt;50, "40-49", "TRUE", "50+")</f>
        <v>20-29</v>
      </c>
    </row>
    <row r="1376" spans="1:28">
      <c r="A1376" t="s">
        <v>4029</v>
      </c>
      <c r="B1376" t="s">
        <v>4030</v>
      </c>
      <c r="C1376" t="s">
        <v>4031</v>
      </c>
      <c r="D1376" t="s">
        <v>26</v>
      </c>
      <c r="E1376">
        <v>18</v>
      </c>
      <c r="F1376" t="s">
        <v>84</v>
      </c>
      <c r="G1376" t="s">
        <v>54</v>
      </c>
      <c r="H1376">
        <v>10</v>
      </c>
      <c r="I1376" t="s">
        <v>29</v>
      </c>
      <c r="J1376" t="s">
        <v>30</v>
      </c>
      <c r="K1376">
        <v>3</v>
      </c>
      <c r="L1376" t="s">
        <v>55</v>
      </c>
      <c r="M1376" t="s">
        <v>101</v>
      </c>
      <c r="N1376" t="s">
        <v>40</v>
      </c>
      <c r="O1376">
        <v>26960</v>
      </c>
      <c r="P1376">
        <v>3</v>
      </c>
      <c r="Q1376" t="s">
        <v>34</v>
      </c>
      <c r="R1376" s="1">
        <v>44698</v>
      </c>
      <c r="S1376" t="s">
        <v>34</v>
      </c>
      <c r="T1376">
        <v>0</v>
      </c>
      <c r="U1376">
        <v>0</v>
      </c>
      <c r="V1376">
        <v>0</v>
      </c>
      <c r="W1376">
        <v>0</v>
      </c>
      <c r="X1376" t="s">
        <v>11022</v>
      </c>
      <c r="Y1376" t="s">
        <v>11022</v>
      </c>
      <c r="Z1376" t="str">
        <f>_xlfn.XLOOKUP(Employees[[#This Row],[Education]], EdLevel[EducationLevelID], EdLevel[EducationLevel])</f>
        <v xml:space="preserve">Bachelors </v>
      </c>
      <c r="AA1376">
        <f>IF(Employees[[#This Row],[Attrition]] = "Yes", 1, 0)</f>
        <v>0</v>
      </c>
      <c r="AB1376" t="str" cm="1">
        <f t="array" ref="AB1376">_xlfn.IFS(Employees[[#This Row],[Age]]&lt;30, "20-29", Employees[[#This Row],[Age]]&lt;40, "30-39", Employees[[#This Row],[Age]]&lt;50, "40-49", "TRUE", "50+")</f>
        <v>20-29</v>
      </c>
    </row>
    <row r="1377" spans="1:28">
      <c r="A1377" t="s">
        <v>4032</v>
      </c>
      <c r="B1377" t="s">
        <v>4033</v>
      </c>
      <c r="C1377" t="s">
        <v>4034</v>
      </c>
      <c r="D1377" t="s">
        <v>26</v>
      </c>
      <c r="E1377">
        <v>19</v>
      </c>
      <c r="F1377" t="s">
        <v>27</v>
      </c>
      <c r="G1377" t="s">
        <v>28</v>
      </c>
      <c r="H1377">
        <v>21</v>
      </c>
      <c r="I1377" t="s">
        <v>65</v>
      </c>
      <c r="J1377" t="s">
        <v>30</v>
      </c>
      <c r="K1377">
        <v>3</v>
      </c>
      <c r="L1377" t="s">
        <v>31</v>
      </c>
      <c r="M1377" t="s">
        <v>150</v>
      </c>
      <c r="N1377" t="s">
        <v>40</v>
      </c>
      <c r="O1377">
        <v>33454</v>
      </c>
      <c r="P1377">
        <v>0</v>
      </c>
      <c r="Q1377" t="s">
        <v>41</v>
      </c>
      <c r="R1377" s="1">
        <v>44700</v>
      </c>
      <c r="S1377" t="s">
        <v>41</v>
      </c>
      <c r="T1377">
        <v>0</v>
      </c>
      <c r="U1377">
        <v>0</v>
      </c>
      <c r="V1377">
        <v>0</v>
      </c>
      <c r="W1377">
        <v>0</v>
      </c>
      <c r="X1377" t="s">
        <v>11022</v>
      </c>
      <c r="Y1377" t="s">
        <v>11022</v>
      </c>
      <c r="Z1377" t="str">
        <f>_xlfn.XLOOKUP(Employees[[#This Row],[Education]], EdLevel[EducationLevelID], EdLevel[EducationLevel])</f>
        <v xml:space="preserve">Bachelors </v>
      </c>
      <c r="AA1377">
        <f>IF(Employees[[#This Row],[Attrition]] = "Yes", 1, 0)</f>
        <v>1</v>
      </c>
      <c r="AB1377" t="str" cm="1">
        <f t="array" ref="AB1377">_xlfn.IFS(Employees[[#This Row],[Age]]&lt;30, "20-29", Employees[[#This Row],[Age]]&lt;40, "30-39", Employees[[#This Row],[Age]]&lt;50, "40-49", "TRUE", "50+")</f>
        <v>20-29</v>
      </c>
    </row>
    <row r="1378" spans="1:28">
      <c r="A1378" t="s">
        <v>4035</v>
      </c>
      <c r="B1378" t="s">
        <v>4036</v>
      </c>
      <c r="C1378" t="s">
        <v>4037</v>
      </c>
      <c r="D1378" t="s">
        <v>38</v>
      </c>
      <c r="E1378">
        <v>18</v>
      </c>
      <c r="F1378" t="s">
        <v>84</v>
      </c>
      <c r="G1378" t="s">
        <v>54</v>
      </c>
      <c r="H1378">
        <v>26</v>
      </c>
      <c r="I1378" t="s">
        <v>39</v>
      </c>
      <c r="J1378" t="s">
        <v>30</v>
      </c>
      <c r="K1378">
        <v>2</v>
      </c>
      <c r="L1378" t="s">
        <v>72</v>
      </c>
      <c r="M1378" t="s">
        <v>85</v>
      </c>
      <c r="N1378" t="s">
        <v>40</v>
      </c>
      <c r="O1378">
        <v>31532</v>
      </c>
      <c r="P1378">
        <v>0</v>
      </c>
      <c r="Q1378" t="s">
        <v>34</v>
      </c>
      <c r="R1378" s="1">
        <v>44703</v>
      </c>
      <c r="S1378" t="s">
        <v>41</v>
      </c>
      <c r="T1378">
        <v>0</v>
      </c>
      <c r="U1378">
        <v>0</v>
      </c>
      <c r="V1378">
        <v>0</v>
      </c>
      <c r="W1378">
        <v>0</v>
      </c>
      <c r="X1378" t="s">
        <v>11021</v>
      </c>
      <c r="Y1378" t="s">
        <v>11021</v>
      </c>
      <c r="Z1378" t="str">
        <f>_xlfn.XLOOKUP(Employees[[#This Row],[Education]], EdLevel[EducationLevelID], EdLevel[EducationLevel])</f>
        <v xml:space="preserve">High School </v>
      </c>
      <c r="AA1378">
        <f>IF(Employees[[#This Row],[Attrition]] = "Yes", 1, 0)</f>
        <v>1</v>
      </c>
      <c r="AB1378" t="str" cm="1">
        <f t="array" ref="AB1378">_xlfn.IFS(Employees[[#This Row],[Age]]&lt;30, "20-29", Employees[[#This Row],[Age]]&lt;40, "30-39", Employees[[#This Row],[Age]]&lt;50, "40-49", "TRUE", "50+")</f>
        <v>20-29</v>
      </c>
    </row>
    <row r="1379" spans="1:28">
      <c r="A1379" t="s">
        <v>4038</v>
      </c>
      <c r="B1379" t="s">
        <v>4039</v>
      </c>
      <c r="C1379" t="s">
        <v>4040</v>
      </c>
      <c r="D1379" t="s">
        <v>38</v>
      </c>
      <c r="E1379">
        <v>19</v>
      </c>
      <c r="F1379" t="s">
        <v>27</v>
      </c>
      <c r="G1379" t="s">
        <v>45</v>
      </c>
      <c r="H1379">
        <v>18</v>
      </c>
      <c r="I1379" t="s">
        <v>65</v>
      </c>
      <c r="J1379" t="s">
        <v>30</v>
      </c>
      <c r="K1379">
        <v>4</v>
      </c>
      <c r="L1379" t="s">
        <v>121</v>
      </c>
      <c r="M1379" t="s">
        <v>61</v>
      </c>
      <c r="N1379" t="s">
        <v>40</v>
      </c>
      <c r="O1379">
        <v>20778</v>
      </c>
      <c r="P1379">
        <v>0</v>
      </c>
      <c r="Q1379" t="s">
        <v>34</v>
      </c>
      <c r="R1379" s="1">
        <v>44705</v>
      </c>
      <c r="S1379" t="s">
        <v>34</v>
      </c>
      <c r="T1379">
        <v>0</v>
      </c>
      <c r="U1379">
        <v>0</v>
      </c>
      <c r="V1379">
        <v>0</v>
      </c>
      <c r="W1379">
        <v>0</v>
      </c>
      <c r="X1379" t="s">
        <v>11023</v>
      </c>
      <c r="Y1379" t="s">
        <v>11023</v>
      </c>
      <c r="Z1379" t="str">
        <f>_xlfn.XLOOKUP(Employees[[#This Row],[Education]], EdLevel[EducationLevelID], EdLevel[EducationLevel])</f>
        <v xml:space="preserve">Masters </v>
      </c>
      <c r="AA1379">
        <f>IF(Employees[[#This Row],[Attrition]] = "Yes", 1, 0)</f>
        <v>0</v>
      </c>
      <c r="AB1379" t="str" cm="1">
        <f t="array" ref="AB1379">_xlfn.IFS(Employees[[#This Row],[Age]]&lt;30, "20-29", Employees[[#This Row],[Age]]&lt;40, "30-39", Employees[[#This Row],[Age]]&lt;50, "40-49", "TRUE", "50+")</f>
        <v>20-29</v>
      </c>
    </row>
    <row r="1380" spans="1:28">
      <c r="A1380" t="s">
        <v>4041</v>
      </c>
      <c r="B1380" t="s">
        <v>4042</v>
      </c>
      <c r="C1380" t="s">
        <v>4043</v>
      </c>
      <c r="D1380" t="s">
        <v>38</v>
      </c>
      <c r="E1380">
        <v>33</v>
      </c>
      <c r="F1380" t="s">
        <v>84</v>
      </c>
      <c r="G1380" t="s">
        <v>54</v>
      </c>
      <c r="H1380">
        <v>24</v>
      </c>
      <c r="I1380" t="s">
        <v>65</v>
      </c>
      <c r="J1380" t="s">
        <v>30</v>
      </c>
      <c r="K1380">
        <v>4</v>
      </c>
      <c r="L1380" t="s">
        <v>55</v>
      </c>
      <c r="M1380" t="s">
        <v>93</v>
      </c>
      <c r="N1380" t="s">
        <v>33</v>
      </c>
      <c r="O1380">
        <v>283171</v>
      </c>
      <c r="P1380">
        <v>1</v>
      </c>
      <c r="Q1380" t="s">
        <v>34</v>
      </c>
      <c r="R1380" s="1">
        <v>44705</v>
      </c>
      <c r="S1380" t="s">
        <v>34</v>
      </c>
      <c r="T1380">
        <v>0</v>
      </c>
      <c r="U1380">
        <v>0</v>
      </c>
      <c r="V1380">
        <v>0</v>
      </c>
      <c r="W1380">
        <v>0</v>
      </c>
      <c r="X1380" t="s">
        <v>11023</v>
      </c>
      <c r="Y1380" t="s">
        <v>11023</v>
      </c>
      <c r="Z1380" t="str">
        <f>_xlfn.XLOOKUP(Employees[[#This Row],[Education]], EdLevel[EducationLevelID], EdLevel[EducationLevel])</f>
        <v xml:space="preserve">Masters </v>
      </c>
      <c r="AA1380">
        <f>IF(Employees[[#This Row],[Attrition]] = "Yes", 1, 0)</f>
        <v>0</v>
      </c>
      <c r="AB1380" t="str" cm="1">
        <f t="array" ref="AB1380">_xlfn.IFS(Employees[[#This Row],[Age]]&lt;30, "20-29", Employees[[#This Row],[Age]]&lt;40, "30-39", Employees[[#This Row],[Age]]&lt;50, "40-49", "TRUE", "50+")</f>
        <v>30-39</v>
      </c>
    </row>
    <row r="1381" spans="1:28">
      <c r="A1381" t="s">
        <v>4044</v>
      </c>
      <c r="B1381" t="s">
        <v>4045</v>
      </c>
      <c r="C1381" t="s">
        <v>4046</v>
      </c>
      <c r="D1381" t="s">
        <v>38</v>
      </c>
      <c r="E1381">
        <v>19</v>
      </c>
      <c r="F1381" t="s">
        <v>27</v>
      </c>
      <c r="G1381" t="s">
        <v>54</v>
      </c>
      <c r="H1381">
        <v>15</v>
      </c>
      <c r="I1381" t="s">
        <v>39</v>
      </c>
      <c r="J1381" t="s">
        <v>30</v>
      </c>
      <c r="K1381">
        <v>3</v>
      </c>
      <c r="L1381" t="s">
        <v>55</v>
      </c>
      <c r="M1381" t="s">
        <v>85</v>
      </c>
      <c r="N1381" t="s">
        <v>40</v>
      </c>
      <c r="O1381">
        <v>58408</v>
      </c>
      <c r="P1381">
        <v>1</v>
      </c>
      <c r="Q1381" t="s">
        <v>41</v>
      </c>
      <c r="R1381" s="1">
        <v>44712</v>
      </c>
      <c r="S1381" t="s">
        <v>34</v>
      </c>
      <c r="T1381">
        <v>0</v>
      </c>
      <c r="U1381">
        <v>0</v>
      </c>
      <c r="V1381">
        <v>0</v>
      </c>
      <c r="W1381">
        <v>0</v>
      </c>
      <c r="X1381" t="s">
        <v>11022</v>
      </c>
      <c r="Y1381" t="s">
        <v>11022</v>
      </c>
      <c r="Z1381" t="str">
        <f>_xlfn.XLOOKUP(Employees[[#This Row],[Education]], EdLevel[EducationLevelID], EdLevel[EducationLevel])</f>
        <v xml:space="preserve">Bachelors </v>
      </c>
      <c r="AA1381">
        <f>IF(Employees[[#This Row],[Attrition]] = "Yes", 1, 0)</f>
        <v>0</v>
      </c>
      <c r="AB1381" t="str" cm="1">
        <f t="array" ref="AB1381">_xlfn.IFS(Employees[[#This Row],[Age]]&lt;30, "20-29", Employees[[#This Row],[Age]]&lt;40, "30-39", Employees[[#This Row],[Age]]&lt;50, "40-49", "TRUE", "50+")</f>
        <v>20-29</v>
      </c>
    </row>
    <row r="1382" spans="1:28">
      <c r="A1382" t="s">
        <v>4047</v>
      </c>
      <c r="B1382" t="s">
        <v>4048</v>
      </c>
      <c r="C1382" t="s">
        <v>4049</v>
      </c>
      <c r="D1382" t="s">
        <v>26</v>
      </c>
      <c r="E1382">
        <v>27</v>
      </c>
      <c r="F1382" t="s">
        <v>27</v>
      </c>
      <c r="G1382" t="s">
        <v>54</v>
      </c>
      <c r="H1382">
        <v>36</v>
      </c>
      <c r="I1382" t="s">
        <v>39</v>
      </c>
      <c r="J1382" t="s">
        <v>30</v>
      </c>
      <c r="K1382">
        <v>3</v>
      </c>
      <c r="L1382" t="s">
        <v>72</v>
      </c>
      <c r="M1382" t="s">
        <v>56</v>
      </c>
      <c r="N1382" t="s">
        <v>49</v>
      </c>
      <c r="O1382">
        <v>227477</v>
      </c>
      <c r="P1382">
        <v>0</v>
      </c>
      <c r="Q1382" t="s">
        <v>34</v>
      </c>
      <c r="R1382" s="1">
        <v>44719</v>
      </c>
      <c r="S1382" t="s">
        <v>34</v>
      </c>
      <c r="T1382">
        <v>0</v>
      </c>
      <c r="U1382">
        <v>0</v>
      </c>
      <c r="V1382">
        <v>0</v>
      </c>
      <c r="W1382">
        <v>0</v>
      </c>
      <c r="X1382" t="s">
        <v>11022</v>
      </c>
      <c r="Y1382" t="s">
        <v>11022</v>
      </c>
      <c r="Z1382" t="str">
        <f>_xlfn.XLOOKUP(Employees[[#This Row],[Education]], EdLevel[EducationLevelID], EdLevel[EducationLevel])</f>
        <v xml:space="preserve">Bachelors </v>
      </c>
      <c r="AA1382">
        <f>IF(Employees[[#This Row],[Attrition]] = "Yes", 1, 0)</f>
        <v>0</v>
      </c>
      <c r="AB1382" t="str" cm="1">
        <f t="array" ref="AB1382">_xlfn.IFS(Employees[[#This Row],[Age]]&lt;30, "20-29", Employees[[#This Row],[Age]]&lt;40, "30-39", Employees[[#This Row],[Age]]&lt;50, "40-49", "TRUE", "50+")</f>
        <v>20-29</v>
      </c>
    </row>
    <row r="1383" spans="1:28">
      <c r="A1383" t="s">
        <v>4050</v>
      </c>
      <c r="B1383" t="s">
        <v>864</v>
      </c>
      <c r="C1383" t="s">
        <v>4051</v>
      </c>
      <c r="D1383" t="s">
        <v>38</v>
      </c>
      <c r="E1383">
        <v>21</v>
      </c>
      <c r="F1383" t="s">
        <v>27</v>
      </c>
      <c r="G1383" t="s">
        <v>28</v>
      </c>
      <c r="H1383">
        <v>19</v>
      </c>
      <c r="I1383" t="s">
        <v>65</v>
      </c>
      <c r="J1383" t="s">
        <v>30</v>
      </c>
      <c r="K1383">
        <v>4</v>
      </c>
      <c r="L1383" t="s">
        <v>47</v>
      </c>
      <c r="M1383" t="s">
        <v>150</v>
      </c>
      <c r="N1383" t="s">
        <v>49</v>
      </c>
      <c r="O1383">
        <v>22696</v>
      </c>
      <c r="P1383">
        <v>1</v>
      </c>
      <c r="Q1383" t="s">
        <v>41</v>
      </c>
      <c r="R1383" s="1">
        <v>44720</v>
      </c>
      <c r="S1383" t="s">
        <v>34</v>
      </c>
      <c r="T1383">
        <v>0</v>
      </c>
      <c r="U1383">
        <v>0</v>
      </c>
      <c r="V1383">
        <v>0</v>
      </c>
      <c r="W1383">
        <v>0</v>
      </c>
      <c r="X1383" t="s">
        <v>11023</v>
      </c>
      <c r="Y1383" t="s">
        <v>11023</v>
      </c>
      <c r="Z1383" t="str">
        <f>_xlfn.XLOOKUP(Employees[[#This Row],[Education]], EdLevel[EducationLevelID], EdLevel[EducationLevel])</f>
        <v xml:space="preserve">Masters </v>
      </c>
      <c r="AA1383">
        <f>IF(Employees[[#This Row],[Attrition]] = "Yes", 1, 0)</f>
        <v>0</v>
      </c>
      <c r="AB1383" t="str" cm="1">
        <f t="array" ref="AB1383">_xlfn.IFS(Employees[[#This Row],[Age]]&lt;30, "20-29", Employees[[#This Row],[Age]]&lt;40, "30-39", Employees[[#This Row],[Age]]&lt;50, "40-49", "TRUE", "50+")</f>
        <v>20-29</v>
      </c>
    </row>
    <row r="1384" spans="1:28">
      <c r="A1384" t="s">
        <v>4052</v>
      </c>
      <c r="B1384" t="s">
        <v>4053</v>
      </c>
      <c r="C1384" t="s">
        <v>4054</v>
      </c>
      <c r="D1384" t="s">
        <v>26</v>
      </c>
      <c r="E1384">
        <v>20</v>
      </c>
      <c r="F1384" t="s">
        <v>27</v>
      </c>
      <c r="G1384" t="s">
        <v>54</v>
      </c>
      <c r="H1384">
        <v>10</v>
      </c>
      <c r="I1384" t="s">
        <v>65</v>
      </c>
      <c r="J1384" t="s">
        <v>30</v>
      </c>
      <c r="K1384">
        <v>5</v>
      </c>
      <c r="L1384" t="s">
        <v>55</v>
      </c>
      <c r="M1384" t="s">
        <v>101</v>
      </c>
      <c r="N1384" t="s">
        <v>49</v>
      </c>
      <c r="O1384">
        <v>32077</v>
      </c>
      <c r="P1384">
        <v>1</v>
      </c>
      <c r="Q1384" t="s">
        <v>34</v>
      </c>
      <c r="R1384" s="1">
        <v>44721</v>
      </c>
      <c r="S1384" t="s">
        <v>34</v>
      </c>
      <c r="T1384">
        <v>0</v>
      </c>
      <c r="U1384">
        <v>0</v>
      </c>
      <c r="V1384">
        <v>0</v>
      </c>
      <c r="W1384">
        <v>0</v>
      </c>
      <c r="X1384" t="s">
        <v>11024</v>
      </c>
      <c r="Y1384" t="s">
        <v>11024</v>
      </c>
      <c r="Z1384" t="str">
        <f>_xlfn.XLOOKUP(Employees[[#This Row],[Education]], EdLevel[EducationLevelID], EdLevel[EducationLevel])</f>
        <v>Doctorate</v>
      </c>
      <c r="AA1384">
        <f>IF(Employees[[#This Row],[Attrition]] = "Yes", 1, 0)</f>
        <v>0</v>
      </c>
      <c r="AB1384" t="str" cm="1">
        <f t="array" ref="AB1384">_xlfn.IFS(Employees[[#This Row],[Age]]&lt;30, "20-29", Employees[[#This Row],[Age]]&lt;40, "30-39", Employees[[#This Row],[Age]]&lt;50, "40-49", "TRUE", "50+")</f>
        <v>20-29</v>
      </c>
    </row>
    <row r="1385" spans="1:28">
      <c r="A1385" t="s">
        <v>4055</v>
      </c>
      <c r="B1385" t="s">
        <v>4056</v>
      </c>
      <c r="C1385" t="s">
        <v>4057</v>
      </c>
      <c r="D1385" t="s">
        <v>26</v>
      </c>
      <c r="E1385">
        <v>19</v>
      </c>
      <c r="F1385" t="s">
        <v>27</v>
      </c>
      <c r="G1385" t="s">
        <v>54</v>
      </c>
      <c r="H1385">
        <v>26</v>
      </c>
      <c r="I1385" t="s">
        <v>39</v>
      </c>
      <c r="J1385" t="s">
        <v>30</v>
      </c>
      <c r="K1385">
        <v>4</v>
      </c>
      <c r="L1385" t="s">
        <v>72</v>
      </c>
      <c r="M1385" t="s">
        <v>101</v>
      </c>
      <c r="N1385" t="s">
        <v>40</v>
      </c>
      <c r="O1385">
        <v>66119</v>
      </c>
      <c r="P1385">
        <v>0</v>
      </c>
      <c r="Q1385" t="s">
        <v>34</v>
      </c>
      <c r="R1385" s="1">
        <v>44724</v>
      </c>
      <c r="S1385" t="s">
        <v>34</v>
      </c>
      <c r="T1385">
        <v>0</v>
      </c>
      <c r="U1385">
        <v>0</v>
      </c>
      <c r="V1385">
        <v>0</v>
      </c>
      <c r="W1385">
        <v>0</v>
      </c>
      <c r="X1385" t="s">
        <v>11023</v>
      </c>
      <c r="Y1385" t="s">
        <v>11023</v>
      </c>
      <c r="Z1385" t="str">
        <f>_xlfn.XLOOKUP(Employees[[#This Row],[Education]], EdLevel[EducationLevelID], EdLevel[EducationLevel])</f>
        <v xml:space="preserve">Masters </v>
      </c>
      <c r="AA1385">
        <f>IF(Employees[[#This Row],[Attrition]] = "Yes", 1, 0)</f>
        <v>0</v>
      </c>
      <c r="AB1385" t="str" cm="1">
        <f t="array" ref="AB1385">_xlfn.IFS(Employees[[#This Row],[Age]]&lt;30, "20-29", Employees[[#This Row],[Age]]&lt;40, "30-39", Employees[[#This Row],[Age]]&lt;50, "40-49", "TRUE", "50+")</f>
        <v>20-29</v>
      </c>
    </row>
    <row r="1386" spans="1:28">
      <c r="A1386" t="s">
        <v>4058</v>
      </c>
      <c r="B1386" t="s">
        <v>4059</v>
      </c>
      <c r="C1386" t="s">
        <v>4060</v>
      </c>
      <c r="D1386" t="s">
        <v>53</v>
      </c>
      <c r="E1386">
        <v>29</v>
      </c>
      <c r="F1386" t="s">
        <v>27</v>
      </c>
      <c r="G1386" t="s">
        <v>28</v>
      </c>
      <c r="H1386">
        <v>29</v>
      </c>
      <c r="I1386" t="s">
        <v>39</v>
      </c>
      <c r="J1386" t="s">
        <v>30</v>
      </c>
      <c r="K1386">
        <v>2</v>
      </c>
      <c r="L1386" t="s">
        <v>47</v>
      </c>
      <c r="M1386" t="s">
        <v>32</v>
      </c>
      <c r="N1386" t="s">
        <v>40</v>
      </c>
      <c r="O1386">
        <v>134537</v>
      </c>
      <c r="P1386">
        <v>0</v>
      </c>
      <c r="Q1386" t="s">
        <v>41</v>
      </c>
      <c r="R1386" s="1">
        <v>44728</v>
      </c>
      <c r="S1386" t="s">
        <v>34</v>
      </c>
      <c r="T1386">
        <v>0</v>
      </c>
      <c r="U1386">
        <v>0</v>
      </c>
      <c r="V1386">
        <v>0</v>
      </c>
      <c r="W1386">
        <v>0</v>
      </c>
      <c r="X1386" t="s">
        <v>11021</v>
      </c>
      <c r="Y1386" t="s">
        <v>11021</v>
      </c>
      <c r="Z1386" t="str">
        <f>_xlfn.XLOOKUP(Employees[[#This Row],[Education]], EdLevel[EducationLevelID], EdLevel[EducationLevel])</f>
        <v xml:space="preserve">High School </v>
      </c>
      <c r="AA1386">
        <f>IF(Employees[[#This Row],[Attrition]] = "Yes", 1, 0)</f>
        <v>0</v>
      </c>
      <c r="AB1386" t="str" cm="1">
        <f t="array" ref="AB1386">_xlfn.IFS(Employees[[#This Row],[Age]]&lt;30, "20-29", Employees[[#This Row],[Age]]&lt;40, "30-39", Employees[[#This Row],[Age]]&lt;50, "40-49", "TRUE", "50+")</f>
        <v>20-29</v>
      </c>
    </row>
    <row r="1387" spans="1:28">
      <c r="A1387" t="s">
        <v>4061</v>
      </c>
      <c r="B1387" t="s">
        <v>4062</v>
      </c>
      <c r="C1387" t="s">
        <v>4063</v>
      </c>
      <c r="D1387" t="s">
        <v>859</v>
      </c>
      <c r="E1387">
        <v>18</v>
      </c>
      <c r="F1387" t="s">
        <v>27</v>
      </c>
      <c r="G1387" t="s">
        <v>28</v>
      </c>
      <c r="H1387">
        <v>9</v>
      </c>
      <c r="I1387" t="s">
        <v>29</v>
      </c>
      <c r="J1387" t="s">
        <v>30</v>
      </c>
      <c r="K1387">
        <v>3</v>
      </c>
      <c r="L1387" t="s">
        <v>121</v>
      </c>
      <c r="M1387" t="s">
        <v>32</v>
      </c>
      <c r="N1387" t="s">
        <v>40</v>
      </c>
      <c r="O1387">
        <v>74515</v>
      </c>
      <c r="P1387">
        <v>0</v>
      </c>
      <c r="Q1387" t="s">
        <v>34</v>
      </c>
      <c r="R1387" s="1">
        <v>44731</v>
      </c>
      <c r="S1387" t="s">
        <v>34</v>
      </c>
      <c r="T1387">
        <v>0</v>
      </c>
      <c r="U1387">
        <v>0</v>
      </c>
      <c r="V1387">
        <v>0</v>
      </c>
      <c r="W1387">
        <v>0</v>
      </c>
      <c r="X1387" t="s">
        <v>11022</v>
      </c>
      <c r="Y1387" t="s">
        <v>11022</v>
      </c>
      <c r="Z1387" t="str">
        <f>_xlfn.XLOOKUP(Employees[[#This Row],[Education]], EdLevel[EducationLevelID], EdLevel[EducationLevel])</f>
        <v xml:space="preserve">Bachelors </v>
      </c>
      <c r="AA1387">
        <f>IF(Employees[[#This Row],[Attrition]] = "Yes", 1, 0)</f>
        <v>0</v>
      </c>
      <c r="AB1387" t="str" cm="1">
        <f t="array" ref="AB1387">_xlfn.IFS(Employees[[#This Row],[Age]]&lt;30, "20-29", Employees[[#This Row],[Age]]&lt;40, "30-39", Employees[[#This Row],[Age]]&lt;50, "40-49", "TRUE", "50+")</f>
        <v>20-29</v>
      </c>
    </row>
    <row r="1388" spans="1:28">
      <c r="A1388" t="s">
        <v>4064</v>
      </c>
      <c r="B1388" t="s">
        <v>2991</v>
      </c>
      <c r="C1388" t="s">
        <v>4065</v>
      </c>
      <c r="D1388" t="s">
        <v>26</v>
      </c>
      <c r="E1388">
        <v>18</v>
      </c>
      <c r="F1388" t="s">
        <v>84</v>
      </c>
      <c r="G1388" t="s">
        <v>28</v>
      </c>
      <c r="H1388">
        <v>26</v>
      </c>
      <c r="I1388" t="s">
        <v>39</v>
      </c>
      <c r="J1388" t="s">
        <v>30</v>
      </c>
      <c r="K1388">
        <v>3</v>
      </c>
      <c r="L1388" t="s">
        <v>121</v>
      </c>
      <c r="M1388" t="s">
        <v>32</v>
      </c>
      <c r="N1388" t="s">
        <v>40</v>
      </c>
      <c r="O1388">
        <v>62054</v>
      </c>
      <c r="P1388">
        <v>2</v>
      </c>
      <c r="Q1388" t="s">
        <v>34</v>
      </c>
      <c r="R1388" s="1">
        <v>44733</v>
      </c>
      <c r="S1388" t="s">
        <v>34</v>
      </c>
      <c r="T1388">
        <v>0</v>
      </c>
      <c r="U1388">
        <v>0</v>
      </c>
      <c r="V1388">
        <v>0</v>
      </c>
      <c r="W1388">
        <v>0</v>
      </c>
      <c r="X1388" t="s">
        <v>11022</v>
      </c>
      <c r="Y1388" t="s">
        <v>11022</v>
      </c>
      <c r="Z1388" t="str">
        <f>_xlfn.XLOOKUP(Employees[[#This Row],[Education]], EdLevel[EducationLevelID], EdLevel[EducationLevel])</f>
        <v xml:space="preserve">Bachelors </v>
      </c>
      <c r="AA1388">
        <f>IF(Employees[[#This Row],[Attrition]] = "Yes", 1, 0)</f>
        <v>0</v>
      </c>
      <c r="AB1388" t="str" cm="1">
        <f t="array" ref="AB1388">_xlfn.IFS(Employees[[#This Row],[Age]]&lt;30, "20-29", Employees[[#This Row],[Age]]&lt;40, "30-39", Employees[[#This Row],[Age]]&lt;50, "40-49", "TRUE", "50+")</f>
        <v>20-29</v>
      </c>
    </row>
    <row r="1389" spans="1:28">
      <c r="A1389" t="s">
        <v>4066</v>
      </c>
      <c r="B1389" t="s">
        <v>4067</v>
      </c>
      <c r="C1389" t="s">
        <v>4068</v>
      </c>
      <c r="D1389" t="s">
        <v>26</v>
      </c>
      <c r="E1389">
        <v>46</v>
      </c>
      <c r="F1389" t="s">
        <v>70</v>
      </c>
      <c r="G1389" t="s">
        <v>28</v>
      </c>
      <c r="H1389">
        <v>24</v>
      </c>
      <c r="I1389" t="s">
        <v>39</v>
      </c>
      <c r="J1389" t="s">
        <v>30</v>
      </c>
      <c r="K1389">
        <v>4</v>
      </c>
      <c r="L1389" t="s">
        <v>121</v>
      </c>
      <c r="M1389" t="s">
        <v>32</v>
      </c>
      <c r="N1389" t="s">
        <v>40</v>
      </c>
      <c r="O1389">
        <v>236103</v>
      </c>
      <c r="P1389">
        <v>0</v>
      </c>
      <c r="Q1389" t="s">
        <v>34</v>
      </c>
      <c r="R1389" s="1">
        <v>44733</v>
      </c>
      <c r="S1389" t="s">
        <v>34</v>
      </c>
      <c r="T1389">
        <v>0</v>
      </c>
      <c r="U1389">
        <v>0</v>
      </c>
      <c r="V1389">
        <v>0</v>
      </c>
      <c r="W1389">
        <v>0</v>
      </c>
      <c r="X1389" t="s">
        <v>11023</v>
      </c>
      <c r="Y1389" t="s">
        <v>11023</v>
      </c>
      <c r="Z1389" t="str">
        <f>_xlfn.XLOOKUP(Employees[[#This Row],[Education]], EdLevel[EducationLevelID], EdLevel[EducationLevel])</f>
        <v xml:space="preserve">Masters </v>
      </c>
      <c r="AA1389">
        <f>IF(Employees[[#This Row],[Attrition]] = "Yes", 1, 0)</f>
        <v>0</v>
      </c>
      <c r="AB1389" t="str" cm="1">
        <f t="array" ref="AB1389">_xlfn.IFS(Employees[[#This Row],[Age]]&lt;30, "20-29", Employees[[#This Row],[Age]]&lt;40, "30-39", Employees[[#This Row],[Age]]&lt;50, "40-49", "TRUE", "50+")</f>
        <v>40-49</v>
      </c>
    </row>
    <row r="1390" spans="1:28">
      <c r="A1390" t="s">
        <v>4069</v>
      </c>
      <c r="B1390" t="s">
        <v>4070</v>
      </c>
      <c r="C1390" t="s">
        <v>4071</v>
      </c>
      <c r="D1390" t="s">
        <v>38</v>
      </c>
      <c r="E1390">
        <v>25</v>
      </c>
      <c r="F1390" t="s">
        <v>84</v>
      </c>
      <c r="G1390" t="s">
        <v>54</v>
      </c>
      <c r="H1390">
        <v>39</v>
      </c>
      <c r="I1390" t="s">
        <v>65</v>
      </c>
      <c r="J1390" t="s">
        <v>30</v>
      </c>
      <c r="K1390">
        <v>4</v>
      </c>
      <c r="L1390" t="s">
        <v>55</v>
      </c>
      <c r="M1390" t="s">
        <v>101</v>
      </c>
      <c r="N1390" t="s">
        <v>40</v>
      </c>
      <c r="O1390">
        <v>26545</v>
      </c>
      <c r="P1390">
        <v>1</v>
      </c>
      <c r="Q1390" t="s">
        <v>41</v>
      </c>
      <c r="R1390" s="1">
        <v>44733</v>
      </c>
      <c r="S1390" t="s">
        <v>41</v>
      </c>
      <c r="T1390">
        <v>0</v>
      </c>
      <c r="U1390">
        <v>0</v>
      </c>
      <c r="V1390">
        <v>0</v>
      </c>
      <c r="W1390">
        <v>0</v>
      </c>
      <c r="X1390" t="s">
        <v>11023</v>
      </c>
      <c r="Y1390" t="s">
        <v>11023</v>
      </c>
      <c r="Z1390" t="str">
        <f>_xlfn.XLOOKUP(Employees[[#This Row],[Education]], EdLevel[EducationLevelID], EdLevel[EducationLevel])</f>
        <v xml:space="preserve">Masters </v>
      </c>
      <c r="AA1390">
        <f>IF(Employees[[#This Row],[Attrition]] = "Yes", 1, 0)</f>
        <v>1</v>
      </c>
      <c r="AB1390" t="str" cm="1">
        <f t="array" ref="AB1390">_xlfn.IFS(Employees[[#This Row],[Age]]&lt;30, "20-29", Employees[[#This Row],[Age]]&lt;40, "30-39", Employees[[#This Row],[Age]]&lt;50, "40-49", "TRUE", "50+")</f>
        <v>20-29</v>
      </c>
    </row>
    <row r="1391" spans="1:28">
      <c r="A1391" t="s">
        <v>4072</v>
      </c>
      <c r="B1391" t="s">
        <v>4073</v>
      </c>
      <c r="C1391" t="s">
        <v>4074</v>
      </c>
      <c r="D1391" t="s">
        <v>26</v>
      </c>
      <c r="E1391">
        <v>30</v>
      </c>
      <c r="F1391" t="s">
        <v>84</v>
      </c>
      <c r="G1391" t="s">
        <v>54</v>
      </c>
      <c r="H1391">
        <v>37</v>
      </c>
      <c r="I1391" t="s">
        <v>39</v>
      </c>
      <c r="J1391" t="s">
        <v>30</v>
      </c>
      <c r="K1391">
        <v>1</v>
      </c>
      <c r="L1391" t="s">
        <v>178</v>
      </c>
      <c r="M1391" t="s">
        <v>85</v>
      </c>
      <c r="N1391" t="s">
        <v>40</v>
      </c>
      <c r="O1391">
        <v>109778</v>
      </c>
      <c r="P1391">
        <v>0</v>
      </c>
      <c r="Q1391" t="s">
        <v>34</v>
      </c>
      <c r="R1391" s="1">
        <v>44735</v>
      </c>
      <c r="S1391" t="s">
        <v>41</v>
      </c>
      <c r="T1391">
        <v>0</v>
      </c>
      <c r="U1391">
        <v>0</v>
      </c>
      <c r="V1391">
        <v>0</v>
      </c>
      <c r="W1391">
        <v>0</v>
      </c>
      <c r="X1391" t="s">
        <v>11020</v>
      </c>
      <c r="Y1391" t="s">
        <v>11020</v>
      </c>
      <c r="Z1391" t="str">
        <f>_xlfn.XLOOKUP(Employees[[#This Row],[Education]], EdLevel[EducationLevelID], EdLevel[EducationLevel])</f>
        <v>No Formal Qualifications</v>
      </c>
      <c r="AA1391">
        <f>IF(Employees[[#This Row],[Attrition]] = "Yes", 1, 0)</f>
        <v>1</v>
      </c>
      <c r="AB1391" t="str" cm="1">
        <f t="array" ref="AB1391">_xlfn.IFS(Employees[[#This Row],[Age]]&lt;30, "20-29", Employees[[#This Row],[Age]]&lt;40, "30-39", Employees[[#This Row],[Age]]&lt;50, "40-49", "TRUE", "50+")</f>
        <v>30-39</v>
      </c>
    </row>
    <row r="1392" spans="1:28">
      <c r="A1392" t="s">
        <v>4075</v>
      </c>
      <c r="B1392" t="s">
        <v>459</v>
      </c>
      <c r="C1392" t="s">
        <v>4076</v>
      </c>
      <c r="D1392" t="s">
        <v>38</v>
      </c>
      <c r="E1392">
        <v>18</v>
      </c>
      <c r="F1392" t="s">
        <v>27</v>
      </c>
      <c r="G1392" t="s">
        <v>28</v>
      </c>
      <c r="H1392">
        <v>9</v>
      </c>
      <c r="I1392" t="s">
        <v>29</v>
      </c>
      <c r="J1392" t="s">
        <v>30</v>
      </c>
      <c r="K1392">
        <v>4</v>
      </c>
      <c r="L1392" t="s">
        <v>47</v>
      </c>
      <c r="M1392" t="s">
        <v>150</v>
      </c>
      <c r="N1392" t="s">
        <v>40</v>
      </c>
      <c r="O1392">
        <v>61582</v>
      </c>
      <c r="P1392">
        <v>0</v>
      </c>
      <c r="Q1392" t="s">
        <v>34</v>
      </c>
      <c r="R1392" s="1">
        <v>44736</v>
      </c>
      <c r="S1392" t="s">
        <v>34</v>
      </c>
      <c r="T1392">
        <v>0</v>
      </c>
      <c r="U1392">
        <v>0</v>
      </c>
      <c r="V1392">
        <v>0</v>
      </c>
      <c r="W1392">
        <v>0</v>
      </c>
      <c r="X1392" t="s">
        <v>11023</v>
      </c>
      <c r="Y1392" t="s">
        <v>11023</v>
      </c>
      <c r="Z1392" t="str">
        <f>_xlfn.XLOOKUP(Employees[[#This Row],[Education]], EdLevel[EducationLevelID], EdLevel[EducationLevel])</f>
        <v xml:space="preserve">Masters </v>
      </c>
      <c r="AA1392">
        <f>IF(Employees[[#This Row],[Attrition]] = "Yes", 1, 0)</f>
        <v>0</v>
      </c>
      <c r="AB1392" t="str" cm="1">
        <f t="array" ref="AB1392">_xlfn.IFS(Employees[[#This Row],[Age]]&lt;30, "20-29", Employees[[#This Row],[Age]]&lt;40, "30-39", Employees[[#This Row],[Age]]&lt;50, "40-49", "TRUE", "50+")</f>
        <v>20-29</v>
      </c>
    </row>
    <row r="1393" spans="1:28">
      <c r="A1393" t="s">
        <v>4077</v>
      </c>
      <c r="B1393" t="s">
        <v>4078</v>
      </c>
      <c r="C1393" t="s">
        <v>4079</v>
      </c>
      <c r="D1393" t="s">
        <v>38</v>
      </c>
      <c r="E1393">
        <v>20</v>
      </c>
      <c r="F1393" t="s">
        <v>27</v>
      </c>
      <c r="G1393" t="s">
        <v>54</v>
      </c>
      <c r="H1393">
        <v>4</v>
      </c>
      <c r="I1393" t="s">
        <v>39</v>
      </c>
      <c r="J1393" t="s">
        <v>30</v>
      </c>
      <c r="K1393">
        <v>4</v>
      </c>
      <c r="L1393" t="s">
        <v>72</v>
      </c>
      <c r="M1393" t="s">
        <v>85</v>
      </c>
      <c r="N1393" t="s">
        <v>40</v>
      </c>
      <c r="O1393">
        <v>34954</v>
      </c>
      <c r="P1393">
        <v>0</v>
      </c>
      <c r="Q1393" t="s">
        <v>34</v>
      </c>
      <c r="R1393" s="1">
        <v>44736</v>
      </c>
      <c r="S1393" t="s">
        <v>34</v>
      </c>
      <c r="T1393">
        <v>0</v>
      </c>
      <c r="U1393">
        <v>0</v>
      </c>
      <c r="V1393">
        <v>0</v>
      </c>
      <c r="W1393">
        <v>0</v>
      </c>
      <c r="X1393" t="s">
        <v>11023</v>
      </c>
      <c r="Y1393" t="s">
        <v>11023</v>
      </c>
      <c r="Z1393" t="str">
        <f>_xlfn.XLOOKUP(Employees[[#This Row],[Education]], EdLevel[EducationLevelID], EdLevel[EducationLevel])</f>
        <v xml:space="preserve">Masters </v>
      </c>
      <c r="AA1393">
        <f>IF(Employees[[#This Row],[Attrition]] = "Yes", 1, 0)</f>
        <v>0</v>
      </c>
      <c r="AB1393" t="str" cm="1">
        <f t="array" ref="AB1393">_xlfn.IFS(Employees[[#This Row],[Age]]&lt;30, "20-29", Employees[[#This Row],[Age]]&lt;40, "30-39", Employees[[#This Row],[Age]]&lt;50, "40-49", "TRUE", "50+")</f>
        <v>20-29</v>
      </c>
    </row>
    <row r="1394" spans="1:28">
      <c r="A1394" t="s">
        <v>4080</v>
      </c>
      <c r="B1394" t="s">
        <v>4081</v>
      </c>
      <c r="C1394" t="s">
        <v>4082</v>
      </c>
      <c r="D1394" t="s">
        <v>38</v>
      </c>
      <c r="E1394">
        <v>18</v>
      </c>
      <c r="F1394" t="s">
        <v>84</v>
      </c>
      <c r="G1394" t="s">
        <v>28</v>
      </c>
      <c r="H1394">
        <v>21</v>
      </c>
      <c r="I1394" t="s">
        <v>65</v>
      </c>
      <c r="J1394" t="s">
        <v>30</v>
      </c>
      <c r="K1394">
        <v>4</v>
      </c>
      <c r="L1394" t="s">
        <v>31</v>
      </c>
      <c r="M1394" t="s">
        <v>150</v>
      </c>
      <c r="N1394" t="s">
        <v>40</v>
      </c>
      <c r="O1394">
        <v>22889</v>
      </c>
      <c r="P1394">
        <v>1</v>
      </c>
      <c r="Q1394" t="s">
        <v>34</v>
      </c>
      <c r="R1394" s="1">
        <v>44737</v>
      </c>
      <c r="S1394" t="s">
        <v>34</v>
      </c>
      <c r="T1394">
        <v>0</v>
      </c>
      <c r="U1394">
        <v>0</v>
      </c>
      <c r="V1394">
        <v>0</v>
      </c>
      <c r="W1394">
        <v>0</v>
      </c>
      <c r="X1394" t="s">
        <v>11023</v>
      </c>
      <c r="Y1394" t="s">
        <v>11023</v>
      </c>
      <c r="Z1394" t="str">
        <f>_xlfn.XLOOKUP(Employees[[#This Row],[Education]], EdLevel[EducationLevelID], EdLevel[EducationLevel])</f>
        <v xml:space="preserve">Masters </v>
      </c>
      <c r="AA1394">
        <f>IF(Employees[[#This Row],[Attrition]] = "Yes", 1, 0)</f>
        <v>0</v>
      </c>
      <c r="AB1394" t="str" cm="1">
        <f t="array" ref="AB1394">_xlfn.IFS(Employees[[#This Row],[Age]]&lt;30, "20-29", Employees[[#This Row],[Age]]&lt;40, "30-39", Employees[[#This Row],[Age]]&lt;50, "40-49", "TRUE", "50+")</f>
        <v>20-29</v>
      </c>
    </row>
    <row r="1395" spans="1:28">
      <c r="A1395" t="s">
        <v>4083</v>
      </c>
      <c r="B1395" t="s">
        <v>2492</v>
      </c>
      <c r="C1395" t="s">
        <v>4084</v>
      </c>
      <c r="D1395" t="s">
        <v>38</v>
      </c>
      <c r="E1395">
        <v>24</v>
      </c>
      <c r="F1395" t="s">
        <v>27</v>
      </c>
      <c r="G1395" t="s">
        <v>54</v>
      </c>
      <c r="H1395">
        <v>1</v>
      </c>
      <c r="I1395" t="s">
        <v>39</v>
      </c>
      <c r="J1395" t="s">
        <v>30</v>
      </c>
      <c r="K1395">
        <v>4</v>
      </c>
      <c r="L1395" t="s">
        <v>55</v>
      </c>
      <c r="M1395" t="s">
        <v>105</v>
      </c>
      <c r="N1395" t="s">
        <v>40</v>
      </c>
      <c r="O1395">
        <v>113262</v>
      </c>
      <c r="P1395">
        <v>0</v>
      </c>
      <c r="Q1395" t="s">
        <v>34</v>
      </c>
      <c r="R1395" s="1">
        <v>44742</v>
      </c>
      <c r="S1395" t="s">
        <v>34</v>
      </c>
      <c r="T1395">
        <v>0</v>
      </c>
      <c r="U1395">
        <v>0</v>
      </c>
      <c r="V1395">
        <v>0</v>
      </c>
      <c r="W1395">
        <v>0</v>
      </c>
      <c r="X1395" t="s">
        <v>11023</v>
      </c>
      <c r="Y1395" t="s">
        <v>11023</v>
      </c>
      <c r="Z1395" t="str">
        <f>_xlfn.XLOOKUP(Employees[[#This Row],[Education]], EdLevel[EducationLevelID], EdLevel[EducationLevel])</f>
        <v xml:space="preserve">Masters </v>
      </c>
      <c r="AA1395">
        <f>IF(Employees[[#This Row],[Attrition]] = "Yes", 1, 0)</f>
        <v>0</v>
      </c>
      <c r="AB1395" t="str" cm="1">
        <f t="array" ref="AB1395">_xlfn.IFS(Employees[[#This Row],[Age]]&lt;30, "20-29", Employees[[#This Row],[Age]]&lt;40, "30-39", Employees[[#This Row],[Age]]&lt;50, "40-49", "TRUE", "50+")</f>
        <v>20-29</v>
      </c>
    </row>
    <row r="1396" spans="1:28">
      <c r="A1396" t="s">
        <v>4085</v>
      </c>
      <c r="B1396" t="s">
        <v>551</v>
      </c>
      <c r="C1396" t="s">
        <v>4086</v>
      </c>
      <c r="D1396" t="s">
        <v>38</v>
      </c>
      <c r="E1396">
        <v>19</v>
      </c>
      <c r="F1396" t="s">
        <v>27</v>
      </c>
      <c r="G1396" t="s">
        <v>54</v>
      </c>
      <c r="H1396">
        <v>21</v>
      </c>
      <c r="I1396" t="s">
        <v>39</v>
      </c>
      <c r="J1396" t="s">
        <v>30</v>
      </c>
      <c r="K1396">
        <v>1</v>
      </c>
      <c r="L1396" t="s">
        <v>55</v>
      </c>
      <c r="M1396" t="s">
        <v>105</v>
      </c>
      <c r="N1396" t="s">
        <v>40</v>
      </c>
      <c r="O1396">
        <v>71551</v>
      </c>
      <c r="P1396">
        <v>1</v>
      </c>
      <c r="Q1396" t="s">
        <v>41</v>
      </c>
      <c r="R1396" s="1">
        <v>44743</v>
      </c>
      <c r="S1396" t="s">
        <v>34</v>
      </c>
      <c r="T1396">
        <v>0</v>
      </c>
      <c r="U1396">
        <v>0</v>
      </c>
      <c r="V1396">
        <v>0</v>
      </c>
      <c r="W1396">
        <v>0</v>
      </c>
      <c r="X1396" t="s">
        <v>11020</v>
      </c>
      <c r="Y1396" t="s">
        <v>11020</v>
      </c>
      <c r="Z1396" t="str">
        <f>_xlfn.XLOOKUP(Employees[[#This Row],[Education]], EdLevel[EducationLevelID], EdLevel[EducationLevel])</f>
        <v>No Formal Qualifications</v>
      </c>
      <c r="AA1396">
        <f>IF(Employees[[#This Row],[Attrition]] = "Yes", 1, 0)</f>
        <v>0</v>
      </c>
      <c r="AB1396" t="str" cm="1">
        <f t="array" ref="AB1396">_xlfn.IFS(Employees[[#This Row],[Age]]&lt;30, "20-29", Employees[[#This Row],[Age]]&lt;40, "30-39", Employees[[#This Row],[Age]]&lt;50, "40-49", "TRUE", "50+")</f>
        <v>20-29</v>
      </c>
    </row>
    <row r="1397" spans="1:28">
      <c r="A1397" t="s">
        <v>4087</v>
      </c>
      <c r="B1397" t="s">
        <v>4088</v>
      </c>
      <c r="C1397" t="s">
        <v>4089</v>
      </c>
      <c r="D1397" t="s">
        <v>26</v>
      </c>
      <c r="E1397">
        <v>20</v>
      </c>
      <c r="F1397" t="s">
        <v>70</v>
      </c>
      <c r="G1397" t="s">
        <v>54</v>
      </c>
      <c r="H1397">
        <v>12</v>
      </c>
      <c r="I1397" t="s">
        <v>39</v>
      </c>
      <c r="J1397" t="s">
        <v>30</v>
      </c>
      <c r="K1397">
        <v>3</v>
      </c>
      <c r="L1397" t="s">
        <v>72</v>
      </c>
      <c r="M1397" t="s">
        <v>101</v>
      </c>
      <c r="N1397" t="s">
        <v>40</v>
      </c>
      <c r="O1397">
        <v>29329</v>
      </c>
      <c r="P1397">
        <v>0</v>
      </c>
      <c r="Q1397" t="s">
        <v>34</v>
      </c>
      <c r="R1397" s="1">
        <v>44745</v>
      </c>
      <c r="S1397" t="s">
        <v>34</v>
      </c>
      <c r="T1397">
        <v>0</v>
      </c>
      <c r="U1397">
        <v>0</v>
      </c>
      <c r="V1397">
        <v>0</v>
      </c>
      <c r="W1397">
        <v>0</v>
      </c>
      <c r="X1397" t="s">
        <v>11022</v>
      </c>
      <c r="Y1397" t="s">
        <v>11022</v>
      </c>
      <c r="Z1397" t="str">
        <f>_xlfn.XLOOKUP(Employees[[#This Row],[Education]], EdLevel[EducationLevelID], EdLevel[EducationLevel])</f>
        <v xml:space="preserve">Bachelors </v>
      </c>
      <c r="AA1397">
        <f>IF(Employees[[#This Row],[Attrition]] = "Yes", 1, 0)</f>
        <v>0</v>
      </c>
      <c r="AB1397" t="str" cm="1">
        <f t="array" ref="AB1397">_xlfn.IFS(Employees[[#This Row],[Age]]&lt;30, "20-29", Employees[[#This Row],[Age]]&lt;40, "30-39", Employees[[#This Row],[Age]]&lt;50, "40-49", "TRUE", "50+")</f>
        <v>20-29</v>
      </c>
    </row>
    <row r="1398" spans="1:28">
      <c r="A1398" t="s">
        <v>4090</v>
      </c>
      <c r="B1398" t="s">
        <v>2246</v>
      </c>
      <c r="C1398" t="s">
        <v>4091</v>
      </c>
      <c r="D1398" t="s">
        <v>26</v>
      </c>
      <c r="E1398">
        <v>26</v>
      </c>
      <c r="F1398" t="s">
        <v>27</v>
      </c>
      <c r="G1398" t="s">
        <v>54</v>
      </c>
      <c r="H1398">
        <v>43</v>
      </c>
      <c r="I1398" t="s">
        <v>29</v>
      </c>
      <c r="J1398" t="s">
        <v>30</v>
      </c>
      <c r="K1398">
        <v>3</v>
      </c>
      <c r="L1398" t="s">
        <v>77</v>
      </c>
      <c r="M1398" t="s">
        <v>93</v>
      </c>
      <c r="N1398" t="s">
        <v>40</v>
      </c>
      <c r="O1398">
        <v>125232</v>
      </c>
      <c r="P1398">
        <v>1</v>
      </c>
      <c r="Q1398" t="s">
        <v>34</v>
      </c>
      <c r="R1398" s="1">
        <v>44749</v>
      </c>
      <c r="S1398" t="s">
        <v>34</v>
      </c>
      <c r="T1398">
        <v>0</v>
      </c>
      <c r="U1398">
        <v>0</v>
      </c>
      <c r="V1398">
        <v>0</v>
      </c>
      <c r="W1398">
        <v>0</v>
      </c>
      <c r="X1398" t="s">
        <v>11022</v>
      </c>
      <c r="Y1398" t="s">
        <v>11022</v>
      </c>
      <c r="Z1398" t="str">
        <f>_xlfn.XLOOKUP(Employees[[#This Row],[Education]], EdLevel[EducationLevelID], EdLevel[EducationLevel])</f>
        <v xml:space="preserve">Bachelors </v>
      </c>
      <c r="AA1398">
        <f>IF(Employees[[#This Row],[Attrition]] = "Yes", 1, 0)</f>
        <v>0</v>
      </c>
      <c r="AB1398" t="str" cm="1">
        <f t="array" ref="AB1398">_xlfn.IFS(Employees[[#This Row],[Age]]&lt;30, "20-29", Employees[[#This Row],[Age]]&lt;40, "30-39", Employees[[#This Row],[Age]]&lt;50, "40-49", "TRUE", "50+")</f>
        <v>20-29</v>
      </c>
    </row>
    <row r="1399" spans="1:28">
      <c r="A1399" t="s">
        <v>4092</v>
      </c>
      <c r="B1399" t="s">
        <v>4093</v>
      </c>
      <c r="C1399" t="s">
        <v>4094</v>
      </c>
      <c r="D1399" t="s">
        <v>38</v>
      </c>
      <c r="E1399">
        <v>31</v>
      </c>
      <c r="F1399" t="s">
        <v>27</v>
      </c>
      <c r="G1399" t="s">
        <v>54</v>
      </c>
      <c r="H1399">
        <v>28</v>
      </c>
      <c r="I1399" t="s">
        <v>39</v>
      </c>
      <c r="J1399" t="s">
        <v>30</v>
      </c>
      <c r="K1399">
        <v>4</v>
      </c>
      <c r="L1399" t="s">
        <v>72</v>
      </c>
      <c r="M1399" t="s">
        <v>56</v>
      </c>
      <c r="N1399" t="s">
        <v>40</v>
      </c>
      <c r="O1399">
        <v>353335</v>
      </c>
      <c r="P1399">
        <v>1</v>
      </c>
      <c r="Q1399" t="s">
        <v>41</v>
      </c>
      <c r="R1399" s="1">
        <v>44749</v>
      </c>
      <c r="S1399" t="s">
        <v>34</v>
      </c>
      <c r="T1399">
        <v>0</v>
      </c>
      <c r="U1399">
        <v>0</v>
      </c>
      <c r="V1399">
        <v>0</v>
      </c>
      <c r="W1399">
        <v>0</v>
      </c>
      <c r="X1399" t="s">
        <v>11023</v>
      </c>
      <c r="Y1399" t="s">
        <v>11023</v>
      </c>
      <c r="Z1399" t="str">
        <f>_xlfn.XLOOKUP(Employees[[#This Row],[Education]], EdLevel[EducationLevelID], EdLevel[EducationLevel])</f>
        <v xml:space="preserve">Masters </v>
      </c>
      <c r="AA1399">
        <f>IF(Employees[[#This Row],[Attrition]] = "Yes", 1, 0)</f>
        <v>0</v>
      </c>
      <c r="AB1399" t="str" cm="1">
        <f t="array" ref="AB1399">_xlfn.IFS(Employees[[#This Row],[Age]]&lt;30, "20-29", Employees[[#This Row],[Age]]&lt;40, "30-39", Employees[[#This Row],[Age]]&lt;50, "40-49", "TRUE", "50+")</f>
        <v>30-39</v>
      </c>
    </row>
    <row r="1400" spans="1:28">
      <c r="A1400" t="s">
        <v>4095</v>
      </c>
      <c r="B1400" t="s">
        <v>4096</v>
      </c>
      <c r="C1400" t="s">
        <v>4097</v>
      </c>
      <c r="D1400" t="s">
        <v>38</v>
      </c>
      <c r="E1400">
        <v>27</v>
      </c>
      <c r="F1400" t="s">
        <v>27</v>
      </c>
      <c r="G1400" t="s">
        <v>54</v>
      </c>
      <c r="H1400">
        <v>19</v>
      </c>
      <c r="I1400" t="s">
        <v>29</v>
      </c>
      <c r="J1400" t="s">
        <v>30</v>
      </c>
      <c r="K1400">
        <v>4</v>
      </c>
      <c r="L1400" t="s">
        <v>178</v>
      </c>
      <c r="M1400" t="s">
        <v>56</v>
      </c>
      <c r="N1400" t="s">
        <v>49</v>
      </c>
      <c r="O1400">
        <v>118176</v>
      </c>
      <c r="P1400">
        <v>1</v>
      </c>
      <c r="Q1400" t="s">
        <v>34</v>
      </c>
      <c r="R1400" s="1">
        <v>44756</v>
      </c>
      <c r="S1400" t="s">
        <v>34</v>
      </c>
      <c r="T1400">
        <v>0</v>
      </c>
      <c r="U1400">
        <v>0</v>
      </c>
      <c r="V1400">
        <v>0</v>
      </c>
      <c r="W1400">
        <v>0</v>
      </c>
      <c r="X1400" t="s">
        <v>11023</v>
      </c>
      <c r="Y1400" t="s">
        <v>11023</v>
      </c>
      <c r="Z1400" t="str">
        <f>_xlfn.XLOOKUP(Employees[[#This Row],[Education]], EdLevel[EducationLevelID], EdLevel[EducationLevel])</f>
        <v xml:space="preserve">Masters </v>
      </c>
      <c r="AA1400">
        <f>IF(Employees[[#This Row],[Attrition]] = "Yes", 1, 0)</f>
        <v>0</v>
      </c>
      <c r="AB1400" t="str" cm="1">
        <f t="array" ref="AB1400">_xlfn.IFS(Employees[[#This Row],[Age]]&lt;30, "20-29", Employees[[#This Row],[Age]]&lt;40, "30-39", Employees[[#This Row],[Age]]&lt;50, "40-49", "TRUE", "50+")</f>
        <v>20-29</v>
      </c>
    </row>
    <row r="1401" spans="1:28">
      <c r="A1401" t="s">
        <v>4098</v>
      </c>
      <c r="B1401" t="s">
        <v>4099</v>
      </c>
      <c r="C1401" t="s">
        <v>4100</v>
      </c>
      <c r="D1401" t="s">
        <v>26</v>
      </c>
      <c r="E1401">
        <v>19</v>
      </c>
      <c r="F1401" t="s">
        <v>27</v>
      </c>
      <c r="G1401" t="s">
        <v>54</v>
      </c>
      <c r="H1401">
        <v>33</v>
      </c>
      <c r="I1401" t="s">
        <v>65</v>
      </c>
      <c r="J1401" t="s">
        <v>30</v>
      </c>
      <c r="K1401">
        <v>3</v>
      </c>
      <c r="L1401" t="s">
        <v>72</v>
      </c>
      <c r="M1401" t="s">
        <v>93</v>
      </c>
      <c r="N1401" t="s">
        <v>40</v>
      </c>
      <c r="O1401">
        <v>53571</v>
      </c>
      <c r="P1401">
        <v>0</v>
      </c>
      <c r="Q1401" t="s">
        <v>41</v>
      </c>
      <c r="R1401" s="1">
        <v>44758</v>
      </c>
      <c r="S1401" t="s">
        <v>34</v>
      </c>
      <c r="T1401">
        <v>0</v>
      </c>
      <c r="U1401">
        <v>0</v>
      </c>
      <c r="V1401">
        <v>0</v>
      </c>
      <c r="W1401">
        <v>0</v>
      </c>
      <c r="X1401" t="s">
        <v>11022</v>
      </c>
      <c r="Y1401" t="s">
        <v>11022</v>
      </c>
      <c r="Z1401" t="str">
        <f>_xlfn.XLOOKUP(Employees[[#This Row],[Education]], EdLevel[EducationLevelID], EdLevel[EducationLevel])</f>
        <v xml:space="preserve">Bachelors </v>
      </c>
      <c r="AA1401">
        <f>IF(Employees[[#This Row],[Attrition]] = "Yes", 1, 0)</f>
        <v>0</v>
      </c>
      <c r="AB1401" t="str" cm="1">
        <f t="array" ref="AB1401">_xlfn.IFS(Employees[[#This Row],[Age]]&lt;30, "20-29", Employees[[#This Row],[Age]]&lt;40, "30-39", Employees[[#This Row],[Age]]&lt;50, "40-49", "TRUE", "50+")</f>
        <v>20-29</v>
      </c>
    </row>
    <row r="1402" spans="1:28">
      <c r="A1402" t="s">
        <v>4101</v>
      </c>
      <c r="B1402" t="s">
        <v>4102</v>
      </c>
      <c r="C1402" t="s">
        <v>4103</v>
      </c>
      <c r="D1402" t="s">
        <v>38</v>
      </c>
      <c r="E1402">
        <v>29</v>
      </c>
      <c r="F1402" t="s">
        <v>27</v>
      </c>
      <c r="G1402" t="s">
        <v>45</v>
      </c>
      <c r="H1402">
        <v>41</v>
      </c>
      <c r="I1402" t="s">
        <v>65</v>
      </c>
      <c r="J1402" t="s">
        <v>30</v>
      </c>
      <c r="K1402">
        <v>3</v>
      </c>
      <c r="L1402" t="s">
        <v>45</v>
      </c>
      <c r="M1402" t="s">
        <v>207</v>
      </c>
      <c r="N1402" t="s">
        <v>49</v>
      </c>
      <c r="O1402">
        <v>142773</v>
      </c>
      <c r="P1402">
        <v>0</v>
      </c>
      <c r="Q1402" t="s">
        <v>41</v>
      </c>
      <c r="R1402" s="1">
        <v>44758</v>
      </c>
      <c r="S1402" t="s">
        <v>34</v>
      </c>
      <c r="T1402">
        <v>0</v>
      </c>
      <c r="U1402">
        <v>0</v>
      </c>
      <c r="V1402">
        <v>0</v>
      </c>
      <c r="W1402">
        <v>0</v>
      </c>
      <c r="X1402" t="s">
        <v>11022</v>
      </c>
      <c r="Y1402" t="s">
        <v>11022</v>
      </c>
      <c r="Z1402" t="str">
        <f>_xlfn.XLOOKUP(Employees[[#This Row],[Education]], EdLevel[EducationLevelID], EdLevel[EducationLevel])</f>
        <v xml:space="preserve">Bachelors </v>
      </c>
      <c r="AA1402">
        <f>IF(Employees[[#This Row],[Attrition]] = "Yes", 1, 0)</f>
        <v>0</v>
      </c>
      <c r="AB1402" t="str" cm="1">
        <f t="array" ref="AB1402">_xlfn.IFS(Employees[[#This Row],[Age]]&lt;30, "20-29", Employees[[#This Row],[Age]]&lt;40, "30-39", Employees[[#This Row],[Age]]&lt;50, "40-49", "TRUE", "50+")</f>
        <v>20-29</v>
      </c>
    </row>
    <row r="1403" spans="1:28">
      <c r="A1403" t="s">
        <v>4104</v>
      </c>
      <c r="B1403" t="s">
        <v>3674</v>
      </c>
      <c r="C1403" t="s">
        <v>4105</v>
      </c>
      <c r="D1403" t="s">
        <v>26</v>
      </c>
      <c r="E1403">
        <v>19</v>
      </c>
      <c r="F1403" t="s">
        <v>27</v>
      </c>
      <c r="G1403" t="s">
        <v>54</v>
      </c>
      <c r="H1403">
        <v>43</v>
      </c>
      <c r="I1403" t="s">
        <v>39</v>
      </c>
      <c r="J1403" t="s">
        <v>30</v>
      </c>
      <c r="K1403">
        <v>3</v>
      </c>
      <c r="L1403" t="s">
        <v>72</v>
      </c>
      <c r="M1403" t="s">
        <v>85</v>
      </c>
      <c r="N1403" t="s">
        <v>40</v>
      </c>
      <c r="O1403">
        <v>49006</v>
      </c>
      <c r="P1403">
        <v>1</v>
      </c>
      <c r="Q1403" t="s">
        <v>34</v>
      </c>
      <c r="R1403" s="1">
        <v>44760</v>
      </c>
      <c r="S1403" t="s">
        <v>41</v>
      </c>
      <c r="T1403">
        <v>0</v>
      </c>
      <c r="U1403">
        <v>0</v>
      </c>
      <c r="V1403">
        <v>0</v>
      </c>
      <c r="W1403">
        <v>0</v>
      </c>
      <c r="X1403" t="s">
        <v>11022</v>
      </c>
      <c r="Y1403" t="s">
        <v>11022</v>
      </c>
      <c r="Z1403" t="str">
        <f>_xlfn.XLOOKUP(Employees[[#This Row],[Education]], EdLevel[EducationLevelID], EdLevel[EducationLevel])</f>
        <v xml:space="preserve">Bachelors </v>
      </c>
      <c r="AA1403">
        <f>IF(Employees[[#This Row],[Attrition]] = "Yes", 1, 0)</f>
        <v>1</v>
      </c>
      <c r="AB1403" t="str" cm="1">
        <f t="array" ref="AB1403">_xlfn.IFS(Employees[[#This Row],[Age]]&lt;30, "20-29", Employees[[#This Row],[Age]]&lt;40, "30-39", Employees[[#This Row],[Age]]&lt;50, "40-49", "TRUE", "50+")</f>
        <v>20-29</v>
      </c>
    </row>
    <row r="1404" spans="1:28">
      <c r="A1404" t="s">
        <v>4106</v>
      </c>
      <c r="B1404" t="s">
        <v>4107</v>
      </c>
      <c r="C1404" t="s">
        <v>4108</v>
      </c>
      <c r="D1404" t="s">
        <v>26</v>
      </c>
      <c r="E1404">
        <v>31</v>
      </c>
      <c r="F1404" t="s">
        <v>70</v>
      </c>
      <c r="G1404" t="s">
        <v>54</v>
      </c>
      <c r="H1404">
        <v>38</v>
      </c>
      <c r="I1404" t="s">
        <v>39</v>
      </c>
      <c r="J1404" t="s">
        <v>30</v>
      </c>
      <c r="K1404">
        <v>2</v>
      </c>
      <c r="L1404" t="s">
        <v>72</v>
      </c>
      <c r="M1404" t="s">
        <v>93</v>
      </c>
      <c r="N1404" t="s">
        <v>40</v>
      </c>
      <c r="O1404">
        <v>272255</v>
      </c>
      <c r="P1404">
        <v>1</v>
      </c>
      <c r="Q1404" t="s">
        <v>34</v>
      </c>
      <c r="R1404" s="1">
        <v>44762</v>
      </c>
      <c r="S1404" t="s">
        <v>34</v>
      </c>
      <c r="T1404">
        <v>0</v>
      </c>
      <c r="U1404">
        <v>0</v>
      </c>
      <c r="V1404">
        <v>0</v>
      </c>
      <c r="W1404">
        <v>0</v>
      </c>
      <c r="X1404" t="s">
        <v>11021</v>
      </c>
      <c r="Y1404" t="s">
        <v>11021</v>
      </c>
      <c r="Z1404" t="str">
        <f>_xlfn.XLOOKUP(Employees[[#This Row],[Education]], EdLevel[EducationLevelID], EdLevel[EducationLevel])</f>
        <v xml:space="preserve">High School </v>
      </c>
      <c r="AA1404">
        <f>IF(Employees[[#This Row],[Attrition]] = "Yes", 1, 0)</f>
        <v>0</v>
      </c>
      <c r="AB1404" t="str" cm="1">
        <f t="array" ref="AB1404">_xlfn.IFS(Employees[[#This Row],[Age]]&lt;30, "20-29", Employees[[#This Row],[Age]]&lt;40, "30-39", Employees[[#This Row],[Age]]&lt;50, "40-49", "TRUE", "50+")</f>
        <v>30-39</v>
      </c>
    </row>
    <row r="1405" spans="1:28">
      <c r="A1405" t="s">
        <v>4109</v>
      </c>
      <c r="B1405" t="s">
        <v>4110</v>
      </c>
      <c r="C1405" t="s">
        <v>4111</v>
      </c>
      <c r="D1405" t="s">
        <v>53</v>
      </c>
      <c r="E1405">
        <v>20</v>
      </c>
      <c r="F1405" t="s">
        <v>27</v>
      </c>
      <c r="G1405" t="s">
        <v>28</v>
      </c>
      <c r="H1405">
        <v>43</v>
      </c>
      <c r="I1405" t="s">
        <v>39</v>
      </c>
      <c r="J1405" t="s">
        <v>30</v>
      </c>
      <c r="K1405">
        <v>5</v>
      </c>
      <c r="L1405" t="s">
        <v>31</v>
      </c>
      <c r="M1405" t="s">
        <v>32</v>
      </c>
      <c r="N1405" t="s">
        <v>49</v>
      </c>
      <c r="O1405">
        <v>39145</v>
      </c>
      <c r="P1405">
        <v>1</v>
      </c>
      <c r="Q1405" t="s">
        <v>34</v>
      </c>
      <c r="R1405" s="1">
        <v>44767</v>
      </c>
      <c r="S1405" t="s">
        <v>34</v>
      </c>
      <c r="T1405">
        <v>0</v>
      </c>
      <c r="U1405">
        <v>0</v>
      </c>
      <c r="V1405">
        <v>0</v>
      </c>
      <c r="W1405">
        <v>0</v>
      </c>
      <c r="X1405" t="s">
        <v>11024</v>
      </c>
      <c r="Y1405" t="s">
        <v>11024</v>
      </c>
      <c r="Z1405" t="str">
        <f>_xlfn.XLOOKUP(Employees[[#This Row],[Education]], EdLevel[EducationLevelID], EdLevel[EducationLevel])</f>
        <v>Doctorate</v>
      </c>
      <c r="AA1405">
        <f>IF(Employees[[#This Row],[Attrition]] = "Yes", 1, 0)</f>
        <v>0</v>
      </c>
      <c r="AB1405" t="str" cm="1">
        <f t="array" ref="AB1405">_xlfn.IFS(Employees[[#This Row],[Age]]&lt;30, "20-29", Employees[[#This Row],[Age]]&lt;40, "30-39", Employees[[#This Row],[Age]]&lt;50, "40-49", "TRUE", "50+")</f>
        <v>20-29</v>
      </c>
    </row>
    <row r="1406" spans="1:28">
      <c r="A1406" t="s">
        <v>4112</v>
      </c>
      <c r="B1406" t="s">
        <v>4113</v>
      </c>
      <c r="C1406" t="s">
        <v>4114</v>
      </c>
      <c r="D1406" t="s">
        <v>38</v>
      </c>
      <c r="E1406">
        <v>32</v>
      </c>
      <c r="F1406" t="s">
        <v>27</v>
      </c>
      <c r="G1406" t="s">
        <v>28</v>
      </c>
      <c r="H1406">
        <v>14</v>
      </c>
      <c r="I1406" t="s">
        <v>39</v>
      </c>
      <c r="J1406" t="s">
        <v>30</v>
      </c>
      <c r="K1406">
        <v>3</v>
      </c>
      <c r="L1406" t="s">
        <v>121</v>
      </c>
      <c r="M1406" t="s">
        <v>32</v>
      </c>
      <c r="N1406" t="s">
        <v>49</v>
      </c>
      <c r="O1406">
        <v>173656</v>
      </c>
      <c r="P1406">
        <v>2</v>
      </c>
      <c r="Q1406" t="s">
        <v>34</v>
      </c>
      <c r="R1406" s="1">
        <v>44768</v>
      </c>
      <c r="S1406" t="s">
        <v>34</v>
      </c>
      <c r="T1406">
        <v>0</v>
      </c>
      <c r="U1406">
        <v>0</v>
      </c>
      <c r="V1406">
        <v>0</v>
      </c>
      <c r="W1406">
        <v>0</v>
      </c>
      <c r="X1406" t="s">
        <v>11022</v>
      </c>
      <c r="Y1406" t="s">
        <v>11022</v>
      </c>
      <c r="Z1406" t="str">
        <f>_xlfn.XLOOKUP(Employees[[#This Row],[Education]], EdLevel[EducationLevelID], EdLevel[EducationLevel])</f>
        <v xml:space="preserve">Bachelors </v>
      </c>
      <c r="AA1406">
        <f>IF(Employees[[#This Row],[Attrition]] = "Yes", 1, 0)</f>
        <v>0</v>
      </c>
      <c r="AB1406" t="str" cm="1">
        <f t="array" ref="AB1406">_xlfn.IFS(Employees[[#This Row],[Age]]&lt;30, "20-29", Employees[[#This Row],[Age]]&lt;40, "30-39", Employees[[#This Row],[Age]]&lt;50, "40-49", "TRUE", "50+")</f>
        <v>30-39</v>
      </c>
    </row>
    <row r="1407" spans="1:28">
      <c r="A1407" t="s">
        <v>4115</v>
      </c>
      <c r="B1407" t="s">
        <v>4116</v>
      </c>
      <c r="C1407" t="s">
        <v>4117</v>
      </c>
      <c r="D1407" t="s">
        <v>38</v>
      </c>
      <c r="E1407">
        <v>40</v>
      </c>
      <c r="F1407" t="s">
        <v>27</v>
      </c>
      <c r="G1407" t="s">
        <v>54</v>
      </c>
      <c r="H1407">
        <v>33</v>
      </c>
      <c r="I1407" t="s">
        <v>39</v>
      </c>
      <c r="J1407" t="s">
        <v>30</v>
      </c>
      <c r="K1407">
        <v>3</v>
      </c>
      <c r="L1407" t="s">
        <v>178</v>
      </c>
      <c r="M1407" t="s">
        <v>105</v>
      </c>
      <c r="N1407" t="s">
        <v>40</v>
      </c>
      <c r="O1407">
        <v>271683</v>
      </c>
      <c r="P1407">
        <v>1</v>
      </c>
      <c r="Q1407" t="s">
        <v>41</v>
      </c>
      <c r="R1407" s="1">
        <v>44768</v>
      </c>
      <c r="S1407" t="s">
        <v>34</v>
      </c>
      <c r="T1407">
        <v>0</v>
      </c>
      <c r="U1407">
        <v>0</v>
      </c>
      <c r="V1407">
        <v>0</v>
      </c>
      <c r="W1407">
        <v>0</v>
      </c>
      <c r="X1407" t="s">
        <v>11022</v>
      </c>
      <c r="Y1407" t="s">
        <v>11022</v>
      </c>
      <c r="Z1407" t="str">
        <f>_xlfn.XLOOKUP(Employees[[#This Row],[Education]], EdLevel[EducationLevelID], EdLevel[EducationLevel])</f>
        <v xml:space="preserve">Bachelors </v>
      </c>
      <c r="AA1407">
        <f>IF(Employees[[#This Row],[Attrition]] = "Yes", 1, 0)</f>
        <v>0</v>
      </c>
      <c r="AB1407" t="str" cm="1">
        <f t="array" ref="AB1407">_xlfn.IFS(Employees[[#This Row],[Age]]&lt;30, "20-29", Employees[[#This Row],[Age]]&lt;40, "30-39", Employees[[#This Row],[Age]]&lt;50, "40-49", "TRUE", "50+")</f>
        <v>40-49</v>
      </c>
    </row>
    <row r="1408" spans="1:28">
      <c r="A1408" t="s">
        <v>4118</v>
      </c>
      <c r="B1408" t="s">
        <v>4119</v>
      </c>
      <c r="C1408" t="s">
        <v>4120</v>
      </c>
      <c r="D1408" t="s">
        <v>38</v>
      </c>
      <c r="E1408">
        <v>21</v>
      </c>
      <c r="F1408" t="s">
        <v>27</v>
      </c>
      <c r="G1408" t="s">
        <v>54</v>
      </c>
      <c r="H1408">
        <v>19</v>
      </c>
      <c r="I1408" t="s">
        <v>29</v>
      </c>
      <c r="J1408" t="s">
        <v>30</v>
      </c>
      <c r="K1408">
        <v>4</v>
      </c>
      <c r="L1408" t="s">
        <v>55</v>
      </c>
      <c r="M1408" t="s">
        <v>85</v>
      </c>
      <c r="N1408" t="s">
        <v>40</v>
      </c>
      <c r="O1408">
        <v>25255</v>
      </c>
      <c r="P1408">
        <v>0</v>
      </c>
      <c r="Q1408" t="s">
        <v>34</v>
      </c>
      <c r="R1408" s="1">
        <v>44774</v>
      </c>
      <c r="S1408" t="s">
        <v>41</v>
      </c>
      <c r="T1408">
        <v>0</v>
      </c>
      <c r="U1408">
        <v>0</v>
      </c>
      <c r="V1408">
        <v>0</v>
      </c>
      <c r="W1408">
        <v>0</v>
      </c>
      <c r="X1408" t="s">
        <v>11023</v>
      </c>
      <c r="Y1408" t="s">
        <v>11023</v>
      </c>
      <c r="Z1408" t="str">
        <f>_xlfn.XLOOKUP(Employees[[#This Row],[Education]], EdLevel[EducationLevelID], EdLevel[EducationLevel])</f>
        <v xml:space="preserve">Masters </v>
      </c>
      <c r="AA1408">
        <f>IF(Employees[[#This Row],[Attrition]] = "Yes", 1, 0)</f>
        <v>1</v>
      </c>
      <c r="AB1408" t="str" cm="1">
        <f t="array" ref="AB1408">_xlfn.IFS(Employees[[#This Row],[Age]]&lt;30, "20-29", Employees[[#This Row],[Age]]&lt;40, "30-39", Employees[[#This Row],[Age]]&lt;50, "40-49", "TRUE", "50+")</f>
        <v>20-29</v>
      </c>
    </row>
    <row r="1409" spans="1:28">
      <c r="A1409" t="s">
        <v>4121</v>
      </c>
      <c r="B1409" t="s">
        <v>4122</v>
      </c>
      <c r="C1409" t="s">
        <v>4123</v>
      </c>
      <c r="D1409" t="s">
        <v>53</v>
      </c>
      <c r="E1409">
        <v>19</v>
      </c>
      <c r="F1409" t="s">
        <v>27</v>
      </c>
      <c r="G1409" t="s">
        <v>28</v>
      </c>
      <c r="H1409">
        <v>38</v>
      </c>
      <c r="I1409" t="s">
        <v>39</v>
      </c>
      <c r="J1409" t="s">
        <v>30</v>
      </c>
      <c r="K1409">
        <v>4</v>
      </c>
      <c r="L1409" t="s">
        <v>47</v>
      </c>
      <c r="M1409" t="s">
        <v>150</v>
      </c>
      <c r="N1409" t="s">
        <v>40</v>
      </c>
      <c r="O1409">
        <v>51132</v>
      </c>
      <c r="P1409">
        <v>0</v>
      </c>
      <c r="Q1409" t="s">
        <v>41</v>
      </c>
      <c r="R1409" s="1">
        <v>44782</v>
      </c>
      <c r="S1409" t="s">
        <v>34</v>
      </c>
      <c r="T1409">
        <v>0</v>
      </c>
      <c r="U1409">
        <v>0</v>
      </c>
      <c r="V1409">
        <v>0</v>
      </c>
      <c r="W1409">
        <v>0</v>
      </c>
      <c r="X1409" t="s">
        <v>11023</v>
      </c>
      <c r="Y1409" t="s">
        <v>11023</v>
      </c>
      <c r="Z1409" t="str">
        <f>_xlfn.XLOOKUP(Employees[[#This Row],[Education]], EdLevel[EducationLevelID], EdLevel[EducationLevel])</f>
        <v xml:space="preserve">Masters </v>
      </c>
      <c r="AA1409">
        <f>IF(Employees[[#This Row],[Attrition]] = "Yes", 1, 0)</f>
        <v>0</v>
      </c>
      <c r="AB1409" t="str" cm="1">
        <f t="array" ref="AB1409">_xlfn.IFS(Employees[[#This Row],[Age]]&lt;30, "20-29", Employees[[#This Row],[Age]]&lt;40, "30-39", Employees[[#This Row],[Age]]&lt;50, "40-49", "TRUE", "50+")</f>
        <v>20-29</v>
      </c>
    </row>
    <row r="1410" spans="1:28">
      <c r="A1410" t="s">
        <v>4124</v>
      </c>
      <c r="B1410" t="s">
        <v>4125</v>
      </c>
      <c r="C1410" t="s">
        <v>4126</v>
      </c>
      <c r="D1410" t="s">
        <v>38</v>
      </c>
      <c r="E1410">
        <v>19</v>
      </c>
      <c r="F1410" t="s">
        <v>84</v>
      </c>
      <c r="G1410" t="s">
        <v>28</v>
      </c>
      <c r="H1410">
        <v>43</v>
      </c>
      <c r="I1410" t="s">
        <v>65</v>
      </c>
      <c r="J1410" t="s">
        <v>30</v>
      </c>
      <c r="K1410">
        <v>1</v>
      </c>
      <c r="L1410" t="s">
        <v>47</v>
      </c>
      <c r="M1410" t="s">
        <v>32</v>
      </c>
      <c r="N1410" t="s">
        <v>40</v>
      </c>
      <c r="O1410">
        <v>65010</v>
      </c>
      <c r="P1410">
        <v>0</v>
      </c>
      <c r="Q1410" t="s">
        <v>34</v>
      </c>
      <c r="R1410" s="1">
        <v>44788</v>
      </c>
      <c r="S1410" t="s">
        <v>34</v>
      </c>
      <c r="T1410">
        <v>0</v>
      </c>
      <c r="U1410">
        <v>0</v>
      </c>
      <c r="V1410">
        <v>0</v>
      </c>
      <c r="W1410">
        <v>0</v>
      </c>
      <c r="X1410" t="s">
        <v>11020</v>
      </c>
      <c r="Y1410" t="s">
        <v>11020</v>
      </c>
      <c r="Z1410" t="str">
        <f>_xlfn.XLOOKUP(Employees[[#This Row],[Education]], EdLevel[EducationLevelID], EdLevel[EducationLevel])</f>
        <v>No Formal Qualifications</v>
      </c>
      <c r="AA1410">
        <f>IF(Employees[[#This Row],[Attrition]] = "Yes", 1, 0)</f>
        <v>0</v>
      </c>
      <c r="AB1410" t="str" cm="1">
        <f t="array" ref="AB1410">_xlfn.IFS(Employees[[#This Row],[Age]]&lt;30, "20-29", Employees[[#This Row],[Age]]&lt;40, "30-39", Employees[[#This Row],[Age]]&lt;50, "40-49", "TRUE", "50+")</f>
        <v>20-29</v>
      </c>
    </row>
    <row r="1411" spans="1:28">
      <c r="A1411" t="s">
        <v>4127</v>
      </c>
      <c r="B1411" t="s">
        <v>4128</v>
      </c>
      <c r="C1411" t="s">
        <v>1414</v>
      </c>
      <c r="D1411" t="s">
        <v>38</v>
      </c>
      <c r="E1411">
        <v>21</v>
      </c>
      <c r="F1411" t="s">
        <v>27</v>
      </c>
      <c r="G1411" t="s">
        <v>54</v>
      </c>
      <c r="H1411">
        <v>43</v>
      </c>
      <c r="I1411" t="s">
        <v>39</v>
      </c>
      <c r="J1411" t="s">
        <v>30</v>
      </c>
      <c r="K1411">
        <v>3</v>
      </c>
      <c r="L1411" t="s">
        <v>55</v>
      </c>
      <c r="M1411" t="s">
        <v>93</v>
      </c>
      <c r="N1411" t="s">
        <v>49</v>
      </c>
      <c r="O1411">
        <v>59158</v>
      </c>
      <c r="P1411">
        <v>1</v>
      </c>
      <c r="Q1411" t="s">
        <v>41</v>
      </c>
      <c r="R1411" s="1">
        <v>44793</v>
      </c>
      <c r="S1411" t="s">
        <v>34</v>
      </c>
      <c r="T1411">
        <v>0</v>
      </c>
      <c r="U1411">
        <v>0</v>
      </c>
      <c r="V1411">
        <v>0</v>
      </c>
      <c r="W1411">
        <v>0</v>
      </c>
      <c r="X1411" t="s">
        <v>11022</v>
      </c>
      <c r="Y1411" t="s">
        <v>11022</v>
      </c>
      <c r="Z1411" t="str">
        <f>_xlfn.XLOOKUP(Employees[[#This Row],[Education]], EdLevel[EducationLevelID], EdLevel[EducationLevel])</f>
        <v xml:space="preserve">Bachelors </v>
      </c>
      <c r="AA1411">
        <f>IF(Employees[[#This Row],[Attrition]] = "Yes", 1, 0)</f>
        <v>0</v>
      </c>
      <c r="AB1411" t="str" cm="1">
        <f t="array" ref="AB1411">_xlfn.IFS(Employees[[#This Row],[Age]]&lt;30, "20-29", Employees[[#This Row],[Age]]&lt;40, "30-39", Employees[[#This Row],[Age]]&lt;50, "40-49", "TRUE", "50+")</f>
        <v>20-29</v>
      </c>
    </row>
    <row r="1412" spans="1:28">
      <c r="A1412" t="s">
        <v>4129</v>
      </c>
      <c r="B1412" t="s">
        <v>4130</v>
      </c>
      <c r="C1412" t="s">
        <v>4131</v>
      </c>
      <c r="D1412" t="s">
        <v>26</v>
      </c>
      <c r="E1412">
        <v>20</v>
      </c>
      <c r="F1412" t="s">
        <v>84</v>
      </c>
      <c r="G1412" t="s">
        <v>54</v>
      </c>
      <c r="H1412">
        <v>2</v>
      </c>
      <c r="I1412" t="s">
        <v>65</v>
      </c>
      <c r="J1412" t="s">
        <v>30</v>
      </c>
      <c r="K1412">
        <v>1</v>
      </c>
      <c r="L1412" t="s">
        <v>72</v>
      </c>
      <c r="M1412" t="s">
        <v>101</v>
      </c>
      <c r="N1412" t="s">
        <v>49</v>
      </c>
      <c r="O1412">
        <v>38009</v>
      </c>
      <c r="P1412">
        <v>1</v>
      </c>
      <c r="Q1412" t="s">
        <v>34</v>
      </c>
      <c r="R1412" s="1">
        <v>44797</v>
      </c>
      <c r="S1412" t="s">
        <v>34</v>
      </c>
      <c r="T1412">
        <v>0</v>
      </c>
      <c r="U1412">
        <v>0</v>
      </c>
      <c r="V1412">
        <v>0</v>
      </c>
      <c r="W1412">
        <v>0</v>
      </c>
      <c r="X1412" t="s">
        <v>11020</v>
      </c>
      <c r="Y1412" t="s">
        <v>11020</v>
      </c>
      <c r="Z1412" t="str">
        <f>_xlfn.XLOOKUP(Employees[[#This Row],[Education]], EdLevel[EducationLevelID], EdLevel[EducationLevel])</f>
        <v>No Formal Qualifications</v>
      </c>
      <c r="AA1412">
        <f>IF(Employees[[#This Row],[Attrition]] = "Yes", 1, 0)</f>
        <v>0</v>
      </c>
      <c r="AB1412" t="str" cm="1">
        <f t="array" ref="AB1412">_xlfn.IFS(Employees[[#This Row],[Age]]&lt;30, "20-29", Employees[[#This Row],[Age]]&lt;40, "30-39", Employees[[#This Row],[Age]]&lt;50, "40-49", "TRUE", "50+")</f>
        <v>20-29</v>
      </c>
    </row>
    <row r="1413" spans="1:28">
      <c r="A1413" t="s">
        <v>4132</v>
      </c>
      <c r="B1413" t="s">
        <v>4133</v>
      </c>
      <c r="C1413" t="s">
        <v>4134</v>
      </c>
      <c r="D1413" t="s">
        <v>26</v>
      </c>
      <c r="E1413">
        <v>21</v>
      </c>
      <c r="F1413" t="s">
        <v>84</v>
      </c>
      <c r="G1413" t="s">
        <v>54</v>
      </c>
      <c r="H1413">
        <v>27</v>
      </c>
      <c r="I1413" t="s">
        <v>65</v>
      </c>
      <c r="J1413" t="s">
        <v>30</v>
      </c>
      <c r="K1413">
        <v>3</v>
      </c>
      <c r="L1413" t="s">
        <v>72</v>
      </c>
      <c r="M1413" t="s">
        <v>85</v>
      </c>
      <c r="N1413" t="s">
        <v>33</v>
      </c>
      <c r="O1413">
        <v>72355</v>
      </c>
      <c r="P1413">
        <v>2</v>
      </c>
      <c r="Q1413" t="s">
        <v>34</v>
      </c>
      <c r="R1413" s="1">
        <v>44797</v>
      </c>
      <c r="S1413" t="s">
        <v>34</v>
      </c>
      <c r="T1413">
        <v>0</v>
      </c>
      <c r="U1413">
        <v>0</v>
      </c>
      <c r="V1413">
        <v>0</v>
      </c>
      <c r="W1413">
        <v>0</v>
      </c>
      <c r="X1413" t="s">
        <v>11022</v>
      </c>
      <c r="Y1413" t="s">
        <v>11022</v>
      </c>
      <c r="Z1413" t="str">
        <f>_xlfn.XLOOKUP(Employees[[#This Row],[Education]], EdLevel[EducationLevelID], EdLevel[EducationLevel])</f>
        <v xml:space="preserve">Bachelors </v>
      </c>
      <c r="AA1413">
        <f>IF(Employees[[#This Row],[Attrition]] = "Yes", 1, 0)</f>
        <v>0</v>
      </c>
      <c r="AB1413" t="str" cm="1">
        <f t="array" ref="AB1413">_xlfn.IFS(Employees[[#This Row],[Age]]&lt;30, "20-29", Employees[[#This Row],[Age]]&lt;40, "30-39", Employees[[#This Row],[Age]]&lt;50, "40-49", "TRUE", "50+")</f>
        <v>20-29</v>
      </c>
    </row>
    <row r="1414" spans="1:28">
      <c r="A1414" t="s">
        <v>4135</v>
      </c>
      <c r="B1414" t="s">
        <v>4136</v>
      </c>
      <c r="C1414" t="s">
        <v>4137</v>
      </c>
      <c r="D1414" t="s">
        <v>26</v>
      </c>
      <c r="E1414">
        <v>21</v>
      </c>
      <c r="F1414" t="s">
        <v>27</v>
      </c>
      <c r="G1414" t="s">
        <v>54</v>
      </c>
      <c r="H1414">
        <v>22</v>
      </c>
      <c r="I1414" t="s">
        <v>39</v>
      </c>
      <c r="J1414" t="s">
        <v>30</v>
      </c>
      <c r="K1414">
        <v>3</v>
      </c>
      <c r="L1414" t="s">
        <v>72</v>
      </c>
      <c r="M1414" t="s">
        <v>85</v>
      </c>
      <c r="N1414" t="s">
        <v>40</v>
      </c>
      <c r="O1414">
        <v>32456</v>
      </c>
      <c r="P1414">
        <v>0</v>
      </c>
      <c r="Q1414" t="s">
        <v>34</v>
      </c>
      <c r="R1414" s="1">
        <v>44797</v>
      </c>
      <c r="S1414" t="s">
        <v>34</v>
      </c>
      <c r="T1414">
        <v>0</v>
      </c>
      <c r="U1414">
        <v>0</v>
      </c>
      <c r="V1414">
        <v>0</v>
      </c>
      <c r="W1414">
        <v>0</v>
      </c>
      <c r="X1414" t="s">
        <v>11022</v>
      </c>
      <c r="Y1414" t="s">
        <v>11022</v>
      </c>
      <c r="Z1414" t="str">
        <f>_xlfn.XLOOKUP(Employees[[#This Row],[Education]], EdLevel[EducationLevelID], EdLevel[EducationLevel])</f>
        <v xml:space="preserve">Bachelors </v>
      </c>
      <c r="AA1414">
        <f>IF(Employees[[#This Row],[Attrition]] = "Yes", 1, 0)</f>
        <v>0</v>
      </c>
      <c r="AB1414" t="str" cm="1">
        <f t="array" ref="AB1414">_xlfn.IFS(Employees[[#This Row],[Age]]&lt;30, "20-29", Employees[[#This Row],[Age]]&lt;40, "30-39", Employees[[#This Row],[Age]]&lt;50, "40-49", "TRUE", "50+")</f>
        <v>20-29</v>
      </c>
    </row>
    <row r="1415" spans="1:28">
      <c r="A1415" t="s">
        <v>4138</v>
      </c>
      <c r="B1415" t="s">
        <v>4139</v>
      </c>
      <c r="C1415" t="s">
        <v>2629</v>
      </c>
      <c r="D1415" t="s">
        <v>38</v>
      </c>
      <c r="E1415">
        <v>19</v>
      </c>
      <c r="F1415" t="s">
        <v>27</v>
      </c>
      <c r="G1415" t="s">
        <v>28</v>
      </c>
      <c r="H1415">
        <v>43</v>
      </c>
      <c r="I1415" t="s">
        <v>39</v>
      </c>
      <c r="J1415" t="s">
        <v>30</v>
      </c>
      <c r="K1415">
        <v>2</v>
      </c>
      <c r="L1415" t="s">
        <v>47</v>
      </c>
      <c r="M1415" t="s">
        <v>32</v>
      </c>
      <c r="N1415" t="s">
        <v>40</v>
      </c>
      <c r="O1415">
        <v>61811</v>
      </c>
      <c r="P1415">
        <v>1</v>
      </c>
      <c r="Q1415" t="s">
        <v>34</v>
      </c>
      <c r="R1415" s="1">
        <v>44799</v>
      </c>
      <c r="S1415" t="s">
        <v>34</v>
      </c>
      <c r="T1415">
        <v>0</v>
      </c>
      <c r="U1415">
        <v>0</v>
      </c>
      <c r="V1415">
        <v>0</v>
      </c>
      <c r="W1415">
        <v>0</v>
      </c>
      <c r="X1415" t="s">
        <v>11021</v>
      </c>
      <c r="Y1415" t="s">
        <v>11021</v>
      </c>
      <c r="Z1415" t="str">
        <f>_xlfn.XLOOKUP(Employees[[#This Row],[Education]], EdLevel[EducationLevelID], EdLevel[EducationLevel])</f>
        <v xml:space="preserve">High School </v>
      </c>
      <c r="AA1415">
        <f>IF(Employees[[#This Row],[Attrition]] = "Yes", 1, 0)</f>
        <v>0</v>
      </c>
      <c r="AB1415" t="str" cm="1">
        <f t="array" ref="AB1415">_xlfn.IFS(Employees[[#This Row],[Age]]&lt;30, "20-29", Employees[[#This Row],[Age]]&lt;40, "30-39", Employees[[#This Row],[Age]]&lt;50, "40-49", "TRUE", "50+")</f>
        <v>20-29</v>
      </c>
    </row>
    <row r="1416" spans="1:28">
      <c r="A1416" t="s">
        <v>4140</v>
      </c>
      <c r="B1416" t="s">
        <v>1100</v>
      </c>
      <c r="C1416" t="s">
        <v>4141</v>
      </c>
      <c r="D1416" t="s">
        <v>38</v>
      </c>
      <c r="E1416">
        <v>19</v>
      </c>
      <c r="F1416" t="s">
        <v>84</v>
      </c>
      <c r="G1416" t="s">
        <v>28</v>
      </c>
      <c r="H1416">
        <v>44</v>
      </c>
      <c r="I1416" t="s">
        <v>39</v>
      </c>
      <c r="J1416" t="s">
        <v>30</v>
      </c>
      <c r="K1416">
        <v>3</v>
      </c>
      <c r="L1416" t="s">
        <v>31</v>
      </c>
      <c r="M1416" t="s">
        <v>32</v>
      </c>
      <c r="N1416" t="s">
        <v>40</v>
      </c>
      <c r="O1416">
        <v>37645</v>
      </c>
      <c r="P1416">
        <v>1</v>
      </c>
      <c r="Q1416" t="s">
        <v>34</v>
      </c>
      <c r="R1416" s="1">
        <v>44800</v>
      </c>
      <c r="S1416" t="s">
        <v>34</v>
      </c>
      <c r="T1416">
        <v>0</v>
      </c>
      <c r="U1416">
        <v>0</v>
      </c>
      <c r="V1416">
        <v>0</v>
      </c>
      <c r="W1416">
        <v>0</v>
      </c>
      <c r="X1416" t="s">
        <v>11022</v>
      </c>
      <c r="Y1416" t="s">
        <v>11022</v>
      </c>
      <c r="Z1416" t="str">
        <f>_xlfn.XLOOKUP(Employees[[#This Row],[Education]], EdLevel[EducationLevelID], EdLevel[EducationLevel])</f>
        <v xml:space="preserve">Bachelors </v>
      </c>
      <c r="AA1416">
        <f>IF(Employees[[#This Row],[Attrition]] = "Yes", 1, 0)</f>
        <v>0</v>
      </c>
      <c r="AB1416" t="str" cm="1">
        <f t="array" ref="AB1416">_xlfn.IFS(Employees[[#This Row],[Age]]&lt;30, "20-29", Employees[[#This Row],[Age]]&lt;40, "30-39", Employees[[#This Row],[Age]]&lt;50, "40-49", "TRUE", "50+")</f>
        <v>20-29</v>
      </c>
    </row>
    <row r="1417" spans="1:28">
      <c r="A1417" t="s">
        <v>4142</v>
      </c>
      <c r="B1417" t="s">
        <v>4143</v>
      </c>
      <c r="C1417" t="s">
        <v>4144</v>
      </c>
      <c r="D1417" t="s">
        <v>26</v>
      </c>
      <c r="E1417">
        <v>18</v>
      </c>
      <c r="F1417" t="s">
        <v>84</v>
      </c>
      <c r="G1417" t="s">
        <v>54</v>
      </c>
      <c r="H1417">
        <v>8</v>
      </c>
      <c r="I1417" t="s">
        <v>39</v>
      </c>
      <c r="J1417" t="s">
        <v>30</v>
      </c>
      <c r="K1417">
        <v>3</v>
      </c>
      <c r="L1417" t="s">
        <v>55</v>
      </c>
      <c r="M1417" t="s">
        <v>101</v>
      </c>
      <c r="N1417" t="s">
        <v>40</v>
      </c>
      <c r="O1417">
        <v>31894</v>
      </c>
      <c r="P1417">
        <v>0</v>
      </c>
      <c r="Q1417" t="s">
        <v>41</v>
      </c>
      <c r="R1417" s="1">
        <v>44804</v>
      </c>
      <c r="S1417" t="s">
        <v>41</v>
      </c>
      <c r="T1417">
        <v>0</v>
      </c>
      <c r="U1417">
        <v>0</v>
      </c>
      <c r="V1417">
        <v>0</v>
      </c>
      <c r="W1417">
        <v>0</v>
      </c>
      <c r="X1417" t="s">
        <v>11022</v>
      </c>
      <c r="Y1417" t="s">
        <v>11022</v>
      </c>
      <c r="Z1417" t="str">
        <f>_xlfn.XLOOKUP(Employees[[#This Row],[Education]], EdLevel[EducationLevelID], EdLevel[EducationLevel])</f>
        <v xml:space="preserve">Bachelors </v>
      </c>
      <c r="AA1417">
        <f>IF(Employees[[#This Row],[Attrition]] = "Yes", 1, 0)</f>
        <v>1</v>
      </c>
      <c r="AB1417" t="str" cm="1">
        <f t="array" ref="AB1417">_xlfn.IFS(Employees[[#This Row],[Age]]&lt;30, "20-29", Employees[[#This Row],[Age]]&lt;40, "30-39", Employees[[#This Row],[Age]]&lt;50, "40-49", "TRUE", "50+")</f>
        <v>20-29</v>
      </c>
    </row>
    <row r="1418" spans="1:28">
      <c r="A1418" t="s">
        <v>4145</v>
      </c>
      <c r="B1418" t="s">
        <v>4146</v>
      </c>
      <c r="C1418" t="s">
        <v>4147</v>
      </c>
      <c r="D1418" t="s">
        <v>38</v>
      </c>
      <c r="E1418">
        <v>26</v>
      </c>
      <c r="F1418" t="s">
        <v>27</v>
      </c>
      <c r="G1418" t="s">
        <v>28</v>
      </c>
      <c r="H1418">
        <v>11</v>
      </c>
      <c r="I1418" t="s">
        <v>39</v>
      </c>
      <c r="J1418" t="s">
        <v>30</v>
      </c>
      <c r="K1418">
        <v>4</v>
      </c>
      <c r="L1418" t="s">
        <v>47</v>
      </c>
      <c r="M1418" t="s">
        <v>32</v>
      </c>
      <c r="N1418" t="s">
        <v>40</v>
      </c>
      <c r="O1418">
        <v>63478</v>
      </c>
      <c r="P1418">
        <v>1</v>
      </c>
      <c r="Q1418" t="s">
        <v>34</v>
      </c>
      <c r="R1418" s="1">
        <v>44804</v>
      </c>
      <c r="S1418" t="s">
        <v>34</v>
      </c>
      <c r="T1418">
        <v>0</v>
      </c>
      <c r="U1418">
        <v>0</v>
      </c>
      <c r="V1418">
        <v>0</v>
      </c>
      <c r="W1418">
        <v>0</v>
      </c>
      <c r="X1418" t="s">
        <v>11023</v>
      </c>
      <c r="Y1418" t="s">
        <v>11023</v>
      </c>
      <c r="Z1418" t="str">
        <f>_xlfn.XLOOKUP(Employees[[#This Row],[Education]], EdLevel[EducationLevelID], EdLevel[EducationLevel])</f>
        <v xml:space="preserve">Masters </v>
      </c>
      <c r="AA1418">
        <f>IF(Employees[[#This Row],[Attrition]] = "Yes", 1, 0)</f>
        <v>0</v>
      </c>
      <c r="AB1418" t="str" cm="1">
        <f t="array" ref="AB1418">_xlfn.IFS(Employees[[#This Row],[Age]]&lt;30, "20-29", Employees[[#This Row],[Age]]&lt;40, "30-39", Employees[[#This Row],[Age]]&lt;50, "40-49", "TRUE", "50+")</f>
        <v>20-29</v>
      </c>
    </row>
    <row r="1419" spans="1:28">
      <c r="A1419" t="s">
        <v>4148</v>
      </c>
      <c r="B1419" t="s">
        <v>4149</v>
      </c>
      <c r="C1419" t="s">
        <v>4150</v>
      </c>
      <c r="D1419" t="s">
        <v>26</v>
      </c>
      <c r="E1419">
        <v>18</v>
      </c>
      <c r="F1419" t="s">
        <v>27</v>
      </c>
      <c r="G1419" t="s">
        <v>54</v>
      </c>
      <c r="H1419">
        <v>20</v>
      </c>
      <c r="I1419" t="s">
        <v>39</v>
      </c>
      <c r="J1419" t="s">
        <v>30</v>
      </c>
      <c r="K1419">
        <v>4</v>
      </c>
      <c r="L1419" t="s">
        <v>55</v>
      </c>
      <c r="M1419" t="s">
        <v>93</v>
      </c>
      <c r="N1419" t="s">
        <v>40</v>
      </c>
      <c r="O1419">
        <v>44770</v>
      </c>
      <c r="P1419">
        <v>1</v>
      </c>
      <c r="Q1419" t="s">
        <v>34</v>
      </c>
      <c r="R1419" s="1">
        <v>44806</v>
      </c>
      <c r="S1419" t="s">
        <v>34</v>
      </c>
      <c r="T1419">
        <v>0</v>
      </c>
      <c r="U1419">
        <v>0</v>
      </c>
      <c r="V1419">
        <v>0</v>
      </c>
      <c r="W1419">
        <v>0</v>
      </c>
      <c r="X1419" t="s">
        <v>11023</v>
      </c>
      <c r="Y1419" t="s">
        <v>11023</v>
      </c>
      <c r="Z1419" t="str">
        <f>_xlfn.XLOOKUP(Employees[[#This Row],[Education]], EdLevel[EducationLevelID], EdLevel[EducationLevel])</f>
        <v xml:space="preserve">Masters </v>
      </c>
      <c r="AA1419">
        <f>IF(Employees[[#This Row],[Attrition]] = "Yes", 1, 0)</f>
        <v>0</v>
      </c>
      <c r="AB1419" t="str" cm="1">
        <f t="array" ref="AB1419">_xlfn.IFS(Employees[[#This Row],[Age]]&lt;30, "20-29", Employees[[#This Row],[Age]]&lt;40, "30-39", Employees[[#This Row],[Age]]&lt;50, "40-49", "TRUE", "50+")</f>
        <v>20-29</v>
      </c>
    </row>
    <row r="1420" spans="1:28">
      <c r="A1420" t="s">
        <v>4151</v>
      </c>
      <c r="B1420" t="s">
        <v>4152</v>
      </c>
      <c r="C1420" t="s">
        <v>4153</v>
      </c>
      <c r="D1420" t="s">
        <v>38</v>
      </c>
      <c r="E1420">
        <v>40</v>
      </c>
      <c r="F1420" t="s">
        <v>27</v>
      </c>
      <c r="G1420" t="s">
        <v>28</v>
      </c>
      <c r="H1420">
        <v>36</v>
      </c>
      <c r="I1420" t="s">
        <v>65</v>
      </c>
      <c r="J1420" t="s">
        <v>30</v>
      </c>
      <c r="K1420">
        <v>4</v>
      </c>
      <c r="L1420" t="s">
        <v>31</v>
      </c>
      <c r="M1420" t="s">
        <v>32</v>
      </c>
      <c r="N1420" t="s">
        <v>33</v>
      </c>
      <c r="O1420">
        <v>194967</v>
      </c>
      <c r="P1420">
        <v>1</v>
      </c>
      <c r="Q1420" t="s">
        <v>34</v>
      </c>
      <c r="R1420" s="1">
        <v>44807</v>
      </c>
      <c r="S1420" t="s">
        <v>34</v>
      </c>
      <c r="T1420">
        <v>0</v>
      </c>
      <c r="U1420">
        <v>0</v>
      </c>
      <c r="V1420">
        <v>0</v>
      </c>
      <c r="W1420">
        <v>0</v>
      </c>
      <c r="X1420" t="s">
        <v>11023</v>
      </c>
      <c r="Y1420" t="s">
        <v>11023</v>
      </c>
      <c r="Z1420" t="str">
        <f>_xlfn.XLOOKUP(Employees[[#This Row],[Education]], EdLevel[EducationLevelID], EdLevel[EducationLevel])</f>
        <v xml:space="preserve">Masters </v>
      </c>
      <c r="AA1420">
        <f>IF(Employees[[#This Row],[Attrition]] = "Yes", 1, 0)</f>
        <v>0</v>
      </c>
      <c r="AB1420" t="str" cm="1">
        <f t="array" ref="AB1420">_xlfn.IFS(Employees[[#This Row],[Age]]&lt;30, "20-29", Employees[[#This Row],[Age]]&lt;40, "30-39", Employees[[#This Row],[Age]]&lt;50, "40-49", "TRUE", "50+")</f>
        <v>40-49</v>
      </c>
    </row>
    <row r="1421" spans="1:28">
      <c r="A1421" t="s">
        <v>4154</v>
      </c>
      <c r="B1421" t="s">
        <v>4155</v>
      </c>
      <c r="C1421" t="s">
        <v>4156</v>
      </c>
      <c r="D1421" t="s">
        <v>26</v>
      </c>
      <c r="E1421">
        <v>18</v>
      </c>
      <c r="F1421" t="s">
        <v>27</v>
      </c>
      <c r="G1421" t="s">
        <v>45</v>
      </c>
      <c r="H1421">
        <v>22</v>
      </c>
      <c r="I1421" t="s">
        <v>39</v>
      </c>
      <c r="J1421" t="s">
        <v>30</v>
      </c>
      <c r="K1421">
        <v>3</v>
      </c>
      <c r="L1421" t="s">
        <v>47</v>
      </c>
      <c r="M1421" t="s">
        <v>61</v>
      </c>
      <c r="N1421" t="s">
        <v>40</v>
      </c>
      <c r="O1421">
        <v>31024</v>
      </c>
      <c r="P1421">
        <v>1</v>
      </c>
      <c r="Q1421" t="s">
        <v>34</v>
      </c>
      <c r="R1421" s="1">
        <v>44808</v>
      </c>
      <c r="S1421" t="s">
        <v>34</v>
      </c>
      <c r="T1421">
        <v>0</v>
      </c>
      <c r="U1421">
        <v>0</v>
      </c>
      <c r="V1421">
        <v>0</v>
      </c>
      <c r="W1421">
        <v>0</v>
      </c>
      <c r="X1421" t="s">
        <v>11022</v>
      </c>
      <c r="Y1421" t="s">
        <v>11022</v>
      </c>
      <c r="Z1421" t="str">
        <f>_xlfn.XLOOKUP(Employees[[#This Row],[Education]], EdLevel[EducationLevelID], EdLevel[EducationLevel])</f>
        <v xml:space="preserve">Bachelors </v>
      </c>
      <c r="AA1421">
        <f>IF(Employees[[#This Row],[Attrition]] = "Yes", 1, 0)</f>
        <v>0</v>
      </c>
      <c r="AB1421" t="str" cm="1">
        <f t="array" ref="AB1421">_xlfn.IFS(Employees[[#This Row],[Age]]&lt;30, "20-29", Employees[[#This Row],[Age]]&lt;40, "30-39", Employees[[#This Row],[Age]]&lt;50, "40-49", "TRUE", "50+")</f>
        <v>20-29</v>
      </c>
    </row>
    <row r="1422" spans="1:28">
      <c r="A1422" t="s">
        <v>4157</v>
      </c>
      <c r="B1422" t="s">
        <v>4158</v>
      </c>
      <c r="C1422" t="s">
        <v>4159</v>
      </c>
      <c r="D1422" t="s">
        <v>38</v>
      </c>
      <c r="E1422">
        <v>31</v>
      </c>
      <c r="F1422" t="s">
        <v>27</v>
      </c>
      <c r="G1422" t="s">
        <v>28</v>
      </c>
      <c r="H1422">
        <v>19</v>
      </c>
      <c r="I1422" t="s">
        <v>39</v>
      </c>
      <c r="J1422" t="s">
        <v>30</v>
      </c>
      <c r="K1422">
        <v>2</v>
      </c>
      <c r="L1422" t="s">
        <v>31</v>
      </c>
      <c r="M1422" t="s">
        <v>32</v>
      </c>
      <c r="N1422" t="s">
        <v>49</v>
      </c>
      <c r="O1422">
        <v>96806</v>
      </c>
      <c r="P1422">
        <v>1</v>
      </c>
      <c r="Q1422" t="s">
        <v>41</v>
      </c>
      <c r="R1422" s="1">
        <v>44808</v>
      </c>
      <c r="S1422" t="s">
        <v>34</v>
      </c>
      <c r="T1422">
        <v>0</v>
      </c>
      <c r="U1422">
        <v>0</v>
      </c>
      <c r="V1422">
        <v>0</v>
      </c>
      <c r="W1422">
        <v>0</v>
      </c>
      <c r="X1422" t="s">
        <v>11021</v>
      </c>
      <c r="Y1422" t="s">
        <v>11021</v>
      </c>
      <c r="Z1422" t="str">
        <f>_xlfn.XLOOKUP(Employees[[#This Row],[Education]], EdLevel[EducationLevelID], EdLevel[EducationLevel])</f>
        <v xml:space="preserve">High School </v>
      </c>
      <c r="AA1422">
        <f>IF(Employees[[#This Row],[Attrition]] = "Yes", 1, 0)</f>
        <v>0</v>
      </c>
      <c r="AB1422" t="str" cm="1">
        <f t="array" ref="AB1422">_xlfn.IFS(Employees[[#This Row],[Age]]&lt;30, "20-29", Employees[[#This Row],[Age]]&lt;40, "30-39", Employees[[#This Row],[Age]]&lt;50, "40-49", "TRUE", "50+")</f>
        <v>30-39</v>
      </c>
    </row>
    <row r="1423" spans="1:28">
      <c r="A1423" t="s">
        <v>4160</v>
      </c>
      <c r="B1423" t="s">
        <v>4161</v>
      </c>
      <c r="C1423" t="s">
        <v>4162</v>
      </c>
      <c r="D1423" t="s">
        <v>26</v>
      </c>
      <c r="E1423">
        <v>19</v>
      </c>
      <c r="F1423" t="s">
        <v>27</v>
      </c>
      <c r="G1423" t="s">
        <v>28</v>
      </c>
      <c r="H1423">
        <v>15</v>
      </c>
      <c r="I1423" t="s">
        <v>65</v>
      </c>
      <c r="J1423" t="s">
        <v>30</v>
      </c>
      <c r="K1423">
        <v>1</v>
      </c>
      <c r="L1423" t="s">
        <v>31</v>
      </c>
      <c r="M1423" t="s">
        <v>150</v>
      </c>
      <c r="N1423" t="s">
        <v>40</v>
      </c>
      <c r="O1423">
        <v>44782</v>
      </c>
      <c r="P1423">
        <v>0</v>
      </c>
      <c r="Q1423" t="s">
        <v>34</v>
      </c>
      <c r="R1423" s="1">
        <v>44810</v>
      </c>
      <c r="S1423" t="s">
        <v>34</v>
      </c>
      <c r="T1423">
        <v>0</v>
      </c>
      <c r="U1423">
        <v>0</v>
      </c>
      <c r="V1423">
        <v>0</v>
      </c>
      <c r="W1423">
        <v>0</v>
      </c>
      <c r="X1423" t="s">
        <v>11020</v>
      </c>
      <c r="Y1423" t="s">
        <v>11020</v>
      </c>
      <c r="Z1423" t="str">
        <f>_xlfn.XLOOKUP(Employees[[#This Row],[Education]], EdLevel[EducationLevelID], EdLevel[EducationLevel])</f>
        <v>No Formal Qualifications</v>
      </c>
      <c r="AA1423">
        <f>IF(Employees[[#This Row],[Attrition]] = "Yes", 1, 0)</f>
        <v>0</v>
      </c>
      <c r="AB1423" t="str" cm="1">
        <f t="array" ref="AB1423">_xlfn.IFS(Employees[[#This Row],[Age]]&lt;30, "20-29", Employees[[#This Row],[Age]]&lt;40, "30-39", Employees[[#This Row],[Age]]&lt;50, "40-49", "TRUE", "50+")</f>
        <v>20-29</v>
      </c>
    </row>
    <row r="1424" spans="1:28">
      <c r="A1424" t="s">
        <v>4163</v>
      </c>
      <c r="B1424" t="s">
        <v>4139</v>
      </c>
      <c r="C1424" t="s">
        <v>4164</v>
      </c>
      <c r="D1424" t="s">
        <v>26</v>
      </c>
      <c r="E1424">
        <v>29</v>
      </c>
      <c r="F1424" t="s">
        <v>27</v>
      </c>
      <c r="G1424" t="s">
        <v>54</v>
      </c>
      <c r="H1424">
        <v>3</v>
      </c>
      <c r="I1424" t="s">
        <v>39</v>
      </c>
      <c r="J1424" t="s">
        <v>30</v>
      </c>
      <c r="K1424">
        <v>2</v>
      </c>
      <c r="L1424" t="s">
        <v>77</v>
      </c>
      <c r="M1424" t="s">
        <v>101</v>
      </c>
      <c r="N1424" t="s">
        <v>40</v>
      </c>
      <c r="O1424">
        <v>314181</v>
      </c>
      <c r="P1424">
        <v>1</v>
      </c>
      <c r="Q1424" t="s">
        <v>41</v>
      </c>
      <c r="R1424" s="1">
        <v>44817</v>
      </c>
      <c r="S1424" t="s">
        <v>34</v>
      </c>
      <c r="T1424">
        <v>0</v>
      </c>
      <c r="U1424">
        <v>0</v>
      </c>
      <c r="V1424">
        <v>0</v>
      </c>
      <c r="W1424">
        <v>0</v>
      </c>
      <c r="X1424" t="s">
        <v>11021</v>
      </c>
      <c r="Y1424" t="s">
        <v>11021</v>
      </c>
      <c r="Z1424" t="str">
        <f>_xlfn.XLOOKUP(Employees[[#This Row],[Education]], EdLevel[EducationLevelID], EdLevel[EducationLevel])</f>
        <v xml:space="preserve">High School </v>
      </c>
      <c r="AA1424">
        <f>IF(Employees[[#This Row],[Attrition]] = "Yes", 1, 0)</f>
        <v>0</v>
      </c>
      <c r="AB1424" t="str" cm="1">
        <f t="array" ref="AB1424">_xlfn.IFS(Employees[[#This Row],[Age]]&lt;30, "20-29", Employees[[#This Row],[Age]]&lt;40, "30-39", Employees[[#This Row],[Age]]&lt;50, "40-49", "TRUE", "50+")</f>
        <v>20-29</v>
      </c>
    </row>
    <row r="1425" spans="1:28">
      <c r="A1425" t="s">
        <v>4165</v>
      </c>
      <c r="B1425" t="s">
        <v>4166</v>
      </c>
      <c r="C1425" t="s">
        <v>4167</v>
      </c>
      <c r="D1425" t="s">
        <v>38</v>
      </c>
      <c r="E1425">
        <v>32</v>
      </c>
      <c r="F1425" t="s">
        <v>70</v>
      </c>
      <c r="G1425" t="s">
        <v>54</v>
      </c>
      <c r="H1425">
        <v>5</v>
      </c>
      <c r="I1425" t="s">
        <v>39</v>
      </c>
      <c r="J1425" t="s">
        <v>30</v>
      </c>
      <c r="K1425">
        <v>4</v>
      </c>
      <c r="L1425" t="s">
        <v>55</v>
      </c>
      <c r="M1425" t="s">
        <v>85</v>
      </c>
      <c r="N1425" t="s">
        <v>49</v>
      </c>
      <c r="O1425">
        <v>124429</v>
      </c>
      <c r="P1425">
        <v>1</v>
      </c>
      <c r="Q1425" t="s">
        <v>34</v>
      </c>
      <c r="R1425" s="1">
        <v>44817</v>
      </c>
      <c r="S1425" t="s">
        <v>34</v>
      </c>
      <c r="T1425">
        <v>0</v>
      </c>
      <c r="U1425">
        <v>0</v>
      </c>
      <c r="V1425">
        <v>0</v>
      </c>
      <c r="W1425">
        <v>0</v>
      </c>
      <c r="X1425" t="s">
        <v>11023</v>
      </c>
      <c r="Y1425" t="s">
        <v>11023</v>
      </c>
      <c r="Z1425" t="str">
        <f>_xlfn.XLOOKUP(Employees[[#This Row],[Education]], EdLevel[EducationLevelID], EdLevel[EducationLevel])</f>
        <v xml:space="preserve">Masters </v>
      </c>
      <c r="AA1425">
        <f>IF(Employees[[#This Row],[Attrition]] = "Yes", 1, 0)</f>
        <v>0</v>
      </c>
      <c r="AB1425" t="str" cm="1">
        <f t="array" ref="AB1425">_xlfn.IFS(Employees[[#This Row],[Age]]&lt;30, "20-29", Employees[[#This Row],[Age]]&lt;40, "30-39", Employees[[#This Row],[Age]]&lt;50, "40-49", "TRUE", "50+")</f>
        <v>30-39</v>
      </c>
    </row>
    <row r="1426" spans="1:28">
      <c r="A1426" t="s">
        <v>4168</v>
      </c>
      <c r="B1426" t="s">
        <v>4169</v>
      </c>
      <c r="C1426" t="s">
        <v>4170</v>
      </c>
      <c r="D1426" t="s">
        <v>38</v>
      </c>
      <c r="E1426">
        <v>20</v>
      </c>
      <c r="F1426" t="s">
        <v>84</v>
      </c>
      <c r="G1426" t="s">
        <v>28</v>
      </c>
      <c r="H1426">
        <v>25</v>
      </c>
      <c r="I1426" t="s">
        <v>39</v>
      </c>
      <c r="J1426" t="s">
        <v>30</v>
      </c>
      <c r="K1426">
        <v>4</v>
      </c>
      <c r="L1426" t="s">
        <v>31</v>
      </c>
      <c r="M1426" t="s">
        <v>150</v>
      </c>
      <c r="N1426" t="s">
        <v>33</v>
      </c>
      <c r="O1426">
        <v>29872</v>
      </c>
      <c r="P1426">
        <v>1</v>
      </c>
      <c r="Q1426" t="s">
        <v>34</v>
      </c>
      <c r="R1426" s="1">
        <v>44820</v>
      </c>
      <c r="S1426" t="s">
        <v>34</v>
      </c>
      <c r="T1426">
        <v>0</v>
      </c>
      <c r="U1426">
        <v>0</v>
      </c>
      <c r="V1426">
        <v>0</v>
      </c>
      <c r="W1426">
        <v>0</v>
      </c>
      <c r="X1426" t="s">
        <v>11023</v>
      </c>
      <c r="Y1426" t="s">
        <v>11023</v>
      </c>
      <c r="Z1426" t="str">
        <f>_xlfn.XLOOKUP(Employees[[#This Row],[Education]], EdLevel[EducationLevelID], EdLevel[EducationLevel])</f>
        <v xml:space="preserve">Masters </v>
      </c>
      <c r="AA1426">
        <f>IF(Employees[[#This Row],[Attrition]] = "Yes", 1, 0)</f>
        <v>0</v>
      </c>
      <c r="AB1426" t="str" cm="1">
        <f t="array" ref="AB1426">_xlfn.IFS(Employees[[#This Row],[Age]]&lt;30, "20-29", Employees[[#This Row],[Age]]&lt;40, "30-39", Employees[[#This Row],[Age]]&lt;50, "40-49", "TRUE", "50+")</f>
        <v>20-29</v>
      </c>
    </row>
    <row r="1427" spans="1:28">
      <c r="A1427" t="s">
        <v>4171</v>
      </c>
      <c r="B1427" t="s">
        <v>4172</v>
      </c>
      <c r="C1427" t="s">
        <v>4173</v>
      </c>
      <c r="D1427" t="s">
        <v>26</v>
      </c>
      <c r="E1427">
        <v>35</v>
      </c>
      <c r="F1427" t="s">
        <v>27</v>
      </c>
      <c r="G1427" t="s">
        <v>54</v>
      </c>
      <c r="H1427">
        <v>44</v>
      </c>
      <c r="I1427" t="s">
        <v>65</v>
      </c>
      <c r="J1427" t="s">
        <v>30</v>
      </c>
      <c r="K1427">
        <v>4</v>
      </c>
      <c r="L1427" t="s">
        <v>55</v>
      </c>
      <c r="M1427" t="s">
        <v>85</v>
      </c>
      <c r="N1427" t="s">
        <v>40</v>
      </c>
      <c r="O1427">
        <v>455643</v>
      </c>
      <c r="P1427">
        <v>1</v>
      </c>
      <c r="Q1427" t="s">
        <v>41</v>
      </c>
      <c r="R1427" s="1">
        <v>44825</v>
      </c>
      <c r="S1427" t="s">
        <v>34</v>
      </c>
      <c r="T1427">
        <v>0</v>
      </c>
      <c r="U1427">
        <v>0</v>
      </c>
      <c r="V1427">
        <v>0</v>
      </c>
      <c r="W1427">
        <v>0</v>
      </c>
      <c r="X1427" t="s">
        <v>11023</v>
      </c>
      <c r="Y1427" t="s">
        <v>11023</v>
      </c>
      <c r="Z1427" t="str">
        <f>_xlfn.XLOOKUP(Employees[[#This Row],[Education]], EdLevel[EducationLevelID], EdLevel[EducationLevel])</f>
        <v xml:space="preserve">Masters </v>
      </c>
      <c r="AA1427">
        <f>IF(Employees[[#This Row],[Attrition]] = "Yes", 1, 0)</f>
        <v>0</v>
      </c>
      <c r="AB1427" t="str" cm="1">
        <f t="array" ref="AB1427">_xlfn.IFS(Employees[[#This Row],[Age]]&lt;30, "20-29", Employees[[#This Row],[Age]]&lt;40, "30-39", Employees[[#This Row],[Age]]&lt;50, "40-49", "TRUE", "50+")</f>
        <v>30-39</v>
      </c>
    </row>
    <row r="1428" spans="1:28">
      <c r="A1428" t="s">
        <v>4174</v>
      </c>
      <c r="B1428" t="s">
        <v>4175</v>
      </c>
      <c r="C1428" t="s">
        <v>4176</v>
      </c>
      <c r="D1428" t="s">
        <v>38</v>
      </c>
      <c r="E1428">
        <v>34</v>
      </c>
      <c r="F1428" t="s">
        <v>84</v>
      </c>
      <c r="G1428" t="s">
        <v>54</v>
      </c>
      <c r="H1428">
        <v>38</v>
      </c>
      <c r="I1428" t="s">
        <v>39</v>
      </c>
      <c r="J1428" t="s">
        <v>30</v>
      </c>
      <c r="K1428">
        <v>5</v>
      </c>
      <c r="L1428" t="s">
        <v>72</v>
      </c>
      <c r="M1428" t="s">
        <v>105</v>
      </c>
      <c r="N1428" t="s">
        <v>49</v>
      </c>
      <c r="O1428">
        <v>311310</v>
      </c>
      <c r="P1428">
        <v>1</v>
      </c>
      <c r="Q1428" t="s">
        <v>41</v>
      </c>
      <c r="R1428" s="1">
        <v>44825</v>
      </c>
      <c r="S1428" t="s">
        <v>34</v>
      </c>
      <c r="T1428">
        <v>0</v>
      </c>
      <c r="U1428">
        <v>0</v>
      </c>
      <c r="V1428">
        <v>0</v>
      </c>
      <c r="W1428">
        <v>0</v>
      </c>
      <c r="X1428" t="s">
        <v>11024</v>
      </c>
      <c r="Y1428" t="s">
        <v>11024</v>
      </c>
      <c r="Z1428" t="str">
        <f>_xlfn.XLOOKUP(Employees[[#This Row],[Education]], EdLevel[EducationLevelID], EdLevel[EducationLevel])</f>
        <v>Doctorate</v>
      </c>
      <c r="AA1428">
        <f>IF(Employees[[#This Row],[Attrition]] = "Yes", 1, 0)</f>
        <v>0</v>
      </c>
      <c r="AB1428" t="str" cm="1">
        <f t="array" ref="AB1428">_xlfn.IFS(Employees[[#This Row],[Age]]&lt;30, "20-29", Employees[[#This Row],[Age]]&lt;40, "30-39", Employees[[#This Row],[Age]]&lt;50, "40-49", "TRUE", "50+")</f>
        <v>30-39</v>
      </c>
    </row>
    <row r="1429" spans="1:28">
      <c r="A1429" t="s">
        <v>4177</v>
      </c>
      <c r="B1429" t="s">
        <v>4178</v>
      </c>
      <c r="C1429" t="s">
        <v>4179</v>
      </c>
      <c r="D1429" t="s">
        <v>26</v>
      </c>
      <c r="E1429">
        <v>21</v>
      </c>
      <c r="F1429" t="s">
        <v>84</v>
      </c>
      <c r="G1429" t="s">
        <v>54</v>
      </c>
      <c r="H1429">
        <v>41</v>
      </c>
      <c r="I1429" t="s">
        <v>39</v>
      </c>
      <c r="J1429" t="s">
        <v>30</v>
      </c>
      <c r="K1429">
        <v>2</v>
      </c>
      <c r="L1429" t="s">
        <v>72</v>
      </c>
      <c r="M1429" t="s">
        <v>101</v>
      </c>
      <c r="N1429" t="s">
        <v>49</v>
      </c>
      <c r="O1429">
        <v>23612</v>
      </c>
      <c r="P1429">
        <v>1</v>
      </c>
      <c r="Q1429" t="s">
        <v>41</v>
      </c>
      <c r="R1429" s="1">
        <v>44832</v>
      </c>
      <c r="S1429" t="s">
        <v>41</v>
      </c>
      <c r="T1429">
        <v>0</v>
      </c>
      <c r="U1429">
        <v>0</v>
      </c>
      <c r="V1429">
        <v>0</v>
      </c>
      <c r="W1429">
        <v>0</v>
      </c>
      <c r="X1429" t="s">
        <v>11021</v>
      </c>
      <c r="Y1429" t="s">
        <v>11021</v>
      </c>
      <c r="Z1429" t="str">
        <f>_xlfn.XLOOKUP(Employees[[#This Row],[Education]], EdLevel[EducationLevelID], EdLevel[EducationLevel])</f>
        <v xml:space="preserve">High School </v>
      </c>
      <c r="AA1429">
        <f>IF(Employees[[#This Row],[Attrition]] = "Yes", 1, 0)</f>
        <v>1</v>
      </c>
      <c r="AB1429" t="str" cm="1">
        <f t="array" ref="AB1429">_xlfn.IFS(Employees[[#This Row],[Age]]&lt;30, "20-29", Employees[[#This Row],[Age]]&lt;40, "30-39", Employees[[#This Row],[Age]]&lt;50, "40-49", "TRUE", "50+")</f>
        <v>20-29</v>
      </c>
    </row>
    <row r="1430" spans="1:28">
      <c r="A1430" t="s">
        <v>4180</v>
      </c>
      <c r="B1430" t="s">
        <v>4181</v>
      </c>
      <c r="C1430" t="s">
        <v>4182</v>
      </c>
      <c r="D1430" t="s">
        <v>38</v>
      </c>
      <c r="E1430">
        <v>18</v>
      </c>
      <c r="F1430" t="s">
        <v>84</v>
      </c>
      <c r="G1430" t="s">
        <v>54</v>
      </c>
      <c r="H1430">
        <v>25</v>
      </c>
      <c r="I1430" t="s">
        <v>65</v>
      </c>
      <c r="J1430" t="s">
        <v>30</v>
      </c>
      <c r="K1430">
        <v>4</v>
      </c>
      <c r="L1430" t="s">
        <v>72</v>
      </c>
      <c r="M1430" t="s">
        <v>85</v>
      </c>
      <c r="N1430" t="s">
        <v>40</v>
      </c>
      <c r="O1430">
        <v>72639</v>
      </c>
      <c r="P1430">
        <v>0</v>
      </c>
      <c r="Q1430" t="s">
        <v>34</v>
      </c>
      <c r="R1430" s="1">
        <v>44832</v>
      </c>
      <c r="S1430" t="s">
        <v>34</v>
      </c>
      <c r="T1430">
        <v>0</v>
      </c>
      <c r="U1430">
        <v>0</v>
      </c>
      <c r="V1430">
        <v>0</v>
      </c>
      <c r="W1430">
        <v>0</v>
      </c>
      <c r="X1430" t="s">
        <v>11023</v>
      </c>
      <c r="Y1430" t="s">
        <v>11023</v>
      </c>
      <c r="Z1430" t="str">
        <f>_xlfn.XLOOKUP(Employees[[#This Row],[Education]], EdLevel[EducationLevelID], EdLevel[EducationLevel])</f>
        <v xml:space="preserve">Masters </v>
      </c>
      <c r="AA1430">
        <f>IF(Employees[[#This Row],[Attrition]] = "Yes", 1, 0)</f>
        <v>0</v>
      </c>
      <c r="AB1430" t="str" cm="1">
        <f t="array" ref="AB1430">_xlfn.IFS(Employees[[#This Row],[Age]]&lt;30, "20-29", Employees[[#This Row],[Age]]&lt;40, "30-39", Employees[[#This Row],[Age]]&lt;50, "40-49", "TRUE", "50+")</f>
        <v>20-29</v>
      </c>
    </row>
    <row r="1431" spans="1:28">
      <c r="A1431" t="s">
        <v>4183</v>
      </c>
      <c r="B1431" t="s">
        <v>4184</v>
      </c>
      <c r="C1431" t="s">
        <v>4185</v>
      </c>
      <c r="D1431" t="s">
        <v>38</v>
      </c>
      <c r="E1431">
        <v>20</v>
      </c>
      <c r="F1431" t="s">
        <v>27</v>
      </c>
      <c r="G1431" t="s">
        <v>54</v>
      </c>
      <c r="H1431">
        <v>23</v>
      </c>
      <c r="I1431" t="s">
        <v>65</v>
      </c>
      <c r="J1431" t="s">
        <v>30</v>
      </c>
      <c r="K1431">
        <v>3</v>
      </c>
      <c r="L1431" t="s">
        <v>178</v>
      </c>
      <c r="M1431" t="s">
        <v>101</v>
      </c>
      <c r="N1431" t="s">
        <v>40</v>
      </c>
      <c r="O1431">
        <v>33632</v>
      </c>
      <c r="P1431">
        <v>0</v>
      </c>
      <c r="Q1431" t="s">
        <v>34</v>
      </c>
      <c r="R1431" s="1">
        <v>44832</v>
      </c>
      <c r="S1431" t="s">
        <v>41</v>
      </c>
      <c r="T1431">
        <v>0</v>
      </c>
      <c r="U1431">
        <v>0</v>
      </c>
      <c r="V1431">
        <v>0</v>
      </c>
      <c r="W1431">
        <v>0</v>
      </c>
      <c r="X1431" t="s">
        <v>11022</v>
      </c>
      <c r="Y1431" t="s">
        <v>11022</v>
      </c>
      <c r="Z1431" t="str">
        <f>_xlfn.XLOOKUP(Employees[[#This Row],[Education]], EdLevel[EducationLevelID], EdLevel[EducationLevel])</f>
        <v xml:space="preserve">Bachelors </v>
      </c>
      <c r="AA1431">
        <f>IF(Employees[[#This Row],[Attrition]] = "Yes", 1, 0)</f>
        <v>1</v>
      </c>
      <c r="AB1431" t="str" cm="1">
        <f t="array" ref="AB1431">_xlfn.IFS(Employees[[#This Row],[Age]]&lt;30, "20-29", Employees[[#This Row],[Age]]&lt;40, "30-39", Employees[[#This Row],[Age]]&lt;50, "40-49", "TRUE", "50+")</f>
        <v>20-29</v>
      </c>
    </row>
    <row r="1432" spans="1:28">
      <c r="A1432" t="s">
        <v>4186</v>
      </c>
      <c r="B1432" t="s">
        <v>4187</v>
      </c>
      <c r="C1432" t="s">
        <v>4188</v>
      </c>
      <c r="D1432" t="s">
        <v>26</v>
      </c>
      <c r="E1432">
        <v>24</v>
      </c>
      <c r="F1432" t="s">
        <v>84</v>
      </c>
      <c r="G1432" t="s">
        <v>54</v>
      </c>
      <c r="H1432">
        <v>23</v>
      </c>
      <c r="I1432" t="s">
        <v>65</v>
      </c>
      <c r="J1432" t="s">
        <v>30</v>
      </c>
      <c r="K1432">
        <v>4</v>
      </c>
      <c r="L1432" t="s">
        <v>55</v>
      </c>
      <c r="M1432" t="s">
        <v>105</v>
      </c>
      <c r="N1432" t="s">
        <v>40</v>
      </c>
      <c r="O1432">
        <v>158437</v>
      </c>
      <c r="P1432">
        <v>1</v>
      </c>
      <c r="Q1432" t="s">
        <v>34</v>
      </c>
      <c r="R1432" s="1">
        <v>44837</v>
      </c>
      <c r="S1432" t="s">
        <v>34</v>
      </c>
      <c r="T1432">
        <v>0</v>
      </c>
      <c r="U1432">
        <v>0</v>
      </c>
      <c r="V1432">
        <v>0</v>
      </c>
      <c r="W1432">
        <v>0</v>
      </c>
      <c r="X1432" t="s">
        <v>11023</v>
      </c>
      <c r="Y1432" t="s">
        <v>11023</v>
      </c>
      <c r="Z1432" t="str">
        <f>_xlfn.XLOOKUP(Employees[[#This Row],[Education]], EdLevel[EducationLevelID], EdLevel[EducationLevel])</f>
        <v xml:space="preserve">Masters </v>
      </c>
      <c r="AA1432">
        <f>IF(Employees[[#This Row],[Attrition]] = "Yes", 1, 0)</f>
        <v>0</v>
      </c>
      <c r="AB1432" t="str" cm="1">
        <f t="array" ref="AB1432">_xlfn.IFS(Employees[[#This Row],[Age]]&lt;30, "20-29", Employees[[#This Row],[Age]]&lt;40, "30-39", Employees[[#This Row],[Age]]&lt;50, "40-49", "TRUE", "50+")</f>
        <v>20-29</v>
      </c>
    </row>
    <row r="1433" spans="1:28">
      <c r="A1433" t="s">
        <v>4189</v>
      </c>
      <c r="B1433" t="s">
        <v>4190</v>
      </c>
      <c r="C1433" t="s">
        <v>4191</v>
      </c>
      <c r="D1433" t="s">
        <v>26</v>
      </c>
      <c r="E1433">
        <v>32</v>
      </c>
      <c r="F1433" t="s">
        <v>27</v>
      </c>
      <c r="G1433" t="s">
        <v>54</v>
      </c>
      <c r="H1433">
        <v>8</v>
      </c>
      <c r="I1433" t="s">
        <v>39</v>
      </c>
      <c r="J1433" t="s">
        <v>30</v>
      </c>
      <c r="K1433">
        <v>3</v>
      </c>
      <c r="L1433" t="s">
        <v>72</v>
      </c>
      <c r="M1433" t="s">
        <v>105</v>
      </c>
      <c r="N1433" t="s">
        <v>49</v>
      </c>
      <c r="O1433">
        <v>111619</v>
      </c>
      <c r="P1433">
        <v>2</v>
      </c>
      <c r="Q1433" t="s">
        <v>34</v>
      </c>
      <c r="R1433" s="1">
        <v>44840</v>
      </c>
      <c r="S1433" t="s">
        <v>34</v>
      </c>
      <c r="T1433">
        <v>0</v>
      </c>
      <c r="U1433">
        <v>0</v>
      </c>
      <c r="V1433">
        <v>0</v>
      </c>
      <c r="W1433">
        <v>0</v>
      </c>
      <c r="X1433" t="s">
        <v>11022</v>
      </c>
      <c r="Y1433" t="s">
        <v>11022</v>
      </c>
      <c r="Z1433" t="str">
        <f>_xlfn.XLOOKUP(Employees[[#This Row],[Education]], EdLevel[EducationLevelID], EdLevel[EducationLevel])</f>
        <v xml:space="preserve">Bachelors </v>
      </c>
      <c r="AA1433">
        <f>IF(Employees[[#This Row],[Attrition]] = "Yes", 1, 0)</f>
        <v>0</v>
      </c>
      <c r="AB1433" t="str" cm="1">
        <f t="array" ref="AB1433">_xlfn.IFS(Employees[[#This Row],[Age]]&lt;30, "20-29", Employees[[#This Row],[Age]]&lt;40, "30-39", Employees[[#This Row],[Age]]&lt;50, "40-49", "TRUE", "50+")</f>
        <v>30-39</v>
      </c>
    </row>
    <row r="1434" spans="1:28">
      <c r="A1434" t="s">
        <v>4192</v>
      </c>
      <c r="B1434" t="s">
        <v>1783</v>
      </c>
      <c r="C1434" t="s">
        <v>4193</v>
      </c>
      <c r="D1434" t="s">
        <v>26</v>
      </c>
      <c r="E1434">
        <v>19</v>
      </c>
      <c r="F1434" t="s">
        <v>27</v>
      </c>
      <c r="G1434" t="s">
        <v>54</v>
      </c>
      <c r="H1434">
        <v>15</v>
      </c>
      <c r="I1434" t="s">
        <v>39</v>
      </c>
      <c r="J1434" t="s">
        <v>30</v>
      </c>
      <c r="K1434">
        <v>3</v>
      </c>
      <c r="L1434" t="s">
        <v>72</v>
      </c>
      <c r="M1434" t="s">
        <v>101</v>
      </c>
      <c r="N1434" t="s">
        <v>40</v>
      </c>
      <c r="O1434">
        <v>47707</v>
      </c>
      <c r="P1434">
        <v>0</v>
      </c>
      <c r="Q1434" t="s">
        <v>34</v>
      </c>
      <c r="R1434" s="1">
        <v>44841</v>
      </c>
      <c r="S1434" t="s">
        <v>34</v>
      </c>
      <c r="T1434">
        <v>0</v>
      </c>
      <c r="U1434">
        <v>0</v>
      </c>
      <c r="V1434">
        <v>0</v>
      </c>
      <c r="W1434">
        <v>0</v>
      </c>
      <c r="X1434" t="s">
        <v>11022</v>
      </c>
      <c r="Y1434" t="s">
        <v>11022</v>
      </c>
      <c r="Z1434" t="str">
        <f>_xlfn.XLOOKUP(Employees[[#This Row],[Education]], EdLevel[EducationLevelID], EdLevel[EducationLevel])</f>
        <v xml:space="preserve">Bachelors </v>
      </c>
      <c r="AA1434">
        <f>IF(Employees[[#This Row],[Attrition]] = "Yes", 1, 0)</f>
        <v>0</v>
      </c>
      <c r="AB1434" t="str" cm="1">
        <f t="array" ref="AB1434">_xlfn.IFS(Employees[[#This Row],[Age]]&lt;30, "20-29", Employees[[#This Row],[Age]]&lt;40, "30-39", Employees[[#This Row],[Age]]&lt;50, "40-49", "TRUE", "50+")</f>
        <v>20-29</v>
      </c>
    </row>
    <row r="1435" spans="1:28">
      <c r="A1435" t="s">
        <v>4194</v>
      </c>
      <c r="B1435" t="s">
        <v>4195</v>
      </c>
      <c r="C1435" t="s">
        <v>4196</v>
      </c>
      <c r="D1435" t="s">
        <v>26</v>
      </c>
      <c r="E1435">
        <v>32</v>
      </c>
      <c r="F1435" t="s">
        <v>27</v>
      </c>
      <c r="G1435" t="s">
        <v>28</v>
      </c>
      <c r="H1435">
        <v>14</v>
      </c>
      <c r="I1435" t="s">
        <v>65</v>
      </c>
      <c r="J1435" t="s">
        <v>30</v>
      </c>
      <c r="K1435">
        <v>3</v>
      </c>
      <c r="L1435" t="s">
        <v>47</v>
      </c>
      <c r="M1435" t="s">
        <v>32</v>
      </c>
      <c r="N1435" t="s">
        <v>40</v>
      </c>
      <c r="O1435">
        <v>181293</v>
      </c>
      <c r="P1435">
        <v>0</v>
      </c>
      <c r="Q1435" t="s">
        <v>34</v>
      </c>
      <c r="R1435" s="1">
        <v>44842</v>
      </c>
      <c r="S1435" t="s">
        <v>34</v>
      </c>
      <c r="T1435">
        <v>0</v>
      </c>
      <c r="U1435">
        <v>0</v>
      </c>
      <c r="V1435">
        <v>0</v>
      </c>
      <c r="W1435">
        <v>0</v>
      </c>
      <c r="X1435" t="s">
        <v>11022</v>
      </c>
      <c r="Y1435" t="s">
        <v>11022</v>
      </c>
      <c r="Z1435" t="str">
        <f>_xlfn.XLOOKUP(Employees[[#This Row],[Education]], EdLevel[EducationLevelID], EdLevel[EducationLevel])</f>
        <v xml:space="preserve">Bachelors </v>
      </c>
      <c r="AA1435">
        <f>IF(Employees[[#This Row],[Attrition]] = "Yes", 1, 0)</f>
        <v>0</v>
      </c>
      <c r="AB1435" t="str" cm="1">
        <f t="array" ref="AB1435">_xlfn.IFS(Employees[[#This Row],[Age]]&lt;30, "20-29", Employees[[#This Row],[Age]]&lt;40, "30-39", Employees[[#This Row],[Age]]&lt;50, "40-49", "TRUE", "50+")</f>
        <v>30-39</v>
      </c>
    </row>
    <row r="1436" spans="1:28">
      <c r="A1436" t="s">
        <v>4197</v>
      </c>
      <c r="B1436" t="s">
        <v>2852</v>
      </c>
      <c r="C1436" t="s">
        <v>4198</v>
      </c>
      <c r="D1436" t="s">
        <v>53</v>
      </c>
      <c r="E1436">
        <v>21</v>
      </c>
      <c r="F1436" t="s">
        <v>27</v>
      </c>
      <c r="G1436" t="s">
        <v>54</v>
      </c>
      <c r="H1436">
        <v>2</v>
      </c>
      <c r="I1436" t="s">
        <v>39</v>
      </c>
      <c r="J1436" t="s">
        <v>30</v>
      </c>
      <c r="K1436">
        <v>4</v>
      </c>
      <c r="L1436" t="s">
        <v>55</v>
      </c>
      <c r="M1436" t="s">
        <v>93</v>
      </c>
      <c r="N1436" t="s">
        <v>40</v>
      </c>
      <c r="O1436">
        <v>69344</v>
      </c>
      <c r="P1436">
        <v>0</v>
      </c>
      <c r="Q1436" t="s">
        <v>34</v>
      </c>
      <c r="R1436" s="1">
        <v>44842</v>
      </c>
      <c r="S1436" t="s">
        <v>34</v>
      </c>
      <c r="T1436">
        <v>0</v>
      </c>
      <c r="U1436">
        <v>0</v>
      </c>
      <c r="V1436">
        <v>0</v>
      </c>
      <c r="W1436">
        <v>0</v>
      </c>
      <c r="X1436" t="s">
        <v>11023</v>
      </c>
      <c r="Y1436" t="s">
        <v>11023</v>
      </c>
      <c r="Z1436" t="str">
        <f>_xlfn.XLOOKUP(Employees[[#This Row],[Education]], EdLevel[EducationLevelID], EdLevel[EducationLevel])</f>
        <v xml:space="preserve">Masters </v>
      </c>
      <c r="AA1436">
        <f>IF(Employees[[#This Row],[Attrition]] = "Yes", 1, 0)</f>
        <v>0</v>
      </c>
      <c r="AB1436" t="str" cm="1">
        <f t="array" ref="AB1436">_xlfn.IFS(Employees[[#This Row],[Age]]&lt;30, "20-29", Employees[[#This Row],[Age]]&lt;40, "30-39", Employees[[#This Row],[Age]]&lt;50, "40-49", "TRUE", "50+")</f>
        <v>20-29</v>
      </c>
    </row>
    <row r="1437" spans="1:28">
      <c r="A1437" t="s">
        <v>4199</v>
      </c>
      <c r="B1437" t="s">
        <v>4200</v>
      </c>
      <c r="C1437" t="s">
        <v>4201</v>
      </c>
      <c r="D1437" t="s">
        <v>26</v>
      </c>
      <c r="E1437">
        <v>32</v>
      </c>
      <c r="F1437" t="s">
        <v>27</v>
      </c>
      <c r="G1437" t="s">
        <v>28</v>
      </c>
      <c r="H1437">
        <v>31</v>
      </c>
      <c r="I1437" t="s">
        <v>65</v>
      </c>
      <c r="J1437" t="s">
        <v>30</v>
      </c>
      <c r="K1437">
        <v>4</v>
      </c>
      <c r="L1437" t="s">
        <v>47</v>
      </c>
      <c r="M1437" t="s">
        <v>32</v>
      </c>
      <c r="N1437" t="s">
        <v>49</v>
      </c>
      <c r="O1437">
        <v>161538</v>
      </c>
      <c r="P1437">
        <v>2</v>
      </c>
      <c r="Q1437" t="s">
        <v>41</v>
      </c>
      <c r="R1437" s="1">
        <v>44844</v>
      </c>
      <c r="S1437" t="s">
        <v>34</v>
      </c>
      <c r="T1437">
        <v>0</v>
      </c>
      <c r="U1437">
        <v>0</v>
      </c>
      <c r="V1437">
        <v>0</v>
      </c>
      <c r="W1437">
        <v>0</v>
      </c>
      <c r="X1437" t="s">
        <v>11023</v>
      </c>
      <c r="Y1437" t="s">
        <v>11023</v>
      </c>
      <c r="Z1437" t="str">
        <f>_xlfn.XLOOKUP(Employees[[#This Row],[Education]], EdLevel[EducationLevelID], EdLevel[EducationLevel])</f>
        <v xml:space="preserve">Masters </v>
      </c>
      <c r="AA1437">
        <f>IF(Employees[[#This Row],[Attrition]] = "Yes", 1, 0)</f>
        <v>0</v>
      </c>
      <c r="AB1437" t="str" cm="1">
        <f t="array" ref="AB1437">_xlfn.IFS(Employees[[#This Row],[Age]]&lt;30, "20-29", Employees[[#This Row],[Age]]&lt;40, "30-39", Employees[[#This Row],[Age]]&lt;50, "40-49", "TRUE", "50+")</f>
        <v>30-39</v>
      </c>
    </row>
    <row r="1438" spans="1:28">
      <c r="A1438" t="s">
        <v>4202</v>
      </c>
      <c r="B1438" t="s">
        <v>4203</v>
      </c>
      <c r="C1438" t="s">
        <v>4204</v>
      </c>
      <c r="D1438" t="s">
        <v>26</v>
      </c>
      <c r="E1438">
        <v>39</v>
      </c>
      <c r="F1438" t="s">
        <v>84</v>
      </c>
      <c r="G1438" t="s">
        <v>45</v>
      </c>
      <c r="H1438">
        <v>16</v>
      </c>
      <c r="I1438" t="s">
        <v>39</v>
      </c>
      <c r="J1438" t="s">
        <v>30</v>
      </c>
      <c r="K1438">
        <v>3</v>
      </c>
      <c r="L1438" t="s">
        <v>45</v>
      </c>
      <c r="M1438" t="s">
        <v>207</v>
      </c>
      <c r="N1438" t="s">
        <v>40</v>
      </c>
      <c r="O1438">
        <v>201564</v>
      </c>
      <c r="P1438">
        <v>3</v>
      </c>
      <c r="Q1438" t="s">
        <v>41</v>
      </c>
      <c r="R1438" s="1">
        <v>44846</v>
      </c>
      <c r="S1438" t="s">
        <v>41</v>
      </c>
      <c r="T1438">
        <v>0</v>
      </c>
      <c r="U1438">
        <v>0</v>
      </c>
      <c r="V1438">
        <v>0</v>
      </c>
      <c r="W1438">
        <v>0</v>
      </c>
      <c r="X1438" t="s">
        <v>11022</v>
      </c>
      <c r="Y1438" t="s">
        <v>11022</v>
      </c>
      <c r="Z1438" t="str">
        <f>_xlfn.XLOOKUP(Employees[[#This Row],[Education]], EdLevel[EducationLevelID], EdLevel[EducationLevel])</f>
        <v xml:space="preserve">Bachelors </v>
      </c>
      <c r="AA1438">
        <f>IF(Employees[[#This Row],[Attrition]] = "Yes", 1, 0)</f>
        <v>1</v>
      </c>
      <c r="AB1438" t="str" cm="1">
        <f t="array" ref="AB1438">_xlfn.IFS(Employees[[#This Row],[Age]]&lt;30, "20-29", Employees[[#This Row],[Age]]&lt;40, "30-39", Employees[[#This Row],[Age]]&lt;50, "40-49", "TRUE", "50+")</f>
        <v>30-39</v>
      </c>
    </row>
    <row r="1439" spans="1:28">
      <c r="A1439" t="s">
        <v>4205</v>
      </c>
      <c r="B1439" t="s">
        <v>4206</v>
      </c>
      <c r="C1439" t="s">
        <v>4207</v>
      </c>
      <c r="D1439" t="s">
        <v>38</v>
      </c>
      <c r="E1439">
        <v>19</v>
      </c>
      <c r="F1439" t="s">
        <v>27</v>
      </c>
      <c r="G1439" t="s">
        <v>54</v>
      </c>
      <c r="H1439">
        <v>29</v>
      </c>
      <c r="I1439" t="s">
        <v>29</v>
      </c>
      <c r="J1439" t="s">
        <v>30</v>
      </c>
      <c r="K1439">
        <v>4</v>
      </c>
      <c r="L1439" t="s">
        <v>77</v>
      </c>
      <c r="M1439" t="s">
        <v>105</v>
      </c>
      <c r="N1439" t="s">
        <v>40</v>
      </c>
      <c r="O1439">
        <v>54824</v>
      </c>
      <c r="P1439">
        <v>0</v>
      </c>
      <c r="Q1439" t="s">
        <v>41</v>
      </c>
      <c r="R1439" s="1">
        <v>44846</v>
      </c>
      <c r="S1439" t="s">
        <v>34</v>
      </c>
      <c r="T1439">
        <v>0</v>
      </c>
      <c r="U1439">
        <v>0</v>
      </c>
      <c r="V1439">
        <v>0</v>
      </c>
      <c r="W1439">
        <v>0</v>
      </c>
      <c r="X1439" t="s">
        <v>11023</v>
      </c>
      <c r="Y1439" t="s">
        <v>11023</v>
      </c>
      <c r="Z1439" t="str">
        <f>_xlfn.XLOOKUP(Employees[[#This Row],[Education]], EdLevel[EducationLevelID], EdLevel[EducationLevel])</f>
        <v xml:space="preserve">Masters </v>
      </c>
      <c r="AA1439">
        <f>IF(Employees[[#This Row],[Attrition]] = "Yes", 1, 0)</f>
        <v>0</v>
      </c>
      <c r="AB1439" t="str" cm="1">
        <f t="array" ref="AB1439">_xlfn.IFS(Employees[[#This Row],[Age]]&lt;30, "20-29", Employees[[#This Row],[Age]]&lt;40, "30-39", Employees[[#This Row],[Age]]&lt;50, "40-49", "TRUE", "50+")</f>
        <v>20-29</v>
      </c>
    </row>
    <row r="1440" spans="1:28">
      <c r="A1440" t="s">
        <v>4208</v>
      </c>
      <c r="B1440" t="s">
        <v>4209</v>
      </c>
      <c r="C1440" t="s">
        <v>4210</v>
      </c>
      <c r="D1440" t="s">
        <v>26</v>
      </c>
      <c r="E1440">
        <v>18</v>
      </c>
      <c r="F1440" t="s">
        <v>27</v>
      </c>
      <c r="G1440" t="s">
        <v>54</v>
      </c>
      <c r="H1440">
        <v>15</v>
      </c>
      <c r="I1440" t="s">
        <v>65</v>
      </c>
      <c r="J1440" t="s">
        <v>30</v>
      </c>
      <c r="K1440">
        <v>4</v>
      </c>
      <c r="L1440" t="s">
        <v>72</v>
      </c>
      <c r="M1440" t="s">
        <v>85</v>
      </c>
      <c r="N1440" t="s">
        <v>40</v>
      </c>
      <c r="O1440">
        <v>58262</v>
      </c>
      <c r="P1440">
        <v>1</v>
      </c>
      <c r="Q1440" t="s">
        <v>34</v>
      </c>
      <c r="R1440" s="1">
        <v>44848</v>
      </c>
      <c r="S1440" t="s">
        <v>34</v>
      </c>
      <c r="T1440">
        <v>0</v>
      </c>
      <c r="U1440">
        <v>0</v>
      </c>
      <c r="V1440">
        <v>0</v>
      </c>
      <c r="W1440">
        <v>0</v>
      </c>
      <c r="X1440" t="s">
        <v>11023</v>
      </c>
      <c r="Y1440" t="s">
        <v>11023</v>
      </c>
      <c r="Z1440" t="str">
        <f>_xlfn.XLOOKUP(Employees[[#This Row],[Education]], EdLevel[EducationLevelID], EdLevel[EducationLevel])</f>
        <v xml:space="preserve">Masters </v>
      </c>
      <c r="AA1440">
        <f>IF(Employees[[#This Row],[Attrition]] = "Yes", 1, 0)</f>
        <v>0</v>
      </c>
      <c r="AB1440" t="str" cm="1">
        <f t="array" ref="AB1440">_xlfn.IFS(Employees[[#This Row],[Age]]&lt;30, "20-29", Employees[[#This Row],[Age]]&lt;40, "30-39", Employees[[#This Row],[Age]]&lt;50, "40-49", "TRUE", "50+")</f>
        <v>20-29</v>
      </c>
    </row>
    <row r="1441" spans="1:28">
      <c r="A1441" t="s">
        <v>4211</v>
      </c>
      <c r="B1441" t="s">
        <v>4212</v>
      </c>
      <c r="C1441" t="s">
        <v>4213</v>
      </c>
      <c r="D1441" t="s">
        <v>38</v>
      </c>
      <c r="E1441">
        <v>19</v>
      </c>
      <c r="F1441" t="s">
        <v>27</v>
      </c>
      <c r="G1441" t="s">
        <v>54</v>
      </c>
      <c r="H1441">
        <v>23</v>
      </c>
      <c r="I1441" t="s">
        <v>39</v>
      </c>
      <c r="J1441" t="s">
        <v>30</v>
      </c>
      <c r="K1441">
        <v>3</v>
      </c>
      <c r="L1441" t="s">
        <v>55</v>
      </c>
      <c r="M1441" t="s">
        <v>105</v>
      </c>
      <c r="N1441" t="s">
        <v>40</v>
      </c>
      <c r="O1441">
        <v>67873</v>
      </c>
      <c r="P1441">
        <v>0</v>
      </c>
      <c r="Q1441" t="s">
        <v>41</v>
      </c>
      <c r="R1441" s="1">
        <v>44849</v>
      </c>
      <c r="S1441" t="s">
        <v>34</v>
      </c>
      <c r="T1441">
        <v>0</v>
      </c>
      <c r="U1441">
        <v>0</v>
      </c>
      <c r="V1441">
        <v>0</v>
      </c>
      <c r="W1441">
        <v>0</v>
      </c>
      <c r="X1441" t="s">
        <v>11022</v>
      </c>
      <c r="Y1441" t="s">
        <v>11022</v>
      </c>
      <c r="Z1441" t="str">
        <f>_xlfn.XLOOKUP(Employees[[#This Row],[Education]], EdLevel[EducationLevelID], EdLevel[EducationLevel])</f>
        <v xml:space="preserve">Bachelors </v>
      </c>
      <c r="AA1441">
        <f>IF(Employees[[#This Row],[Attrition]] = "Yes", 1, 0)</f>
        <v>0</v>
      </c>
      <c r="AB1441" t="str" cm="1">
        <f t="array" ref="AB1441">_xlfn.IFS(Employees[[#This Row],[Age]]&lt;30, "20-29", Employees[[#This Row],[Age]]&lt;40, "30-39", Employees[[#This Row],[Age]]&lt;50, "40-49", "TRUE", "50+")</f>
        <v>20-29</v>
      </c>
    </row>
    <row r="1442" spans="1:28">
      <c r="A1442" t="s">
        <v>4214</v>
      </c>
      <c r="B1442" t="s">
        <v>3136</v>
      </c>
      <c r="C1442" t="s">
        <v>4215</v>
      </c>
      <c r="D1442" t="s">
        <v>26</v>
      </c>
      <c r="E1442">
        <v>19</v>
      </c>
      <c r="F1442" t="s">
        <v>27</v>
      </c>
      <c r="G1442" t="s">
        <v>28</v>
      </c>
      <c r="H1442">
        <v>1</v>
      </c>
      <c r="I1442" t="s">
        <v>39</v>
      </c>
      <c r="J1442" t="s">
        <v>30</v>
      </c>
      <c r="K1442">
        <v>1</v>
      </c>
      <c r="L1442" t="s">
        <v>121</v>
      </c>
      <c r="M1442" t="s">
        <v>150</v>
      </c>
      <c r="N1442" t="s">
        <v>40</v>
      </c>
      <c r="O1442">
        <v>24499</v>
      </c>
      <c r="P1442">
        <v>0</v>
      </c>
      <c r="Q1442" t="s">
        <v>41</v>
      </c>
      <c r="R1442" s="1">
        <v>44851</v>
      </c>
      <c r="S1442" t="s">
        <v>34</v>
      </c>
      <c r="T1442">
        <v>0</v>
      </c>
      <c r="U1442">
        <v>0</v>
      </c>
      <c r="V1442">
        <v>0</v>
      </c>
      <c r="W1442">
        <v>0</v>
      </c>
      <c r="X1442" t="s">
        <v>11020</v>
      </c>
      <c r="Y1442" t="s">
        <v>11020</v>
      </c>
      <c r="Z1442" t="str">
        <f>_xlfn.XLOOKUP(Employees[[#This Row],[Education]], EdLevel[EducationLevelID], EdLevel[EducationLevel])</f>
        <v>No Formal Qualifications</v>
      </c>
      <c r="AA1442">
        <f>IF(Employees[[#This Row],[Attrition]] = "Yes", 1, 0)</f>
        <v>0</v>
      </c>
      <c r="AB1442" t="str" cm="1">
        <f t="array" ref="AB1442">_xlfn.IFS(Employees[[#This Row],[Age]]&lt;30, "20-29", Employees[[#This Row],[Age]]&lt;40, "30-39", Employees[[#This Row],[Age]]&lt;50, "40-49", "TRUE", "50+")</f>
        <v>20-29</v>
      </c>
    </row>
    <row r="1443" spans="1:28">
      <c r="A1443" t="s">
        <v>4216</v>
      </c>
      <c r="B1443" t="s">
        <v>4217</v>
      </c>
      <c r="C1443" t="s">
        <v>4218</v>
      </c>
      <c r="D1443" t="s">
        <v>26</v>
      </c>
      <c r="E1443">
        <v>20</v>
      </c>
      <c r="F1443" t="s">
        <v>27</v>
      </c>
      <c r="G1443" t="s">
        <v>54</v>
      </c>
      <c r="H1443">
        <v>32</v>
      </c>
      <c r="I1443" t="s">
        <v>29</v>
      </c>
      <c r="J1443" t="s">
        <v>30</v>
      </c>
      <c r="K1443">
        <v>2</v>
      </c>
      <c r="L1443" t="s">
        <v>72</v>
      </c>
      <c r="M1443" t="s">
        <v>85</v>
      </c>
      <c r="N1443" t="s">
        <v>33</v>
      </c>
      <c r="O1443">
        <v>24504</v>
      </c>
      <c r="P1443">
        <v>1</v>
      </c>
      <c r="Q1443" t="s">
        <v>34</v>
      </c>
      <c r="R1443" s="1">
        <v>44853</v>
      </c>
      <c r="S1443" t="s">
        <v>34</v>
      </c>
      <c r="T1443">
        <v>0</v>
      </c>
      <c r="U1443">
        <v>0</v>
      </c>
      <c r="V1443">
        <v>0</v>
      </c>
      <c r="W1443">
        <v>0</v>
      </c>
      <c r="X1443" t="s">
        <v>11021</v>
      </c>
      <c r="Y1443" t="s">
        <v>11021</v>
      </c>
      <c r="Z1443" t="str">
        <f>_xlfn.XLOOKUP(Employees[[#This Row],[Education]], EdLevel[EducationLevelID], EdLevel[EducationLevel])</f>
        <v xml:space="preserve">High School </v>
      </c>
      <c r="AA1443">
        <f>IF(Employees[[#This Row],[Attrition]] = "Yes", 1, 0)</f>
        <v>0</v>
      </c>
      <c r="AB1443" t="str" cm="1">
        <f t="array" ref="AB1443">_xlfn.IFS(Employees[[#This Row],[Age]]&lt;30, "20-29", Employees[[#This Row],[Age]]&lt;40, "30-39", Employees[[#This Row],[Age]]&lt;50, "40-49", "TRUE", "50+")</f>
        <v>20-29</v>
      </c>
    </row>
    <row r="1444" spans="1:28">
      <c r="A1444" t="s">
        <v>4219</v>
      </c>
      <c r="B1444" t="s">
        <v>4220</v>
      </c>
      <c r="C1444" t="s">
        <v>4221</v>
      </c>
      <c r="D1444" t="s">
        <v>26</v>
      </c>
      <c r="E1444">
        <v>19</v>
      </c>
      <c r="F1444" t="s">
        <v>27</v>
      </c>
      <c r="G1444" t="s">
        <v>45</v>
      </c>
      <c r="H1444">
        <v>20</v>
      </c>
      <c r="I1444" t="s">
        <v>65</v>
      </c>
      <c r="J1444" t="s">
        <v>30</v>
      </c>
      <c r="K1444">
        <v>2</v>
      </c>
      <c r="L1444" t="s">
        <v>121</v>
      </c>
      <c r="M1444" t="s">
        <v>61</v>
      </c>
      <c r="N1444" t="s">
        <v>40</v>
      </c>
      <c r="O1444">
        <v>21026</v>
      </c>
      <c r="P1444">
        <v>0</v>
      </c>
      <c r="Q1444" t="s">
        <v>34</v>
      </c>
      <c r="R1444" s="1">
        <v>44858</v>
      </c>
      <c r="S1444" t="s">
        <v>34</v>
      </c>
      <c r="T1444">
        <v>0</v>
      </c>
      <c r="U1444">
        <v>0</v>
      </c>
      <c r="V1444">
        <v>0</v>
      </c>
      <c r="W1444">
        <v>0</v>
      </c>
      <c r="X1444" t="s">
        <v>11021</v>
      </c>
      <c r="Y1444" t="s">
        <v>11021</v>
      </c>
      <c r="Z1444" t="str">
        <f>_xlfn.XLOOKUP(Employees[[#This Row],[Education]], EdLevel[EducationLevelID], EdLevel[EducationLevel])</f>
        <v xml:space="preserve">High School </v>
      </c>
      <c r="AA1444">
        <f>IF(Employees[[#This Row],[Attrition]] = "Yes", 1, 0)</f>
        <v>0</v>
      </c>
      <c r="AB1444" t="str" cm="1">
        <f t="array" ref="AB1444">_xlfn.IFS(Employees[[#This Row],[Age]]&lt;30, "20-29", Employees[[#This Row],[Age]]&lt;40, "30-39", Employees[[#This Row],[Age]]&lt;50, "40-49", "TRUE", "50+")</f>
        <v>20-29</v>
      </c>
    </row>
    <row r="1445" spans="1:28">
      <c r="A1445" t="s">
        <v>4222</v>
      </c>
      <c r="B1445" t="s">
        <v>3360</v>
      </c>
      <c r="C1445" t="s">
        <v>4223</v>
      </c>
      <c r="D1445" t="s">
        <v>26</v>
      </c>
      <c r="E1445">
        <v>19</v>
      </c>
      <c r="F1445" t="s">
        <v>84</v>
      </c>
      <c r="G1445" t="s">
        <v>28</v>
      </c>
      <c r="H1445">
        <v>35</v>
      </c>
      <c r="I1445" t="s">
        <v>39</v>
      </c>
      <c r="J1445" t="s">
        <v>30</v>
      </c>
      <c r="K1445">
        <v>4</v>
      </c>
      <c r="L1445" t="s">
        <v>47</v>
      </c>
      <c r="M1445" t="s">
        <v>150</v>
      </c>
      <c r="N1445" t="s">
        <v>40</v>
      </c>
      <c r="O1445">
        <v>24959</v>
      </c>
      <c r="P1445">
        <v>1</v>
      </c>
      <c r="Q1445" t="s">
        <v>34</v>
      </c>
      <c r="R1445" s="1">
        <v>44859</v>
      </c>
      <c r="S1445" t="s">
        <v>41</v>
      </c>
      <c r="T1445">
        <v>0</v>
      </c>
      <c r="U1445">
        <v>0</v>
      </c>
      <c r="V1445">
        <v>0</v>
      </c>
      <c r="W1445">
        <v>0</v>
      </c>
      <c r="X1445" t="s">
        <v>11023</v>
      </c>
      <c r="Y1445" t="s">
        <v>11023</v>
      </c>
      <c r="Z1445" t="str">
        <f>_xlfn.XLOOKUP(Employees[[#This Row],[Education]], EdLevel[EducationLevelID], EdLevel[EducationLevel])</f>
        <v xml:space="preserve">Masters </v>
      </c>
      <c r="AA1445">
        <f>IF(Employees[[#This Row],[Attrition]] = "Yes", 1, 0)</f>
        <v>1</v>
      </c>
      <c r="AB1445" t="str" cm="1">
        <f t="array" ref="AB1445">_xlfn.IFS(Employees[[#This Row],[Age]]&lt;30, "20-29", Employees[[#This Row],[Age]]&lt;40, "30-39", Employees[[#This Row],[Age]]&lt;50, "40-49", "TRUE", "50+")</f>
        <v>20-29</v>
      </c>
    </row>
    <row r="1446" spans="1:28">
      <c r="A1446" t="s">
        <v>4224</v>
      </c>
      <c r="B1446" t="s">
        <v>4225</v>
      </c>
      <c r="C1446" t="s">
        <v>4226</v>
      </c>
      <c r="D1446" t="s">
        <v>53</v>
      </c>
      <c r="E1446">
        <v>18</v>
      </c>
      <c r="F1446" t="s">
        <v>84</v>
      </c>
      <c r="G1446" t="s">
        <v>28</v>
      </c>
      <c r="H1446">
        <v>38</v>
      </c>
      <c r="I1446" t="s">
        <v>29</v>
      </c>
      <c r="J1446" t="s">
        <v>71</v>
      </c>
      <c r="K1446">
        <v>1</v>
      </c>
      <c r="L1446" t="s">
        <v>121</v>
      </c>
      <c r="M1446" t="s">
        <v>32</v>
      </c>
      <c r="N1446" t="s">
        <v>40</v>
      </c>
      <c r="O1446">
        <v>59962</v>
      </c>
      <c r="P1446">
        <v>2</v>
      </c>
      <c r="Q1446" t="s">
        <v>41</v>
      </c>
      <c r="R1446" s="1">
        <v>44863</v>
      </c>
      <c r="S1446" t="s">
        <v>34</v>
      </c>
      <c r="T1446">
        <v>0</v>
      </c>
      <c r="U1446">
        <v>0</v>
      </c>
      <c r="V1446">
        <v>0</v>
      </c>
      <c r="W1446">
        <v>0</v>
      </c>
      <c r="X1446" t="s">
        <v>11020</v>
      </c>
      <c r="Y1446" t="s">
        <v>11020</v>
      </c>
      <c r="Z1446" t="str">
        <f>_xlfn.XLOOKUP(Employees[[#This Row],[Education]], EdLevel[EducationLevelID], EdLevel[EducationLevel])</f>
        <v>No Formal Qualifications</v>
      </c>
      <c r="AA1446">
        <f>IF(Employees[[#This Row],[Attrition]] = "Yes", 1, 0)</f>
        <v>0</v>
      </c>
      <c r="AB1446" t="str" cm="1">
        <f t="array" ref="AB1446">_xlfn.IFS(Employees[[#This Row],[Age]]&lt;30, "20-29", Employees[[#This Row],[Age]]&lt;40, "30-39", Employees[[#This Row],[Age]]&lt;50, "40-49", "TRUE", "50+")</f>
        <v>20-29</v>
      </c>
    </row>
    <row r="1447" spans="1:28">
      <c r="A1447" t="s">
        <v>4227</v>
      </c>
      <c r="B1447" t="s">
        <v>4228</v>
      </c>
      <c r="C1447" t="s">
        <v>4229</v>
      </c>
      <c r="D1447" t="s">
        <v>26</v>
      </c>
      <c r="E1447">
        <v>20</v>
      </c>
      <c r="F1447" t="s">
        <v>27</v>
      </c>
      <c r="G1447" t="s">
        <v>54</v>
      </c>
      <c r="H1447">
        <v>45</v>
      </c>
      <c r="I1447" t="s">
        <v>29</v>
      </c>
      <c r="J1447" t="s">
        <v>71</v>
      </c>
      <c r="K1447">
        <v>2</v>
      </c>
      <c r="L1447" t="s">
        <v>72</v>
      </c>
      <c r="M1447" t="s">
        <v>105</v>
      </c>
      <c r="N1447" t="s">
        <v>49</v>
      </c>
      <c r="O1447">
        <v>41877</v>
      </c>
      <c r="P1447">
        <v>0</v>
      </c>
      <c r="Q1447" t="s">
        <v>34</v>
      </c>
      <c r="R1447" s="1">
        <v>44867</v>
      </c>
      <c r="S1447" t="s">
        <v>41</v>
      </c>
      <c r="T1447">
        <v>0</v>
      </c>
      <c r="U1447">
        <v>0</v>
      </c>
      <c r="V1447">
        <v>0</v>
      </c>
      <c r="W1447">
        <v>0</v>
      </c>
      <c r="X1447" t="s">
        <v>11021</v>
      </c>
      <c r="Y1447" t="s">
        <v>11021</v>
      </c>
      <c r="Z1447" t="str">
        <f>_xlfn.XLOOKUP(Employees[[#This Row],[Education]], EdLevel[EducationLevelID], EdLevel[EducationLevel])</f>
        <v xml:space="preserve">High School </v>
      </c>
      <c r="AA1447">
        <f>IF(Employees[[#This Row],[Attrition]] = "Yes", 1, 0)</f>
        <v>1</v>
      </c>
      <c r="AB1447" t="str" cm="1">
        <f t="array" ref="AB1447">_xlfn.IFS(Employees[[#This Row],[Age]]&lt;30, "20-29", Employees[[#This Row],[Age]]&lt;40, "30-39", Employees[[#This Row],[Age]]&lt;50, "40-49", "TRUE", "50+")</f>
        <v>20-29</v>
      </c>
    </row>
    <row r="1448" spans="1:28">
      <c r="A1448" t="s">
        <v>4230</v>
      </c>
      <c r="B1448" t="s">
        <v>4231</v>
      </c>
      <c r="C1448" t="s">
        <v>4232</v>
      </c>
      <c r="D1448" t="s">
        <v>26</v>
      </c>
      <c r="E1448">
        <v>21</v>
      </c>
      <c r="F1448" t="s">
        <v>70</v>
      </c>
      <c r="G1448" t="s">
        <v>28</v>
      </c>
      <c r="H1448">
        <v>6</v>
      </c>
      <c r="I1448" t="s">
        <v>39</v>
      </c>
      <c r="J1448" t="s">
        <v>71</v>
      </c>
      <c r="K1448">
        <v>4</v>
      </c>
      <c r="L1448" t="s">
        <v>77</v>
      </c>
      <c r="M1448" t="s">
        <v>32</v>
      </c>
      <c r="N1448" t="s">
        <v>49</v>
      </c>
      <c r="O1448">
        <v>43259</v>
      </c>
      <c r="P1448">
        <v>0</v>
      </c>
      <c r="Q1448" t="s">
        <v>34</v>
      </c>
      <c r="R1448" s="1">
        <v>44868</v>
      </c>
      <c r="S1448" t="s">
        <v>41</v>
      </c>
      <c r="T1448">
        <v>0</v>
      </c>
      <c r="U1448">
        <v>0</v>
      </c>
      <c r="V1448">
        <v>0</v>
      </c>
      <c r="W1448">
        <v>0</v>
      </c>
      <c r="X1448" t="s">
        <v>11023</v>
      </c>
      <c r="Y1448" t="s">
        <v>11023</v>
      </c>
      <c r="Z1448" t="str">
        <f>_xlfn.XLOOKUP(Employees[[#This Row],[Education]], EdLevel[EducationLevelID], EdLevel[EducationLevel])</f>
        <v xml:space="preserve">Masters </v>
      </c>
      <c r="AA1448">
        <f>IF(Employees[[#This Row],[Attrition]] = "Yes", 1, 0)</f>
        <v>1</v>
      </c>
      <c r="AB1448" t="str" cm="1">
        <f t="array" ref="AB1448">_xlfn.IFS(Employees[[#This Row],[Age]]&lt;30, "20-29", Employees[[#This Row],[Age]]&lt;40, "30-39", Employees[[#This Row],[Age]]&lt;50, "40-49", "TRUE", "50+")</f>
        <v>20-29</v>
      </c>
    </row>
    <row r="1449" spans="1:28">
      <c r="A1449" t="s">
        <v>4233</v>
      </c>
      <c r="B1449" t="s">
        <v>4234</v>
      </c>
      <c r="C1449" t="s">
        <v>4235</v>
      </c>
      <c r="D1449" t="s">
        <v>26</v>
      </c>
      <c r="E1449">
        <v>29</v>
      </c>
      <c r="F1449" t="s">
        <v>27</v>
      </c>
      <c r="G1449" t="s">
        <v>54</v>
      </c>
      <c r="H1449">
        <v>25</v>
      </c>
      <c r="I1449" t="s">
        <v>39</v>
      </c>
      <c r="J1449" t="s">
        <v>71</v>
      </c>
      <c r="K1449">
        <v>2</v>
      </c>
      <c r="L1449" t="s">
        <v>72</v>
      </c>
      <c r="M1449" t="s">
        <v>182</v>
      </c>
      <c r="N1449" t="s">
        <v>40</v>
      </c>
      <c r="O1449">
        <v>374977</v>
      </c>
      <c r="P1449">
        <v>1</v>
      </c>
      <c r="Q1449" t="s">
        <v>34</v>
      </c>
      <c r="R1449" s="1">
        <v>44868</v>
      </c>
      <c r="S1449" t="s">
        <v>34</v>
      </c>
      <c r="T1449">
        <v>0</v>
      </c>
      <c r="U1449">
        <v>0</v>
      </c>
      <c r="V1449">
        <v>0</v>
      </c>
      <c r="W1449">
        <v>0</v>
      </c>
      <c r="X1449" t="s">
        <v>11021</v>
      </c>
      <c r="Y1449" t="s">
        <v>11021</v>
      </c>
      <c r="Z1449" t="str">
        <f>_xlfn.XLOOKUP(Employees[[#This Row],[Education]], EdLevel[EducationLevelID], EdLevel[EducationLevel])</f>
        <v xml:space="preserve">High School </v>
      </c>
      <c r="AA1449">
        <f>IF(Employees[[#This Row],[Attrition]] = "Yes", 1, 0)</f>
        <v>0</v>
      </c>
      <c r="AB1449" t="str" cm="1">
        <f t="array" ref="AB1449">_xlfn.IFS(Employees[[#This Row],[Age]]&lt;30, "20-29", Employees[[#This Row],[Age]]&lt;40, "30-39", Employees[[#This Row],[Age]]&lt;50, "40-49", "TRUE", "50+")</f>
        <v>20-29</v>
      </c>
    </row>
    <row r="1450" spans="1:28">
      <c r="A1450" t="s">
        <v>4236</v>
      </c>
      <c r="B1450" t="s">
        <v>4237</v>
      </c>
      <c r="C1450" t="s">
        <v>4238</v>
      </c>
      <c r="D1450" t="s">
        <v>26</v>
      </c>
      <c r="E1450">
        <v>19</v>
      </c>
      <c r="F1450" t="s">
        <v>27</v>
      </c>
      <c r="G1450" t="s">
        <v>54</v>
      </c>
      <c r="H1450">
        <v>11</v>
      </c>
      <c r="I1450" t="s">
        <v>39</v>
      </c>
      <c r="J1450" t="s">
        <v>71</v>
      </c>
      <c r="K1450">
        <v>4</v>
      </c>
      <c r="L1450" t="s">
        <v>55</v>
      </c>
      <c r="M1450" t="s">
        <v>101</v>
      </c>
      <c r="N1450" t="s">
        <v>40</v>
      </c>
      <c r="O1450">
        <v>27760</v>
      </c>
      <c r="P1450">
        <v>3</v>
      </c>
      <c r="Q1450" t="s">
        <v>41</v>
      </c>
      <c r="R1450" s="1">
        <v>44871</v>
      </c>
      <c r="S1450" t="s">
        <v>41</v>
      </c>
      <c r="T1450">
        <v>0</v>
      </c>
      <c r="U1450">
        <v>0</v>
      </c>
      <c r="V1450">
        <v>0</v>
      </c>
      <c r="W1450">
        <v>0</v>
      </c>
      <c r="X1450" t="s">
        <v>11023</v>
      </c>
      <c r="Y1450" t="s">
        <v>11023</v>
      </c>
      <c r="Z1450" t="str">
        <f>_xlfn.XLOOKUP(Employees[[#This Row],[Education]], EdLevel[EducationLevelID], EdLevel[EducationLevel])</f>
        <v xml:space="preserve">Masters </v>
      </c>
      <c r="AA1450">
        <f>IF(Employees[[#This Row],[Attrition]] = "Yes", 1, 0)</f>
        <v>1</v>
      </c>
      <c r="AB1450" t="str" cm="1">
        <f t="array" ref="AB1450">_xlfn.IFS(Employees[[#This Row],[Age]]&lt;30, "20-29", Employees[[#This Row],[Age]]&lt;40, "30-39", Employees[[#This Row],[Age]]&lt;50, "40-49", "TRUE", "50+")</f>
        <v>20-29</v>
      </c>
    </row>
    <row r="1451" spans="1:28">
      <c r="A1451" t="s">
        <v>4239</v>
      </c>
      <c r="B1451" t="s">
        <v>4240</v>
      </c>
      <c r="C1451" t="s">
        <v>4241</v>
      </c>
      <c r="D1451" t="s">
        <v>38</v>
      </c>
      <c r="E1451">
        <v>33</v>
      </c>
      <c r="F1451" t="s">
        <v>84</v>
      </c>
      <c r="G1451" t="s">
        <v>54</v>
      </c>
      <c r="H1451">
        <v>29</v>
      </c>
      <c r="I1451" t="s">
        <v>39</v>
      </c>
      <c r="J1451" t="s">
        <v>71</v>
      </c>
      <c r="K1451">
        <v>3</v>
      </c>
      <c r="L1451" t="s">
        <v>55</v>
      </c>
      <c r="M1451" t="s">
        <v>93</v>
      </c>
      <c r="N1451" t="s">
        <v>49</v>
      </c>
      <c r="O1451">
        <v>240197</v>
      </c>
      <c r="P1451">
        <v>1</v>
      </c>
      <c r="Q1451" t="s">
        <v>34</v>
      </c>
      <c r="R1451" s="1">
        <v>44873</v>
      </c>
      <c r="S1451" t="s">
        <v>34</v>
      </c>
      <c r="T1451">
        <v>0</v>
      </c>
      <c r="U1451">
        <v>0</v>
      </c>
      <c r="V1451">
        <v>0</v>
      </c>
      <c r="W1451">
        <v>0</v>
      </c>
      <c r="X1451" t="s">
        <v>11022</v>
      </c>
      <c r="Y1451" t="s">
        <v>11022</v>
      </c>
      <c r="Z1451" t="str">
        <f>_xlfn.XLOOKUP(Employees[[#This Row],[Education]], EdLevel[EducationLevelID], EdLevel[EducationLevel])</f>
        <v xml:space="preserve">Bachelors </v>
      </c>
      <c r="AA1451">
        <f>IF(Employees[[#This Row],[Attrition]] = "Yes", 1, 0)</f>
        <v>0</v>
      </c>
      <c r="AB1451" t="str" cm="1">
        <f t="array" ref="AB1451">_xlfn.IFS(Employees[[#This Row],[Age]]&lt;30, "20-29", Employees[[#This Row],[Age]]&lt;40, "30-39", Employees[[#This Row],[Age]]&lt;50, "40-49", "TRUE", "50+")</f>
        <v>30-39</v>
      </c>
    </row>
    <row r="1452" spans="1:28">
      <c r="A1452" t="s">
        <v>4242</v>
      </c>
      <c r="B1452" t="s">
        <v>4243</v>
      </c>
      <c r="C1452" t="s">
        <v>4244</v>
      </c>
      <c r="D1452" t="s">
        <v>26</v>
      </c>
      <c r="E1452">
        <v>33</v>
      </c>
      <c r="F1452" t="s">
        <v>84</v>
      </c>
      <c r="G1452" t="s">
        <v>54</v>
      </c>
      <c r="H1452">
        <v>5</v>
      </c>
      <c r="I1452" t="s">
        <v>29</v>
      </c>
      <c r="J1452" t="s">
        <v>71</v>
      </c>
      <c r="K1452">
        <v>2</v>
      </c>
      <c r="L1452" t="s">
        <v>55</v>
      </c>
      <c r="M1452" t="s">
        <v>93</v>
      </c>
      <c r="N1452" t="s">
        <v>40</v>
      </c>
      <c r="O1452">
        <v>249325</v>
      </c>
      <c r="P1452">
        <v>0</v>
      </c>
      <c r="Q1452" t="s">
        <v>34</v>
      </c>
      <c r="R1452" s="1">
        <v>44874</v>
      </c>
      <c r="S1452" t="s">
        <v>34</v>
      </c>
      <c r="T1452">
        <v>0</v>
      </c>
      <c r="U1452">
        <v>0</v>
      </c>
      <c r="V1452">
        <v>0</v>
      </c>
      <c r="W1452">
        <v>0</v>
      </c>
      <c r="X1452" t="s">
        <v>11021</v>
      </c>
      <c r="Y1452" t="s">
        <v>11021</v>
      </c>
      <c r="Z1452" t="str">
        <f>_xlfn.XLOOKUP(Employees[[#This Row],[Education]], EdLevel[EducationLevelID], EdLevel[EducationLevel])</f>
        <v xml:space="preserve">High School </v>
      </c>
      <c r="AA1452">
        <f>IF(Employees[[#This Row],[Attrition]] = "Yes", 1, 0)</f>
        <v>0</v>
      </c>
      <c r="AB1452" t="str" cm="1">
        <f t="array" ref="AB1452">_xlfn.IFS(Employees[[#This Row],[Age]]&lt;30, "20-29", Employees[[#This Row],[Age]]&lt;40, "30-39", Employees[[#This Row],[Age]]&lt;50, "40-49", "TRUE", "50+")</f>
        <v>30-39</v>
      </c>
    </row>
    <row r="1453" spans="1:28">
      <c r="A1453" t="s">
        <v>4245</v>
      </c>
      <c r="B1453" t="s">
        <v>4246</v>
      </c>
      <c r="C1453" t="s">
        <v>4247</v>
      </c>
      <c r="D1453" t="s">
        <v>53</v>
      </c>
      <c r="E1453">
        <v>23</v>
      </c>
      <c r="F1453" t="s">
        <v>27</v>
      </c>
      <c r="G1453" t="s">
        <v>54</v>
      </c>
      <c r="H1453">
        <v>30</v>
      </c>
      <c r="I1453" t="s">
        <v>65</v>
      </c>
      <c r="J1453" t="s">
        <v>71</v>
      </c>
      <c r="K1453">
        <v>4</v>
      </c>
      <c r="L1453" t="s">
        <v>72</v>
      </c>
      <c r="M1453" t="s">
        <v>93</v>
      </c>
      <c r="N1453" t="s">
        <v>40</v>
      </c>
      <c r="O1453">
        <v>96942</v>
      </c>
      <c r="P1453">
        <v>1</v>
      </c>
      <c r="Q1453" t="s">
        <v>34</v>
      </c>
      <c r="R1453" s="1">
        <v>44876</v>
      </c>
      <c r="S1453" t="s">
        <v>34</v>
      </c>
      <c r="T1453">
        <v>0</v>
      </c>
      <c r="U1453">
        <v>0</v>
      </c>
      <c r="V1453">
        <v>0</v>
      </c>
      <c r="W1453">
        <v>0</v>
      </c>
      <c r="X1453" t="s">
        <v>11023</v>
      </c>
      <c r="Y1453" t="s">
        <v>11023</v>
      </c>
      <c r="Z1453" t="str">
        <f>_xlfn.XLOOKUP(Employees[[#This Row],[Education]], EdLevel[EducationLevelID], EdLevel[EducationLevel])</f>
        <v xml:space="preserve">Masters </v>
      </c>
      <c r="AA1453">
        <f>IF(Employees[[#This Row],[Attrition]] = "Yes", 1, 0)</f>
        <v>0</v>
      </c>
      <c r="AB1453" t="str" cm="1">
        <f t="array" ref="AB1453">_xlfn.IFS(Employees[[#This Row],[Age]]&lt;30, "20-29", Employees[[#This Row],[Age]]&lt;40, "30-39", Employees[[#This Row],[Age]]&lt;50, "40-49", "TRUE", "50+")</f>
        <v>20-29</v>
      </c>
    </row>
    <row r="1454" spans="1:28">
      <c r="A1454" t="s">
        <v>4248</v>
      </c>
      <c r="B1454" t="s">
        <v>4249</v>
      </c>
      <c r="C1454" t="s">
        <v>4250</v>
      </c>
      <c r="D1454" t="s">
        <v>26</v>
      </c>
      <c r="E1454">
        <v>18</v>
      </c>
      <c r="F1454" t="s">
        <v>27</v>
      </c>
      <c r="G1454" t="s">
        <v>54</v>
      </c>
      <c r="H1454">
        <v>14</v>
      </c>
      <c r="I1454" t="s">
        <v>29</v>
      </c>
      <c r="J1454" t="s">
        <v>71</v>
      </c>
      <c r="K1454">
        <v>1</v>
      </c>
      <c r="L1454" t="s">
        <v>55</v>
      </c>
      <c r="M1454" t="s">
        <v>85</v>
      </c>
      <c r="N1454" t="s">
        <v>40</v>
      </c>
      <c r="O1454">
        <v>28246</v>
      </c>
      <c r="P1454">
        <v>1</v>
      </c>
      <c r="Q1454" t="s">
        <v>34</v>
      </c>
      <c r="R1454" s="1">
        <v>44878</v>
      </c>
      <c r="S1454" t="s">
        <v>34</v>
      </c>
      <c r="T1454">
        <v>0</v>
      </c>
      <c r="U1454">
        <v>0</v>
      </c>
      <c r="V1454">
        <v>0</v>
      </c>
      <c r="W1454">
        <v>0</v>
      </c>
      <c r="X1454" t="s">
        <v>11020</v>
      </c>
      <c r="Y1454" t="s">
        <v>11020</v>
      </c>
      <c r="Z1454" t="str">
        <f>_xlfn.XLOOKUP(Employees[[#This Row],[Education]], EdLevel[EducationLevelID], EdLevel[EducationLevel])</f>
        <v>No Formal Qualifications</v>
      </c>
      <c r="AA1454">
        <f>IF(Employees[[#This Row],[Attrition]] = "Yes", 1, 0)</f>
        <v>0</v>
      </c>
      <c r="AB1454" t="str" cm="1">
        <f t="array" ref="AB1454">_xlfn.IFS(Employees[[#This Row],[Age]]&lt;30, "20-29", Employees[[#This Row],[Age]]&lt;40, "30-39", Employees[[#This Row],[Age]]&lt;50, "40-49", "TRUE", "50+")</f>
        <v>20-29</v>
      </c>
    </row>
    <row r="1455" spans="1:28">
      <c r="A1455" t="s">
        <v>4251</v>
      </c>
      <c r="B1455" t="s">
        <v>4252</v>
      </c>
      <c r="C1455" t="s">
        <v>4253</v>
      </c>
      <c r="D1455" t="s">
        <v>859</v>
      </c>
      <c r="E1455">
        <v>31</v>
      </c>
      <c r="F1455" t="s">
        <v>84</v>
      </c>
      <c r="G1455" t="s">
        <v>54</v>
      </c>
      <c r="H1455">
        <v>12</v>
      </c>
      <c r="I1455" t="s">
        <v>65</v>
      </c>
      <c r="J1455" t="s">
        <v>71</v>
      </c>
      <c r="K1455">
        <v>2</v>
      </c>
      <c r="L1455" t="s">
        <v>55</v>
      </c>
      <c r="M1455" t="s">
        <v>101</v>
      </c>
      <c r="N1455" t="s">
        <v>33</v>
      </c>
      <c r="O1455">
        <v>103429</v>
      </c>
      <c r="P1455">
        <v>1</v>
      </c>
      <c r="Q1455" t="s">
        <v>34</v>
      </c>
      <c r="R1455" s="1">
        <v>44885</v>
      </c>
      <c r="S1455" t="s">
        <v>34</v>
      </c>
      <c r="T1455">
        <v>0</v>
      </c>
      <c r="U1455">
        <v>0</v>
      </c>
      <c r="V1455">
        <v>0</v>
      </c>
      <c r="W1455">
        <v>0</v>
      </c>
      <c r="X1455" t="s">
        <v>11021</v>
      </c>
      <c r="Y1455" t="s">
        <v>11021</v>
      </c>
      <c r="Z1455" t="str">
        <f>_xlfn.XLOOKUP(Employees[[#This Row],[Education]], EdLevel[EducationLevelID], EdLevel[EducationLevel])</f>
        <v xml:space="preserve">High School </v>
      </c>
      <c r="AA1455">
        <f>IF(Employees[[#This Row],[Attrition]] = "Yes", 1, 0)</f>
        <v>0</v>
      </c>
      <c r="AB1455" t="str" cm="1">
        <f t="array" ref="AB1455">_xlfn.IFS(Employees[[#This Row],[Age]]&lt;30, "20-29", Employees[[#This Row],[Age]]&lt;40, "30-39", Employees[[#This Row],[Age]]&lt;50, "40-49", "TRUE", "50+")</f>
        <v>30-39</v>
      </c>
    </row>
    <row r="1456" spans="1:28">
      <c r="A1456" t="s">
        <v>4254</v>
      </c>
      <c r="B1456" t="s">
        <v>4255</v>
      </c>
      <c r="C1456" t="s">
        <v>4256</v>
      </c>
      <c r="D1456" t="s">
        <v>26</v>
      </c>
      <c r="E1456">
        <v>29</v>
      </c>
      <c r="F1456" t="s">
        <v>27</v>
      </c>
      <c r="G1456" t="s">
        <v>54</v>
      </c>
      <c r="H1456">
        <v>30</v>
      </c>
      <c r="I1456" t="s">
        <v>39</v>
      </c>
      <c r="J1456" t="s">
        <v>71</v>
      </c>
      <c r="K1456">
        <v>4</v>
      </c>
      <c r="L1456" t="s">
        <v>178</v>
      </c>
      <c r="M1456" t="s">
        <v>93</v>
      </c>
      <c r="N1456" t="s">
        <v>40</v>
      </c>
      <c r="O1456">
        <v>220896</v>
      </c>
      <c r="P1456">
        <v>0</v>
      </c>
      <c r="Q1456" t="s">
        <v>34</v>
      </c>
      <c r="R1456" s="1">
        <v>44887</v>
      </c>
      <c r="S1456" t="s">
        <v>34</v>
      </c>
      <c r="T1456">
        <v>0</v>
      </c>
      <c r="U1456">
        <v>0</v>
      </c>
      <c r="V1456">
        <v>0</v>
      </c>
      <c r="W1456">
        <v>0</v>
      </c>
      <c r="X1456" t="s">
        <v>11023</v>
      </c>
      <c r="Y1456" t="s">
        <v>11023</v>
      </c>
      <c r="Z1456" t="str">
        <f>_xlfn.XLOOKUP(Employees[[#This Row],[Education]], EdLevel[EducationLevelID], EdLevel[EducationLevel])</f>
        <v xml:space="preserve">Masters </v>
      </c>
      <c r="AA1456">
        <f>IF(Employees[[#This Row],[Attrition]] = "Yes", 1, 0)</f>
        <v>0</v>
      </c>
      <c r="AB1456" t="str" cm="1">
        <f t="array" ref="AB1456">_xlfn.IFS(Employees[[#This Row],[Age]]&lt;30, "20-29", Employees[[#This Row],[Age]]&lt;40, "30-39", Employees[[#This Row],[Age]]&lt;50, "40-49", "TRUE", "50+")</f>
        <v>20-29</v>
      </c>
    </row>
    <row r="1457" spans="1:28">
      <c r="A1457" t="s">
        <v>4257</v>
      </c>
      <c r="B1457" t="s">
        <v>4258</v>
      </c>
      <c r="C1457" t="s">
        <v>4259</v>
      </c>
      <c r="D1457" t="s">
        <v>38</v>
      </c>
      <c r="E1457">
        <v>21</v>
      </c>
      <c r="F1457" t="s">
        <v>27</v>
      </c>
      <c r="G1457" t="s">
        <v>54</v>
      </c>
      <c r="H1457">
        <v>34</v>
      </c>
      <c r="I1457" t="s">
        <v>39</v>
      </c>
      <c r="J1457" t="s">
        <v>71</v>
      </c>
      <c r="K1457">
        <v>4</v>
      </c>
      <c r="L1457" t="s">
        <v>72</v>
      </c>
      <c r="M1457" t="s">
        <v>101</v>
      </c>
      <c r="N1457" t="s">
        <v>40</v>
      </c>
      <c r="O1457">
        <v>61758</v>
      </c>
      <c r="P1457">
        <v>0</v>
      </c>
      <c r="Q1457" t="s">
        <v>34</v>
      </c>
      <c r="R1457" s="1">
        <v>44887</v>
      </c>
      <c r="S1457" t="s">
        <v>41</v>
      </c>
      <c r="T1457">
        <v>0</v>
      </c>
      <c r="U1457">
        <v>0</v>
      </c>
      <c r="V1457">
        <v>0</v>
      </c>
      <c r="W1457">
        <v>0</v>
      </c>
      <c r="X1457" t="s">
        <v>11023</v>
      </c>
      <c r="Y1457" t="s">
        <v>11023</v>
      </c>
      <c r="Z1457" t="str">
        <f>_xlfn.XLOOKUP(Employees[[#This Row],[Education]], EdLevel[EducationLevelID], EdLevel[EducationLevel])</f>
        <v xml:space="preserve">Masters </v>
      </c>
      <c r="AA1457">
        <f>IF(Employees[[#This Row],[Attrition]] = "Yes", 1, 0)</f>
        <v>1</v>
      </c>
      <c r="AB1457" t="str" cm="1">
        <f t="array" ref="AB1457">_xlfn.IFS(Employees[[#This Row],[Age]]&lt;30, "20-29", Employees[[#This Row],[Age]]&lt;40, "30-39", Employees[[#This Row],[Age]]&lt;50, "40-49", "TRUE", "50+")</f>
        <v>20-29</v>
      </c>
    </row>
    <row r="1458" spans="1:28">
      <c r="A1458" t="s">
        <v>4260</v>
      </c>
      <c r="B1458" t="s">
        <v>4261</v>
      </c>
      <c r="C1458" t="s">
        <v>4262</v>
      </c>
      <c r="D1458" t="s">
        <v>38</v>
      </c>
      <c r="E1458">
        <v>30</v>
      </c>
      <c r="F1458" t="s">
        <v>70</v>
      </c>
      <c r="G1458" t="s">
        <v>54</v>
      </c>
      <c r="H1458">
        <v>25</v>
      </c>
      <c r="I1458" t="s">
        <v>39</v>
      </c>
      <c r="J1458" t="s">
        <v>71</v>
      </c>
      <c r="K1458">
        <v>3</v>
      </c>
      <c r="L1458" t="s">
        <v>72</v>
      </c>
      <c r="M1458" t="s">
        <v>93</v>
      </c>
      <c r="N1458" t="s">
        <v>40</v>
      </c>
      <c r="O1458">
        <v>248259</v>
      </c>
      <c r="P1458">
        <v>0</v>
      </c>
      <c r="Q1458" t="s">
        <v>34</v>
      </c>
      <c r="R1458" s="1">
        <v>44889</v>
      </c>
      <c r="S1458" t="s">
        <v>34</v>
      </c>
      <c r="T1458">
        <v>0</v>
      </c>
      <c r="U1458">
        <v>0</v>
      </c>
      <c r="V1458">
        <v>0</v>
      </c>
      <c r="W1458">
        <v>0</v>
      </c>
      <c r="X1458" t="s">
        <v>11022</v>
      </c>
      <c r="Y1458" t="s">
        <v>11022</v>
      </c>
      <c r="Z1458" t="str">
        <f>_xlfn.XLOOKUP(Employees[[#This Row],[Education]], EdLevel[EducationLevelID], EdLevel[EducationLevel])</f>
        <v xml:space="preserve">Bachelors </v>
      </c>
      <c r="AA1458">
        <f>IF(Employees[[#This Row],[Attrition]] = "Yes", 1, 0)</f>
        <v>0</v>
      </c>
      <c r="AB1458" t="str" cm="1">
        <f t="array" ref="AB1458">_xlfn.IFS(Employees[[#This Row],[Age]]&lt;30, "20-29", Employees[[#This Row],[Age]]&lt;40, "30-39", Employees[[#This Row],[Age]]&lt;50, "40-49", "TRUE", "50+")</f>
        <v>30-39</v>
      </c>
    </row>
    <row r="1459" spans="1:28">
      <c r="A1459" t="s">
        <v>4263</v>
      </c>
      <c r="B1459" t="s">
        <v>4264</v>
      </c>
      <c r="C1459" t="s">
        <v>4265</v>
      </c>
      <c r="D1459" t="s">
        <v>26</v>
      </c>
      <c r="E1459">
        <v>20</v>
      </c>
      <c r="F1459" t="s">
        <v>27</v>
      </c>
      <c r="G1459" t="s">
        <v>28</v>
      </c>
      <c r="H1459">
        <v>32</v>
      </c>
      <c r="I1459" t="s">
        <v>39</v>
      </c>
      <c r="J1459" t="s">
        <v>71</v>
      </c>
      <c r="K1459">
        <v>2</v>
      </c>
      <c r="L1459" t="s">
        <v>31</v>
      </c>
      <c r="M1459" t="s">
        <v>150</v>
      </c>
      <c r="N1459" t="s">
        <v>49</v>
      </c>
      <c r="O1459">
        <v>38532</v>
      </c>
      <c r="P1459">
        <v>3</v>
      </c>
      <c r="Q1459" t="s">
        <v>41</v>
      </c>
      <c r="R1459" s="1">
        <v>44898</v>
      </c>
      <c r="S1459" t="s">
        <v>41</v>
      </c>
      <c r="T1459">
        <v>0</v>
      </c>
      <c r="U1459">
        <v>0</v>
      </c>
      <c r="V1459">
        <v>0</v>
      </c>
      <c r="W1459">
        <v>0</v>
      </c>
      <c r="X1459" t="s">
        <v>11021</v>
      </c>
      <c r="Y1459" t="s">
        <v>11021</v>
      </c>
      <c r="Z1459" t="str">
        <f>_xlfn.XLOOKUP(Employees[[#This Row],[Education]], EdLevel[EducationLevelID], EdLevel[EducationLevel])</f>
        <v xml:space="preserve">High School </v>
      </c>
      <c r="AA1459">
        <f>IF(Employees[[#This Row],[Attrition]] = "Yes", 1, 0)</f>
        <v>1</v>
      </c>
      <c r="AB1459" t="str" cm="1">
        <f t="array" ref="AB1459">_xlfn.IFS(Employees[[#This Row],[Age]]&lt;30, "20-29", Employees[[#This Row],[Age]]&lt;40, "30-39", Employees[[#This Row],[Age]]&lt;50, "40-49", "TRUE", "50+")</f>
        <v>20-29</v>
      </c>
    </row>
    <row r="1460" spans="1:28">
      <c r="A1460" t="s">
        <v>4266</v>
      </c>
      <c r="B1460" t="s">
        <v>4267</v>
      </c>
      <c r="C1460" t="s">
        <v>4268</v>
      </c>
      <c r="D1460" t="s">
        <v>38</v>
      </c>
      <c r="E1460">
        <v>19</v>
      </c>
      <c r="F1460" t="s">
        <v>84</v>
      </c>
      <c r="G1460" t="s">
        <v>54</v>
      </c>
      <c r="H1460">
        <v>26</v>
      </c>
      <c r="I1460" t="s">
        <v>39</v>
      </c>
      <c r="J1460" t="s">
        <v>71</v>
      </c>
      <c r="K1460">
        <v>3</v>
      </c>
      <c r="L1460" t="s">
        <v>72</v>
      </c>
      <c r="M1460" t="s">
        <v>101</v>
      </c>
      <c r="N1460" t="s">
        <v>40</v>
      </c>
      <c r="O1460">
        <v>27474</v>
      </c>
      <c r="P1460">
        <v>0</v>
      </c>
      <c r="Q1460" t="s">
        <v>34</v>
      </c>
      <c r="R1460" s="1">
        <v>44903</v>
      </c>
      <c r="S1460" t="s">
        <v>34</v>
      </c>
      <c r="T1460">
        <v>0</v>
      </c>
      <c r="U1460">
        <v>0</v>
      </c>
      <c r="V1460">
        <v>0</v>
      </c>
      <c r="W1460">
        <v>0</v>
      </c>
      <c r="X1460" t="s">
        <v>11022</v>
      </c>
      <c r="Y1460" t="s">
        <v>11022</v>
      </c>
      <c r="Z1460" t="str">
        <f>_xlfn.XLOOKUP(Employees[[#This Row],[Education]], EdLevel[EducationLevelID], EdLevel[EducationLevel])</f>
        <v xml:space="preserve">Bachelors </v>
      </c>
      <c r="AA1460">
        <f>IF(Employees[[#This Row],[Attrition]] = "Yes", 1, 0)</f>
        <v>0</v>
      </c>
      <c r="AB1460" t="str" cm="1">
        <f t="array" ref="AB1460">_xlfn.IFS(Employees[[#This Row],[Age]]&lt;30, "20-29", Employees[[#This Row],[Age]]&lt;40, "30-39", Employees[[#This Row],[Age]]&lt;50, "40-49", "TRUE", "50+")</f>
        <v>20-29</v>
      </c>
    </row>
    <row r="1461" spans="1:28">
      <c r="A1461" t="s">
        <v>4269</v>
      </c>
      <c r="B1461" t="s">
        <v>1693</v>
      </c>
      <c r="C1461" t="s">
        <v>4270</v>
      </c>
      <c r="D1461" t="s">
        <v>26</v>
      </c>
      <c r="E1461">
        <v>19</v>
      </c>
      <c r="F1461" t="s">
        <v>27</v>
      </c>
      <c r="G1461" t="s">
        <v>54</v>
      </c>
      <c r="H1461">
        <v>2</v>
      </c>
      <c r="I1461" t="s">
        <v>39</v>
      </c>
      <c r="J1461" t="s">
        <v>71</v>
      </c>
      <c r="K1461">
        <v>3</v>
      </c>
      <c r="L1461" t="s">
        <v>55</v>
      </c>
      <c r="M1461" t="s">
        <v>85</v>
      </c>
      <c r="N1461" t="s">
        <v>40</v>
      </c>
      <c r="O1461">
        <v>26973</v>
      </c>
      <c r="P1461">
        <v>0</v>
      </c>
      <c r="Q1461" t="s">
        <v>34</v>
      </c>
      <c r="R1461" s="1">
        <v>44906</v>
      </c>
      <c r="S1461" t="s">
        <v>34</v>
      </c>
      <c r="T1461">
        <v>0</v>
      </c>
      <c r="U1461">
        <v>0</v>
      </c>
      <c r="V1461">
        <v>0</v>
      </c>
      <c r="W1461">
        <v>0</v>
      </c>
      <c r="X1461" t="s">
        <v>11022</v>
      </c>
      <c r="Y1461" t="s">
        <v>11022</v>
      </c>
      <c r="Z1461" t="str">
        <f>_xlfn.XLOOKUP(Employees[[#This Row],[Education]], EdLevel[EducationLevelID], EdLevel[EducationLevel])</f>
        <v xml:space="preserve">Bachelors </v>
      </c>
      <c r="AA1461">
        <f>IF(Employees[[#This Row],[Attrition]] = "Yes", 1, 0)</f>
        <v>0</v>
      </c>
      <c r="AB1461" t="str" cm="1">
        <f t="array" ref="AB1461">_xlfn.IFS(Employees[[#This Row],[Age]]&lt;30, "20-29", Employees[[#This Row],[Age]]&lt;40, "30-39", Employees[[#This Row],[Age]]&lt;50, "40-49", "TRUE", "50+")</f>
        <v>20-29</v>
      </c>
    </row>
    <row r="1462" spans="1:28">
      <c r="A1462" t="s">
        <v>4271</v>
      </c>
      <c r="B1462" t="s">
        <v>4272</v>
      </c>
      <c r="C1462" t="s">
        <v>4273</v>
      </c>
      <c r="D1462" t="s">
        <v>53</v>
      </c>
      <c r="E1462">
        <v>19</v>
      </c>
      <c r="F1462" t="s">
        <v>27</v>
      </c>
      <c r="G1462" t="s">
        <v>54</v>
      </c>
      <c r="H1462">
        <v>5</v>
      </c>
      <c r="I1462" t="s">
        <v>39</v>
      </c>
      <c r="J1462" t="s">
        <v>71</v>
      </c>
      <c r="K1462">
        <v>2</v>
      </c>
      <c r="L1462" t="s">
        <v>55</v>
      </c>
      <c r="M1462" t="s">
        <v>101</v>
      </c>
      <c r="N1462" t="s">
        <v>40</v>
      </c>
      <c r="O1462">
        <v>35372</v>
      </c>
      <c r="P1462">
        <v>3</v>
      </c>
      <c r="Q1462" t="s">
        <v>34</v>
      </c>
      <c r="R1462" s="1">
        <v>44909</v>
      </c>
      <c r="S1462" t="s">
        <v>34</v>
      </c>
      <c r="T1462">
        <v>0</v>
      </c>
      <c r="U1462">
        <v>0</v>
      </c>
      <c r="V1462">
        <v>0</v>
      </c>
      <c r="W1462">
        <v>0</v>
      </c>
      <c r="X1462" t="s">
        <v>11021</v>
      </c>
      <c r="Y1462" t="s">
        <v>11021</v>
      </c>
      <c r="Z1462" t="str">
        <f>_xlfn.XLOOKUP(Employees[[#This Row],[Education]], EdLevel[EducationLevelID], EdLevel[EducationLevel])</f>
        <v xml:space="preserve">High School </v>
      </c>
      <c r="AA1462">
        <f>IF(Employees[[#This Row],[Attrition]] = "Yes", 1, 0)</f>
        <v>0</v>
      </c>
      <c r="AB1462" t="str" cm="1">
        <f t="array" ref="AB1462">_xlfn.IFS(Employees[[#This Row],[Age]]&lt;30, "20-29", Employees[[#This Row],[Age]]&lt;40, "30-39", Employees[[#This Row],[Age]]&lt;50, "40-49", "TRUE", "50+")</f>
        <v>20-29</v>
      </c>
    </row>
    <row r="1463" spans="1:28">
      <c r="A1463" t="s">
        <v>4274</v>
      </c>
      <c r="B1463" t="s">
        <v>4275</v>
      </c>
      <c r="C1463" t="s">
        <v>4276</v>
      </c>
      <c r="D1463" t="s">
        <v>859</v>
      </c>
      <c r="E1463">
        <v>19</v>
      </c>
      <c r="F1463" t="s">
        <v>27</v>
      </c>
      <c r="G1463" t="s">
        <v>54</v>
      </c>
      <c r="H1463">
        <v>35</v>
      </c>
      <c r="I1463" t="s">
        <v>65</v>
      </c>
      <c r="J1463" t="s">
        <v>71</v>
      </c>
      <c r="K1463">
        <v>3</v>
      </c>
      <c r="L1463" t="s">
        <v>72</v>
      </c>
      <c r="M1463" t="s">
        <v>85</v>
      </c>
      <c r="N1463" t="s">
        <v>40</v>
      </c>
      <c r="O1463">
        <v>39722</v>
      </c>
      <c r="P1463">
        <v>1</v>
      </c>
      <c r="Q1463" t="s">
        <v>34</v>
      </c>
      <c r="R1463" s="1">
        <v>44910</v>
      </c>
      <c r="S1463" t="s">
        <v>34</v>
      </c>
      <c r="T1463">
        <v>0</v>
      </c>
      <c r="U1463">
        <v>0</v>
      </c>
      <c r="V1463">
        <v>0</v>
      </c>
      <c r="W1463">
        <v>0</v>
      </c>
      <c r="X1463" t="s">
        <v>11022</v>
      </c>
      <c r="Y1463" t="s">
        <v>11022</v>
      </c>
      <c r="Z1463" t="str">
        <f>_xlfn.XLOOKUP(Employees[[#This Row],[Education]], EdLevel[EducationLevelID], EdLevel[EducationLevel])</f>
        <v xml:space="preserve">Bachelors </v>
      </c>
      <c r="AA1463">
        <f>IF(Employees[[#This Row],[Attrition]] = "Yes", 1, 0)</f>
        <v>0</v>
      </c>
      <c r="AB1463" t="str" cm="1">
        <f t="array" ref="AB1463">_xlfn.IFS(Employees[[#This Row],[Age]]&lt;30, "20-29", Employees[[#This Row],[Age]]&lt;40, "30-39", Employees[[#This Row],[Age]]&lt;50, "40-49", "TRUE", "50+")</f>
        <v>20-29</v>
      </c>
    </row>
    <row r="1464" spans="1:28">
      <c r="A1464" t="s">
        <v>4277</v>
      </c>
      <c r="B1464" t="s">
        <v>3452</v>
      </c>
      <c r="C1464" t="s">
        <v>4278</v>
      </c>
      <c r="D1464" t="s">
        <v>26</v>
      </c>
      <c r="E1464">
        <v>20</v>
      </c>
      <c r="F1464" t="s">
        <v>70</v>
      </c>
      <c r="G1464" t="s">
        <v>54</v>
      </c>
      <c r="H1464">
        <v>13</v>
      </c>
      <c r="I1464" t="s">
        <v>39</v>
      </c>
      <c r="J1464" t="s">
        <v>71</v>
      </c>
      <c r="K1464">
        <v>4</v>
      </c>
      <c r="L1464" t="s">
        <v>178</v>
      </c>
      <c r="M1464" t="s">
        <v>101</v>
      </c>
      <c r="N1464" t="s">
        <v>49</v>
      </c>
      <c r="O1464">
        <v>42097</v>
      </c>
      <c r="P1464">
        <v>1</v>
      </c>
      <c r="Q1464" t="s">
        <v>34</v>
      </c>
      <c r="R1464" s="1">
        <v>44913</v>
      </c>
      <c r="S1464" t="s">
        <v>34</v>
      </c>
      <c r="T1464">
        <v>0</v>
      </c>
      <c r="U1464">
        <v>0</v>
      </c>
      <c r="V1464">
        <v>0</v>
      </c>
      <c r="W1464">
        <v>0</v>
      </c>
      <c r="X1464" t="s">
        <v>11023</v>
      </c>
      <c r="Y1464" t="s">
        <v>11023</v>
      </c>
      <c r="Z1464" t="str">
        <f>_xlfn.XLOOKUP(Employees[[#This Row],[Education]], EdLevel[EducationLevelID], EdLevel[EducationLevel])</f>
        <v xml:space="preserve">Masters </v>
      </c>
      <c r="AA1464">
        <f>IF(Employees[[#This Row],[Attrition]] = "Yes", 1, 0)</f>
        <v>0</v>
      </c>
      <c r="AB1464" t="str" cm="1">
        <f t="array" ref="AB1464">_xlfn.IFS(Employees[[#This Row],[Age]]&lt;30, "20-29", Employees[[#This Row],[Age]]&lt;40, "30-39", Employees[[#This Row],[Age]]&lt;50, "40-49", "TRUE", "50+")</f>
        <v>20-29</v>
      </c>
    </row>
    <row r="1465" spans="1:28">
      <c r="A1465" t="s">
        <v>4279</v>
      </c>
      <c r="B1465" t="s">
        <v>4280</v>
      </c>
      <c r="C1465" t="s">
        <v>4281</v>
      </c>
      <c r="D1465" t="s">
        <v>38</v>
      </c>
      <c r="E1465">
        <v>40</v>
      </c>
      <c r="F1465" t="s">
        <v>27</v>
      </c>
      <c r="G1465" t="s">
        <v>54</v>
      </c>
      <c r="H1465">
        <v>30</v>
      </c>
      <c r="I1465" t="s">
        <v>65</v>
      </c>
      <c r="J1465" t="s">
        <v>71</v>
      </c>
      <c r="K1465">
        <v>3</v>
      </c>
      <c r="L1465" t="s">
        <v>72</v>
      </c>
      <c r="M1465" t="s">
        <v>105</v>
      </c>
      <c r="N1465" t="s">
        <v>49</v>
      </c>
      <c r="O1465">
        <v>291663</v>
      </c>
      <c r="P1465">
        <v>0</v>
      </c>
      <c r="Q1465" t="s">
        <v>34</v>
      </c>
      <c r="R1465" s="1">
        <v>44913</v>
      </c>
      <c r="S1465" t="s">
        <v>34</v>
      </c>
      <c r="T1465">
        <v>0</v>
      </c>
      <c r="U1465">
        <v>0</v>
      </c>
      <c r="V1465">
        <v>0</v>
      </c>
      <c r="W1465">
        <v>0</v>
      </c>
      <c r="X1465" t="s">
        <v>11022</v>
      </c>
      <c r="Y1465" t="s">
        <v>11022</v>
      </c>
      <c r="Z1465" t="str">
        <f>_xlfn.XLOOKUP(Employees[[#This Row],[Education]], EdLevel[EducationLevelID], EdLevel[EducationLevel])</f>
        <v xml:space="preserve">Bachelors </v>
      </c>
      <c r="AA1465">
        <f>IF(Employees[[#This Row],[Attrition]] = "Yes", 1, 0)</f>
        <v>0</v>
      </c>
      <c r="AB1465" t="str" cm="1">
        <f t="array" ref="AB1465">_xlfn.IFS(Employees[[#This Row],[Age]]&lt;30, "20-29", Employees[[#This Row],[Age]]&lt;40, "30-39", Employees[[#This Row],[Age]]&lt;50, "40-49", "TRUE", "50+")</f>
        <v>40-49</v>
      </c>
    </row>
    <row r="1466" spans="1:28">
      <c r="A1466" t="s">
        <v>4282</v>
      </c>
      <c r="B1466" t="s">
        <v>4283</v>
      </c>
      <c r="C1466" t="s">
        <v>4284</v>
      </c>
      <c r="D1466" t="s">
        <v>26</v>
      </c>
      <c r="E1466">
        <v>23</v>
      </c>
      <c r="F1466" t="s">
        <v>27</v>
      </c>
      <c r="G1466" t="s">
        <v>28</v>
      </c>
      <c r="H1466">
        <v>43</v>
      </c>
      <c r="I1466" t="s">
        <v>39</v>
      </c>
      <c r="J1466" t="s">
        <v>71</v>
      </c>
      <c r="K1466">
        <v>5</v>
      </c>
      <c r="L1466" t="s">
        <v>47</v>
      </c>
      <c r="M1466" t="s">
        <v>32</v>
      </c>
      <c r="N1466" t="s">
        <v>40</v>
      </c>
      <c r="O1466">
        <v>121414</v>
      </c>
      <c r="P1466">
        <v>0</v>
      </c>
      <c r="Q1466" t="s">
        <v>34</v>
      </c>
      <c r="R1466" s="1">
        <v>44916</v>
      </c>
      <c r="S1466" t="s">
        <v>34</v>
      </c>
      <c r="T1466">
        <v>0</v>
      </c>
      <c r="U1466">
        <v>0</v>
      </c>
      <c r="V1466">
        <v>0</v>
      </c>
      <c r="W1466">
        <v>0</v>
      </c>
      <c r="X1466" t="s">
        <v>11024</v>
      </c>
      <c r="Y1466" t="s">
        <v>11024</v>
      </c>
      <c r="Z1466" t="str">
        <f>_xlfn.XLOOKUP(Employees[[#This Row],[Education]], EdLevel[EducationLevelID], EdLevel[EducationLevel])</f>
        <v>Doctorate</v>
      </c>
      <c r="AA1466">
        <f>IF(Employees[[#This Row],[Attrition]] = "Yes", 1, 0)</f>
        <v>0</v>
      </c>
      <c r="AB1466" t="str" cm="1">
        <f t="array" ref="AB1466">_xlfn.IFS(Employees[[#This Row],[Age]]&lt;30, "20-29", Employees[[#This Row],[Age]]&lt;40, "30-39", Employees[[#This Row],[Age]]&lt;50, "40-49", "TRUE", "50+")</f>
        <v>20-29</v>
      </c>
    </row>
    <row r="1467" spans="1:28">
      <c r="A1467" t="s">
        <v>4285</v>
      </c>
      <c r="B1467" t="s">
        <v>4286</v>
      </c>
      <c r="C1467" t="s">
        <v>4287</v>
      </c>
      <c r="D1467" t="s">
        <v>38</v>
      </c>
      <c r="E1467">
        <v>20</v>
      </c>
      <c r="F1467" t="s">
        <v>27</v>
      </c>
      <c r="G1467" t="s">
        <v>54</v>
      </c>
      <c r="H1467">
        <v>28</v>
      </c>
      <c r="I1467" t="s">
        <v>39</v>
      </c>
      <c r="J1467" t="s">
        <v>71</v>
      </c>
      <c r="K1467">
        <v>2</v>
      </c>
      <c r="L1467" t="s">
        <v>55</v>
      </c>
      <c r="M1467" t="s">
        <v>101</v>
      </c>
      <c r="N1467" t="s">
        <v>40</v>
      </c>
      <c r="O1467">
        <v>38508</v>
      </c>
      <c r="P1467">
        <v>0</v>
      </c>
      <c r="Q1467" t="s">
        <v>34</v>
      </c>
      <c r="R1467" s="1">
        <v>44921</v>
      </c>
      <c r="S1467" t="s">
        <v>34</v>
      </c>
      <c r="T1467">
        <v>0</v>
      </c>
      <c r="U1467">
        <v>0</v>
      </c>
      <c r="V1467">
        <v>0</v>
      </c>
      <c r="W1467">
        <v>0</v>
      </c>
      <c r="X1467" t="s">
        <v>11021</v>
      </c>
      <c r="Y1467" t="s">
        <v>11021</v>
      </c>
      <c r="Z1467" t="str">
        <f>_xlfn.XLOOKUP(Employees[[#This Row],[Education]], EdLevel[EducationLevelID], EdLevel[EducationLevel])</f>
        <v xml:space="preserve">High School </v>
      </c>
      <c r="AA1467">
        <f>IF(Employees[[#This Row],[Attrition]] = "Yes", 1, 0)</f>
        <v>0</v>
      </c>
      <c r="AB1467" t="str" cm="1">
        <f t="array" ref="AB1467">_xlfn.IFS(Employees[[#This Row],[Age]]&lt;30, "20-29", Employees[[#This Row],[Age]]&lt;40, "30-39", Employees[[#This Row],[Age]]&lt;50, "40-49", "TRUE", "50+")</f>
        <v>20-29</v>
      </c>
    </row>
    <row r="1468" spans="1:28">
      <c r="A1468" t="s">
        <v>4288</v>
      </c>
      <c r="B1468" t="s">
        <v>4289</v>
      </c>
      <c r="C1468" t="s">
        <v>4290</v>
      </c>
      <c r="D1468" t="s">
        <v>53</v>
      </c>
      <c r="E1468">
        <v>27</v>
      </c>
      <c r="F1468" t="s">
        <v>27</v>
      </c>
      <c r="G1468" t="s">
        <v>54</v>
      </c>
      <c r="H1468">
        <v>8</v>
      </c>
      <c r="I1468" t="s">
        <v>39</v>
      </c>
      <c r="J1468" t="s">
        <v>71</v>
      </c>
      <c r="K1468">
        <v>3</v>
      </c>
      <c r="L1468" t="s">
        <v>178</v>
      </c>
      <c r="M1468" t="s">
        <v>105</v>
      </c>
      <c r="N1468" t="s">
        <v>40</v>
      </c>
      <c r="O1468">
        <v>92995</v>
      </c>
      <c r="P1468">
        <v>3</v>
      </c>
      <c r="Q1468" t="s">
        <v>34</v>
      </c>
      <c r="R1468" s="1">
        <v>44925</v>
      </c>
      <c r="S1468" t="s">
        <v>34</v>
      </c>
      <c r="T1468">
        <v>0</v>
      </c>
      <c r="U1468">
        <v>0</v>
      </c>
      <c r="V1468">
        <v>0</v>
      </c>
      <c r="W1468">
        <v>0</v>
      </c>
      <c r="X1468" t="s">
        <v>11022</v>
      </c>
      <c r="Y1468" t="s">
        <v>11022</v>
      </c>
      <c r="Z1468" t="str">
        <f>_xlfn.XLOOKUP(Employees[[#This Row],[Education]], EdLevel[EducationLevelID], EdLevel[EducationLevel])</f>
        <v xml:space="preserve">Bachelors </v>
      </c>
      <c r="AA1468">
        <f>IF(Employees[[#This Row],[Attrition]] = "Yes", 1, 0)</f>
        <v>0</v>
      </c>
      <c r="AB1468" t="str" cm="1">
        <f t="array" ref="AB1468">_xlfn.IFS(Employees[[#This Row],[Age]]&lt;30, "20-29", Employees[[#This Row],[Age]]&lt;40, "30-39", Employees[[#This Row],[Age]]&lt;50, "40-49", "TRUE", "50+")</f>
        <v>20-29</v>
      </c>
    </row>
    <row r="1469" spans="1:28">
      <c r="A1469" t="s">
        <v>4291</v>
      </c>
      <c r="B1469" t="s">
        <v>4292</v>
      </c>
      <c r="C1469" t="s">
        <v>4293</v>
      </c>
      <c r="D1469" t="s">
        <v>38</v>
      </c>
      <c r="E1469">
        <v>21</v>
      </c>
      <c r="F1469" t="s">
        <v>27</v>
      </c>
      <c r="G1469" t="s">
        <v>28</v>
      </c>
      <c r="H1469">
        <v>4</v>
      </c>
      <c r="I1469" t="s">
        <v>39</v>
      </c>
      <c r="J1469" t="s">
        <v>71</v>
      </c>
      <c r="K1469">
        <v>4</v>
      </c>
      <c r="L1469" t="s">
        <v>31</v>
      </c>
      <c r="M1469" t="s">
        <v>32</v>
      </c>
      <c r="N1469" t="s">
        <v>40</v>
      </c>
      <c r="O1469">
        <v>63375</v>
      </c>
      <c r="P1469">
        <v>0</v>
      </c>
      <c r="Q1469" t="s">
        <v>34</v>
      </c>
      <c r="R1469" s="1">
        <v>44925</v>
      </c>
      <c r="S1469" t="s">
        <v>34</v>
      </c>
      <c r="T1469">
        <v>0</v>
      </c>
      <c r="U1469">
        <v>0</v>
      </c>
      <c r="V1469">
        <v>0</v>
      </c>
      <c r="W1469">
        <v>0</v>
      </c>
      <c r="X1469" t="s">
        <v>11023</v>
      </c>
      <c r="Y1469" t="s">
        <v>11023</v>
      </c>
      <c r="Z1469" t="str">
        <f>_xlfn.XLOOKUP(Employees[[#This Row],[Education]], EdLevel[EducationLevelID], EdLevel[EducationLevel])</f>
        <v xml:space="preserve">Masters </v>
      </c>
      <c r="AA1469">
        <f>IF(Employees[[#This Row],[Attrition]] = "Yes", 1, 0)</f>
        <v>0</v>
      </c>
      <c r="AB1469" t="str" cm="1">
        <f t="array" ref="AB1469">_xlfn.IFS(Employees[[#This Row],[Age]]&lt;30, "20-29", Employees[[#This Row],[Age]]&lt;40, "30-39", Employees[[#This Row],[Age]]&lt;50, "40-49", "TRUE", "50+")</f>
        <v>20-29</v>
      </c>
    </row>
    <row r="1470" spans="1:28">
      <c r="A1470" t="s">
        <v>4294</v>
      </c>
      <c r="B1470" t="s">
        <v>4295</v>
      </c>
      <c r="C1470" t="s">
        <v>4296</v>
      </c>
      <c r="D1470" t="s">
        <v>38</v>
      </c>
      <c r="E1470">
        <v>21</v>
      </c>
      <c r="F1470" t="s">
        <v>27</v>
      </c>
      <c r="G1470" t="s">
        <v>54</v>
      </c>
      <c r="H1470">
        <v>7</v>
      </c>
      <c r="I1470" t="s">
        <v>39</v>
      </c>
      <c r="J1470" t="s">
        <v>71</v>
      </c>
      <c r="K1470">
        <v>3</v>
      </c>
      <c r="L1470" t="s">
        <v>72</v>
      </c>
      <c r="M1470" t="s">
        <v>85</v>
      </c>
      <c r="N1470" t="s">
        <v>49</v>
      </c>
      <c r="O1470">
        <v>46521</v>
      </c>
      <c r="P1470">
        <v>0</v>
      </c>
      <c r="Q1470" t="s">
        <v>34</v>
      </c>
      <c r="R1470" s="1">
        <v>44925</v>
      </c>
      <c r="S1470" t="s">
        <v>34</v>
      </c>
      <c r="T1470">
        <v>0</v>
      </c>
      <c r="U1470">
        <v>0</v>
      </c>
      <c r="V1470">
        <v>0</v>
      </c>
      <c r="W1470">
        <v>0</v>
      </c>
      <c r="X1470" t="s">
        <v>11022</v>
      </c>
      <c r="Y1470" t="s">
        <v>11022</v>
      </c>
      <c r="Z1470" t="str">
        <f>_xlfn.XLOOKUP(Employees[[#This Row],[Education]], EdLevel[EducationLevelID], EdLevel[EducationLevel])</f>
        <v xml:space="preserve">Bachelors </v>
      </c>
      <c r="AA1470">
        <f>IF(Employees[[#This Row],[Attrition]] = "Yes", 1, 0)</f>
        <v>0</v>
      </c>
      <c r="AB1470" t="str" cm="1">
        <f t="array" ref="AB1470">_xlfn.IFS(Employees[[#This Row],[Age]]&lt;30, "20-29", Employees[[#This Row],[Age]]&lt;40, "30-39", Employees[[#This Row],[Age]]&lt;50, "40-49", "TRUE", "50+")</f>
        <v>20-29</v>
      </c>
    </row>
    <row r="1471" spans="1:28">
      <c r="A1471" t="s">
        <v>4297</v>
      </c>
      <c r="B1471" t="s">
        <v>4298</v>
      </c>
      <c r="C1471" t="s">
        <v>4299</v>
      </c>
      <c r="D1471" t="s">
        <v>26</v>
      </c>
      <c r="E1471">
        <v>20</v>
      </c>
      <c r="F1471" t="s">
        <v>70</v>
      </c>
      <c r="G1471" t="s">
        <v>54</v>
      </c>
      <c r="H1471">
        <v>28</v>
      </c>
      <c r="I1471" t="s">
        <v>39</v>
      </c>
      <c r="J1471" t="s">
        <v>71</v>
      </c>
      <c r="K1471">
        <v>2</v>
      </c>
      <c r="L1471" t="s">
        <v>55</v>
      </c>
      <c r="M1471" t="s">
        <v>85</v>
      </c>
      <c r="N1471" t="s">
        <v>49</v>
      </c>
      <c r="O1471">
        <v>38258</v>
      </c>
      <c r="P1471">
        <v>0</v>
      </c>
      <c r="Q1471" t="s">
        <v>34</v>
      </c>
      <c r="R1471" s="1">
        <v>44926</v>
      </c>
      <c r="S1471" t="s">
        <v>34</v>
      </c>
      <c r="T1471">
        <v>0</v>
      </c>
      <c r="U1471">
        <v>0</v>
      </c>
      <c r="V1471">
        <v>0</v>
      </c>
      <c r="W1471">
        <v>0</v>
      </c>
      <c r="X1471" t="s">
        <v>11021</v>
      </c>
      <c r="Y1471" t="s">
        <v>11021</v>
      </c>
      <c r="Z1471" t="str">
        <f>_xlfn.XLOOKUP(Employees[[#This Row],[Education]], EdLevel[EducationLevelID], EdLevel[EducationLevel])</f>
        <v xml:space="preserve">High School </v>
      </c>
      <c r="AA1471">
        <f>IF(Employees[[#This Row],[Attrition]] = "Yes", 1, 0)</f>
        <v>0</v>
      </c>
      <c r="AB1471" t="str" cm="1">
        <f t="array" ref="AB1471">_xlfn.IFS(Employees[[#This Row],[Age]]&lt;30, "20-29", Employees[[#This Row],[Age]]&lt;40, "30-39", Employees[[#This Row],[Age]]&lt;50, "40-49", "TRUE", "50+")</f>
        <v>20-29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E512-F5FB-409B-8860-ED59E6B4382A}">
  <dimension ref="A1:R6710"/>
  <sheetViews>
    <sheetView topLeftCell="K1" workbookViewId="0">
      <selection activeCell="N29" sqref="N29"/>
    </sheetView>
  </sheetViews>
  <sheetFormatPr defaultRowHeight="14.25"/>
  <cols>
    <col min="1" max="1" width="6.796875" bestFit="1" customWidth="1"/>
    <col min="2" max="2" width="12.59765625" bestFit="1" customWidth="1"/>
    <col min="3" max="3" width="14.86328125" bestFit="1" customWidth="1"/>
    <col min="4" max="4" width="22.6640625" bestFit="1" customWidth="1"/>
    <col min="5" max="5" width="15.1328125" bestFit="1" customWidth="1"/>
    <col min="6" max="6" width="22.53125" bestFit="1" customWidth="1"/>
    <col min="7" max="7" width="29.1328125" bestFit="1" customWidth="1"/>
    <col min="8" max="8" width="25.06640625" bestFit="1" customWidth="1"/>
    <col min="9" max="9" width="16.53125" bestFit="1" customWidth="1"/>
    <col min="10" max="10" width="11.1328125" bestFit="1" customWidth="1"/>
    <col min="11" max="11" width="14.73046875" bestFit="1" customWidth="1"/>
    <col min="12" max="12" width="17.265625" bestFit="1" customWidth="1"/>
    <col min="13" max="13" width="19.1328125" bestFit="1" customWidth="1"/>
    <col min="14" max="14" width="27" bestFit="1" customWidth="1"/>
    <col min="15" max="15" width="19.46484375" bestFit="1" customWidth="1"/>
    <col min="16" max="16" width="26.86328125" bestFit="1" customWidth="1"/>
    <col min="17" max="17" width="20" bestFit="1" customWidth="1"/>
    <col min="18" max="18" width="11.1328125" bestFit="1" customWidth="1"/>
  </cols>
  <sheetData>
    <row r="1" spans="1:18">
      <c r="A1" t="s">
        <v>11044</v>
      </c>
      <c r="B1" t="s">
        <v>0</v>
      </c>
      <c r="C1" t="s">
        <v>4300</v>
      </c>
      <c r="D1" t="s">
        <v>4301</v>
      </c>
      <c r="E1" t="s">
        <v>4302</v>
      </c>
      <c r="F1" t="s">
        <v>4303</v>
      </c>
      <c r="G1" t="s">
        <v>4304</v>
      </c>
      <c r="H1" t="s">
        <v>4305</v>
      </c>
      <c r="I1" t="s">
        <v>4306</v>
      </c>
      <c r="J1" t="s">
        <v>4307</v>
      </c>
      <c r="K1" t="s">
        <v>4308</v>
      </c>
      <c r="L1" t="s">
        <v>11039</v>
      </c>
      <c r="M1" t="s">
        <v>11040</v>
      </c>
      <c r="N1" t="s">
        <v>11041</v>
      </c>
      <c r="O1" t="s">
        <v>11042</v>
      </c>
      <c r="P1" t="s">
        <v>11046</v>
      </c>
      <c r="Q1" t="s">
        <v>11049</v>
      </c>
      <c r="R1" t="s">
        <v>11050</v>
      </c>
    </row>
    <row r="2" spans="1:18">
      <c r="A2" s="2" t="s">
        <v>4309</v>
      </c>
      <c r="B2" s="2" t="s">
        <v>904</v>
      </c>
      <c r="C2" s="1">
        <v>41306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  <c r="L2" s="2" t="s">
        <v>11030</v>
      </c>
      <c r="M2" s="2" t="s">
        <v>11030</v>
      </c>
      <c r="N2" s="2" t="s">
        <v>11038</v>
      </c>
      <c r="O2" s="2" t="s">
        <v>11037</v>
      </c>
      <c r="P2" s="2" t="s">
        <v>11038</v>
      </c>
      <c r="Q2" s="2">
        <f>AVERAGE(PerfRate[[#This Row],[EnvironmentSatisfaction]],PerfRate[[#This Row],[JobSatisfaction]],PerfRate[[#This Row],[RelationshipSatisfaction]])</f>
        <v>4.666666666666667</v>
      </c>
      <c r="R2" s="2">
        <f>PerfRate[[#This Row],[ManagerRating]] - PerfRate[[#This Row],[SelfRating]]</f>
        <v>0</v>
      </c>
    </row>
    <row r="3" spans="1:18">
      <c r="A3" s="2" t="s">
        <v>4311</v>
      </c>
      <c r="B3" s="2" t="s">
        <v>1326</v>
      </c>
      <c r="C3" s="1">
        <v>41334</v>
      </c>
      <c r="D3">
        <v>3</v>
      </c>
      <c r="E3">
        <v>4</v>
      </c>
      <c r="F3">
        <v>5</v>
      </c>
      <c r="G3">
        <v>3</v>
      </c>
      <c r="H3">
        <v>2</v>
      </c>
      <c r="I3">
        <v>3</v>
      </c>
      <c r="J3">
        <v>5</v>
      </c>
      <c r="K3">
        <v>4</v>
      </c>
      <c r="L3" s="2" t="s">
        <v>11031</v>
      </c>
      <c r="M3" s="2" t="s">
        <v>11030</v>
      </c>
      <c r="N3" s="2" t="s">
        <v>11036</v>
      </c>
      <c r="O3" s="2" t="s">
        <v>11037</v>
      </c>
      <c r="P3" s="2" t="s">
        <v>11038</v>
      </c>
      <c r="Q3" s="2">
        <f>AVERAGE(PerfRate[[#This Row],[EnvironmentSatisfaction]],PerfRate[[#This Row],[JobSatisfaction]],PerfRate[[#This Row],[RelationshipSatisfaction]])</f>
        <v>4</v>
      </c>
      <c r="R3" s="2">
        <f>PerfRate[[#This Row],[ManagerRating]] - PerfRate[[#This Row],[SelfRating]]</f>
        <v>-1</v>
      </c>
    </row>
    <row r="4" spans="1:18">
      <c r="A4" s="2" t="s">
        <v>4310</v>
      </c>
      <c r="B4" s="2" t="s">
        <v>1235</v>
      </c>
      <c r="C4" s="1">
        <v>41334</v>
      </c>
      <c r="D4">
        <v>5</v>
      </c>
      <c r="E4">
        <v>4</v>
      </c>
      <c r="F4">
        <v>4</v>
      </c>
      <c r="G4">
        <v>1</v>
      </c>
      <c r="H4">
        <v>3</v>
      </c>
      <c r="I4">
        <v>4</v>
      </c>
      <c r="J4">
        <v>4</v>
      </c>
      <c r="K4">
        <v>3</v>
      </c>
      <c r="L4" s="2" t="s">
        <v>11030</v>
      </c>
      <c r="M4" s="2" t="s">
        <v>11029</v>
      </c>
      <c r="N4" s="2" t="s">
        <v>11038</v>
      </c>
      <c r="O4" s="2" t="s">
        <v>11037</v>
      </c>
      <c r="P4" s="2" t="s">
        <v>11037</v>
      </c>
      <c r="Q4" s="2">
        <f>AVERAGE(PerfRate[[#This Row],[EnvironmentSatisfaction]],PerfRate[[#This Row],[JobSatisfaction]],PerfRate[[#This Row],[RelationshipSatisfaction]])</f>
        <v>4.333333333333333</v>
      </c>
      <c r="R4" s="2">
        <f>PerfRate[[#This Row],[ManagerRating]] - PerfRate[[#This Row],[SelfRating]]</f>
        <v>-1</v>
      </c>
    </row>
    <row r="5" spans="1:18">
      <c r="A5" s="2" t="s">
        <v>4312</v>
      </c>
      <c r="B5" s="2" t="s">
        <v>1435</v>
      </c>
      <c r="C5" s="1">
        <v>41365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  <c r="L5" s="2" t="s">
        <v>11029</v>
      </c>
      <c r="M5" s="2" t="s">
        <v>11028</v>
      </c>
      <c r="N5" s="2" t="s">
        <v>11038</v>
      </c>
      <c r="O5" s="2" t="s">
        <v>11036</v>
      </c>
      <c r="P5" s="2" t="s">
        <v>11035</v>
      </c>
      <c r="Q5" s="2">
        <f>AVERAGE(PerfRate[[#This Row],[EnvironmentSatisfaction]],PerfRate[[#This Row],[JobSatisfaction]],PerfRate[[#This Row],[RelationshipSatisfaction]])</f>
        <v>3.3333333333333335</v>
      </c>
      <c r="R5" s="2">
        <f>PerfRate[[#This Row],[ManagerRating]] - PerfRate[[#This Row],[SelfRating]]</f>
        <v>-1</v>
      </c>
    </row>
    <row r="6" spans="1:18">
      <c r="A6" s="2" t="s">
        <v>4314</v>
      </c>
      <c r="B6" s="2" t="s">
        <v>964</v>
      </c>
      <c r="C6" s="1">
        <v>41365</v>
      </c>
      <c r="D6">
        <v>3</v>
      </c>
      <c r="E6">
        <v>3</v>
      </c>
      <c r="F6">
        <v>2</v>
      </c>
      <c r="G6">
        <v>2</v>
      </c>
      <c r="H6">
        <v>0</v>
      </c>
      <c r="I6">
        <v>4</v>
      </c>
      <c r="J6">
        <v>4</v>
      </c>
      <c r="K6">
        <v>4</v>
      </c>
      <c r="L6" s="2" t="s">
        <v>11030</v>
      </c>
      <c r="M6" s="2" t="s">
        <v>11030</v>
      </c>
      <c r="N6" s="2" t="s">
        <v>11036</v>
      </c>
      <c r="O6" s="2" t="s">
        <v>11036</v>
      </c>
      <c r="P6" s="2" t="s">
        <v>11035</v>
      </c>
      <c r="Q6" s="2">
        <f>AVERAGE(PerfRate[[#This Row],[EnvironmentSatisfaction]],PerfRate[[#This Row],[JobSatisfaction]],PerfRate[[#This Row],[RelationshipSatisfaction]])</f>
        <v>2.6666666666666665</v>
      </c>
      <c r="R6" s="2">
        <f>PerfRate[[#This Row],[ManagerRating]] - PerfRate[[#This Row],[SelfRating]]</f>
        <v>0</v>
      </c>
    </row>
    <row r="7" spans="1:18">
      <c r="A7" s="2" t="s">
        <v>4313</v>
      </c>
      <c r="B7" s="2" t="s">
        <v>1030</v>
      </c>
      <c r="C7" s="1">
        <v>41365</v>
      </c>
      <c r="D7">
        <v>5</v>
      </c>
      <c r="E7">
        <v>2</v>
      </c>
      <c r="F7">
        <v>3</v>
      </c>
      <c r="G7">
        <v>1</v>
      </c>
      <c r="H7">
        <v>0</v>
      </c>
      <c r="I7">
        <v>4</v>
      </c>
      <c r="J7">
        <v>4</v>
      </c>
      <c r="K7">
        <v>3</v>
      </c>
      <c r="L7" s="2" t="s">
        <v>11030</v>
      </c>
      <c r="M7" s="2" t="s">
        <v>11029</v>
      </c>
      <c r="N7" s="2" t="s">
        <v>11038</v>
      </c>
      <c r="O7" s="2" t="s">
        <v>11035</v>
      </c>
      <c r="P7" s="2" t="s">
        <v>11036</v>
      </c>
      <c r="Q7" s="2">
        <f>AVERAGE(PerfRate[[#This Row],[EnvironmentSatisfaction]],PerfRate[[#This Row],[JobSatisfaction]],PerfRate[[#This Row],[RelationshipSatisfaction]])</f>
        <v>3.3333333333333335</v>
      </c>
      <c r="R7" s="2">
        <f>PerfRate[[#This Row],[ManagerRating]] - PerfRate[[#This Row],[SelfRating]]</f>
        <v>-1</v>
      </c>
    </row>
    <row r="8" spans="1:18">
      <c r="A8" s="2" t="s">
        <v>4315</v>
      </c>
      <c r="B8" s="2" t="s">
        <v>428</v>
      </c>
      <c r="C8" s="1">
        <v>41487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  <c r="L8" s="2" t="s">
        <v>11030</v>
      </c>
      <c r="M8" s="2" t="s">
        <v>11029</v>
      </c>
      <c r="N8" s="2" t="s">
        <v>11036</v>
      </c>
      <c r="O8" s="2" t="s">
        <v>11037</v>
      </c>
      <c r="P8" s="2" t="s">
        <v>11038</v>
      </c>
      <c r="Q8" s="2">
        <f>AVERAGE(PerfRate[[#This Row],[EnvironmentSatisfaction]],PerfRate[[#This Row],[JobSatisfaction]],PerfRate[[#This Row],[RelationshipSatisfaction]])</f>
        <v>4</v>
      </c>
      <c r="R8" s="2">
        <f>PerfRate[[#This Row],[ManagerRating]] - PerfRate[[#This Row],[SelfRating]]</f>
        <v>-1</v>
      </c>
    </row>
    <row r="9" spans="1:18">
      <c r="A9" s="2" t="s">
        <v>4316</v>
      </c>
      <c r="B9" s="2" t="s">
        <v>1945</v>
      </c>
      <c r="C9" s="1">
        <v>41548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  <c r="L9" s="2" t="s">
        <v>11029</v>
      </c>
      <c r="M9" s="2" t="s">
        <v>11028</v>
      </c>
      <c r="N9" s="2" t="s">
        <v>11037</v>
      </c>
      <c r="O9" s="2" t="s">
        <v>11038</v>
      </c>
      <c r="P9" s="2" t="s">
        <v>11037</v>
      </c>
      <c r="Q9" s="2">
        <f>AVERAGE(PerfRate[[#This Row],[EnvironmentSatisfaction]],PerfRate[[#This Row],[JobSatisfaction]],PerfRate[[#This Row],[RelationshipSatisfaction]])</f>
        <v>4.333333333333333</v>
      </c>
      <c r="R9" s="2">
        <f>PerfRate[[#This Row],[ManagerRating]] - PerfRate[[#This Row],[SelfRating]]</f>
        <v>-1</v>
      </c>
    </row>
    <row r="10" spans="1:18">
      <c r="A10" s="2" t="s">
        <v>4317</v>
      </c>
      <c r="B10" s="2" t="s">
        <v>934</v>
      </c>
      <c r="C10" s="1">
        <v>41548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  <c r="L10" s="2" t="s">
        <v>11031</v>
      </c>
      <c r="M10" s="2" t="s">
        <v>11030</v>
      </c>
      <c r="N10" s="2" t="s">
        <v>11037</v>
      </c>
      <c r="O10" s="2" t="s">
        <v>11038</v>
      </c>
      <c r="P10" s="2" t="s">
        <v>11035</v>
      </c>
      <c r="Q10" s="2">
        <f>AVERAGE(PerfRate[[#This Row],[EnvironmentSatisfaction]],PerfRate[[#This Row],[JobSatisfaction]],PerfRate[[#This Row],[RelationshipSatisfaction]])</f>
        <v>3.6666666666666665</v>
      </c>
      <c r="R10" s="2">
        <f>PerfRate[[#This Row],[ManagerRating]] - PerfRate[[#This Row],[SelfRating]]</f>
        <v>-1</v>
      </c>
    </row>
    <row r="11" spans="1:18">
      <c r="A11" s="2" t="s">
        <v>4318</v>
      </c>
      <c r="B11" s="2" t="s">
        <v>853</v>
      </c>
      <c r="C11" s="1">
        <v>41579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  <c r="L11" s="2" t="s">
        <v>11031</v>
      </c>
      <c r="M11" s="2" t="s">
        <v>11030</v>
      </c>
      <c r="N11" s="2" t="s">
        <v>11038</v>
      </c>
      <c r="O11" s="2" t="s">
        <v>11037</v>
      </c>
      <c r="P11" s="2" t="s">
        <v>11036</v>
      </c>
      <c r="Q11" s="2">
        <f>AVERAGE(PerfRate[[#This Row],[EnvironmentSatisfaction]],PerfRate[[#This Row],[JobSatisfaction]],PerfRate[[#This Row],[RelationshipSatisfaction]])</f>
        <v>4</v>
      </c>
      <c r="R11" s="2">
        <f>PerfRate[[#This Row],[ManagerRating]] - PerfRate[[#This Row],[SelfRating]]</f>
        <v>-1</v>
      </c>
    </row>
    <row r="12" spans="1:18">
      <c r="A12" s="2" t="s">
        <v>4319</v>
      </c>
      <c r="B12" s="2" t="s">
        <v>779</v>
      </c>
      <c r="C12" s="1">
        <v>41551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  <c r="L12" s="2" t="s">
        <v>11029</v>
      </c>
      <c r="M12" s="2" t="s">
        <v>11029</v>
      </c>
      <c r="N12" s="2" t="s">
        <v>11037</v>
      </c>
      <c r="O12" s="2" t="s">
        <v>11036</v>
      </c>
      <c r="P12" s="2" t="s">
        <v>11036</v>
      </c>
      <c r="Q12" s="2">
        <f>AVERAGE(PerfRate[[#This Row],[EnvironmentSatisfaction]],PerfRate[[#This Row],[JobSatisfaction]],PerfRate[[#This Row],[RelationshipSatisfaction]])</f>
        <v>3.3333333333333335</v>
      </c>
      <c r="R12" s="2">
        <f>PerfRate[[#This Row],[ManagerRating]] - PerfRate[[#This Row],[SelfRating]]</f>
        <v>0</v>
      </c>
    </row>
    <row r="13" spans="1:18">
      <c r="A13" s="2" t="s">
        <v>4320</v>
      </c>
      <c r="B13" s="2" t="s">
        <v>826</v>
      </c>
      <c r="C13" s="1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  <c r="L13" s="2" t="s">
        <v>11031</v>
      </c>
      <c r="M13" s="2" t="s">
        <v>11031</v>
      </c>
      <c r="N13" s="2" t="s">
        <v>11037</v>
      </c>
      <c r="O13" s="2" t="s">
        <v>11037</v>
      </c>
      <c r="P13" s="2" t="s">
        <v>11035</v>
      </c>
      <c r="Q13" s="2">
        <f>AVERAGE(PerfRate[[#This Row],[EnvironmentSatisfaction]],PerfRate[[#This Row],[JobSatisfaction]],PerfRate[[#This Row],[RelationshipSatisfaction]])</f>
        <v>3.3333333333333335</v>
      </c>
      <c r="R13" s="2">
        <f>PerfRate[[#This Row],[ManagerRating]] - PerfRate[[#This Row],[SelfRating]]</f>
        <v>0</v>
      </c>
    </row>
    <row r="14" spans="1:18">
      <c r="A14" s="2" t="s">
        <v>4321</v>
      </c>
      <c r="B14" s="2" t="s">
        <v>281</v>
      </c>
      <c r="C14" s="1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  <c r="L14" s="2" t="s">
        <v>11031</v>
      </c>
      <c r="M14" s="2" t="s">
        <v>11031</v>
      </c>
      <c r="N14" s="2" t="s">
        <v>11036</v>
      </c>
      <c r="O14" s="2" t="s">
        <v>11038</v>
      </c>
      <c r="P14" s="2" t="s">
        <v>11036</v>
      </c>
      <c r="Q14" s="2">
        <f>AVERAGE(PerfRate[[#This Row],[EnvironmentSatisfaction]],PerfRate[[#This Row],[JobSatisfaction]],PerfRate[[#This Row],[RelationshipSatisfaction]])</f>
        <v>3.6666666666666665</v>
      </c>
      <c r="R14" s="2">
        <f>PerfRate[[#This Row],[ManagerRating]] - PerfRate[[#This Row],[SelfRating]]</f>
        <v>0</v>
      </c>
    </row>
    <row r="15" spans="1:18">
      <c r="A15" s="2" t="s">
        <v>4322</v>
      </c>
      <c r="B15" s="2" t="s">
        <v>362</v>
      </c>
      <c r="C15" s="1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  <c r="L15" s="2" t="s">
        <v>11030</v>
      </c>
      <c r="M15" s="2" t="s">
        <v>11029</v>
      </c>
      <c r="N15" s="2" t="s">
        <v>11037</v>
      </c>
      <c r="O15" s="2" t="s">
        <v>11036</v>
      </c>
      <c r="P15" s="2" t="s">
        <v>11036</v>
      </c>
      <c r="Q15" s="2">
        <f>AVERAGE(PerfRate[[#This Row],[EnvironmentSatisfaction]],PerfRate[[#This Row],[JobSatisfaction]],PerfRate[[#This Row],[RelationshipSatisfaction]])</f>
        <v>3.3333333333333335</v>
      </c>
      <c r="R15" s="2">
        <f>PerfRate[[#This Row],[ManagerRating]] - PerfRate[[#This Row],[SelfRating]]</f>
        <v>-1</v>
      </c>
    </row>
    <row r="16" spans="1:18">
      <c r="A16" s="2" t="s">
        <v>4323</v>
      </c>
      <c r="B16" s="2" t="s">
        <v>1942</v>
      </c>
      <c r="C16" s="1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  <c r="L16" s="2" t="s">
        <v>11031</v>
      </c>
      <c r="M16" s="2" t="s">
        <v>11031</v>
      </c>
      <c r="N16" s="2" t="s">
        <v>11036</v>
      </c>
      <c r="O16" s="2" t="s">
        <v>11038</v>
      </c>
      <c r="P16" s="2" t="s">
        <v>11037</v>
      </c>
      <c r="Q16" s="2">
        <f>AVERAGE(PerfRate[[#This Row],[EnvironmentSatisfaction]],PerfRate[[#This Row],[JobSatisfaction]],PerfRate[[#This Row],[RelationshipSatisfaction]])</f>
        <v>4</v>
      </c>
      <c r="R16" s="2">
        <f>PerfRate[[#This Row],[ManagerRating]] - PerfRate[[#This Row],[SelfRating]]</f>
        <v>0</v>
      </c>
    </row>
    <row r="17" spans="1:18">
      <c r="A17" s="2" t="s">
        <v>4324</v>
      </c>
      <c r="B17" s="2" t="s">
        <v>2097</v>
      </c>
      <c r="C17" s="1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  <c r="L17" s="2" t="s">
        <v>11030</v>
      </c>
      <c r="M17" s="2" t="s">
        <v>11030</v>
      </c>
      <c r="N17" s="2" t="s">
        <v>11036</v>
      </c>
      <c r="O17" s="2" t="s">
        <v>11037</v>
      </c>
      <c r="P17" s="2" t="s">
        <v>11036</v>
      </c>
      <c r="Q17" s="2">
        <f>AVERAGE(PerfRate[[#This Row],[EnvironmentSatisfaction]],PerfRate[[#This Row],[JobSatisfaction]],PerfRate[[#This Row],[RelationshipSatisfaction]])</f>
        <v>3.3333333333333335</v>
      </c>
      <c r="R17" s="2">
        <f>PerfRate[[#This Row],[ManagerRating]] - PerfRate[[#This Row],[SelfRating]]</f>
        <v>0</v>
      </c>
    </row>
    <row r="18" spans="1:18">
      <c r="A18" s="2" t="s">
        <v>4325</v>
      </c>
      <c r="B18" s="2" t="s">
        <v>326</v>
      </c>
      <c r="C18" s="1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  <c r="L18" s="2" t="s">
        <v>11031</v>
      </c>
      <c r="M18" s="2" t="s">
        <v>11031</v>
      </c>
      <c r="N18" s="2" t="s">
        <v>11036</v>
      </c>
      <c r="O18" s="2" t="s">
        <v>11037</v>
      </c>
      <c r="P18" s="2" t="s">
        <v>11035</v>
      </c>
      <c r="Q18" s="2">
        <f>AVERAGE(PerfRate[[#This Row],[EnvironmentSatisfaction]],PerfRate[[#This Row],[JobSatisfaction]],PerfRate[[#This Row],[RelationshipSatisfaction]])</f>
        <v>3</v>
      </c>
      <c r="R18" s="2">
        <f>PerfRate[[#This Row],[ManagerRating]] - PerfRate[[#This Row],[SelfRating]]</f>
        <v>0</v>
      </c>
    </row>
    <row r="19" spans="1:18">
      <c r="A19" s="2" t="s">
        <v>4326</v>
      </c>
      <c r="B19" s="2" t="s">
        <v>711</v>
      </c>
      <c r="C19" s="1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  <c r="L19" s="2" t="s">
        <v>11029</v>
      </c>
      <c r="M19" s="2" t="s">
        <v>11029</v>
      </c>
      <c r="N19" s="2" t="s">
        <v>11038</v>
      </c>
      <c r="O19" s="2" t="s">
        <v>11037</v>
      </c>
      <c r="P19" s="2" t="s">
        <v>11035</v>
      </c>
      <c r="Q19" s="2">
        <f>AVERAGE(PerfRate[[#This Row],[EnvironmentSatisfaction]],PerfRate[[#This Row],[JobSatisfaction]],PerfRate[[#This Row],[RelationshipSatisfaction]])</f>
        <v>3.6666666666666665</v>
      </c>
      <c r="R19" s="2">
        <f>PerfRate[[#This Row],[ManagerRating]] - PerfRate[[#This Row],[SelfRating]]</f>
        <v>0</v>
      </c>
    </row>
    <row r="20" spans="1:18">
      <c r="A20" s="2" t="s">
        <v>4327</v>
      </c>
      <c r="B20" s="2" t="s">
        <v>404</v>
      </c>
      <c r="C20" s="1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  <c r="L20" s="2" t="s">
        <v>11030</v>
      </c>
      <c r="M20" s="2" t="s">
        <v>11029</v>
      </c>
      <c r="N20" s="2" t="s">
        <v>11038</v>
      </c>
      <c r="O20" s="2" t="s">
        <v>11037</v>
      </c>
      <c r="P20" s="2" t="s">
        <v>11036</v>
      </c>
      <c r="Q20" s="2">
        <f>AVERAGE(PerfRate[[#This Row],[EnvironmentSatisfaction]],PerfRate[[#This Row],[JobSatisfaction]],PerfRate[[#This Row],[RelationshipSatisfaction]])</f>
        <v>4</v>
      </c>
      <c r="R20" s="2">
        <f>PerfRate[[#This Row],[ManagerRating]] - PerfRate[[#This Row],[SelfRating]]</f>
        <v>-1</v>
      </c>
    </row>
    <row r="21" spans="1:18">
      <c r="A21" s="2" t="s">
        <v>4328</v>
      </c>
      <c r="B21" s="2" t="s">
        <v>169</v>
      </c>
      <c r="C21" s="1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  <c r="L21" s="2" t="s">
        <v>11030</v>
      </c>
      <c r="M21" s="2" t="s">
        <v>11029</v>
      </c>
      <c r="N21" s="2" t="s">
        <v>11038</v>
      </c>
      <c r="O21" s="2" t="s">
        <v>11037</v>
      </c>
      <c r="P21" s="2" t="s">
        <v>11035</v>
      </c>
      <c r="Q21" s="2">
        <f>AVERAGE(PerfRate[[#This Row],[EnvironmentSatisfaction]],PerfRate[[#This Row],[JobSatisfaction]],PerfRate[[#This Row],[RelationshipSatisfaction]])</f>
        <v>3.6666666666666665</v>
      </c>
      <c r="R21" s="2">
        <f>PerfRate[[#This Row],[ManagerRating]] - PerfRate[[#This Row],[SelfRating]]</f>
        <v>-1</v>
      </c>
    </row>
    <row r="22" spans="1:18">
      <c r="A22" s="2" t="s">
        <v>4329</v>
      </c>
      <c r="B22" s="2" t="s">
        <v>2184</v>
      </c>
      <c r="C22" s="1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  <c r="L22" s="2" t="s">
        <v>11029</v>
      </c>
      <c r="M22" s="2" t="s">
        <v>11029</v>
      </c>
      <c r="N22" s="2" t="s">
        <v>11036</v>
      </c>
      <c r="O22" s="2" t="s">
        <v>11036</v>
      </c>
      <c r="P22" s="2" t="s">
        <v>11037</v>
      </c>
      <c r="Q22" s="2">
        <f>AVERAGE(PerfRate[[#This Row],[EnvironmentSatisfaction]],PerfRate[[#This Row],[JobSatisfaction]],PerfRate[[#This Row],[RelationshipSatisfaction]])</f>
        <v>3.3333333333333335</v>
      </c>
      <c r="R22" s="2">
        <f>PerfRate[[#This Row],[ManagerRating]] - PerfRate[[#This Row],[SelfRating]]</f>
        <v>0</v>
      </c>
    </row>
    <row r="23" spans="1:18">
      <c r="A23" s="2" t="s">
        <v>4330</v>
      </c>
      <c r="B23" s="2" t="s">
        <v>395</v>
      </c>
      <c r="C23" s="1">
        <v>41612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  <c r="L23" s="2" t="s">
        <v>11031</v>
      </c>
      <c r="M23" s="2" t="s">
        <v>11030</v>
      </c>
      <c r="N23" s="2" t="s">
        <v>11038</v>
      </c>
      <c r="O23" s="2" t="s">
        <v>11035</v>
      </c>
      <c r="P23" s="2" t="s">
        <v>11038</v>
      </c>
      <c r="Q23" s="2">
        <f>AVERAGE(PerfRate[[#This Row],[EnvironmentSatisfaction]],PerfRate[[#This Row],[JobSatisfaction]],PerfRate[[#This Row],[RelationshipSatisfaction]])</f>
        <v>4</v>
      </c>
      <c r="R23" s="2">
        <f>PerfRate[[#This Row],[ManagerRating]] - PerfRate[[#This Row],[SelfRating]]</f>
        <v>-1</v>
      </c>
    </row>
    <row r="24" spans="1:18">
      <c r="A24" s="2" t="s">
        <v>4331</v>
      </c>
      <c r="B24" s="2" t="s">
        <v>452</v>
      </c>
      <c r="C24" s="1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  <c r="L24" s="2" t="s">
        <v>11030</v>
      </c>
      <c r="M24" s="2" t="s">
        <v>11030</v>
      </c>
      <c r="N24" s="2" t="s">
        <v>11037</v>
      </c>
      <c r="O24" s="2" t="s">
        <v>11035</v>
      </c>
      <c r="P24" s="2" t="s">
        <v>11036</v>
      </c>
      <c r="Q24" s="2">
        <f>AVERAGE(PerfRate[[#This Row],[EnvironmentSatisfaction]],PerfRate[[#This Row],[JobSatisfaction]],PerfRate[[#This Row],[RelationshipSatisfaction]])</f>
        <v>3</v>
      </c>
      <c r="R24" s="2">
        <f>PerfRate[[#This Row],[ManagerRating]] - PerfRate[[#This Row],[SelfRating]]</f>
        <v>0</v>
      </c>
    </row>
    <row r="25" spans="1:18">
      <c r="A25" s="2" t="s">
        <v>4332</v>
      </c>
      <c r="B25" s="2" t="s">
        <v>1201</v>
      </c>
      <c r="C25" s="1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  <c r="L25" s="2" t="s">
        <v>11031</v>
      </c>
      <c r="M25" s="2" t="s">
        <v>11031</v>
      </c>
      <c r="N25" s="2" t="s">
        <v>11037</v>
      </c>
      <c r="O25" s="2" t="s">
        <v>11035</v>
      </c>
      <c r="P25" s="2" t="s">
        <v>11038</v>
      </c>
      <c r="Q25" s="2">
        <f>AVERAGE(PerfRate[[#This Row],[EnvironmentSatisfaction]],PerfRate[[#This Row],[JobSatisfaction]],PerfRate[[#This Row],[RelationshipSatisfaction]])</f>
        <v>3.6666666666666665</v>
      </c>
      <c r="R25" s="2">
        <f>PerfRate[[#This Row],[ManagerRating]] - PerfRate[[#This Row],[SelfRating]]</f>
        <v>0</v>
      </c>
    </row>
    <row r="26" spans="1:18">
      <c r="A26" s="2" t="s">
        <v>4333</v>
      </c>
      <c r="B26" s="2" t="s">
        <v>2427</v>
      </c>
      <c r="C26" s="1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  <c r="L26" s="2" t="s">
        <v>11031</v>
      </c>
      <c r="M26" s="2" t="s">
        <v>11030</v>
      </c>
      <c r="N26" s="2" t="s">
        <v>11036</v>
      </c>
      <c r="O26" s="2" t="s">
        <v>11037</v>
      </c>
      <c r="P26" s="2" t="s">
        <v>11036</v>
      </c>
      <c r="Q26" s="2">
        <f>AVERAGE(PerfRate[[#This Row],[EnvironmentSatisfaction]],PerfRate[[#This Row],[JobSatisfaction]],PerfRate[[#This Row],[RelationshipSatisfaction]])</f>
        <v>3.3333333333333335</v>
      </c>
      <c r="R26" s="2">
        <f>PerfRate[[#This Row],[ManagerRating]] - PerfRate[[#This Row],[SelfRating]]</f>
        <v>-1</v>
      </c>
    </row>
    <row r="27" spans="1:18">
      <c r="A27" s="2" t="s">
        <v>4334</v>
      </c>
      <c r="B27" s="2" t="s">
        <v>2296</v>
      </c>
      <c r="C27" s="1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  <c r="L27" s="2" t="s">
        <v>11029</v>
      </c>
      <c r="M27" s="2" t="s">
        <v>11029</v>
      </c>
      <c r="N27" s="2" t="s">
        <v>11036</v>
      </c>
      <c r="O27" s="2" t="s">
        <v>11038</v>
      </c>
      <c r="P27" s="2" t="s">
        <v>11036</v>
      </c>
      <c r="Q27" s="2">
        <f>AVERAGE(PerfRate[[#This Row],[EnvironmentSatisfaction]],PerfRate[[#This Row],[JobSatisfaction]],PerfRate[[#This Row],[RelationshipSatisfaction]])</f>
        <v>3.6666666666666665</v>
      </c>
      <c r="R27" s="2">
        <f>PerfRate[[#This Row],[ManagerRating]] - PerfRate[[#This Row],[SelfRating]]</f>
        <v>0</v>
      </c>
    </row>
    <row r="28" spans="1:18">
      <c r="A28" s="2" t="s">
        <v>4335</v>
      </c>
      <c r="B28" s="2" t="s">
        <v>3189</v>
      </c>
      <c r="C28" s="1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  <c r="L28" s="2" t="s">
        <v>11031</v>
      </c>
      <c r="M28" s="2" t="s">
        <v>11031</v>
      </c>
      <c r="N28" s="2" t="s">
        <v>11036</v>
      </c>
      <c r="O28" s="2" t="s">
        <v>11036</v>
      </c>
      <c r="P28" s="2" t="s">
        <v>11036</v>
      </c>
      <c r="Q28" s="2">
        <f>AVERAGE(PerfRate[[#This Row],[EnvironmentSatisfaction]],PerfRate[[#This Row],[JobSatisfaction]],PerfRate[[#This Row],[RelationshipSatisfaction]])</f>
        <v>3</v>
      </c>
      <c r="R28" s="2">
        <f>PerfRate[[#This Row],[ManagerRating]] - PerfRate[[#This Row],[SelfRating]]</f>
        <v>0</v>
      </c>
    </row>
    <row r="29" spans="1:18">
      <c r="A29" s="2" t="s">
        <v>4336</v>
      </c>
      <c r="B29" s="2" t="s">
        <v>538</v>
      </c>
      <c r="C29" s="1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  <c r="L29" s="2" t="s">
        <v>11031</v>
      </c>
      <c r="M29" s="2" t="s">
        <v>11030</v>
      </c>
      <c r="N29" s="2" t="s">
        <v>11038</v>
      </c>
      <c r="O29" s="2" t="s">
        <v>11036</v>
      </c>
      <c r="P29" s="2" t="s">
        <v>11035</v>
      </c>
      <c r="Q29" s="2">
        <f>AVERAGE(PerfRate[[#This Row],[EnvironmentSatisfaction]],PerfRate[[#This Row],[JobSatisfaction]],PerfRate[[#This Row],[RelationshipSatisfaction]])</f>
        <v>3.3333333333333335</v>
      </c>
      <c r="R29" s="2">
        <f>PerfRate[[#This Row],[ManagerRating]] - PerfRate[[#This Row],[SelfRating]]</f>
        <v>-1</v>
      </c>
    </row>
    <row r="30" spans="1:18">
      <c r="A30" s="2" t="s">
        <v>4337</v>
      </c>
      <c r="B30" s="2" t="s">
        <v>50</v>
      </c>
      <c r="C30" s="1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  <c r="L30" s="2" t="s">
        <v>11029</v>
      </c>
      <c r="M30" s="2" t="s">
        <v>11029</v>
      </c>
      <c r="N30" s="2" t="s">
        <v>11036</v>
      </c>
      <c r="O30" s="2" t="s">
        <v>11038</v>
      </c>
      <c r="P30" s="2" t="s">
        <v>11036</v>
      </c>
      <c r="Q30" s="2">
        <f>AVERAGE(PerfRate[[#This Row],[EnvironmentSatisfaction]],PerfRate[[#This Row],[JobSatisfaction]],PerfRate[[#This Row],[RelationshipSatisfaction]])</f>
        <v>3.6666666666666665</v>
      </c>
      <c r="R30" s="2">
        <f>PerfRate[[#This Row],[ManagerRating]] - PerfRate[[#This Row],[SelfRating]]</f>
        <v>0</v>
      </c>
    </row>
    <row r="31" spans="1:18">
      <c r="A31" s="2" t="s">
        <v>4338</v>
      </c>
      <c r="B31" s="2" t="s">
        <v>759</v>
      </c>
      <c r="C31" s="1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  <c r="L31" s="2" t="s">
        <v>11030</v>
      </c>
      <c r="M31" s="2" t="s">
        <v>11029</v>
      </c>
      <c r="N31" s="2" t="s">
        <v>11037</v>
      </c>
      <c r="O31" s="2" t="s">
        <v>11036</v>
      </c>
      <c r="P31" s="2" t="s">
        <v>11037</v>
      </c>
      <c r="Q31" s="2">
        <f>AVERAGE(PerfRate[[#This Row],[EnvironmentSatisfaction]],PerfRate[[#This Row],[JobSatisfaction]],PerfRate[[#This Row],[RelationshipSatisfaction]])</f>
        <v>3.6666666666666665</v>
      </c>
      <c r="R31" s="2">
        <f>PerfRate[[#This Row],[ManagerRating]] - PerfRate[[#This Row],[SelfRating]]</f>
        <v>-1</v>
      </c>
    </row>
    <row r="32" spans="1:18">
      <c r="A32" s="2" t="s">
        <v>4339</v>
      </c>
      <c r="B32" s="2" t="s">
        <v>610</v>
      </c>
      <c r="C32" s="1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  <c r="L32" s="2" t="s">
        <v>11030</v>
      </c>
      <c r="M32" s="2" t="s">
        <v>11029</v>
      </c>
      <c r="N32" s="2" t="s">
        <v>11036</v>
      </c>
      <c r="O32" s="2" t="s">
        <v>11037</v>
      </c>
      <c r="P32" s="2" t="s">
        <v>11037</v>
      </c>
      <c r="Q32" s="2">
        <f>AVERAGE(PerfRate[[#This Row],[EnvironmentSatisfaction]],PerfRate[[#This Row],[JobSatisfaction]],PerfRate[[#This Row],[RelationshipSatisfaction]])</f>
        <v>3.6666666666666665</v>
      </c>
      <c r="R32" s="2">
        <f>PerfRate[[#This Row],[ManagerRating]] - PerfRate[[#This Row],[SelfRating]]</f>
        <v>-1</v>
      </c>
    </row>
    <row r="33" spans="1:18">
      <c r="A33" s="2" t="s">
        <v>4340</v>
      </c>
      <c r="B33" s="2" t="s">
        <v>175</v>
      </c>
      <c r="C33" s="1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  <c r="L33" s="2" t="s">
        <v>11031</v>
      </c>
      <c r="M33" s="2" t="s">
        <v>11030</v>
      </c>
      <c r="N33" s="2" t="s">
        <v>11037</v>
      </c>
      <c r="O33" s="2" t="s">
        <v>11037</v>
      </c>
      <c r="P33" s="2" t="s">
        <v>11035</v>
      </c>
      <c r="Q33" s="2">
        <f>AVERAGE(PerfRate[[#This Row],[EnvironmentSatisfaction]],PerfRate[[#This Row],[JobSatisfaction]],PerfRate[[#This Row],[RelationshipSatisfaction]])</f>
        <v>3.3333333333333335</v>
      </c>
      <c r="R33" s="2">
        <f>PerfRate[[#This Row],[ManagerRating]] - PerfRate[[#This Row],[SelfRating]]</f>
        <v>-1</v>
      </c>
    </row>
    <row r="34" spans="1:18">
      <c r="A34" s="2" t="s">
        <v>4341</v>
      </c>
      <c r="B34" s="2" t="s">
        <v>771</v>
      </c>
      <c r="C34" s="1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  <c r="L34" s="2" t="s">
        <v>11029</v>
      </c>
      <c r="M34" s="2" t="s">
        <v>11029</v>
      </c>
      <c r="N34" s="2" t="s">
        <v>11036</v>
      </c>
      <c r="O34" s="2" t="s">
        <v>11036</v>
      </c>
      <c r="P34" s="2" t="s">
        <v>11036</v>
      </c>
      <c r="Q34" s="2">
        <f>AVERAGE(PerfRate[[#This Row],[EnvironmentSatisfaction]],PerfRate[[#This Row],[JobSatisfaction]],PerfRate[[#This Row],[RelationshipSatisfaction]])</f>
        <v>3</v>
      </c>
      <c r="R34" s="2">
        <f>PerfRate[[#This Row],[ManagerRating]] - PerfRate[[#This Row],[SelfRating]]</f>
        <v>0</v>
      </c>
    </row>
    <row r="35" spans="1:18">
      <c r="A35" s="2" t="s">
        <v>4342</v>
      </c>
      <c r="B35" s="2" t="s">
        <v>4072</v>
      </c>
      <c r="C35" s="1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  <c r="L35" s="2" t="s">
        <v>11031</v>
      </c>
      <c r="M35" s="2" t="s">
        <v>11030</v>
      </c>
      <c r="N35" s="2" t="s">
        <v>11036</v>
      </c>
      <c r="O35" s="2" t="s">
        <v>11036</v>
      </c>
      <c r="P35" s="2" t="s">
        <v>11038</v>
      </c>
      <c r="Q35" s="2">
        <f>AVERAGE(PerfRate[[#This Row],[EnvironmentSatisfaction]],PerfRate[[#This Row],[JobSatisfaction]],PerfRate[[#This Row],[RelationshipSatisfaction]])</f>
        <v>3.6666666666666665</v>
      </c>
      <c r="R35" s="2">
        <f>PerfRate[[#This Row],[ManagerRating]] - PerfRate[[#This Row],[SelfRating]]</f>
        <v>-1</v>
      </c>
    </row>
    <row r="36" spans="1:18">
      <c r="A36" s="2" t="s">
        <v>4343</v>
      </c>
      <c r="B36" s="2" t="s">
        <v>1663</v>
      </c>
      <c r="C36" s="1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  <c r="L36" s="2" t="s">
        <v>11031</v>
      </c>
      <c r="M36" s="2" t="s">
        <v>11030</v>
      </c>
      <c r="N36" s="2" t="s">
        <v>11037</v>
      </c>
      <c r="O36" s="2" t="s">
        <v>11037</v>
      </c>
      <c r="P36" s="2" t="s">
        <v>11036</v>
      </c>
      <c r="Q36" s="2">
        <f>AVERAGE(PerfRate[[#This Row],[EnvironmentSatisfaction]],PerfRate[[#This Row],[JobSatisfaction]],PerfRate[[#This Row],[RelationshipSatisfaction]])</f>
        <v>3.6666666666666665</v>
      </c>
      <c r="R36" s="2">
        <f>PerfRate[[#This Row],[ManagerRating]] - PerfRate[[#This Row],[SelfRating]]</f>
        <v>-1</v>
      </c>
    </row>
    <row r="37" spans="1:18">
      <c r="A37" s="2" t="s">
        <v>4344</v>
      </c>
      <c r="B37" s="2" t="s">
        <v>937</v>
      </c>
      <c r="C37" s="1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  <c r="L37" s="2" t="s">
        <v>11029</v>
      </c>
      <c r="M37" s="2" t="s">
        <v>11029</v>
      </c>
      <c r="N37" s="2" t="s">
        <v>11036</v>
      </c>
      <c r="O37" s="2" t="s">
        <v>11038</v>
      </c>
      <c r="P37" s="2" t="s">
        <v>11037</v>
      </c>
      <c r="Q37" s="2">
        <f>AVERAGE(PerfRate[[#This Row],[EnvironmentSatisfaction]],PerfRate[[#This Row],[JobSatisfaction]],PerfRate[[#This Row],[RelationshipSatisfaction]])</f>
        <v>4</v>
      </c>
      <c r="R37" s="2">
        <f>PerfRate[[#This Row],[ManagerRating]] - PerfRate[[#This Row],[SelfRating]]</f>
        <v>0</v>
      </c>
    </row>
    <row r="38" spans="1:18">
      <c r="A38" s="2" t="s">
        <v>4345</v>
      </c>
      <c r="B38" s="2" t="s">
        <v>2112</v>
      </c>
      <c r="C38" s="1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  <c r="L38" s="2" t="s">
        <v>11030</v>
      </c>
      <c r="M38" s="2" t="s">
        <v>11029</v>
      </c>
      <c r="N38" s="2" t="s">
        <v>11038</v>
      </c>
      <c r="O38" s="2" t="s">
        <v>11037</v>
      </c>
      <c r="P38" s="2" t="s">
        <v>11035</v>
      </c>
      <c r="Q38" s="2">
        <f>AVERAGE(PerfRate[[#This Row],[EnvironmentSatisfaction]],PerfRate[[#This Row],[JobSatisfaction]],PerfRate[[#This Row],[RelationshipSatisfaction]])</f>
        <v>3.6666666666666665</v>
      </c>
      <c r="R38" s="2">
        <f>PerfRate[[#This Row],[ManagerRating]] - PerfRate[[#This Row],[SelfRating]]</f>
        <v>-1</v>
      </c>
    </row>
    <row r="39" spans="1:18">
      <c r="A39" s="2" t="s">
        <v>4346</v>
      </c>
      <c r="B39" s="2" t="s">
        <v>1111</v>
      </c>
      <c r="C39" s="1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  <c r="L39" s="2" t="s">
        <v>11031</v>
      </c>
      <c r="M39" s="2" t="s">
        <v>11030</v>
      </c>
      <c r="N39" s="2" t="s">
        <v>11038</v>
      </c>
      <c r="O39" s="2" t="s">
        <v>11035</v>
      </c>
      <c r="P39" s="2" t="s">
        <v>11038</v>
      </c>
      <c r="Q39" s="2">
        <f>AVERAGE(PerfRate[[#This Row],[EnvironmentSatisfaction]],PerfRate[[#This Row],[JobSatisfaction]],PerfRate[[#This Row],[RelationshipSatisfaction]])</f>
        <v>4</v>
      </c>
      <c r="R39" s="2">
        <f>PerfRate[[#This Row],[ManagerRating]] - PerfRate[[#This Row],[SelfRating]]</f>
        <v>-1</v>
      </c>
    </row>
    <row r="40" spans="1:18">
      <c r="A40" s="2" t="s">
        <v>4347</v>
      </c>
      <c r="B40" s="2" t="s">
        <v>532</v>
      </c>
      <c r="C40" s="1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  <c r="L40" s="2" t="s">
        <v>11030</v>
      </c>
      <c r="M40" s="2" t="s">
        <v>11029</v>
      </c>
      <c r="N40" s="2" t="s">
        <v>11038</v>
      </c>
      <c r="O40" s="2" t="s">
        <v>11036</v>
      </c>
      <c r="P40" s="2" t="s">
        <v>11035</v>
      </c>
      <c r="Q40" s="2">
        <f>AVERAGE(PerfRate[[#This Row],[EnvironmentSatisfaction]],PerfRate[[#This Row],[JobSatisfaction]],PerfRate[[#This Row],[RelationshipSatisfaction]])</f>
        <v>3.3333333333333335</v>
      </c>
      <c r="R40" s="2">
        <f>PerfRate[[#This Row],[ManagerRating]] - PerfRate[[#This Row],[SelfRating]]</f>
        <v>-1</v>
      </c>
    </row>
    <row r="41" spans="1:18">
      <c r="A41" s="2" t="s">
        <v>4348</v>
      </c>
      <c r="B41" s="2" t="s">
        <v>2125</v>
      </c>
      <c r="C41" s="1">
        <v>42373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  <c r="L41" s="2" t="s">
        <v>11029</v>
      </c>
      <c r="M41" s="2" t="s">
        <v>11028</v>
      </c>
      <c r="N41" s="2" t="s">
        <v>11036</v>
      </c>
      <c r="O41" s="2" t="s">
        <v>11037</v>
      </c>
      <c r="P41" s="2" t="s">
        <v>11038</v>
      </c>
      <c r="Q41" s="2">
        <f>AVERAGE(PerfRate[[#This Row],[EnvironmentSatisfaction]],PerfRate[[#This Row],[JobSatisfaction]],PerfRate[[#This Row],[RelationshipSatisfaction]])</f>
        <v>4</v>
      </c>
      <c r="R41" s="2">
        <f>PerfRate[[#This Row],[ManagerRating]] - PerfRate[[#This Row],[SelfRating]]</f>
        <v>-1</v>
      </c>
    </row>
    <row r="42" spans="1:18">
      <c r="A42" s="2" t="s">
        <v>4349</v>
      </c>
      <c r="B42" s="2" t="s">
        <v>3320</v>
      </c>
      <c r="C42" s="1">
        <v>42404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  <c r="L42" s="2" t="s">
        <v>11030</v>
      </c>
      <c r="M42" s="2" t="s">
        <v>11030</v>
      </c>
      <c r="N42" s="2" t="s">
        <v>11037</v>
      </c>
      <c r="O42" s="2" t="s">
        <v>11035</v>
      </c>
      <c r="P42" s="2" t="s">
        <v>11035</v>
      </c>
      <c r="Q42" s="2">
        <f>AVERAGE(PerfRate[[#This Row],[EnvironmentSatisfaction]],PerfRate[[#This Row],[JobSatisfaction]],PerfRate[[#This Row],[RelationshipSatisfaction]])</f>
        <v>2.6666666666666665</v>
      </c>
      <c r="R42" s="2">
        <f>PerfRate[[#This Row],[ManagerRating]] - PerfRate[[#This Row],[SelfRating]]</f>
        <v>0</v>
      </c>
    </row>
    <row r="43" spans="1:18">
      <c r="A43" s="2" t="s">
        <v>4350</v>
      </c>
      <c r="B43" s="2" t="s">
        <v>160</v>
      </c>
      <c r="C43" s="1">
        <v>42404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  <c r="L43" s="2" t="s">
        <v>11031</v>
      </c>
      <c r="M43" s="2" t="s">
        <v>11030</v>
      </c>
      <c r="N43" s="2" t="s">
        <v>11037</v>
      </c>
      <c r="O43" s="2" t="s">
        <v>11037</v>
      </c>
      <c r="P43" s="2" t="s">
        <v>11038</v>
      </c>
      <c r="Q43" s="2">
        <f>AVERAGE(PerfRate[[#This Row],[EnvironmentSatisfaction]],PerfRate[[#This Row],[JobSatisfaction]],PerfRate[[#This Row],[RelationshipSatisfaction]])</f>
        <v>4.333333333333333</v>
      </c>
      <c r="R43" s="2">
        <f>PerfRate[[#This Row],[ManagerRating]] - PerfRate[[#This Row],[SelfRating]]</f>
        <v>-1</v>
      </c>
    </row>
    <row r="44" spans="1:18">
      <c r="A44" s="2" t="s">
        <v>4351</v>
      </c>
      <c r="B44" s="2" t="s">
        <v>753</v>
      </c>
      <c r="C44" s="1">
        <v>42404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  <c r="L44" s="2" t="s">
        <v>11030</v>
      </c>
      <c r="M44" s="2" t="s">
        <v>11029</v>
      </c>
      <c r="N44" s="2" t="s">
        <v>11038</v>
      </c>
      <c r="O44" s="2" t="s">
        <v>11038</v>
      </c>
      <c r="P44" s="2" t="s">
        <v>11036</v>
      </c>
      <c r="Q44" s="2">
        <f>AVERAGE(PerfRate[[#This Row],[EnvironmentSatisfaction]],PerfRate[[#This Row],[JobSatisfaction]],PerfRate[[#This Row],[RelationshipSatisfaction]])</f>
        <v>4.333333333333333</v>
      </c>
      <c r="R44" s="2">
        <f>PerfRate[[#This Row],[ManagerRating]] - PerfRate[[#This Row],[SelfRating]]</f>
        <v>-1</v>
      </c>
    </row>
    <row r="45" spans="1:18">
      <c r="A45" s="2" t="s">
        <v>4352</v>
      </c>
      <c r="B45" s="2" t="s">
        <v>1071</v>
      </c>
      <c r="C45" s="1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  <c r="L45" s="2" t="s">
        <v>11030</v>
      </c>
      <c r="M45" s="2" t="s">
        <v>11030</v>
      </c>
      <c r="N45" s="2" t="s">
        <v>11036</v>
      </c>
      <c r="O45" s="2" t="s">
        <v>11035</v>
      </c>
      <c r="P45" s="2" t="s">
        <v>11038</v>
      </c>
      <c r="Q45" s="2">
        <f>AVERAGE(PerfRate[[#This Row],[EnvironmentSatisfaction]],PerfRate[[#This Row],[JobSatisfaction]],PerfRate[[#This Row],[RelationshipSatisfaction]])</f>
        <v>3.3333333333333335</v>
      </c>
      <c r="R45" s="2">
        <f>PerfRate[[#This Row],[ManagerRating]] - PerfRate[[#This Row],[SelfRating]]</f>
        <v>0</v>
      </c>
    </row>
    <row r="46" spans="1:18">
      <c r="A46" s="2" t="s">
        <v>4353</v>
      </c>
      <c r="B46" s="2" t="s">
        <v>1189</v>
      </c>
      <c r="C46" s="1">
        <v>42433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  <c r="L46" s="2" t="s">
        <v>11031</v>
      </c>
      <c r="M46" s="2" t="s">
        <v>11031</v>
      </c>
      <c r="N46" s="2" t="s">
        <v>11038</v>
      </c>
      <c r="O46" s="2" t="s">
        <v>11037</v>
      </c>
      <c r="P46" s="2" t="s">
        <v>11038</v>
      </c>
      <c r="Q46" s="2">
        <f>AVERAGE(PerfRate[[#This Row],[EnvironmentSatisfaction]],PerfRate[[#This Row],[JobSatisfaction]],PerfRate[[#This Row],[RelationshipSatisfaction]])</f>
        <v>4.666666666666667</v>
      </c>
      <c r="R46" s="2">
        <f>PerfRate[[#This Row],[ManagerRating]] - PerfRate[[#This Row],[SelfRating]]</f>
        <v>0</v>
      </c>
    </row>
    <row r="47" spans="1:18">
      <c r="A47" s="2" t="s">
        <v>4354</v>
      </c>
      <c r="B47" s="2" t="s">
        <v>687</v>
      </c>
      <c r="C47" s="1">
        <v>42494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  <c r="L47" s="2" t="s">
        <v>11031</v>
      </c>
      <c r="M47" s="2" t="s">
        <v>11031</v>
      </c>
      <c r="N47" s="2" t="s">
        <v>11037</v>
      </c>
      <c r="O47" s="2" t="s">
        <v>11035</v>
      </c>
      <c r="P47" s="2" t="s">
        <v>11037</v>
      </c>
      <c r="Q47" s="2">
        <f>AVERAGE(PerfRate[[#This Row],[EnvironmentSatisfaction]],PerfRate[[#This Row],[JobSatisfaction]],PerfRate[[#This Row],[RelationshipSatisfaction]])</f>
        <v>3.3333333333333335</v>
      </c>
      <c r="R47" s="2">
        <f>PerfRate[[#This Row],[ManagerRating]] - PerfRate[[#This Row],[SelfRating]]</f>
        <v>0</v>
      </c>
    </row>
    <row r="48" spans="1:18">
      <c r="A48" s="2" t="s">
        <v>4355</v>
      </c>
      <c r="B48" s="2" t="s">
        <v>2792</v>
      </c>
      <c r="C48" s="1">
        <v>42494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  <c r="L48" s="2" t="s">
        <v>11029</v>
      </c>
      <c r="M48" s="2" t="s">
        <v>11028</v>
      </c>
      <c r="N48" s="2" t="s">
        <v>11038</v>
      </c>
      <c r="O48" s="2" t="s">
        <v>11038</v>
      </c>
      <c r="P48" s="2" t="s">
        <v>11038</v>
      </c>
      <c r="Q48" s="2">
        <f>AVERAGE(PerfRate[[#This Row],[EnvironmentSatisfaction]],PerfRate[[#This Row],[JobSatisfaction]],PerfRate[[#This Row],[RelationshipSatisfaction]])</f>
        <v>5</v>
      </c>
      <c r="R48" s="2">
        <f>PerfRate[[#This Row],[ManagerRating]] - PerfRate[[#This Row],[SelfRating]]</f>
        <v>-1</v>
      </c>
    </row>
    <row r="49" spans="1:18">
      <c r="A49" s="2" t="s">
        <v>4356</v>
      </c>
      <c r="B49" s="2" t="s">
        <v>2981</v>
      </c>
      <c r="C49" s="1">
        <v>42494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  <c r="L49" s="2" t="s">
        <v>11030</v>
      </c>
      <c r="M49" s="2" t="s">
        <v>11030</v>
      </c>
      <c r="N49" s="2" t="s">
        <v>11038</v>
      </c>
      <c r="O49" s="2" t="s">
        <v>11036</v>
      </c>
      <c r="P49" s="2" t="s">
        <v>11038</v>
      </c>
      <c r="Q49" s="2">
        <f>AVERAGE(PerfRate[[#This Row],[EnvironmentSatisfaction]],PerfRate[[#This Row],[JobSatisfaction]],PerfRate[[#This Row],[RelationshipSatisfaction]])</f>
        <v>4.333333333333333</v>
      </c>
      <c r="R49" s="2">
        <f>PerfRate[[#This Row],[ManagerRating]] - PerfRate[[#This Row],[SelfRating]]</f>
        <v>0</v>
      </c>
    </row>
    <row r="50" spans="1:18">
      <c r="A50" s="2" t="s">
        <v>4357</v>
      </c>
      <c r="B50" s="2" t="s">
        <v>296</v>
      </c>
      <c r="C50" s="1">
        <v>42525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  <c r="L50" s="2" t="s">
        <v>11030</v>
      </c>
      <c r="M50" s="2" t="s">
        <v>11029</v>
      </c>
      <c r="N50" s="2" t="s">
        <v>11036</v>
      </c>
      <c r="O50" s="2" t="s">
        <v>11035</v>
      </c>
      <c r="P50" s="2" t="s">
        <v>11036</v>
      </c>
      <c r="Q50" s="2">
        <f>AVERAGE(PerfRate[[#This Row],[EnvironmentSatisfaction]],PerfRate[[#This Row],[JobSatisfaction]],PerfRate[[#This Row],[RelationshipSatisfaction]])</f>
        <v>2.6666666666666665</v>
      </c>
      <c r="R50" s="2">
        <f>PerfRate[[#This Row],[ManagerRating]] - PerfRate[[#This Row],[SelfRating]]</f>
        <v>-1</v>
      </c>
    </row>
    <row r="51" spans="1:18">
      <c r="A51" s="2" t="s">
        <v>4358</v>
      </c>
      <c r="B51" s="2" t="s">
        <v>42</v>
      </c>
      <c r="C51" s="1">
        <v>42586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  <c r="L51" s="2" t="s">
        <v>11029</v>
      </c>
      <c r="M51" s="2" t="s">
        <v>11028</v>
      </c>
      <c r="N51" s="2" t="s">
        <v>11036</v>
      </c>
      <c r="O51" s="2" t="s">
        <v>11036</v>
      </c>
      <c r="P51" s="2" t="s">
        <v>11035</v>
      </c>
      <c r="Q51" s="2">
        <f>AVERAGE(PerfRate[[#This Row],[EnvironmentSatisfaction]],PerfRate[[#This Row],[JobSatisfaction]],PerfRate[[#This Row],[RelationshipSatisfaction]])</f>
        <v>2.6666666666666665</v>
      </c>
      <c r="R51" s="2">
        <f>PerfRate[[#This Row],[ManagerRating]] - PerfRate[[#This Row],[SelfRating]]</f>
        <v>-1</v>
      </c>
    </row>
    <row r="52" spans="1:18">
      <c r="A52" s="2" t="s">
        <v>4359</v>
      </c>
      <c r="B52" s="2" t="s">
        <v>779</v>
      </c>
      <c r="C52" s="1">
        <v>42617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  <c r="L52" s="2" t="s">
        <v>11031</v>
      </c>
      <c r="M52" s="2" t="s">
        <v>11031</v>
      </c>
      <c r="N52" s="2" t="s">
        <v>11036</v>
      </c>
      <c r="O52" s="2" t="s">
        <v>11038</v>
      </c>
      <c r="P52" s="2" t="s">
        <v>11036</v>
      </c>
      <c r="Q52" s="2">
        <f>AVERAGE(PerfRate[[#This Row],[EnvironmentSatisfaction]],PerfRate[[#This Row],[JobSatisfaction]],PerfRate[[#This Row],[RelationshipSatisfaction]])</f>
        <v>3.6666666666666665</v>
      </c>
      <c r="R52" s="2">
        <f>PerfRate[[#This Row],[ManagerRating]] - PerfRate[[#This Row],[SelfRating]]</f>
        <v>0</v>
      </c>
    </row>
    <row r="53" spans="1:18">
      <c r="A53" s="2" t="s">
        <v>4360</v>
      </c>
      <c r="B53" s="2" t="s">
        <v>3986</v>
      </c>
      <c r="C53" s="1">
        <v>42617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  <c r="L53" s="2" t="s">
        <v>11030</v>
      </c>
      <c r="M53" s="2" t="s">
        <v>11030</v>
      </c>
      <c r="N53" s="2" t="s">
        <v>11036</v>
      </c>
      <c r="O53" s="2" t="s">
        <v>11036</v>
      </c>
      <c r="P53" s="2" t="s">
        <v>11038</v>
      </c>
      <c r="Q53" s="2">
        <f>AVERAGE(PerfRate[[#This Row],[EnvironmentSatisfaction]],PerfRate[[#This Row],[JobSatisfaction]],PerfRate[[#This Row],[RelationshipSatisfaction]])</f>
        <v>3.6666666666666665</v>
      </c>
      <c r="R53" s="2">
        <f>PerfRate[[#This Row],[ManagerRating]] - PerfRate[[#This Row],[SelfRating]]</f>
        <v>0</v>
      </c>
    </row>
    <row r="54" spans="1:18">
      <c r="A54" s="2" t="s">
        <v>4361</v>
      </c>
      <c r="B54" s="2" t="s">
        <v>323</v>
      </c>
      <c r="C54" s="1">
        <v>42647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  <c r="L54" s="2" t="s">
        <v>11030</v>
      </c>
      <c r="M54" s="2" t="s">
        <v>11029</v>
      </c>
      <c r="N54" s="2" t="s">
        <v>11037</v>
      </c>
      <c r="O54" s="2" t="s">
        <v>11037</v>
      </c>
      <c r="P54" s="2" t="s">
        <v>11035</v>
      </c>
      <c r="Q54" s="2">
        <f>AVERAGE(PerfRate[[#This Row],[EnvironmentSatisfaction]],PerfRate[[#This Row],[JobSatisfaction]],PerfRate[[#This Row],[RelationshipSatisfaction]])</f>
        <v>3.3333333333333335</v>
      </c>
      <c r="R54" s="2">
        <f>PerfRate[[#This Row],[ManagerRating]] - PerfRate[[#This Row],[SelfRating]]</f>
        <v>-1</v>
      </c>
    </row>
    <row r="55" spans="1:18">
      <c r="A55" s="2" t="s">
        <v>4362</v>
      </c>
      <c r="B55" s="2" t="s">
        <v>723</v>
      </c>
      <c r="C55" s="1">
        <v>42647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  <c r="L55" s="2" t="s">
        <v>11029</v>
      </c>
      <c r="M55" s="2" t="s">
        <v>11028</v>
      </c>
      <c r="N55" s="2" t="s">
        <v>11037</v>
      </c>
      <c r="O55" s="2" t="s">
        <v>11038</v>
      </c>
      <c r="P55" s="2" t="s">
        <v>11037</v>
      </c>
      <c r="Q55" s="2">
        <f>AVERAGE(PerfRate[[#This Row],[EnvironmentSatisfaction]],PerfRate[[#This Row],[JobSatisfaction]],PerfRate[[#This Row],[RelationshipSatisfaction]])</f>
        <v>4.333333333333333</v>
      </c>
      <c r="R55" s="2">
        <f>PerfRate[[#This Row],[ManagerRating]] - PerfRate[[#This Row],[SelfRating]]</f>
        <v>-1</v>
      </c>
    </row>
    <row r="56" spans="1:18">
      <c r="A56" s="2" t="s">
        <v>4363</v>
      </c>
      <c r="B56" s="2" t="s">
        <v>1779</v>
      </c>
      <c r="C56" s="1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  <c r="L56" s="2" t="s">
        <v>11029</v>
      </c>
      <c r="M56" s="2" t="s">
        <v>11028</v>
      </c>
      <c r="N56" s="2" t="s">
        <v>11036</v>
      </c>
      <c r="O56" s="2" t="s">
        <v>11037</v>
      </c>
      <c r="P56" s="2" t="s">
        <v>11037</v>
      </c>
      <c r="Q56" s="2">
        <f>AVERAGE(PerfRate[[#This Row],[EnvironmentSatisfaction]],PerfRate[[#This Row],[JobSatisfaction]],PerfRate[[#This Row],[RelationshipSatisfaction]])</f>
        <v>3.6666666666666665</v>
      </c>
      <c r="R56" s="2">
        <f>PerfRate[[#This Row],[ManagerRating]] - PerfRate[[#This Row],[SelfRating]]</f>
        <v>-1</v>
      </c>
    </row>
    <row r="57" spans="1:18">
      <c r="A57" s="2" t="s">
        <v>4364</v>
      </c>
      <c r="B57" s="2" t="s">
        <v>1338</v>
      </c>
      <c r="C57" s="1">
        <v>42647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  <c r="L57" s="2" t="s">
        <v>11031</v>
      </c>
      <c r="M57" s="2" t="s">
        <v>11030</v>
      </c>
      <c r="N57" s="2" t="s">
        <v>11038</v>
      </c>
      <c r="O57" s="2" t="s">
        <v>11037</v>
      </c>
      <c r="P57" s="2" t="s">
        <v>11035</v>
      </c>
      <c r="Q57" s="2">
        <f>AVERAGE(PerfRate[[#This Row],[EnvironmentSatisfaction]],PerfRate[[#This Row],[JobSatisfaction]],PerfRate[[#This Row],[RelationshipSatisfaction]])</f>
        <v>3.6666666666666665</v>
      </c>
      <c r="R57" s="2">
        <f>PerfRate[[#This Row],[ManagerRating]] - PerfRate[[#This Row],[SelfRating]]</f>
        <v>-1</v>
      </c>
    </row>
    <row r="58" spans="1:18">
      <c r="A58" s="2" t="s">
        <v>4365</v>
      </c>
      <c r="B58" s="2" t="s">
        <v>395</v>
      </c>
      <c r="C58" s="1">
        <v>42678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  <c r="L58" s="2" t="s">
        <v>11029</v>
      </c>
      <c r="M58" s="2" t="s">
        <v>11029</v>
      </c>
      <c r="N58" s="2" t="s">
        <v>11038</v>
      </c>
      <c r="O58" s="2" t="s">
        <v>11036</v>
      </c>
      <c r="P58" s="2" t="s">
        <v>11035</v>
      </c>
      <c r="Q58" s="2">
        <f>AVERAGE(PerfRate[[#This Row],[EnvironmentSatisfaction]],PerfRate[[#This Row],[JobSatisfaction]],PerfRate[[#This Row],[RelationshipSatisfaction]])</f>
        <v>3.3333333333333335</v>
      </c>
      <c r="R58" s="2">
        <f>PerfRate[[#This Row],[ManagerRating]] - PerfRate[[#This Row],[SelfRating]]</f>
        <v>0</v>
      </c>
    </row>
    <row r="59" spans="1:18">
      <c r="A59" s="2" t="s">
        <v>4366</v>
      </c>
      <c r="B59" s="2" t="s">
        <v>3448</v>
      </c>
      <c r="C59" s="1">
        <v>42678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  <c r="L59" s="2" t="s">
        <v>11031</v>
      </c>
      <c r="M59" s="2" t="s">
        <v>11030</v>
      </c>
      <c r="N59" s="2" t="s">
        <v>11037</v>
      </c>
      <c r="O59" s="2" t="s">
        <v>11038</v>
      </c>
      <c r="P59" s="2" t="s">
        <v>11036</v>
      </c>
      <c r="Q59" s="2">
        <f>AVERAGE(PerfRate[[#This Row],[EnvironmentSatisfaction]],PerfRate[[#This Row],[JobSatisfaction]],PerfRate[[#This Row],[RelationshipSatisfaction]])</f>
        <v>4</v>
      </c>
      <c r="R59" s="2">
        <f>PerfRate[[#This Row],[ManagerRating]] - PerfRate[[#This Row],[SelfRating]]</f>
        <v>-1</v>
      </c>
    </row>
    <row r="60" spans="1:18">
      <c r="A60" s="2" t="s">
        <v>4367</v>
      </c>
      <c r="B60" s="2" t="s">
        <v>3490</v>
      </c>
      <c r="C60" s="1">
        <v>42678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  <c r="L60" s="2" t="s">
        <v>11029</v>
      </c>
      <c r="M60" s="2" t="s">
        <v>11028</v>
      </c>
      <c r="N60" s="2" t="s">
        <v>11038</v>
      </c>
      <c r="O60" s="2" t="s">
        <v>11035</v>
      </c>
      <c r="P60" s="2" t="s">
        <v>11035</v>
      </c>
      <c r="Q60" s="2">
        <f>AVERAGE(PerfRate[[#This Row],[EnvironmentSatisfaction]],PerfRate[[#This Row],[JobSatisfaction]],PerfRate[[#This Row],[RelationshipSatisfaction]])</f>
        <v>3</v>
      </c>
      <c r="R60" s="2">
        <f>PerfRate[[#This Row],[ManagerRating]] - PerfRate[[#This Row],[SelfRating]]</f>
        <v>-1</v>
      </c>
    </row>
    <row r="61" spans="1:18">
      <c r="A61" s="2" t="s">
        <v>4368</v>
      </c>
      <c r="B61" s="2" t="s">
        <v>771</v>
      </c>
      <c r="C61" s="1">
        <v>42708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  <c r="L61" s="2" t="s">
        <v>11029</v>
      </c>
      <c r="M61" s="2" t="s">
        <v>11028</v>
      </c>
      <c r="N61" s="2" t="s">
        <v>11036</v>
      </c>
      <c r="O61" s="2" t="s">
        <v>11036</v>
      </c>
      <c r="P61" s="2" t="s">
        <v>11037</v>
      </c>
      <c r="Q61" s="2">
        <f>AVERAGE(PerfRate[[#This Row],[EnvironmentSatisfaction]],PerfRate[[#This Row],[JobSatisfaction]],PerfRate[[#This Row],[RelationshipSatisfaction]])</f>
        <v>3.3333333333333335</v>
      </c>
      <c r="R61" s="2">
        <f>PerfRate[[#This Row],[ManagerRating]] - PerfRate[[#This Row],[SelfRating]]</f>
        <v>-1</v>
      </c>
    </row>
    <row r="62" spans="1:18">
      <c r="A62" s="2" t="s">
        <v>4369</v>
      </c>
      <c r="B62" s="2" t="s">
        <v>235</v>
      </c>
      <c r="C62" s="1">
        <v>42708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  <c r="L62" s="2" t="s">
        <v>11030</v>
      </c>
      <c r="M62" s="2" t="s">
        <v>11030</v>
      </c>
      <c r="N62" s="2" t="s">
        <v>11036</v>
      </c>
      <c r="O62" s="2" t="s">
        <v>11036</v>
      </c>
      <c r="P62" s="2" t="s">
        <v>11037</v>
      </c>
      <c r="Q62" s="2">
        <f>AVERAGE(PerfRate[[#This Row],[EnvironmentSatisfaction]],PerfRate[[#This Row],[JobSatisfaction]],PerfRate[[#This Row],[RelationshipSatisfaction]])</f>
        <v>3.3333333333333335</v>
      </c>
      <c r="R62" s="2">
        <f>PerfRate[[#This Row],[ManagerRating]] - PerfRate[[#This Row],[SelfRating]]</f>
        <v>0</v>
      </c>
    </row>
    <row r="63" spans="1:18">
      <c r="A63" s="2" t="s">
        <v>4370</v>
      </c>
      <c r="B63" s="2" t="s">
        <v>1071</v>
      </c>
      <c r="C63" s="1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  <c r="L63" s="2" t="s">
        <v>11030</v>
      </c>
      <c r="M63" s="2" t="s">
        <v>11029</v>
      </c>
      <c r="N63" s="2" t="s">
        <v>11037</v>
      </c>
      <c r="O63" s="2" t="s">
        <v>11037</v>
      </c>
      <c r="P63" s="2" t="s">
        <v>11037</v>
      </c>
      <c r="Q63" s="2">
        <f>AVERAGE(PerfRate[[#This Row],[EnvironmentSatisfaction]],PerfRate[[#This Row],[JobSatisfaction]],PerfRate[[#This Row],[RelationshipSatisfaction]])</f>
        <v>4</v>
      </c>
      <c r="R63" s="2">
        <f>PerfRate[[#This Row],[ManagerRating]] - PerfRate[[#This Row],[SelfRating]]</f>
        <v>-1</v>
      </c>
    </row>
    <row r="64" spans="1:18">
      <c r="A64" s="2" t="s">
        <v>4371</v>
      </c>
      <c r="B64" s="2" t="s">
        <v>1779</v>
      </c>
      <c r="C64" s="1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  <c r="L64" s="2" t="s">
        <v>11031</v>
      </c>
      <c r="M64" s="2" t="s">
        <v>11031</v>
      </c>
      <c r="N64" s="2" t="s">
        <v>11038</v>
      </c>
      <c r="O64" s="2" t="s">
        <v>11038</v>
      </c>
      <c r="P64" s="2" t="s">
        <v>11038</v>
      </c>
      <c r="Q64" s="2">
        <f>AVERAGE(PerfRate[[#This Row],[EnvironmentSatisfaction]],PerfRate[[#This Row],[JobSatisfaction]],PerfRate[[#This Row],[RelationshipSatisfaction]])</f>
        <v>5</v>
      </c>
      <c r="R64" s="2">
        <f>PerfRate[[#This Row],[ManagerRating]] - PerfRate[[#This Row],[SelfRating]]</f>
        <v>0</v>
      </c>
    </row>
    <row r="65" spans="1:18">
      <c r="A65" s="2" t="s">
        <v>4372</v>
      </c>
      <c r="B65" s="2" t="s">
        <v>106</v>
      </c>
      <c r="C65" s="1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  <c r="L65" s="2" t="s">
        <v>11031</v>
      </c>
      <c r="M65" s="2" t="s">
        <v>11030</v>
      </c>
      <c r="N65" s="2" t="s">
        <v>11036</v>
      </c>
      <c r="O65" s="2" t="s">
        <v>11035</v>
      </c>
      <c r="P65" s="2" t="s">
        <v>11038</v>
      </c>
      <c r="Q65" s="2">
        <f>AVERAGE(PerfRate[[#This Row],[EnvironmentSatisfaction]],PerfRate[[#This Row],[JobSatisfaction]],PerfRate[[#This Row],[RelationshipSatisfaction]])</f>
        <v>3.3333333333333335</v>
      </c>
      <c r="R65" s="2">
        <f>PerfRate[[#This Row],[ManagerRating]] - PerfRate[[#This Row],[SelfRating]]</f>
        <v>-1</v>
      </c>
    </row>
    <row r="66" spans="1:18">
      <c r="A66" s="2" t="s">
        <v>4373</v>
      </c>
      <c r="B66" s="2" t="s">
        <v>1303</v>
      </c>
      <c r="C66" s="1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  <c r="L66" s="2" t="s">
        <v>11029</v>
      </c>
      <c r="M66" s="2" t="s">
        <v>11029</v>
      </c>
      <c r="N66" s="2" t="s">
        <v>11038</v>
      </c>
      <c r="O66" s="2" t="s">
        <v>11038</v>
      </c>
      <c r="P66" s="2" t="s">
        <v>11036</v>
      </c>
      <c r="Q66" s="2">
        <f>AVERAGE(PerfRate[[#This Row],[EnvironmentSatisfaction]],PerfRate[[#This Row],[JobSatisfaction]],PerfRate[[#This Row],[RelationshipSatisfaction]])</f>
        <v>4.333333333333333</v>
      </c>
      <c r="R66" s="2">
        <f>PerfRate[[#This Row],[ManagerRating]] - PerfRate[[#This Row],[SelfRating]]</f>
        <v>0</v>
      </c>
    </row>
    <row r="67" spans="1:18">
      <c r="A67" s="2" t="s">
        <v>4374</v>
      </c>
      <c r="B67" s="2" t="s">
        <v>1968</v>
      </c>
      <c r="C67" s="1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  <c r="L67" s="2" t="s">
        <v>11030</v>
      </c>
      <c r="M67" s="2" t="s">
        <v>11029</v>
      </c>
      <c r="N67" s="2" t="s">
        <v>11036</v>
      </c>
      <c r="O67" s="2" t="s">
        <v>11038</v>
      </c>
      <c r="P67" s="2" t="s">
        <v>11035</v>
      </c>
      <c r="Q67" s="2">
        <f>AVERAGE(PerfRate[[#This Row],[EnvironmentSatisfaction]],PerfRate[[#This Row],[JobSatisfaction]],PerfRate[[#This Row],[RelationshipSatisfaction]])</f>
        <v>3.3333333333333335</v>
      </c>
      <c r="R67" s="2">
        <f>PerfRate[[#This Row],[ManagerRating]] - PerfRate[[#This Row],[SelfRating]]</f>
        <v>-1</v>
      </c>
    </row>
    <row r="68" spans="1:18">
      <c r="A68" s="2" t="s">
        <v>4375</v>
      </c>
      <c r="B68" s="2" t="s">
        <v>1968</v>
      </c>
      <c r="C68" s="1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  <c r="L68" s="2" t="s">
        <v>11030</v>
      </c>
      <c r="M68" s="2" t="s">
        <v>11030</v>
      </c>
      <c r="N68" s="2" t="s">
        <v>11037</v>
      </c>
      <c r="O68" s="2" t="s">
        <v>11038</v>
      </c>
      <c r="P68" s="2" t="s">
        <v>11035</v>
      </c>
      <c r="Q68" s="2">
        <f>AVERAGE(PerfRate[[#This Row],[EnvironmentSatisfaction]],PerfRate[[#This Row],[JobSatisfaction]],PerfRate[[#This Row],[RelationshipSatisfaction]])</f>
        <v>3.6666666666666665</v>
      </c>
      <c r="R68" s="2">
        <f>PerfRate[[#This Row],[ManagerRating]] - PerfRate[[#This Row],[SelfRating]]</f>
        <v>0</v>
      </c>
    </row>
    <row r="69" spans="1:18">
      <c r="A69" s="2" t="s">
        <v>4376</v>
      </c>
      <c r="B69" s="2" t="s">
        <v>4002</v>
      </c>
      <c r="C69" s="1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  <c r="L69" s="2" t="s">
        <v>11029</v>
      </c>
      <c r="M69" s="2" t="s">
        <v>11029</v>
      </c>
      <c r="N69" s="2" t="s">
        <v>11036</v>
      </c>
      <c r="O69" s="2" t="s">
        <v>11037</v>
      </c>
      <c r="P69" s="2" t="s">
        <v>11037</v>
      </c>
      <c r="Q69" s="2">
        <f>AVERAGE(PerfRate[[#This Row],[EnvironmentSatisfaction]],PerfRate[[#This Row],[JobSatisfaction]],PerfRate[[#This Row],[RelationshipSatisfaction]])</f>
        <v>3.6666666666666665</v>
      </c>
      <c r="R69" s="2">
        <f>PerfRate[[#This Row],[ManagerRating]] - PerfRate[[#This Row],[SelfRating]]</f>
        <v>0</v>
      </c>
    </row>
    <row r="70" spans="1:18">
      <c r="A70" s="2" t="s">
        <v>4377</v>
      </c>
      <c r="B70" s="2" t="s">
        <v>189</v>
      </c>
      <c r="C70" s="1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  <c r="L70" s="2" t="s">
        <v>11029</v>
      </c>
      <c r="M70" s="2" t="s">
        <v>11028</v>
      </c>
      <c r="N70" s="2" t="s">
        <v>11038</v>
      </c>
      <c r="O70" s="2" t="s">
        <v>11035</v>
      </c>
      <c r="P70" s="2" t="s">
        <v>11037</v>
      </c>
      <c r="Q70" s="2">
        <f>AVERAGE(PerfRate[[#This Row],[EnvironmentSatisfaction]],PerfRate[[#This Row],[JobSatisfaction]],PerfRate[[#This Row],[RelationshipSatisfaction]])</f>
        <v>3.6666666666666665</v>
      </c>
      <c r="R70" s="2">
        <f>PerfRate[[#This Row],[ManagerRating]] - PerfRate[[#This Row],[SelfRating]]</f>
        <v>-1</v>
      </c>
    </row>
    <row r="71" spans="1:18">
      <c r="A71" s="2" t="s">
        <v>4378</v>
      </c>
      <c r="B71" s="2" t="s">
        <v>3881</v>
      </c>
      <c r="C71" s="1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  <c r="L71" s="2" t="s">
        <v>11031</v>
      </c>
      <c r="M71" s="2" t="s">
        <v>11031</v>
      </c>
      <c r="N71" s="2" t="s">
        <v>11036</v>
      </c>
      <c r="O71" s="2" t="s">
        <v>11038</v>
      </c>
      <c r="P71" s="2" t="s">
        <v>11036</v>
      </c>
      <c r="Q71" s="2">
        <f>AVERAGE(PerfRate[[#This Row],[EnvironmentSatisfaction]],PerfRate[[#This Row],[JobSatisfaction]],PerfRate[[#This Row],[RelationshipSatisfaction]])</f>
        <v>3.6666666666666665</v>
      </c>
      <c r="R71" s="2">
        <f>PerfRate[[#This Row],[ManagerRating]] - PerfRate[[#This Row],[SelfRating]]</f>
        <v>0</v>
      </c>
    </row>
    <row r="72" spans="1:18">
      <c r="A72" s="2" t="s">
        <v>4379</v>
      </c>
      <c r="B72" s="2" t="s">
        <v>4023</v>
      </c>
      <c r="C72" s="1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  <c r="L72" s="2" t="s">
        <v>11029</v>
      </c>
      <c r="M72" s="2" t="s">
        <v>11028</v>
      </c>
      <c r="N72" s="2" t="s">
        <v>11036</v>
      </c>
      <c r="O72" s="2" t="s">
        <v>11035</v>
      </c>
      <c r="P72" s="2" t="s">
        <v>11035</v>
      </c>
      <c r="Q72" s="2">
        <f>AVERAGE(PerfRate[[#This Row],[EnvironmentSatisfaction]],PerfRate[[#This Row],[JobSatisfaction]],PerfRate[[#This Row],[RelationshipSatisfaction]])</f>
        <v>2.3333333333333335</v>
      </c>
      <c r="R72" s="2">
        <f>PerfRate[[#This Row],[ManagerRating]] - PerfRate[[#This Row],[SelfRating]]</f>
        <v>-1</v>
      </c>
    </row>
    <row r="73" spans="1:18">
      <c r="A73" s="2" t="s">
        <v>4380</v>
      </c>
      <c r="B73" s="2" t="s">
        <v>562</v>
      </c>
      <c r="C73" s="1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  <c r="L73" s="2" t="s">
        <v>11029</v>
      </c>
      <c r="M73" s="2" t="s">
        <v>11028</v>
      </c>
      <c r="N73" s="2" t="s">
        <v>11038</v>
      </c>
      <c r="O73" s="2" t="s">
        <v>11038</v>
      </c>
      <c r="P73" s="2" t="s">
        <v>11038</v>
      </c>
      <c r="Q73" s="2">
        <f>AVERAGE(PerfRate[[#This Row],[EnvironmentSatisfaction]],PerfRate[[#This Row],[JobSatisfaction]],PerfRate[[#This Row],[RelationshipSatisfaction]])</f>
        <v>5</v>
      </c>
      <c r="R73" s="2">
        <f>PerfRate[[#This Row],[ManagerRating]] - PerfRate[[#This Row],[SelfRating]]</f>
        <v>-1</v>
      </c>
    </row>
    <row r="74" spans="1:18">
      <c r="A74" s="2" t="s">
        <v>4381</v>
      </c>
      <c r="B74" s="2" t="s">
        <v>883</v>
      </c>
      <c r="C74" s="1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  <c r="L74" s="2" t="s">
        <v>11031</v>
      </c>
      <c r="M74" s="2" t="s">
        <v>11030</v>
      </c>
      <c r="N74" s="2" t="s">
        <v>11038</v>
      </c>
      <c r="O74" s="2" t="s">
        <v>11037</v>
      </c>
      <c r="P74" s="2" t="s">
        <v>11037</v>
      </c>
      <c r="Q74" s="2">
        <f>AVERAGE(PerfRate[[#This Row],[EnvironmentSatisfaction]],PerfRate[[#This Row],[JobSatisfaction]],PerfRate[[#This Row],[RelationshipSatisfaction]])</f>
        <v>4.333333333333333</v>
      </c>
      <c r="R74" s="2">
        <f>PerfRate[[#This Row],[ManagerRating]] - PerfRate[[#This Row],[SelfRating]]</f>
        <v>-1</v>
      </c>
    </row>
    <row r="75" spans="1:18">
      <c r="A75" s="2" t="s">
        <v>4382</v>
      </c>
      <c r="B75" s="2" t="s">
        <v>1921</v>
      </c>
      <c r="C75" s="1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  <c r="L75" s="2" t="s">
        <v>11031</v>
      </c>
      <c r="M75" s="2" t="s">
        <v>11030</v>
      </c>
      <c r="N75" s="2" t="s">
        <v>11038</v>
      </c>
      <c r="O75" s="2" t="s">
        <v>11037</v>
      </c>
      <c r="P75" s="2" t="s">
        <v>11036</v>
      </c>
      <c r="Q75" s="2">
        <f>AVERAGE(PerfRate[[#This Row],[EnvironmentSatisfaction]],PerfRate[[#This Row],[JobSatisfaction]],PerfRate[[#This Row],[RelationshipSatisfaction]])</f>
        <v>4</v>
      </c>
      <c r="R75" s="2">
        <f>PerfRate[[#This Row],[ManagerRating]] - PerfRate[[#This Row],[SelfRating]]</f>
        <v>-1</v>
      </c>
    </row>
    <row r="76" spans="1:18">
      <c r="A76" s="2" t="s">
        <v>4383</v>
      </c>
      <c r="B76" s="2" t="s">
        <v>3154</v>
      </c>
      <c r="C76" s="1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  <c r="L76" s="2" t="s">
        <v>11031</v>
      </c>
      <c r="M76" s="2" t="s">
        <v>11030</v>
      </c>
      <c r="N76" s="2" t="s">
        <v>11038</v>
      </c>
      <c r="O76" s="2" t="s">
        <v>11036</v>
      </c>
      <c r="P76" s="2" t="s">
        <v>11036</v>
      </c>
      <c r="Q76" s="2">
        <f>AVERAGE(PerfRate[[#This Row],[EnvironmentSatisfaction]],PerfRate[[#This Row],[JobSatisfaction]],PerfRate[[#This Row],[RelationshipSatisfaction]])</f>
        <v>3.6666666666666665</v>
      </c>
      <c r="R76" s="2">
        <f>PerfRate[[#This Row],[ManagerRating]] - PerfRate[[#This Row],[SelfRating]]</f>
        <v>-1</v>
      </c>
    </row>
    <row r="77" spans="1:18">
      <c r="A77" s="2" t="s">
        <v>4384</v>
      </c>
      <c r="B77" s="2" t="s">
        <v>693</v>
      </c>
      <c r="C77" s="1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  <c r="L77" s="2" t="s">
        <v>11031</v>
      </c>
      <c r="M77" s="2" t="s">
        <v>11031</v>
      </c>
      <c r="N77" s="2" t="s">
        <v>11037</v>
      </c>
      <c r="O77" s="2" t="s">
        <v>11036</v>
      </c>
      <c r="P77" s="2" t="s">
        <v>11035</v>
      </c>
      <c r="Q77" s="2">
        <f>AVERAGE(PerfRate[[#This Row],[EnvironmentSatisfaction]],PerfRate[[#This Row],[JobSatisfaction]],PerfRate[[#This Row],[RelationshipSatisfaction]])</f>
        <v>3</v>
      </c>
      <c r="R77" s="2">
        <f>PerfRate[[#This Row],[ManagerRating]] - PerfRate[[#This Row],[SelfRating]]</f>
        <v>0</v>
      </c>
    </row>
    <row r="78" spans="1:18">
      <c r="A78" s="2" t="s">
        <v>4385</v>
      </c>
      <c r="B78" s="2" t="s">
        <v>1921</v>
      </c>
      <c r="C78" s="1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  <c r="L78" s="2" t="s">
        <v>11031</v>
      </c>
      <c r="M78" s="2" t="s">
        <v>11031</v>
      </c>
      <c r="N78" s="2" t="s">
        <v>11036</v>
      </c>
      <c r="O78" s="2" t="s">
        <v>11037</v>
      </c>
      <c r="P78" s="2" t="s">
        <v>11038</v>
      </c>
      <c r="Q78" s="2">
        <f>AVERAGE(PerfRate[[#This Row],[EnvironmentSatisfaction]],PerfRate[[#This Row],[JobSatisfaction]],PerfRate[[#This Row],[RelationshipSatisfaction]])</f>
        <v>4</v>
      </c>
      <c r="R78" s="2">
        <f>PerfRate[[#This Row],[ManagerRating]] - PerfRate[[#This Row],[SelfRating]]</f>
        <v>0</v>
      </c>
    </row>
    <row r="79" spans="1:18">
      <c r="A79" s="2" t="s">
        <v>4386</v>
      </c>
      <c r="B79" s="2" t="s">
        <v>266</v>
      </c>
      <c r="C79" s="1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  <c r="L79" s="2" t="s">
        <v>11029</v>
      </c>
      <c r="M79" s="2" t="s">
        <v>11029</v>
      </c>
      <c r="N79" s="2" t="s">
        <v>11038</v>
      </c>
      <c r="O79" s="2" t="s">
        <v>11036</v>
      </c>
      <c r="P79" s="2" t="s">
        <v>11035</v>
      </c>
      <c r="Q79" s="2">
        <f>AVERAGE(PerfRate[[#This Row],[EnvironmentSatisfaction]],PerfRate[[#This Row],[JobSatisfaction]],PerfRate[[#This Row],[RelationshipSatisfaction]])</f>
        <v>3.3333333333333335</v>
      </c>
      <c r="R79" s="2">
        <f>PerfRate[[#This Row],[ManagerRating]] - PerfRate[[#This Row],[SelfRating]]</f>
        <v>0</v>
      </c>
    </row>
    <row r="80" spans="1:18">
      <c r="A80" s="2" t="s">
        <v>4387</v>
      </c>
      <c r="B80" s="2" t="s">
        <v>1915</v>
      </c>
      <c r="C80" s="1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  <c r="L80" s="2" t="s">
        <v>11031</v>
      </c>
      <c r="M80" s="2" t="s">
        <v>11031</v>
      </c>
      <c r="N80" s="2" t="s">
        <v>11038</v>
      </c>
      <c r="O80" s="2" t="s">
        <v>11035</v>
      </c>
      <c r="P80" s="2" t="s">
        <v>11037</v>
      </c>
      <c r="Q80" s="2">
        <f>AVERAGE(PerfRate[[#This Row],[EnvironmentSatisfaction]],PerfRate[[#This Row],[JobSatisfaction]],PerfRate[[#This Row],[RelationshipSatisfaction]])</f>
        <v>3.6666666666666665</v>
      </c>
      <c r="R80" s="2">
        <f>PerfRate[[#This Row],[ManagerRating]] - PerfRate[[#This Row],[SelfRating]]</f>
        <v>0</v>
      </c>
    </row>
    <row r="81" spans="1:18">
      <c r="A81" s="2" t="s">
        <v>4388</v>
      </c>
      <c r="B81" s="2" t="s">
        <v>928</v>
      </c>
      <c r="C81" s="1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  <c r="L81" s="2" t="s">
        <v>11030</v>
      </c>
      <c r="M81" s="2" t="s">
        <v>11029</v>
      </c>
      <c r="N81" s="2" t="s">
        <v>11037</v>
      </c>
      <c r="O81" s="2" t="s">
        <v>11038</v>
      </c>
      <c r="P81" s="2" t="s">
        <v>11035</v>
      </c>
      <c r="Q81" s="2">
        <f>AVERAGE(PerfRate[[#This Row],[EnvironmentSatisfaction]],PerfRate[[#This Row],[JobSatisfaction]],PerfRate[[#This Row],[RelationshipSatisfaction]])</f>
        <v>3.6666666666666665</v>
      </c>
      <c r="R81" s="2">
        <f>PerfRate[[#This Row],[ManagerRating]] - PerfRate[[#This Row],[SelfRating]]</f>
        <v>-1</v>
      </c>
    </row>
    <row r="82" spans="1:18">
      <c r="A82" s="2" t="s">
        <v>4389</v>
      </c>
      <c r="B82" s="2" t="s">
        <v>208</v>
      </c>
      <c r="C82" s="1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  <c r="L82" s="2" t="s">
        <v>11031</v>
      </c>
      <c r="M82" s="2" t="s">
        <v>11031</v>
      </c>
      <c r="N82" s="2" t="s">
        <v>11036</v>
      </c>
      <c r="O82" s="2" t="s">
        <v>11038</v>
      </c>
      <c r="P82" s="2" t="s">
        <v>11035</v>
      </c>
      <c r="Q82" s="2">
        <f>AVERAGE(PerfRate[[#This Row],[EnvironmentSatisfaction]],PerfRate[[#This Row],[JobSatisfaction]],PerfRate[[#This Row],[RelationshipSatisfaction]])</f>
        <v>3.3333333333333335</v>
      </c>
      <c r="R82" s="2">
        <f>PerfRate[[#This Row],[ManagerRating]] - PerfRate[[#This Row],[SelfRating]]</f>
        <v>0</v>
      </c>
    </row>
    <row r="83" spans="1:18">
      <c r="A83" s="2" t="s">
        <v>4390</v>
      </c>
      <c r="B83" s="2" t="s">
        <v>2372</v>
      </c>
      <c r="C83" s="1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  <c r="L83" s="2" t="s">
        <v>11030</v>
      </c>
      <c r="M83" s="2" t="s">
        <v>11029</v>
      </c>
      <c r="N83" s="2" t="s">
        <v>11037</v>
      </c>
      <c r="O83" s="2" t="s">
        <v>11038</v>
      </c>
      <c r="P83" s="2" t="s">
        <v>11037</v>
      </c>
      <c r="Q83" s="2">
        <f>AVERAGE(PerfRate[[#This Row],[EnvironmentSatisfaction]],PerfRate[[#This Row],[JobSatisfaction]],PerfRate[[#This Row],[RelationshipSatisfaction]])</f>
        <v>4.333333333333333</v>
      </c>
      <c r="R83" s="2">
        <f>PerfRate[[#This Row],[ManagerRating]] - PerfRate[[#This Row],[SelfRating]]</f>
        <v>-1</v>
      </c>
    </row>
    <row r="84" spans="1:18">
      <c r="A84" s="2" t="s">
        <v>4391</v>
      </c>
      <c r="B84" s="2" t="s">
        <v>508</v>
      </c>
      <c r="C84" s="1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  <c r="L84" s="2" t="s">
        <v>11029</v>
      </c>
      <c r="M84" s="2" t="s">
        <v>11028</v>
      </c>
      <c r="N84" s="2" t="s">
        <v>11036</v>
      </c>
      <c r="O84" s="2" t="s">
        <v>11038</v>
      </c>
      <c r="P84" s="2" t="s">
        <v>11038</v>
      </c>
      <c r="Q84" s="2">
        <f>AVERAGE(PerfRate[[#This Row],[EnvironmentSatisfaction]],PerfRate[[#This Row],[JobSatisfaction]],PerfRate[[#This Row],[RelationshipSatisfaction]])</f>
        <v>4.333333333333333</v>
      </c>
      <c r="R84" s="2">
        <f>PerfRate[[#This Row],[ManagerRating]] - PerfRate[[#This Row],[SelfRating]]</f>
        <v>-1</v>
      </c>
    </row>
    <row r="85" spans="1:18">
      <c r="A85" s="2" t="s">
        <v>4392</v>
      </c>
      <c r="B85" s="2" t="s">
        <v>814</v>
      </c>
      <c r="C85" s="1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  <c r="L85" s="2" t="s">
        <v>11029</v>
      </c>
      <c r="M85" s="2" t="s">
        <v>11028</v>
      </c>
      <c r="N85" s="2" t="s">
        <v>11037</v>
      </c>
      <c r="O85" s="2" t="s">
        <v>11038</v>
      </c>
      <c r="P85" s="2" t="s">
        <v>11037</v>
      </c>
      <c r="Q85" s="2">
        <f>AVERAGE(PerfRate[[#This Row],[EnvironmentSatisfaction]],PerfRate[[#This Row],[JobSatisfaction]],PerfRate[[#This Row],[RelationshipSatisfaction]])</f>
        <v>4.333333333333333</v>
      </c>
      <c r="R85" s="2">
        <f>PerfRate[[#This Row],[ManagerRating]] - PerfRate[[#This Row],[SelfRating]]</f>
        <v>-1</v>
      </c>
    </row>
    <row r="86" spans="1:18">
      <c r="A86" s="2" t="s">
        <v>4393</v>
      </c>
      <c r="B86" s="2" t="s">
        <v>461</v>
      </c>
      <c r="C86" s="1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  <c r="L86" s="2" t="s">
        <v>11029</v>
      </c>
      <c r="M86" s="2" t="s">
        <v>11029</v>
      </c>
      <c r="N86" s="2" t="s">
        <v>11037</v>
      </c>
      <c r="O86" s="2" t="s">
        <v>11035</v>
      </c>
      <c r="P86" s="2" t="s">
        <v>11035</v>
      </c>
      <c r="Q86" s="2">
        <f>AVERAGE(PerfRate[[#This Row],[EnvironmentSatisfaction]],PerfRate[[#This Row],[JobSatisfaction]],PerfRate[[#This Row],[RelationshipSatisfaction]])</f>
        <v>2.6666666666666665</v>
      </c>
      <c r="R86" s="2">
        <f>PerfRate[[#This Row],[ManagerRating]] - PerfRate[[#This Row],[SelfRating]]</f>
        <v>0</v>
      </c>
    </row>
    <row r="87" spans="1:18">
      <c r="A87" s="2" t="s">
        <v>4394</v>
      </c>
      <c r="B87" s="2" t="s">
        <v>3702</v>
      </c>
      <c r="C87" s="1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  <c r="L87" s="2" t="s">
        <v>11030</v>
      </c>
      <c r="M87" s="2" t="s">
        <v>11030</v>
      </c>
      <c r="N87" s="2" t="s">
        <v>11037</v>
      </c>
      <c r="O87" s="2" t="s">
        <v>11038</v>
      </c>
      <c r="P87" s="2" t="s">
        <v>11035</v>
      </c>
      <c r="Q87" s="2">
        <f>AVERAGE(PerfRate[[#This Row],[EnvironmentSatisfaction]],PerfRate[[#This Row],[JobSatisfaction]],PerfRate[[#This Row],[RelationshipSatisfaction]])</f>
        <v>3.6666666666666665</v>
      </c>
      <c r="R87" s="2">
        <f>PerfRate[[#This Row],[ManagerRating]] - PerfRate[[#This Row],[SelfRating]]</f>
        <v>0</v>
      </c>
    </row>
    <row r="88" spans="1:18">
      <c r="A88" s="2" t="s">
        <v>4395</v>
      </c>
      <c r="B88" s="2" t="s">
        <v>446</v>
      </c>
      <c r="C88" s="1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  <c r="L88" s="2" t="s">
        <v>11029</v>
      </c>
      <c r="M88" s="2" t="s">
        <v>11028</v>
      </c>
      <c r="N88" s="2" t="s">
        <v>11037</v>
      </c>
      <c r="O88" s="2" t="s">
        <v>11037</v>
      </c>
      <c r="P88" s="2" t="s">
        <v>11035</v>
      </c>
      <c r="Q88" s="2">
        <f>AVERAGE(PerfRate[[#This Row],[EnvironmentSatisfaction]],PerfRate[[#This Row],[JobSatisfaction]],PerfRate[[#This Row],[RelationshipSatisfaction]])</f>
        <v>3.3333333333333335</v>
      </c>
      <c r="R88" s="2">
        <f>PerfRate[[#This Row],[ManagerRating]] - PerfRate[[#This Row],[SelfRating]]</f>
        <v>-1</v>
      </c>
    </row>
    <row r="89" spans="1:18">
      <c r="A89" s="2" t="s">
        <v>4396</v>
      </c>
      <c r="B89" s="2" t="s">
        <v>1915</v>
      </c>
      <c r="C89" s="1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  <c r="L89" s="2" t="s">
        <v>11029</v>
      </c>
      <c r="M89" s="2" t="s">
        <v>11029</v>
      </c>
      <c r="N89" s="2" t="s">
        <v>11038</v>
      </c>
      <c r="O89" s="2" t="s">
        <v>11037</v>
      </c>
      <c r="P89" s="2" t="s">
        <v>11038</v>
      </c>
      <c r="Q89" s="2">
        <f>AVERAGE(PerfRate[[#This Row],[EnvironmentSatisfaction]],PerfRate[[#This Row],[JobSatisfaction]],PerfRate[[#This Row],[RelationshipSatisfaction]])</f>
        <v>4.666666666666667</v>
      </c>
      <c r="R89" s="2">
        <f>PerfRate[[#This Row],[ManagerRating]] - PerfRate[[#This Row],[SelfRating]]</f>
        <v>0</v>
      </c>
    </row>
    <row r="90" spans="1:18">
      <c r="A90" s="2" t="s">
        <v>4397</v>
      </c>
      <c r="B90" s="2" t="s">
        <v>1306</v>
      </c>
      <c r="C90" s="1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  <c r="L90" s="2" t="s">
        <v>11031</v>
      </c>
      <c r="M90" s="2" t="s">
        <v>11031</v>
      </c>
      <c r="N90" s="2" t="s">
        <v>11038</v>
      </c>
      <c r="O90" s="2" t="s">
        <v>11038</v>
      </c>
      <c r="P90" s="2" t="s">
        <v>11035</v>
      </c>
      <c r="Q90" s="2">
        <f>AVERAGE(PerfRate[[#This Row],[EnvironmentSatisfaction]],PerfRate[[#This Row],[JobSatisfaction]],PerfRate[[#This Row],[RelationshipSatisfaction]])</f>
        <v>4</v>
      </c>
      <c r="R90" s="2">
        <f>PerfRate[[#This Row],[ManagerRating]] - PerfRate[[#This Row],[SelfRating]]</f>
        <v>0</v>
      </c>
    </row>
    <row r="91" spans="1:18">
      <c r="A91" s="2" t="s">
        <v>4398</v>
      </c>
      <c r="B91" s="2" t="s">
        <v>2532</v>
      </c>
      <c r="C91" s="1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  <c r="L91" s="2" t="s">
        <v>11029</v>
      </c>
      <c r="M91" s="2" t="s">
        <v>11028</v>
      </c>
      <c r="N91" s="2" t="s">
        <v>11037</v>
      </c>
      <c r="O91" s="2" t="s">
        <v>11038</v>
      </c>
      <c r="P91" s="2" t="s">
        <v>11035</v>
      </c>
      <c r="Q91" s="2">
        <f>AVERAGE(PerfRate[[#This Row],[EnvironmentSatisfaction]],PerfRate[[#This Row],[JobSatisfaction]],PerfRate[[#This Row],[RelationshipSatisfaction]])</f>
        <v>3.6666666666666665</v>
      </c>
      <c r="R91" s="2">
        <f>PerfRate[[#This Row],[ManagerRating]] - PerfRate[[#This Row],[SelfRating]]</f>
        <v>-1</v>
      </c>
    </row>
    <row r="92" spans="1:18">
      <c r="A92" s="2" t="s">
        <v>4399</v>
      </c>
      <c r="B92" s="2" t="s">
        <v>1344</v>
      </c>
      <c r="C92" s="1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  <c r="L92" s="2" t="s">
        <v>11031</v>
      </c>
      <c r="M92" s="2" t="s">
        <v>11030</v>
      </c>
      <c r="N92" s="2" t="s">
        <v>11037</v>
      </c>
      <c r="O92" s="2" t="s">
        <v>11035</v>
      </c>
      <c r="P92" s="2" t="s">
        <v>11035</v>
      </c>
      <c r="Q92" s="2">
        <f>AVERAGE(PerfRate[[#This Row],[EnvironmentSatisfaction]],PerfRate[[#This Row],[JobSatisfaction]],PerfRate[[#This Row],[RelationshipSatisfaction]])</f>
        <v>2.6666666666666665</v>
      </c>
      <c r="R92" s="2">
        <f>PerfRate[[#This Row],[ManagerRating]] - PerfRate[[#This Row],[SelfRating]]</f>
        <v>-1</v>
      </c>
    </row>
    <row r="93" spans="1:18">
      <c r="A93" s="2" t="s">
        <v>4400</v>
      </c>
      <c r="B93" s="2" t="s">
        <v>1641</v>
      </c>
      <c r="C93" s="1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  <c r="L93" s="2" t="s">
        <v>11031</v>
      </c>
      <c r="M93" s="2" t="s">
        <v>11030</v>
      </c>
      <c r="N93" s="2" t="s">
        <v>11038</v>
      </c>
      <c r="O93" s="2" t="s">
        <v>11038</v>
      </c>
      <c r="P93" s="2" t="s">
        <v>11037</v>
      </c>
      <c r="Q93" s="2">
        <f>AVERAGE(PerfRate[[#This Row],[EnvironmentSatisfaction]],PerfRate[[#This Row],[JobSatisfaction]],PerfRate[[#This Row],[RelationshipSatisfaction]])</f>
        <v>4.666666666666667</v>
      </c>
      <c r="R93" s="2">
        <f>PerfRate[[#This Row],[ManagerRating]] - PerfRate[[#This Row],[SelfRating]]</f>
        <v>-1</v>
      </c>
    </row>
    <row r="94" spans="1:18">
      <c r="A94" s="2" t="s">
        <v>4401</v>
      </c>
      <c r="B94" s="2" t="s">
        <v>2366</v>
      </c>
      <c r="C94" s="1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  <c r="L94" s="2" t="s">
        <v>11029</v>
      </c>
      <c r="M94" s="2" t="s">
        <v>11028</v>
      </c>
      <c r="N94" s="2" t="s">
        <v>11036</v>
      </c>
      <c r="O94" s="2" t="s">
        <v>11038</v>
      </c>
      <c r="P94" s="2" t="s">
        <v>11036</v>
      </c>
      <c r="Q94" s="2">
        <f>AVERAGE(PerfRate[[#This Row],[EnvironmentSatisfaction]],PerfRate[[#This Row],[JobSatisfaction]],PerfRate[[#This Row],[RelationshipSatisfaction]])</f>
        <v>3.6666666666666665</v>
      </c>
      <c r="R94" s="2">
        <f>PerfRate[[#This Row],[ManagerRating]] - PerfRate[[#This Row],[SelfRating]]</f>
        <v>-1</v>
      </c>
    </row>
    <row r="95" spans="1:18">
      <c r="A95" s="2" t="s">
        <v>4402</v>
      </c>
      <c r="B95" s="2" t="s">
        <v>214</v>
      </c>
      <c r="C95" s="1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  <c r="L95" s="2" t="s">
        <v>11031</v>
      </c>
      <c r="M95" s="2" t="s">
        <v>11030</v>
      </c>
      <c r="N95" s="2" t="s">
        <v>11037</v>
      </c>
      <c r="O95" s="2" t="s">
        <v>11035</v>
      </c>
      <c r="P95" s="2" t="s">
        <v>11035</v>
      </c>
      <c r="Q95" s="2">
        <f>AVERAGE(PerfRate[[#This Row],[EnvironmentSatisfaction]],PerfRate[[#This Row],[JobSatisfaction]],PerfRate[[#This Row],[RelationshipSatisfaction]])</f>
        <v>2.6666666666666665</v>
      </c>
      <c r="R95" s="2">
        <f>PerfRate[[#This Row],[ManagerRating]] - PerfRate[[#This Row],[SelfRating]]</f>
        <v>-1</v>
      </c>
    </row>
    <row r="96" spans="1:18">
      <c r="A96" s="2" t="s">
        <v>4403</v>
      </c>
      <c r="B96" s="2" t="s">
        <v>1868</v>
      </c>
      <c r="C96" s="1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  <c r="L96" s="2" t="s">
        <v>11030</v>
      </c>
      <c r="M96" s="2" t="s">
        <v>11029</v>
      </c>
      <c r="N96" s="2" t="s">
        <v>11038</v>
      </c>
      <c r="O96" s="2" t="s">
        <v>11036</v>
      </c>
      <c r="P96" s="2" t="s">
        <v>11036</v>
      </c>
      <c r="Q96" s="2">
        <f>AVERAGE(PerfRate[[#This Row],[EnvironmentSatisfaction]],PerfRate[[#This Row],[JobSatisfaction]],PerfRate[[#This Row],[RelationshipSatisfaction]])</f>
        <v>3.6666666666666665</v>
      </c>
      <c r="R96" s="2">
        <f>PerfRate[[#This Row],[ManagerRating]] - PerfRate[[#This Row],[SelfRating]]</f>
        <v>-1</v>
      </c>
    </row>
    <row r="97" spans="1:18">
      <c r="A97" s="2" t="s">
        <v>4404</v>
      </c>
      <c r="B97" s="2" t="s">
        <v>1012</v>
      </c>
      <c r="C97" s="1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  <c r="L97" s="2" t="s">
        <v>11031</v>
      </c>
      <c r="M97" s="2" t="s">
        <v>11030</v>
      </c>
      <c r="N97" s="2" t="s">
        <v>11038</v>
      </c>
      <c r="O97" s="2" t="s">
        <v>11038</v>
      </c>
      <c r="P97" s="2" t="s">
        <v>11035</v>
      </c>
      <c r="Q97" s="2">
        <f>AVERAGE(PerfRate[[#This Row],[EnvironmentSatisfaction]],PerfRate[[#This Row],[JobSatisfaction]],PerfRate[[#This Row],[RelationshipSatisfaction]])</f>
        <v>4</v>
      </c>
      <c r="R97" s="2">
        <f>PerfRate[[#This Row],[ManagerRating]] - PerfRate[[#This Row],[SelfRating]]</f>
        <v>-1</v>
      </c>
    </row>
    <row r="98" spans="1:18">
      <c r="A98" s="2" t="s">
        <v>4405</v>
      </c>
      <c r="B98" s="2" t="s">
        <v>2620</v>
      </c>
      <c r="C98" s="1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  <c r="L98" s="2" t="s">
        <v>11029</v>
      </c>
      <c r="M98" s="2" t="s">
        <v>11029</v>
      </c>
      <c r="N98" s="2" t="s">
        <v>11036</v>
      </c>
      <c r="O98" s="2" t="s">
        <v>11035</v>
      </c>
      <c r="P98" s="2" t="s">
        <v>11037</v>
      </c>
      <c r="Q98" s="2">
        <f>AVERAGE(PerfRate[[#This Row],[EnvironmentSatisfaction]],PerfRate[[#This Row],[JobSatisfaction]],PerfRate[[#This Row],[RelationshipSatisfaction]])</f>
        <v>3</v>
      </c>
      <c r="R98" s="2">
        <f>PerfRate[[#This Row],[ManagerRating]] - PerfRate[[#This Row],[SelfRating]]</f>
        <v>0</v>
      </c>
    </row>
    <row r="99" spans="1:18">
      <c r="A99" s="2" t="s">
        <v>4406</v>
      </c>
      <c r="B99" s="2" t="s">
        <v>4118</v>
      </c>
      <c r="C99" s="1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  <c r="L99" s="2" t="s">
        <v>11031</v>
      </c>
      <c r="M99" s="2" t="s">
        <v>11030</v>
      </c>
      <c r="N99" s="2" t="s">
        <v>11036</v>
      </c>
      <c r="O99" s="2" t="s">
        <v>11035</v>
      </c>
      <c r="P99" s="2" t="s">
        <v>11036</v>
      </c>
      <c r="Q99" s="2">
        <f>AVERAGE(PerfRate[[#This Row],[EnvironmentSatisfaction]],PerfRate[[#This Row],[JobSatisfaction]],PerfRate[[#This Row],[RelationshipSatisfaction]])</f>
        <v>2.6666666666666665</v>
      </c>
      <c r="R99" s="2">
        <f>PerfRate[[#This Row],[ManagerRating]] - PerfRate[[#This Row],[SelfRating]]</f>
        <v>-1</v>
      </c>
    </row>
    <row r="100" spans="1:18">
      <c r="A100" s="2" t="s">
        <v>4407</v>
      </c>
      <c r="B100" s="2" t="s">
        <v>2372</v>
      </c>
      <c r="C100" s="1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  <c r="L100" s="2" t="s">
        <v>11031</v>
      </c>
      <c r="M100" s="2" t="s">
        <v>11031</v>
      </c>
      <c r="N100" s="2" t="s">
        <v>11038</v>
      </c>
      <c r="O100" s="2" t="s">
        <v>11035</v>
      </c>
      <c r="P100" s="2" t="s">
        <v>11038</v>
      </c>
      <c r="Q100" s="2">
        <f>AVERAGE(PerfRate[[#This Row],[EnvironmentSatisfaction]],PerfRate[[#This Row],[JobSatisfaction]],PerfRate[[#This Row],[RelationshipSatisfaction]])</f>
        <v>4</v>
      </c>
      <c r="R100" s="2">
        <f>PerfRate[[#This Row],[ManagerRating]] - PerfRate[[#This Row],[SelfRating]]</f>
        <v>0</v>
      </c>
    </row>
    <row r="101" spans="1:18">
      <c r="A101" s="2" t="s">
        <v>4408</v>
      </c>
      <c r="B101" s="2" t="s">
        <v>817</v>
      </c>
      <c r="C101" s="1">
        <v>42374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  <c r="L101" s="2" t="s">
        <v>11029</v>
      </c>
      <c r="M101" s="2" t="s">
        <v>11028</v>
      </c>
      <c r="N101" s="2" t="s">
        <v>11038</v>
      </c>
      <c r="O101" s="2" t="s">
        <v>11035</v>
      </c>
      <c r="P101" s="2" t="s">
        <v>11038</v>
      </c>
      <c r="Q101" s="2">
        <f>AVERAGE(PerfRate[[#This Row],[EnvironmentSatisfaction]],PerfRate[[#This Row],[JobSatisfaction]],PerfRate[[#This Row],[RelationshipSatisfaction]])</f>
        <v>4</v>
      </c>
      <c r="R101" s="2">
        <f>PerfRate[[#This Row],[ManagerRating]] - PerfRate[[#This Row],[SelfRating]]</f>
        <v>-1</v>
      </c>
    </row>
    <row r="102" spans="1:18">
      <c r="A102" s="2" t="s">
        <v>4409</v>
      </c>
      <c r="B102" s="2" t="s">
        <v>2653</v>
      </c>
      <c r="C102" s="1">
        <v>42374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  <c r="L102" s="2" t="s">
        <v>11031</v>
      </c>
      <c r="M102" s="2" t="s">
        <v>11030</v>
      </c>
      <c r="N102" s="2" t="s">
        <v>11036</v>
      </c>
      <c r="O102" s="2" t="s">
        <v>11038</v>
      </c>
      <c r="P102" s="2" t="s">
        <v>11037</v>
      </c>
      <c r="Q102" s="2">
        <f>AVERAGE(PerfRate[[#This Row],[EnvironmentSatisfaction]],PerfRate[[#This Row],[JobSatisfaction]],PerfRate[[#This Row],[RelationshipSatisfaction]])</f>
        <v>4</v>
      </c>
      <c r="R102" s="2">
        <f>PerfRate[[#This Row],[ManagerRating]] - PerfRate[[#This Row],[SelfRating]]</f>
        <v>-1</v>
      </c>
    </row>
    <row r="103" spans="1:18">
      <c r="A103" s="2" t="s">
        <v>4410</v>
      </c>
      <c r="B103" s="2" t="s">
        <v>1347</v>
      </c>
      <c r="C103" s="1">
        <v>42374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  <c r="L103" s="2" t="s">
        <v>11030</v>
      </c>
      <c r="M103" s="2" t="s">
        <v>11030</v>
      </c>
      <c r="N103" s="2" t="s">
        <v>11038</v>
      </c>
      <c r="O103" s="2" t="s">
        <v>11038</v>
      </c>
      <c r="P103" s="2" t="s">
        <v>11036</v>
      </c>
      <c r="Q103" s="2">
        <f>AVERAGE(PerfRate[[#This Row],[EnvironmentSatisfaction]],PerfRate[[#This Row],[JobSatisfaction]],PerfRate[[#This Row],[RelationshipSatisfaction]])</f>
        <v>4.333333333333333</v>
      </c>
      <c r="R103" s="2">
        <f>PerfRate[[#This Row],[ManagerRating]] - PerfRate[[#This Row],[SelfRating]]</f>
        <v>0</v>
      </c>
    </row>
    <row r="104" spans="1:18">
      <c r="A104" s="2" t="s">
        <v>4411</v>
      </c>
      <c r="B104" s="2" t="s">
        <v>1312</v>
      </c>
      <c r="C104" s="1">
        <v>42405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  <c r="L104" s="2" t="s">
        <v>11031</v>
      </c>
      <c r="M104" s="2" t="s">
        <v>11030</v>
      </c>
      <c r="N104" s="2" t="s">
        <v>11037</v>
      </c>
      <c r="O104" s="2" t="s">
        <v>11037</v>
      </c>
      <c r="P104" s="2" t="s">
        <v>11037</v>
      </c>
      <c r="Q104" s="2">
        <f>AVERAGE(PerfRate[[#This Row],[EnvironmentSatisfaction]],PerfRate[[#This Row],[JobSatisfaction]],PerfRate[[#This Row],[RelationshipSatisfaction]])</f>
        <v>4</v>
      </c>
      <c r="R104" s="2">
        <f>PerfRate[[#This Row],[ManagerRating]] - PerfRate[[#This Row],[SelfRating]]</f>
        <v>-1</v>
      </c>
    </row>
    <row r="105" spans="1:18">
      <c r="A105" s="2" t="s">
        <v>4412</v>
      </c>
      <c r="B105" s="2" t="s">
        <v>559</v>
      </c>
      <c r="C105" s="1">
        <v>42405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  <c r="L105" s="2" t="s">
        <v>11029</v>
      </c>
      <c r="M105" s="2" t="s">
        <v>11028</v>
      </c>
      <c r="N105" s="2" t="s">
        <v>11038</v>
      </c>
      <c r="O105" s="2" t="s">
        <v>11038</v>
      </c>
      <c r="P105" s="2" t="s">
        <v>11037</v>
      </c>
      <c r="Q105" s="2">
        <f>AVERAGE(PerfRate[[#This Row],[EnvironmentSatisfaction]],PerfRate[[#This Row],[JobSatisfaction]],PerfRate[[#This Row],[RelationshipSatisfaction]])</f>
        <v>4.666666666666667</v>
      </c>
      <c r="R105" s="2">
        <f>PerfRate[[#This Row],[ManagerRating]] - PerfRate[[#This Row],[SelfRating]]</f>
        <v>-1</v>
      </c>
    </row>
    <row r="106" spans="1:18">
      <c r="A106" s="2" t="s">
        <v>4413</v>
      </c>
      <c r="B106" s="2" t="s">
        <v>1906</v>
      </c>
      <c r="C106" s="1">
        <v>42434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  <c r="L106" s="2" t="s">
        <v>11029</v>
      </c>
      <c r="M106" s="2" t="s">
        <v>11028</v>
      </c>
      <c r="N106" s="2" t="s">
        <v>11038</v>
      </c>
      <c r="O106" s="2" t="s">
        <v>11035</v>
      </c>
      <c r="P106" s="2" t="s">
        <v>11036</v>
      </c>
      <c r="Q106" s="2">
        <f>AVERAGE(PerfRate[[#This Row],[EnvironmentSatisfaction]],PerfRate[[#This Row],[JobSatisfaction]],PerfRate[[#This Row],[RelationshipSatisfaction]])</f>
        <v>3.3333333333333335</v>
      </c>
      <c r="R106" s="2">
        <f>PerfRate[[#This Row],[ManagerRating]] - PerfRate[[#This Row],[SelfRating]]</f>
        <v>-1</v>
      </c>
    </row>
    <row r="107" spans="1:18">
      <c r="A107" s="2" t="s">
        <v>4414</v>
      </c>
      <c r="B107" s="2" t="s">
        <v>652</v>
      </c>
      <c r="C107" s="1">
        <v>42434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  <c r="L107" s="2" t="s">
        <v>11029</v>
      </c>
      <c r="M107" s="2" t="s">
        <v>11029</v>
      </c>
      <c r="N107" s="2" t="s">
        <v>11037</v>
      </c>
      <c r="O107" s="2" t="s">
        <v>11036</v>
      </c>
      <c r="P107" s="2" t="s">
        <v>11038</v>
      </c>
      <c r="Q107" s="2">
        <f>AVERAGE(PerfRate[[#This Row],[EnvironmentSatisfaction]],PerfRate[[#This Row],[JobSatisfaction]],PerfRate[[#This Row],[RelationshipSatisfaction]])</f>
        <v>4</v>
      </c>
      <c r="R107" s="2">
        <f>PerfRate[[#This Row],[ManagerRating]] - PerfRate[[#This Row],[SelfRating]]</f>
        <v>0</v>
      </c>
    </row>
    <row r="108" spans="1:18">
      <c r="A108" s="2" t="s">
        <v>4415</v>
      </c>
      <c r="B108" s="2" t="s">
        <v>1721</v>
      </c>
      <c r="C108" s="1">
        <v>42465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  <c r="L108" s="2" t="s">
        <v>11029</v>
      </c>
      <c r="M108" s="2" t="s">
        <v>11029</v>
      </c>
      <c r="N108" s="2" t="s">
        <v>11036</v>
      </c>
      <c r="O108" s="2" t="s">
        <v>11035</v>
      </c>
      <c r="P108" s="2" t="s">
        <v>11036</v>
      </c>
      <c r="Q108" s="2">
        <f>AVERAGE(PerfRate[[#This Row],[EnvironmentSatisfaction]],PerfRate[[#This Row],[JobSatisfaction]],PerfRate[[#This Row],[RelationshipSatisfaction]])</f>
        <v>2.6666666666666665</v>
      </c>
      <c r="R108" s="2">
        <f>PerfRate[[#This Row],[ManagerRating]] - PerfRate[[#This Row],[SelfRating]]</f>
        <v>0</v>
      </c>
    </row>
    <row r="109" spans="1:18">
      <c r="A109" s="2" t="s">
        <v>4416</v>
      </c>
      <c r="B109" s="2" t="s">
        <v>1895</v>
      </c>
      <c r="C109" s="1">
        <v>42465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  <c r="L109" s="2" t="s">
        <v>11030</v>
      </c>
      <c r="M109" s="2" t="s">
        <v>11029</v>
      </c>
      <c r="N109" s="2" t="s">
        <v>11037</v>
      </c>
      <c r="O109" s="2" t="s">
        <v>11038</v>
      </c>
      <c r="P109" s="2" t="s">
        <v>11035</v>
      </c>
      <c r="Q109" s="2">
        <f>AVERAGE(PerfRate[[#This Row],[EnvironmentSatisfaction]],PerfRate[[#This Row],[JobSatisfaction]],PerfRate[[#This Row],[RelationshipSatisfaction]])</f>
        <v>3.6666666666666665</v>
      </c>
      <c r="R109" s="2">
        <f>PerfRate[[#This Row],[ManagerRating]] - PerfRate[[#This Row],[SelfRating]]</f>
        <v>-1</v>
      </c>
    </row>
    <row r="110" spans="1:18">
      <c r="A110" s="2" t="s">
        <v>4417</v>
      </c>
      <c r="B110" s="2" t="s">
        <v>449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  <c r="L110" s="2" t="s">
        <v>11030</v>
      </c>
      <c r="M110" s="2" t="s">
        <v>11029</v>
      </c>
      <c r="N110" s="2" t="s">
        <v>11037</v>
      </c>
      <c r="O110" s="2" t="s">
        <v>11038</v>
      </c>
      <c r="P110" s="2" t="s">
        <v>11035</v>
      </c>
      <c r="Q110" s="2">
        <f>AVERAGE(PerfRate[[#This Row],[EnvironmentSatisfaction]],PerfRate[[#This Row],[JobSatisfaction]],PerfRate[[#This Row],[RelationshipSatisfaction]])</f>
        <v>3.6666666666666665</v>
      </c>
      <c r="R110" s="2">
        <f>PerfRate[[#This Row],[ManagerRating]] - PerfRate[[#This Row],[SelfRating]]</f>
        <v>-1</v>
      </c>
    </row>
    <row r="111" spans="1:18">
      <c r="A111" s="2" t="s">
        <v>4418</v>
      </c>
      <c r="B111" s="2" t="s">
        <v>508</v>
      </c>
      <c r="C111" s="1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  <c r="L111" s="2" t="s">
        <v>11030</v>
      </c>
      <c r="M111" s="2" t="s">
        <v>11030</v>
      </c>
      <c r="N111" s="2" t="s">
        <v>11036</v>
      </c>
      <c r="O111" s="2" t="s">
        <v>11037</v>
      </c>
      <c r="P111" s="2" t="s">
        <v>11037</v>
      </c>
      <c r="Q111" s="2">
        <f>AVERAGE(PerfRate[[#This Row],[EnvironmentSatisfaction]],PerfRate[[#This Row],[JobSatisfaction]],PerfRate[[#This Row],[RelationshipSatisfaction]])</f>
        <v>3.6666666666666665</v>
      </c>
      <c r="R111" s="2">
        <f>PerfRate[[#This Row],[ManagerRating]] - PerfRate[[#This Row],[SelfRating]]</f>
        <v>0</v>
      </c>
    </row>
    <row r="112" spans="1:18">
      <c r="A112" s="2" t="s">
        <v>4419</v>
      </c>
      <c r="B112" s="2" t="s">
        <v>3657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  <c r="L112" s="2" t="s">
        <v>11029</v>
      </c>
      <c r="M112" s="2" t="s">
        <v>11028</v>
      </c>
      <c r="N112" s="2" t="s">
        <v>11034</v>
      </c>
      <c r="O112" s="2" t="s">
        <v>11037</v>
      </c>
      <c r="P112" s="2" t="s">
        <v>11036</v>
      </c>
      <c r="Q112" s="2">
        <f>AVERAGE(PerfRate[[#This Row],[EnvironmentSatisfaction]],PerfRate[[#This Row],[JobSatisfaction]],PerfRate[[#This Row],[RelationshipSatisfaction]])</f>
        <v>2.6666666666666665</v>
      </c>
      <c r="R112" s="2">
        <f>PerfRate[[#This Row],[ManagerRating]] - PerfRate[[#This Row],[SelfRating]]</f>
        <v>-1</v>
      </c>
    </row>
    <row r="113" spans="1:18">
      <c r="A113" s="2" t="s">
        <v>4420</v>
      </c>
      <c r="B113" s="2" t="s">
        <v>223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  <c r="L113" s="2" t="s">
        <v>11031</v>
      </c>
      <c r="M113" s="2" t="s">
        <v>11031</v>
      </c>
      <c r="N113" s="2" t="s">
        <v>11036</v>
      </c>
      <c r="O113" s="2" t="s">
        <v>11037</v>
      </c>
      <c r="P113" s="2" t="s">
        <v>11037</v>
      </c>
      <c r="Q113" s="2">
        <f>AVERAGE(PerfRate[[#This Row],[EnvironmentSatisfaction]],PerfRate[[#This Row],[JobSatisfaction]],PerfRate[[#This Row],[RelationshipSatisfaction]])</f>
        <v>3.6666666666666665</v>
      </c>
      <c r="R113" s="2">
        <f>PerfRate[[#This Row],[ManagerRating]] - PerfRate[[#This Row],[SelfRating]]</f>
        <v>0</v>
      </c>
    </row>
    <row r="114" spans="1:18">
      <c r="A114" s="2" t="s">
        <v>4421</v>
      </c>
      <c r="B114" s="2" t="s">
        <v>2117</v>
      </c>
      <c r="C114" s="1">
        <v>42526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  <c r="L114" s="2" t="s">
        <v>11029</v>
      </c>
      <c r="M114" s="2" t="s">
        <v>11029</v>
      </c>
      <c r="N114" s="2" t="s">
        <v>11035</v>
      </c>
      <c r="O114" s="2" t="s">
        <v>11034</v>
      </c>
      <c r="P114" s="2" t="s">
        <v>11034</v>
      </c>
      <c r="Q114" s="2">
        <f>AVERAGE(PerfRate[[#This Row],[EnvironmentSatisfaction]],PerfRate[[#This Row],[JobSatisfaction]],PerfRate[[#This Row],[RelationshipSatisfaction]])</f>
        <v>1.3333333333333333</v>
      </c>
      <c r="R114" s="2">
        <f>PerfRate[[#This Row],[ManagerRating]] - PerfRate[[#This Row],[SelfRating]]</f>
        <v>0</v>
      </c>
    </row>
    <row r="115" spans="1:18">
      <c r="A115" s="2" t="s">
        <v>4422</v>
      </c>
      <c r="B115" s="2" t="s">
        <v>3091</v>
      </c>
      <c r="C115" s="1">
        <v>42526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  <c r="L115" s="2" t="s">
        <v>11029</v>
      </c>
      <c r="M115" s="2" t="s">
        <v>11028</v>
      </c>
      <c r="N115" s="2" t="s">
        <v>11034</v>
      </c>
      <c r="O115" s="2" t="s">
        <v>11037</v>
      </c>
      <c r="P115" s="2" t="s">
        <v>11035</v>
      </c>
      <c r="Q115" s="2">
        <f>AVERAGE(PerfRate[[#This Row],[EnvironmentSatisfaction]],PerfRate[[#This Row],[JobSatisfaction]],PerfRate[[#This Row],[RelationshipSatisfaction]])</f>
        <v>2.3333333333333335</v>
      </c>
      <c r="R115" s="2">
        <f>PerfRate[[#This Row],[ManagerRating]] - PerfRate[[#This Row],[SelfRating]]</f>
        <v>-1</v>
      </c>
    </row>
    <row r="116" spans="1:18">
      <c r="A116" s="2" t="s">
        <v>4423</v>
      </c>
      <c r="B116" s="2" t="s">
        <v>925</v>
      </c>
      <c r="C116" s="1">
        <v>42526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  <c r="L116" s="2" t="s">
        <v>11029</v>
      </c>
      <c r="M116" s="2" t="s">
        <v>11029</v>
      </c>
      <c r="N116" s="2" t="s">
        <v>11037</v>
      </c>
      <c r="O116" s="2" t="s">
        <v>11035</v>
      </c>
      <c r="P116" s="2" t="s">
        <v>11035</v>
      </c>
      <c r="Q116" s="2">
        <f>AVERAGE(PerfRate[[#This Row],[EnvironmentSatisfaction]],PerfRate[[#This Row],[JobSatisfaction]],PerfRate[[#This Row],[RelationshipSatisfaction]])</f>
        <v>2.6666666666666665</v>
      </c>
      <c r="R116" s="2">
        <f>PerfRate[[#This Row],[ManagerRating]] - PerfRate[[#This Row],[SelfRating]]</f>
        <v>0</v>
      </c>
    </row>
    <row r="117" spans="1:18">
      <c r="A117" s="2" t="s">
        <v>4424</v>
      </c>
      <c r="B117" s="2" t="s">
        <v>1321</v>
      </c>
      <c r="C117" s="1">
        <v>42526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  <c r="L117" s="2" t="s">
        <v>11030</v>
      </c>
      <c r="M117" s="2" t="s">
        <v>11030</v>
      </c>
      <c r="N117" s="2" t="s">
        <v>11037</v>
      </c>
      <c r="O117" s="2" t="s">
        <v>11035</v>
      </c>
      <c r="P117" s="2" t="s">
        <v>11037</v>
      </c>
      <c r="Q117" s="2">
        <f>AVERAGE(PerfRate[[#This Row],[EnvironmentSatisfaction]],PerfRate[[#This Row],[JobSatisfaction]],PerfRate[[#This Row],[RelationshipSatisfaction]])</f>
        <v>3.3333333333333335</v>
      </c>
      <c r="R117" s="2">
        <f>PerfRate[[#This Row],[ManagerRating]] - PerfRate[[#This Row],[SelfRating]]</f>
        <v>0</v>
      </c>
    </row>
    <row r="118" spans="1:18">
      <c r="A118" s="2" t="s">
        <v>4425</v>
      </c>
      <c r="B118" s="2" t="s">
        <v>3945</v>
      </c>
      <c r="C118" s="1">
        <v>42556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  <c r="L118" s="2" t="s">
        <v>11031</v>
      </c>
      <c r="M118" s="2" t="s">
        <v>11031</v>
      </c>
      <c r="N118" s="2" t="s">
        <v>11034</v>
      </c>
      <c r="O118" s="2" t="s">
        <v>11037</v>
      </c>
      <c r="P118" s="2" t="s">
        <v>11035</v>
      </c>
      <c r="Q118" s="2">
        <f>AVERAGE(PerfRate[[#This Row],[EnvironmentSatisfaction]],PerfRate[[#This Row],[JobSatisfaction]],PerfRate[[#This Row],[RelationshipSatisfaction]])</f>
        <v>2.3333333333333335</v>
      </c>
      <c r="R118" s="2">
        <f>PerfRate[[#This Row],[ManagerRating]] - PerfRate[[#This Row],[SelfRating]]</f>
        <v>0</v>
      </c>
    </row>
    <row r="119" spans="1:18">
      <c r="A119" s="2" t="s">
        <v>4426</v>
      </c>
      <c r="B119" s="2" t="s">
        <v>1962</v>
      </c>
      <c r="C119" s="1">
        <v>42587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  <c r="L119" s="2" t="s">
        <v>11031</v>
      </c>
      <c r="M119" s="2" t="s">
        <v>11031</v>
      </c>
      <c r="N119" s="2" t="s">
        <v>11036</v>
      </c>
      <c r="O119" s="2" t="s">
        <v>11037</v>
      </c>
      <c r="P119" s="2" t="s">
        <v>11037</v>
      </c>
      <c r="Q119" s="2">
        <f>AVERAGE(PerfRate[[#This Row],[EnvironmentSatisfaction]],PerfRate[[#This Row],[JobSatisfaction]],PerfRate[[#This Row],[RelationshipSatisfaction]])</f>
        <v>3.6666666666666665</v>
      </c>
      <c r="R119" s="2">
        <f>PerfRate[[#This Row],[ManagerRating]] - PerfRate[[#This Row],[SelfRating]]</f>
        <v>0</v>
      </c>
    </row>
    <row r="120" spans="1:18">
      <c r="A120" s="2" t="s">
        <v>4427</v>
      </c>
      <c r="B120" s="2" t="s">
        <v>499</v>
      </c>
      <c r="C120" s="1">
        <v>42587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  <c r="L120" s="2" t="s">
        <v>11030</v>
      </c>
      <c r="M120" s="2" t="s">
        <v>11030</v>
      </c>
      <c r="N120" s="2" t="s">
        <v>11034</v>
      </c>
      <c r="O120" s="2" t="s">
        <v>11034</v>
      </c>
      <c r="P120" s="2" t="s">
        <v>11034</v>
      </c>
      <c r="Q120" s="2">
        <f>AVERAGE(PerfRate[[#This Row],[EnvironmentSatisfaction]],PerfRate[[#This Row],[JobSatisfaction]],PerfRate[[#This Row],[RelationshipSatisfaction]])</f>
        <v>1</v>
      </c>
      <c r="R120" s="2">
        <f>PerfRate[[#This Row],[ManagerRating]] - PerfRate[[#This Row],[SelfRating]]</f>
        <v>0</v>
      </c>
    </row>
    <row r="121" spans="1:18">
      <c r="A121" s="2" t="s">
        <v>4428</v>
      </c>
      <c r="B121" s="2" t="s">
        <v>2363</v>
      </c>
      <c r="C121" s="1">
        <v>42618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  <c r="L121" s="2" t="s">
        <v>11030</v>
      </c>
      <c r="M121" s="2" t="s">
        <v>11030</v>
      </c>
      <c r="N121" s="2" t="s">
        <v>11035</v>
      </c>
      <c r="O121" s="2" t="s">
        <v>11037</v>
      </c>
      <c r="P121" s="2" t="s">
        <v>11034</v>
      </c>
      <c r="Q121" s="2">
        <f>AVERAGE(PerfRate[[#This Row],[EnvironmentSatisfaction]],PerfRate[[#This Row],[JobSatisfaction]],PerfRate[[#This Row],[RelationshipSatisfaction]])</f>
        <v>2.3333333333333335</v>
      </c>
      <c r="R121" s="2">
        <f>PerfRate[[#This Row],[ManagerRating]] - PerfRate[[#This Row],[SelfRating]]</f>
        <v>0</v>
      </c>
    </row>
    <row r="122" spans="1:18">
      <c r="A122" s="2" t="s">
        <v>4429</v>
      </c>
      <c r="B122" s="2" t="s">
        <v>595</v>
      </c>
      <c r="C122" s="1">
        <v>41579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  <c r="L122" s="2" t="s">
        <v>11031</v>
      </c>
      <c r="M122" s="2" t="s">
        <v>11031</v>
      </c>
      <c r="N122" s="2" t="s">
        <v>11038</v>
      </c>
      <c r="O122" s="2" t="s">
        <v>11038</v>
      </c>
      <c r="P122" s="2" t="s">
        <v>11035</v>
      </c>
      <c r="Q122" s="2">
        <f>AVERAGE(PerfRate[[#This Row],[EnvironmentSatisfaction]],PerfRate[[#This Row],[JobSatisfaction]],PerfRate[[#This Row],[RelationshipSatisfaction]])</f>
        <v>4</v>
      </c>
      <c r="R122" s="2">
        <f>PerfRate[[#This Row],[ManagerRating]] - PerfRate[[#This Row],[SelfRating]]</f>
        <v>0</v>
      </c>
    </row>
    <row r="123" spans="1:18">
      <c r="A123" s="2" t="s">
        <v>4430</v>
      </c>
      <c r="B123" s="2" t="s">
        <v>2160</v>
      </c>
      <c r="C123" s="1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  <c r="L123" s="2" t="s">
        <v>11030</v>
      </c>
      <c r="M123" s="2" t="s">
        <v>11030</v>
      </c>
      <c r="N123" s="2" t="s">
        <v>11037</v>
      </c>
      <c r="O123" s="2" t="s">
        <v>11036</v>
      </c>
      <c r="P123" s="2" t="s">
        <v>11037</v>
      </c>
      <c r="Q123" s="2">
        <f>AVERAGE(PerfRate[[#This Row],[EnvironmentSatisfaction]],PerfRate[[#This Row],[JobSatisfaction]],PerfRate[[#This Row],[RelationshipSatisfaction]])</f>
        <v>3.6666666666666665</v>
      </c>
      <c r="R123" s="2">
        <f>PerfRate[[#This Row],[ManagerRating]] - PerfRate[[#This Row],[SelfRating]]</f>
        <v>0</v>
      </c>
    </row>
    <row r="124" spans="1:18">
      <c r="A124" s="2" t="s">
        <v>4431</v>
      </c>
      <c r="B124" s="2" t="s">
        <v>2656</v>
      </c>
      <c r="C124" s="1">
        <v>42618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  <c r="L124" s="2" t="s">
        <v>11030</v>
      </c>
      <c r="M124" s="2" t="s">
        <v>11029</v>
      </c>
      <c r="N124" s="2" t="s">
        <v>11036</v>
      </c>
      <c r="O124" s="2" t="s">
        <v>11037</v>
      </c>
      <c r="P124" s="2" t="s">
        <v>11036</v>
      </c>
      <c r="Q124" s="2">
        <f>AVERAGE(PerfRate[[#This Row],[EnvironmentSatisfaction]],PerfRate[[#This Row],[JobSatisfaction]],PerfRate[[#This Row],[RelationshipSatisfaction]])</f>
        <v>3.3333333333333335</v>
      </c>
      <c r="R124" s="2">
        <f>PerfRate[[#This Row],[ManagerRating]] - PerfRate[[#This Row],[SelfRating]]</f>
        <v>-1</v>
      </c>
    </row>
    <row r="125" spans="1:18">
      <c r="A125" s="2" t="s">
        <v>4432</v>
      </c>
      <c r="B125" s="2" t="s">
        <v>3149</v>
      </c>
      <c r="C125" s="1">
        <v>42648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  <c r="L125" s="2" t="s">
        <v>11031</v>
      </c>
      <c r="M125" s="2" t="s">
        <v>11030</v>
      </c>
      <c r="N125" s="2" t="s">
        <v>11036</v>
      </c>
      <c r="O125" s="2" t="s">
        <v>11035</v>
      </c>
      <c r="P125" s="2" t="s">
        <v>11035</v>
      </c>
      <c r="Q125" s="2">
        <f>AVERAGE(PerfRate[[#This Row],[EnvironmentSatisfaction]],PerfRate[[#This Row],[JobSatisfaction]],PerfRate[[#This Row],[RelationshipSatisfaction]])</f>
        <v>2.3333333333333335</v>
      </c>
      <c r="R125" s="2">
        <f>PerfRate[[#This Row],[ManagerRating]] - PerfRate[[#This Row],[SelfRating]]</f>
        <v>-1</v>
      </c>
    </row>
    <row r="126" spans="1:18">
      <c r="A126" s="2" t="s">
        <v>4433</v>
      </c>
      <c r="B126" s="2" t="s">
        <v>973</v>
      </c>
      <c r="C126" s="1">
        <v>42648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  <c r="L126" s="2" t="s">
        <v>11031</v>
      </c>
      <c r="M126" s="2" t="s">
        <v>11030</v>
      </c>
      <c r="N126" s="2" t="s">
        <v>11036</v>
      </c>
      <c r="O126" s="2" t="s">
        <v>11036</v>
      </c>
      <c r="P126" s="2" t="s">
        <v>11035</v>
      </c>
      <c r="Q126" s="2">
        <f>AVERAGE(PerfRate[[#This Row],[EnvironmentSatisfaction]],PerfRate[[#This Row],[JobSatisfaction]],PerfRate[[#This Row],[RelationshipSatisfaction]])</f>
        <v>2.6666666666666665</v>
      </c>
      <c r="R126" s="2">
        <f>PerfRate[[#This Row],[ManagerRating]] - PerfRate[[#This Row],[SelfRating]]</f>
        <v>-1</v>
      </c>
    </row>
    <row r="127" spans="1:18">
      <c r="A127" s="2" t="s">
        <v>4434</v>
      </c>
      <c r="B127" s="2" t="s">
        <v>2343</v>
      </c>
      <c r="C127" s="1">
        <v>42679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  <c r="L127" s="2" t="s">
        <v>11029</v>
      </c>
      <c r="M127" s="2" t="s">
        <v>11028</v>
      </c>
      <c r="N127" s="2" t="s">
        <v>11036</v>
      </c>
      <c r="O127" s="2" t="s">
        <v>11037</v>
      </c>
      <c r="P127" s="2" t="s">
        <v>11035</v>
      </c>
      <c r="Q127" s="2">
        <f>AVERAGE(PerfRate[[#This Row],[EnvironmentSatisfaction]],PerfRate[[#This Row],[JobSatisfaction]],PerfRate[[#This Row],[RelationshipSatisfaction]])</f>
        <v>3</v>
      </c>
      <c r="R127" s="2">
        <f>PerfRate[[#This Row],[ManagerRating]] - PerfRate[[#This Row],[SelfRating]]</f>
        <v>-1</v>
      </c>
    </row>
    <row r="128" spans="1:18">
      <c r="A128" s="2" t="s">
        <v>4435</v>
      </c>
      <c r="B128" s="2" t="s">
        <v>305</v>
      </c>
      <c r="C128" s="1">
        <v>42709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  <c r="L128" s="2" t="s">
        <v>11029</v>
      </c>
      <c r="M128" s="2" t="s">
        <v>11029</v>
      </c>
      <c r="N128" s="2" t="s">
        <v>11036</v>
      </c>
      <c r="O128" s="2" t="s">
        <v>11035</v>
      </c>
      <c r="P128" s="2" t="s">
        <v>11037</v>
      </c>
      <c r="Q128" s="2">
        <f>AVERAGE(PerfRate[[#This Row],[EnvironmentSatisfaction]],PerfRate[[#This Row],[JobSatisfaction]],PerfRate[[#This Row],[RelationshipSatisfaction]])</f>
        <v>3</v>
      </c>
      <c r="R128" s="2">
        <f>PerfRate[[#This Row],[ManagerRating]] - PerfRate[[#This Row],[SelfRating]]</f>
        <v>0</v>
      </c>
    </row>
    <row r="129" spans="1:18">
      <c r="A129" s="2" t="s">
        <v>4436</v>
      </c>
      <c r="B129" s="2" t="s">
        <v>2158</v>
      </c>
      <c r="C129" s="1">
        <v>42709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  <c r="L129" s="2" t="s">
        <v>11031</v>
      </c>
      <c r="M129" s="2" t="s">
        <v>11030</v>
      </c>
      <c r="N129" s="2" t="s">
        <v>11038</v>
      </c>
      <c r="O129" s="2" t="s">
        <v>11038</v>
      </c>
      <c r="P129" s="2" t="s">
        <v>11038</v>
      </c>
      <c r="Q129" s="2">
        <f>AVERAGE(PerfRate[[#This Row],[EnvironmentSatisfaction]],PerfRate[[#This Row],[JobSatisfaction]],PerfRate[[#This Row],[RelationshipSatisfaction]])</f>
        <v>5</v>
      </c>
      <c r="R129" s="2">
        <f>PerfRate[[#This Row],[ManagerRating]] - PerfRate[[#This Row],[SelfRating]]</f>
        <v>-1</v>
      </c>
    </row>
    <row r="130" spans="1:18">
      <c r="A130" s="2" t="s">
        <v>4437</v>
      </c>
      <c r="B130" s="2" t="s">
        <v>811</v>
      </c>
      <c r="C130" s="1">
        <v>42709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  <c r="L130" s="2" t="s">
        <v>11029</v>
      </c>
      <c r="M130" s="2" t="s">
        <v>11028</v>
      </c>
      <c r="N130" s="2" t="s">
        <v>11036</v>
      </c>
      <c r="O130" s="2" t="s">
        <v>11035</v>
      </c>
      <c r="P130" s="2" t="s">
        <v>11038</v>
      </c>
      <c r="Q130" s="2">
        <f>AVERAGE(PerfRate[[#This Row],[EnvironmentSatisfaction]],PerfRate[[#This Row],[JobSatisfaction]],PerfRate[[#This Row],[RelationshipSatisfaction]])</f>
        <v>3.3333333333333335</v>
      </c>
      <c r="R130" s="2">
        <f>PerfRate[[#This Row],[ManagerRating]] - PerfRate[[#This Row],[SelfRating]]</f>
        <v>-1</v>
      </c>
    </row>
    <row r="131" spans="1:18">
      <c r="A131" s="2" t="s">
        <v>4438</v>
      </c>
      <c r="B131" s="2" t="s">
        <v>57</v>
      </c>
      <c r="C131" s="1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  <c r="L131" s="2" t="s">
        <v>11029</v>
      </c>
      <c r="M131" s="2" t="s">
        <v>11028</v>
      </c>
      <c r="N131" s="2" t="s">
        <v>11037</v>
      </c>
      <c r="O131" s="2" t="s">
        <v>11036</v>
      </c>
      <c r="P131" s="2" t="s">
        <v>11035</v>
      </c>
      <c r="Q131" s="2">
        <f>AVERAGE(PerfRate[[#This Row],[EnvironmentSatisfaction]],PerfRate[[#This Row],[JobSatisfaction]],PerfRate[[#This Row],[RelationshipSatisfaction]])</f>
        <v>3</v>
      </c>
      <c r="R131" s="2">
        <f>PerfRate[[#This Row],[ManagerRating]] - PerfRate[[#This Row],[SelfRating]]</f>
        <v>-1</v>
      </c>
    </row>
    <row r="132" spans="1:18">
      <c r="A132" s="2" t="s">
        <v>4439</v>
      </c>
      <c r="B132" s="2" t="s">
        <v>1572</v>
      </c>
      <c r="C132" s="1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  <c r="L132" s="2" t="s">
        <v>11031</v>
      </c>
      <c r="M132" s="2" t="s">
        <v>11031</v>
      </c>
      <c r="N132" s="2" t="s">
        <v>11038</v>
      </c>
      <c r="O132" s="2" t="s">
        <v>11036</v>
      </c>
      <c r="P132" s="2" t="s">
        <v>11038</v>
      </c>
      <c r="Q132" s="2">
        <f>AVERAGE(PerfRate[[#This Row],[EnvironmentSatisfaction]],PerfRate[[#This Row],[JobSatisfaction]],PerfRate[[#This Row],[RelationshipSatisfaction]])</f>
        <v>4.333333333333333</v>
      </c>
      <c r="R132" s="2">
        <f>PerfRate[[#This Row],[ManagerRating]] - PerfRate[[#This Row],[SelfRating]]</f>
        <v>0</v>
      </c>
    </row>
    <row r="133" spans="1:18">
      <c r="A133" s="2" t="s">
        <v>4440</v>
      </c>
      <c r="B133" s="2" t="s">
        <v>338</v>
      </c>
      <c r="C133" s="1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  <c r="L133" s="2" t="s">
        <v>11031</v>
      </c>
      <c r="M133" s="2" t="s">
        <v>11030</v>
      </c>
      <c r="N133" s="2" t="s">
        <v>11037</v>
      </c>
      <c r="O133" s="2" t="s">
        <v>11036</v>
      </c>
      <c r="P133" s="2" t="s">
        <v>11038</v>
      </c>
      <c r="Q133" s="2">
        <f>AVERAGE(PerfRate[[#This Row],[EnvironmentSatisfaction]],PerfRate[[#This Row],[JobSatisfaction]],PerfRate[[#This Row],[RelationshipSatisfaction]])</f>
        <v>4</v>
      </c>
      <c r="R133" s="2">
        <f>PerfRate[[#This Row],[ManagerRating]] - PerfRate[[#This Row],[SelfRating]]</f>
        <v>-1</v>
      </c>
    </row>
    <row r="134" spans="1:18">
      <c r="A134" s="2" t="s">
        <v>4441</v>
      </c>
      <c r="B134" s="2" t="s">
        <v>3034</v>
      </c>
      <c r="C134" s="1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  <c r="L134" s="2" t="s">
        <v>11029</v>
      </c>
      <c r="M134" s="2" t="s">
        <v>11029</v>
      </c>
      <c r="N134" s="2" t="s">
        <v>11036</v>
      </c>
      <c r="O134" s="2" t="s">
        <v>11037</v>
      </c>
      <c r="P134" s="2" t="s">
        <v>11038</v>
      </c>
      <c r="Q134" s="2">
        <f>AVERAGE(PerfRate[[#This Row],[EnvironmentSatisfaction]],PerfRate[[#This Row],[JobSatisfaction]],PerfRate[[#This Row],[RelationshipSatisfaction]])</f>
        <v>4</v>
      </c>
      <c r="R134" s="2">
        <f>PerfRate[[#This Row],[ManagerRating]] - PerfRate[[#This Row],[SelfRating]]</f>
        <v>0</v>
      </c>
    </row>
    <row r="135" spans="1:18">
      <c r="A135" s="2" t="s">
        <v>4442</v>
      </c>
      <c r="B135" s="2" t="s">
        <v>613</v>
      </c>
      <c r="C135" s="1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  <c r="L135" s="2" t="s">
        <v>11030</v>
      </c>
      <c r="M135" s="2" t="s">
        <v>11030</v>
      </c>
      <c r="N135" s="2" t="s">
        <v>11038</v>
      </c>
      <c r="O135" s="2" t="s">
        <v>11037</v>
      </c>
      <c r="P135" s="2" t="s">
        <v>11038</v>
      </c>
      <c r="Q135" s="2">
        <f>AVERAGE(PerfRate[[#This Row],[EnvironmentSatisfaction]],PerfRate[[#This Row],[JobSatisfaction]],PerfRate[[#This Row],[RelationshipSatisfaction]])</f>
        <v>4.666666666666667</v>
      </c>
      <c r="R135" s="2">
        <f>PerfRate[[#This Row],[ManagerRating]] - PerfRate[[#This Row],[SelfRating]]</f>
        <v>0</v>
      </c>
    </row>
    <row r="136" spans="1:18">
      <c r="A136" s="2" t="s">
        <v>4443</v>
      </c>
      <c r="B136" s="2" t="s">
        <v>898</v>
      </c>
      <c r="C136" s="1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  <c r="L136" s="2" t="s">
        <v>11030</v>
      </c>
      <c r="M136" s="2" t="s">
        <v>11030</v>
      </c>
      <c r="N136" s="2" t="s">
        <v>11038</v>
      </c>
      <c r="O136" s="2" t="s">
        <v>11036</v>
      </c>
      <c r="P136" s="2" t="s">
        <v>11036</v>
      </c>
      <c r="Q136" s="2">
        <f>AVERAGE(PerfRate[[#This Row],[EnvironmentSatisfaction]],PerfRate[[#This Row],[JobSatisfaction]],PerfRate[[#This Row],[RelationshipSatisfaction]])</f>
        <v>3.6666666666666665</v>
      </c>
      <c r="R136" s="2">
        <f>PerfRate[[#This Row],[ManagerRating]] - PerfRate[[#This Row],[SelfRating]]</f>
        <v>0</v>
      </c>
    </row>
    <row r="137" spans="1:18">
      <c r="A137" s="2" t="s">
        <v>4444</v>
      </c>
      <c r="B137" s="2" t="s">
        <v>2142</v>
      </c>
      <c r="C137" s="1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  <c r="L137" s="2" t="s">
        <v>11029</v>
      </c>
      <c r="M137" s="2" t="s">
        <v>11028</v>
      </c>
      <c r="N137" s="2" t="s">
        <v>11037</v>
      </c>
      <c r="O137" s="2" t="s">
        <v>11036</v>
      </c>
      <c r="P137" s="2" t="s">
        <v>11035</v>
      </c>
      <c r="Q137" s="2">
        <f>AVERAGE(PerfRate[[#This Row],[EnvironmentSatisfaction]],PerfRate[[#This Row],[JobSatisfaction]],PerfRate[[#This Row],[RelationshipSatisfaction]])</f>
        <v>3</v>
      </c>
      <c r="R137" s="2">
        <f>PerfRate[[#This Row],[ManagerRating]] - PerfRate[[#This Row],[SelfRating]]</f>
        <v>-1</v>
      </c>
    </row>
    <row r="138" spans="1:18">
      <c r="A138" s="2" t="s">
        <v>4445</v>
      </c>
      <c r="B138" s="2" t="s">
        <v>1329</v>
      </c>
      <c r="C138" s="1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  <c r="L138" s="2" t="s">
        <v>11031</v>
      </c>
      <c r="M138" s="2" t="s">
        <v>11031</v>
      </c>
      <c r="N138" s="2" t="s">
        <v>11037</v>
      </c>
      <c r="O138" s="2" t="s">
        <v>11035</v>
      </c>
      <c r="P138" s="2" t="s">
        <v>11035</v>
      </c>
      <c r="Q138" s="2">
        <f>AVERAGE(PerfRate[[#This Row],[EnvironmentSatisfaction]],PerfRate[[#This Row],[JobSatisfaction]],PerfRate[[#This Row],[RelationshipSatisfaction]])</f>
        <v>2.6666666666666665</v>
      </c>
      <c r="R138" s="2">
        <f>PerfRate[[#This Row],[ManagerRating]] - PerfRate[[#This Row],[SelfRating]]</f>
        <v>0</v>
      </c>
    </row>
    <row r="139" spans="1:18">
      <c r="A139" s="2" t="s">
        <v>4446</v>
      </c>
      <c r="B139" s="2" t="s">
        <v>392</v>
      </c>
      <c r="C139" s="1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  <c r="L139" s="2" t="s">
        <v>11029</v>
      </c>
      <c r="M139" s="2" t="s">
        <v>11029</v>
      </c>
      <c r="N139" s="2" t="s">
        <v>11036</v>
      </c>
      <c r="O139" s="2" t="s">
        <v>11036</v>
      </c>
      <c r="P139" s="2" t="s">
        <v>11038</v>
      </c>
      <c r="Q139" s="2">
        <f>AVERAGE(PerfRate[[#This Row],[EnvironmentSatisfaction]],PerfRate[[#This Row],[JobSatisfaction]],PerfRate[[#This Row],[RelationshipSatisfaction]])</f>
        <v>3.6666666666666665</v>
      </c>
      <c r="R139" s="2">
        <f>PerfRate[[#This Row],[ManagerRating]] - PerfRate[[#This Row],[SelfRating]]</f>
        <v>0</v>
      </c>
    </row>
    <row r="140" spans="1:18">
      <c r="A140" s="2" t="s">
        <v>4447</v>
      </c>
      <c r="B140" s="2" t="s">
        <v>479</v>
      </c>
      <c r="C140" s="1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  <c r="L140" s="2" t="s">
        <v>11030</v>
      </c>
      <c r="M140" s="2" t="s">
        <v>11030</v>
      </c>
      <c r="N140" s="2" t="s">
        <v>11036</v>
      </c>
      <c r="O140" s="2" t="s">
        <v>11035</v>
      </c>
      <c r="P140" s="2" t="s">
        <v>11038</v>
      </c>
      <c r="Q140" s="2">
        <f>AVERAGE(PerfRate[[#This Row],[EnvironmentSatisfaction]],PerfRate[[#This Row],[JobSatisfaction]],PerfRate[[#This Row],[RelationshipSatisfaction]])</f>
        <v>3.3333333333333335</v>
      </c>
      <c r="R140" s="2">
        <f>PerfRate[[#This Row],[ManagerRating]] - PerfRate[[#This Row],[SelfRating]]</f>
        <v>0</v>
      </c>
    </row>
    <row r="141" spans="1:18">
      <c r="A141" s="2" t="s">
        <v>4448</v>
      </c>
      <c r="B141" s="2" t="s">
        <v>616</v>
      </c>
      <c r="C141" s="1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  <c r="L141" s="2" t="s">
        <v>11031</v>
      </c>
      <c r="M141" s="2" t="s">
        <v>11031</v>
      </c>
      <c r="N141" s="2" t="s">
        <v>11037</v>
      </c>
      <c r="O141" s="2" t="s">
        <v>11036</v>
      </c>
      <c r="P141" s="2" t="s">
        <v>11038</v>
      </c>
      <c r="Q141" s="2">
        <f>AVERAGE(PerfRate[[#This Row],[EnvironmentSatisfaction]],PerfRate[[#This Row],[JobSatisfaction]],PerfRate[[#This Row],[RelationshipSatisfaction]])</f>
        <v>4</v>
      </c>
      <c r="R141" s="2">
        <f>PerfRate[[#This Row],[ManagerRating]] - PerfRate[[#This Row],[SelfRating]]</f>
        <v>0</v>
      </c>
    </row>
    <row r="142" spans="1:18">
      <c r="A142" s="2" t="s">
        <v>4449</v>
      </c>
      <c r="B142" s="2" t="s">
        <v>670</v>
      </c>
      <c r="C142" s="1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  <c r="L142" s="2" t="s">
        <v>11030</v>
      </c>
      <c r="M142" s="2" t="s">
        <v>11030</v>
      </c>
      <c r="N142" s="2" t="s">
        <v>11036</v>
      </c>
      <c r="O142" s="2" t="s">
        <v>11035</v>
      </c>
      <c r="P142" s="2" t="s">
        <v>11035</v>
      </c>
      <c r="Q142" s="2">
        <f>AVERAGE(PerfRate[[#This Row],[EnvironmentSatisfaction]],PerfRate[[#This Row],[JobSatisfaction]],PerfRate[[#This Row],[RelationshipSatisfaction]])</f>
        <v>2.3333333333333335</v>
      </c>
      <c r="R142" s="2">
        <f>PerfRate[[#This Row],[ManagerRating]] - PerfRate[[#This Row],[SelfRating]]</f>
        <v>0</v>
      </c>
    </row>
    <row r="143" spans="1:18">
      <c r="A143" s="2" t="s">
        <v>4450</v>
      </c>
      <c r="B143" s="2" t="s">
        <v>2500</v>
      </c>
      <c r="C143" s="1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  <c r="L143" s="2" t="s">
        <v>11031</v>
      </c>
      <c r="M143" s="2" t="s">
        <v>11031</v>
      </c>
      <c r="N143" s="2" t="s">
        <v>11037</v>
      </c>
      <c r="O143" s="2" t="s">
        <v>11036</v>
      </c>
      <c r="P143" s="2" t="s">
        <v>11036</v>
      </c>
      <c r="Q143" s="2">
        <f>AVERAGE(PerfRate[[#This Row],[EnvironmentSatisfaction]],PerfRate[[#This Row],[JobSatisfaction]],PerfRate[[#This Row],[RelationshipSatisfaction]])</f>
        <v>3.3333333333333335</v>
      </c>
      <c r="R143" s="2">
        <f>PerfRate[[#This Row],[ManagerRating]] - PerfRate[[#This Row],[SelfRating]]</f>
        <v>0</v>
      </c>
    </row>
    <row r="144" spans="1:18">
      <c r="A144" s="2" t="s">
        <v>4451</v>
      </c>
      <c r="B144" s="2" t="s">
        <v>1716</v>
      </c>
      <c r="C144" s="1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  <c r="L144" s="2" t="s">
        <v>11031</v>
      </c>
      <c r="M144" s="2" t="s">
        <v>11031</v>
      </c>
      <c r="N144" s="2" t="s">
        <v>11038</v>
      </c>
      <c r="O144" s="2" t="s">
        <v>11037</v>
      </c>
      <c r="P144" s="2" t="s">
        <v>11036</v>
      </c>
      <c r="Q144" s="2">
        <f>AVERAGE(PerfRate[[#This Row],[EnvironmentSatisfaction]],PerfRate[[#This Row],[JobSatisfaction]],PerfRate[[#This Row],[RelationshipSatisfaction]])</f>
        <v>4</v>
      </c>
      <c r="R144" s="2">
        <f>PerfRate[[#This Row],[ManagerRating]] - PerfRate[[#This Row],[SelfRating]]</f>
        <v>0</v>
      </c>
    </row>
    <row r="145" spans="1:18">
      <c r="A145" s="2" t="s">
        <v>4452</v>
      </c>
      <c r="B145" s="2" t="s">
        <v>1306</v>
      </c>
      <c r="C145" s="1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  <c r="L145" s="2" t="s">
        <v>11031</v>
      </c>
      <c r="M145" s="2" t="s">
        <v>11030</v>
      </c>
      <c r="N145" s="2" t="s">
        <v>11038</v>
      </c>
      <c r="O145" s="2" t="s">
        <v>11035</v>
      </c>
      <c r="P145" s="2" t="s">
        <v>11037</v>
      </c>
      <c r="Q145" s="2">
        <f>AVERAGE(PerfRate[[#This Row],[EnvironmentSatisfaction]],PerfRate[[#This Row],[JobSatisfaction]],PerfRate[[#This Row],[RelationshipSatisfaction]])</f>
        <v>3.6666666666666665</v>
      </c>
      <c r="R145" s="2">
        <f>PerfRate[[#This Row],[ManagerRating]] - PerfRate[[#This Row],[SelfRating]]</f>
        <v>-1</v>
      </c>
    </row>
    <row r="146" spans="1:18">
      <c r="A146" s="2" t="s">
        <v>4453</v>
      </c>
      <c r="B146" s="2" t="s">
        <v>1292</v>
      </c>
      <c r="C146" s="1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  <c r="L146" s="2" t="s">
        <v>11030</v>
      </c>
      <c r="M146" s="2" t="s">
        <v>11029</v>
      </c>
      <c r="N146" s="2" t="s">
        <v>11036</v>
      </c>
      <c r="O146" s="2" t="s">
        <v>11037</v>
      </c>
      <c r="P146" s="2" t="s">
        <v>11037</v>
      </c>
      <c r="Q146" s="2">
        <f>AVERAGE(PerfRate[[#This Row],[EnvironmentSatisfaction]],PerfRate[[#This Row],[JobSatisfaction]],PerfRate[[#This Row],[RelationshipSatisfaction]])</f>
        <v>3.6666666666666665</v>
      </c>
      <c r="R146" s="2">
        <f>PerfRate[[#This Row],[ManagerRating]] - PerfRate[[#This Row],[SelfRating]]</f>
        <v>-1</v>
      </c>
    </row>
    <row r="147" spans="1:18">
      <c r="A147" s="2" t="s">
        <v>4454</v>
      </c>
      <c r="B147" s="2" t="s">
        <v>1647</v>
      </c>
      <c r="C147" s="1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  <c r="L147" s="2" t="s">
        <v>11030</v>
      </c>
      <c r="M147" s="2" t="s">
        <v>11029</v>
      </c>
      <c r="N147" s="2" t="s">
        <v>11036</v>
      </c>
      <c r="O147" s="2" t="s">
        <v>11036</v>
      </c>
      <c r="P147" s="2" t="s">
        <v>11035</v>
      </c>
      <c r="Q147" s="2">
        <f>AVERAGE(PerfRate[[#This Row],[EnvironmentSatisfaction]],PerfRate[[#This Row],[JobSatisfaction]],PerfRate[[#This Row],[RelationshipSatisfaction]])</f>
        <v>2.6666666666666665</v>
      </c>
      <c r="R147" s="2">
        <f>PerfRate[[#This Row],[ManagerRating]] - PerfRate[[#This Row],[SelfRating]]</f>
        <v>-1</v>
      </c>
    </row>
    <row r="148" spans="1:18">
      <c r="A148" s="2" t="s">
        <v>4455</v>
      </c>
      <c r="B148" s="2" t="s">
        <v>458</v>
      </c>
      <c r="C148" s="1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  <c r="L148" s="2" t="s">
        <v>11031</v>
      </c>
      <c r="M148" s="2" t="s">
        <v>11031</v>
      </c>
      <c r="N148" s="2" t="s">
        <v>11037</v>
      </c>
      <c r="O148" s="2" t="s">
        <v>11037</v>
      </c>
      <c r="P148" s="2" t="s">
        <v>11036</v>
      </c>
      <c r="Q148" s="2">
        <f>AVERAGE(PerfRate[[#This Row],[EnvironmentSatisfaction]],PerfRate[[#This Row],[JobSatisfaction]],PerfRate[[#This Row],[RelationshipSatisfaction]])</f>
        <v>3.6666666666666665</v>
      </c>
      <c r="R148" s="2">
        <f>PerfRate[[#This Row],[ManagerRating]] - PerfRate[[#This Row],[SelfRating]]</f>
        <v>0</v>
      </c>
    </row>
    <row r="149" spans="1:18">
      <c r="A149" s="2" t="s">
        <v>4456</v>
      </c>
      <c r="B149" s="2" t="s">
        <v>3212</v>
      </c>
      <c r="C149" s="1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  <c r="L149" s="2" t="s">
        <v>11031</v>
      </c>
      <c r="M149" s="2" t="s">
        <v>11030</v>
      </c>
      <c r="N149" s="2" t="s">
        <v>11036</v>
      </c>
      <c r="O149" s="2" t="s">
        <v>11036</v>
      </c>
      <c r="P149" s="2" t="s">
        <v>11038</v>
      </c>
      <c r="Q149" s="2">
        <f>AVERAGE(PerfRate[[#This Row],[EnvironmentSatisfaction]],PerfRate[[#This Row],[JobSatisfaction]],PerfRate[[#This Row],[RelationshipSatisfaction]])</f>
        <v>3.6666666666666665</v>
      </c>
      <c r="R149" s="2">
        <f>PerfRate[[#This Row],[ManagerRating]] - PerfRate[[#This Row],[SelfRating]]</f>
        <v>-1</v>
      </c>
    </row>
    <row r="150" spans="1:18">
      <c r="A150" s="2" t="s">
        <v>4457</v>
      </c>
      <c r="B150" s="2" t="s">
        <v>3772</v>
      </c>
      <c r="C150" s="1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  <c r="L150" s="2" t="s">
        <v>11029</v>
      </c>
      <c r="M150" s="2" t="s">
        <v>11028</v>
      </c>
      <c r="N150" s="2" t="s">
        <v>11038</v>
      </c>
      <c r="O150" s="2" t="s">
        <v>11037</v>
      </c>
      <c r="P150" s="2" t="s">
        <v>11037</v>
      </c>
      <c r="Q150" s="2">
        <f>AVERAGE(PerfRate[[#This Row],[EnvironmentSatisfaction]],PerfRate[[#This Row],[JobSatisfaction]],PerfRate[[#This Row],[RelationshipSatisfaction]])</f>
        <v>4.333333333333333</v>
      </c>
      <c r="R150" s="2">
        <f>PerfRate[[#This Row],[ManagerRating]] - PerfRate[[#This Row],[SelfRating]]</f>
        <v>-1</v>
      </c>
    </row>
    <row r="151" spans="1:18">
      <c r="A151" s="2" t="s">
        <v>4458</v>
      </c>
      <c r="B151" s="2" t="s">
        <v>1927</v>
      </c>
      <c r="C151" s="1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  <c r="L151" s="2" t="s">
        <v>11030</v>
      </c>
      <c r="M151" s="2" t="s">
        <v>11030</v>
      </c>
      <c r="N151" s="2" t="s">
        <v>11037</v>
      </c>
      <c r="O151" s="2" t="s">
        <v>11036</v>
      </c>
      <c r="P151" s="2" t="s">
        <v>11035</v>
      </c>
      <c r="Q151" s="2">
        <f>AVERAGE(PerfRate[[#This Row],[EnvironmentSatisfaction]],PerfRate[[#This Row],[JobSatisfaction]],PerfRate[[#This Row],[RelationshipSatisfaction]])</f>
        <v>3</v>
      </c>
      <c r="R151" s="2">
        <f>PerfRate[[#This Row],[ManagerRating]] - PerfRate[[#This Row],[SelfRating]]</f>
        <v>0</v>
      </c>
    </row>
    <row r="152" spans="1:18">
      <c r="A152" s="2" t="s">
        <v>4459</v>
      </c>
      <c r="B152" s="2" t="s">
        <v>4257</v>
      </c>
      <c r="C152" s="1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  <c r="L152" s="2" t="s">
        <v>11031</v>
      </c>
      <c r="M152" s="2" t="s">
        <v>11030</v>
      </c>
      <c r="N152" s="2" t="s">
        <v>11037</v>
      </c>
      <c r="O152" s="2" t="s">
        <v>11038</v>
      </c>
      <c r="P152" s="2" t="s">
        <v>11035</v>
      </c>
      <c r="Q152" s="2">
        <f>AVERAGE(PerfRate[[#This Row],[EnvironmentSatisfaction]],PerfRate[[#This Row],[JobSatisfaction]],PerfRate[[#This Row],[RelationshipSatisfaction]])</f>
        <v>3.6666666666666665</v>
      </c>
      <c r="R152" s="2">
        <f>PerfRate[[#This Row],[ManagerRating]] - PerfRate[[#This Row],[SelfRating]]</f>
        <v>-1</v>
      </c>
    </row>
    <row r="153" spans="1:18">
      <c r="A153" s="2" t="s">
        <v>4460</v>
      </c>
      <c r="B153" s="2" t="s">
        <v>109</v>
      </c>
      <c r="C153" s="1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  <c r="L153" s="2" t="s">
        <v>11030</v>
      </c>
      <c r="M153" s="2" t="s">
        <v>11029</v>
      </c>
      <c r="N153" s="2" t="s">
        <v>11038</v>
      </c>
      <c r="O153" s="2" t="s">
        <v>11037</v>
      </c>
      <c r="P153" s="2" t="s">
        <v>11035</v>
      </c>
      <c r="Q153" s="2">
        <f>AVERAGE(PerfRate[[#This Row],[EnvironmentSatisfaction]],PerfRate[[#This Row],[JobSatisfaction]],PerfRate[[#This Row],[RelationshipSatisfaction]])</f>
        <v>3.6666666666666665</v>
      </c>
      <c r="R153" s="2">
        <f>PerfRate[[#This Row],[ManagerRating]] - PerfRate[[#This Row],[SelfRating]]</f>
        <v>-1</v>
      </c>
    </row>
    <row r="154" spans="1:18">
      <c r="A154" s="2" t="s">
        <v>4461</v>
      </c>
      <c r="B154" s="2" t="s">
        <v>910</v>
      </c>
      <c r="C154" s="1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  <c r="L154" s="2" t="s">
        <v>11030</v>
      </c>
      <c r="M154" s="2" t="s">
        <v>11029</v>
      </c>
      <c r="N154" s="2" t="s">
        <v>11038</v>
      </c>
      <c r="O154" s="2" t="s">
        <v>11035</v>
      </c>
      <c r="P154" s="2" t="s">
        <v>11035</v>
      </c>
      <c r="Q154" s="2">
        <f>AVERAGE(PerfRate[[#This Row],[EnvironmentSatisfaction]],PerfRate[[#This Row],[JobSatisfaction]],PerfRate[[#This Row],[RelationshipSatisfaction]])</f>
        <v>3</v>
      </c>
      <c r="R154" s="2">
        <f>PerfRate[[#This Row],[ManagerRating]] - PerfRate[[#This Row],[SelfRating]]</f>
        <v>-1</v>
      </c>
    </row>
    <row r="155" spans="1:18">
      <c r="A155" s="2" t="s">
        <v>4462</v>
      </c>
      <c r="B155" s="2" t="s">
        <v>3365</v>
      </c>
      <c r="C155" s="1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  <c r="L155" s="2" t="s">
        <v>11030</v>
      </c>
      <c r="M155" s="2" t="s">
        <v>11029</v>
      </c>
      <c r="N155" s="2" t="s">
        <v>11037</v>
      </c>
      <c r="O155" s="2" t="s">
        <v>11036</v>
      </c>
      <c r="P155" s="2" t="s">
        <v>11036</v>
      </c>
      <c r="Q155" s="2">
        <f>AVERAGE(PerfRate[[#This Row],[EnvironmentSatisfaction]],PerfRate[[#This Row],[JobSatisfaction]],PerfRate[[#This Row],[RelationshipSatisfaction]])</f>
        <v>3.3333333333333335</v>
      </c>
      <c r="R155" s="2">
        <f>PerfRate[[#This Row],[ManagerRating]] - PerfRate[[#This Row],[SelfRating]]</f>
        <v>-1</v>
      </c>
    </row>
    <row r="156" spans="1:18">
      <c r="A156" s="2" t="s">
        <v>4463</v>
      </c>
      <c r="B156" s="2" t="s">
        <v>2532</v>
      </c>
      <c r="C156" s="1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  <c r="L156" s="2" t="s">
        <v>11029</v>
      </c>
      <c r="M156" s="2" t="s">
        <v>11028</v>
      </c>
      <c r="N156" s="2" t="s">
        <v>11036</v>
      </c>
      <c r="O156" s="2" t="s">
        <v>11036</v>
      </c>
      <c r="P156" s="2" t="s">
        <v>11035</v>
      </c>
      <c r="Q156" s="2">
        <f>AVERAGE(PerfRate[[#This Row],[EnvironmentSatisfaction]],PerfRate[[#This Row],[JobSatisfaction]],PerfRate[[#This Row],[RelationshipSatisfaction]])</f>
        <v>2.6666666666666665</v>
      </c>
      <c r="R156" s="2">
        <f>PerfRate[[#This Row],[ManagerRating]] - PerfRate[[#This Row],[SelfRating]]</f>
        <v>-1</v>
      </c>
    </row>
    <row r="157" spans="1:18">
      <c r="A157" s="2" t="s">
        <v>4464</v>
      </c>
      <c r="B157" s="2" t="s">
        <v>916</v>
      </c>
      <c r="C157" s="1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  <c r="L157" s="2" t="s">
        <v>11030</v>
      </c>
      <c r="M157" s="2" t="s">
        <v>11029</v>
      </c>
      <c r="N157" s="2" t="s">
        <v>11037</v>
      </c>
      <c r="O157" s="2" t="s">
        <v>11036</v>
      </c>
      <c r="P157" s="2" t="s">
        <v>11036</v>
      </c>
      <c r="Q157" s="2">
        <f>AVERAGE(PerfRate[[#This Row],[EnvironmentSatisfaction]],PerfRate[[#This Row],[JobSatisfaction]],PerfRate[[#This Row],[RelationshipSatisfaction]])</f>
        <v>3.3333333333333335</v>
      </c>
      <c r="R157" s="2">
        <f>PerfRate[[#This Row],[ManagerRating]] - PerfRate[[#This Row],[SelfRating]]</f>
        <v>-1</v>
      </c>
    </row>
    <row r="158" spans="1:18">
      <c r="A158" s="2" t="s">
        <v>4465</v>
      </c>
      <c r="B158" s="2" t="s">
        <v>777</v>
      </c>
      <c r="C158" s="1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  <c r="L158" s="2" t="s">
        <v>11031</v>
      </c>
      <c r="M158" s="2" t="s">
        <v>11030</v>
      </c>
      <c r="N158" s="2" t="s">
        <v>11036</v>
      </c>
      <c r="O158" s="2" t="s">
        <v>11038</v>
      </c>
      <c r="P158" s="2" t="s">
        <v>11035</v>
      </c>
      <c r="Q158" s="2">
        <f>AVERAGE(PerfRate[[#This Row],[EnvironmentSatisfaction]],PerfRate[[#This Row],[JobSatisfaction]],PerfRate[[#This Row],[RelationshipSatisfaction]])</f>
        <v>3.3333333333333335</v>
      </c>
      <c r="R158" s="2">
        <f>PerfRate[[#This Row],[ManagerRating]] - PerfRate[[#This Row],[SelfRating]]</f>
        <v>-1</v>
      </c>
    </row>
    <row r="159" spans="1:18">
      <c r="A159" s="2" t="s">
        <v>4466</v>
      </c>
      <c r="B159" s="2" t="s">
        <v>2464</v>
      </c>
      <c r="C159" s="1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  <c r="L159" s="2" t="s">
        <v>11029</v>
      </c>
      <c r="M159" s="2" t="s">
        <v>11029</v>
      </c>
      <c r="N159" s="2" t="s">
        <v>11036</v>
      </c>
      <c r="O159" s="2" t="s">
        <v>11036</v>
      </c>
      <c r="P159" s="2" t="s">
        <v>11038</v>
      </c>
      <c r="Q159" s="2">
        <f>AVERAGE(PerfRate[[#This Row],[EnvironmentSatisfaction]],PerfRate[[#This Row],[JobSatisfaction]],PerfRate[[#This Row],[RelationshipSatisfaction]])</f>
        <v>3.6666666666666665</v>
      </c>
      <c r="R159" s="2">
        <f>PerfRate[[#This Row],[ManagerRating]] - PerfRate[[#This Row],[SelfRating]]</f>
        <v>0</v>
      </c>
    </row>
    <row r="160" spans="1:18">
      <c r="A160" s="2" t="s">
        <v>4467</v>
      </c>
      <c r="B160" s="2" t="s">
        <v>3108</v>
      </c>
      <c r="C160" s="1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  <c r="L160" s="2" t="s">
        <v>11031</v>
      </c>
      <c r="M160" s="2" t="s">
        <v>11031</v>
      </c>
      <c r="N160" s="2" t="s">
        <v>11038</v>
      </c>
      <c r="O160" s="2" t="s">
        <v>11037</v>
      </c>
      <c r="P160" s="2" t="s">
        <v>11036</v>
      </c>
      <c r="Q160" s="2">
        <f>AVERAGE(PerfRate[[#This Row],[EnvironmentSatisfaction]],PerfRate[[#This Row],[JobSatisfaction]],PerfRate[[#This Row],[RelationshipSatisfaction]])</f>
        <v>4</v>
      </c>
      <c r="R160" s="2">
        <f>PerfRate[[#This Row],[ManagerRating]] - PerfRate[[#This Row],[SelfRating]]</f>
        <v>0</v>
      </c>
    </row>
    <row r="161" spans="1:18">
      <c r="A161" s="2" t="s">
        <v>4468</v>
      </c>
      <c r="B161" s="2" t="s">
        <v>317</v>
      </c>
      <c r="C161" s="1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  <c r="L161" s="2" t="s">
        <v>11029</v>
      </c>
      <c r="M161" s="2" t="s">
        <v>11029</v>
      </c>
      <c r="N161" s="2" t="s">
        <v>11037</v>
      </c>
      <c r="O161" s="2" t="s">
        <v>11035</v>
      </c>
      <c r="P161" s="2" t="s">
        <v>11035</v>
      </c>
      <c r="Q161" s="2">
        <f>AVERAGE(PerfRate[[#This Row],[EnvironmentSatisfaction]],PerfRate[[#This Row],[JobSatisfaction]],PerfRate[[#This Row],[RelationshipSatisfaction]])</f>
        <v>2.6666666666666665</v>
      </c>
      <c r="R161" s="2">
        <f>PerfRate[[#This Row],[ManagerRating]] - PerfRate[[#This Row],[SelfRating]]</f>
        <v>0</v>
      </c>
    </row>
    <row r="162" spans="1:18">
      <c r="A162" s="2" t="s">
        <v>4469</v>
      </c>
      <c r="B162" s="2" t="s">
        <v>982</v>
      </c>
      <c r="C162" s="1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  <c r="L162" s="2" t="s">
        <v>11030</v>
      </c>
      <c r="M162" s="2" t="s">
        <v>11029</v>
      </c>
      <c r="N162" s="2" t="s">
        <v>11036</v>
      </c>
      <c r="O162" s="2" t="s">
        <v>11037</v>
      </c>
      <c r="P162" s="2" t="s">
        <v>11038</v>
      </c>
      <c r="Q162" s="2">
        <f>AVERAGE(PerfRate[[#This Row],[EnvironmentSatisfaction]],PerfRate[[#This Row],[JobSatisfaction]],PerfRate[[#This Row],[RelationshipSatisfaction]])</f>
        <v>4</v>
      </c>
      <c r="R162" s="2">
        <f>PerfRate[[#This Row],[ManagerRating]] - PerfRate[[#This Row],[SelfRating]]</f>
        <v>-1</v>
      </c>
    </row>
    <row r="163" spans="1:18">
      <c r="A163" s="2" t="s">
        <v>4470</v>
      </c>
      <c r="B163" s="2" t="s">
        <v>3926</v>
      </c>
      <c r="C163" s="1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  <c r="L163" s="2" t="s">
        <v>11030</v>
      </c>
      <c r="M163" s="2" t="s">
        <v>11030</v>
      </c>
      <c r="N163" s="2" t="s">
        <v>11036</v>
      </c>
      <c r="O163" s="2" t="s">
        <v>11035</v>
      </c>
      <c r="P163" s="2" t="s">
        <v>11038</v>
      </c>
      <c r="Q163" s="2">
        <f>AVERAGE(PerfRate[[#This Row],[EnvironmentSatisfaction]],PerfRate[[#This Row],[JobSatisfaction]],PerfRate[[#This Row],[RelationshipSatisfaction]])</f>
        <v>3.3333333333333335</v>
      </c>
      <c r="R163" s="2">
        <f>PerfRate[[#This Row],[ManagerRating]] - PerfRate[[#This Row],[SelfRating]]</f>
        <v>0</v>
      </c>
    </row>
    <row r="164" spans="1:18">
      <c r="A164" s="2" t="s">
        <v>4471</v>
      </c>
      <c r="B164" s="2" t="s">
        <v>961</v>
      </c>
      <c r="C164" s="1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  <c r="L164" s="2" t="s">
        <v>11031</v>
      </c>
      <c r="M164" s="2" t="s">
        <v>11031</v>
      </c>
      <c r="N164" s="2" t="s">
        <v>11038</v>
      </c>
      <c r="O164" s="2" t="s">
        <v>11036</v>
      </c>
      <c r="P164" s="2" t="s">
        <v>11036</v>
      </c>
      <c r="Q164" s="2">
        <f>AVERAGE(PerfRate[[#This Row],[EnvironmentSatisfaction]],PerfRate[[#This Row],[JobSatisfaction]],PerfRate[[#This Row],[RelationshipSatisfaction]])</f>
        <v>3.6666666666666665</v>
      </c>
      <c r="R164" s="2">
        <f>PerfRate[[#This Row],[ManagerRating]] - PerfRate[[#This Row],[SelfRating]]</f>
        <v>0</v>
      </c>
    </row>
    <row r="165" spans="1:18">
      <c r="A165" s="2" t="s">
        <v>4472</v>
      </c>
      <c r="B165" s="2" t="s">
        <v>1520</v>
      </c>
      <c r="C165" s="1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  <c r="L165" s="2" t="s">
        <v>11030</v>
      </c>
      <c r="M165" s="2" t="s">
        <v>11030</v>
      </c>
      <c r="N165" s="2" t="s">
        <v>11038</v>
      </c>
      <c r="O165" s="2" t="s">
        <v>11038</v>
      </c>
      <c r="P165" s="2" t="s">
        <v>11035</v>
      </c>
      <c r="Q165" s="2">
        <f>AVERAGE(PerfRate[[#This Row],[EnvironmentSatisfaction]],PerfRate[[#This Row],[JobSatisfaction]],PerfRate[[#This Row],[RelationshipSatisfaction]])</f>
        <v>4</v>
      </c>
      <c r="R165" s="2">
        <f>PerfRate[[#This Row],[ManagerRating]] - PerfRate[[#This Row],[SelfRating]]</f>
        <v>0</v>
      </c>
    </row>
    <row r="166" spans="1:18">
      <c r="A166" s="2" t="s">
        <v>4473</v>
      </c>
      <c r="B166" s="2" t="s">
        <v>350</v>
      </c>
      <c r="C166" s="1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  <c r="L166" s="2" t="s">
        <v>11031</v>
      </c>
      <c r="M166" s="2" t="s">
        <v>11030</v>
      </c>
      <c r="N166" s="2" t="s">
        <v>11036</v>
      </c>
      <c r="O166" s="2" t="s">
        <v>11035</v>
      </c>
      <c r="P166" s="2" t="s">
        <v>11036</v>
      </c>
      <c r="Q166" s="2">
        <f>AVERAGE(PerfRate[[#This Row],[EnvironmentSatisfaction]],PerfRate[[#This Row],[JobSatisfaction]],PerfRate[[#This Row],[RelationshipSatisfaction]])</f>
        <v>2.6666666666666665</v>
      </c>
      <c r="R166" s="2">
        <f>PerfRate[[#This Row],[ManagerRating]] - PerfRate[[#This Row],[SelfRating]]</f>
        <v>-1</v>
      </c>
    </row>
    <row r="167" spans="1:18">
      <c r="A167" s="2" t="s">
        <v>4474</v>
      </c>
      <c r="B167" s="2" t="s">
        <v>1344</v>
      </c>
      <c r="C167" s="1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  <c r="L167" s="2" t="s">
        <v>11029</v>
      </c>
      <c r="M167" s="2" t="s">
        <v>11028</v>
      </c>
      <c r="N167" s="2" t="s">
        <v>11037</v>
      </c>
      <c r="O167" s="2" t="s">
        <v>11038</v>
      </c>
      <c r="P167" s="2" t="s">
        <v>11036</v>
      </c>
      <c r="Q167" s="2">
        <f>AVERAGE(PerfRate[[#This Row],[EnvironmentSatisfaction]],PerfRate[[#This Row],[JobSatisfaction]],PerfRate[[#This Row],[RelationshipSatisfaction]])</f>
        <v>4</v>
      </c>
      <c r="R167" s="2">
        <f>PerfRate[[#This Row],[ManagerRating]] - PerfRate[[#This Row],[SelfRating]]</f>
        <v>-1</v>
      </c>
    </row>
    <row r="168" spans="1:18">
      <c r="A168" s="2" t="s">
        <v>4475</v>
      </c>
      <c r="B168" s="2" t="s">
        <v>631</v>
      </c>
      <c r="C168" s="1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  <c r="L168" s="2" t="s">
        <v>11030</v>
      </c>
      <c r="M168" s="2" t="s">
        <v>11029</v>
      </c>
      <c r="N168" s="2" t="s">
        <v>11038</v>
      </c>
      <c r="O168" s="2" t="s">
        <v>11035</v>
      </c>
      <c r="P168" s="2" t="s">
        <v>11035</v>
      </c>
      <c r="Q168" s="2">
        <f>AVERAGE(PerfRate[[#This Row],[EnvironmentSatisfaction]],PerfRate[[#This Row],[JobSatisfaction]],PerfRate[[#This Row],[RelationshipSatisfaction]])</f>
        <v>3</v>
      </c>
      <c r="R168" s="2">
        <f>PerfRate[[#This Row],[ManagerRating]] - PerfRate[[#This Row],[SelfRating]]</f>
        <v>-1</v>
      </c>
    </row>
    <row r="169" spans="1:18">
      <c r="A169" s="2" t="s">
        <v>4476</v>
      </c>
      <c r="B169" s="2" t="s">
        <v>744</v>
      </c>
      <c r="C169" s="1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  <c r="L169" s="2" t="s">
        <v>11031</v>
      </c>
      <c r="M169" s="2" t="s">
        <v>11031</v>
      </c>
      <c r="N169" s="2" t="s">
        <v>11036</v>
      </c>
      <c r="O169" s="2" t="s">
        <v>11035</v>
      </c>
      <c r="P169" s="2" t="s">
        <v>11037</v>
      </c>
      <c r="Q169" s="2">
        <f>AVERAGE(PerfRate[[#This Row],[EnvironmentSatisfaction]],PerfRate[[#This Row],[JobSatisfaction]],PerfRate[[#This Row],[RelationshipSatisfaction]])</f>
        <v>3</v>
      </c>
      <c r="R169" s="2">
        <f>PerfRate[[#This Row],[ManagerRating]] - PerfRate[[#This Row],[SelfRating]]</f>
        <v>0</v>
      </c>
    </row>
    <row r="170" spans="1:18">
      <c r="A170" s="2" t="s">
        <v>4477</v>
      </c>
      <c r="B170" s="2" t="s">
        <v>3256</v>
      </c>
      <c r="C170" s="1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  <c r="L170" s="2" t="s">
        <v>11030</v>
      </c>
      <c r="M170" s="2" t="s">
        <v>11030</v>
      </c>
      <c r="N170" s="2" t="s">
        <v>11036</v>
      </c>
      <c r="O170" s="2" t="s">
        <v>11036</v>
      </c>
      <c r="P170" s="2" t="s">
        <v>11037</v>
      </c>
      <c r="Q170" s="2">
        <f>AVERAGE(PerfRate[[#This Row],[EnvironmentSatisfaction]],PerfRate[[#This Row],[JobSatisfaction]],PerfRate[[#This Row],[RelationshipSatisfaction]])</f>
        <v>3.3333333333333335</v>
      </c>
      <c r="R170" s="2">
        <f>PerfRate[[#This Row],[ManagerRating]] - PerfRate[[#This Row],[SelfRating]]</f>
        <v>0</v>
      </c>
    </row>
    <row r="171" spans="1:18">
      <c r="A171" s="2" t="s">
        <v>4478</v>
      </c>
      <c r="B171" s="2" t="s">
        <v>556</v>
      </c>
      <c r="C171" s="1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  <c r="L171" s="2" t="s">
        <v>11030</v>
      </c>
      <c r="M171" s="2" t="s">
        <v>11029</v>
      </c>
      <c r="N171" s="2" t="s">
        <v>11038</v>
      </c>
      <c r="O171" s="2" t="s">
        <v>11035</v>
      </c>
      <c r="P171" s="2" t="s">
        <v>11038</v>
      </c>
      <c r="Q171" s="2">
        <f>AVERAGE(PerfRate[[#This Row],[EnvironmentSatisfaction]],PerfRate[[#This Row],[JobSatisfaction]],PerfRate[[#This Row],[RelationshipSatisfaction]])</f>
        <v>4</v>
      </c>
      <c r="R171" s="2">
        <f>PerfRate[[#This Row],[ManagerRating]] - PerfRate[[#This Row],[SelfRating]]</f>
        <v>-1</v>
      </c>
    </row>
    <row r="172" spans="1:18">
      <c r="A172" s="2" t="s">
        <v>4479</v>
      </c>
      <c r="B172" s="2" t="s">
        <v>131</v>
      </c>
      <c r="C172" s="1">
        <v>42375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  <c r="L172" s="2" t="s">
        <v>11030</v>
      </c>
      <c r="M172" s="2" t="s">
        <v>11030</v>
      </c>
      <c r="N172" s="2" t="s">
        <v>11037</v>
      </c>
      <c r="O172" s="2" t="s">
        <v>11038</v>
      </c>
      <c r="P172" s="2" t="s">
        <v>11036</v>
      </c>
      <c r="Q172" s="2">
        <f>AVERAGE(PerfRate[[#This Row],[EnvironmentSatisfaction]],PerfRate[[#This Row],[JobSatisfaction]],PerfRate[[#This Row],[RelationshipSatisfaction]])</f>
        <v>4</v>
      </c>
      <c r="R172" s="2">
        <f>PerfRate[[#This Row],[ManagerRating]] - PerfRate[[#This Row],[SelfRating]]</f>
        <v>0</v>
      </c>
    </row>
    <row r="173" spans="1:18">
      <c r="A173" s="2" t="s">
        <v>4480</v>
      </c>
      <c r="B173" s="2" t="s">
        <v>835</v>
      </c>
      <c r="C173" s="1">
        <v>42375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  <c r="L173" s="2" t="s">
        <v>11031</v>
      </c>
      <c r="M173" s="2" t="s">
        <v>11031</v>
      </c>
      <c r="N173" s="2" t="s">
        <v>11036</v>
      </c>
      <c r="O173" s="2" t="s">
        <v>11035</v>
      </c>
      <c r="P173" s="2" t="s">
        <v>11038</v>
      </c>
      <c r="Q173" s="2">
        <f>AVERAGE(PerfRate[[#This Row],[EnvironmentSatisfaction]],PerfRate[[#This Row],[JobSatisfaction]],PerfRate[[#This Row],[RelationshipSatisfaction]])</f>
        <v>3.3333333333333335</v>
      </c>
      <c r="R173" s="2">
        <f>PerfRate[[#This Row],[ManagerRating]] - PerfRate[[#This Row],[SelfRating]]</f>
        <v>0</v>
      </c>
    </row>
    <row r="174" spans="1:18">
      <c r="A174" s="2" t="s">
        <v>4481</v>
      </c>
      <c r="B174" s="2" t="s">
        <v>877</v>
      </c>
      <c r="C174" s="1">
        <v>42375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  <c r="L174" s="2" t="s">
        <v>11030</v>
      </c>
      <c r="M174" s="2" t="s">
        <v>11029</v>
      </c>
      <c r="N174" s="2" t="s">
        <v>11036</v>
      </c>
      <c r="O174" s="2" t="s">
        <v>11037</v>
      </c>
      <c r="P174" s="2" t="s">
        <v>11035</v>
      </c>
      <c r="Q174" s="2">
        <f>AVERAGE(PerfRate[[#This Row],[EnvironmentSatisfaction]],PerfRate[[#This Row],[JobSatisfaction]],PerfRate[[#This Row],[RelationshipSatisfaction]])</f>
        <v>3</v>
      </c>
      <c r="R174" s="2">
        <f>PerfRate[[#This Row],[ManagerRating]] - PerfRate[[#This Row],[SelfRating]]</f>
        <v>-1</v>
      </c>
    </row>
    <row r="175" spans="1:18">
      <c r="A175" s="2" t="s">
        <v>4482</v>
      </c>
      <c r="B175" s="2" t="s">
        <v>634</v>
      </c>
      <c r="C175" s="1">
        <v>42375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  <c r="L175" s="2" t="s">
        <v>11030</v>
      </c>
      <c r="M175" s="2" t="s">
        <v>11030</v>
      </c>
      <c r="N175" s="2" t="s">
        <v>11036</v>
      </c>
      <c r="O175" s="2" t="s">
        <v>11036</v>
      </c>
      <c r="P175" s="2" t="s">
        <v>11036</v>
      </c>
      <c r="Q175" s="2">
        <f>AVERAGE(PerfRate[[#This Row],[EnvironmentSatisfaction]],PerfRate[[#This Row],[JobSatisfaction]],PerfRate[[#This Row],[RelationshipSatisfaction]])</f>
        <v>3</v>
      </c>
      <c r="R175" s="2">
        <f>PerfRate[[#This Row],[ManagerRating]] - PerfRate[[#This Row],[SelfRating]]</f>
        <v>0</v>
      </c>
    </row>
    <row r="176" spans="1:18">
      <c r="A176" s="2" t="s">
        <v>4483</v>
      </c>
      <c r="B176" s="2" t="s">
        <v>791</v>
      </c>
      <c r="C176" s="1">
        <v>42435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  <c r="L176" s="2" t="s">
        <v>11031</v>
      </c>
      <c r="M176" s="2" t="s">
        <v>11030</v>
      </c>
      <c r="N176" s="2" t="s">
        <v>11038</v>
      </c>
      <c r="O176" s="2" t="s">
        <v>11035</v>
      </c>
      <c r="P176" s="2" t="s">
        <v>11037</v>
      </c>
      <c r="Q176" s="2">
        <f>AVERAGE(PerfRate[[#This Row],[EnvironmentSatisfaction]],PerfRate[[#This Row],[JobSatisfaction]],PerfRate[[#This Row],[RelationshipSatisfaction]])</f>
        <v>3.6666666666666665</v>
      </c>
      <c r="R176" s="2">
        <f>PerfRate[[#This Row],[ManagerRating]] - PerfRate[[#This Row],[SelfRating]]</f>
        <v>-1</v>
      </c>
    </row>
    <row r="177" spans="1:18">
      <c r="A177" s="2" t="s">
        <v>4484</v>
      </c>
      <c r="B177" s="2" t="s">
        <v>4263</v>
      </c>
      <c r="C177" s="1">
        <v>42466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  <c r="L177" s="2" t="s">
        <v>11029</v>
      </c>
      <c r="M177" s="2" t="s">
        <v>11029</v>
      </c>
      <c r="N177" s="2" t="s">
        <v>11036</v>
      </c>
      <c r="O177" s="2" t="s">
        <v>11035</v>
      </c>
      <c r="P177" s="2" t="s">
        <v>11036</v>
      </c>
      <c r="Q177" s="2">
        <f>AVERAGE(PerfRate[[#This Row],[EnvironmentSatisfaction]],PerfRate[[#This Row],[JobSatisfaction]],PerfRate[[#This Row],[RelationshipSatisfaction]])</f>
        <v>2.6666666666666665</v>
      </c>
      <c r="R177" s="2">
        <f>PerfRate[[#This Row],[ManagerRating]] - PerfRate[[#This Row],[SelfRating]]</f>
        <v>0</v>
      </c>
    </row>
    <row r="178" spans="1:18">
      <c r="A178" s="2" t="s">
        <v>4485</v>
      </c>
      <c r="B178" s="2" t="s">
        <v>2153</v>
      </c>
      <c r="C178" s="1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  <c r="L178" s="2" t="s">
        <v>11030</v>
      </c>
      <c r="M178" s="2" t="s">
        <v>11030</v>
      </c>
      <c r="N178" s="2" t="s">
        <v>11038</v>
      </c>
      <c r="O178" s="2" t="s">
        <v>11035</v>
      </c>
      <c r="P178" s="2" t="s">
        <v>11038</v>
      </c>
      <c r="Q178" s="2">
        <f>AVERAGE(PerfRate[[#This Row],[EnvironmentSatisfaction]],PerfRate[[#This Row],[JobSatisfaction]],PerfRate[[#This Row],[RelationshipSatisfaction]])</f>
        <v>4</v>
      </c>
      <c r="R178" s="2">
        <f>PerfRate[[#This Row],[ManagerRating]] - PerfRate[[#This Row],[SelfRating]]</f>
        <v>0</v>
      </c>
    </row>
    <row r="179" spans="1:18">
      <c r="A179" s="2" t="s">
        <v>4486</v>
      </c>
      <c r="B179" s="2" t="s">
        <v>437</v>
      </c>
      <c r="C179" s="1">
        <v>42496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  <c r="L179" s="2" t="s">
        <v>11030</v>
      </c>
      <c r="M179" s="2" t="s">
        <v>11030</v>
      </c>
      <c r="N179" s="2" t="s">
        <v>11036</v>
      </c>
      <c r="O179" s="2" t="s">
        <v>11036</v>
      </c>
      <c r="P179" s="2" t="s">
        <v>11037</v>
      </c>
      <c r="Q179" s="2">
        <f>AVERAGE(PerfRate[[#This Row],[EnvironmentSatisfaction]],PerfRate[[#This Row],[JobSatisfaction]],PerfRate[[#This Row],[RelationshipSatisfaction]])</f>
        <v>3.3333333333333335</v>
      </c>
      <c r="R179" s="2">
        <f>PerfRate[[#This Row],[ManagerRating]] - PerfRate[[#This Row],[SelfRating]]</f>
        <v>0</v>
      </c>
    </row>
    <row r="180" spans="1:18">
      <c r="A180" s="2" t="s">
        <v>4487</v>
      </c>
      <c r="B180" s="2" t="s">
        <v>3673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  <c r="L180" s="2" t="s">
        <v>11031</v>
      </c>
      <c r="M180" s="2" t="s">
        <v>11030</v>
      </c>
      <c r="N180" s="2" t="s">
        <v>11038</v>
      </c>
      <c r="O180" s="2" t="s">
        <v>11038</v>
      </c>
      <c r="P180" s="2" t="s">
        <v>11037</v>
      </c>
      <c r="Q180" s="2">
        <f>AVERAGE(PerfRate[[#This Row],[EnvironmentSatisfaction]],PerfRate[[#This Row],[JobSatisfaction]],PerfRate[[#This Row],[RelationshipSatisfaction]])</f>
        <v>4.666666666666667</v>
      </c>
      <c r="R180" s="2">
        <f>PerfRate[[#This Row],[ManagerRating]] - PerfRate[[#This Row],[SelfRating]]</f>
        <v>-1</v>
      </c>
    </row>
    <row r="181" spans="1:18">
      <c r="A181" s="2" t="s">
        <v>4488</v>
      </c>
      <c r="B181" s="2" t="s">
        <v>844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  <c r="L181" s="2" t="s">
        <v>11029</v>
      </c>
      <c r="M181" s="2" t="s">
        <v>11029</v>
      </c>
      <c r="N181" s="2" t="s">
        <v>11037</v>
      </c>
      <c r="O181" s="2" t="s">
        <v>11036</v>
      </c>
      <c r="P181" s="2" t="s">
        <v>11035</v>
      </c>
      <c r="Q181" s="2">
        <f>AVERAGE(PerfRate[[#This Row],[EnvironmentSatisfaction]],PerfRate[[#This Row],[JobSatisfaction]],PerfRate[[#This Row],[RelationshipSatisfaction]])</f>
        <v>3</v>
      </c>
      <c r="R181" s="2">
        <f>PerfRate[[#This Row],[ManagerRating]] - PerfRate[[#This Row],[SelfRating]]</f>
        <v>0</v>
      </c>
    </row>
    <row r="182" spans="1:18">
      <c r="A182" s="2" t="s">
        <v>4489</v>
      </c>
      <c r="B182" s="2" t="s">
        <v>741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  <c r="L182" s="2" t="s">
        <v>11029</v>
      </c>
      <c r="M182" s="2" t="s">
        <v>11028</v>
      </c>
      <c r="N182" s="2" t="s">
        <v>11037</v>
      </c>
      <c r="O182" s="2" t="s">
        <v>11038</v>
      </c>
      <c r="P182" s="2" t="s">
        <v>11036</v>
      </c>
      <c r="Q182" s="2">
        <f>AVERAGE(PerfRate[[#This Row],[EnvironmentSatisfaction]],PerfRate[[#This Row],[JobSatisfaction]],PerfRate[[#This Row],[RelationshipSatisfaction]])</f>
        <v>4</v>
      </c>
      <c r="R182" s="2">
        <f>PerfRate[[#This Row],[ManagerRating]] - PerfRate[[#This Row],[SelfRating]]</f>
        <v>-1</v>
      </c>
    </row>
    <row r="183" spans="1:18">
      <c r="A183" s="2" t="s">
        <v>4490</v>
      </c>
      <c r="B183" s="2" t="s">
        <v>416</v>
      </c>
      <c r="C183" s="1">
        <v>42619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  <c r="L183" s="2" t="s">
        <v>11029</v>
      </c>
      <c r="M183" s="2" t="s">
        <v>11029</v>
      </c>
      <c r="N183" s="2" t="s">
        <v>11036</v>
      </c>
      <c r="O183" s="2" t="s">
        <v>11036</v>
      </c>
      <c r="P183" s="2" t="s">
        <v>11036</v>
      </c>
      <c r="Q183" s="2">
        <f>AVERAGE(PerfRate[[#This Row],[EnvironmentSatisfaction]],PerfRate[[#This Row],[JobSatisfaction]],PerfRate[[#This Row],[RelationshipSatisfaction]])</f>
        <v>3</v>
      </c>
      <c r="R183" s="2">
        <f>PerfRate[[#This Row],[ManagerRating]] - PerfRate[[#This Row],[SelfRating]]</f>
        <v>0</v>
      </c>
    </row>
    <row r="184" spans="1:18">
      <c r="A184" s="2" t="s">
        <v>4491</v>
      </c>
      <c r="B184" s="2" t="s">
        <v>229</v>
      </c>
      <c r="C184" s="1">
        <v>42619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  <c r="L184" s="2" t="s">
        <v>11029</v>
      </c>
      <c r="M184" s="2" t="s">
        <v>11028</v>
      </c>
      <c r="N184" s="2" t="s">
        <v>11038</v>
      </c>
      <c r="O184" s="2" t="s">
        <v>11038</v>
      </c>
      <c r="P184" s="2" t="s">
        <v>11037</v>
      </c>
      <c r="Q184" s="2">
        <f>AVERAGE(PerfRate[[#This Row],[EnvironmentSatisfaction]],PerfRate[[#This Row],[JobSatisfaction]],PerfRate[[#This Row],[RelationshipSatisfaction]])</f>
        <v>4.666666666666667</v>
      </c>
      <c r="R184" s="2">
        <f>PerfRate[[#This Row],[ManagerRating]] - PerfRate[[#This Row],[SelfRating]]</f>
        <v>-1</v>
      </c>
    </row>
    <row r="185" spans="1:18">
      <c r="A185" s="2" t="s">
        <v>4492</v>
      </c>
      <c r="B185" s="2" t="s">
        <v>247</v>
      </c>
      <c r="C185" s="1">
        <v>42649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  <c r="L185" s="2" t="s">
        <v>11031</v>
      </c>
      <c r="M185" s="2" t="s">
        <v>11030</v>
      </c>
      <c r="N185" s="2" t="s">
        <v>11037</v>
      </c>
      <c r="O185" s="2" t="s">
        <v>11038</v>
      </c>
      <c r="P185" s="2" t="s">
        <v>11035</v>
      </c>
      <c r="Q185" s="2">
        <f>AVERAGE(PerfRate[[#This Row],[EnvironmentSatisfaction]],PerfRate[[#This Row],[JobSatisfaction]],PerfRate[[#This Row],[RelationshipSatisfaction]])</f>
        <v>3.6666666666666665</v>
      </c>
      <c r="R185" s="2">
        <f>PerfRate[[#This Row],[ManagerRating]] - PerfRate[[#This Row],[SelfRating]]</f>
        <v>-1</v>
      </c>
    </row>
    <row r="186" spans="1:18">
      <c r="A186" s="2" t="s">
        <v>4493</v>
      </c>
      <c r="B186" s="2" t="s">
        <v>1724</v>
      </c>
      <c r="C186" s="1">
        <v>42710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  <c r="L186" s="2" t="s">
        <v>11031</v>
      </c>
      <c r="M186" s="2" t="s">
        <v>11031</v>
      </c>
      <c r="N186" s="2" t="s">
        <v>11038</v>
      </c>
      <c r="O186" s="2" t="s">
        <v>11035</v>
      </c>
      <c r="P186" s="2" t="s">
        <v>11036</v>
      </c>
      <c r="Q186" s="2">
        <f>AVERAGE(PerfRate[[#This Row],[EnvironmentSatisfaction]],PerfRate[[#This Row],[JobSatisfaction]],PerfRate[[#This Row],[RelationshipSatisfaction]])</f>
        <v>3.3333333333333335</v>
      </c>
      <c r="R186" s="2">
        <f>PerfRate[[#This Row],[ManagerRating]] - PerfRate[[#This Row],[SelfRating]]</f>
        <v>0</v>
      </c>
    </row>
    <row r="187" spans="1:18">
      <c r="A187" s="2" t="s">
        <v>4494</v>
      </c>
      <c r="B187" s="2" t="s">
        <v>3829</v>
      </c>
      <c r="C187" s="1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  <c r="L187" s="2" t="s">
        <v>11031</v>
      </c>
      <c r="M187" s="2" t="s">
        <v>11031</v>
      </c>
      <c r="N187" s="2" t="s">
        <v>11038</v>
      </c>
      <c r="O187" s="2" t="s">
        <v>11038</v>
      </c>
      <c r="P187" s="2" t="s">
        <v>11035</v>
      </c>
      <c r="Q187" s="2">
        <f>AVERAGE(PerfRate[[#This Row],[EnvironmentSatisfaction]],PerfRate[[#This Row],[JobSatisfaction]],PerfRate[[#This Row],[RelationshipSatisfaction]])</f>
        <v>4</v>
      </c>
      <c r="R187" s="2">
        <f>PerfRate[[#This Row],[ManagerRating]] - PerfRate[[#This Row],[SelfRating]]</f>
        <v>0</v>
      </c>
    </row>
    <row r="188" spans="1:18">
      <c r="A188" s="2" t="s">
        <v>4495</v>
      </c>
      <c r="B188" s="2" t="s">
        <v>3254</v>
      </c>
      <c r="C188" s="1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  <c r="L188" s="2" t="s">
        <v>11031</v>
      </c>
      <c r="M188" s="2" t="s">
        <v>11031</v>
      </c>
      <c r="N188" s="2" t="s">
        <v>11036</v>
      </c>
      <c r="O188" s="2" t="s">
        <v>11038</v>
      </c>
      <c r="P188" s="2" t="s">
        <v>11038</v>
      </c>
      <c r="Q188" s="2">
        <f>AVERAGE(PerfRate[[#This Row],[EnvironmentSatisfaction]],PerfRate[[#This Row],[JobSatisfaction]],PerfRate[[#This Row],[RelationshipSatisfaction]])</f>
        <v>4.333333333333333</v>
      </c>
      <c r="R188" s="2">
        <f>PerfRate[[#This Row],[ManagerRating]] - PerfRate[[#This Row],[SelfRating]]</f>
        <v>0</v>
      </c>
    </row>
    <row r="189" spans="1:18">
      <c r="A189" s="2" t="s">
        <v>4496</v>
      </c>
      <c r="B189" s="2" t="s">
        <v>1641</v>
      </c>
      <c r="C189" s="1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  <c r="L189" s="2" t="s">
        <v>11031</v>
      </c>
      <c r="M189" s="2" t="s">
        <v>11030</v>
      </c>
      <c r="N189" s="2" t="s">
        <v>11036</v>
      </c>
      <c r="O189" s="2" t="s">
        <v>11036</v>
      </c>
      <c r="P189" s="2" t="s">
        <v>11038</v>
      </c>
      <c r="Q189" s="2">
        <f>AVERAGE(PerfRate[[#This Row],[EnvironmentSatisfaction]],PerfRate[[#This Row],[JobSatisfaction]],PerfRate[[#This Row],[RelationshipSatisfaction]])</f>
        <v>3.6666666666666665</v>
      </c>
      <c r="R189" s="2">
        <f>PerfRate[[#This Row],[ManagerRating]] - PerfRate[[#This Row],[SelfRating]]</f>
        <v>-1</v>
      </c>
    </row>
    <row r="190" spans="1:18">
      <c r="A190" s="2" t="s">
        <v>4497</v>
      </c>
      <c r="B190" s="2" t="s">
        <v>440</v>
      </c>
      <c r="C190" s="1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  <c r="L190" s="2" t="s">
        <v>11030</v>
      </c>
      <c r="M190" s="2" t="s">
        <v>11029</v>
      </c>
      <c r="N190" s="2" t="s">
        <v>11038</v>
      </c>
      <c r="O190" s="2" t="s">
        <v>11038</v>
      </c>
      <c r="P190" s="2" t="s">
        <v>11037</v>
      </c>
      <c r="Q190" s="2">
        <f>AVERAGE(PerfRate[[#This Row],[EnvironmentSatisfaction]],PerfRate[[#This Row],[JobSatisfaction]],PerfRate[[#This Row],[RelationshipSatisfaction]])</f>
        <v>4.666666666666667</v>
      </c>
      <c r="R190" s="2">
        <f>PerfRate[[#This Row],[ManagerRating]] - PerfRate[[#This Row],[SelfRating]]</f>
        <v>-1</v>
      </c>
    </row>
    <row r="191" spans="1:18">
      <c r="A191" s="2" t="s">
        <v>4498</v>
      </c>
      <c r="B191" s="2" t="s">
        <v>919</v>
      </c>
      <c r="C191" s="1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  <c r="L191" s="2" t="s">
        <v>11031</v>
      </c>
      <c r="M191" s="2" t="s">
        <v>11030</v>
      </c>
      <c r="N191" s="2" t="s">
        <v>11036</v>
      </c>
      <c r="O191" s="2" t="s">
        <v>11038</v>
      </c>
      <c r="P191" s="2" t="s">
        <v>11036</v>
      </c>
      <c r="Q191" s="2">
        <f>AVERAGE(PerfRate[[#This Row],[EnvironmentSatisfaction]],PerfRate[[#This Row],[JobSatisfaction]],PerfRate[[#This Row],[RelationshipSatisfaction]])</f>
        <v>3.6666666666666665</v>
      </c>
      <c r="R191" s="2">
        <f>PerfRate[[#This Row],[ManagerRating]] - PerfRate[[#This Row],[SelfRating]]</f>
        <v>-1</v>
      </c>
    </row>
    <row r="192" spans="1:18">
      <c r="A192" s="2" t="s">
        <v>4499</v>
      </c>
      <c r="B192" s="2" t="s">
        <v>374</v>
      </c>
      <c r="C192" s="1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  <c r="L192" s="2" t="s">
        <v>11029</v>
      </c>
      <c r="M192" s="2" t="s">
        <v>11029</v>
      </c>
      <c r="N192" s="2" t="s">
        <v>11037</v>
      </c>
      <c r="O192" s="2" t="s">
        <v>11037</v>
      </c>
      <c r="P192" s="2" t="s">
        <v>11036</v>
      </c>
      <c r="Q192" s="2">
        <f>AVERAGE(PerfRate[[#This Row],[EnvironmentSatisfaction]],PerfRate[[#This Row],[JobSatisfaction]],PerfRate[[#This Row],[RelationshipSatisfaction]])</f>
        <v>3.6666666666666665</v>
      </c>
      <c r="R192" s="2">
        <f>PerfRate[[#This Row],[ManagerRating]] - PerfRate[[#This Row],[SelfRating]]</f>
        <v>0</v>
      </c>
    </row>
    <row r="193" spans="1:18">
      <c r="A193" s="2" t="s">
        <v>4500</v>
      </c>
      <c r="B193" s="2" t="s">
        <v>344</v>
      </c>
      <c r="C193" s="1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  <c r="L193" s="2" t="s">
        <v>11029</v>
      </c>
      <c r="M193" s="2" t="s">
        <v>11028</v>
      </c>
      <c r="N193" s="2" t="s">
        <v>11036</v>
      </c>
      <c r="O193" s="2" t="s">
        <v>11035</v>
      </c>
      <c r="P193" s="2" t="s">
        <v>11036</v>
      </c>
      <c r="Q193" s="2">
        <f>AVERAGE(PerfRate[[#This Row],[EnvironmentSatisfaction]],PerfRate[[#This Row],[JobSatisfaction]],PerfRate[[#This Row],[RelationshipSatisfaction]])</f>
        <v>2.6666666666666665</v>
      </c>
      <c r="R193" s="2">
        <f>PerfRate[[#This Row],[ManagerRating]] - PerfRate[[#This Row],[SelfRating]]</f>
        <v>-1</v>
      </c>
    </row>
    <row r="194" spans="1:18">
      <c r="A194" s="2" t="s">
        <v>4501</v>
      </c>
      <c r="B194" s="2" t="s">
        <v>732</v>
      </c>
      <c r="C194" s="1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  <c r="L194" s="2" t="s">
        <v>11030</v>
      </c>
      <c r="M194" s="2" t="s">
        <v>11029</v>
      </c>
      <c r="N194" s="2" t="s">
        <v>11037</v>
      </c>
      <c r="O194" s="2" t="s">
        <v>11038</v>
      </c>
      <c r="P194" s="2" t="s">
        <v>11037</v>
      </c>
      <c r="Q194" s="2">
        <f>AVERAGE(PerfRate[[#This Row],[EnvironmentSatisfaction]],PerfRate[[#This Row],[JobSatisfaction]],PerfRate[[#This Row],[RelationshipSatisfaction]])</f>
        <v>4.333333333333333</v>
      </c>
      <c r="R194" s="2">
        <f>PerfRate[[#This Row],[ManagerRating]] - PerfRate[[#This Row],[SelfRating]]</f>
        <v>-1</v>
      </c>
    </row>
    <row r="195" spans="1:18">
      <c r="A195" s="2" t="s">
        <v>4502</v>
      </c>
      <c r="B195" s="2" t="s">
        <v>293</v>
      </c>
      <c r="C195" s="1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  <c r="L195" s="2" t="s">
        <v>11030</v>
      </c>
      <c r="M195" s="2" t="s">
        <v>11029</v>
      </c>
      <c r="N195" s="2" t="s">
        <v>11037</v>
      </c>
      <c r="O195" s="2" t="s">
        <v>11038</v>
      </c>
      <c r="P195" s="2" t="s">
        <v>11037</v>
      </c>
      <c r="Q195" s="2">
        <f>AVERAGE(PerfRate[[#This Row],[EnvironmentSatisfaction]],PerfRate[[#This Row],[JobSatisfaction]],PerfRate[[#This Row],[RelationshipSatisfaction]])</f>
        <v>4.333333333333333</v>
      </c>
      <c r="R195" s="2">
        <f>PerfRate[[#This Row],[ManagerRating]] - PerfRate[[#This Row],[SelfRating]]</f>
        <v>-1</v>
      </c>
    </row>
    <row r="196" spans="1:18">
      <c r="A196" s="2" t="s">
        <v>4503</v>
      </c>
      <c r="B196" s="2" t="s">
        <v>931</v>
      </c>
      <c r="C196" s="1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  <c r="L196" s="2" t="s">
        <v>11029</v>
      </c>
      <c r="M196" s="2" t="s">
        <v>11029</v>
      </c>
      <c r="N196" s="2" t="s">
        <v>11037</v>
      </c>
      <c r="O196" s="2" t="s">
        <v>11037</v>
      </c>
      <c r="P196" s="2" t="s">
        <v>11038</v>
      </c>
      <c r="Q196" s="2">
        <f>AVERAGE(PerfRate[[#This Row],[EnvironmentSatisfaction]],PerfRate[[#This Row],[JobSatisfaction]],PerfRate[[#This Row],[RelationshipSatisfaction]])</f>
        <v>4.333333333333333</v>
      </c>
      <c r="R196" s="2">
        <f>PerfRate[[#This Row],[ManagerRating]] - PerfRate[[#This Row],[SelfRating]]</f>
        <v>0</v>
      </c>
    </row>
    <row r="197" spans="1:18">
      <c r="A197" s="2" t="s">
        <v>4504</v>
      </c>
      <c r="B197" s="2" t="s">
        <v>2672</v>
      </c>
      <c r="C197" s="1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  <c r="L197" s="2" t="s">
        <v>11029</v>
      </c>
      <c r="M197" s="2" t="s">
        <v>11029</v>
      </c>
      <c r="N197" s="2" t="s">
        <v>11036</v>
      </c>
      <c r="O197" s="2" t="s">
        <v>11035</v>
      </c>
      <c r="P197" s="2" t="s">
        <v>11037</v>
      </c>
      <c r="Q197" s="2">
        <f>AVERAGE(PerfRate[[#This Row],[EnvironmentSatisfaction]],PerfRate[[#This Row],[JobSatisfaction]],PerfRate[[#This Row],[RelationshipSatisfaction]])</f>
        <v>3</v>
      </c>
      <c r="R197" s="2">
        <f>PerfRate[[#This Row],[ManagerRating]] - PerfRate[[#This Row],[SelfRating]]</f>
        <v>0</v>
      </c>
    </row>
    <row r="198" spans="1:18">
      <c r="A198" s="2" t="s">
        <v>4505</v>
      </c>
      <c r="B198" s="2" t="s">
        <v>217</v>
      </c>
      <c r="C198" s="1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  <c r="L198" s="2" t="s">
        <v>11031</v>
      </c>
      <c r="M198" s="2" t="s">
        <v>11030</v>
      </c>
      <c r="N198" s="2" t="s">
        <v>11037</v>
      </c>
      <c r="O198" s="2" t="s">
        <v>11036</v>
      </c>
      <c r="P198" s="2" t="s">
        <v>11038</v>
      </c>
      <c r="Q198" s="2">
        <f>AVERAGE(PerfRate[[#This Row],[EnvironmentSatisfaction]],PerfRate[[#This Row],[JobSatisfaction]],PerfRate[[#This Row],[RelationshipSatisfaction]])</f>
        <v>4</v>
      </c>
      <c r="R198" s="2">
        <f>PerfRate[[#This Row],[ManagerRating]] - PerfRate[[#This Row],[SelfRating]]</f>
        <v>-1</v>
      </c>
    </row>
    <row r="199" spans="1:18">
      <c r="A199" s="2" t="s">
        <v>4506</v>
      </c>
      <c r="B199" s="2" t="s">
        <v>195</v>
      </c>
      <c r="C199" s="1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  <c r="L199" s="2" t="s">
        <v>11030</v>
      </c>
      <c r="M199" s="2" t="s">
        <v>11030</v>
      </c>
      <c r="N199" s="2" t="s">
        <v>11037</v>
      </c>
      <c r="O199" s="2" t="s">
        <v>11037</v>
      </c>
      <c r="P199" s="2" t="s">
        <v>11036</v>
      </c>
      <c r="Q199" s="2">
        <f>AVERAGE(PerfRate[[#This Row],[EnvironmentSatisfaction]],PerfRate[[#This Row],[JobSatisfaction]],PerfRate[[#This Row],[RelationshipSatisfaction]])</f>
        <v>3.6666666666666665</v>
      </c>
      <c r="R199" s="2">
        <f>PerfRate[[#This Row],[ManagerRating]] - PerfRate[[#This Row],[SelfRating]]</f>
        <v>0</v>
      </c>
    </row>
    <row r="200" spans="1:18">
      <c r="A200" s="2" t="s">
        <v>4507</v>
      </c>
      <c r="B200" s="2" t="s">
        <v>2366</v>
      </c>
      <c r="C200" s="1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  <c r="L200" s="2" t="s">
        <v>11031</v>
      </c>
      <c r="M200" s="2" t="s">
        <v>11030</v>
      </c>
      <c r="N200" s="2" t="s">
        <v>11037</v>
      </c>
      <c r="O200" s="2" t="s">
        <v>11038</v>
      </c>
      <c r="P200" s="2" t="s">
        <v>11036</v>
      </c>
      <c r="Q200" s="2">
        <f>AVERAGE(PerfRate[[#This Row],[EnvironmentSatisfaction]],PerfRate[[#This Row],[JobSatisfaction]],PerfRate[[#This Row],[RelationshipSatisfaction]])</f>
        <v>4</v>
      </c>
      <c r="R200" s="2">
        <f>PerfRate[[#This Row],[ManagerRating]] - PerfRate[[#This Row],[SelfRating]]</f>
        <v>-1</v>
      </c>
    </row>
    <row r="201" spans="1:18">
      <c r="A201" s="2" t="s">
        <v>4508</v>
      </c>
      <c r="B201" s="2" t="s">
        <v>487</v>
      </c>
      <c r="C201" s="1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  <c r="L201" s="2" t="s">
        <v>11030</v>
      </c>
      <c r="M201" s="2" t="s">
        <v>11030</v>
      </c>
      <c r="N201" s="2" t="s">
        <v>11038</v>
      </c>
      <c r="O201" s="2" t="s">
        <v>11036</v>
      </c>
      <c r="P201" s="2" t="s">
        <v>11036</v>
      </c>
      <c r="Q201" s="2">
        <f>AVERAGE(PerfRate[[#This Row],[EnvironmentSatisfaction]],PerfRate[[#This Row],[JobSatisfaction]],PerfRate[[#This Row],[RelationshipSatisfaction]])</f>
        <v>3.6666666666666665</v>
      </c>
      <c r="R201" s="2">
        <f>PerfRate[[#This Row],[ManagerRating]] - PerfRate[[#This Row],[SelfRating]]</f>
        <v>0</v>
      </c>
    </row>
    <row r="202" spans="1:18">
      <c r="A202" s="2" t="s">
        <v>4509</v>
      </c>
      <c r="B202" s="2" t="s">
        <v>329</v>
      </c>
      <c r="C202" s="1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  <c r="L202" s="2" t="s">
        <v>11029</v>
      </c>
      <c r="M202" s="2" t="s">
        <v>11028</v>
      </c>
      <c r="N202" s="2" t="s">
        <v>11037</v>
      </c>
      <c r="O202" s="2" t="s">
        <v>11037</v>
      </c>
      <c r="P202" s="2" t="s">
        <v>11036</v>
      </c>
      <c r="Q202" s="2">
        <f>AVERAGE(PerfRate[[#This Row],[EnvironmentSatisfaction]],PerfRate[[#This Row],[JobSatisfaction]],PerfRate[[#This Row],[RelationshipSatisfaction]])</f>
        <v>3.6666666666666665</v>
      </c>
      <c r="R202" s="2">
        <f>PerfRate[[#This Row],[ManagerRating]] - PerfRate[[#This Row],[SelfRating]]</f>
        <v>-1</v>
      </c>
    </row>
    <row r="203" spans="1:18">
      <c r="A203" s="2" t="s">
        <v>4510</v>
      </c>
      <c r="B203" s="2" t="s">
        <v>434</v>
      </c>
      <c r="C203" s="1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  <c r="L203" s="2" t="s">
        <v>11029</v>
      </c>
      <c r="M203" s="2" t="s">
        <v>11029</v>
      </c>
      <c r="N203" s="2" t="s">
        <v>11037</v>
      </c>
      <c r="O203" s="2" t="s">
        <v>11035</v>
      </c>
      <c r="P203" s="2" t="s">
        <v>11038</v>
      </c>
      <c r="Q203" s="2">
        <f>AVERAGE(PerfRate[[#This Row],[EnvironmentSatisfaction]],PerfRate[[#This Row],[JobSatisfaction]],PerfRate[[#This Row],[RelationshipSatisfaction]])</f>
        <v>3.6666666666666665</v>
      </c>
      <c r="R203" s="2">
        <f>PerfRate[[#This Row],[ManagerRating]] - PerfRate[[#This Row],[SelfRating]]</f>
        <v>0</v>
      </c>
    </row>
    <row r="204" spans="1:18">
      <c r="A204" s="2" t="s">
        <v>4511</v>
      </c>
      <c r="B204" s="2" t="s">
        <v>443</v>
      </c>
      <c r="C204" s="1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  <c r="L204" s="2" t="s">
        <v>11031</v>
      </c>
      <c r="M204" s="2" t="s">
        <v>11030</v>
      </c>
      <c r="N204" s="2" t="s">
        <v>11036</v>
      </c>
      <c r="O204" s="2" t="s">
        <v>11036</v>
      </c>
      <c r="P204" s="2" t="s">
        <v>11037</v>
      </c>
      <c r="Q204" s="2">
        <f>AVERAGE(PerfRate[[#This Row],[EnvironmentSatisfaction]],PerfRate[[#This Row],[JobSatisfaction]],PerfRate[[#This Row],[RelationshipSatisfaction]])</f>
        <v>3.3333333333333335</v>
      </c>
      <c r="R204" s="2">
        <f>PerfRate[[#This Row],[ManagerRating]] - PerfRate[[#This Row],[SelfRating]]</f>
        <v>-1</v>
      </c>
    </row>
    <row r="205" spans="1:18">
      <c r="A205" s="2" t="s">
        <v>4512</v>
      </c>
      <c r="B205" s="2" t="s">
        <v>332</v>
      </c>
      <c r="C205" s="1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  <c r="L205" s="2" t="s">
        <v>11030</v>
      </c>
      <c r="M205" s="2" t="s">
        <v>11029</v>
      </c>
      <c r="N205" s="2" t="s">
        <v>11036</v>
      </c>
      <c r="O205" s="2" t="s">
        <v>11035</v>
      </c>
      <c r="P205" s="2" t="s">
        <v>11036</v>
      </c>
      <c r="Q205" s="2">
        <f>AVERAGE(PerfRate[[#This Row],[EnvironmentSatisfaction]],PerfRate[[#This Row],[JobSatisfaction]],PerfRate[[#This Row],[RelationshipSatisfaction]])</f>
        <v>2.6666666666666665</v>
      </c>
      <c r="R205" s="2">
        <f>PerfRate[[#This Row],[ManagerRating]] - PerfRate[[#This Row],[SelfRating]]</f>
        <v>-1</v>
      </c>
    </row>
    <row r="206" spans="1:18">
      <c r="A206" s="2" t="s">
        <v>4513</v>
      </c>
      <c r="B206" s="2" t="s">
        <v>565</v>
      </c>
      <c r="C206" s="1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  <c r="L206" s="2" t="s">
        <v>11030</v>
      </c>
      <c r="M206" s="2" t="s">
        <v>11030</v>
      </c>
      <c r="N206" s="2" t="s">
        <v>11036</v>
      </c>
      <c r="O206" s="2" t="s">
        <v>11037</v>
      </c>
      <c r="P206" s="2" t="s">
        <v>11036</v>
      </c>
      <c r="Q206" s="2">
        <f>AVERAGE(PerfRate[[#This Row],[EnvironmentSatisfaction]],PerfRate[[#This Row],[JobSatisfaction]],PerfRate[[#This Row],[RelationshipSatisfaction]])</f>
        <v>3.3333333333333335</v>
      </c>
      <c r="R206" s="2">
        <f>PerfRate[[#This Row],[ManagerRating]] - PerfRate[[#This Row],[SelfRating]]</f>
        <v>0</v>
      </c>
    </row>
    <row r="207" spans="1:18">
      <c r="A207" s="2" t="s">
        <v>4514</v>
      </c>
      <c r="B207" s="2" t="s">
        <v>1657</v>
      </c>
      <c r="C207" s="1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  <c r="L207" s="2" t="s">
        <v>11029</v>
      </c>
      <c r="M207" s="2" t="s">
        <v>11029</v>
      </c>
      <c r="N207" s="2" t="s">
        <v>11038</v>
      </c>
      <c r="O207" s="2" t="s">
        <v>11038</v>
      </c>
      <c r="P207" s="2" t="s">
        <v>11038</v>
      </c>
      <c r="Q207" s="2">
        <f>AVERAGE(PerfRate[[#This Row],[EnvironmentSatisfaction]],PerfRate[[#This Row],[JobSatisfaction]],PerfRate[[#This Row],[RelationshipSatisfaction]])</f>
        <v>5</v>
      </c>
      <c r="R207" s="2">
        <f>PerfRate[[#This Row],[ManagerRating]] - PerfRate[[#This Row],[SelfRating]]</f>
        <v>0</v>
      </c>
    </row>
    <row r="208" spans="1:18">
      <c r="A208" s="2" t="s">
        <v>4515</v>
      </c>
      <c r="B208" s="2" t="s">
        <v>201</v>
      </c>
      <c r="C208" s="1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  <c r="L208" s="2" t="s">
        <v>11030</v>
      </c>
      <c r="M208" s="2" t="s">
        <v>11030</v>
      </c>
      <c r="N208" s="2" t="s">
        <v>11037</v>
      </c>
      <c r="O208" s="2" t="s">
        <v>11038</v>
      </c>
      <c r="P208" s="2" t="s">
        <v>11038</v>
      </c>
      <c r="Q208" s="2">
        <f>AVERAGE(PerfRate[[#This Row],[EnvironmentSatisfaction]],PerfRate[[#This Row],[JobSatisfaction]],PerfRate[[#This Row],[RelationshipSatisfaction]])</f>
        <v>4.666666666666667</v>
      </c>
      <c r="R208" s="2">
        <f>PerfRate[[#This Row],[ManagerRating]] - PerfRate[[#This Row],[SelfRating]]</f>
        <v>0</v>
      </c>
    </row>
    <row r="209" spans="1:18">
      <c r="A209" s="2" t="s">
        <v>4516</v>
      </c>
      <c r="B209" s="2" t="s">
        <v>476</v>
      </c>
      <c r="C209" s="1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  <c r="L209" s="2" t="s">
        <v>11031</v>
      </c>
      <c r="M209" s="2" t="s">
        <v>11031</v>
      </c>
      <c r="N209" s="2" t="s">
        <v>11038</v>
      </c>
      <c r="O209" s="2" t="s">
        <v>11038</v>
      </c>
      <c r="P209" s="2" t="s">
        <v>11037</v>
      </c>
      <c r="Q209" s="2">
        <f>AVERAGE(PerfRate[[#This Row],[EnvironmentSatisfaction]],PerfRate[[#This Row],[JobSatisfaction]],PerfRate[[#This Row],[RelationshipSatisfaction]])</f>
        <v>4.666666666666667</v>
      </c>
      <c r="R209" s="2">
        <f>PerfRate[[#This Row],[ManagerRating]] - PerfRate[[#This Row],[SelfRating]]</f>
        <v>0</v>
      </c>
    </row>
    <row r="210" spans="1:18">
      <c r="A210" s="2" t="s">
        <v>4517</v>
      </c>
      <c r="B210" s="2" t="s">
        <v>640</v>
      </c>
      <c r="C210" s="1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  <c r="L210" s="2" t="s">
        <v>11029</v>
      </c>
      <c r="M210" s="2" t="s">
        <v>11029</v>
      </c>
      <c r="N210" s="2" t="s">
        <v>11037</v>
      </c>
      <c r="O210" s="2" t="s">
        <v>11037</v>
      </c>
      <c r="P210" s="2" t="s">
        <v>11036</v>
      </c>
      <c r="Q210" s="2">
        <f>AVERAGE(PerfRate[[#This Row],[EnvironmentSatisfaction]],PerfRate[[#This Row],[JobSatisfaction]],PerfRate[[#This Row],[RelationshipSatisfaction]])</f>
        <v>3.6666666666666665</v>
      </c>
      <c r="R210" s="2">
        <f>PerfRate[[#This Row],[ManagerRating]] - PerfRate[[#This Row],[SelfRating]]</f>
        <v>0</v>
      </c>
    </row>
    <row r="211" spans="1:18">
      <c r="A211" s="2" t="s">
        <v>4518</v>
      </c>
      <c r="B211" s="2" t="s">
        <v>214</v>
      </c>
      <c r="C211" s="1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  <c r="L211" s="2" t="s">
        <v>11030</v>
      </c>
      <c r="M211" s="2" t="s">
        <v>11029</v>
      </c>
      <c r="N211" s="2" t="s">
        <v>11036</v>
      </c>
      <c r="O211" s="2" t="s">
        <v>11035</v>
      </c>
      <c r="P211" s="2" t="s">
        <v>11035</v>
      </c>
      <c r="Q211" s="2">
        <f>AVERAGE(PerfRate[[#This Row],[EnvironmentSatisfaction]],PerfRate[[#This Row],[JobSatisfaction]],PerfRate[[#This Row],[RelationshipSatisfaction]])</f>
        <v>2.3333333333333335</v>
      </c>
      <c r="R211" s="2">
        <f>PerfRate[[#This Row],[ManagerRating]] - PerfRate[[#This Row],[SelfRating]]</f>
        <v>-1</v>
      </c>
    </row>
    <row r="212" spans="1:18">
      <c r="A212" s="2" t="s">
        <v>4519</v>
      </c>
      <c r="B212" s="2" t="s">
        <v>3531</v>
      </c>
      <c r="C212" s="1">
        <v>42376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  <c r="L212" s="2" t="s">
        <v>11031</v>
      </c>
      <c r="M212" s="2" t="s">
        <v>11030</v>
      </c>
      <c r="N212" s="2" t="s">
        <v>11038</v>
      </c>
      <c r="O212" s="2" t="s">
        <v>11037</v>
      </c>
      <c r="P212" s="2" t="s">
        <v>11035</v>
      </c>
      <c r="Q212" s="2">
        <f>AVERAGE(PerfRate[[#This Row],[EnvironmentSatisfaction]],PerfRate[[#This Row],[JobSatisfaction]],PerfRate[[#This Row],[RelationshipSatisfaction]])</f>
        <v>3.6666666666666665</v>
      </c>
      <c r="R212" s="2">
        <f>PerfRate[[#This Row],[ManagerRating]] - PerfRate[[#This Row],[SelfRating]]</f>
        <v>-1</v>
      </c>
    </row>
    <row r="213" spans="1:18">
      <c r="A213" s="2" t="s">
        <v>4520</v>
      </c>
      <c r="B213" s="2" t="s">
        <v>263</v>
      </c>
      <c r="C213" s="1">
        <v>42376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  <c r="L213" s="2" t="s">
        <v>11030</v>
      </c>
      <c r="M213" s="2" t="s">
        <v>11030</v>
      </c>
      <c r="N213" s="2" t="s">
        <v>11036</v>
      </c>
      <c r="O213" s="2" t="s">
        <v>11037</v>
      </c>
      <c r="P213" s="2" t="s">
        <v>11035</v>
      </c>
      <c r="Q213" s="2">
        <f>AVERAGE(PerfRate[[#This Row],[EnvironmentSatisfaction]],PerfRate[[#This Row],[JobSatisfaction]],PerfRate[[#This Row],[RelationshipSatisfaction]])</f>
        <v>3</v>
      </c>
      <c r="R213" s="2">
        <f>PerfRate[[#This Row],[ManagerRating]] - PerfRate[[#This Row],[SelfRating]]</f>
        <v>0</v>
      </c>
    </row>
    <row r="214" spans="1:18">
      <c r="A214" s="2" t="s">
        <v>4521</v>
      </c>
      <c r="B214" s="2" t="s">
        <v>880</v>
      </c>
      <c r="C214" s="1">
        <v>42376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  <c r="L214" s="2" t="s">
        <v>11031</v>
      </c>
      <c r="M214" s="2" t="s">
        <v>11031</v>
      </c>
      <c r="N214" s="2" t="s">
        <v>11037</v>
      </c>
      <c r="O214" s="2" t="s">
        <v>11037</v>
      </c>
      <c r="P214" s="2" t="s">
        <v>11036</v>
      </c>
      <c r="Q214" s="2">
        <f>AVERAGE(PerfRate[[#This Row],[EnvironmentSatisfaction]],PerfRate[[#This Row],[JobSatisfaction]],PerfRate[[#This Row],[RelationshipSatisfaction]])</f>
        <v>3.6666666666666665</v>
      </c>
      <c r="R214" s="2">
        <f>PerfRate[[#This Row],[ManagerRating]] - PerfRate[[#This Row],[SelfRating]]</f>
        <v>0</v>
      </c>
    </row>
    <row r="215" spans="1:18">
      <c r="A215" s="2" t="s">
        <v>4522</v>
      </c>
      <c r="B215" s="2" t="s">
        <v>2572</v>
      </c>
      <c r="C215" s="1">
        <v>42376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  <c r="L215" s="2" t="s">
        <v>11029</v>
      </c>
      <c r="M215" s="2" t="s">
        <v>11029</v>
      </c>
      <c r="N215" s="2" t="s">
        <v>11036</v>
      </c>
      <c r="O215" s="2" t="s">
        <v>11037</v>
      </c>
      <c r="P215" s="2" t="s">
        <v>11038</v>
      </c>
      <c r="Q215" s="2">
        <f>AVERAGE(PerfRate[[#This Row],[EnvironmentSatisfaction]],PerfRate[[#This Row],[JobSatisfaction]],PerfRate[[#This Row],[RelationshipSatisfaction]])</f>
        <v>4</v>
      </c>
      <c r="R215" s="2">
        <f>PerfRate[[#This Row],[ManagerRating]] - PerfRate[[#This Row],[SelfRating]]</f>
        <v>0</v>
      </c>
    </row>
    <row r="216" spans="1:18">
      <c r="A216" s="2" t="s">
        <v>4523</v>
      </c>
      <c r="B216" s="2" t="s">
        <v>467</v>
      </c>
      <c r="C216" s="1">
        <v>42436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  <c r="L216" s="2" t="s">
        <v>11031</v>
      </c>
      <c r="M216" s="2" t="s">
        <v>11031</v>
      </c>
      <c r="N216" s="2" t="s">
        <v>11037</v>
      </c>
      <c r="O216" s="2" t="s">
        <v>11036</v>
      </c>
      <c r="P216" s="2" t="s">
        <v>11038</v>
      </c>
      <c r="Q216" s="2">
        <f>AVERAGE(PerfRate[[#This Row],[EnvironmentSatisfaction]],PerfRate[[#This Row],[JobSatisfaction]],PerfRate[[#This Row],[RelationshipSatisfaction]])</f>
        <v>4</v>
      </c>
      <c r="R216" s="2">
        <f>PerfRate[[#This Row],[ManagerRating]] - PerfRate[[#This Row],[SelfRating]]</f>
        <v>0</v>
      </c>
    </row>
    <row r="217" spans="1:18">
      <c r="A217" s="2" t="s">
        <v>4524</v>
      </c>
      <c r="B217" s="2" t="s">
        <v>505</v>
      </c>
      <c r="C217" s="1">
        <v>42497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  <c r="L217" s="2" t="s">
        <v>11029</v>
      </c>
      <c r="M217" s="2" t="s">
        <v>11029</v>
      </c>
      <c r="N217" s="2" t="s">
        <v>11037</v>
      </c>
      <c r="O217" s="2" t="s">
        <v>11035</v>
      </c>
      <c r="P217" s="2" t="s">
        <v>11037</v>
      </c>
      <c r="Q217" s="2">
        <f>AVERAGE(PerfRate[[#This Row],[EnvironmentSatisfaction]],PerfRate[[#This Row],[JobSatisfaction]],PerfRate[[#This Row],[RelationshipSatisfaction]])</f>
        <v>3.3333333333333335</v>
      </c>
      <c r="R217" s="2">
        <f>PerfRate[[#This Row],[ManagerRating]] - PerfRate[[#This Row],[SelfRating]]</f>
        <v>0</v>
      </c>
    </row>
    <row r="218" spans="1:18">
      <c r="A218" s="2" t="s">
        <v>4525</v>
      </c>
      <c r="B218" s="2" t="s">
        <v>179</v>
      </c>
      <c r="C218" s="1">
        <v>42528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  <c r="L218" s="2" t="s">
        <v>11031</v>
      </c>
      <c r="M218" s="2" t="s">
        <v>11030</v>
      </c>
      <c r="N218" s="2" t="s">
        <v>11036</v>
      </c>
      <c r="O218" s="2" t="s">
        <v>11035</v>
      </c>
      <c r="P218" s="2" t="s">
        <v>11035</v>
      </c>
      <c r="Q218" s="2">
        <f>AVERAGE(PerfRate[[#This Row],[EnvironmentSatisfaction]],PerfRate[[#This Row],[JobSatisfaction]],PerfRate[[#This Row],[RelationshipSatisfaction]])</f>
        <v>2.3333333333333335</v>
      </c>
      <c r="R218" s="2">
        <f>PerfRate[[#This Row],[ManagerRating]] - PerfRate[[#This Row],[SelfRating]]</f>
        <v>-1</v>
      </c>
    </row>
    <row r="219" spans="1:18">
      <c r="A219" s="2" t="s">
        <v>4526</v>
      </c>
      <c r="B219" s="2" t="s">
        <v>3549</v>
      </c>
      <c r="C219" s="1">
        <v>42589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  <c r="L219" s="2" t="s">
        <v>11030</v>
      </c>
      <c r="M219" s="2" t="s">
        <v>11030</v>
      </c>
      <c r="N219" s="2" t="s">
        <v>11038</v>
      </c>
      <c r="O219" s="2" t="s">
        <v>11036</v>
      </c>
      <c r="P219" s="2" t="s">
        <v>11038</v>
      </c>
      <c r="Q219" s="2">
        <f>AVERAGE(PerfRate[[#This Row],[EnvironmentSatisfaction]],PerfRate[[#This Row],[JobSatisfaction]],PerfRate[[#This Row],[RelationshipSatisfaction]])</f>
        <v>4.333333333333333</v>
      </c>
      <c r="R219" s="2">
        <f>PerfRate[[#This Row],[ManagerRating]] - PerfRate[[#This Row],[SelfRating]]</f>
        <v>0</v>
      </c>
    </row>
    <row r="220" spans="1:18">
      <c r="A220" s="2" t="s">
        <v>4527</v>
      </c>
      <c r="B220" s="2" t="s">
        <v>541</v>
      </c>
      <c r="C220" s="1">
        <v>42589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  <c r="L220" s="2" t="s">
        <v>11029</v>
      </c>
      <c r="M220" s="2" t="s">
        <v>11029</v>
      </c>
      <c r="N220" s="2" t="s">
        <v>11037</v>
      </c>
      <c r="O220" s="2" t="s">
        <v>11036</v>
      </c>
      <c r="P220" s="2" t="s">
        <v>11036</v>
      </c>
      <c r="Q220" s="2">
        <f>AVERAGE(PerfRate[[#This Row],[EnvironmentSatisfaction]],PerfRate[[#This Row],[JobSatisfaction]],PerfRate[[#This Row],[RelationshipSatisfaction]])</f>
        <v>3.3333333333333335</v>
      </c>
      <c r="R220" s="2">
        <f>PerfRate[[#This Row],[ManagerRating]] - PerfRate[[#This Row],[SelfRating]]</f>
        <v>0</v>
      </c>
    </row>
    <row r="221" spans="1:18">
      <c r="A221" s="2" t="s">
        <v>4528</v>
      </c>
      <c r="B221" s="2" t="s">
        <v>232</v>
      </c>
      <c r="C221" s="1">
        <v>42620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  <c r="L221" s="2" t="s">
        <v>11029</v>
      </c>
      <c r="M221" s="2" t="s">
        <v>11029</v>
      </c>
      <c r="N221" s="2" t="s">
        <v>11036</v>
      </c>
      <c r="O221" s="2" t="s">
        <v>11035</v>
      </c>
      <c r="P221" s="2" t="s">
        <v>11035</v>
      </c>
      <c r="Q221" s="2">
        <f>AVERAGE(PerfRate[[#This Row],[EnvironmentSatisfaction]],PerfRate[[#This Row],[JobSatisfaction]],PerfRate[[#This Row],[RelationshipSatisfaction]])</f>
        <v>2.3333333333333335</v>
      </c>
      <c r="R221" s="2">
        <f>PerfRate[[#This Row],[ManagerRating]] - PerfRate[[#This Row],[SelfRating]]</f>
        <v>0</v>
      </c>
    </row>
    <row r="222" spans="1:18">
      <c r="A222" s="2" t="s">
        <v>4529</v>
      </c>
      <c r="B222" s="2" t="s">
        <v>1868</v>
      </c>
      <c r="C222" s="1">
        <v>41279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  <c r="L222" s="2" t="s">
        <v>11029</v>
      </c>
      <c r="M222" s="2" t="s">
        <v>11028</v>
      </c>
      <c r="N222" s="2" t="s">
        <v>11038</v>
      </c>
      <c r="O222" s="2" t="s">
        <v>11035</v>
      </c>
      <c r="P222" s="2" t="s">
        <v>11035</v>
      </c>
      <c r="Q222" s="2">
        <f>AVERAGE(PerfRate[[#This Row],[EnvironmentSatisfaction]],PerfRate[[#This Row],[JobSatisfaction]],PerfRate[[#This Row],[RelationshipSatisfaction]])</f>
        <v>3</v>
      </c>
      <c r="R222" s="2">
        <f>PerfRate[[#This Row],[ManagerRating]] - PerfRate[[#This Row],[SelfRating]]</f>
        <v>-1</v>
      </c>
    </row>
    <row r="223" spans="1:18">
      <c r="A223" s="2" t="s">
        <v>4530</v>
      </c>
      <c r="B223" s="2" t="s">
        <v>473</v>
      </c>
      <c r="C223" s="1">
        <v>42620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  <c r="L223" s="2" t="s">
        <v>11029</v>
      </c>
      <c r="M223" s="2" t="s">
        <v>11028</v>
      </c>
      <c r="N223" s="2" t="s">
        <v>11038</v>
      </c>
      <c r="O223" s="2" t="s">
        <v>11036</v>
      </c>
      <c r="P223" s="2" t="s">
        <v>11035</v>
      </c>
      <c r="Q223" s="2">
        <f>AVERAGE(PerfRate[[#This Row],[EnvironmentSatisfaction]],PerfRate[[#This Row],[JobSatisfaction]],PerfRate[[#This Row],[RelationshipSatisfaction]])</f>
        <v>3.3333333333333335</v>
      </c>
      <c r="R223" s="2">
        <f>PerfRate[[#This Row],[ManagerRating]] - PerfRate[[#This Row],[SelfRating]]</f>
        <v>-1</v>
      </c>
    </row>
    <row r="224" spans="1:18">
      <c r="A224" s="2" t="s">
        <v>4531</v>
      </c>
      <c r="B224" s="2" t="s">
        <v>1298</v>
      </c>
      <c r="C224" s="1">
        <v>42620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  <c r="L224" s="2" t="s">
        <v>11031</v>
      </c>
      <c r="M224" s="2" t="s">
        <v>11030</v>
      </c>
      <c r="N224" s="2" t="s">
        <v>11036</v>
      </c>
      <c r="O224" s="2" t="s">
        <v>11035</v>
      </c>
      <c r="P224" s="2" t="s">
        <v>11038</v>
      </c>
      <c r="Q224" s="2">
        <f>AVERAGE(PerfRate[[#This Row],[EnvironmentSatisfaction]],PerfRate[[#This Row],[JobSatisfaction]],PerfRate[[#This Row],[RelationshipSatisfaction]])</f>
        <v>3.3333333333333335</v>
      </c>
      <c r="R224" s="2">
        <f>PerfRate[[#This Row],[ManagerRating]] - PerfRate[[#This Row],[SelfRating]]</f>
        <v>-1</v>
      </c>
    </row>
    <row r="225" spans="1:18">
      <c r="A225" s="2" t="s">
        <v>4532</v>
      </c>
      <c r="B225" s="2" t="s">
        <v>2757</v>
      </c>
      <c r="C225" s="1">
        <v>42650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  <c r="L225" s="2" t="s">
        <v>11029</v>
      </c>
      <c r="M225" s="2" t="s">
        <v>11028</v>
      </c>
      <c r="N225" s="2" t="s">
        <v>11036</v>
      </c>
      <c r="O225" s="2" t="s">
        <v>11035</v>
      </c>
      <c r="P225" s="2" t="s">
        <v>11036</v>
      </c>
      <c r="Q225" s="2">
        <f>AVERAGE(PerfRate[[#This Row],[EnvironmentSatisfaction]],PerfRate[[#This Row],[JobSatisfaction]],PerfRate[[#This Row],[RelationshipSatisfaction]])</f>
        <v>2.6666666666666665</v>
      </c>
      <c r="R225" s="2">
        <f>PerfRate[[#This Row],[ManagerRating]] - PerfRate[[#This Row],[SelfRating]]</f>
        <v>-1</v>
      </c>
    </row>
    <row r="226" spans="1:18">
      <c r="A226" s="2" t="s">
        <v>4533</v>
      </c>
      <c r="B226" s="2" t="s">
        <v>269</v>
      </c>
      <c r="C226" s="1">
        <v>42650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  <c r="L226" s="2" t="s">
        <v>11029</v>
      </c>
      <c r="M226" s="2" t="s">
        <v>11028</v>
      </c>
      <c r="N226" s="2" t="s">
        <v>11038</v>
      </c>
      <c r="O226" s="2" t="s">
        <v>11038</v>
      </c>
      <c r="P226" s="2" t="s">
        <v>11036</v>
      </c>
      <c r="Q226" s="2">
        <f>AVERAGE(PerfRate[[#This Row],[EnvironmentSatisfaction]],PerfRate[[#This Row],[JobSatisfaction]],PerfRate[[#This Row],[RelationshipSatisfaction]])</f>
        <v>4.333333333333333</v>
      </c>
      <c r="R226" s="2">
        <f>PerfRate[[#This Row],[ManagerRating]] - PerfRate[[#This Row],[SelfRating]]</f>
        <v>-1</v>
      </c>
    </row>
    <row r="227" spans="1:18">
      <c r="A227" s="2" t="s">
        <v>4534</v>
      </c>
      <c r="B227" s="2" t="s">
        <v>643</v>
      </c>
      <c r="C227" s="1">
        <v>42650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  <c r="L227" s="2" t="s">
        <v>11030</v>
      </c>
      <c r="M227" s="2" t="s">
        <v>11030</v>
      </c>
      <c r="N227" s="2" t="s">
        <v>11036</v>
      </c>
      <c r="O227" s="2" t="s">
        <v>11038</v>
      </c>
      <c r="P227" s="2" t="s">
        <v>11036</v>
      </c>
      <c r="Q227" s="2">
        <f>AVERAGE(PerfRate[[#This Row],[EnvironmentSatisfaction]],PerfRate[[#This Row],[JobSatisfaction]],PerfRate[[#This Row],[RelationshipSatisfaction]])</f>
        <v>3.6666666666666665</v>
      </c>
      <c r="R227" s="2">
        <f>PerfRate[[#This Row],[ManagerRating]] - PerfRate[[#This Row],[SelfRating]]</f>
        <v>0</v>
      </c>
    </row>
    <row r="228" spans="1:18">
      <c r="A228" s="2" t="s">
        <v>4535</v>
      </c>
      <c r="B228" s="2" t="s">
        <v>308</v>
      </c>
      <c r="C228" s="1">
        <v>42681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  <c r="L228" s="2" t="s">
        <v>11030</v>
      </c>
      <c r="M228" s="2" t="s">
        <v>11030</v>
      </c>
      <c r="N228" s="2" t="s">
        <v>11037</v>
      </c>
      <c r="O228" s="2" t="s">
        <v>11036</v>
      </c>
      <c r="P228" s="2" t="s">
        <v>11038</v>
      </c>
      <c r="Q228" s="2">
        <f>AVERAGE(PerfRate[[#This Row],[EnvironmentSatisfaction]],PerfRate[[#This Row],[JobSatisfaction]],PerfRate[[#This Row],[RelationshipSatisfaction]])</f>
        <v>4</v>
      </c>
      <c r="R228" s="2">
        <f>PerfRate[[#This Row],[ManagerRating]] - PerfRate[[#This Row],[SelfRating]]</f>
        <v>0</v>
      </c>
    </row>
    <row r="229" spans="1:18">
      <c r="A229" s="2" t="s">
        <v>4536</v>
      </c>
      <c r="B229" s="2" t="s">
        <v>535</v>
      </c>
      <c r="C229" s="1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  <c r="L229" s="2" t="s">
        <v>11031</v>
      </c>
      <c r="M229" s="2" t="s">
        <v>11031</v>
      </c>
      <c r="N229" s="2" t="s">
        <v>11038</v>
      </c>
      <c r="O229" s="2" t="s">
        <v>11035</v>
      </c>
      <c r="P229" s="2" t="s">
        <v>11036</v>
      </c>
      <c r="Q229" s="2">
        <f>AVERAGE(PerfRate[[#This Row],[EnvironmentSatisfaction]],PerfRate[[#This Row],[JobSatisfaction]],PerfRate[[#This Row],[RelationshipSatisfaction]])</f>
        <v>3.3333333333333335</v>
      </c>
      <c r="R229" s="2">
        <f>PerfRate[[#This Row],[ManagerRating]] - PerfRate[[#This Row],[SelfRating]]</f>
        <v>0</v>
      </c>
    </row>
    <row r="230" spans="1:18">
      <c r="A230" s="2" t="s">
        <v>4537</v>
      </c>
      <c r="B230" s="2" t="s">
        <v>907</v>
      </c>
      <c r="C230" s="1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  <c r="L230" s="2" t="s">
        <v>11030</v>
      </c>
      <c r="M230" s="2" t="s">
        <v>11029</v>
      </c>
      <c r="N230" s="2" t="s">
        <v>11038</v>
      </c>
      <c r="O230" s="2" t="s">
        <v>11037</v>
      </c>
      <c r="P230" s="2" t="s">
        <v>11037</v>
      </c>
      <c r="Q230" s="2">
        <f>AVERAGE(PerfRate[[#This Row],[EnvironmentSatisfaction]],PerfRate[[#This Row],[JobSatisfaction]],PerfRate[[#This Row],[RelationshipSatisfaction]])</f>
        <v>4.333333333333333</v>
      </c>
      <c r="R230" s="2">
        <f>PerfRate[[#This Row],[ManagerRating]] - PerfRate[[#This Row],[SelfRating]]</f>
        <v>-1</v>
      </c>
    </row>
    <row r="231" spans="1:18">
      <c r="A231" s="2" t="s">
        <v>4538</v>
      </c>
      <c r="B231" s="2" t="s">
        <v>1677</v>
      </c>
      <c r="C231" s="1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  <c r="L231" s="2" t="s">
        <v>11029</v>
      </c>
      <c r="M231" s="2" t="s">
        <v>11029</v>
      </c>
      <c r="N231" s="2" t="s">
        <v>11036</v>
      </c>
      <c r="O231" s="2" t="s">
        <v>11036</v>
      </c>
      <c r="P231" s="2" t="s">
        <v>11037</v>
      </c>
      <c r="Q231" s="2">
        <f>AVERAGE(PerfRate[[#This Row],[EnvironmentSatisfaction]],PerfRate[[#This Row],[JobSatisfaction]],PerfRate[[#This Row],[RelationshipSatisfaction]])</f>
        <v>3.3333333333333335</v>
      </c>
      <c r="R231" s="2">
        <f>PerfRate[[#This Row],[ManagerRating]] - PerfRate[[#This Row],[SelfRating]]</f>
        <v>0</v>
      </c>
    </row>
    <row r="232" spans="1:18">
      <c r="A232" s="2" t="s">
        <v>4539</v>
      </c>
      <c r="B232" s="2" t="s">
        <v>67</v>
      </c>
      <c r="C232" s="1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  <c r="L232" s="2" t="s">
        <v>11031</v>
      </c>
      <c r="M232" s="2" t="s">
        <v>11030</v>
      </c>
      <c r="N232" s="2" t="s">
        <v>11036</v>
      </c>
      <c r="O232" s="2" t="s">
        <v>11036</v>
      </c>
      <c r="P232" s="2" t="s">
        <v>11036</v>
      </c>
      <c r="Q232" s="2">
        <f>AVERAGE(PerfRate[[#This Row],[EnvironmentSatisfaction]],PerfRate[[#This Row],[JobSatisfaction]],PerfRate[[#This Row],[RelationshipSatisfaction]])</f>
        <v>3</v>
      </c>
      <c r="R232" s="2">
        <f>PerfRate[[#This Row],[ManagerRating]] - PerfRate[[#This Row],[SelfRating]]</f>
        <v>-1</v>
      </c>
    </row>
    <row r="233" spans="1:18">
      <c r="A233" s="2" t="s">
        <v>4540</v>
      </c>
      <c r="B233" s="2" t="s">
        <v>970</v>
      </c>
      <c r="C233" s="1">
        <v>41579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  <c r="L233" s="2" t="s">
        <v>11029</v>
      </c>
      <c r="M233" s="2" t="s">
        <v>11028</v>
      </c>
      <c r="N233" s="2" t="s">
        <v>11038</v>
      </c>
      <c r="O233" s="2" t="s">
        <v>11035</v>
      </c>
      <c r="P233" s="2" t="s">
        <v>11036</v>
      </c>
      <c r="Q233" s="2">
        <f>AVERAGE(PerfRate[[#This Row],[EnvironmentSatisfaction]],PerfRate[[#This Row],[JobSatisfaction]],PerfRate[[#This Row],[RelationshipSatisfaction]])</f>
        <v>3.3333333333333335</v>
      </c>
      <c r="R233" s="2">
        <f>PerfRate[[#This Row],[ManagerRating]] - PerfRate[[#This Row],[SelfRating]]</f>
        <v>-1</v>
      </c>
    </row>
    <row r="234" spans="1:18">
      <c r="A234" s="2" t="s">
        <v>4541</v>
      </c>
      <c r="B234" s="2" t="s">
        <v>1012</v>
      </c>
      <c r="C234" s="1">
        <v>41279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  <c r="L234" s="2" t="s">
        <v>11029</v>
      </c>
      <c r="M234" s="2" t="s">
        <v>11028</v>
      </c>
      <c r="N234" s="2" t="s">
        <v>11036</v>
      </c>
      <c r="O234" s="2" t="s">
        <v>11037</v>
      </c>
      <c r="P234" s="2" t="s">
        <v>11035</v>
      </c>
      <c r="Q234" s="2">
        <f>AVERAGE(PerfRate[[#This Row],[EnvironmentSatisfaction]],PerfRate[[#This Row],[JobSatisfaction]],PerfRate[[#This Row],[RelationshipSatisfaction]])</f>
        <v>3</v>
      </c>
      <c r="R234" s="2">
        <f>PerfRate[[#This Row],[ManagerRating]] - PerfRate[[#This Row],[SelfRating]]</f>
        <v>-1</v>
      </c>
    </row>
    <row r="235" spans="1:18">
      <c r="A235" s="2" t="s">
        <v>4542</v>
      </c>
      <c r="B235" s="2" t="s">
        <v>3824</v>
      </c>
      <c r="C235" s="1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  <c r="L235" s="2" t="s">
        <v>11029</v>
      </c>
      <c r="M235" s="2" t="s">
        <v>11029</v>
      </c>
      <c r="N235" s="2" t="s">
        <v>11038</v>
      </c>
      <c r="O235" s="2" t="s">
        <v>11036</v>
      </c>
      <c r="P235" s="2" t="s">
        <v>11037</v>
      </c>
      <c r="Q235" s="2">
        <f>AVERAGE(PerfRate[[#This Row],[EnvironmentSatisfaction]],PerfRate[[#This Row],[JobSatisfaction]],PerfRate[[#This Row],[RelationshipSatisfaction]])</f>
        <v>4</v>
      </c>
      <c r="R235" s="2">
        <f>PerfRate[[#This Row],[ManagerRating]] - PerfRate[[#This Row],[SelfRating]]</f>
        <v>0</v>
      </c>
    </row>
    <row r="236" spans="1:18">
      <c r="A236" s="2" t="s">
        <v>4543</v>
      </c>
      <c r="B236" s="2" t="s">
        <v>3192</v>
      </c>
      <c r="C236" s="1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  <c r="L236" s="2" t="s">
        <v>11031</v>
      </c>
      <c r="M236" s="2" t="s">
        <v>11030</v>
      </c>
      <c r="N236" s="2" t="s">
        <v>11038</v>
      </c>
      <c r="O236" s="2" t="s">
        <v>11035</v>
      </c>
      <c r="P236" s="2" t="s">
        <v>11035</v>
      </c>
      <c r="Q236" s="2">
        <f>AVERAGE(PerfRate[[#This Row],[EnvironmentSatisfaction]],PerfRate[[#This Row],[JobSatisfaction]],PerfRate[[#This Row],[RelationshipSatisfaction]])</f>
        <v>3</v>
      </c>
      <c r="R236" s="2">
        <f>PerfRate[[#This Row],[ManagerRating]] - PerfRate[[#This Row],[SelfRating]]</f>
        <v>-1</v>
      </c>
    </row>
    <row r="237" spans="1:18">
      <c r="A237" s="2" t="s">
        <v>4544</v>
      </c>
      <c r="B237" s="2" t="s">
        <v>2946</v>
      </c>
      <c r="C237" s="1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  <c r="L237" s="2" t="s">
        <v>11030</v>
      </c>
      <c r="M237" s="2" t="s">
        <v>11030</v>
      </c>
      <c r="N237" s="2" t="s">
        <v>11038</v>
      </c>
      <c r="O237" s="2" t="s">
        <v>11037</v>
      </c>
      <c r="P237" s="2" t="s">
        <v>11036</v>
      </c>
      <c r="Q237" s="2">
        <f>AVERAGE(PerfRate[[#This Row],[EnvironmentSatisfaction]],PerfRate[[#This Row],[JobSatisfaction]],PerfRate[[#This Row],[RelationshipSatisfaction]])</f>
        <v>4</v>
      </c>
      <c r="R237" s="2">
        <f>PerfRate[[#This Row],[ManagerRating]] - PerfRate[[#This Row],[SelfRating]]</f>
        <v>0</v>
      </c>
    </row>
    <row r="238" spans="1:18">
      <c r="A238" s="2" t="s">
        <v>4545</v>
      </c>
      <c r="B238" s="2" t="s">
        <v>3088</v>
      </c>
      <c r="C238" s="1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  <c r="L238" s="2" t="s">
        <v>11031</v>
      </c>
      <c r="M238" s="2" t="s">
        <v>11030</v>
      </c>
      <c r="N238" s="2" t="s">
        <v>11036</v>
      </c>
      <c r="O238" s="2" t="s">
        <v>11037</v>
      </c>
      <c r="P238" s="2" t="s">
        <v>11036</v>
      </c>
      <c r="Q238" s="2">
        <f>AVERAGE(PerfRate[[#This Row],[EnvironmentSatisfaction]],PerfRate[[#This Row],[JobSatisfaction]],PerfRate[[#This Row],[RelationshipSatisfaction]])</f>
        <v>3.3333333333333335</v>
      </c>
      <c r="R238" s="2">
        <f>PerfRate[[#This Row],[ManagerRating]] - PerfRate[[#This Row],[SelfRating]]</f>
        <v>-1</v>
      </c>
    </row>
    <row r="239" spans="1:18">
      <c r="A239" s="2" t="s">
        <v>4546</v>
      </c>
      <c r="B239" s="2" t="s">
        <v>147</v>
      </c>
      <c r="C239" s="1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  <c r="L239" s="2" t="s">
        <v>11030</v>
      </c>
      <c r="M239" s="2" t="s">
        <v>11029</v>
      </c>
      <c r="N239" s="2" t="s">
        <v>11036</v>
      </c>
      <c r="O239" s="2" t="s">
        <v>11035</v>
      </c>
      <c r="P239" s="2" t="s">
        <v>11037</v>
      </c>
      <c r="Q239" s="2">
        <f>AVERAGE(PerfRate[[#This Row],[EnvironmentSatisfaction]],PerfRate[[#This Row],[JobSatisfaction]],PerfRate[[#This Row],[RelationshipSatisfaction]])</f>
        <v>3</v>
      </c>
      <c r="R239" s="2">
        <f>PerfRate[[#This Row],[ManagerRating]] - PerfRate[[#This Row],[SelfRating]]</f>
        <v>-1</v>
      </c>
    </row>
    <row r="240" spans="1:18">
      <c r="A240" s="2" t="s">
        <v>4547</v>
      </c>
      <c r="B240" s="2" t="s">
        <v>699</v>
      </c>
      <c r="C240" s="1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  <c r="L240" s="2" t="s">
        <v>11031</v>
      </c>
      <c r="M240" s="2" t="s">
        <v>11030</v>
      </c>
      <c r="N240" s="2" t="s">
        <v>11037</v>
      </c>
      <c r="O240" s="2" t="s">
        <v>11038</v>
      </c>
      <c r="P240" s="2" t="s">
        <v>11035</v>
      </c>
      <c r="Q240" s="2">
        <f>AVERAGE(PerfRate[[#This Row],[EnvironmentSatisfaction]],PerfRate[[#This Row],[JobSatisfaction]],PerfRate[[#This Row],[RelationshipSatisfaction]])</f>
        <v>3.6666666666666665</v>
      </c>
      <c r="R240" s="2">
        <f>PerfRate[[#This Row],[ManagerRating]] - PerfRate[[#This Row],[SelfRating]]</f>
        <v>-1</v>
      </c>
    </row>
    <row r="241" spans="1:18">
      <c r="A241" s="2" t="s">
        <v>4548</v>
      </c>
      <c r="B241" s="2" t="s">
        <v>820</v>
      </c>
      <c r="C241" s="1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  <c r="L241" s="2" t="s">
        <v>11030</v>
      </c>
      <c r="M241" s="2" t="s">
        <v>11030</v>
      </c>
      <c r="N241" s="2" t="s">
        <v>11038</v>
      </c>
      <c r="O241" s="2" t="s">
        <v>11037</v>
      </c>
      <c r="P241" s="2" t="s">
        <v>11037</v>
      </c>
      <c r="Q241" s="2">
        <f>AVERAGE(PerfRate[[#This Row],[EnvironmentSatisfaction]],PerfRate[[#This Row],[JobSatisfaction]],PerfRate[[#This Row],[RelationshipSatisfaction]])</f>
        <v>4.333333333333333</v>
      </c>
      <c r="R241" s="2">
        <f>PerfRate[[#This Row],[ManagerRating]] - PerfRate[[#This Row],[SelfRating]]</f>
        <v>0</v>
      </c>
    </row>
    <row r="242" spans="1:18">
      <c r="A242" s="2" t="s">
        <v>4549</v>
      </c>
      <c r="B242" s="2" t="s">
        <v>747</v>
      </c>
      <c r="C242" s="1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  <c r="L242" s="2" t="s">
        <v>11031</v>
      </c>
      <c r="M242" s="2" t="s">
        <v>11031</v>
      </c>
      <c r="N242" s="2" t="s">
        <v>11036</v>
      </c>
      <c r="O242" s="2" t="s">
        <v>11037</v>
      </c>
      <c r="P242" s="2" t="s">
        <v>11035</v>
      </c>
      <c r="Q242" s="2">
        <f>AVERAGE(PerfRate[[#This Row],[EnvironmentSatisfaction]],PerfRate[[#This Row],[JobSatisfaction]],PerfRate[[#This Row],[RelationshipSatisfaction]])</f>
        <v>3</v>
      </c>
      <c r="R242" s="2">
        <f>PerfRate[[#This Row],[ManagerRating]] - PerfRate[[#This Row],[SelfRating]]</f>
        <v>0</v>
      </c>
    </row>
    <row r="243" spans="1:18">
      <c r="A243" s="2" t="s">
        <v>4550</v>
      </c>
      <c r="B243" s="2" t="s">
        <v>272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  <c r="L243" s="2" t="s">
        <v>11031</v>
      </c>
      <c r="M243" s="2" t="s">
        <v>11030</v>
      </c>
      <c r="N243" s="2" t="s">
        <v>11038</v>
      </c>
      <c r="O243" s="2" t="s">
        <v>11036</v>
      </c>
      <c r="P243" s="2" t="s">
        <v>11035</v>
      </c>
      <c r="Q243" s="2">
        <f>AVERAGE(PerfRate[[#This Row],[EnvironmentSatisfaction]],PerfRate[[#This Row],[JobSatisfaction]],PerfRate[[#This Row],[RelationshipSatisfaction]])</f>
        <v>3.3333333333333335</v>
      </c>
      <c r="R243" s="2">
        <f>PerfRate[[#This Row],[ManagerRating]] - PerfRate[[#This Row],[SelfRating]]</f>
        <v>-1</v>
      </c>
    </row>
    <row r="244" spans="1:18">
      <c r="A244" s="2" t="s">
        <v>4551</v>
      </c>
      <c r="B244" s="2" t="s">
        <v>151</v>
      </c>
      <c r="C244" s="1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  <c r="L244" s="2" t="s">
        <v>11029</v>
      </c>
      <c r="M244" s="2" t="s">
        <v>11028</v>
      </c>
      <c r="N244" s="2" t="s">
        <v>11036</v>
      </c>
      <c r="O244" s="2" t="s">
        <v>11035</v>
      </c>
      <c r="P244" s="2" t="s">
        <v>11037</v>
      </c>
      <c r="Q244" s="2">
        <f>AVERAGE(PerfRate[[#This Row],[EnvironmentSatisfaction]],PerfRate[[#This Row],[JobSatisfaction]],PerfRate[[#This Row],[RelationshipSatisfaction]])</f>
        <v>3</v>
      </c>
      <c r="R244" s="2">
        <f>PerfRate[[#This Row],[ManagerRating]] - PerfRate[[#This Row],[SelfRating]]</f>
        <v>-1</v>
      </c>
    </row>
    <row r="245" spans="1:18">
      <c r="A245" s="2" t="s">
        <v>4552</v>
      </c>
      <c r="B245" s="2" t="s">
        <v>817</v>
      </c>
      <c r="C245" s="1">
        <v>41310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  <c r="L245" s="2" t="s">
        <v>11031</v>
      </c>
      <c r="M245" s="2" t="s">
        <v>11031</v>
      </c>
      <c r="N245" s="2" t="s">
        <v>11036</v>
      </c>
      <c r="O245" s="2" t="s">
        <v>11038</v>
      </c>
      <c r="P245" s="2" t="s">
        <v>11038</v>
      </c>
      <c r="Q245" s="2">
        <f>AVERAGE(PerfRate[[#This Row],[EnvironmentSatisfaction]],PerfRate[[#This Row],[JobSatisfaction]],PerfRate[[#This Row],[RelationshipSatisfaction]])</f>
        <v>4.333333333333333</v>
      </c>
      <c r="R245" s="2">
        <f>PerfRate[[#This Row],[ManagerRating]] - PerfRate[[#This Row],[SelfRating]]</f>
        <v>0</v>
      </c>
    </row>
    <row r="246" spans="1:18">
      <c r="A246" s="2" t="s">
        <v>4553</v>
      </c>
      <c r="B246" s="2" t="s">
        <v>3857</v>
      </c>
      <c r="C246" s="1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  <c r="L246" s="2" t="s">
        <v>11031</v>
      </c>
      <c r="M246" s="2" t="s">
        <v>11031</v>
      </c>
      <c r="N246" s="2" t="s">
        <v>11037</v>
      </c>
      <c r="O246" s="2" t="s">
        <v>11037</v>
      </c>
      <c r="P246" s="2" t="s">
        <v>11035</v>
      </c>
      <c r="Q246" s="2">
        <f>AVERAGE(PerfRate[[#This Row],[EnvironmentSatisfaction]],PerfRate[[#This Row],[JobSatisfaction]],PerfRate[[#This Row],[RelationshipSatisfaction]])</f>
        <v>3.3333333333333335</v>
      </c>
      <c r="R246" s="2">
        <f>PerfRate[[#This Row],[ManagerRating]] - PerfRate[[#This Row],[SelfRating]]</f>
        <v>0</v>
      </c>
    </row>
    <row r="247" spans="1:18">
      <c r="A247" s="2" t="s">
        <v>4554</v>
      </c>
      <c r="B247" s="2" t="s">
        <v>3394</v>
      </c>
      <c r="C247" s="1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  <c r="L247" s="2" t="s">
        <v>11029</v>
      </c>
      <c r="M247" s="2" t="s">
        <v>11029</v>
      </c>
      <c r="N247" s="2" t="s">
        <v>11036</v>
      </c>
      <c r="O247" s="2" t="s">
        <v>11035</v>
      </c>
      <c r="P247" s="2" t="s">
        <v>11035</v>
      </c>
      <c r="Q247" s="2">
        <f>AVERAGE(PerfRate[[#This Row],[EnvironmentSatisfaction]],PerfRate[[#This Row],[JobSatisfaction]],PerfRate[[#This Row],[RelationshipSatisfaction]])</f>
        <v>2.3333333333333335</v>
      </c>
      <c r="R247" s="2">
        <f>PerfRate[[#This Row],[ManagerRating]] - PerfRate[[#This Row],[SelfRating]]</f>
        <v>0</v>
      </c>
    </row>
    <row r="248" spans="1:18">
      <c r="A248" s="2" t="s">
        <v>4555</v>
      </c>
      <c r="B248" s="2" t="s">
        <v>958</v>
      </c>
      <c r="C248" s="1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  <c r="L248" s="2" t="s">
        <v>11031</v>
      </c>
      <c r="M248" s="2" t="s">
        <v>11030</v>
      </c>
      <c r="N248" s="2" t="s">
        <v>11036</v>
      </c>
      <c r="O248" s="2" t="s">
        <v>11037</v>
      </c>
      <c r="P248" s="2" t="s">
        <v>11037</v>
      </c>
      <c r="Q248" s="2">
        <f>AVERAGE(PerfRate[[#This Row],[EnvironmentSatisfaction]],PerfRate[[#This Row],[JobSatisfaction]],PerfRate[[#This Row],[RelationshipSatisfaction]])</f>
        <v>3.6666666666666665</v>
      </c>
      <c r="R248" s="2">
        <f>PerfRate[[#This Row],[ManagerRating]] - PerfRate[[#This Row],[SelfRating]]</f>
        <v>-1</v>
      </c>
    </row>
    <row r="249" spans="1:18">
      <c r="A249" s="2" t="s">
        <v>4556</v>
      </c>
      <c r="B249" s="2" t="s">
        <v>35</v>
      </c>
      <c r="C249" s="1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  <c r="L249" s="2" t="s">
        <v>11030</v>
      </c>
      <c r="M249" s="2" t="s">
        <v>11030</v>
      </c>
      <c r="N249" s="2" t="s">
        <v>11036</v>
      </c>
      <c r="O249" s="2" t="s">
        <v>11036</v>
      </c>
      <c r="P249" s="2" t="s">
        <v>11035</v>
      </c>
      <c r="Q249" s="2">
        <f>AVERAGE(PerfRate[[#This Row],[EnvironmentSatisfaction]],PerfRate[[#This Row],[JobSatisfaction]],PerfRate[[#This Row],[RelationshipSatisfaction]])</f>
        <v>2.6666666666666665</v>
      </c>
      <c r="R249" s="2">
        <f>PerfRate[[#This Row],[ManagerRating]] - PerfRate[[#This Row],[SelfRating]]</f>
        <v>0</v>
      </c>
    </row>
    <row r="250" spans="1:18">
      <c r="A250" s="2" t="s">
        <v>4557</v>
      </c>
      <c r="B250" s="2" t="s">
        <v>583</v>
      </c>
      <c r="C250" s="1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  <c r="L250" s="2" t="s">
        <v>11030</v>
      </c>
      <c r="M250" s="2" t="s">
        <v>11030</v>
      </c>
      <c r="N250" s="2" t="s">
        <v>11036</v>
      </c>
      <c r="O250" s="2" t="s">
        <v>11035</v>
      </c>
      <c r="P250" s="2" t="s">
        <v>11038</v>
      </c>
      <c r="Q250" s="2">
        <f>AVERAGE(PerfRate[[#This Row],[EnvironmentSatisfaction]],PerfRate[[#This Row],[JobSatisfaction]],PerfRate[[#This Row],[RelationshipSatisfaction]])</f>
        <v>3.3333333333333335</v>
      </c>
      <c r="R250" s="2">
        <f>PerfRate[[#This Row],[ManagerRating]] - PerfRate[[#This Row],[SelfRating]]</f>
        <v>0</v>
      </c>
    </row>
    <row r="251" spans="1:18">
      <c r="A251" s="2" t="s">
        <v>4558</v>
      </c>
      <c r="B251" s="2" t="s">
        <v>1666</v>
      </c>
      <c r="C251" s="1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  <c r="L251" s="2" t="s">
        <v>11031</v>
      </c>
      <c r="M251" s="2" t="s">
        <v>11031</v>
      </c>
      <c r="N251" s="2" t="s">
        <v>11037</v>
      </c>
      <c r="O251" s="2" t="s">
        <v>11038</v>
      </c>
      <c r="P251" s="2" t="s">
        <v>11038</v>
      </c>
      <c r="Q251" s="2">
        <f>AVERAGE(PerfRate[[#This Row],[EnvironmentSatisfaction]],PerfRate[[#This Row],[JobSatisfaction]],PerfRate[[#This Row],[RelationshipSatisfaction]])</f>
        <v>4.666666666666667</v>
      </c>
      <c r="R251" s="2">
        <f>PerfRate[[#This Row],[ManagerRating]] - PerfRate[[#This Row],[SelfRating]]</f>
        <v>0</v>
      </c>
    </row>
    <row r="252" spans="1:18">
      <c r="A252" s="2" t="s">
        <v>4559</v>
      </c>
      <c r="B252" s="2" t="s">
        <v>829</v>
      </c>
      <c r="C252" s="1">
        <v>42377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  <c r="L252" s="2" t="s">
        <v>11030</v>
      </c>
      <c r="M252" s="2" t="s">
        <v>11030</v>
      </c>
      <c r="N252" s="2" t="s">
        <v>11038</v>
      </c>
      <c r="O252" s="2" t="s">
        <v>11035</v>
      </c>
      <c r="P252" s="2" t="s">
        <v>11036</v>
      </c>
      <c r="Q252" s="2">
        <f>AVERAGE(PerfRate[[#This Row],[EnvironmentSatisfaction]],PerfRate[[#This Row],[JobSatisfaction]],PerfRate[[#This Row],[RelationshipSatisfaction]])</f>
        <v>3.3333333333333335</v>
      </c>
      <c r="R252" s="2">
        <f>PerfRate[[#This Row],[ManagerRating]] - PerfRate[[#This Row],[SelfRating]]</f>
        <v>0</v>
      </c>
    </row>
    <row r="253" spans="1:18">
      <c r="A253" s="2" t="s">
        <v>4560</v>
      </c>
      <c r="B253" s="2" t="s">
        <v>2545</v>
      </c>
      <c r="C253" s="1">
        <v>42468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  <c r="L253" s="2" t="s">
        <v>11030</v>
      </c>
      <c r="M253" s="2" t="s">
        <v>11029</v>
      </c>
      <c r="N253" s="2" t="s">
        <v>11038</v>
      </c>
      <c r="O253" s="2" t="s">
        <v>11038</v>
      </c>
      <c r="P253" s="2" t="s">
        <v>11037</v>
      </c>
      <c r="Q253" s="2">
        <f>AVERAGE(PerfRate[[#This Row],[EnvironmentSatisfaction]],PerfRate[[#This Row],[JobSatisfaction]],PerfRate[[#This Row],[RelationshipSatisfaction]])</f>
        <v>4.666666666666667</v>
      </c>
      <c r="R253" s="2">
        <f>PerfRate[[#This Row],[ManagerRating]] - PerfRate[[#This Row],[SelfRating]]</f>
        <v>-1</v>
      </c>
    </row>
    <row r="254" spans="1:18">
      <c r="A254" s="2" t="s">
        <v>4561</v>
      </c>
      <c r="B254" s="2" t="s">
        <v>377</v>
      </c>
      <c r="C254" s="1">
        <v>42468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  <c r="L254" s="2" t="s">
        <v>11029</v>
      </c>
      <c r="M254" s="2" t="s">
        <v>11029</v>
      </c>
      <c r="N254" s="2" t="s">
        <v>11037</v>
      </c>
      <c r="O254" s="2" t="s">
        <v>11036</v>
      </c>
      <c r="P254" s="2" t="s">
        <v>11036</v>
      </c>
      <c r="Q254" s="2">
        <f>AVERAGE(PerfRate[[#This Row],[EnvironmentSatisfaction]],PerfRate[[#This Row],[JobSatisfaction]],PerfRate[[#This Row],[RelationshipSatisfaction]])</f>
        <v>3.3333333333333335</v>
      </c>
      <c r="R254" s="2">
        <f>PerfRate[[#This Row],[ManagerRating]] - PerfRate[[#This Row],[SelfRating]]</f>
        <v>0</v>
      </c>
    </row>
    <row r="255" spans="1:18">
      <c r="A255" s="2" t="s">
        <v>4562</v>
      </c>
      <c r="B255" s="2" t="s">
        <v>115</v>
      </c>
      <c r="C255" s="1">
        <v>42468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  <c r="L255" s="2" t="s">
        <v>11029</v>
      </c>
      <c r="M255" s="2" t="s">
        <v>11029</v>
      </c>
      <c r="N255" s="2" t="s">
        <v>11037</v>
      </c>
      <c r="O255" s="2" t="s">
        <v>11037</v>
      </c>
      <c r="P255" s="2" t="s">
        <v>11036</v>
      </c>
      <c r="Q255" s="2">
        <f>AVERAGE(PerfRate[[#This Row],[EnvironmentSatisfaction]],PerfRate[[#This Row],[JobSatisfaction]],PerfRate[[#This Row],[RelationshipSatisfaction]])</f>
        <v>3.6666666666666665</v>
      </c>
      <c r="R255" s="2">
        <f>PerfRate[[#This Row],[ManagerRating]] - PerfRate[[#This Row],[SelfRating]]</f>
        <v>0</v>
      </c>
    </row>
    <row r="256" spans="1:18">
      <c r="A256" s="2" t="s">
        <v>4563</v>
      </c>
      <c r="B256" s="2" t="s">
        <v>1347</v>
      </c>
      <c r="C256" s="1">
        <v>41310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  <c r="L256" s="2" t="s">
        <v>11031</v>
      </c>
      <c r="M256" s="2" t="s">
        <v>11030</v>
      </c>
      <c r="N256" s="2" t="s">
        <v>11037</v>
      </c>
      <c r="O256" s="2" t="s">
        <v>11038</v>
      </c>
      <c r="P256" s="2" t="s">
        <v>11037</v>
      </c>
      <c r="Q256" s="2">
        <f>AVERAGE(PerfRate[[#This Row],[EnvironmentSatisfaction]],PerfRate[[#This Row],[JobSatisfaction]],PerfRate[[#This Row],[RelationshipSatisfaction]])</f>
        <v>4.333333333333333</v>
      </c>
      <c r="R256" s="2">
        <f>PerfRate[[#This Row],[ManagerRating]] - PerfRate[[#This Row],[SelfRating]]</f>
        <v>-1</v>
      </c>
    </row>
    <row r="257" spans="1:18">
      <c r="A257" s="2" t="s">
        <v>4564</v>
      </c>
      <c r="B257" s="2" t="s">
        <v>553</v>
      </c>
      <c r="C257" s="1">
        <v>42529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  <c r="L257" s="2" t="s">
        <v>11031</v>
      </c>
      <c r="M257" s="2" t="s">
        <v>11030</v>
      </c>
      <c r="N257" s="2" t="s">
        <v>11036</v>
      </c>
      <c r="O257" s="2" t="s">
        <v>11035</v>
      </c>
      <c r="P257" s="2" t="s">
        <v>11038</v>
      </c>
      <c r="Q257" s="2">
        <f>AVERAGE(PerfRate[[#This Row],[EnvironmentSatisfaction]],PerfRate[[#This Row],[JobSatisfaction]],PerfRate[[#This Row],[RelationshipSatisfaction]])</f>
        <v>3.3333333333333335</v>
      </c>
      <c r="R257" s="2">
        <f>PerfRate[[#This Row],[ManagerRating]] - PerfRate[[#This Row],[SelfRating]]</f>
        <v>-1</v>
      </c>
    </row>
    <row r="258" spans="1:18">
      <c r="A258" s="2" t="s">
        <v>4565</v>
      </c>
      <c r="B258" s="2" t="s">
        <v>729</v>
      </c>
      <c r="C258" s="1">
        <v>42529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  <c r="L258" s="2" t="s">
        <v>11029</v>
      </c>
      <c r="M258" s="2" t="s">
        <v>11029</v>
      </c>
      <c r="N258" s="2" t="s">
        <v>11037</v>
      </c>
      <c r="O258" s="2" t="s">
        <v>11035</v>
      </c>
      <c r="P258" s="2" t="s">
        <v>11036</v>
      </c>
      <c r="Q258" s="2">
        <f>AVERAGE(PerfRate[[#This Row],[EnvironmentSatisfaction]],PerfRate[[#This Row],[JobSatisfaction]],PerfRate[[#This Row],[RelationshipSatisfaction]])</f>
        <v>3</v>
      </c>
      <c r="R258" s="2">
        <f>PerfRate[[#This Row],[ManagerRating]] - PerfRate[[#This Row],[SelfRating]]</f>
        <v>0</v>
      </c>
    </row>
    <row r="259" spans="1:18">
      <c r="A259" s="2" t="s">
        <v>4566</v>
      </c>
      <c r="B259" s="2" t="s">
        <v>2599</v>
      </c>
      <c r="C259" s="1">
        <v>42559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  <c r="L259" s="2" t="s">
        <v>11030</v>
      </c>
      <c r="M259" s="2" t="s">
        <v>11030</v>
      </c>
      <c r="N259" s="2" t="s">
        <v>11036</v>
      </c>
      <c r="O259" s="2" t="s">
        <v>11037</v>
      </c>
      <c r="P259" s="2" t="s">
        <v>11037</v>
      </c>
      <c r="Q259" s="2">
        <f>AVERAGE(PerfRate[[#This Row],[EnvironmentSatisfaction]],PerfRate[[#This Row],[JobSatisfaction]],PerfRate[[#This Row],[RelationshipSatisfaction]])</f>
        <v>3.6666666666666665</v>
      </c>
      <c r="R259" s="2">
        <f>PerfRate[[#This Row],[ManagerRating]] - PerfRate[[#This Row],[SelfRating]]</f>
        <v>0</v>
      </c>
    </row>
    <row r="260" spans="1:18">
      <c r="A260" s="2" t="s">
        <v>4567</v>
      </c>
      <c r="B260" s="2" t="s">
        <v>774</v>
      </c>
      <c r="C260" s="1">
        <v>42621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  <c r="L260" s="2" t="s">
        <v>11031</v>
      </c>
      <c r="M260" s="2" t="s">
        <v>11031</v>
      </c>
      <c r="N260" s="2" t="s">
        <v>11036</v>
      </c>
      <c r="O260" s="2" t="s">
        <v>11037</v>
      </c>
      <c r="P260" s="2" t="s">
        <v>11038</v>
      </c>
      <c r="Q260" s="2">
        <f>AVERAGE(PerfRate[[#This Row],[EnvironmentSatisfaction]],PerfRate[[#This Row],[JobSatisfaction]],PerfRate[[#This Row],[RelationshipSatisfaction]])</f>
        <v>4</v>
      </c>
      <c r="R260" s="2">
        <f>PerfRate[[#This Row],[ManagerRating]] - PerfRate[[#This Row],[SelfRating]]</f>
        <v>0</v>
      </c>
    </row>
    <row r="261" spans="1:18">
      <c r="A261" s="2" t="s">
        <v>4568</v>
      </c>
      <c r="B261" s="2" t="s">
        <v>250</v>
      </c>
      <c r="C261" s="1">
        <v>42651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  <c r="L261" s="2" t="s">
        <v>11029</v>
      </c>
      <c r="M261" s="2" t="s">
        <v>11028</v>
      </c>
      <c r="N261" s="2" t="s">
        <v>11038</v>
      </c>
      <c r="O261" s="2" t="s">
        <v>11037</v>
      </c>
      <c r="P261" s="2" t="s">
        <v>11037</v>
      </c>
      <c r="Q261" s="2">
        <f>AVERAGE(PerfRate[[#This Row],[EnvironmentSatisfaction]],PerfRate[[#This Row],[JobSatisfaction]],PerfRate[[#This Row],[RelationshipSatisfaction]])</f>
        <v>4.333333333333333</v>
      </c>
      <c r="R261" s="2">
        <f>PerfRate[[#This Row],[ManagerRating]] - PerfRate[[#This Row],[SelfRating]]</f>
        <v>-1</v>
      </c>
    </row>
    <row r="262" spans="1:18">
      <c r="A262" s="2" t="s">
        <v>4569</v>
      </c>
      <c r="B262" s="2" t="s">
        <v>625</v>
      </c>
      <c r="C262" s="1">
        <v>42712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  <c r="L262" s="2" t="s">
        <v>11031</v>
      </c>
      <c r="M262" s="2" t="s">
        <v>11030</v>
      </c>
      <c r="N262" s="2" t="s">
        <v>11037</v>
      </c>
      <c r="O262" s="2" t="s">
        <v>11036</v>
      </c>
      <c r="P262" s="2" t="s">
        <v>11038</v>
      </c>
      <c r="Q262" s="2">
        <f>AVERAGE(PerfRate[[#This Row],[EnvironmentSatisfaction]],PerfRate[[#This Row],[JobSatisfaction]],PerfRate[[#This Row],[RelationshipSatisfaction]])</f>
        <v>4</v>
      </c>
      <c r="R262" s="2">
        <f>PerfRate[[#This Row],[ManagerRating]] - PerfRate[[#This Row],[SelfRating]]</f>
        <v>-1</v>
      </c>
    </row>
    <row r="263" spans="1:18">
      <c r="A263" s="2" t="s">
        <v>4570</v>
      </c>
      <c r="B263" s="2" t="s">
        <v>3066</v>
      </c>
      <c r="C263" s="1">
        <v>42712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  <c r="L263" s="2" t="s">
        <v>11029</v>
      </c>
      <c r="M263" s="2" t="s">
        <v>11028</v>
      </c>
      <c r="N263" s="2" t="s">
        <v>11038</v>
      </c>
      <c r="O263" s="2" t="s">
        <v>11037</v>
      </c>
      <c r="P263" s="2" t="s">
        <v>11038</v>
      </c>
      <c r="Q263" s="2">
        <f>AVERAGE(PerfRate[[#This Row],[EnvironmentSatisfaction]],PerfRate[[#This Row],[JobSatisfaction]],PerfRate[[#This Row],[RelationshipSatisfaction]])</f>
        <v>4.666666666666667</v>
      </c>
      <c r="R263" s="2">
        <f>PerfRate[[#This Row],[ManagerRating]] - PerfRate[[#This Row],[SelfRating]]</f>
        <v>-1</v>
      </c>
    </row>
    <row r="264" spans="1:18">
      <c r="A264" s="2" t="s">
        <v>4571</v>
      </c>
      <c r="B264" s="2" t="s">
        <v>3071</v>
      </c>
      <c r="C264" s="1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  <c r="L264" s="2" t="s">
        <v>11030</v>
      </c>
      <c r="M264" s="2" t="s">
        <v>11029</v>
      </c>
      <c r="N264" s="2" t="s">
        <v>11036</v>
      </c>
      <c r="O264" s="2" t="s">
        <v>11038</v>
      </c>
      <c r="P264" s="2" t="s">
        <v>11035</v>
      </c>
      <c r="Q264" s="2">
        <f>AVERAGE(PerfRate[[#This Row],[EnvironmentSatisfaction]],PerfRate[[#This Row],[JobSatisfaction]],PerfRate[[#This Row],[RelationshipSatisfaction]])</f>
        <v>3.3333333333333335</v>
      </c>
      <c r="R264" s="2">
        <f>PerfRate[[#This Row],[ManagerRating]] - PerfRate[[#This Row],[SelfRating]]</f>
        <v>-1</v>
      </c>
    </row>
    <row r="265" spans="1:18">
      <c r="A265" s="2" t="s">
        <v>4572</v>
      </c>
      <c r="B265" s="2" t="s">
        <v>803</v>
      </c>
      <c r="C265" s="1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  <c r="L265" s="2" t="s">
        <v>11029</v>
      </c>
      <c r="M265" s="2" t="s">
        <v>11029</v>
      </c>
      <c r="N265" s="2" t="s">
        <v>11038</v>
      </c>
      <c r="O265" s="2" t="s">
        <v>11038</v>
      </c>
      <c r="P265" s="2" t="s">
        <v>11035</v>
      </c>
      <c r="Q265" s="2">
        <f>AVERAGE(PerfRate[[#This Row],[EnvironmentSatisfaction]],PerfRate[[#This Row],[JobSatisfaction]],PerfRate[[#This Row],[RelationshipSatisfaction]])</f>
        <v>4</v>
      </c>
      <c r="R265" s="2">
        <f>PerfRate[[#This Row],[ManagerRating]] - PerfRate[[#This Row],[SelfRating]]</f>
        <v>0</v>
      </c>
    </row>
    <row r="266" spans="1:18">
      <c r="A266" s="2" t="s">
        <v>4573</v>
      </c>
      <c r="B266" s="2" t="s">
        <v>756</v>
      </c>
      <c r="C266" s="1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  <c r="L266" s="2" t="s">
        <v>11031</v>
      </c>
      <c r="M266" s="2" t="s">
        <v>11031</v>
      </c>
      <c r="N266" s="2" t="s">
        <v>11036</v>
      </c>
      <c r="O266" s="2" t="s">
        <v>11035</v>
      </c>
      <c r="P266" s="2" t="s">
        <v>11038</v>
      </c>
      <c r="Q266" s="2">
        <f>AVERAGE(PerfRate[[#This Row],[EnvironmentSatisfaction]],PerfRate[[#This Row],[JobSatisfaction]],PerfRate[[#This Row],[RelationshipSatisfaction]])</f>
        <v>3.3333333333333335</v>
      </c>
      <c r="R266" s="2">
        <f>PerfRate[[#This Row],[ManagerRating]] - PerfRate[[#This Row],[SelfRating]]</f>
        <v>0</v>
      </c>
    </row>
    <row r="267" spans="1:18">
      <c r="A267" s="2" t="s">
        <v>4574</v>
      </c>
      <c r="B267" s="2" t="s">
        <v>1312</v>
      </c>
      <c r="C267" s="1">
        <v>41338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  <c r="L267" s="2" t="s">
        <v>11031</v>
      </c>
      <c r="M267" s="2" t="s">
        <v>11031</v>
      </c>
      <c r="N267" s="2" t="s">
        <v>11038</v>
      </c>
      <c r="O267" s="2" t="s">
        <v>11037</v>
      </c>
      <c r="P267" s="2" t="s">
        <v>11037</v>
      </c>
      <c r="Q267" s="2">
        <f>AVERAGE(PerfRate[[#This Row],[EnvironmentSatisfaction]],PerfRate[[#This Row],[JobSatisfaction]],PerfRate[[#This Row],[RelationshipSatisfaction]])</f>
        <v>4.333333333333333</v>
      </c>
      <c r="R267" s="2">
        <f>PerfRate[[#This Row],[ManagerRating]] - PerfRate[[#This Row],[SelfRating]]</f>
        <v>0</v>
      </c>
    </row>
    <row r="268" spans="1:18">
      <c r="A268" s="2" t="s">
        <v>4575</v>
      </c>
      <c r="B268" s="2" t="s">
        <v>3198</v>
      </c>
      <c r="C268" s="1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  <c r="L268" s="2" t="s">
        <v>11029</v>
      </c>
      <c r="M268" s="2" t="s">
        <v>11029</v>
      </c>
      <c r="N268" s="2" t="s">
        <v>11036</v>
      </c>
      <c r="O268" s="2" t="s">
        <v>11036</v>
      </c>
      <c r="P268" s="2" t="s">
        <v>11035</v>
      </c>
      <c r="Q268" s="2">
        <f>AVERAGE(PerfRate[[#This Row],[EnvironmentSatisfaction]],PerfRate[[#This Row],[JobSatisfaction]],PerfRate[[#This Row],[RelationshipSatisfaction]])</f>
        <v>2.6666666666666665</v>
      </c>
      <c r="R268" s="2">
        <f>PerfRate[[#This Row],[ManagerRating]] - PerfRate[[#This Row],[SelfRating]]</f>
        <v>0</v>
      </c>
    </row>
    <row r="269" spans="1:18">
      <c r="A269" s="2" t="s">
        <v>4576</v>
      </c>
      <c r="B269" s="2" t="s">
        <v>952</v>
      </c>
      <c r="C269" s="1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  <c r="L269" s="2" t="s">
        <v>11031</v>
      </c>
      <c r="M269" s="2" t="s">
        <v>11031</v>
      </c>
      <c r="N269" s="2" t="s">
        <v>11038</v>
      </c>
      <c r="O269" s="2" t="s">
        <v>11035</v>
      </c>
      <c r="P269" s="2" t="s">
        <v>11037</v>
      </c>
      <c r="Q269" s="2">
        <f>AVERAGE(PerfRate[[#This Row],[EnvironmentSatisfaction]],PerfRate[[#This Row],[JobSatisfaction]],PerfRate[[#This Row],[RelationshipSatisfaction]])</f>
        <v>3.6666666666666665</v>
      </c>
      <c r="R269" s="2">
        <f>PerfRate[[#This Row],[ManagerRating]] - PerfRate[[#This Row],[SelfRating]]</f>
        <v>0</v>
      </c>
    </row>
    <row r="270" spans="1:18">
      <c r="A270" s="2" t="s">
        <v>4577</v>
      </c>
      <c r="B270" s="2" t="s">
        <v>619</v>
      </c>
      <c r="C270" s="1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  <c r="L270" s="2" t="s">
        <v>11030</v>
      </c>
      <c r="M270" s="2" t="s">
        <v>11030</v>
      </c>
      <c r="N270" s="2" t="s">
        <v>11038</v>
      </c>
      <c r="O270" s="2" t="s">
        <v>11035</v>
      </c>
      <c r="P270" s="2" t="s">
        <v>11038</v>
      </c>
      <c r="Q270" s="2">
        <f>AVERAGE(PerfRate[[#This Row],[EnvironmentSatisfaction]],PerfRate[[#This Row],[JobSatisfaction]],PerfRate[[#This Row],[RelationshipSatisfaction]])</f>
        <v>4</v>
      </c>
      <c r="R270" s="2">
        <f>PerfRate[[#This Row],[ManagerRating]] - PerfRate[[#This Row],[SelfRating]]</f>
        <v>0</v>
      </c>
    </row>
    <row r="271" spans="1:18">
      <c r="A271" s="2" t="s">
        <v>4578</v>
      </c>
      <c r="B271" s="2" t="s">
        <v>2581</v>
      </c>
      <c r="C271" s="1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  <c r="L271" s="2" t="s">
        <v>11031</v>
      </c>
      <c r="M271" s="2" t="s">
        <v>11030</v>
      </c>
      <c r="N271" s="2" t="s">
        <v>11037</v>
      </c>
      <c r="O271" s="2" t="s">
        <v>11036</v>
      </c>
      <c r="P271" s="2" t="s">
        <v>11037</v>
      </c>
      <c r="Q271" s="2">
        <f>AVERAGE(PerfRate[[#This Row],[EnvironmentSatisfaction]],PerfRate[[#This Row],[JobSatisfaction]],PerfRate[[#This Row],[RelationshipSatisfaction]])</f>
        <v>3.6666666666666665</v>
      </c>
      <c r="R271" s="2">
        <f>PerfRate[[#This Row],[ManagerRating]] - PerfRate[[#This Row],[SelfRating]]</f>
        <v>-1</v>
      </c>
    </row>
    <row r="272" spans="1:18">
      <c r="A272" s="2" t="s">
        <v>4579</v>
      </c>
      <c r="B272" s="2" t="s">
        <v>2721</v>
      </c>
      <c r="C272" s="1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  <c r="L272" s="2" t="s">
        <v>11029</v>
      </c>
      <c r="M272" s="2" t="s">
        <v>11028</v>
      </c>
      <c r="N272" s="2" t="s">
        <v>11036</v>
      </c>
      <c r="O272" s="2" t="s">
        <v>11038</v>
      </c>
      <c r="P272" s="2" t="s">
        <v>11037</v>
      </c>
      <c r="Q272" s="2">
        <f>AVERAGE(PerfRate[[#This Row],[EnvironmentSatisfaction]],PerfRate[[#This Row],[JobSatisfaction]],PerfRate[[#This Row],[RelationshipSatisfaction]])</f>
        <v>4</v>
      </c>
      <c r="R272" s="2">
        <f>PerfRate[[#This Row],[ManagerRating]] - PerfRate[[#This Row],[SelfRating]]</f>
        <v>-1</v>
      </c>
    </row>
    <row r="273" spans="1:18">
      <c r="A273" s="2" t="s">
        <v>4580</v>
      </c>
      <c r="B273" s="2" t="s">
        <v>514</v>
      </c>
      <c r="C273" s="1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  <c r="L273" s="2" t="s">
        <v>11029</v>
      </c>
      <c r="M273" s="2" t="s">
        <v>11028</v>
      </c>
      <c r="N273" s="2" t="s">
        <v>11038</v>
      </c>
      <c r="O273" s="2" t="s">
        <v>11036</v>
      </c>
      <c r="P273" s="2" t="s">
        <v>11038</v>
      </c>
      <c r="Q273" s="2">
        <f>AVERAGE(PerfRate[[#This Row],[EnvironmentSatisfaction]],PerfRate[[#This Row],[JobSatisfaction]],PerfRate[[#This Row],[RelationshipSatisfaction]])</f>
        <v>4.333333333333333</v>
      </c>
      <c r="R273" s="2">
        <f>PerfRate[[#This Row],[ManagerRating]] - PerfRate[[#This Row],[SelfRating]]</f>
        <v>-1</v>
      </c>
    </row>
    <row r="274" spans="1:18">
      <c r="A274" s="2" t="s">
        <v>4581</v>
      </c>
      <c r="B274" s="2" t="s">
        <v>3510</v>
      </c>
      <c r="C274" s="1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  <c r="L274" s="2" t="s">
        <v>11030</v>
      </c>
      <c r="M274" s="2" t="s">
        <v>11030</v>
      </c>
      <c r="N274" s="2" t="s">
        <v>11037</v>
      </c>
      <c r="O274" s="2" t="s">
        <v>11038</v>
      </c>
      <c r="P274" s="2" t="s">
        <v>11037</v>
      </c>
      <c r="Q274" s="2">
        <f>AVERAGE(PerfRate[[#This Row],[EnvironmentSatisfaction]],PerfRate[[#This Row],[JobSatisfaction]],PerfRate[[#This Row],[RelationshipSatisfaction]])</f>
        <v>4.333333333333333</v>
      </c>
      <c r="R274" s="2">
        <f>PerfRate[[#This Row],[ManagerRating]] - PerfRate[[#This Row],[SelfRating]]</f>
        <v>0</v>
      </c>
    </row>
    <row r="275" spans="1:18">
      <c r="A275" s="2" t="s">
        <v>4582</v>
      </c>
      <c r="B275" s="2" t="s">
        <v>592</v>
      </c>
      <c r="C275" s="1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  <c r="L275" s="2" t="s">
        <v>11030</v>
      </c>
      <c r="M275" s="2" t="s">
        <v>11029</v>
      </c>
      <c r="N275" s="2" t="s">
        <v>11038</v>
      </c>
      <c r="O275" s="2" t="s">
        <v>11038</v>
      </c>
      <c r="P275" s="2" t="s">
        <v>11037</v>
      </c>
      <c r="Q275" s="2">
        <f>AVERAGE(PerfRate[[#This Row],[EnvironmentSatisfaction]],PerfRate[[#This Row],[JobSatisfaction]],PerfRate[[#This Row],[RelationshipSatisfaction]])</f>
        <v>4.666666666666667</v>
      </c>
      <c r="R275" s="2">
        <f>PerfRate[[#This Row],[ManagerRating]] - PerfRate[[#This Row],[SelfRating]]</f>
        <v>-1</v>
      </c>
    </row>
    <row r="276" spans="1:18">
      <c r="A276" s="2" t="s">
        <v>4583</v>
      </c>
      <c r="B276" s="2" t="s">
        <v>3341</v>
      </c>
      <c r="C276" s="1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  <c r="L276" s="2" t="s">
        <v>11030</v>
      </c>
      <c r="M276" s="2" t="s">
        <v>11030</v>
      </c>
      <c r="N276" s="2" t="s">
        <v>11038</v>
      </c>
      <c r="O276" s="2" t="s">
        <v>11038</v>
      </c>
      <c r="P276" s="2" t="s">
        <v>11037</v>
      </c>
      <c r="Q276" s="2">
        <f>AVERAGE(PerfRate[[#This Row],[EnvironmentSatisfaction]],PerfRate[[#This Row],[JobSatisfaction]],PerfRate[[#This Row],[RelationshipSatisfaction]])</f>
        <v>4.666666666666667</v>
      </c>
      <c r="R276" s="2">
        <f>PerfRate[[#This Row],[ManagerRating]] - PerfRate[[#This Row],[SelfRating]]</f>
        <v>0</v>
      </c>
    </row>
    <row r="277" spans="1:18">
      <c r="A277" s="2" t="s">
        <v>4584</v>
      </c>
      <c r="B277" s="2" t="s">
        <v>356</v>
      </c>
      <c r="C277" s="1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  <c r="L277" s="2" t="s">
        <v>11030</v>
      </c>
      <c r="M277" s="2" t="s">
        <v>11030</v>
      </c>
      <c r="N277" s="2" t="s">
        <v>11036</v>
      </c>
      <c r="O277" s="2" t="s">
        <v>11035</v>
      </c>
      <c r="P277" s="2" t="s">
        <v>11035</v>
      </c>
      <c r="Q277" s="2">
        <f>AVERAGE(PerfRate[[#This Row],[EnvironmentSatisfaction]],PerfRate[[#This Row],[JobSatisfaction]],PerfRate[[#This Row],[RelationshipSatisfaction]])</f>
        <v>2.3333333333333335</v>
      </c>
      <c r="R277" s="2">
        <f>PerfRate[[#This Row],[ManagerRating]] - PerfRate[[#This Row],[SelfRating]]</f>
        <v>0</v>
      </c>
    </row>
    <row r="278" spans="1:18">
      <c r="A278" s="2" t="s">
        <v>4585</v>
      </c>
      <c r="B278" s="2" t="s">
        <v>1906</v>
      </c>
      <c r="C278" s="1">
        <v>41369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  <c r="L278" s="2" t="s">
        <v>11031</v>
      </c>
      <c r="M278" s="2" t="s">
        <v>11030</v>
      </c>
      <c r="N278" s="2" t="s">
        <v>11037</v>
      </c>
      <c r="O278" s="2" t="s">
        <v>11038</v>
      </c>
      <c r="P278" s="2" t="s">
        <v>11037</v>
      </c>
      <c r="Q278" s="2">
        <f>AVERAGE(PerfRate[[#This Row],[EnvironmentSatisfaction]],PerfRate[[#This Row],[JobSatisfaction]],PerfRate[[#This Row],[RelationshipSatisfaction]])</f>
        <v>4.333333333333333</v>
      </c>
      <c r="R278" s="2">
        <f>PerfRate[[#This Row],[ManagerRating]] - PerfRate[[#This Row],[SelfRating]]</f>
        <v>-1</v>
      </c>
    </row>
    <row r="279" spans="1:18">
      <c r="A279" s="2" t="s">
        <v>4586</v>
      </c>
      <c r="B279" s="2" t="s">
        <v>863</v>
      </c>
      <c r="C279" s="1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  <c r="L279" s="2" t="s">
        <v>11029</v>
      </c>
      <c r="M279" s="2" t="s">
        <v>11029</v>
      </c>
      <c r="N279" s="2" t="s">
        <v>11037</v>
      </c>
      <c r="O279" s="2" t="s">
        <v>11036</v>
      </c>
      <c r="P279" s="2" t="s">
        <v>11036</v>
      </c>
      <c r="Q279" s="2">
        <f>AVERAGE(PerfRate[[#This Row],[EnvironmentSatisfaction]],PerfRate[[#This Row],[JobSatisfaction]],PerfRate[[#This Row],[RelationshipSatisfaction]])</f>
        <v>3.3333333333333335</v>
      </c>
      <c r="R279" s="2">
        <f>PerfRate[[#This Row],[ManagerRating]] - PerfRate[[#This Row],[SelfRating]]</f>
        <v>0</v>
      </c>
    </row>
    <row r="280" spans="1:18">
      <c r="A280" s="2" t="s">
        <v>4587</v>
      </c>
      <c r="B280" s="2" t="s">
        <v>544</v>
      </c>
      <c r="C280" s="1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  <c r="L280" s="2" t="s">
        <v>11031</v>
      </c>
      <c r="M280" s="2" t="s">
        <v>11030</v>
      </c>
      <c r="N280" s="2" t="s">
        <v>11037</v>
      </c>
      <c r="O280" s="2" t="s">
        <v>11035</v>
      </c>
      <c r="P280" s="2" t="s">
        <v>11037</v>
      </c>
      <c r="Q280" s="2">
        <f>AVERAGE(PerfRate[[#This Row],[EnvironmentSatisfaction]],PerfRate[[#This Row],[JobSatisfaction]],PerfRate[[#This Row],[RelationshipSatisfaction]])</f>
        <v>3.3333333333333335</v>
      </c>
      <c r="R280" s="2">
        <f>PerfRate[[#This Row],[ManagerRating]] - PerfRate[[#This Row],[SelfRating]]</f>
        <v>-1</v>
      </c>
    </row>
    <row r="281" spans="1:18">
      <c r="A281" s="2" t="s">
        <v>4588</v>
      </c>
      <c r="B281" s="2" t="s">
        <v>4032</v>
      </c>
      <c r="C281" s="1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  <c r="L281" s="2" t="s">
        <v>11029</v>
      </c>
      <c r="M281" s="2" t="s">
        <v>11028</v>
      </c>
      <c r="N281" s="2" t="s">
        <v>11037</v>
      </c>
      <c r="O281" s="2" t="s">
        <v>11037</v>
      </c>
      <c r="P281" s="2" t="s">
        <v>11035</v>
      </c>
      <c r="Q281" s="2">
        <f>AVERAGE(PerfRate[[#This Row],[EnvironmentSatisfaction]],PerfRate[[#This Row],[JobSatisfaction]],PerfRate[[#This Row],[RelationshipSatisfaction]])</f>
        <v>3.3333333333333335</v>
      </c>
      <c r="R281" s="2">
        <f>PerfRate[[#This Row],[ManagerRating]] - PerfRate[[#This Row],[SelfRating]]</f>
        <v>-1</v>
      </c>
    </row>
    <row r="282" spans="1:18">
      <c r="A282" s="2" t="s">
        <v>4589</v>
      </c>
      <c r="B282" s="2" t="s">
        <v>1660</v>
      </c>
      <c r="C282" s="1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  <c r="L282" s="2" t="s">
        <v>11030</v>
      </c>
      <c r="M282" s="2" t="s">
        <v>11030</v>
      </c>
      <c r="N282" s="2" t="s">
        <v>11037</v>
      </c>
      <c r="O282" s="2" t="s">
        <v>11038</v>
      </c>
      <c r="P282" s="2" t="s">
        <v>11038</v>
      </c>
      <c r="Q282" s="2">
        <f>AVERAGE(PerfRate[[#This Row],[EnvironmentSatisfaction]],PerfRate[[#This Row],[JobSatisfaction]],PerfRate[[#This Row],[RelationshipSatisfaction]])</f>
        <v>4.666666666666667</v>
      </c>
      <c r="R282" s="2">
        <f>PerfRate[[#This Row],[ManagerRating]] - PerfRate[[#This Row],[SelfRating]]</f>
        <v>0</v>
      </c>
    </row>
    <row r="283" spans="1:18">
      <c r="A283" s="2" t="s">
        <v>4590</v>
      </c>
      <c r="B283" s="2" t="s">
        <v>2767</v>
      </c>
      <c r="C283" s="1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  <c r="L283" s="2" t="s">
        <v>11029</v>
      </c>
      <c r="M283" s="2" t="s">
        <v>11029</v>
      </c>
      <c r="N283" s="2" t="s">
        <v>11036</v>
      </c>
      <c r="O283" s="2" t="s">
        <v>11038</v>
      </c>
      <c r="P283" s="2" t="s">
        <v>11038</v>
      </c>
      <c r="Q283" s="2">
        <f>AVERAGE(PerfRate[[#This Row],[EnvironmentSatisfaction]],PerfRate[[#This Row],[JobSatisfaction]],PerfRate[[#This Row],[RelationshipSatisfaction]])</f>
        <v>4.333333333333333</v>
      </c>
      <c r="R283" s="2">
        <f>PerfRate[[#This Row],[ManagerRating]] - PerfRate[[#This Row],[SelfRating]]</f>
        <v>0</v>
      </c>
    </row>
    <row r="284" spans="1:18">
      <c r="A284" s="2" t="s">
        <v>4591</v>
      </c>
      <c r="B284" s="2" t="s">
        <v>782</v>
      </c>
      <c r="C284" s="1">
        <v>42378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  <c r="L284" s="2" t="s">
        <v>11030</v>
      </c>
      <c r="M284" s="2" t="s">
        <v>11029</v>
      </c>
      <c r="N284" s="2" t="s">
        <v>11036</v>
      </c>
      <c r="O284" s="2" t="s">
        <v>11038</v>
      </c>
      <c r="P284" s="2" t="s">
        <v>11037</v>
      </c>
      <c r="Q284" s="2">
        <f>AVERAGE(PerfRate[[#This Row],[EnvironmentSatisfaction]],PerfRate[[#This Row],[JobSatisfaction]],PerfRate[[#This Row],[RelationshipSatisfaction]])</f>
        <v>4</v>
      </c>
      <c r="R284" s="2">
        <f>PerfRate[[#This Row],[ManagerRating]] - PerfRate[[#This Row],[SelfRating]]</f>
        <v>-1</v>
      </c>
    </row>
    <row r="285" spans="1:18">
      <c r="A285" s="2" t="s">
        <v>4592</v>
      </c>
      <c r="B285" s="2" t="s">
        <v>2533</v>
      </c>
      <c r="C285" s="1">
        <v>42409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  <c r="L285" s="2" t="s">
        <v>11030</v>
      </c>
      <c r="M285" s="2" t="s">
        <v>11030</v>
      </c>
      <c r="N285" s="2" t="s">
        <v>11036</v>
      </c>
      <c r="O285" s="2" t="s">
        <v>11038</v>
      </c>
      <c r="P285" s="2" t="s">
        <v>11036</v>
      </c>
      <c r="Q285" s="2">
        <f>AVERAGE(PerfRate[[#This Row],[EnvironmentSatisfaction]],PerfRate[[#This Row],[JobSatisfaction]],PerfRate[[#This Row],[RelationshipSatisfaction]])</f>
        <v>3.6666666666666665</v>
      </c>
      <c r="R285" s="2">
        <f>PerfRate[[#This Row],[ManagerRating]] - PerfRate[[#This Row],[SelfRating]]</f>
        <v>0</v>
      </c>
    </row>
    <row r="286" spans="1:18">
      <c r="A286" s="2" t="s">
        <v>4593</v>
      </c>
      <c r="B286" s="2" t="s">
        <v>847</v>
      </c>
      <c r="C286" s="1">
        <v>42409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  <c r="L286" s="2" t="s">
        <v>11030</v>
      </c>
      <c r="M286" s="2" t="s">
        <v>11029</v>
      </c>
      <c r="N286" s="2" t="s">
        <v>11036</v>
      </c>
      <c r="O286" s="2" t="s">
        <v>11035</v>
      </c>
      <c r="P286" s="2" t="s">
        <v>11036</v>
      </c>
      <c r="Q286" s="2">
        <f>AVERAGE(PerfRate[[#This Row],[EnvironmentSatisfaction]],PerfRate[[#This Row],[JobSatisfaction]],PerfRate[[#This Row],[RelationshipSatisfaction]])</f>
        <v>2.6666666666666665</v>
      </c>
      <c r="R286" s="2">
        <f>PerfRate[[#This Row],[ManagerRating]] - PerfRate[[#This Row],[SelfRating]]</f>
        <v>-1</v>
      </c>
    </row>
    <row r="287" spans="1:18">
      <c r="A287" s="2" t="s">
        <v>4594</v>
      </c>
      <c r="B287" s="2" t="s">
        <v>886</v>
      </c>
      <c r="C287" s="1">
        <v>42438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  <c r="L287" s="2" t="s">
        <v>11029</v>
      </c>
      <c r="M287" s="2" t="s">
        <v>11029</v>
      </c>
      <c r="N287" s="2" t="s">
        <v>11036</v>
      </c>
      <c r="O287" s="2" t="s">
        <v>11038</v>
      </c>
      <c r="P287" s="2" t="s">
        <v>11036</v>
      </c>
      <c r="Q287" s="2">
        <f>AVERAGE(PerfRate[[#This Row],[EnvironmentSatisfaction]],PerfRate[[#This Row],[JobSatisfaction]],PerfRate[[#This Row],[RelationshipSatisfaction]])</f>
        <v>3.6666666666666665</v>
      </c>
      <c r="R287" s="2">
        <f>PerfRate[[#This Row],[ManagerRating]] - PerfRate[[#This Row],[SelfRating]]</f>
        <v>0</v>
      </c>
    </row>
    <row r="288" spans="1:18">
      <c r="A288" s="2" t="s">
        <v>4595</v>
      </c>
      <c r="B288" s="2" t="s">
        <v>4222</v>
      </c>
      <c r="C288" s="1">
        <v>42469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  <c r="L288" s="2" t="s">
        <v>11031</v>
      </c>
      <c r="M288" s="2" t="s">
        <v>11031</v>
      </c>
      <c r="N288" s="2" t="s">
        <v>11037</v>
      </c>
      <c r="O288" s="2" t="s">
        <v>11035</v>
      </c>
      <c r="P288" s="2" t="s">
        <v>11038</v>
      </c>
      <c r="Q288" s="2">
        <f>AVERAGE(PerfRate[[#This Row],[EnvironmentSatisfaction]],PerfRate[[#This Row],[JobSatisfaction]],PerfRate[[#This Row],[RelationshipSatisfaction]])</f>
        <v>3.6666666666666665</v>
      </c>
      <c r="R288" s="2">
        <f>PerfRate[[#This Row],[ManagerRating]] - PerfRate[[#This Row],[SelfRating]]</f>
        <v>0</v>
      </c>
    </row>
    <row r="289" spans="1:18">
      <c r="A289" s="2" t="s">
        <v>4596</v>
      </c>
      <c r="B289" s="2" t="s">
        <v>1721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  <c r="L289" s="2" t="s">
        <v>11030</v>
      </c>
      <c r="M289" s="2" t="s">
        <v>11030</v>
      </c>
      <c r="N289" s="2" t="s">
        <v>11038</v>
      </c>
      <c r="O289" s="2" t="s">
        <v>11037</v>
      </c>
      <c r="P289" s="2" t="s">
        <v>11038</v>
      </c>
      <c r="Q289" s="2">
        <f>AVERAGE(PerfRate[[#This Row],[EnvironmentSatisfaction]],PerfRate[[#This Row],[JobSatisfaction]],PerfRate[[#This Row],[RelationshipSatisfaction]])</f>
        <v>4.666666666666667</v>
      </c>
      <c r="R289" s="2">
        <f>PerfRate[[#This Row],[ManagerRating]] - PerfRate[[#This Row],[SelfRating]]</f>
        <v>0</v>
      </c>
    </row>
    <row r="290" spans="1:18">
      <c r="A290" s="2" t="s">
        <v>4597</v>
      </c>
      <c r="B290" s="2" t="s">
        <v>604</v>
      </c>
      <c r="C290" s="1">
        <v>42530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  <c r="L290" s="2" t="s">
        <v>11031</v>
      </c>
      <c r="M290" s="2" t="s">
        <v>11030</v>
      </c>
      <c r="N290" s="2" t="s">
        <v>11038</v>
      </c>
      <c r="O290" s="2" t="s">
        <v>11038</v>
      </c>
      <c r="P290" s="2" t="s">
        <v>11036</v>
      </c>
      <c r="Q290" s="2">
        <f>AVERAGE(PerfRate[[#This Row],[EnvironmentSatisfaction]],PerfRate[[#This Row],[JobSatisfaction]],PerfRate[[#This Row],[RelationshipSatisfaction]])</f>
        <v>4.333333333333333</v>
      </c>
      <c r="R290" s="2">
        <f>PerfRate[[#This Row],[ManagerRating]] - PerfRate[[#This Row],[SelfRating]]</f>
        <v>-1</v>
      </c>
    </row>
    <row r="291" spans="1:18">
      <c r="A291" s="2" t="s">
        <v>4598</v>
      </c>
      <c r="B291" s="2" t="s">
        <v>3353</v>
      </c>
      <c r="C291" s="1">
        <v>42591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  <c r="L291" s="2" t="s">
        <v>11030</v>
      </c>
      <c r="M291" s="2" t="s">
        <v>11029</v>
      </c>
      <c r="N291" s="2" t="s">
        <v>11037</v>
      </c>
      <c r="O291" s="2" t="s">
        <v>11037</v>
      </c>
      <c r="P291" s="2" t="s">
        <v>11038</v>
      </c>
      <c r="Q291" s="2">
        <f>AVERAGE(PerfRate[[#This Row],[EnvironmentSatisfaction]],PerfRate[[#This Row],[JobSatisfaction]],PerfRate[[#This Row],[RelationshipSatisfaction]])</f>
        <v>4.333333333333333</v>
      </c>
      <c r="R291" s="2">
        <f>PerfRate[[#This Row],[ManagerRating]] - PerfRate[[#This Row],[SelfRating]]</f>
        <v>-1</v>
      </c>
    </row>
    <row r="292" spans="1:18">
      <c r="A292" s="2" t="s">
        <v>4599</v>
      </c>
      <c r="B292" s="2" t="s">
        <v>2148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  <c r="L292" s="2" t="s">
        <v>11031</v>
      </c>
      <c r="M292" s="2" t="s">
        <v>11031</v>
      </c>
      <c r="N292" s="2" t="s">
        <v>11038</v>
      </c>
      <c r="O292" s="2" t="s">
        <v>11035</v>
      </c>
      <c r="P292" s="2" t="s">
        <v>11035</v>
      </c>
      <c r="Q292" s="2">
        <f>AVERAGE(PerfRate[[#This Row],[EnvironmentSatisfaction]],PerfRate[[#This Row],[JobSatisfaction]],PerfRate[[#This Row],[RelationshipSatisfaction]])</f>
        <v>3</v>
      </c>
      <c r="R292" s="2">
        <f>PerfRate[[#This Row],[ManagerRating]] - PerfRate[[#This Row],[SelfRating]]</f>
        <v>0</v>
      </c>
    </row>
    <row r="293" spans="1:18">
      <c r="A293" s="2" t="s">
        <v>4600</v>
      </c>
      <c r="B293" s="2" t="s">
        <v>794</v>
      </c>
      <c r="C293" s="1">
        <v>42683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  <c r="L293" s="2" t="s">
        <v>11031</v>
      </c>
      <c r="M293" s="2" t="s">
        <v>11030</v>
      </c>
      <c r="N293" s="2" t="s">
        <v>11038</v>
      </c>
      <c r="O293" s="2" t="s">
        <v>11038</v>
      </c>
      <c r="P293" s="2" t="s">
        <v>11037</v>
      </c>
      <c r="Q293" s="2">
        <f>AVERAGE(PerfRate[[#This Row],[EnvironmentSatisfaction]],PerfRate[[#This Row],[JobSatisfaction]],PerfRate[[#This Row],[RelationshipSatisfaction]])</f>
        <v>4.666666666666667</v>
      </c>
      <c r="R293" s="2">
        <f>PerfRate[[#This Row],[ManagerRating]] - PerfRate[[#This Row],[SelfRating]]</f>
        <v>-1</v>
      </c>
    </row>
    <row r="294" spans="1:18">
      <c r="A294" s="2" t="s">
        <v>4601</v>
      </c>
      <c r="B294" s="2" t="s">
        <v>464</v>
      </c>
      <c r="C294" s="1">
        <v>42713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  <c r="L294" s="2" t="s">
        <v>11031</v>
      </c>
      <c r="M294" s="2" t="s">
        <v>11030</v>
      </c>
      <c r="N294" s="2" t="s">
        <v>11036</v>
      </c>
      <c r="O294" s="2" t="s">
        <v>11038</v>
      </c>
      <c r="P294" s="2" t="s">
        <v>11038</v>
      </c>
      <c r="Q294" s="2">
        <f>AVERAGE(PerfRate[[#This Row],[EnvironmentSatisfaction]],PerfRate[[#This Row],[JobSatisfaction]],PerfRate[[#This Row],[RelationshipSatisfaction]])</f>
        <v>4.333333333333333</v>
      </c>
      <c r="R294" s="2">
        <f>PerfRate[[#This Row],[ManagerRating]] - PerfRate[[#This Row],[SelfRating]]</f>
        <v>-1</v>
      </c>
    </row>
    <row r="295" spans="1:18">
      <c r="A295" s="2" t="s">
        <v>4602</v>
      </c>
      <c r="B295" s="2" t="s">
        <v>4142</v>
      </c>
      <c r="C295" s="1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  <c r="L295" s="2" t="s">
        <v>11029</v>
      </c>
      <c r="M295" s="2" t="s">
        <v>11028</v>
      </c>
      <c r="N295" s="2" t="s">
        <v>11038</v>
      </c>
      <c r="O295" s="2" t="s">
        <v>11038</v>
      </c>
      <c r="P295" s="2" t="s">
        <v>11035</v>
      </c>
      <c r="Q295" s="2">
        <f>AVERAGE(PerfRate[[#This Row],[EnvironmentSatisfaction]],PerfRate[[#This Row],[JobSatisfaction]],PerfRate[[#This Row],[RelationshipSatisfaction]])</f>
        <v>4</v>
      </c>
      <c r="R295" s="2">
        <f>PerfRate[[#This Row],[ManagerRating]] - PerfRate[[#This Row],[SelfRating]]</f>
        <v>-1</v>
      </c>
    </row>
    <row r="296" spans="1:18">
      <c r="A296" s="2" t="s">
        <v>4603</v>
      </c>
      <c r="B296" s="2" t="s">
        <v>299</v>
      </c>
      <c r="C296" s="1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  <c r="L296" s="2" t="s">
        <v>11029</v>
      </c>
      <c r="M296" s="2" t="s">
        <v>11029</v>
      </c>
      <c r="N296" s="2" t="s">
        <v>11037</v>
      </c>
      <c r="O296" s="2" t="s">
        <v>11038</v>
      </c>
      <c r="P296" s="2" t="s">
        <v>11038</v>
      </c>
      <c r="Q296" s="2">
        <f>AVERAGE(PerfRate[[#This Row],[EnvironmentSatisfaction]],PerfRate[[#This Row],[JobSatisfaction]],PerfRate[[#This Row],[RelationshipSatisfaction]])</f>
        <v>4.666666666666667</v>
      </c>
      <c r="R296" s="2">
        <f>PerfRate[[#This Row],[ManagerRating]] - PerfRate[[#This Row],[SelfRating]]</f>
        <v>0</v>
      </c>
    </row>
    <row r="297" spans="1:18">
      <c r="A297" s="2" t="s">
        <v>4604</v>
      </c>
      <c r="B297" s="2" t="s">
        <v>547</v>
      </c>
      <c r="C297" s="1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  <c r="L297" s="2" t="s">
        <v>11029</v>
      </c>
      <c r="M297" s="2" t="s">
        <v>11028</v>
      </c>
      <c r="N297" s="2" t="s">
        <v>11036</v>
      </c>
      <c r="O297" s="2" t="s">
        <v>11036</v>
      </c>
      <c r="P297" s="2" t="s">
        <v>11038</v>
      </c>
      <c r="Q297" s="2">
        <f>AVERAGE(PerfRate[[#This Row],[EnvironmentSatisfaction]],PerfRate[[#This Row],[JobSatisfaction]],PerfRate[[#This Row],[RelationshipSatisfaction]])</f>
        <v>3.6666666666666665</v>
      </c>
      <c r="R297" s="2">
        <f>PerfRate[[#This Row],[ManagerRating]] - PerfRate[[#This Row],[SelfRating]]</f>
        <v>-1</v>
      </c>
    </row>
    <row r="298" spans="1:18">
      <c r="A298" s="2" t="s">
        <v>4605</v>
      </c>
      <c r="B298" s="2" t="s">
        <v>1335</v>
      </c>
      <c r="C298" s="1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  <c r="L298" s="2" t="s">
        <v>11029</v>
      </c>
      <c r="M298" s="2" t="s">
        <v>11029</v>
      </c>
      <c r="N298" s="2" t="s">
        <v>11038</v>
      </c>
      <c r="O298" s="2" t="s">
        <v>11035</v>
      </c>
      <c r="P298" s="2" t="s">
        <v>11038</v>
      </c>
      <c r="Q298" s="2">
        <f>AVERAGE(PerfRate[[#This Row],[EnvironmentSatisfaction]],PerfRate[[#This Row],[JobSatisfaction]],PerfRate[[#This Row],[RelationshipSatisfaction]])</f>
        <v>4</v>
      </c>
      <c r="R298" s="2">
        <f>PerfRate[[#This Row],[ManagerRating]] - PerfRate[[#This Row],[SelfRating]]</f>
        <v>0</v>
      </c>
    </row>
    <row r="299" spans="1:18">
      <c r="A299" s="2" t="s">
        <v>4606</v>
      </c>
      <c r="B299" s="2" t="s">
        <v>2885</v>
      </c>
      <c r="C299" s="1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  <c r="L299" s="2" t="s">
        <v>11031</v>
      </c>
      <c r="M299" s="2" t="s">
        <v>11030</v>
      </c>
      <c r="N299" s="2" t="s">
        <v>11038</v>
      </c>
      <c r="O299" s="2" t="s">
        <v>11037</v>
      </c>
      <c r="P299" s="2" t="s">
        <v>11035</v>
      </c>
      <c r="Q299" s="2">
        <f>AVERAGE(PerfRate[[#This Row],[EnvironmentSatisfaction]],PerfRate[[#This Row],[JobSatisfaction]],PerfRate[[#This Row],[RelationshipSatisfaction]])</f>
        <v>3.6666666666666665</v>
      </c>
      <c r="R299" s="2">
        <f>PerfRate[[#This Row],[ManagerRating]] - PerfRate[[#This Row],[SelfRating]]</f>
        <v>-1</v>
      </c>
    </row>
    <row r="300" spans="1:18">
      <c r="A300" s="2" t="s">
        <v>4607</v>
      </c>
      <c r="B300" s="2" t="s">
        <v>1895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  <c r="L300" s="2" t="s">
        <v>11029</v>
      </c>
      <c r="M300" s="2" t="s">
        <v>11029</v>
      </c>
      <c r="N300" s="2" t="s">
        <v>11038</v>
      </c>
      <c r="O300" s="2" t="s">
        <v>11037</v>
      </c>
      <c r="P300" s="2" t="s">
        <v>11036</v>
      </c>
      <c r="Q300" s="2">
        <f>AVERAGE(PerfRate[[#This Row],[EnvironmentSatisfaction]],PerfRate[[#This Row],[JobSatisfaction]],PerfRate[[#This Row],[RelationshipSatisfaction]])</f>
        <v>4</v>
      </c>
      <c r="R300" s="2">
        <f>PerfRate[[#This Row],[ManagerRating]] - PerfRate[[#This Row],[SelfRating]]</f>
        <v>0</v>
      </c>
    </row>
    <row r="301" spans="1:18">
      <c r="A301" s="2" t="s">
        <v>4608</v>
      </c>
      <c r="B301" s="2" t="s">
        <v>2563</v>
      </c>
      <c r="C301" s="1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  <c r="L301" s="2" t="s">
        <v>11029</v>
      </c>
      <c r="M301" s="2" t="s">
        <v>11029</v>
      </c>
      <c r="N301" s="2" t="s">
        <v>11037</v>
      </c>
      <c r="O301" s="2" t="s">
        <v>11037</v>
      </c>
      <c r="P301" s="2" t="s">
        <v>11037</v>
      </c>
      <c r="Q301" s="2">
        <f>AVERAGE(PerfRate[[#This Row],[EnvironmentSatisfaction]],PerfRate[[#This Row],[JobSatisfaction]],PerfRate[[#This Row],[RelationshipSatisfaction]])</f>
        <v>4</v>
      </c>
      <c r="R301" s="2">
        <f>PerfRate[[#This Row],[ManagerRating]] - PerfRate[[#This Row],[SelfRating]]</f>
        <v>0</v>
      </c>
    </row>
    <row r="302" spans="1:18">
      <c r="A302" s="2" t="s">
        <v>4609</v>
      </c>
      <c r="B302" s="2" t="s">
        <v>517</v>
      </c>
      <c r="C302" s="1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  <c r="L302" s="2" t="s">
        <v>11031</v>
      </c>
      <c r="M302" s="2" t="s">
        <v>11030</v>
      </c>
      <c r="N302" s="2" t="s">
        <v>11038</v>
      </c>
      <c r="O302" s="2" t="s">
        <v>11035</v>
      </c>
      <c r="P302" s="2" t="s">
        <v>11038</v>
      </c>
      <c r="Q302" s="2">
        <f>AVERAGE(PerfRate[[#This Row],[EnvironmentSatisfaction]],PerfRate[[#This Row],[JobSatisfaction]],PerfRate[[#This Row],[RelationshipSatisfaction]])</f>
        <v>4</v>
      </c>
      <c r="R302" s="2">
        <f>PerfRate[[#This Row],[ManagerRating]] - PerfRate[[#This Row],[SelfRating]]</f>
        <v>-1</v>
      </c>
    </row>
    <row r="303" spans="1:18">
      <c r="A303" s="2" t="s">
        <v>4610</v>
      </c>
      <c r="B303" s="2" t="s">
        <v>2596</v>
      </c>
      <c r="C303" s="1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  <c r="L303" s="2" t="s">
        <v>11031</v>
      </c>
      <c r="M303" s="2" t="s">
        <v>11030</v>
      </c>
      <c r="N303" s="2" t="s">
        <v>11037</v>
      </c>
      <c r="O303" s="2" t="s">
        <v>11038</v>
      </c>
      <c r="P303" s="2" t="s">
        <v>11035</v>
      </c>
      <c r="Q303" s="2">
        <f>AVERAGE(PerfRate[[#This Row],[EnvironmentSatisfaction]],PerfRate[[#This Row],[JobSatisfaction]],PerfRate[[#This Row],[RelationshipSatisfaction]])</f>
        <v>3.6666666666666665</v>
      </c>
      <c r="R303" s="2">
        <f>PerfRate[[#This Row],[ManagerRating]] - PerfRate[[#This Row],[SelfRating]]</f>
        <v>-1</v>
      </c>
    </row>
    <row r="304" spans="1:18">
      <c r="A304" s="2" t="s">
        <v>4611</v>
      </c>
      <c r="B304" s="2" t="s">
        <v>2920</v>
      </c>
      <c r="C304" s="1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  <c r="L304" s="2" t="s">
        <v>11029</v>
      </c>
      <c r="M304" s="2" t="s">
        <v>11029</v>
      </c>
      <c r="N304" s="2" t="s">
        <v>11037</v>
      </c>
      <c r="O304" s="2" t="s">
        <v>11038</v>
      </c>
      <c r="P304" s="2" t="s">
        <v>11037</v>
      </c>
      <c r="Q304" s="2">
        <f>AVERAGE(PerfRate[[#This Row],[EnvironmentSatisfaction]],PerfRate[[#This Row],[JobSatisfaction]],PerfRate[[#This Row],[RelationshipSatisfaction]])</f>
        <v>4.333333333333333</v>
      </c>
      <c r="R304" s="2">
        <f>PerfRate[[#This Row],[ManagerRating]] - PerfRate[[#This Row],[SelfRating]]</f>
        <v>0</v>
      </c>
    </row>
    <row r="305" spans="1:18">
      <c r="A305" s="2" t="s">
        <v>4612</v>
      </c>
      <c r="B305" s="2" t="s">
        <v>134</v>
      </c>
      <c r="C305" s="1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  <c r="L305" s="2" t="s">
        <v>11029</v>
      </c>
      <c r="M305" s="2" t="s">
        <v>11028</v>
      </c>
      <c r="N305" s="2" t="s">
        <v>11037</v>
      </c>
      <c r="O305" s="2" t="s">
        <v>11035</v>
      </c>
      <c r="P305" s="2" t="s">
        <v>11037</v>
      </c>
      <c r="Q305" s="2">
        <f>AVERAGE(PerfRate[[#This Row],[EnvironmentSatisfaction]],PerfRate[[#This Row],[JobSatisfaction]],PerfRate[[#This Row],[RelationshipSatisfaction]])</f>
        <v>3.3333333333333335</v>
      </c>
      <c r="R305" s="2">
        <f>PerfRate[[#This Row],[ManagerRating]] - PerfRate[[#This Row],[SelfRating]]</f>
        <v>-1</v>
      </c>
    </row>
    <row r="306" spans="1:18">
      <c r="A306" s="2" t="s">
        <v>4613</v>
      </c>
      <c r="B306" s="2" t="s">
        <v>4230</v>
      </c>
      <c r="C306" s="1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  <c r="L306" s="2" t="s">
        <v>11030</v>
      </c>
      <c r="M306" s="2" t="s">
        <v>11030</v>
      </c>
      <c r="N306" s="2" t="s">
        <v>11037</v>
      </c>
      <c r="O306" s="2" t="s">
        <v>11038</v>
      </c>
      <c r="P306" s="2" t="s">
        <v>11036</v>
      </c>
      <c r="Q306" s="2">
        <f>AVERAGE(PerfRate[[#This Row],[EnvironmentSatisfaction]],PerfRate[[#This Row],[JobSatisfaction]],PerfRate[[#This Row],[RelationshipSatisfaction]])</f>
        <v>4</v>
      </c>
      <c r="R306" s="2">
        <f>PerfRate[[#This Row],[ManagerRating]] - PerfRate[[#This Row],[SelfRating]]</f>
        <v>0</v>
      </c>
    </row>
    <row r="307" spans="1:18">
      <c r="A307" s="2" t="s">
        <v>4614</v>
      </c>
      <c r="B307" s="2" t="s">
        <v>482</v>
      </c>
      <c r="C307" s="1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  <c r="L307" s="2" t="s">
        <v>11031</v>
      </c>
      <c r="M307" s="2" t="s">
        <v>11031</v>
      </c>
      <c r="N307" s="2" t="s">
        <v>11036</v>
      </c>
      <c r="O307" s="2" t="s">
        <v>11037</v>
      </c>
      <c r="P307" s="2" t="s">
        <v>11037</v>
      </c>
      <c r="Q307" s="2">
        <f>AVERAGE(PerfRate[[#This Row],[EnvironmentSatisfaction]],PerfRate[[#This Row],[JobSatisfaction]],PerfRate[[#This Row],[RelationshipSatisfaction]])</f>
        <v>3.6666666666666665</v>
      </c>
      <c r="R307" s="2">
        <f>PerfRate[[#This Row],[ManagerRating]] - PerfRate[[#This Row],[SelfRating]]</f>
        <v>0</v>
      </c>
    </row>
    <row r="308" spans="1:18">
      <c r="A308" s="2" t="s">
        <v>4615</v>
      </c>
      <c r="B308" s="2" t="s">
        <v>708</v>
      </c>
      <c r="C308" s="1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  <c r="L308" s="2" t="s">
        <v>11030</v>
      </c>
      <c r="M308" s="2" t="s">
        <v>11030</v>
      </c>
      <c r="N308" s="2" t="s">
        <v>11037</v>
      </c>
      <c r="O308" s="2" t="s">
        <v>11037</v>
      </c>
      <c r="P308" s="2" t="s">
        <v>11037</v>
      </c>
      <c r="Q308" s="2">
        <f>AVERAGE(PerfRate[[#This Row],[EnvironmentSatisfaction]],PerfRate[[#This Row],[JobSatisfaction]],PerfRate[[#This Row],[RelationshipSatisfaction]])</f>
        <v>4</v>
      </c>
      <c r="R308" s="2">
        <f>PerfRate[[#This Row],[ManagerRating]] - PerfRate[[#This Row],[SelfRating]]</f>
        <v>0</v>
      </c>
    </row>
    <row r="309" spans="1:18">
      <c r="A309" s="2" t="s">
        <v>4616</v>
      </c>
      <c r="B309" s="2" t="s">
        <v>841</v>
      </c>
      <c r="C309" s="1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  <c r="L309" s="2" t="s">
        <v>11031</v>
      </c>
      <c r="M309" s="2" t="s">
        <v>11031</v>
      </c>
      <c r="N309" s="2" t="s">
        <v>11038</v>
      </c>
      <c r="O309" s="2" t="s">
        <v>11037</v>
      </c>
      <c r="P309" s="2" t="s">
        <v>11038</v>
      </c>
      <c r="Q309" s="2">
        <f>AVERAGE(PerfRate[[#This Row],[EnvironmentSatisfaction]],PerfRate[[#This Row],[JobSatisfaction]],PerfRate[[#This Row],[RelationshipSatisfaction]])</f>
        <v>4.666666666666667</v>
      </c>
      <c r="R309" s="2">
        <f>PerfRate[[#This Row],[ManagerRating]] - PerfRate[[#This Row],[SelfRating]]</f>
        <v>0</v>
      </c>
    </row>
    <row r="310" spans="1:18">
      <c r="A310" s="2" t="s">
        <v>4617</v>
      </c>
      <c r="B310" s="2" t="s">
        <v>3280</v>
      </c>
      <c r="C310" s="1">
        <v>42379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  <c r="L310" s="2" t="s">
        <v>11030</v>
      </c>
      <c r="M310" s="2" t="s">
        <v>11029</v>
      </c>
      <c r="N310" s="2" t="s">
        <v>11037</v>
      </c>
      <c r="O310" s="2" t="s">
        <v>11036</v>
      </c>
      <c r="P310" s="2" t="s">
        <v>11038</v>
      </c>
      <c r="Q310" s="2">
        <f>AVERAGE(PerfRate[[#This Row],[EnvironmentSatisfaction]],PerfRate[[#This Row],[JobSatisfaction]],PerfRate[[#This Row],[RelationshipSatisfaction]])</f>
        <v>4</v>
      </c>
      <c r="R310" s="2">
        <f>PerfRate[[#This Row],[ManagerRating]] - PerfRate[[#This Row],[SelfRating]]</f>
        <v>-1</v>
      </c>
    </row>
    <row r="311" spans="1:18">
      <c r="A311" s="2" t="s">
        <v>4618</v>
      </c>
      <c r="B311" s="2" t="s">
        <v>449</v>
      </c>
      <c r="C311" s="1">
        <v>41430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  <c r="L311" s="2" t="s">
        <v>11029</v>
      </c>
      <c r="M311" s="2" t="s">
        <v>11029</v>
      </c>
      <c r="N311" s="2" t="s">
        <v>11038</v>
      </c>
      <c r="O311" s="2" t="s">
        <v>11035</v>
      </c>
      <c r="P311" s="2" t="s">
        <v>11038</v>
      </c>
      <c r="Q311" s="2">
        <f>AVERAGE(PerfRate[[#This Row],[EnvironmentSatisfaction]],PerfRate[[#This Row],[JobSatisfaction]],PerfRate[[#This Row],[RelationshipSatisfaction]])</f>
        <v>4</v>
      </c>
      <c r="R311" s="2">
        <f>PerfRate[[#This Row],[ManagerRating]] - PerfRate[[#This Row],[SelfRating]]</f>
        <v>0</v>
      </c>
    </row>
    <row r="312" spans="1:18">
      <c r="A312" s="2" t="s">
        <v>4619</v>
      </c>
      <c r="B312" s="2" t="s">
        <v>3074</v>
      </c>
      <c r="C312" s="1">
        <v>42379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  <c r="L312" s="2" t="s">
        <v>11030</v>
      </c>
      <c r="M312" s="2" t="s">
        <v>11029</v>
      </c>
      <c r="N312" s="2" t="s">
        <v>11036</v>
      </c>
      <c r="O312" s="2" t="s">
        <v>11038</v>
      </c>
      <c r="P312" s="2" t="s">
        <v>11036</v>
      </c>
      <c r="Q312" s="2">
        <f>AVERAGE(PerfRate[[#This Row],[EnvironmentSatisfaction]],PerfRate[[#This Row],[JobSatisfaction]],PerfRate[[#This Row],[RelationshipSatisfaction]])</f>
        <v>3.6666666666666665</v>
      </c>
      <c r="R312" s="2">
        <f>PerfRate[[#This Row],[ManagerRating]] - PerfRate[[#This Row],[SelfRating]]</f>
        <v>-1</v>
      </c>
    </row>
    <row r="313" spans="1:18">
      <c r="A313" s="2" t="s">
        <v>4620</v>
      </c>
      <c r="B313" s="2" t="s">
        <v>383</v>
      </c>
      <c r="C313" s="1">
        <v>42379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  <c r="L313" s="2" t="s">
        <v>11029</v>
      </c>
      <c r="M313" s="2" t="s">
        <v>11029</v>
      </c>
      <c r="N313" s="2" t="s">
        <v>11037</v>
      </c>
      <c r="O313" s="2" t="s">
        <v>11038</v>
      </c>
      <c r="P313" s="2" t="s">
        <v>11035</v>
      </c>
      <c r="Q313" s="2">
        <f>AVERAGE(PerfRate[[#This Row],[EnvironmentSatisfaction]],PerfRate[[#This Row],[JobSatisfaction]],PerfRate[[#This Row],[RelationshipSatisfaction]])</f>
        <v>3.6666666666666665</v>
      </c>
      <c r="R313" s="2">
        <f>PerfRate[[#This Row],[ManagerRating]] - PerfRate[[#This Row],[SelfRating]]</f>
        <v>0</v>
      </c>
    </row>
    <row r="314" spans="1:18">
      <c r="A314" s="2" t="s">
        <v>4621</v>
      </c>
      <c r="B314" s="2" t="s">
        <v>913</v>
      </c>
      <c r="C314" s="1">
        <v>42379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  <c r="L314" s="2" t="s">
        <v>11031</v>
      </c>
      <c r="M314" s="2" t="s">
        <v>11030</v>
      </c>
      <c r="N314" s="2" t="s">
        <v>11037</v>
      </c>
      <c r="O314" s="2" t="s">
        <v>11037</v>
      </c>
      <c r="P314" s="2" t="s">
        <v>11037</v>
      </c>
      <c r="Q314" s="2">
        <f>AVERAGE(PerfRate[[#This Row],[EnvironmentSatisfaction]],PerfRate[[#This Row],[JobSatisfaction]],PerfRate[[#This Row],[RelationshipSatisfaction]])</f>
        <v>4</v>
      </c>
      <c r="R314" s="2">
        <f>PerfRate[[#This Row],[ManagerRating]] - PerfRate[[#This Row],[SelfRating]]</f>
        <v>-1</v>
      </c>
    </row>
    <row r="315" spans="1:18">
      <c r="A315" s="2" t="s">
        <v>4622</v>
      </c>
      <c r="B315" s="2" t="s">
        <v>89</v>
      </c>
      <c r="C315" s="1">
        <v>42439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  <c r="L315" s="2" t="s">
        <v>11031</v>
      </c>
      <c r="M315" s="2" t="s">
        <v>11031</v>
      </c>
      <c r="N315" s="2" t="s">
        <v>11036</v>
      </c>
      <c r="O315" s="2" t="s">
        <v>11035</v>
      </c>
      <c r="P315" s="2" t="s">
        <v>11035</v>
      </c>
      <c r="Q315" s="2">
        <f>AVERAGE(PerfRate[[#This Row],[EnvironmentSatisfaction]],PerfRate[[#This Row],[JobSatisfaction]],PerfRate[[#This Row],[RelationshipSatisfaction]])</f>
        <v>2.3333333333333335</v>
      </c>
      <c r="R315" s="2">
        <f>PerfRate[[#This Row],[ManagerRating]] - PerfRate[[#This Row],[SelfRating]]</f>
        <v>0</v>
      </c>
    </row>
    <row r="316" spans="1:18">
      <c r="A316" s="2" t="s">
        <v>4623</v>
      </c>
      <c r="B316" s="2" t="s">
        <v>922</v>
      </c>
      <c r="C316" s="1">
        <v>42470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  <c r="L316" s="2" t="s">
        <v>11029</v>
      </c>
      <c r="M316" s="2" t="s">
        <v>11029</v>
      </c>
      <c r="N316" s="2" t="s">
        <v>11036</v>
      </c>
      <c r="O316" s="2" t="s">
        <v>11037</v>
      </c>
      <c r="P316" s="2" t="s">
        <v>11035</v>
      </c>
      <c r="Q316" s="2">
        <f>AVERAGE(PerfRate[[#This Row],[EnvironmentSatisfaction]],PerfRate[[#This Row],[JobSatisfaction]],PerfRate[[#This Row],[RelationshipSatisfaction]])</f>
        <v>3</v>
      </c>
      <c r="R316" s="2">
        <f>PerfRate[[#This Row],[ManagerRating]] - PerfRate[[#This Row],[SelfRating]]</f>
        <v>0</v>
      </c>
    </row>
    <row r="317" spans="1:18">
      <c r="A317" s="2" t="s">
        <v>4624</v>
      </c>
      <c r="B317" s="2" t="s">
        <v>502</v>
      </c>
      <c r="C317" s="1">
        <v>42592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  <c r="L317" s="2" t="s">
        <v>11030</v>
      </c>
      <c r="M317" s="2" t="s">
        <v>11029</v>
      </c>
      <c r="N317" s="2" t="s">
        <v>11036</v>
      </c>
      <c r="O317" s="2" t="s">
        <v>11038</v>
      </c>
      <c r="P317" s="2" t="s">
        <v>11036</v>
      </c>
      <c r="Q317" s="2">
        <f>AVERAGE(PerfRate[[#This Row],[EnvironmentSatisfaction]],PerfRate[[#This Row],[JobSatisfaction]],PerfRate[[#This Row],[RelationshipSatisfaction]])</f>
        <v>3.6666666666666665</v>
      </c>
      <c r="R317" s="2">
        <f>PerfRate[[#This Row],[ManagerRating]] - PerfRate[[#This Row],[SelfRating]]</f>
        <v>-1</v>
      </c>
    </row>
    <row r="318" spans="1:18">
      <c r="A318" s="2" t="s">
        <v>4625</v>
      </c>
      <c r="B318" s="2" t="s">
        <v>3329</v>
      </c>
      <c r="C318" s="1">
        <v>42623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  <c r="L318" s="2" t="s">
        <v>11031</v>
      </c>
      <c r="M318" s="2" t="s">
        <v>11031</v>
      </c>
      <c r="N318" s="2" t="s">
        <v>11038</v>
      </c>
      <c r="O318" s="2" t="s">
        <v>11038</v>
      </c>
      <c r="P318" s="2" t="s">
        <v>11036</v>
      </c>
      <c r="Q318" s="2">
        <f>AVERAGE(PerfRate[[#This Row],[EnvironmentSatisfaction]],PerfRate[[#This Row],[JobSatisfaction]],PerfRate[[#This Row],[RelationshipSatisfaction]])</f>
        <v>4.333333333333333</v>
      </c>
      <c r="R318" s="2">
        <f>PerfRate[[#This Row],[ManagerRating]] - PerfRate[[#This Row],[SelfRating]]</f>
        <v>0</v>
      </c>
    </row>
    <row r="319" spans="1:18">
      <c r="A319" s="2" t="s">
        <v>4626</v>
      </c>
      <c r="B319" s="2" t="s">
        <v>3739</v>
      </c>
      <c r="C319" s="1">
        <v>42623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  <c r="L319" s="2" t="s">
        <v>11029</v>
      </c>
      <c r="M319" s="2" t="s">
        <v>11029</v>
      </c>
      <c r="N319" s="2" t="s">
        <v>11038</v>
      </c>
      <c r="O319" s="2" t="s">
        <v>11037</v>
      </c>
      <c r="P319" s="2" t="s">
        <v>11036</v>
      </c>
      <c r="Q319" s="2">
        <f>AVERAGE(PerfRate[[#This Row],[EnvironmentSatisfaction]],PerfRate[[#This Row],[JobSatisfaction]],PerfRate[[#This Row],[RelationshipSatisfaction]])</f>
        <v>4</v>
      </c>
      <c r="R319" s="2">
        <f>PerfRate[[#This Row],[ManagerRating]] - PerfRate[[#This Row],[SelfRating]]</f>
        <v>0</v>
      </c>
    </row>
    <row r="320" spans="1:18">
      <c r="A320" s="2" t="s">
        <v>4627</v>
      </c>
      <c r="B320" s="2" t="s">
        <v>765</v>
      </c>
      <c r="C320" s="1">
        <v>42623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  <c r="L320" s="2" t="s">
        <v>11029</v>
      </c>
      <c r="M320" s="2" t="s">
        <v>11029</v>
      </c>
      <c r="N320" s="2" t="s">
        <v>11037</v>
      </c>
      <c r="O320" s="2" t="s">
        <v>11038</v>
      </c>
      <c r="P320" s="2" t="s">
        <v>11037</v>
      </c>
      <c r="Q320" s="2">
        <f>AVERAGE(PerfRate[[#This Row],[EnvironmentSatisfaction]],PerfRate[[#This Row],[JobSatisfaction]],PerfRate[[#This Row],[RelationshipSatisfaction]])</f>
        <v>4.333333333333333</v>
      </c>
      <c r="R320" s="2">
        <f>PerfRate[[#This Row],[ManagerRating]] - PerfRate[[#This Row],[SelfRating]]</f>
        <v>0</v>
      </c>
    </row>
    <row r="321" spans="1:18">
      <c r="A321" s="2" t="s">
        <v>4628</v>
      </c>
      <c r="B321" s="2" t="s">
        <v>1301</v>
      </c>
      <c r="C321" s="1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  <c r="L321" s="2" t="s">
        <v>11031</v>
      </c>
      <c r="M321" s="2" t="s">
        <v>11030</v>
      </c>
      <c r="N321" s="2" t="s">
        <v>11038</v>
      </c>
      <c r="O321" s="2" t="s">
        <v>11035</v>
      </c>
      <c r="P321" s="2" t="s">
        <v>11038</v>
      </c>
      <c r="Q321" s="2">
        <f>AVERAGE(PerfRate[[#This Row],[EnvironmentSatisfaction]],PerfRate[[#This Row],[JobSatisfaction]],PerfRate[[#This Row],[RelationshipSatisfaction]])</f>
        <v>4</v>
      </c>
      <c r="R321" s="2">
        <f>PerfRate[[#This Row],[ManagerRating]] - PerfRate[[#This Row],[SelfRating]]</f>
        <v>-1</v>
      </c>
    </row>
    <row r="322" spans="1:18">
      <c r="A322" s="2" t="s">
        <v>4629</v>
      </c>
      <c r="B322" s="2" t="s">
        <v>2117</v>
      </c>
      <c r="C322" s="1">
        <v>41460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  <c r="L322" s="2" t="s">
        <v>11030</v>
      </c>
      <c r="M322" s="2" t="s">
        <v>11029</v>
      </c>
      <c r="N322" s="2" t="s">
        <v>11036</v>
      </c>
      <c r="O322" s="2" t="s">
        <v>11036</v>
      </c>
      <c r="P322" s="2" t="s">
        <v>11035</v>
      </c>
      <c r="Q322" s="2">
        <f>AVERAGE(PerfRate[[#This Row],[EnvironmentSatisfaction]],PerfRate[[#This Row],[JobSatisfaction]],PerfRate[[#This Row],[RelationshipSatisfaction]])</f>
        <v>2.6666666666666665</v>
      </c>
      <c r="R322" s="2">
        <f>PerfRate[[#This Row],[ManagerRating]] - PerfRate[[#This Row],[SelfRating]]</f>
        <v>-1</v>
      </c>
    </row>
    <row r="323" spans="1:18">
      <c r="A323" s="2" t="s">
        <v>4630</v>
      </c>
      <c r="B323" s="2" t="s">
        <v>3323</v>
      </c>
      <c r="C323" s="1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  <c r="L323" s="2" t="s">
        <v>11031</v>
      </c>
      <c r="M323" s="2" t="s">
        <v>11030</v>
      </c>
      <c r="N323" s="2" t="s">
        <v>11037</v>
      </c>
      <c r="O323" s="2" t="s">
        <v>11037</v>
      </c>
      <c r="P323" s="2" t="s">
        <v>11038</v>
      </c>
      <c r="Q323" s="2">
        <f>AVERAGE(PerfRate[[#This Row],[EnvironmentSatisfaction]],PerfRate[[#This Row],[JobSatisfaction]],PerfRate[[#This Row],[RelationshipSatisfaction]])</f>
        <v>4.333333333333333</v>
      </c>
      <c r="R323" s="2">
        <f>PerfRate[[#This Row],[ManagerRating]] - PerfRate[[#This Row],[SelfRating]]</f>
        <v>-1</v>
      </c>
    </row>
    <row r="324" spans="1:18">
      <c r="A324" s="2" t="s">
        <v>4631</v>
      </c>
      <c r="B324" s="2" t="s">
        <v>3611</v>
      </c>
      <c r="C324" s="1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  <c r="L324" s="2" t="s">
        <v>11029</v>
      </c>
      <c r="M324" s="2" t="s">
        <v>11028</v>
      </c>
      <c r="N324" s="2" t="s">
        <v>11036</v>
      </c>
      <c r="O324" s="2" t="s">
        <v>11036</v>
      </c>
      <c r="P324" s="2" t="s">
        <v>11035</v>
      </c>
      <c r="Q324" s="2">
        <f>AVERAGE(PerfRate[[#This Row],[EnvironmentSatisfaction]],PerfRate[[#This Row],[JobSatisfaction]],PerfRate[[#This Row],[RelationshipSatisfaction]])</f>
        <v>2.6666666666666665</v>
      </c>
      <c r="R324" s="2">
        <f>PerfRate[[#This Row],[ManagerRating]] - PerfRate[[#This Row],[SelfRating]]</f>
        <v>-1</v>
      </c>
    </row>
    <row r="325" spans="1:18">
      <c r="A325" s="2" t="s">
        <v>4632</v>
      </c>
      <c r="B325" s="2" t="s">
        <v>2843</v>
      </c>
      <c r="C325" s="1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  <c r="L325" s="2" t="s">
        <v>11030</v>
      </c>
      <c r="M325" s="2" t="s">
        <v>11029</v>
      </c>
      <c r="N325" s="2" t="s">
        <v>11038</v>
      </c>
      <c r="O325" s="2" t="s">
        <v>11036</v>
      </c>
      <c r="P325" s="2" t="s">
        <v>11037</v>
      </c>
      <c r="Q325" s="2">
        <f>AVERAGE(PerfRate[[#This Row],[EnvironmentSatisfaction]],PerfRate[[#This Row],[JobSatisfaction]],PerfRate[[#This Row],[RelationshipSatisfaction]])</f>
        <v>4</v>
      </c>
      <c r="R325" s="2">
        <f>PerfRate[[#This Row],[ManagerRating]] - PerfRate[[#This Row],[SelfRating]]</f>
        <v>-1</v>
      </c>
    </row>
    <row r="326" spans="1:18">
      <c r="A326" s="2" t="s">
        <v>4633</v>
      </c>
      <c r="B326" s="2" t="s">
        <v>637</v>
      </c>
      <c r="C326" s="1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  <c r="L326" s="2" t="s">
        <v>11031</v>
      </c>
      <c r="M326" s="2" t="s">
        <v>11031</v>
      </c>
      <c r="N326" s="2" t="s">
        <v>11036</v>
      </c>
      <c r="O326" s="2" t="s">
        <v>11035</v>
      </c>
      <c r="P326" s="2" t="s">
        <v>11038</v>
      </c>
      <c r="Q326" s="2">
        <f>AVERAGE(PerfRate[[#This Row],[EnvironmentSatisfaction]],PerfRate[[#This Row],[JobSatisfaction]],PerfRate[[#This Row],[RelationshipSatisfaction]])</f>
        <v>3.3333333333333335</v>
      </c>
      <c r="R326" s="2">
        <f>PerfRate[[#This Row],[ManagerRating]] - PerfRate[[#This Row],[SelfRating]]</f>
        <v>0</v>
      </c>
    </row>
    <row r="327" spans="1:18">
      <c r="A327" s="2" t="s">
        <v>4634</v>
      </c>
      <c r="B327" s="2" t="s">
        <v>872</v>
      </c>
      <c r="C327" s="1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  <c r="L327" s="2" t="s">
        <v>11031</v>
      </c>
      <c r="M327" s="2" t="s">
        <v>11031</v>
      </c>
      <c r="N327" s="2" t="s">
        <v>11037</v>
      </c>
      <c r="O327" s="2" t="s">
        <v>11037</v>
      </c>
      <c r="P327" s="2" t="s">
        <v>11035</v>
      </c>
      <c r="Q327" s="2">
        <f>AVERAGE(PerfRate[[#This Row],[EnvironmentSatisfaction]],PerfRate[[#This Row],[JobSatisfaction]],PerfRate[[#This Row],[RelationshipSatisfaction]])</f>
        <v>3.3333333333333335</v>
      </c>
      <c r="R327" s="2">
        <f>PerfRate[[#This Row],[ManagerRating]] - PerfRate[[#This Row],[SelfRating]]</f>
        <v>0</v>
      </c>
    </row>
    <row r="328" spans="1:18">
      <c r="A328" s="2" t="s">
        <v>4635</v>
      </c>
      <c r="B328" s="2" t="s">
        <v>720</v>
      </c>
      <c r="C328" s="1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  <c r="L328" s="2" t="s">
        <v>11029</v>
      </c>
      <c r="M328" s="2" t="s">
        <v>11028</v>
      </c>
      <c r="N328" s="2" t="s">
        <v>11038</v>
      </c>
      <c r="O328" s="2" t="s">
        <v>11035</v>
      </c>
      <c r="P328" s="2" t="s">
        <v>11035</v>
      </c>
      <c r="Q328" s="2">
        <f>AVERAGE(PerfRate[[#This Row],[EnvironmentSatisfaction]],PerfRate[[#This Row],[JobSatisfaction]],PerfRate[[#This Row],[RelationshipSatisfaction]])</f>
        <v>3</v>
      </c>
      <c r="R328" s="2">
        <f>PerfRate[[#This Row],[ManagerRating]] - PerfRate[[#This Row],[SelfRating]]</f>
        <v>-1</v>
      </c>
    </row>
    <row r="329" spans="1:18">
      <c r="A329" s="2" t="s">
        <v>4636</v>
      </c>
      <c r="B329" s="2" t="s">
        <v>359</v>
      </c>
      <c r="C329" s="1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  <c r="L329" s="2" t="s">
        <v>11029</v>
      </c>
      <c r="M329" s="2" t="s">
        <v>11028</v>
      </c>
      <c r="N329" s="2" t="s">
        <v>11038</v>
      </c>
      <c r="O329" s="2" t="s">
        <v>11037</v>
      </c>
      <c r="P329" s="2" t="s">
        <v>11036</v>
      </c>
      <c r="Q329" s="2">
        <f>AVERAGE(PerfRate[[#This Row],[EnvironmentSatisfaction]],PerfRate[[#This Row],[JobSatisfaction]],PerfRate[[#This Row],[RelationshipSatisfaction]])</f>
        <v>4</v>
      </c>
      <c r="R329" s="2">
        <f>PerfRate[[#This Row],[ManagerRating]] - PerfRate[[#This Row],[SelfRating]]</f>
        <v>-1</v>
      </c>
    </row>
    <row r="330" spans="1:18">
      <c r="A330" s="2" t="s">
        <v>4637</v>
      </c>
      <c r="B330" s="2" t="s">
        <v>806</v>
      </c>
      <c r="C330" s="1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  <c r="L330" s="2" t="s">
        <v>11029</v>
      </c>
      <c r="M330" s="2" t="s">
        <v>11028</v>
      </c>
      <c r="N330" s="2" t="s">
        <v>11036</v>
      </c>
      <c r="O330" s="2" t="s">
        <v>11038</v>
      </c>
      <c r="P330" s="2" t="s">
        <v>11035</v>
      </c>
      <c r="Q330" s="2">
        <f>AVERAGE(PerfRate[[#This Row],[EnvironmentSatisfaction]],PerfRate[[#This Row],[JobSatisfaction]],PerfRate[[#This Row],[RelationshipSatisfaction]])</f>
        <v>3.3333333333333335</v>
      </c>
      <c r="R330" s="2">
        <f>PerfRate[[#This Row],[ManagerRating]] - PerfRate[[#This Row],[SelfRating]]</f>
        <v>-1</v>
      </c>
    </row>
    <row r="331" spans="1:18">
      <c r="A331" s="2" t="s">
        <v>4638</v>
      </c>
      <c r="B331" s="2" t="s">
        <v>955</v>
      </c>
      <c r="C331" s="1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  <c r="L331" s="2" t="s">
        <v>11029</v>
      </c>
      <c r="M331" s="2" t="s">
        <v>11028</v>
      </c>
      <c r="N331" s="2" t="s">
        <v>11036</v>
      </c>
      <c r="O331" s="2" t="s">
        <v>11035</v>
      </c>
      <c r="P331" s="2" t="s">
        <v>11035</v>
      </c>
      <c r="Q331" s="2">
        <f>AVERAGE(PerfRate[[#This Row],[EnvironmentSatisfaction]],PerfRate[[#This Row],[JobSatisfaction]],PerfRate[[#This Row],[RelationshipSatisfaction]])</f>
        <v>2.3333333333333335</v>
      </c>
      <c r="R331" s="2">
        <f>PerfRate[[#This Row],[ManagerRating]] - PerfRate[[#This Row],[SelfRating]]</f>
        <v>-1</v>
      </c>
    </row>
    <row r="332" spans="1:18">
      <c r="A332" s="2" t="s">
        <v>4639</v>
      </c>
      <c r="B332" s="2" t="s">
        <v>808</v>
      </c>
      <c r="C332" s="1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  <c r="L332" s="2" t="s">
        <v>11030</v>
      </c>
      <c r="M332" s="2" t="s">
        <v>11030</v>
      </c>
      <c r="N332" s="2" t="s">
        <v>11038</v>
      </c>
      <c r="O332" s="2" t="s">
        <v>11038</v>
      </c>
      <c r="P332" s="2" t="s">
        <v>11037</v>
      </c>
      <c r="Q332" s="2">
        <f>AVERAGE(PerfRate[[#This Row],[EnvironmentSatisfaction]],PerfRate[[#This Row],[JobSatisfaction]],PerfRate[[#This Row],[RelationshipSatisfaction]])</f>
        <v>4.666666666666667</v>
      </c>
      <c r="R332" s="2">
        <f>PerfRate[[#This Row],[ManagerRating]] - PerfRate[[#This Row],[SelfRating]]</f>
        <v>0</v>
      </c>
    </row>
    <row r="333" spans="1:18">
      <c r="A333" s="2" t="s">
        <v>4640</v>
      </c>
      <c r="B333" s="2" t="s">
        <v>1321</v>
      </c>
      <c r="C333" s="1">
        <v>41460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  <c r="L333" s="2" t="s">
        <v>11029</v>
      </c>
      <c r="M333" s="2" t="s">
        <v>11028</v>
      </c>
      <c r="N333" s="2" t="s">
        <v>11036</v>
      </c>
      <c r="O333" s="2" t="s">
        <v>11037</v>
      </c>
      <c r="P333" s="2" t="s">
        <v>11035</v>
      </c>
      <c r="Q333" s="2">
        <f>AVERAGE(PerfRate[[#This Row],[EnvironmentSatisfaction]],PerfRate[[#This Row],[JobSatisfaction]],PerfRate[[#This Row],[RelationshipSatisfaction]])</f>
        <v>3</v>
      </c>
      <c r="R333" s="2">
        <f>PerfRate[[#This Row],[ManagerRating]] - PerfRate[[#This Row],[SelfRating]]</f>
        <v>-1</v>
      </c>
    </row>
    <row r="334" spans="1:18">
      <c r="A334" s="2" t="s">
        <v>4641</v>
      </c>
      <c r="B334" s="2" t="s">
        <v>3054</v>
      </c>
      <c r="C334" s="1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  <c r="L334" s="2" t="s">
        <v>11031</v>
      </c>
      <c r="M334" s="2" t="s">
        <v>11030</v>
      </c>
      <c r="N334" s="2" t="s">
        <v>11037</v>
      </c>
      <c r="O334" s="2" t="s">
        <v>11037</v>
      </c>
      <c r="P334" s="2" t="s">
        <v>11035</v>
      </c>
      <c r="Q334" s="2">
        <f>AVERAGE(PerfRate[[#This Row],[EnvironmentSatisfaction]],PerfRate[[#This Row],[JobSatisfaction]],PerfRate[[#This Row],[RelationshipSatisfaction]])</f>
        <v>3.3333333333333335</v>
      </c>
      <c r="R334" s="2">
        <f>PerfRate[[#This Row],[ManagerRating]] - PerfRate[[#This Row],[SelfRating]]</f>
        <v>-1</v>
      </c>
    </row>
    <row r="335" spans="1:18">
      <c r="A335" s="2" t="s">
        <v>4642</v>
      </c>
      <c r="B335" s="2" t="s">
        <v>431</v>
      </c>
      <c r="C335" s="1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  <c r="L335" s="2" t="s">
        <v>11030</v>
      </c>
      <c r="M335" s="2" t="s">
        <v>11029</v>
      </c>
      <c r="N335" s="2" t="s">
        <v>11036</v>
      </c>
      <c r="O335" s="2" t="s">
        <v>11038</v>
      </c>
      <c r="P335" s="2" t="s">
        <v>11038</v>
      </c>
      <c r="Q335" s="2">
        <f>AVERAGE(PerfRate[[#This Row],[EnvironmentSatisfaction]],PerfRate[[#This Row],[JobSatisfaction]],PerfRate[[#This Row],[RelationshipSatisfaction]])</f>
        <v>4.333333333333333</v>
      </c>
      <c r="R335" s="2">
        <f>PerfRate[[#This Row],[ManagerRating]] - PerfRate[[#This Row],[SelfRating]]</f>
        <v>-1</v>
      </c>
    </row>
    <row r="336" spans="1:18">
      <c r="A336" s="2" t="s">
        <v>4643</v>
      </c>
      <c r="B336" s="2" t="s">
        <v>649</v>
      </c>
      <c r="C336" s="1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  <c r="L336" s="2" t="s">
        <v>11030</v>
      </c>
      <c r="M336" s="2" t="s">
        <v>11030</v>
      </c>
      <c r="N336" s="2" t="s">
        <v>11036</v>
      </c>
      <c r="O336" s="2" t="s">
        <v>11038</v>
      </c>
      <c r="P336" s="2" t="s">
        <v>11036</v>
      </c>
      <c r="Q336" s="2">
        <f>AVERAGE(PerfRate[[#This Row],[EnvironmentSatisfaction]],PerfRate[[#This Row],[JobSatisfaction]],PerfRate[[#This Row],[RelationshipSatisfaction]])</f>
        <v>3.6666666666666665</v>
      </c>
      <c r="R336" s="2">
        <f>PerfRate[[#This Row],[ManagerRating]] - PerfRate[[#This Row],[SelfRating]]</f>
        <v>0</v>
      </c>
    </row>
    <row r="337" spans="1:18">
      <c r="A337" s="2" t="s">
        <v>4644</v>
      </c>
      <c r="B337" s="2" t="s">
        <v>3583</v>
      </c>
      <c r="C337" s="1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  <c r="L337" s="2" t="s">
        <v>11031</v>
      </c>
      <c r="M337" s="2" t="s">
        <v>11030</v>
      </c>
      <c r="N337" s="2" t="s">
        <v>11036</v>
      </c>
      <c r="O337" s="2" t="s">
        <v>11037</v>
      </c>
      <c r="P337" s="2" t="s">
        <v>11037</v>
      </c>
      <c r="Q337" s="2">
        <f>AVERAGE(PerfRate[[#This Row],[EnvironmentSatisfaction]],PerfRate[[#This Row],[JobSatisfaction]],PerfRate[[#This Row],[RelationshipSatisfaction]])</f>
        <v>3.6666666666666665</v>
      </c>
      <c r="R337" s="2">
        <f>PerfRate[[#This Row],[ManagerRating]] - PerfRate[[#This Row],[SelfRating]]</f>
        <v>-1</v>
      </c>
    </row>
    <row r="338" spans="1:18">
      <c r="A338" s="2" t="s">
        <v>4645</v>
      </c>
      <c r="B338" s="2" t="s">
        <v>138</v>
      </c>
      <c r="C338" s="1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  <c r="L338" s="2" t="s">
        <v>11029</v>
      </c>
      <c r="M338" s="2" t="s">
        <v>11029</v>
      </c>
      <c r="N338" s="2" t="s">
        <v>11036</v>
      </c>
      <c r="O338" s="2" t="s">
        <v>11037</v>
      </c>
      <c r="P338" s="2" t="s">
        <v>11035</v>
      </c>
      <c r="Q338" s="2">
        <f>AVERAGE(PerfRate[[#This Row],[EnvironmentSatisfaction]],PerfRate[[#This Row],[JobSatisfaction]],PerfRate[[#This Row],[RelationshipSatisfaction]])</f>
        <v>3</v>
      </c>
      <c r="R338" s="2">
        <f>PerfRate[[#This Row],[ManagerRating]] - PerfRate[[#This Row],[SelfRating]]</f>
        <v>0</v>
      </c>
    </row>
    <row r="339" spans="1:18">
      <c r="A339" s="2" t="s">
        <v>4646</v>
      </c>
      <c r="B339" s="2" t="s">
        <v>23</v>
      </c>
      <c r="C339" s="1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  <c r="L339" s="2" t="s">
        <v>11029</v>
      </c>
      <c r="M339" s="2" t="s">
        <v>11029</v>
      </c>
      <c r="N339" s="2" t="s">
        <v>11036</v>
      </c>
      <c r="O339" s="2" t="s">
        <v>11036</v>
      </c>
      <c r="P339" s="2" t="s">
        <v>11035</v>
      </c>
      <c r="Q339" s="2">
        <f>AVERAGE(PerfRate[[#This Row],[EnvironmentSatisfaction]],PerfRate[[#This Row],[JobSatisfaction]],PerfRate[[#This Row],[RelationshipSatisfaction]])</f>
        <v>2.6666666666666665</v>
      </c>
      <c r="R339" s="2">
        <f>PerfRate[[#This Row],[ManagerRating]] - PerfRate[[#This Row],[SelfRating]]</f>
        <v>0</v>
      </c>
    </row>
    <row r="340" spans="1:18">
      <c r="A340" s="2" t="s">
        <v>4647</v>
      </c>
      <c r="B340" s="2" t="s">
        <v>4069</v>
      </c>
      <c r="C340" s="1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  <c r="L340" s="2" t="s">
        <v>11030</v>
      </c>
      <c r="M340" s="2" t="s">
        <v>11030</v>
      </c>
      <c r="N340" s="2" t="s">
        <v>11036</v>
      </c>
      <c r="O340" s="2" t="s">
        <v>11036</v>
      </c>
      <c r="P340" s="2" t="s">
        <v>11036</v>
      </c>
      <c r="Q340" s="2">
        <f>AVERAGE(PerfRate[[#This Row],[EnvironmentSatisfaction]],PerfRate[[#This Row],[JobSatisfaction]],PerfRate[[#This Row],[RelationshipSatisfaction]])</f>
        <v>3</v>
      </c>
      <c r="R340" s="2">
        <f>PerfRate[[#This Row],[ManagerRating]] - PerfRate[[#This Row],[SelfRating]]</f>
        <v>0</v>
      </c>
    </row>
    <row r="341" spans="1:18">
      <c r="A341" s="2" t="s">
        <v>4648</v>
      </c>
      <c r="B341" s="2" t="s">
        <v>797</v>
      </c>
      <c r="C341" s="1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  <c r="L341" s="2" t="s">
        <v>11030</v>
      </c>
      <c r="M341" s="2" t="s">
        <v>11030</v>
      </c>
      <c r="N341" s="2" t="s">
        <v>11037</v>
      </c>
      <c r="O341" s="2" t="s">
        <v>11038</v>
      </c>
      <c r="P341" s="2" t="s">
        <v>11038</v>
      </c>
      <c r="Q341" s="2">
        <f>AVERAGE(PerfRate[[#This Row],[EnvironmentSatisfaction]],PerfRate[[#This Row],[JobSatisfaction]],PerfRate[[#This Row],[RelationshipSatisfaction]])</f>
        <v>4.666666666666667</v>
      </c>
      <c r="R341" s="2">
        <f>PerfRate[[#This Row],[ManagerRating]] - PerfRate[[#This Row],[SelfRating]]</f>
        <v>0</v>
      </c>
    </row>
    <row r="342" spans="1:18">
      <c r="A342" s="2" t="s">
        <v>4649</v>
      </c>
      <c r="B342" s="2" t="s">
        <v>574</v>
      </c>
      <c r="C342" s="1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  <c r="L342" s="2" t="s">
        <v>11030</v>
      </c>
      <c r="M342" s="2" t="s">
        <v>11029</v>
      </c>
      <c r="N342" s="2" t="s">
        <v>11036</v>
      </c>
      <c r="O342" s="2" t="s">
        <v>11038</v>
      </c>
      <c r="P342" s="2" t="s">
        <v>11037</v>
      </c>
      <c r="Q342" s="2">
        <f>AVERAGE(PerfRate[[#This Row],[EnvironmentSatisfaction]],PerfRate[[#This Row],[JobSatisfaction]],PerfRate[[#This Row],[RelationshipSatisfaction]])</f>
        <v>4</v>
      </c>
      <c r="R342" s="2">
        <f>PerfRate[[#This Row],[ManagerRating]] - PerfRate[[#This Row],[SelfRating]]</f>
        <v>-1</v>
      </c>
    </row>
    <row r="343" spans="1:18">
      <c r="A343" s="2" t="s">
        <v>4650</v>
      </c>
      <c r="B343" s="2" t="s">
        <v>875</v>
      </c>
      <c r="C343" s="1">
        <v>42380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  <c r="L343" s="2" t="s">
        <v>11030</v>
      </c>
      <c r="M343" s="2" t="s">
        <v>11030</v>
      </c>
      <c r="N343" s="2" t="s">
        <v>11036</v>
      </c>
      <c r="O343" s="2" t="s">
        <v>11036</v>
      </c>
      <c r="P343" s="2" t="s">
        <v>11035</v>
      </c>
      <c r="Q343" s="2">
        <f>AVERAGE(PerfRate[[#This Row],[EnvironmentSatisfaction]],PerfRate[[#This Row],[JobSatisfaction]],PerfRate[[#This Row],[RelationshipSatisfaction]])</f>
        <v>2.6666666666666665</v>
      </c>
      <c r="R343" s="2">
        <f>PerfRate[[#This Row],[ManagerRating]] - PerfRate[[#This Row],[SelfRating]]</f>
        <v>0</v>
      </c>
    </row>
    <row r="344" spans="1:18">
      <c r="A344" s="2" t="s">
        <v>4651</v>
      </c>
      <c r="B344" s="2" t="s">
        <v>2080</v>
      </c>
      <c r="C344" s="1">
        <v>41609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  <c r="L344" s="2" t="s">
        <v>11030</v>
      </c>
      <c r="M344" s="2" t="s">
        <v>11029</v>
      </c>
      <c r="N344" s="2" t="s">
        <v>11038</v>
      </c>
      <c r="O344" s="2" t="s">
        <v>11036</v>
      </c>
      <c r="P344" s="2" t="s">
        <v>11038</v>
      </c>
      <c r="Q344" s="2">
        <f>AVERAGE(PerfRate[[#This Row],[EnvironmentSatisfaction]],PerfRate[[#This Row],[JobSatisfaction]],PerfRate[[#This Row],[RelationshipSatisfaction]])</f>
        <v>4.333333333333333</v>
      </c>
      <c r="R344" s="2">
        <f>PerfRate[[#This Row],[ManagerRating]] - PerfRate[[#This Row],[SelfRating]]</f>
        <v>-1</v>
      </c>
    </row>
    <row r="345" spans="1:18">
      <c r="A345" s="2" t="s">
        <v>4652</v>
      </c>
      <c r="B345" s="2" t="s">
        <v>1962</v>
      </c>
      <c r="C345" s="1">
        <v>41522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  <c r="L345" s="2" t="s">
        <v>11029</v>
      </c>
      <c r="M345" s="2" t="s">
        <v>11028</v>
      </c>
      <c r="N345" s="2" t="s">
        <v>11036</v>
      </c>
      <c r="O345" s="2" t="s">
        <v>11038</v>
      </c>
      <c r="P345" s="2" t="s">
        <v>11035</v>
      </c>
      <c r="Q345" s="2">
        <f>AVERAGE(PerfRate[[#This Row],[EnvironmentSatisfaction]],PerfRate[[#This Row],[JobSatisfaction]],PerfRate[[#This Row],[RelationshipSatisfaction]])</f>
        <v>3.3333333333333335</v>
      </c>
      <c r="R345" s="2">
        <f>PerfRate[[#This Row],[ManagerRating]] - PerfRate[[#This Row],[SelfRating]]</f>
        <v>-1</v>
      </c>
    </row>
    <row r="346" spans="1:18">
      <c r="A346" s="2" t="s">
        <v>4653</v>
      </c>
      <c r="B346" s="2" t="s">
        <v>389</v>
      </c>
      <c r="C346" s="1">
        <v>42411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  <c r="L346" s="2" t="s">
        <v>11030</v>
      </c>
      <c r="M346" s="2" t="s">
        <v>11030</v>
      </c>
      <c r="N346" s="2" t="s">
        <v>11036</v>
      </c>
      <c r="O346" s="2" t="s">
        <v>11036</v>
      </c>
      <c r="P346" s="2" t="s">
        <v>11036</v>
      </c>
      <c r="Q346" s="2">
        <f>AVERAGE(PerfRate[[#This Row],[EnvironmentSatisfaction]],PerfRate[[#This Row],[JobSatisfaction]],PerfRate[[#This Row],[RelationshipSatisfaction]])</f>
        <v>3</v>
      </c>
      <c r="R346" s="2">
        <f>PerfRate[[#This Row],[ManagerRating]] - PerfRate[[#This Row],[SelfRating]]</f>
        <v>0</v>
      </c>
    </row>
    <row r="347" spans="1:18">
      <c r="A347" s="2" t="s">
        <v>4654</v>
      </c>
      <c r="B347" s="2" t="s">
        <v>3552</v>
      </c>
      <c r="C347" s="1">
        <v>42440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  <c r="L347" s="2" t="s">
        <v>11031</v>
      </c>
      <c r="M347" s="2" t="s">
        <v>11031</v>
      </c>
      <c r="N347" s="2" t="s">
        <v>11037</v>
      </c>
      <c r="O347" s="2" t="s">
        <v>11036</v>
      </c>
      <c r="P347" s="2" t="s">
        <v>11036</v>
      </c>
      <c r="Q347" s="2">
        <f>AVERAGE(PerfRate[[#This Row],[EnvironmentSatisfaction]],PerfRate[[#This Row],[JobSatisfaction]],PerfRate[[#This Row],[RelationshipSatisfaction]])</f>
        <v>3.3333333333333335</v>
      </c>
      <c r="R347" s="2">
        <f>PerfRate[[#This Row],[ManagerRating]] - PerfRate[[#This Row],[SelfRating]]</f>
        <v>0</v>
      </c>
    </row>
    <row r="348" spans="1:18">
      <c r="A348" s="2" t="s">
        <v>4655</v>
      </c>
      <c r="B348" s="2" t="s">
        <v>681</v>
      </c>
      <c r="C348" s="1">
        <v>42471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  <c r="L348" s="2" t="s">
        <v>11029</v>
      </c>
      <c r="M348" s="2" t="s">
        <v>11028</v>
      </c>
      <c r="N348" s="2" t="s">
        <v>11037</v>
      </c>
      <c r="O348" s="2" t="s">
        <v>11037</v>
      </c>
      <c r="P348" s="2" t="s">
        <v>11036</v>
      </c>
      <c r="Q348" s="2">
        <f>AVERAGE(PerfRate[[#This Row],[EnvironmentSatisfaction]],PerfRate[[#This Row],[JobSatisfaction]],PerfRate[[#This Row],[RelationshipSatisfaction]])</f>
        <v>3.6666666666666665</v>
      </c>
      <c r="R348" s="2">
        <f>PerfRate[[#This Row],[ManagerRating]] - PerfRate[[#This Row],[SelfRating]]</f>
        <v>-1</v>
      </c>
    </row>
    <row r="349" spans="1:18">
      <c r="A349" s="2" t="s">
        <v>4656</v>
      </c>
      <c r="B349" s="2" t="s">
        <v>3305</v>
      </c>
      <c r="C349" s="1">
        <v>42501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  <c r="L349" s="2" t="s">
        <v>11031</v>
      </c>
      <c r="M349" s="2" t="s">
        <v>11030</v>
      </c>
      <c r="N349" s="2" t="s">
        <v>11038</v>
      </c>
      <c r="O349" s="2" t="s">
        <v>11035</v>
      </c>
      <c r="P349" s="2" t="s">
        <v>11037</v>
      </c>
      <c r="Q349" s="2">
        <f>AVERAGE(PerfRate[[#This Row],[EnvironmentSatisfaction]],PerfRate[[#This Row],[JobSatisfaction]],PerfRate[[#This Row],[RelationshipSatisfaction]])</f>
        <v>3.6666666666666665</v>
      </c>
      <c r="R349" s="2">
        <f>PerfRate[[#This Row],[ManagerRating]] - PerfRate[[#This Row],[SelfRating]]</f>
        <v>-1</v>
      </c>
    </row>
    <row r="350" spans="1:18">
      <c r="A350" s="2" t="s">
        <v>4657</v>
      </c>
      <c r="B350" s="2" t="s">
        <v>661</v>
      </c>
      <c r="C350" s="1">
        <v>42532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  <c r="L350" s="2" t="s">
        <v>11029</v>
      </c>
      <c r="M350" s="2" t="s">
        <v>11029</v>
      </c>
      <c r="N350" s="2" t="s">
        <v>11038</v>
      </c>
      <c r="O350" s="2" t="s">
        <v>11035</v>
      </c>
      <c r="P350" s="2" t="s">
        <v>11037</v>
      </c>
      <c r="Q350" s="2">
        <f>AVERAGE(PerfRate[[#This Row],[EnvironmentSatisfaction]],PerfRate[[#This Row],[JobSatisfaction]],PerfRate[[#This Row],[RelationshipSatisfaction]])</f>
        <v>3.6666666666666665</v>
      </c>
      <c r="R350" s="2">
        <f>PerfRate[[#This Row],[ManagerRating]] - PerfRate[[#This Row],[SelfRating]]</f>
        <v>0</v>
      </c>
    </row>
    <row r="351" spans="1:18">
      <c r="A351" s="2" t="s">
        <v>4658</v>
      </c>
      <c r="B351" s="2" t="s">
        <v>895</v>
      </c>
      <c r="C351" s="1">
        <v>42532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  <c r="L351" s="2" t="s">
        <v>11031</v>
      </c>
      <c r="M351" s="2" t="s">
        <v>11031</v>
      </c>
      <c r="N351" s="2" t="s">
        <v>11037</v>
      </c>
      <c r="O351" s="2" t="s">
        <v>11035</v>
      </c>
      <c r="P351" s="2" t="s">
        <v>11035</v>
      </c>
      <c r="Q351" s="2">
        <f>AVERAGE(PerfRate[[#This Row],[EnvironmentSatisfaction]],PerfRate[[#This Row],[JobSatisfaction]],PerfRate[[#This Row],[RelationshipSatisfaction]])</f>
        <v>2.6666666666666665</v>
      </c>
      <c r="R351" s="2">
        <f>PerfRate[[#This Row],[ManagerRating]] - PerfRate[[#This Row],[SelfRating]]</f>
        <v>0</v>
      </c>
    </row>
    <row r="352" spans="1:18">
      <c r="A352" s="2" t="s">
        <v>4659</v>
      </c>
      <c r="B352" s="2" t="s">
        <v>526</v>
      </c>
      <c r="C352" s="1">
        <v>42532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  <c r="L352" s="2" t="s">
        <v>11029</v>
      </c>
      <c r="M352" s="2" t="s">
        <v>11028</v>
      </c>
      <c r="N352" s="2" t="s">
        <v>11038</v>
      </c>
      <c r="O352" s="2" t="s">
        <v>11036</v>
      </c>
      <c r="P352" s="2" t="s">
        <v>11036</v>
      </c>
      <c r="Q352" s="2">
        <f>AVERAGE(PerfRate[[#This Row],[EnvironmentSatisfaction]],PerfRate[[#This Row],[JobSatisfaction]],PerfRate[[#This Row],[RelationshipSatisfaction]])</f>
        <v>3.6666666666666665</v>
      </c>
      <c r="R352" s="2">
        <f>PerfRate[[#This Row],[ManagerRating]] - PerfRate[[#This Row],[SelfRating]]</f>
        <v>-1</v>
      </c>
    </row>
    <row r="353" spans="1:18">
      <c r="A353" s="2" t="s">
        <v>4660</v>
      </c>
      <c r="B353" s="2" t="s">
        <v>3442</v>
      </c>
      <c r="C353" s="1">
        <v>42562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  <c r="L353" s="2" t="s">
        <v>11030</v>
      </c>
      <c r="M353" s="2" t="s">
        <v>11029</v>
      </c>
      <c r="N353" s="2" t="s">
        <v>11038</v>
      </c>
      <c r="O353" s="2" t="s">
        <v>11035</v>
      </c>
      <c r="P353" s="2" t="s">
        <v>11037</v>
      </c>
      <c r="Q353" s="2">
        <f>AVERAGE(PerfRate[[#This Row],[EnvironmentSatisfaction]],PerfRate[[#This Row],[JobSatisfaction]],PerfRate[[#This Row],[RelationshipSatisfaction]])</f>
        <v>3.6666666666666665</v>
      </c>
      <c r="R353" s="2">
        <f>PerfRate[[#This Row],[ManagerRating]] - PerfRate[[#This Row],[SelfRating]]</f>
        <v>-1</v>
      </c>
    </row>
    <row r="354" spans="1:18">
      <c r="A354" s="2" t="s">
        <v>4661</v>
      </c>
      <c r="B354" s="2" t="s">
        <v>667</v>
      </c>
      <c r="C354" s="1">
        <v>42562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  <c r="L354" s="2" t="s">
        <v>11031</v>
      </c>
      <c r="M354" s="2" t="s">
        <v>11031</v>
      </c>
      <c r="N354" s="2" t="s">
        <v>11038</v>
      </c>
      <c r="O354" s="2" t="s">
        <v>11036</v>
      </c>
      <c r="P354" s="2" t="s">
        <v>11037</v>
      </c>
      <c r="Q354" s="2">
        <f>AVERAGE(PerfRate[[#This Row],[EnvironmentSatisfaction]],PerfRate[[#This Row],[JobSatisfaction]],PerfRate[[#This Row],[RelationshipSatisfaction]])</f>
        <v>4</v>
      </c>
      <c r="R354" s="2">
        <f>PerfRate[[#This Row],[ManagerRating]] - PerfRate[[#This Row],[SelfRating]]</f>
        <v>0</v>
      </c>
    </row>
    <row r="355" spans="1:18">
      <c r="A355" s="2" t="s">
        <v>4662</v>
      </c>
      <c r="B355" s="2" t="s">
        <v>3631</v>
      </c>
      <c r="C355" s="1">
        <v>42593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  <c r="L355" s="2" t="s">
        <v>11029</v>
      </c>
      <c r="M355" s="2" t="s">
        <v>11029</v>
      </c>
      <c r="N355" s="2" t="s">
        <v>11037</v>
      </c>
      <c r="O355" s="2" t="s">
        <v>11036</v>
      </c>
      <c r="P355" s="2" t="s">
        <v>11035</v>
      </c>
      <c r="Q355" s="2">
        <f>AVERAGE(PerfRate[[#This Row],[EnvironmentSatisfaction]],PerfRate[[#This Row],[JobSatisfaction]],PerfRate[[#This Row],[RelationshipSatisfaction]])</f>
        <v>3</v>
      </c>
      <c r="R355" s="2">
        <f>PerfRate[[#This Row],[ManagerRating]] - PerfRate[[#This Row],[SelfRating]]</f>
        <v>0</v>
      </c>
    </row>
    <row r="356" spans="1:18">
      <c r="A356" s="2" t="s">
        <v>4663</v>
      </c>
      <c r="B356" s="2" t="s">
        <v>3031</v>
      </c>
      <c r="C356" s="1">
        <v>41522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  <c r="L356" s="2" t="s">
        <v>11029</v>
      </c>
      <c r="M356" s="2" t="s">
        <v>11029</v>
      </c>
      <c r="N356" s="2" t="s">
        <v>11038</v>
      </c>
      <c r="O356" s="2" t="s">
        <v>11036</v>
      </c>
      <c r="P356" s="2" t="s">
        <v>11035</v>
      </c>
      <c r="Q356" s="2">
        <f>AVERAGE(PerfRate[[#This Row],[EnvironmentSatisfaction]],PerfRate[[#This Row],[JobSatisfaction]],PerfRate[[#This Row],[RelationshipSatisfaction]])</f>
        <v>3.3333333333333335</v>
      </c>
      <c r="R356" s="2">
        <f>PerfRate[[#This Row],[ManagerRating]] - PerfRate[[#This Row],[SelfRating]]</f>
        <v>0</v>
      </c>
    </row>
    <row r="357" spans="1:18">
      <c r="A357" s="2" t="s">
        <v>4664</v>
      </c>
      <c r="B357" s="2" t="s">
        <v>144</v>
      </c>
      <c r="C357" s="1">
        <v>42624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  <c r="L357" s="2" t="s">
        <v>11029</v>
      </c>
      <c r="M357" s="2" t="s">
        <v>11028</v>
      </c>
      <c r="N357" s="2" t="s">
        <v>11036</v>
      </c>
      <c r="O357" s="2" t="s">
        <v>11038</v>
      </c>
      <c r="P357" s="2" t="s">
        <v>11037</v>
      </c>
      <c r="Q357" s="2">
        <f>AVERAGE(PerfRate[[#This Row],[EnvironmentSatisfaction]],PerfRate[[#This Row],[JobSatisfaction]],PerfRate[[#This Row],[RelationshipSatisfaction]])</f>
        <v>4</v>
      </c>
      <c r="R357" s="2">
        <f>PerfRate[[#This Row],[ManagerRating]] - PerfRate[[#This Row],[SelfRating]]</f>
        <v>-1</v>
      </c>
    </row>
    <row r="358" spans="1:18">
      <c r="A358" s="2" t="s">
        <v>4665</v>
      </c>
      <c r="B358" s="2" t="s">
        <v>785</v>
      </c>
      <c r="C358" s="1">
        <v>42624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  <c r="L358" s="2" t="s">
        <v>11030</v>
      </c>
      <c r="M358" s="2" t="s">
        <v>11029</v>
      </c>
      <c r="N358" s="2" t="s">
        <v>11036</v>
      </c>
      <c r="O358" s="2" t="s">
        <v>11036</v>
      </c>
      <c r="P358" s="2" t="s">
        <v>11036</v>
      </c>
      <c r="Q358" s="2">
        <f>AVERAGE(PerfRate[[#This Row],[EnvironmentSatisfaction]],PerfRate[[#This Row],[JobSatisfaction]],PerfRate[[#This Row],[RelationshipSatisfaction]])</f>
        <v>3</v>
      </c>
      <c r="R358" s="2">
        <f>PerfRate[[#This Row],[ManagerRating]] - PerfRate[[#This Row],[SelfRating]]</f>
        <v>-1</v>
      </c>
    </row>
    <row r="359" spans="1:18">
      <c r="A359" s="2" t="s">
        <v>4666</v>
      </c>
      <c r="B359" s="2" t="s">
        <v>172</v>
      </c>
      <c r="C359" s="1">
        <v>42654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  <c r="L359" s="2" t="s">
        <v>11029</v>
      </c>
      <c r="M359" s="2" t="s">
        <v>11028</v>
      </c>
      <c r="N359" s="2" t="s">
        <v>11037</v>
      </c>
      <c r="O359" s="2" t="s">
        <v>11035</v>
      </c>
      <c r="P359" s="2" t="s">
        <v>11035</v>
      </c>
      <c r="Q359" s="2">
        <f>AVERAGE(PerfRate[[#This Row],[EnvironmentSatisfaction]],PerfRate[[#This Row],[JobSatisfaction]],PerfRate[[#This Row],[RelationshipSatisfaction]])</f>
        <v>2.6666666666666665</v>
      </c>
      <c r="R359" s="2">
        <f>PerfRate[[#This Row],[ManagerRating]] - PerfRate[[#This Row],[SelfRating]]</f>
        <v>-1</v>
      </c>
    </row>
    <row r="360" spans="1:18">
      <c r="A360" s="2" t="s">
        <v>4667</v>
      </c>
      <c r="B360" s="2" t="s">
        <v>2662</v>
      </c>
      <c r="C360" s="1">
        <v>42654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  <c r="L360" s="2" t="s">
        <v>11029</v>
      </c>
      <c r="M360" s="2" t="s">
        <v>11029</v>
      </c>
      <c r="N360" s="2" t="s">
        <v>11037</v>
      </c>
      <c r="O360" s="2" t="s">
        <v>11036</v>
      </c>
      <c r="P360" s="2" t="s">
        <v>11035</v>
      </c>
      <c r="Q360" s="2">
        <f>AVERAGE(PerfRate[[#This Row],[EnvironmentSatisfaction]],PerfRate[[#This Row],[JobSatisfaction]],PerfRate[[#This Row],[RelationshipSatisfaction]])</f>
        <v>3</v>
      </c>
      <c r="R360" s="2">
        <f>PerfRate[[#This Row],[ManagerRating]] - PerfRate[[#This Row],[SelfRating]]</f>
        <v>0</v>
      </c>
    </row>
    <row r="361" spans="1:18">
      <c r="A361" s="2" t="s">
        <v>4668</v>
      </c>
      <c r="B361" s="2" t="s">
        <v>4227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  <c r="L361" s="2" t="s">
        <v>11030</v>
      </c>
      <c r="M361" s="2" t="s">
        <v>11030</v>
      </c>
      <c r="N361" s="2" t="s">
        <v>11037</v>
      </c>
      <c r="O361" s="2" t="s">
        <v>11038</v>
      </c>
      <c r="P361" s="2" t="s">
        <v>11036</v>
      </c>
      <c r="Q361" s="2">
        <f>AVERAGE(PerfRate[[#This Row],[EnvironmentSatisfaction]],PerfRate[[#This Row],[JobSatisfaction]],PerfRate[[#This Row],[RelationshipSatisfaction]])</f>
        <v>4</v>
      </c>
      <c r="R361" s="2">
        <f>PerfRate[[#This Row],[ManagerRating]] - PerfRate[[#This Row],[SelfRating]]</f>
        <v>0</v>
      </c>
    </row>
    <row r="362" spans="1:18">
      <c r="A362" s="2" t="s">
        <v>4669</v>
      </c>
      <c r="B362" s="2" t="s">
        <v>3411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  <c r="L362" s="2" t="s">
        <v>11030</v>
      </c>
      <c r="M362" s="2" t="s">
        <v>11029</v>
      </c>
      <c r="N362" s="2" t="s">
        <v>11037</v>
      </c>
      <c r="O362" s="2" t="s">
        <v>11037</v>
      </c>
      <c r="P362" s="2" t="s">
        <v>11038</v>
      </c>
      <c r="Q362" s="2">
        <f>AVERAGE(PerfRate[[#This Row],[EnvironmentSatisfaction]],PerfRate[[#This Row],[JobSatisfaction]],PerfRate[[#This Row],[RelationshipSatisfaction]])</f>
        <v>4.333333333333333</v>
      </c>
      <c r="R362" s="2">
        <f>PerfRate[[#This Row],[ManagerRating]] - PerfRate[[#This Row],[SelfRating]]</f>
        <v>-1</v>
      </c>
    </row>
    <row r="363" spans="1:18">
      <c r="A363" s="2" t="s">
        <v>4670</v>
      </c>
      <c r="B363" s="2" t="s">
        <v>768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  <c r="L363" s="2" t="s">
        <v>11031</v>
      </c>
      <c r="M363" s="2" t="s">
        <v>11030</v>
      </c>
      <c r="N363" s="2" t="s">
        <v>11037</v>
      </c>
      <c r="O363" s="2" t="s">
        <v>11036</v>
      </c>
      <c r="P363" s="2" t="s">
        <v>11036</v>
      </c>
      <c r="Q363" s="2">
        <f>AVERAGE(PerfRate[[#This Row],[EnvironmentSatisfaction]],PerfRate[[#This Row],[JobSatisfaction]],PerfRate[[#This Row],[RelationshipSatisfaction]])</f>
        <v>3.3333333333333335</v>
      </c>
      <c r="R363" s="2">
        <f>PerfRate[[#This Row],[ManagerRating]] - PerfRate[[#This Row],[SelfRating]]</f>
        <v>-1</v>
      </c>
    </row>
    <row r="364" spans="1:18">
      <c r="A364" s="2" t="s">
        <v>4671</v>
      </c>
      <c r="B364" s="2" t="s">
        <v>485</v>
      </c>
      <c r="C364" s="1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  <c r="L364" s="2" t="s">
        <v>11029</v>
      </c>
      <c r="M364" s="2" t="s">
        <v>11029</v>
      </c>
      <c r="N364" s="2" t="s">
        <v>11037</v>
      </c>
      <c r="O364" s="2" t="s">
        <v>11036</v>
      </c>
      <c r="P364" s="2" t="s">
        <v>11036</v>
      </c>
      <c r="Q364" s="2">
        <f>AVERAGE(PerfRate[[#This Row],[EnvironmentSatisfaction]],PerfRate[[#This Row],[JobSatisfaction]],PerfRate[[#This Row],[RelationshipSatisfaction]])</f>
        <v>3.3333333333333335</v>
      </c>
      <c r="R364" s="2">
        <f>PerfRate[[#This Row],[ManagerRating]] - PerfRate[[#This Row],[SelfRating]]</f>
        <v>0</v>
      </c>
    </row>
    <row r="365" spans="1:18">
      <c r="A365" s="2" t="s">
        <v>4672</v>
      </c>
      <c r="B365" s="2" t="s">
        <v>125</v>
      </c>
      <c r="C365" s="1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  <c r="L365" s="2" t="s">
        <v>11029</v>
      </c>
      <c r="M365" s="2" t="s">
        <v>11029</v>
      </c>
      <c r="N365" s="2" t="s">
        <v>11037</v>
      </c>
      <c r="O365" s="2" t="s">
        <v>11035</v>
      </c>
      <c r="P365" s="2" t="s">
        <v>11038</v>
      </c>
      <c r="Q365" s="2">
        <f>AVERAGE(PerfRate[[#This Row],[EnvironmentSatisfaction]],PerfRate[[#This Row],[JobSatisfaction]],PerfRate[[#This Row],[RelationshipSatisfaction]])</f>
        <v>3.6666666666666665</v>
      </c>
      <c r="R365" s="2">
        <f>PerfRate[[#This Row],[ManagerRating]] - PerfRate[[#This Row],[SelfRating]]</f>
        <v>0</v>
      </c>
    </row>
    <row r="366" spans="1:18">
      <c r="A366" s="2" t="s">
        <v>4673</v>
      </c>
      <c r="B366" s="2" t="s">
        <v>1683</v>
      </c>
      <c r="C366" s="1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  <c r="L366" s="2" t="s">
        <v>11031</v>
      </c>
      <c r="M366" s="2" t="s">
        <v>11030</v>
      </c>
      <c r="N366" s="2" t="s">
        <v>11038</v>
      </c>
      <c r="O366" s="2" t="s">
        <v>11037</v>
      </c>
      <c r="P366" s="2" t="s">
        <v>11036</v>
      </c>
      <c r="Q366" s="2">
        <f>AVERAGE(PerfRate[[#This Row],[EnvironmentSatisfaction]],PerfRate[[#This Row],[JobSatisfaction]],PerfRate[[#This Row],[RelationshipSatisfaction]])</f>
        <v>4</v>
      </c>
      <c r="R366" s="2">
        <f>PerfRate[[#This Row],[ManagerRating]] - PerfRate[[#This Row],[SelfRating]]</f>
        <v>-1</v>
      </c>
    </row>
    <row r="367" spans="1:18">
      <c r="A367" s="2" t="s">
        <v>4674</v>
      </c>
      <c r="B367" s="2" t="s">
        <v>3117</v>
      </c>
      <c r="C367" s="1">
        <v>41522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  <c r="L367" s="2" t="s">
        <v>11030</v>
      </c>
      <c r="M367" s="2" t="s">
        <v>11029</v>
      </c>
      <c r="N367" s="2" t="s">
        <v>11037</v>
      </c>
      <c r="O367" s="2" t="s">
        <v>11035</v>
      </c>
      <c r="P367" s="2" t="s">
        <v>11036</v>
      </c>
      <c r="Q367" s="2">
        <f>AVERAGE(PerfRate[[#This Row],[EnvironmentSatisfaction]],PerfRate[[#This Row],[JobSatisfaction]],PerfRate[[#This Row],[RelationshipSatisfaction]])</f>
        <v>3</v>
      </c>
      <c r="R367" s="2">
        <f>PerfRate[[#This Row],[ManagerRating]] - PerfRate[[#This Row],[SelfRating]]</f>
        <v>-1</v>
      </c>
    </row>
    <row r="368" spans="1:18">
      <c r="A368" s="2" t="s">
        <v>4675</v>
      </c>
      <c r="B368" s="2" t="s">
        <v>422</v>
      </c>
      <c r="C368" s="1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  <c r="L368" s="2" t="s">
        <v>11031</v>
      </c>
      <c r="M368" s="2" t="s">
        <v>11031</v>
      </c>
      <c r="N368" s="2" t="s">
        <v>11036</v>
      </c>
      <c r="O368" s="2" t="s">
        <v>11036</v>
      </c>
      <c r="P368" s="2" t="s">
        <v>11035</v>
      </c>
      <c r="Q368" s="2">
        <f>AVERAGE(PerfRate[[#This Row],[EnvironmentSatisfaction]],PerfRate[[#This Row],[JobSatisfaction]],PerfRate[[#This Row],[RelationshipSatisfaction]])</f>
        <v>2.6666666666666665</v>
      </c>
      <c r="R368" s="2">
        <f>PerfRate[[#This Row],[ManagerRating]] - PerfRate[[#This Row],[SelfRating]]</f>
        <v>0</v>
      </c>
    </row>
    <row r="369" spans="1:18">
      <c r="A369" s="2" t="s">
        <v>4676</v>
      </c>
      <c r="B369" s="2" t="s">
        <v>655</v>
      </c>
      <c r="C369" s="1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  <c r="L369" s="2" t="s">
        <v>11031</v>
      </c>
      <c r="M369" s="2" t="s">
        <v>11031</v>
      </c>
      <c r="N369" s="2" t="s">
        <v>11038</v>
      </c>
      <c r="O369" s="2" t="s">
        <v>11037</v>
      </c>
      <c r="P369" s="2" t="s">
        <v>11037</v>
      </c>
      <c r="Q369" s="2">
        <f>AVERAGE(PerfRate[[#This Row],[EnvironmentSatisfaction]],PerfRate[[#This Row],[JobSatisfaction]],PerfRate[[#This Row],[RelationshipSatisfaction]])</f>
        <v>4.333333333333333</v>
      </c>
      <c r="R369" s="2">
        <f>PerfRate[[#This Row],[ManagerRating]] - PerfRate[[#This Row],[SelfRating]]</f>
        <v>0</v>
      </c>
    </row>
    <row r="370" spans="1:18">
      <c r="A370" s="2" t="s">
        <v>4677</v>
      </c>
      <c r="B370" s="2" t="s">
        <v>967</v>
      </c>
      <c r="C370" s="1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  <c r="L370" s="2" t="s">
        <v>11029</v>
      </c>
      <c r="M370" s="2" t="s">
        <v>11028</v>
      </c>
      <c r="N370" s="2" t="s">
        <v>11036</v>
      </c>
      <c r="O370" s="2" t="s">
        <v>11037</v>
      </c>
      <c r="P370" s="2" t="s">
        <v>11036</v>
      </c>
      <c r="Q370" s="2">
        <f>AVERAGE(PerfRate[[#This Row],[EnvironmentSatisfaction]],PerfRate[[#This Row],[JobSatisfaction]],PerfRate[[#This Row],[RelationshipSatisfaction]])</f>
        <v>3.3333333333333335</v>
      </c>
      <c r="R370" s="2">
        <f>PerfRate[[#This Row],[ManagerRating]] - PerfRate[[#This Row],[SelfRating]]</f>
        <v>-1</v>
      </c>
    </row>
    <row r="371" spans="1:18">
      <c r="A371" s="2" t="s">
        <v>4678</v>
      </c>
      <c r="B371" s="2" t="s">
        <v>371</v>
      </c>
      <c r="C371" s="1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  <c r="L371" s="2" t="s">
        <v>11029</v>
      </c>
      <c r="M371" s="2" t="s">
        <v>11028</v>
      </c>
      <c r="N371" s="2" t="s">
        <v>11037</v>
      </c>
      <c r="O371" s="2" t="s">
        <v>11038</v>
      </c>
      <c r="P371" s="2" t="s">
        <v>11035</v>
      </c>
      <c r="Q371" s="2">
        <f>AVERAGE(PerfRate[[#This Row],[EnvironmentSatisfaction]],PerfRate[[#This Row],[JobSatisfaction]],PerfRate[[#This Row],[RelationshipSatisfaction]])</f>
        <v>3.6666666666666665</v>
      </c>
      <c r="R371" s="2">
        <f>PerfRate[[#This Row],[ManagerRating]] - PerfRate[[#This Row],[SelfRating]]</f>
        <v>-1</v>
      </c>
    </row>
    <row r="372" spans="1:18">
      <c r="A372" s="2" t="s">
        <v>4679</v>
      </c>
      <c r="B372" s="2" t="s">
        <v>157</v>
      </c>
      <c r="C372" s="1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  <c r="L372" s="2" t="s">
        <v>11031</v>
      </c>
      <c r="M372" s="2" t="s">
        <v>11030</v>
      </c>
      <c r="N372" s="2" t="s">
        <v>11038</v>
      </c>
      <c r="O372" s="2" t="s">
        <v>11036</v>
      </c>
      <c r="P372" s="2" t="s">
        <v>11038</v>
      </c>
      <c r="Q372" s="2">
        <f>AVERAGE(PerfRate[[#This Row],[EnvironmentSatisfaction]],PerfRate[[#This Row],[JobSatisfaction]],PerfRate[[#This Row],[RelationshipSatisfaction]])</f>
        <v>4.333333333333333</v>
      </c>
      <c r="R372" s="2">
        <f>PerfRate[[#This Row],[ManagerRating]] - PerfRate[[#This Row],[SelfRating]]</f>
        <v>-1</v>
      </c>
    </row>
    <row r="373" spans="1:18">
      <c r="A373" s="2" t="s">
        <v>4680</v>
      </c>
      <c r="B373" s="2" t="s">
        <v>62</v>
      </c>
      <c r="C373" s="1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  <c r="L373" s="2" t="s">
        <v>11030</v>
      </c>
      <c r="M373" s="2" t="s">
        <v>11030</v>
      </c>
      <c r="N373" s="2" t="s">
        <v>11037</v>
      </c>
      <c r="O373" s="2" t="s">
        <v>11037</v>
      </c>
      <c r="P373" s="2" t="s">
        <v>11035</v>
      </c>
      <c r="Q373" s="2">
        <f>AVERAGE(PerfRate[[#This Row],[EnvironmentSatisfaction]],PerfRate[[#This Row],[JobSatisfaction]],PerfRate[[#This Row],[RelationshipSatisfaction]])</f>
        <v>3.3333333333333335</v>
      </c>
      <c r="R373" s="2">
        <f>PerfRate[[#This Row],[ManagerRating]] - PerfRate[[#This Row],[SelfRating]]</f>
        <v>0</v>
      </c>
    </row>
    <row r="374" spans="1:18">
      <c r="A374" s="2" t="s">
        <v>4681</v>
      </c>
      <c r="B374" s="2" t="s">
        <v>163</v>
      </c>
      <c r="C374" s="1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  <c r="L374" s="2" t="s">
        <v>11030</v>
      </c>
      <c r="M374" s="2" t="s">
        <v>11030</v>
      </c>
      <c r="N374" s="2" t="s">
        <v>11036</v>
      </c>
      <c r="O374" s="2" t="s">
        <v>11037</v>
      </c>
      <c r="P374" s="2" t="s">
        <v>11038</v>
      </c>
      <c r="Q374" s="2">
        <f>AVERAGE(PerfRate[[#This Row],[EnvironmentSatisfaction]],PerfRate[[#This Row],[JobSatisfaction]],PerfRate[[#This Row],[RelationshipSatisfaction]])</f>
        <v>4</v>
      </c>
      <c r="R374" s="2">
        <f>PerfRate[[#This Row],[ManagerRating]] - PerfRate[[#This Row],[SelfRating]]</f>
        <v>0</v>
      </c>
    </row>
    <row r="375" spans="1:18">
      <c r="A375" s="2" t="s">
        <v>4682</v>
      </c>
      <c r="B375" s="2" t="s">
        <v>2622</v>
      </c>
      <c r="C375" s="1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  <c r="L375" s="2" t="s">
        <v>11031</v>
      </c>
      <c r="M375" s="2" t="s">
        <v>11030</v>
      </c>
      <c r="N375" s="2" t="s">
        <v>11037</v>
      </c>
      <c r="O375" s="2" t="s">
        <v>11037</v>
      </c>
      <c r="P375" s="2" t="s">
        <v>11036</v>
      </c>
      <c r="Q375" s="2">
        <f>AVERAGE(PerfRate[[#This Row],[EnvironmentSatisfaction]],PerfRate[[#This Row],[JobSatisfaction]],PerfRate[[#This Row],[RelationshipSatisfaction]])</f>
        <v>3.6666666666666665</v>
      </c>
      <c r="R375" s="2">
        <f>PerfRate[[#This Row],[ManagerRating]] - PerfRate[[#This Row],[SelfRating]]</f>
        <v>-1</v>
      </c>
    </row>
    <row r="376" spans="1:18">
      <c r="A376" s="2" t="s">
        <v>4683</v>
      </c>
      <c r="B376" s="2" t="s">
        <v>4177</v>
      </c>
      <c r="C376" s="1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  <c r="L376" s="2" t="s">
        <v>11030</v>
      </c>
      <c r="M376" s="2" t="s">
        <v>11030</v>
      </c>
      <c r="N376" s="2" t="s">
        <v>11037</v>
      </c>
      <c r="O376" s="2" t="s">
        <v>11038</v>
      </c>
      <c r="P376" s="2" t="s">
        <v>11038</v>
      </c>
      <c r="Q376" s="2">
        <f>AVERAGE(PerfRate[[#This Row],[EnvironmentSatisfaction]],PerfRate[[#This Row],[JobSatisfaction]],PerfRate[[#This Row],[RelationshipSatisfaction]])</f>
        <v>4.666666666666667</v>
      </c>
      <c r="R376" s="2">
        <f>PerfRate[[#This Row],[ManagerRating]] - PerfRate[[#This Row],[SelfRating]]</f>
        <v>0</v>
      </c>
    </row>
    <row r="377" spans="1:18">
      <c r="A377" s="2" t="s">
        <v>4684</v>
      </c>
      <c r="B377" s="2" t="s">
        <v>646</v>
      </c>
      <c r="C377" s="1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  <c r="L377" s="2" t="s">
        <v>11030</v>
      </c>
      <c r="M377" s="2" t="s">
        <v>11030</v>
      </c>
      <c r="N377" s="2" t="s">
        <v>11036</v>
      </c>
      <c r="O377" s="2" t="s">
        <v>11037</v>
      </c>
      <c r="P377" s="2" t="s">
        <v>11036</v>
      </c>
      <c r="Q377" s="2">
        <f>AVERAGE(PerfRate[[#This Row],[EnvironmentSatisfaction]],PerfRate[[#This Row],[JobSatisfaction]],PerfRate[[#This Row],[RelationshipSatisfaction]])</f>
        <v>3.3333333333333335</v>
      </c>
      <c r="R377" s="2">
        <f>PerfRate[[#This Row],[ManagerRating]] - PerfRate[[#This Row],[SelfRating]]</f>
        <v>0</v>
      </c>
    </row>
    <row r="378" spans="1:18">
      <c r="A378" s="2" t="s">
        <v>4685</v>
      </c>
      <c r="B378" s="2" t="s">
        <v>2363</v>
      </c>
      <c r="C378" s="1">
        <v>41552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  <c r="L378" s="2" t="s">
        <v>11030</v>
      </c>
      <c r="M378" s="2" t="s">
        <v>11029</v>
      </c>
      <c r="N378" s="2" t="s">
        <v>11036</v>
      </c>
      <c r="O378" s="2" t="s">
        <v>11037</v>
      </c>
      <c r="P378" s="2" t="s">
        <v>11038</v>
      </c>
      <c r="Q378" s="2">
        <f>AVERAGE(PerfRate[[#This Row],[EnvironmentSatisfaction]],PerfRate[[#This Row],[JobSatisfaction]],PerfRate[[#This Row],[RelationshipSatisfaction]])</f>
        <v>4</v>
      </c>
      <c r="R378" s="2">
        <f>PerfRate[[#This Row],[ManagerRating]] - PerfRate[[#This Row],[SelfRating]]</f>
        <v>-1</v>
      </c>
    </row>
    <row r="379" spans="1:18">
      <c r="A379" s="2" t="s">
        <v>4686</v>
      </c>
      <c r="B379" s="2" t="s">
        <v>398</v>
      </c>
      <c r="C379" s="1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  <c r="L379" s="2" t="s">
        <v>11029</v>
      </c>
      <c r="M379" s="2" t="s">
        <v>11028</v>
      </c>
      <c r="N379" s="2" t="s">
        <v>11037</v>
      </c>
      <c r="O379" s="2" t="s">
        <v>11037</v>
      </c>
      <c r="P379" s="2" t="s">
        <v>11037</v>
      </c>
      <c r="Q379" s="2">
        <f>AVERAGE(PerfRate[[#This Row],[EnvironmentSatisfaction]],PerfRate[[#This Row],[JobSatisfaction]],PerfRate[[#This Row],[RelationshipSatisfaction]])</f>
        <v>4</v>
      </c>
      <c r="R379" s="2">
        <f>PerfRate[[#This Row],[ManagerRating]] - PerfRate[[#This Row],[SelfRating]]</f>
        <v>-1</v>
      </c>
    </row>
    <row r="380" spans="1:18">
      <c r="A380" s="2" t="s">
        <v>4687</v>
      </c>
      <c r="B380" s="2" t="s">
        <v>290</v>
      </c>
      <c r="C380" s="1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  <c r="L380" s="2" t="s">
        <v>11030</v>
      </c>
      <c r="M380" s="2" t="s">
        <v>11030</v>
      </c>
      <c r="N380" s="2" t="s">
        <v>11037</v>
      </c>
      <c r="O380" s="2" t="s">
        <v>11038</v>
      </c>
      <c r="P380" s="2" t="s">
        <v>11036</v>
      </c>
      <c r="Q380" s="2">
        <f>AVERAGE(PerfRate[[#This Row],[EnvironmentSatisfaction]],PerfRate[[#This Row],[JobSatisfaction]],PerfRate[[#This Row],[RelationshipSatisfaction]])</f>
        <v>4</v>
      </c>
      <c r="R380" s="2">
        <f>PerfRate[[#This Row],[ManagerRating]] - PerfRate[[#This Row],[SelfRating]]</f>
        <v>0</v>
      </c>
    </row>
    <row r="381" spans="1:18">
      <c r="A381" s="2" t="s">
        <v>4688</v>
      </c>
      <c r="B381" s="2" t="s">
        <v>275</v>
      </c>
      <c r="C381" s="1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  <c r="L381" s="2" t="s">
        <v>11030</v>
      </c>
      <c r="M381" s="2" t="s">
        <v>11029</v>
      </c>
      <c r="N381" s="2" t="s">
        <v>11036</v>
      </c>
      <c r="O381" s="2" t="s">
        <v>11036</v>
      </c>
      <c r="P381" s="2" t="s">
        <v>11036</v>
      </c>
      <c r="Q381" s="2">
        <f>AVERAGE(PerfRate[[#This Row],[EnvironmentSatisfaction]],PerfRate[[#This Row],[JobSatisfaction]],PerfRate[[#This Row],[RelationshipSatisfaction]])</f>
        <v>3</v>
      </c>
      <c r="R381" s="2">
        <f>PerfRate[[#This Row],[ManagerRating]] - PerfRate[[#This Row],[SelfRating]]</f>
        <v>-1</v>
      </c>
    </row>
    <row r="382" spans="1:18">
      <c r="A382" s="2" t="s">
        <v>4689</v>
      </c>
      <c r="B382" s="2" t="s">
        <v>598</v>
      </c>
      <c r="C382" s="1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  <c r="L382" s="2" t="s">
        <v>11030</v>
      </c>
      <c r="M382" s="2" t="s">
        <v>11030</v>
      </c>
      <c r="N382" s="2" t="s">
        <v>11038</v>
      </c>
      <c r="O382" s="2" t="s">
        <v>11036</v>
      </c>
      <c r="P382" s="2" t="s">
        <v>11037</v>
      </c>
      <c r="Q382" s="2">
        <f>AVERAGE(PerfRate[[#This Row],[EnvironmentSatisfaction]],PerfRate[[#This Row],[JobSatisfaction]],PerfRate[[#This Row],[RelationshipSatisfaction]])</f>
        <v>4</v>
      </c>
      <c r="R382" s="2">
        <f>PerfRate[[#This Row],[ManagerRating]] - PerfRate[[#This Row],[SelfRating]]</f>
        <v>0</v>
      </c>
    </row>
    <row r="383" spans="1:18">
      <c r="A383" s="2" t="s">
        <v>4690</v>
      </c>
      <c r="B383" s="2" t="s">
        <v>869</v>
      </c>
      <c r="C383" s="1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  <c r="L383" s="2" t="s">
        <v>11031</v>
      </c>
      <c r="M383" s="2" t="s">
        <v>11031</v>
      </c>
      <c r="N383" s="2" t="s">
        <v>11036</v>
      </c>
      <c r="O383" s="2" t="s">
        <v>11035</v>
      </c>
      <c r="P383" s="2" t="s">
        <v>11035</v>
      </c>
      <c r="Q383" s="2">
        <f>AVERAGE(PerfRate[[#This Row],[EnvironmentSatisfaction]],PerfRate[[#This Row],[JobSatisfaction]],PerfRate[[#This Row],[RelationshipSatisfaction]])</f>
        <v>2.3333333333333335</v>
      </c>
      <c r="R383" s="2">
        <f>PerfRate[[#This Row],[ManagerRating]] - PerfRate[[#This Row],[SelfRating]]</f>
        <v>0</v>
      </c>
    </row>
    <row r="384" spans="1:18">
      <c r="A384" s="2" t="s">
        <v>4691</v>
      </c>
      <c r="B384" s="2" t="s">
        <v>386</v>
      </c>
      <c r="C384" s="1">
        <v>42381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  <c r="L384" s="2" t="s">
        <v>11031</v>
      </c>
      <c r="M384" s="2" t="s">
        <v>11030</v>
      </c>
      <c r="N384" s="2" t="s">
        <v>11037</v>
      </c>
      <c r="O384" s="2" t="s">
        <v>11037</v>
      </c>
      <c r="P384" s="2" t="s">
        <v>11036</v>
      </c>
      <c r="Q384" s="2">
        <f>AVERAGE(PerfRate[[#This Row],[EnvironmentSatisfaction]],PerfRate[[#This Row],[JobSatisfaction]],PerfRate[[#This Row],[RelationshipSatisfaction]])</f>
        <v>3.6666666666666665</v>
      </c>
      <c r="R384" s="2">
        <f>PerfRate[[#This Row],[ManagerRating]] - PerfRate[[#This Row],[SelfRating]]</f>
        <v>-1</v>
      </c>
    </row>
    <row r="385" spans="1:18">
      <c r="A385" s="2" t="s">
        <v>4692</v>
      </c>
      <c r="B385" s="2" t="s">
        <v>425</v>
      </c>
      <c r="C385" s="1">
        <v>42381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  <c r="L385" s="2" t="s">
        <v>11029</v>
      </c>
      <c r="M385" s="2" t="s">
        <v>11029</v>
      </c>
      <c r="N385" s="2" t="s">
        <v>11038</v>
      </c>
      <c r="O385" s="2" t="s">
        <v>11038</v>
      </c>
      <c r="P385" s="2" t="s">
        <v>11036</v>
      </c>
      <c r="Q385" s="2">
        <f>AVERAGE(PerfRate[[#This Row],[EnvironmentSatisfaction]],PerfRate[[#This Row],[JobSatisfaction]],PerfRate[[#This Row],[RelationshipSatisfaction]])</f>
        <v>4.333333333333333</v>
      </c>
      <c r="R385" s="2">
        <f>PerfRate[[#This Row],[ManagerRating]] - PerfRate[[#This Row],[SelfRating]]</f>
        <v>0</v>
      </c>
    </row>
    <row r="386" spans="1:18">
      <c r="A386" s="2" t="s">
        <v>4693</v>
      </c>
      <c r="B386" s="2" t="s">
        <v>832</v>
      </c>
      <c r="C386" s="1">
        <v>42412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  <c r="L386" s="2" t="s">
        <v>11031</v>
      </c>
      <c r="M386" s="2" t="s">
        <v>11030</v>
      </c>
      <c r="N386" s="2" t="s">
        <v>11037</v>
      </c>
      <c r="O386" s="2" t="s">
        <v>11037</v>
      </c>
      <c r="P386" s="2" t="s">
        <v>11036</v>
      </c>
      <c r="Q386" s="2">
        <f>AVERAGE(PerfRate[[#This Row],[EnvironmentSatisfaction]],PerfRate[[#This Row],[JobSatisfaction]],PerfRate[[#This Row],[RelationshipSatisfaction]])</f>
        <v>3.6666666666666665</v>
      </c>
      <c r="R386" s="2">
        <f>PerfRate[[#This Row],[ManagerRating]] - PerfRate[[#This Row],[SelfRating]]</f>
        <v>-1</v>
      </c>
    </row>
    <row r="387" spans="1:18">
      <c r="A387" s="2" t="s">
        <v>4694</v>
      </c>
      <c r="B387" s="2" t="s">
        <v>3406</v>
      </c>
      <c r="C387" s="1">
        <v>42441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  <c r="L387" s="2" t="s">
        <v>11031</v>
      </c>
      <c r="M387" s="2" t="s">
        <v>11031</v>
      </c>
      <c r="N387" s="2" t="s">
        <v>11037</v>
      </c>
      <c r="O387" s="2" t="s">
        <v>11037</v>
      </c>
      <c r="P387" s="2" t="s">
        <v>11035</v>
      </c>
      <c r="Q387" s="2">
        <f>AVERAGE(PerfRate[[#This Row],[EnvironmentSatisfaction]],PerfRate[[#This Row],[JobSatisfaction]],PerfRate[[#This Row],[RelationshipSatisfaction]])</f>
        <v>3.3333333333333335</v>
      </c>
      <c r="R387" s="2">
        <f>PerfRate[[#This Row],[ManagerRating]] - PerfRate[[#This Row],[SelfRating]]</f>
        <v>0</v>
      </c>
    </row>
    <row r="388" spans="1:18">
      <c r="A388" s="2" t="s">
        <v>4695</v>
      </c>
      <c r="B388" s="2" t="s">
        <v>3665</v>
      </c>
      <c r="C388" s="1">
        <v>42441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  <c r="L388" s="2" t="s">
        <v>11031</v>
      </c>
      <c r="M388" s="2" t="s">
        <v>11031</v>
      </c>
      <c r="N388" s="2" t="s">
        <v>11036</v>
      </c>
      <c r="O388" s="2" t="s">
        <v>11036</v>
      </c>
      <c r="P388" s="2" t="s">
        <v>11037</v>
      </c>
      <c r="Q388" s="2">
        <f>AVERAGE(PerfRate[[#This Row],[EnvironmentSatisfaction]],PerfRate[[#This Row],[JobSatisfaction]],PerfRate[[#This Row],[RelationshipSatisfaction]])</f>
        <v>3.3333333333333335</v>
      </c>
      <c r="R388" s="2">
        <f>PerfRate[[#This Row],[ManagerRating]] - PerfRate[[#This Row],[SelfRating]]</f>
        <v>0</v>
      </c>
    </row>
    <row r="389" spans="1:18">
      <c r="A389" s="2" t="s">
        <v>4696</v>
      </c>
      <c r="B389" s="2" t="s">
        <v>2343</v>
      </c>
      <c r="C389" s="1">
        <v>41613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  <c r="L389" s="2" t="s">
        <v>11031</v>
      </c>
      <c r="M389" s="2" t="s">
        <v>11030</v>
      </c>
      <c r="N389" s="2" t="s">
        <v>11038</v>
      </c>
      <c r="O389" s="2" t="s">
        <v>11037</v>
      </c>
      <c r="P389" s="2" t="s">
        <v>11035</v>
      </c>
      <c r="Q389" s="2">
        <f>AVERAGE(PerfRate[[#This Row],[EnvironmentSatisfaction]],PerfRate[[#This Row],[JobSatisfaction]],PerfRate[[#This Row],[RelationshipSatisfaction]])</f>
        <v>3.6666666666666665</v>
      </c>
      <c r="R389" s="2">
        <f>PerfRate[[#This Row],[ManagerRating]] - PerfRate[[#This Row],[SelfRating]]</f>
        <v>-1</v>
      </c>
    </row>
    <row r="390" spans="1:18">
      <c r="A390" s="2" t="s">
        <v>4697</v>
      </c>
      <c r="B390" s="2" t="s">
        <v>78</v>
      </c>
      <c r="C390" s="1">
        <v>42502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  <c r="L390" s="2" t="s">
        <v>11031</v>
      </c>
      <c r="M390" s="2" t="s">
        <v>11031</v>
      </c>
      <c r="N390" s="2" t="s">
        <v>11037</v>
      </c>
      <c r="O390" s="2" t="s">
        <v>11035</v>
      </c>
      <c r="P390" s="2" t="s">
        <v>11036</v>
      </c>
      <c r="Q390" s="2">
        <f>AVERAGE(PerfRate[[#This Row],[EnvironmentSatisfaction]],PerfRate[[#This Row],[JobSatisfaction]],PerfRate[[#This Row],[RelationshipSatisfaction]])</f>
        <v>3</v>
      </c>
      <c r="R390" s="2">
        <f>PerfRate[[#This Row],[ManagerRating]] - PerfRate[[#This Row],[SelfRating]]</f>
        <v>0</v>
      </c>
    </row>
    <row r="391" spans="1:18">
      <c r="A391" s="2" t="s">
        <v>4698</v>
      </c>
      <c r="B391" s="2" t="s">
        <v>183</v>
      </c>
      <c r="C391" s="1">
        <v>42502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  <c r="L391" s="2" t="s">
        <v>11030</v>
      </c>
      <c r="M391" s="2" t="s">
        <v>11029</v>
      </c>
      <c r="N391" s="2" t="s">
        <v>11036</v>
      </c>
      <c r="O391" s="2" t="s">
        <v>11038</v>
      </c>
      <c r="P391" s="2" t="s">
        <v>11037</v>
      </c>
      <c r="Q391" s="2">
        <f>AVERAGE(PerfRate[[#This Row],[EnvironmentSatisfaction]],PerfRate[[#This Row],[JobSatisfaction]],PerfRate[[#This Row],[RelationshipSatisfaction]])</f>
        <v>4</v>
      </c>
      <c r="R391" s="2">
        <f>PerfRate[[#This Row],[ManagerRating]] - PerfRate[[#This Row],[SelfRating]]</f>
        <v>-1</v>
      </c>
    </row>
    <row r="392" spans="1:18">
      <c r="A392" s="2" t="s">
        <v>4699</v>
      </c>
      <c r="B392" s="2" t="s">
        <v>112</v>
      </c>
      <c r="C392" s="1">
        <v>42502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  <c r="L392" s="2" t="s">
        <v>11030</v>
      </c>
      <c r="M392" s="2" t="s">
        <v>11030</v>
      </c>
      <c r="N392" s="2" t="s">
        <v>11037</v>
      </c>
      <c r="O392" s="2" t="s">
        <v>11037</v>
      </c>
      <c r="P392" s="2" t="s">
        <v>11038</v>
      </c>
      <c r="Q392" s="2">
        <f>AVERAGE(PerfRate[[#This Row],[EnvironmentSatisfaction]],PerfRate[[#This Row],[JobSatisfaction]],PerfRate[[#This Row],[RelationshipSatisfaction]])</f>
        <v>4.333333333333333</v>
      </c>
      <c r="R392" s="2">
        <f>PerfRate[[#This Row],[ManagerRating]] - PerfRate[[#This Row],[SelfRating]]</f>
        <v>0</v>
      </c>
    </row>
    <row r="393" spans="1:18">
      <c r="A393" s="2" t="s">
        <v>4700</v>
      </c>
      <c r="B393" s="2" t="s">
        <v>946</v>
      </c>
      <c r="C393" s="1">
        <v>42502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  <c r="L393" s="2" t="s">
        <v>11030</v>
      </c>
      <c r="M393" s="2" t="s">
        <v>11030</v>
      </c>
      <c r="N393" s="2" t="s">
        <v>11037</v>
      </c>
      <c r="O393" s="2" t="s">
        <v>11038</v>
      </c>
      <c r="P393" s="2" t="s">
        <v>11036</v>
      </c>
      <c r="Q393" s="2">
        <f>AVERAGE(PerfRate[[#This Row],[EnvironmentSatisfaction]],PerfRate[[#This Row],[JobSatisfaction]],PerfRate[[#This Row],[RelationshipSatisfaction]])</f>
        <v>4</v>
      </c>
      <c r="R393" s="2">
        <f>PerfRate[[#This Row],[ManagerRating]] - PerfRate[[#This Row],[SelfRating]]</f>
        <v>0</v>
      </c>
    </row>
    <row r="394" spans="1:18">
      <c r="A394" s="2" t="s">
        <v>4701</v>
      </c>
      <c r="B394" s="2" t="s">
        <v>118</v>
      </c>
      <c r="C394" s="1">
        <v>42563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  <c r="L394" s="2" t="s">
        <v>11030</v>
      </c>
      <c r="M394" s="2" t="s">
        <v>11029</v>
      </c>
      <c r="N394" s="2" t="s">
        <v>11038</v>
      </c>
      <c r="O394" s="2" t="s">
        <v>11036</v>
      </c>
      <c r="P394" s="2" t="s">
        <v>11038</v>
      </c>
      <c r="Q394" s="2">
        <f>AVERAGE(PerfRate[[#This Row],[EnvironmentSatisfaction]],PerfRate[[#This Row],[JobSatisfaction]],PerfRate[[#This Row],[RelationshipSatisfaction]])</f>
        <v>4.333333333333333</v>
      </c>
      <c r="R394" s="2">
        <f>PerfRate[[#This Row],[ManagerRating]] - PerfRate[[#This Row],[SelfRating]]</f>
        <v>-1</v>
      </c>
    </row>
    <row r="395" spans="1:18">
      <c r="A395" s="2" t="s">
        <v>4702</v>
      </c>
      <c r="B395" s="2" t="s">
        <v>3963</v>
      </c>
      <c r="C395" s="1">
        <v>42594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  <c r="L395" s="2" t="s">
        <v>11031</v>
      </c>
      <c r="M395" s="2" t="s">
        <v>11030</v>
      </c>
      <c r="N395" s="2" t="s">
        <v>11038</v>
      </c>
      <c r="O395" s="2" t="s">
        <v>11036</v>
      </c>
      <c r="P395" s="2" t="s">
        <v>11038</v>
      </c>
      <c r="Q395" s="2">
        <f>AVERAGE(PerfRate[[#This Row],[EnvironmentSatisfaction]],PerfRate[[#This Row],[JobSatisfaction]],PerfRate[[#This Row],[RelationshipSatisfaction]])</f>
        <v>4.333333333333333</v>
      </c>
      <c r="R395" s="2">
        <f>PerfRate[[#This Row],[ManagerRating]] - PerfRate[[#This Row],[SelfRating]]</f>
        <v>-1</v>
      </c>
    </row>
    <row r="396" spans="1:18">
      <c r="A396" s="2" t="s">
        <v>4703</v>
      </c>
      <c r="B396" s="2" t="s">
        <v>2730</v>
      </c>
      <c r="C396" s="1">
        <v>42594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  <c r="L396" s="2" t="s">
        <v>11030</v>
      </c>
      <c r="M396" s="2" t="s">
        <v>11029</v>
      </c>
      <c r="N396" s="2" t="s">
        <v>11037</v>
      </c>
      <c r="O396" s="2" t="s">
        <v>11035</v>
      </c>
      <c r="P396" s="2" t="s">
        <v>11038</v>
      </c>
      <c r="Q396" s="2">
        <f>AVERAGE(PerfRate[[#This Row],[EnvironmentSatisfaction]],PerfRate[[#This Row],[JobSatisfaction]],PerfRate[[#This Row],[RelationshipSatisfaction]])</f>
        <v>3.6666666666666665</v>
      </c>
      <c r="R396" s="2">
        <f>PerfRate[[#This Row],[ManagerRating]] - PerfRate[[#This Row],[SelfRating]]</f>
        <v>-1</v>
      </c>
    </row>
    <row r="397" spans="1:18">
      <c r="A397" s="2" t="s">
        <v>4704</v>
      </c>
      <c r="B397" s="2" t="s">
        <v>4202</v>
      </c>
      <c r="C397" s="1">
        <v>42625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  <c r="L397" s="2" t="s">
        <v>11031</v>
      </c>
      <c r="M397" s="2" t="s">
        <v>11030</v>
      </c>
      <c r="N397" s="2" t="s">
        <v>11036</v>
      </c>
      <c r="O397" s="2" t="s">
        <v>11035</v>
      </c>
      <c r="P397" s="2" t="s">
        <v>11038</v>
      </c>
      <c r="Q397" s="2">
        <f>AVERAGE(PerfRate[[#This Row],[EnvironmentSatisfaction]],PerfRate[[#This Row],[JobSatisfaction]],PerfRate[[#This Row],[RelationshipSatisfaction]])</f>
        <v>3.3333333333333335</v>
      </c>
      <c r="R397" s="2">
        <f>PerfRate[[#This Row],[ManagerRating]] - PerfRate[[#This Row],[SelfRating]]</f>
        <v>-1</v>
      </c>
    </row>
    <row r="398" spans="1:18">
      <c r="A398" s="2" t="s">
        <v>4705</v>
      </c>
      <c r="B398" s="2" t="s">
        <v>380</v>
      </c>
      <c r="C398" s="1">
        <v>42625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  <c r="L398" s="2" t="s">
        <v>11031</v>
      </c>
      <c r="M398" s="2" t="s">
        <v>11031</v>
      </c>
      <c r="N398" s="2" t="s">
        <v>11037</v>
      </c>
      <c r="O398" s="2" t="s">
        <v>11035</v>
      </c>
      <c r="P398" s="2" t="s">
        <v>11036</v>
      </c>
      <c r="Q398" s="2">
        <f>AVERAGE(PerfRate[[#This Row],[EnvironmentSatisfaction]],PerfRate[[#This Row],[JobSatisfaction]],PerfRate[[#This Row],[RelationshipSatisfaction]])</f>
        <v>3</v>
      </c>
      <c r="R398" s="2">
        <f>PerfRate[[#This Row],[ManagerRating]] - PerfRate[[#This Row],[SelfRating]]</f>
        <v>0</v>
      </c>
    </row>
    <row r="399" spans="1:18">
      <c r="A399" s="2" t="s">
        <v>4706</v>
      </c>
      <c r="B399" s="2" t="s">
        <v>856</v>
      </c>
      <c r="C399" s="1">
        <v>42686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  <c r="L399" s="2" t="s">
        <v>11030</v>
      </c>
      <c r="M399" s="2" t="s">
        <v>11029</v>
      </c>
      <c r="N399" s="2" t="s">
        <v>11037</v>
      </c>
      <c r="O399" s="2" t="s">
        <v>11038</v>
      </c>
      <c r="P399" s="2" t="s">
        <v>11036</v>
      </c>
      <c r="Q399" s="2">
        <f>AVERAGE(PerfRate[[#This Row],[EnvironmentSatisfaction]],PerfRate[[#This Row],[JobSatisfaction]],PerfRate[[#This Row],[RelationshipSatisfaction]])</f>
        <v>4</v>
      </c>
      <c r="R399" s="2">
        <f>PerfRate[[#This Row],[ManagerRating]] - PerfRate[[#This Row],[SelfRating]]</f>
        <v>-1</v>
      </c>
    </row>
    <row r="400" spans="1:18">
      <c r="A400" s="2" t="s">
        <v>4707</v>
      </c>
      <c r="B400" s="2" t="s">
        <v>305</v>
      </c>
      <c r="C400" s="1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  <c r="L400" s="2" t="s">
        <v>11029</v>
      </c>
      <c r="M400" s="2" t="s">
        <v>11029</v>
      </c>
      <c r="N400" s="2" t="s">
        <v>11037</v>
      </c>
      <c r="O400" s="2" t="s">
        <v>11036</v>
      </c>
      <c r="P400" s="2" t="s">
        <v>11036</v>
      </c>
      <c r="Q400" s="2">
        <f>AVERAGE(PerfRate[[#This Row],[EnvironmentSatisfaction]],PerfRate[[#This Row],[JobSatisfaction]],PerfRate[[#This Row],[RelationshipSatisfaction]])</f>
        <v>3.3333333333333335</v>
      </c>
      <c r="R400" s="2">
        <f>PerfRate[[#This Row],[ManagerRating]] - PerfRate[[#This Row],[SelfRating]]</f>
        <v>0</v>
      </c>
    </row>
    <row r="401" spans="1:18">
      <c r="A401" s="2" t="s">
        <v>4708</v>
      </c>
      <c r="B401" s="2" t="s">
        <v>3362</v>
      </c>
      <c r="C401" s="1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  <c r="L401" s="2" t="s">
        <v>11029</v>
      </c>
      <c r="M401" s="2" t="s">
        <v>11028</v>
      </c>
      <c r="N401" s="2" t="s">
        <v>11037</v>
      </c>
      <c r="O401" s="2" t="s">
        <v>11038</v>
      </c>
      <c r="P401" s="2" t="s">
        <v>11037</v>
      </c>
      <c r="Q401" s="2">
        <f>AVERAGE(PerfRate[[#This Row],[EnvironmentSatisfaction]],PerfRate[[#This Row],[JobSatisfaction]],PerfRate[[#This Row],[RelationshipSatisfaction]])</f>
        <v>4.333333333333333</v>
      </c>
      <c r="R401" s="2">
        <f>PerfRate[[#This Row],[ManagerRating]] - PerfRate[[#This Row],[SelfRating]]</f>
        <v>-1</v>
      </c>
    </row>
    <row r="402" spans="1:18">
      <c r="A402" s="2" t="s">
        <v>4709</v>
      </c>
      <c r="B402" s="2" t="s">
        <v>314</v>
      </c>
      <c r="C402" s="1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  <c r="L402" s="2" t="s">
        <v>11031</v>
      </c>
      <c r="M402" s="2" t="s">
        <v>11030</v>
      </c>
      <c r="N402" s="2" t="s">
        <v>11037</v>
      </c>
      <c r="O402" s="2" t="s">
        <v>11038</v>
      </c>
      <c r="P402" s="2" t="s">
        <v>11036</v>
      </c>
      <c r="Q402" s="2">
        <f>AVERAGE(PerfRate[[#This Row],[EnvironmentSatisfaction]],PerfRate[[#This Row],[JobSatisfaction]],PerfRate[[#This Row],[RelationshipSatisfaction]])</f>
        <v>4</v>
      </c>
      <c r="R402" s="2">
        <f>PerfRate[[#This Row],[ManagerRating]] - PerfRate[[#This Row],[SelfRating]]</f>
        <v>-1</v>
      </c>
    </row>
    <row r="403" spans="1:18">
      <c r="A403" s="2" t="s">
        <v>4710</v>
      </c>
      <c r="B403" s="2" t="s">
        <v>1324</v>
      </c>
      <c r="C403" s="1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  <c r="L403" s="2" t="s">
        <v>11029</v>
      </c>
      <c r="M403" s="2" t="s">
        <v>11029</v>
      </c>
      <c r="N403" s="2" t="s">
        <v>11037</v>
      </c>
      <c r="O403" s="2" t="s">
        <v>11036</v>
      </c>
      <c r="P403" s="2" t="s">
        <v>11037</v>
      </c>
      <c r="Q403" s="2">
        <f>AVERAGE(PerfRate[[#This Row],[EnvironmentSatisfaction]],PerfRate[[#This Row],[JobSatisfaction]],PerfRate[[#This Row],[RelationshipSatisfaction]])</f>
        <v>3.6666666666666665</v>
      </c>
      <c r="R403" s="2">
        <f>PerfRate[[#This Row],[ManagerRating]] - PerfRate[[#This Row],[SelfRating]]</f>
        <v>0</v>
      </c>
    </row>
    <row r="404" spans="1:18">
      <c r="A404" s="2" t="s">
        <v>4711</v>
      </c>
      <c r="B404" s="2" t="s">
        <v>3160</v>
      </c>
      <c r="C404" s="1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  <c r="L404" s="2" t="s">
        <v>11030</v>
      </c>
      <c r="M404" s="2" t="s">
        <v>11029</v>
      </c>
      <c r="N404" s="2" t="s">
        <v>11038</v>
      </c>
      <c r="O404" s="2" t="s">
        <v>11036</v>
      </c>
      <c r="P404" s="2" t="s">
        <v>11036</v>
      </c>
      <c r="Q404" s="2">
        <f>AVERAGE(PerfRate[[#This Row],[EnvironmentSatisfaction]],PerfRate[[#This Row],[JobSatisfaction]],PerfRate[[#This Row],[RelationshipSatisfaction]])</f>
        <v>3.6666666666666665</v>
      </c>
      <c r="R404" s="2">
        <f>PerfRate[[#This Row],[ManagerRating]] - PerfRate[[#This Row],[SelfRating]]</f>
        <v>-1</v>
      </c>
    </row>
    <row r="405" spans="1:18">
      <c r="A405" s="2" t="s">
        <v>4712</v>
      </c>
      <c r="B405" s="2" t="s">
        <v>3476</v>
      </c>
      <c r="C405" s="1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  <c r="L405" s="2" t="s">
        <v>11031</v>
      </c>
      <c r="M405" s="2" t="s">
        <v>11030</v>
      </c>
      <c r="N405" s="2" t="s">
        <v>11038</v>
      </c>
      <c r="O405" s="2" t="s">
        <v>11036</v>
      </c>
      <c r="P405" s="2" t="s">
        <v>11037</v>
      </c>
      <c r="Q405" s="2">
        <f>AVERAGE(PerfRate[[#This Row],[EnvironmentSatisfaction]],PerfRate[[#This Row],[JobSatisfaction]],PerfRate[[#This Row],[RelationshipSatisfaction]])</f>
        <v>4</v>
      </c>
      <c r="R405" s="2">
        <f>PerfRate[[#This Row],[ManagerRating]] - PerfRate[[#This Row],[SelfRating]]</f>
        <v>-1</v>
      </c>
    </row>
    <row r="406" spans="1:18">
      <c r="A406" s="2" t="s">
        <v>4713</v>
      </c>
      <c r="B406" s="2" t="s">
        <v>211</v>
      </c>
      <c r="C406" s="1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  <c r="L406" s="2" t="s">
        <v>11031</v>
      </c>
      <c r="M406" s="2" t="s">
        <v>11030</v>
      </c>
      <c r="N406" s="2" t="s">
        <v>11037</v>
      </c>
      <c r="O406" s="2" t="s">
        <v>11035</v>
      </c>
      <c r="P406" s="2" t="s">
        <v>11035</v>
      </c>
      <c r="Q406" s="2">
        <f>AVERAGE(PerfRate[[#This Row],[EnvironmentSatisfaction]],PerfRate[[#This Row],[JobSatisfaction]],PerfRate[[#This Row],[RelationshipSatisfaction]])</f>
        <v>2.6666666666666665</v>
      </c>
      <c r="R406" s="2">
        <f>PerfRate[[#This Row],[ManagerRating]] - PerfRate[[#This Row],[SelfRating]]</f>
        <v>-1</v>
      </c>
    </row>
    <row r="407" spans="1:18">
      <c r="A407" s="2" t="s">
        <v>4714</v>
      </c>
      <c r="B407" s="2" t="s">
        <v>3606</v>
      </c>
      <c r="C407" s="1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  <c r="L407" s="2" t="s">
        <v>11030</v>
      </c>
      <c r="M407" s="2" t="s">
        <v>11029</v>
      </c>
      <c r="N407" s="2" t="s">
        <v>11038</v>
      </c>
      <c r="O407" s="2" t="s">
        <v>11037</v>
      </c>
      <c r="P407" s="2" t="s">
        <v>11038</v>
      </c>
      <c r="Q407" s="2">
        <f>AVERAGE(PerfRate[[#This Row],[EnvironmentSatisfaction]],PerfRate[[#This Row],[JobSatisfaction]],PerfRate[[#This Row],[RelationshipSatisfaction]])</f>
        <v>4.666666666666667</v>
      </c>
      <c r="R407" s="2">
        <f>PerfRate[[#This Row],[ManagerRating]] - PerfRate[[#This Row],[SelfRating]]</f>
        <v>-1</v>
      </c>
    </row>
    <row r="408" spans="1:18">
      <c r="A408" s="2" t="s">
        <v>4715</v>
      </c>
      <c r="B408" s="2" t="s">
        <v>679</v>
      </c>
      <c r="C408" s="1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  <c r="L408" s="2" t="s">
        <v>11029</v>
      </c>
      <c r="M408" s="2" t="s">
        <v>11028</v>
      </c>
      <c r="N408" s="2" t="s">
        <v>11038</v>
      </c>
      <c r="O408" s="2" t="s">
        <v>11037</v>
      </c>
      <c r="P408" s="2" t="s">
        <v>11036</v>
      </c>
      <c r="Q408" s="2">
        <f>AVERAGE(PerfRate[[#This Row],[EnvironmentSatisfaction]],PerfRate[[#This Row],[JobSatisfaction]],PerfRate[[#This Row],[RelationshipSatisfaction]])</f>
        <v>4</v>
      </c>
      <c r="R408" s="2">
        <f>PerfRate[[#This Row],[ManagerRating]] - PerfRate[[#This Row],[SelfRating]]</f>
        <v>-1</v>
      </c>
    </row>
    <row r="409" spans="1:18">
      <c r="A409" s="2" t="s">
        <v>4716</v>
      </c>
      <c r="B409" s="2" t="s">
        <v>278</v>
      </c>
      <c r="C409" s="1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  <c r="L409" s="2" t="s">
        <v>11031</v>
      </c>
      <c r="M409" s="2" t="s">
        <v>11031</v>
      </c>
      <c r="N409" s="2" t="s">
        <v>11036</v>
      </c>
      <c r="O409" s="2" t="s">
        <v>11036</v>
      </c>
      <c r="P409" s="2" t="s">
        <v>11036</v>
      </c>
      <c r="Q409" s="2">
        <f>AVERAGE(PerfRate[[#This Row],[EnvironmentSatisfaction]],PerfRate[[#This Row],[JobSatisfaction]],PerfRate[[#This Row],[RelationshipSatisfaction]])</f>
        <v>3</v>
      </c>
      <c r="R409" s="2">
        <f>PerfRate[[#This Row],[ManagerRating]] - PerfRate[[#This Row],[SelfRating]]</f>
        <v>0</v>
      </c>
    </row>
    <row r="410" spans="1:18">
      <c r="A410" s="2" t="s">
        <v>4717</v>
      </c>
      <c r="B410" s="2" t="s">
        <v>186</v>
      </c>
      <c r="C410" s="1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  <c r="L410" s="2" t="s">
        <v>11029</v>
      </c>
      <c r="M410" s="2" t="s">
        <v>11028</v>
      </c>
      <c r="N410" s="2" t="s">
        <v>11038</v>
      </c>
      <c r="O410" s="2" t="s">
        <v>11037</v>
      </c>
      <c r="P410" s="2" t="s">
        <v>11035</v>
      </c>
      <c r="Q410" s="2">
        <f>AVERAGE(PerfRate[[#This Row],[EnvironmentSatisfaction]],PerfRate[[#This Row],[JobSatisfaction]],PerfRate[[#This Row],[RelationshipSatisfaction]])</f>
        <v>3.6666666666666665</v>
      </c>
      <c r="R410" s="2">
        <f>PerfRate[[#This Row],[ManagerRating]] - PerfRate[[#This Row],[SelfRating]]</f>
        <v>-1</v>
      </c>
    </row>
    <row r="411" spans="1:18">
      <c r="A411" s="2" t="s">
        <v>4718</v>
      </c>
      <c r="B411" s="2" t="s">
        <v>2158</v>
      </c>
      <c r="C411" s="1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  <c r="L411" s="2" t="s">
        <v>11029</v>
      </c>
      <c r="M411" s="2" t="s">
        <v>11029</v>
      </c>
      <c r="N411" s="2" t="s">
        <v>11036</v>
      </c>
      <c r="O411" s="2" t="s">
        <v>11037</v>
      </c>
      <c r="P411" s="2" t="s">
        <v>11038</v>
      </c>
      <c r="Q411" s="2">
        <f>AVERAGE(PerfRate[[#This Row],[EnvironmentSatisfaction]],PerfRate[[#This Row],[JobSatisfaction]],PerfRate[[#This Row],[RelationshipSatisfaction]])</f>
        <v>4</v>
      </c>
      <c r="R411" s="2">
        <f>PerfRate[[#This Row],[ManagerRating]] - PerfRate[[#This Row],[SelfRating]]</f>
        <v>0</v>
      </c>
    </row>
    <row r="412" spans="1:18">
      <c r="A412" s="2" t="s">
        <v>4719</v>
      </c>
      <c r="B412" s="2" t="s">
        <v>311</v>
      </c>
      <c r="C412" s="1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  <c r="L412" s="2" t="s">
        <v>11030</v>
      </c>
      <c r="M412" s="2" t="s">
        <v>11029</v>
      </c>
      <c r="N412" s="2" t="s">
        <v>11036</v>
      </c>
      <c r="O412" s="2" t="s">
        <v>11035</v>
      </c>
      <c r="P412" s="2" t="s">
        <v>11037</v>
      </c>
      <c r="Q412" s="2">
        <f>AVERAGE(PerfRate[[#This Row],[EnvironmentSatisfaction]],PerfRate[[#This Row],[JobSatisfaction]],PerfRate[[#This Row],[RelationshipSatisfaction]])</f>
        <v>3</v>
      </c>
      <c r="R412" s="2">
        <f>PerfRate[[#This Row],[ManagerRating]] - PerfRate[[#This Row],[SelfRating]]</f>
        <v>-1</v>
      </c>
    </row>
    <row r="413" spans="1:18">
      <c r="A413" s="2" t="s">
        <v>4720</v>
      </c>
      <c r="B413" s="2" t="s">
        <v>413</v>
      </c>
      <c r="C413" s="1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  <c r="L413" s="2" t="s">
        <v>11030</v>
      </c>
      <c r="M413" s="2" t="s">
        <v>11030</v>
      </c>
      <c r="N413" s="2" t="s">
        <v>11037</v>
      </c>
      <c r="O413" s="2" t="s">
        <v>11037</v>
      </c>
      <c r="P413" s="2" t="s">
        <v>11038</v>
      </c>
      <c r="Q413" s="2">
        <f>AVERAGE(PerfRate[[#This Row],[EnvironmentSatisfaction]],PerfRate[[#This Row],[JobSatisfaction]],PerfRate[[#This Row],[RelationshipSatisfaction]])</f>
        <v>4.333333333333333</v>
      </c>
      <c r="R413" s="2">
        <f>PerfRate[[#This Row],[ManagerRating]] - PerfRate[[#This Row],[SelfRating]]</f>
        <v>0</v>
      </c>
    </row>
    <row r="414" spans="1:18">
      <c r="A414" s="2" t="s">
        <v>4721</v>
      </c>
      <c r="B414" s="2" t="s">
        <v>949</v>
      </c>
      <c r="C414" s="1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  <c r="L414" s="2" t="s">
        <v>11029</v>
      </c>
      <c r="M414" s="2" t="s">
        <v>11028</v>
      </c>
      <c r="N414" s="2" t="s">
        <v>11036</v>
      </c>
      <c r="O414" s="2" t="s">
        <v>11037</v>
      </c>
      <c r="P414" s="2" t="s">
        <v>11037</v>
      </c>
      <c r="Q414" s="2">
        <f>AVERAGE(PerfRate[[#This Row],[EnvironmentSatisfaction]],PerfRate[[#This Row],[JobSatisfaction]],PerfRate[[#This Row],[RelationshipSatisfaction]])</f>
        <v>3.6666666666666665</v>
      </c>
      <c r="R414" s="2">
        <f>PerfRate[[#This Row],[ManagerRating]] - PerfRate[[#This Row],[SelfRating]]</f>
        <v>-1</v>
      </c>
    </row>
    <row r="415" spans="1:18">
      <c r="A415" s="2" t="s">
        <v>4722</v>
      </c>
      <c r="B415" s="2" t="s">
        <v>4035</v>
      </c>
      <c r="C415" s="1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  <c r="L415" s="2" t="s">
        <v>11030</v>
      </c>
      <c r="M415" s="2" t="s">
        <v>11029</v>
      </c>
      <c r="N415" s="2" t="s">
        <v>11038</v>
      </c>
      <c r="O415" s="2" t="s">
        <v>11035</v>
      </c>
      <c r="P415" s="2" t="s">
        <v>11037</v>
      </c>
      <c r="Q415" s="2">
        <f>AVERAGE(PerfRate[[#This Row],[EnvironmentSatisfaction]],PerfRate[[#This Row],[JobSatisfaction]],PerfRate[[#This Row],[RelationshipSatisfaction]])</f>
        <v>3.6666666666666665</v>
      </c>
      <c r="R415" s="2">
        <f>PerfRate[[#This Row],[ManagerRating]] - PerfRate[[#This Row],[SelfRating]]</f>
        <v>-1</v>
      </c>
    </row>
    <row r="416" spans="1:18">
      <c r="A416" s="2" t="s">
        <v>4723</v>
      </c>
      <c r="B416" s="2" t="s">
        <v>901</v>
      </c>
      <c r="C416" s="1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  <c r="L416" s="2" t="s">
        <v>11031</v>
      </c>
      <c r="M416" s="2" t="s">
        <v>11031</v>
      </c>
      <c r="N416" s="2" t="s">
        <v>11038</v>
      </c>
      <c r="O416" s="2" t="s">
        <v>11035</v>
      </c>
      <c r="P416" s="2" t="s">
        <v>11036</v>
      </c>
      <c r="Q416" s="2">
        <f>AVERAGE(PerfRate[[#This Row],[EnvironmentSatisfaction]],PerfRate[[#This Row],[JobSatisfaction]],PerfRate[[#This Row],[RelationshipSatisfaction]])</f>
        <v>3.3333333333333335</v>
      </c>
      <c r="R416" s="2">
        <f>PerfRate[[#This Row],[ManagerRating]] - PerfRate[[#This Row],[SelfRating]]</f>
        <v>0</v>
      </c>
    </row>
    <row r="417" spans="1:18">
      <c r="A417" s="2" t="s">
        <v>4724</v>
      </c>
      <c r="B417" s="2" t="s">
        <v>860</v>
      </c>
      <c r="C417" s="1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  <c r="L417" s="2" t="s">
        <v>11031</v>
      </c>
      <c r="M417" s="2" t="s">
        <v>11030</v>
      </c>
      <c r="N417" s="2" t="s">
        <v>11037</v>
      </c>
      <c r="O417" s="2" t="s">
        <v>11036</v>
      </c>
      <c r="P417" s="2" t="s">
        <v>11036</v>
      </c>
      <c r="Q417" s="2">
        <f>AVERAGE(PerfRate[[#This Row],[EnvironmentSatisfaction]],PerfRate[[#This Row],[JobSatisfaction]],PerfRate[[#This Row],[RelationshipSatisfaction]])</f>
        <v>3.3333333333333335</v>
      </c>
      <c r="R417" s="2">
        <f>PerfRate[[#This Row],[ManagerRating]] - PerfRate[[#This Row],[SelfRating]]</f>
        <v>-1</v>
      </c>
    </row>
    <row r="418" spans="1:18">
      <c r="A418" s="2" t="s">
        <v>4725</v>
      </c>
      <c r="B418" s="2" t="s">
        <v>3207</v>
      </c>
      <c r="C418" s="1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  <c r="L418" s="2" t="s">
        <v>11029</v>
      </c>
      <c r="M418" s="2" t="s">
        <v>11029</v>
      </c>
      <c r="N418" s="2" t="s">
        <v>11037</v>
      </c>
      <c r="O418" s="2" t="s">
        <v>11035</v>
      </c>
      <c r="P418" s="2" t="s">
        <v>11038</v>
      </c>
      <c r="Q418" s="2">
        <f>AVERAGE(PerfRate[[#This Row],[EnvironmentSatisfaction]],PerfRate[[#This Row],[JobSatisfaction]],PerfRate[[#This Row],[RelationshipSatisfaction]])</f>
        <v>3.6666666666666665</v>
      </c>
      <c r="R418" s="2">
        <f>PerfRate[[#This Row],[ManagerRating]] - PerfRate[[#This Row],[SelfRating]]</f>
        <v>0</v>
      </c>
    </row>
    <row r="419" spans="1:18">
      <c r="A419" s="2" t="s">
        <v>4726</v>
      </c>
      <c r="B419" s="2" t="s">
        <v>419</v>
      </c>
      <c r="C419" s="1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  <c r="L419" s="2" t="s">
        <v>11030</v>
      </c>
      <c r="M419" s="2" t="s">
        <v>11030</v>
      </c>
      <c r="N419" s="2" t="s">
        <v>11037</v>
      </c>
      <c r="O419" s="2" t="s">
        <v>11038</v>
      </c>
      <c r="P419" s="2" t="s">
        <v>11035</v>
      </c>
      <c r="Q419" s="2">
        <f>AVERAGE(PerfRate[[#This Row],[EnvironmentSatisfaction]],PerfRate[[#This Row],[JobSatisfaction]],PerfRate[[#This Row],[RelationshipSatisfaction]])</f>
        <v>3.6666666666666665</v>
      </c>
      <c r="R419" s="2">
        <f>PerfRate[[#This Row],[ManagerRating]] - PerfRate[[#This Row],[SelfRating]]</f>
        <v>0</v>
      </c>
    </row>
    <row r="420" spans="1:18">
      <c r="A420" s="2" t="s">
        <v>4727</v>
      </c>
      <c r="B420" s="2" t="s">
        <v>2856</v>
      </c>
      <c r="C420" s="1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  <c r="L420" s="2" t="s">
        <v>11029</v>
      </c>
      <c r="M420" s="2" t="s">
        <v>11029</v>
      </c>
      <c r="N420" s="2" t="s">
        <v>11037</v>
      </c>
      <c r="O420" s="2" t="s">
        <v>11036</v>
      </c>
      <c r="P420" s="2" t="s">
        <v>11035</v>
      </c>
      <c r="Q420" s="2">
        <f>AVERAGE(PerfRate[[#This Row],[EnvironmentSatisfaction]],PerfRate[[#This Row],[JobSatisfaction]],PerfRate[[#This Row],[RelationshipSatisfaction]])</f>
        <v>3</v>
      </c>
      <c r="R420" s="2">
        <f>PerfRate[[#This Row],[ManagerRating]] - PerfRate[[#This Row],[SelfRating]]</f>
        <v>0</v>
      </c>
    </row>
    <row r="421" spans="1:18">
      <c r="A421" s="2" t="s">
        <v>4728</v>
      </c>
      <c r="B421" s="2" t="s">
        <v>2156</v>
      </c>
      <c r="C421" s="1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  <c r="L421" s="2" t="s">
        <v>11029</v>
      </c>
      <c r="M421" s="2" t="s">
        <v>11028</v>
      </c>
      <c r="N421" s="2" t="s">
        <v>11037</v>
      </c>
      <c r="O421" s="2" t="s">
        <v>11035</v>
      </c>
      <c r="P421" s="2" t="s">
        <v>11037</v>
      </c>
      <c r="Q421" s="2">
        <f>AVERAGE(PerfRate[[#This Row],[EnvironmentSatisfaction]],PerfRate[[#This Row],[JobSatisfaction]],PerfRate[[#This Row],[RelationshipSatisfaction]])</f>
        <v>3.3333333333333335</v>
      </c>
      <c r="R421" s="2">
        <f>PerfRate[[#This Row],[ManagerRating]] - PerfRate[[#This Row],[SelfRating]]</f>
        <v>-1</v>
      </c>
    </row>
    <row r="422" spans="1:18">
      <c r="A422" s="2" t="s">
        <v>4729</v>
      </c>
      <c r="B422" s="2" t="s">
        <v>57</v>
      </c>
      <c r="C422" s="1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  <c r="L422" s="2" t="s">
        <v>11030</v>
      </c>
      <c r="M422" s="2" t="s">
        <v>11029</v>
      </c>
      <c r="N422" s="2" t="s">
        <v>11038</v>
      </c>
      <c r="O422" s="2" t="s">
        <v>11035</v>
      </c>
      <c r="P422" s="2" t="s">
        <v>11037</v>
      </c>
      <c r="Q422" s="2">
        <f>AVERAGE(PerfRate[[#This Row],[EnvironmentSatisfaction]],PerfRate[[#This Row],[JobSatisfaction]],PerfRate[[#This Row],[RelationshipSatisfaction]])</f>
        <v>3.6666666666666665</v>
      </c>
      <c r="R422" s="2">
        <f>PerfRate[[#This Row],[ManagerRating]] - PerfRate[[#This Row],[SelfRating]]</f>
        <v>-1</v>
      </c>
    </row>
    <row r="423" spans="1:18">
      <c r="A423" s="2" t="s">
        <v>4730</v>
      </c>
      <c r="B423" s="2" t="s">
        <v>628</v>
      </c>
      <c r="C423" s="1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  <c r="L423" s="2" t="s">
        <v>11031</v>
      </c>
      <c r="M423" s="2" t="s">
        <v>11030</v>
      </c>
      <c r="N423" s="2" t="s">
        <v>11037</v>
      </c>
      <c r="O423" s="2" t="s">
        <v>11038</v>
      </c>
      <c r="P423" s="2" t="s">
        <v>11036</v>
      </c>
      <c r="Q423" s="2">
        <f>AVERAGE(PerfRate[[#This Row],[EnvironmentSatisfaction]],PerfRate[[#This Row],[JobSatisfaction]],PerfRate[[#This Row],[RelationshipSatisfaction]])</f>
        <v>4</v>
      </c>
      <c r="R423" s="2">
        <f>PerfRate[[#This Row],[ManagerRating]] - PerfRate[[#This Row],[SelfRating]]</f>
        <v>-1</v>
      </c>
    </row>
    <row r="424" spans="1:18">
      <c r="A424" s="2" t="s">
        <v>4731</v>
      </c>
      <c r="B424" s="2" t="s">
        <v>788</v>
      </c>
      <c r="C424" s="1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  <c r="L424" s="2" t="s">
        <v>11031</v>
      </c>
      <c r="M424" s="2" t="s">
        <v>11030</v>
      </c>
      <c r="N424" s="2" t="s">
        <v>11035</v>
      </c>
      <c r="O424" s="2" t="s">
        <v>11037</v>
      </c>
      <c r="P424" s="2" t="s">
        <v>11035</v>
      </c>
      <c r="Q424" s="2">
        <f>AVERAGE(PerfRate[[#This Row],[EnvironmentSatisfaction]],PerfRate[[#This Row],[JobSatisfaction]],PerfRate[[#This Row],[RelationshipSatisfaction]])</f>
        <v>2.6666666666666665</v>
      </c>
      <c r="R424" s="2">
        <f>PerfRate[[#This Row],[ManagerRating]] - PerfRate[[#This Row],[SelfRating]]</f>
        <v>-1</v>
      </c>
    </row>
    <row r="425" spans="1:18">
      <c r="A425" s="2" t="s">
        <v>4732</v>
      </c>
      <c r="B425" s="2" t="s">
        <v>368</v>
      </c>
      <c r="C425" s="1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  <c r="L425" s="2" t="s">
        <v>11030</v>
      </c>
      <c r="M425" s="2" t="s">
        <v>11030</v>
      </c>
      <c r="N425" s="2" t="s">
        <v>11037</v>
      </c>
      <c r="O425" s="2" t="s">
        <v>11034</v>
      </c>
      <c r="P425" s="2" t="s">
        <v>11035</v>
      </c>
      <c r="Q425" s="2">
        <f>AVERAGE(PerfRate[[#This Row],[EnvironmentSatisfaction]],PerfRate[[#This Row],[JobSatisfaction]],PerfRate[[#This Row],[RelationshipSatisfaction]])</f>
        <v>2.3333333333333335</v>
      </c>
      <c r="R425" s="2">
        <f>PerfRate[[#This Row],[ManagerRating]] - PerfRate[[#This Row],[SelfRating]]</f>
        <v>0</v>
      </c>
    </row>
    <row r="426" spans="1:18">
      <c r="A426" s="2" t="s">
        <v>4733</v>
      </c>
      <c r="B426" s="2" t="s">
        <v>287</v>
      </c>
      <c r="C426" s="1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  <c r="L426" s="2" t="s">
        <v>11029</v>
      </c>
      <c r="M426" s="2" t="s">
        <v>11028</v>
      </c>
      <c r="N426" s="2" t="s">
        <v>11036</v>
      </c>
      <c r="O426" s="2" t="s">
        <v>11035</v>
      </c>
      <c r="P426" s="2" t="s">
        <v>11035</v>
      </c>
      <c r="Q426" s="2">
        <f>AVERAGE(PerfRate[[#This Row],[EnvironmentSatisfaction]],PerfRate[[#This Row],[JobSatisfaction]],PerfRate[[#This Row],[RelationshipSatisfaction]])</f>
        <v>2.3333333333333335</v>
      </c>
      <c r="R426" s="2">
        <f>PerfRate[[#This Row],[ManagerRating]] - PerfRate[[#This Row],[SelfRating]]</f>
        <v>-1</v>
      </c>
    </row>
    <row r="427" spans="1:18">
      <c r="A427" s="2" t="s">
        <v>4734</v>
      </c>
      <c r="B427" s="2" t="s">
        <v>866</v>
      </c>
      <c r="C427" s="1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  <c r="L427" s="2" t="s">
        <v>11029</v>
      </c>
      <c r="M427" s="2" t="s">
        <v>11029</v>
      </c>
      <c r="N427" s="2" t="s">
        <v>11035</v>
      </c>
      <c r="O427" s="2" t="s">
        <v>11034</v>
      </c>
      <c r="P427" s="2" t="s">
        <v>11034</v>
      </c>
      <c r="Q427" s="2">
        <f>AVERAGE(PerfRate[[#This Row],[EnvironmentSatisfaction]],PerfRate[[#This Row],[JobSatisfaction]],PerfRate[[#This Row],[RelationshipSatisfaction]])</f>
        <v>1.3333333333333333</v>
      </c>
      <c r="R427" s="2">
        <f>PerfRate[[#This Row],[ManagerRating]] - PerfRate[[#This Row],[SelfRating]]</f>
        <v>0</v>
      </c>
    </row>
    <row r="428" spans="1:18">
      <c r="A428" s="2" t="s">
        <v>4735</v>
      </c>
      <c r="B428" s="2" t="s">
        <v>3572</v>
      </c>
      <c r="C428" s="1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  <c r="L428" s="2" t="s">
        <v>11031</v>
      </c>
      <c r="M428" s="2" t="s">
        <v>11031</v>
      </c>
      <c r="N428" s="2" t="s">
        <v>11037</v>
      </c>
      <c r="O428" s="2" t="s">
        <v>11037</v>
      </c>
      <c r="P428" s="2" t="s">
        <v>11036</v>
      </c>
      <c r="Q428" s="2">
        <f>AVERAGE(PerfRate[[#This Row],[EnvironmentSatisfaction]],PerfRate[[#This Row],[JobSatisfaction]],PerfRate[[#This Row],[RelationshipSatisfaction]])</f>
        <v>3.6666666666666665</v>
      </c>
      <c r="R428" s="2">
        <f>PerfRate[[#This Row],[ManagerRating]] - PerfRate[[#This Row],[SelfRating]]</f>
        <v>0</v>
      </c>
    </row>
    <row r="429" spans="1:18">
      <c r="A429" s="2" t="s">
        <v>4736</v>
      </c>
      <c r="B429" s="2" t="s">
        <v>204</v>
      </c>
      <c r="C429" s="1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  <c r="L429" s="2" t="s">
        <v>11029</v>
      </c>
      <c r="M429" s="2" t="s">
        <v>11028</v>
      </c>
      <c r="N429" s="2" t="s">
        <v>11034</v>
      </c>
      <c r="O429" s="2" t="s">
        <v>11036</v>
      </c>
      <c r="P429" s="2" t="s">
        <v>11035</v>
      </c>
      <c r="Q429" s="2">
        <f>AVERAGE(PerfRate[[#This Row],[EnvironmentSatisfaction]],PerfRate[[#This Row],[JobSatisfaction]],PerfRate[[#This Row],[RelationshipSatisfaction]])</f>
        <v>2</v>
      </c>
      <c r="R429" s="2">
        <f>PerfRate[[#This Row],[ManagerRating]] - PerfRate[[#This Row],[SelfRating]]</f>
        <v>-1</v>
      </c>
    </row>
    <row r="430" spans="1:18">
      <c r="A430" s="2" t="s">
        <v>4737</v>
      </c>
      <c r="B430" s="2" t="s">
        <v>904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  <c r="L430" s="2" t="s">
        <v>11031</v>
      </c>
      <c r="M430" s="2" t="s">
        <v>11030</v>
      </c>
      <c r="N430" s="2" t="s">
        <v>11035</v>
      </c>
      <c r="O430" s="2" t="s">
        <v>11036</v>
      </c>
      <c r="P430" s="2" t="s">
        <v>11034</v>
      </c>
      <c r="Q430" s="2">
        <f>AVERAGE(PerfRate[[#This Row],[EnvironmentSatisfaction]],PerfRate[[#This Row],[JobSatisfaction]],PerfRate[[#This Row],[RelationshipSatisfaction]])</f>
        <v>2</v>
      </c>
      <c r="R430" s="2">
        <f>PerfRate[[#This Row],[ManagerRating]] - PerfRate[[#This Row],[SelfRating]]</f>
        <v>-1</v>
      </c>
    </row>
    <row r="431" spans="1:18">
      <c r="A431" s="2" t="s">
        <v>4738</v>
      </c>
      <c r="B431" s="2" t="s">
        <v>1235</v>
      </c>
      <c r="C431" s="1">
        <v>42767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  <c r="L431" s="2" t="s">
        <v>11031</v>
      </c>
      <c r="M431" s="2" t="s">
        <v>11030</v>
      </c>
      <c r="N431" s="2" t="s">
        <v>11034</v>
      </c>
      <c r="O431" s="2" t="s">
        <v>11034</v>
      </c>
      <c r="P431" s="2" t="s">
        <v>11037</v>
      </c>
      <c r="Q431" s="2">
        <f>AVERAGE(PerfRate[[#This Row],[EnvironmentSatisfaction]],PerfRate[[#This Row],[JobSatisfaction]],PerfRate[[#This Row],[RelationshipSatisfaction]])</f>
        <v>2</v>
      </c>
      <c r="R431" s="2">
        <f>PerfRate[[#This Row],[ManagerRating]] - PerfRate[[#This Row],[SelfRating]]</f>
        <v>-1</v>
      </c>
    </row>
    <row r="432" spans="1:18">
      <c r="A432" s="2" t="s">
        <v>4739</v>
      </c>
      <c r="B432" s="2" t="s">
        <v>1326</v>
      </c>
      <c r="C432" s="1">
        <v>42767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  <c r="L432" s="2" t="s">
        <v>11031</v>
      </c>
      <c r="M432" s="2" t="s">
        <v>11030</v>
      </c>
      <c r="N432" s="2" t="s">
        <v>11035</v>
      </c>
      <c r="O432" s="2" t="s">
        <v>11035</v>
      </c>
      <c r="P432" s="2" t="s">
        <v>11036</v>
      </c>
      <c r="Q432" s="2">
        <f>AVERAGE(PerfRate[[#This Row],[EnvironmentSatisfaction]],PerfRate[[#This Row],[JobSatisfaction]],PerfRate[[#This Row],[RelationshipSatisfaction]])</f>
        <v>2.3333333333333335</v>
      </c>
      <c r="R432" s="2">
        <f>PerfRate[[#This Row],[ManagerRating]] - PerfRate[[#This Row],[SelfRating]]</f>
        <v>-1</v>
      </c>
    </row>
    <row r="433" spans="1:18">
      <c r="A433" s="2" t="s">
        <v>4740</v>
      </c>
      <c r="B433" s="2" t="s">
        <v>1572</v>
      </c>
      <c r="C433" s="1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  <c r="L433" s="2" t="s">
        <v>11030</v>
      </c>
      <c r="M433" s="2" t="s">
        <v>11029</v>
      </c>
      <c r="N433" s="2" t="s">
        <v>11036</v>
      </c>
      <c r="O433" s="2" t="s">
        <v>11036</v>
      </c>
      <c r="P433" s="2" t="s">
        <v>11035</v>
      </c>
      <c r="Q433" s="2">
        <f>AVERAGE(PerfRate[[#This Row],[EnvironmentSatisfaction]],PerfRate[[#This Row],[JobSatisfaction]],PerfRate[[#This Row],[RelationshipSatisfaction]])</f>
        <v>2.6666666666666665</v>
      </c>
      <c r="R433" s="2">
        <f>PerfRate[[#This Row],[ManagerRating]] - PerfRate[[#This Row],[SelfRating]]</f>
        <v>-1</v>
      </c>
    </row>
    <row r="434" spans="1:18">
      <c r="A434" s="2" t="s">
        <v>4741</v>
      </c>
      <c r="B434" s="2" t="s">
        <v>320</v>
      </c>
      <c r="C434" s="1">
        <v>42767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  <c r="L434" s="2" t="s">
        <v>11029</v>
      </c>
      <c r="M434" s="2" t="s">
        <v>11028</v>
      </c>
      <c r="N434" s="2" t="s">
        <v>11038</v>
      </c>
      <c r="O434" s="2" t="s">
        <v>11035</v>
      </c>
      <c r="P434" s="2" t="s">
        <v>11038</v>
      </c>
      <c r="Q434" s="2">
        <f>AVERAGE(PerfRate[[#This Row],[EnvironmentSatisfaction]],PerfRate[[#This Row],[JobSatisfaction]],PerfRate[[#This Row],[RelationshipSatisfaction]])</f>
        <v>4</v>
      </c>
      <c r="R434" s="2">
        <f>PerfRate[[#This Row],[ManagerRating]] - PerfRate[[#This Row],[SelfRating]]</f>
        <v>-1</v>
      </c>
    </row>
    <row r="435" spans="1:18">
      <c r="A435" s="2" t="s">
        <v>4742</v>
      </c>
      <c r="B435" s="2" t="s">
        <v>1068</v>
      </c>
      <c r="C435" s="1">
        <v>42767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  <c r="L435" s="2" t="s">
        <v>11029</v>
      </c>
      <c r="M435" s="2" t="s">
        <v>11028</v>
      </c>
      <c r="N435" s="2" t="s">
        <v>11037</v>
      </c>
      <c r="O435" s="2" t="s">
        <v>11036</v>
      </c>
      <c r="P435" s="2" t="s">
        <v>11037</v>
      </c>
      <c r="Q435" s="2">
        <f>AVERAGE(PerfRate[[#This Row],[EnvironmentSatisfaction]],PerfRate[[#This Row],[JobSatisfaction]],PerfRate[[#This Row],[RelationshipSatisfaction]])</f>
        <v>3.6666666666666665</v>
      </c>
      <c r="R435" s="2">
        <f>PerfRate[[#This Row],[ManagerRating]] - PerfRate[[#This Row],[SelfRating]]</f>
        <v>-1</v>
      </c>
    </row>
    <row r="436" spans="1:18">
      <c r="A436" s="2" t="s">
        <v>4743</v>
      </c>
      <c r="B436" s="2" t="s">
        <v>1435</v>
      </c>
      <c r="C436" s="1">
        <v>42795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  <c r="L436" s="2" t="s">
        <v>11029</v>
      </c>
      <c r="M436" s="2" t="s">
        <v>11029</v>
      </c>
      <c r="N436" s="2" t="s">
        <v>11036</v>
      </c>
      <c r="O436" s="2" t="s">
        <v>11035</v>
      </c>
      <c r="P436" s="2" t="s">
        <v>11036</v>
      </c>
      <c r="Q436" s="2">
        <f>AVERAGE(PerfRate[[#This Row],[EnvironmentSatisfaction]],PerfRate[[#This Row],[JobSatisfaction]],PerfRate[[#This Row],[RelationshipSatisfaction]])</f>
        <v>2.6666666666666665</v>
      </c>
      <c r="R436" s="2">
        <f>PerfRate[[#This Row],[ManagerRating]] - PerfRate[[#This Row],[SelfRating]]</f>
        <v>0</v>
      </c>
    </row>
    <row r="437" spans="1:18">
      <c r="A437" s="2" t="s">
        <v>4744</v>
      </c>
      <c r="B437" s="2" t="s">
        <v>1030</v>
      </c>
      <c r="C437" s="1">
        <v>42795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  <c r="L437" s="2" t="s">
        <v>11029</v>
      </c>
      <c r="M437" s="2" t="s">
        <v>11029</v>
      </c>
      <c r="N437" s="2" t="s">
        <v>11036</v>
      </c>
      <c r="O437" s="2" t="s">
        <v>11037</v>
      </c>
      <c r="P437" s="2" t="s">
        <v>11038</v>
      </c>
      <c r="Q437" s="2">
        <f>AVERAGE(PerfRate[[#This Row],[EnvironmentSatisfaction]],PerfRate[[#This Row],[JobSatisfaction]],PerfRate[[#This Row],[RelationshipSatisfaction]])</f>
        <v>4</v>
      </c>
      <c r="R437" s="2">
        <f>PerfRate[[#This Row],[ManagerRating]] - PerfRate[[#This Row],[SelfRating]]</f>
        <v>0</v>
      </c>
    </row>
    <row r="438" spans="1:18">
      <c r="A438" s="2" t="s">
        <v>4745</v>
      </c>
      <c r="B438" s="2" t="s">
        <v>964</v>
      </c>
      <c r="C438" s="1">
        <v>42795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  <c r="L438" s="2" t="s">
        <v>11031</v>
      </c>
      <c r="M438" s="2" t="s">
        <v>11031</v>
      </c>
      <c r="N438" s="2" t="s">
        <v>11036</v>
      </c>
      <c r="O438" s="2" t="s">
        <v>11038</v>
      </c>
      <c r="P438" s="2" t="s">
        <v>11038</v>
      </c>
      <c r="Q438" s="2">
        <f>AVERAGE(PerfRate[[#This Row],[EnvironmentSatisfaction]],PerfRate[[#This Row],[JobSatisfaction]],PerfRate[[#This Row],[RelationshipSatisfaction]])</f>
        <v>4.333333333333333</v>
      </c>
      <c r="R438" s="2">
        <f>PerfRate[[#This Row],[ManagerRating]] - PerfRate[[#This Row],[SelfRating]]</f>
        <v>0</v>
      </c>
    </row>
    <row r="439" spans="1:18">
      <c r="A439" s="2" t="s">
        <v>4746</v>
      </c>
      <c r="B439" s="2" t="s">
        <v>260</v>
      </c>
      <c r="C439" s="1">
        <v>42826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  <c r="L439" s="2" t="s">
        <v>11029</v>
      </c>
      <c r="M439" s="2" t="s">
        <v>11029</v>
      </c>
      <c r="N439" s="2" t="s">
        <v>11037</v>
      </c>
      <c r="O439" s="2" t="s">
        <v>11038</v>
      </c>
      <c r="P439" s="2" t="s">
        <v>11037</v>
      </c>
      <c r="Q439" s="2">
        <f>AVERAGE(PerfRate[[#This Row],[EnvironmentSatisfaction]],PerfRate[[#This Row],[JobSatisfaction]],PerfRate[[#This Row],[RelationshipSatisfaction]])</f>
        <v>4.333333333333333</v>
      </c>
      <c r="R439" s="2">
        <f>PerfRate[[#This Row],[ManagerRating]] - PerfRate[[#This Row],[SelfRating]]</f>
        <v>0</v>
      </c>
    </row>
    <row r="440" spans="1:18">
      <c r="A440" s="2" t="s">
        <v>4747</v>
      </c>
      <c r="B440" s="2" t="s">
        <v>892</v>
      </c>
      <c r="C440" s="1">
        <v>42856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  <c r="L440" s="2" t="s">
        <v>11029</v>
      </c>
      <c r="M440" s="2" t="s">
        <v>11028</v>
      </c>
      <c r="N440" s="2" t="s">
        <v>11038</v>
      </c>
      <c r="O440" s="2" t="s">
        <v>11037</v>
      </c>
      <c r="P440" s="2" t="s">
        <v>11038</v>
      </c>
      <c r="Q440" s="2">
        <f>AVERAGE(PerfRate[[#This Row],[EnvironmentSatisfaction]],PerfRate[[#This Row],[JobSatisfaction]],PerfRate[[#This Row],[RelationshipSatisfaction]])</f>
        <v>4.666666666666667</v>
      </c>
      <c r="R440" s="2">
        <f>PerfRate[[#This Row],[ManagerRating]] - PerfRate[[#This Row],[SelfRating]]</f>
        <v>-1</v>
      </c>
    </row>
    <row r="441" spans="1:18">
      <c r="A441" s="2" t="s">
        <v>4748</v>
      </c>
      <c r="B441" s="2" t="s">
        <v>141</v>
      </c>
      <c r="C441" s="1">
        <v>42887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  <c r="L441" s="2" t="s">
        <v>11031</v>
      </c>
      <c r="M441" s="2" t="s">
        <v>11031</v>
      </c>
      <c r="N441" s="2" t="s">
        <v>11038</v>
      </c>
      <c r="O441" s="2" t="s">
        <v>11037</v>
      </c>
      <c r="P441" s="2" t="s">
        <v>11037</v>
      </c>
      <c r="Q441" s="2">
        <f>AVERAGE(PerfRate[[#This Row],[EnvironmentSatisfaction]],PerfRate[[#This Row],[JobSatisfaction]],PerfRate[[#This Row],[RelationshipSatisfaction]])</f>
        <v>4.333333333333333</v>
      </c>
      <c r="R441" s="2">
        <f>PerfRate[[#This Row],[ManagerRating]] - PerfRate[[#This Row],[SelfRating]]</f>
        <v>0</v>
      </c>
    </row>
    <row r="442" spans="1:18">
      <c r="A442" s="2" t="s">
        <v>4749</v>
      </c>
      <c r="B442" s="2" t="s">
        <v>428</v>
      </c>
      <c r="C442" s="1">
        <v>42917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  <c r="L442" s="2" t="s">
        <v>11031</v>
      </c>
      <c r="M442" s="2" t="s">
        <v>11030</v>
      </c>
      <c r="N442" s="2" t="s">
        <v>11036</v>
      </c>
      <c r="O442" s="2" t="s">
        <v>11037</v>
      </c>
      <c r="P442" s="2" t="s">
        <v>11035</v>
      </c>
      <c r="Q442" s="2">
        <f>AVERAGE(PerfRate[[#This Row],[EnvironmentSatisfaction]],PerfRate[[#This Row],[JobSatisfaction]],PerfRate[[#This Row],[RelationshipSatisfaction]])</f>
        <v>3</v>
      </c>
      <c r="R442" s="2">
        <f>PerfRate[[#This Row],[ManagerRating]] - PerfRate[[#This Row],[SelfRating]]</f>
        <v>-1</v>
      </c>
    </row>
    <row r="443" spans="1:18">
      <c r="A443" s="2" t="s">
        <v>4750</v>
      </c>
      <c r="B443" s="2" t="s">
        <v>1295</v>
      </c>
      <c r="C443" s="1">
        <v>42917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  <c r="L443" s="2" t="s">
        <v>11029</v>
      </c>
      <c r="M443" s="2" t="s">
        <v>11028</v>
      </c>
      <c r="N443" s="2" t="s">
        <v>11036</v>
      </c>
      <c r="O443" s="2" t="s">
        <v>11038</v>
      </c>
      <c r="P443" s="2" t="s">
        <v>11038</v>
      </c>
      <c r="Q443" s="2">
        <f>AVERAGE(PerfRate[[#This Row],[EnvironmentSatisfaction]],PerfRate[[#This Row],[JobSatisfaction]],PerfRate[[#This Row],[RelationshipSatisfaction]])</f>
        <v>4.333333333333333</v>
      </c>
      <c r="R443" s="2">
        <f>PerfRate[[#This Row],[ManagerRating]] - PerfRate[[#This Row],[SelfRating]]</f>
        <v>-1</v>
      </c>
    </row>
    <row r="444" spans="1:18">
      <c r="A444" s="2" t="s">
        <v>4751</v>
      </c>
      <c r="B444" s="2" t="s">
        <v>613</v>
      </c>
      <c r="C444" s="1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  <c r="L444" s="2" t="s">
        <v>11031</v>
      </c>
      <c r="M444" s="2" t="s">
        <v>11030</v>
      </c>
      <c r="N444" s="2" t="s">
        <v>11036</v>
      </c>
      <c r="O444" s="2" t="s">
        <v>11037</v>
      </c>
      <c r="P444" s="2" t="s">
        <v>11037</v>
      </c>
      <c r="Q444" s="2">
        <f>AVERAGE(PerfRate[[#This Row],[EnvironmentSatisfaction]],PerfRate[[#This Row],[JobSatisfaction]],PerfRate[[#This Row],[RelationshipSatisfaction]])</f>
        <v>3.6666666666666665</v>
      </c>
      <c r="R444" s="2">
        <f>PerfRate[[#This Row],[ManagerRating]] - PerfRate[[#This Row],[SelfRating]]</f>
        <v>-1</v>
      </c>
    </row>
    <row r="445" spans="1:18">
      <c r="A445" s="2" t="s">
        <v>4752</v>
      </c>
      <c r="B445" s="2" t="s">
        <v>1945</v>
      </c>
      <c r="C445" s="1">
        <v>42979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  <c r="L445" s="2" t="s">
        <v>11030</v>
      </c>
      <c r="M445" s="2" t="s">
        <v>11029</v>
      </c>
      <c r="N445" s="2" t="s">
        <v>11037</v>
      </c>
      <c r="O445" s="2" t="s">
        <v>11038</v>
      </c>
      <c r="P445" s="2" t="s">
        <v>11036</v>
      </c>
      <c r="Q445" s="2">
        <f>AVERAGE(PerfRate[[#This Row],[EnvironmentSatisfaction]],PerfRate[[#This Row],[JobSatisfaction]],PerfRate[[#This Row],[RelationshipSatisfaction]])</f>
        <v>4</v>
      </c>
      <c r="R445" s="2">
        <f>PerfRate[[#This Row],[ManagerRating]] - PerfRate[[#This Row],[SelfRating]]</f>
        <v>-1</v>
      </c>
    </row>
    <row r="446" spans="1:18">
      <c r="A446" s="2" t="s">
        <v>4753</v>
      </c>
      <c r="B446" s="2" t="s">
        <v>934</v>
      </c>
      <c r="C446" s="1">
        <v>42979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  <c r="L446" s="2" t="s">
        <v>11031</v>
      </c>
      <c r="M446" s="2" t="s">
        <v>11031</v>
      </c>
      <c r="N446" s="2" t="s">
        <v>11036</v>
      </c>
      <c r="O446" s="2" t="s">
        <v>11035</v>
      </c>
      <c r="P446" s="2" t="s">
        <v>11038</v>
      </c>
      <c r="Q446" s="2">
        <f>AVERAGE(PerfRate[[#This Row],[EnvironmentSatisfaction]],PerfRate[[#This Row],[JobSatisfaction]],PerfRate[[#This Row],[RelationshipSatisfaction]])</f>
        <v>3.3333333333333335</v>
      </c>
      <c r="R446" s="2">
        <f>PerfRate[[#This Row],[ManagerRating]] - PerfRate[[#This Row],[SelfRating]]</f>
        <v>0</v>
      </c>
    </row>
    <row r="447" spans="1:18">
      <c r="A447" s="2" t="s">
        <v>4754</v>
      </c>
      <c r="B447" s="2" t="s">
        <v>850</v>
      </c>
      <c r="C447" s="1">
        <v>42979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  <c r="L447" s="2" t="s">
        <v>11029</v>
      </c>
      <c r="M447" s="2" t="s">
        <v>11028</v>
      </c>
      <c r="N447" s="2" t="s">
        <v>11036</v>
      </c>
      <c r="O447" s="2" t="s">
        <v>11035</v>
      </c>
      <c r="P447" s="2" t="s">
        <v>11035</v>
      </c>
      <c r="Q447" s="2">
        <f>AVERAGE(PerfRate[[#This Row],[EnvironmentSatisfaction]],PerfRate[[#This Row],[JobSatisfaction]],PerfRate[[#This Row],[RelationshipSatisfaction]])</f>
        <v>2.3333333333333335</v>
      </c>
      <c r="R447" s="2">
        <f>PerfRate[[#This Row],[ManagerRating]] - PerfRate[[#This Row],[SelfRating]]</f>
        <v>-1</v>
      </c>
    </row>
    <row r="448" spans="1:18">
      <c r="A448" s="2" t="s">
        <v>4755</v>
      </c>
      <c r="B448" s="2" t="s">
        <v>1093</v>
      </c>
      <c r="C448" s="1">
        <v>42979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  <c r="L448" s="2" t="s">
        <v>11030</v>
      </c>
      <c r="M448" s="2" t="s">
        <v>11029</v>
      </c>
      <c r="N448" s="2" t="s">
        <v>11037</v>
      </c>
      <c r="O448" s="2" t="s">
        <v>11035</v>
      </c>
      <c r="P448" s="2" t="s">
        <v>11038</v>
      </c>
      <c r="Q448" s="2">
        <f>AVERAGE(PerfRate[[#This Row],[EnvironmentSatisfaction]],PerfRate[[#This Row],[JobSatisfaction]],PerfRate[[#This Row],[RelationshipSatisfaction]])</f>
        <v>3.6666666666666665</v>
      </c>
      <c r="R448" s="2">
        <f>PerfRate[[#This Row],[ManagerRating]] - PerfRate[[#This Row],[SelfRating]]</f>
        <v>-1</v>
      </c>
    </row>
    <row r="449" spans="1:18">
      <c r="A449" s="2" t="s">
        <v>4756</v>
      </c>
      <c r="B449" s="2" t="s">
        <v>2137</v>
      </c>
      <c r="C449" s="1">
        <v>42979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  <c r="L449" s="2" t="s">
        <v>11030</v>
      </c>
      <c r="M449" s="2" t="s">
        <v>11029</v>
      </c>
      <c r="N449" s="2" t="s">
        <v>11036</v>
      </c>
      <c r="O449" s="2" t="s">
        <v>11036</v>
      </c>
      <c r="P449" s="2" t="s">
        <v>11038</v>
      </c>
      <c r="Q449" s="2">
        <f>AVERAGE(PerfRate[[#This Row],[EnvironmentSatisfaction]],PerfRate[[#This Row],[JobSatisfaction]],PerfRate[[#This Row],[RelationshipSatisfaction]])</f>
        <v>3.6666666666666665</v>
      </c>
      <c r="R449" s="2">
        <f>PerfRate[[#This Row],[ManagerRating]] - PerfRate[[#This Row],[SelfRating]]</f>
        <v>-1</v>
      </c>
    </row>
    <row r="450" spans="1:18">
      <c r="A450" s="2" t="s">
        <v>4757</v>
      </c>
      <c r="B450" s="2" t="s">
        <v>853</v>
      </c>
      <c r="C450" s="1">
        <v>43009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  <c r="L450" s="2" t="s">
        <v>11030</v>
      </c>
      <c r="M450" s="2" t="s">
        <v>11030</v>
      </c>
      <c r="N450" s="2" t="s">
        <v>11036</v>
      </c>
      <c r="O450" s="2" t="s">
        <v>11037</v>
      </c>
      <c r="P450" s="2" t="s">
        <v>11036</v>
      </c>
      <c r="Q450" s="2">
        <f>AVERAGE(PerfRate[[#This Row],[EnvironmentSatisfaction]],PerfRate[[#This Row],[JobSatisfaction]],PerfRate[[#This Row],[RelationshipSatisfaction]])</f>
        <v>3.3333333333333335</v>
      </c>
      <c r="R450" s="2">
        <f>PerfRate[[#This Row],[ManagerRating]] - PerfRate[[#This Row],[SelfRating]]</f>
        <v>0</v>
      </c>
    </row>
    <row r="451" spans="1:18">
      <c r="A451" s="2" t="s">
        <v>4758</v>
      </c>
      <c r="B451" s="2" t="s">
        <v>595</v>
      </c>
      <c r="C451" s="1">
        <v>43009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  <c r="L451" s="2" t="s">
        <v>11031</v>
      </c>
      <c r="M451" s="2" t="s">
        <v>11031</v>
      </c>
      <c r="N451" s="2" t="s">
        <v>11037</v>
      </c>
      <c r="O451" s="2" t="s">
        <v>11037</v>
      </c>
      <c r="P451" s="2" t="s">
        <v>11037</v>
      </c>
      <c r="Q451" s="2">
        <f>AVERAGE(PerfRate[[#This Row],[EnvironmentSatisfaction]],PerfRate[[#This Row],[JobSatisfaction]],PerfRate[[#This Row],[RelationshipSatisfaction]])</f>
        <v>4</v>
      </c>
      <c r="R451" s="2">
        <f>PerfRate[[#This Row],[ManagerRating]] - PerfRate[[#This Row],[SelfRating]]</f>
        <v>0</v>
      </c>
    </row>
    <row r="452" spans="1:18">
      <c r="A452" s="2" t="s">
        <v>4759</v>
      </c>
      <c r="B452" s="2" t="s">
        <v>970</v>
      </c>
      <c r="C452" s="1">
        <v>43009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  <c r="L452" s="2" t="s">
        <v>11030</v>
      </c>
      <c r="M452" s="2" t="s">
        <v>11030</v>
      </c>
      <c r="N452" s="2" t="s">
        <v>11037</v>
      </c>
      <c r="O452" s="2" t="s">
        <v>11035</v>
      </c>
      <c r="P452" s="2" t="s">
        <v>11037</v>
      </c>
      <c r="Q452" s="2">
        <f>AVERAGE(PerfRate[[#This Row],[EnvironmentSatisfaction]],PerfRate[[#This Row],[JobSatisfaction]],PerfRate[[#This Row],[RelationshipSatisfaction]])</f>
        <v>3.3333333333333335</v>
      </c>
      <c r="R452" s="2">
        <f>PerfRate[[#This Row],[ManagerRating]] - PerfRate[[#This Row],[SelfRating]]</f>
        <v>0</v>
      </c>
    </row>
    <row r="453" spans="1:18">
      <c r="A453" s="2" t="s">
        <v>4760</v>
      </c>
      <c r="B453" s="2" t="s">
        <v>2080</v>
      </c>
      <c r="C453" s="1">
        <v>43040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  <c r="L453" s="2" t="s">
        <v>11030</v>
      </c>
      <c r="M453" s="2" t="s">
        <v>11029</v>
      </c>
      <c r="N453" s="2" t="s">
        <v>11036</v>
      </c>
      <c r="O453" s="2" t="s">
        <v>11038</v>
      </c>
      <c r="P453" s="2" t="s">
        <v>11036</v>
      </c>
      <c r="Q453" s="2">
        <f>AVERAGE(PerfRate[[#This Row],[EnvironmentSatisfaction]],PerfRate[[#This Row],[JobSatisfaction]],PerfRate[[#This Row],[RelationshipSatisfaction]])</f>
        <v>3.6666666666666665</v>
      </c>
      <c r="R453" s="2">
        <f>PerfRate[[#This Row],[ManagerRating]] - PerfRate[[#This Row],[SelfRating]]</f>
        <v>-1</v>
      </c>
    </row>
    <row r="454" spans="1:18">
      <c r="A454" s="2" t="s">
        <v>4761</v>
      </c>
      <c r="B454" s="2" t="s">
        <v>3868</v>
      </c>
      <c r="C454" s="1">
        <v>43040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  <c r="L454" s="2" t="s">
        <v>11029</v>
      </c>
      <c r="M454" s="2" t="s">
        <v>11028</v>
      </c>
      <c r="N454" s="2" t="s">
        <v>11038</v>
      </c>
      <c r="O454" s="2" t="s">
        <v>11035</v>
      </c>
      <c r="P454" s="2" t="s">
        <v>11037</v>
      </c>
      <c r="Q454" s="2">
        <f>AVERAGE(PerfRate[[#This Row],[EnvironmentSatisfaction]],PerfRate[[#This Row],[JobSatisfaction]],PerfRate[[#This Row],[RelationshipSatisfaction]])</f>
        <v>3.6666666666666665</v>
      </c>
      <c r="R454" s="2">
        <f>PerfRate[[#This Row],[ManagerRating]] - PerfRate[[#This Row],[SelfRating]]</f>
        <v>-1</v>
      </c>
    </row>
    <row r="455" spans="1:18">
      <c r="A455" s="2" t="s">
        <v>4762</v>
      </c>
      <c r="B455" s="2" t="s">
        <v>889</v>
      </c>
      <c r="C455" s="1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  <c r="L455" s="2" t="s">
        <v>11031</v>
      </c>
      <c r="M455" s="2" t="s">
        <v>11031</v>
      </c>
      <c r="N455" s="2" t="s">
        <v>11038</v>
      </c>
      <c r="O455" s="2" t="s">
        <v>11035</v>
      </c>
      <c r="P455" s="2" t="s">
        <v>11035</v>
      </c>
      <c r="Q455" s="2">
        <f>AVERAGE(PerfRate[[#This Row],[EnvironmentSatisfaction]],PerfRate[[#This Row],[JobSatisfaction]],PerfRate[[#This Row],[RelationshipSatisfaction]])</f>
        <v>3</v>
      </c>
      <c r="R455" s="2">
        <f>PerfRate[[#This Row],[ManagerRating]] - PerfRate[[#This Row],[SelfRating]]</f>
        <v>0</v>
      </c>
    </row>
    <row r="456" spans="1:18">
      <c r="A456" s="2" t="s">
        <v>4763</v>
      </c>
      <c r="B456" s="2" t="s">
        <v>1329</v>
      </c>
      <c r="C456" s="1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  <c r="L456" s="2" t="s">
        <v>11031</v>
      </c>
      <c r="M456" s="2" t="s">
        <v>11030</v>
      </c>
      <c r="N456" s="2" t="s">
        <v>11038</v>
      </c>
      <c r="O456" s="2" t="s">
        <v>11037</v>
      </c>
      <c r="P456" s="2" t="s">
        <v>11038</v>
      </c>
      <c r="Q456" s="2">
        <f>AVERAGE(PerfRate[[#This Row],[EnvironmentSatisfaction]],PerfRate[[#This Row],[JobSatisfaction]],PerfRate[[#This Row],[RelationshipSatisfaction]])</f>
        <v>4.666666666666667</v>
      </c>
      <c r="R456" s="2">
        <f>PerfRate[[#This Row],[ManagerRating]] - PerfRate[[#This Row],[SelfRating]]</f>
        <v>-1</v>
      </c>
    </row>
    <row r="457" spans="1:18">
      <c r="A457" s="2" t="s">
        <v>4764</v>
      </c>
      <c r="B457" s="2" t="s">
        <v>3668</v>
      </c>
      <c r="C457" s="1">
        <v>43040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  <c r="L457" s="2" t="s">
        <v>11030</v>
      </c>
      <c r="M457" s="2" t="s">
        <v>11029</v>
      </c>
      <c r="N457" s="2" t="s">
        <v>11036</v>
      </c>
      <c r="O457" s="2" t="s">
        <v>11037</v>
      </c>
      <c r="P457" s="2" t="s">
        <v>11037</v>
      </c>
      <c r="Q457" s="2">
        <f>AVERAGE(PerfRate[[#This Row],[EnvironmentSatisfaction]],PerfRate[[#This Row],[JobSatisfaction]],PerfRate[[#This Row],[RelationshipSatisfaction]])</f>
        <v>3.6666666666666665</v>
      </c>
      <c r="R457" s="2">
        <f>PerfRate[[#This Row],[ManagerRating]] - PerfRate[[#This Row],[SelfRating]]</f>
        <v>-1</v>
      </c>
    </row>
    <row r="458" spans="1:18">
      <c r="A458" s="2" t="s">
        <v>4765</v>
      </c>
      <c r="B458" s="2" t="s">
        <v>2150</v>
      </c>
      <c r="C458" s="1">
        <v>43070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  <c r="L458" s="2" t="s">
        <v>11030</v>
      </c>
      <c r="M458" s="2" t="s">
        <v>11029</v>
      </c>
      <c r="N458" s="2" t="s">
        <v>11037</v>
      </c>
      <c r="O458" s="2" t="s">
        <v>11037</v>
      </c>
      <c r="P458" s="2" t="s">
        <v>11038</v>
      </c>
      <c r="Q458" s="2">
        <f>AVERAGE(PerfRate[[#This Row],[EnvironmentSatisfaction]],PerfRate[[#This Row],[JobSatisfaction]],PerfRate[[#This Row],[RelationshipSatisfaction]])</f>
        <v>4.333333333333333</v>
      </c>
      <c r="R458" s="2">
        <f>PerfRate[[#This Row],[ManagerRating]] - PerfRate[[#This Row],[SelfRating]]</f>
        <v>-1</v>
      </c>
    </row>
    <row r="459" spans="1:18">
      <c r="A459" s="2" t="s">
        <v>4766</v>
      </c>
      <c r="B459" s="2" t="s">
        <v>3597</v>
      </c>
      <c r="C459" s="1">
        <v>43070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  <c r="L459" s="2" t="s">
        <v>11029</v>
      </c>
      <c r="M459" s="2" t="s">
        <v>11028</v>
      </c>
      <c r="N459" s="2" t="s">
        <v>11038</v>
      </c>
      <c r="O459" s="2" t="s">
        <v>11035</v>
      </c>
      <c r="P459" s="2" t="s">
        <v>11038</v>
      </c>
      <c r="Q459" s="2">
        <f>AVERAGE(PerfRate[[#This Row],[EnvironmentSatisfaction]],PerfRate[[#This Row],[JobSatisfaction]],PerfRate[[#This Row],[RelationshipSatisfaction]])</f>
        <v>4</v>
      </c>
      <c r="R459" s="2">
        <f>PerfRate[[#This Row],[ManagerRating]] - PerfRate[[#This Row],[SelfRating]]</f>
        <v>-1</v>
      </c>
    </row>
    <row r="460" spans="1:18">
      <c r="A460" s="2" t="s">
        <v>4767</v>
      </c>
      <c r="B460" s="2" t="s">
        <v>889</v>
      </c>
      <c r="C460" s="1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  <c r="L460" s="2" t="s">
        <v>11031</v>
      </c>
      <c r="M460" s="2" t="s">
        <v>11030</v>
      </c>
      <c r="N460" s="2" t="s">
        <v>11038</v>
      </c>
      <c r="O460" s="2" t="s">
        <v>11037</v>
      </c>
      <c r="P460" s="2" t="s">
        <v>11036</v>
      </c>
      <c r="Q460" s="2">
        <f>AVERAGE(PerfRate[[#This Row],[EnvironmentSatisfaction]],PerfRate[[#This Row],[JobSatisfaction]],PerfRate[[#This Row],[RelationshipSatisfaction]])</f>
        <v>4</v>
      </c>
      <c r="R460" s="2">
        <f>PerfRate[[#This Row],[ManagerRating]] - PerfRate[[#This Row],[SelfRating]]</f>
        <v>-1</v>
      </c>
    </row>
    <row r="461" spans="1:18">
      <c r="A461" s="2" t="s">
        <v>4768</v>
      </c>
      <c r="B461" s="2" t="s">
        <v>2281</v>
      </c>
      <c r="C461" s="1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  <c r="L461" s="2" t="s">
        <v>11031</v>
      </c>
      <c r="M461" s="2" t="s">
        <v>11030</v>
      </c>
      <c r="N461" s="2" t="s">
        <v>11038</v>
      </c>
      <c r="O461" s="2" t="s">
        <v>11036</v>
      </c>
      <c r="P461" s="2" t="s">
        <v>11037</v>
      </c>
      <c r="Q461" s="2">
        <f>AVERAGE(PerfRate[[#This Row],[EnvironmentSatisfaction]],PerfRate[[#This Row],[JobSatisfaction]],PerfRate[[#This Row],[RelationshipSatisfaction]])</f>
        <v>4</v>
      </c>
      <c r="R461" s="2">
        <f>PerfRate[[#This Row],[ManagerRating]] - PerfRate[[#This Row],[SelfRating]]</f>
        <v>-1</v>
      </c>
    </row>
    <row r="462" spans="1:18">
      <c r="A462" s="2" t="s">
        <v>4769</v>
      </c>
      <c r="B462" s="2" t="s">
        <v>1090</v>
      </c>
      <c r="C462" s="1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  <c r="L462" s="2" t="s">
        <v>11031</v>
      </c>
      <c r="M462" s="2" t="s">
        <v>11030</v>
      </c>
      <c r="N462" s="2" t="s">
        <v>11037</v>
      </c>
      <c r="O462" s="2" t="s">
        <v>11036</v>
      </c>
      <c r="P462" s="2" t="s">
        <v>11036</v>
      </c>
      <c r="Q462" s="2">
        <f>AVERAGE(PerfRate[[#This Row],[EnvironmentSatisfaction]],PerfRate[[#This Row],[JobSatisfaction]],PerfRate[[#This Row],[RelationshipSatisfaction]])</f>
        <v>3.3333333333333335</v>
      </c>
      <c r="R462" s="2">
        <f>PerfRate[[#This Row],[ManagerRating]] - PerfRate[[#This Row],[SelfRating]]</f>
        <v>-1</v>
      </c>
    </row>
    <row r="463" spans="1:18">
      <c r="A463" s="2" t="s">
        <v>4770</v>
      </c>
      <c r="B463" s="2" t="s">
        <v>166</v>
      </c>
      <c r="C463" s="1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  <c r="L463" s="2" t="s">
        <v>11030</v>
      </c>
      <c r="M463" s="2" t="s">
        <v>11029</v>
      </c>
      <c r="N463" s="2" t="s">
        <v>11038</v>
      </c>
      <c r="O463" s="2" t="s">
        <v>11035</v>
      </c>
      <c r="P463" s="2" t="s">
        <v>11036</v>
      </c>
      <c r="Q463" s="2">
        <f>AVERAGE(PerfRate[[#This Row],[EnvironmentSatisfaction]],PerfRate[[#This Row],[JobSatisfaction]],PerfRate[[#This Row],[RelationshipSatisfaction]])</f>
        <v>3.3333333333333335</v>
      </c>
      <c r="R463" s="2">
        <f>PerfRate[[#This Row],[ManagerRating]] - PerfRate[[#This Row],[SelfRating]]</f>
        <v>-1</v>
      </c>
    </row>
    <row r="464" spans="1:18">
      <c r="A464" s="2" t="s">
        <v>4771</v>
      </c>
      <c r="B464" s="2" t="s">
        <v>401</v>
      </c>
      <c r="C464" s="1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  <c r="L464" s="2" t="s">
        <v>11030</v>
      </c>
      <c r="M464" s="2" t="s">
        <v>11030</v>
      </c>
      <c r="N464" s="2" t="s">
        <v>11038</v>
      </c>
      <c r="O464" s="2" t="s">
        <v>11036</v>
      </c>
      <c r="P464" s="2" t="s">
        <v>11036</v>
      </c>
      <c r="Q464" s="2">
        <f>AVERAGE(PerfRate[[#This Row],[EnvironmentSatisfaction]],PerfRate[[#This Row],[JobSatisfaction]],PerfRate[[#This Row],[RelationshipSatisfaction]])</f>
        <v>3.6666666666666665</v>
      </c>
      <c r="R464" s="2">
        <f>PerfRate[[#This Row],[ManagerRating]] - PerfRate[[#This Row],[SelfRating]]</f>
        <v>0</v>
      </c>
    </row>
    <row r="465" spans="1:18">
      <c r="A465" s="2" t="s">
        <v>4772</v>
      </c>
      <c r="B465" s="2" t="s">
        <v>1889</v>
      </c>
      <c r="C465" s="1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  <c r="L465" s="2" t="s">
        <v>11031</v>
      </c>
      <c r="M465" s="2" t="s">
        <v>11030</v>
      </c>
      <c r="N465" s="2" t="s">
        <v>11038</v>
      </c>
      <c r="O465" s="2" t="s">
        <v>11036</v>
      </c>
      <c r="P465" s="2" t="s">
        <v>11038</v>
      </c>
      <c r="Q465" s="2">
        <f>AVERAGE(PerfRate[[#This Row],[EnvironmentSatisfaction]],PerfRate[[#This Row],[JobSatisfaction]],PerfRate[[#This Row],[RelationshipSatisfaction]])</f>
        <v>4.333333333333333</v>
      </c>
      <c r="R465" s="2">
        <f>PerfRate[[#This Row],[ManagerRating]] - PerfRate[[#This Row],[SelfRating]]</f>
        <v>-1</v>
      </c>
    </row>
    <row r="466" spans="1:18">
      <c r="A466" s="2" t="s">
        <v>4773</v>
      </c>
      <c r="B466" s="2" t="s">
        <v>940</v>
      </c>
      <c r="C466" s="1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  <c r="L466" s="2" t="s">
        <v>11029</v>
      </c>
      <c r="M466" s="2" t="s">
        <v>11028</v>
      </c>
      <c r="N466" s="2" t="s">
        <v>11036</v>
      </c>
      <c r="O466" s="2" t="s">
        <v>11036</v>
      </c>
      <c r="P466" s="2" t="s">
        <v>11037</v>
      </c>
      <c r="Q466" s="2">
        <f>AVERAGE(PerfRate[[#This Row],[EnvironmentSatisfaction]],PerfRate[[#This Row],[JobSatisfaction]],PerfRate[[#This Row],[RelationshipSatisfaction]])</f>
        <v>3.3333333333333335</v>
      </c>
      <c r="R466" s="2">
        <f>PerfRate[[#This Row],[ManagerRating]] - PerfRate[[#This Row],[SelfRating]]</f>
        <v>-1</v>
      </c>
    </row>
    <row r="467" spans="1:18">
      <c r="A467" s="2" t="s">
        <v>4774</v>
      </c>
      <c r="B467" s="2" t="s">
        <v>392</v>
      </c>
      <c r="C467" s="1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  <c r="L467" s="2" t="s">
        <v>11030</v>
      </c>
      <c r="M467" s="2" t="s">
        <v>11029</v>
      </c>
      <c r="N467" s="2" t="s">
        <v>11038</v>
      </c>
      <c r="O467" s="2" t="s">
        <v>11038</v>
      </c>
      <c r="P467" s="2" t="s">
        <v>11036</v>
      </c>
      <c r="Q467" s="2">
        <f>AVERAGE(PerfRate[[#This Row],[EnvironmentSatisfaction]],PerfRate[[#This Row],[JobSatisfaction]],PerfRate[[#This Row],[RelationshipSatisfaction]])</f>
        <v>4.333333333333333</v>
      </c>
      <c r="R467" s="2">
        <f>PerfRate[[#This Row],[ManagerRating]] - PerfRate[[#This Row],[SelfRating]]</f>
        <v>-1</v>
      </c>
    </row>
    <row r="468" spans="1:18">
      <c r="A468" s="2" t="s">
        <v>4775</v>
      </c>
      <c r="B468" s="2" t="s">
        <v>490</v>
      </c>
      <c r="C468" s="1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  <c r="L468" s="2" t="s">
        <v>11029</v>
      </c>
      <c r="M468" s="2" t="s">
        <v>11029</v>
      </c>
      <c r="N468" s="2" t="s">
        <v>11037</v>
      </c>
      <c r="O468" s="2" t="s">
        <v>11035</v>
      </c>
      <c r="P468" s="2" t="s">
        <v>11038</v>
      </c>
      <c r="Q468" s="2">
        <f>AVERAGE(PerfRate[[#This Row],[EnvironmentSatisfaction]],PerfRate[[#This Row],[JobSatisfaction]],PerfRate[[#This Row],[RelationshipSatisfaction]])</f>
        <v>3.6666666666666665</v>
      </c>
      <c r="R468" s="2">
        <f>PerfRate[[#This Row],[ManagerRating]] - PerfRate[[#This Row],[SelfRating]]</f>
        <v>0</v>
      </c>
    </row>
    <row r="469" spans="1:18">
      <c r="A469" s="2" t="s">
        <v>4776</v>
      </c>
      <c r="B469" s="2" t="s">
        <v>738</v>
      </c>
      <c r="C469" s="1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  <c r="L469" s="2" t="s">
        <v>11030</v>
      </c>
      <c r="M469" s="2" t="s">
        <v>11029</v>
      </c>
      <c r="N469" s="2" t="s">
        <v>11038</v>
      </c>
      <c r="O469" s="2" t="s">
        <v>11037</v>
      </c>
      <c r="P469" s="2" t="s">
        <v>11035</v>
      </c>
      <c r="Q469" s="2">
        <f>AVERAGE(PerfRate[[#This Row],[EnvironmentSatisfaction]],PerfRate[[#This Row],[JobSatisfaction]],PerfRate[[#This Row],[RelationshipSatisfaction]])</f>
        <v>3.6666666666666665</v>
      </c>
      <c r="R469" s="2">
        <f>PerfRate[[#This Row],[ManagerRating]] - PerfRate[[#This Row],[SelfRating]]</f>
        <v>-1</v>
      </c>
    </row>
    <row r="470" spans="1:18">
      <c r="A470" s="2" t="s">
        <v>4777</v>
      </c>
      <c r="B470" s="2" t="s">
        <v>2911</v>
      </c>
      <c r="C470" s="1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  <c r="L470" s="2" t="s">
        <v>11031</v>
      </c>
      <c r="M470" s="2" t="s">
        <v>11030</v>
      </c>
      <c r="N470" s="2" t="s">
        <v>11038</v>
      </c>
      <c r="O470" s="2" t="s">
        <v>11038</v>
      </c>
      <c r="P470" s="2" t="s">
        <v>11035</v>
      </c>
      <c r="Q470" s="2">
        <f>AVERAGE(PerfRate[[#This Row],[EnvironmentSatisfaction]],PerfRate[[#This Row],[JobSatisfaction]],PerfRate[[#This Row],[RelationshipSatisfaction]])</f>
        <v>4</v>
      </c>
      <c r="R470" s="2">
        <f>PerfRate[[#This Row],[ManagerRating]] - PerfRate[[#This Row],[SelfRating]]</f>
        <v>-1</v>
      </c>
    </row>
    <row r="471" spans="1:18">
      <c r="A471" s="2" t="s">
        <v>4778</v>
      </c>
      <c r="B471" s="2" t="s">
        <v>1818</v>
      </c>
      <c r="C471" s="1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  <c r="L471" s="2" t="s">
        <v>11031</v>
      </c>
      <c r="M471" s="2" t="s">
        <v>11031</v>
      </c>
      <c r="N471" s="2" t="s">
        <v>11036</v>
      </c>
      <c r="O471" s="2" t="s">
        <v>11038</v>
      </c>
      <c r="P471" s="2" t="s">
        <v>11036</v>
      </c>
      <c r="Q471" s="2">
        <f>AVERAGE(PerfRate[[#This Row],[EnvironmentSatisfaction]],PerfRate[[#This Row],[JobSatisfaction]],PerfRate[[#This Row],[RelationshipSatisfaction]])</f>
        <v>3.6666666666666665</v>
      </c>
      <c r="R471" s="2">
        <f>PerfRate[[#This Row],[ManagerRating]] - PerfRate[[#This Row],[SelfRating]]</f>
        <v>0</v>
      </c>
    </row>
    <row r="472" spans="1:18">
      <c r="A472" s="2" t="s">
        <v>4779</v>
      </c>
      <c r="B472" s="2" t="s">
        <v>1881</v>
      </c>
      <c r="C472" s="1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  <c r="L472" s="2" t="s">
        <v>11029</v>
      </c>
      <c r="M472" s="2" t="s">
        <v>11028</v>
      </c>
      <c r="N472" s="2" t="s">
        <v>11036</v>
      </c>
      <c r="O472" s="2" t="s">
        <v>11035</v>
      </c>
      <c r="P472" s="2" t="s">
        <v>11036</v>
      </c>
      <c r="Q472" s="2">
        <f>AVERAGE(PerfRate[[#This Row],[EnvironmentSatisfaction]],PerfRate[[#This Row],[JobSatisfaction]],PerfRate[[#This Row],[RelationshipSatisfaction]])</f>
        <v>2.6666666666666665</v>
      </c>
      <c r="R472" s="2">
        <f>PerfRate[[#This Row],[ManagerRating]] - PerfRate[[#This Row],[SelfRating]]</f>
        <v>-1</v>
      </c>
    </row>
    <row r="473" spans="1:18">
      <c r="A473" s="2" t="s">
        <v>4780</v>
      </c>
      <c r="B473" s="2" t="s">
        <v>1177</v>
      </c>
      <c r="C473" s="1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  <c r="L473" s="2" t="s">
        <v>11029</v>
      </c>
      <c r="M473" s="2" t="s">
        <v>11028</v>
      </c>
      <c r="N473" s="2" t="s">
        <v>11038</v>
      </c>
      <c r="O473" s="2" t="s">
        <v>11035</v>
      </c>
      <c r="P473" s="2" t="s">
        <v>11038</v>
      </c>
      <c r="Q473" s="2">
        <f>AVERAGE(PerfRate[[#This Row],[EnvironmentSatisfaction]],PerfRate[[#This Row],[JobSatisfaction]],PerfRate[[#This Row],[RelationshipSatisfaction]])</f>
        <v>4</v>
      </c>
      <c r="R473" s="2">
        <f>PerfRate[[#This Row],[ManagerRating]] - PerfRate[[#This Row],[SelfRating]]</f>
        <v>-1</v>
      </c>
    </row>
    <row r="474" spans="1:18">
      <c r="A474" s="2" t="s">
        <v>4781</v>
      </c>
      <c r="B474" s="2" t="s">
        <v>94</v>
      </c>
      <c r="C474" s="1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  <c r="L474" s="2" t="s">
        <v>11031</v>
      </c>
      <c r="M474" s="2" t="s">
        <v>11030</v>
      </c>
      <c r="N474" s="2" t="s">
        <v>11037</v>
      </c>
      <c r="O474" s="2" t="s">
        <v>11035</v>
      </c>
      <c r="P474" s="2" t="s">
        <v>11037</v>
      </c>
      <c r="Q474" s="2">
        <f>AVERAGE(PerfRate[[#This Row],[EnvironmentSatisfaction]],PerfRate[[#This Row],[JobSatisfaction]],PerfRate[[#This Row],[RelationshipSatisfaction]])</f>
        <v>3.3333333333333335</v>
      </c>
      <c r="R474" s="2">
        <f>PerfRate[[#This Row],[ManagerRating]] - PerfRate[[#This Row],[SelfRating]]</f>
        <v>-1</v>
      </c>
    </row>
    <row r="475" spans="1:18">
      <c r="A475" s="2" t="s">
        <v>4782</v>
      </c>
      <c r="B475" s="2" t="s">
        <v>690</v>
      </c>
      <c r="C475" s="1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  <c r="L475" s="2" t="s">
        <v>11030</v>
      </c>
      <c r="M475" s="2" t="s">
        <v>11029</v>
      </c>
      <c r="N475" s="2" t="s">
        <v>11037</v>
      </c>
      <c r="O475" s="2" t="s">
        <v>11036</v>
      </c>
      <c r="P475" s="2" t="s">
        <v>11038</v>
      </c>
      <c r="Q475" s="2">
        <f>AVERAGE(PerfRate[[#This Row],[EnvironmentSatisfaction]],PerfRate[[#This Row],[JobSatisfaction]],PerfRate[[#This Row],[RelationshipSatisfaction]])</f>
        <v>4</v>
      </c>
      <c r="R475" s="2">
        <f>PerfRate[[#This Row],[ManagerRating]] - PerfRate[[#This Row],[SelfRating]]</f>
        <v>-1</v>
      </c>
    </row>
    <row r="476" spans="1:18">
      <c r="A476" s="2" t="s">
        <v>4783</v>
      </c>
      <c r="B476" s="2" t="s">
        <v>1707</v>
      </c>
      <c r="C476" s="1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  <c r="L476" s="2" t="s">
        <v>11029</v>
      </c>
      <c r="M476" s="2" t="s">
        <v>11028</v>
      </c>
      <c r="N476" s="2" t="s">
        <v>11038</v>
      </c>
      <c r="O476" s="2" t="s">
        <v>11037</v>
      </c>
      <c r="P476" s="2" t="s">
        <v>11035</v>
      </c>
      <c r="Q476" s="2">
        <f>AVERAGE(PerfRate[[#This Row],[EnvironmentSatisfaction]],PerfRate[[#This Row],[JobSatisfaction]],PerfRate[[#This Row],[RelationshipSatisfaction]])</f>
        <v>3.6666666666666665</v>
      </c>
      <c r="R476" s="2">
        <f>PerfRate[[#This Row],[ManagerRating]] - PerfRate[[#This Row],[SelfRating]]</f>
        <v>-1</v>
      </c>
    </row>
    <row r="477" spans="1:18">
      <c r="A477" s="2" t="s">
        <v>4784</v>
      </c>
      <c r="B477" s="2" t="s">
        <v>1024</v>
      </c>
      <c r="C477" s="1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  <c r="L477" s="2" t="s">
        <v>11031</v>
      </c>
      <c r="M477" s="2" t="s">
        <v>11031</v>
      </c>
      <c r="N477" s="2" t="s">
        <v>11037</v>
      </c>
      <c r="O477" s="2" t="s">
        <v>11038</v>
      </c>
      <c r="P477" s="2" t="s">
        <v>11035</v>
      </c>
      <c r="Q477" s="2">
        <f>AVERAGE(PerfRate[[#This Row],[EnvironmentSatisfaction]],PerfRate[[#This Row],[JobSatisfaction]],PerfRate[[#This Row],[RelationshipSatisfaction]])</f>
        <v>3.6666666666666665</v>
      </c>
      <c r="R477" s="2">
        <f>PerfRate[[#This Row],[ManagerRating]] - PerfRate[[#This Row],[SelfRating]]</f>
        <v>0</v>
      </c>
    </row>
    <row r="478" spans="1:18">
      <c r="A478" s="2" t="s">
        <v>4785</v>
      </c>
      <c r="B478" s="2" t="s">
        <v>2500</v>
      </c>
      <c r="C478" s="1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  <c r="L478" s="2" t="s">
        <v>11031</v>
      </c>
      <c r="M478" s="2" t="s">
        <v>11030</v>
      </c>
      <c r="N478" s="2" t="s">
        <v>11037</v>
      </c>
      <c r="O478" s="2" t="s">
        <v>11036</v>
      </c>
      <c r="P478" s="2" t="s">
        <v>11035</v>
      </c>
      <c r="Q478" s="2">
        <f>AVERAGE(PerfRate[[#This Row],[EnvironmentSatisfaction]],PerfRate[[#This Row],[JobSatisfaction]],PerfRate[[#This Row],[RelationshipSatisfaction]])</f>
        <v>3</v>
      </c>
      <c r="R478" s="2">
        <f>PerfRate[[#This Row],[ManagerRating]] - PerfRate[[#This Row],[SelfRating]]</f>
        <v>-1</v>
      </c>
    </row>
    <row r="479" spans="1:18">
      <c r="A479" s="2" t="s">
        <v>4786</v>
      </c>
      <c r="B479" s="2" t="s">
        <v>705</v>
      </c>
      <c r="C479" s="1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  <c r="L479" s="2" t="s">
        <v>11031</v>
      </c>
      <c r="M479" s="2" t="s">
        <v>11030</v>
      </c>
      <c r="N479" s="2" t="s">
        <v>11038</v>
      </c>
      <c r="O479" s="2" t="s">
        <v>11036</v>
      </c>
      <c r="P479" s="2" t="s">
        <v>11038</v>
      </c>
      <c r="Q479" s="2">
        <f>AVERAGE(PerfRate[[#This Row],[EnvironmentSatisfaction]],PerfRate[[#This Row],[JobSatisfaction]],PerfRate[[#This Row],[RelationshipSatisfaction]])</f>
        <v>4.333333333333333</v>
      </c>
      <c r="R479" s="2">
        <f>PerfRate[[#This Row],[ManagerRating]] - PerfRate[[#This Row],[SelfRating]]</f>
        <v>-1</v>
      </c>
    </row>
    <row r="480" spans="1:18">
      <c r="A480" s="2" t="s">
        <v>4787</v>
      </c>
      <c r="B480" s="2" t="s">
        <v>2659</v>
      </c>
      <c r="C480" s="1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  <c r="L480" s="2" t="s">
        <v>11030</v>
      </c>
      <c r="M480" s="2" t="s">
        <v>11029</v>
      </c>
      <c r="N480" s="2" t="s">
        <v>11037</v>
      </c>
      <c r="O480" s="2" t="s">
        <v>11036</v>
      </c>
      <c r="P480" s="2" t="s">
        <v>11037</v>
      </c>
      <c r="Q480" s="2">
        <f>AVERAGE(PerfRate[[#This Row],[EnvironmentSatisfaction]],PerfRate[[#This Row],[JobSatisfaction]],PerfRate[[#This Row],[RelationshipSatisfaction]])</f>
        <v>3.6666666666666665</v>
      </c>
      <c r="R480" s="2">
        <f>PerfRate[[#This Row],[ManagerRating]] - PerfRate[[#This Row],[SelfRating]]</f>
        <v>-1</v>
      </c>
    </row>
    <row r="481" spans="1:18">
      <c r="A481" s="2" t="s">
        <v>4788</v>
      </c>
      <c r="B481" s="2" t="s">
        <v>664</v>
      </c>
      <c r="C481" s="1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  <c r="L481" s="2" t="s">
        <v>11031</v>
      </c>
      <c r="M481" s="2" t="s">
        <v>11031</v>
      </c>
      <c r="N481" s="2" t="s">
        <v>11038</v>
      </c>
      <c r="O481" s="2" t="s">
        <v>11036</v>
      </c>
      <c r="P481" s="2" t="s">
        <v>11038</v>
      </c>
      <c r="Q481" s="2">
        <f>AVERAGE(PerfRate[[#This Row],[EnvironmentSatisfaction]],PerfRate[[#This Row],[JobSatisfaction]],PerfRate[[#This Row],[RelationshipSatisfaction]])</f>
        <v>4.333333333333333</v>
      </c>
      <c r="R481" s="2">
        <f>PerfRate[[#This Row],[ManagerRating]] - PerfRate[[#This Row],[SelfRating]]</f>
        <v>0</v>
      </c>
    </row>
    <row r="482" spans="1:18">
      <c r="A482" s="2" t="s">
        <v>4789</v>
      </c>
      <c r="B482" s="2" t="s">
        <v>3085</v>
      </c>
      <c r="C482" s="1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  <c r="L482" s="2" t="s">
        <v>11031</v>
      </c>
      <c r="M482" s="2" t="s">
        <v>11031</v>
      </c>
      <c r="N482" s="2" t="s">
        <v>11037</v>
      </c>
      <c r="O482" s="2" t="s">
        <v>11037</v>
      </c>
      <c r="P482" s="2" t="s">
        <v>11036</v>
      </c>
      <c r="Q482" s="2">
        <f>AVERAGE(PerfRate[[#This Row],[EnvironmentSatisfaction]],PerfRate[[#This Row],[JobSatisfaction]],PerfRate[[#This Row],[RelationshipSatisfaction]])</f>
        <v>3.6666666666666665</v>
      </c>
      <c r="R482" s="2">
        <f>PerfRate[[#This Row],[ManagerRating]] - PerfRate[[#This Row],[SelfRating]]</f>
        <v>0</v>
      </c>
    </row>
    <row r="483" spans="1:18">
      <c r="A483" s="2" t="s">
        <v>4790</v>
      </c>
      <c r="B483" s="2" t="s">
        <v>684</v>
      </c>
      <c r="C483" s="1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  <c r="L483" s="2" t="s">
        <v>11029</v>
      </c>
      <c r="M483" s="2" t="s">
        <v>11029</v>
      </c>
      <c r="N483" s="2" t="s">
        <v>11037</v>
      </c>
      <c r="O483" s="2" t="s">
        <v>11037</v>
      </c>
      <c r="P483" s="2" t="s">
        <v>11038</v>
      </c>
      <c r="Q483" s="2">
        <f>AVERAGE(PerfRate[[#This Row],[EnvironmentSatisfaction]],PerfRate[[#This Row],[JobSatisfaction]],PerfRate[[#This Row],[RelationshipSatisfaction]])</f>
        <v>4.333333333333333</v>
      </c>
      <c r="R483" s="2">
        <f>PerfRate[[#This Row],[ManagerRating]] - PerfRate[[#This Row],[SelfRating]]</f>
        <v>0</v>
      </c>
    </row>
    <row r="484" spans="1:18">
      <c r="A484" s="2" t="s">
        <v>4791</v>
      </c>
      <c r="B484" s="2" t="s">
        <v>702</v>
      </c>
      <c r="C484" s="1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  <c r="L484" s="2" t="s">
        <v>11031</v>
      </c>
      <c r="M484" s="2" t="s">
        <v>11031</v>
      </c>
      <c r="N484" s="2" t="s">
        <v>11036</v>
      </c>
      <c r="O484" s="2" t="s">
        <v>11038</v>
      </c>
      <c r="P484" s="2" t="s">
        <v>11036</v>
      </c>
      <c r="Q484" s="2">
        <f>AVERAGE(PerfRate[[#This Row],[EnvironmentSatisfaction]],PerfRate[[#This Row],[JobSatisfaction]],PerfRate[[#This Row],[RelationshipSatisfaction]])</f>
        <v>3.6666666666666665</v>
      </c>
      <c r="R484" s="2">
        <f>PerfRate[[#This Row],[ManagerRating]] - PerfRate[[#This Row],[SelfRating]]</f>
        <v>0</v>
      </c>
    </row>
    <row r="485" spans="1:18">
      <c r="A485" s="2" t="s">
        <v>4792</v>
      </c>
      <c r="B485" s="2" t="s">
        <v>991</v>
      </c>
      <c r="C485" s="1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  <c r="L485" s="2" t="s">
        <v>11029</v>
      </c>
      <c r="M485" s="2" t="s">
        <v>11029</v>
      </c>
      <c r="N485" s="2" t="s">
        <v>11037</v>
      </c>
      <c r="O485" s="2" t="s">
        <v>11035</v>
      </c>
      <c r="P485" s="2" t="s">
        <v>11038</v>
      </c>
      <c r="Q485" s="2">
        <f>AVERAGE(PerfRate[[#This Row],[EnvironmentSatisfaction]],PerfRate[[#This Row],[JobSatisfaction]],PerfRate[[#This Row],[RelationshipSatisfaction]])</f>
        <v>3.6666666666666665</v>
      </c>
      <c r="R485" s="2">
        <f>PerfRate[[#This Row],[ManagerRating]] - PerfRate[[#This Row],[SelfRating]]</f>
        <v>0</v>
      </c>
    </row>
    <row r="486" spans="1:18">
      <c r="A486" s="2" t="s">
        <v>4793</v>
      </c>
      <c r="B486" s="2" t="s">
        <v>1252</v>
      </c>
      <c r="C486" s="1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  <c r="L486" s="2" t="s">
        <v>11030</v>
      </c>
      <c r="M486" s="2" t="s">
        <v>11030</v>
      </c>
      <c r="N486" s="2" t="s">
        <v>11037</v>
      </c>
      <c r="O486" s="2" t="s">
        <v>11037</v>
      </c>
      <c r="P486" s="2" t="s">
        <v>11036</v>
      </c>
      <c r="Q486" s="2">
        <f>AVERAGE(PerfRate[[#This Row],[EnvironmentSatisfaction]],PerfRate[[#This Row],[JobSatisfaction]],PerfRate[[#This Row],[RelationshipSatisfaction]])</f>
        <v>3.6666666666666665</v>
      </c>
      <c r="R486" s="2">
        <f>PerfRate[[#This Row],[ManagerRating]] - PerfRate[[#This Row],[SelfRating]]</f>
        <v>0</v>
      </c>
    </row>
    <row r="487" spans="1:18">
      <c r="A487" s="2" t="s">
        <v>4794</v>
      </c>
      <c r="B487" s="2" t="s">
        <v>3995</v>
      </c>
      <c r="C487" s="1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  <c r="L487" s="2" t="s">
        <v>11029</v>
      </c>
      <c r="M487" s="2" t="s">
        <v>11029</v>
      </c>
      <c r="N487" s="2" t="s">
        <v>11036</v>
      </c>
      <c r="O487" s="2" t="s">
        <v>11035</v>
      </c>
      <c r="P487" s="2" t="s">
        <v>11037</v>
      </c>
      <c r="Q487" s="2">
        <f>AVERAGE(PerfRate[[#This Row],[EnvironmentSatisfaction]],PerfRate[[#This Row],[JobSatisfaction]],PerfRate[[#This Row],[RelationshipSatisfaction]])</f>
        <v>3</v>
      </c>
      <c r="R487" s="2">
        <f>PerfRate[[#This Row],[ManagerRating]] - PerfRate[[#This Row],[SelfRating]]</f>
        <v>0</v>
      </c>
    </row>
    <row r="488" spans="1:18">
      <c r="A488" s="2" t="s">
        <v>4795</v>
      </c>
      <c r="B488" s="2" t="s">
        <v>1886</v>
      </c>
      <c r="C488" s="1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  <c r="L488" s="2" t="s">
        <v>11029</v>
      </c>
      <c r="M488" s="2" t="s">
        <v>11028</v>
      </c>
      <c r="N488" s="2" t="s">
        <v>11038</v>
      </c>
      <c r="O488" s="2" t="s">
        <v>11035</v>
      </c>
      <c r="P488" s="2" t="s">
        <v>11038</v>
      </c>
      <c r="Q488" s="2">
        <f>AVERAGE(PerfRate[[#This Row],[EnvironmentSatisfaction]],PerfRate[[#This Row],[JobSatisfaction]],PerfRate[[#This Row],[RelationshipSatisfaction]])</f>
        <v>4</v>
      </c>
      <c r="R488" s="2">
        <f>PerfRate[[#This Row],[ManagerRating]] - PerfRate[[#This Row],[SelfRating]]</f>
        <v>-1</v>
      </c>
    </row>
    <row r="489" spans="1:18">
      <c r="A489" s="2" t="s">
        <v>4796</v>
      </c>
      <c r="B489" s="2" t="s">
        <v>1716</v>
      </c>
      <c r="C489" s="1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  <c r="L489" s="2" t="s">
        <v>11030</v>
      </c>
      <c r="M489" s="2" t="s">
        <v>11030</v>
      </c>
      <c r="N489" s="2" t="s">
        <v>11037</v>
      </c>
      <c r="O489" s="2" t="s">
        <v>11035</v>
      </c>
      <c r="P489" s="2" t="s">
        <v>11036</v>
      </c>
      <c r="Q489" s="2">
        <f>AVERAGE(PerfRate[[#This Row],[EnvironmentSatisfaction]],PerfRate[[#This Row],[JobSatisfaction]],PerfRate[[#This Row],[RelationshipSatisfaction]])</f>
        <v>3</v>
      </c>
      <c r="R489" s="2">
        <f>PerfRate[[#This Row],[ManagerRating]] - PerfRate[[#This Row],[SelfRating]]</f>
        <v>0</v>
      </c>
    </row>
    <row r="490" spans="1:18">
      <c r="A490" s="2" t="s">
        <v>4797</v>
      </c>
      <c r="B490" s="2" t="s">
        <v>3566</v>
      </c>
      <c r="C490" s="1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  <c r="L490" s="2" t="s">
        <v>11031</v>
      </c>
      <c r="M490" s="2" t="s">
        <v>11031</v>
      </c>
      <c r="N490" s="2" t="s">
        <v>11036</v>
      </c>
      <c r="O490" s="2" t="s">
        <v>11037</v>
      </c>
      <c r="P490" s="2" t="s">
        <v>11035</v>
      </c>
      <c r="Q490" s="2">
        <f>AVERAGE(PerfRate[[#This Row],[EnvironmentSatisfaction]],PerfRate[[#This Row],[JobSatisfaction]],PerfRate[[#This Row],[RelationshipSatisfaction]])</f>
        <v>3</v>
      </c>
      <c r="R490" s="2">
        <f>PerfRate[[#This Row],[ManagerRating]] - PerfRate[[#This Row],[SelfRating]]</f>
        <v>0</v>
      </c>
    </row>
    <row r="491" spans="1:18">
      <c r="A491" s="2" t="s">
        <v>4798</v>
      </c>
      <c r="B491" s="2" t="s">
        <v>1065</v>
      </c>
      <c r="C491" s="1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  <c r="L491" s="2" t="s">
        <v>11031</v>
      </c>
      <c r="M491" s="2" t="s">
        <v>11031</v>
      </c>
      <c r="N491" s="2" t="s">
        <v>11038</v>
      </c>
      <c r="O491" s="2" t="s">
        <v>11036</v>
      </c>
      <c r="P491" s="2" t="s">
        <v>11036</v>
      </c>
      <c r="Q491" s="2">
        <f>AVERAGE(PerfRate[[#This Row],[EnvironmentSatisfaction]],PerfRate[[#This Row],[JobSatisfaction]],PerfRate[[#This Row],[RelationshipSatisfaction]])</f>
        <v>3.6666666666666665</v>
      </c>
      <c r="R491" s="2">
        <f>PerfRate[[#This Row],[ManagerRating]] - PerfRate[[#This Row],[SelfRating]]</f>
        <v>0</v>
      </c>
    </row>
    <row r="492" spans="1:18">
      <c r="A492" s="2" t="s">
        <v>4799</v>
      </c>
      <c r="B492" s="2" t="s">
        <v>589</v>
      </c>
      <c r="C492" s="1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  <c r="L492" s="2" t="s">
        <v>11030</v>
      </c>
      <c r="M492" s="2" t="s">
        <v>11029</v>
      </c>
      <c r="N492" s="2" t="s">
        <v>11037</v>
      </c>
      <c r="O492" s="2" t="s">
        <v>11035</v>
      </c>
      <c r="P492" s="2" t="s">
        <v>11036</v>
      </c>
      <c r="Q492" s="2">
        <f>AVERAGE(PerfRate[[#This Row],[EnvironmentSatisfaction]],PerfRate[[#This Row],[JobSatisfaction]],PerfRate[[#This Row],[RelationshipSatisfaction]])</f>
        <v>3</v>
      </c>
      <c r="R492" s="2">
        <f>PerfRate[[#This Row],[ManagerRating]] - PerfRate[[#This Row],[SelfRating]]</f>
        <v>-1</v>
      </c>
    </row>
    <row r="493" spans="1:18">
      <c r="A493" s="2" t="s">
        <v>4800</v>
      </c>
      <c r="B493" s="2" t="s">
        <v>1027</v>
      </c>
      <c r="C493" s="1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  <c r="L493" s="2" t="s">
        <v>11031</v>
      </c>
      <c r="M493" s="2" t="s">
        <v>11030</v>
      </c>
      <c r="N493" s="2" t="s">
        <v>11036</v>
      </c>
      <c r="O493" s="2" t="s">
        <v>11036</v>
      </c>
      <c r="P493" s="2" t="s">
        <v>11038</v>
      </c>
      <c r="Q493" s="2">
        <f>AVERAGE(PerfRate[[#This Row],[EnvironmentSatisfaction]],PerfRate[[#This Row],[JobSatisfaction]],PerfRate[[#This Row],[RelationshipSatisfaction]])</f>
        <v>3.6666666666666665</v>
      </c>
      <c r="R493" s="2">
        <f>PerfRate[[#This Row],[ManagerRating]] - PerfRate[[#This Row],[SelfRating]]</f>
        <v>-1</v>
      </c>
    </row>
    <row r="494" spans="1:18">
      <c r="A494" s="2" t="s">
        <v>4801</v>
      </c>
      <c r="B494" s="2" t="s">
        <v>622</v>
      </c>
      <c r="C494" s="1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  <c r="L494" s="2" t="s">
        <v>11030</v>
      </c>
      <c r="M494" s="2" t="s">
        <v>11030</v>
      </c>
      <c r="N494" s="2" t="s">
        <v>11037</v>
      </c>
      <c r="O494" s="2" t="s">
        <v>11035</v>
      </c>
      <c r="P494" s="2" t="s">
        <v>11035</v>
      </c>
      <c r="Q494" s="2">
        <f>AVERAGE(PerfRate[[#This Row],[EnvironmentSatisfaction]],PerfRate[[#This Row],[JobSatisfaction]],PerfRate[[#This Row],[RelationshipSatisfaction]])</f>
        <v>2.6666666666666665</v>
      </c>
      <c r="R494" s="2">
        <f>PerfRate[[#This Row],[ManagerRating]] - PerfRate[[#This Row],[SelfRating]]</f>
        <v>0</v>
      </c>
    </row>
    <row r="495" spans="1:18">
      <c r="A495" s="2" t="s">
        <v>4802</v>
      </c>
      <c r="B495" s="2" t="s">
        <v>1263</v>
      </c>
      <c r="C495" s="1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  <c r="L495" s="2" t="s">
        <v>11029</v>
      </c>
      <c r="M495" s="2" t="s">
        <v>11028</v>
      </c>
      <c r="N495" s="2" t="s">
        <v>11038</v>
      </c>
      <c r="O495" s="2" t="s">
        <v>11038</v>
      </c>
      <c r="P495" s="2" t="s">
        <v>11038</v>
      </c>
      <c r="Q495" s="2">
        <f>AVERAGE(PerfRate[[#This Row],[EnvironmentSatisfaction]],PerfRate[[#This Row],[JobSatisfaction]],PerfRate[[#This Row],[RelationshipSatisfaction]])</f>
        <v>5</v>
      </c>
      <c r="R495" s="2">
        <f>PerfRate[[#This Row],[ManagerRating]] - PerfRate[[#This Row],[SelfRating]]</f>
        <v>-1</v>
      </c>
    </row>
    <row r="496" spans="1:18">
      <c r="A496" s="2" t="s">
        <v>4803</v>
      </c>
      <c r="B496" s="2" t="s">
        <v>1672</v>
      </c>
      <c r="C496" s="1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  <c r="L496" s="2" t="s">
        <v>11030</v>
      </c>
      <c r="M496" s="2" t="s">
        <v>11029</v>
      </c>
      <c r="N496" s="2" t="s">
        <v>11038</v>
      </c>
      <c r="O496" s="2" t="s">
        <v>11035</v>
      </c>
      <c r="P496" s="2" t="s">
        <v>11038</v>
      </c>
      <c r="Q496" s="2">
        <f>AVERAGE(PerfRate[[#This Row],[EnvironmentSatisfaction]],PerfRate[[#This Row],[JobSatisfaction]],PerfRate[[#This Row],[RelationshipSatisfaction]])</f>
        <v>4</v>
      </c>
      <c r="R496" s="2">
        <f>PerfRate[[#This Row],[ManagerRating]] - PerfRate[[#This Row],[SelfRating]]</f>
        <v>-1</v>
      </c>
    </row>
    <row r="497" spans="1:18">
      <c r="A497" s="2" t="s">
        <v>4804</v>
      </c>
      <c r="B497" s="2" t="s">
        <v>1341</v>
      </c>
      <c r="C497" s="1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  <c r="L497" s="2" t="s">
        <v>11029</v>
      </c>
      <c r="M497" s="2" t="s">
        <v>11028</v>
      </c>
      <c r="N497" s="2" t="s">
        <v>11036</v>
      </c>
      <c r="O497" s="2" t="s">
        <v>11035</v>
      </c>
      <c r="P497" s="2" t="s">
        <v>11035</v>
      </c>
      <c r="Q497" s="2">
        <f>AVERAGE(PerfRate[[#This Row],[EnvironmentSatisfaction]],PerfRate[[#This Row],[JobSatisfaction]],PerfRate[[#This Row],[RelationshipSatisfaction]])</f>
        <v>2.3333333333333335</v>
      </c>
      <c r="R497" s="2">
        <f>PerfRate[[#This Row],[ManagerRating]] - PerfRate[[#This Row],[SelfRating]]</f>
        <v>-1</v>
      </c>
    </row>
    <row r="498" spans="1:18">
      <c r="A498" s="2" t="s">
        <v>4805</v>
      </c>
      <c r="B498" s="2" t="s">
        <v>1383</v>
      </c>
      <c r="C498" s="1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  <c r="L498" s="2" t="s">
        <v>11030</v>
      </c>
      <c r="M498" s="2" t="s">
        <v>11029</v>
      </c>
      <c r="N498" s="2" t="s">
        <v>11036</v>
      </c>
      <c r="O498" s="2" t="s">
        <v>11038</v>
      </c>
      <c r="P498" s="2" t="s">
        <v>11036</v>
      </c>
      <c r="Q498" s="2">
        <f>AVERAGE(PerfRate[[#This Row],[EnvironmentSatisfaction]],PerfRate[[#This Row],[JobSatisfaction]],PerfRate[[#This Row],[RelationshipSatisfaction]])</f>
        <v>3.6666666666666665</v>
      </c>
      <c r="R498" s="2">
        <f>PerfRate[[#This Row],[ManagerRating]] - PerfRate[[#This Row],[SelfRating]]</f>
        <v>-1</v>
      </c>
    </row>
    <row r="499" spans="1:18">
      <c r="A499" s="2" t="s">
        <v>4806</v>
      </c>
      <c r="B499" s="2" t="s">
        <v>241</v>
      </c>
      <c r="C499" s="1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  <c r="L499" s="2" t="s">
        <v>11029</v>
      </c>
      <c r="M499" s="2" t="s">
        <v>11029</v>
      </c>
      <c r="N499" s="2" t="s">
        <v>11037</v>
      </c>
      <c r="O499" s="2" t="s">
        <v>11037</v>
      </c>
      <c r="P499" s="2" t="s">
        <v>11037</v>
      </c>
      <c r="Q499" s="2">
        <f>AVERAGE(PerfRate[[#This Row],[EnvironmentSatisfaction]],PerfRate[[#This Row],[JobSatisfaction]],PerfRate[[#This Row],[RelationshipSatisfaction]])</f>
        <v>4</v>
      </c>
      <c r="R499" s="2">
        <f>PerfRate[[#This Row],[ManagerRating]] - PerfRate[[#This Row],[SelfRating]]</f>
        <v>0</v>
      </c>
    </row>
    <row r="500" spans="1:18">
      <c r="A500" s="2" t="s">
        <v>4807</v>
      </c>
      <c r="B500" s="2" t="s">
        <v>1292</v>
      </c>
      <c r="C500" s="1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  <c r="L500" s="2" t="s">
        <v>11031</v>
      </c>
      <c r="M500" s="2" t="s">
        <v>11031</v>
      </c>
      <c r="N500" s="2" t="s">
        <v>11038</v>
      </c>
      <c r="O500" s="2" t="s">
        <v>11035</v>
      </c>
      <c r="P500" s="2" t="s">
        <v>11038</v>
      </c>
      <c r="Q500" s="2">
        <f>AVERAGE(PerfRate[[#This Row],[EnvironmentSatisfaction]],PerfRate[[#This Row],[JobSatisfaction]],PerfRate[[#This Row],[RelationshipSatisfaction]])</f>
        <v>4</v>
      </c>
      <c r="R500" s="2">
        <f>PerfRate[[#This Row],[ManagerRating]] - PerfRate[[#This Row],[SelfRating]]</f>
        <v>0</v>
      </c>
    </row>
    <row r="501" spans="1:18">
      <c r="A501" s="2" t="s">
        <v>4808</v>
      </c>
      <c r="B501" s="2" t="s">
        <v>735</v>
      </c>
      <c r="C501" s="1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  <c r="L501" s="2" t="s">
        <v>11030</v>
      </c>
      <c r="M501" s="2" t="s">
        <v>11029</v>
      </c>
      <c r="N501" s="2" t="s">
        <v>11036</v>
      </c>
      <c r="O501" s="2" t="s">
        <v>11036</v>
      </c>
      <c r="P501" s="2" t="s">
        <v>11038</v>
      </c>
      <c r="Q501" s="2">
        <f>AVERAGE(PerfRate[[#This Row],[EnvironmentSatisfaction]],PerfRate[[#This Row],[JobSatisfaction]],PerfRate[[#This Row],[RelationshipSatisfaction]])</f>
        <v>3.6666666666666665</v>
      </c>
      <c r="R501" s="2">
        <f>PerfRate[[#This Row],[ManagerRating]] - PerfRate[[#This Row],[SelfRating]]</f>
        <v>-1</v>
      </c>
    </row>
    <row r="502" spans="1:18">
      <c r="A502" s="2" t="s">
        <v>4809</v>
      </c>
      <c r="B502" s="2" t="s">
        <v>3126</v>
      </c>
      <c r="C502" s="1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  <c r="L502" s="2" t="s">
        <v>11031</v>
      </c>
      <c r="M502" s="2" t="s">
        <v>11031</v>
      </c>
      <c r="N502" s="2" t="s">
        <v>11037</v>
      </c>
      <c r="O502" s="2" t="s">
        <v>11038</v>
      </c>
      <c r="P502" s="2" t="s">
        <v>11038</v>
      </c>
      <c r="Q502" s="2">
        <f>AVERAGE(PerfRate[[#This Row],[EnvironmentSatisfaction]],PerfRate[[#This Row],[JobSatisfaction]],PerfRate[[#This Row],[RelationshipSatisfaction]])</f>
        <v>4.666666666666667</v>
      </c>
      <c r="R502" s="2">
        <f>PerfRate[[#This Row],[ManagerRating]] - PerfRate[[#This Row],[SelfRating]]</f>
        <v>0</v>
      </c>
    </row>
    <row r="503" spans="1:18">
      <c r="A503" s="2" t="s">
        <v>4810</v>
      </c>
      <c r="B503" s="2" t="s">
        <v>493</v>
      </c>
      <c r="C503" s="1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  <c r="L503" s="2" t="s">
        <v>11031</v>
      </c>
      <c r="M503" s="2" t="s">
        <v>11030</v>
      </c>
      <c r="N503" s="2" t="s">
        <v>11036</v>
      </c>
      <c r="O503" s="2" t="s">
        <v>11038</v>
      </c>
      <c r="P503" s="2" t="s">
        <v>11038</v>
      </c>
      <c r="Q503" s="2">
        <f>AVERAGE(PerfRate[[#This Row],[EnvironmentSatisfaction]],PerfRate[[#This Row],[JobSatisfaction]],PerfRate[[#This Row],[RelationshipSatisfaction]])</f>
        <v>4.333333333333333</v>
      </c>
      <c r="R503" s="2">
        <f>PerfRate[[#This Row],[ManagerRating]] - PerfRate[[#This Row],[SelfRating]]</f>
        <v>-1</v>
      </c>
    </row>
    <row r="504" spans="1:18">
      <c r="A504" s="2" t="s">
        <v>4811</v>
      </c>
      <c r="B504" s="2" t="s">
        <v>2131</v>
      </c>
      <c r="C504" s="1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  <c r="L504" s="2" t="s">
        <v>11031</v>
      </c>
      <c r="M504" s="2" t="s">
        <v>11030</v>
      </c>
      <c r="N504" s="2" t="s">
        <v>11038</v>
      </c>
      <c r="O504" s="2" t="s">
        <v>11038</v>
      </c>
      <c r="P504" s="2" t="s">
        <v>11035</v>
      </c>
      <c r="Q504" s="2">
        <f>AVERAGE(PerfRate[[#This Row],[EnvironmentSatisfaction]],PerfRate[[#This Row],[JobSatisfaction]],PerfRate[[#This Row],[RelationshipSatisfaction]])</f>
        <v>4</v>
      </c>
      <c r="R504" s="2">
        <f>PerfRate[[#This Row],[ManagerRating]] - PerfRate[[#This Row],[SelfRating]]</f>
        <v>-1</v>
      </c>
    </row>
    <row r="505" spans="1:18">
      <c r="A505" s="2" t="s">
        <v>4812</v>
      </c>
      <c r="B505" s="2" t="s">
        <v>1198</v>
      </c>
      <c r="C505" s="1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  <c r="L505" s="2" t="s">
        <v>11031</v>
      </c>
      <c r="M505" s="2" t="s">
        <v>11030</v>
      </c>
      <c r="N505" s="2" t="s">
        <v>11036</v>
      </c>
      <c r="O505" s="2" t="s">
        <v>11038</v>
      </c>
      <c r="P505" s="2" t="s">
        <v>11037</v>
      </c>
      <c r="Q505" s="2">
        <f>AVERAGE(PerfRate[[#This Row],[EnvironmentSatisfaction]],PerfRate[[#This Row],[JobSatisfaction]],PerfRate[[#This Row],[RelationshipSatisfaction]])</f>
        <v>4</v>
      </c>
      <c r="R505" s="2">
        <f>PerfRate[[#This Row],[ManagerRating]] - PerfRate[[#This Row],[SelfRating]]</f>
        <v>-1</v>
      </c>
    </row>
    <row r="506" spans="1:18">
      <c r="A506" s="2" t="s">
        <v>4813</v>
      </c>
      <c r="B506" s="2" t="s">
        <v>1006</v>
      </c>
      <c r="C506" s="1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  <c r="L506" s="2" t="s">
        <v>11029</v>
      </c>
      <c r="M506" s="2" t="s">
        <v>11028</v>
      </c>
      <c r="N506" s="2" t="s">
        <v>11036</v>
      </c>
      <c r="O506" s="2" t="s">
        <v>11038</v>
      </c>
      <c r="P506" s="2" t="s">
        <v>11038</v>
      </c>
      <c r="Q506" s="2">
        <f>AVERAGE(PerfRate[[#This Row],[EnvironmentSatisfaction]],PerfRate[[#This Row],[JobSatisfaction]],PerfRate[[#This Row],[RelationshipSatisfaction]])</f>
        <v>4.333333333333333</v>
      </c>
      <c r="R506" s="2">
        <f>PerfRate[[#This Row],[ManagerRating]] - PerfRate[[#This Row],[SelfRating]]</f>
        <v>-1</v>
      </c>
    </row>
    <row r="507" spans="1:18">
      <c r="A507" s="2" t="s">
        <v>4814</v>
      </c>
      <c r="B507" s="2" t="s">
        <v>523</v>
      </c>
      <c r="C507" s="1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  <c r="L507" s="2" t="s">
        <v>11031</v>
      </c>
      <c r="M507" s="2" t="s">
        <v>11030</v>
      </c>
      <c r="N507" s="2" t="s">
        <v>11038</v>
      </c>
      <c r="O507" s="2" t="s">
        <v>11037</v>
      </c>
      <c r="P507" s="2" t="s">
        <v>11038</v>
      </c>
      <c r="Q507" s="2">
        <f>AVERAGE(PerfRate[[#This Row],[EnvironmentSatisfaction]],PerfRate[[#This Row],[JobSatisfaction]],PerfRate[[#This Row],[RelationshipSatisfaction]])</f>
        <v>4.666666666666667</v>
      </c>
      <c r="R507" s="2">
        <f>PerfRate[[#This Row],[ManagerRating]] - PerfRate[[#This Row],[SelfRating]]</f>
        <v>-1</v>
      </c>
    </row>
    <row r="508" spans="1:18">
      <c r="A508" s="2" t="s">
        <v>4815</v>
      </c>
      <c r="B508" s="2" t="s">
        <v>220</v>
      </c>
      <c r="C508" s="1">
        <v>42737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  <c r="L508" s="2" t="s">
        <v>11031</v>
      </c>
      <c r="M508" s="2" t="s">
        <v>11030</v>
      </c>
      <c r="N508" s="2" t="s">
        <v>11037</v>
      </c>
      <c r="O508" s="2" t="s">
        <v>11038</v>
      </c>
      <c r="P508" s="2" t="s">
        <v>11035</v>
      </c>
      <c r="Q508" s="2">
        <f>AVERAGE(PerfRate[[#This Row],[EnvironmentSatisfaction]],PerfRate[[#This Row],[JobSatisfaction]],PerfRate[[#This Row],[RelationshipSatisfaction]])</f>
        <v>3.6666666666666665</v>
      </c>
      <c r="R508" s="2">
        <f>PerfRate[[#This Row],[ManagerRating]] - PerfRate[[#This Row],[SelfRating]]</f>
        <v>-1</v>
      </c>
    </row>
    <row r="509" spans="1:18">
      <c r="A509" s="2" t="s">
        <v>4816</v>
      </c>
      <c r="B509" s="2" t="s">
        <v>714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  <c r="L509" s="2" t="s">
        <v>11030</v>
      </c>
      <c r="M509" s="2" t="s">
        <v>11029</v>
      </c>
      <c r="N509" s="2" t="s">
        <v>11037</v>
      </c>
      <c r="O509" s="2" t="s">
        <v>11036</v>
      </c>
      <c r="P509" s="2" t="s">
        <v>11035</v>
      </c>
      <c r="Q509" s="2">
        <f>AVERAGE(PerfRate[[#This Row],[EnvironmentSatisfaction]],PerfRate[[#This Row],[JobSatisfaction]],PerfRate[[#This Row],[RelationshipSatisfaction]])</f>
        <v>3</v>
      </c>
      <c r="R509" s="2">
        <f>PerfRate[[#This Row],[ManagerRating]] - PerfRate[[#This Row],[SelfRating]]</f>
        <v>-1</v>
      </c>
    </row>
    <row r="510" spans="1:18">
      <c r="A510" s="2" t="s">
        <v>4817</v>
      </c>
      <c r="B510" s="2" t="s">
        <v>122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  <c r="L510" s="2" t="s">
        <v>11031</v>
      </c>
      <c r="M510" s="2" t="s">
        <v>11030</v>
      </c>
      <c r="N510" s="2" t="s">
        <v>11038</v>
      </c>
      <c r="O510" s="2" t="s">
        <v>11038</v>
      </c>
      <c r="P510" s="2" t="s">
        <v>11036</v>
      </c>
      <c r="Q510" s="2">
        <f>AVERAGE(PerfRate[[#This Row],[EnvironmentSatisfaction]],PerfRate[[#This Row],[JobSatisfaction]],PerfRate[[#This Row],[RelationshipSatisfaction]])</f>
        <v>4.333333333333333</v>
      </c>
      <c r="R510" s="2">
        <f>PerfRate[[#This Row],[ManagerRating]] - PerfRate[[#This Row],[SelfRating]]</f>
        <v>-1</v>
      </c>
    </row>
    <row r="511" spans="1:18">
      <c r="A511" s="2" t="s">
        <v>4818</v>
      </c>
      <c r="B511" s="2" t="s">
        <v>1647</v>
      </c>
      <c r="C511" s="1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  <c r="L511" s="2" t="s">
        <v>11030</v>
      </c>
      <c r="M511" s="2" t="s">
        <v>11029</v>
      </c>
      <c r="N511" s="2" t="s">
        <v>11036</v>
      </c>
      <c r="O511" s="2" t="s">
        <v>11035</v>
      </c>
      <c r="P511" s="2" t="s">
        <v>11035</v>
      </c>
      <c r="Q511" s="2">
        <f>AVERAGE(PerfRate[[#This Row],[EnvironmentSatisfaction]],PerfRate[[#This Row],[JobSatisfaction]],PerfRate[[#This Row],[RelationshipSatisfaction]])</f>
        <v>2.3333333333333335</v>
      </c>
      <c r="R511" s="2">
        <f>PerfRate[[#This Row],[ManagerRating]] - PerfRate[[#This Row],[SelfRating]]</f>
        <v>-1</v>
      </c>
    </row>
    <row r="512" spans="1:18">
      <c r="A512" s="2" t="s">
        <v>4819</v>
      </c>
      <c r="B512" s="2" t="s">
        <v>726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  <c r="L512" s="2" t="s">
        <v>11031</v>
      </c>
      <c r="M512" s="2" t="s">
        <v>11030</v>
      </c>
      <c r="N512" s="2" t="s">
        <v>11037</v>
      </c>
      <c r="O512" s="2" t="s">
        <v>11037</v>
      </c>
      <c r="P512" s="2" t="s">
        <v>11038</v>
      </c>
      <c r="Q512" s="2">
        <f>AVERAGE(PerfRate[[#This Row],[EnvironmentSatisfaction]],PerfRate[[#This Row],[JobSatisfaction]],PerfRate[[#This Row],[RelationshipSatisfaction]])</f>
        <v>4.333333333333333</v>
      </c>
      <c r="R512" s="2">
        <f>PerfRate[[#This Row],[ManagerRating]] - PerfRate[[#This Row],[SelfRating]]</f>
        <v>-1</v>
      </c>
    </row>
    <row r="513" spans="1:18">
      <c r="A513" s="2" t="s">
        <v>4820</v>
      </c>
      <c r="B513" s="2" t="s">
        <v>1163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  <c r="L513" s="2" t="s">
        <v>11030</v>
      </c>
      <c r="M513" s="2" t="s">
        <v>11029</v>
      </c>
      <c r="N513" s="2" t="s">
        <v>11038</v>
      </c>
      <c r="O513" s="2" t="s">
        <v>11036</v>
      </c>
      <c r="P513" s="2" t="s">
        <v>11035</v>
      </c>
      <c r="Q513" s="2">
        <f>AVERAGE(PerfRate[[#This Row],[EnvironmentSatisfaction]],PerfRate[[#This Row],[JobSatisfaction]],PerfRate[[#This Row],[RelationshipSatisfaction]])</f>
        <v>3.3333333333333335</v>
      </c>
      <c r="R513" s="2">
        <f>PerfRate[[#This Row],[ManagerRating]] - PerfRate[[#This Row],[SelfRating]]</f>
        <v>-1</v>
      </c>
    </row>
    <row r="514" spans="1:18">
      <c r="A514" s="2" t="s">
        <v>4821</v>
      </c>
      <c r="B514" s="2" t="s">
        <v>1048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  <c r="L514" s="2" t="s">
        <v>11029</v>
      </c>
      <c r="M514" s="2" t="s">
        <v>11028</v>
      </c>
      <c r="N514" s="2" t="s">
        <v>11036</v>
      </c>
      <c r="O514" s="2" t="s">
        <v>11038</v>
      </c>
      <c r="P514" s="2" t="s">
        <v>11038</v>
      </c>
      <c r="Q514" s="2">
        <f>AVERAGE(PerfRate[[#This Row],[EnvironmentSatisfaction]],PerfRate[[#This Row],[JobSatisfaction]],PerfRate[[#This Row],[RelationshipSatisfaction]])</f>
        <v>4.333333333333333</v>
      </c>
      <c r="R514" s="2">
        <f>PerfRate[[#This Row],[ManagerRating]] - PerfRate[[#This Row],[SelfRating]]</f>
        <v>-1</v>
      </c>
    </row>
    <row r="515" spans="1:18">
      <c r="A515" s="2" t="s">
        <v>4822</v>
      </c>
      <c r="B515" s="2" t="s">
        <v>1538</v>
      </c>
      <c r="C515" s="1">
        <v>42796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  <c r="L515" s="2" t="s">
        <v>11029</v>
      </c>
      <c r="M515" s="2" t="s">
        <v>11029</v>
      </c>
      <c r="N515" s="2" t="s">
        <v>11038</v>
      </c>
      <c r="O515" s="2" t="s">
        <v>11037</v>
      </c>
      <c r="P515" s="2" t="s">
        <v>11037</v>
      </c>
      <c r="Q515" s="2">
        <f>AVERAGE(PerfRate[[#This Row],[EnvironmentSatisfaction]],PerfRate[[#This Row],[JobSatisfaction]],PerfRate[[#This Row],[RelationshipSatisfaction]])</f>
        <v>4.333333333333333</v>
      </c>
      <c r="R515" s="2">
        <f>PerfRate[[#This Row],[ManagerRating]] - PerfRate[[#This Row],[SelfRating]]</f>
        <v>0</v>
      </c>
    </row>
    <row r="516" spans="1:18">
      <c r="A516" s="2" t="s">
        <v>4823</v>
      </c>
      <c r="B516" s="2" t="s">
        <v>244</v>
      </c>
      <c r="C516" s="1">
        <v>42796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  <c r="L516" s="2" t="s">
        <v>11030</v>
      </c>
      <c r="M516" s="2" t="s">
        <v>11030</v>
      </c>
      <c r="N516" s="2" t="s">
        <v>11038</v>
      </c>
      <c r="O516" s="2" t="s">
        <v>11037</v>
      </c>
      <c r="P516" s="2" t="s">
        <v>11037</v>
      </c>
      <c r="Q516" s="2">
        <f>AVERAGE(PerfRate[[#This Row],[EnvironmentSatisfaction]],PerfRate[[#This Row],[JobSatisfaction]],PerfRate[[#This Row],[RelationshipSatisfaction]])</f>
        <v>4.333333333333333</v>
      </c>
      <c r="R516" s="2">
        <f>PerfRate[[#This Row],[ManagerRating]] - PerfRate[[#This Row],[SelfRating]]</f>
        <v>0</v>
      </c>
    </row>
    <row r="517" spans="1:18">
      <c r="A517" s="2" t="s">
        <v>4824</v>
      </c>
      <c r="B517" s="2" t="s">
        <v>496</v>
      </c>
      <c r="C517" s="1">
        <v>42827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  <c r="L517" s="2" t="s">
        <v>11029</v>
      </c>
      <c r="M517" s="2" t="s">
        <v>11029</v>
      </c>
      <c r="N517" s="2" t="s">
        <v>11038</v>
      </c>
      <c r="O517" s="2" t="s">
        <v>11038</v>
      </c>
      <c r="P517" s="2" t="s">
        <v>11035</v>
      </c>
      <c r="Q517" s="2">
        <f>AVERAGE(PerfRate[[#This Row],[EnvironmentSatisfaction]],PerfRate[[#This Row],[JobSatisfaction]],PerfRate[[#This Row],[RelationshipSatisfaction]])</f>
        <v>4</v>
      </c>
      <c r="R517" s="2">
        <f>PerfRate[[#This Row],[ManagerRating]] - PerfRate[[#This Row],[SelfRating]]</f>
        <v>0</v>
      </c>
    </row>
    <row r="518" spans="1:18">
      <c r="A518" s="2" t="s">
        <v>4825</v>
      </c>
      <c r="B518" s="2" t="s">
        <v>676</v>
      </c>
      <c r="C518" s="1">
        <v>42827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  <c r="L518" s="2" t="s">
        <v>11031</v>
      </c>
      <c r="M518" s="2" t="s">
        <v>11031</v>
      </c>
      <c r="N518" s="2" t="s">
        <v>11038</v>
      </c>
      <c r="O518" s="2" t="s">
        <v>11035</v>
      </c>
      <c r="P518" s="2" t="s">
        <v>11038</v>
      </c>
      <c r="Q518" s="2">
        <f>AVERAGE(PerfRate[[#This Row],[EnvironmentSatisfaction]],PerfRate[[#This Row],[JobSatisfaction]],PerfRate[[#This Row],[RelationshipSatisfaction]])</f>
        <v>4</v>
      </c>
      <c r="R518" s="2">
        <f>PerfRate[[#This Row],[ManagerRating]] - PerfRate[[#This Row],[SelfRating]]</f>
        <v>0</v>
      </c>
    </row>
    <row r="519" spans="1:18">
      <c r="A519" s="2" t="s">
        <v>4826</v>
      </c>
      <c r="B519" s="2" t="s">
        <v>3818</v>
      </c>
      <c r="C519" s="1">
        <v>42827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  <c r="L519" s="2" t="s">
        <v>11029</v>
      </c>
      <c r="M519" s="2" t="s">
        <v>11028</v>
      </c>
      <c r="N519" s="2" t="s">
        <v>11038</v>
      </c>
      <c r="O519" s="2" t="s">
        <v>11037</v>
      </c>
      <c r="P519" s="2" t="s">
        <v>11038</v>
      </c>
      <c r="Q519" s="2">
        <f>AVERAGE(PerfRate[[#This Row],[EnvironmentSatisfaction]],PerfRate[[#This Row],[JobSatisfaction]],PerfRate[[#This Row],[RelationshipSatisfaction]])</f>
        <v>4.666666666666667</v>
      </c>
      <c r="R519" s="2">
        <f>PerfRate[[#This Row],[ManagerRating]] - PerfRate[[#This Row],[SelfRating]]</f>
        <v>-1</v>
      </c>
    </row>
    <row r="520" spans="1:18">
      <c r="A520" s="2" t="s">
        <v>4827</v>
      </c>
      <c r="B520" s="2" t="s">
        <v>3105</v>
      </c>
      <c r="C520" s="1">
        <v>42827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  <c r="L520" s="2" t="s">
        <v>11030</v>
      </c>
      <c r="M520" s="2" t="s">
        <v>11030</v>
      </c>
      <c r="N520" s="2" t="s">
        <v>11038</v>
      </c>
      <c r="O520" s="2" t="s">
        <v>11036</v>
      </c>
      <c r="P520" s="2" t="s">
        <v>11037</v>
      </c>
      <c r="Q520" s="2">
        <f>AVERAGE(PerfRate[[#This Row],[EnvironmentSatisfaction]],PerfRate[[#This Row],[JobSatisfaction]],PerfRate[[#This Row],[RelationshipSatisfaction]])</f>
        <v>4</v>
      </c>
      <c r="R520" s="2">
        <f>PerfRate[[#This Row],[ManagerRating]] - PerfRate[[#This Row],[SelfRating]]</f>
        <v>0</v>
      </c>
    </row>
    <row r="521" spans="1:18">
      <c r="A521" s="2" t="s">
        <v>4828</v>
      </c>
      <c r="B521" s="2" t="s">
        <v>1224</v>
      </c>
      <c r="C521" s="1">
        <v>42827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  <c r="L521" s="2" t="s">
        <v>11030</v>
      </c>
      <c r="M521" s="2" t="s">
        <v>11029</v>
      </c>
      <c r="N521" s="2" t="s">
        <v>11036</v>
      </c>
      <c r="O521" s="2" t="s">
        <v>11037</v>
      </c>
      <c r="P521" s="2" t="s">
        <v>11038</v>
      </c>
      <c r="Q521" s="2">
        <f>AVERAGE(PerfRate[[#This Row],[EnvironmentSatisfaction]],PerfRate[[#This Row],[JobSatisfaction]],PerfRate[[#This Row],[RelationshipSatisfaction]])</f>
        <v>4</v>
      </c>
      <c r="R521" s="2">
        <f>PerfRate[[#This Row],[ManagerRating]] - PerfRate[[#This Row],[SelfRating]]</f>
        <v>-1</v>
      </c>
    </row>
    <row r="522" spans="1:18">
      <c r="A522" s="2" t="s">
        <v>4829</v>
      </c>
      <c r="B522" s="2" t="s">
        <v>458</v>
      </c>
      <c r="C522" s="1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  <c r="L522" s="2" t="s">
        <v>11029</v>
      </c>
      <c r="M522" s="2" t="s">
        <v>11028</v>
      </c>
      <c r="N522" s="2" t="s">
        <v>11037</v>
      </c>
      <c r="O522" s="2" t="s">
        <v>11038</v>
      </c>
      <c r="P522" s="2" t="s">
        <v>11038</v>
      </c>
      <c r="Q522" s="2">
        <f>AVERAGE(PerfRate[[#This Row],[EnvironmentSatisfaction]],PerfRate[[#This Row],[JobSatisfaction]],PerfRate[[#This Row],[RelationshipSatisfaction]])</f>
        <v>4.666666666666667</v>
      </c>
      <c r="R522" s="2">
        <f>PerfRate[[#This Row],[ManagerRating]] - PerfRate[[#This Row],[SelfRating]]</f>
        <v>-1</v>
      </c>
    </row>
    <row r="523" spans="1:18">
      <c r="A523" s="2" t="s">
        <v>4830</v>
      </c>
      <c r="B523" s="2" t="s">
        <v>226</v>
      </c>
      <c r="C523" s="1">
        <v>42857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  <c r="L523" s="2" t="s">
        <v>11029</v>
      </c>
      <c r="M523" s="2" t="s">
        <v>11029</v>
      </c>
      <c r="N523" s="2" t="s">
        <v>11036</v>
      </c>
      <c r="O523" s="2" t="s">
        <v>11037</v>
      </c>
      <c r="P523" s="2" t="s">
        <v>11035</v>
      </c>
      <c r="Q523" s="2">
        <f>AVERAGE(PerfRate[[#This Row],[EnvironmentSatisfaction]],PerfRate[[#This Row],[JobSatisfaction]],PerfRate[[#This Row],[RelationshipSatisfaction]])</f>
        <v>3</v>
      </c>
      <c r="R523" s="2">
        <f>PerfRate[[#This Row],[ManagerRating]] - PerfRate[[#This Row],[SelfRating]]</f>
        <v>0</v>
      </c>
    </row>
    <row r="524" spans="1:18">
      <c r="A524" s="2" t="s">
        <v>4831</v>
      </c>
      <c r="B524" s="2" t="s">
        <v>81</v>
      </c>
      <c r="C524" s="1">
        <v>42857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  <c r="L524" s="2" t="s">
        <v>11029</v>
      </c>
      <c r="M524" s="2" t="s">
        <v>11028</v>
      </c>
      <c r="N524" s="2" t="s">
        <v>11036</v>
      </c>
      <c r="O524" s="2" t="s">
        <v>11037</v>
      </c>
      <c r="P524" s="2" t="s">
        <v>11035</v>
      </c>
      <c r="Q524" s="2">
        <f>AVERAGE(PerfRate[[#This Row],[EnvironmentSatisfaction]],PerfRate[[#This Row],[JobSatisfaction]],PerfRate[[#This Row],[RelationshipSatisfaction]])</f>
        <v>3</v>
      </c>
      <c r="R524" s="2">
        <f>PerfRate[[#This Row],[ManagerRating]] - PerfRate[[#This Row],[SelfRating]]</f>
        <v>-1</v>
      </c>
    </row>
    <row r="525" spans="1:18">
      <c r="A525" s="2" t="s">
        <v>4832</v>
      </c>
      <c r="B525" s="2" t="s">
        <v>335</v>
      </c>
      <c r="C525" s="1">
        <v>42857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  <c r="L525" s="2" t="s">
        <v>11030</v>
      </c>
      <c r="M525" s="2" t="s">
        <v>11029</v>
      </c>
      <c r="N525" s="2" t="s">
        <v>11036</v>
      </c>
      <c r="O525" s="2" t="s">
        <v>11036</v>
      </c>
      <c r="P525" s="2" t="s">
        <v>11037</v>
      </c>
      <c r="Q525" s="2">
        <f>AVERAGE(PerfRate[[#This Row],[EnvironmentSatisfaction]],PerfRate[[#This Row],[JobSatisfaction]],PerfRate[[#This Row],[RelationshipSatisfaction]])</f>
        <v>3.3333333333333335</v>
      </c>
      <c r="R525" s="2">
        <f>PerfRate[[#This Row],[ManagerRating]] - PerfRate[[#This Row],[SelfRating]]</f>
        <v>-1</v>
      </c>
    </row>
    <row r="526" spans="1:18">
      <c r="A526" s="2" t="s">
        <v>4833</v>
      </c>
      <c r="B526" s="2" t="s">
        <v>253</v>
      </c>
      <c r="C526" s="1">
        <v>42949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  <c r="L526" s="2" t="s">
        <v>11031</v>
      </c>
      <c r="M526" s="2" t="s">
        <v>11031</v>
      </c>
      <c r="N526" s="2" t="s">
        <v>11038</v>
      </c>
      <c r="O526" s="2" t="s">
        <v>11037</v>
      </c>
      <c r="P526" s="2" t="s">
        <v>11036</v>
      </c>
      <c r="Q526" s="2">
        <f>AVERAGE(PerfRate[[#This Row],[EnvironmentSatisfaction]],PerfRate[[#This Row],[JobSatisfaction]],PerfRate[[#This Row],[RelationshipSatisfaction]])</f>
        <v>4</v>
      </c>
      <c r="R526" s="2">
        <f>PerfRate[[#This Row],[ManagerRating]] - PerfRate[[#This Row],[SelfRating]]</f>
        <v>0</v>
      </c>
    </row>
    <row r="527" spans="1:18">
      <c r="A527" s="2" t="s">
        <v>4834</v>
      </c>
      <c r="B527" s="2" t="s">
        <v>198</v>
      </c>
      <c r="C527" s="1">
        <v>42949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  <c r="L527" s="2" t="s">
        <v>11031</v>
      </c>
      <c r="M527" s="2" t="s">
        <v>11030</v>
      </c>
      <c r="N527" s="2" t="s">
        <v>11036</v>
      </c>
      <c r="O527" s="2" t="s">
        <v>11038</v>
      </c>
      <c r="P527" s="2" t="s">
        <v>11037</v>
      </c>
      <c r="Q527" s="2">
        <f>AVERAGE(PerfRate[[#This Row],[EnvironmentSatisfaction]],PerfRate[[#This Row],[JobSatisfaction]],PerfRate[[#This Row],[RelationshipSatisfaction]])</f>
        <v>4</v>
      </c>
      <c r="R527" s="2">
        <f>PerfRate[[#This Row],[ManagerRating]] - PerfRate[[#This Row],[SelfRating]]</f>
        <v>-1</v>
      </c>
    </row>
    <row r="528" spans="1:18">
      <c r="A528" s="2" t="s">
        <v>4835</v>
      </c>
      <c r="B528" s="2" t="s">
        <v>1246</v>
      </c>
      <c r="C528" s="1">
        <v>42949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  <c r="L528" s="2" t="s">
        <v>11030</v>
      </c>
      <c r="M528" s="2" t="s">
        <v>11029</v>
      </c>
      <c r="N528" s="2" t="s">
        <v>11038</v>
      </c>
      <c r="O528" s="2" t="s">
        <v>11036</v>
      </c>
      <c r="P528" s="2" t="s">
        <v>11038</v>
      </c>
      <c r="Q528" s="2">
        <f>AVERAGE(PerfRate[[#This Row],[EnvironmentSatisfaction]],PerfRate[[#This Row],[JobSatisfaction]],PerfRate[[#This Row],[RelationshipSatisfaction]])</f>
        <v>4.333333333333333</v>
      </c>
      <c r="R528" s="2">
        <f>PerfRate[[#This Row],[ManagerRating]] - PerfRate[[#This Row],[SelfRating]]</f>
        <v>-1</v>
      </c>
    </row>
    <row r="529" spans="1:18">
      <c r="A529" s="2" t="s">
        <v>4836</v>
      </c>
      <c r="B529" s="2" t="s">
        <v>256</v>
      </c>
      <c r="C529" s="1">
        <v>42980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  <c r="L529" s="2" t="s">
        <v>11029</v>
      </c>
      <c r="M529" s="2" t="s">
        <v>11029</v>
      </c>
      <c r="N529" s="2" t="s">
        <v>11036</v>
      </c>
      <c r="O529" s="2" t="s">
        <v>11035</v>
      </c>
      <c r="P529" s="2" t="s">
        <v>11036</v>
      </c>
      <c r="Q529" s="2">
        <f>AVERAGE(PerfRate[[#This Row],[EnvironmentSatisfaction]],PerfRate[[#This Row],[JobSatisfaction]],PerfRate[[#This Row],[RelationshipSatisfaction]])</f>
        <v>2.6666666666666665</v>
      </c>
      <c r="R529" s="2">
        <f>PerfRate[[#This Row],[ManagerRating]] - PerfRate[[#This Row],[SelfRating]]</f>
        <v>0</v>
      </c>
    </row>
    <row r="530" spans="1:18">
      <c r="A530" s="2" t="s">
        <v>4837</v>
      </c>
      <c r="B530" s="2" t="s">
        <v>2109</v>
      </c>
      <c r="C530" s="1">
        <v>43010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  <c r="L530" s="2" t="s">
        <v>11031</v>
      </c>
      <c r="M530" s="2" t="s">
        <v>11030</v>
      </c>
      <c r="N530" s="2" t="s">
        <v>11036</v>
      </c>
      <c r="O530" s="2" t="s">
        <v>11037</v>
      </c>
      <c r="P530" s="2" t="s">
        <v>11038</v>
      </c>
      <c r="Q530" s="2">
        <f>AVERAGE(PerfRate[[#This Row],[EnvironmentSatisfaction]],PerfRate[[#This Row],[JobSatisfaction]],PerfRate[[#This Row],[RelationshipSatisfaction]])</f>
        <v>4</v>
      </c>
      <c r="R530" s="2">
        <f>PerfRate[[#This Row],[ManagerRating]] - PerfRate[[#This Row],[SelfRating]]</f>
        <v>-1</v>
      </c>
    </row>
    <row r="531" spans="1:18">
      <c r="A531" s="2" t="s">
        <v>4838</v>
      </c>
      <c r="B531" s="2" t="s">
        <v>1981</v>
      </c>
      <c r="C531" s="1">
        <v>43010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  <c r="L531" s="2" t="s">
        <v>11029</v>
      </c>
      <c r="M531" s="2" t="s">
        <v>11028</v>
      </c>
      <c r="N531" s="2" t="s">
        <v>11036</v>
      </c>
      <c r="O531" s="2" t="s">
        <v>11036</v>
      </c>
      <c r="P531" s="2" t="s">
        <v>11036</v>
      </c>
      <c r="Q531" s="2">
        <f>AVERAGE(PerfRate[[#This Row],[EnvironmentSatisfaction]],PerfRate[[#This Row],[JobSatisfaction]],PerfRate[[#This Row],[RelationshipSatisfaction]])</f>
        <v>3</v>
      </c>
      <c r="R531" s="2">
        <f>PerfRate[[#This Row],[ManagerRating]] - PerfRate[[#This Row],[SelfRating]]</f>
        <v>-1</v>
      </c>
    </row>
    <row r="532" spans="1:18">
      <c r="A532" s="2" t="s">
        <v>4839</v>
      </c>
      <c r="B532" s="2" t="s">
        <v>658</v>
      </c>
      <c r="C532" s="1">
        <v>43010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  <c r="L532" s="2" t="s">
        <v>11030</v>
      </c>
      <c r="M532" s="2" t="s">
        <v>11030</v>
      </c>
      <c r="N532" s="2" t="s">
        <v>11036</v>
      </c>
      <c r="O532" s="2" t="s">
        <v>11035</v>
      </c>
      <c r="P532" s="2" t="s">
        <v>11036</v>
      </c>
      <c r="Q532" s="2">
        <f>AVERAGE(PerfRate[[#This Row],[EnvironmentSatisfaction]],PerfRate[[#This Row],[JobSatisfaction]],PerfRate[[#This Row],[RelationshipSatisfaction]])</f>
        <v>2.6666666666666665</v>
      </c>
      <c r="R532" s="2">
        <f>PerfRate[[#This Row],[ManagerRating]] - PerfRate[[#This Row],[SelfRating]]</f>
        <v>0</v>
      </c>
    </row>
    <row r="533" spans="1:18">
      <c r="A533" s="2" t="s">
        <v>4840</v>
      </c>
      <c r="B533" s="2" t="s">
        <v>1927</v>
      </c>
      <c r="C533" s="1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  <c r="L533" s="2" t="s">
        <v>11030</v>
      </c>
      <c r="M533" s="2" t="s">
        <v>11029</v>
      </c>
      <c r="N533" s="2" t="s">
        <v>11037</v>
      </c>
      <c r="O533" s="2" t="s">
        <v>11036</v>
      </c>
      <c r="P533" s="2" t="s">
        <v>11038</v>
      </c>
      <c r="Q533" s="2">
        <f>AVERAGE(PerfRate[[#This Row],[EnvironmentSatisfaction]],PerfRate[[#This Row],[JobSatisfaction]],PerfRate[[#This Row],[RelationshipSatisfaction]])</f>
        <v>4</v>
      </c>
      <c r="R533" s="2">
        <f>PerfRate[[#This Row],[ManagerRating]] - PerfRate[[#This Row],[SelfRating]]</f>
        <v>-1</v>
      </c>
    </row>
    <row r="534" spans="1:18">
      <c r="A534" s="2" t="s">
        <v>4841</v>
      </c>
      <c r="B534" s="2" t="s">
        <v>4104</v>
      </c>
      <c r="C534" s="1">
        <v>43041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  <c r="L534" s="2" t="s">
        <v>11029</v>
      </c>
      <c r="M534" s="2" t="s">
        <v>11029</v>
      </c>
      <c r="N534" s="2" t="s">
        <v>11037</v>
      </c>
      <c r="O534" s="2" t="s">
        <v>11037</v>
      </c>
      <c r="P534" s="2" t="s">
        <v>11035</v>
      </c>
      <c r="Q534" s="2">
        <f>AVERAGE(PerfRate[[#This Row],[EnvironmentSatisfaction]],PerfRate[[#This Row],[JobSatisfaction]],PerfRate[[#This Row],[RelationshipSatisfaction]])</f>
        <v>3.3333333333333335</v>
      </c>
      <c r="R534" s="2">
        <f>PerfRate[[#This Row],[ManagerRating]] - PerfRate[[#This Row],[SelfRating]]</f>
        <v>0</v>
      </c>
    </row>
    <row r="535" spans="1:18">
      <c r="A535" s="2" t="s">
        <v>4842</v>
      </c>
      <c r="B535" s="2" t="s">
        <v>607</v>
      </c>
      <c r="C535" s="1">
        <v>43041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  <c r="L535" s="2" t="s">
        <v>11029</v>
      </c>
      <c r="M535" s="2" t="s">
        <v>11028</v>
      </c>
      <c r="N535" s="2" t="s">
        <v>11036</v>
      </c>
      <c r="O535" s="2" t="s">
        <v>11035</v>
      </c>
      <c r="P535" s="2" t="s">
        <v>11035</v>
      </c>
      <c r="Q535" s="2">
        <f>AVERAGE(PerfRate[[#This Row],[EnvironmentSatisfaction]],PerfRate[[#This Row],[JobSatisfaction]],PerfRate[[#This Row],[RelationshipSatisfaction]])</f>
        <v>2.3333333333333335</v>
      </c>
      <c r="R535" s="2">
        <f>PerfRate[[#This Row],[ManagerRating]] - PerfRate[[#This Row],[SelfRating]]</f>
        <v>-1</v>
      </c>
    </row>
    <row r="536" spans="1:18">
      <c r="A536" s="2" t="s">
        <v>4843</v>
      </c>
      <c r="B536" s="2" t="s">
        <v>750</v>
      </c>
      <c r="C536" s="1">
        <v>43071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  <c r="L536" s="2" t="s">
        <v>11029</v>
      </c>
      <c r="M536" s="2" t="s">
        <v>11029</v>
      </c>
      <c r="N536" s="2" t="s">
        <v>11036</v>
      </c>
      <c r="O536" s="2" t="s">
        <v>11036</v>
      </c>
      <c r="P536" s="2" t="s">
        <v>11036</v>
      </c>
      <c r="Q536" s="2">
        <f>AVERAGE(PerfRate[[#This Row],[EnvironmentSatisfaction]],PerfRate[[#This Row],[JobSatisfaction]],PerfRate[[#This Row],[RelationshipSatisfaction]])</f>
        <v>3</v>
      </c>
      <c r="R536" s="2">
        <f>PerfRate[[#This Row],[ManagerRating]] - PerfRate[[#This Row],[SelfRating]]</f>
        <v>0</v>
      </c>
    </row>
    <row r="537" spans="1:18">
      <c r="A537" s="2" t="s">
        <v>4844</v>
      </c>
      <c r="B537" s="2" t="s">
        <v>1698</v>
      </c>
      <c r="C537" s="1">
        <v>43071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  <c r="L537" s="2" t="s">
        <v>11029</v>
      </c>
      <c r="M537" s="2" t="s">
        <v>11028</v>
      </c>
      <c r="N537" s="2" t="s">
        <v>11037</v>
      </c>
      <c r="O537" s="2" t="s">
        <v>11035</v>
      </c>
      <c r="P537" s="2" t="s">
        <v>11038</v>
      </c>
      <c r="Q537" s="2">
        <f>AVERAGE(PerfRate[[#This Row],[EnvironmentSatisfaction]],PerfRate[[#This Row],[JobSatisfaction]],PerfRate[[#This Row],[RelationshipSatisfaction]])</f>
        <v>3.6666666666666665</v>
      </c>
      <c r="R537" s="2">
        <f>PerfRate[[#This Row],[ManagerRating]] - PerfRate[[#This Row],[SelfRating]]</f>
        <v>-1</v>
      </c>
    </row>
    <row r="538" spans="1:18">
      <c r="A538" s="2" t="s">
        <v>4845</v>
      </c>
      <c r="B538" s="2" t="s">
        <v>1124</v>
      </c>
      <c r="C538" s="1">
        <v>43071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  <c r="L538" s="2" t="s">
        <v>11029</v>
      </c>
      <c r="M538" s="2" t="s">
        <v>11028</v>
      </c>
      <c r="N538" s="2" t="s">
        <v>11037</v>
      </c>
      <c r="O538" s="2" t="s">
        <v>11037</v>
      </c>
      <c r="P538" s="2" t="s">
        <v>11035</v>
      </c>
      <c r="Q538" s="2">
        <f>AVERAGE(PerfRate[[#This Row],[EnvironmentSatisfaction]],PerfRate[[#This Row],[JobSatisfaction]],PerfRate[[#This Row],[RelationshipSatisfaction]])</f>
        <v>3.3333333333333335</v>
      </c>
      <c r="R538" s="2">
        <f>PerfRate[[#This Row],[ManagerRating]] - PerfRate[[#This Row],[SelfRating]]</f>
        <v>-1</v>
      </c>
    </row>
    <row r="539" spans="1:18">
      <c r="A539" s="2" t="s">
        <v>4846</v>
      </c>
      <c r="B539" s="2" t="s">
        <v>1669</v>
      </c>
      <c r="C539" s="1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  <c r="L539" s="2" t="s">
        <v>11031</v>
      </c>
      <c r="M539" s="2" t="s">
        <v>11030</v>
      </c>
      <c r="N539" s="2" t="s">
        <v>11036</v>
      </c>
      <c r="O539" s="2" t="s">
        <v>11038</v>
      </c>
      <c r="P539" s="2" t="s">
        <v>11036</v>
      </c>
      <c r="Q539" s="2">
        <f>AVERAGE(PerfRate[[#This Row],[EnvironmentSatisfaction]],PerfRate[[#This Row],[JobSatisfaction]],PerfRate[[#This Row],[RelationshipSatisfaction]])</f>
        <v>3.6666666666666665</v>
      </c>
      <c r="R539" s="2">
        <f>PerfRate[[#This Row],[ManagerRating]] - PerfRate[[#This Row],[SelfRating]]</f>
        <v>-1</v>
      </c>
    </row>
    <row r="540" spans="1:18">
      <c r="A540" s="2" t="s">
        <v>4847</v>
      </c>
      <c r="B540" s="2" t="s">
        <v>601</v>
      </c>
      <c r="C540" s="1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  <c r="L540" s="2" t="s">
        <v>11029</v>
      </c>
      <c r="M540" s="2" t="s">
        <v>11028</v>
      </c>
      <c r="N540" s="2" t="s">
        <v>11038</v>
      </c>
      <c r="O540" s="2" t="s">
        <v>11035</v>
      </c>
      <c r="P540" s="2" t="s">
        <v>11036</v>
      </c>
      <c r="Q540" s="2">
        <f>AVERAGE(PerfRate[[#This Row],[EnvironmentSatisfaction]],PerfRate[[#This Row],[JobSatisfaction]],PerfRate[[#This Row],[RelationshipSatisfaction]])</f>
        <v>3.3333333333333335</v>
      </c>
      <c r="R540" s="2">
        <f>PerfRate[[#This Row],[ManagerRating]] - PerfRate[[#This Row],[SelfRating]]</f>
        <v>-1</v>
      </c>
    </row>
    <row r="541" spans="1:18">
      <c r="A541" s="2" t="s">
        <v>4848</v>
      </c>
      <c r="B541" s="2" t="s">
        <v>1195</v>
      </c>
      <c r="C541" s="1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  <c r="L541" s="2" t="s">
        <v>11030</v>
      </c>
      <c r="M541" s="2" t="s">
        <v>11029</v>
      </c>
      <c r="N541" s="2" t="s">
        <v>11036</v>
      </c>
      <c r="O541" s="2" t="s">
        <v>11035</v>
      </c>
      <c r="P541" s="2" t="s">
        <v>11035</v>
      </c>
      <c r="Q541" s="2">
        <f>AVERAGE(PerfRate[[#This Row],[EnvironmentSatisfaction]],PerfRate[[#This Row],[JobSatisfaction]],PerfRate[[#This Row],[RelationshipSatisfaction]])</f>
        <v>2.3333333333333335</v>
      </c>
      <c r="R541" s="2">
        <f>PerfRate[[#This Row],[ManagerRating]] - PerfRate[[#This Row],[SelfRating]]</f>
        <v>-1</v>
      </c>
    </row>
    <row r="542" spans="1:18">
      <c r="A542" s="2" t="s">
        <v>4849</v>
      </c>
      <c r="B542" s="2" t="s">
        <v>98</v>
      </c>
      <c r="C542" s="1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  <c r="L542" s="2" t="s">
        <v>11031</v>
      </c>
      <c r="M542" s="2" t="s">
        <v>11030</v>
      </c>
      <c r="N542" s="2" t="s">
        <v>11037</v>
      </c>
      <c r="O542" s="2" t="s">
        <v>11038</v>
      </c>
      <c r="P542" s="2" t="s">
        <v>11038</v>
      </c>
      <c r="Q542" s="2">
        <f>AVERAGE(PerfRate[[#This Row],[EnvironmentSatisfaction]],PerfRate[[#This Row],[JobSatisfaction]],PerfRate[[#This Row],[RelationshipSatisfaction]])</f>
        <v>4.666666666666667</v>
      </c>
      <c r="R542" s="2">
        <f>PerfRate[[#This Row],[ManagerRating]] - PerfRate[[#This Row],[SelfRating]]</f>
        <v>-1</v>
      </c>
    </row>
    <row r="543" spans="1:18">
      <c r="A543" s="2" t="s">
        <v>4850</v>
      </c>
      <c r="B543" s="2" t="s">
        <v>102</v>
      </c>
      <c r="C543" s="1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  <c r="L543" s="2" t="s">
        <v>11031</v>
      </c>
      <c r="M543" s="2" t="s">
        <v>11030</v>
      </c>
      <c r="N543" s="2" t="s">
        <v>11036</v>
      </c>
      <c r="O543" s="2" t="s">
        <v>11036</v>
      </c>
      <c r="P543" s="2" t="s">
        <v>11036</v>
      </c>
      <c r="Q543" s="2">
        <f>AVERAGE(PerfRate[[#This Row],[EnvironmentSatisfaction]],PerfRate[[#This Row],[JobSatisfaction]],PerfRate[[#This Row],[RelationshipSatisfaction]])</f>
        <v>3</v>
      </c>
      <c r="R543" s="2">
        <f>PerfRate[[#This Row],[ManagerRating]] - PerfRate[[#This Row],[SelfRating]]</f>
        <v>-1</v>
      </c>
    </row>
    <row r="544" spans="1:18">
      <c r="A544" s="2" t="s">
        <v>4851</v>
      </c>
      <c r="B544" s="2" t="s">
        <v>2464</v>
      </c>
      <c r="C544" s="1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  <c r="L544" s="2" t="s">
        <v>11031</v>
      </c>
      <c r="M544" s="2" t="s">
        <v>11030</v>
      </c>
      <c r="N544" s="2" t="s">
        <v>11036</v>
      </c>
      <c r="O544" s="2" t="s">
        <v>11036</v>
      </c>
      <c r="P544" s="2" t="s">
        <v>11037</v>
      </c>
      <c r="Q544" s="2">
        <f>AVERAGE(PerfRate[[#This Row],[EnvironmentSatisfaction]],PerfRate[[#This Row],[JobSatisfaction]],PerfRate[[#This Row],[RelationshipSatisfaction]])</f>
        <v>3.3333333333333335</v>
      </c>
      <c r="R544" s="2">
        <f>PerfRate[[#This Row],[ManagerRating]] - PerfRate[[#This Row],[SelfRating]]</f>
        <v>-1</v>
      </c>
    </row>
    <row r="545" spans="1:18">
      <c r="A545" s="2" t="s">
        <v>4852</v>
      </c>
      <c r="B545" s="2" t="s">
        <v>717</v>
      </c>
      <c r="C545" s="1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  <c r="L545" s="2" t="s">
        <v>11031</v>
      </c>
      <c r="M545" s="2" t="s">
        <v>11030</v>
      </c>
      <c r="N545" s="2" t="s">
        <v>11037</v>
      </c>
      <c r="O545" s="2" t="s">
        <v>11036</v>
      </c>
      <c r="P545" s="2" t="s">
        <v>11037</v>
      </c>
      <c r="Q545" s="2">
        <f>AVERAGE(PerfRate[[#This Row],[EnvironmentSatisfaction]],PerfRate[[#This Row],[JobSatisfaction]],PerfRate[[#This Row],[RelationshipSatisfaction]])</f>
        <v>3.6666666666666665</v>
      </c>
      <c r="R545" s="2">
        <f>PerfRate[[#This Row],[ManagerRating]] - PerfRate[[#This Row],[SelfRating]]</f>
        <v>-1</v>
      </c>
    </row>
    <row r="546" spans="1:18">
      <c r="A546" s="2" t="s">
        <v>4853</v>
      </c>
      <c r="B546" s="2" t="s">
        <v>1154</v>
      </c>
      <c r="C546" s="1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  <c r="L546" s="2" t="s">
        <v>11029</v>
      </c>
      <c r="M546" s="2" t="s">
        <v>11028</v>
      </c>
      <c r="N546" s="2" t="s">
        <v>11037</v>
      </c>
      <c r="O546" s="2" t="s">
        <v>11035</v>
      </c>
      <c r="P546" s="2" t="s">
        <v>11038</v>
      </c>
      <c r="Q546" s="2">
        <f>AVERAGE(PerfRate[[#This Row],[EnvironmentSatisfaction]],PerfRate[[#This Row],[JobSatisfaction]],PerfRate[[#This Row],[RelationshipSatisfaction]])</f>
        <v>3.6666666666666665</v>
      </c>
      <c r="R546" s="2">
        <f>PerfRate[[#This Row],[ManagerRating]] - PerfRate[[#This Row],[SelfRating]]</f>
        <v>-1</v>
      </c>
    </row>
    <row r="547" spans="1:18">
      <c r="A547" s="2" t="s">
        <v>4854</v>
      </c>
      <c r="B547" s="2" t="s">
        <v>529</v>
      </c>
      <c r="C547" s="1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  <c r="L547" s="2" t="s">
        <v>11031</v>
      </c>
      <c r="M547" s="2" t="s">
        <v>11031</v>
      </c>
      <c r="N547" s="2" t="s">
        <v>11038</v>
      </c>
      <c r="O547" s="2" t="s">
        <v>11037</v>
      </c>
      <c r="P547" s="2" t="s">
        <v>11035</v>
      </c>
      <c r="Q547" s="2">
        <f>AVERAGE(PerfRate[[#This Row],[EnvironmentSatisfaction]],PerfRate[[#This Row],[JobSatisfaction]],PerfRate[[#This Row],[RelationshipSatisfaction]])</f>
        <v>3.6666666666666665</v>
      </c>
      <c r="R547" s="2">
        <f>PerfRate[[#This Row],[ManagerRating]] - PerfRate[[#This Row],[SelfRating]]</f>
        <v>0</v>
      </c>
    </row>
    <row r="548" spans="1:18">
      <c r="A548" s="2" t="s">
        <v>4855</v>
      </c>
      <c r="B548" s="2" t="s">
        <v>73</v>
      </c>
      <c r="C548" s="1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  <c r="L548" s="2" t="s">
        <v>11031</v>
      </c>
      <c r="M548" s="2" t="s">
        <v>11030</v>
      </c>
      <c r="N548" s="2" t="s">
        <v>11038</v>
      </c>
      <c r="O548" s="2" t="s">
        <v>11035</v>
      </c>
      <c r="P548" s="2" t="s">
        <v>11035</v>
      </c>
      <c r="Q548" s="2">
        <f>AVERAGE(PerfRate[[#This Row],[EnvironmentSatisfaction]],PerfRate[[#This Row],[JobSatisfaction]],PerfRate[[#This Row],[RelationshipSatisfaction]])</f>
        <v>3</v>
      </c>
      <c r="R548" s="2">
        <f>PerfRate[[#This Row],[ManagerRating]] - PerfRate[[#This Row],[SelfRating]]</f>
        <v>-1</v>
      </c>
    </row>
    <row r="549" spans="1:18">
      <c r="A549" s="2" t="s">
        <v>4856</v>
      </c>
      <c r="B549" s="2" t="s">
        <v>1581</v>
      </c>
      <c r="C549" s="1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  <c r="L549" s="2" t="s">
        <v>11030</v>
      </c>
      <c r="M549" s="2" t="s">
        <v>11029</v>
      </c>
      <c r="N549" s="2" t="s">
        <v>11038</v>
      </c>
      <c r="O549" s="2" t="s">
        <v>11037</v>
      </c>
      <c r="P549" s="2" t="s">
        <v>11038</v>
      </c>
      <c r="Q549" s="2">
        <f>AVERAGE(PerfRate[[#This Row],[EnvironmentSatisfaction]],PerfRate[[#This Row],[JobSatisfaction]],PerfRate[[#This Row],[RelationshipSatisfaction]])</f>
        <v>4.666666666666667</v>
      </c>
      <c r="R549" s="2">
        <f>PerfRate[[#This Row],[ManagerRating]] - PerfRate[[#This Row],[SelfRating]]</f>
        <v>-1</v>
      </c>
    </row>
    <row r="550" spans="1:18">
      <c r="A550" s="2" t="s">
        <v>4857</v>
      </c>
      <c r="B550" s="2" t="s">
        <v>2008</v>
      </c>
      <c r="C550" s="1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  <c r="L550" s="2" t="s">
        <v>11029</v>
      </c>
      <c r="M550" s="2" t="s">
        <v>11029</v>
      </c>
      <c r="N550" s="2" t="s">
        <v>11036</v>
      </c>
      <c r="O550" s="2" t="s">
        <v>11038</v>
      </c>
      <c r="P550" s="2" t="s">
        <v>11035</v>
      </c>
      <c r="Q550" s="2">
        <f>AVERAGE(PerfRate[[#This Row],[EnvironmentSatisfaction]],PerfRate[[#This Row],[JobSatisfaction]],PerfRate[[#This Row],[RelationshipSatisfaction]])</f>
        <v>3.3333333333333335</v>
      </c>
      <c r="R550" s="2">
        <f>PerfRate[[#This Row],[ManagerRating]] - PerfRate[[#This Row],[SelfRating]]</f>
        <v>0</v>
      </c>
    </row>
    <row r="551" spans="1:18">
      <c r="A551" s="2" t="s">
        <v>4858</v>
      </c>
      <c r="B551" s="2" t="s">
        <v>410</v>
      </c>
      <c r="C551" s="1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  <c r="L551" s="2" t="s">
        <v>11031</v>
      </c>
      <c r="M551" s="2" t="s">
        <v>11030</v>
      </c>
      <c r="N551" s="2" t="s">
        <v>11036</v>
      </c>
      <c r="O551" s="2" t="s">
        <v>11036</v>
      </c>
      <c r="P551" s="2" t="s">
        <v>11036</v>
      </c>
      <c r="Q551" s="2">
        <f>AVERAGE(PerfRate[[#This Row],[EnvironmentSatisfaction]],PerfRate[[#This Row],[JobSatisfaction]],PerfRate[[#This Row],[RelationshipSatisfaction]])</f>
        <v>3</v>
      </c>
      <c r="R551" s="2">
        <f>PerfRate[[#This Row],[ManagerRating]] - PerfRate[[#This Row],[SelfRating]]</f>
        <v>-1</v>
      </c>
    </row>
    <row r="552" spans="1:18">
      <c r="A552" s="2" t="s">
        <v>4859</v>
      </c>
      <c r="B552" s="2" t="s">
        <v>1409</v>
      </c>
      <c r="C552" s="1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  <c r="L552" s="2" t="s">
        <v>11030</v>
      </c>
      <c r="M552" s="2" t="s">
        <v>11030</v>
      </c>
      <c r="N552" s="2" t="s">
        <v>11037</v>
      </c>
      <c r="O552" s="2" t="s">
        <v>11038</v>
      </c>
      <c r="P552" s="2" t="s">
        <v>11036</v>
      </c>
      <c r="Q552" s="2">
        <f>AVERAGE(PerfRate[[#This Row],[EnvironmentSatisfaction]],PerfRate[[#This Row],[JobSatisfaction]],PerfRate[[#This Row],[RelationshipSatisfaction]])</f>
        <v>4</v>
      </c>
      <c r="R552" s="2">
        <f>PerfRate[[#This Row],[ManagerRating]] - PerfRate[[#This Row],[SelfRating]]</f>
        <v>0</v>
      </c>
    </row>
    <row r="553" spans="1:18">
      <c r="A553" s="2" t="s">
        <v>4860</v>
      </c>
      <c r="B553" s="2" t="s">
        <v>568</v>
      </c>
      <c r="C553" s="1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  <c r="L553" s="2" t="s">
        <v>11031</v>
      </c>
      <c r="M553" s="2" t="s">
        <v>11031</v>
      </c>
      <c r="N553" s="2" t="s">
        <v>11038</v>
      </c>
      <c r="O553" s="2" t="s">
        <v>11037</v>
      </c>
      <c r="P553" s="2" t="s">
        <v>11037</v>
      </c>
      <c r="Q553" s="2">
        <f>AVERAGE(PerfRate[[#This Row],[EnvironmentSatisfaction]],PerfRate[[#This Row],[JobSatisfaction]],PerfRate[[#This Row],[RelationshipSatisfaction]])</f>
        <v>4.333333333333333</v>
      </c>
      <c r="R553" s="2">
        <f>PerfRate[[#This Row],[ManagerRating]] - PerfRate[[#This Row],[SelfRating]]</f>
        <v>0</v>
      </c>
    </row>
    <row r="554" spans="1:18">
      <c r="A554" s="2" t="s">
        <v>4861</v>
      </c>
      <c r="B554" s="2" t="s">
        <v>1119</v>
      </c>
      <c r="C554" s="1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  <c r="L554" s="2" t="s">
        <v>11029</v>
      </c>
      <c r="M554" s="2" t="s">
        <v>11029</v>
      </c>
      <c r="N554" s="2" t="s">
        <v>11038</v>
      </c>
      <c r="O554" s="2" t="s">
        <v>11035</v>
      </c>
      <c r="P554" s="2" t="s">
        <v>11036</v>
      </c>
      <c r="Q554" s="2">
        <f>AVERAGE(PerfRate[[#This Row],[EnvironmentSatisfaction]],PerfRate[[#This Row],[JobSatisfaction]],PerfRate[[#This Row],[RelationshipSatisfaction]])</f>
        <v>3.3333333333333335</v>
      </c>
      <c r="R554" s="2">
        <f>PerfRate[[#This Row],[ManagerRating]] - PerfRate[[#This Row],[SelfRating]]</f>
        <v>0</v>
      </c>
    </row>
    <row r="555" spans="1:18">
      <c r="A555" s="2" t="s">
        <v>4862</v>
      </c>
      <c r="B555" s="2" t="s">
        <v>982</v>
      </c>
      <c r="C555" s="1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  <c r="L555" s="2" t="s">
        <v>11030</v>
      </c>
      <c r="M555" s="2" t="s">
        <v>11030</v>
      </c>
      <c r="N555" s="2" t="s">
        <v>11036</v>
      </c>
      <c r="O555" s="2" t="s">
        <v>11036</v>
      </c>
      <c r="P555" s="2" t="s">
        <v>11037</v>
      </c>
      <c r="Q555" s="2">
        <f>AVERAGE(PerfRate[[#This Row],[EnvironmentSatisfaction]],PerfRate[[#This Row],[JobSatisfaction]],PerfRate[[#This Row],[RelationshipSatisfaction]])</f>
        <v>3.3333333333333335</v>
      </c>
      <c r="R555" s="2">
        <f>PerfRate[[#This Row],[ManagerRating]] - PerfRate[[#This Row],[SelfRating]]</f>
        <v>0</v>
      </c>
    </row>
    <row r="556" spans="1:18">
      <c r="A556" s="2" t="s">
        <v>4863</v>
      </c>
      <c r="B556" s="2" t="s">
        <v>511</v>
      </c>
      <c r="C556" s="1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  <c r="L556" s="2" t="s">
        <v>11030</v>
      </c>
      <c r="M556" s="2" t="s">
        <v>11030</v>
      </c>
      <c r="N556" s="2" t="s">
        <v>11038</v>
      </c>
      <c r="O556" s="2" t="s">
        <v>11035</v>
      </c>
      <c r="P556" s="2" t="s">
        <v>11036</v>
      </c>
      <c r="Q556" s="2">
        <f>AVERAGE(PerfRate[[#This Row],[EnvironmentSatisfaction]],PerfRate[[#This Row],[JobSatisfaction]],PerfRate[[#This Row],[RelationshipSatisfaction]])</f>
        <v>3.3333333333333335</v>
      </c>
      <c r="R556" s="2">
        <f>PerfRate[[#This Row],[ManagerRating]] - PerfRate[[#This Row],[SelfRating]]</f>
        <v>0</v>
      </c>
    </row>
    <row r="557" spans="1:18">
      <c r="A557" s="2" t="s">
        <v>4864</v>
      </c>
      <c r="B557" s="2" t="s">
        <v>128</v>
      </c>
      <c r="C557" s="1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  <c r="L557" s="2" t="s">
        <v>11030</v>
      </c>
      <c r="M557" s="2" t="s">
        <v>11029</v>
      </c>
      <c r="N557" s="2" t="s">
        <v>11038</v>
      </c>
      <c r="O557" s="2" t="s">
        <v>11038</v>
      </c>
      <c r="P557" s="2" t="s">
        <v>11035</v>
      </c>
      <c r="Q557" s="2">
        <f>AVERAGE(PerfRate[[#This Row],[EnvironmentSatisfaction]],PerfRate[[#This Row],[JobSatisfaction]],PerfRate[[#This Row],[RelationshipSatisfaction]])</f>
        <v>4</v>
      </c>
      <c r="R557" s="2">
        <f>PerfRate[[#This Row],[ManagerRating]] - PerfRate[[#This Row],[SelfRating]]</f>
        <v>-1</v>
      </c>
    </row>
    <row r="558" spans="1:18">
      <c r="A558" s="2" t="s">
        <v>4865</v>
      </c>
      <c r="B558" s="2" t="s">
        <v>762</v>
      </c>
      <c r="C558" s="1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  <c r="L558" s="2" t="s">
        <v>11029</v>
      </c>
      <c r="M558" s="2" t="s">
        <v>11028</v>
      </c>
      <c r="N558" s="2" t="s">
        <v>11038</v>
      </c>
      <c r="O558" s="2" t="s">
        <v>11037</v>
      </c>
      <c r="P558" s="2" t="s">
        <v>11036</v>
      </c>
      <c r="Q558" s="2">
        <f>AVERAGE(PerfRate[[#This Row],[EnvironmentSatisfaction]],PerfRate[[#This Row],[JobSatisfaction]],PerfRate[[#This Row],[RelationshipSatisfaction]])</f>
        <v>4</v>
      </c>
      <c r="R558" s="2">
        <f>PerfRate[[#This Row],[ManagerRating]] - PerfRate[[#This Row],[SelfRating]]</f>
        <v>-1</v>
      </c>
    </row>
    <row r="559" spans="1:18">
      <c r="A559" s="2" t="s">
        <v>4866</v>
      </c>
      <c r="B559" s="2" t="s">
        <v>1056</v>
      </c>
      <c r="C559" s="1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  <c r="L559" s="2" t="s">
        <v>11031</v>
      </c>
      <c r="M559" s="2" t="s">
        <v>11031</v>
      </c>
      <c r="N559" s="2" t="s">
        <v>11037</v>
      </c>
      <c r="O559" s="2" t="s">
        <v>11037</v>
      </c>
      <c r="P559" s="2" t="s">
        <v>11036</v>
      </c>
      <c r="Q559" s="2">
        <f>AVERAGE(PerfRate[[#This Row],[EnvironmentSatisfaction]],PerfRate[[#This Row],[JobSatisfaction]],PerfRate[[#This Row],[RelationshipSatisfaction]])</f>
        <v>3.6666666666666665</v>
      </c>
      <c r="R559" s="2">
        <f>PerfRate[[#This Row],[ManagerRating]] - PerfRate[[#This Row],[SelfRating]]</f>
        <v>0</v>
      </c>
    </row>
    <row r="560" spans="1:18">
      <c r="A560" s="2" t="s">
        <v>4867</v>
      </c>
      <c r="B560" s="2" t="s">
        <v>1309</v>
      </c>
      <c r="C560" s="1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  <c r="L560" s="2" t="s">
        <v>11029</v>
      </c>
      <c r="M560" s="2" t="s">
        <v>11028</v>
      </c>
      <c r="N560" s="2" t="s">
        <v>11036</v>
      </c>
      <c r="O560" s="2" t="s">
        <v>11035</v>
      </c>
      <c r="P560" s="2" t="s">
        <v>11036</v>
      </c>
      <c r="Q560" s="2">
        <f>AVERAGE(PerfRate[[#This Row],[EnvironmentSatisfaction]],PerfRate[[#This Row],[JobSatisfaction]],PerfRate[[#This Row],[RelationshipSatisfaction]])</f>
        <v>2.6666666666666665</v>
      </c>
      <c r="R560" s="2">
        <f>PerfRate[[#This Row],[ManagerRating]] - PerfRate[[#This Row],[SelfRating]]</f>
        <v>-1</v>
      </c>
    </row>
    <row r="561" spans="1:18">
      <c r="A561" s="2" t="s">
        <v>4868</v>
      </c>
      <c r="B561" s="2" t="s">
        <v>284</v>
      </c>
      <c r="C561" s="1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  <c r="L561" s="2" t="s">
        <v>11030</v>
      </c>
      <c r="M561" s="2" t="s">
        <v>11030</v>
      </c>
      <c r="N561" s="2" t="s">
        <v>11038</v>
      </c>
      <c r="O561" s="2" t="s">
        <v>11037</v>
      </c>
      <c r="P561" s="2" t="s">
        <v>11035</v>
      </c>
      <c r="Q561" s="2">
        <f>AVERAGE(PerfRate[[#This Row],[EnvironmentSatisfaction]],PerfRate[[#This Row],[JobSatisfaction]],PerfRate[[#This Row],[RelationshipSatisfaction]])</f>
        <v>3.6666666666666665</v>
      </c>
      <c r="R561" s="2">
        <f>PerfRate[[#This Row],[ManagerRating]] - PerfRate[[#This Row],[SelfRating]]</f>
        <v>0</v>
      </c>
    </row>
    <row r="562" spans="1:18">
      <c r="A562" s="2" t="s">
        <v>4869</v>
      </c>
      <c r="B562" s="2" t="s">
        <v>1332</v>
      </c>
      <c r="C562" s="1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  <c r="L562" s="2" t="s">
        <v>11030</v>
      </c>
      <c r="M562" s="2" t="s">
        <v>11029</v>
      </c>
      <c r="N562" s="2" t="s">
        <v>11038</v>
      </c>
      <c r="O562" s="2" t="s">
        <v>11035</v>
      </c>
      <c r="P562" s="2" t="s">
        <v>11035</v>
      </c>
      <c r="Q562" s="2">
        <f>AVERAGE(PerfRate[[#This Row],[EnvironmentSatisfaction]],PerfRate[[#This Row],[JobSatisfaction]],PerfRate[[#This Row],[RelationshipSatisfaction]])</f>
        <v>3</v>
      </c>
      <c r="R562" s="2">
        <f>PerfRate[[#This Row],[ManagerRating]] - PerfRate[[#This Row],[SelfRating]]</f>
        <v>-1</v>
      </c>
    </row>
    <row r="563" spans="1:18">
      <c r="A563" s="2" t="s">
        <v>4870</v>
      </c>
      <c r="B563" s="2" t="s">
        <v>2453</v>
      </c>
      <c r="C563" s="1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  <c r="L563" s="2" t="s">
        <v>11029</v>
      </c>
      <c r="M563" s="2" t="s">
        <v>11028</v>
      </c>
      <c r="N563" s="2" t="s">
        <v>11037</v>
      </c>
      <c r="O563" s="2" t="s">
        <v>11035</v>
      </c>
      <c r="P563" s="2" t="s">
        <v>11036</v>
      </c>
      <c r="Q563" s="2">
        <f>AVERAGE(PerfRate[[#This Row],[EnvironmentSatisfaction]],PerfRate[[#This Row],[JobSatisfaction]],PerfRate[[#This Row],[RelationshipSatisfaction]])</f>
        <v>3</v>
      </c>
      <c r="R563" s="2">
        <f>PerfRate[[#This Row],[ManagerRating]] - PerfRate[[#This Row],[SelfRating]]</f>
        <v>-1</v>
      </c>
    </row>
    <row r="564" spans="1:18">
      <c r="A564" s="2" t="s">
        <v>4871</v>
      </c>
      <c r="B564" s="2" t="s">
        <v>1116</v>
      </c>
      <c r="C564" s="1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  <c r="L564" s="2" t="s">
        <v>11031</v>
      </c>
      <c r="M564" s="2" t="s">
        <v>11031</v>
      </c>
      <c r="N564" s="2" t="s">
        <v>11036</v>
      </c>
      <c r="O564" s="2" t="s">
        <v>11037</v>
      </c>
      <c r="P564" s="2" t="s">
        <v>11037</v>
      </c>
      <c r="Q564" s="2">
        <f>AVERAGE(PerfRate[[#This Row],[EnvironmentSatisfaction]],PerfRate[[#This Row],[JobSatisfaction]],PerfRate[[#This Row],[RelationshipSatisfaction]])</f>
        <v>3.6666666666666665</v>
      </c>
      <c r="R564" s="2">
        <f>PerfRate[[#This Row],[ManagerRating]] - PerfRate[[#This Row],[SelfRating]]</f>
        <v>0</v>
      </c>
    </row>
    <row r="565" spans="1:18">
      <c r="A565" s="2" t="s">
        <v>4872</v>
      </c>
      <c r="B565" s="2" t="s">
        <v>455</v>
      </c>
      <c r="C565" s="1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  <c r="L565" s="2" t="s">
        <v>11031</v>
      </c>
      <c r="M565" s="2" t="s">
        <v>11031</v>
      </c>
      <c r="N565" s="2" t="s">
        <v>11036</v>
      </c>
      <c r="O565" s="2" t="s">
        <v>11036</v>
      </c>
      <c r="P565" s="2" t="s">
        <v>11036</v>
      </c>
      <c r="Q565" s="2">
        <f>AVERAGE(PerfRate[[#This Row],[EnvironmentSatisfaction]],PerfRate[[#This Row],[JobSatisfaction]],PerfRate[[#This Row],[RelationshipSatisfaction]])</f>
        <v>3</v>
      </c>
      <c r="R565" s="2">
        <f>PerfRate[[#This Row],[ManagerRating]] - PerfRate[[#This Row],[SelfRating]]</f>
        <v>0</v>
      </c>
    </row>
    <row r="566" spans="1:18">
      <c r="A566" s="2" t="s">
        <v>4873</v>
      </c>
      <c r="B566" s="2" t="s">
        <v>2281</v>
      </c>
      <c r="C566" s="1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  <c r="L566" s="2" t="s">
        <v>11029</v>
      </c>
      <c r="M566" s="2" t="s">
        <v>11029</v>
      </c>
      <c r="N566" s="2" t="s">
        <v>11038</v>
      </c>
      <c r="O566" s="2" t="s">
        <v>11036</v>
      </c>
      <c r="P566" s="2" t="s">
        <v>11036</v>
      </c>
      <c r="Q566" s="2">
        <f>AVERAGE(PerfRate[[#This Row],[EnvironmentSatisfaction]],PerfRate[[#This Row],[JobSatisfaction]],PerfRate[[#This Row],[RelationshipSatisfaction]])</f>
        <v>3.6666666666666665</v>
      </c>
      <c r="R566" s="2">
        <f>PerfRate[[#This Row],[ManagerRating]] - PerfRate[[#This Row],[SelfRating]]</f>
        <v>0</v>
      </c>
    </row>
    <row r="567" spans="1:18">
      <c r="A567" s="2" t="s">
        <v>4874</v>
      </c>
      <c r="B567" s="2" t="s">
        <v>1520</v>
      </c>
      <c r="C567" s="1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  <c r="L567" s="2" t="s">
        <v>11031</v>
      </c>
      <c r="M567" s="2" t="s">
        <v>11030</v>
      </c>
      <c r="N567" s="2" t="s">
        <v>11037</v>
      </c>
      <c r="O567" s="2" t="s">
        <v>11037</v>
      </c>
      <c r="P567" s="2" t="s">
        <v>11038</v>
      </c>
      <c r="Q567" s="2">
        <f>AVERAGE(PerfRate[[#This Row],[EnvironmentSatisfaction]],PerfRate[[#This Row],[JobSatisfaction]],PerfRate[[#This Row],[RelationshipSatisfaction]])</f>
        <v>4.333333333333333</v>
      </c>
      <c r="R567" s="2">
        <f>PerfRate[[#This Row],[ManagerRating]] - PerfRate[[#This Row],[SelfRating]]</f>
        <v>-1</v>
      </c>
    </row>
    <row r="568" spans="1:18">
      <c r="A568" s="2" t="s">
        <v>4875</v>
      </c>
      <c r="B568" s="2" t="s">
        <v>2641</v>
      </c>
      <c r="C568" s="1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  <c r="L568" s="2" t="s">
        <v>11029</v>
      </c>
      <c r="M568" s="2" t="s">
        <v>11028</v>
      </c>
      <c r="N568" s="2" t="s">
        <v>11036</v>
      </c>
      <c r="O568" s="2" t="s">
        <v>11036</v>
      </c>
      <c r="P568" s="2" t="s">
        <v>11036</v>
      </c>
      <c r="Q568" s="2">
        <f>AVERAGE(PerfRate[[#This Row],[EnvironmentSatisfaction]],PerfRate[[#This Row],[JobSatisfaction]],PerfRate[[#This Row],[RelationshipSatisfaction]])</f>
        <v>3</v>
      </c>
      <c r="R568" s="2">
        <f>PerfRate[[#This Row],[ManagerRating]] - PerfRate[[#This Row],[SelfRating]]</f>
        <v>-1</v>
      </c>
    </row>
    <row r="569" spans="1:18">
      <c r="A569" s="2" t="s">
        <v>4876</v>
      </c>
      <c r="B569" s="2" t="s">
        <v>1909</v>
      </c>
      <c r="C569" s="1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  <c r="L569" s="2" t="s">
        <v>11029</v>
      </c>
      <c r="M569" s="2" t="s">
        <v>11029</v>
      </c>
      <c r="N569" s="2" t="s">
        <v>11036</v>
      </c>
      <c r="O569" s="2" t="s">
        <v>11037</v>
      </c>
      <c r="P569" s="2" t="s">
        <v>11037</v>
      </c>
      <c r="Q569" s="2">
        <f>AVERAGE(PerfRate[[#This Row],[EnvironmentSatisfaction]],PerfRate[[#This Row],[JobSatisfaction]],PerfRate[[#This Row],[RelationshipSatisfaction]])</f>
        <v>3.6666666666666665</v>
      </c>
      <c r="R569" s="2">
        <f>PerfRate[[#This Row],[ManagerRating]] - PerfRate[[#This Row],[SelfRating]]</f>
        <v>0</v>
      </c>
    </row>
    <row r="570" spans="1:18">
      <c r="A570" s="2" t="s">
        <v>4877</v>
      </c>
      <c r="B570" s="2" t="s">
        <v>238</v>
      </c>
      <c r="C570" s="1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  <c r="L570" s="2" t="s">
        <v>11029</v>
      </c>
      <c r="M570" s="2" t="s">
        <v>11029</v>
      </c>
      <c r="N570" s="2" t="s">
        <v>11037</v>
      </c>
      <c r="O570" s="2" t="s">
        <v>11037</v>
      </c>
      <c r="P570" s="2" t="s">
        <v>11036</v>
      </c>
      <c r="Q570" s="2">
        <f>AVERAGE(PerfRate[[#This Row],[EnvironmentSatisfaction]],PerfRate[[#This Row],[JobSatisfaction]],PerfRate[[#This Row],[RelationshipSatisfaction]])</f>
        <v>3.6666666666666665</v>
      </c>
      <c r="R570" s="2">
        <f>PerfRate[[#This Row],[ManagerRating]] - PerfRate[[#This Row],[SelfRating]]</f>
        <v>0</v>
      </c>
    </row>
    <row r="571" spans="1:18">
      <c r="A571" s="2" t="s">
        <v>4878</v>
      </c>
      <c r="B571" s="2" t="s">
        <v>154</v>
      </c>
      <c r="C571" s="1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  <c r="L571" s="2" t="s">
        <v>11031</v>
      </c>
      <c r="M571" s="2" t="s">
        <v>11031</v>
      </c>
      <c r="N571" s="2" t="s">
        <v>11038</v>
      </c>
      <c r="O571" s="2" t="s">
        <v>11037</v>
      </c>
      <c r="P571" s="2" t="s">
        <v>11035</v>
      </c>
      <c r="Q571" s="2">
        <f>AVERAGE(PerfRate[[#This Row],[EnvironmentSatisfaction]],PerfRate[[#This Row],[JobSatisfaction]],PerfRate[[#This Row],[RelationshipSatisfaction]])</f>
        <v>3.6666666666666665</v>
      </c>
      <c r="R571" s="2">
        <f>PerfRate[[#This Row],[ManagerRating]] - PerfRate[[#This Row],[SelfRating]]</f>
        <v>0</v>
      </c>
    </row>
    <row r="572" spans="1:18">
      <c r="A572" s="2" t="s">
        <v>4879</v>
      </c>
      <c r="B572" s="2" t="s">
        <v>2115</v>
      </c>
      <c r="C572" s="1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  <c r="L572" s="2" t="s">
        <v>11029</v>
      </c>
      <c r="M572" s="2" t="s">
        <v>11028</v>
      </c>
      <c r="N572" s="2" t="s">
        <v>11038</v>
      </c>
      <c r="O572" s="2" t="s">
        <v>11038</v>
      </c>
      <c r="P572" s="2" t="s">
        <v>11036</v>
      </c>
      <c r="Q572" s="2">
        <f>AVERAGE(PerfRate[[#This Row],[EnvironmentSatisfaction]],PerfRate[[#This Row],[JobSatisfaction]],PerfRate[[#This Row],[RelationshipSatisfaction]])</f>
        <v>4.333333333333333</v>
      </c>
      <c r="R572" s="2">
        <f>PerfRate[[#This Row],[ManagerRating]] - PerfRate[[#This Row],[SelfRating]]</f>
        <v>-1</v>
      </c>
    </row>
    <row r="573" spans="1:18">
      <c r="A573" s="2" t="s">
        <v>4880</v>
      </c>
      <c r="B573" s="2" t="s">
        <v>2650</v>
      </c>
      <c r="C573" s="1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  <c r="L573" s="2" t="s">
        <v>11031</v>
      </c>
      <c r="M573" s="2" t="s">
        <v>11031</v>
      </c>
      <c r="N573" s="2" t="s">
        <v>11037</v>
      </c>
      <c r="O573" s="2" t="s">
        <v>11035</v>
      </c>
      <c r="P573" s="2" t="s">
        <v>11037</v>
      </c>
      <c r="Q573" s="2">
        <f>AVERAGE(PerfRate[[#This Row],[EnvironmentSatisfaction]],PerfRate[[#This Row],[JobSatisfaction]],PerfRate[[#This Row],[RelationshipSatisfaction]])</f>
        <v>3.3333333333333335</v>
      </c>
      <c r="R573" s="2">
        <f>PerfRate[[#This Row],[ManagerRating]] - PerfRate[[#This Row],[SelfRating]]</f>
        <v>0</v>
      </c>
    </row>
    <row r="574" spans="1:18">
      <c r="A574" s="2" t="s">
        <v>4881</v>
      </c>
      <c r="B574" s="2" t="s">
        <v>696</v>
      </c>
      <c r="C574" s="1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  <c r="L574" s="2" t="s">
        <v>11031</v>
      </c>
      <c r="M574" s="2" t="s">
        <v>11031</v>
      </c>
      <c r="N574" s="2" t="s">
        <v>11038</v>
      </c>
      <c r="O574" s="2" t="s">
        <v>11035</v>
      </c>
      <c r="P574" s="2" t="s">
        <v>11036</v>
      </c>
      <c r="Q574" s="2">
        <f>AVERAGE(PerfRate[[#This Row],[EnvironmentSatisfaction]],PerfRate[[#This Row],[JobSatisfaction]],PerfRate[[#This Row],[RelationshipSatisfaction]])</f>
        <v>3.3333333333333335</v>
      </c>
      <c r="R574" s="2">
        <f>PerfRate[[#This Row],[ManagerRating]] - PerfRate[[#This Row],[SelfRating]]</f>
        <v>0</v>
      </c>
    </row>
    <row r="575" spans="1:18">
      <c r="A575" s="2" t="s">
        <v>4882</v>
      </c>
      <c r="B575" s="2" t="s">
        <v>1180</v>
      </c>
      <c r="C575" s="1">
        <v>42738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  <c r="L575" s="2" t="s">
        <v>11030</v>
      </c>
      <c r="M575" s="2" t="s">
        <v>11029</v>
      </c>
      <c r="N575" s="2" t="s">
        <v>11037</v>
      </c>
      <c r="O575" s="2" t="s">
        <v>11037</v>
      </c>
      <c r="P575" s="2" t="s">
        <v>11036</v>
      </c>
      <c r="Q575" s="2">
        <f>AVERAGE(PerfRate[[#This Row],[EnvironmentSatisfaction]],PerfRate[[#This Row],[JobSatisfaction]],PerfRate[[#This Row],[RelationshipSatisfaction]])</f>
        <v>3.6666666666666665</v>
      </c>
      <c r="R575" s="2">
        <f>PerfRate[[#This Row],[ManagerRating]] - PerfRate[[#This Row],[SelfRating]]</f>
        <v>-1</v>
      </c>
    </row>
    <row r="576" spans="1:18">
      <c r="A576" s="2" t="s">
        <v>4883</v>
      </c>
      <c r="B576" s="2" t="s">
        <v>1127</v>
      </c>
      <c r="C576" s="1">
        <v>42738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  <c r="L576" s="2" t="s">
        <v>11031</v>
      </c>
      <c r="M576" s="2" t="s">
        <v>11031</v>
      </c>
      <c r="N576" s="2" t="s">
        <v>11038</v>
      </c>
      <c r="O576" s="2" t="s">
        <v>11038</v>
      </c>
      <c r="P576" s="2" t="s">
        <v>11036</v>
      </c>
      <c r="Q576" s="2">
        <f>AVERAGE(PerfRate[[#This Row],[EnvironmentSatisfaction]],PerfRate[[#This Row],[JobSatisfaction]],PerfRate[[#This Row],[RelationshipSatisfaction]])</f>
        <v>4.333333333333333</v>
      </c>
      <c r="R576" s="2">
        <f>PerfRate[[#This Row],[ManagerRating]] - PerfRate[[#This Row],[SelfRating]]</f>
        <v>0</v>
      </c>
    </row>
    <row r="577" spans="1:18">
      <c r="A577" s="2" t="s">
        <v>4884</v>
      </c>
      <c r="B577" s="2" t="s">
        <v>2759</v>
      </c>
      <c r="C577" s="1">
        <v>42738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  <c r="L577" s="2" t="s">
        <v>11029</v>
      </c>
      <c r="M577" s="2" t="s">
        <v>11028</v>
      </c>
      <c r="N577" s="2" t="s">
        <v>11036</v>
      </c>
      <c r="O577" s="2" t="s">
        <v>11037</v>
      </c>
      <c r="P577" s="2" t="s">
        <v>11036</v>
      </c>
      <c r="Q577" s="2">
        <f>AVERAGE(PerfRate[[#This Row],[EnvironmentSatisfaction]],PerfRate[[#This Row],[JobSatisfaction]],PerfRate[[#This Row],[RelationshipSatisfaction]])</f>
        <v>3.3333333333333335</v>
      </c>
      <c r="R577" s="2">
        <f>PerfRate[[#This Row],[ManagerRating]] - PerfRate[[#This Row],[SelfRating]]</f>
        <v>-1</v>
      </c>
    </row>
    <row r="578" spans="1:18">
      <c r="A578" s="2" t="s">
        <v>4885</v>
      </c>
      <c r="B578" s="2" t="s">
        <v>350</v>
      </c>
      <c r="C578" s="1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  <c r="L578" s="2" t="s">
        <v>11029</v>
      </c>
      <c r="M578" s="2" t="s">
        <v>11029</v>
      </c>
      <c r="N578" s="2" t="s">
        <v>11038</v>
      </c>
      <c r="O578" s="2" t="s">
        <v>11035</v>
      </c>
      <c r="P578" s="2" t="s">
        <v>11037</v>
      </c>
      <c r="Q578" s="2">
        <f>AVERAGE(PerfRate[[#This Row],[EnvironmentSatisfaction]],PerfRate[[#This Row],[JobSatisfaction]],PerfRate[[#This Row],[RelationshipSatisfaction]])</f>
        <v>3.6666666666666665</v>
      </c>
      <c r="R578" s="2">
        <f>PerfRate[[#This Row],[ManagerRating]] - PerfRate[[#This Row],[SelfRating]]</f>
        <v>0</v>
      </c>
    </row>
    <row r="579" spans="1:18">
      <c r="A579" s="2" t="s">
        <v>4886</v>
      </c>
      <c r="B579" s="2" t="s">
        <v>353</v>
      </c>
      <c r="C579" s="1">
        <v>42738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  <c r="L579" s="2" t="s">
        <v>11029</v>
      </c>
      <c r="M579" s="2" t="s">
        <v>11028</v>
      </c>
      <c r="N579" s="2" t="s">
        <v>11038</v>
      </c>
      <c r="O579" s="2" t="s">
        <v>11035</v>
      </c>
      <c r="P579" s="2" t="s">
        <v>11037</v>
      </c>
      <c r="Q579" s="2">
        <f>AVERAGE(PerfRate[[#This Row],[EnvironmentSatisfaction]],PerfRate[[#This Row],[JobSatisfaction]],PerfRate[[#This Row],[RelationshipSatisfaction]])</f>
        <v>3.6666666666666665</v>
      </c>
      <c r="R579" s="2">
        <f>PerfRate[[#This Row],[ManagerRating]] - PerfRate[[#This Row],[SelfRating]]</f>
        <v>-1</v>
      </c>
    </row>
    <row r="580" spans="1:18">
      <c r="A580" s="2" t="s">
        <v>4887</v>
      </c>
      <c r="B580" s="2" t="s">
        <v>2119</v>
      </c>
      <c r="C580" s="1">
        <v>42769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  <c r="L580" s="2" t="s">
        <v>11030</v>
      </c>
      <c r="M580" s="2" t="s">
        <v>11030</v>
      </c>
      <c r="N580" s="2" t="s">
        <v>11036</v>
      </c>
      <c r="O580" s="2" t="s">
        <v>11035</v>
      </c>
      <c r="P580" s="2" t="s">
        <v>11035</v>
      </c>
      <c r="Q580" s="2">
        <f>AVERAGE(PerfRate[[#This Row],[EnvironmentSatisfaction]],PerfRate[[#This Row],[JobSatisfaction]],PerfRate[[#This Row],[RelationshipSatisfaction]])</f>
        <v>2.3333333333333335</v>
      </c>
      <c r="R580" s="2">
        <f>PerfRate[[#This Row],[ManagerRating]] - PerfRate[[#This Row],[SelfRating]]</f>
        <v>0</v>
      </c>
    </row>
    <row r="581" spans="1:18">
      <c r="A581" s="2" t="s">
        <v>4888</v>
      </c>
      <c r="B581" s="2" t="s">
        <v>673</v>
      </c>
      <c r="C581" s="1">
        <v>42769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  <c r="L581" s="2" t="s">
        <v>11029</v>
      </c>
      <c r="M581" s="2" t="s">
        <v>11028</v>
      </c>
      <c r="N581" s="2" t="s">
        <v>11037</v>
      </c>
      <c r="O581" s="2" t="s">
        <v>11038</v>
      </c>
      <c r="P581" s="2" t="s">
        <v>11036</v>
      </c>
      <c r="Q581" s="2">
        <f>AVERAGE(PerfRate[[#This Row],[EnvironmentSatisfaction]],PerfRate[[#This Row],[JobSatisfaction]],PerfRate[[#This Row],[RelationshipSatisfaction]])</f>
        <v>4</v>
      </c>
      <c r="R581" s="2">
        <f>PerfRate[[#This Row],[ManagerRating]] - PerfRate[[#This Row],[SelfRating]]</f>
        <v>-1</v>
      </c>
    </row>
    <row r="582" spans="1:18">
      <c r="A582" s="2" t="s">
        <v>4889</v>
      </c>
      <c r="B582" s="2" t="s">
        <v>2351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  <c r="L582" s="2" t="s">
        <v>11029</v>
      </c>
      <c r="M582" s="2" t="s">
        <v>11028</v>
      </c>
      <c r="N582" s="2" t="s">
        <v>11036</v>
      </c>
      <c r="O582" s="2" t="s">
        <v>11035</v>
      </c>
      <c r="P582" s="2" t="s">
        <v>11035</v>
      </c>
      <c r="Q582" s="2">
        <f>AVERAGE(PerfRate[[#This Row],[EnvironmentSatisfaction]],PerfRate[[#This Row],[JobSatisfaction]],PerfRate[[#This Row],[RelationshipSatisfaction]])</f>
        <v>2.3333333333333335</v>
      </c>
      <c r="R582" s="2">
        <f>PerfRate[[#This Row],[ManagerRating]] - PerfRate[[#This Row],[SelfRating]]</f>
        <v>-1</v>
      </c>
    </row>
    <row r="583" spans="1:18">
      <c r="A583" s="2" t="s">
        <v>4890</v>
      </c>
      <c r="B583" s="2" t="s">
        <v>550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  <c r="L583" s="2" t="s">
        <v>11029</v>
      </c>
      <c r="M583" s="2" t="s">
        <v>11029</v>
      </c>
      <c r="N583" s="2" t="s">
        <v>11038</v>
      </c>
      <c r="O583" s="2" t="s">
        <v>11036</v>
      </c>
      <c r="P583" s="2" t="s">
        <v>11037</v>
      </c>
      <c r="Q583" s="2">
        <f>AVERAGE(PerfRate[[#This Row],[EnvironmentSatisfaction]],PerfRate[[#This Row],[JobSatisfaction]],PerfRate[[#This Row],[RelationshipSatisfaction]])</f>
        <v>4</v>
      </c>
      <c r="R583" s="2">
        <f>PerfRate[[#This Row],[ManagerRating]] - PerfRate[[#This Row],[SelfRating]]</f>
        <v>0</v>
      </c>
    </row>
    <row r="584" spans="1:18">
      <c r="A584" s="2" t="s">
        <v>4891</v>
      </c>
      <c r="B584" s="2" t="s">
        <v>1704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  <c r="L584" s="2" t="s">
        <v>11030</v>
      </c>
      <c r="M584" s="2" t="s">
        <v>11030</v>
      </c>
      <c r="N584" s="2" t="s">
        <v>11036</v>
      </c>
      <c r="O584" s="2" t="s">
        <v>11035</v>
      </c>
      <c r="P584" s="2" t="s">
        <v>11035</v>
      </c>
      <c r="Q584" s="2">
        <f>AVERAGE(PerfRate[[#This Row],[EnvironmentSatisfaction]],PerfRate[[#This Row],[JobSatisfaction]],PerfRate[[#This Row],[RelationshipSatisfaction]])</f>
        <v>2.3333333333333335</v>
      </c>
      <c r="R584" s="2">
        <f>PerfRate[[#This Row],[ManagerRating]] - PerfRate[[#This Row],[SelfRating]]</f>
        <v>0</v>
      </c>
    </row>
    <row r="585" spans="1:18">
      <c r="A585" s="2" t="s">
        <v>4892</v>
      </c>
      <c r="B585" s="2" t="s">
        <v>341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  <c r="L585" s="2" t="s">
        <v>11031</v>
      </c>
      <c r="M585" s="2" t="s">
        <v>11030</v>
      </c>
      <c r="N585" s="2" t="s">
        <v>11037</v>
      </c>
      <c r="O585" s="2" t="s">
        <v>11038</v>
      </c>
      <c r="P585" s="2" t="s">
        <v>11036</v>
      </c>
      <c r="Q585" s="2">
        <f>AVERAGE(PerfRate[[#This Row],[EnvironmentSatisfaction]],PerfRate[[#This Row],[JobSatisfaction]],PerfRate[[#This Row],[RelationshipSatisfaction]])</f>
        <v>4</v>
      </c>
      <c r="R585" s="2">
        <f>PerfRate[[#This Row],[ManagerRating]] - PerfRate[[#This Row],[SelfRating]]</f>
        <v>-1</v>
      </c>
    </row>
    <row r="586" spans="1:18">
      <c r="A586" s="2" t="s">
        <v>4893</v>
      </c>
      <c r="B586" s="2" t="s">
        <v>3457</v>
      </c>
      <c r="C586" s="1">
        <v>42828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  <c r="L586" s="2" t="s">
        <v>11030</v>
      </c>
      <c r="M586" s="2" t="s">
        <v>11029</v>
      </c>
      <c r="N586" s="2" t="s">
        <v>11036</v>
      </c>
      <c r="O586" s="2" t="s">
        <v>11036</v>
      </c>
      <c r="P586" s="2" t="s">
        <v>11035</v>
      </c>
      <c r="Q586" s="2">
        <f>AVERAGE(PerfRate[[#This Row],[EnvironmentSatisfaction]],PerfRate[[#This Row],[JobSatisfaction]],PerfRate[[#This Row],[RelationshipSatisfaction]])</f>
        <v>2.6666666666666665</v>
      </c>
      <c r="R586" s="2">
        <f>PerfRate[[#This Row],[ManagerRating]] - PerfRate[[#This Row],[SelfRating]]</f>
        <v>-1</v>
      </c>
    </row>
    <row r="587" spans="1:18">
      <c r="A587" s="2" t="s">
        <v>4894</v>
      </c>
      <c r="B587" s="2" t="s">
        <v>580</v>
      </c>
      <c r="C587" s="1">
        <v>42858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  <c r="L587" s="2" t="s">
        <v>11031</v>
      </c>
      <c r="M587" s="2" t="s">
        <v>11031</v>
      </c>
      <c r="N587" s="2" t="s">
        <v>11037</v>
      </c>
      <c r="O587" s="2" t="s">
        <v>11036</v>
      </c>
      <c r="P587" s="2" t="s">
        <v>11036</v>
      </c>
      <c r="Q587" s="2">
        <f>AVERAGE(PerfRate[[#This Row],[EnvironmentSatisfaction]],PerfRate[[#This Row],[JobSatisfaction]],PerfRate[[#This Row],[RelationshipSatisfaction]])</f>
        <v>3.3333333333333335</v>
      </c>
      <c r="R587" s="2">
        <f>PerfRate[[#This Row],[ManagerRating]] - PerfRate[[#This Row],[SelfRating]]</f>
        <v>0</v>
      </c>
    </row>
    <row r="588" spans="1:18">
      <c r="A588" s="2" t="s">
        <v>4895</v>
      </c>
      <c r="B588" s="2" t="s">
        <v>1365</v>
      </c>
      <c r="C588" s="1">
        <v>42858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  <c r="L588" s="2" t="s">
        <v>11029</v>
      </c>
      <c r="M588" s="2" t="s">
        <v>11028</v>
      </c>
      <c r="N588" s="2" t="s">
        <v>11038</v>
      </c>
      <c r="O588" s="2" t="s">
        <v>11038</v>
      </c>
      <c r="P588" s="2" t="s">
        <v>11037</v>
      </c>
      <c r="Q588" s="2">
        <f>AVERAGE(PerfRate[[#This Row],[EnvironmentSatisfaction]],PerfRate[[#This Row],[JobSatisfaction]],PerfRate[[#This Row],[RelationshipSatisfaction]])</f>
        <v>4.666666666666667</v>
      </c>
      <c r="R588" s="2">
        <f>PerfRate[[#This Row],[ManagerRating]] - PerfRate[[#This Row],[SelfRating]]</f>
        <v>-1</v>
      </c>
    </row>
    <row r="589" spans="1:18">
      <c r="A589" s="2" t="s">
        <v>4896</v>
      </c>
      <c r="B589" s="2" t="s">
        <v>3572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  <c r="L589" s="2" t="s">
        <v>11029</v>
      </c>
      <c r="M589" s="2" t="s">
        <v>11029</v>
      </c>
      <c r="N589" s="2" t="s">
        <v>11038</v>
      </c>
      <c r="O589" s="2" t="s">
        <v>11038</v>
      </c>
      <c r="P589" s="2" t="s">
        <v>11035</v>
      </c>
      <c r="Q589" s="2">
        <f>AVERAGE(PerfRate[[#This Row],[EnvironmentSatisfaction]],PerfRate[[#This Row],[JobSatisfaction]],PerfRate[[#This Row],[RelationshipSatisfaction]])</f>
        <v>4</v>
      </c>
      <c r="R589" s="2">
        <f>PerfRate[[#This Row],[ManagerRating]] - PerfRate[[#This Row],[SelfRating]]</f>
        <v>0</v>
      </c>
    </row>
    <row r="590" spans="1:18">
      <c r="A590" s="2" t="s">
        <v>4897</v>
      </c>
      <c r="B590" s="2" t="s">
        <v>347</v>
      </c>
      <c r="C590" s="1">
        <v>42858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  <c r="L590" s="2" t="s">
        <v>11030</v>
      </c>
      <c r="M590" s="2" t="s">
        <v>11030</v>
      </c>
      <c r="N590" s="2" t="s">
        <v>11037</v>
      </c>
      <c r="O590" s="2" t="s">
        <v>11037</v>
      </c>
      <c r="P590" s="2" t="s">
        <v>11035</v>
      </c>
      <c r="Q590" s="2">
        <f>AVERAGE(PerfRate[[#This Row],[EnvironmentSatisfaction]],PerfRate[[#This Row],[JobSatisfaction]],PerfRate[[#This Row],[RelationshipSatisfaction]])</f>
        <v>3.3333333333333335</v>
      </c>
      <c r="R590" s="2">
        <f>PerfRate[[#This Row],[ManagerRating]] - PerfRate[[#This Row],[SelfRating]]</f>
        <v>0</v>
      </c>
    </row>
    <row r="591" spans="1:18">
      <c r="A591" s="2" t="s">
        <v>4898</v>
      </c>
      <c r="B591" s="2" t="s">
        <v>470</v>
      </c>
      <c r="C591" s="1">
        <v>42858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  <c r="L591" s="2" t="s">
        <v>11029</v>
      </c>
      <c r="M591" s="2" t="s">
        <v>11029</v>
      </c>
      <c r="N591" s="2" t="s">
        <v>11036</v>
      </c>
      <c r="O591" s="2" t="s">
        <v>11038</v>
      </c>
      <c r="P591" s="2" t="s">
        <v>11038</v>
      </c>
      <c r="Q591" s="2">
        <f>AVERAGE(PerfRate[[#This Row],[EnvironmentSatisfaction]],PerfRate[[#This Row],[JobSatisfaction]],PerfRate[[#This Row],[RelationshipSatisfaction]])</f>
        <v>4.333333333333333</v>
      </c>
      <c r="R591" s="2">
        <f>PerfRate[[#This Row],[ManagerRating]] - PerfRate[[#This Row],[SelfRating]]</f>
        <v>0</v>
      </c>
    </row>
    <row r="592" spans="1:18">
      <c r="A592" s="2" t="s">
        <v>4899</v>
      </c>
      <c r="B592" s="2" t="s">
        <v>407</v>
      </c>
      <c r="C592" s="1">
        <v>42889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  <c r="L592" s="2" t="s">
        <v>11031</v>
      </c>
      <c r="M592" s="2" t="s">
        <v>11030</v>
      </c>
      <c r="N592" s="2" t="s">
        <v>11037</v>
      </c>
      <c r="O592" s="2" t="s">
        <v>11036</v>
      </c>
      <c r="P592" s="2" t="s">
        <v>11037</v>
      </c>
      <c r="Q592" s="2">
        <f>AVERAGE(PerfRate[[#This Row],[EnvironmentSatisfaction]],PerfRate[[#This Row],[JobSatisfaction]],PerfRate[[#This Row],[RelationshipSatisfaction]])</f>
        <v>3.6666666666666665</v>
      </c>
      <c r="R592" s="2">
        <f>PerfRate[[#This Row],[ManagerRating]] - PerfRate[[#This Row],[SelfRating]]</f>
        <v>-1</v>
      </c>
    </row>
    <row r="593" spans="1:18">
      <c r="A593" s="2" t="s">
        <v>4900</v>
      </c>
      <c r="B593" s="2" t="s">
        <v>1082</v>
      </c>
      <c r="C593" s="1">
        <v>42889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  <c r="L593" s="2" t="s">
        <v>11030</v>
      </c>
      <c r="M593" s="2" t="s">
        <v>11030</v>
      </c>
      <c r="N593" s="2" t="s">
        <v>11038</v>
      </c>
      <c r="O593" s="2" t="s">
        <v>11037</v>
      </c>
      <c r="P593" s="2" t="s">
        <v>11038</v>
      </c>
      <c r="Q593" s="2">
        <f>AVERAGE(PerfRate[[#This Row],[EnvironmentSatisfaction]],PerfRate[[#This Row],[JobSatisfaction]],PerfRate[[#This Row],[RelationshipSatisfaction]])</f>
        <v>4.666666666666667</v>
      </c>
      <c r="R593" s="2">
        <f>PerfRate[[#This Row],[ManagerRating]] - PerfRate[[#This Row],[SelfRating]]</f>
        <v>0</v>
      </c>
    </row>
    <row r="594" spans="1:18">
      <c r="A594" s="2" t="s">
        <v>4901</v>
      </c>
      <c r="B594" s="2" t="s">
        <v>2879</v>
      </c>
      <c r="C594" s="1">
        <v>42889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  <c r="L594" s="2" t="s">
        <v>11029</v>
      </c>
      <c r="M594" s="2" t="s">
        <v>11028</v>
      </c>
      <c r="N594" s="2" t="s">
        <v>11036</v>
      </c>
      <c r="O594" s="2" t="s">
        <v>11038</v>
      </c>
      <c r="P594" s="2" t="s">
        <v>11037</v>
      </c>
      <c r="Q594" s="2">
        <f>AVERAGE(PerfRate[[#This Row],[EnvironmentSatisfaction]],PerfRate[[#This Row],[JobSatisfaction]],PerfRate[[#This Row],[RelationshipSatisfaction]])</f>
        <v>4</v>
      </c>
      <c r="R594" s="2">
        <f>PerfRate[[#This Row],[ManagerRating]] - PerfRate[[#This Row],[SelfRating]]</f>
        <v>-1</v>
      </c>
    </row>
    <row r="595" spans="1:18">
      <c r="A595" s="2" t="s">
        <v>4902</v>
      </c>
      <c r="B595" s="2" t="s">
        <v>838</v>
      </c>
      <c r="C595" s="1">
        <v>42919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  <c r="L595" s="2" t="s">
        <v>11031</v>
      </c>
      <c r="M595" s="2" t="s">
        <v>11031</v>
      </c>
      <c r="N595" s="2" t="s">
        <v>11036</v>
      </c>
      <c r="O595" s="2" t="s">
        <v>11035</v>
      </c>
      <c r="P595" s="2" t="s">
        <v>11036</v>
      </c>
      <c r="Q595" s="2">
        <f>AVERAGE(PerfRate[[#This Row],[EnvironmentSatisfaction]],PerfRate[[#This Row],[JobSatisfaction]],PerfRate[[#This Row],[RelationshipSatisfaction]])</f>
        <v>2.6666666666666665</v>
      </c>
      <c r="R595" s="2">
        <f>PerfRate[[#This Row],[ManagerRating]] - PerfRate[[#This Row],[SelfRating]]</f>
        <v>0</v>
      </c>
    </row>
    <row r="596" spans="1:18">
      <c r="A596" s="2" t="s">
        <v>4903</v>
      </c>
      <c r="B596" s="2" t="s">
        <v>1674</v>
      </c>
      <c r="C596" s="1">
        <v>42919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  <c r="L596" s="2" t="s">
        <v>11030</v>
      </c>
      <c r="M596" s="2" t="s">
        <v>11029</v>
      </c>
      <c r="N596" s="2" t="s">
        <v>11038</v>
      </c>
      <c r="O596" s="2" t="s">
        <v>11038</v>
      </c>
      <c r="P596" s="2" t="s">
        <v>11038</v>
      </c>
      <c r="Q596" s="2">
        <f>AVERAGE(PerfRate[[#This Row],[EnvironmentSatisfaction]],PerfRate[[#This Row],[JobSatisfaction]],PerfRate[[#This Row],[RelationshipSatisfaction]])</f>
        <v>5</v>
      </c>
      <c r="R596" s="2">
        <f>PerfRate[[#This Row],[ManagerRating]] - PerfRate[[#This Row],[SelfRating]]</f>
        <v>-1</v>
      </c>
    </row>
    <row r="597" spans="1:18">
      <c r="A597" s="2" t="s">
        <v>4904</v>
      </c>
      <c r="B597" s="2" t="s">
        <v>86</v>
      </c>
      <c r="C597" s="1">
        <v>42919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  <c r="L597" s="2" t="s">
        <v>11029</v>
      </c>
      <c r="M597" s="2" t="s">
        <v>11029</v>
      </c>
      <c r="N597" s="2" t="s">
        <v>11036</v>
      </c>
      <c r="O597" s="2" t="s">
        <v>11037</v>
      </c>
      <c r="P597" s="2" t="s">
        <v>11037</v>
      </c>
      <c r="Q597" s="2">
        <f>AVERAGE(PerfRate[[#This Row],[EnvironmentSatisfaction]],PerfRate[[#This Row],[JobSatisfaction]],PerfRate[[#This Row],[RelationshipSatisfaction]])</f>
        <v>3.6666666666666665</v>
      </c>
      <c r="R597" s="2">
        <f>PerfRate[[#This Row],[ManagerRating]] - PerfRate[[#This Row],[SelfRating]]</f>
        <v>0</v>
      </c>
    </row>
    <row r="598" spans="1:18">
      <c r="A598" s="2" t="s">
        <v>4905</v>
      </c>
      <c r="B598" s="2" t="s">
        <v>4183</v>
      </c>
      <c r="C598" s="1">
        <v>42919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  <c r="L598" s="2" t="s">
        <v>11031</v>
      </c>
      <c r="M598" s="2" t="s">
        <v>11030</v>
      </c>
      <c r="N598" s="2" t="s">
        <v>11037</v>
      </c>
      <c r="O598" s="2" t="s">
        <v>11038</v>
      </c>
      <c r="P598" s="2" t="s">
        <v>11035</v>
      </c>
      <c r="Q598" s="2">
        <f>AVERAGE(PerfRate[[#This Row],[EnvironmentSatisfaction]],PerfRate[[#This Row],[JobSatisfaction]],PerfRate[[#This Row],[RelationshipSatisfaction]])</f>
        <v>3.6666666666666665</v>
      </c>
      <c r="R598" s="2">
        <f>PerfRate[[#This Row],[ManagerRating]] - PerfRate[[#This Row],[SelfRating]]</f>
        <v>-1</v>
      </c>
    </row>
    <row r="599" spans="1:18">
      <c r="A599" s="2" t="s">
        <v>4906</v>
      </c>
      <c r="B599" s="2" t="s">
        <v>800</v>
      </c>
      <c r="C599" s="1">
        <v>42981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  <c r="L599" s="2" t="s">
        <v>11030</v>
      </c>
      <c r="M599" s="2" t="s">
        <v>11029</v>
      </c>
      <c r="N599" s="2" t="s">
        <v>11036</v>
      </c>
      <c r="O599" s="2" t="s">
        <v>11038</v>
      </c>
      <c r="P599" s="2" t="s">
        <v>11035</v>
      </c>
      <c r="Q599" s="2">
        <f>AVERAGE(PerfRate[[#This Row],[EnvironmentSatisfaction]],PerfRate[[#This Row],[JobSatisfaction]],PerfRate[[#This Row],[RelationshipSatisfaction]])</f>
        <v>3.3333333333333335</v>
      </c>
      <c r="R599" s="2">
        <f>PerfRate[[#This Row],[ManagerRating]] - PerfRate[[#This Row],[SelfRating]]</f>
        <v>-1</v>
      </c>
    </row>
    <row r="600" spans="1:18">
      <c r="A600" s="2" t="s">
        <v>4907</v>
      </c>
      <c r="B600" s="2" t="s">
        <v>904</v>
      </c>
      <c r="C600" s="1">
        <v>41671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  <c r="L600" s="2" t="s">
        <v>11030</v>
      </c>
      <c r="M600" s="2" t="s">
        <v>11030</v>
      </c>
      <c r="N600" s="2" t="s">
        <v>11038</v>
      </c>
      <c r="O600" s="2" t="s">
        <v>11035</v>
      </c>
      <c r="P600" s="2" t="s">
        <v>11035</v>
      </c>
      <c r="Q600" s="2">
        <f>AVERAGE(PerfRate[[#This Row],[EnvironmentSatisfaction]],PerfRate[[#This Row],[JobSatisfaction]],PerfRate[[#This Row],[RelationshipSatisfaction]])</f>
        <v>3</v>
      </c>
      <c r="R600" s="2">
        <f>PerfRate[[#This Row],[ManagerRating]] - PerfRate[[#This Row],[SelfRating]]</f>
        <v>0</v>
      </c>
    </row>
    <row r="601" spans="1:18">
      <c r="A601" s="2" t="s">
        <v>4908</v>
      </c>
      <c r="B601" s="2" t="s">
        <v>192</v>
      </c>
      <c r="C601" s="1">
        <v>42981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  <c r="L601" s="2" t="s">
        <v>11031</v>
      </c>
      <c r="M601" s="2" t="s">
        <v>11031</v>
      </c>
      <c r="N601" s="2" t="s">
        <v>11038</v>
      </c>
      <c r="O601" s="2" t="s">
        <v>11035</v>
      </c>
      <c r="P601" s="2" t="s">
        <v>11037</v>
      </c>
      <c r="Q601" s="2">
        <f>AVERAGE(PerfRate[[#This Row],[EnvironmentSatisfaction]],PerfRate[[#This Row],[JobSatisfaction]],PerfRate[[#This Row],[RelationshipSatisfaction]])</f>
        <v>3.6666666666666665</v>
      </c>
      <c r="R601" s="2">
        <f>PerfRate[[#This Row],[ManagerRating]] - PerfRate[[#This Row],[SelfRating]]</f>
        <v>0</v>
      </c>
    </row>
    <row r="602" spans="1:18">
      <c r="A602" s="2" t="s">
        <v>4909</v>
      </c>
      <c r="B602" s="2" t="s">
        <v>571</v>
      </c>
      <c r="C602" s="1">
        <v>42981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  <c r="L602" s="2" t="s">
        <v>11030</v>
      </c>
      <c r="M602" s="2" t="s">
        <v>11030</v>
      </c>
      <c r="N602" s="2" t="s">
        <v>11038</v>
      </c>
      <c r="O602" s="2" t="s">
        <v>11035</v>
      </c>
      <c r="P602" s="2" t="s">
        <v>11037</v>
      </c>
      <c r="Q602" s="2">
        <f>AVERAGE(PerfRate[[#This Row],[EnvironmentSatisfaction]],PerfRate[[#This Row],[JobSatisfaction]],PerfRate[[#This Row],[RelationshipSatisfaction]])</f>
        <v>3.6666666666666665</v>
      </c>
      <c r="R602" s="2">
        <f>PerfRate[[#This Row],[ManagerRating]] - PerfRate[[#This Row],[SelfRating]]</f>
        <v>0</v>
      </c>
    </row>
    <row r="603" spans="1:18">
      <c r="A603" s="2" t="s">
        <v>4910</v>
      </c>
      <c r="B603" s="2" t="s">
        <v>4236</v>
      </c>
      <c r="C603" s="1">
        <v>43011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  <c r="L603" s="2" t="s">
        <v>11029</v>
      </c>
      <c r="M603" s="2" t="s">
        <v>11028</v>
      </c>
      <c r="N603" s="2" t="s">
        <v>11038</v>
      </c>
      <c r="O603" s="2" t="s">
        <v>11038</v>
      </c>
      <c r="P603" s="2" t="s">
        <v>11035</v>
      </c>
      <c r="Q603" s="2">
        <f>AVERAGE(PerfRate[[#This Row],[EnvironmentSatisfaction]],PerfRate[[#This Row],[JobSatisfaction]],PerfRate[[#This Row],[RelationshipSatisfaction]])</f>
        <v>4</v>
      </c>
      <c r="R603" s="2">
        <f>PerfRate[[#This Row],[ManagerRating]] - PerfRate[[#This Row],[SelfRating]]</f>
        <v>-1</v>
      </c>
    </row>
    <row r="604" spans="1:18">
      <c r="A604" s="2" t="s">
        <v>4911</v>
      </c>
      <c r="B604" s="2" t="s">
        <v>1939</v>
      </c>
      <c r="C604" s="1">
        <v>43042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  <c r="L604" s="2" t="s">
        <v>11029</v>
      </c>
      <c r="M604" s="2" t="s">
        <v>11028</v>
      </c>
      <c r="N604" s="2" t="s">
        <v>11035</v>
      </c>
      <c r="O604" s="2" t="s">
        <v>11035</v>
      </c>
      <c r="P604" s="2" t="s">
        <v>11036</v>
      </c>
      <c r="Q604" s="2">
        <f>AVERAGE(PerfRate[[#This Row],[EnvironmentSatisfaction]],PerfRate[[#This Row],[JobSatisfaction]],PerfRate[[#This Row],[RelationshipSatisfaction]])</f>
        <v>2.3333333333333335</v>
      </c>
      <c r="R604" s="2">
        <f>PerfRate[[#This Row],[ManagerRating]] - PerfRate[[#This Row],[SelfRating]]</f>
        <v>-1</v>
      </c>
    </row>
    <row r="605" spans="1:18">
      <c r="A605" s="2" t="s">
        <v>4912</v>
      </c>
      <c r="B605" s="2" t="s">
        <v>3425</v>
      </c>
      <c r="C605" s="1">
        <v>43042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  <c r="L605" s="2" t="s">
        <v>11029</v>
      </c>
      <c r="M605" s="2" t="s">
        <v>11029</v>
      </c>
      <c r="N605" s="2" t="s">
        <v>11035</v>
      </c>
      <c r="O605" s="2" t="s">
        <v>11034</v>
      </c>
      <c r="P605" s="2" t="s">
        <v>11037</v>
      </c>
      <c r="Q605" s="2">
        <f>AVERAGE(PerfRate[[#This Row],[EnvironmentSatisfaction]],PerfRate[[#This Row],[JobSatisfaction]],PerfRate[[#This Row],[RelationshipSatisfaction]])</f>
        <v>2.3333333333333335</v>
      </c>
      <c r="R605" s="2">
        <f>PerfRate[[#This Row],[ManagerRating]] - PerfRate[[#This Row],[SelfRating]]</f>
        <v>0</v>
      </c>
    </row>
    <row r="606" spans="1:18">
      <c r="A606" s="2" t="s">
        <v>4913</v>
      </c>
      <c r="B606" s="2" t="s">
        <v>1686</v>
      </c>
      <c r="C606" s="1">
        <v>43072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  <c r="L606" s="2" t="s">
        <v>11031</v>
      </c>
      <c r="M606" s="2" t="s">
        <v>11031</v>
      </c>
      <c r="N606" s="2" t="s">
        <v>11037</v>
      </c>
      <c r="O606" s="2" t="s">
        <v>11036</v>
      </c>
      <c r="P606" s="2" t="s">
        <v>11036</v>
      </c>
      <c r="Q606" s="2">
        <f>AVERAGE(PerfRate[[#This Row],[EnvironmentSatisfaction]],PerfRate[[#This Row],[JobSatisfaction]],PerfRate[[#This Row],[RelationshipSatisfaction]])</f>
        <v>3.3333333333333335</v>
      </c>
      <c r="R606" s="2">
        <f>PerfRate[[#This Row],[ManagerRating]] - PerfRate[[#This Row],[SelfRating]]</f>
        <v>0</v>
      </c>
    </row>
    <row r="607" spans="1:18">
      <c r="A607" s="2" t="s">
        <v>4914</v>
      </c>
      <c r="B607" s="2" t="s">
        <v>365</v>
      </c>
      <c r="C607" s="1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  <c r="L607" s="2" t="s">
        <v>11031</v>
      </c>
      <c r="M607" s="2" t="s">
        <v>11031</v>
      </c>
      <c r="N607" s="2" t="s">
        <v>11035</v>
      </c>
      <c r="O607" s="2" t="s">
        <v>11037</v>
      </c>
      <c r="P607" s="2" t="s">
        <v>11037</v>
      </c>
      <c r="Q607" s="2">
        <f>AVERAGE(PerfRate[[#This Row],[EnvironmentSatisfaction]],PerfRate[[#This Row],[JobSatisfaction]],PerfRate[[#This Row],[RelationshipSatisfaction]])</f>
        <v>3.3333333333333335</v>
      </c>
      <c r="R607" s="2">
        <f>PerfRate[[#This Row],[ManagerRating]] - PerfRate[[#This Row],[SelfRating]]</f>
        <v>0</v>
      </c>
    </row>
    <row r="608" spans="1:18">
      <c r="A608" s="2" t="s">
        <v>4915</v>
      </c>
      <c r="B608" s="2" t="s">
        <v>943</v>
      </c>
      <c r="C608" s="1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  <c r="L608" s="2" t="s">
        <v>11029</v>
      </c>
      <c r="M608" s="2" t="s">
        <v>11028</v>
      </c>
      <c r="N608" s="2" t="s">
        <v>11036</v>
      </c>
      <c r="O608" s="2" t="s">
        <v>11036</v>
      </c>
      <c r="P608" s="2" t="s">
        <v>11034</v>
      </c>
      <c r="Q608" s="2">
        <f>AVERAGE(PerfRate[[#This Row],[EnvironmentSatisfaction]],PerfRate[[#This Row],[JobSatisfaction]],PerfRate[[#This Row],[RelationshipSatisfaction]])</f>
        <v>2.3333333333333335</v>
      </c>
      <c r="R608" s="2">
        <f>PerfRate[[#This Row],[ManagerRating]] - PerfRate[[#This Row],[SelfRating]]</f>
        <v>-1</v>
      </c>
    </row>
    <row r="609" spans="1:18">
      <c r="A609" s="2" t="s">
        <v>4916</v>
      </c>
      <c r="B609" s="2" t="s">
        <v>823</v>
      </c>
      <c r="C609" s="1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  <c r="L609" s="2" t="s">
        <v>11030</v>
      </c>
      <c r="M609" s="2" t="s">
        <v>11029</v>
      </c>
      <c r="N609" s="2" t="s">
        <v>11034</v>
      </c>
      <c r="O609" s="2" t="s">
        <v>11037</v>
      </c>
      <c r="P609" s="2" t="s">
        <v>11036</v>
      </c>
      <c r="Q609" s="2">
        <f>AVERAGE(PerfRate[[#This Row],[EnvironmentSatisfaction]],PerfRate[[#This Row],[JobSatisfaction]],PerfRate[[#This Row],[RelationshipSatisfaction]])</f>
        <v>2.6666666666666665</v>
      </c>
      <c r="R609" s="2">
        <f>PerfRate[[#This Row],[ManagerRating]] - PerfRate[[#This Row],[SelfRating]]</f>
        <v>-1</v>
      </c>
    </row>
    <row r="610" spans="1:18">
      <c r="A610" s="2" t="s">
        <v>4917</v>
      </c>
      <c r="B610" s="2" t="s">
        <v>577</v>
      </c>
      <c r="C610" s="1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  <c r="L610" s="2" t="s">
        <v>11030</v>
      </c>
      <c r="M610" s="2" t="s">
        <v>11030</v>
      </c>
      <c r="N610" s="2" t="s">
        <v>11034</v>
      </c>
      <c r="O610" s="2" t="s">
        <v>11036</v>
      </c>
      <c r="P610" s="2" t="s">
        <v>11037</v>
      </c>
      <c r="Q610" s="2">
        <f>AVERAGE(PerfRate[[#This Row],[EnvironmentSatisfaction]],PerfRate[[#This Row],[JobSatisfaction]],PerfRate[[#This Row],[RelationshipSatisfaction]])</f>
        <v>2.6666666666666665</v>
      </c>
      <c r="R610" s="2">
        <f>PerfRate[[#This Row],[ManagerRating]] - PerfRate[[#This Row],[SelfRating]]</f>
        <v>0</v>
      </c>
    </row>
    <row r="611" spans="1:18">
      <c r="A611" s="2" t="s">
        <v>4918</v>
      </c>
      <c r="B611" s="2" t="s">
        <v>1235</v>
      </c>
      <c r="C611" s="1">
        <v>41699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  <c r="L611" s="2" t="s">
        <v>11031</v>
      </c>
      <c r="M611" s="2" t="s">
        <v>11030</v>
      </c>
      <c r="N611" s="2" t="s">
        <v>11037</v>
      </c>
      <c r="O611" s="2" t="s">
        <v>11037</v>
      </c>
      <c r="P611" s="2" t="s">
        <v>11037</v>
      </c>
      <c r="Q611" s="2">
        <f>AVERAGE(PerfRate[[#This Row],[EnvironmentSatisfaction]],PerfRate[[#This Row],[JobSatisfaction]],PerfRate[[#This Row],[RelationshipSatisfaction]])</f>
        <v>4</v>
      </c>
      <c r="R611" s="2">
        <f>PerfRate[[#This Row],[ManagerRating]] - PerfRate[[#This Row],[SelfRating]]</f>
        <v>-1</v>
      </c>
    </row>
    <row r="612" spans="1:18">
      <c r="A612" s="2" t="s">
        <v>4919</v>
      </c>
      <c r="B612" s="2" t="s">
        <v>2605</v>
      </c>
      <c r="C612" s="1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  <c r="L612" s="2" t="s">
        <v>11031</v>
      </c>
      <c r="M612" s="2" t="s">
        <v>11030</v>
      </c>
      <c r="N612" s="2" t="s">
        <v>11037</v>
      </c>
      <c r="O612" s="2" t="s">
        <v>11037</v>
      </c>
      <c r="P612" s="2" t="s">
        <v>11036</v>
      </c>
      <c r="Q612" s="2">
        <f>AVERAGE(PerfRate[[#This Row],[EnvironmentSatisfaction]],PerfRate[[#This Row],[JobSatisfaction]],PerfRate[[#This Row],[RelationshipSatisfaction]])</f>
        <v>3.6666666666666665</v>
      </c>
      <c r="R612" s="2">
        <f>PerfRate[[#This Row],[ManagerRating]] - PerfRate[[#This Row],[SelfRating]]</f>
        <v>-1</v>
      </c>
    </row>
    <row r="613" spans="1:18">
      <c r="A613" s="2" t="s">
        <v>4920</v>
      </c>
      <c r="B613" s="2" t="s">
        <v>520</v>
      </c>
      <c r="C613" s="1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  <c r="L613" s="2" t="s">
        <v>11031</v>
      </c>
      <c r="M613" s="2" t="s">
        <v>11030</v>
      </c>
      <c r="N613" s="2" t="s">
        <v>11035</v>
      </c>
      <c r="O613" s="2" t="s">
        <v>11035</v>
      </c>
      <c r="P613" s="2" t="s">
        <v>11035</v>
      </c>
      <c r="Q613" s="2">
        <f>AVERAGE(PerfRate[[#This Row],[EnvironmentSatisfaction]],PerfRate[[#This Row],[JobSatisfaction]],PerfRate[[#This Row],[RelationshipSatisfaction]])</f>
        <v>2</v>
      </c>
      <c r="R613" s="2">
        <f>PerfRate[[#This Row],[ManagerRating]] - PerfRate[[#This Row],[SelfRating]]</f>
        <v>-1</v>
      </c>
    </row>
    <row r="614" spans="1:18">
      <c r="A614" s="2" t="s">
        <v>4921</v>
      </c>
      <c r="B614" s="2" t="s">
        <v>302</v>
      </c>
      <c r="C614" s="1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  <c r="L614" s="2" t="s">
        <v>11031</v>
      </c>
      <c r="M614" s="2" t="s">
        <v>11030</v>
      </c>
      <c r="N614" s="2" t="s">
        <v>11035</v>
      </c>
      <c r="O614" s="2" t="s">
        <v>11037</v>
      </c>
      <c r="P614" s="2" t="s">
        <v>11036</v>
      </c>
      <c r="Q614" s="2">
        <f>AVERAGE(PerfRate[[#This Row],[EnvironmentSatisfaction]],PerfRate[[#This Row],[JobSatisfaction]],PerfRate[[#This Row],[RelationshipSatisfaction]])</f>
        <v>3</v>
      </c>
      <c r="R614" s="2">
        <f>PerfRate[[#This Row],[ManagerRating]] - PerfRate[[#This Row],[SelfRating]]</f>
        <v>-1</v>
      </c>
    </row>
    <row r="615" spans="1:18">
      <c r="A615" s="2" t="s">
        <v>4922</v>
      </c>
      <c r="B615" s="2" t="s">
        <v>1283</v>
      </c>
      <c r="C615" s="1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  <c r="L615" s="2" t="s">
        <v>11029</v>
      </c>
      <c r="M615" s="2" t="s">
        <v>11028</v>
      </c>
      <c r="N615" s="2" t="s">
        <v>11037</v>
      </c>
      <c r="O615" s="2" t="s">
        <v>11036</v>
      </c>
      <c r="P615" s="2" t="s">
        <v>11035</v>
      </c>
      <c r="Q615" s="2">
        <f>AVERAGE(PerfRate[[#This Row],[EnvironmentSatisfaction]],PerfRate[[#This Row],[JobSatisfaction]],PerfRate[[#This Row],[RelationshipSatisfaction]])</f>
        <v>3</v>
      </c>
      <c r="R615" s="2">
        <f>PerfRate[[#This Row],[ManagerRating]] - PerfRate[[#This Row],[SelfRating]]</f>
        <v>-1</v>
      </c>
    </row>
    <row r="616" spans="1:18">
      <c r="A616" s="2" t="s">
        <v>4923</v>
      </c>
      <c r="B616" s="2" t="s">
        <v>1710</v>
      </c>
      <c r="C616" s="1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  <c r="L616" s="2" t="s">
        <v>11030</v>
      </c>
      <c r="M616" s="2" t="s">
        <v>11030</v>
      </c>
      <c r="N616" s="2" t="s">
        <v>11036</v>
      </c>
      <c r="O616" s="2" t="s">
        <v>11035</v>
      </c>
      <c r="P616" s="2" t="s">
        <v>11034</v>
      </c>
      <c r="Q616" s="2">
        <f>AVERAGE(PerfRate[[#This Row],[EnvironmentSatisfaction]],PerfRate[[#This Row],[JobSatisfaction]],PerfRate[[#This Row],[RelationshipSatisfaction]])</f>
        <v>2</v>
      </c>
      <c r="R616" s="2">
        <f>PerfRate[[#This Row],[ManagerRating]] - PerfRate[[#This Row],[SelfRating]]</f>
        <v>0</v>
      </c>
    </row>
    <row r="617" spans="1:18">
      <c r="A617" s="2" t="s">
        <v>4924</v>
      </c>
      <c r="B617" s="2" t="s">
        <v>586</v>
      </c>
      <c r="C617" s="1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  <c r="L617" s="2" t="s">
        <v>11029</v>
      </c>
      <c r="M617" s="2" t="s">
        <v>11028</v>
      </c>
      <c r="N617" s="2" t="s">
        <v>11034</v>
      </c>
      <c r="O617" s="2" t="s">
        <v>11036</v>
      </c>
      <c r="P617" s="2" t="s">
        <v>11034</v>
      </c>
      <c r="Q617" s="2">
        <f>AVERAGE(PerfRate[[#This Row],[EnvironmentSatisfaction]],PerfRate[[#This Row],[JobSatisfaction]],PerfRate[[#This Row],[RelationshipSatisfaction]])</f>
        <v>1.6666666666666667</v>
      </c>
      <c r="R617" s="2">
        <f>PerfRate[[#This Row],[ManagerRating]] - PerfRate[[#This Row],[SelfRating]]</f>
        <v>-1</v>
      </c>
    </row>
    <row r="618" spans="1:18">
      <c r="A618" s="2" t="s">
        <v>4925</v>
      </c>
      <c r="B618" s="2" t="s">
        <v>826</v>
      </c>
      <c r="C618" s="1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  <c r="L618" s="2" t="s">
        <v>11029</v>
      </c>
      <c r="M618" s="2" t="s">
        <v>11029</v>
      </c>
      <c r="N618" s="2" t="s">
        <v>11036</v>
      </c>
      <c r="O618" s="2" t="s">
        <v>11035</v>
      </c>
      <c r="P618" s="2" t="s">
        <v>11035</v>
      </c>
      <c r="Q618" s="2">
        <f>AVERAGE(PerfRate[[#This Row],[EnvironmentSatisfaction]],PerfRate[[#This Row],[JobSatisfaction]],PerfRate[[#This Row],[RelationshipSatisfaction]])</f>
        <v>2.3333333333333335</v>
      </c>
      <c r="R618" s="2">
        <f>PerfRate[[#This Row],[ManagerRating]] - PerfRate[[#This Row],[SelfRating]]</f>
        <v>0</v>
      </c>
    </row>
    <row r="619" spans="1:18">
      <c r="A619" s="2" t="s">
        <v>4926</v>
      </c>
      <c r="B619" s="2" t="s">
        <v>281</v>
      </c>
      <c r="C619" s="1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  <c r="L619" s="2" t="s">
        <v>11031</v>
      </c>
      <c r="M619" s="2" t="s">
        <v>11030</v>
      </c>
      <c r="N619" s="2" t="s">
        <v>11037</v>
      </c>
      <c r="O619" s="2" t="s">
        <v>11035</v>
      </c>
      <c r="P619" s="2" t="s">
        <v>11035</v>
      </c>
      <c r="Q619" s="2">
        <f>AVERAGE(PerfRate[[#This Row],[EnvironmentSatisfaction]],PerfRate[[#This Row],[JobSatisfaction]],PerfRate[[#This Row],[RelationshipSatisfaction]])</f>
        <v>2.6666666666666665</v>
      </c>
      <c r="R619" s="2">
        <f>PerfRate[[#This Row],[ManagerRating]] - PerfRate[[#This Row],[SelfRating]]</f>
        <v>-1</v>
      </c>
    </row>
    <row r="620" spans="1:18">
      <c r="A620" s="2" t="s">
        <v>4927</v>
      </c>
      <c r="B620" s="2" t="s">
        <v>362</v>
      </c>
      <c r="C620" s="1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  <c r="L620" s="2" t="s">
        <v>11031</v>
      </c>
      <c r="M620" s="2" t="s">
        <v>11030</v>
      </c>
      <c r="N620" s="2" t="s">
        <v>11037</v>
      </c>
      <c r="O620" s="2" t="s">
        <v>11035</v>
      </c>
      <c r="P620" s="2" t="s">
        <v>11034</v>
      </c>
      <c r="Q620" s="2">
        <f>AVERAGE(PerfRate[[#This Row],[EnvironmentSatisfaction]],PerfRate[[#This Row],[JobSatisfaction]],PerfRate[[#This Row],[RelationshipSatisfaction]])</f>
        <v>2.3333333333333335</v>
      </c>
      <c r="R620" s="2">
        <f>PerfRate[[#This Row],[ManagerRating]] - PerfRate[[#This Row],[SelfRating]]</f>
        <v>-1</v>
      </c>
    </row>
    <row r="621" spans="1:18">
      <c r="A621" s="2" t="s">
        <v>4928</v>
      </c>
      <c r="B621" s="2" t="s">
        <v>1942</v>
      </c>
      <c r="C621" s="1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  <c r="L621" s="2" t="s">
        <v>11029</v>
      </c>
      <c r="M621" s="2" t="s">
        <v>11029</v>
      </c>
      <c r="N621" s="2" t="s">
        <v>11034</v>
      </c>
      <c r="O621" s="2" t="s">
        <v>11035</v>
      </c>
      <c r="P621" s="2" t="s">
        <v>11037</v>
      </c>
      <c r="Q621" s="2">
        <f>AVERAGE(PerfRate[[#This Row],[EnvironmentSatisfaction]],PerfRate[[#This Row],[JobSatisfaction]],PerfRate[[#This Row],[RelationshipSatisfaction]])</f>
        <v>2.3333333333333335</v>
      </c>
      <c r="R621" s="2">
        <f>PerfRate[[#This Row],[ManagerRating]] - PerfRate[[#This Row],[SelfRating]]</f>
        <v>0</v>
      </c>
    </row>
    <row r="622" spans="1:18">
      <c r="A622" s="2" t="s">
        <v>4929</v>
      </c>
      <c r="B622" s="2" t="s">
        <v>1326</v>
      </c>
      <c r="C622" s="1">
        <v>41699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  <c r="L622" s="2" t="s">
        <v>11030</v>
      </c>
      <c r="M622" s="2" t="s">
        <v>11030</v>
      </c>
      <c r="N622" s="2" t="s">
        <v>11037</v>
      </c>
      <c r="O622" s="2" t="s">
        <v>11036</v>
      </c>
      <c r="P622" s="2" t="s">
        <v>11035</v>
      </c>
      <c r="Q622" s="2">
        <f>AVERAGE(PerfRate[[#This Row],[EnvironmentSatisfaction]],PerfRate[[#This Row],[JobSatisfaction]],PerfRate[[#This Row],[RelationshipSatisfaction]])</f>
        <v>3</v>
      </c>
      <c r="R622" s="2">
        <f>PerfRate[[#This Row],[ManagerRating]] - PerfRate[[#This Row],[SelfRating]]</f>
        <v>0</v>
      </c>
    </row>
    <row r="623" spans="1:18">
      <c r="A623" s="2" t="s">
        <v>4930</v>
      </c>
      <c r="B623" s="2" t="s">
        <v>2097</v>
      </c>
      <c r="C623" s="1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  <c r="L623" s="2" t="s">
        <v>11031</v>
      </c>
      <c r="M623" s="2" t="s">
        <v>11030</v>
      </c>
      <c r="N623" s="2" t="s">
        <v>11035</v>
      </c>
      <c r="O623" s="2" t="s">
        <v>11035</v>
      </c>
      <c r="P623" s="2" t="s">
        <v>11037</v>
      </c>
      <c r="Q623" s="2">
        <f>AVERAGE(PerfRate[[#This Row],[EnvironmentSatisfaction]],PerfRate[[#This Row],[JobSatisfaction]],PerfRate[[#This Row],[RelationshipSatisfaction]])</f>
        <v>2.6666666666666665</v>
      </c>
      <c r="R623" s="2">
        <f>PerfRate[[#This Row],[ManagerRating]] - PerfRate[[#This Row],[SelfRating]]</f>
        <v>-1</v>
      </c>
    </row>
    <row r="624" spans="1:18">
      <c r="A624" s="2" t="s">
        <v>4931</v>
      </c>
      <c r="B624" s="2" t="s">
        <v>326</v>
      </c>
      <c r="C624" s="1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  <c r="L624" s="2" t="s">
        <v>11031</v>
      </c>
      <c r="M624" s="2" t="s">
        <v>11030</v>
      </c>
      <c r="N624" s="2" t="s">
        <v>11038</v>
      </c>
      <c r="O624" s="2" t="s">
        <v>11036</v>
      </c>
      <c r="P624" s="2" t="s">
        <v>11037</v>
      </c>
      <c r="Q624" s="2">
        <f>AVERAGE(PerfRate[[#This Row],[EnvironmentSatisfaction]],PerfRate[[#This Row],[JobSatisfaction]],PerfRate[[#This Row],[RelationshipSatisfaction]])</f>
        <v>4</v>
      </c>
      <c r="R624" s="2">
        <f>PerfRate[[#This Row],[ManagerRating]] - PerfRate[[#This Row],[SelfRating]]</f>
        <v>-1</v>
      </c>
    </row>
    <row r="625" spans="1:18">
      <c r="A625" s="2" t="s">
        <v>4932</v>
      </c>
      <c r="B625" s="2" t="s">
        <v>711</v>
      </c>
      <c r="C625" s="1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  <c r="L625" s="2" t="s">
        <v>11030</v>
      </c>
      <c r="M625" s="2" t="s">
        <v>11030</v>
      </c>
      <c r="N625" s="2" t="s">
        <v>11037</v>
      </c>
      <c r="O625" s="2" t="s">
        <v>11037</v>
      </c>
      <c r="P625" s="2" t="s">
        <v>11038</v>
      </c>
      <c r="Q625" s="2">
        <f>AVERAGE(PerfRate[[#This Row],[EnvironmentSatisfaction]],PerfRate[[#This Row],[JobSatisfaction]],PerfRate[[#This Row],[RelationshipSatisfaction]])</f>
        <v>4.333333333333333</v>
      </c>
      <c r="R625" s="2">
        <f>PerfRate[[#This Row],[ManagerRating]] - PerfRate[[#This Row],[SelfRating]]</f>
        <v>0</v>
      </c>
    </row>
    <row r="626" spans="1:18">
      <c r="A626" s="2" t="s">
        <v>4933</v>
      </c>
      <c r="B626" s="2" t="s">
        <v>404</v>
      </c>
      <c r="C626" s="1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  <c r="L626" s="2" t="s">
        <v>11029</v>
      </c>
      <c r="M626" s="2" t="s">
        <v>11028</v>
      </c>
      <c r="N626" s="2" t="s">
        <v>11037</v>
      </c>
      <c r="O626" s="2" t="s">
        <v>11038</v>
      </c>
      <c r="P626" s="2" t="s">
        <v>11036</v>
      </c>
      <c r="Q626" s="2">
        <f>AVERAGE(PerfRate[[#This Row],[EnvironmentSatisfaction]],PerfRate[[#This Row],[JobSatisfaction]],PerfRate[[#This Row],[RelationshipSatisfaction]])</f>
        <v>4</v>
      </c>
      <c r="R626" s="2">
        <f>PerfRate[[#This Row],[ManagerRating]] - PerfRate[[#This Row],[SelfRating]]</f>
        <v>-1</v>
      </c>
    </row>
    <row r="627" spans="1:18">
      <c r="A627" s="2" t="s">
        <v>4934</v>
      </c>
      <c r="B627" s="2" t="s">
        <v>169</v>
      </c>
      <c r="C627" s="1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  <c r="L627" s="2" t="s">
        <v>11031</v>
      </c>
      <c r="M627" s="2" t="s">
        <v>11030</v>
      </c>
      <c r="N627" s="2" t="s">
        <v>11037</v>
      </c>
      <c r="O627" s="2" t="s">
        <v>11036</v>
      </c>
      <c r="P627" s="2" t="s">
        <v>11038</v>
      </c>
      <c r="Q627" s="2">
        <f>AVERAGE(PerfRate[[#This Row],[EnvironmentSatisfaction]],PerfRate[[#This Row],[JobSatisfaction]],PerfRate[[#This Row],[RelationshipSatisfaction]])</f>
        <v>4</v>
      </c>
      <c r="R627" s="2">
        <f>PerfRate[[#This Row],[ManagerRating]] - PerfRate[[#This Row],[SelfRating]]</f>
        <v>-1</v>
      </c>
    </row>
    <row r="628" spans="1:18">
      <c r="A628" s="2" t="s">
        <v>4935</v>
      </c>
      <c r="B628" s="2" t="s">
        <v>2184</v>
      </c>
      <c r="C628" s="1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  <c r="L628" s="2" t="s">
        <v>11029</v>
      </c>
      <c r="M628" s="2" t="s">
        <v>11028</v>
      </c>
      <c r="N628" s="2" t="s">
        <v>11038</v>
      </c>
      <c r="O628" s="2" t="s">
        <v>11038</v>
      </c>
      <c r="P628" s="2" t="s">
        <v>11038</v>
      </c>
      <c r="Q628" s="2">
        <f>AVERAGE(PerfRate[[#This Row],[EnvironmentSatisfaction]],PerfRate[[#This Row],[JobSatisfaction]],PerfRate[[#This Row],[RelationshipSatisfaction]])</f>
        <v>5</v>
      </c>
      <c r="R628" s="2">
        <f>PerfRate[[#This Row],[ManagerRating]] - PerfRate[[#This Row],[SelfRating]]</f>
        <v>-1</v>
      </c>
    </row>
    <row r="629" spans="1:18">
      <c r="A629" s="2" t="s">
        <v>4936</v>
      </c>
      <c r="B629" s="2" t="s">
        <v>452</v>
      </c>
      <c r="C629" s="1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  <c r="L629" s="2" t="s">
        <v>11029</v>
      </c>
      <c r="M629" s="2" t="s">
        <v>11028</v>
      </c>
      <c r="N629" s="2" t="s">
        <v>11036</v>
      </c>
      <c r="O629" s="2" t="s">
        <v>11035</v>
      </c>
      <c r="P629" s="2" t="s">
        <v>11036</v>
      </c>
      <c r="Q629" s="2">
        <f>AVERAGE(PerfRate[[#This Row],[EnvironmentSatisfaction]],PerfRate[[#This Row],[JobSatisfaction]],PerfRate[[#This Row],[RelationshipSatisfaction]])</f>
        <v>2.6666666666666665</v>
      </c>
      <c r="R629" s="2">
        <f>PerfRate[[#This Row],[ManagerRating]] - PerfRate[[#This Row],[SelfRating]]</f>
        <v>-1</v>
      </c>
    </row>
    <row r="630" spans="1:18">
      <c r="A630" s="2" t="s">
        <v>4937</v>
      </c>
      <c r="B630" s="2" t="s">
        <v>1201</v>
      </c>
      <c r="C630" s="1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  <c r="L630" s="2" t="s">
        <v>11031</v>
      </c>
      <c r="M630" s="2" t="s">
        <v>11031</v>
      </c>
      <c r="N630" s="2" t="s">
        <v>11038</v>
      </c>
      <c r="O630" s="2" t="s">
        <v>11038</v>
      </c>
      <c r="P630" s="2" t="s">
        <v>11035</v>
      </c>
      <c r="Q630" s="2">
        <f>AVERAGE(PerfRate[[#This Row],[EnvironmentSatisfaction]],PerfRate[[#This Row],[JobSatisfaction]],PerfRate[[#This Row],[RelationshipSatisfaction]])</f>
        <v>4</v>
      </c>
      <c r="R630" s="2">
        <f>PerfRate[[#This Row],[ManagerRating]] - PerfRate[[#This Row],[SelfRating]]</f>
        <v>0</v>
      </c>
    </row>
    <row r="631" spans="1:18">
      <c r="A631" s="2" t="s">
        <v>4938</v>
      </c>
      <c r="B631" s="2" t="s">
        <v>2427</v>
      </c>
      <c r="C631" s="1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  <c r="L631" s="2" t="s">
        <v>11030</v>
      </c>
      <c r="M631" s="2" t="s">
        <v>11029</v>
      </c>
      <c r="N631" s="2" t="s">
        <v>11036</v>
      </c>
      <c r="O631" s="2" t="s">
        <v>11036</v>
      </c>
      <c r="P631" s="2" t="s">
        <v>11037</v>
      </c>
      <c r="Q631" s="2">
        <f>AVERAGE(PerfRate[[#This Row],[EnvironmentSatisfaction]],PerfRate[[#This Row],[JobSatisfaction]],PerfRate[[#This Row],[RelationshipSatisfaction]])</f>
        <v>3.3333333333333335</v>
      </c>
      <c r="R631" s="2">
        <f>PerfRate[[#This Row],[ManagerRating]] - PerfRate[[#This Row],[SelfRating]]</f>
        <v>-1</v>
      </c>
    </row>
    <row r="632" spans="1:18">
      <c r="A632" s="2" t="s">
        <v>4939</v>
      </c>
      <c r="B632" s="2" t="s">
        <v>2296</v>
      </c>
      <c r="C632" s="1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  <c r="L632" s="2" t="s">
        <v>11029</v>
      </c>
      <c r="M632" s="2" t="s">
        <v>11028</v>
      </c>
      <c r="N632" s="2" t="s">
        <v>11036</v>
      </c>
      <c r="O632" s="2" t="s">
        <v>11038</v>
      </c>
      <c r="P632" s="2" t="s">
        <v>11035</v>
      </c>
      <c r="Q632" s="2">
        <f>AVERAGE(PerfRate[[#This Row],[EnvironmentSatisfaction]],PerfRate[[#This Row],[JobSatisfaction]],PerfRate[[#This Row],[RelationshipSatisfaction]])</f>
        <v>3.3333333333333335</v>
      </c>
      <c r="R632" s="2">
        <f>PerfRate[[#This Row],[ManagerRating]] - PerfRate[[#This Row],[SelfRating]]</f>
        <v>-1</v>
      </c>
    </row>
    <row r="633" spans="1:18">
      <c r="A633" s="2" t="s">
        <v>4940</v>
      </c>
      <c r="B633" s="2" t="s">
        <v>1435</v>
      </c>
      <c r="C633" s="1">
        <v>41730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  <c r="L633" s="2" t="s">
        <v>11029</v>
      </c>
      <c r="M633" s="2" t="s">
        <v>11028</v>
      </c>
      <c r="N633" s="2" t="s">
        <v>11038</v>
      </c>
      <c r="O633" s="2" t="s">
        <v>11036</v>
      </c>
      <c r="P633" s="2" t="s">
        <v>11038</v>
      </c>
      <c r="Q633" s="2">
        <f>AVERAGE(PerfRate[[#This Row],[EnvironmentSatisfaction]],PerfRate[[#This Row],[JobSatisfaction]],PerfRate[[#This Row],[RelationshipSatisfaction]])</f>
        <v>4.333333333333333</v>
      </c>
      <c r="R633" s="2">
        <f>PerfRate[[#This Row],[ManagerRating]] - PerfRate[[#This Row],[SelfRating]]</f>
        <v>-1</v>
      </c>
    </row>
    <row r="634" spans="1:18">
      <c r="A634" s="2" t="s">
        <v>4941</v>
      </c>
      <c r="B634" s="2" t="s">
        <v>3189</v>
      </c>
      <c r="C634" s="1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  <c r="L634" s="2" t="s">
        <v>11031</v>
      </c>
      <c r="M634" s="2" t="s">
        <v>11030</v>
      </c>
      <c r="N634" s="2" t="s">
        <v>11037</v>
      </c>
      <c r="O634" s="2" t="s">
        <v>11037</v>
      </c>
      <c r="P634" s="2" t="s">
        <v>11037</v>
      </c>
      <c r="Q634" s="2">
        <f>AVERAGE(PerfRate[[#This Row],[EnvironmentSatisfaction]],PerfRate[[#This Row],[JobSatisfaction]],PerfRate[[#This Row],[RelationshipSatisfaction]])</f>
        <v>4</v>
      </c>
      <c r="R634" s="2">
        <f>PerfRate[[#This Row],[ManagerRating]] - PerfRate[[#This Row],[SelfRating]]</f>
        <v>-1</v>
      </c>
    </row>
    <row r="635" spans="1:18">
      <c r="A635" s="2" t="s">
        <v>4942</v>
      </c>
      <c r="B635" s="2" t="s">
        <v>538</v>
      </c>
      <c r="C635" s="1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  <c r="L635" s="2" t="s">
        <v>11030</v>
      </c>
      <c r="M635" s="2" t="s">
        <v>11030</v>
      </c>
      <c r="N635" s="2" t="s">
        <v>11037</v>
      </c>
      <c r="O635" s="2" t="s">
        <v>11035</v>
      </c>
      <c r="P635" s="2" t="s">
        <v>11036</v>
      </c>
      <c r="Q635" s="2">
        <f>AVERAGE(PerfRate[[#This Row],[EnvironmentSatisfaction]],PerfRate[[#This Row],[JobSatisfaction]],PerfRate[[#This Row],[RelationshipSatisfaction]])</f>
        <v>3</v>
      </c>
      <c r="R635" s="2">
        <f>PerfRate[[#This Row],[ManagerRating]] - PerfRate[[#This Row],[SelfRating]]</f>
        <v>0</v>
      </c>
    </row>
    <row r="636" spans="1:18">
      <c r="A636" s="2" t="s">
        <v>4943</v>
      </c>
      <c r="B636" s="2" t="s">
        <v>50</v>
      </c>
      <c r="C636" s="1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  <c r="L636" s="2" t="s">
        <v>11030</v>
      </c>
      <c r="M636" s="2" t="s">
        <v>11029</v>
      </c>
      <c r="N636" s="2" t="s">
        <v>11037</v>
      </c>
      <c r="O636" s="2" t="s">
        <v>11038</v>
      </c>
      <c r="P636" s="2" t="s">
        <v>11038</v>
      </c>
      <c r="Q636" s="2">
        <f>AVERAGE(PerfRate[[#This Row],[EnvironmentSatisfaction]],PerfRate[[#This Row],[JobSatisfaction]],PerfRate[[#This Row],[RelationshipSatisfaction]])</f>
        <v>4.666666666666667</v>
      </c>
      <c r="R636" s="2">
        <f>PerfRate[[#This Row],[ManagerRating]] - PerfRate[[#This Row],[SelfRating]]</f>
        <v>-1</v>
      </c>
    </row>
    <row r="637" spans="1:18">
      <c r="A637" s="2" t="s">
        <v>4944</v>
      </c>
      <c r="B637" s="2" t="s">
        <v>759</v>
      </c>
      <c r="C637" s="1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  <c r="L637" s="2" t="s">
        <v>11030</v>
      </c>
      <c r="M637" s="2" t="s">
        <v>11029</v>
      </c>
      <c r="N637" s="2" t="s">
        <v>11036</v>
      </c>
      <c r="O637" s="2" t="s">
        <v>11035</v>
      </c>
      <c r="P637" s="2" t="s">
        <v>11036</v>
      </c>
      <c r="Q637" s="2">
        <f>AVERAGE(PerfRate[[#This Row],[EnvironmentSatisfaction]],PerfRate[[#This Row],[JobSatisfaction]],PerfRate[[#This Row],[RelationshipSatisfaction]])</f>
        <v>2.6666666666666665</v>
      </c>
      <c r="R637" s="2">
        <f>PerfRate[[#This Row],[ManagerRating]] - PerfRate[[#This Row],[SelfRating]]</f>
        <v>-1</v>
      </c>
    </row>
    <row r="638" spans="1:18">
      <c r="A638" s="2" t="s">
        <v>4945</v>
      </c>
      <c r="B638" s="2" t="s">
        <v>610</v>
      </c>
      <c r="C638" s="1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  <c r="L638" s="2" t="s">
        <v>11031</v>
      </c>
      <c r="M638" s="2" t="s">
        <v>11031</v>
      </c>
      <c r="N638" s="2" t="s">
        <v>11037</v>
      </c>
      <c r="O638" s="2" t="s">
        <v>11037</v>
      </c>
      <c r="P638" s="2" t="s">
        <v>11036</v>
      </c>
      <c r="Q638" s="2">
        <f>AVERAGE(PerfRate[[#This Row],[EnvironmentSatisfaction]],PerfRate[[#This Row],[JobSatisfaction]],PerfRate[[#This Row],[RelationshipSatisfaction]])</f>
        <v>3.6666666666666665</v>
      </c>
      <c r="R638" s="2">
        <f>PerfRate[[#This Row],[ManagerRating]] - PerfRate[[#This Row],[SelfRating]]</f>
        <v>0</v>
      </c>
    </row>
    <row r="639" spans="1:18">
      <c r="A639" s="2" t="s">
        <v>4946</v>
      </c>
      <c r="B639" s="2" t="s">
        <v>175</v>
      </c>
      <c r="C639" s="1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  <c r="L639" s="2" t="s">
        <v>11029</v>
      </c>
      <c r="M639" s="2" t="s">
        <v>11029</v>
      </c>
      <c r="N639" s="2" t="s">
        <v>11036</v>
      </c>
      <c r="O639" s="2" t="s">
        <v>11038</v>
      </c>
      <c r="P639" s="2" t="s">
        <v>11037</v>
      </c>
      <c r="Q639" s="2">
        <f>AVERAGE(PerfRate[[#This Row],[EnvironmentSatisfaction]],PerfRate[[#This Row],[JobSatisfaction]],PerfRate[[#This Row],[RelationshipSatisfaction]])</f>
        <v>4</v>
      </c>
      <c r="R639" s="2">
        <f>PerfRate[[#This Row],[ManagerRating]] - PerfRate[[#This Row],[SelfRating]]</f>
        <v>0</v>
      </c>
    </row>
    <row r="640" spans="1:18">
      <c r="A640" s="2" t="s">
        <v>4947</v>
      </c>
      <c r="B640" s="2" t="s">
        <v>4072</v>
      </c>
      <c r="C640" s="1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  <c r="L640" s="2" t="s">
        <v>11030</v>
      </c>
      <c r="M640" s="2" t="s">
        <v>11029</v>
      </c>
      <c r="N640" s="2" t="s">
        <v>11038</v>
      </c>
      <c r="O640" s="2" t="s">
        <v>11036</v>
      </c>
      <c r="P640" s="2" t="s">
        <v>11037</v>
      </c>
      <c r="Q640" s="2">
        <f>AVERAGE(PerfRate[[#This Row],[EnvironmentSatisfaction]],PerfRate[[#This Row],[JobSatisfaction]],PerfRate[[#This Row],[RelationshipSatisfaction]])</f>
        <v>4</v>
      </c>
      <c r="R640" s="2">
        <f>PerfRate[[#This Row],[ManagerRating]] - PerfRate[[#This Row],[SelfRating]]</f>
        <v>-1</v>
      </c>
    </row>
    <row r="641" spans="1:18">
      <c r="A641" s="2" t="s">
        <v>4948</v>
      </c>
      <c r="B641" s="2" t="s">
        <v>1663</v>
      </c>
      <c r="C641" s="1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  <c r="L641" s="2" t="s">
        <v>11029</v>
      </c>
      <c r="M641" s="2" t="s">
        <v>11029</v>
      </c>
      <c r="N641" s="2" t="s">
        <v>11038</v>
      </c>
      <c r="O641" s="2" t="s">
        <v>11036</v>
      </c>
      <c r="P641" s="2" t="s">
        <v>11038</v>
      </c>
      <c r="Q641" s="2">
        <f>AVERAGE(PerfRate[[#This Row],[EnvironmentSatisfaction]],PerfRate[[#This Row],[JobSatisfaction]],PerfRate[[#This Row],[RelationshipSatisfaction]])</f>
        <v>4.333333333333333</v>
      </c>
      <c r="R641" s="2">
        <f>PerfRate[[#This Row],[ManagerRating]] - PerfRate[[#This Row],[SelfRating]]</f>
        <v>0</v>
      </c>
    </row>
    <row r="642" spans="1:18">
      <c r="A642" s="2" t="s">
        <v>4949</v>
      </c>
      <c r="B642" s="2" t="s">
        <v>937</v>
      </c>
      <c r="C642" s="1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  <c r="L642" s="2" t="s">
        <v>11030</v>
      </c>
      <c r="M642" s="2" t="s">
        <v>11029</v>
      </c>
      <c r="N642" s="2" t="s">
        <v>11037</v>
      </c>
      <c r="O642" s="2" t="s">
        <v>11038</v>
      </c>
      <c r="P642" s="2" t="s">
        <v>11037</v>
      </c>
      <c r="Q642" s="2">
        <f>AVERAGE(PerfRate[[#This Row],[EnvironmentSatisfaction]],PerfRate[[#This Row],[JobSatisfaction]],PerfRate[[#This Row],[RelationshipSatisfaction]])</f>
        <v>4.333333333333333</v>
      </c>
      <c r="R642" s="2">
        <f>PerfRate[[#This Row],[ManagerRating]] - PerfRate[[#This Row],[SelfRating]]</f>
        <v>-1</v>
      </c>
    </row>
    <row r="643" spans="1:18">
      <c r="A643" s="2" t="s">
        <v>4950</v>
      </c>
      <c r="B643" s="2" t="s">
        <v>1139</v>
      </c>
      <c r="C643" s="1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  <c r="L643" s="2" t="s">
        <v>11030</v>
      </c>
      <c r="M643" s="2" t="s">
        <v>11029</v>
      </c>
      <c r="N643" s="2" t="s">
        <v>11038</v>
      </c>
      <c r="O643" s="2" t="s">
        <v>11037</v>
      </c>
      <c r="P643" s="2" t="s">
        <v>11036</v>
      </c>
      <c r="Q643" s="2">
        <f>AVERAGE(PerfRate[[#This Row],[EnvironmentSatisfaction]],PerfRate[[#This Row],[JobSatisfaction]],PerfRate[[#This Row],[RelationshipSatisfaction]])</f>
        <v>4</v>
      </c>
      <c r="R643" s="2">
        <f>PerfRate[[#This Row],[ManagerRating]] - PerfRate[[#This Row],[SelfRating]]</f>
        <v>-1</v>
      </c>
    </row>
    <row r="644" spans="1:18">
      <c r="A644" s="2" t="s">
        <v>4951</v>
      </c>
      <c r="B644" s="2" t="s">
        <v>1030</v>
      </c>
      <c r="C644" s="1">
        <v>41730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  <c r="L644" s="2" t="s">
        <v>11031</v>
      </c>
      <c r="M644" s="2" t="s">
        <v>11031</v>
      </c>
      <c r="N644" s="2" t="s">
        <v>11038</v>
      </c>
      <c r="O644" s="2" t="s">
        <v>11038</v>
      </c>
      <c r="P644" s="2" t="s">
        <v>11038</v>
      </c>
      <c r="Q644" s="2">
        <f>AVERAGE(PerfRate[[#This Row],[EnvironmentSatisfaction]],PerfRate[[#This Row],[JobSatisfaction]],PerfRate[[#This Row],[RelationshipSatisfaction]])</f>
        <v>5</v>
      </c>
      <c r="R644" s="2">
        <f>PerfRate[[#This Row],[ManagerRating]] - PerfRate[[#This Row],[SelfRating]]</f>
        <v>0</v>
      </c>
    </row>
    <row r="645" spans="1:18">
      <c r="A645" s="2" t="s">
        <v>4952</v>
      </c>
      <c r="B645" s="2" t="s">
        <v>2112</v>
      </c>
      <c r="C645" s="1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  <c r="L645" s="2" t="s">
        <v>11029</v>
      </c>
      <c r="M645" s="2" t="s">
        <v>11028</v>
      </c>
      <c r="N645" s="2" t="s">
        <v>11037</v>
      </c>
      <c r="O645" s="2" t="s">
        <v>11036</v>
      </c>
      <c r="P645" s="2" t="s">
        <v>11036</v>
      </c>
      <c r="Q645" s="2">
        <f>AVERAGE(PerfRate[[#This Row],[EnvironmentSatisfaction]],PerfRate[[#This Row],[JobSatisfaction]],PerfRate[[#This Row],[RelationshipSatisfaction]])</f>
        <v>3.3333333333333335</v>
      </c>
      <c r="R645" s="2">
        <f>PerfRate[[#This Row],[ManagerRating]] - PerfRate[[#This Row],[SelfRating]]</f>
        <v>-1</v>
      </c>
    </row>
    <row r="646" spans="1:18">
      <c r="A646" s="2" t="s">
        <v>4953</v>
      </c>
      <c r="B646" s="2" t="s">
        <v>1111</v>
      </c>
      <c r="C646" s="1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  <c r="L646" s="2" t="s">
        <v>11031</v>
      </c>
      <c r="M646" s="2" t="s">
        <v>11031</v>
      </c>
      <c r="N646" s="2" t="s">
        <v>11037</v>
      </c>
      <c r="O646" s="2" t="s">
        <v>11035</v>
      </c>
      <c r="P646" s="2" t="s">
        <v>11036</v>
      </c>
      <c r="Q646" s="2">
        <f>AVERAGE(PerfRate[[#This Row],[EnvironmentSatisfaction]],PerfRate[[#This Row],[JobSatisfaction]],PerfRate[[#This Row],[RelationshipSatisfaction]])</f>
        <v>3</v>
      </c>
      <c r="R646" s="2">
        <f>PerfRate[[#This Row],[ManagerRating]] - PerfRate[[#This Row],[SelfRating]]</f>
        <v>0</v>
      </c>
    </row>
    <row r="647" spans="1:18">
      <c r="A647" s="2" t="s">
        <v>4954</v>
      </c>
      <c r="B647" s="2" t="s">
        <v>532</v>
      </c>
      <c r="C647" s="1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  <c r="L647" s="2" t="s">
        <v>11030</v>
      </c>
      <c r="M647" s="2" t="s">
        <v>11030</v>
      </c>
      <c r="N647" s="2" t="s">
        <v>11038</v>
      </c>
      <c r="O647" s="2" t="s">
        <v>11038</v>
      </c>
      <c r="P647" s="2" t="s">
        <v>11036</v>
      </c>
      <c r="Q647" s="2">
        <f>AVERAGE(PerfRate[[#This Row],[EnvironmentSatisfaction]],PerfRate[[#This Row],[JobSatisfaction]],PerfRate[[#This Row],[RelationshipSatisfaction]])</f>
        <v>4.333333333333333</v>
      </c>
      <c r="R647" s="2">
        <f>PerfRate[[#This Row],[ManagerRating]] - PerfRate[[#This Row],[SelfRating]]</f>
        <v>0</v>
      </c>
    </row>
    <row r="648" spans="1:18">
      <c r="A648" s="2" t="s">
        <v>4955</v>
      </c>
      <c r="B648" s="2" t="s">
        <v>3320</v>
      </c>
      <c r="C648" s="1">
        <v>42770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  <c r="L648" s="2" t="s">
        <v>11031</v>
      </c>
      <c r="M648" s="2" t="s">
        <v>11031</v>
      </c>
      <c r="N648" s="2" t="s">
        <v>11037</v>
      </c>
      <c r="O648" s="2" t="s">
        <v>11037</v>
      </c>
      <c r="P648" s="2" t="s">
        <v>11036</v>
      </c>
      <c r="Q648" s="2">
        <f>AVERAGE(PerfRate[[#This Row],[EnvironmentSatisfaction]],PerfRate[[#This Row],[JobSatisfaction]],PerfRate[[#This Row],[RelationshipSatisfaction]])</f>
        <v>3.6666666666666665</v>
      </c>
      <c r="R648" s="2">
        <f>PerfRate[[#This Row],[ManagerRating]] - PerfRate[[#This Row],[SelfRating]]</f>
        <v>0</v>
      </c>
    </row>
    <row r="649" spans="1:18">
      <c r="A649" s="2" t="s">
        <v>4956</v>
      </c>
      <c r="B649" s="2" t="s">
        <v>160</v>
      </c>
      <c r="C649" s="1">
        <v>42770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  <c r="L649" s="2" t="s">
        <v>11030</v>
      </c>
      <c r="M649" s="2" t="s">
        <v>11030</v>
      </c>
      <c r="N649" s="2" t="s">
        <v>11036</v>
      </c>
      <c r="O649" s="2" t="s">
        <v>11038</v>
      </c>
      <c r="P649" s="2" t="s">
        <v>11036</v>
      </c>
      <c r="Q649" s="2">
        <f>AVERAGE(PerfRate[[#This Row],[EnvironmentSatisfaction]],PerfRate[[#This Row],[JobSatisfaction]],PerfRate[[#This Row],[RelationshipSatisfaction]])</f>
        <v>3.6666666666666665</v>
      </c>
      <c r="R649" s="2">
        <f>PerfRate[[#This Row],[ManagerRating]] - PerfRate[[#This Row],[SelfRating]]</f>
        <v>0</v>
      </c>
    </row>
    <row r="650" spans="1:18">
      <c r="A650" s="2" t="s">
        <v>4957</v>
      </c>
      <c r="B650" s="2" t="s">
        <v>753</v>
      </c>
      <c r="C650" s="1">
        <v>42770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  <c r="L650" s="2" t="s">
        <v>11030</v>
      </c>
      <c r="M650" s="2" t="s">
        <v>11029</v>
      </c>
      <c r="N650" s="2" t="s">
        <v>11037</v>
      </c>
      <c r="O650" s="2" t="s">
        <v>11038</v>
      </c>
      <c r="P650" s="2" t="s">
        <v>11035</v>
      </c>
      <c r="Q650" s="2">
        <f>AVERAGE(PerfRate[[#This Row],[EnvironmentSatisfaction]],PerfRate[[#This Row],[JobSatisfaction]],PerfRate[[#This Row],[RelationshipSatisfaction]])</f>
        <v>3.6666666666666665</v>
      </c>
      <c r="R650" s="2">
        <f>PerfRate[[#This Row],[ManagerRating]] - PerfRate[[#This Row],[SelfRating]]</f>
        <v>-1</v>
      </c>
    </row>
    <row r="651" spans="1:18">
      <c r="A651" s="2" t="s">
        <v>4958</v>
      </c>
      <c r="B651" s="2" t="s">
        <v>1108</v>
      </c>
      <c r="C651" s="1">
        <v>42770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  <c r="L651" s="2" t="s">
        <v>11029</v>
      </c>
      <c r="M651" s="2" t="s">
        <v>11028</v>
      </c>
      <c r="N651" s="2" t="s">
        <v>11038</v>
      </c>
      <c r="O651" s="2" t="s">
        <v>11037</v>
      </c>
      <c r="P651" s="2" t="s">
        <v>11037</v>
      </c>
      <c r="Q651" s="2">
        <f>AVERAGE(PerfRate[[#This Row],[EnvironmentSatisfaction]],PerfRate[[#This Row],[JobSatisfaction]],PerfRate[[#This Row],[RelationshipSatisfaction]])</f>
        <v>4.333333333333333</v>
      </c>
      <c r="R651" s="2">
        <f>PerfRate[[#This Row],[ManagerRating]] - PerfRate[[#This Row],[SelfRating]]</f>
        <v>-1</v>
      </c>
    </row>
    <row r="652" spans="1:18">
      <c r="A652" s="2" t="s">
        <v>4959</v>
      </c>
      <c r="B652" s="2" t="s">
        <v>1189</v>
      </c>
      <c r="C652" s="1">
        <v>42798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  <c r="L652" s="2" t="s">
        <v>11029</v>
      </c>
      <c r="M652" s="2" t="s">
        <v>11028</v>
      </c>
      <c r="N652" s="2" t="s">
        <v>11036</v>
      </c>
      <c r="O652" s="2" t="s">
        <v>11038</v>
      </c>
      <c r="P652" s="2" t="s">
        <v>11037</v>
      </c>
      <c r="Q652" s="2">
        <f>AVERAGE(PerfRate[[#This Row],[EnvironmentSatisfaction]],PerfRate[[#This Row],[JobSatisfaction]],PerfRate[[#This Row],[RelationshipSatisfaction]])</f>
        <v>4</v>
      </c>
      <c r="R652" s="2">
        <f>PerfRate[[#This Row],[ManagerRating]] - PerfRate[[#This Row],[SelfRating]]</f>
        <v>-1</v>
      </c>
    </row>
    <row r="653" spans="1:18">
      <c r="A653" s="2" t="s">
        <v>4960</v>
      </c>
      <c r="B653" s="2" t="s">
        <v>687</v>
      </c>
      <c r="C653" s="1">
        <v>42859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  <c r="L653" s="2" t="s">
        <v>11031</v>
      </c>
      <c r="M653" s="2" t="s">
        <v>11030</v>
      </c>
      <c r="N653" s="2" t="s">
        <v>11036</v>
      </c>
      <c r="O653" s="2" t="s">
        <v>11038</v>
      </c>
      <c r="P653" s="2" t="s">
        <v>11036</v>
      </c>
      <c r="Q653" s="2">
        <f>AVERAGE(PerfRate[[#This Row],[EnvironmentSatisfaction]],PerfRate[[#This Row],[JobSatisfaction]],PerfRate[[#This Row],[RelationshipSatisfaction]])</f>
        <v>3.6666666666666665</v>
      </c>
      <c r="R653" s="2">
        <f>PerfRate[[#This Row],[ManagerRating]] - PerfRate[[#This Row],[SelfRating]]</f>
        <v>-1</v>
      </c>
    </row>
    <row r="654" spans="1:18">
      <c r="A654" s="2" t="s">
        <v>4961</v>
      </c>
      <c r="B654" s="2" t="s">
        <v>2792</v>
      </c>
      <c r="C654" s="1">
        <v>42859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  <c r="L654" s="2" t="s">
        <v>11029</v>
      </c>
      <c r="M654" s="2" t="s">
        <v>11029</v>
      </c>
      <c r="N654" s="2" t="s">
        <v>11038</v>
      </c>
      <c r="O654" s="2" t="s">
        <v>11036</v>
      </c>
      <c r="P654" s="2" t="s">
        <v>11037</v>
      </c>
      <c r="Q654" s="2">
        <f>AVERAGE(PerfRate[[#This Row],[EnvironmentSatisfaction]],PerfRate[[#This Row],[JobSatisfaction]],PerfRate[[#This Row],[RelationshipSatisfaction]])</f>
        <v>4</v>
      </c>
      <c r="R654" s="2">
        <f>PerfRate[[#This Row],[ManagerRating]] - PerfRate[[#This Row],[SelfRating]]</f>
        <v>0</v>
      </c>
    </row>
    <row r="655" spans="1:18">
      <c r="A655" s="2" t="s">
        <v>4962</v>
      </c>
      <c r="B655" s="2" t="s">
        <v>964</v>
      </c>
      <c r="C655" s="1">
        <v>41730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  <c r="L655" s="2" t="s">
        <v>11029</v>
      </c>
      <c r="M655" s="2" t="s">
        <v>11028</v>
      </c>
      <c r="N655" s="2" t="s">
        <v>11038</v>
      </c>
      <c r="O655" s="2" t="s">
        <v>11038</v>
      </c>
      <c r="P655" s="2" t="s">
        <v>11038</v>
      </c>
      <c r="Q655" s="2">
        <f>AVERAGE(PerfRate[[#This Row],[EnvironmentSatisfaction]],PerfRate[[#This Row],[JobSatisfaction]],PerfRate[[#This Row],[RelationshipSatisfaction]])</f>
        <v>5</v>
      </c>
      <c r="R655" s="2">
        <f>PerfRate[[#This Row],[ManagerRating]] - PerfRate[[#This Row],[SelfRating]]</f>
        <v>-1</v>
      </c>
    </row>
    <row r="656" spans="1:18">
      <c r="A656" s="2" t="s">
        <v>4963</v>
      </c>
      <c r="B656" s="2" t="s">
        <v>2981</v>
      </c>
      <c r="C656" s="1">
        <v>42859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  <c r="L656" s="2" t="s">
        <v>11031</v>
      </c>
      <c r="M656" s="2" t="s">
        <v>11030</v>
      </c>
      <c r="N656" s="2" t="s">
        <v>11038</v>
      </c>
      <c r="O656" s="2" t="s">
        <v>11038</v>
      </c>
      <c r="P656" s="2" t="s">
        <v>11037</v>
      </c>
      <c r="Q656" s="2">
        <f>AVERAGE(PerfRate[[#This Row],[EnvironmentSatisfaction]],PerfRate[[#This Row],[JobSatisfaction]],PerfRate[[#This Row],[RelationshipSatisfaction]])</f>
        <v>4.666666666666667</v>
      </c>
      <c r="R656" s="2">
        <f>PerfRate[[#This Row],[ManagerRating]] - PerfRate[[#This Row],[SelfRating]]</f>
        <v>-1</v>
      </c>
    </row>
    <row r="657" spans="1:18">
      <c r="A657" s="2" t="s">
        <v>4964</v>
      </c>
      <c r="B657" s="2" t="s">
        <v>1227</v>
      </c>
      <c r="C657" s="1">
        <v>42859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  <c r="L657" s="2" t="s">
        <v>11029</v>
      </c>
      <c r="M657" s="2" t="s">
        <v>11029</v>
      </c>
      <c r="N657" s="2" t="s">
        <v>11036</v>
      </c>
      <c r="O657" s="2" t="s">
        <v>11037</v>
      </c>
      <c r="P657" s="2" t="s">
        <v>11035</v>
      </c>
      <c r="Q657" s="2">
        <f>AVERAGE(PerfRate[[#This Row],[EnvironmentSatisfaction]],PerfRate[[#This Row],[JobSatisfaction]],PerfRate[[#This Row],[RelationshipSatisfaction]])</f>
        <v>3</v>
      </c>
      <c r="R657" s="2">
        <f>PerfRate[[#This Row],[ManagerRating]] - PerfRate[[#This Row],[SelfRating]]</f>
        <v>0</v>
      </c>
    </row>
    <row r="658" spans="1:18">
      <c r="A658" s="2" t="s">
        <v>4965</v>
      </c>
      <c r="B658" s="2" t="s">
        <v>296</v>
      </c>
      <c r="C658" s="1">
        <v>42890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  <c r="L658" s="2" t="s">
        <v>11029</v>
      </c>
      <c r="M658" s="2" t="s">
        <v>11029</v>
      </c>
      <c r="N658" s="2" t="s">
        <v>11037</v>
      </c>
      <c r="O658" s="2" t="s">
        <v>11036</v>
      </c>
      <c r="P658" s="2" t="s">
        <v>11038</v>
      </c>
      <c r="Q658" s="2">
        <f>AVERAGE(PerfRate[[#This Row],[EnvironmentSatisfaction]],PerfRate[[#This Row],[JobSatisfaction]],PerfRate[[#This Row],[RelationshipSatisfaction]])</f>
        <v>4</v>
      </c>
      <c r="R658" s="2">
        <f>PerfRate[[#This Row],[ManagerRating]] - PerfRate[[#This Row],[SelfRating]]</f>
        <v>0</v>
      </c>
    </row>
    <row r="659" spans="1:18">
      <c r="A659" s="2" t="s">
        <v>4966</v>
      </c>
      <c r="B659" s="2" t="s">
        <v>42</v>
      </c>
      <c r="C659" s="1">
        <v>42951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  <c r="L659" s="2" t="s">
        <v>11030</v>
      </c>
      <c r="M659" s="2" t="s">
        <v>11030</v>
      </c>
      <c r="N659" s="2" t="s">
        <v>11037</v>
      </c>
      <c r="O659" s="2" t="s">
        <v>11037</v>
      </c>
      <c r="P659" s="2" t="s">
        <v>11036</v>
      </c>
      <c r="Q659" s="2">
        <f>AVERAGE(PerfRate[[#This Row],[EnvironmentSatisfaction]],PerfRate[[#This Row],[JobSatisfaction]],PerfRate[[#This Row],[RelationshipSatisfaction]])</f>
        <v>3.6666666666666665</v>
      </c>
      <c r="R659" s="2">
        <f>PerfRate[[#This Row],[ManagerRating]] - PerfRate[[#This Row],[SelfRating]]</f>
        <v>0</v>
      </c>
    </row>
    <row r="660" spans="1:18">
      <c r="A660" s="2" t="s">
        <v>4967</v>
      </c>
      <c r="B660" s="2" t="s">
        <v>779</v>
      </c>
      <c r="C660" s="1">
        <v>42982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  <c r="L660" s="2" t="s">
        <v>11030</v>
      </c>
      <c r="M660" s="2" t="s">
        <v>11029</v>
      </c>
      <c r="N660" s="2" t="s">
        <v>11037</v>
      </c>
      <c r="O660" s="2" t="s">
        <v>11036</v>
      </c>
      <c r="P660" s="2" t="s">
        <v>11035</v>
      </c>
      <c r="Q660" s="2">
        <f>AVERAGE(PerfRate[[#This Row],[EnvironmentSatisfaction]],PerfRate[[#This Row],[JobSatisfaction]],PerfRate[[#This Row],[RelationshipSatisfaction]])</f>
        <v>3</v>
      </c>
      <c r="R660" s="2">
        <f>PerfRate[[#This Row],[ManagerRating]] - PerfRate[[#This Row],[SelfRating]]</f>
        <v>-1</v>
      </c>
    </row>
    <row r="661" spans="1:18">
      <c r="A661" s="2" t="s">
        <v>4968</v>
      </c>
      <c r="B661" s="2" t="s">
        <v>3986</v>
      </c>
      <c r="C661" s="1">
        <v>42982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  <c r="L661" s="2" t="s">
        <v>11030</v>
      </c>
      <c r="M661" s="2" t="s">
        <v>11030</v>
      </c>
      <c r="N661" s="2" t="s">
        <v>11036</v>
      </c>
      <c r="O661" s="2" t="s">
        <v>11035</v>
      </c>
      <c r="P661" s="2" t="s">
        <v>11038</v>
      </c>
      <c r="Q661" s="2">
        <f>AVERAGE(PerfRate[[#This Row],[EnvironmentSatisfaction]],PerfRate[[#This Row],[JobSatisfaction]],PerfRate[[#This Row],[RelationshipSatisfaction]])</f>
        <v>3.3333333333333335</v>
      </c>
      <c r="R661" s="2">
        <f>PerfRate[[#This Row],[ManagerRating]] - PerfRate[[#This Row],[SelfRating]]</f>
        <v>0</v>
      </c>
    </row>
    <row r="662" spans="1:18">
      <c r="A662" s="2" t="s">
        <v>4969</v>
      </c>
      <c r="B662" s="2" t="s">
        <v>323</v>
      </c>
      <c r="C662" s="1">
        <v>43012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  <c r="L662" s="2" t="s">
        <v>11031</v>
      </c>
      <c r="M662" s="2" t="s">
        <v>11031</v>
      </c>
      <c r="N662" s="2" t="s">
        <v>11038</v>
      </c>
      <c r="O662" s="2" t="s">
        <v>11035</v>
      </c>
      <c r="P662" s="2" t="s">
        <v>11035</v>
      </c>
      <c r="Q662" s="2">
        <f>AVERAGE(PerfRate[[#This Row],[EnvironmentSatisfaction]],PerfRate[[#This Row],[JobSatisfaction]],PerfRate[[#This Row],[RelationshipSatisfaction]])</f>
        <v>3</v>
      </c>
      <c r="R662" s="2">
        <f>PerfRate[[#This Row],[ManagerRating]] - PerfRate[[#This Row],[SelfRating]]</f>
        <v>0</v>
      </c>
    </row>
    <row r="663" spans="1:18">
      <c r="A663" s="2" t="s">
        <v>4970</v>
      </c>
      <c r="B663" s="2" t="s">
        <v>723</v>
      </c>
      <c r="C663" s="1">
        <v>43012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  <c r="L663" s="2" t="s">
        <v>11030</v>
      </c>
      <c r="M663" s="2" t="s">
        <v>11030</v>
      </c>
      <c r="N663" s="2" t="s">
        <v>11038</v>
      </c>
      <c r="O663" s="2" t="s">
        <v>11037</v>
      </c>
      <c r="P663" s="2" t="s">
        <v>11038</v>
      </c>
      <c r="Q663" s="2">
        <f>AVERAGE(PerfRate[[#This Row],[EnvironmentSatisfaction]],PerfRate[[#This Row],[JobSatisfaction]],PerfRate[[#This Row],[RelationshipSatisfaction]])</f>
        <v>4.666666666666667</v>
      </c>
      <c r="R663" s="2">
        <f>PerfRate[[#This Row],[ManagerRating]] - PerfRate[[#This Row],[SelfRating]]</f>
        <v>0</v>
      </c>
    </row>
    <row r="664" spans="1:18">
      <c r="A664" s="2" t="s">
        <v>4971</v>
      </c>
      <c r="B664" s="2" t="s">
        <v>1338</v>
      </c>
      <c r="C664" s="1">
        <v>43012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  <c r="L664" s="2" t="s">
        <v>11030</v>
      </c>
      <c r="M664" s="2" t="s">
        <v>11030</v>
      </c>
      <c r="N664" s="2" t="s">
        <v>11036</v>
      </c>
      <c r="O664" s="2" t="s">
        <v>11036</v>
      </c>
      <c r="P664" s="2" t="s">
        <v>11037</v>
      </c>
      <c r="Q664" s="2">
        <f>AVERAGE(PerfRate[[#This Row],[EnvironmentSatisfaction]],PerfRate[[#This Row],[JobSatisfaction]],PerfRate[[#This Row],[RelationshipSatisfaction]])</f>
        <v>3.3333333333333335</v>
      </c>
      <c r="R664" s="2">
        <f>PerfRate[[#This Row],[ManagerRating]] - PerfRate[[#This Row],[SelfRating]]</f>
        <v>0</v>
      </c>
    </row>
    <row r="665" spans="1:18">
      <c r="A665" s="2" t="s">
        <v>4972</v>
      </c>
      <c r="B665" s="2" t="s">
        <v>395</v>
      </c>
      <c r="C665" s="1">
        <v>43043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  <c r="L665" s="2" t="s">
        <v>11030</v>
      </c>
      <c r="M665" s="2" t="s">
        <v>11030</v>
      </c>
      <c r="N665" s="2" t="s">
        <v>11038</v>
      </c>
      <c r="O665" s="2" t="s">
        <v>11035</v>
      </c>
      <c r="P665" s="2" t="s">
        <v>11037</v>
      </c>
      <c r="Q665" s="2">
        <f>AVERAGE(PerfRate[[#This Row],[EnvironmentSatisfaction]],PerfRate[[#This Row],[JobSatisfaction]],PerfRate[[#This Row],[RelationshipSatisfaction]])</f>
        <v>3.6666666666666665</v>
      </c>
      <c r="R665" s="2">
        <f>PerfRate[[#This Row],[ManagerRating]] - PerfRate[[#This Row],[SelfRating]]</f>
        <v>0</v>
      </c>
    </row>
    <row r="666" spans="1:18">
      <c r="A666" s="2" t="s">
        <v>4973</v>
      </c>
      <c r="B666" s="2" t="s">
        <v>428</v>
      </c>
      <c r="C666" s="1">
        <v>41852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  <c r="L666" s="2" t="s">
        <v>11031</v>
      </c>
      <c r="M666" s="2" t="s">
        <v>11031</v>
      </c>
      <c r="N666" s="2" t="s">
        <v>11038</v>
      </c>
      <c r="O666" s="2" t="s">
        <v>11038</v>
      </c>
      <c r="P666" s="2" t="s">
        <v>11035</v>
      </c>
      <c r="Q666" s="2">
        <f>AVERAGE(PerfRate[[#This Row],[EnvironmentSatisfaction]],PerfRate[[#This Row],[JobSatisfaction]],PerfRate[[#This Row],[RelationshipSatisfaction]])</f>
        <v>4</v>
      </c>
      <c r="R666" s="2">
        <f>PerfRate[[#This Row],[ManagerRating]] - PerfRate[[#This Row],[SelfRating]]</f>
        <v>0</v>
      </c>
    </row>
    <row r="667" spans="1:18">
      <c r="A667" s="2" t="s">
        <v>4974</v>
      </c>
      <c r="B667" s="2" t="s">
        <v>3448</v>
      </c>
      <c r="C667" s="1">
        <v>43043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  <c r="L667" s="2" t="s">
        <v>11031</v>
      </c>
      <c r="M667" s="2" t="s">
        <v>11030</v>
      </c>
      <c r="N667" s="2" t="s">
        <v>11037</v>
      </c>
      <c r="O667" s="2" t="s">
        <v>11037</v>
      </c>
      <c r="P667" s="2" t="s">
        <v>11035</v>
      </c>
      <c r="Q667" s="2">
        <f>AVERAGE(PerfRate[[#This Row],[EnvironmentSatisfaction]],PerfRate[[#This Row],[JobSatisfaction]],PerfRate[[#This Row],[RelationshipSatisfaction]])</f>
        <v>3.3333333333333335</v>
      </c>
      <c r="R667" s="2">
        <f>PerfRate[[#This Row],[ManagerRating]] - PerfRate[[#This Row],[SelfRating]]</f>
        <v>-1</v>
      </c>
    </row>
    <row r="668" spans="1:18">
      <c r="A668" s="2" t="s">
        <v>4975</v>
      </c>
      <c r="B668" s="2" t="s">
        <v>3490</v>
      </c>
      <c r="C668" s="1">
        <v>43043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  <c r="L668" s="2" t="s">
        <v>11029</v>
      </c>
      <c r="M668" s="2" t="s">
        <v>11029</v>
      </c>
      <c r="N668" s="2" t="s">
        <v>11037</v>
      </c>
      <c r="O668" s="2" t="s">
        <v>11035</v>
      </c>
      <c r="P668" s="2" t="s">
        <v>11036</v>
      </c>
      <c r="Q668" s="2">
        <f>AVERAGE(PerfRate[[#This Row],[EnvironmentSatisfaction]],PerfRate[[#This Row],[JobSatisfaction]],PerfRate[[#This Row],[RelationshipSatisfaction]])</f>
        <v>3</v>
      </c>
      <c r="R668" s="2">
        <f>PerfRate[[#This Row],[ManagerRating]] - PerfRate[[#This Row],[SelfRating]]</f>
        <v>0</v>
      </c>
    </row>
    <row r="669" spans="1:18">
      <c r="A669" s="2" t="s">
        <v>4976</v>
      </c>
      <c r="B669" s="2" t="s">
        <v>1166</v>
      </c>
      <c r="C669" s="1">
        <v>43043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  <c r="L669" s="2" t="s">
        <v>11031</v>
      </c>
      <c r="M669" s="2" t="s">
        <v>11031</v>
      </c>
      <c r="N669" s="2" t="s">
        <v>11038</v>
      </c>
      <c r="O669" s="2" t="s">
        <v>11036</v>
      </c>
      <c r="P669" s="2" t="s">
        <v>11038</v>
      </c>
      <c r="Q669" s="2">
        <f>AVERAGE(PerfRate[[#This Row],[EnvironmentSatisfaction]],PerfRate[[#This Row],[JobSatisfaction]],PerfRate[[#This Row],[RelationshipSatisfaction]])</f>
        <v>4.333333333333333</v>
      </c>
      <c r="R669" s="2">
        <f>PerfRate[[#This Row],[ManagerRating]] - PerfRate[[#This Row],[SelfRating]]</f>
        <v>0</v>
      </c>
    </row>
    <row r="670" spans="1:18">
      <c r="A670" s="2" t="s">
        <v>4977</v>
      </c>
      <c r="B670" s="2" t="s">
        <v>771</v>
      </c>
      <c r="C670" s="1">
        <v>43073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  <c r="L670" s="2" t="s">
        <v>11029</v>
      </c>
      <c r="M670" s="2" t="s">
        <v>11028</v>
      </c>
      <c r="N670" s="2" t="s">
        <v>11036</v>
      </c>
      <c r="O670" s="2" t="s">
        <v>11035</v>
      </c>
      <c r="P670" s="2" t="s">
        <v>11038</v>
      </c>
      <c r="Q670" s="2">
        <f>AVERAGE(PerfRate[[#This Row],[EnvironmentSatisfaction]],PerfRate[[#This Row],[JobSatisfaction]],PerfRate[[#This Row],[RelationshipSatisfaction]])</f>
        <v>3.3333333333333335</v>
      </c>
      <c r="R670" s="2">
        <f>PerfRate[[#This Row],[ManagerRating]] - PerfRate[[#This Row],[SelfRating]]</f>
        <v>-1</v>
      </c>
    </row>
    <row r="671" spans="1:18">
      <c r="A671" s="2" t="s">
        <v>4978</v>
      </c>
      <c r="B671" s="2" t="s">
        <v>235</v>
      </c>
      <c r="C671" s="1">
        <v>43073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  <c r="L671" s="2" t="s">
        <v>11030</v>
      </c>
      <c r="M671" s="2" t="s">
        <v>11029</v>
      </c>
      <c r="N671" s="2" t="s">
        <v>11037</v>
      </c>
      <c r="O671" s="2" t="s">
        <v>11035</v>
      </c>
      <c r="P671" s="2" t="s">
        <v>11037</v>
      </c>
      <c r="Q671" s="2">
        <f>AVERAGE(PerfRate[[#This Row],[EnvironmentSatisfaction]],PerfRate[[#This Row],[JobSatisfaction]],PerfRate[[#This Row],[RelationshipSatisfaction]])</f>
        <v>3.3333333333333335</v>
      </c>
      <c r="R671" s="2">
        <f>PerfRate[[#This Row],[ManagerRating]] - PerfRate[[#This Row],[SelfRating]]</f>
        <v>-1</v>
      </c>
    </row>
    <row r="672" spans="1:18">
      <c r="A672" s="2" t="s">
        <v>4979</v>
      </c>
      <c r="B672" s="2" t="s">
        <v>1071</v>
      </c>
      <c r="C672" s="1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  <c r="L672" s="2" t="s">
        <v>11029</v>
      </c>
      <c r="M672" s="2" t="s">
        <v>11029</v>
      </c>
      <c r="N672" s="2" t="s">
        <v>11037</v>
      </c>
      <c r="O672" s="2" t="s">
        <v>11037</v>
      </c>
      <c r="P672" s="2" t="s">
        <v>11038</v>
      </c>
      <c r="Q672" s="2">
        <f>AVERAGE(PerfRate[[#This Row],[EnvironmentSatisfaction]],PerfRate[[#This Row],[JobSatisfaction]],PerfRate[[#This Row],[RelationshipSatisfaction]])</f>
        <v>4.333333333333333</v>
      </c>
      <c r="R672" s="2">
        <f>PerfRate[[#This Row],[ManagerRating]] - PerfRate[[#This Row],[SelfRating]]</f>
        <v>0</v>
      </c>
    </row>
    <row r="673" spans="1:18">
      <c r="A673" s="2" t="s">
        <v>4980</v>
      </c>
      <c r="B673" s="2" t="s">
        <v>1779</v>
      </c>
      <c r="C673" s="1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  <c r="L673" s="2" t="s">
        <v>11029</v>
      </c>
      <c r="M673" s="2" t="s">
        <v>11028</v>
      </c>
      <c r="N673" s="2" t="s">
        <v>11036</v>
      </c>
      <c r="O673" s="2" t="s">
        <v>11037</v>
      </c>
      <c r="P673" s="2" t="s">
        <v>11036</v>
      </c>
      <c r="Q673" s="2">
        <f>AVERAGE(PerfRate[[#This Row],[EnvironmentSatisfaction]],PerfRate[[#This Row],[JobSatisfaction]],PerfRate[[#This Row],[RelationshipSatisfaction]])</f>
        <v>3.3333333333333335</v>
      </c>
      <c r="R673" s="2">
        <f>PerfRate[[#This Row],[ManagerRating]] - PerfRate[[#This Row],[SelfRating]]</f>
        <v>-1</v>
      </c>
    </row>
    <row r="674" spans="1:18">
      <c r="A674" s="2" t="s">
        <v>4981</v>
      </c>
      <c r="B674" s="2" t="s">
        <v>106</v>
      </c>
      <c r="C674" s="1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  <c r="L674" s="2" t="s">
        <v>11029</v>
      </c>
      <c r="M674" s="2" t="s">
        <v>11029</v>
      </c>
      <c r="N674" s="2" t="s">
        <v>11036</v>
      </c>
      <c r="O674" s="2" t="s">
        <v>11038</v>
      </c>
      <c r="P674" s="2" t="s">
        <v>11038</v>
      </c>
      <c r="Q674" s="2">
        <f>AVERAGE(PerfRate[[#This Row],[EnvironmentSatisfaction]],PerfRate[[#This Row],[JobSatisfaction]],PerfRate[[#This Row],[RelationshipSatisfaction]])</f>
        <v>4.333333333333333</v>
      </c>
      <c r="R674" s="2">
        <f>PerfRate[[#This Row],[ManagerRating]] - PerfRate[[#This Row],[SelfRating]]</f>
        <v>0</v>
      </c>
    </row>
    <row r="675" spans="1:18">
      <c r="A675" s="2" t="s">
        <v>4982</v>
      </c>
      <c r="B675" s="2" t="s">
        <v>1303</v>
      </c>
      <c r="C675" s="1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  <c r="L675" s="2" t="s">
        <v>11030</v>
      </c>
      <c r="M675" s="2" t="s">
        <v>11029</v>
      </c>
      <c r="N675" s="2" t="s">
        <v>11036</v>
      </c>
      <c r="O675" s="2" t="s">
        <v>11037</v>
      </c>
      <c r="P675" s="2" t="s">
        <v>11037</v>
      </c>
      <c r="Q675" s="2">
        <f>AVERAGE(PerfRate[[#This Row],[EnvironmentSatisfaction]],PerfRate[[#This Row],[JobSatisfaction]],PerfRate[[#This Row],[RelationshipSatisfaction]])</f>
        <v>3.6666666666666665</v>
      </c>
      <c r="R675" s="2">
        <f>PerfRate[[#This Row],[ManagerRating]] - PerfRate[[#This Row],[SelfRating]]</f>
        <v>-1</v>
      </c>
    </row>
    <row r="676" spans="1:18">
      <c r="A676" s="2" t="s">
        <v>4983</v>
      </c>
      <c r="B676" s="2" t="s">
        <v>1968</v>
      </c>
      <c r="C676" s="1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  <c r="L676" s="2" t="s">
        <v>11030</v>
      </c>
      <c r="M676" s="2" t="s">
        <v>11030</v>
      </c>
      <c r="N676" s="2" t="s">
        <v>11036</v>
      </c>
      <c r="O676" s="2" t="s">
        <v>11035</v>
      </c>
      <c r="P676" s="2" t="s">
        <v>11037</v>
      </c>
      <c r="Q676" s="2">
        <f>AVERAGE(PerfRate[[#This Row],[EnvironmentSatisfaction]],PerfRate[[#This Row],[JobSatisfaction]],PerfRate[[#This Row],[RelationshipSatisfaction]])</f>
        <v>3</v>
      </c>
      <c r="R676" s="2">
        <f>PerfRate[[#This Row],[ManagerRating]] - PerfRate[[#This Row],[SelfRating]]</f>
        <v>0</v>
      </c>
    </row>
    <row r="677" spans="1:18">
      <c r="A677" s="2" t="s">
        <v>4984</v>
      </c>
      <c r="B677" s="2" t="s">
        <v>401</v>
      </c>
      <c r="C677" s="1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  <c r="L677" s="2" t="s">
        <v>11030</v>
      </c>
      <c r="M677" s="2" t="s">
        <v>11030</v>
      </c>
      <c r="N677" s="2" t="s">
        <v>11038</v>
      </c>
      <c r="O677" s="2" t="s">
        <v>11038</v>
      </c>
      <c r="P677" s="2" t="s">
        <v>11038</v>
      </c>
      <c r="Q677" s="2">
        <f>AVERAGE(PerfRate[[#This Row],[EnvironmentSatisfaction]],PerfRate[[#This Row],[JobSatisfaction]],PerfRate[[#This Row],[RelationshipSatisfaction]])</f>
        <v>5</v>
      </c>
      <c r="R677" s="2">
        <f>PerfRate[[#This Row],[ManagerRating]] - PerfRate[[#This Row],[SelfRating]]</f>
        <v>0</v>
      </c>
    </row>
    <row r="678" spans="1:18">
      <c r="A678" s="2" t="s">
        <v>4985</v>
      </c>
      <c r="B678" s="2" t="s">
        <v>1945</v>
      </c>
      <c r="C678" s="1">
        <v>41913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  <c r="L678" s="2" t="s">
        <v>11030</v>
      </c>
      <c r="M678" s="2" t="s">
        <v>11029</v>
      </c>
      <c r="N678" s="2" t="s">
        <v>11038</v>
      </c>
      <c r="O678" s="2" t="s">
        <v>11037</v>
      </c>
      <c r="P678" s="2" t="s">
        <v>11038</v>
      </c>
      <c r="Q678" s="2">
        <f>AVERAGE(PerfRate[[#This Row],[EnvironmentSatisfaction]],PerfRate[[#This Row],[JobSatisfaction]],PerfRate[[#This Row],[RelationshipSatisfaction]])</f>
        <v>4.666666666666667</v>
      </c>
      <c r="R678" s="2">
        <f>PerfRate[[#This Row],[ManagerRating]] - PerfRate[[#This Row],[SelfRating]]</f>
        <v>-1</v>
      </c>
    </row>
    <row r="679" spans="1:18">
      <c r="A679" s="2" t="s">
        <v>4986</v>
      </c>
      <c r="B679" s="2" t="s">
        <v>4002</v>
      </c>
      <c r="C679" s="1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  <c r="L679" s="2" t="s">
        <v>11029</v>
      </c>
      <c r="M679" s="2" t="s">
        <v>11028</v>
      </c>
      <c r="N679" s="2" t="s">
        <v>11037</v>
      </c>
      <c r="O679" s="2" t="s">
        <v>11038</v>
      </c>
      <c r="P679" s="2" t="s">
        <v>11036</v>
      </c>
      <c r="Q679" s="2">
        <f>AVERAGE(PerfRate[[#This Row],[EnvironmentSatisfaction]],PerfRate[[#This Row],[JobSatisfaction]],PerfRate[[#This Row],[RelationshipSatisfaction]])</f>
        <v>4</v>
      </c>
      <c r="R679" s="2">
        <f>PerfRate[[#This Row],[ManagerRating]] - PerfRate[[#This Row],[SelfRating]]</f>
        <v>-1</v>
      </c>
    </row>
    <row r="680" spans="1:18">
      <c r="A680" s="2" t="s">
        <v>4987</v>
      </c>
      <c r="B680" s="2" t="s">
        <v>189</v>
      </c>
      <c r="C680" s="1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  <c r="L680" s="2" t="s">
        <v>11030</v>
      </c>
      <c r="M680" s="2" t="s">
        <v>11029</v>
      </c>
      <c r="N680" s="2" t="s">
        <v>11038</v>
      </c>
      <c r="O680" s="2" t="s">
        <v>11035</v>
      </c>
      <c r="P680" s="2" t="s">
        <v>11038</v>
      </c>
      <c r="Q680" s="2">
        <f>AVERAGE(PerfRate[[#This Row],[EnvironmentSatisfaction]],PerfRate[[#This Row],[JobSatisfaction]],PerfRate[[#This Row],[RelationshipSatisfaction]])</f>
        <v>4</v>
      </c>
      <c r="R680" s="2">
        <f>PerfRate[[#This Row],[ManagerRating]] - PerfRate[[#This Row],[SelfRating]]</f>
        <v>-1</v>
      </c>
    </row>
    <row r="681" spans="1:18">
      <c r="A681" s="2" t="s">
        <v>4988</v>
      </c>
      <c r="B681" s="2" t="s">
        <v>3881</v>
      </c>
      <c r="C681" s="1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  <c r="L681" s="2" t="s">
        <v>11031</v>
      </c>
      <c r="M681" s="2" t="s">
        <v>11031</v>
      </c>
      <c r="N681" s="2" t="s">
        <v>11037</v>
      </c>
      <c r="O681" s="2" t="s">
        <v>11037</v>
      </c>
      <c r="P681" s="2" t="s">
        <v>11036</v>
      </c>
      <c r="Q681" s="2">
        <f>AVERAGE(PerfRate[[#This Row],[EnvironmentSatisfaction]],PerfRate[[#This Row],[JobSatisfaction]],PerfRate[[#This Row],[RelationshipSatisfaction]])</f>
        <v>3.6666666666666665</v>
      </c>
      <c r="R681" s="2">
        <f>PerfRate[[#This Row],[ManagerRating]] - PerfRate[[#This Row],[SelfRating]]</f>
        <v>0</v>
      </c>
    </row>
    <row r="682" spans="1:18">
      <c r="A682" s="2" t="s">
        <v>4989</v>
      </c>
      <c r="B682" s="2" t="s">
        <v>4023</v>
      </c>
      <c r="C682" s="1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  <c r="L682" s="2" t="s">
        <v>11031</v>
      </c>
      <c r="M682" s="2" t="s">
        <v>11031</v>
      </c>
      <c r="N682" s="2" t="s">
        <v>11037</v>
      </c>
      <c r="O682" s="2" t="s">
        <v>11036</v>
      </c>
      <c r="P682" s="2" t="s">
        <v>11038</v>
      </c>
      <c r="Q682" s="2">
        <f>AVERAGE(PerfRate[[#This Row],[EnvironmentSatisfaction]],PerfRate[[#This Row],[JobSatisfaction]],PerfRate[[#This Row],[RelationshipSatisfaction]])</f>
        <v>4</v>
      </c>
      <c r="R682" s="2">
        <f>PerfRate[[#This Row],[ManagerRating]] - PerfRate[[#This Row],[SelfRating]]</f>
        <v>0</v>
      </c>
    </row>
    <row r="683" spans="1:18">
      <c r="A683" s="2" t="s">
        <v>4990</v>
      </c>
      <c r="B683" s="2" t="s">
        <v>562</v>
      </c>
      <c r="C683" s="1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  <c r="L683" s="2" t="s">
        <v>11031</v>
      </c>
      <c r="M683" s="2" t="s">
        <v>11031</v>
      </c>
      <c r="N683" s="2" t="s">
        <v>11038</v>
      </c>
      <c r="O683" s="2" t="s">
        <v>11037</v>
      </c>
      <c r="P683" s="2" t="s">
        <v>11035</v>
      </c>
      <c r="Q683" s="2">
        <f>AVERAGE(PerfRate[[#This Row],[EnvironmentSatisfaction]],PerfRate[[#This Row],[JobSatisfaction]],PerfRate[[#This Row],[RelationshipSatisfaction]])</f>
        <v>3.6666666666666665</v>
      </c>
      <c r="R683" s="2">
        <f>PerfRate[[#This Row],[ManagerRating]] - PerfRate[[#This Row],[SelfRating]]</f>
        <v>0</v>
      </c>
    </row>
    <row r="684" spans="1:18">
      <c r="A684" s="2" t="s">
        <v>4991</v>
      </c>
      <c r="B684" s="2" t="s">
        <v>883</v>
      </c>
      <c r="C684" s="1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  <c r="L684" s="2" t="s">
        <v>11030</v>
      </c>
      <c r="M684" s="2" t="s">
        <v>11029</v>
      </c>
      <c r="N684" s="2" t="s">
        <v>11037</v>
      </c>
      <c r="O684" s="2" t="s">
        <v>11035</v>
      </c>
      <c r="P684" s="2" t="s">
        <v>11037</v>
      </c>
      <c r="Q684" s="2">
        <f>AVERAGE(PerfRate[[#This Row],[EnvironmentSatisfaction]],PerfRate[[#This Row],[JobSatisfaction]],PerfRate[[#This Row],[RelationshipSatisfaction]])</f>
        <v>3.3333333333333335</v>
      </c>
      <c r="R684" s="2">
        <f>PerfRate[[#This Row],[ManagerRating]] - PerfRate[[#This Row],[SelfRating]]</f>
        <v>-1</v>
      </c>
    </row>
    <row r="685" spans="1:18">
      <c r="A685" s="2" t="s">
        <v>4992</v>
      </c>
      <c r="B685" s="2" t="s">
        <v>1921</v>
      </c>
      <c r="C685" s="1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  <c r="L685" s="2" t="s">
        <v>11030</v>
      </c>
      <c r="M685" s="2" t="s">
        <v>11029</v>
      </c>
      <c r="N685" s="2" t="s">
        <v>11038</v>
      </c>
      <c r="O685" s="2" t="s">
        <v>11038</v>
      </c>
      <c r="P685" s="2" t="s">
        <v>11038</v>
      </c>
      <c r="Q685" s="2">
        <f>AVERAGE(PerfRate[[#This Row],[EnvironmentSatisfaction]],PerfRate[[#This Row],[JobSatisfaction]],PerfRate[[#This Row],[RelationshipSatisfaction]])</f>
        <v>5</v>
      </c>
      <c r="R685" s="2">
        <f>PerfRate[[#This Row],[ManagerRating]] - PerfRate[[#This Row],[SelfRating]]</f>
        <v>-1</v>
      </c>
    </row>
    <row r="686" spans="1:18">
      <c r="A686" s="2" t="s">
        <v>4993</v>
      </c>
      <c r="B686" s="2" t="s">
        <v>3154</v>
      </c>
      <c r="C686" s="1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  <c r="L686" s="2" t="s">
        <v>11029</v>
      </c>
      <c r="M686" s="2" t="s">
        <v>11029</v>
      </c>
      <c r="N686" s="2" t="s">
        <v>11038</v>
      </c>
      <c r="O686" s="2" t="s">
        <v>11037</v>
      </c>
      <c r="P686" s="2" t="s">
        <v>11038</v>
      </c>
      <c r="Q686" s="2">
        <f>AVERAGE(PerfRate[[#This Row],[EnvironmentSatisfaction]],PerfRate[[#This Row],[JobSatisfaction]],PerfRate[[#This Row],[RelationshipSatisfaction]])</f>
        <v>4.666666666666667</v>
      </c>
      <c r="R686" s="2">
        <f>PerfRate[[#This Row],[ManagerRating]] - PerfRate[[#This Row],[SelfRating]]</f>
        <v>0</v>
      </c>
    </row>
    <row r="687" spans="1:18">
      <c r="A687" s="2" t="s">
        <v>4994</v>
      </c>
      <c r="B687" s="2" t="s">
        <v>1074</v>
      </c>
      <c r="C687" s="1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  <c r="L687" s="2" t="s">
        <v>11030</v>
      </c>
      <c r="M687" s="2" t="s">
        <v>11029</v>
      </c>
      <c r="N687" s="2" t="s">
        <v>11038</v>
      </c>
      <c r="O687" s="2" t="s">
        <v>11036</v>
      </c>
      <c r="P687" s="2" t="s">
        <v>11036</v>
      </c>
      <c r="Q687" s="2">
        <f>AVERAGE(PerfRate[[#This Row],[EnvironmentSatisfaction]],PerfRate[[#This Row],[JobSatisfaction]],PerfRate[[#This Row],[RelationshipSatisfaction]])</f>
        <v>3.6666666666666665</v>
      </c>
      <c r="R687" s="2">
        <f>PerfRate[[#This Row],[ManagerRating]] - PerfRate[[#This Row],[SelfRating]]</f>
        <v>-1</v>
      </c>
    </row>
    <row r="688" spans="1:18">
      <c r="A688" s="2" t="s">
        <v>4995</v>
      </c>
      <c r="B688" s="2" t="s">
        <v>1221</v>
      </c>
      <c r="C688" s="1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  <c r="L688" s="2" t="s">
        <v>11031</v>
      </c>
      <c r="M688" s="2" t="s">
        <v>11030</v>
      </c>
      <c r="N688" s="2" t="s">
        <v>11038</v>
      </c>
      <c r="O688" s="2" t="s">
        <v>11037</v>
      </c>
      <c r="P688" s="2" t="s">
        <v>11038</v>
      </c>
      <c r="Q688" s="2">
        <f>AVERAGE(PerfRate[[#This Row],[EnvironmentSatisfaction]],PerfRate[[#This Row],[JobSatisfaction]],PerfRate[[#This Row],[RelationshipSatisfaction]])</f>
        <v>4.666666666666667</v>
      </c>
      <c r="R688" s="2">
        <f>PerfRate[[#This Row],[ManagerRating]] - PerfRate[[#This Row],[SelfRating]]</f>
        <v>-1</v>
      </c>
    </row>
    <row r="689" spans="1:18">
      <c r="A689" s="2" t="s">
        <v>4996</v>
      </c>
      <c r="B689" s="2" t="s">
        <v>934</v>
      </c>
      <c r="C689" s="1">
        <v>41913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  <c r="L689" s="2" t="s">
        <v>11030</v>
      </c>
      <c r="M689" s="2" t="s">
        <v>11029</v>
      </c>
      <c r="N689" s="2" t="s">
        <v>11036</v>
      </c>
      <c r="O689" s="2" t="s">
        <v>11038</v>
      </c>
      <c r="P689" s="2" t="s">
        <v>11037</v>
      </c>
      <c r="Q689" s="2">
        <f>AVERAGE(PerfRate[[#This Row],[EnvironmentSatisfaction]],PerfRate[[#This Row],[JobSatisfaction]],PerfRate[[#This Row],[RelationshipSatisfaction]])</f>
        <v>4</v>
      </c>
      <c r="R689" s="2">
        <f>PerfRate[[#This Row],[ManagerRating]] - PerfRate[[#This Row],[SelfRating]]</f>
        <v>-1</v>
      </c>
    </row>
    <row r="690" spans="1:18">
      <c r="A690" s="2" t="s">
        <v>4997</v>
      </c>
      <c r="B690" s="2" t="s">
        <v>693</v>
      </c>
      <c r="C690" s="1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  <c r="L690" s="2" t="s">
        <v>11030</v>
      </c>
      <c r="M690" s="2" t="s">
        <v>11029</v>
      </c>
      <c r="N690" s="2" t="s">
        <v>11037</v>
      </c>
      <c r="O690" s="2" t="s">
        <v>11037</v>
      </c>
      <c r="P690" s="2" t="s">
        <v>11035</v>
      </c>
      <c r="Q690" s="2">
        <f>AVERAGE(PerfRate[[#This Row],[EnvironmentSatisfaction]],PerfRate[[#This Row],[JobSatisfaction]],PerfRate[[#This Row],[RelationshipSatisfaction]])</f>
        <v>3.3333333333333335</v>
      </c>
      <c r="R690" s="2">
        <f>PerfRate[[#This Row],[ManagerRating]] - PerfRate[[#This Row],[SelfRating]]</f>
        <v>-1</v>
      </c>
    </row>
    <row r="691" spans="1:18">
      <c r="A691" s="2" t="s">
        <v>4998</v>
      </c>
      <c r="B691" s="2" t="s">
        <v>979</v>
      </c>
      <c r="C691" s="1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  <c r="L691" s="2" t="s">
        <v>11031</v>
      </c>
      <c r="M691" s="2" t="s">
        <v>11031</v>
      </c>
      <c r="N691" s="2" t="s">
        <v>11036</v>
      </c>
      <c r="O691" s="2" t="s">
        <v>11037</v>
      </c>
      <c r="P691" s="2" t="s">
        <v>11037</v>
      </c>
      <c r="Q691" s="2">
        <f>AVERAGE(PerfRate[[#This Row],[EnvironmentSatisfaction]],PerfRate[[#This Row],[JobSatisfaction]],PerfRate[[#This Row],[RelationshipSatisfaction]])</f>
        <v>3.6666666666666665</v>
      </c>
      <c r="R691" s="2">
        <f>PerfRate[[#This Row],[ManagerRating]] - PerfRate[[#This Row],[SelfRating]]</f>
        <v>0</v>
      </c>
    </row>
    <row r="692" spans="1:18">
      <c r="A692" s="2" t="s">
        <v>4999</v>
      </c>
      <c r="B692" s="2" t="s">
        <v>266</v>
      </c>
      <c r="C692" s="1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  <c r="L692" s="2" t="s">
        <v>11030</v>
      </c>
      <c r="M692" s="2" t="s">
        <v>11029</v>
      </c>
      <c r="N692" s="2" t="s">
        <v>11036</v>
      </c>
      <c r="O692" s="2" t="s">
        <v>11037</v>
      </c>
      <c r="P692" s="2" t="s">
        <v>11038</v>
      </c>
      <c r="Q692" s="2">
        <f>AVERAGE(PerfRate[[#This Row],[EnvironmentSatisfaction]],PerfRate[[#This Row],[JobSatisfaction]],PerfRate[[#This Row],[RelationshipSatisfaction]])</f>
        <v>4</v>
      </c>
      <c r="R692" s="2">
        <f>PerfRate[[#This Row],[ManagerRating]] - PerfRate[[#This Row],[SelfRating]]</f>
        <v>-1</v>
      </c>
    </row>
    <row r="693" spans="1:18">
      <c r="A693" s="2" t="s">
        <v>5000</v>
      </c>
      <c r="B693" s="2" t="s">
        <v>1915</v>
      </c>
      <c r="C693" s="1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  <c r="L693" s="2" t="s">
        <v>11031</v>
      </c>
      <c r="M693" s="2" t="s">
        <v>11031</v>
      </c>
      <c r="N693" s="2" t="s">
        <v>11037</v>
      </c>
      <c r="O693" s="2" t="s">
        <v>11036</v>
      </c>
      <c r="P693" s="2" t="s">
        <v>11036</v>
      </c>
      <c r="Q693" s="2">
        <f>AVERAGE(PerfRate[[#This Row],[EnvironmentSatisfaction]],PerfRate[[#This Row],[JobSatisfaction]],PerfRate[[#This Row],[RelationshipSatisfaction]])</f>
        <v>3.3333333333333335</v>
      </c>
      <c r="R693" s="2">
        <f>PerfRate[[#This Row],[ManagerRating]] - PerfRate[[#This Row],[SelfRating]]</f>
        <v>0</v>
      </c>
    </row>
    <row r="694" spans="1:18">
      <c r="A694" s="2" t="s">
        <v>5001</v>
      </c>
      <c r="B694" s="2" t="s">
        <v>928</v>
      </c>
      <c r="C694" s="1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  <c r="L694" s="2" t="s">
        <v>11031</v>
      </c>
      <c r="M694" s="2" t="s">
        <v>11030</v>
      </c>
      <c r="N694" s="2" t="s">
        <v>11036</v>
      </c>
      <c r="O694" s="2" t="s">
        <v>11037</v>
      </c>
      <c r="P694" s="2" t="s">
        <v>11037</v>
      </c>
      <c r="Q694" s="2">
        <f>AVERAGE(PerfRate[[#This Row],[EnvironmentSatisfaction]],PerfRate[[#This Row],[JobSatisfaction]],PerfRate[[#This Row],[RelationshipSatisfaction]])</f>
        <v>3.6666666666666665</v>
      </c>
      <c r="R694" s="2">
        <f>PerfRate[[#This Row],[ManagerRating]] - PerfRate[[#This Row],[SelfRating]]</f>
        <v>-1</v>
      </c>
    </row>
    <row r="695" spans="1:18">
      <c r="A695" s="2" t="s">
        <v>5002</v>
      </c>
      <c r="B695" s="2" t="s">
        <v>208</v>
      </c>
      <c r="C695" s="1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  <c r="L695" s="2" t="s">
        <v>11030</v>
      </c>
      <c r="M695" s="2" t="s">
        <v>11029</v>
      </c>
      <c r="N695" s="2" t="s">
        <v>11036</v>
      </c>
      <c r="O695" s="2" t="s">
        <v>11035</v>
      </c>
      <c r="P695" s="2" t="s">
        <v>11036</v>
      </c>
      <c r="Q695" s="2">
        <f>AVERAGE(PerfRate[[#This Row],[EnvironmentSatisfaction]],PerfRate[[#This Row],[JobSatisfaction]],PerfRate[[#This Row],[RelationshipSatisfaction]])</f>
        <v>2.6666666666666665</v>
      </c>
      <c r="R695" s="2">
        <f>PerfRate[[#This Row],[ManagerRating]] - PerfRate[[#This Row],[SelfRating]]</f>
        <v>-1</v>
      </c>
    </row>
    <row r="696" spans="1:18">
      <c r="A696" s="2" t="s">
        <v>5003</v>
      </c>
      <c r="B696" s="2" t="s">
        <v>1249</v>
      </c>
      <c r="C696" s="1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  <c r="L696" s="2" t="s">
        <v>11031</v>
      </c>
      <c r="M696" s="2" t="s">
        <v>11031</v>
      </c>
      <c r="N696" s="2" t="s">
        <v>11037</v>
      </c>
      <c r="O696" s="2" t="s">
        <v>11038</v>
      </c>
      <c r="P696" s="2" t="s">
        <v>11035</v>
      </c>
      <c r="Q696" s="2">
        <f>AVERAGE(PerfRate[[#This Row],[EnvironmentSatisfaction]],PerfRate[[#This Row],[JobSatisfaction]],PerfRate[[#This Row],[RelationshipSatisfaction]])</f>
        <v>3.6666666666666665</v>
      </c>
      <c r="R696" s="2">
        <f>PerfRate[[#This Row],[ManagerRating]] - PerfRate[[#This Row],[SelfRating]]</f>
        <v>0</v>
      </c>
    </row>
    <row r="697" spans="1:18">
      <c r="A697" s="2" t="s">
        <v>5004</v>
      </c>
      <c r="B697" s="2" t="s">
        <v>2372</v>
      </c>
      <c r="C697" s="1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  <c r="L697" s="2" t="s">
        <v>11030</v>
      </c>
      <c r="M697" s="2" t="s">
        <v>11029</v>
      </c>
      <c r="N697" s="2" t="s">
        <v>11037</v>
      </c>
      <c r="O697" s="2" t="s">
        <v>11038</v>
      </c>
      <c r="P697" s="2" t="s">
        <v>11036</v>
      </c>
      <c r="Q697" s="2">
        <f>AVERAGE(PerfRate[[#This Row],[EnvironmentSatisfaction]],PerfRate[[#This Row],[JobSatisfaction]],PerfRate[[#This Row],[RelationshipSatisfaction]])</f>
        <v>4</v>
      </c>
      <c r="R697" s="2">
        <f>PerfRate[[#This Row],[ManagerRating]] - PerfRate[[#This Row],[SelfRating]]</f>
        <v>-1</v>
      </c>
    </row>
    <row r="698" spans="1:18">
      <c r="A698" s="2" t="s">
        <v>5005</v>
      </c>
      <c r="B698" s="2" t="s">
        <v>508</v>
      </c>
      <c r="C698" s="1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  <c r="L698" s="2" t="s">
        <v>11031</v>
      </c>
      <c r="M698" s="2" t="s">
        <v>11030</v>
      </c>
      <c r="N698" s="2" t="s">
        <v>11036</v>
      </c>
      <c r="O698" s="2" t="s">
        <v>11037</v>
      </c>
      <c r="P698" s="2" t="s">
        <v>11038</v>
      </c>
      <c r="Q698" s="2">
        <f>AVERAGE(PerfRate[[#This Row],[EnvironmentSatisfaction]],PerfRate[[#This Row],[JobSatisfaction]],PerfRate[[#This Row],[RelationshipSatisfaction]])</f>
        <v>4</v>
      </c>
      <c r="R698" s="2">
        <f>PerfRate[[#This Row],[ManagerRating]] - PerfRate[[#This Row],[SelfRating]]</f>
        <v>-1</v>
      </c>
    </row>
    <row r="699" spans="1:18">
      <c r="A699" s="2" t="s">
        <v>5006</v>
      </c>
      <c r="B699" s="2" t="s">
        <v>814</v>
      </c>
      <c r="C699" s="1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  <c r="L699" s="2" t="s">
        <v>11030</v>
      </c>
      <c r="M699" s="2" t="s">
        <v>11029</v>
      </c>
      <c r="N699" s="2" t="s">
        <v>11037</v>
      </c>
      <c r="O699" s="2" t="s">
        <v>11035</v>
      </c>
      <c r="P699" s="2" t="s">
        <v>11036</v>
      </c>
      <c r="Q699" s="2">
        <f>AVERAGE(PerfRate[[#This Row],[EnvironmentSatisfaction]],PerfRate[[#This Row],[JobSatisfaction]],PerfRate[[#This Row],[RelationshipSatisfaction]])</f>
        <v>3</v>
      </c>
      <c r="R699" s="2">
        <f>PerfRate[[#This Row],[ManagerRating]] - PerfRate[[#This Row],[SelfRating]]</f>
        <v>-1</v>
      </c>
    </row>
    <row r="700" spans="1:18">
      <c r="A700" s="2" t="s">
        <v>5007</v>
      </c>
      <c r="B700" s="2" t="s">
        <v>853</v>
      </c>
      <c r="C700" s="1">
        <v>41944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  <c r="L700" s="2" t="s">
        <v>11031</v>
      </c>
      <c r="M700" s="2" t="s">
        <v>11031</v>
      </c>
      <c r="N700" s="2" t="s">
        <v>11036</v>
      </c>
      <c r="O700" s="2" t="s">
        <v>11038</v>
      </c>
      <c r="P700" s="2" t="s">
        <v>11038</v>
      </c>
      <c r="Q700" s="2">
        <f>AVERAGE(PerfRate[[#This Row],[EnvironmentSatisfaction]],PerfRate[[#This Row],[JobSatisfaction]],PerfRate[[#This Row],[RelationshipSatisfaction]])</f>
        <v>4.333333333333333</v>
      </c>
      <c r="R700" s="2">
        <f>PerfRate[[#This Row],[ManagerRating]] - PerfRate[[#This Row],[SelfRating]]</f>
        <v>0</v>
      </c>
    </row>
    <row r="701" spans="1:18">
      <c r="A701" s="2" t="s">
        <v>5008</v>
      </c>
      <c r="B701" s="2" t="s">
        <v>461</v>
      </c>
      <c r="C701" s="1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  <c r="L701" s="2" t="s">
        <v>11030</v>
      </c>
      <c r="M701" s="2" t="s">
        <v>11029</v>
      </c>
      <c r="N701" s="2" t="s">
        <v>11038</v>
      </c>
      <c r="O701" s="2" t="s">
        <v>11038</v>
      </c>
      <c r="P701" s="2" t="s">
        <v>11038</v>
      </c>
      <c r="Q701" s="2">
        <f>AVERAGE(PerfRate[[#This Row],[EnvironmentSatisfaction]],PerfRate[[#This Row],[JobSatisfaction]],PerfRate[[#This Row],[RelationshipSatisfaction]])</f>
        <v>5</v>
      </c>
      <c r="R701" s="2">
        <f>PerfRate[[#This Row],[ManagerRating]] - PerfRate[[#This Row],[SelfRating]]</f>
        <v>-1</v>
      </c>
    </row>
    <row r="702" spans="1:18">
      <c r="A702" s="2" t="s">
        <v>5009</v>
      </c>
      <c r="B702" s="2" t="s">
        <v>3702</v>
      </c>
      <c r="C702" s="1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  <c r="L702" s="2" t="s">
        <v>11029</v>
      </c>
      <c r="M702" s="2" t="s">
        <v>11029</v>
      </c>
      <c r="N702" s="2" t="s">
        <v>11037</v>
      </c>
      <c r="O702" s="2" t="s">
        <v>11037</v>
      </c>
      <c r="P702" s="2" t="s">
        <v>11038</v>
      </c>
      <c r="Q702" s="2">
        <f>AVERAGE(PerfRate[[#This Row],[EnvironmentSatisfaction]],PerfRate[[#This Row],[JobSatisfaction]],PerfRate[[#This Row],[RelationshipSatisfaction]])</f>
        <v>4.333333333333333</v>
      </c>
      <c r="R702" s="2">
        <f>PerfRate[[#This Row],[ManagerRating]] - PerfRate[[#This Row],[SelfRating]]</f>
        <v>0</v>
      </c>
    </row>
    <row r="703" spans="1:18">
      <c r="A703" s="2" t="s">
        <v>5010</v>
      </c>
      <c r="B703" s="2" t="s">
        <v>446</v>
      </c>
      <c r="C703" s="1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  <c r="L703" s="2" t="s">
        <v>11030</v>
      </c>
      <c r="M703" s="2" t="s">
        <v>11029</v>
      </c>
      <c r="N703" s="2" t="s">
        <v>11038</v>
      </c>
      <c r="O703" s="2" t="s">
        <v>11036</v>
      </c>
      <c r="P703" s="2" t="s">
        <v>11037</v>
      </c>
      <c r="Q703" s="2">
        <f>AVERAGE(PerfRate[[#This Row],[EnvironmentSatisfaction]],PerfRate[[#This Row],[JobSatisfaction]],PerfRate[[#This Row],[RelationshipSatisfaction]])</f>
        <v>4</v>
      </c>
      <c r="R703" s="2">
        <f>PerfRate[[#This Row],[ManagerRating]] - PerfRate[[#This Row],[SelfRating]]</f>
        <v>-1</v>
      </c>
    </row>
    <row r="704" spans="1:18">
      <c r="A704" s="2" t="s">
        <v>5011</v>
      </c>
      <c r="B704" s="2" t="s">
        <v>1306</v>
      </c>
      <c r="C704" s="1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  <c r="L704" s="2" t="s">
        <v>11029</v>
      </c>
      <c r="M704" s="2" t="s">
        <v>11029</v>
      </c>
      <c r="N704" s="2" t="s">
        <v>11038</v>
      </c>
      <c r="O704" s="2" t="s">
        <v>11037</v>
      </c>
      <c r="P704" s="2" t="s">
        <v>11036</v>
      </c>
      <c r="Q704" s="2">
        <f>AVERAGE(PerfRate[[#This Row],[EnvironmentSatisfaction]],PerfRate[[#This Row],[JobSatisfaction]],PerfRate[[#This Row],[RelationshipSatisfaction]])</f>
        <v>4</v>
      </c>
      <c r="R704" s="2">
        <f>PerfRate[[#This Row],[ManagerRating]] - PerfRate[[#This Row],[SelfRating]]</f>
        <v>0</v>
      </c>
    </row>
    <row r="705" spans="1:18">
      <c r="A705" s="2" t="s">
        <v>5012</v>
      </c>
      <c r="B705" s="2" t="s">
        <v>2532</v>
      </c>
      <c r="C705" s="1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  <c r="L705" s="2" t="s">
        <v>11031</v>
      </c>
      <c r="M705" s="2" t="s">
        <v>11031</v>
      </c>
      <c r="N705" s="2" t="s">
        <v>11037</v>
      </c>
      <c r="O705" s="2" t="s">
        <v>11035</v>
      </c>
      <c r="P705" s="2" t="s">
        <v>11035</v>
      </c>
      <c r="Q705" s="2">
        <f>AVERAGE(PerfRate[[#This Row],[EnvironmentSatisfaction]],PerfRate[[#This Row],[JobSatisfaction]],PerfRate[[#This Row],[RelationshipSatisfaction]])</f>
        <v>2.6666666666666665</v>
      </c>
      <c r="R705" s="2">
        <f>PerfRate[[#This Row],[ManagerRating]] - PerfRate[[#This Row],[SelfRating]]</f>
        <v>0</v>
      </c>
    </row>
    <row r="706" spans="1:18">
      <c r="A706" s="2" t="s">
        <v>5013</v>
      </c>
      <c r="B706" s="2" t="s">
        <v>985</v>
      </c>
      <c r="C706" s="1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  <c r="L706" s="2" t="s">
        <v>11031</v>
      </c>
      <c r="M706" s="2" t="s">
        <v>11030</v>
      </c>
      <c r="N706" s="2" t="s">
        <v>11036</v>
      </c>
      <c r="O706" s="2" t="s">
        <v>11036</v>
      </c>
      <c r="P706" s="2" t="s">
        <v>11037</v>
      </c>
      <c r="Q706" s="2">
        <f>AVERAGE(PerfRate[[#This Row],[EnvironmentSatisfaction]],PerfRate[[#This Row],[JobSatisfaction]],PerfRate[[#This Row],[RelationshipSatisfaction]])</f>
        <v>3.3333333333333335</v>
      </c>
      <c r="R706" s="2">
        <f>PerfRate[[#This Row],[ManagerRating]] - PerfRate[[#This Row],[SelfRating]]</f>
        <v>-1</v>
      </c>
    </row>
    <row r="707" spans="1:18">
      <c r="A707" s="2" t="s">
        <v>5014</v>
      </c>
      <c r="B707" s="2" t="s">
        <v>1344</v>
      </c>
      <c r="C707" s="1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  <c r="L707" s="2" t="s">
        <v>11029</v>
      </c>
      <c r="M707" s="2" t="s">
        <v>11028</v>
      </c>
      <c r="N707" s="2" t="s">
        <v>11038</v>
      </c>
      <c r="O707" s="2" t="s">
        <v>11035</v>
      </c>
      <c r="P707" s="2" t="s">
        <v>11038</v>
      </c>
      <c r="Q707" s="2">
        <f>AVERAGE(PerfRate[[#This Row],[EnvironmentSatisfaction]],PerfRate[[#This Row],[JobSatisfaction]],PerfRate[[#This Row],[RelationshipSatisfaction]])</f>
        <v>4</v>
      </c>
      <c r="R707" s="2">
        <f>PerfRate[[#This Row],[ManagerRating]] - PerfRate[[#This Row],[SelfRating]]</f>
        <v>-1</v>
      </c>
    </row>
    <row r="708" spans="1:18">
      <c r="A708" s="2" t="s">
        <v>5015</v>
      </c>
      <c r="B708" s="2" t="s">
        <v>1641</v>
      </c>
      <c r="C708" s="1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  <c r="L708" s="2" t="s">
        <v>11031</v>
      </c>
      <c r="M708" s="2" t="s">
        <v>11031</v>
      </c>
      <c r="N708" s="2" t="s">
        <v>11037</v>
      </c>
      <c r="O708" s="2" t="s">
        <v>11038</v>
      </c>
      <c r="P708" s="2" t="s">
        <v>11037</v>
      </c>
      <c r="Q708" s="2">
        <f>AVERAGE(PerfRate[[#This Row],[EnvironmentSatisfaction]],PerfRate[[#This Row],[JobSatisfaction]],PerfRate[[#This Row],[RelationshipSatisfaction]])</f>
        <v>4.333333333333333</v>
      </c>
      <c r="R708" s="2">
        <f>PerfRate[[#This Row],[ManagerRating]] - PerfRate[[#This Row],[SelfRating]]</f>
        <v>0</v>
      </c>
    </row>
    <row r="709" spans="1:18">
      <c r="A709" s="2" t="s">
        <v>5016</v>
      </c>
      <c r="B709" s="2" t="s">
        <v>2366</v>
      </c>
      <c r="C709" s="1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  <c r="L709" s="2" t="s">
        <v>11030</v>
      </c>
      <c r="M709" s="2" t="s">
        <v>11029</v>
      </c>
      <c r="N709" s="2" t="s">
        <v>11037</v>
      </c>
      <c r="O709" s="2" t="s">
        <v>11036</v>
      </c>
      <c r="P709" s="2" t="s">
        <v>11037</v>
      </c>
      <c r="Q709" s="2">
        <f>AVERAGE(PerfRate[[#This Row],[EnvironmentSatisfaction]],PerfRate[[#This Row],[JobSatisfaction]],PerfRate[[#This Row],[RelationshipSatisfaction]])</f>
        <v>3.6666666666666665</v>
      </c>
      <c r="R709" s="2">
        <f>PerfRate[[#This Row],[ManagerRating]] - PerfRate[[#This Row],[SelfRating]]</f>
        <v>-1</v>
      </c>
    </row>
    <row r="710" spans="1:18">
      <c r="A710" s="2" t="s">
        <v>5017</v>
      </c>
      <c r="B710" s="2" t="s">
        <v>214</v>
      </c>
      <c r="C710" s="1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  <c r="L710" s="2" t="s">
        <v>11031</v>
      </c>
      <c r="M710" s="2" t="s">
        <v>11030</v>
      </c>
      <c r="N710" s="2" t="s">
        <v>11038</v>
      </c>
      <c r="O710" s="2" t="s">
        <v>11035</v>
      </c>
      <c r="P710" s="2" t="s">
        <v>11038</v>
      </c>
      <c r="Q710" s="2">
        <f>AVERAGE(PerfRate[[#This Row],[EnvironmentSatisfaction]],PerfRate[[#This Row],[JobSatisfaction]],PerfRate[[#This Row],[RelationshipSatisfaction]])</f>
        <v>4</v>
      </c>
      <c r="R710" s="2">
        <f>PerfRate[[#This Row],[ManagerRating]] - PerfRate[[#This Row],[SelfRating]]</f>
        <v>-1</v>
      </c>
    </row>
    <row r="711" spans="1:18">
      <c r="A711" s="2" t="s">
        <v>5018</v>
      </c>
      <c r="B711" s="2" t="s">
        <v>595</v>
      </c>
      <c r="C711" s="1">
        <v>41944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  <c r="L711" s="2" t="s">
        <v>11029</v>
      </c>
      <c r="M711" s="2" t="s">
        <v>11029</v>
      </c>
      <c r="N711" s="2" t="s">
        <v>11038</v>
      </c>
      <c r="O711" s="2" t="s">
        <v>11036</v>
      </c>
      <c r="P711" s="2" t="s">
        <v>11036</v>
      </c>
      <c r="Q711" s="2">
        <f>AVERAGE(PerfRate[[#This Row],[EnvironmentSatisfaction]],PerfRate[[#This Row],[JobSatisfaction]],PerfRate[[#This Row],[RelationshipSatisfaction]])</f>
        <v>3.6666666666666665</v>
      </c>
      <c r="R711" s="2">
        <f>PerfRate[[#This Row],[ManagerRating]] - PerfRate[[#This Row],[SelfRating]]</f>
        <v>0</v>
      </c>
    </row>
    <row r="712" spans="1:18">
      <c r="A712" s="2" t="s">
        <v>5019</v>
      </c>
      <c r="B712" s="2" t="s">
        <v>1868</v>
      </c>
      <c r="C712" s="1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  <c r="L712" s="2" t="s">
        <v>11029</v>
      </c>
      <c r="M712" s="2" t="s">
        <v>11029</v>
      </c>
      <c r="N712" s="2" t="s">
        <v>11038</v>
      </c>
      <c r="O712" s="2" t="s">
        <v>11036</v>
      </c>
      <c r="P712" s="2" t="s">
        <v>11038</v>
      </c>
      <c r="Q712" s="2">
        <f>AVERAGE(PerfRate[[#This Row],[EnvironmentSatisfaction]],PerfRate[[#This Row],[JobSatisfaction]],PerfRate[[#This Row],[RelationshipSatisfaction]])</f>
        <v>4.333333333333333</v>
      </c>
      <c r="R712" s="2">
        <f>PerfRate[[#This Row],[ManagerRating]] - PerfRate[[#This Row],[SelfRating]]</f>
        <v>0</v>
      </c>
    </row>
    <row r="713" spans="1:18">
      <c r="A713" s="2" t="s">
        <v>5020</v>
      </c>
      <c r="B713" s="2" t="s">
        <v>1012</v>
      </c>
      <c r="C713" s="1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  <c r="L713" s="2" t="s">
        <v>11031</v>
      </c>
      <c r="M713" s="2" t="s">
        <v>11030</v>
      </c>
      <c r="N713" s="2" t="s">
        <v>11036</v>
      </c>
      <c r="O713" s="2" t="s">
        <v>11035</v>
      </c>
      <c r="P713" s="2" t="s">
        <v>11035</v>
      </c>
      <c r="Q713" s="2">
        <f>AVERAGE(PerfRate[[#This Row],[EnvironmentSatisfaction]],PerfRate[[#This Row],[JobSatisfaction]],PerfRate[[#This Row],[RelationshipSatisfaction]])</f>
        <v>2.3333333333333335</v>
      </c>
      <c r="R713" s="2">
        <f>PerfRate[[#This Row],[ManagerRating]] - PerfRate[[#This Row],[SelfRating]]</f>
        <v>-1</v>
      </c>
    </row>
    <row r="714" spans="1:18">
      <c r="A714" s="2" t="s">
        <v>5021</v>
      </c>
      <c r="B714" s="2" t="s">
        <v>2620</v>
      </c>
      <c r="C714" s="1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  <c r="L714" s="2" t="s">
        <v>11031</v>
      </c>
      <c r="M714" s="2" t="s">
        <v>11031</v>
      </c>
      <c r="N714" s="2" t="s">
        <v>11037</v>
      </c>
      <c r="O714" s="2" t="s">
        <v>11035</v>
      </c>
      <c r="P714" s="2" t="s">
        <v>11036</v>
      </c>
      <c r="Q714" s="2">
        <f>AVERAGE(PerfRate[[#This Row],[EnvironmentSatisfaction]],PerfRate[[#This Row],[JobSatisfaction]],PerfRate[[#This Row],[RelationshipSatisfaction]])</f>
        <v>3</v>
      </c>
      <c r="R714" s="2">
        <f>PerfRate[[#This Row],[ManagerRating]] - PerfRate[[#This Row],[SelfRating]]</f>
        <v>0</v>
      </c>
    </row>
    <row r="715" spans="1:18">
      <c r="A715" s="2" t="s">
        <v>5022</v>
      </c>
      <c r="B715" s="2" t="s">
        <v>4118</v>
      </c>
      <c r="C715" s="1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  <c r="L715" s="2" t="s">
        <v>11029</v>
      </c>
      <c r="M715" s="2" t="s">
        <v>11028</v>
      </c>
      <c r="N715" s="2" t="s">
        <v>11037</v>
      </c>
      <c r="O715" s="2" t="s">
        <v>11037</v>
      </c>
      <c r="P715" s="2" t="s">
        <v>11035</v>
      </c>
      <c r="Q715" s="2">
        <f>AVERAGE(PerfRate[[#This Row],[EnvironmentSatisfaction]],PerfRate[[#This Row],[JobSatisfaction]],PerfRate[[#This Row],[RelationshipSatisfaction]])</f>
        <v>3.3333333333333335</v>
      </c>
      <c r="R715" s="2">
        <f>PerfRate[[#This Row],[ManagerRating]] - PerfRate[[#This Row],[SelfRating]]</f>
        <v>-1</v>
      </c>
    </row>
    <row r="716" spans="1:18">
      <c r="A716" s="2" t="s">
        <v>5023</v>
      </c>
      <c r="B716" s="2" t="s">
        <v>817</v>
      </c>
      <c r="C716" s="1">
        <v>42740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  <c r="L716" s="2" t="s">
        <v>11031</v>
      </c>
      <c r="M716" s="2" t="s">
        <v>11031</v>
      </c>
      <c r="N716" s="2" t="s">
        <v>11038</v>
      </c>
      <c r="O716" s="2" t="s">
        <v>11036</v>
      </c>
      <c r="P716" s="2" t="s">
        <v>11038</v>
      </c>
      <c r="Q716" s="2">
        <f>AVERAGE(PerfRate[[#This Row],[EnvironmentSatisfaction]],PerfRate[[#This Row],[JobSatisfaction]],PerfRate[[#This Row],[RelationshipSatisfaction]])</f>
        <v>4.333333333333333</v>
      </c>
      <c r="R716" s="2">
        <f>PerfRate[[#This Row],[ManagerRating]] - PerfRate[[#This Row],[SelfRating]]</f>
        <v>0</v>
      </c>
    </row>
    <row r="717" spans="1:18">
      <c r="A717" s="2" t="s">
        <v>5024</v>
      </c>
      <c r="B717" s="2" t="s">
        <v>2653</v>
      </c>
      <c r="C717" s="1">
        <v>42740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  <c r="L717" s="2" t="s">
        <v>11030</v>
      </c>
      <c r="M717" s="2" t="s">
        <v>11029</v>
      </c>
      <c r="N717" s="2" t="s">
        <v>11036</v>
      </c>
      <c r="O717" s="2" t="s">
        <v>11038</v>
      </c>
      <c r="P717" s="2" t="s">
        <v>11036</v>
      </c>
      <c r="Q717" s="2">
        <f>AVERAGE(PerfRate[[#This Row],[EnvironmentSatisfaction]],PerfRate[[#This Row],[JobSatisfaction]],PerfRate[[#This Row],[RelationshipSatisfaction]])</f>
        <v>3.6666666666666665</v>
      </c>
      <c r="R717" s="2">
        <f>PerfRate[[#This Row],[ManagerRating]] - PerfRate[[#This Row],[SelfRating]]</f>
        <v>-1</v>
      </c>
    </row>
    <row r="718" spans="1:18">
      <c r="A718" s="2" t="s">
        <v>5025</v>
      </c>
      <c r="B718" s="2" t="s">
        <v>1347</v>
      </c>
      <c r="C718" s="1">
        <v>42740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  <c r="L718" s="2" t="s">
        <v>11030</v>
      </c>
      <c r="M718" s="2" t="s">
        <v>11030</v>
      </c>
      <c r="N718" s="2" t="s">
        <v>11037</v>
      </c>
      <c r="O718" s="2" t="s">
        <v>11036</v>
      </c>
      <c r="P718" s="2" t="s">
        <v>11036</v>
      </c>
      <c r="Q718" s="2">
        <f>AVERAGE(PerfRate[[#This Row],[EnvironmentSatisfaction]],PerfRate[[#This Row],[JobSatisfaction]],PerfRate[[#This Row],[RelationshipSatisfaction]])</f>
        <v>3.3333333333333335</v>
      </c>
      <c r="R718" s="2">
        <f>PerfRate[[#This Row],[ManagerRating]] - PerfRate[[#This Row],[SelfRating]]</f>
        <v>0</v>
      </c>
    </row>
    <row r="719" spans="1:18">
      <c r="A719" s="2" t="s">
        <v>5026</v>
      </c>
      <c r="B719" s="2" t="s">
        <v>1312</v>
      </c>
      <c r="C719" s="1">
        <v>42771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  <c r="L719" s="2" t="s">
        <v>11030</v>
      </c>
      <c r="M719" s="2" t="s">
        <v>11029</v>
      </c>
      <c r="N719" s="2" t="s">
        <v>11037</v>
      </c>
      <c r="O719" s="2" t="s">
        <v>11035</v>
      </c>
      <c r="P719" s="2" t="s">
        <v>11036</v>
      </c>
      <c r="Q719" s="2">
        <f>AVERAGE(PerfRate[[#This Row],[EnvironmentSatisfaction]],PerfRate[[#This Row],[JobSatisfaction]],PerfRate[[#This Row],[RelationshipSatisfaction]])</f>
        <v>3</v>
      </c>
      <c r="R719" s="2">
        <f>PerfRate[[#This Row],[ManagerRating]] - PerfRate[[#This Row],[SelfRating]]</f>
        <v>-1</v>
      </c>
    </row>
    <row r="720" spans="1:18">
      <c r="A720" s="2" t="s">
        <v>5027</v>
      </c>
      <c r="B720" s="2" t="s">
        <v>559</v>
      </c>
      <c r="C720" s="1">
        <v>42771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  <c r="L720" s="2" t="s">
        <v>11031</v>
      </c>
      <c r="M720" s="2" t="s">
        <v>11031</v>
      </c>
      <c r="N720" s="2" t="s">
        <v>11037</v>
      </c>
      <c r="O720" s="2" t="s">
        <v>11037</v>
      </c>
      <c r="P720" s="2" t="s">
        <v>11036</v>
      </c>
      <c r="Q720" s="2">
        <f>AVERAGE(PerfRate[[#This Row],[EnvironmentSatisfaction]],PerfRate[[#This Row],[JobSatisfaction]],PerfRate[[#This Row],[RelationshipSatisfaction]])</f>
        <v>3.6666666666666665</v>
      </c>
      <c r="R720" s="2">
        <f>PerfRate[[#This Row],[ManagerRating]] - PerfRate[[#This Row],[SelfRating]]</f>
        <v>0</v>
      </c>
    </row>
    <row r="721" spans="1:18">
      <c r="A721" s="2" t="s">
        <v>5028</v>
      </c>
      <c r="B721" s="2" t="s">
        <v>1906</v>
      </c>
      <c r="C721" s="1">
        <v>42799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  <c r="L721" s="2" t="s">
        <v>11030</v>
      </c>
      <c r="M721" s="2" t="s">
        <v>11030</v>
      </c>
      <c r="N721" s="2" t="s">
        <v>11038</v>
      </c>
      <c r="O721" s="2" t="s">
        <v>11035</v>
      </c>
      <c r="P721" s="2" t="s">
        <v>11035</v>
      </c>
      <c r="Q721" s="2">
        <f>AVERAGE(PerfRate[[#This Row],[EnvironmentSatisfaction]],PerfRate[[#This Row],[JobSatisfaction]],PerfRate[[#This Row],[RelationshipSatisfaction]])</f>
        <v>3</v>
      </c>
      <c r="R721" s="2">
        <f>PerfRate[[#This Row],[ManagerRating]] - PerfRate[[#This Row],[SelfRating]]</f>
        <v>0</v>
      </c>
    </row>
    <row r="722" spans="1:18">
      <c r="A722" s="2" t="s">
        <v>5029</v>
      </c>
      <c r="B722" s="2" t="s">
        <v>970</v>
      </c>
      <c r="C722" s="1">
        <v>41944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  <c r="L722" s="2" t="s">
        <v>11029</v>
      </c>
      <c r="M722" s="2" t="s">
        <v>11028</v>
      </c>
      <c r="N722" s="2" t="s">
        <v>11038</v>
      </c>
      <c r="O722" s="2" t="s">
        <v>11038</v>
      </c>
      <c r="P722" s="2" t="s">
        <v>11036</v>
      </c>
      <c r="Q722" s="2">
        <f>AVERAGE(PerfRate[[#This Row],[EnvironmentSatisfaction]],PerfRate[[#This Row],[JobSatisfaction]],PerfRate[[#This Row],[RelationshipSatisfaction]])</f>
        <v>4.333333333333333</v>
      </c>
      <c r="R722" s="2">
        <f>PerfRate[[#This Row],[ManagerRating]] - PerfRate[[#This Row],[SelfRating]]</f>
        <v>-1</v>
      </c>
    </row>
    <row r="723" spans="1:18">
      <c r="A723" s="2" t="s">
        <v>5030</v>
      </c>
      <c r="B723" s="2" t="s">
        <v>652</v>
      </c>
      <c r="C723" s="1">
        <v>42799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  <c r="L723" s="2" t="s">
        <v>11031</v>
      </c>
      <c r="M723" s="2" t="s">
        <v>11030</v>
      </c>
      <c r="N723" s="2" t="s">
        <v>11036</v>
      </c>
      <c r="O723" s="2" t="s">
        <v>11035</v>
      </c>
      <c r="P723" s="2" t="s">
        <v>11037</v>
      </c>
      <c r="Q723" s="2">
        <f>AVERAGE(PerfRate[[#This Row],[EnvironmentSatisfaction]],PerfRate[[#This Row],[JobSatisfaction]],PerfRate[[#This Row],[RelationshipSatisfaction]])</f>
        <v>3</v>
      </c>
      <c r="R723" s="2">
        <f>PerfRate[[#This Row],[ManagerRating]] - PerfRate[[#This Row],[SelfRating]]</f>
        <v>-1</v>
      </c>
    </row>
    <row r="724" spans="1:18">
      <c r="A724" s="2" t="s">
        <v>5031</v>
      </c>
      <c r="B724" s="2" t="s">
        <v>1721</v>
      </c>
      <c r="C724" s="1">
        <v>42830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  <c r="L724" s="2" t="s">
        <v>11031</v>
      </c>
      <c r="M724" s="2" t="s">
        <v>11030</v>
      </c>
      <c r="N724" s="2" t="s">
        <v>11036</v>
      </c>
      <c r="O724" s="2" t="s">
        <v>11038</v>
      </c>
      <c r="P724" s="2" t="s">
        <v>11035</v>
      </c>
      <c r="Q724" s="2">
        <f>AVERAGE(PerfRate[[#This Row],[EnvironmentSatisfaction]],PerfRate[[#This Row],[JobSatisfaction]],PerfRate[[#This Row],[RelationshipSatisfaction]])</f>
        <v>3.3333333333333335</v>
      </c>
      <c r="R724" s="2">
        <f>PerfRate[[#This Row],[ManagerRating]] - PerfRate[[#This Row],[SelfRating]]</f>
        <v>-1</v>
      </c>
    </row>
    <row r="725" spans="1:18">
      <c r="A725" s="2" t="s">
        <v>5032</v>
      </c>
      <c r="B725" s="2" t="s">
        <v>1895</v>
      </c>
      <c r="C725" s="1">
        <v>42830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  <c r="L725" s="2" t="s">
        <v>11030</v>
      </c>
      <c r="M725" s="2" t="s">
        <v>11030</v>
      </c>
      <c r="N725" s="2" t="s">
        <v>11036</v>
      </c>
      <c r="O725" s="2" t="s">
        <v>11035</v>
      </c>
      <c r="P725" s="2" t="s">
        <v>11038</v>
      </c>
      <c r="Q725" s="2">
        <f>AVERAGE(PerfRate[[#This Row],[EnvironmentSatisfaction]],PerfRate[[#This Row],[JobSatisfaction]],PerfRate[[#This Row],[RelationshipSatisfaction]])</f>
        <v>3.3333333333333335</v>
      </c>
      <c r="R725" s="2">
        <f>PerfRate[[#This Row],[ManagerRating]] - PerfRate[[#This Row],[SelfRating]]</f>
        <v>0</v>
      </c>
    </row>
    <row r="726" spans="1:18">
      <c r="A726" s="2" t="s">
        <v>5033</v>
      </c>
      <c r="B726" s="2" t="s">
        <v>1142</v>
      </c>
      <c r="C726" s="1">
        <v>42830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  <c r="L726" s="2" t="s">
        <v>11029</v>
      </c>
      <c r="M726" s="2" t="s">
        <v>11028</v>
      </c>
      <c r="N726" s="2" t="s">
        <v>11036</v>
      </c>
      <c r="O726" s="2" t="s">
        <v>11037</v>
      </c>
      <c r="P726" s="2" t="s">
        <v>11037</v>
      </c>
      <c r="Q726" s="2">
        <f>AVERAGE(PerfRate[[#This Row],[EnvironmentSatisfaction]],PerfRate[[#This Row],[JobSatisfaction]],PerfRate[[#This Row],[RelationshipSatisfaction]])</f>
        <v>3.6666666666666665</v>
      </c>
      <c r="R726" s="2">
        <f>PerfRate[[#This Row],[ManagerRating]] - PerfRate[[#This Row],[SelfRating]]</f>
        <v>-1</v>
      </c>
    </row>
    <row r="727" spans="1:18">
      <c r="A727" s="2" t="s">
        <v>5034</v>
      </c>
      <c r="B727" s="2" t="s">
        <v>449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  <c r="L727" s="2" t="s">
        <v>11031</v>
      </c>
      <c r="M727" s="2" t="s">
        <v>11030</v>
      </c>
      <c r="N727" s="2" t="s">
        <v>11036</v>
      </c>
      <c r="O727" s="2" t="s">
        <v>11036</v>
      </c>
      <c r="P727" s="2" t="s">
        <v>11035</v>
      </c>
      <c r="Q727" s="2">
        <f>AVERAGE(PerfRate[[#This Row],[EnvironmentSatisfaction]],PerfRate[[#This Row],[JobSatisfaction]],PerfRate[[#This Row],[RelationshipSatisfaction]])</f>
        <v>2.6666666666666665</v>
      </c>
      <c r="R727" s="2">
        <f>PerfRate[[#This Row],[ManagerRating]] - PerfRate[[#This Row],[SelfRating]]</f>
        <v>-1</v>
      </c>
    </row>
    <row r="728" spans="1:18">
      <c r="A728" s="2" t="s">
        <v>5035</v>
      </c>
      <c r="B728" s="2" t="s">
        <v>3657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  <c r="L728" s="2" t="s">
        <v>11029</v>
      </c>
      <c r="M728" s="2" t="s">
        <v>11028</v>
      </c>
      <c r="N728" s="2" t="s">
        <v>11036</v>
      </c>
      <c r="O728" s="2" t="s">
        <v>11037</v>
      </c>
      <c r="P728" s="2" t="s">
        <v>11035</v>
      </c>
      <c r="Q728" s="2">
        <f>AVERAGE(PerfRate[[#This Row],[EnvironmentSatisfaction]],PerfRate[[#This Row],[JobSatisfaction]],PerfRate[[#This Row],[RelationshipSatisfaction]])</f>
        <v>3</v>
      </c>
      <c r="R728" s="2">
        <f>PerfRate[[#This Row],[ManagerRating]] - PerfRate[[#This Row],[SelfRating]]</f>
        <v>-1</v>
      </c>
    </row>
    <row r="729" spans="1:18">
      <c r="A729" s="2" t="s">
        <v>5036</v>
      </c>
      <c r="B729" s="2" t="s">
        <v>223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  <c r="L729" s="2" t="s">
        <v>11029</v>
      </c>
      <c r="M729" s="2" t="s">
        <v>11029</v>
      </c>
      <c r="N729" s="2" t="s">
        <v>11036</v>
      </c>
      <c r="O729" s="2" t="s">
        <v>11038</v>
      </c>
      <c r="P729" s="2" t="s">
        <v>11037</v>
      </c>
      <c r="Q729" s="2">
        <f>AVERAGE(PerfRate[[#This Row],[EnvironmentSatisfaction]],PerfRate[[#This Row],[JobSatisfaction]],PerfRate[[#This Row],[RelationshipSatisfaction]])</f>
        <v>4</v>
      </c>
      <c r="R729" s="2">
        <f>PerfRate[[#This Row],[ManagerRating]] - PerfRate[[#This Row],[SelfRating]]</f>
        <v>0</v>
      </c>
    </row>
    <row r="730" spans="1:18">
      <c r="A730" s="2" t="s">
        <v>5037</v>
      </c>
      <c r="B730" s="2" t="s">
        <v>2117</v>
      </c>
      <c r="C730" s="1">
        <v>42891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  <c r="L730" s="2" t="s">
        <v>11030</v>
      </c>
      <c r="M730" s="2" t="s">
        <v>11030</v>
      </c>
      <c r="N730" s="2" t="s">
        <v>11036</v>
      </c>
      <c r="O730" s="2" t="s">
        <v>11035</v>
      </c>
      <c r="P730" s="2" t="s">
        <v>11037</v>
      </c>
      <c r="Q730" s="2">
        <f>AVERAGE(PerfRate[[#This Row],[EnvironmentSatisfaction]],PerfRate[[#This Row],[JobSatisfaction]],PerfRate[[#This Row],[RelationshipSatisfaction]])</f>
        <v>3</v>
      </c>
      <c r="R730" s="2">
        <f>PerfRate[[#This Row],[ManagerRating]] - PerfRate[[#This Row],[SelfRating]]</f>
        <v>0</v>
      </c>
    </row>
    <row r="731" spans="1:18">
      <c r="A731" s="2" t="s">
        <v>5038</v>
      </c>
      <c r="B731" s="2" t="s">
        <v>3091</v>
      </c>
      <c r="C731" s="1">
        <v>42891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  <c r="L731" s="2" t="s">
        <v>11031</v>
      </c>
      <c r="M731" s="2" t="s">
        <v>11031</v>
      </c>
      <c r="N731" s="2" t="s">
        <v>11036</v>
      </c>
      <c r="O731" s="2" t="s">
        <v>11035</v>
      </c>
      <c r="P731" s="2" t="s">
        <v>11037</v>
      </c>
      <c r="Q731" s="2">
        <f>AVERAGE(PerfRate[[#This Row],[EnvironmentSatisfaction]],PerfRate[[#This Row],[JobSatisfaction]],PerfRate[[#This Row],[RelationshipSatisfaction]])</f>
        <v>3</v>
      </c>
      <c r="R731" s="2">
        <f>PerfRate[[#This Row],[ManagerRating]] - PerfRate[[#This Row],[SelfRating]]</f>
        <v>0</v>
      </c>
    </row>
    <row r="732" spans="1:18">
      <c r="A732" s="2" t="s">
        <v>5039</v>
      </c>
      <c r="B732" s="2" t="s">
        <v>925</v>
      </c>
      <c r="C732" s="1">
        <v>42891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  <c r="L732" s="2" t="s">
        <v>11031</v>
      </c>
      <c r="M732" s="2" t="s">
        <v>11030</v>
      </c>
      <c r="N732" s="2" t="s">
        <v>11037</v>
      </c>
      <c r="O732" s="2" t="s">
        <v>11038</v>
      </c>
      <c r="P732" s="2" t="s">
        <v>11035</v>
      </c>
      <c r="Q732" s="2">
        <f>AVERAGE(PerfRate[[#This Row],[EnvironmentSatisfaction]],PerfRate[[#This Row],[JobSatisfaction]],PerfRate[[#This Row],[RelationshipSatisfaction]])</f>
        <v>3.6666666666666665</v>
      </c>
      <c r="R732" s="2">
        <f>PerfRate[[#This Row],[ManagerRating]] - PerfRate[[#This Row],[SelfRating]]</f>
        <v>-1</v>
      </c>
    </row>
    <row r="733" spans="1:18">
      <c r="A733" s="2" t="s">
        <v>5040</v>
      </c>
      <c r="B733" s="2" t="s">
        <v>2080</v>
      </c>
      <c r="C733" s="1">
        <v>41974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  <c r="L733" s="2" t="s">
        <v>11029</v>
      </c>
      <c r="M733" s="2" t="s">
        <v>11028</v>
      </c>
      <c r="N733" s="2" t="s">
        <v>11037</v>
      </c>
      <c r="O733" s="2" t="s">
        <v>11035</v>
      </c>
      <c r="P733" s="2" t="s">
        <v>11037</v>
      </c>
      <c r="Q733" s="2">
        <f>AVERAGE(PerfRate[[#This Row],[EnvironmentSatisfaction]],PerfRate[[#This Row],[JobSatisfaction]],PerfRate[[#This Row],[RelationshipSatisfaction]])</f>
        <v>3.3333333333333335</v>
      </c>
      <c r="R733" s="2">
        <f>PerfRate[[#This Row],[ManagerRating]] - PerfRate[[#This Row],[SelfRating]]</f>
        <v>-1</v>
      </c>
    </row>
    <row r="734" spans="1:18">
      <c r="A734" s="2" t="s">
        <v>5041</v>
      </c>
      <c r="B734" s="2" t="s">
        <v>1321</v>
      </c>
      <c r="C734" s="1">
        <v>42891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  <c r="L734" s="2" t="s">
        <v>11031</v>
      </c>
      <c r="M734" s="2" t="s">
        <v>11031</v>
      </c>
      <c r="N734" s="2" t="s">
        <v>11037</v>
      </c>
      <c r="O734" s="2" t="s">
        <v>11038</v>
      </c>
      <c r="P734" s="2" t="s">
        <v>11037</v>
      </c>
      <c r="Q734" s="2">
        <f>AVERAGE(PerfRate[[#This Row],[EnvironmentSatisfaction]],PerfRate[[#This Row],[JobSatisfaction]],PerfRate[[#This Row],[RelationshipSatisfaction]])</f>
        <v>4.333333333333333</v>
      </c>
      <c r="R734" s="2">
        <f>PerfRate[[#This Row],[ManagerRating]] - PerfRate[[#This Row],[SelfRating]]</f>
        <v>0</v>
      </c>
    </row>
    <row r="735" spans="1:18">
      <c r="A735" s="2" t="s">
        <v>5042</v>
      </c>
      <c r="B735" s="2" t="s">
        <v>3945</v>
      </c>
      <c r="C735" s="1">
        <v>42921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  <c r="L735" s="2" t="s">
        <v>11029</v>
      </c>
      <c r="M735" s="2" t="s">
        <v>11029</v>
      </c>
      <c r="N735" s="2" t="s">
        <v>11037</v>
      </c>
      <c r="O735" s="2" t="s">
        <v>11036</v>
      </c>
      <c r="P735" s="2" t="s">
        <v>11038</v>
      </c>
      <c r="Q735" s="2">
        <f>AVERAGE(PerfRate[[#This Row],[EnvironmentSatisfaction]],PerfRate[[#This Row],[JobSatisfaction]],PerfRate[[#This Row],[RelationshipSatisfaction]])</f>
        <v>4</v>
      </c>
      <c r="R735" s="2">
        <f>PerfRate[[#This Row],[ManagerRating]] - PerfRate[[#This Row],[SelfRating]]</f>
        <v>0</v>
      </c>
    </row>
    <row r="736" spans="1:18">
      <c r="A736" s="2" t="s">
        <v>5043</v>
      </c>
      <c r="B736" s="2" t="s">
        <v>1962</v>
      </c>
      <c r="C736" s="1">
        <v>42952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  <c r="L736" s="2" t="s">
        <v>11030</v>
      </c>
      <c r="M736" s="2" t="s">
        <v>11029</v>
      </c>
      <c r="N736" s="2" t="s">
        <v>11037</v>
      </c>
      <c r="O736" s="2" t="s">
        <v>11037</v>
      </c>
      <c r="P736" s="2" t="s">
        <v>11038</v>
      </c>
      <c r="Q736" s="2">
        <f>AVERAGE(PerfRate[[#This Row],[EnvironmentSatisfaction]],PerfRate[[#This Row],[JobSatisfaction]],PerfRate[[#This Row],[RelationshipSatisfaction]])</f>
        <v>4.333333333333333</v>
      </c>
      <c r="R736" s="2">
        <f>PerfRate[[#This Row],[ManagerRating]] - PerfRate[[#This Row],[SelfRating]]</f>
        <v>-1</v>
      </c>
    </row>
    <row r="737" spans="1:18">
      <c r="A737" s="2" t="s">
        <v>5044</v>
      </c>
      <c r="B737" s="2" t="s">
        <v>499</v>
      </c>
      <c r="C737" s="1">
        <v>42952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  <c r="L737" s="2" t="s">
        <v>11031</v>
      </c>
      <c r="M737" s="2" t="s">
        <v>11030</v>
      </c>
      <c r="N737" s="2" t="s">
        <v>11037</v>
      </c>
      <c r="O737" s="2" t="s">
        <v>11037</v>
      </c>
      <c r="P737" s="2" t="s">
        <v>11037</v>
      </c>
      <c r="Q737" s="2">
        <f>AVERAGE(PerfRate[[#This Row],[EnvironmentSatisfaction]],PerfRate[[#This Row],[JobSatisfaction]],PerfRate[[#This Row],[RelationshipSatisfaction]])</f>
        <v>4</v>
      </c>
      <c r="R737" s="2">
        <f>PerfRate[[#This Row],[ManagerRating]] - PerfRate[[#This Row],[SelfRating]]</f>
        <v>-1</v>
      </c>
    </row>
    <row r="738" spans="1:18">
      <c r="A738" s="2" t="s">
        <v>5045</v>
      </c>
      <c r="B738" s="2" t="s">
        <v>1148</v>
      </c>
      <c r="C738" s="1">
        <v>42952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  <c r="L738" s="2" t="s">
        <v>11030</v>
      </c>
      <c r="M738" s="2" t="s">
        <v>11030</v>
      </c>
      <c r="N738" s="2" t="s">
        <v>11038</v>
      </c>
      <c r="O738" s="2" t="s">
        <v>11037</v>
      </c>
      <c r="P738" s="2" t="s">
        <v>11036</v>
      </c>
      <c r="Q738" s="2">
        <f>AVERAGE(PerfRate[[#This Row],[EnvironmentSatisfaction]],PerfRate[[#This Row],[JobSatisfaction]],PerfRate[[#This Row],[RelationshipSatisfaction]])</f>
        <v>4</v>
      </c>
      <c r="R738" s="2">
        <f>PerfRate[[#This Row],[ManagerRating]] - PerfRate[[#This Row],[SelfRating]]</f>
        <v>0</v>
      </c>
    </row>
    <row r="739" spans="1:18">
      <c r="A739" s="2" t="s">
        <v>5046</v>
      </c>
      <c r="B739" s="2" t="s">
        <v>2363</v>
      </c>
      <c r="C739" s="1">
        <v>42983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  <c r="L739" s="2" t="s">
        <v>11029</v>
      </c>
      <c r="M739" s="2" t="s">
        <v>11028</v>
      </c>
      <c r="N739" s="2" t="s">
        <v>11038</v>
      </c>
      <c r="O739" s="2" t="s">
        <v>11035</v>
      </c>
      <c r="P739" s="2" t="s">
        <v>11035</v>
      </c>
      <c r="Q739" s="2">
        <f>AVERAGE(PerfRate[[#This Row],[EnvironmentSatisfaction]],PerfRate[[#This Row],[JobSatisfaction]],PerfRate[[#This Row],[RelationshipSatisfaction]])</f>
        <v>3</v>
      </c>
      <c r="R739" s="2">
        <f>PerfRate[[#This Row],[ManagerRating]] - PerfRate[[#This Row],[SelfRating]]</f>
        <v>-1</v>
      </c>
    </row>
    <row r="740" spans="1:18">
      <c r="A740" s="2" t="s">
        <v>5047</v>
      </c>
      <c r="B740" s="2" t="s">
        <v>3149</v>
      </c>
      <c r="C740" s="1">
        <v>43013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  <c r="L740" s="2" t="s">
        <v>11031</v>
      </c>
      <c r="M740" s="2" t="s">
        <v>11031</v>
      </c>
      <c r="N740" s="2" t="s">
        <v>11038</v>
      </c>
      <c r="O740" s="2" t="s">
        <v>11038</v>
      </c>
      <c r="P740" s="2" t="s">
        <v>11037</v>
      </c>
      <c r="Q740" s="2">
        <f>AVERAGE(PerfRate[[#This Row],[EnvironmentSatisfaction]],PerfRate[[#This Row],[JobSatisfaction]],PerfRate[[#This Row],[RelationshipSatisfaction]])</f>
        <v>4.666666666666667</v>
      </c>
      <c r="R740" s="2">
        <f>PerfRate[[#This Row],[ManagerRating]] - PerfRate[[#This Row],[SelfRating]]</f>
        <v>0</v>
      </c>
    </row>
    <row r="741" spans="1:18">
      <c r="A741" s="2" t="s">
        <v>5048</v>
      </c>
      <c r="B741" s="2" t="s">
        <v>973</v>
      </c>
      <c r="C741" s="1">
        <v>43013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  <c r="L741" s="2" t="s">
        <v>11029</v>
      </c>
      <c r="M741" s="2" t="s">
        <v>11029</v>
      </c>
      <c r="N741" s="2" t="s">
        <v>11036</v>
      </c>
      <c r="O741" s="2" t="s">
        <v>11036</v>
      </c>
      <c r="P741" s="2" t="s">
        <v>11038</v>
      </c>
      <c r="Q741" s="2">
        <f>AVERAGE(PerfRate[[#This Row],[EnvironmentSatisfaction]],PerfRate[[#This Row],[JobSatisfaction]],PerfRate[[#This Row],[RelationshipSatisfaction]])</f>
        <v>3.6666666666666665</v>
      </c>
      <c r="R741" s="2">
        <f>PerfRate[[#This Row],[ManagerRating]] - PerfRate[[#This Row],[SelfRating]]</f>
        <v>0</v>
      </c>
    </row>
    <row r="742" spans="1:18">
      <c r="A742" s="2" t="s">
        <v>5049</v>
      </c>
      <c r="B742" s="2" t="s">
        <v>2343</v>
      </c>
      <c r="C742" s="1">
        <v>43044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  <c r="L742" s="2" t="s">
        <v>11030</v>
      </c>
      <c r="M742" s="2" t="s">
        <v>11030</v>
      </c>
      <c r="N742" s="2" t="s">
        <v>11037</v>
      </c>
      <c r="O742" s="2" t="s">
        <v>11036</v>
      </c>
      <c r="P742" s="2" t="s">
        <v>11037</v>
      </c>
      <c r="Q742" s="2">
        <f>AVERAGE(PerfRate[[#This Row],[EnvironmentSatisfaction]],PerfRate[[#This Row],[JobSatisfaction]],PerfRate[[#This Row],[RelationshipSatisfaction]])</f>
        <v>3.6666666666666665</v>
      </c>
      <c r="R742" s="2">
        <f>PerfRate[[#This Row],[ManagerRating]] - PerfRate[[#This Row],[SelfRating]]</f>
        <v>0</v>
      </c>
    </row>
    <row r="743" spans="1:18">
      <c r="A743" s="2" t="s">
        <v>5050</v>
      </c>
      <c r="B743" s="2" t="s">
        <v>305</v>
      </c>
      <c r="C743" s="1">
        <v>43074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  <c r="L743" s="2" t="s">
        <v>11030</v>
      </c>
      <c r="M743" s="2" t="s">
        <v>11029</v>
      </c>
      <c r="N743" s="2" t="s">
        <v>11036</v>
      </c>
      <c r="O743" s="2" t="s">
        <v>11037</v>
      </c>
      <c r="P743" s="2" t="s">
        <v>11035</v>
      </c>
      <c r="Q743" s="2">
        <f>AVERAGE(PerfRate[[#This Row],[EnvironmentSatisfaction]],PerfRate[[#This Row],[JobSatisfaction]],PerfRate[[#This Row],[RelationshipSatisfaction]])</f>
        <v>3</v>
      </c>
      <c r="R743" s="2">
        <f>PerfRate[[#This Row],[ManagerRating]] - PerfRate[[#This Row],[SelfRating]]</f>
        <v>-1</v>
      </c>
    </row>
    <row r="744" spans="1:18">
      <c r="A744" s="2" t="s">
        <v>5051</v>
      </c>
      <c r="B744" s="2" t="s">
        <v>3868</v>
      </c>
      <c r="C744" s="1">
        <v>41974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  <c r="L744" s="2" t="s">
        <v>11031</v>
      </c>
      <c r="M744" s="2" t="s">
        <v>11030</v>
      </c>
      <c r="N744" s="2" t="s">
        <v>11036</v>
      </c>
      <c r="O744" s="2" t="s">
        <v>11035</v>
      </c>
      <c r="P744" s="2" t="s">
        <v>11038</v>
      </c>
      <c r="Q744" s="2">
        <f>AVERAGE(PerfRate[[#This Row],[EnvironmentSatisfaction]],PerfRate[[#This Row],[JobSatisfaction]],PerfRate[[#This Row],[RelationshipSatisfaction]])</f>
        <v>3.3333333333333335</v>
      </c>
      <c r="R744" s="2">
        <f>PerfRate[[#This Row],[ManagerRating]] - PerfRate[[#This Row],[SelfRating]]</f>
        <v>-1</v>
      </c>
    </row>
    <row r="745" spans="1:18">
      <c r="A745" s="2" t="s">
        <v>5052</v>
      </c>
      <c r="B745" s="2" t="s">
        <v>2158</v>
      </c>
      <c r="C745" s="1">
        <v>43074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  <c r="L745" s="2" t="s">
        <v>11030</v>
      </c>
      <c r="M745" s="2" t="s">
        <v>11030</v>
      </c>
      <c r="N745" s="2" t="s">
        <v>11037</v>
      </c>
      <c r="O745" s="2" t="s">
        <v>11036</v>
      </c>
      <c r="P745" s="2" t="s">
        <v>11038</v>
      </c>
      <c r="Q745" s="2">
        <f>AVERAGE(PerfRate[[#This Row],[EnvironmentSatisfaction]],PerfRate[[#This Row],[JobSatisfaction]],PerfRate[[#This Row],[RelationshipSatisfaction]])</f>
        <v>4</v>
      </c>
      <c r="R745" s="2">
        <f>PerfRate[[#This Row],[ManagerRating]] - PerfRate[[#This Row],[SelfRating]]</f>
        <v>0</v>
      </c>
    </row>
    <row r="746" spans="1:18">
      <c r="A746" s="2" t="s">
        <v>5053</v>
      </c>
      <c r="B746" s="2" t="s">
        <v>811</v>
      </c>
      <c r="C746" s="1">
        <v>43074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  <c r="L746" s="2" t="s">
        <v>11029</v>
      </c>
      <c r="M746" s="2" t="s">
        <v>11028</v>
      </c>
      <c r="N746" s="2" t="s">
        <v>11038</v>
      </c>
      <c r="O746" s="2" t="s">
        <v>11037</v>
      </c>
      <c r="P746" s="2" t="s">
        <v>11036</v>
      </c>
      <c r="Q746" s="2">
        <f>AVERAGE(PerfRate[[#This Row],[EnvironmentSatisfaction]],PerfRate[[#This Row],[JobSatisfaction]],PerfRate[[#This Row],[RelationshipSatisfaction]])</f>
        <v>4</v>
      </c>
      <c r="R746" s="2">
        <f>PerfRate[[#This Row],[ManagerRating]] - PerfRate[[#This Row],[SelfRating]]</f>
        <v>-1</v>
      </c>
    </row>
    <row r="747" spans="1:18">
      <c r="A747" s="2" t="s">
        <v>5054</v>
      </c>
      <c r="B747" s="2" t="s">
        <v>57</v>
      </c>
      <c r="C747" s="1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  <c r="L747" s="2" t="s">
        <v>11030</v>
      </c>
      <c r="M747" s="2" t="s">
        <v>11029</v>
      </c>
      <c r="N747" s="2" t="s">
        <v>11037</v>
      </c>
      <c r="O747" s="2" t="s">
        <v>11036</v>
      </c>
      <c r="P747" s="2" t="s">
        <v>11038</v>
      </c>
      <c r="Q747" s="2">
        <f>AVERAGE(PerfRate[[#This Row],[EnvironmentSatisfaction]],PerfRate[[#This Row],[JobSatisfaction]],PerfRate[[#This Row],[RelationshipSatisfaction]])</f>
        <v>4</v>
      </c>
      <c r="R747" s="2">
        <f>PerfRate[[#This Row],[ManagerRating]] - PerfRate[[#This Row],[SelfRating]]</f>
        <v>-1</v>
      </c>
    </row>
    <row r="748" spans="1:18">
      <c r="A748" s="2" t="s">
        <v>5055</v>
      </c>
      <c r="B748" s="2" t="s">
        <v>1572</v>
      </c>
      <c r="C748" s="1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  <c r="L748" s="2" t="s">
        <v>11029</v>
      </c>
      <c r="M748" s="2" t="s">
        <v>11029</v>
      </c>
      <c r="N748" s="2" t="s">
        <v>11036</v>
      </c>
      <c r="O748" s="2" t="s">
        <v>11038</v>
      </c>
      <c r="P748" s="2" t="s">
        <v>11038</v>
      </c>
      <c r="Q748" s="2">
        <f>AVERAGE(PerfRate[[#This Row],[EnvironmentSatisfaction]],PerfRate[[#This Row],[JobSatisfaction]],PerfRate[[#This Row],[RelationshipSatisfaction]])</f>
        <v>4.333333333333333</v>
      </c>
      <c r="R748" s="2">
        <f>PerfRate[[#This Row],[ManagerRating]] - PerfRate[[#This Row],[SelfRating]]</f>
        <v>0</v>
      </c>
    </row>
    <row r="749" spans="1:18">
      <c r="A749" s="2" t="s">
        <v>5056</v>
      </c>
      <c r="B749" s="2" t="s">
        <v>338</v>
      </c>
      <c r="C749" s="1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  <c r="L749" s="2" t="s">
        <v>11029</v>
      </c>
      <c r="M749" s="2" t="s">
        <v>11028</v>
      </c>
      <c r="N749" s="2" t="s">
        <v>11037</v>
      </c>
      <c r="O749" s="2" t="s">
        <v>11038</v>
      </c>
      <c r="P749" s="2" t="s">
        <v>11036</v>
      </c>
      <c r="Q749" s="2">
        <f>AVERAGE(PerfRate[[#This Row],[EnvironmentSatisfaction]],PerfRate[[#This Row],[JobSatisfaction]],PerfRate[[#This Row],[RelationshipSatisfaction]])</f>
        <v>4</v>
      </c>
      <c r="R749" s="2">
        <f>PerfRate[[#This Row],[ManagerRating]] - PerfRate[[#This Row],[SelfRating]]</f>
        <v>-1</v>
      </c>
    </row>
    <row r="750" spans="1:18">
      <c r="A750" s="2" t="s">
        <v>5057</v>
      </c>
      <c r="B750" s="2" t="s">
        <v>613</v>
      </c>
      <c r="C750" s="1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  <c r="L750" s="2" t="s">
        <v>11030</v>
      </c>
      <c r="M750" s="2" t="s">
        <v>11029</v>
      </c>
      <c r="N750" s="2" t="s">
        <v>11036</v>
      </c>
      <c r="O750" s="2" t="s">
        <v>11036</v>
      </c>
      <c r="P750" s="2" t="s">
        <v>11035</v>
      </c>
      <c r="Q750" s="2">
        <f>AVERAGE(PerfRate[[#This Row],[EnvironmentSatisfaction]],PerfRate[[#This Row],[JobSatisfaction]],PerfRate[[#This Row],[RelationshipSatisfaction]])</f>
        <v>2.6666666666666665</v>
      </c>
      <c r="R750" s="2">
        <f>PerfRate[[#This Row],[ManagerRating]] - PerfRate[[#This Row],[SelfRating]]</f>
        <v>-1</v>
      </c>
    </row>
    <row r="751" spans="1:18">
      <c r="A751" s="2" t="s">
        <v>5058</v>
      </c>
      <c r="B751" s="2" t="s">
        <v>898</v>
      </c>
      <c r="C751" s="1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  <c r="L751" s="2" t="s">
        <v>11029</v>
      </c>
      <c r="M751" s="2" t="s">
        <v>11028</v>
      </c>
      <c r="N751" s="2" t="s">
        <v>11037</v>
      </c>
      <c r="O751" s="2" t="s">
        <v>11035</v>
      </c>
      <c r="P751" s="2" t="s">
        <v>11037</v>
      </c>
      <c r="Q751" s="2">
        <f>AVERAGE(PerfRate[[#This Row],[EnvironmentSatisfaction]],PerfRate[[#This Row],[JobSatisfaction]],PerfRate[[#This Row],[RelationshipSatisfaction]])</f>
        <v>3.3333333333333335</v>
      </c>
      <c r="R751" s="2">
        <f>PerfRate[[#This Row],[ManagerRating]] - PerfRate[[#This Row],[SelfRating]]</f>
        <v>-1</v>
      </c>
    </row>
    <row r="752" spans="1:18">
      <c r="A752" s="2" t="s">
        <v>5059</v>
      </c>
      <c r="B752" s="2" t="s">
        <v>2142</v>
      </c>
      <c r="C752" s="1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  <c r="L752" s="2" t="s">
        <v>11031</v>
      </c>
      <c r="M752" s="2" t="s">
        <v>11031</v>
      </c>
      <c r="N752" s="2" t="s">
        <v>11036</v>
      </c>
      <c r="O752" s="2" t="s">
        <v>11037</v>
      </c>
      <c r="P752" s="2" t="s">
        <v>11037</v>
      </c>
      <c r="Q752" s="2">
        <f>AVERAGE(PerfRate[[#This Row],[EnvironmentSatisfaction]],PerfRate[[#This Row],[JobSatisfaction]],PerfRate[[#This Row],[RelationshipSatisfaction]])</f>
        <v>3.6666666666666665</v>
      </c>
      <c r="R752" s="2">
        <f>PerfRate[[#This Row],[ManagerRating]] - PerfRate[[#This Row],[SelfRating]]</f>
        <v>0</v>
      </c>
    </row>
    <row r="753" spans="1:18">
      <c r="A753" s="2" t="s">
        <v>5060</v>
      </c>
      <c r="B753" s="2" t="s">
        <v>1329</v>
      </c>
      <c r="C753" s="1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  <c r="L753" s="2" t="s">
        <v>11030</v>
      </c>
      <c r="M753" s="2" t="s">
        <v>11030</v>
      </c>
      <c r="N753" s="2" t="s">
        <v>11037</v>
      </c>
      <c r="O753" s="2" t="s">
        <v>11038</v>
      </c>
      <c r="P753" s="2" t="s">
        <v>11035</v>
      </c>
      <c r="Q753" s="2">
        <f>AVERAGE(PerfRate[[#This Row],[EnvironmentSatisfaction]],PerfRate[[#This Row],[JobSatisfaction]],PerfRate[[#This Row],[RelationshipSatisfaction]])</f>
        <v>3.6666666666666665</v>
      </c>
      <c r="R753" s="2">
        <f>PerfRate[[#This Row],[ManagerRating]] - PerfRate[[#This Row],[SelfRating]]</f>
        <v>0</v>
      </c>
    </row>
    <row r="754" spans="1:18">
      <c r="A754" s="2" t="s">
        <v>5061</v>
      </c>
      <c r="B754" s="2" t="s">
        <v>392</v>
      </c>
      <c r="C754" s="1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  <c r="L754" s="2" t="s">
        <v>11029</v>
      </c>
      <c r="M754" s="2" t="s">
        <v>11029</v>
      </c>
      <c r="N754" s="2" t="s">
        <v>11038</v>
      </c>
      <c r="O754" s="2" t="s">
        <v>11038</v>
      </c>
      <c r="P754" s="2" t="s">
        <v>11036</v>
      </c>
      <c r="Q754" s="2">
        <f>AVERAGE(PerfRate[[#This Row],[EnvironmentSatisfaction]],PerfRate[[#This Row],[JobSatisfaction]],PerfRate[[#This Row],[RelationshipSatisfaction]])</f>
        <v>4.333333333333333</v>
      </c>
      <c r="R754" s="2">
        <f>PerfRate[[#This Row],[ManagerRating]] - PerfRate[[#This Row],[SelfRating]]</f>
        <v>0</v>
      </c>
    </row>
    <row r="755" spans="1:18">
      <c r="A755" s="2" t="s">
        <v>5062</v>
      </c>
      <c r="B755" s="2" t="s">
        <v>889</v>
      </c>
      <c r="C755" s="1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  <c r="L755" s="2" t="s">
        <v>11029</v>
      </c>
      <c r="M755" s="2" t="s">
        <v>11029</v>
      </c>
      <c r="N755" s="2" t="s">
        <v>11037</v>
      </c>
      <c r="O755" s="2" t="s">
        <v>11037</v>
      </c>
      <c r="P755" s="2" t="s">
        <v>11037</v>
      </c>
      <c r="Q755" s="2">
        <f>AVERAGE(PerfRate[[#This Row],[EnvironmentSatisfaction]],PerfRate[[#This Row],[JobSatisfaction]],PerfRate[[#This Row],[RelationshipSatisfaction]])</f>
        <v>4</v>
      </c>
      <c r="R755" s="2">
        <f>PerfRate[[#This Row],[ManagerRating]] - PerfRate[[#This Row],[SelfRating]]</f>
        <v>0</v>
      </c>
    </row>
    <row r="756" spans="1:18">
      <c r="A756" s="2" t="s">
        <v>5063</v>
      </c>
      <c r="B756" s="2" t="s">
        <v>479</v>
      </c>
      <c r="C756" s="1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  <c r="L756" s="2" t="s">
        <v>11031</v>
      </c>
      <c r="M756" s="2" t="s">
        <v>11030</v>
      </c>
      <c r="N756" s="2" t="s">
        <v>11037</v>
      </c>
      <c r="O756" s="2" t="s">
        <v>11037</v>
      </c>
      <c r="P756" s="2" t="s">
        <v>11038</v>
      </c>
      <c r="Q756" s="2">
        <f>AVERAGE(PerfRate[[#This Row],[EnvironmentSatisfaction]],PerfRate[[#This Row],[JobSatisfaction]],PerfRate[[#This Row],[RelationshipSatisfaction]])</f>
        <v>4.333333333333333</v>
      </c>
      <c r="R756" s="2">
        <f>PerfRate[[#This Row],[ManagerRating]] - PerfRate[[#This Row],[SelfRating]]</f>
        <v>-1</v>
      </c>
    </row>
    <row r="757" spans="1:18">
      <c r="A757" s="2" t="s">
        <v>5064</v>
      </c>
      <c r="B757" s="2" t="s">
        <v>616</v>
      </c>
      <c r="C757" s="1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  <c r="L757" s="2" t="s">
        <v>11029</v>
      </c>
      <c r="M757" s="2" t="s">
        <v>11029</v>
      </c>
      <c r="N757" s="2" t="s">
        <v>11037</v>
      </c>
      <c r="O757" s="2" t="s">
        <v>11035</v>
      </c>
      <c r="P757" s="2" t="s">
        <v>11036</v>
      </c>
      <c r="Q757" s="2">
        <f>AVERAGE(PerfRate[[#This Row],[EnvironmentSatisfaction]],PerfRate[[#This Row],[JobSatisfaction]],PerfRate[[#This Row],[RelationshipSatisfaction]])</f>
        <v>3</v>
      </c>
      <c r="R757" s="2">
        <f>PerfRate[[#This Row],[ManagerRating]] - PerfRate[[#This Row],[SelfRating]]</f>
        <v>0</v>
      </c>
    </row>
    <row r="758" spans="1:18">
      <c r="A758" s="2" t="s">
        <v>5065</v>
      </c>
      <c r="B758" s="2" t="s">
        <v>670</v>
      </c>
      <c r="C758" s="1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  <c r="L758" s="2" t="s">
        <v>11031</v>
      </c>
      <c r="M758" s="2" t="s">
        <v>11030</v>
      </c>
      <c r="N758" s="2" t="s">
        <v>11036</v>
      </c>
      <c r="O758" s="2" t="s">
        <v>11035</v>
      </c>
      <c r="P758" s="2" t="s">
        <v>11035</v>
      </c>
      <c r="Q758" s="2">
        <f>AVERAGE(PerfRate[[#This Row],[EnvironmentSatisfaction]],PerfRate[[#This Row],[JobSatisfaction]],PerfRate[[#This Row],[RelationshipSatisfaction]])</f>
        <v>2.3333333333333335</v>
      </c>
      <c r="R758" s="2">
        <f>PerfRate[[#This Row],[ManagerRating]] - PerfRate[[#This Row],[SelfRating]]</f>
        <v>-1</v>
      </c>
    </row>
    <row r="759" spans="1:18">
      <c r="A759" s="2" t="s">
        <v>5066</v>
      </c>
      <c r="B759" s="2" t="s">
        <v>2500</v>
      </c>
      <c r="C759" s="1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  <c r="L759" s="2" t="s">
        <v>11030</v>
      </c>
      <c r="M759" s="2" t="s">
        <v>11030</v>
      </c>
      <c r="N759" s="2" t="s">
        <v>11037</v>
      </c>
      <c r="O759" s="2" t="s">
        <v>11037</v>
      </c>
      <c r="P759" s="2" t="s">
        <v>11035</v>
      </c>
      <c r="Q759" s="2">
        <f>AVERAGE(PerfRate[[#This Row],[EnvironmentSatisfaction]],PerfRate[[#This Row],[JobSatisfaction]],PerfRate[[#This Row],[RelationshipSatisfaction]])</f>
        <v>3.3333333333333335</v>
      </c>
      <c r="R759" s="2">
        <f>PerfRate[[#This Row],[ManagerRating]] - PerfRate[[#This Row],[SelfRating]]</f>
        <v>0</v>
      </c>
    </row>
    <row r="760" spans="1:18">
      <c r="A760" s="2" t="s">
        <v>5067</v>
      </c>
      <c r="B760" s="2" t="s">
        <v>1716</v>
      </c>
      <c r="C760" s="1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  <c r="L760" s="2" t="s">
        <v>11029</v>
      </c>
      <c r="M760" s="2" t="s">
        <v>11028</v>
      </c>
      <c r="N760" s="2" t="s">
        <v>11036</v>
      </c>
      <c r="O760" s="2" t="s">
        <v>11035</v>
      </c>
      <c r="P760" s="2" t="s">
        <v>11035</v>
      </c>
      <c r="Q760" s="2">
        <f>AVERAGE(PerfRate[[#This Row],[EnvironmentSatisfaction]],PerfRate[[#This Row],[JobSatisfaction]],PerfRate[[#This Row],[RelationshipSatisfaction]])</f>
        <v>2.3333333333333335</v>
      </c>
      <c r="R760" s="2">
        <f>PerfRate[[#This Row],[ManagerRating]] - PerfRate[[#This Row],[SelfRating]]</f>
        <v>-1</v>
      </c>
    </row>
    <row r="761" spans="1:18">
      <c r="A761" s="2" t="s">
        <v>5068</v>
      </c>
      <c r="B761" s="2" t="s">
        <v>1292</v>
      </c>
      <c r="C761" s="1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  <c r="L761" s="2" t="s">
        <v>11031</v>
      </c>
      <c r="M761" s="2" t="s">
        <v>11030</v>
      </c>
      <c r="N761" s="2" t="s">
        <v>11037</v>
      </c>
      <c r="O761" s="2" t="s">
        <v>11037</v>
      </c>
      <c r="P761" s="2" t="s">
        <v>11035</v>
      </c>
      <c r="Q761" s="2">
        <f>AVERAGE(PerfRate[[#This Row],[EnvironmentSatisfaction]],PerfRate[[#This Row],[JobSatisfaction]],PerfRate[[#This Row],[RelationshipSatisfaction]])</f>
        <v>3.3333333333333335</v>
      </c>
      <c r="R761" s="2">
        <f>PerfRate[[#This Row],[ManagerRating]] - PerfRate[[#This Row],[SelfRating]]</f>
        <v>-1</v>
      </c>
    </row>
    <row r="762" spans="1:18">
      <c r="A762" s="2" t="s">
        <v>5069</v>
      </c>
      <c r="B762" s="2" t="s">
        <v>1647</v>
      </c>
      <c r="C762" s="1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  <c r="L762" s="2" t="s">
        <v>11030</v>
      </c>
      <c r="M762" s="2" t="s">
        <v>11029</v>
      </c>
      <c r="N762" s="2" t="s">
        <v>11036</v>
      </c>
      <c r="O762" s="2" t="s">
        <v>11035</v>
      </c>
      <c r="P762" s="2" t="s">
        <v>11037</v>
      </c>
      <c r="Q762" s="2">
        <f>AVERAGE(PerfRate[[#This Row],[EnvironmentSatisfaction]],PerfRate[[#This Row],[JobSatisfaction]],PerfRate[[#This Row],[RelationshipSatisfaction]])</f>
        <v>3</v>
      </c>
      <c r="R762" s="2">
        <f>PerfRate[[#This Row],[ManagerRating]] - PerfRate[[#This Row],[SelfRating]]</f>
        <v>-1</v>
      </c>
    </row>
    <row r="763" spans="1:18">
      <c r="A763" s="2" t="s">
        <v>5070</v>
      </c>
      <c r="B763" s="2" t="s">
        <v>458</v>
      </c>
      <c r="C763" s="1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  <c r="L763" s="2" t="s">
        <v>11029</v>
      </c>
      <c r="M763" s="2" t="s">
        <v>11028</v>
      </c>
      <c r="N763" s="2" t="s">
        <v>11037</v>
      </c>
      <c r="O763" s="2" t="s">
        <v>11035</v>
      </c>
      <c r="P763" s="2" t="s">
        <v>11038</v>
      </c>
      <c r="Q763" s="2">
        <f>AVERAGE(PerfRate[[#This Row],[EnvironmentSatisfaction]],PerfRate[[#This Row],[JobSatisfaction]],PerfRate[[#This Row],[RelationshipSatisfaction]])</f>
        <v>3.6666666666666665</v>
      </c>
      <c r="R763" s="2">
        <f>PerfRate[[#This Row],[ManagerRating]] - PerfRate[[#This Row],[SelfRating]]</f>
        <v>-1</v>
      </c>
    </row>
    <row r="764" spans="1:18">
      <c r="A764" s="2" t="s">
        <v>5071</v>
      </c>
      <c r="B764" s="2" t="s">
        <v>3212</v>
      </c>
      <c r="C764" s="1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  <c r="L764" s="2" t="s">
        <v>11030</v>
      </c>
      <c r="M764" s="2" t="s">
        <v>11030</v>
      </c>
      <c r="N764" s="2" t="s">
        <v>11037</v>
      </c>
      <c r="O764" s="2" t="s">
        <v>11036</v>
      </c>
      <c r="P764" s="2" t="s">
        <v>11037</v>
      </c>
      <c r="Q764" s="2">
        <f>AVERAGE(PerfRate[[#This Row],[EnvironmentSatisfaction]],PerfRate[[#This Row],[JobSatisfaction]],PerfRate[[#This Row],[RelationshipSatisfaction]])</f>
        <v>3.6666666666666665</v>
      </c>
      <c r="R764" s="2">
        <f>PerfRate[[#This Row],[ManagerRating]] - PerfRate[[#This Row],[SelfRating]]</f>
        <v>0</v>
      </c>
    </row>
    <row r="765" spans="1:18">
      <c r="A765" s="2" t="s">
        <v>5072</v>
      </c>
      <c r="B765" s="2" t="s">
        <v>1145</v>
      </c>
      <c r="C765" s="1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  <c r="L765" s="2" t="s">
        <v>11030</v>
      </c>
      <c r="M765" s="2" t="s">
        <v>11029</v>
      </c>
      <c r="N765" s="2" t="s">
        <v>11037</v>
      </c>
      <c r="O765" s="2" t="s">
        <v>11035</v>
      </c>
      <c r="P765" s="2" t="s">
        <v>11036</v>
      </c>
      <c r="Q765" s="2">
        <f>AVERAGE(PerfRate[[#This Row],[EnvironmentSatisfaction]],PerfRate[[#This Row],[JobSatisfaction]],PerfRate[[#This Row],[RelationshipSatisfaction]])</f>
        <v>3</v>
      </c>
      <c r="R765" s="2">
        <f>PerfRate[[#This Row],[ManagerRating]] - PerfRate[[#This Row],[SelfRating]]</f>
        <v>-1</v>
      </c>
    </row>
    <row r="766" spans="1:18">
      <c r="A766" s="2" t="s">
        <v>5073</v>
      </c>
      <c r="B766" s="2" t="s">
        <v>2281</v>
      </c>
      <c r="C766" s="1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  <c r="L766" s="2" t="s">
        <v>11030</v>
      </c>
      <c r="M766" s="2" t="s">
        <v>11030</v>
      </c>
      <c r="N766" s="2" t="s">
        <v>11036</v>
      </c>
      <c r="O766" s="2" t="s">
        <v>11038</v>
      </c>
      <c r="P766" s="2" t="s">
        <v>11037</v>
      </c>
      <c r="Q766" s="2">
        <f>AVERAGE(PerfRate[[#This Row],[EnvironmentSatisfaction]],PerfRate[[#This Row],[JobSatisfaction]],PerfRate[[#This Row],[RelationshipSatisfaction]])</f>
        <v>4</v>
      </c>
      <c r="R766" s="2">
        <f>PerfRate[[#This Row],[ManagerRating]] - PerfRate[[#This Row],[SelfRating]]</f>
        <v>0</v>
      </c>
    </row>
    <row r="767" spans="1:18">
      <c r="A767" s="2" t="s">
        <v>5074</v>
      </c>
      <c r="B767" s="2" t="s">
        <v>3772</v>
      </c>
      <c r="C767" s="1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  <c r="L767" s="2" t="s">
        <v>11030</v>
      </c>
      <c r="M767" s="2" t="s">
        <v>11030</v>
      </c>
      <c r="N767" s="2" t="s">
        <v>11038</v>
      </c>
      <c r="O767" s="2" t="s">
        <v>11036</v>
      </c>
      <c r="P767" s="2" t="s">
        <v>11037</v>
      </c>
      <c r="Q767" s="2">
        <f>AVERAGE(PerfRate[[#This Row],[EnvironmentSatisfaction]],PerfRate[[#This Row],[JobSatisfaction]],PerfRate[[#This Row],[RelationshipSatisfaction]])</f>
        <v>4</v>
      </c>
      <c r="R767" s="2">
        <f>PerfRate[[#This Row],[ManagerRating]] - PerfRate[[#This Row],[SelfRating]]</f>
        <v>0</v>
      </c>
    </row>
    <row r="768" spans="1:18">
      <c r="A768" s="2" t="s">
        <v>5075</v>
      </c>
      <c r="B768" s="2" t="s">
        <v>1927</v>
      </c>
      <c r="C768" s="1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  <c r="L768" s="2" t="s">
        <v>11030</v>
      </c>
      <c r="M768" s="2" t="s">
        <v>11030</v>
      </c>
      <c r="N768" s="2" t="s">
        <v>11036</v>
      </c>
      <c r="O768" s="2" t="s">
        <v>11038</v>
      </c>
      <c r="P768" s="2" t="s">
        <v>11037</v>
      </c>
      <c r="Q768" s="2">
        <f>AVERAGE(PerfRate[[#This Row],[EnvironmentSatisfaction]],PerfRate[[#This Row],[JobSatisfaction]],PerfRate[[#This Row],[RelationshipSatisfaction]])</f>
        <v>4</v>
      </c>
      <c r="R768" s="2">
        <f>PerfRate[[#This Row],[ManagerRating]] - PerfRate[[#This Row],[SelfRating]]</f>
        <v>0</v>
      </c>
    </row>
    <row r="769" spans="1:18">
      <c r="A769" s="2" t="s">
        <v>5076</v>
      </c>
      <c r="B769" s="2" t="s">
        <v>4257</v>
      </c>
      <c r="C769" s="1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  <c r="L769" s="2" t="s">
        <v>11030</v>
      </c>
      <c r="M769" s="2" t="s">
        <v>11030</v>
      </c>
      <c r="N769" s="2" t="s">
        <v>11036</v>
      </c>
      <c r="O769" s="2" t="s">
        <v>11035</v>
      </c>
      <c r="P769" s="2" t="s">
        <v>11037</v>
      </c>
      <c r="Q769" s="2">
        <f>AVERAGE(PerfRate[[#This Row],[EnvironmentSatisfaction]],PerfRate[[#This Row],[JobSatisfaction]],PerfRate[[#This Row],[RelationshipSatisfaction]])</f>
        <v>3</v>
      </c>
      <c r="R769" s="2">
        <f>PerfRate[[#This Row],[ManagerRating]] - PerfRate[[#This Row],[SelfRating]]</f>
        <v>0</v>
      </c>
    </row>
    <row r="770" spans="1:18">
      <c r="A770" s="2" t="s">
        <v>5077</v>
      </c>
      <c r="B770" s="2" t="s">
        <v>109</v>
      </c>
      <c r="C770" s="1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  <c r="L770" s="2" t="s">
        <v>11030</v>
      </c>
      <c r="M770" s="2" t="s">
        <v>11029</v>
      </c>
      <c r="N770" s="2" t="s">
        <v>11037</v>
      </c>
      <c r="O770" s="2" t="s">
        <v>11036</v>
      </c>
      <c r="P770" s="2" t="s">
        <v>11035</v>
      </c>
      <c r="Q770" s="2">
        <f>AVERAGE(PerfRate[[#This Row],[EnvironmentSatisfaction]],PerfRate[[#This Row],[JobSatisfaction]],PerfRate[[#This Row],[RelationshipSatisfaction]])</f>
        <v>3</v>
      </c>
      <c r="R770" s="2">
        <f>PerfRate[[#This Row],[ManagerRating]] - PerfRate[[#This Row],[SelfRating]]</f>
        <v>-1</v>
      </c>
    </row>
    <row r="771" spans="1:18">
      <c r="A771" s="2" t="s">
        <v>5078</v>
      </c>
      <c r="B771" s="2" t="s">
        <v>910</v>
      </c>
      <c r="C771" s="1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  <c r="L771" s="2" t="s">
        <v>11031</v>
      </c>
      <c r="M771" s="2" t="s">
        <v>11030</v>
      </c>
      <c r="N771" s="2" t="s">
        <v>11037</v>
      </c>
      <c r="O771" s="2" t="s">
        <v>11035</v>
      </c>
      <c r="P771" s="2" t="s">
        <v>11036</v>
      </c>
      <c r="Q771" s="2">
        <f>AVERAGE(PerfRate[[#This Row],[EnvironmentSatisfaction]],PerfRate[[#This Row],[JobSatisfaction]],PerfRate[[#This Row],[RelationshipSatisfaction]])</f>
        <v>3</v>
      </c>
      <c r="R771" s="2">
        <f>PerfRate[[#This Row],[ManagerRating]] - PerfRate[[#This Row],[SelfRating]]</f>
        <v>-1</v>
      </c>
    </row>
    <row r="772" spans="1:18">
      <c r="A772" s="2" t="s">
        <v>5079</v>
      </c>
      <c r="B772" s="2" t="s">
        <v>1286</v>
      </c>
      <c r="C772" s="1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  <c r="L772" s="2" t="s">
        <v>11029</v>
      </c>
      <c r="M772" s="2" t="s">
        <v>11029</v>
      </c>
      <c r="N772" s="2" t="s">
        <v>11037</v>
      </c>
      <c r="O772" s="2" t="s">
        <v>11035</v>
      </c>
      <c r="P772" s="2" t="s">
        <v>11038</v>
      </c>
      <c r="Q772" s="2">
        <f>AVERAGE(PerfRate[[#This Row],[EnvironmentSatisfaction]],PerfRate[[#This Row],[JobSatisfaction]],PerfRate[[#This Row],[RelationshipSatisfaction]])</f>
        <v>3.6666666666666665</v>
      </c>
      <c r="R772" s="2">
        <f>PerfRate[[#This Row],[ManagerRating]] - PerfRate[[#This Row],[SelfRating]]</f>
        <v>0</v>
      </c>
    </row>
    <row r="773" spans="1:18">
      <c r="A773" s="2" t="s">
        <v>5080</v>
      </c>
      <c r="B773" s="2" t="s">
        <v>1215</v>
      </c>
      <c r="C773" s="1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  <c r="L773" s="2" t="s">
        <v>11029</v>
      </c>
      <c r="M773" s="2" t="s">
        <v>11028</v>
      </c>
      <c r="N773" s="2" t="s">
        <v>11037</v>
      </c>
      <c r="O773" s="2" t="s">
        <v>11036</v>
      </c>
      <c r="P773" s="2" t="s">
        <v>11036</v>
      </c>
      <c r="Q773" s="2">
        <f>AVERAGE(PerfRate[[#This Row],[EnvironmentSatisfaction]],PerfRate[[#This Row],[JobSatisfaction]],PerfRate[[#This Row],[RelationshipSatisfaction]])</f>
        <v>3.3333333333333335</v>
      </c>
      <c r="R773" s="2">
        <f>PerfRate[[#This Row],[ManagerRating]] - PerfRate[[#This Row],[SelfRating]]</f>
        <v>-1</v>
      </c>
    </row>
    <row r="774" spans="1:18">
      <c r="A774" s="2" t="s">
        <v>5081</v>
      </c>
      <c r="B774" s="2" t="s">
        <v>1084</v>
      </c>
      <c r="C774" s="1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  <c r="L774" s="2" t="s">
        <v>11029</v>
      </c>
      <c r="M774" s="2" t="s">
        <v>11029</v>
      </c>
      <c r="N774" s="2" t="s">
        <v>11037</v>
      </c>
      <c r="O774" s="2" t="s">
        <v>11035</v>
      </c>
      <c r="P774" s="2" t="s">
        <v>11035</v>
      </c>
      <c r="Q774" s="2">
        <f>AVERAGE(PerfRate[[#This Row],[EnvironmentSatisfaction]],PerfRate[[#This Row],[JobSatisfaction]],PerfRate[[#This Row],[RelationshipSatisfaction]])</f>
        <v>2.6666666666666665</v>
      </c>
      <c r="R774" s="2">
        <f>PerfRate[[#This Row],[ManagerRating]] - PerfRate[[#This Row],[SelfRating]]</f>
        <v>0</v>
      </c>
    </row>
    <row r="775" spans="1:18">
      <c r="A775" s="2" t="s">
        <v>5082</v>
      </c>
      <c r="B775" s="2" t="s">
        <v>3365</v>
      </c>
      <c r="C775" s="1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  <c r="L775" s="2" t="s">
        <v>11031</v>
      </c>
      <c r="M775" s="2" t="s">
        <v>11031</v>
      </c>
      <c r="N775" s="2" t="s">
        <v>11037</v>
      </c>
      <c r="O775" s="2" t="s">
        <v>11035</v>
      </c>
      <c r="P775" s="2" t="s">
        <v>11036</v>
      </c>
      <c r="Q775" s="2">
        <f>AVERAGE(PerfRate[[#This Row],[EnvironmentSatisfaction]],PerfRate[[#This Row],[JobSatisfaction]],PerfRate[[#This Row],[RelationshipSatisfaction]])</f>
        <v>3</v>
      </c>
      <c r="R775" s="2">
        <f>PerfRate[[#This Row],[ManagerRating]] - PerfRate[[#This Row],[SelfRating]]</f>
        <v>0</v>
      </c>
    </row>
    <row r="776" spans="1:18">
      <c r="A776" s="2" t="s">
        <v>5083</v>
      </c>
      <c r="B776" s="2" t="s">
        <v>916</v>
      </c>
      <c r="C776" s="1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  <c r="L776" s="2" t="s">
        <v>11029</v>
      </c>
      <c r="M776" s="2" t="s">
        <v>11029</v>
      </c>
      <c r="N776" s="2" t="s">
        <v>11038</v>
      </c>
      <c r="O776" s="2" t="s">
        <v>11037</v>
      </c>
      <c r="P776" s="2" t="s">
        <v>11035</v>
      </c>
      <c r="Q776" s="2">
        <f>AVERAGE(PerfRate[[#This Row],[EnvironmentSatisfaction]],PerfRate[[#This Row],[JobSatisfaction]],PerfRate[[#This Row],[RelationshipSatisfaction]])</f>
        <v>3.6666666666666665</v>
      </c>
      <c r="R776" s="2">
        <f>PerfRate[[#This Row],[ManagerRating]] - PerfRate[[#This Row],[SelfRating]]</f>
        <v>0</v>
      </c>
    </row>
    <row r="777" spans="1:18">
      <c r="A777" s="2" t="s">
        <v>5084</v>
      </c>
      <c r="B777" s="2" t="s">
        <v>401</v>
      </c>
      <c r="C777" s="1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  <c r="L777" s="2" t="s">
        <v>11030</v>
      </c>
      <c r="M777" s="2" t="s">
        <v>11030</v>
      </c>
      <c r="N777" s="2" t="s">
        <v>11037</v>
      </c>
      <c r="O777" s="2" t="s">
        <v>11035</v>
      </c>
      <c r="P777" s="2" t="s">
        <v>11036</v>
      </c>
      <c r="Q777" s="2">
        <f>AVERAGE(PerfRate[[#This Row],[EnvironmentSatisfaction]],PerfRate[[#This Row],[JobSatisfaction]],PerfRate[[#This Row],[RelationshipSatisfaction]])</f>
        <v>3</v>
      </c>
      <c r="R777" s="2">
        <f>PerfRate[[#This Row],[ManagerRating]] - PerfRate[[#This Row],[SelfRating]]</f>
        <v>0</v>
      </c>
    </row>
    <row r="778" spans="1:18">
      <c r="A778" s="2" t="s">
        <v>5085</v>
      </c>
      <c r="B778" s="2" t="s">
        <v>777</v>
      </c>
      <c r="C778" s="1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  <c r="L778" s="2" t="s">
        <v>11030</v>
      </c>
      <c r="M778" s="2" t="s">
        <v>11029</v>
      </c>
      <c r="N778" s="2" t="s">
        <v>11038</v>
      </c>
      <c r="O778" s="2" t="s">
        <v>11035</v>
      </c>
      <c r="P778" s="2" t="s">
        <v>11037</v>
      </c>
      <c r="Q778" s="2">
        <f>AVERAGE(PerfRate[[#This Row],[EnvironmentSatisfaction]],PerfRate[[#This Row],[JobSatisfaction]],PerfRate[[#This Row],[RelationshipSatisfaction]])</f>
        <v>3.6666666666666665</v>
      </c>
      <c r="R778" s="2">
        <f>PerfRate[[#This Row],[ManagerRating]] - PerfRate[[#This Row],[SelfRating]]</f>
        <v>-1</v>
      </c>
    </row>
    <row r="779" spans="1:18">
      <c r="A779" s="2" t="s">
        <v>5086</v>
      </c>
      <c r="B779" s="2" t="s">
        <v>1160</v>
      </c>
      <c r="C779" s="1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  <c r="L779" s="2" t="s">
        <v>11031</v>
      </c>
      <c r="M779" s="2" t="s">
        <v>11031</v>
      </c>
      <c r="N779" s="2" t="s">
        <v>11038</v>
      </c>
      <c r="O779" s="2" t="s">
        <v>11037</v>
      </c>
      <c r="P779" s="2" t="s">
        <v>11036</v>
      </c>
      <c r="Q779" s="2">
        <f>AVERAGE(PerfRate[[#This Row],[EnvironmentSatisfaction]],PerfRate[[#This Row],[JobSatisfaction]],PerfRate[[#This Row],[RelationshipSatisfaction]])</f>
        <v>4</v>
      </c>
      <c r="R779" s="2">
        <f>PerfRate[[#This Row],[ManagerRating]] - PerfRate[[#This Row],[SelfRating]]</f>
        <v>0</v>
      </c>
    </row>
    <row r="780" spans="1:18">
      <c r="A780" s="2" t="s">
        <v>5087</v>
      </c>
      <c r="B780" s="2" t="s">
        <v>2464</v>
      </c>
      <c r="C780" s="1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  <c r="L780" s="2" t="s">
        <v>11030</v>
      </c>
      <c r="M780" s="2" t="s">
        <v>11029</v>
      </c>
      <c r="N780" s="2" t="s">
        <v>11036</v>
      </c>
      <c r="O780" s="2" t="s">
        <v>11035</v>
      </c>
      <c r="P780" s="2" t="s">
        <v>11038</v>
      </c>
      <c r="Q780" s="2">
        <f>AVERAGE(PerfRate[[#This Row],[EnvironmentSatisfaction]],PerfRate[[#This Row],[JobSatisfaction]],PerfRate[[#This Row],[RelationshipSatisfaction]])</f>
        <v>3.3333333333333335</v>
      </c>
      <c r="R780" s="2">
        <f>PerfRate[[#This Row],[ManagerRating]] - PerfRate[[#This Row],[SelfRating]]</f>
        <v>-1</v>
      </c>
    </row>
    <row r="781" spans="1:18">
      <c r="A781" s="2" t="s">
        <v>5088</v>
      </c>
      <c r="B781" s="2" t="s">
        <v>3108</v>
      </c>
      <c r="C781" s="1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  <c r="L781" s="2" t="s">
        <v>11029</v>
      </c>
      <c r="M781" s="2" t="s">
        <v>11028</v>
      </c>
      <c r="N781" s="2" t="s">
        <v>11037</v>
      </c>
      <c r="O781" s="2" t="s">
        <v>11038</v>
      </c>
      <c r="P781" s="2" t="s">
        <v>11037</v>
      </c>
      <c r="Q781" s="2">
        <f>AVERAGE(PerfRate[[#This Row],[EnvironmentSatisfaction]],PerfRate[[#This Row],[JobSatisfaction]],PerfRate[[#This Row],[RelationshipSatisfaction]])</f>
        <v>4.333333333333333</v>
      </c>
      <c r="R781" s="2">
        <f>PerfRate[[#This Row],[ManagerRating]] - PerfRate[[#This Row],[SelfRating]]</f>
        <v>-1</v>
      </c>
    </row>
    <row r="782" spans="1:18">
      <c r="A782" s="2" t="s">
        <v>5089</v>
      </c>
      <c r="B782" s="2" t="s">
        <v>317</v>
      </c>
      <c r="C782" s="1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  <c r="L782" s="2" t="s">
        <v>11031</v>
      </c>
      <c r="M782" s="2" t="s">
        <v>11031</v>
      </c>
      <c r="N782" s="2" t="s">
        <v>11037</v>
      </c>
      <c r="O782" s="2" t="s">
        <v>11037</v>
      </c>
      <c r="P782" s="2" t="s">
        <v>11035</v>
      </c>
      <c r="Q782" s="2">
        <f>AVERAGE(PerfRate[[#This Row],[EnvironmentSatisfaction]],PerfRate[[#This Row],[JobSatisfaction]],PerfRate[[#This Row],[RelationshipSatisfaction]])</f>
        <v>3.3333333333333335</v>
      </c>
      <c r="R782" s="2">
        <f>PerfRate[[#This Row],[ManagerRating]] - PerfRate[[#This Row],[SelfRating]]</f>
        <v>0</v>
      </c>
    </row>
    <row r="783" spans="1:18">
      <c r="A783" s="2" t="s">
        <v>5090</v>
      </c>
      <c r="B783" s="2" t="s">
        <v>982</v>
      </c>
      <c r="C783" s="1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  <c r="L783" s="2" t="s">
        <v>11030</v>
      </c>
      <c r="M783" s="2" t="s">
        <v>11029</v>
      </c>
      <c r="N783" s="2" t="s">
        <v>11037</v>
      </c>
      <c r="O783" s="2" t="s">
        <v>11035</v>
      </c>
      <c r="P783" s="2" t="s">
        <v>11038</v>
      </c>
      <c r="Q783" s="2">
        <f>AVERAGE(PerfRate[[#This Row],[EnvironmentSatisfaction]],PerfRate[[#This Row],[JobSatisfaction]],PerfRate[[#This Row],[RelationshipSatisfaction]])</f>
        <v>3.6666666666666665</v>
      </c>
      <c r="R783" s="2">
        <f>PerfRate[[#This Row],[ManagerRating]] - PerfRate[[#This Row],[SelfRating]]</f>
        <v>-1</v>
      </c>
    </row>
    <row r="784" spans="1:18">
      <c r="A784" s="2" t="s">
        <v>5091</v>
      </c>
      <c r="B784" s="2" t="s">
        <v>3926</v>
      </c>
      <c r="C784" s="1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  <c r="L784" s="2" t="s">
        <v>11029</v>
      </c>
      <c r="M784" s="2" t="s">
        <v>11029</v>
      </c>
      <c r="N784" s="2" t="s">
        <v>11037</v>
      </c>
      <c r="O784" s="2" t="s">
        <v>11036</v>
      </c>
      <c r="P784" s="2" t="s">
        <v>11038</v>
      </c>
      <c r="Q784" s="2">
        <f>AVERAGE(PerfRate[[#This Row],[EnvironmentSatisfaction]],PerfRate[[#This Row],[JobSatisfaction]],PerfRate[[#This Row],[RelationshipSatisfaction]])</f>
        <v>4</v>
      </c>
      <c r="R784" s="2">
        <f>PerfRate[[#This Row],[ManagerRating]] - PerfRate[[#This Row],[SelfRating]]</f>
        <v>0</v>
      </c>
    </row>
    <row r="785" spans="1:18">
      <c r="A785" s="2" t="s">
        <v>5092</v>
      </c>
      <c r="B785" s="2" t="s">
        <v>961</v>
      </c>
      <c r="C785" s="1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  <c r="L785" s="2" t="s">
        <v>11029</v>
      </c>
      <c r="M785" s="2" t="s">
        <v>11029</v>
      </c>
      <c r="N785" s="2" t="s">
        <v>11036</v>
      </c>
      <c r="O785" s="2" t="s">
        <v>11035</v>
      </c>
      <c r="P785" s="2" t="s">
        <v>11037</v>
      </c>
      <c r="Q785" s="2">
        <f>AVERAGE(PerfRate[[#This Row],[EnvironmentSatisfaction]],PerfRate[[#This Row],[JobSatisfaction]],PerfRate[[#This Row],[RelationshipSatisfaction]])</f>
        <v>3</v>
      </c>
      <c r="R785" s="2">
        <f>PerfRate[[#This Row],[ManagerRating]] - PerfRate[[#This Row],[SelfRating]]</f>
        <v>0</v>
      </c>
    </row>
    <row r="786" spans="1:18">
      <c r="A786" s="2" t="s">
        <v>5093</v>
      </c>
      <c r="B786" s="2" t="s">
        <v>1520</v>
      </c>
      <c r="C786" s="1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  <c r="L786" s="2" t="s">
        <v>11029</v>
      </c>
      <c r="M786" s="2" t="s">
        <v>11028</v>
      </c>
      <c r="N786" s="2" t="s">
        <v>11036</v>
      </c>
      <c r="O786" s="2" t="s">
        <v>11037</v>
      </c>
      <c r="P786" s="2" t="s">
        <v>11037</v>
      </c>
      <c r="Q786" s="2">
        <f>AVERAGE(PerfRate[[#This Row],[EnvironmentSatisfaction]],PerfRate[[#This Row],[JobSatisfaction]],PerfRate[[#This Row],[RelationshipSatisfaction]])</f>
        <v>3.6666666666666665</v>
      </c>
      <c r="R786" s="2">
        <f>PerfRate[[#This Row],[ManagerRating]] - PerfRate[[#This Row],[SelfRating]]</f>
        <v>-1</v>
      </c>
    </row>
    <row r="787" spans="1:18">
      <c r="A787" s="2" t="s">
        <v>5094</v>
      </c>
      <c r="B787" s="2" t="s">
        <v>350</v>
      </c>
      <c r="C787" s="1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  <c r="L787" s="2" t="s">
        <v>11030</v>
      </c>
      <c r="M787" s="2" t="s">
        <v>11030</v>
      </c>
      <c r="N787" s="2" t="s">
        <v>11038</v>
      </c>
      <c r="O787" s="2" t="s">
        <v>11037</v>
      </c>
      <c r="P787" s="2" t="s">
        <v>11038</v>
      </c>
      <c r="Q787" s="2">
        <f>AVERAGE(PerfRate[[#This Row],[EnvironmentSatisfaction]],PerfRate[[#This Row],[JobSatisfaction]],PerfRate[[#This Row],[RelationshipSatisfaction]])</f>
        <v>4.666666666666667</v>
      </c>
      <c r="R787" s="2">
        <f>PerfRate[[#This Row],[ManagerRating]] - PerfRate[[#This Row],[SelfRating]]</f>
        <v>0</v>
      </c>
    </row>
    <row r="788" spans="1:18">
      <c r="A788" s="2" t="s">
        <v>5095</v>
      </c>
      <c r="B788" s="2" t="s">
        <v>1889</v>
      </c>
      <c r="C788" s="1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  <c r="L788" s="2" t="s">
        <v>11031</v>
      </c>
      <c r="M788" s="2" t="s">
        <v>11030</v>
      </c>
      <c r="N788" s="2" t="s">
        <v>11038</v>
      </c>
      <c r="O788" s="2" t="s">
        <v>11037</v>
      </c>
      <c r="P788" s="2" t="s">
        <v>11036</v>
      </c>
      <c r="Q788" s="2">
        <f>AVERAGE(PerfRate[[#This Row],[EnvironmentSatisfaction]],PerfRate[[#This Row],[JobSatisfaction]],PerfRate[[#This Row],[RelationshipSatisfaction]])</f>
        <v>4</v>
      </c>
      <c r="R788" s="2">
        <f>PerfRate[[#This Row],[ManagerRating]] - PerfRate[[#This Row],[SelfRating]]</f>
        <v>-1</v>
      </c>
    </row>
    <row r="789" spans="1:18">
      <c r="A789" s="2" t="s">
        <v>5096</v>
      </c>
      <c r="B789" s="2" t="s">
        <v>1889</v>
      </c>
      <c r="C789" s="1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  <c r="L789" s="2" t="s">
        <v>11030</v>
      </c>
      <c r="M789" s="2" t="s">
        <v>11029</v>
      </c>
      <c r="N789" s="2" t="s">
        <v>11038</v>
      </c>
      <c r="O789" s="2" t="s">
        <v>11037</v>
      </c>
      <c r="P789" s="2" t="s">
        <v>11035</v>
      </c>
      <c r="Q789" s="2">
        <f>AVERAGE(PerfRate[[#This Row],[EnvironmentSatisfaction]],PerfRate[[#This Row],[JobSatisfaction]],PerfRate[[#This Row],[RelationshipSatisfaction]])</f>
        <v>3.6666666666666665</v>
      </c>
      <c r="R789" s="2">
        <f>PerfRate[[#This Row],[ManagerRating]] - PerfRate[[#This Row],[SelfRating]]</f>
        <v>-1</v>
      </c>
    </row>
    <row r="790" spans="1:18">
      <c r="A790" s="2" t="s">
        <v>5097</v>
      </c>
      <c r="B790" s="2" t="s">
        <v>631</v>
      </c>
      <c r="C790" s="1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  <c r="L790" s="2" t="s">
        <v>11030</v>
      </c>
      <c r="M790" s="2" t="s">
        <v>11029</v>
      </c>
      <c r="N790" s="2" t="s">
        <v>11037</v>
      </c>
      <c r="O790" s="2" t="s">
        <v>11036</v>
      </c>
      <c r="P790" s="2" t="s">
        <v>11035</v>
      </c>
      <c r="Q790" s="2">
        <f>AVERAGE(PerfRate[[#This Row],[EnvironmentSatisfaction]],PerfRate[[#This Row],[JobSatisfaction]],PerfRate[[#This Row],[RelationshipSatisfaction]])</f>
        <v>3</v>
      </c>
      <c r="R790" s="2">
        <f>PerfRate[[#This Row],[ManagerRating]] - PerfRate[[#This Row],[SelfRating]]</f>
        <v>-1</v>
      </c>
    </row>
    <row r="791" spans="1:18">
      <c r="A791" s="2" t="s">
        <v>5098</v>
      </c>
      <c r="B791" s="2" t="s">
        <v>744</v>
      </c>
      <c r="C791" s="1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  <c r="L791" s="2" t="s">
        <v>11030</v>
      </c>
      <c r="M791" s="2" t="s">
        <v>11029</v>
      </c>
      <c r="N791" s="2" t="s">
        <v>11036</v>
      </c>
      <c r="O791" s="2" t="s">
        <v>11037</v>
      </c>
      <c r="P791" s="2" t="s">
        <v>11036</v>
      </c>
      <c r="Q791" s="2">
        <f>AVERAGE(PerfRate[[#This Row],[EnvironmentSatisfaction]],PerfRate[[#This Row],[JobSatisfaction]],PerfRate[[#This Row],[RelationshipSatisfaction]])</f>
        <v>3.3333333333333335</v>
      </c>
      <c r="R791" s="2">
        <f>PerfRate[[#This Row],[ManagerRating]] - PerfRate[[#This Row],[SelfRating]]</f>
        <v>-1</v>
      </c>
    </row>
    <row r="792" spans="1:18">
      <c r="A792" s="2" t="s">
        <v>5099</v>
      </c>
      <c r="B792" s="2" t="s">
        <v>3256</v>
      </c>
      <c r="C792" s="1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  <c r="L792" s="2" t="s">
        <v>11030</v>
      </c>
      <c r="M792" s="2" t="s">
        <v>11029</v>
      </c>
      <c r="N792" s="2" t="s">
        <v>11036</v>
      </c>
      <c r="O792" s="2" t="s">
        <v>11038</v>
      </c>
      <c r="P792" s="2" t="s">
        <v>11038</v>
      </c>
      <c r="Q792" s="2">
        <f>AVERAGE(PerfRate[[#This Row],[EnvironmentSatisfaction]],PerfRate[[#This Row],[JobSatisfaction]],PerfRate[[#This Row],[RelationshipSatisfaction]])</f>
        <v>4.333333333333333</v>
      </c>
      <c r="R792" s="2">
        <f>PerfRate[[#This Row],[ManagerRating]] - PerfRate[[#This Row],[SelfRating]]</f>
        <v>-1</v>
      </c>
    </row>
    <row r="793" spans="1:18">
      <c r="A793" s="2" t="s">
        <v>5100</v>
      </c>
      <c r="B793" s="2" t="s">
        <v>556</v>
      </c>
      <c r="C793" s="1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  <c r="L793" s="2" t="s">
        <v>11031</v>
      </c>
      <c r="M793" s="2" t="s">
        <v>11030</v>
      </c>
      <c r="N793" s="2" t="s">
        <v>11036</v>
      </c>
      <c r="O793" s="2" t="s">
        <v>11038</v>
      </c>
      <c r="P793" s="2" t="s">
        <v>11036</v>
      </c>
      <c r="Q793" s="2">
        <f>AVERAGE(PerfRate[[#This Row],[EnvironmentSatisfaction]],PerfRate[[#This Row],[JobSatisfaction]],PerfRate[[#This Row],[RelationshipSatisfaction]])</f>
        <v>3.6666666666666665</v>
      </c>
      <c r="R793" s="2">
        <f>PerfRate[[#This Row],[ManagerRating]] - PerfRate[[#This Row],[SelfRating]]</f>
        <v>-1</v>
      </c>
    </row>
    <row r="794" spans="1:18">
      <c r="A794" s="2" t="s">
        <v>5101</v>
      </c>
      <c r="B794" s="2" t="s">
        <v>1255</v>
      </c>
      <c r="C794" s="1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  <c r="L794" s="2" t="s">
        <v>11029</v>
      </c>
      <c r="M794" s="2" t="s">
        <v>11029</v>
      </c>
      <c r="N794" s="2" t="s">
        <v>11038</v>
      </c>
      <c r="O794" s="2" t="s">
        <v>11037</v>
      </c>
      <c r="P794" s="2" t="s">
        <v>11035</v>
      </c>
      <c r="Q794" s="2">
        <f>AVERAGE(PerfRate[[#This Row],[EnvironmentSatisfaction]],PerfRate[[#This Row],[JobSatisfaction]],PerfRate[[#This Row],[RelationshipSatisfaction]])</f>
        <v>3.6666666666666665</v>
      </c>
      <c r="R794" s="2">
        <f>PerfRate[[#This Row],[ManagerRating]] - PerfRate[[#This Row],[SelfRating]]</f>
        <v>0</v>
      </c>
    </row>
    <row r="795" spans="1:18">
      <c r="A795" s="2" t="s">
        <v>5102</v>
      </c>
      <c r="B795" s="2" t="s">
        <v>131</v>
      </c>
      <c r="C795" s="1">
        <v>42741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  <c r="L795" s="2" t="s">
        <v>11029</v>
      </c>
      <c r="M795" s="2" t="s">
        <v>11028</v>
      </c>
      <c r="N795" s="2" t="s">
        <v>11036</v>
      </c>
      <c r="O795" s="2" t="s">
        <v>11038</v>
      </c>
      <c r="P795" s="2" t="s">
        <v>11038</v>
      </c>
      <c r="Q795" s="2">
        <f>AVERAGE(PerfRate[[#This Row],[EnvironmentSatisfaction]],PerfRate[[#This Row],[JobSatisfaction]],PerfRate[[#This Row],[RelationshipSatisfaction]])</f>
        <v>4.333333333333333</v>
      </c>
      <c r="R795" s="2">
        <f>PerfRate[[#This Row],[ManagerRating]] - PerfRate[[#This Row],[SelfRating]]</f>
        <v>-1</v>
      </c>
    </row>
    <row r="796" spans="1:18">
      <c r="A796" s="2" t="s">
        <v>5103</v>
      </c>
      <c r="B796" s="2" t="s">
        <v>835</v>
      </c>
      <c r="C796" s="1">
        <v>42741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  <c r="L796" s="2" t="s">
        <v>11030</v>
      </c>
      <c r="M796" s="2" t="s">
        <v>11029</v>
      </c>
      <c r="N796" s="2" t="s">
        <v>11037</v>
      </c>
      <c r="O796" s="2" t="s">
        <v>11037</v>
      </c>
      <c r="P796" s="2" t="s">
        <v>11036</v>
      </c>
      <c r="Q796" s="2">
        <f>AVERAGE(PerfRate[[#This Row],[EnvironmentSatisfaction]],PerfRate[[#This Row],[JobSatisfaction]],PerfRate[[#This Row],[RelationshipSatisfaction]])</f>
        <v>3.6666666666666665</v>
      </c>
      <c r="R796" s="2">
        <f>PerfRate[[#This Row],[ManagerRating]] - PerfRate[[#This Row],[SelfRating]]</f>
        <v>-1</v>
      </c>
    </row>
    <row r="797" spans="1:18">
      <c r="A797" s="2" t="s">
        <v>5104</v>
      </c>
      <c r="B797" s="2" t="s">
        <v>877</v>
      </c>
      <c r="C797" s="1">
        <v>42741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  <c r="L797" s="2" t="s">
        <v>11029</v>
      </c>
      <c r="M797" s="2" t="s">
        <v>11029</v>
      </c>
      <c r="N797" s="2" t="s">
        <v>11038</v>
      </c>
      <c r="O797" s="2" t="s">
        <v>11038</v>
      </c>
      <c r="P797" s="2" t="s">
        <v>11037</v>
      </c>
      <c r="Q797" s="2">
        <f>AVERAGE(PerfRate[[#This Row],[EnvironmentSatisfaction]],PerfRate[[#This Row],[JobSatisfaction]],PerfRate[[#This Row],[RelationshipSatisfaction]])</f>
        <v>4.666666666666667</v>
      </c>
      <c r="R797" s="2">
        <f>PerfRate[[#This Row],[ManagerRating]] - PerfRate[[#This Row],[SelfRating]]</f>
        <v>0</v>
      </c>
    </row>
    <row r="798" spans="1:18">
      <c r="A798" s="2" t="s">
        <v>5105</v>
      </c>
      <c r="B798" s="2" t="s">
        <v>634</v>
      </c>
      <c r="C798" s="1">
        <v>42741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  <c r="L798" s="2" t="s">
        <v>11030</v>
      </c>
      <c r="M798" s="2" t="s">
        <v>11030</v>
      </c>
      <c r="N798" s="2" t="s">
        <v>11037</v>
      </c>
      <c r="O798" s="2" t="s">
        <v>11036</v>
      </c>
      <c r="P798" s="2" t="s">
        <v>11036</v>
      </c>
      <c r="Q798" s="2">
        <f>AVERAGE(PerfRate[[#This Row],[EnvironmentSatisfaction]],PerfRate[[#This Row],[JobSatisfaction]],PerfRate[[#This Row],[RelationshipSatisfaction]])</f>
        <v>3.3333333333333335</v>
      </c>
      <c r="R798" s="2">
        <f>PerfRate[[#This Row],[ManagerRating]] - PerfRate[[#This Row],[SelfRating]]</f>
        <v>0</v>
      </c>
    </row>
    <row r="799" spans="1:18">
      <c r="A799" s="2" t="s">
        <v>5106</v>
      </c>
      <c r="B799" s="2" t="s">
        <v>791</v>
      </c>
      <c r="C799" s="1">
        <v>42800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  <c r="L799" s="2" t="s">
        <v>11030</v>
      </c>
      <c r="M799" s="2" t="s">
        <v>11029</v>
      </c>
      <c r="N799" s="2" t="s">
        <v>11037</v>
      </c>
      <c r="O799" s="2" t="s">
        <v>11036</v>
      </c>
      <c r="P799" s="2" t="s">
        <v>11038</v>
      </c>
      <c r="Q799" s="2">
        <f>AVERAGE(PerfRate[[#This Row],[EnvironmentSatisfaction]],PerfRate[[#This Row],[JobSatisfaction]],PerfRate[[#This Row],[RelationshipSatisfaction]])</f>
        <v>4</v>
      </c>
      <c r="R799" s="2">
        <f>PerfRate[[#This Row],[ManagerRating]] - PerfRate[[#This Row],[SelfRating]]</f>
        <v>-1</v>
      </c>
    </row>
    <row r="800" spans="1:18">
      <c r="A800" s="2" t="s">
        <v>5107</v>
      </c>
      <c r="B800" s="2" t="s">
        <v>940</v>
      </c>
      <c r="C800" s="1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  <c r="L800" s="2" t="s">
        <v>11029</v>
      </c>
      <c r="M800" s="2" t="s">
        <v>11029</v>
      </c>
      <c r="N800" s="2" t="s">
        <v>11038</v>
      </c>
      <c r="O800" s="2" t="s">
        <v>11035</v>
      </c>
      <c r="P800" s="2" t="s">
        <v>11035</v>
      </c>
      <c r="Q800" s="2">
        <f>AVERAGE(PerfRate[[#This Row],[EnvironmentSatisfaction]],PerfRate[[#This Row],[JobSatisfaction]],PerfRate[[#This Row],[RelationshipSatisfaction]])</f>
        <v>3</v>
      </c>
      <c r="R800" s="2">
        <f>PerfRate[[#This Row],[ManagerRating]] - PerfRate[[#This Row],[SelfRating]]</f>
        <v>0</v>
      </c>
    </row>
    <row r="801" spans="1:18">
      <c r="A801" s="2" t="s">
        <v>5108</v>
      </c>
      <c r="B801" s="2" t="s">
        <v>4263</v>
      </c>
      <c r="C801" s="1">
        <v>42831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  <c r="L801" s="2" t="s">
        <v>11030</v>
      </c>
      <c r="M801" s="2" t="s">
        <v>11030</v>
      </c>
      <c r="N801" s="2" t="s">
        <v>11037</v>
      </c>
      <c r="O801" s="2" t="s">
        <v>11038</v>
      </c>
      <c r="P801" s="2" t="s">
        <v>11035</v>
      </c>
      <c r="Q801" s="2">
        <f>AVERAGE(PerfRate[[#This Row],[EnvironmentSatisfaction]],PerfRate[[#This Row],[JobSatisfaction]],PerfRate[[#This Row],[RelationshipSatisfaction]])</f>
        <v>3.6666666666666665</v>
      </c>
      <c r="R801" s="2">
        <f>PerfRate[[#This Row],[ManagerRating]] - PerfRate[[#This Row],[SelfRating]]</f>
        <v>0</v>
      </c>
    </row>
    <row r="802" spans="1:18">
      <c r="A802" s="2" t="s">
        <v>5109</v>
      </c>
      <c r="B802" s="2" t="s">
        <v>437</v>
      </c>
      <c r="C802" s="1">
        <v>42861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  <c r="L802" s="2" t="s">
        <v>11029</v>
      </c>
      <c r="M802" s="2" t="s">
        <v>11028</v>
      </c>
      <c r="N802" s="2" t="s">
        <v>11037</v>
      </c>
      <c r="O802" s="2" t="s">
        <v>11035</v>
      </c>
      <c r="P802" s="2" t="s">
        <v>11037</v>
      </c>
      <c r="Q802" s="2">
        <f>AVERAGE(PerfRate[[#This Row],[EnvironmentSatisfaction]],PerfRate[[#This Row],[JobSatisfaction]],PerfRate[[#This Row],[RelationshipSatisfaction]])</f>
        <v>3.3333333333333335</v>
      </c>
      <c r="R802" s="2">
        <f>PerfRate[[#This Row],[ManagerRating]] - PerfRate[[#This Row],[SelfRating]]</f>
        <v>-1</v>
      </c>
    </row>
    <row r="803" spans="1:18">
      <c r="A803" s="2" t="s">
        <v>5110</v>
      </c>
      <c r="B803" s="2" t="s">
        <v>3673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  <c r="L803" s="2" t="s">
        <v>11031</v>
      </c>
      <c r="M803" s="2" t="s">
        <v>11030</v>
      </c>
      <c r="N803" s="2" t="s">
        <v>11037</v>
      </c>
      <c r="O803" s="2" t="s">
        <v>11038</v>
      </c>
      <c r="P803" s="2" t="s">
        <v>11036</v>
      </c>
      <c r="Q803" s="2">
        <f>AVERAGE(PerfRate[[#This Row],[EnvironmentSatisfaction]],PerfRate[[#This Row],[JobSatisfaction]],PerfRate[[#This Row],[RelationshipSatisfaction]])</f>
        <v>4</v>
      </c>
      <c r="R803" s="2">
        <f>PerfRate[[#This Row],[ManagerRating]] - PerfRate[[#This Row],[SelfRating]]</f>
        <v>-1</v>
      </c>
    </row>
    <row r="804" spans="1:18">
      <c r="A804" s="2" t="s">
        <v>5111</v>
      </c>
      <c r="B804" s="2" t="s">
        <v>844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  <c r="L804" s="2" t="s">
        <v>11031</v>
      </c>
      <c r="M804" s="2" t="s">
        <v>11031</v>
      </c>
      <c r="N804" s="2" t="s">
        <v>11036</v>
      </c>
      <c r="O804" s="2" t="s">
        <v>11036</v>
      </c>
      <c r="P804" s="2" t="s">
        <v>11038</v>
      </c>
      <c r="Q804" s="2">
        <f>AVERAGE(PerfRate[[#This Row],[EnvironmentSatisfaction]],PerfRate[[#This Row],[JobSatisfaction]],PerfRate[[#This Row],[RelationshipSatisfaction]])</f>
        <v>3.6666666666666665</v>
      </c>
      <c r="R804" s="2">
        <f>PerfRate[[#This Row],[ManagerRating]] - PerfRate[[#This Row],[SelfRating]]</f>
        <v>0</v>
      </c>
    </row>
    <row r="805" spans="1:18">
      <c r="A805" s="2" t="s">
        <v>5112</v>
      </c>
      <c r="B805" s="2" t="s">
        <v>741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  <c r="L805" s="2" t="s">
        <v>11031</v>
      </c>
      <c r="M805" s="2" t="s">
        <v>11030</v>
      </c>
      <c r="N805" s="2" t="s">
        <v>11038</v>
      </c>
      <c r="O805" s="2" t="s">
        <v>11036</v>
      </c>
      <c r="P805" s="2" t="s">
        <v>11036</v>
      </c>
      <c r="Q805" s="2">
        <f>AVERAGE(PerfRate[[#This Row],[EnvironmentSatisfaction]],PerfRate[[#This Row],[JobSatisfaction]],PerfRate[[#This Row],[RelationshipSatisfaction]])</f>
        <v>3.6666666666666665</v>
      </c>
      <c r="R805" s="2">
        <f>PerfRate[[#This Row],[ManagerRating]] - PerfRate[[#This Row],[SelfRating]]</f>
        <v>-1</v>
      </c>
    </row>
    <row r="806" spans="1:18">
      <c r="A806" s="2" t="s">
        <v>5113</v>
      </c>
      <c r="B806" s="2" t="s">
        <v>1183</v>
      </c>
      <c r="C806" s="1">
        <v>42953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  <c r="L806" s="2" t="s">
        <v>11030</v>
      </c>
      <c r="M806" s="2" t="s">
        <v>11029</v>
      </c>
      <c r="N806" s="2" t="s">
        <v>11037</v>
      </c>
      <c r="O806" s="2" t="s">
        <v>11038</v>
      </c>
      <c r="P806" s="2" t="s">
        <v>11035</v>
      </c>
      <c r="Q806" s="2">
        <f>AVERAGE(PerfRate[[#This Row],[EnvironmentSatisfaction]],PerfRate[[#This Row],[JobSatisfaction]],PerfRate[[#This Row],[RelationshipSatisfaction]])</f>
        <v>3.6666666666666665</v>
      </c>
      <c r="R806" s="2">
        <f>PerfRate[[#This Row],[ManagerRating]] - PerfRate[[#This Row],[SelfRating]]</f>
        <v>-1</v>
      </c>
    </row>
    <row r="807" spans="1:18">
      <c r="A807" s="2" t="s">
        <v>5114</v>
      </c>
      <c r="B807" s="2" t="s">
        <v>416</v>
      </c>
      <c r="C807" s="1">
        <v>42984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  <c r="L807" s="2" t="s">
        <v>11030</v>
      </c>
      <c r="M807" s="2" t="s">
        <v>11030</v>
      </c>
      <c r="N807" s="2" t="s">
        <v>11037</v>
      </c>
      <c r="O807" s="2" t="s">
        <v>11036</v>
      </c>
      <c r="P807" s="2" t="s">
        <v>11037</v>
      </c>
      <c r="Q807" s="2">
        <f>AVERAGE(PerfRate[[#This Row],[EnvironmentSatisfaction]],PerfRate[[#This Row],[JobSatisfaction]],PerfRate[[#This Row],[RelationshipSatisfaction]])</f>
        <v>3.6666666666666665</v>
      </c>
      <c r="R807" s="2">
        <f>PerfRate[[#This Row],[ManagerRating]] - PerfRate[[#This Row],[SelfRating]]</f>
        <v>0</v>
      </c>
    </row>
    <row r="808" spans="1:18">
      <c r="A808" s="2" t="s">
        <v>5115</v>
      </c>
      <c r="B808" s="2" t="s">
        <v>229</v>
      </c>
      <c r="C808" s="1">
        <v>42984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  <c r="L808" s="2" t="s">
        <v>11031</v>
      </c>
      <c r="M808" s="2" t="s">
        <v>11031</v>
      </c>
      <c r="N808" s="2" t="s">
        <v>11038</v>
      </c>
      <c r="O808" s="2" t="s">
        <v>11035</v>
      </c>
      <c r="P808" s="2" t="s">
        <v>11035</v>
      </c>
      <c r="Q808" s="2">
        <f>AVERAGE(PerfRate[[#This Row],[EnvironmentSatisfaction]],PerfRate[[#This Row],[JobSatisfaction]],PerfRate[[#This Row],[RelationshipSatisfaction]])</f>
        <v>3</v>
      </c>
      <c r="R808" s="2">
        <f>PerfRate[[#This Row],[ManagerRating]] - PerfRate[[#This Row],[SelfRating]]</f>
        <v>0</v>
      </c>
    </row>
    <row r="809" spans="1:18">
      <c r="A809" s="2" t="s">
        <v>5116</v>
      </c>
      <c r="B809" s="2" t="s">
        <v>247</v>
      </c>
      <c r="C809" s="1">
        <v>43014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  <c r="L809" s="2" t="s">
        <v>11031</v>
      </c>
      <c r="M809" s="2" t="s">
        <v>11030</v>
      </c>
      <c r="N809" s="2" t="s">
        <v>11038</v>
      </c>
      <c r="O809" s="2" t="s">
        <v>11038</v>
      </c>
      <c r="P809" s="2" t="s">
        <v>11035</v>
      </c>
      <c r="Q809" s="2">
        <f>AVERAGE(PerfRate[[#This Row],[EnvironmentSatisfaction]],PerfRate[[#This Row],[JobSatisfaction]],PerfRate[[#This Row],[RelationshipSatisfaction]])</f>
        <v>4</v>
      </c>
      <c r="R809" s="2">
        <f>PerfRate[[#This Row],[ManagerRating]] - PerfRate[[#This Row],[SelfRating]]</f>
        <v>-1</v>
      </c>
    </row>
    <row r="810" spans="1:18">
      <c r="A810" s="2" t="s">
        <v>5117</v>
      </c>
      <c r="B810" s="2" t="s">
        <v>1096</v>
      </c>
      <c r="C810" s="1">
        <v>43014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  <c r="L810" s="2" t="s">
        <v>11030</v>
      </c>
      <c r="M810" s="2" t="s">
        <v>11030</v>
      </c>
      <c r="N810" s="2" t="s">
        <v>11037</v>
      </c>
      <c r="O810" s="2" t="s">
        <v>11036</v>
      </c>
      <c r="P810" s="2" t="s">
        <v>11038</v>
      </c>
      <c r="Q810" s="2">
        <f>AVERAGE(PerfRate[[#This Row],[EnvironmentSatisfaction]],PerfRate[[#This Row],[JobSatisfaction]],PerfRate[[#This Row],[RelationshipSatisfaction]])</f>
        <v>4</v>
      </c>
      <c r="R810" s="2">
        <f>PerfRate[[#This Row],[ManagerRating]] - PerfRate[[#This Row],[SelfRating]]</f>
        <v>0</v>
      </c>
    </row>
    <row r="811" spans="1:18">
      <c r="A811" s="2" t="s">
        <v>5118</v>
      </c>
      <c r="B811" s="2" t="s">
        <v>738</v>
      </c>
      <c r="C811" s="1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  <c r="L811" s="2" t="s">
        <v>11031</v>
      </c>
      <c r="M811" s="2" t="s">
        <v>11031</v>
      </c>
      <c r="N811" s="2" t="s">
        <v>11036</v>
      </c>
      <c r="O811" s="2" t="s">
        <v>11036</v>
      </c>
      <c r="P811" s="2" t="s">
        <v>11035</v>
      </c>
      <c r="Q811" s="2">
        <f>AVERAGE(PerfRate[[#This Row],[EnvironmentSatisfaction]],PerfRate[[#This Row],[JobSatisfaction]],PerfRate[[#This Row],[RelationshipSatisfaction]])</f>
        <v>2.6666666666666665</v>
      </c>
      <c r="R811" s="2">
        <f>PerfRate[[#This Row],[ManagerRating]] - PerfRate[[#This Row],[SelfRating]]</f>
        <v>0</v>
      </c>
    </row>
    <row r="812" spans="1:18">
      <c r="A812" s="2" t="s">
        <v>5119</v>
      </c>
      <c r="B812" s="2" t="s">
        <v>1724</v>
      </c>
      <c r="C812" s="1">
        <v>43075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  <c r="L812" s="2" t="s">
        <v>11031</v>
      </c>
      <c r="M812" s="2" t="s">
        <v>11031</v>
      </c>
      <c r="N812" s="2" t="s">
        <v>11036</v>
      </c>
      <c r="O812" s="2" t="s">
        <v>11038</v>
      </c>
      <c r="P812" s="2" t="s">
        <v>11035</v>
      </c>
      <c r="Q812" s="2">
        <f>AVERAGE(PerfRate[[#This Row],[EnvironmentSatisfaction]],PerfRate[[#This Row],[JobSatisfaction]],PerfRate[[#This Row],[RelationshipSatisfaction]])</f>
        <v>3.3333333333333335</v>
      </c>
      <c r="R812" s="2">
        <f>PerfRate[[#This Row],[ManagerRating]] - PerfRate[[#This Row],[SelfRating]]</f>
        <v>0</v>
      </c>
    </row>
    <row r="813" spans="1:18">
      <c r="A813" s="2" t="s">
        <v>5120</v>
      </c>
      <c r="B813" s="2" t="s">
        <v>3829</v>
      </c>
      <c r="C813" s="1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  <c r="L813" s="2" t="s">
        <v>11031</v>
      </c>
      <c r="M813" s="2" t="s">
        <v>11031</v>
      </c>
      <c r="N813" s="2" t="s">
        <v>11036</v>
      </c>
      <c r="O813" s="2" t="s">
        <v>11037</v>
      </c>
      <c r="P813" s="2" t="s">
        <v>11037</v>
      </c>
      <c r="Q813" s="2">
        <f>AVERAGE(PerfRate[[#This Row],[EnvironmentSatisfaction]],PerfRate[[#This Row],[JobSatisfaction]],PerfRate[[#This Row],[RelationshipSatisfaction]])</f>
        <v>3.6666666666666665</v>
      </c>
      <c r="R813" s="2">
        <f>PerfRate[[#This Row],[ManagerRating]] - PerfRate[[#This Row],[SelfRating]]</f>
        <v>0</v>
      </c>
    </row>
    <row r="814" spans="1:18">
      <c r="A814" s="2" t="s">
        <v>5121</v>
      </c>
      <c r="B814" s="2" t="s">
        <v>3254</v>
      </c>
      <c r="C814" s="1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  <c r="L814" s="2" t="s">
        <v>11030</v>
      </c>
      <c r="M814" s="2" t="s">
        <v>11030</v>
      </c>
      <c r="N814" s="2" t="s">
        <v>11038</v>
      </c>
      <c r="O814" s="2" t="s">
        <v>11037</v>
      </c>
      <c r="P814" s="2" t="s">
        <v>11038</v>
      </c>
      <c r="Q814" s="2">
        <f>AVERAGE(PerfRate[[#This Row],[EnvironmentSatisfaction]],PerfRate[[#This Row],[JobSatisfaction]],PerfRate[[#This Row],[RelationshipSatisfaction]])</f>
        <v>4.666666666666667</v>
      </c>
      <c r="R814" s="2">
        <f>PerfRate[[#This Row],[ManagerRating]] - PerfRate[[#This Row],[SelfRating]]</f>
        <v>0</v>
      </c>
    </row>
    <row r="815" spans="1:18">
      <c r="A815" s="2" t="s">
        <v>5122</v>
      </c>
      <c r="B815" s="2" t="s">
        <v>440</v>
      </c>
      <c r="C815" s="1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  <c r="L815" s="2" t="s">
        <v>11031</v>
      </c>
      <c r="M815" s="2" t="s">
        <v>11030</v>
      </c>
      <c r="N815" s="2" t="s">
        <v>11037</v>
      </c>
      <c r="O815" s="2" t="s">
        <v>11036</v>
      </c>
      <c r="P815" s="2" t="s">
        <v>11037</v>
      </c>
      <c r="Q815" s="2">
        <f>AVERAGE(PerfRate[[#This Row],[EnvironmentSatisfaction]],PerfRate[[#This Row],[JobSatisfaction]],PerfRate[[#This Row],[RelationshipSatisfaction]])</f>
        <v>3.6666666666666665</v>
      </c>
      <c r="R815" s="2">
        <f>PerfRate[[#This Row],[ManagerRating]] - PerfRate[[#This Row],[SelfRating]]</f>
        <v>-1</v>
      </c>
    </row>
    <row r="816" spans="1:18">
      <c r="A816" s="2" t="s">
        <v>5123</v>
      </c>
      <c r="B816" s="2" t="s">
        <v>919</v>
      </c>
      <c r="C816" s="1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  <c r="L816" s="2" t="s">
        <v>11031</v>
      </c>
      <c r="M816" s="2" t="s">
        <v>11031</v>
      </c>
      <c r="N816" s="2" t="s">
        <v>11037</v>
      </c>
      <c r="O816" s="2" t="s">
        <v>11037</v>
      </c>
      <c r="P816" s="2" t="s">
        <v>11035</v>
      </c>
      <c r="Q816" s="2">
        <f>AVERAGE(PerfRate[[#This Row],[EnvironmentSatisfaction]],PerfRate[[#This Row],[JobSatisfaction]],PerfRate[[#This Row],[RelationshipSatisfaction]])</f>
        <v>3.3333333333333335</v>
      </c>
      <c r="R816" s="2">
        <f>PerfRate[[#This Row],[ManagerRating]] - PerfRate[[#This Row],[SelfRating]]</f>
        <v>0</v>
      </c>
    </row>
    <row r="817" spans="1:18">
      <c r="A817" s="2" t="s">
        <v>5124</v>
      </c>
      <c r="B817" s="2" t="s">
        <v>1105</v>
      </c>
      <c r="C817" s="1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  <c r="L817" s="2" t="s">
        <v>11029</v>
      </c>
      <c r="M817" s="2" t="s">
        <v>11029</v>
      </c>
      <c r="N817" s="2" t="s">
        <v>11038</v>
      </c>
      <c r="O817" s="2" t="s">
        <v>11038</v>
      </c>
      <c r="P817" s="2" t="s">
        <v>11038</v>
      </c>
      <c r="Q817" s="2">
        <f>AVERAGE(PerfRate[[#This Row],[EnvironmentSatisfaction]],PerfRate[[#This Row],[JobSatisfaction]],PerfRate[[#This Row],[RelationshipSatisfaction]])</f>
        <v>5</v>
      </c>
      <c r="R817" s="2">
        <f>PerfRate[[#This Row],[ManagerRating]] - PerfRate[[#This Row],[SelfRating]]</f>
        <v>0</v>
      </c>
    </row>
    <row r="818" spans="1:18">
      <c r="A818" s="2" t="s">
        <v>5125</v>
      </c>
      <c r="B818" s="2" t="s">
        <v>374</v>
      </c>
      <c r="C818" s="1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  <c r="L818" s="2" t="s">
        <v>11029</v>
      </c>
      <c r="M818" s="2" t="s">
        <v>11029</v>
      </c>
      <c r="N818" s="2" t="s">
        <v>11036</v>
      </c>
      <c r="O818" s="2" t="s">
        <v>11037</v>
      </c>
      <c r="P818" s="2" t="s">
        <v>11035</v>
      </c>
      <c r="Q818" s="2">
        <f>AVERAGE(PerfRate[[#This Row],[EnvironmentSatisfaction]],PerfRate[[#This Row],[JobSatisfaction]],PerfRate[[#This Row],[RelationshipSatisfaction]])</f>
        <v>3</v>
      </c>
      <c r="R818" s="2">
        <f>PerfRate[[#This Row],[ManagerRating]] - PerfRate[[#This Row],[SelfRating]]</f>
        <v>0</v>
      </c>
    </row>
    <row r="819" spans="1:18">
      <c r="A819" s="2" t="s">
        <v>5126</v>
      </c>
      <c r="B819" s="2" t="s">
        <v>1076</v>
      </c>
      <c r="C819" s="1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  <c r="L819" s="2" t="s">
        <v>11030</v>
      </c>
      <c r="M819" s="2" t="s">
        <v>11030</v>
      </c>
      <c r="N819" s="2" t="s">
        <v>11037</v>
      </c>
      <c r="O819" s="2" t="s">
        <v>11038</v>
      </c>
      <c r="P819" s="2" t="s">
        <v>11036</v>
      </c>
      <c r="Q819" s="2">
        <f>AVERAGE(PerfRate[[#This Row],[EnvironmentSatisfaction]],PerfRate[[#This Row],[JobSatisfaction]],PerfRate[[#This Row],[RelationshipSatisfaction]])</f>
        <v>4</v>
      </c>
      <c r="R819" s="2">
        <f>PerfRate[[#This Row],[ManagerRating]] - PerfRate[[#This Row],[SelfRating]]</f>
        <v>0</v>
      </c>
    </row>
    <row r="820" spans="1:18">
      <c r="A820" s="2" t="s">
        <v>5127</v>
      </c>
      <c r="B820" s="2" t="s">
        <v>344</v>
      </c>
      <c r="C820" s="1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  <c r="L820" s="2" t="s">
        <v>11030</v>
      </c>
      <c r="M820" s="2" t="s">
        <v>11029</v>
      </c>
      <c r="N820" s="2" t="s">
        <v>11037</v>
      </c>
      <c r="O820" s="2" t="s">
        <v>11036</v>
      </c>
      <c r="P820" s="2" t="s">
        <v>11037</v>
      </c>
      <c r="Q820" s="2">
        <f>AVERAGE(PerfRate[[#This Row],[EnvironmentSatisfaction]],PerfRate[[#This Row],[JobSatisfaction]],PerfRate[[#This Row],[RelationshipSatisfaction]])</f>
        <v>3.6666666666666665</v>
      </c>
      <c r="R820" s="2">
        <f>PerfRate[[#This Row],[ManagerRating]] - PerfRate[[#This Row],[SelfRating]]</f>
        <v>-1</v>
      </c>
    </row>
    <row r="821" spans="1:18">
      <c r="A821" s="2" t="s">
        <v>5128</v>
      </c>
      <c r="B821" s="2" t="s">
        <v>732</v>
      </c>
      <c r="C821" s="1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  <c r="L821" s="2" t="s">
        <v>11029</v>
      </c>
      <c r="M821" s="2" t="s">
        <v>11028</v>
      </c>
      <c r="N821" s="2" t="s">
        <v>11037</v>
      </c>
      <c r="O821" s="2" t="s">
        <v>11038</v>
      </c>
      <c r="P821" s="2" t="s">
        <v>11035</v>
      </c>
      <c r="Q821" s="2">
        <f>AVERAGE(PerfRate[[#This Row],[EnvironmentSatisfaction]],PerfRate[[#This Row],[JobSatisfaction]],PerfRate[[#This Row],[RelationshipSatisfaction]])</f>
        <v>3.6666666666666665</v>
      </c>
      <c r="R821" s="2">
        <f>PerfRate[[#This Row],[ManagerRating]] - PerfRate[[#This Row],[SelfRating]]</f>
        <v>-1</v>
      </c>
    </row>
    <row r="822" spans="1:18">
      <c r="A822" s="2" t="s">
        <v>5129</v>
      </c>
      <c r="B822" s="2" t="s">
        <v>2911</v>
      </c>
      <c r="C822" s="1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  <c r="L822" s="2" t="s">
        <v>11031</v>
      </c>
      <c r="M822" s="2" t="s">
        <v>11030</v>
      </c>
      <c r="N822" s="2" t="s">
        <v>11036</v>
      </c>
      <c r="O822" s="2" t="s">
        <v>11036</v>
      </c>
      <c r="P822" s="2" t="s">
        <v>11038</v>
      </c>
      <c r="Q822" s="2">
        <f>AVERAGE(PerfRate[[#This Row],[EnvironmentSatisfaction]],PerfRate[[#This Row],[JobSatisfaction]],PerfRate[[#This Row],[RelationshipSatisfaction]])</f>
        <v>3.6666666666666665</v>
      </c>
      <c r="R822" s="2">
        <f>PerfRate[[#This Row],[ManagerRating]] - PerfRate[[#This Row],[SelfRating]]</f>
        <v>-1</v>
      </c>
    </row>
    <row r="823" spans="1:18">
      <c r="A823" s="2" t="s">
        <v>5130</v>
      </c>
      <c r="B823" s="2" t="s">
        <v>1033</v>
      </c>
      <c r="C823" s="1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  <c r="L823" s="2" t="s">
        <v>11031</v>
      </c>
      <c r="M823" s="2" t="s">
        <v>11030</v>
      </c>
      <c r="N823" s="2" t="s">
        <v>11038</v>
      </c>
      <c r="O823" s="2" t="s">
        <v>11035</v>
      </c>
      <c r="P823" s="2" t="s">
        <v>11037</v>
      </c>
      <c r="Q823" s="2">
        <f>AVERAGE(PerfRate[[#This Row],[EnvironmentSatisfaction]],PerfRate[[#This Row],[JobSatisfaction]],PerfRate[[#This Row],[RelationshipSatisfaction]])</f>
        <v>3.6666666666666665</v>
      </c>
      <c r="R823" s="2">
        <f>PerfRate[[#This Row],[ManagerRating]] - PerfRate[[#This Row],[SelfRating]]</f>
        <v>-1</v>
      </c>
    </row>
    <row r="824" spans="1:18">
      <c r="A824" s="2" t="s">
        <v>5131</v>
      </c>
      <c r="B824" s="2" t="s">
        <v>293</v>
      </c>
      <c r="C824" s="1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  <c r="L824" s="2" t="s">
        <v>11031</v>
      </c>
      <c r="M824" s="2" t="s">
        <v>11030</v>
      </c>
      <c r="N824" s="2" t="s">
        <v>11038</v>
      </c>
      <c r="O824" s="2" t="s">
        <v>11035</v>
      </c>
      <c r="P824" s="2" t="s">
        <v>11038</v>
      </c>
      <c r="Q824" s="2">
        <f>AVERAGE(PerfRate[[#This Row],[EnvironmentSatisfaction]],PerfRate[[#This Row],[JobSatisfaction]],PerfRate[[#This Row],[RelationshipSatisfaction]])</f>
        <v>4</v>
      </c>
      <c r="R824" s="2">
        <f>PerfRate[[#This Row],[ManagerRating]] - PerfRate[[#This Row],[SelfRating]]</f>
        <v>-1</v>
      </c>
    </row>
    <row r="825" spans="1:18">
      <c r="A825" s="2" t="s">
        <v>5132</v>
      </c>
      <c r="B825" s="2" t="s">
        <v>931</v>
      </c>
      <c r="C825" s="1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  <c r="L825" s="2" t="s">
        <v>11031</v>
      </c>
      <c r="M825" s="2" t="s">
        <v>11030</v>
      </c>
      <c r="N825" s="2" t="s">
        <v>11037</v>
      </c>
      <c r="O825" s="2" t="s">
        <v>11038</v>
      </c>
      <c r="P825" s="2" t="s">
        <v>11036</v>
      </c>
      <c r="Q825" s="2">
        <f>AVERAGE(PerfRate[[#This Row],[EnvironmentSatisfaction]],PerfRate[[#This Row],[JobSatisfaction]],PerfRate[[#This Row],[RelationshipSatisfaction]])</f>
        <v>4</v>
      </c>
      <c r="R825" s="2">
        <f>PerfRate[[#This Row],[ManagerRating]] - PerfRate[[#This Row],[SelfRating]]</f>
        <v>-1</v>
      </c>
    </row>
    <row r="826" spans="1:18">
      <c r="A826" s="2" t="s">
        <v>5133</v>
      </c>
      <c r="B826" s="2" t="s">
        <v>1315</v>
      </c>
      <c r="C826" s="1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  <c r="L826" s="2" t="s">
        <v>11030</v>
      </c>
      <c r="M826" s="2" t="s">
        <v>11030</v>
      </c>
      <c r="N826" s="2" t="s">
        <v>11037</v>
      </c>
      <c r="O826" s="2" t="s">
        <v>11037</v>
      </c>
      <c r="P826" s="2" t="s">
        <v>11037</v>
      </c>
      <c r="Q826" s="2">
        <f>AVERAGE(PerfRate[[#This Row],[EnvironmentSatisfaction]],PerfRate[[#This Row],[JobSatisfaction]],PerfRate[[#This Row],[RelationshipSatisfaction]])</f>
        <v>4</v>
      </c>
      <c r="R826" s="2">
        <f>PerfRate[[#This Row],[ManagerRating]] - PerfRate[[#This Row],[SelfRating]]</f>
        <v>0</v>
      </c>
    </row>
    <row r="827" spans="1:18">
      <c r="A827" s="2" t="s">
        <v>5134</v>
      </c>
      <c r="B827" s="2" t="s">
        <v>2672</v>
      </c>
      <c r="C827" s="1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  <c r="L827" s="2" t="s">
        <v>11031</v>
      </c>
      <c r="M827" s="2" t="s">
        <v>11031</v>
      </c>
      <c r="N827" s="2" t="s">
        <v>11037</v>
      </c>
      <c r="O827" s="2" t="s">
        <v>11036</v>
      </c>
      <c r="P827" s="2" t="s">
        <v>11036</v>
      </c>
      <c r="Q827" s="2">
        <f>AVERAGE(PerfRate[[#This Row],[EnvironmentSatisfaction]],PerfRate[[#This Row],[JobSatisfaction]],PerfRate[[#This Row],[RelationshipSatisfaction]])</f>
        <v>3.3333333333333335</v>
      </c>
      <c r="R827" s="2">
        <f>PerfRate[[#This Row],[ManagerRating]] - PerfRate[[#This Row],[SelfRating]]</f>
        <v>0</v>
      </c>
    </row>
    <row r="828" spans="1:18">
      <c r="A828" s="2" t="s">
        <v>5135</v>
      </c>
      <c r="B828" s="2" t="s">
        <v>217</v>
      </c>
      <c r="C828" s="1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  <c r="L828" s="2" t="s">
        <v>11031</v>
      </c>
      <c r="M828" s="2" t="s">
        <v>11031</v>
      </c>
      <c r="N828" s="2" t="s">
        <v>11036</v>
      </c>
      <c r="O828" s="2" t="s">
        <v>11038</v>
      </c>
      <c r="P828" s="2" t="s">
        <v>11037</v>
      </c>
      <c r="Q828" s="2">
        <f>AVERAGE(PerfRate[[#This Row],[EnvironmentSatisfaction]],PerfRate[[#This Row],[JobSatisfaction]],PerfRate[[#This Row],[RelationshipSatisfaction]])</f>
        <v>4</v>
      </c>
      <c r="R828" s="2">
        <f>PerfRate[[#This Row],[ManagerRating]] - PerfRate[[#This Row],[SelfRating]]</f>
        <v>0</v>
      </c>
    </row>
    <row r="829" spans="1:18">
      <c r="A829" s="2" t="s">
        <v>5136</v>
      </c>
      <c r="B829" s="2" t="s">
        <v>195</v>
      </c>
      <c r="C829" s="1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  <c r="L829" s="2" t="s">
        <v>11030</v>
      </c>
      <c r="M829" s="2" t="s">
        <v>11029</v>
      </c>
      <c r="N829" s="2" t="s">
        <v>11038</v>
      </c>
      <c r="O829" s="2" t="s">
        <v>11036</v>
      </c>
      <c r="P829" s="2" t="s">
        <v>11038</v>
      </c>
      <c r="Q829" s="2">
        <f>AVERAGE(PerfRate[[#This Row],[EnvironmentSatisfaction]],PerfRate[[#This Row],[JobSatisfaction]],PerfRate[[#This Row],[RelationshipSatisfaction]])</f>
        <v>4.333333333333333</v>
      </c>
      <c r="R829" s="2">
        <f>PerfRate[[#This Row],[ManagerRating]] - PerfRate[[#This Row],[SelfRating]]</f>
        <v>-1</v>
      </c>
    </row>
    <row r="830" spans="1:18">
      <c r="A830" s="2" t="s">
        <v>5137</v>
      </c>
      <c r="B830" s="2" t="s">
        <v>487</v>
      </c>
      <c r="C830" s="1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  <c r="L830" s="2" t="s">
        <v>11029</v>
      </c>
      <c r="M830" s="2" t="s">
        <v>11028</v>
      </c>
      <c r="N830" s="2" t="s">
        <v>11037</v>
      </c>
      <c r="O830" s="2" t="s">
        <v>11037</v>
      </c>
      <c r="P830" s="2" t="s">
        <v>11037</v>
      </c>
      <c r="Q830" s="2">
        <f>AVERAGE(PerfRate[[#This Row],[EnvironmentSatisfaction]],PerfRate[[#This Row],[JobSatisfaction]],PerfRate[[#This Row],[RelationshipSatisfaction]])</f>
        <v>4</v>
      </c>
      <c r="R830" s="2">
        <f>PerfRate[[#This Row],[ManagerRating]] - PerfRate[[#This Row],[SelfRating]]</f>
        <v>-1</v>
      </c>
    </row>
    <row r="831" spans="1:18">
      <c r="A831" s="2" t="s">
        <v>5138</v>
      </c>
      <c r="B831" s="2" t="s">
        <v>329</v>
      </c>
      <c r="C831" s="1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  <c r="L831" s="2" t="s">
        <v>11031</v>
      </c>
      <c r="M831" s="2" t="s">
        <v>11030</v>
      </c>
      <c r="N831" s="2" t="s">
        <v>11036</v>
      </c>
      <c r="O831" s="2" t="s">
        <v>11035</v>
      </c>
      <c r="P831" s="2" t="s">
        <v>11037</v>
      </c>
      <c r="Q831" s="2">
        <f>AVERAGE(PerfRate[[#This Row],[EnvironmentSatisfaction]],PerfRate[[#This Row],[JobSatisfaction]],PerfRate[[#This Row],[RelationshipSatisfaction]])</f>
        <v>3</v>
      </c>
      <c r="R831" s="2">
        <f>PerfRate[[#This Row],[ManagerRating]] - PerfRate[[#This Row],[SelfRating]]</f>
        <v>-1</v>
      </c>
    </row>
    <row r="832" spans="1:18">
      <c r="A832" s="2" t="s">
        <v>5139</v>
      </c>
      <c r="B832" s="2" t="s">
        <v>1079</v>
      </c>
      <c r="C832" s="1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  <c r="L832" s="2" t="s">
        <v>11029</v>
      </c>
      <c r="M832" s="2" t="s">
        <v>11028</v>
      </c>
      <c r="N832" s="2" t="s">
        <v>11038</v>
      </c>
      <c r="O832" s="2" t="s">
        <v>11035</v>
      </c>
      <c r="P832" s="2" t="s">
        <v>11037</v>
      </c>
      <c r="Q832" s="2">
        <f>AVERAGE(PerfRate[[#This Row],[EnvironmentSatisfaction]],PerfRate[[#This Row],[JobSatisfaction]],PerfRate[[#This Row],[RelationshipSatisfaction]])</f>
        <v>3.6666666666666665</v>
      </c>
      <c r="R832" s="2">
        <f>PerfRate[[#This Row],[ManagerRating]] - PerfRate[[#This Row],[SelfRating]]</f>
        <v>-1</v>
      </c>
    </row>
    <row r="833" spans="1:18">
      <c r="A833" s="2" t="s">
        <v>5140</v>
      </c>
      <c r="B833" s="2" t="s">
        <v>1818</v>
      </c>
      <c r="C833" s="1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  <c r="L833" s="2" t="s">
        <v>11030</v>
      </c>
      <c r="M833" s="2" t="s">
        <v>11029</v>
      </c>
      <c r="N833" s="2" t="s">
        <v>11038</v>
      </c>
      <c r="O833" s="2" t="s">
        <v>11035</v>
      </c>
      <c r="P833" s="2" t="s">
        <v>11038</v>
      </c>
      <c r="Q833" s="2">
        <f>AVERAGE(PerfRate[[#This Row],[EnvironmentSatisfaction]],PerfRate[[#This Row],[JobSatisfaction]],PerfRate[[#This Row],[RelationshipSatisfaction]])</f>
        <v>4</v>
      </c>
      <c r="R833" s="2">
        <f>PerfRate[[#This Row],[ManagerRating]] - PerfRate[[#This Row],[SelfRating]]</f>
        <v>-1</v>
      </c>
    </row>
    <row r="834" spans="1:18">
      <c r="A834" s="2" t="s">
        <v>5141</v>
      </c>
      <c r="B834" s="2" t="s">
        <v>1099</v>
      </c>
      <c r="C834" s="1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  <c r="L834" s="2" t="s">
        <v>11029</v>
      </c>
      <c r="M834" s="2" t="s">
        <v>11028</v>
      </c>
      <c r="N834" s="2" t="s">
        <v>11038</v>
      </c>
      <c r="O834" s="2" t="s">
        <v>11035</v>
      </c>
      <c r="P834" s="2" t="s">
        <v>11038</v>
      </c>
      <c r="Q834" s="2">
        <f>AVERAGE(PerfRate[[#This Row],[EnvironmentSatisfaction]],PerfRate[[#This Row],[JobSatisfaction]],PerfRate[[#This Row],[RelationshipSatisfaction]])</f>
        <v>4</v>
      </c>
      <c r="R834" s="2">
        <f>PerfRate[[#This Row],[ManagerRating]] - PerfRate[[#This Row],[SelfRating]]</f>
        <v>-1</v>
      </c>
    </row>
    <row r="835" spans="1:18">
      <c r="A835" s="2" t="s">
        <v>5142</v>
      </c>
      <c r="B835" s="2" t="s">
        <v>434</v>
      </c>
      <c r="C835" s="1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  <c r="L835" s="2" t="s">
        <v>11029</v>
      </c>
      <c r="M835" s="2" t="s">
        <v>11029</v>
      </c>
      <c r="N835" s="2" t="s">
        <v>11036</v>
      </c>
      <c r="O835" s="2" t="s">
        <v>11037</v>
      </c>
      <c r="P835" s="2" t="s">
        <v>11037</v>
      </c>
      <c r="Q835" s="2">
        <f>AVERAGE(PerfRate[[#This Row],[EnvironmentSatisfaction]],PerfRate[[#This Row],[JobSatisfaction]],PerfRate[[#This Row],[RelationshipSatisfaction]])</f>
        <v>3.6666666666666665</v>
      </c>
      <c r="R835" s="2">
        <f>PerfRate[[#This Row],[ManagerRating]] - PerfRate[[#This Row],[SelfRating]]</f>
        <v>0</v>
      </c>
    </row>
    <row r="836" spans="1:18">
      <c r="A836" s="2" t="s">
        <v>5143</v>
      </c>
      <c r="B836" s="2" t="s">
        <v>443</v>
      </c>
      <c r="C836" s="1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  <c r="L836" s="2" t="s">
        <v>11030</v>
      </c>
      <c r="M836" s="2" t="s">
        <v>11029</v>
      </c>
      <c r="N836" s="2" t="s">
        <v>11037</v>
      </c>
      <c r="O836" s="2" t="s">
        <v>11035</v>
      </c>
      <c r="P836" s="2" t="s">
        <v>11037</v>
      </c>
      <c r="Q836" s="2">
        <f>AVERAGE(PerfRate[[#This Row],[EnvironmentSatisfaction]],PerfRate[[#This Row],[JobSatisfaction]],PerfRate[[#This Row],[RelationshipSatisfaction]])</f>
        <v>3.3333333333333335</v>
      </c>
      <c r="R836" s="2">
        <f>PerfRate[[#This Row],[ManagerRating]] - PerfRate[[#This Row],[SelfRating]]</f>
        <v>-1</v>
      </c>
    </row>
    <row r="837" spans="1:18">
      <c r="A837" s="2" t="s">
        <v>5144</v>
      </c>
      <c r="B837" s="2" t="s">
        <v>332</v>
      </c>
      <c r="C837" s="1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  <c r="L837" s="2" t="s">
        <v>11029</v>
      </c>
      <c r="M837" s="2" t="s">
        <v>11029</v>
      </c>
      <c r="N837" s="2" t="s">
        <v>11037</v>
      </c>
      <c r="O837" s="2" t="s">
        <v>11037</v>
      </c>
      <c r="P837" s="2" t="s">
        <v>11036</v>
      </c>
      <c r="Q837" s="2">
        <f>AVERAGE(PerfRate[[#This Row],[EnvironmentSatisfaction]],PerfRate[[#This Row],[JobSatisfaction]],PerfRate[[#This Row],[RelationshipSatisfaction]])</f>
        <v>3.6666666666666665</v>
      </c>
      <c r="R837" s="2">
        <f>PerfRate[[#This Row],[ManagerRating]] - PerfRate[[#This Row],[SelfRating]]</f>
        <v>0</v>
      </c>
    </row>
    <row r="838" spans="1:18">
      <c r="A838" s="2" t="s">
        <v>5145</v>
      </c>
      <c r="B838" s="2" t="s">
        <v>565</v>
      </c>
      <c r="C838" s="1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  <c r="L838" s="2" t="s">
        <v>11029</v>
      </c>
      <c r="M838" s="2" t="s">
        <v>11029</v>
      </c>
      <c r="N838" s="2" t="s">
        <v>11036</v>
      </c>
      <c r="O838" s="2" t="s">
        <v>11037</v>
      </c>
      <c r="P838" s="2" t="s">
        <v>11037</v>
      </c>
      <c r="Q838" s="2">
        <f>AVERAGE(PerfRate[[#This Row],[EnvironmentSatisfaction]],PerfRate[[#This Row],[JobSatisfaction]],PerfRate[[#This Row],[RelationshipSatisfaction]])</f>
        <v>3.6666666666666665</v>
      </c>
      <c r="R838" s="2">
        <f>PerfRate[[#This Row],[ManagerRating]] - PerfRate[[#This Row],[SelfRating]]</f>
        <v>0</v>
      </c>
    </row>
    <row r="839" spans="1:18">
      <c r="A839" s="2" t="s">
        <v>5146</v>
      </c>
      <c r="B839" s="2" t="s">
        <v>1657</v>
      </c>
      <c r="C839" s="1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  <c r="L839" s="2" t="s">
        <v>11031</v>
      </c>
      <c r="M839" s="2" t="s">
        <v>11031</v>
      </c>
      <c r="N839" s="2" t="s">
        <v>11038</v>
      </c>
      <c r="O839" s="2" t="s">
        <v>11035</v>
      </c>
      <c r="P839" s="2" t="s">
        <v>11036</v>
      </c>
      <c r="Q839" s="2">
        <f>AVERAGE(PerfRate[[#This Row],[EnvironmentSatisfaction]],PerfRate[[#This Row],[JobSatisfaction]],PerfRate[[#This Row],[RelationshipSatisfaction]])</f>
        <v>3.3333333333333335</v>
      </c>
      <c r="R839" s="2">
        <f>PerfRate[[#This Row],[ManagerRating]] - PerfRate[[#This Row],[SelfRating]]</f>
        <v>0</v>
      </c>
    </row>
    <row r="840" spans="1:18">
      <c r="A840" s="2" t="s">
        <v>5147</v>
      </c>
      <c r="B840" s="2" t="s">
        <v>201</v>
      </c>
      <c r="C840" s="1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  <c r="L840" s="2" t="s">
        <v>11030</v>
      </c>
      <c r="M840" s="2" t="s">
        <v>11029</v>
      </c>
      <c r="N840" s="2" t="s">
        <v>11036</v>
      </c>
      <c r="O840" s="2" t="s">
        <v>11037</v>
      </c>
      <c r="P840" s="2" t="s">
        <v>11037</v>
      </c>
      <c r="Q840" s="2">
        <f>AVERAGE(PerfRate[[#This Row],[EnvironmentSatisfaction]],PerfRate[[#This Row],[JobSatisfaction]],PerfRate[[#This Row],[RelationshipSatisfaction]])</f>
        <v>3.6666666666666665</v>
      </c>
      <c r="R840" s="2">
        <f>PerfRate[[#This Row],[ManagerRating]] - PerfRate[[#This Row],[SelfRating]]</f>
        <v>-1</v>
      </c>
    </row>
    <row r="841" spans="1:18">
      <c r="A841" s="2" t="s">
        <v>5148</v>
      </c>
      <c r="B841" s="2" t="s">
        <v>476</v>
      </c>
      <c r="C841" s="1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  <c r="L841" s="2" t="s">
        <v>11029</v>
      </c>
      <c r="M841" s="2" t="s">
        <v>11028</v>
      </c>
      <c r="N841" s="2" t="s">
        <v>11038</v>
      </c>
      <c r="O841" s="2" t="s">
        <v>11036</v>
      </c>
      <c r="P841" s="2" t="s">
        <v>11037</v>
      </c>
      <c r="Q841" s="2">
        <f>AVERAGE(PerfRate[[#This Row],[EnvironmentSatisfaction]],PerfRate[[#This Row],[JobSatisfaction]],PerfRate[[#This Row],[RelationshipSatisfaction]])</f>
        <v>4</v>
      </c>
      <c r="R841" s="2">
        <f>PerfRate[[#This Row],[ManagerRating]] - PerfRate[[#This Row],[SelfRating]]</f>
        <v>-1</v>
      </c>
    </row>
    <row r="842" spans="1:18">
      <c r="A842" s="2" t="s">
        <v>5149</v>
      </c>
      <c r="B842" s="2" t="s">
        <v>640</v>
      </c>
      <c r="C842" s="1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  <c r="L842" s="2" t="s">
        <v>11031</v>
      </c>
      <c r="M842" s="2" t="s">
        <v>11030</v>
      </c>
      <c r="N842" s="2" t="s">
        <v>11038</v>
      </c>
      <c r="O842" s="2" t="s">
        <v>11035</v>
      </c>
      <c r="P842" s="2" t="s">
        <v>11038</v>
      </c>
      <c r="Q842" s="2">
        <f>AVERAGE(PerfRate[[#This Row],[EnvironmentSatisfaction]],PerfRate[[#This Row],[JobSatisfaction]],PerfRate[[#This Row],[RelationshipSatisfaction]])</f>
        <v>4</v>
      </c>
      <c r="R842" s="2">
        <f>PerfRate[[#This Row],[ManagerRating]] - PerfRate[[#This Row],[SelfRating]]</f>
        <v>-1</v>
      </c>
    </row>
    <row r="843" spans="1:18">
      <c r="A843" s="2" t="s">
        <v>5150</v>
      </c>
      <c r="B843" s="2" t="s">
        <v>994</v>
      </c>
      <c r="C843" s="1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  <c r="L843" s="2" t="s">
        <v>11030</v>
      </c>
      <c r="M843" s="2" t="s">
        <v>11029</v>
      </c>
      <c r="N843" s="2" t="s">
        <v>11036</v>
      </c>
      <c r="O843" s="2" t="s">
        <v>11036</v>
      </c>
      <c r="P843" s="2" t="s">
        <v>11037</v>
      </c>
      <c r="Q843" s="2">
        <f>AVERAGE(PerfRate[[#This Row],[EnvironmentSatisfaction]],PerfRate[[#This Row],[JobSatisfaction]],PerfRate[[#This Row],[RelationshipSatisfaction]])</f>
        <v>3.3333333333333335</v>
      </c>
      <c r="R843" s="2">
        <f>PerfRate[[#This Row],[ManagerRating]] - PerfRate[[#This Row],[SelfRating]]</f>
        <v>-1</v>
      </c>
    </row>
    <row r="844" spans="1:18">
      <c r="A844" s="2" t="s">
        <v>5151</v>
      </c>
      <c r="B844" s="2" t="s">
        <v>1881</v>
      </c>
      <c r="C844" s="1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  <c r="L844" s="2" t="s">
        <v>11029</v>
      </c>
      <c r="M844" s="2" t="s">
        <v>11028</v>
      </c>
      <c r="N844" s="2" t="s">
        <v>11038</v>
      </c>
      <c r="O844" s="2" t="s">
        <v>11037</v>
      </c>
      <c r="P844" s="2" t="s">
        <v>11038</v>
      </c>
      <c r="Q844" s="2">
        <f>AVERAGE(PerfRate[[#This Row],[EnvironmentSatisfaction]],PerfRate[[#This Row],[JobSatisfaction]],PerfRate[[#This Row],[RelationshipSatisfaction]])</f>
        <v>4.666666666666667</v>
      </c>
      <c r="R844" s="2">
        <f>PerfRate[[#This Row],[ManagerRating]] - PerfRate[[#This Row],[SelfRating]]</f>
        <v>-1</v>
      </c>
    </row>
    <row r="845" spans="1:18">
      <c r="A845" s="2" t="s">
        <v>5152</v>
      </c>
      <c r="B845" s="2" t="s">
        <v>1268</v>
      </c>
      <c r="C845" s="1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  <c r="L845" s="2" t="s">
        <v>11031</v>
      </c>
      <c r="M845" s="2" t="s">
        <v>11030</v>
      </c>
      <c r="N845" s="2" t="s">
        <v>11037</v>
      </c>
      <c r="O845" s="2" t="s">
        <v>11038</v>
      </c>
      <c r="P845" s="2" t="s">
        <v>11035</v>
      </c>
      <c r="Q845" s="2">
        <f>AVERAGE(PerfRate[[#This Row],[EnvironmentSatisfaction]],PerfRate[[#This Row],[JobSatisfaction]],PerfRate[[#This Row],[RelationshipSatisfaction]])</f>
        <v>3.6666666666666665</v>
      </c>
      <c r="R845" s="2">
        <f>PerfRate[[#This Row],[ManagerRating]] - PerfRate[[#This Row],[SelfRating]]</f>
        <v>-1</v>
      </c>
    </row>
    <row r="846" spans="1:18">
      <c r="A846" s="2" t="s">
        <v>5153</v>
      </c>
      <c r="B846" s="2" t="s">
        <v>3531</v>
      </c>
      <c r="C846" s="1">
        <v>42742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  <c r="L846" s="2" t="s">
        <v>11029</v>
      </c>
      <c r="M846" s="2" t="s">
        <v>11028</v>
      </c>
      <c r="N846" s="2" t="s">
        <v>11036</v>
      </c>
      <c r="O846" s="2" t="s">
        <v>11036</v>
      </c>
      <c r="P846" s="2" t="s">
        <v>11035</v>
      </c>
      <c r="Q846" s="2">
        <f>AVERAGE(PerfRate[[#This Row],[EnvironmentSatisfaction]],PerfRate[[#This Row],[JobSatisfaction]],PerfRate[[#This Row],[RelationshipSatisfaction]])</f>
        <v>2.6666666666666665</v>
      </c>
      <c r="R846" s="2">
        <f>PerfRate[[#This Row],[ManagerRating]] - PerfRate[[#This Row],[SelfRating]]</f>
        <v>-1</v>
      </c>
    </row>
    <row r="847" spans="1:18">
      <c r="A847" s="2" t="s">
        <v>5154</v>
      </c>
      <c r="B847" s="2" t="s">
        <v>263</v>
      </c>
      <c r="C847" s="1">
        <v>42742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  <c r="L847" s="2" t="s">
        <v>11031</v>
      </c>
      <c r="M847" s="2" t="s">
        <v>11030</v>
      </c>
      <c r="N847" s="2" t="s">
        <v>11038</v>
      </c>
      <c r="O847" s="2" t="s">
        <v>11036</v>
      </c>
      <c r="P847" s="2" t="s">
        <v>11037</v>
      </c>
      <c r="Q847" s="2">
        <f>AVERAGE(PerfRate[[#This Row],[EnvironmentSatisfaction]],PerfRate[[#This Row],[JobSatisfaction]],PerfRate[[#This Row],[RelationshipSatisfaction]])</f>
        <v>4</v>
      </c>
      <c r="R847" s="2">
        <f>PerfRate[[#This Row],[ManagerRating]] - PerfRate[[#This Row],[SelfRating]]</f>
        <v>-1</v>
      </c>
    </row>
    <row r="848" spans="1:18">
      <c r="A848" s="2" t="s">
        <v>5155</v>
      </c>
      <c r="B848" s="2" t="s">
        <v>880</v>
      </c>
      <c r="C848" s="1">
        <v>42742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  <c r="L848" s="2" t="s">
        <v>11029</v>
      </c>
      <c r="M848" s="2" t="s">
        <v>11028</v>
      </c>
      <c r="N848" s="2" t="s">
        <v>11038</v>
      </c>
      <c r="O848" s="2" t="s">
        <v>11036</v>
      </c>
      <c r="P848" s="2" t="s">
        <v>11036</v>
      </c>
      <c r="Q848" s="2">
        <f>AVERAGE(PerfRate[[#This Row],[EnvironmentSatisfaction]],PerfRate[[#This Row],[JobSatisfaction]],PerfRate[[#This Row],[RelationshipSatisfaction]])</f>
        <v>3.6666666666666665</v>
      </c>
      <c r="R848" s="2">
        <f>PerfRate[[#This Row],[ManagerRating]] - PerfRate[[#This Row],[SelfRating]]</f>
        <v>-1</v>
      </c>
    </row>
    <row r="849" spans="1:18">
      <c r="A849" s="2" t="s">
        <v>5156</v>
      </c>
      <c r="B849" s="2" t="s">
        <v>1261</v>
      </c>
      <c r="C849" s="1">
        <v>42742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  <c r="L849" s="2" t="s">
        <v>11030</v>
      </c>
      <c r="M849" s="2" t="s">
        <v>11029</v>
      </c>
      <c r="N849" s="2" t="s">
        <v>11038</v>
      </c>
      <c r="O849" s="2" t="s">
        <v>11035</v>
      </c>
      <c r="P849" s="2" t="s">
        <v>11037</v>
      </c>
      <c r="Q849" s="2">
        <f>AVERAGE(PerfRate[[#This Row],[EnvironmentSatisfaction]],PerfRate[[#This Row],[JobSatisfaction]],PerfRate[[#This Row],[RelationshipSatisfaction]])</f>
        <v>3.6666666666666665</v>
      </c>
      <c r="R849" s="2">
        <f>PerfRate[[#This Row],[ManagerRating]] - PerfRate[[#This Row],[SelfRating]]</f>
        <v>-1</v>
      </c>
    </row>
    <row r="850" spans="1:18">
      <c r="A850" s="2" t="s">
        <v>5157</v>
      </c>
      <c r="B850" s="2" t="s">
        <v>467</v>
      </c>
      <c r="C850" s="1">
        <v>42801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  <c r="L850" s="2" t="s">
        <v>11030</v>
      </c>
      <c r="M850" s="2" t="s">
        <v>11029</v>
      </c>
      <c r="N850" s="2" t="s">
        <v>11038</v>
      </c>
      <c r="O850" s="2" t="s">
        <v>11037</v>
      </c>
      <c r="P850" s="2" t="s">
        <v>11037</v>
      </c>
      <c r="Q850" s="2">
        <f>AVERAGE(PerfRate[[#This Row],[EnvironmentSatisfaction]],PerfRate[[#This Row],[JobSatisfaction]],PerfRate[[#This Row],[RelationshipSatisfaction]])</f>
        <v>4.333333333333333</v>
      </c>
      <c r="R850" s="2">
        <f>PerfRate[[#This Row],[ManagerRating]] - PerfRate[[#This Row],[SelfRating]]</f>
        <v>-1</v>
      </c>
    </row>
    <row r="851" spans="1:18">
      <c r="A851" s="2" t="s">
        <v>5158</v>
      </c>
      <c r="B851" s="2" t="s">
        <v>505</v>
      </c>
      <c r="C851" s="1">
        <v>42862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  <c r="L851" s="2" t="s">
        <v>11031</v>
      </c>
      <c r="M851" s="2" t="s">
        <v>11031</v>
      </c>
      <c r="N851" s="2" t="s">
        <v>11037</v>
      </c>
      <c r="O851" s="2" t="s">
        <v>11036</v>
      </c>
      <c r="P851" s="2" t="s">
        <v>11037</v>
      </c>
      <c r="Q851" s="2">
        <f>AVERAGE(PerfRate[[#This Row],[EnvironmentSatisfaction]],PerfRate[[#This Row],[JobSatisfaction]],PerfRate[[#This Row],[RelationshipSatisfaction]])</f>
        <v>3.6666666666666665</v>
      </c>
      <c r="R851" s="2">
        <f>PerfRate[[#This Row],[ManagerRating]] - PerfRate[[#This Row],[SelfRating]]</f>
        <v>0</v>
      </c>
    </row>
    <row r="852" spans="1:18">
      <c r="A852" s="2" t="s">
        <v>5159</v>
      </c>
      <c r="B852" s="2" t="s">
        <v>179</v>
      </c>
      <c r="C852" s="1">
        <v>42893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  <c r="L852" s="2" t="s">
        <v>11029</v>
      </c>
      <c r="M852" s="2" t="s">
        <v>11028</v>
      </c>
      <c r="N852" s="2" t="s">
        <v>11037</v>
      </c>
      <c r="O852" s="2" t="s">
        <v>11038</v>
      </c>
      <c r="P852" s="2" t="s">
        <v>11035</v>
      </c>
      <c r="Q852" s="2">
        <f>AVERAGE(PerfRate[[#This Row],[EnvironmentSatisfaction]],PerfRate[[#This Row],[JobSatisfaction]],PerfRate[[#This Row],[RelationshipSatisfaction]])</f>
        <v>3.6666666666666665</v>
      </c>
      <c r="R852" s="2">
        <f>PerfRate[[#This Row],[ManagerRating]] - PerfRate[[#This Row],[SelfRating]]</f>
        <v>-1</v>
      </c>
    </row>
    <row r="853" spans="1:18">
      <c r="A853" s="2" t="s">
        <v>5160</v>
      </c>
      <c r="B853" s="2" t="s">
        <v>3549</v>
      </c>
      <c r="C853" s="1">
        <v>42954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  <c r="L853" s="2" t="s">
        <v>11029</v>
      </c>
      <c r="M853" s="2" t="s">
        <v>11028</v>
      </c>
      <c r="N853" s="2" t="s">
        <v>11037</v>
      </c>
      <c r="O853" s="2" t="s">
        <v>11037</v>
      </c>
      <c r="P853" s="2" t="s">
        <v>11035</v>
      </c>
      <c r="Q853" s="2">
        <f>AVERAGE(PerfRate[[#This Row],[EnvironmentSatisfaction]],PerfRate[[#This Row],[JobSatisfaction]],PerfRate[[#This Row],[RelationshipSatisfaction]])</f>
        <v>3.3333333333333335</v>
      </c>
      <c r="R853" s="2">
        <f>PerfRate[[#This Row],[ManagerRating]] - PerfRate[[#This Row],[SelfRating]]</f>
        <v>-1</v>
      </c>
    </row>
    <row r="854" spans="1:18">
      <c r="A854" s="2" t="s">
        <v>5161</v>
      </c>
      <c r="B854" s="2" t="s">
        <v>541</v>
      </c>
      <c r="C854" s="1">
        <v>42954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  <c r="L854" s="2" t="s">
        <v>11030</v>
      </c>
      <c r="M854" s="2" t="s">
        <v>11029</v>
      </c>
      <c r="N854" s="2" t="s">
        <v>11036</v>
      </c>
      <c r="O854" s="2" t="s">
        <v>11035</v>
      </c>
      <c r="P854" s="2" t="s">
        <v>11037</v>
      </c>
      <c r="Q854" s="2">
        <f>AVERAGE(PerfRate[[#This Row],[EnvironmentSatisfaction]],PerfRate[[#This Row],[JobSatisfaction]],PerfRate[[#This Row],[RelationshipSatisfaction]])</f>
        <v>3</v>
      </c>
      <c r="R854" s="2">
        <f>PerfRate[[#This Row],[ManagerRating]] - PerfRate[[#This Row],[SelfRating]]</f>
        <v>-1</v>
      </c>
    </row>
    <row r="855" spans="1:18">
      <c r="A855" s="2" t="s">
        <v>5162</v>
      </c>
      <c r="B855" s="2" t="s">
        <v>1177</v>
      </c>
      <c r="C855" s="1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  <c r="L855" s="2" t="s">
        <v>11029</v>
      </c>
      <c r="M855" s="2" t="s">
        <v>11028</v>
      </c>
      <c r="N855" s="2" t="s">
        <v>11038</v>
      </c>
      <c r="O855" s="2" t="s">
        <v>11036</v>
      </c>
      <c r="P855" s="2" t="s">
        <v>11038</v>
      </c>
      <c r="Q855" s="2">
        <f>AVERAGE(PerfRate[[#This Row],[EnvironmentSatisfaction]],PerfRate[[#This Row],[JobSatisfaction]],PerfRate[[#This Row],[RelationshipSatisfaction]])</f>
        <v>4.333333333333333</v>
      </c>
      <c r="R855" s="2">
        <f>PerfRate[[#This Row],[ManagerRating]] - PerfRate[[#This Row],[SelfRating]]</f>
        <v>-1</v>
      </c>
    </row>
    <row r="856" spans="1:18">
      <c r="A856" s="2" t="s">
        <v>5163</v>
      </c>
      <c r="B856" s="2" t="s">
        <v>232</v>
      </c>
      <c r="C856" s="1">
        <v>42985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  <c r="L856" s="2" t="s">
        <v>11029</v>
      </c>
      <c r="M856" s="2" t="s">
        <v>11028</v>
      </c>
      <c r="N856" s="2" t="s">
        <v>11038</v>
      </c>
      <c r="O856" s="2" t="s">
        <v>11035</v>
      </c>
      <c r="P856" s="2" t="s">
        <v>11037</v>
      </c>
      <c r="Q856" s="2">
        <f>AVERAGE(PerfRate[[#This Row],[EnvironmentSatisfaction]],PerfRate[[#This Row],[JobSatisfaction]],PerfRate[[#This Row],[RelationshipSatisfaction]])</f>
        <v>3.6666666666666665</v>
      </c>
      <c r="R856" s="2">
        <f>PerfRate[[#This Row],[ManagerRating]] - PerfRate[[#This Row],[SelfRating]]</f>
        <v>-1</v>
      </c>
    </row>
    <row r="857" spans="1:18">
      <c r="A857" s="2" t="s">
        <v>5164</v>
      </c>
      <c r="B857" s="2" t="s">
        <v>473</v>
      </c>
      <c r="C857" s="1">
        <v>42985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  <c r="L857" s="2" t="s">
        <v>11031</v>
      </c>
      <c r="M857" s="2" t="s">
        <v>11031</v>
      </c>
      <c r="N857" s="2" t="s">
        <v>11037</v>
      </c>
      <c r="O857" s="2" t="s">
        <v>11037</v>
      </c>
      <c r="P857" s="2" t="s">
        <v>11037</v>
      </c>
      <c r="Q857" s="2">
        <f>AVERAGE(PerfRate[[#This Row],[EnvironmentSatisfaction]],PerfRate[[#This Row],[JobSatisfaction]],PerfRate[[#This Row],[RelationshipSatisfaction]])</f>
        <v>4</v>
      </c>
      <c r="R857" s="2">
        <f>PerfRate[[#This Row],[ManagerRating]] - PerfRate[[#This Row],[SelfRating]]</f>
        <v>0</v>
      </c>
    </row>
    <row r="858" spans="1:18">
      <c r="A858" s="2" t="s">
        <v>5165</v>
      </c>
      <c r="B858" s="2" t="s">
        <v>1258</v>
      </c>
      <c r="C858" s="1">
        <v>42985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  <c r="L858" s="2" t="s">
        <v>11030</v>
      </c>
      <c r="M858" s="2" t="s">
        <v>11029</v>
      </c>
      <c r="N858" s="2" t="s">
        <v>11036</v>
      </c>
      <c r="O858" s="2" t="s">
        <v>11036</v>
      </c>
      <c r="P858" s="2" t="s">
        <v>11038</v>
      </c>
      <c r="Q858" s="2">
        <f>AVERAGE(PerfRate[[#This Row],[EnvironmentSatisfaction]],PerfRate[[#This Row],[JobSatisfaction]],PerfRate[[#This Row],[RelationshipSatisfaction]])</f>
        <v>3.6666666666666665</v>
      </c>
      <c r="R858" s="2">
        <f>PerfRate[[#This Row],[ManagerRating]] - PerfRate[[#This Row],[SelfRating]]</f>
        <v>-1</v>
      </c>
    </row>
    <row r="859" spans="1:18">
      <c r="A859" s="2" t="s">
        <v>5166</v>
      </c>
      <c r="B859" s="2" t="s">
        <v>1021</v>
      </c>
      <c r="C859" s="1">
        <v>42985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  <c r="L859" s="2" t="s">
        <v>11029</v>
      </c>
      <c r="M859" s="2" t="s">
        <v>11028</v>
      </c>
      <c r="N859" s="2" t="s">
        <v>11038</v>
      </c>
      <c r="O859" s="2" t="s">
        <v>11036</v>
      </c>
      <c r="P859" s="2" t="s">
        <v>11037</v>
      </c>
      <c r="Q859" s="2">
        <f>AVERAGE(PerfRate[[#This Row],[EnvironmentSatisfaction]],PerfRate[[#This Row],[JobSatisfaction]],PerfRate[[#This Row],[RelationshipSatisfaction]])</f>
        <v>4</v>
      </c>
      <c r="R859" s="2">
        <f>PerfRate[[#This Row],[ManagerRating]] - PerfRate[[#This Row],[SelfRating]]</f>
        <v>-1</v>
      </c>
    </row>
    <row r="860" spans="1:18">
      <c r="A860" s="2" t="s">
        <v>5167</v>
      </c>
      <c r="B860" s="2" t="s">
        <v>1298</v>
      </c>
      <c r="C860" s="1">
        <v>42985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  <c r="L860" s="2" t="s">
        <v>11031</v>
      </c>
      <c r="M860" s="2" t="s">
        <v>11031</v>
      </c>
      <c r="N860" s="2" t="s">
        <v>11037</v>
      </c>
      <c r="O860" s="2" t="s">
        <v>11037</v>
      </c>
      <c r="P860" s="2" t="s">
        <v>11036</v>
      </c>
      <c r="Q860" s="2">
        <f>AVERAGE(PerfRate[[#This Row],[EnvironmentSatisfaction]],PerfRate[[#This Row],[JobSatisfaction]],PerfRate[[#This Row],[RelationshipSatisfaction]])</f>
        <v>3.6666666666666665</v>
      </c>
      <c r="R860" s="2">
        <f>PerfRate[[#This Row],[ManagerRating]] - PerfRate[[#This Row],[SelfRating]]</f>
        <v>0</v>
      </c>
    </row>
    <row r="861" spans="1:18">
      <c r="A861" s="2" t="s">
        <v>5168</v>
      </c>
      <c r="B861" s="2" t="s">
        <v>2757</v>
      </c>
      <c r="C861" s="1">
        <v>43015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  <c r="L861" s="2" t="s">
        <v>11029</v>
      </c>
      <c r="M861" s="2" t="s">
        <v>11029</v>
      </c>
      <c r="N861" s="2" t="s">
        <v>11037</v>
      </c>
      <c r="O861" s="2" t="s">
        <v>11035</v>
      </c>
      <c r="P861" s="2" t="s">
        <v>11035</v>
      </c>
      <c r="Q861" s="2">
        <f>AVERAGE(PerfRate[[#This Row],[EnvironmentSatisfaction]],PerfRate[[#This Row],[JobSatisfaction]],PerfRate[[#This Row],[RelationshipSatisfaction]])</f>
        <v>2.6666666666666665</v>
      </c>
      <c r="R861" s="2">
        <f>PerfRate[[#This Row],[ManagerRating]] - PerfRate[[#This Row],[SelfRating]]</f>
        <v>0</v>
      </c>
    </row>
    <row r="862" spans="1:18">
      <c r="A862" s="2" t="s">
        <v>5169</v>
      </c>
      <c r="B862" s="2" t="s">
        <v>269</v>
      </c>
      <c r="C862" s="1">
        <v>43015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  <c r="L862" s="2" t="s">
        <v>11031</v>
      </c>
      <c r="M862" s="2" t="s">
        <v>11031</v>
      </c>
      <c r="N862" s="2" t="s">
        <v>11036</v>
      </c>
      <c r="O862" s="2" t="s">
        <v>11037</v>
      </c>
      <c r="P862" s="2" t="s">
        <v>11035</v>
      </c>
      <c r="Q862" s="2">
        <f>AVERAGE(PerfRate[[#This Row],[EnvironmentSatisfaction]],PerfRate[[#This Row],[JobSatisfaction]],PerfRate[[#This Row],[RelationshipSatisfaction]])</f>
        <v>3</v>
      </c>
      <c r="R862" s="2">
        <f>PerfRate[[#This Row],[ManagerRating]] - PerfRate[[#This Row],[SelfRating]]</f>
        <v>0</v>
      </c>
    </row>
    <row r="863" spans="1:18">
      <c r="A863" s="2" t="s">
        <v>5170</v>
      </c>
      <c r="B863" s="2" t="s">
        <v>643</v>
      </c>
      <c r="C863" s="1">
        <v>43015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  <c r="L863" s="2" t="s">
        <v>11030</v>
      </c>
      <c r="M863" s="2" t="s">
        <v>11030</v>
      </c>
      <c r="N863" s="2" t="s">
        <v>11038</v>
      </c>
      <c r="O863" s="2" t="s">
        <v>11038</v>
      </c>
      <c r="P863" s="2" t="s">
        <v>11038</v>
      </c>
      <c r="Q863" s="2">
        <f>AVERAGE(PerfRate[[#This Row],[EnvironmentSatisfaction]],PerfRate[[#This Row],[JobSatisfaction]],PerfRate[[#This Row],[RelationshipSatisfaction]])</f>
        <v>5</v>
      </c>
      <c r="R863" s="2">
        <f>PerfRate[[#This Row],[ManagerRating]] - PerfRate[[#This Row],[SelfRating]]</f>
        <v>0</v>
      </c>
    </row>
    <row r="864" spans="1:18">
      <c r="A864" s="2" t="s">
        <v>5171</v>
      </c>
      <c r="B864" s="2" t="s">
        <v>308</v>
      </c>
      <c r="C864" s="1">
        <v>43046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  <c r="L864" s="2" t="s">
        <v>11029</v>
      </c>
      <c r="M864" s="2" t="s">
        <v>11029</v>
      </c>
      <c r="N864" s="2" t="s">
        <v>11038</v>
      </c>
      <c r="O864" s="2" t="s">
        <v>11036</v>
      </c>
      <c r="P864" s="2" t="s">
        <v>11037</v>
      </c>
      <c r="Q864" s="2">
        <f>AVERAGE(PerfRate[[#This Row],[EnvironmentSatisfaction]],PerfRate[[#This Row],[JobSatisfaction]],PerfRate[[#This Row],[RelationshipSatisfaction]])</f>
        <v>4</v>
      </c>
      <c r="R864" s="2">
        <f>PerfRate[[#This Row],[ManagerRating]] - PerfRate[[#This Row],[SelfRating]]</f>
        <v>0</v>
      </c>
    </row>
    <row r="865" spans="1:18">
      <c r="A865" s="2" t="s">
        <v>5172</v>
      </c>
      <c r="B865" s="2" t="s">
        <v>1039</v>
      </c>
      <c r="C865" s="1">
        <v>43046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  <c r="L865" s="2" t="s">
        <v>11030</v>
      </c>
      <c r="M865" s="2" t="s">
        <v>11030</v>
      </c>
      <c r="N865" s="2" t="s">
        <v>11038</v>
      </c>
      <c r="O865" s="2" t="s">
        <v>11037</v>
      </c>
      <c r="P865" s="2" t="s">
        <v>11037</v>
      </c>
      <c r="Q865" s="2">
        <f>AVERAGE(PerfRate[[#This Row],[EnvironmentSatisfaction]],PerfRate[[#This Row],[JobSatisfaction]],PerfRate[[#This Row],[RelationshipSatisfaction]])</f>
        <v>4.333333333333333</v>
      </c>
      <c r="R865" s="2">
        <f>PerfRate[[#This Row],[ManagerRating]] - PerfRate[[#This Row],[SelfRating]]</f>
        <v>0</v>
      </c>
    </row>
    <row r="866" spans="1:18">
      <c r="A866" s="2" t="s">
        <v>5173</v>
      </c>
      <c r="B866" s="2" t="s">
        <v>94</v>
      </c>
      <c r="C866" s="1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  <c r="L866" s="2" t="s">
        <v>11029</v>
      </c>
      <c r="M866" s="2" t="s">
        <v>11029</v>
      </c>
      <c r="N866" s="2" t="s">
        <v>11038</v>
      </c>
      <c r="O866" s="2" t="s">
        <v>11037</v>
      </c>
      <c r="P866" s="2" t="s">
        <v>11036</v>
      </c>
      <c r="Q866" s="2">
        <f>AVERAGE(PerfRate[[#This Row],[EnvironmentSatisfaction]],PerfRate[[#This Row],[JobSatisfaction]],PerfRate[[#This Row],[RelationshipSatisfaction]])</f>
        <v>4</v>
      </c>
      <c r="R866" s="2">
        <f>PerfRate[[#This Row],[ManagerRating]] - PerfRate[[#This Row],[SelfRating]]</f>
        <v>0</v>
      </c>
    </row>
    <row r="867" spans="1:18">
      <c r="A867" s="2" t="s">
        <v>5174</v>
      </c>
      <c r="B867" s="2" t="s">
        <v>1218</v>
      </c>
      <c r="C867" s="1">
        <v>43076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  <c r="L867" s="2" t="s">
        <v>11030</v>
      </c>
      <c r="M867" s="2" t="s">
        <v>11030</v>
      </c>
      <c r="N867" s="2" t="s">
        <v>11038</v>
      </c>
      <c r="O867" s="2" t="s">
        <v>11038</v>
      </c>
      <c r="P867" s="2" t="s">
        <v>11037</v>
      </c>
      <c r="Q867" s="2">
        <f>AVERAGE(PerfRate[[#This Row],[EnvironmentSatisfaction]],PerfRate[[#This Row],[JobSatisfaction]],PerfRate[[#This Row],[RelationshipSatisfaction]])</f>
        <v>4.666666666666667</v>
      </c>
      <c r="R867" s="2">
        <f>PerfRate[[#This Row],[ManagerRating]] - PerfRate[[#This Row],[SelfRating]]</f>
        <v>0</v>
      </c>
    </row>
    <row r="868" spans="1:18">
      <c r="A868" s="2" t="s">
        <v>5175</v>
      </c>
      <c r="B868" s="2" t="s">
        <v>535</v>
      </c>
      <c r="C868" s="1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  <c r="L868" s="2" t="s">
        <v>11029</v>
      </c>
      <c r="M868" s="2" t="s">
        <v>11028</v>
      </c>
      <c r="N868" s="2" t="s">
        <v>11038</v>
      </c>
      <c r="O868" s="2" t="s">
        <v>11036</v>
      </c>
      <c r="P868" s="2" t="s">
        <v>11038</v>
      </c>
      <c r="Q868" s="2">
        <f>AVERAGE(PerfRate[[#This Row],[EnvironmentSatisfaction]],PerfRate[[#This Row],[JobSatisfaction]],PerfRate[[#This Row],[RelationshipSatisfaction]])</f>
        <v>4.333333333333333</v>
      </c>
      <c r="R868" s="2">
        <f>PerfRate[[#This Row],[ManagerRating]] - PerfRate[[#This Row],[SelfRating]]</f>
        <v>-1</v>
      </c>
    </row>
    <row r="869" spans="1:18">
      <c r="A869" s="2" t="s">
        <v>5176</v>
      </c>
      <c r="B869" s="2" t="s">
        <v>1036</v>
      </c>
      <c r="C869" s="1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  <c r="L869" s="2" t="s">
        <v>11029</v>
      </c>
      <c r="M869" s="2" t="s">
        <v>11028</v>
      </c>
      <c r="N869" s="2" t="s">
        <v>11036</v>
      </c>
      <c r="O869" s="2" t="s">
        <v>11035</v>
      </c>
      <c r="P869" s="2" t="s">
        <v>11037</v>
      </c>
      <c r="Q869" s="2">
        <f>AVERAGE(PerfRate[[#This Row],[EnvironmentSatisfaction]],PerfRate[[#This Row],[JobSatisfaction]],PerfRate[[#This Row],[RelationshipSatisfaction]])</f>
        <v>3</v>
      </c>
      <c r="R869" s="2">
        <f>PerfRate[[#This Row],[ManagerRating]] - PerfRate[[#This Row],[SelfRating]]</f>
        <v>-1</v>
      </c>
    </row>
    <row r="870" spans="1:18">
      <c r="A870" s="2" t="s">
        <v>5177</v>
      </c>
      <c r="B870" s="2" t="s">
        <v>1009</v>
      </c>
      <c r="C870" s="1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  <c r="L870" s="2" t="s">
        <v>11029</v>
      </c>
      <c r="M870" s="2" t="s">
        <v>11029</v>
      </c>
      <c r="N870" s="2" t="s">
        <v>11036</v>
      </c>
      <c r="O870" s="2" t="s">
        <v>11038</v>
      </c>
      <c r="P870" s="2" t="s">
        <v>11038</v>
      </c>
      <c r="Q870" s="2">
        <f>AVERAGE(PerfRate[[#This Row],[EnvironmentSatisfaction]],PerfRate[[#This Row],[JobSatisfaction]],PerfRate[[#This Row],[RelationshipSatisfaction]])</f>
        <v>4.333333333333333</v>
      </c>
      <c r="R870" s="2">
        <f>PerfRate[[#This Row],[ManagerRating]] - PerfRate[[#This Row],[SelfRating]]</f>
        <v>0</v>
      </c>
    </row>
    <row r="871" spans="1:18">
      <c r="A871" s="2" t="s">
        <v>5178</v>
      </c>
      <c r="B871" s="2" t="s">
        <v>907</v>
      </c>
      <c r="C871" s="1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  <c r="L871" s="2" t="s">
        <v>11031</v>
      </c>
      <c r="M871" s="2" t="s">
        <v>11030</v>
      </c>
      <c r="N871" s="2" t="s">
        <v>11037</v>
      </c>
      <c r="O871" s="2" t="s">
        <v>11038</v>
      </c>
      <c r="P871" s="2" t="s">
        <v>11037</v>
      </c>
      <c r="Q871" s="2">
        <f>AVERAGE(PerfRate[[#This Row],[EnvironmentSatisfaction]],PerfRate[[#This Row],[JobSatisfaction]],PerfRate[[#This Row],[RelationshipSatisfaction]])</f>
        <v>4.333333333333333</v>
      </c>
      <c r="R871" s="2">
        <f>PerfRate[[#This Row],[ManagerRating]] - PerfRate[[#This Row],[SelfRating]]</f>
        <v>-1</v>
      </c>
    </row>
    <row r="872" spans="1:18">
      <c r="A872" s="2" t="s">
        <v>5179</v>
      </c>
      <c r="B872" s="2" t="s">
        <v>1192</v>
      </c>
      <c r="C872" s="1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  <c r="L872" s="2" t="s">
        <v>11029</v>
      </c>
      <c r="M872" s="2" t="s">
        <v>11029</v>
      </c>
      <c r="N872" s="2" t="s">
        <v>11036</v>
      </c>
      <c r="O872" s="2" t="s">
        <v>11035</v>
      </c>
      <c r="P872" s="2" t="s">
        <v>11038</v>
      </c>
      <c r="Q872" s="2">
        <f>AVERAGE(PerfRate[[#This Row],[EnvironmentSatisfaction]],PerfRate[[#This Row],[JobSatisfaction]],PerfRate[[#This Row],[RelationshipSatisfaction]])</f>
        <v>3.3333333333333335</v>
      </c>
      <c r="R872" s="2">
        <f>PerfRate[[#This Row],[ManagerRating]] - PerfRate[[#This Row],[SelfRating]]</f>
        <v>0</v>
      </c>
    </row>
    <row r="873" spans="1:18">
      <c r="A873" s="2" t="s">
        <v>5180</v>
      </c>
      <c r="B873" s="2" t="s">
        <v>1677</v>
      </c>
      <c r="C873" s="1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  <c r="L873" s="2" t="s">
        <v>11030</v>
      </c>
      <c r="M873" s="2" t="s">
        <v>11030</v>
      </c>
      <c r="N873" s="2" t="s">
        <v>11038</v>
      </c>
      <c r="O873" s="2" t="s">
        <v>11035</v>
      </c>
      <c r="P873" s="2" t="s">
        <v>11037</v>
      </c>
      <c r="Q873" s="2">
        <f>AVERAGE(PerfRate[[#This Row],[EnvironmentSatisfaction]],PerfRate[[#This Row],[JobSatisfaction]],PerfRate[[#This Row],[RelationshipSatisfaction]])</f>
        <v>3.6666666666666665</v>
      </c>
      <c r="R873" s="2">
        <f>PerfRate[[#This Row],[ManagerRating]] - PerfRate[[#This Row],[SelfRating]]</f>
        <v>0</v>
      </c>
    </row>
    <row r="874" spans="1:18">
      <c r="A874" s="2" t="s">
        <v>5181</v>
      </c>
      <c r="B874" s="2" t="s">
        <v>67</v>
      </c>
      <c r="C874" s="1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  <c r="L874" s="2" t="s">
        <v>11030</v>
      </c>
      <c r="M874" s="2" t="s">
        <v>11030</v>
      </c>
      <c r="N874" s="2" t="s">
        <v>11037</v>
      </c>
      <c r="O874" s="2" t="s">
        <v>11038</v>
      </c>
      <c r="P874" s="2" t="s">
        <v>11038</v>
      </c>
      <c r="Q874" s="2">
        <f>AVERAGE(PerfRate[[#This Row],[EnvironmentSatisfaction]],PerfRate[[#This Row],[JobSatisfaction]],PerfRate[[#This Row],[RelationshipSatisfaction]])</f>
        <v>4.666666666666667</v>
      </c>
      <c r="R874" s="2">
        <f>PerfRate[[#This Row],[ManagerRating]] - PerfRate[[#This Row],[SelfRating]]</f>
        <v>0</v>
      </c>
    </row>
    <row r="875" spans="1:18">
      <c r="A875" s="2" t="s">
        <v>5182</v>
      </c>
      <c r="B875" s="2" t="s">
        <v>1018</v>
      </c>
      <c r="C875" s="1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  <c r="L875" s="2" t="s">
        <v>11031</v>
      </c>
      <c r="M875" s="2" t="s">
        <v>11030</v>
      </c>
      <c r="N875" s="2" t="s">
        <v>11037</v>
      </c>
      <c r="O875" s="2" t="s">
        <v>11037</v>
      </c>
      <c r="P875" s="2" t="s">
        <v>11035</v>
      </c>
      <c r="Q875" s="2">
        <f>AVERAGE(PerfRate[[#This Row],[EnvironmentSatisfaction]],PerfRate[[#This Row],[JobSatisfaction]],PerfRate[[#This Row],[RelationshipSatisfaction]])</f>
        <v>3.3333333333333335</v>
      </c>
      <c r="R875" s="2">
        <f>PerfRate[[#This Row],[ManagerRating]] - PerfRate[[#This Row],[SelfRating]]</f>
        <v>-1</v>
      </c>
    </row>
    <row r="876" spans="1:18">
      <c r="A876" s="2" t="s">
        <v>5183</v>
      </c>
      <c r="B876" s="2" t="s">
        <v>3824</v>
      </c>
      <c r="C876" s="1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  <c r="L876" s="2" t="s">
        <v>11030</v>
      </c>
      <c r="M876" s="2" t="s">
        <v>11029</v>
      </c>
      <c r="N876" s="2" t="s">
        <v>11036</v>
      </c>
      <c r="O876" s="2" t="s">
        <v>11037</v>
      </c>
      <c r="P876" s="2" t="s">
        <v>11036</v>
      </c>
      <c r="Q876" s="2">
        <f>AVERAGE(PerfRate[[#This Row],[EnvironmentSatisfaction]],PerfRate[[#This Row],[JobSatisfaction]],PerfRate[[#This Row],[RelationshipSatisfaction]])</f>
        <v>3.3333333333333335</v>
      </c>
      <c r="R876" s="2">
        <f>PerfRate[[#This Row],[ManagerRating]] - PerfRate[[#This Row],[SelfRating]]</f>
        <v>-1</v>
      </c>
    </row>
    <row r="877" spans="1:18">
      <c r="A877" s="2" t="s">
        <v>5184</v>
      </c>
      <c r="B877" s="2" t="s">
        <v>690</v>
      </c>
      <c r="C877" s="1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  <c r="L877" s="2" t="s">
        <v>11030</v>
      </c>
      <c r="M877" s="2" t="s">
        <v>11029</v>
      </c>
      <c r="N877" s="2" t="s">
        <v>11038</v>
      </c>
      <c r="O877" s="2" t="s">
        <v>11038</v>
      </c>
      <c r="P877" s="2" t="s">
        <v>11037</v>
      </c>
      <c r="Q877" s="2">
        <f>AVERAGE(PerfRate[[#This Row],[EnvironmentSatisfaction]],PerfRate[[#This Row],[JobSatisfaction]],PerfRate[[#This Row],[RelationshipSatisfaction]])</f>
        <v>4.666666666666667</v>
      </c>
      <c r="R877" s="2">
        <f>PerfRate[[#This Row],[ManagerRating]] - PerfRate[[#This Row],[SelfRating]]</f>
        <v>-1</v>
      </c>
    </row>
    <row r="878" spans="1:18">
      <c r="A878" s="2" t="s">
        <v>5185</v>
      </c>
      <c r="B878" s="2" t="s">
        <v>3192</v>
      </c>
      <c r="C878" s="1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  <c r="L878" s="2" t="s">
        <v>11031</v>
      </c>
      <c r="M878" s="2" t="s">
        <v>11031</v>
      </c>
      <c r="N878" s="2" t="s">
        <v>11036</v>
      </c>
      <c r="O878" s="2" t="s">
        <v>11037</v>
      </c>
      <c r="P878" s="2" t="s">
        <v>11035</v>
      </c>
      <c r="Q878" s="2">
        <f>AVERAGE(PerfRate[[#This Row],[EnvironmentSatisfaction]],PerfRate[[#This Row],[JobSatisfaction]],PerfRate[[#This Row],[RelationshipSatisfaction]])</f>
        <v>3</v>
      </c>
      <c r="R878" s="2">
        <f>PerfRate[[#This Row],[ManagerRating]] - PerfRate[[#This Row],[SelfRating]]</f>
        <v>0</v>
      </c>
    </row>
    <row r="879" spans="1:18">
      <c r="A879" s="2" t="s">
        <v>5186</v>
      </c>
      <c r="B879" s="2" t="s">
        <v>2946</v>
      </c>
      <c r="C879" s="1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  <c r="L879" s="2" t="s">
        <v>11031</v>
      </c>
      <c r="M879" s="2" t="s">
        <v>11030</v>
      </c>
      <c r="N879" s="2" t="s">
        <v>11037</v>
      </c>
      <c r="O879" s="2" t="s">
        <v>11038</v>
      </c>
      <c r="P879" s="2" t="s">
        <v>11035</v>
      </c>
      <c r="Q879" s="2">
        <f>AVERAGE(PerfRate[[#This Row],[EnvironmentSatisfaction]],PerfRate[[#This Row],[JobSatisfaction]],PerfRate[[#This Row],[RelationshipSatisfaction]])</f>
        <v>3.6666666666666665</v>
      </c>
      <c r="R879" s="2">
        <f>PerfRate[[#This Row],[ManagerRating]] - PerfRate[[#This Row],[SelfRating]]</f>
        <v>-1</v>
      </c>
    </row>
    <row r="880" spans="1:18">
      <c r="A880" s="2" t="s">
        <v>5187</v>
      </c>
      <c r="B880" s="2" t="s">
        <v>1289</v>
      </c>
      <c r="C880" s="1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  <c r="L880" s="2" t="s">
        <v>11031</v>
      </c>
      <c r="M880" s="2" t="s">
        <v>11030</v>
      </c>
      <c r="N880" s="2" t="s">
        <v>11038</v>
      </c>
      <c r="O880" s="2" t="s">
        <v>11037</v>
      </c>
      <c r="P880" s="2" t="s">
        <v>11037</v>
      </c>
      <c r="Q880" s="2">
        <f>AVERAGE(PerfRate[[#This Row],[EnvironmentSatisfaction]],PerfRate[[#This Row],[JobSatisfaction]],PerfRate[[#This Row],[RelationshipSatisfaction]])</f>
        <v>4.333333333333333</v>
      </c>
      <c r="R880" s="2">
        <f>PerfRate[[#This Row],[ManagerRating]] - PerfRate[[#This Row],[SelfRating]]</f>
        <v>-1</v>
      </c>
    </row>
    <row r="881" spans="1:18">
      <c r="A881" s="2" t="s">
        <v>5188</v>
      </c>
      <c r="B881" s="2" t="s">
        <v>1042</v>
      </c>
      <c r="C881" s="1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  <c r="L881" s="2" t="s">
        <v>11029</v>
      </c>
      <c r="M881" s="2" t="s">
        <v>11028</v>
      </c>
      <c r="N881" s="2" t="s">
        <v>11037</v>
      </c>
      <c r="O881" s="2" t="s">
        <v>11037</v>
      </c>
      <c r="P881" s="2" t="s">
        <v>11037</v>
      </c>
      <c r="Q881" s="2">
        <f>AVERAGE(PerfRate[[#This Row],[EnvironmentSatisfaction]],PerfRate[[#This Row],[JobSatisfaction]],PerfRate[[#This Row],[RelationshipSatisfaction]])</f>
        <v>4</v>
      </c>
      <c r="R881" s="2">
        <f>PerfRate[[#This Row],[ManagerRating]] - PerfRate[[#This Row],[SelfRating]]</f>
        <v>-1</v>
      </c>
    </row>
    <row r="882" spans="1:18">
      <c r="A882" s="2" t="s">
        <v>5189</v>
      </c>
      <c r="B882" s="2" t="s">
        <v>3088</v>
      </c>
      <c r="C882" s="1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  <c r="L882" s="2" t="s">
        <v>11030</v>
      </c>
      <c r="M882" s="2" t="s">
        <v>11029</v>
      </c>
      <c r="N882" s="2" t="s">
        <v>11037</v>
      </c>
      <c r="O882" s="2" t="s">
        <v>11038</v>
      </c>
      <c r="P882" s="2" t="s">
        <v>11035</v>
      </c>
      <c r="Q882" s="2">
        <f>AVERAGE(PerfRate[[#This Row],[EnvironmentSatisfaction]],PerfRate[[#This Row],[JobSatisfaction]],PerfRate[[#This Row],[RelationshipSatisfaction]])</f>
        <v>3.6666666666666665</v>
      </c>
      <c r="R882" s="2">
        <f>PerfRate[[#This Row],[ManagerRating]] - PerfRate[[#This Row],[SelfRating]]</f>
        <v>-1</v>
      </c>
    </row>
    <row r="883" spans="1:18">
      <c r="A883" s="2" t="s">
        <v>5190</v>
      </c>
      <c r="B883" s="2" t="s">
        <v>147</v>
      </c>
      <c r="C883" s="1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  <c r="L883" s="2" t="s">
        <v>11029</v>
      </c>
      <c r="M883" s="2" t="s">
        <v>11028</v>
      </c>
      <c r="N883" s="2" t="s">
        <v>11037</v>
      </c>
      <c r="O883" s="2" t="s">
        <v>11037</v>
      </c>
      <c r="P883" s="2" t="s">
        <v>11034</v>
      </c>
      <c r="Q883" s="2">
        <f>AVERAGE(PerfRate[[#This Row],[EnvironmentSatisfaction]],PerfRate[[#This Row],[JobSatisfaction]],PerfRate[[#This Row],[RelationshipSatisfaction]])</f>
        <v>3</v>
      </c>
      <c r="R883" s="2">
        <f>PerfRate[[#This Row],[ManagerRating]] - PerfRate[[#This Row],[SelfRating]]</f>
        <v>-1</v>
      </c>
    </row>
    <row r="884" spans="1:18">
      <c r="A884" s="2" t="s">
        <v>5191</v>
      </c>
      <c r="B884" s="2" t="s">
        <v>699</v>
      </c>
      <c r="C884" s="1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  <c r="L884" s="2" t="s">
        <v>11029</v>
      </c>
      <c r="M884" s="2" t="s">
        <v>11028</v>
      </c>
      <c r="N884" s="2" t="s">
        <v>11034</v>
      </c>
      <c r="O884" s="2" t="s">
        <v>11036</v>
      </c>
      <c r="P884" s="2" t="s">
        <v>11035</v>
      </c>
      <c r="Q884" s="2">
        <f>AVERAGE(PerfRate[[#This Row],[EnvironmentSatisfaction]],PerfRate[[#This Row],[JobSatisfaction]],PerfRate[[#This Row],[RelationshipSatisfaction]])</f>
        <v>2</v>
      </c>
      <c r="R884" s="2">
        <f>PerfRate[[#This Row],[ManagerRating]] - PerfRate[[#This Row],[SelfRating]]</f>
        <v>-1</v>
      </c>
    </row>
    <row r="885" spans="1:18">
      <c r="A885" s="2" t="s">
        <v>5192</v>
      </c>
      <c r="B885" s="2" t="s">
        <v>820</v>
      </c>
      <c r="C885" s="1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  <c r="L885" s="2" t="s">
        <v>11029</v>
      </c>
      <c r="M885" s="2" t="s">
        <v>11029</v>
      </c>
      <c r="N885" s="2" t="s">
        <v>11037</v>
      </c>
      <c r="O885" s="2" t="s">
        <v>11037</v>
      </c>
      <c r="P885" s="2" t="s">
        <v>11034</v>
      </c>
      <c r="Q885" s="2">
        <f>AVERAGE(PerfRate[[#This Row],[EnvironmentSatisfaction]],PerfRate[[#This Row],[JobSatisfaction]],PerfRate[[#This Row],[RelationshipSatisfaction]])</f>
        <v>3</v>
      </c>
      <c r="R885" s="2">
        <f>PerfRate[[#This Row],[ManagerRating]] - PerfRate[[#This Row],[SelfRating]]</f>
        <v>0</v>
      </c>
    </row>
    <row r="886" spans="1:18">
      <c r="A886" s="2" t="s">
        <v>5193</v>
      </c>
      <c r="B886" s="2" t="s">
        <v>1151</v>
      </c>
      <c r="C886" s="1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  <c r="L886" s="2" t="s">
        <v>11029</v>
      </c>
      <c r="M886" s="2" t="s">
        <v>11029</v>
      </c>
      <c r="N886" s="2" t="s">
        <v>11036</v>
      </c>
      <c r="O886" s="2" t="s">
        <v>11037</v>
      </c>
      <c r="P886" s="2" t="s">
        <v>11034</v>
      </c>
      <c r="Q886" s="2">
        <f>AVERAGE(PerfRate[[#This Row],[EnvironmentSatisfaction]],PerfRate[[#This Row],[JobSatisfaction]],PerfRate[[#This Row],[RelationshipSatisfaction]])</f>
        <v>2.6666666666666665</v>
      </c>
      <c r="R886" s="2">
        <f>PerfRate[[#This Row],[ManagerRating]] - PerfRate[[#This Row],[SelfRating]]</f>
        <v>0</v>
      </c>
    </row>
    <row r="887" spans="1:18">
      <c r="A887" s="2" t="s">
        <v>5194</v>
      </c>
      <c r="B887" s="2" t="s">
        <v>1186</v>
      </c>
      <c r="C887" s="1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  <c r="L887" s="2" t="s">
        <v>11029</v>
      </c>
      <c r="M887" s="2" t="s">
        <v>11029</v>
      </c>
      <c r="N887" s="2" t="s">
        <v>11036</v>
      </c>
      <c r="O887" s="2" t="s">
        <v>11037</v>
      </c>
      <c r="P887" s="2" t="s">
        <v>11037</v>
      </c>
      <c r="Q887" s="2">
        <f>AVERAGE(PerfRate[[#This Row],[EnvironmentSatisfaction]],PerfRate[[#This Row],[JobSatisfaction]],PerfRate[[#This Row],[RelationshipSatisfaction]])</f>
        <v>3.6666666666666665</v>
      </c>
      <c r="R887" s="2">
        <f>PerfRate[[#This Row],[ManagerRating]] - PerfRate[[#This Row],[SelfRating]]</f>
        <v>0</v>
      </c>
    </row>
    <row r="888" spans="1:18">
      <c r="A888" s="2" t="s">
        <v>5195</v>
      </c>
      <c r="B888" s="2" t="s">
        <v>1707</v>
      </c>
      <c r="C888" s="1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  <c r="L888" s="2" t="s">
        <v>11029</v>
      </c>
      <c r="M888" s="2" t="s">
        <v>11029</v>
      </c>
      <c r="N888" s="2" t="s">
        <v>11037</v>
      </c>
      <c r="O888" s="2" t="s">
        <v>11036</v>
      </c>
      <c r="P888" s="2" t="s">
        <v>11035</v>
      </c>
      <c r="Q888" s="2">
        <f>AVERAGE(PerfRate[[#This Row],[EnvironmentSatisfaction]],PerfRate[[#This Row],[JobSatisfaction]],PerfRate[[#This Row],[RelationshipSatisfaction]])</f>
        <v>3</v>
      </c>
      <c r="R888" s="2">
        <f>PerfRate[[#This Row],[ManagerRating]] - PerfRate[[#This Row],[SelfRating]]</f>
        <v>0</v>
      </c>
    </row>
    <row r="889" spans="1:18">
      <c r="A889" s="2" t="s">
        <v>5196</v>
      </c>
      <c r="B889" s="2" t="s">
        <v>747</v>
      </c>
      <c r="C889" s="1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  <c r="L889" s="2" t="s">
        <v>11031</v>
      </c>
      <c r="M889" s="2" t="s">
        <v>11031</v>
      </c>
      <c r="N889" s="2" t="s">
        <v>11037</v>
      </c>
      <c r="O889" s="2" t="s">
        <v>11036</v>
      </c>
      <c r="P889" s="2" t="s">
        <v>11035</v>
      </c>
      <c r="Q889" s="2">
        <f>AVERAGE(PerfRate[[#This Row],[EnvironmentSatisfaction]],PerfRate[[#This Row],[JobSatisfaction]],PerfRate[[#This Row],[RelationshipSatisfaction]])</f>
        <v>3</v>
      </c>
      <c r="R889" s="2">
        <f>PerfRate[[#This Row],[ManagerRating]] - PerfRate[[#This Row],[SelfRating]]</f>
        <v>0</v>
      </c>
    </row>
    <row r="890" spans="1:18">
      <c r="A890" s="2" t="s">
        <v>5197</v>
      </c>
      <c r="B890" s="2" t="s">
        <v>3045</v>
      </c>
      <c r="C890" s="1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  <c r="L890" s="2" t="s">
        <v>11029</v>
      </c>
      <c r="M890" s="2" t="s">
        <v>11028</v>
      </c>
      <c r="N890" s="2" t="s">
        <v>11035</v>
      </c>
      <c r="O890" s="2" t="s">
        <v>11034</v>
      </c>
      <c r="P890" s="2" t="s">
        <v>11036</v>
      </c>
      <c r="Q890" s="2">
        <f>AVERAGE(PerfRate[[#This Row],[EnvironmentSatisfaction]],PerfRate[[#This Row],[JobSatisfaction]],PerfRate[[#This Row],[RelationshipSatisfaction]])</f>
        <v>2</v>
      </c>
      <c r="R890" s="2">
        <f>PerfRate[[#This Row],[ManagerRating]] - PerfRate[[#This Row],[SelfRating]]</f>
        <v>-1</v>
      </c>
    </row>
    <row r="891" spans="1:18">
      <c r="A891" s="2" t="s">
        <v>5198</v>
      </c>
      <c r="B891" s="2" t="s">
        <v>1000</v>
      </c>
      <c r="C891" s="1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  <c r="L891" s="2" t="s">
        <v>11029</v>
      </c>
      <c r="M891" s="2" t="s">
        <v>11028</v>
      </c>
      <c r="N891" s="2" t="s">
        <v>11037</v>
      </c>
      <c r="O891" s="2" t="s">
        <v>11034</v>
      </c>
      <c r="P891" s="2" t="s">
        <v>11036</v>
      </c>
      <c r="Q891" s="2">
        <f>AVERAGE(PerfRate[[#This Row],[EnvironmentSatisfaction]],PerfRate[[#This Row],[JobSatisfaction]],PerfRate[[#This Row],[RelationshipSatisfaction]])</f>
        <v>2.6666666666666665</v>
      </c>
      <c r="R891" s="2">
        <f>PerfRate[[#This Row],[ManagerRating]] - PerfRate[[#This Row],[SelfRating]]</f>
        <v>-1</v>
      </c>
    </row>
    <row r="892" spans="1:18">
      <c r="A892" s="2" t="s">
        <v>5199</v>
      </c>
      <c r="B892" s="2" t="s">
        <v>1238</v>
      </c>
      <c r="C892" s="1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  <c r="L892" s="2" t="s">
        <v>11031</v>
      </c>
      <c r="M892" s="2" t="s">
        <v>11031</v>
      </c>
      <c r="N892" s="2" t="s">
        <v>11036</v>
      </c>
      <c r="O892" s="2" t="s">
        <v>11037</v>
      </c>
      <c r="P892" s="2" t="s">
        <v>11037</v>
      </c>
      <c r="Q892" s="2">
        <f>AVERAGE(PerfRate[[#This Row],[EnvironmentSatisfaction]],PerfRate[[#This Row],[JobSatisfaction]],PerfRate[[#This Row],[RelationshipSatisfaction]])</f>
        <v>3.6666666666666665</v>
      </c>
      <c r="R892" s="2">
        <f>PerfRate[[#This Row],[ManagerRating]] - PerfRate[[#This Row],[SelfRating]]</f>
        <v>0</v>
      </c>
    </row>
    <row r="893" spans="1:18">
      <c r="A893" s="2" t="s">
        <v>5200</v>
      </c>
      <c r="B893" s="2" t="s">
        <v>272</v>
      </c>
      <c r="C893" s="1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  <c r="L893" s="2" t="s">
        <v>11030</v>
      </c>
      <c r="M893" s="2" t="s">
        <v>11029</v>
      </c>
      <c r="N893" s="2" t="s">
        <v>11037</v>
      </c>
      <c r="O893" s="2" t="s">
        <v>11036</v>
      </c>
      <c r="P893" s="2" t="s">
        <v>11036</v>
      </c>
      <c r="Q893" s="2">
        <f>AVERAGE(PerfRate[[#This Row],[EnvironmentSatisfaction]],PerfRate[[#This Row],[JobSatisfaction]],PerfRate[[#This Row],[RelationshipSatisfaction]])</f>
        <v>3.3333333333333335</v>
      </c>
      <c r="R893" s="2">
        <f>PerfRate[[#This Row],[ManagerRating]] - PerfRate[[#This Row],[SelfRating]]</f>
        <v>-1</v>
      </c>
    </row>
    <row r="894" spans="1:18">
      <c r="A894" s="2" t="s">
        <v>5201</v>
      </c>
      <c r="B894" s="2" t="s">
        <v>151</v>
      </c>
      <c r="C894" s="1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  <c r="L894" s="2" t="s">
        <v>11031</v>
      </c>
      <c r="M894" s="2" t="s">
        <v>11031</v>
      </c>
      <c r="N894" s="2" t="s">
        <v>11038</v>
      </c>
      <c r="O894" s="2" t="s">
        <v>11037</v>
      </c>
      <c r="P894" s="2" t="s">
        <v>11038</v>
      </c>
      <c r="Q894" s="2">
        <f>AVERAGE(PerfRate[[#This Row],[EnvironmentSatisfaction]],PerfRate[[#This Row],[JobSatisfaction]],PerfRate[[#This Row],[RelationshipSatisfaction]])</f>
        <v>4.666666666666667</v>
      </c>
      <c r="R894" s="2">
        <f>PerfRate[[#This Row],[ManagerRating]] - PerfRate[[#This Row],[SelfRating]]</f>
        <v>0</v>
      </c>
    </row>
    <row r="895" spans="1:18">
      <c r="A895" s="2" t="s">
        <v>5202</v>
      </c>
      <c r="B895" s="2" t="s">
        <v>1136</v>
      </c>
      <c r="C895" s="1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  <c r="L895" s="2" t="s">
        <v>11029</v>
      </c>
      <c r="M895" s="2" t="s">
        <v>11028</v>
      </c>
      <c r="N895" s="2" t="s">
        <v>11036</v>
      </c>
      <c r="O895" s="2" t="s">
        <v>11038</v>
      </c>
      <c r="P895" s="2" t="s">
        <v>11036</v>
      </c>
      <c r="Q895" s="2">
        <f>AVERAGE(PerfRate[[#This Row],[EnvironmentSatisfaction]],PerfRate[[#This Row],[JobSatisfaction]],PerfRate[[#This Row],[RelationshipSatisfaction]])</f>
        <v>3.6666666666666665</v>
      </c>
      <c r="R895" s="2">
        <f>PerfRate[[#This Row],[ManagerRating]] - PerfRate[[#This Row],[SelfRating]]</f>
        <v>-1</v>
      </c>
    </row>
    <row r="896" spans="1:18">
      <c r="A896" s="2" t="s">
        <v>5203</v>
      </c>
      <c r="B896" s="2" t="s">
        <v>3857</v>
      </c>
      <c r="C896" s="1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  <c r="L896" s="2" t="s">
        <v>11031</v>
      </c>
      <c r="M896" s="2" t="s">
        <v>11030</v>
      </c>
      <c r="N896" s="2" t="s">
        <v>11037</v>
      </c>
      <c r="O896" s="2" t="s">
        <v>11036</v>
      </c>
      <c r="P896" s="2" t="s">
        <v>11035</v>
      </c>
      <c r="Q896" s="2">
        <f>AVERAGE(PerfRate[[#This Row],[EnvironmentSatisfaction]],PerfRate[[#This Row],[JobSatisfaction]],PerfRate[[#This Row],[RelationshipSatisfaction]])</f>
        <v>3</v>
      </c>
      <c r="R896" s="2">
        <f>PerfRate[[#This Row],[ManagerRating]] - PerfRate[[#This Row],[SelfRating]]</f>
        <v>-1</v>
      </c>
    </row>
    <row r="897" spans="1:18">
      <c r="A897" s="2" t="s">
        <v>5204</v>
      </c>
      <c r="B897" s="2" t="s">
        <v>3394</v>
      </c>
      <c r="C897" s="1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  <c r="L897" s="2" t="s">
        <v>11030</v>
      </c>
      <c r="M897" s="2" t="s">
        <v>11029</v>
      </c>
      <c r="N897" s="2" t="s">
        <v>11037</v>
      </c>
      <c r="O897" s="2" t="s">
        <v>11037</v>
      </c>
      <c r="P897" s="2" t="s">
        <v>11037</v>
      </c>
      <c r="Q897" s="2">
        <f>AVERAGE(PerfRate[[#This Row],[EnvironmentSatisfaction]],PerfRate[[#This Row],[JobSatisfaction]],PerfRate[[#This Row],[RelationshipSatisfaction]])</f>
        <v>4</v>
      </c>
      <c r="R897" s="2">
        <f>PerfRate[[#This Row],[ManagerRating]] - PerfRate[[#This Row],[SelfRating]]</f>
        <v>-1</v>
      </c>
    </row>
    <row r="898" spans="1:18">
      <c r="A898" s="2" t="s">
        <v>5205</v>
      </c>
      <c r="B898" s="2" t="s">
        <v>958</v>
      </c>
      <c r="C898" s="1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  <c r="L898" s="2" t="s">
        <v>11030</v>
      </c>
      <c r="M898" s="2" t="s">
        <v>11029</v>
      </c>
      <c r="N898" s="2" t="s">
        <v>11038</v>
      </c>
      <c r="O898" s="2" t="s">
        <v>11036</v>
      </c>
      <c r="P898" s="2" t="s">
        <v>11037</v>
      </c>
      <c r="Q898" s="2">
        <f>AVERAGE(PerfRate[[#This Row],[EnvironmentSatisfaction]],PerfRate[[#This Row],[JobSatisfaction]],PerfRate[[#This Row],[RelationshipSatisfaction]])</f>
        <v>4</v>
      </c>
      <c r="R898" s="2">
        <f>PerfRate[[#This Row],[ManagerRating]] - PerfRate[[#This Row],[SelfRating]]</f>
        <v>-1</v>
      </c>
    </row>
    <row r="899" spans="1:18">
      <c r="A899" s="2" t="s">
        <v>5206</v>
      </c>
      <c r="B899" s="2" t="s">
        <v>940</v>
      </c>
      <c r="C899" s="1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  <c r="L899" s="2" t="s">
        <v>11030</v>
      </c>
      <c r="M899" s="2" t="s">
        <v>11030</v>
      </c>
      <c r="N899" s="2" t="s">
        <v>11038</v>
      </c>
      <c r="O899" s="2" t="s">
        <v>11037</v>
      </c>
      <c r="P899" s="2" t="s">
        <v>11037</v>
      </c>
      <c r="Q899" s="2">
        <f>AVERAGE(PerfRate[[#This Row],[EnvironmentSatisfaction]],PerfRate[[#This Row],[JobSatisfaction]],PerfRate[[#This Row],[RelationshipSatisfaction]])</f>
        <v>4.333333333333333</v>
      </c>
      <c r="R899" s="2">
        <f>PerfRate[[#This Row],[ManagerRating]] - PerfRate[[#This Row],[SelfRating]]</f>
        <v>0</v>
      </c>
    </row>
    <row r="900" spans="1:18">
      <c r="A900" s="2" t="s">
        <v>5207</v>
      </c>
      <c r="B900" s="2" t="s">
        <v>705</v>
      </c>
      <c r="C900" s="1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  <c r="L900" s="2" t="s">
        <v>11031</v>
      </c>
      <c r="M900" s="2" t="s">
        <v>11030</v>
      </c>
      <c r="N900" s="2" t="s">
        <v>11036</v>
      </c>
      <c r="O900" s="2" t="s">
        <v>11037</v>
      </c>
      <c r="P900" s="2" t="s">
        <v>11036</v>
      </c>
      <c r="Q900" s="2">
        <f>AVERAGE(PerfRate[[#This Row],[EnvironmentSatisfaction]],PerfRate[[#This Row],[JobSatisfaction]],PerfRate[[#This Row],[RelationshipSatisfaction]])</f>
        <v>3.3333333333333335</v>
      </c>
      <c r="R900" s="2">
        <f>PerfRate[[#This Row],[ManagerRating]] - PerfRate[[#This Row],[SelfRating]]</f>
        <v>-1</v>
      </c>
    </row>
    <row r="901" spans="1:18">
      <c r="A901" s="2" t="s">
        <v>5208</v>
      </c>
      <c r="B901" s="2" t="s">
        <v>35</v>
      </c>
      <c r="C901" s="1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  <c r="L901" s="2" t="s">
        <v>11030</v>
      </c>
      <c r="M901" s="2" t="s">
        <v>11029</v>
      </c>
      <c r="N901" s="2" t="s">
        <v>11036</v>
      </c>
      <c r="O901" s="2" t="s">
        <v>11038</v>
      </c>
      <c r="P901" s="2" t="s">
        <v>11038</v>
      </c>
      <c r="Q901" s="2">
        <f>AVERAGE(PerfRate[[#This Row],[EnvironmentSatisfaction]],PerfRate[[#This Row],[JobSatisfaction]],PerfRate[[#This Row],[RelationshipSatisfaction]])</f>
        <v>4.333333333333333</v>
      </c>
      <c r="R901" s="2">
        <f>PerfRate[[#This Row],[ManagerRating]] - PerfRate[[#This Row],[SelfRating]]</f>
        <v>-1</v>
      </c>
    </row>
    <row r="902" spans="1:18">
      <c r="A902" s="2" t="s">
        <v>5209</v>
      </c>
      <c r="B902" s="2" t="s">
        <v>583</v>
      </c>
      <c r="C902" s="1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  <c r="L902" s="2" t="s">
        <v>11030</v>
      </c>
      <c r="M902" s="2" t="s">
        <v>11029</v>
      </c>
      <c r="N902" s="2" t="s">
        <v>11037</v>
      </c>
      <c r="O902" s="2" t="s">
        <v>11036</v>
      </c>
      <c r="P902" s="2" t="s">
        <v>11035</v>
      </c>
      <c r="Q902" s="2">
        <f>AVERAGE(PerfRate[[#This Row],[EnvironmentSatisfaction]],PerfRate[[#This Row],[JobSatisfaction]],PerfRate[[#This Row],[RelationshipSatisfaction]])</f>
        <v>3</v>
      </c>
      <c r="R902" s="2">
        <f>PerfRate[[#This Row],[ManagerRating]] - PerfRate[[#This Row],[SelfRating]]</f>
        <v>-1</v>
      </c>
    </row>
    <row r="903" spans="1:18">
      <c r="A903" s="2" t="s">
        <v>5210</v>
      </c>
      <c r="B903" s="2" t="s">
        <v>1062</v>
      </c>
      <c r="C903" s="1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  <c r="L903" s="2" t="s">
        <v>11031</v>
      </c>
      <c r="M903" s="2" t="s">
        <v>11031</v>
      </c>
      <c r="N903" s="2" t="s">
        <v>11036</v>
      </c>
      <c r="O903" s="2" t="s">
        <v>11036</v>
      </c>
      <c r="P903" s="2" t="s">
        <v>11036</v>
      </c>
      <c r="Q903" s="2">
        <f>AVERAGE(PerfRate[[#This Row],[EnvironmentSatisfaction]],PerfRate[[#This Row],[JobSatisfaction]],PerfRate[[#This Row],[RelationshipSatisfaction]])</f>
        <v>3</v>
      </c>
      <c r="R903" s="2">
        <f>PerfRate[[#This Row],[ManagerRating]] - PerfRate[[#This Row],[SelfRating]]</f>
        <v>0</v>
      </c>
    </row>
    <row r="904" spans="1:18">
      <c r="A904" s="2" t="s">
        <v>5211</v>
      </c>
      <c r="B904" s="2" t="s">
        <v>1666</v>
      </c>
      <c r="C904" s="1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  <c r="L904" s="2" t="s">
        <v>11029</v>
      </c>
      <c r="M904" s="2" t="s">
        <v>11029</v>
      </c>
      <c r="N904" s="2" t="s">
        <v>11036</v>
      </c>
      <c r="O904" s="2" t="s">
        <v>11038</v>
      </c>
      <c r="P904" s="2" t="s">
        <v>11037</v>
      </c>
      <c r="Q904" s="2">
        <f>AVERAGE(PerfRate[[#This Row],[EnvironmentSatisfaction]],PerfRate[[#This Row],[JobSatisfaction]],PerfRate[[#This Row],[RelationshipSatisfaction]])</f>
        <v>4</v>
      </c>
      <c r="R904" s="2">
        <f>PerfRate[[#This Row],[ManagerRating]] - PerfRate[[#This Row],[SelfRating]]</f>
        <v>0</v>
      </c>
    </row>
    <row r="905" spans="1:18">
      <c r="A905" s="2" t="s">
        <v>5212</v>
      </c>
      <c r="B905" s="2" t="s">
        <v>829</v>
      </c>
      <c r="C905" s="1">
        <v>42743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  <c r="L905" s="2" t="s">
        <v>11029</v>
      </c>
      <c r="M905" s="2" t="s">
        <v>11028</v>
      </c>
      <c r="N905" s="2" t="s">
        <v>11036</v>
      </c>
      <c r="O905" s="2" t="s">
        <v>11038</v>
      </c>
      <c r="P905" s="2" t="s">
        <v>11037</v>
      </c>
      <c r="Q905" s="2">
        <f>AVERAGE(PerfRate[[#This Row],[EnvironmentSatisfaction]],PerfRate[[#This Row],[JobSatisfaction]],PerfRate[[#This Row],[RelationshipSatisfaction]])</f>
        <v>4</v>
      </c>
      <c r="R905" s="2">
        <f>PerfRate[[#This Row],[ManagerRating]] - PerfRate[[#This Row],[SelfRating]]</f>
        <v>-1</v>
      </c>
    </row>
    <row r="906" spans="1:18">
      <c r="A906" s="2" t="s">
        <v>5213</v>
      </c>
      <c r="B906" s="2" t="s">
        <v>3102</v>
      </c>
      <c r="C906" s="1">
        <v>42774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  <c r="L906" s="2" t="s">
        <v>11031</v>
      </c>
      <c r="M906" s="2" t="s">
        <v>11031</v>
      </c>
      <c r="N906" s="2" t="s">
        <v>11038</v>
      </c>
      <c r="O906" s="2" t="s">
        <v>11035</v>
      </c>
      <c r="P906" s="2" t="s">
        <v>11035</v>
      </c>
      <c r="Q906" s="2">
        <f>AVERAGE(PerfRate[[#This Row],[EnvironmentSatisfaction]],PerfRate[[#This Row],[JobSatisfaction]],PerfRate[[#This Row],[RelationshipSatisfaction]])</f>
        <v>3</v>
      </c>
      <c r="R906" s="2">
        <f>PerfRate[[#This Row],[ManagerRating]] - PerfRate[[#This Row],[SelfRating]]</f>
        <v>0</v>
      </c>
    </row>
    <row r="907" spans="1:18">
      <c r="A907" s="2" t="s">
        <v>5214</v>
      </c>
      <c r="B907" s="2" t="s">
        <v>2545</v>
      </c>
      <c r="C907" s="1">
        <v>42833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  <c r="L907" s="2" t="s">
        <v>11030</v>
      </c>
      <c r="M907" s="2" t="s">
        <v>11029</v>
      </c>
      <c r="N907" s="2" t="s">
        <v>11037</v>
      </c>
      <c r="O907" s="2" t="s">
        <v>11036</v>
      </c>
      <c r="P907" s="2" t="s">
        <v>11038</v>
      </c>
      <c r="Q907" s="2">
        <f>AVERAGE(PerfRate[[#This Row],[EnvironmentSatisfaction]],PerfRate[[#This Row],[JobSatisfaction]],PerfRate[[#This Row],[RelationshipSatisfaction]])</f>
        <v>4</v>
      </c>
      <c r="R907" s="2">
        <f>PerfRate[[#This Row],[ManagerRating]] - PerfRate[[#This Row],[SelfRating]]</f>
        <v>-1</v>
      </c>
    </row>
    <row r="908" spans="1:18">
      <c r="A908" s="2" t="s">
        <v>5215</v>
      </c>
      <c r="B908" s="2" t="s">
        <v>377</v>
      </c>
      <c r="C908" s="1">
        <v>42833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  <c r="L908" s="2" t="s">
        <v>11030</v>
      </c>
      <c r="M908" s="2" t="s">
        <v>11030</v>
      </c>
      <c r="N908" s="2" t="s">
        <v>11036</v>
      </c>
      <c r="O908" s="2" t="s">
        <v>11038</v>
      </c>
      <c r="P908" s="2" t="s">
        <v>11038</v>
      </c>
      <c r="Q908" s="2">
        <f>AVERAGE(PerfRate[[#This Row],[EnvironmentSatisfaction]],PerfRate[[#This Row],[JobSatisfaction]],PerfRate[[#This Row],[RelationshipSatisfaction]])</f>
        <v>4.333333333333333</v>
      </c>
      <c r="R908" s="2">
        <f>PerfRate[[#This Row],[ManagerRating]] - PerfRate[[#This Row],[SelfRating]]</f>
        <v>0</v>
      </c>
    </row>
    <row r="909" spans="1:18">
      <c r="A909" s="2" t="s">
        <v>5216</v>
      </c>
      <c r="B909" s="2" t="s">
        <v>115</v>
      </c>
      <c r="C909" s="1">
        <v>42833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  <c r="L909" s="2" t="s">
        <v>11030</v>
      </c>
      <c r="M909" s="2" t="s">
        <v>11030</v>
      </c>
      <c r="N909" s="2" t="s">
        <v>11038</v>
      </c>
      <c r="O909" s="2" t="s">
        <v>11035</v>
      </c>
      <c r="P909" s="2" t="s">
        <v>11037</v>
      </c>
      <c r="Q909" s="2">
        <f>AVERAGE(PerfRate[[#This Row],[EnvironmentSatisfaction]],PerfRate[[#This Row],[JobSatisfaction]],PerfRate[[#This Row],[RelationshipSatisfaction]])</f>
        <v>3.6666666666666665</v>
      </c>
      <c r="R909" s="2">
        <f>PerfRate[[#This Row],[ManagerRating]] - PerfRate[[#This Row],[SelfRating]]</f>
        <v>0</v>
      </c>
    </row>
    <row r="910" spans="1:18">
      <c r="A910" s="2" t="s">
        <v>5217</v>
      </c>
      <c r="B910" s="2" t="s">
        <v>1054</v>
      </c>
      <c r="C910" s="1">
        <v>42833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  <c r="L910" s="2" t="s">
        <v>11031</v>
      </c>
      <c r="M910" s="2" t="s">
        <v>11031</v>
      </c>
      <c r="N910" s="2" t="s">
        <v>11038</v>
      </c>
      <c r="O910" s="2" t="s">
        <v>11038</v>
      </c>
      <c r="P910" s="2" t="s">
        <v>11036</v>
      </c>
      <c r="Q910" s="2">
        <f>AVERAGE(PerfRate[[#This Row],[EnvironmentSatisfaction]],PerfRate[[#This Row],[JobSatisfaction]],PerfRate[[#This Row],[RelationshipSatisfaction]])</f>
        <v>4.333333333333333</v>
      </c>
      <c r="R910" s="2">
        <f>PerfRate[[#This Row],[ManagerRating]] - PerfRate[[#This Row],[SelfRating]]</f>
        <v>0</v>
      </c>
    </row>
    <row r="911" spans="1:18">
      <c r="A911" s="2" t="s">
        <v>5218</v>
      </c>
      <c r="B911" s="2" t="s">
        <v>1252</v>
      </c>
      <c r="C911" s="1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  <c r="L911" s="2" t="s">
        <v>11031</v>
      </c>
      <c r="M911" s="2" t="s">
        <v>11030</v>
      </c>
      <c r="N911" s="2" t="s">
        <v>11037</v>
      </c>
      <c r="O911" s="2" t="s">
        <v>11035</v>
      </c>
      <c r="P911" s="2" t="s">
        <v>11038</v>
      </c>
      <c r="Q911" s="2">
        <f>AVERAGE(PerfRate[[#This Row],[EnvironmentSatisfaction]],PerfRate[[#This Row],[JobSatisfaction]],PerfRate[[#This Row],[RelationshipSatisfaction]])</f>
        <v>3.6666666666666665</v>
      </c>
      <c r="R911" s="2">
        <f>PerfRate[[#This Row],[ManagerRating]] - PerfRate[[#This Row],[SelfRating]]</f>
        <v>-1</v>
      </c>
    </row>
    <row r="912" spans="1:18">
      <c r="A912" s="2" t="s">
        <v>5219</v>
      </c>
      <c r="B912" s="2" t="s">
        <v>553</v>
      </c>
      <c r="C912" s="1">
        <v>42894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  <c r="L912" s="2" t="s">
        <v>11029</v>
      </c>
      <c r="M912" s="2" t="s">
        <v>11028</v>
      </c>
      <c r="N912" s="2" t="s">
        <v>11036</v>
      </c>
      <c r="O912" s="2" t="s">
        <v>11035</v>
      </c>
      <c r="P912" s="2" t="s">
        <v>11036</v>
      </c>
      <c r="Q912" s="2">
        <f>AVERAGE(PerfRate[[#This Row],[EnvironmentSatisfaction]],PerfRate[[#This Row],[JobSatisfaction]],PerfRate[[#This Row],[RelationshipSatisfaction]])</f>
        <v>2.6666666666666665</v>
      </c>
      <c r="R912" s="2">
        <f>PerfRate[[#This Row],[ManagerRating]] - PerfRate[[#This Row],[SelfRating]]</f>
        <v>-1</v>
      </c>
    </row>
    <row r="913" spans="1:18">
      <c r="A913" s="2" t="s">
        <v>5220</v>
      </c>
      <c r="B913" s="2" t="s">
        <v>729</v>
      </c>
      <c r="C913" s="1">
        <v>42894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  <c r="L913" s="2" t="s">
        <v>11031</v>
      </c>
      <c r="M913" s="2" t="s">
        <v>11030</v>
      </c>
      <c r="N913" s="2" t="s">
        <v>11038</v>
      </c>
      <c r="O913" s="2" t="s">
        <v>11036</v>
      </c>
      <c r="P913" s="2" t="s">
        <v>11037</v>
      </c>
      <c r="Q913" s="2">
        <f>AVERAGE(PerfRate[[#This Row],[EnvironmentSatisfaction]],PerfRate[[#This Row],[JobSatisfaction]],PerfRate[[#This Row],[RelationshipSatisfaction]])</f>
        <v>4</v>
      </c>
      <c r="R913" s="2">
        <f>PerfRate[[#This Row],[ManagerRating]] - PerfRate[[#This Row],[SelfRating]]</f>
        <v>-1</v>
      </c>
    </row>
    <row r="914" spans="1:18">
      <c r="A914" s="2" t="s">
        <v>5221</v>
      </c>
      <c r="B914" s="2" t="s">
        <v>774</v>
      </c>
      <c r="C914" s="1">
        <v>42986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  <c r="L914" s="2" t="s">
        <v>11031</v>
      </c>
      <c r="M914" s="2" t="s">
        <v>11030</v>
      </c>
      <c r="N914" s="2" t="s">
        <v>11037</v>
      </c>
      <c r="O914" s="2" t="s">
        <v>11038</v>
      </c>
      <c r="P914" s="2" t="s">
        <v>11036</v>
      </c>
      <c r="Q914" s="2">
        <f>AVERAGE(PerfRate[[#This Row],[EnvironmentSatisfaction]],PerfRate[[#This Row],[JobSatisfaction]],PerfRate[[#This Row],[RelationshipSatisfaction]])</f>
        <v>4</v>
      </c>
      <c r="R914" s="2">
        <f>PerfRate[[#This Row],[ManagerRating]] - PerfRate[[#This Row],[SelfRating]]</f>
        <v>-1</v>
      </c>
    </row>
    <row r="915" spans="1:18">
      <c r="A915" s="2" t="s">
        <v>5222</v>
      </c>
      <c r="B915" s="2" t="s">
        <v>250</v>
      </c>
      <c r="C915" s="1">
        <v>43016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  <c r="L915" s="2" t="s">
        <v>11030</v>
      </c>
      <c r="M915" s="2" t="s">
        <v>11030</v>
      </c>
      <c r="N915" s="2" t="s">
        <v>11038</v>
      </c>
      <c r="O915" s="2" t="s">
        <v>11036</v>
      </c>
      <c r="P915" s="2" t="s">
        <v>11038</v>
      </c>
      <c r="Q915" s="2">
        <f>AVERAGE(PerfRate[[#This Row],[EnvironmentSatisfaction]],PerfRate[[#This Row],[JobSatisfaction]],PerfRate[[#This Row],[RelationshipSatisfaction]])</f>
        <v>4.333333333333333</v>
      </c>
      <c r="R915" s="2">
        <f>PerfRate[[#This Row],[ManagerRating]] - PerfRate[[#This Row],[SelfRating]]</f>
        <v>0</v>
      </c>
    </row>
    <row r="916" spans="1:18">
      <c r="A916" s="2" t="s">
        <v>5223</v>
      </c>
      <c r="B916" s="2" t="s">
        <v>625</v>
      </c>
      <c r="C916" s="1">
        <v>43077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  <c r="L916" s="2" t="s">
        <v>11031</v>
      </c>
      <c r="M916" s="2" t="s">
        <v>11030</v>
      </c>
      <c r="N916" s="2" t="s">
        <v>11038</v>
      </c>
      <c r="O916" s="2" t="s">
        <v>11036</v>
      </c>
      <c r="P916" s="2" t="s">
        <v>11036</v>
      </c>
      <c r="Q916" s="2">
        <f>AVERAGE(PerfRate[[#This Row],[EnvironmentSatisfaction]],PerfRate[[#This Row],[JobSatisfaction]],PerfRate[[#This Row],[RelationshipSatisfaction]])</f>
        <v>3.6666666666666665</v>
      </c>
      <c r="R916" s="2">
        <f>PerfRate[[#This Row],[ManagerRating]] - PerfRate[[#This Row],[SelfRating]]</f>
        <v>-1</v>
      </c>
    </row>
    <row r="917" spans="1:18">
      <c r="A917" s="2" t="s">
        <v>5224</v>
      </c>
      <c r="B917" s="2" t="s">
        <v>3071</v>
      </c>
      <c r="C917" s="1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  <c r="L917" s="2" t="s">
        <v>11029</v>
      </c>
      <c r="M917" s="2" t="s">
        <v>11029</v>
      </c>
      <c r="N917" s="2" t="s">
        <v>11037</v>
      </c>
      <c r="O917" s="2" t="s">
        <v>11038</v>
      </c>
      <c r="P917" s="2" t="s">
        <v>11036</v>
      </c>
      <c r="Q917" s="2">
        <f>AVERAGE(PerfRate[[#This Row],[EnvironmentSatisfaction]],PerfRate[[#This Row],[JobSatisfaction]],PerfRate[[#This Row],[RelationshipSatisfaction]])</f>
        <v>4</v>
      </c>
      <c r="R917" s="2">
        <f>PerfRate[[#This Row],[ManagerRating]] - PerfRate[[#This Row],[SelfRating]]</f>
        <v>0</v>
      </c>
    </row>
    <row r="918" spans="1:18">
      <c r="A918" s="2" t="s">
        <v>5225</v>
      </c>
      <c r="B918" s="2" t="s">
        <v>803</v>
      </c>
      <c r="C918" s="1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  <c r="L918" s="2" t="s">
        <v>11030</v>
      </c>
      <c r="M918" s="2" t="s">
        <v>11030</v>
      </c>
      <c r="N918" s="2" t="s">
        <v>11038</v>
      </c>
      <c r="O918" s="2" t="s">
        <v>11035</v>
      </c>
      <c r="P918" s="2" t="s">
        <v>11037</v>
      </c>
      <c r="Q918" s="2">
        <f>AVERAGE(PerfRate[[#This Row],[EnvironmentSatisfaction]],PerfRate[[#This Row],[JobSatisfaction]],PerfRate[[#This Row],[RelationshipSatisfaction]])</f>
        <v>3.6666666666666665</v>
      </c>
      <c r="R918" s="2">
        <f>PerfRate[[#This Row],[ManagerRating]] - PerfRate[[#This Row],[SelfRating]]</f>
        <v>0</v>
      </c>
    </row>
    <row r="919" spans="1:18">
      <c r="A919" s="2" t="s">
        <v>5226</v>
      </c>
      <c r="B919" s="2" t="s">
        <v>756</v>
      </c>
      <c r="C919" s="1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  <c r="L919" s="2" t="s">
        <v>11031</v>
      </c>
      <c r="M919" s="2" t="s">
        <v>11030</v>
      </c>
      <c r="N919" s="2" t="s">
        <v>11036</v>
      </c>
      <c r="O919" s="2" t="s">
        <v>11035</v>
      </c>
      <c r="P919" s="2" t="s">
        <v>11038</v>
      </c>
      <c r="Q919" s="2">
        <f>AVERAGE(PerfRate[[#This Row],[EnvironmentSatisfaction]],PerfRate[[#This Row],[JobSatisfaction]],PerfRate[[#This Row],[RelationshipSatisfaction]])</f>
        <v>3.3333333333333335</v>
      </c>
      <c r="R919" s="2">
        <f>PerfRate[[#This Row],[ManagerRating]] - PerfRate[[#This Row],[SelfRating]]</f>
        <v>-1</v>
      </c>
    </row>
    <row r="920" spans="1:18">
      <c r="A920" s="2" t="s">
        <v>5227</v>
      </c>
      <c r="B920" s="2" t="s">
        <v>3198</v>
      </c>
      <c r="C920" s="1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  <c r="L920" s="2" t="s">
        <v>11030</v>
      </c>
      <c r="M920" s="2" t="s">
        <v>11029</v>
      </c>
      <c r="N920" s="2" t="s">
        <v>11038</v>
      </c>
      <c r="O920" s="2" t="s">
        <v>11036</v>
      </c>
      <c r="P920" s="2" t="s">
        <v>11037</v>
      </c>
      <c r="Q920" s="2">
        <f>AVERAGE(PerfRate[[#This Row],[EnvironmentSatisfaction]],PerfRate[[#This Row],[JobSatisfaction]],PerfRate[[#This Row],[RelationshipSatisfaction]])</f>
        <v>4</v>
      </c>
      <c r="R920" s="2">
        <f>PerfRate[[#This Row],[ManagerRating]] - PerfRate[[#This Row],[SelfRating]]</f>
        <v>-1</v>
      </c>
    </row>
    <row r="921" spans="1:18">
      <c r="A921" s="2" t="s">
        <v>5228</v>
      </c>
      <c r="B921" s="2" t="s">
        <v>952</v>
      </c>
      <c r="C921" s="1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  <c r="L921" s="2" t="s">
        <v>11031</v>
      </c>
      <c r="M921" s="2" t="s">
        <v>11030</v>
      </c>
      <c r="N921" s="2" t="s">
        <v>11038</v>
      </c>
      <c r="O921" s="2" t="s">
        <v>11036</v>
      </c>
      <c r="P921" s="2" t="s">
        <v>11037</v>
      </c>
      <c r="Q921" s="2">
        <f>AVERAGE(PerfRate[[#This Row],[EnvironmentSatisfaction]],PerfRate[[#This Row],[JobSatisfaction]],PerfRate[[#This Row],[RelationshipSatisfaction]])</f>
        <v>4</v>
      </c>
      <c r="R921" s="2">
        <f>PerfRate[[#This Row],[ManagerRating]] - PerfRate[[#This Row],[SelfRating]]</f>
        <v>-1</v>
      </c>
    </row>
    <row r="922" spans="1:18">
      <c r="A922" s="2" t="s">
        <v>5229</v>
      </c>
      <c r="B922" s="2" t="s">
        <v>3995</v>
      </c>
      <c r="C922" s="1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  <c r="L922" s="2" t="s">
        <v>11030</v>
      </c>
      <c r="M922" s="2" t="s">
        <v>11029</v>
      </c>
      <c r="N922" s="2" t="s">
        <v>11037</v>
      </c>
      <c r="O922" s="2" t="s">
        <v>11037</v>
      </c>
      <c r="P922" s="2" t="s">
        <v>11036</v>
      </c>
      <c r="Q922" s="2">
        <f>AVERAGE(PerfRate[[#This Row],[EnvironmentSatisfaction]],PerfRate[[#This Row],[JobSatisfaction]],PerfRate[[#This Row],[RelationshipSatisfaction]])</f>
        <v>3.6666666666666665</v>
      </c>
      <c r="R922" s="2">
        <f>PerfRate[[#This Row],[ManagerRating]] - PerfRate[[#This Row],[SelfRating]]</f>
        <v>-1</v>
      </c>
    </row>
    <row r="923" spans="1:18">
      <c r="A923" s="2" t="s">
        <v>5230</v>
      </c>
      <c r="B923" s="2" t="s">
        <v>619</v>
      </c>
      <c r="C923" s="1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  <c r="L923" s="2" t="s">
        <v>11031</v>
      </c>
      <c r="M923" s="2" t="s">
        <v>11031</v>
      </c>
      <c r="N923" s="2" t="s">
        <v>11038</v>
      </c>
      <c r="O923" s="2" t="s">
        <v>11037</v>
      </c>
      <c r="P923" s="2" t="s">
        <v>11036</v>
      </c>
      <c r="Q923" s="2">
        <f>AVERAGE(PerfRate[[#This Row],[EnvironmentSatisfaction]],PerfRate[[#This Row],[JobSatisfaction]],PerfRate[[#This Row],[RelationshipSatisfaction]])</f>
        <v>4</v>
      </c>
      <c r="R923" s="2">
        <f>PerfRate[[#This Row],[ManagerRating]] - PerfRate[[#This Row],[SelfRating]]</f>
        <v>0</v>
      </c>
    </row>
    <row r="924" spans="1:18">
      <c r="A924" s="2" t="s">
        <v>5231</v>
      </c>
      <c r="B924" s="2" t="s">
        <v>1701</v>
      </c>
      <c r="C924" s="1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  <c r="L924" s="2" t="s">
        <v>11029</v>
      </c>
      <c r="M924" s="2" t="s">
        <v>11028</v>
      </c>
      <c r="N924" s="2" t="s">
        <v>11036</v>
      </c>
      <c r="O924" s="2" t="s">
        <v>11038</v>
      </c>
      <c r="P924" s="2" t="s">
        <v>11037</v>
      </c>
      <c r="Q924" s="2">
        <f>AVERAGE(PerfRate[[#This Row],[EnvironmentSatisfaction]],PerfRate[[#This Row],[JobSatisfaction]],PerfRate[[#This Row],[RelationshipSatisfaction]])</f>
        <v>4</v>
      </c>
      <c r="R924" s="2">
        <f>PerfRate[[#This Row],[ManagerRating]] - PerfRate[[#This Row],[SelfRating]]</f>
        <v>-1</v>
      </c>
    </row>
    <row r="925" spans="1:18">
      <c r="A925" s="2" t="s">
        <v>5232</v>
      </c>
      <c r="B925" s="2" t="s">
        <v>2617</v>
      </c>
      <c r="C925" s="1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  <c r="L925" s="2" t="s">
        <v>11030</v>
      </c>
      <c r="M925" s="2" t="s">
        <v>11029</v>
      </c>
      <c r="N925" s="2" t="s">
        <v>11036</v>
      </c>
      <c r="O925" s="2" t="s">
        <v>11035</v>
      </c>
      <c r="P925" s="2" t="s">
        <v>11036</v>
      </c>
      <c r="Q925" s="2">
        <f>AVERAGE(PerfRate[[#This Row],[EnvironmentSatisfaction]],PerfRate[[#This Row],[JobSatisfaction]],PerfRate[[#This Row],[RelationshipSatisfaction]])</f>
        <v>2.6666666666666665</v>
      </c>
      <c r="R925" s="2">
        <f>PerfRate[[#This Row],[ManagerRating]] - PerfRate[[#This Row],[SelfRating]]</f>
        <v>-1</v>
      </c>
    </row>
    <row r="926" spans="1:18">
      <c r="A926" s="2" t="s">
        <v>5233</v>
      </c>
      <c r="B926" s="2" t="s">
        <v>2581</v>
      </c>
      <c r="C926" s="1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  <c r="L926" s="2" t="s">
        <v>11030</v>
      </c>
      <c r="M926" s="2" t="s">
        <v>11029</v>
      </c>
      <c r="N926" s="2" t="s">
        <v>11037</v>
      </c>
      <c r="O926" s="2" t="s">
        <v>11035</v>
      </c>
      <c r="P926" s="2" t="s">
        <v>11037</v>
      </c>
      <c r="Q926" s="2">
        <f>AVERAGE(PerfRate[[#This Row],[EnvironmentSatisfaction]],PerfRate[[#This Row],[JobSatisfaction]],PerfRate[[#This Row],[RelationshipSatisfaction]])</f>
        <v>3.3333333333333335</v>
      </c>
      <c r="R926" s="2">
        <f>PerfRate[[#This Row],[ManagerRating]] - PerfRate[[#This Row],[SelfRating]]</f>
        <v>-1</v>
      </c>
    </row>
    <row r="927" spans="1:18">
      <c r="A927" s="2" t="s">
        <v>5234</v>
      </c>
      <c r="B927" s="2" t="s">
        <v>1280</v>
      </c>
      <c r="C927" s="1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  <c r="L927" s="2" t="s">
        <v>11030</v>
      </c>
      <c r="M927" s="2" t="s">
        <v>11029</v>
      </c>
      <c r="N927" s="2" t="s">
        <v>11036</v>
      </c>
      <c r="O927" s="2" t="s">
        <v>11037</v>
      </c>
      <c r="P927" s="2" t="s">
        <v>11038</v>
      </c>
      <c r="Q927" s="2">
        <f>AVERAGE(PerfRate[[#This Row],[EnvironmentSatisfaction]],PerfRate[[#This Row],[JobSatisfaction]],PerfRate[[#This Row],[RelationshipSatisfaction]])</f>
        <v>4</v>
      </c>
      <c r="R927" s="2">
        <f>PerfRate[[#This Row],[ManagerRating]] - PerfRate[[#This Row],[SelfRating]]</f>
        <v>-1</v>
      </c>
    </row>
    <row r="928" spans="1:18">
      <c r="A928" s="2" t="s">
        <v>5235</v>
      </c>
      <c r="B928" s="2" t="s">
        <v>1102</v>
      </c>
      <c r="C928" s="1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  <c r="L928" s="2" t="s">
        <v>11029</v>
      </c>
      <c r="M928" s="2" t="s">
        <v>11028</v>
      </c>
      <c r="N928" s="2" t="s">
        <v>11036</v>
      </c>
      <c r="O928" s="2" t="s">
        <v>11036</v>
      </c>
      <c r="P928" s="2" t="s">
        <v>11036</v>
      </c>
      <c r="Q928" s="2">
        <f>AVERAGE(PerfRate[[#This Row],[EnvironmentSatisfaction]],PerfRate[[#This Row],[JobSatisfaction]],PerfRate[[#This Row],[RelationshipSatisfaction]])</f>
        <v>3</v>
      </c>
      <c r="R928" s="2">
        <f>PerfRate[[#This Row],[ManagerRating]] - PerfRate[[#This Row],[SelfRating]]</f>
        <v>-1</v>
      </c>
    </row>
    <row r="929" spans="1:18">
      <c r="A929" s="2" t="s">
        <v>5236</v>
      </c>
      <c r="B929" s="2" t="s">
        <v>2721</v>
      </c>
      <c r="C929" s="1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  <c r="L929" s="2" t="s">
        <v>11029</v>
      </c>
      <c r="M929" s="2" t="s">
        <v>11028</v>
      </c>
      <c r="N929" s="2" t="s">
        <v>11037</v>
      </c>
      <c r="O929" s="2" t="s">
        <v>11037</v>
      </c>
      <c r="P929" s="2" t="s">
        <v>11038</v>
      </c>
      <c r="Q929" s="2">
        <f>AVERAGE(PerfRate[[#This Row],[EnvironmentSatisfaction]],PerfRate[[#This Row],[JobSatisfaction]],PerfRate[[#This Row],[RelationshipSatisfaction]])</f>
        <v>4.333333333333333</v>
      </c>
      <c r="R929" s="2">
        <f>PerfRate[[#This Row],[ManagerRating]] - PerfRate[[#This Row],[SelfRating]]</f>
        <v>-1</v>
      </c>
    </row>
    <row r="930" spans="1:18">
      <c r="A930" s="2" t="s">
        <v>5237</v>
      </c>
      <c r="B930" s="2" t="s">
        <v>514</v>
      </c>
      <c r="C930" s="1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  <c r="L930" s="2" t="s">
        <v>11029</v>
      </c>
      <c r="M930" s="2" t="s">
        <v>11029</v>
      </c>
      <c r="N930" s="2" t="s">
        <v>11038</v>
      </c>
      <c r="O930" s="2" t="s">
        <v>11036</v>
      </c>
      <c r="P930" s="2" t="s">
        <v>11038</v>
      </c>
      <c r="Q930" s="2">
        <f>AVERAGE(PerfRate[[#This Row],[EnvironmentSatisfaction]],PerfRate[[#This Row],[JobSatisfaction]],PerfRate[[#This Row],[RelationshipSatisfaction]])</f>
        <v>4.333333333333333</v>
      </c>
      <c r="R930" s="2">
        <f>PerfRate[[#This Row],[ManagerRating]] - PerfRate[[#This Row],[SelfRating]]</f>
        <v>0</v>
      </c>
    </row>
    <row r="931" spans="1:18">
      <c r="A931" s="2" t="s">
        <v>5238</v>
      </c>
      <c r="B931" s="2" t="s">
        <v>3510</v>
      </c>
      <c r="C931" s="1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  <c r="L931" s="2" t="s">
        <v>11031</v>
      </c>
      <c r="M931" s="2" t="s">
        <v>11031</v>
      </c>
      <c r="N931" s="2" t="s">
        <v>11036</v>
      </c>
      <c r="O931" s="2" t="s">
        <v>11037</v>
      </c>
      <c r="P931" s="2" t="s">
        <v>11038</v>
      </c>
      <c r="Q931" s="2">
        <f>AVERAGE(PerfRate[[#This Row],[EnvironmentSatisfaction]],PerfRate[[#This Row],[JobSatisfaction]],PerfRate[[#This Row],[RelationshipSatisfaction]])</f>
        <v>4</v>
      </c>
      <c r="R931" s="2">
        <f>PerfRate[[#This Row],[ManagerRating]] - PerfRate[[#This Row],[SelfRating]]</f>
        <v>0</v>
      </c>
    </row>
    <row r="932" spans="1:18">
      <c r="A932" s="2" t="s">
        <v>5239</v>
      </c>
      <c r="B932" s="2" t="s">
        <v>592</v>
      </c>
      <c r="C932" s="1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  <c r="L932" s="2" t="s">
        <v>11029</v>
      </c>
      <c r="M932" s="2" t="s">
        <v>11028</v>
      </c>
      <c r="N932" s="2" t="s">
        <v>11036</v>
      </c>
      <c r="O932" s="2" t="s">
        <v>11035</v>
      </c>
      <c r="P932" s="2" t="s">
        <v>11037</v>
      </c>
      <c r="Q932" s="2">
        <f>AVERAGE(PerfRate[[#This Row],[EnvironmentSatisfaction]],PerfRate[[#This Row],[JobSatisfaction]],PerfRate[[#This Row],[RelationshipSatisfaction]])</f>
        <v>3</v>
      </c>
      <c r="R932" s="2">
        <f>PerfRate[[#This Row],[ManagerRating]] - PerfRate[[#This Row],[SelfRating]]</f>
        <v>-1</v>
      </c>
    </row>
    <row r="933" spans="1:18">
      <c r="A933" s="2" t="s">
        <v>5240</v>
      </c>
      <c r="B933" s="2" t="s">
        <v>1886</v>
      </c>
      <c r="C933" s="1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  <c r="L933" s="2" t="s">
        <v>11031</v>
      </c>
      <c r="M933" s="2" t="s">
        <v>11031</v>
      </c>
      <c r="N933" s="2" t="s">
        <v>11038</v>
      </c>
      <c r="O933" s="2" t="s">
        <v>11038</v>
      </c>
      <c r="P933" s="2" t="s">
        <v>11035</v>
      </c>
      <c r="Q933" s="2">
        <f>AVERAGE(PerfRate[[#This Row],[EnvironmentSatisfaction]],PerfRate[[#This Row],[JobSatisfaction]],PerfRate[[#This Row],[RelationshipSatisfaction]])</f>
        <v>4</v>
      </c>
      <c r="R933" s="2">
        <f>PerfRate[[#This Row],[ManagerRating]] - PerfRate[[#This Row],[SelfRating]]</f>
        <v>0</v>
      </c>
    </row>
    <row r="934" spans="1:18">
      <c r="A934" s="2" t="s">
        <v>5241</v>
      </c>
      <c r="B934" s="2" t="s">
        <v>3341</v>
      </c>
      <c r="C934" s="1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  <c r="L934" s="2" t="s">
        <v>11030</v>
      </c>
      <c r="M934" s="2" t="s">
        <v>11030</v>
      </c>
      <c r="N934" s="2" t="s">
        <v>11036</v>
      </c>
      <c r="O934" s="2" t="s">
        <v>11036</v>
      </c>
      <c r="P934" s="2" t="s">
        <v>11036</v>
      </c>
      <c r="Q934" s="2">
        <f>AVERAGE(PerfRate[[#This Row],[EnvironmentSatisfaction]],PerfRate[[#This Row],[JobSatisfaction]],PerfRate[[#This Row],[RelationshipSatisfaction]])</f>
        <v>3</v>
      </c>
      <c r="R934" s="2">
        <f>PerfRate[[#This Row],[ManagerRating]] - PerfRate[[#This Row],[SelfRating]]</f>
        <v>0</v>
      </c>
    </row>
    <row r="935" spans="1:18">
      <c r="A935" s="2" t="s">
        <v>5242</v>
      </c>
      <c r="B935" s="2" t="s">
        <v>356</v>
      </c>
      <c r="C935" s="1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  <c r="L935" s="2" t="s">
        <v>11029</v>
      </c>
      <c r="M935" s="2" t="s">
        <v>11028</v>
      </c>
      <c r="N935" s="2" t="s">
        <v>11037</v>
      </c>
      <c r="O935" s="2" t="s">
        <v>11038</v>
      </c>
      <c r="P935" s="2" t="s">
        <v>11038</v>
      </c>
      <c r="Q935" s="2">
        <f>AVERAGE(PerfRate[[#This Row],[EnvironmentSatisfaction]],PerfRate[[#This Row],[JobSatisfaction]],PerfRate[[#This Row],[RelationshipSatisfaction]])</f>
        <v>4.666666666666667</v>
      </c>
      <c r="R935" s="2">
        <f>PerfRate[[#This Row],[ManagerRating]] - PerfRate[[#This Row],[SelfRating]]</f>
        <v>-1</v>
      </c>
    </row>
    <row r="936" spans="1:18">
      <c r="A936" s="2" t="s">
        <v>5243</v>
      </c>
      <c r="B936" s="2" t="s">
        <v>863</v>
      </c>
      <c r="C936" s="1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  <c r="L936" s="2" t="s">
        <v>11029</v>
      </c>
      <c r="M936" s="2" t="s">
        <v>11028</v>
      </c>
      <c r="N936" s="2" t="s">
        <v>11036</v>
      </c>
      <c r="O936" s="2" t="s">
        <v>11038</v>
      </c>
      <c r="P936" s="2" t="s">
        <v>11035</v>
      </c>
      <c r="Q936" s="2">
        <f>AVERAGE(PerfRate[[#This Row],[EnvironmentSatisfaction]],PerfRate[[#This Row],[JobSatisfaction]],PerfRate[[#This Row],[RelationshipSatisfaction]])</f>
        <v>3.3333333333333335</v>
      </c>
      <c r="R936" s="2">
        <f>PerfRate[[#This Row],[ManagerRating]] - PerfRate[[#This Row],[SelfRating]]</f>
        <v>-1</v>
      </c>
    </row>
    <row r="937" spans="1:18">
      <c r="A937" s="2" t="s">
        <v>5244</v>
      </c>
      <c r="B937" s="2" t="s">
        <v>544</v>
      </c>
      <c r="C937" s="1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  <c r="L937" s="2" t="s">
        <v>11029</v>
      </c>
      <c r="M937" s="2" t="s">
        <v>11028</v>
      </c>
      <c r="N937" s="2" t="s">
        <v>11036</v>
      </c>
      <c r="O937" s="2" t="s">
        <v>11037</v>
      </c>
      <c r="P937" s="2" t="s">
        <v>11037</v>
      </c>
      <c r="Q937" s="2">
        <f>AVERAGE(PerfRate[[#This Row],[EnvironmentSatisfaction]],PerfRate[[#This Row],[JobSatisfaction]],PerfRate[[#This Row],[RelationshipSatisfaction]])</f>
        <v>3.6666666666666665</v>
      </c>
      <c r="R937" s="2">
        <f>PerfRate[[#This Row],[ManagerRating]] - PerfRate[[#This Row],[SelfRating]]</f>
        <v>-1</v>
      </c>
    </row>
    <row r="938" spans="1:18">
      <c r="A938" s="2" t="s">
        <v>5245</v>
      </c>
      <c r="B938" s="2" t="s">
        <v>1212</v>
      </c>
      <c r="C938" s="1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  <c r="L938" s="2" t="s">
        <v>11030</v>
      </c>
      <c r="M938" s="2" t="s">
        <v>11030</v>
      </c>
      <c r="N938" s="2" t="s">
        <v>11037</v>
      </c>
      <c r="O938" s="2" t="s">
        <v>11038</v>
      </c>
      <c r="P938" s="2" t="s">
        <v>11035</v>
      </c>
      <c r="Q938" s="2">
        <f>AVERAGE(PerfRate[[#This Row],[EnvironmentSatisfaction]],PerfRate[[#This Row],[JobSatisfaction]],PerfRate[[#This Row],[RelationshipSatisfaction]])</f>
        <v>3.6666666666666665</v>
      </c>
      <c r="R938" s="2">
        <f>PerfRate[[#This Row],[ManagerRating]] - PerfRate[[#This Row],[SelfRating]]</f>
        <v>0</v>
      </c>
    </row>
    <row r="939" spans="1:18">
      <c r="A939" s="2" t="s">
        <v>5246</v>
      </c>
      <c r="B939" s="2" t="s">
        <v>4032</v>
      </c>
      <c r="C939" s="1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  <c r="L939" s="2" t="s">
        <v>11029</v>
      </c>
      <c r="M939" s="2" t="s">
        <v>11028</v>
      </c>
      <c r="N939" s="2" t="s">
        <v>11037</v>
      </c>
      <c r="O939" s="2" t="s">
        <v>11035</v>
      </c>
      <c r="P939" s="2" t="s">
        <v>11038</v>
      </c>
      <c r="Q939" s="2">
        <f>AVERAGE(PerfRate[[#This Row],[EnvironmentSatisfaction]],PerfRate[[#This Row],[JobSatisfaction]],PerfRate[[#This Row],[RelationshipSatisfaction]])</f>
        <v>3.6666666666666665</v>
      </c>
      <c r="R939" s="2">
        <f>PerfRate[[#This Row],[ManagerRating]] - PerfRate[[#This Row],[SelfRating]]</f>
        <v>-1</v>
      </c>
    </row>
    <row r="940" spans="1:18">
      <c r="A940" s="2" t="s">
        <v>5247</v>
      </c>
      <c r="B940" s="2" t="s">
        <v>1660</v>
      </c>
      <c r="C940" s="1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  <c r="L940" s="2" t="s">
        <v>11029</v>
      </c>
      <c r="M940" s="2" t="s">
        <v>11029</v>
      </c>
      <c r="N940" s="2" t="s">
        <v>11038</v>
      </c>
      <c r="O940" s="2" t="s">
        <v>11036</v>
      </c>
      <c r="P940" s="2" t="s">
        <v>11035</v>
      </c>
      <c r="Q940" s="2">
        <f>AVERAGE(PerfRate[[#This Row],[EnvironmentSatisfaction]],PerfRate[[#This Row],[JobSatisfaction]],PerfRate[[#This Row],[RelationshipSatisfaction]])</f>
        <v>3.3333333333333335</v>
      </c>
      <c r="R940" s="2">
        <f>PerfRate[[#This Row],[ManagerRating]] - PerfRate[[#This Row],[SelfRating]]</f>
        <v>0</v>
      </c>
    </row>
    <row r="941" spans="1:18">
      <c r="A941" s="2" t="s">
        <v>5248</v>
      </c>
      <c r="B941" s="2" t="s">
        <v>2767</v>
      </c>
      <c r="C941" s="1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  <c r="L941" s="2" t="s">
        <v>11031</v>
      </c>
      <c r="M941" s="2" t="s">
        <v>11031</v>
      </c>
      <c r="N941" s="2" t="s">
        <v>11036</v>
      </c>
      <c r="O941" s="2" t="s">
        <v>11036</v>
      </c>
      <c r="P941" s="2" t="s">
        <v>11036</v>
      </c>
      <c r="Q941" s="2">
        <f>AVERAGE(PerfRate[[#This Row],[EnvironmentSatisfaction]],PerfRate[[#This Row],[JobSatisfaction]],PerfRate[[#This Row],[RelationshipSatisfaction]])</f>
        <v>3</v>
      </c>
      <c r="R941" s="2">
        <f>PerfRate[[#This Row],[ManagerRating]] - PerfRate[[#This Row],[SelfRating]]</f>
        <v>0</v>
      </c>
    </row>
    <row r="942" spans="1:18">
      <c r="A942" s="2" t="s">
        <v>5249</v>
      </c>
      <c r="B942" s="2" t="s">
        <v>976</v>
      </c>
      <c r="C942" s="1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  <c r="L942" s="2" t="s">
        <v>11029</v>
      </c>
      <c r="M942" s="2" t="s">
        <v>11029</v>
      </c>
      <c r="N942" s="2" t="s">
        <v>11038</v>
      </c>
      <c r="O942" s="2" t="s">
        <v>11035</v>
      </c>
      <c r="P942" s="2" t="s">
        <v>11036</v>
      </c>
      <c r="Q942" s="2">
        <f>AVERAGE(PerfRate[[#This Row],[EnvironmentSatisfaction]],PerfRate[[#This Row],[JobSatisfaction]],PerfRate[[#This Row],[RelationshipSatisfaction]])</f>
        <v>3.3333333333333335</v>
      </c>
      <c r="R942" s="2">
        <f>PerfRate[[#This Row],[ManagerRating]] - PerfRate[[#This Row],[SelfRating]]</f>
        <v>0</v>
      </c>
    </row>
    <row r="943" spans="1:18">
      <c r="A943" s="2" t="s">
        <v>5250</v>
      </c>
      <c r="B943" s="2" t="s">
        <v>782</v>
      </c>
      <c r="C943" s="1">
        <v>42744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  <c r="L943" s="2" t="s">
        <v>11030</v>
      </c>
      <c r="M943" s="2" t="s">
        <v>11029</v>
      </c>
      <c r="N943" s="2" t="s">
        <v>11037</v>
      </c>
      <c r="O943" s="2" t="s">
        <v>11036</v>
      </c>
      <c r="P943" s="2" t="s">
        <v>11037</v>
      </c>
      <c r="Q943" s="2">
        <f>AVERAGE(PerfRate[[#This Row],[EnvironmentSatisfaction]],PerfRate[[#This Row],[JobSatisfaction]],PerfRate[[#This Row],[RelationshipSatisfaction]])</f>
        <v>3.6666666666666665</v>
      </c>
      <c r="R943" s="2">
        <f>PerfRate[[#This Row],[ManagerRating]] - PerfRate[[#This Row],[SelfRating]]</f>
        <v>-1</v>
      </c>
    </row>
    <row r="944" spans="1:18">
      <c r="A944" s="2" t="s">
        <v>5251</v>
      </c>
      <c r="B944" s="2" t="s">
        <v>3566</v>
      </c>
      <c r="C944" s="1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  <c r="L944" s="2" t="s">
        <v>11030</v>
      </c>
      <c r="M944" s="2" t="s">
        <v>11030</v>
      </c>
      <c r="N944" s="2" t="s">
        <v>11037</v>
      </c>
      <c r="O944" s="2" t="s">
        <v>11036</v>
      </c>
      <c r="P944" s="2" t="s">
        <v>11035</v>
      </c>
      <c r="Q944" s="2">
        <f>AVERAGE(PerfRate[[#This Row],[EnvironmentSatisfaction]],PerfRate[[#This Row],[JobSatisfaction]],PerfRate[[#This Row],[RelationshipSatisfaction]])</f>
        <v>3</v>
      </c>
      <c r="R944" s="2">
        <f>PerfRate[[#This Row],[ManagerRating]] - PerfRate[[#This Row],[SelfRating]]</f>
        <v>0</v>
      </c>
    </row>
    <row r="945" spans="1:18">
      <c r="A945" s="2" t="s">
        <v>5252</v>
      </c>
      <c r="B945" s="2" t="s">
        <v>1680</v>
      </c>
      <c r="C945" s="1">
        <v>42744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  <c r="L945" s="2" t="s">
        <v>11029</v>
      </c>
      <c r="M945" s="2" t="s">
        <v>11029</v>
      </c>
      <c r="N945" s="2" t="s">
        <v>11037</v>
      </c>
      <c r="O945" s="2" t="s">
        <v>11035</v>
      </c>
      <c r="P945" s="2" t="s">
        <v>11037</v>
      </c>
      <c r="Q945" s="2">
        <f>AVERAGE(PerfRate[[#This Row],[EnvironmentSatisfaction]],PerfRate[[#This Row],[JobSatisfaction]],PerfRate[[#This Row],[RelationshipSatisfaction]])</f>
        <v>3.3333333333333335</v>
      </c>
      <c r="R945" s="2">
        <f>PerfRate[[#This Row],[ManagerRating]] - PerfRate[[#This Row],[SelfRating]]</f>
        <v>0</v>
      </c>
    </row>
    <row r="946" spans="1:18">
      <c r="A946" s="2" t="s">
        <v>5253</v>
      </c>
      <c r="B946" s="2" t="s">
        <v>2533</v>
      </c>
      <c r="C946" s="1">
        <v>42775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  <c r="L946" s="2" t="s">
        <v>11029</v>
      </c>
      <c r="M946" s="2" t="s">
        <v>11028</v>
      </c>
      <c r="N946" s="2" t="s">
        <v>11038</v>
      </c>
      <c r="O946" s="2" t="s">
        <v>11035</v>
      </c>
      <c r="P946" s="2" t="s">
        <v>11035</v>
      </c>
      <c r="Q946" s="2">
        <f>AVERAGE(PerfRate[[#This Row],[EnvironmentSatisfaction]],PerfRate[[#This Row],[JobSatisfaction]],PerfRate[[#This Row],[RelationshipSatisfaction]])</f>
        <v>3</v>
      </c>
      <c r="R946" s="2">
        <f>PerfRate[[#This Row],[ManagerRating]] - PerfRate[[#This Row],[SelfRating]]</f>
        <v>-1</v>
      </c>
    </row>
    <row r="947" spans="1:18">
      <c r="A947" s="2" t="s">
        <v>5254</v>
      </c>
      <c r="B947" s="2" t="s">
        <v>847</v>
      </c>
      <c r="C947" s="1">
        <v>42775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  <c r="L947" s="2" t="s">
        <v>11029</v>
      </c>
      <c r="M947" s="2" t="s">
        <v>11028</v>
      </c>
      <c r="N947" s="2" t="s">
        <v>11038</v>
      </c>
      <c r="O947" s="2" t="s">
        <v>11038</v>
      </c>
      <c r="P947" s="2" t="s">
        <v>11035</v>
      </c>
      <c r="Q947" s="2">
        <f>AVERAGE(PerfRate[[#This Row],[EnvironmentSatisfaction]],PerfRate[[#This Row],[JobSatisfaction]],PerfRate[[#This Row],[RelationshipSatisfaction]])</f>
        <v>4</v>
      </c>
      <c r="R947" s="2">
        <f>PerfRate[[#This Row],[ManagerRating]] - PerfRate[[#This Row],[SelfRating]]</f>
        <v>-1</v>
      </c>
    </row>
    <row r="948" spans="1:18">
      <c r="A948" s="2" t="s">
        <v>5255</v>
      </c>
      <c r="B948" s="2" t="s">
        <v>886</v>
      </c>
      <c r="C948" s="1">
        <v>42803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  <c r="L948" s="2" t="s">
        <v>11029</v>
      </c>
      <c r="M948" s="2" t="s">
        <v>11029</v>
      </c>
      <c r="N948" s="2" t="s">
        <v>11038</v>
      </c>
      <c r="O948" s="2" t="s">
        <v>11037</v>
      </c>
      <c r="P948" s="2" t="s">
        <v>11037</v>
      </c>
      <c r="Q948" s="2">
        <f>AVERAGE(PerfRate[[#This Row],[EnvironmentSatisfaction]],PerfRate[[#This Row],[JobSatisfaction]],PerfRate[[#This Row],[RelationshipSatisfaction]])</f>
        <v>4.333333333333333</v>
      </c>
      <c r="R948" s="2">
        <f>PerfRate[[#This Row],[ManagerRating]] - PerfRate[[#This Row],[SelfRating]]</f>
        <v>0</v>
      </c>
    </row>
    <row r="949" spans="1:18">
      <c r="A949" s="2" t="s">
        <v>5256</v>
      </c>
      <c r="B949" s="2" t="s">
        <v>1232</v>
      </c>
      <c r="C949" s="1">
        <v>42803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  <c r="L949" s="2" t="s">
        <v>11031</v>
      </c>
      <c r="M949" s="2" t="s">
        <v>11031</v>
      </c>
      <c r="N949" s="2" t="s">
        <v>11036</v>
      </c>
      <c r="O949" s="2" t="s">
        <v>11035</v>
      </c>
      <c r="P949" s="2" t="s">
        <v>11037</v>
      </c>
      <c r="Q949" s="2">
        <f>AVERAGE(PerfRate[[#This Row],[EnvironmentSatisfaction]],PerfRate[[#This Row],[JobSatisfaction]],PerfRate[[#This Row],[RelationshipSatisfaction]])</f>
        <v>3</v>
      </c>
      <c r="R949" s="2">
        <f>PerfRate[[#This Row],[ManagerRating]] - PerfRate[[#This Row],[SelfRating]]</f>
        <v>0</v>
      </c>
    </row>
    <row r="950" spans="1:18">
      <c r="A950" s="2" t="s">
        <v>5257</v>
      </c>
      <c r="B950" s="2" t="s">
        <v>4222</v>
      </c>
      <c r="C950" s="1">
        <v>42834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  <c r="L950" s="2" t="s">
        <v>11031</v>
      </c>
      <c r="M950" s="2" t="s">
        <v>11030</v>
      </c>
      <c r="N950" s="2" t="s">
        <v>11037</v>
      </c>
      <c r="O950" s="2" t="s">
        <v>11038</v>
      </c>
      <c r="P950" s="2" t="s">
        <v>11038</v>
      </c>
      <c r="Q950" s="2">
        <f>AVERAGE(PerfRate[[#This Row],[EnvironmentSatisfaction]],PerfRate[[#This Row],[JobSatisfaction]],PerfRate[[#This Row],[RelationshipSatisfaction]])</f>
        <v>4.666666666666667</v>
      </c>
      <c r="R950" s="2">
        <f>PerfRate[[#This Row],[ManagerRating]] - PerfRate[[#This Row],[SelfRating]]</f>
        <v>-1</v>
      </c>
    </row>
    <row r="951" spans="1:18">
      <c r="A951" s="2" t="s">
        <v>5258</v>
      </c>
      <c r="B951" s="2" t="s">
        <v>604</v>
      </c>
      <c r="C951" s="1">
        <v>42895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  <c r="L951" s="2" t="s">
        <v>11031</v>
      </c>
      <c r="M951" s="2" t="s">
        <v>11030</v>
      </c>
      <c r="N951" s="2" t="s">
        <v>11036</v>
      </c>
      <c r="O951" s="2" t="s">
        <v>11038</v>
      </c>
      <c r="P951" s="2" t="s">
        <v>11035</v>
      </c>
      <c r="Q951" s="2">
        <f>AVERAGE(PerfRate[[#This Row],[EnvironmentSatisfaction]],PerfRate[[#This Row],[JobSatisfaction]],PerfRate[[#This Row],[RelationshipSatisfaction]])</f>
        <v>3.3333333333333335</v>
      </c>
      <c r="R951" s="2">
        <f>PerfRate[[#This Row],[ManagerRating]] - PerfRate[[#This Row],[SelfRating]]</f>
        <v>-1</v>
      </c>
    </row>
    <row r="952" spans="1:18">
      <c r="A952" s="2" t="s">
        <v>5259</v>
      </c>
      <c r="B952" s="2" t="s">
        <v>3353</v>
      </c>
      <c r="C952" s="1">
        <v>42956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  <c r="L952" s="2" t="s">
        <v>11029</v>
      </c>
      <c r="M952" s="2" t="s">
        <v>11028</v>
      </c>
      <c r="N952" s="2" t="s">
        <v>11038</v>
      </c>
      <c r="O952" s="2" t="s">
        <v>11038</v>
      </c>
      <c r="P952" s="2" t="s">
        <v>11038</v>
      </c>
      <c r="Q952" s="2">
        <f>AVERAGE(PerfRate[[#This Row],[EnvironmentSatisfaction]],PerfRate[[#This Row],[JobSatisfaction]],PerfRate[[#This Row],[RelationshipSatisfaction]])</f>
        <v>5</v>
      </c>
      <c r="R952" s="2">
        <f>PerfRate[[#This Row],[ManagerRating]] - PerfRate[[#This Row],[SelfRating]]</f>
        <v>-1</v>
      </c>
    </row>
    <row r="953" spans="1:18">
      <c r="A953" s="2" t="s">
        <v>5260</v>
      </c>
      <c r="B953" s="2" t="s">
        <v>2148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  <c r="L953" s="2" t="s">
        <v>11030</v>
      </c>
      <c r="M953" s="2" t="s">
        <v>11030</v>
      </c>
      <c r="N953" s="2" t="s">
        <v>11036</v>
      </c>
      <c r="O953" s="2" t="s">
        <v>11038</v>
      </c>
      <c r="P953" s="2" t="s">
        <v>11038</v>
      </c>
      <c r="Q953" s="2">
        <f>AVERAGE(PerfRate[[#This Row],[EnvironmentSatisfaction]],PerfRate[[#This Row],[JobSatisfaction]],PerfRate[[#This Row],[RelationshipSatisfaction]])</f>
        <v>4.333333333333333</v>
      </c>
      <c r="R953" s="2">
        <f>PerfRate[[#This Row],[ManagerRating]] - PerfRate[[#This Row],[SelfRating]]</f>
        <v>0</v>
      </c>
    </row>
    <row r="954" spans="1:18">
      <c r="A954" s="2" t="s">
        <v>5261</v>
      </c>
      <c r="B954" s="2" t="s">
        <v>794</v>
      </c>
      <c r="C954" s="1">
        <v>43048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  <c r="L954" s="2" t="s">
        <v>11031</v>
      </c>
      <c r="M954" s="2" t="s">
        <v>11030</v>
      </c>
      <c r="N954" s="2" t="s">
        <v>11038</v>
      </c>
      <c r="O954" s="2" t="s">
        <v>11038</v>
      </c>
      <c r="P954" s="2" t="s">
        <v>11038</v>
      </c>
      <c r="Q954" s="2">
        <f>AVERAGE(PerfRate[[#This Row],[EnvironmentSatisfaction]],PerfRate[[#This Row],[JobSatisfaction]],PerfRate[[#This Row],[RelationshipSatisfaction]])</f>
        <v>5</v>
      </c>
      <c r="R954" s="2">
        <f>PerfRate[[#This Row],[ManagerRating]] - PerfRate[[#This Row],[SelfRating]]</f>
        <v>-1</v>
      </c>
    </row>
    <row r="955" spans="1:18">
      <c r="A955" s="2" t="s">
        <v>5262</v>
      </c>
      <c r="B955" s="2" t="s">
        <v>1065</v>
      </c>
      <c r="C955" s="1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  <c r="L955" s="2" t="s">
        <v>11029</v>
      </c>
      <c r="M955" s="2" t="s">
        <v>11028</v>
      </c>
      <c r="N955" s="2" t="s">
        <v>11037</v>
      </c>
      <c r="O955" s="2" t="s">
        <v>11036</v>
      </c>
      <c r="P955" s="2" t="s">
        <v>11037</v>
      </c>
      <c r="Q955" s="2">
        <f>AVERAGE(PerfRate[[#This Row],[EnvironmentSatisfaction]],PerfRate[[#This Row],[JobSatisfaction]],PerfRate[[#This Row],[RelationshipSatisfaction]])</f>
        <v>3.6666666666666665</v>
      </c>
      <c r="R955" s="2">
        <f>PerfRate[[#This Row],[ManagerRating]] - PerfRate[[#This Row],[SelfRating]]</f>
        <v>-1</v>
      </c>
    </row>
    <row r="956" spans="1:18">
      <c r="A956" s="2" t="s">
        <v>5263</v>
      </c>
      <c r="B956" s="2" t="s">
        <v>464</v>
      </c>
      <c r="C956" s="1">
        <v>43078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  <c r="L956" s="2" t="s">
        <v>11030</v>
      </c>
      <c r="M956" s="2" t="s">
        <v>11030</v>
      </c>
      <c r="N956" s="2" t="s">
        <v>11036</v>
      </c>
      <c r="O956" s="2" t="s">
        <v>11037</v>
      </c>
      <c r="P956" s="2" t="s">
        <v>11036</v>
      </c>
      <c r="Q956" s="2">
        <f>AVERAGE(PerfRate[[#This Row],[EnvironmentSatisfaction]],PerfRate[[#This Row],[JobSatisfaction]],PerfRate[[#This Row],[RelationshipSatisfaction]])</f>
        <v>3.3333333333333335</v>
      </c>
      <c r="R956" s="2">
        <f>PerfRate[[#This Row],[ManagerRating]] - PerfRate[[#This Row],[SelfRating]]</f>
        <v>0</v>
      </c>
    </row>
    <row r="957" spans="1:18">
      <c r="A957" s="2" t="s">
        <v>5264</v>
      </c>
      <c r="B957" s="2" t="s">
        <v>4142</v>
      </c>
      <c r="C957" s="1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  <c r="L957" s="2" t="s">
        <v>11031</v>
      </c>
      <c r="M957" s="2" t="s">
        <v>11031</v>
      </c>
      <c r="N957" s="2" t="s">
        <v>11037</v>
      </c>
      <c r="O957" s="2" t="s">
        <v>11038</v>
      </c>
      <c r="P957" s="2" t="s">
        <v>11038</v>
      </c>
      <c r="Q957" s="2">
        <f>AVERAGE(PerfRate[[#This Row],[EnvironmentSatisfaction]],PerfRate[[#This Row],[JobSatisfaction]],PerfRate[[#This Row],[RelationshipSatisfaction]])</f>
        <v>4.666666666666667</v>
      </c>
      <c r="R957" s="2">
        <f>PerfRate[[#This Row],[ManagerRating]] - PerfRate[[#This Row],[SelfRating]]</f>
        <v>0</v>
      </c>
    </row>
    <row r="958" spans="1:18">
      <c r="A958" s="2" t="s">
        <v>5265</v>
      </c>
      <c r="B958" s="2" t="s">
        <v>2145</v>
      </c>
      <c r="C958" s="1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  <c r="L958" s="2" t="s">
        <v>11029</v>
      </c>
      <c r="M958" s="2" t="s">
        <v>11028</v>
      </c>
      <c r="N958" s="2" t="s">
        <v>11036</v>
      </c>
      <c r="O958" s="2" t="s">
        <v>11036</v>
      </c>
      <c r="P958" s="2" t="s">
        <v>11036</v>
      </c>
      <c r="Q958" s="2">
        <f>AVERAGE(PerfRate[[#This Row],[EnvironmentSatisfaction]],PerfRate[[#This Row],[JobSatisfaction]],PerfRate[[#This Row],[RelationshipSatisfaction]])</f>
        <v>3</v>
      </c>
      <c r="R958" s="2">
        <f>PerfRate[[#This Row],[ManagerRating]] - PerfRate[[#This Row],[SelfRating]]</f>
        <v>-1</v>
      </c>
    </row>
    <row r="959" spans="1:18">
      <c r="A959" s="2" t="s">
        <v>5266</v>
      </c>
      <c r="B959" s="2" t="s">
        <v>299</v>
      </c>
      <c r="C959" s="1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  <c r="L959" s="2" t="s">
        <v>11031</v>
      </c>
      <c r="M959" s="2" t="s">
        <v>11030</v>
      </c>
      <c r="N959" s="2" t="s">
        <v>11037</v>
      </c>
      <c r="O959" s="2" t="s">
        <v>11036</v>
      </c>
      <c r="P959" s="2" t="s">
        <v>11036</v>
      </c>
      <c r="Q959" s="2">
        <f>AVERAGE(PerfRate[[#This Row],[EnvironmentSatisfaction]],PerfRate[[#This Row],[JobSatisfaction]],PerfRate[[#This Row],[RelationshipSatisfaction]])</f>
        <v>3.3333333333333335</v>
      </c>
      <c r="R959" s="2">
        <f>PerfRate[[#This Row],[ManagerRating]] - PerfRate[[#This Row],[SelfRating]]</f>
        <v>-1</v>
      </c>
    </row>
    <row r="960" spans="1:18">
      <c r="A960" s="2" t="s">
        <v>5267</v>
      </c>
      <c r="B960" s="2" t="s">
        <v>547</v>
      </c>
      <c r="C960" s="1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  <c r="L960" s="2" t="s">
        <v>11029</v>
      </c>
      <c r="M960" s="2" t="s">
        <v>11028</v>
      </c>
      <c r="N960" s="2" t="s">
        <v>11038</v>
      </c>
      <c r="O960" s="2" t="s">
        <v>11038</v>
      </c>
      <c r="P960" s="2" t="s">
        <v>11036</v>
      </c>
      <c r="Q960" s="2">
        <f>AVERAGE(PerfRate[[#This Row],[EnvironmentSatisfaction]],PerfRate[[#This Row],[JobSatisfaction]],PerfRate[[#This Row],[RelationshipSatisfaction]])</f>
        <v>4.333333333333333</v>
      </c>
      <c r="R960" s="2">
        <f>PerfRate[[#This Row],[ManagerRating]] - PerfRate[[#This Row],[SelfRating]]</f>
        <v>-1</v>
      </c>
    </row>
    <row r="961" spans="1:18">
      <c r="A961" s="2" t="s">
        <v>5268</v>
      </c>
      <c r="B961" s="2" t="s">
        <v>1335</v>
      </c>
      <c r="C961" s="1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  <c r="L961" s="2" t="s">
        <v>11030</v>
      </c>
      <c r="M961" s="2" t="s">
        <v>11029</v>
      </c>
      <c r="N961" s="2" t="s">
        <v>11038</v>
      </c>
      <c r="O961" s="2" t="s">
        <v>11036</v>
      </c>
      <c r="P961" s="2" t="s">
        <v>11038</v>
      </c>
      <c r="Q961" s="2">
        <f>AVERAGE(PerfRate[[#This Row],[EnvironmentSatisfaction]],PerfRate[[#This Row],[JobSatisfaction]],PerfRate[[#This Row],[RelationshipSatisfaction]])</f>
        <v>4.333333333333333</v>
      </c>
      <c r="R961" s="2">
        <f>PerfRate[[#This Row],[ManagerRating]] - PerfRate[[#This Row],[SelfRating]]</f>
        <v>-1</v>
      </c>
    </row>
    <row r="962" spans="1:18">
      <c r="A962" s="2" t="s">
        <v>5269</v>
      </c>
      <c r="B962" s="2" t="s">
        <v>2885</v>
      </c>
      <c r="C962" s="1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  <c r="L962" s="2" t="s">
        <v>11030</v>
      </c>
      <c r="M962" s="2" t="s">
        <v>11029</v>
      </c>
      <c r="N962" s="2" t="s">
        <v>11038</v>
      </c>
      <c r="O962" s="2" t="s">
        <v>11036</v>
      </c>
      <c r="P962" s="2" t="s">
        <v>11038</v>
      </c>
      <c r="Q962" s="2">
        <f>AVERAGE(PerfRate[[#This Row],[EnvironmentSatisfaction]],PerfRate[[#This Row],[JobSatisfaction]],PerfRate[[#This Row],[RelationshipSatisfaction]])</f>
        <v>4.333333333333333</v>
      </c>
      <c r="R962" s="2">
        <f>PerfRate[[#This Row],[ManagerRating]] - PerfRate[[#This Row],[SelfRating]]</f>
        <v>-1</v>
      </c>
    </row>
    <row r="963" spans="1:18">
      <c r="A963" s="2" t="s">
        <v>5270</v>
      </c>
      <c r="B963" s="2" t="s">
        <v>988</v>
      </c>
      <c r="C963" s="1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  <c r="L963" s="2" t="s">
        <v>11030</v>
      </c>
      <c r="M963" s="2" t="s">
        <v>11030</v>
      </c>
      <c r="N963" s="2" t="s">
        <v>11037</v>
      </c>
      <c r="O963" s="2" t="s">
        <v>11038</v>
      </c>
      <c r="P963" s="2" t="s">
        <v>11036</v>
      </c>
      <c r="Q963" s="2">
        <f>AVERAGE(PerfRate[[#This Row],[EnvironmentSatisfaction]],PerfRate[[#This Row],[JobSatisfaction]],PerfRate[[#This Row],[RelationshipSatisfaction]])</f>
        <v>4</v>
      </c>
      <c r="R963" s="2">
        <f>PerfRate[[#This Row],[ManagerRating]] - PerfRate[[#This Row],[SelfRating]]</f>
        <v>0</v>
      </c>
    </row>
    <row r="964" spans="1:18">
      <c r="A964" s="2" t="s">
        <v>5271</v>
      </c>
      <c r="B964" s="2" t="s">
        <v>2563</v>
      </c>
      <c r="C964" s="1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  <c r="L964" s="2" t="s">
        <v>11030</v>
      </c>
      <c r="M964" s="2" t="s">
        <v>11029</v>
      </c>
      <c r="N964" s="2" t="s">
        <v>11037</v>
      </c>
      <c r="O964" s="2" t="s">
        <v>11037</v>
      </c>
      <c r="P964" s="2" t="s">
        <v>11037</v>
      </c>
      <c r="Q964" s="2">
        <f>AVERAGE(PerfRate[[#This Row],[EnvironmentSatisfaction]],PerfRate[[#This Row],[JobSatisfaction]],PerfRate[[#This Row],[RelationshipSatisfaction]])</f>
        <v>4</v>
      </c>
      <c r="R964" s="2">
        <f>PerfRate[[#This Row],[ManagerRating]] - PerfRate[[#This Row],[SelfRating]]</f>
        <v>-1</v>
      </c>
    </row>
    <row r="965" spans="1:18">
      <c r="A965" s="2" t="s">
        <v>5272</v>
      </c>
      <c r="B965" s="2" t="s">
        <v>1713</v>
      </c>
      <c r="C965" s="1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  <c r="L965" s="2" t="s">
        <v>11030</v>
      </c>
      <c r="M965" s="2" t="s">
        <v>11029</v>
      </c>
      <c r="N965" s="2" t="s">
        <v>11036</v>
      </c>
      <c r="O965" s="2" t="s">
        <v>11036</v>
      </c>
      <c r="P965" s="2" t="s">
        <v>11038</v>
      </c>
      <c r="Q965" s="2">
        <f>AVERAGE(PerfRate[[#This Row],[EnvironmentSatisfaction]],PerfRate[[#This Row],[JobSatisfaction]],PerfRate[[#This Row],[RelationshipSatisfaction]])</f>
        <v>3.6666666666666665</v>
      </c>
      <c r="R965" s="2">
        <f>PerfRate[[#This Row],[ManagerRating]] - PerfRate[[#This Row],[SelfRating]]</f>
        <v>-1</v>
      </c>
    </row>
    <row r="966" spans="1:18">
      <c r="A966" s="2" t="s">
        <v>5273</v>
      </c>
      <c r="B966" s="2" t="s">
        <v>1027</v>
      </c>
      <c r="C966" s="1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  <c r="L966" s="2" t="s">
        <v>11031</v>
      </c>
      <c r="M966" s="2" t="s">
        <v>11030</v>
      </c>
      <c r="N966" s="2" t="s">
        <v>11037</v>
      </c>
      <c r="O966" s="2" t="s">
        <v>11036</v>
      </c>
      <c r="P966" s="2" t="s">
        <v>11035</v>
      </c>
      <c r="Q966" s="2">
        <f>AVERAGE(PerfRate[[#This Row],[EnvironmentSatisfaction]],PerfRate[[#This Row],[JobSatisfaction]],PerfRate[[#This Row],[RelationshipSatisfaction]])</f>
        <v>3</v>
      </c>
      <c r="R966" s="2">
        <f>PerfRate[[#This Row],[ManagerRating]] - PerfRate[[#This Row],[SelfRating]]</f>
        <v>-1</v>
      </c>
    </row>
    <row r="967" spans="1:18">
      <c r="A967" s="2" t="s">
        <v>5274</v>
      </c>
      <c r="B967" s="2" t="s">
        <v>517</v>
      </c>
      <c r="C967" s="1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  <c r="L967" s="2" t="s">
        <v>11029</v>
      </c>
      <c r="M967" s="2" t="s">
        <v>11028</v>
      </c>
      <c r="N967" s="2" t="s">
        <v>11038</v>
      </c>
      <c r="O967" s="2" t="s">
        <v>11035</v>
      </c>
      <c r="P967" s="2" t="s">
        <v>11035</v>
      </c>
      <c r="Q967" s="2">
        <f>AVERAGE(PerfRate[[#This Row],[EnvironmentSatisfaction]],PerfRate[[#This Row],[JobSatisfaction]],PerfRate[[#This Row],[RelationshipSatisfaction]])</f>
        <v>3</v>
      </c>
      <c r="R967" s="2">
        <f>PerfRate[[#This Row],[ManagerRating]] - PerfRate[[#This Row],[SelfRating]]</f>
        <v>-1</v>
      </c>
    </row>
    <row r="968" spans="1:18">
      <c r="A968" s="2" t="s">
        <v>5275</v>
      </c>
      <c r="B968" s="2" t="s">
        <v>1274</v>
      </c>
      <c r="C968" s="1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  <c r="L968" s="2" t="s">
        <v>11029</v>
      </c>
      <c r="M968" s="2" t="s">
        <v>11029</v>
      </c>
      <c r="N968" s="2" t="s">
        <v>11036</v>
      </c>
      <c r="O968" s="2" t="s">
        <v>11035</v>
      </c>
      <c r="P968" s="2" t="s">
        <v>11036</v>
      </c>
      <c r="Q968" s="2">
        <f>AVERAGE(PerfRate[[#This Row],[EnvironmentSatisfaction]],PerfRate[[#This Row],[JobSatisfaction]],PerfRate[[#This Row],[RelationshipSatisfaction]])</f>
        <v>2.6666666666666665</v>
      </c>
      <c r="R968" s="2">
        <f>PerfRate[[#This Row],[ManagerRating]] - PerfRate[[#This Row],[SelfRating]]</f>
        <v>0</v>
      </c>
    </row>
    <row r="969" spans="1:18">
      <c r="A969" s="2" t="s">
        <v>5276</v>
      </c>
      <c r="B969" s="2" t="s">
        <v>2596</v>
      </c>
      <c r="C969" s="1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  <c r="L969" s="2" t="s">
        <v>11029</v>
      </c>
      <c r="M969" s="2" t="s">
        <v>11029</v>
      </c>
      <c r="N969" s="2" t="s">
        <v>11038</v>
      </c>
      <c r="O969" s="2" t="s">
        <v>11035</v>
      </c>
      <c r="P969" s="2" t="s">
        <v>11036</v>
      </c>
      <c r="Q969" s="2">
        <f>AVERAGE(PerfRate[[#This Row],[EnvironmentSatisfaction]],PerfRate[[#This Row],[JobSatisfaction]],PerfRate[[#This Row],[RelationshipSatisfaction]])</f>
        <v>3.3333333333333335</v>
      </c>
      <c r="R969" s="2">
        <f>PerfRate[[#This Row],[ManagerRating]] - PerfRate[[#This Row],[SelfRating]]</f>
        <v>0</v>
      </c>
    </row>
    <row r="970" spans="1:18">
      <c r="A970" s="2" t="s">
        <v>5277</v>
      </c>
      <c r="B970" s="2" t="s">
        <v>2920</v>
      </c>
      <c r="C970" s="1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  <c r="L970" s="2" t="s">
        <v>11030</v>
      </c>
      <c r="M970" s="2" t="s">
        <v>11029</v>
      </c>
      <c r="N970" s="2" t="s">
        <v>11037</v>
      </c>
      <c r="O970" s="2" t="s">
        <v>11036</v>
      </c>
      <c r="P970" s="2" t="s">
        <v>11036</v>
      </c>
      <c r="Q970" s="2">
        <f>AVERAGE(PerfRate[[#This Row],[EnvironmentSatisfaction]],PerfRate[[#This Row],[JobSatisfaction]],PerfRate[[#This Row],[RelationshipSatisfaction]])</f>
        <v>3.3333333333333335</v>
      </c>
      <c r="R970" s="2">
        <f>PerfRate[[#This Row],[ManagerRating]] - PerfRate[[#This Row],[SelfRating]]</f>
        <v>-1</v>
      </c>
    </row>
    <row r="971" spans="1:18">
      <c r="A971" s="2" t="s">
        <v>5278</v>
      </c>
      <c r="B971" s="2" t="s">
        <v>134</v>
      </c>
      <c r="C971" s="1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  <c r="L971" s="2" t="s">
        <v>11030</v>
      </c>
      <c r="M971" s="2" t="s">
        <v>11030</v>
      </c>
      <c r="N971" s="2" t="s">
        <v>11038</v>
      </c>
      <c r="O971" s="2" t="s">
        <v>11035</v>
      </c>
      <c r="P971" s="2" t="s">
        <v>11037</v>
      </c>
      <c r="Q971" s="2">
        <f>AVERAGE(PerfRate[[#This Row],[EnvironmentSatisfaction]],PerfRate[[#This Row],[JobSatisfaction]],PerfRate[[#This Row],[RelationshipSatisfaction]])</f>
        <v>3.6666666666666665</v>
      </c>
      <c r="R971" s="2">
        <f>PerfRate[[#This Row],[ManagerRating]] - PerfRate[[#This Row],[SelfRating]]</f>
        <v>0</v>
      </c>
    </row>
    <row r="972" spans="1:18">
      <c r="A972" s="2" t="s">
        <v>5279</v>
      </c>
      <c r="B972" s="2" t="s">
        <v>4230</v>
      </c>
      <c r="C972" s="1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  <c r="L972" s="2" t="s">
        <v>11029</v>
      </c>
      <c r="M972" s="2" t="s">
        <v>11028</v>
      </c>
      <c r="N972" s="2" t="s">
        <v>11038</v>
      </c>
      <c r="O972" s="2" t="s">
        <v>11035</v>
      </c>
      <c r="P972" s="2" t="s">
        <v>11037</v>
      </c>
      <c r="Q972" s="2">
        <f>AVERAGE(PerfRate[[#This Row],[EnvironmentSatisfaction]],PerfRate[[#This Row],[JobSatisfaction]],PerfRate[[#This Row],[RelationshipSatisfaction]])</f>
        <v>3.6666666666666665</v>
      </c>
      <c r="R972" s="2">
        <f>PerfRate[[#This Row],[ManagerRating]] - PerfRate[[#This Row],[SelfRating]]</f>
        <v>-1</v>
      </c>
    </row>
    <row r="973" spans="1:18">
      <c r="A973" s="2" t="s">
        <v>5280</v>
      </c>
      <c r="B973" s="2" t="s">
        <v>482</v>
      </c>
      <c r="C973" s="1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  <c r="L973" s="2" t="s">
        <v>11031</v>
      </c>
      <c r="M973" s="2" t="s">
        <v>11031</v>
      </c>
      <c r="N973" s="2" t="s">
        <v>11037</v>
      </c>
      <c r="O973" s="2" t="s">
        <v>11038</v>
      </c>
      <c r="P973" s="2" t="s">
        <v>11036</v>
      </c>
      <c r="Q973" s="2">
        <f>AVERAGE(PerfRate[[#This Row],[EnvironmentSatisfaction]],PerfRate[[#This Row],[JobSatisfaction]],PerfRate[[#This Row],[RelationshipSatisfaction]])</f>
        <v>4</v>
      </c>
      <c r="R973" s="2">
        <f>PerfRate[[#This Row],[ManagerRating]] - PerfRate[[#This Row],[SelfRating]]</f>
        <v>0</v>
      </c>
    </row>
    <row r="974" spans="1:18">
      <c r="A974" s="2" t="s">
        <v>5281</v>
      </c>
      <c r="B974" s="2" t="s">
        <v>708</v>
      </c>
      <c r="C974" s="1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  <c r="L974" s="2" t="s">
        <v>11031</v>
      </c>
      <c r="M974" s="2" t="s">
        <v>11031</v>
      </c>
      <c r="N974" s="2" t="s">
        <v>11038</v>
      </c>
      <c r="O974" s="2" t="s">
        <v>11037</v>
      </c>
      <c r="P974" s="2" t="s">
        <v>11036</v>
      </c>
      <c r="Q974" s="2">
        <f>AVERAGE(PerfRate[[#This Row],[EnvironmentSatisfaction]],PerfRate[[#This Row],[JobSatisfaction]],PerfRate[[#This Row],[RelationshipSatisfaction]])</f>
        <v>4</v>
      </c>
      <c r="R974" s="2">
        <f>PerfRate[[#This Row],[ManagerRating]] - PerfRate[[#This Row],[SelfRating]]</f>
        <v>0</v>
      </c>
    </row>
    <row r="975" spans="1:18">
      <c r="A975" s="2" t="s">
        <v>5282</v>
      </c>
      <c r="B975" s="2" t="s">
        <v>841</v>
      </c>
      <c r="C975" s="1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  <c r="L975" s="2" t="s">
        <v>11031</v>
      </c>
      <c r="M975" s="2" t="s">
        <v>11031</v>
      </c>
      <c r="N975" s="2" t="s">
        <v>11036</v>
      </c>
      <c r="O975" s="2" t="s">
        <v>11038</v>
      </c>
      <c r="P975" s="2" t="s">
        <v>11038</v>
      </c>
      <c r="Q975" s="2">
        <f>AVERAGE(PerfRate[[#This Row],[EnvironmentSatisfaction]],PerfRate[[#This Row],[JobSatisfaction]],PerfRate[[#This Row],[RelationshipSatisfaction]])</f>
        <v>4.333333333333333</v>
      </c>
      <c r="R975" s="2">
        <f>PerfRate[[#This Row],[ManagerRating]] - PerfRate[[#This Row],[SelfRating]]</f>
        <v>0</v>
      </c>
    </row>
    <row r="976" spans="1:18">
      <c r="A976" s="2" t="s">
        <v>5283</v>
      </c>
      <c r="B976" s="2" t="s">
        <v>1171</v>
      </c>
      <c r="C976" s="1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  <c r="L976" s="2" t="s">
        <v>11031</v>
      </c>
      <c r="M976" s="2" t="s">
        <v>11031</v>
      </c>
      <c r="N976" s="2" t="s">
        <v>11038</v>
      </c>
      <c r="O976" s="2" t="s">
        <v>11038</v>
      </c>
      <c r="P976" s="2" t="s">
        <v>11036</v>
      </c>
      <c r="Q976" s="2">
        <f>AVERAGE(PerfRate[[#This Row],[EnvironmentSatisfaction]],PerfRate[[#This Row],[JobSatisfaction]],PerfRate[[#This Row],[RelationshipSatisfaction]])</f>
        <v>4.333333333333333</v>
      </c>
      <c r="R976" s="2">
        <f>PerfRate[[#This Row],[ManagerRating]] - PerfRate[[#This Row],[SelfRating]]</f>
        <v>0</v>
      </c>
    </row>
    <row r="977" spans="1:18">
      <c r="A977" s="2" t="s">
        <v>5284</v>
      </c>
      <c r="B977" s="2" t="s">
        <v>1672</v>
      </c>
      <c r="C977" s="1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  <c r="L977" s="2" t="s">
        <v>11031</v>
      </c>
      <c r="M977" s="2" t="s">
        <v>11030</v>
      </c>
      <c r="N977" s="2" t="s">
        <v>11038</v>
      </c>
      <c r="O977" s="2" t="s">
        <v>11037</v>
      </c>
      <c r="P977" s="2" t="s">
        <v>11037</v>
      </c>
      <c r="Q977" s="2">
        <f>AVERAGE(PerfRate[[#This Row],[EnvironmentSatisfaction]],PerfRate[[#This Row],[JobSatisfaction]],PerfRate[[#This Row],[RelationshipSatisfaction]])</f>
        <v>4.333333333333333</v>
      </c>
      <c r="R977" s="2">
        <f>PerfRate[[#This Row],[ManagerRating]] - PerfRate[[#This Row],[SelfRating]]</f>
        <v>-1</v>
      </c>
    </row>
    <row r="978" spans="1:18">
      <c r="A978" s="2" t="s">
        <v>5285</v>
      </c>
      <c r="B978" s="2" t="s">
        <v>3280</v>
      </c>
      <c r="C978" s="1">
        <v>42745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  <c r="L978" s="2" t="s">
        <v>11030</v>
      </c>
      <c r="M978" s="2" t="s">
        <v>11029</v>
      </c>
      <c r="N978" s="2" t="s">
        <v>11038</v>
      </c>
      <c r="O978" s="2" t="s">
        <v>11035</v>
      </c>
      <c r="P978" s="2" t="s">
        <v>11038</v>
      </c>
      <c r="Q978" s="2">
        <f>AVERAGE(PerfRate[[#This Row],[EnvironmentSatisfaction]],PerfRate[[#This Row],[JobSatisfaction]],PerfRate[[#This Row],[RelationshipSatisfaction]])</f>
        <v>4</v>
      </c>
      <c r="R978" s="2">
        <f>PerfRate[[#This Row],[ManagerRating]] - PerfRate[[#This Row],[SelfRating]]</f>
        <v>-1</v>
      </c>
    </row>
    <row r="979" spans="1:18">
      <c r="A979" s="2" t="s">
        <v>5286</v>
      </c>
      <c r="B979" s="2" t="s">
        <v>3074</v>
      </c>
      <c r="C979" s="1">
        <v>42745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  <c r="L979" s="2" t="s">
        <v>11031</v>
      </c>
      <c r="M979" s="2" t="s">
        <v>11031</v>
      </c>
      <c r="N979" s="2" t="s">
        <v>11036</v>
      </c>
      <c r="O979" s="2" t="s">
        <v>11038</v>
      </c>
      <c r="P979" s="2" t="s">
        <v>11038</v>
      </c>
      <c r="Q979" s="2">
        <f>AVERAGE(PerfRate[[#This Row],[EnvironmentSatisfaction]],PerfRate[[#This Row],[JobSatisfaction]],PerfRate[[#This Row],[RelationshipSatisfaction]])</f>
        <v>4.333333333333333</v>
      </c>
      <c r="R979" s="2">
        <f>PerfRate[[#This Row],[ManagerRating]] - PerfRate[[#This Row],[SelfRating]]</f>
        <v>0</v>
      </c>
    </row>
    <row r="980" spans="1:18">
      <c r="A980" s="2" t="s">
        <v>5287</v>
      </c>
      <c r="B980" s="2" t="s">
        <v>383</v>
      </c>
      <c r="C980" s="1">
        <v>42745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  <c r="L980" s="2" t="s">
        <v>11031</v>
      </c>
      <c r="M980" s="2" t="s">
        <v>11031</v>
      </c>
      <c r="N980" s="2" t="s">
        <v>11038</v>
      </c>
      <c r="O980" s="2" t="s">
        <v>11035</v>
      </c>
      <c r="P980" s="2" t="s">
        <v>11037</v>
      </c>
      <c r="Q980" s="2">
        <f>AVERAGE(PerfRate[[#This Row],[EnvironmentSatisfaction]],PerfRate[[#This Row],[JobSatisfaction]],PerfRate[[#This Row],[RelationshipSatisfaction]])</f>
        <v>3.6666666666666665</v>
      </c>
      <c r="R980" s="2">
        <f>PerfRate[[#This Row],[ManagerRating]] - PerfRate[[#This Row],[SelfRating]]</f>
        <v>0</v>
      </c>
    </row>
    <row r="981" spans="1:18">
      <c r="A981" s="2" t="s">
        <v>5288</v>
      </c>
      <c r="B981" s="2" t="s">
        <v>913</v>
      </c>
      <c r="C981" s="1">
        <v>42745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  <c r="L981" s="2" t="s">
        <v>11031</v>
      </c>
      <c r="M981" s="2" t="s">
        <v>11031</v>
      </c>
      <c r="N981" s="2" t="s">
        <v>11038</v>
      </c>
      <c r="O981" s="2" t="s">
        <v>11036</v>
      </c>
      <c r="P981" s="2" t="s">
        <v>11036</v>
      </c>
      <c r="Q981" s="2">
        <f>AVERAGE(PerfRate[[#This Row],[EnvironmentSatisfaction]],PerfRate[[#This Row],[JobSatisfaction]],PerfRate[[#This Row],[RelationshipSatisfaction]])</f>
        <v>3.6666666666666665</v>
      </c>
      <c r="R981" s="2">
        <f>PerfRate[[#This Row],[ManagerRating]] - PerfRate[[#This Row],[SelfRating]]</f>
        <v>0</v>
      </c>
    </row>
    <row r="982" spans="1:18">
      <c r="A982" s="2" t="s">
        <v>5289</v>
      </c>
      <c r="B982" s="2" t="s">
        <v>89</v>
      </c>
      <c r="C982" s="1">
        <v>42804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  <c r="L982" s="2" t="s">
        <v>11029</v>
      </c>
      <c r="M982" s="2" t="s">
        <v>11029</v>
      </c>
      <c r="N982" s="2" t="s">
        <v>11036</v>
      </c>
      <c r="O982" s="2" t="s">
        <v>11037</v>
      </c>
      <c r="P982" s="2" t="s">
        <v>11036</v>
      </c>
      <c r="Q982" s="2">
        <f>AVERAGE(PerfRate[[#This Row],[EnvironmentSatisfaction]],PerfRate[[#This Row],[JobSatisfaction]],PerfRate[[#This Row],[RelationshipSatisfaction]])</f>
        <v>3.3333333333333335</v>
      </c>
      <c r="R982" s="2">
        <f>PerfRate[[#This Row],[ManagerRating]] - PerfRate[[#This Row],[SelfRating]]</f>
        <v>0</v>
      </c>
    </row>
    <row r="983" spans="1:18">
      <c r="A983" s="2" t="s">
        <v>5290</v>
      </c>
      <c r="B983" s="2" t="s">
        <v>922</v>
      </c>
      <c r="C983" s="1">
        <v>42835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  <c r="L983" s="2" t="s">
        <v>11031</v>
      </c>
      <c r="M983" s="2" t="s">
        <v>11030</v>
      </c>
      <c r="N983" s="2" t="s">
        <v>11038</v>
      </c>
      <c r="O983" s="2" t="s">
        <v>11036</v>
      </c>
      <c r="P983" s="2" t="s">
        <v>11038</v>
      </c>
      <c r="Q983" s="2">
        <f>AVERAGE(PerfRate[[#This Row],[EnvironmentSatisfaction]],PerfRate[[#This Row],[JobSatisfaction]],PerfRate[[#This Row],[RelationshipSatisfaction]])</f>
        <v>4.333333333333333</v>
      </c>
      <c r="R983" s="2">
        <f>PerfRate[[#This Row],[ManagerRating]] - PerfRate[[#This Row],[SelfRating]]</f>
        <v>-1</v>
      </c>
    </row>
    <row r="984" spans="1:18">
      <c r="A984" s="2" t="s">
        <v>5291</v>
      </c>
      <c r="B984" s="2" t="s">
        <v>1204</v>
      </c>
      <c r="C984" s="1">
        <v>42835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  <c r="L984" s="2" t="s">
        <v>11031</v>
      </c>
      <c r="M984" s="2" t="s">
        <v>11030</v>
      </c>
      <c r="N984" s="2" t="s">
        <v>11037</v>
      </c>
      <c r="O984" s="2" t="s">
        <v>11038</v>
      </c>
      <c r="P984" s="2" t="s">
        <v>11036</v>
      </c>
      <c r="Q984" s="2">
        <f>AVERAGE(PerfRate[[#This Row],[EnvironmentSatisfaction]],PerfRate[[#This Row],[JobSatisfaction]],PerfRate[[#This Row],[RelationshipSatisfaction]])</f>
        <v>4</v>
      </c>
      <c r="R984" s="2">
        <f>PerfRate[[#This Row],[ManagerRating]] - PerfRate[[#This Row],[SelfRating]]</f>
        <v>-1</v>
      </c>
    </row>
    <row r="985" spans="1:18">
      <c r="A985" s="2" t="s">
        <v>5292</v>
      </c>
      <c r="B985" s="2" t="s">
        <v>1271</v>
      </c>
      <c r="C985" s="1">
        <v>42835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  <c r="L985" s="2" t="s">
        <v>11030</v>
      </c>
      <c r="M985" s="2" t="s">
        <v>11029</v>
      </c>
      <c r="N985" s="2" t="s">
        <v>11037</v>
      </c>
      <c r="O985" s="2" t="s">
        <v>11038</v>
      </c>
      <c r="P985" s="2" t="s">
        <v>11037</v>
      </c>
      <c r="Q985" s="2">
        <f>AVERAGE(PerfRate[[#This Row],[EnvironmentSatisfaction]],PerfRate[[#This Row],[JobSatisfaction]],PerfRate[[#This Row],[RelationshipSatisfaction]])</f>
        <v>4.333333333333333</v>
      </c>
      <c r="R985" s="2">
        <f>PerfRate[[#This Row],[ManagerRating]] - PerfRate[[#This Row],[SelfRating]]</f>
        <v>-1</v>
      </c>
    </row>
    <row r="986" spans="1:18">
      <c r="A986" s="2" t="s">
        <v>5293</v>
      </c>
      <c r="B986" s="2" t="s">
        <v>2608</v>
      </c>
      <c r="C986" s="1">
        <v>42835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  <c r="L986" s="2" t="s">
        <v>11030</v>
      </c>
      <c r="M986" s="2" t="s">
        <v>11030</v>
      </c>
      <c r="N986" s="2" t="s">
        <v>11036</v>
      </c>
      <c r="O986" s="2" t="s">
        <v>11037</v>
      </c>
      <c r="P986" s="2" t="s">
        <v>11036</v>
      </c>
      <c r="Q986" s="2">
        <f>AVERAGE(PerfRate[[#This Row],[EnvironmentSatisfaction]],PerfRate[[#This Row],[JobSatisfaction]],PerfRate[[#This Row],[RelationshipSatisfaction]])</f>
        <v>3.3333333333333335</v>
      </c>
      <c r="R986" s="2">
        <f>PerfRate[[#This Row],[ManagerRating]] - PerfRate[[#This Row],[SelfRating]]</f>
        <v>0</v>
      </c>
    </row>
    <row r="987" spans="1:18">
      <c r="A987" s="2" t="s">
        <v>5294</v>
      </c>
      <c r="B987" s="2" t="s">
        <v>3614</v>
      </c>
      <c r="C987" s="1">
        <v>42835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  <c r="L987" s="2" t="s">
        <v>11031</v>
      </c>
      <c r="M987" s="2" t="s">
        <v>11031</v>
      </c>
      <c r="N987" s="2" t="s">
        <v>11036</v>
      </c>
      <c r="O987" s="2" t="s">
        <v>11037</v>
      </c>
      <c r="P987" s="2" t="s">
        <v>11038</v>
      </c>
      <c r="Q987" s="2">
        <f>AVERAGE(PerfRate[[#This Row],[EnvironmentSatisfaction]],PerfRate[[#This Row],[JobSatisfaction]],PerfRate[[#This Row],[RelationshipSatisfaction]])</f>
        <v>4</v>
      </c>
      <c r="R987" s="2">
        <f>PerfRate[[#This Row],[ManagerRating]] - PerfRate[[#This Row],[SelfRating]]</f>
        <v>0</v>
      </c>
    </row>
    <row r="988" spans="1:18">
      <c r="A988" s="2" t="s">
        <v>5295</v>
      </c>
      <c r="B988" s="2" t="s">
        <v>1383</v>
      </c>
      <c r="C988" s="1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  <c r="L988" s="2" t="s">
        <v>11031</v>
      </c>
      <c r="M988" s="2" t="s">
        <v>11030</v>
      </c>
      <c r="N988" s="2" t="s">
        <v>11036</v>
      </c>
      <c r="O988" s="2" t="s">
        <v>11035</v>
      </c>
      <c r="P988" s="2" t="s">
        <v>11037</v>
      </c>
      <c r="Q988" s="2">
        <f>AVERAGE(PerfRate[[#This Row],[EnvironmentSatisfaction]],PerfRate[[#This Row],[JobSatisfaction]],PerfRate[[#This Row],[RelationshipSatisfaction]])</f>
        <v>3</v>
      </c>
      <c r="R988" s="2">
        <f>PerfRate[[#This Row],[ManagerRating]] - PerfRate[[#This Row],[SelfRating]]</f>
        <v>-1</v>
      </c>
    </row>
    <row r="989" spans="1:18">
      <c r="A989" s="2" t="s">
        <v>5296</v>
      </c>
      <c r="B989" s="2" t="s">
        <v>502</v>
      </c>
      <c r="C989" s="1">
        <v>42957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  <c r="L989" s="2" t="s">
        <v>11029</v>
      </c>
      <c r="M989" s="2" t="s">
        <v>11028</v>
      </c>
      <c r="N989" s="2" t="s">
        <v>11037</v>
      </c>
      <c r="O989" s="2" t="s">
        <v>11035</v>
      </c>
      <c r="P989" s="2" t="s">
        <v>11038</v>
      </c>
      <c r="Q989" s="2">
        <f>AVERAGE(PerfRate[[#This Row],[EnvironmentSatisfaction]],PerfRate[[#This Row],[JobSatisfaction]],PerfRate[[#This Row],[RelationshipSatisfaction]])</f>
        <v>3.6666666666666665</v>
      </c>
      <c r="R989" s="2">
        <f>PerfRate[[#This Row],[ManagerRating]] - PerfRate[[#This Row],[SelfRating]]</f>
        <v>-1</v>
      </c>
    </row>
    <row r="990" spans="1:18">
      <c r="A990" s="2" t="s">
        <v>5297</v>
      </c>
      <c r="B990" s="2" t="s">
        <v>3329</v>
      </c>
      <c r="C990" s="1">
        <v>42988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  <c r="L990" s="2" t="s">
        <v>11030</v>
      </c>
      <c r="M990" s="2" t="s">
        <v>11029</v>
      </c>
      <c r="N990" s="2" t="s">
        <v>11036</v>
      </c>
      <c r="O990" s="2" t="s">
        <v>11035</v>
      </c>
      <c r="P990" s="2" t="s">
        <v>11036</v>
      </c>
      <c r="Q990" s="2">
        <f>AVERAGE(PerfRate[[#This Row],[EnvironmentSatisfaction]],PerfRate[[#This Row],[JobSatisfaction]],PerfRate[[#This Row],[RelationshipSatisfaction]])</f>
        <v>2.6666666666666665</v>
      </c>
      <c r="R990" s="2">
        <f>PerfRate[[#This Row],[ManagerRating]] - PerfRate[[#This Row],[SelfRating]]</f>
        <v>-1</v>
      </c>
    </row>
    <row r="991" spans="1:18">
      <c r="A991" s="2" t="s">
        <v>5298</v>
      </c>
      <c r="B991" s="2" t="s">
        <v>3739</v>
      </c>
      <c r="C991" s="1">
        <v>42988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  <c r="L991" s="2" t="s">
        <v>11031</v>
      </c>
      <c r="M991" s="2" t="s">
        <v>11031</v>
      </c>
      <c r="N991" s="2" t="s">
        <v>11037</v>
      </c>
      <c r="O991" s="2" t="s">
        <v>11038</v>
      </c>
      <c r="P991" s="2" t="s">
        <v>11035</v>
      </c>
      <c r="Q991" s="2">
        <f>AVERAGE(PerfRate[[#This Row],[EnvironmentSatisfaction]],PerfRate[[#This Row],[JobSatisfaction]],PerfRate[[#This Row],[RelationshipSatisfaction]])</f>
        <v>3.6666666666666665</v>
      </c>
      <c r="R991" s="2">
        <f>PerfRate[[#This Row],[ManagerRating]] - PerfRate[[#This Row],[SelfRating]]</f>
        <v>0</v>
      </c>
    </row>
    <row r="992" spans="1:18">
      <c r="A992" s="2" t="s">
        <v>5299</v>
      </c>
      <c r="B992" s="2" t="s">
        <v>765</v>
      </c>
      <c r="C992" s="1">
        <v>42988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  <c r="L992" s="2" t="s">
        <v>11030</v>
      </c>
      <c r="M992" s="2" t="s">
        <v>11029</v>
      </c>
      <c r="N992" s="2" t="s">
        <v>11037</v>
      </c>
      <c r="O992" s="2" t="s">
        <v>11037</v>
      </c>
      <c r="P992" s="2" t="s">
        <v>11036</v>
      </c>
      <c r="Q992" s="2">
        <f>AVERAGE(PerfRate[[#This Row],[EnvironmentSatisfaction]],PerfRate[[#This Row],[JobSatisfaction]],PerfRate[[#This Row],[RelationshipSatisfaction]])</f>
        <v>3.6666666666666665</v>
      </c>
      <c r="R992" s="2">
        <f>PerfRate[[#This Row],[ManagerRating]] - PerfRate[[#This Row],[SelfRating]]</f>
        <v>-1</v>
      </c>
    </row>
    <row r="993" spans="1:18">
      <c r="A993" s="2" t="s">
        <v>5300</v>
      </c>
      <c r="B993" s="2" t="s">
        <v>1230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  <c r="L993" s="2" t="s">
        <v>11029</v>
      </c>
      <c r="M993" s="2" t="s">
        <v>11029</v>
      </c>
      <c r="N993" s="2" t="s">
        <v>11038</v>
      </c>
      <c r="O993" s="2" t="s">
        <v>11038</v>
      </c>
      <c r="P993" s="2" t="s">
        <v>11036</v>
      </c>
      <c r="Q993" s="2">
        <f>AVERAGE(PerfRate[[#This Row],[EnvironmentSatisfaction]],PerfRate[[#This Row],[JobSatisfaction]],PerfRate[[#This Row],[RelationshipSatisfaction]])</f>
        <v>4.333333333333333</v>
      </c>
      <c r="R993" s="2">
        <f>PerfRate[[#This Row],[ManagerRating]] - PerfRate[[#This Row],[SelfRating]]</f>
        <v>0</v>
      </c>
    </row>
    <row r="994" spans="1:18">
      <c r="A994" s="2" t="s">
        <v>5301</v>
      </c>
      <c r="B994" s="2" t="s">
        <v>2614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  <c r="L994" s="2" t="s">
        <v>11031</v>
      </c>
      <c r="M994" s="2" t="s">
        <v>11031</v>
      </c>
      <c r="N994" s="2" t="s">
        <v>11038</v>
      </c>
      <c r="O994" s="2" t="s">
        <v>11035</v>
      </c>
      <c r="P994" s="2" t="s">
        <v>11036</v>
      </c>
      <c r="Q994" s="2">
        <f>AVERAGE(PerfRate[[#This Row],[EnvironmentSatisfaction]],PerfRate[[#This Row],[JobSatisfaction]],PerfRate[[#This Row],[RelationshipSatisfaction]])</f>
        <v>3.3333333333333335</v>
      </c>
      <c r="R994" s="2">
        <f>PerfRate[[#This Row],[ManagerRating]] - PerfRate[[#This Row],[SelfRating]]</f>
        <v>0</v>
      </c>
    </row>
    <row r="995" spans="1:18">
      <c r="A995" s="2" t="s">
        <v>5302</v>
      </c>
      <c r="B995" s="2" t="s">
        <v>1301</v>
      </c>
      <c r="C995" s="1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  <c r="L995" s="2" t="s">
        <v>11029</v>
      </c>
      <c r="M995" s="2" t="s">
        <v>11028</v>
      </c>
      <c r="N995" s="2" t="s">
        <v>11037</v>
      </c>
      <c r="O995" s="2" t="s">
        <v>11035</v>
      </c>
      <c r="P995" s="2" t="s">
        <v>11038</v>
      </c>
      <c r="Q995" s="2">
        <f>AVERAGE(PerfRate[[#This Row],[EnvironmentSatisfaction]],PerfRate[[#This Row],[JobSatisfaction]],PerfRate[[#This Row],[RelationshipSatisfaction]])</f>
        <v>3.6666666666666665</v>
      </c>
      <c r="R995" s="2">
        <f>PerfRate[[#This Row],[ManagerRating]] - PerfRate[[#This Row],[SelfRating]]</f>
        <v>-1</v>
      </c>
    </row>
    <row r="996" spans="1:18">
      <c r="A996" s="2" t="s">
        <v>5303</v>
      </c>
      <c r="B996" s="2" t="s">
        <v>1210</v>
      </c>
      <c r="C996" s="1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  <c r="L996" s="2" t="s">
        <v>11031</v>
      </c>
      <c r="M996" s="2" t="s">
        <v>11030</v>
      </c>
      <c r="N996" s="2" t="s">
        <v>11036</v>
      </c>
      <c r="O996" s="2" t="s">
        <v>11038</v>
      </c>
      <c r="P996" s="2" t="s">
        <v>11038</v>
      </c>
      <c r="Q996" s="2">
        <f>AVERAGE(PerfRate[[#This Row],[EnvironmentSatisfaction]],PerfRate[[#This Row],[JobSatisfaction]],PerfRate[[#This Row],[RelationshipSatisfaction]])</f>
        <v>4.333333333333333</v>
      </c>
      <c r="R996" s="2">
        <f>PerfRate[[#This Row],[ManagerRating]] - PerfRate[[#This Row],[SelfRating]]</f>
        <v>-1</v>
      </c>
    </row>
    <row r="997" spans="1:18">
      <c r="A997" s="2" t="s">
        <v>5304</v>
      </c>
      <c r="B997" s="2" t="s">
        <v>1059</v>
      </c>
      <c r="C997" s="1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  <c r="L997" s="2" t="s">
        <v>11029</v>
      </c>
      <c r="M997" s="2" t="s">
        <v>11028</v>
      </c>
      <c r="N997" s="2" t="s">
        <v>11037</v>
      </c>
      <c r="O997" s="2" t="s">
        <v>11035</v>
      </c>
      <c r="P997" s="2" t="s">
        <v>11036</v>
      </c>
      <c r="Q997" s="2">
        <f>AVERAGE(PerfRate[[#This Row],[EnvironmentSatisfaction]],PerfRate[[#This Row],[JobSatisfaction]],PerfRate[[#This Row],[RelationshipSatisfaction]])</f>
        <v>3</v>
      </c>
      <c r="R997" s="2">
        <f>PerfRate[[#This Row],[ManagerRating]] - PerfRate[[#This Row],[SelfRating]]</f>
        <v>-1</v>
      </c>
    </row>
    <row r="998" spans="1:18">
      <c r="A998" s="2" t="s">
        <v>5305</v>
      </c>
      <c r="B998" s="2" t="s">
        <v>1243</v>
      </c>
      <c r="C998" s="1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  <c r="L998" s="2" t="s">
        <v>11030</v>
      </c>
      <c r="M998" s="2" t="s">
        <v>11030</v>
      </c>
      <c r="N998" s="2" t="s">
        <v>11038</v>
      </c>
      <c r="O998" s="2" t="s">
        <v>11036</v>
      </c>
      <c r="P998" s="2" t="s">
        <v>11036</v>
      </c>
      <c r="Q998" s="2">
        <f>AVERAGE(PerfRate[[#This Row],[EnvironmentSatisfaction]],PerfRate[[#This Row],[JobSatisfaction]],PerfRate[[#This Row],[RelationshipSatisfaction]])</f>
        <v>3.6666666666666665</v>
      </c>
      <c r="R998" s="2">
        <f>PerfRate[[#This Row],[ManagerRating]] - PerfRate[[#This Row],[SelfRating]]</f>
        <v>0</v>
      </c>
    </row>
    <row r="999" spans="1:18">
      <c r="A999" s="2" t="s">
        <v>5306</v>
      </c>
      <c r="B999" s="2" t="s">
        <v>241</v>
      </c>
      <c r="C999" s="1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  <c r="L999" s="2" t="s">
        <v>11030</v>
      </c>
      <c r="M999" s="2" t="s">
        <v>11029</v>
      </c>
      <c r="N999" s="2" t="s">
        <v>11036</v>
      </c>
      <c r="O999" s="2" t="s">
        <v>11037</v>
      </c>
      <c r="P999" s="2" t="s">
        <v>11037</v>
      </c>
      <c r="Q999" s="2">
        <f>AVERAGE(PerfRate[[#This Row],[EnvironmentSatisfaction]],PerfRate[[#This Row],[JobSatisfaction]],PerfRate[[#This Row],[RelationshipSatisfaction]])</f>
        <v>3.6666666666666665</v>
      </c>
      <c r="R999" s="2">
        <f>PerfRate[[#This Row],[ManagerRating]] - PerfRate[[#This Row],[SelfRating]]</f>
        <v>-1</v>
      </c>
    </row>
    <row r="1000" spans="1:18">
      <c r="A1000" s="2" t="s">
        <v>5307</v>
      </c>
      <c r="B1000" s="2" t="s">
        <v>1130</v>
      </c>
      <c r="C1000" s="1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  <c r="L1000" s="2" t="s">
        <v>11030</v>
      </c>
      <c r="M1000" s="2" t="s">
        <v>11030</v>
      </c>
      <c r="N1000" s="2" t="s">
        <v>11037</v>
      </c>
      <c r="O1000" s="2" t="s">
        <v>11037</v>
      </c>
      <c r="P1000" s="2" t="s">
        <v>11037</v>
      </c>
      <c r="Q1000" s="2">
        <f>AVERAGE(PerfRate[[#This Row],[EnvironmentSatisfaction]],PerfRate[[#This Row],[JobSatisfaction]],PerfRate[[#This Row],[RelationshipSatisfaction]])</f>
        <v>4</v>
      </c>
      <c r="R1000" s="2">
        <f>PerfRate[[#This Row],[ManagerRating]] - PerfRate[[#This Row],[SelfRating]]</f>
        <v>0</v>
      </c>
    </row>
    <row r="1001" spans="1:18">
      <c r="A1001" s="2" t="s">
        <v>5308</v>
      </c>
      <c r="B1001" s="2" t="s">
        <v>3323</v>
      </c>
      <c r="C1001" s="1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  <c r="L1001" s="2" t="s">
        <v>11031</v>
      </c>
      <c r="M1001" s="2" t="s">
        <v>11031</v>
      </c>
      <c r="N1001" s="2" t="s">
        <v>11036</v>
      </c>
      <c r="O1001" s="2" t="s">
        <v>11037</v>
      </c>
      <c r="P1001" s="2" t="s">
        <v>11036</v>
      </c>
      <c r="Q1001" s="2">
        <f>AVERAGE(PerfRate[[#This Row],[EnvironmentSatisfaction]],PerfRate[[#This Row],[JobSatisfaction]],PerfRate[[#This Row],[RelationshipSatisfaction]])</f>
        <v>3.3333333333333335</v>
      </c>
      <c r="R1001" s="2">
        <f>PerfRate[[#This Row],[ManagerRating]] - PerfRate[[#This Row],[SelfRating]]</f>
        <v>0</v>
      </c>
    </row>
    <row r="1002" spans="1:18">
      <c r="A1002" s="2" t="s">
        <v>5309</v>
      </c>
      <c r="B1002" s="2" t="s">
        <v>3611</v>
      </c>
      <c r="C1002" s="1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  <c r="L1002" s="2" t="s">
        <v>11029</v>
      </c>
      <c r="M1002" s="2" t="s">
        <v>11028</v>
      </c>
      <c r="N1002" s="2" t="s">
        <v>11038</v>
      </c>
      <c r="O1002" s="2" t="s">
        <v>11036</v>
      </c>
      <c r="P1002" s="2" t="s">
        <v>11038</v>
      </c>
      <c r="Q1002" s="2">
        <f>AVERAGE(PerfRate[[#This Row],[EnvironmentSatisfaction]],PerfRate[[#This Row],[JobSatisfaction]],PerfRate[[#This Row],[RelationshipSatisfaction]])</f>
        <v>4.333333333333333</v>
      </c>
      <c r="R1002" s="2">
        <f>PerfRate[[#This Row],[ManagerRating]] - PerfRate[[#This Row],[SelfRating]]</f>
        <v>-1</v>
      </c>
    </row>
    <row r="1003" spans="1:18">
      <c r="A1003" s="2" t="s">
        <v>5310</v>
      </c>
      <c r="B1003" s="2" t="s">
        <v>2843</v>
      </c>
      <c r="C1003" s="1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  <c r="L1003" s="2" t="s">
        <v>11031</v>
      </c>
      <c r="M1003" s="2" t="s">
        <v>11030</v>
      </c>
      <c r="N1003" s="2" t="s">
        <v>11036</v>
      </c>
      <c r="O1003" s="2" t="s">
        <v>11038</v>
      </c>
      <c r="P1003" s="2" t="s">
        <v>11036</v>
      </c>
      <c r="Q1003" s="2">
        <f>AVERAGE(PerfRate[[#This Row],[EnvironmentSatisfaction]],PerfRate[[#This Row],[JobSatisfaction]],PerfRate[[#This Row],[RelationshipSatisfaction]])</f>
        <v>3.6666666666666665</v>
      </c>
      <c r="R1003" s="2">
        <f>PerfRate[[#This Row],[ManagerRating]] - PerfRate[[#This Row],[SelfRating]]</f>
        <v>-1</v>
      </c>
    </row>
    <row r="1004" spans="1:18">
      <c r="A1004" s="2" t="s">
        <v>5311</v>
      </c>
      <c r="B1004" s="2" t="s">
        <v>637</v>
      </c>
      <c r="C1004" s="1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  <c r="L1004" s="2" t="s">
        <v>11029</v>
      </c>
      <c r="M1004" s="2" t="s">
        <v>11028</v>
      </c>
      <c r="N1004" s="2" t="s">
        <v>11037</v>
      </c>
      <c r="O1004" s="2" t="s">
        <v>11038</v>
      </c>
      <c r="P1004" s="2" t="s">
        <v>11037</v>
      </c>
      <c r="Q1004" s="2">
        <f>AVERAGE(PerfRate[[#This Row],[EnvironmentSatisfaction]],PerfRate[[#This Row],[JobSatisfaction]],PerfRate[[#This Row],[RelationshipSatisfaction]])</f>
        <v>4.333333333333333</v>
      </c>
      <c r="R1004" s="2">
        <f>PerfRate[[#This Row],[ManagerRating]] - PerfRate[[#This Row],[SelfRating]]</f>
        <v>-1</v>
      </c>
    </row>
    <row r="1005" spans="1:18">
      <c r="A1005" s="2" t="s">
        <v>5312</v>
      </c>
      <c r="B1005" s="2" t="s">
        <v>872</v>
      </c>
      <c r="C1005" s="1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  <c r="L1005" s="2" t="s">
        <v>11031</v>
      </c>
      <c r="M1005" s="2" t="s">
        <v>11031</v>
      </c>
      <c r="N1005" s="2" t="s">
        <v>11038</v>
      </c>
      <c r="O1005" s="2" t="s">
        <v>11035</v>
      </c>
      <c r="P1005" s="2" t="s">
        <v>11037</v>
      </c>
      <c r="Q1005" s="2">
        <f>AVERAGE(PerfRate[[#This Row],[EnvironmentSatisfaction]],PerfRate[[#This Row],[JobSatisfaction]],PerfRate[[#This Row],[RelationshipSatisfaction]])</f>
        <v>3.6666666666666665</v>
      </c>
      <c r="R1005" s="2">
        <f>PerfRate[[#This Row],[ManagerRating]] - PerfRate[[#This Row],[SelfRating]]</f>
        <v>0</v>
      </c>
    </row>
    <row r="1006" spans="1:18">
      <c r="A1006" s="2" t="s">
        <v>5313</v>
      </c>
      <c r="B1006" s="2" t="s">
        <v>720</v>
      </c>
      <c r="C1006" s="1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  <c r="L1006" s="2" t="s">
        <v>11030</v>
      </c>
      <c r="M1006" s="2" t="s">
        <v>11029</v>
      </c>
      <c r="N1006" s="2" t="s">
        <v>11038</v>
      </c>
      <c r="O1006" s="2" t="s">
        <v>11036</v>
      </c>
      <c r="P1006" s="2" t="s">
        <v>11036</v>
      </c>
      <c r="Q1006" s="2">
        <f>AVERAGE(PerfRate[[#This Row],[EnvironmentSatisfaction]],PerfRate[[#This Row],[JobSatisfaction]],PerfRate[[#This Row],[RelationshipSatisfaction]])</f>
        <v>3.6666666666666665</v>
      </c>
      <c r="R1006" s="2">
        <f>PerfRate[[#This Row],[ManagerRating]] - PerfRate[[#This Row],[SelfRating]]</f>
        <v>-1</v>
      </c>
    </row>
    <row r="1007" spans="1:18">
      <c r="A1007" s="2" t="s">
        <v>5314</v>
      </c>
      <c r="B1007" s="2" t="s">
        <v>359</v>
      </c>
      <c r="C1007" s="1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  <c r="L1007" s="2" t="s">
        <v>11031</v>
      </c>
      <c r="M1007" s="2" t="s">
        <v>11030</v>
      </c>
      <c r="N1007" s="2" t="s">
        <v>11036</v>
      </c>
      <c r="O1007" s="2" t="s">
        <v>11037</v>
      </c>
      <c r="P1007" s="2" t="s">
        <v>11036</v>
      </c>
      <c r="Q1007" s="2">
        <f>AVERAGE(PerfRate[[#This Row],[EnvironmentSatisfaction]],PerfRate[[#This Row],[JobSatisfaction]],PerfRate[[#This Row],[RelationshipSatisfaction]])</f>
        <v>3.3333333333333335</v>
      </c>
      <c r="R1007" s="2">
        <f>PerfRate[[#This Row],[ManagerRating]] - PerfRate[[#This Row],[SelfRating]]</f>
        <v>-1</v>
      </c>
    </row>
    <row r="1008" spans="1:18">
      <c r="A1008" s="2" t="s">
        <v>5315</v>
      </c>
      <c r="B1008" s="2" t="s">
        <v>806</v>
      </c>
      <c r="C1008" s="1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  <c r="L1008" s="2" t="s">
        <v>11029</v>
      </c>
      <c r="M1008" s="2" t="s">
        <v>11028</v>
      </c>
      <c r="N1008" s="2" t="s">
        <v>11038</v>
      </c>
      <c r="O1008" s="2" t="s">
        <v>11035</v>
      </c>
      <c r="P1008" s="2" t="s">
        <v>11038</v>
      </c>
      <c r="Q1008" s="2">
        <f>AVERAGE(PerfRate[[#This Row],[EnvironmentSatisfaction]],PerfRate[[#This Row],[JobSatisfaction]],PerfRate[[#This Row],[RelationshipSatisfaction]])</f>
        <v>4</v>
      </c>
      <c r="R1008" s="2">
        <f>PerfRate[[#This Row],[ManagerRating]] - PerfRate[[#This Row],[SelfRating]]</f>
        <v>-1</v>
      </c>
    </row>
    <row r="1009" spans="1:18">
      <c r="A1009" s="2" t="s">
        <v>5316</v>
      </c>
      <c r="B1009" s="2" t="s">
        <v>955</v>
      </c>
      <c r="C1009" s="1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  <c r="L1009" s="2" t="s">
        <v>11029</v>
      </c>
      <c r="M1009" s="2" t="s">
        <v>11028</v>
      </c>
      <c r="N1009" s="2" t="s">
        <v>11037</v>
      </c>
      <c r="O1009" s="2" t="s">
        <v>11038</v>
      </c>
      <c r="P1009" s="2" t="s">
        <v>11038</v>
      </c>
      <c r="Q1009" s="2">
        <f>AVERAGE(PerfRate[[#This Row],[EnvironmentSatisfaction]],PerfRate[[#This Row],[JobSatisfaction]],PerfRate[[#This Row],[RelationshipSatisfaction]])</f>
        <v>4.666666666666667</v>
      </c>
      <c r="R1009" s="2">
        <f>PerfRate[[#This Row],[ManagerRating]] - PerfRate[[#This Row],[SelfRating]]</f>
        <v>-1</v>
      </c>
    </row>
    <row r="1010" spans="1:18">
      <c r="A1010" s="2" t="s">
        <v>5317</v>
      </c>
      <c r="B1010" s="2" t="s">
        <v>738</v>
      </c>
      <c r="C1010" s="1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  <c r="L1010" s="2" t="s">
        <v>11029</v>
      </c>
      <c r="M1010" s="2" t="s">
        <v>11028</v>
      </c>
      <c r="N1010" s="2" t="s">
        <v>11036</v>
      </c>
      <c r="O1010" s="2" t="s">
        <v>11037</v>
      </c>
      <c r="P1010" s="2" t="s">
        <v>11038</v>
      </c>
      <c r="Q1010" s="2">
        <f>AVERAGE(PerfRate[[#This Row],[EnvironmentSatisfaction]],PerfRate[[#This Row],[JobSatisfaction]],PerfRate[[#This Row],[RelationshipSatisfaction]])</f>
        <v>4</v>
      </c>
      <c r="R1010" s="2">
        <f>PerfRate[[#This Row],[ManagerRating]] - PerfRate[[#This Row],[SelfRating]]</f>
        <v>-1</v>
      </c>
    </row>
    <row r="1011" spans="1:18">
      <c r="A1011" s="2" t="s">
        <v>5318</v>
      </c>
      <c r="B1011" s="2" t="s">
        <v>3126</v>
      </c>
      <c r="C1011" s="1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  <c r="L1011" s="2" t="s">
        <v>11031</v>
      </c>
      <c r="M1011" s="2" t="s">
        <v>11030</v>
      </c>
      <c r="N1011" s="2" t="s">
        <v>11037</v>
      </c>
      <c r="O1011" s="2" t="s">
        <v>11037</v>
      </c>
      <c r="P1011" s="2" t="s">
        <v>11036</v>
      </c>
      <c r="Q1011" s="2">
        <f>AVERAGE(PerfRate[[#This Row],[EnvironmentSatisfaction]],PerfRate[[#This Row],[JobSatisfaction]],PerfRate[[#This Row],[RelationshipSatisfaction]])</f>
        <v>3.6666666666666665</v>
      </c>
      <c r="R1011" s="2">
        <f>PerfRate[[#This Row],[ManagerRating]] - PerfRate[[#This Row],[SelfRating]]</f>
        <v>-1</v>
      </c>
    </row>
    <row r="1012" spans="1:18">
      <c r="A1012" s="2" t="s">
        <v>5319</v>
      </c>
      <c r="B1012" s="2" t="s">
        <v>808</v>
      </c>
      <c r="C1012" s="1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  <c r="L1012" s="2" t="s">
        <v>11031</v>
      </c>
      <c r="M1012" s="2" t="s">
        <v>11030</v>
      </c>
      <c r="N1012" s="2" t="s">
        <v>11038</v>
      </c>
      <c r="O1012" s="2" t="s">
        <v>11036</v>
      </c>
      <c r="P1012" s="2" t="s">
        <v>11037</v>
      </c>
      <c r="Q1012" s="2">
        <f>AVERAGE(PerfRate[[#This Row],[EnvironmentSatisfaction]],PerfRate[[#This Row],[JobSatisfaction]],PerfRate[[#This Row],[RelationshipSatisfaction]])</f>
        <v>4</v>
      </c>
      <c r="R1012" s="2">
        <f>PerfRate[[#This Row],[ManagerRating]] - PerfRate[[#This Row],[SelfRating]]</f>
        <v>-1</v>
      </c>
    </row>
    <row r="1013" spans="1:18">
      <c r="A1013" s="2" t="s">
        <v>5320</v>
      </c>
      <c r="B1013" s="2" t="s">
        <v>3054</v>
      </c>
      <c r="C1013" s="1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  <c r="L1013" s="2" t="s">
        <v>11031</v>
      </c>
      <c r="M1013" s="2" t="s">
        <v>11030</v>
      </c>
      <c r="N1013" s="2" t="s">
        <v>11037</v>
      </c>
      <c r="O1013" s="2" t="s">
        <v>11036</v>
      </c>
      <c r="P1013" s="2" t="s">
        <v>11035</v>
      </c>
      <c r="Q1013" s="2">
        <f>AVERAGE(PerfRate[[#This Row],[EnvironmentSatisfaction]],PerfRate[[#This Row],[JobSatisfaction]],PerfRate[[#This Row],[RelationshipSatisfaction]])</f>
        <v>3</v>
      </c>
      <c r="R1013" s="2">
        <f>PerfRate[[#This Row],[ManagerRating]] - PerfRate[[#This Row],[SelfRating]]</f>
        <v>-1</v>
      </c>
    </row>
    <row r="1014" spans="1:18">
      <c r="A1014" s="2" t="s">
        <v>5321</v>
      </c>
      <c r="B1014" s="2" t="s">
        <v>431</v>
      </c>
      <c r="C1014" s="1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  <c r="L1014" s="2" t="s">
        <v>11029</v>
      </c>
      <c r="M1014" s="2" t="s">
        <v>11028</v>
      </c>
      <c r="N1014" s="2" t="s">
        <v>11036</v>
      </c>
      <c r="O1014" s="2" t="s">
        <v>11036</v>
      </c>
      <c r="P1014" s="2" t="s">
        <v>11038</v>
      </c>
      <c r="Q1014" s="2">
        <f>AVERAGE(PerfRate[[#This Row],[EnvironmentSatisfaction]],PerfRate[[#This Row],[JobSatisfaction]],PerfRate[[#This Row],[RelationshipSatisfaction]])</f>
        <v>3.6666666666666665</v>
      </c>
      <c r="R1014" s="2">
        <f>PerfRate[[#This Row],[ManagerRating]] - PerfRate[[#This Row],[SelfRating]]</f>
        <v>-1</v>
      </c>
    </row>
    <row r="1015" spans="1:18">
      <c r="A1015" s="2" t="s">
        <v>5322</v>
      </c>
      <c r="B1015" s="2" t="s">
        <v>649</v>
      </c>
      <c r="C1015" s="1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  <c r="L1015" s="2" t="s">
        <v>11031</v>
      </c>
      <c r="M1015" s="2" t="s">
        <v>11030</v>
      </c>
      <c r="N1015" s="2" t="s">
        <v>11038</v>
      </c>
      <c r="O1015" s="2" t="s">
        <v>11035</v>
      </c>
      <c r="P1015" s="2" t="s">
        <v>11036</v>
      </c>
      <c r="Q1015" s="2">
        <f>AVERAGE(PerfRate[[#This Row],[EnvironmentSatisfaction]],PerfRate[[#This Row],[JobSatisfaction]],PerfRate[[#This Row],[RelationshipSatisfaction]])</f>
        <v>3.3333333333333335</v>
      </c>
      <c r="R1015" s="2">
        <f>PerfRate[[#This Row],[ManagerRating]] - PerfRate[[#This Row],[SelfRating]]</f>
        <v>-1</v>
      </c>
    </row>
    <row r="1016" spans="1:18">
      <c r="A1016" s="2" t="s">
        <v>5323</v>
      </c>
      <c r="B1016" s="2" t="s">
        <v>1003</v>
      </c>
      <c r="C1016" s="1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  <c r="L1016" s="2" t="s">
        <v>11029</v>
      </c>
      <c r="M1016" s="2" t="s">
        <v>11029</v>
      </c>
      <c r="N1016" s="2" t="s">
        <v>11037</v>
      </c>
      <c r="O1016" s="2" t="s">
        <v>11035</v>
      </c>
      <c r="P1016" s="2" t="s">
        <v>11038</v>
      </c>
      <c r="Q1016" s="2">
        <f>AVERAGE(PerfRate[[#This Row],[EnvironmentSatisfaction]],PerfRate[[#This Row],[JobSatisfaction]],PerfRate[[#This Row],[RelationshipSatisfaction]])</f>
        <v>3.6666666666666665</v>
      </c>
      <c r="R1016" s="2">
        <f>PerfRate[[#This Row],[ManagerRating]] - PerfRate[[#This Row],[SelfRating]]</f>
        <v>0</v>
      </c>
    </row>
    <row r="1017" spans="1:18">
      <c r="A1017" s="2" t="s">
        <v>5324</v>
      </c>
      <c r="B1017" s="2" t="s">
        <v>1318</v>
      </c>
      <c r="C1017" s="1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  <c r="L1017" s="2" t="s">
        <v>11031</v>
      </c>
      <c r="M1017" s="2" t="s">
        <v>11030</v>
      </c>
      <c r="N1017" s="2" t="s">
        <v>11036</v>
      </c>
      <c r="O1017" s="2" t="s">
        <v>11038</v>
      </c>
      <c r="P1017" s="2" t="s">
        <v>11038</v>
      </c>
      <c r="Q1017" s="2">
        <f>AVERAGE(PerfRate[[#This Row],[EnvironmentSatisfaction]],PerfRate[[#This Row],[JobSatisfaction]],PerfRate[[#This Row],[RelationshipSatisfaction]])</f>
        <v>4.333333333333333</v>
      </c>
      <c r="R1017" s="2">
        <f>PerfRate[[#This Row],[ManagerRating]] - PerfRate[[#This Row],[SelfRating]]</f>
        <v>-1</v>
      </c>
    </row>
    <row r="1018" spans="1:18">
      <c r="A1018" s="2" t="s">
        <v>5325</v>
      </c>
      <c r="B1018" s="2" t="s">
        <v>3583</v>
      </c>
      <c r="C1018" s="1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  <c r="L1018" s="2" t="s">
        <v>11029</v>
      </c>
      <c r="M1018" s="2" t="s">
        <v>11029</v>
      </c>
      <c r="N1018" s="2" t="s">
        <v>11038</v>
      </c>
      <c r="O1018" s="2" t="s">
        <v>11035</v>
      </c>
      <c r="P1018" s="2" t="s">
        <v>11036</v>
      </c>
      <c r="Q1018" s="2">
        <f>AVERAGE(PerfRate[[#This Row],[EnvironmentSatisfaction]],PerfRate[[#This Row],[JobSatisfaction]],PerfRate[[#This Row],[RelationshipSatisfaction]])</f>
        <v>3.3333333333333335</v>
      </c>
      <c r="R1018" s="2">
        <f>PerfRate[[#This Row],[ManagerRating]] - PerfRate[[#This Row],[SelfRating]]</f>
        <v>0</v>
      </c>
    </row>
    <row r="1019" spans="1:18">
      <c r="A1019" s="2" t="s">
        <v>5326</v>
      </c>
      <c r="B1019" s="2" t="s">
        <v>138</v>
      </c>
      <c r="C1019" s="1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  <c r="L1019" s="2" t="s">
        <v>11030</v>
      </c>
      <c r="M1019" s="2" t="s">
        <v>11030</v>
      </c>
      <c r="N1019" s="2" t="s">
        <v>11037</v>
      </c>
      <c r="O1019" s="2" t="s">
        <v>11038</v>
      </c>
      <c r="P1019" s="2" t="s">
        <v>11038</v>
      </c>
      <c r="Q1019" s="2">
        <f>AVERAGE(PerfRate[[#This Row],[EnvironmentSatisfaction]],PerfRate[[#This Row],[JobSatisfaction]],PerfRate[[#This Row],[RelationshipSatisfaction]])</f>
        <v>4.666666666666667</v>
      </c>
      <c r="R1019" s="2">
        <f>PerfRate[[#This Row],[ManagerRating]] - PerfRate[[#This Row],[SelfRating]]</f>
        <v>0</v>
      </c>
    </row>
    <row r="1020" spans="1:18">
      <c r="A1020" s="2" t="s">
        <v>5327</v>
      </c>
      <c r="B1020" s="2" t="s">
        <v>23</v>
      </c>
      <c r="C1020" s="1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  <c r="L1020" s="2" t="s">
        <v>11029</v>
      </c>
      <c r="M1020" s="2" t="s">
        <v>11028</v>
      </c>
      <c r="N1020" s="2" t="s">
        <v>11037</v>
      </c>
      <c r="O1020" s="2" t="s">
        <v>11037</v>
      </c>
      <c r="P1020" s="2" t="s">
        <v>11038</v>
      </c>
      <c r="Q1020" s="2">
        <f>AVERAGE(PerfRate[[#This Row],[EnvironmentSatisfaction]],PerfRate[[#This Row],[JobSatisfaction]],PerfRate[[#This Row],[RelationshipSatisfaction]])</f>
        <v>4.333333333333333</v>
      </c>
      <c r="R1020" s="2">
        <f>PerfRate[[#This Row],[ManagerRating]] - PerfRate[[#This Row],[SelfRating]]</f>
        <v>-1</v>
      </c>
    </row>
    <row r="1021" spans="1:18">
      <c r="A1021" s="2" t="s">
        <v>5328</v>
      </c>
      <c r="B1021" s="2" t="s">
        <v>4069</v>
      </c>
      <c r="C1021" s="1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  <c r="L1021" s="2" t="s">
        <v>11031</v>
      </c>
      <c r="M1021" s="2" t="s">
        <v>11030</v>
      </c>
      <c r="N1021" s="2" t="s">
        <v>11037</v>
      </c>
      <c r="O1021" s="2" t="s">
        <v>11038</v>
      </c>
      <c r="P1021" s="2" t="s">
        <v>11038</v>
      </c>
      <c r="Q1021" s="2">
        <f>AVERAGE(PerfRate[[#This Row],[EnvironmentSatisfaction]],PerfRate[[#This Row],[JobSatisfaction]],PerfRate[[#This Row],[RelationshipSatisfaction]])</f>
        <v>4.666666666666667</v>
      </c>
      <c r="R1021" s="2">
        <f>PerfRate[[#This Row],[ManagerRating]] - PerfRate[[#This Row],[SelfRating]]</f>
        <v>-1</v>
      </c>
    </row>
    <row r="1022" spans="1:18">
      <c r="A1022" s="2" t="s">
        <v>5329</v>
      </c>
      <c r="B1022" s="2" t="s">
        <v>2131</v>
      </c>
      <c r="C1022" s="1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  <c r="L1022" s="2" t="s">
        <v>11031</v>
      </c>
      <c r="M1022" s="2" t="s">
        <v>11031</v>
      </c>
      <c r="N1022" s="2" t="s">
        <v>11036</v>
      </c>
      <c r="O1022" s="2" t="s">
        <v>11036</v>
      </c>
      <c r="P1022" s="2" t="s">
        <v>11036</v>
      </c>
      <c r="Q1022" s="2">
        <f>AVERAGE(PerfRate[[#This Row],[EnvironmentSatisfaction]],PerfRate[[#This Row],[JobSatisfaction]],PerfRate[[#This Row],[RelationshipSatisfaction]])</f>
        <v>3</v>
      </c>
      <c r="R1022" s="2">
        <f>PerfRate[[#This Row],[ManagerRating]] - PerfRate[[#This Row],[SelfRating]]</f>
        <v>0</v>
      </c>
    </row>
    <row r="1023" spans="1:18">
      <c r="A1023" s="2" t="s">
        <v>5330</v>
      </c>
      <c r="B1023" s="2" t="s">
        <v>797</v>
      </c>
      <c r="C1023" s="1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  <c r="L1023" s="2" t="s">
        <v>11030</v>
      </c>
      <c r="M1023" s="2" t="s">
        <v>11029</v>
      </c>
      <c r="N1023" s="2" t="s">
        <v>11038</v>
      </c>
      <c r="O1023" s="2" t="s">
        <v>11037</v>
      </c>
      <c r="P1023" s="2" t="s">
        <v>11036</v>
      </c>
      <c r="Q1023" s="2">
        <f>AVERAGE(PerfRate[[#This Row],[EnvironmentSatisfaction]],PerfRate[[#This Row],[JobSatisfaction]],PerfRate[[#This Row],[RelationshipSatisfaction]])</f>
        <v>4</v>
      </c>
      <c r="R1023" s="2">
        <f>PerfRate[[#This Row],[ManagerRating]] - PerfRate[[#This Row],[SelfRating]]</f>
        <v>-1</v>
      </c>
    </row>
    <row r="1024" spans="1:18">
      <c r="A1024" s="2" t="s">
        <v>5331</v>
      </c>
      <c r="B1024" s="2" t="s">
        <v>574</v>
      </c>
      <c r="C1024" s="1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  <c r="L1024" s="2" t="s">
        <v>11031</v>
      </c>
      <c r="M1024" s="2" t="s">
        <v>11030</v>
      </c>
      <c r="N1024" s="2" t="s">
        <v>11036</v>
      </c>
      <c r="O1024" s="2" t="s">
        <v>11038</v>
      </c>
      <c r="P1024" s="2" t="s">
        <v>11035</v>
      </c>
      <c r="Q1024" s="2">
        <f>AVERAGE(PerfRate[[#This Row],[EnvironmentSatisfaction]],PerfRate[[#This Row],[JobSatisfaction]],PerfRate[[#This Row],[RelationshipSatisfaction]])</f>
        <v>3.3333333333333335</v>
      </c>
      <c r="R1024" s="2">
        <f>PerfRate[[#This Row],[ManagerRating]] - PerfRate[[#This Row],[SelfRating]]</f>
        <v>-1</v>
      </c>
    </row>
    <row r="1025" spans="1:18">
      <c r="A1025" s="2" t="s">
        <v>5332</v>
      </c>
      <c r="B1025" s="2" t="s">
        <v>875</v>
      </c>
      <c r="C1025" s="1">
        <v>42746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  <c r="L1025" s="2" t="s">
        <v>11029</v>
      </c>
      <c r="M1025" s="2" t="s">
        <v>11029</v>
      </c>
      <c r="N1025" s="2" t="s">
        <v>11036</v>
      </c>
      <c r="O1025" s="2" t="s">
        <v>11035</v>
      </c>
      <c r="P1025" s="2" t="s">
        <v>11037</v>
      </c>
      <c r="Q1025" s="2">
        <f>AVERAGE(PerfRate[[#This Row],[EnvironmentSatisfaction]],PerfRate[[#This Row],[JobSatisfaction]],PerfRate[[#This Row],[RelationshipSatisfaction]])</f>
        <v>3</v>
      </c>
      <c r="R1025" s="2">
        <f>PerfRate[[#This Row],[ManagerRating]] - PerfRate[[#This Row],[SelfRating]]</f>
        <v>0</v>
      </c>
    </row>
    <row r="1026" spans="1:18">
      <c r="A1026" s="2" t="s">
        <v>5333</v>
      </c>
      <c r="B1026" s="2" t="s">
        <v>389</v>
      </c>
      <c r="C1026" s="1">
        <v>42777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  <c r="L1026" s="2" t="s">
        <v>11030</v>
      </c>
      <c r="M1026" s="2" t="s">
        <v>11030</v>
      </c>
      <c r="N1026" s="2" t="s">
        <v>11038</v>
      </c>
      <c r="O1026" s="2" t="s">
        <v>11037</v>
      </c>
      <c r="P1026" s="2" t="s">
        <v>11035</v>
      </c>
      <c r="Q1026" s="2">
        <f>AVERAGE(PerfRate[[#This Row],[EnvironmentSatisfaction]],PerfRate[[#This Row],[JobSatisfaction]],PerfRate[[#This Row],[RelationshipSatisfaction]])</f>
        <v>3.6666666666666665</v>
      </c>
      <c r="R1026" s="2">
        <f>PerfRate[[#This Row],[ManagerRating]] - PerfRate[[#This Row],[SelfRating]]</f>
        <v>0</v>
      </c>
    </row>
    <row r="1027" spans="1:18">
      <c r="A1027" s="2" t="s">
        <v>5334</v>
      </c>
      <c r="B1027" s="2" t="s">
        <v>1207</v>
      </c>
      <c r="C1027" s="1">
        <v>42777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  <c r="L1027" s="2" t="s">
        <v>11029</v>
      </c>
      <c r="M1027" s="2" t="s">
        <v>11029</v>
      </c>
      <c r="N1027" s="2" t="s">
        <v>11038</v>
      </c>
      <c r="O1027" s="2" t="s">
        <v>11038</v>
      </c>
      <c r="P1027" s="2" t="s">
        <v>11036</v>
      </c>
      <c r="Q1027" s="2">
        <f>AVERAGE(PerfRate[[#This Row],[EnvironmentSatisfaction]],PerfRate[[#This Row],[JobSatisfaction]],PerfRate[[#This Row],[RelationshipSatisfaction]])</f>
        <v>4.333333333333333</v>
      </c>
      <c r="R1027" s="2">
        <f>PerfRate[[#This Row],[ManagerRating]] - PerfRate[[#This Row],[SelfRating]]</f>
        <v>0</v>
      </c>
    </row>
    <row r="1028" spans="1:18">
      <c r="A1028" s="2" t="s">
        <v>5335</v>
      </c>
      <c r="B1028" s="2" t="s">
        <v>3552</v>
      </c>
      <c r="C1028" s="1">
        <v>42805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  <c r="L1028" s="2" t="s">
        <v>11031</v>
      </c>
      <c r="M1028" s="2" t="s">
        <v>11030</v>
      </c>
      <c r="N1028" s="2" t="s">
        <v>11037</v>
      </c>
      <c r="O1028" s="2" t="s">
        <v>11035</v>
      </c>
      <c r="P1028" s="2" t="s">
        <v>11038</v>
      </c>
      <c r="Q1028" s="2">
        <f>AVERAGE(PerfRate[[#This Row],[EnvironmentSatisfaction]],PerfRate[[#This Row],[JobSatisfaction]],PerfRate[[#This Row],[RelationshipSatisfaction]])</f>
        <v>3.6666666666666665</v>
      </c>
      <c r="R1028" s="2">
        <f>PerfRate[[#This Row],[ManagerRating]] - PerfRate[[#This Row],[SelfRating]]</f>
        <v>-1</v>
      </c>
    </row>
    <row r="1029" spans="1:18">
      <c r="A1029" s="2" t="s">
        <v>5336</v>
      </c>
      <c r="B1029" s="2" t="s">
        <v>681</v>
      </c>
      <c r="C1029" s="1">
        <v>42836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  <c r="L1029" s="2" t="s">
        <v>11030</v>
      </c>
      <c r="M1029" s="2" t="s">
        <v>11029</v>
      </c>
      <c r="N1029" s="2" t="s">
        <v>11037</v>
      </c>
      <c r="O1029" s="2" t="s">
        <v>11036</v>
      </c>
      <c r="P1029" s="2" t="s">
        <v>11037</v>
      </c>
      <c r="Q1029" s="2">
        <f>AVERAGE(PerfRate[[#This Row],[EnvironmentSatisfaction]],PerfRate[[#This Row],[JobSatisfaction]],PerfRate[[#This Row],[RelationshipSatisfaction]])</f>
        <v>3.6666666666666665</v>
      </c>
      <c r="R1029" s="2">
        <f>PerfRate[[#This Row],[ManagerRating]] - PerfRate[[#This Row],[SelfRating]]</f>
        <v>-1</v>
      </c>
    </row>
    <row r="1030" spans="1:18">
      <c r="A1030" s="2" t="s">
        <v>5337</v>
      </c>
      <c r="B1030" s="2" t="s">
        <v>3305</v>
      </c>
      <c r="C1030" s="1">
        <v>42866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  <c r="L1030" s="2" t="s">
        <v>11030</v>
      </c>
      <c r="M1030" s="2" t="s">
        <v>11030</v>
      </c>
      <c r="N1030" s="2" t="s">
        <v>11038</v>
      </c>
      <c r="O1030" s="2" t="s">
        <v>11035</v>
      </c>
      <c r="P1030" s="2" t="s">
        <v>11036</v>
      </c>
      <c r="Q1030" s="2">
        <f>AVERAGE(PerfRate[[#This Row],[EnvironmentSatisfaction]],PerfRate[[#This Row],[JobSatisfaction]],PerfRate[[#This Row],[RelationshipSatisfaction]])</f>
        <v>3.3333333333333335</v>
      </c>
      <c r="R1030" s="2">
        <f>PerfRate[[#This Row],[ManagerRating]] - PerfRate[[#This Row],[SelfRating]]</f>
        <v>0</v>
      </c>
    </row>
    <row r="1031" spans="1:18">
      <c r="A1031" s="2" t="s">
        <v>5338</v>
      </c>
      <c r="B1031" s="2" t="s">
        <v>1087</v>
      </c>
      <c r="C1031" s="1">
        <v>42866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  <c r="L1031" s="2" t="s">
        <v>11030</v>
      </c>
      <c r="M1031" s="2" t="s">
        <v>11029</v>
      </c>
      <c r="N1031" s="2" t="s">
        <v>11038</v>
      </c>
      <c r="O1031" s="2" t="s">
        <v>11037</v>
      </c>
      <c r="P1031" s="2" t="s">
        <v>11036</v>
      </c>
      <c r="Q1031" s="2">
        <f>AVERAGE(PerfRate[[#This Row],[EnvironmentSatisfaction]],PerfRate[[#This Row],[JobSatisfaction]],PerfRate[[#This Row],[RelationshipSatisfaction]])</f>
        <v>4</v>
      </c>
      <c r="R1031" s="2">
        <f>PerfRate[[#This Row],[ManagerRating]] - PerfRate[[#This Row],[SelfRating]]</f>
        <v>-1</v>
      </c>
    </row>
    <row r="1032" spans="1:18">
      <c r="A1032" s="2" t="s">
        <v>5339</v>
      </c>
      <c r="B1032" s="2" t="s">
        <v>661</v>
      </c>
      <c r="C1032" s="1">
        <v>42897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  <c r="L1032" s="2" t="s">
        <v>11030</v>
      </c>
      <c r="M1032" s="2" t="s">
        <v>11030</v>
      </c>
      <c r="N1032" s="2" t="s">
        <v>11036</v>
      </c>
      <c r="O1032" s="2" t="s">
        <v>11038</v>
      </c>
      <c r="P1032" s="2" t="s">
        <v>11037</v>
      </c>
      <c r="Q1032" s="2">
        <f>AVERAGE(PerfRate[[#This Row],[EnvironmentSatisfaction]],PerfRate[[#This Row],[JobSatisfaction]],PerfRate[[#This Row],[RelationshipSatisfaction]])</f>
        <v>4</v>
      </c>
      <c r="R1032" s="2">
        <f>PerfRate[[#This Row],[ManagerRating]] - PerfRate[[#This Row],[SelfRating]]</f>
        <v>0</v>
      </c>
    </row>
    <row r="1033" spans="1:18">
      <c r="A1033" s="2" t="s">
        <v>5340</v>
      </c>
      <c r="B1033" s="2" t="s">
        <v>1198</v>
      </c>
      <c r="C1033" s="1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  <c r="L1033" s="2" t="s">
        <v>11030</v>
      </c>
      <c r="M1033" s="2" t="s">
        <v>11029</v>
      </c>
      <c r="N1033" s="2" t="s">
        <v>11038</v>
      </c>
      <c r="O1033" s="2" t="s">
        <v>11035</v>
      </c>
      <c r="P1033" s="2" t="s">
        <v>11035</v>
      </c>
      <c r="Q1033" s="2">
        <f>AVERAGE(PerfRate[[#This Row],[EnvironmentSatisfaction]],PerfRate[[#This Row],[JobSatisfaction]],PerfRate[[#This Row],[RelationshipSatisfaction]])</f>
        <v>3</v>
      </c>
      <c r="R1033" s="2">
        <f>PerfRate[[#This Row],[ManagerRating]] - PerfRate[[#This Row],[SelfRating]]</f>
        <v>-1</v>
      </c>
    </row>
    <row r="1034" spans="1:18">
      <c r="A1034" s="2" t="s">
        <v>5341</v>
      </c>
      <c r="B1034" s="2" t="s">
        <v>895</v>
      </c>
      <c r="C1034" s="1">
        <v>42897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  <c r="L1034" s="2" t="s">
        <v>11031</v>
      </c>
      <c r="M1034" s="2" t="s">
        <v>11030</v>
      </c>
      <c r="N1034" s="2" t="s">
        <v>11037</v>
      </c>
      <c r="O1034" s="2" t="s">
        <v>11037</v>
      </c>
      <c r="P1034" s="2" t="s">
        <v>11037</v>
      </c>
      <c r="Q1034" s="2">
        <f>AVERAGE(PerfRate[[#This Row],[EnvironmentSatisfaction]],PerfRate[[#This Row],[JobSatisfaction]],PerfRate[[#This Row],[RelationshipSatisfaction]])</f>
        <v>4</v>
      </c>
      <c r="R1034" s="2">
        <f>PerfRate[[#This Row],[ManagerRating]] - PerfRate[[#This Row],[SelfRating]]</f>
        <v>-1</v>
      </c>
    </row>
    <row r="1035" spans="1:18">
      <c r="A1035" s="2" t="s">
        <v>5342</v>
      </c>
      <c r="B1035" s="2" t="s">
        <v>526</v>
      </c>
      <c r="C1035" s="1">
        <v>42897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  <c r="L1035" s="2" t="s">
        <v>11029</v>
      </c>
      <c r="M1035" s="2" t="s">
        <v>11028</v>
      </c>
      <c r="N1035" s="2" t="s">
        <v>11036</v>
      </c>
      <c r="O1035" s="2" t="s">
        <v>11038</v>
      </c>
      <c r="P1035" s="2" t="s">
        <v>11038</v>
      </c>
      <c r="Q1035" s="2">
        <f>AVERAGE(PerfRate[[#This Row],[EnvironmentSatisfaction]],PerfRate[[#This Row],[JobSatisfaction]],PerfRate[[#This Row],[RelationshipSatisfaction]])</f>
        <v>4.333333333333333</v>
      </c>
      <c r="R1035" s="2">
        <f>PerfRate[[#This Row],[ManagerRating]] - PerfRate[[#This Row],[SelfRating]]</f>
        <v>-1</v>
      </c>
    </row>
    <row r="1036" spans="1:18">
      <c r="A1036" s="2" t="s">
        <v>5343</v>
      </c>
      <c r="B1036" s="2" t="s">
        <v>1121</v>
      </c>
      <c r="C1036" s="1">
        <v>42897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  <c r="L1036" s="2" t="s">
        <v>11030</v>
      </c>
      <c r="M1036" s="2" t="s">
        <v>11029</v>
      </c>
      <c r="N1036" s="2" t="s">
        <v>11036</v>
      </c>
      <c r="O1036" s="2" t="s">
        <v>11036</v>
      </c>
      <c r="P1036" s="2" t="s">
        <v>11036</v>
      </c>
      <c r="Q1036" s="2">
        <f>AVERAGE(PerfRate[[#This Row],[EnvironmentSatisfaction]],PerfRate[[#This Row],[JobSatisfaction]],PerfRate[[#This Row],[RelationshipSatisfaction]])</f>
        <v>3</v>
      </c>
      <c r="R1036" s="2">
        <f>PerfRate[[#This Row],[ManagerRating]] - PerfRate[[#This Row],[SelfRating]]</f>
        <v>-1</v>
      </c>
    </row>
    <row r="1037" spans="1:18">
      <c r="A1037" s="2" t="s">
        <v>5344</v>
      </c>
      <c r="B1037" s="2" t="s">
        <v>3442</v>
      </c>
      <c r="C1037" s="1">
        <v>42927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  <c r="L1037" s="2" t="s">
        <v>11030</v>
      </c>
      <c r="M1037" s="2" t="s">
        <v>11030</v>
      </c>
      <c r="N1037" s="2" t="s">
        <v>11037</v>
      </c>
      <c r="O1037" s="2" t="s">
        <v>11035</v>
      </c>
      <c r="P1037" s="2" t="s">
        <v>11038</v>
      </c>
      <c r="Q1037" s="2">
        <f>AVERAGE(PerfRate[[#This Row],[EnvironmentSatisfaction]],PerfRate[[#This Row],[JobSatisfaction]],PerfRate[[#This Row],[RelationshipSatisfaction]])</f>
        <v>3.6666666666666665</v>
      </c>
      <c r="R1037" s="2">
        <f>PerfRate[[#This Row],[ManagerRating]] - PerfRate[[#This Row],[SelfRating]]</f>
        <v>0</v>
      </c>
    </row>
    <row r="1038" spans="1:18">
      <c r="A1038" s="2" t="s">
        <v>5345</v>
      </c>
      <c r="B1038" s="2" t="s">
        <v>667</v>
      </c>
      <c r="C1038" s="1">
        <v>42927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  <c r="L1038" s="2" t="s">
        <v>11029</v>
      </c>
      <c r="M1038" s="2" t="s">
        <v>11028</v>
      </c>
      <c r="N1038" s="2" t="s">
        <v>11037</v>
      </c>
      <c r="O1038" s="2" t="s">
        <v>11035</v>
      </c>
      <c r="P1038" s="2" t="s">
        <v>11037</v>
      </c>
      <c r="Q1038" s="2">
        <f>AVERAGE(PerfRate[[#This Row],[EnvironmentSatisfaction]],PerfRate[[#This Row],[JobSatisfaction]],PerfRate[[#This Row],[RelationshipSatisfaction]])</f>
        <v>3.3333333333333335</v>
      </c>
      <c r="R1038" s="2">
        <f>PerfRate[[#This Row],[ManagerRating]] - PerfRate[[#This Row],[SelfRating]]</f>
        <v>-1</v>
      </c>
    </row>
    <row r="1039" spans="1:18">
      <c r="A1039" s="2" t="s">
        <v>5346</v>
      </c>
      <c r="B1039" s="2" t="s">
        <v>3631</v>
      </c>
      <c r="C1039" s="1">
        <v>42958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  <c r="L1039" s="2" t="s">
        <v>11030</v>
      </c>
      <c r="M1039" s="2" t="s">
        <v>11029</v>
      </c>
      <c r="N1039" s="2" t="s">
        <v>11036</v>
      </c>
      <c r="O1039" s="2" t="s">
        <v>11037</v>
      </c>
      <c r="P1039" s="2" t="s">
        <v>11035</v>
      </c>
      <c r="Q1039" s="2">
        <f>AVERAGE(PerfRate[[#This Row],[EnvironmentSatisfaction]],PerfRate[[#This Row],[JobSatisfaction]],PerfRate[[#This Row],[RelationshipSatisfaction]])</f>
        <v>3</v>
      </c>
      <c r="R1039" s="2">
        <f>PerfRate[[#This Row],[ManagerRating]] - PerfRate[[#This Row],[SelfRating]]</f>
        <v>-1</v>
      </c>
    </row>
    <row r="1040" spans="1:18">
      <c r="A1040" s="2" t="s">
        <v>5347</v>
      </c>
      <c r="B1040" s="2" t="s">
        <v>1133</v>
      </c>
      <c r="C1040" s="1">
        <v>42958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  <c r="L1040" s="2" t="s">
        <v>11031</v>
      </c>
      <c r="M1040" s="2" t="s">
        <v>11031</v>
      </c>
      <c r="N1040" s="2" t="s">
        <v>11038</v>
      </c>
      <c r="O1040" s="2" t="s">
        <v>11035</v>
      </c>
      <c r="P1040" s="2" t="s">
        <v>11038</v>
      </c>
      <c r="Q1040" s="2">
        <f>AVERAGE(PerfRate[[#This Row],[EnvironmentSatisfaction]],PerfRate[[#This Row],[JobSatisfaction]],PerfRate[[#This Row],[RelationshipSatisfaction]])</f>
        <v>4</v>
      </c>
      <c r="R1040" s="2">
        <f>PerfRate[[#This Row],[ManagerRating]] - PerfRate[[#This Row],[SelfRating]]</f>
        <v>0</v>
      </c>
    </row>
    <row r="1041" spans="1:18">
      <c r="A1041" s="2" t="s">
        <v>5348</v>
      </c>
      <c r="B1041" s="2" t="s">
        <v>1695</v>
      </c>
      <c r="C1041" s="1">
        <v>42958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  <c r="L1041" s="2" t="s">
        <v>11030</v>
      </c>
      <c r="M1041" s="2" t="s">
        <v>11030</v>
      </c>
      <c r="N1041" s="2" t="s">
        <v>11036</v>
      </c>
      <c r="O1041" s="2" t="s">
        <v>11035</v>
      </c>
      <c r="P1041" s="2" t="s">
        <v>11038</v>
      </c>
      <c r="Q1041" s="2">
        <f>AVERAGE(PerfRate[[#This Row],[EnvironmentSatisfaction]],PerfRate[[#This Row],[JobSatisfaction]],PerfRate[[#This Row],[RelationshipSatisfaction]])</f>
        <v>3.3333333333333335</v>
      </c>
      <c r="R1041" s="2">
        <f>PerfRate[[#This Row],[ManagerRating]] - PerfRate[[#This Row],[SelfRating]]</f>
        <v>0</v>
      </c>
    </row>
    <row r="1042" spans="1:18">
      <c r="A1042" s="2" t="s">
        <v>5349</v>
      </c>
      <c r="B1042" s="2" t="s">
        <v>144</v>
      </c>
      <c r="C1042" s="1">
        <v>42989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  <c r="L1042" s="2" t="s">
        <v>11030</v>
      </c>
      <c r="M1042" s="2" t="s">
        <v>11029</v>
      </c>
      <c r="N1042" s="2" t="s">
        <v>11037</v>
      </c>
      <c r="O1042" s="2" t="s">
        <v>11036</v>
      </c>
      <c r="P1042" s="2" t="s">
        <v>11038</v>
      </c>
      <c r="Q1042" s="2">
        <f>AVERAGE(PerfRate[[#This Row],[EnvironmentSatisfaction]],PerfRate[[#This Row],[JobSatisfaction]],PerfRate[[#This Row],[RelationshipSatisfaction]])</f>
        <v>4</v>
      </c>
      <c r="R1042" s="2">
        <f>PerfRate[[#This Row],[ManagerRating]] - PerfRate[[#This Row],[SelfRating]]</f>
        <v>-1</v>
      </c>
    </row>
    <row r="1043" spans="1:18">
      <c r="A1043" s="2" t="s">
        <v>5350</v>
      </c>
      <c r="B1043" s="2" t="s">
        <v>785</v>
      </c>
      <c r="C1043" s="1">
        <v>42989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  <c r="L1043" s="2" t="s">
        <v>11030</v>
      </c>
      <c r="M1043" s="2" t="s">
        <v>11030</v>
      </c>
      <c r="N1043" s="2" t="s">
        <v>11037</v>
      </c>
      <c r="O1043" s="2" t="s">
        <v>11037</v>
      </c>
      <c r="P1043" s="2" t="s">
        <v>11036</v>
      </c>
      <c r="Q1043" s="2">
        <f>AVERAGE(PerfRate[[#This Row],[EnvironmentSatisfaction]],PerfRate[[#This Row],[JobSatisfaction]],PerfRate[[#This Row],[RelationshipSatisfaction]])</f>
        <v>3.6666666666666665</v>
      </c>
      <c r="R1043" s="2">
        <f>PerfRate[[#This Row],[ManagerRating]] - PerfRate[[#This Row],[SelfRating]]</f>
        <v>0</v>
      </c>
    </row>
    <row r="1044" spans="1:18">
      <c r="A1044" s="2" t="s">
        <v>5351</v>
      </c>
      <c r="B1044" s="2" t="s">
        <v>1006</v>
      </c>
      <c r="C1044" s="1">
        <v>41641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  <c r="L1044" s="2" t="s">
        <v>11030</v>
      </c>
      <c r="M1044" s="2" t="s">
        <v>11030</v>
      </c>
      <c r="N1044" s="2" t="s">
        <v>11038</v>
      </c>
      <c r="O1044" s="2" t="s">
        <v>11036</v>
      </c>
      <c r="P1044" s="2" t="s">
        <v>11037</v>
      </c>
      <c r="Q1044" s="2">
        <f>AVERAGE(PerfRate[[#This Row],[EnvironmentSatisfaction]],PerfRate[[#This Row],[JobSatisfaction]],PerfRate[[#This Row],[RelationshipSatisfaction]])</f>
        <v>4</v>
      </c>
      <c r="R1044" s="2">
        <f>PerfRate[[#This Row],[ManagerRating]] - PerfRate[[#This Row],[SelfRating]]</f>
        <v>0</v>
      </c>
    </row>
    <row r="1045" spans="1:18">
      <c r="A1045" s="2" t="s">
        <v>5352</v>
      </c>
      <c r="B1045" s="2" t="s">
        <v>1114</v>
      </c>
      <c r="C1045" s="1">
        <v>42989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  <c r="L1045" s="2" t="s">
        <v>11029</v>
      </c>
      <c r="M1045" s="2" t="s">
        <v>11029</v>
      </c>
      <c r="N1045" s="2" t="s">
        <v>11038</v>
      </c>
      <c r="O1045" s="2" t="s">
        <v>11038</v>
      </c>
      <c r="P1045" s="2" t="s">
        <v>11035</v>
      </c>
      <c r="Q1045" s="2">
        <f>AVERAGE(PerfRate[[#This Row],[EnvironmentSatisfaction]],PerfRate[[#This Row],[JobSatisfaction]],PerfRate[[#This Row],[RelationshipSatisfaction]])</f>
        <v>4</v>
      </c>
      <c r="R1045" s="2">
        <f>PerfRate[[#This Row],[ManagerRating]] - PerfRate[[#This Row],[SelfRating]]</f>
        <v>0</v>
      </c>
    </row>
    <row r="1046" spans="1:18">
      <c r="A1046" s="2" t="s">
        <v>5353</v>
      </c>
      <c r="B1046" s="2" t="s">
        <v>172</v>
      </c>
      <c r="C1046" s="1">
        <v>43019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  <c r="L1046" s="2" t="s">
        <v>11029</v>
      </c>
      <c r="M1046" s="2" t="s">
        <v>11028</v>
      </c>
      <c r="N1046" s="2" t="s">
        <v>11038</v>
      </c>
      <c r="O1046" s="2" t="s">
        <v>11037</v>
      </c>
      <c r="P1046" s="2" t="s">
        <v>11037</v>
      </c>
      <c r="Q1046" s="2">
        <f>AVERAGE(PerfRate[[#This Row],[EnvironmentSatisfaction]],PerfRate[[#This Row],[JobSatisfaction]],PerfRate[[#This Row],[RelationshipSatisfaction]])</f>
        <v>4.333333333333333</v>
      </c>
      <c r="R1046" s="2">
        <f>PerfRate[[#This Row],[ManagerRating]] - PerfRate[[#This Row],[SelfRating]]</f>
        <v>-1</v>
      </c>
    </row>
    <row r="1047" spans="1:18">
      <c r="A1047" s="2" t="s">
        <v>5354</v>
      </c>
      <c r="B1047" s="2" t="s">
        <v>2662</v>
      </c>
      <c r="C1047" s="1">
        <v>43019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  <c r="L1047" s="2" t="s">
        <v>11030</v>
      </c>
      <c r="M1047" s="2" t="s">
        <v>11029</v>
      </c>
      <c r="N1047" s="2" t="s">
        <v>11037</v>
      </c>
      <c r="O1047" s="2" t="s">
        <v>11035</v>
      </c>
      <c r="P1047" s="2" t="s">
        <v>11036</v>
      </c>
      <c r="Q1047" s="2">
        <f>AVERAGE(PerfRate[[#This Row],[EnvironmentSatisfaction]],PerfRate[[#This Row],[JobSatisfaction]],PerfRate[[#This Row],[RelationshipSatisfaction]])</f>
        <v>3</v>
      </c>
      <c r="R1047" s="2">
        <f>PerfRate[[#This Row],[ManagerRating]] - PerfRate[[#This Row],[SelfRating]]</f>
        <v>-1</v>
      </c>
    </row>
    <row r="1048" spans="1:18">
      <c r="A1048" s="2" t="s">
        <v>5355</v>
      </c>
      <c r="B1048" s="2" t="s">
        <v>4227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  <c r="L1048" s="2" t="s">
        <v>11030</v>
      </c>
      <c r="M1048" s="2" t="s">
        <v>11029</v>
      </c>
      <c r="N1048" s="2" t="s">
        <v>11038</v>
      </c>
      <c r="O1048" s="2" t="s">
        <v>11035</v>
      </c>
      <c r="P1048" s="2" t="s">
        <v>11037</v>
      </c>
      <c r="Q1048" s="2">
        <f>AVERAGE(PerfRate[[#This Row],[EnvironmentSatisfaction]],PerfRate[[#This Row],[JobSatisfaction]],PerfRate[[#This Row],[RelationshipSatisfaction]])</f>
        <v>3.6666666666666665</v>
      </c>
      <c r="R1048" s="2">
        <f>PerfRate[[#This Row],[ManagerRating]] - PerfRate[[#This Row],[SelfRating]]</f>
        <v>-1</v>
      </c>
    </row>
    <row r="1049" spans="1:18">
      <c r="A1049" s="2" t="s">
        <v>5356</v>
      </c>
      <c r="B1049" s="2" t="s">
        <v>3411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  <c r="L1049" s="2" t="s">
        <v>11031</v>
      </c>
      <c r="M1049" s="2" t="s">
        <v>11031</v>
      </c>
      <c r="N1049" s="2" t="s">
        <v>11037</v>
      </c>
      <c r="O1049" s="2" t="s">
        <v>11035</v>
      </c>
      <c r="P1049" s="2" t="s">
        <v>11036</v>
      </c>
      <c r="Q1049" s="2">
        <f>AVERAGE(PerfRate[[#This Row],[EnvironmentSatisfaction]],PerfRate[[#This Row],[JobSatisfaction]],PerfRate[[#This Row],[RelationshipSatisfaction]])</f>
        <v>3</v>
      </c>
      <c r="R1049" s="2">
        <f>PerfRate[[#This Row],[ManagerRating]] - PerfRate[[#This Row],[SelfRating]]</f>
        <v>0</v>
      </c>
    </row>
    <row r="1050" spans="1:18">
      <c r="A1050" s="2" t="s">
        <v>5357</v>
      </c>
      <c r="B1050" s="2" t="s">
        <v>768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  <c r="L1050" s="2" t="s">
        <v>11029</v>
      </c>
      <c r="M1050" s="2" t="s">
        <v>11028</v>
      </c>
      <c r="N1050" s="2" t="s">
        <v>11038</v>
      </c>
      <c r="O1050" s="2" t="s">
        <v>11036</v>
      </c>
      <c r="P1050" s="2" t="s">
        <v>11037</v>
      </c>
      <c r="Q1050" s="2">
        <f>AVERAGE(PerfRate[[#This Row],[EnvironmentSatisfaction]],PerfRate[[#This Row],[JobSatisfaction]],PerfRate[[#This Row],[RelationshipSatisfaction]])</f>
        <v>4</v>
      </c>
      <c r="R1050" s="2">
        <f>PerfRate[[#This Row],[ManagerRating]] - PerfRate[[#This Row],[SelfRating]]</f>
        <v>-1</v>
      </c>
    </row>
    <row r="1051" spans="1:18">
      <c r="A1051" s="2" t="s">
        <v>5358</v>
      </c>
      <c r="B1051" s="2" t="s">
        <v>1051</v>
      </c>
      <c r="C1051" s="1">
        <v>43080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  <c r="L1051" s="2" t="s">
        <v>11031</v>
      </c>
      <c r="M1051" s="2" t="s">
        <v>11031</v>
      </c>
      <c r="N1051" s="2" t="s">
        <v>11036</v>
      </c>
      <c r="O1051" s="2" t="s">
        <v>11038</v>
      </c>
      <c r="P1051" s="2" t="s">
        <v>11037</v>
      </c>
      <c r="Q1051" s="2">
        <f>AVERAGE(PerfRate[[#This Row],[EnvironmentSatisfaction]],PerfRate[[#This Row],[JobSatisfaction]],PerfRate[[#This Row],[RelationshipSatisfaction]])</f>
        <v>4</v>
      </c>
      <c r="R1051" s="2">
        <f>PerfRate[[#This Row],[ManagerRating]] - PerfRate[[#This Row],[SelfRating]]</f>
        <v>0</v>
      </c>
    </row>
    <row r="1052" spans="1:18">
      <c r="A1052" s="2" t="s">
        <v>5359</v>
      </c>
      <c r="B1052" s="2" t="s">
        <v>1168</v>
      </c>
      <c r="C1052" s="1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  <c r="L1052" s="2" t="s">
        <v>11030</v>
      </c>
      <c r="M1052" s="2" t="s">
        <v>11029</v>
      </c>
      <c r="N1052" s="2" t="s">
        <v>11036</v>
      </c>
      <c r="O1052" s="2" t="s">
        <v>11035</v>
      </c>
      <c r="P1052" s="2" t="s">
        <v>11038</v>
      </c>
      <c r="Q1052" s="2">
        <f>AVERAGE(PerfRate[[#This Row],[EnvironmentSatisfaction]],PerfRate[[#This Row],[JobSatisfaction]],PerfRate[[#This Row],[RelationshipSatisfaction]])</f>
        <v>3.3333333333333335</v>
      </c>
      <c r="R1052" s="2">
        <f>PerfRate[[#This Row],[ManagerRating]] - PerfRate[[#This Row],[SelfRating]]</f>
        <v>-1</v>
      </c>
    </row>
    <row r="1053" spans="1:18">
      <c r="A1053" s="2" t="s">
        <v>5360</v>
      </c>
      <c r="B1053" s="2" t="s">
        <v>485</v>
      </c>
      <c r="C1053" s="1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  <c r="L1053" s="2" t="s">
        <v>11030</v>
      </c>
      <c r="M1053" s="2" t="s">
        <v>11029</v>
      </c>
      <c r="N1053" s="2" t="s">
        <v>11038</v>
      </c>
      <c r="O1053" s="2" t="s">
        <v>11036</v>
      </c>
      <c r="P1053" s="2" t="s">
        <v>11037</v>
      </c>
      <c r="Q1053" s="2">
        <f>AVERAGE(PerfRate[[#This Row],[EnvironmentSatisfaction]],PerfRate[[#This Row],[JobSatisfaction]],PerfRate[[#This Row],[RelationshipSatisfaction]])</f>
        <v>4</v>
      </c>
      <c r="R1053" s="2">
        <f>PerfRate[[#This Row],[ManagerRating]] - PerfRate[[#This Row],[SelfRating]]</f>
        <v>-1</v>
      </c>
    </row>
    <row r="1054" spans="1:18">
      <c r="A1054" s="2" t="s">
        <v>5361</v>
      </c>
      <c r="B1054" s="2" t="s">
        <v>1015</v>
      </c>
      <c r="C1054" s="1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  <c r="L1054" s="2" t="s">
        <v>11031</v>
      </c>
      <c r="M1054" s="2" t="s">
        <v>11030</v>
      </c>
      <c r="N1054" s="2" t="s">
        <v>11038</v>
      </c>
      <c r="O1054" s="2" t="s">
        <v>11038</v>
      </c>
      <c r="P1054" s="2" t="s">
        <v>11038</v>
      </c>
      <c r="Q1054" s="2">
        <f>AVERAGE(PerfRate[[#This Row],[EnvironmentSatisfaction]],PerfRate[[#This Row],[JobSatisfaction]],PerfRate[[#This Row],[RelationshipSatisfaction]])</f>
        <v>5</v>
      </c>
      <c r="R1054" s="2">
        <f>PerfRate[[#This Row],[ManagerRating]] - PerfRate[[#This Row],[SelfRating]]</f>
        <v>-1</v>
      </c>
    </row>
    <row r="1055" spans="1:18">
      <c r="A1055" s="2" t="s">
        <v>5362</v>
      </c>
      <c r="B1055" s="2" t="s">
        <v>523</v>
      </c>
      <c r="C1055" s="1">
        <v>41641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  <c r="L1055" s="2" t="s">
        <v>11030</v>
      </c>
      <c r="M1055" s="2" t="s">
        <v>11030</v>
      </c>
      <c r="N1055" s="2" t="s">
        <v>11037</v>
      </c>
      <c r="O1055" s="2" t="s">
        <v>11037</v>
      </c>
      <c r="P1055" s="2" t="s">
        <v>11036</v>
      </c>
      <c r="Q1055" s="2">
        <f>AVERAGE(PerfRate[[#This Row],[EnvironmentSatisfaction]],PerfRate[[#This Row],[JobSatisfaction]],PerfRate[[#This Row],[RelationshipSatisfaction]])</f>
        <v>3.6666666666666665</v>
      </c>
      <c r="R1055" s="2">
        <f>PerfRate[[#This Row],[ManagerRating]] - PerfRate[[#This Row],[SelfRating]]</f>
        <v>0</v>
      </c>
    </row>
    <row r="1056" spans="1:18">
      <c r="A1056" s="2" t="s">
        <v>5363</v>
      </c>
      <c r="B1056" s="2" t="s">
        <v>125</v>
      </c>
      <c r="C1056" s="1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  <c r="L1056" s="2" t="s">
        <v>11031</v>
      </c>
      <c r="M1056" s="2" t="s">
        <v>11030</v>
      </c>
      <c r="N1056" s="2" t="s">
        <v>11038</v>
      </c>
      <c r="O1056" s="2" t="s">
        <v>11038</v>
      </c>
      <c r="P1056" s="2" t="s">
        <v>11036</v>
      </c>
      <c r="Q1056" s="2">
        <f>AVERAGE(PerfRate[[#This Row],[EnvironmentSatisfaction]],PerfRate[[#This Row],[JobSatisfaction]],PerfRate[[#This Row],[RelationshipSatisfaction]])</f>
        <v>4.333333333333333</v>
      </c>
      <c r="R1056" s="2">
        <f>PerfRate[[#This Row],[ManagerRating]] - PerfRate[[#This Row],[SelfRating]]</f>
        <v>-1</v>
      </c>
    </row>
    <row r="1057" spans="1:18">
      <c r="A1057" s="2" t="s">
        <v>5364</v>
      </c>
      <c r="B1057" s="2" t="s">
        <v>1266</v>
      </c>
      <c r="C1057" s="1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  <c r="L1057" s="2" t="s">
        <v>11029</v>
      </c>
      <c r="M1057" s="2" t="s">
        <v>11029</v>
      </c>
      <c r="N1057" s="2" t="s">
        <v>11036</v>
      </c>
      <c r="O1057" s="2" t="s">
        <v>11037</v>
      </c>
      <c r="P1057" s="2" t="s">
        <v>11035</v>
      </c>
      <c r="Q1057" s="2">
        <f>AVERAGE(PerfRate[[#This Row],[EnvironmentSatisfaction]],PerfRate[[#This Row],[JobSatisfaction]],PerfRate[[#This Row],[RelationshipSatisfaction]])</f>
        <v>3</v>
      </c>
      <c r="R1057" s="2">
        <f>PerfRate[[#This Row],[ManagerRating]] - PerfRate[[#This Row],[SelfRating]]</f>
        <v>0</v>
      </c>
    </row>
    <row r="1058" spans="1:18">
      <c r="A1058" s="2" t="s">
        <v>5365</v>
      </c>
      <c r="B1058" s="2" t="s">
        <v>1683</v>
      </c>
      <c r="C1058" s="1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  <c r="L1058" s="2" t="s">
        <v>11031</v>
      </c>
      <c r="M1058" s="2" t="s">
        <v>11031</v>
      </c>
      <c r="N1058" s="2" t="s">
        <v>11037</v>
      </c>
      <c r="O1058" s="2" t="s">
        <v>11035</v>
      </c>
      <c r="P1058" s="2" t="s">
        <v>11035</v>
      </c>
      <c r="Q1058" s="2">
        <f>AVERAGE(PerfRate[[#This Row],[EnvironmentSatisfaction]],PerfRate[[#This Row],[JobSatisfaction]],PerfRate[[#This Row],[RelationshipSatisfaction]])</f>
        <v>2.6666666666666665</v>
      </c>
      <c r="R1058" s="2">
        <f>PerfRate[[#This Row],[ManagerRating]] - PerfRate[[#This Row],[SelfRating]]</f>
        <v>0</v>
      </c>
    </row>
    <row r="1059" spans="1:18">
      <c r="A1059" s="2" t="s">
        <v>5366</v>
      </c>
      <c r="B1059" s="2" t="s">
        <v>422</v>
      </c>
      <c r="C1059" s="1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  <c r="L1059" s="2" t="s">
        <v>11030</v>
      </c>
      <c r="M1059" s="2" t="s">
        <v>11029</v>
      </c>
      <c r="N1059" s="2" t="s">
        <v>11038</v>
      </c>
      <c r="O1059" s="2" t="s">
        <v>11037</v>
      </c>
      <c r="P1059" s="2" t="s">
        <v>11037</v>
      </c>
      <c r="Q1059" s="2">
        <f>AVERAGE(PerfRate[[#This Row],[EnvironmentSatisfaction]],PerfRate[[#This Row],[JobSatisfaction]],PerfRate[[#This Row],[RelationshipSatisfaction]])</f>
        <v>4.333333333333333</v>
      </c>
      <c r="R1059" s="2">
        <f>PerfRate[[#This Row],[ManagerRating]] - PerfRate[[#This Row],[SelfRating]]</f>
        <v>-1</v>
      </c>
    </row>
    <row r="1060" spans="1:18">
      <c r="A1060" s="2" t="s">
        <v>5367</v>
      </c>
      <c r="B1060" s="2" t="s">
        <v>655</v>
      </c>
      <c r="C1060" s="1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  <c r="L1060" s="2" t="s">
        <v>11031</v>
      </c>
      <c r="M1060" s="2" t="s">
        <v>11030</v>
      </c>
      <c r="N1060" s="2" t="s">
        <v>11037</v>
      </c>
      <c r="O1060" s="2" t="s">
        <v>11038</v>
      </c>
      <c r="P1060" s="2" t="s">
        <v>11038</v>
      </c>
      <c r="Q1060" s="2">
        <f>AVERAGE(PerfRate[[#This Row],[EnvironmentSatisfaction]],PerfRate[[#This Row],[JobSatisfaction]],PerfRate[[#This Row],[RelationshipSatisfaction]])</f>
        <v>4.666666666666667</v>
      </c>
      <c r="R1060" s="2">
        <f>PerfRate[[#This Row],[ManagerRating]] - PerfRate[[#This Row],[SelfRating]]</f>
        <v>-1</v>
      </c>
    </row>
    <row r="1061" spans="1:18">
      <c r="A1061" s="2" t="s">
        <v>5368</v>
      </c>
      <c r="B1061" s="2" t="s">
        <v>1174</v>
      </c>
      <c r="C1061" s="1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  <c r="L1061" s="2" t="s">
        <v>11030</v>
      </c>
      <c r="M1061" s="2" t="s">
        <v>11030</v>
      </c>
      <c r="N1061" s="2" t="s">
        <v>11038</v>
      </c>
      <c r="O1061" s="2" t="s">
        <v>11035</v>
      </c>
      <c r="P1061" s="2" t="s">
        <v>11037</v>
      </c>
      <c r="Q1061" s="2">
        <f>AVERAGE(PerfRate[[#This Row],[EnvironmentSatisfaction]],PerfRate[[#This Row],[JobSatisfaction]],PerfRate[[#This Row],[RelationshipSatisfaction]])</f>
        <v>3.6666666666666665</v>
      </c>
      <c r="R1061" s="2">
        <f>PerfRate[[#This Row],[ManagerRating]] - PerfRate[[#This Row],[SelfRating]]</f>
        <v>0</v>
      </c>
    </row>
    <row r="1062" spans="1:18">
      <c r="A1062" s="2" t="s">
        <v>5369</v>
      </c>
      <c r="B1062" s="2" t="s">
        <v>967</v>
      </c>
      <c r="C1062" s="1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  <c r="L1062" s="2" t="s">
        <v>11029</v>
      </c>
      <c r="M1062" s="2" t="s">
        <v>11028</v>
      </c>
      <c r="N1062" s="2" t="s">
        <v>11038</v>
      </c>
      <c r="O1062" s="2" t="s">
        <v>11036</v>
      </c>
      <c r="P1062" s="2" t="s">
        <v>11036</v>
      </c>
      <c r="Q1062" s="2">
        <f>AVERAGE(PerfRate[[#This Row],[EnvironmentSatisfaction]],PerfRate[[#This Row],[JobSatisfaction]],PerfRate[[#This Row],[RelationshipSatisfaction]])</f>
        <v>3.6666666666666665</v>
      </c>
      <c r="R1062" s="2">
        <f>PerfRate[[#This Row],[ManagerRating]] - PerfRate[[#This Row],[SelfRating]]</f>
        <v>-1</v>
      </c>
    </row>
    <row r="1063" spans="1:18">
      <c r="A1063" s="2" t="s">
        <v>5370</v>
      </c>
      <c r="B1063" s="2" t="s">
        <v>371</v>
      </c>
      <c r="C1063" s="1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  <c r="L1063" s="2" t="s">
        <v>11031</v>
      </c>
      <c r="M1063" s="2" t="s">
        <v>11030</v>
      </c>
      <c r="N1063" s="2" t="s">
        <v>11038</v>
      </c>
      <c r="O1063" s="2" t="s">
        <v>11036</v>
      </c>
      <c r="P1063" s="2" t="s">
        <v>11037</v>
      </c>
      <c r="Q1063" s="2">
        <f>AVERAGE(PerfRate[[#This Row],[EnvironmentSatisfaction]],PerfRate[[#This Row],[JobSatisfaction]],PerfRate[[#This Row],[RelationshipSatisfaction]])</f>
        <v>4</v>
      </c>
      <c r="R1063" s="2">
        <f>PerfRate[[#This Row],[ManagerRating]] - PerfRate[[#This Row],[SelfRating]]</f>
        <v>-1</v>
      </c>
    </row>
    <row r="1064" spans="1:18">
      <c r="A1064" s="2" t="s">
        <v>5371</v>
      </c>
      <c r="B1064" s="2" t="s">
        <v>157</v>
      </c>
      <c r="C1064" s="1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  <c r="L1064" s="2" t="s">
        <v>11031</v>
      </c>
      <c r="M1064" s="2" t="s">
        <v>11030</v>
      </c>
      <c r="N1064" s="2" t="s">
        <v>11038</v>
      </c>
      <c r="O1064" s="2" t="s">
        <v>11037</v>
      </c>
      <c r="P1064" s="2" t="s">
        <v>11038</v>
      </c>
      <c r="Q1064" s="2">
        <f>AVERAGE(PerfRate[[#This Row],[EnvironmentSatisfaction]],PerfRate[[#This Row],[JobSatisfaction]],PerfRate[[#This Row],[RelationshipSatisfaction]])</f>
        <v>4.666666666666667</v>
      </c>
      <c r="R1064" s="2">
        <f>PerfRate[[#This Row],[ManagerRating]] - PerfRate[[#This Row],[SelfRating]]</f>
        <v>-1</v>
      </c>
    </row>
    <row r="1065" spans="1:18">
      <c r="A1065" s="2" t="s">
        <v>5372</v>
      </c>
      <c r="B1065" s="2" t="s">
        <v>62</v>
      </c>
      <c r="C1065" s="1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  <c r="L1065" s="2" t="s">
        <v>11031</v>
      </c>
      <c r="M1065" s="2" t="s">
        <v>11030</v>
      </c>
      <c r="N1065" s="2" t="s">
        <v>11038</v>
      </c>
      <c r="O1065" s="2" t="s">
        <v>11038</v>
      </c>
      <c r="P1065" s="2" t="s">
        <v>11035</v>
      </c>
      <c r="Q1065" s="2">
        <f>AVERAGE(PerfRate[[#This Row],[EnvironmentSatisfaction]],PerfRate[[#This Row],[JobSatisfaction]],PerfRate[[#This Row],[RelationshipSatisfaction]])</f>
        <v>4</v>
      </c>
      <c r="R1065" s="2">
        <f>PerfRate[[#This Row],[ManagerRating]] - PerfRate[[#This Row],[SelfRating]]</f>
        <v>-1</v>
      </c>
    </row>
    <row r="1066" spans="1:18">
      <c r="A1066" s="2" t="s">
        <v>5373</v>
      </c>
      <c r="B1066" s="2" t="s">
        <v>714</v>
      </c>
      <c r="C1066" s="1">
        <v>41700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  <c r="L1066" s="2" t="s">
        <v>11031</v>
      </c>
      <c r="M1066" s="2" t="s">
        <v>11030</v>
      </c>
      <c r="N1066" s="2" t="s">
        <v>11037</v>
      </c>
      <c r="O1066" s="2" t="s">
        <v>11038</v>
      </c>
      <c r="P1066" s="2" t="s">
        <v>11038</v>
      </c>
      <c r="Q1066" s="2">
        <f>AVERAGE(PerfRate[[#This Row],[EnvironmentSatisfaction]],PerfRate[[#This Row],[JobSatisfaction]],PerfRate[[#This Row],[RelationshipSatisfaction]])</f>
        <v>4.666666666666667</v>
      </c>
      <c r="R1066" s="2">
        <f>PerfRate[[#This Row],[ManagerRating]] - PerfRate[[#This Row],[SelfRating]]</f>
        <v>-1</v>
      </c>
    </row>
    <row r="1067" spans="1:18">
      <c r="A1067" s="2" t="s">
        <v>5374</v>
      </c>
      <c r="B1067" s="2" t="s">
        <v>163</v>
      </c>
      <c r="C1067" s="1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  <c r="L1067" s="2" t="s">
        <v>11031</v>
      </c>
      <c r="M1067" s="2" t="s">
        <v>11031</v>
      </c>
      <c r="N1067" s="2" t="s">
        <v>11036</v>
      </c>
      <c r="O1067" s="2" t="s">
        <v>11037</v>
      </c>
      <c r="P1067" s="2" t="s">
        <v>11037</v>
      </c>
      <c r="Q1067" s="2">
        <f>AVERAGE(PerfRate[[#This Row],[EnvironmentSatisfaction]],PerfRate[[#This Row],[JobSatisfaction]],PerfRate[[#This Row],[RelationshipSatisfaction]])</f>
        <v>3.6666666666666665</v>
      </c>
      <c r="R1067" s="2">
        <f>PerfRate[[#This Row],[ManagerRating]] - PerfRate[[#This Row],[SelfRating]]</f>
        <v>0</v>
      </c>
    </row>
    <row r="1068" spans="1:18">
      <c r="A1068" s="2" t="s">
        <v>5375</v>
      </c>
      <c r="B1068" s="2" t="s">
        <v>1157</v>
      </c>
      <c r="C1068" s="1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  <c r="L1068" s="2" t="s">
        <v>11030</v>
      </c>
      <c r="M1068" s="2" t="s">
        <v>11029</v>
      </c>
      <c r="N1068" s="2" t="s">
        <v>11036</v>
      </c>
      <c r="O1068" s="2" t="s">
        <v>11035</v>
      </c>
      <c r="P1068" s="2" t="s">
        <v>11036</v>
      </c>
      <c r="Q1068" s="2">
        <f>AVERAGE(PerfRate[[#This Row],[EnvironmentSatisfaction]],PerfRate[[#This Row],[JobSatisfaction]],PerfRate[[#This Row],[RelationshipSatisfaction]])</f>
        <v>2.6666666666666665</v>
      </c>
      <c r="R1068" s="2">
        <f>PerfRate[[#This Row],[ManagerRating]] - PerfRate[[#This Row],[SelfRating]]</f>
        <v>-1</v>
      </c>
    </row>
    <row r="1069" spans="1:18">
      <c r="A1069" s="2" t="s">
        <v>5376</v>
      </c>
      <c r="B1069" s="2" t="s">
        <v>2622</v>
      </c>
      <c r="C1069" s="1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  <c r="L1069" s="2" t="s">
        <v>11029</v>
      </c>
      <c r="M1069" s="2" t="s">
        <v>11028</v>
      </c>
      <c r="N1069" s="2" t="s">
        <v>11036</v>
      </c>
      <c r="O1069" s="2" t="s">
        <v>11036</v>
      </c>
      <c r="P1069" s="2" t="s">
        <v>11035</v>
      </c>
      <c r="Q1069" s="2">
        <f>AVERAGE(PerfRate[[#This Row],[EnvironmentSatisfaction]],PerfRate[[#This Row],[JobSatisfaction]],PerfRate[[#This Row],[RelationshipSatisfaction]])</f>
        <v>2.6666666666666665</v>
      </c>
      <c r="R1069" s="2">
        <f>PerfRate[[#This Row],[ManagerRating]] - PerfRate[[#This Row],[SelfRating]]</f>
        <v>-1</v>
      </c>
    </row>
    <row r="1070" spans="1:18">
      <c r="A1070" s="2" t="s">
        <v>5377</v>
      </c>
      <c r="B1070" s="2" t="s">
        <v>4177</v>
      </c>
      <c r="C1070" s="1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  <c r="L1070" s="2" t="s">
        <v>11031</v>
      </c>
      <c r="M1070" s="2" t="s">
        <v>11030</v>
      </c>
      <c r="N1070" s="2" t="s">
        <v>11036</v>
      </c>
      <c r="O1070" s="2" t="s">
        <v>11036</v>
      </c>
      <c r="P1070" s="2" t="s">
        <v>11035</v>
      </c>
      <c r="Q1070" s="2">
        <f>AVERAGE(PerfRate[[#This Row],[EnvironmentSatisfaction]],PerfRate[[#This Row],[JobSatisfaction]],PerfRate[[#This Row],[RelationshipSatisfaction]])</f>
        <v>2.6666666666666665</v>
      </c>
      <c r="R1070" s="2">
        <f>PerfRate[[#This Row],[ManagerRating]] - PerfRate[[#This Row],[SelfRating]]</f>
        <v>-1</v>
      </c>
    </row>
    <row r="1071" spans="1:18">
      <c r="A1071" s="2" t="s">
        <v>5378</v>
      </c>
      <c r="B1071" s="2" t="s">
        <v>646</v>
      </c>
      <c r="C1071" s="1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  <c r="L1071" s="2" t="s">
        <v>11031</v>
      </c>
      <c r="M1071" s="2" t="s">
        <v>11031</v>
      </c>
      <c r="N1071" s="2" t="s">
        <v>11037</v>
      </c>
      <c r="O1071" s="2" t="s">
        <v>11038</v>
      </c>
      <c r="P1071" s="2" t="s">
        <v>11035</v>
      </c>
      <c r="Q1071" s="2">
        <f>AVERAGE(PerfRate[[#This Row],[EnvironmentSatisfaction]],PerfRate[[#This Row],[JobSatisfaction]],PerfRate[[#This Row],[RelationshipSatisfaction]])</f>
        <v>3.6666666666666665</v>
      </c>
      <c r="R1071" s="2">
        <f>PerfRate[[#This Row],[ManagerRating]] - PerfRate[[#This Row],[SelfRating]]</f>
        <v>0</v>
      </c>
    </row>
    <row r="1072" spans="1:18">
      <c r="A1072" s="2" t="s">
        <v>5379</v>
      </c>
      <c r="B1072" s="2" t="s">
        <v>398</v>
      </c>
      <c r="C1072" s="1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  <c r="L1072" s="2" t="s">
        <v>11029</v>
      </c>
      <c r="M1072" s="2" t="s">
        <v>11028</v>
      </c>
      <c r="N1072" s="2" t="s">
        <v>11037</v>
      </c>
      <c r="O1072" s="2" t="s">
        <v>11035</v>
      </c>
      <c r="P1072" s="2" t="s">
        <v>11035</v>
      </c>
      <c r="Q1072" s="2">
        <f>AVERAGE(PerfRate[[#This Row],[EnvironmentSatisfaction]],PerfRate[[#This Row],[JobSatisfaction]],PerfRate[[#This Row],[RelationshipSatisfaction]])</f>
        <v>2.6666666666666665</v>
      </c>
      <c r="R1072" s="2">
        <f>PerfRate[[#This Row],[ManagerRating]] - PerfRate[[#This Row],[SelfRating]]</f>
        <v>-1</v>
      </c>
    </row>
    <row r="1073" spans="1:18">
      <c r="A1073" s="2" t="s">
        <v>5380</v>
      </c>
      <c r="B1073" s="2" t="s">
        <v>290</v>
      </c>
      <c r="C1073" s="1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  <c r="L1073" s="2" t="s">
        <v>11030</v>
      </c>
      <c r="M1073" s="2" t="s">
        <v>11030</v>
      </c>
      <c r="N1073" s="2" t="s">
        <v>11038</v>
      </c>
      <c r="O1073" s="2" t="s">
        <v>11035</v>
      </c>
      <c r="P1073" s="2" t="s">
        <v>11038</v>
      </c>
      <c r="Q1073" s="2">
        <f>AVERAGE(PerfRate[[#This Row],[EnvironmentSatisfaction]],PerfRate[[#This Row],[JobSatisfaction]],PerfRate[[#This Row],[RelationshipSatisfaction]])</f>
        <v>4</v>
      </c>
      <c r="R1073" s="2">
        <f>PerfRate[[#This Row],[ManagerRating]] - PerfRate[[#This Row],[SelfRating]]</f>
        <v>0</v>
      </c>
    </row>
    <row r="1074" spans="1:18">
      <c r="A1074" s="2" t="s">
        <v>5381</v>
      </c>
      <c r="B1074" s="2" t="s">
        <v>275</v>
      </c>
      <c r="C1074" s="1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  <c r="L1074" s="2" t="s">
        <v>11031</v>
      </c>
      <c r="M1074" s="2" t="s">
        <v>11031</v>
      </c>
      <c r="N1074" s="2" t="s">
        <v>11037</v>
      </c>
      <c r="O1074" s="2" t="s">
        <v>11035</v>
      </c>
      <c r="P1074" s="2" t="s">
        <v>11037</v>
      </c>
      <c r="Q1074" s="2">
        <f>AVERAGE(PerfRate[[#This Row],[EnvironmentSatisfaction]],PerfRate[[#This Row],[JobSatisfaction]],PerfRate[[#This Row],[RelationshipSatisfaction]])</f>
        <v>3.3333333333333335</v>
      </c>
      <c r="R1074" s="2">
        <f>PerfRate[[#This Row],[ManagerRating]] - PerfRate[[#This Row],[SelfRating]]</f>
        <v>0</v>
      </c>
    </row>
    <row r="1075" spans="1:18">
      <c r="A1075" s="2" t="s">
        <v>5382</v>
      </c>
      <c r="B1075" s="2" t="s">
        <v>598</v>
      </c>
      <c r="C1075" s="1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  <c r="L1075" s="2" t="s">
        <v>11031</v>
      </c>
      <c r="M1075" s="2" t="s">
        <v>11030</v>
      </c>
      <c r="N1075" s="2" t="s">
        <v>11038</v>
      </c>
      <c r="O1075" s="2" t="s">
        <v>11035</v>
      </c>
      <c r="P1075" s="2" t="s">
        <v>11035</v>
      </c>
      <c r="Q1075" s="2">
        <f>AVERAGE(PerfRate[[#This Row],[EnvironmentSatisfaction]],PerfRate[[#This Row],[JobSatisfaction]],PerfRate[[#This Row],[RelationshipSatisfaction]])</f>
        <v>3</v>
      </c>
      <c r="R1075" s="2">
        <f>PerfRate[[#This Row],[ManagerRating]] - PerfRate[[#This Row],[SelfRating]]</f>
        <v>-1</v>
      </c>
    </row>
    <row r="1076" spans="1:18">
      <c r="A1076" s="2" t="s">
        <v>5383</v>
      </c>
      <c r="B1076" s="2" t="s">
        <v>869</v>
      </c>
      <c r="C1076" s="1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  <c r="L1076" s="2" t="s">
        <v>11029</v>
      </c>
      <c r="M1076" s="2" t="s">
        <v>11028</v>
      </c>
      <c r="N1076" s="2" t="s">
        <v>11038</v>
      </c>
      <c r="O1076" s="2" t="s">
        <v>11035</v>
      </c>
      <c r="P1076" s="2" t="s">
        <v>11036</v>
      </c>
      <c r="Q1076" s="2">
        <f>AVERAGE(PerfRate[[#This Row],[EnvironmentSatisfaction]],PerfRate[[#This Row],[JobSatisfaction]],PerfRate[[#This Row],[RelationshipSatisfaction]])</f>
        <v>3.3333333333333335</v>
      </c>
      <c r="R1076" s="2">
        <f>PerfRate[[#This Row],[ManagerRating]] - PerfRate[[#This Row],[SelfRating]]</f>
        <v>-1</v>
      </c>
    </row>
    <row r="1077" spans="1:18">
      <c r="A1077" s="2" t="s">
        <v>5384</v>
      </c>
      <c r="B1077" s="2" t="s">
        <v>122</v>
      </c>
      <c r="C1077" s="1">
        <v>41700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  <c r="L1077" s="2" t="s">
        <v>11030</v>
      </c>
      <c r="M1077" s="2" t="s">
        <v>11029</v>
      </c>
      <c r="N1077" s="2" t="s">
        <v>11037</v>
      </c>
      <c r="O1077" s="2" t="s">
        <v>11037</v>
      </c>
      <c r="P1077" s="2" t="s">
        <v>11038</v>
      </c>
      <c r="Q1077" s="2">
        <f>AVERAGE(PerfRate[[#This Row],[EnvironmentSatisfaction]],PerfRate[[#This Row],[JobSatisfaction]],PerfRate[[#This Row],[RelationshipSatisfaction]])</f>
        <v>4.333333333333333</v>
      </c>
      <c r="R1077" s="2">
        <f>PerfRate[[#This Row],[ManagerRating]] - PerfRate[[#This Row],[SelfRating]]</f>
        <v>-1</v>
      </c>
    </row>
    <row r="1078" spans="1:18">
      <c r="A1078" s="2" t="s">
        <v>5385</v>
      </c>
      <c r="B1078" s="2" t="s">
        <v>1240</v>
      </c>
      <c r="C1078" s="1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  <c r="L1078" s="2" t="s">
        <v>11029</v>
      </c>
      <c r="M1078" s="2" t="s">
        <v>11028</v>
      </c>
      <c r="N1078" s="2" t="s">
        <v>11037</v>
      </c>
      <c r="O1078" s="2" t="s">
        <v>11037</v>
      </c>
      <c r="P1078" s="2" t="s">
        <v>11035</v>
      </c>
      <c r="Q1078" s="2">
        <f>AVERAGE(PerfRate[[#This Row],[EnvironmentSatisfaction]],PerfRate[[#This Row],[JobSatisfaction]],PerfRate[[#This Row],[RelationshipSatisfaction]])</f>
        <v>3.3333333333333335</v>
      </c>
      <c r="R1078" s="2">
        <f>PerfRate[[#This Row],[ManagerRating]] - PerfRate[[#This Row],[SelfRating]]</f>
        <v>-1</v>
      </c>
    </row>
    <row r="1079" spans="1:18">
      <c r="A1079" s="2" t="s">
        <v>5386</v>
      </c>
      <c r="B1079" s="2" t="s">
        <v>386</v>
      </c>
      <c r="C1079" s="1">
        <v>42747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  <c r="L1079" s="2" t="s">
        <v>11029</v>
      </c>
      <c r="M1079" s="2" t="s">
        <v>11029</v>
      </c>
      <c r="N1079" s="2" t="s">
        <v>11038</v>
      </c>
      <c r="O1079" s="2" t="s">
        <v>11036</v>
      </c>
      <c r="P1079" s="2" t="s">
        <v>11037</v>
      </c>
      <c r="Q1079" s="2">
        <f>AVERAGE(PerfRate[[#This Row],[EnvironmentSatisfaction]],PerfRate[[#This Row],[JobSatisfaction]],PerfRate[[#This Row],[RelationshipSatisfaction]])</f>
        <v>4</v>
      </c>
      <c r="R1079" s="2">
        <f>PerfRate[[#This Row],[ManagerRating]] - PerfRate[[#This Row],[SelfRating]]</f>
        <v>0</v>
      </c>
    </row>
    <row r="1080" spans="1:18">
      <c r="A1080" s="2" t="s">
        <v>5387</v>
      </c>
      <c r="B1080" s="2" t="s">
        <v>425</v>
      </c>
      <c r="C1080" s="1">
        <v>42747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  <c r="L1080" s="2" t="s">
        <v>11030</v>
      </c>
      <c r="M1080" s="2" t="s">
        <v>11030</v>
      </c>
      <c r="N1080" s="2" t="s">
        <v>11036</v>
      </c>
      <c r="O1080" s="2" t="s">
        <v>11038</v>
      </c>
      <c r="P1080" s="2" t="s">
        <v>11038</v>
      </c>
      <c r="Q1080" s="2">
        <f>AVERAGE(PerfRate[[#This Row],[EnvironmentSatisfaction]],PerfRate[[#This Row],[JobSatisfaction]],PerfRate[[#This Row],[RelationshipSatisfaction]])</f>
        <v>4.333333333333333</v>
      </c>
      <c r="R1080" s="2">
        <f>PerfRate[[#This Row],[ManagerRating]] - PerfRate[[#This Row],[SelfRating]]</f>
        <v>0</v>
      </c>
    </row>
    <row r="1081" spans="1:18">
      <c r="A1081" s="2" t="s">
        <v>5388</v>
      </c>
      <c r="B1081" s="2" t="s">
        <v>832</v>
      </c>
      <c r="C1081" s="1">
        <v>42778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  <c r="L1081" s="2" t="s">
        <v>11030</v>
      </c>
      <c r="M1081" s="2" t="s">
        <v>11030</v>
      </c>
      <c r="N1081" s="2" t="s">
        <v>11036</v>
      </c>
      <c r="O1081" s="2" t="s">
        <v>11035</v>
      </c>
      <c r="P1081" s="2" t="s">
        <v>11038</v>
      </c>
      <c r="Q1081" s="2">
        <f>AVERAGE(PerfRate[[#This Row],[EnvironmentSatisfaction]],PerfRate[[#This Row],[JobSatisfaction]],PerfRate[[#This Row],[RelationshipSatisfaction]])</f>
        <v>3.3333333333333335</v>
      </c>
      <c r="R1081" s="2">
        <f>PerfRate[[#This Row],[ManagerRating]] - PerfRate[[#This Row],[SelfRating]]</f>
        <v>0</v>
      </c>
    </row>
    <row r="1082" spans="1:18">
      <c r="A1082" s="2" t="s">
        <v>5389</v>
      </c>
      <c r="B1082" s="2" t="s">
        <v>3406</v>
      </c>
      <c r="C1082" s="1">
        <v>42806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  <c r="L1082" s="2" t="s">
        <v>11030</v>
      </c>
      <c r="M1082" s="2" t="s">
        <v>11029</v>
      </c>
      <c r="N1082" s="2" t="s">
        <v>11038</v>
      </c>
      <c r="O1082" s="2" t="s">
        <v>11036</v>
      </c>
      <c r="P1082" s="2" t="s">
        <v>11037</v>
      </c>
      <c r="Q1082" s="2">
        <f>AVERAGE(PerfRate[[#This Row],[EnvironmentSatisfaction]],PerfRate[[#This Row],[JobSatisfaction]],PerfRate[[#This Row],[RelationshipSatisfaction]])</f>
        <v>4</v>
      </c>
      <c r="R1082" s="2">
        <f>PerfRate[[#This Row],[ManagerRating]] - PerfRate[[#This Row],[SelfRating]]</f>
        <v>-1</v>
      </c>
    </row>
    <row r="1083" spans="1:18">
      <c r="A1083" s="2" t="s">
        <v>5390</v>
      </c>
      <c r="B1083" s="2" t="s">
        <v>3665</v>
      </c>
      <c r="C1083" s="1">
        <v>42806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  <c r="L1083" s="2" t="s">
        <v>11029</v>
      </c>
      <c r="M1083" s="2" t="s">
        <v>11028</v>
      </c>
      <c r="N1083" s="2" t="s">
        <v>11037</v>
      </c>
      <c r="O1083" s="2" t="s">
        <v>11038</v>
      </c>
      <c r="P1083" s="2" t="s">
        <v>11037</v>
      </c>
      <c r="Q1083" s="2">
        <f>AVERAGE(PerfRate[[#This Row],[EnvironmentSatisfaction]],PerfRate[[#This Row],[JobSatisfaction]],PerfRate[[#This Row],[RelationshipSatisfaction]])</f>
        <v>4.333333333333333</v>
      </c>
      <c r="R1083" s="2">
        <f>PerfRate[[#This Row],[ManagerRating]] - PerfRate[[#This Row],[SelfRating]]</f>
        <v>-1</v>
      </c>
    </row>
    <row r="1084" spans="1:18">
      <c r="A1084" s="2" t="s">
        <v>5391</v>
      </c>
      <c r="B1084" s="2" t="s">
        <v>78</v>
      </c>
      <c r="C1084" s="1">
        <v>42867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  <c r="L1084" s="2" t="s">
        <v>11029</v>
      </c>
      <c r="M1084" s="2" t="s">
        <v>11028</v>
      </c>
      <c r="N1084" s="2" t="s">
        <v>11036</v>
      </c>
      <c r="O1084" s="2" t="s">
        <v>11035</v>
      </c>
      <c r="P1084" s="2" t="s">
        <v>11036</v>
      </c>
      <c r="Q1084" s="2">
        <f>AVERAGE(PerfRate[[#This Row],[EnvironmentSatisfaction]],PerfRate[[#This Row],[JobSatisfaction]],PerfRate[[#This Row],[RelationshipSatisfaction]])</f>
        <v>2.6666666666666665</v>
      </c>
      <c r="R1084" s="2">
        <f>PerfRate[[#This Row],[ManagerRating]] - PerfRate[[#This Row],[SelfRating]]</f>
        <v>-1</v>
      </c>
    </row>
    <row r="1085" spans="1:18">
      <c r="A1085" s="2" t="s">
        <v>5392</v>
      </c>
      <c r="B1085" s="2" t="s">
        <v>183</v>
      </c>
      <c r="C1085" s="1">
        <v>42867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  <c r="L1085" s="2" t="s">
        <v>11031</v>
      </c>
      <c r="M1085" s="2" t="s">
        <v>11030</v>
      </c>
      <c r="N1085" s="2" t="s">
        <v>11037</v>
      </c>
      <c r="O1085" s="2" t="s">
        <v>11037</v>
      </c>
      <c r="P1085" s="2" t="s">
        <v>11037</v>
      </c>
      <c r="Q1085" s="2">
        <f>AVERAGE(PerfRate[[#This Row],[EnvironmentSatisfaction]],PerfRate[[#This Row],[JobSatisfaction]],PerfRate[[#This Row],[RelationshipSatisfaction]])</f>
        <v>4</v>
      </c>
      <c r="R1085" s="2">
        <f>PerfRate[[#This Row],[ManagerRating]] - PerfRate[[#This Row],[SelfRating]]</f>
        <v>-1</v>
      </c>
    </row>
    <row r="1086" spans="1:18">
      <c r="A1086" s="2" t="s">
        <v>5393</v>
      </c>
      <c r="B1086" s="2" t="s">
        <v>112</v>
      </c>
      <c r="C1086" s="1">
        <v>42867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  <c r="L1086" s="2" t="s">
        <v>11031</v>
      </c>
      <c r="M1086" s="2" t="s">
        <v>11030</v>
      </c>
      <c r="N1086" s="2" t="s">
        <v>11037</v>
      </c>
      <c r="O1086" s="2" t="s">
        <v>11035</v>
      </c>
      <c r="P1086" s="2" t="s">
        <v>11037</v>
      </c>
      <c r="Q1086" s="2">
        <f>AVERAGE(PerfRate[[#This Row],[EnvironmentSatisfaction]],PerfRate[[#This Row],[JobSatisfaction]],PerfRate[[#This Row],[RelationshipSatisfaction]])</f>
        <v>3.3333333333333335</v>
      </c>
      <c r="R1086" s="2">
        <f>PerfRate[[#This Row],[ManagerRating]] - PerfRate[[#This Row],[SelfRating]]</f>
        <v>-1</v>
      </c>
    </row>
    <row r="1087" spans="1:18">
      <c r="A1087" s="2" t="s">
        <v>5394</v>
      </c>
      <c r="B1087" s="2" t="s">
        <v>946</v>
      </c>
      <c r="C1087" s="1">
        <v>42867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  <c r="L1087" s="2" t="s">
        <v>11030</v>
      </c>
      <c r="M1087" s="2" t="s">
        <v>11030</v>
      </c>
      <c r="N1087" s="2" t="s">
        <v>11036</v>
      </c>
      <c r="O1087" s="2" t="s">
        <v>11036</v>
      </c>
      <c r="P1087" s="2" t="s">
        <v>11035</v>
      </c>
      <c r="Q1087" s="2">
        <f>AVERAGE(PerfRate[[#This Row],[EnvironmentSatisfaction]],PerfRate[[#This Row],[JobSatisfaction]],PerfRate[[#This Row],[RelationshipSatisfaction]])</f>
        <v>2.6666666666666665</v>
      </c>
      <c r="R1087" s="2">
        <f>PerfRate[[#This Row],[ManagerRating]] - PerfRate[[#This Row],[SelfRating]]</f>
        <v>0</v>
      </c>
    </row>
    <row r="1088" spans="1:18">
      <c r="A1088" s="2" t="s">
        <v>5395</v>
      </c>
      <c r="B1088" s="2" t="s">
        <v>1538</v>
      </c>
      <c r="C1088" s="1">
        <v>41731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  <c r="L1088" s="2" t="s">
        <v>11030</v>
      </c>
      <c r="M1088" s="2" t="s">
        <v>11030</v>
      </c>
      <c r="N1088" s="2" t="s">
        <v>11038</v>
      </c>
      <c r="O1088" s="2" t="s">
        <v>11038</v>
      </c>
      <c r="P1088" s="2" t="s">
        <v>11036</v>
      </c>
      <c r="Q1088" s="2">
        <f>AVERAGE(PerfRate[[#This Row],[EnvironmentSatisfaction]],PerfRate[[#This Row],[JobSatisfaction]],PerfRate[[#This Row],[RelationshipSatisfaction]])</f>
        <v>4.333333333333333</v>
      </c>
      <c r="R1088" s="2">
        <f>PerfRate[[#This Row],[ManagerRating]] - PerfRate[[#This Row],[SelfRating]]</f>
        <v>0</v>
      </c>
    </row>
    <row r="1089" spans="1:18">
      <c r="A1089" s="2" t="s">
        <v>5396</v>
      </c>
      <c r="B1089" s="2" t="s">
        <v>1045</v>
      </c>
      <c r="C1089" s="1">
        <v>42867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  <c r="L1089" s="2" t="s">
        <v>11030</v>
      </c>
      <c r="M1089" s="2" t="s">
        <v>11030</v>
      </c>
      <c r="N1089" s="2" t="s">
        <v>11036</v>
      </c>
      <c r="O1089" s="2" t="s">
        <v>11038</v>
      </c>
      <c r="P1089" s="2" t="s">
        <v>11038</v>
      </c>
      <c r="Q1089" s="2">
        <f>AVERAGE(PerfRate[[#This Row],[EnvironmentSatisfaction]],PerfRate[[#This Row],[JobSatisfaction]],PerfRate[[#This Row],[RelationshipSatisfaction]])</f>
        <v>4.333333333333333</v>
      </c>
      <c r="R1089" s="2">
        <f>PerfRate[[#This Row],[ManagerRating]] - PerfRate[[#This Row],[SelfRating]]</f>
        <v>0</v>
      </c>
    </row>
    <row r="1090" spans="1:18">
      <c r="A1090" s="2" t="s">
        <v>5397</v>
      </c>
      <c r="B1090" s="2" t="s">
        <v>3004</v>
      </c>
      <c r="C1090" s="1">
        <v>42898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  <c r="L1090" s="2" t="s">
        <v>11031</v>
      </c>
      <c r="M1090" s="2" t="s">
        <v>11031</v>
      </c>
      <c r="N1090" s="2" t="s">
        <v>11036</v>
      </c>
      <c r="O1090" s="2" t="s">
        <v>11036</v>
      </c>
      <c r="P1090" s="2" t="s">
        <v>11038</v>
      </c>
      <c r="Q1090" s="2">
        <f>AVERAGE(PerfRate[[#This Row],[EnvironmentSatisfaction]],PerfRate[[#This Row],[JobSatisfaction]],PerfRate[[#This Row],[RelationshipSatisfaction]])</f>
        <v>3.6666666666666665</v>
      </c>
      <c r="R1090" s="2">
        <f>PerfRate[[#This Row],[ManagerRating]] - PerfRate[[#This Row],[SelfRating]]</f>
        <v>0</v>
      </c>
    </row>
    <row r="1091" spans="1:18">
      <c r="A1091" s="2" t="s">
        <v>5398</v>
      </c>
      <c r="B1091" s="2" t="s">
        <v>118</v>
      </c>
      <c r="C1091" s="1">
        <v>42928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  <c r="L1091" s="2" t="s">
        <v>11030</v>
      </c>
      <c r="M1091" s="2" t="s">
        <v>11029</v>
      </c>
      <c r="N1091" s="2" t="s">
        <v>11038</v>
      </c>
      <c r="O1091" s="2" t="s">
        <v>11035</v>
      </c>
      <c r="P1091" s="2" t="s">
        <v>11038</v>
      </c>
      <c r="Q1091" s="2">
        <f>AVERAGE(PerfRate[[#This Row],[EnvironmentSatisfaction]],PerfRate[[#This Row],[JobSatisfaction]],PerfRate[[#This Row],[RelationshipSatisfaction]])</f>
        <v>4</v>
      </c>
      <c r="R1091" s="2">
        <f>PerfRate[[#This Row],[ManagerRating]] - PerfRate[[#This Row],[SelfRating]]</f>
        <v>-1</v>
      </c>
    </row>
    <row r="1092" spans="1:18">
      <c r="A1092" s="2" t="s">
        <v>5399</v>
      </c>
      <c r="B1092" s="2" t="s">
        <v>3963</v>
      </c>
      <c r="C1092" s="1">
        <v>42959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  <c r="L1092" s="2" t="s">
        <v>11029</v>
      </c>
      <c r="M1092" s="2" t="s">
        <v>11028</v>
      </c>
      <c r="N1092" s="2" t="s">
        <v>11038</v>
      </c>
      <c r="O1092" s="2" t="s">
        <v>11037</v>
      </c>
      <c r="P1092" s="2" t="s">
        <v>11037</v>
      </c>
      <c r="Q1092" s="2">
        <f>AVERAGE(PerfRate[[#This Row],[EnvironmentSatisfaction]],PerfRate[[#This Row],[JobSatisfaction]],PerfRate[[#This Row],[RelationshipSatisfaction]])</f>
        <v>4.333333333333333</v>
      </c>
      <c r="R1092" s="2">
        <f>PerfRate[[#This Row],[ManagerRating]] - PerfRate[[#This Row],[SelfRating]]</f>
        <v>-1</v>
      </c>
    </row>
    <row r="1093" spans="1:18">
      <c r="A1093" s="2" t="s">
        <v>5400</v>
      </c>
      <c r="B1093" s="2" t="s">
        <v>2730</v>
      </c>
      <c r="C1093" s="1">
        <v>42959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  <c r="L1093" s="2" t="s">
        <v>11029</v>
      </c>
      <c r="M1093" s="2" t="s">
        <v>11028</v>
      </c>
      <c r="N1093" s="2" t="s">
        <v>11037</v>
      </c>
      <c r="O1093" s="2" t="s">
        <v>11036</v>
      </c>
      <c r="P1093" s="2" t="s">
        <v>11038</v>
      </c>
      <c r="Q1093" s="2">
        <f>AVERAGE(PerfRate[[#This Row],[EnvironmentSatisfaction]],PerfRate[[#This Row],[JobSatisfaction]],PerfRate[[#This Row],[RelationshipSatisfaction]])</f>
        <v>4</v>
      </c>
      <c r="R1093" s="2">
        <f>PerfRate[[#This Row],[ManagerRating]] - PerfRate[[#This Row],[SelfRating]]</f>
        <v>-1</v>
      </c>
    </row>
    <row r="1094" spans="1:18">
      <c r="A1094" s="2" t="s">
        <v>5401</v>
      </c>
      <c r="B1094" s="2" t="s">
        <v>4202</v>
      </c>
      <c r="C1094" s="1">
        <v>42990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  <c r="L1094" s="2" t="s">
        <v>11031</v>
      </c>
      <c r="M1094" s="2" t="s">
        <v>11031</v>
      </c>
      <c r="N1094" s="2" t="s">
        <v>11036</v>
      </c>
      <c r="O1094" s="2" t="s">
        <v>11036</v>
      </c>
      <c r="P1094" s="2" t="s">
        <v>11035</v>
      </c>
      <c r="Q1094" s="2">
        <f>AVERAGE(PerfRate[[#This Row],[EnvironmentSatisfaction]],PerfRate[[#This Row],[JobSatisfaction]],PerfRate[[#This Row],[RelationshipSatisfaction]])</f>
        <v>2.6666666666666665</v>
      </c>
      <c r="R1094" s="2">
        <f>PerfRate[[#This Row],[ManagerRating]] - PerfRate[[#This Row],[SelfRating]]</f>
        <v>0</v>
      </c>
    </row>
    <row r="1095" spans="1:18">
      <c r="A1095" s="2" t="s">
        <v>5402</v>
      </c>
      <c r="B1095" s="2" t="s">
        <v>380</v>
      </c>
      <c r="C1095" s="1">
        <v>42990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  <c r="L1095" s="2" t="s">
        <v>11029</v>
      </c>
      <c r="M1095" s="2" t="s">
        <v>11028</v>
      </c>
      <c r="N1095" s="2" t="s">
        <v>11038</v>
      </c>
      <c r="O1095" s="2" t="s">
        <v>11037</v>
      </c>
      <c r="P1095" s="2" t="s">
        <v>11036</v>
      </c>
      <c r="Q1095" s="2">
        <f>AVERAGE(PerfRate[[#This Row],[EnvironmentSatisfaction]],PerfRate[[#This Row],[JobSatisfaction]],PerfRate[[#This Row],[RelationshipSatisfaction]])</f>
        <v>4</v>
      </c>
      <c r="R1095" s="2">
        <f>PerfRate[[#This Row],[ManagerRating]] - PerfRate[[#This Row],[SelfRating]]</f>
        <v>-1</v>
      </c>
    </row>
    <row r="1096" spans="1:18">
      <c r="A1096" s="2" t="s">
        <v>5403</v>
      </c>
      <c r="B1096" s="2" t="s">
        <v>856</v>
      </c>
      <c r="C1096" s="1">
        <v>43051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  <c r="L1096" s="2" t="s">
        <v>11029</v>
      </c>
      <c r="M1096" s="2" t="s">
        <v>11029</v>
      </c>
      <c r="N1096" s="2" t="s">
        <v>11038</v>
      </c>
      <c r="O1096" s="2" t="s">
        <v>11038</v>
      </c>
      <c r="P1096" s="2" t="s">
        <v>11035</v>
      </c>
      <c r="Q1096" s="2">
        <f>AVERAGE(PerfRate[[#This Row],[EnvironmentSatisfaction]],PerfRate[[#This Row],[JobSatisfaction]],PerfRate[[#This Row],[RelationshipSatisfaction]])</f>
        <v>4</v>
      </c>
      <c r="R1096" s="2">
        <f>PerfRate[[#This Row],[ManagerRating]] - PerfRate[[#This Row],[SelfRating]]</f>
        <v>0</v>
      </c>
    </row>
    <row r="1097" spans="1:18">
      <c r="A1097" s="2" t="s">
        <v>5404</v>
      </c>
      <c r="B1097" s="2" t="s">
        <v>3362</v>
      </c>
      <c r="C1097" s="1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  <c r="L1097" s="2" t="s">
        <v>11031</v>
      </c>
      <c r="M1097" s="2" t="s">
        <v>11030</v>
      </c>
      <c r="N1097" s="2" t="s">
        <v>11038</v>
      </c>
      <c r="O1097" s="2" t="s">
        <v>11035</v>
      </c>
      <c r="P1097" s="2" t="s">
        <v>11037</v>
      </c>
      <c r="Q1097" s="2">
        <f>AVERAGE(PerfRate[[#This Row],[EnvironmentSatisfaction]],PerfRate[[#This Row],[JobSatisfaction]],PerfRate[[#This Row],[RelationshipSatisfaction]])</f>
        <v>3.6666666666666665</v>
      </c>
      <c r="R1097" s="2">
        <f>PerfRate[[#This Row],[ManagerRating]] - PerfRate[[#This Row],[SelfRating]]</f>
        <v>-1</v>
      </c>
    </row>
    <row r="1098" spans="1:18">
      <c r="A1098" s="2" t="s">
        <v>5405</v>
      </c>
      <c r="B1098" s="2" t="s">
        <v>314</v>
      </c>
      <c r="C1098" s="1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  <c r="L1098" s="2" t="s">
        <v>11031</v>
      </c>
      <c r="M1098" s="2" t="s">
        <v>11031</v>
      </c>
      <c r="N1098" s="2" t="s">
        <v>11037</v>
      </c>
      <c r="O1098" s="2" t="s">
        <v>11037</v>
      </c>
      <c r="P1098" s="2" t="s">
        <v>11038</v>
      </c>
      <c r="Q1098" s="2">
        <f>AVERAGE(PerfRate[[#This Row],[EnvironmentSatisfaction]],PerfRate[[#This Row],[JobSatisfaction]],PerfRate[[#This Row],[RelationshipSatisfaction]])</f>
        <v>4.333333333333333</v>
      </c>
      <c r="R1098" s="2">
        <f>PerfRate[[#This Row],[ManagerRating]] - PerfRate[[#This Row],[SelfRating]]</f>
        <v>0</v>
      </c>
    </row>
    <row r="1099" spans="1:18">
      <c r="A1099" s="2" t="s">
        <v>5406</v>
      </c>
      <c r="B1099" s="2" t="s">
        <v>2647</v>
      </c>
      <c r="C1099" s="1">
        <v>41731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  <c r="L1099" s="2" t="s">
        <v>11029</v>
      </c>
      <c r="M1099" s="2" t="s">
        <v>11028</v>
      </c>
      <c r="N1099" s="2" t="s">
        <v>11037</v>
      </c>
      <c r="O1099" s="2" t="s">
        <v>11036</v>
      </c>
      <c r="P1099" s="2" t="s">
        <v>11035</v>
      </c>
      <c r="Q1099" s="2">
        <f>AVERAGE(PerfRate[[#This Row],[EnvironmentSatisfaction]],PerfRate[[#This Row],[JobSatisfaction]],PerfRate[[#This Row],[RelationshipSatisfaction]])</f>
        <v>3</v>
      </c>
      <c r="R1099" s="2">
        <f>PerfRate[[#This Row],[ManagerRating]] - PerfRate[[#This Row],[SelfRating]]</f>
        <v>-1</v>
      </c>
    </row>
    <row r="1100" spans="1:18">
      <c r="A1100" s="2" t="s">
        <v>5407</v>
      </c>
      <c r="B1100" s="2" t="s">
        <v>1324</v>
      </c>
      <c r="C1100" s="1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  <c r="L1100" s="2" t="s">
        <v>11031</v>
      </c>
      <c r="M1100" s="2" t="s">
        <v>11030</v>
      </c>
      <c r="N1100" s="2" t="s">
        <v>11037</v>
      </c>
      <c r="O1100" s="2" t="s">
        <v>11038</v>
      </c>
      <c r="P1100" s="2" t="s">
        <v>11038</v>
      </c>
      <c r="Q1100" s="2">
        <f>AVERAGE(PerfRate[[#This Row],[EnvironmentSatisfaction]],PerfRate[[#This Row],[JobSatisfaction]],PerfRate[[#This Row],[RelationshipSatisfaction]])</f>
        <v>4.666666666666667</v>
      </c>
      <c r="R1100" s="2">
        <f>PerfRate[[#This Row],[ManagerRating]] - PerfRate[[#This Row],[SelfRating]]</f>
        <v>-1</v>
      </c>
    </row>
    <row r="1101" spans="1:18">
      <c r="A1101" s="2" t="s">
        <v>5408</v>
      </c>
      <c r="B1101" s="2" t="s">
        <v>3160</v>
      </c>
      <c r="C1101" s="1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  <c r="L1101" s="2" t="s">
        <v>11030</v>
      </c>
      <c r="M1101" s="2" t="s">
        <v>11030</v>
      </c>
      <c r="N1101" s="2" t="s">
        <v>11036</v>
      </c>
      <c r="O1101" s="2" t="s">
        <v>11035</v>
      </c>
      <c r="P1101" s="2" t="s">
        <v>11038</v>
      </c>
      <c r="Q1101" s="2">
        <f>AVERAGE(PerfRate[[#This Row],[EnvironmentSatisfaction]],PerfRate[[#This Row],[JobSatisfaction]],PerfRate[[#This Row],[RelationshipSatisfaction]])</f>
        <v>3.3333333333333335</v>
      </c>
      <c r="R1101" s="2">
        <f>PerfRate[[#This Row],[ManagerRating]] - PerfRate[[#This Row],[SelfRating]]</f>
        <v>0</v>
      </c>
    </row>
    <row r="1102" spans="1:18">
      <c r="A1102" s="2" t="s">
        <v>5409</v>
      </c>
      <c r="B1102" s="2" t="s">
        <v>3476</v>
      </c>
      <c r="C1102" s="1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  <c r="L1102" s="2" t="s">
        <v>11031</v>
      </c>
      <c r="M1102" s="2" t="s">
        <v>11030</v>
      </c>
      <c r="N1102" s="2" t="s">
        <v>11037</v>
      </c>
      <c r="O1102" s="2" t="s">
        <v>11038</v>
      </c>
      <c r="P1102" s="2" t="s">
        <v>11035</v>
      </c>
      <c r="Q1102" s="2">
        <f>AVERAGE(PerfRate[[#This Row],[EnvironmentSatisfaction]],PerfRate[[#This Row],[JobSatisfaction]],PerfRate[[#This Row],[RelationshipSatisfaction]])</f>
        <v>3.6666666666666665</v>
      </c>
      <c r="R1102" s="2">
        <f>PerfRate[[#This Row],[ManagerRating]] - PerfRate[[#This Row],[SelfRating]]</f>
        <v>-1</v>
      </c>
    </row>
    <row r="1103" spans="1:18">
      <c r="A1103" s="2" t="s">
        <v>5410</v>
      </c>
      <c r="B1103" s="2" t="s">
        <v>211</v>
      </c>
      <c r="C1103" s="1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  <c r="L1103" s="2" t="s">
        <v>11031</v>
      </c>
      <c r="M1103" s="2" t="s">
        <v>11030</v>
      </c>
      <c r="N1103" s="2" t="s">
        <v>11038</v>
      </c>
      <c r="O1103" s="2" t="s">
        <v>11037</v>
      </c>
      <c r="P1103" s="2" t="s">
        <v>11035</v>
      </c>
      <c r="Q1103" s="2">
        <f>AVERAGE(PerfRate[[#This Row],[EnvironmentSatisfaction]],PerfRate[[#This Row],[JobSatisfaction]],PerfRate[[#This Row],[RelationshipSatisfaction]])</f>
        <v>3.6666666666666665</v>
      </c>
      <c r="R1103" s="2">
        <f>PerfRate[[#This Row],[ManagerRating]] - PerfRate[[#This Row],[SelfRating]]</f>
        <v>-1</v>
      </c>
    </row>
    <row r="1104" spans="1:18">
      <c r="A1104" s="2" t="s">
        <v>5411</v>
      </c>
      <c r="B1104" s="2" t="s">
        <v>3606</v>
      </c>
      <c r="C1104" s="1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  <c r="L1104" s="2" t="s">
        <v>11031</v>
      </c>
      <c r="M1104" s="2" t="s">
        <v>11031</v>
      </c>
      <c r="N1104" s="2" t="s">
        <v>11038</v>
      </c>
      <c r="O1104" s="2" t="s">
        <v>11036</v>
      </c>
      <c r="P1104" s="2" t="s">
        <v>11037</v>
      </c>
      <c r="Q1104" s="2">
        <f>AVERAGE(PerfRate[[#This Row],[EnvironmentSatisfaction]],PerfRate[[#This Row],[JobSatisfaction]],PerfRate[[#This Row],[RelationshipSatisfaction]])</f>
        <v>4</v>
      </c>
      <c r="R1104" s="2">
        <f>PerfRate[[#This Row],[ManagerRating]] - PerfRate[[#This Row],[SelfRating]]</f>
        <v>0</v>
      </c>
    </row>
    <row r="1105" spans="1:18">
      <c r="A1105" s="2" t="s">
        <v>5412</v>
      </c>
      <c r="B1105" s="2" t="s">
        <v>679</v>
      </c>
      <c r="C1105" s="1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  <c r="L1105" s="2" t="s">
        <v>11031</v>
      </c>
      <c r="M1105" s="2" t="s">
        <v>11031</v>
      </c>
      <c r="N1105" s="2" t="s">
        <v>11036</v>
      </c>
      <c r="O1105" s="2" t="s">
        <v>11037</v>
      </c>
      <c r="P1105" s="2" t="s">
        <v>11036</v>
      </c>
      <c r="Q1105" s="2">
        <f>AVERAGE(PerfRate[[#This Row],[EnvironmentSatisfaction]],PerfRate[[#This Row],[JobSatisfaction]],PerfRate[[#This Row],[RelationshipSatisfaction]])</f>
        <v>3.3333333333333335</v>
      </c>
      <c r="R1105" s="2">
        <f>PerfRate[[#This Row],[ManagerRating]] - PerfRate[[#This Row],[SelfRating]]</f>
        <v>0</v>
      </c>
    </row>
    <row r="1106" spans="1:18">
      <c r="A1106" s="2" t="s">
        <v>5413</v>
      </c>
      <c r="B1106" s="2" t="s">
        <v>278</v>
      </c>
      <c r="C1106" s="1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  <c r="L1106" s="2" t="s">
        <v>11029</v>
      </c>
      <c r="M1106" s="2" t="s">
        <v>11029</v>
      </c>
      <c r="N1106" s="2" t="s">
        <v>11037</v>
      </c>
      <c r="O1106" s="2" t="s">
        <v>11035</v>
      </c>
      <c r="P1106" s="2" t="s">
        <v>11036</v>
      </c>
      <c r="Q1106" s="2">
        <f>AVERAGE(PerfRate[[#This Row],[EnvironmentSatisfaction]],PerfRate[[#This Row],[JobSatisfaction]],PerfRate[[#This Row],[RelationshipSatisfaction]])</f>
        <v>3</v>
      </c>
      <c r="R1106" s="2">
        <f>PerfRate[[#This Row],[ManagerRating]] - PerfRate[[#This Row],[SelfRating]]</f>
        <v>0</v>
      </c>
    </row>
    <row r="1107" spans="1:18">
      <c r="A1107" s="2" t="s">
        <v>5414</v>
      </c>
      <c r="B1107" s="2" t="s">
        <v>186</v>
      </c>
      <c r="C1107" s="1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  <c r="L1107" s="2" t="s">
        <v>11031</v>
      </c>
      <c r="M1107" s="2" t="s">
        <v>11030</v>
      </c>
      <c r="N1107" s="2" t="s">
        <v>11038</v>
      </c>
      <c r="O1107" s="2" t="s">
        <v>11038</v>
      </c>
      <c r="P1107" s="2" t="s">
        <v>11035</v>
      </c>
      <c r="Q1107" s="2">
        <f>AVERAGE(PerfRate[[#This Row],[EnvironmentSatisfaction]],PerfRate[[#This Row],[JobSatisfaction]],PerfRate[[#This Row],[RelationshipSatisfaction]])</f>
        <v>4</v>
      </c>
      <c r="R1107" s="2">
        <f>PerfRate[[#This Row],[ManagerRating]] - PerfRate[[#This Row],[SelfRating]]</f>
        <v>-1</v>
      </c>
    </row>
    <row r="1108" spans="1:18">
      <c r="A1108" s="2" t="s">
        <v>5415</v>
      </c>
      <c r="B1108" s="2" t="s">
        <v>1277</v>
      </c>
      <c r="C1108" s="1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  <c r="L1108" s="2" t="s">
        <v>11029</v>
      </c>
      <c r="M1108" s="2" t="s">
        <v>11029</v>
      </c>
      <c r="N1108" s="2" t="s">
        <v>11038</v>
      </c>
      <c r="O1108" s="2" t="s">
        <v>11035</v>
      </c>
      <c r="P1108" s="2" t="s">
        <v>11038</v>
      </c>
      <c r="Q1108" s="2">
        <f>AVERAGE(PerfRate[[#This Row],[EnvironmentSatisfaction]],PerfRate[[#This Row],[JobSatisfaction]],PerfRate[[#This Row],[RelationshipSatisfaction]])</f>
        <v>4</v>
      </c>
      <c r="R1108" s="2">
        <f>PerfRate[[#This Row],[ManagerRating]] - PerfRate[[#This Row],[SelfRating]]</f>
        <v>0</v>
      </c>
    </row>
    <row r="1109" spans="1:18">
      <c r="A1109" s="2" t="s">
        <v>5416</v>
      </c>
      <c r="B1109" s="2" t="s">
        <v>311</v>
      </c>
      <c r="C1109" s="1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  <c r="L1109" s="2" t="s">
        <v>11029</v>
      </c>
      <c r="M1109" s="2" t="s">
        <v>11028</v>
      </c>
      <c r="N1109" s="2" t="s">
        <v>11037</v>
      </c>
      <c r="O1109" s="2" t="s">
        <v>11036</v>
      </c>
      <c r="P1109" s="2" t="s">
        <v>11036</v>
      </c>
      <c r="Q1109" s="2">
        <f>AVERAGE(PerfRate[[#This Row],[EnvironmentSatisfaction]],PerfRate[[#This Row],[JobSatisfaction]],PerfRate[[#This Row],[RelationshipSatisfaction]])</f>
        <v>3.3333333333333335</v>
      </c>
      <c r="R1109" s="2">
        <f>PerfRate[[#This Row],[ManagerRating]] - PerfRate[[#This Row],[SelfRating]]</f>
        <v>-1</v>
      </c>
    </row>
    <row r="1110" spans="1:18">
      <c r="A1110" s="2" t="s">
        <v>5417</v>
      </c>
      <c r="B1110" s="2" t="s">
        <v>496</v>
      </c>
      <c r="C1110" s="1">
        <v>41761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  <c r="L1110" s="2" t="s">
        <v>11030</v>
      </c>
      <c r="M1110" s="2" t="s">
        <v>11030</v>
      </c>
      <c r="N1110" s="2" t="s">
        <v>11037</v>
      </c>
      <c r="O1110" s="2" t="s">
        <v>11038</v>
      </c>
      <c r="P1110" s="2" t="s">
        <v>11038</v>
      </c>
      <c r="Q1110" s="2">
        <f>AVERAGE(PerfRate[[#This Row],[EnvironmentSatisfaction]],PerfRate[[#This Row],[JobSatisfaction]],PerfRate[[#This Row],[RelationshipSatisfaction]])</f>
        <v>4.666666666666667</v>
      </c>
      <c r="R1110" s="2">
        <f>PerfRate[[#This Row],[ManagerRating]] - PerfRate[[#This Row],[SelfRating]]</f>
        <v>0</v>
      </c>
    </row>
    <row r="1111" spans="1:18">
      <c r="A1111" s="2" t="s">
        <v>5418</v>
      </c>
      <c r="B1111" s="2" t="s">
        <v>413</v>
      </c>
      <c r="C1111" s="1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  <c r="L1111" s="2" t="s">
        <v>11031</v>
      </c>
      <c r="M1111" s="2" t="s">
        <v>11030</v>
      </c>
      <c r="N1111" s="2" t="s">
        <v>11037</v>
      </c>
      <c r="O1111" s="2" t="s">
        <v>11038</v>
      </c>
      <c r="P1111" s="2" t="s">
        <v>11038</v>
      </c>
      <c r="Q1111" s="2">
        <f>AVERAGE(PerfRate[[#This Row],[EnvironmentSatisfaction]],PerfRate[[#This Row],[JobSatisfaction]],PerfRate[[#This Row],[RelationshipSatisfaction]])</f>
        <v>4.666666666666667</v>
      </c>
      <c r="R1111" s="2">
        <f>PerfRate[[#This Row],[ManagerRating]] - PerfRate[[#This Row],[SelfRating]]</f>
        <v>-1</v>
      </c>
    </row>
    <row r="1112" spans="1:18">
      <c r="A1112" s="2" t="s">
        <v>5419</v>
      </c>
      <c r="B1112" s="2" t="s">
        <v>949</v>
      </c>
      <c r="C1112" s="1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  <c r="L1112" s="2" t="s">
        <v>11029</v>
      </c>
      <c r="M1112" s="2" t="s">
        <v>11028</v>
      </c>
      <c r="N1112" s="2" t="s">
        <v>11037</v>
      </c>
      <c r="O1112" s="2" t="s">
        <v>11037</v>
      </c>
      <c r="P1112" s="2" t="s">
        <v>11037</v>
      </c>
      <c r="Q1112" s="2">
        <f>AVERAGE(PerfRate[[#This Row],[EnvironmentSatisfaction]],PerfRate[[#This Row],[JobSatisfaction]],PerfRate[[#This Row],[RelationshipSatisfaction]])</f>
        <v>4</v>
      </c>
      <c r="R1112" s="2">
        <f>PerfRate[[#This Row],[ManagerRating]] - PerfRate[[#This Row],[SelfRating]]</f>
        <v>-1</v>
      </c>
    </row>
    <row r="1113" spans="1:18">
      <c r="A1113" s="2" t="s">
        <v>5420</v>
      </c>
      <c r="B1113" s="2" t="s">
        <v>4035</v>
      </c>
      <c r="C1113" s="1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  <c r="L1113" s="2" t="s">
        <v>11031</v>
      </c>
      <c r="M1113" s="2" t="s">
        <v>11031</v>
      </c>
      <c r="N1113" s="2" t="s">
        <v>11036</v>
      </c>
      <c r="O1113" s="2" t="s">
        <v>11037</v>
      </c>
      <c r="P1113" s="2" t="s">
        <v>11038</v>
      </c>
      <c r="Q1113" s="2">
        <f>AVERAGE(PerfRate[[#This Row],[EnvironmentSatisfaction]],PerfRate[[#This Row],[JobSatisfaction]],PerfRate[[#This Row],[RelationshipSatisfaction]])</f>
        <v>4</v>
      </c>
      <c r="R1113" s="2">
        <f>PerfRate[[#This Row],[ManagerRating]] - PerfRate[[#This Row],[SelfRating]]</f>
        <v>0</v>
      </c>
    </row>
    <row r="1114" spans="1:18">
      <c r="A1114" s="2" t="s">
        <v>5421</v>
      </c>
      <c r="B1114" s="2" t="s">
        <v>901</v>
      </c>
      <c r="C1114" s="1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  <c r="L1114" s="2" t="s">
        <v>11030</v>
      </c>
      <c r="M1114" s="2" t="s">
        <v>11030</v>
      </c>
      <c r="N1114" s="2" t="s">
        <v>11038</v>
      </c>
      <c r="O1114" s="2" t="s">
        <v>11037</v>
      </c>
      <c r="P1114" s="2" t="s">
        <v>11035</v>
      </c>
      <c r="Q1114" s="2">
        <f>AVERAGE(PerfRate[[#This Row],[EnvironmentSatisfaction]],PerfRate[[#This Row],[JobSatisfaction]],PerfRate[[#This Row],[RelationshipSatisfaction]])</f>
        <v>3.6666666666666665</v>
      </c>
      <c r="R1114" s="2">
        <f>PerfRate[[#This Row],[ManagerRating]] - PerfRate[[#This Row],[SelfRating]]</f>
        <v>0</v>
      </c>
    </row>
    <row r="1115" spans="1:18">
      <c r="A1115" s="2" t="s">
        <v>5422</v>
      </c>
      <c r="B1115" s="2" t="s">
        <v>860</v>
      </c>
      <c r="C1115" s="1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  <c r="L1115" s="2" t="s">
        <v>11029</v>
      </c>
      <c r="M1115" s="2" t="s">
        <v>11029</v>
      </c>
      <c r="N1115" s="2" t="s">
        <v>11038</v>
      </c>
      <c r="O1115" s="2" t="s">
        <v>11035</v>
      </c>
      <c r="P1115" s="2" t="s">
        <v>11037</v>
      </c>
      <c r="Q1115" s="2">
        <f>AVERAGE(PerfRate[[#This Row],[EnvironmentSatisfaction]],PerfRate[[#This Row],[JobSatisfaction]],PerfRate[[#This Row],[RelationshipSatisfaction]])</f>
        <v>3.6666666666666665</v>
      </c>
      <c r="R1115" s="2">
        <f>PerfRate[[#This Row],[ManagerRating]] - PerfRate[[#This Row],[SelfRating]]</f>
        <v>0</v>
      </c>
    </row>
    <row r="1116" spans="1:18">
      <c r="A1116" s="2" t="s">
        <v>5423</v>
      </c>
      <c r="B1116" s="2" t="s">
        <v>3207</v>
      </c>
      <c r="C1116" s="1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  <c r="L1116" s="2" t="s">
        <v>11030</v>
      </c>
      <c r="M1116" s="2" t="s">
        <v>11030</v>
      </c>
      <c r="N1116" s="2" t="s">
        <v>11036</v>
      </c>
      <c r="O1116" s="2" t="s">
        <v>11035</v>
      </c>
      <c r="P1116" s="2" t="s">
        <v>11035</v>
      </c>
      <c r="Q1116" s="2">
        <f>AVERAGE(PerfRate[[#This Row],[EnvironmentSatisfaction]],PerfRate[[#This Row],[JobSatisfaction]],PerfRate[[#This Row],[RelationshipSatisfaction]])</f>
        <v>2.3333333333333335</v>
      </c>
      <c r="R1116" s="2">
        <f>PerfRate[[#This Row],[ManagerRating]] - PerfRate[[#This Row],[SelfRating]]</f>
        <v>0</v>
      </c>
    </row>
    <row r="1117" spans="1:18">
      <c r="A1117" s="2" t="s">
        <v>5424</v>
      </c>
      <c r="B1117" s="2" t="s">
        <v>419</v>
      </c>
      <c r="C1117" s="1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  <c r="L1117" s="2" t="s">
        <v>11031</v>
      </c>
      <c r="M1117" s="2" t="s">
        <v>11031</v>
      </c>
      <c r="N1117" s="2" t="s">
        <v>11038</v>
      </c>
      <c r="O1117" s="2" t="s">
        <v>11036</v>
      </c>
      <c r="P1117" s="2" t="s">
        <v>11035</v>
      </c>
      <c r="Q1117" s="2">
        <f>AVERAGE(PerfRate[[#This Row],[EnvironmentSatisfaction]],PerfRate[[#This Row],[JobSatisfaction]],PerfRate[[#This Row],[RelationshipSatisfaction]])</f>
        <v>3.3333333333333335</v>
      </c>
      <c r="R1117" s="2">
        <f>PerfRate[[#This Row],[ManagerRating]] - PerfRate[[#This Row],[SelfRating]]</f>
        <v>0</v>
      </c>
    </row>
    <row r="1118" spans="1:18">
      <c r="A1118" s="2" t="s">
        <v>5425</v>
      </c>
      <c r="B1118" s="2" t="s">
        <v>2856</v>
      </c>
      <c r="C1118" s="1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  <c r="L1118" s="2" t="s">
        <v>11030</v>
      </c>
      <c r="M1118" s="2" t="s">
        <v>11030</v>
      </c>
      <c r="N1118" s="2" t="s">
        <v>11037</v>
      </c>
      <c r="O1118" s="2" t="s">
        <v>11037</v>
      </c>
      <c r="P1118" s="2" t="s">
        <v>11036</v>
      </c>
      <c r="Q1118" s="2">
        <f>AVERAGE(PerfRate[[#This Row],[EnvironmentSatisfaction]],PerfRate[[#This Row],[JobSatisfaction]],PerfRate[[#This Row],[RelationshipSatisfaction]])</f>
        <v>3.6666666666666665</v>
      </c>
      <c r="R1118" s="2">
        <f>PerfRate[[#This Row],[ManagerRating]] - PerfRate[[#This Row],[SelfRating]]</f>
        <v>0</v>
      </c>
    </row>
    <row r="1119" spans="1:18">
      <c r="A1119" s="2" t="s">
        <v>5426</v>
      </c>
      <c r="B1119" s="2" t="s">
        <v>2156</v>
      </c>
      <c r="C1119" s="1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  <c r="L1119" s="2" t="s">
        <v>11029</v>
      </c>
      <c r="M1119" s="2" t="s">
        <v>11028</v>
      </c>
      <c r="N1119" s="2" t="s">
        <v>11038</v>
      </c>
      <c r="O1119" s="2" t="s">
        <v>11035</v>
      </c>
      <c r="P1119" s="2" t="s">
        <v>11038</v>
      </c>
      <c r="Q1119" s="2">
        <f>AVERAGE(PerfRate[[#This Row],[EnvironmentSatisfaction]],PerfRate[[#This Row],[JobSatisfaction]],PerfRate[[#This Row],[RelationshipSatisfaction]])</f>
        <v>4</v>
      </c>
      <c r="R1119" s="2">
        <f>PerfRate[[#This Row],[ManagerRating]] - PerfRate[[#This Row],[SelfRating]]</f>
        <v>-1</v>
      </c>
    </row>
    <row r="1120" spans="1:18">
      <c r="A1120" s="2" t="s">
        <v>5427</v>
      </c>
      <c r="B1120" s="2" t="s">
        <v>628</v>
      </c>
      <c r="C1120" s="1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  <c r="L1120" s="2" t="s">
        <v>11031</v>
      </c>
      <c r="M1120" s="2" t="s">
        <v>11031</v>
      </c>
      <c r="N1120" s="2" t="s">
        <v>11038</v>
      </c>
      <c r="O1120" s="2" t="s">
        <v>11035</v>
      </c>
      <c r="P1120" s="2" t="s">
        <v>11038</v>
      </c>
      <c r="Q1120" s="2">
        <f>AVERAGE(PerfRate[[#This Row],[EnvironmentSatisfaction]],PerfRate[[#This Row],[JobSatisfaction]],PerfRate[[#This Row],[RelationshipSatisfaction]])</f>
        <v>4</v>
      </c>
      <c r="R1120" s="2">
        <f>PerfRate[[#This Row],[ManagerRating]] - PerfRate[[#This Row],[SelfRating]]</f>
        <v>0</v>
      </c>
    </row>
    <row r="1121" spans="1:18">
      <c r="A1121" s="2" t="s">
        <v>5428</v>
      </c>
      <c r="B1121" s="2" t="s">
        <v>1818</v>
      </c>
      <c r="C1121" s="1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  <c r="L1121" s="2" t="s">
        <v>11031</v>
      </c>
      <c r="M1121" s="2" t="s">
        <v>11030</v>
      </c>
      <c r="N1121" s="2" t="s">
        <v>11037</v>
      </c>
      <c r="O1121" s="2" t="s">
        <v>11036</v>
      </c>
      <c r="P1121" s="2" t="s">
        <v>11035</v>
      </c>
      <c r="Q1121" s="2">
        <f>AVERAGE(PerfRate[[#This Row],[EnvironmentSatisfaction]],PerfRate[[#This Row],[JobSatisfaction]],PerfRate[[#This Row],[RelationshipSatisfaction]])</f>
        <v>3</v>
      </c>
      <c r="R1121" s="2">
        <f>PerfRate[[#This Row],[ManagerRating]] - PerfRate[[#This Row],[SelfRating]]</f>
        <v>-1</v>
      </c>
    </row>
    <row r="1122" spans="1:18">
      <c r="A1122" s="2" t="s">
        <v>5429</v>
      </c>
      <c r="B1122" s="2" t="s">
        <v>676</v>
      </c>
      <c r="C1122" s="1">
        <v>41761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  <c r="L1122" s="2" t="s">
        <v>11029</v>
      </c>
      <c r="M1122" s="2" t="s">
        <v>11029</v>
      </c>
      <c r="N1122" s="2" t="s">
        <v>11038</v>
      </c>
      <c r="O1122" s="2" t="s">
        <v>11038</v>
      </c>
      <c r="P1122" s="2" t="s">
        <v>11038</v>
      </c>
      <c r="Q1122" s="2">
        <f>AVERAGE(PerfRate[[#This Row],[EnvironmentSatisfaction]],PerfRate[[#This Row],[JobSatisfaction]],PerfRate[[#This Row],[RelationshipSatisfaction]])</f>
        <v>5</v>
      </c>
      <c r="R1122" s="2">
        <f>PerfRate[[#This Row],[ManagerRating]] - PerfRate[[#This Row],[SelfRating]]</f>
        <v>0</v>
      </c>
    </row>
    <row r="1123" spans="1:18">
      <c r="A1123" s="2" t="s">
        <v>5430</v>
      </c>
      <c r="B1123" s="2" t="s">
        <v>997</v>
      </c>
      <c r="C1123" s="1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  <c r="L1123" s="2" t="s">
        <v>11029</v>
      </c>
      <c r="M1123" s="2" t="s">
        <v>11029</v>
      </c>
      <c r="N1123" s="2" t="s">
        <v>11036</v>
      </c>
      <c r="O1123" s="2" t="s">
        <v>11037</v>
      </c>
      <c r="P1123" s="2" t="s">
        <v>11035</v>
      </c>
      <c r="Q1123" s="2">
        <f>AVERAGE(PerfRate[[#This Row],[EnvironmentSatisfaction]],PerfRate[[#This Row],[JobSatisfaction]],PerfRate[[#This Row],[RelationshipSatisfaction]])</f>
        <v>3</v>
      </c>
      <c r="R1123" s="2">
        <f>PerfRate[[#This Row],[ManagerRating]] - PerfRate[[#This Row],[SelfRating]]</f>
        <v>0</v>
      </c>
    </row>
    <row r="1124" spans="1:18">
      <c r="A1124" s="2" t="s">
        <v>5431</v>
      </c>
      <c r="B1124" s="2" t="s">
        <v>788</v>
      </c>
      <c r="C1124" s="1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  <c r="L1124" s="2" t="s">
        <v>11031</v>
      </c>
      <c r="M1124" s="2" t="s">
        <v>11030</v>
      </c>
      <c r="N1124" s="2" t="s">
        <v>11038</v>
      </c>
      <c r="O1124" s="2" t="s">
        <v>11036</v>
      </c>
      <c r="P1124" s="2" t="s">
        <v>11036</v>
      </c>
      <c r="Q1124" s="2">
        <f>AVERAGE(PerfRate[[#This Row],[EnvironmentSatisfaction]],PerfRate[[#This Row],[JobSatisfaction]],PerfRate[[#This Row],[RelationshipSatisfaction]])</f>
        <v>3.6666666666666665</v>
      </c>
      <c r="R1124" s="2">
        <f>PerfRate[[#This Row],[ManagerRating]] - PerfRate[[#This Row],[SelfRating]]</f>
        <v>-1</v>
      </c>
    </row>
    <row r="1125" spans="1:18">
      <c r="A1125" s="2" t="s">
        <v>5432</v>
      </c>
      <c r="B1125" s="2" t="s">
        <v>368</v>
      </c>
      <c r="C1125" s="1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  <c r="L1125" s="2" t="s">
        <v>11030</v>
      </c>
      <c r="M1125" s="2" t="s">
        <v>11030</v>
      </c>
      <c r="N1125" s="2" t="s">
        <v>11036</v>
      </c>
      <c r="O1125" s="2" t="s">
        <v>11035</v>
      </c>
      <c r="P1125" s="2" t="s">
        <v>11037</v>
      </c>
      <c r="Q1125" s="2">
        <f>AVERAGE(PerfRate[[#This Row],[EnvironmentSatisfaction]],PerfRate[[#This Row],[JobSatisfaction]],PerfRate[[#This Row],[RelationshipSatisfaction]])</f>
        <v>3</v>
      </c>
      <c r="R1125" s="2">
        <f>PerfRate[[#This Row],[ManagerRating]] - PerfRate[[#This Row],[SelfRating]]</f>
        <v>0</v>
      </c>
    </row>
    <row r="1126" spans="1:18">
      <c r="A1126" s="2" t="s">
        <v>5433</v>
      </c>
      <c r="B1126" s="2" t="s">
        <v>287</v>
      </c>
      <c r="C1126" s="1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  <c r="L1126" s="2" t="s">
        <v>11031</v>
      </c>
      <c r="M1126" s="2" t="s">
        <v>11031</v>
      </c>
      <c r="N1126" s="2" t="s">
        <v>11038</v>
      </c>
      <c r="O1126" s="2" t="s">
        <v>11037</v>
      </c>
      <c r="P1126" s="2" t="s">
        <v>11038</v>
      </c>
      <c r="Q1126" s="2">
        <f>AVERAGE(PerfRate[[#This Row],[EnvironmentSatisfaction]],PerfRate[[#This Row],[JobSatisfaction]],PerfRate[[#This Row],[RelationshipSatisfaction]])</f>
        <v>4.666666666666667</v>
      </c>
      <c r="R1126" s="2">
        <f>PerfRate[[#This Row],[ManagerRating]] - PerfRate[[#This Row],[SelfRating]]</f>
        <v>0</v>
      </c>
    </row>
    <row r="1127" spans="1:18">
      <c r="A1127" s="2" t="s">
        <v>5434</v>
      </c>
      <c r="B1127" s="2" t="s">
        <v>866</v>
      </c>
      <c r="C1127" s="1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  <c r="L1127" s="2" t="s">
        <v>11031</v>
      </c>
      <c r="M1127" s="2" t="s">
        <v>11031</v>
      </c>
      <c r="N1127" s="2" t="s">
        <v>11036</v>
      </c>
      <c r="O1127" s="2" t="s">
        <v>11037</v>
      </c>
      <c r="P1127" s="2" t="s">
        <v>11036</v>
      </c>
      <c r="Q1127" s="2">
        <f>AVERAGE(PerfRate[[#This Row],[EnvironmentSatisfaction]],PerfRate[[#This Row],[JobSatisfaction]],PerfRate[[#This Row],[RelationshipSatisfaction]])</f>
        <v>3.3333333333333335</v>
      </c>
      <c r="R1127" s="2">
        <f>PerfRate[[#This Row],[ManagerRating]] - PerfRate[[#This Row],[SelfRating]]</f>
        <v>0</v>
      </c>
    </row>
    <row r="1128" spans="1:18">
      <c r="A1128" s="2" t="s">
        <v>5435</v>
      </c>
      <c r="B1128" s="2" t="s">
        <v>3572</v>
      </c>
      <c r="C1128" s="1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  <c r="L1128" s="2" t="s">
        <v>11029</v>
      </c>
      <c r="M1128" s="2" t="s">
        <v>11029</v>
      </c>
      <c r="N1128" s="2" t="s">
        <v>11038</v>
      </c>
      <c r="O1128" s="2" t="s">
        <v>11037</v>
      </c>
      <c r="P1128" s="2" t="s">
        <v>11038</v>
      </c>
      <c r="Q1128" s="2">
        <f>AVERAGE(PerfRate[[#This Row],[EnvironmentSatisfaction]],PerfRate[[#This Row],[JobSatisfaction]],PerfRate[[#This Row],[RelationshipSatisfaction]])</f>
        <v>4.666666666666667</v>
      </c>
      <c r="R1128" s="2">
        <f>PerfRate[[#This Row],[ManagerRating]] - PerfRate[[#This Row],[SelfRating]]</f>
        <v>0</v>
      </c>
    </row>
    <row r="1129" spans="1:18">
      <c r="A1129" s="2" t="s">
        <v>5436</v>
      </c>
      <c r="B1129" s="2" t="s">
        <v>204</v>
      </c>
      <c r="C1129" s="1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  <c r="L1129" s="2" t="s">
        <v>11029</v>
      </c>
      <c r="M1129" s="2" t="s">
        <v>11029</v>
      </c>
      <c r="N1129" s="2" t="s">
        <v>11037</v>
      </c>
      <c r="O1129" s="2" t="s">
        <v>11037</v>
      </c>
      <c r="P1129" s="2" t="s">
        <v>11037</v>
      </c>
      <c r="Q1129" s="2">
        <f>AVERAGE(PerfRate[[#This Row],[EnvironmentSatisfaction]],PerfRate[[#This Row],[JobSatisfaction]],PerfRate[[#This Row],[RelationshipSatisfaction]])</f>
        <v>4</v>
      </c>
      <c r="R1129" s="2">
        <f>PerfRate[[#This Row],[ManagerRating]] - PerfRate[[#This Row],[SelfRating]]</f>
        <v>0</v>
      </c>
    </row>
    <row r="1130" spans="1:18">
      <c r="A1130" s="2" t="s">
        <v>5437</v>
      </c>
      <c r="B1130" s="2" t="s">
        <v>904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  <c r="L1130" s="2" t="s">
        <v>11030</v>
      </c>
      <c r="M1130" s="2" t="s">
        <v>11029</v>
      </c>
      <c r="N1130" s="2" t="s">
        <v>11038</v>
      </c>
      <c r="O1130" s="2" t="s">
        <v>11035</v>
      </c>
      <c r="P1130" s="2" t="s">
        <v>11038</v>
      </c>
      <c r="Q1130" s="2">
        <f>AVERAGE(PerfRate[[#This Row],[EnvironmentSatisfaction]],PerfRate[[#This Row],[JobSatisfaction]],PerfRate[[#This Row],[RelationshipSatisfaction]])</f>
        <v>4</v>
      </c>
      <c r="R1130" s="2">
        <f>PerfRate[[#This Row],[ManagerRating]] - PerfRate[[#This Row],[SelfRating]]</f>
        <v>-1</v>
      </c>
    </row>
    <row r="1131" spans="1:18">
      <c r="A1131" s="2" t="s">
        <v>5438</v>
      </c>
      <c r="B1131" s="2" t="s">
        <v>1429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  <c r="L1131" s="2" t="s">
        <v>11030</v>
      </c>
      <c r="M1131" s="2" t="s">
        <v>11029</v>
      </c>
      <c r="N1131" s="2" t="s">
        <v>11038</v>
      </c>
      <c r="O1131" s="2" t="s">
        <v>11038</v>
      </c>
      <c r="P1131" s="2" t="s">
        <v>11036</v>
      </c>
      <c r="Q1131" s="2">
        <f>AVERAGE(PerfRate[[#This Row],[EnvironmentSatisfaction]],PerfRate[[#This Row],[JobSatisfaction]],PerfRate[[#This Row],[RelationshipSatisfaction]])</f>
        <v>4.333333333333333</v>
      </c>
      <c r="R1131" s="2">
        <f>PerfRate[[#This Row],[ManagerRating]] - PerfRate[[#This Row],[SelfRating]]</f>
        <v>-1</v>
      </c>
    </row>
    <row r="1132" spans="1:18">
      <c r="A1132" s="2" t="s">
        <v>5439</v>
      </c>
      <c r="B1132" s="2" t="s">
        <v>1235</v>
      </c>
      <c r="C1132" s="1">
        <v>43132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  <c r="L1132" s="2" t="s">
        <v>11030</v>
      </c>
      <c r="M1132" s="2" t="s">
        <v>11029</v>
      </c>
      <c r="N1132" s="2" t="s">
        <v>11037</v>
      </c>
      <c r="O1132" s="2" t="s">
        <v>11037</v>
      </c>
      <c r="P1132" s="2" t="s">
        <v>11035</v>
      </c>
      <c r="Q1132" s="2">
        <f>AVERAGE(PerfRate[[#This Row],[EnvironmentSatisfaction]],PerfRate[[#This Row],[JobSatisfaction]],PerfRate[[#This Row],[RelationshipSatisfaction]])</f>
        <v>3.3333333333333335</v>
      </c>
      <c r="R1132" s="2">
        <f>PerfRate[[#This Row],[ManagerRating]] - PerfRate[[#This Row],[SelfRating]]</f>
        <v>-1</v>
      </c>
    </row>
    <row r="1133" spans="1:18">
      <c r="A1133" s="2" t="s">
        <v>5440</v>
      </c>
      <c r="B1133" s="2" t="s">
        <v>3818</v>
      </c>
      <c r="C1133" s="1">
        <v>41761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  <c r="L1133" s="2" t="s">
        <v>11030</v>
      </c>
      <c r="M1133" s="2" t="s">
        <v>11029</v>
      </c>
      <c r="N1133" s="2" t="s">
        <v>11038</v>
      </c>
      <c r="O1133" s="2" t="s">
        <v>11037</v>
      </c>
      <c r="P1133" s="2" t="s">
        <v>11035</v>
      </c>
      <c r="Q1133" s="2">
        <f>AVERAGE(PerfRate[[#This Row],[EnvironmentSatisfaction]],PerfRate[[#This Row],[JobSatisfaction]],PerfRate[[#This Row],[RelationshipSatisfaction]])</f>
        <v>3.6666666666666665</v>
      </c>
      <c r="R1133" s="2">
        <f>PerfRate[[#This Row],[ManagerRating]] - PerfRate[[#This Row],[SelfRating]]</f>
        <v>-1</v>
      </c>
    </row>
    <row r="1134" spans="1:18">
      <c r="A1134" s="2" t="s">
        <v>5441</v>
      </c>
      <c r="B1134" s="2" t="s">
        <v>1326</v>
      </c>
      <c r="C1134" s="1">
        <v>43132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  <c r="L1134" s="2" t="s">
        <v>11029</v>
      </c>
      <c r="M1134" s="2" t="s">
        <v>11029</v>
      </c>
      <c r="N1134" s="2" t="s">
        <v>11037</v>
      </c>
      <c r="O1134" s="2" t="s">
        <v>11035</v>
      </c>
      <c r="P1134" s="2" t="s">
        <v>11037</v>
      </c>
      <c r="Q1134" s="2">
        <f>AVERAGE(PerfRate[[#This Row],[EnvironmentSatisfaction]],PerfRate[[#This Row],[JobSatisfaction]],PerfRate[[#This Row],[RelationshipSatisfaction]])</f>
        <v>3.3333333333333335</v>
      </c>
      <c r="R1134" s="2">
        <f>PerfRate[[#This Row],[ManagerRating]] - PerfRate[[#This Row],[SelfRating]]</f>
        <v>0</v>
      </c>
    </row>
    <row r="1135" spans="1:18">
      <c r="A1135" s="2" t="s">
        <v>5442</v>
      </c>
      <c r="B1135" s="2" t="s">
        <v>320</v>
      </c>
      <c r="C1135" s="1">
        <v>43132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  <c r="L1135" s="2" t="s">
        <v>11030</v>
      </c>
      <c r="M1135" s="2" t="s">
        <v>11030</v>
      </c>
      <c r="N1135" s="2" t="s">
        <v>11037</v>
      </c>
      <c r="O1135" s="2" t="s">
        <v>11037</v>
      </c>
      <c r="P1135" s="2" t="s">
        <v>11036</v>
      </c>
      <c r="Q1135" s="2">
        <f>AVERAGE(PerfRate[[#This Row],[EnvironmentSatisfaction]],PerfRate[[#This Row],[JobSatisfaction]],PerfRate[[#This Row],[RelationshipSatisfaction]])</f>
        <v>3.6666666666666665</v>
      </c>
      <c r="R1135" s="2">
        <f>PerfRate[[#This Row],[ManagerRating]] - PerfRate[[#This Row],[SelfRating]]</f>
        <v>0</v>
      </c>
    </row>
    <row r="1136" spans="1:18">
      <c r="A1136" s="2" t="s">
        <v>5443</v>
      </c>
      <c r="B1136" s="2" t="s">
        <v>1068</v>
      </c>
      <c r="C1136" s="1">
        <v>43132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  <c r="L1136" s="2" t="s">
        <v>11029</v>
      </c>
      <c r="M1136" s="2" t="s">
        <v>11029</v>
      </c>
      <c r="N1136" s="2" t="s">
        <v>11036</v>
      </c>
      <c r="O1136" s="2" t="s">
        <v>11036</v>
      </c>
      <c r="P1136" s="2" t="s">
        <v>11036</v>
      </c>
      <c r="Q1136" s="2">
        <f>AVERAGE(PerfRate[[#This Row],[EnvironmentSatisfaction]],PerfRate[[#This Row],[JobSatisfaction]],PerfRate[[#This Row],[RelationshipSatisfaction]])</f>
        <v>3</v>
      </c>
      <c r="R1136" s="2">
        <f>PerfRate[[#This Row],[ManagerRating]] - PerfRate[[#This Row],[SelfRating]]</f>
        <v>0</v>
      </c>
    </row>
    <row r="1137" spans="1:18">
      <c r="A1137" s="2" t="s">
        <v>5444</v>
      </c>
      <c r="B1137" s="2" t="s">
        <v>1435</v>
      </c>
      <c r="C1137" s="1">
        <v>43160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  <c r="L1137" s="2" t="s">
        <v>11030</v>
      </c>
      <c r="M1137" s="2" t="s">
        <v>11029</v>
      </c>
      <c r="N1137" s="2" t="s">
        <v>11037</v>
      </c>
      <c r="O1137" s="2" t="s">
        <v>11035</v>
      </c>
      <c r="P1137" s="2" t="s">
        <v>11037</v>
      </c>
      <c r="Q1137" s="2">
        <f>AVERAGE(PerfRate[[#This Row],[EnvironmentSatisfaction]],PerfRate[[#This Row],[JobSatisfaction]],PerfRate[[#This Row],[RelationshipSatisfaction]])</f>
        <v>3.3333333333333335</v>
      </c>
      <c r="R1137" s="2">
        <f>PerfRate[[#This Row],[ManagerRating]] - PerfRate[[#This Row],[SelfRating]]</f>
        <v>-1</v>
      </c>
    </row>
    <row r="1138" spans="1:18">
      <c r="A1138" s="2" t="s">
        <v>5445</v>
      </c>
      <c r="B1138" s="2" t="s">
        <v>1030</v>
      </c>
      <c r="C1138" s="1">
        <v>43160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  <c r="L1138" s="2" t="s">
        <v>11029</v>
      </c>
      <c r="M1138" s="2" t="s">
        <v>11028</v>
      </c>
      <c r="N1138" s="2" t="s">
        <v>11037</v>
      </c>
      <c r="O1138" s="2" t="s">
        <v>11037</v>
      </c>
      <c r="P1138" s="2" t="s">
        <v>11035</v>
      </c>
      <c r="Q1138" s="2">
        <f>AVERAGE(PerfRate[[#This Row],[EnvironmentSatisfaction]],PerfRate[[#This Row],[JobSatisfaction]],PerfRate[[#This Row],[RelationshipSatisfaction]])</f>
        <v>3.3333333333333335</v>
      </c>
      <c r="R1138" s="2">
        <f>PerfRate[[#This Row],[ManagerRating]] - PerfRate[[#This Row],[SelfRating]]</f>
        <v>-1</v>
      </c>
    </row>
    <row r="1139" spans="1:18">
      <c r="A1139" s="2" t="s">
        <v>5446</v>
      </c>
      <c r="B1139" s="2" t="s">
        <v>964</v>
      </c>
      <c r="C1139" s="1">
        <v>43160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  <c r="L1139" s="2" t="s">
        <v>11031</v>
      </c>
      <c r="M1139" s="2" t="s">
        <v>11030</v>
      </c>
      <c r="N1139" s="2" t="s">
        <v>11038</v>
      </c>
      <c r="O1139" s="2" t="s">
        <v>11037</v>
      </c>
      <c r="P1139" s="2" t="s">
        <v>11037</v>
      </c>
      <c r="Q1139" s="2">
        <f>AVERAGE(PerfRate[[#This Row],[EnvironmentSatisfaction]],PerfRate[[#This Row],[JobSatisfaction]],PerfRate[[#This Row],[RelationshipSatisfaction]])</f>
        <v>4.333333333333333</v>
      </c>
      <c r="R1139" s="2">
        <f>PerfRate[[#This Row],[ManagerRating]] - PerfRate[[#This Row],[SelfRating]]</f>
        <v>-1</v>
      </c>
    </row>
    <row r="1140" spans="1:18">
      <c r="A1140" s="2" t="s">
        <v>5447</v>
      </c>
      <c r="B1140" s="2" t="s">
        <v>260</v>
      </c>
      <c r="C1140" s="1">
        <v>43191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  <c r="L1140" s="2" t="s">
        <v>11030</v>
      </c>
      <c r="M1140" s="2" t="s">
        <v>11030</v>
      </c>
      <c r="N1140" s="2" t="s">
        <v>11038</v>
      </c>
      <c r="O1140" s="2" t="s">
        <v>11037</v>
      </c>
      <c r="P1140" s="2" t="s">
        <v>11038</v>
      </c>
      <c r="Q1140" s="2">
        <f>AVERAGE(PerfRate[[#This Row],[EnvironmentSatisfaction]],PerfRate[[#This Row],[JobSatisfaction]],PerfRate[[#This Row],[RelationshipSatisfaction]])</f>
        <v>4.666666666666667</v>
      </c>
      <c r="R1140" s="2">
        <f>PerfRate[[#This Row],[ManagerRating]] - PerfRate[[#This Row],[SelfRating]]</f>
        <v>0</v>
      </c>
    </row>
    <row r="1141" spans="1:18">
      <c r="A1141" s="2" t="s">
        <v>5448</v>
      </c>
      <c r="B1141" s="2" t="s">
        <v>892</v>
      </c>
      <c r="C1141" s="1">
        <v>43221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  <c r="L1141" s="2" t="s">
        <v>11029</v>
      </c>
      <c r="M1141" s="2" t="s">
        <v>11029</v>
      </c>
      <c r="N1141" s="2" t="s">
        <v>11038</v>
      </c>
      <c r="O1141" s="2" t="s">
        <v>11035</v>
      </c>
      <c r="P1141" s="2" t="s">
        <v>11035</v>
      </c>
      <c r="Q1141" s="2">
        <f>AVERAGE(PerfRate[[#This Row],[EnvironmentSatisfaction]],PerfRate[[#This Row],[JobSatisfaction]],PerfRate[[#This Row],[RelationshipSatisfaction]])</f>
        <v>3</v>
      </c>
      <c r="R1141" s="2">
        <f>PerfRate[[#This Row],[ManagerRating]] - PerfRate[[#This Row],[SelfRating]]</f>
        <v>0</v>
      </c>
    </row>
    <row r="1142" spans="1:18">
      <c r="A1142" s="2" t="s">
        <v>5449</v>
      </c>
      <c r="B1142" s="2" t="s">
        <v>141</v>
      </c>
      <c r="C1142" s="1">
        <v>43252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  <c r="L1142" s="2" t="s">
        <v>11029</v>
      </c>
      <c r="M1142" s="2" t="s">
        <v>11028</v>
      </c>
      <c r="N1142" s="2" t="s">
        <v>11038</v>
      </c>
      <c r="O1142" s="2" t="s">
        <v>11036</v>
      </c>
      <c r="P1142" s="2" t="s">
        <v>11036</v>
      </c>
      <c r="Q1142" s="2">
        <f>AVERAGE(PerfRate[[#This Row],[EnvironmentSatisfaction]],PerfRate[[#This Row],[JobSatisfaction]],PerfRate[[#This Row],[RelationshipSatisfaction]])</f>
        <v>3.6666666666666665</v>
      </c>
      <c r="R1142" s="2">
        <f>PerfRate[[#This Row],[ManagerRating]] - PerfRate[[#This Row],[SelfRating]]</f>
        <v>-1</v>
      </c>
    </row>
    <row r="1143" spans="1:18">
      <c r="A1143" s="2" t="s">
        <v>5450</v>
      </c>
      <c r="B1143" s="2" t="s">
        <v>428</v>
      </c>
      <c r="C1143" s="1">
        <v>43282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  <c r="L1143" s="2" t="s">
        <v>11031</v>
      </c>
      <c r="M1143" s="2" t="s">
        <v>11031</v>
      </c>
      <c r="N1143" s="2" t="s">
        <v>11036</v>
      </c>
      <c r="O1143" s="2" t="s">
        <v>11035</v>
      </c>
      <c r="P1143" s="2" t="s">
        <v>11038</v>
      </c>
      <c r="Q1143" s="2">
        <f>AVERAGE(PerfRate[[#This Row],[EnvironmentSatisfaction]],PerfRate[[#This Row],[JobSatisfaction]],PerfRate[[#This Row],[RelationshipSatisfaction]])</f>
        <v>3.3333333333333335</v>
      </c>
      <c r="R1143" s="2">
        <f>PerfRate[[#This Row],[ManagerRating]] - PerfRate[[#This Row],[SelfRating]]</f>
        <v>0</v>
      </c>
    </row>
    <row r="1144" spans="1:18">
      <c r="A1144" s="2" t="s">
        <v>5451</v>
      </c>
      <c r="B1144" s="2" t="s">
        <v>3105</v>
      </c>
      <c r="C1144" s="1">
        <v>41761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  <c r="L1144" s="2" t="s">
        <v>11029</v>
      </c>
      <c r="M1144" s="2" t="s">
        <v>11029</v>
      </c>
      <c r="N1144" s="2" t="s">
        <v>11037</v>
      </c>
      <c r="O1144" s="2" t="s">
        <v>11035</v>
      </c>
      <c r="P1144" s="2" t="s">
        <v>11036</v>
      </c>
      <c r="Q1144" s="2">
        <f>AVERAGE(PerfRate[[#This Row],[EnvironmentSatisfaction]],PerfRate[[#This Row],[JobSatisfaction]],PerfRate[[#This Row],[RelationshipSatisfaction]])</f>
        <v>3</v>
      </c>
      <c r="R1144" s="2">
        <f>PerfRate[[#This Row],[ManagerRating]] - PerfRate[[#This Row],[SelfRating]]</f>
        <v>0</v>
      </c>
    </row>
    <row r="1145" spans="1:18">
      <c r="A1145" s="2" t="s">
        <v>5452</v>
      </c>
      <c r="B1145" s="2" t="s">
        <v>1295</v>
      </c>
      <c r="C1145" s="1">
        <v>43282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  <c r="L1145" s="2" t="s">
        <v>11031</v>
      </c>
      <c r="M1145" s="2" t="s">
        <v>11031</v>
      </c>
      <c r="N1145" s="2" t="s">
        <v>11038</v>
      </c>
      <c r="O1145" s="2" t="s">
        <v>11037</v>
      </c>
      <c r="P1145" s="2" t="s">
        <v>11035</v>
      </c>
      <c r="Q1145" s="2">
        <f>AVERAGE(PerfRate[[#This Row],[EnvironmentSatisfaction]],PerfRate[[#This Row],[JobSatisfaction]],PerfRate[[#This Row],[RelationshipSatisfaction]])</f>
        <v>3.6666666666666665</v>
      </c>
      <c r="R1145" s="2">
        <f>PerfRate[[#This Row],[ManagerRating]] - PerfRate[[#This Row],[SelfRating]]</f>
        <v>0</v>
      </c>
    </row>
    <row r="1146" spans="1:18">
      <c r="A1146" s="2" t="s">
        <v>5453</v>
      </c>
      <c r="B1146" s="2" t="s">
        <v>1532</v>
      </c>
      <c r="C1146" s="1">
        <v>43313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  <c r="L1146" s="2" t="s">
        <v>11030</v>
      </c>
      <c r="M1146" s="2" t="s">
        <v>11030</v>
      </c>
      <c r="N1146" s="2" t="s">
        <v>11038</v>
      </c>
      <c r="O1146" s="2" t="s">
        <v>11036</v>
      </c>
      <c r="P1146" s="2" t="s">
        <v>11037</v>
      </c>
      <c r="Q1146" s="2">
        <f>AVERAGE(PerfRate[[#This Row],[EnvironmentSatisfaction]],PerfRate[[#This Row],[JobSatisfaction]],PerfRate[[#This Row],[RelationshipSatisfaction]])</f>
        <v>4</v>
      </c>
      <c r="R1146" s="2">
        <f>PerfRate[[#This Row],[ManagerRating]] - PerfRate[[#This Row],[SelfRating]]</f>
        <v>0</v>
      </c>
    </row>
    <row r="1147" spans="1:18">
      <c r="A1147" s="2" t="s">
        <v>5454</v>
      </c>
      <c r="B1147" s="2" t="s">
        <v>1945</v>
      </c>
      <c r="C1147" s="1">
        <v>43344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  <c r="L1147" s="2" t="s">
        <v>11030</v>
      </c>
      <c r="M1147" s="2" t="s">
        <v>11029</v>
      </c>
      <c r="N1147" s="2" t="s">
        <v>11038</v>
      </c>
      <c r="O1147" s="2" t="s">
        <v>11037</v>
      </c>
      <c r="P1147" s="2" t="s">
        <v>11036</v>
      </c>
      <c r="Q1147" s="2">
        <f>AVERAGE(PerfRate[[#This Row],[EnvironmentSatisfaction]],PerfRate[[#This Row],[JobSatisfaction]],PerfRate[[#This Row],[RelationshipSatisfaction]])</f>
        <v>4</v>
      </c>
      <c r="R1147" s="2">
        <f>PerfRate[[#This Row],[ManagerRating]] - PerfRate[[#This Row],[SelfRating]]</f>
        <v>-1</v>
      </c>
    </row>
    <row r="1148" spans="1:18">
      <c r="A1148" s="2" t="s">
        <v>5455</v>
      </c>
      <c r="B1148" s="2" t="s">
        <v>934</v>
      </c>
      <c r="C1148" s="1">
        <v>43344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  <c r="L1148" s="2" t="s">
        <v>11029</v>
      </c>
      <c r="M1148" s="2" t="s">
        <v>11028</v>
      </c>
      <c r="N1148" s="2" t="s">
        <v>11036</v>
      </c>
      <c r="O1148" s="2" t="s">
        <v>11038</v>
      </c>
      <c r="P1148" s="2" t="s">
        <v>11037</v>
      </c>
      <c r="Q1148" s="2">
        <f>AVERAGE(PerfRate[[#This Row],[EnvironmentSatisfaction]],PerfRate[[#This Row],[JobSatisfaction]],PerfRate[[#This Row],[RelationshipSatisfaction]])</f>
        <v>4</v>
      </c>
      <c r="R1148" s="2">
        <f>PerfRate[[#This Row],[ManagerRating]] - PerfRate[[#This Row],[SelfRating]]</f>
        <v>-1</v>
      </c>
    </row>
    <row r="1149" spans="1:18">
      <c r="A1149" s="2" t="s">
        <v>5456</v>
      </c>
      <c r="B1149" s="2" t="s">
        <v>850</v>
      </c>
      <c r="C1149" s="1">
        <v>43344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  <c r="L1149" s="2" t="s">
        <v>11030</v>
      </c>
      <c r="M1149" s="2" t="s">
        <v>11030</v>
      </c>
      <c r="N1149" s="2" t="s">
        <v>11036</v>
      </c>
      <c r="O1149" s="2" t="s">
        <v>11035</v>
      </c>
      <c r="P1149" s="2" t="s">
        <v>11037</v>
      </c>
      <c r="Q1149" s="2">
        <f>AVERAGE(PerfRate[[#This Row],[EnvironmentSatisfaction]],PerfRate[[#This Row],[JobSatisfaction]],PerfRate[[#This Row],[RelationshipSatisfaction]])</f>
        <v>3</v>
      </c>
      <c r="R1149" s="2">
        <f>PerfRate[[#This Row],[ManagerRating]] - PerfRate[[#This Row],[SelfRating]]</f>
        <v>0</v>
      </c>
    </row>
    <row r="1150" spans="1:18">
      <c r="A1150" s="2" t="s">
        <v>5457</v>
      </c>
      <c r="B1150" s="2" t="s">
        <v>1093</v>
      </c>
      <c r="C1150" s="1">
        <v>43344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  <c r="L1150" s="2" t="s">
        <v>11029</v>
      </c>
      <c r="M1150" s="2" t="s">
        <v>11028</v>
      </c>
      <c r="N1150" s="2" t="s">
        <v>11038</v>
      </c>
      <c r="O1150" s="2" t="s">
        <v>11038</v>
      </c>
      <c r="P1150" s="2" t="s">
        <v>11036</v>
      </c>
      <c r="Q1150" s="2">
        <f>AVERAGE(PerfRate[[#This Row],[EnvironmentSatisfaction]],PerfRate[[#This Row],[JobSatisfaction]],PerfRate[[#This Row],[RelationshipSatisfaction]])</f>
        <v>4.333333333333333</v>
      </c>
      <c r="R1150" s="2">
        <f>PerfRate[[#This Row],[ManagerRating]] - PerfRate[[#This Row],[SelfRating]]</f>
        <v>-1</v>
      </c>
    </row>
    <row r="1151" spans="1:18">
      <c r="A1151" s="2" t="s">
        <v>5458</v>
      </c>
      <c r="B1151" s="2" t="s">
        <v>2137</v>
      </c>
      <c r="C1151" s="1">
        <v>43344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  <c r="L1151" s="2" t="s">
        <v>11031</v>
      </c>
      <c r="M1151" s="2" t="s">
        <v>11030</v>
      </c>
      <c r="N1151" s="2" t="s">
        <v>11037</v>
      </c>
      <c r="O1151" s="2" t="s">
        <v>11038</v>
      </c>
      <c r="P1151" s="2" t="s">
        <v>11036</v>
      </c>
      <c r="Q1151" s="2">
        <f>AVERAGE(PerfRate[[#This Row],[EnvironmentSatisfaction]],PerfRate[[#This Row],[JobSatisfaction]],PerfRate[[#This Row],[RelationshipSatisfaction]])</f>
        <v>4</v>
      </c>
      <c r="R1151" s="2">
        <f>PerfRate[[#This Row],[ManagerRating]] - PerfRate[[#This Row],[SelfRating]]</f>
        <v>-1</v>
      </c>
    </row>
    <row r="1152" spans="1:18">
      <c r="A1152" s="2" t="s">
        <v>5459</v>
      </c>
      <c r="B1152" s="2" t="s">
        <v>853</v>
      </c>
      <c r="C1152" s="1">
        <v>43374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  <c r="L1152" s="2" t="s">
        <v>11030</v>
      </c>
      <c r="M1152" s="2" t="s">
        <v>11029</v>
      </c>
      <c r="N1152" s="2" t="s">
        <v>11037</v>
      </c>
      <c r="O1152" s="2" t="s">
        <v>11038</v>
      </c>
      <c r="P1152" s="2" t="s">
        <v>11037</v>
      </c>
      <c r="Q1152" s="2">
        <f>AVERAGE(PerfRate[[#This Row],[EnvironmentSatisfaction]],PerfRate[[#This Row],[JobSatisfaction]],PerfRate[[#This Row],[RelationshipSatisfaction]])</f>
        <v>4.333333333333333</v>
      </c>
      <c r="R1152" s="2">
        <f>PerfRate[[#This Row],[ManagerRating]] - PerfRate[[#This Row],[SelfRating]]</f>
        <v>-1</v>
      </c>
    </row>
    <row r="1153" spans="1:18">
      <c r="A1153" s="2" t="s">
        <v>5460</v>
      </c>
      <c r="B1153" s="2" t="s">
        <v>595</v>
      </c>
      <c r="C1153" s="1">
        <v>43374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  <c r="L1153" s="2" t="s">
        <v>11031</v>
      </c>
      <c r="M1153" s="2" t="s">
        <v>11031</v>
      </c>
      <c r="N1153" s="2" t="s">
        <v>11037</v>
      </c>
      <c r="O1153" s="2" t="s">
        <v>11035</v>
      </c>
      <c r="P1153" s="2" t="s">
        <v>11035</v>
      </c>
      <c r="Q1153" s="2">
        <f>AVERAGE(PerfRate[[#This Row],[EnvironmentSatisfaction]],PerfRate[[#This Row],[JobSatisfaction]],PerfRate[[#This Row],[RelationshipSatisfaction]])</f>
        <v>2.6666666666666665</v>
      </c>
      <c r="R1153" s="2">
        <f>PerfRate[[#This Row],[ManagerRating]] - PerfRate[[#This Row],[SelfRating]]</f>
        <v>0</v>
      </c>
    </row>
    <row r="1154" spans="1:18">
      <c r="A1154" s="2" t="s">
        <v>5461</v>
      </c>
      <c r="B1154" s="2" t="s">
        <v>970</v>
      </c>
      <c r="C1154" s="1">
        <v>43374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  <c r="L1154" s="2" t="s">
        <v>11030</v>
      </c>
      <c r="M1154" s="2" t="s">
        <v>11029</v>
      </c>
      <c r="N1154" s="2" t="s">
        <v>11036</v>
      </c>
      <c r="O1154" s="2" t="s">
        <v>11038</v>
      </c>
      <c r="P1154" s="2" t="s">
        <v>11038</v>
      </c>
      <c r="Q1154" s="2">
        <f>AVERAGE(PerfRate[[#This Row],[EnvironmentSatisfaction]],PerfRate[[#This Row],[JobSatisfaction]],PerfRate[[#This Row],[RelationshipSatisfaction]])</f>
        <v>4.333333333333333</v>
      </c>
      <c r="R1154" s="2">
        <f>PerfRate[[#This Row],[ManagerRating]] - PerfRate[[#This Row],[SelfRating]]</f>
        <v>-1</v>
      </c>
    </row>
    <row r="1155" spans="1:18">
      <c r="A1155" s="2" t="s">
        <v>5462</v>
      </c>
      <c r="B1155" s="2" t="s">
        <v>226</v>
      </c>
      <c r="C1155" s="1">
        <v>41792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  <c r="L1155" s="2" t="s">
        <v>11030</v>
      </c>
      <c r="M1155" s="2" t="s">
        <v>11029</v>
      </c>
      <c r="N1155" s="2" t="s">
        <v>11037</v>
      </c>
      <c r="O1155" s="2" t="s">
        <v>11038</v>
      </c>
      <c r="P1155" s="2" t="s">
        <v>11037</v>
      </c>
      <c r="Q1155" s="2">
        <f>AVERAGE(PerfRate[[#This Row],[EnvironmentSatisfaction]],PerfRate[[#This Row],[JobSatisfaction]],PerfRate[[#This Row],[RelationshipSatisfaction]])</f>
        <v>4.333333333333333</v>
      </c>
      <c r="R1155" s="2">
        <f>PerfRate[[#This Row],[ManagerRating]] - PerfRate[[#This Row],[SelfRating]]</f>
        <v>-1</v>
      </c>
    </row>
    <row r="1156" spans="1:18">
      <c r="A1156" s="2" t="s">
        <v>5463</v>
      </c>
      <c r="B1156" s="2" t="s">
        <v>2080</v>
      </c>
      <c r="C1156" s="1">
        <v>43405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  <c r="L1156" s="2" t="s">
        <v>11031</v>
      </c>
      <c r="M1156" s="2" t="s">
        <v>11030</v>
      </c>
      <c r="N1156" s="2" t="s">
        <v>11036</v>
      </c>
      <c r="O1156" s="2" t="s">
        <v>11038</v>
      </c>
      <c r="P1156" s="2" t="s">
        <v>11035</v>
      </c>
      <c r="Q1156" s="2">
        <f>AVERAGE(PerfRate[[#This Row],[EnvironmentSatisfaction]],PerfRate[[#This Row],[JobSatisfaction]],PerfRate[[#This Row],[RelationshipSatisfaction]])</f>
        <v>3.3333333333333335</v>
      </c>
      <c r="R1156" s="2">
        <f>PerfRate[[#This Row],[ManagerRating]] - PerfRate[[#This Row],[SelfRating]]</f>
        <v>-1</v>
      </c>
    </row>
    <row r="1157" spans="1:18">
      <c r="A1157" s="2" t="s">
        <v>5464</v>
      </c>
      <c r="B1157" s="2" t="s">
        <v>3868</v>
      </c>
      <c r="C1157" s="1">
        <v>43405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  <c r="L1157" s="2" t="s">
        <v>11029</v>
      </c>
      <c r="M1157" s="2" t="s">
        <v>11028</v>
      </c>
      <c r="N1157" s="2" t="s">
        <v>11037</v>
      </c>
      <c r="O1157" s="2" t="s">
        <v>11037</v>
      </c>
      <c r="P1157" s="2" t="s">
        <v>11036</v>
      </c>
      <c r="Q1157" s="2">
        <f>AVERAGE(PerfRate[[#This Row],[EnvironmentSatisfaction]],PerfRate[[#This Row],[JobSatisfaction]],PerfRate[[#This Row],[RelationshipSatisfaction]])</f>
        <v>3.6666666666666665</v>
      </c>
      <c r="R1157" s="2">
        <f>PerfRate[[#This Row],[ManagerRating]] - PerfRate[[#This Row],[SelfRating]]</f>
        <v>-1</v>
      </c>
    </row>
    <row r="1158" spans="1:18">
      <c r="A1158" s="2" t="s">
        <v>5465</v>
      </c>
      <c r="B1158" s="2" t="s">
        <v>2150</v>
      </c>
      <c r="C1158" s="1">
        <v>43435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  <c r="L1158" s="2" t="s">
        <v>11029</v>
      </c>
      <c r="M1158" s="2" t="s">
        <v>11029</v>
      </c>
      <c r="N1158" s="2" t="s">
        <v>11036</v>
      </c>
      <c r="O1158" s="2" t="s">
        <v>11037</v>
      </c>
      <c r="P1158" s="2" t="s">
        <v>11035</v>
      </c>
      <c r="Q1158" s="2">
        <f>AVERAGE(PerfRate[[#This Row],[EnvironmentSatisfaction]],PerfRate[[#This Row],[JobSatisfaction]],PerfRate[[#This Row],[RelationshipSatisfaction]])</f>
        <v>3</v>
      </c>
      <c r="R1158" s="2">
        <f>PerfRate[[#This Row],[ManagerRating]] - PerfRate[[#This Row],[SelfRating]]</f>
        <v>0</v>
      </c>
    </row>
    <row r="1159" spans="1:18">
      <c r="A1159" s="2" t="s">
        <v>5466</v>
      </c>
      <c r="B1159" s="2" t="s">
        <v>889</v>
      </c>
      <c r="C1159" s="1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  <c r="L1159" s="2" t="s">
        <v>11029</v>
      </c>
      <c r="M1159" s="2" t="s">
        <v>11028</v>
      </c>
      <c r="N1159" s="2" t="s">
        <v>11036</v>
      </c>
      <c r="O1159" s="2" t="s">
        <v>11036</v>
      </c>
      <c r="P1159" s="2" t="s">
        <v>11037</v>
      </c>
      <c r="Q1159" s="2">
        <f>AVERAGE(PerfRate[[#This Row],[EnvironmentSatisfaction]],PerfRate[[#This Row],[JobSatisfaction]],PerfRate[[#This Row],[RelationshipSatisfaction]])</f>
        <v>3.3333333333333335</v>
      </c>
      <c r="R1159" s="2">
        <f>PerfRate[[#This Row],[ManagerRating]] - PerfRate[[#This Row],[SelfRating]]</f>
        <v>-1</v>
      </c>
    </row>
    <row r="1160" spans="1:18">
      <c r="A1160" s="2" t="s">
        <v>5467</v>
      </c>
      <c r="B1160" s="2" t="s">
        <v>2281</v>
      </c>
      <c r="C1160" s="1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  <c r="L1160" s="2" t="s">
        <v>11030</v>
      </c>
      <c r="M1160" s="2" t="s">
        <v>11029</v>
      </c>
      <c r="N1160" s="2" t="s">
        <v>11036</v>
      </c>
      <c r="O1160" s="2" t="s">
        <v>11038</v>
      </c>
      <c r="P1160" s="2" t="s">
        <v>11036</v>
      </c>
      <c r="Q1160" s="2">
        <f>AVERAGE(PerfRate[[#This Row],[EnvironmentSatisfaction]],PerfRate[[#This Row],[JobSatisfaction]],PerfRate[[#This Row],[RelationshipSatisfaction]])</f>
        <v>3.6666666666666665</v>
      </c>
      <c r="R1160" s="2">
        <f>PerfRate[[#This Row],[ManagerRating]] - PerfRate[[#This Row],[SelfRating]]</f>
        <v>-1</v>
      </c>
    </row>
    <row r="1161" spans="1:18">
      <c r="A1161" s="2" t="s">
        <v>5468</v>
      </c>
      <c r="B1161" s="2" t="s">
        <v>1090</v>
      </c>
      <c r="C1161" s="1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  <c r="L1161" s="2" t="s">
        <v>11030</v>
      </c>
      <c r="M1161" s="2" t="s">
        <v>11030</v>
      </c>
      <c r="N1161" s="2" t="s">
        <v>11038</v>
      </c>
      <c r="O1161" s="2" t="s">
        <v>11038</v>
      </c>
      <c r="P1161" s="2" t="s">
        <v>11035</v>
      </c>
      <c r="Q1161" s="2">
        <f>AVERAGE(PerfRate[[#This Row],[EnvironmentSatisfaction]],PerfRate[[#This Row],[JobSatisfaction]],PerfRate[[#This Row],[RelationshipSatisfaction]])</f>
        <v>4</v>
      </c>
      <c r="R1161" s="2">
        <f>PerfRate[[#This Row],[ManagerRating]] - PerfRate[[#This Row],[SelfRating]]</f>
        <v>0</v>
      </c>
    </row>
    <row r="1162" spans="1:18">
      <c r="A1162" s="2" t="s">
        <v>5469</v>
      </c>
      <c r="B1162" s="2" t="s">
        <v>166</v>
      </c>
      <c r="C1162" s="1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  <c r="L1162" s="2" t="s">
        <v>11029</v>
      </c>
      <c r="M1162" s="2" t="s">
        <v>11029</v>
      </c>
      <c r="N1162" s="2" t="s">
        <v>11038</v>
      </c>
      <c r="O1162" s="2" t="s">
        <v>11036</v>
      </c>
      <c r="P1162" s="2" t="s">
        <v>11035</v>
      </c>
      <c r="Q1162" s="2">
        <f>AVERAGE(PerfRate[[#This Row],[EnvironmentSatisfaction]],PerfRate[[#This Row],[JobSatisfaction]],PerfRate[[#This Row],[RelationshipSatisfaction]])</f>
        <v>3.3333333333333335</v>
      </c>
      <c r="R1162" s="2">
        <f>PerfRate[[#This Row],[ManagerRating]] - PerfRate[[#This Row],[SelfRating]]</f>
        <v>0</v>
      </c>
    </row>
    <row r="1163" spans="1:18">
      <c r="A1163" s="2" t="s">
        <v>5470</v>
      </c>
      <c r="B1163" s="2" t="s">
        <v>401</v>
      </c>
      <c r="C1163" s="1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  <c r="L1163" s="2" t="s">
        <v>11029</v>
      </c>
      <c r="M1163" s="2" t="s">
        <v>11028</v>
      </c>
      <c r="N1163" s="2" t="s">
        <v>11036</v>
      </c>
      <c r="O1163" s="2" t="s">
        <v>11036</v>
      </c>
      <c r="P1163" s="2" t="s">
        <v>11036</v>
      </c>
      <c r="Q1163" s="2">
        <f>AVERAGE(PerfRate[[#This Row],[EnvironmentSatisfaction]],PerfRate[[#This Row],[JobSatisfaction]],PerfRate[[#This Row],[RelationshipSatisfaction]])</f>
        <v>3</v>
      </c>
      <c r="R1163" s="2">
        <f>PerfRate[[#This Row],[ManagerRating]] - PerfRate[[#This Row],[SelfRating]]</f>
        <v>-1</v>
      </c>
    </row>
    <row r="1164" spans="1:18">
      <c r="A1164" s="2" t="s">
        <v>5471</v>
      </c>
      <c r="B1164" s="2" t="s">
        <v>1889</v>
      </c>
      <c r="C1164" s="1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  <c r="L1164" s="2" t="s">
        <v>11030</v>
      </c>
      <c r="M1164" s="2" t="s">
        <v>11030</v>
      </c>
      <c r="N1164" s="2" t="s">
        <v>11036</v>
      </c>
      <c r="O1164" s="2" t="s">
        <v>11036</v>
      </c>
      <c r="P1164" s="2" t="s">
        <v>11037</v>
      </c>
      <c r="Q1164" s="2">
        <f>AVERAGE(PerfRate[[#This Row],[EnvironmentSatisfaction]],PerfRate[[#This Row],[JobSatisfaction]],PerfRate[[#This Row],[RelationshipSatisfaction]])</f>
        <v>3.3333333333333335</v>
      </c>
      <c r="R1164" s="2">
        <f>PerfRate[[#This Row],[ManagerRating]] - PerfRate[[#This Row],[SelfRating]]</f>
        <v>0</v>
      </c>
    </row>
    <row r="1165" spans="1:18">
      <c r="A1165" s="2" t="s">
        <v>5472</v>
      </c>
      <c r="B1165" s="2" t="s">
        <v>940</v>
      </c>
      <c r="C1165" s="1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  <c r="L1165" s="2" t="s">
        <v>11030</v>
      </c>
      <c r="M1165" s="2" t="s">
        <v>11029</v>
      </c>
      <c r="N1165" s="2" t="s">
        <v>11037</v>
      </c>
      <c r="O1165" s="2" t="s">
        <v>11036</v>
      </c>
      <c r="P1165" s="2" t="s">
        <v>11038</v>
      </c>
      <c r="Q1165" s="2">
        <f>AVERAGE(PerfRate[[#This Row],[EnvironmentSatisfaction]],PerfRate[[#This Row],[JobSatisfaction]],PerfRate[[#This Row],[RelationshipSatisfaction]])</f>
        <v>4</v>
      </c>
      <c r="R1165" s="2">
        <f>PerfRate[[#This Row],[ManagerRating]] - PerfRate[[#This Row],[SelfRating]]</f>
        <v>-1</v>
      </c>
    </row>
    <row r="1166" spans="1:18">
      <c r="A1166" s="2" t="s">
        <v>5473</v>
      </c>
      <c r="B1166" s="2" t="s">
        <v>81</v>
      </c>
      <c r="C1166" s="1">
        <v>41792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  <c r="L1166" s="2" t="s">
        <v>11029</v>
      </c>
      <c r="M1166" s="2" t="s">
        <v>11028</v>
      </c>
      <c r="N1166" s="2" t="s">
        <v>11036</v>
      </c>
      <c r="O1166" s="2" t="s">
        <v>11038</v>
      </c>
      <c r="P1166" s="2" t="s">
        <v>11036</v>
      </c>
      <c r="Q1166" s="2">
        <f>AVERAGE(PerfRate[[#This Row],[EnvironmentSatisfaction]],PerfRate[[#This Row],[JobSatisfaction]],PerfRate[[#This Row],[RelationshipSatisfaction]])</f>
        <v>3.6666666666666665</v>
      </c>
      <c r="R1166" s="2">
        <f>PerfRate[[#This Row],[ManagerRating]] - PerfRate[[#This Row],[SelfRating]]</f>
        <v>-1</v>
      </c>
    </row>
    <row r="1167" spans="1:18">
      <c r="A1167" s="2" t="s">
        <v>5474</v>
      </c>
      <c r="B1167" s="2" t="s">
        <v>490</v>
      </c>
      <c r="C1167" s="1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  <c r="L1167" s="2" t="s">
        <v>11031</v>
      </c>
      <c r="M1167" s="2" t="s">
        <v>11030</v>
      </c>
      <c r="N1167" s="2" t="s">
        <v>11037</v>
      </c>
      <c r="O1167" s="2" t="s">
        <v>11035</v>
      </c>
      <c r="P1167" s="2" t="s">
        <v>11038</v>
      </c>
      <c r="Q1167" s="2">
        <f>AVERAGE(PerfRate[[#This Row],[EnvironmentSatisfaction]],PerfRate[[#This Row],[JobSatisfaction]],PerfRate[[#This Row],[RelationshipSatisfaction]])</f>
        <v>3.6666666666666665</v>
      </c>
      <c r="R1167" s="2">
        <f>PerfRate[[#This Row],[ManagerRating]] - PerfRate[[#This Row],[SelfRating]]</f>
        <v>-1</v>
      </c>
    </row>
    <row r="1168" spans="1:18">
      <c r="A1168" s="2" t="s">
        <v>5475</v>
      </c>
      <c r="B1168" s="2" t="s">
        <v>738</v>
      </c>
      <c r="C1168" s="1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  <c r="L1168" s="2" t="s">
        <v>11029</v>
      </c>
      <c r="M1168" s="2" t="s">
        <v>11029</v>
      </c>
      <c r="N1168" s="2" t="s">
        <v>11036</v>
      </c>
      <c r="O1168" s="2" t="s">
        <v>11035</v>
      </c>
      <c r="P1168" s="2" t="s">
        <v>11038</v>
      </c>
      <c r="Q1168" s="2">
        <f>AVERAGE(PerfRate[[#This Row],[EnvironmentSatisfaction]],PerfRate[[#This Row],[JobSatisfaction]],PerfRate[[#This Row],[RelationshipSatisfaction]])</f>
        <v>3.3333333333333335</v>
      </c>
      <c r="R1168" s="2">
        <f>PerfRate[[#This Row],[ManagerRating]] - PerfRate[[#This Row],[SelfRating]]</f>
        <v>0</v>
      </c>
    </row>
    <row r="1169" spans="1:18">
      <c r="A1169" s="2" t="s">
        <v>5476</v>
      </c>
      <c r="B1169" s="2" t="s">
        <v>2911</v>
      </c>
      <c r="C1169" s="1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  <c r="L1169" s="2" t="s">
        <v>11030</v>
      </c>
      <c r="M1169" s="2" t="s">
        <v>11030</v>
      </c>
      <c r="N1169" s="2" t="s">
        <v>11037</v>
      </c>
      <c r="O1169" s="2" t="s">
        <v>11037</v>
      </c>
      <c r="P1169" s="2" t="s">
        <v>11037</v>
      </c>
      <c r="Q1169" s="2">
        <f>AVERAGE(PerfRate[[#This Row],[EnvironmentSatisfaction]],PerfRate[[#This Row],[JobSatisfaction]],PerfRate[[#This Row],[RelationshipSatisfaction]])</f>
        <v>4</v>
      </c>
      <c r="R1169" s="2">
        <f>PerfRate[[#This Row],[ManagerRating]] - PerfRate[[#This Row],[SelfRating]]</f>
        <v>0</v>
      </c>
    </row>
    <row r="1170" spans="1:18">
      <c r="A1170" s="2" t="s">
        <v>5477</v>
      </c>
      <c r="B1170" s="2" t="s">
        <v>1818</v>
      </c>
      <c r="C1170" s="1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  <c r="L1170" s="2" t="s">
        <v>11029</v>
      </c>
      <c r="M1170" s="2" t="s">
        <v>11028</v>
      </c>
      <c r="N1170" s="2" t="s">
        <v>11036</v>
      </c>
      <c r="O1170" s="2" t="s">
        <v>11036</v>
      </c>
      <c r="P1170" s="2" t="s">
        <v>11037</v>
      </c>
      <c r="Q1170" s="2">
        <f>AVERAGE(PerfRate[[#This Row],[EnvironmentSatisfaction]],PerfRate[[#This Row],[JobSatisfaction]],PerfRate[[#This Row],[RelationshipSatisfaction]])</f>
        <v>3.3333333333333335</v>
      </c>
      <c r="R1170" s="2">
        <f>PerfRate[[#This Row],[ManagerRating]] - PerfRate[[#This Row],[SelfRating]]</f>
        <v>-1</v>
      </c>
    </row>
    <row r="1171" spans="1:18">
      <c r="A1171" s="2" t="s">
        <v>5478</v>
      </c>
      <c r="B1171" s="2" t="s">
        <v>1881</v>
      </c>
      <c r="C1171" s="1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  <c r="L1171" s="2" t="s">
        <v>11030</v>
      </c>
      <c r="M1171" s="2" t="s">
        <v>11029</v>
      </c>
      <c r="N1171" s="2" t="s">
        <v>11038</v>
      </c>
      <c r="O1171" s="2" t="s">
        <v>11038</v>
      </c>
      <c r="P1171" s="2" t="s">
        <v>11038</v>
      </c>
      <c r="Q1171" s="2">
        <f>AVERAGE(PerfRate[[#This Row],[EnvironmentSatisfaction]],PerfRate[[#This Row],[JobSatisfaction]],PerfRate[[#This Row],[RelationshipSatisfaction]])</f>
        <v>5</v>
      </c>
      <c r="R1171" s="2">
        <f>PerfRate[[#This Row],[ManagerRating]] - PerfRate[[#This Row],[SelfRating]]</f>
        <v>-1</v>
      </c>
    </row>
    <row r="1172" spans="1:18">
      <c r="A1172" s="2" t="s">
        <v>5479</v>
      </c>
      <c r="B1172" s="2" t="s">
        <v>1177</v>
      </c>
      <c r="C1172" s="1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  <c r="L1172" s="2" t="s">
        <v>11029</v>
      </c>
      <c r="M1172" s="2" t="s">
        <v>11028</v>
      </c>
      <c r="N1172" s="2" t="s">
        <v>11038</v>
      </c>
      <c r="O1172" s="2" t="s">
        <v>11036</v>
      </c>
      <c r="P1172" s="2" t="s">
        <v>11035</v>
      </c>
      <c r="Q1172" s="2">
        <f>AVERAGE(PerfRate[[#This Row],[EnvironmentSatisfaction]],PerfRate[[#This Row],[JobSatisfaction]],PerfRate[[#This Row],[RelationshipSatisfaction]])</f>
        <v>3.3333333333333335</v>
      </c>
      <c r="R1172" s="2">
        <f>PerfRate[[#This Row],[ManagerRating]] - PerfRate[[#This Row],[SelfRating]]</f>
        <v>-1</v>
      </c>
    </row>
    <row r="1173" spans="1:18">
      <c r="A1173" s="2" t="s">
        <v>5480</v>
      </c>
      <c r="B1173" s="2" t="s">
        <v>94</v>
      </c>
      <c r="C1173" s="1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  <c r="L1173" s="2" t="s">
        <v>11031</v>
      </c>
      <c r="M1173" s="2" t="s">
        <v>11030</v>
      </c>
      <c r="N1173" s="2" t="s">
        <v>11038</v>
      </c>
      <c r="O1173" s="2" t="s">
        <v>11038</v>
      </c>
      <c r="P1173" s="2" t="s">
        <v>11036</v>
      </c>
      <c r="Q1173" s="2">
        <f>AVERAGE(PerfRate[[#This Row],[EnvironmentSatisfaction]],PerfRate[[#This Row],[JobSatisfaction]],PerfRate[[#This Row],[RelationshipSatisfaction]])</f>
        <v>4.333333333333333</v>
      </c>
      <c r="R1173" s="2">
        <f>PerfRate[[#This Row],[ManagerRating]] - PerfRate[[#This Row],[SelfRating]]</f>
        <v>-1</v>
      </c>
    </row>
    <row r="1174" spans="1:18">
      <c r="A1174" s="2" t="s">
        <v>5481</v>
      </c>
      <c r="B1174" s="2" t="s">
        <v>690</v>
      </c>
      <c r="C1174" s="1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  <c r="L1174" s="2" t="s">
        <v>11030</v>
      </c>
      <c r="M1174" s="2" t="s">
        <v>11030</v>
      </c>
      <c r="N1174" s="2" t="s">
        <v>11036</v>
      </c>
      <c r="O1174" s="2" t="s">
        <v>11036</v>
      </c>
      <c r="P1174" s="2" t="s">
        <v>11036</v>
      </c>
      <c r="Q1174" s="2">
        <f>AVERAGE(PerfRate[[#This Row],[EnvironmentSatisfaction]],PerfRate[[#This Row],[JobSatisfaction]],PerfRate[[#This Row],[RelationshipSatisfaction]])</f>
        <v>3</v>
      </c>
      <c r="R1174" s="2">
        <f>PerfRate[[#This Row],[ManagerRating]] - PerfRate[[#This Row],[SelfRating]]</f>
        <v>0</v>
      </c>
    </row>
    <row r="1175" spans="1:18">
      <c r="A1175" s="2" t="s">
        <v>5482</v>
      </c>
      <c r="B1175" s="2" t="s">
        <v>1707</v>
      </c>
      <c r="C1175" s="1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  <c r="L1175" s="2" t="s">
        <v>11029</v>
      </c>
      <c r="M1175" s="2" t="s">
        <v>11028</v>
      </c>
      <c r="N1175" s="2" t="s">
        <v>11036</v>
      </c>
      <c r="O1175" s="2" t="s">
        <v>11037</v>
      </c>
      <c r="P1175" s="2" t="s">
        <v>11037</v>
      </c>
      <c r="Q1175" s="2">
        <f>AVERAGE(PerfRate[[#This Row],[EnvironmentSatisfaction]],PerfRate[[#This Row],[JobSatisfaction]],PerfRate[[#This Row],[RelationshipSatisfaction]])</f>
        <v>3.6666666666666665</v>
      </c>
      <c r="R1175" s="2">
        <f>PerfRate[[#This Row],[ManagerRating]] - PerfRate[[#This Row],[SelfRating]]</f>
        <v>-1</v>
      </c>
    </row>
    <row r="1176" spans="1:18">
      <c r="A1176" s="2" t="s">
        <v>5483</v>
      </c>
      <c r="B1176" s="2" t="s">
        <v>1024</v>
      </c>
      <c r="C1176" s="1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  <c r="L1176" s="2" t="s">
        <v>11031</v>
      </c>
      <c r="M1176" s="2" t="s">
        <v>11030</v>
      </c>
      <c r="N1176" s="2" t="s">
        <v>11036</v>
      </c>
      <c r="O1176" s="2" t="s">
        <v>11037</v>
      </c>
      <c r="P1176" s="2" t="s">
        <v>11037</v>
      </c>
      <c r="Q1176" s="2">
        <f>AVERAGE(PerfRate[[#This Row],[EnvironmentSatisfaction]],PerfRate[[#This Row],[JobSatisfaction]],PerfRate[[#This Row],[RelationshipSatisfaction]])</f>
        <v>3.6666666666666665</v>
      </c>
      <c r="R1176" s="2">
        <f>PerfRate[[#This Row],[ManagerRating]] - PerfRate[[#This Row],[SelfRating]]</f>
        <v>-1</v>
      </c>
    </row>
    <row r="1177" spans="1:18">
      <c r="A1177" s="2" t="s">
        <v>5484</v>
      </c>
      <c r="B1177" s="2" t="s">
        <v>2109</v>
      </c>
      <c r="C1177" s="1">
        <v>41945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  <c r="L1177" s="2" t="s">
        <v>11030</v>
      </c>
      <c r="M1177" s="2" t="s">
        <v>11029</v>
      </c>
      <c r="N1177" s="2" t="s">
        <v>11038</v>
      </c>
      <c r="O1177" s="2" t="s">
        <v>11037</v>
      </c>
      <c r="P1177" s="2" t="s">
        <v>11036</v>
      </c>
      <c r="Q1177" s="2">
        <f>AVERAGE(PerfRate[[#This Row],[EnvironmentSatisfaction]],PerfRate[[#This Row],[JobSatisfaction]],PerfRate[[#This Row],[RelationshipSatisfaction]])</f>
        <v>4</v>
      </c>
      <c r="R1177" s="2">
        <f>PerfRate[[#This Row],[ManagerRating]] - PerfRate[[#This Row],[SelfRating]]</f>
        <v>-1</v>
      </c>
    </row>
    <row r="1178" spans="1:18">
      <c r="A1178" s="2" t="s">
        <v>5485</v>
      </c>
      <c r="B1178" s="2" t="s">
        <v>1406</v>
      </c>
      <c r="C1178" s="1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  <c r="L1178" s="2" t="s">
        <v>11031</v>
      </c>
      <c r="M1178" s="2" t="s">
        <v>11030</v>
      </c>
      <c r="N1178" s="2" t="s">
        <v>11038</v>
      </c>
      <c r="O1178" s="2" t="s">
        <v>11036</v>
      </c>
      <c r="P1178" s="2" t="s">
        <v>11035</v>
      </c>
      <c r="Q1178" s="2">
        <f>AVERAGE(PerfRate[[#This Row],[EnvironmentSatisfaction]],PerfRate[[#This Row],[JobSatisfaction]],PerfRate[[#This Row],[RelationshipSatisfaction]])</f>
        <v>3.3333333333333335</v>
      </c>
      <c r="R1178" s="2">
        <f>PerfRate[[#This Row],[ManagerRating]] - PerfRate[[#This Row],[SelfRating]]</f>
        <v>-1</v>
      </c>
    </row>
    <row r="1179" spans="1:18">
      <c r="A1179" s="2" t="s">
        <v>5486</v>
      </c>
      <c r="B1179" s="2" t="s">
        <v>705</v>
      </c>
      <c r="C1179" s="1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  <c r="L1179" s="2" t="s">
        <v>11031</v>
      </c>
      <c r="M1179" s="2" t="s">
        <v>11030</v>
      </c>
      <c r="N1179" s="2" t="s">
        <v>11037</v>
      </c>
      <c r="O1179" s="2" t="s">
        <v>11036</v>
      </c>
      <c r="P1179" s="2" t="s">
        <v>11036</v>
      </c>
      <c r="Q1179" s="2">
        <f>AVERAGE(PerfRate[[#This Row],[EnvironmentSatisfaction]],PerfRate[[#This Row],[JobSatisfaction]],PerfRate[[#This Row],[RelationshipSatisfaction]])</f>
        <v>3.3333333333333335</v>
      </c>
      <c r="R1179" s="2">
        <f>PerfRate[[#This Row],[ManagerRating]] - PerfRate[[#This Row],[SelfRating]]</f>
        <v>-1</v>
      </c>
    </row>
    <row r="1180" spans="1:18">
      <c r="A1180" s="2" t="s">
        <v>5487</v>
      </c>
      <c r="B1180" s="2" t="s">
        <v>1423</v>
      </c>
      <c r="C1180" s="1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  <c r="L1180" s="2" t="s">
        <v>11030</v>
      </c>
      <c r="M1180" s="2" t="s">
        <v>11029</v>
      </c>
      <c r="N1180" s="2" t="s">
        <v>11036</v>
      </c>
      <c r="O1180" s="2" t="s">
        <v>11036</v>
      </c>
      <c r="P1180" s="2" t="s">
        <v>11036</v>
      </c>
      <c r="Q1180" s="2">
        <f>AVERAGE(PerfRate[[#This Row],[EnvironmentSatisfaction]],PerfRate[[#This Row],[JobSatisfaction]],PerfRate[[#This Row],[RelationshipSatisfaction]])</f>
        <v>3</v>
      </c>
      <c r="R1180" s="2">
        <f>PerfRate[[#This Row],[ManagerRating]] - PerfRate[[#This Row],[SelfRating]]</f>
        <v>-1</v>
      </c>
    </row>
    <row r="1181" spans="1:18">
      <c r="A1181" s="2" t="s">
        <v>5488</v>
      </c>
      <c r="B1181" s="2" t="s">
        <v>664</v>
      </c>
      <c r="C1181" s="1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  <c r="L1181" s="2" t="s">
        <v>11031</v>
      </c>
      <c r="M1181" s="2" t="s">
        <v>11031</v>
      </c>
      <c r="N1181" s="2" t="s">
        <v>11037</v>
      </c>
      <c r="O1181" s="2" t="s">
        <v>11037</v>
      </c>
      <c r="P1181" s="2" t="s">
        <v>11036</v>
      </c>
      <c r="Q1181" s="2">
        <f>AVERAGE(PerfRate[[#This Row],[EnvironmentSatisfaction]],PerfRate[[#This Row],[JobSatisfaction]],PerfRate[[#This Row],[RelationshipSatisfaction]])</f>
        <v>3.6666666666666665</v>
      </c>
      <c r="R1181" s="2">
        <f>PerfRate[[#This Row],[ManagerRating]] - PerfRate[[#This Row],[SelfRating]]</f>
        <v>0</v>
      </c>
    </row>
    <row r="1182" spans="1:18">
      <c r="A1182" s="2" t="s">
        <v>5489</v>
      </c>
      <c r="B1182" s="2" t="s">
        <v>684</v>
      </c>
      <c r="C1182" s="1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  <c r="L1182" s="2" t="s">
        <v>11029</v>
      </c>
      <c r="M1182" s="2" t="s">
        <v>11028</v>
      </c>
      <c r="N1182" s="2" t="s">
        <v>11036</v>
      </c>
      <c r="O1182" s="2" t="s">
        <v>11036</v>
      </c>
      <c r="P1182" s="2" t="s">
        <v>11035</v>
      </c>
      <c r="Q1182" s="2">
        <f>AVERAGE(PerfRate[[#This Row],[EnvironmentSatisfaction]],PerfRate[[#This Row],[JobSatisfaction]],PerfRate[[#This Row],[RelationshipSatisfaction]])</f>
        <v>2.6666666666666665</v>
      </c>
      <c r="R1182" s="2">
        <f>PerfRate[[#This Row],[ManagerRating]] - PerfRate[[#This Row],[SelfRating]]</f>
        <v>-1</v>
      </c>
    </row>
    <row r="1183" spans="1:18">
      <c r="A1183" s="2" t="s">
        <v>5490</v>
      </c>
      <c r="B1183" s="2" t="s">
        <v>702</v>
      </c>
      <c r="C1183" s="1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  <c r="L1183" s="2" t="s">
        <v>11030</v>
      </c>
      <c r="M1183" s="2" t="s">
        <v>11029</v>
      </c>
      <c r="N1183" s="2" t="s">
        <v>11038</v>
      </c>
      <c r="O1183" s="2" t="s">
        <v>11036</v>
      </c>
      <c r="P1183" s="2" t="s">
        <v>11035</v>
      </c>
      <c r="Q1183" s="2">
        <f>AVERAGE(PerfRate[[#This Row],[EnvironmentSatisfaction]],PerfRate[[#This Row],[JobSatisfaction]],PerfRate[[#This Row],[RelationshipSatisfaction]])</f>
        <v>3.3333333333333335</v>
      </c>
      <c r="R1183" s="2">
        <f>PerfRate[[#This Row],[ManagerRating]] - PerfRate[[#This Row],[SelfRating]]</f>
        <v>-1</v>
      </c>
    </row>
    <row r="1184" spans="1:18">
      <c r="A1184" s="2" t="s">
        <v>5491</v>
      </c>
      <c r="B1184" s="2" t="s">
        <v>991</v>
      </c>
      <c r="C1184" s="1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  <c r="L1184" s="2" t="s">
        <v>11029</v>
      </c>
      <c r="M1184" s="2" t="s">
        <v>11028</v>
      </c>
      <c r="N1184" s="2" t="s">
        <v>11036</v>
      </c>
      <c r="O1184" s="2" t="s">
        <v>11035</v>
      </c>
      <c r="P1184" s="2" t="s">
        <v>11035</v>
      </c>
      <c r="Q1184" s="2">
        <f>AVERAGE(PerfRate[[#This Row],[EnvironmentSatisfaction]],PerfRate[[#This Row],[JobSatisfaction]],PerfRate[[#This Row],[RelationshipSatisfaction]])</f>
        <v>2.3333333333333335</v>
      </c>
      <c r="R1184" s="2">
        <f>PerfRate[[#This Row],[ManagerRating]] - PerfRate[[#This Row],[SelfRating]]</f>
        <v>-1</v>
      </c>
    </row>
    <row r="1185" spans="1:18">
      <c r="A1185" s="2" t="s">
        <v>5492</v>
      </c>
      <c r="B1185" s="2" t="s">
        <v>1252</v>
      </c>
      <c r="C1185" s="1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  <c r="L1185" s="2" t="s">
        <v>11029</v>
      </c>
      <c r="M1185" s="2" t="s">
        <v>11028</v>
      </c>
      <c r="N1185" s="2" t="s">
        <v>11036</v>
      </c>
      <c r="O1185" s="2" t="s">
        <v>11037</v>
      </c>
      <c r="P1185" s="2" t="s">
        <v>11035</v>
      </c>
      <c r="Q1185" s="2">
        <f>AVERAGE(PerfRate[[#This Row],[EnvironmentSatisfaction]],PerfRate[[#This Row],[JobSatisfaction]],PerfRate[[#This Row],[RelationshipSatisfaction]])</f>
        <v>3</v>
      </c>
      <c r="R1185" s="2">
        <f>PerfRate[[#This Row],[ManagerRating]] - PerfRate[[#This Row],[SelfRating]]</f>
        <v>-1</v>
      </c>
    </row>
    <row r="1186" spans="1:18">
      <c r="A1186" s="2" t="s">
        <v>5493</v>
      </c>
      <c r="B1186" s="2" t="s">
        <v>3995</v>
      </c>
      <c r="C1186" s="1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  <c r="L1186" s="2" t="s">
        <v>11030</v>
      </c>
      <c r="M1186" s="2" t="s">
        <v>11030</v>
      </c>
      <c r="N1186" s="2" t="s">
        <v>11036</v>
      </c>
      <c r="O1186" s="2" t="s">
        <v>11038</v>
      </c>
      <c r="P1186" s="2" t="s">
        <v>11036</v>
      </c>
      <c r="Q1186" s="2">
        <f>AVERAGE(PerfRate[[#This Row],[EnvironmentSatisfaction]],PerfRate[[#This Row],[JobSatisfaction]],PerfRate[[#This Row],[RelationshipSatisfaction]])</f>
        <v>3.6666666666666665</v>
      </c>
      <c r="R1186" s="2">
        <f>PerfRate[[#This Row],[ManagerRating]] - PerfRate[[#This Row],[SelfRating]]</f>
        <v>0</v>
      </c>
    </row>
    <row r="1187" spans="1:18">
      <c r="A1187" s="2" t="s">
        <v>5494</v>
      </c>
      <c r="B1187" s="2" t="s">
        <v>1886</v>
      </c>
      <c r="C1187" s="1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  <c r="L1187" s="2" t="s">
        <v>11029</v>
      </c>
      <c r="M1187" s="2" t="s">
        <v>11028</v>
      </c>
      <c r="N1187" s="2" t="s">
        <v>11037</v>
      </c>
      <c r="O1187" s="2" t="s">
        <v>11036</v>
      </c>
      <c r="P1187" s="2" t="s">
        <v>11037</v>
      </c>
      <c r="Q1187" s="2">
        <f>AVERAGE(PerfRate[[#This Row],[EnvironmentSatisfaction]],PerfRate[[#This Row],[JobSatisfaction]],PerfRate[[#This Row],[RelationshipSatisfaction]])</f>
        <v>3.6666666666666665</v>
      </c>
      <c r="R1187" s="2">
        <f>PerfRate[[#This Row],[ManagerRating]] - PerfRate[[#This Row],[SelfRating]]</f>
        <v>-1</v>
      </c>
    </row>
    <row r="1188" spans="1:18">
      <c r="A1188" s="2" t="s">
        <v>5495</v>
      </c>
      <c r="B1188" s="2" t="s">
        <v>1981</v>
      </c>
      <c r="C1188" s="1">
        <v>41945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  <c r="L1188" s="2" t="s">
        <v>11031</v>
      </c>
      <c r="M1188" s="2" t="s">
        <v>11030</v>
      </c>
      <c r="N1188" s="2" t="s">
        <v>11036</v>
      </c>
      <c r="O1188" s="2" t="s">
        <v>11036</v>
      </c>
      <c r="P1188" s="2" t="s">
        <v>11038</v>
      </c>
      <c r="Q1188" s="2">
        <f>AVERAGE(PerfRate[[#This Row],[EnvironmentSatisfaction]],PerfRate[[#This Row],[JobSatisfaction]],PerfRate[[#This Row],[RelationshipSatisfaction]])</f>
        <v>3.6666666666666665</v>
      </c>
      <c r="R1188" s="2">
        <f>PerfRate[[#This Row],[ManagerRating]] - PerfRate[[#This Row],[SelfRating]]</f>
        <v>-1</v>
      </c>
    </row>
    <row r="1189" spans="1:18">
      <c r="A1189" s="2" t="s">
        <v>5496</v>
      </c>
      <c r="B1189" s="2" t="s">
        <v>3566</v>
      </c>
      <c r="C1189" s="1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  <c r="L1189" s="2" t="s">
        <v>11031</v>
      </c>
      <c r="M1189" s="2" t="s">
        <v>11030</v>
      </c>
      <c r="N1189" s="2" t="s">
        <v>11036</v>
      </c>
      <c r="O1189" s="2" t="s">
        <v>11035</v>
      </c>
      <c r="P1189" s="2" t="s">
        <v>11038</v>
      </c>
      <c r="Q1189" s="2">
        <f>AVERAGE(PerfRate[[#This Row],[EnvironmentSatisfaction]],PerfRate[[#This Row],[JobSatisfaction]],PerfRate[[#This Row],[RelationshipSatisfaction]])</f>
        <v>3.3333333333333335</v>
      </c>
      <c r="R1189" s="2">
        <f>PerfRate[[#This Row],[ManagerRating]] - PerfRate[[#This Row],[SelfRating]]</f>
        <v>-1</v>
      </c>
    </row>
    <row r="1190" spans="1:18">
      <c r="A1190" s="2" t="s">
        <v>5497</v>
      </c>
      <c r="B1190" s="2" t="s">
        <v>1065</v>
      </c>
      <c r="C1190" s="1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  <c r="L1190" s="2" t="s">
        <v>11031</v>
      </c>
      <c r="M1190" s="2" t="s">
        <v>11031</v>
      </c>
      <c r="N1190" s="2" t="s">
        <v>11038</v>
      </c>
      <c r="O1190" s="2" t="s">
        <v>11038</v>
      </c>
      <c r="P1190" s="2" t="s">
        <v>11035</v>
      </c>
      <c r="Q1190" s="2">
        <f>AVERAGE(PerfRate[[#This Row],[EnvironmentSatisfaction]],PerfRate[[#This Row],[JobSatisfaction]],PerfRate[[#This Row],[RelationshipSatisfaction]])</f>
        <v>4</v>
      </c>
      <c r="R1190" s="2">
        <f>PerfRate[[#This Row],[ManagerRating]] - PerfRate[[#This Row],[SelfRating]]</f>
        <v>0</v>
      </c>
    </row>
    <row r="1191" spans="1:18">
      <c r="A1191" s="2" t="s">
        <v>5498</v>
      </c>
      <c r="B1191" s="2" t="s">
        <v>589</v>
      </c>
      <c r="C1191" s="1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  <c r="L1191" s="2" t="s">
        <v>11029</v>
      </c>
      <c r="M1191" s="2" t="s">
        <v>11029</v>
      </c>
      <c r="N1191" s="2" t="s">
        <v>11038</v>
      </c>
      <c r="O1191" s="2" t="s">
        <v>11036</v>
      </c>
      <c r="P1191" s="2" t="s">
        <v>11038</v>
      </c>
      <c r="Q1191" s="2">
        <f>AVERAGE(PerfRate[[#This Row],[EnvironmentSatisfaction]],PerfRate[[#This Row],[JobSatisfaction]],PerfRate[[#This Row],[RelationshipSatisfaction]])</f>
        <v>4.333333333333333</v>
      </c>
      <c r="R1191" s="2">
        <f>PerfRate[[#This Row],[ManagerRating]] - PerfRate[[#This Row],[SelfRating]]</f>
        <v>0</v>
      </c>
    </row>
    <row r="1192" spans="1:18">
      <c r="A1192" s="2" t="s">
        <v>5499</v>
      </c>
      <c r="B1192" s="2" t="s">
        <v>1027</v>
      </c>
      <c r="C1192" s="1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  <c r="L1192" s="2" t="s">
        <v>11030</v>
      </c>
      <c r="M1192" s="2" t="s">
        <v>11030</v>
      </c>
      <c r="N1192" s="2" t="s">
        <v>11038</v>
      </c>
      <c r="O1192" s="2" t="s">
        <v>11037</v>
      </c>
      <c r="P1192" s="2" t="s">
        <v>11035</v>
      </c>
      <c r="Q1192" s="2">
        <f>AVERAGE(PerfRate[[#This Row],[EnvironmentSatisfaction]],PerfRate[[#This Row],[JobSatisfaction]],PerfRate[[#This Row],[RelationshipSatisfaction]])</f>
        <v>3.6666666666666665</v>
      </c>
      <c r="R1192" s="2">
        <f>PerfRate[[#This Row],[ManagerRating]] - PerfRate[[#This Row],[SelfRating]]</f>
        <v>0</v>
      </c>
    </row>
    <row r="1193" spans="1:18">
      <c r="A1193" s="2" t="s">
        <v>5500</v>
      </c>
      <c r="B1193" s="2" t="s">
        <v>622</v>
      </c>
      <c r="C1193" s="1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  <c r="L1193" s="2" t="s">
        <v>11031</v>
      </c>
      <c r="M1193" s="2" t="s">
        <v>11030</v>
      </c>
      <c r="N1193" s="2" t="s">
        <v>11038</v>
      </c>
      <c r="O1193" s="2" t="s">
        <v>11035</v>
      </c>
      <c r="P1193" s="2" t="s">
        <v>11038</v>
      </c>
      <c r="Q1193" s="2">
        <f>AVERAGE(PerfRate[[#This Row],[EnvironmentSatisfaction]],PerfRate[[#This Row],[JobSatisfaction]],PerfRate[[#This Row],[RelationshipSatisfaction]])</f>
        <v>4</v>
      </c>
      <c r="R1193" s="2">
        <f>PerfRate[[#This Row],[ManagerRating]] - PerfRate[[#This Row],[SelfRating]]</f>
        <v>-1</v>
      </c>
    </row>
    <row r="1194" spans="1:18">
      <c r="A1194" s="2" t="s">
        <v>5501</v>
      </c>
      <c r="B1194" s="2" t="s">
        <v>1263</v>
      </c>
      <c r="C1194" s="1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  <c r="L1194" s="2" t="s">
        <v>11029</v>
      </c>
      <c r="M1194" s="2" t="s">
        <v>11028</v>
      </c>
      <c r="N1194" s="2" t="s">
        <v>11036</v>
      </c>
      <c r="O1194" s="2" t="s">
        <v>11038</v>
      </c>
      <c r="P1194" s="2" t="s">
        <v>11037</v>
      </c>
      <c r="Q1194" s="2">
        <f>AVERAGE(PerfRate[[#This Row],[EnvironmentSatisfaction]],PerfRate[[#This Row],[JobSatisfaction]],PerfRate[[#This Row],[RelationshipSatisfaction]])</f>
        <v>4</v>
      </c>
      <c r="R1194" s="2">
        <f>PerfRate[[#This Row],[ManagerRating]] - PerfRate[[#This Row],[SelfRating]]</f>
        <v>-1</v>
      </c>
    </row>
    <row r="1195" spans="1:18">
      <c r="A1195" s="2" t="s">
        <v>5502</v>
      </c>
      <c r="B1195" s="2" t="s">
        <v>1341</v>
      </c>
      <c r="C1195" s="1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  <c r="L1195" s="2" t="s">
        <v>11029</v>
      </c>
      <c r="M1195" s="2" t="s">
        <v>11028</v>
      </c>
      <c r="N1195" s="2" t="s">
        <v>11037</v>
      </c>
      <c r="O1195" s="2" t="s">
        <v>11035</v>
      </c>
      <c r="P1195" s="2" t="s">
        <v>11037</v>
      </c>
      <c r="Q1195" s="2">
        <f>AVERAGE(PerfRate[[#This Row],[EnvironmentSatisfaction]],PerfRate[[#This Row],[JobSatisfaction]],PerfRate[[#This Row],[RelationshipSatisfaction]])</f>
        <v>3.3333333333333335</v>
      </c>
      <c r="R1195" s="2">
        <f>PerfRate[[#This Row],[ManagerRating]] - PerfRate[[#This Row],[SelfRating]]</f>
        <v>-1</v>
      </c>
    </row>
    <row r="1196" spans="1:18">
      <c r="A1196" s="2" t="s">
        <v>5503</v>
      </c>
      <c r="B1196" s="2" t="s">
        <v>1383</v>
      </c>
      <c r="C1196" s="1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  <c r="L1196" s="2" t="s">
        <v>11030</v>
      </c>
      <c r="M1196" s="2" t="s">
        <v>11029</v>
      </c>
      <c r="N1196" s="2" t="s">
        <v>11036</v>
      </c>
      <c r="O1196" s="2" t="s">
        <v>11036</v>
      </c>
      <c r="P1196" s="2" t="s">
        <v>11035</v>
      </c>
      <c r="Q1196" s="2">
        <f>AVERAGE(PerfRate[[#This Row],[EnvironmentSatisfaction]],PerfRate[[#This Row],[JobSatisfaction]],PerfRate[[#This Row],[RelationshipSatisfaction]])</f>
        <v>2.6666666666666665</v>
      </c>
      <c r="R1196" s="2">
        <f>PerfRate[[#This Row],[ManagerRating]] - PerfRate[[#This Row],[SelfRating]]</f>
        <v>-1</v>
      </c>
    </row>
    <row r="1197" spans="1:18">
      <c r="A1197" s="2" t="s">
        <v>5504</v>
      </c>
      <c r="B1197" s="2" t="s">
        <v>241</v>
      </c>
      <c r="C1197" s="1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  <c r="L1197" s="2" t="s">
        <v>11030</v>
      </c>
      <c r="M1197" s="2" t="s">
        <v>11030</v>
      </c>
      <c r="N1197" s="2" t="s">
        <v>11038</v>
      </c>
      <c r="O1197" s="2" t="s">
        <v>11035</v>
      </c>
      <c r="P1197" s="2" t="s">
        <v>11037</v>
      </c>
      <c r="Q1197" s="2">
        <f>AVERAGE(PerfRate[[#This Row],[EnvironmentSatisfaction]],PerfRate[[#This Row],[JobSatisfaction]],PerfRate[[#This Row],[RelationshipSatisfaction]])</f>
        <v>3.6666666666666665</v>
      </c>
      <c r="R1197" s="2">
        <f>PerfRate[[#This Row],[ManagerRating]] - PerfRate[[#This Row],[SelfRating]]</f>
        <v>0</v>
      </c>
    </row>
    <row r="1198" spans="1:18">
      <c r="A1198" s="2" t="s">
        <v>5505</v>
      </c>
      <c r="B1198" s="2" t="s">
        <v>735</v>
      </c>
      <c r="C1198" s="1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  <c r="L1198" s="2" t="s">
        <v>11030</v>
      </c>
      <c r="M1198" s="2" t="s">
        <v>11030</v>
      </c>
      <c r="N1198" s="2" t="s">
        <v>11036</v>
      </c>
      <c r="O1198" s="2" t="s">
        <v>11037</v>
      </c>
      <c r="P1198" s="2" t="s">
        <v>11035</v>
      </c>
      <c r="Q1198" s="2">
        <f>AVERAGE(PerfRate[[#This Row],[EnvironmentSatisfaction]],PerfRate[[#This Row],[JobSatisfaction]],PerfRate[[#This Row],[RelationshipSatisfaction]])</f>
        <v>3</v>
      </c>
      <c r="R1198" s="2">
        <f>PerfRate[[#This Row],[ManagerRating]] - PerfRate[[#This Row],[SelfRating]]</f>
        <v>0</v>
      </c>
    </row>
    <row r="1199" spans="1:18">
      <c r="A1199" s="2" t="s">
        <v>5506</v>
      </c>
      <c r="B1199" s="2" t="s">
        <v>4104</v>
      </c>
      <c r="C1199" s="1">
        <v>41975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  <c r="L1199" s="2" t="s">
        <v>11031</v>
      </c>
      <c r="M1199" s="2" t="s">
        <v>11031</v>
      </c>
      <c r="N1199" s="2" t="s">
        <v>11036</v>
      </c>
      <c r="O1199" s="2" t="s">
        <v>11035</v>
      </c>
      <c r="P1199" s="2" t="s">
        <v>11036</v>
      </c>
      <c r="Q1199" s="2">
        <f>AVERAGE(PerfRate[[#This Row],[EnvironmentSatisfaction]],PerfRate[[#This Row],[JobSatisfaction]],PerfRate[[#This Row],[RelationshipSatisfaction]])</f>
        <v>2.6666666666666665</v>
      </c>
      <c r="R1199" s="2">
        <f>PerfRate[[#This Row],[ManagerRating]] - PerfRate[[#This Row],[SelfRating]]</f>
        <v>0</v>
      </c>
    </row>
    <row r="1200" spans="1:18">
      <c r="A1200" s="2" t="s">
        <v>5507</v>
      </c>
      <c r="B1200" s="2" t="s">
        <v>3126</v>
      </c>
      <c r="C1200" s="1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  <c r="L1200" s="2" t="s">
        <v>11029</v>
      </c>
      <c r="M1200" s="2" t="s">
        <v>11028</v>
      </c>
      <c r="N1200" s="2" t="s">
        <v>11038</v>
      </c>
      <c r="O1200" s="2" t="s">
        <v>11037</v>
      </c>
      <c r="P1200" s="2" t="s">
        <v>11035</v>
      </c>
      <c r="Q1200" s="2">
        <f>AVERAGE(PerfRate[[#This Row],[EnvironmentSatisfaction]],PerfRate[[#This Row],[JobSatisfaction]],PerfRate[[#This Row],[RelationshipSatisfaction]])</f>
        <v>3.6666666666666665</v>
      </c>
      <c r="R1200" s="2">
        <f>PerfRate[[#This Row],[ManagerRating]] - PerfRate[[#This Row],[SelfRating]]</f>
        <v>-1</v>
      </c>
    </row>
    <row r="1201" spans="1:18">
      <c r="A1201" s="2" t="s">
        <v>5508</v>
      </c>
      <c r="B1201" s="2" t="s">
        <v>493</v>
      </c>
      <c r="C1201" s="1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  <c r="L1201" s="2" t="s">
        <v>11029</v>
      </c>
      <c r="M1201" s="2" t="s">
        <v>11028</v>
      </c>
      <c r="N1201" s="2" t="s">
        <v>11037</v>
      </c>
      <c r="O1201" s="2" t="s">
        <v>11037</v>
      </c>
      <c r="P1201" s="2" t="s">
        <v>11035</v>
      </c>
      <c r="Q1201" s="2">
        <f>AVERAGE(PerfRate[[#This Row],[EnvironmentSatisfaction]],PerfRate[[#This Row],[JobSatisfaction]],PerfRate[[#This Row],[RelationshipSatisfaction]])</f>
        <v>3.3333333333333335</v>
      </c>
      <c r="R1201" s="2">
        <f>PerfRate[[#This Row],[ManagerRating]] - PerfRate[[#This Row],[SelfRating]]</f>
        <v>-1</v>
      </c>
    </row>
    <row r="1202" spans="1:18">
      <c r="A1202" s="2" t="s">
        <v>5509</v>
      </c>
      <c r="B1202" s="2" t="s">
        <v>1511</v>
      </c>
      <c r="C1202" s="1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  <c r="L1202" s="2" t="s">
        <v>11031</v>
      </c>
      <c r="M1202" s="2" t="s">
        <v>11030</v>
      </c>
      <c r="N1202" s="2" t="s">
        <v>11036</v>
      </c>
      <c r="O1202" s="2" t="s">
        <v>11037</v>
      </c>
      <c r="P1202" s="2" t="s">
        <v>11035</v>
      </c>
      <c r="Q1202" s="2">
        <f>AVERAGE(PerfRate[[#This Row],[EnvironmentSatisfaction]],PerfRate[[#This Row],[JobSatisfaction]],PerfRate[[#This Row],[RelationshipSatisfaction]])</f>
        <v>3</v>
      </c>
      <c r="R1202" s="2">
        <f>PerfRate[[#This Row],[ManagerRating]] - PerfRate[[#This Row],[SelfRating]]</f>
        <v>-1</v>
      </c>
    </row>
    <row r="1203" spans="1:18">
      <c r="A1203" s="2" t="s">
        <v>5510</v>
      </c>
      <c r="B1203" s="2" t="s">
        <v>2131</v>
      </c>
      <c r="C1203" s="1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  <c r="L1203" s="2" t="s">
        <v>11030</v>
      </c>
      <c r="M1203" s="2" t="s">
        <v>11029</v>
      </c>
      <c r="N1203" s="2" t="s">
        <v>11037</v>
      </c>
      <c r="O1203" s="2" t="s">
        <v>11037</v>
      </c>
      <c r="P1203" s="2" t="s">
        <v>11035</v>
      </c>
      <c r="Q1203" s="2">
        <f>AVERAGE(PerfRate[[#This Row],[EnvironmentSatisfaction]],PerfRate[[#This Row],[JobSatisfaction]],PerfRate[[#This Row],[RelationshipSatisfaction]])</f>
        <v>3.3333333333333335</v>
      </c>
      <c r="R1203" s="2">
        <f>PerfRate[[#This Row],[ManagerRating]] - PerfRate[[#This Row],[SelfRating]]</f>
        <v>-1</v>
      </c>
    </row>
    <row r="1204" spans="1:18">
      <c r="A1204" s="2" t="s">
        <v>5511</v>
      </c>
      <c r="B1204" s="2" t="s">
        <v>1198</v>
      </c>
      <c r="C1204" s="1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  <c r="L1204" s="2" t="s">
        <v>11029</v>
      </c>
      <c r="M1204" s="2" t="s">
        <v>11029</v>
      </c>
      <c r="N1204" s="2" t="s">
        <v>11036</v>
      </c>
      <c r="O1204" s="2" t="s">
        <v>11036</v>
      </c>
      <c r="P1204" s="2" t="s">
        <v>11038</v>
      </c>
      <c r="Q1204" s="2">
        <f>AVERAGE(PerfRate[[#This Row],[EnvironmentSatisfaction]],PerfRate[[#This Row],[JobSatisfaction]],PerfRate[[#This Row],[RelationshipSatisfaction]])</f>
        <v>3.6666666666666665</v>
      </c>
      <c r="R1204" s="2">
        <f>PerfRate[[#This Row],[ManagerRating]] - PerfRate[[#This Row],[SelfRating]]</f>
        <v>0</v>
      </c>
    </row>
    <row r="1205" spans="1:18">
      <c r="A1205" s="2" t="s">
        <v>5512</v>
      </c>
      <c r="B1205" s="2" t="s">
        <v>1353</v>
      </c>
      <c r="C1205" s="1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  <c r="L1205" s="2" t="s">
        <v>11029</v>
      </c>
      <c r="M1205" s="2" t="s">
        <v>11028</v>
      </c>
      <c r="N1205" s="2" t="s">
        <v>11038</v>
      </c>
      <c r="O1205" s="2" t="s">
        <v>11038</v>
      </c>
      <c r="P1205" s="2" t="s">
        <v>11036</v>
      </c>
      <c r="Q1205" s="2">
        <f>AVERAGE(PerfRate[[#This Row],[EnvironmentSatisfaction]],PerfRate[[#This Row],[JobSatisfaction]],PerfRate[[#This Row],[RelationshipSatisfaction]])</f>
        <v>4.333333333333333</v>
      </c>
      <c r="R1205" s="2">
        <f>PerfRate[[#This Row],[ManagerRating]] - PerfRate[[#This Row],[SelfRating]]</f>
        <v>-1</v>
      </c>
    </row>
    <row r="1206" spans="1:18">
      <c r="A1206" s="2" t="s">
        <v>5513</v>
      </c>
      <c r="B1206" s="2" t="s">
        <v>1006</v>
      </c>
      <c r="C1206" s="1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  <c r="L1206" s="2" t="s">
        <v>11029</v>
      </c>
      <c r="M1206" s="2" t="s">
        <v>11028</v>
      </c>
      <c r="N1206" s="2" t="s">
        <v>11038</v>
      </c>
      <c r="O1206" s="2" t="s">
        <v>11037</v>
      </c>
      <c r="P1206" s="2" t="s">
        <v>11037</v>
      </c>
      <c r="Q1206" s="2">
        <f>AVERAGE(PerfRate[[#This Row],[EnvironmentSatisfaction]],PerfRate[[#This Row],[JobSatisfaction]],PerfRate[[#This Row],[RelationshipSatisfaction]])</f>
        <v>4.333333333333333</v>
      </c>
      <c r="R1206" s="2">
        <f>PerfRate[[#This Row],[ManagerRating]] - PerfRate[[#This Row],[SelfRating]]</f>
        <v>-1</v>
      </c>
    </row>
    <row r="1207" spans="1:18">
      <c r="A1207" s="2" t="s">
        <v>5514</v>
      </c>
      <c r="B1207" s="2" t="s">
        <v>523</v>
      </c>
      <c r="C1207" s="1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  <c r="L1207" s="2" t="s">
        <v>11030</v>
      </c>
      <c r="M1207" s="2" t="s">
        <v>11029</v>
      </c>
      <c r="N1207" s="2" t="s">
        <v>11036</v>
      </c>
      <c r="O1207" s="2" t="s">
        <v>11038</v>
      </c>
      <c r="P1207" s="2" t="s">
        <v>11036</v>
      </c>
      <c r="Q1207" s="2">
        <f>AVERAGE(PerfRate[[#This Row],[EnvironmentSatisfaction]],PerfRate[[#This Row],[JobSatisfaction]],PerfRate[[#This Row],[RelationshipSatisfaction]])</f>
        <v>3.6666666666666665</v>
      </c>
      <c r="R1207" s="2">
        <f>PerfRate[[#This Row],[ManagerRating]] - PerfRate[[#This Row],[SelfRating]]</f>
        <v>-1</v>
      </c>
    </row>
    <row r="1208" spans="1:18">
      <c r="A1208" s="2" t="s">
        <v>5515</v>
      </c>
      <c r="B1208" s="2" t="s">
        <v>220</v>
      </c>
      <c r="C1208" s="1">
        <v>43102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  <c r="L1208" s="2" t="s">
        <v>11029</v>
      </c>
      <c r="M1208" s="2" t="s">
        <v>11028</v>
      </c>
      <c r="N1208" s="2" t="s">
        <v>11036</v>
      </c>
      <c r="O1208" s="2" t="s">
        <v>11037</v>
      </c>
      <c r="P1208" s="2" t="s">
        <v>11037</v>
      </c>
      <c r="Q1208" s="2">
        <f>AVERAGE(PerfRate[[#This Row],[EnvironmentSatisfaction]],PerfRate[[#This Row],[JobSatisfaction]],PerfRate[[#This Row],[RelationshipSatisfaction]])</f>
        <v>3.6666666666666665</v>
      </c>
      <c r="R1208" s="2">
        <f>PerfRate[[#This Row],[ManagerRating]] - PerfRate[[#This Row],[SelfRating]]</f>
        <v>-1</v>
      </c>
    </row>
    <row r="1209" spans="1:18">
      <c r="A1209" s="2" t="s">
        <v>5516</v>
      </c>
      <c r="B1209" s="2" t="s">
        <v>1356</v>
      </c>
      <c r="C1209" s="1">
        <v>43102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  <c r="L1209" s="2" t="s">
        <v>11031</v>
      </c>
      <c r="M1209" s="2" t="s">
        <v>11030</v>
      </c>
      <c r="N1209" s="2" t="s">
        <v>11036</v>
      </c>
      <c r="O1209" s="2" t="s">
        <v>11036</v>
      </c>
      <c r="P1209" s="2" t="s">
        <v>11035</v>
      </c>
      <c r="Q1209" s="2">
        <f>AVERAGE(PerfRate[[#This Row],[EnvironmentSatisfaction]],PerfRate[[#This Row],[JobSatisfaction]],PerfRate[[#This Row],[RelationshipSatisfaction]])</f>
        <v>2.6666666666666665</v>
      </c>
      <c r="R1209" s="2">
        <f>PerfRate[[#This Row],[ManagerRating]] - PerfRate[[#This Row],[SelfRating]]</f>
        <v>-1</v>
      </c>
    </row>
    <row r="1210" spans="1:18">
      <c r="A1210" s="2" t="s">
        <v>5517</v>
      </c>
      <c r="B1210" s="2" t="s">
        <v>750</v>
      </c>
      <c r="C1210" s="1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  <c r="L1210" s="2" t="s">
        <v>11030</v>
      </c>
      <c r="M1210" s="2" t="s">
        <v>11030</v>
      </c>
      <c r="N1210" s="2" t="s">
        <v>11037</v>
      </c>
      <c r="O1210" s="2" t="s">
        <v>11036</v>
      </c>
      <c r="P1210" s="2" t="s">
        <v>11038</v>
      </c>
      <c r="Q1210" s="2">
        <f>AVERAGE(PerfRate[[#This Row],[EnvironmentSatisfaction]],PerfRate[[#This Row],[JobSatisfaction]],PerfRate[[#This Row],[RelationshipSatisfaction]])</f>
        <v>4</v>
      </c>
      <c r="R1210" s="2">
        <f>PerfRate[[#This Row],[ManagerRating]] - PerfRate[[#This Row],[SelfRating]]</f>
        <v>0</v>
      </c>
    </row>
    <row r="1211" spans="1:18">
      <c r="A1211" s="2" t="s">
        <v>5518</v>
      </c>
      <c r="B1211" s="2" t="s">
        <v>714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  <c r="L1211" s="2" t="s">
        <v>11029</v>
      </c>
      <c r="M1211" s="2" t="s">
        <v>11029</v>
      </c>
      <c r="N1211" s="2" t="s">
        <v>11037</v>
      </c>
      <c r="O1211" s="2" t="s">
        <v>11037</v>
      </c>
      <c r="P1211" s="2" t="s">
        <v>11036</v>
      </c>
      <c r="Q1211" s="2">
        <f>AVERAGE(PerfRate[[#This Row],[EnvironmentSatisfaction]],PerfRate[[#This Row],[JobSatisfaction]],PerfRate[[#This Row],[RelationshipSatisfaction]])</f>
        <v>3.6666666666666665</v>
      </c>
      <c r="R1211" s="2">
        <f>PerfRate[[#This Row],[ManagerRating]] - PerfRate[[#This Row],[SelfRating]]</f>
        <v>0</v>
      </c>
    </row>
    <row r="1212" spans="1:18">
      <c r="A1212" s="2" t="s">
        <v>5519</v>
      </c>
      <c r="B1212" s="2" t="s">
        <v>122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  <c r="L1212" s="2" t="s">
        <v>11029</v>
      </c>
      <c r="M1212" s="2" t="s">
        <v>11028</v>
      </c>
      <c r="N1212" s="2" t="s">
        <v>11038</v>
      </c>
      <c r="O1212" s="2" t="s">
        <v>11035</v>
      </c>
      <c r="P1212" s="2" t="s">
        <v>11035</v>
      </c>
      <c r="Q1212" s="2">
        <f>AVERAGE(PerfRate[[#This Row],[EnvironmentSatisfaction]],PerfRate[[#This Row],[JobSatisfaction]],PerfRate[[#This Row],[RelationshipSatisfaction]])</f>
        <v>3</v>
      </c>
      <c r="R1212" s="2">
        <f>PerfRate[[#This Row],[ManagerRating]] - PerfRate[[#This Row],[SelfRating]]</f>
        <v>-1</v>
      </c>
    </row>
    <row r="1213" spans="1:18">
      <c r="A1213" s="2" t="s">
        <v>5520</v>
      </c>
      <c r="B1213" s="2" t="s">
        <v>726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  <c r="L1213" s="2" t="s">
        <v>11031</v>
      </c>
      <c r="M1213" s="2" t="s">
        <v>11030</v>
      </c>
      <c r="N1213" s="2" t="s">
        <v>11036</v>
      </c>
      <c r="O1213" s="2" t="s">
        <v>11036</v>
      </c>
      <c r="P1213" s="2" t="s">
        <v>11038</v>
      </c>
      <c r="Q1213" s="2">
        <f>AVERAGE(PerfRate[[#This Row],[EnvironmentSatisfaction]],PerfRate[[#This Row],[JobSatisfaction]],PerfRate[[#This Row],[RelationshipSatisfaction]])</f>
        <v>3.6666666666666665</v>
      </c>
      <c r="R1213" s="2">
        <f>PerfRate[[#This Row],[ManagerRating]] - PerfRate[[#This Row],[SelfRating]]</f>
        <v>-1</v>
      </c>
    </row>
    <row r="1214" spans="1:18">
      <c r="A1214" s="2" t="s">
        <v>5521</v>
      </c>
      <c r="B1214" s="2" t="s">
        <v>1163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  <c r="L1214" s="2" t="s">
        <v>11030</v>
      </c>
      <c r="M1214" s="2" t="s">
        <v>11029</v>
      </c>
      <c r="N1214" s="2" t="s">
        <v>11036</v>
      </c>
      <c r="O1214" s="2" t="s">
        <v>11035</v>
      </c>
      <c r="P1214" s="2" t="s">
        <v>11036</v>
      </c>
      <c r="Q1214" s="2">
        <f>AVERAGE(PerfRate[[#This Row],[EnvironmentSatisfaction]],PerfRate[[#This Row],[JobSatisfaction]],PerfRate[[#This Row],[RelationshipSatisfaction]])</f>
        <v>2.6666666666666665</v>
      </c>
      <c r="R1214" s="2">
        <f>PerfRate[[#This Row],[ManagerRating]] - PerfRate[[#This Row],[SelfRating]]</f>
        <v>-1</v>
      </c>
    </row>
    <row r="1215" spans="1:18">
      <c r="A1215" s="2" t="s">
        <v>5522</v>
      </c>
      <c r="B1215" s="2" t="s">
        <v>1048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  <c r="L1215" s="2" t="s">
        <v>11029</v>
      </c>
      <c r="M1215" s="2" t="s">
        <v>11028</v>
      </c>
      <c r="N1215" s="2" t="s">
        <v>11036</v>
      </c>
      <c r="O1215" s="2" t="s">
        <v>11037</v>
      </c>
      <c r="P1215" s="2" t="s">
        <v>11035</v>
      </c>
      <c r="Q1215" s="2">
        <f>AVERAGE(PerfRate[[#This Row],[EnvironmentSatisfaction]],PerfRate[[#This Row],[JobSatisfaction]],PerfRate[[#This Row],[RelationshipSatisfaction]])</f>
        <v>3</v>
      </c>
      <c r="R1215" s="2">
        <f>PerfRate[[#This Row],[ManagerRating]] - PerfRate[[#This Row],[SelfRating]]</f>
        <v>-1</v>
      </c>
    </row>
    <row r="1216" spans="1:18">
      <c r="A1216" s="2" t="s">
        <v>5523</v>
      </c>
      <c r="B1216" s="2" t="s">
        <v>1538</v>
      </c>
      <c r="C1216" s="1">
        <v>43161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  <c r="L1216" s="2" t="s">
        <v>11031</v>
      </c>
      <c r="M1216" s="2" t="s">
        <v>11031</v>
      </c>
      <c r="N1216" s="2" t="s">
        <v>11036</v>
      </c>
      <c r="O1216" s="2" t="s">
        <v>11036</v>
      </c>
      <c r="P1216" s="2" t="s">
        <v>11035</v>
      </c>
      <c r="Q1216" s="2">
        <f>AVERAGE(PerfRate[[#This Row],[EnvironmentSatisfaction]],PerfRate[[#This Row],[JobSatisfaction]],PerfRate[[#This Row],[RelationshipSatisfaction]])</f>
        <v>2.6666666666666665</v>
      </c>
      <c r="R1216" s="2">
        <f>PerfRate[[#This Row],[ManagerRating]] - PerfRate[[#This Row],[SelfRating]]</f>
        <v>0</v>
      </c>
    </row>
    <row r="1217" spans="1:18">
      <c r="A1217" s="2" t="s">
        <v>5524</v>
      </c>
      <c r="B1217" s="2" t="s">
        <v>244</v>
      </c>
      <c r="C1217" s="1">
        <v>43161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  <c r="L1217" s="2" t="s">
        <v>11029</v>
      </c>
      <c r="M1217" s="2" t="s">
        <v>11028</v>
      </c>
      <c r="N1217" s="2" t="s">
        <v>11038</v>
      </c>
      <c r="O1217" s="2" t="s">
        <v>11037</v>
      </c>
      <c r="P1217" s="2" t="s">
        <v>11036</v>
      </c>
      <c r="Q1217" s="2">
        <f>AVERAGE(PerfRate[[#This Row],[EnvironmentSatisfaction]],PerfRate[[#This Row],[JobSatisfaction]],PerfRate[[#This Row],[RelationshipSatisfaction]])</f>
        <v>4</v>
      </c>
      <c r="R1217" s="2">
        <f>PerfRate[[#This Row],[ManagerRating]] - PerfRate[[#This Row],[SelfRating]]</f>
        <v>-1</v>
      </c>
    </row>
    <row r="1218" spans="1:18">
      <c r="A1218" s="2" t="s">
        <v>5525</v>
      </c>
      <c r="B1218" s="2" t="s">
        <v>496</v>
      </c>
      <c r="C1218" s="1">
        <v>43192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  <c r="L1218" s="2" t="s">
        <v>11031</v>
      </c>
      <c r="M1218" s="2" t="s">
        <v>11030</v>
      </c>
      <c r="N1218" s="2" t="s">
        <v>11036</v>
      </c>
      <c r="O1218" s="2" t="s">
        <v>11037</v>
      </c>
      <c r="P1218" s="2" t="s">
        <v>11036</v>
      </c>
      <c r="Q1218" s="2">
        <f>AVERAGE(PerfRate[[#This Row],[EnvironmentSatisfaction]],PerfRate[[#This Row],[JobSatisfaction]],PerfRate[[#This Row],[RelationshipSatisfaction]])</f>
        <v>3.3333333333333335</v>
      </c>
      <c r="R1218" s="2">
        <f>PerfRate[[#This Row],[ManagerRating]] - PerfRate[[#This Row],[SelfRating]]</f>
        <v>-1</v>
      </c>
    </row>
    <row r="1219" spans="1:18">
      <c r="A1219" s="2" t="s">
        <v>5526</v>
      </c>
      <c r="B1219" s="2" t="s">
        <v>676</v>
      </c>
      <c r="C1219" s="1">
        <v>43192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  <c r="L1219" s="2" t="s">
        <v>11029</v>
      </c>
      <c r="M1219" s="2" t="s">
        <v>11028</v>
      </c>
      <c r="N1219" s="2" t="s">
        <v>11037</v>
      </c>
      <c r="O1219" s="2" t="s">
        <v>11038</v>
      </c>
      <c r="P1219" s="2" t="s">
        <v>11037</v>
      </c>
      <c r="Q1219" s="2">
        <f>AVERAGE(PerfRate[[#This Row],[EnvironmentSatisfaction]],PerfRate[[#This Row],[JobSatisfaction]],PerfRate[[#This Row],[RelationshipSatisfaction]])</f>
        <v>4.333333333333333</v>
      </c>
      <c r="R1219" s="2">
        <f>PerfRate[[#This Row],[ManagerRating]] - PerfRate[[#This Row],[SelfRating]]</f>
        <v>-1</v>
      </c>
    </row>
    <row r="1220" spans="1:18">
      <c r="A1220" s="2" t="s">
        <v>5527</v>
      </c>
      <c r="B1220" s="2" t="s">
        <v>3818</v>
      </c>
      <c r="C1220" s="1">
        <v>43192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  <c r="L1220" s="2" t="s">
        <v>11031</v>
      </c>
      <c r="M1220" s="2" t="s">
        <v>11030</v>
      </c>
      <c r="N1220" s="2" t="s">
        <v>11037</v>
      </c>
      <c r="O1220" s="2" t="s">
        <v>11038</v>
      </c>
      <c r="P1220" s="2" t="s">
        <v>11038</v>
      </c>
      <c r="Q1220" s="2">
        <f>AVERAGE(PerfRate[[#This Row],[EnvironmentSatisfaction]],PerfRate[[#This Row],[JobSatisfaction]],PerfRate[[#This Row],[RelationshipSatisfaction]])</f>
        <v>4.666666666666667</v>
      </c>
      <c r="R1220" s="2">
        <f>PerfRate[[#This Row],[ManagerRating]] - PerfRate[[#This Row],[SelfRating]]</f>
        <v>-1</v>
      </c>
    </row>
    <row r="1221" spans="1:18">
      <c r="A1221" s="2" t="s">
        <v>5528</v>
      </c>
      <c r="B1221" s="2" t="s">
        <v>1698</v>
      </c>
      <c r="C1221" s="1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  <c r="L1221" s="2" t="s">
        <v>11030</v>
      </c>
      <c r="M1221" s="2" t="s">
        <v>11029</v>
      </c>
      <c r="N1221" s="2" t="s">
        <v>11038</v>
      </c>
      <c r="O1221" s="2" t="s">
        <v>11037</v>
      </c>
      <c r="P1221" s="2" t="s">
        <v>11037</v>
      </c>
      <c r="Q1221" s="2">
        <f>AVERAGE(PerfRate[[#This Row],[EnvironmentSatisfaction]],PerfRate[[#This Row],[JobSatisfaction]],PerfRate[[#This Row],[RelationshipSatisfaction]])</f>
        <v>4.333333333333333</v>
      </c>
      <c r="R1221" s="2">
        <f>PerfRate[[#This Row],[ManagerRating]] - PerfRate[[#This Row],[SelfRating]]</f>
        <v>-1</v>
      </c>
    </row>
    <row r="1222" spans="1:18">
      <c r="A1222" s="2" t="s">
        <v>5529</v>
      </c>
      <c r="B1222" s="2" t="s">
        <v>3105</v>
      </c>
      <c r="C1222" s="1">
        <v>43192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  <c r="L1222" s="2" t="s">
        <v>11030</v>
      </c>
      <c r="M1222" s="2" t="s">
        <v>11029</v>
      </c>
      <c r="N1222" s="2" t="s">
        <v>11037</v>
      </c>
      <c r="O1222" s="2" t="s">
        <v>11037</v>
      </c>
      <c r="P1222" s="2" t="s">
        <v>11035</v>
      </c>
      <c r="Q1222" s="2">
        <f>AVERAGE(PerfRate[[#This Row],[EnvironmentSatisfaction]],PerfRate[[#This Row],[JobSatisfaction]],PerfRate[[#This Row],[RelationshipSatisfaction]])</f>
        <v>3.3333333333333335</v>
      </c>
      <c r="R1222" s="2">
        <f>PerfRate[[#This Row],[ManagerRating]] - PerfRate[[#This Row],[SelfRating]]</f>
        <v>-1</v>
      </c>
    </row>
    <row r="1223" spans="1:18">
      <c r="A1223" s="2" t="s">
        <v>5530</v>
      </c>
      <c r="B1223" s="2" t="s">
        <v>1224</v>
      </c>
      <c r="C1223" s="1">
        <v>43192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  <c r="L1223" s="2" t="s">
        <v>11031</v>
      </c>
      <c r="M1223" s="2" t="s">
        <v>11030</v>
      </c>
      <c r="N1223" s="2" t="s">
        <v>11038</v>
      </c>
      <c r="O1223" s="2" t="s">
        <v>11037</v>
      </c>
      <c r="P1223" s="2" t="s">
        <v>11035</v>
      </c>
      <c r="Q1223" s="2">
        <f>AVERAGE(PerfRate[[#This Row],[EnvironmentSatisfaction]],PerfRate[[#This Row],[JobSatisfaction]],PerfRate[[#This Row],[RelationshipSatisfaction]])</f>
        <v>3.6666666666666665</v>
      </c>
      <c r="R1223" s="2">
        <f>PerfRate[[#This Row],[ManagerRating]] - PerfRate[[#This Row],[SelfRating]]</f>
        <v>-1</v>
      </c>
    </row>
    <row r="1224" spans="1:18">
      <c r="A1224" s="2" t="s">
        <v>5531</v>
      </c>
      <c r="B1224" s="2" t="s">
        <v>1508</v>
      </c>
      <c r="C1224" s="1">
        <v>43192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  <c r="L1224" s="2" t="s">
        <v>11031</v>
      </c>
      <c r="M1224" s="2" t="s">
        <v>11030</v>
      </c>
      <c r="N1224" s="2" t="s">
        <v>11038</v>
      </c>
      <c r="O1224" s="2" t="s">
        <v>11036</v>
      </c>
      <c r="P1224" s="2" t="s">
        <v>11037</v>
      </c>
      <c r="Q1224" s="2">
        <f>AVERAGE(PerfRate[[#This Row],[EnvironmentSatisfaction]],PerfRate[[#This Row],[JobSatisfaction]],PerfRate[[#This Row],[RelationshipSatisfaction]])</f>
        <v>4</v>
      </c>
      <c r="R1224" s="2">
        <f>PerfRate[[#This Row],[ManagerRating]] - PerfRate[[#This Row],[SelfRating]]</f>
        <v>-1</v>
      </c>
    </row>
    <row r="1225" spans="1:18">
      <c r="A1225" s="2" t="s">
        <v>5532</v>
      </c>
      <c r="B1225" s="2" t="s">
        <v>226</v>
      </c>
      <c r="C1225" s="1">
        <v>43222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  <c r="L1225" s="2" t="s">
        <v>11031</v>
      </c>
      <c r="M1225" s="2" t="s">
        <v>11030</v>
      </c>
      <c r="N1225" s="2" t="s">
        <v>11036</v>
      </c>
      <c r="O1225" s="2" t="s">
        <v>11036</v>
      </c>
      <c r="P1225" s="2" t="s">
        <v>11036</v>
      </c>
      <c r="Q1225" s="2">
        <f>AVERAGE(PerfRate[[#This Row],[EnvironmentSatisfaction]],PerfRate[[#This Row],[JobSatisfaction]],PerfRate[[#This Row],[RelationshipSatisfaction]])</f>
        <v>3</v>
      </c>
      <c r="R1225" s="2">
        <f>PerfRate[[#This Row],[ManagerRating]] - PerfRate[[#This Row],[SelfRating]]</f>
        <v>-1</v>
      </c>
    </row>
    <row r="1226" spans="1:18">
      <c r="A1226" s="2" t="s">
        <v>5533</v>
      </c>
      <c r="B1226" s="2" t="s">
        <v>81</v>
      </c>
      <c r="C1226" s="1">
        <v>43222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  <c r="L1226" s="2" t="s">
        <v>11030</v>
      </c>
      <c r="M1226" s="2" t="s">
        <v>11029</v>
      </c>
      <c r="N1226" s="2" t="s">
        <v>11037</v>
      </c>
      <c r="O1226" s="2" t="s">
        <v>11036</v>
      </c>
      <c r="P1226" s="2" t="s">
        <v>11038</v>
      </c>
      <c r="Q1226" s="2">
        <f>AVERAGE(PerfRate[[#This Row],[EnvironmentSatisfaction]],PerfRate[[#This Row],[JobSatisfaction]],PerfRate[[#This Row],[RelationshipSatisfaction]])</f>
        <v>4</v>
      </c>
      <c r="R1226" s="2">
        <f>PerfRate[[#This Row],[ManagerRating]] - PerfRate[[#This Row],[SelfRating]]</f>
        <v>-1</v>
      </c>
    </row>
    <row r="1227" spans="1:18">
      <c r="A1227" s="2" t="s">
        <v>5534</v>
      </c>
      <c r="B1227" s="2" t="s">
        <v>335</v>
      </c>
      <c r="C1227" s="1">
        <v>43222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  <c r="L1227" s="2" t="s">
        <v>11029</v>
      </c>
      <c r="M1227" s="2" t="s">
        <v>11029</v>
      </c>
      <c r="N1227" s="2" t="s">
        <v>11037</v>
      </c>
      <c r="O1227" s="2" t="s">
        <v>11038</v>
      </c>
      <c r="P1227" s="2" t="s">
        <v>11036</v>
      </c>
      <c r="Q1227" s="2">
        <f>AVERAGE(PerfRate[[#This Row],[EnvironmentSatisfaction]],PerfRate[[#This Row],[JobSatisfaction]],PerfRate[[#This Row],[RelationshipSatisfaction]])</f>
        <v>4</v>
      </c>
      <c r="R1227" s="2">
        <f>PerfRate[[#This Row],[ManagerRating]] - PerfRate[[#This Row],[SelfRating]]</f>
        <v>0</v>
      </c>
    </row>
    <row r="1228" spans="1:18">
      <c r="A1228" s="2" t="s">
        <v>5535</v>
      </c>
      <c r="B1228" s="2" t="s">
        <v>1544</v>
      </c>
      <c r="C1228" s="1">
        <v>43253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  <c r="L1228" s="2" t="s">
        <v>11031</v>
      </c>
      <c r="M1228" s="2" t="s">
        <v>11030</v>
      </c>
      <c r="N1228" s="2" t="s">
        <v>11037</v>
      </c>
      <c r="O1228" s="2" t="s">
        <v>11038</v>
      </c>
      <c r="P1228" s="2" t="s">
        <v>11035</v>
      </c>
      <c r="Q1228" s="2">
        <f>AVERAGE(PerfRate[[#This Row],[EnvironmentSatisfaction]],PerfRate[[#This Row],[JobSatisfaction]],PerfRate[[#This Row],[RelationshipSatisfaction]])</f>
        <v>3.6666666666666665</v>
      </c>
      <c r="R1228" s="2">
        <f>PerfRate[[#This Row],[ManagerRating]] - PerfRate[[#This Row],[SelfRating]]</f>
        <v>-1</v>
      </c>
    </row>
    <row r="1229" spans="1:18">
      <c r="A1229" s="2" t="s">
        <v>5536</v>
      </c>
      <c r="B1229" s="2" t="s">
        <v>253</v>
      </c>
      <c r="C1229" s="1">
        <v>43314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  <c r="L1229" s="2" t="s">
        <v>11030</v>
      </c>
      <c r="M1229" s="2" t="s">
        <v>11029</v>
      </c>
      <c r="N1229" s="2" t="s">
        <v>11036</v>
      </c>
      <c r="O1229" s="2" t="s">
        <v>11037</v>
      </c>
      <c r="P1229" s="2" t="s">
        <v>11038</v>
      </c>
      <c r="Q1229" s="2">
        <f>AVERAGE(PerfRate[[#This Row],[EnvironmentSatisfaction]],PerfRate[[#This Row],[JobSatisfaction]],PerfRate[[#This Row],[RelationshipSatisfaction]])</f>
        <v>4</v>
      </c>
      <c r="R1229" s="2">
        <f>PerfRate[[#This Row],[ManagerRating]] - PerfRate[[#This Row],[SelfRating]]</f>
        <v>-1</v>
      </c>
    </row>
    <row r="1230" spans="1:18">
      <c r="A1230" s="2" t="s">
        <v>5537</v>
      </c>
      <c r="B1230" s="2" t="s">
        <v>198</v>
      </c>
      <c r="C1230" s="1">
        <v>43314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  <c r="L1230" s="2" t="s">
        <v>11031</v>
      </c>
      <c r="M1230" s="2" t="s">
        <v>11030</v>
      </c>
      <c r="N1230" s="2" t="s">
        <v>11036</v>
      </c>
      <c r="O1230" s="2" t="s">
        <v>11036</v>
      </c>
      <c r="P1230" s="2" t="s">
        <v>11037</v>
      </c>
      <c r="Q1230" s="2">
        <f>AVERAGE(PerfRate[[#This Row],[EnvironmentSatisfaction]],PerfRate[[#This Row],[JobSatisfaction]],PerfRate[[#This Row],[RelationshipSatisfaction]])</f>
        <v>3.3333333333333335</v>
      </c>
      <c r="R1230" s="2">
        <f>PerfRate[[#This Row],[ManagerRating]] - PerfRate[[#This Row],[SelfRating]]</f>
        <v>-1</v>
      </c>
    </row>
    <row r="1231" spans="1:18">
      <c r="A1231" s="2" t="s">
        <v>5538</v>
      </c>
      <c r="B1231" s="2" t="s">
        <v>1246</v>
      </c>
      <c r="C1231" s="1">
        <v>43314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  <c r="L1231" s="2" t="s">
        <v>11029</v>
      </c>
      <c r="M1231" s="2" t="s">
        <v>11029</v>
      </c>
      <c r="N1231" s="2" t="s">
        <v>11038</v>
      </c>
      <c r="O1231" s="2" t="s">
        <v>11036</v>
      </c>
      <c r="P1231" s="2" t="s">
        <v>11035</v>
      </c>
      <c r="Q1231" s="2">
        <f>AVERAGE(PerfRate[[#This Row],[EnvironmentSatisfaction]],PerfRate[[#This Row],[JobSatisfaction]],PerfRate[[#This Row],[RelationshipSatisfaction]])</f>
        <v>3.3333333333333335</v>
      </c>
      <c r="R1231" s="2">
        <f>PerfRate[[#This Row],[ManagerRating]] - PerfRate[[#This Row],[SelfRating]]</f>
        <v>0</v>
      </c>
    </row>
    <row r="1232" spans="1:18">
      <c r="A1232" s="2" t="s">
        <v>5539</v>
      </c>
      <c r="B1232" s="2" t="s">
        <v>1881</v>
      </c>
      <c r="C1232" s="1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  <c r="L1232" s="2" t="s">
        <v>11030</v>
      </c>
      <c r="M1232" s="2" t="s">
        <v>11030</v>
      </c>
      <c r="N1232" s="2" t="s">
        <v>11036</v>
      </c>
      <c r="O1232" s="2" t="s">
        <v>11036</v>
      </c>
      <c r="P1232" s="2" t="s">
        <v>11035</v>
      </c>
      <c r="Q1232" s="2">
        <f>AVERAGE(PerfRate[[#This Row],[EnvironmentSatisfaction]],PerfRate[[#This Row],[JobSatisfaction]],PerfRate[[#This Row],[RelationshipSatisfaction]])</f>
        <v>2.6666666666666665</v>
      </c>
      <c r="R1232" s="2">
        <f>PerfRate[[#This Row],[ManagerRating]] - PerfRate[[#This Row],[SelfRating]]</f>
        <v>0</v>
      </c>
    </row>
    <row r="1233" spans="1:18">
      <c r="A1233" s="2" t="s">
        <v>5540</v>
      </c>
      <c r="B1233" s="2" t="s">
        <v>1669</v>
      </c>
      <c r="C1233" s="1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  <c r="L1233" s="2" t="s">
        <v>11030</v>
      </c>
      <c r="M1233" s="2" t="s">
        <v>11029</v>
      </c>
      <c r="N1233" s="2" t="s">
        <v>11038</v>
      </c>
      <c r="O1233" s="2" t="s">
        <v>11037</v>
      </c>
      <c r="P1233" s="2" t="s">
        <v>11035</v>
      </c>
      <c r="Q1233" s="2">
        <f>AVERAGE(PerfRate[[#This Row],[EnvironmentSatisfaction]],PerfRate[[#This Row],[JobSatisfaction]],PerfRate[[#This Row],[RelationshipSatisfaction]])</f>
        <v>3.6666666666666665</v>
      </c>
      <c r="R1233" s="2">
        <f>PerfRate[[#This Row],[ManagerRating]] - PerfRate[[#This Row],[SelfRating]]</f>
        <v>-1</v>
      </c>
    </row>
    <row r="1234" spans="1:18">
      <c r="A1234" s="2" t="s">
        <v>5541</v>
      </c>
      <c r="B1234" s="2" t="s">
        <v>1596</v>
      </c>
      <c r="C1234" s="1">
        <v>43314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  <c r="L1234" s="2" t="s">
        <v>11029</v>
      </c>
      <c r="M1234" s="2" t="s">
        <v>11029</v>
      </c>
      <c r="N1234" s="2" t="s">
        <v>11038</v>
      </c>
      <c r="O1234" s="2" t="s">
        <v>11037</v>
      </c>
      <c r="P1234" s="2" t="s">
        <v>11037</v>
      </c>
      <c r="Q1234" s="2">
        <f>AVERAGE(PerfRate[[#This Row],[EnvironmentSatisfaction]],PerfRate[[#This Row],[JobSatisfaction]],PerfRate[[#This Row],[RelationshipSatisfaction]])</f>
        <v>4.333333333333333</v>
      </c>
      <c r="R1234" s="2">
        <f>PerfRate[[#This Row],[ManagerRating]] - PerfRate[[#This Row],[SelfRating]]</f>
        <v>0</v>
      </c>
    </row>
    <row r="1235" spans="1:18">
      <c r="A1235" s="2" t="s">
        <v>5542</v>
      </c>
      <c r="B1235" s="2" t="s">
        <v>256</v>
      </c>
      <c r="C1235" s="1">
        <v>43345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  <c r="L1235" s="2" t="s">
        <v>11031</v>
      </c>
      <c r="M1235" s="2" t="s">
        <v>11030</v>
      </c>
      <c r="N1235" s="2" t="s">
        <v>11036</v>
      </c>
      <c r="O1235" s="2" t="s">
        <v>11037</v>
      </c>
      <c r="P1235" s="2" t="s">
        <v>11036</v>
      </c>
      <c r="Q1235" s="2">
        <f>AVERAGE(PerfRate[[#This Row],[EnvironmentSatisfaction]],PerfRate[[#This Row],[JobSatisfaction]],PerfRate[[#This Row],[RelationshipSatisfaction]])</f>
        <v>3.3333333333333335</v>
      </c>
      <c r="R1235" s="2">
        <f>PerfRate[[#This Row],[ManagerRating]] - PerfRate[[#This Row],[SelfRating]]</f>
        <v>-1</v>
      </c>
    </row>
    <row r="1236" spans="1:18">
      <c r="A1236" s="2" t="s">
        <v>5543</v>
      </c>
      <c r="B1236" s="2" t="s">
        <v>2109</v>
      </c>
      <c r="C1236" s="1">
        <v>43375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  <c r="L1236" s="2" t="s">
        <v>11031</v>
      </c>
      <c r="M1236" s="2" t="s">
        <v>11031</v>
      </c>
      <c r="N1236" s="2" t="s">
        <v>11036</v>
      </c>
      <c r="O1236" s="2" t="s">
        <v>11035</v>
      </c>
      <c r="P1236" s="2" t="s">
        <v>11035</v>
      </c>
      <c r="Q1236" s="2">
        <f>AVERAGE(PerfRate[[#This Row],[EnvironmentSatisfaction]],PerfRate[[#This Row],[JobSatisfaction]],PerfRate[[#This Row],[RelationshipSatisfaction]])</f>
        <v>2.3333333333333335</v>
      </c>
      <c r="R1236" s="2">
        <f>PerfRate[[#This Row],[ManagerRating]] - PerfRate[[#This Row],[SelfRating]]</f>
        <v>0</v>
      </c>
    </row>
    <row r="1237" spans="1:18">
      <c r="A1237" s="2" t="s">
        <v>5544</v>
      </c>
      <c r="B1237" s="2" t="s">
        <v>1981</v>
      </c>
      <c r="C1237" s="1">
        <v>43375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  <c r="L1237" s="2" t="s">
        <v>11031</v>
      </c>
      <c r="M1237" s="2" t="s">
        <v>11030</v>
      </c>
      <c r="N1237" s="2" t="s">
        <v>11036</v>
      </c>
      <c r="O1237" s="2" t="s">
        <v>11038</v>
      </c>
      <c r="P1237" s="2" t="s">
        <v>11036</v>
      </c>
      <c r="Q1237" s="2">
        <f>AVERAGE(PerfRate[[#This Row],[EnvironmentSatisfaction]],PerfRate[[#This Row],[JobSatisfaction]],PerfRate[[#This Row],[RelationshipSatisfaction]])</f>
        <v>3.6666666666666665</v>
      </c>
      <c r="R1237" s="2">
        <f>PerfRate[[#This Row],[ManagerRating]] - PerfRate[[#This Row],[SelfRating]]</f>
        <v>-1</v>
      </c>
    </row>
    <row r="1238" spans="1:18">
      <c r="A1238" s="2" t="s">
        <v>5545</v>
      </c>
      <c r="B1238" s="2" t="s">
        <v>658</v>
      </c>
      <c r="C1238" s="1">
        <v>43375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  <c r="L1238" s="2" t="s">
        <v>11029</v>
      </c>
      <c r="M1238" s="2" t="s">
        <v>11028</v>
      </c>
      <c r="N1238" s="2" t="s">
        <v>11036</v>
      </c>
      <c r="O1238" s="2" t="s">
        <v>11036</v>
      </c>
      <c r="P1238" s="2" t="s">
        <v>11036</v>
      </c>
      <c r="Q1238" s="2">
        <f>AVERAGE(PerfRate[[#This Row],[EnvironmentSatisfaction]],PerfRate[[#This Row],[JobSatisfaction]],PerfRate[[#This Row],[RelationshipSatisfaction]])</f>
        <v>3</v>
      </c>
      <c r="R1238" s="2">
        <f>PerfRate[[#This Row],[ManagerRating]] - PerfRate[[#This Row],[SelfRating]]</f>
        <v>-1</v>
      </c>
    </row>
    <row r="1239" spans="1:18">
      <c r="A1239" s="2" t="s">
        <v>5546</v>
      </c>
      <c r="B1239" s="2" t="s">
        <v>4104</v>
      </c>
      <c r="C1239" s="1">
        <v>43406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  <c r="L1239" s="2" t="s">
        <v>11031</v>
      </c>
      <c r="M1239" s="2" t="s">
        <v>11030</v>
      </c>
      <c r="N1239" s="2" t="s">
        <v>11038</v>
      </c>
      <c r="O1239" s="2" t="s">
        <v>11035</v>
      </c>
      <c r="P1239" s="2" t="s">
        <v>11038</v>
      </c>
      <c r="Q1239" s="2">
        <f>AVERAGE(PerfRate[[#This Row],[EnvironmentSatisfaction]],PerfRate[[#This Row],[JobSatisfaction]],PerfRate[[#This Row],[RelationshipSatisfaction]])</f>
        <v>4</v>
      </c>
      <c r="R1239" s="2">
        <f>PerfRate[[#This Row],[ManagerRating]] - PerfRate[[#This Row],[SelfRating]]</f>
        <v>-1</v>
      </c>
    </row>
    <row r="1240" spans="1:18">
      <c r="A1240" s="2" t="s">
        <v>5547</v>
      </c>
      <c r="B1240" s="2" t="s">
        <v>607</v>
      </c>
      <c r="C1240" s="1">
        <v>43406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  <c r="L1240" s="2" t="s">
        <v>11031</v>
      </c>
      <c r="M1240" s="2" t="s">
        <v>11031</v>
      </c>
      <c r="N1240" s="2" t="s">
        <v>11038</v>
      </c>
      <c r="O1240" s="2" t="s">
        <v>11035</v>
      </c>
      <c r="P1240" s="2" t="s">
        <v>11036</v>
      </c>
      <c r="Q1240" s="2">
        <f>AVERAGE(PerfRate[[#This Row],[EnvironmentSatisfaction]],PerfRate[[#This Row],[JobSatisfaction]],PerfRate[[#This Row],[RelationshipSatisfaction]])</f>
        <v>3.3333333333333335</v>
      </c>
      <c r="R1240" s="2">
        <f>PerfRate[[#This Row],[ManagerRating]] - PerfRate[[#This Row],[SelfRating]]</f>
        <v>0</v>
      </c>
    </row>
    <row r="1241" spans="1:18">
      <c r="A1241" s="2" t="s">
        <v>5548</v>
      </c>
      <c r="B1241" s="2" t="s">
        <v>750</v>
      </c>
      <c r="C1241" s="1">
        <v>43436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  <c r="L1241" s="2" t="s">
        <v>11031</v>
      </c>
      <c r="M1241" s="2" t="s">
        <v>11031</v>
      </c>
      <c r="N1241" s="2" t="s">
        <v>11038</v>
      </c>
      <c r="O1241" s="2" t="s">
        <v>11035</v>
      </c>
      <c r="P1241" s="2" t="s">
        <v>11038</v>
      </c>
      <c r="Q1241" s="2">
        <f>AVERAGE(PerfRate[[#This Row],[EnvironmentSatisfaction]],PerfRate[[#This Row],[JobSatisfaction]],PerfRate[[#This Row],[RelationshipSatisfaction]])</f>
        <v>4</v>
      </c>
      <c r="R1241" s="2">
        <f>PerfRate[[#This Row],[ManagerRating]] - PerfRate[[#This Row],[SelfRating]]</f>
        <v>0</v>
      </c>
    </row>
    <row r="1242" spans="1:18">
      <c r="A1242" s="2" t="s">
        <v>5549</v>
      </c>
      <c r="B1242" s="2" t="s">
        <v>1698</v>
      </c>
      <c r="C1242" s="1">
        <v>43436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  <c r="L1242" s="2" t="s">
        <v>11031</v>
      </c>
      <c r="M1242" s="2" t="s">
        <v>11031</v>
      </c>
      <c r="N1242" s="2" t="s">
        <v>11038</v>
      </c>
      <c r="O1242" s="2" t="s">
        <v>11036</v>
      </c>
      <c r="P1242" s="2" t="s">
        <v>11037</v>
      </c>
      <c r="Q1242" s="2">
        <f>AVERAGE(PerfRate[[#This Row],[EnvironmentSatisfaction]],PerfRate[[#This Row],[JobSatisfaction]],PerfRate[[#This Row],[RelationshipSatisfaction]])</f>
        <v>4</v>
      </c>
      <c r="R1242" s="2">
        <f>PerfRate[[#This Row],[ManagerRating]] - PerfRate[[#This Row],[SelfRating]]</f>
        <v>0</v>
      </c>
    </row>
    <row r="1243" spans="1:18">
      <c r="A1243" s="2" t="s">
        <v>5550</v>
      </c>
      <c r="B1243" s="2" t="s">
        <v>1124</v>
      </c>
      <c r="C1243" s="1">
        <v>43436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  <c r="L1243" s="2" t="s">
        <v>11030</v>
      </c>
      <c r="M1243" s="2" t="s">
        <v>11029</v>
      </c>
      <c r="N1243" s="2" t="s">
        <v>11038</v>
      </c>
      <c r="O1243" s="2" t="s">
        <v>11036</v>
      </c>
      <c r="P1243" s="2" t="s">
        <v>11035</v>
      </c>
      <c r="Q1243" s="2">
        <f>AVERAGE(PerfRate[[#This Row],[EnvironmentSatisfaction]],PerfRate[[#This Row],[JobSatisfaction]],PerfRate[[#This Row],[RelationshipSatisfaction]])</f>
        <v>3.3333333333333335</v>
      </c>
      <c r="R1243" s="2">
        <f>PerfRate[[#This Row],[ManagerRating]] - PerfRate[[#This Row],[SelfRating]]</f>
        <v>-1</v>
      </c>
    </row>
    <row r="1244" spans="1:18">
      <c r="A1244" s="2" t="s">
        <v>5551</v>
      </c>
      <c r="B1244" s="2" t="s">
        <v>1195</v>
      </c>
      <c r="C1244" s="1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  <c r="L1244" s="2" t="s">
        <v>11029</v>
      </c>
      <c r="M1244" s="2" t="s">
        <v>11028</v>
      </c>
      <c r="N1244" s="2" t="s">
        <v>11037</v>
      </c>
      <c r="O1244" s="2" t="s">
        <v>11035</v>
      </c>
      <c r="P1244" s="2" t="s">
        <v>11038</v>
      </c>
      <c r="Q1244" s="2">
        <f>AVERAGE(PerfRate[[#This Row],[EnvironmentSatisfaction]],PerfRate[[#This Row],[JobSatisfaction]],PerfRate[[#This Row],[RelationshipSatisfaction]])</f>
        <v>3.6666666666666665</v>
      </c>
      <c r="R1244" s="2">
        <f>PerfRate[[#This Row],[ManagerRating]] - PerfRate[[#This Row],[SelfRating]]</f>
        <v>-1</v>
      </c>
    </row>
    <row r="1245" spans="1:18">
      <c r="A1245" s="2" t="s">
        <v>5552</v>
      </c>
      <c r="B1245" s="2" t="s">
        <v>1669</v>
      </c>
      <c r="C1245" s="1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  <c r="L1245" s="2" t="s">
        <v>11031</v>
      </c>
      <c r="M1245" s="2" t="s">
        <v>11031</v>
      </c>
      <c r="N1245" s="2" t="s">
        <v>11038</v>
      </c>
      <c r="O1245" s="2" t="s">
        <v>11036</v>
      </c>
      <c r="P1245" s="2" t="s">
        <v>11038</v>
      </c>
      <c r="Q1245" s="2">
        <f>AVERAGE(PerfRate[[#This Row],[EnvironmentSatisfaction]],PerfRate[[#This Row],[JobSatisfaction]],PerfRate[[#This Row],[RelationshipSatisfaction]])</f>
        <v>4.333333333333333</v>
      </c>
      <c r="R1245" s="2">
        <f>PerfRate[[#This Row],[ManagerRating]] - PerfRate[[#This Row],[SelfRating]]</f>
        <v>0</v>
      </c>
    </row>
    <row r="1246" spans="1:18">
      <c r="A1246" s="2" t="s">
        <v>5553</v>
      </c>
      <c r="B1246" s="2" t="s">
        <v>1394</v>
      </c>
      <c r="C1246" s="1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  <c r="L1246" s="2" t="s">
        <v>11030</v>
      </c>
      <c r="M1246" s="2" t="s">
        <v>11029</v>
      </c>
      <c r="N1246" s="2" t="s">
        <v>11038</v>
      </c>
      <c r="O1246" s="2" t="s">
        <v>11037</v>
      </c>
      <c r="P1246" s="2" t="s">
        <v>11038</v>
      </c>
      <c r="Q1246" s="2">
        <f>AVERAGE(PerfRate[[#This Row],[EnvironmentSatisfaction]],PerfRate[[#This Row],[JobSatisfaction]],PerfRate[[#This Row],[RelationshipSatisfaction]])</f>
        <v>4.666666666666667</v>
      </c>
      <c r="R1246" s="2">
        <f>PerfRate[[#This Row],[ManagerRating]] - PerfRate[[#This Row],[SelfRating]]</f>
        <v>-1</v>
      </c>
    </row>
    <row r="1247" spans="1:18">
      <c r="A1247" s="2" t="s">
        <v>5554</v>
      </c>
      <c r="B1247" s="2" t="s">
        <v>1479</v>
      </c>
      <c r="C1247" s="1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  <c r="L1247" s="2" t="s">
        <v>11031</v>
      </c>
      <c r="M1247" s="2" t="s">
        <v>11031</v>
      </c>
      <c r="N1247" s="2" t="s">
        <v>11038</v>
      </c>
      <c r="O1247" s="2" t="s">
        <v>11037</v>
      </c>
      <c r="P1247" s="2" t="s">
        <v>11035</v>
      </c>
      <c r="Q1247" s="2">
        <f>AVERAGE(PerfRate[[#This Row],[EnvironmentSatisfaction]],PerfRate[[#This Row],[JobSatisfaction]],PerfRate[[#This Row],[RelationshipSatisfaction]])</f>
        <v>3.6666666666666665</v>
      </c>
      <c r="R1247" s="2">
        <f>PerfRate[[#This Row],[ManagerRating]] - PerfRate[[#This Row],[SelfRating]]</f>
        <v>0</v>
      </c>
    </row>
    <row r="1248" spans="1:18">
      <c r="A1248" s="2" t="s">
        <v>5555</v>
      </c>
      <c r="B1248" s="2" t="s">
        <v>601</v>
      </c>
      <c r="C1248" s="1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  <c r="L1248" s="2" t="s">
        <v>11031</v>
      </c>
      <c r="M1248" s="2" t="s">
        <v>11031</v>
      </c>
      <c r="N1248" s="2" t="s">
        <v>11038</v>
      </c>
      <c r="O1248" s="2" t="s">
        <v>11036</v>
      </c>
      <c r="P1248" s="2" t="s">
        <v>11038</v>
      </c>
      <c r="Q1248" s="2">
        <f>AVERAGE(PerfRate[[#This Row],[EnvironmentSatisfaction]],PerfRate[[#This Row],[JobSatisfaction]],PerfRate[[#This Row],[RelationshipSatisfaction]])</f>
        <v>4.333333333333333</v>
      </c>
      <c r="R1248" s="2">
        <f>PerfRate[[#This Row],[ManagerRating]] - PerfRate[[#This Row],[SelfRating]]</f>
        <v>0</v>
      </c>
    </row>
    <row r="1249" spans="1:18">
      <c r="A1249" s="2" t="s">
        <v>5556</v>
      </c>
      <c r="B1249" s="2" t="s">
        <v>1195</v>
      </c>
      <c r="C1249" s="1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  <c r="L1249" s="2" t="s">
        <v>11029</v>
      </c>
      <c r="M1249" s="2" t="s">
        <v>11029</v>
      </c>
      <c r="N1249" s="2" t="s">
        <v>11038</v>
      </c>
      <c r="O1249" s="2" t="s">
        <v>11037</v>
      </c>
      <c r="P1249" s="2" t="s">
        <v>11038</v>
      </c>
      <c r="Q1249" s="2">
        <f>AVERAGE(PerfRate[[#This Row],[EnvironmentSatisfaction]],PerfRate[[#This Row],[JobSatisfaction]],PerfRate[[#This Row],[RelationshipSatisfaction]])</f>
        <v>4.666666666666667</v>
      </c>
      <c r="R1249" s="2">
        <f>PerfRate[[#This Row],[ManagerRating]] - PerfRate[[#This Row],[SelfRating]]</f>
        <v>0</v>
      </c>
    </row>
    <row r="1250" spans="1:18">
      <c r="A1250" s="2" t="s">
        <v>5557</v>
      </c>
      <c r="B1250" s="2" t="s">
        <v>98</v>
      </c>
      <c r="C1250" s="1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  <c r="L1250" s="2" t="s">
        <v>11031</v>
      </c>
      <c r="M1250" s="2" t="s">
        <v>11030</v>
      </c>
      <c r="N1250" s="2" t="s">
        <v>11037</v>
      </c>
      <c r="O1250" s="2" t="s">
        <v>11037</v>
      </c>
      <c r="P1250" s="2" t="s">
        <v>11036</v>
      </c>
      <c r="Q1250" s="2">
        <f>AVERAGE(PerfRate[[#This Row],[EnvironmentSatisfaction]],PerfRate[[#This Row],[JobSatisfaction]],PerfRate[[#This Row],[RelationshipSatisfaction]])</f>
        <v>3.6666666666666665</v>
      </c>
      <c r="R1250" s="2">
        <f>PerfRate[[#This Row],[ManagerRating]] - PerfRate[[#This Row],[SelfRating]]</f>
        <v>-1</v>
      </c>
    </row>
    <row r="1251" spans="1:18">
      <c r="A1251" s="2" t="s">
        <v>5558</v>
      </c>
      <c r="B1251" s="2" t="s">
        <v>102</v>
      </c>
      <c r="C1251" s="1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  <c r="L1251" s="2" t="s">
        <v>11030</v>
      </c>
      <c r="M1251" s="2" t="s">
        <v>11029</v>
      </c>
      <c r="N1251" s="2" t="s">
        <v>11036</v>
      </c>
      <c r="O1251" s="2" t="s">
        <v>11035</v>
      </c>
      <c r="P1251" s="2" t="s">
        <v>11036</v>
      </c>
      <c r="Q1251" s="2">
        <f>AVERAGE(PerfRate[[#This Row],[EnvironmentSatisfaction]],PerfRate[[#This Row],[JobSatisfaction]],PerfRate[[#This Row],[RelationshipSatisfaction]])</f>
        <v>2.6666666666666665</v>
      </c>
      <c r="R1251" s="2">
        <f>PerfRate[[#This Row],[ManagerRating]] - PerfRate[[#This Row],[SelfRating]]</f>
        <v>-1</v>
      </c>
    </row>
    <row r="1252" spans="1:18">
      <c r="A1252" s="2" t="s">
        <v>5559</v>
      </c>
      <c r="B1252" s="2" t="s">
        <v>717</v>
      </c>
      <c r="C1252" s="1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  <c r="L1252" s="2" t="s">
        <v>11029</v>
      </c>
      <c r="M1252" s="2" t="s">
        <v>11028</v>
      </c>
      <c r="N1252" s="2" t="s">
        <v>11036</v>
      </c>
      <c r="O1252" s="2" t="s">
        <v>11035</v>
      </c>
      <c r="P1252" s="2" t="s">
        <v>11037</v>
      </c>
      <c r="Q1252" s="2">
        <f>AVERAGE(PerfRate[[#This Row],[EnvironmentSatisfaction]],PerfRate[[#This Row],[JobSatisfaction]],PerfRate[[#This Row],[RelationshipSatisfaction]])</f>
        <v>3</v>
      </c>
      <c r="R1252" s="2">
        <f>PerfRate[[#This Row],[ManagerRating]] - PerfRate[[#This Row],[SelfRating]]</f>
        <v>-1</v>
      </c>
    </row>
    <row r="1253" spans="1:18">
      <c r="A1253" s="2" t="s">
        <v>5560</v>
      </c>
      <c r="B1253" s="2" t="s">
        <v>1154</v>
      </c>
      <c r="C1253" s="1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  <c r="L1253" s="2" t="s">
        <v>11030</v>
      </c>
      <c r="M1253" s="2" t="s">
        <v>11029</v>
      </c>
      <c r="N1253" s="2" t="s">
        <v>11038</v>
      </c>
      <c r="O1253" s="2" t="s">
        <v>11036</v>
      </c>
      <c r="P1253" s="2" t="s">
        <v>11035</v>
      </c>
      <c r="Q1253" s="2">
        <f>AVERAGE(PerfRate[[#This Row],[EnvironmentSatisfaction]],PerfRate[[#This Row],[JobSatisfaction]],PerfRate[[#This Row],[RelationshipSatisfaction]])</f>
        <v>3.3333333333333335</v>
      </c>
      <c r="R1253" s="2">
        <f>PerfRate[[#This Row],[ManagerRating]] - PerfRate[[#This Row],[SelfRating]]</f>
        <v>-1</v>
      </c>
    </row>
    <row r="1254" spans="1:18">
      <c r="A1254" s="2" t="s">
        <v>5561</v>
      </c>
      <c r="B1254" s="2" t="s">
        <v>529</v>
      </c>
      <c r="C1254" s="1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  <c r="L1254" s="2" t="s">
        <v>11029</v>
      </c>
      <c r="M1254" s="2" t="s">
        <v>11029</v>
      </c>
      <c r="N1254" s="2" t="s">
        <v>11037</v>
      </c>
      <c r="O1254" s="2" t="s">
        <v>11038</v>
      </c>
      <c r="P1254" s="2" t="s">
        <v>11036</v>
      </c>
      <c r="Q1254" s="2">
        <f>AVERAGE(PerfRate[[#This Row],[EnvironmentSatisfaction]],PerfRate[[#This Row],[JobSatisfaction]],PerfRate[[#This Row],[RelationshipSatisfaction]])</f>
        <v>4</v>
      </c>
      <c r="R1254" s="2">
        <f>PerfRate[[#This Row],[ManagerRating]] - PerfRate[[#This Row],[SelfRating]]</f>
        <v>0</v>
      </c>
    </row>
    <row r="1255" spans="1:18">
      <c r="A1255" s="2" t="s">
        <v>5562</v>
      </c>
      <c r="B1255" s="2" t="s">
        <v>98</v>
      </c>
      <c r="C1255" s="1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  <c r="L1255" s="2" t="s">
        <v>11029</v>
      </c>
      <c r="M1255" s="2" t="s">
        <v>11029</v>
      </c>
      <c r="N1255" s="2" t="s">
        <v>11038</v>
      </c>
      <c r="O1255" s="2" t="s">
        <v>11037</v>
      </c>
      <c r="P1255" s="2" t="s">
        <v>11036</v>
      </c>
      <c r="Q1255" s="2">
        <f>AVERAGE(PerfRate[[#This Row],[EnvironmentSatisfaction]],PerfRate[[#This Row],[JobSatisfaction]],PerfRate[[#This Row],[RelationshipSatisfaction]])</f>
        <v>4</v>
      </c>
      <c r="R1255" s="2">
        <f>PerfRate[[#This Row],[ManagerRating]] - PerfRate[[#This Row],[SelfRating]]</f>
        <v>0</v>
      </c>
    </row>
    <row r="1256" spans="1:18">
      <c r="A1256" s="2" t="s">
        <v>5563</v>
      </c>
      <c r="B1256" s="2" t="s">
        <v>1584</v>
      </c>
      <c r="C1256" s="1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  <c r="L1256" s="2" t="s">
        <v>11030</v>
      </c>
      <c r="M1256" s="2" t="s">
        <v>11029</v>
      </c>
      <c r="N1256" s="2" t="s">
        <v>11037</v>
      </c>
      <c r="O1256" s="2" t="s">
        <v>11035</v>
      </c>
      <c r="P1256" s="2" t="s">
        <v>11037</v>
      </c>
      <c r="Q1256" s="2">
        <f>AVERAGE(PerfRate[[#This Row],[EnvironmentSatisfaction]],PerfRate[[#This Row],[JobSatisfaction]],PerfRate[[#This Row],[RelationshipSatisfaction]])</f>
        <v>3.3333333333333335</v>
      </c>
      <c r="R1256" s="2">
        <f>PerfRate[[#This Row],[ManagerRating]] - PerfRate[[#This Row],[SelfRating]]</f>
        <v>-1</v>
      </c>
    </row>
    <row r="1257" spans="1:18">
      <c r="A1257" s="2" t="s">
        <v>5564</v>
      </c>
      <c r="B1257" s="2" t="s">
        <v>73</v>
      </c>
      <c r="C1257" s="1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  <c r="L1257" s="2" t="s">
        <v>11029</v>
      </c>
      <c r="M1257" s="2" t="s">
        <v>11028</v>
      </c>
      <c r="N1257" s="2" t="s">
        <v>11038</v>
      </c>
      <c r="O1257" s="2" t="s">
        <v>11038</v>
      </c>
      <c r="P1257" s="2" t="s">
        <v>11036</v>
      </c>
      <c r="Q1257" s="2">
        <f>AVERAGE(PerfRate[[#This Row],[EnvironmentSatisfaction]],PerfRate[[#This Row],[JobSatisfaction]],PerfRate[[#This Row],[RelationshipSatisfaction]])</f>
        <v>4.333333333333333</v>
      </c>
      <c r="R1257" s="2">
        <f>PerfRate[[#This Row],[ManagerRating]] - PerfRate[[#This Row],[SelfRating]]</f>
        <v>-1</v>
      </c>
    </row>
    <row r="1258" spans="1:18">
      <c r="A1258" s="2" t="s">
        <v>5565</v>
      </c>
      <c r="B1258" s="2" t="s">
        <v>1581</v>
      </c>
      <c r="C1258" s="1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  <c r="L1258" s="2" t="s">
        <v>11029</v>
      </c>
      <c r="M1258" s="2" t="s">
        <v>11028</v>
      </c>
      <c r="N1258" s="2" t="s">
        <v>11036</v>
      </c>
      <c r="O1258" s="2" t="s">
        <v>11037</v>
      </c>
      <c r="P1258" s="2" t="s">
        <v>11035</v>
      </c>
      <c r="Q1258" s="2">
        <f>AVERAGE(PerfRate[[#This Row],[EnvironmentSatisfaction]],PerfRate[[#This Row],[JobSatisfaction]],PerfRate[[#This Row],[RelationshipSatisfaction]])</f>
        <v>3</v>
      </c>
      <c r="R1258" s="2">
        <f>PerfRate[[#This Row],[ManagerRating]] - PerfRate[[#This Row],[SelfRating]]</f>
        <v>-1</v>
      </c>
    </row>
    <row r="1259" spans="1:18">
      <c r="A1259" s="2" t="s">
        <v>5566</v>
      </c>
      <c r="B1259" s="2" t="s">
        <v>2008</v>
      </c>
      <c r="C1259" s="1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  <c r="L1259" s="2" t="s">
        <v>11029</v>
      </c>
      <c r="M1259" s="2" t="s">
        <v>11029</v>
      </c>
      <c r="N1259" s="2" t="s">
        <v>11037</v>
      </c>
      <c r="O1259" s="2" t="s">
        <v>11037</v>
      </c>
      <c r="P1259" s="2" t="s">
        <v>11035</v>
      </c>
      <c r="Q1259" s="2">
        <f>AVERAGE(PerfRate[[#This Row],[EnvironmentSatisfaction]],PerfRate[[#This Row],[JobSatisfaction]],PerfRate[[#This Row],[RelationshipSatisfaction]])</f>
        <v>3.3333333333333335</v>
      </c>
      <c r="R1259" s="2">
        <f>PerfRate[[#This Row],[ManagerRating]] - PerfRate[[#This Row],[SelfRating]]</f>
        <v>0</v>
      </c>
    </row>
    <row r="1260" spans="1:18">
      <c r="A1260" s="2" t="s">
        <v>5567</v>
      </c>
      <c r="B1260" s="2" t="s">
        <v>410</v>
      </c>
      <c r="C1260" s="1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  <c r="L1260" s="2" t="s">
        <v>11030</v>
      </c>
      <c r="M1260" s="2" t="s">
        <v>11030</v>
      </c>
      <c r="N1260" s="2" t="s">
        <v>11037</v>
      </c>
      <c r="O1260" s="2" t="s">
        <v>11035</v>
      </c>
      <c r="P1260" s="2" t="s">
        <v>11037</v>
      </c>
      <c r="Q1260" s="2">
        <f>AVERAGE(PerfRate[[#This Row],[EnvironmentSatisfaction]],PerfRate[[#This Row],[JobSatisfaction]],PerfRate[[#This Row],[RelationshipSatisfaction]])</f>
        <v>3.3333333333333335</v>
      </c>
      <c r="R1260" s="2">
        <f>PerfRate[[#This Row],[ManagerRating]] - PerfRate[[#This Row],[SelfRating]]</f>
        <v>0</v>
      </c>
    </row>
    <row r="1261" spans="1:18">
      <c r="A1261" s="2" t="s">
        <v>5568</v>
      </c>
      <c r="B1261" s="2" t="s">
        <v>1409</v>
      </c>
      <c r="C1261" s="1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  <c r="L1261" s="2" t="s">
        <v>11031</v>
      </c>
      <c r="M1261" s="2" t="s">
        <v>11030</v>
      </c>
      <c r="N1261" s="2" t="s">
        <v>11038</v>
      </c>
      <c r="O1261" s="2" t="s">
        <v>11035</v>
      </c>
      <c r="P1261" s="2" t="s">
        <v>11038</v>
      </c>
      <c r="Q1261" s="2">
        <f>AVERAGE(PerfRate[[#This Row],[EnvironmentSatisfaction]],PerfRate[[#This Row],[JobSatisfaction]],PerfRate[[#This Row],[RelationshipSatisfaction]])</f>
        <v>4</v>
      </c>
      <c r="R1261" s="2">
        <f>PerfRate[[#This Row],[ManagerRating]] - PerfRate[[#This Row],[SelfRating]]</f>
        <v>-1</v>
      </c>
    </row>
    <row r="1262" spans="1:18">
      <c r="A1262" s="2" t="s">
        <v>5569</v>
      </c>
      <c r="B1262" s="2" t="s">
        <v>568</v>
      </c>
      <c r="C1262" s="1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  <c r="L1262" s="2" t="s">
        <v>11031</v>
      </c>
      <c r="M1262" s="2" t="s">
        <v>11030</v>
      </c>
      <c r="N1262" s="2" t="s">
        <v>11037</v>
      </c>
      <c r="O1262" s="2" t="s">
        <v>11038</v>
      </c>
      <c r="P1262" s="2" t="s">
        <v>11037</v>
      </c>
      <c r="Q1262" s="2">
        <f>AVERAGE(PerfRate[[#This Row],[EnvironmentSatisfaction]],PerfRate[[#This Row],[JobSatisfaction]],PerfRate[[#This Row],[RelationshipSatisfaction]])</f>
        <v>4.333333333333333</v>
      </c>
      <c r="R1262" s="2">
        <f>PerfRate[[#This Row],[ManagerRating]] - PerfRate[[#This Row],[SelfRating]]</f>
        <v>-1</v>
      </c>
    </row>
    <row r="1263" spans="1:18">
      <c r="A1263" s="2" t="s">
        <v>5570</v>
      </c>
      <c r="B1263" s="2" t="s">
        <v>1119</v>
      </c>
      <c r="C1263" s="1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  <c r="L1263" s="2" t="s">
        <v>11029</v>
      </c>
      <c r="M1263" s="2" t="s">
        <v>11029</v>
      </c>
      <c r="N1263" s="2" t="s">
        <v>11038</v>
      </c>
      <c r="O1263" s="2" t="s">
        <v>11037</v>
      </c>
      <c r="P1263" s="2" t="s">
        <v>11036</v>
      </c>
      <c r="Q1263" s="2">
        <f>AVERAGE(PerfRate[[#This Row],[EnvironmentSatisfaction]],PerfRate[[#This Row],[JobSatisfaction]],PerfRate[[#This Row],[RelationshipSatisfaction]])</f>
        <v>4</v>
      </c>
      <c r="R1263" s="2">
        <f>PerfRate[[#This Row],[ManagerRating]] - PerfRate[[#This Row],[SelfRating]]</f>
        <v>0</v>
      </c>
    </row>
    <row r="1264" spans="1:18">
      <c r="A1264" s="2" t="s">
        <v>5571</v>
      </c>
      <c r="B1264" s="2" t="s">
        <v>511</v>
      </c>
      <c r="C1264" s="1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  <c r="L1264" s="2" t="s">
        <v>11031</v>
      </c>
      <c r="M1264" s="2" t="s">
        <v>11031</v>
      </c>
      <c r="N1264" s="2" t="s">
        <v>11037</v>
      </c>
      <c r="O1264" s="2" t="s">
        <v>11036</v>
      </c>
      <c r="P1264" s="2" t="s">
        <v>11037</v>
      </c>
      <c r="Q1264" s="2">
        <f>AVERAGE(PerfRate[[#This Row],[EnvironmentSatisfaction]],PerfRate[[#This Row],[JobSatisfaction]],PerfRate[[#This Row],[RelationshipSatisfaction]])</f>
        <v>3.6666666666666665</v>
      </c>
      <c r="R1264" s="2">
        <f>PerfRate[[#This Row],[ManagerRating]] - PerfRate[[#This Row],[SelfRating]]</f>
        <v>0</v>
      </c>
    </row>
    <row r="1265" spans="1:18">
      <c r="A1265" s="2" t="s">
        <v>5572</v>
      </c>
      <c r="B1265" s="2" t="s">
        <v>128</v>
      </c>
      <c r="C1265" s="1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  <c r="L1265" s="2" t="s">
        <v>11031</v>
      </c>
      <c r="M1265" s="2" t="s">
        <v>11031</v>
      </c>
      <c r="N1265" s="2" t="s">
        <v>11038</v>
      </c>
      <c r="O1265" s="2" t="s">
        <v>11037</v>
      </c>
      <c r="P1265" s="2" t="s">
        <v>11036</v>
      </c>
      <c r="Q1265" s="2">
        <f>AVERAGE(PerfRate[[#This Row],[EnvironmentSatisfaction]],PerfRate[[#This Row],[JobSatisfaction]],PerfRate[[#This Row],[RelationshipSatisfaction]])</f>
        <v>4</v>
      </c>
      <c r="R1265" s="2">
        <f>PerfRate[[#This Row],[ManagerRating]] - PerfRate[[#This Row],[SelfRating]]</f>
        <v>0</v>
      </c>
    </row>
    <row r="1266" spans="1:18">
      <c r="A1266" s="2" t="s">
        <v>5573</v>
      </c>
      <c r="B1266" s="2" t="s">
        <v>717</v>
      </c>
      <c r="C1266" s="1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  <c r="L1266" s="2" t="s">
        <v>11031</v>
      </c>
      <c r="M1266" s="2" t="s">
        <v>11031</v>
      </c>
      <c r="N1266" s="2" t="s">
        <v>11036</v>
      </c>
      <c r="O1266" s="2" t="s">
        <v>11035</v>
      </c>
      <c r="P1266" s="2" t="s">
        <v>11037</v>
      </c>
      <c r="Q1266" s="2">
        <f>AVERAGE(PerfRate[[#This Row],[EnvironmentSatisfaction]],PerfRate[[#This Row],[JobSatisfaction]],PerfRate[[#This Row],[RelationshipSatisfaction]])</f>
        <v>3</v>
      </c>
      <c r="R1266" s="2">
        <f>PerfRate[[#This Row],[ManagerRating]] - PerfRate[[#This Row],[SelfRating]]</f>
        <v>0</v>
      </c>
    </row>
    <row r="1267" spans="1:18">
      <c r="A1267" s="2" t="s">
        <v>5574</v>
      </c>
      <c r="B1267" s="2" t="s">
        <v>762</v>
      </c>
      <c r="C1267" s="1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  <c r="L1267" s="2" t="s">
        <v>11029</v>
      </c>
      <c r="M1267" s="2" t="s">
        <v>11028</v>
      </c>
      <c r="N1267" s="2" t="s">
        <v>11036</v>
      </c>
      <c r="O1267" s="2" t="s">
        <v>11037</v>
      </c>
      <c r="P1267" s="2" t="s">
        <v>11035</v>
      </c>
      <c r="Q1267" s="2">
        <f>AVERAGE(PerfRate[[#This Row],[EnvironmentSatisfaction]],PerfRate[[#This Row],[JobSatisfaction]],PerfRate[[#This Row],[RelationshipSatisfaction]])</f>
        <v>3</v>
      </c>
      <c r="R1267" s="2">
        <f>PerfRate[[#This Row],[ManagerRating]] - PerfRate[[#This Row],[SelfRating]]</f>
        <v>-1</v>
      </c>
    </row>
    <row r="1268" spans="1:18">
      <c r="A1268" s="2" t="s">
        <v>5575</v>
      </c>
      <c r="B1268" s="2" t="s">
        <v>1056</v>
      </c>
      <c r="C1268" s="1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  <c r="L1268" s="2" t="s">
        <v>11029</v>
      </c>
      <c r="M1268" s="2" t="s">
        <v>11028</v>
      </c>
      <c r="N1268" s="2" t="s">
        <v>11036</v>
      </c>
      <c r="O1268" s="2" t="s">
        <v>11035</v>
      </c>
      <c r="P1268" s="2" t="s">
        <v>11037</v>
      </c>
      <c r="Q1268" s="2">
        <f>AVERAGE(PerfRate[[#This Row],[EnvironmentSatisfaction]],PerfRate[[#This Row],[JobSatisfaction]],PerfRate[[#This Row],[RelationshipSatisfaction]])</f>
        <v>3</v>
      </c>
      <c r="R1268" s="2">
        <f>PerfRate[[#This Row],[ManagerRating]] - PerfRate[[#This Row],[SelfRating]]</f>
        <v>-1</v>
      </c>
    </row>
    <row r="1269" spans="1:18">
      <c r="A1269" s="2" t="s">
        <v>5576</v>
      </c>
      <c r="B1269" s="2" t="s">
        <v>1309</v>
      </c>
      <c r="C1269" s="1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  <c r="L1269" s="2" t="s">
        <v>11029</v>
      </c>
      <c r="M1269" s="2" t="s">
        <v>11029</v>
      </c>
      <c r="N1269" s="2" t="s">
        <v>11038</v>
      </c>
      <c r="O1269" s="2" t="s">
        <v>11036</v>
      </c>
      <c r="P1269" s="2" t="s">
        <v>11035</v>
      </c>
      <c r="Q1269" s="2">
        <f>AVERAGE(PerfRate[[#This Row],[EnvironmentSatisfaction]],PerfRate[[#This Row],[JobSatisfaction]],PerfRate[[#This Row],[RelationshipSatisfaction]])</f>
        <v>3.3333333333333335</v>
      </c>
      <c r="R1269" s="2">
        <f>PerfRate[[#This Row],[ManagerRating]] - PerfRate[[#This Row],[SelfRating]]</f>
        <v>0</v>
      </c>
    </row>
    <row r="1270" spans="1:18">
      <c r="A1270" s="2" t="s">
        <v>5577</v>
      </c>
      <c r="B1270" s="2" t="s">
        <v>284</v>
      </c>
      <c r="C1270" s="1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  <c r="L1270" s="2" t="s">
        <v>11030</v>
      </c>
      <c r="M1270" s="2" t="s">
        <v>11030</v>
      </c>
      <c r="N1270" s="2" t="s">
        <v>11037</v>
      </c>
      <c r="O1270" s="2" t="s">
        <v>11037</v>
      </c>
      <c r="P1270" s="2" t="s">
        <v>11036</v>
      </c>
      <c r="Q1270" s="2">
        <f>AVERAGE(PerfRate[[#This Row],[EnvironmentSatisfaction]],PerfRate[[#This Row],[JobSatisfaction]],PerfRate[[#This Row],[RelationshipSatisfaction]])</f>
        <v>3.6666666666666665</v>
      </c>
      <c r="R1270" s="2">
        <f>PerfRate[[#This Row],[ManagerRating]] - PerfRate[[#This Row],[SelfRating]]</f>
        <v>0</v>
      </c>
    </row>
    <row r="1271" spans="1:18">
      <c r="A1271" s="2" t="s">
        <v>5578</v>
      </c>
      <c r="B1271" s="2" t="s">
        <v>1332</v>
      </c>
      <c r="C1271" s="1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  <c r="L1271" s="2" t="s">
        <v>11029</v>
      </c>
      <c r="M1271" s="2" t="s">
        <v>11029</v>
      </c>
      <c r="N1271" s="2" t="s">
        <v>11038</v>
      </c>
      <c r="O1271" s="2" t="s">
        <v>11038</v>
      </c>
      <c r="P1271" s="2" t="s">
        <v>11037</v>
      </c>
      <c r="Q1271" s="2">
        <f>AVERAGE(PerfRate[[#This Row],[EnvironmentSatisfaction]],PerfRate[[#This Row],[JobSatisfaction]],PerfRate[[#This Row],[RelationshipSatisfaction]])</f>
        <v>4.666666666666667</v>
      </c>
      <c r="R1271" s="2">
        <f>PerfRate[[#This Row],[ManagerRating]] - PerfRate[[#This Row],[SelfRating]]</f>
        <v>0</v>
      </c>
    </row>
    <row r="1272" spans="1:18">
      <c r="A1272" s="2" t="s">
        <v>5579</v>
      </c>
      <c r="B1272" s="2" t="s">
        <v>2453</v>
      </c>
      <c r="C1272" s="1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  <c r="L1272" s="2" t="s">
        <v>11030</v>
      </c>
      <c r="M1272" s="2" t="s">
        <v>11029</v>
      </c>
      <c r="N1272" s="2" t="s">
        <v>11037</v>
      </c>
      <c r="O1272" s="2" t="s">
        <v>11035</v>
      </c>
      <c r="P1272" s="2" t="s">
        <v>11037</v>
      </c>
      <c r="Q1272" s="2">
        <f>AVERAGE(PerfRate[[#This Row],[EnvironmentSatisfaction]],PerfRate[[#This Row],[JobSatisfaction]],PerfRate[[#This Row],[RelationshipSatisfaction]])</f>
        <v>3.3333333333333335</v>
      </c>
      <c r="R1272" s="2">
        <f>PerfRate[[#This Row],[ManagerRating]] - PerfRate[[#This Row],[SelfRating]]</f>
        <v>-1</v>
      </c>
    </row>
    <row r="1273" spans="1:18">
      <c r="A1273" s="2" t="s">
        <v>5580</v>
      </c>
      <c r="B1273" s="2" t="s">
        <v>1116</v>
      </c>
      <c r="C1273" s="1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  <c r="L1273" s="2" t="s">
        <v>11029</v>
      </c>
      <c r="M1273" s="2" t="s">
        <v>11029</v>
      </c>
      <c r="N1273" s="2" t="s">
        <v>11037</v>
      </c>
      <c r="O1273" s="2" t="s">
        <v>11036</v>
      </c>
      <c r="P1273" s="2" t="s">
        <v>11037</v>
      </c>
      <c r="Q1273" s="2">
        <f>AVERAGE(PerfRate[[#This Row],[EnvironmentSatisfaction]],PerfRate[[#This Row],[JobSatisfaction]],PerfRate[[#This Row],[RelationshipSatisfaction]])</f>
        <v>3.6666666666666665</v>
      </c>
      <c r="R1273" s="2">
        <f>PerfRate[[#This Row],[ManagerRating]] - PerfRate[[#This Row],[SelfRating]]</f>
        <v>0</v>
      </c>
    </row>
    <row r="1274" spans="1:18">
      <c r="A1274" s="2" t="s">
        <v>5581</v>
      </c>
      <c r="B1274" s="2" t="s">
        <v>455</v>
      </c>
      <c r="C1274" s="1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  <c r="L1274" s="2" t="s">
        <v>11031</v>
      </c>
      <c r="M1274" s="2" t="s">
        <v>11031</v>
      </c>
      <c r="N1274" s="2" t="s">
        <v>11038</v>
      </c>
      <c r="O1274" s="2" t="s">
        <v>11038</v>
      </c>
      <c r="P1274" s="2" t="s">
        <v>11035</v>
      </c>
      <c r="Q1274" s="2">
        <f>AVERAGE(PerfRate[[#This Row],[EnvironmentSatisfaction]],PerfRate[[#This Row],[JobSatisfaction]],PerfRate[[#This Row],[RelationshipSatisfaction]])</f>
        <v>4</v>
      </c>
      <c r="R1274" s="2">
        <f>PerfRate[[#This Row],[ManagerRating]] - PerfRate[[#This Row],[SelfRating]]</f>
        <v>0</v>
      </c>
    </row>
    <row r="1275" spans="1:18">
      <c r="A1275" s="2" t="s">
        <v>5582</v>
      </c>
      <c r="B1275" s="2" t="s">
        <v>2641</v>
      </c>
      <c r="C1275" s="1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  <c r="L1275" s="2" t="s">
        <v>11031</v>
      </c>
      <c r="M1275" s="2" t="s">
        <v>11030</v>
      </c>
      <c r="N1275" s="2" t="s">
        <v>11038</v>
      </c>
      <c r="O1275" s="2" t="s">
        <v>11038</v>
      </c>
      <c r="P1275" s="2" t="s">
        <v>11035</v>
      </c>
      <c r="Q1275" s="2">
        <f>AVERAGE(PerfRate[[#This Row],[EnvironmentSatisfaction]],PerfRate[[#This Row],[JobSatisfaction]],PerfRate[[#This Row],[RelationshipSatisfaction]])</f>
        <v>4</v>
      </c>
      <c r="R1275" s="2">
        <f>PerfRate[[#This Row],[ManagerRating]] - PerfRate[[#This Row],[SelfRating]]</f>
        <v>-1</v>
      </c>
    </row>
    <row r="1276" spans="1:18">
      <c r="A1276" s="2" t="s">
        <v>5583</v>
      </c>
      <c r="B1276" s="2" t="s">
        <v>1909</v>
      </c>
      <c r="C1276" s="1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  <c r="L1276" s="2" t="s">
        <v>11031</v>
      </c>
      <c r="M1276" s="2" t="s">
        <v>11030</v>
      </c>
      <c r="N1276" s="2" t="s">
        <v>11037</v>
      </c>
      <c r="O1276" s="2" t="s">
        <v>11035</v>
      </c>
      <c r="P1276" s="2" t="s">
        <v>11036</v>
      </c>
      <c r="Q1276" s="2">
        <f>AVERAGE(PerfRate[[#This Row],[EnvironmentSatisfaction]],PerfRate[[#This Row],[JobSatisfaction]],PerfRate[[#This Row],[RelationshipSatisfaction]])</f>
        <v>3</v>
      </c>
      <c r="R1276" s="2">
        <f>PerfRate[[#This Row],[ManagerRating]] - PerfRate[[#This Row],[SelfRating]]</f>
        <v>-1</v>
      </c>
    </row>
    <row r="1277" spans="1:18">
      <c r="A1277" s="2" t="s">
        <v>5584</v>
      </c>
      <c r="B1277" s="2" t="s">
        <v>1154</v>
      </c>
      <c r="C1277" s="1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  <c r="L1277" s="2" t="s">
        <v>11030</v>
      </c>
      <c r="M1277" s="2" t="s">
        <v>11029</v>
      </c>
      <c r="N1277" s="2" t="s">
        <v>11038</v>
      </c>
      <c r="O1277" s="2" t="s">
        <v>11035</v>
      </c>
      <c r="P1277" s="2" t="s">
        <v>11035</v>
      </c>
      <c r="Q1277" s="2">
        <f>AVERAGE(PerfRate[[#This Row],[EnvironmentSatisfaction]],PerfRate[[#This Row],[JobSatisfaction]],PerfRate[[#This Row],[RelationshipSatisfaction]])</f>
        <v>3</v>
      </c>
      <c r="R1277" s="2">
        <f>PerfRate[[#This Row],[ManagerRating]] - PerfRate[[#This Row],[SelfRating]]</f>
        <v>-1</v>
      </c>
    </row>
    <row r="1278" spans="1:18">
      <c r="A1278" s="2" t="s">
        <v>5585</v>
      </c>
      <c r="B1278" s="2" t="s">
        <v>238</v>
      </c>
      <c r="C1278" s="1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  <c r="L1278" s="2" t="s">
        <v>11030</v>
      </c>
      <c r="M1278" s="2" t="s">
        <v>11029</v>
      </c>
      <c r="N1278" s="2" t="s">
        <v>11036</v>
      </c>
      <c r="O1278" s="2" t="s">
        <v>11036</v>
      </c>
      <c r="P1278" s="2" t="s">
        <v>11037</v>
      </c>
      <c r="Q1278" s="2">
        <f>AVERAGE(PerfRate[[#This Row],[EnvironmentSatisfaction]],PerfRate[[#This Row],[JobSatisfaction]],PerfRate[[#This Row],[RelationshipSatisfaction]])</f>
        <v>3.3333333333333335</v>
      </c>
      <c r="R1278" s="2">
        <f>PerfRate[[#This Row],[ManagerRating]] - PerfRate[[#This Row],[SelfRating]]</f>
        <v>-1</v>
      </c>
    </row>
    <row r="1279" spans="1:18">
      <c r="A1279" s="2" t="s">
        <v>5586</v>
      </c>
      <c r="B1279" s="2" t="s">
        <v>154</v>
      </c>
      <c r="C1279" s="1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  <c r="L1279" s="2" t="s">
        <v>11030</v>
      </c>
      <c r="M1279" s="2" t="s">
        <v>11029</v>
      </c>
      <c r="N1279" s="2" t="s">
        <v>11038</v>
      </c>
      <c r="O1279" s="2" t="s">
        <v>11037</v>
      </c>
      <c r="P1279" s="2" t="s">
        <v>11037</v>
      </c>
      <c r="Q1279" s="2">
        <f>AVERAGE(PerfRate[[#This Row],[EnvironmentSatisfaction]],PerfRate[[#This Row],[JobSatisfaction]],PerfRate[[#This Row],[RelationshipSatisfaction]])</f>
        <v>4.333333333333333</v>
      </c>
      <c r="R1279" s="2">
        <f>PerfRate[[#This Row],[ManagerRating]] - PerfRate[[#This Row],[SelfRating]]</f>
        <v>-1</v>
      </c>
    </row>
    <row r="1280" spans="1:18">
      <c r="A1280" s="2" t="s">
        <v>5587</v>
      </c>
      <c r="B1280" s="2" t="s">
        <v>2115</v>
      </c>
      <c r="C1280" s="1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  <c r="L1280" s="2" t="s">
        <v>11031</v>
      </c>
      <c r="M1280" s="2" t="s">
        <v>11030</v>
      </c>
      <c r="N1280" s="2" t="s">
        <v>11038</v>
      </c>
      <c r="O1280" s="2" t="s">
        <v>11035</v>
      </c>
      <c r="P1280" s="2" t="s">
        <v>11035</v>
      </c>
      <c r="Q1280" s="2">
        <f>AVERAGE(PerfRate[[#This Row],[EnvironmentSatisfaction]],PerfRate[[#This Row],[JobSatisfaction]],PerfRate[[#This Row],[RelationshipSatisfaction]])</f>
        <v>3</v>
      </c>
      <c r="R1280" s="2">
        <f>PerfRate[[#This Row],[ManagerRating]] - PerfRate[[#This Row],[SelfRating]]</f>
        <v>-1</v>
      </c>
    </row>
    <row r="1281" spans="1:18">
      <c r="A1281" s="2" t="s">
        <v>5588</v>
      </c>
      <c r="B1281" s="2" t="s">
        <v>2650</v>
      </c>
      <c r="C1281" s="1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  <c r="L1281" s="2" t="s">
        <v>11029</v>
      </c>
      <c r="M1281" s="2" t="s">
        <v>11029</v>
      </c>
      <c r="N1281" s="2" t="s">
        <v>11038</v>
      </c>
      <c r="O1281" s="2" t="s">
        <v>11038</v>
      </c>
      <c r="P1281" s="2" t="s">
        <v>11036</v>
      </c>
      <c r="Q1281" s="2">
        <f>AVERAGE(PerfRate[[#This Row],[EnvironmentSatisfaction]],PerfRate[[#This Row],[JobSatisfaction]],PerfRate[[#This Row],[RelationshipSatisfaction]])</f>
        <v>4.333333333333333</v>
      </c>
      <c r="R1281" s="2">
        <f>PerfRate[[#This Row],[ManagerRating]] - PerfRate[[#This Row],[SelfRating]]</f>
        <v>0</v>
      </c>
    </row>
    <row r="1282" spans="1:18">
      <c r="A1282" s="2" t="s">
        <v>5589</v>
      </c>
      <c r="B1282" s="2" t="s">
        <v>696</v>
      </c>
      <c r="C1282" s="1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  <c r="L1282" s="2" t="s">
        <v>11030</v>
      </c>
      <c r="M1282" s="2" t="s">
        <v>11030</v>
      </c>
      <c r="N1282" s="2" t="s">
        <v>11038</v>
      </c>
      <c r="O1282" s="2" t="s">
        <v>11035</v>
      </c>
      <c r="P1282" s="2" t="s">
        <v>11038</v>
      </c>
      <c r="Q1282" s="2">
        <f>AVERAGE(PerfRate[[#This Row],[EnvironmentSatisfaction]],PerfRate[[#This Row],[JobSatisfaction]],PerfRate[[#This Row],[RelationshipSatisfaction]])</f>
        <v>4</v>
      </c>
      <c r="R1282" s="2">
        <f>PerfRate[[#This Row],[ManagerRating]] - PerfRate[[#This Row],[SelfRating]]</f>
        <v>0</v>
      </c>
    </row>
    <row r="1283" spans="1:18">
      <c r="A1283" s="2" t="s">
        <v>5590</v>
      </c>
      <c r="B1283" s="2" t="s">
        <v>1180</v>
      </c>
      <c r="C1283" s="1">
        <v>43103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  <c r="L1283" s="2" t="s">
        <v>11029</v>
      </c>
      <c r="M1283" s="2" t="s">
        <v>11029</v>
      </c>
      <c r="N1283" s="2" t="s">
        <v>11038</v>
      </c>
      <c r="O1283" s="2" t="s">
        <v>11038</v>
      </c>
      <c r="P1283" s="2" t="s">
        <v>11035</v>
      </c>
      <c r="Q1283" s="2">
        <f>AVERAGE(PerfRate[[#This Row],[EnvironmentSatisfaction]],PerfRate[[#This Row],[JobSatisfaction]],PerfRate[[#This Row],[RelationshipSatisfaction]])</f>
        <v>4</v>
      </c>
      <c r="R1283" s="2">
        <f>PerfRate[[#This Row],[ManagerRating]] - PerfRate[[#This Row],[SelfRating]]</f>
        <v>0</v>
      </c>
    </row>
    <row r="1284" spans="1:18">
      <c r="A1284" s="2" t="s">
        <v>5591</v>
      </c>
      <c r="B1284" s="2" t="s">
        <v>1127</v>
      </c>
      <c r="C1284" s="1">
        <v>43103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  <c r="L1284" s="2" t="s">
        <v>11031</v>
      </c>
      <c r="M1284" s="2" t="s">
        <v>11031</v>
      </c>
      <c r="N1284" s="2" t="s">
        <v>11036</v>
      </c>
      <c r="O1284" s="2" t="s">
        <v>11037</v>
      </c>
      <c r="P1284" s="2" t="s">
        <v>11035</v>
      </c>
      <c r="Q1284" s="2">
        <f>AVERAGE(PerfRate[[#This Row],[EnvironmentSatisfaction]],PerfRate[[#This Row],[JobSatisfaction]],PerfRate[[#This Row],[RelationshipSatisfaction]])</f>
        <v>3</v>
      </c>
      <c r="R1284" s="2">
        <f>PerfRate[[#This Row],[ManagerRating]] - PerfRate[[#This Row],[SelfRating]]</f>
        <v>0</v>
      </c>
    </row>
    <row r="1285" spans="1:18">
      <c r="A1285" s="2" t="s">
        <v>5592</v>
      </c>
      <c r="B1285" s="2" t="s">
        <v>2759</v>
      </c>
      <c r="C1285" s="1">
        <v>43103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  <c r="L1285" s="2" t="s">
        <v>11029</v>
      </c>
      <c r="M1285" s="2" t="s">
        <v>11028</v>
      </c>
      <c r="N1285" s="2" t="s">
        <v>11037</v>
      </c>
      <c r="O1285" s="2" t="s">
        <v>11037</v>
      </c>
      <c r="P1285" s="2" t="s">
        <v>11038</v>
      </c>
      <c r="Q1285" s="2">
        <f>AVERAGE(PerfRate[[#This Row],[EnvironmentSatisfaction]],PerfRate[[#This Row],[JobSatisfaction]],PerfRate[[#This Row],[RelationshipSatisfaction]])</f>
        <v>4.333333333333333</v>
      </c>
      <c r="R1285" s="2">
        <f>PerfRate[[#This Row],[ManagerRating]] - PerfRate[[#This Row],[SelfRating]]</f>
        <v>-1</v>
      </c>
    </row>
    <row r="1286" spans="1:18">
      <c r="A1286" s="2" t="s">
        <v>5593</v>
      </c>
      <c r="B1286" s="2" t="s">
        <v>353</v>
      </c>
      <c r="C1286" s="1">
        <v>43103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  <c r="L1286" s="2" t="s">
        <v>11029</v>
      </c>
      <c r="M1286" s="2" t="s">
        <v>11029</v>
      </c>
      <c r="N1286" s="2" t="s">
        <v>11036</v>
      </c>
      <c r="O1286" s="2" t="s">
        <v>11036</v>
      </c>
      <c r="P1286" s="2" t="s">
        <v>11035</v>
      </c>
      <c r="Q1286" s="2">
        <f>AVERAGE(PerfRate[[#This Row],[EnvironmentSatisfaction]],PerfRate[[#This Row],[JobSatisfaction]],PerfRate[[#This Row],[RelationshipSatisfaction]])</f>
        <v>2.6666666666666665</v>
      </c>
      <c r="R1286" s="2">
        <f>PerfRate[[#This Row],[ManagerRating]] - PerfRate[[#This Row],[SelfRating]]</f>
        <v>0</v>
      </c>
    </row>
    <row r="1287" spans="1:18">
      <c r="A1287" s="2" t="s">
        <v>5594</v>
      </c>
      <c r="B1287" s="2" t="s">
        <v>1500</v>
      </c>
      <c r="C1287" s="1">
        <v>43103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  <c r="L1287" s="2" t="s">
        <v>11029</v>
      </c>
      <c r="M1287" s="2" t="s">
        <v>11028</v>
      </c>
      <c r="N1287" s="2" t="s">
        <v>11037</v>
      </c>
      <c r="O1287" s="2" t="s">
        <v>11038</v>
      </c>
      <c r="P1287" s="2" t="s">
        <v>11038</v>
      </c>
      <c r="Q1287" s="2">
        <f>AVERAGE(PerfRate[[#This Row],[EnvironmentSatisfaction]],PerfRate[[#This Row],[JobSatisfaction]],PerfRate[[#This Row],[RelationshipSatisfaction]])</f>
        <v>4.666666666666667</v>
      </c>
      <c r="R1287" s="2">
        <f>PerfRate[[#This Row],[ManagerRating]] - PerfRate[[#This Row],[SelfRating]]</f>
        <v>-1</v>
      </c>
    </row>
    <row r="1288" spans="1:18">
      <c r="A1288" s="2" t="s">
        <v>5595</v>
      </c>
      <c r="B1288" s="2" t="s">
        <v>73</v>
      </c>
      <c r="C1288" s="1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  <c r="L1288" s="2" t="s">
        <v>11029</v>
      </c>
      <c r="M1288" s="2" t="s">
        <v>11028</v>
      </c>
      <c r="N1288" s="2" t="s">
        <v>11038</v>
      </c>
      <c r="O1288" s="2" t="s">
        <v>11035</v>
      </c>
      <c r="P1288" s="2" t="s">
        <v>11037</v>
      </c>
      <c r="Q1288" s="2">
        <f>AVERAGE(PerfRate[[#This Row],[EnvironmentSatisfaction]],PerfRate[[#This Row],[JobSatisfaction]],PerfRate[[#This Row],[RelationshipSatisfaction]])</f>
        <v>3.6666666666666665</v>
      </c>
      <c r="R1288" s="2">
        <f>PerfRate[[#This Row],[ManagerRating]] - PerfRate[[#This Row],[SelfRating]]</f>
        <v>-1</v>
      </c>
    </row>
    <row r="1289" spans="1:18">
      <c r="A1289" s="2" t="s">
        <v>5596</v>
      </c>
      <c r="B1289" s="2" t="s">
        <v>1371</v>
      </c>
      <c r="C1289" s="1">
        <v>43103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  <c r="L1289" s="2" t="s">
        <v>11030</v>
      </c>
      <c r="M1289" s="2" t="s">
        <v>11030</v>
      </c>
      <c r="N1289" s="2" t="s">
        <v>11037</v>
      </c>
      <c r="O1289" s="2" t="s">
        <v>11038</v>
      </c>
      <c r="P1289" s="2" t="s">
        <v>11036</v>
      </c>
      <c r="Q1289" s="2">
        <f>AVERAGE(PerfRate[[#This Row],[EnvironmentSatisfaction]],PerfRate[[#This Row],[JobSatisfaction]],PerfRate[[#This Row],[RelationshipSatisfaction]])</f>
        <v>4</v>
      </c>
      <c r="R1289" s="2">
        <f>PerfRate[[#This Row],[ManagerRating]] - PerfRate[[#This Row],[SelfRating]]</f>
        <v>0</v>
      </c>
    </row>
    <row r="1290" spans="1:18">
      <c r="A1290" s="2" t="s">
        <v>5597</v>
      </c>
      <c r="B1290" s="2" t="s">
        <v>2119</v>
      </c>
      <c r="C1290" s="1">
        <v>43134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  <c r="L1290" s="2" t="s">
        <v>11030</v>
      </c>
      <c r="M1290" s="2" t="s">
        <v>11029</v>
      </c>
      <c r="N1290" s="2" t="s">
        <v>11037</v>
      </c>
      <c r="O1290" s="2" t="s">
        <v>11036</v>
      </c>
      <c r="P1290" s="2" t="s">
        <v>11037</v>
      </c>
      <c r="Q1290" s="2">
        <f>AVERAGE(PerfRate[[#This Row],[EnvironmentSatisfaction]],PerfRate[[#This Row],[JobSatisfaction]],PerfRate[[#This Row],[RelationshipSatisfaction]])</f>
        <v>3.6666666666666665</v>
      </c>
      <c r="R1290" s="2">
        <f>PerfRate[[#This Row],[ManagerRating]] - PerfRate[[#This Row],[SelfRating]]</f>
        <v>-1</v>
      </c>
    </row>
    <row r="1291" spans="1:18">
      <c r="A1291" s="2" t="s">
        <v>5598</v>
      </c>
      <c r="B1291" s="2" t="s">
        <v>673</v>
      </c>
      <c r="C1291" s="1">
        <v>43134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  <c r="L1291" s="2" t="s">
        <v>11029</v>
      </c>
      <c r="M1291" s="2" t="s">
        <v>11029</v>
      </c>
      <c r="N1291" s="2" t="s">
        <v>11036</v>
      </c>
      <c r="O1291" s="2" t="s">
        <v>11036</v>
      </c>
      <c r="P1291" s="2" t="s">
        <v>11037</v>
      </c>
      <c r="Q1291" s="2">
        <f>AVERAGE(PerfRate[[#This Row],[EnvironmentSatisfaction]],PerfRate[[#This Row],[JobSatisfaction]],PerfRate[[#This Row],[RelationshipSatisfaction]])</f>
        <v>3.3333333333333335</v>
      </c>
      <c r="R1291" s="2">
        <f>PerfRate[[#This Row],[ManagerRating]] - PerfRate[[#This Row],[SelfRating]]</f>
        <v>0</v>
      </c>
    </row>
    <row r="1292" spans="1:18">
      <c r="A1292" s="2" t="s">
        <v>5599</v>
      </c>
      <c r="B1292" s="2" t="s">
        <v>1587</v>
      </c>
      <c r="C1292" s="1">
        <v>43134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  <c r="L1292" s="2" t="s">
        <v>11031</v>
      </c>
      <c r="M1292" s="2" t="s">
        <v>11030</v>
      </c>
      <c r="N1292" s="2" t="s">
        <v>11038</v>
      </c>
      <c r="O1292" s="2" t="s">
        <v>11037</v>
      </c>
      <c r="P1292" s="2" t="s">
        <v>11038</v>
      </c>
      <c r="Q1292" s="2">
        <f>AVERAGE(PerfRate[[#This Row],[EnvironmentSatisfaction]],PerfRate[[#This Row],[JobSatisfaction]],PerfRate[[#This Row],[RelationshipSatisfaction]])</f>
        <v>4.666666666666667</v>
      </c>
      <c r="R1292" s="2">
        <f>PerfRate[[#This Row],[ManagerRating]] - PerfRate[[#This Row],[SelfRating]]</f>
        <v>-1</v>
      </c>
    </row>
    <row r="1293" spans="1:18">
      <c r="A1293" s="2" t="s">
        <v>5600</v>
      </c>
      <c r="B1293" s="2" t="s">
        <v>2351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  <c r="L1293" s="2" t="s">
        <v>11031</v>
      </c>
      <c r="M1293" s="2" t="s">
        <v>11030</v>
      </c>
      <c r="N1293" s="2" t="s">
        <v>11036</v>
      </c>
      <c r="O1293" s="2" t="s">
        <v>11038</v>
      </c>
      <c r="P1293" s="2" t="s">
        <v>11036</v>
      </c>
      <c r="Q1293" s="2">
        <f>AVERAGE(PerfRate[[#This Row],[EnvironmentSatisfaction]],PerfRate[[#This Row],[JobSatisfaction]],PerfRate[[#This Row],[RelationshipSatisfaction]])</f>
        <v>3.6666666666666665</v>
      </c>
      <c r="R1293" s="2">
        <f>PerfRate[[#This Row],[ManagerRating]] - PerfRate[[#This Row],[SelfRating]]</f>
        <v>-1</v>
      </c>
    </row>
    <row r="1294" spans="1:18">
      <c r="A1294" s="2" t="s">
        <v>5601</v>
      </c>
      <c r="B1294" s="2" t="s">
        <v>550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  <c r="L1294" s="2" t="s">
        <v>11030</v>
      </c>
      <c r="M1294" s="2" t="s">
        <v>11030</v>
      </c>
      <c r="N1294" s="2" t="s">
        <v>11038</v>
      </c>
      <c r="O1294" s="2" t="s">
        <v>11035</v>
      </c>
      <c r="P1294" s="2" t="s">
        <v>11038</v>
      </c>
      <c r="Q1294" s="2">
        <f>AVERAGE(PerfRate[[#This Row],[EnvironmentSatisfaction]],PerfRate[[#This Row],[JobSatisfaction]],PerfRate[[#This Row],[RelationshipSatisfaction]])</f>
        <v>4</v>
      </c>
      <c r="R1294" s="2">
        <f>PerfRate[[#This Row],[ManagerRating]] - PerfRate[[#This Row],[SelfRating]]</f>
        <v>0</v>
      </c>
    </row>
    <row r="1295" spans="1:18">
      <c r="A1295" s="2" t="s">
        <v>5602</v>
      </c>
      <c r="B1295" s="2" t="s">
        <v>1704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  <c r="L1295" s="2" t="s">
        <v>11029</v>
      </c>
      <c r="M1295" s="2" t="s">
        <v>11028</v>
      </c>
      <c r="N1295" s="2" t="s">
        <v>11037</v>
      </c>
      <c r="O1295" s="2" t="s">
        <v>11038</v>
      </c>
      <c r="P1295" s="2" t="s">
        <v>11038</v>
      </c>
      <c r="Q1295" s="2">
        <f>AVERAGE(PerfRate[[#This Row],[EnvironmentSatisfaction]],PerfRate[[#This Row],[JobSatisfaction]],PerfRate[[#This Row],[RelationshipSatisfaction]])</f>
        <v>4.666666666666667</v>
      </c>
      <c r="R1295" s="2">
        <f>PerfRate[[#This Row],[ManagerRating]] - PerfRate[[#This Row],[SelfRating]]</f>
        <v>-1</v>
      </c>
    </row>
    <row r="1296" spans="1:18">
      <c r="A1296" s="2" t="s">
        <v>5603</v>
      </c>
      <c r="B1296" s="2" t="s">
        <v>341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  <c r="L1296" s="2" t="s">
        <v>11030</v>
      </c>
      <c r="M1296" s="2" t="s">
        <v>11029</v>
      </c>
      <c r="N1296" s="2" t="s">
        <v>11038</v>
      </c>
      <c r="O1296" s="2" t="s">
        <v>11036</v>
      </c>
      <c r="P1296" s="2" t="s">
        <v>11038</v>
      </c>
      <c r="Q1296" s="2">
        <f>AVERAGE(PerfRate[[#This Row],[EnvironmentSatisfaction]],PerfRate[[#This Row],[JobSatisfaction]],PerfRate[[#This Row],[RelationshipSatisfaction]])</f>
        <v>4.333333333333333</v>
      </c>
      <c r="R1296" s="2">
        <f>PerfRate[[#This Row],[ManagerRating]] - PerfRate[[#This Row],[SelfRating]]</f>
        <v>-1</v>
      </c>
    </row>
    <row r="1297" spans="1:18">
      <c r="A1297" s="2" t="s">
        <v>5604</v>
      </c>
      <c r="B1297" s="2" t="s">
        <v>3457</v>
      </c>
      <c r="C1297" s="1">
        <v>43193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  <c r="L1297" s="2" t="s">
        <v>11029</v>
      </c>
      <c r="M1297" s="2" t="s">
        <v>11028</v>
      </c>
      <c r="N1297" s="2" t="s">
        <v>11038</v>
      </c>
      <c r="O1297" s="2" t="s">
        <v>11035</v>
      </c>
      <c r="P1297" s="2" t="s">
        <v>11038</v>
      </c>
      <c r="Q1297" s="2">
        <f>AVERAGE(PerfRate[[#This Row],[EnvironmentSatisfaction]],PerfRate[[#This Row],[JobSatisfaction]],PerfRate[[#This Row],[RelationshipSatisfaction]])</f>
        <v>4</v>
      </c>
      <c r="R1297" s="2">
        <f>PerfRate[[#This Row],[ManagerRating]] - PerfRate[[#This Row],[SelfRating]]</f>
        <v>-1</v>
      </c>
    </row>
    <row r="1298" spans="1:18">
      <c r="A1298" s="2" t="s">
        <v>5605</v>
      </c>
      <c r="B1298" s="2" t="s">
        <v>580</v>
      </c>
      <c r="C1298" s="1">
        <v>43223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  <c r="L1298" s="2" t="s">
        <v>11030</v>
      </c>
      <c r="M1298" s="2" t="s">
        <v>11029</v>
      </c>
      <c r="N1298" s="2" t="s">
        <v>11036</v>
      </c>
      <c r="O1298" s="2" t="s">
        <v>11036</v>
      </c>
      <c r="P1298" s="2" t="s">
        <v>11035</v>
      </c>
      <c r="Q1298" s="2">
        <f>AVERAGE(PerfRate[[#This Row],[EnvironmentSatisfaction]],PerfRate[[#This Row],[JobSatisfaction]],PerfRate[[#This Row],[RelationshipSatisfaction]])</f>
        <v>2.6666666666666665</v>
      </c>
      <c r="R1298" s="2">
        <f>PerfRate[[#This Row],[ManagerRating]] - PerfRate[[#This Row],[SelfRating]]</f>
        <v>-1</v>
      </c>
    </row>
    <row r="1299" spans="1:18">
      <c r="A1299" s="2" t="s">
        <v>5606</v>
      </c>
      <c r="B1299" s="2" t="s">
        <v>1581</v>
      </c>
      <c r="C1299" s="1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  <c r="L1299" s="2" t="s">
        <v>11031</v>
      </c>
      <c r="M1299" s="2" t="s">
        <v>11031</v>
      </c>
      <c r="N1299" s="2" t="s">
        <v>11038</v>
      </c>
      <c r="O1299" s="2" t="s">
        <v>11037</v>
      </c>
      <c r="P1299" s="2" t="s">
        <v>11038</v>
      </c>
      <c r="Q1299" s="2">
        <f>AVERAGE(PerfRate[[#This Row],[EnvironmentSatisfaction]],PerfRate[[#This Row],[JobSatisfaction]],PerfRate[[#This Row],[RelationshipSatisfaction]])</f>
        <v>4.666666666666667</v>
      </c>
      <c r="R1299" s="2">
        <f>PerfRate[[#This Row],[ManagerRating]] - PerfRate[[#This Row],[SelfRating]]</f>
        <v>0</v>
      </c>
    </row>
    <row r="1300" spans="1:18">
      <c r="A1300" s="2" t="s">
        <v>5607</v>
      </c>
      <c r="B1300" s="2" t="s">
        <v>1365</v>
      </c>
      <c r="C1300" s="1">
        <v>43223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  <c r="L1300" s="2" t="s">
        <v>11029</v>
      </c>
      <c r="M1300" s="2" t="s">
        <v>11029</v>
      </c>
      <c r="N1300" s="2" t="s">
        <v>11037</v>
      </c>
      <c r="O1300" s="2" t="s">
        <v>11035</v>
      </c>
      <c r="P1300" s="2" t="s">
        <v>11038</v>
      </c>
      <c r="Q1300" s="2">
        <f>AVERAGE(PerfRate[[#This Row],[EnvironmentSatisfaction]],PerfRate[[#This Row],[JobSatisfaction]],PerfRate[[#This Row],[RelationshipSatisfaction]])</f>
        <v>3.6666666666666665</v>
      </c>
      <c r="R1300" s="2">
        <f>PerfRate[[#This Row],[ManagerRating]] - PerfRate[[#This Row],[SelfRating]]</f>
        <v>0</v>
      </c>
    </row>
    <row r="1301" spans="1:18">
      <c r="A1301" s="2" t="s">
        <v>5608</v>
      </c>
      <c r="B1301" s="2" t="s">
        <v>347</v>
      </c>
      <c r="C1301" s="1">
        <v>43223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  <c r="L1301" s="2" t="s">
        <v>11031</v>
      </c>
      <c r="M1301" s="2" t="s">
        <v>11030</v>
      </c>
      <c r="N1301" s="2" t="s">
        <v>11037</v>
      </c>
      <c r="O1301" s="2" t="s">
        <v>11036</v>
      </c>
      <c r="P1301" s="2" t="s">
        <v>11037</v>
      </c>
      <c r="Q1301" s="2">
        <f>AVERAGE(PerfRate[[#This Row],[EnvironmentSatisfaction]],PerfRate[[#This Row],[JobSatisfaction]],PerfRate[[#This Row],[RelationshipSatisfaction]])</f>
        <v>3.6666666666666665</v>
      </c>
      <c r="R1301" s="2">
        <f>PerfRate[[#This Row],[ManagerRating]] - PerfRate[[#This Row],[SelfRating]]</f>
        <v>-1</v>
      </c>
    </row>
    <row r="1302" spans="1:18">
      <c r="A1302" s="2" t="s">
        <v>5609</v>
      </c>
      <c r="B1302" s="2" t="s">
        <v>470</v>
      </c>
      <c r="C1302" s="1">
        <v>43223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  <c r="L1302" s="2" t="s">
        <v>11029</v>
      </c>
      <c r="M1302" s="2" t="s">
        <v>11029</v>
      </c>
      <c r="N1302" s="2" t="s">
        <v>11038</v>
      </c>
      <c r="O1302" s="2" t="s">
        <v>11036</v>
      </c>
      <c r="P1302" s="2" t="s">
        <v>11035</v>
      </c>
      <c r="Q1302" s="2">
        <f>AVERAGE(PerfRate[[#This Row],[EnvironmentSatisfaction]],PerfRate[[#This Row],[JobSatisfaction]],PerfRate[[#This Row],[RelationshipSatisfaction]])</f>
        <v>3.3333333333333335</v>
      </c>
      <c r="R1302" s="2">
        <f>PerfRate[[#This Row],[ManagerRating]] - PerfRate[[#This Row],[SelfRating]]</f>
        <v>0</v>
      </c>
    </row>
    <row r="1303" spans="1:18">
      <c r="A1303" s="2" t="s">
        <v>5610</v>
      </c>
      <c r="B1303" s="2" t="s">
        <v>1491</v>
      </c>
      <c r="C1303" s="1">
        <v>43223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  <c r="L1303" s="2" t="s">
        <v>11031</v>
      </c>
      <c r="M1303" s="2" t="s">
        <v>11030</v>
      </c>
      <c r="N1303" s="2" t="s">
        <v>11037</v>
      </c>
      <c r="O1303" s="2" t="s">
        <v>11038</v>
      </c>
      <c r="P1303" s="2" t="s">
        <v>11038</v>
      </c>
      <c r="Q1303" s="2">
        <f>AVERAGE(PerfRate[[#This Row],[EnvironmentSatisfaction]],PerfRate[[#This Row],[JobSatisfaction]],PerfRate[[#This Row],[RelationshipSatisfaction]])</f>
        <v>4.666666666666667</v>
      </c>
      <c r="R1303" s="2">
        <f>PerfRate[[#This Row],[ManagerRating]] - PerfRate[[#This Row],[SelfRating]]</f>
        <v>-1</v>
      </c>
    </row>
    <row r="1304" spans="1:18">
      <c r="A1304" s="2" t="s">
        <v>5611</v>
      </c>
      <c r="B1304" s="2" t="s">
        <v>407</v>
      </c>
      <c r="C1304" s="1">
        <v>43254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  <c r="L1304" s="2" t="s">
        <v>11029</v>
      </c>
      <c r="M1304" s="2" t="s">
        <v>11028</v>
      </c>
      <c r="N1304" s="2" t="s">
        <v>11038</v>
      </c>
      <c r="O1304" s="2" t="s">
        <v>11037</v>
      </c>
      <c r="P1304" s="2" t="s">
        <v>11035</v>
      </c>
      <c r="Q1304" s="2">
        <f>AVERAGE(PerfRate[[#This Row],[EnvironmentSatisfaction]],PerfRate[[#This Row],[JobSatisfaction]],PerfRate[[#This Row],[RelationshipSatisfaction]])</f>
        <v>3.6666666666666665</v>
      </c>
      <c r="R1304" s="2">
        <f>PerfRate[[#This Row],[ManagerRating]] - PerfRate[[#This Row],[SelfRating]]</f>
        <v>-1</v>
      </c>
    </row>
    <row r="1305" spans="1:18">
      <c r="A1305" s="2" t="s">
        <v>5612</v>
      </c>
      <c r="B1305" s="2" t="s">
        <v>1082</v>
      </c>
      <c r="C1305" s="1">
        <v>43254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  <c r="L1305" s="2" t="s">
        <v>11029</v>
      </c>
      <c r="M1305" s="2" t="s">
        <v>11028</v>
      </c>
      <c r="N1305" s="2" t="s">
        <v>11037</v>
      </c>
      <c r="O1305" s="2" t="s">
        <v>11035</v>
      </c>
      <c r="P1305" s="2" t="s">
        <v>11038</v>
      </c>
      <c r="Q1305" s="2">
        <f>AVERAGE(PerfRate[[#This Row],[EnvironmentSatisfaction]],PerfRate[[#This Row],[JobSatisfaction]],PerfRate[[#This Row],[RelationshipSatisfaction]])</f>
        <v>3.6666666666666665</v>
      </c>
      <c r="R1305" s="2">
        <f>PerfRate[[#This Row],[ManagerRating]] - PerfRate[[#This Row],[SelfRating]]</f>
        <v>-1</v>
      </c>
    </row>
    <row r="1306" spans="1:18">
      <c r="A1306" s="2" t="s">
        <v>5613</v>
      </c>
      <c r="B1306" s="2" t="s">
        <v>2879</v>
      </c>
      <c r="C1306" s="1">
        <v>43254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  <c r="L1306" s="2" t="s">
        <v>11029</v>
      </c>
      <c r="M1306" s="2" t="s">
        <v>11029</v>
      </c>
      <c r="N1306" s="2" t="s">
        <v>11038</v>
      </c>
      <c r="O1306" s="2" t="s">
        <v>11037</v>
      </c>
      <c r="P1306" s="2" t="s">
        <v>11038</v>
      </c>
      <c r="Q1306" s="2">
        <f>AVERAGE(PerfRate[[#This Row],[EnvironmentSatisfaction]],PerfRate[[#This Row],[JobSatisfaction]],PerfRate[[#This Row],[RelationshipSatisfaction]])</f>
        <v>4.666666666666667</v>
      </c>
      <c r="R1306" s="2">
        <f>PerfRate[[#This Row],[ManagerRating]] - PerfRate[[#This Row],[SelfRating]]</f>
        <v>0</v>
      </c>
    </row>
    <row r="1307" spans="1:18">
      <c r="A1307" s="2" t="s">
        <v>5614</v>
      </c>
      <c r="B1307" s="2" t="s">
        <v>1652</v>
      </c>
      <c r="C1307" s="1">
        <v>43254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  <c r="L1307" s="2" t="s">
        <v>11030</v>
      </c>
      <c r="M1307" s="2" t="s">
        <v>11029</v>
      </c>
      <c r="N1307" s="2" t="s">
        <v>11036</v>
      </c>
      <c r="O1307" s="2" t="s">
        <v>11038</v>
      </c>
      <c r="P1307" s="2" t="s">
        <v>11038</v>
      </c>
      <c r="Q1307" s="2">
        <f>AVERAGE(PerfRate[[#This Row],[EnvironmentSatisfaction]],PerfRate[[#This Row],[JobSatisfaction]],PerfRate[[#This Row],[RelationshipSatisfaction]])</f>
        <v>4.333333333333333</v>
      </c>
      <c r="R1307" s="2">
        <f>PerfRate[[#This Row],[ManagerRating]] - PerfRate[[#This Row],[SelfRating]]</f>
        <v>-1</v>
      </c>
    </row>
    <row r="1308" spans="1:18">
      <c r="A1308" s="2" t="s">
        <v>5615</v>
      </c>
      <c r="B1308" s="2" t="s">
        <v>838</v>
      </c>
      <c r="C1308" s="1">
        <v>43284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  <c r="L1308" s="2" t="s">
        <v>11031</v>
      </c>
      <c r="M1308" s="2" t="s">
        <v>11030</v>
      </c>
      <c r="N1308" s="2" t="s">
        <v>11037</v>
      </c>
      <c r="O1308" s="2" t="s">
        <v>11036</v>
      </c>
      <c r="P1308" s="2" t="s">
        <v>11036</v>
      </c>
      <c r="Q1308" s="2">
        <f>AVERAGE(PerfRate[[#This Row],[EnvironmentSatisfaction]],PerfRate[[#This Row],[JobSatisfaction]],PerfRate[[#This Row],[RelationshipSatisfaction]])</f>
        <v>3.3333333333333335</v>
      </c>
      <c r="R1308" s="2">
        <f>PerfRate[[#This Row],[ManagerRating]] - PerfRate[[#This Row],[SelfRating]]</f>
        <v>-1</v>
      </c>
    </row>
    <row r="1309" spans="1:18">
      <c r="A1309" s="2" t="s">
        <v>5616</v>
      </c>
      <c r="B1309" s="2" t="s">
        <v>1674</v>
      </c>
      <c r="C1309" s="1">
        <v>43284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  <c r="L1309" s="2" t="s">
        <v>11031</v>
      </c>
      <c r="M1309" s="2" t="s">
        <v>11031</v>
      </c>
      <c r="N1309" s="2" t="s">
        <v>11038</v>
      </c>
      <c r="O1309" s="2" t="s">
        <v>11036</v>
      </c>
      <c r="P1309" s="2" t="s">
        <v>11037</v>
      </c>
      <c r="Q1309" s="2">
        <f>AVERAGE(PerfRate[[#This Row],[EnvironmentSatisfaction]],PerfRate[[#This Row],[JobSatisfaction]],PerfRate[[#This Row],[RelationshipSatisfaction]])</f>
        <v>4</v>
      </c>
      <c r="R1309" s="2">
        <f>PerfRate[[#This Row],[ManagerRating]] - PerfRate[[#This Row],[SelfRating]]</f>
        <v>0</v>
      </c>
    </row>
    <row r="1310" spans="1:18">
      <c r="A1310" s="2" t="s">
        <v>5617</v>
      </c>
      <c r="B1310" s="2" t="s">
        <v>2008</v>
      </c>
      <c r="C1310" s="1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  <c r="L1310" s="2" t="s">
        <v>11029</v>
      </c>
      <c r="M1310" s="2" t="s">
        <v>11028</v>
      </c>
      <c r="N1310" s="2" t="s">
        <v>11037</v>
      </c>
      <c r="O1310" s="2" t="s">
        <v>11035</v>
      </c>
      <c r="P1310" s="2" t="s">
        <v>11037</v>
      </c>
      <c r="Q1310" s="2">
        <f>AVERAGE(PerfRate[[#This Row],[EnvironmentSatisfaction]],PerfRate[[#This Row],[JobSatisfaction]],PerfRate[[#This Row],[RelationshipSatisfaction]])</f>
        <v>3.3333333333333335</v>
      </c>
      <c r="R1310" s="2">
        <f>PerfRate[[#This Row],[ManagerRating]] - PerfRate[[#This Row],[SelfRating]]</f>
        <v>-1</v>
      </c>
    </row>
    <row r="1311" spans="1:18">
      <c r="A1311" s="2" t="s">
        <v>5618</v>
      </c>
      <c r="B1311" s="2" t="s">
        <v>86</v>
      </c>
      <c r="C1311" s="1">
        <v>43284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  <c r="L1311" s="2" t="s">
        <v>11031</v>
      </c>
      <c r="M1311" s="2" t="s">
        <v>11031</v>
      </c>
      <c r="N1311" s="2" t="s">
        <v>11037</v>
      </c>
      <c r="O1311" s="2" t="s">
        <v>11038</v>
      </c>
      <c r="P1311" s="2" t="s">
        <v>11037</v>
      </c>
      <c r="Q1311" s="2">
        <f>AVERAGE(PerfRate[[#This Row],[EnvironmentSatisfaction]],PerfRate[[#This Row],[JobSatisfaction]],PerfRate[[#This Row],[RelationshipSatisfaction]])</f>
        <v>4.333333333333333</v>
      </c>
      <c r="R1311" s="2">
        <f>PerfRate[[#This Row],[ManagerRating]] - PerfRate[[#This Row],[SelfRating]]</f>
        <v>0</v>
      </c>
    </row>
    <row r="1312" spans="1:18">
      <c r="A1312" s="2" t="s">
        <v>5619</v>
      </c>
      <c r="B1312" s="2" t="s">
        <v>4183</v>
      </c>
      <c r="C1312" s="1">
        <v>43284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  <c r="L1312" s="2" t="s">
        <v>11030</v>
      </c>
      <c r="M1312" s="2" t="s">
        <v>11029</v>
      </c>
      <c r="N1312" s="2" t="s">
        <v>11037</v>
      </c>
      <c r="O1312" s="2" t="s">
        <v>11036</v>
      </c>
      <c r="P1312" s="2" t="s">
        <v>11035</v>
      </c>
      <c r="Q1312" s="2">
        <f>AVERAGE(PerfRate[[#This Row],[EnvironmentSatisfaction]],PerfRate[[#This Row],[JobSatisfaction]],PerfRate[[#This Row],[RelationshipSatisfaction]])</f>
        <v>3</v>
      </c>
      <c r="R1312" s="2">
        <f>PerfRate[[#This Row],[ManagerRating]] - PerfRate[[#This Row],[SelfRating]]</f>
        <v>-1</v>
      </c>
    </row>
    <row r="1313" spans="1:18">
      <c r="A1313" s="2" t="s">
        <v>5620</v>
      </c>
      <c r="B1313" s="2" t="s">
        <v>1359</v>
      </c>
      <c r="C1313" s="1">
        <v>43315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  <c r="L1313" s="2" t="s">
        <v>11029</v>
      </c>
      <c r="M1313" s="2" t="s">
        <v>11029</v>
      </c>
      <c r="N1313" s="2" t="s">
        <v>11036</v>
      </c>
      <c r="O1313" s="2" t="s">
        <v>11035</v>
      </c>
      <c r="P1313" s="2" t="s">
        <v>11036</v>
      </c>
      <c r="Q1313" s="2">
        <f>AVERAGE(PerfRate[[#This Row],[EnvironmentSatisfaction]],PerfRate[[#This Row],[JobSatisfaction]],PerfRate[[#This Row],[RelationshipSatisfaction]])</f>
        <v>2.6666666666666665</v>
      </c>
      <c r="R1313" s="2">
        <f>PerfRate[[#This Row],[ManagerRating]] - PerfRate[[#This Row],[SelfRating]]</f>
        <v>0</v>
      </c>
    </row>
    <row r="1314" spans="1:18">
      <c r="A1314" s="2" t="s">
        <v>5621</v>
      </c>
      <c r="B1314" s="2" t="s">
        <v>800</v>
      </c>
      <c r="C1314" s="1">
        <v>43346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  <c r="L1314" s="2" t="s">
        <v>11030</v>
      </c>
      <c r="M1314" s="2" t="s">
        <v>11029</v>
      </c>
      <c r="N1314" s="2" t="s">
        <v>11037</v>
      </c>
      <c r="O1314" s="2" t="s">
        <v>11036</v>
      </c>
      <c r="P1314" s="2" t="s">
        <v>11035</v>
      </c>
      <c r="Q1314" s="2">
        <f>AVERAGE(PerfRate[[#This Row],[EnvironmentSatisfaction]],PerfRate[[#This Row],[JobSatisfaction]],PerfRate[[#This Row],[RelationshipSatisfaction]])</f>
        <v>3</v>
      </c>
      <c r="R1314" s="2">
        <f>PerfRate[[#This Row],[ManagerRating]] - PerfRate[[#This Row],[SelfRating]]</f>
        <v>-1</v>
      </c>
    </row>
    <row r="1315" spans="1:18">
      <c r="A1315" s="2" t="s">
        <v>5622</v>
      </c>
      <c r="B1315" s="2" t="s">
        <v>192</v>
      </c>
      <c r="C1315" s="1">
        <v>43346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  <c r="L1315" s="2" t="s">
        <v>11031</v>
      </c>
      <c r="M1315" s="2" t="s">
        <v>11030</v>
      </c>
      <c r="N1315" s="2" t="s">
        <v>11036</v>
      </c>
      <c r="O1315" s="2" t="s">
        <v>11035</v>
      </c>
      <c r="P1315" s="2" t="s">
        <v>11035</v>
      </c>
      <c r="Q1315" s="2">
        <f>AVERAGE(PerfRate[[#This Row],[EnvironmentSatisfaction]],PerfRate[[#This Row],[JobSatisfaction]],PerfRate[[#This Row],[RelationshipSatisfaction]])</f>
        <v>2.3333333333333335</v>
      </c>
      <c r="R1315" s="2">
        <f>PerfRate[[#This Row],[ManagerRating]] - PerfRate[[#This Row],[SelfRating]]</f>
        <v>-1</v>
      </c>
    </row>
    <row r="1316" spans="1:18">
      <c r="A1316" s="2" t="s">
        <v>5623</v>
      </c>
      <c r="B1316" s="2" t="s">
        <v>571</v>
      </c>
      <c r="C1316" s="1">
        <v>43346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  <c r="L1316" s="2" t="s">
        <v>11031</v>
      </c>
      <c r="M1316" s="2" t="s">
        <v>11031</v>
      </c>
      <c r="N1316" s="2" t="s">
        <v>11038</v>
      </c>
      <c r="O1316" s="2" t="s">
        <v>11036</v>
      </c>
      <c r="P1316" s="2" t="s">
        <v>11037</v>
      </c>
      <c r="Q1316" s="2">
        <f>AVERAGE(PerfRate[[#This Row],[EnvironmentSatisfaction]],PerfRate[[#This Row],[JobSatisfaction]],PerfRate[[#This Row],[RelationshipSatisfaction]])</f>
        <v>4</v>
      </c>
      <c r="R1316" s="2">
        <f>PerfRate[[#This Row],[ManagerRating]] - PerfRate[[#This Row],[SelfRating]]</f>
        <v>0</v>
      </c>
    </row>
    <row r="1317" spans="1:18">
      <c r="A1317" s="2" t="s">
        <v>5624</v>
      </c>
      <c r="B1317" s="2" t="s">
        <v>4236</v>
      </c>
      <c r="C1317" s="1">
        <v>43376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  <c r="L1317" s="2" t="s">
        <v>11031</v>
      </c>
      <c r="M1317" s="2" t="s">
        <v>11030</v>
      </c>
      <c r="N1317" s="2" t="s">
        <v>11038</v>
      </c>
      <c r="O1317" s="2" t="s">
        <v>11037</v>
      </c>
      <c r="P1317" s="2" t="s">
        <v>11038</v>
      </c>
      <c r="Q1317" s="2">
        <f>AVERAGE(PerfRate[[#This Row],[EnvironmentSatisfaction]],PerfRate[[#This Row],[JobSatisfaction]],PerfRate[[#This Row],[RelationshipSatisfaction]])</f>
        <v>4.666666666666667</v>
      </c>
      <c r="R1317" s="2">
        <f>PerfRate[[#This Row],[ManagerRating]] - PerfRate[[#This Row],[SelfRating]]</f>
        <v>-1</v>
      </c>
    </row>
    <row r="1318" spans="1:18">
      <c r="A1318" s="2" t="s">
        <v>5625</v>
      </c>
      <c r="B1318" s="2" t="s">
        <v>1939</v>
      </c>
      <c r="C1318" s="1">
        <v>43407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  <c r="L1318" s="2" t="s">
        <v>11030</v>
      </c>
      <c r="M1318" s="2" t="s">
        <v>11029</v>
      </c>
      <c r="N1318" s="2" t="s">
        <v>11038</v>
      </c>
      <c r="O1318" s="2" t="s">
        <v>11037</v>
      </c>
      <c r="P1318" s="2" t="s">
        <v>11036</v>
      </c>
      <c r="Q1318" s="2">
        <f>AVERAGE(PerfRate[[#This Row],[EnvironmentSatisfaction]],PerfRate[[#This Row],[JobSatisfaction]],PerfRate[[#This Row],[RelationshipSatisfaction]])</f>
        <v>4</v>
      </c>
      <c r="R1318" s="2">
        <f>PerfRate[[#This Row],[ManagerRating]] - PerfRate[[#This Row],[SelfRating]]</f>
        <v>-1</v>
      </c>
    </row>
    <row r="1319" spans="1:18">
      <c r="A1319" s="2" t="s">
        <v>5626</v>
      </c>
      <c r="B1319" s="2" t="s">
        <v>3425</v>
      </c>
      <c r="C1319" s="1">
        <v>43407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  <c r="L1319" s="2" t="s">
        <v>11031</v>
      </c>
      <c r="M1319" s="2" t="s">
        <v>11031</v>
      </c>
      <c r="N1319" s="2" t="s">
        <v>11037</v>
      </c>
      <c r="O1319" s="2" t="s">
        <v>11035</v>
      </c>
      <c r="P1319" s="2" t="s">
        <v>11037</v>
      </c>
      <c r="Q1319" s="2">
        <f>AVERAGE(PerfRate[[#This Row],[EnvironmentSatisfaction]],PerfRate[[#This Row],[JobSatisfaction]],PerfRate[[#This Row],[RelationshipSatisfaction]])</f>
        <v>3.3333333333333335</v>
      </c>
      <c r="R1319" s="2">
        <f>PerfRate[[#This Row],[ManagerRating]] - PerfRate[[#This Row],[SelfRating]]</f>
        <v>0</v>
      </c>
    </row>
    <row r="1320" spans="1:18">
      <c r="A1320" s="2" t="s">
        <v>5627</v>
      </c>
      <c r="B1320" s="2" t="s">
        <v>1686</v>
      </c>
      <c r="C1320" s="1">
        <v>43437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  <c r="L1320" s="2" t="s">
        <v>11031</v>
      </c>
      <c r="M1320" s="2" t="s">
        <v>11031</v>
      </c>
      <c r="N1320" s="2" t="s">
        <v>11038</v>
      </c>
      <c r="O1320" s="2" t="s">
        <v>11038</v>
      </c>
      <c r="P1320" s="2" t="s">
        <v>11035</v>
      </c>
      <c r="Q1320" s="2">
        <f>AVERAGE(PerfRate[[#This Row],[EnvironmentSatisfaction]],PerfRate[[#This Row],[JobSatisfaction]],PerfRate[[#This Row],[RelationshipSatisfaction]])</f>
        <v>4</v>
      </c>
      <c r="R1320" s="2">
        <f>PerfRate[[#This Row],[ManagerRating]] - PerfRate[[#This Row],[SelfRating]]</f>
        <v>0</v>
      </c>
    </row>
    <row r="1321" spans="1:18">
      <c r="A1321" s="2" t="s">
        <v>5628</v>
      </c>
      <c r="B1321" s="2" t="s">
        <v>410</v>
      </c>
      <c r="C1321" s="1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  <c r="L1321" s="2" t="s">
        <v>11030</v>
      </c>
      <c r="M1321" s="2" t="s">
        <v>11030</v>
      </c>
      <c r="N1321" s="2" t="s">
        <v>11037</v>
      </c>
      <c r="O1321" s="2" t="s">
        <v>11035</v>
      </c>
      <c r="P1321" s="2" t="s">
        <v>11036</v>
      </c>
      <c r="Q1321" s="2">
        <f>AVERAGE(PerfRate[[#This Row],[EnvironmentSatisfaction]],PerfRate[[#This Row],[JobSatisfaction]],PerfRate[[#This Row],[RelationshipSatisfaction]])</f>
        <v>3</v>
      </c>
      <c r="R1321" s="2">
        <f>PerfRate[[#This Row],[ManagerRating]] - PerfRate[[#This Row],[SelfRating]]</f>
        <v>0</v>
      </c>
    </row>
    <row r="1322" spans="1:18">
      <c r="A1322" s="2" t="s">
        <v>5629</v>
      </c>
      <c r="B1322" s="2" t="s">
        <v>365</v>
      </c>
      <c r="C1322" s="1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  <c r="L1322" s="2" t="s">
        <v>11031</v>
      </c>
      <c r="M1322" s="2" t="s">
        <v>11031</v>
      </c>
      <c r="N1322" s="2" t="s">
        <v>11038</v>
      </c>
      <c r="O1322" s="2" t="s">
        <v>11037</v>
      </c>
      <c r="P1322" s="2" t="s">
        <v>11037</v>
      </c>
      <c r="Q1322" s="2">
        <f>AVERAGE(PerfRate[[#This Row],[EnvironmentSatisfaction]],PerfRate[[#This Row],[JobSatisfaction]],PerfRate[[#This Row],[RelationshipSatisfaction]])</f>
        <v>4.333333333333333</v>
      </c>
      <c r="R1322" s="2">
        <f>PerfRate[[#This Row],[ManagerRating]] - PerfRate[[#This Row],[SelfRating]]</f>
        <v>0</v>
      </c>
    </row>
    <row r="1323" spans="1:18">
      <c r="A1323" s="2" t="s">
        <v>5630</v>
      </c>
      <c r="B1323" s="2" t="s">
        <v>943</v>
      </c>
      <c r="C1323" s="1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  <c r="L1323" s="2" t="s">
        <v>11030</v>
      </c>
      <c r="M1323" s="2" t="s">
        <v>11029</v>
      </c>
      <c r="N1323" s="2" t="s">
        <v>11037</v>
      </c>
      <c r="O1323" s="2" t="s">
        <v>11035</v>
      </c>
      <c r="P1323" s="2" t="s">
        <v>11035</v>
      </c>
      <c r="Q1323" s="2">
        <f>AVERAGE(PerfRate[[#This Row],[EnvironmentSatisfaction]],PerfRate[[#This Row],[JobSatisfaction]],PerfRate[[#This Row],[RelationshipSatisfaction]])</f>
        <v>2.6666666666666665</v>
      </c>
      <c r="R1323" s="2">
        <f>PerfRate[[#This Row],[ManagerRating]] - PerfRate[[#This Row],[SelfRating]]</f>
        <v>-1</v>
      </c>
    </row>
    <row r="1324" spans="1:18">
      <c r="A1324" s="2" t="s">
        <v>5631</v>
      </c>
      <c r="B1324" s="2" t="s">
        <v>823</v>
      </c>
      <c r="C1324" s="1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  <c r="L1324" s="2" t="s">
        <v>11031</v>
      </c>
      <c r="M1324" s="2" t="s">
        <v>11031</v>
      </c>
      <c r="N1324" s="2" t="s">
        <v>11038</v>
      </c>
      <c r="O1324" s="2" t="s">
        <v>11035</v>
      </c>
      <c r="P1324" s="2" t="s">
        <v>11035</v>
      </c>
      <c r="Q1324" s="2">
        <f>AVERAGE(PerfRate[[#This Row],[EnvironmentSatisfaction]],PerfRate[[#This Row],[JobSatisfaction]],PerfRate[[#This Row],[RelationshipSatisfaction]])</f>
        <v>3</v>
      </c>
      <c r="R1324" s="2">
        <f>PerfRate[[#This Row],[ManagerRating]] - PerfRate[[#This Row],[SelfRating]]</f>
        <v>0</v>
      </c>
    </row>
    <row r="1325" spans="1:18">
      <c r="A1325" s="2" t="s">
        <v>5632</v>
      </c>
      <c r="B1325" s="2" t="s">
        <v>577</v>
      </c>
      <c r="C1325" s="1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  <c r="L1325" s="2" t="s">
        <v>11031</v>
      </c>
      <c r="M1325" s="2" t="s">
        <v>11030</v>
      </c>
      <c r="N1325" s="2" t="s">
        <v>11037</v>
      </c>
      <c r="O1325" s="2" t="s">
        <v>11037</v>
      </c>
      <c r="P1325" s="2" t="s">
        <v>11037</v>
      </c>
      <c r="Q1325" s="2">
        <f>AVERAGE(PerfRate[[#This Row],[EnvironmentSatisfaction]],PerfRate[[#This Row],[JobSatisfaction]],PerfRate[[#This Row],[RelationshipSatisfaction]])</f>
        <v>4</v>
      </c>
      <c r="R1325" s="2">
        <f>PerfRate[[#This Row],[ManagerRating]] - PerfRate[[#This Row],[SelfRating]]</f>
        <v>-1</v>
      </c>
    </row>
    <row r="1326" spans="1:18">
      <c r="A1326" s="2" t="s">
        <v>5633</v>
      </c>
      <c r="B1326" s="2" t="s">
        <v>2605</v>
      </c>
      <c r="C1326" s="1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  <c r="L1326" s="2" t="s">
        <v>11030</v>
      </c>
      <c r="M1326" s="2" t="s">
        <v>11029</v>
      </c>
      <c r="N1326" s="2" t="s">
        <v>11038</v>
      </c>
      <c r="O1326" s="2" t="s">
        <v>11038</v>
      </c>
      <c r="P1326" s="2" t="s">
        <v>11037</v>
      </c>
      <c r="Q1326" s="2">
        <f>AVERAGE(PerfRate[[#This Row],[EnvironmentSatisfaction]],PerfRate[[#This Row],[JobSatisfaction]],PerfRate[[#This Row],[RelationshipSatisfaction]])</f>
        <v>4.666666666666667</v>
      </c>
      <c r="R1326" s="2">
        <f>PerfRate[[#This Row],[ManagerRating]] - PerfRate[[#This Row],[SelfRating]]</f>
        <v>-1</v>
      </c>
    </row>
    <row r="1327" spans="1:18">
      <c r="A1327" s="2" t="s">
        <v>5634</v>
      </c>
      <c r="B1327" s="2" t="s">
        <v>520</v>
      </c>
      <c r="C1327" s="1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  <c r="L1327" s="2" t="s">
        <v>11031</v>
      </c>
      <c r="M1327" s="2" t="s">
        <v>11030</v>
      </c>
      <c r="N1327" s="2" t="s">
        <v>11038</v>
      </c>
      <c r="O1327" s="2" t="s">
        <v>11036</v>
      </c>
      <c r="P1327" s="2" t="s">
        <v>11037</v>
      </c>
      <c r="Q1327" s="2">
        <f>AVERAGE(PerfRate[[#This Row],[EnvironmentSatisfaction]],PerfRate[[#This Row],[JobSatisfaction]],PerfRate[[#This Row],[RelationshipSatisfaction]])</f>
        <v>4</v>
      </c>
      <c r="R1327" s="2">
        <f>PerfRate[[#This Row],[ManagerRating]] - PerfRate[[#This Row],[SelfRating]]</f>
        <v>-1</v>
      </c>
    </row>
    <row r="1328" spans="1:18">
      <c r="A1328" s="2" t="s">
        <v>5635</v>
      </c>
      <c r="B1328" s="2" t="s">
        <v>302</v>
      </c>
      <c r="C1328" s="1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  <c r="L1328" s="2" t="s">
        <v>11030</v>
      </c>
      <c r="M1328" s="2" t="s">
        <v>11030</v>
      </c>
      <c r="N1328" s="2" t="s">
        <v>11038</v>
      </c>
      <c r="O1328" s="2" t="s">
        <v>11037</v>
      </c>
      <c r="P1328" s="2" t="s">
        <v>11037</v>
      </c>
      <c r="Q1328" s="2">
        <f>AVERAGE(PerfRate[[#This Row],[EnvironmentSatisfaction]],PerfRate[[#This Row],[JobSatisfaction]],PerfRate[[#This Row],[RelationshipSatisfaction]])</f>
        <v>4.333333333333333</v>
      </c>
      <c r="R1328" s="2">
        <f>PerfRate[[#This Row],[ManagerRating]] - PerfRate[[#This Row],[SelfRating]]</f>
        <v>0</v>
      </c>
    </row>
    <row r="1329" spans="1:18">
      <c r="A1329" s="2" t="s">
        <v>5636</v>
      </c>
      <c r="B1329" s="2" t="s">
        <v>1590</v>
      </c>
      <c r="C1329" s="1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  <c r="L1329" s="2" t="s">
        <v>11029</v>
      </c>
      <c r="M1329" s="2" t="s">
        <v>11028</v>
      </c>
      <c r="N1329" s="2" t="s">
        <v>11037</v>
      </c>
      <c r="O1329" s="2" t="s">
        <v>11036</v>
      </c>
      <c r="P1329" s="2" t="s">
        <v>11037</v>
      </c>
      <c r="Q1329" s="2">
        <f>AVERAGE(PerfRate[[#This Row],[EnvironmentSatisfaction]],PerfRate[[#This Row],[JobSatisfaction]],PerfRate[[#This Row],[RelationshipSatisfaction]])</f>
        <v>3.6666666666666665</v>
      </c>
      <c r="R1329" s="2">
        <f>PerfRate[[#This Row],[ManagerRating]] - PerfRate[[#This Row],[SelfRating]]</f>
        <v>-1</v>
      </c>
    </row>
    <row r="1330" spans="1:18">
      <c r="A1330" s="2" t="s">
        <v>5637</v>
      </c>
      <c r="B1330" s="2" t="s">
        <v>1283</v>
      </c>
      <c r="C1330" s="1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  <c r="L1330" s="2" t="s">
        <v>11031</v>
      </c>
      <c r="M1330" s="2" t="s">
        <v>11031</v>
      </c>
      <c r="N1330" s="2" t="s">
        <v>11037</v>
      </c>
      <c r="O1330" s="2" t="s">
        <v>11037</v>
      </c>
      <c r="P1330" s="2" t="s">
        <v>11037</v>
      </c>
      <c r="Q1330" s="2">
        <f>AVERAGE(PerfRate[[#This Row],[EnvironmentSatisfaction]],PerfRate[[#This Row],[JobSatisfaction]],PerfRate[[#This Row],[RelationshipSatisfaction]])</f>
        <v>4</v>
      </c>
      <c r="R1330" s="2">
        <f>PerfRate[[#This Row],[ManagerRating]] - PerfRate[[#This Row],[SelfRating]]</f>
        <v>0</v>
      </c>
    </row>
    <row r="1331" spans="1:18">
      <c r="A1331" s="2" t="s">
        <v>5638</v>
      </c>
      <c r="B1331" s="2" t="s">
        <v>1710</v>
      </c>
      <c r="C1331" s="1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  <c r="L1331" s="2" t="s">
        <v>11029</v>
      </c>
      <c r="M1331" s="2" t="s">
        <v>11028</v>
      </c>
      <c r="N1331" s="2" t="s">
        <v>11037</v>
      </c>
      <c r="O1331" s="2" t="s">
        <v>11037</v>
      </c>
      <c r="P1331" s="2" t="s">
        <v>11035</v>
      </c>
      <c r="Q1331" s="2">
        <f>AVERAGE(PerfRate[[#This Row],[EnvironmentSatisfaction]],PerfRate[[#This Row],[JobSatisfaction]],PerfRate[[#This Row],[RelationshipSatisfaction]])</f>
        <v>3.3333333333333335</v>
      </c>
      <c r="R1331" s="2">
        <f>PerfRate[[#This Row],[ManagerRating]] - PerfRate[[#This Row],[SelfRating]]</f>
        <v>-1</v>
      </c>
    </row>
    <row r="1332" spans="1:18">
      <c r="A1332" s="2" t="s">
        <v>5639</v>
      </c>
      <c r="B1332" s="2" t="s">
        <v>1409</v>
      </c>
      <c r="C1332" s="1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  <c r="L1332" s="2" t="s">
        <v>11029</v>
      </c>
      <c r="M1332" s="2" t="s">
        <v>11028</v>
      </c>
      <c r="N1332" s="2" t="s">
        <v>11036</v>
      </c>
      <c r="O1332" s="2" t="s">
        <v>11037</v>
      </c>
      <c r="P1332" s="2" t="s">
        <v>11036</v>
      </c>
      <c r="Q1332" s="2">
        <f>AVERAGE(PerfRate[[#This Row],[EnvironmentSatisfaction]],PerfRate[[#This Row],[JobSatisfaction]],PerfRate[[#This Row],[RelationshipSatisfaction]])</f>
        <v>3.3333333333333335</v>
      </c>
      <c r="R1332" s="2">
        <f>PerfRate[[#This Row],[ManagerRating]] - PerfRate[[#This Row],[SelfRating]]</f>
        <v>-1</v>
      </c>
    </row>
    <row r="1333" spans="1:18">
      <c r="A1333" s="2" t="s">
        <v>5640</v>
      </c>
      <c r="B1333" s="2" t="s">
        <v>586</v>
      </c>
      <c r="C1333" s="1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  <c r="L1333" s="2" t="s">
        <v>11030</v>
      </c>
      <c r="M1333" s="2" t="s">
        <v>11029</v>
      </c>
      <c r="N1333" s="2" t="s">
        <v>11036</v>
      </c>
      <c r="O1333" s="2" t="s">
        <v>11037</v>
      </c>
      <c r="P1333" s="2" t="s">
        <v>11038</v>
      </c>
      <c r="Q1333" s="2">
        <f>AVERAGE(PerfRate[[#This Row],[EnvironmentSatisfaction]],PerfRate[[#This Row],[JobSatisfaction]],PerfRate[[#This Row],[RelationshipSatisfaction]])</f>
        <v>4</v>
      </c>
      <c r="R1333" s="2">
        <f>PerfRate[[#This Row],[ManagerRating]] - PerfRate[[#This Row],[SelfRating]]</f>
        <v>-1</v>
      </c>
    </row>
    <row r="1334" spans="1:18">
      <c r="A1334" s="2" t="s">
        <v>5641</v>
      </c>
      <c r="B1334" s="2" t="s">
        <v>826</v>
      </c>
      <c r="C1334" s="1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  <c r="L1334" s="2" t="s">
        <v>11030</v>
      </c>
      <c r="M1334" s="2" t="s">
        <v>11030</v>
      </c>
      <c r="N1334" s="2" t="s">
        <v>11036</v>
      </c>
      <c r="O1334" s="2" t="s">
        <v>11035</v>
      </c>
      <c r="P1334" s="2" t="s">
        <v>11035</v>
      </c>
      <c r="Q1334" s="2">
        <f>AVERAGE(PerfRate[[#This Row],[EnvironmentSatisfaction]],PerfRate[[#This Row],[JobSatisfaction]],PerfRate[[#This Row],[RelationshipSatisfaction]])</f>
        <v>2.3333333333333335</v>
      </c>
      <c r="R1334" s="2">
        <f>PerfRate[[#This Row],[ManagerRating]] - PerfRate[[#This Row],[SelfRating]]</f>
        <v>0</v>
      </c>
    </row>
    <row r="1335" spans="1:18">
      <c r="A1335" s="2" t="s">
        <v>5642</v>
      </c>
      <c r="B1335" s="2" t="s">
        <v>281</v>
      </c>
      <c r="C1335" s="1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  <c r="L1335" s="2" t="s">
        <v>11031</v>
      </c>
      <c r="M1335" s="2" t="s">
        <v>11030</v>
      </c>
      <c r="N1335" s="2" t="s">
        <v>11036</v>
      </c>
      <c r="O1335" s="2" t="s">
        <v>11035</v>
      </c>
      <c r="P1335" s="2" t="s">
        <v>11036</v>
      </c>
      <c r="Q1335" s="2">
        <f>AVERAGE(PerfRate[[#This Row],[EnvironmentSatisfaction]],PerfRate[[#This Row],[JobSatisfaction]],PerfRate[[#This Row],[RelationshipSatisfaction]])</f>
        <v>2.6666666666666665</v>
      </c>
      <c r="R1335" s="2">
        <f>PerfRate[[#This Row],[ManagerRating]] - PerfRate[[#This Row],[SelfRating]]</f>
        <v>-1</v>
      </c>
    </row>
    <row r="1336" spans="1:18">
      <c r="A1336" s="2" t="s">
        <v>5643</v>
      </c>
      <c r="B1336" s="2" t="s">
        <v>1620</v>
      </c>
      <c r="C1336" s="1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  <c r="L1336" s="2" t="s">
        <v>11030</v>
      </c>
      <c r="M1336" s="2" t="s">
        <v>11030</v>
      </c>
      <c r="N1336" s="2" t="s">
        <v>11036</v>
      </c>
      <c r="O1336" s="2" t="s">
        <v>11038</v>
      </c>
      <c r="P1336" s="2" t="s">
        <v>11037</v>
      </c>
      <c r="Q1336" s="2">
        <f>AVERAGE(PerfRate[[#This Row],[EnvironmentSatisfaction]],PerfRate[[#This Row],[JobSatisfaction]],PerfRate[[#This Row],[RelationshipSatisfaction]])</f>
        <v>4</v>
      </c>
      <c r="R1336" s="2">
        <f>PerfRate[[#This Row],[ManagerRating]] - PerfRate[[#This Row],[SelfRating]]</f>
        <v>0</v>
      </c>
    </row>
    <row r="1337" spans="1:18">
      <c r="A1337" s="2" t="s">
        <v>5644</v>
      </c>
      <c r="B1337" s="2" t="s">
        <v>362</v>
      </c>
      <c r="C1337" s="1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  <c r="L1337" s="2" t="s">
        <v>11029</v>
      </c>
      <c r="M1337" s="2" t="s">
        <v>11029</v>
      </c>
      <c r="N1337" s="2" t="s">
        <v>11037</v>
      </c>
      <c r="O1337" s="2" t="s">
        <v>11036</v>
      </c>
      <c r="P1337" s="2" t="s">
        <v>11037</v>
      </c>
      <c r="Q1337" s="2">
        <f>AVERAGE(PerfRate[[#This Row],[EnvironmentSatisfaction]],PerfRate[[#This Row],[JobSatisfaction]],PerfRate[[#This Row],[RelationshipSatisfaction]])</f>
        <v>3.6666666666666665</v>
      </c>
      <c r="R1337" s="2">
        <f>PerfRate[[#This Row],[ManagerRating]] - PerfRate[[#This Row],[SelfRating]]</f>
        <v>0</v>
      </c>
    </row>
    <row r="1338" spans="1:18">
      <c r="A1338" s="2" t="s">
        <v>5645</v>
      </c>
      <c r="B1338" s="2" t="s">
        <v>1942</v>
      </c>
      <c r="C1338" s="1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  <c r="L1338" s="2" t="s">
        <v>11030</v>
      </c>
      <c r="M1338" s="2" t="s">
        <v>11029</v>
      </c>
      <c r="N1338" s="2" t="s">
        <v>11037</v>
      </c>
      <c r="O1338" s="2" t="s">
        <v>11036</v>
      </c>
      <c r="P1338" s="2" t="s">
        <v>11038</v>
      </c>
      <c r="Q1338" s="2">
        <f>AVERAGE(PerfRate[[#This Row],[EnvironmentSatisfaction]],PerfRate[[#This Row],[JobSatisfaction]],PerfRate[[#This Row],[RelationshipSatisfaction]])</f>
        <v>4</v>
      </c>
      <c r="R1338" s="2">
        <f>PerfRate[[#This Row],[ManagerRating]] - PerfRate[[#This Row],[SelfRating]]</f>
        <v>-1</v>
      </c>
    </row>
    <row r="1339" spans="1:18">
      <c r="A1339" s="2" t="s">
        <v>5646</v>
      </c>
      <c r="B1339" s="2" t="s">
        <v>2097</v>
      </c>
      <c r="C1339" s="1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  <c r="L1339" s="2" t="s">
        <v>11029</v>
      </c>
      <c r="M1339" s="2" t="s">
        <v>11028</v>
      </c>
      <c r="N1339" s="2" t="s">
        <v>11036</v>
      </c>
      <c r="O1339" s="2" t="s">
        <v>11036</v>
      </c>
      <c r="P1339" s="2" t="s">
        <v>11038</v>
      </c>
      <c r="Q1339" s="2">
        <f>AVERAGE(PerfRate[[#This Row],[EnvironmentSatisfaction]],PerfRate[[#This Row],[JobSatisfaction]],PerfRate[[#This Row],[RelationshipSatisfaction]])</f>
        <v>3.6666666666666665</v>
      </c>
      <c r="R1339" s="2">
        <f>PerfRate[[#This Row],[ManagerRating]] - PerfRate[[#This Row],[SelfRating]]</f>
        <v>-1</v>
      </c>
    </row>
    <row r="1340" spans="1:18">
      <c r="A1340" s="2" t="s">
        <v>5647</v>
      </c>
      <c r="B1340" s="2" t="s">
        <v>326</v>
      </c>
      <c r="C1340" s="1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  <c r="L1340" s="2" t="s">
        <v>11030</v>
      </c>
      <c r="M1340" s="2" t="s">
        <v>11030</v>
      </c>
      <c r="N1340" s="2" t="s">
        <v>11037</v>
      </c>
      <c r="O1340" s="2" t="s">
        <v>11035</v>
      </c>
      <c r="P1340" s="2" t="s">
        <v>11038</v>
      </c>
      <c r="Q1340" s="2">
        <f>AVERAGE(PerfRate[[#This Row],[EnvironmentSatisfaction]],PerfRate[[#This Row],[JobSatisfaction]],PerfRate[[#This Row],[RelationshipSatisfaction]])</f>
        <v>3.6666666666666665</v>
      </c>
      <c r="R1340" s="2">
        <f>PerfRate[[#This Row],[ManagerRating]] - PerfRate[[#This Row],[SelfRating]]</f>
        <v>0</v>
      </c>
    </row>
    <row r="1341" spans="1:18">
      <c r="A1341" s="2" t="s">
        <v>5648</v>
      </c>
      <c r="B1341" s="2" t="s">
        <v>711</v>
      </c>
      <c r="C1341" s="1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  <c r="L1341" s="2" t="s">
        <v>11031</v>
      </c>
      <c r="M1341" s="2" t="s">
        <v>11030</v>
      </c>
      <c r="N1341" s="2" t="s">
        <v>11036</v>
      </c>
      <c r="O1341" s="2" t="s">
        <v>11038</v>
      </c>
      <c r="P1341" s="2" t="s">
        <v>11038</v>
      </c>
      <c r="Q1341" s="2">
        <f>AVERAGE(PerfRate[[#This Row],[EnvironmentSatisfaction]],PerfRate[[#This Row],[JobSatisfaction]],PerfRate[[#This Row],[RelationshipSatisfaction]])</f>
        <v>4.333333333333333</v>
      </c>
      <c r="R1341" s="2">
        <f>PerfRate[[#This Row],[ManagerRating]] - PerfRate[[#This Row],[SelfRating]]</f>
        <v>-1</v>
      </c>
    </row>
    <row r="1342" spans="1:18">
      <c r="A1342" s="2" t="s">
        <v>5649</v>
      </c>
      <c r="B1342" s="2" t="s">
        <v>1453</v>
      </c>
      <c r="C1342" s="1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  <c r="L1342" s="2" t="s">
        <v>11031</v>
      </c>
      <c r="M1342" s="2" t="s">
        <v>11030</v>
      </c>
      <c r="N1342" s="2" t="s">
        <v>11037</v>
      </c>
      <c r="O1342" s="2" t="s">
        <v>11037</v>
      </c>
      <c r="P1342" s="2" t="s">
        <v>11036</v>
      </c>
      <c r="Q1342" s="2">
        <f>AVERAGE(PerfRate[[#This Row],[EnvironmentSatisfaction]],PerfRate[[#This Row],[JobSatisfaction]],PerfRate[[#This Row],[RelationshipSatisfaction]])</f>
        <v>3.6666666666666665</v>
      </c>
      <c r="R1342" s="2">
        <f>PerfRate[[#This Row],[ManagerRating]] - PerfRate[[#This Row],[SelfRating]]</f>
        <v>-1</v>
      </c>
    </row>
    <row r="1343" spans="1:18">
      <c r="A1343" s="2" t="s">
        <v>5650</v>
      </c>
      <c r="B1343" s="2" t="s">
        <v>1177</v>
      </c>
      <c r="C1343" s="1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  <c r="L1343" s="2" t="s">
        <v>11030</v>
      </c>
      <c r="M1343" s="2" t="s">
        <v>11030</v>
      </c>
      <c r="N1343" s="2" t="s">
        <v>11038</v>
      </c>
      <c r="O1343" s="2" t="s">
        <v>11035</v>
      </c>
      <c r="P1343" s="2" t="s">
        <v>11035</v>
      </c>
      <c r="Q1343" s="2">
        <f>AVERAGE(PerfRate[[#This Row],[EnvironmentSatisfaction]],PerfRate[[#This Row],[JobSatisfaction]],PerfRate[[#This Row],[RelationshipSatisfaction]])</f>
        <v>3</v>
      </c>
      <c r="R1343" s="2">
        <f>PerfRate[[#This Row],[ManagerRating]] - PerfRate[[#This Row],[SelfRating]]</f>
        <v>0</v>
      </c>
    </row>
    <row r="1344" spans="1:18">
      <c r="A1344" s="2" t="s">
        <v>5651</v>
      </c>
      <c r="B1344" s="2" t="s">
        <v>1309</v>
      </c>
      <c r="C1344" s="1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  <c r="L1344" s="2" t="s">
        <v>11030</v>
      </c>
      <c r="M1344" s="2" t="s">
        <v>11030</v>
      </c>
      <c r="N1344" s="2" t="s">
        <v>11037</v>
      </c>
      <c r="O1344" s="2" t="s">
        <v>11038</v>
      </c>
      <c r="P1344" s="2" t="s">
        <v>11037</v>
      </c>
      <c r="Q1344" s="2">
        <f>AVERAGE(PerfRate[[#This Row],[EnvironmentSatisfaction]],PerfRate[[#This Row],[JobSatisfaction]],PerfRate[[#This Row],[RelationshipSatisfaction]])</f>
        <v>4.333333333333333</v>
      </c>
      <c r="R1344" s="2">
        <f>PerfRate[[#This Row],[ManagerRating]] - PerfRate[[#This Row],[SelfRating]]</f>
        <v>0</v>
      </c>
    </row>
    <row r="1345" spans="1:18">
      <c r="A1345" s="2" t="s">
        <v>5652</v>
      </c>
      <c r="B1345" s="2" t="s">
        <v>404</v>
      </c>
      <c r="C1345" s="1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  <c r="L1345" s="2" t="s">
        <v>11031</v>
      </c>
      <c r="M1345" s="2" t="s">
        <v>11030</v>
      </c>
      <c r="N1345" s="2" t="s">
        <v>11038</v>
      </c>
      <c r="O1345" s="2" t="s">
        <v>11036</v>
      </c>
      <c r="P1345" s="2" t="s">
        <v>11037</v>
      </c>
      <c r="Q1345" s="2">
        <f>AVERAGE(PerfRate[[#This Row],[EnvironmentSatisfaction]],PerfRate[[#This Row],[JobSatisfaction]],PerfRate[[#This Row],[RelationshipSatisfaction]])</f>
        <v>4</v>
      </c>
      <c r="R1345" s="2">
        <f>PerfRate[[#This Row],[ManagerRating]] - PerfRate[[#This Row],[SelfRating]]</f>
        <v>-1</v>
      </c>
    </row>
    <row r="1346" spans="1:18">
      <c r="A1346" s="2" t="s">
        <v>5653</v>
      </c>
      <c r="B1346" s="2" t="s">
        <v>169</v>
      </c>
      <c r="C1346" s="1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  <c r="L1346" s="2" t="s">
        <v>11030</v>
      </c>
      <c r="M1346" s="2" t="s">
        <v>11029</v>
      </c>
      <c r="N1346" s="2" t="s">
        <v>11036</v>
      </c>
      <c r="O1346" s="2" t="s">
        <v>11037</v>
      </c>
      <c r="P1346" s="2" t="s">
        <v>11035</v>
      </c>
      <c r="Q1346" s="2">
        <f>AVERAGE(PerfRate[[#This Row],[EnvironmentSatisfaction]],PerfRate[[#This Row],[JobSatisfaction]],PerfRate[[#This Row],[RelationshipSatisfaction]])</f>
        <v>3</v>
      </c>
      <c r="R1346" s="2">
        <f>PerfRate[[#This Row],[ManagerRating]] - PerfRate[[#This Row],[SelfRating]]</f>
        <v>-1</v>
      </c>
    </row>
    <row r="1347" spans="1:18">
      <c r="A1347" s="2" t="s">
        <v>5654</v>
      </c>
      <c r="B1347" s="2" t="s">
        <v>2184</v>
      </c>
      <c r="C1347" s="1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  <c r="L1347" s="2" t="s">
        <v>11030</v>
      </c>
      <c r="M1347" s="2" t="s">
        <v>11030</v>
      </c>
      <c r="N1347" s="2" t="s">
        <v>11037</v>
      </c>
      <c r="O1347" s="2" t="s">
        <v>11038</v>
      </c>
      <c r="P1347" s="2" t="s">
        <v>11035</v>
      </c>
      <c r="Q1347" s="2">
        <f>AVERAGE(PerfRate[[#This Row],[EnvironmentSatisfaction]],PerfRate[[#This Row],[JobSatisfaction]],PerfRate[[#This Row],[RelationshipSatisfaction]])</f>
        <v>3.6666666666666665</v>
      </c>
      <c r="R1347" s="2">
        <f>PerfRate[[#This Row],[ManagerRating]] - PerfRate[[#This Row],[SelfRating]]</f>
        <v>0</v>
      </c>
    </row>
    <row r="1348" spans="1:18">
      <c r="A1348" s="2" t="s">
        <v>5655</v>
      </c>
      <c r="B1348" s="2" t="s">
        <v>452</v>
      </c>
      <c r="C1348" s="1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  <c r="L1348" s="2" t="s">
        <v>11030</v>
      </c>
      <c r="M1348" s="2" t="s">
        <v>11029</v>
      </c>
      <c r="N1348" s="2" t="s">
        <v>11038</v>
      </c>
      <c r="O1348" s="2" t="s">
        <v>11035</v>
      </c>
      <c r="P1348" s="2" t="s">
        <v>11035</v>
      </c>
      <c r="Q1348" s="2">
        <f>AVERAGE(PerfRate[[#This Row],[EnvironmentSatisfaction]],PerfRate[[#This Row],[JobSatisfaction]],PerfRate[[#This Row],[RelationshipSatisfaction]])</f>
        <v>3</v>
      </c>
      <c r="R1348" s="2">
        <f>PerfRate[[#This Row],[ManagerRating]] - PerfRate[[#This Row],[SelfRating]]</f>
        <v>-1</v>
      </c>
    </row>
    <row r="1349" spans="1:18">
      <c r="A1349" s="2" t="s">
        <v>5656</v>
      </c>
      <c r="B1349" s="2" t="s">
        <v>1201</v>
      </c>
      <c r="C1349" s="1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  <c r="L1349" s="2" t="s">
        <v>11031</v>
      </c>
      <c r="M1349" s="2" t="s">
        <v>11031</v>
      </c>
      <c r="N1349" s="2" t="s">
        <v>11037</v>
      </c>
      <c r="O1349" s="2" t="s">
        <v>11037</v>
      </c>
      <c r="P1349" s="2" t="s">
        <v>11036</v>
      </c>
      <c r="Q1349" s="2">
        <f>AVERAGE(PerfRate[[#This Row],[EnvironmentSatisfaction]],PerfRate[[#This Row],[JobSatisfaction]],PerfRate[[#This Row],[RelationshipSatisfaction]])</f>
        <v>3.6666666666666665</v>
      </c>
      <c r="R1349" s="2">
        <f>PerfRate[[#This Row],[ManagerRating]] - PerfRate[[#This Row],[SelfRating]]</f>
        <v>0</v>
      </c>
    </row>
    <row r="1350" spans="1:18">
      <c r="A1350" s="2" t="s">
        <v>5657</v>
      </c>
      <c r="B1350" s="2" t="s">
        <v>2427</v>
      </c>
      <c r="C1350" s="1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  <c r="L1350" s="2" t="s">
        <v>11030</v>
      </c>
      <c r="M1350" s="2" t="s">
        <v>11029</v>
      </c>
      <c r="N1350" s="2" t="s">
        <v>11037</v>
      </c>
      <c r="O1350" s="2" t="s">
        <v>11037</v>
      </c>
      <c r="P1350" s="2" t="s">
        <v>11038</v>
      </c>
      <c r="Q1350" s="2">
        <f>AVERAGE(PerfRate[[#This Row],[EnvironmentSatisfaction]],PerfRate[[#This Row],[JobSatisfaction]],PerfRate[[#This Row],[RelationshipSatisfaction]])</f>
        <v>4.333333333333333</v>
      </c>
      <c r="R1350" s="2">
        <f>PerfRate[[#This Row],[ManagerRating]] - PerfRate[[#This Row],[SelfRating]]</f>
        <v>-1</v>
      </c>
    </row>
    <row r="1351" spans="1:18">
      <c r="A1351" s="2" t="s">
        <v>5658</v>
      </c>
      <c r="B1351" s="2" t="s">
        <v>2296</v>
      </c>
      <c r="C1351" s="1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  <c r="L1351" s="2" t="s">
        <v>11029</v>
      </c>
      <c r="M1351" s="2" t="s">
        <v>11029</v>
      </c>
      <c r="N1351" s="2" t="s">
        <v>11037</v>
      </c>
      <c r="O1351" s="2" t="s">
        <v>11037</v>
      </c>
      <c r="P1351" s="2" t="s">
        <v>11036</v>
      </c>
      <c r="Q1351" s="2">
        <f>AVERAGE(PerfRate[[#This Row],[EnvironmentSatisfaction]],PerfRate[[#This Row],[JobSatisfaction]],PerfRate[[#This Row],[RelationshipSatisfaction]])</f>
        <v>3.6666666666666665</v>
      </c>
      <c r="R1351" s="2">
        <f>PerfRate[[#This Row],[ManagerRating]] - PerfRate[[#This Row],[SelfRating]]</f>
        <v>0</v>
      </c>
    </row>
    <row r="1352" spans="1:18">
      <c r="A1352" s="2" t="s">
        <v>5659</v>
      </c>
      <c r="B1352" s="2" t="s">
        <v>3189</v>
      </c>
      <c r="C1352" s="1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  <c r="L1352" s="2" t="s">
        <v>11031</v>
      </c>
      <c r="M1352" s="2" t="s">
        <v>11031</v>
      </c>
      <c r="N1352" s="2" t="s">
        <v>11038</v>
      </c>
      <c r="O1352" s="2" t="s">
        <v>11035</v>
      </c>
      <c r="P1352" s="2" t="s">
        <v>11037</v>
      </c>
      <c r="Q1352" s="2">
        <f>AVERAGE(PerfRate[[#This Row],[EnvironmentSatisfaction]],PerfRate[[#This Row],[JobSatisfaction]],PerfRate[[#This Row],[RelationshipSatisfaction]])</f>
        <v>3.6666666666666665</v>
      </c>
      <c r="R1352" s="2">
        <f>PerfRate[[#This Row],[ManagerRating]] - PerfRate[[#This Row],[SelfRating]]</f>
        <v>0</v>
      </c>
    </row>
    <row r="1353" spans="1:18">
      <c r="A1353" s="2" t="s">
        <v>5660</v>
      </c>
      <c r="B1353" s="2" t="s">
        <v>3574</v>
      </c>
      <c r="C1353" s="1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  <c r="L1353" s="2" t="s">
        <v>11031</v>
      </c>
      <c r="M1353" s="2" t="s">
        <v>11030</v>
      </c>
      <c r="N1353" s="2" t="s">
        <v>11038</v>
      </c>
      <c r="O1353" s="2" t="s">
        <v>11038</v>
      </c>
      <c r="P1353" s="2" t="s">
        <v>11035</v>
      </c>
      <c r="Q1353" s="2">
        <f>AVERAGE(PerfRate[[#This Row],[EnvironmentSatisfaction]],PerfRate[[#This Row],[JobSatisfaction]],PerfRate[[#This Row],[RelationshipSatisfaction]])</f>
        <v>4</v>
      </c>
      <c r="R1353" s="2">
        <f>PerfRate[[#This Row],[ManagerRating]] - PerfRate[[#This Row],[SelfRating]]</f>
        <v>-1</v>
      </c>
    </row>
    <row r="1354" spans="1:18">
      <c r="A1354" s="2" t="s">
        <v>5661</v>
      </c>
      <c r="B1354" s="2" t="s">
        <v>1465</v>
      </c>
      <c r="C1354" s="1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  <c r="L1354" s="2" t="s">
        <v>11031</v>
      </c>
      <c r="M1354" s="2" t="s">
        <v>11031</v>
      </c>
      <c r="N1354" s="2" t="s">
        <v>11038</v>
      </c>
      <c r="O1354" s="2" t="s">
        <v>11038</v>
      </c>
      <c r="P1354" s="2" t="s">
        <v>11037</v>
      </c>
      <c r="Q1354" s="2">
        <f>AVERAGE(PerfRate[[#This Row],[EnvironmentSatisfaction]],PerfRate[[#This Row],[JobSatisfaction]],PerfRate[[#This Row],[RelationshipSatisfaction]])</f>
        <v>4.666666666666667</v>
      </c>
      <c r="R1354" s="2">
        <f>PerfRate[[#This Row],[ManagerRating]] - PerfRate[[#This Row],[SelfRating]]</f>
        <v>0</v>
      </c>
    </row>
    <row r="1355" spans="1:18">
      <c r="A1355" s="2" t="s">
        <v>5662</v>
      </c>
      <c r="B1355" s="2" t="s">
        <v>2453</v>
      </c>
      <c r="C1355" s="1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  <c r="L1355" s="2" t="s">
        <v>11030</v>
      </c>
      <c r="M1355" s="2" t="s">
        <v>11029</v>
      </c>
      <c r="N1355" s="2" t="s">
        <v>11036</v>
      </c>
      <c r="O1355" s="2" t="s">
        <v>11035</v>
      </c>
      <c r="P1355" s="2" t="s">
        <v>11038</v>
      </c>
      <c r="Q1355" s="2">
        <f>AVERAGE(PerfRate[[#This Row],[EnvironmentSatisfaction]],PerfRate[[#This Row],[JobSatisfaction]],PerfRate[[#This Row],[RelationshipSatisfaction]])</f>
        <v>3.3333333333333335</v>
      </c>
      <c r="R1355" s="2">
        <f>PerfRate[[#This Row],[ManagerRating]] - PerfRate[[#This Row],[SelfRating]]</f>
        <v>-1</v>
      </c>
    </row>
    <row r="1356" spans="1:18">
      <c r="A1356" s="2" t="s">
        <v>5663</v>
      </c>
      <c r="B1356" s="2" t="s">
        <v>538</v>
      </c>
      <c r="C1356" s="1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  <c r="L1356" s="2" t="s">
        <v>11030</v>
      </c>
      <c r="M1356" s="2" t="s">
        <v>11029</v>
      </c>
      <c r="N1356" s="2" t="s">
        <v>11036</v>
      </c>
      <c r="O1356" s="2" t="s">
        <v>11036</v>
      </c>
      <c r="P1356" s="2" t="s">
        <v>11038</v>
      </c>
      <c r="Q1356" s="2">
        <f>AVERAGE(PerfRate[[#This Row],[EnvironmentSatisfaction]],PerfRate[[#This Row],[JobSatisfaction]],PerfRate[[#This Row],[RelationshipSatisfaction]])</f>
        <v>3.6666666666666665</v>
      </c>
      <c r="R1356" s="2">
        <f>PerfRate[[#This Row],[ManagerRating]] - PerfRate[[#This Row],[SelfRating]]</f>
        <v>-1</v>
      </c>
    </row>
    <row r="1357" spans="1:18">
      <c r="A1357" s="2" t="s">
        <v>5664</v>
      </c>
      <c r="B1357" s="2" t="s">
        <v>50</v>
      </c>
      <c r="C1357" s="1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  <c r="L1357" s="2" t="s">
        <v>11030</v>
      </c>
      <c r="M1357" s="2" t="s">
        <v>11030</v>
      </c>
      <c r="N1357" s="2" t="s">
        <v>11037</v>
      </c>
      <c r="O1357" s="2" t="s">
        <v>11036</v>
      </c>
      <c r="P1357" s="2" t="s">
        <v>11037</v>
      </c>
      <c r="Q1357" s="2">
        <f>AVERAGE(PerfRate[[#This Row],[EnvironmentSatisfaction]],PerfRate[[#This Row],[JobSatisfaction]],PerfRate[[#This Row],[RelationshipSatisfaction]])</f>
        <v>3.6666666666666665</v>
      </c>
      <c r="R1357" s="2">
        <f>PerfRate[[#This Row],[ManagerRating]] - PerfRate[[#This Row],[SelfRating]]</f>
        <v>0</v>
      </c>
    </row>
    <row r="1358" spans="1:18">
      <c r="A1358" s="2" t="s">
        <v>5665</v>
      </c>
      <c r="B1358" s="2" t="s">
        <v>759</v>
      </c>
      <c r="C1358" s="1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  <c r="L1358" s="2" t="s">
        <v>11031</v>
      </c>
      <c r="M1358" s="2" t="s">
        <v>11030</v>
      </c>
      <c r="N1358" s="2" t="s">
        <v>11036</v>
      </c>
      <c r="O1358" s="2" t="s">
        <v>11035</v>
      </c>
      <c r="P1358" s="2" t="s">
        <v>11038</v>
      </c>
      <c r="Q1358" s="2">
        <f>AVERAGE(PerfRate[[#This Row],[EnvironmentSatisfaction]],PerfRate[[#This Row],[JobSatisfaction]],PerfRate[[#This Row],[RelationshipSatisfaction]])</f>
        <v>3.3333333333333335</v>
      </c>
      <c r="R1358" s="2">
        <f>PerfRate[[#This Row],[ManagerRating]] - PerfRate[[#This Row],[SelfRating]]</f>
        <v>-1</v>
      </c>
    </row>
    <row r="1359" spans="1:18">
      <c r="A1359" s="2" t="s">
        <v>5666</v>
      </c>
      <c r="B1359" s="2" t="s">
        <v>610</v>
      </c>
      <c r="C1359" s="1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  <c r="L1359" s="2" t="s">
        <v>11030</v>
      </c>
      <c r="M1359" s="2" t="s">
        <v>11030</v>
      </c>
      <c r="N1359" s="2" t="s">
        <v>11038</v>
      </c>
      <c r="O1359" s="2" t="s">
        <v>11035</v>
      </c>
      <c r="P1359" s="2" t="s">
        <v>11038</v>
      </c>
      <c r="Q1359" s="2">
        <f>AVERAGE(PerfRate[[#This Row],[EnvironmentSatisfaction]],PerfRate[[#This Row],[JobSatisfaction]],PerfRate[[#This Row],[RelationshipSatisfaction]])</f>
        <v>4</v>
      </c>
      <c r="R1359" s="2">
        <f>PerfRate[[#This Row],[ManagerRating]] - PerfRate[[#This Row],[SelfRating]]</f>
        <v>0</v>
      </c>
    </row>
    <row r="1360" spans="1:18">
      <c r="A1360" s="2" t="s">
        <v>5667</v>
      </c>
      <c r="B1360" s="2" t="s">
        <v>175</v>
      </c>
      <c r="C1360" s="1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  <c r="L1360" s="2" t="s">
        <v>11030</v>
      </c>
      <c r="M1360" s="2" t="s">
        <v>11030</v>
      </c>
      <c r="N1360" s="2" t="s">
        <v>11038</v>
      </c>
      <c r="O1360" s="2" t="s">
        <v>11036</v>
      </c>
      <c r="P1360" s="2" t="s">
        <v>11035</v>
      </c>
      <c r="Q1360" s="2">
        <f>AVERAGE(PerfRate[[#This Row],[EnvironmentSatisfaction]],PerfRate[[#This Row],[JobSatisfaction]],PerfRate[[#This Row],[RelationshipSatisfaction]])</f>
        <v>3.3333333333333335</v>
      </c>
      <c r="R1360" s="2">
        <f>PerfRate[[#This Row],[ManagerRating]] - PerfRate[[#This Row],[SelfRating]]</f>
        <v>0</v>
      </c>
    </row>
    <row r="1361" spans="1:18">
      <c r="A1361" s="2" t="s">
        <v>5668</v>
      </c>
      <c r="B1361" s="2" t="s">
        <v>1418</v>
      </c>
      <c r="C1361" s="1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  <c r="L1361" s="2" t="s">
        <v>11031</v>
      </c>
      <c r="M1361" s="2" t="s">
        <v>11031</v>
      </c>
      <c r="N1361" s="2" t="s">
        <v>11037</v>
      </c>
      <c r="O1361" s="2" t="s">
        <v>11038</v>
      </c>
      <c r="P1361" s="2" t="s">
        <v>11035</v>
      </c>
      <c r="Q1361" s="2">
        <f>AVERAGE(PerfRate[[#This Row],[EnvironmentSatisfaction]],PerfRate[[#This Row],[JobSatisfaction]],PerfRate[[#This Row],[RelationshipSatisfaction]])</f>
        <v>3.6666666666666665</v>
      </c>
      <c r="R1361" s="2">
        <f>PerfRate[[#This Row],[ManagerRating]] - PerfRate[[#This Row],[SelfRating]]</f>
        <v>0</v>
      </c>
    </row>
    <row r="1362" spans="1:18">
      <c r="A1362" s="2" t="s">
        <v>5669</v>
      </c>
      <c r="B1362" s="2" t="s">
        <v>4072</v>
      </c>
      <c r="C1362" s="1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  <c r="L1362" s="2" t="s">
        <v>11030</v>
      </c>
      <c r="M1362" s="2" t="s">
        <v>11029</v>
      </c>
      <c r="N1362" s="2" t="s">
        <v>11037</v>
      </c>
      <c r="O1362" s="2" t="s">
        <v>11036</v>
      </c>
      <c r="P1362" s="2" t="s">
        <v>11037</v>
      </c>
      <c r="Q1362" s="2">
        <f>AVERAGE(PerfRate[[#This Row],[EnvironmentSatisfaction]],PerfRate[[#This Row],[JobSatisfaction]],PerfRate[[#This Row],[RelationshipSatisfaction]])</f>
        <v>3.6666666666666665</v>
      </c>
      <c r="R1362" s="2">
        <f>PerfRate[[#This Row],[ManagerRating]] - PerfRate[[#This Row],[SelfRating]]</f>
        <v>-1</v>
      </c>
    </row>
    <row r="1363" spans="1:18">
      <c r="A1363" s="2" t="s">
        <v>5670</v>
      </c>
      <c r="B1363" s="2" t="s">
        <v>1663</v>
      </c>
      <c r="C1363" s="1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  <c r="L1363" s="2" t="s">
        <v>11031</v>
      </c>
      <c r="M1363" s="2" t="s">
        <v>11031</v>
      </c>
      <c r="N1363" s="2" t="s">
        <v>11036</v>
      </c>
      <c r="O1363" s="2" t="s">
        <v>11037</v>
      </c>
      <c r="P1363" s="2" t="s">
        <v>11038</v>
      </c>
      <c r="Q1363" s="2">
        <f>AVERAGE(PerfRate[[#This Row],[EnvironmentSatisfaction]],PerfRate[[#This Row],[JobSatisfaction]],PerfRate[[#This Row],[RelationshipSatisfaction]])</f>
        <v>4</v>
      </c>
      <c r="R1363" s="2">
        <f>PerfRate[[#This Row],[ManagerRating]] - PerfRate[[#This Row],[SelfRating]]</f>
        <v>0</v>
      </c>
    </row>
    <row r="1364" spans="1:18">
      <c r="A1364" s="2" t="s">
        <v>5671</v>
      </c>
      <c r="B1364" s="2" t="s">
        <v>937</v>
      </c>
      <c r="C1364" s="1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  <c r="L1364" s="2" t="s">
        <v>11029</v>
      </c>
      <c r="M1364" s="2" t="s">
        <v>11029</v>
      </c>
      <c r="N1364" s="2" t="s">
        <v>11037</v>
      </c>
      <c r="O1364" s="2" t="s">
        <v>11037</v>
      </c>
      <c r="P1364" s="2" t="s">
        <v>11037</v>
      </c>
      <c r="Q1364" s="2">
        <f>AVERAGE(PerfRate[[#This Row],[EnvironmentSatisfaction]],PerfRate[[#This Row],[JobSatisfaction]],PerfRate[[#This Row],[RelationshipSatisfaction]])</f>
        <v>4</v>
      </c>
      <c r="R1364" s="2">
        <f>PerfRate[[#This Row],[ManagerRating]] - PerfRate[[#This Row],[SelfRating]]</f>
        <v>0</v>
      </c>
    </row>
    <row r="1365" spans="1:18">
      <c r="A1365" s="2" t="s">
        <v>5672</v>
      </c>
      <c r="B1365" s="2" t="s">
        <v>1139</v>
      </c>
      <c r="C1365" s="1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  <c r="L1365" s="2" t="s">
        <v>11030</v>
      </c>
      <c r="M1365" s="2" t="s">
        <v>11029</v>
      </c>
      <c r="N1365" s="2" t="s">
        <v>11036</v>
      </c>
      <c r="O1365" s="2" t="s">
        <v>11037</v>
      </c>
      <c r="P1365" s="2" t="s">
        <v>11035</v>
      </c>
      <c r="Q1365" s="2">
        <f>AVERAGE(PerfRate[[#This Row],[EnvironmentSatisfaction]],PerfRate[[#This Row],[JobSatisfaction]],PerfRate[[#This Row],[RelationshipSatisfaction]])</f>
        <v>3</v>
      </c>
      <c r="R1365" s="2">
        <f>PerfRate[[#This Row],[ManagerRating]] - PerfRate[[#This Row],[SelfRating]]</f>
        <v>-1</v>
      </c>
    </row>
    <row r="1366" spans="1:18">
      <c r="A1366" s="2" t="s">
        <v>5673</v>
      </c>
      <c r="B1366" s="2" t="s">
        <v>2669</v>
      </c>
      <c r="C1366" s="1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  <c r="L1366" s="2" t="s">
        <v>11029</v>
      </c>
      <c r="M1366" s="2" t="s">
        <v>11029</v>
      </c>
      <c r="N1366" s="2" t="s">
        <v>11038</v>
      </c>
      <c r="O1366" s="2" t="s">
        <v>11035</v>
      </c>
      <c r="P1366" s="2" t="s">
        <v>11038</v>
      </c>
      <c r="Q1366" s="2">
        <f>AVERAGE(PerfRate[[#This Row],[EnvironmentSatisfaction]],PerfRate[[#This Row],[JobSatisfaction]],PerfRate[[#This Row],[RelationshipSatisfaction]])</f>
        <v>4</v>
      </c>
      <c r="R1366" s="2">
        <f>PerfRate[[#This Row],[ManagerRating]] - PerfRate[[#This Row],[SelfRating]]</f>
        <v>0</v>
      </c>
    </row>
    <row r="1367" spans="1:18">
      <c r="A1367" s="2" t="s">
        <v>5674</v>
      </c>
      <c r="B1367" s="2" t="s">
        <v>2112</v>
      </c>
      <c r="C1367" s="1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  <c r="L1367" s="2" t="s">
        <v>11029</v>
      </c>
      <c r="M1367" s="2" t="s">
        <v>11028</v>
      </c>
      <c r="N1367" s="2" t="s">
        <v>11037</v>
      </c>
      <c r="O1367" s="2" t="s">
        <v>11037</v>
      </c>
      <c r="P1367" s="2" t="s">
        <v>11037</v>
      </c>
      <c r="Q1367" s="2">
        <f>AVERAGE(PerfRate[[#This Row],[EnvironmentSatisfaction]],PerfRate[[#This Row],[JobSatisfaction]],PerfRate[[#This Row],[RelationshipSatisfaction]])</f>
        <v>4</v>
      </c>
      <c r="R1367" s="2">
        <f>PerfRate[[#This Row],[ManagerRating]] - PerfRate[[#This Row],[SelfRating]]</f>
        <v>-1</v>
      </c>
    </row>
    <row r="1368" spans="1:18">
      <c r="A1368" s="2" t="s">
        <v>5675</v>
      </c>
      <c r="B1368" s="2" t="s">
        <v>1111</v>
      </c>
      <c r="C1368" s="1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  <c r="L1368" s="2" t="s">
        <v>11029</v>
      </c>
      <c r="M1368" s="2" t="s">
        <v>11029</v>
      </c>
      <c r="N1368" s="2" t="s">
        <v>11037</v>
      </c>
      <c r="O1368" s="2" t="s">
        <v>11036</v>
      </c>
      <c r="P1368" s="2" t="s">
        <v>11038</v>
      </c>
      <c r="Q1368" s="2">
        <f>AVERAGE(PerfRate[[#This Row],[EnvironmentSatisfaction]],PerfRate[[#This Row],[JobSatisfaction]],PerfRate[[#This Row],[RelationshipSatisfaction]])</f>
        <v>4</v>
      </c>
      <c r="R1368" s="2">
        <f>PerfRate[[#This Row],[ManagerRating]] - PerfRate[[#This Row],[SelfRating]]</f>
        <v>0</v>
      </c>
    </row>
    <row r="1369" spans="1:18">
      <c r="A1369" s="2" t="s">
        <v>5676</v>
      </c>
      <c r="B1369" s="2" t="s">
        <v>532</v>
      </c>
      <c r="C1369" s="1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  <c r="L1369" s="2" t="s">
        <v>11030</v>
      </c>
      <c r="M1369" s="2" t="s">
        <v>11029</v>
      </c>
      <c r="N1369" s="2" t="s">
        <v>11038</v>
      </c>
      <c r="O1369" s="2" t="s">
        <v>11036</v>
      </c>
      <c r="P1369" s="2" t="s">
        <v>11038</v>
      </c>
      <c r="Q1369" s="2">
        <f>AVERAGE(PerfRate[[#This Row],[EnvironmentSatisfaction]],PerfRate[[#This Row],[JobSatisfaction]],PerfRate[[#This Row],[RelationshipSatisfaction]])</f>
        <v>4.333333333333333</v>
      </c>
      <c r="R1369" s="2">
        <f>PerfRate[[#This Row],[ManagerRating]] - PerfRate[[#This Row],[SelfRating]]</f>
        <v>-1</v>
      </c>
    </row>
    <row r="1370" spans="1:18">
      <c r="A1370" s="2" t="s">
        <v>5677</v>
      </c>
      <c r="B1370" s="2" t="s">
        <v>3320</v>
      </c>
      <c r="C1370" s="1">
        <v>43135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  <c r="L1370" s="2" t="s">
        <v>11030</v>
      </c>
      <c r="M1370" s="2" t="s">
        <v>11029</v>
      </c>
      <c r="N1370" s="2" t="s">
        <v>11037</v>
      </c>
      <c r="O1370" s="2" t="s">
        <v>11038</v>
      </c>
      <c r="P1370" s="2" t="s">
        <v>11037</v>
      </c>
      <c r="Q1370" s="2">
        <f>AVERAGE(PerfRate[[#This Row],[EnvironmentSatisfaction]],PerfRate[[#This Row],[JobSatisfaction]],PerfRate[[#This Row],[RelationshipSatisfaction]])</f>
        <v>4.333333333333333</v>
      </c>
      <c r="R1370" s="2">
        <f>PerfRate[[#This Row],[ManagerRating]] - PerfRate[[#This Row],[SelfRating]]</f>
        <v>-1</v>
      </c>
    </row>
    <row r="1371" spans="1:18">
      <c r="A1371" s="2" t="s">
        <v>5678</v>
      </c>
      <c r="B1371" s="2" t="s">
        <v>160</v>
      </c>
      <c r="C1371" s="1">
        <v>43135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  <c r="L1371" s="2" t="s">
        <v>11029</v>
      </c>
      <c r="M1371" s="2" t="s">
        <v>11028</v>
      </c>
      <c r="N1371" s="2" t="s">
        <v>11036</v>
      </c>
      <c r="O1371" s="2" t="s">
        <v>11037</v>
      </c>
      <c r="P1371" s="2" t="s">
        <v>11035</v>
      </c>
      <c r="Q1371" s="2">
        <f>AVERAGE(PerfRate[[#This Row],[EnvironmentSatisfaction]],PerfRate[[#This Row],[JobSatisfaction]],PerfRate[[#This Row],[RelationshipSatisfaction]])</f>
        <v>3</v>
      </c>
      <c r="R1371" s="2">
        <f>PerfRate[[#This Row],[ManagerRating]] - PerfRate[[#This Row],[SelfRating]]</f>
        <v>-1</v>
      </c>
    </row>
    <row r="1372" spans="1:18">
      <c r="A1372" s="2" t="s">
        <v>5679</v>
      </c>
      <c r="B1372" s="2" t="s">
        <v>753</v>
      </c>
      <c r="C1372" s="1">
        <v>43135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  <c r="L1372" s="2" t="s">
        <v>11029</v>
      </c>
      <c r="M1372" s="2" t="s">
        <v>11029</v>
      </c>
      <c r="N1372" s="2" t="s">
        <v>11036</v>
      </c>
      <c r="O1372" s="2" t="s">
        <v>11037</v>
      </c>
      <c r="P1372" s="2" t="s">
        <v>11037</v>
      </c>
      <c r="Q1372" s="2">
        <f>AVERAGE(PerfRate[[#This Row],[EnvironmentSatisfaction]],PerfRate[[#This Row],[JobSatisfaction]],PerfRate[[#This Row],[RelationshipSatisfaction]])</f>
        <v>3.6666666666666665</v>
      </c>
      <c r="R1372" s="2">
        <f>PerfRate[[#This Row],[ManagerRating]] - PerfRate[[#This Row],[SelfRating]]</f>
        <v>0</v>
      </c>
    </row>
    <row r="1373" spans="1:18">
      <c r="A1373" s="2" t="s">
        <v>5680</v>
      </c>
      <c r="B1373" s="2" t="s">
        <v>1108</v>
      </c>
      <c r="C1373" s="1">
        <v>43135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  <c r="L1373" s="2" t="s">
        <v>11031</v>
      </c>
      <c r="M1373" s="2" t="s">
        <v>11031</v>
      </c>
      <c r="N1373" s="2" t="s">
        <v>11038</v>
      </c>
      <c r="O1373" s="2" t="s">
        <v>11037</v>
      </c>
      <c r="P1373" s="2" t="s">
        <v>11038</v>
      </c>
      <c r="Q1373" s="2">
        <f>AVERAGE(PerfRate[[#This Row],[EnvironmentSatisfaction]],PerfRate[[#This Row],[JobSatisfaction]],PerfRate[[#This Row],[RelationshipSatisfaction]])</f>
        <v>4.666666666666667</v>
      </c>
      <c r="R1373" s="2">
        <f>PerfRate[[#This Row],[ManagerRating]] - PerfRate[[#This Row],[SelfRating]]</f>
        <v>0</v>
      </c>
    </row>
    <row r="1374" spans="1:18">
      <c r="A1374" s="2" t="s">
        <v>5681</v>
      </c>
      <c r="B1374" s="2" t="s">
        <v>1189</v>
      </c>
      <c r="C1374" s="1">
        <v>43163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  <c r="L1374" s="2" t="s">
        <v>11029</v>
      </c>
      <c r="M1374" s="2" t="s">
        <v>11028</v>
      </c>
      <c r="N1374" s="2" t="s">
        <v>11038</v>
      </c>
      <c r="O1374" s="2" t="s">
        <v>11036</v>
      </c>
      <c r="P1374" s="2" t="s">
        <v>11036</v>
      </c>
      <c r="Q1374" s="2">
        <f>AVERAGE(PerfRate[[#This Row],[EnvironmentSatisfaction]],PerfRate[[#This Row],[JobSatisfaction]],PerfRate[[#This Row],[RelationshipSatisfaction]])</f>
        <v>3.6666666666666665</v>
      </c>
      <c r="R1374" s="2">
        <f>PerfRate[[#This Row],[ManagerRating]] - PerfRate[[#This Row],[SelfRating]]</f>
        <v>-1</v>
      </c>
    </row>
    <row r="1375" spans="1:18">
      <c r="A1375" s="2" t="s">
        <v>5682</v>
      </c>
      <c r="B1375" s="2" t="s">
        <v>1529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  <c r="L1375" s="2" t="s">
        <v>11030</v>
      </c>
      <c r="M1375" s="2" t="s">
        <v>11029</v>
      </c>
      <c r="N1375" s="2" t="s">
        <v>11038</v>
      </c>
      <c r="O1375" s="2" t="s">
        <v>11036</v>
      </c>
      <c r="P1375" s="2" t="s">
        <v>11036</v>
      </c>
      <c r="Q1375" s="2">
        <f>AVERAGE(PerfRate[[#This Row],[EnvironmentSatisfaction]],PerfRate[[#This Row],[JobSatisfaction]],PerfRate[[#This Row],[RelationshipSatisfaction]])</f>
        <v>3.6666666666666665</v>
      </c>
      <c r="R1375" s="2">
        <f>PerfRate[[#This Row],[ManagerRating]] - PerfRate[[#This Row],[SelfRating]]</f>
        <v>-1</v>
      </c>
    </row>
    <row r="1376" spans="1:18">
      <c r="A1376" s="2" t="s">
        <v>5683</v>
      </c>
      <c r="B1376" s="2" t="s">
        <v>1474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  <c r="L1376" s="2" t="s">
        <v>11031</v>
      </c>
      <c r="M1376" s="2" t="s">
        <v>11031</v>
      </c>
      <c r="N1376" s="2" t="s">
        <v>11037</v>
      </c>
      <c r="O1376" s="2" t="s">
        <v>11036</v>
      </c>
      <c r="P1376" s="2" t="s">
        <v>11037</v>
      </c>
      <c r="Q1376" s="2">
        <f>AVERAGE(PerfRate[[#This Row],[EnvironmentSatisfaction]],PerfRate[[#This Row],[JobSatisfaction]],PerfRate[[#This Row],[RelationshipSatisfaction]])</f>
        <v>3.6666666666666665</v>
      </c>
      <c r="R1376" s="2">
        <f>PerfRate[[#This Row],[ManagerRating]] - PerfRate[[#This Row],[SelfRating]]</f>
        <v>0</v>
      </c>
    </row>
    <row r="1377" spans="1:18">
      <c r="A1377" s="2" t="s">
        <v>5684</v>
      </c>
      <c r="B1377" s="2" t="s">
        <v>455</v>
      </c>
      <c r="C1377" s="1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  <c r="L1377" s="2" t="s">
        <v>11029</v>
      </c>
      <c r="M1377" s="2" t="s">
        <v>11029</v>
      </c>
      <c r="N1377" s="2" t="s">
        <v>11038</v>
      </c>
      <c r="O1377" s="2" t="s">
        <v>11035</v>
      </c>
      <c r="P1377" s="2" t="s">
        <v>11035</v>
      </c>
      <c r="Q1377" s="2">
        <f>AVERAGE(PerfRate[[#This Row],[EnvironmentSatisfaction]],PerfRate[[#This Row],[JobSatisfaction]],PerfRate[[#This Row],[RelationshipSatisfaction]])</f>
        <v>3</v>
      </c>
      <c r="R1377" s="2">
        <f>PerfRate[[#This Row],[ManagerRating]] - PerfRate[[#This Row],[SelfRating]]</f>
        <v>0</v>
      </c>
    </row>
    <row r="1378" spans="1:18">
      <c r="A1378" s="2" t="s">
        <v>5685</v>
      </c>
      <c r="B1378" s="2" t="s">
        <v>687</v>
      </c>
      <c r="C1378" s="1">
        <v>43224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  <c r="L1378" s="2" t="s">
        <v>11029</v>
      </c>
      <c r="M1378" s="2" t="s">
        <v>11029</v>
      </c>
      <c r="N1378" s="2" t="s">
        <v>11037</v>
      </c>
      <c r="O1378" s="2" t="s">
        <v>11038</v>
      </c>
      <c r="P1378" s="2" t="s">
        <v>11037</v>
      </c>
      <c r="Q1378" s="2">
        <f>AVERAGE(PerfRate[[#This Row],[EnvironmentSatisfaction]],PerfRate[[#This Row],[JobSatisfaction]],PerfRate[[#This Row],[RelationshipSatisfaction]])</f>
        <v>4.333333333333333</v>
      </c>
      <c r="R1378" s="2">
        <f>PerfRate[[#This Row],[ManagerRating]] - PerfRate[[#This Row],[SelfRating]]</f>
        <v>0</v>
      </c>
    </row>
    <row r="1379" spans="1:18">
      <c r="A1379" s="2" t="s">
        <v>5686</v>
      </c>
      <c r="B1379" s="2" t="s">
        <v>2792</v>
      </c>
      <c r="C1379" s="1">
        <v>43224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  <c r="L1379" s="2" t="s">
        <v>11029</v>
      </c>
      <c r="M1379" s="2" t="s">
        <v>11028</v>
      </c>
      <c r="N1379" s="2" t="s">
        <v>11036</v>
      </c>
      <c r="O1379" s="2" t="s">
        <v>11036</v>
      </c>
      <c r="P1379" s="2" t="s">
        <v>11038</v>
      </c>
      <c r="Q1379" s="2">
        <f>AVERAGE(PerfRate[[#This Row],[EnvironmentSatisfaction]],PerfRate[[#This Row],[JobSatisfaction]],PerfRate[[#This Row],[RelationshipSatisfaction]])</f>
        <v>3.6666666666666665</v>
      </c>
      <c r="R1379" s="2">
        <f>PerfRate[[#This Row],[ManagerRating]] - PerfRate[[#This Row],[SelfRating]]</f>
        <v>-1</v>
      </c>
    </row>
    <row r="1380" spans="1:18">
      <c r="A1380" s="2" t="s">
        <v>5687</v>
      </c>
      <c r="B1380" s="2" t="s">
        <v>2981</v>
      </c>
      <c r="C1380" s="1">
        <v>43224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  <c r="L1380" s="2" t="s">
        <v>11031</v>
      </c>
      <c r="M1380" s="2" t="s">
        <v>11031</v>
      </c>
      <c r="N1380" s="2" t="s">
        <v>11037</v>
      </c>
      <c r="O1380" s="2" t="s">
        <v>11035</v>
      </c>
      <c r="P1380" s="2" t="s">
        <v>11035</v>
      </c>
      <c r="Q1380" s="2">
        <f>AVERAGE(PerfRate[[#This Row],[EnvironmentSatisfaction]],PerfRate[[#This Row],[JobSatisfaction]],PerfRate[[#This Row],[RelationshipSatisfaction]])</f>
        <v>2.6666666666666665</v>
      </c>
      <c r="R1380" s="2">
        <f>PerfRate[[#This Row],[ManagerRating]] - PerfRate[[#This Row],[SelfRating]]</f>
        <v>0</v>
      </c>
    </row>
    <row r="1381" spans="1:18">
      <c r="A1381" s="2" t="s">
        <v>5688</v>
      </c>
      <c r="B1381" s="2" t="s">
        <v>1227</v>
      </c>
      <c r="C1381" s="1">
        <v>43224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  <c r="L1381" s="2" t="s">
        <v>11031</v>
      </c>
      <c r="M1381" s="2" t="s">
        <v>11030</v>
      </c>
      <c r="N1381" s="2" t="s">
        <v>11037</v>
      </c>
      <c r="O1381" s="2" t="s">
        <v>11035</v>
      </c>
      <c r="P1381" s="2" t="s">
        <v>11037</v>
      </c>
      <c r="Q1381" s="2">
        <f>AVERAGE(PerfRate[[#This Row],[EnvironmentSatisfaction]],PerfRate[[#This Row],[JobSatisfaction]],PerfRate[[#This Row],[RelationshipSatisfaction]])</f>
        <v>3.3333333333333335</v>
      </c>
      <c r="R1381" s="2">
        <f>PerfRate[[#This Row],[ManagerRating]] - PerfRate[[#This Row],[SelfRating]]</f>
        <v>-1</v>
      </c>
    </row>
    <row r="1382" spans="1:18">
      <c r="A1382" s="2" t="s">
        <v>5689</v>
      </c>
      <c r="B1382" s="2" t="s">
        <v>296</v>
      </c>
      <c r="C1382" s="1">
        <v>43255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  <c r="L1382" s="2" t="s">
        <v>11029</v>
      </c>
      <c r="M1382" s="2" t="s">
        <v>11029</v>
      </c>
      <c r="N1382" s="2" t="s">
        <v>11036</v>
      </c>
      <c r="O1382" s="2" t="s">
        <v>11038</v>
      </c>
      <c r="P1382" s="2" t="s">
        <v>11035</v>
      </c>
      <c r="Q1382" s="2">
        <f>AVERAGE(PerfRate[[#This Row],[EnvironmentSatisfaction]],PerfRate[[#This Row],[JobSatisfaction]],PerfRate[[#This Row],[RelationshipSatisfaction]])</f>
        <v>3.3333333333333335</v>
      </c>
      <c r="R1382" s="2">
        <f>PerfRate[[#This Row],[ManagerRating]] - PerfRate[[#This Row],[SelfRating]]</f>
        <v>0</v>
      </c>
    </row>
    <row r="1383" spans="1:18">
      <c r="A1383" s="2" t="s">
        <v>5690</v>
      </c>
      <c r="B1383" s="2" t="s">
        <v>42</v>
      </c>
      <c r="C1383" s="1">
        <v>43316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  <c r="L1383" s="2" t="s">
        <v>11029</v>
      </c>
      <c r="M1383" s="2" t="s">
        <v>11028</v>
      </c>
      <c r="N1383" s="2" t="s">
        <v>11038</v>
      </c>
      <c r="O1383" s="2" t="s">
        <v>11037</v>
      </c>
      <c r="P1383" s="2" t="s">
        <v>11037</v>
      </c>
      <c r="Q1383" s="2">
        <f>AVERAGE(PerfRate[[#This Row],[EnvironmentSatisfaction]],PerfRate[[#This Row],[JobSatisfaction]],PerfRate[[#This Row],[RelationshipSatisfaction]])</f>
        <v>4.333333333333333</v>
      </c>
      <c r="R1383" s="2">
        <f>PerfRate[[#This Row],[ManagerRating]] - PerfRate[[#This Row],[SelfRating]]</f>
        <v>-1</v>
      </c>
    </row>
    <row r="1384" spans="1:18">
      <c r="A1384" s="2" t="s">
        <v>5691</v>
      </c>
      <c r="B1384" s="2" t="s">
        <v>779</v>
      </c>
      <c r="C1384" s="1">
        <v>43347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  <c r="L1384" s="2" t="s">
        <v>11030</v>
      </c>
      <c r="M1384" s="2" t="s">
        <v>11030</v>
      </c>
      <c r="N1384" s="2" t="s">
        <v>11038</v>
      </c>
      <c r="O1384" s="2" t="s">
        <v>11038</v>
      </c>
      <c r="P1384" s="2" t="s">
        <v>11038</v>
      </c>
      <c r="Q1384" s="2">
        <f>AVERAGE(PerfRate[[#This Row],[EnvironmentSatisfaction]],PerfRate[[#This Row],[JobSatisfaction]],PerfRate[[#This Row],[RelationshipSatisfaction]])</f>
        <v>5</v>
      </c>
      <c r="R1384" s="2">
        <f>PerfRate[[#This Row],[ManagerRating]] - PerfRate[[#This Row],[SelfRating]]</f>
        <v>0</v>
      </c>
    </row>
    <row r="1385" spans="1:18">
      <c r="A1385" s="2" t="s">
        <v>5692</v>
      </c>
      <c r="B1385" s="2" t="s">
        <v>3986</v>
      </c>
      <c r="C1385" s="1">
        <v>43347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  <c r="L1385" s="2" t="s">
        <v>11029</v>
      </c>
      <c r="M1385" s="2" t="s">
        <v>11028</v>
      </c>
      <c r="N1385" s="2" t="s">
        <v>11036</v>
      </c>
      <c r="O1385" s="2" t="s">
        <v>11038</v>
      </c>
      <c r="P1385" s="2" t="s">
        <v>11037</v>
      </c>
      <c r="Q1385" s="2">
        <f>AVERAGE(PerfRate[[#This Row],[EnvironmentSatisfaction]],PerfRate[[#This Row],[JobSatisfaction]],PerfRate[[#This Row],[RelationshipSatisfaction]])</f>
        <v>4</v>
      </c>
      <c r="R1385" s="2">
        <f>PerfRate[[#This Row],[ManagerRating]] - PerfRate[[#This Row],[SelfRating]]</f>
        <v>-1</v>
      </c>
    </row>
    <row r="1386" spans="1:18">
      <c r="A1386" s="2" t="s">
        <v>5693</v>
      </c>
      <c r="B1386" s="2" t="s">
        <v>1389</v>
      </c>
      <c r="C1386" s="1">
        <v>43347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  <c r="L1386" s="2" t="s">
        <v>11029</v>
      </c>
      <c r="M1386" s="2" t="s">
        <v>11028</v>
      </c>
      <c r="N1386" s="2" t="s">
        <v>11038</v>
      </c>
      <c r="O1386" s="2" t="s">
        <v>11038</v>
      </c>
      <c r="P1386" s="2" t="s">
        <v>11035</v>
      </c>
      <c r="Q1386" s="2">
        <f>AVERAGE(PerfRate[[#This Row],[EnvironmentSatisfaction]],PerfRate[[#This Row],[JobSatisfaction]],PerfRate[[#This Row],[RelationshipSatisfaction]])</f>
        <v>4</v>
      </c>
      <c r="R1386" s="2">
        <f>PerfRate[[#This Row],[ManagerRating]] - PerfRate[[#This Row],[SelfRating]]</f>
        <v>-1</v>
      </c>
    </row>
    <row r="1387" spans="1:18">
      <c r="A1387" s="2" t="s">
        <v>5694</v>
      </c>
      <c r="B1387" s="2" t="s">
        <v>323</v>
      </c>
      <c r="C1387" s="1">
        <v>43377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  <c r="L1387" s="2" t="s">
        <v>11031</v>
      </c>
      <c r="M1387" s="2" t="s">
        <v>11030</v>
      </c>
      <c r="N1387" s="2" t="s">
        <v>11038</v>
      </c>
      <c r="O1387" s="2" t="s">
        <v>11036</v>
      </c>
      <c r="P1387" s="2" t="s">
        <v>11037</v>
      </c>
      <c r="Q1387" s="2">
        <f>AVERAGE(PerfRate[[#This Row],[EnvironmentSatisfaction]],PerfRate[[#This Row],[JobSatisfaction]],PerfRate[[#This Row],[RelationshipSatisfaction]])</f>
        <v>4</v>
      </c>
      <c r="R1387" s="2">
        <f>PerfRate[[#This Row],[ManagerRating]] - PerfRate[[#This Row],[SelfRating]]</f>
        <v>-1</v>
      </c>
    </row>
    <row r="1388" spans="1:18">
      <c r="A1388" s="2" t="s">
        <v>5695</v>
      </c>
      <c r="B1388" s="2" t="s">
        <v>2641</v>
      </c>
      <c r="C1388" s="1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  <c r="L1388" s="2" t="s">
        <v>11029</v>
      </c>
      <c r="M1388" s="2" t="s">
        <v>11028</v>
      </c>
      <c r="N1388" s="2" t="s">
        <v>11036</v>
      </c>
      <c r="O1388" s="2" t="s">
        <v>11036</v>
      </c>
      <c r="P1388" s="2" t="s">
        <v>11035</v>
      </c>
      <c r="Q1388" s="2">
        <f>AVERAGE(PerfRate[[#This Row],[EnvironmentSatisfaction]],PerfRate[[#This Row],[JobSatisfaction]],PerfRate[[#This Row],[RelationshipSatisfaction]])</f>
        <v>2.6666666666666665</v>
      </c>
      <c r="R1388" s="2">
        <f>PerfRate[[#This Row],[ManagerRating]] - PerfRate[[#This Row],[SelfRating]]</f>
        <v>-1</v>
      </c>
    </row>
    <row r="1389" spans="1:18">
      <c r="A1389" s="2" t="s">
        <v>5696</v>
      </c>
      <c r="B1389" s="2" t="s">
        <v>723</v>
      </c>
      <c r="C1389" s="1">
        <v>43377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  <c r="L1389" s="2" t="s">
        <v>11030</v>
      </c>
      <c r="M1389" s="2" t="s">
        <v>11030</v>
      </c>
      <c r="N1389" s="2" t="s">
        <v>11037</v>
      </c>
      <c r="O1389" s="2" t="s">
        <v>11037</v>
      </c>
      <c r="P1389" s="2" t="s">
        <v>11038</v>
      </c>
      <c r="Q1389" s="2">
        <f>AVERAGE(PerfRate[[#This Row],[EnvironmentSatisfaction]],PerfRate[[#This Row],[JobSatisfaction]],PerfRate[[#This Row],[RelationshipSatisfaction]])</f>
        <v>4.333333333333333</v>
      </c>
      <c r="R1389" s="2">
        <f>PerfRate[[#This Row],[ManagerRating]] - PerfRate[[#This Row],[SelfRating]]</f>
        <v>0</v>
      </c>
    </row>
    <row r="1390" spans="1:18">
      <c r="A1390" s="2" t="s">
        <v>5697</v>
      </c>
      <c r="B1390" s="2" t="s">
        <v>1338</v>
      </c>
      <c r="C1390" s="1">
        <v>43377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  <c r="L1390" s="2" t="s">
        <v>11030</v>
      </c>
      <c r="M1390" s="2" t="s">
        <v>11030</v>
      </c>
      <c r="N1390" s="2" t="s">
        <v>11036</v>
      </c>
      <c r="O1390" s="2" t="s">
        <v>11038</v>
      </c>
      <c r="P1390" s="2" t="s">
        <v>11038</v>
      </c>
      <c r="Q1390" s="2">
        <f>AVERAGE(PerfRate[[#This Row],[EnvironmentSatisfaction]],PerfRate[[#This Row],[JobSatisfaction]],PerfRate[[#This Row],[RelationshipSatisfaction]])</f>
        <v>4.333333333333333</v>
      </c>
      <c r="R1390" s="2">
        <f>PerfRate[[#This Row],[ManagerRating]] - PerfRate[[#This Row],[SelfRating]]</f>
        <v>0</v>
      </c>
    </row>
    <row r="1391" spans="1:18">
      <c r="A1391" s="2" t="s">
        <v>5698</v>
      </c>
      <c r="B1391" s="2" t="s">
        <v>395</v>
      </c>
      <c r="C1391" s="1">
        <v>43408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  <c r="L1391" s="2" t="s">
        <v>11031</v>
      </c>
      <c r="M1391" s="2" t="s">
        <v>11031</v>
      </c>
      <c r="N1391" s="2" t="s">
        <v>11037</v>
      </c>
      <c r="O1391" s="2" t="s">
        <v>11036</v>
      </c>
      <c r="P1391" s="2" t="s">
        <v>11036</v>
      </c>
      <c r="Q1391" s="2">
        <f>AVERAGE(PerfRate[[#This Row],[EnvironmentSatisfaction]],PerfRate[[#This Row],[JobSatisfaction]],PerfRate[[#This Row],[RelationshipSatisfaction]])</f>
        <v>3.3333333333333335</v>
      </c>
      <c r="R1391" s="2">
        <f>PerfRate[[#This Row],[ManagerRating]] - PerfRate[[#This Row],[SelfRating]]</f>
        <v>0</v>
      </c>
    </row>
    <row r="1392" spans="1:18">
      <c r="A1392" s="2" t="s">
        <v>5699</v>
      </c>
      <c r="B1392" s="2" t="s">
        <v>3448</v>
      </c>
      <c r="C1392" s="1">
        <v>43408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  <c r="L1392" s="2" t="s">
        <v>11029</v>
      </c>
      <c r="M1392" s="2" t="s">
        <v>11028</v>
      </c>
      <c r="N1392" s="2" t="s">
        <v>11036</v>
      </c>
      <c r="O1392" s="2" t="s">
        <v>11035</v>
      </c>
      <c r="P1392" s="2" t="s">
        <v>11036</v>
      </c>
      <c r="Q1392" s="2">
        <f>AVERAGE(PerfRate[[#This Row],[EnvironmentSatisfaction]],PerfRate[[#This Row],[JobSatisfaction]],PerfRate[[#This Row],[RelationshipSatisfaction]])</f>
        <v>2.6666666666666665</v>
      </c>
      <c r="R1392" s="2">
        <f>PerfRate[[#This Row],[ManagerRating]] - PerfRate[[#This Row],[SelfRating]]</f>
        <v>-1</v>
      </c>
    </row>
    <row r="1393" spans="1:18">
      <c r="A1393" s="2" t="s">
        <v>5700</v>
      </c>
      <c r="B1393" s="2" t="s">
        <v>3490</v>
      </c>
      <c r="C1393" s="1">
        <v>43408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  <c r="L1393" s="2" t="s">
        <v>11031</v>
      </c>
      <c r="M1393" s="2" t="s">
        <v>11030</v>
      </c>
      <c r="N1393" s="2" t="s">
        <v>11038</v>
      </c>
      <c r="O1393" s="2" t="s">
        <v>11037</v>
      </c>
      <c r="P1393" s="2" t="s">
        <v>11035</v>
      </c>
      <c r="Q1393" s="2">
        <f>AVERAGE(PerfRate[[#This Row],[EnvironmentSatisfaction]],PerfRate[[#This Row],[JobSatisfaction]],PerfRate[[#This Row],[RelationshipSatisfaction]])</f>
        <v>3.6666666666666665</v>
      </c>
      <c r="R1393" s="2">
        <f>PerfRate[[#This Row],[ManagerRating]] - PerfRate[[#This Row],[SelfRating]]</f>
        <v>-1</v>
      </c>
    </row>
    <row r="1394" spans="1:18">
      <c r="A1394" s="2" t="s">
        <v>5701</v>
      </c>
      <c r="B1394" s="2" t="s">
        <v>1166</v>
      </c>
      <c r="C1394" s="1">
        <v>43408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  <c r="L1394" s="2" t="s">
        <v>11030</v>
      </c>
      <c r="M1394" s="2" t="s">
        <v>11030</v>
      </c>
      <c r="N1394" s="2" t="s">
        <v>11038</v>
      </c>
      <c r="O1394" s="2" t="s">
        <v>11036</v>
      </c>
      <c r="P1394" s="2" t="s">
        <v>11037</v>
      </c>
      <c r="Q1394" s="2">
        <f>AVERAGE(PerfRate[[#This Row],[EnvironmentSatisfaction]],PerfRate[[#This Row],[JobSatisfaction]],PerfRate[[#This Row],[RelationshipSatisfaction]])</f>
        <v>4</v>
      </c>
      <c r="R1394" s="2">
        <f>PerfRate[[#This Row],[ManagerRating]] - PerfRate[[#This Row],[SelfRating]]</f>
        <v>0</v>
      </c>
    </row>
    <row r="1395" spans="1:18">
      <c r="A1395" s="2" t="s">
        <v>5702</v>
      </c>
      <c r="B1395" s="2" t="s">
        <v>771</v>
      </c>
      <c r="C1395" s="1">
        <v>43438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  <c r="L1395" s="2" t="s">
        <v>11030</v>
      </c>
      <c r="M1395" s="2" t="s">
        <v>11030</v>
      </c>
      <c r="N1395" s="2" t="s">
        <v>11038</v>
      </c>
      <c r="O1395" s="2" t="s">
        <v>11036</v>
      </c>
      <c r="P1395" s="2" t="s">
        <v>11035</v>
      </c>
      <c r="Q1395" s="2">
        <f>AVERAGE(PerfRate[[#This Row],[EnvironmentSatisfaction]],PerfRate[[#This Row],[JobSatisfaction]],PerfRate[[#This Row],[RelationshipSatisfaction]])</f>
        <v>3.3333333333333335</v>
      </c>
      <c r="R1395" s="2">
        <f>PerfRate[[#This Row],[ManagerRating]] - PerfRate[[#This Row],[SelfRating]]</f>
        <v>0</v>
      </c>
    </row>
    <row r="1396" spans="1:18">
      <c r="A1396" s="2" t="s">
        <v>5703</v>
      </c>
      <c r="B1396" s="2" t="s">
        <v>235</v>
      </c>
      <c r="C1396" s="1">
        <v>43438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  <c r="L1396" s="2" t="s">
        <v>11029</v>
      </c>
      <c r="M1396" s="2" t="s">
        <v>11029</v>
      </c>
      <c r="N1396" s="2" t="s">
        <v>11038</v>
      </c>
      <c r="O1396" s="2" t="s">
        <v>11038</v>
      </c>
      <c r="P1396" s="2" t="s">
        <v>11036</v>
      </c>
      <c r="Q1396" s="2">
        <f>AVERAGE(PerfRate[[#This Row],[EnvironmentSatisfaction]],PerfRate[[#This Row],[JobSatisfaction]],PerfRate[[#This Row],[RelationshipSatisfaction]])</f>
        <v>4.333333333333333</v>
      </c>
      <c r="R1396" s="2">
        <f>PerfRate[[#This Row],[ManagerRating]] - PerfRate[[#This Row],[SelfRating]]</f>
        <v>0</v>
      </c>
    </row>
    <row r="1397" spans="1:18">
      <c r="A1397" s="2" t="s">
        <v>5704</v>
      </c>
      <c r="B1397" s="2" t="s">
        <v>1071</v>
      </c>
      <c r="C1397" s="1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  <c r="L1397" s="2" t="s">
        <v>11029</v>
      </c>
      <c r="M1397" s="2" t="s">
        <v>11029</v>
      </c>
      <c r="N1397" s="2" t="s">
        <v>11036</v>
      </c>
      <c r="O1397" s="2" t="s">
        <v>11036</v>
      </c>
      <c r="P1397" s="2" t="s">
        <v>11036</v>
      </c>
      <c r="Q1397" s="2">
        <f>AVERAGE(PerfRate[[#This Row],[EnvironmentSatisfaction]],PerfRate[[#This Row],[JobSatisfaction]],PerfRate[[#This Row],[RelationshipSatisfaction]])</f>
        <v>3</v>
      </c>
      <c r="R1397" s="2">
        <f>PerfRate[[#This Row],[ManagerRating]] - PerfRate[[#This Row],[SelfRating]]</f>
        <v>0</v>
      </c>
    </row>
    <row r="1398" spans="1:18">
      <c r="A1398" s="2" t="s">
        <v>5705</v>
      </c>
      <c r="B1398" s="2" t="s">
        <v>1779</v>
      </c>
      <c r="C1398" s="1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  <c r="L1398" s="2" t="s">
        <v>11029</v>
      </c>
      <c r="M1398" s="2" t="s">
        <v>11028</v>
      </c>
      <c r="N1398" s="2" t="s">
        <v>11038</v>
      </c>
      <c r="O1398" s="2" t="s">
        <v>11035</v>
      </c>
      <c r="P1398" s="2" t="s">
        <v>11035</v>
      </c>
      <c r="Q1398" s="2">
        <f>AVERAGE(PerfRate[[#This Row],[EnvironmentSatisfaction]],PerfRate[[#This Row],[JobSatisfaction]],PerfRate[[#This Row],[RelationshipSatisfaction]])</f>
        <v>3</v>
      </c>
      <c r="R1398" s="2">
        <f>PerfRate[[#This Row],[ManagerRating]] - PerfRate[[#This Row],[SelfRating]]</f>
        <v>-1</v>
      </c>
    </row>
    <row r="1399" spans="1:18">
      <c r="A1399" s="2" t="s">
        <v>5706</v>
      </c>
      <c r="B1399" s="2" t="s">
        <v>1909</v>
      </c>
      <c r="C1399" s="1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  <c r="L1399" s="2" t="s">
        <v>11029</v>
      </c>
      <c r="M1399" s="2" t="s">
        <v>11029</v>
      </c>
      <c r="N1399" s="2" t="s">
        <v>11036</v>
      </c>
      <c r="O1399" s="2" t="s">
        <v>11038</v>
      </c>
      <c r="P1399" s="2" t="s">
        <v>11037</v>
      </c>
      <c r="Q1399" s="2">
        <f>AVERAGE(PerfRate[[#This Row],[EnvironmentSatisfaction]],PerfRate[[#This Row],[JobSatisfaction]],PerfRate[[#This Row],[RelationshipSatisfaction]])</f>
        <v>4</v>
      </c>
      <c r="R1399" s="2">
        <f>PerfRate[[#This Row],[ManagerRating]] - PerfRate[[#This Row],[SelfRating]]</f>
        <v>0</v>
      </c>
    </row>
    <row r="1400" spans="1:18">
      <c r="A1400" s="2" t="s">
        <v>5707</v>
      </c>
      <c r="B1400" s="2" t="s">
        <v>106</v>
      </c>
      <c r="C1400" s="1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  <c r="L1400" s="2" t="s">
        <v>11030</v>
      </c>
      <c r="M1400" s="2" t="s">
        <v>11030</v>
      </c>
      <c r="N1400" s="2" t="s">
        <v>11037</v>
      </c>
      <c r="O1400" s="2" t="s">
        <v>11037</v>
      </c>
      <c r="P1400" s="2" t="s">
        <v>11038</v>
      </c>
      <c r="Q1400" s="2">
        <f>AVERAGE(PerfRate[[#This Row],[EnvironmentSatisfaction]],PerfRate[[#This Row],[JobSatisfaction]],PerfRate[[#This Row],[RelationshipSatisfaction]])</f>
        <v>4.333333333333333</v>
      </c>
      <c r="R1400" s="2">
        <f>PerfRate[[#This Row],[ManagerRating]] - PerfRate[[#This Row],[SelfRating]]</f>
        <v>0</v>
      </c>
    </row>
    <row r="1401" spans="1:18">
      <c r="A1401" s="2" t="s">
        <v>5708</v>
      </c>
      <c r="B1401" s="2" t="s">
        <v>1303</v>
      </c>
      <c r="C1401" s="1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  <c r="L1401" s="2" t="s">
        <v>11030</v>
      </c>
      <c r="M1401" s="2" t="s">
        <v>11030</v>
      </c>
      <c r="N1401" s="2" t="s">
        <v>11037</v>
      </c>
      <c r="O1401" s="2" t="s">
        <v>11037</v>
      </c>
      <c r="P1401" s="2" t="s">
        <v>11036</v>
      </c>
      <c r="Q1401" s="2">
        <f>AVERAGE(PerfRate[[#This Row],[EnvironmentSatisfaction]],PerfRate[[#This Row],[JobSatisfaction]],PerfRate[[#This Row],[RelationshipSatisfaction]])</f>
        <v>3.6666666666666665</v>
      </c>
      <c r="R1401" s="2">
        <f>PerfRate[[#This Row],[ManagerRating]] - PerfRate[[#This Row],[SelfRating]]</f>
        <v>0</v>
      </c>
    </row>
    <row r="1402" spans="1:18">
      <c r="A1402" s="2" t="s">
        <v>5709</v>
      </c>
      <c r="B1402" s="2" t="s">
        <v>1968</v>
      </c>
      <c r="C1402" s="1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  <c r="L1402" s="2" t="s">
        <v>11031</v>
      </c>
      <c r="M1402" s="2" t="s">
        <v>11030</v>
      </c>
      <c r="N1402" s="2" t="s">
        <v>11037</v>
      </c>
      <c r="O1402" s="2" t="s">
        <v>11037</v>
      </c>
      <c r="P1402" s="2" t="s">
        <v>11036</v>
      </c>
      <c r="Q1402" s="2">
        <f>AVERAGE(PerfRate[[#This Row],[EnvironmentSatisfaction]],PerfRate[[#This Row],[JobSatisfaction]],PerfRate[[#This Row],[RelationshipSatisfaction]])</f>
        <v>3.6666666666666665</v>
      </c>
      <c r="R1402" s="2">
        <f>PerfRate[[#This Row],[ManagerRating]] - PerfRate[[#This Row],[SelfRating]]</f>
        <v>-1</v>
      </c>
    </row>
    <row r="1403" spans="1:18">
      <c r="A1403" s="2" t="s">
        <v>5710</v>
      </c>
      <c r="B1403" s="2" t="s">
        <v>4002</v>
      </c>
      <c r="C1403" s="1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  <c r="L1403" s="2" t="s">
        <v>11029</v>
      </c>
      <c r="M1403" s="2" t="s">
        <v>11029</v>
      </c>
      <c r="N1403" s="2" t="s">
        <v>11038</v>
      </c>
      <c r="O1403" s="2" t="s">
        <v>11035</v>
      </c>
      <c r="P1403" s="2" t="s">
        <v>11036</v>
      </c>
      <c r="Q1403" s="2">
        <f>AVERAGE(PerfRate[[#This Row],[EnvironmentSatisfaction]],PerfRate[[#This Row],[JobSatisfaction]],PerfRate[[#This Row],[RelationshipSatisfaction]])</f>
        <v>3.3333333333333335</v>
      </c>
      <c r="R1403" s="2">
        <f>PerfRate[[#This Row],[ManagerRating]] - PerfRate[[#This Row],[SelfRating]]</f>
        <v>0</v>
      </c>
    </row>
    <row r="1404" spans="1:18">
      <c r="A1404" s="2" t="s">
        <v>5711</v>
      </c>
      <c r="B1404" s="2" t="s">
        <v>189</v>
      </c>
      <c r="C1404" s="1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  <c r="L1404" s="2" t="s">
        <v>11029</v>
      </c>
      <c r="M1404" s="2" t="s">
        <v>11028</v>
      </c>
      <c r="N1404" s="2" t="s">
        <v>11037</v>
      </c>
      <c r="O1404" s="2" t="s">
        <v>11037</v>
      </c>
      <c r="P1404" s="2" t="s">
        <v>11036</v>
      </c>
      <c r="Q1404" s="2">
        <f>AVERAGE(PerfRate[[#This Row],[EnvironmentSatisfaction]],PerfRate[[#This Row],[JobSatisfaction]],PerfRate[[#This Row],[RelationshipSatisfaction]])</f>
        <v>3.6666666666666665</v>
      </c>
      <c r="R1404" s="2">
        <f>PerfRate[[#This Row],[ManagerRating]] - PerfRate[[#This Row],[SelfRating]]</f>
        <v>-1</v>
      </c>
    </row>
    <row r="1405" spans="1:18">
      <c r="A1405" s="2" t="s">
        <v>5712</v>
      </c>
      <c r="B1405" s="2" t="s">
        <v>3594</v>
      </c>
      <c r="C1405" s="1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  <c r="L1405" s="2" t="s">
        <v>11031</v>
      </c>
      <c r="M1405" s="2" t="s">
        <v>11030</v>
      </c>
      <c r="N1405" s="2" t="s">
        <v>11038</v>
      </c>
      <c r="O1405" s="2" t="s">
        <v>11035</v>
      </c>
      <c r="P1405" s="2" t="s">
        <v>11037</v>
      </c>
      <c r="Q1405" s="2">
        <f>AVERAGE(PerfRate[[#This Row],[EnvironmentSatisfaction]],PerfRate[[#This Row],[JobSatisfaction]],PerfRate[[#This Row],[RelationshipSatisfaction]])</f>
        <v>3.6666666666666665</v>
      </c>
      <c r="R1405" s="2">
        <f>PerfRate[[#This Row],[ManagerRating]] - PerfRate[[#This Row],[SelfRating]]</f>
        <v>-1</v>
      </c>
    </row>
    <row r="1406" spans="1:18">
      <c r="A1406" s="2" t="s">
        <v>5713</v>
      </c>
      <c r="B1406" s="2" t="s">
        <v>1569</v>
      </c>
      <c r="C1406" s="1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  <c r="L1406" s="2" t="s">
        <v>11031</v>
      </c>
      <c r="M1406" s="2" t="s">
        <v>11030</v>
      </c>
      <c r="N1406" s="2" t="s">
        <v>11038</v>
      </c>
      <c r="O1406" s="2" t="s">
        <v>11036</v>
      </c>
      <c r="P1406" s="2" t="s">
        <v>11035</v>
      </c>
      <c r="Q1406" s="2">
        <f>AVERAGE(PerfRate[[#This Row],[EnvironmentSatisfaction]],PerfRate[[#This Row],[JobSatisfaction]],PerfRate[[#This Row],[RelationshipSatisfaction]])</f>
        <v>3.3333333333333335</v>
      </c>
      <c r="R1406" s="2">
        <f>PerfRate[[#This Row],[ManagerRating]] - PerfRate[[#This Row],[SelfRating]]</f>
        <v>-1</v>
      </c>
    </row>
    <row r="1407" spans="1:18">
      <c r="A1407" s="2" t="s">
        <v>5714</v>
      </c>
      <c r="B1407" s="2" t="s">
        <v>3881</v>
      </c>
      <c r="C1407" s="1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  <c r="L1407" s="2" t="s">
        <v>11029</v>
      </c>
      <c r="M1407" s="2" t="s">
        <v>11029</v>
      </c>
      <c r="N1407" s="2" t="s">
        <v>11036</v>
      </c>
      <c r="O1407" s="2" t="s">
        <v>11036</v>
      </c>
      <c r="P1407" s="2" t="s">
        <v>11038</v>
      </c>
      <c r="Q1407" s="2">
        <f>AVERAGE(PerfRate[[#This Row],[EnvironmentSatisfaction]],PerfRate[[#This Row],[JobSatisfaction]],PerfRate[[#This Row],[RelationshipSatisfaction]])</f>
        <v>3.6666666666666665</v>
      </c>
      <c r="R1407" s="2">
        <f>PerfRate[[#This Row],[ManagerRating]] - PerfRate[[#This Row],[SelfRating]]</f>
        <v>0</v>
      </c>
    </row>
    <row r="1408" spans="1:18">
      <c r="A1408" s="2" t="s">
        <v>5715</v>
      </c>
      <c r="B1408" s="2" t="s">
        <v>4023</v>
      </c>
      <c r="C1408" s="1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  <c r="L1408" s="2" t="s">
        <v>11030</v>
      </c>
      <c r="M1408" s="2" t="s">
        <v>11029</v>
      </c>
      <c r="N1408" s="2" t="s">
        <v>11037</v>
      </c>
      <c r="O1408" s="2" t="s">
        <v>11035</v>
      </c>
      <c r="P1408" s="2" t="s">
        <v>11036</v>
      </c>
      <c r="Q1408" s="2">
        <f>AVERAGE(PerfRate[[#This Row],[EnvironmentSatisfaction]],PerfRate[[#This Row],[JobSatisfaction]],PerfRate[[#This Row],[RelationshipSatisfaction]])</f>
        <v>3</v>
      </c>
      <c r="R1408" s="2">
        <f>PerfRate[[#This Row],[ManagerRating]] - PerfRate[[#This Row],[SelfRating]]</f>
        <v>-1</v>
      </c>
    </row>
    <row r="1409" spans="1:18">
      <c r="A1409" s="2" t="s">
        <v>5716</v>
      </c>
      <c r="B1409" s="2" t="s">
        <v>562</v>
      </c>
      <c r="C1409" s="1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  <c r="L1409" s="2" t="s">
        <v>11030</v>
      </c>
      <c r="M1409" s="2" t="s">
        <v>11030</v>
      </c>
      <c r="N1409" s="2" t="s">
        <v>11037</v>
      </c>
      <c r="O1409" s="2" t="s">
        <v>11038</v>
      </c>
      <c r="P1409" s="2" t="s">
        <v>11037</v>
      </c>
      <c r="Q1409" s="2">
        <f>AVERAGE(PerfRate[[#This Row],[EnvironmentSatisfaction]],PerfRate[[#This Row],[JobSatisfaction]],PerfRate[[#This Row],[RelationshipSatisfaction]])</f>
        <v>4.333333333333333</v>
      </c>
      <c r="R1409" s="2">
        <f>PerfRate[[#This Row],[ManagerRating]] - PerfRate[[#This Row],[SelfRating]]</f>
        <v>0</v>
      </c>
    </row>
    <row r="1410" spans="1:18">
      <c r="A1410" s="2" t="s">
        <v>5717</v>
      </c>
      <c r="B1410" s="2" t="s">
        <v>154</v>
      </c>
      <c r="C1410" s="1">
        <v>41642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  <c r="L1410" s="2" t="s">
        <v>11029</v>
      </c>
      <c r="M1410" s="2" t="s">
        <v>11028</v>
      </c>
      <c r="N1410" s="2" t="s">
        <v>11037</v>
      </c>
      <c r="O1410" s="2" t="s">
        <v>11038</v>
      </c>
      <c r="P1410" s="2" t="s">
        <v>11035</v>
      </c>
      <c r="Q1410" s="2">
        <f>AVERAGE(PerfRate[[#This Row],[EnvironmentSatisfaction]],PerfRate[[#This Row],[JobSatisfaction]],PerfRate[[#This Row],[RelationshipSatisfaction]])</f>
        <v>3.6666666666666665</v>
      </c>
      <c r="R1410" s="2">
        <f>PerfRate[[#This Row],[ManagerRating]] - PerfRate[[#This Row],[SelfRating]]</f>
        <v>-1</v>
      </c>
    </row>
    <row r="1411" spans="1:18">
      <c r="A1411" s="2" t="s">
        <v>5718</v>
      </c>
      <c r="B1411" s="2" t="s">
        <v>883</v>
      </c>
      <c r="C1411" s="1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  <c r="L1411" s="2" t="s">
        <v>11031</v>
      </c>
      <c r="M1411" s="2" t="s">
        <v>11030</v>
      </c>
      <c r="N1411" s="2" t="s">
        <v>11038</v>
      </c>
      <c r="O1411" s="2" t="s">
        <v>11035</v>
      </c>
      <c r="P1411" s="2" t="s">
        <v>11035</v>
      </c>
      <c r="Q1411" s="2">
        <f>AVERAGE(PerfRate[[#This Row],[EnvironmentSatisfaction]],PerfRate[[#This Row],[JobSatisfaction]],PerfRate[[#This Row],[RelationshipSatisfaction]])</f>
        <v>3</v>
      </c>
      <c r="R1411" s="2">
        <f>PerfRate[[#This Row],[ManagerRating]] - PerfRate[[#This Row],[SelfRating]]</f>
        <v>-1</v>
      </c>
    </row>
    <row r="1412" spans="1:18">
      <c r="A1412" s="2" t="s">
        <v>5719</v>
      </c>
      <c r="B1412" s="2" t="s">
        <v>1921</v>
      </c>
      <c r="C1412" s="1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  <c r="L1412" s="2" t="s">
        <v>11029</v>
      </c>
      <c r="M1412" s="2" t="s">
        <v>11028</v>
      </c>
      <c r="N1412" s="2" t="s">
        <v>11037</v>
      </c>
      <c r="O1412" s="2" t="s">
        <v>11037</v>
      </c>
      <c r="P1412" s="2" t="s">
        <v>11036</v>
      </c>
      <c r="Q1412" s="2">
        <f>AVERAGE(PerfRate[[#This Row],[EnvironmentSatisfaction]],PerfRate[[#This Row],[JobSatisfaction]],PerfRate[[#This Row],[RelationshipSatisfaction]])</f>
        <v>3.6666666666666665</v>
      </c>
      <c r="R1412" s="2">
        <f>PerfRate[[#This Row],[ManagerRating]] - PerfRate[[#This Row],[SelfRating]]</f>
        <v>-1</v>
      </c>
    </row>
    <row r="1413" spans="1:18">
      <c r="A1413" s="2" t="s">
        <v>5720</v>
      </c>
      <c r="B1413" s="2" t="s">
        <v>3154</v>
      </c>
      <c r="C1413" s="1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  <c r="L1413" s="2" t="s">
        <v>11031</v>
      </c>
      <c r="M1413" s="2" t="s">
        <v>11031</v>
      </c>
      <c r="N1413" s="2" t="s">
        <v>11036</v>
      </c>
      <c r="O1413" s="2" t="s">
        <v>11038</v>
      </c>
      <c r="P1413" s="2" t="s">
        <v>11035</v>
      </c>
      <c r="Q1413" s="2">
        <f>AVERAGE(PerfRate[[#This Row],[EnvironmentSatisfaction]],PerfRate[[#This Row],[JobSatisfaction]],PerfRate[[#This Row],[RelationshipSatisfaction]])</f>
        <v>3.3333333333333335</v>
      </c>
      <c r="R1413" s="2">
        <f>PerfRate[[#This Row],[ManagerRating]] - PerfRate[[#This Row],[SelfRating]]</f>
        <v>0</v>
      </c>
    </row>
    <row r="1414" spans="1:18">
      <c r="A1414" s="2" t="s">
        <v>5721</v>
      </c>
      <c r="B1414" s="2" t="s">
        <v>1074</v>
      </c>
      <c r="C1414" s="1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  <c r="L1414" s="2" t="s">
        <v>11031</v>
      </c>
      <c r="M1414" s="2" t="s">
        <v>11030</v>
      </c>
      <c r="N1414" s="2" t="s">
        <v>11036</v>
      </c>
      <c r="O1414" s="2" t="s">
        <v>11036</v>
      </c>
      <c r="P1414" s="2" t="s">
        <v>11036</v>
      </c>
      <c r="Q1414" s="2">
        <f>AVERAGE(PerfRate[[#This Row],[EnvironmentSatisfaction]],PerfRate[[#This Row],[JobSatisfaction]],PerfRate[[#This Row],[RelationshipSatisfaction]])</f>
        <v>3</v>
      </c>
      <c r="R1414" s="2">
        <f>PerfRate[[#This Row],[ManagerRating]] - PerfRate[[#This Row],[SelfRating]]</f>
        <v>-1</v>
      </c>
    </row>
    <row r="1415" spans="1:18">
      <c r="A1415" s="2" t="s">
        <v>5722</v>
      </c>
      <c r="B1415" s="2" t="s">
        <v>1221</v>
      </c>
      <c r="C1415" s="1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  <c r="L1415" s="2" t="s">
        <v>11031</v>
      </c>
      <c r="M1415" s="2" t="s">
        <v>11030</v>
      </c>
      <c r="N1415" s="2" t="s">
        <v>11036</v>
      </c>
      <c r="O1415" s="2" t="s">
        <v>11038</v>
      </c>
      <c r="P1415" s="2" t="s">
        <v>11035</v>
      </c>
      <c r="Q1415" s="2">
        <f>AVERAGE(PerfRate[[#This Row],[EnvironmentSatisfaction]],PerfRate[[#This Row],[JobSatisfaction]],PerfRate[[#This Row],[RelationshipSatisfaction]])</f>
        <v>3.3333333333333335</v>
      </c>
      <c r="R1415" s="2">
        <f>PerfRate[[#This Row],[ManagerRating]] - PerfRate[[#This Row],[SelfRating]]</f>
        <v>-1</v>
      </c>
    </row>
    <row r="1416" spans="1:18">
      <c r="A1416" s="2" t="s">
        <v>5723</v>
      </c>
      <c r="B1416" s="2" t="s">
        <v>693</v>
      </c>
      <c r="C1416" s="1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  <c r="L1416" s="2" t="s">
        <v>11029</v>
      </c>
      <c r="M1416" s="2" t="s">
        <v>11028</v>
      </c>
      <c r="N1416" s="2" t="s">
        <v>11038</v>
      </c>
      <c r="O1416" s="2" t="s">
        <v>11037</v>
      </c>
      <c r="P1416" s="2" t="s">
        <v>11036</v>
      </c>
      <c r="Q1416" s="2">
        <f>AVERAGE(PerfRate[[#This Row],[EnvironmentSatisfaction]],PerfRate[[#This Row],[JobSatisfaction]],PerfRate[[#This Row],[RelationshipSatisfaction]])</f>
        <v>4</v>
      </c>
      <c r="R1416" s="2">
        <f>PerfRate[[#This Row],[ManagerRating]] - PerfRate[[#This Row],[SelfRating]]</f>
        <v>-1</v>
      </c>
    </row>
    <row r="1417" spans="1:18">
      <c r="A1417" s="2" t="s">
        <v>5724</v>
      </c>
      <c r="B1417" s="2" t="s">
        <v>979</v>
      </c>
      <c r="C1417" s="1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  <c r="L1417" s="2" t="s">
        <v>11030</v>
      </c>
      <c r="M1417" s="2" t="s">
        <v>11030</v>
      </c>
      <c r="N1417" s="2" t="s">
        <v>11037</v>
      </c>
      <c r="O1417" s="2" t="s">
        <v>11038</v>
      </c>
      <c r="P1417" s="2" t="s">
        <v>11037</v>
      </c>
      <c r="Q1417" s="2">
        <f>AVERAGE(PerfRate[[#This Row],[EnvironmentSatisfaction]],PerfRate[[#This Row],[JobSatisfaction]],PerfRate[[#This Row],[RelationshipSatisfaction]])</f>
        <v>4.333333333333333</v>
      </c>
      <c r="R1417" s="2">
        <f>PerfRate[[#This Row],[ManagerRating]] - PerfRate[[#This Row],[SelfRating]]</f>
        <v>0</v>
      </c>
    </row>
    <row r="1418" spans="1:18">
      <c r="A1418" s="2" t="s">
        <v>5725</v>
      </c>
      <c r="B1418" s="2" t="s">
        <v>266</v>
      </c>
      <c r="C1418" s="1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  <c r="L1418" s="2" t="s">
        <v>11029</v>
      </c>
      <c r="M1418" s="2" t="s">
        <v>11028</v>
      </c>
      <c r="N1418" s="2" t="s">
        <v>11036</v>
      </c>
      <c r="O1418" s="2" t="s">
        <v>11035</v>
      </c>
      <c r="P1418" s="2" t="s">
        <v>11037</v>
      </c>
      <c r="Q1418" s="2">
        <f>AVERAGE(PerfRate[[#This Row],[EnvironmentSatisfaction]],PerfRate[[#This Row],[JobSatisfaction]],PerfRate[[#This Row],[RelationshipSatisfaction]])</f>
        <v>3</v>
      </c>
      <c r="R1418" s="2">
        <f>PerfRate[[#This Row],[ManagerRating]] - PerfRate[[#This Row],[SelfRating]]</f>
        <v>-1</v>
      </c>
    </row>
    <row r="1419" spans="1:18">
      <c r="A1419" s="2" t="s">
        <v>5726</v>
      </c>
      <c r="B1419" s="2" t="s">
        <v>1915</v>
      </c>
      <c r="C1419" s="1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  <c r="L1419" s="2" t="s">
        <v>11031</v>
      </c>
      <c r="M1419" s="2" t="s">
        <v>11031</v>
      </c>
      <c r="N1419" s="2" t="s">
        <v>11037</v>
      </c>
      <c r="O1419" s="2" t="s">
        <v>11038</v>
      </c>
      <c r="P1419" s="2" t="s">
        <v>11035</v>
      </c>
      <c r="Q1419" s="2">
        <f>AVERAGE(PerfRate[[#This Row],[EnvironmentSatisfaction]],PerfRate[[#This Row],[JobSatisfaction]],PerfRate[[#This Row],[RelationshipSatisfaction]])</f>
        <v>3.6666666666666665</v>
      </c>
      <c r="R1419" s="2">
        <f>PerfRate[[#This Row],[ManagerRating]] - PerfRate[[#This Row],[SelfRating]]</f>
        <v>0</v>
      </c>
    </row>
    <row r="1420" spans="1:18">
      <c r="A1420" s="2" t="s">
        <v>5727</v>
      </c>
      <c r="B1420" s="2" t="s">
        <v>928</v>
      </c>
      <c r="C1420" s="1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  <c r="L1420" s="2" t="s">
        <v>11029</v>
      </c>
      <c r="M1420" s="2" t="s">
        <v>11028</v>
      </c>
      <c r="N1420" s="2" t="s">
        <v>11037</v>
      </c>
      <c r="O1420" s="2" t="s">
        <v>11035</v>
      </c>
      <c r="P1420" s="2" t="s">
        <v>11035</v>
      </c>
      <c r="Q1420" s="2">
        <f>AVERAGE(PerfRate[[#This Row],[EnvironmentSatisfaction]],PerfRate[[#This Row],[JobSatisfaction]],PerfRate[[#This Row],[RelationshipSatisfaction]])</f>
        <v>2.6666666666666665</v>
      </c>
      <c r="R1420" s="2">
        <f>PerfRate[[#This Row],[ManagerRating]] - PerfRate[[#This Row],[SelfRating]]</f>
        <v>-1</v>
      </c>
    </row>
    <row r="1421" spans="1:18">
      <c r="A1421" s="2" t="s">
        <v>5728</v>
      </c>
      <c r="B1421" s="2" t="s">
        <v>2115</v>
      </c>
      <c r="C1421" s="1">
        <v>41642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  <c r="L1421" s="2" t="s">
        <v>11029</v>
      </c>
      <c r="M1421" s="2" t="s">
        <v>11029</v>
      </c>
      <c r="N1421" s="2" t="s">
        <v>11037</v>
      </c>
      <c r="O1421" s="2" t="s">
        <v>11036</v>
      </c>
      <c r="P1421" s="2" t="s">
        <v>11035</v>
      </c>
      <c r="Q1421" s="2">
        <f>AVERAGE(PerfRate[[#This Row],[EnvironmentSatisfaction]],PerfRate[[#This Row],[JobSatisfaction]],PerfRate[[#This Row],[RelationshipSatisfaction]])</f>
        <v>3</v>
      </c>
      <c r="R1421" s="2">
        <f>PerfRate[[#This Row],[ManagerRating]] - PerfRate[[#This Row],[SelfRating]]</f>
        <v>0</v>
      </c>
    </row>
    <row r="1422" spans="1:18">
      <c r="A1422" s="2" t="s">
        <v>5729</v>
      </c>
      <c r="B1422" s="2" t="s">
        <v>208</v>
      </c>
      <c r="C1422" s="1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  <c r="L1422" s="2" t="s">
        <v>11030</v>
      </c>
      <c r="M1422" s="2" t="s">
        <v>11029</v>
      </c>
      <c r="N1422" s="2" t="s">
        <v>11038</v>
      </c>
      <c r="O1422" s="2" t="s">
        <v>11035</v>
      </c>
      <c r="P1422" s="2" t="s">
        <v>11035</v>
      </c>
      <c r="Q1422" s="2">
        <f>AVERAGE(PerfRate[[#This Row],[EnvironmentSatisfaction]],PerfRate[[#This Row],[JobSatisfaction]],PerfRate[[#This Row],[RelationshipSatisfaction]])</f>
        <v>3</v>
      </c>
      <c r="R1422" s="2">
        <f>PerfRate[[#This Row],[ManagerRating]] - PerfRate[[#This Row],[SelfRating]]</f>
        <v>-1</v>
      </c>
    </row>
    <row r="1423" spans="1:18">
      <c r="A1423" s="2" t="s">
        <v>5730</v>
      </c>
      <c r="B1423" s="2" t="s">
        <v>1249</v>
      </c>
      <c r="C1423" s="1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  <c r="L1423" s="2" t="s">
        <v>11029</v>
      </c>
      <c r="M1423" s="2" t="s">
        <v>11029</v>
      </c>
      <c r="N1423" s="2" t="s">
        <v>11038</v>
      </c>
      <c r="O1423" s="2" t="s">
        <v>11037</v>
      </c>
      <c r="P1423" s="2" t="s">
        <v>11038</v>
      </c>
      <c r="Q1423" s="2">
        <f>AVERAGE(PerfRate[[#This Row],[EnvironmentSatisfaction]],PerfRate[[#This Row],[JobSatisfaction]],PerfRate[[#This Row],[RelationshipSatisfaction]])</f>
        <v>4.666666666666667</v>
      </c>
      <c r="R1423" s="2">
        <f>PerfRate[[#This Row],[ManagerRating]] - PerfRate[[#This Row],[SelfRating]]</f>
        <v>0</v>
      </c>
    </row>
    <row r="1424" spans="1:18">
      <c r="A1424" s="2" t="s">
        <v>5731</v>
      </c>
      <c r="B1424" s="2" t="s">
        <v>2372</v>
      </c>
      <c r="C1424" s="1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  <c r="L1424" s="2" t="s">
        <v>11031</v>
      </c>
      <c r="M1424" s="2" t="s">
        <v>11030</v>
      </c>
      <c r="N1424" s="2" t="s">
        <v>11037</v>
      </c>
      <c r="O1424" s="2" t="s">
        <v>11037</v>
      </c>
      <c r="P1424" s="2" t="s">
        <v>11037</v>
      </c>
      <c r="Q1424" s="2">
        <f>AVERAGE(PerfRate[[#This Row],[EnvironmentSatisfaction]],PerfRate[[#This Row],[JobSatisfaction]],PerfRate[[#This Row],[RelationshipSatisfaction]])</f>
        <v>4</v>
      </c>
      <c r="R1424" s="2">
        <f>PerfRate[[#This Row],[ManagerRating]] - PerfRate[[#This Row],[SelfRating]]</f>
        <v>-1</v>
      </c>
    </row>
    <row r="1425" spans="1:18">
      <c r="A1425" s="2" t="s">
        <v>5732</v>
      </c>
      <c r="B1425" s="2" t="s">
        <v>508</v>
      </c>
      <c r="C1425" s="1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  <c r="L1425" s="2" t="s">
        <v>11030</v>
      </c>
      <c r="M1425" s="2" t="s">
        <v>11030</v>
      </c>
      <c r="N1425" s="2" t="s">
        <v>11037</v>
      </c>
      <c r="O1425" s="2" t="s">
        <v>11036</v>
      </c>
      <c r="P1425" s="2" t="s">
        <v>11038</v>
      </c>
      <c r="Q1425" s="2">
        <f>AVERAGE(PerfRate[[#This Row],[EnvironmentSatisfaction]],PerfRate[[#This Row],[JobSatisfaction]],PerfRate[[#This Row],[RelationshipSatisfaction]])</f>
        <v>4</v>
      </c>
      <c r="R1425" s="2">
        <f>PerfRate[[#This Row],[ManagerRating]] - PerfRate[[#This Row],[SelfRating]]</f>
        <v>0</v>
      </c>
    </row>
    <row r="1426" spans="1:18">
      <c r="A1426" s="2" t="s">
        <v>5733</v>
      </c>
      <c r="B1426" s="2" t="s">
        <v>814</v>
      </c>
      <c r="C1426" s="1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  <c r="L1426" s="2" t="s">
        <v>11030</v>
      </c>
      <c r="M1426" s="2" t="s">
        <v>11030</v>
      </c>
      <c r="N1426" s="2" t="s">
        <v>11036</v>
      </c>
      <c r="O1426" s="2" t="s">
        <v>11037</v>
      </c>
      <c r="P1426" s="2" t="s">
        <v>11035</v>
      </c>
      <c r="Q1426" s="2">
        <f>AVERAGE(PerfRate[[#This Row],[EnvironmentSatisfaction]],PerfRate[[#This Row],[JobSatisfaction]],PerfRate[[#This Row],[RelationshipSatisfaction]])</f>
        <v>3</v>
      </c>
      <c r="R1426" s="2">
        <f>PerfRate[[#This Row],[ManagerRating]] - PerfRate[[#This Row],[SelfRating]]</f>
        <v>0</v>
      </c>
    </row>
    <row r="1427" spans="1:18">
      <c r="A1427" s="2" t="s">
        <v>5734</v>
      </c>
      <c r="B1427" s="2" t="s">
        <v>1441</v>
      </c>
      <c r="C1427" s="1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  <c r="L1427" s="2" t="s">
        <v>11031</v>
      </c>
      <c r="M1427" s="2" t="s">
        <v>11030</v>
      </c>
      <c r="N1427" s="2" t="s">
        <v>11037</v>
      </c>
      <c r="O1427" s="2" t="s">
        <v>11035</v>
      </c>
      <c r="P1427" s="2" t="s">
        <v>11038</v>
      </c>
      <c r="Q1427" s="2">
        <f>AVERAGE(PerfRate[[#This Row],[EnvironmentSatisfaction]],PerfRate[[#This Row],[JobSatisfaction]],PerfRate[[#This Row],[RelationshipSatisfaction]])</f>
        <v>3.6666666666666665</v>
      </c>
      <c r="R1427" s="2">
        <f>PerfRate[[#This Row],[ManagerRating]] - PerfRate[[#This Row],[SelfRating]]</f>
        <v>-1</v>
      </c>
    </row>
    <row r="1428" spans="1:18">
      <c r="A1428" s="2" t="s">
        <v>5735</v>
      </c>
      <c r="B1428" s="2" t="s">
        <v>1476</v>
      </c>
      <c r="C1428" s="1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  <c r="L1428" s="2" t="s">
        <v>11031</v>
      </c>
      <c r="M1428" s="2" t="s">
        <v>11031</v>
      </c>
      <c r="N1428" s="2" t="s">
        <v>11036</v>
      </c>
      <c r="O1428" s="2" t="s">
        <v>11038</v>
      </c>
      <c r="P1428" s="2" t="s">
        <v>11038</v>
      </c>
      <c r="Q1428" s="2">
        <f>AVERAGE(PerfRate[[#This Row],[EnvironmentSatisfaction]],PerfRate[[#This Row],[JobSatisfaction]],PerfRate[[#This Row],[RelationshipSatisfaction]])</f>
        <v>4.333333333333333</v>
      </c>
      <c r="R1428" s="2">
        <f>PerfRate[[#This Row],[ManagerRating]] - PerfRate[[#This Row],[SelfRating]]</f>
        <v>0</v>
      </c>
    </row>
    <row r="1429" spans="1:18">
      <c r="A1429" s="2" t="s">
        <v>5736</v>
      </c>
      <c r="B1429" s="2" t="s">
        <v>461</v>
      </c>
      <c r="C1429" s="1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  <c r="L1429" s="2" t="s">
        <v>11031</v>
      </c>
      <c r="M1429" s="2" t="s">
        <v>11031</v>
      </c>
      <c r="N1429" s="2" t="s">
        <v>11038</v>
      </c>
      <c r="O1429" s="2" t="s">
        <v>11038</v>
      </c>
      <c r="P1429" s="2" t="s">
        <v>11037</v>
      </c>
      <c r="Q1429" s="2">
        <f>AVERAGE(PerfRate[[#This Row],[EnvironmentSatisfaction]],PerfRate[[#This Row],[JobSatisfaction]],PerfRate[[#This Row],[RelationshipSatisfaction]])</f>
        <v>4.666666666666667</v>
      </c>
      <c r="R1429" s="2">
        <f>PerfRate[[#This Row],[ManagerRating]] - PerfRate[[#This Row],[SelfRating]]</f>
        <v>0</v>
      </c>
    </row>
    <row r="1430" spans="1:18">
      <c r="A1430" s="2" t="s">
        <v>5737</v>
      </c>
      <c r="B1430" s="2" t="s">
        <v>1421</v>
      </c>
      <c r="C1430" s="1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  <c r="L1430" s="2" t="s">
        <v>11031</v>
      </c>
      <c r="M1430" s="2" t="s">
        <v>11031</v>
      </c>
      <c r="N1430" s="2" t="s">
        <v>11037</v>
      </c>
      <c r="O1430" s="2" t="s">
        <v>11036</v>
      </c>
      <c r="P1430" s="2" t="s">
        <v>11038</v>
      </c>
      <c r="Q1430" s="2">
        <f>AVERAGE(PerfRate[[#This Row],[EnvironmentSatisfaction]],PerfRate[[#This Row],[JobSatisfaction]],PerfRate[[#This Row],[RelationshipSatisfaction]])</f>
        <v>4</v>
      </c>
      <c r="R1430" s="2">
        <f>PerfRate[[#This Row],[ManagerRating]] - PerfRate[[#This Row],[SelfRating]]</f>
        <v>0</v>
      </c>
    </row>
    <row r="1431" spans="1:18">
      <c r="A1431" s="2" t="s">
        <v>5738</v>
      </c>
      <c r="B1431" s="2" t="s">
        <v>1719</v>
      </c>
      <c r="C1431" s="1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  <c r="L1431" s="2" t="s">
        <v>11031</v>
      </c>
      <c r="M1431" s="2" t="s">
        <v>11030</v>
      </c>
      <c r="N1431" s="2" t="s">
        <v>11037</v>
      </c>
      <c r="O1431" s="2" t="s">
        <v>11036</v>
      </c>
      <c r="P1431" s="2" t="s">
        <v>11037</v>
      </c>
      <c r="Q1431" s="2">
        <f>AVERAGE(PerfRate[[#This Row],[EnvironmentSatisfaction]],PerfRate[[#This Row],[JobSatisfaction]],PerfRate[[#This Row],[RelationshipSatisfaction]])</f>
        <v>3.6666666666666665</v>
      </c>
      <c r="R1431" s="2">
        <f>PerfRate[[#This Row],[ManagerRating]] - PerfRate[[#This Row],[SelfRating]]</f>
        <v>-1</v>
      </c>
    </row>
    <row r="1432" spans="1:18">
      <c r="A1432" s="2" t="s">
        <v>5739</v>
      </c>
      <c r="B1432" s="2" t="s">
        <v>2650</v>
      </c>
      <c r="C1432" s="1">
        <v>41642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  <c r="L1432" s="2" t="s">
        <v>11030</v>
      </c>
      <c r="M1432" s="2" t="s">
        <v>11030</v>
      </c>
      <c r="N1432" s="2" t="s">
        <v>11038</v>
      </c>
      <c r="O1432" s="2" t="s">
        <v>11037</v>
      </c>
      <c r="P1432" s="2" t="s">
        <v>11035</v>
      </c>
      <c r="Q1432" s="2">
        <f>AVERAGE(PerfRate[[#This Row],[EnvironmentSatisfaction]],PerfRate[[#This Row],[JobSatisfaction]],PerfRate[[#This Row],[RelationshipSatisfaction]])</f>
        <v>3.6666666666666665</v>
      </c>
      <c r="R1432" s="2">
        <f>PerfRate[[#This Row],[ManagerRating]] - PerfRate[[#This Row],[SelfRating]]</f>
        <v>0</v>
      </c>
    </row>
    <row r="1433" spans="1:18">
      <c r="A1433" s="2" t="s">
        <v>5740</v>
      </c>
      <c r="B1433" s="2" t="s">
        <v>3702</v>
      </c>
      <c r="C1433" s="1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  <c r="L1433" s="2" t="s">
        <v>11030</v>
      </c>
      <c r="M1433" s="2" t="s">
        <v>11029</v>
      </c>
      <c r="N1433" s="2" t="s">
        <v>11037</v>
      </c>
      <c r="O1433" s="2" t="s">
        <v>11035</v>
      </c>
      <c r="P1433" s="2" t="s">
        <v>11038</v>
      </c>
      <c r="Q1433" s="2">
        <f>AVERAGE(PerfRate[[#This Row],[EnvironmentSatisfaction]],PerfRate[[#This Row],[JobSatisfaction]],PerfRate[[#This Row],[RelationshipSatisfaction]])</f>
        <v>3.6666666666666665</v>
      </c>
      <c r="R1433" s="2">
        <f>PerfRate[[#This Row],[ManagerRating]] - PerfRate[[#This Row],[SelfRating]]</f>
        <v>-1</v>
      </c>
    </row>
    <row r="1434" spans="1:18">
      <c r="A1434" s="2" t="s">
        <v>5741</v>
      </c>
      <c r="B1434" s="2" t="s">
        <v>446</v>
      </c>
      <c r="C1434" s="1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  <c r="L1434" s="2" t="s">
        <v>11030</v>
      </c>
      <c r="M1434" s="2" t="s">
        <v>11029</v>
      </c>
      <c r="N1434" s="2" t="s">
        <v>11037</v>
      </c>
      <c r="O1434" s="2" t="s">
        <v>11035</v>
      </c>
      <c r="P1434" s="2" t="s">
        <v>11037</v>
      </c>
      <c r="Q1434" s="2">
        <f>AVERAGE(PerfRate[[#This Row],[EnvironmentSatisfaction]],PerfRate[[#This Row],[JobSatisfaction]],PerfRate[[#This Row],[RelationshipSatisfaction]])</f>
        <v>3.3333333333333335</v>
      </c>
      <c r="R1434" s="2">
        <f>PerfRate[[#This Row],[ManagerRating]] - PerfRate[[#This Row],[SelfRating]]</f>
        <v>-1</v>
      </c>
    </row>
    <row r="1435" spans="1:18">
      <c r="A1435" s="2" t="s">
        <v>5742</v>
      </c>
      <c r="B1435" s="2" t="s">
        <v>1306</v>
      </c>
      <c r="C1435" s="1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  <c r="L1435" s="2" t="s">
        <v>11029</v>
      </c>
      <c r="M1435" s="2" t="s">
        <v>11029</v>
      </c>
      <c r="N1435" s="2" t="s">
        <v>11038</v>
      </c>
      <c r="O1435" s="2" t="s">
        <v>11036</v>
      </c>
      <c r="P1435" s="2" t="s">
        <v>11035</v>
      </c>
      <c r="Q1435" s="2">
        <f>AVERAGE(PerfRate[[#This Row],[EnvironmentSatisfaction]],PerfRate[[#This Row],[JobSatisfaction]],PerfRate[[#This Row],[RelationshipSatisfaction]])</f>
        <v>3.3333333333333335</v>
      </c>
      <c r="R1435" s="2">
        <f>PerfRate[[#This Row],[ManagerRating]] - PerfRate[[#This Row],[SelfRating]]</f>
        <v>0</v>
      </c>
    </row>
    <row r="1436" spans="1:18">
      <c r="A1436" s="2" t="s">
        <v>5743</v>
      </c>
      <c r="B1436" s="2" t="s">
        <v>2532</v>
      </c>
      <c r="C1436" s="1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  <c r="L1436" s="2" t="s">
        <v>11029</v>
      </c>
      <c r="M1436" s="2" t="s">
        <v>11029</v>
      </c>
      <c r="N1436" s="2" t="s">
        <v>11037</v>
      </c>
      <c r="O1436" s="2" t="s">
        <v>11035</v>
      </c>
      <c r="P1436" s="2" t="s">
        <v>11036</v>
      </c>
      <c r="Q1436" s="2">
        <f>AVERAGE(PerfRate[[#This Row],[EnvironmentSatisfaction]],PerfRate[[#This Row],[JobSatisfaction]],PerfRate[[#This Row],[RelationshipSatisfaction]])</f>
        <v>3</v>
      </c>
      <c r="R1436" s="2">
        <f>PerfRate[[#This Row],[ManagerRating]] - PerfRate[[#This Row],[SelfRating]]</f>
        <v>0</v>
      </c>
    </row>
    <row r="1437" spans="1:18">
      <c r="A1437" s="2" t="s">
        <v>5744</v>
      </c>
      <c r="B1437" s="2" t="s">
        <v>985</v>
      </c>
      <c r="C1437" s="1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  <c r="L1437" s="2" t="s">
        <v>11031</v>
      </c>
      <c r="M1437" s="2" t="s">
        <v>11030</v>
      </c>
      <c r="N1437" s="2" t="s">
        <v>11036</v>
      </c>
      <c r="O1437" s="2" t="s">
        <v>11037</v>
      </c>
      <c r="P1437" s="2" t="s">
        <v>11035</v>
      </c>
      <c r="Q1437" s="2">
        <f>AVERAGE(PerfRate[[#This Row],[EnvironmentSatisfaction]],PerfRate[[#This Row],[JobSatisfaction]],PerfRate[[#This Row],[RelationshipSatisfaction]])</f>
        <v>3</v>
      </c>
      <c r="R1437" s="2">
        <f>PerfRate[[#This Row],[ManagerRating]] - PerfRate[[#This Row],[SelfRating]]</f>
        <v>-1</v>
      </c>
    </row>
    <row r="1438" spans="1:18">
      <c r="A1438" s="2" t="s">
        <v>5745</v>
      </c>
      <c r="B1438" s="2" t="s">
        <v>2122</v>
      </c>
      <c r="C1438" s="1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  <c r="L1438" s="2" t="s">
        <v>11030</v>
      </c>
      <c r="M1438" s="2" t="s">
        <v>11030</v>
      </c>
      <c r="N1438" s="2" t="s">
        <v>11037</v>
      </c>
      <c r="O1438" s="2" t="s">
        <v>11035</v>
      </c>
      <c r="P1438" s="2" t="s">
        <v>11037</v>
      </c>
      <c r="Q1438" s="2">
        <f>AVERAGE(PerfRate[[#This Row],[EnvironmentSatisfaction]],PerfRate[[#This Row],[JobSatisfaction]],PerfRate[[#This Row],[RelationshipSatisfaction]])</f>
        <v>3.3333333333333335</v>
      </c>
      <c r="R1438" s="2">
        <f>PerfRate[[#This Row],[ManagerRating]] - PerfRate[[#This Row],[SelfRating]]</f>
        <v>0</v>
      </c>
    </row>
    <row r="1439" spans="1:18">
      <c r="A1439" s="2" t="s">
        <v>5746</v>
      </c>
      <c r="B1439" s="2" t="s">
        <v>1641</v>
      </c>
      <c r="C1439" s="1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  <c r="L1439" s="2" t="s">
        <v>11030</v>
      </c>
      <c r="M1439" s="2" t="s">
        <v>11029</v>
      </c>
      <c r="N1439" s="2" t="s">
        <v>11036</v>
      </c>
      <c r="O1439" s="2" t="s">
        <v>11037</v>
      </c>
      <c r="P1439" s="2" t="s">
        <v>11035</v>
      </c>
      <c r="Q1439" s="2">
        <f>AVERAGE(PerfRate[[#This Row],[EnvironmentSatisfaction]],PerfRate[[#This Row],[JobSatisfaction]],PerfRate[[#This Row],[RelationshipSatisfaction]])</f>
        <v>3</v>
      </c>
      <c r="R1439" s="2">
        <f>PerfRate[[#This Row],[ManagerRating]] - PerfRate[[#This Row],[SelfRating]]</f>
        <v>-1</v>
      </c>
    </row>
    <row r="1440" spans="1:18">
      <c r="A1440" s="2" t="s">
        <v>5747</v>
      </c>
      <c r="B1440" s="2" t="s">
        <v>2366</v>
      </c>
      <c r="C1440" s="1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  <c r="L1440" s="2" t="s">
        <v>11030</v>
      </c>
      <c r="M1440" s="2" t="s">
        <v>11029</v>
      </c>
      <c r="N1440" s="2" t="s">
        <v>11036</v>
      </c>
      <c r="O1440" s="2" t="s">
        <v>11035</v>
      </c>
      <c r="P1440" s="2" t="s">
        <v>11037</v>
      </c>
      <c r="Q1440" s="2">
        <f>AVERAGE(PerfRate[[#This Row],[EnvironmentSatisfaction]],PerfRate[[#This Row],[JobSatisfaction]],PerfRate[[#This Row],[RelationshipSatisfaction]])</f>
        <v>3</v>
      </c>
      <c r="R1440" s="2">
        <f>PerfRate[[#This Row],[ManagerRating]] - PerfRate[[#This Row],[SelfRating]]</f>
        <v>-1</v>
      </c>
    </row>
    <row r="1441" spans="1:18">
      <c r="A1441" s="2" t="s">
        <v>5748</v>
      </c>
      <c r="B1441" s="2" t="s">
        <v>214</v>
      </c>
      <c r="C1441" s="1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  <c r="L1441" s="2" t="s">
        <v>11031</v>
      </c>
      <c r="M1441" s="2" t="s">
        <v>11031</v>
      </c>
      <c r="N1441" s="2" t="s">
        <v>11038</v>
      </c>
      <c r="O1441" s="2" t="s">
        <v>11036</v>
      </c>
      <c r="P1441" s="2" t="s">
        <v>11037</v>
      </c>
      <c r="Q1441" s="2">
        <f>AVERAGE(PerfRate[[#This Row],[EnvironmentSatisfaction]],PerfRate[[#This Row],[JobSatisfaction]],PerfRate[[#This Row],[RelationshipSatisfaction]])</f>
        <v>4</v>
      </c>
      <c r="R1441" s="2">
        <f>PerfRate[[#This Row],[ManagerRating]] - PerfRate[[#This Row],[SelfRating]]</f>
        <v>0</v>
      </c>
    </row>
    <row r="1442" spans="1:18">
      <c r="A1442" s="2" t="s">
        <v>5749</v>
      </c>
      <c r="B1442" s="2" t="s">
        <v>1868</v>
      </c>
      <c r="C1442" s="1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  <c r="L1442" s="2" t="s">
        <v>11030</v>
      </c>
      <c r="M1442" s="2" t="s">
        <v>11030</v>
      </c>
      <c r="N1442" s="2" t="s">
        <v>11036</v>
      </c>
      <c r="O1442" s="2" t="s">
        <v>11036</v>
      </c>
      <c r="P1442" s="2" t="s">
        <v>11037</v>
      </c>
      <c r="Q1442" s="2">
        <f>AVERAGE(PerfRate[[#This Row],[EnvironmentSatisfaction]],PerfRate[[#This Row],[JobSatisfaction]],PerfRate[[#This Row],[RelationshipSatisfaction]])</f>
        <v>3.3333333333333335</v>
      </c>
      <c r="R1442" s="2">
        <f>PerfRate[[#This Row],[ManagerRating]] - PerfRate[[#This Row],[SelfRating]]</f>
        <v>0</v>
      </c>
    </row>
    <row r="1443" spans="1:18">
      <c r="A1443" s="2" t="s">
        <v>5750</v>
      </c>
      <c r="B1443" s="2" t="s">
        <v>1180</v>
      </c>
      <c r="C1443" s="1">
        <v>41673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  <c r="L1443" s="2" t="s">
        <v>11029</v>
      </c>
      <c r="M1443" s="2" t="s">
        <v>11028</v>
      </c>
      <c r="N1443" s="2" t="s">
        <v>11038</v>
      </c>
      <c r="O1443" s="2" t="s">
        <v>11038</v>
      </c>
      <c r="P1443" s="2" t="s">
        <v>11038</v>
      </c>
      <c r="Q1443" s="2">
        <f>AVERAGE(PerfRate[[#This Row],[EnvironmentSatisfaction]],PerfRate[[#This Row],[JobSatisfaction]],PerfRate[[#This Row],[RelationshipSatisfaction]])</f>
        <v>5</v>
      </c>
      <c r="R1443" s="2">
        <f>PerfRate[[#This Row],[ManagerRating]] - PerfRate[[#This Row],[SelfRating]]</f>
        <v>-1</v>
      </c>
    </row>
    <row r="1444" spans="1:18">
      <c r="A1444" s="2" t="s">
        <v>5751</v>
      </c>
      <c r="B1444" s="2" t="s">
        <v>1012</v>
      </c>
      <c r="C1444" s="1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  <c r="L1444" s="2" t="s">
        <v>11031</v>
      </c>
      <c r="M1444" s="2" t="s">
        <v>11030</v>
      </c>
      <c r="N1444" s="2" t="s">
        <v>11036</v>
      </c>
      <c r="O1444" s="2" t="s">
        <v>11037</v>
      </c>
      <c r="P1444" s="2" t="s">
        <v>11037</v>
      </c>
      <c r="Q1444" s="2">
        <f>AVERAGE(PerfRate[[#This Row],[EnvironmentSatisfaction]],PerfRate[[#This Row],[JobSatisfaction]],PerfRate[[#This Row],[RelationshipSatisfaction]])</f>
        <v>3.6666666666666665</v>
      </c>
      <c r="R1444" s="2">
        <f>PerfRate[[#This Row],[ManagerRating]] - PerfRate[[#This Row],[SelfRating]]</f>
        <v>-1</v>
      </c>
    </row>
    <row r="1445" spans="1:18">
      <c r="A1445" s="2" t="s">
        <v>5752</v>
      </c>
      <c r="B1445" s="2" t="s">
        <v>2620</v>
      </c>
      <c r="C1445" s="1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  <c r="L1445" s="2" t="s">
        <v>11031</v>
      </c>
      <c r="M1445" s="2" t="s">
        <v>11031</v>
      </c>
      <c r="N1445" s="2" t="s">
        <v>11036</v>
      </c>
      <c r="O1445" s="2" t="s">
        <v>11037</v>
      </c>
      <c r="P1445" s="2" t="s">
        <v>11037</v>
      </c>
      <c r="Q1445" s="2">
        <f>AVERAGE(PerfRate[[#This Row],[EnvironmentSatisfaction]],PerfRate[[#This Row],[JobSatisfaction]],PerfRate[[#This Row],[RelationshipSatisfaction]])</f>
        <v>3.6666666666666665</v>
      </c>
      <c r="R1445" s="2">
        <f>PerfRate[[#This Row],[ManagerRating]] - PerfRate[[#This Row],[SelfRating]]</f>
        <v>0</v>
      </c>
    </row>
    <row r="1446" spans="1:18">
      <c r="A1446" s="2" t="s">
        <v>5753</v>
      </c>
      <c r="B1446" s="2" t="s">
        <v>4118</v>
      </c>
      <c r="C1446" s="1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  <c r="L1446" s="2" t="s">
        <v>11030</v>
      </c>
      <c r="M1446" s="2" t="s">
        <v>11030</v>
      </c>
      <c r="N1446" s="2" t="s">
        <v>11036</v>
      </c>
      <c r="O1446" s="2" t="s">
        <v>11038</v>
      </c>
      <c r="P1446" s="2" t="s">
        <v>11035</v>
      </c>
      <c r="Q1446" s="2">
        <f>AVERAGE(PerfRate[[#This Row],[EnvironmentSatisfaction]],PerfRate[[#This Row],[JobSatisfaction]],PerfRate[[#This Row],[RelationshipSatisfaction]])</f>
        <v>3.3333333333333335</v>
      </c>
      <c r="R1446" s="2">
        <f>PerfRate[[#This Row],[ManagerRating]] - PerfRate[[#This Row],[SelfRating]]</f>
        <v>0</v>
      </c>
    </row>
    <row r="1447" spans="1:18">
      <c r="A1447" s="2" t="s">
        <v>5754</v>
      </c>
      <c r="B1447" s="2" t="s">
        <v>817</v>
      </c>
      <c r="C1447" s="1">
        <v>43105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  <c r="L1447" s="2" t="s">
        <v>11031</v>
      </c>
      <c r="M1447" s="2" t="s">
        <v>11030</v>
      </c>
      <c r="N1447" s="2" t="s">
        <v>11037</v>
      </c>
      <c r="O1447" s="2" t="s">
        <v>11036</v>
      </c>
      <c r="P1447" s="2" t="s">
        <v>11037</v>
      </c>
      <c r="Q1447" s="2">
        <f>AVERAGE(PerfRate[[#This Row],[EnvironmentSatisfaction]],PerfRate[[#This Row],[JobSatisfaction]],PerfRate[[#This Row],[RelationshipSatisfaction]])</f>
        <v>3.6666666666666665</v>
      </c>
      <c r="R1447" s="2">
        <f>PerfRate[[#This Row],[ManagerRating]] - PerfRate[[#This Row],[SelfRating]]</f>
        <v>-1</v>
      </c>
    </row>
    <row r="1448" spans="1:18">
      <c r="A1448" s="2" t="s">
        <v>5755</v>
      </c>
      <c r="B1448" s="2" t="s">
        <v>2653</v>
      </c>
      <c r="C1448" s="1">
        <v>43105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  <c r="L1448" s="2" t="s">
        <v>11030</v>
      </c>
      <c r="M1448" s="2" t="s">
        <v>11029</v>
      </c>
      <c r="N1448" s="2" t="s">
        <v>11037</v>
      </c>
      <c r="O1448" s="2" t="s">
        <v>11036</v>
      </c>
      <c r="P1448" s="2" t="s">
        <v>11037</v>
      </c>
      <c r="Q1448" s="2">
        <f>AVERAGE(PerfRate[[#This Row],[EnvironmentSatisfaction]],PerfRate[[#This Row],[JobSatisfaction]],PerfRate[[#This Row],[RelationshipSatisfaction]])</f>
        <v>3.6666666666666665</v>
      </c>
      <c r="R1448" s="2">
        <f>PerfRate[[#This Row],[ManagerRating]] - PerfRate[[#This Row],[SelfRating]]</f>
        <v>-1</v>
      </c>
    </row>
    <row r="1449" spans="1:18">
      <c r="A1449" s="2" t="s">
        <v>5756</v>
      </c>
      <c r="B1449" s="2" t="s">
        <v>1312</v>
      </c>
      <c r="C1449" s="1">
        <v>43136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  <c r="L1449" s="2" t="s">
        <v>11029</v>
      </c>
      <c r="M1449" s="2" t="s">
        <v>11028</v>
      </c>
      <c r="N1449" s="2" t="s">
        <v>11037</v>
      </c>
      <c r="O1449" s="2" t="s">
        <v>11038</v>
      </c>
      <c r="P1449" s="2" t="s">
        <v>11035</v>
      </c>
      <c r="Q1449" s="2">
        <f>AVERAGE(PerfRate[[#This Row],[EnvironmentSatisfaction]],PerfRate[[#This Row],[JobSatisfaction]],PerfRate[[#This Row],[RelationshipSatisfaction]])</f>
        <v>3.6666666666666665</v>
      </c>
      <c r="R1449" s="2">
        <f>PerfRate[[#This Row],[ManagerRating]] - PerfRate[[#This Row],[SelfRating]]</f>
        <v>-1</v>
      </c>
    </row>
    <row r="1450" spans="1:18">
      <c r="A1450" s="2" t="s">
        <v>5757</v>
      </c>
      <c r="B1450" s="2" t="s">
        <v>559</v>
      </c>
      <c r="C1450" s="1">
        <v>43136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  <c r="L1450" s="2" t="s">
        <v>11029</v>
      </c>
      <c r="M1450" s="2" t="s">
        <v>11029</v>
      </c>
      <c r="N1450" s="2" t="s">
        <v>11037</v>
      </c>
      <c r="O1450" s="2" t="s">
        <v>11038</v>
      </c>
      <c r="P1450" s="2" t="s">
        <v>11037</v>
      </c>
      <c r="Q1450" s="2">
        <f>AVERAGE(PerfRate[[#This Row],[EnvironmentSatisfaction]],PerfRate[[#This Row],[JobSatisfaction]],PerfRate[[#This Row],[RelationshipSatisfaction]])</f>
        <v>4.333333333333333</v>
      </c>
      <c r="R1450" s="2">
        <f>PerfRate[[#This Row],[ManagerRating]] - PerfRate[[#This Row],[SelfRating]]</f>
        <v>0</v>
      </c>
    </row>
    <row r="1451" spans="1:18">
      <c r="A1451" s="2" t="s">
        <v>5758</v>
      </c>
      <c r="B1451" s="2" t="s">
        <v>3012</v>
      </c>
      <c r="C1451" s="1">
        <v>43136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  <c r="L1451" s="2" t="s">
        <v>11029</v>
      </c>
      <c r="M1451" s="2" t="s">
        <v>11029</v>
      </c>
      <c r="N1451" s="2" t="s">
        <v>11038</v>
      </c>
      <c r="O1451" s="2" t="s">
        <v>11035</v>
      </c>
      <c r="P1451" s="2" t="s">
        <v>11037</v>
      </c>
      <c r="Q1451" s="2">
        <f>AVERAGE(PerfRate[[#This Row],[EnvironmentSatisfaction]],PerfRate[[#This Row],[JobSatisfaction]],PerfRate[[#This Row],[RelationshipSatisfaction]])</f>
        <v>3.6666666666666665</v>
      </c>
      <c r="R1451" s="2">
        <f>PerfRate[[#This Row],[ManagerRating]] - PerfRate[[#This Row],[SelfRating]]</f>
        <v>0</v>
      </c>
    </row>
    <row r="1452" spans="1:18">
      <c r="A1452" s="2" t="s">
        <v>5759</v>
      </c>
      <c r="B1452" s="2" t="s">
        <v>1906</v>
      </c>
      <c r="C1452" s="1">
        <v>43164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  <c r="L1452" s="2" t="s">
        <v>11030</v>
      </c>
      <c r="M1452" s="2" t="s">
        <v>11029</v>
      </c>
      <c r="N1452" s="2" t="s">
        <v>11037</v>
      </c>
      <c r="O1452" s="2" t="s">
        <v>11036</v>
      </c>
      <c r="P1452" s="2" t="s">
        <v>11038</v>
      </c>
      <c r="Q1452" s="2">
        <f>AVERAGE(PerfRate[[#This Row],[EnvironmentSatisfaction]],PerfRate[[#This Row],[JobSatisfaction]],PerfRate[[#This Row],[RelationshipSatisfaction]])</f>
        <v>4</v>
      </c>
      <c r="R1452" s="2">
        <f>PerfRate[[#This Row],[ManagerRating]] - PerfRate[[#This Row],[SelfRating]]</f>
        <v>-1</v>
      </c>
    </row>
    <row r="1453" spans="1:18">
      <c r="A1453" s="2" t="s">
        <v>5760</v>
      </c>
      <c r="B1453" s="2" t="s">
        <v>652</v>
      </c>
      <c r="C1453" s="1">
        <v>43164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  <c r="L1453" s="2" t="s">
        <v>11031</v>
      </c>
      <c r="M1453" s="2" t="s">
        <v>11031</v>
      </c>
      <c r="N1453" s="2" t="s">
        <v>11036</v>
      </c>
      <c r="O1453" s="2" t="s">
        <v>11035</v>
      </c>
      <c r="P1453" s="2" t="s">
        <v>11038</v>
      </c>
      <c r="Q1453" s="2">
        <f>AVERAGE(PerfRate[[#This Row],[EnvironmentSatisfaction]],PerfRate[[#This Row],[JobSatisfaction]],PerfRate[[#This Row],[RelationshipSatisfaction]])</f>
        <v>3.3333333333333335</v>
      </c>
      <c r="R1453" s="2">
        <f>PerfRate[[#This Row],[ManagerRating]] - PerfRate[[#This Row],[SelfRating]]</f>
        <v>0</v>
      </c>
    </row>
    <row r="1454" spans="1:18">
      <c r="A1454" s="2" t="s">
        <v>5761</v>
      </c>
      <c r="B1454" s="2" t="s">
        <v>94</v>
      </c>
      <c r="C1454" s="1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  <c r="L1454" s="2" t="s">
        <v>11031</v>
      </c>
      <c r="M1454" s="2" t="s">
        <v>11030</v>
      </c>
      <c r="N1454" s="2" t="s">
        <v>11036</v>
      </c>
      <c r="O1454" s="2" t="s">
        <v>11037</v>
      </c>
      <c r="P1454" s="2" t="s">
        <v>11037</v>
      </c>
      <c r="Q1454" s="2">
        <f>AVERAGE(PerfRate[[#This Row],[EnvironmentSatisfaction]],PerfRate[[#This Row],[JobSatisfaction]],PerfRate[[#This Row],[RelationshipSatisfaction]])</f>
        <v>3.6666666666666665</v>
      </c>
      <c r="R1454" s="2">
        <f>PerfRate[[#This Row],[ManagerRating]] - PerfRate[[#This Row],[SelfRating]]</f>
        <v>-1</v>
      </c>
    </row>
    <row r="1455" spans="1:18">
      <c r="A1455" s="2" t="s">
        <v>5762</v>
      </c>
      <c r="B1455" s="2" t="s">
        <v>1127</v>
      </c>
      <c r="C1455" s="1">
        <v>41673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  <c r="L1455" s="2" t="s">
        <v>11030</v>
      </c>
      <c r="M1455" s="2" t="s">
        <v>11030</v>
      </c>
      <c r="N1455" s="2" t="s">
        <v>11038</v>
      </c>
      <c r="O1455" s="2" t="s">
        <v>11036</v>
      </c>
      <c r="P1455" s="2" t="s">
        <v>11035</v>
      </c>
      <c r="Q1455" s="2">
        <f>AVERAGE(PerfRate[[#This Row],[EnvironmentSatisfaction]],PerfRate[[#This Row],[JobSatisfaction]],PerfRate[[#This Row],[RelationshipSatisfaction]])</f>
        <v>3.3333333333333335</v>
      </c>
      <c r="R1455" s="2">
        <f>PerfRate[[#This Row],[ManagerRating]] - PerfRate[[#This Row],[SelfRating]]</f>
        <v>0</v>
      </c>
    </row>
    <row r="1456" spans="1:18">
      <c r="A1456" s="2" t="s">
        <v>5763</v>
      </c>
      <c r="B1456" s="2" t="s">
        <v>1721</v>
      </c>
      <c r="C1456" s="1">
        <v>43195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  <c r="L1456" s="2" t="s">
        <v>11029</v>
      </c>
      <c r="M1456" s="2" t="s">
        <v>11029</v>
      </c>
      <c r="N1456" s="2" t="s">
        <v>11037</v>
      </c>
      <c r="O1456" s="2" t="s">
        <v>11035</v>
      </c>
      <c r="P1456" s="2" t="s">
        <v>11037</v>
      </c>
      <c r="Q1456" s="2">
        <f>AVERAGE(PerfRate[[#This Row],[EnvironmentSatisfaction]],PerfRate[[#This Row],[JobSatisfaction]],PerfRate[[#This Row],[RelationshipSatisfaction]])</f>
        <v>3.3333333333333335</v>
      </c>
      <c r="R1456" s="2">
        <f>PerfRate[[#This Row],[ManagerRating]] - PerfRate[[#This Row],[SelfRating]]</f>
        <v>0</v>
      </c>
    </row>
    <row r="1457" spans="1:18">
      <c r="A1457" s="2" t="s">
        <v>5764</v>
      </c>
      <c r="B1457" s="2" t="s">
        <v>1895</v>
      </c>
      <c r="C1457" s="1">
        <v>43195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  <c r="L1457" s="2" t="s">
        <v>11031</v>
      </c>
      <c r="M1457" s="2" t="s">
        <v>11030</v>
      </c>
      <c r="N1457" s="2" t="s">
        <v>11038</v>
      </c>
      <c r="O1457" s="2" t="s">
        <v>11038</v>
      </c>
      <c r="P1457" s="2" t="s">
        <v>11036</v>
      </c>
      <c r="Q1457" s="2">
        <f>AVERAGE(PerfRate[[#This Row],[EnvironmentSatisfaction]],PerfRate[[#This Row],[JobSatisfaction]],PerfRate[[#This Row],[RelationshipSatisfaction]])</f>
        <v>4.333333333333333</v>
      </c>
      <c r="R1457" s="2">
        <f>PerfRate[[#This Row],[ManagerRating]] - PerfRate[[#This Row],[SelfRating]]</f>
        <v>-1</v>
      </c>
    </row>
    <row r="1458" spans="1:18">
      <c r="A1458" s="2" t="s">
        <v>5765</v>
      </c>
      <c r="B1458" s="2" t="s">
        <v>1142</v>
      </c>
      <c r="C1458" s="1">
        <v>43195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  <c r="L1458" s="2" t="s">
        <v>11031</v>
      </c>
      <c r="M1458" s="2" t="s">
        <v>11030</v>
      </c>
      <c r="N1458" s="2" t="s">
        <v>11036</v>
      </c>
      <c r="O1458" s="2" t="s">
        <v>11036</v>
      </c>
      <c r="P1458" s="2" t="s">
        <v>11038</v>
      </c>
      <c r="Q1458" s="2">
        <f>AVERAGE(PerfRate[[#This Row],[EnvironmentSatisfaction]],PerfRate[[#This Row],[JobSatisfaction]],PerfRate[[#This Row],[RelationshipSatisfaction]])</f>
        <v>3.6666666666666665</v>
      </c>
      <c r="R1458" s="2">
        <f>PerfRate[[#This Row],[ManagerRating]] - PerfRate[[#This Row],[SelfRating]]</f>
        <v>-1</v>
      </c>
    </row>
    <row r="1459" spans="1:18">
      <c r="A1459" s="2" t="s">
        <v>5766</v>
      </c>
      <c r="B1459" s="2" t="s">
        <v>449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  <c r="L1459" s="2" t="s">
        <v>11029</v>
      </c>
      <c r="M1459" s="2" t="s">
        <v>11028</v>
      </c>
      <c r="N1459" s="2" t="s">
        <v>11038</v>
      </c>
      <c r="O1459" s="2" t="s">
        <v>11037</v>
      </c>
      <c r="P1459" s="2" t="s">
        <v>11035</v>
      </c>
      <c r="Q1459" s="2">
        <f>AVERAGE(PerfRate[[#This Row],[EnvironmentSatisfaction]],PerfRate[[#This Row],[JobSatisfaction]],PerfRate[[#This Row],[RelationshipSatisfaction]])</f>
        <v>3.6666666666666665</v>
      </c>
      <c r="R1459" s="2">
        <f>PerfRate[[#This Row],[ManagerRating]] - PerfRate[[#This Row],[SelfRating]]</f>
        <v>-1</v>
      </c>
    </row>
    <row r="1460" spans="1:18">
      <c r="A1460" s="2" t="s">
        <v>5767</v>
      </c>
      <c r="B1460" s="2" t="s">
        <v>3657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  <c r="L1460" s="2" t="s">
        <v>11029</v>
      </c>
      <c r="M1460" s="2" t="s">
        <v>11029</v>
      </c>
      <c r="N1460" s="2" t="s">
        <v>11037</v>
      </c>
      <c r="O1460" s="2" t="s">
        <v>11038</v>
      </c>
      <c r="P1460" s="2" t="s">
        <v>11035</v>
      </c>
      <c r="Q1460" s="2">
        <f>AVERAGE(PerfRate[[#This Row],[EnvironmentSatisfaction]],PerfRate[[#This Row],[JobSatisfaction]],PerfRate[[#This Row],[RelationshipSatisfaction]])</f>
        <v>3.6666666666666665</v>
      </c>
      <c r="R1460" s="2">
        <f>PerfRate[[#This Row],[ManagerRating]] - PerfRate[[#This Row],[SelfRating]]</f>
        <v>0</v>
      </c>
    </row>
    <row r="1461" spans="1:18">
      <c r="A1461" s="2" t="s">
        <v>5768</v>
      </c>
      <c r="B1461" s="2" t="s">
        <v>223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  <c r="L1461" s="2" t="s">
        <v>11031</v>
      </c>
      <c r="M1461" s="2" t="s">
        <v>11031</v>
      </c>
      <c r="N1461" s="2" t="s">
        <v>11038</v>
      </c>
      <c r="O1461" s="2" t="s">
        <v>11036</v>
      </c>
      <c r="P1461" s="2" t="s">
        <v>11037</v>
      </c>
      <c r="Q1461" s="2">
        <f>AVERAGE(PerfRate[[#This Row],[EnvironmentSatisfaction]],PerfRate[[#This Row],[JobSatisfaction]],PerfRate[[#This Row],[RelationshipSatisfaction]])</f>
        <v>4</v>
      </c>
      <c r="R1461" s="2">
        <f>PerfRate[[#This Row],[ManagerRating]] - PerfRate[[#This Row],[SelfRating]]</f>
        <v>0</v>
      </c>
    </row>
    <row r="1462" spans="1:18">
      <c r="A1462" s="2" t="s">
        <v>5769</v>
      </c>
      <c r="B1462" s="2" t="s">
        <v>2166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  <c r="L1462" s="2" t="s">
        <v>11031</v>
      </c>
      <c r="M1462" s="2" t="s">
        <v>11030</v>
      </c>
      <c r="N1462" s="2" t="s">
        <v>11037</v>
      </c>
      <c r="O1462" s="2" t="s">
        <v>11035</v>
      </c>
      <c r="P1462" s="2" t="s">
        <v>11035</v>
      </c>
      <c r="Q1462" s="2">
        <f>AVERAGE(PerfRate[[#This Row],[EnvironmentSatisfaction]],PerfRate[[#This Row],[JobSatisfaction]],PerfRate[[#This Row],[RelationshipSatisfaction]])</f>
        <v>2.6666666666666665</v>
      </c>
      <c r="R1462" s="2">
        <f>PerfRate[[#This Row],[ManagerRating]] - PerfRate[[#This Row],[SelfRating]]</f>
        <v>-1</v>
      </c>
    </row>
    <row r="1463" spans="1:18">
      <c r="A1463" s="2" t="s">
        <v>5770</v>
      </c>
      <c r="B1463" s="2" t="s">
        <v>2117</v>
      </c>
      <c r="C1463" s="1">
        <v>43256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  <c r="L1463" s="2" t="s">
        <v>11031</v>
      </c>
      <c r="M1463" s="2" t="s">
        <v>11030</v>
      </c>
      <c r="N1463" s="2" t="s">
        <v>11036</v>
      </c>
      <c r="O1463" s="2" t="s">
        <v>11036</v>
      </c>
      <c r="P1463" s="2" t="s">
        <v>11036</v>
      </c>
      <c r="Q1463" s="2">
        <f>AVERAGE(PerfRate[[#This Row],[EnvironmentSatisfaction]],PerfRate[[#This Row],[JobSatisfaction]],PerfRate[[#This Row],[RelationshipSatisfaction]])</f>
        <v>3</v>
      </c>
      <c r="R1463" s="2">
        <f>PerfRate[[#This Row],[ManagerRating]] - PerfRate[[#This Row],[SelfRating]]</f>
        <v>-1</v>
      </c>
    </row>
    <row r="1464" spans="1:18">
      <c r="A1464" s="2" t="s">
        <v>5771</v>
      </c>
      <c r="B1464" s="2" t="s">
        <v>3091</v>
      </c>
      <c r="C1464" s="1">
        <v>43256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  <c r="L1464" s="2" t="s">
        <v>11029</v>
      </c>
      <c r="M1464" s="2" t="s">
        <v>11029</v>
      </c>
      <c r="N1464" s="2" t="s">
        <v>11038</v>
      </c>
      <c r="O1464" s="2" t="s">
        <v>11038</v>
      </c>
      <c r="P1464" s="2" t="s">
        <v>11035</v>
      </c>
      <c r="Q1464" s="2">
        <f>AVERAGE(PerfRate[[#This Row],[EnvironmentSatisfaction]],PerfRate[[#This Row],[JobSatisfaction]],PerfRate[[#This Row],[RelationshipSatisfaction]])</f>
        <v>4</v>
      </c>
      <c r="R1464" s="2">
        <f>PerfRate[[#This Row],[ManagerRating]] - PerfRate[[#This Row],[SelfRating]]</f>
        <v>0</v>
      </c>
    </row>
    <row r="1465" spans="1:18">
      <c r="A1465" s="2" t="s">
        <v>5772</v>
      </c>
      <c r="B1465" s="2" t="s">
        <v>925</v>
      </c>
      <c r="C1465" s="1">
        <v>43256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  <c r="L1465" s="2" t="s">
        <v>11031</v>
      </c>
      <c r="M1465" s="2" t="s">
        <v>11031</v>
      </c>
      <c r="N1465" s="2" t="s">
        <v>11037</v>
      </c>
      <c r="O1465" s="2" t="s">
        <v>11035</v>
      </c>
      <c r="P1465" s="2" t="s">
        <v>11035</v>
      </c>
      <c r="Q1465" s="2">
        <f>AVERAGE(PerfRate[[#This Row],[EnvironmentSatisfaction]],PerfRate[[#This Row],[JobSatisfaction]],PerfRate[[#This Row],[RelationshipSatisfaction]])</f>
        <v>2.6666666666666665</v>
      </c>
      <c r="R1465" s="2">
        <f>PerfRate[[#This Row],[ManagerRating]] - PerfRate[[#This Row],[SelfRating]]</f>
        <v>0</v>
      </c>
    </row>
    <row r="1466" spans="1:18">
      <c r="A1466" s="2" t="s">
        <v>5773</v>
      </c>
      <c r="B1466" s="2" t="s">
        <v>2759</v>
      </c>
      <c r="C1466" s="1">
        <v>41673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  <c r="L1466" s="2" t="s">
        <v>11029</v>
      </c>
      <c r="M1466" s="2" t="s">
        <v>11029</v>
      </c>
      <c r="N1466" s="2" t="s">
        <v>11037</v>
      </c>
      <c r="O1466" s="2" t="s">
        <v>11036</v>
      </c>
      <c r="P1466" s="2" t="s">
        <v>11036</v>
      </c>
      <c r="Q1466" s="2">
        <f>AVERAGE(PerfRate[[#This Row],[EnvironmentSatisfaction]],PerfRate[[#This Row],[JobSatisfaction]],PerfRate[[#This Row],[RelationshipSatisfaction]])</f>
        <v>3.3333333333333335</v>
      </c>
      <c r="R1466" s="2">
        <f>PerfRate[[#This Row],[ManagerRating]] - PerfRate[[#This Row],[SelfRating]]</f>
        <v>0</v>
      </c>
    </row>
    <row r="1467" spans="1:18">
      <c r="A1467" s="2" t="s">
        <v>5774</v>
      </c>
      <c r="B1467" s="2" t="s">
        <v>3945</v>
      </c>
      <c r="C1467" s="1">
        <v>43286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  <c r="L1467" s="2" t="s">
        <v>11030</v>
      </c>
      <c r="M1467" s="2" t="s">
        <v>11029</v>
      </c>
      <c r="N1467" s="2" t="s">
        <v>11036</v>
      </c>
      <c r="O1467" s="2" t="s">
        <v>11035</v>
      </c>
      <c r="P1467" s="2" t="s">
        <v>11036</v>
      </c>
      <c r="Q1467" s="2">
        <f>AVERAGE(PerfRate[[#This Row],[EnvironmentSatisfaction]],PerfRate[[#This Row],[JobSatisfaction]],PerfRate[[#This Row],[RelationshipSatisfaction]])</f>
        <v>2.6666666666666665</v>
      </c>
      <c r="R1467" s="2">
        <f>PerfRate[[#This Row],[ManagerRating]] - PerfRate[[#This Row],[SelfRating]]</f>
        <v>-1</v>
      </c>
    </row>
    <row r="1468" spans="1:18">
      <c r="A1468" s="2" t="s">
        <v>5775</v>
      </c>
      <c r="B1468" s="2" t="s">
        <v>1962</v>
      </c>
      <c r="C1468" s="1">
        <v>43317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  <c r="L1468" s="2" t="s">
        <v>11029</v>
      </c>
      <c r="M1468" s="2" t="s">
        <v>11029</v>
      </c>
      <c r="N1468" s="2" t="s">
        <v>11036</v>
      </c>
      <c r="O1468" s="2" t="s">
        <v>11035</v>
      </c>
      <c r="P1468" s="2" t="s">
        <v>11036</v>
      </c>
      <c r="Q1468" s="2">
        <f>AVERAGE(PerfRate[[#This Row],[EnvironmentSatisfaction]],PerfRate[[#This Row],[JobSatisfaction]],PerfRate[[#This Row],[RelationshipSatisfaction]])</f>
        <v>2.6666666666666665</v>
      </c>
      <c r="R1468" s="2">
        <f>PerfRate[[#This Row],[ManagerRating]] - PerfRate[[#This Row],[SelfRating]]</f>
        <v>0</v>
      </c>
    </row>
    <row r="1469" spans="1:18">
      <c r="A1469" s="2" t="s">
        <v>5776</v>
      </c>
      <c r="B1469" s="2" t="s">
        <v>499</v>
      </c>
      <c r="C1469" s="1">
        <v>43317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  <c r="L1469" s="2" t="s">
        <v>11031</v>
      </c>
      <c r="M1469" s="2" t="s">
        <v>11031</v>
      </c>
      <c r="N1469" s="2" t="s">
        <v>11037</v>
      </c>
      <c r="O1469" s="2" t="s">
        <v>11037</v>
      </c>
      <c r="P1469" s="2" t="s">
        <v>11038</v>
      </c>
      <c r="Q1469" s="2">
        <f>AVERAGE(PerfRate[[#This Row],[EnvironmentSatisfaction]],PerfRate[[#This Row],[JobSatisfaction]],PerfRate[[#This Row],[RelationshipSatisfaction]])</f>
        <v>4.333333333333333</v>
      </c>
      <c r="R1469" s="2">
        <f>PerfRate[[#This Row],[ManagerRating]] - PerfRate[[#This Row],[SelfRating]]</f>
        <v>0</v>
      </c>
    </row>
    <row r="1470" spans="1:18">
      <c r="A1470" s="2" t="s">
        <v>5777</v>
      </c>
      <c r="B1470" s="2" t="s">
        <v>1148</v>
      </c>
      <c r="C1470" s="1">
        <v>43317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  <c r="L1470" s="2" t="s">
        <v>11031</v>
      </c>
      <c r="M1470" s="2" t="s">
        <v>11031</v>
      </c>
      <c r="N1470" s="2" t="s">
        <v>11036</v>
      </c>
      <c r="O1470" s="2" t="s">
        <v>11035</v>
      </c>
      <c r="P1470" s="2" t="s">
        <v>11038</v>
      </c>
      <c r="Q1470" s="2">
        <f>AVERAGE(PerfRate[[#This Row],[EnvironmentSatisfaction]],PerfRate[[#This Row],[JobSatisfaction]],PerfRate[[#This Row],[RelationshipSatisfaction]])</f>
        <v>3.3333333333333335</v>
      </c>
      <c r="R1470" s="2">
        <f>PerfRate[[#This Row],[ManagerRating]] - PerfRate[[#This Row],[SelfRating]]</f>
        <v>0</v>
      </c>
    </row>
    <row r="1471" spans="1:18">
      <c r="A1471" s="2" t="s">
        <v>5778</v>
      </c>
      <c r="B1471" s="2" t="s">
        <v>2363</v>
      </c>
      <c r="C1471" s="1">
        <v>43348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  <c r="L1471" s="2" t="s">
        <v>11029</v>
      </c>
      <c r="M1471" s="2" t="s">
        <v>11029</v>
      </c>
      <c r="N1471" s="2" t="s">
        <v>11036</v>
      </c>
      <c r="O1471" s="2" t="s">
        <v>11037</v>
      </c>
      <c r="P1471" s="2" t="s">
        <v>11035</v>
      </c>
      <c r="Q1471" s="2">
        <f>AVERAGE(PerfRate[[#This Row],[EnvironmentSatisfaction]],PerfRate[[#This Row],[JobSatisfaction]],PerfRate[[#This Row],[RelationshipSatisfaction]])</f>
        <v>3</v>
      </c>
      <c r="R1471" s="2">
        <f>PerfRate[[#This Row],[ManagerRating]] - PerfRate[[#This Row],[SelfRating]]</f>
        <v>0</v>
      </c>
    </row>
    <row r="1472" spans="1:18">
      <c r="A1472" s="2" t="s">
        <v>5779</v>
      </c>
      <c r="B1472" s="2" t="s">
        <v>3149</v>
      </c>
      <c r="C1472" s="1">
        <v>43378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  <c r="L1472" s="2" t="s">
        <v>11030</v>
      </c>
      <c r="M1472" s="2" t="s">
        <v>11030</v>
      </c>
      <c r="N1472" s="2" t="s">
        <v>11036</v>
      </c>
      <c r="O1472" s="2" t="s">
        <v>11038</v>
      </c>
      <c r="P1472" s="2" t="s">
        <v>11036</v>
      </c>
      <c r="Q1472" s="2">
        <f>AVERAGE(PerfRate[[#This Row],[EnvironmentSatisfaction]],PerfRate[[#This Row],[JobSatisfaction]],PerfRate[[#This Row],[RelationshipSatisfaction]])</f>
        <v>3.6666666666666665</v>
      </c>
      <c r="R1472" s="2">
        <f>PerfRate[[#This Row],[ManagerRating]] - PerfRate[[#This Row],[SelfRating]]</f>
        <v>0</v>
      </c>
    </row>
    <row r="1473" spans="1:18">
      <c r="A1473" s="2" t="s">
        <v>5780</v>
      </c>
      <c r="B1473" s="2" t="s">
        <v>973</v>
      </c>
      <c r="C1473" s="1">
        <v>43378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  <c r="L1473" s="2" t="s">
        <v>11029</v>
      </c>
      <c r="M1473" s="2" t="s">
        <v>11028</v>
      </c>
      <c r="N1473" s="2" t="s">
        <v>11038</v>
      </c>
      <c r="O1473" s="2" t="s">
        <v>11036</v>
      </c>
      <c r="P1473" s="2" t="s">
        <v>11035</v>
      </c>
      <c r="Q1473" s="2">
        <f>AVERAGE(PerfRate[[#This Row],[EnvironmentSatisfaction]],PerfRate[[#This Row],[JobSatisfaction]],PerfRate[[#This Row],[RelationshipSatisfaction]])</f>
        <v>3.3333333333333335</v>
      </c>
      <c r="R1473" s="2">
        <f>PerfRate[[#This Row],[ManagerRating]] - PerfRate[[#This Row],[SelfRating]]</f>
        <v>-1</v>
      </c>
    </row>
    <row r="1474" spans="1:18">
      <c r="A1474" s="2" t="s">
        <v>5781</v>
      </c>
      <c r="B1474" s="2" t="s">
        <v>2343</v>
      </c>
      <c r="C1474" s="1">
        <v>43409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  <c r="L1474" s="2" t="s">
        <v>11031</v>
      </c>
      <c r="M1474" s="2" t="s">
        <v>11031</v>
      </c>
      <c r="N1474" s="2" t="s">
        <v>11036</v>
      </c>
      <c r="O1474" s="2" t="s">
        <v>11038</v>
      </c>
      <c r="P1474" s="2" t="s">
        <v>11037</v>
      </c>
      <c r="Q1474" s="2">
        <f>AVERAGE(PerfRate[[#This Row],[EnvironmentSatisfaction]],PerfRate[[#This Row],[JobSatisfaction]],PerfRate[[#This Row],[RelationshipSatisfaction]])</f>
        <v>4</v>
      </c>
      <c r="R1474" s="2">
        <f>PerfRate[[#This Row],[ManagerRating]] - PerfRate[[#This Row],[SelfRating]]</f>
        <v>0</v>
      </c>
    </row>
    <row r="1475" spans="1:18">
      <c r="A1475" s="2" t="s">
        <v>5782</v>
      </c>
      <c r="B1475" s="2" t="s">
        <v>305</v>
      </c>
      <c r="C1475" s="1">
        <v>43439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  <c r="L1475" s="2" t="s">
        <v>11031</v>
      </c>
      <c r="M1475" s="2" t="s">
        <v>11031</v>
      </c>
      <c r="N1475" s="2" t="s">
        <v>11038</v>
      </c>
      <c r="O1475" s="2" t="s">
        <v>11038</v>
      </c>
      <c r="P1475" s="2" t="s">
        <v>11038</v>
      </c>
      <c r="Q1475" s="2">
        <f>AVERAGE(PerfRate[[#This Row],[EnvironmentSatisfaction]],PerfRate[[#This Row],[JobSatisfaction]],PerfRate[[#This Row],[RelationshipSatisfaction]])</f>
        <v>5</v>
      </c>
      <c r="R1475" s="2">
        <f>PerfRate[[#This Row],[ManagerRating]] - PerfRate[[#This Row],[SelfRating]]</f>
        <v>0</v>
      </c>
    </row>
    <row r="1476" spans="1:18">
      <c r="A1476" s="2" t="s">
        <v>5783</v>
      </c>
      <c r="B1476" s="2" t="s">
        <v>2158</v>
      </c>
      <c r="C1476" s="1">
        <v>43439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  <c r="L1476" s="2" t="s">
        <v>11029</v>
      </c>
      <c r="M1476" s="2" t="s">
        <v>11029</v>
      </c>
      <c r="N1476" s="2" t="s">
        <v>11036</v>
      </c>
      <c r="O1476" s="2" t="s">
        <v>11038</v>
      </c>
      <c r="P1476" s="2" t="s">
        <v>11037</v>
      </c>
      <c r="Q1476" s="2">
        <f>AVERAGE(PerfRate[[#This Row],[EnvironmentSatisfaction]],PerfRate[[#This Row],[JobSatisfaction]],PerfRate[[#This Row],[RelationshipSatisfaction]])</f>
        <v>4</v>
      </c>
      <c r="R1476" s="2">
        <f>PerfRate[[#This Row],[ManagerRating]] - PerfRate[[#This Row],[SelfRating]]</f>
        <v>0</v>
      </c>
    </row>
    <row r="1477" spans="1:18">
      <c r="A1477" s="2" t="s">
        <v>5784</v>
      </c>
      <c r="B1477" s="2" t="s">
        <v>2119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  <c r="L1477" s="2" t="s">
        <v>11030</v>
      </c>
      <c r="M1477" s="2" t="s">
        <v>11030</v>
      </c>
      <c r="N1477" s="2" t="s">
        <v>11038</v>
      </c>
      <c r="O1477" s="2" t="s">
        <v>11037</v>
      </c>
      <c r="P1477" s="2" t="s">
        <v>11038</v>
      </c>
      <c r="Q1477" s="2">
        <f>AVERAGE(PerfRate[[#This Row],[EnvironmentSatisfaction]],PerfRate[[#This Row],[JobSatisfaction]],PerfRate[[#This Row],[RelationshipSatisfaction]])</f>
        <v>4.666666666666667</v>
      </c>
      <c r="R1477" s="2">
        <f>PerfRate[[#This Row],[ManagerRating]] - PerfRate[[#This Row],[SelfRating]]</f>
        <v>0</v>
      </c>
    </row>
    <row r="1478" spans="1:18">
      <c r="A1478" s="2" t="s">
        <v>5785</v>
      </c>
      <c r="B1478" s="2" t="s">
        <v>811</v>
      </c>
      <c r="C1478" s="1">
        <v>43439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  <c r="L1478" s="2" t="s">
        <v>11031</v>
      </c>
      <c r="M1478" s="2" t="s">
        <v>11031</v>
      </c>
      <c r="N1478" s="2" t="s">
        <v>11038</v>
      </c>
      <c r="O1478" s="2" t="s">
        <v>11035</v>
      </c>
      <c r="P1478" s="2" t="s">
        <v>11037</v>
      </c>
      <c r="Q1478" s="2">
        <f>AVERAGE(PerfRate[[#This Row],[EnvironmentSatisfaction]],PerfRate[[#This Row],[JobSatisfaction]],PerfRate[[#This Row],[RelationshipSatisfaction]])</f>
        <v>3.6666666666666665</v>
      </c>
      <c r="R1478" s="2">
        <f>PerfRate[[#This Row],[ManagerRating]] - PerfRate[[#This Row],[SelfRating]]</f>
        <v>0</v>
      </c>
    </row>
    <row r="1479" spans="1:18">
      <c r="A1479" s="2" t="s">
        <v>5786</v>
      </c>
      <c r="B1479" s="2" t="s">
        <v>57</v>
      </c>
      <c r="C1479" s="1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  <c r="L1479" s="2" t="s">
        <v>11030</v>
      </c>
      <c r="M1479" s="2" t="s">
        <v>11029</v>
      </c>
      <c r="N1479" s="2" t="s">
        <v>11037</v>
      </c>
      <c r="O1479" s="2" t="s">
        <v>11036</v>
      </c>
      <c r="P1479" s="2" t="s">
        <v>11035</v>
      </c>
      <c r="Q1479" s="2">
        <f>AVERAGE(PerfRate[[#This Row],[EnvironmentSatisfaction]],PerfRate[[#This Row],[JobSatisfaction]],PerfRate[[#This Row],[RelationshipSatisfaction]])</f>
        <v>3</v>
      </c>
      <c r="R1479" s="2">
        <f>PerfRate[[#This Row],[ManagerRating]] - PerfRate[[#This Row],[SelfRating]]</f>
        <v>-1</v>
      </c>
    </row>
    <row r="1480" spans="1:18">
      <c r="A1480" s="2" t="s">
        <v>5787</v>
      </c>
      <c r="B1480" s="2" t="s">
        <v>1572</v>
      </c>
      <c r="C1480" s="1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  <c r="L1480" s="2" t="s">
        <v>11029</v>
      </c>
      <c r="M1480" s="2" t="s">
        <v>11029</v>
      </c>
      <c r="N1480" s="2" t="s">
        <v>11038</v>
      </c>
      <c r="O1480" s="2" t="s">
        <v>11037</v>
      </c>
      <c r="P1480" s="2" t="s">
        <v>11035</v>
      </c>
      <c r="Q1480" s="2">
        <f>AVERAGE(PerfRate[[#This Row],[EnvironmentSatisfaction]],PerfRate[[#This Row],[JobSatisfaction]],PerfRate[[#This Row],[RelationshipSatisfaction]])</f>
        <v>3.6666666666666665</v>
      </c>
      <c r="R1480" s="2">
        <f>PerfRate[[#This Row],[ManagerRating]] - PerfRate[[#This Row],[SelfRating]]</f>
        <v>0</v>
      </c>
    </row>
    <row r="1481" spans="1:18">
      <c r="A1481" s="2" t="s">
        <v>5788</v>
      </c>
      <c r="B1481" s="2" t="s">
        <v>338</v>
      </c>
      <c r="C1481" s="1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  <c r="L1481" s="2" t="s">
        <v>11030</v>
      </c>
      <c r="M1481" s="2" t="s">
        <v>11029</v>
      </c>
      <c r="N1481" s="2" t="s">
        <v>11036</v>
      </c>
      <c r="O1481" s="2" t="s">
        <v>11036</v>
      </c>
      <c r="P1481" s="2" t="s">
        <v>11037</v>
      </c>
      <c r="Q1481" s="2">
        <f>AVERAGE(PerfRate[[#This Row],[EnvironmentSatisfaction]],PerfRate[[#This Row],[JobSatisfaction]],PerfRate[[#This Row],[RelationshipSatisfaction]])</f>
        <v>3.3333333333333335</v>
      </c>
      <c r="R1481" s="2">
        <f>PerfRate[[#This Row],[ManagerRating]] - PerfRate[[#This Row],[SelfRating]]</f>
        <v>-1</v>
      </c>
    </row>
    <row r="1482" spans="1:18">
      <c r="A1482" s="2" t="s">
        <v>5789</v>
      </c>
      <c r="B1482" s="2" t="s">
        <v>613</v>
      </c>
      <c r="C1482" s="1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  <c r="L1482" s="2" t="s">
        <v>11029</v>
      </c>
      <c r="M1482" s="2" t="s">
        <v>11029</v>
      </c>
      <c r="N1482" s="2" t="s">
        <v>11038</v>
      </c>
      <c r="O1482" s="2" t="s">
        <v>11036</v>
      </c>
      <c r="P1482" s="2" t="s">
        <v>11036</v>
      </c>
      <c r="Q1482" s="2">
        <f>AVERAGE(PerfRate[[#This Row],[EnvironmentSatisfaction]],PerfRate[[#This Row],[JobSatisfaction]],PerfRate[[#This Row],[RelationshipSatisfaction]])</f>
        <v>3.6666666666666665</v>
      </c>
      <c r="R1482" s="2">
        <f>PerfRate[[#This Row],[ManagerRating]] - PerfRate[[#This Row],[SelfRating]]</f>
        <v>0</v>
      </c>
    </row>
    <row r="1483" spans="1:18">
      <c r="A1483" s="2" t="s">
        <v>5790</v>
      </c>
      <c r="B1483" s="2" t="s">
        <v>1626</v>
      </c>
      <c r="C1483" s="1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  <c r="L1483" s="2" t="s">
        <v>11030</v>
      </c>
      <c r="M1483" s="2" t="s">
        <v>11029</v>
      </c>
      <c r="N1483" s="2" t="s">
        <v>11037</v>
      </c>
      <c r="O1483" s="2" t="s">
        <v>11036</v>
      </c>
      <c r="P1483" s="2" t="s">
        <v>11035</v>
      </c>
      <c r="Q1483" s="2">
        <f>AVERAGE(PerfRate[[#This Row],[EnvironmentSatisfaction]],PerfRate[[#This Row],[JobSatisfaction]],PerfRate[[#This Row],[RelationshipSatisfaction]])</f>
        <v>3</v>
      </c>
      <c r="R1483" s="2">
        <f>PerfRate[[#This Row],[ManagerRating]] - PerfRate[[#This Row],[SelfRating]]</f>
        <v>-1</v>
      </c>
    </row>
    <row r="1484" spans="1:18">
      <c r="A1484" s="2" t="s">
        <v>5791</v>
      </c>
      <c r="B1484" s="2" t="s">
        <v>898</v>
      </c>
      <c r="C1484" s="1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  <c r="L1484" s="2" t="s">
        <v>11031</v>
      </c>
      <c r="M1484" s="2" t="s">
        <v>11031</v>
      </c>
      <c r="N1484" s="2" t="s">
        <v>11037</v>
      </c>
      <c r="O1484" s="2" t="s">
        <v>11035</v>
      </c>
      <c r="P1484" s="2" t="s">
        <v>11038</v>
      </c>
      <c r="Q1484" s="2">
        <f>AVERAGE(PerfRate[[#This Row],[EnvironmentSatisfaction]],PerfRate[[#This Row],[JobSatisfaction]],PerfRate[[#This Row],[RelationshipSatisfaction]])</f>
        <v>3.6666666666666665</v>
      </c>
      <c r="R1484" s="2">
        <f>PerfRate[[#This Row],[ManagerRating]] - PerfRate[[#This Row],[SelfRating]]</f>
        <v>0</v>
      </c>
    </row>
    <row r="1485" spans="1:18">
      <c r="A1485" s="2" t="s">
        <v>5792</v>
      </c>
      <c r="B1485" s="2" t="s">
        <v>1432</v>
      </c>
      <c r="C1485" s="1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  <c r="L1485" s="2" t="s">
        <v>11029</v>
      </c>
      <c r="M1485" s="2" t="s">
        <v>11029</v>
      </c>
      <c r="N1485" s="2" t="s">
        <v>11036</v>
      </c>
      <c r="O1485" s="2" t="s">
        <v>11036</v>
      </c>
      <c r="P1485" s="2" t="s">
        <v>11036</v>
      </c>
      <c r="Q1485" s="2">
        <f>AVERAGE(PerfRate[[#This Row],[EnvironmentSatisfaction]],PerfRate[[#This Row],[JobSatisfaction]],PerfRate[[#This Row],[RelationshipSatisfaction]])</f>
        <v>3</v>
      </c>
      <c r="R1485" s="2">
        <f>PerfRate[[#This Row],[ManagerRating]] - PerfRate[[#This Row],[SelfRating]]</f>
        <v>0</v>
      </c>
    </row>
    <row r="1486" spans="1:18">
      <c r="A1486" s="2" t="s">
        <v>5793</v>
      </c>
      <c r="B1486" s="2" t="s">
        <v>2142</v>
      </c>
      <c r="C1486" s="1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  <c r="L1486" s="2" t="s">
        <v>11031</v>
      </c>
      <c r="M1486" s="2" t="s">
        <v>11031</v>
      </c>
      <c r="N1486" s="2" t="s">
        <v>11036</v>
      </c>
      <c r="O1486" s="2" t="s">
        <v>11035</v>
      </c>
      <c r="P1486" s="2" t="s">
        <v>11035</v>
      </c>
      <c r="Q1486" s="2">
        <f>AVERAGE(PerfRate[[#This Row],[EnvironmentSatisfaction]],PerfRate[[#This Row],[JobSatisfaction]],PerfRate[[#This Row],[RelationshipSatisfaction]])</f>
        <v>2.3333333333333335</v>
      </c>
      <c r="R1486" s="2">
        <f>PerfRate[[#This Row],[ManagerRating]] - PerfRate[[#This Row],[SelfRating]]</f>
        <v>0</v>
      </c>
    </row>
    <row r="1487" spans="1:18">
      <c r="A1487" s="2" t="s">
        <v>5794</v>
      </c>
      <c r="B1487" s="2" t="s">
        <v>1329</v>
      </c>
      <c r="C1487" s="1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  <c r="L1487" s="2" t="s">
        <v>11029</v>
      </c>
      <c r="M1487" s="2" t="s">
        <v>11028</v>
      </c>
      <c r="N1487" s="2" t="s">
        <v>11038</v>
      </c>
      <c r="O1487" s="2" t="s">
        <v>11038</v>
      </c>
      <c r="P1487" s="2" t="s">
        <v>11036</v>
      </c>
      <c r="Q1487" s="2">
        <f>AVERAGE(PerfRate[[#This Row],[EnvironmentSatisfaction]],PerfRate[[#This Row],[JobSatisfaction]],PerfRate[[#This Row],[RelationshipSatisfaction]])</f>
        <v>4.333333333333333</v>
      </c>
      <c r="R1487" s="2">
        <f>PerfRate[[#This Row],[ManagerRating]] - PerfRate[[#This Row],[SelfRating]]</f>
        <v>-1</v>
      </c>
    </row>
    <row r="1488" spans="1:18">
      <c r="A1488" s="2" t="s">
        <v>5795</v>
      </c>
      <c r="B1488" s="2" t="s">
        <v>2351</v>
      </c>
      <c r="C1488" s="1">
        <v>41732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  <c r="L1488" s="2" t="s">
        <v>11029</v>
      </c>
      <c r="M1488" s="2" t="s">
        <v>11028</v>
      </c>
      <c r="N1488" s="2" t="s">
        <v>11038</v>
      </c>
      <c r="O1488" s="2" t="s">
        <v>11037</v>
      </c>
      <c r="P1488" s="2" t="s">
        <v>11038</v>
      </c>
      <c r="Q1488" s="2">
        <f>AVERAGE(PerfRate[[#This Row],[EnvironmentSatisfaction]],PerfRate[[#This Row],[JobSatisfaction]],PerfRate[[#This Row],[RelationshipSatisfaction]])</f>
        <v>4.666666666666667</v>
      </c>
      <c r="R1488" s="2">
        <f>PerfRate[[#This Row],[ManagerRating]] - PerfRate[[#This Row],[SelfRating]]</f>
        <v>-1</v>
      </c>
    </row>
    <row r="1489" spans="1:18">
      <c r="A1489" s="2" t="s">
        <v>5796</v>
      </c>
      <c r="B1489" s="2" t="s">
        <v>392</v>
      </c>
      <c r="C1489" s="1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  <c r="L1489" s="2" t="s">
        <v>11029</v>
      </c>
      <c r="M1489" s="2" t="s">
        <v>11029</v>
      </c>
      <c r="N1489" s="2" t="s">
        <v>11038</v>
      </c>
      <c r="O1489" s="2" t="s">
        <v>11038</v>
      </c>
      <c r="P1489" s="2" t="s">
        <v>11037</v>
      </c>
      <c r="Q1489" s="2">
        <f>AVERAGE(PerfRate[[#This Row],[EnvironmentSatisfaction]],PerfRate[[#This Row],[JobSatisfaction]],PerfRate[[#This Row],[RelationshipSatisfaction]])</f>
        <v>4.666666666666667</v>
      </c>
      <c r="R1489" s="2">
        <f>PerfRate[[#This Row],[ManagerRating]] - PerfRate[[#This Row],[SelfRating]]</f>
        <v>0</v>
      </c>
    </row>
    <row r="1490" spans="1:18">
      <c r="A1490" s="2" t="s">
        <v>5797</v>
      </c>
      <c r="B1490" s="2" t="s">
        <v>479</v>
      </c>
      <c r="C1490" s="1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  <c r="L1490" s="2" t="s">
        <v>11030</v>
      </c>
      <c r="M1490" s="2" t="s">
        <v>11029</v>
      </c>
      <c r="N1490" s="2" t="s">
        <v>11038</v>
      </c>
      <c r="O1490" s="2" t="s">
        <v>11038</v>
      </c>
      <c r="P1490" s="2" t="s">
        <v>11036</v>
      </c>
      <c r="Q1490" s="2">
        <f>AVERAGE(PerfRate[[#This Row],[EnvironmentSatisfaction]],PerfRate[[#This Row],[JobSatisfaction]],PerfRate[[#This Row],[RelationshipSatisfaction]])</f>
        <v>4.333333333333333</v>
      </c>
      <c r="R1490" s="2">
        <f>PerfRate[[#This Row],[ManagerRating]] - PerfRate[[#This Row],[SelfRating]]</f>
        <v>-1</v>
      </c>
    </row>
    <row r="1491" spans="1:18">
      <c r="A1491" s="2" t="s">
        <v>5798</v>
      </c>
      <c r="B1491" s="2" t="s">
        <v>616</v>
      </c>
      <c r="C1491" s="1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  <c r="L1491" s="2" t="s">
        <v>11029</v>
      </c>
      <c r="M1491" s="2" t="s">
        <v>11029</v>
      </c>
      <c r="N1491" s="2" t="s">
        <v>11036</v>
      </c>
      <c r="O1491" s="2" t="s">
        <v>11036</v>
      </c>
      <c r="P1491" s="2" t="s">
        <v>11037</v>
      </c>
      <c r="Q1491" s="2">
        <f>AVERAGE(PerfRate[[#This Row],[EnvironmentSatisfaction]],PerfRate[[#This Row],[JobSatisfaction]],PerfRate[[#This Row],[RelationshipSatisfaction]])</f>
        <v>3.3333333333333335</v>
      </c>
      <c r="R1491" s="2">
        <f>PerfRate[[#This Row],[ManagerRating]] - PerfRate[[#This Row],[SelfRating]]</f>
        <v>0</v>
      </c>
    </row>
    <row r="1492" spans="1:18">
      <c r="A1492" s="2" t="s">
        <v>5799</v>
      </c>
      <c r="B1492" s="2" t="s">
        <v>670</v>
      </c>
      <c r="C1492" s="1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  <c r="L1492" s="2" t="s">
        <v>11031</v>
      </c>
      <c r="M1492" s="2" t="s">
        <v>11030</v>
      </c>
      <c r="N1492" s="2" t="s">
        <v>11036</v>
      </c>
      <c r="O1492" s="2" t="s">
        <v>11036</v>
      </c>
      <c r="P1492" s="2" t="s">
        <v>11036</v>
      </c>
      <c r="Q1492" s="2">
        <f>AVERAGE(PerfRate[[#This Row],[EnvironmentSatisfaction]],PerfRate[[#This Row],[JobSatisfaction]],PerfRate[[#This Row],[RelationshipSatisfaction]])</f>
        <v>3</v>
      </c>
      <c r="R1492" s="2">
        <f>PerfRate[[#This Row],[ManagerRating]] - PerfRate[[#This Row],[SelfRating]]</f>
        <v>-1</v>
      </c>
    </row>
    <row r="1493" spans="1:18">
      <c r="A1493" s="2" t="s">
        <v>5800</v>
      </c>
      <c r="B1493" s="2" t="s">
        <v>2500</v>
      </c>
      <c r="C1493" s="1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  <c r="L1493" s="2" t="s">
        <v>11029</v>
      </c>
      <c r="M1493" s="2" t="s">
        <v>11028</v>
      </c>
      <c r="N1493" s="2" t="s">
        <v>11037</v>
      </c>
      <c r="O1493" s="2" t="s">
        <v>11038</v>
      </c>
      <c r="P1493" s="2" t="s">
        <v>11035</v>
      </c>
      <c r="Q1493" s="2">
        <f>AVERAGE(PerfRate[[#This Row],[EnvironmentSatisfaction]],PerfRate[[#This Row],[JobSatisfaction]],PerfRate[[#This Row],[RelationshipSatisfaction]])</f>
        <v>3.6666666666666665</v>
      </c>
      <c r="R1493" s="2">
        <f>PerfRate[[#This Row],[ManagerRating]] - PerfRate[[#This Row],[SelfRating]]</f>
        <v>-1</v>
      </c>
    </row>
    <row r="1494" spans="1:18">
      <c r="A1494" s="2" t="s">
        <v>5801</v>
      </c>
      <c r="B1494" s="2" t="s">
        <v>1716</v>
      </c>
      <c r="C1494" s="1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  <c r="L1494" s="2" t="s">
        <v>11030</v>
      </c>
      <c r="M1494" s="2" t="s">
        <v>11030</v>
      </c>
      <c r="N1494" s="2" t="s">
        <v>11038</v>
      </c>
      <c r="O1494" s="2" t="s">
        <v>11035</v>
      </c>
      <c r="P1494" s="2" t="s">
        <v>11038</v>
      </c>
      <c r="Q1494" s="2">
        <f>AVERAGE(PerfRate[[#This Row],[EnvironmentSatisfaction]],PerfRate[[#This Row],[JobSatisfaction]],PerfRate[[#This Row],[RelationshipSatisfaction]])</f>
        <v>4</v>
      </c>
      <c r="R1494" s="2">
        <f>PerfRate[[#This Row],[ManagerRating]] - PerfRate[[#This Row],[SelfRating]]</f>
        <v>0</v>
      </c>
    </row>
    <row r="1495" spans="1:18">
      <c r="A1495" s="2" t="s">
        <v>5802</v>
      </c>
      <c r="B1495" s="2" t="s">
        <v>1292</v>
      </c>
      <c r="C1495" s="1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  <c r="L1495" s="2" t="s">
        <v>11030</v>
      </c>
      <c r="M1495" s="2" t="s">
        <v>11029</v>
      </c>
      <c r="N1495" s="2" t="s">
        <v>11036</v>
      </c>
      <c r="O1495" s="2" t="s">
        <v>11035</v>
      </c>
      <c r="P1495" s="2" t="s">
        <v>11038</v>
      </c>
      <c r="Q1495" s="2">
        <f>AVERAGE(PerfRate[[#This Row],[EnvironmentSatisfaction]],PerfRate[[#This Row],[JobSatisfaction]],PerfRate[[#This Row],[RelationshipSatisfaction]])</f>
        <v>3.3333333333333335</v>
      </c>
      <c r="R1495" s="2">
        <f>PerfRate[[#This Row],[ManagerRating]] - PerfRate[[#This Row],[SelfRating]]</f>
        <v>-1</v>
      </c>
    </row>
    <row r="1496" spans="1:18">
      <c r="A1496" s="2" t="s">
        <v>5803</v>
      </c>
      <c r="B1496" s="2" t="s">
        <v>1647</v>
      </c>
      <c r="C1496" s="1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  <c r="L1496" s="2" t="s">
        <v>11031</v>
      </c>
      <c r="M1496" s="2" t="s">
        <v>11031</v>
      </c>
      <c r="N1496" s="2" t="s">
        <v>11038</v>
      </c>
      <c r="O1496" s="2" t="s">
        <v>11035</v>
      </c>
      <c r="P1496" s="2" t="s">
        <v>11038</v>
      </c>
      <c r="Q1496" s="2">
        <f>AVERAGE(PerfRate[[#This Row],[EnvironmentSatisfaction]],PerfRate[[#This Row],[JobSatisfaction]],PerfRate[[#This Row],[RelationshipSatisfaction]])</f>
        <v>4</v>
      </c>
      <c r="R1496" s="2">
        <f>PerfRate[[#This Row],[ManagerRating]] - PerfRate[[#This Row],[SelfRating]]</f>
        <v>0</v>
      </c>
    </row>
    <row r="1497" spans="1:18">
      <c r="A1497" s="2" t="s">
        <v>5804</v>
      </c>
      <c r="B1497" s="2" t="s">
        <v>458</v>
      </c>
      <c r="C1497" s="1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  <c r="L1497" s="2" t="s">
        <v>11030</v>
      </c>
      <c r="M1497" s="2" t="s">
        <v>11030</v>
      </c>
      <c r="N1497" s="2" t="s">
        <v>11036</v>
      </c>
      <c r="O1497" s="2" t="s">
        <v>11035</v>
      </c>
      <c r="P1497" s="2" t="s">
        <v>11035</v>
      </c>
      <c r="Q1497" s="2">
        <f>AVERAGE(PerfRate[[#This Row],[EnvironmentSatisfaction]],PerfRate[[#This Row],[JobSatisfaction]],PerfRate[[#This Row],[RelationshipSatisfaction]])</f>
        <v>2.3333333333333335</v>
      </c>
      <c r="R1497" s="2">
        <f>PerfRate[[#This Row],[ManagerRating]] - PerfRate[[#This Row],[SelfRating]]</f>
        <v>0</v>
      </c>
    </row>
    <row r="1498" spans="1:18">
      <c r="A1498" s="2" t="s">
        <v>5805</v>
      </c>
      <c r="B1498" s="2" t="s">
        <v>3212</v>
      </c>
      <c r="C1498" s="1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  <c r="L1498" s="2" t="s">
        <v>11029</v>
      </c>
      <c r="M1498" s="2" t="s">
        <v>11028</v>
      </c>
      <c r="N1498" s="2" t="s">
        <v>11036</v>
      </c>
      <c r="O1498" s="2" t="s">
        <v>11037</v>
      </c>
      <c r="P1498" s="2" t="s">
        <v>11037</v>
      </c>
      <c r="Q1498" s="2">
        <f>AVERAGE(PerfRate[[#This Row],[EnvironmentSatisfaction]],PerfRate[[#This Row],[JobSatisfaction]],PerfRate[[#This Row],[RelationshipSatisfaction]])</f>
        <v>3.6666666666666665</v>
      </c>
      <c r="R1498" s="2">
        <f>PerfRate[[#This Row],[ManagerRating]] - PerfRate[[#This Row],[SelfRating]]</f>
        <v>-1</v>
      </c>
    </row>
    <row r="1499" spans="1:18">
      <c r="A1499" s="2" t="s">
        <v>5806</v>
      </c>
      <c r="B1499" s="2" t="s">
        <v>550</v>
      </c>
      <c r="C1499" s="1">
        <v>41732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  <c r="L1499" s="2" t="s">
        <v>11029</v>
      </c>
      <c r="M1499" s="2" t="s">
        <v>11029</v>
      </c>
      <c r="N1499" s="2" t="s">
        <v>11038</v>
      </c>
      <c r="O1499" s="2" t="s">
        <v>11038</v>
      </c>
      <c r="P1499" s="2" t="s">
        <v>11038</v>
      </c>
      <c r="Q1499" s="2">
        <f>AVERAGE(PerfRate[[#This Row],[EnvironmentSatisfaction]],PerfRate[[#This Row],[JobSatisfaction]],PerfRate[[#This Row],[RelationshipSatisfaction]])</f>
        <v>5</v>
      </c>
      <c r="R1499" s="2">
        <f>PerfRate[[#This Row],[ManagerRating]] - PerfRate[[#This Row],[SelfRating]]</f>
        <v>0</v>
      </c>
    </row>
    <row r="1500" spans="1:18">
      <c r="A1500" s="2" t="s">
        <v>5807</v>
      </c>
      <c r="B1500" s="2" t="s">
        <v>1145</v>
      </c>
      <c r="C1500" s="1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  <c r="L1500" s="2" t="s">
        <v>11031</v>
      </c>
      <c r="M1500" s="2" t="s">
        <v>11031</v>
      </c>
      <c r="N1500" s="2" t="s">
        <v>11038</v>
      </c>
      <c r="O1500" s="2" t="s">
        <v>11037</v>
      </c>
      <c r="P1500" s="2" t="s">
        <v>11036</v>
      </c>
      <c r="Q1500" s="2">
        <f>AVERAGE(PerfRate[[#This Row],[EnvironmentSatisfaction]],PerfRate[[#This Row],[JobSatisfaction]],PerfRate[[#This Row],[RelationshipSatisfaction]])</f>
        <v>4</v>
      </c>
      <c r="R1500" s="2">
        <f>PerfRate[[#This Row],[ManagerRating]] - PerfRate[[#This Row],[SelfRating]]</f>
        <v>0</v>
      </c>
    </row>
    <row r="1501" spans="1:18">
      <c r="A1501" s="2" t="s">
        <v>5808</v>
      </c>
      <c r="B1501" s="2" t="s">
        <v>3772</v>
      </c>
      <c r="C1501" s="1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  <c r="L1501" s="2" t="s">
        <v>11030</v>
      </c>
      <c r="M1501" s="2" t="s">
        <v>11030</v>
      </c>
      <c r="N1501" s="2" t="s">
        <v>11038</v>
      </c>
      <c r="O1501" s="2" t="s">
        <v>11038</v>
      </c>
      <c r="P1501" s="2" t="s">
        <v>11037</v>
      </c>
      <c r="Q1501" s="2">
        <f>AVERAGE(PerfRate[[#This Row],[EnvironmentSatisfaction]],PerfRate[[#This Row],[JobSatisfaction]],PerfRate[[#This Row],[RelationshipSatisfaction]])</f>
        <v>4.666666666666667</v>
      </c>
      <c r="R1501" s="2">
        <f>PerfRate[[#This Row],[ManagerRating]] - PerfRate[[#This Row],[SelfRating]]</f>
        <v>0</v>
      </c>
    </row>
    <row r="1502" spans="1:18">
      <c r="A1502" s="2" t="s">
        <v>5809</v>
      </c>
      <c r="B1502" s="2" t="s">
        <v>1927</v>
      </c>
      <c r="C1502" s="1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  <c r="L1502" s="2" t="s">
        <v>11029</v>
      </c>
      <c r="M1502" s="2" t="s">
        <v>11029</v>
      </c>
      <c r="N1502" s="2" t="s">
        <v>11038</v>
      </c>
      <c r="O1502" s="2" t="s">
        <v>11038</v>
      </c>
      <c r="P1502" s="2" t="s">
        <v>11036</v>
      </c>
      <c r="Q1502" s="2">
        <f>AVERAGE(PerfRate[[#This Row],[EnvironmentSatisfaction]],PerfRate[[#This Row],[JobSatisfaction]],PerfRate[[#This Row],[RelationshipSatisfaction]])</f>
        <v>4.333333333333333</v>
      </c>
      <c r="R1502" s="2">
        <f>PerfRate[[#This Row],[ManagerRating]] - PerfRate[[#This Row],[SelfRating]]</f>
        <v>0</v>
      </c>
    </row>
    <row r="1503" spans="1:18">
      <c r="A1503" s="2" t="s">
        <v>5810</v>
      </c>
      <c r="B1503" s="2" t="s">
        <v>4257</v>
      </c>
      <c r="C1503" s="1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  <c r="L1503" s="2" t="s">
        <v>11031</v>
      </c>
      <c r="M1503" s="2" t="s">
        <v>11031</v>
      </c>
      <c r="N1503" s="2" t="s">
        <v>11038</v>
      </c>
      <c r="O1503" s="2" t="s">
        <v>11035</v>
      </c>
      <c r="P1503" s="2" t="s">
        <v>11037</v>
      </c>
      <c r="Q1503" s="2">
        <f>AVERAGE(PerfRate[[#This Row],[EnvironmentSatisfaction]],PerfRate[[#This Row],[JobSatisfaction]],PerfRate[[#This Row],[RelationshipSatisfaction]])</f>
        <v>3.6666666666666665</v>
      </c>
      <c r="R1503" s="2">
        <f>PerfRate[[#This Row],[ManagerRating]] - PerfRate[[#This Row],[SelfRating]]</f>
        <v>0</v>
      </c>
    </row>
    <row r="1504" spans="1:18">
      <c r="A1504" s="2" t="s">
        <v>5811</v>
      </c>
      <c r="B1504" s="2" t="s">
        <v>109</v>
      </c>
      <c r="C1504" s="1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  <c r="L1504" s="2" t="s">
        <v>11029</v>
      </c>
      <c r="M1504" s="2" t="s">
        <v>11029</v>
      </c>
      <c r="N1504" s="2" t="s">
        <v>11036</v>
      </c>
      <c r="O1504" s="2" t="s">
        <v>11038</v>
      </c>
      <c r="P1504" s="2" t="s">
        <v>11036</v>
      </c>
      <c r="Q1504" s="2">
        <f>AVERAGE(PerfRate[[#This Row],[EnvironmentSatisfaction]],PerfRate[[#This Row],[JobSatisfaction]],PerfRate[[#This Row],[RelationshipSatisfaction]])</f>
        <v>3.6666666666666665</v>
      </c>
      <c r="R1504" s="2">
        <f>PerfRate[[#This Row],[ManagerRating]] - PerfRate[[#This Row],[SelfRating]]</f>
        <v>0</v>
      </c>
    </row>
    <row r="1505" spans="1:18">
      <c r="A1505" s="2" t="s">
        <v>5812</v>
      </c>
      <c r="B1505" s="2" t="s">
        <v>910</v>
      </c>
      <c r="C1505" s="1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  <c r="L1505" s="2" t="s">
        <v>11029</v>
      </c>
      <c r="M1505" s="2" t="s">
        <v>11029</v>
      </c>
      <c r="N1505" s="2" t="s">
        <v>11036</v>
      </c>
      <c r="O1505" s="2" t="s">
        <v>11036</v>
      </c>
      <c r="P1505" s="2" t="s">
        <v>11035</v>
      </c>
      <c r="Q1505" s="2">
        <f>AVERAGE(PerfRate[[#This Row],[EnvironmentSatisfaction]],PerfRate[[#This Row],[JobSatisfaction]],PerfRate[[#This Row],[RelationshipSatisfaction]])</f>
        <v>2.6666666666666665</v>
      </c>
      <c r="R1505" s="2">
        <f>PerfRate[[#This Row],[ManagerRating]] - PerfRate[[#This Row],[SelfRating]]</f>
        <v>0</v>
      </c>
    </row>
    <row r="1506" spans="1:18">
      <c r="A1506" s="2" t="s">
        <v>5813</v>
      </c>
      <c r="B1506" s="2" t="s">
        <v>1286</v>
      </c>
      <c r="C1506" s="1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  <c r="L1506" s="2" t="s">
        <v>11031</v>
      </c>
      <c r="M1506" s="2" t="s">
        <v>11030</v>
      </c>
      <c r="N1506" s="2" t="s">
        <v>11038</v>
      </c>
      <c r="O1506" s="2" t="s">
        <v>11035</v>
      </c>
      <c r="P1506" s="2" t="s">
        <v>11036</v>
      </c>
      <c r="Q1506" s="2">
        <f>AVERAGE(PerfRate[[#This Row],[EnvironmentSatisfaction]],PerfRate[[#This Row],[JobSatisfaction]],PerfRate[[#This Row],[RelationshipSatisfaction]])</f>
        <v>3.3333333333333335</v>
      </c>
      <c r="R1506" s="2">
        <f>PerfRate[[#This Row],[ManagerRating]] - PerfRate[[#This Row],[SelfRating]]</f>
        <v>-1</v>
      </c>
    </row>
    <row r="1507" spans="1:18">
      <c r="A1507" s="2" t="s">
        <v>5814</v>
      </c>
      <c r="B1507" s="2" t="s">
        <v>1215</v>
      </c>
      <c r="C1507" s="1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  <c r="L1507" s="2" t="s">
        <v>11031</v>
      </c>
      <c r="M1507" s="2" t="s">
        <v>11030</v>
      </c>
      <c r="N1507" s="2" t="s">
        <v>11038</v>
      </c>
      <c r="O1507" s="2" t="s">
        <v>11035</v>
      </c>
      <c r="P1507" s="2" t="s">
        <v>11035</v>
      </c>
      <c r="Q1507" s="2">
        <f>AVERAGE(PerfRate[[#This Row],[EnvironmentSatisfaction]],PerfRate[[#This Row],[JobSatisfaction]],PerfRate[[#This Row],[RelationshipSatisfaction]])</f>
        <v>3</v>
      </c>
      <c r="R1507" s="2">
        <f>PerfRate[[#This Row],[ManagerRating]] - PerfRate[[#This Row],[SelfRating]]</f>
        <v>-1</v>
      </c>
    </row>
    <row r="1508" spans="1:18">
      <c r="A1508" s="2" t="s">
        <v>5815</v>
      </c>
      <c r="B1508" s="2" t="s">
        <v>1084</v>
      </c>
      <c r="C1508" s="1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  <c r="L1508" s="2" t="s">
        <v>11029</v>
      </c>
      <c r="M1508" s="2" t="s">
        <v>11029</v>
      </c>
      <c r="N1508" s="2" t="s">
        <v>11037</v>
      </c>
      <c r="O1508" s="2" t="s">
        <v>11036</v>
      </c>
      <c r="P1508" s="2" t="s">
        <v>11036</v>
      </c>
      <c r="Q1508" s="2">
        <f>AVERAGE(PerfRate[[#This Row],[EnvironmentSatisfaction]],PerfRate[[#This Row],[JobSatisfaction]],PerfRate[[#This Row],[RelationshipSatisfaction]])</f>
        <v>3.3333333333333335</v>
      </c>
      <c r="R1508" s="2">
        <f>PerfRate[[#This Row],[ManagerRating]] - PerfRate[[#This Row],[SelfRating]]</f>
        <v>0</v>
      </c>
    </row>
    <row r="1509" spans="1:18">
      <c r="A1509" s="2" t="s">
        <v>5816</v>
      </c>
      <c r="B1509" s="2" t="s">
        <v>3365</v>
      </c>
      <c r="C1509" s="1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  <c r="L1509" s="2" t="s">
        <v>11029</v>
      </c>
      <c r="M1509" s="2" t="s">
        <v>11029</v>
      </c>
      <c r="N1509" s="2" t="s">
        <v>11036</v>
      </c>
      <c r="O1509" s="2" t="s">
        <v>11036</v>
      </c>
      <c r="P1509" s="2" t="s">
        <v>11035</v>
      </c>
      <c r="Q1509" s="2">
        <f>AVERAGE(PerfRate[[#This Row],[EnvironmentSatisfaction]],PerfRate[[#This Row],[JobSatisfaction]],PerfRate[[#This Row],[RelationshipSatisfaction]])</f>
        <v>2.6666666666666665</v>
      </c>
      <c r="R1509" s="2">
        <f>PerfRate[[#This Row],[ManagerRating]] - PerfRate[[#This Row],[SelfRating]]</f>
        <v>0</v>
      </c>
    </row>
    <row r="1510" spans="1:18">
      <c r="A1510" s="2" t="s">
        <v>5817</v>
      </c>
      <c r="B1510" s="2" t="s">
        <v>1704</v>
      </c>
      <c r="C1510" s="1">
        <v>41732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  <c r="L1510" s="2" t="s">
        <v>11029</v>
      </c>
      <c r="M1510" s="2" t="s">
        <v>11029</v>
      </c>
      <c r="N1510" s="2" t="s">
        <v>11037</v>
      </c>
      <c r="O1510" s="2" t="s">
        <v>11037</v>
      </c>
      <c r="P1510" s="2" t="s">
        <v>11037</v>
      </c>
      <c r="Q1510" s="2">
        <f>AVERAGE(PerfRate[[#This Row],[EnvironmentSatisfaction]],PerfRate[[#This Row],[JobSatisfaction]],PerfRate[[#This Row],[RelationshipSatisfaction]])</f>
        <v>4</v>
      </c>
      <c r="R1510" s="2">
        <f>PerfRate[[#This Row],[ManagerRating]] - PerfRate[[#This Row],[SelfRating]]</f>
        <v>0</v>
      </c>
    </row>
    <row r="1511" spans="1:18">
      <c r="A1511" s="2" t="s">
        <v>5818</v>
      </c>
      <c r="B1511" s="2" t="s">
        <v>916</v>
      </c>
      <c r="C1511" s="1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  <c r="L1511" s="2" t="s">
        <v>11030</v>
      </c>
      <c r="M1511" s="2" t="s">
        <v>11030</v>
      </c>
      <c r="N1511" s="2" t="s">
        <v>11036</v>
      </c>
      <c r="O1511" s="2" t="s">
        <v>11037</v>
      </c>
      <c r="P1511" s="2" t="s">
        <v>11037</v>
      </c>
      <c r="Q1511" s="2">
        <f>AVERAGE(PerfRate[[#This Row],[EnvironmentSatisfaction]],PerfRate[[#This Row],[JobSatisfaction]],PerfRate[[#This Row],[RelationshipSatisfaction]])</f>
        <v>3.6666666666666665</v>
      </c>
      <c r="R1511" s="2">
        <f>PerfRate[[#This Row],[ManagerRating]] - PerfRate[[#This Row],[SelfRating]]</f>
        <v>0</v>
      </c>
    </row>
    <row r="1512" spans="1:18">
      <c r="A1512" s="2" t="s">
        <v>5819</v>
      </c>
      <c r="B1512" s="2" t="s">
        <v>777</v>
      </c>
      <c r="C1512" s="1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  <c r="L1512" s="2" t="s">
        <v>11030</v>
      </c>
      <c r="M1512" s="2" t="s">
        <v>11029</v>
      </c>
      <c r="N1512" s="2" t="s">
        <v>11037</v>
      </c>
      <c r="O1512" s="2" t="s">
        <v>11035</v>
      </c>
      <c r="P1512" s="2" t="s">
        <v>11035</v>
      </c>
      <c r="Q1512" s="2">
        <f>AVERAGE(PerfRate[[#This Row],[EnvironmentSatisfaction]],PerfRate[[#This Row],[JobSatisfaction]],PerfRate[[#This Row],[RelationshipSatisfaction]])</f>
        <v>2.6666666666666665</v>
      </c>
      <c r="R1512" s="2">
        <f>PerfRate[[#This Row],[ManagerRating]] - PerfRate[[#This Row],[SelfRating]]</f>
        <v>-1</v>
      </c>
    </row>
    <row r="1513" spans="1:18">
      <c r="A1513" s="2" t="s">
        <v>5820</v>
      </c>
      <c r="B1513" s="2" t="s">
        <v>1160</v>
      </c>
      <c r="C1513" s="1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  <c r="L1513" s="2" t="s">
        <v>11029</v>
      </c>
      <c r="M1513" s="2" t="s">
        <v>11028</v>
      </c>
      <c r="N1513" s="2" t="s">
        <v>11037</v>
      </c>
      <c r="O1513" s="2" t="s">
        <v>11035</v>
      </c>
      <c r="P1513" s="2" t="s">
        <v>11037</v>
      </c>
      <c r="Q1513" s="2">
        <f>AVERAGE(PerfRate[[#This Row],[EnvironmentSatisfaction]],PerfRate[[#This Row],[JobSatisfaction]],PerfRate[[#This Row],[RelationshipSatisfaction]])</f>
        <v>3.3333333333333335</v>
      </c>
      <c r="R1513" s="2">
        <f>PerfRate[[#This Row],[ManagerRating]] - PerfRate[[#This Row],[SelfRating]]</f>
        <v>-1</v>
      </c>
    </row>
    <row r="1514" spans="1:18">
      <c r="A1514" s="2" t="s">
        <v>5821</v>
      </c>
      <c r="B1514" s="2" t="s">
        <v>2464</v>
      </c>
      <c r="C1514" s="1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  <c r="L1514" s="2" t="s">
        <v>11031</v>
      </c>
      <c r="M1514" s="2" t="s">
        <v>11031</v>
      </c>
      <c r="N1514" s="2" t="s">
        <v>11038</v>
      </c>
      <c r="O1514" s="2" t="s">
        <v>11037</v>
      </c>
      <c r="P1514" s="2" t="s">
        <v>11038</v>
      </c>
      <c r="Q1514" s="2">
        <f>AVERAGE(PerfRate[[#This Row],[EnvironmentSatisfaction]],PerfRate[[#This Row],[JobSatisfaction]],PerfRate[[#This Row],[RelationshipSatisfaction]])</f>
        <v>4.666666666666667</v>
      </c>
      <c r="R1514" s="2">
        <f>PerfRate[[#This Row],[ManagerRating]] - PerfRate[[#This Row],[SelfRating]]</f>
        <v>0</v>
      </c>
    </row>
    <row r="1515" spans="1:18">
      <c r="A1515" s="2" t="s">
        <v>5822</v>
      </c>
      <c r="B1515" s="2" t="s">
        <v>3108</v>
      </c>
      <c r="C1515" s="1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  <c r="L1515" s="2" t="s">
        <v>11031</v>
      </c>
      <c r="M1515" s="2" t="s">
        <v>11031</v>
      </c>
      <c r="N1515" s="2" t="s">
        <v>11036</v>
      </c>
      <c r="O1515" s="2" t="s">
        <v>11035</v>
      </c>
      <c r="P1515" s="2" t="s">
        <v>11037</v>
      </c>
      <c r="Q1515" s="2">
        <f>AVERAGE(PerfRate[[#This Row],[EnvironmentSatisfaction]],PerfRate[[#This Row],[JobSatisfaction]],PerfRate[[#This Row],[RelationshipSatisfaction]])</f>
        <v>3</v>
      </c>
      <c r="R1515" s="2">
        <f>PerfRate[[#This Row],[ManagerRating]] - PerfRate[[#This Row],[SelfRating]]</f>
        <v>0</v>
      </c>
    </row>
    <row r="1516" spans="1:18">
      <c r="A1516" s="2" t="s">
        <v>5823</v>
      </c>
      <c r="B1516" s="2" t="s">
        <v>317</v>
      </c>
      <c r="C1516" s="1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  <c r="L1516" s="2" t="s">
        <v>11029</v>
      </c>
      <c r="M1516" s="2" t="s">
        <v>11029</v>
      </c>
      <c r="N1516" s="2" t="s">
        <v>11038</v>
      </c>
      <c r="O1516" s="2" t="s">
        <v>11038</v>
      </c>
      <c r="P1516" s="2" t="s">
        <v>11037</v>
      </c>
      <c r="Q1516" s="2">
        <f>AVERAGE(PerfRate[[#This Row],[EnvironmentSatisfaction]],PerfRate[[#This Row],[JobSatisfaction]],PerfRate[[#This Row],[RelationshipSatisfaction]])</f>
        <v>4.666666666666667</v>
      </c>
      <c r="R1516" s="2">
        <f>PerfRate[[#This Row],[ManagerRating]] - PerfRate[[#This Row],[SelfRating]]</f>
        <v>0</v>
      </c>
    </row>
    <row r="1517" spans="1:18">
      <c r="A1517" s="2" t="s">
        <v>5824</v>
      </c>
      <c r="B1517" s="2" t="s">
        <v>982</v>
      </c>
      <c r="C1517" s="1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  <c r="L1517" s="2" t="s">
        <v>11030</v>
      </c>
      <c r="M1517" s="2" t="s">
        <v>11030</v>
      </c>
      <c r="N1517" s="2" t="s">
        <v>11036</v>
      </c>
      <c r="O1517" s="2" t="s">
        <v>11036</v>
      </c>
      <c r="P1517" s="2" t="s">
        <v>11035</v>
      </c>
      <c r="Q1517" s="2">
        <f>AVERAGE(PerfRate[[#This Row],[EnvironmentSatisfaction]],PerfRate[[#This Row],[JobSatisfaction]],PerfRate[[#This Row],[RelationshipSatisfaction]])</f>
        <v>2.6666666666666665</v>
      </c>
      <c r="R1517" s="2">
        <f>PerfRate[[#This Row],[ManagerRating]] - PerfRate[[#This Row],[SelfRating]]</f>
        <v>0</v>
      </c>
    </row>
    <row r="1518" spans="1:18">
      <c r="A1518" s="2" t="s">
        <v>5825</v>
      </c>
      <c r="B1518" s="2" t="s">
        <v>3926</v>
      </c>
      <c r="C1518" s="1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  <c r="L1518" s="2" t="s">
        <v>11029</v>
      </c>
      <c r="M1518" s="2" t="s">
        <v>11029</v>
      </c>
      <c r="N1518" s="2" t="s">
        <v>11036</v>
      </c>
      <c r="O1518" s="2" t="s">
        <v>11035</v>
      </c>
      <c r="P1518" s="2" t="s">
        <v>11036</v>
      </c>
      <c r="Q1518" s="2">
        <f>AVERAGE(PerfRate[[#This Row],[EnvironmentSatisfaction]],PerfRate[[#This Row],[JobSatisfaction]],PerfRate[[#This Row],[RelationshipSatisfaction]])</f>
        <v>2.6666666666666665</v>
      </c>
      <c r="R1518" s="2">
        <f>PerfRate[[#This Row],[ManagerRating]] - PerfRate[[#This Row],[SelfRating]]</f>
        <v>0</v>
      </c>
    </row>
    <row r="1519" spans="1:18">
      <c r="A1519" s="2" t="s">
        <v>5826</v>
      </c>
      <c r="B1519" s="2" t="s">
        <v>961</v>
      </c>
      <c r="C1519" s="1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  <c r="L1519" s="2" t="s">
        <v>11030</v>
      </c>
      <c r="M1519" s="2" t="s">
        <v>11029</v>
      </c>
      <c r="N1519" s="2" t="s">
        <v>11038</v>
      </c>
      <c r="O1519" s="2" t="s">
        <v>11038</v>
      </c>
      <c r="P1519" s="2" t="s">
        <v>11038</v>
      </c>
      <c r="Q1519" s="2">
        <f>AVERAGE(PerfRate[[#This Row],[EnvironmentSatisfaction]],PerfRate[[#This Row],[JobSatisfaction]],PerfRate[[#This Row],[RelationshipSatisfaction]])</f>
        <v>5</v>
      </c>
      <c r="R1519" s="2">
        <f>PerfRate[[#This Row],[ManagerRating]] - PerfRate[[#This Row],[SelfRating]]</f>
        <v>-1</v>
      </c>
    </row>
    <row r="1520" spans="1:18">
      <c r="A1520" s="2" t="s">
        <v>5827</v>
      </c>
      <c r="B1520" s="2" t="s">
        <v>1520</v>
      </c>
      <c r="C1520" s="1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  <c r="L1520" s="2" t="s">
        <v>11029</v>
      </c>
      <c r="M1520" s="2" t="s">
        <v>11029</v>
      </c>
      <c r="N1520" s="2" t="s">
        <v>11036</v>
      </c>
      <c r="O1520" s="2" t="s">
        <v>11037</v>
      </c>
      <c r="P1520" s="2" t="s">
        <v>11038</v>
      </c>
      <c r="Q1520" s="2">
        <f>AVERAGE(PerfRate[[#This Row],[EnvironmentSatisfaction]],PerfRate[[#This Row],[JobSatisfaction]],PerfRate[[#This Row],[RelationshipSatisfaction]])</f>
        <v>4</v>
      </c>
      <c r="R1520" s="2">
        <f>PerfRate[[#This Row],[ManagerRating]] - PerfRate[[#This Row],[SelfRating]]</f>
        <v>0</v>
      </c>
    </row>
    <row r="1521" spans="1:18">
      <c r="A1521" s="2" t="s">
        <v>5828</v>
      </c>
      <c r="B1521" s="2" t="s">
        <v>3457</v>
      </c>
      <c r="C1521" s="1">
        <v>41762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  <c r="L1521" s="2" t="s">
        <v>11031</v>
      </c>
      <c r="M1521" s="2" t="s">
        <v>11030</v>
      </c>
      <c r="N1521" s="2" t="s">
        <v>11036</v>
      </c>
      <c r="O1521" s="2" t="s">
        <v>11037</v>
      </c>
      <c r="P1521" s="2" t="s">
        <v>11038</v>
      </c>
      <c r="Q1521" s="2">
        <f>AVERAGE(PerfRate[[#This Row],[EnvironmentSatisfaction]],PerfRate[[#This Row],[JobSatisfaction]],PerfRate[[#This Row],[RelationshipSatisfaction]])</f>
        <v>4</v>
      </c>
      <c r="R1521" s="2">
        <f>PerfRate[[#This Row],[ManagerRating]] - PerfRate[[#This Row],[SelfRating]]</f>
        <v>-1</v>
      </c>
    </row>
    <row r="1522" spans="1:18">
      <c r="A1522" s="2" t="s">
        <v>5829</v>
      </c>
      <c r="B1522" s="2" t="s">
        <v>350</v>
      </c>
      <c r="C1522" s="1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  <c r="L1522" s="2" t="s">
        <v>11029</v>
      </c>
      <c r="M1522" s="2" t="s">
        <v>11028</v>
      </c>
      <c r="N1522" s="2" t="s">
        <v>11037</v>
      </c>
      <c r="O1522" s="2" t="s">
        <v>11035</v>
      </c>
      <c r="P1522" s="2" t="s">
        <v>11035</v>
      </c>
      <c r="Q1522" s="2">
        <f>AVERAGE(PerfRate[[#This Row],[EnvironmentSatisfaction]],PerfRate[[#This Row],[JobSatisfaction]],PerfRate[[#This Row],[RelationshipSatisfaction]])</f>
        <v>2.6666666666666665</v>
      </c>
      <c r="R1522" s="2">
        <f>PerfRate[[#This Row],[ManagerRating]] - PerfRate[[#This Row],[SelfRating]]</f>
        <v>-1</v>
      </c>
    </row>
    <row r="1523" spans="1:18">
      <c r="A1523" s="2" t="s">
        <v>5830</v>
      </c>
      <c r="B1523" s="2" t="s">
        <v>631</v>
      </c>
      <c r="C1523" s="1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  <c r="L1523" s="2" t="s">
        <v>11031</v>
      </c>
      <c r="M1523" s="2" t="s">
        <v>11031</v>
      </c>
      <c r="N1523" s="2" t="s">
        <v>11036</v>
      </c>
      <c r="O1523" s="2" t="s">
        <v>11035</v>
      </c>
      <c r="P1523" s="2" t="s">
        <v>11037</v>
      </c>
      <c r="Q1523" s="2">
        <f>AVERAGE(PerfRate[[#This Row],[EnvironmentSatisfaction]],PerfRate[[#This Row],[JobSatisfaction]],PerfRate[[#This Row],[RelationshipSatisfaction]])</f>
        <v>3</v>
      </c>
      <c r="R1523" s="2">
        <f>PerfRate[[#This Row],[ManagerRating]] - PerfRate[[#This Row],[SelfRating]]</f>
        <v>0</v>
      </c>
    </row>
    <row r="1524" spans="1:18">
      <c r="A1524" s="2" t="s">
        <v>5831</v>
      </c>
      <c r="B1524" s="2" t="s">
        <v>744</v>
      </c>
      <c r="C1524" s="1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  <c r="L1524" s="2" t="s">
        <v>11031</v>
      </c>
      <c r="M1524" s="2" t="s">
        <v>11031</v>
      </c>
      <c r="N1524" s="2" t="s">
        <v>11037</v>
      </c>
      <c r="O1524" s="2" t="s">
        <v>11035</v>
      </c>
      <c r="P1524" s="2" t="s">
        <v>11036</v>
      </c>
      <c r="Q1524" s="2">
        <f>AVERAGE(PerfRate[[#This Row],[EnvironmentSatisfaction]],PerfRate[[#This Row],[JobSatisfaction]],PerfRate[[#This Row],[RelationshipSatisfaction]])</f>
        <v>3</v>
      </c>
      <c r="R1524" s="2">
        <f>PerfRate[[#This Row],[ManagerRating]] - PerfRate[[#This Row],[SelfRating]]</f>
        <v>0</v>
      </c>
    </row>
    <row r="1525" spans="1:18">
      <c r="A1525" s="2" t="s">
        <v>5832</v>
      </c>
      <c r="B1525" s="2" t="s">
        <v>1535</v>
      </c>
      <c r="C1525" s="1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  <c r="L1525" s="2" t="s">
        <v>11031</v>
      </c>
      <c r="M1525" s="2" t="s">
        <v>11031</v>
      </c>
      <c r="N1525" s="2" t="s">
        <v>11036</v>
      </c>
      <c r="O1525" s="2" t="s">
        <v>11035</v>
      </c>
      <c r="P1525" s="2" t="s">
        <v>11036</v>
      </c>
      <c r="Q1525" s="2">
        <f>AVERAGE(PerfRate[[#This Row],[EnvironmentSatisfaction]],PerfRate[[#This Row],[JobSatisfaction]],PerfRate[[#This Row],[RelationshipSatisfaction]])</f>
        <v>2.6666666666666665</v>
      </c>
      <c r="R1525" s="2">
        <f>PerfRate[[#This Row],[ManagerRating]] - PerfRate[[#This Row],[SelfRating]]</f>
        <v>0</v>
      </c>
    </row>
    <row r="1526" spans="1:18">
      <c r="A1526" s="2" t="s">
        <v>5833</v>
      </c>
      <c r="B1526" s="2" t="s">
        <v>3256</v>
      </c>
      <c r="C1526" s="1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  <c r="L1526" s="2" t="s">
        <v>11030</v>
      </c>
      <c r="M1526" s="2" t="s">
        <v>11030</v>
      </c>
      <c r="N1526" s="2" t="s">
        <v>11037</v>
      </c>
      <c r="O1526" s="2" t="s">
        <v>11035</v>
      </c>
      <c r="P1526" s="2" t="s">
        <v>11038</v>
      </c>
      <c r="Q1526" s="2">
        <f>AVERAGE(PerfRate[[#This Row],[EnvironmentSatisfaction]],PerfRate[[#This Row],[JobSatisfaction]],PerfRate[[#This Row],[RelationshipSatisfaction]])</f>
        <v>3.6666666666666665</v>
      </c>
      <c r="R1526" s="2">
        <f>PerfRate[[#This Row],[ManagerRating]] - PerfRate[[#This Row],[SelfRating]]</f>
        <v>0</v>
      </c>
    </row>
    <row r="1527" spans="1:18">
      <c r="A1527" s="2" t="s">
        <v>5834</v>
      </c>
      <c r="B1527" s="2" t="s">
        <v>556</v>
      </c>
      <c r="C1527" s="1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  <c r="L1527" s="2" t="s">
        <v>11030</v>
      </c>
      <c r="M1527" s="2" t="s">
        <v>11029</v>
      </c>
      <c r="N1527" s="2" t="s">
        <v>11037</v>
      </c>
      <c r="O1527" s="2" t="s">
        <v>11038</v>
      </c>
      <c r="P1527" s="2" t="s">
        <v>11038</v>
      </c>
      <c r="Q1527" s="2">
        <f>AVERAGE(PerfRate[[#This Row],[EnvironmentSatisfaction]],PerfRate[[#This Row],[JobSatisfaction]],PerfRate[[#This Row],[RelationshipSatisfaction]])</f>
        <v>4.666666666666667</v>
      </c>
      <c r="R1527" s="2">
        <f>PerfRate[[#This Row],[ManagerRating]] - PerfRate[[#This Row],[SelfRating]]</f>
        <v>-1</v>
      </c>
    </row>
    <row r="1528" spans="1:18">
      <c r="A1528" s="2" t="s">
        <v>5835</v>
      </c>
      <c r="B1528" s="2" t="s">
        <v>1255</v>
      </c>
      <c r="C1528" s="1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  <c r="L1528" s="2" t="s">
        <v>11030</v>
      </c>
      <c r="M1528" s="2" t="s">
        <v>11029</v>
      </c>
      <c r="N1528" s="2" t="s">
        <v>11037</v>
      </c>
      <c r="O1528" s="2" t="s">
        <v>11036</v>
      </c>
      <c r="P1528" s="2" t="s">
        <v>11037</v>
      </c>
      <c r="Q1528" s="2">
        <f>AVERAGE(PerfRate[[#This Row],[EnvironmentSatisfaction]],PerfRate[[#This Row],[JobSatisfaction]],PerfRate[[#This Row],[RelationshipSatisfaction]])</f>
        <v>3.6666666666666665</v>
      </c>
      <c r="R1528" s="2">
        <f>PerfRate[[#This Row],[ManagerRating]] - PerfRate[[#This Row],[SelfRating]]</f>
        <v>-1</v>
      </c>
    </row>
    <row r="1529" spans="1:18">
      <c r="A1529" s="2" t="s">
        <v>5836</v>
      </c>
      <c r="B1529" s="2" t="s">
        <v>131</v>
      </c>
      <c r="C1529" s="1">
        <v>43106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  <c r="L1529" s="2" t="s">
        <v>11031</v>
      </c>
      <c r="M1529" s="2" t="s">
        <v>11030</v>
      </c>
      <c r="N1529" s="2" t="s">
        <v>11036</v>
      </c>
      <c r="O1529" s="2" t="s">
        <v>11036</v>
      </c>
      <c r="P1529" s="2" t="s">
        <v>11036</v>
      </c>
      <c r="Q1529" s="2">
        <f>AVERAGE(PerfRate[[#This Row],[EnvironmentSatisfaction]],PerfRate[[#This Row],[JobSatisfaction]],PerfRate[[#This Row],[RelationshipSatisfaction]])</f>
        <v>3</v>
      </c>
      <c r="R1529" s="2">
        <f>PerfRate[[#This Row],[ManagerRating]] - PerfRate[[#This Row],[SelfRating]]</f>
        <v>-1</v>
      </c>
    </row>
    <row r="1530" spans="1:18">
      <c r="A1530" s="2" t="s">
        <v>5837</v>
      </c>
      <c r="B1530" s="2" t="s">
        <v>835</v>
      </c>
      <c r="C1530" s="1">
        <v>43106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  <c r="L1530" s="2" t="s">
        <v>11030</v>
      </c>
      <c r="M1530" s="2" t="s">
        <v>11029</v>
      </c>
      <c r="N1530" s="2" t="s">
        <v>11038</v>
      </c>
      <c r="O1530" s="2" t="s">
        <v>11038</v>
      </c>
      <c r="P1530" s="2" t="s">
        <v>11037</v>
      </c>
      <c r="Q1530" s="2">
        <f>AVERAGE(PerfRate[[#This Row],[EnvironmentSatisfaction]],PerfRate[[#This Row],[JobSatisfaction]],PerfRate[[#This Row],[RelationshipSatisfaction]])</f>
        <v>4.666666666666667</v>
      </c>
      <c r="R1530" s="2">
        <f>PerfRate[[#This Row],[ManagerRating]] - PerfRate[[#This Row],[SelfRating]]</f>
        <v>-1</v>
      </c>
    </row>
    <row r="1531" spans="1:18">
      <c r="A1531" s="2" t="s">
        <v>5838</v>
      </c>
      <c r="B1531" s="2" t="s">
        <v>877</v>
      </c>
      <c r="C1531" s="1">
        <v>43106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  <c r="L1531" s="2" t="s">
        <v>11030</v>
      </c>
      <c r="M1531" s="2" t="s">
        <v>11029</v>
      </c>
      <c r="N1531" s="2" t="s">
        <v>11037</v>
      </c>
      <c r="O1531" s="2" t="s">
        <v>11037</v>
      </c>
      <c r="P1531" s="2" t="s">
        <v>11036</v>
      </c>
      <c r="Q1531" s="2">
        <f>AVERAGE(PerfRate[[#This Row],[EnvironmentSatisfaction]],PerfRate[[#This Row],[JobSatisfaction]],PerfRate[[#This Row],[RelationshipSatisfaction]])</f>
        <v>3.6666666666666665</v>
      </c>
      <c r="R1531" s="2">
        <f>PerfRate[[#This Row],[ManagerRating]] - PerfRate[[#This Row],[SelfRating]]</f>
        <v>-1</v>
      </c>
    </row>
    <row r="1532" spans="1:18">
      <c r="A1532" s="2" t="s">
        <v>5839</v>
      </c>
      <c r="B1532" s="2" t="s">
        <v>580</v>
      </c>
      <c r="C1532" s="1">
        <v>41793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  <c r="L1532" s="2" t="s">
        <v>11029</v>
      </c>
      <c r="M1532" s="2" t="s">
        <v>11029</v>
      </c>
      <c r="N1532" s="2" t="s">
        <v>11036</v>
      </c>
      <c r="O1532" s="2" t="s">
        <v>11038</v>
      </c>
      <c r="P1532" s="2" t="s">
        <v>11037</v>
      </c>
      <c r="Q1532" s="2">
        <f>AVERAGE(PerfRate[[#This Row],[EnvironmentSatisfaction]],PerfRate[[#This Row],[JobSatisfaction]],PerfRate[[#This Row],[RelationshipSatisfaction]])</f>
        <v>4</v>
      </c>
      <c r="R1532" s="2">
        <f>PerfRate[[#This Row],[ManagerRating]] - PerfRate[[#This Row],[SelfRating]]</f>
        <v>0</v>
      </c>
    </row>
    <row r="1533" spans="1:18">
      <c r="A1533" s="2" t="s">
        <v>5840</v>
      </c>
      <c r="B1533" s="2" t="s">
        <v>634</v>
      </c>
      <c r="C1533" s="1">
        <v>43106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  <c r="L1533" s="2" t="s">
        <v>11030</v>
      </c>
      <c r="M1533" s="2" t="s">
        <v>11030</v>
      </c>
      <c r="N1533" s="2" t="s">
        <v>11038</v>
      </c>
      <c r="O1533" s="2" t="s">
        <v>11036</v>
      </c>
      <c r="P1533" s="2" t="s">
        <v>11036</v>
      </c>
      <c r="Q1533" s="2">
        <f>AVERAGE(PerfRate[[#This Row],[EnvironmentSatisfaction]],PerfRate[[#This Row],[JobSatisfaction]],PerfRate[[#This Row],[RelationshipSatisfaction]])</f>
        <v>3.6666666666666665</v>
      </c>
      <c r="R1533" s="2">
        <f>PerfRate[[#This Row],[ManagerRating]] - PerfRate[[#This Row],[SelfRating]]</f>
        <v>0</v>
      </c>
    </row>
    <row r="1534" spans="1:18">
      <c r="A1534" s="2" t="s">
        <v>5841</v>
      </c>
      <c r="B1534" s="2" t="s">
        <v>3037</v>
      </c>
      <c r="C1534" s="1">
        <v>43106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  <c r="L1534" s="2" t="s">
        <v>11031</v>
      </c>
      <c r="M1534" s="2" t="s">
        <v>11031</v>
      </c>
      <c r="N1534" s="2" t="s">
        <v>11036</v>
      </c>
      <c r="O1534" s="2" t="s">
        <v>11036</v>
      </c>
      <c r="P1534" s="2" t="s">
        <v>11036</v>
      </c>
      <c r="Q1534" s="2">
        <f>AVERAGE(PerfRate[[#This Row],[EnvironmentSatisfaction]],PerfRate[[#This Row],[JobSatisfaction]],PerfRate[[#This Row],[RelationshipSatisfaction]])</f>
        <v>3</v>
      </c>
      <c r="R1534" s="2">
        <f>PerfRate[[#This Row],[ManagerRating]] - PerfRate[[#This Row],[SelfRating]]</f>
        <v>0</v>
      </c>
    </row>
    <row r="1535" spans="1:18">
      <c r="A1535" s="2" t="s">
        <v>5842</v>
      </c>
      <c r="B1535" s="2" t="s">
        <v>1497</v>
      </c>
      <c r="C1535" s="1">
        <v>43137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  <c r="L1535" s="2" t="s">
        <v>11030</v>
      </c>
      <c r="M1535" s="2" t="s">
        <v>11030</v>
      </c>
      <c r="N1535" s="2" t="s">
        <v>11036</v>
      </c>
      <c r="O1535" s="2" t="s">
        <v>11037</v>
      </c>
      <c r="P1535" s="2" t="s">
        <v>11037</v>
      </c>
      <c r="Q1535" s="2">
        <f>AVERAGE(PerfRate[[#This Row],[EnvironmentSatisfaction]],PerfRate[[#This Row],[JobSatisfaction]],PerfRate[[#This Row],[RelationshipSatisfaction]])</f>
        <v>3.6666666666666665</v>
      </c>
      <c r="R1535" s="2">
        <f>PerfRate[[#This Row],[ManagerRating]] - PerfRate[[#This Row],[SelfRating]]</f>
        <v>0</v>
      </c>
    </row>
    <row r="1536" spans="1:18">
      <c r="A1536" s="2" t="s">
        <v>5843</v>
      </c>
      <c r="B1536" s="2" t="s">
        <v>791</v>
      </c>
      <c r="C1536" s="1">
        <v>43165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  <c r="L1536" s="2" t="s">
        <v>11031</v>
      </c>
      <c r="M1536" s="2" t="s">
        <v>11031</v>
      </c>
      <c r="N1536" s="2" t="s">
        <v>11036</v>
      </c>
      <c r="O1536" s="2" t="s">
        <v>11036</v>
      </c>
      <c r="P1536" s="2" t="s">
        <v>11037</v>
      </c>
      <c r="Q1536" s="2">
        <f>AVERAGE(PerfRate[[#This Row],[EnvironmentSatisfaction]],PerfRate[[#This Row],[JobSatisfaction]],PerfRate[[#This Row],[RelationshipSatisfaction]])</f>
        <v>3.3333333333333335</v>
      </c>
      <c r="R1536" s="2">
        <f>PerfRate[[#This Row],[ManagerRating]] - PerfRate[[#This Row],[SelfRating]]</f>
        <v>0</v>
      </c>
    </row>
    <row r="1537" spans="1:18">
      <c r="A1537" s="2" t="s">
        <v>5844</v>
      </c>
      <c r="B1537" s="2" t="s">
        <v>4263</v>
      </c>
      <c r="C1537" s="1">
        <v>43196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  <c r="L1537" s="2" t="s">
        <v>11031</v>
      </c>
      <c r="M1537" s="2" t="s">
        <v>11030</v>
      </c>
      <c r="N1537" s="2" t="s">
        <v>11038</v>
      </c>
      <c r="O1537" s="2" t="s">
        <v>11037</v>
      </c>
      <c r="P1537" s="2" t="s">
        <v>11036</v>
      </c>
      <c r="Q1537" s="2">
        <f>AVERAGE(PerfRate[[#This Row],[EnvironmentSatisfaction]],PerfRate[[#This Row],[JobSatisfaction]],PerfRate[[#This Row],[RelationshipSatisfaction]])</f>
        <v>4</v>
      </c>
      <c r="R1537" s="2">
        <f>PerfRate[[#This Row],[ManagerRating]] - PerfRate[[#This Row],[SelfRating]]</f>
        <v>-1</v>
      </c>
    </row>
    <row r="1538" spans="1:18">
      <c r="A1538" s="2" t="s">
        <v>5845</v>
      </c>
      <c r="B1538" s="2" t="s">
        <v>437</v>
      </c>
      <c r="C1538" s="1">
        <v>43226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  <c r="L1538" s="2" t="s">
        <v>11031</v>
      </c>
      <c r="M1538" s="2" t="s">
        <v>11030</v>
      </c>
      <c r="N1538" s="2" t="s">
        <v>11037</v>
      </c>
      <c r="O1538" s="2" t="s">
        <v>11035</v>
      </c>
      <c r="P1538" s="2" t="s">
        <v>11035</v>
      </c>
      <c r="Q1538" s="2">
        <f>AVERAGE(PerfRate[[#This Row],[EnvironmentSatisfaction]],PerfRate[[#This Row],[JobSatisfaction]],PerfRate[[#This Row],[RelationshipSatisfaction]])</f>
        <v>2.6666666666666665</v>
      </c>
      <c r="R1538" s="2">
        <f>PerfRate[[#This Row],[ManagerRating]] - PerfRate[[#This Row],[SelfRating]]</f>
        <v>-1</v>
      </c>
    </row>
    <row r="1539" spans="1:18">
      <c r="A1539" s="2" t="s">
        <v>5846</v>
      </c>
      <c r="B1539" s="2" t="s">
        <v>3673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  <c r="L1539" s="2" t="s">
        <v>11029</v>
      </c>
      <c r="M1539" s="2" t="s">
        <v>11029</v>
      </c>
      <c r="N1539" s="2" t="s">
        <v>11038</v>
      </c>
      <c r="O1539" s="2" t="s">
        <v>11038</v>
      </c>
      <c r="P1539" s="2" t="s">
        <v>11036</v>
      </c>
      <c r="Q1539" s="2">
        <f>AVERAGE(PerfRate[[#This Row],[EnvironmentSatisfaction]],PerfRate[[#This Row],[JobSatisfaction]],PerfRate[[#This Row],[RelationshipSatisfaction]])</f>
        <v>4.333333333333333</v>
      </c>
      <c r="R1539" s="2">
        <f>PerfRate[[#This Row],[ManagerRating]] - PerfRate[[#This Row],[SelfRating]]</f>
        <v>0</v>
      </c>
    </row>
    <row r="1540" spans="1:18">
      <c r="A1540" s="2" t="s">
        <v>5847</v>
      </c>
      <c r="B1540" s="2" t="s">
        <v>844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  <c r="L1540" s="2" t="s">
        <v>11029</v>
      </c>
      <c r="M1540" s="2" t="s">
        <v>11028</v>
      </c>
      <c r="N1540" s="2" t="s">
        <v>11036</v>
      </c>
      <c r="O1540" s="2" t="s">
        <v>11038</v>
      </c>
      <c r="P1540" s="2" t="s">
        <v>11035</v>
      </c>
      <c r="Q1540" s="2">
        <f>AVERAGE(PerfRate[[#This Row],[EnvironmentSatisfaction]],PerfRate[[#This Row],[JobSatisfaction]],PerfRate[[#This Row],[RelationshipSatisfaction]])</f>
        <v>3.3333333333333335</v>
      </c>
      <c r="R1540" s="2">
        <f>PerfRate[[#This Row],[ManagerRating]] - PerfRate[[#This Row],[SelfRating]]</f>
        <v>-1</v>
      </c>
    </row>
    <row r="1541" spans="1:18">
      <c r="A1541" s="2" t="s">
        <v>5848</v>
      </c>
      <c r="B1541" s="2" t="s">
        <v>741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  <c r="L1541" s="2" t="s">
        <v>11031</v>
      </c>
      <c r="M1541" s="2" t="s">
        <v>11031</v>
      </c>
      <c r="N1541" s="2" t="s">
        <v>11036</v>
      </c>
      <c r="O1541" s="2" t="s">
        <v>11037</v>
      </c>
      <c r="P1541" s="2" t="s">
        <v>11036</v>
      </c>
      <c r="Q1541" s="2">
        <f>AVERAGE(PerfRate[[#This Row],[EnvironmentSatisfaction]],PerfRate[[#This Row],[JobSatisfaction]],PerfRate[[#This Row],[RelationshipSatisfaction]])</f>
        <v>3.3333333333333335</v>
      </c>
      <c r="R1541" s="2">
        <f>PerfRate[[#This Row],[ManagerRating]] - PerfRate[[#This Row],[SelfRating]]</f>
        <v>0</v>
      </c>
    </row>
    <row r="1542" spans="1:18">
      <c r="A1542" s="2" t="s">
        <v>5849</v>
      </c>
      <c r="B1542" s="2" t="s">
        <v>1541</v>
      </c>
      <c r="C1542" s="1">
        <v>43287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  <c r="L1542" s="2" t="s">
        <v>11031</v>
      </c>
      <c r="M1542" s="2" t="s">
        <v>11031</v>
      </c>
      <c r="N1542" s="2" t="s">
        <v>11037</v>
      </c>
      <c r="O1542" s="2" t="s">
        <v>11038</v>
      </c>
      <c r="P1542" s="2" t="s">
        <v>11037</v>
      </c>
      <c r="Q1542" s="2">
        <f>AVERAGE(PerfRate[[#This Row],[EnvironmentSatisfaction]],PerfRate[[#This Row],[JobSatisfaction]],PerfRate[[#This Row],[RelationshipSatisfaction]])</f>
        <v>4.333333333333333</v>
      </c>
      <c r="R1542" s="2">
        <f>PerfRate[[#This Row],[ManagerRating]] - PerfRate[[#This Row],[SelfRating]]</f>
        <v>0</v>
      </c>
    </row>
    <row r="1543" spans="1:18">
      <c r="A1543" s="2" t="s">
        <v>5850</v>
      </c>
      <c r="B1543" s="2" t="s">
        <v>1365</v>
      </c>
      <c r="C1543" s="1">
        <v>41793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  <c r="L1543" s="2" t="s">
        <v>11031</v>
      </c>
      <c r="M1543" s="2" t="s">
        <v>11031</v>
      </c>
      <c r="N1543" s="2" t="s">
        <v>11038</v>
      </c>
      <c r="O1543" s="2" t="s">
        <v>11037</v>
      </c>
      <c r="P1543" s="2" t="s">
        <v>11036</v>
      </c>
      <c r="Q1543" s="2">
        <f>AVERAGE(PerfRate[[#This Row],[EnvironmentSatisfaction]],PerfRate[[#This Row],[JobSatisfaction]],PerfRate[[#This Row],[RelationshipSatisfaction]])</f>
        <v>4</v>
      </c>
      <c r="R1543" s="2">
        <f>PerfRate[[#This Row],[ManagerRating]] - PerfRate[[#This Row],[SelfRating]]</f>
        <v>0</v>
      </c>
    </row>
    <row r="1544" spans="1:18">
      <c r="A1544" s="2" t="s">
        <v>5851</v>
      </c>
      <c r="B1544" s="2" t="s">
        <v>1183</v>
      </c>
      <c r="C1544" s="1">
        <v>43318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  <c r="L1544" s="2" t="s">
        <v>11030</v>
      </c>
      <c r="M1544" s="2" t="s">
        <v>11030</v>
      </c>
      <c r="N1544" s="2" t="s">
        <v>11036</v>
      </c>
      <c r="O1544" s="2" t="s">
        <v>11038</v>
      </c>
      <c r="P1544" s="2" t="s">
        <v>11035</v>
      </c>
      <c r="Q1544" s="2">
        <f>AVERAGE(PerfRate[[#This Row],[EnvironmentSatisfaction]],PerfRate[[#This Row],[JobSatisfaction]],PerfRate[[#This Row],[RelationshipSatisfaction]])</f>
        <v>3.3333333333333335</v>
      </c>
      <c r="R1544" s="2">
        <f>PerfRate[[#This Row],[ManagerRating]] - PerfRate[[#This Row],[SelfRating]]</f>
        <v>0</v>
      </c>
    </row>
    <row r="1545" spans="1:18">
      <c r="A1545" s="2" t="s">
        <v>5852</v>
      </c>
      <c r="B1545" s="2" t="s">
        <v>416</v>
      </c>
      <c r="C1545" s="1">
        <v>43349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  <c r="L1545" s="2" t="s">
        <v>11030</v>
      </c>
      <c r="M1545" s="2" t="s">
        <v>11029</v>
      </c>
      <c r="N1545" s="2" t="s">
        <v>11037</v>
      </c>
      <c r="O1545" s="2" t="s">
        <v>11036</v>
      </c>
      <c r="P1545" s="2" t="s">
        <v>11036</v>
      </c>
      <c r="Q1545" s="2">
        <f>AVERAGE(PerfRate[[#This Row],[EnvironmentSatisfaction]],PerfRate[[#This Row],[JobSatisfaction]],PerfRate[[#This Row],[RelationshipSatisfaction]])</f>
        <v>3.3333333333333335</v>
      </c>
      <c r="R1545" s="2">
        <f>PerfRate[[#This Row],[ManagerRating]] - PerfRate[[#This Row],[SelfRating]]</f>
        <v>-1</v>
      </c>
    </row>
    <row r="1546" spans="1:18">
      <c r="A1546" s="2" t="s">
        <v>5853</v>
      </c>
      <c r="B1546" s="2" t="s">
        <v>229</v>
      </c>
      <c r="C1546" s="1">
        <v>43349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  <c r="L1546" s="2" t="s">
        <v>11029</v>
      </c>
      <c r="M1546" s="2" t="s">
        <v>11029</v>
      </c>
      <c r="N1546" s="2" t="s">
        <v>11037</v>
      </c>
      <c r="O1546" s="2" t="s">
        <v>11037</v>
      </c>
      <c r="P1546" s="2" t="s">
        <v>11037</v>
      </c>
      <c r="Q1546" s="2">
        <f>AVERAGE(PerfRate[[#This Row],[EnvironmentSatisfaction]],PerfRate[[#This Row],[JobSatisfaction]],PerfRate[[#This Row],[RelationshipSatisfaction]])</f>
        <v>4</v>
      </c>
      <c r="R1546" s="2">
        <f>PerfRate[[#This Row],[ManagerRating]] - PerfRate[[#This Row],[SelfRating]]</f>
        <v>0</v>
      </c>
    </row>
    <row r="1547" spans="1:18">
      <c r="A1547" s="2" t="s">
        <v>5854</v>
      </c>
      <c r="B1547" s="2" t="s">
        <v>247</v>
      </c>
      <c r="C1547" s="1">
        <v>43379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  <c r="L1547" s="2" t="s">
        <v>11031</v>
      </c>
      <c r="M1547" s="2" t="s">
        <v>11031</v>
      </c>
      <c r="N1547" s="2" t="s">
        <v>11036</v>
      </c>
      <c r="O1547" s="2" t="s">
        <v>11037</v>
      </c>
      <c r="P1547" s="2" t="s">
        <v>11036</v>
      </c>
      <c r="Q1547" s="2">
        <f>AVERAGE(PerfRate[[#This Row],[EnvironmentSatisfaction]],PerfRate[[#This Row],[JobSatisfaction]],PerfRate[[#This Row],[RelationshipSatisfaction]])</f>
        <v>3.3333333333333335</v>
      </c>
      <c r="R1547" s="2">
        <f>PerfRate[[#This Row],[ManagerRating]] - PerfRate[[#This Row],[SelfRating]]</f>
        <v>0</v>
      </c>
    </row>
    <row r="1548" spans="1:18">
      <c r="A1548" s="2" t="s">
        <v>5855</v>
      </c>
      <c r="B1548" s="2" t="s">
        <v>1096</v>
      </c>
      <c r="C1548" s="1">
        <v>43379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  <c r="L1548" s="2" t="s">
        <v>11030</v>
      </c>
      <c r="M1548" s="2" t="s">
        <v>11030</v>
      </c>
      <c r="N1548" s="2" t="s">
        <v>11038</v>
      </c>
      <c r="O1548" s="2" t="s">
        <v>11036</v>
      </c>
      <c r="P1548" s="2" t="s">
        <v>11036</v>
      </c>
      <c r="Q1548" s="2">
        <f>AVERAGE(PerfRate[[#This Row],[EnvironmentSatisfaction]],PerfRate[[#This Row],[JobSatisfaction]],PerfRate[[#This Row],[RelationshipSatisfaction]])</f>
        <v>3.6666666666666665</v>
      </c>
      <c r="R1548" s="2">
        <f>PerfRate[[#This Row],[ManagerRating]] - PerfRate[[#This Row],[SelfRating]]</f>
        <v>0</v>
      </c>
    </row>
    <row r="1549" spans="1:18">
      <c r="A1549" s="2" t="s">
        <v>5856</v>
      </c>
      <c r="B1549" s="2" t="s">
        <v>3829</v>
      </c>
      <c r="C1549" s="1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  <c r="L1549" s="2" t="s">
        <v>11030</v>
      </c>
      <c r="M1549" s="2" t="s">
        <v>11030</v>
      </c>
      <c r="N1549" s="2" t="s">
        <v>11036</v>
      </c>
      <c r="O1549" s="2" t="s">
        <v>11037</v>
      </c>
      <c r="P1549" s="2" t="s">
        <v>11037</v>
      </c>
      <c r="Q1549" s="2">
        <f>AVERAGE(PerfRate[[#This Row],[EnvironmentSatisfaction]],PerfRate[[#This Row],[JobSatisfaction]],PerfRate[[#This Row],[RelationshipSatisfaction]])</f>
        <v>3.6666666666666665</v>
      </c>
      <c r="R1549" s="2">
        <f>PerfRate[[#This Row],[ManagerRating]] - PerfRate[[#This Row],[SelfRating]]</f>
        <v>0</v>
      </c>
    </row>
    <row r="1550" spans="1:18">
      <c r="A1550" s="2" t="s">
        <v>5857</v>
      </c>
      <c r="B1550" s="2" t="s">
        <v>3254</v>
      </c>
      <c r="C1550" s="1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  <c r="L1550" s="2" t="s">
        <v>11029</v>
      </c>
      <c r="M1550" s="2" t="s">
        <v>11028</v>
      </c>
      <c r="N1550" s="2" t="s">
        <v>11037</v>
      </c>
      <c r="O1550" s="2" t="s">
        <v>11038</v>
      </c>
      <c r="P1550" s="2" t="s">
        <v>11036</v>
      </c>
      <c r="Q1550" s="2">
        <f>AVERAGE(PerfRate[[#This Row],[EnvironmentSatisfaction]],PerfRate[[#This Row],[JobSatisfaction]],PerfRate[[#This Row],[RelationshipSatisfaction]])</f>
        <v>4</v>
      </c>
      <c r="R1550" s="2">
        <f>PerfRate[[#This Row],[ManagerRating]] - PerfRate[[#This Row],[SelfRating]]</f>
        <v>-1</v>
      </c>
    </row>
    <row r="1551" spans="1:18">
      <c r="A1551" s="2" t="s">
        <v>5858</v>
      </c>
      <c r="B1551" s="2" t="s">
        <v>440</v>
      </c>
      <c r="C1551" s="1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  <c r="L1551" s="2" t="s">
        <v>11029</v>
      </c>
      <c r="M1551" s="2" t="s">
        <v>11029</v>
      </c>
      <c r="N1551" s="2" t="s">
        <v>11037</v>
      </c>
      <c r="O1551" s="2" t="s">
        <v>11037</v>
      </c>
      <c r="P1551" s="2" t="s">
        <v>11035</v>
      </c>
      <c r="Q1551" s="2">
        <f>AVERAGE(PerfRate[[#This Row],[EnvironmentSatisfaction]],PerfRate[[#This Row],[JobSatisfaction]],PerfRate[[#This Row],[RelationshipSatisfaction]])</f>
        <v>3.3333333333333335</v>
      </c>
      <c r="R1551" s="2">
        <f>PerfRate[[#This Row],[ManagerRating]] - PerfRate[[#This Row],[SelfRating]]</f>
        <v>0</v>
      </c>
    </row>
    <row r="1552" spans="1:18">
      <c r="A1552" s="2" t="s">
        <v>5859</v>
      </c>
      <c r="B1552" s="2" t="s">
        <v>919</v>
      </c>
      <c r="C1552" s="1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  <c r="L1552" s="2" t="s">
        <v>11029</v>
      </c>
      <c r="M1552" s="2" t="s">
        <v>11029</v>
      </c>
      <c r="N1552" s="2" t="s">
        <v>11037</v>
      </c>
      <c r="O1552" s="2" t="s">
        <v>11038</v>
      </c>
      <c r="P1552" s="2" t="s">
        <v>11036</v>
      </c>
      <c r="Q1552" s="2">
        <f>AVERAGE(PerfRate[[#This Row],[EnvironmentSatisfaction]],PerfRate[[#This Row],[JobSatisfaction]],PerfRate[[#This Row],[RelationshipSatisfaction]])</f>
        <v>4</v>
      </c>
      <c r="R1552" s="2">
        <f>PerfRate[[#This Row],[ManagerRating]] - PerfRate[[#This Row],[SelfRating]]</f>
        <v>0</v>
      </c>
    </row>
    <row r="1553" spans="1:18">
      <c r="A1553" s="2" t="s">
        <v>5860</v>
      </c>
      <c r="B1553" s="2" t="s">
        <v>1105</v>
      </c>
      <c r="C1553" s="1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  <c r="L1553" s="2" t="s">
        <v>11031</v>
      </c>
      <c r="M1553" s="2" t="s">
        <v>11030</v>
      </c>
      <c r="N1553" s="2" t="s">
        <v>11036</v>
      </c>
      <c r="O1553" s="2" t="s">
        <v>11037</v>
      </c>
      <c r="P1553" s="2" t="s">
        <v>11037</v>
      </c>
      <c r="Q1553" s="2">
        <f>AVERAGE(PerfRate[[#This Row],[EnvironmentSatisfaction]],PerfRate[[#This Row],[JobSatisfaction]],PerfRate[[#This Row],[RelationshipSatisfaction]])</f>
        <v>3.6666666666666665</v>
      </c>
      <c r="R1553" s="2">
        <f>PerfRate[[#This Row],[ManagerRating]] - PerfRate[[#This Row],[SelfRating]]</f>
        <v>-1</v>
      </c>
    </row>
    <row r="1554" spans="1:18">
      <c r="A1554" s="2" t="s">
        <v>5861</v>
      </c>
      <c r="B1554" s="2" t="s">
        <v>407</v>
      </c>
      <c r="C1554" s="1">
        <v>41823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  <c r="L1554" s="2" t="s">
        <v>11029</v>
      </c>
      <c r="M1554" s="2" t="s">
        <v>11028</v>
      </c>
      <c r="N1554" s="2" t="s">
        <v>11037</v>
      </c>
      <c r="O1554" s="2" t="s">
        <v>11035</v>
      </c>
      <c r="P1554" s="2" t="s">
        <v>11035</v>
      </c>
      <c r="Q1554" s="2">
        <f>AVERAGE(PerfRate[[#This Row],[EnvironmentSatisfaction]],PerfRate[[#This Row],[JobSatisfaction]],PerfRate[[#This Row],[RelationshipSatisfaction]])</f>
        <v>2.6666666666666665</v>
      </c>
      <c r="R1554" s="2">
        <f>PerfRate[[#This Row],[ManagerRating]] - PerfRate[[#This Row],[SelfRating]]</f>
        <v>-1</v>
      </c>
    </row>
    <row r="1555" spans="1:18">
      <c r="A1555" s="2" t="s">
        <v>5862</v>
      </c>
      <c r="B1555" s="2" t="s">
        <v>374</v>
      </c>
      <c r="C1555" s="1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  <c r="L1555" s="2" t="s">
        <v>11029</v>
      </c>
      <c r="M1555" s="2" t="s">
        <v>11029</v>
      </c>
      <c r="N1555" s="2" t="s">
        <v>11037</v>
      </c>
      <c r="O1555" s="2" t="s">
        <v>11038</v>
      </c>
      <c r="P1555" s="2" t="s">
        <v>11038</v>
      </c>
      <c r="Q1555" s="2">
        <f>AVERAGE(PerfRate[[#This Row],[EnvironmentSatisfaction]],PerfRate[[#This Row],[JobSatisfaction]],PerfRate[[#This Row],[RelationshipSatisfaction]])</f>
        <v>4.666666666666667</v>
      </c>
      <c r="R1555" s="2">
        <f>PerfRate[[#This Row],[ManagerRating]] - PerfRate[[#This Row],[SelfRating]]</f>
        <v>0</v>
      </c>
    </row>
    <row r="1556" spans="1:18">
      <c r="A1556" s="2" t="s">
        <v>5863</v>
      </c>
      <c r="B1556" s="2" t="s">
        <v>1076</v>
      </c>
      <c r="C1556" s="1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  <c r="L1556" s="2" t="s">
        <v>11031</v>
      </c>
      <c r="M1556" s="2" t="s">
        <v>11031</v>
      </c>
      <c r="N1556" s="2" t="s">
        <v>11036</v>
      </c>
      <c r="O1556" s="2" t="s">
        <v>11035</v>
      </c>
      <c r="P1556" s="2" t="s">
        <v>11036</v>
      </c>
      <c r="Q1556" s="2">
        <f>AVERAGE(PerfRate[[#This Row],[EnvironmentSatisfaction]],PerfRate[[#This Row],[JobSatisfaction]],PerfRate[[#This Row],[RelationshipSatisfaction]])</f>
        <v>2.6666666666666665</v>
      </c>
      <c r="R1556" s="2">
        <f>PerfRate[[#This Row],[ManagerRating]] - PerfRate[[#This Row],[SelfRating]]</f>
        <v>0</v>
      </c>
    </row>
    <row r="1557" spans="1:18">
      <c r="A1557" s="2" t="s">
        <v>5864</v>
      </c>
      <c r="B1557" s="2" t="s">
        <v>344</v>
      </c>
      <c r="C1557" s="1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  <c r="L1557" s="2" t="s">
        <v>11030</v>
      </c>
      <c r="M1557" s="2" t="s">
        <v>11030</v>
      </c>
      <c r="N1557" s="2" t="s">
        <v>11037</v>
      </c>
      <c r="O1557" s="2" t="s">
        <v>11037</v>
      </c>
      <c r="P1557" s="2" t="s">
        <v>11038</v>
      </c>
      <c r="Q1557" s="2">
        <f>AVERAGE(PerfRate[[#This Row],[EnvironmentSatisfaction]],PerfRate[[#This Row],[JobSatisfaction]],PerfRate[[#This Row],[RelationshipSatisfaction]])</f>
        <v>4.333333333333333</v>
      </c>
      <c r="R1557" s="2">
        <f>PerfRate[[#This Row],[ManagerRating]] - PerfRate[[#This Row],[SelfRating]]</f>
        <v>0</v>
      </c>
    </row>
    <row r="1558" spans="1:18">
      <c r="A1558" s="2" t="s">
        <v>5865</v>
      </c>
      <c r="B1558" s="2" t="s">
        <v>732</v>
      </c>
      <c r="C1558" s="1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  <c r="L1558" s="2" t="s">
        <v>11031</v>
      </c>
      <c r="M1558" s="2" t="s">
        <v>11030</v>
      </c>
      <c r="N1558" s="2" t="s">
        <v>11037</v>
      </c>
      <c r="O1558" s="2" t="s">
        <v>11036</v>
      </c>
      <c r="P1558" s="2" t="s">
        <v>11035</v>
      </c>
      <c r="Q1558" s="2">
        <f>AVERAGE(PerfRate[[#This Row],[EnvironmentSatisfaction]],PerfRate[[#This Row],[JobSatisfaction]],PerfRate[[#This Row],[RelationshipSatisfaction]])</f>
        <v>3</v>
      </c>
      <c r="R1558" s="2">
        <f>PerfRate[[#This Row],[ManagerRating]] - PerfRate[[#This Row],[SelfRating]]</f>
        <v>-1</v>
      </c>
    </row>
    <row r="1559" spans="1:18">
      <c r="A1559" s="2" t="s">
        <v>5866</v>
      </c>
      <c r="B1559" s="2" t="s">
        <v>1033</v>
      </c>
      <c r="C1559" s="1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  <c r="L1559" s="2" t="s">
        <v>11031</v>
      </c>
      <c r="M1559" s="2" t="s">
        <v>11030</v>
      </c>
      <c r="N1559" s="2" t="s">
        <v>11037</v>
      </c>
      <c r="O1559" s="2" t="s">
        <v>11038</v>
      </c>
      <c r="P1559" s="2" t="s">
        <v>11038</v>
      </c>
      <c r="Q1559" s="2">
        <f>AVERAGE(PerfRate[[#This Row],[EnvironmentSatisfaction]],PerfRate[[#This Row],[JobSatisfaction]],PerfRate[[#This Row],[RelationshipSatisfaction]])</f>
        <v>4.666666666666667</v>
      </c>
      <c r="R1559" s="2">
        <f>PerfRate[[#This Row],[ManagerRating]] - PerfRate[[#This Row],[SelfRating]]</f>
        <v>-1</v>
      </c>
    </row>
    <row r="1560" spans="1:18">
      <c r="A1560" s="2" t="s">
        <v>5867</v>
      </c>
      <c r="B1560" s="2" t="s">
        <v>293</v>
      </c>
      <c r="C1560" s="1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  <c r="L1560" s="2" t="s">
        <v>11029</v>
      </c>
      <c r="M1560" s="2" t="s">
        <v>11029</v>
      </c>
      <c r="N1560" s="2" t="s">
        <v>11038</v>
      </c>
      <c r="O1560" s="2" t="s">
        <v>11035</v>
      </c>
      <c r="P1560" s="2" t="s">
        <v>11037</v>
      </c>
      <c r="Q1560" s="2">
        <f>AVERAGE(PerfRate[[#This Row],[EnvironmentSatisfaction]],PerfRate[[#This Row],[JobSatisfaction]],PerfRate[[#This Row],[RelationshipSatisfaction]])</f>
        <v>3.6666666666666665</v>
      </c>
      <c r="R1560" s="2">
        <f>PerfRate[[#This Row],[ManagerRating]] - PerfRate[[#This Row],[SelfRating]]</f>
        <v>0</v>
      </c>
    </row>
    <row r="1561" spans="1:18">
      <c r="A1561" s="2" t="s">
        <v>5868</v>
      </c>
      <c r="B1561" s="2" t="s">
        <v>931</v>
      </c>
      <c r="C1561" s="1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  <c r="L1561" s="2" t="s">
        <v>11030</v>
      </c>
      <c r="M1561" s="2" t="s">
        <v>11030</v>
      </c>
      <c r="N1561" s="2" t="s">
        <v>11037</v>
      </c>
      <c r="O1561" s="2" t="s">
        <v>11038</v>
      </c>
      <c r="P1561" s="2" t="s">
        <v>11038</v>
      </c>
      <c r="Q1561" s="2">
        <f>AVERAGE(PerfRate[[#This Row],[EnvironmentSatisfaction]],PerfRate[[#This Row],[JobSatisfaction]],PerfRate[[#This Row],[RelationshipSatisfaction]])</f>
        <v>4.666666666666667</v>
      </c>
      <c r="R1561" s="2">
        <f>PerfRate[[#This Row],[ManagerRating]] - PerfRate[[#This Row],[SelfRating]]</f>
        <v>0</v>
      </c>
    </row>
    <row r="1562" spans="1:18">
      <c r="A1562" s="2" t="s">
        <v>5869</v>
      </c>
      <c r="B1562" s="2" t="s">
        <v>1315</v>
      </c>
      <c r="C1562" s="1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  <c r="L1562" s="2" t="s">
        <v>11030</v>
      </c>
      <c r="M1562" s="2" t="s">
        <v>11029</v>
      </c>
      <c r="N1562" s="2" t="s">
        <v>11036</v>
      </c>
      <c r="O1562" s="2" t="s">
        <v>11037</v>
      </c>
      <c r="P1562" s="2" t="s">
        <v>11035</v>
      </c>
      <c r="Q1562" s="2">
        <f>AVERAGE(PerfRate[[#This Row],[EnvironmentSatisfaction]],PerfRate[[#This Row],[JobSatisfaction]],PerfRate[[#This Row],[RelationshipSatisfaction]])</f>
        <v>3</v>
      </c>
      <c r="R1562" s="2">
        <f>PerfRate[[#This Row],[ManagerRating]] - PerfRate[[#This Row],[SelfRating]]</f>
        <v>-1</v>
      </c>
    </row>
    <row r="1563" spans="1:18">
      <c r="A1563" s="2" t="s">
        <v>5870</v>
      </c>
      <c r="B1563" s="2" t="s">
        <v>2672</v>
      </c>
      <c r="C1563" s="1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  <c r="L1563" s="2" t="s">
        <v>11030</v>
      </c>
      <c r="M1563" s="2" t="s">
        <v>11030</v>
      </c>
      <c r="N1563" s="2" t="s">
        <v>11037</v>
      </c>
      <c r="O1563" s="2" t="s">
        <v>11037</v>
      </c>
      <c r="P1563" s="2" t="s">
        <v>11038</v>
      </c>
      <c r="Q1563" s="2">
        <f>AVERAGE(PerfRate[[#This Row],[EnvironmentSatisfaction]],PerfRate[[#This Row],[JobSatisfaction]],PerfRate[[#This Row],[RelationshipSatisfaction]])</f>
        <v>4.333333333333333</v>
      </c>
      <c r="R1563" s="2">
        <f>PerfRate[[#This Row],[ManagerRating]] - PerfRate[[#This Row],[SelfRating]]</f>
        <v>0</v>
      </c>
    </row>
    <row r="1564" spans="1:18">
      <c r="A1564" s="2" t="s">
        <v>5871</v>
      </c>
      <c r="B1564" s="2" t="s">
        <v>217</v>
      </c>
      <c r="C1564" s="1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  <c r="L1564" s="2" t="s">
        <v>11031</v>
      </c>
      <c r="M1564" s="2" t="s">
        <v>11030</v>
      </c>
      <c r="N1564" s="2" t="s">
        <v>11037</v>
      </c>
      <c r="O1564" s="2" t="s">
        <v>11036</v>
      </c>
      <c r="P1564" s="2" t="s">
        <v>11037</v>
      </c>
      <c r="Q1564" s="2">
        <f>AVERAGE(PerfRate[[#This Row],[EnvironmentSatisfaction]],PerfRate[[#This Row],[JobSatisfaction]],PerfRate[[#This Row],[RelationshipSatisfaction]])</f>
        <v>3.6666666666666665</v>
      </c>
      <c r="R1564" s="2">
        <f>PerfRate[[#This Row],[ManagerRating]] - PerfRate[[#This Row],[SelfRating]]</f>
        <v>-1</v>
      </c>
    </row>
    <row r="1565" spans="1:18">
      <c r="A1565" s="2" t="s">
        <v>5872</v>
      </c>
      <c r="B1565" s="2" t="s">
        <v>690</v>
      </c>
      <c r="C1565" s="1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  <c r="L1565" s="2" t="s">
        <v>11031</v>
      </c>
      <c r="M1565" s="2" t="s">
        <v>11031</v>
      </c>
      <c r="N1565" s="2" t="s">
        <v>11036</v>
      </c>
      <c r="O1565" s="2" t="s">
        <v>11035</v>
      </c>
      <c r="P1565" s="2" t="s">
        <v>11035</v>
      </c>
      <c r="Q1565" s="2">
        <f>AVERAGE(PerfRate[[#This Row],[EnvironmentSatisfaction]],PerfRate[[#This Row],[JobSatisfaction]],PerfRate[[#This Row],[RelationshipSatisfaction]])</f>
        <v>2.3333333333333335</v>
      </c>
      <c r="R1565" s="2">
        <f>PerfRate[[#This Row],[ManagerRating]] - PerfRate[[#This Row],[SelfRating]]</f>
        <v>0</v>
      </c>
    </row>
    <row r="1566" spans="1:18">
      <c r="A1566" s="2" t="s">
        <v>5873</v>
      </c>
      <c r="B1566" s="2" t="s">
        <v>1082</v>
      </c>
      <c r="C1566" s="1">
        <v>41823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  <c r="L1566" s="2" t="s">
        <v>11031</v>
      </c>
      <c r="M1566" s="2" t="s">
        <v>11030</v>
      </c>
      <c r="N1566" s="2" t="s">
        <v>11036</v>
      </c>
      <c r="O1566" s="2" t="s">
        <v>11037</v>
      </c>
      <c r="P1566" s="2" t="s">
        <v>11037</v>
      </c>
      <c r="Q1566" s="2">
        <f>AVERAGE(PerfRate[[#This Row],[EnvironmentSatisfaction]],PerfRate[[#This Row],[JobSatisfaction]],PerfRate[[#This Row],[RelationshipSatisfaction]])</f>
        <v>3.6666666666666665</v>
      </c>
      <c r="R1566" s="2">
        <f>PerfRate[[#This Row],[ManagerRating]] - PerfRate[[#This Row],[SelfRating]]</f>
        <v>-1</v>
      </c>
    </row>
    <row r="1567" spans="1:18">
      <c r="A1567" s="2" t="s">
        <v>5874</v>
      </c>
      <c r="B1567" s="2" t="s">
        <v>195</v>
      </c>
      <c r="C1567" s="1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  <c r="L1567" s="2" t="s">
        <v>11031</v>
      </c>
      <c r="M1567" s="2" t="s">
        <v>11030</v>
      </c>
      <c r="N1567" s="2" t="s">
        <v>11036</v>
      </c>
      <c r="O1567" s="2" t="s">
        <v>11037</v>
      </c>
      <c r="P1567" s="2" t="s">
        <v>11035</v>
      </c>
      <c r="Q1567" s="2">
        <f>AVERAGE(PerfRate[[#This Row],[EnvironmentSatisfaction]],PerfRate[[#This Row],[JobSatisfaction]],PerfRate[[#This Row],[RelationshipSatisfaction]])</f>
        <v>3</v>
      </c>
      <c r="R1567" s="2">
        <f>PerfRate[[#This Row],[ManagerRating]] - PerfRate[[#This Row],[SelfRating]]</f>
        <v>-1</v>
      </c>
    </row>
    <row r="1568" spans="1:18">
      <c r="A1568" s="2" t="s">
        <v>5875</v>
      </c>
      <c r="B1568" s="2" t="s">
        <v>487</v>
      </c>
      <c r="C1568" s="1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  <c r="L1568" s="2" t="s">
        <v>11030</v>
      </c>
      <c r="M1568" s="2" t="s">
        <v>11029</v>
      </c>
      <c r="N1568" s="2" t="s">
        <v>11037</v>
      </c>
      <c r="O1568" s="2" t="s">
        <v>11036</v>
      </c>
      <c r="P1568" s="2" t="s">
        <v>11035</v>
      </c>
      <c r="Q1568" s="2">
        <f>AVERAGE(PerfRate[[#This Row],[EnvironmentSatisfaction]],PerfRate[[#This Row],[JobSatisfaction]],PerfRate[[#This Row],[RelationshipSatisfaction]])</f>
        <v>3</v>
      </c>
      <c r="R1568" s="2">
        <f>PerfRate[[#This Row],[ManagerRating]] - PerfRate[[#This Row],[SelfRating]]</f>
        <v>-1</v>
      </c>
    </row>
    <row r="1569" spans="1:18">
      <c r="A1569" s="2" t="s">
        <v>5876</v>
      </c>
      <c r="B1569" s="2" t="s">
        <v>329</v>
      </c>
      <c r="C1569" s="1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  <c r="L1569" s="2" t="s">
        <v>11031</v>
      </c>
      <c r="M1569" s="2" t="s">
        <v>11031</v>
      </c>
      <c r="N1569" s="2" t="s">
        <v>11036</v>
      </c>
      <c r="O1569" s="2" t="s">
        <v>11036</v>
      </c>
      <c r="P1569" s="2" t="s">
        <v>11038</v>
      </c>
      <c r="Q1569" s="2">
        <f>AVERAGE(PerfRate[[#This Row],[EnvironmentSatisfaction]],PerfRate[[#This Row],[JobSatisfaction]],PerfRate[[#This Row],[RelationshipSatisfaction]])</f>
        <v>3.6666666666666665</v>
      </c>
      <c r="R1569" s="2">
        <f>PerfRate[[#This Row],[ManagerRating]] - PerfRate[[#This Row],[SelfRating]]</f>
        <v>0</v>
      </c>
    </row>
    <row r="1570" spans="1:18">
      <c r="A1570" s="2" t="s">
        <v>5877</v>
      </c>
      <c r="B1570" s="2" t="s">
        <v>1079</v>
      </c>
      <c r="C1570" s="1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  <c r="L1570" s="2" t="s">
        <v>11029</v>
      </c>
      <c r="M1570" s="2" t="s">
        <v>11028</v>
      </c>
      <c r="N1570" s="2" t="s">
        <v>11036</v>
      </c>
      <c r="O1570" s="2" t="s">
        <v>11037</v>
      </c>
      <c r="P1570" s="2" t="s">
        <v>11036</v>
      </c>
      <c r="Q1570" s="2">
        <f>AVERAGE(PerfRate[[#This Row],[EnvironmentSatisfaction]],PerfRate[[#This Row],[JobSatisfaction]],PerfRate[[#This Row],[RelationshipSatisfaction]])</f>
        <v>3.3333333333333335</v>
      </c>
      <c r="R1570" s="2">
        <f>PerfRate[[#This Row],[ManagerRating]] - PerfRate[[#This Row],[SelfRating]]</f>
        <v>-1</v>
      </c>
    </row>
    <row r="1571" spans="1:18">
      <c r="A1571" s="2" t="s">
        <v>5878</v>
      </c>
      <c r="B1571" s="2" t="s">
        <v>1099</v>
      </c>
      <c r="C1571" s="1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  <c r="L1571" s="2" t="s">
        <v>11030</v>
      </c>
      <c r="M1571" s="2" t="s">
        <v>11029</v>
      </c>
      <c r="N1571" s="2" t="s">
        <v>11038</v>
      </c>
      <c r="O1571" s="2" t="s">
        <v>11038</v>
      </c>
      <c r="P1571" s="2" t="s">
        <v>11037</v>
      </c>
      <c r="Q1571" s="2">
        <f>AVERAGE(PerfRate[[#This Row],[EnvironmentSatisfaction]],PerfRate[[#This Row],[JobSatisfaction]],PerfRate[[#This Row],[RelationshipSatisfaction]])</f>
        <v>4.666666666666667</v>
      </c>
      <c r="R1571" s="2">
        <f>PerfRate[[#This Row],[ManagerRating]] - PerfRate[[#This Row],[SelfRating]]</f>
        <v>-1</v>
      </c>
    </row>
    <row r="1572" spans="1:18">
      <c r="A1572" s="2" t="s">
        <v>5879</v>
      </c>
      <c r="B1572" s="2" t="s">
        <v>434</v>
      </c>
      <c r="C1572" s="1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  <c r="L1572" s="2" t="s">
        <v>11029</v>
      </c>
      <c r="M1572" s="2" t="s">
        <v>11028</v>
      </c>
      <c r="N1572" s="2" t="s">
        <v>11038</v>
      </c>
      <c r="O1572" s="2" t="s">
        <v>11035</v>
      </c>
      <c r="P1572" s="2" t="s">
        <v>11037</v>
      </c>
      <c r="Q1572" s="2">
        <f>AVERAGE(PerfRate[[#This Row],[EnvironmentSatisfaction]],PerfRate[[#This Row],[JobSatisfaction]],PerfRate[[#This Row],[RelationshipSatisfaction]])</f>
        <v>3.6666666666666665</v>
      </c>
      <c r="R1572" s="2">
        <f>PerfRate[[#This Row],[ManagerRating]] - PerfRate[[#This Row],[SelfRating]]</f>
        <v>-1</v>
      </c>
    </row>
    <row r="1573" spans="1:18">
      <c r="A1573" s="2" t="s">
        <v>5880</v>
      </c>
      <c r="B1573" s="2" t="s">
        <v>1494</v>
      </c>
      <c r="C1573" s="1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  <c r="L1573" s="2" t="s">
        <v>11029</v>
      </c>
      <c r="M1573" s="2" t="s">
        <v>11029</v>
      </c>
      <c r="N1573" s="2" t="s">
        <v>11038</v>
      </c>
      <c r="O1573" s="2" t="s">
        <v>11036</v>
      </c>
      <c r="P1573" s="2" t="s">
        <v>11038</v>
      </c>
      <c r="Q1573" s="2">
        <f>AVERAGE(PerfRate[[#This Row],[EnvironmentSatisfaction]],PerfRate[[#This Row],[JobSatisfaction]],PerfRate[[#This Row],[RelationshipSatisfaction]])</f>
        <v>4.333333333333333</v>
      </c>
      <c r="R1573" s="2">
        <f>PerfRate[[#This Row],[ManagerRating]] - PerfRate[[#This Row],[SelfRating]]</f>
        <v>0</v>
      </c>
    </row>
    <row r="1574" spans="1:18">
      <c r="A1574" s="2" t="s">
        <v>5881</v>
      </c>
      <c r="B1574" s="2" t="s">
        <v>1447</v>
      </c>
      <c r="C1574" s="1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  <c r="L1574" s="2" t="s">
        <v>11030</v>
      </c>
      <c r="M1574" s="2" t="s">
        <v>11030</v>
      </c>
      <c r="N1574" s="2" t="s">
        <v>11034</v>
      </c>
      <c r="O1574" s="2" t="s">
        <v>11036</v>
      </c>
      <c r="P1574" s="2" t="s">
        <v>11035</v>
      </c>
      <c r="Q1574" s="2">
        <f>AVERAGE(PerfRate[[#This Row],[EnvironmentSatisfaction]],PerfRate[[#This Row],[JobSatisfaction]],PerfRate[[#This Row],[RelationshipSatisfaction]])</f>
        <v>2</v>
      </c>
      <c r="R1574" s="2">
        <f>PerfRate[[#This Row],[ManagerRating]] - PerfRate[[#This Row],[SelfRating]]</f>
        <v>0</v>
      </c>
    </row>
    <row r="1575" spans="1:18">
      <c r="A1575" s="2" t="s">
        <v>5882</v>
      </c>
      <c r="B1575" s="2" t="s">
        <v>443</v>
      </c>
      <c r="C1575" s="1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  <c r="L1575" s="2" t="s">
        <v>11030</v>
      </c>
      <c r="M1575" s="2" t="s">
        <v>11029</v>
      </c>
      <c r="N1575" s="2" t="s">
        <v>11034</v>
      </c>
      <c r="O1575" s="2" t="s">
        <v>11034</v>
      </c>
      <c r="P1575" s="2" t="s">
        <v>11034</v>
      </c>
      <c r="Q1575" s="2">
        <f>AVERAGE(PerfRate[[#This Row],[EnvironmentSatisfaction]],PerfRate[[#This Row],[JobSatisfaction]],PerfRate[[#This Row],[RelationshipSatisfaction]])</f>
        <v>1</v>
      </c>
      <c r="R1575" s="2">
        <f>PerfRate[[#This Row],[ManagerRating]] - PerfRate[[#This Row],[SelfRating]]</f>
        <v>-1</v>
      </c>
    </row>
    <row r="1576" spans="1:18">
      <c r="A1576" s="2" t="s">
        <v>5883</v>
      </c>
      <c r="B1576" s="2" t="s">
        <v>332</v>
      </c>
      <c r="C1576" s="1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  <c r="L1576" s="2" t="s">
        <v>11031</v>
      </c>
      <c r="M1576" s="2" t="s">
        <v>11031</v>
      </c>
      <c r="N1576" s="2" t="s">
        <v>11035</v>
      </c>
      <c r="O1576" s="2" t="s">
        <v>11036</v>
      </c>
      <c r="P1576" s="2" t="s">
        <v>11034</v>
      </c>
      <c r="Q1576" s="2">
        <f>AVERAGE(PerfRate[[#This Row],[EnvironmentSatisfaction]],PerfRate[[#This Row],[JobSatisfaction]],PerfRate[[#This Row],[RelationshipSatisfaction]])</f>
        <v>2</v>
      </c>
      <c r="R1576" s="2">
        <f>PerfRate[[#This Row],[ManagerRating]] - PerfRate[[#This Row],[SelfRating]]</f>
        <v>0</v>
      </c>
    </row>
    <row r="1577" spans="1:18">
      <c r="A1577" s="2" t="s">
        <v>5884</v>
      </c>
      <c r="B1577" s="2" t="s">
        <v>2879</v>
      </c>
      <c r="C1577" s="1">
        <v>41823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  <c r="L1577" s="2" t="s">
        <v>11030</v>
      </c>
      <c r="M1577" s="2" t="s">
        <v>11030</v>
      </c>
      <c r="N1577" s="2" t="s">
        <v>11037</v>
      </c>
      <c r="O1577" s="2" t="s">
        <v>11036</v>
      </c>
      <c r="P1577" s="2" t="s">
        <v>11037</v>
      </c>
      <c r="Q1577" s="2">
        <f>AVERAGE(PerfRate[[#This Row],[EnvironmentSatisfaction]],PerfRate[[#This Row],[JobSatisfaction]],PerfRate[[#This Row],[RelationshipSatisfaction]])</f>
        <v>3.6666666666666665</v>
      </c>
      <c r="R1577" s="2">
        <f>PerfRate[[#This Row],[ManagerRating]] - PerfRate[[#This Row],[SelfRating]]</f>
        <v>0</v>
      </c>
    </row>
    <row r="1578" spans="1:18">
      <c r="A1578" s="2" t="s">
        <v>5885</v>
      </c>
      <c r="B1578" s="2" t="s">
        <v>565</v>
      </c>
      <c r="C1578" s="1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  <c r="L1578" s="2" t="s">
        <v>11030</v>
      </c>
      <c r="M1578" s="2" t="s">
        <v>11030</v>
      </c>
      <c r="N1578" s="2" t="s">
        <v>11035</v>
      </c>
      <c r="O1578" s="2" t="s">
        <v>11036</v>
      </c>
      <c r="P1578" s="2" t="s">
        <v>11036</v>
      </c>
      <c r="Q1578" s="2">
        <f>AVERAGE(PerfRate[[#This Row],[EnvironmentSatisfaction]],PerfRate[[#This Row],[JobSatisfaction]],PerfRate[[#This Row],[RelationshipSatisfaction]])</f>
        <v>2.6666666666666665</v>
      </c>
      <c r="R1578" s="2">
        <f>PerfRate[[#This Row],[ManagerRating]] - PerfRate[[#This Row],[SelfRating]]</f>
        <v>0</v>
      </c>
    </row>
    <row r="1579" spans="1:18">
      <c r="A1579" s="2" t="s">
        <v>5886</v>
      </c>
      <c r="B1579" s="2" t="s">
        <v>1657</v>
      </c>
      <c r="C1579" s="1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  <c r="L1579" s="2" t="s">
        <v>11029</v>
      </c>
      <c r="M1579" s="2" t="s">
        <v>11029</v>
      </c>
      <c r="N1579" s="2" t="s">
        <v>11036</v>
      </c>
      <c r="O1579" s="2" t="s">
        <v>11034</v>
      </c>
      <c r="P1579" s="2" t="s">
        <v>11035</v>
      </c>
      <c r="Q1579" s="2">
        <f>AVERAGE(PerfRate[[#This Row],[EnvironmentSatisfaction]],PerfRate[[#This Row],[JobSatisfaction]],PerfRate[[#This Row],[RelationshipSatisfaction]])</f>
        <v>2</v>
      </c>
      <c r="R1579" s="2">
        <f>PerfRate[[#This Row],[ManagerRating]] - PerfRate[[#This Row],[SelfRating]]</f>
        <v>0</v>
      </c>
    </row>
    <row r="1580" spans="1:18">
      <c r="A1580" s="2" t="s">
        <v>5887</v>
      </c>
      <c r="B1580" s="2" t="s">
        <v>201</v>
      </c>
      <c r="C1580" s="1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  <c r="L1580" s="2" t="s">
        <v>11029</v>
      </c>
      <c r="M1580" s="2" t="s">
        <v>11028</v>
      </c>
      <c r="N1580" s="2" t="s">
        <v>11035</v>
      </c>
      <c r="O1580" s="2" t="s">
        <v>11035</v>
      </c>
      <c r="P1580" s="2" t="s">
        <v>11034</v>
      </c>
      <c r="Q1580" s="2">
        <f>AVERAGE(PerfRate[[#This Row],[EnvironmentSatisfaction]],PerfRate[[#This Row],[JobSatisfaction]],PerfRate[[#This Row],[RelationshipSatisfaction]])</f>
        <v>1.6666666666666667</v>
      </c>
      <c r="R1580" s="2">
        <f>PerfRate[[#This Row],[ManagerRating]] - PerfRate[[#This Row],[SelfRating]]</f>
        <v>-1</v>
      </c>
    </row>
    <row r="1581" spans="1:18">
      <c r="A1581" s="2" t="s">
        <v>5888</v>
      </c>
      <c r="B1581" s="2" t="s">
        <v>476</v>
      </c>
      <c r="C1581" s="1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  <c r="L1581" s="2" t="s">
        <v>11029</v>
      </c>
      <c r="M1581" s="2" t="s">
        <v>11028</v>
      </c>
      <c r="N1581" s="2" t="s">
        <v>11034</v>
      </c>
      <c r="O1581" s="2" t="s">
        <v>11035</v>
      </c>
      <c r="P1581" s="2" t="s">
        <v>11037</v>
      </c>
      <c r="Q1581" s="2">
        <f>AVERAGE(PerfRate[[#This Row],[EnvironmentSatisfaction]],PerfRate[[#This Row],[JobSatisfaction]],PerfRate[[#This Row],[RelationshipSatisfaction]])</f>
        <v>2.3333333333333335</v>
      </c>
      <c r="R1581" s="2">
        <f>PerfRate[[#This Row],[ManagerRating]] - PerfRate[[#This Row],[SelfRating]]</f>
        <v>-1</v>
      </c>
    </row>
    <row r="1582" spans="1:18">
      <c r="A1582" s="2" t="s">
        <v>5889</v>
      </c>
      <c r="B1582" s="2" t="s">
        <v>640</v>
      </c>
      <c r="C1582" s="1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  <c r="L1582" s="2" t="s">
        <v>11029</v>
      </c>
      <c r="M1582" s="2" t="s">
        <v>11029</v>
      </c>
      <c r="N1582" s="2" t="s">
        <v>11035</v>
      </c>
      <c r="O1582" s="2" t="s">
        <v>11037</v>
      </c>
      <c r="P1582" s="2" t="s">
        <v>11034</v>
      </c>
      <c r="Q1582" s="2">
        <f>AVERAGE(PerfRate[[#This Row],[EnvironmentSatisfaction]],PerfRate[[#This Row],[JobSatisfaction]],PerfRate[[#This Row],[RelationshipSatisfaction]])</f>
        <v>2.3333333333333335</v>
      </c>
      <c r="R1582" s="2">
        <f>PerfRate[[#This Row],[ManagerRating]] - PerfRate[[#This Row],[SelfRating]]</f>
        <v>0</v>
      </c>
    </row>
    <row r="1583" spans="1:18">
      <c r="A1583" s="2" t="s">
        <v>5890</v>
      </c>
      <c r="B1583" s="2" t="s">
        <v>1632</v>
      </c>
      <c r="C1583" s="1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  <c r="L1583" s="2" t="s">
        <v>11031</v>
      </c>
      <c r="M1583" s="2" t="s">
        <v>11030</v>
      </c>
      <c r="N1583" s="2" t="s">
        <v>11036</v>
      </c>
      <c r="O1583" s="2" t="s">
        <v>11037</v>
      </c>
      <c r="P1583" s="2" t="s">
        <v>11038</v>
      </c>
      <c r="Q1583" s="2">
        <f>AVERAGE(PerfRate[[#This Row],[EnvironmentSatisfaction]],PerfRate[[#This Row],[JobSatisfaction]],PerfRate[[#This Row],[RelationshipSatisfaction]])</f>
        <v>4</v>
      </c>
      <c r="R1583" s="2">
        <f>PerfRate[[#This Row],[ManagerRating]] - PerfRate[[#This Row],[SelfRating]]</f>
        <v>-1</v>
      </c>
    </row>
    <row r="1584" spans="1:18">
      <c r="A1584" s="2" t="s">
        <v>5891</v>
      </c>
      <c r="B1584" s="2" t="s">
        <v>994</v>
      </c>
      <c r="C1584" s="1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  <c r="L1584" s="2" t="s">
        <v>11031</v>
      </c>
      <c r="M1584" s="2" t="s">
        <v>11031</v>
      </c>
      <c r="N1584" s="2" t="s">
        <v>11036</v>
      </c>
      <c r="O1584" s="2" t="s">
        <v>11038</v>
      </c>
      <c r="P1584" s="2" t="s">
        <v>11037</v>
      </c>
      <c r="Q1584" s="2">
        <f>AVERAGE(PerfRate[[#This Row],[EnvironmentSatisfaction]],PerfRate[[#This Row],[JobSatisfaction]],PerfRate[[#This Row],[RelationshipSatisfaction]])</f>
        <v>4</v>
      </c>
      <c r="R1584" s="2">
        <f>PerfRate[[#This Row],[ManagerRating]] - PerfRate[[#This Row],[SelfRating]]</f>
        <v>0</v>
      </c>
    </row>
    <row r="1585" spans="1:18">
      <c r="A1585" s="2" t="s">
        <v>5892</v>
      </c>
      <c r="B1585" s="2" t="s">
        <v>1268</v>
      </c>
      <c r="C1585" s="1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  <c r="L1585" s="2" t="s">
        <v>11029</v>
      </c>
      <c r="M1585" s="2" t="s">
        <v>11029</v>
      </c>
      <c r="N1585" s="2" t="s">
        <v>11036</v>
      </c>
      <c r="O1585" s="2" t="s">
        <v>11038</v>
      </c>
      <c r="P1585" s="2" t="s">
        <v>11036</v>
      </c>
      <c r="Q1585" s="2">
        <f>AVERAGE(PerfRate[[#This Row],[EnvironmentSatisfaction]],PerfRate[[#This Row],[JobSatisfaction]],PerfRate[[#This Row],[RelationshipSatisfaction]])</f>
        <v>3.6666666666666665</v>
      </c>
      <c r="R1585" s="2">
        <f>PerfRate[[#This Row],[ManagerRating]] - PerfRate[[#This Row],[SelfRating]]</f>
        <v>0</v>
      </c>
    </row>
    <row r="1586" spans="1:18">
      <c r="A1586" s="2" t="s">
        <v>5893</v>
      </c>
      <c r="B1586" s="2" t="s">
        <v>1462</v>
      </c>
      <c r="C1586" s="1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  <c r="L1586" s="2" t="s">
        <v>11029</v>
      </c>
      <c r="M1586" s="2" t="s">
        <v>11029</v>
      </c>
      <c r="N1586" s="2" t="s">
        <v>11037</v>
      </c>
      <c r="O1586" s="2" t="s">
        <v>11038</v>
      </c>
      <c r="P1586" s="2" t="s">
        <v>11037</v>
      </c>
      <c r="Q1586" s="2">
        <f>AVERAGE(PerfRate[[#This Row],[EnvironmentSatisfaction]],PerfRate[[#This Row],[JobSatisfaction]],PerfRate[[#This Row],[RelationshipSatisfaction]])</f>
        <v>4.333333333333333</v>
      </c>
      <c r="R1586" s="2">
        <f>PerfRate[[#This Row],[ManagerRating]] - PerfRate[[#This Row],[SelfRating]]</f>
        <v>0</v>
      </c>
    </row>
    <row r="1587" spans="1:18">
      <c r="A1587" s="2" t="s">
        <v>5894</v>
      </c>
      <c r="B1587" s="2" t="s">
        <v>1611</v>
      </c>
      <c r="C1587" s="1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  <c r="L1587" s="2" t="s">
        <v>11030</v>
      </c>
      <c r="M1587" s="2" t="s">
        <v>11029</v>
      </c>
      <c r="N1587" s="2" t="s">
        <v>11037</v>
      </c>
      <c r="O1587" s="2" t="s">
        <v>11036</v>
      </c>
      <c r="P1587" s="2" t="s">
        <v>11037</v>
      </c>
      <c r="Q1587" s="2">
        <f>AVERAGE(PerfRate[[#This Row],[EnvironmentSatisfaction]],PerfRate[[#This Row],[JobSatisfaction]],PerfRate[[#This Row],[RelationshipSatisfaction]])</f>
        <v>3.6666666666666665</v>
      </c>
      <c r="R1587" s="2">
        <f>PerfRate[[#This Row],[ManagerRating]] - PerfRate[[#This Row],[SelfRating]]</f>
        <v>-1</v>
      </c>
    </row>
    <row r="1588" spans="1:18">
      <c r="A1588" s="2" t="s">
        <v>5895</v>
      </c>
      <c r="B1588" s="2" t="s">
        <v>838</v>
      </c>
      <c r="C1588" s="1">
        <v>41854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  <c r="L1588" s="2" t="s">
        <v>11031</v>
      </c>
      <c r="M1588" s="2" t="s">
        <v>11030</v>
      </c>
      <c r="N1588" s="2" t="s">
        <v>11037</v>
      </c>
      <c r="O1588" s="2" t="s">
        <v>11035</v>
      </c>
      <c r="P1588" s="2" t="s">
        <v>11036</v>
      </c>
      <c r="Q1588" s="2">
        <f>AVERAGE(PerfRate[[#This Row],[EnvironmentSatisfaction]],PerfRate[[#This Row],[JobSatisfaction]],PerfRate[[#This Row],[RelationshipSatisfaction]])</f>
        <v>3</v>
      </c>
      <c r="R1588" s="2">
        <f>PerfRate[[#This Row],[ManagerRating]] - PerfRate[[#This Row],[SelfRating]]</f>
        <v>-1</v>
      </c>
    </row>
    <row r="1589" spans="1:18">
      <c r="A1589" s="2" t="s">
        <v>5896</v>
      </c>
      <c r="B1589" s="2" t="s">
        <v>3531</v>
      </c>
      <c r="C1589" s="1">
        <v>43107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  <c r="L1589" s="2" t="s">
        <v>11030</v>
      </c>
      <c r="M1589" s="2" t="s">
        <v>11029</v>
      </c>
      <c r="N1589" s="2" t="s">
        <v>11037</v>
      </c>
      <c r="O1589" s="2" t="s">
        <v>11036</v>
      </c>
      <c r="P1589" s="2" t="s">
        <v>11036</v>
      </c>
      <c r="Q1589" s="2">
        <f>AVERAGE(PerfRate[[#This Row],[EnvironmentSatisfaction]],PerfRate[[#This Row],[JobSatisfaction]],PerfRate[[#This Row],[RelationshipSatisfaction]])</f>
        <v>3.3333333333333335</v>
      </c>
      <c r="R1589" s="2">
        <f>PerfRate[[#This Row],[ManagerRating]] - PerfRate[[#This Row],[SelfRating]]</f>
        <v>-1</v>
      </c>
    </row>
    <row r="1590" spans="1:18">
      <c r="A1590" s="2" t="s">
        <v>5897</v>
      </c>
      <c r="B1590" s="2" t="s">
        <v>263</v>
      </c>
      <c r="C1590" s="1">
        <v>43107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  <c r="L1590" s="2" t="s">
        <v>11031</v>
      </c>
      <c r="M1590" s="2" t="s">
        <v>11031</v>
      </c>
      <c r="N1590" s="2" t="s">
        <v>11038</v>
      </c>
      <c r="O1590" s="2" t="s">
        <v>11036</v>
      </c>
      <c r="P1590" s="2" t="s">
        <v>11036</v>
      </c>
      <c r="Q1590" s="2">
        <f>AVERAGE(PerfRate[[#This Row],[EnvironmentSatisfaction]],PerfRate[[#This Row],[JobSatisfaction]],PerfRate[[#This Row],[RelationshipSatisfaction]])</f>
        <v>3.6666666666666665</v>
      </c>
      <c r="R1590" s="2">
        <f>PerfRate[[#This Row],[ManagerRating]] - PerfRate[[#This Row],[SelfRating]]</f>
        <v>0</v>
      </c>
    </row>
    <row r="1591" spans="1:18">
      <c r="A1591" s="2" t="s">
        <v>5898</v>
      </c>
      <c r="B1591" s="2" t="s">
        <v>880</v>
      </c>
      <c r="C1591" s="1">
        <v>43107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  <c r="L1591" s="2" t="s">
        <v>11031</v>
      </c>
      <c r="M1591" s="2" t="s">
        <v>11030</v>
      </c>
      <c r="N1591" s="2" t="s">
        <v>11037</v>
      </c>
      <c r="O1591" s="2" t="s">
        <v>11038</v>
      </c>
      <c r="P1591" s="2" t="s">
        <v>11036</v>
      </c>
      <c r="Q1591" s="2">
        <f>AVERAGE(PerfRate[[#This Row],[EnvironmentSatisfaction]],PerfRate[[#This Row],[JobSatisfaction]],PerfRate[[#This Row],[RelationshipSatisfaction]])</f>
        <v>4</v>
      </c>
      <c r="R1591" s="2">
        <f>PerfRate[[#This Row],[ManagerRating]] - PerfRate[[#This Row],[SelfRating]]</f>
        <v>-1</v>
      </c>
    </row>
    <row r="1592" spans="1:18">
      <c r="A1592" s="2" t="s">
        <v>5899</v>
      </c>
      <c r="B1592" s="2" t="s">
        <v>1261</v>
      </c>
      <c r="C1592" s="1">
        <v>43107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  <c r="L1592" s="2" t="s">
        <v>11030</v>
      </c>
      <c r="M1592" s="2" t="s">
        <v>11029</v>
      </c>
      <c r="N1592" s="2" t="s">
        <v>11038</v>
      </c>
      <c r="O1592" s="2" t="s">
        <v>11036</v>
      </c>
      <c r="P1592" s="2" t="s">
        <v>11038</v>
      </c>
      <c r="Q1592" s="2">
        <f>AVERAGE(PerfRate[[#This Row],[EnvironmentSatisfaction]],PerfRate[[#This Row],[JobSatisfaction]],PerfRate[[#This Row],[RelationshipSatisfaction]])</f>
        <v>4.333333333333333</v>
      </c>
      <c r="R1592" s="2">
        <f>PerfRate[[#This Row],[ManagerRating]] - PerfRate[[#This Row],[SelfRating]]</f>
        <v>-1</v>
      </c>
    </row>
    <row r="1593" spans="1:18">
      <c r="A1593" s="2" t="s">
        <v>5900</v>
      </c>
      <c r="B1593" s="2" t="s">
        <v>467</v>
      </c>
      <c r="C1593" s="1">
        <v>43166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  <c r="L1593" s="2" t="s">
        <v>11031</v>
      </c>
      <c r="M1593" s="2" t="s">
        <v>11031</v>
      </c>
      <c r="N1593" s="2" t="s">
        <v>11037</v>
      </c>
      <c r="O1593" s="2" t="s">
        <v>11036</v>
      </c>
      <c r="P1593" s="2" t="s">
        <v>11036</v>
      </c>
      <c r="Q1593" s="2">
        <f>AVERAGE(PerfRate[[#This Row],[EnvironmentSatisfaction]],PerfRate[[#This Row],[JobSatisfaction]],PerfRate[[#This Row],[RelationshipSatisfaction]])</f>
        <v>3.3333333333333335</v>
      </c>
      <c r="R1593" s="2">
        <f>PerfRate[[#This Row],[ManagerRating]] - PerfRate[[#This Row],[SelfRating]]</f>
        <v>0</v>
      </c>
    </row>
    <row r="1594" spans="1:18">
      <c r="A1594" s="2" t="s">
        <v>5901</v>
      </c>
      <c r="B1594" s="2" t="s">
        <v>505</v>
      </c>
      <c r="C1594" s="1">
        <v>43227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  <c r="L1594" s="2" t="s">
        <v>11029</v>
      </c>
      <c r="M1594" s="2" t="s">
        <v>11029</v>
      </c>
      <c r="N1594" s="2" t="s">
        <v>11037</v>
      </c>
      <c r="O1594" s="2" t="s">
        <v>11037</v>
      </c>
      <c r="P1594" s="2" t="s">
        <v>11035</v>
      </c>
      <c r="Q1594" s="2">
        <f>AVERAGE(PerfRate[[#This Row],[EnvironmentSatisfaction]],PerfRate[[#This Row],[JobSatisfaction]],PerfRate[[#This Row],[RelationshipSatisfaction]])</f>
        <v>3.3333333333333335</v>
      </c>
      <c r="R1594" s="2">
        <f>PerfRate[[#This Row],[ManagerRating]] - PerfRate[[#This Row],[SelfRating]]</f>
        <v>0</v>
      </c>
    </row>
    <row r="1595" spans="1:18">
      <c r="A1595" s="2" t="s">
        <v>5902</v>
      </c>
      <c r="B1595" s="2" t="s">
        <v>179</v>
      </c>
      <c r="C1595" s="1">
        <v>43258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  <c r="L1595" s="2" t="s">
        <v>11030</v>
      </c>
      <c r="M1595" s="2" t="s">
        <v>11029</v>
      </c>
      <c r="N1595" s="2" t="s">
        <v>11037</v>
      </c>
      <c r="O1595" s="2" t="s">
        <v>11038</v>
      </c>
      <c r="P1595" s="2" t="s">
        <v>11038</v>
      </c>
      <c r="Q1595" s="2">
        <f>AVERAGE(PerfRate[[#This Row],[EnvironmentSatisfaction]],PerfRate[[#This Row],[JobSatisfaction]],PerfRate[[#This Row],[RelationshipSatisfaction]])</f>
        <v>4.666666666666667</v>
      </c>
      <c r="R1595" s="2">
        <f>PerfRate[[#This Row],[ManagerRating]] - PerfRate[[#This Row],[SelfRating]]</f>
        <v>-1</v>
      </c>
    </row>
    <row r="1596" spans="1:18">
      <c r="A1596" s="2" t="s">
        <v>5903</v>
      </c>
      <c r="B1596" s="2" t="s">
        <v>3549</v>
      </c>
      <c r="C1596" s="1">
        <v>43319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  <c r="L1596" s="2" t="s">
        <v>11031</v>
      </c>
      <c r="M1596" s="2" t="s">
        <v>11030</v>
      </c>
      <c r="N1596" s="2" t="s">
        <v>11037</v>
      </c>
      <c r="O1596" s="2" t="s">
        <v>11036</v>
      </c>
      <c r="P1596" s="2" t="s">
        <v>11037</v>
      </c>
      <c r="Q1596" s="2">
        <f>AVERAGE(PerfRate[[#This Row],[EnvironmentSatisfaction]],PerfRate[[#This Row],[JobSatisfaction]],PerfRate[[#This Row],[RelationshipSatisfaction]])</f>
        <v>3.6666666666666665</v>
      </c>
      <c r="R1596" s="2">
        <f>PerfRate[[#This Row],[ManagerRating]] - PerfRate[[#This Row],[SelfRating]]</f>
        <v>-1</v>
      </c>
    </row>
    <row r="1597" spans="1:18">
      <c r="A1597" s="2" t="s">
        <v>5904</v>
      </c>
      <c r="B1597" s="2" t="s">
        <v>541</v>
      </c>
      <c r="C1597" s="1">
        <v>43319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  <c r="L1597" s="2" t="s">
        <v>11029</v>
      </c>
      <c r="M1597" s="2" t="s">
        <v>11029</v>
      </c>
      <c r="N1597" s="2" t="s">
        <v>11037</v>
      </c>
      <c r="O1597" s="2" t="s">
        <v>11035</v>
      </c>
      <c r="P1597" s="2" t="s">
        <v>11038</v>
      </c>
      <c r="Q1597" s="2">
        <f>AVERAGE(PerfRate[[#This Row],[EnvironmentSatisfaction]],PerfRate[[#This Row],[JobSatisfaction]],PerfRate[[#This Row],[RelationshipSatisfaction]])</f>
        <v>3.6666666666666665</v>
      </c>
      <c r="R1597" s="2">
        <f>PerfRate[[#This Row],[ManagerRating]] - PerfRate[[#This Row],[SelfRating]]</f>
        <v>0</v>
      </c>
    </row>
    <row r="1598" spans="1:18">
      <c r="A1598" s="2" t="s">
        <v>5905</v>
      </c>
      <c r="B1598" s="2" t="s">
        <v>232</v>
      </c>
      <c r="C1598" s="1">
        <v>43350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  <c r="L1598" s="2" t="s">
        <v>11030</v>
      </c>
      <c r="M1598" s="2" t="s">
        <v>11029</v>
      </c>
      <c r="N1598" s="2" t="s">
        <v>11037</v>
      </c>
      <c r="O1598" s="2" t="s">
        <v>11036</v>
      </c>
      <c r="P1598" s="2" t="s">
        <v>11038</v>
      </c>
      <c r="Q1598" s="2">
        <f>AVERAGE(PerfRate[[#This Row],[EnvironmentSatisfaction]],PerfRate[[#This Row],[JobSatisfaction]],PerfRate[[#This Row],[RelationshipSatisfaction]])</f>
        <v>4</v>
      </c>
      <c r="R1598" s="2">
        <f>PerfRate[[#This Row],[ManagerRating]] - PerfRate[[#This Row],[SelfRating]]</f>
        <v>-1</v>
      </c>
    </row>
    <row r="1599" spans="1:18">
      <c r="A1599" s="2" t="s">
        <v>5906</v>
      </c>
      <c r="B1599" s="2" t="s">
        <v>1674</v>
      </c>
      <c r="C1599" s="1">
        <v>41854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  <c r="L1599" s="2" t="s">
        <v>11031</v>
      </c>
      <c r="M1599" s="2" t="s">
        <v>11031</v>
      </c>
      <c r="N1599" s="2" t="s">
        <v>11036</v>
      </c>
      <c r="O1599" s="2" t="s">
        <v>11038</v>
      </c>
      <c r="P1599" s="2" t="s">
        <v>11036</v>
      </c>
      <c r="Q1599" s="2">
        <f>AVERAGE(PerfRate[[#This Row],[EnvironmentSatisfaction]],PerfRate[[#This Row],[JobSatisfaction]],PerfRate[[#This Row],[RelationshipSatisfaction]])</f>
        <v>3.6666666666666665</v>
      </c>
      <c r="R1599" s="2">
        <f>PerfRate[[#This Row],[ManagerRating]] - PerfRate[[#This Row],[SelfRating]]</f>
        <v>0</v>
      </c>
    </row>
    <row r="1600" spans="1:18">
      <c r="A1600" s="2" t="s">
        <v>5907</v>
      </c>
      <c r="B1600" s="2" t="s">
        <v>473</v>
      </c>
      <c r="C1600" s="1">
        <v>43350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  <c r="L1600" s="2" t="s">
        <v>11029</v>
      </c>
      <c r="M1600" s="2" t="s">
        <v>11028</v>
      </c>
      <c r="N1600" s="2" t="s">
        <v>11037</v>
      </c>
      <c r="O1600" s="2" t="s">
        <v>11038</v>
      </c>
      <c r="P1600" s="2" t="s">
        <v>11036</v>
      </c>
      <c r="Q1600" s="2">
        <f>AVERAGE(PerfRate[[#This Row],[EnvironmentSatisfaction]],PerfRate[[#This Row],[JobSatisfaction]],PerfRate[[#This Row],[RelationshipSatisfaction]])</f>
        <v>4</v>
      </c>
      <c r="R1600" s="2">
        <f>PerfRate[[#This Row],[ManagerRating]] - PerfRate[[#This Row],[SelfRating]]</f>
        <v>-1</v>
      </c>
    </row>
    <row r="1601" spans="1:18">
      <c r="A1601" s="2" t="s">
        <v>5908</v>
      </c>
      <c r="B1601" s="2" t="s">
        <v>1258</v>
      </c>
      <c r="C1601" s="1">
        <v>43350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  <c r="L1601" s="2" t="s">
        <v>11030</v>
      </c>
      <c r="M1601" s="2" t="s">
        <v>11030</v>
      </c>
      <c r="N1601" s="2" t="s">
        <v>11036</v>
      </c>
      <c r="O1601" s="2" t="s">
        <v>11038</v>
      </c>
      <c r="P1601" s="2" t="s">
        <v>11036</v>
      </c>
      <c r="Q1601" s="2">
        <f>AVERAGE(PerfRate[[#This Row],[EnvironmentSatisfaction]],PerfRate[[#This Row],[JobSatisfaction]],PerfRate[[#This Row],[RelationshipSatisfaction]])</f>
        <v>3.6666666666666665</v>
      </c>
      <c r="R1601" s="2">
        <f>PerfRate[[#This Row],[ManagerRating]] - PerfRate[[#This Row],[SelfRating]]</f>
        <v>0</v>
      </c>
    </row>
    <row r="1602" spans="1:18">
      <c r="A1602" s="2" t="s">
        <v>5909</v>
      </c>
      <c r="B1602" s="2" t="s">
        <v>1021</v>
      </c>
      <c r="C1602" s="1">
        <v>43350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  <c r="L1602" s="2" t="s">
        <v>11030</v>
      </c>
      <c r="M1602" s="2" t="s">
        <v>11030</v>
      </c>
      <c r="N1602" s="2" t="s">
        <v>11036</v>
      </c>
      <c r="O1602" s="2" t="s">
        <v>11036</v>
      </c>
      <c r="P1602" s="2" t="s">
        <v>11036</v>
      </c>
      <c r="Q1602" s="2">
        <f>AVERAGE(PerfRate[[#This Row],[EnvironmentSatisfaction]],PerfRate[[#This Row],[JobSatisfaction]],PerfRate[[#This Row],[RelationshipSatisfaction]])</f>
        <v>3</v>
      </c>
      <c r="R1602" s="2">
        <f>PerfRate[[#This Row],[ManagerRating]] - PerfRate[[#This Row],[SelfRating]]</f>
        <v>0</v>
      </c>
    </row>
    <row r="1603" spans="1:18">
      <c r="A1603" s="2" t="s">
        <v>5910</v>
      </c>
      <c r="B1603" s="2" t="s">
        <v>1298</v>
      </c>
      <c r="C1603" s="1">
        <v>43350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  <c r="L1603" s="2" t="s">
        <v>11031</v>
      </c>
      <c r="M1603" s="2" t="s">
        <v>11031</v>
      </c>
      <c r="N1603" s="2" t="s">
        <v>11036</v>
      </c>
      <c r="O1603" s="2" t="s">
        <v>11038</v>
      </c>
      <c r="P1603" s="2" t="s">
        <v>11036</v>
      </c>
      <c r="Q1603" s="2">
        <f>AVERAGE(PerfRate[[#This Row],[EnvironmentSatisfaction]],PerfRate[[#This Row],[JobSatisfaction]],PerfRate[[#This Row],[RelationshipSatisfaction]])</f>
        <v>3.6666666666666665</v>
      </c>
      <c r="R1603" s="2">
        <f>PerfRate[[#This Row],[ManagerRating]] - PerfRate[[#This Row],[SelfRating]]</f>
        <v>0</v>
      </c>
    </row>
    <row r="1604" spans="1:18">
      <c r="A1604" s="2" t="s">
        <v>5911</v>
      </c>
      <c r="B1604" s="2" t="s">
        <v>2757</v>
      </c>
      <c r="C1604" s="1">
        <v>43380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  <c r="L1604" s="2" t="s">
        <v>11030</v>
      </c>
      <c r="M1604" s="2" t="s">
        <v>11030</v>
      </c>
      <c r="N1604" s="2" t="s">
        <v>11038</v>
      </c>
      <c r="O1604" s="2" t="s">
        <v>11036</v>
      </c>
      <c r="P1604" s="2" t="s">
        <v>11036</v>
      </c>
      <c r="Q1604" s="2">
        <f>AVERAGE(PerfRate[[#This Row],[EnvironmentSatisfaction]],PerfRate[[#This Row],[JobSatisfaction]],PerfRate[[#This Row],[RelationshipSatisfaction]])</f>
        <v>3.6666666666666665</v>
      </c>
      <c r="R1604" s="2">
        <f>PerfRate[[#This Row],[ManagerRating]] - PerfRate[[#This Row],[SelfRating]]</f>
        <v>0</v>
      </c>
    </row>
    <row r="1605" spans="1:18">
      <c r="A1605" s="2" t="s">
        <v>5912</v>
      </c>
      <c r="B1605" s="2" t="s">
        <v>269</v>
      </c>
      <c r="C1605" s="1">
        <v>43380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  <c r="L1605" s="2" t="s">
        <v>11030</v>
      </c>
      <c r="M1605" s="2" t="s">
        <v>11030</v>
      </c>
      <c r="N1605" s="2" t="s">
        <v>11037</v>
      </c>
      <c r="O1605" s="2" t="s">
        <v>11038</v>
      </c>
      <c r="P1605" s="2" t="s">
        <v>11035</v>
      </c>
      <c r="Q1605" s="2">
        <f>AVERAGE(PerfRate[[#This Row],[EnvironmentSatisfaction]],PerfRate[[#This Row],[JobSatisfaction]],PerfRate[[#This Row],[RelationshipSatisfaction]])</f>
        <v>3.6666666666666665</v>
      </c>
      <c r="R1605" s="2">
        <f>PerfRate[[#This Row],[ManagerRating]] - PerfRate[[#This Row],[SelfRating]]</f>
        <v>0</v>
      </c>
    </row>
    <row r="1606" spans="1:18">
      <c r="A1606" s="2" t="s">
        <v>5913</v>
      </c>
      <c r="B1606" s="2" t="s">
        <v>643</v>
      </c>
      <c r="C1606" s="1">
        <v>43380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  <c r="L1606" s="2" t="s">
        <v>11029</v>
      </c>
      <c r="M1606" s="2" t="s">
        <v>11029</v>
      </c>
      <c r="N1606" s="2" t="s">
        <v>11037</v>
      </c>
      <c r="O1606" s="2" t="s">
        <v>11035</v>
      </c>
      <c r="P1606" s="2" t="s">
        <v>11035</v>
      </c>
      <c r="Q1606" s="2">
        <f>AVERAGE(PerfRate[[#This Row],[EnvironmentSatisfaction]],PerfRate[[#This Row],[JobSatisfaction]],PerfRate[[#This Row],[RelationshipSatisfaction]])</f>
        <v>2.6666666666666665</v>
      </c>
      <c r="R1606" s="2">
        <f>PerfRate[[#This Row],[ManagerRating]] - PerfRate[[#This Row],[SelfRating]]</f>
        <v>0</v>
      </c>
    </row>
    <row r="1607" spans="1:18">
      <c r="A1607" s="2" t="s">
        <v>5914</v>
      </c>
      <c r="B1607" s="2" t="s">
        <v>1403</v>
      </c>
      <c r="C1607" s="1">
        <v>43380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  <c r="L1607" s="2" t="s">
        <v>11029</v>
      </c>
      <c r="M1607" s="2" t="s">
        <v>11029</v>
      </c>
      <c r="N1607" s="2" t="s">
        <v>11037</v>
      </c>
      <c r="O1607" s="2" t="s">
        <v>11038</v>
      </c>
      <c r="P1607" s="2" t="s">
        <v>11037</v>
      </c>
      <c r="Q1607" s="2">
        <f>AVERAGE(PerfRate[[#This Row],[EnvironmentSatisfaction]],PerfRate[[#This Row],[JobSatisfaction]],PerfRate[[#This Row],[RelationshipSatisfaction]])</f>
        <v>4.333333333333333</v>
      </c>
      <c r="R1607" s="2">
        <f>PerfRate[[#This Row],[ManagerRating]] - PerfRate[[#This Row],[SelfRating]]</f>
        <v>0</v>
      </c>
    </row>
    <row r="1608" spans="1:18">
      <c r="A1608" s="2" t="s">
        <v>5915</v>
      </c>
      <c r="B1608" s="2" t="s">
        <v>1555</v>
      </c>
      <c r="C1608" s="1">
        <v>43380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  <c r="L1608" s="2" t="s">
        <v>11031</v>
      </c>
      <c r="M1608" s="2" t="s">
        <v>11030</v>
      </c>
      <c r="N1608" s="2" t="s">
        <v>11038</v>
      </c>
      <c r="O1608" s="2" t="s">
        <v>11037</v>
      </c>
      <c r="P1608" s="2" t="s">
        <v>11036</v>
      </c>
      <c r="Q1608" s="2">
        <f>AVERAGE(PerfRate[[#This Row],[EnvironmentSatisfaction]],PerfRate[[#This Row],[JobSatisfaction]],PerfRate[[#This Row],[RelationshipSatisfaction]])</f>
        <v>4</v>
      </c>
      <c r="R1608" s="2">
        <f>PerfRate[[#This Row],[ManagerRating]] - PerfRate[[#This Row],[SelfRating]]</f>
        <v>-1</v>
      </c>
    </row>
    <row r="1609" spans="1:18">
      <c r="A1609" s="2" t="s">
        <v>5916</v>
      </c>
      <c r="B1609" s="2" t="s">
        <v>308</v>
      </c>
      <c r="C1609" s="1">
        <v>43411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  <c r="L1609" s="2" t="s">
        <v>11029</v>
      </c>
      <c r="M1609" s="2" t="s">
        <v>11029</v>
      </c>
      <c r="N1609" s="2" t="s">
        <v>11036</v>
      </c>
      <c r="O1609" s="2" t="s">
        <v>11037</v>
      </c>
      <c r="P1609" s="2" t="s">
        <v>11037</v>
      </c>
      <c r="Q1609" s="2">
        <f>AVERAGE(PerfRate[[#This Row],[EnvironmentSatisfaction]],PerfRate[[#This Row],[JobSatisfaction]],PerfRate[[#This Row],[RelationshipSatisfaction]])</f>
        <v>3.6666666666666665</v>
      </c>
      <c r="R1609" s="2">
        <f>PerfRate[[#This Row],[ManagerRating]] - PerfRate[[#This Row],[SelfRating]]</f>
        <v>0</v>
      </c>
    </row>
    <row r="1610" spans="1:18">
      <c r="A1610" s="2" t="s">
        <v>5917</v>
      </c>
      <c r="B1610" s="2" t="s">
        <v>86</v>
      </c>
      <c r="C1610" s="1">
        <v>41854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  <c r="L1610" s="2" t="s">
        <v>11029</v>
      </c>
      <c r="M1610" s="2" t="s">
        <v>11028</v>
      </c>
      <c r="N1610" s="2" t="s">
        <v>11036</v>
      </c>
      <c r="O1610" s="2" t="s">
        <v>11038</v>
      </c>
      <c r="P1610" s="2" t="s">
        <v>11037</v>
      </c>
      <c r="Q1610" s="2">
        <f>AVERAGE(PerfRate[[#This Row],[EnvironmentSatisfaction]],PerfRate[[#This Row],[JobSatisfaction]],PerfRate[[#This Row],[RelationshipSatisfaction]])</f>
        <v>4</v>
      </c>
      <c r="R1610" s="2">
        <f>PerfRate[[#This Row],[ManagerRating]] - PerfRate[[#This Row],[SelfRating]]</f>
        <v>-1</v>
      </c>
    </row>
    <row r="1611" spans="1:18">
      <c r="A1611" s="2" t="s">
        <v>5918</v>
      </c>
      <c r="B1611" s="2" t="s">
        <v>1039</v>
      </c>
      <c r="C1611" s="1">
        <v>43411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  <c r="L1611" s="2" t="s">
        <v>11031</v>
      </c>
      <c r="M1611" s="2" t="s">
        <v>11030</v>
      </c>
      <c r="N1611" s="2" t="s">
        <v>11036</v>
      </c>
      <c r="O1611" s="2" t="s">
        <v>11035</v>
      </c>
      <c r="P1611" s="2" t="s">
        <v>11035</v>
      </c>
      <c r="Q1611" s="2">
        <f>AVERAGE(PerfRate[[#This Row],[EnvironmentSatisfaction]],PerfRate[[#This Row],[JobSatisfaction]],PerfRate[[#This Row],[RelationshipSatisfaction]])</f>
        <v>2.3333333333333335</v>
      </c>
      <c r="R1611" s="2">
        <f>PerfRate[[#This Row],[ManagerRating]] - PerfRate[[#This Row],[SelfRating]]</f>
        <v>-1</v>
      </c>
    </row>
    <row r="1612" spans="1:18">
      <c r="A1612" s="2" t="s">
        <v>5919</v>
      </c>
      <c r="B1612" s="2" t="s">
        <v>1218</v>
      </c>
      <c r="C1612" s="1">
        <v>43441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  <c r="L1612" s="2" t="s">
        <v>11029</v>
      </c>
      <c r="M1612" s="2" t="s">
        <v>11029</v>
      </c>
      <c r="N1612" s="2" t="s">
        <v>11036</v>
      </c>
      <c r="O1612" s="2" t="s">
        <v>11035</v>
      </c>
      <c r="P1612" s="2" t="s">
        <v>11036</v>
      </c>
      <c r="Q1612" s="2">
        <f>AVERAGE(PerfRate[[#This Row],[EnvironmentSatisfaction]],PerfRate[[#This Row],[JobSatisfaction]],PerfRate[[#This Row],[RelationshipSatisfaction]])</f>
        <v>2.6666666666666665</v>
      </c>
      <c r="R1612" s="2">
        <f>PerfRate[[#This Row],[ManagerRating]] - PerfRate[[#This Row],[SelfRating]]</f>
        <v>0</v>
      </c>
    </row>
    <row r="1613" spans="1:18">
      <c r="A1613" s="2" t="s">
        <v>5920</v>
      </c>
      <c r="B1613" s="2" t="s">
        <v>3563</v>
      </c>
      <c r="C1613" s="1">
        <v>43441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  <c r="L1613" s="2" t="s">
        <v>11030</v>
      </c>
      <c r="M1613" s="2" t="s">
        <v>11029</v>
      </c>
      <c r="N1613" s="2" t="s">
        <v>11038</v>
      </c>
      <c r="O1613" s="2" t="s">
        <v>11035</v>
      </c>
      <c r="P1613" s="2" t="s">
        <v>11035</v>
      </c>
      <c r="Q1613" s="2">
        <f>AVERAGE(PerfRate[[#This Row],[EnvironmentSatisfaction]],PerfRate[[#This Row],[JobSatisfaction]],PerfRate[[#This Row],[RelationshipSatisfaction]])</f>
        <v>3</v>
      </c>
      <c r="R1613" s="2">
        <f>PerfRate[[#This Row],[ManagerRating]] - PerfRate[[#This Row],[SelfRating]]</f>
        <v>-1</v>
      </c>
    </row>
    <row r="1614" spans="1:18">
      <c r="A1614" s="2" t="s">
        <v>5921</v>
      </c>
      <c r="B1614" s="2" t="s">
        <v>535</v>
      </c>
      <c r="C1614" s="1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  <c r="L1614" s="2" t="s">
        <v>11031</v>
      </c>
      <c r="M1614" s="2" t="s">
        <v>11030</v>
      </c>
      <c r="N1614" s="2" t="s">
        <v>11036</v>
      </c>
      <c r="O1614" s="2" t="s">
        <v>11037</v>
      </c>
      <c r="P1614" s="2" t="s">
        <v>11037</v>
      </c>
      <c r="Q1614" s="2">
        <f>AVERAGE(PerfRate[[#This Row],[EnvironmentSatisfaction]],PerfRate[[#This Row],[JobSatisfaction]],PerfRate[[#This Row],[RelationshipSatisfaction]])</f>
        <v>3.6666666666666665</v>
      </c>
      <c r="R1614" s="2">
        <f>PerfRate[[#This Row],[ManagerRating]] - PerfRate[[#This Row],[SelfRating]]</f>
        <v>-1</v>
      </c>
    </row>
    <row r="1615" spans="1:18">
      <c r="A1615" s="2" t="s">
        <v>5922</v>
      </c>
      <c r="B1615" s="2" t="s">
        <v>1036</v>
      </c>
      <c r="C1615" s="1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  <c r="L1615" s="2" t="s">
        <v>11030</v>
      </c>
      <c r="M1615" s="2" t="s">
        <v>11030</v>
      </c>
      <c r="N1615" s="2" t="s">
        <v>11037</v>
      </c>
      <c r="O1615" s="2" t="s">
        <v>11038</v>
      </c>
      <c r="P1615" s="2" t="s">
        <v>11038</v>
      </c>
      <c r="Q1615" s="2">
        <f>AVERAGE(PerfRate[[#This Row],[EnvironmentSatisfaction]],PerfRate[[#This Row],[JobSatisfaction]],PerfRate[[#This Row],[RelationshipSatisfaction]])</f>
        <v>4.666666666666667</v>
      </c>
      <c r="R1615" s="2">
        <f>PerfRate[[#This Row],[ManagerRating]] - PerfRate[[#This Row],[SelfRating]]</f>
        <v>0</v>
      </c>
    </row>
    <row r="1616" spans="1:18">
      <c r="A1616" s="2" t="s">
        <v>5923</v>
      </c>
      <c r="B1616" s="2" t="s">
        <v>1009</v>
      </c>
      <c r="C1616" s="1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  <c r="L1616" s="2" t="s">
        <v>11029</v>
      </c>
      <c r="M1616" s="2" t="s">
        <v>11028</v>
      </c>
      <c r="N1616" s="2" t="s">
        <v>11037</v>
      </c>
      <c r="O1616" s="2" t="s">
        <v>11038</v>
      </c>
      <c r="P1616" s="2" t="s">
        <v>11037</v>
      </c>
      <c r="Q1616" s="2">
        <f>AVERAGE(PerfRate[[#This Row],[EnvironmentSatisfaction]],PerfRate[[#This Row],[JobSatisfaction]],PerfRate[[#This Row],[RelationshipSatisfaction]])</f>
        <v>4.333333333333333</v>
      </c>
      <c r="R1616" s="2">
        <f>PerfRate[[#This Row],[ManagerRating]] - PerfRate[[#This Row],[SelfRating]]</f>
        <v>-1</v>
      </c>
    </row>
    <row r="1617" spans="1:18">
      <c r="A1617" s="2" t="s">
        <v>5924</v>
      </c>
      <c r="B1617" s="2" t="s">
        <v>1523</v>
      </c>
      <c r="C1617" s="1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  <c r="L1617" s="2" t="s">
        <v>11029</v>
      </c>
      <c r="M1617" s="2" t="s">
        <v>11029</v>
      </c>
      <c r="N1617" s="2" t="s">
        <v>11036</v>
      </c>
      <c r="O1617" s="2" t="s">
        <v>11037</v>
      </c>
      <c r="P1617" s="2" t="s">
        <v>11038</v>
      </c>
      <c r="Q1617" s="2">
        <f>AVERAGE(PerfRate[[#This Row],[EnvironmentSatisfaction]],PerfRate[[#This Row],[JobSatisfaction]],PerfRate[[#This Row],[RelationshipSatisfaction]])</f>
        <v>4</v>
      </c>
      <c r="R1617" s="2">
        <f>PerfRate[[#This Row],[ManagerRating]] - PerfRate[[#This Row],[SelfRating]]</f>
        <v>0</v>
      </c>
    </row>
    <row r="1618" spans="1:18">
      <c r="A1618" s="2" t="s">
        <v>5925</v>
      </c>
      <c r="B1618" s="2" t="s">
        <v>907</v>
      </c>
      <c r="C1618" s="1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  <c r="L1618" s="2" t="s">
        <v>11029</v>
      </c>
      <c r="M1618" s="2" t="s">
        <v>11029</v>
      </c>
      <c r="N1618" s="2" t="s">
        <v>11038</v>
      </c>
      <c r="O1618" s="2" t="s">
        <v>11038</v>
      </c>
      <c r="P1618" s="2" t="s">
        <v>11036</v>
      </c>
      <c r="Q1618" s="2">
        <f>AVERAGE(PerfRate[[#This Row],[EnvironmentSatisfaction]],PerfRate[[#This Row],[JobSatisfaction]],PerfRate[[#This Row],[RelationshipSatisfaction]])</f>
        <v>4.333333333333333</v>
      </c>
      <c r="R1618" s="2">
        <f>PerfRate[[#This Row],[ManagerRating]] - PerfRate[[#This Row],[SelfRating]]</f>
        <v>0</v>
      </c>
    </row>
    <row r="1619" spans="1:18">
      <c r="A1619" s="2" t="s">
        <v>5926</v>
      </c>
      <c r="B1619" s="2" t="s">
        <v>1192</v>
      </c>
      <c r="C1619" s="1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  <c r="L1619" s="2" t="s">
        <v>11029</v>
      </c>
      <c r="M1619" s="2" t="s">
        <v>11029</v>
      </c>
      <c r="N1619" s="2" t="s">
        <v>11038</v>
      </c>
      <c r="O1619" s="2" t="s">
        <v>11035</v>
      </c>
      <c r="P1619" s="2" t="s">
        <v>11037</v>
      </c>
      <c r="Q1619" s="2">
        <f>AVERAGE(PerfRate[[#This Row],[EnvironmentSatisfaction]],PerfRate[[#This Row],[JobSatisfaction]],PerfRate[[#This Row],[RelationshipSatisfaction]])</f>
        <v>3.6666666666666665</v>
      </c>
      <c r="R1619" s="2">
        <f>PerfRate[[#This Row],[ManagerRating]] - PerfRate[[#This Row],[SelfRating]]</f>
        <v>0</v>
      </c>
    </row>
    <row r="1620" spans="1:18">
      <c r="A1620" s="2" t="s">
        <v>5927</v>
      </c>
      <c r="B1620" s="2" t="s">
        <v>1677</v>
      </c>
      <c r="C1620" s="1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  <c r="L1620" s="2" t="s">
        <v>11030</v>
      </c>
      <c r="M1620" s="2" t="s">
        <v>11029</v>
      </c>
      <c r="N1620" s="2" t="s">
        <v>11036</v>
      </c>
      <c r="O1620" s="2" t="s">
        <v>11038</v>
      </c>
      <c r="P1620" s="2" t="s">
        <v>11037</v>
      </c>
      <c r="Q1620" s="2">
        <f>AVERAGE(PerfRate[[#This Row],[EnvironmentSatisfaction]],PerfRate[[#This Row],[JobSatisfaction]],PerfRate[[#This Row],[RelationshipSatisfaction]])</f>
        <v>4</v>
      </c>
      <c r="R1620" s="2">
        <f>PerfRate[[#This Row],[ManagerRating]] - PerfRate[[#This Row],[SelfRating]]</f>
        <v>-1</v>
      </c>
    </row>
    <row r="1621" spans="1:18">
      <c r="A1621" s="2" t="s">
        <v>5928</v>
      </c>
      <c r="B1621" s="2" t="s">
        <v>4183</v>
      </c>
      <c r="C1621" s="1">
        <v>41854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  <c r="L1621" s="2" t="s">
        <v>11030</v>
      </c>
      <c r="M1621" s="2" t="s">
        <v>11029</v>
      </c>
      <c r="N1621" s="2" t="s">
        <v>11037</v>
      </c>
      <c r="O1621" s="2" t="s">
        <v>11038</v>
      </c>
      <c r="P1621" s="2" t="s">
        <v>11035</v>
      </c>
      <c r="Q1621" s="2">
        <f>AVERAGE(PerfRate[[#This Row],[EnvironmentSatisfaction]],PerfRate[[#This Row],[JobSatisfaction]],PerfRate[[#This Row],[RelationshipSatisfaction]])</f>
        <v>3.6666666666666665</v>
      </c>
      <c r="R1621" s="2">
        <f>PerfRate[[#This Row],[ManagerRating]] - PerfRate[[#This Row],[SelfRating]]</f>
        <v>-1</v>
      </c>
    </row>
    <row r="1622" spans="1:18">
      <c r="A1622" s="2" t="s">
        <v>5929</v>
      </c>
      <c r="B1622" s="2" t="s">
        <v>67</v>
      </c>
      <c r="C1622" s="1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  <c r="L1622" s="2" t="s">
        <v>11030</v>
      </c>
      <c r="M1622" s="2" t="s">
        <v>11029</v>
      </c>
      <c r="N1622" s="2" t="s">
        <v>11037</v>
      </c>
      <c r="O1622" s="2" t="s">
        <v>11038</v>
      </c>
      <c r="P1622" s="2" t="s">
        <v>11037</v>
      </c>
      <c r="Q1622" s="2">
        <f>AVERAGE(PerfRate[[#This Row],[EnvironmentSatisfaction]],PerfRate[[#This Row],[JobSatisfaction]],PerfRate[[#This Row],[RelationshipSatisfaction]])</f>
        <v>4.333333333333333</v>
      </c>
      <c r="R1622" s="2">
        <f>PerfRate[[#This Row],[ManagerRating]] - PerfRate[[#This Row],[SelfRating]]</f>
        <v>-1</v>
      </c>
    </row>
    <row r="1623" spans="1:18">
      <c r="A1623" s="2" t="s">
        <v>5930</v>
      </c>
      <c r="B1623" s="2" t="s">
        <v>1018</v>
      </c>
      <c r="C1623" s="1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  <c r="L1623" s="2" t="s">
        <v>11031</v>
      </c>
      <c r="M1623" s="2" t="s">
        <v>11030</v>
      </c>
      <c r="N1623" s="2" t="s">
        <v>11036</v>
      </c>
      <c r="O1623" s="2" t="s">
        <v>11035</v>
      </c>
      <c r="P1623" s="2" t="s">
        <v>11035</v>
      </c>
      <c r="Q1623" s="2">
        <f>AVERAGE(PerfRate[[#This Row],[EnvironmentSatisfaction]],PerfRate[[#This Row],[JobSatisfaction]],PerfRate[[#This Row],[RelationshipSatisfaction]])</f>
        <v>2.3333333333333335</v>
      </c>
      <c r="R1623" s="2">
        <f>PerfRate[[#This Row],[ManagerRating]] - PerfRate[[#This Row],[SelfRating]]</f>
        <v>-1</v>
      </c>
    </row>
    <row r="1624" spans="1:18">
      <c r="A1624" s="2" t="s">
        <v>5931</v>
      </c>
      <c r="B1624" s="2" t="s">
        <v>1605</v>
      </c>
      <c r="C1624" s="1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  <c r="L1624" s="2" t="s">
        <v>11029</v>
      </c>
      <c r="M1624" s="2" t="s">
        <v>11029</v>
      </c>
      <c r="N1624" s="2" t="s">
        <v>11038</v>
      </c>
      <c r="O1624" s="2" t="s">
        <v>11038</v>
      </c>
      <c r="P1624" s="2" t="s">
        <v>11037</v>
      </c>
      <c r="Q1624" s="2">
        <f>AVERAGE(PerfRate[[#This Row],[EnvironmentSatisfaction]],PerfRate[[#This Row],[JobSatisfaction]],PerfRate[[#This Row],[RelationshipSatisfaction]])</f>
        <v>4.666666666666667</v>
      </c>
      <c r="R1624" s="2">
        <f>PerfRate[[#This Row],[ManagerRating]] - PerfRate[[#This Row],[SelfRating]]</f>
        <v>0</v>
      </c>
    </row>
    <row r="1625" spans="1:18">
      <c r="A1625" s="2" t="s">
        <v>5932</v>
      </c>
      <c r="B1625" s="2" t="s">
        <v>3824</v>
      </c>
      <c r="C1625" s="1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  <c r="L1625" s="2" t="s">
        <v>11029</v>
      </c>
      <c r="M1625" s="2" t="s">
        <v>11029</v>
      </c>
      <c r="N1625" s="2" t="s">
        <v>11036</v>
      </c>
      <c r="O1625" s="2" t="s">
        <v>11038</v>
      </c>
      <c r="P1625" s="2" t="s">
        <v>11035</v>
      </c>
      <c r="Q1625" s="2">
        <f>AVERAGE(PerfRate[[#This Row],[EnvironmentSatisfaction]],PerfRate[[#This Row],[JobSatisfaction]],PerfRate[[#This Row],[RelationshipSatisfaction]])</f>
        <v>3.3333333333333335</v>
      </c>
      <c r="R1625" s="2">
        <f>PerfRate[[#This Row],[ManagerRating]] - PerfRate[[#This Row],[SelfRating]]</f>
        <v>0</v>
      </c>
    </row>
    <row r="1626" spans="1:18">
      <c r="A1626" s="2" t="s">
        <v>5933</v>
      </c>
      <c r="B1626" s="2" t="s">
        <v>3192</v>
      </c>
      <c r="C1626" s="1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  <c r="L1626" s="2" t="s">
        <v>11031</v>
      </c>
      <c r="M1626" s="2" t="s">
        <v>11031</v>
      </c>
      <c r="N1626" s="2" t="s">
        <v>11038</v>
      </c>
      <c r="O1626" s="2" t="s">
        <v>11035</v>
      </c>
      <c r="P1626" s="2" t="s">
        <v>11038</v>
      </c>
      <c r="Q1626" s="2">
        <f>AVERAGE(PerfRate[[#This Row],[EnvironmentSatisfaction]],PerfRate[[#This Row],[JobSatisfaction]],PerfRate[[#This Row],[RelationshipSatisfaction]])</f>
        <v>4</v>
      </c>
      <c r="R1626" s="2">
        <f>PerfRate[[#This Row],[ManagerRating]] - PerfRate[[#This Row],[SelfRating]]</f>
        <v>0</v>
      </c>
    </row>
    <row r="1627" spans="1:18">
      <c r="A1627" s="2" t="s">
        <v>5934</v>
      </c>
      <c r="B1627" s="2" t="s">
        <v>2946</v>
      </c>
      <c r="C1627" s="1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  <c r="L1627" s="2" t="s">
        <v>11029</v>
      </c>
      <c r="M1627" s="2" t="s">
        <v>11029</v>
      </c>
      <c r="N1627" s="2" t="s">
        <v>11036</v>
      </c>
      <c r="O1627" s="2" t="s">
        <v>11035</v>
      </c>
      <c r="P1627" s="2" t="s">
        <v>11036</v>
      </c>
      <c r="Q1627" s="2">
        <f>AVERAGE(PerfRate[[#This Row],[EnvironmentSatisfaction]],PerfRate[[#This Row],[JobSatisfaction]],PerfRate[[#This Row],[RelationshipSatisfaction]])</f>
        <v>2.6666666666666665</v>
      </c>
      <c r="R1627" s="2">
        <f>PerfRate[[#This Row],[ManagerRating]] - PerfRate[[#This Row],[SelfRating]]</f>
        <v>0</v>
      </c>
    </row>
    <row r="1628" spans="1:18">
      <c r="A1628" s="2" t="s">
        <v>5935</v>
      </c>
      <c r="B1628" s="2" t="s">
        <v>1289</v>
      </c>
      <c r="C1628" s="1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  <c r="L1628" s="2" t="s">
        <v>11031</v>
      </c>
      <c r="M1628" s="2" t="s">
        <v>11031</v>
      </c>
      <c r="N1628" s="2" t="s">
        <v>11038</v>
      </c>
      <c r="O1628" s="2" t="s">
        <v>11035</v>
      </c>
      <c r="P1628" s="2" t="s">
        <v>11037</v>
      </c>
      <c r="Q1628" s="2">
        <f>AVERAGE(PerfRate[[#This Row],[EnvironmentSatisfaction]],PerfRate[[#This Row],[JobSatisfaction]],PerfRate[[#This Row],[RelationshipSatisfaction]])</f>
        <v>3.6666666666666665</v>
      </c>
      <c r="R1628" s="2">
        <f>PerfRate[[#This Row],[ManagerRating]] - PerfRate[[#This Row],[SelfRating]]</f>
        <v>0</v>
      </c>
    </row>
    <row r="1629" spans="1:18">
      <c r="A1629" s="2" t="s">
        <v>5936</v>
      </c>
      <c r="B1629" s="2" t="s">
        <v>1042</v>
      </c>
      <c r="C1629" s="1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  <c r="L1629" s="2" t="s">
        <v>11030</v>
      </c>
      <c r="M1629" s="2" t="s">
        <v>11030</v>
      </c>
      <c r="N1629" s="2" t="s">
        <v>11036</v>
      </c>
      <c r="O1629" s="2" t="s">
        <v>11036</v>
      </c>
      <c r="P1629" s="2" t="s">
        <v>11036</v>
      </c>
      <c r="Q1629" s="2">
        <f>AVERAGE(PerfRate[[#This Row],[EnvironmentSatisfaction]],PerfRate[[#This Row],[JobSatisfaction]],PerfRate[[#This Row],[RelationshipSatisfaction]])</f>
        <v>3</v>
      </c>
      <c r="R1629" s="2">
        <f>PerfRate[[#This Row],[ManagerRating]] - PerfRate[[#This Row],[SelfRating]]</f>
        <v>0</v>
      </c>
    </row>
    <row r="1630" spans="1:18">
      <c r="A1630" s="2" t="s">
        <v>5937</v>
      </c>
      <c r="B1630" s="2" t="s">
        <v>3088</v>
      </c>
      <c r="C1630" s="1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  <c r="L1630" s="2" t="s">
        <v>11029</v>
      </c>
      <c r="M1630" s="2" t="s">
        <v>11029</v>
      </c>
      <c r="N1630" s="2" t="s">
        <v>11038</v>
      </c>
      <c r="O1630" s="2" t="s">
        <v>11036</v>
      </c>
      <c r="P1630" s="2" t="s">
        <v>11035</v>
      </c>
      <c r="Q1630" s="2">
        <f>AVERAGE(PerfRate[[#This Row],[EnvironmentSatisfaction]],PerfRate[[#This Row],[JobSatisfaction]],PerfRate[[#This Row],[RelationshipSatisfaction]])</f>
        <v>3.3333333333333335</v>
      </c>
      <c r="R1630" s="2">
        <f>PerfRate[[#This Row],[ManagerRating]] - PerfRate[[#This Row],[SelfRating]]</f>
        <v>0</v>
      </c>
    </row>
    <row r="1631" spans="1:18">
      <c r="A1631" s="2" t="s">
        <v>5938</v>
      </c>
      <c r="B1631" s="2" t="s">
        <v>147</v>
      </c>
      <c r="C1631" s="1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  <c r="L1631" s="2" t="s">
        <v>11031</v>
      </c>
      <c r="M1631" s="2" t="s">
        <v>11031</v>
      </c>
      <c r="N1631" s="2" t="s">
        <v>11036</v>
      </c>
      <c r="O1631" s="2" t="s">
        <v>11038</v>
      </c>
      <c r="P1631" s="2" t="s">
        <v>11038</v>
      </c>
      <c r="Q1631" s="2">
        <f>AVERAGE(PerfRate[[#This Row],[EnvironmentSatisfaction]],PerfRate[[#This Row],[JobSatisfaction]],PerfRate[[#This Row],[RelationshipSatisfaction]])</f>
        <v>4.333333333333333</v>
      </c>
      <c r="R1631" s="2">
        <f>PerfRate[[#This Row],[ManagerRating]] - PerfRate[[#This Row],[SelfRating]]</f>
        <v>0</v>
      </c>
    </row>
    <row r="1632" spans="1:18">
      <c r="A1632" s="2" t="s">
        <v>5939</v>
      </c>
      <c r="B1632" s="2" t="s">
        <v>800</v>
      </c>
      <c r="C1632" s="1">
        <v>41915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  <c r="L1632" s="2" t="s">
        <v>11029</v>
      </c>
      <c r="M1632" s="2" t="s">
        <v>11028</v>
      </c>
      <c r="N1632" s="2" t="s">
        <v>11037</v>
      </c>
      <c r="O1632" s="2" t="s">
        <v>11038</v>
      </c>
      <c r="P1632" s="2" t="s">
        <v>11035</v>
      </c>
      <c r="Q1632" s="2">
        <f>AVERAGE(PerfRate[[#This Row],[EnvironmentSatisfaction]],PerfRate[[#This Row],[JobSatisfaction]],PerfRate[[#This Row],[RelationshipSatisfaction]])</f>
        <v>3.6666666666666665</v>
      </c>
      <c r="R1632" s="2">
        <f>PerfRate[[#This Row],[ManagerRating]] - PerfRate[[#This Row],[SelfRating]]</f>
        <v>-1</v>
      </c>
    </row>
    <row r="1633" spans="1:18">
      <c r="A1633" s="2" t="s">
        <v>5940</v>
      </c>
      <c r="B1633" s="2" t="s">
        <v>699</v>
      </c>
      <c r="C1633" s="1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  <c r="L1633" s="2" t="s">
        <v>11029</v>
      </c>
      <c r="M1633" s="2" t="s">
        <v>11028</v>
      </c>
      <c r="N1633" s="2" t="s">
        <v>11037</v>
      </c>
      <c r="O1633" s="2" t="s">
        <v>11036</v>
      </c>
      <c r="P1633" s="2" t="s">
        <v>11035</v>
      </c>
      <c r="Q1633" s="2">
        <f>AVERAGE(PerfRate[[#This Row],[EnvironmentSatisfaction]],PerfRate[[#This Row],[JobSatisfaction]],PerfRate[[#This Row],[RelationshipSatisfaction]])</f>
        <v>3</v>
      </c>
      <c r="R1633" s="2">
        <f>PerfRate[[#This Row],[ManagerRating]] - PerfRate[[#This Row],[SelfRating]]</f>
        <v>-1</v>
      </c>
    </row>
    <row r="1634" spans="1:18">
      <c r="A1634" s="2" t="s">
        <v>5941</v>
      </c>
      <c r="B1634" s="2" t="s">
        <v>820</v>
      </c>
      <c r="C1634" s="1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  <c r="L1634" s="2" t="s">
        <v>11029</v>
      </c>
      <c r="M1634" s="2" t="s">
        <v>11028</v>
      </c>
      <c r="N1634" s="2" t="s">
        <v>11037</v>
      </c>
      <c r="O1634" s="2" t="s">
        <v>11036</v>
      </c>
      <c r="P1634" s="2" t="s">
        <v>11036</v>
      </c>
      <c r="Q1634" s="2">
        <f>AVERAGE(PerfRate[[#This Row],[EnvironmentSatisfaction]],PerfRate[[#This Row],[JobSatisfaction]],PerfRate[[#This Row],[RelationshipSatisfaction]])</f>
        <v>3.3333333333333335</v>
      </c>
      <c r="R1634" s="2">
        <f>PerfRate[[#This Row],[ManagerRating]] - PerfRate[[#This Row],[SelfRating]]</f>
        <v>-1</v>
      </c>
    </row>
    <row r="1635" spans="1:18">
      <c r="A1635" s="2" t="s">
        <v>5942</v>
      </c>
      <c r="B1635" s="2" t="s">
        <v>1151</v>
      </c>
      <c r="C1635" s="1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  <c r="L1635" s="2" t="s">
        <v>11031</v>
      </c>
      <c r="M1635" s="2" t="s">
        <v>11031</v>
      </c>
      <c r="N1635" s="2" t="s">
        <v>11036</v>
      </c>
      <c r="O1635" s="2" t="s">
        <v>11037</v>
      </c>
      <c r="P1635" s="2" t="s">
        <v>11036</v>
      </c>
      <c r="Q1635" s="2">
        <f>AVERAGE(PerfRate[[#This Row],[EnvironmentSatisfaction]],PerfRate[[#This Row],[JobSatisfaction]],PerfRate[[#This Row],[RelationshipSatisfaction]])</f>
        <v>3.3333333333333335</v>
      </c>
      <c r="R1635" s="2">
        <f>PerfRate[[#This Row],[ManagerRating]] - PerfRate[[#This Row],[SelfRating]]</f>
        <v>0</v>
      </c>
    </row>
    <row r="1636" spans="1:18">
      <c r="A1636" s="2" t="s">
        <v>5943</v>
      </c>
      <c r="B1636" s="2" t="s">
        <v>1186</v>
      </c>
      <c r="C1636" s="1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  <c r="L1636" s="2" t="s">
        <v>11029</v>
      </c>
      <c r="M1636" s="2" t="s">
        <v>11028</v>
      </c>
      <c r="N1636" s="2" t="s">
        <v>11036</v>
      </c>
      <c r="O1636" s="2" t="s">
        <v>11035</v>
      </c>
      <c r="P1636" s="2" t="s">
        <v>11035</v>
      </c>
      <c r="Q1636" s="2">
        <f>AVERAGE(PerfRate[[#This Row],[EnvironmentSatisfaction]],PerfRate[[#This Row],[JobSatisfaction]],PerfRate[[#This Row],[RelationshipSatisfaction]])</f>
        <v>2.3333333333333335</v>
      </c>
      <c r="R1636" s="2">
        <f>PerfRate[[#This Row],[ManagerRating]] - PerfRate[[#This Row],[SelfRating]]</f>
        <v>-1</v>
      </c>
    </row>
    <row r="1637" spans="1:18">
      <c r="A1637" s="2" t="s">
        <v>5944</v>
      </c>
      <c r="B1637" s="2" t="s">
        <v>747</v>
      </c>
      <c r="C1637" s="1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  <c r="L1637" s="2" t="s">
        <v>11030</v>
      </c>
      <c r="M1637" s="2" t="s">
        <v>11030</v>
      </c>
      <c r="N1637" s="2" t="s">
        <v>11036</v>
      </c>
      <c r="O1637" s="2" t="s">
        <v>11034</v>
      </c>
      <c r="P1637" s="2" t="s">
        <v>11036</v>
      </c>
      <c r="Q1637" s="2">
        <f>AVERAGE(PerfRate[[#This Row],[EnvironmentSatisfaction]],PerfRate[[#This Row],[JobSatisfaction]],PerfRate[[#This Row],[RelationshipSatisfaction]])</f>
        <v>2.3333333333333335</v>
      </c>
      <c r="R1637" s="2">
        <f>PerfRate[[#This Row],[ManagerRating]] - PerfRate[[#This Row],[SelfRating]]</f>
        <v>0</v>
      </c>
    </row>
    <row r="1638" spans="1:18">
      <c r="A1638" s="2" t="s">
        <v>5945</v>
      </c>
      <c r="B1638" s="2" t="s">
        <v>1000</v>
      </c>
      <c r="C1638" s="1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  <c r="L1638" s="2" t="s">
        <v>11031</v>
      </c>
      <c r="M1638" s="2" t="s">
        <v>11031</v>
      </c>
      <c r="N1638" s="2" t="s">
        <v>11034</v>
      </c>
      <c r="O1638" s="2" t="s">
        <v>11037</v>
      </c>
      <c r="P1638" s="2" t="s">
        <v>11034</v>
      </c>
      <c r="Q1638" s="2">
        <f>AVERAGE(PerfRate[[#This Row],[EnvironmentSatisfaction]],PerfRate[[#This Row],[JobSatisfaction]],PerfRate[[#This Row],[RelationshipSatisfaction]])</f>
        <v>2</v>
      </c>
      <c r="R1638" s="2">
        <f>PerfRate[[#This Row],[ManagerRating]] - PerfRate[[#This Row],[SelfRating]]</f>
        <v>0</v>
      </c>
    </row>
    <row r="1639" spans="1:18">
      <c r="A1639" s="2" t="s">
        <v>5946</v>
      </c>
      <c r="B1639" s="2" t="s">
        <v>1238</v>
      </c>
      <c r="C1639" s="1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  <c r="L1639" s="2" t="s">
        <v>11030</v>
      </c>
      <c r="M1639" s="2" t="s">
        <v>11030</v>
      </c>
      <c r="N1639" s="2" t="s">
        <v>11035</v>
      </c>
      <c r="O1639" s="2" t="s">
        <v>11035</v>
      </c>
      <c r="P1639" s="2" t="s">
        <v>11035</v>
      </c>
      <c r="Q1639" s="2">
        <f>AVERAGE(PerfRate[[#This Row],[EnvironmentSatisfaction]],PerfRate[[#This Row],[JobSatisfaction]],PerfRate[[#This Row],[RelationshipSatisfaction]])</f>
        <v>2</v>
      </c>
      <c r="R1639" s="2">
        <f>PerfRate[[#This Row],[ManagerRating]] - PerfRate[[#This Row],[SelfRating]]</f>
        <v>0</v>
      </c>
    </row>
    <row r="1640" spans="1:18">
      <c r="A1640" s="2" t="s">
        <v>5947</v>
      </c>
      <c r="B1640" s="2" t="s">
        <v>1546</v>
      </c>
      <c r="C1640" s="1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  <c r="L1640" s="2" t="s">
        <v>11031</v>
      </c>
      <c r="M1640" s="2" t="s">
        <v>11031</v>
      </c>
      <c r="N1640" s="2" t="s">
        <v>11034</v>
      </c>
      <c r="O1640" s="2" t="s">
        <v>11035</v>
      </c>
      <c r="P1640" s="2" t="s">
        <v>11034</v>
      </c>
      <c r="Q1640" s="2">
        <f>AVERAGE(PerfRate[[#This Row],[EnvironmentSatisfaction]],PerfRate[[#This Row],[JobSatisfaction]],PerfRate[[#This Row],[RelationshipSatisfaction]])</f>
        <v>1.3333333333333333</v>
      </c>
      <c r="R1640" s="2">
        <f>PerfRate[[#This Row],[ManagerRating]] - PerfRate[[#This Row],[SelfRating]]</f>
        <v>0</v>
      </c>
    </row>
    <row r="1641" spans="1:18">
      <c r="A1641" s="2" t="s">
        <v>5948</v>
      </c>
      <c r="B1641" s="2" t="s">
        <v>272</v>
      </c>
      <c r="C1641" s="1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  <c r="L1641" s="2" t="s">
        <v>11029</v>
      </c>
      <c r="M1641" s="2" t="s">
        <v>11029</v>
      </c>
      <c r="N1641" s="2" t="s">
        <v>11036</v>
      </c>
      <c r="O1641" s="2" t="s">
        <v>11035</v>
      </c>
      <c r="P1641" s="2" t="s">
        <v>11034</v>
      </c>
      <c r="Q1641" s="2">
        <f>AVERAGE(PerfRate[[#This Row],[EnvironmentSatisfaction]],PerfRate[[#This Row],[JobSatisfaction]],PerfRate[[#This Row],[RelationshipSatisfaction]])</f>
        <v>2</v>
      </c>
      <c r="R1641" s="2">
        <f>PerfRate[[#This Row],[ManagerRating]] - PerfRate[[#This Row],[SelfRating]]</f>
        <v>0</v>
      </c>
    </row>
    <row r="1642" spans="1:18">
      <c r="A1642" s="2" t="s">
        <v>5949</v>
      </c>
      <c r="B1642" s="2" t="s">
        <v>151</v>
      </c>
      <c r="C1642" s="1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  <c r="L1642" s="2" t="s">
        <v>11030</v>
      </c>
      <c r="M1642" s="2" t="s">
        <v>11029</v>
      </c>
      <c r="N1642" s="2" t="s">
        <v>11036</v>
      </c>
      <c r="O1642" s="2" t="s">
        <v>11035</v>
      </c>
      <c r="P1642" s="2" t="s">
        <v>11036</v>
      </c>
      <c r="Q1642" s="2">
        <f>AVERAGE(PerfRate[[#This Row],[EnvironmentSatisfaction]],PerfRate[[#This Row],[JobSatisfaction]],PerfRate[[#This Row],[RelationshipSatisfaction]])</f>
        <v>2.6666666666666665</v>
      </c>
      <c r="R1642" s="2">
        <f>PerfRate[[#This Row],[ManagerRating]] - PerfRate[[#This Row],[SelfRating]]</f>
        <v>-1</v>
      </c>
    </row>
    <row r="1643" spans="1:18">
      <c r="A1643" s="2" t="s">
        <v>5950</v>
      </c>
      <c r="B1643" s="2" t="s">
        <v>4236</v>
      </c>
      <c r="C1643" s="1">
        <v>41946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  <c r="L1643" s="2" t="s">
        <v>11029</v>
      </c>
      <c r="M1643" s="2" t="s">
        <v>11029</v>
      </c>
      <c r="N1643" s="2" t="s">
        <v>11037</v>
      </c>
      <c r="O1643" s="2" t="s">
        <v>11037</v>
      </c>
      <c r="P1643" s="2" t="s">
        <v>11037</v>
      </c>
      <c r="Q1643" s="2">
        <f>AVERAGE(PerfRate[[#This Row],[EnvironmentSatisfaction]],PerfRate[[#This Row],[JobSatisfaction]],PerfRate[[#This Row],[RelationshipSatisfaction]])</f>
        <v>4</v>
      </c>
      <c r="R1643" s="2">
        <f>PerfRate[[#This Row],[ManagerRating]] - PerfRate[[#This Row],[SelfRating]]</f>
        <v>0</v>
      </c>
    </row>
    <row r="1644" spans="1:18">
      <c r="A1644" s="2" t="s">
        <v>5951</v>
      </c>
      <c r="B1644" s="2" t="s">
        <v>1136</v>
      </c>
      <c r="C1644" s="1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  <c r="L1644" s="2" t="s">
        <v>11030</v>
      </c>
      <c r="M1644" s="2" t="s">
        <v>11030</v>
      </c>
      <c r="N1644" s="2" t="s">
        <v>11037</v>
      </c>
      <c r="O1644" s="2" t="s">
        <v>11036</v>
      </c>
      <c r="P1644" s="2" t="s">
        <v>11035</v>
      </c>
      <c r="Q1644" s="2">
        <f>AVERAGE(PerfRate[[#This Row],[EnvironmentSatisfaction]],PerfRate[[#This Row],[JobSatisfaction]],PerfRate[[#This Row],[RelationshipSatisfaction]])</f>
        <v>3</v>
      </c>
      <c r="R1644" s="2">
        <f>PerfRate[[#This Row],[ManagerRating]] - PerfRate[[#This Row],[SelfRating]]</f>
        <v>0</v>
      </c>
    </row>
    <row r="1645" spans="1:18">
      <c r="A1645" s="2" t="s">
        <v>5952</v>
      </c>
      <c r="B1645" s="2" t="s">
        <v>1517</v>
      </c>
      <c r="C1645" s="1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  <c r="L1645" s="2" t="s">
        <v>11030</v>
      </c>
      <c r="M1645" s="2" t="s">
        <v>11030</v>
      </c>
      <c r="N1645" s="2" t="s">
        <v>11036</v>
      </c>
      <c r="O1645" s="2" t="s">
        <v>11035</v>
      </c>
      <c r="P1645" s="2" t="s">
        <v>11036</v>
      </c>
      <c r="Q1645" s="2">
        <f>AVERAGE(PerfRate[[#This Row],[EnvironmentSatisfaction]],PerfRate[[#This Row],[JobSatisfaction]],PerfRate[[#This Row],[RelationshipSatisfaction]])</f>
        <v>2.6666666666666665</v>
      </c>
      <c r="R1645" s="2">
        <f>PerfRate[[#This Row],[ManagerRating]] - PerfRate[[#This Row],[SelfRating]]</f>
        <v>0</v>
      </c>
    </row>
    <row r="1646" spans="1:18">
      <c r="A1646" s="2" t="s">
        <v>5953</v>
      </c>
      <c r="B1646" s="2" t="s">
        <v>1649</v>
      </c>
      <c r="C1646" s="1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  <c r="L1646" s="2" t="s">
        <v>11030</v>
      </c>
      <c r="M1646" s="2" t="s">
        <v>11030</v>
      </c>
      <c r="N1646" s="2" t="s">
        <v>11037</v>
      </c>
      <c r="O1646" s="2" t="s">
        <v>11036</v>
      </c>
      <c r="P1646" s="2" t="s">
        <v>11037</v>
      </c>
      <c r="Q1646" s="2">
        <f>AVERAGE(PerfRate[[#This Row],[EnvironmentSatisfaction]],PerfRate[[#This Row],[JobSatisfaction]],PerfRate[[#This Row],[RelationshipSatisfaction]])</f>
        <v>3.6666666666666665</v>
      </c>
      <c r="R1646" s="2">
        <f>PerfRate[[#This Row],[ManagerRating]] - PerfRate[[#This Row],[SelfRating]]</f>
        <v>0</v>
      </c>
    </row>
    <row r="1647" spans="1:18">
      <c r="A1647" s="2" t="s">
        <v>5954</v>
      </c>
      <c r="B1647" s="2" t="s">
        <v>3857</v>
      </c>
      <c r="C1647" s="1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  <c r="L1647" s="2" t="s">
        <v>11029</v>
      </c>
      <c r="M1647" s="2" t="s">
        <v>11029</v>
      </c>
      <c r="N1647" s="2" t="s">
        <v>11036</v>
      </c>
      <c r="O1647" s="2" t="s">
        <v>11037</v>
      </c>
      <c r="P1647" s="2" t="s">
        <v>11036</v>
      </c>
      <c r="Q1647" s="2">
        <f>AVERAGE(PerfRate[[#This Row],[EnvironmentSatisfaction]],PerfRate[[#This Row],[JobSatisfaction]],PerfRate[[#This Row],[RelationshipSatisfaction]])</f>
        <v>3.3333333333333335</v>
      </c>
      <c r="R1647" s="2">
        <f>PerfRate[[#This Row],[ManagerRating]] - PerfRate[[#This Row],[SelfRating]]</f>
        <v>0</v>
      </c>
    </row>
    <row r="1648" spans="1:18">
      <c r="A1648" s="2" t="s">
        <v>5955</v>
      </c>
      <c r="B1648" s="2" t="s">
        <v>1391</v>
      </c>
      <c r="C1648" s="1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  <c r="L1648" s="2" t="s">
        <v>11029</v>
      </c>
      <c r="M1648" s="2" t="s">
        <v>11028</v>
      </c>
      <c r="N1648" s="2" t="s">
        <v>11037</v>
      </c>
      <c r="O1648" s="2" t="s">
        <v>11038</v>
      </c>
      <c r="P1648" s="2" t="s">
        <v>11035</v>
      </c>
      <c r="Q1648" s="2">
        <f>AVERAGE(PerfRate[[#This Row],[EnvironmentSatisfaction]],PerfRate[[#This Row],[JobSatisfaction]],PerfRate[[#This Row],[RelationshipSatisfaction]])</f>
        <v>3.6666666666666665</v>
      </c>
      <c r="R1648" s="2">
        <f>PerfRate[[#This Row],[ManagerRating]] - PerfRate[[#This Row],[SelfRating]]</f>
        <v>-1</v>
      </c>
    </row>
    <row r="1649" spans="1:18">
      <c r="A1649" s="2" t="s">
        <v>5956</v>
      </c>
      <c r="B1649" s="2" t="s">
        <v>3394</v>
      </c>
      <c r="C1649" s="1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  <c r="L1649" s="2" t="s">
        <v>11029</v>
      </c>
      <c r="M1649" s="2" t="s">
        <v>11029</v>
      </c>
      <c r="N1649" s="2" t="s">
        <v>11036</v>
      </c>
      <c r="O1649" s="2" t="s">
        <v>11036</v>
      </c>
      <c r="P1649" s="2" t="s">
        <v>11038</v>
      </c>
      <c r="Q1649" s="2">
        <f>AVERAGE(PerfRate[[#This Row],[EnvironmentSatisfaction]],PerfRate[[#This Row],[JobSatisfaction]],PerfRate[[#This Row],[RelationshipSatisfaction]])</f>
        <v>3.6666666666666665</v>
      </c>
      <c r="R1649" s="2">
        <f>PerfRate[[#This Row],[ManagerRating]] - PerfRate[[#This Row],[SelfRating]]</f>
        <v>0</v>
      </c>
    </row>
    <row r="1650" spans="1:18">
      <c r="A1650" s="2" t="s">
        <v>5957</v>
      </c>
      <c r="B1650" s="2" t="s">
        <v>958</v>
      </c>
      <c r="C1650" s="1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  <c r="L1650" s="2" t="s">
        <v>11031</v>
      </c>
      <c r="M1650" s="2" t="s">
        <v>11031</v>
      </c>
      <c r="N1650" s="2" t="s">
        <v>11037</v>
      </c>
      <c r="O1650" s="2" t="s">
        <v>11038</v>
      </c>
      <c r="P1650" s="2" t="s">
        <v>11037</v>
      </c>
      <c r="Q1650" s="2">
        <f>AVERAGE(PerfRate[[#This Row],[EnvironmentSatisfaction]],PerfRate[[#This Row],[JobSatisfaction]],PerfRate[[#This Row],[RelationshipSatisfaction]])</f>
        <v>4.333333333333333</v>
      </c>
      <c r="R1650" s="2">
        <f>PerfRate[[#This Row],[ManagerRating]] - PerfRate[[#This Row],[SelfRating]]</f>
        <v>0</v>
      </c>
    </row>
    <row r="1651" spans="1:18">
      <c r="A1651" s="2" t="s">
        <v>5958</v>
      </c>
      <c r="B1651" s="2" t="s">
        <v>35</v>
      </c>
      <c r="C1651" s="1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  <c r="L1651" s="2" t="s">
        <v>11031</v>
      </c>
      <c r="M1651" s="2" t="s">
        <v>11031</v>
      </c>
      <c r="N1651" s="2" t="s">
        <v>11038</v>
      </c>
      <c r="O1651" s="2" t="s">
        <v>11035</v>
      </c>
      <c r="P1651" s="2" t="s">
        <v>11038</v>
      </c>
      <c r="Q1651" s="2">
        <f>AVERAGE(PerfRate[[#This Row],[EnvironmentSatisfaction]],PerfRate[[#This Row],[JobSatisfaction]],PerfRate[[#This Row],[RelationshipSatisfaction]])</f>
        <v>4</v>
      </c>
      <c r="R1651" s="2">
        <f>PerfRate[[#This Row],[ManagerRating]] - PerfRate[[#This Row],[SelfRating]]</f>
        <v>0</v>
      </c>
    </row>
    <row r="1652" spans="1:18">
      <c r="A1652" s="2" t="s">
        <v>5959</v>
      </c>
      <c r="B1652" s="2" t="s">
        <v>583</v>
      </c>
      <c r="C1652" s="1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  <c r="L1652" s="2" t="s">
        <v>11029</v>
      </c>
      <c r="M1652" s="2" t="s">
        <v>11028</v>
      </c>
      <c r="N1652" s="2" t="s">
        <v>11036</v>
      </c>
      <c r="O1652" s="2" t="s">
        <v>11037</v>
      </c>
      <c r="P1652" s="2" t="s">
        <v>11037</v>
      </c>
      <c r="Q1652" s="2">
        <f>AVERAGE(PerfRate[[#This Row],[EnvironmentSatisfaction]],PerfRate[[#This Row],[JobSatisfaction]],PerfRate[[#This Row],[RelationshipSatisfaction]])</f>
        <v>3.6666666666666665</v>
      </c>
      <c r="R1652" s="2">
        <f>PerfRate[[#This Row],[ManagerRating]] - PerfRate[[#This Row],[SelfRating]]</f>
        <v>-1</v>
      </c>
    </row>
    <row r="1653" spans="1:18">
      <c r="A1653" s="2" t="s">
        <v>5960</v>
      </c>
      <c r="B1653" s="2" t="s">
        <v>1062</v>
      </c>
      <c r="C1653" s="1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  <c r="L1653" s="2" t="s">
        <v>11030</v>
      </c>
      <c r="M1653" s="2" t="s">
        <v>11030</v>
      </c>
      <c r="N1653" s="2" t="s">
        <v>11037</v>
      </c>
      <c r="O1653" s="2" t="s">
        <v>11037</v>
      </c>
      <c r="P1653" s="2" t="s">
        <v>11035</v>
      </c>
      <c r="Q1653" s="2">
        <f>AVERAGE(PerfRate[[#This Row],[EnvironmentSatisfaction]],PerfRate[[#This Row],[JobSatisfaction]],PerfRate[[#This Row],[RelationshipSatisfaction]])</f>
        <v>3.3333333333333335</v>
      </c>
      <c r="R1653" s="2">
        <f>PerfRate[[#This Row],[ManagerRating]] - PerfRate[[#This Row],[SelfRating]]</f>
        <v>0</v>
      </c>
    </row>
    <row r="1654" spans="1:18">
      <c r="A1654" s="2" t="s">
        <v>5961</v>
      </c>
      <c r="B1654" s="2" t="s">
        <v>1939</v>
      </c>
      <c r="C1654" s="1">
        <v>41976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  <c r="L1654" s="2" t="s">
        <v>11029</v>
      </c>
      <c r="M1654" s="2" t="s">
        <v>11028</v>
      </c>
      <c r="N1654" s="2" t="s">
        <v>11036</v>
      </c>
      <c r="O1654" s="2" t="s">
        <v>11037</v>
      </c>
      <c r="P1654" s="2" t="s">
        <v>11038</v>
      </c>
      <c r="Q1654" s="2">
        <f>AVERAGE(PerfRate[[#This Row],[EnvironmentSatisfaction]],PerfRate[[#This Row],[JobSatisfaction]],PerfRate[[#This Row],[RelationshipSatisfaction]])</f>
        <v>4</v>
      </c>
      <c r="R1654" s="2">
        <f>PerfRate[[#This Row],[ManagerRating]] - PerfRate[[#This Row],[SelfRating]]</f>
        <v>-1</v>
      </c>
    </row>
    <row r="1655" spans="1:18">
      <c r="A1655" s="2" t="s">
        <v>5962</v>
      </c>
      <c r="B1655" s="2" t="s">
        <v>1617</v>
      </c>
      <c r="C1655" s="1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  <c r="L1655" s="2" t="s">
        <v>11030</v>
      </c>
      <c r="M1655" s="2" t="s">
        <v>11030</v>
      </c>
      <c r="N1655" s="2" t="s">
        <v>11038</v>
      </c>
      <c r="O1655" s="2" t="s">
        <v>11036</v>
      </c>
      <c r="P1655" s="2" t="s">
        <v>11036</v>
      </c>
      <c r="Q1655" s="2">
        <f>AVERAGE(PerfRate[[#This Row],[EnvironmentSatisfaction]],PerfRate[[#This Row],[JobSatisfaction]],PerfRate[[#This Row],[RelationshipSatisfaction]])</f>
        <v>3.6666666666666665</v>
      </c>
      <c r="R1655" s="2">
        <f>PerfRate[[#This Row],[ManagerRating]] - PerfRate[[#This Row],[SelfRating]]</f>
        <v>0</v>
      </c>
    </row>
    <row r="1656" spans="1:18">
      <c r="A1656" s="2" t="s">
        <v>5963</v>
      </c>
      <c r="B1656" s="2" t="s">
        <v>1666</v>
      </c>
      <c r="C1656" s="1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  <c r="L1656" s="2" t="s">
        <v>11031</v>
      </c>
      <c r="M1656" s="2" t="s">
        <v>11031</v>
      </c>
      <c r="N1656" s="2" t="s">
        <v>11038</v>
      </c>
      <c r="O1656" s="2" t="s">
        <v>11037</v>
      </c>
      <c r="P1656" s="2" t="s">
        <v>11035</v>
      </c>
      <c r="Q1656" s="2">
        <f>AVERAGE(PerfRate[[#This Row],[EnvironmentSatisfaction]],PerfRate[[#This Row],[JobSatisfaction]],PerfRate[[#This Row],[RelationshipSatisfaction]])</f>
        <v>3.6666666666666665</v>
      </c>
      <c r="R1656" s="2">
        <f>PerfRate[[#This Row],[ManagerRating]] - PerfRate[[#This Row],[SelfRating]]</f>
        <v>0</v>
      </c>
    </row>
    <row r="1657" spans="1:18">
      <c r="A1657" s="2" t="s">
        <v>5964</v>
      </c>
      <c r="B1657" s="2" t="s">
        <v>1450</v>
      </c>
      <c r="C1657" s="1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  <c r="L1657" s="2" t="s">
        <v>11030</v>
      </c>
      <c r="M1657" s="2" t="s">
        <v>11030</v>
      </c>
      <c r="N1657" s="2" t="s">
        <v>11038</v>
      </c>
      <c r="O1657" s="2" t="s">
        <v>11036</v>
      </c>
      <c r="P1657" s="2" t="s">
        <v>11038</v>
      </c>
      <c r="Q1657" s="2">
        <f>AVERAGE(PerfRate[[#This Row],[EnvironmentSatisfaction]],PerfRate[[#This Row],[JobSatisfaction]],PerfRate[[#This Row],[RelationshipSatisfaction]])</f>
        <v>4.333333333333333</v>
      </c>
      <c r="R1657" s="2">
        <f>PerfRate[[#This Row],[ManagerRating]] - PerfRate[[#This Row],[SelfRating]]</f>
        <v>0</v>
      </c>
    </row>
    <row r="1658" spans="1:18">
      <c r="A1658" s="2" t="s">
        <v>5965</v>
      </c>
      <c r="B1658" s="2" t="s">
        <v>829</v>
      </c>
      <c r="C1658" s="1">
        <v>43108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  <c r="L1658" s="2" t="s">
        <v>11031</v>
      </c>
      <c r="M1658" s="2" t="s">
        <v>11031</v>
      </c>
      <c r="N1658" s="2" t="s">
        <v>11037</v>
      </c>
      <c r="O1658" s="2" t="s">
        <v>11038</v>
      </c>
      <c r="P1658" s="2" t="s">
        <v>11035</v>
      </c>
      <c r="Q1658" s="2">
        <f>AVERAGE(PerfRate[[#This Row],[EnvironmentSatisfaction]],PerfRate[[#This Row],[JobSatisfaction]],PerfRate[[#This Row],[RelationshipSatisfaction]])</f>
        <v>3.6666666666666665</v>
      </c>
      <c r="R1658" s="2">
        <f>PerfRate[[#This Row],[ManagerRating]] - PerfRate[[#This Row],[SelfRating]]</f>
        <v>0</v>
      </c>
    </row>
    <row r="1659" spans="1:18">
      <c r="A1659" s="2" t="s">
        <v>5966</v>
      </c>
      <c r="B1659" s="2" t="s">
        <v>1727</v>
      </c>
      <c r="C1659" s="1">
        <v>43139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  <c r="L1659" s="2" t="s">
        <v>11030</v>
      </c>
      <c r="M1659" s="2" t="s">
        <v>11029</v>
      </c>
      <c r="N1659" s="2" t="s">
        <v>11037</v>
      </c>
      <c r="O1659" s="2" t="s">
        <v>11036</v>
      </c>
      <c r="P1659" s="2" t="s">
        <v>11038</v>
      </c>
      <c r="Q1659" s="2">
        <f>AVERAGE(PerfRate[[#This Row],[EnvironmentSatisfaction]],PerfRate[[#This Row],[JobSatisfaction]],PerfRate[[#This Row],[RelationshipSatisfaction]])</f>
        <v>4</v>
      </c>
      <c r="R1659" s="2">
        <f>PerfRate[[#This Row],[ManagerRating]] - PerfRate[[#This Row],[SelfRating]]</f>
        <v>-1</v>
      </c>
    </row>
    <row r="1660" spans="1:18">
      <c r="A1660" s="2" t="s">
        <v>5967</v>
      </c>
      <c r="B1660" s="2" t="s">
        <v>1505</v>
      </c>
      <c r="C1660" s="1">
        <v>43167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  <c r="L1660" s="2" t="s">
        <v>11029</v>
      </c>
      <c r="M1660" s="2" t="s">
        <v>11029</v>
      </c>
      <c r="N1660" s="2" t="s">
        <v>11037</v>
      </c>
      <c r="O1660" s="2" t="s">
        <v>11038</v>
      </c>
      <c r="P1660" s="2" t="s">
        <v>11036</v>
      </c>
      <c r="Q1660" s="2">
        <f>AVERAGE(PerfRate[[#This Row],[EnvironmentSatisfaction]],PerfRate[[#This Row],[JobSatisfaction]],PerfRate[[#This Row],[RelationshipSatisfaction]])</f>
        <v>4</v>
      </c>
      <c r="R1660" s="2">
        <f>PerfRate[[#This Row],[ManagerRating]] - PerfRate[[#This Row],[SelfRating]]</f>
        <v>0</v>
      </c>
    </row>
    <row r="1661" spans="1:18">
      <c r="A1661" s="2" t="s">
        <v>5968</v>
      </c>
      <c r="B1661" s="2" t="s">
        <v>1526</v>
      </c>
      <c r="C1661" s="1">
        <v>43167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  <c r="L1661" s="2" t="s">
        <v>11030</v>
      </c>
      <c r="M1661" s="2" t="s">
        <v>11029</v>
      </c>
      <c r="N1661" s="2" t="s">
        <v>11038</v>
      </c>
      <c r="O1661" s="2" t="s">
        <v>11035</v>
      </c>
      <c r="P1661" s="2" t="s">
        <v>11035</v>
      </c>
      <c r="Q1661" s="2">
        <f>AVERAGE(PerfRate[[#This Row],[EnvironmentSatisfaction]],PerfRate[[#This Row],[JobSatisfaction]],PerfRate[[#This Row],[RelationshipSatisfaction]])</f>
        <v>3</v>
      </c>
      <c r="R1661" s="2">
        <f>PerfRate[[#This Row],[ManagerRating]] - PerfRate[[#This Row],[SelfRating]]</f>
        <v>-1</v>
      </c>
    </row>
    <row r="1662" spans="1:18">
      <c r="A1662" s="2" t="s">
        <v>5969</v>
      </c>
      <c r="B1662" s="2" t="s">
        <v>2545</v>
      </c>
      <c r="C1662" s="1">
        <v>43198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  <c r="L1662" s="2" t="s">
        <v>11031</v>
      </c>
      <c r="M1662" s="2" t="s">
        <v>11031</v>
      </c>
      <c r="N1662" s="2" t="s">
        <v>11037</v>
      </c>
      <c r="O1662" s="2" t="s">
        <v>11038</v>
      </c>
      <c r="P1662" s="2" t="s">
        <v>11037</v>
      </c>
      <c r="Q1662" s="2">
        <f>AVERAGE(PerfRate[[#This Row],[EnvironmentSatisfaction]],PerfRate[[#This Row],[JobSatisfaction]],PerfRate[[#This Row],[RelationshipSatisfaction]])</f>
        <v>4.333333333333333</v>
      </c>
      <c r="R1662" s="2">
        <f>PerfRate[[#This Row],[ManagerRating]] - PerfRate[[#This Row],[SelfRating]]</f>
        <v>0</v>
      </c>
    </row>
    <row r="1663" spans="1:18">
      <c r="A1663" s="2" t="s">
        <v>5970</v>
      </c>
      <c r="B1663" s="2" t="s">
        <v>377</v>
      </c>
      <c r="C1663" s="1">
        <v>43198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  <c r="L1663" s="2" t="s">
        <v>11031</v>
      </c>
      <c r="M1663" s="2" t="s">
        <v>11031</v>
      </c>
      <c r="N1663" s="2" t="s">
        <v>11038</v>
      </c>
      <c r="O1663" s="2" t="s">
        <v>11036</v>
      </c>
      <c r="P1663" s="2" t="s">
        <v>11035</v>
      </c>
      <c r="Q1663" s="2">
        <f>AVERAGE(PerfRate[[#This Row],[EnvironmentSatisfaction]],PerfRate[[#This Row],[JobSatisfaction]],PerfRate[[#This Row],[RelationshipSatisfaction]])</f>
        <v>3.3333333333333335</v>
      </c>
      <c r="R1663" s="2">
        <f>PerfRate[[#This Row],[ManagerRating]] - PerfRate[[#This Row],[SelfRating]]</f>
        <v>0</v>
      </c>
    </row>
    <row r="1664" spans="1:18">
      <c r="A1664" s="2" t="s">
        <v>5971</v>
      </c>
      <c r="B1664" s="2" t="s">
        <v>115</v>
      </c>
      <c r="C1664" s="1">
        <v>43198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  <c r="L1664" s="2" t="s">
        <v>11029</v>
      </c>
      <c r="M1664" s="2" t="s">
        <v>11029</v>
      </c>
      <c r="N1664" s="2" t="s">
        <v>11037</v>
      </c>
      <c r="O1664" s="2" t="s">
        <v>11035</v>
      </c>
      <c r="P1664" s="2" t="s">
        <v>11038</v>
      </c>
      <c r="Q1664" s="2">
        <f>AVERAGE(PerfRate[[#This Row],[EnvironmentSatisfaction]],PerfRate[[#This Row],[JobSatisfaction]],PerfRate[[#This Row],[RelationshipSatisfaction]])</f>
        <v>3.6666666666666665</v>
      </c>
      <c r="R1664" s="2">
        <f>PerfRate[[#This Row],[ManagerRating]] - PerfRate[[#This Row],[SelfRating]]</f>
        <v>0</v>
      </c>
    </row>
    <row r="1665" spans="1:18">
      <c r="A1665" s="2" t="s">
        <v>5972</v>
      </c>
      <c r="B1665" s="2" t="s">
        <v>3425</v>
      </c>
      <c r="C1665" s="1">
        <v>41976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  <c r="L1665" s="2" t="s">
        <v>11029</v>
      </c>
      <c r="M1665" s="2" t="s">
        <v>11029</v>
      </c>
      <c r="N1665" s="2" t="s">
        <v>11038</v>
      </c>
      <c r="O1665" s="2" t="s">
        <v>11035</v>
      </c>
      <c r="P1665" s="2" t="s">
        <v>11037</v>
      </c>
      <c r="Q1665" s="2">
        <f>AVERAGE(PerfRate[[#This Row],[EnvironmentSatisfaction]],PerfRate[[#This Row],[JobSatisfaction]],PerfRate[[#This Row],[RelationshipSatisfaction]])</f>
        <v>3.6666666666666665</v>
      </c>
      <c r="R1665" s="2">
        <f>PerfRate[[#This Row],[ManagerRating]] - PerfRate[[#This Row],[SelfRating]]</f>
        <v>0</v>
      </c>
    </row>
    <row r="1666" spans="1:18">
      <c r="A1666" s="2" t="s">
        <v>5973</v>
      </c>
      <c r="B1666" s="2" t="s">
        <v>1054</v>
      </c>
      <c r="C1666" s="1">
        <v>43198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  <c r="L1666" s="2" t="s">
        <v>11030</v>
      </c>
      <c r="M1666" s="2" t="s">
        <v>11029</v>
      </c>
      <c r="N1666" s="2" t="s">
        <v>11038</v>
      </c>
      <c r="O1666" s="2" t="s">
        <v>11036</v>
      </c>
      <c r="P1666" s="2" t="s">
        <v>11037</v>
      </c>
      <c r="Q1666" s="2">
        <f>AVERAGE(PerfRate[[#This Row],[EnvironmentSatisfaction]],PerfRate[[#This Row],[JobSatisfaction]],PerfRate[[#This Row],[RelationshipSatisfaction]])</f>
        <v>4</v>
      </c>
      <c r="R1666" s="2">
        <f>PerfRate[[#This Row],[ManagerRating]] - PerfRate[[#This Row],[SelfRating]]</f>
        <v>-1</v>
      </c>
    </row>
    <row r="1667" spans="1:18">
      <c r="A1667" s="2" t="s">
        <v>5974</v>
      </c>
      <c r="B1667" s="2" t="s">
        <v>553</v>
      </c>
      <c r="C1667" s="1">
        <v>43259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  <c r="L1667" s="2" t="s">
        <v>11031</v>
      </c>
      <c r="M1667" s="2" t="s">
        <v>11030</v>
      </c>
      <c r="N1667" s="2" t="s">
        <v>11037</v>
      </c>
      <c r="O1667" s="2" t="s">
        <v>11038</v>
      </c>
      <c r="P1667" s="2" t="s">
        <v>11037</v>
      </c>
      <c r="Q1667" s="2">
        <f>AVERAGE(PerfRate[[#This Row],[EnvironmentSatisfaction]],PerfRate[[#This Row],[JobSatisfaction]],PerfRate[[#This Row],[RelationshipSatisfaction]])</f>
        <v>4.333333333333333</v>
      </c>
      <c r="R1667" s="2">
        <f>PerfRate[[#This Row],[ManagerRating]] - PerfRate[[#This Row],[SelfRating]]</f>
        <v>-1</v>
      </c>
    </row>
    <row r="1668" spans="1:18">
      <c r="A1668" s="2" t="s">
        <v>5975</v>
      </c>
      <c r="B1668" s="2" t="s">
        <v>729</v>
      </c>
      <c r="C1668" s="1">
        <v>43259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  <c r="L1668" s="2" t="s">
        <v>11030</v>
      </c>
      <c r="M1668" s="2" t="s">
        <v>11030</v>
      </c>
      <c r="N1668" s="2" t="s">
        <v>11037</v>
      </c>
      <c r="O1668" s="2" t="s">
        <v>11035</v>
      </c>
      <c r="P1668" s="2" t="s">
        <v>11037</v>
      </c>
      <c r="Q1668" s="2">
        <f>AVERAGE(PerfRate[[#This Row],[EnvironmentSatisfaction]],PerfRate[[#This Row],[JobSatisfaction]],PerfRate[[#This Row],[RelationshipSatisfaction]])</f>
        <v>3.3333333333333335</v>
      </c>
      <c r="R1668" s="2">
        <f>PerfRate[[#This Row],[ManagerRating]] - PerfRate[[#This Row],[SelfRating]]</f>
        <v>0</v>
      </c>
    </row>
    <row r="1669" spans="1:18">
      <c r="A1669" s="2" t="s">
        <v>5976</v>
      </c>
      <c r="B1669" s="2" t="s">
        <v>774</v>
      </c>
      <c r="C1669" s="1">
        <v>43351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  <c r="L1669" s="2" t="s">
        <v>11031</v>
      </c>
      <c r="M1669" s="2" t="s">
        <v>11030</v>
      </c>
      <c r="N1669" s="2" t="s">
        <v>11038</v>
      </c>
      <c r="O1669" s="2" t="s">
        <v>11036</v>
      </c>
      <c r="P1669" s="2" t="s">
        <v>11036</v>
      </c>
      <c r="Q1669" s="2">
        <f>AVERAGE(PerfRate[[#This Row],[EnvironmentSatisfaction]],PerfRate[[#This Row],[JobSatisfaction]],PerfRate[[#This Row],[RelationshipSatisfaction]])</f>
        <v>3.6666666666666665</v>
      </c>
      <c r="R1669" s="2">
        <f>PerfRate[[#This Row],[ManagerRating]] - PerfRate[[#This Row],[SelfRating]]</f>
        <v>-1</v>
      </c>
    </row>
    <row r="1670" spans="1:18">
      <c r="A1670" s="2" t="s">
        <v>5977</v>
      </c>
      <c r="B1670" s="2" t="s">
        <v>1488</v>
      </c>
      <c r="C1670" s="1">
        <v>43351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  <c r="L1670" s="2" t="s">
        <v>11030</v>
      </c>
      <c r="M1670" s="2" t="s">
        <v>11029</v>
      </c>
      <c r="N1670" s="2" t="s">
        <v>11038</v>
      </c>
      <c r="O1670" s="2" t="s">
        <v>11038</v>
      </c>
      <c r="P1670" s="2" t="s">
        <v>11038</v>
      </c>
      <c r="Q1670" s="2">
        <f>AVERAGE(PerfRate[[#This Row],[EnvironmentSatisfaction]],PerfRate[[#This Row],[JobSatisfaction]],PerfRate[[#This Row],[RelationshipSatisfaction]])</f>
        <v>5</v>
      </c>
      <c r="R1670" s="2">
        <f>PerfRate[[#This Row],[ManagerRating]] - PerfRate[[#This Row],[SelfRating]]</f>
        <v>-1</v>
      </c>
    </row>
    <row r="1671" spans="1:18">
      <c r="A1671" s="2" t="s">
        <v>5978</v>
      </c>
      <c r="B1671" s="2" t="s">
        <v>250</v>
      </c>
      <c r="C1671" s="1">
        <v>43381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  <c r="L1671" s="2" t="s">
        <v>11031</v>
      </c>
      <c r="M1671" s="2" t="s">
        <v>11031</v>
      </c>
      <c r="N1671" s="2" t="s">
        <v>11038</v>
      </c>
      <c r="O1671" s="2" t="s">
        <v>11035</v>
      </c>
      <c r="P1671" s="2" t="s">
        <v>11038</v>
      </c>
      <c r="Q1671" s="2">
        <f>AVERAGE(PerfRate[[#This Row],[EnvironmentSatisfaction]],PerfRate[[#This Row],[JobSatisfaction]],PerfRate[[#This Row],[RelationshipSatisfaction]])</f>
        <v>4</v>
      </c>
      <c r="R1671" s="2">
        <f>PerfRate[[#This Row],[ManagerRating]] - PerfRate[[#This Row],[SelfRating]]</f>
        <v>0</v>
      </c>
    </row>
    <row r="1672" spans="1:18">
      <c r="A1672" s="2" t="s">
        <v>5979</v>
      </c>
      <c r="B1672" s="2" t="s">
        <v>625</v>
      </c>
      <c r="C1672" s="1">
        <v>43442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  <c r="L1672" s="2" t="s">
        <v>11029</v>
      </c>
      <c r="M1672" s="2" t="s">
        <v>11028</v>
      </c>
      <c r="N1672" s="2" t="s">
        <v>11036</v>
      </c>
      <c r="O1672" s="2" t="s">
        <v>11037</v>
      </c>
      <c r="P1672" s="2" t="s">
        <v>11036</v>
      </c>
      <c r="Q1672" s="2">
        <f>AVERAGE(PerfRate[[#This Row],[EnvironmentSatisfaction]],PerfRate[[#This Row],[JobSatisfaction]],PerfRate[[#This Row],[RelationshipSatisfaction]])</f>
        <v>3.3333333333333335</v>
      </c>
      <c r="R1672" s="2">
        <f>PerfRate[[#This Row],[ManagerRating]] - PerfRate[[#This Row],[SelfRating]]</f>
        <v>-1</v>
      </c>
    </row>
    <row r="1673" spans="1:18">
      <c r="A1673" s="2" t="s">
        <v>5980</v>
      </c>
      <c r="B1673" s="2" t="s">
        <v>1614</v>
      </c>
      <c r="C1673" s="1">
        <v>43442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  <c r="L1673" s="2" t="s">
        <v>11029</v>
      </c>
      <c r="M1673" s="2" t="s">
        <v>11028</v>
      </c>
      <c r="N1673" s="2" t="s">
        <v>11036</v>
      </c>
      <c r="O1673" s="2" t="s">
        <v>11037</v>
      </c>
      <c r="P1673" s="2" t="s">
        <v>11038</v>
      </c>
      <c r="Q1673" s="2">
        <f>AVERAGE(PerfRate[[#This Row],[EnvironmentSatisfaction]],PerfRate[[#This Row],[JobSatisfaction]],PerfRate[[#This Row],[RelationshipSatisfaction]])</f>
        <v>4</v>
      </c>
      <c r="R1673" s="2">
        <f>PerfRate[[#This Row],[ManagerRating]] - PerfRate[[#This Row],[SelfRating]]</f>
        <v>-1</v>
      </c>
    </row>
    <row r="1674" spans="1:18">
      <c r="A1674" s="2" t="s">
        <v>5981</v>
      </c>
      <c r="B1674" s="2" t="s">
        <v>3071</v>
      </c>
      <c r="C1674" s="1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  <c r="L1674" s="2" t="s">
        <v>11029</v>
      </c>
      <c r="M1674" s="2" t="s">
        <v>11028</v>
      </c>
      <c r="N1674" s="2" t="s">
        <v>11037</v>
      </c>
      <c r="O1674" s="2" t="s">
        <v>11036</v>
      </c>
      <c r="P1674" s="2" t="s">
        <v>11035</v>
      </c>
      <c r="Q1674" s="2">
        <f>AVERAGE(PerfRate[[#This Row],[EnvironmentSatisfaction]],PerfRate[[#This Row],[JobSatisfaction]],PerfRate[[#This Row],[RelationshipSatisfaction]])</f>
        <v>3</v>
      </c>
      <c r="R1674" s="2">
        <f>PerfRate[[#This Row],[ManagerRating]] - PerfRate[[#This Row],[SelfRating]]</f>
        <v>-1</v>
      </c>
    </row>
    <row r="1675" spans="1:18">
      <c r="A1675" s="2" t="s">
        <v>5982</v>
      </c>
      <c r="B1675" s="2" t="s">
        <v>803</v>
      </c>
      <c r="C1675" s="1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  <c r="L1675" s="2" t="s">
        <v>11030</v>
      </c>
      <c r="M1675" s="2" t="s">
        <v>11030</v>
      </c>
      <c r="N1675" s="2" t="s">
        <v>11036</v>
      </c>
      <c r="O1675" s="2" t="s">
        <v>11035</v>
      </c>
      <c r="P1675" s="2" t="s">
        <v>11036</v>
      </c>
      <c r="Q1675" s="2">
        <f>AVERAGE(PerfRate[[#This Row],[EnvironmentSatisfaction]],PerfRate[[#This Row],[JobSatisfaction]],PerfRate[[#This Row],[RelationshipSatisfaction]])</f>
        <v>2.6666666666666665</v>
      </c>
      <c r="R1675" s="2">
        <f>PerfRate[[#This Row],[ManagerRating]] - PerfRate[[#This Row],[SelfRating]]</f>
        <v>0</v>
      </c>
    </row>
    <row r="1676" spans="1:18">
      <c r="A1676" s="2" t="s">
        <v>5983</v>
      </c>
      <c r="B1676" s="2" t="s">
        <v>1707</v>
      </c>
      <c r="C1676" s="1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  <c r="L1676" s="2" t="s">
        <v>11031</v>
      </c>
      <c r="M1676" s="2" t="s">
        <v>11031</v>
      </c>
      <c r="N1676" s="2" t="s">
        <v>11036</v>
      </c>
      <c r="O1676" s="2" t="s">
        <v>11038</v>
      </c>
      <c r="P1676" s="2" t="s">
        <v>11036</v>
      </c>
      <c r="Q1676" s="2">
        <f>AVERAGE(PerfRate[[#This Row],[EnvironmentSatisfaction]],PerfRate[[#This Row],[JobSatisfaction]],PerfRate[[#This Row],[RelationshipSatisfaction]])</f>
        <v>3.6666666666666665</v>
      </c>
      <c r="R1676" s="2">
        <f>PerfRate[[#This Row],[ManagerRating]] - PerfRate[[#This Row],[SelfRating]]</f>
        <v>0</v>
      </c>
    </row>
    <row r="1677" spans="1:18">
      <c r="A1677" s="2" t="s">
        <v>5984</v>
      </c>
      <c r="B1677" s="2" t="s">
        <v>943</v>
      </c>
      <c r="C1677" s="1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  <c r="L1677" s="2" t="s">
        <v>11030</v>
      </c>
      <c r="M1677" s="2" t="s">
        <v>11030</v>
      </c>
      <c r="N1677" s="2" t="s">
        <v>11038</v>
      </c>
      <c r="O1677" s="2" t="s">
        <v>11038</v>
      </c>
      <c r="P1677" s="2" t="s">
        <v>11036</v>
      </c>
      <c r="Q1677" s="2">
        <f>AVERAGE(PerfRate[[#This Row],[EnvironmentSatisfaction]],PerfRate[[#This Row],[JobSatisfaction]],PerfRate[[#This Row],[RelationshipSatisfaction]])</f>
        <v>4.333333333333333</v>
      </c>
      <c r="R1677" s="2">
        <f>PerfRate[[#This Row],[ManagerRating]] - PerfRate[[#This Row],[SelfRating]]</f>
        <v>0</v>
      </c>
    </row>
    <row r="1678" spans="1:18">
      <c r="A1678" s="2" t="s">
        <v>5985</v>
      </c>
      <c r="B1678" s="2" t="s">
        <v>756</v>
      </c>
      <c r="C1678" s="1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  <c r="L1678" s="2" t="s">
        <v>11029</v>
      </c>
      <c r="M1678" s="2" t="s">
        <v>11029</v>
      </c>
      <c r="N1678" s="2" t="s">
        <v>11036</v>
      </c>
      <c r="O1678" s="2" t="s">
        <v>11038</v>
      </c>
      <c r="P1678" s="2" t="s">
        <v>11035</v>
      </c>
      <c r="Q1678" s="2">
        <f>AVERAGE(PerfRate[[#This Row],[EnvironmentSatisfaction]],PerfRate[[#This Row],[JobSatisfaction]],PerfRate[[#This Row],[RelationshipSatisfaction]])</f>
        <v>3.3333333333333335</v>
      </c>
      <c r="R1678" s="2">
        <f>PerfRate[[#This Row],[ManagerRating]] - PerfRate[[#This Row],[SelfRating]]</f>
        <v>0</v>
      </c>
    </row>
    <row r="1679" spans="1:18">
      <c r="A1679" s="2" t="s">
        <v>5986</v>
      </c>
      <c r="B1679" s="2" t="s">
        <v>3198</v>
      </c>
      <c r="C1679" s="1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  <c r="L1679" s="2" t="s">
        <v>11030</v>
      </c>
      <c r="M1679" s="2" t="s">
        <v>11029</v>
      </c>
      <c r="N1679" s="2" t="s">
        <v>11036</v>
      </c>
      <c r="O1679" s="2" t="s">
        <v>11035</v>
      </c>
      <c r="P1679" s="2" t="s">
        <v>11038</v>
      </c>
      <c r="Q1679" s="2">
        <f>AVERAGE(PerfRate[[#This Row],[EnvironmentSatisfaction]],PerfRate[[#This Row],[JobSatisfaction]],PerfRate[[#This Row],[RelationshipSatisfaction]])</f>
        <v>3.3333333333333335</v>
      </c>
      <c r="R1679" s="2">
        <f>PerfRate[[#This Row],[ManagerRating]] - PerfRate[[#This Row],[SelfRating]]</f>
        <v>-1</v>
      </c>
    </row>
    <row r="1680" spans="1:18">
      <c r="A1680" s="2" t="s">
        <v>5987</v>
      </c>
      <c r="B1680" s="2" t="s">
        <v>1608</v>
      </c>
      <c r="C1680" s="1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  <c r="L1680" s="2" t="s">
        <v>11029</v>
      </c>
      <c r="M1680" s="2" t="s">
        <v>11028</v>
      </c>
      <c r="N1680" s="2" t="s">
        <v>11038</v>
      </c>
      <c r="O1680" s="2" t="s">
        <v>11035</v>
      </c>
      <c r="P1680" s="2" t="s">
        <v>11037</v>
      </c>
      <c r="Q1680" s="2">
        <f>AVERAGE(PerfRate[[#This Row],[EnvironmentSatisfaction]],PerfRate[[#This Row],[JobSatisfaction]],PerfRate[[#This Row],[RelationshipSatisfaction]])</f>
        <v>3.6666666666666665</v>
      </c>
      <c r="R1680" s="2">
        <f>PerfRate[[#This Row],[ManagerRating]] - PerfRate[[#This Row],[SelfRating]]</f>
        <v>-1</v>
      </c>
    </row>
    <row r="1681" spans="1:18">
      <c r="A1681" s="2" t="s">
        <v>5988</v>
      </c>
      <c r="B1681" s="2" t="s">
        <v>952</v>
      </c>
      <c r="C1681" s="1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  <c r="L1681" s="2" t="s">
        <v>11031</v>
      </c>
      <c r="M1681" s="2" t="s">
        <v>11030</v>
      </c>
      <c r="N1681" s="2" t="s">
        <v>11037</v>
      </c>
      <c r="O1681" s="2" t="s">
        <v>11036</v>
      </c>
      <c r="P1681" s="2" t="s">
        <v>11036</v>
      </c>
      <c r="Q1681" s="2">
        <f>AVERAGE(PerfRate[[#This Row],[EnvironmentSatisfaction]],PerfRate[[#This Row],[JobSatisfaction]],PerfRate[[#This Row],[RelationshipSatisfaction]])</f>
        <v>3.3333333333333335</v>
      </c>
      <c r="R1681" s="2">
        <f>PerfRate[[#This Row],[ManagerRating]] - PerfRate[[#This Row],[SelfRating]]</f>
        <v>-1</v>
      </c>
    </row>
    <row r="1682" spans="1:18">
      <c r="A1682" s="2" t="s">
        <v>5989</v>
      </c>
      <c r="B1682" s="2" t="s">
        <v>619</v>
      </c>
      <c r="C1682" s="1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  <c r="L1682" s="2" t="s">
        <v>11030</v>
      </c>
      <c r="M1682" s="2" t="s">
        <v>11030</v>
      </c>
      <c r="N1682" s="2" t="s">
        <v>11038</v>
      </c>
      <c r="O1682" s="2" t="s">
        <v>11037</v>
      </c>
      <c r="P1682" s="2" t="s">
        <v>11038</v>
      </c>
      <c r="Q1682" s="2">
        <f>AVERAGE(PerfRate[[#This Row],[EnvironmentSatisfaction]],PerfRate[[#This Row],[JobSatisfaction]],PerfRate[[#This Row],[RelationshipSatisfaction]])</f>
        <v>4.666666666666667</v>
      </c>
      <c r="R1682" s="2">
        <f>PerfRate[[#This Row],[ManagerRating]] - PerfRate[[#This Row],[SelfRating]]</f>
        <v>0</v>
      </c>
    </row>
    <row r="1683" spans="1:18">
      <c r="A1683" s="2" t="s">
        <v>5990</v>
      </c>
      <c r="B1683" s="2" t="s">
        <v>1701</v>
      </c>
      <c r="C1683" s="1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  <c r="L1683" s="2" t="s">
        <v>11029</v>
      </c>
      <c r="M1683" s="2" t="s">
        <v>11028</v>
      </c>
      <c r="N1683" s="2" t="s">
        <v>11038</v>
      </c>
      <c r="O1683" s="2" t="s">
        <v>11037</v>
      </c>
      <c r="P1683" s="2" t="s">
        <v>11037</v>
      </c>
      <c r="Q1683" s="2">
        <f>AVERAGE(PerfRate[[#This Row],[EnvironmentSatisfaction]],PerfRate[[#This Row],[JobSatisfaction]],PerfRate[[#This Row],[RelationshipSatisfaction]])</f>
        <v>4.333333333333333</v>
      </c>
      <c r="R1683" s="2">
        <f>PerfRate[[#This Row],[ManagerRating]] - PerfRate[[#This Row],[SelfRating]]</f>
        <v>-1</v>
      </c>
    </row>
    <row r="1684" spans="1:18">
      <c r="A1684" s="2" t="s">
        <v>5991</v>
      </c>
      <c r="B1684" s="2" t="s">
        <v>2617</v>
      </c>
      <c r="C1684" s="1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  <c r="L1684" s="2" t="s">
        <v>11029</v>
      </c>
      <c r="M1684" s="2" t="s">
        <v>11029</v>
      </c>
      <c r="N1684" s="2" t="s">
        <v>11037</v>
      </c>
      <c r="O1684" s="2" t="s">
        <v>11037</v>
      </c>
      <c r="P1684" s="2" t="s">
        <v>11037</v>
      </c>
      <c r="Q1684" s="2">
        <f>AVERAGE(PerfRate[[#This Row],[EnvironmentSatisfaction]],PerfRate[[#This Row],[JobSatisfaction]],PerfRate[[#This Row],[RelationshipSatisfaction]])</f>
        <v>4</v>
      </c>
      <c r="R1684" s="2">
        <f>PerfRate[[#This Row],[ManagerRating]] - PerfRate[[#This Row],[SelfRating]]</f>
        <v>0</v>
      </c>
    </row>
    <row r="1685" spans="1:18">
      <c r="A1685" s="2" t="s">
        <v>5992</v>
      </c>
      <c r="B1685" s="2" t="s">
        <v>2581</v>
      </c>
      <c r="C1685" s="1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  <c r="L1685" s="2" t="s">
        <v>11030</v>
      </c>
      <c r="M1685" s="2" t="s">
        <v>11030</v>
      </c>
      <c r="N1685" s="2" t="s">
        <v>11038</v>
      </c>
      <c r="O1685" s="2" t="s">
        <v>11037</v>
      </c>
      <c r="P1685" s="2" t="s">
        <v>11035</v>
      </c>
      <c r="Q1685" s="2">
        <f>AVERAGE(PerfRate[[#This Row],[EnvironmentSatisfaction]],PerfRate[[#This Row],[JobSatisfaction]],PerfRate[[#This Row],[RelationshipSatisfaction]])</f>
        <v>3.6666666666666665</v>
      </c>
      <c r="R1685" s="2">
        <f>PerfRate[[#This Row],[ManagerRating]] - PerfRate[[#This Row],[SelfRating]]</f>
        <v>0</v>
      </c>
    </row>
    <row r="1686" spans="1:18">
      <c r="A1686" s="2" t="s">
        <v>5993</v>
      </c>
      <c r="B1686" s="2" t="s">
        <v>1280</v>
      </c>
      <c r="C1686" s="1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  <c r="L1686" s="2" t="s">
        <v>11030</v>
      </c>
      <c r="M1686" s="2" t="s">
        <v>11030</v>
      </c>
      <c r="N1686" s="2" t="s">
        <v>11037</v>
      </c>
      <c r="O1686" s="2" t="s">
        <v>11037</v>
      </c>
      <c r="P1686" s="2" t="s">
        <v>11038</v>
      </c>
      <c r="Q1686" s="2">
        <f>AVERAGE(PerfRate[[#This Row],[EnvironmentSatisfaction]],PerfRate[[#This Row],[JobSatisfaction]],PerfRate[[#This Row],[RelationshipSatisfaction]])</f>
        <v>4.333333333333333</v>
      </c>
      <c r="R1686" s="2">
        <f>PerfRate[[#This Row],[ManagerRating]] - PerfRate[[#This Row],[SelfRating]]</f>
        <v>0</v>
      </c>
    </row>
    <row r="1687" spans="1:18">
      <c r="A1687" s="2" t="s">
        <v>5994</v>
      </c>
      <c r="B1687" s="2" t="s">
        <v>1102</v>
      </c>
      <c r="C1687" s="1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  <c r="L1687" s="2" t="s">
        <v>11031</v>
      </c>
      <c r="M1687" s="2" t="s">
        <v>11031</v>
      </c>
      <c r="N1687" s="2" t="s">
        <v>11036</v>
      </c>
      <c r="O1687" s="2" t="s">
        <v>11036</v>
      </c>
      <c r="P1687" s="2" t="s">
        <v>11036</v>
      </c>
      <c r="Q1687" s="2">
        <f>AVERAGE(PerfRate[[#This Row],[EnvironmentSatisfaction]],PerfRate[[#This Row],[JobSatisfaction]],PerfRate[[#This Row],[RelationshipSatisfaction]])</f>
        <v>3</v>
      </c>
      <c r="R1687" s="2">
        <f>PerfRate[[#This Row],[ManagerRating]] - PerfRate[[#This Row],[SelfRating]]</f>
        <v>0</v>
      </c>
    </row>
    <row r="1688" spans="1:18">
      <c r="A1688" s="2" t="s">
        <v>5995</v>
      </c>
      <c r="B1688" s="2" t="s">
        <v>2605</v>
      </c>
      <c r="C1688" s="1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  <c r="L1688" s="2" t="s">
        <v>11029</v>
      </c>
      <c r="M1688" s="2" t="s">
        <v>11029</v>
      </c>
      <c r="N1688" s="2" t="s">
        <v>11038</v>
      </c>
      <c r="O1688" s="2" t="s">
        <v>11037</v>
      </c>
      <c r="P1688" s="2" t="s">
        <v>11035</v>
      </c>
      <c r="Q1688" s="2">
        <f>AVERAGE(PerfRate[[#This Row],[EnvironmentSatisfaction]],PerfRate[[#This Row],[JobSatisfaction]],PerfRate[[#This Row],[RelationshipSatisfaction]])</f>
        <v>3.6666666666666665</v>
      </c>
      <c r="R1688" s="2">
        <f>PerfRate[[#This Row],[ManagerRating]] - PerfRate[[#This Row],[SelfRating]]</f>
        <v>0</v>
      </c>
    </row>
    <row r="1689" spans="1:18">
      <c r="A1689" s="2" t="s">
        <v>5996</v>
      </c>
      <c r="B1689" s="2" t="s">
        <v>2721</v>
      </c>
      <c r="C1689" s="1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  <c r="L1689" s="2" t="s">
        <v>11031</v>
      </c>
      <c r="M1689" s="2" t="s">
        <v>11031</v>
      </c>
      <c r="N1689" s="2" t="s">
        <v>11037</v>
      </c>
      <c r="O1689" s="2" t="s">
        <v>11036</v>
      </c>
      <c r="P1689" s="2" t="s">
        <v>11037</v>
      </c>
      <c r="Q1689" s="2">
        <f>AVERAGE(PerfRate[[#This Row],[EnvironmentSatisfaction]],PerfRate[[#This Row],[JobSatisfaction]],PerfRate[[#This Row],[RelationshipSatisfaction]])</f>
        <v>3.6666666666666665</v>
      </c>
      <c r="R1689" s="2">
        <f>PerfRate[[#This Row],[ManagerRating]] - PerfRate[[#This Row],[SelfRating]]</f>
        <v>0</v>
      </c>
    </row>
    <row r="1690" spans="1:18">
      <c r="A1690" s="2" t="s">
        <v>5997</v>
      </c>
      <c r="B1690" s="2" t="s">
        <v>514</v>
      </c>
      <c r="C1690" s="1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  <c r="L1690" s="2" t="s">
        <v>11029</v>
      </c>
      <c r="M1690" s="2" t="s">
        <v>11029</v>
      </c>
      <c r="N1690" s="2" t="s">
        <v>11038</v>
      </c>
      <c r="O1690" s="2" t="s">
        <v>11037</v>
      </c>
      <c r="P1690" s="2" t="s">
        <v>11035</v>
      </c>
      <c r="Q1690" s="2">
        <f>AVERAGE(PerfRate[[#This Row],[EnvironmentSatisfaction]],PerfRate[[#This Row],[JobSatisfaction]],PerfRate[[#This Row],[RelationshipSatisfaction]])</f>
        <v>3.6666666666666665</v>
      </c>
      <c r="R1690" s="2">
        <f>PerfRate[[#This Row],[ManagerRating]] - PerfRate[[#This Row],[SelfRating]]</f>
        <v>0</v>
      </c>
    </row>
    <row r="1691" spans="1:18">
      <c r="A1691" s="2" t="s">
        <v>5998</v>
      </c>
      <c r="B1691" s="2" t="s">
        <v>3510</v>
      </c>
      <c r="C1691" s="1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  <c r="L1691" s="2" t="s">
        <v>11030</v>
      </c>
      <c r="M1691" s="2" t="s">
        <v>11030</v>
      </c>
      <c r="N1691" s="2" t="s">
        <v>11036</v>
      </c>
      <c r="O1691" s="2" t="s">
        <v>11035</v>
      </c>
      <c r="P1691" s="2" t="s">
        <v>11036</v>
      </c>
      <c r="Q1691" s="2">
        <f>AVERAGE(PerfRate[[#This Row],[EnvironmentSatisfaction]],PerfRate[[#This Row],[JobSatisfaction]],PerfRate[[#This Row],[RelationshipSatisfaction]])</f>
        <v>2.6666666666666665</v>
      </c>
      <c r="R1691" s="2">
        <f>PerfRate[[#This Row],[ManagerRating]] - PerfRate[[#This Row],[SelfRating]]</f>
        <v>0</v>
      </c>
    </row>
    <row r="1692" spans="1:18">
      <c r="A1692" s="2" t="s">
        <v>5999</v>
      </c>
      <c r="B1692" s="2" t="s">
        <v>592</v>
      </c>
      <c r="C1692" s="1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  <c r="L1692" s="2" t="s">
        <v>11031</v>
      </c>
      <c r="M1692" s="2" t="s">
        <v>11030</v>
      </c>
      <c r="N1692" s="2" t="s">
        <v>11037</v>
      </c>
      <c r="O1692" s="2" t="s">
        <v>11037</v>
      </c>
      <c r="P1692" s="2" t="s">
        <v>11035</v>
      </c>
      <c r="Q1692" s="2">
        <f>AVERAGE(PerfRate[[#This Row],[EnvironmentSatisfaction]],PerfRate[[#This Row],[JobSatisfaction]],PerfRate[[#This Row],[RelationshipSatisfaction]])</f>
        <v>3.3333333333333335</v>
      </c>
      <c r="R1692" s="2">
        <f>PerfRate[[#This Row],[ManagerRating]] - PerfRate[[#This Row],[SelfRating]]</f>
        <v>-1</v>
      </c>
    </row>
    <row r="1693" spans="1:18">
      <c r="A1693" s="2" t="s">
        <v>6000</v>
      </c>
      <c r="B1693" s="2" t="s">
        <v>1575</v>
      </c>
      <c r="C1693" s="1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  <c r="L1693" s="2" t="s">
        <v>11030</v>
      </c>
      <c r="M1693" s="2" t="s">
        <v>11029</v>
      </c>
      <c r="N1693" s="2" t="s">
        <v>11038</v>
      </c>
      <c r="O1693" s="2" t="s">
        <v>11037</v>
      </c>
      <c r="P1693" s="2" t="s">
        <v>11036</v>
      </c>
      <c r="Q1693" s="2">
        <f>AVERAGE(PerfRate[[#This Row],[EnvironmentSatisfaction]],PerfRate[[#This Row],[JobSatisfaction]],PerfRate[[#This Row],[RelationshipSatisfaction]])</f>
        <v>4</v>
      </c>
      <c r="R1693" s="2">
        <f>PerfRate[[#This Row],[ManagerRating]] - PerfRate[[#This Row],[SelfRating]]</f>
        <v>-1</v>
      </c>
    </row>
    <row r="1694" spans="1:18">
      <c r="A1694" s="2" t="s">
        <v>6001</v>
      </c>
      <c r="B1694" s="2" t="s">
        <v>1471</v>
      </c>
      <c r="C1694" s="1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  <c r="L1694" s="2" t="s">
        <v>11031</v>
      </c>
      <c r="M1694" s="2" t="s">
        <v>11030</v>
      </c>
      <c r="N1694" s="2" t="s">
        <v>11036</v>
      </c>
      <c r="O1694" s="2" t="s">
        <v>11035</v>
      </c>
      <c r="P1694" s="2" t="s">
        <v>11036</v>
      </c>
      <c r="Q1694" s="2">
        <f>AVERAGE(PerfRate[[#This Row],[EnvironmentSatisfaction]],PerfRate[[#This Row],[JobSatisfaction]],PerfRate[[#This Row],[RelationshipSatisfaction]])</f>
        <v>2.6666666666666665</v>
      </c>
      <c r="R1694" s="2">
        <f>PerfRate[[#This Row],[ManagerRating]] - PerfRate[[#This Row],[SelfRating]]</f>
        <v>-1</v>
      </c>
    </row>
    <row r="1695" spans="1:18">
      <c r="A1695" s="2" t="s">
        <v>6002</v>
      </c>
      <c r="B1695" s="2" t="s">
        <v>3341</v>
      </c>
      <c r="C1695" s="1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  <c r="L1695" s="2" t="s">
        <v>11031</v>
      </c>
      <c r="M1695" s="2" t="s">
        <v>11030</v>
      </c>
      <c r="N1695" s="2" t="s">
        <v>11037</v>
      </c>
      <c r="O1695" s="2" t="s">
        <v>11037</v>
      </c>
      <c r="P1695" s="2" t="s">
        <v>11035</v>
      </c>
      <c r="Q1695" s="2">
        <f>AVERAGE(PerfRate[[#This Row],[EnvironmentSatisfaction]],PerfRate[[#This Row],[JobSatisfaction]],PerfRate[[#This Row],[RelationshipSatisfaction]])</f>
        <v>3.3333333333333335</v>
      </c>
      <c r="R1695" s="2">
        <f>PerfRate[[#This Row],[ManagerRating]] - PerfRate[[#This Row],[SelfRating]]</f>
        <v>-1</v>
      </c>
    </row>
    <row r="1696" spans="1:18">
      <c r="A1696" s="2" t="s">
        <v>6003</v>
      </c>
      <c r="B1696" s="2" t="s">
        <v>356</v>
      </c>
      <c r="C1696" s="1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  <c r="L1696" s="2" t="s">
        <v>11031</v>
      </c>
      <c r="M1696" s="2" t="s">
        <v>11031</v>
      </c>
      <c r="N1696" s="2" t="s">
        <v>11038</v>
      </c>
      <c r="O1696" s="2" t="s">
        <v>11037</v>
      </c>
      <c r="P1696" s="2" t="s">
        <v>11036</v>
      </c>
      <c r="Q1696" s="2">
        <f>AVERAGE(PerfRate[[#This Row],[EnvironmentSatisfaction]],PerfRate[[#This Row],[JobSatisfaction]],PerfRate[[#This Row],[RelationshipSatisfaction]])</f>
        <v>4</v>
      </c>
      <c r="R1696" s="2">
        <f>PerfRate[[#This Row],[ManagerRating]] - PerfRate[[#This Row],[SelfRating]]</f>
        <v>0</v>
      </c>
    </row>
    <row r="1697" spans="1:18">
      <c r="A1697" s="2" t="s">
        <v>6004</v>
      </c>
      <c r="B1697" s="2" t="s">
        <v>863</v>
      </c>
      <c r="C1697" s="1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  <c r="L1697" s="2" t="s">
        <v>11029</v>
      </c>
      <c r="M1697" s="2" t="s">
        <v>11028</v>
      </c>
      <c r="N1697" s="2" t="s">
        <v>11036</v>
      </c>
      <c r="O1697" s="2" t="s">
        <v>11037</v>
      </c>
      <c r="P1697" s="2" t="s">
        <v>11037</v>
      </c>
      <c r="Q1697" s="2">
        <f>AVERAGE(PerfRate[[#This Row],[EnvironmentSatisfaction]],PerfRate[[#This Row],[JobSatisfaction]],PerfRate[[#This Row],[RelationshipSatisfaction]])</f>
        <v>3.6666666666666665</v>
      </c>
      <c r="R1697" s="2">
        <f>PerfRate[[#This Row],[ManagerRating]] - PerfRate[[#This Row],[SelfRating]]</f>
        <v>-1</v>
      </c>
    </row>
    <row r="1698" spans="1:18">
      <c r="A1698" s="2" t="s">
        <v>6005</v>
      </c>
      <c r="B1698" s="2" t="s">
        <v>1362</v>
      </c>
      <c r="C1698" s="1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  <c r="L1698" s="2" t="s">
        <v>11030</v>
      </c>
      <c r="M1698" s="2" t="s">
        <v>11029</v>
      </c>
      <c r="N1698" s="2" t="s">
        <v>11036</v>
      </c>
      <c r="O1698" s="2" t="s">
        <v>11036</v>
      </c>
      <c r="P1698" s="2" t="s">
        <v>11037</v>
      </c>
      <c r="Q1698" s="2">
        <f>AVERAGE(PerfRate[[#This Row],[EnvironmentSatisfaction]],PerfRate[[#This Row],[JobSatisfaction]],PerfRate[[#This Row],[RelationshipSatisfaction]])</f>
        <v>3.3333333333333335</v>
      </c>
      <c r="R1698" s="2">
        <f>PerfRate[[#This Row],[ManagerRating]] - PerfRate[[#This Row],[SelfRating]]</f>
        <v>-1</v>
      </c>
    </row>
    <row r="1699" spans="1:18">
      <c r="A1699" s="2" t="s">
        <v>6006</v>
      </c>
      <c r="B1699" s="2" t="s">
        <v>586</v>
      </c>
      <c r="C1699" s="1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  <c r="L1699" s="2" t="s">
        <v>11030</v>
      </c>
      <c r="M1699" s="2" t="s">
        <v>11029</v>
      </c>
      <c r="N1699" s="2" t="s">
        <v>11036</v>
      </c>
      <c r="O1699" s="2" t="s">
        <v>11035</v>
      </c>
      <c r="P1699" s="2" t="s">
        <v>11035</v>
      </c>
      <c r="Q1699" s="2">
        <f>AVERAGE(PerfRate[[#This Row],[EnvironmentSatisfaction]],PerfRate[[#This Row],[JobSatisfaction]],PerfRate[[#This Row],[RelationshipSatisfaction]])</f>
        <v>2.3333333333333335</v>
      </c>
      <c r="R1699" s="2">
        <f>PerfRate[[#This Row],[ManagerRating]] - PerfRate[[#This Row],[SelfRating]]</f>
        <v>-1</v>
      </c>
    </row>
    <row r="1700" spans="1:18">
      <c r="A1700" s="2" t="s">
        <v>6007</v>
      </c>
      <c r="B1700" s="2" t="s">
        <v>544</v>
      </c>
      <c r="C1700" s="1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  <c r="L1700" s="2" t="s">
        <v>11029</v>
      </c>
      <c r="M1700" s="2" t="s">
        <v>11028</v>
      </c>
      <c r="N1700" s="2" t="s">
        <v>11038</v>
      </c>
      <c r="O1700" s="2" t="s">
        <v>11038</v>
      </c>
      <c r="P1700" s="2" t="s">
        <v>11036</v>
      </c>
      <c r="Q1700" s="2">
        <f>AVERAGE(PerfRate[[#This Row],[EnvironmentSatisfaction]],PerfRate[[#This Row],[JobSatisfaction]],PerfRate[[#This Row],[RelationshipSatisfaction]])</f>
        <v>4.333333333333333</v>
      </c>
      <c r="R1700" s="2">
        <f>PerfRate[[#This Row],[ManagerRating]] - PerfRate[[#This Row],[SelfRating]]</f>
        <v>-1</v>
      </c>
    </row>
    <row r="1701" spans="1:18">
      <c r="A1701" s="2" t="s">
        <v>6008</v>
      </c>
      <c r="B1701" s="2" t="s">
        <v>1212</v>
      </c>
      <c r="C1701" s="1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  <c r="L1701" s="2" t="s">
        <v>11031</v>
      </c>
      <c r="M1701" s="2" t="s">
        <v>11031</v>
      </c>
      <c r="N1701" s="2" t="s">
        <v>11037</v>
      </c>
      <c r="O1701" s="2" t="s">
        <v>11036</v>
      </c>
      <c r="P1701" s="2" t="s">
        <v>11036</v>
      </c>
      <c r="Q1701" s="2">
        <f>AVERAGE(PerfRate[[#This Row],[EnvironmentSatisfaction]],PerfRate[[#This Row],[JobSatisfaction]],PerfRate[[#This Row],[RelationshipSatisfaction]])</f>
        <v>3.3333333333333335</v>
      </c>
      <c r="R1701" s="2">
        <f>PerfRate[[#This Row],[ManagerRating]] - PerfRate[[#This Row],[SelfRating]]</f>
        <v>0</v>
      </c>
    </row>
    <row r="1702" spans="1:18">
      <c r="A1702" s="2" t="s">
        <v>6009</v>
      </c>
      <c r="B1702" s="2" t="s">
        <v>4032</v>
      </c>
      <c r="C1702" s="1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  <c r="L1702" s="2" t="s">
        <v>11029</v>
      </c>
      <c r="M1702" s="2" t="s">
        <v>11028</v>
      </c>
      <c r="N1702" s="2" t="s">
        <v>11038</v>
      </c>
      <c r="O1702" s="2" t="s">
        <v>11038</v>
      </c>
      <c r="P1702" s="2" t="s">
        <v>11036</v>
      </c>
      <c r="Q1702" s="2">
        <f>AVERAGE(PerfRate[[#This Row],[EnvironmentSatisfaction]],PerfRate[[#This Row],[JobSatisfaction]],PerfRate[[#This Row],[RelationshipSatisfaction]])</f>
        <v>4.333333333333333</v>
      </c>
      <c r="R1702" s="2">
        <f>PerfRate[[#This Row],[ManagerRating]] - PerfRate[[#This Row],[SelfRating]]</f>
        <v>-1</v>
      </c>
    </row>
    <row r="1703" spans="1:18">
      <c r="A1703" s="2" t="s">
        <v>6010</v>
      </c>
      <c r="B1703" s="2" t="s">
        <v>1660</v>
      </c>
      <c r="C1703" s="1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  <c r="L1703" s="2" t="s">
        <v>11030</v>
      </c>
      <c r="M1703" s="2" t="s">
        <v>11029</v>
      </c>
      <c r="N1703" s="2" t="s">
        <v>11038</v>
      </c>
      <c r="O1703" s="2" t="s">
        <v>11035</v>
      </c>
      <c r="P1703" s="2" t="s">
        <v>11035</v>
      </c>
      <c r="Q1703" s="2">
        <f>AVERAGE(PerfRate[[#This Row],[EnvironmentSatisfaction]],PerfRate[[#This Row],[JobSatisfaction]],PerfRate[[#This Row],[RelationshipSatisfaction]])</f>
        <v>3</v>
      </c>
      <c r="R1703" s="2">
        <f>PerfRate[[#This Row],[ManagerRating]] - PerfRate[[#This Row],[SelfRating]]</f>
        <v>-1</v>
      </c>
    </row>
    <row r="1704" spans="1:18">
      <c r="A1704" s="2" t="s">
        <v>6011</v>
      </c>
      <c r="B1704" s="2" t="s">
        <v>1468</v>
      </c>
      <c r="C1704" s="1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  <c r="L1704" s="2" t="s">
        <v>11031</v>
      </c>
      <c r="M1704" s="2" t="s">
        <v>11031</v>
      </c>
      <c r="N1704" s="2" t="s">
        <v>11036</v>
      </c>
      <c r="O1704" s="2" t="s">
        <v>11037</v>
      </c>
      <c r="P1704" s="2" t="s">
        <v>11035</v>
      </c>
      <c r="Q1704" s="2">
        <f>AVERAGE(PerfRate[[#This Row],[EnvironmentSatisfaction]],PerfRate[[#This Row],[JobSatisfaction]],PerfRate[[#This Row],[RelationshipSatisfaction]])</f>
        <v>3</v>
      </c>
      <c r="R1704" s="2">
        <f>PerfRate[[#This Row],[ManagerRating]] - PerfRate[[#This Row],[SelfRating]]</f>
        <v>0</v>
      </c>
    </row>
    <row r="1705" spans="1:18">
      <c r="A1705" s="2" t="s">
        <v>6012</v>
      </c>
      <c r="B1705" s="2" t="s">
        <v>2767</v>
      </c>
      <c r="C1705" s="1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  <c r="L1705" s="2" t="s">
        <v>11030</v>
      </c>
      <c r="M1705" s="2" t="s">
        <v>11030</v>
      </c>
      <c r="N1705" s="2" t="s">
        <v>11037</v>
      </c>
      <c r="O1705" s="2" t="s">
        <v>11037</v>
      </c>
      <c r="P1705" s="2" t="s">
        <v>11037</v>
      </c>
      <c r="Q1705" s="2">
        <f>AVERAGE(PerfRate[[#This Row],[EnvironmentSatisfaction]],PerfRate[[#This Row],[JobSatisfaction]],PerfRate[[#This Row],[RelationshipSatisfaction]])</f>
        <v>4</v>
      </c>
      <c r="R1705" s="2">
        <f>PerfRate[[#This Row],[ManagerRating]] - PerfRate[[#This Row],[SelfRating]]</f>
        <v>0</v>
      </c>
    </row>
    <row r="1706" spans="1:18">
      <c r="A1706" s="2" t="s">
        <v>6013</v>
      </c>
      <c r="B1706" s="2" t="s">
        <v>1602</v>
      </c>
      <c r="C1706" s="1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  <c r="L1706" s="2" t="s">
        <v>11031</v>
      </c>
      <c r="M1706" s="2" t="s">
        <v>11030</v>
      </c>
      <c r="N1706" s="2" t="s">
        <v>11037</v>
      </c>
      <c r="O1706" s="2" t="s">
        <v>11038</v>
      </c>
      <c r="P1706" s="2" t="s">
        <v>11037</v>
      </c>
      <c r="Q1706" s="2">
        <f>AVERAGE(PerfRate[[#This Row],[EnvironmentSatisfaction]],PerfRate[[#This Row],[JobSatisfaction]],PerfRate[[#This Row],[RelationshipSatisfaction]])</f>
        <v>4.333333333333333</v>
      </c>
      <c r="R1706" s="2">
        <f>PerfRate[[#This Row],[ManagerRating]] - PerfRate[[#This Row],[SelfRating]]</f>
        <v>-1</v>
      </c>
    </row>
    <row r="1707" spans="1:18">
      <c r="A1707" s="2" t="s">
        <v>6014</v>
      </c>
      <c r="B1707" s="2" t="s">
        <v>976</v>
      </c>
      <c r="C1707" s="1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  <c r="L1707" s="2" t="s">
        <v>11031</v>
      </c>
      <c r="M1707" s="2" t="s">
        <v>11031</v>
      </c>
      <c r="N1707" s="2" t="s">
        <v>11036</v>
      </c>
      <c r="O1707" s="2" t="s">
        <v>11035</v>
      </c>
      <c r="P1707" s="2" t="s">
        <v>11035</v>
      </c>
      <c r="Q1707" s="2">
        <f>AVERAGE(PerfRate[[#This Row],[EnvironmentSatisfaction]],PerfRate[[#This Row],[JobSatisfaction]],PerfRate[[#This Row],[RelationshipSatisfaction]])</f>
        <v>2.3333333333333335</v>
      </c>
      <c r="R1707" s="2">
        <f>PerfRate[[#This Row],[ManagerRating]] - PerfRate[[#This Row],[SelfRating]]</f>
        <v>0</v>
      </c>
    </row>
    <row r="1708" spans="1:18">
      <c r="A1708" s="2" t="s">
        <v>6015</v>
      </c>
      <c r="B1708" s="2" t="s">
        <v>1578</v>
      </c>
      <c r="C1708" s="1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  <c r="L1708" s="2" t="s">
        <v>11031</v>
      </c>
      <c r="M1708" s="2" t="s">
        <v>11030</v>
      </c>
      <c r="N1708" s="2" t="s">
        <v>11037</v>
      </c>
      <c r="O1708" s="2" t="s">
        <v>11035</v>
      </c>
      <c r="P1708" s="2" t="s">
        <v>11037</v>
      </c>
      <c r="Q1708" s="2">
        <f>AVERAGE(PerfRate[[#This Row],[EnvironmentSatisfaction]],PerfRate[[#This Row],[JobSatisfaction]],PerfRate[[#This Row],[RelationshipSatisfaction]])</f>
        <v>3.3333333333333335</v>
      </c>
      <c r="R1708" s="2">
        <f>PerfRate[[#This Row],[ManagerRating]] - PerfRate[[#This Row],[SelfRating]]</f>
        <v>-1</v>
      </c>
    </row>
    <row r="1709" spans="1:18">
      <c r="A1709" s="2" t="s">
        <v>6016</v>
      </c>
      <c r="B1709" s="2" t="s">
        <v>782</v>
      </c>
      <c r="C1709" s="1">
        <v>43109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  <c r="L1709" s="2" t="s">
        <v>11031</v>
      </c>
      <c r="M1709" s="2" t="s">
        <v>11031</v>
      </c>
      <c r="N1709" s="2" t="s">
        <v>11038</v>
      </c>
      <c r="O1709" s="2" t="s">
        <v>11037</v>
      </c>
      <c r="P1709" s="2" t="s">
        <v>11037</v>
      </c>
      <c r="Q1709" s="2">
        <f>AVERAGE(PerfRate[[#This Row],[EnvironmentSatisfaction]],PerfRate[[#This Row],[JobSatisfaction]],PerfRate[[#This Row],[RelationshipSatisfaction]])</f>
        <v>4.333333333333333</v>
      </c>
      <c r="R1709" s="2">
        <f>PerfRate[[#This Row],[ManagerRating]] - PerfRate[[#This Row],[SelfRating]]</f>
        <v>0</v>
      </c>
    </row>
    <row r="1710" spans="1:18">
      <c r="A1710" s="2" t="s">
        <v>6017</v>
      </c>
      <c r="B1710" s="2" t="s">
        <v>826</v>
      </c>
      <c r="C1710" s="1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  <c r="L1710" s="2" t="s">
        <v>11030</v>
      </c>
      <c r="M1710" s="2" t="s">
        <v>11029</v>
      </c>
      <c r="N1710" s="2" t="s">
        <v>11036</v>
      </c>
      <c r="O1710" s="2" t="s">
        <v>11035</v>
      </c>
      <c r="P1710" s="2" t="s">
        <v>11035</v>
      </c>
      <c r="Q1710" s="2">
        <f>AVERAGE(PerfRate[[#This Row],[EnvironmentSatisfaction]],PerfRate[[#This Row],[JobSatisfaction]],PerfRate[[#This Row],[RelationshipSatisfaction]])</f>
        <v>2.3333333333333335</v>
      </c>
      <c r="R1710" s="2">
        <f>PerfRate[[#This Row],[ManagerRating]] - PerfRate[[#This Row],[SelfRating]]</f>
        <v>-1</v>
      </c>
    </row>
    <row r="1711" spans="1:18">
      <c r="A1711" s="2" t="s">
        <v>6018</v>
      </c>
      <c r="B1711" s="2" t="s">
        <v>1680</v>
      </c>
      <c r="C1711" s="1">
        <v>43109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  <c r="L1711" s="2" t="s">
        <v>11029</v>
      </c>
      <c r="M1711" s="2" t="s">
        <v>11029</v>
      </c>
      <c r="N1711" s="2" t="s">
        <v>11037</v>
      </c>
      <c r="O1711" s="2" t="s">
        <v>11037</v>
      </c>
      <c r="P1711" s="2" t="s">
        <v>11035</v>
      </c>
      <c r="Q1711" s="2">
        <f>AVERAGE(PerfRate[[#This Row],[EnvironmentSatisfaction]],PerfRate[[#This Row],[JobSatisfaction]],PerfRate[[#This Row],[RelationshipSatisfaction]])</f>
        <v>3.3333333333333335</v>
      </c>
      <c r="R1711" s="2">
        <f>PerfRate[[#This Row],[ManagerRating]] - PerfRate[[#This Row],[SelfRating]]</f>
        <v>0</v>
      </c>
    </row>
    <row r="1712" spans="1:18">
      <c r="A1712" s="2" t="s">
        <v>6019</v>
      </c>
      <c r="B1712" s="2" t="s">
        <v>2533</v>
      </c>
      <c r="C1712" s="1">
        <v>43140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  <c r="L1712" s="2" t="s">
        <v>11031</v>
      </c>
      <c r="M1712" s="2" t="s">
        <v>11030</v>
      </c>
      <c r="N1712" s="2" t="s">
        <v>11038</v>
      </c>
      <c r="O1712" s="2" t="s">
        <v>11036</v>
      </c>
      <c r="P1712" s="2" t="s">
        <v>11038</v>
      </c>
      <c r="Q1712" s="2">
        <f>AVERAGE(PerfRate[[#This Row],[EnvironmentSatisfaction]],PerfRate[[#This Row],[JobSatisfaction]],PerfRate[[#This Row],[RelationshipSatisfaction]])</f>
        <v>4.333333333333333</v>
      </c>
      <c r="R1712" s="2">
        <f>PerfRate[[#This Row],[ManagerRating]] - PerfRate[[#This Row],[SelfRating]]</f>
        <v>-1</v>
      </c>
    </row>
    <row r="1713" spans="1:18">
      <c r="A1713" s="2" t="s">
        <v>6020</v>
      </c>
      <c r="B1713" s="2" t="s">
        <v>847</v>
      </c>
      <c r="C1713" s="1">
        <v>43140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  <c r="L1713" s="2" t="s">
        <v>11030</v>
      </c>
      <c r="M1713" s="2" t="s">
        <v>11030</v>
      </c>
      <c r="N1713" s="2" t="s">
        <v>11036</v>
      </c>
      <c r="O1713" s="2" t="s">
        <v>11037</v>
      </c>
      <c r="P1713" s="2" t="s">
        <v>11036</v>
      </c>
      <c r="Q1713" s="2">
        <f>AVERAGE(PerfRate[[#This Row],[EnvironmentSatisfaction]],PerfRate[[#This Row],[JobSatisfaction]],PerfRate[[#This Row],[RelationshipSatisfaction]])</f>
        <v>3.3333333333333335</v>
      </c>
      <c r="R1713" s="2">
        <f>PerfRate[[#This Row],[ManagerRating]] - PerfRate[[#This Row],[SelfRating]]</f>
        <v>0</v>
      </c>
    </row>
    <row r="1714" spans="1:18">
      <c r="A1714" s="2" t="s">
        <v>6021</v>
      </c>
      <c r="B1714" s="2" t="s">
        <v>886</v>
      </c>
      <c r="C1714" s="1">
        <v>43168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  <c r="L1714" s="2" t="s">
        <v>11031</v>
      </c>
      <c r="M1714" s="2" t="s">
        <v>11031</v>
      </c>
      <c r="N1714" s="2" t="s">
        <v>11036</v>
      </c>
      <c r="O1714" s="2" t="s">
        <v>11037</v>
      </c>
      <c r="P1714" s="2" t="s">
        <v>11036</v>
      </c>
      <c r="Q1714" s="2">
        <f>AVERAGE(PerfRate[[#This Row],[EnvironmentSatisfaction]],PerfRate[[#This Row],[JobSatisfaction]],PerfRate[[#This Row],[RelationshipSatisfaction]])</f>
        <v>3.3333333333333335</v>
      </c>
      <c r="R1714" s="2">
        <f>PerfRate[[#This Row],[ManagerRating]] - PerfRate[[#This Row],[SelfRating]]</f>
        <v>0</v>
      </c>
    </row>
    <row r="1715" spans="1:18">
      <c r="A1715" s="2" t="s">
        <v>6022</v>
      </c>
      <c r="B1715" s="2" t="s">
        <v>1232</v>
      </c>
      <c r="C1715" s="1">
        <v>43168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  <c r="L1715" s="2" t="s">
        <v>11030</v>
      </c>
      <c r="M1715" s="2" t="s">
        <v>11029</v>
      </c>
      <c r="N1715" s="2" t="s">
        <v>11038</v>
      </c>
      <c r="O1715" s="2" t="s">
        <v>11038</v>
      </c>
      <c r="P1715" s="2" t="s">
        <v>11036</v>
      </c>
      <c r="Q1715" s="2">
        <f>AVERAGE(PerfRate[[#This Row],[EnvironmentSatisfaction]],PerfRate[[#This Row],[JobSatisfaction]],PerfRate[[#This Row],[RelationshipSatisfaction]])</f>
        <v>4.333333333333333</v>
      </c>
      <c r="R1715" s="2">
        <f>PerfRate[[#This Row],[ManagerRating]] - PerfRate[[#This Row],[SelfRating]]</f>
        <v>-1</v>
      </c>
    </row>
    <row r="1716" spans="1:18">
      <c r="A1716" s="2" t="s">
        <v>6023</v>
      </c>
      <c r="B1716" s="2" t="s">
        <v>4222</v>
      </c>
      <c r="C1716" s="1">
        <v>43199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  <c r="L1716" s="2" t="s">
        <v>11029</v>
      </c>
      <c r="M1716" s="2" t="s">
        <v>11029</v>
      </c>
      <c r="N1716" s="2" t="s">
        <v>11036</v>
      </c>
      <c r="O1716" s="2" t="s">
        <v>11036</v>
      </c>
      <c r="P1716" s="2" t="s">
        <v>11036</v>
      </c>
      <c r="Q1716" s="2">
        <f>AVERAGE(PerfRate[[#This Row],[EnvironmentSatisfaction]],PerfRate[[#This Row],[JobSatisfaction]],PerfRate[[#This Row],[RelationshipSatisfaction]])</f>
        <v>3</v>
      </c>
      <c r="R1716" s="2">
        <f>PerfRate[[#This Row],[ManagerRating]] - PerfRate[[#This Row],[SelfRating]]</f>
        <v>0</v>
      </c>
    </row>
    <row r="1717" spans="1:18">
      <c r="A1717" s="2" t="s">
        <v>6024</v>
      </c>
      <c r="B1717" s="2" t="s">
        <v>1563</v>
      </c>
      <c r="C1717" s="1">
        <v>43199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  <c r="L1717" s="2" t="s">
        <v>11029</v>
      </c>
      <c r="M1717" s="2" t="s">
        <v>11029</v>
      </c>
      <c r="N1717" s="2" t="s">
        <v>11037</v>
      </c>
      <c r="O1717" s="2" t="s">
        <v>11037</v>
      </c>
      <c r="P1717" s="2" t="s">
        <v>11037</v>
      </c>
      <c r="Q1717" s="2">
        <f>AVERAGE(PerfRate[[#This Row],[EnvironmentSatisfaction]],PerfRate[[#This Row],[JobSatisfaction]],PerfRate[[#This Row],[RelationshipSatisfaction]])</f>
        <v>4</v>
      </c>
      <c r="R1717" s="2">
        <f>PerfRate[[#This Row],[ManagerRating]] - PerfRate[[#This Row],[SelfRating]]</f>
        <v>0</v>
      </c>
    </row>
    <row r="1718" spans="1:18">
      <c r="A1718" s="2" t="s">
        <v>6025</v>
      </c>
      <c r="B1718" s="2" t="s">
        <v>1374</v>
      </c>
      <c r="C1718" s="1">
        <v>43229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  <c r="L1718" s="2" t="s">
        <v>11031</v>
      </c>
      <c r="M1718" s="2" t="s">
        <v>11030</v>
      </c>
      <c r="N1718" s="2" t="s">
        <v>11038</v>
      </c>
      <c r="O1718" s="2" t="s">
        <v>11035</v>
      </c>
      <c r="P1718" s="2" t="s">
        <v>11035</v>
      </c>
      <c r="Q1718" s="2">
        <f>AVERAGE(PerfRate[[#This Row],[EnvironmentSatisfaction]],PerfRate[[#This Row],[JobSatisfaction]],PerfRate[[#This Row],[RelationshipSatisfaction]])</f>
        <v>3</v>
      </c>
      <c r="R1718" s="2">
        <f>PerfRate[[#This Row],[ManagerRating]] - PerfRate[[#This Row],[SelfRating]]</f>
        <v>-1</v>
      </c>
    </row>
    <row r="1719" spans="1:18">
      <c r="A1719" s="2" t="s">
        <v>6026</v>
      </c>
      <c r="B1719" s="2" t="s">
        <v>604</v>
      </c>
      <c r="C1719" s="1">
        <v>43260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  <c r="L1719" s="2" t="s">
        <v>11029</v>
      </c>
      <c r="M1719" s="2" t="s">
        <v>11029</v>
      </c>
      <c r="N1719" s="2" t="s">
        <v>11038</v>
      </c>
      <c r="O1719" s="2" t="s">
        <v>11037</v>
      </c>
      <c r="P1719" s="2" t="s">
        <v>11038</v>
      </c>
      <c r="Q1719" s="2">
        <f>AVERAGE(PerfRate[[#This Row],[EnvironmentSatisfaction]],PerfRate[[#This Row],[JobSatisfaction]],PerfRate[[#This Row],[RelationshipSatisfaction]])</f>
        <v>4.666666666666667</v>
      </c>
      <c r="R1719" s="2">
        <f>PerfRate[[#This Row],[ManagerRating]] - PerfRate[[#This Row],[SelfRating]]</f>
        <v>0</v>
      </c>
    </row>
    <row r="1720" spans="1:18">
      <c r="A1720" s="2" t="s">
        <v>6027</v>
      </c>
      <c r="B1720" s="2" t="s">
        <v>3353</v>
      </c>
      <c r="C1720" s="1">
        <v>43321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  <c r="L1720" s="2" t="s">
        <v>11031</v>
      </c>
      <c r="M1720" s="2" t="s">
        <v>11031</v>
      </c>
      <c r="N1720" s="2" t="s">
        <v>11037</v>
      </c>
      <c r="O1720" s="2" t="s">
        <v>11036</v>
      </c>
      <c r="P1720" s="2" t="s">
        <v>11035</v>
      </c>
      <c r="Q1720" s="2">
        <f>AVERAGE(PerfRate[[#This Row],[EnvironmentSatisfaction]],PerfRate[[#This Row],[JobSatisfaction]],PerfRate[[#This Row],[RelationshipSatisfaction]])</f>
        <v>3</v>
      </c>
      <c r="R1720" s="2">
        <f>PerfRate[[#This Row],[ManagerRating]] - PerfRate[[#This Row],[SelfRating]]</f>
        <v>0</v>
      </c>
    </row>
    <row r="1721" spans="1:18">
      <c r="A1721" s="2" t="s">
        <v>6028</v>
      </c>
      <c r="B1721" s="2" t="s">
        <v>362</v>
      </c>
      <c r="C1721" s="1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  <c r="L1721" s="2" t="s">
        <v>11030</v>
      </c>
      <c r="M1721" s="2" t="s">
        <v>11029</v>
      </c>
      <c r="N1721" s="2" t="s">
        <v>11037</v>
      </c>
      <c r="O1721" s="2" t="s">
        <v>11037</v>
      </c>
      <c r="P1721" s="2" t="s">
        <v>11037</v>
      </c>
      <c r="Q1721" s="2">
        <f>AVERAGE(PerfRate[[#This Row],[EnvironmentSatisfaction]],PerfRate[[#This Row],[JobSatisfaction]],PerfRate[[#This Row],[RelationshipSatisfaction]])</f>
        <v>4</v>
      </c>
      <c r="R1721" s="2">
        <f>PerfRate[[#This Row],[ManagerRating]] - PerfRate[[#This Row],[SelfRating]]</f>
        <v>-1</v>
      </c>
    </row>
    <row r="1722" spans="1:18">
      <c r="A1722" s="2" t="s">
        <v>6029</v>
      </c>
      <c r="B1722" s="2" t="s">
        <v>1377</v>
      </c>
      <c r="C1722" s="1">
        <v>43321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  <c r="L1722" s="2" t="s">
        <v>11029</v>
      </c>
      <c r="M1722" s="2" t="s">
        <v>11029</v>
      </c>
      <c r="N1722" s="2" t="s">
        <v>11038</v>
      </c>
      <c r="O1722" s="2" t="s">
        <v>11035</v>
      </c>
      <c r="P1722" s="2" t="s">
        <v>11038</v>
      </c>
      <c r="Q1722" s="2">
        <f>AVERAGE(PerfRate[[#This Row],[EnvironmentSatisfaction]],PerfRate[[#This Row],[JobSatisfaction]],PerfRate[[#This Row],[RelationshipSatisfaction]])</f>
        <v>4</v>
      </c>
      <c r="R1722" s="2">
        <f>PerfRate[[#This Row],[ManagerRating]] - PerfRate[[#This Row],[SelfRating]]</f>
        <v>0</v>
      </c>
    </row>
    <row r="1723" spans="1:18">
      <c r="A1723" s="2" t="s">
        <v>6030</v>
      </c>
      <c r="B1723" s="2" t="s">
        <v>1459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  <c r="L1723" s="2" t="s">
        <v>11030</v>
      </c>
      <c r="M1723" s="2" t="s">
        <v>11029</v>
      </c>
      <c r="N1723" s="2" t="s">
        <v>11036</v>
      </c>
      <c r="O1723" s="2" t="s">
        <v>11037</v>
      </c>
      <c r="P1723" s="2" t="s">
        <v>11038</v>
      </c>
      <c r="Q1723" s="2">
        <f>AVERAGE(PerfRate[[#This Row],[EnvironmentSatisfaction]],PerfRate[[#This Row],[JobSatisfaction]],PerfRate[[#This Row],[RelationshipSatisfaction]])</f>
        <v>4</v>
      </c>
      <c r="R1723" s="2">
        <f>PerfRate[[#This Row],[ManagerRating]] - PerfRate[[#This Row],[SelfRating]]</f>
        <v>-1</v>
      </c>
    </row>
    <row r="1724" spans="1:18">
      <c r="A1724" s="2" t="s">
        <v>6031</v>
      </c>
      <c r="B1724" s="2" t="s">
        <v>2148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  <c r="L1724" s="2" t="s">
        <v>11031</v>
      </c>
      <c r="M1724" s="2" t="s">
        <v>11031</v>
      </c>
      <c r="N1724" s="2" t="s">
        <v>11037</v>
      </c>
      <c r="O1724" s="2" t="s">
        <v>11035</v>
      </c>
      <c r="P1724" s="2" t="s">
        <v>11037</v>
      </c>
      <c r="Q1724" s="2">
        <f>AVERAGE(PerfRate[[#This Row],[EnvironmentSatisfaction]],PerfRate[[#This Row],[JobSatisfaction]],PerfRate[[#This Row],[RelationshipSatisfaction]])</f>
        <v>3.3333333333333335</v>
      </c>
      <c r="R1724" s="2">
        <f>PerfRate[[#This Row],[ManagerRating]] - PerfRate[[#This Row],[SelfRating]]</f>
        <v>0</v>
      </c>
    </row>
    <row r="1725" spans="1:18">
      <c r="A1725" s="2" t="s">
        <v>6032</v>
      </c>
      <c r="B1725" s="2" t="s">
        <v>794</v>
      </c>
      <c r="C1725" s="1">
        <v>43413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  <c r="L1725" s="2" t="s">
        <v>11029</v>
      </c>
      <c r="M1725" s="2" t="s">
        <v>11029</v>
      </c>
      <c r="N1725" s="2" t="s">
        <v>11036</v>
      </c>
      <c r="O1725" s="2" t="s">
        <v>11035</v>
      </c>
      <c r="P1725" s="2" t="s">
        <v>11038</v>
      </c>
      <c r="Q1725" s="2">
        <f>AVERAGE(PerfRate[[#This Row],[EnvironmentSatisfaction]],PerfRate[[#This Row],[JobSatisfaction]],PerfRate[[#This Row],[RelationshipSatisfaction]])</f>
        <v>3.3333333333333335</v>
      </c>
      <c r="R1725" s="2">
        <f>PerfRate[[#This Row],[ManagerRating]] - PerfRate[[#This Row],[SelfRating]]</f>
        <v>0</v>
      </c>
    </row>
    <row r="1726" spans="1:18">
      <c r="A1726" s="2" t="s">
        <v>6033</v>
      </c>
      <c r="B1726" s="2" t="s">
        <v>464</v>
      </c>
      <c r="C1726" s="1">
        <v>43443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  <c r="L1726" s="2" t="s">
        <v>11030</v>
      </c>
      <c r="M1726" s="2" t="s">
        <v>11030</v>
      </c>
      <c r="N1726" s="2" t="s">
        <v>11036</v>
      </c>
      <c r="O1726" s="2" t="s">
        <v>11037</v>
      </c>
      <c r="P1726" s="2" t="s">
        <v>11035</v>
      </c>
      <c r="Q1726" s="2">
        <f>AVERAGE(PerfRate[[#This Row],[EnvironmentSatisfaction]],PerfRate[[#This Row],[JobSatisfaction]],PerfRate[[#This Row],[RelationshipSatisfaction]])</f>
        <v>3</v>
      </c>
      <c r="R1726" s="2">
        <f>PerfRate[[#This Row],[ManagerRating]] - PerfRate[[#This Row],[SelfRating]]</f>
        <v>0</v>
      </c>
    </row>
    <row r="1727" spans="1:18">
      <c r="A1727" s="2" t="s">
        <v>6034</v>
      </c>
      <c r="B1727" s="2" t="s">
        <v>1386</v>
      </c>
      <c r="C1727" s="1">
        <v>43443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  <c r="L1727" s="2" t="s">
        <v>11029</v>
      </c>
      <c r="M1727" s="2" t="s">
        <v>11029</v>
      </c>
      <c r="N1727" s="2" t="s">
        <v>11036</v>
      </c>
      <c r="O1727" s="2" t="s">
        <v>11038</v>
      </c>
      <c r="P1727" s="2" t="s">
        <v>11038</v>
      </c>
      <c r="Q1727" s="2">
        <f>AVERAGE(PerfRate[[#This Row],[EnvironmentSatisfaction]],PerfRate[[#This Row],[JobSatisfaction]],PerfRate[[#This Row],[RelationshipSatisfaction]])</f>
        <v>4.333333333333333</v>
      </c>
      <c r="R1727" s="2">
        <f>PerfRate[[#This Row],[ManagerRating]] - PerfRate[[#This Row],[SelfRating]]</f>
        <v>0</v>
      </c>
    </row>
    <row r="1728" spans="1:18">
      <c r="A1728" s="2" t="s">
        <v>6035</v>
      </c>
      <c r="B1728" s="2" t="s">
        <v>1655</v>
      </c>
      <c r="C1728" s="1">
        <v>43443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  <c r="L1728" s="2" t="s">
        <v>11029</v>
      </c>
      <c r="M1728" s="2" t="s">
        <v>11028</v>
      </c>
      <c r="N1728" s="2" t="s">
        <v>11038</v>
      </c>
      <c r="O1728" s="2" t="s">
        <v>11038</v>
      </c>
      <c r="P1728" s="2" t="s">
        <v>11036</v>
      </c>
      <c r="Q1728" s="2">
        <f>AVERAGE(PerfRate[[#This Row],[EnvironmentSatisfaction]],PerfRate[[#This Row],[JobSatisfaction]],PerfRate[[#This Row],[RelationshipSatisfaction]])</f>
        <v>4.333333333333333</v>
      </c>
      <c r="R1728" s="2">
        <f>PerfRate[[#This Row],[ManagerRating]] - PerfRate[[#This Row],[SelfRating]]</f>
        <v>-1</v>
      </c>
    </row>
    <row r="1729" spans="1:18">
      <c r="A1729" s="2" t="s">
        <v>6036</v>
      </c>
      <c r="B1729" s="2" t="s">
        <v>4142</v>
      </c>
      <c r="C1729" s="1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  <c r="L1729" s="2" t="s">
        <v>11030</v>
      </c>
      <c r="M1729" s="2" t="s">
        <v>11029</v>
      </c>
      <c r="N1729" s="2" t="s">
        <v>11038</v>
      </c>
      <c r="O1729" s="2" t="s">
        <v>11036</v>
      </c>
      <c r="P1729" s="2" t="s">
        <v>11036</v>
      </c>
      <c r="Q1729" s="2">
        <f>AVERAGE(PerfRate[[#This Row],[EnvironmentSatisfaction]],PerfRate[[#This Row],[JobSatisfaction]],PerfRate[[#This Row],[RelationshipSatisfaction]])</f>
        <v>3.6666666666666665</v>
      </c>
      <c r="R1729" s="2">
        <f>PerfRate[[#This Row],[ManagerRating]] - PerfRate[[#This Row],[SelfRating]]</f>
        <v>-1</v>
      </c>
    </row>
    <row r="1730" spans="1:18">
      <c r="A1730" s="2" t="s">
        <v>6037</v>
      </c>
      <c r="B1730" s="2" t="s">
        <v>2145</v>
      </c>
      <c r="C1730" s="1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  <c r="L1730" s="2" t="s">
        <v>11030</v>
      </c>
      <c r="M1730" s="2" t="s">
        <v>11029</v>
      </c>
      <c r="N1730" s="2" t="s">
        <v>11037</v>
      </c>
      <c r="O1730" s="2" t="s">
        <v>11036</v>
      </c>
      <c r="P1730" s="2" t="s">
        <v>11037</v>
      </c>
      <c r="Q1730" s="2">
        <f>AVERAGE(PerfRate[[#This Row],[EnvironmentSatisfaction]],PerfRate[[#This Row],[JobSatisfaction]],PerfRate[[#This Row],[RelationshipSatisfaction]])</f>
        <v>3.6666666666666665</v>
      </c>
      <c r="R1730" s="2">
        <f>PerfRate[[#This Row],[ManagerRating]] - PerfRate[[#This Row],[SelfRating]]</f>
        <v>-1</v>
      </c>
    </row>
    <row r="1731" spans="1:18">
      <c r="A1731" s="2" t="s">
        <v>6038</v>
      </c>
      <c r="B1731" s="2" t="s">
        <v>299</v>
      </c>
      <c r="C1731" s="1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  <c r="L1731" s="2" t="s">
        <v>11030</v>
      </c>
      <c r="M1731" s="2" t="s">
        <v>11030</v>
      </c>
      <c r="N1731" s="2" t="s">
        <v>11038</v>
      </c>
      <c r="O1731" s="2" t="s">
        <v>11038</v>
      </c>
      <c r="P1731" s="2" t="s">
        <v>11035</v>
      </c>
      <c r="Q1731" s="2">
        <f>AVERAGE(PerfRate[[#This Row],[EnvironmentSatisfaction]],PerfRate[[#This Row],[JobSatisfaction]],PerfRate[[#This Row],[RelationshipSatisfaction]])</f>
        <v>4</v>
      </c>
      <c r="R1731" s="2">
        <f>PerfRate[[#This Row],[ManagerRating]] - PerfRate[[#This Row],[SelfRating]]</f>
        <v>0</v>
      </c>
    </row>
    <row r="1732" spans="1:18">
      <c r="A1732" s="2" t="s">
        <v>6039</v>
      </c>
      <c r="B1732" s="2" t="s">
        <v>1942</v>
      </c>
      <c r="C1732" s="1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  <c r="L1732" s="2" t="s">
        <v>11029</v>
      </c>
      <c r="M1732" s="2" t="s">
        <v>11029</v>
      </c>
      <c r="N1732" s="2" t="s">
        <v>11036</v>
      </c>
      <c r="O1732" s="2" t="s">
        <v>11037</v>
      </c>
      <c r="P1732" s="2" t="s">
        <v>11038</v>
      </c>
      <c r="Q1732" s="2">
        <f>AVERAGE(PerfRate[[#This Row],[EnvironmentSatisfaction]],PerfRate[[#This Row],[JobSatisfaction]],PerfRate[[#This Row],[RelationshipSatisfaction]])</f>
        <v>4</v>
      </c>
      <c r="R1732" s="2">
        <f>PerfRate[[#This Row],[ManagerRating]] - PerfRate[[#This Row],[SelfRating]]</f>
        <v>0</v>
      </c>
    </row>
    <row r="1733" spans="1:18">
      <c r="A1733" s="2" t="s">
        <v>6040</v>
      </c>
      <c r="B1733" s="2" t="s">
        <v>547</v>
      </c>
      <c r="C1733" s="1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  <c r="L1733" s="2" t="s">
        <v>11030</v>
      </c>
      <c r="M1733" s="2" t="s">
        <v>11029</v>
      </c>
      <c r="N1733" s="2" t="s">
        <v>11038</v>
      </c>
      <c r="O1733" s="2" t="s">
        <v>11037</v>
      </c>
      <c r="P1733" s="2" t="s">
        <v>11036</v>
      </c>
      <c r="Q1733" s="2">
        <f>AVERAGE(PerfRate[[#This Row],[EnvironmentSatisfaction]],PerfRate[[#This Row],[JobSatisfaction]],PerfRate[[#This Row],[RelationshipSatisfaction]])</f>
        <v>4</v>
      </c>
      <c r="R1733" s="2">
        <f>PerfRate[[#This Row],[ManagerRating]] - PerfRate[[#This Row],[SelfRating]]</f>
        <v>-1</v>
      </c>
    </row>
    <row r="1734" spans="1:18">
      <c r="A1734" s="2" t="s">
        <v>6041</v>
      </c>
      <c r="B1734" s="2" t="s">
        <v>1444</v>
      </c>
      <c r="C1734" s="1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  <c r="L1734" s="2" t="s">
        <v>11030</v>
      </c>
      <c r="M1734" s="2" t="s">
        <v>11029</v>
      </c>
      <c r="N1734" s="2" t="s">
        <v>11038</v>
      </c>
      <c r="O1734" s="2" t="s">
        <v>11038</v>
      </c>
      <c r="P1734" s="2" t="s">
        <v>11035</v>
      </c>
      <c r="Q1734" s="2">
        <f>AVERAGE(PerfRate[[#This Row],[EnvironmentSatisfaction]],PerfRate[[#This Row],[JobSatisfaction]],PerfRate[[#This Row],[RelationshipSatisfaction]])</f>
        <v>4</v>
      </c>
      <c r="R1734" s="2">
        <f>PerfRate[[#This Row],[ManagerRating]] - PerfRate[[#This Row],[SelfRating]]</f>
        <v>-1</v>
      </c>
    </row>
    <row r="1735" spans="1:18">
      <c r="A1735" s="2" t="s">
        <v>6042</v>
      </c>
      <c r="B1735" s="2" t="s">
        <v>1335</v>
      </c>
      <c r="C1735" s="1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  <c r="L1735" s="2" t="s">
        <v>11031</v>
      </c>
      <c r="M1735" s="2" t="s">
        <v>11031</v>
      </c>
      <c r="N1735" s="2" t="s">
        <v>11036</v>
      </c>
      <c r="O1735" s="2" t="s">
        <v>11037</v>
      </c>
      <c r="P1735" s="2" t="s">
        <v>11035</v>
      </c>
      <c r="Q1735" s="2">
        <f>AVERAGE(PerfRate[[#This Row],[EnvironmentSatisfaction]],PerfRate[[#This Row],[JobSatisfaction]],PerfRate[[#This Row],[RelationshipSatisfaction]])</f>
        <v>3</v>
      </c>
      <c r="R1735" s="2">
        <f>PerfRate[[#This Row],[ManagerRating]] - PerfRate[[#This Row],[SelfRating]]</f>
        <v>0</v>
      </c>
    </row>
    <row r="1736" spans="1:18">
      <c r="A1736" s="2" t="s">
        <v>6043</v>
      </c>
      <c r="B1736" s="2" t="s">
        <v>2885</v>
      </c>
      <c r="C1736" s="1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  <c r="L1736" s="2" t="s">
        <v>11030</v>
      </c>
      <c r="M1736" s="2" t="s">
        <v>11029</v>
      </c>
      <c r="N1736" s="2" t="s">
        <v>11037</v>
      </c>
      <c r="O1736" s="2" t="s">
        <v>11036</v>
      </c>
      <c r="P1736" s="2" t="s">
        <v>11038</v>
      </c>
      <c r="Q1736" s="2">
        <f>AVERAGE(PerfRate[[#This Row],[EnvironmentSatisfaction]],PerfRate[[#This Row],[JobSatisfaction]],PerfRate[[#This Row],[RelationshipSatisfaction]])</f>
        <v>4</v>
      </c>
      <c r="R1736" s="2">
        <f>PerfRate[[#This Row],[ManagerRating]] - PerfRate[[#This Row],[SelfRating]]</f>
        <v>-1</v>
      </c>
    </row>
    <row r="1737" spans="1:18">
      <c r="A1737" s="2" t="s">
        <v>6044</v>
      </c>
      <c r="B1737" s="2" t="s">
        <v>988</v>
      </c>
      <c r="C1737" s="1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  <c r="L1737" s="2" t="s">
        <v>11030</v>
      </c>
      <c r="M1737" s="2" t="s">
        <v>11029</v>
      </c>
      <c r="N1737" s="2" t="s">
        <v>11037</v>
      </c>
      <c r="O1737" s="2" t="s">
        <v>11036</v>
      </c>
      <c r="P1737" s="2" t="s">
        <v>11037</v>
      </c>
      <c r="Q1737" s="2">
        <f>AVERAGE(PerfRate[[#This Row],[EnvironmentSatisfaction]],PerfRate[[#This Row],[JobSatisfaction]],PerfRate[[#This Row],[RelationshipSatisfaction]])</f>
        <v>3.6666666666666665</v>
      </c>
      <c r="R1737" s="2">
        <f>PerfRate[[#This Row],[ManagerRating]] - PerfRate[[#This Row],[SelfRating]]</f>
        <v>-1</v>
      </c>
    </row>
    <row r="1738" spans="1:18">
      <c r="A1738" s="2" t="s">
        <v>6045</v>
      </c>
      <c r="B1738" s="2" t="s">
        <v>2563</v>
      </c>
      <c r="C1738" s="1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  <c r="L1738" s="2" t="s">
        <v>11031</v>
      </c>
      <c r="M1738" s="2" t="s">
        <v>11031</v>
      </c>
      <c r="N1738" s="2" t="s">
        <v>11037</v>
      </c>
      <c r="O1738" s="2" t="s">
        <v>11038</v>
      </c>
      <c r="P1738" s="2" t="s">
        <v>11037</v>
      </c>
      <c r="Q1738" s="2">
        <f>AVERAGE(PerfRate[[#This Row],[EnvironmentSatisfaction]],PerfRate[[#This Row],[JobSatisfaction]],PerfRate[[#This Row],[RelationshipSatisfaction]])</f>
        <v>4.333333333333333</v>
      </c>
      <c r="R1738" s="2">
        <f>PerfRate[[#This Row],[ManagerRating]] - PerfRate[[#This Row],[SelfRating]]</f>
        <v>0</v>
      </c>
    </row>
    <row r="1739" spans="1:18">
      <c r="A1739" s="2" t="s">
        <v>6046</v>
      </c>
      <c r="B1739" s="2" t="s">
        <v>1456</v>
      </c>
      <c r="C1739" s="1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  <c r="L1739" s="2" t="s">
        <v>11029</v>
      </c>
      <c r="M1739" s="2" t="s">
        <v>11029</v>
      </c>
      <c r="N1739" s="2" t="s">
        <v>11037</v>
      </c>
      <c r="O1739" s="2" t="s">
        <v>11038</v>
      </c>
      <c r="P1739" s="2" t="s">
        <v>11037</v>
      </c>
      <c r="Q1739" s="2">
        <f>AVERAGE(PerfRate[[#This Row],[EnvironmentSatisfaction]],PerfRate[[#This Row],[JobSatisfaction]],PerfRate[[#This Row],[RelationshipSatisfaction]])</f>
        <v>4.333333333333333</v>
      </c>
      <c r="R1739" s="2">
        <f>PerfRate[[#This Row],[ManagerRating]] - PerfRate[[#This Row],[SelfRating]]</f>
        <v>0</v>
      </c>
    </row>
    <row r="1740" spans="1:18">
      <c r="A1740" s="2" t="s">
        <v>6047</v>
      </c>
      <c r="B1740" s="2" t="s">
        <v>1713</v>
      </c>
      <c r="C1740" s="1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  <c r="L1740" s="2" t="s">
        <v>11029</v>
      </c>
      <c r="M1740" s="2" t="s">
        <v>11028</v>
      </c>
      <c r="N1740" s="2" t="s">
        <v>11038</v>
      </c>
      <c r="O1740" s="2" t="s">
        <v>11036</v>
      </c>
      <c r="P1740" s="2" t="s">
        <v>11037</v>
      </c>
      <c r="Q1740" s="2">
        <f>AVERAGE(PerfRate[[#This Row],[EnvironmentSatisfaction]],PerfRate[[#This Row],[JobSatisfaction]],PerfRate[[#This Row],[RelationshipSatisfaction]])</f>
        <v>4</v>
      </c>
      <c r="R1740" s="2">
        <f>PerfRate[[#This Row],[ManagerRating]] - PerfRate[[#This Row],[SelfRating]]</f>
        <v>-1</v>
      </c>
    </row>
    <row r="1741" spans="1:18">
      <c r="A1741" s="2" t="s">
        <v>6048</v>
      </c>
      <c r="B1741" s="2" t="s">
        <v>517</v>
      </c>
      <c r="C1741" s="1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  <c r="L1741" s="2" t="s">
        <v>11030</v>
      </c>
      <c r="M1741" s="2" t="s">
        <v>11029</v>
      </c>
      <c r="N1741" s="2" t="s">
        <v>11036</v>
      </c>
      <c r="O1741" s="2" t="s">
        <v>11035</v>
      </c>
      <c r="P1741" s="2" t="s">
        <v>11035</v>
      </c>
      <c r="Q1741" s="2">
        <f>AVERAGE(PerfRate[[#This Row],[EnvironmentSatisfaction]],PerfRate[[#This Row],[JobSatisfaction]],PerfRate[[#This Row],[RelationshipSatisfaction]])</f>
        <v>2.3333333333333335</v>
      </c>
      <c r="R1741" s="2">
        <f>PerfRate[[#This Row],[ManagerRating]] - PerfRate[[#This Row],[SelfRating]]</f>
        <v>-1</v>
      </c>
    </row>
    <row r="1742" spans="1:18">
      <c r="A1742" s="2" t="s">
        <v>6049</v>
      </c>
      <c r="B1742" s="2" t="s">
        <v>1274</v>
      </c>
      <c r="C1742" s="1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  <c r="L1742" s="2" t="s">
        <v>11031</v>
      </c>
      <c r="M1742" s="2" t="s">
        <v>11031</v>
      </c>
      <c r="N1742" s="2" t="s">
        <v>11037</v>
      </c>
      <c r="O1742" s="2" t="s">
        <v>11038</v>
      </c>
      <c r="P1742" s="2" t="s">
        <v>11035</v>
      </c>
      <c r="Q1742" s="2">
        <f>AVERAGE(PerfRate[[#This Row],[EnvironmentSatisfaction]],PerfRate[[#This Row],[JobSatisfaction]],PerfRate[[#This Row],[RelationshipSatisfaction]])</f>
        <v>3.6666666666666665</v>
      </c>
      <c r="R1742" s="2">
        <f>PerfRate[[#This Row],[ManagerRating]] - PerfRate[[#This Row],[SelfRating]]</f>
        <v>0</v>
      </c>
    </row>
    <row r="1743" spans="1:18">
      <c r="A1743" s="2" t="s">
        <v>6050</v>
      </c>
      <c r="B1743" s="2" t="s">
        <v>2097</v>
      </c>
      <c r="C1743" s="1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  <c r="L1743" s="2" t="s">
        <v>11030</v>
      </c>
      <c r="M1743" s="2" t="s">
        <v>11030</v>
      </c>
      <c r="N1743" s="2" t="s">
        <v>11036</v>
      </c>
      <c r="O1743" s="2" t="s">
        <v>11037</v>
      </c>
      <c r="P1743" s="2" t="s">
        <v>11038</v>
      </c>
      <c r="Q1743" s="2">
        <f>AVERAGE(PerfRate[[#This Row],[EnvironmentSatisfaction]],PerfRate[[#This Row],[JobSatisfaction]],PerfRate[[#This Row],[RelationshipSatisfaction]])</f>
        <v>4</v>
      </c>
      <c r="R1743" s="2">
        <f>PerfRate[[#This Row],[ManagerRating]] - PerfRate[[#This Row],[SelfRating]]</f>
        <v>0</v>
      </c>
    </row>
    <row r="1744" spans="1:18">
      <c r="A1744" s="2" t="s">
        <v>6051</v>
      </c>
      <c r="B1744" s="2" t="s">
        <v>2596</v>
      </c>
      <c r="C1744" s="1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  <c r="L1744" s="2" t="s">
        <v>11029</v>
      </c>
      <c r="M1744" s="2" t="s">
        <v>11029</v>
      </c>
      <c r="N1744" s="2" t="s">
        <v>11036</v>
      </c>
      <c r="O1744" s="2" t="s">
        <v>11038</v>
      </c>
      <c r="P1744" s="2" t="s">
        <v>11035</v>
      </c>
      <c r="Q1744" s="2">
        <f>AVERAGE(PerfRate[[#This Row],[EnvironmentSatisfaction]],PerfRate[[#This Row],[JobSatisfaction]],PerfRate[[#This Row],[RelationshipSatisfaction]])</f>
        <v>3.3333333333333335</v>
      </c>
      <c r="R1744" s="2">
        <f>PerfRate[[#This Row],[ManagerRating]] - PerfRate[[#This Row],[SelfRating]]</f>
        <v>0</v>
      </c>
    </row>
    <row r="1745" spans="1:18">
      <c r="A1745" s="2" t="s">
        <v>6052</v>
      </c>
      <c r="B1745" s="2" t="s">
        <v>2920</v>
      </c>
      <c r="C1745" s="1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  <c r="L1745" s="2" t="s">
        <v>11030</v>
      </c>
      <c r="M1745" s="2" t="s">
        <v>11030</v>
      </c>
      <c r="N1745" s="2" t="s">
        <v>11038</v>
      </c>
      <c r="O1745" s="2" t="s">
        <v>11036</v>
      </c>
      <c r="P1745" s="2" t="s">
        <v>11036</v>
      </c>
      <c r="Q1745" s="2">
        <f>AVERAGE(PerfRate[[#This Row],[EnvironmentSatisfaction]],PerfRate[[#This Row],[JobSatisfaction]],PerfRate[[#This Row],[RelationshipSatisfaction]])</f>
        <v>3.6666666666666665</v>
      </c>
      <c r="R1745" s="2">
        <f>PerfRate[[#This Row],[ManagerRating]] - PerfRate[[#This Row],[SelfRating]]</f>
        <v>0</v>
      </c>
    </row>
    <row r="1746" spans="1:18">
      <c r="A1746" s="2" t="s">
        <v>6053</v>
      </c>
      <c r="B1746" s="2" t="s">
        <v>1560</v>
      </c>
      <c r="C1746" s="1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  <c r="L1746" s="2" t="s">
        <v>11030</v>
      </c>
      <c r="M1746" s="2" t="s">
        <v>11030</v>
      </c>
      <c r="N1746" s="2" t="s">
        <v>11036</v>
      </c>
      <c r="O1746" s="2" t="s">
        <v>11036</v>
      </c>
      <c r="P1746" s="2" t="s">
        <v>11038</v>
      </c>
      <c r="Q1746" s="2">
        <f>AVERAGE(PerfRate[[#This Row],[EnvironmentSatisfaction]],PerfRate[[#This Row],[JobSatisfaction]],PerfRate[[#This Row],[RelationshipSatisfaction]])</f>
        <v>3.6666666666666665</v>
      </c>
      <c r="R1746" s="2">
        <f>PerfRate[[#This Row],[ManagerRating]] - PerfRate[[#This Row],[SelfRating]]</f>
        <v>0</v>
      </c>
    </row>
    <row r="1747" spans="1:18">
      <c r="A1747" s="2" t="s">
        <v>6054</v>
      </c>
      <c r="B1747" s="2" t="s">
        <v>134</v>
      </c>
      <c r="C1747" s="1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  <c r="L1747" s="2" t="s">
        <v>11031</v>
      </c>
      <c r="M1747" s="2" t="s">
        <v>11030</v>
      </c>
      <c r="N1747" s="2" t="s">
        <v>11038</v>
      </c>
      <c r="O1747" s="2" t="s">
        <v>11038</v>
      </c>
      <c r="P1747" s="2" t="s">
        <v>11035</v>
      </c>
      <c r="Q1747" s="2">
        <f>AVERAGE(PerfRate[[#This Row],[EnvironmentSatisfaction]],PerfRate[[#This Row],[JobSatisfaction]],PerfRate[[#This Row],[RelationshipSatisfaction]])</f>
        <v>4</v>
      </c>
      <c r="R1747" s="2">
        <f>PerfRate[[#This Row],[ManagerRating]] - PerfRate[[#This Row],[SelfRating]]</f>
        <v>-1</v>
      </c>
    </row>
    <row r="1748" spans="1:18">
      <c r="A1748" s="2" t="s">
        <v>6055</v>
      </c>
      <c r="B1748" s="2" t="s">
        <v>4230</v>
      </c>
      <c r="C1748" s="1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  <c r="L1748" s="2" t="s">
        <v>11031</v>
      </c>
      <c r="M1748" s="2" t="s">
        <v>11030</v>
      </c>
      <c r="N1748" s="2" t="s">
        <v>11038</v>
      </c>
      <c r="O1748" s="2" t="s">
        <v>11036</v>
      </c>
      <c r="P1748" s="2" t="s">
        <v>11038</v>
      </c>
      <c r="Q1748" s="2">
        <f>AVERAGE(PerfRate[[#This Row],[EnvironmentSatisfaction]],PerfRate[[#This Row],[JobSatisfaction]],PerfRate[[#This Row],[RelationshipSatisfaction]])</f>
        <v>4.333333333333333</v>
      </c>
      <c r="R1748" s="2">
        <f>PerfRate[[#This Row],[ManagerRating]] - PerfRate[[#This Row],[SelfRating]]</f>
        <v>-1</v>
      </c>
    </row>
    <row r="1749" spans="1:18">
      <c r="A1749" s="2" t="s">
        <v>6056</v>
      </c>
      <c r="B1749" s="2" t="s">
        <v>482</v>
      </c>
      <c r="C1749" s="1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  <c r="L1749" s="2" t="s">
        <v>11030</v>
      </c>
      <c r="M1749" s="2" t="s">
        <v>11029</v>
      </c>
      <c r="N1749" s="2" t="s">
        <v>11036</v>
      </c>
      <c r="O1749" s="2" t="s">
        <v>11036</v>
      </c>
      <c r="P1749" s="2" t="s">
        <v>11036</v>
      </c>
      <c r="Q1749" s="2">
        <f>AVERAGE(PerfRate[[#This Row],[EnvironmentSatisfaction]],PerfRate[[#This Row],[JobSatisfaction]],PerfRate[[#This Row],[RelationshipSatisfaction]])</f>
        <v>3</v>
      </c>
      <c r="R1749" s="2">
        <f>PerfRate[[#This Row],[ManagerRating]] - PerfRate[[#This Row],[SelfRating]]</f>
        <v>-1</v>
      </c>
    </row>
    <row r="1750" spans="1:18">
      <c r="A1750" s="2" t="s">
        <v>6057</v>
      </c>
      <c r="B1750" s="2" t="s">
        <v>708</v>
      </c>
      <c r="C1750" s="1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  <c r="L1750" s="2" t="s">
        <v>11031</v>
      </c>
      <c r="M1750" s="2" t="s">
        <v>11030</v>
      </c>
      <c r="N1750" s="2" t="s">
        <v>11037</v>
      </c>
      <c r="O1750" s="2" t="s">
        <v>11035</v>
      </c>
      <c r="P1750" s="2" t="s">
        <v>11035</v>
      </c>
      <c r="Q1750" s="2">
        <f>AVERAGE(PerfRate[[#This Row],[EnvironmentSatisfaction]],PerfRate[[#This Row],[JobSatisfaction]],PerfRate[[#This Row],[RelationshipSatisfaction]])</f>
        <v>2.6666666666666665</v>
      </c>
      <c r="R1750" s="2">
        <f>PerfRate[[#This Row],[ManagerRating]] - PerfRate[[#This Row],[SelfRating]]</f>
        <v>-1</v>
      </c>
    </row>
    <row r="1751" spans="1:18">
      <c r="A1751" s="2" t="s">
        <v>6058</v>
      </c>
      <c r="B1751" s="2" t="s">
        <v>841</v>
      </c>
      <c r="C1751" s="1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  <c r="L1751" s="2" t="s">
        <v>11029</v>
      </c>
      <c r="M1751" s="2" t="s">
        <v>11028</v>
      </c>
      <c r="N1751" s="2" t="s">
        <v>11038</v>
      </c>
      <c r="O1751" s="2" t="s">
        <v>11038</v>
      </c>
      <c r="P1751" s="2" t="s">
        <v>11037</v>
      </c>
      <c r="Q1751" s="2">
        <f>AVERAGE(PerfRate[[#This Row],[EnvironmentSatisfaction]],PerfRate[[#This Row],[JobSatisfaction]],PerfRate[[#This Row],[RelationshipSatisfaction]])</f>
        <v>4.666666666666667</v>
      </c>
      <c r="R1751" s="2">
        <f>PerfRate[[#This Row],[ManagerRating]] - PerfRate[[#This Row],[SelfRating]]</f>
        <v>-1</v>
      </c>
    </row>
    <row r="1752" spans="1:18">
      <c r="A1752" s="2" t="s">
        <v>6059</v>
      </c>
      <c r="B1752" s="2" t="s">
        <v>1368</v>
      </c>
      <c r="C1752" s="1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  <c r="L1752" s="2" t="s">
        <v>11031</v>
      </c>
      <c r="M1752" s="2" t="s">
        <v>11031</v>
      </c>
      <c r="N1752" s="2" t="s">
        <v>11038</v>
      </c>
      <c r="O1752" s="2" t="s">
        <v>11037</v>
      </c>
      <c r="P1752" s="2" t="s">
        <v>11036</v>
      </c>
      <c r="Q1752" s="2">
        <f>AVERAGE(PerfRate[[#This Row],[EnvironmentSatisfaction]],PerfRate[[#This Row],[JobSatisfaction]],PerfRate[[#This Row],[RelationshipSatisfaction]])</f>
        <v>4</v>
      </c>
      <c r="R1752" s="2">
        <f>PerfRate[[#This Row],[ManagerRating]] - PerfRate[[#This Row],[SelfRating]]</f>
        <v>0</v>
      </c>
    </row>
    <row r="1753" spans="1:18">
      <c r="A1753" s="2" t="s">
        <v>6060</v>
      </c>
      <c r="B1753" s="2" t="s">
        <v>1171</v>
      </c>
      <c r="C1753" s="1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  <c r="L1753" s="2" t="s">
        <v>11029</v>
      </c>
      <c r="M1753" s="2" t="s">
        <v>11029</v>
      </c>
      <c r="N1753" s="2" t="s">
        <v>11038</v>
      </c>
      <c r="O1753" s="2" t="s">
        <v>11035</v>
      </c>
      <c r="P1753" s="2" t="s">
        <v>11038</v>
      </c>
      <c r="Q1753" s="2">
        <f>AVERAGE(PerfRate[[#This Row],[EnvironmentSatisfaction]],PerfRate[[#This Row],[JobSatisfaction]],PerfRate[[#This Row],[RelationshipSatisfaction]])</f>
        <v>4</v>
      </c>
      <c r="R1753" s="2">
        <f>PerfRate[[#This Row],[ManagerRating]] - PerfRate[[#This Row],[SelfRating]]</f>
        <v>0</v>
      </c>
    </row>
    <row r="1754" spans="1:18">
      <c r="A1754" s="2" t="s">
        <v>6061</v>
      </c>
      <c r="B1754" s="2" t="s">
        <v>3080</v>
      </c>
      <c r="C1754" s="1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  <c r="L1754" s="2" t="s">
        <v>11030</v>
      </c>
      <c r="M1754" s="2" t="s">
        <v>11030</v>
      </c>
      <c r="N1754" s="2" t="s">
        <v>11036</v>
      </c>
      <c r="O1754" s="2" t="s">
        <v>11035</v>
      </c>
      <c r="P1754" s="2" t="s">
        <v>11037</v>
      </c>
      <c r="Q1754" s="2">
        <f>AVERAGE(PerfRate[[#This Row],[EnvironmentSatisfaction]],PerfRate[[#This Row],[JobSatisfaction]],PerfRate[[#This Row],[RelationshipSatisfaction]])</f>
        <v>3</v>
      </c>
      <c r="R1754" s="2">
        <f>PerfRate[[#This Row],[ManagerRating]] - PerfRate[[#This Row],[SelfRating]]</f>
        <v>0</v>
      </c>
    </row>
    <row r="1755" spans="1:18">
      <c r="A1755" s="2" t="s">
        <v>6062</v>
      </c>
      <c r="B1755" s="2" t="s">
        <v>3280</v>
      </c>
      <c r="C1755" s="1">
        <v>43110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  <c r="L1755" s="2" t="s">
        <v>11030</v>
      </c>
      <c r="M1755" s="2" t="s">
        <v>11030</v>
      </c>
      <c r="N1755" s="2" t="s">
        <v>11037</v>
      </c>
      <c r="O1755" s="2" t="s">
        <v>11036</v>
      </c>
      <c r="P1755" s="2" t="s">
        <v>11036</v>
      </c>
      <c r="Q1755" s="2">
        <f>AVERAGE(PerfRate[[#This Row],[EnvironmentSatisfaction]],PerfRate[[#This Row],[JobSatisfaction]],PerfRate[[#This Row],[RelationshipSatisfaction]])</f>
        <v>3.3333333333333335</v>
      </c>
      <c r="R1755" s="2">
        <f>PerfRate[[#This Row],[ManagerRating]] - PerfRate[[#This Row],[SelfRating]]</f>
        <v>0</v>
      </c>
    </row>
    <row r="1756" spans="1:18">
      <c r="A1756" s="2" t="s">
        <v>6063</v>
      </c>
      <c r="B1756" s="2" t="s">
        <v>3074</v>
      </c>
      <c r="C1756" s="1">
        <v>43110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  <c r="L1756" s="2" t="s">
        <v>11031</v>
      </c>
      <c r="M1756" s="2" t="s">
        <v>11030</v>
      </c>
      <c r="N1756" s="2" t="s">
        <v>11036</v>
      </c>
      <c r="O1756" s="2" t="s">
        <v>11035</v>
      </c>
      <c r="P1756" s="2" t="s">
        <v>11038</v>
      </c>
      <c r="Q1756" s="2">
        <f>AVERAGE(PerfRate[[#This Row],[EnvironmentSatisfaction]],PerfRate[[#This Row],[JobSatisfaction]],PerfRate[[#This Row],[RelationshipSatisfaction]])</f>
        <v>3.3333333333333335</v>
      </c>
      <c r="R1756" s="2">
        <f>PerfRate[[#This Row],[ManagerRating]] - PerfRate[[#This Row],[SelfRating]]</f>
        <v>-1</v>
      </c>
    </row>
    <row r="1757" spans="1:18">
      <c r="A1757" s="2" t="s">
        <v>6064</v>
      </c>
      <c r="B1757" s="2" t="s">
        <v>383</v>
      </c>
      <c r="C1757" s="1">
        <v>43110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  <c r="L1757" s="2" t="s">
        <v>11031</v>
      </c>
      <c r="M1757" s="2" t="s">
        <v>11030</v>
      </c>
      <c r="N1757" s="2" t="s">
        <v>11037</v>
      </c>
      <c r="O1757" s="2" t="s">
        <v>11036</v>
      </c>
      <c r="P1757" s="2" t="s">
        <v>11037</v>
      </c>
      <c r="Q1757" s="2">
        <f>AVERAGE(PerfRate[[#This Row],[EnvironmentSatisfaction]],PerfRate[[#This Row],[JobSatisfaction]],PerfRate[[#This Row],[RelationshipSatisfaction]])</f>
        <v>3.6666666666666665</v>
      </c>
      <c r="R1757" s="2">
        <f>PerfRate[[#This Row],[ManagerRating]] - PerfRate[[#This Row],[SelfRating]]</f>
        <v>-1</v>
      </c>
    </row>
    <row r="1758" spans="1:18">
      <c r="A1758" s="2" t="s">
        <v>6065</v>
      </c>
      <c r="B1758" s="2" t="s">
        <v>913</v>
      </c>
      <c r="C1758" s="1">
        <v>43110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  <c r="L1758" s="2" t="s">
        <v>11030</v>
      </c>
      <c r="M1758" s="2" t="s">
        <v>11030</v>
      </c>
      <c r="N1758" s="2" t="s">
        <v>11036</v>
      </c>
      <c r="O1758" s="2" t="s">
        <v>11035</v>
      </c>
      <c r="P1758" s="2" t="s">
        <v>11038</v>
      </c>
      <c r="Q1758" s="2">
        <f>AVERAGE(PerfRate[[#This Row],[EnvironmentSatisfaction]],PerfRate[[#This Row],[JobSatisfaction]],PerfRate[[#This Row],[RelationshipSatisfaction]])</f>
        <v>3.3333333333333335</v>
      </c>
      <c r="R1758" s="2">
        <f>PerfRate[[#This Row],[ManagerRating]] - PerfRate[[#This Row],[SelfRating]]</f>
        <v>0</v>
      </c>
    </row>
    <row r="1759" spans="1:18">
      <c r="A1759" s="2" t="s">
        <v>6066</v>
      </c>
      <c r="B1759" s="2" t="s">
        <v>1552</v>
      </c>
      <c r="C1759" s="1">
        <v>43110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  <c r="L1759" s="2" t="s">
        <v>11031</v>
      </c>
      <c r="M1759" s="2" t="s">
        <v>11030</v>
      </c>
      <c r="N1759" s="2" t="s">
        <v>11037</v>
      </c>
      <c r="O1759" s="2" t="s">
        <v>11037</v>
      </c>
      <c r="P1759" s="2" t="s">
        <v>11036</v>
      </c>
      <c r="Q1759" s="2">
        <f>AVERAGE(PerfRate[[#This Row],[EnvironmentSatisfaction]],PerfRate[[#This Row],[JobSatisfaction]],PerfRate[[#This Row],[RelationshipSatisfaction]])</f>
        <v>3.6666666666666665</v>
      </c>
      <c r="R1759" s="2">
        <f>PerfRate[[#This Row],[ManagerRating]] - PerfRate[[#This Row],[SelfRating]]</f>
        <v>-1</v>
      </c>
    </row>
    <row r="1760" spans="1:18">
      <c r="A1760" s="2" t="s">
        <v>6067</v>
      </c>
      <c r="B1760" s="2" t="s">
        <v>89</v>
      </c>
      <c r="C1760" s="1">
        <v>43169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  <c r="L1760" s="2" t="s">
        <v>11030</v>
      </c>
      <c r="M1760" s="2" t="s">
        <v>11030</v>
      </c>
      <c r="N1760" s="2" t="s">
        <v>11036</v>
      </c>
      <c r="O1760" s="2" t="s">
        <v>11037</v>
      </c>
      <c r="P1760" s="2" t="s">
        <v>11036</v>
      </c>
      <c r="Q1760" s="2">
        <f>AVERAGE(PerfRate[[#This Row],[EnvironmentSatisfaction]],PerfRate[[#This Row],[JobSatisfaction]],PerfRate[[#This Row],[RelationshipSatisfaction]])</f>
        <v>3.3333333333333335</v>
      </c>
      <c r="R1760" s="2">
        <f>PerfRate[[#This Row],[ManagerRating]] - PerfRate[[#This Row],[SelfRating]]</f>
        <v>0</v>
      </c>
    </row>
    <row r="1761" spans="1:18">
      <c r="A1761" s="2" t="s">
        <v>6068</v>
      </c>
      <c r="B1761" s="2" t="s">
        <v>922</v>
      </c>
      <c r="C1761" s="1">
        <v>43200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  <c r="L1761" s="2" t="s">
        <v>11029</v>
      </c>
      <c r="M1761" s="2" t="s">
        <v>11029</v>
      </c>
      <c r="N1761" s="2" t="s">
        <v>11036</v>
      </c>
      <c r="O1761" s="2" t="s">
        <v>11035</v>
      </c>
      <c r="P1761" s="2" t="s">
        <v>11038</v>
      </c>
      <c r="Q1761" s="2">
        <f>AVERAGE(PerfRate[[#This Row],[EnvironmentSatisfaction]],PerfRate[[#This Row],[JobSatisfaction]],PerfRate[[#This Row],[RelationshipSatisfaction]])</f>
        <v>3.3333333333333335</v>
      </c>
      <c r="R1761" s="2">
        <f>PerfRate[[#This Row],[ManagerRating]] - PerfRate[[#This Row],[SelfRating]]</f>
        <v>0</v>
      </c>
    </row>
    <row r="1762" spans="1:18">
      <c r="A1762" s="2" t="s">
        <v>6069</v>
      </c>
      <c r="B1762" s="2" t="s">
        <v>1204</v>
      </c>
      <c r="C1762" s="1">
        <v>43200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  <c r="L1762" s="2" t="s">
        <v>11031</v>
      </c>
      <c r="M1762" s="2" t="s">
        <v>11030</v>
      </c>
      <c r="N1762" s="2" t="s">
        <v>11036</v>
      </c>
      <c r="O1762" s="2" t="s">
        <v>11038</v>
      </c>
      <c r="P1762" s="2" t="s">
        <v>11036</v>
      </c>
      <c r="Q1762" s="2">
        <f>AVERAGE(PerfRate[[#This Row],[EnvironmentSatisfaction]],PerfRate[[#This Row],[JobSatisfaction]],PerfRate[[#This Row],[RelationshipSatisfaction]])</f>
        <v>3.6666666666666665</v>
      </c>
      <c r="R1762" s="2">
        <f>PerfRate[[#This Row],[ManagerRating]] - PerfRate[[#This Row],[SelfRating]]</f>
        <v>-1</v>
      </c>
    </row>
    <row r="1763" spans="1:18">
      <c r="A1763" s="2" t="s">
        <v>6070</v>
      </c>
      <c r="B1763" s="2" t="s">
        <v>1271</v>
      </c>
      <c r="C1763" s="1">
        <v>43200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  <c r="L1763" s="2" t="s">
        <v>11029</v>
      </c>
      <c r="M1763" s="2" t="s">
        <v>11028</v>
      </c>
      <c r="N1763" s="2" t="s">
        <v>11036</v>
      </c>
      <c r="O1763" s="2" t="s">
        <v>11035</v>
      </c>
      <c r="P1763" s="2" t="s">
        <v>11035</v>
      </c>
      <c r="Q1763" s="2">
        <f>AVERAGE(PerfRate[[#This Row],[EnvironmentSatisfaction]],PerfRate[[#This Row],[JobSatisfaction]],PerfRate[[#This Row],[RelationshipSatisfaction]])</f>
        <v>2.3333333333333335</v>
      </c>
      <c r="R1763" s="2">
        <f>PerfRate[[#This Row],[ManagerRating]] - PerfRate[[#This Row],[SelfRating]]</f>
        <v>-1</v>
      </c>
    </row>
    <row r="1764" spans="1:18">
      <c r="A1764" s="2" t="s">
        <v>6071</v>
      </c>
      <c r="B1764" s="2" t="s">
        <v>1549</v>
      </c>
      <c r="C1764" s="1">
        <v>43200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  <c r="L1764" s="2" t="s">
        <v>11029</v>
      </c>
      <c r="M1764" s="2" t="s">
        <v>11028</v>
      </c>
      <c r="N1764" s="2" t="s">
        <v>11037</v>
      </c>
      <c r="O1764" s="2" t="s">
        <v>11035</v>
      </c>
      <c r="P1764" s="2" t="s">
        <v>11037</v>
      </c>
      <c r="Q1764" s="2">
        <f>AVERAGE(PerfRate[[#This Row],[EnvironmentSatisfaction]],PerfRate[[#This Row],[JobSatisfaction]],PerfRate[[#This Row],[RelationshipSatisfaction]])</f>
        <v>3.3333333333333335</v>
      </c>
      <c r="R1764" s="2">
        <f>PerfRate[[#This Row],[ManagerRating]] - PerfRate[[#This Row],[SelfRating]]</f>
        <v>-1</v>
      </c>
    </row>
    <row r="1765" spans="1:18">
      <c r="A1765" s="2" t="s">
        <v>6072</v>
      </c>
      <c r="B1765" s="2" t="s">
        <v>404</v>
      </c>
      <c r="C1765" s="1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  <c r="L1765" s="2" t="s">
        <v>11031</v>
      </c>
      <c r="M1765" s="2" t="s">
        <v>11030</v>
      </c>
      <c r="N1765" s="2" t="s">
        <v>11036</v>
      </c>
      <c r="O1765" s="2" t="s">
        <v>11036</v>
      </c>
      <c r="P1765" s="2" t="s">
        <v>11038</v>
      </c>
      <c r="Q1765" s="2">
        <f>AVERAGE(PerfRate[[#This Row],[EnvironmentSatisfaction]],PerfRate[[#This Row],[JobSatisfaction]],PerfRate[[#This Row],[RelationshipSatisfaction]])</f>
        <v>3.6666666666666665</v>
      </c>
      <c r="R1765" s="2">
        <f>PerfRate[[#This Row],[ManagerRating]] - PerfRate[[#This Row],[SelfRating]]</f>
        <v>-1</v>
      </c>
    </row>
    <row r="1766" spans="1:18">
      <c r="A1766" s="2" t="s">
        <v>6073</v>
      </c>
      <c r="B1766" s="2" t="s">
        <v>2608</v>
      </c>
      <c r="C1766" s="1">
        <v>43200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  <c r="L1766" s="2" t="s">
        <v>11029</v>
      </c>
      <c r="M1766" s="2" t="s">
        <v>11028</v>
      </c>
      <c r="N1766" s="2" t="s">
        <v>11036</v>
      </c>
      <c r="O1766" s="2" t="s">
        <v>11038</v>
      </c>
      <c r="P1766" s="2" t="s">
        <v>11035</v>
      </c>
      <c r="Q1766" s="2">
        <f>AVERAGE(PerfRate[[#This Row],[EnvironmentSatisfaction]],PerfRate[[#This Row],[JobSatisfaction]],PerfRate[[#This Row],[RelationshipSatisfaction]])</f>
        <v>3.3333333333333335</v>
      </c>
      <c r="R1766" s="2">
        <f>PerfRate[[#This Row],[ManagerRating]] - PerfRate[[#This Row],[SelfRating]]</f>
        <v>-1</v>
      </c>
    </row>
    <row r="1767" spans="1:18">
      <c r="A1767" s="2" t="s">
        <v>6074</v>
      </c>
      <c r="B1767" s="2" t="s">
        <v>502</v>
      </c>
      <c r="C1767" s="1">
        <v>43322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  <c r="L1767" s="2" t="s">
        <v>11031</v>
      </c>
      <c r="M1767" s="2" t="s">
        <v>11030</v>
      </c>
      <c r="N1767" s="2" t="s">
        <v>11037</v>
      </c>
      <c r="O1767" s="2" t="s">
        <v>11038</v>
      </c>
      <c r="P1767" s="2" t="s">
        <v>11037</v>
      </c>
      <c r="Q1767" s="2">
        <f>AVERAGE(PerfRate[[#This Row],[EnvironmentSatisfaction]],PerfRate[[#This Row],[JobSatisfaction]],PerfRate[[#This Row],[RelationshipSatisfaction]])</f>
        <v>4.333333333333333</v>
      </c>
      <c r="R1767" s="2">
        <f>PerfRate[[#This Row],[ManagerRating]] - PerfRate[[#This Row],[SelfRating]]</f>
        <v>-1</v>
      </c>
    </row>
    <row r="1768" spans="1:18">
      <c r="A1768" s="2" t="s">
        <v>6075</v>
      </c>
      <c r="B1768" s="2" t="s">
        <v>3329</v>
      </c>
      <c r="C1768" s="1">
        <v>43353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  <c r="L1768" s="2" t="s">
        <v>11031</v>
      </c>
      <c r="M1768" s="2" t="s">
        <v>11031</v>
      </c>
      <c r="N1768" s="2" t="s">
        <v>11036</v>
      </c>
      <c r="O1768" s="2" t="s">
        <v>11037</v>
      </c>
      <c r="P1768" s="2" t="s">
        <v>11038</v>
      </c>
      <c r="Q1768" s="2">
        <f>AVERAGE(PerfRate[[#This Row],[EnvironmentSatisfaction]],PerfRate[[#This Row],[JobSatisfaction]],PerfRate[[#This Row],[RelationshipSatisfaction]])</f>
        <v>4</v>
      </c>
      <c r="R1768" s="2">
        <f>PerfRate[[#This Row],[ManagerRating]] - PerfRate[[#This Row],[SelfRating]]</f>
        <v>0</v>
      </c>
    </row>
    <row r="1769" spans="1:18">
      <c r="A1769" s="2" t="s">
        <v>6076</v>
      </c>
      <c r="B1769" s="2" t="s">
        <v>3739</v>
      </c>
      <c r="C1769" s="1">
        <v>43353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  <c r="L1769" s="2" t="s">
        <v>11031</v>
      </c>
      <c r="M1769" s="2" t="s">
        <v>11030</v>
      </c>
      <c r="N1769" s="2" t="s">
        <v>11038</v>
      </c>
      <c r="O1769" s="2" t="s">
        <v>11038</v>
      </c>
      <c r="P1769" s="2" t="s">
        <v>11037</v>
      </c>
      <c r="Q1769" s="2">
        <f>AVERAGE(PerfRate[[#This Row],[EnvironmentSatisfaction]],PerfRate[[#This Row],[JobSatisfaction]],PerfRate[[#This Row],[RelationshipSatisfaction]])</f>
        <v>4.666666666666667</v>
      </c>
      <c r="R1769" s="2">
        <f>PerfRate[[#This Row],[ManagerRating]] - PerfRate[[#This Row],[SelfRating]]</f>
        <v>-1</v>
      </c>
    </row>
    <row r="1770" spans="1:18">
      <c r="A1770" s="2" t="s">
        <v>6077</v>
      </c>
      <c r="B1770" s="2" t="s">
        <v>765</v>
      </c>
      <c r="C1770" s="1">
        <v>43353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  <c r="L1770" s="2" t="s">
        <v>11030</v>
      </c>
      <c r="M1770" s="2" t="s">
        <v>11030</v>
      </c>
      <c r="N1770" s="2" t="s">
        <v>11038</v>
      </c>
      <c r="O1770" s="2" t="s">
        <v>11036</v>
      </c>
      <c r="P1770" s="2" t="s">
        <v>11035</v>
      </c>
      <c r="Q1770" s="2">
        <f>AVERAGE(PerfRate[[#This Row],[EnvironmentSatisfaction]],PerfRate[[#This Row],[JobSatisfaction]],PerfRate[[#This Row],[RelationshipSatisfaction]])</f>
        <v>3.3333333333333335</v>
      </c>
      <c r="R1770" s="2">
        <f>PerfRate[[#This Row],[ManagerRating]] - PerfRate[[#This Row],[SelfRating]]</f>
        <v>0</v>
      </c>
    </row>
    <row r="1771" spans="1:18">
      <c r="A1771" s="2" t="s">
        <v>6078</v>
      </c>
      <c r="B1771" s="2" t="s">
        <v>1593</v>
      </c>
      <c r="C1771" s="1">
        <v>43353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  <c r="L1771" s="2" t="s">
        <v>11031</v>
      </c>
      <c r="M1771" s="2" t="s">
        <v>11030</v>
      </c>
      <c r="N1771" s="2" t="s">
        <v>11036</v>
      </c>
      <c r="O1771" s="2" t="s">
        <v>11036</v>
      </c>
      <c r="P1771" s="2" t="s">
        <v>11037</v>
      </c>
      <c r="Q1771" s="2">
        <f>AVERAGE(PerfRate[[#This Row],[EnvironmentSatisfaction]],PerfRate[[#This Row],[JobSatisfaction]],PerfRate[[#This Row],[RelationshipSatisfaction]])</f>
        <v>3.3333333333333335</v>
      </c>
      <c r="R1771" s="2">
        <f>PerfRate[[#This Row],[ManagerRating]] - PerfRate[[#This Row],[SelfRating]]</f>
        <v>-1</v>
      </c>
    </row>
    <row r="1772" spans="1:18">
      <c r="A1772" s="2" t="s">
        <v>6079</v>
      </c>
      <c r="B1772" s="2" t="s">
        <v>1230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  <c r="L1772" s="2" t="s">
        <v>11030</v>
      </c>
      <c r="M1772" s="2" t="s">
        <v>11029</v>
      </c>
      <c r="N1772" s="2" t="s">
        <v>11038</v>
      </c>
      <c r="O1772" s="2" t="s">
        <v>11036</v>
      </c>
      <c r="P1772" s="2" t="s">
        <v>11036</v>
      </c>
      <c r="Q1772" s="2">
        <f>AVERAGE(PerfRate[[#This Row],[EnvironmentSatisfaction]],PerfRate[[#This Row],[JobSatisfaction]],PerfRate[[#This Row],[RelationshipSatisfaction]])</f>
        <v>3.6666666666666665</v>
      </c>
      <c r="R1772" s="2">
        <f>PerfRate[[#This Row],[ManagerRating]] - PerfRate[[#This Row],[SelfRating]]</f>
        <v>-1</v>
      </c>
    </row>
    <row r="1773" spans="1:18">
      <c r="A1773" s="2" t="s">
        <v>6080</v>
      </c>
      <c r="B1773" s="2" t="s">
        <v>2614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  <c r="L1773" s="2" t="s">
        <v>11029</v>
      </c>
      <c r="M1773" s="2" t="s">
        <v>11028</v>
      </c>
      <c r="N1773" s="2" t="s">
        <v>11037</v>
      </c>
      <c r="O1773" s="2" t="s">
        <v>11036</v>
      </c>
      <c r="P1773" s="2" t="s">
        <v>11038</v>
      </c>
      <c r="Q1773" s="2">
        <f>AVERAGE(PerfRate[[#This Row],[EnvironmentSatisfaction]],PerfRate[[#This Row],[JobSatisfaction]],PerfRate[[#This Row],[RelationshipSatisfaction]])</f>
        <v>4</v>
      </c>
      <c r="R1773" s="2">
        <f>PerfRate[[#This Row],[ManagerRating]] - PerfRate[[#This Row],[SelfRating]]</f>
        <v>-1</v>
      </c>
    </row>
    <row r="1774" spans="1:18">
      <c r="A1774" s="2" t="s">
        <v>6081</v>
      </c>
      <c r="B1774" s="2" t="s">
        <v>1301</v>
      </c>
      <c r="C1774" s="1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  <c r="L1774" s="2" t="s">
        <v>11029</v>
      </c>
      <c r="M1774" s="2" t="s">
        <v>11028</v>
      </c>
      <c r="N1774" s="2" t="s">
        <v>11038</v>
      </c>
      <c r="O1774" s="2" t="s">
        <v>11037</v>
      </c>
      <c r="P1774" s="2" t="s">
        <v>11037</v>
      </c>
      <c r="Q1774" s="2">
        <f>AVERAGE(PerfRate[[#This Row],[EnvironmentSatisfaction]],PerfRate[[#This Row],[JobSatisfaction]],PerfRate[[#This Row],[RelationshipSatisfaction]])</f>
        <v>4.333333333333333</v>
      </c>
      <c r="R1774" s="2">
        <f>PerfRate[[#This Row],[ManagerRating]] - PerfRate[[#This Row],[SelfRating]]</f>
        <v>-1</v>
      </c>
    </row>
    <row r="1775" spans="1:18">
      <c r="A1775" s="2" t="s">
        <v>6082</v>
      </c>
      <c r="B1775" s="2" t="s">
        <v>1485</v>
      </c>
      <c r="C1775" s="1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  <c r="L1775" s="2" t="s">
        <v>11029</v>
      </c>
      <c r="M1775" s="2" t="s">
        <v>11029</v>
      </c>
      <c r="N1775" s="2" t="s">
        <v>11036</v>
      </c>
      <c r="O1775" s="2" t="s">
        <v>11038</v>
      </c>
      <c r="P1775" s="2" t="s">
        <v>11036</v>
      </c>
      <c r="Q1775" s="2">
        <f>AVERAGE(PerfRate[[#This Row],[EnvironmentSatisfaction]],PerfRate[[#This Row],[JobSatisfaction]],PerfRate[[#This Row],[RelationshipSatisfaction]])</f>
        <v>3.6666666666666665</v>
      </c>
      <c r="R1775" s="2">
        <f>PerfRate[[#This Row],[ManagerRating]] - PerfRate[[#This Row],[SelfRating]]</f>
        <v>0</v>
      </c>
    </row>
    <row r="1776" spans="1:18">
      <c r="A1776" s="2" t="s">
        <v>6083</v>
      </c>
      <c r="B1776" s="2" t="s">
        <v>169</v>
      </c>
      <c r="C1776" s="1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  <c r="L1776" s="2" t="s">
        <v>11029</v>
      </c>
      <c r="M1776" s="2" t="s">
        <v>11028</v>
      </c>
      <c r="N1776" s="2" t="s">
        <v>11037</v>
      </c>
      <c r="O1776" s="2" t="s">
        <v>11037</v>
      </c>
      <c r="P1776" s="2" t="s">
        <v>11038</v>
      </c>
      <c r="Q1776" s="2">
        <f>AVERAGE(PerfRate[[#This Row],[EnvironmentSatisfaction]],PerfRate[[#This Row],[JobSatisfaction]],PerfRate[[#This Row],[RelationshipSatisfaction]])</f>
        <v>4.333333333333333</v>
      </c>
      <c r="R1776" s="2">
        <f>PerfRate[[#This Row],[ManagerRating]] - PerfRate[[#This Row],[SelfRating]]</f>
        <v>-1</v>
      </c>
    </row>
    <row r="1777" spans="1:18">
      <c r="A1777" s="2" t="s">
        <v>6084</v>
      </c>
      <c r="B1777" s="2" t="s">
        <v>1210</v>
      </c>
      <c r="C1777" s="1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  <c r="L1777" s="2" t="s">
        <v>11030</v>
      </c>
      <c r="M1777" s="2" t="s">
        <v>11030</v>
      </c>
      <c r="N1777" s="2" t="s">
        <v>11037</v>
      </c>
      <c r="O1777" s="2" t="s">
        <v>11038</v>
      </c>
      <c r="P1777" s="2" t="s">
        <v>11036</v>
      </c>
      <c r="Q1777" s="2">
        <f>AVERAGE(PerfRate[[#This Row],[EnvironmentSatisfaction]],PerfRate[[#This Row],[JobSatisfaction]],PerfRate[[#This Row],[RelationshipSatisfaction]])</f>
        <v>4</v>
      </c>
      <c r="R1777" s="2">
        <f>PerfRate[[#This Row],[ManagerRating]] - PerfRate[[#This Row],[SelfRating]]</f>
        <v>0</v>
      </c>
    </row>
    <row r="1778" spans="1:18">
      <c r="A1778" s="2" t="s">
        <v>6085</v>
      </c>
      <c r="B1778" s="2" t="s">
        <v>1059</v>
      </c>
      <c r="C1778" s="1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  <c r="L1778" s="2" t="s">
        <v>11029</v>
      </c>
      <c r="M1778" s="2" t="s">
        <v>11029</v>
      </c>
      <c r="N1778" s="2" t="s">
        <v>11038</v>
      </c>
      <c r="O1778" s="2" t="s">
        <v>11038</v>
      </c>
      <c r="P1778" s="2" t="s">
        <v>11038</v>
      </c>
      <c r="Q1778" s="2">
        <f>AVERAGE(PerfRate[[#This Row],[EnvironmentSatisfaction]],PerfRate[[#This Row],[JobSatisfaction]],PerfRate[[#This Row],[RelationshipSatisfaction]])</f>
        <v>5</v>
      </c>
      <c r="R1778" s="2">
        <f>PerfRate[[#This Row],[ManagerRating]] - PerfRate[[#This Row],[SelfRating]]</f>
        <v>0</v>
      </c>
    </row>
    <row r="1779" spans="1:18">
      <c r="A1779" s="2" t="s">
        <v>6086</v>
      </c>
      <c r="B1779" s="2" t="s">
        <v>1243</v>
      </c>
      <c r="C1779" s="1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  <c r="L1779" s="2" t="s">
        <v>11031</v>
      </c>
      <c r="M1779" s="2" t="s">
        <v>11031</v>
      </c>
      <c r="N1779" s="2" t="s">
        <v>11036</v>
      </c>
      <c r="O1779" s="2" t="s">
        <v>11037</v>
      </c>
      <c r="P1779" s="2" t="s">
        <v>11035</v>
      </c>
      <c r="Q1779" s="2">
        <f>AVERAGE(PerfRate[[#This Row],[EnvironmentSatisfaction]],PerfRate[[#This Row],[JobSatisfaction]],PerfRate[[#This Row],[RelationshipSatisfaction]])</f>
        <v>3</v>
      </c>
      <c r="R1779" s="2">
        <f>PerfRate[[#This Row],[ManagerRating]] - PerfRate[[#This Row],[SelfRating]]</f>
        <v>0</v>
      </c>
    </row>
    <row r="1780" spans="1:18">
      <c r="A1780" s="2" t="s">
        <v>6087</v>
      </c>
      <c r="B1780" s="2" t="s">
        <v>1400</v>
      </c>
      <c r="C1780" s="1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  <c r="L1780" s="2" t="s">
        <v>11030</v>
      </c>
      <c r="M1780" s="2" t="s">
        <v>11029</v>
      </c>
      <c r="N1780" s="2" t="s">
        <v>11037</v>
      </c>
      <c r="O1780" s="2" t="s">
        <v>11038</v>
      </c>
      <c r="P1780" s="2" t="s">
        <v>11036</v>
      </c>
      <c r="Q1780" s="2">
        <f>AVERAGE(PerfRate[[#This Row],[EnvironmentSatisfaction]],PerfRate[[#This Row],[JobSatisfaction]],PerfRate[[#This Row],[RelationshipSatisfaction]])</f>
        <v>4</v>
      </c>
      <c r="R1780" s="2">
        <f>PerfRate[[#This Row],[ManagerRating]] - PerfRate[[#This Row],[SelfRating]]</f>
        <v>-1</v>
      </c>
    </row>
    <row r="1781" spans="1:18">
      <c r="A1781" s="2" t="s">
        <v>6088</v>
      </c>
      <c r="B1781" s="2" t="s">
        <v>1130</v>
      </c>
      <c r="C1781" s="1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  <c r="L1781" s="2" t="s">
        <v>11029</v>
      </c>
      <c r="M1781" s="2" t="s">
        <v>11029</v>
      </c>
      <c r="N1781" s="2" t="s">
        <v>11037</v>
      </c>
      <c r="O1781" s="2" t="s">
        <v>11035</v>
      </c>
      <c r="P1781" s="2" t="s">
        <v>11037</v>
      </c>
      <c r="Q1781" s="2">
        <f>AVERAGE(PerfRate[[#This Row],[EnvironmentSatisfaction]],PerfRate[[#This Row],[JobSatisfaction]],PerfRate[[#This Row],[RelationshipSatisfaction]])</f>
        <v>3.3333333333333335</v>
      </c>
      <c r="R1781" s="2">
        <f>PerfRate[[#This Row],[ManagerRating]] - PerfRate[[#This Row],[SelfRating]]</f>
        <v>0</v>
      </c>
    </row>
    <row r="1782" spans="1:18">
      <c r="A1782" s="2" t="s">
        <v>6089</v>
      </c>
      <c r="B1782" s="2" t="s">
        <v>3323</v>
      </c>
      <c r="C1782" s="1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  <c r="L1782" s="2" t="s">
        <v>11029</v>
      </c>
      <c r="M1782" s="2" t="s">
        <v>11029</v>
      </c>
      <c r="N1782" s="2" t="s">
        <v>11036</v>
      </c>
      <c r="O1782" s="2" t="s">
        <v>11036</v>
      </c>
      <c r="P1782" s="2" t="s">
        <v>11036</v>
      </c>
      <c r="Q1782" s="2">
        <f>AVERAGE(PerfRate[[#This Row],[EnvironmentSatisfaction]],PerfRate[[#This Row],[JobSatisfaction]],PerfRate[[#This Row],[RelationshipSatisfaction]])</f>
        <v>3</v>
      </c>
      <c r="R1782" s="2">
        <f>PerfRate[[#This Row],[ManagerRating]] - PerfRate[[#This Row],[SelfRating]]</f>
        <v>0</v>
      </c>
    </row>
    <row r="1783" spans="1:18">
      <c r="A1783" s="2" t="s">
        <v>6090</v>
      </c>
      <c r="B1783" s="2" t="s">
        <v>3611</v>
      </c>
      <c r="C1783" s="1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  <c r="L1783" s="2" t="s">
        <v>11030</v>
      </c>
      <c r="M1783" s="2" t="s">
        <v>11030</v>
      </c>
      <c r="N1783" s="2" t="s">
        <v>11037</v>
      </c>
      <c r="O1783" s="2" t="s">
        <v>11038</v>
      </c>
      <c r="P1783" s="2" t="s">
        <v>11037</v>
      </c>
      <c r="Q1783" s="2">
        <f>AVERAGE(PerfRate[[#This Row],[EnvironmentSatisfaction]],PerfRate[[#This Row],[JobSatisfaction]],PerfRate[[#This Row],[RelationshipSatisfaction]])</f>
        <v>4.333333333333333</v>
      </c>
      <c r="R1783" s="2">
        <f>PerfRate[[#This Row],[ManagerRating]] - PerfRate[[#This Row],[SelfRating]]</f>
        <v>0</v>
      </c>
    </row>
    <row r="1784" spans="1:18">
      <c r="A1784" s="2" t="s">
        <v>6091</v>
      </c>
      <c r="B1784" s="2" t="s">
        <v>1415</v>
      </c>
      <c r="C1784" s="1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  <c r="L1784" s="2" t="s">
        <v>11031</v>
      </c>
      <c r="M1784" s="2" t="s">
        <v>11031</v>
      </c>
      <c r="N1784" s="2" t="s">
        <v>11036</v>
      </c>
      <c r="O1784" s="2" t="s">
        <v>11035</v>
      </c>
      <c r="P1784" s="2" t="s">
        <v>11035</v>
      </c>
      <c r="Q1784" s="2">
        <f>AVERAGE(PerfRate[[#This Row],[EnvironmentSatisfaction]],PerfRate[[#This Row],[JobSatisfaction]],PerfRate[[#This Row],[RelationshipSatisfaction]])</f>
        <v>2.3333333333333335</v>
      </c>
      <c r="R1784" s="2">
        <f>PerfRate[[#This Row],[ManagerRating]] - PerfRate[[#This Row],[SelfRating]]</f>
        <v>0</v>
      </c>
    </row>
    <row r="1785" spans="1:18">
      <c r="A1785" s="2" t="s">
        <v>6092</v>
      </c>
      <c r="B1785" s="2" t="s">
        <v>2843</v>
      </c>
      <c r="C1785" s="1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  <c r="L1785" s="2" t="s">
        <v>11031</v>
      </c>
      <c r="M1785" s="2" t="s">
        <v>11030</v>
      </c>
      <c r="N1785" s="2" t="s">
        <v>11036</v>
      </c>
      <c r="O1785" s="2" t="s">
        <v>11037</v>
      </c>
      <c r="P1785" s="2" t="s">
        <v>11037</v>
      </c>
      <c r="Q1785" s="2">
        <f>AVERAGE(PerfRate[[#This Row],[EnvironmentSatisfaction]],PerfRate[[#This Row],[JobSatisfaction]],PerfRate[[#This Row],[RelationshipSatisfaction]])</f>
        <v>3.6666666666666665</v>
      </c>
      <c r="R1785" s="2">
        <f>PerfRate[[#This Row],[ManagerRating]] - PerfRate[[#This Row],[SelfRating]]</f>
        <v>-1</v>
      </c>
    </row>
    <row r="1786" spans="1:18">
      <c r="A1786" s="2" t="s">
        <v>6093</v>
      </c>
      <c r="B1786" s="2" t="s">
        <v>637</v>
      </c>
      <c r="C1786" s="1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  <c r="L1786" s="2" t="s">
        <v>11031</v>
      </c>
      <c r="M1786" s="2" t="s">
        <v>11030</v>
      </c>
      <c r="N1786" s="2" t="s">
        <v>11037</v>
      </c>
      <c r="O1786" s="2" t="s">
        <v>11035</v>
      </c>
      <c r="P1786" s="2" t="s">
        <v>11038</v>
      </c>
      <c r="Q1786" s="2">
        <f>AVERAGE(PerfRate[[#This Row],[EnvironmentSatisfaction]],PerfRate[[#This Row],[JobSatisfaction]],PerfRate[[#This Row],[RelationshipSatisfaction]])</f>
        <v>3.6666666666666665</v>
      </c>
      <c r="R1786" s="2">
        <f>PerfRate[[#This Row],[ManagerRating]] - PerfRate[[#This Row],[SelfRating]]</f>
        <v>-1</v>
      </c>
    </row>
    <row r="1787" spans="1:18">
      <c r="A1787" s="2" t="s">
        <v>6094</v>
      </c>
      <c r="B1787" s="2" t="s">
        <v>705</v>
      </c>
      <c r="C1787" s="1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  <c r="L1787" s="2" t="s">
        <v>11031</v>
      </c>
      <c r="M1787" s="2" t="s">
        <v>11030</v>
      </c>
      <c r="N1787" s="2" t="s">
        <v>11037</v>
      </c>
      <c r="O1787" s="2" t="s">
        <v>11035</v>
      </c>
      <c r="P1787" s="2" t="s">
        <v>11035</v>
      </c>
      <c r="Q1787" s="2">
        <f>AVERAGE(PerfRate[[#This Row],[EnvironmentSatisfaction]],PerfRate[[#This Row],[JobSatisfaction]],PerfRate[[#This Row],[RelationshipSatisfaction]])</f>
        <v>2.6666666666666665</v>
      </c>
      <c r="R1787" s="2">
        <f>PerfRate[[#This Row],[ManagerRating]] - PerfRate[[#This Row],[SelfRating]]</f>
        <v>-1</v>
      </c>
    </row>
    <row r="1788" spans="1:18">
      <c r="A1788" s="2" t="s">
        <v>6095</v>
      </c>
      <c r="B1788" s="2" t="s">
        <v>2184</v>
      </c>
      <c r="C1788" s="1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  <c r="L1788" s="2" t="s">
        <v>11031</v>
      </c>
      <c r="M1788" s="2" t="s">
        <v>11031</v>
      </c>
      <c r="N1788" s="2" t="s">
        <v>11037</v>
      </c>
      <c r="O1788" s="2" t="s">
        <v>11038</v>
      </c>
      <c r="P1788" s="2" t="s">
        <v>11036</v>
      </c>
      <c r="Q1788" s="2">
        <f>AVERAGE(PerfRate[[#This Row],[EnvironmentSatisfaction]],PerfRate[[#This Row],[JobSatisfaction]],PerfRate[[#This Row],[RelationshipSatisfaction]])</f>
        <v>4</v>
      </c>
      <c r="R1788" s="2">
        <f>PerfRate[[#This Row],[ManagerRating]] - PerfRate[[#This Row],[SelfRating]]</f>
        <v>0</v>
      </c>
    </row>
    <row r="1789" spans="1:18">
      <c r="A1789" s="2" t="s">
        <v>6096</v>
      </c>
      <c r="B1789" s="2" t="s">
        <v>872</v>
      </c>
      <c r="C1789" s="1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  <c r="L1789" s="2" t="s">
        <v>11029</v>
      </c>
      <c r="M1789" s="2" t="s">
        <v>11029</v>
      </c>
      <c r="N1789" s="2" t="s">
        <v>11037</v>
      </c>
      <c r="O1789" s="2" t="s">
        <v>11036</v>
      </c>
      <c r="P1789" s="2" t="s">
        <v>11035</v>
      </c>
      <c r="Q1789" s="2">
        <f>AVERAGE(PerfRate[[#This Row],[EnvironmentSatisfaction]],PerfRate[[#This Row],[JobSatisfaction]],PerfRate[[#This Row],[RelationshipSatisfaction]])</f>
        <v>3</v>
      </c>
      <c r="R1789" s="2">
        <f>PerfRate[[#This Row],[ManagerRating]] - PerfRate[[#This Row],[SelfRating]]</f>
        <v>0</v>
      </c>
    </row>
    <row r="1790" spans="1:18">
      <c r="A1790" s="2" t="s">
        <v>6097</v>
      </c>
      <c r="B1790" s="2" t="s">
        <v>720</v>
      </c>
      <c r="C1790" s="1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  <c r="L1790" s="2" t="s">
        <v>11030</v>
      </c>
      <c r="M1790" s="2" t="s">
        <v>11030</v>
      </c>
      <c r="N1790" s="2" t="s">
        <v>11037</v>
      </c>
      <c r="O1790" s="2" t="s">
        <v>11038</v>
      </c>
      <c r="P1790" s="2" t="s">
        <v>11037</v>
      </c>
      <c r="Q1790" s="2">
        <f>AVERAGE(PerfRate[[#This Row],[EnvironmentSatisfaction]],PerfRate[[#This Row],[JobSatisfaction]],PerfRate[[#This Row],[RelationshipSatisfaction]])</f>
        <v>4.333333333333333</v>
      </c>
      <c r="R1790" s="2">
        <f>PerfRate[[#This Row],[ManagerRating]] - PerfRate[[#This Row],[SelfRating]]</f>
        <v>0</v>
      </c>
    </row>
    <row r="1791" spans="1:18">
      <c r="A1791" s="2" t="s">
        <v>6098</v>
      </c>
      <c r="B1791" s="2" t="s">
        <v>1629</v>
      </c>
      <c r="C1791" s="1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  <c r="L1791" s="2" t="s">
        <v>11030</v>
      </c>
      <c r="M1791" s="2" t="s">
        <v>11029</v>
      </c>
      <c r="N1791" s="2" t="s">
        <v>11038</v>
      </c>
      <c r="O1791" s="2" t="s">
        <v>11036</v>
      </c>
      <c r="P1791" s="2" t="s">
        <v>11035</v>
      </c>
      <c r="Q1791" s="2">
        <f>AVERAGE(PerfRate[[#This Row],[EnvironmentSatisfaction]],PerfRate[[#This Row],[JobSatisfaction]],PerfRate[[#This Row],[RelationshipSatisfaction]])</f>
        <v>3.3333333333333335</v>
      </c>
      <c r="R1791" s="2">
        <f>PerfRate[[#This Row],[ManagerRating]] - PerfRate[[#This Row],[SelfRating]]</f>
        <v>-1</v>
      </c>
    </row>
    <row r="1792" spans="1:18">
      <c r="A1792" s="2" t="s">
        <v>6099</v>
      </c>
      <c r="B1792" s="2" t="s">
        <v>359</v>
      </c>
      <c r="C1792" s="1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  <c r="L1792" s="2" t="s">
        <v>11030</v>
      </c>
      <c r="M1792" s="2" t="s">
        <v>11029</v>
      </c>
      <c r="N1792" s="2" t="s">
        <v>11036</v>
      </c>
      <c r="O1792" s="2" t="s">
        <v>11037</v>
      </c>
      <c r="P1792" s="2" t="s">
        <v>11038</v>
      </c>
      <c r="Q1792" s="2">
        <f>AVERAGE(PerfRate[[#This Row],[EnvironmentSatisfaction]],PerfRate[[#This Row],[JobSatisfaction]],PerfRate[[#This Row],[RelationshipSatisfaction]])</f>
        <v>4</v>
      </c>
      <c r="R1792" s="2">
        <f>PerfRate[[#This Row],[ManagerRating]] - PerfRate[[#This Row],[SelfRating]]</f>
        <v>-1</v>
      </c>
    </row>
    <row r="1793" spans="1:18">
      <c r="A1793" s="2" t="s">
        <v>6100</v>
      </c>
      <c r="B1793" s="2" t="s">
        <v>1412</v>
      </c>
      <c r="C1793" s="1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  <c r="L1793" s="2" t="s">
        <v>11030</v>
      </c>
      <c r="M1793" s="2" t="s">
        <v>11029</v>
      </c>
      <c r="N1793" s="2" t="s">
        <v>11036</v>
      </c>
      <c r="O1793" s="2" t="s">
        <v>11037</v>
      </c>
      <c r="P1793" s="2" t="s">
        <v>11037</v>
      </c>
      <c r="Q1793" s="2">
        <f>AVERAGE(PerfRate[[#This Row],[EnvironmentSatisfaction]],PerfRate[[#This Row],[JobSatisfaction]],PerfRate[[#This Row],[RelationshipSatisfaction]])</f>
        <v>3.6666666666666665</v>
      </c>
      <c r="R1793" s="2">
        <f>PerfRate[[#This Row],[ManagerRating]] - PerfRate[[#This Row],[SelfRating]]</f>
        <v>-1</v>
      </c>
    </row>
    <row r="1794" spans="1:18">
      <c r="A1794" s="2" t="s">
        <v>6101</v>
      </c>
      <c r="B1794" s="2" t="s">
        <v>1482</v>
      </c>
      <c r="C1794" s="1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  <c r="L1794" s="2" t="s">
        <v>11030</v>
      </c>
      <c r="M1794" s="2" t="s">
        <v>11030</v>
      </c>
      <c r="N1794" s="2" t="s">
        <v>11038</v>
      </c>
      <c r="O1794" s="2" t="s">
        <v>11035</v>
      </c>
      <c r="P1794" s="2" t="s">
        <v>11035</v>
      </c>
      <c r="Q1794" s="2">
        <f>AVERAGE(PerfRate[[#This Row],[EnvironmentSatisfaction]],PerfRate[[#This Row],[JobSatisfaction]],PerfRate[[#This Row],[RelationshipSatisfaction]])</f>
        <v>3</v>
      </c>
      <c r="R1794" s="2">
        <f>PerfRate[[#This Row],[ManagerRating]] - PerfRate[[#This Row],[SelfRating]]</f>
        <v>0</v>
      </c>
    </row>
    <row r="1795" spans="1:18">
      <c r="A1795" s="2" t="s">
        <v>6102</v>
      </c>
      <c r="B1795" s="2" t="s">
        <v>806</v>
      </c>
      <c r="C1795" s="1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  <c r="L1795" s="2" t="s">
        <v>11029</v>
      </c>
      <c r="M1795" s="2" t="s">
        <v>11028</v>
      </c>
      <c r="N1795" s="2" t="s">
        <v>11036</v>
      </c>
      <c r="O1795" s="2" t="s">
        <v>11037</v>
      </c>
      <c r="P1795" s="2" t="s">
        <v>11037</v>
      </c>
      <c r="Q1795" s="2">
        <f>AVERAGE(PerfRate[[#This Row],[EnvironmentSatisfaction]],PerfRate[[#This Row],[JobSatisfaction]],PerfRate[[#This Row],[RelationshipSatisfaction]])</f>
        <v>3.6666666666666665</v>
      </c>
      <c r="R1795" s="2">
        <f>PerfRate[[#This Row],[ManagerRating]] - PerfRate[[#This Row],[SelfRating]]</f>
        <v>-1</v>
      </c>
    </row>
    <row r="1796" spans="1:18">
      <c r="A1796" s="2" t="s">
        <v>6103</v>
      </c>
      <c r="B1796" s="2" t="s">
        <v>955</v>
      </c>
      <c r="C1796" s="1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  <c r="L1796" s="2" t="s">
        <v>11031</v>
      </c>
      <c r="M1796" s="2" t="s">
        <v>11030</v>
      </c>
      <c r="N1796" s="2" t="s">
        <v>11037</v>
      </c>
      <c r="O1796" s="2" t="s">
        <v>11037</v>
      </c>
      <c r="P1796" s="2" t="s">
        <v>11035</v>
      </c>
      <c r="Q1796" s="2">
        <f>AVERAGE(PerfRate[[#This Row],[EnvironmentSatisfaction]],PerfRate[[#This Row],[JobSatisfaction]],PerfRate[[#This Row],[RelationshipSatisfaction]])</f>
        <v>3.3333333333333335</v>
      </c>
      <c r="R1796" s="2">
        <f>PerfRate[[#This Row],[ManagerRating]] - PerfRate[[#This Row],[SelfRating]]</f>
        <v>-1</v>
      </c>
    </row>
    <row r="1797" spans="1:18">
      <c r="A1797" s="2" t="s">
        <v>6104</v>
      </c>
      <c r="B1797" s="2" t="s">
        <v>808</v>
      </c>
      <c r="C1797" s="1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  <c r="L1797" s="2" t="s">
        <v>11030</v>
      </c>
      <c r="M1797" s="2" t="s">
        <v>11030</v>
      </c>
      <c r="N1797" s="2" t="s">
        <v>11037</v>
      </c>
      <c r="O1797" s="2" t="s">
        <v>11037</v>
      </c>
      <c r="P1797" s="2" t="s">
        <v>11036</v>
      </c>
      <c r="Q1797" s="2">
        <f>AVERAGE(PerfRate[[#This Row],[EnvironmentSatisfaction]],PerfRate[[#This Row],[JobSatisfaction]],PerfRate[[#This Row],[RelationshipSatisfaction]])</f>
        <v>3.6666666666666665</v>
      </c>
      <c r="R1797" s="2">
        <f>PerfRate[[#This Row],[ManagerRating]] - PerfRate[[#This Row],[SelfRating]]</f>
        <v>0</v>
      </c>
    </row>
    <row r="1798" spans="1:18">
      <c r="A1798" s="2" t="s">
        <v>6105</v>
      </c>
      <c r="B1798" s="2" t="s">
        <v>3054</v>
      </c>
      <c r="C1798" s="1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  <c r="L1798" s="2" t="s">
        <v>11029</v>
      </c>
      <c r="M1798" s="2" t="s">
        <v>11028</v>
      </c>
      <c r="N1798" s="2" t="s">
        <v>11037</v>
      </c>
      <c r="O1798" s="2" t="s">
        <v>11037</v>
      </c>
      <c r="P1798" s="2" t="s">
        <v>11034</v>
      </c>
      <c r="Q1798" s="2">
        <f>AVERAGE(PerfRate[[#This Row],[EnvironmentSatisfaction]],PerfRate[[#This Row],[JobSatisfaction]],PerfRate[[#This Row],[RelationshipSatisfaction]])</f>
        <v>3</v>
      </c>
      <c r="R1798" s="2">
        <f>PerfRate[[#This Row],[ManagerRating]] - PerfRate[[#This Row],[SelfRating]]</f>
        <v>-1</v>
      </c>
    </row>
    <row r="1799" spans="1:18">
      <c r="A1799" s="2" t="s">
        <v>6106</v>
      </c>
      <c r="B1799" s="2" t="s">
        <v>1201</v>
      </c>
      <c r="C1799" s="1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  <c r="L1799" s="2" t="s">
        <v>11031</v>
      </c>
      <c r="M1799" s="2" t="s">
        <v>11031</v>
      </c>
      <c r="N1799" s="2" t="s">
        <v>11038</v>
      </c>
      <c r="O1799" s="2" t="s">
        <v>11035</v>
      </c>
      <c r="P1799" s="2" t="s">
        <v>11036</v>
      </c>
      <c r="Q1799" s="2">
        <f>AVERAGE(PerfRate[[#This Row],[EnvironmentSatisfaction]],PerfRate[[#This Row],[JobSatisfaction]],PerfRate[[#This Row],[RelationshipSatisfaction]])</f>
        <v>3.3333333333333335</v>
      </c>
      <c r="R1799" s="2">
        <f>PerfRate[[#This Row],[ManagerRating]] - PerfRate[[#This Row],[SelfRating]]</f>
        <v>0</v>
      </c>
    </row>
    <row r="1800" spans="1:18">
      <c r="A1800" s="2" t="s">
        <v>6107</v>
      </c>
      <c r="B1800" s="2" t="s">
        <v>431</v>
      </c>
      <c r="C1800" s="1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  <c r="L1800" s="2" t="s">
        <v>11031</v>
      </c>
      <c r="M1800" s="2" t="s">
        <v>11031</v>
      </c>
      <c r="N1800" s="2" t="s">
        <v>11034</v>
      </c>
      <c r="O1800" s="2" t="s">
        <v>11037</v>
      </c>
      <c r="P1800" s="2" t="s">
        <v>11035</v>
      </c>
      <c r="Q1800" s="2">
        <f>AVERAGE(PerfRate[[#This Row],[EnvironmentSatisfaction]],PerfRate[[#This Row],[JobSatisfaction]],PerfRate[[#This Row],[RelationshipSatisfaction]])</f>
        <v>2.3333333333333335</v>
      </c>
      <c r="R1800" s="2">
        <f>PerfRate[[#This Row],[ManagerRating]] - PerfRate[[#This Row],[SelfRating]]</f>
        <v>0</v>
      </c>
    </row>
    <row r="1801" spans="1:18">
      <c r="A1801" s="2" t="s">
        <v>6108</v>
      </c>
      <c r="B1801" s="2" t="s">
        <v>649</v>
      </c>
      <c r="C1801" s="1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  <c r="L1801" s="2" t="s">
        <v>11030</v>
      </c>
      <c r="M1801" s="2" t="s">
        <v>11029</v>
      </c>
      <c r="N1801" s="2" t="s">
        <v>11036</v>
      </c>
      <c r="O1801" s="2" t="s">
        <v>11034</v>
      </c>
      <c r="P1801" s="2" t="s">
        <v>11034</v>
      </c>
      <c r="Q1801" s="2">
        <f>AVERAGE(PerfRate[[#This Row],[EnvironmentSatisfaction]],PerfRate[[#This Row],[JobSatisfaction]],PerfRate[[#This Row],[RelationshipSatisfaction]])</f>
        <v>1.6666666666666667</v>
      </c>
      <c r="R1801" s="2">
        <f>PerfRate[[#This Row],[ManagerRating]] - PerfRate[[#This Row],[SelfRating]]</f>
        <v>-1</v>
      </c>
    </row>
    <row r="1802" spans="1:18">
      <c r="A1802" s="2" t="s">
        <v>6109</v>
      </c>
      <c r="B1802" s="2" t="s">
        <v>1003</v>
      </c>
      <c r="C1802" s="1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  <c r="L1802" s="2" t="s">
        <v>11031</v>
      </c>
      <c r="M1802" s="2" t="s">
        <v>11030</v>
      </c>
      <c r="N1802" s="2" t="s">
        <v>11037</v>
      </c>
      <c r="O1802" s="2" t="s">
        <v>11036</v>
      </c>
      <c r="P1802" s="2" t="s">
        <v>11035</v>
      </c>
      <c r="Q1802" s="2">
        <f>AVERAGE(PerfRate[[#This Row],[EnvironmentSatisfaction]],PerfRate[[#This Row],[JobSatisfaction]],PerfRate[[#This Row],[RelationshipSatisfaction]])</f>
        <v>3</v>
      </c>
      <c r="R1802" s="2">
        <f>PerfRate[[#This Row],[ManagerRating]] - PerfRate[[#This Row],[SelfRating]]</f>
        <v>-1</v>
      </c>
    </row>
    <row r="1803" spans="1:18">
      <c r="A1803" s="2" t="s">
        <v>6110</v>
      </c>
      <c r="B1803" s="2" t="s">
        <v>1318</v>
      </c>
      <c r="C1803" s="1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  <c r="L1803" s="2" t="s">
        <v>11030</v>
      </c>
      <c r="M1803" s="2" t="s">
        <v>11029</v>
      </c>
      <c r="N1803" s="2" t="s">
        <v>11037</v>
      </c>
      <c r="O1803" s="2" t="s">
        <v>11036</v>
      </c>
      <c r="P1803" s="2" t="s">
        <v>11034</v>
      </c>
      <c r="Q1803" s="2">
        <f>AVERAGE(PerfRate[[#This Row],[EnvironmentSatisfaction]],PerfRate[[#This Row],[JobSatisfaction]],PerfRate[[#This Row],[RelationshipSatisfaction]])</f>
        <v>2.6666666666666665</v>
      </c>
      <c r="R1803" s="2">
        <f>PerfRate[[#This Row],[ManagerRating]] - PerfRate[[#This Row],[SelfRating]]</f>
        <v>-1</v>
      </c>
    </row>
    <row r="1804" spans="1:18">
      <c r="A1804" s="2" t="s">
        <v>6111</v>
      </c>
      <c r="B1804" s="2" t="s">
        <v>3583</v>
      </c>
      <c r="C1804" s="1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  <c r="L1804" s="2" t="s">
        <v>11031</v>
      </c>
      <c r="M1804" s="2" t="s">
        <v>11030</v>
      </c>
      <c r="N1804" s="2" t="s">
        <v>11035</v>
      </c>
      <c r="O1804" s="2" t="s">
        <v>11036</v>
      </c>
      <c r="P1804" s="2" t="s">
        <v>11035</v>
      </c>
      <c r="Q1804" s="2">
        <f>AVERAGE(PerfRate[[#This Row],[EnvironmentSatisfaction]],PerfRate[[#This Row],[JobSatisfaction]],PerfRate[[#This Row],[RelationshipSatisfaction]])</f>
        <v>2.3333333333333335</v>
      </c>
      <c r="R1804" s="2">
        <f>PerfRate[[#This Row],[ManagerRating]] - PerfRate[[#This Row],[SelfRating]]</f>
        <v>-1</v>
      </c>
    </row>
    <row r="1805" spans="1:18">
      <c r="A1805" s="2" t="s">
        <v>6112</v>
      </c>
      <c r="B1805" s="2" t="s">
        <v>138</v>
      </c>
      <c r="C1805" s="1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  <c r="L1805" s="2" t="s">
        <v>11031</v>
      </c>
      <c r="M1805" s="2" t="s">
        <v>11031</v>
      </c>
      <c r="N1805" s="2" t="s">
        <v>11036</v>
      </c>
      <c r="O1805" s="2" t="s">
        <v>11036</v>
      </c>
      <c r="P1805" s="2" t="s">
        <v>11038</v>
      </c>
      <c r="Q1805" s="2">
        <f>AVERAGE(PerfRate[[#This Row],[EnvironmentSatisfaction]],PerfRate[[#This Row],[JobSatisfaction]],PerfRate[[#This Row],[RelationshipSatisfaction]])</f>
        <v>3.6666666666666665</v>
      </c>
      <c r="R1805" s="2">
        <f>PerfRate[[#This Row],[ManagerRating]] - PerfRate[[#This Row],[SelfRating]]</f>
        <v>0</v>
      </c>
    </row>
    <row r="1806" spans="1:18">
      <c r="A1806" s="2" t="s">
        <v>6113</v>
      </c>
      <c r="B1806" s="2" t="s">
        <v>1557</v>
      </c>
      <c r="C1806" s="1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  <c r="L1806" s="2" t="s">
        <v>11029</v>
      </c>
      <c r="M1806" s="2" t="s">
        <v>11028</v>
      </c>
      <c r="N1806" s="2" t="s">
        <v>11038</v>
      </c>
      <c r="O1806" s="2" t="s">
        <v>11037</v>
      </c>
      <c r="P1806" s="2" t="s">
        <v>11035</v>
      </c>
      <c r="Q1806" s="2">
        <f>AVERAGE(PerfRate[[#This Row],[EnvironmentSatisfaction]],PerfRate[[#This Row],[JobSatisfaction]],PerfRate[[#This Row],[RelationshipSatisfaction]])</f>
        <v>3.6666666666666665</v>
      </c>
      <c r="R1806" s="2">
        <f>PerfRate[[#This Row],[ManagerRating]] - PerfRate[[#This Row],[SelfRating]]</f>
        <v>-1</v>
      </c>
    </row>
    <row r="1807" spans="1:18">
      <c r="A1807" s="2" t="s">
        <v>6114</v>
      </c>
      <c r="B1807" s="2" t="s">
        <v>23</v>
      </c>
      <c r="C1807" s="1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  <c r="L1807" s="2" t="s">
        <v>11031</v>
      </c>
      <c r="M1807" s="2" t="s">
        <v>11031</v>
      </c>
      <c r="N1807" s="2" t="s">
        <v>11038</v>
      </c>
      <c r="O1807" s="2" t="s">
        <v>11038</v>
      </c>
      <c r="P1807" s="2" t="s">
        <v>11037</v>
      </c>
      <c r="Q1807" s="2">
        <f>AVERAGE(PerfRate[[#This Row],[EnvironmentSatisfaction]],PerfRate[[#This Row],[JobSatisfaction]],PerfRate[[#This Row],[RelationshipSatisfaction]])</f>
        <v>4.666666666666667</v>
      </c>
      <c r="R1807" s="2">
        <f>PerfRate[[#This Row],[ManagerRating]] - PerfRate[[#This Row],[SelfRating]]</f>
        <v>0</v>
      </c>
    </row>
    <row r="1808" spans="1:18">
      <c r="A1808" s="2" t="s">
        <v>6115</v>
      </c>
      <c r="B1808" s="2" t="s">
        <v>4069</v>
      </c>
      <c r="C1808" s="1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  <c r="L1808" s="2" t="s">
        <v>11030</v>
      </c>
      <c r="M1808" s="2" t="s">
        <v>11029</v>
      </c>
      <c r="N1808" s="2" t="s">
        <v>11036</v>
      </c>
      <c r="O1808" s="2" t="s">
        <v>11037</v>
      </c>
      <c r="P1808" s="2" t="s">
        <v>11035</v>
      </c>
      <c r="Q1808" s="2">
        <f>AVERAGE(PerfRate[[#This Row],[EnvironmentSatisfaction]],PerfRate[[#This Row],[JobSatisfaction]],PerfRate[[#This Row],[RelationshipSatisfaction]])</f>
        <v>3</v>
      </c>
      <c r="R1808" s="2">
        <f>PerfRate[[#This Row],[ManagerRating]] - PerfRate[[#This Row],[SelfRating]]</f>
        <v>-1</v>
      </c>
    </row>
    <row r="1809" spans="1:18">
      <c r="A1809" s="2" t="s">
        <v>6116</v>
      </c>
      <c r="B1809" s="2" t="s">
        <v>797</v>
      </c>
      <c r="C1809" s="1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  <c r="L1809" s="2" t="s">
        <v>11031</v>
      </c>
      <c r="M1809" s="2" t="s">
        <v>11030</v>
      </c>
      <c r="N1809" s="2" t="s">
        <v>11038</v>
      </c>
      <c r="O1809" s="2" t="s">
        <v>11035</v>
      </c>
      <c r="P1809" s="2" t="s">
        <v>11035</v>
      </c>
      <c r="Q1809" s="2">
        <f>AVERAGE(PerfRate[[#This Row],[EnvironmentSatisfaction]],PerfRate[[#This Row],[JobSatisfaction]],PerfRate[[#This Row],[RelationshipSatisfaction]])</f>
        <v>3</v>
      </c>
      <c r="R1809" s="2">
        <f>PerfRate[[#This Row],[ManagerRating]] - PerfRate[[#This Row],[SelfRating]]</f>
        <v>-1</v>
      </c>
    </row>
    <row r="1810" spans="1:18">
      <c r="A1810" s="2" t="s">
        <v>6117</v>
      </c>
      <c r="B1810" s="2" t="s">
        <v>2427</v>
      </c>
      <c r="C1810" s="1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  <c r="L1810" s="2" t="s">
        <v>11030</v>
      </c>
      <c r="M1810" s="2" t="s">
        <v>11030</v>
      </c>
      <c r="N1810" s="2" t="s">
        <v>11037</v>
      </c>
      <c r="O1810" s="2" t="s">
        <v>11035</v>
      </c>
      <c r="P1810" s="2" t="s">
        <v>11036</v>
      </c>
      <c r="Q1810" s="2">
        <f>AVERAGE(PerfRate[[#This Row],[EnvironmentSatisfaction]],PerfRate[[#This Row],[JobSatisfaction]],PerfRate[[#This Row],[RelationshipSatisfaction]])</f>
        <v>3</v>
      </c>
      <c r="R1810" s="2">
        <f>PerfRate[[#This Row],[ManagerRating]] - PerfRate[[#This Row],[SelfRating]]</f>
        <v>0</v>
      </c>
    </row>
    <row r="1811" spans="1:18">
      <c r="A1811" s="2" t="s">
        <v>6118</v>
      </c>
      <c r="B1811" s="2" t="s">
        <v>574</v>
      </c>
      <c r="C1811" s="1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  <c r="L1811" s="2" t="s">
        <v>11030</v>
      </c>
      <c r="M1811" s="2" t="s">
        <v>11030</v>
      </c>
      <c r="N1811" s="2" t="s">
        <v>11036</v>
      </c>
      <c r="O1811" s="2" t="s">
        <v>11035</v>
      </c>
      <c r="P1811" s="2" t="s">
        <v>11038</v>
      </c>
      <c r="Q1811" s="2">
        <f>AVERAGE(PerfRate[[#This Row],[EnvironmentSatisfaction]],PerfRate[[#This Row],[JobSatisfaction]],PerfRate[[#This Row],[RelationshipSatisfaction]])</f>
        <v>3.3333333333333335</v>
      </c>
      <c r="R1811" s="2">
        <f>PerfRate[[#This Row],[ManagerRating]] - PerfRate[[#This Row],[SelfRating]]</f>
        <v>0</v>
      </c>
    </row>
    <row r="1812" spans="1:18">
      <c r="A1812" s="2" t="s">
        <v>6119</v>
      </c>
      <c r="B1812" s="2" t="s">
        <v>875</v>
      </c>
      <c r="C1812" s="1">
        <v>43111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  <c r="L1812" s="2" t="s">
        <v>11030</v>
      </c>
      <c r="M1812" s="2" t="s">
        <v>11029</v>
      </c>
      <c r="N1812" s="2" t="s">
        <v>11037</v>
      </c>
      <c r="O1812" s="2" t="s">
        <v>11036</v>
      </c>
      <c r="P1812" s="2" t="s">
        <v>11037</v>
      </c>
      <c r="Q1812" s="2">
        <f>AVERAGE(PerfRate[[#This Row],[EnvironmentSatisfaction]],PerfRate[[#This Row],[JobSatisfaction]],PerfRate[[#This Row],[RelationshipSatisfaction]])</f>
        <v>3.6666666666666665</v>
      </c>
      <c r="R1812" s="2">
        <f>PerfRate[[#This Row],[ManagerRating]] - PerfRate[[#This Row],[SelfRating]]</f>
        <v>-1</v>
      </c>
    </row>
    <row r="1813" spans="1:18">
      <c r="A1813" s="2" t="s">
        <v>6120</v>
      </c>
      <c r="B1813" s="2" t="s">
        <v>389</v>
      </c>
      <c r="C1813" s="1">
        <v>43142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  <c r="L1813" s="2" t="s">
        <v>11029</v>
      </c>
      <c r="M1813" s="2" t="s">
        <v>11029</v>
      </c>
      <c r="N1813" s="2" t="s">
        <v>11038</v>
      </c>
      <c r="O1813" s="2" t="s">
        <v>11038</v>
      </c>
      <c r="P1813" s="2" t="s">
        <v>11036</v>
      </c>
      <c r="Q1813" s="2">
        <f>AVERAGE(PerfRate[[#This Row],[EnvironmentSatisfaction]],PerfRate[[#This Row],[JobSatisfaction]],PerfRate[[#This Row],[RelationshipSatisfaction]])</f>
        <v>4.333333333333333</v>
      </c>
      <c r="R1813" s="2">
        <f>PerfRate[[#This Row],[ManagerRating]] - PerfRate[[#This Row],[SelfRating]]</f>
        <v>0</v>
      </c>
    </row>
    <row r="1814" spans="1:18">
      <c r="A1814" s="2" t="s">
        <v>6121</v>
      </c>
      <c r="B1814" s="2" t="s">
        <v>1207</v>
      </c>
      <c r="C1814" s="1">
        <v>43142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  <c r="L1814" s="2" t="s">
        <v>11031</v>
      </c>
      <c r="M1814" s="2" t="s">
        <v>11031</v>
      </c>
      <c r="N1814" s="2" t="s">
        <v>11036</v>
      </c>
      <c r="O1814" s="2" t="s">
        <v>11038</v>
      </c>
      <c r="P1814" s="2" t="s">
        <v>11038</v>
      </c>
      <c r="Q1814" s="2">
        <f>AVERAGE(PerfRate[[#This Row],[EnvironmentSatisfaction]],PerfRate[[#This Row],[JobSatisfaction]],PerfRate[[#This Row],[RelationshipSatisfaction]])</f>
        <v>4.333333333333333</v>
      </c>
      <c r="R1814" s="2">
        <f>PerfRate[[#This Row],[ManagerRating]] - PerfRate[[#This Row],[SelfRating]]</f>
        <v>0</v>
      </c>
    </row>
    <row r="1815" spans="1:18">
      <c r="A1815" s="2" t="s">
        <v>6122</v>
      </c>
      <c r="B1815" s="2" t="s">
        <v>3552</v>
      </c>
      <c r="C1815" s="1">
        <v>43170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  <c r="L1815" s="2" t="s">
        <v>11030</v>
      </c>
      <c r="M1815" s="2" t="s">
        <v>11030</v>
      </c>
      <c r="N1815" s="2" t="s">
        <v>11036</v>
      </c>
      <c r="O1815" s="2" t="s">
        <v>11035</v>
      </c>
      <c r="P1815" s="2" t="s">
        <v>11038</v>
      </c>
      <c r="Q1815" s="2">
        <f>AVERAGE(PerfRate[[#This Row],[EnvironmentSatisfaction]],PerfRate[[#This Row],[JobSatisfaction]],PerfRate[[#This Row],[RelationshipSatisfaction]])</f>
        <v>3.3333333333333335</v>
      </c>
      <c r="R1815" s="2">
        <f>PerfRate[[#This Row],[ManagerRating]] - PerfRate[[#This Row],[SelfRating]]</f>
        <v>0</v>
      </c>
    </row>
    <row r="1816" spans="1:18">
      <c r="A1816" s="2" t="s">
        <v>6123</v>
      </c>
      <c r="B1816" s="2" t="s">
        <v>1426</v>
      </c>
      <c r="C1816" s="1">
        <v>43170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  <c r="L1816" s="2" t="s">
        <v>11029</v>
      </c>
      <c r="M1816" s="2" t="s">
        <v>11029</v>
      </c>
      <c r="N1816" s="2" t="s">
        <v>11038</v>
      </c>
      <c r="O1816" s="2" t="s">
        <v>11037</v>
      </c>
      <c r="P1816" s="2" t="s">
        <v>11036</v>
      </c>
      <c r="Q1816" s="2">
        <f>AVERAGE(PerfRate[[#This Row],[EnvironmentSatisfaction]],PerfRate[[#This Row],[JobSatisfaction]],PerfRate[[#This Row],[RelationshipSatisfaction]])</f>
        <v>4</v>
      </c>
      <c r="R1816" s="2">
        <f>PerfRate[[#This Row],[ManagerRating]] - PerfRate[[#This Row],[SelfRating]]</f>
        <v>0</v>
      </c>
    </row>
    <row r="1817" spans="1:18">
      <c r="A1817" s="2" t="s">
        <v>6124</v>
      </c>
      <c r="B1817" s="2" t="s">
        <v>681</v>
      </c>
      <c r="C1817" s="1">
        <v>43201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  <c r="L1817" s="2" t="s">
        <v>11031</v>
      </c>
      <c r="M1817" s="2" t="s">
        <v>11031</v>
      </c>
      <c r="N1817" s="2" t="s">
        <v>11036</v>
      </c>
      <c r="O1817" s="2" t="s">
        <v>11036</v>
      </c>
      <c r="P1817" s="2" t="s">
        <v>11037</v>
      </c>
      <c r="Q1817" s="2">
        <f>AVERAGE(PerfRate[[#This Row],[EnvironmentSatisfaction]],PerfRate[[#This Row],[JobSatisfaction]],PerfRate[[#This Row],[RelationshipSatisfaction]])</f>
        <v>3.3333333333333335</v>
      </c>
      <c r="R1817" s="2">
        <f>PerfRate[[#This Row],[ManagerRating]] - PerfRate[[#This Row],[SelfRating]]</f>
        <v>0</v>
      </c>
    </row>
    <row r="1818" spans="1:18">
      <c r="A1818" s="2" t="s">
        <v>6125</v>
      </c>
      <c r="B1818" s="2" t="s">
        <v>3305</v>
      </c>
      <c r="C1818" s="1">
        <v>43231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  <c r="L1818" s="2" t="s">
        <v>11031</v>
      </c>
      <c r="M1818" s="2" t="s">
        <v>11031</v>
      </c>
      <c r="N1818" s="2" t="s">
        <v>11036</v>
      </c>
      <c r="O1818" s="2" t="s">
        <v>11036</v>
      </c>
      <c r="P1818" s="2" t="s">
        <v>11038</v>
      </c>
      <c r="Q1818" s="2">
        <f>AVERAGE(PerfRate[[#This Row],[EnvironmentSatisfaction]],PerfRate[[#This Row],[JobSatisfaction]],PerfRate[[#This Row],[RelationshipSatisfaction]])</f>
        <v>3.6666666666666665</v>
      </c>
      <c r="R1818" s="2">
        <f>PerfRate[[#This Row],[ManagerRating]] - PerfRate[[#This Row],[SelfRating]]</f>
        <v>0</v>
      </c>
    </row>
    <row r="1819" spans="1:18">
      <c r="A1819" s="2" t="s">
        <v>6126</v>
      </c>
      <c r="B1819" s="2" t="s">
        <v>1087</v>
      </c>
      <c r="C1819" s="1">
        <v>43231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  <c r="L1819" s="2" t="s">
        <v>11030</v>
      </c>
      <c r="M1819" s="2" t="s">
        <v>11029</v>
      </c>
      <c r="N1819" s="2" t="s">
        <v>11037</v>
      </c>
      <c r="O1819" s="2" t="s">
        <v>11037</v>
      </c>
      <c r="P1819" s="2" t="s">
        <v>11038</v>
      </c>
      <c r="Q1819" s="2">
        <f>AVERAGE(PerfRate[[#This Row],[EnvironmentSatisfaction]],PerfRate[[#This Row],[JobSatisfaction]],PerfRate[[#This Row],[RelationshipSatisfaction]])</f>
        <v>4.333333333333333</v>
      </c>
      <c r="R1819" s="2">
        <f>PerfRate[[#This Row],[ManagerRating]] - PerfRate[[#This Row],[SelfRating]]</f>
        <v>-1</v>
      </c>
    </row>
    <row r="1820" spans="1:18">
      <c r="A1820" s="2" t="s">
        <v>6127</v>
      </c>
      <c r="B1820" s="2" t="s">
        <v>661</v>
      </c>
      <c r="C1820" s="1">
        <v>43262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  <c r="L1820" s="2" t="s">
        <v>11031</v>
      </c>
      <c r="M1820" s="2" t="s">
        <v>11030</v>
      </c>
      <c r="N1820" s="2" t="s">
        <v>11036</v>
      </c>
      <c r="O1820" s="2" t="s">
        <v>11036</v>
      </c>
      <c r="P1820" s="2" t="s">
        <v>11035</v>
      </c>
      <c r="Q1820" s="2">
        <f>AVERAGE(PerfRate[[#This Row],[EnvironmentSatisfaction]],PerfRate[[#This Row],[JobSatisfaction]],PerfRate[[#This Row],[RelationshipSatisfaction]])</f>
        <v>2.6666666666666665</v>
      </c>
      <c r="R1820" s="2">
        <f>PerfRate[[#This Row],[ManagerRating]] - PerfRate[[#This Row],[SelfRating]]</f>
        <v>-1</v>
      </c>
    </row>
    <row r="1821" spans="1:18">
      <c r="A1821" s="2" t="s">
        <v>6128</v>
      </c>
      <c r="B1821" s="2" t="s">
        <v>2296</v>
      </c>
      <c r="C1821" s="1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  <c r="L1821" s="2" t="s">
        <v>11030</v>
      </c>
      <c r="M1821" s="2" t="s">
        <v>11029</v>
      </c>
      <c r="N1821" s="2" t="s">
        <v>11038</v>
      </c>
      <c r="O1821" s="2" t="s">
        <v>11036</v>
      </c>
      <c r="P1821" s="2" t="s">
        <v>11038</v>
      </c>
      <c r="Q1821" s="2">
        <f>AVERAGE(PerfRate[[#This Row],[EnvironmentSatisfaction]],PerfRate[[#This Row],[JobSatisfaction]],PerfRate[[#This Row],[RelationshipSatisfaction]])</f>
        <v>4.333333333333333</v>
      </c>
      <c r="R1821" s="2">
        <f>PerfRate[[#This Row],[ManagerRating]] - PerfRate[[#This Row],[SelfRating]]</f>
        <v>-1</v>
      </c>
    </row>
    <row r="1822" spans="1:18">
      <c r="A1822" s="2" t="s">
        <v>6129</v>
      </c>
      <c r="B1822" s="2" t="s">
        <v>895</v>
      </c>
      <c r="C1822" s="1">
        <v>43262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  <c r="L1822" s="2" t="s">
        <v>11031</v>
      </c>
      <c r="M1822" s="2" t="s">
        <v>11031</v>
      </c>
      <c r="N1822" s="2" t="s">
        <v>11038</v>
      </c>
      <c r="O1822" s="2" t="s">
        <v>11035</v>
      </c>
      <c r="P1822" s="2" t="s">
        <v>11038</v>
      </c>
      <c r="Q1822" s="2">
        <f>AVERAGE(PerfRate[[#This Row],[EnvironmentSatisfaction]],PerfRate[[#This Row],[JobSatisfaction]],PerfRate[[#This Row],[RelationshipSatisfaction]])</f>
        <v>4</v>
      </c>
      <c r="R1822" s="2">
        <f>PerfRate[[#This Row],[ManagerRating]] - PerfRate[[#This Row],[SelfRating]]</f>
        <v>0</v>
      </c>
    </row>
    <row r="1823" spans="1:18">
      <c r="A1823" s="2" t="s">
        <v>6130</v>
      </c>
      <c r="B1823" s="2" t="s">
        <v>526</v>
      </c>
      <c r="C1823" s="1">
        <v>43262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  <c r="L1823" s="2" t="s">
        <v>11031</v>
      </c>
      <c r="M1823" s="2" t="s">
        <v>11030</v>
      </c>
      <c r="N1823" s="2" t="s">
        <v>11037</v>
      </c>
      <c r="O1823" s="2" t="s">
        <v>11038</v>
      </c>
      <c r="P1823" s="2" t="s">
        <v>11035</v>
      </c>
      <c r="Q1823" s="2">
        <f>AVERAGE(PerfRate[[#This Row],[EnvironmentSatisfaction]],PerfRate[[#This Row],[JobSatisfaction]],PerfRate[[#This Row],[RelationshipSatisfaction]])</f>
        <v>3.6666666666666665</v>
      </c>
      <c r="R1823" s="2">
        <f>PerfRate[[#This Row],[ManagerRating]] - PerfRate[[#This Row],[SelfRating]]</f>
        <v>-1</v>
      </c>
    </row>
    <row r="1824" spans="1:18">
      <c r="A1824" s="2" t="s">
        <v>6131</v>
      </c>
      <c r="B1824" s="2" t="s">
        <v>1121</v>
      </c>
      <c r="C1824" s="1">
        <v>43262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  <c r="L1824" s="2" t="s">
        <v>11030</v>
      </c>
      <c r="M1824" s="2" t="s">
        <v>11030</v>
      </c>
      <c r="N1824" s="2" t="s">
        <v>11036</v>
      </c>
      <c r="O1824" s="2" t="s">
        <v>11035</v>
      </c>
      <c r="P1824" s="2" t="s">
        <v>11036</v>
      </c>
      <c r="Q1824" s="2">
        <f>AVERAGE(PerfRate[[#This Row],[EnvironmentSatisfaction]],PerfRate[[#This Row],[JobSatisfaction]],PerfRate[[#This Row],[RelationshipSatisfaction]])</f>
        <v>2.6666666666666665</v>
      </c>
      <c r="R1824" s="2">
        <f>PerfRate[[#This Row],[ManagerRating]] - PerfRate[[#This Row],[SelfRating]]</f>
        <v>0</v>
      </c>
    </row>
    <row r="1825" spans="1:18">
      <c r="A1825" s="2" t="s">
        <v>6132</v>
      </c>
      <c r="B1825" s="2" t="s">
        <v>3442</v>
      </c>
      <c r="C1825" s="1">
        <v>43292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  <c r="L1825" s="2" t="s">
        <v>11031</v>
      </c>
      <c r="M1825" s="2" t="s">
        <v>11031</v>
      </c>
      <c r="N1825" s="2" t="s">
        <v>11036</v>
      </c>
      <c r="O1825" s="2" t="s">
        <v>11035</v>
      </c>
      <c r="P1825" s="2" t="s">
        <v>11036</v>
      </c>
      <c r="Q1825" s="2">
        <f>AVERAGE(PerfRate[[#This Row],[EnvironmentSatisfaction]],PerfRate[[#This Row],[JobSatisfaction]],PerfRate[[#This Row],[RelationshipSatisfaction]])</f>
        <v>2.6666666666666665</v>
      </c>
      <c r="R1825" s="2">
        <f>PerfRate[[#This Row],[ManagerRating]] - PerfRate[[#This Row],[SelfRating]]</f>
        <v>0</v>
      </c>
    </row>
    <row r="1826" spans="1:18">
      <c r="A1826" s="2" t="s">
        <v>6133</v>
      </c>
      <c r="B1826" s="2" t="s">
        <v>667</v>
      </c>
      <c r="C1826" s="1">
        <v>43292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  <c r="L1826" s="2" t="s">
        <v>11030</v>
      </c>
      <c r="M1826" s="2" t="s">
        <v>11029</v>
      </c>
      <c r="N1826" s="2" t="s">
        <v>11038</v>
      </c>
      <c r="O1826" s="2" t="s">
        <v>11037</v>
      </c>
      <c r="P1826" s="2" t="s">
        <v>11038</v>
      </c>
      <c r="Q1826" s="2">
        <f>AVERAGE(PerfRate[[#This Row],[EnvironmentSatisfaction]],PerfRate[[#This Row],[JobSatisfaction]],PerfRate[[#This Row],[RelationshipSatisfaction]])</f>
        <v>4.666666666666667</v>
      </c>
      <c r="R1826" s="2">
        <f>PerfRate[[#This Row],[ManagerRating]] - PerfRate[[#This Row],[SelfRating]]</f>
        <v>-1</v>
      </c>
    </row>
    <row r="1827" spans="1:18">
      <c r="A1827" s="2" t="s">
        <v>6134</v>
      </c>
      <c r="B1827" s="2" t="s">
        <v>1689</v>
      </c>
      <c r="C1827" s="1">
        <v>43292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  <c r="L1827" s="2" t="s">
        <v>11029</v>
      </c>
      <c r="M1827" s="2" t="s">
        <v>11029</v>
      </c>
      <c r="N1827" s="2" t="s">
        <v>11038</v>
      </c>
      <c r="O1827" s="2" t="s">
        <v>11037</v>
      </c>
      <c r="P1827" s="2" t="s">
        <v>11035</v>
      </c>
      <c r="Q1827" s="2">
        <f>AVERAGE(PerfRate[[#This Row],[EnvironmentSatisfaction]],PerfRate[[#This Row],[JobSatisfaction]],PerfRate[[#This Row],[RelationshipSatisfaction]])</f>
        <v>3.6666666666666665</v>
      </c>
      <c r="R1827" s="2">
        <f>PerfRate[[#This Row],[ManagerRating]] - PerfRate[[#This Row],[SelfRating]]</f>
        <v>0</v>
      </c>
    </row>
    <row r="1828" spans="1:18">
      <c r="A1828" s="2" t="s">
        <v>6135</v>
      </c>
      <c r="B1828" s="2" t="s">
        <v>3631</v>
      </c>
      <c r="C1828" s="1">
        <v>43323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  <c r="L1828" s="2" t="s">
        <v>11029</v>
      </c>
      <c r="M1828" s="2" t="s">
        <v>11028</v>
      </c>
      <c r="N1828" s="2" t="s">
        <v>11038</v>
      </c>
      <c r="O1828" s="2" t="s">
        <v>11037</v>
      </c>
      <c r="P1828" s="2" t="s">
        <v>11036</v>
      </c>
      <c r="Q1828" s="2">
        <f>AVERAGE(PerfRate[[#This Row],[EnvironmentSatisfaction]],PerfRate[[#This Row],[JobSatisfaction]],PerfRate[[#This Row],[RelationshipSatisfaction]])</f>
        <v>4</v>
      </c>
      <c r="R1828" s="2">
        <f>PerfRate[[#This Row],[ManagerRating]] - PerfRate[[#This Row],[SelfRating]]</f>
        <v>-1</v>
      </c>
    </row>
    <row r="1829" spans="1:18">
      <c r="A1829" s="2" t="s">
        <v>6136</v>
      </c>
      <c r="B1829" s="2" t="s">
        <v>1133</v>
      </c>
      <c r="C1829" s="1">
        <v>43323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  <c r="L1829" s="2" t="s">
        <v>11031</v>
      </c>
      <c r="M1829" s="2" t="s">
        <v>11031</v>
      </c>
      <c r="N1829" s="2" t="s">
        <v>11037</v>
      </c>
      <c r="O1829" s="2" t="s">
        <v>11036</v>
      </c>
      <c r="P1829" s="2" t="s">
        <v>11038</v>
      </c>
      <c r="Q1829" s="2">
        <f>AVERAGE(PerfRate[[#This Row],[EnvironmentSatisfaction]],PerfRate[[#This Row],[JobSatisfaction]],PerfRate[[#This Row],[RelationshipSatisfaction]])</f>
        <v>4</v>
      </c>
      <c r="R1829" s="2">
        <f>PerfRate[[#This Row],[ManagerRating]] - PerfRate[[#This Row],[SelfRating]]</f>
        <v>0</v>
      </c>
    </row>
    <row r="1830" spans="1:18">
      <c r="A1830" s="2" t="s">
        <v>6137</v>
      </c>
      <c r="B1830" s="2" t="s">
        <v>1695</v>
      </c>
      <c r="C1830" s="1">
        <v>43323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  <c r="L1830" s="2" t="s">
        <v>11031</v>
      </c>
      <c r="M1830" s="2" t="s">
        <v>11031</v>
      </c>
      <c r="N1830" s="2" t="s">
        <v>11037</v>
      </c>
      <c r="O1830" s="2" t="s">
        <v>11038</v>
      </c>
      <c r="P1830" s="2" t="s">
        <v>11036</v>
      </c>
      <c r="Q1830" s="2">
        <f>AVERAGE(PerfRate[[#This Row],[EnvironmentSatisfaction]],PerfRate[[#This Row],[JobSatisfaction]],PerfRate[[#This Row],[RelationshipSatisfaction]])</f>
        <v>4</v>
      </c>
      <c r="R1830" s="2">
        <f>PerfRate[[#This Row],[ManagerRating]] - PerfRate[[#This Row],[SelfRating]]</f>
        <v>0</v>
      </c>
    </row>
    <row r="1831" spans="1:18">
      <c r="A1831" s="2" t="s">
        <v>6138</v>
      </c>
      <c r="B1831" s="2" t="s">
        <v>144</v>
      </c>
      <c r="C1831" s="1">
        <v>43354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  <c r="L1831" s="2" t="s">
        <v>11029</v>
      </c>
      <c r="M1831" s="2" t="s">
        <v>11028</v>
      </c>
      <c r="N1831" s="2" t="s">
        <v>11036</v>
      </c>
      <c r="O1831" s="2" t="s">
        <v>11038</v>
      </c>
      <c r="P1831" s="2" t="s">
        <v>11038</v>
      </c>
      <c r="Q1831" s="2">
        <f>AVERAGE(PerfRate[[#This Row],[EnvironmentSatisfaction]],PerfRate[[#This Row],[JobSatisfaction]],PerfRate[[#This Row],[RelationshipSatisfaction]])</f>
        <v>4.333333333333333</v>
      </c>
      <c r="R1831" s="2">
        <f>PerfRate[[#This Row],[ManagerRating]] - PerfRate[[#This Row],[SelfRating]]</f>
        <v>-1</v>
      </c>
    </row>
    <row r="1832" spans="1:18">
      <c r="A1832" s="2" t="s">
        <v>6139</v>
      </c>
      <c r="B1832" s="2" t="s">
        <v>3189</v>
      </c>
      <c r="C1832" s="1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  <c r="L1832" s="2" t="s">
        <v>11030</v>
      </c>
      <c r="M1832" s="2" t="s">
        <v>11029</v>
      </c>
      <c r="N1832" s="2" t="s">
        <v>11036</v>
      </c>
      <c r="O1832" s="2" t="s">
        <v>11035</v>
      </c>
      <c r="P1832" s="2" t="s">
        <v>11035</v>
      </c>
      <c r="Q1832" s="2">
        <f>AVERAGE(PerfRate[[#This Row],[EnvironmentSatisfaction]],PerfRate[[#This Row],[JobSatisfaction]],PerfRate[[#This Row],[RelationshipSatisfaction]])</f>
        <v>2.3333333333333335</v>
      </c>
      <c r="R1832" s="2">
        <f>PerfRate[[#This Row],[ManagerRating]] - PerfRate[[#This Row],[SelfRating]]</f>
        <v>-1</v>
      </c>
    </row>
    <row r="1833" spans="1:18">
      <c r="A1833" s="2" t="s">
        <v>6140</v>
      </c>
      <c r="B1833" s="2" t="s">
        <v>785</v>
      </c>
      <c r="C1833" s="1">
        <v>43354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  <c r="L1833" s="2" t="s">
        <v>11029</v>
      </c>
      <c r="M1833" s="2" t="s">
        <v>11029</v>
      </c>
      <c r="N1833" s="2" t="s">
        <v>11037</v>
      </c>
      <c r="O1833" s="2" t="s">
        <v>11037</v>
      </c>
      <c r="P1833" s="2" t="s">
        <v>11037</v>
      </c>
      <c r="Q1833" s="2">
        <f>AVERAGE(PerfRate[[#This Row],[EnvironmentSatisfaction]],PerfRate[[#This Row],[JobSatisfaction]],PerfRate[[#This Row],[RelationshipSatisfaction]])</f>
        <v>4</v>
      </c>
      <c r="R1833" s="2">
        <f>PerfRate[[#This Row],[ManagerRating]] - PerfRate[[#This Row],[SelfRating]]</f>
        <v>0</v>
      </c>
    </row>
    <row r="1834" spans="1:18">
      <c r="A1834" s="2" t="s">
        <v>6141</v>
      </c>
      <c r="B1834" s="2" t="s">
        <v>1114</v>
      </c>
      <c r="C1834" s="1">
        <v>43354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  <c r="L1834" s="2" t="s">
        <v>11029</v>
      </c>
      <c r="M1834" s="2" t="s">
        <v>11029</v>
      </c>
      <c r="N1834" s="2" t="s">
        <v>11036</v>
      </c>
      <c r="O1834" s="2" t="s">
        <v>11035</v>
      </c>
      <c r="P1834" s="2" t="s">
        <v>11038</v>
      </c>
      <c r="Q1834" s="2">
        <f>AVERAGE(PerfRate[[#This Row],[EnvironmentSatisfaction]],PerfRate[[#This Row],[JobSatisfaction]],PerfRate[[#This Row],[RelationshipSatisfaction]])</f>
        <v>3.3333333333333335</v>
      </c>
      <c r="R1834" s="2">
        <f>PerfRate[[#This Row],[ManagerRating]] - PerfRate[[#This Row],[SelfRating]]</f>
        <v>0</v>
      </c>
    </row>
    <row r="1835" spans="1:18">
      <c r="A1835" s="2" t="s">
        <v>6142</v>
      </c>
      <c r="B1835" s="2" t="s">
        <v>172</v>
      </c>
      <c r="C1835" s="1">
        <v>43384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  <c r="L1835" s="2" t="s">
        <v>11030</v>
      </c>
      <c r="M1835" s="2" t="s">
        <v>11030</v>
      </c>
      <c r="N1835" s="2" t="s">
        <v>11038</v>
      </c>
      <c r="O1835" s="2" t="s">
        <v>11036</v>
      </c>
      <c r="P1835" s="2" t="s">
        <v>11037</v>
      </c>
      <c r="Q1835" s="2">
        <f>AVERAGE(PerfRate[[#This Row],[EnvironmentSatisfaction]],PerfRate[[#This Row],[JobSatisfaction]],PerfRate[[#This Row],[RelationshipSatisfaction]])</f>
        <v>4</v>
      </c>
      <c r="R1835" s="2">
        <f>PerfRate[[#This Row],[ManagerRating]] - PerfRate[[#This Row],[SelfRating]]</f>
        <v>0</v>
      </c>
    </row>
    <row r="1836" spans="1:18">
      <c r="A1836" s="2" t="s">
        <v>6143</v>
      </c>
      <c r="B1836" s="2" t="s">
        <v>4227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  <c r="L1836" s="2" t="s">
        <v>11031</v>
      </c>
      <c r="M1836" s="2" t="s">
        <v>11031</v>
      </c>
      <c r="N1836" s="2" t="s">
        <v>11038</v>
      </c>
      <c r="O1836" s="2" t="s">
        <v>11035</v>
      </c>
      <c r="P1836" s="2" t="s">
        <v>11036</v>
      </c>
      <c r="Q1836" s="2">
        <f>AVERAGE(PerfRate[[#This Row],[EnvironmentSatisfaction]],PerfRate[[#This Row],[JobSatisfaction]],PerfRate[[#This Row],[RelationshipSatisfaction]])</f>
        <v>3.3333333333333335</v>
      </c>
      <c r="R1836" s="2">
        <f>PerfRate[[#This Row],[ManagerRating]] - PerfRate[[#This Row],[SelfRating]]</f>
        <v>0</v>
      </c>
    </row>
    <row r="1837" spans="1:18">
      <c r="A1837" s="2" t="s">
        <v>6144</v>
      </c>
      <c r="B1837" s="2" t="s">
        <v>3411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  <c r="L1837" s="2" t="s">
        <v>11031</v>
      </c>
      <c r="M1837" s="2" t="s">
        <v>11031</v>
      </c>
      <c r="N1837" s="2" t="s">
        <v>11038</v>
      </c>
      <c r="O1837" s="2" t="s">
        <v>11036</v>
      </c>
      <c r="P1837" s="2" t="s">
        <v>11038</v>
      </c>
      <c r="Q1837" s="2">
        <f>AVERAGE(PerfRate[[#This Row],[EnvironmentSatisfaction]],PerfRate[[#This Row],[JobSatisfaction]],PerfRate[[#This Row],[RelationshipSatisfaction]])</f>
        <v>4.333333333333333</v>
      </c>
      <c r="R1837" s="2">
        <f>PerfRate[[#This Row],[ManagerRating]] - PerfRate[[#This Row],[SelfRating]]</f>
        <v>0</v>
      </c>
    </row>
    <row r="1838" spans="1:18">
      <c r="A1838" s="2" t="s">
        <v>6145</v>
      </c>
      <c r="B1838" s="2" t="s">
        <v>768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  <c r="L1838" s="2" t="s">
        <v>11031</v>
      </c>
      <c r="M1838" s="2" t="s">
        <v>11031</v>
      </c>
      <c r="N1838" s="2" t="s">
        <v>11038</v>
      </c>
      <c r="O1838" s="2" t="s">
        <v>11036</v>
      </c>
      <c r="P1838" s="2" t="s">
        <v>11038</v>
      </c>
      <c r="Q1838" s="2">
        <f>AVERAGE(PerfRate[[#This Row],[EnvironmentSatisfaction]],PerfRate[[#This Row],[JobSatisfaction]],PerfRate[[#This Row],[RelationshipSatisfaction]])</f>
        <v>4.333333333333333</v>
      </c>
      <c r="R1838" s="2">
        <f>PerfRate[[#This Row],[ManagerRating]] - PerfRate[[#This Row],[SelfRating]]</f>
        <v>0</v>
      </c>
    </row>
    <row r="1839" spans="1:18">
      <c r="A1839" s="2" t="s">
        <v>6146</v>
      </c>
      <c r="B1839" s="2" t="s">
        <v>1051</v>
      </c>
      <c r="C1839" s="1">
        <v>43445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  <c r="L1839" s="2" t="s">
        <v>11030</v>
      </c>
      <c r="M1839" s="2" t="s">
        <v>11029</v>
      </c>
      <c r="N1839" s="2" t="s">
        <v>11037</v>
      </c>
      <c r="O1839" s="2" t="s">
        <v>11037</v>
      </c>
      <c r="P1839" s="2" t="s">
        <v>11036</v>
      </c>
      <c r="Q1839" s="2">
        <f>AVERAGE(PerfRate[[#This Row],[EnvironmentSatisfaction]],PerfRate[[#This Row],[JobSatisfaction]],PerfRate[[#This Row],[RelationshipSatisfaction]])</f>
        <v>3.6666666666666665</v>
      </c>
      <c r="R1839" s="2">
        <f>PerfRate[[#This Row],[ManagerRating]] - PerfRate[[#This Row],[SelfRating]]</f>
        <v>-1</v>
      </c>
    </row>
    <row r="1840" spans="1:18">
      <c r="A1840" s="2" t="s">
        <v>6147</v>
      </c>
      <c r="B1840" s="2" t="s">
        <v>1168</v>
      </c>
      <c r="C1840" s="1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  <c r="L1840" s="2" t="s">
        <v>11030</v>
      </c>
      <c r="M1840" s="2" t="s">
        <v>11030</v>
      </c>
      <c r="N1840" s="2" t="s">
        <v>11038</v>
      </c>
      <c r="O1840" s="2" t="s">
        <v>11038</v>
      </c>
      <c r="P1840" s="2" t="s">
        <v>11035</v>
      </c>
      <c r="Q1840" s="2">
        <f>AVERAGE(PerfRate[[#This Row],[EnvironmentSatisfaction]],PerfRate[[#This Row],[JobSatisfaction]],PerfRate[[#This Row],[RelationshipSatisfaction]])</f>
        <v>4</v>
      </c>
      <c r="R1840" s="2">
        <f>PerfRate[[#This Row],[ManagerRating]] - PerfRate[[#This Row],[SelfRating]]</f>
        <v>0</v>
      </c>
    </row>
    <row r="1841" spans="1:18">
      <c r="A1841" s="2" t="s">
        <v>6148</v>
      </c>
      <c r="B1841" s="2" t="s">
        <v>485</v>
      </c>
      <c r="C1841" s="1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  <c r="L1841" s="2" t="s">
        <v>11031</v>
      </c>
      <c r="M1841" s="2" t="s">
        <v>11030</v>
      </c>
      <c r="N1841" s="2" t="s">
        <v>11038</v>
      </c>
      <c r="O1841" s="2" t="s">
        <v>11038</v>
      </c>
      <c r="P1841" s="2" t="s">
        <v>11036</v>
      </c>
      <c r="Q1841" s="2">
        <f>AVERAGE(PerfRate[[#This Row],[EnvironmentSatisfaction]],PerfRate[[#This Row],[JobSatisfaction]],PerfRate[[#This Row],[RelationshipSatisfaction]])</f>
        <v>4.333333333333333</v>
      </c>
      <c r="R1841" s="2">
        <f>PerfRate[[#This Row],[ManagerRating]] - PerfRate[[#This Row],[SelfRating]]</f>
        <v>-1</v>
      </c>
    </row>
    <row r="1842" spans="1:18">
      <c r="A1842" s="2" t="s">
        <v>6149</v>
      </c>
      <c r="B1842" s="2" t="s">
        <v>1015</v>
      </c>
      <c r="C1842" s="1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  <c r="L1842" s="2" t="s">
        <v>11029</v>
      </c>
      <c r="M1842" s="2" t="s">
        <v>11029</v>
      </c>
      <c r="N1842" s="2" t="s">
        <v>11036</v>
      </c>
      <c r="O1842" s="2" t="s">
        <v>11036</v>
      </c>
      <c r="P1842" s="2" t="s">
        <v>11035</v>
      </c>
      <c r="Q1842" s="2">
        <f>AVERAGE(PerfRate[[#This Row],[EnvironmentSatisfaction]],PerfRate[[#This Row],[JobSatisfaction]],PerfRate[[#This Row],[RelationshipSatisfaction]])</f>
        <v>2.6666666666666665</v>
      </c>
      <c r="R1842" s="2">
        <f>PerfRate[[#This Row],[ManagerRating]] - PerfRate[[#This Row],[SelfRating]]</f>
        <v>0</v>
      </c>
    </row>
    <row r="1843" spans="1:18">
      <c r="A1843" s="2" t="s">
        <v>6150</v>
      </c>
      <c r="B1843" s="2" t="s">
        <v>3569</v>
      </c>
      <c r="C1843" s="1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  <c r="L1843" s="2" t="s">
        <v>11030</v>
      </c>
      <c r="M1843" s="2" t="s">
        <v>11029</v>
      </c>
      <c r="N1843" s="2" t="s">
        <v>11038</v>
      </c>
      <c r="O1843" s="2" t="s">
        <v>11036</v>
      </c>
      <c r="P1843" s="2" t="s">
        <v>11037</v>
      </c>
      <c r="Q1843" s="2">
        <f>AVERAGE(PerfRate[[#This Row],[EnvironmentSatisfaction]],PerfRate[[#This Row],[JobSatisfaction]],PerfRate[[#This Row],[RelationshipSatisfaction]])</f>
        <v>4</v>
      </c>
      <c r="R1843" s="2">
        <f>PerfRate[[#This Row],[ManagerRating]] - PerfRate[[#This Row],[SelfRating]]</f>
        <v>-1</v>
      </c>
    </row>
    <row r="1844" spans="1:18">
      <c r="A1844" s="2" t="s">
        <v>6151</v>
      </c>
      <c r="B1844" s="2" t="s">
        <v>125</v>
      </c>
      <c r="C1844" s="1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  <c r="L1844" s="2" t="s">
        <v>11030</v>
      </c>
      <c r="M1844" s="2" t="s">
        <v>11029</v>
      </c>
      <c r="N1844" s="2" t="s">
        <v>11036</v>
      </c>
      <c r="O1844" s="2" t="s">
        <v>11038</v>
      </c>
      <c r="P1844" s="2" t="s">
        <v>11036</v>
      </c>
      <c r="Q1844" s="2">
        <f>AVERAGE(PerfRate[[#This Row],[EnvironmentSatisfaction]],PerfRate[[#This Row],[JobSatisfaction]],PerfRate[[#This Row],[RelationshipSatisfaction]])</f>
        <v>3.6666666666666665</v>
      </c>
      <c r="R1844" s="2">
        <f>PerfRate[[#This Row],[ManagerRating]] - PerfRate[[#This Row],[SelfRating]]</f>
        <v>-1</v>
      </c>
    </row>
    <row r="1845" spans="1:18">
      <c r="A1845" s="2" t="s">
        <v>6152</v>
      </c>
      <c r="B1845" s="2" t="s">
        <v>1266</v>
      </c>
      <c r="C1845" s="1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  <c r="L1845" s="2" t="s">
        <v>11031</v>
      </c>
      <c r="M1845" s="2" t="s">
        <v>11031</v>
      </c>
      <c r="N1845" s="2" t="s">
        <v>11037</v>
      </c>
      <c r="O1845" s="2" t="s">
        <v>11036</v>
      </c>
      <c r="P1845" s="2" t="s">
        <v>11035</v>
      </c>
      <c r="Q1845" s="2">
        <f>AVERAGE(PerfRate[[#This Row],[EnvironmentSatisfaction]],PerfRate[[#This Row],[JobSatisfaction]],PerfRate[[#This Row],[RelationshipSatisfaction]])</f>
        <v>3</v>
      </c>
      <c r="R1845" s="2">
        <f>PerfRate[[#This Row],[ManagerRating]] - PerfRate[[#This Row],[SelfRating]]</f>
        <v>0</v>
      </c>
    </row>
    <row r="1846" spans="1:18">
      <c r="A1846" s="2" t="s">
        <v>6153</v>
      </c>
      <c r="B1846" s="2" t="s">
        <v>1683</v>
      </c>
      <c r="C1846" s="1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  <c r="L1846" s="2" t="s">
        <v>11029</v>
      </c>
      <c r="M1846" s="2" t="s">
        <v>11029</v>
      </c>
      <c r="N1846" s="2" t="s">
        <v>11038</v>
      </c>
      <c r="O1846" s="2" t="s">
        <v>11035</v>
      </c>
      <c r="P1846" s="2" t="s">
        <v>11036</v>
      </c>
      <c r="Q1846" s="2">
        <f>AVERAGE(PerfRate[[#This Row],[EnvironmentSatisfaction]],PerfRate[[#This Row],[JobSatisfaction]],PerfRate[[#This Row],[RelationshipSatisfaction]])</f>
        <v>3.3333333333333335</v>
      </c>
      <c r="R1846" s="2">
        <f>PerfRate[[#This Row],[ManagerRating]] - PerfRate[[#This Row],[SelfRating]]</f>
        <v>0</v>
      </c>
    </row>
    <row r="1847" spans="1:18">
      <c r="A1847" s="2" t="s">
        <v>6154</v>
      </c>
      <c r="B1847" s="2" t="s">
        <v>422</v>
      </c>
      <c r="C1847" s="1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  <c r="L1847" s="2" t="s">
        <v>11030</v>
      </c>
      <c r="M1847" s="2" t="s">
        <v>11029</v>
      </c>
      <c r="N1847" s="2" t="s">
        <v>11038</v>
      </c>
      <c r="O1847" s="2" t="s">
        <v>11036</v>
      </c>
      <c r="P1847" s="2" t="s">
        <v>11037</v>
      </c>
      <c r="Q1847" s="2">
        <f>AVERAGE(PerfRate[[#This Row],[EnvironmentSatisfaction]],PerfRate[[#This Row],[JobSatisfaction]],PerfRate[[#This Row],[RelationshipSatisfaction]])</f>
        <v>4</v>
      </c>
      <c r="R1847" s="2">
        <f>PerfRate[[#This Row],[ManagerRating]] - PerfRate[[#This Row],[SelfRating]]</f>
        <v>-1</v>
      </c>
    </row>
    <row r="1848" spans="1:18">
      <c r="A1848" s="2" t="s">
        <v>6155</v>
      </c>
      <c r="B1848" s="2" t="s">
        <v>655</v>
      </c>
      <c r="C1848" s="1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  <c r="L1848" s="2" t="s">
        <v>11031</v>
      </c>
      <c r="M1848" s="2" t="s">
        <v>11031</v>
      </c>
      <c r="N1848" s="2" t="s">
        <v>11036</v>
      </c>
      <c r="O1848" s="2" t="s">
        <v>11035</v>
      </c>
      <c r="P1848" s="2" t="s">
        <v>11036</v>
      </c>
      <c r="Q1848" s="2">
        <f>AVERAGE(PerfRate[[#This Row],[EnvironmentSatisfaction]],PerfRate[[#This Row],[JobSatisfaction]],PerfRate[[#This Row],[RelationshipSatisfaction]])</f>
        <v>2.6666666666666665</v>
      </c>
      <c r="R1848" s="2">
        <f>PerfRate[[#This Row],[ManagerRating]] - PerfRate[[#This Row],[SelfRating]]</f>
        <v>0</v>
      </c>
    </row>
    <row r="1849" spans="1:18">
      <c r="A1849" s="2" t="s">
        <v>6156</v>
      </c>
      <c r="B1849" s="2" t="s">
        <v>1174</v>
      </c>
      <c r="C1849" s="1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  <c r="L1849" s="2" t="s">
        <v>11031</v>
      </c>
      <c r="M1849" s="2" t="s">
        <v>11030</v>
      </c>
      <c r="N1849" s="2" t="s">
        <v>11037</v>
      </c>
      <c r="O1849" s="2" t="s">
        <v>11035</v>
      </c>
      <c r="P1849" s="2" t="s">
        <v>11038</v>
      </c>
      <c r="Q1849" s="2">
        <f>AVERAGE(PerfRate[[#This Row],[EnvironmentSatisfaction]],PerfRate[[#This Row],[JobSatisfaction]],PerfRate[[#This Row],[RelationshipSatisfaction]])</f>
        <v>3.6666666666666665</v>
      </c>
      <c r="R1849" s="2">
        <f>PerfRate[[#This Row],[ManagerRating]] - PerfRate[[#This Row],[SelfRating]]</f>
        <v>-1</v>
      </c>
    </row>
    <row r="1850" spans="1:18">
      <c r="A1850" s="2" t="s">
        <v>6157</v>
      </c>
      <c r="B1850" s="2" t="s">
        <v>967</v>
      </c>
      <c r="C1850" s="1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  <c r="L1850" s="2" t="s">
        <v>11031</v>
      </c>
      <c r="M1850" s="2" t="s">
        <v>11031</v>
      </c>
      <c r="N1850" s="2" t="s">
        <v>11038</v>
      </c>
      <c r="O1850" s="2" t="s">
        <v>11038</v>
      </c>
      <c r="P1850" s="2" t="s">
        <v>11036</v>
      </c>
      <c r="Q1850" s="2">
        <f>AVERAGE(PerfRate[[#This Row],[EnvironmentSatisfaction]],PerfRate[[#This Row],[JobSatisfaction]],PerfRate[[#This Row],[RelationshipSatisfaction]])</f>
        <v>4.333333333333333</v>
      </c>
      <c r="R1850" s="2">
        <f>PerfRate[[#This Row],[ManagerRating]] - PerfRate[[#This Row],[SelfRating]]</f>
        <v>0</v>
      </c>
    </row>
    <row r="1851" spans="1:18">
      <c r="A1851" s="2" t="s">
        <v>6158</v>
      </c>
      <c r="B1851" s="2" t="s">
        <v>1503</v>
      </c>
      <c r="C1851" s="1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  <c r="L1851" s="2" t="s">
        <v>11030</v>
      </c>
      <c r="M1851" s="2" t="s">
        <v>11029</v>
      </c>
      <c r="N1851" s="2" t="s">
        <v>11038</v>
      </c>
      <c r="O1851" s="2" t="s">
        <v>11037</v>
      </c>
      <c r="P1851" s="2" t="s">
        <v>11038</v>
      </c>
      <c r="Q1851" s="2">
        <f>AVERAGE(PerfRate[[#This Row],[EnvironmentSatisfaction]],PerfRate[[#This Row],[JobSatisfaction]],PerfRate[[#This Row],[RelationshipSatisfaction]])</f>
        <v>4.666666666666667</v>
      </c>
      <c r="R1851" s="2">
        <f>PerfRate[[#This Row],[ManagerRating]] - PerfRate[[#This Row],[SelfRating]]</f>
        <v>-1</v>
      </c>
    </row>
    <row r="1852" spans="1:18">
      <c r="A1852" s="2" t="s">
        <v>6159</v>
      </c>
      <c r="B1852" s="2" t="s">
        <v>371</v>
      </c>
      <c r="C1852" s="1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  <c r="L1852" s="2" t="s">
        <v>11031</v>
      </c>
      <c r="M1852" s="2" t="s">
        <v>11031</v>
      </c>
      <c r="N1852" s="2" t="s">
        <v>11038</v>
      </c>
      <c r="O1852" s="2" t="s">
        <v>11038</v>
      </c>
      <c r="P1852" s="2" t="s">
        <v>11038</v>
      </c>
      <c r="Q1852" s="2">
        <f>AVERAGE(PerfRate[[#This Row],[EnvironmentSatisfaction]],PerfRate[[#This Row],[JobSatisfaction]],PerfRate[[#This Row],[RelationshipSatisfaction]])</f>
        <v>5</v>
      </c>
      <c r="R1852" s="2">
        <f>PerfRate[[#This Row],[ManagerRating]] - PerfRate[[#This Row],[SelfRating]]</f>
        <v>0</v>
      </c>
    </row>
    <row r="1853" spans="1:18">
      <c r="A1853" s="2" t="s">
        <v>6160</v>
      </c>
      <c r="B1853" s="2" t="s">
        <v>157</v>
      </c>
      <c r="C1853" s="1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  <c r="L1853" s="2" t="s">
        <v>11030</v>
      </c>
      <c r="M1853" s="2" t="s">
        <v>11029</v>
      </c>
      <c r="N1853" s="2" t="s">
        <v>11037</v>
      </c>
      <c r="O1853" s="2" t="s">
        <v>11036</v>
      </c>
      <c r="P1853" s="2" t="s">
        <v>11037</v>
      </c>
      <c r="Q1853" s="2">
        <f>AVERAGE(PerfRate[[#This Row],[EnvironmentSatisfaction]],PerfRate[[#This Row],[JobSatisfaction]],PerfRate[[#This Row],[RelationshipSatisfaction]])</f>
        <v>3.6666666666666665</v>
      </c>
      <c r="R1853" s="2">
        <f>PerfRate[[#This Row],[ManagerRating]] - PerfRate[[#This Row],[SelfRating]]</f>
        <v>-1</v>
      </c>
    </row>
    <row r="1854" spans="1:18">
      <c r="A1854" s="2" t="s">
        <v>6161</v>
      </c>
      <c r="B1854" s="2" t="s">
        <v>538</v>
      </c>
      <c r="C1854" s="1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  <c r="L1854" s="2" t="s">
        <v>11029</v>
      </c>
      <c r="M1854" s="2" t="s">
        <v>11029</v>
      </c>
      <c r="N1854" s="2" t="s">
        <v>11038</v>
      </c>
      <c r="O1854" s="2" t="s">
        <v>11038</v>
      </c>
      <c r="P1854" s="2" t="s">
        <v>11035</v>
      </c>
      <c r="Q1854" s="2">
        <f>AVERAGE(PerfRate[[#This Row],[EnvironmentSatisfaction]],PerfRate[[#This Row],[JobSatisfaction]],PerfRate[[#This Row],[RelationshipSatisfaction]])</f>
        <v>4</v>
      </c>
      <c r="R1854" s="2">
        <f>PerfRate[[#This Row],[ManagerRating]] - PerfRate[[#This Row],[SelfRating]]</f>
        <v>0</v>
      </c>
    </row>
    <row r="1855" spans="1:18">
      <c r="A1855" s="2" t="s">
        <v>6162</v>
      </c>
      <c r="B1855" s="2" t="s">
        <v>1644</v>
      </c>
      <c r="C1855" s="1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  <c r="L1855" s="2" t="s">
        <v>11029</v>
      </c>
      <c r="M1855" s="2" t="s">
        <v>11029</v>
      </c>
      <c r="N1855" s="2" t="s">
        <v>11037</v>
      </c>
      <c r="O1855" s="2" t="s">
        <v>11037</v>
      </c>
      <c r="P1855" s="2" t="s">
        <v>11036</v>
      </c>
      <c r="Q1855" s="2">
        <f>AVERAGE(PerfRate[[#This Row],[EnvironmentSatisfaction]],PerfRate[[#This Row],[JobSatisfaction]],PerfRate[[#This Row],[RelationshipSatisfaction]])</f>
        <v>3.6666666666666665</v>
      </c>
      <c r="R1855" s="2">
        <f>PerfRate[[#This Row],[ManagerRating]] - PerfRate[[#This Row],[SelfRating]]</f>
        <v>0</v>
      </c>
    </row>
    <row r="1856" spans="1:18">
      <c r="A1856" s="2" t="s">
        <v>6163</v>
      </c>
      <c r="B1856" s="2" t="s">
        <v>62</v>
      </c>
      <c r="C1856" s="1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  <c r="L1856" s="2" t="s">
        <v>11031</v>
      </c>
      <c r="M1856" s="2" t="s">
        <v>11031</v>
      </c>
      <c r="N1856" s="2" t="s">
        <v>11036</v>
      </c>
      <c r="O1856" s="2" t="s">
        <v>11037</v>
      </c>
      <c r="P1856" s="2" t="s">
        <v>11035</v>
      </c>
      <c r="Q1856" s="2">
        <f>AVERAGE(PerfRate[[#This Row],[EnvironmentSatisfaction]],PerfRate[[#This Row],[JobSatisfaction]],PerfRate[[#This Row],[RelationshipSatisfaction]])</f>
        <v>3</v>
      </c>
      <c r="R1856" s="2">
        <f>PerfRate[[#This Row],[ManagerRating]] - PerfRate[[#This Row],[SelfRating]]</f>
        <v>0</v>
      </c>
    </row>
    <row r="1857" spans="1:18">
      <c r="A1857" s="2" t="s">
        <v>6164</v>
      </c>
      <c r="B1857" s="2" t="s">
        <v>163</v>
      </c>
      <c r="C1857" s="1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  <c r="L1857" s="2" t="s">
        <v>11031</v>
      </c>
      <c r="M1857" s="2" t="s">
        <v>11030</v>
      </c>
      <c r="N1857" s="2" t="s">
        <v>11036</v>
      </c>
      <c r="O1857" s="2" t="s">
        <v>11035</v>
      </c>
      <c r="P1857" s="2" t="s">
        <v>11035</v>
      </c>
      <c r="Q1857" s="2">
        <f>AVERAGE(PerfRate[[#This Row],[EnvironmentSatisfaction]],PerfRate[[#This Row],[JobSatisfaction]],PerfRate[[#This Row],[RelationshipSatisfaction]])</f>
        <v>2.3333333333333335</v>
      </c>
      <c r="R1857" s="2">
        <f>PerfRate[[#This Row],[ManagerRating]] - PerfRate[[#This Row],[SelfRating]]</f>
        <v>-1</v>
      </c>
    </row>
    <row r="1858" spans="1:18">
      <c r="A1858" s="2" t="s">
        <v>6165</v>
      </c>
      <c r="B1858" s="2" t="s">
        <v>1157</v>
      </c>
      <c r="C1858" s="1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  <c r="L1858" s="2" t="s">
        <v>11029</v>
      </c>
      <c r="M1858" s="2" t="s">
        <v>11029</v>
      </c>
      <c r="N1858" s="2" t="s">
        <v>11037</v>
      </c>
      <c r="O1858" s="2" t="s">
        <v>11036</v>
      </c>
      <c r="P1858" s="2" t="s">
        <v>11035</v>
      </c>
      <c r="Q1858" s="2">
        <f>AVERAGE(PerfRate[[#This Row],[EnvironmentSatisfaction]],PerfRate[[#This Row],[JobSatisfaction]],PerfRate[[#This Row],[RelationshipSatisfaction]])</f>
        <v>3</v>
      </c>
      <c r="R1858" s="2">
        <f>PerfRate[[#This Row],[ManagerRating]] - PerfRate[[#This Row],[SelfRating]]</f>
        <v>0</v>
      </c>
    </row>
    <row r="1859" spans="1:18">
      <c r="A1859" s="2" t="s">
        <v>6166</v>
      </c>
      <c r="B1859" s="2" t="s">
        <v>1380</v>
      </c>
      <c r="C1859" s="1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  <c r="L1859" s="2" t="s">
        <v>11031</v>
      </c>
      <c r="M1859" s="2" t="s">
        <v>11030</v>
      </c>
      <c r="N1859" s="2" t="s">
        <v>11038</v>
      </c>
      <c r="O1859" s="2" t="s">
        <v>11038</v>
      </c>
      <c r="P1859" s="2" t="s">
        <v>11038</v>
      </c>
      <c r="Q1859" s="2">
        <f>AVERAGE(PerfRate[[#This Row],[EnvironmentSatisfaction]],PerfRate[[#This Row],[JobSatisfaction]],PerfRate[[#This Row],[RelationshipSatisfaction]])</f>
        <v>5</v>
      </c>
      <c r="R1859" s="2">
        <f>PerfRate[[#This Row],[ManagerRating]] - PerfRate[[#This Row],[SelfRating]]</f>
        <v>-1</v>
      </c>
    </row>
    <row r="1860" spans="1:18">
      <c r="A1860" s="2" t="s">
        <v>6167</v>
      </c>
      <c r="B1860" s="2" t="s">
        <v>2622</v>
      </c>
      <c r="C1860" s="1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  <c r="L1860" s="2" t="s">
        <v>11031</v>
      </c>
      <c r="M1860" s="2" t="s">
        <v>11031</v>
      </c>
      <c r="N1860" s="2" t="s">
        <v>11036</v>
      </c>
      <c r="O1860" s="2" t="s">
        <v>11037</v>
      </c>
      <c r="P1860" s="2" t="s">
        <v>11037</v>
      </c>
      <c r="Q1860" s="2">
        <f>AVERAGE(PerfRate[[#This Row],[EnvironmentSatisfaction]],PerfRate[[#This Row],[JobSatisfaction]],PerfRate[[#This Row],[RelationshipSatisfaction]])</f>
        <v>3.6666666666666665</v>
      </c>
      <c r="R1860" s="2">
        <f>PerfRate[[#This Row],[ManagerRating]] - PerfRate[[#This Row],[SelfRating]]</f>
        <v>0</v>
      </c>
    </row>
    <row r="1861" spans="1:18">
      <c r="A1861" s="2" t="s">
        <v>6168</v>
      </c>
      <c r="B1861" s="2" t="s">
        <v>4177</v>
      </c>
      <c r="C1861" s="1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  <c r="L1861" s="2" t="s">
        <v>11030</v>
      </c>
      <c r="M1861" s="2" t="s">
        <v>11029</v>
      </c>
      <c r="N1861" s="2" t="s">
        <v>11036</v>
      </c>
      <c r="O1861" s="2" t="s">
        <v>11038</v>
      </c>
      <c r="P1861" s="2" t="s">
        <v>11035</v>
      </c>
      <c r="Q1861" s="2">
        <f>AVERAGE(PerfRate[[#This Row],[EnvironmentSatisfaction]],PerfRate[[#This Row],[JobSatisfaction]],PerfRate[[#This Row],[RelationshipSatisfaction]])</f>
        <v>3.3333333333333335</v>
      </c>
      <c r="R1861" s="2">
        <f>PerfRate[[#This Row],[ManagerRating]] - PerfRate[[#This Row],[SelfRating]]</f>
        <v>-1</v>
      </c>
    </row>
    <row r="1862" spans="1:18">
      <c r="A1862" s="2" t="s">
        <v>6169</v>
      </c>
      <c r="B1862" s="2" t="s">
        <v>646</v>
      </c>
      <c r="C1862" s="1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  <c r="L1862" s="2" t="s">
        <v>11031</v>
      </c>
      <c r="M1862" s="2" t="s">
        <v>11030</v>
      </c>
      <c r="N1862" s="2" t="s">
        <v>11037</v>
      </c>
      <c r="O1862" s="2" t="s">
        <v>11035</v>
      </c>
      <c r="P1862" s="2" t="s">
        <v>11036</v>
      </c>
      <c r="Q1862" s="2">
        <f>AVERAGE(PerfRate[[#This Row],[EnvironmentSatisfaction]],PerfRate[[#This Row],[JobSatisfaction]],PerfRate[[#This Row],[RelationshipSatisfaction]])</f>
        <v>3</v>
      </c>
      <c r="R1862" s="2">
        <f>PerfRate[[#This Row],[ManagerRating]] - PerfRate[[#This Row],[SelfRating]]</f>
        <v>-1</v>
      </c>
    </row>
    <row r="1863" spans="1:18">
      <c r="A1863" s="2" t="s">
        <v>6170</v>
      </c>
      <c r="B1863" s="2" t="s">
        <v>398</v>
      </c>
      <c r="C1863" s="1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  <c r="L1863" s="2" t="s">
        <v>11031</v>
      </c>
      <c r="M1863" s="2" t="s">
        <v>11030</v>
      </c>
      <c r="N1863" s="2" t="s">
        <v>11038</v>
      </c>
      <c r="O1863" s="2" t="s">
        <v>11037</v>
      </c>
      <c r="P1863" s="2" t="s">
        <v>11037</v>
      </c>
      <c r="Q1863" s="2">
        <f>AVERAGE(PerfRate[[#This Row],[EnvironmentSatisfaction]],PerfRate[[#This Row],[JobSatisfaction]],PerfRate[[#This Row],[RelationshipSatisfaction]])</f>
        <v>4.333333333333333</v>
      </c>
      <c r="R1863" s="2">
        <f>PerfRate[[#This Row],[ManagerRating]] - PerfRate[[#This Row],[SelfRating]]</f>
        <v>-1</v>
      </c>
    </row>
    <row r="1864" spans="1:18">
      <c r="A1864" s="2" t="s">
        <v>6171</v>
      </c>
      <c r="B1864" s="2" t="s">
        <v>290</v>
      </c>
      <c r="C1864" s="1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  <c r="L1864" s="2" t="s">
        <v>11029</v>
      </c>
      <c r="M1864" s="2" t="s">
        <v>11028</v>
      </c>
      <c r="N1864" s="2" t="s">
        <v>11037</v>
      </c>
      <c r="O1864" s="2" t="s">
        <v>11037</v>
      </c>
      <c r="P1864" s="2" t="s">
        <v>11038</v>
      </c>
      <c r="Q1864" s="2">
        <f>AVERAGE(PerfRate[[#This Row],[EnvironmentSatisfaction]],PerfRate[[#This Row],[JobSatisfaction]],PerfRate[[#This Row],[RelationshipSatisfaction]])</f>
        <v>4.333333333333333</v>
      </c>
      <c r="R1864" s="2">
        <f>PerfRate[[#This Row],[ManagerRating]] - PerfRate[[#This Row],[SelfRating]]</f>
        <v>-1</v>
      </c>
    </row>
    <row r="1865" spans="1:18">
      <c r="A1865" s="2" t="s">
        <v>6172</v>
      </c>
      <c r="B1865" s="2" t="s">
        <v>50</v>
      </c>
      <c r="C1865" s="1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  <c r="L1865" s="2" t="s">
        <v>11031</v>
      </c>
      <c r="M1865" s="2" t="s">
        <v>11031</v>
      </c>
      <c r="N1865" s="2" t="s">
        <v>11036</v>
      </c>
      <c r="O1865" s="2" t="s">
        <v>11038</v>
      </c>
      <c r="P1865" s="2" t="s">
        <v>11038</v>
      </c>
      <c r="Q1865" s="2">
        <f>AVERAGE(PerfRate[[#This Row],[EnvironmentSatisfaction]],PerfRate[[#This Row],[JobSatisfaction]],PerfRate[[#This Row],[RelationshipSatisfaction]])</f>
        <v>4.333333333333333</v>
      </c>
      <c r="R1865" s="2">
        <f>PerfRate[[#This Row],[ManagerRating]] - PerfRate[[#This Row],[SelfRating]]</f>
        <v>0</v>
      </c>
    </row>
    <row r="1866" spans="1:18">
      <c r="A1866" s="2" t="s">
        <v>6173</v>
      </c>
      <c r="B1866" s="2" t="s">
        <v>275</v>
      </c>
      <c r="C1866" s="1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  <c r="L1866" s="2" t="s">
        <v>11029</v>
      </c>
      <c r="M1866" s="2" t="s">
        <v>11028</v>
      </c>
      <c r="N1866" s="2" t="s">
        <v>11038</v>
      </c>
      <c r="O1866" s="2" t="s">
        <v>11037</v>
      </c>
      <c r="P1866" s="2" t="s">
        <v>11038</v>
      </c>
      <c r="Q1866" s="2">
        <f>AVERAGE(PerfRate[[#This Row],[EnvironmentSatisfaction]],PerfRate[[#This Row],[JobSatisfaction]],PerfRate[[#This Row],[RelationshipSatisfaction]])</f>
        <v>4.666666666666667</v>
      </c>
      <c r="R1866" s="2">
        <f>PerfRate[[#This Row],[ManagerRating]] - PerfRate[[#This Row],[SelfRating]]</f>
        <v>-1</v>
      </c>
    </row>
    <row r="1867" spans="1:18">
      <c r="A1867" s="2" t="s">
        <v>6174</v>
      </c>
      <c r="B1867" s="2" t="s">
        <v>598</v>
      </c>
      <c r="C1867" s="1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  <c r="L1867" s="2" t="s">
        <v>11031</v>
      </c>
      <c r="M1867" s="2" t="s">
        <v>11031</v>
      </c>
      <c r="N1867" s="2" t="s">
        <v>11038</v>
      </c>
      <c r="O1867" s="2" t="s">
        <v>11036</v>
      </c>
      <c r="P1867" s="2" t="s">
        <v>11038</v>
      </c>
      <c r="Q1867" s="2">
        <f>AVERAGE(PerfRate[[#This Row],[EnvironmentSatisfaction]],PerfRate[[#This Row],[JobSatisfaction]],PerfRate[[#This Row],[RelationshipSatisfaction]])</f>
        <v>4.333333333333333</v>
      </c>
      <c r="R1867" s="2">
        <f>PerfRate[[#This Row],[ManagerRating]] - PerfRate[[#This Row],[SelfRating]]</f>
        <v>0</v>
      </c>
    </row>
    <row r="1868" spans="1:18">
      <c r="A1868" s="2" t="s">
        <v>6175</v>
      </c>
      <c r="B1868" s="2" t="s">
        <v>869</v>
      </c>
      <c r="C1868" s="1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  <c r="L1868" s="2" t="s">
        <v>11031</v>
      </c>
      <c r="M1868" s="2" t="s">
        <v>11030</v>
      </c>
      <c r="N1868" s="2" t="s">
        <v>11036</v>
      </c>
      <c r="O1868" s="2" t="s">
        <v>11036</v>
      </c>
      <c r="P1868" s="2" t="s">
        <v>11038</v>
      </c>
      <c r="Q1868" s="2">
        <f>AVERAGE(PerfRate[[#This Row],[EnvironmentSatisfaction]],PerfRate[[#This Row],[JobSatisfaction]],PerfRate[[#This Row],[RelationshipSatisfaction]])</f>
        <v>3.6666666666666665</v>
      </c>
      <c r="R1868" s="2">
        <f>PerfRate[[#This Row],[ManagerRating]] - PerfRate[[#This Row],[SelfRating]]</f>
        <v>-1</v>
      </c>
    </row>
    <row r="1869" spans="1:18">
      <c r="A1869" s="2" t="s">
        <v>6176</v>
      </c>
      <c r="B1869" s="2" t="s">
        <v>1240</v>
      </c>
      <c r="C1869" s="1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  <c r="L1869" s="2" t="s">
        <v>11031</v>
      </c>
      <c r="M1869" s="2" t="s">
        <v>11031</v>
      </c>
      <c r="N1869" s="2" t="s">
        <v>11038</v>
      </c>
      <c r="O1869" s="2" t="s">
        <v>11038</v>
      </c>
      <c r="P1869" s="2" t="s">
        <v>11035</v>
      </c>
      <c r="Q1869" s="2">
        <f>AVERAGE(PerfRate[[#This Row],[EnvironmentSatisfaction]],PerfRate[[#This Row],[JobSatisfaction]],PerfRate[[#This Row],[RelationshipSatisfaction]])</f>
        <v>4</v>
      </c>
      <c r="R1869" s="2">
        <f>PerfRate[[#This Row],[ManagerRating]] - PerfRate[[#This Row],[SelfRating]]</f>
        <v>0</v>
      </c>
    </row>
    <row r="1870" spans="1:18">
      <c r="A1870" s="2" t="s">
        <v>6177</v>
      </c>
      <c r="B1870" s="2" t="s">
        <v>1350</v>
      </c>
      <c r="C1870" s="1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  <c r="L1870" s="2" t="s">
        <v>11030</v>
      </c>
      <c r="M1870" s="2" t="s">
        <v>11029</v>
      </c>
      <c r="N1870" s="2" t="s">
        <v>11038</v>
      </c>
      <c r="O1870" s="2" t="s">
        <v>11035</v>
      </c>
      <c r="P1870" s="2" t="s">
        <v>11038</v>
      </c>
      <c r="Q1870" s="2">
        <f>AVERAGE(PerfRate[[#This Row],[EnvironmentSatisfaction]],PerfRate[[#This Row],[JobSatisfaction]],PerfRate[[#This Row],[RelationshipSatisfaction]])</f>
        <v>4</v>
      </c>
      <c r="R1870" s="2">
        <f>PerfRate[[#This Row],[ManagerRating]] - PerfRate[[#This Row],[SelfRating]]</f>
        <v>-1</v>
      </c>
    </row>
    <row r="1871" spans="1:18">
      <c r="A1871" s="2" t="s">
        <v>6178</v>
      </c>
      <c r="B1871" s="2" t="s">
        <v>386</v>
      </c>
      <c r="C1871" s="1">
        <v>43112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  <c r="L1871" s="2" t="s">
        <v>11031</v>
      </c>
      <c r="M1871" s="2" t="s">
        <v>11031</v>
      </c>
      <c r="N1871" s="2" t="s">
        <v>11038</v>
      </c>
      <c r="O1871" s="2" t="s">
        <v>11036</v>
      </c>
      <c r="P1871" s="2" t="s">
        <v>11036</v>
      </c>
      <c r="Q1871" s="2">
        <f>AVERAGE(PerfRate[[#This Row],[EnvironmentSatisfaction]],PerfRate[[#This Row],[JobSatisfaction]],PerfRate[[#This Row],[RelationshipSatisfaction]])</f>
        <v>3.6666666666666665</v>
      </c>
      <c r="R1871" s="2">
        <f>PerfRate[[#This Row],[ManagerRating]] - PerfRate[[#This Row],[SelfRating]]</f>
        <v>0</v>
      </c>
    </row>
    <row r="1872" spans="1:18">
      <c r="A1872" s="2" t="s">
        <v>6179</v>
      </c>
      <c r="B1872" s="2" t="s">
        <v>425</v>
      </c>
      <c r="C1872" s="1">
        <v>43112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  <c r="L1872" s="2" t="s">
        <v>11029</v>
      </c>
      <c r="M1872" s="2" t="s">
        <v>11029</v>
      </c>
      <c r="N1872" s="2" t="s">
        <v>11037</v>
      </c>
      <c r="O1872" s="2" t="s">
        <v>11036</v>
      </c>
      <c r="P1872" s="2" t="s">
        <v>11035</v>
      </c>
      <c r="Q1872" s="2">
        <f>AVERAGE(PerfRate[[#This Row],[EnvironmentSatisfaction]],PerfRate[[#This Row],[JobSatisfaction]],PerfRate[[#This Row],[RelationshipSatisfaction]])</f>
        <v>3</v>
      </c>
      <c r="R1872" s="2">
        <f>PerfRate[[#This Row],[ManagerRating]] - PerfRate[[#This Row],[SelfRating]]</f>
        <v>0</v>
      </c>
    </row>
    <row r="1873" spans="1:18">
      <c r="A1873" s="2" t="s">
        <v>6180</v>
      </c>
      <c r="B1873" s="2" t="s">
        <v>832</v>
      </c>
      <c r="C1873" s="1">
        <v>43143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  <c r="L1873" s="2" t="s">
        <v>11030</v>
      </c>
      <c r="M1873" s="2" t="s">
        <v>11029</v>
      </c>
      <c r="N1873" s="2" t="s">
        <v>11036</v>
      </c>
      <c r="O1873" s="2" t="s">
        <v>11035</v>
      </c>
      <c r="P1873" s="2" t="s">
        <v>11037</v>
      </c>
      <c r="Q1873" s="2">
        <f>AVERAGE(PerfRate[[#This Row],[EnvironmentSatisfaction]],PerfRate[[#This Row],[JobSatisfaction]],PerfRate[[#This Row],[RelationshipSatisfaction]])</f>
        <v>3</v>
      </c>
      <c r="R1873" s="2">
        <f>PerfRate[[#This Row],[ManagerRating]] - PerfRate[[#This Row],[SelfRating]]</f>
        <v>-1</v>
      </c>
    </row>
    <row r="1874" spans="1:18">
      <c r="A1874" s="2" t="s">
        <v>6181</v>
      </c>
      <c r="B1874" s="2" t="s">
        <v>3406</v>
      </c>
      <c r="C1874" s="1">
        <v>43171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  <c r="L1874" s="2" t="s">
        <v>11031</v>
      </c>
      <c r="M1874" s="2" t="s">
        <v>11030</v>
      </c>
      <c r="N1874" s="2" t="s">
        <v>11037</v>
      </c>
      <c r="O1874" s="2" t="s">
        <v>11036</v>
      </c>
      <c r="P1874" s="2" t="s">
        <v>11038</v>
      </c>
      <c r="Q1874" s="2">
        <f>AVERAGE(PerfRate[[#This Row],[EnvironmentSatisfaction]],PerfRate[[#This Row],[JobSatisfaction]],PerfRate[[#This Row],[RelationshipSatisfaction]])</f>
        <v>4</v>
      </c>
      <c r="R1874" s="2">
        <f>PerfRate[[#This Row],[ManagerRating]] - PerfRate[[#This Row],[SelfRating]]</f>
        <v>-1</v>
      </c>
    </row>
    <row r="1875" spans="1:18">
      <c r="A1875" s="2" t="s">
        <v>6182</v>
      </c>
      <c r="B1875" s="2" t="s">
        <v>3665</v>
      </c>
      <c r="C1875" s="1">
        <v>43171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  <c r="L1875" s="2" t="s">
        <v>11029</v>
      </c>
      <c r="M1875" s="2" t="s">
        <v>11028</v>
      </c>
      <c r="N1875" s="2" t="s">
        <v>11038</v>
      </c>
      <c r="O1875" s="2" t="s">
        <v>11037</v>
      </c>
      <c r="P1875" s="2" t="s">
        <v>11035</v>
      </c>
      <c r="Q1875" s="2">
        <f>AVERAGE(PerfRate[[#This Row],[EnvironmentSatisfaction]],PerfRate[[#This Row],[JobSatisfaction]],PerfRate[[#This Row],[RelationshipSatisfaction]])</f>
        <v>3.6666666666666665</v>
      </c>
      <c r="R1875" s="2">
        <f>PerfRate[[#This Row],[ManagerRating]] - PerfRate[[#This Row],[SelfRating]]</f>
        <v>-1</v>
      </c>
    </row>
    <row r="1876" spans="1:18">
      <c r="A1876" s="2" t="s">
        <v>6183</v>
      </c>
      <c r="B1876" s="2" t="s">
        <v>4072</v>
      </c>
      <c r="C1876" s="1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  <c r="L1876" s="2" t="s">
        <v>11030</v>
      </c>
      <c r="M1876" s="2" t="s">
        <v>11030</v>
      </c>
      <c r="N1876" s="2" t="s">
        <v>11036</v>
      </c>
      <c r="O1876" s="2" t="s">
        <v>11038</v>
      </c>
      <c r="P1876" s="2" t="s">
        <v>11035</v>
      </c>
      <c r="Q1876" s="2">
        <f>AVERAGE(PerfRate[[#This Row],[EnvironmentSatisfaction]],PerfRate[[#This Row],[JobSatisfaction]],PerfRate[[#This Row],[RelationshipSatisfaction]])</f>
        <v>3.3333333333333335</v>
      </c>
      <c r="R1876" s="2">
        <f>PerfRate[[#This Row],[ManagerRating]] - PerfRate[[#This Row],[SelfRating]]</f>
        <v>0</v>
      </c>
    </row>
    <row r="1877" spans="1:18">
      <c r="A1877" s="2" t="s">
        <v>6184</v>
      </c>
      <c r="B1877" s="2" t="s">
        <v>78</v>
      </c>
      <c r="C1877" s="1">
        <v>43232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  <c r="L1877" s="2" t="s">
        <v>11030</v>
      </c>
      <c r="M1877" s="2" t="s">
        <v>11030</v>
      </c>
      <c r="N1877" s="2" t="s">
        <v>11038</v>
      </c>
      <c r="O1877" s="2" t="s">
        <v>11035</v>
      </c>
      <c r="P1877" s="2" t="s">
        <v>11036</v>
      </c>
      <c r="Q1877" s="2">
        <f>AVERAGE(PerfRate[[#This Row],[EnvironmentSatisfaction]],PerfRate[[#This Row],[JobSatisfaction]],PerfRate[[#This Row],[RelationshipSatisfaction]])</f>
        <v>3.3333333333333335</v>
      </c>
      <c r="R1877" s="2">
        <f>PerfRate[[#This Row],[ManagerRating]] - PerfRate[[#This Row],[SelfRating]]</f>
        <v>0</v>
      </c>
    </row>
    <row r="1878" spans="1:18">
      <c r="A1878" s="2" t="s">
        <v>6185</v>
      </c>
      <c r="B1878" s="2" t="s">
        <v>183</v>
      </c>
      <c r="C1878" s="1">
        <v>43232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  <c r="L1878" s="2" t="s">
        <v>11031</v>
      </c>
      <c r="M1878" s="2" t="s">
        <v>11030</v>
      </c>
      <c r="N1878" s="2" t="s">
        <v>11037</v>
      </c>
      <c r="O1878" s="2" t="s">
        <v>11035</v>
      </c>
      <c r="P1878" s="2" t="s">
        <v>11035</v>
      </c>
      <c r="Q1878" s="2">
        <f>AVERAGE(PerfRate[[#This Row],[EnvironmentSatisfaction]],PerfRate[[#This Row],[JobSatisfaction]],PerfRate[[#This Row],[RelationshipSatisfaction]])</f>
        <v>2.6666666666666665</v>
      </c>
      <c r="R1878" s="2">
        <f>PerfRate[[#This Row],[ManagerRating]] - PerfRate[[#This Row],[SelfRating]]</f>
        <v>-1</v>
      </c>
    </row>
    <row r="1879" spans="1:18">
      <c r="A1879" s="2" t="s">
        <v>6186</v>
      </c>
      <c r="B1879" s="2" t="s">
        <v>112</v>
      </c>
      <c r="C1879" s="1">
        <v>43232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  <c r="L1879" s="2" t="s">
        <v>11029</v>
      </c>
      <c r="M1879" s="2" t="s">
        <v>11029</v>
      </c>
      <c r="N1879" s="2" t="s">
        <v>11037</v>
      </c>
      <c r="O1879" s="2" t="s">
        <v>11038</v>
      </c>
      <c r="P1879" s="2" t="s">
        <v>11036</v>
      </c>
      <c r="Q1879" s="2">
        <f>AVERAGE(PerfRate[[#This Row],[EnvironmentSatisfaction]],PerfRate[[#This Row],[JobSatisfaction]],PerfRate[[#This Row],[RelationshipSatisfaction]])</f>
        <v>4</v>
      </c>
      <c r="R1879" s="2">
        <f>PerfRate[[#This Row],[ManagerRating]] - PerfRate[[#This Row],[SelfRating]]</f>
        <v>0</v>
      </c>
    </row>
    <row r="1880" spans="1:18">
      <c r="A1880" s="2" t="s">
        <v>6187</v>
      </c>
      <c r="B1880" s="2" t="s">
        <v>946</v>
      </c>
      <c r="C1880" s="1">
        <v>43232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  <c r="L1880" s="2" t="s">
        <v>11031</v>
      </c>
      <c r="M1880" s="2" t="s">
        <v>11031</v>
      </c>
      <c r="N1880" s="2" t="s">
        <v>11036</v>
      </c>
      <c r="O1880" s="2" t="s">
        <v>11035</v>
      </c>
      <c r="P1880" s="2" t="s">
        <v>11038</v>
      </c>
      <c r="Q1880" s="2">
        <f>AVERAGE(PerfRate[[#This Row],[EnvironmentSatisfaction]],PerfRate[[#This Row],[JobSatisfaction]],PerfRate[[#This Row],[RelationshipSatisfaction]])</f>
        <v>3.3333333333333335</v>
      </c>
      <c r="R1880" s="2">
        <f>PerfRate[[#This Row],[ManagerRating]] - PerfRate[[#This Row],[SelfRating]]</f>
        <v>0</v>
      </c>
    </row>
    <row r="1881" spans="1:18">
      <c r="A1881" s="2" t="s">
        <v>6188</v>
      </c>
      <c r="B1881" s="2" t="s">
        <v>1045</v>
      </c>
      <c r="C1881" s="1">
        <v>43232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  <c r="L1881" s="2" t="s">
        <v>11029</v>
      </c>
      <c r="M1881" s="2" t="s">
        <v>11029</v>
      </c>
      <c r="N1881" s="2" t="s">
        <v>11036</v>
      </c>
      <c r="O1881" s="2" t="s">
        <v>11037</v>
      </c>
      <c r="P1881" s="2" t="s">
        <v>11036</v>
      </c>
      <c r="Q1881" s="2">
        <f>AVERAGE(PerfRate[[#This Row],[EnvironmentSatisfaction]],PerfRate[[#This Row],[JobSatisfaction]],PerfRate[[#This Row],[RelationshipSatisfaction]])</f>
        <v>3.3333333333333335</v>
      </c>
      <c r="R1881" s="2">
        <f>PerfRate[[#This Row],[ManagerRating]] - PerfRate[[#This Row],[SelfRating]]</f>
        <v>0</v>
      </c>
    </row>
    <row r="1882" spans="1:18">
      <c r="A1882" s="2" t="s">
        <v>6189</v>
      </c>
      <c r="B1882" s="2" t="s">
        <v>3004</v>
      </c>
      <c r="C1882" s="1">
        <v>43263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  <c r="L1882" s="2" t="s">
        <v>11031</v>
      </c>
      <c r="M1882" s="2" t="s">
        <v>11031</v>
      </c>
      <c r="N1882" s="2" t="s">
        <v>11038</v>
      </c>
      <c r="O1882" s="2" t="s">
        <v>11038</v>
      </c>
      <c r="P1882" s="2" t="s">
        <v>11036</v>
      </c>
      <c r="Q1882" s="2">
        <f>AVERAGE(PerfRate[[#This Row],[EnvironmentSatisfaction]],PerfRate[[#This Row],[JobSatisfaction]],PerfRate[[#This Row],[RelationshipSatisfaction]])</f>
        <v>4.333333333333333</v>
      </c>
      <c r="R1882" s="2">
        <f>PerfRate[[#This Row],[ManagerRating]] - PerfRate[[#This Row],[SelfRating]]</f>
        <v>0</v>
      </c>
    </row>
    <row r="1883" spans="1:18">
      <c r="A1883" s="2" t="s">
        <v>6190</v>
      </c>
      <c r="B1883" s="2" t="s">
        <v>118</v>
      </c>
      <c r="C1883" s="1">
        <v>43293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  <c r="L1883" s="2" t="s">
        <v>11030</v>
      </c>
      <c r="M1883" s="2" t="s">
        <v>11029</v>
      </c>
      <c r="N1883" s="2" t="s">
        <v>11037</v>
      </c>
      <c r="O1883" s="2" t="s">
        <v>11035</v>
      </c>
      <c r="P1883" s="2" t="s">
        <v>11036</v>
      </c>
      <c r="Q1883" s="2">
        <f>AVERAGE(PerfRate[[#This Row],[EnvironmentSatisfaction]],PerfRate[[#This Row],[JobSatisfaction]],PerfRate[[#This Row],[RelationshipSatisfaction]])</f>
        <v>3</v>
      </c>
      <c r="R1883" s="2">
        <f>PerfRate[[#This Row],[ManagerRating]] - PerfRate[[#This Row],[SelfRating]]</f>
        <v>-1</v>
      </c>
    </row>
    <row r="1884" spans="1:18">
      <c r="A1884" s="2" t="s">
        <v>6191</v>
      </c>
      <c r="B1884" s="2" t="s">
        <v>1692</v>
      </c>
      <c r="C1884" s="1">
        <v>43293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  <c r="L1884" s="2" t="s">
        <v>11030</v>
      </c>
      <c r="M1884" s="2" t="s">
        <v>11030</v>
      </c>
      <c r="N1884" s="2" t="s">
        <v>11038</v>
      </c>
      <c r="O1884" s="2" t="s">
        <v>11038</v>
      </c>
      <c r="P1884" s="2" t="s">
        <v>11037</v>
      </c>
      <c r="Q1884" s="2">
        <f>AVERAGE(PerfRate[[#This Row],[EnvironmentSatisfaction]],PerfRate[[#This Row],[JobSatisfaction]],PerfRate[[#This Row],[RelationshipSatisfaction]])</f>
        <v>4.666666666666667</v>
      </c>
      <c r="R1884" s="2">
        <f>PerfRate[[#This Row],[ManagerRating]] - PerfRate[[#This Row],[SelfRating]]</f>
        <v>0</v>
      </c>
    </row>
    <row r="1885" spans="1:18">
      <c r="A1885" s="2" t="s">
        <v>6192</v>
      </c>
      <c r="B1885" s="2" t="s">
        <v>3963</v>
      </c>
      <c r="C1885" s="1">
        <v>43324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  <c r="L1885" s="2" t="s">
        <v>11030</v>
      </c>
      <c r="M1885" s="2" t="s">
        <v>11029</v>
      </c>
      <c r="N1885" s="2" t="s">
        <v>11037</v>
      </c>
      <c r="O1885" s="2" t="s">
        <v>11036</v>
      </c>
      <c r="P1885" s="2" t="s">
        <v>11035</v>
      </c>
      <c r="Q1885" s="2">
        <f>AVERAGE(PerfRate[[#This Row],[EnvironmentSatisfaction]],PerfRate[[#This Row],[JobSatisfaction]],PerfRate[[#This Row],[RelationshipSatisfaction]])</f>
        <v>3</v>
      </c>
      <c r="R1885" s="2">
        <f>PerfRate[[#This Row],[ManagerRating]] - PerfRate[[#This Row],[SelfRating]]</f>
        <v>-1</v>
      </c>
    </row>
    <row r="1886" spans="1:18">
      <c r="A1886" s="2" t="s">
        <v>6193</v>
      </c>
      <c r="B1886" s="2" t="s">
        <v>2730</v>
      </c>
      <c r="C1886" s="1">
        <v>43324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  <c r="L1886" s="2" t="s">
        <v>11029</v>
      </c>
      <c r="M1886" s="2" t="s">
        <v>11029</v>
      </c>
      <c r="N1886" s="2" t="s">
        <v>11038</v>
      </c>
      <c r="O1886" s="2" t="s">
        <v>11037</v>
      </c>
      <c r="P1886" s="2" t="s">
        <v>11038</v>
      </c>
      <c r="Q1886" s="2">
        <f>AVERAGE(PerfRate[[#This Row],[EnvironmentSatisfaction]],PerfRate[[#This Row],[JobSatisfaction]],PerfRate[[#This Row],[RelationshipSatisfaction]])</f>
        <v>4.666666666666667</v>
      </c>
      <c r="R1886" s="2">
        <f>PerfRate[[#This Row],[ManagerRating]] - PerfRate[[#This Row],[SelfRating]]</f>
        <v>0</v>
      </c>
    </row>
    <row r="1887" spans="1:18">
      <c r="A1887" s="2" t="s">
        <v>6194</v>
      </c>
      <c r="B1887" s="2" t="s">
        <v>1663</v>
      </c>
      <c r="C1887" s="1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  <c r="L1887" s="2" t="s">
        <v>11031</v>
      </c>
      <c r="M1887" s="2" t="s">
        <v>11031</v>
      </c>
      <c r="N1887" s="2" t="s">
        <v>11038</v>
      </c>
      <c r="O1887" s="2" t="s">
        <v>11037</v>
      </c>
      <c r="P1887" s="2" t="s">
        <v>11037</v>
      </c>
      <c r="Q1887" s="2">
        <f>AVERAGE(PerfRate[[#This Row],[EnvironmentSatisfaction]],PerfRate[[#This Row],[JobSatisfaction]],PerfRate[[#This Row],[RelationshipSatisfaction]])</f>
        <v>4.333333333333333</v>
      </c>
      <c r="R1887" s="2">
        <f>PerfRate[[#This Row],[ManagerRating]] - PerfRate[[#This Row],[SelfRating]]</f>
        <v>0</v>
      </c>
    </row>
    <row r="1888" spans="1:18">
      <c r="A1888" s="2" t="s">
        <v>6195</v>
      </c>
      <c r="B1888" s="2" t="s">
        <v>4202</v>
      </c>
      <c r="C1888" s="1">
        <v>43355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  <c r="L1888" s="2" t="s">
        <v>11030</v>
      </c>
      <c r="M1888" s="2" t="s">
        <v>11029</v>
      </c>
      <c r="N1888" s="2" t="s">
        <v>11037</v>
      </c>
      <c r="O1888" s="2" t="s">
        <v>11037</v>
      </c>
      <c r="P1888" s="2" t="s">
        <v>11035</v>
      </c>
      <c r="Q1888" s="2">
        <f>AVERAGE(PerfRate[[#This Row],[EnvironmentSatisfaction]],PerfRate[[#This Row],[JobSatisfaction]],PerfRate[[#This Row],[RelationshipSatisfaction]])</f>
        <v>3.3333333333333335</v>
      </c>
      <c r="R1888" s="2">
        <f>PerfRate[[#This Row],[ManagerRating]] - PerfRate[[#This Row],[SelfRating]]</f>
        <v>-1</v>
      </c>
    </row>
    <row r="1889" spans="1:18">
      <c r="A1889" s="2" t="s">
        <v>6196</v>
      </c>
      <c r="B1889" s="2" t="s">
        <v>380</v>
      </c>
      <c r="C1889" s="1">
        <v>43355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  <c r="L1889" s="2" t="s">
        <v>11030</v>
      </c>
      <c r="M1889" s="2" t="s">
        <v>11029</v>
      </c>
      <c r="N1889" s="2" t="s">
        <v>11037</v>
      </c>
      <c r="O1889" s="2" t="s">
        <v>11037</v>
      </c>
      <c r="P1889" s="2" t="s">
        <v>11036</v>
      </c>
      <c r="Q1889" s="2">
        <f>AVERAGE(PerfRate[[#This Row],[EnvironmentSatisfaction]],PerfRate[[#This Row],[JobSatisfaction]],PerfRate[[#This Row],[RelationshipSatisfaction]])</f>
        <v>3.6666666666666665</v>
      </c>
      <c r="R1889" s="2">
        <f>PerfRate[[#This Row],[ManagerRating]] - PerfRate[[#This Row],[SelfRating]]</f>
        <v>-1</v>
      </c>
    </row>
    <row r="1890" spans="1:18">
      <c r="A1890" s="2" t="s">
        <v>6197</v>
      </c>
      <c r="B1890" s="2" t="s">
        <v>856</v>
      </c>
      <c r="C1890" s="1">
        <v>43416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  <c r="L1890" s="2" t="s">
        <v>11031</v>
      </c>
      <c r="M1890" s="2" t="s">
        <v>11030</v>
      </c>
      <c r="N1890" s="2" t="s">
        <v>11037</v>
      </c>
      <c r="O1890" s="2" t="s">
        <v>11035</v>
      </c>
      <c r="P1890" s="2" t="s">
        <v>11037</v>
      </c>
      <c r="Q1890" s="2">
        <f>AVERAGE(PerfRate[[#This Row],[EnvironmentSatisfaction]],PerfRate[[#This Row],[JobSatisfaction]],PerfRate[[#This Row],[RelationshipSatisfaction]])</f>
        <v>3.3333333333333335</v>
      </c>
      <c r="R1890" s="2">
        <f>PerfRate[[#This Row],[ManagerRating]] - PerfRate[[#This Row],[SelfRating]]</f>
        <v>-1</v>
      </c>
    </row>
    <row r="1891" spans="1:18">
      <c r="A1891" s="2" t="s">
        <v>6198</v>
      </c>
      <c r="B1891" s="2" t="s">
        <v>1599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  <c r="L1891" s="2" t="s">
        <v>11030</v>
      </c>
      <c r="M1891" s="2" t="s">
        <v>11029</v>
      </c>
      <c r="N1891" s="2" t="s">
        <v>11038</v>
      </c>
      <c r="O1891" s="2" t="s">
        <v>11037</v>
      </c>
      <c r="P1891" s="2" t="s">
        <v>11036</v>
      </c>
      <c r="Q1891" s="2">
        <f>AVERAGE(PerfRate[[#This Row],[EnvironmentSatisfaction]],PerfRate[[#This Row],[JobSatisfaction]],PerfRate[[#This Row],[RelationshipSatisfaction]])</f>
        <v>4</v>
      </c>
      <c r="R1891" s="2">
        <f>PerfRate[[#This Row],[ManagerRating]] - PerfRate[[#This Row],[SelfRating]]</f>
        <v>-1</v>
      </c>
    </row>
    <row r="1892" spans="1:18">
      <c r="A1892" s="2" t="s">
        <v>6199</v>
      </c>
      <c r="B1892" s="2" t="s">
        <v>3362</v>
      </c>
      <c r="C1892" s="1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  <c r="L1892" s="2" t="s">
        <v>11031</v>
      </c>
      <c r="M1892" s="2" t="s">
        <v>11031</v>
      </c>
      <c r="N1892" s="2" t="s">
        <v>11037</v>
      </c>
      <c r="O1892" s="2" t="s">
        <v>11036</v>
      </c>
      <c r="P1892" s="2" t="s">
        <v>11036</v>
      </c>
      <c r="Q1892" s="2">
        <f>AVERAGE(PerfRate[[#This Row],[EnvironmentSatisfaction]],PerfRate[[#This Row],[JobSatisfaction]],PerfRate[[#This Row],[RelationshipSatisfaction]])</f>
        <v>3.3333333333333335</v>
      </c>
      <c r="R1892" s="2">
        <f>PerfRate[[#This Row],[ManagerRating]] - PerfRate[[#This Row],[SelfRating]]</f>
        <v>0</v>
      </c>
    </row>
    <row r="1893" spans="1:18">
      <c r="A1893" s="2" t="s">
        <v>6200</v>
      </c>
      <c r="B1893" s="2" t="s">
        <v>314</v>
      </c>
      <c r="C1893" s="1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  <c r="L1893" s="2" t="s">
        <v>11030</v>
      </c>
      <c r="M1893" s="2" t="s">
        <v>11030</v>
      </c>
      <c r="N1893" s="2" t="s">
        <v>11037</v>
      </c>
      <c r="O1893" s="2" t="s">
        <v>11036</v>
      </c>
      <c r="P1893" s="2" t="s">
        <v>11037</v>
      </c>
      <c r="Q1893" s="2">
        <f>AVERAGE(PerfRate[[#This Row],[EnvironmentSatisfaction]],PerfRate[[#This Row],[JobSatisfaction]],PerfRate[[#This Row],[RelationshipSatisfaction]])</f>
        <v>3.6666666666666665</v>
      </c>
      <c r="R1893" s="2">
        <f>PerfRate[[#This Row],[ManagerRating]] - PerfRate[[#This Row],[SelfRating]]</f>
        <v>0</v>
      </c>
    </row>
    <row r="1894" spans="1:18">
      <c r="A1894" s="2" t="s">
        <v>6201</v>
      </c>
      <c r="B1894" s="2" t="s">
        <v>1324</v>
      </c>
      <c r="C1894" s="1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  <c r="L1894" s="2" t="s">
        <v>11030</v>
      </c>
      <c r="M1894" s="2" t="s">
        <v>11030</v>
      </c>
      <c r="N1894" s="2" t="s">
        <v>11037</v>
      </c>
      <c r="O1894" s="2" t="s">
        <v>11036</v>
      </c>
      <c r="P1894" s="2" t="s">
        <v>11035</v>
      </c>
      <c r="Q1894" s="2">
        <f>AVERAGE(PerfRate[[#This Row],[EnvironmentSatisfaction]],PerfRate[[#This Row],[JobSatisfaction]],PerfRate[[#This Row],[RelationshipSatisfaction]])</f>
        <v>3</v>
      </c>
      <c r="R1894" s="2">
        <f>PerfRate[[#This Row],[ManagerRating]] - PerfRate[[#This Row],[SelfRating]]</f>
        <v>0</v>
      </c>
    </row>
    <row r="1895" spans="1:18">
      <c r="A1895" s="2" t="s">
        <v>6202</v>
      </c>
      <c r="B1895" s="2" t="s">
        <v>1566</v>
      </c>
      <c r="C1895" s="1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  <c r="L1895" s="2" t="s">
        <v>11030</v>
      </c>
      <c r="M1895" s="2" t="s">
        <v>11029</v>
      </c>
      <c r="N1895" s="2" t="s">
        <v>11038</v>
      </c>
      <c r="O1895" s="2" t="s">
        <v>11036</v>
      </c>
      <c r="P1895" s="2" t="s">
        <v>11037</v>
      </c>
      <c r="Q1895" s="2">
        <f>AVERAGE(PerfRate[[#This Row],[EnvironmentSatisfaction]],PerfRate[[#This Row],[JobSatisfaction]],PerfRate[[#This Row],[RelationshipSatisfaction]])</f>
        <v>4</v>
      </c>
      <c r="R1895" s="2">
        <f>PerfRate[[#This Row],[ManagerRating]] - PerfRate[[#This Row],[SelfRating]]</f>
        <v>-1</v>
      </c>
    </row>
    <row r="1896" spans="1:18">
      <c r="A1896" s="2" t="s">
        <v>6203</v>
      </c>
      <c r="B1896" s="2" t="s">
        <v>3160</v>
      </c>
      <c r="C1896" s="1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  <c r="L1896" s="2" t="s">
        <v>11030</v>
      </c>
      <c r="M1896" s="2" t="s">
        <v>11030</v>
      </c>
      <c r="N1896" s="2" t="s">
        <v>11038</v>
      </c>
      <c r="O1896" s="2" t="s">
        <v>11035</v>
      </c>
      <c r="P1896" s="2" t="s">
        <v>11035</v>
      </c>
      <c r="Q1896" s="2">
        <f>AVERAGE(PerfRate[[#This Row],[EnvironmentSatisfaction]],PerfRate[[#This Row],[JobSatisfaction]],PerfRate[[#This Row],[RelationshipSatisfaction]])</f>
        <v>3</v>
      </c>
      <c r="R1896" s="2">
        <f>PerfRate[[#This Row],[ManagerRating]] - PerfRate[[#This Row],[SelfRating]]</f>
        <v>0</v>
      </c>
    </row>
    <row r="1897" spans="1:18">
      <c r="A1897" s="2" t="s">
        <v>6204</v>
      </c>
      <c r="B1897" s="2" t="s">
        <v>3476</v>
      </c>
      <c r="C1897" s="1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  <c r="L1897" s="2" t="s">
        <v>11031</v>
      </c>
      <c r="M1897" s="2" t="s">
        <v>11031</v>
      </c>
      <c r="N1897" s="2" t="s">
        <v>11037</v>
      </c>
      <c r="O1897" s="2" t="s">
        <v>11036</v>
      </c>
      <c r="P1897" s="2" t="s">
        <v>11038</v>
      </c>
      <c r="Q1897" s="2">
        <f>AVERAGE(PerfRate[[#This Row],[EnvironmentSatisfaction]],PerfRate[[#This Row],[JobSatisfaction]],PerfRate[[#This Row],[RelationshipSatisfaction]])</f>
        <v>4</v>
      </c>
      <c r="R1897" s="2">
        <f>PerfRate[[#This Row],[ManagerRating]] - PerfRate[[#This Row],[SelfRating]]</f>
        <v>0</v>
      </c>
    </row>
    <row r="1898" spans="1:18">
      <c r="A1898" s="2" t="s">
        <v>6205</v>
      </c>
      <c r="B1898" s="2" t="s">
        <v>1252</v>
      </c>
      <c r="C1898" s="1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  <c r="L1898" s="2" t="s">
        <v>11030</v>
      </c>
      <c r="M1898" s="2" t="s">
        <v>11029</v>
      </c>
      <c r="N1898" s="2" t="s">
        <v>11038</v>
      </c>
      <c r="O1898" s="2" t="s">
        <v>11037</v>
      </c>
      <c r="P1898" s="2" t="s">
        <v>11036</v>
      </c>
      <c r="Q1898" s="2">
        <f>AVERAGE(PerfRate[[#This Row],[EnvironmentSatisfaction]],PerfRate[[#This Row],[JobSatisfaction]],PerfRate[[#This Row],[RelationshipSatisfaction]])</f>
        <v>4</v>
      </c>
      <c r="R1898" s="2">
        <f>PerfRate[[#This Row],[ManagerRating]] - PerfRate[[#This Row],[SelfRating]]</f>
        <v>-1</v>
      </c>
    </row>
    <row r="1899" spans="1:18">
      <c r="A1899" s="2" t="s">
        <v>6206</v>
      </c>
      <c r="B1899" s="2" t="s">
        <v>937</v>
      </c>
      <c r="C1899" s="1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  <c r="L1899" s="2" t="s">
        <v>11029</v>
      </c>
      <c r="M1899" s="2" t="s">
        <v>11029</v>
      </c>
      <c r="N1899" s="2" t="s">
        <v>11036</v>
      </c>
      <c r="O1899" s="2" t="s">
        <v>11035</v>
      </c>
      <c r="P1899" s="2" t="s">
        <v>11035</v>
      </c>
      <c r="Q1899" s="2">
        <f>AVERAGE(PerfRate[[#This Row],[EnvironmentSatisfaction]],PerfRate[[#This Row],[JobSatisfaction]],PerfRate[[#This Row],[RelationshipSatisfaction]])</f>
        <v>2.3333333333333335</v>
      </c>
      <c r="R1899" s="2">
        <f>PerfRate[[#This Row],[ManagerRating]] - PerfRate[[#This Row],[SelfRating]]</f>
        <v>0</v>
      </c>
    </row>
    <row r="1900" spans="1:18">
      <c r="A1900" s="2" t="s">
        <v>6207</v>
      </c>
      <c r="B1900" s="2" t="s">
        <v>211</v>
      </c>
      <c r="C1900" s="1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  <c r="L1900" s="2" t="s">
        <v>11030</v>
      </c>
      <c r="M1900" s="2" t="s">
        <v>11030</v>
      </c>
      <c r="N1900" s="2" t="s">
        <v>11037</v>
      </c>
      <c r="O1900" s="2" t="s">
        <v>11038</v>
      </c>
      <c r="P1900" s="2" t="s">
        <v>11035</v>
      </c>
      <c r="Q1900" s="2">
        <f>AVERAGE(PerfRate[[#This Row],[EnvironmentSatisfaction]],PerfRate[[#This Row],[JobSatisfaction]],PerfRate[[#This Row],[RelationshipSatisfaction]])</f>
        <v>3.6666666666666665</v>
      </c>
      <c r="R1900" s="2">
        <f>PerfRate[[#This Row],[ManagerRating]] - PerfRate[[#This Row],[SelfRating]]</f>
        <v>0</v>
      </c>
    </row>
    <row r="1901" spans="1:18">
      <c r="A1901" s="2" t="s">
        <v>6208</v>
      </c>
      <c r="B1901" s="2" t="s">
        <v>1397</v>
      </c>
      <c r="C1901" s="1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  <c r="L1901" s="2" t="s">
        <v>11030</v>
      </c>
      <c r="M1901" s="2" t="s">
        <v>11030</v>
      </c>
      <c r="N1901" s="2" t="s">
        <v>11038</v>
      </c>
      <c r="O1901" s="2" t="s">
        <v>11036</v>
      </c>
      <c r="P1901" s="2" t="s">
        <v>11036</v>
      </c>
      <c r="Q1901" s="2">
        <f>AVERAGE(PerfRate[[#This Row],[EnvironmentSatisfaction]],PerfRate[[#This Row],[JobSatisfaction]],PerfRate[[#This Row],[RelationshipSatisfaction]])</f>
        <v>3.6666666666666665</v>
      </c>
      <c r="R1901" s="2">
        <f>PerfRate[[#This Row],[ManagerRating]] - PerfRate[[#This Row],[SelfRating]]</f>
        <v>0</v>
      </c>
    </row>
    <row r="1902" spans="1:18">
      <c r="A1902" s="2" t="s">
        <v>6209</v>
      </c>
      <c r="B1902" s="2" t="s">
        <v>3606</v>
      </c>
      <c r="C1902" s="1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  <c r="L1902" s="2" t="s">
        <v>11029</v>
      </c>
      <c r="M1902" s="2" t="s">
        <v>11028</v>
      </c>
      <c r="N1902" s="2" t="s">
        <v>11036</v>
      </c>
      <c r="O1902" s="2" t="s">
        <v>11035</v>
      </c>
      <c r="P1902" s="2" t="s">
        <v>11038</v>
      </c>
      <c r="Q1902" s="2">
        <f>AVERAGE(PerfRate[[#This Row],[EnvironmentSatisfaction]],PerfRate[[#This Row],[JobSatisfaction]],PerfRate[[#This Row],[RelationshipSatisfaction]])</f>
        <v>3.3333333333333335</v>
      </c>
      <c r="R1902" s="2">
        <f>PerfRate[[#This Row],[ManagerRating]] - PerfRate[[#This Row],[SelfRating]]</f>
        <v>-1</v>
      </c>
    </row>
    <row r="1903" spans="1:18">
      <c r="A1903" s="2" t="s">
        <v>6210</v>
      </c>
      <c r="B1903" s="2" t="s">
        <v>679</v>
      </c>
      <c r="C1903" s="1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  <c r="L1903" s="2" t="s">
        <v>11029</v>
      </c>
      <c r="M1903" s="2" t="s">
        <v>11029</v>
      </c>
      <c r="N1903" s="2" t="s">
        <v>11038</v>
      </c>
      <c r="O1903" s="2" t="s">
        <v>11036</v>
      </c>
      <c r="P1903" s="2" t="s">
        <v>11036</v>
      </c>
      <c r="Q1903" s="2">
        <f>AVERAGE(PerfRate[[#This Row],[EnvironmentSatisfaction]],PerfRate[[#This Row],[JobSatisfaction]],PerfRate[[#This Row],[RelationshipSatisfaction]])</f>
        <v>3.6666666666666665</v>
      </c>
      <c r="R1903" s="2">
        <f>PerfRate[[#This Row],[ManagerRating]] - PerfRate[[#This Row],[SelfRating]]</f>
        <v>0</v>
      </c>
    </row>
    <row r="1904" spans="1:18">
      <c r="A1904" s="2" t="s">
        <v>6211</v>
      </c>
      <c r="B1904" s="2" t="s">
        <v>278</v>
      </c>
      <c r="C1904" s="1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  <c r="L1904" s="2" t="s">
        <v>11030</v>
      </c>
      <c r="M1904" s="2" t="s">
        <v>11029</v>
      </c>
      <c r="N1904" s="2" t="s">
        <v>11038</v>
      </c>
      <c r="O1904" s="2" t="s">
        <v>11038</v>
      </c>
      <c r="P1904" s="2" t="s">
        <v>11038</v>
      </c>
      <c r="Q1904" s="2">
        <f>AVERAGE(PerfRate[[#This Row],[EnvironmentSatisfaction]],PerfRate[[#This Row],[JobSatisfaction]],PerfRate[[#This Row],[RelationshipSatisfaction]])</f>
        <v>5</v>
      </c>
      <c r="R1904" s="2">
        <f>PerfRate[[#This Row],[ManagerRating]] - PerfRate[[#This Row],[SelfRating]]</f>
        <v>-1</v>
      </c>
    </row>
    <row r="1905" spans="1:18">
      <c r="A1905" s="2" t="s">
        <v>6212</v>
      </c>
      <c r="B1905" s="2" t="s">
        <v>186</v>
      </c>
      <c r="C1905" s="1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  <c r="L1905" s="2" t="s">
        <v>11030</v>
      </c>
      <c r="M1905" s="2" t="s">
        <v>11029</v>
      </c>
      <c r="N1905" s="2" t="s">
        <v>11038</v>
      </c>
      <c r="O1905" s="2" t="s">
        <v>11038</v>
      </c>
      <c r="P1905" s="2" t="s">
        <v>11038</v>
      </c>
      <c r="Q1905" s="2">
        <f>AVERAGE(PerfRate[[#This Row],[EnvironmentSatisfaction]],PerfRate[[#This Row],[JobSatisfaction]],PerfRate[[#This Row],[RelationshipSatisfaction]])</f>
        <v>5</v>
      </c>
      <c r="R1905" s="2">
        <f>PerfRate[[#This Row],[ManagerRating]] - PerfRate[[#This Row],[SelfRating]]</f>
        <v>-1</v>
      </c>
    </row>
    <row r="1906" spans="1:18">
      <c r="A1906" s="2" t="s">
        <v>6213</v>
      </c>
      <c r="B1906" s="2" t="s">
        <v>1277</v>
      </c>
      <c r="C1906" s="1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  <c r="L1906" s="2" t="s">
        <v>11030</v>
      </c>
      <c r="M1906" s="2" t="s">
        <v>11029</v>
      </c>
      <c r="N1906" s="2" t="s">
        <v>11038</v>
      </c>
      <c r="O1906" s="2" t="s">
        <v>11036</v>
      </c>
      <c r="P1906" s="2" t="s">
        <v>11035</v>
      </c>
      <c r="Q1906" s="2">
        <f>AVERAGE(PerfRate[[#This Row],[EnvironmentSatisfaction]],PerfRate[[#This Row],[JobSatisfaction]],PerfRate[[#This Row],[RelationshipSatisfaction]])</f>
        <v>3.3333333333333335</v>
      </c>
      <c r="R1906" s="2">
        <f>PerfRate[[#This Row],[ManagerRating]] - PerfRate[[#This Row],[SelfRating]]</f>
        <v>-1</v>
      </c>
    </row>
    <row r="1907" spans="1:18">
      <c r="A1907" s="2" t="s">
        <v>6214</v>
      </c>
      <c r="B1907" s="2" t="s">
        <v>1635</v>
      </c>
      <c r="C1907" s="1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  <c r="L1907" s="2" t="s">
        <v>11030</v>
      </c>
      <c r="M1907" s="2" t="s">
        <v>11029</v>
      </c>
      <c r="N1907" s="2" t="s">
        <v>11038</v>
      </c>
      <c r="O1907" s="2" t="s">
        <v>11036</v>
      </c>
      <c r="P1907" s="2" t="s">
        <v>11036</v>
      </c>
      <c r="Q1907" s="2">
        <f>AVERAGE(PerfRate[[#This Row],[EnvironmentSatisfaction]],PerfRate[[#This Row],[JobSatisfaction]],PerfRate[[#This Row],[RelationshipSatisfaction]])</f>
        <v>3.6666666666666665</v>
      </c>
      <c r="R1907" s="2">
        <f>PerfRate[[#This Row],[ManagerRating]] - PerfRate[[#This Row],[SelfRating]]</f>
        <v>-1</v>
      </c>
    </row>
    <row r="1908" spans="1:18">
      <c r="A1908" s="2" t="s">
        <v>6215</v>
      </c>
      <c r="B1908" s="2" t="s">
        <v>311</v>
      </c>
      <c r="C1908" s="1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  <c r="L1908" s="2" t="s">
        <v>11031</v>
      </c>
      <c r="M1908" s="2" t="s">
        <v>11030</v>
      </c>
      <c r="N1908" s="2" t="s">
        <v>11036</v>
      </c>
      <c r="O1908" s="2" t="s">
        <v>11036</v>
      </c>
      <c r="P1908" s="2" t="s">
        <v>11036</v>
      </c>
      <c r="Q1908" s="2">
        <f>AVERAGE(PerfRate[[#This Row],[EnvironmentSatisfaction]],PerfRate[[#This Row],[JobSatisfaction]],PerfRate[[#This Row],[RelationshipSatisfaction]])</f>
        <v>3</v>
      </c>
      <c r="R1908" s="2">
        <f>PerfRate[[#This Row],[ManagerRating]] - PerfRate[[#This Row],[SelfRating]]</f>
        <v>-1</v>
      </c>
    </row>
    <row r="1909" spans="1:18">
      <c r="A1909" s="2" t="s">
        <v>6216</v>
      </c>
      <c r="B1909" s="2" t="s">
        <v>413</v>
      </c>
      <c r="C1909" s="1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  <c r="L1909" s="2" t="s">
        <v>11031</v>
      </c>
      <c r="M1909" s="2" t="s">
        <v>11030</v>
      </c>
      <c r="N1909" s="2" t="s">
        <v>11038</v>
      </c>
      <c r="O1909" s="2" t="s">
        <v>11035</v>
      </c>
      <c r="P1909" s="2" t="s">
        <v>11038</v>
      </c>
      <c r="Q1909" s="2">
        <f>AVERAGE(PerfRate[[#This Row],[EnvironmentSatisfaction]],PerfRate[[#This Row],[JobSatisfaction]],PerfRate[[#This Row],[RelationshipSatisfaction]])</f>
        <v>4</v>
      </c>
      <c r="R1909" s="2">
        <f>PerfRate[[#This Row],[ManagerRating]] - PerfRate[[#This Row],[SelfRating]]</f>
        <v>-1</v>
      </c>
    </row>
    <row r="1910" spans="1:18">
      <c r="A1910" s="2" t="s">
        <v>6217</v>
      </c>
      <c r="B1910" s="2" t="s">
        <v>1111</v>
      </c>
      <c r="C1910" s="1">
        <v>41643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  <c r="L1910" s="2" t="s">
        <v>11030</v>
      </c>
      <c r="M1910" s="2" t="s">
        <v>11029</v>
      </c>
      <c r="N1910" s="2" t="s">
        <v>11038</v>
      </c>
      <c r="O1910" s="2" t="s">
        <v>11037</v>
      </c>
      <c r="P1910" s="2" t="s">
        <v>11037</v>
      </c>
      <c r="Q1910" s="2">
        <f>AVERAGE(PerfRate[[#This Row],[EnvironmentSatisfaction]],PerfRate[[#This Row],[JobSatisfaction]],PerfRate[[#This Row],[RelationshipSatisfaction]])</f>
        <v>4.333333333333333</v>
      </c>
      <c r="R1910" s="2">
        <f>PerfRate[[#This Row],[ManagerRating]] - PerfRate[[#This Row],[SelfRating]]</f>
        <v>-1</v>
      </c>
    </row>
    <row r="1911" spans="1:18">
      <c r="A1911" s="2" t="s">
        <v>6218</v>
      </c>
      <c r="B1911" s="2" t="s">
        <v>949</v>
      </c>
      <c r="C1911" s="1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  <c r="L1911" s="2" t="s">
        <v>11029</v>
      </c>
      <c r="M1911" s="2" t="s">
        <v>11028</v>
      </c>
      <c r="N1911" s="2" t="s">
        <v>11038</v>
      </c>
      <c r="O1911" s="2" t="s">
        <v>11037</v>
      </c>
      <c r="P1911" s="2" t="s">
        <v>11035</v>
      </c>
      <c r="Q1911" s="2">
        <f>AVERAGE(PerfRate[[#This Row],[EnvironmentSatisfaction]],PerfRate[[#This Row],[JobSatisfaction]],PerfRate[[#This Row],[RelationshipSatisfaction]])</f>
        <v>3.6666666666666665</v>
      </c>
      <c r="R1911" s="2">
        <f>PerfRate[[#This Row],[ManagerRating]] - PerfRate[[#This Row],[SelfRating]]</f>
        <v>-1</v>
      </c>
    </row>
    <row r="1912" spans="1:18">
      <c r="A1912" s="2" t="s">
        <v>6219</v>
      </c>
      <c r="B1912" s="2" t="s">
        <v>1438</v>
      </c>
      <c r="C1912" s="1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  <c r="L1912" s="2" t="s">
        <v>11029</v>
      </c>
      <c r="M1912" s="2" t="s">
        <v>11028</v>
      </c>
      <c r="N1912" s="2" t="s">
        <v>11038</v>
      </c>
      <c r="O1912" s="2" t="s">
        <v>11035</v>
      </c>
      <c r="P1912" s="2" t="s">
        <v>11037</v>
      </c>
      <c r="Q1912" s="2">
        <f>AVERAGE(PerfRate[[#This Row],[EnvironmentSatisfaction]],PerfRate[[#This Row],[JobSatisfaction]],PerfRate[[#This Row],[RelationshipSatisfaction]])</f>
        <v>3.6666666666666665</v>
      </c>
      <c r="R1912" s="2">
        <f>PerfRate[[#This Row],[ManagerRating]] - PerfRate[[#This Row],[SelfRating]]</f>
        <v>-1</v>
      </c>
    </row>
    <row r="1913" spans="1:18">
      <c r="A1913" s="2" t="s">
        <v>6220</v>
      </c>
      <c r="B1913" s="2" t="s">
        <v>4035</v>
      </c>
      <c r="C1913" s="1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  <c r="L1913" s="2" t="s">
        <v>11029</v>
      </c>
      <c r="M1913" s="2" t="s">
        <v>11029</v>
      </c>
      <c r="N1913" s="2" t="s">
        <v>11036</v>
      </c>
      <c r="O1913" s="2" t="s">
        <v>11037</v>
      </c>
      <c r="P1913" s="2" t="s">
        <v>11037</v>
      </c>
      <c r="Q1913" s="2">
        <f>AVERAGE(PerfRate[[#This Row],[EnvironmentSatisfaction]],PerfRate[[#This Row],[JobSatisfaction]],PerfRate[[#This Row],[RelationshipSatisfaction]])</f>
        <v>3.6666666666666665</v>
      </c>
      <c r="R1913" s="2">
        <f>PerfRate[[#This Row],[ManagerRating]] - PerfRate[[#This Row],[SelfRating]]</f>
        <v>0</v>
      </c>
    </row>
    <row r="1914" spans="1:18">
      <c r="A1914" s="2" t="s">
        <v>6221</v>
      </c>
      <c r="B1914" s="2" t="s">
        <v>901</v>
      </c>
      <c r="C1914" s="1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  <c r="L1914" s="2" t="s">
        <v>11031</v>
      </c>
      <c r="M1914" s="2" t="s">
        <v>11030</v>
      </c>
      <c r="N1914" s="2" t="s">
        <v>11037</v>
      </c>
      <c r="O1914" s="2" t="s">
        <v>11037</v>
      </c>
      <c r="P1914" s="2" t="s">
        <v>11035</v>
      </c>
      <c r="Q1914" s="2">
        <f>AVERAGE(PerfRate[[#This Row],[EnvironmentSatisfaction]],PerfRate[[#This Row],[JobSatisfaction]],PerfRate[[#This Row],[RelationshipSatisfaction]])</f>
        <v>3.3333333333333335</v>
      </c>
      <c r="R1914" s="2">
        <f>PerfRate[[#This Row],[ManagerRating]] - PerfRate[[#This Row],[SelfRating]]</f>
        <v>-1</v>
      </c>
    </row>
    <row r="1915" spans="1:18">
      <c r="A1915" s="2" t="s">
        <v>6222</v>
      </c>
      <c r="B1915" s="2" t="s">
        <v>860</v>
      </c>
      <c r="C1915" s="1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  <c r="L1915" s="2" t="s">
        <v>11030</v>
      </c>
      <c r="M1915" s="2" t="s">
        <v>11029</v>
      </c>
      <c r="N1915" s="2" t="s">
        <v>11038</v>
      </c>
      <c r="O1915" s="2" t="s">
        <v>11038</v>
      </c>
      <c r="P1915" s="2" t="s">
        <v>11038</v>
      </c>
      <c r="Q1915" s="2">
        <f>AVERAGE(PerfRate[[#This Row],[EnvironmentSatisfaction]],PerfRate[[#This Row],[JobSatisfaction]],PerfRate[[#This Row],[RelationshipSatisfaction]])</f>
        <v>5</v>
      </c>
      <c r="R1915" s="2">
        <f>PerfRate[[#This Row],[ManagerRating]] - PerfRate[[#This Row],[SelfRating]]</f>
        <v>-1</v>
      </c>
    </row>
    <row r="1916" spans="1:18">
      <c r="A1916" s="2" t="s">
        <v>6223</v>
      </c>
      <c r="B1916" s="2" t="s">
        <v>1623</v>
      </c>
      <c r="C1916" s="1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  <c r="L1916" s="2" t="s">
        <v>11031</v>
      </c>
      <c r="M1916" s="2" t="s">
        <v>11030</v>
      </c>
      <c r="N1916" s="2" t="s">
        <v>11036</v>
      </c>
      <c r="O1916" s="2" t="s">
        <v>11036</v>
      </c>
      <c r="P1916" s="2" t="s">
        <v>11037</v>
      </c>
      <c r="Q1916" s="2">
        <f>AVERAGE(PerfRate[[#This Row],[EnvironmentSatisfaction]],PerfRate[[#This Row],[JobSatisfaction]],PerfRate[[#This Row],[RelationshipSatisfaction]])</f>
        <v>3.3333333333333335</v>
      </c>
      <c r="R1916" s="2">
        <f>PerfRate[[#This Row],[ManagerRating]] - PerfRate[[#This Row],[SelfRating]]</f>
        <v>-1</v>
      </c>
    </row>
    <row r="1917" spans="1:18">
      <c r="A1917" s="2" t="s">
        <v>6224</v>
      </c>
      <c r="B1917" s="2" t="s">
        <v>1514</v>
      </c>
      <c r="C1917" s="1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  <c r="L1917" s="2" t="s">
        <v>11030</v>
      </c>
      <c r="M1917" s="2" t="s">
        <v>11029</v>
      </c>
      <c r="N1917" s="2" t="s">
        <v>11038</v>
      </c>
      <c r="O1917" s="2" t="s">
        <v>11038</v>
      </c>
      <c r="P1917" s="2" t="s">
        <v>11037</v>
      </c>
      <c r="Q1917" s="2">
        <f>AVERAGE(PerfRate[[#This Row],[EnvironmentSatisfaction]],PerfRate[[#This Row],[JobSatisfaction]],PerfRate[[#This Row],[RelationshipSatisfaction]])</f>
        <v>4.666666666666667</v>
      </c>
      <c r="R1917" s="2">
        <f>PerfRate[[#This Row],[ManagerRating]] - PerfRate[[#This Row],[SelfRating]]</f>
        <v>-1</v>
      </c>
    </row>
    <row r="1918" spans="1:18">
      <c r="A1918" s="2" t="s">
        <v>6225</v>
      </c>
      <c r="B1918" s="2" t="s">
        <v>3207</v>
      </c>
      <c r="C1918" s="1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  <c r="L1918" s="2" t="s">
        <v>11029</v>
      </c>
      <c r="M1918" s="2" t="s">
        <v>11029</v>
      </c>
      <c r="N1918" s="2" t="s">
        <v>11037</v>
      </c>
      <c r="O1918" s="2" t="s">
        <v>11035</v>
      </c>
      <c r="P1918" s="2" t="s">
        <v>11038</v>
      </c>
      <c r="Q1918" s="2">
        <f>AVERAGE(PerfRate[[#This Row],[EnvironmentSatisfaction]],PerfRate[[#This Row],[JobSatisfaction]],PerfRate[[#This Row],[RelationshipSatisfaction]])</f>
        <v>3.6666666666666665</v>
      </c>
      <c r="R1918" s="2">
        <f>PerfRate[[#This Row],[ManagerRating]] - PerfRate[[#This Row],[SelfRating]]</f>
        <v>0</v>
      </c>
    </row>
    <row r="1919" spans="1:18">
      <c r="A1919" s="2" t="s">
        <v>6226</v>
      </c>
      <c r="B1919" s="2" t="s">
        <v>419</v>
      </c>
      <c r="C1919" s="1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  <c r="L1919" s="2" t="s">
        <v>11031</v>
      </c>
      <c r="M1919" s="2" t="s">
        <v>11030</v>
      </c>
      <c r="N1919" s="2" t="s">
        <v>11036</v>
      </c>
      <c r="O1919" s="2" t="s">
        <v>11037</v>
      </c>
      <c r="P1919" s="2" t="s">
        <v>11036</v>
      </c>
      <c r="Q1919" s="2">
        <f>AVERAGE(PerfRate[[#This Row],[EnvironmentSatisfaction]],PerfRate[[#This Row],[JobSatisfaction]],PerfRate[[#This Row],[RelationshipSatisfaction]])</f>
        <v>3.3333333333333335</v>
      </c>
      <c r="R1919" s="2">
        <f>PerfRate[[#This Row],[ManagerRating]] - PerfRate[[#This Row],[SelfRating]]</f>
        <v>-1</v>
      </c>
    </row>
    <row r="1920" spans="1:18">
      <c r="A1920" s="2" t="s">
        <v>6227</v>
      </c>
      <c r="B1920" s="2" t="s">
        <v>2856</v>
      </c>
      <c r="C1920" s="1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  <c r="L1920" s="2" t="s">
        <v>11031</v>
      </c>
      <c r="M1920" s="2" t="s">
        <v>11030</v>
      </c>
      <c r="N1920" s="2" t="s">
        <v>11036</v>
      </c>
      <c r="O1920" s="2" t="s">
        <v>11038</v>
      </c>
      <c r="P1920" s="2" t="s">
        <v>11037</v>
      </c>
      <c r="Q1920" s="2">
        <f>AVERAGE(PerfRate[[#This Row],[EnvironmentSatisfaction]],PerfRate[[#This Row],[JobSatisfaction]],PerfRate[[#This Row],[RelationshipSatisfaction]])</f>
        <v>4</v>
      </c>
      <c r="R1920" s="2">
        <f>PerfRate[[#This Row],[ManagerRating]] - PerfRate[[#This Row],[SelfRating]]</f>
        <v>-1</v>
      </c>
    </row>
    <row r="1921" spans="1:18">
      <c r="A1921" s="2" t="s">
        <v>6228</v>
      </c>
      <c r="B1921" s="2" t="s">
        <v>2125</v>
      </c>
      <c r="C1921" s="1">
        <v>41674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  <c r="L1921" s="2" t="s">
        <v>11029</v>
      </c>
      <c r="M1921" s="2" t="s">
        <v>11028</v>
      </c>
      <c r="N1921" s="2" t="s">
        <v>11038</v>
      </c>
      <c r="O1921" s="2" t="s">
        <v>11035</v>
      </c>
      <c r="P1921" s="2" t="s">
        <v>11038</v>
      </c>
      <c r="Q1921" s="2">
        <f>AVERAGE(PerfRate[[#This Row],[EnvironmentSatisfaction]],PerfRate[[#This Row],[JobSatisfaction]],PerfRate[[#This Row],[RelationshipSatisfaction]])</f>
        <v>4</v>
      </c>
      <c r="R1921" s="2">
        <f>PerfRate[[#This Row],[ManagerRating]] - PerfRate[[#This Row],[SelfRating]]</f>
        <v>-1</v>
      </c>
    </row>
    <row r="1922" spans="1:18">
      <c r="A1922" s="2" t="s">
        <v>6229</v>
      </c>
      <c r="B1922" s="2" t="s">
        <v>628</v>
      </c>
      <c r="C1922" s="1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  <c r="L1922" s="2" t="s">
        <v>11031</v>
      </c>
      <c r="M1922" s="2" t="s">
        <v>11030</v>
      </c>
      <c r="N1922" s="2" t="s">
        <v>11036</v>
      </c>
      <c r="O1922" s="2" t="s">
        <v>11036</v>
      </c>
      <c r="P1922" s="2" t="s">
        <v>11037</v>
      </c>
      <c r="Q1922" s="2">
        <f>AVERAGE(PerfRate[[#This Row],[EnvironmentSatisfaction]],PerfRate[[#This Row],[JobSatisfaction]],PerfRate[[#This Row],[RelationshipSatisfaction]])</f>
        <v>3.3333333333333335</v>
      </c>
      <c r="R1922" s="2">
        <f>PerfRate[[#This Row],[ManagerRating]] - PerfRate[[#This Row],[SelfRating]]</f>
        <v>-1</v>
      </c>
    </row>
    <row r="1923" spans="1:18">
      <c r="A1923" s="2" t="s">
        <v>6230</v>
      </c>
      <c r="B1923" s="2" t="s">
        <v>997</v>
      </c>
      <c r="C1923" s="1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  <c r="L1923" s="2" t="s">
        <v>11029</v>
      </c>
      <c r="M1923" s="2" t="s">
        <v>11029</v>
      </c>
      <c r="N1923" s="2" t="s">
        <v>11038</v>
      </c>
      <c r="O1923" s="2" t="s">
        <v>11035</v>
      </c>
      <c r="P1923" s="2" t="s">
        <v>11037</v>
      </c>
      <c r="Q1923" s="2">
        <f>AVERAGE(PerfRate[[#This Row],[EnvironmentSatisfaction]],PerfRate[[#This Row],[JobSatisfaction]],PerfRate[[#This Row],[RelationshipSatisfaction]])</f>
        <v>3.6666666666666665</v>
      </c>
      <c r="R1923" s="2">
        <f>PerfRate[[#This Row],[ManagerRating]] - PerfRate[[#This Row],[SelfRating]]</f>
        <v>0</v>
      </c>
    </row>
    <row r="1924" spans="1:18">
      <c r="A1924" s="2" t="s">
        <v>6231</v>
      </c>
      <c r="B1924" s="2" t="s">
        <v>788</v>
      </c>
      <c r="C1924" s="1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  <c r="L1924" s="2" t="s">
        <v>11030</v>
      </c>
      <c r="M1924" s="2" t="s">
        <v>11029</v>
      </c>
      <c r="N1924" s="2" t="s">
        <v>11038</v>
      </c>
      <c r="O1924" s="2" t="s">
        <v>11035</v>
      </c>
      <c r="P1924" s="2" t="s">
        <v>11036</v>
      </c>
      <c r="Q1924" s="2">
        <f>AVERAGE(PerfRate[[#This Row],[EnvironmentSatisfaction]],PerfRate[[#This Row],[JobSatisfaction]],PerfRate[[#This Row],[RelationshipSatisfaction]])</f>
        <v>3.3333333333333335</v>
      </c>
      <c r="R1924" s="2">
        <f>PerfRate[[#This Row],[ManagerRating]] - PerfRate[[#This Row],[SelfRating]]</f>
        <v>-1</v>
      </c>
    </row>
    <row r="1925" spans="1:18">
      <c r="A1925" s="2" t="s">
        <v>6232</v>
      </c>
      <c r="B1925" s="2" t="s">
        <v>368</v>
      </c>
      <c r="C1925" s="1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  <c r="L1925" s="2" t="s">
        <v>11031</v>
      </c>
      <c r="M1925" s="2" t="s">
        <v>11031</v>
      </c>
      <c r="N1925" s="2" t="s">
        <v>11036</v>
      </c>
      <c r="O1925" s="2" t="s">
        <v>11038</v>
      </c>
      <c r="P1925" s="2" t="s">
        <v>11035</v>
      </c>
      <c r="Q1925" s="2">
        <f>AVERAGE(PerfRate[[#This Row],[EnvironmentSatisfaction]],PerfRate[[#This Row],[JobSatisfaction]],PerfRate[[#This Row],[RelationshipSatisfaction]])</f>
        <v>3.3333333333333335</v>
      </c>
      <c r="R1925" s="2">
        <f>PerfRate[[#This Row],[ManagerRating]] - PerfRate[[#This Row],[SelfRating]]</f>
        <v>0</v>
      </c>
    </row>
    <row r="1926" spans="1:18">
      <c r="A1926" s="2" t="s">
        <v>6233</v>
      </c>
      <c r="B1926" s="2" t="s">
        <v>287</v>
      </c>
      <c r="C1926" s="1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  <c r="L1926" s="2" t="s">
        <v>11029</v>
      </c>
      <c r="M1926" s="2" t="s">
        <v>11028</v>
      </c>
      <c r="N1926" s="2" t="s">
        <v>11038</v>
      </c>
      <c r="O1926" s="2" t="s">
        <v>11038</v>
      </c>
      <c r="P1926" s="2" t="s">
        <v>11038</v>
      </c>
      <c r="Q1926" s="2">
        <f>AVERAGE(PerfRate[[#This Row],[EnvironmentSatisfaction]],PerfRate[[#This Row],[JobSatisfaction]],PerfRate[[#This Row],[RelationshipSatisfaction]])</f>
        <v>5</v>
      </c>
      <c r="R1926" s="2">
        <f>PerfRate[[#This Row],[ManagerRating]] - PerfRate[[#This Row],[SelfRating]]</f>
        <v>-1</v>
      </c>
    </row>
    <row r="1927" spans="1:18">
      <c r="A1927" s="2" t="s">
        <v>6234</v>
      </c>
      <c r="B1927" s="2" t="s">
        <v>866</v>
      </c>
      <c r="C1927" s="1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  <c r="L1927" s="2" t="s">
        <v>11030</v>
      </c>
      <c r="M1927" s="2" t="s">
        <v>11029</v>
      </c>
      <c r="N1927" s="2" t="s">
        <v>11038</v>
      </c>
      <c r="O1927" s="2" t="s">
        <v>11036</v>
      </c>
      <c r="P1927" s="2" t="s">
        <v>11038</v>
      </c>
      <c r="Q1927" s="2">
        <f>AVERAGE(PerfRate[[#This Row],[EnvironmentSatisfaction]],PerfRate[[#This Row],[JobSatisfaction]],PerfRate[[#This Row],[RelationshipSatisfaction]])</f>
        <v>4.333333333333333</v>
      </c>
      <c r="R1927" s="2">
        <f>PerfRate[[#This Row],[ManagerRating]] - PerfRate[[#This Row],[SelfRating]]</f>
        <v>-1</v>
      </c>
    </row>
    <row r="1928" spans="1:18">
      <c r="A1928" s="2" t="s">
        <v>6235</v>
      </c>
      <c r="B1928" s="2" t="s">
        <v>1638</v>
      </c>
      <c r="C1928" s="1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  <c r="L1928" s="2" t="s">
        <v>11030</v>
      </c>
      <c r="M1928" s="2" t="s">
        <v>11029</v>
      </c>
      <c r="N1928" s="2" t="s">
        <v>11037</v>
      </c>
      <c r="O1928" s="2" t="s">
        <v>11036</v>
      </c>
      <c r="P1928" s="2" t="s">
        <v>11038</v>
      </c>
      <c r="Q1928" s="2">
        <f>AVERAGE(PerfRate[[#This Row],[EnvironmentSatisfaction]],PerfRate[[#This Row],[JobSatisfaction]],PerfRate[[#This Row],[RelationshipSatisfaction]])</f>
        <v>4</v>
      </c>
      <c r="R1928" s="2">
        <f>PerfRate[[#This Row],[ManagerRating]] - PerfRate[[#This Row],[SelfRating]]</f>
        <v>-1</v>
      </c>
    </row>
    <row r="1929" spans="1:18">
      <c r="A1929" s="2" t="s">
        <v>6236</v>
      </c>
      <c r="B1929" s="2" t="s">
        <v>3572</v>
      </c>
      <c r="C1929" s="1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  <c r="L1929" s="2" t="s">
        <v>11031</v>
      </c>
      <c r="M1929" s="2" t="s">
        <v>11030</v>
      </c>
      <c r="N1929" s="2" t="s">
        <v>11036</v>
      </c>
      <c r="O1929" s="2" t="s">
        <v>11037</v>
      </c>
      <c r="P1929" s="2" t="s">
        <v>11037</v>
      </c>
      <c r="Q1929" s="2">
        <f>AVERAGE(PerfRate[[#This Row],[EnvironmentSatisfaction]],PerfRate[[#This Row],[JobSatisfaction]],PerfRate[[#This Row],[RelationshipSatisfaction]])</f>
        <v>3.6666666666666665</v>
      </c>
      <c r="R1929" s="2">
        <f>PerfRate[[#This Row],[ManagerRating]] - PerfRate[[#This Row],[SelfRating]]</f>
        <v>-1</v>
      </c>
    </row>
    <row r="1930" spans="1:18">
      <c r="A1930" s="2" t="s">
        <v>6237</v>
      </c>
      <c r="B1930" s="2" t="s">
        <v>204</v>
      </c>
      <c r="C1930" s="1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  <c r="L1930" s="2" t="s">
        <v>11030</v>
      </c>
      <c r="M1930" s="2" t="s">
        <v>11030</v>
      </c>
      <c r="N1930" s="2" t="s">
        <v>11036</v>
      </c>
      <c r="O1930" s="2" t="s">
        <v>11038</v>
      </c>
      <c r="P1930" s="2" t="s">
        <v>11037</v>
      </c>
      <c r="Q1930" s="2">
        <f>AVERAGE(PerfRate[[#This Row],[EnvironmentSatisfaction]],PerfRate[[#This Row],[JobSatisfaction]],PerfRate[[#This Row],[RelationshipSatisfaction]])</f>
        <v>4</v>
      </c>
      <c r="R1930" s="2">
        <f>PerfRate[[#This Row],[ManagerRating]] - PerfRate[[#This Row],[SelfRating]]</f>
        <v>0</v>
      </c>
    </row>
    <row r="1931" spans="1:18">
      <c r="A1931" s="2" t="s">
        <v>6238</v>
      </c>
      <c r="B1931" s="2" t="s">
        <v>904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  <c r="L1931" s="2" t="s">
        <v>11031</v>
      </c>
      <c r="M1931" s="2" t="s">
        <v>11031</v>
      </c>
      <c r="N1931" s="2" t="s">
        <v>11037</v>
      </c>
      <c r="O1931" s="2" t="s">
        <v>11035</v>
      </c>
      <c r="P1931" s="2" t="s">
        <v>11038</v>
      </c>
      <c r="Q1931" s="2">
        <f>AVERAGE(PerfRate[[#This Row],[EnvironmentSatisfaction]],PerfRate[[#This Row],[JobSatisfaction]],PerfRate[[#This Row],[RelationshipSatisfaction]])</f>
        <v>3.6666666666666665</v>
      </c>
      <c r="R1931" s="2">
        <f>PerfRate[[#This Row],[ManagerRating]] - PerfRate[[#This Row],[SelfRating]]</f>
        <v>0</v>
      </c>
    </row>
    <row r="1932" spans="1:18">
      <c r="A1932" s="2" t="s">
        <v>6239</v>
      </c>
      <c r="B1932" s="2" t="s">
        <v>3320</v>
      </c>
      <c r="C1932" s="1">
        <v>41702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  <c r="L1932" s="2" t="s">
        <v>11031</v>
      </c>
      <c r="M1932" s="2" t="s">
        <v>11030</v>
      </c>
      <c r="N1932" s="2" t="s">
        <v>11036</v>
      </c>
      <c r="O1932" s="2" t="s">
        <v>11036</v>
      </c>
      <c r="P1932" s="2" t="s">
        <v>11036</v>
      </c>
      <c r="Q1932" s="2">
        <f>AVERAGE(PerfRate[[#This Row],[EnvironmentSatisfaction]],PerfRate[[#This Row],[JobSatisfaction]],PerfRate[[#This Row],[RelationshipSatisfaction]])</f>
        <v>3</v>
      </c>
      <c r="R1932" s="2">
        <f>PerfRate[[#This Row],[ManagerRating]] - PerfRate[[#This Row],[SelfRating]]</f>
        <v>-1</v>
      </c>
    </row>
    <row r="1933" spans="1:18">
      <c r="A1933" s="2" t="s">
        <v>6240</v>
      </c>
      <c r="B1933" s="2" t="s">
        <v>1429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  <c r="L1933" s="2" t="s">
        <v>11031</v>
      </c>
      <c r="M1933" s="2" t="s">
        <v>11030</v>
      </c>
      <c r="N1933" s="2" t="s">
        <v>11038</v>
      </c>
      <c r="O1933" s="2" t="s">
        <v>11037</v>
      </c>
      <c r="P1933" s="2" t="s">
        <v>11036</v>
      </c>
      <c r="Q1933" s="2">
        <f>AVERAGE(PerfRate[[#This Row],[EnvironmentSatisfaction]],PerfRate[[#This Row],[JobSatisfaction]],PerfRate[[#This Row],[RelationshipSatisfaction]])</f>
        <v>4</v>
      </c>
      <c r="R1933" s="2">
        <f>PerfRate[[#This Row],[ManagerRating]] - PerfRate[[#This Row],[SelfRating]]</f>
        <v>-1</v>
      </c>
    </row>
    <row r="1934" spans="1:18">
      <c r="A1934" s="2" t="s">
        <v>6241</v>
      </c>
      <c r="B1934" s="2" t="s">
        <v>2083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  <c r="L1934" s="2" t="s">
        <v>11029</v>
      </c>
      <c r="M1934" s="2" t="s">
        <v>11028</v>
      </c>
      <c r="N1934" s="2" t="s">
        <v>11036</v>
      </c>
      <c r="O1934" s="2" t="s">
        <v>11038</v>
      </c>
      <c r="P1934" s="2" t="s">
        <v>11035</v>
      </c>
      <c r="Q1934" s="2">
        <f>AVERAGE(PerfRate[[#This Row],[EnvironmentSatisfaction]],PerfRate[[#This Row],[JobSatisfaction]],PerfRate[[#This Row],[RelationshipSatisfaction]])</f>
        <v>3.3333333333333335</v>
      </c>
      <c r="R1934" s="2">
        <f>PerfRate[[#This Row],[ManagerRating]] - PerfRate[[#This Row],[SelfRating]]</f>
        <v>-1</v>
      </c>
    </row>
    <row r="1935" spans="1:18">
      <c r="A1935" s="2" t="s">
        <v>6242</v>
      </c>
      <c r="B1935" s="2" t="s">
        <v>1235</v>
      </c>
      <c r="C1935" s="1">
        <v>43497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  <c r="L1935" s="2" t="s">
        <v>11029</v>
      </c>
      <c r="M1935" s="2" t="s">
        <v>11029</v>
      </c>
      <c r="N1935" s="2" t="s">
        <v>11037</v>
      </c>
      <c r="O1935" s="2" t="s">
        <v>11037</v>
      </c>
      <c r="P1935" s="2" t="s">
        <v>11037</v>
      </c>
      <c r="Q1935" s="2">
        <f>AVERAGE(PerfRate[[#This Row],[EnvironmentSatisfaction]],PerfRate[[#This Row],[JobSatisfaction]],PerfRate[[#This Row],[RelationshipSatisfaction]])</f>
        <v>4</v>
      </c>
      <c r="R1935" s="2">
        <f>PerfRate[[#This Row],[ManagerRating]] - PerfRate[[#This Row],[SelfRating]]</f>
        <v>0</v>
      </c>
    </row>
    <row r="1936" spans="1:18">
      <c r="A1936" s="2" t="s">
        <v>6243</v>
      </c>
      <c r="B1936" s="2" t="s">
        <v>1326</v>
      </c>
      <c r="C1936" s="1">
        <v>43497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  <c r="L1936" s="2" t="s">
        <v>11029</v>
      </c>
      <c r="M1936" s="2" t="s">
        <v>11029</v>
      </c>
      <c r="N1936" s="2" t="s">
        <v>11036</v>
      </c>
      <c r="O1936" s="2" t="s">
        <v>11035</v>
      </c>
      <c r="P1936" s="2" t="s">
        <v>11036</v>
      </c>
      <c r="Q1936" s="2">
        <f>AVERAGE(PerfRate[[#This Row],[EnvironmentSatisfaction]],PerfRate[[#This Row],[JobSatisfaction]],PerfRate[[#This Row],[RelationshipSatisfaction]])</f>
        <v>2.6666666666666665</v>
      </c>
      <c r="R1936" s="2">
        <f>PerfRate[[#This Row],[ManagerRating]] - PerfRate[[#This Row],[SelfRating]]</f>
        <v>0</v>
      </c>
    </row>
    <row r="1937" spans="1:18">
      <c r="A1937" s="2" t="s">
        <v>6244</v>
      </c>
      <c r="B1937" s="2" t="s">
        <v>320</v>
      </c>
      <c r="C1937" s="1">
        <v>43497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  <c r="L1937" s="2" t="s">
        <v>11031</v>
      </c>
      <c r="M1937" s="2" t="s">
        <v>11030</v>
      </c>
      <c r="N1937" s="2" t="s">
        <v>11038</v>
      </c>
      <c r="O1937" s="2" t="s">
        <v>11035</v>
      </c>
      <c r="P1937" s="2" t="s">
        <v>11036</v>
      </c>
      <c r="Q1937" s="2">
        <f>AVERAGE(PerfRate[[#This Row],[EnvironmentSatisfaction]],PerfRate[[#This Row],[JobSatisfaction]],PerfRate[[#This Row],[RelationshipSatisfaction]])</f>
        <v>3.3333333333333335</v>
      </c>
      <c r="R1937" s="2">
        <f>PerfRate[[#This Row],[ManagerRating]] - PerfRate[[#This Row],[SelfRating]]</f>
        <v>-1</v>
      </c>
    </row>
    <row r="1938" spans="1:18">
      <c r="A1938" s="2" t="s">
        <v>6245</v>
      </c>
      <c r="B1938" s="2" t="s">
        <v>1068</v>
      </c>
      <c r="C1938" s="1">
        <v>43497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  <c r="L1938" s="2" t="s">
        <v>11031</v>
      </c>
      <c r="M1938" s="2" t="s">
        <v>11030</v>
      </c>
      <c r="N1938" s="2" t="s">
        <v>11037</v>
      </c>
      <c r="O1938" s="2" t="s">
        <v>11036</v>
      </c>
      <c r="P1938" s="2" t="s">
        <v>11036</v>
      </c>
      <c r="Q1938" s="2">
        <f>AVERAGE(PerfRate[[#This Row],[EnvironmentSatisfaction]],PerfRate[[#This Row],[JobSatisfaction]],PerfRate[[#This Row],[RelationshipSatisfaction]])</f>
        <v>3.3333333333333335</v>
      </c>
      <c r="R1938" s="2">
        <f>PerfRate[[#This Row],[ManagerRating]] - PerfRate[[#This Row],[SelfRating]]</f>
        <v>-1</v>
      </c>
    </row>
    <row r="1939" spans="1:18">
      <c r="A1939" s="2" t="s">
        <v>6246</v>
      </c>
      <c r="B1939" s="2" t="s">
        <v>1435</v>
      </c>
      <c r="C1939" s="1">
        <v>43525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  <c r="L1939" s="2" t="s">
        <v>11029</v>
      </c>
      <c r="M1939" s="2" t="s">
        <v>11028</v>
      </c>
      <c r="N1939" s="2" t="s">
        <v>11037</v>
      </c>
      <c r="O1939" s="2" t="s">
        <v>11038</v>
      </c>
      <c r="P1939" s="2" t="s">
        <v>11035</v>
      </c>
      <c r="Q1939" s="2">
        <f>AVERAGE(PerfRate[[#This Row],[EnvironmentSatisfaction]],PerfRate[[#This Row],[JobSatisfaction]],PerfRate[[#This Row],[RelationshipSatisfaction]])</f>
        <v>3.6666666666666665</v>
      </c>
      <c r="R1939" s="2">
        <f>PerfRate[[#This Row],[ManagerRating]] - PerfRate[[#This Row],[SelfRating]]</f>
        <v>-1</v>
      </c>
    </row>
    <row r="1940" spans="1:18">
      <c r="A1940" s="2" t="s">
        <v>6247</v>
      </c>
      <c r="B1940" s="2" t="s">
        <v>1030</v>
      </c>
      <c r="C1940" s="1">
        <v>43525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  <c r="L1940" s="2" t="s">
        <v>11029</v>
      </c>
      <c r="M1940" s="2" t="s">
        <v>11028</v>
      </c>
      <c r="N1940" s="2" t="s">
        <v>11036</v>
      </c>
      <c r="O1940" s="2" t="s">
        <v>11036</v>
      </c>
      <c r="P1940" s="2" t="s">
        <v>11035</v>
      </c>
      <c r="Q1940" s="2">
        <f>AVERAGE(PerfRate[[#This Row],[EnvironmentSatisfaction]],PerfRate[[#This Row],[JobSatisfaction]],PerfRate[[#This Row],[RelationshipSatisfaction]])</f>
        <v>2.6666666666666665</v>
      </c>
      <c r="R1940" s="2">
        <f>PerfRate[[#This Row],[ManagerRating]] - PerfRate[[#This Row],[SelfRating]]</f>
        <v>-1</v>
      </c>
    </row>
    <row r="1941" spans="1:18">
      <c r="A1941" s="2" t="s">
        <v>6248</v>
      </c>
      <c r="B1941" s="2" t="s">
        <v>1841</v>
      </c>
      <c r="C1941" s="1">
        <v>43525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  <c r="L1941" s="2" t="s">
        <v>11031</v>
      </c>
      <c r="M1941" s="2" t="s">
        <v>11030</v>
      </c>
      <c r="N1941" s="2" t="s">
        <v>11037</v>
      </c>
      <c r="O1941" s="2" t="s">
        <v>11038</v>
      </c>
      <c r="P1941" s="2" t="s">
        <v>11037</v>
      </c>
      <c r="Q1941" s="2">
        <f>AVERAGE(PerfRate[[#This Row],[EnvironmentSatisfaction]],PerfRate[[#This Row],[JobSatisfaction]],PerfRate[[#This Row],[RelationshipSatisfaction]])</f>
        <v>4.333333333333333</v>
      </c>
      <c r="R1941" s="2">
        <f>PerfRate[[#This Row],[ManagerRating]] - PerfRate[[#This Row],[SelfRating]]</f>
        <v>-1</v>
      </c>
    </row>
    <row r="1942" spans="1:18">
      <c r="A1942" s="2" t="s">
        <v>6249</v>
      </c>
      <c r="B1942" s="2" t="s">
        <v>260</v>
      </c>
      <c r="C1942" s="1">
        <v>43556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  <c r="L1942" s="2" t="s">
        <v>11031</v>
      </c>
      <c r="M1942" s="2" t="s">
        <v>11030</v>
      </c>
      <c r="N1942" s="2" t="s">
        <v>11036</v>
      </c>
      <c r="O1942" s="2" t="s">
        <v>11035</v>
      </c>
      <c r="P1942" s="2" t="s">
        <v>11038</v>
      </c>
      <c r="Q1942" s="2">
        <f>AVERAGE(PerfRate[[#This Row],[EnvironmentSatisfaction]],PerfRate[[#This Row],[JobSatisfaction]],PerfRate[[#This Row],[RelationshipSatisfaction]])</f>
        <v>3.3333333333333335</v>
      </c>
      <c r="R1942" s="2">
        <f>PerfRate[[#This Row],[ManagerRating]] - PerfRate[[#This Row],[SelfRating]]</f>
        <v>-1</v>
      </c>
    </row>
    <row r="1943" spans="1:18">
      <c r="A1943" s="2" t="s">
        <v>6250</v>
      </c>
      <c r="B1943" s="2" t="s">
        <v>1189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  <c r="L1943" s="2" t="s">
        <v>11029</v>
      </c>
      <c r="M1943" s="2" t="s">
        <v>11028</v>
      </c>
      <c r="N1943" s="2" t="s">
        <v>11038</v>
      </c>
      <c r="O1943" s="2" t="s">
        <v>11036</v>
      </c>
      <c r="P1943" s="2" t="s">
        <v>11035</v>
      </c>
      <c r="Q1943" s="2">
        <f>AVERAGE(PerfRate[[#This Row],[EnvironmentSatisfaction]],PerfRate[[#This Row],[JobSatisfaction]],PerfRate[[#This Row],[RelationshipSatisfaction]])</f>
        <v>3.3333333333333335</v>
      </c>
      <c r="R1943" s="2">
        <f>PerfRate[[#This Row],[ManagerRating]] - PerfRate[[#This Row],[SelfRating]]</f>
        <v>-1</v>
      </c>
    </row>
    <row r="1944" spans="1:18">
      <c r="A1944" s="2" t="s">
        <v>6251</v>
      </c>
      <c r="B1944" s="2" t="s">
        <v>892</v>
      </c>
      <c r="C1944" s="1">
        <v>43586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  <c r="L1944" s="2" t="s">
        <v>11030</v>
      </c>
      <c r="M1944" s="2" t="s">
        <v>11030</v>
      </c>
      <c r="N1944" s="2" t="s">
        <v>11038</v>
      </c>
      <c r="O1944" s="2" t="s">
        <v>11036</v>
      </c>
      <c r="P1944" s="2" t="s">
        <v>11037</v>
      </c>
      <c r="Q1944" s="2">
        <f>AVERAGE(PerfRate[[#This Row],[EnvironmentSatisfaction]],PerfRate[[#This Row],[JobSatisfaction]],PerfRate[[#This Row],[RelationshipSatisfaction]])</f>
        <v>4</v>
      </c>
      <c r="R1944" s="2">
        <f>PerfRate[[#This Row],[ManagerRating]] - PerfRate[[#This Row],[SelfRating]]</f>
        <v>0</v>
      </c>
    </row>
    <row r="1945" spans="1:18">
      <c r="A1945" s="2" t="s">
        <v>6252</v>
      </c>
      <c r="B1945" s="2" t="s">
        <v>141</v>
      </c>
      <c r="C1945" s="1">
        <v>43617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  <c r="L1945" s="2" t="s">
        <v>11029</v>
      </c>
      <c r="M1945" s="2" t="s">
        <v>11029</v>
      </c>
      <c r="N1945" s="2" t="s">
        <v>11038</v>
      </c>
      <c r="O1945" s="2" t="s">
        <v>11035</v>
      </c>
      <c r="P1945" s="2" t="s">
        <v>11036</v>
      </c>
      <c r="Q1945" s="2">
        <f>AVERAGE(PerfRate[[#This Row],[EnvironmentSatisfaction]],PerfRate[[#This Row],[JobSatisfaction]],PerfRate[[#This Row],[RelationshipSatisfaction]])</f>
        <v>3.3333333333333335</v>
      </c>
      <c r="R1945" s="2">
        <f>PerfRate[[#This Row],[ManagerRating]] - PerfRate[[#This Row],[SelfRating]]</f>
        <v>0</v>
      </c>
    </row>
    <row r="1946" spans="1:18">
      <c r="A1946" s="2" t="s">
        <v>6253</v>
      </c>
      <c r="B1946" s="2" t="s">
        <v>428</v>
      </c>
      <c r="C1946" s="1">
        <v>43647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  <c r="L1946" s="2" t="s">
        <v>11030</v>
      </c>
      <c r="M1946" s="2" t="s">
        <v>11029</v>
      </c>
      <c r="N1946" s="2" t="s">
        <v>11036</v>
      </c>
      <c r="O1946" s="2" t="s">
        <v>11035</v>
      </c>
      <c r="P1946" s="2" t="s">
        <v>11037</v>
      </c>
      <c r="Q1946" s="2">
        <f>AVERAGE(PerfRate[[#This Row],[EnvironmentSatisfaction]],PerfRate[[#This Row],[JobSatisfaction]],PerfRate[[#This Row],[RelationshipSatisfaction]])</f>
        <v>3</v>
      </c>
      <c r="R1946" s="2">
        <f>PerfRate[[#This Row],[ManagerRating]] - PerfRate[[#This Row],[SelfRating]]</f>
        <v>-1</v>
      </c>
    </row>
    <row r="1947" spans="1:18">
      <c r="A1947" s="2" t="s">
        <v>6254</v>
      </c>
      <c r="B1947" s="2" t="s">
        <v>1295</v>
      </c>
      <c r="C1947" s="1">
        <v>43647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  <c r="L1947" s="2" t="s">
        <v>11029</v>
      </c>
      <c r="M1947" s="2" t="s">
        <v>11028</v>
      </c>
      <c r="N1947" s="2" t="s">
        <v>11036</v>
      </c>
      <c r="O1947" s="2" t="s">
        <v>11035</v>
      </c>
      <c r="P1947" s="2" t="s">
        <v>11037</v>
      </c>
      <c r="Q1947" s="2">
        <f>AVERAGE(PerfRate[[#This Row],[EnvironmentSatisfaction]],PerfRate[[#This Row],[JobSatisfaction]],PerfRate[[#This Row],[RelationshipSatisfaction]])</f>
        <v>3</v>
      </c>
      <c r="R1947" s="2">
        <f>PerfRate[[#This Row],[ManagerRating]] - PerfRate[[#This Row],[SelfRating]]</f>
        <v>-1</v>
      </c>
    </row>
    <row r="1948" spans="1:18">
      <c r="A1948" s="2" t="s">
        <v>6255</v>
      </c>
      <c r="B1948" s="2" t="s">
        <v>1532</v>
      </c>
      <c r="C1948" s="1">
        <v>43678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  <c r="L1948" s="2" t="s">
        <v>11030</v>
      </c>
      <c r="M1948" s="2" t="s">
        <v>11030</v>
      </c>
      <c r="N1948" s="2" t="s">
        <v>11036</v>
      </c>
      <c r="O1948" s="2" t="s">
        <v>11037</v>
      </c>
      <c r="P1948" s="2" t="s">
        <v>11037</v>
      </c>
      <c r="Q1948" s="2">
        <f>AVERAGE(PerfRate[[#This Row],[EnvironmentSatisfaction]],PerfRate[[#This Row],[JobSatisfaction]],PerfRate[[#This Row],[RelationshipSatisfaction]])</f>
        <v>3.6666666666666665</v>
      </c>
      <c r="R1948" s="2">
        <f>PerfRate[[#This Row],[ManagerRating]] - PerfRate[[#This Row],[SelfRating]]</f>
        <v>0</v>
      </c>
    </row>
    <row r="1949" spans="1:18">
      <c r="A1949" s="2" t="s">
        <v>6256</v>
      </c>
      <c r="B1949" s="2" t="s">
        <v>2086</v>
      </c>
      <c r="C1949" s="1">
        <v>43678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  <c r="L1949" s="2" t="s">
        <v>11029</v>
      </c>
      <c r="M1949" s="2" t="s">
        <v>11029</v>
      </c>
      <c r="N1949" s="2" t="s">
        <v>11035</v>
      </c>
      <c r="O1949" s="2" t="s">
        <v>11037</v>
      </c>
      <c r="P1949" s="2" t="s">
        <v>11037</v>
      </c>
      <c r="Q1949" s="2">
        <f>AVERAGE(PerfRate[[#This Row],[EnvironmentSatisfaction]],PerfRate[[#This Row],[JobSatisfaction]],PerfRate[[#This Row],[RelationshipSatisfaction]])</f>
        <v>3.3333333333333335</v>
      </c>
      <c r="R1949" s="2">
        <f>PerfRate[[#This Row],[ManagerRating]] - PerfRate[[#This Row],[SelfRating]]</f>
        <v>0</v>
      </c>
    </row>
    <row r="1950" spans="1:18">
      <c r="A1950" s="2" t="s">
        <v>6257</v>
      </c>
      <c r="B1950" s="2" t="s">
        <v>1945</v>
      </c>
      <c r="C1950" s="1">
        <v>43709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  <c r="L1950" s="2" t="s">
        <v>11030</v>
      </c>
      <c r="M1950" s="2" t="s">
        <v>11029</v>
      </c>
      <c r="N1950" s="2" t="s">
        <v>11036</v>
      </c>
      <c r="O1950" s="2" t="s">
        <v>11036</v>
      </c>
      <c r="P1950" s="2" t="s">
        <v>11037</v>
      </c>
      <c r="Q1950" s="2">
        <f>AVERAGE(PerfRate[[#This Row],[EnvironmentSatisfaction]],PerfRate[[#This Row],[JobSatisfaction]],PerfRate[[#This Row],[RelationshipSatisfaction]])</f>
        <v>3.3333333333333335</v>
      </c>
      <c r="R1950" s="2">
        <f>PerfRate[[#This Row],[ManagerRating]] - PerfRate[[#This Row],[SelfRating]]</f>
        <v>-1</v>
      </c>
    </row>
    <row r="1951" spans="1:18">
      <c r="A1951" s="2" t="s">
        <v>6258</v>
      </c>
      <c r="B1951" s="2" t="s">
        <v>934</v>
      </c>
      <c r="C1951" s="1">
        <v>43709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  <c r="L1951" s="2" t="s">
        <v>11030</v>
      </c>
      <c r="M1951" s="2" t="s">
        <v>11029</v>
      </c>
      <c r="N1951" s="2" t="s">
        <v>11034</v>
      </c>
      <c r="O1951" s="2" t="s">
        <v>11034</v>
      </c>
      <c r="P1951" s="2" t="s">
        <v>11035</v>
      </c>
      <c r="Q1951" s="2">
        <f>AVERAGE(PerfRate[[#This Row],[EnvironmentSatisfaction]],PerfRate[[#This Row],[JobSatisfaction]],PerfRate[[#This Row],[RelationshipSatisfaction]])</f>
        <v>1.3333333333333333</v>
      </c>
      <c r="R1951" s="2">
        <f>PerfRate[[#This Row],[ManagerRating]] - PerfRate[[#This Row],[SelfRating]]</f>
        <v>-1</v>
      </c>
    </row>
    <row r="1952" spans="1:18">
      <c r="A1952" s="2" t="s">
        <v>6259</v>
      </c>
      <c r="B1952" s="2" t="s">
        <v>850</v>
      </c>
      <c r="C1952" s="1">
        <v>43709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  <c r="L1952" s="2" t="s">
        <v>11031</v>
      </c>
      <c r="M1952" s="2" t="s">
        <v>11030</v>
      </c>
      <c r="N1952" s="2" t="s">
        <v>11034</v>
      </c>
      <c r="O1952" s="2" t="s">
        <v>11037</v>
      </c>
      <c r="P1952" s="2" t="s">
        <v>11036</v>
      </c>
      <c r="Q1952" s="2">
        <f>AVERAGE(PerfRate[[#This Row],[EnvironmentSatisfaction]],PerfRate[[#This Row],[JobSatisfaction]],PerfRate[[#This Row],[RelationshipSatisfaction]])</f>
        <v>2.6666666666666665</v>
      </c>
      <c r="R1952" s="2">
        <f>PerfRate[[#This Row],[ManagerRating]] - PerfRate[[#This Row],[SelfRating]]</f>
        <v>-1</v>
      </c>
    </row>
    <row r="1953" spans="1:18">
      <c r="A1953" s="2" t="s">
        <v>6260</v>
      </c>
      <c r="B1953" s="2" t="s">
        <v>1093</v>
      </c>
      <c r="C1953" s="1">
        <v>43709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  <c r="L1953" s="2" t="s">
        <v>11029</v>
      </c>
      <c r="M1953" s="2" t="s">
        <v>11029</v>
      </c>
      <c r="N1953" s="2" t="s">
        <v>11034</v>
      </c>
      <c r="O1953" s="2" t="s">
        <v>11034</v>
      </c>
      <c r="P1953" s="2" t="s">
        <v>11037</v>
      </c>
      <c r="Q1953" s="2">
        <f>AVERAGE(PerfRate[[#This Row],[EnvironmentSatisfaction]],PerfRate[[#This Row],[JobSatisfaction]],PerfRate[[#This Row],[RelationshipSatisfaction]])</f>
        <v>2</v>
      </c>
      <c r="R1953" s="2">
        <f>PerfRate[[#This Row],[ManagerRating]] - PerfRate[[#This Row],[SelfRating]]</f>
        <v>0</v>
      </c>
    </row>
    <row r="1954" spans="1:18">
      <c r="A1954" s="2" t="s">
        <v>6261</v>
      </c>
      <c r="B1954" s="2" t="s">
        <v>687</v>
      </c>
      <c r="C1954" s="1">
        <v>41794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  <c r="L1954" s="2" t="s">
        <v>11031</v>
      </c>
      <c r="M1954" s="2" t="s">
        <v>11031</v>
      </c>
      <c r="N1954" s="2" t="s">
        <v>11036</v>
      </c>
      <c r="O1954" s="2" t="s">
        <v>11038</v>
      </c>
      <c r="P1954" s="2" t="s">
        <v>11036</v>
      </c>
      <c r="Q1954" s="2">
        <f>AVERAGE(PerfRate[[#This Row],[EnvironmentSatisfaction]],PerfRate[[#This Row],[JobSatisfaction]],PerfRate[[#This Row],[RelationshipSatisfaction]])</f>
        <v>3.6666666666666665</v>
      </c>
      <c r="R1954" s="2">
        <f>PerfRate[[#This Row],[ManagerRating]] - PerfRate[[#This Row],[SelfRating]]</f>
        <v>0</v>
      </c>
    </row>
    <row r="1955" spans="1:18">
      <c r="A1955" s="2" t="s">
        <v>6262</v>
      </c>
      <c r="B1955" s="2" t="s">
        <v>2137</v>
      </c>
      <c r="C1955" s="1">
        <v>43709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  <c r="L1955" s="2" t="s">
        <v>11031</v>
      </c>
      <c r="M1955" s="2" t="s">
        <v>11030</v>
      </c>
      <c r="N1955" s="2" t="s">
        <v>11035</v>
      </c>
      <c r="O1955" s="2" t="s">
        <v>11036</v>
      </c>
      <c r="P1955" s="2" t="s">
        <v>11034</v>
      </c>
      <c r="Q1955" s="2">
        <f>AVERAGE(PerfRate[[#This Row],[EnvironmentSatisfaction]],PerfRate[[#This Row],[JobSatisfaction]],PerfRate[[#This Row],[RelationshipSatisfaction]])</f>
        <v>2</v>
      </c>
      <c r="R1955" s="2">
        <f>PerfRate[[#This Row],[ManagerRating]] - PerfRate[[#This Row],[SelfRating]]</f>
        <v>-1</v>
      </c>
    </row>
    <row r="1956" spans="1:18">
      <c r="A1956" s="2" t="s">
        <v>6263</v>
      </c>
      <c r="B1956" s="2" t="s">
        <v>853</v>
      </c>
      <c r="C1956" s="1">
        <v>43739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  <c r="L1956" s="2" t="s">
        <v>11031</v>
      </c>
      <c r="M1956" s="2" t="s">
        <v>11030</v>
      </c>
      <c r="N1956" s="2" t="s">
        <v>11038</v>
      </c>
      <c r="O1956" s="2" t="s">
        <v>11038</v>
      </c>
      <c r="P1956" s="2" t="s">
        <v>11037</v>
      </c>
      <c r="Q1956" s="2">
        <f>AVERAGE(PerfRate[[#This Row],[EnvironmentSatisfaction]],PerfRate[[#This Row],[JobSatisfaction]],PerfRate[[#This Row],[RelationshipSatisfaction]])</f>
        <v>4.666666666666667</v>
      </c>
      <c r="R1956" s="2">
        <f>PerfRate[[#This Row],[ManagerRating]] - PerfRate[[#This Row],[SelfRating]]</f>
        <v>-1</v>
      </c>
    </row>
    <row r="1957" spans="1:18">
      <c r="A1957" s="2" t="s">
        <v>6264</v>
      </c>
      <c r="B1957" s="2" t="s">
        <v>595</v>
      </c>
      <c r="C1957" s="1">
        <v>43739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  <c r="L1957" s="2" t="s">
        <v>11029</v>
      </c>
      <c r="M1957" s="2" t="s">
        <v>11028</v>
      </c>
      <c r="N1957" s="2" t="s">
        <v>11038</v>
      </c>
      <c r="O1957" s="2" t="s">
        <v>11036</v>
      </c>
      <c r="P1957" s="2" t="s">
        <v>11036</v>
      </c>
      <c r="Q1957" s="2">
        <f>AVERAGE(PerfRate[[#This Row],[EnvironmentSatisfaction]],PerfRate[[#This Row],[JobSatisfaction]],PerfRate[[#This Row],[RelationshipSatisfaction]])</f>
        <v>3.6666666666666665</v>
      </c>
      <c r="R1957" s="2">
        <f>PerfRate[[#This Row],[ManagerRating]] - PerfRate[[#This Row],[SelfRating]]</f>
        <v>-1</v>
      </c>
    </row>
    <row r="1958" spans="1:18">
      <c r="A1958" s="2" t="s">
        <v>6265</v>
      </c>
      <c r="B1958" s="2" t="s">
        <v>2080</v>
      </c>
      <c r="C1958" s="1">
        <v>43770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  <c r="L1958" s="2" t="s">
        <v>11029</v>
      </c>
      <c r="M1958" s="2" t="s">
        <v>11029</v>
      </c>
      <c r="N1958" s="2" t="s">
        <v>11036</v>
      </c>
      <c r="O1958" s="2" t="s">
        <v>11038</v>
      </c>
      <c r="P1958" s="2" t="s">
        <v>11037</v>
      </c>
      <c r="Q1958" s="2">
        <f>AVERAGE(PerfRate[[#This Row],[EnvironmentSatisfaction]],PerfRate[[#This Row],[JobSatisfaction]],PerfRate[[#This Row],[RelationshipSatisfaction]])</f>
        <v>4</v>
      </c>
      <c r="R1958" s="2">
        <f>PerfRate[[#This Row],[ManagerRating]] - PerfRate[[#This Row],[SelfRating]]</f>
        <v>0</v>
      </c>
    </row>
    <row r="1959" spans="1:18">
      <c r="A1959" s="2" t="s">
        <v>6266</v>
      </c>
      <c r="B1959" s="2" t="s">
        <v>3868</v>
      </c>
      <c r="C1959" s="1">
        <v>43770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  <c r="L1959" s="2" t="s">
        <v>11030</v>
      </c>
      <c r="M1959" s="2" t="s">
        <v>11029</v>
      </c>
      <c r="N1959" s="2" t="s">
        <v>11037</v>
      </c>
      <c r="O1959" s="2" t="s">
        <v>11037</v>
      </c>
      <c r="P1959" s="2" t="s">
        <v>11038</v>
      </c>
      <c r="Q1959" s="2">
        <f>AVERAGE(PerfRate[[#This Row],[EnvironmentSatisfaction]],PerfRate[[#This Row],[JobSatisfaction]],PerfRate[[#This Row],[RelationshipSatisfaction]])</f>
        <v>4.333333333333333</v>
      </c>
      <c r="R1959" s="2">
        <f>PerfRate[[#This Row],[ManagerRating]] - PerfRate[[#This Row],[SelfRating]]</f>
        <v>-1</v>
      </c>
    </row>
    <row r="1960" spans="1:18">
      <c r="A1960" s="2" t="s">
        <v>6267</v>
      </c>
      <c r="B1960" s="2" t="s">
        <v>1973</v>
      </c>
      <c r="C1960" s="1">
        <v>43800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  <c r="L1960" s="2" t="s">
        <v>11029</v>
      </c>
      <c r="M1960" s="2" t="s">
        <v>11029</v>
      </c>
      <c r="N1960" s="2" t="s">
        <v>11036</v>
      </c>
      <c r="O1960" s="2" t="s">
        <v>11037</v>
      </c>
      <c r="P1960" s="2" t="s">
        <v>11037</v>
      </c>
      <c r="Q1960" s="2">
        <f>AVERAGE(PerfRate[[#This Row],[EnvironmentSatisfaction]],PerfRate[[#This Row],[JobSatisfaction]],PerfRate[[#This Row],[RelationshipSatisfaction]])</f>
        <v>3.6666666666666665</v>
      </c>
      <c r="R1960" s="2">
        <f>PerfRate[[#This Row],[ManagerRating]] - PerfRate[[#This Row],[SelfRating]]</f>
        <v>0</v>
      </c>
    </row>
    <row r="1961" spans="1:18">
      <c r="A1961" s="2" t="s">
        <v>6268</v>
      </c>
      <c r="B1961" s="2" t="s">
        <v>889</v>
      </c>
      <c r="C1961" s="1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  <c r="L1961" s="2" t="s">
        <v>11030</v>
      </c>
      <c r="M1961" s="2" t="s">
        <v>11029</v>
      </c>
      <c r="N1961" s="2" t="s">
        <v>11036</v>
      </c>
      <c r="O1961" s="2" t="s">
        <v>11038</v>
      </c>
      <c r="P1961" s="2" t="s">
        <v>11036</v>
      </c>
      <c r="Q1961" s="2">
        <f>AVERAGE(PerfRate[[#This Row],[EnvironmentSatisfaction]],PerfRate[[#This Row],[JobSatisfaction]],PerfRate[[#This Row],[RelationshipSatisfaction]])</f>
        <v>3.6666666666666665</v>
      </c>
      <c r="R1961" s="2">
        <f>PerfRate[[#This Row],[ManagerRating]] - PerfRate[[#This Row],[SelfRating]]</f>
        <v>-1</v>
      </c>
    </row>
    <row r="1962" spans="1:18">
      <c r="A1962" s="2" t="s">
        <v>6269</v>
      </c>
      <c r="B1962" s="2" t="s">
        <v>2281</v>
      </c>
      <c r="C1962" s="1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  <c r="L1962" s="2" t="s">
        <v>11029</v>
      </c>
      <c r="M1962" s="2" t="s">
        <v>11029</v>
      </c>
      <c r="N1962" s="2" t="s">
        <v>11036</v>
      </c>
      <c r="O1962" s="2" t="s">
        <v>11035</v>
      </c>
      <c r="P1962" s="2" t="s">
        <v>11035</v>
      </c>
      <c r="Q1962" s="2">
        <f>AVERAGE(PerfRate[[#This Row],[EnvironmentSatisfaction]],PerfRate[[#This Row],[JobSatisfaction]],PerfRate[[#This Row],[RelationshipSatisfaction]])</f>
        <v>2.3333333333333335</v>
      </c>
      <c r="R1962" s="2">
        <f>PerfRate[[#This Row],[ManagerRating]] - PerfRate[[#This Row],[SelfRating]]</f>
        <v>0</v>
      </c>
    </row>
    <row r="1963" spans="1:18">
      <c r="A1963" s="2" t="s">
        <v>6270</v>
      </c>
      <c r="B1963" s="2" t="s">
        <v>1090</v>
      </c>
      <c r="C1963" s="1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  <c r="L1963" s="2" t="s">
        <v>11031</v>
      </c>
      <c r="M1963" s="2" t="s">
        <v>11031</v>
      </c>
      <c r="N1963" s="2" t="s">
        <v>11036</v>
      </c>
      <c r="O1963" s="2" t="s">
        <v>11038</v>
      </c>
      <c r="P1963" s="2" t="s">
        <v>11037</v>
      </c>
      <c r="Q1963" s="2">
        <f>AVERAGE(PerfRate[[#This Row],[EnvironmentSatisfaction]],PerfRate[[#This Row],[JobSatisfaction]],PerfRate[[#This Row],[RelationshipSatisfaction]])</f>
        <v>4</v>
      </c>
      <c r="R1963" s="2">
        <f>PerfRate[[#This Row],[ManagerRating]] - PerfRate[[#This Row],[SelfRating]]</f>
        <v>0</v>
      </c>
    </row>
    <row r="1964" spans="1:18">
      <c r="A1964" s="2" t="s">
        <v>6271</v>
      </c>
      <c r="B1964" s="2" t="s">
        <v>166</v>
      </c>
      <c r="C1964" s="1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  <c r="L1964" s="2" t="s">
        <v>11030</v>
      </c>
      <c r="M1964" s="2" t="s">
        <v>11030</v>
      </c>
      <c r="N1964" s="2" t="s">
        <v>11038</v>
      </c>
      <c r="O1964" s="2" t="s">
        <v>11038</v>
      </c>
      <c r="P1964" s="2" t="s">
        <v>11038</v>
      </c>
      <c r="Q1964" s="2">
        <f>AVERAGE(PerfRate[[#This Row],[EnvironmentSatisfaction]],PerfRate[[#This Row],[JobSatisfaction]],PerfRate[[#This Row],[RelationshipSatisfaction]])</f>
        <v>5</v>
      </c>
      <c r="R1964" s="2">
        <f>PerfRate[[#This Row],[ManagerRating]] - PerfRate[[#This Row],[SelfRating]]</f>
        <v>0</v>
      </c>
    </row>
    <row r="1965" spans="1:18">
      <c r="A1965" s="2" t="s">
        <v>6272</v>
      </c>
      <c r="B1965" s="2" t="s">
        <v>2792</v>
      </c>
      <c r="C1965" s="1">
        <v>41794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  <c r="L1965" s="2" t="s">
        <v>11030</v>
      </c>
      <c r="M1965" s="2" t="s">
        <v>11029</v>
      </c>
      <c r="N1965" s="2" t="s">
        <v>11037</v>
      </c>
      <c r="O1965" s="2" t="s">
        <v>11038</v>
      </c>
      <c r="P1965" s="2" t="s">
        <v>11036</v>
      </c>
      <c r="Q1965" s="2">
        <f>AVERAGE(PerfRate[[#This Row],[EnvironmentSatisfaction]],PerfRate[[#This Row],[JobSatisfaction]],PerfRate[[#This Row],[RelationshipSatisfaction]])</f>
        <v>4</v>
      </c>
      <c r="R1965" s="2">
        <f>PerfRate[[#This Row],[ManagerRating]] - PerfRate[[#This Row],[SelfRating]]</f>
        <v>-1</v>
      </c>
    </row>
    <row r="1966" spans="1:18">
      <c r="A1966" s="2" t="s">
        <v>6273</v>
      </c>
      <c r="B1966" s="2" t="s">
        <v>401</v>
      </c>
      <c r="C1966" s="1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  <c r="L1966" s="2" t="s">
        <v>11029</v>
      </c>
      <c r="M1966" s="2" t="s">
        <v>11028</v>
      </c>
      <c r="N1966" s="2" t="s">
        <v>11036</v>
      </c>
      <c r="O1966" s="2" t="s">
        <v>11036</v>
      </c>
      <c r="P1966" s="2" t="s">
        <v>11035</v>
      </c>
      <c r="Q1966" s="2">
        <f>AVERAGE(PerfRate[[#This Row],[EnvironmentSatisfaction]],PerfRate[[#This Row],[JobSatisfaction]],PerfRate[[#This Row],[RelationshipSatisfaction]])</f>
        <v>2.6666666666666665</v>
      </c>
      <c r="R1966" s="2">
        <f>PerfRate[[#This Row],[ManagerRating]] - PerfRate[[#This Row],[SelfRating]]</f>
        <v>-1</v>
      </c>
    </row>
    <row r="1967" spans="1:18">
      <c r="A1967" s="2" t="s">
        <v>6274</v>
      </c>
      <c r="B1967" s="2" t="s">
        <v>1889</v>
      </c>
      <c r="C1967" s="1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  <c r="L1967" s="2" t="s">
        <v>11029</v>
      </c>
      <c r="M1967" s="2" t="s">
        <v>11029</v>
      </c>
      <c r="N1967" s="2" t="s">
        <v>11036</v>
      </c>
      <c r="O1967" s="2" t="s">
        <v>11037</v>
      </c>
      <c r="P1967" s="2" t="s">
        <v>11038</v>
      </c>
      <c r="Q1967" s="2">
        <f>AVERAGE(PerfRate[[#This Row],[EnvironmentSatisfaction]],PerfRate[[#This Row],[JobSatisfaction]],PerfRate[[#This Row],[RelationshipSatisfaction]])</f>
        <v>4</v>
      </c>
      <c r="R1967" s="2">
        <f>PerfRate[[#This Row],[ManagerRating]] - PerfRate[[#This Row],[SelfRating]]</f>
        <v>0</v>
      </c>
    </row>
    <row r="1968" spans="1:18">
      <c r="A1968" s="2" t="s">
        <v>6275</v>
      </c>
      <c r="B1968" s="2" t="s">
        <v>940</v>
      </c>
      <c r="C1968" s="1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  <c r="L1968" s="2" t="s">
        <v>11031</v>
      </c>
      <c r="M1968" s="2" t="s">
        <v>11031</v>
      </c>
      <c r="N1968" s="2" t="s">
        <v>11036</v>
      </c>
      <c r="O1968" s="2" t="s">
        <v>11035</v>
      </c>
      <c r="P1968" s="2" t="s">
        <v>11037</v>
      </c>
      <c r="Q1968" s="2">
        <f>AVERAGE(PerfRate[[#This Row],[EnvironmentSatisfaction]],PerfRate[[#This Row],[JobSatisfaction]],PerfRate[[#This Row],[RelationshipSatisfaction]])</f>
        <v>3</v>
      </c>
      <c r="R1968" s="2">
        <f>PerfRate[[#This Row],[ManagerRating]] - PerfRate[[#This Row],[SelfRating]]</f>
        <v>0</v>
      </c>
    </row>
    <row r="1969" spans="1:18">
      <c r="A1969" s="2" t="s">
        <v>6276</v>
      </c>
      <c r="B1969" s="2" t="s">
        <v>490</v>
      </c>
      <c r="C1969" s="1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  <c r="L1969" s="2" t="s">
        <v>11029</v>
      </c>
      <c r="M1969" s="2" t="s">
        <v>11028</v>
      </c>
      <c r="N1969" s="2" t="s">
        <v>11036</v>
      </c>
      <c r="O1969" s="2" t="s">
        <v>11038</v>
      </c>
      <c r="P1969" s="2" t="s">
        <v>11037</v>
      </c>
      <c r="Q1969" s="2">
        <f>AVERAGE(PerfRate[[#This Row],[EnvironmentSatisfaction]],PerfRate[[#This Row],[JobSatisfaction]],PerfRate[[#This Row],[RelationshipSatisfaction]])</f>
        <v>4</v>
      </c>
      <c r="R1969" s="2">
        <f>PerfRate[[#This Row],[ManagerRating]] - PerfRate[[#This Row],[SelfRating]]</f>
        <v>-1</v>
      </c>
    </row>
    <row r="1970" spans="1:18">
      <c r="A1970" s="2" t="s">
        <v>6277</v>
      </c>
      <c r="B1970" s="2" t="s">
        <v>1733</v>
      </c>
      <c r="C1970" s="1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  <c r="L1970" s="2" t="s">
        <v>11031</v>
      </c>
      <c r="M1970" s="2" t="s">
        <v>11031</v>
      </c>
      <c r="N1970" s="2" t="s">
        <v>11038</v>
      </c>
      <c r="O1970" s="2" t="s">
        <v>11035</v>
      </c>
      <c r="P1970" s="2" t="s">
        <v>11036</v>
      </c>
      <c r="Q1970" s="2">
        <f>AVERAGE(PerfRate[[#This Row],[EnvironmentSatisfaction]],PerfRate[[#This Row],[JobSatisfaction]],PerfRate[[#This Row],[RelationshipSatisfaction]])</f>
        <v>3.3333333333333335</v>
      </c>
      <c r="R1970" s="2">
        <f>PerfRate[[#This Row],[ManagerRating]] - PerfRate[[#This Row],[SelfRating]]</f>
        <v>0</v>
      </c>
    </row>
    <row r="1971" spans="1:18">
      <c r="A1971" s="2" t="s">
        <v>6278</v>
      </c>
      <c r="B1971" s="2" t="s">
        <v>1930</v>
      </c>
      <c r="C1971" s="1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  <c r="L1971" s="2" t="s">
        <v>11030</v>
      </c>
      <c r="M1971" s="2" t="s">
        <v>11030</v>
      </c>
      <c r="N1971" s="2" t="s">
        <v>11036</v>
      </c>
      <c r="O1971" s="2" t="s">
        <v>11036</v>
      </c>
      <c r="P1971" s="2" t="s">
        <v>11038</v>
      </c>
      <c r="Q1971" s="2">
        <f>AVERAGE(PerfRate[[#This Row],[EnvironmentSatisfaction]],PerfRate[[#This Row],[JobSatisfaction]],PerfRate[[#This Row],[RelationshipSatisfaction]])</f>
        <v>3.6666666666666665</v>
      </c>
      <c r="R1971" s="2">
        <f>PerfRate[[#This Row],[ManagerRating]] - PerfRate[[#This Row],[SelfRating]]</f>
        <v>0</v>
      </c>
    </row>
    <row r="1972" spans="1:18">
      <c r="A1972" s="2" t="s">
        <v>6279</v>
      </c>
      <c r="B1972" s="2" t="s">
        <v>738</v>
      </c>
      <c r="C1972" s="1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  <c r="L1972" s="2" t="s">
        <v>11029</v>
      </c>
      <c r="M1972" s="2" t="s">
        <v>11029</v>
      </c>
      <c r="N1972" s="2" t="s">
        <v>11038</v>
      </c>
      <c r="O1972" s="2" t="s">
        <v>11035</v>
      </c>
      <c r="P1972" s="2" t="s">
        <v>11035</v>
      </c>
      <c r="Q1972" s="2">
        <f>AVERAGE(PerfRate[[#This Row],[EnvironmentSatisfaction]],PerfRate[[#This Row],[JobSatisfaction]],PerfRate[[#This Row],[RelationshipSatisfaction]])</f>
        <v>3</v>
      </c>
      <c r="R1972" s="2">
        <f>PerfRate[[#This Row],[ManagerRating]] - PerfRate[[#This Row],[SelfRating]]</f>
        <v>0</v>
      </c>
    </row>
    <row r="1973" spans="1:18">
      <c r="A1973" s="2" t="s">
        <v>6280</v>
      </c>
      <c r="B1973" s="2" t="s">
        <v>2911</v>
      </c>
      <c r="C1973" s="1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  <c r="L1973" s="2" t="s">
        <v>11029</v>
      </c>
      <c r="M1973" s="2" t="s">
        <v>11028</v>
      </c>
      <c r="N1973" s="2" t="s">
        <v>11037</v>
      </c>
      <c r="O1973" s="2" t="s">
        <v>11038</v>
      </c>
      <c r="P1973" s="2" t="s">
        <v>11035</v>
      </c>
      <c r="Q1973" s="2">
        <f>AVERAGE(PerfRate[[#This Row],[EnvironmentSatisfaction]],PerfRate[[#This Row],[JobSatisfaction]],PerfRate[[#This Row],[RelationshipSatisfaction]])</f>
        <v>3.6666666666666665</v>
      </c>
      <c r="R1973" s="2">
        <f>PerfRate[[#This Row],[ManagerRating]] - PerfRate[[#This Row],[SelfRating]]</f>
        <v>-1</v>
      </c>
    </row>
    <row r="1974" spans="1:18">
      <c r="A1974" s="2" t="s">
        <v>6281</v>
      </c>
      <c r="B1974" s="2" t="s">
        <v>1818</v>
      </c>
      <c r="C1974" s="1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  <c r="L1974" s="2" t="s">
        <v>11031</v>
      </c>
      <c r="M1974" s="2" t="s">
        <v>11030</v>
      </c>
      <c r="N1974" s="2" t="s">
        <v>11036</v>
      </c>
      <c r="O1974" s="2" t="s">
        <v>11038</v>
      </c>
      <c r="P1974" s="2" t="s">
        <v>11036</v>
      </c>
      <c r="Q1974" s="2">
        <f>AVERAGE(PerfRate[[#This Row],[EnvironmentSatisfaction]],PerfRate[[#This Row],[JobSatisfaction]],PerfRate[[#This Row],[RelationshipSatisfaction]])</f>
        <v>3.6666666666666665</v>
      </c>
      <c r="R1974" s="2">
        <f>PerfRate[[#This Row],[ManagerRating]] - PerfRate[[#This Row],[SelfRating]]</f>
        <v>-1</v>
      </c>
    </row>
    <row r="1975" spans="1:18">
      <c r="A1975" s="2" t="s">
        <v>6282</v>
      </c>
      <c r="B1975" s="2" t="s">
        <v>1881</v>
      </c>
      <c r="C1975" s="1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  <c r="L1975" s="2" t="s">
        <v>11031</v>
      </c>
      <c r="M1975" s="2" t="s">
        <v>11031</v>
      </c>
      <c r="N1975" s="2" t="s">
        <v>11037</v>
      </c>
      <c r="O1975" s="2" t="s">
        <v>11037</v>
      </c>
      <c r="P1975" s="2" t="s">
        <v>11038</v>
      </c>
      <c r="Q1975" s="2">
        <f>AVERAGE(PerfRate[[#This Row],[EnvironmentSatisfaction]],PerfRate[[#This Row],[JobSatisfaction]],PerfRate[[#This Row],[RelationshipSatisfaction]])</f>
        <v>4.333333333333333</v>
      </c>
      <c r="R1975" s="2">
        <f>PerfRate[[#This Row],[ManagerRating]] - PerfRate[[#This Row],[SelfRating]]</f>
        <v>0</v>
      </c>
    </row>
    <row r="1976" spans="1:18">
      <c r="A1976" s="2" t="s">
        <v>6283</v>
      </c>
      <c r="B1976" s="2" t="s">
        <v>2981</v>
      </c>
      <c r="C1976" s="1">
        <v>41794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  <c r="L1976" s="2" t="s">
        <v>11031</v>
      </c>
      <c r="M1976" s="2" t="s">
        <v>11030</v>
      </c>
      <c r="N1976" s="2" t="s">
        <v>11037</v>
      </c>
      <c r="O1976" s="2" t="s">
        <v>11036</v>
      </c>
      <c r="P1976" s="2" t="s">
        <v>11035</v>
      </c>
      <c r="Q1976" s="2">
        <f>AVERAGE(PerfRate[[#This Row],[EnvironmentSatisfaction]],PerfRate[[#This Row],[JobSatisfaction]],PerfRate[[#This Row],[RelationshipSatisfaction]])</f>
        <v>3</v>
      </c>
      <c r="R1976" s="2">
        <f>PerfRate[[#This Row],[ManagerRating]] - PerfRate[[#This Row],[SelfRating]]</f>
        <v>-1</v>
      </c>
    </row>
    <row r="1977" spans="1:18">
      <c r="A1977" s="2" t="s">
        <v>6284</v>
      </c>
      <c r="B1977" s="2" t="s">
        <v>1177</v>
      </c>
      <c r="C1977" s="1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  <c r="L1977" s="2" t="s">
        <v>11031</v>
      </c>
      <c r="M1977" s="2" t="s">
        <v>11030</v>
      </c>
      <c r="N1977" s="2" t="s">
        <v>11037</v>
      </c>
      <c r="O1977" s="2" t="s">
        <v>11038</v>
      </c>
      <c r="P1977" s="2" t="s">
        <v>11035</v>
      </c>
      <c r="Q1977" s="2">
        <f>AVERAGE(PerfRate[[#This Row],[EnvironmentSatisfaction]],PerfRate[[#This Row],[JobSatisfaction]],PerfRate[[#This Row],[RelationshipSatisfaction]])</f>
        <v>3.6666666666666665</v>
      </c>
      <c r="R1977" s="2">
        <f>PerfRate[[#This Row],[ManagerRating]] - PerfRate[[#This Row],[SelfRating]]</f>
        <v>-1</v>
      </c>
    </row>
    <row r="1978" spans="1:18">
      <c r="A1978" s="2" t="s">
        <v>6285</v>
      </c>
      <c r="B1978" s="2" t="s">
        <v>94</v>
      </c>
      <c r="C1978" s="1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  <c r="L1978" s="2" t="s">
        <v>11029</v>
      </c>
      <c r="M1978" s="2" t="s">
        <v>11029</v>
      </c>
      <c r="N1978" s="2" t="s">
        <v>11036</v>
      </c>
      <c r="O1978" s="2" t="s">
        <v>11035</v>
      </c>
      <c r="P1978" s="2" t="s">
        <v>11035</v>
      </c>
      <c r="Q1978" s="2">
        <f>AVERAGE(PerfRate[[#This Row],[EnvironmentSatisfaction]],PerfRate[[#This Row],[JobSatisfaction]],PerfRate[[#This Row],[RelationshipSatisfaction]])</f>
        <v>2.3333333333333335</v>
      </c>
      <c r="R1978" s="2">
        <f>PerfRate[[#This Row],[ManagerRating]] - PerfRate[[#This Row],[SelfRating]]</f>
        <v>0</v>
      </c>
    </row>
    <row r="1979" spans="1:18">
      <c r="A1979" s="2" t="s">
        <v>6286</v>
      </c>
      <c r="B1979" s="2" t="s">
        <v>690</v>
      </c>
      <c r="C1979" s="1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  <c r="L1979" s="2" t="s">
        <v>11029</v>
      </c>
      <c r="M1979" s="2" t="s">
        <v>11028</v>
      </c>
      <c r="N1979" s="2" t="s">
        <v>11038</v>
      </c>
      <c r="O1979" s="2" t="s">
        <v>11038</v>
      </c>
      <c r="P1979" s="2" t="s">
        <v>11037</v>
      </c>
      <c r="Q1979" s="2">
        <f>AVERAGE(PerfRate[[#This Row],[EnvironmentSatisfaction]],PerfRate[[#This Row],[JobSatisfaction]],PerfRate[[#This Row],[RelationshipSatisfaction]])</f>
        <v>4.666666666666667</v>
      </c>
      <c r="R1979" s="2">
        <f>PerfRate[[#This Row],[ManagerRating]] - PerfRate[[#This Row],[SelfRating]]</f>
        <v>-1</v>
      </c>
    </row>
    <row r="1980" spans="1:18">
      <c r="A1980" s="2" t="s">
        <v>6287</v>
      </c>
      <c r="B1980" s="2" t="s">
        <v>1707</v>
      </c>
      <c r="C1980" s="1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  <c r="L1980" s="2" t="s">
        <v>11030</v>
      </c>
      <c r="M1980" s="2" t="s">
        <v>11029</v>
      </c>
      <c r="N1980" s="2" t="s">
        <v>11037</v>
      </c>
      <c r="O1980" s="2" t="s">
        <v>11037</v>
      </c>
      <c r="P1980" s="2" t="s">
        <v>11035</v>
      </c>
      <c r="Q1980" s="2">
        <f>AVERAGE(PerfRate[[#This Row],[EnvironmentSatisfaction]],PerfRate[[#This Row],[JobSatisfaction]],PerfRate[[#This Row],[RelationshipSatisfaction]])</f>
        <v>3.3333333333333335</v>
      </c>
      <c r="R1980" s="2">
        <f>PerfRate[[#This Row],[ManagerRating]] - PerfRate[[#This Row],[SelfRating]]</f>
        <v>-1</v>
      </c>
    </row>
    <row r="1981" spans="1:18">
      <c r="A1981" s="2" t="s">
        <v>6288</v>
      </c>
      <c r="B1981" s="2" t="s">
        <v>1024</v>
      </c>
      <c r="C1981" s="1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  <c r="L1981" s="2" t="s">
        <v>11030</v>
      </c>
      <c r="M1981" s="2" t="s">
        <v>11029</v>
      </c>
      <c r="N1981" s="2" t="s">
        <v>11036</v>
      </c>
      <c r="O1981" s="2" t="s">
        <v>11035</v>
      </c>
      <c r="P1981" s="2" t="s">
        <v>11036</v>
      </c>
      <c r="Q1981" s="2">
        <f>AVERAGE(PerfRate[[#This Row],[EnvironmentSatisfaction]],PerfRate[[#This Row],[JobSatisfaction]],PerfRate[[#This Row],[RelationshipSatisfaction]])</f>
        <v>2.6666666666666665</v>
      </c>
      <c r="R1981" s="2">
        <f>PerfRate[[#This Row],[ManagerRating]] - PerfRate[[#This Row],[SelfRating]]</f>
        <v>-1</v>
      </c>
    </row>
    <row r="1982" spans="1:18">
      <c r="A1982" s="2" t="s">
        <v>6289</v>
      </c>
      <c r="B1982" s="2" t="s">
        <v>1406</v>
      </c>
      <c r="C1982" s="1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  <c r="L1982" s="2" t="s">
        <v>11029</v>
      </c>
      <c r="M1982" s="2" t="s">
        <v>11028</v>
      </c>
      <c r="N1982" s="2" t="s">
        <v>11036</v>
      </c>
      <c r="O1982" s="2" t="s">
        <v>11037</v>
      </c>
      <c r="P1982" s="2" t="s">
        <v>11037</v>
      </c>
      <c r="Q1982" s="2">
        <f>AVERAGE(PerfRate[[#This Row],[EnvironmentSatisfaction]],PerfRate[[#This Row],[JobSatisfaction]],PerfRate[[#This Row],[RelationshipSatisfaction]])</f>
        <v>3.6666666666666665</v>
      </c>
      <c r="R1982" s="2">
        <f>PerfRate[[#This Row],[ManagerRating]] - PerfRate[[#This Row],[SelfRating]]</f>
        <v>-1</v>
      </c>
    </row>
    <row r="1983" spans="1:18">
      <c r="A1983" s="2" t="s">
        <v>6290</v>
      </c>
      <c r="B1983" s="2" t="s">
        <v>705</v>
      </c>
      <c r="C1983" s="1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  <c r="L1983" s="2" t="s">
        <v>11031</v>
      </c>
      <c r="M1983" s="2" t="s">
        <v>11030</v>
      </c>
      <c r="N1983" s="2" t="s">
        <v>11037</v>
      </c>
      <c r="O1983" s="2" t="s">
        <v>11036</v>
      </c>
      <c r="P1983" s="2" t="s">
        <v>11035</v>
      </c>
      <c r="Q1983" s="2">
        <f>AVERAGE(PerfRate[[#This Row],[EnvironmentSatisfaction]],PerfRate[[#This Row],[JobSatisfaction]],PerfRate[[#This Row],[RelationshipSatisfaction]])</f>
        <v>3</v>
      </c>
      <c r="R1983" s="2">
        <f>PerfRate[[#This Row],[ManagerRating]] - PerfRate[[#This Row],[SelfRating]]</f>
        <v>-1</v>
      </c>
    </row>
    <row r="1984" spans="1:18">
      <c r="A1984" s="2" t="s">
        <v>6291</v>
      </c>
      <c r="B1984" s="2" t="s">
        <v>1423</v>
      </c>
      <c r="C1984" s="1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  <c r="L1984" s="2" t="s">
        <v>11029</v>
      </c>
      <c r="M1984" s="2" t="s">
        <v>11028</v>
      </c>
      <c r="N1984" s="2" t="s">
        <v>11036</v>
      </c>
      <c r="O1984" s="2" t="s">
        <v>11038</v>
      </c>
      <c r="P1984" s="2" t="s">
        <v>11037</v>
      </c>
      <c r="Q1984" s="2">
        <f>AVERAGE(PerfRate[[#This Row],[EnvironmentSatisfaction]],PerfRate[[#This Row],[JobSatisfaction]],PerfRate[[#This Row],[RelationshipSatisfaction]])</f>
        <v>4</v>
      </c>
      <c r="R1984" s="2">
        <f>PerfRate[[#This Row],[ManagerRating]] - PerfRate[[#This Row],[SelfRating]]</f>
        <v>-1</v>
      </c>
    </row>
    <row r="1985" spans="1:18">
      <c r="A1985" s="2" t="s">
        <v>6292</v>
      </c>
      <c r="B1985" s="2" t="s">
        <v>1948</v>
      </c>
      <c r="C1985" s="1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  <c r="L1985" s="2" t="s">
        <v>11030</v>
      </c>
      <c r="M1985" s="2" t="s">
        <v>11030</v>
      </c>
      <c r="N1985" s="2" t="s">
        <v>11036</v>
      </c>
      <c r="O1985" s="2" t="s">
        <v>11038</v>
      </c>
      <c r="P1985" s="2" t="s">
        <v>11037</v>
      </c>
      <c r="Q1985" s="2">
        <f>AVERAGE(PerfRate[[#This Row],[EnvironmentSatisfaction]],PerfRate[[#This Row],[JobSatisfaction]],PerfRate[[#This Row],[RelationshipSatisfaction]])</f>
        <v>4</v>
      </c>
      <c r="R1985" s="2">
        <f>PerfRate[[#This Row],[ManagerRating]] - PerfRate[[#This Row],[SelfRating]]</f>
        <v>0</v>
      </c>
    </row>
    <row r="1986" spans="1:18">
      <c r="A1986" s="2" t="s">
        <v>6293</v>
      </c>
      <c r="B1986" s="2" t="s">
        <v>664</v>
      </c>
      <c r="C1986" s="1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  <c r="L1986" s="2" t="s">
        <v>11031</v>
      </c>
      <c r="M1986" s="2" t="s">
        <v>11031</v>
      </c>
      <c r="N1986" s="2" t="s">
        <v>11036</v>
      </c>
      <c r="O1986" s="2" t="s">
        <v>11037</v>
      </c>
      <c r="P1986" s="2" t="s">
        <v>11037</v>
      </c>
      <c r="Q1986" s="2">
        <f>AVERAGE(PerfRate[[#This Row],[EnvironmentSatisfaction]],PerfRate[[#This Row],[JobSatisfaction]],PerfRate[[#This Row],[RelationshipSatisfaction]])</f>
        <v>3.6666666666666665</v>
      </c>
      <c r="R1986" s="2">
        <f>PerfRate[[#This Row],[ManagerRating]] - PerfRate[[#This Row],[SelfRating]]</f>
        <v>0</v>
      </c>
    </row>
    <row r="1987" spans="1:18">
      <c r="A1987" s="2" t="s">
        <v>6294</v>
      </c>
      <c r="B1987" s="2" t="s">
        <v>296</v>
      </c>
      <c r="C1987" s="1">
        <v>41824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  <c r="L1987" s="2" t="s">
        <v>11029</v>
      </c>
      <c r="M1987" s="2" t="s">
        <v>11028</v>
      </c>
      <c r="N1987" s="2" t="s">
        <v>11038</v>
      </c>
      <c r="O1987" s="2" t="s">
        <v>11035</v>
      </c>
      <c r="P1987" s="2" t="s">
        <v>11038</v>
      </c>
      <c r="Q1987" s="2">
        <f>AVERAGE(PerfRate[[#This Row],[EnvironmentSatisfaction]],PerfRate[[#This Row],[JobSatisfaction]],PerfRate[[#This Row],[RelationshipSatisfaction]])</f>
        <v>4</v>
      </c>
      <c r="R1987" s="2">
        <f>PerfRate[[#This Row],[ManagerRating]] - PerfRate[[#This Row],[SelfRating]]</f>
        <v>-1</v>
      </c>
    </row>
    <row r="1988" spans="1:18">
      <c r="A1988" s="2" t="s">
        <v>6295</v>
      </c>
      <c r="B1988" s="2" t="s">
        <v>1739</v>
      </c>
      <c r="C1988" s="1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  <c r="L1988" s="2" t="s">
        <v>11029</v>
      </c>
      <c r="M1988" s="2" t="s">
        <v>11028</v>
      </c>
      <c r="N1988" s="2" t="s">
        <v>11037</v>
      </c>
      <c r="O1988" s="2" t="s">
        <v>11038</v>
      </c>
      <c r="P1988" s="2" t="s">
        <v>11038</v>
      </c>
      <c r="Q1988" s="2">
        <f>AVERAGE(PerfRate[[#This Row],[EnvironmentSatisfaction]],PerfRate[[#This Row],[JobSatisfaction]],PerfRate[[#This Row],[RelationshipSatisfaction]])</f>
        <v>4.666666666666667</v>
      </c>
      <c r="R1988" s="2">
        <f>PerfRate[[#This Row],[ManagerRating]] - PerfRate[[#This Row],[SelfRating]]</f>
        <v>-1</v>
      </c>
    </row>
    <row r="1989" spans="1:18">
      <c r="A1989" s="2" t="s">
        <v>6296</v>
      </c>
      <c r="B1989" s="2" t="s">
        <v>684</v>
      </c>
      <c r="C1989" s="1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  <c r="L1989" s="2" t="s">
        <v>11030</v>
      </c>
      <c r="M1989" s="2" t="s">
        <v>11029</v>
      </c>
      <c r="N1989" s="2" t="s">
        <v>11036</v>
      </c>
      <c r="O1989" s="2" t="s">
        <v>11036</v>
      </c>
      <c r="P1989" s="2" t="s">
        <v>11037</v>
      </c>
      <c r="Q1989" s="2">
        <f>AVERAGE(PerfRate[[#This Row],[EnvironmentSatisfaction]],PerfRate[[#This Row],[JobSatisfaction]],PerfRate[[#This Row],[RelationshipSatisfaction]])</f>
        <v>3.3333333333333335</v>
      </c>
      <c r="R1989" s="2">
        <f>PerfRate[[#This Row],[ManagerRating]] - PerfRate[[#This Row],[SelfRating]]</f>
        <v>-1</v>
      </c>
    </row>
    <row r="1990" spans="1:18">
      <c r="A1990" s="2" t="s">
        <v>6297</v>
      </c>
      <c r="B1990" s="2" t="s">
        <v>702</v>
      </c>
      <c r="C1990" s="1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  <c r="L1990" s="2" t="s">
        <v>11031</v>
      </c>
      <c r="M1990" s="2" t="s">
        <v>11030</v>
      </c>
      <c r="N1990" s="2" t="s">
        <v>11037</v>
      </c>
      <c r="O1990" s="2" t="s">
        <v>11037</v>
      </c>
      <c r="P1990" s="2" t="s">
        <v>11038</v>
      </c>
      <c r="Q1990" s="2">
        <f>AVERAGE(PerfRate[[#This Row],[EnvironmentSatisfaction]],PerfRate[[#This Row],[JobSatisfaction]],PerfRate[[#This Row],[RelationshipSatisfaction]])</f>
        <v>4.333333333333333</v>
      </c>
      <c r="R1990" s="2">
        <f>PerfRate[[#This Row],[ManagerRating]] - PerfRate[[#This Row],[SelfRating]]</f>
        <v>-1</v>
      </c>
    </row>
    <row r="1991" spans="1:18">
      <c r="A1991" s="2" t="s">
        <v>6298</v>
      </c>
      <c r="B1991" s="2" t="s">
        <v>991</v>
      </c>
      <c r="C1991" s="1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  <c r="L1991" s="2" t="s">
        <v>11031</v>
      </c>
      <c r="M1991" s="2" t="s">
        <v>11030</v>
      </c>
      <c r="N1991" s="2" t="s">
        <v>11037</v>
      </c>
      <c r="O1991" s="2" t="s">
        <v>11038</v>
      </c>
      <c r="P1991" s="2" t="s">
        <v>11035</v>
      </c>
      <c r="Q1991" s="2">
        <f>AVERAGE(PerfRate[[#This Row],[EnvironmentSatisfaction]],PerfRate[[#This Row],[JobSatisfaction]],PerfRate[[#This Row],[RelationshipSatisfaction]])</f>
        <v>3.6666666666666665</v>
      </c>
      <c r="R1991" s="2">
        <f>PerfRate[[#This Row],[ManagerRating]] - PerfRate[[#This Row],[SelfRating]]</f>
        <v>-1</v>
      </c>
    </row>
    <row r="1992" spans="1:18">
      <c r="A1992" s="2" t="s">
        <v>6299</v>
      </c>
      <c r="B1992" s="2" t="s">
        <v>1252</v>
      </c>
      <c r="C1992" s="1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  <c r="L1992" s="2" t="s">
        <v>11031</v>
      </c>
      <c r="M1992" s="2" t="s">
        <v>11031</v>
      </c>
      <c r="N1992" s="2" t="s">
        <v>11038</v>
      </c>
      <c r="O1992" s="2" t="s">
        <v>11037</v>
      </c>
      <c r="P1992" s="2" t="s">
        <v>11038</v>
      </c>
      <c r="Q1992" s="2">
        <f>AVERAGE(PerfRate[[#This Row],[EnvironmentSatisfaction]],PerfRate[[#This Row],[JobSatisfaction]],PerfRate[[#This Row],[RelationshipSatisfaction]])</f>
        <v>4.666666666666667</v>
      </c>
      <c r="R1992" s="2">
        <f>PerfRate[[#This Row],[ManagerRating]] - PerfRate[[#This Row],[SelfRating]]</f>
        <v>0</v>
      </c>
    </row>
    <row r="1993" spans="1:18">
      <c r="A1993" s="2" t="s">
        <v>6300</v>
      </c>
      <c r="B1993" s="2" t="s">
        <v>3995</v>
      </c>
      <c r="C1993" s="1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  <c r="L1993" s="2" t="s">
        <v>11029</v>
      </c>
      <c r="M1993" s="2" t="s">
        <v>11028</v>
      </c>
      <c r="N1993" s="2" t="s">
        <v>11038</v>
      </c>
      <c r="O1993" s="2" t="s">
        <v>11036</v>
      </c>
      <c r="P1993" s="2" t="s">
        <v>11037</v>
      </c>
      <c r="Q1993" s="2">
        <f>AVERAGE(PerfRate[[#This Row],[EnvironmentSatisfaction]],PerfRate[[#This Row],[JobSatisfaction]],PerfRate[[#This Row],[RelationshipSatisfaction]])</f>
        <v>4</v>
      </c>
      <c r="R1993" s="2">
        <f>PerfRate[[#This Row],[ManagerRating]] - PerfRate[[#This Row],[SelfRating]]</f>
        <v>-1</v>
      </c>
    </row>
    <row r="1994" spans="1:18">
      <c r="A1994" s="2" t="s">
        <v>6301</v>
      </c>
      <c r="B1994" s="2" t="s">
        <v>1886</v>
      </c>
      <c r="C1994" s="1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  <c r="L1994" s="2" t="s">
        <v>11031</v>
      </c>
      <c r="M1994" s="2" t="s">
        <v>11031</v>
      </c>
      <c r="N1994" s="2" t="s">
        <v>11036</v>
      </c>
      <c r="O1994" s="2" t="s">
        <v>11037</v>
      </c>
      <c r="P1994" s="2" t="s">
        <v>11036</v>
      </c>
      <c r="Q1994" s="2">
        <f>AVERAGE(PerfRate[[#This Row],[EnvironmentSatisfaction]],PerfRate[[#This Row],[JobSatisfaction]],PerfRate[[#This Row],[RelationshipSatisfaction]])</f>
        <v>3.3333333333333335</v>
      </c>
      <c r="R1994" s="2">
        <f>PerfRate[[#This Row],[ManagerRating]] - PerfRate[[#This Row],[SelfRating]]</f>
        <v>0</v>
      </c>
    </row>
    <row r="1995" spans="1:18">
      <c r="A1995" s="2" t="s">
        <v>6302</v>
      </c>
      <c r="B1995" s="2" t="s">
        <v>3566</v>
      </c>
      <c r="C1995" s="1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  <c r="L1995" s="2" t="s">
        <v>11029</v>
      </c>
      <c r="M1995" s="2" t="s">
        <v>11028</v>
      </c>
      <c r="N1995" s="2" t="s">
        <v>11036</v>
      </c>
      <c r="O1995" s="2" t="s">
        <v>11038</v>
      </c>
      <c r="P1995" s="2" t="s">
        <v>11038</v>
      </c>
      <c r="Q1995" s="2">
        <f>AVERAGE(PerfRate[[#This Row],[EnvironmentSatisfaction]],PerfRate[[#This Row],[JobSatisfaction]],PerfRate[[#This Row],[RelationshipSatisfaction]])</f>
        <v>4.333333333333333</v>
      </c>
      <c r="R1995" s="2">
        <f>PerfRate[[#This Row],[ManagerRating]] - PerfRate[[#This Row],[SelfRating]]</f>
        <v>-1</v>
      </c>
    </row>
    <row r="1996" spans="1:18">
      <c r="A1996" s="2" t="s">
        <v>6303</v>
      </c>
      <c r="B1996" s="2" t="s">
        <v>1065</v>
      </c>
      <c r="C1996" s="1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  <c r="L1996" s="2" t="s">
        <v>11029</v>
      </c>
      <c r="M1996" s="2" t="s">
        <v>11029</v>
      </c>
      <c r="N1996" s="2" t="s">
        <v>11038</v>
      </c>
      <c r="O1996" s="2" t="s">
        <v>11038</v>
      </c>
      <c r="P1996" s="2" t="s">
        <v>11035</v>
      </c>
      <c r="Q1996" s="2">
        <f>AVERAGE(PerfRate[[#This Row],[EnvironmentSatisfaction]],PerfRate[[#This Row],[JobSatisfaction]],PerfRate[[#This Row],[RelationshipSatisfaction]])</f>
        <v>4</v>
      </c>
      <c r="R1996" s="2">
        <f>PerfRate[[#This Row],[ManagerRating]] - PerfRate[[#This Row],[SelfRating]]</f>
        <v>0</v>
      </c>
    </row>
    <row r="1997" spans="1:18">
      <c r="A1997" s="2" t="s">
        <v>6304</v>
      </c>
      <c r="B1997" s="2" t="s">
        <v>589</v>
      </c>
      <c r="C1997" s="1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  <c r="L1997" s="2" t="s">
        <v>11029</v>
      </c>
      <c r="M1997" s="2" t="s">
        <v>11028</v>
      </c>
      <c r="N1997" s="2" t="s">
        <v>11037</v>
      </c>
      <c r="O1997" s="2" t="s">
        <v>11035</v>
      </c>
      <c r="P1997" s="2" t="s">
        <v>11037</v>
      </c>
      <c r="Q1997" s="2">
        <f>AVERAGE(PerfRate[[#This Row],[EnvironmentSatisfaction]],PerfRate[[#This Row],[JobSatisfaction]],PerfRate[[#This Row],[RelationshipSatisfaction]])</f>
        <v>3.3333333333333335</v>
      </c>
      <c r="R1997" s="2">
        <f>PerfRate[[#This Row],[ManagerRating]] - PerfRate[[#This Row],[SelfRating]]</f>
        <v>-1</v>
      </c>
    </row>
    <row r="1998" spans="1:18">
      <c r="A1998" s="2" t="s">
        <v>6305</v>
      </c>
      <c r="B1998" s="2" t="s">
        <v>2584</v>
      </c>
      <c r="C1998" s="1">
        <v>41824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  <c r="L1998" s="2" t="s">
        <v>11030</v>
      </c>
      <c r="M1998" s="2" t="s">
        <v>11029</v>
      </c>
      <c r="N1998" s="2" t="s">
        <v>11037</v>
      </c>
      <c r="O1998" s="2" t="s">
        <v>11035</v>
      </c>
      <c r="P1998" s="2" t="s">
        <v>11035</v>
      </c>
      <c r="Q1998" s="2">
        <f>AVERAGE(PerfRate[[#This Row],[EnvironmentSatisfaction]],PerfRate[[#This Row],[JobSatisfaction]],PerfRate[[#This Row],[RelationshipSatisfaction]])</f>
        <v>2.6666666666666665</v>
      </c>
      <c r="R1998" s="2">
        <f>PerfRate[[#This Row],[ManagerRating]] - PerfRate[[#This Row],[SelfRating]]</f>
        <v>-1</v>
      </c>
    </row>
    <row r="1999" spans="1:18">
      <c r="A1999" s="2" t="s">
        <v>6306</v>
      </c>
      <c r="B1999" s="2" t="s">
        <v>1027</v>
      </c>
      <c r="C1999" s="1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  <c r="L1999" s="2" t="s">
        <v>11030</v>
      </c>
      <c r="M1999" s="2" t="s">
        <v>11029</v>
      </c>
      <c r="N1999" s="2" t="s">
        <v>11038</v>
      </c>
      <c r="O1999" s="2" t="s">
        <v>11037</v>
      </c>
      <c r="P1999" s="2" t="s">
        <v>11037</v>
      </c>
      <c r="Q1999" s="2">
        <f>AVERAGE(PerfRate[[#This Row],[EnvironmentSatisfaction]],PerfRate[[#This Row],[JobSatisfaction]],PerfRate[[#This Row],[RelationshipSatisfaction]])</f>
        <v>4.333333333333333</v>
      </c>
      <c r="R1999" s="2">
        <f>PerfRate[[#This Row],[ManagerRating]] - PerfRate[[#This Row],[SelfRating]]</f>
        <v>-1</v>
      </c>
    </row>
    <row r="2000" spans="1:18">
      <c r="A2000" s="2" t="s">
        <v>6307</v>
      </c>
      <c r="B2000" s="2" t="s">
        <v>622</v>
      </c>
      <c r="C2000" s="1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  <c r="L2000" s="2" t="s">
        <v>11031</v>
      </c>
      <c r="M2000" s="2" t="s">
        <v>11031</v>
      </c>
      <c r="N2000" s="2" t="s">
        <v>11038</v>
      </c>
      <c r="O2000" s="2" t="s">
        <v>11038</v>
      </c>
      <c r="P2000" s="2" t="s">
        <v>11037</v>
      </c>
      <c r="Q2000" s="2">
        <f>AVERAGE(PerfRate[[#This Row],[EnvironmentSatisfaction]],PerfRate[[#This Row],[JobSatisfaction]],PerfRate[[#This Row],[RelationshipSatisfaction]])</f>
        <v>4.666666666666667</v>
      </c>
      <c r="R2000" s="2">
        <f>PerfRate[[#This Row],[ManagerRating]] - PerfRate[[#This Row],[SelfRating]]</f>
        <v>0</v>
      </c>
    </row>
    <row r="2001" spans="1:18">
      <c r="A2001" s="2" t="s">
        <v>6308</v>
      </c>
      <c r="B2001" s="2" t="s">
        <v>1263</v>
      </c>
      <c r="C2001" s="1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  <c r="L2001" s="2" t="s">
        <v>11029</v>
      </c>
      <c r="M2001" s="2" t="s">
        <v>11029</v>
      </c>
      <c r="N2001" s="2" t="s">
        <v>11038</v>
      </c>
      <c r="O2001" s="2" t="s">
        <v>11036</v>
      </c>
      <c r="P2001" s="2" t="s">
        <v>11035</v>
      </c>
      <c r="Q2001" s="2">
        <f>AVERAGE(PerfRate[[#This Row],[EnvironmentSatisfaction]],PerfRate[[#This Row],[JobSatisfaction]],PerfRate[[#This Row],[RelationshipSatisfaction]])</f>
        <v>3.3333333333333335</v>
      </c>
      <c r="R2001" s="2">
        <f>PerfRate[[#This Row],[ManagerRating]] - PerfRate[[#This Row],[SelfRating]]</f>
        <v>0</v>
      </c>
    </row>
    <row r="2002" spans="1:18">
      <c r="A2002" s="2" t="s">
        <v>6309</v>
      </c>
      <c r="B2002" s="2" t="s">
        <v>1341</v>
      </c>
      <c r="C2002" s="1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  <c r="L2002" s="2" t="s">
        <v>11029</v>
      </c>
      <c r="M2002" s="2" t="s">
        <v>11028</v>
      </c>
      <c r="N2002" s="2" t="s">
        <v>11038</v>
      </c>
      <c r="O2002" s="2" t="s">
        <v>11038</v>
      </c>
      <c r="P2002" s="2" t="s">
        <v>11037</v>
      </c>
      <c r="Q2002" s="2">
        <f>AVERAGE(PerfRate[[#This Row],[EnvironmentSatisfaction]],PerfRate[[#This Row],[JobSatisfaction]],PerfRate[[#This Row],[RelationshipSatisfaction]])</f>
        <v>4.666666666666667</v>
      </c>
      <c r="R2002" s="2">
        <f>PerfRate[[#This Row],[ManagerRating]] - PerfRate[[#This Row],[SelfRating]]</f>
        <v>-1</v>
      </c>
    </row>
    <row r="2003" spans="1:18">
      <c r="A2003" s="2" t="s">
        <v>6310</v>
      </c>
      <c r="B2003" s="2" t="s">
        <v>3015</v>
      </c>
      <c r="C2003" s="1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  <c r="L2003" s="2" t="s">
        <v>11030</v>
      </c>
      <c r="M2003" s="2" t="s">
        <v>11030</v>
      </c>
      <c r="N2003" s="2" t="s">
        <v>11036</v>
      </c>
      <c r="O2003" s="2" t="s">
        <v>11037</v>
      </c>
      <c r="P2003" s="2" t="s">
        <v>11037</v>
      </c>
      <c r="Q2003" s="2">
        <f>AVERAGE(PerfRate[[#This Row],[EnvironmentSatisfaction]],PerfRate[[#This Row],[JobSatisfaction]],PerfRate[[#This Row],[RelationshipSatisfaction]])</f>
        <v>3.6666666666666665</v>
      </c>
      <c r="R2003" s="2">
        <f>PerfRate[[#This Row],[ManagerRating]] - PerfRate[[#This Row],[SelfRating]]</f>
        <v>0</v>
      </c>
    </row>
    <row r="2004" spans="1:18">
      <c r="A2004" s="2" t="s">
        <v>6311</v>
      </c>
      <c r="B2004" s="2" t="s">
        <v>1383</v>
      </c>
      <c r="C2004" s="1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  <c r="L2004" s="2" t="s">
        <v>11030</v>
      </c>
      <c r="M2004" s="2" t="s">
        <v>11029</v>
      </c>
      <c r="N2004" s="2" t="s">
        <v>11037</v>
      </c>
      <c r="O2004" s="2" t="s">
        <v>11035</v>
      </c>
      <c r="P2004" s="2" t="s">
        <v>11036</v>
      </c>
      <c r="Q2004" s="2">
        <f>AVERAGE(PerfRate[[#This Row],[EnvironmentSatisfaction]],PerfRate[[#This Row],[JobSatisfaction]],PerfRate[[#This Row],[RelationshipSatisfaction]])</f>
        <v>3</v>
      </c>
      <c r="R2004" s="2">
        <f>PerfRate[[#This Row],[ManagerRating]] - PerfRate[[#This Row],[SelfRating]]</f>
        <v>-1</v>
      </c>
    </row>
    <row r="2005" spans="1:18">
      <c r="A2005" s="2" t="s">
        <v>6312</v>
      </c>
      <c r="B2005" s="2" t="s">
        <v>241</v>
      </c>
      <c r="C2005" s="1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  <c r="L2005" s="2" t="s">
        <v>11030</v>
      </c>
      <c r="M2005" s="2" t="s">
        <v>11029</v>
      </c>
      <c r="N2005" s="2" t="s">
        <v>11036</v>
      </c>
      <c r="O2005" s="2" t="s">
        <v>11037</v>
      </c>
      <c r="P2005" s="2" t="s">
        <v>11038</v>
      </c>
      <c r="Q2005" s="2">
        <f>AVERAGE(PerfRate[[#This Row],[EnvironmentSatisfaction]],PerfRate[[#This Row],[JobSatisfaction]],PerfRate[[#This Row],[RelationshipSatisfaction]])</f>
        <v>4</v>
      </c>
      <c r="R2005" s="2">
        <f>PerfRate[[#This Row],[ManagerRating]] - PerfRate[[#This Row],[SelfRating]]</f>
        <v>-1</v>
      </c>
    </row>
    <row r="2006" spans="1:18">
      <c r="A2006" s="2" t="s">
        <v>6313</v>
      </c>
      <c r="B2006" s="2" t="s">
        <v>735</v>
      </c>
      <c r="C2006" s="1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  <c r="L2006" s="2" t="s">
        <v>11030</v>
      </c>
      <c r="M2006" s="2" t="s">
        <v>11030</v>
      </c>
      <c r="N2006" s="2" t="s">
        <v>11036</v>
      </c>
      <c r="O2006" s="2" t="s">
        <v>11038</v>
      </c>
      <c r="P2006" s="2" t="s">
        <v>11036</v>
      </c>
      <c r="Q2006" s="2">
        <f>AVERAGE(PerfRate[[#This Row],[EnvironmentSatisfaction]],PerfRate[[#This Row],[JobSatisfaction]],PerfRate[[#This Row],[RelationshipSatisfaction]])</f>
        <v>3.6666666666666665</v>
      </c>
      <c r="R2006" s="2">
        <f>PerfRate[[#This Row],[ManagerRating]] - PerfRate[[#This Row],[SelfRating]]</f>
        <v>0</v>
      </c>
    </row>
    <row r="2007" spans="1:18">
      <c r="A2007" s="2" t="s">
        <v>6314</v>
      </c>
      <c r="B2007" s="2" t="s">
        <v>3126</v>
      </c>
      <c r="C2007" s="1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  <c r="L2007" s="2" t="s">
        <v>11029</v>
      </c>
      <c r="M2007" s="2" t="s">
        <v>11028</v>
      </c>
      <c r="N2007" s="2" t="s">
        <v>11037</v>
      </c>
      <c r="O2007" s="2" t="s">
        <v>11036</v>
      </c>
      <c r="P2007" s="2" t="s">
        <v>11035</v>
      </c>
      <c r="Q2007" s="2">
        <f>AVERAGE(PerfRate[[#This Row],[EnvironmentSatisfaction]],PerfRate[[#This Row],[JobSatisfaction]],PerfRate[[#This Row],[RelationshipSatisfaction]])</f>
        <v>3</v>
      </c>
      <c r="R2007" s="2">
        <f>PerfRate[[#This Row],[ManagerRating]] - PerfRate[[#This Row],[SelfRating]]</f>
        <v>-1</v>
      </c>
    </row>
    <row r="2008" spans="1:18">
      <c r="A2008" s="2" t="s">
        <v>6315</v>
      </c>
      <c r="B2008" s="2" t="s">
        <v>493</v>
      </c>
      <c r="C2008" s="1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  <c r="L2008" s="2" t="s">
        <v>11029</v>
      </c>
      <c r="M2008" s="2" t="s">
        <v>11028</v>
      </c>
      <c r="N2008" s="2" t="s">
        <v>11035</v>
      </c>
      <c r="O2008" s="2" t="s">
        <v>11035</v>
      </c>
      <c r="P2008" s="2" t="s">
        <v>11037</v>
      </c>
      <c r="Q2008" s="2">
        <f>AVERAGE(PerfRate[[#This Row],[EnvironmentSatisfaction]],PerfRate[[#This Row],[JobSatisfaction]],PerfRate[[#This Row],[RelationshipSatisfaction]])</f>
        <v>2.6666666666666665</v>
      </c>
      <c r="R2008" s="2">
        <f>PerfRate[[#This Row],[ManagerRating]] - PerfRate[[#This Row],[SelfRating]]</f>
        <v>-1</v>
      </c>
    </row>
    <row r="2009" spans="1:18">
      <c r="A2009" s="2" t="s">
        <v>6316</v>
      </c>
      <c r="B2009" s="2" t="s">
        <v>1886</v>
      </c>
      <c r="C2009" s="1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  <c r="L2009" s="2" t="s">
        <v>11029</v>
      </c>
      <c r="M2009" s="2" t="s">
        <v>11029</v>
      </c>
      <c r="N2009" s="2" t="s">
        <v>11037</v>
      </c>
      <c r="O2009" s="2" t="s">
        <v>11035</v>
      </c>
      <c r="P2009" s="2" t="s">
        <v>11036</v>
      </c>
      <c r="Q2009" s="2">
        <f>AVERAGE(PerfRate[[#This Row],[EnvironmentSatisfaction]],PerfRate[[#This Row],[JobSatisfaction]],PerfRate[[#This Row],[RelationshipSatisfaction]])</f>
        <v>3</v>
      </c>
      <c r="R2009" s="2">
        <f>PerfRate[[#This Row],[ManagerRating]] - PerfRate[[#This Row],[SelfRating]]</f>
        <v>0</v>
      </c>
    </row>
    <row r="2010" spans="1:18">
      <c r="A2010" s="2" t="s">
        <v>6317</v>
      </c>
      <c r="B2010" s="2" t="s">
        <v>42</v>
      </c>
      <c r="C2010" s="1">
        <v>41886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  <c r="L2010" s="2" t="s">
        <v>11030</v>
      </c>
      <c r="M2010" s="2" t="s">
        <v>11030</v>
      </c>
      <c r="N2010" s="2" t="s">
        <v>11038</v>
      </c>
      <c r="O2010" s="2" t="s">
        <v>11035</v>
      </c>
      <c r="P2010" s="2" t="s">
        <v>11036</v>
      </c>
      <c r="Q2010" s="2">
        <f>AVERAGE(PerfRate[[#This Row],[EnvironmentSatisfaction]],PerfRate[[#This Row],[JobSatisfaction]],PerfRate[[#This Row],[RelationshipSatisfaction]])</f>
        <v>3.3333333333333335</v>
      </c>
      <c r="R2010" s="2">
        <f>PerfRate[[#This Row],[ManagerRating]] - PerfRate[[#This Row],[SelfRating]]</f>
        <v>0</v>
      </c>
    </row>
    <row r="2011" spans="1:18">
      <c r="A2011" s="2" t="s">
        <v>6318</v>
      </c>
      <c r="B2011" s="2" t="s">
        <v>1511</v>
      </c>
      <c r="C2011" s="1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  <c r="L2011" s="2" t="s">
        <v>11029</v>
      </c>
      <c r="M2011" s="2" t="s">
        <v>11028</v>
      </c>
      <c r="N2011" s="2" t="s">
        <v>11036</v>
      </c>
      <c r="O2011" s="2" t="s">
        <v>11036</v>
      </c>
      <c r="P2011" s="2" t="s">
        <v>11035</v>
      </c>
      <c r="Q2011" s="2">
        <f>AVERAGE(PerfRate[[#This Row],[EnvironmentSatisfaction]],PerfRate[[#This Row],[JobSatisfaction]],PerfRate[[#This Row],[RelationshipSatisfaction]])</f>
        <v>2.6666666666666665</v>
      </c>
      <c r="R2011" s="2">
        <f>PerfRate[[#This Row],[ManagerRating]] - PerfRate[[#This Row],[SelfRating]]</f>
        <v>-1</v>
      </c>
    </row>
    <row r="2012" spans="1:18">
      <c r="A2012" s="2" t="s">
        <v>6319</v>
      </c>
      <c r="B2012" s="2" t="s">
        <v>2131</v>
      </c>
      <c r="C2012" s="1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  <c r="L2012" s="2" t="s">
        <v>11030</v>
      </c>
      <c r="M2012" s="2" t="s">
        <v>11029</v>
      </c>
      <c r="N2012" s="2" t="s">
        <v>11034</v>
      </c>
      <c r="O2012" s="2" t="s">
        <v>11035</v>
      </c>
      <c r="P2012" s="2" t="s">
        <v>11037</v>
      </c>
      <c r="Q2012" s="2">
        <f>AVERAGE(PerfRate[[#This Row],[EnvironmentSatisfaction]],PerfRate[[#This Row],[JobSatisfaction]],PerfRate[[#This Row],[RelationshipSatisfaction]])</f>
        <v>2.3333333333333335</v>
      </c>
      <c r="R2012" s="2">
        <f>PerfRate[[#This Row],[ManagerRating]] - PerfRate[[#This Row],[SelfRating]]</f>
        <v>-1</v>
      </c>
    </row>
    <row r="2013" spans="1:18">
      <c r="A2013" s="2" t="s">
        <v>6320</v>
      </c>
      <c r="B2013" s="2" t="s">
        <v>1198</v>
      </c>
      <c r="C2013" s="1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  <c r="L2013" s="2" t="s">
        <v>11031</v>
      </c>
      <c r="M2013" s="2" t="s">
        <v>11031</v>
      </c>
      <c r="N2013" s="2" t="s">
        <v>11034</v>
      </c>
      <c r="O2013" s="2" t="s">
        <v>11034</v>
      </c>
      <c r="P2013" s="2" t="s">
        <v>11036</v>
      </c>
      <c r="Q2013" s="2">
        <f>AVERAGE(PerfRate[[#This Row],[EnvironmentSatisfaction]],PerfRate[[#This Row],[JobSatisfaction]],PerfRate[[#This Row],[RelationshipSatisfaction]])</f>
        <v>1.6666666666666667</v>
      </c>
      <c r="R2013" s="2">
        <f>PerfRate[[#This Row],[ManagerRating]] - PerfRate[[#This Row],[SelfRating]]</f>
        <v>0</v>
      </c>
    </row>
    <row r="2014" spans="1:18">
      <c r="A2014" s="2" t="s">
        <v>6321</v>
      </c>
      <c r="B2014" s="2" t="s">
        <v>1353</v>
      </c>
      <c r="C2014" s="1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  <c r="L2014" s="2" t="s">
        <v>11030</v>
      </c>
      <c r="M2014" s="2" t="s">
        <v>11030</v>
      </c>
      <c r="N2014" s="2" t="s">
        <v>11036</v>
      </c>
      <c r="O2014" s="2" t="s">
        <v>11036</v>
      </c>
      <c r="P2014" s="2" t="s">
        <v>11036</v>
      </c>
      <c r="Q2014" s="2">
        <f>AVERAGE(PerfRate[[#This Row],[EnvironmentSatisfaction]],PerfRate[[#This Row],[JobSatisfaction]],PerfRate[[#This Row],[RelationshipSatisfaction]])</f>
        <v>3</v>
      </c>
      <c r="R2014" s="2">
        <f>PerfRate[[#This Row],[ManagerRating]] - PerfRate[[#This Row],[SelfRating]]</f>
        <v>0</v>
      </c>
    </row>
    <row r="2015" spans="1:18">
      <c r="A2015" s="2" t="s">
        <v>6322</v>
      </c>
      <c r="B2015" s="2" t="s">
        <v>1997</v>
      </c>
      <c r="C2015" s="1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  <c r="L2015" s="2" t="s">
        <v>11029</v>
      </c>
      <c r="M2015" s="2" t="s">
        <v>11028</v>
      </c>
      <c r="N2015" s="2" t="s">
        <v>11036</v>
      </c>
      <c r="O2015" s="2" t="s">
        <v>11034</v>
      </c>
      <c r="P2015" s="2" t="s">
        <v>11036</v>
      </c>
      <c r="Q2015" s="2">
        <f>AVERAGE(PerfRate[[#This Row],[EnvironmentSatisfaction]],PerfRate[[#This Row],[JobSatisfaction]],PerfRate[[#This Row],[RelationshipSatisfaction]])</f>
        <v>2.3333333333333335</v>
      </c>
      <c r="R2015" s="2">
        <f>PerfRate[[#This Row],[ManagerRating]] - PerfRate[[#This Row],[SelfRating]]</f>
        <v>-1</v>
      </c>
    </row>
    <row r="2016" spans="1:18">
      <c r="A2016" s="2" t="s">
        <v>6323</v>
      </c>
      <c r="B2016" s="2" t="s">
        <v>1006</v>
      </c>
      <c r="C2016" s="1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  <c r="L2016" s="2" t="s">
        <v>11031</v>
      </c>
      <c r="M2016" s="2" t="s">
        <v>11030</v>
      </c>
      <c r="N2016" s="2" t="s">
        <v>11035</v>
      </c>
      <c r="O2016" s="2" t="s">
        <v>11034</v>
      </c>
      <c r="P2016" s="2" t="s">
        <v>11034</v>
      </c>
      <c r="Q2016" s="2">
        <f>AVERAGE(PerfRate[[#This Row],[EnvironmentSatisfaction]],PerfRate[[#This Row],[JobSatisfaction]],PerfRate[[#This Row],[RelationshipSatisfaction]])</f>
        <v>1.3333333333333333</v>
      </c>
      <c r="R2016" s="2">
        <f>PerfRate[[#This Row],[ManagerRating]] - PerfRate[[#This Row],[SelfRating]]</f>
        <v>-1</v>
      </c>
    </row>
    <row r="2017" spans="1:18">
      <c r="A2017" s="2" t="s">
        <v>6324</v>
      </c>
      <c r="B2017" s="2" t="s">
        <v>523</v>
      </c>
      <c r="C2017" s="1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  <c r="L2017" s="2" t="s">
        <v>11031</v>
      </c>
      <c r="M2017" s="2" t="s">
        <v>11030</v>
      </c>
      <c r="N2017" s="2" t="s">
        <v>11037</v>
      </c>
      <c r="O2017" s="2" t="s">
        <v>11036</v>
      </c>
      <c r="P2017" s="2" t="s">
        <v>11037</v>
      </c>
      <c r="Q2017" s="2">
        <f>AVERAGE(PerfRate[[#This Row],[EnvironmentSatisfaction]],PerfRate[[#This Row],[JobSatisfaction]],PerfRate[[#This Row],[RelationshipSatisfaction]])</f>
        <v>3.6666666666666665</v>
      </c>
      <c r="R2017" s="2">
        <f>PerfRate[[#This Row],[ManagerRating]] - PerfRate[[#This Row],[SelfRating]]</f>
        <v>-1</v>
      </c>
    </row>
    <row r="2018" spans="1:18">
      <c r="A2018" s="2" t="s">
        <v>6325</v>
      </c>
      <c r="B2018" s="2" t="s">
        <v>220</v>
      </c>
      <c r="C2018" s="1">
        <v>43467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  <c r="L2018" s="2" t="s">
        <v>11031</v>
      </c>
      <c r="M2018" s="2" t="s">
        <v>11031</v>
      </c>
      <c r="N2018" s="2" t="s">
        <v>11037</v>
      </c>
      <c r="O2018" s="2" t="s">
        <v>11035</v>
      </c>
      <c r="P2018" s="2" t="s">
        <v>11037</v>
      </c>
      <c r="Q2018" s="2">
        <f>AVERAGE(PerfRate[[#This Row],[EnvironmentSatisfaction]],PerfRate[[#This Row],[JobSatisfaction]],PerfRate[[#This Row],[RelationshipSatisfaction]])</f>
        <v>3.3333333333333335</v>
      </c>
      <c r="R2018" s="2">
        <f>PerfRate[[#This Row],[ManagerRating]] - PerfRate[[#This Row],[SelfRating]]</f>
        <v>0</v>
      </c>
    </row>
    <row r="2019" spans="1:18">
      <c r="A2019" s="2" t="s">
        <v>6326</v>
      </c>
      <c r="B2019" s="2" t="s">
        <v>1356</v>
      </c>
      <c r="C2019" s="1">
        <v>43467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  <c r="L2019" s="2" t="s">
        <v>11030</v>
      </c>
      <c r="M2019" s="2" t="s">
        <v>11029</v>
      </c>
      <c r="N2019" s="2" t="s">
        <v>11037</v>
      </c>
      <c r="O2019" s="2" t="s">
        <v>11036</v>
      </c>
      <c r="P2019" s="2" t="s">
        <v>11037</v>
      </c>
      <c r="Q2019" s="2">
        <f>AVERAGE(PerfRate[[#This Row],[EnvironmentSatisfaction]],PerfRate[[#This Row],[JobSatisfaction]],PerfRate[[#This Row],[RelationshipSatisfaction]])</f>
        <v>3.6666666666666665</v>
      </c>
      <c r="R2019" s="2">
        <f>PerfRate[[#This Row],[ManagerRating]] - PerfRate[[#This Row],[SelfRating]]</f>
        <v>-1</v>
      </c>
    </row>
    <row r="2020" spans="1:18">
      <c r="A2020" s="2" t="s">
        <v>6327</v>
      </c>
      <c r="B2020" s="2" t="s">
        <v>714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  <c r="L2020" s="2" t="s">
        <v>11030</v>
      </c>
      <c r="M2020" s="2" t="s">
        <v>11030</v>
      </c>
      <c r="N2020" s="2" t="s">
        <v>11036</v>
      </c>
      <c r="O2020" s="2" t="s">
        <v>11038</v>
      </c>
      <c r="P2020" s="2" t="s">
        <v>11035</v>
      </c>
      <c r="Q2020" s="2">
        <f>AVERAGE(PerfRate[[#This Row],[EnvironmentSatisfaction]],PerfRate[[#This Row],[JobSatisfaction]],PerfRate[[#This Row],[RelationshipSatisfaction]])</f>
        <v>3.3333333333333335</v>
      </c>
      <c r="R2020" s="2">
        <f>PerfRate[[#This Row],[ManagerRating]] - PerfRate[[#This Row],[SelfRating]]</f>
        <v>0</v>
      </c>
    </row>
    <row r="2021" spans="1:18">
      <c r="A2021" s="2" t="s">
        <v>6328</v>
      </c>
      <c r="B2021" s="2" t="s">
        <v>779</v>
      </c>
      <c r="C2021" s="1">
        <v>41916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  <c r="L2021" s="2" t="s">
        <v>11030</v>
      </c>
      <c r="M2021" s="2" t="s">
        <v>11029</v>
      </c>
      <c r="N2021" s="2" t="s">
        <v>11036</v>
      </c>
      <c r="O2021" s="2" t="s">
        <v>11037</v>
      </c>
      <c r="P2021" s="2" t="s">
        <v>11038</v>
      </c>
      <c r="Q2021" s="2">
        <f>AVERAGE(PerfRate[[#This Row],[EnvironmentSatisfaction]],PerfRate[[#This Row],[JobSatisfaction]],PerfRate[[#This Row],[RelationshipSatisfaction]])</f>
        <v>4</v>
      </c>
      <c r="R2021" s="2">
        <f>PerfRate[[#This Row],[ManagerRating]] - PerfRate[[#This Row],[SelfRating]]</f>
        <v>-1</v>
      </c>
    </row>
    <row r="2022" spans="1:18">
      <c r="A2022" s="2" t="s">
        <v>6329</v>
      </c>
      <c r="B2022" s="2" t="s">
        <v>122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  <c r="L2022" s="2" t="s">
        <v>11030</v>
      </c>
      <c r="M2022" s="2" t="s">
        <v>11029</v>
      </c>
      <c r="N2022" s="2" t="s">
        <v>11036</v>
      </c>
      <c r="O2022" s="2" t="s">
        <v>11038</v>
      </c>
      <c r="P2022" s="2" t="s">
        <v>11038</v>
      </c>
      <c r="Q2022" s="2">
        <f>AVERAGE(PerfRate[[#This Row],[EnvironmentSatisfaction]],PerfRate[[#This Row],[JobSatisfaction]],PerfRate[[#This Row],[RelationshipSatisfaction]])</f>
        <v>4.333333333333333</v>
      </c>
      <c r="R2022" s="2">
        <f>PerfRate[[#This Row],[ManagerRating]] - PerfRate[[#This Row],[SelfRating]]</f>
        <v>-1</v>
      </c>
    </row>
    <row r="2023" spans="1:18">
      <c r="A2023" s="2" t="s">
        <v>6330</v>
      </c>
      <c r="B2023" s="2" t="s">
        <v>726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  <c r="L2023" s="2" t="s">
        <v>11031</v>
      </c>
      <c r="M2023" s="2" t="s">
        <v>11031</v>
      </c>
      <c r="N2023" s="2" t="s">
        <v>11036</v>
      </c>
      <c r="O2023" s="2" t="s">
        <v>11038</v>
      </c>
      <c r="P2023" s="2" t="s">
        <v>11036</v>
      </c>
      <c r="Q2023" s="2">
        <f>AVERAGE(PerfRate[[#This Row],[EnvironmentSatisfaction]],PerfRate[[#This Row],[JobSatisfaction]],PerfRate[[#This Row],[RelationshipSatisfaction]])</f>
        <v>3.6666666666666665</v>
      </c>
      <c r="R2023" s="2">
        <f>PerfRate[[#This Row],[ManagerRating]] - PerfRate[[#This Row],[SelfRating]]</f>
        <v>0</v>
      </c>
    </row>
    <row r="2024" spans="1:18">
      <c r="A2024" s="2" t="s">
        <v>6331</v>
      </c>
      <c r="B2024" s="2" t="s">
        <v>1163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  <c r="L2024" s="2" t="s">
        <v>11030</v>
      </c>
      <c r="M2024" s="2" t="s">
        <v>11029</v>
      </c>
      <c r="N2024" s="2" t="s">
        <v>11038</v>
      </c>
      <c r="O2024" s="2" t="s">
        <v>11038</v>
      </c>
      <c r="P2024" s="2" t="s">
        <v>11037</v>
      </c>
      <c r="Q2024" s="2">
        <f>AVERAGE(PerfRate[[#This Row],[EnvironmentSatisfaction]],PerfRate[[#This Row],[JobSatisfaction]],PerfRate[[#This Row],[RelationshipSatisfaction]])</f>
        <v>4.666666666666667</v>
      </c>
      <c r="R2024" s="2">
        <f>PerfRate[[#This Row],[ManagerRating]] - PerfRate[[#This Row],[SelfRating]]</f>
        <v>-1</v>
      </c>
    </row>
    <row r="2025" spans="1:18">
      <c r="A2025" s="2" t="s">
        <v>6332</v>
      </c>
      <c r="B2025" s="2" t="s">
        <v>1048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  <c r="L2025" s="2" t="s">
        <v>11031</v>
      </c>
      <c r="M2025" s="2" t="s">
        <v>11031</v>
      </c>
      <c r="N2025" s="2" t="s">
        <v>11037</v>
      </c>
      <c r="O2025" s="2" t="s">
        <v>11038</v>
      </c>
      <c r="P2025" s="2" t="s">
        <v>11037</v>
      </c>
      <c r="Q2025" s="2">
        <f>AVERAGE(PerfRate[[#This Row],[EnvironmentSatisfaction]],PerfRate[[#This Row],[JobSatisfaction]],PerfRate[[#This Row],[RelationshipSatisfaction]])</f>
        <v>4.333333333333333</v>
      </c>
      <c r="R2025" s="2">
        <f>PerfRate[[#This Row],[ManagerRating]] - PerfRate[[#This Row],[SelfRating]]</f>
        <v>0</v>
      </c>
    </row>
    <row r="2026" spans="1:18">
      <c r="A2026" s="2" t="s">
        <v>6333</v>
      </c>
      <c r="B2026" s="2" t="s">
        <v>1538</v>
      </c>
      <c r="C2026" s="1">
        <v>43526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  <c r="L2026" s="2" t="s">
        <v>11031</v>
      </c>
      <c r="M2026" s="2" t="s">
        <v>11031</v>
      </c>
      <c r="N2026" s="2" t="s">
        <v>11036</v>
      </c>
      <c r="O2026" s="2" t="s">
        <v>11035</v>
      </c>
      <c r="P2026" s="2" t="s">
        <v>11037</v>
      </c>
      <c r="Q2026" s="2">
        <f>AVERAGE(PerfRate[[#This Row],[EnvironmentSatisfaction]],PerfRate[[#This Row],[JobSatisfaction]],PerfRate[[#This Row],[RelationshipSatisfaction]])</f>
        <v>3</v>
      </c>
      <c r="R2026" s="2">
        <f>PerfRate[[#This Row],[ManagerRating]] - PerfRate[[#This Row],[SelfRating]]</f>
        <v>0</v>
      </c>
    </row>
    <row r="2027" spans="1:18">
      <c r="A2027" s="2" t="s">
        <v>6334</v>
      </c>
      <c r="B2027" s="2" t="s">
        <v>244</v>
      </c>
      <c r="C2027" s="1">
        <v>43526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  <c r="L2027" s="2" t="s">
        <v>11029</v>
      </c>
      <c r="M2027" s="2" t="s">
        <v>11028</v>
      </c>
      <c r="N2027" s="2" t="s">
        <v>11038</v>
      </c>
      <c r="O2027" s="2" t="s">
        <v>11038</v>
      </c>
      <c r="P2027" s="2" t="s">
        <v>11038</v>
      </c>
      <c r="Q2027" s="2">
        <f>AVERAGE(PerfRate[[#This Row],[EnvironmentSatisfaction]],PerfRate[[#This Row],[JobSatisfaction]],PerfRate[[#This Row],[RelationshipSatisfaction]])</f>
        <v>5</v>
      </c>
      <c r="R2027" s="2">
        <f>PerfRate[[#This Row],[ManagerRating]] - PerfRate[[#This Row],[SelfRating]]</f>
        <v>-1</v>
      </c>
    </row>
    <row r="2028" spans="1:18">
      <c r="A2028" s="2" t="s">
        <v>6335</v>
      </c>
      <c r="B2028" s="2" t="s">
        <v>496</v>
      </c>
      <c r="C2028" s="1">
        <v>43557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  <c r="L2028" s="2" t="s">
        <v>11030</v>
      </c>
      <c r="M2028" s="2" t="s">
        <v>11029</v>
      </c>
      <c r="N2028" s="2" t="s">
        <v>11036</v>
      </c>
      <c r="O2028" s="2" t="s">
        <v>11037</v>
      </c>
      <c r="P2028" s="2" t="s">
        <v>11036</v>
      </c>
      <c r="Q2028" s="2">
        <f>AVERAGE(PerfRate[[#This Row],[EnvironmentSatisfaction]],PerfRate[[#This Row],[JobSatisfaction]],PerfRate[[#This Row],[RelationshipSatisfaction]])</f>
        <v>3.3333333333333335</v>
      </c>
      <c r="R2028" s="2">
        <f>PerfRate[[#This Row],[ManagerRating]] - PerfRate[[#This Row],[SelfRating]]</f>
        <v>-1</v>
      </c>
    </row>
    <row r="2029" spans="1:18">
      <c r="A2029" s="2" t="s">
        <v>6336</v>
      </c>
      <c r="B2029" s="2" t="s">
        <v>676</v>
      </c>
      <c r="C2029" s="1">
        <v>43557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  <c r="L2029" s="2" t="s">
        <v>11030</v>
      </c>
      <c r="M2029" s="2" t="s">
        <v>11030</v>
      </c>
      <c r="N2029" s="2" t="s">
        <v>11036</v>
      </c>
      <c r="O2029" s="2" t="s">
        <v>11036</v>
      </c>
      <c r="P2029" s="2" t="s">
        <v>11037</v>
      </c>
      <c r="Q2029" s="2">
        <f>AVERAGE(PerfRate[[#This Row],[EnvironmentSatisfaction]],PerfRate[[#This Row],[JobSatisfaction]],PerfRate[[#This Row],[RelationshipSatisfaction]])</f>
        <v>3.3333333333333335</v>
      </c>
      <c r="R2029" s="2">
        <f>PerfRate[[#This Row],[ManagerRating]] - PerfRate[[#This Row],[SelfRating]]</f>
        <v>0</v>
      </c>
    </row>
    <row r="2030" spans="1:18">
      <c r="A2030" s="2" t="s">
        <v>6337</v>
      </c>
      <c r="B2030" s="2" t="s">
        <v>3818</v>
      </c>
      <c r="C2030" s="1">
        <v>43557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  <c r="L2030" s="2" t="s">
        <v>11030</v>
      </c>
      <c r="M2030" s="2" t="s">
        <v>11030</v>
      </c>
      <c r="N2030" s="2" t="s">
        <v>11037</v>
      </c>
      <c r="O2030" s="2" t="s">
        <v>11038</v>
      </c>
      <c r="P2030" s="2" t="s">
        <v>11035</v>
      </c>
      <c r="Q2030" s="2">
        <f>AVERAGE(PerfRate[[#This Row],[EnvironmentSatisfaction]],PerfRate[[#This Row],[JobSatisfaction]],PerfRate[[#This Row],[RelationshipSatisfaction]])</f>
        <v>3.6666666666666665</v>
      </c>
      <c r="R2030" s="2">
        <f>PerfRate[[#This Row],[ManagerRating]] - PerfRate[[#This Row],[SelfRating]]</f>
        <v>0</v>
      </c>
    </row>
    <row r="2031" spans="1:18">
      <c r="A2031" s="2" t="s">
        <v>6338</v>
      </c>
      <c r="B2031" s="2" t="s">
        <v>3105</v>
      </c>
      <c r="C2031" s="1">
        <v>43557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  <c r="L2031" s="2" t="s">
        <v>11031</v>
      </c>
      <c r="M2031" s="2" t="s">
        <v>11030</v>
      </c>
      <c r="N2031" s="2" t="s">
        <v>11038</v>
      </c>
      <c r="O2031" s="2" t="s">
        <v>11037</v>
      </c>
      <c r="P2031" s="2" t="s">
        <v>11036</v>
      </c>
      <c r="Q2031" s="2">
        <f>AVERAGE(PerfRate[[#This Row],[EnvironmentSatisfaction]],PerfRate[[#This Row],[JobSatisfaction]],PerfRate[[#This Row],[RelationshipSatisfaction]])</f>
        <v>4</v>
      </c>
      <c r="R2031" s="2">
        <f>PerfRate[[#This Row],[ManagerRating]] - PerfRate[[#This Row],[SelfRating]]</f>
        <v>-1</v>
      </c>
    </row>
    <row r="2032" spans="1:18">
      <c r="A2032" s="2" t="s">
        <v>6339</v>
      </c>
      <c r="B2032" s="2" t="s">
        <v>3986</v>
      </c>
      <c r="C2032" s="1">
        <v>41916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  <c r="L2032" s="2" t="s">
        <v>11031</v>
      </c>
      <c r="M2032" s="2" t="s">
        <v>11031</v>
      </c>
      <c r="N2032" s="2" t="s">
        <v>11038</v>
      </c>
      <c r="O2032" s="2" t="s">
        <v>11036</v>
      </c>
      <c r="P2032" s="2" t="s">
        <v>11037</v>
      </c>
      <c r="Q2032" s="2">
        <f>AVERAGE(PerfRate[[#This Row],[EnvironmentSatisfaction]],PerfRate[[#This Row],[JobSatisfaction]],PerfRate[[#This Row],[RelationshipSatisfaction]])</f>
        <v>4</v>
      </c>
      <c r="R2032" s="2">
        <f>PerfRate[[#This Row],[ManagerRating]] - PerfRate[[#This Row],[SelfRating]]</f>
        <v>0</v>
      </c>
    </row>
    <row r="2033" spans="1:18">
      <c r="A2033" s="2" t="s">
        <v>6340</v>
      </c>
      <c r="B2033" s="2" t="s">
        <v>1224</v>
      </c>
      <c r="C2033" s="1">
        <v>43557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  <c r="L2033" s="2" t="s">
        <v>11030</v>
      </c>
      <c r="M2033" s="2" t="s">
        <v>11029</v>
      </c>
      <c r="N2033" s="2" t="s">
        <v>11038</v>
      </c>
      <c r="O2033" s="2" t="s">
        <v>11037</v>
      </c>
      <c r="P2033" s="2" t="s">
        <v>11037</v>
      </c>
      <c r="Q2033" s="2">
        <f>AVERAGE(PerfRate[[#This Row],[EnvironmentSatisfaction]],PerfRate[[#This Row],[JobSatisfaction]],PerfRate[[#This Row],[RelationshipSatisfaction]])</f>
        <v>4.333333333333333</v>
      </c>
      <c r="R2033" s="2">
        <f>PerfRate[[#This Row],[ManagerRating]] - PerfRate[[#This Row],[SelfRating]]</f>
        <v>-1</v>
      </c>
    </row>
    <row r="2034" spans="1:18">
      <c r="A2034" s="2" t="s">
        <v>6341</v>
      </c>
      <c r="B2034" s="2" t="s">
        <v>1508</v>
      </c>
      <c r="C2034" s="1">
        <v>43557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  <c r="L2034" s="2" t="s">
        <v>11030</v>
      </c>
      <c r="M2034" s="2" t="s">
        <v>11030</v>
      </c>
      <c r="N2034" s="2" t="s">
        <v>11037</v>
      </c>
      <c r="O2034" s="2" t="s">
        <v>11036</v>
      </c>
      <c r="P2034" s="2" t="s">
        <v>11037</v>
      </c>
      <c r="Q2034" s="2">
        <f>AVERAGE(PerfRate[[#This Row],[EnvironmentSatisfaction]],PerfRate[[#This Row],[JobSatisfaction]],PerfRate[[#This Row],[RelationshipSatisfaction]])</f>
        <v>3.6666666666666665</v>
      </c>
      <c r="R2034" s="2">
        <f>PerfRate[[#This Row],[ManagerRating]] - PerfRate[[#This Row],[SelfRating]]</f>
        <v>0</v>
      </c>
    </row>
    <row r="2035" spans="1:18">
      <c r="A2035" s="2" t="s">
        <v>6342</v>
      </c>
      <c r="B2035" s="2" t="s">
        <v>2030</v>
      </c>
      <c r="C2035" s="1">
        <v>43557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  <c r="L2035" s="2" t="s">
        <v>11030</v>
      </c>
      <c r="M2035" s="2" t="s">
        <v>11030</v>
      </c>
      <c r="N2035" s="2" t="s">
        <v>11036</v>
      </c>
      <c r="O2035" s="2" t="s">
        <v>11035</v>
      </c>
      <c r="P2035" s="2" t="s">
        <v>11038</v>
      </c>
      <c r="Q2035" s="2">
        <f>AVERAGE(PerfRate[[#This Row],[EnvironmentSatisfaction]],PerfRate[[#This Row],[JobSatisfaction]],PerfRate[[#This Row],[RelationshipSatisfaction]])</f>
        <v>3.3333333333333335</v>
      </c>
      <c r="R2035" s="2">
        <f>PerfRate[[#This Row],[ManagerRating]] - PerfRate[[#This Row],[SelfRating]]</f>
        <v>0</v>
      </c>
    </row>
    <row r="2036" spans="1:18">
      <c r="A2036" s="2" t="s">
        <v>6343</v>
      </c>
      <c r="B2036" s="2" t="s">
        <v>226</v>
      </c>
      <c r="C2036" s="1">
        <v>43587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  <c r="L2036" s="2" t="s">
        <v>11030</v>
      </c>
      <c r="M2036" s="2" t="s">
        <v>11030</v>
      </c>
      <c r="N2036" s="2" t="s">
        <v>11037</v>
      </c>
      <c r="O2036" s="2" t="s">
        <v>11035</v>
      </c>
      <c r="P2036" s="2" t="s">
        <v>11035</v>
      </c>
      <c r="Q2036" s="2">
        <f>AVERAGE(PerfRate[[#This Row],[EnvironmentSatisfaction]],PerfRate[[#This Row],[JobSatisfaction]],PerfRate[[#This Row],[RelationshipSatisfaction]])</f>
        <v>2.6666666666666665</v>
      </c>
      <c r="R2036" s="2">
        <f>PerfRate[[#This Row],[ManagerRating]] - PerfRate[[#This Row],[SelfRating]]</f>
        <v>0</v>
      </c>
    </row>
    <row r="2037" spans="1:18">
      <c r="A2037" s="2" t="s">
        <v>6344</v>
      </c>
      <c r="B2037" s="2" t="s">
        <v>81</v>
      </c>
      <c r="C2037" s="1">
        <v>43587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  <c r="L2037" s="2" t="s">
        <v>11029</v>
      </c>
      <c r="M2037" s="2" t="s">
        <v>11028</v>
      </c>
      <c r="N2037" s="2" t="s">
        <v>11036</v>
      </c>
      <c r="O2037" s="2" t="s">
        <v>11038</v>
      </c>
      <c r="P2037" s="2" t="s">
        <v>11037</v>
      </c>
      <c r="Q2037" s="2">
        <f>AVERAGE(PerfRate[[#This Row],[EnvironmentSatisfaction]],PerfRate[[#This Row],[JobSatisfaction]],PerfRate[[#This Row],[RelationshipSatisfaction]])</f>
        <v>4</v>
      </c>
      <c r="R2037" s="2">
        <f>PerfRate[[#This Row],[ManagerRating]] - PerfRate[[#This Row],[SelfRating]]</f>
        <v>-1</v>
      </c>
    </row>
    <row r="2038" spans="1:18">
      <c r="A2038" s="2" t="s">
        <v>6345</v>
      </c>
      <c r="B2038" s="2" t="s">
        <v>335</v>
      </c>
      <c r="C2038" s="1">
        <v>43587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  <c r="L2038" s="2" t="s">
        <v>11031</v>
      </c>
      <c r="M2038" s="2" t="s">
        <v>11031</v>
      </c>
      <c r="N2038" s="2" t="s">
        <v>11036</v>
      </c>
      <c r="O2038" s="2" t="s">
        <v>11038</v>
      </c>
      <c r="P2038" s="2" t="s">
        <v>11036</v>
      </c>
      <c r="Q2038" s="2">
        <f>AVERAGE(PerfRate[[#This Row],[EnvironmentSatisfaction]],PerfRate[[#This Row],[JobSatisfaction]],PerfRate[[#This Row],[RelationshipSatisfaction]])</f>
        <v>3.6666666666666665</v>
      </c>
      <c r="R2038" s="2">
        <f>PerfRate[[#This Row],[ManagerRating]] - PerfRate[[#This Row],[SelfRating]]</f>
        <v>0</v>
      </c>
    </row>
    <row r="2039" spans="1:18">
      <c r="A2039" s="2" t="s">
        <v>6346</v>
      </c>
      <c r="B2039" s="2" t="s">
        <v>1544</v>
      </c>
      <c r="C2039" s="1">
        <v>43618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  <c r="L2039" s="2" t="s">
        <v>11029</v>
      </c>
      <c r="M2039" s="2" t="s">
        <v>11029</v>
      </c>
      <c r="N2039" s="2" t="s">
        <v>11037</v>
      </c>
      <c r="O2039" s="2" t="s">
        <v>11036</v>
      </c>
      <c r="P2039" s="2" t="s">
        <v>11036</v>
      </c>
      <c r="Q2039" s="2">
        <f>AVERAGE(PerfRate[[#This Row],[EnvironmentSatisfaction]],PerfRate[[#This Row],[JobSatisfaction]],PerfRate[[#This Row],[RelationshipSatisfaction]])</f>
        <v>3.3333333333333335</v>
      </c>
      <c r="R2039" s="2">
        <f>PerfRate[[#This Row],[ManagerRating]] - PerfRate[[#This Row],[SelfRating]]</f>
        <v>0</v>
      </c>
    </row>
    <row r="2040" spans="1:18">
      <c r="A2040" s="2" t="s">
        <v>6347</v>
      </c>
      <c r="B2040" s="2" t="s">
        <v>3063</v>
      </c>
      <c r="C2040" s="1">
        <v>43618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  <c r="L2040" s="2" t="s">
        <v>11029</v>
      </c>
      <c r="M2040" s="2" t="s">
        <v>11028</v>
      </c>
      <c r="N2040" s="2" t="s">
        <v>11038</v>
      </c>
      <c r="O2040" s="2" t="s">
        <v>11038</v>
      </c>
      <c r="P2040" s="2" t="s">
        <v>11038</v>
      </c>
      <c r="Q2040" s="2">
        <f>AVERAGE(PerfRate[[#This Row],[EnvironmentSatisfaction]],PerfRate[[#This Row],[JobSatisfaction]],PerfRate[[#This Row],[RelationshipSatisfaction]])</f>
        <v>5</v>
      </c>
      <c r="R2040" s="2">
        <f>PerfRate[[#This Row],[ManagerRating]] - PerfRate[[#This Row],[SelfRating]]</f>
        <v>-1</v>
      </c>
    </row>
    <row r="2041" spans="1:18">
      <c r="A2041" s="2" t="s">
        <v>6348</v>
      </c>
      <c r="B2041" s="2" t="s">
        <v>253</v>
      </c>
      <c r="C2041" s="1">
        <v>43679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  <c r="L2041" s="2" t="s">
        <v>11030</v>
      </c>
      <c r="M2041" s="2" t="s">
        <v>11030</v>
      </c>
      <c r="N2041" s="2" t="s">
        <v>11036</v>
      </c>
      <c r="O2041" s="2" t="s">
        <v>11035</v>
      </c>
      <c r="P2041" s="2" t="s">
        <v>11038</v>
      </c>
      <c r="Q2041" s="2">
        <f>AVERAGE(PerfRate[[#This Row],[EnvironmentSatisfaction]],PerfRate[[#This Row],[JobSatisfaction]],PerfRate[[#This Row],[RelationshipSatisfaction]])</f>
        <v>3.3333333333333335</v>
      </c>
      <c r="R2041" s="2">
        <f>PerfRate[[#This Row],[ManagerRating]] - PerfRate[[#This Row],[SelfRating]]</f>
        <v>0</v>
      </c>
    </row>
    <row r="2042" spans="1:18">
      <c r="A2042" s="2" t="s">
        <v>6349</v>
      </c>
      <c r="B2042" s="2" t="s">
        <v>198</v>
      </c>
      <c r="C2042" s="1">
        <v>43679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  <c r="L2042" s="2" t="s">
        <v>11031</v>
      </c>
      <c r="M2042" s="2" t="s">
        <v>11030</v>
      </c>
      <c r="N2042" s="2" t="s">
        <v>11038</v>
      </c>
      <c r="O2042" s="2" t="s">
        <v>11038</v>
      </c>
      <c r="P2042" s="2" t="s">
        <v>11036</v>
      </c>
      <c r="Q2042" s="2">
        <f>AVERAGE(PerfRate[[#This Row],[EnvironmentSatisfaction]],PerfRate[[#This Row],[JobSatisfaction]],PerfRate[[#This Row],[RelationshipSatisfaction]])</f>
        <v>4.333333333333333</v>
      </c>
      <c r="R2042" s="2">
        <f>PerfRate[[#This Row],[ManagerRating]] - PerfRate[[#This Row],[SelfRating]]</f>
        <v>-1</v>
      </c>
    </row>
    <row r="2043" spans="1:18">
      <c r="A2043" s="2" t="s">
        <v>6350</v>
      </c>
      <c r="B2043" s="2" t="s">
        <v>1338</v>
      </c>
      <c r="C2043" s="1">
        <v>41947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  <c r="L2043" s="2" t="s">
        <v>11031</v>
      </c>
      <c r="M2043" s="2" t="s">
        <v>11030</v>
      </c>
      <c r="N2043" s="2" t="s">
        <v>11036</v>
      </c>
      <c r="O2043" s="2" t="s">
        <v>11035</v>
      </c>
      <c r="P2043" s="2" t="s">
        <v>11037</v>
      </c>
      <c r="Q2043" s="2">
        <f>AVERAGE(PerfRate[[#This Row],[EnvironmentSatisfaction]],PerfRate[[#This Row],[JobSatisfaction]],PerfRate[[#This Row],[RelationshipSatisfaction]])</f>
        <v>3</v>
      </c>
      <c r="R2043" s="2">
        <f>PerfRate[[#This Row],[ManagerRating]] - PerfRate[[#This Row],[SelfRating]]</f>
        <v>-1</v>
      </c>
    </row>
    <row r="2044" spans="1:18">
      <c r="A2044" s="2" t="s">
        <v>6351</v>
      </c>
      <c r="B2044" s="2" t="s">
        <v>1246</v>
      </c>
      <c r="C2044" s="1">
        <v>43679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  <c r="L2044" s="2" t="s">
        <v>11031</v>
      </c>
      <c r="M2044" s="2" t="s">
        <v>11031</v>
      </c>
      <c r="N2044" s="2" t="s">
        <v>11037</v>
      </c>
      <c r="O2044" s="2" t="s">
        <v>11035</v>
      </c>
      <c r="P2044" s="2" t="s">
        <v>11038</v>
      </c>
      <c r="Q2044" s="2">
        <f>AVERAGE(PerfRate[[#This Row],[EnvironmentSatisfaction]],PerfRate[[#This Row],[JobSatisfaction]],PerfRate[[#This Row],[RelationshipSatisfaction]])</f>
        <v>3.6666666666666665</v>
      </c>
      <c r="R2044" s="2">
        <f>PerfRate[[#This Row],[ManagerRating]] - PerfRate[[#This Row],[SelfRating]]</f>
        <v>0</v>
      </c>
    </row>
    <row r="2045" spans="1:18">
      <c r="A2045" s="2" t="s">
        <v>6352</v>
      </c>
      <c r="B2045" s="2" t="s">
        <v>1596</v>
      </c>
      <c r="C2045" s="1">
        <v>43679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  <c r="L2045" s="2" t="s">
        <v>11030</v>
      </c>
      <c r="M2045" s="2" t="s">
        <v>11029</v>
      </c>
      <c r="N2045" s="2" t="s">
        <v>11037</v>
      </c>
      <c r="O2045" s="2" t="s">
        <v>11038</v>
      </c>
      <c r="P2045" s="2" t="s">
        <v>11036</v>
      </c>
      <c r="Q2045" s="2">
        <f>AVERAGE(PerfRate[[#This Row],[EnvironmentSatisfaction]],PerfRate[[#This Row],[JobSatisfaction]],PerfRate[[#This Row],[RelationshipSatisfaction]])</f>
        <v>4</v>
      </c>
      <c r="R2045" s="2">
        <f>PerfRate[[#This Row],[ManagerRating]] - PerfRate[[#This Row],[SelfRating]]</f>
        <v>-1</v>
      </c>
    </row>
    <row r="2046" spans="1:18">
      <c r="A2046" s="2" t="s">
        <v>6353</v>
      </c>
      <c r="B2046" s="2" t="s">
        <v>256</v>
      </c>
      <c r="C2046" s="1">
        <v>43710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  <c r="L2046" s="2" t="s">
        <v>11029</v>
      </c>
      <c r="M2046" s="2" t="s">
        <v>11028</v>
      </c>
      <c r="N2046" s="2" t="s">
        <v>11037</v>
      </c>
      <c r="O2046" s="2" t="s">
        <v>11035</v>
      </c>
      <c r="P2046" s="2" t="s">
        <v>11036</v>
      </c>
      <c r="Q2046" s="2">
        <f>AVERAGE(PerfRate[[#This Row],[EnvironmentSatisfaction]],PerfRate[[#This Row],[JobSatisfaction]],PerfRate[[#This Row],[RelationshipSatisfaction]])</f>
        <v>3</v>
      </c>
      <c r="R2046" s="2">
        <f>PerfRate[[#This Row],[ManagerRating]] - PerfRate[[#This Row],[SelfRating]]</f>
        <v>-1</v>
      </c>
    </row>
    <row r="2047" spans="1:18">
      <c r="A2047" s="2" t="s">
        <v>6354</v>
      </c>
      <c r="B2047" s="2" t="s">
        <v>2109</v>
      </c>
      <c r="C2047" s="1">
        <v>43740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  <c r="L2047" s="2" t="s">
        <v>11030</v>
      </c>
      <c r="M2047" s="2" t="s">
        <v>11030</v>
      </c>
      <c r="N2047" s="2" t="s">
        <v>11037</v>
      </c>
      <c r="O2047" s="2" t="s">
        <v>11037</v>
      </c>
      <c r="P2047" s="2" t="s">
        <v>11035</v>
      </c>
      <c r="Q2047" s="2">
        <f>AVERAGE(PerfRate[[#This Row],[EnvironmentSatisfaction]],PerfRate[[#This Row],[JobSatisfaction]],PerfRate[[#This Row],[RelationshipSatisfaction]])</f>
        <v>3.3333333333333335</v>
      </c>
      <c r="R2047" s="2">
        <f>PerfRate[[#This Row],[ManagerRating]] - PerfRate[[#This Row],[SelfRating]]</f>
        <v>0</v>
      </c>
    </row>
    <row r="2048" spans="1:18">
      <c r="A2048" s="2" t="s">
        <v>6355</v>
      </c>
      <c r="B2048" s="2" t="s">
        <v>1981</v>
      </c>
      <c r="C2048" s="1">
        <v>43740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  <c r="L2048" s="2" t="s">
        <v>11029</v>
      </c>
      <c r="M2048" s="2" t="s">
        <v>11029</v>
      </c>
      <c r="N2048" s="2" t="s">
        <v>11036</v>
      </c>
      <c r="O2048" s="2" t="s">
        <v>11036</v>
      </c>
      <c r="P2048" s="2" t="s">
        <v>11036</v>
      </c>
      <c r="Q2048" s="2">
        <f>AVERAGE(PerfRate[[#This Row],[EnvironmentSatisfaction]],PerfRate[[#This Row],[JobSatisfaction]],PerfRate[[#This Row],[RelationshipSatisfaction]])</f>
        <v>3</v>
      </c>
      <c r="R2048" s="2">
        <f>PerfRate[[#This Row],[ManagerRating]] - PerfRate[[#This Row],[SelfRating]]</f>
        <v>0</v>
      </c>
    </row>
    <row r="2049" spans="1:18">
      <c r="A2049" s="2" t="s">
        <v>6356</v>
      </c>
      <c r="B2049" s="2" t="s">
        <v>658</v>
      </c>
      <c r="C2049" s="1">
        <v>43740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  <c r="L2049" s="2" t="s">
        <v>11030</v>
      </c>
      <c r="M2049" s="2" t="s">
        <v>11030</v>
      </c>
      <c r="N2049" s="2" t="s">
        <v>11038</v>
      </c>
      <c r="O2049" s="2" t="s">
        <v>11035</v>
      </c>
      <c r="P2049" s="2" t="s">
        <v>11035</v>
      </c>
      <c r="Q2049" s="2">
        <f>AVERAGE(PerfRate[[#This Row],[EnvironmentSatisfaction]],PerfRate[[#This Row],[JobSatisfaction]],PerfRate[[#This Row],[RelationshipSatisfaction]])</f>
        <v>3</v>
      </c>
      <c r="R2049" s="2">
        <f>PerfRate[[#This Row],[ManagerRating]] - PerfRate[[#This Row],[SelfRating]]</f>
        <v>0</v>
      </c>
    </row>
    <row r="2050" spans="1:18">
      <c r="A2050" s="2" t="s">
        <v>6357</v>
      </c>
      <c r="B2050" s="2" t="s">
        <v>4104</v>
      </c>
      <c r="C2050" s="1">
        <v>43771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  <c r="L2050" s="2" t="s">
        <v>11031</v>
      </c>
      <c r="M2050" s="2" t="s">
        <v>11031</v>
      </c>
      <c r="N2050" s="2" t="s">
        <v>11037</v>
      </c>
      <c r="O2050" s="2" t="s">
        <v>11037</v>
      </c>
      <c r="P2050" s="2" t="s">
        <v>11037</v>
      </c>
      <c r="Q2050" s="2">
        <f>AVERAGE(PerfRate[[#This Row],[EnvironmentSatisfaction]],PerfRate[[#This Row],[JobSatisfaction]],PerfRate[[#This Row],[RelationshipSatisfaction]])</f>
        <v>4</v>
      </c>
      <c r="R2050" s="2">
        <f>PerfRate[[#This Row],[ManagerRating]] - PerfRate[[#This Row],[SelfRating]]</f>
        <v>0</v>
      </c>
    </row>
    <row r="2051" spans="1:18">
      <c r="A2051" s="2" t="s">
        <v>6358</v>
      </c>
      <c r="B2051" s="2" t="s">
        <v>607</v>
      </c>
      <c r="C2051" s="1">
        <v>43771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  <c r="L2051" s="2" t="s">
        <v>11029</v>
      </c>
      <c r="M2051" s="2" t="s">
        <v>11028</v>
      </c>
      <c r="N2051" s="2" t="s">
        <v>11037</v>
      </c>
      <c r="O2051" s="2" t="s">
        <v>11038</v>
      </c>
      <c r="P2051" s="2" t="s">
        <v>11036</v>
      </c>
      <c r="Q2051" s="2">
        <f>AVERAGE(PerfRate[[#This Row],[EnvironmentSatisfaction]],PerfRate[[#This Row],[JobSatisfaction]],PerfRate[[#This Row],[RelationshipSatisfaction]])</f>
        <v>4</v>
      </c>
      <c r="R2051" s="2">
        <f>PerfRate[[#This Row],[ManagerRating]] - PerfRate[[#This Row],[SelfRating]]</f>
        <v>-1</v>
      </c>
    </row>
    <row r="2052" spans="1:18">
      <c r="A2052" s="2" t="s">
        <v>6359</v>
      </c>
      <c r="B2052" s="2" t="s">
        <v>750</v>
      </c>
      <c r="C2052" s="1">
        <v>43801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  <c r="L2052" s="2" t="s">
        <v>11030</v>
      </c>
      <c r="M2052" s="2" t="s">
        <v>11030</v>
      </c>
      <c r="N2052" s="2" t="s">
        <v>11036</v>
      </c>
      <c r="O2052" s="2" t="s">
        <v>11038</v>
      </c>
      <c r="P2052" s="2" t="s">
        <v>11037</v>
      </c>
      <c r="Q2052" s="2">
        <f>AVERAGE(PerfRate[[#This Row],[EnvironmentSatisfaction]],PerfRate[[#This Row],[JobSatisfaction]],PerfRate[[#This Row],[RelationshipSatisfaction]])</f>
        <v>4</v>
      </c>
      <c r="R2052" s="2">
        <f>PerfRate[[#This Row],[ManagerRating]] - PerfRate[[#This Row],[SelfRating]]</f>
        <v>0</v>
      </c>
    </row>
    <row r="2053" spans="1:18">
      <c r="A2053" s="2" t="s">
        <v>6360</v>
      </c>
      <c r="B2053" s="2" t="s">
        <v>1698</v>
      </c>
      <c r="C2053" s="1">
        <v>43801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  <c r="L2053" s="2" t="s">
        <v>11030</v>
      </c>
      <c r="M2053" s="2" t="s">
        <v>11030</v>
      </c>
      <c r="N2053" s="2" t="s">
        <v>11036</v>
      </c>
      <c r="O2053" s="2" t="s">
        <v>11038</v>
      </c>
      <c r="P2053" s="2" t="s">
        <v>11038</v>
      </c>
      <c r="Q2053" s="2">
        <f>AVERAGE(PerfRate[[#This Row],[EnvironmentSatisfaction]],PerfRate[[#This Row],[JobSatisfaction]],PerfRate[[#This Row],[RelationshipSatisfaction]])</f>
        <v>4.333333333333333</v>
      </c>
      <c r="R2053" s="2">
        <f>PerfRate[[#This Row],[ManagerRating]] - PerfRate[[#This Row],[SelfRating]]</f>
        <v>0</v>
      </c>
    </row>
    <row r="2054" spans="1:18">
      <c r="A2054" s="2" t="s">
        <v>6361</v>
      </c>
      <c r="B2054" s="2" t="s">
        <v>395</v>
      </c>
      <c r="C2054" s="1">
        <v>41977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  <c r="L2054" s="2" t="s">
        <v>11031</v>
      </c>
      <c r="M2054" s="2" t="s">
        <v>11030</v>
      </c>
      <c r="N2054" s="2" t="s">
        <v>11037</v>
      </c>
      <c r="O2054" s="2" t="s">
        <v>11035</v>
      </c>
      <c r="P2054" s="2" t="s">
        <v>11037</v>
      </c>
      <c r="Q2054" s="2">
        <f>AVERAGE(PerfRate[[#This Row],[EnvironmentSatisfaction]],PerfRate[[#This Row],[JobSatisfaction]],PerfRate[[#This Row],[RelationshipSatisfaction]])</f>
        <v>3.3333333333333335</v>
      </c>
      <c r="R2054" s="2">
        <f>PerfRate[[#This Row],[ManagerRating]] - PerfRate[[#This Row],[SelfRating]]</f>
        <v>-1</v>
      </c>
    </row>
    <row r="2055" spans="1:18">
      <c r="A2055" s="2" t="s">
        <v>6362</v>
      </c>
      <c r="B2055" s="2" t="s">
        <v>1124</v>
      </c>
      <c r="C2055" s="1">
        <v>43801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  <c r="L2055" s="2" t="s">
        <v>11030</v>
      </c>
      <c r="M2055" s="2" t="s">
        <v>11029</v>
      </c>
      <c r="N2055" s="2" t="s">
        <v>11038</v>
      </c>
      <c r="O2055" s="2" t="s">
        <v>11035</v>
      </c>
      <c r="P2055" s="2" t="s">
        <v>11036</v>
      </c>
      <c r="Q2055" s="2">
        <f>AVERAGE(PerfRate[[#This Row],[EnvironmentSatisfaction]],PerfRate[[#This Row],[JobSatisfaction]],PerfRate[[#This Row],[RelationshipSatisfaction]])</f>
        <v>3.3333333333333335</v>
      </c>
      <c r="R2055" s="2">
        <f>PerfRate[[#This Row],[ManagerRating]] - PerfRate[[#This Row],[SelfRating]]</f>
        <v>-1</v>
      </c>
    </row>
    <row r="2056" spans="1:18">
      <c r="A2056" s="2" t="s">
        <v>6363</v>
      </c>
      <c r="B2056" s="2" t="s">
        <v>1669</v>
      </c>
      <c r="C2056" s="1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  <c r="L2056" s="2" t="s">
        <v>11030</v>
      </c>
      <c r="M2056" s="2" t="s">
        <v>11029</v>
      </c>
      <c r="N2056" s="2" t="s">
        <v>11038</v>
      </c>
      <c r="O2056" s="2" t="s">
        <v>11035</v>
      </c>
      <c r="P2056" s="2" t="s">
        <v>11037</v>
      </c>
      <c r="Q2056" s="2">
        <f>AVERAGE(PerfRate[[#This Row],[EnvironmentSatisfaction]],PerfRate[[#This Row],[JobSatisfaction]],PerfRate[[#This Row],[RelationshipSatisfaction]])</f>
        <v>3.6666666666666665</v>
      </c>
      <c r="R2056" s="2">
        <f>PerfRate[[#This Row],[ManagerRating]] - PerfRate[[#This Row],[SelfRating]]</f>
        <v>-1</v>
      </c>
    </row>
    <row r="2057" spans="1:18">
      <c r="A2057" s="2" t="s">
        <v>6364</v>
      </c>
      <c r="B2057" s="2" t="s">
        <v>1394</v>
      </c>
      <c r="C2057" s="1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  <c r="L2057" s="2" t="s">
        <v>11029</v>
      </c>
      <c r="M2057" s="2" t="s">
        <v>11028</v>
      </c>
      <c r="N2057" s="2" t="s">
        <v>11036</v>
      </c>
      <c r="O2057" s="2" t="s">
        <v>11038</v>
      </c>
      <c r="P2057" s="2" t="s">
        <v>11037</v>
      </c>
      <c r="Q2057" s="2">
        <f>AVERAGE(PerfRate[[#This Row],[EnvironmentSatisfaction]],PerfRate[[#This Row],[JobSatisfaction]],PerfRate[[#This Row],[RelationshipSatisfaction]])</f>
        <v>4</v>
      </c>
      <c r="R2057" s="2">
        <f>PerfRate[[#This Row],[ManagerRating]] - PerfRate[[#This Row],[SelfRating]]</f>
        <v>-1</v>
      </c>
    </row>
    <row r="2058" spans="1:18">
      <c r="A2058" s="2" t="s">
        <v>6365</v>
      </c>
      <c r="B2058" s="2" t="s">
        <v>1479</v>
      </c>
      <c r="C2058" s="1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  <c r="L2058" s="2" t="s">
        <v>11031</v>
      </c>
      <c r="M2058" s="2" t="s">
        <v>11030</v>
      </c>
      <c r="N2058" s="2" t="s">
        <v>11038</v>
      </c>
      <c r="O2058" s="2" t="s">
        <v>11037</v>
      </c>
      <c r="P2058" s="2" t="s">
        <v>11037</v>
      </c>
      <c r="Q2058" s="2">
        <f>AVERAGE(PerfRate[[#This Row],[EnvironmentSatisfaction]],PerfRate[[#This Row],[JobSatisfaction]],PerfRate[[#This Row],[RelationshipSatisfaction]])</f>
        <v>4.333333333333333</v>
      </c>
      <c r="R2058" s="2">
        <f>PerfRate[[#This Row],[ManagerRating]] - PerfRate[[#This Row],[SelfRating]]</f>
        <v>-1</v>
      </c>
    </row>
    <row r="2059" spans="1:18">
      <c r="A2059" s="2" t="s">
        <v>6366</v>
      </c>
      <c r="B2059" s="2" t="s">
        <v>601</v>
      </c>
      <c r="C2059" s="1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  <c r="L2059" s="2" t="s">
        <v>11031</v>
      </c>
      <c r="M2059" s="2" t="s">
        <v>11030</v>
      </c>
      <c r="N2059" s="2" t="s">
        <v>11036</v>
      </c>
      <c r="O2059" s="2" t="s">
        <v>11038</v>
      </c>
      <c r="P2059" s="2" t="s">
        <v>11035</v>
      </c>
      <c r="Q2059" s="2">
        <f>AVERAGE(PerfRate[[#This Row],[EnvironmentSatisfaction]],PerfRate[[#This Row],[JobSatisfaction]],PerfRate[[#This Row],[RelationshipSatisfaction]])</f>
        <v>3.3333333333333335</v>
      </c>
      <c r="R2059" s="2">
        <f>PerfRate[[#This Row],[ManagerRating]] - PerfRate[[#This Row],[SelfRating]]</f>
        <v>-1</v>
      </c>
    </row>
    <row r="2060" spans="1:18">
      <c r="A2060" s="2" t="s">
        <v>6367</v>
      </c>
      <c r="B2060" s="2" t="s">
        <v>1950</v>
      </c>
      <c r="C2060" s="1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  <c r="L2060" s="2" t="s">
        <v>11030</v>
      </c>
      <c r="M2060" s="2" t="s">
        <v>11029</v>
      </c>
      <c r="N2060" s="2" t="s">
        <v>11037</v>
      </c>
      <c r="O2060" s="2" t="s">
        <v>11036</v>
      </c>
      <c r="P2060" s="2" t="s">
        <v>11036</v>
      </c>
      <c r="Q2060" s="2">
        <f>AVERAGE(PerfRate[[#This Row],[EnvironmentSatisfaction]],PerfRate[[#This Row],[JobSatisfaction]],PerfRate[[#This Row],[RelationshipSatisfaction]])</f>
        <v>3.3333333333333335</v>
      </c>
      <c r="R2060" s="2">
        <f>PerfRate[[#This Row],[ManagerRating]] - PerfRate[[#This Row],[SelfRating]]</f>
        <v>-1</v>
      </c>
    </row>
    <row r="2061" spans="1:18">
      <c r="A2061" s="2" t="s">
        <v>6368</v>
      </c>
      <c r="B2061" s="2" t="s">
        <v>1195</v>
      </c>
      <c r="C2061" s="1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  <c r="L2061" s="2" t="s">
        <v>11031</v>
      </c>
      <c r="M2061" s="2" t="s">
        <v>11030</v>
      </c>
      <c r="N2061" s="2" t="s">
        <v>11038</v>
      </c>
      <c r="O2061" s="2" t="s">
        <v>11036</v>
      </c>
      <c r="P2061" s="2" t="s">
        <v>11035</v>
      </c>
      <c r="Q2061" s="2">
        <f>AVERAGE(PerfRate[[#This Row],[EnvironmentSatisfaction]],PerfRate[[#This Row],[JobSatisfaction]],PerfRate[[#This Row],[RelationshipSatisfaction]])</f>
        <v>3.3333333333333335</v>
      </c>
      <c r="R2061" s="2">
        <f>PerfRate[[#This Row],[ManagerRating]] - PerfRate[[#This Row],[SelfRating]]</f>
        <v>-1</v>
      </c>
    </row>
    <row r="2062" spans="1:18">
      <c r="A2062" s="2" t="s">
        <v>6369</v>
      </c>
      <c r="B2062" s="2" t="s">
        <v>98</v>
      </c>
      <c r="C2062" s="1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  <c r="L2062" s="2" t="s">
        <v>11031</v>
      </c>
      <c r="M2062" s="2" t="s">
        <v>11031</v>
      </c>
      <c r="N2062" s="2" t="s">
        <v>11036</v>
      </c>
      <c r="O2062" s="2" t="s">
        <v>11038</v>
      </c>
      <c r="P2062" s="2" t="s">
        <v>11037</v>
      </c>
      <c r="Q2062" s="2">
        <f>AVERAGE(PerfRate[[#This Row],[EnvironmentSatisfaction]],PerfRate[[#This Row],[JobSatisfaction]],PerfRate[[#This Row],[RelationshipSatisfaction]])</f>
        <v>4</v>
      </c>
      <c r="R2062" s="2">
        <f>PerfRate[[#This Row],[ManagerRating]] - PerfRate[[#This Row],[SelfRating]]</f>
        <v>0</v>
      </c>
    </row>
    <row r="2063" spans="1:18">
      <c r="A2063" s="2" t="s">
        <v>6370</v>
      </c>
      <c r="B2063" s="2" t="s">
        <v>102</v>
      </c>
      <c r="C2063" s="1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  <c r="L2063" s="2" t="s">
        <v>11031</v>
      </c>
      <c r="M2063" s="2" t="s">
        <v>11031</v>
      </c>
      <c r="N2063" s="2" t="s">
        <v>11037</v>
      </c>
      <c r="O2063" s="2" t="s">
        <v>11038</v>
      </c>
      <c r="P2063" s="2" t="s">
        <v>11035</v>
      </c>
      <c r="Q2063" s="2">
        <f>AVERAGE(PerfRate[[#This Row],[EnvironmentSatisfaction]],PerfRate[[#This Row],[JobSatisfaction]],PerfRate[[#This Row],[RelationshipSatisfaction]])</f>
        <v>3.6666666666666665</v>
      </c>
      <c r="R2063" s="2">
        <f>PerfRate[[#This Row],[ManagerRating]] - PerfRate[[#This Row],[SelfRating]]</f>
        <v>0</v>
      </c>
    </row>
    <row r="2064" spans="1:18">
      <c r="A2064" s="2" t="s">
        <v>6371</v>
      </c>
      <c r="B2064" s="2" t="s">
        <v>2014</v>
      </c>
      <c r="C2064" s="1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  <c r="L2064" s="2" t="s">
        <v>11030</v>
      </c>
      <c r="M2064" s="2" t="s">
        <v>11030</v>
      </c>
      <c r="N2064" s="2" t="s">
        <v>11038</v>
      </c>
      <c r="O2064" s="2" t="s">
        <v>11038</v>
      </c>
      <c r="P2064" s="2" t="s">
        <v>11038</v>
      </c>
      <c r="Q2064" s="2">
        <f>AVERAGE(PerfRate[[#This Row],[EnvironmentSatisfaction]],PerfRate[[#This Row],[JobSatisfaction]],PerfRate[[#This Row],[RelationshipSatisfaction]])</f>
        <v>5</v>
      </c>
      <c r="R2064" s="2">
        <f>PerfRate[[#This Row],[ManagerRating]] - PerfRate[[#This Row],[SelfRating]]</f>
        <v>0</v>
      </c>
    </row>
    <row r="2065" spans="1:18">
      <c r="A2065" s="2" t="s">
        <v>6372</v>
      </c>
      <c r="B2065" s="2" t="s">
        <v>3448</v>
      </c>
      <c r="C2065" s="1">
        <v>41977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  <c r="L2065" s="2" t="s">
        <v>11030</v>
      </c>
      <c r="M2065" s="2" t="s">
        <v>11029</v>
      </c>
      <c r="N2065" s="2" t="s">
        <v>11037</v>
      </c>
      <c r="O2065" s="2" t="s">
        <v>11036</v>
      </c>
      <c r="P2065" s="2" t="s">
        <v>11037</v>
      </c>
      <c r="Q2065" s="2">
        <f>AVERAGE(PerfRate[[#This Row],[EnvironmentSatisfaction]],PerfRate[[#This Row],[JobSatisfaction]],PerfRate[[#This Row],[RelationshipSatisfaction]])</f>
        <v>3.6666666666666665</v>
      </c>
      <c r="R2065" s="2">
        <f>PerfRate[[#This Row],[ManagerRating]] - PerfRate[[#This Row],[SelfRating]]</f>
        <v>-1</v>
      </c>
    </row>
    <row r="2066" spans="1:18">
      <c r="A2066" s="2" t="s">
        <v>6373</v>
      </c>
      <c r="B2066" s="2" t="s">
        <v>717</v>
      </c>
      <c r="C2066" s="1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  <c r="L2066" s="2" t="s">
        <v>11029</v>
      </c>
      <c r="M2066" s="2" t="s">
        <v>11028</v>
      </c>
      <c r="N2066" s="2" t="s">
        <v>11036</v>
      </c>
      <c r="O2066" s="2" t="s">
        <v>11036</v>
      </c>
      <c r="P2066" s="2" t="s">
        <v>11037</v>
      </c>
      <c r="Q2066" s="2">
        <f>AVERAGE(PerfRate[[#This Row],[EnvironmentSatisfaction]],PerfRate[[#This Row],[JobSatisfaction]],PerfRate[[#This Row],[RelationshipSatisfaction]])</f>
        <v>3.3333333333333335</v>
      </c>
      <c r="R2066" s="2">
        <f>PerfRate[[#This Row],[ManagerRating]] - PerfRate[[#This Row],[SelfRating]]</f>
        <v>-1</v>
      </c>
    </row>
    <row r="2067" spans="1:18">
      <c r="A2067" s="2" t="s">
        <v>6374</v>
      </c>
      <c r="B2067" s="2" t="s">
        <v>1154</v>
      </c>
      <c r="C2067" s="1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  <c r="L2067" s="2" t="s">
        <v>11029</v>
      </c>
      <c r="M2067" s="2" t="s">
        <v>11029</v>
      </c>
      <c r="N2067" s="2" t="s">
        <v>11036</v>
      </c>
      <c r="O2067" s="2" t="s">
        <v>11037</v>
      </c>
      <c r="P2067" s="2" t="s">
        <v>11038</v>
      </c>
      <c r="Q2067" s="2">
        <f>AVERAGE(PerfRate[[#This Row],[EnvironmentSatisfaction]],PerfRate[[#This Row],[JobSatisfaction]],PerfRate[[#This Row],[RelationshipSatisfaction]])</f>
        <v>4</v>
      </c>
      <c r="R2067" s="2">
        <f>PerfRate[[#This Row],[ManagerRating]] - PerfRate[[#This Row],[SelfRating]]</f>
        <v>0</v>
      </c>
    </row>
    <row r="2068" spans="1:18">
      <c r="A2068" s="2" t="s">
        <v>6375</v>
      </c>
      <c r="B2068" s="2" t="s">
        <v>529</v>
      </c>
      <c r="C2068" s="1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  <c r="L2068" s="2" t="s">
        <v>11029</v>
      </c>
      <c r="M2068" s="2" t="s">
        <v>11028</v>
      </c>
      <c r="N2068" s="2" t="s">
        <v>11036</v>
      </c>
      <c r="O2068" s="2" t="s">
        <v>11035</v>
      </c>
      <c r="P2068" s="2" t="s">
        <v>11035</v>
      </c>
      <c r="Q2068" s="2">
        <f>AVERAGE(PerfRate[[#This Row],[EnvironmentSatisfaction]],PerfRate[[#This Row],[JobSatisfaction]],PerfRate[[#This Row],[RelationshipSatisfaction]])</f>
        <v>2.3333333333333335</v>
      </c>
      <c r="R2068" s="2">
        <f>PerfRate[[#This Row],[ManagerRating]] - PerfRate[[#This Row],[SelfRating]]</f>
        <v>-1</v>
      </c>
    </row>
    <row r="2069" spans="1:18">
      <c r="A2069" s="2" t="s">
        <v>6376</v>
      </c>
      <c r="B2069" s="2" t="s">
        <v>1584</v>
      </c>
      <c r="C2069" s="1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  <c r="L2069" s="2" t="s">
        <v>11029</v>
      </c>
      <c r="M2069" s="2" t="s">
        <v>11029</v>
      </c>
      <c r="N2069" s="2" t="s">
        <v>11038</v>
      </c>
      <c r="O2069" s="2" t="s">
        <v>11035</v>
      </c>
      <c r="P2069" s="2" t="s">
        <v>11037</v>
      </c>
      <c r="Q2069" s="2">
        <f>AVERAGE(PerfRate[[#This Row],[EnvironmentSatisfaction]],PerfRate[[#This Row],[JobSatisfaction]],PerfRate[[#This Row],[RelationshipSatisfaction]])</f>
        <v>3.6666666666666665</v>
      </c>
      <c r="R2069" s="2">
        <f>PerfRate[[#This Row],[ManagerRating]] - PerfRate[[#This Row],[SelfRating]]</f>
        <v>0</v>
      </c>
    </row>
    <row r="2070" spans="1:18">
      <c r="A2070" s="2" t="s">
        <v>6377</v>
      </c>
      <c r="B2070" s="2" t="s">
        <v>73</v>
      </c>
      <c r="C2070" s="1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  <c r="L2070" s="2" t="s">
        <v>11029</v>
      </c>
      <c r="M2070" s="2" t="s">
        <v>11029</v>
      </c>
      <c r="N2070" s="2" t="s">
        <v>11036</v>
      </c>
      <c r="O2070" s="2" t="s">
        <v>11038</v>
      </c>
      <c r="P2070" s="2" t="s">
        <v>11038</v>
      </c>
      <c r="Q2070" s="2">
        <f>AVERAGE(PerfRate[[#This Row],[EnvironmentSatisfaction]],PerfRate[[#This Row],[JobSatisfaction]],PerfRate[[#This Row],[RelationshipSatisfaction]])</f>
        <v>4.333333333333333</v>
      </c>
      <c r="R2070" s="2">
        <f>PerfRate[[#This Row],[ManagerRating]] - PerfRate[[#This Row],[SelfRating]]</f>
        <v>0</v>
      </c>
    </row>
    <row r="2071" spans="1:18">
      <c r="A2071" s="2" t="s">
        <v>6378</v>
      </c>
      <c r="B2071" s="2" t="s">
        <v>1581</v>
      </c>
      <c r="C2071" s="1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  <c r="L2071" s="2" t="s">
        <v>11030</v>
      </c>
      <c r="M2071" s="2" t="s">
        <v>11030</v>
      </c>
      <c r="N2071" s="2" t="s">
        <v>11036</v>
      </c>
      <c r="O2071" s="2" t="s">
        <v>11036</v>
      </c>
      <c r="P2071" s="2" t="s">
        <v>11035</v>
      </c>
      <c r="Q2071" s="2">
        <f>AVERAGE(PerfRate[[#This Row],[EnvironmentSatisfaction]],PerfRate[[#This Row],[JobSatisfaction]],PerfRate[[#This Row],[RelationshipSatisfaction]])</f>
        <v>2.6666666666666665</v>
      </c>
      <c r="R2071" s="2">
        <f>PerfRate[[#This Row],[ManagerRating]] - PerfRate[[#This Row],[SelfRating]]</f>
        <v>0</v>
      </c>
    </row>
    <row r="2072" spans="1:18">
      <c r="A2072" s="2" t="s">
        <v>6379</v>
      </c>
      <c r="B2072" s="2" t="s">
        <v>2008</v>
      </c>
      <c r="C2072" s="1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  <c r="L2072" s="2" t="s">
        <v>11031</v>
      </c>
      <c r="M2072" s="2" t="s">
        <v>11030</v>
      </c>
      <c r="N2072" s="2" t="s">
        <v>11037</v>
      </c>
      <c r="O2072" s="2" t="s">
        <v>11038</v>
      </c>
      <c r="P2072" s="2" t="s">
        <v>11035</v>
      </c>
      <c r="Q2072" s="2">
        <f>AVERAGE(PerfRate[[#This Row],[EnvironmentSatisfaction]],PerfRate[[#This Row],[JobSatisfaction]],PerfRate[[#This Row],[RelationshipSatisfaction]])</f>
        <v>3.6666666666666665</v>
      </c>
      <c r="R2072" s="2">
        <f>PerfRate[[#This Row],[ManagerRating]] - PerfRate[[#This Row],[SelfRating]]</f>
        <v>-1</v>
      </c>
    </row>
    <row r="2073" spans="1:18">
      <c r="A2073" s="2" t="s">
        <v>6380</v>
      </c>
      <c r="B2073" s="2" t="s">
        <v>2068</v>
      </c>
      <c r="C2073" s="1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  <c r="L2073" s="2" t="s">
        <v>11030</v>
      </c>
      <c r="M2073" s="2" t="s">
        <v>11029</v>
      </c>
      <c r="N2073" s="2" t="s">
        <v>11036</v>
      </c>
      <c r="O2073" s="2" t="s">
        <v>11037</v>
      </c>
      <c r="P2073" s="2" t="s">
        <v>11038</v>
      </c>
      <c r="Q2073" s="2">
        <f>AVERAGE(PerfRate[[#This Row],[EnvironmentSatisfaction]],PerfRate[[#This Row],[JobSatisfaction]],PerfRate[[#This Row],[RelationshipSatisfaction]])</f>
        <v>4</v>
      </c>
      <c r="R2073" s="2">
        <f>PerfRate[[#This Row],[ManagerRating]] - PerfRate[[#This Row],[SelfRating]]</f>
        <v>-1</v>
      </c>
    </row>
    <row r="2074" spans="1:18">
      <c r="A2074" s="2" t="s">
        <v>6381</v>
      </c>
      <c r="B2074" s="2" t="s">
        <v>410</v>
      </c>
      <c r="C2074" s="1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  <c r="L2074" s="2" t="s">
        <v>11029</v>
      </c>
      <c r="M2074" s="2" t="s">
        <v>11029</v>
      </c>
      <c r="N2074" s="2" t="s">
        <v>11038</v>
      </c>
      <c r="O2074" s="2" t="s">
        <v>11038</v>
      </c>
      <c r="P2074" s="2" t="s">
        <v>11035</v>
      </c>
      <c r="Q2074" s="2">
        <f>AVERAGE(PerfRate[[#This Row],[EnvironmentSatisfaction]],PerfRate[[#This Row],[JobSatisfaction]],PerfRate[[#This Row],[RelationshipSatisfaction]])</f>
        <v>4</v>
      </c>
      <c r="R2074" s="2">
        <f>PerfRate[[#This Row],[ManagerRating]] - PerfRate[[#This Row],[SelfRating]]</f>
        <v>0</v>
      </c>
    </row>
    <row r="2075" spans="1:18">
      <c r="A2075" s="2" t="s">
        <v>6382</v>
      </c>
      <c r="B2075" s="2" t="s">
        <v>1409</v>
      </c>
      <c r="C2075" s="1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  <c r="L2075" s="2" t="s">
        <v>11029</v>
      </c>
      <c r="M2075" s="2" t="s">
        <v>11029</v>
      </c>
      <c r="N2075" s="2" t="s">
        <v>11038</v>
      </c>
      <c r="O2075" s="2" t="s">
        <v>11038</v>
      </c>
      <c r="P2075" s="2" t="s">
        <v>11036</v>
      </c>
      <c r="Q2075" s="2">
        <f>AVERAGE(PerfRate[[#This Row],[EnvironmentSatisfaction]],PerfRate[[#This Row],[JobSatisfaction]],PerfRate[[#This Row],[RelationshipSatisfaction]])</f>
        <v>4.333333333333333</v>
      </c>
      <c r="R2075" s="2">
        <f>PerfRate[[#This Row],[ManagerRating]] - PerfRate[[#This Row],[SelfRating]]</f>
        <v>0</v>
      </c>
    </row>
    <row r="2076" spans="1:18">
      <c r="A2076" s="2" t="s">
        <v>6383</v>
      </c>
      <c r="B2076" s="2" t="s">
        <v>3490</v>
      </c>
      <c r="C2076" s="1">
        <v>41977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  <c r="L2076" s="2" t="s">
        <v>11031</v>
      </c>
      <c r="M2076" s="2" t="s">
        <v>11031</v>
      </c>
      <c r="N2076" s="2" t="s">
        <v>11038</v>
      </c>
      <c r="O2076" s="2" t="s">
        <v>11035</v>
      </c>
      <c r="P2076" s="2" t="s">
        <v>11038</v>
      </c>
      <c r="Q2076" s="2">
        <f>AVERAGE(PerfRate[[#This Row],[EnvironmentSatisfaction]],PerfRate[[#This Row],[JobSatisfaction]],PerfRate[[#This Row],[RelationshipSatisfaction]])</f>
        <v>4</v>
      </c>
      <c r="R2076" s="2">
        <f>PerfRate[[#This Row],[ManagerRating]] - PerfRate[[#This Row],[SelfRating]]</f>
        <v>0</v>
      </c>
    </row>
    <row r="2077" spans="1:18">
      <c r="A2077" s="2" t="s">
        <v>6384</v>
      </c>
      <c r="B2077" s="2" t="s">
        <v>568</v>
      </c>
      <c r="C2077" s="1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  <c r="L2077" s="2" t="s">
        <v>11030</v>
      </c>
      <c r="M2077" s="2" t="s">
        <v>11030</v>
      </c>
      <c r="N2077" s="2" t="s">
        <v>11036</v>
      </c>
      <c r="O2077" s="2" t="s">
        <v>11036</v>
      </c>
      <c r="P2077" s="2" t="s">
        <v>11036</v>
      </c>
      <c r="Q2077" s="2">
        <f>AVERAGE(PerfRate[[#This Row],[EnvironmentSatisfaction]],PerfRate[[#This Row],[JobSatisfaction]],PerfRate[[#This Row],[RelationshipSatisfaction]])</f>
        <v>3</v>
      </c>
      <c r="R2077" s="2">
        <f>PerfRate[[#This Row],[ManagerRating]] - PerfRate[[#This Row],[SelfRating]]</f>
        <v>0</v>
      </c>
    </row>
    <row r="2078" spans="1:18">
      <c r="A2078" s="2" t="s">
        <v>6385</v>
      </c>
      <c r="B2078" s="2" t="s">
        <v>1119</v>
      </c>
      <c r="C2078" s="1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  <c r="L2078" s="2" t="s">
        <v>11030</v>
      </c>
      <c r="M2078" s="2" t="s">
        <v>11029</v>
      </c>
      <c r="N2078" s="2" t="s">
        <v>11037</v>
      </c>
      <c r="O2078" s="2" t="s">
        <v>11036</v>
      </c>
      <c r="P2078" s="2" t="s">
        <v>11035</v>
      </c>
      <c r="Q2078" s="2">
        <f>AVERAGE(PerfRate[[#This Row],[EnvironmentSatisfaction]],PerfRate[[#This Row],[JobSatisfaction]],PerfRate[[#This Row],[RelationshipSatisfaction]])</f>
        <v>3</v>
      </c>
      <c r="R2078" s="2">
        <f>PerfRate[[#This Row],[ManagerRating]] - PerfRate[[#This Row],[SelfRating]]</f>
        <v>-1</v>
      </c>
    </row>
    <row r="2079" spans="1:18">
      <c r="A2079" s="2" t="s">
        <v>6386</v>
      </c>
      <c r="B2079" s="2" t="s">
        <v>511</v>
      </c>
      <c r="C2079" s="1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  <c r="L2079" s="2" t="s">
        <v>11029</v>
      </c>
      <c r="M2079" s="2" t="s">
        <v>11028</v>
      </c>
      <c r="N2079" s="2" t="s">
        <v>11036</v>
      </c>
      <c r="O2079" s="2" t="s">
        <v>11038</v>
      </c>
      <c r="P2079" s="2" t="s">
        <v>11035</v>
      </c>
      <c r="Q2079" s="2">
        <f>AVERAGE(PerfRate[[#This Row],[EnvironmentSatisfaction]],PerfRate[[#This Row],[JobSatisfaction]],PerfRate[[#This Row],[RelationshipSatisfaction]])</f>
        <v>3.3333333333333335</v>
      </c>
      <c r="R2079" s="2">
        <f>PerfRate[[#This Row],[ManagerRating]] - PerfRate[[#This Row],[SelfRating]]</f>
        <v>-1</v>
      </c>
    </row>
    <row r="2080" spans="1:18">
      <c r="A2080" s="2" t="s">
        <v>6387</v>
      </c>
      <c r="B2080" s="2" t="s">
        <v>128</v>
      </c>
      <c r="C2080" s="1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  <c r="L2080" s="2" t="s">
        <v>11031</v>
      </c>
      <c r="M2080" s="2" t="s">
        <v>11031</v>
      </c>
      <c r="N2080" s="2" t="s">
        <v>11038</v>
      </c>
      <c r="O2080" s="2" t="s">
        <v>11035</v>
      </c>
      <c r="P2080" s="2" t="s">
        <v>11035</v>
      </c>
      <c r="Q2080" s="2">
        <f>AVERAGE(PerfRate[[#This Row],[EnvironmentSatisfaction]],PerfRate[[#This Row],[JobSatisfaction]],PerfRate[[#This Row],[RelationshipSatisfaction]])</f>
        <v>3</v>
      </c>
      <c r="R2080" s="2">
        <f>PerfRate[[#This Row],[ManagerRating]] - PerfRate[[#This Row],[SelfRating]]</f>
        <v>0</v>
      </c>
    </row>
    <row r="2081" spans="1:18">
      <c r="A2081" s="2" t="s">
        <v>6388</v>
      </c>
      <c r="B2081" s="2" t="s">
        <v>762</v>
      </c>
      <c r="C2081" s="1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  <c r="L2081" s="2" t="s">
        <v>11031</v>
      </c>
      <c r="M2081" s="2" t="s">
        <v>11030</v>
      </c>
      <c r="N2081" s="2" t="s">
        <v>11037</v>
      </c>
      <c r="O2081" s="2" t="s">
        <v>11035</v>
      </c>
      <c r="P2081" s="2" t="s">
        <v>11038</v>
      </c>
      <c r="Q2081" s="2">
        <f>AVERAGE(PerfRate[[#This Row],[EnvironmentSatisfaction]],PerfRate[[#This Row],[JobSatisfaction]],PerfRate[[#This Row],[RelationshipSatisfaction]])</f>
        <v>3.6666666666666665</v>
      </c>
      <c r="R2081" s="2">
        <f>PerfRate[[#This Row],[ManagerRating]] - PerfRate[[#This Row],[SelfRating]]</f>
        <v>-1</v>
      </c>
    </row>
    <row r="2082" spans="1:18">
      <c r="A2082" s="2" t="s">
        <v>6389</v>
      </c>
      <c r="B2082" s="2" t="s">
        <v>1056</v>
      </c>
      <c r="C2082" s="1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  <c r="L2082" s="2" t="s">
        <v>11031</v>
      </c>
      <c r="M2082" s="2" t="s">
        <v>11031</v>
      </c>
      <c r="N2082" s="2" t="s">
        <v>11036</v>
      </c>
      <c r="O2082" s="2" t="s">
        <v>11038</v>
      </c>
      <c r="P2082" s="2" t="s">
        <v>11037</v>
      </c>
      <c r="Q2082" s="2">
        <f>AVERAGE(PerfRate[[#This Row],[EnvironmentSatisfaction]],PerfRate[[#This Row],[JobSatisfaction]],PerfRate[[#This Row],[RelationshipSatisfaction]])</f>
        <v>4</v>
      </c>
      <c r="R2082" s="2">
        <f>PerfRate[[#This Row],[ManagerRating]] - PerfRate[[#This Row],[SelfRating]]</f>
        <v>0</v>
      </c>
    </row>
    <row r="2083" spans="1:18">
      <c r="A2083" s="2" t="s">
        <v>6390</v>
      </c>
      <c r="B2083" s="2" t="s">
        <v>1309</v>
      </c>
      <c r="C2083" s="1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  <c r="L2083" s="2" t="s">
        <v>11029</v>
      </c>
      <c r="M2083" s="2" t="s">
        <v>11029</v>
      </c>
      <c r="N2083" s="2" t="s">
        <v>11037</v>
      </c>
      <c r="O2083" s="2" t="s">
        <v>11036</v>
      </c>
      <c r="P2083" s="2" t="s">
        <v>11035</v>
      </c>
      <c r="Q2083" s="2">
        <f>AVERAGE(PerfRate[[#This Row],[EnvironmentSatisfaction]],PerfRate[[#This Row],[JobSatisfaction]],PerfRate[[#This Row],[RelationshipSatisfaction]])</f>
        <v>3</v>
      </c>
      <c r="R2083" s="2">
        <f>PerfRate[[#This Row],[ManagerRating]] - PerfRate[[#This Row],[SelfRating]]</f>
        <v>0</v>
      </c>
    </row>
    <row r="2084" spans="1:18">
      <c r="A2084" s="2" t="s">
        <v>6391</v>
      </c>
      <c r="B2084" s="2" t="s">
        <v>3099</v>
      </c>
      <c r="C2084" s="1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  <c r="L2084" s="2" t="s">
        <v>11029</v>
      </c>
      <c r="M2084" s="2" t="s">
        <v>11028</v>
      </c>
      <c r="N2084" s="2" t="s">
        <v>11037</v>
      </c>
      <c r="O2084" s="2" t="s">
        <v>11037</v>
      </c>
      <c r="P2084" s="2" t="s">
        <v>11036</v>
      </c>
      <c r="Q2084" s="2">
        <f>AVERAGE(PerfRate[[#This Row],[EnvironmentSatisfaction]],PerfRate[[#This Row],[JobSatisfaction]],PerfRate[[#This Row],[RelationshipSatisfaction]])</f>
        <v>3.6666666666666665</v>
      </c>
      <c r="R2084" s="2">
        <f>PerfRate[[#This Row],[ManagerRating]] - PerfRate[[#This Row],[SelfRating]]</f>
        <v>-1</v>
      </c>
    </row>
    <row r="2085" spans="1:18">
      <c r="A2085" s="2" t="s">
        <v>6392</v>
      </c>
      <c r="B2085" s="2" t="s">
        <v>284</v>
      </c>
      <c r="C2085" s="1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  <c r="L2085" s="2" t="s">
        <v>11031</v>
      </c>
      <c r="M2085" s="2" t="s">
        <v>11031</v>
      </c>
      <c r="N2085" s="2" t="s">
        <v>11036</v>
      </c>
      <c r="O2085" s="2" t="s">
        <v>11035</v>
      </c>
      <c r="P2085" s="2" t="s">
        <v>11037</v>
      </c>
      <c r="Q2085" s="2">
        <f>AVERAGE(PerfRate[[#This Row],[EnvironmentSatisfaction]],PerfRate[[#This Row],[JobSatisfaction]],PerfRate[[#This Row],[RelationshipSatisfaction]])</f>
        <v>3</v>
      </c>
      <c r="R2085" s="2">
        <f>PerfRate[[#This Row],[ManagerRating]] - PerfRate[[#This Row],[SelfRating]]</f>
        <v>0</v>
      </c>
    </row>
    <row r="2086" spans="1:18">
      <c r="A2086" s="2" t="s">
        <v>6393</v>
      </c>
      <c r="B2086" s="2" t="s">
        <v>1332</v>
      </c>
      <c r="C2086" s="1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  <c r="L2086" s="2" t="s">
        <v>11030</v>
      </c>
      <c r="M2086" s="2" t="s">
        <v>11030</v>
      </c>
      <c r="N2086" s="2" t="s">
        <v>11038</v>
      </c>
      <c r="O2086" s="2" t="s">
        <v>11038</v>
      </c>
      <c r="P2086" s="2" t="s">
        <v>11037</v>
      </c>
      <c r="Q2086" s="2">
        <f>AVERAGE(PerfRate[[#This Row],[EnvironmentSatisfaction]],PerfRate[[#This Row],[JobSatisfaction]],PerfRate[[#This Row],[RelationshipSatisfaction]])</f>
        <v>4.666666666666667</v>
      </c>
      <c r="R2086" s="2">
        <f>PerfRate[[#This Row],[ManagerRating]] - PerfRate[[#This Row],[SelfRating]]</f>
        <v>0</v>
      </c>
    </row>
    <row r="2087" spans="1:18">
      <c r="A2087" s="2" t="s">
        <v>6394</v>
      </c>
      <c r="B2087" s="2" t="s">
        <v>771</v>
      </c>
      <c r="C2087" s="1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  <c r="L2087" s="2" t="s">
        <v>11031</v>
      </c>
      <c r="M2087" s="2" t="s">
        <v>11030</v>
      </c>
      <c r="N2087" s="2" t="s">
        <v>11038</v>
      </c>
      <c r="O2087" s="2" t="s">
        <v>11038</v>
      </c>
      <c r="P2087" s="2" t="s">
        <v>11037</v>
      </c>
      <c r="Q2087" s="2">
        <f>AVERAGE(PerfRate[[#This Row],[EnvironmentSatisfaction]],PerfRate[[#This Row],[JobSatisfaction]],PerfRate[[#This Row],[RelationshipSatisfaction]])</f>
        <v>4.666666666666667</v>
      </c>
      <c r="R2087" s="2">
        <f>PerfRate[[#This Row],[ManagerRating]] - PerfRate[[#This Row],[SelfRating]]</f>
        <v>-1</v>
      </c>
    </row>
    <row r="2088" spans="1:18">
      <c r="A2088" s="2" t="s">
        <v>6395</v>
      </c>
      <c r="B2088" s="2" t="s">
        <v>2453</v>
      </c>
      <c r="C2088" s="1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  <c r="L2088" s="2" t="s">
        <v>11031</v>
      </c>
      <c r="M2088" s="2" t="s">
        <v>11031</v>
      </c>
      <c r="N2088" s="2" t="s">
        <v>11037</v>
      </c>
      <c r="O2088" s="2" t="s">
        <v>11035</v>
      </c>
      <c r="P2088" s="2" t="s">
        <v>11038</v>
      </c>
      <c r="Q2088" s="2">
        <f>AVERAGE(PerfRate[[#This Row],[EnvironmentSatisfaction]],PerfRate[[#This Row],[JobSatisfaction]],PerfRate[[#This Row],[RelationshipSatisfaction]])</f>
        <v>3.6666666666666665</v>
      </c>
      <c r="R2088" s="2">
        <f>PerfRate[[#This Row],[ManagerRating]] - PerfRate[[#This Row],[SelfRating]]</f>
        <v>0</v>
      </c>
    </row>
    <row r="2089" spans="1:18">
      <c r="A2089" s="2" t="s">
        <v>6396</v>
      </c>
      <c r="B2089" s="2" t="s">
        <v>1116</v>
      </c>
      <c r="C2089" s="1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  <c r="L2089" s="2" t="s">
        <v>11030</v>
      </c>
      <c r="M2089" s="2" t="s">
        <v>11029</v>
      </c>
      <c r="N2089" s="2" t="s">
        <v>11037</v>
      </c>
      <c r="O2089" s="2" t="s">
        <v>11036</v>
      </c>
      <c r="P2089" s="2" t="s">
        <v>11038</v>
      </c>
      <c r="Q2089" s="2">
        <f>AVERAGE(PerfRate[[#This Row],[EnvironmentSatisfaction]],PerfRate[[#This Row],[JobSatisfaction]],PerfRate[[#This Row],[RelationshipSatisfaction]])</f>
        <v>4</v>
      </c>
      <c r="R2089" s="2">
        <f>PerfRate[[#This Row],[ManagerRating]] - PerfRate[[#This Row],[SelfRating]]</f>
        <v>-1</v>
      </c>
    </row>
    <row r="2090" spans="1:18">
      <c r="A2090" s="2" t="s">
        <v>6397</v>
      </c>
      <c r="B2090" s="2" t="s">
        <v>455</v>
      </c>
      <c r="C2090" s="1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  <c r="L2090" s="2" t="s">
        <v>11029</v>
      </c>
      <c r="M2090" s="2" t="s">
        <v>11028</v>
      </c>
      <c r="N2090" s="2" t="s">
        <v>11037</v>
      </c>
      <c r="O2090" s="2" t="s">
        <v>11038</v>
      </c>
      <c r="P2090" s="2" t="s">
        <v>11036</v>
      </c>
      <c r="Q2090" s="2">
        <f>AVERAGE(PerfRate[[#This Row],[EnvironmentSatisfaction]],PerfRate[[#This Row],[JobSatisfaction]],PerfRate[[#This Row],[RelationshipSatisfaction]])</f>
        <v>4</v>
      </c>
      <c r="R2090" s="2">
        <f>PerfRate[[#This Row],[ManagerRating]] - PerfRate[[#This Row],[SelfRating]]</f>
        <v>-1</v>
      </c>
    </row>
    <row r="2091" spans="1:18">
      <c r="A2091" s="2" t="s">
        <v>6398</v>
      </c>
      <c r="B2091" s="2" t="s">
        <v>2641</v>
      </c>
      <c r="C2091" s="1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  <c r="L2091" s="2" t="s">
        <v>11030</v>
      </c>
      <c r="M2091" s="2" t="s">
        <v>11029</v>
      </c>
      <c r="N2091" s="2" t="s">
        <v>11036</v>
      </c>
      <c r="O2091" s="2" t="s">
        <v>11035</v>
      </c>
      <c r="P2091" s="2" t="s">
        <v>11037</v>
      </c>
      <c r="Q2091" s="2">
        <f>AVERAGE(PerfRate[[#This Row],[EnvironmentSatisfaction]],PerfRate[[#This Row],[JobSatisfaction]],PerfRate[[#This Row],[RelationshipSatisfaction]])</f>
        <v>3</v>
      </c>
      <c r="R2091" s="2">
        <f>PerfRate[[#This Row],[ManagerRating]] - PerfRate[[#This Row],[SelfRating]]</f>
        <v>-1</v>
      </c>
    </row>
    <row r="2092" spans="1:18">
      <c r="A2092" s="2" t="s">
        <v>6399</v>
      </c>
      <c r="B2092" s="2" t="s">
        <v>1909</v>
      </c>
      <c r="C2092" s="1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  <c r="L2092" s="2" t="s">
        <v>11029</v>
      </c>
      <c r="M2092" s="2" t="s">
        <v>11029</v>
      </c>
      <c r="N2092" s="2" t="s">
        <v>11037</v>
      </c>
      <c r="O2092" s="2" t="s">
        <v>11035</v>
      </c>
      <c r="P2092" s="2" t="s">
        <v>11037</v>
      </c>
      <c r="Q2092" s="2">
        <f>AVERAGE(PerfRate[[#This Row],[EnvironmentSatisfaction]],PerfRate[[#This Row],[JobSatisfaction]],PerfRate[[#This Row],[RelationshipSatisfaction]])</f>
        <v>3.3333333333333335</v>
      </c>
      <c r="R2092" s="2">
        <f>PerfRate[[#This Row],[ManagerRating]] - PerfRate[[#This Row],[SelfRating]]</f>
        <v>0</v>
      </c>
    </row>
    <row r="2093" spans="1:18">
      <c r="A2093" s="2" t="s">
        <v>6400</v>
      </c>
      <c r="B2093" s="2" t="s">
        <v>238</v>
      </c>
      <c r="C2093" s="1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  <c r="L2093" s="2" t="s">
        <v>11030</v>
      </c>
      <c r="M2093" s="2" t="s">
        <v>11029</v>
      </c>
      <c r="N2093" s="2" t="s">
        <v>11036</v>
      </c>
      <c r="O2093" s="2" t="s">
        <v>11038</v>
      </c>
      <c r="P2093" s="2" t="s">
        <v>11036</v>
      </c>
      <c r="Q2093" s="2">
        <f>AVERAGE(PerfRate[[#This Row],[EnvironmentSatisfaction]],PerfRate[[#This Row],[JobSatisfaction]],PerfRate[[#This Row],[RelationshipSatisfaction]])</f>
        <v>3.6666666666666665</v>
      </c>
      <c r="R2093" s="2">
        <f>PerfRate[[#This Row],[ManagerRating]] - PerfRate[[#This Row],[SelfRating]]</f>
        <v>-1</v>
      </c>
    </row>
    <row r="2094" spans="1:18">
      <c r="A2094" s="2" t="s">
        <v>6401</v>
      </c>
      <c r="B2094" s="2" t="s">
        <v>154</v>
      </c>
      <c r="C2094" s="1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  <c r="L2094" s="2" t="s">
        <v>11029</v>
      </c>
      <c r="M2094" s="2" t="s">
        <v>11029</v>
      </c>
      <c r="N2094" s="2" t="s">
        <v>11036</v>
      </c>
      <c r="O2094" s="2" t="s">
        <v>11035</v>
      </c>
      <c r="P2094" s="2" t="s">
        <v>11038</v>
      </c>
      <c r="Q2094" s="2">
        <f>AVERAGE(PerfRate[[#This Row],[EnvironmentSatisfaction]],PerfRate[[#This Row],[JobSatisfaction]],PerfRate[[#This Row],[RelationshipSatisfaction]])</f>
        <v>3.3333333333333335</v>
      </c>
      <c r="R2094" s="2">
        <f>PerfRate[[#This Row],[ManagerRating]] - PerfRate[[#This Row],[SelfRating]]</f>
        <v>0</v>
      </c>
    </row>
    <row r="2095" spans="1:18">
      <c r="A2095" s="2" t="s">
        <v>6402</v>
      </c>
      <c r="B2095" s="2" t="s">
        <v>2115</v>
      </c>
      <c r="C2095" s="1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  <c r="L2095" s="2" t="s">
        <v>11031</v>
      </c>
      <c r="M2095" s="2" t="s">
        <v>11031</v>
      </c>
      <c r="N2095" s="2" t="s">
        <v>11036</v>
      </c>
      <c r="O2095" s="2" t="s">
        <v>11035</v>
      </c>
      <c r="P2095" s="2" t="s">
        <v>11035</v>
      </c>
      <c r="Q2095" s="2">
        <f>AVERAGE(PerfRate[[#This Row],[EnvironmentSatisfaction]],PerfRate[[#This Row],[JobSatisfaction]],PerfRate[[#This Row],[RelationshipSatisfaction]])</f>
        <v>2.3333333333333335</v>
      </c>
      <c r="R2095" s="2">
        <f>PerfRate[[#This Row],[ManagerRating]] - PerfRate[[#This Row],[SelfRating]]</f>
        <v>0</v>
      </c>
    </row>
    <row r="2096" spans="1:18">
      <c r="A2096" s="2" t="s">
        <v>6403</v>
      </c>
      <c r="B2096" s="2" t="s">
        <v>2650</v>
      </c>
      <c r="C2096" s="1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  <c r="L2096" s="2" t="s">
        <v>11030</v>
      </c>
      <c r="M2096" s="2" t="s">
        <v>11029</v>
      </c>
      <c r="N2096" s="2" t="s">
        <v>11036</v>
      </c>
      <c r="O2096" s="2" t="s">
        <v>11035</v>
      </c>
      <c r="P2096" s="2" t="s">
        <v>11035</v>
      </c>
      <c r="Q2096" s="2">
        <f>AVERAGE(PerfRate[[#This Row],[EnvironmentSatisfaction]],PerfRate[[#This Row],[JobSatisfaction]],PerfRate[[#This Row],[RelationshipSatisfaction]])</f>
        <v>2.3333333333333335</v>
      </c>
      <c r="R2096" s="2">
        <f>PerfRate[[#This Row],[ManagerRating]] - PerfRate[[#This Row],[SelfRating]]</f>
        <v>-1</v>
      </c>
    </row>
    <row r="2097" spans="1:18">
      <c r="A2097" s="2" t="s">
        <v>6404</v>
      </c>
      <c r="B2097" s="2" t="s">
        <v>696</v>
      </c>
      <c r="C2097" s="1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  <c r="L2097" s="2" t="s">
        <v>11029</v>
      </c>
      <c r="M2097" s="2" t="s">
        <v>11028</v>
      </c>
      <c r="N2097" s="2" t="s">
        <v>11038</v>
      </c>
      <c r="O2097" s="2" t="s">
        <v>11035</v>
      </c>
      <c r="P2097" s="2" t="s">
        <v>11037</v>
      </c>
      <c r="Q2097" s="2">
        <f>AVERAGE(PerfRate[[#This Row],[EnvironmentSatisfaction]],PerfRate[[#This Row],[JobSatisfaction]],PerfRate[[#This Row],[RelationshipSatisfaction]])</f>
        <v>3.6666666666666665</v>
      </c>
      <c r="R2097" s="2">
        <f>PerfRate[[#This Row],[ManagerRating]] - PerfRate[[#This Row],[SelfRating]]</f>
        <v>-1</v>
      </c>
    </row>
    <row r="2098" spans="1:18">
      <c r="A2098" s="2" t="s">
        <v>6405</v>
      </c>
      <c r="B2098" s="2" t="s">
        <v>1071</v>
      </c>
      <c r="C2098" s="1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  <c r="L2098" s="2" t="s">
        <v>11031</v>
      </c>
      <c r="M2098" s="2" t="s">
        <v>11030</v>
      </c>
      <c r="N2098" s="2" t="s">
        <v>11037</v>
      </c>
      <c r="O2098" s="2" t="s">
        <v>11035</v>
      </c>
      <c r="P2098" s="2" t="s">
        <v>11038</v>
      </c>
      <c r="Q2098" s="2">
        <f>AVERAGE(PerfRate[[#This Row],[EnvironmentSatisfaction]],PerfRate[[#This Row],[JobSatisfaction]],PerfRate[[#This Row],[RelationshipSatisfaction]])</f>
        <v>3.6666666666666665</v>
      </c>
      <c r="R2098" s="2">
        <f>PerfRate[[#This Row],[ManagerRating]] - PerfRate[[#This Row],[SelfRating]]</f>
        <v>-1</v>
      </c>
    </row>
    <row r="2099" spans="1:18">
      <c r="A2099" s="2" t="s">
        <v>6406</v>
      </c>
      <c r="B2099" s="2" t="s">
        <v>1180</v>
      </c>
      <c r="C2099" s="1">
        <v>43468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  <c r="L2099" s="2" t="s">
        <v>11029</v>
      </c>
      <c r="M2099" s="2" t="s">
        <v>11029</v>
      </c>
      <c r="N2099" s="2" t="s">
        <v>11036</v>
      </c>
      <c r="O2099" s="2" t="s">
        <v>11035</v>
      </c>
      <c r="P2099" s="2" t="s">
        <v>11036</v>
      </c>
      <c r="Q2099" s="2">
        <f>AVERAGE(PerfRate[[#This Row],[EnvironmentSatisfaction]],PerfRate[[#This Row],[JobSatisfaction]],PerfRate[[#This Row],[RelationshipSatisfaction]])</f>
        <v>2.6666666666666665</v>
      </c>
      <c r="R2099" s="2">
        <f>PerfRate[[#This Row],[ManagerRating]] - PerfRate[[#This Row],[SelfRating]]</f>
        <v>0</v>
      </c>
    </row>
    <row r="2100" spans="1:18">
      <c r="A2100" s="2" t="s">
        <v>6407</v>
      </c>
      <c r="B2100" s="2" t="s">
        <v>1127</v>
      </c>
      <c r="C2100" s="1">
        <v>43468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  <c r="L2100" s="2" t="s">
        <v>11030</v>
      </c>
      <c r="M2100" s="2" t="s">
        <v>11029</v>
      </c>
      <c r="N2100" s="2" t="s">
        <v>11037</v>
      </c>
      <c r="O2100" s="2" t="s">
        <v>11035</v>
      </c>
      <c r="P2100" s="2" t="s">
        <v>11038</v>
      </c>
      <c r="Q2100" s="2">
        <f>AVERAGE(PerfRate[[#This Row],[EnvironmentSatisfaction]],PerfRate[[#This Row],[JobSatisfaction]],PerfRate[[#This Row],[RelationshipSatisfaction]])</f>
        <v>3.6666666666666665</v>
      </c>
      <c r="R2100" s="2">
        <f>PerfRate[[#This Row],[ManagerRating]] - PerfRate[[#This Row],[SelfRating]]</f>
        <v>-1</v>
      </c>
    </row>
    <row r="2101" spans="1:18">
      <c r="A2101" s="2" t="s">
        <v>6408</v>
      </c>
      <c r="B2101" s="2" t="s">
        <v>2759</v>
      </c>
      <c r="C2101" s="1">
        <v>43468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  <c r="L2101" s="2" t="s">
        <v>11031</v>
      </c>
      <c r="M2101" s="2" t="s">
        <v>11031</v>
      </c>
      <c r="N2101" s="2" t="s">
        <v>11036</v>
      </c>
      <c r="O2101" s="2" t="s">
        <v>11037</v>
      </c>
      <c r="P2101" s="2" t="s">
        <v>11035</v>
      </c>
      <c r="Q2101" s="2">
        <f>AVERAGE(PerfRate[[#This Row],[EnvironmentSatisfaction]],PerfRate[[#This Row],[JobSatisfaction]],PerfRate[[#This Row],[RelationshipSatisfaction]])</f>
        <v>3</v>
      </c>
      <c r="R2101" s="2">
        <f>PerfRate[[#This Row],[ManagerRating]] - PerfRate[[#This Row],[SelfRating]]</f>
        <v>0</v>
      </c>
    </row>
    <row r="2102" spans="1:18">
      <c r="A2102" s="2" t="s">
        <v>6409</v>
      </c>
      <c r="B2102" s="2" t="s">
        <v>353</v>
      </c>
      <c r="C2102" s="1">
        <v>43468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  <c r="L2102" s="2" t="s">
        <v>11031</v>
      </c>
      <c r="M2102" s="2" t="s">
        <v>11030</v>
      </c>
      <c r="N2102" s="2" t="s">
        <v>11038</v>
      </c>
      <c r="O2102" s="2" t="s">
        <v>11036</v>
      </c>
      <c r="P2102" s="2" t="s">
        <v>11036</v>
      </c>
      <c r="Q2102" s="2">
        <f>AVERAGE(PerfRate[[#This Row],[EnvironmentSatisfaction]],PerfRate[[#This Row],[JobSatisfaction]],PerfRate[[#This Row],[RelationshipSatisfaction]])</f>
        <v>3.6666666666666665</v>
      </c>
      <c r="R2102" s="2">
        <f>PerfRate[[#This Row],[ManagerRating]] - PerfRate[[#This Row],[SelfRating]]</f>
        <v>-1</v>
      </c>
    </row>
    <row r="2103" spans="1:18">
      <c r="A2103" s="2" t="s">
        <v>6410</v>
      </c>
      <c r="B2103" s="2" t="s">
        <v>1500</v>
      </c>
      <c r="C2103" s="1">
        <v>43468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  <c r="L2103" s="2" t="s">
        <v>11030</v>
      </c>
      <c r="M2103" s="2" t="s">
        <v>11029</v>
      </c>
      <c r="N2103" s="2" t="s">
        <v>11037</v>
      </c>
      <c r="O2103" s="2" t="s">
        <v>11037</v>
      </c>
      <c r="P2103" s="2" t="s">
        <v>11035</v>
      </c>
      <c r="Q2103" s="2">
        <f>AVERAGE(PerfRate[[#This Row],[EnvironmentSatisfaction]],PerfRate[[#This Row],[JobSatisfaction]],PerfRate[[#This Row],[RelationshipSatisfaction]])</f>
        <v>3.3333333333333335</v>
      </c>
      <c r="R2103" s="2">
        <f>PerfRate[[#This Row],[ManagerRating]] - PerfRate[[#This Row],[SelfRating]]</f>
        <v>-1</v>
      </c>
    </row>
    <row r="2104" spans="1:18">
      <c r="A2104" s="2" t="s">
        <v>6411</v>
      </c>
      <c r="B2104" s="2" t="s">
        <v>1371</v>
      </c>
      <c r="C2104" s="1">
        <v>43468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  <c r="L2104" s="2" t="s">
        <v>11030</v>
      </c>
      <c r="M2104" s="2" t="s">
        <v>11030</v>
      </c>
      <c r="N2104" s="2" t="s">
        <v>11038</v>
      </c>
      <c r="O2104" s="2" t="s">
        <v>11035</v>
      </c>
      <c r="P2104" s="2" t="s">
        <v>11037</v>
      </c>
      <c r="Q2104" s="2">
        <f>AVERAGE(PerfRate[[#This Row],[EnvironmentSatisfaction]],PerfRate[[#This Row],[JobSatisfaction]],PerfRate[[#This Row],[RelationshipSatisfaction]])</f>
        <v>3.6666666666666665</v>
      </c>
      <c r="R2104" s="2">
        <f>PerfRate[[#This Row],[ManagerRating]] - PerfRate[[#This Row],[SelfRating]]</f>
        <v>0</v>
      </c>
    </row>
    <row r="2105" spans="1:18">
      <c r="A2105" s="2" t="s">
        <v>6412</v>
      </c>
      <c r="B2105" s="2" t="s">
        <v>2119</v>
      </c>
      <c r="C2105" s="1">
        <v>43499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  <c r="L2105" s="2" t="s">
        <v>11029</v>
      </c>
      <c r="M2105" s="2" t="s">
        <v>11029</v>
      </c>
      <c r="N2105" s="2" t="s">
        <v>11038</v>
      </c>
      <c r="O2105" s="2" t="s">
        <v>11036</v>
      </c>
      <c r="P2105" s="2" t="s">
        <v>11038</v>
      </c>
      <c r="Q2105" s="2">
        <f>AVERAGE(PerfRate[[#This Row],[EnvironmentSatisfaction]],PerfRate[[#This Row],[JobSatisfaction]],PerfRate[[#This Row],[RelationshipSatisfaction]])</f>
        <v>4.333333333333333</v>
      </c>
      <c r="R2105" s="2">
        <f>PerfRate[[#This Row],[ManagerRating]] - PerfRate[[#This Row],[SelfRating]]</f>
        <v>0</v>
      </c>
    </row>
    <row r="2106" spans="1:18">
      <c r="A2106" s="2" t="s">
        <v>6413</v>
      </c>
      <c r="B2106" s="2" t="s">
        <v>673</v>
      </c>
      <c r="C2106" s="1">
        <v>43499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  <c r="L2106" s="2" t="s">
        <v>11031</v>
      </c>
      <c r="M2106" s="2" t="s">
        <v>11030</v>
      </c>
      <c r="N2106" s="2" t="s">
        <v>11038</v>
      </c>
      <c r="O2106" s="2" t="s">
        <v>11037</v>
      </c>
      <c r="P2106" s="2" t="s">
        <v>11038</v>
      </c>
      <c r="Q2106" s="2">
        <f>AVERAGE(PerfRate[[#This Row],[EnvironmentSatisfaction]],PerfRate[[#This Row],[JobSatisfaction]],PerfRate[[#This Row],[RelationshipSatisfaction]])</f>
        <v>4.666666666666667</v>
      </c>
      <c r="R2106" s="2">
        <f>PerfRate[[#This Row],[ManagerRating]] - PerfRate[[#This Row],[SelfRating]]</f>
        <v>-1</v>
      </c>
    </row>
    <row r="2107" spans="1:18">
      <c r="A2107" s="2" t="s">
        <v>6414</v>
      </c>
      <c r="B2107" s="2" t="s">
        <v>1587</v>
      </c>
      <c r="C2107" s="1">
        <v>43499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  <c r="L2107" s="2" t="s">
        <v>11030</v>
      </c>
      <c r="M2107" s="2" t="s">
        <v>11029</v>
      </c>
      <c r="N2107" s="2" t="s">
        <v>11036</v>
      </c>
      <c r="O2107" s="2" t="s">
        <v>11036</v>
      </c>
      <c r="P2107" s="2" t="s">
        <v>11038</v>
      </c>
      <c r="Q2107" s="2">
        <f>AVERAGE(PerfRate[[#This Row],[EnvironmentSatisfaction]],PerfRate[[#This Row],[JobSatisfaction]],PerfRate[[#This Row],[RelationshipSatisfaction]])</f>
        <v>3.6666666666666665</v>
      </c>
      <c r="R2107" s="2">
        <f>PerfRate[[#This Row],[ManagerRating]] - PerfRate[[#This Row],[SelfRating]]</f>
        <v>-1</v>
      </c>
    </row>
    <row r="2108" spans="1:18">
      <c r="A2108" s="2" t="s">
        <v>6415</v>
      </c>
      <c r="B2108" s="2" t="s">
        <v>2351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  <c r="L2108" s="2" t="s">
        <v>11029</v>
      </c>
      <c r="M2108" s="2" t="s">
        <v>11029</v>
      </c>
      <c r="N2108" s="2" t="s">
        <v>11037</v>
      </c>
      <c r="O2108" s="2" t="s">
        <v>11036</v>
      </c>
      <c r="P2108" s="2" t="s">
        <v>11035</v>
      </c>
      <c r="Q2108" s="2">
        <f>AVERAGE(PerfRate[[#This Row],[EnvironmentSatisfaction]],PerfRate[[#This Row],[JobSatisfaction]],PerfRate[[#This Row],[RelationshipSatisfaction]])</f>
        <v>3</v>
      </c>
      <c r="R2108" s="2">
        <f>PerfRate[[#This Row],[ManagerRating]] - PerfRate[[#This Row],[SelfRating]]</f>
        <v>0</v>
      </c>
    </row>
    <row r="2109" spans="1:18">
      <c r="A2109" s="2" t="s">
        <v>6416</v>
      </c>
      <c r="B2109" s="2" t="s">
        <v>1779</v>
      </c>
      <c r="C2109" s="1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  <c r="L2109" s="2" t="s">
        <v>11029</v>
      </c>
      <c r="M2109" s="2" t="s">
        <v>11029</v>
      </c>
      <c r="N2109" s="2" t="s">
        <v>11038</v>
      </c>
      <c r="O2109" s="2" t="s">
        <v>11037</v>
      </c>
      <c r="P2109" s="2" t="s">
        <v>11037</v>
      </c>
      <c r="Q2109" s="2">
        <f>AVERAGE(PerfRate[[#This Row],[EnvironmentSatisfaction]],PerfRate[[#This Row],[JobSatisfaction]],PerfRate[[#This Row],[RelationshipSatisfaction]])</f>
        <v>4.333333333333333</v>
      </c>
      <c r="R2109" s="2">
        <f>PerfRate[[#This Row],[ManagerRating]] - PerfRate[[#This Row],[SelfRating]]</f>
        <v>0</v>
      </c>
    </row>
    <row r="2110" spans="1:18">
      <c r="A2110" s="2" t="s">
        <v>6417</v>
      </c>
      <c r="B2110" s="2" t="s">
        <v>550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  <c r="L2110" s="2" t="s">
        <v>11029</v>
      </c>
      <c r="M2110" s="2" t="s">
        <v>11029</v>
      </c>
      <c r="N2110" s="2" t="s">
        <v>11037</v>
      </c>
      <c r="O2110" s="2" t="s">
        <v>11036</v>
      </c>
      <c r="P2110" s="2" t="s">
        <v>11036</v>
      </c>
      <c r="Q2110" s="2">
        <f>AVERAGE(PerfRate[[#This Row],[EnvironmentSatisfaction]],PerfRate[[#This Row],[JobSatisfaction]],PerfRate[[#This Row],[RelationshipSatisfaction]])</f>
        <v>3.3333333333333335</v>
      </c>
      <c r="R2110" s="2">
        <f>PerfRate[[#This Row],[ManagerRating]] - PerfRate[[#This Row],[SelfRating]]</f>
        <v>0</v>
      </c>
    </row>
    <row r="2111" spans="1:18">
      <c r="A2111" s="2" t="s">
        <v>6418</v>
      </c>
      <c r="B2111" s="2" t="s">
        <v>1704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  <c r="L2111" s="2" t="s">
        <v>11030</v>
      </c>
      <c r="M2111" s="2" t="s">
        <v>11029</v>
      </c>
      <c r="N2111" s="2" t="s">
        <v>11037</v>
      </c>
      <c r="O2111" s="2" t="s">
        <v>11038</v>
      </c>
      <c r="P2111" s="2" t="s">
        <v>11035</v>
      </c>
      <c r="Q2111" s="2">
        <f>AVERAGE(PerfRate[[#This Row],[EnvironmentSatisfaction]],PerfRate[[#This Row],[JobSatisfaction]],PerfRate[[#This Row],[RelationshipSatisfaction]])</f>
        <v>3.6666666666666665</v>
      </c>
      <c r="R2111" s="2">
        <f>PerfRate[[#This Row],[ManagerRating]] - PerfRate[[#This Row],[SelfRating]]</f>
        <v>-1</v>
      </c>
    </row>
    <row r="2112" spans="1:18">
      <c r="A2112" s="2" t="s">
        <v>6419</v>
      </c>
      <c r="B2112" s="2" t="s">
        <v>341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  <c r="L2112" s="2" t="s">
        <v>11031</v>
      </c>
      <c r="M2112" s="2" t="s">
        <v>11031</v>
      </c>
      <c r="N2112" s="2" t="s">
        <v>11036</v>
      </c>
      <c r="O2112" s="2" t="s">
        <v>11036</v>
      </c>
      <c r="P2112" s="2" t="s">
        <v>11035</v>
      </c>
      <c r="Q2112" s="2">
        <f>AVERAGE(PerfRate[[#This Row],[EnvironmentSatisfaction]],PerfRate[[#This Row],[JobSatisfaction]],PerfRate[[#This Row],[RelationshipSatisfaction]])</f>
        <v>2.6666666666666665</v>
      </c>
      <c r="R2112" s="2">
        <f>PerfRate[[#This Row],[ManagerRating]] - PerfRate[[#This Row],[SelfRating]]</f>
        <v>0</v>
      </c>
    </row>
    <row r="2113" spans="1:18">
      <c r="A2113" s="2" t="s">
        <v>6420</v>
      </c>
      <c r="B2113" s="2" t="s">
        <v>3457</v>
      </c>
      <c r="C2113" s="1">
        <v>43558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  <c r="L2113" s="2" t="s">
        <v>11030</v>
      </c>
      <c r="M2113" s="2" t="s">
        <v>11030</v>
      </c>
      <c r="N2113" s="2" t="s">
        <v>11037</v>
      </c>
      <c r="O2113" s="2" t="s">
        <v>11036</v>
      </c>
      <c r="P2113" s="2" t="s">
        <v>11035</v>
      </c>
      <c r="Q2113" s="2">
        <f>AVERAGE(PerfRate[[#This Row],[EnvironmentSatisfaction]],PerfRate[[#This Row],[JobSatisfaction]],PerfRate[[#This Row],[RelationshipSatisfaction]])</f>
        <v>3</v>
      </c>
      <c r="R2113" s="2">
        <f>PerfRate[[#This Row],[ManagerRating]] - PerfRate[[#This Row],[SelfRating]]</f>
        <v>0</v>
      </c>
    </row>
    <row r="2114" spans="1:18">
      <c r="A2114" s="2" t="s">
        <v>6421</v>
      </c>
      <c r="B2114" s="2" t="s">
        <v>580</v>
      </c>
      <c r="C2114" s="1">
        <v>43588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  <c r="L2114" s="2" t="s">
        <v>11031</v>
      </c>
      <c r="M2114" s="2" t="s">
        <v>11031</v>
      </c>
      <c r="N2114" s="2" t="s">
        <v>11036</v>
      </c>
      <c r="O2114" s="2" t="s">
        <v>11035</v>
      </c>
      <c r="P2114" s="2" t="s">
        <v>11035</v>
      </c>
      <c r="Q2114" s="2">
        <f>AVERAGE(PerfRate[[#This Row],[EnvironmentSatisfaction]],PerfRate[[#This Row],[JobSatisfaction]],PerfRate[[#This Row],[RelationshipSatisfaction]])</f>
        <v>2.3333333333333335</v>
      </c>
      <c r="R2114" s="2">
        <f>PerfRate[[#This Row],[ManagerRating]] - PerfRate[[#This Row],[SelfRating]]</f>
        <v>0</v>
      </c>
    </row>
    <row r="2115" spans="1:18">
      <c r="A2115" s="2" t="s">
        <v>6422</v>
      </c>
      <c r="B2115" s="2" t="s">
        <v>1365</v>
      </c>
      <c r="C2115" s="1">
        <v>43588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  <c r="L2115" s="2" t="s">
        <v>11030</v>
      </c>
      <c r="M2115" s="2" t="s">
        <v>11030</v>
      </c>
      <c r="N2115" s="2" t="s">
        <v>11038</v>
      </c>
      <c r="O2115" s="2" t="s">
        <v>11035</v>
      </c>
      <c r="P2115" s="2" t="s">
        <v>11035</v>
      </c>
      <c r="Q2115" s="2">
        <f>AVERAGE(PerfRate[[#This Row],[EnvironmentSatisfaction]],PerfRate[[#This Row],[JobSatisfaction]],PerfRate[[#This Row],[RelationshipSatisfaction]])</f>
        <v>3</v>
      </c>
      <c r="R2115" s="2">
        <f>PerfRate[[#This Row],[ManagerRating]] - PerfRate[[#This Row],[SelfRating]]</f>
        <v>0</v>
      </c>
    </row>
    <row r="2116" spans="1:18">
      <c r="A2116" s="2" t="s">
        <v>6423</v>
      </c>
      <c r="B2116" s="2" t="s">
        <v>347</v>
      </c>
      <c r="C2116" s="1">
        <v>43588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  <c r="L2116" s="2" t="s">
        <v>11030</v>
      </c>
      <c r="M2116" s="2" t="s">
        <v>11030</v>
      </c>
      <c r="N2116" s="2" t="s">
        <v>11038</v>
      </c>
      <c r="O2116" s="2" t="s">
        <v>11038</v>
      </c>
      <c r="P2116" s="2" t="s">
        <v>11037</v>
      </c>
      <c r="Q2116" s="2">
        <f>AVERAGE(PerfRate[[#This Row],[EnvironmentSatisfaction]],PerfRate[[#This Row],[JobSatisfaction]],PerfRate[[#This Row],[RelationshipSatisfaction]])</f>
        <v>4.666666666666667</v>
      </c>
      <c r="R2116" s="2">
        <f>PerfRate[[#This Row],[ManagerRating]] - PerfRate[[#This Row],[SelfRating]]</f>
        <v>0</v>
      </c>
    </row>
    <row r="2117" spans="1:18">
      <c r="A2117" s="2" t="s">
        <v>6424</v>
      </c>
      <c r="B2117" s="2" t="s">
        <v>470</v>
      </c>
      <c r="C2117" s="1">
        <v>43588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  <c r="L2117" s="2" t="s">
        <v>11030</v>
      </c>
      <c r="M2117" s="2" t="s">
        <v>11029</v>
      </c>
      <c r="N2117" s="2" t="s">
        <v>11036</v>
      </c>
      <c r="O2117" s="2" t="s">
        <v>11038</v>
      </c>
      <c r="P2117" s="2" t="s">
        <v>11038</v>
      </c>
      <c r="Q2117" s="2">
        <f>AVERAGE(PerfRate[[#This Row],[EnvironmentSatisfaction]],PerfRate[[#This Row],[JobSatisfaction]],PerfRate[[#This Row],[RelationshipSatisfaction]])</f>
        <v>4.333333333333333</v>
      </c>
      <c r="R2117" s="2">
        <f>PerfRate[[#This Row],[ManagerRating]] - PerfRate[[#This Row],[SelfRating]]</f>
        <v>-1</v>
      </c>
    </row>
    <row r="2118" spans="1:18">
      <c r="A2118" s="2" t="s">
        <v>6425</v>
      </c>
      <c r="B2118" s="2" t="s">
        <v>1491</v>
      </c>
      <c r="C2118" s="1">
        <v>43588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  <c r="L2118" s="2" t="s">
        <v>11031</v>
      </c>
      <c r="M2118" s="2" t="s">
        <v>11030</v>
      </c>
      <c r="N2118" s="2" t="s">
        <v>11038</v>
      </c>
      <c r="O2118" s="2" t="s">
        <v>11038</v>
      </c>
      <c r="P2118" s="2" t="s">
        <v>11038</v>
      </c>
      <c r="Q2118" s="2">
        <f>AVERAGE(PerfRate[[#This Row],[EnvironmentSatisfaction]],PerfRate[[#This Row],[JobSatisfaction]],PerfRate[[#This Row],[RelationshipSatisfaction]])</f>
        <v>5</v>
      </c>
      <c r="R2118" s="2">
        <f>PerfRate[[#This Row],[ManagerRating]] - PerfRate[[#This Row],[SelfRating]]</f>
        <v>-1</v>
      </c>
    </row>
    <row r="2119" spans="1:18">
      <c r="A2119" s="2" t="s">
        <v>6426</v>
      </c>
      <c r="B2119" s="2" t="s">
        <v>407</v>
      </c>
      <c r="C2119" s="1">
        <v>43619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  <c r="L2119" s="2" t="s">
        <v>11031</v>
      </c>
      <c r="M2119" s="2" t="s">
        <v>11031</v>
      </c>
      <c r="N2119" s="2" t="s">
        <v>11036</v>
      </c>
      <c r="O2119" s="2" t="s">
        <v>11038</v>
      </c>
      <c r="P2119" s="2" t="s">
        <v>11037</v>
      </c>
      <c r="Q2119" s="2">
        <f>AVERAGE(PerfRate[[#This Row],[EnvironmentSatisfaction]],PerfRate[[#This Row],[JobSatisfaction]],PerfRate[[#This Row],[RelationshipSatisfaction]])</f>
        <v>4</v>
      </c>
      <c r="R2119" s="2">
        <f>PerfRate[[#This Row],[ManagerRating]] - PerfRate[[#This Row],[SelfRating]]</f>
        <v>0</v>
      </c>
    </row>
    <row r="2120" spans="1:18">
      <c r="A2120" s="2" t="s">
        <v>6427</v>
      </c>
      <c r="B2120" s="2" t="s">
        <v>1065</v>
      </c>
      <c r="C2120" s="1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  <c r="L2120" s="2" t="s">
        <v>11031</v>
      </c>
      <c r="M2120" s="2" t="s">
        <v>11031</v>
      </c>
      <c r="N2120" s="2" t="s">
        <v>11038</v>
      </c>
      <c r="O2120" s="2" t="s">
        <v>11036</v>
      </c>
      <c r="P2120" s="2" t="s">
        <v>11038</v>
      </c>
      <c r="Q2120" s="2">
        <f>AVERAGE(PerfRate[[#This Row],[EnvironmentSatisfaction]],PerfRate[[#This Row],[JobSatisfaction]],PerfRate[[#This Row],[RelationshipSatisfaction]])</f>
        <v>4.333333333333333</v>
      </c>
      <c r="R2120" s="2">
        <f>PerfRate[[#This Row],[ManagerRating]] - PerfRate[[#This Row],[SelfRating]]</f>
        <v>0</v>
      </c>
    </row>
    <row r="2121" spans="1:18">
      <c r="A2121" s="2" t="s">
        <v>6428</v>
      </c>
      <c r="B2121" s="2" t="s">
        <v>1968</v>
      </c>
      <c r="C2121" s="1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  <c r="L2121" s="2" t="s">
        <v>11031</v>
      </c>
      <c r="M2121" s="2" t="s">
        <v>11031</v>
      </c>
      <c r="N2121" s="2" t="s">
        <v>11036</v>
      </c>
      <c r="O2121" s="2" t="s">
        <v>11038</v>
      </c>
      <c r="P2121" s="2" t="s">
        <v>11036</v>
      </c>
      <c r="Q2121" s="2">
        <f>AVERAGE(PerfRate[[#This Row],[EnvironmentSatisfaction]],PerfRate[[#This Row],[JobSatisfaction]],PerfRate[[#This Row],[RelationshipSatisfaction]])</f>
        <v>3.6666666666666665</v>
      </c>
      <c r="R2121" s="2">
        <f>PerfRate[[#This Row],[ManagerRating]] - PerfRate[[#This Row],[SelfRating]]</f>
        <v>0</v>
      </c>
    </row>
    <row r="2122" spans="1:18">
      <c r="A2122" s="2" t="s">
        <v>6429</v>
      </c>
      <c r="B2122" s="2" t="s">
        <v>1082</v>
      </c>
      <c r="C2122" s="1">
        <v>43619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  <c r="L2122" s="2" t="s">
        <v>11030</v>
      </c>
      <c r="M2122" s="2" t="s">
        <v>11029</v>
      </c>
      <c r="N2122" s="2" t="s">
        <v>11037</v>
      </c>
      <c r="O2122" s="2" t="s">
        <v>11038</v>
      </c>
      <c r="P2122" s="2" t="s">
        <v>11038</v>
      </c>
      <c r="Q2122" s="2">
        <f>AVERAGE(PerfRate[[#This Row],[EnvironmentSatisfaction]],PerfRate[[#This Row],[JobSatisfaction]],PerfRate[[#This Row],[RelationshipSatisfaction]])</f>
        <v>4.666666666666667</v>
      </c>
      <c r="R2122" s="2">
        <f>PerfRate[[#This Row],[ManagerRating]] - PerfRate[[#This Row],[SelfRating]]</f>
        <v>-1</v>
      </c>
    </row>
    <row r="2123" spans="1:18">
      <c r="A2123" s="2" t="s">
        <v>6430</v>
      </c>
      <c r="B2123" s="2" t="s">
        <v>2879</v>
      </c>
      <c r="C2123" s="1">
        <v>43619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  <c r="L2123" s="2" t="s">
        <v>11029</v>
      </c>
      <c r="M2123" s="2" t="s">
        <v>11029</v>
      </c>
      <c r="N2123" s="2" t="s">
        <v>11037</v>
      </c>
      <c r="O2123" s="2" t="s">
        <v>11037</v>
      </c>
      <c r="P2123" s="2" t="s">
        <v>11038</v>
      </c>
      <c r="Q2123" s="2">
        <f>AVERAGE(PerfRate[[#This Row],[EnvironmentSatisfaction]],PerfRate[[#This Row],[JobSatisfaction]],PerfRate[[#This Row],[RelationshipSatisfaction]])</f>
        <v>4.333333333333333</v>
      </c>
      <c r="R2123" s="2">
        <f>PerfRate[[#This Row],[ManagerRating]] - PerfRate[[#This Row],[SelfRating]]</f>
        <v>0</v>
      </c>
    </row>
    <row r="2124" spans="1:18">
      <c r="A2124" s="2" t="s">
        <v>6431</v>
      </c>
      <c r="B2124" s="2" t="s">
        <v>1652</v>
      </c>
      <c r="C2124" s="1">
        <v>43619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  <c r="L2124" s="2" t="s">
        <v>11031</v>
      </c>
      <c r="M2124" s="2" t="s">
        <v>11031</v>
      </c>
      <c r="N2124" s="2" t="s">
        <v>11036</v>
      </c>
      <c r="O2124" s="2" t="s">
        <v>11036</v>
      </c>
      <c r="P2124" s="2" t="s">
        <v>11038</v>
      </c>
      <c r="Q2124" s="2">
        <f>AVERAGE(PerfRate[[#This Row],[EnvironmentSatisfaction]],PerfRate[[#This Row],[JobSatisfaction]],PerfRate[[#This Row],[RelationshipSatisfaction]])</f>
        <v>3.6666666666666665</v>
      </c>
      <c r="R2124" s="2">
        <f>PerfRate[[#This Row],[ManagerRating]] - PerfRate[[#This Row],[SelfRating]]</f>
        <v>0</v>
      </c>
    </row>
    <row r="2125" spans="1:18">
      <c r="A2125" s="2" t="s">
        <v>6432</v>
      </c>
      <c r="B2125" s="2" t="s">
        <v>2077</v>
      </c>
      <c r="C2125" s="1">
        <v>43619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  <c r="L2125" s="2" t="s">
        <v>11029</v>
      </c>
      <c r="M2125" s="2" t="s">
        <v>11028</v>
      </c>
      <c r="N2125" s="2" t="s">
        <v>11036</v>
      </c>
      <c r="O2125" s="2" t="s">
        <v>11035</v>
      </c>
      <c r="P2125" s="2" t="s">
        <v>11035</v>
      </c>
      <c r="Q2125" s="2">
        <f>AVERAGE(PerfRate[[#This Row],[EnvironmentSatisfaction]],PerfRate[[#This Row],[JobSatisfaction]],PerfRate[[#This Row],[RelationshipSatisfaction]])</f>
        <v>2.3333333333333335</v>
      </c>
      <c r="R2125" s="2">
        <f>PerfRate[[#This Row],[ManagerRating]] - PerfRate[[#This Row],[SelfRating]]</f>
        <v>-1</v>
      </c>
    </row>
    <row r="2126" spans="1:18">
      <c r="A2126" s="2" t="s">
        <v>6433</v>
      </c>
      <c r="B2126" s="2" t="s">
        <v>3028</v>
      </c>
      <c r="C2126" s="1">
        <v>43619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  <c r="L2126" s="2" t="s">
        <v>11031</v>
      </c>
      <c r="M2126" s="2" t="s">
        <v>11030</v>
      </c>
      <c r="N2126" s="2" t="s">
        <v>11038</v>
      </c>
      <c r="O2126" s="2" t="s">
        <v>11035</v>
      </c>
      <c r="P2126" s="2" t="s">
        <v>11035</v>
      </c>
      <c r="Q2126" s="2">
        <f>AVERAGE(PerfRate[[#This Row],[EnvironmentSatisfaction]],PerfRate[[#This Row],[JobSatisfaction]],PerfRate[[#This Row],[RelationshipSatisfaction]])</f>
        <v>3</v>
      </c>
      <c r="R2126" s="2">
        <f>PerfRate[[#This Row],[ManagerRating]] - PerfRate[[#This Row],[SelfRating]]</f>
        <v>-1</v>
      </c>
    </row>
    <row r="2127" spans="1:18">
      <c r="A2127" s="2" t="s">
        <v>6434</v>
      </c>
      <c r="B2127" s="2" t="s">
        <v>838</v>
      </c>
      <c r="C2127" s="1">
        <v>43649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  <c r="L2127" s="2" t="s">
        <v>11029</v>
      </c>
      <c r="M2127" s="2" t="s">
        <v>11029</v>
      </c>
      <c r="N2127" s="2" t="s">
        <v>11036</v>
      </c>
      <c r="O2127" s="2" t="s">
        <v>11038</v>
      </c>
      <c r="P2127" s="2" t="s">
        <v>11036</v>
      </c>
      <c r="Q2127" s="2">
        <f>AVERAGE(PerfRate[[#This Row],[EnvironmentSatisfaction]],PerfRate[[#This Row],[JobSatisfaction]],PerfRate[[#This Row],[RelationshipSatisfaction]])</f>
        <v>3.6666666666666665</v>
      </c>
      <c r="R2127" s="2">
        <f>PerfRate[[#This Row],[ManagerRating]] - PerfRate[[#This Row],[SelfRating]]</f>
        <v>0</v>
      </c>
    </row>
    <row r="2128" spans="1:18">
      <c r="A2128" s="2" t="s">
        <v>6435</v>
      </c>
      <c r="B2128" s="2" t="s">
        <v>1674</v>
      </c>
      <c r="C2128" s="1">
        <v>43649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  <c r="L2128" s="2" t="s">
        <v>11030</v>
      </c>
      <c r="M2128" s="2" t="s">
        <v>11029</v>
      </c>
      <c r="N2128" s="2" t="s">
        <v>11037</v>
      </c>
      <c r="O2128" s="2" t="s">
        <v>11036</v>
      </c>
      <c r="P2128" s="2" t="s">
        <v>11038</v>
      </c>
      <c r="Q2128" s="2">
        <f>AVERAGE(PerfRate[[#This Row],[EnvironmentSatisfaction]],PerfRate[[#This Row],[JobSatisfaction]],PerfRate[[#This Row],[RelationshipSatisfaction]])</f>
        <v>4</v>
      </c>
      <c r="R2128" s="2">
        <f>PerfRate[[#This Row],[ManagerRating]] - PerfRate[[#This Row],[SelfRating]]</f>
        <v>-1</v>
      </c>
    </row>
    <row r="2129" spans="1:18">
      <c r="A2129" s="2" t="s">
        <v>6436</v>
      </c>
      <c r="B2129" s="2" t="s">
        <v>86</v>
      </c>
      <c r="C2129" s="1">
        <v>43649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  <c r="L2129" s="2" t="s">
        <v>11031</v>
      </c>
      <c r="M2129" s="2" t="s">
        <v>11030</v>
      </c>
      <c r="N2129" s="2" t="s">
        <v>11037</v>
      </c>
      <c r="O2129" s="2" t="s">
        <v>11038</v>
      </c>
      <c r="P2129" s="2" t="s">
        <v>11035</v>
      </c>
      <c r="Q2129" s="2">
        <f>AVERAGE(PerfRate[[#This Row],[EnvironmentSatisfaction]],PerfRate[[#This Row],[JobSatisfaction]],PerfRate[[#This Row],[RelationshipSatisfaction]])</f>
        <v>3.6666666666666665</v>
      </c>
      <c r="R2129" s="2">
        <f>PerfRate[[#This Row],[ManagerRating]] - PerfRate[[#This Row],[SelfRating]]</f>
        <v>-1</v>
      </c>
    </row>
    <row r="2130" spans="1:18">
      <c r="A2130" s="2" t="s">
        <v>6437</v>
      </c>
      <c r="B2130" s="2" t="s">
        <v>4183</v>
      </c>
      <c r="C2130" s="1">
        <v>43649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  <c r="L2130" s="2" t="s">
        <v>11030</v>
      </c>
      <c r="M2130" s="2" t="s">
        <v>11029</v>
      </c>
      <c r="N2130" s="2" t="s">
        <v>11038</v>
      </c>
      <c r="O2130" s="2" t="s">
        <v>11038</v>
      </c>
      <c r="P2130" s="2" t="s">
        <v>11038</v>
      </c>
      <c r="Q2130" s="2">
        <f>AVERAGE(PerfRate[[#This Row],[EnvironmentSatisfaction]],PerfRate[[#This Row],[JobSatisfaction]],PerfRate[[#This Row],[RelationshipSatisfaction]])</f>
        <v>5</v>
      </c>
      <c r="R2130" s="2">
        <f>PerfRate[[#This Row],[ManagerRating]] - PerfRate[[#This Row],[SelfRating]]</f>
        <v>-1</v>
      </c>
    </row>
    <row r="2131" spans="1:18">
      <c r="A2131" s="2" t="s">
        <v>6438</v>
      </c>
      <c r="B2131" s="2" t="s">
        <v>1359</v>
      </c>
      <c r="C2131" s="1">
        <v>43680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  <c r="L2131" s="2" t="s">
        <v>11031</v>
      </c>
      <c r="M2131" s="2" t="s">
        <v>11031</v>
      </c>
      <c r="N2131" s="2" t="s">
        <v>11038</v>
      </c>
      <c r="O2131" s="2" t="s">
        <v>11038</v>
      </c>
      <c r="P2131" s="2" t="s">
        <v>11036</v>
      </c>
      <c r="Q2131" s="2">
        <f>AVERAGE(PerfRate[[#This Row],[EnvironmentSatisfaction]],PerfRate[[#This Row],[JobSatisfaction]],PerfRate[[#This Row],[RelationshipSatisfaction]])</f>
        <v>4.333333333333333</v>
      </c>
      <c r="R2131" s="2">
        <f>PerfRate[[#This Row],[ManagerRating]] - PerfRate[[#This Row],[SelfRating]]</f>
        <v>0</v>
      </c>
    </row>
    <row r="2132" spans="1:18">
      <c r="A2132" s="2" t="s">
        <v>6439</v>
      </c>
      <c r="B2132" s="2" t="s">
        <v>4002</v>
      </c>
      <c r="C2132" s="1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  <c r="L2132" s="2" t="s">
        <v>11029</v>
      </c>
      <c r="M2132" s="2" t="s">
        <v>11029</v>
      </c>
      <c r="N2132" s="2" t="s">
        <v>11038</v>
      </c>
      <c r="O2132" s="2" t="s">
        <v>11036</v>
      </c>
      <c r="P2132" s="2" t="s">
        <v>11037</v>
      </c>
      <c r="Q2132" s="2">
        <f>AVERAGE(PerfRate[[#This Row],[EnvironmentSatisfaction]],PerfRate[[#This Row],[JobSatisfaction]],PerfRate[[#This Row],[RelationshipSatisfaction]])</f>
        <v>4</v>
      </c>
      <c r="R2132" s="2">
        <f>PerfRate[[#This Row],[ManagerRating]] - PerfRate[[#This Row],[SelfRating]]</f>
        <v>0</v>
      </c>
    </row>
    <row r="2133" spans="1:18">
      <c r="A2133" s="2" t="s">
        <v>6440</v>
      </c>
      <c r="B2133" s="2" t="s">
        <v>800</v>
      </c>
      <c r="C2133" s="1">
        <v>43711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  <c r="L2133" s="2" t="s">
        <v>11030</v>
      </c>
      <c r="M2133" s="2" t="s">
        <v>11029</v>
      </c>
      <c r="N2133" s="2" t="s">
        <v>11037</v>
      </c>
      <c r="O2133" s="2" t="s">
        <v>11035</v>
      </c>
      <c r="P2133" s="2" t="s">
        <v>11037</v>
      </c>
      <c r="Q2133" s="2">
        <f>AVERAGE(PerfRate[[#This Row],[EnvironmentSatisfaction]],PerfRate[[#This Row],[JobSatisfaction]],PerfRate[[#This Row],[RelationshipSatisfaction]])</f>
        <v>3.3333333333333335</v>
      </c>
      <c r="R2133" s="2">
        <f>PerfRate[[#This Row],[ManagerRating]] - PerfRate[[#This Row],[SelfRating]]</f>
        <v>-1</v>
      </c>
    </row>
    <row r="2134" spans="1:18">
      <c r="A2134" s="2" t="s">
        <v>6441</v>
      </c>
      <c r="B2134" s="2" t="s">
        <v>192</v>
      </c>
      <c r="C2134" s="1">
        <v>43711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  <c r="L2134" s="2" t="s">
        <v>11030</v>
      </c>
      <c r="M2134" s="2" t="s">
        <v>11029</v>
      </c>
      <c r="N2134" s="2" t="s">
        <v>11038</v>
      </c>
      <c r="O2134" s="2" t="s">
        <v>11035</v>
      </c>
      <c r="P2134" s="2" t="s">
        <v>11037</v>
      </c>
      <c r="Q2134" s="2">
        <f>AVERAGE(PerfRate[[#This Row],[EnvironmentSatisfaction]],PerfRate[[#This Row],[JobSatisfaction]],PerfRate[[#This Row],[RelationshipSatisfaction]])</f>
        <v>3.6666666666666665</v>
      </c>
      <c r="R2134" s="2">
        <f>PerfRate[[#This Row],[ManagerRating]] - PerfRate[[#This Row],[SelfRating]]</f>
        <v>-1</v>
      </c>
    </row>
    <row r="2135" spans="1:18">
      <c r="A2135" s="2" t="s">
        <v>6442</v>
      </c>
      <c r="B2135" s="2" t="s">
        <v>571</v>
      </c>
      <c r="C2135" s="1">
        <v>43711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  <c r="L2135" s="2" t="s">
        <v>11031</v>
      </c>
      <c r="M2135" s="2" t="s">
        <v>11031</v>
      </c>
      <c r="N2135" s="2" t="s">
        <v>11036</v>
      </c>
      <c r="O2135" s="2" t="s">
        <v>11038</v>
      </c>
      <c r="P2135" s="2" t="s">
        <v>11037</v>
      </c>
      <c r="Q2135" s="2">
        <f>AVERAGE(PerfRate[[#This Row],[EnvironmentSatisfaction]],PerfRate[[#This Row],[JobSatisfaction]],PerfRate[[#This Row],[RelationshipSatisfaction]])</f>
        <v>4</v>
      </c>
      <c r="R2135" s="2">
        <f>PerfRate[[#This Row],[ManagerRating]] - PerfRate[[#This Row],[SelfRating]]</f>
        <v>0</v>
      </c>
    </row>
    <row r="2136" spans="1:18">
      <c r="A2136" s="2" t="s">
        <v>6443</v>
      </c>
      <c r="B2136" s="2" t="s">
        <v>4236</v>
      </c>
      <c r="C2136" s="1">
        <v>43741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  <c r="L2136" s="2" t="s">
        <v>11030</v>
      </c>
      <c r="M2136" s="2" t="s">
        <v>11029</v>
      </c>
      <c r="N2136" s="2" t="s">
        <v>11037</v>
      </c>
      <c r="O2136" s="2" t="s">
        <v>11035</v>
      </c>
      <c r="P2136" s="2" t="s">
        <v>11037</v>
      </c>
      <c r="Q2136" s="2">
        <f>AVERAGE(PerfRate[[#This Row],[EnvironmentSatisfaction]],PerfRate[[#This Row],[JobSatisfaction]],PerfRate[[#This Row],[RelationshipSatisfaction]])</f>
        <v>3.3333333333333335</v>
      </c>
      <c r="R2136" s="2">
        <f>PerfRate[[#This Row],[ManagerRating]] - PerfRate[[#This Row],[SelfRating]]</f>
        <v>-1</v>
      </c>
    </row>
    <row r="2137" spans="1:18">
      <c r="A2137" s="2" t="s">
        <v>6444</v>
      </c>
      <c r="B2137" s="2" t="s">
        <v>1939</v>
      </c>
      <c r="C2137" s="1">
        <v>43772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  <c r="L2137" s="2" t="s">
        <v>11030</v>
      </c>
      <c r="M2137" s="2" t="s">
        <v>11029</v>
      </c>
      <c r="N2137" s="2" t="s">
        <v>11037</v>
      </c>
      <c r="O2137" s="2" t="s">
        <v>11037</v>
      </c>
      <c r="P2137" s="2" t="s">
        <v>11036</v>
      </c>
      <c r="Q2137" s="2">
        <f>AVERAGE(PerfRate[[#This Row],[EnvironmentSatisfaction]],PerfRate[[#This Row],[JobSatisfaction]],PerfRate[[#This Row],[RelationshipSatisfaction]])</f>
        <v>3.6666666666666665</v>
      </c>
      <c r="R2137" s="2">
        <f>PerfRate[[#This Row],[ManagerRating]] - PerfRate[[#This Row],[SelfRating]]</f>
        <v>-1</v>
      </c>
    </row>
    <row r="2138" spans="1:18">
      <c r="A2138" s="2" t="s">
        <v>6445</v>
      </c>
      <c r="B2138" s="2" t="s">
        <v>3425</v>
      </c>
      <c r="C2138" s="1">
        <v>43772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  <c r="L2138" s="2" t="s">
        <v>11031</v>
      </c>
      <c r="M2138" s="2" t="s">
        <v>11031</v>
      </c>
      <c r="N2138" s="2" t="s">
        <v>11036</v>
      </c>
      <c r="O2138" s="2" t="s">
        <v>11035</v>
      </c>
      <c r="P2138" s="2" t="s">
        <v>11037</v>
      </c>
      <c r="Q2138" s="2">
        <f>AVERAGE(PerfRate[[#This Row],[EnvironmentSatisfaction]],PerfRate[[#This Row],[JobSatisfaction]],PerfRate[[#This Row],[RelationshipSatisfaction]])</f>
        <v>3</v>
      </c>
      <c r="R2138" s="2">
        <f>PerfRate[[#This Row],[ManagerRating]] - PerfRate[[#This Row],[SelfRating]]</f>
        <v>0</v>
      </c>
    </row>
    <row r="2139" spans="1:18">
      <c r="A2139" s="2" t="s">
        <v>6446</v>
      </c>
      <c r="B2139" s="2" t="s">
        <v>1686</v>
      </c>
      <c r="C2139" s="1">
        <v>43802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  <c r="L2139" s="2" t="s">
        <v>11030</v>
      </c>
      <c r="M2139" s="2" t="s">
        <v>11029</v>
      </c>
      <c r="N2139" s="2" t="s">
        <v>11038</v>
      </c>
      <c r="O2139" s="2" t="s">
        <v>11038</v>
      </c>
      <c r="P2139" s="2" t="s">
        <v>11037</v>
      </c>
      <c r="Q2139" s="2">
        <f>AVERAGE(PerfRate[[#This Row],[EnvironmentSatisfaction]],PerfRate[[#This Row],[JobSatisfaction]],PerfRate[[#This Row],[RelationshipSatisfaction]])</f>
        <v>4.666666666666667</v>
      </c>
      <c r="R2139" s="2">
        <f>PerfRate[[#This Row],[ManagerRating]] - PerfRate[[#This Row],[SelfRating]]</f>
        <v>-1</v>
      </c>
    </row>
    <row r="2140" spans="1:18">
      <c r="A2140" s="2" t="s">
        <v>6447</v>
      </c>
      <c r="B2140" s="2" t="s">
        <v>365</v>
      </c>
      <c r="C2140" s="1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  <c r="L2140" s="2" t="s">
        <v>11030</v>
      </c>
      <c r="M2140" s="2" t="s">
        <v>11030</v>
      </c>
      <c r="N2140" s="2" t="s">
        <v>11037</v>
      </c>
      <c r="O2140" s="2" t="s">
        <v>11035</v>
      </c>
      <c r="P2140" s="2" t="s">
        <v>11037</v>
      </c>
      <c r="Q2140" s="2">
        <f>AVERAGE(PerfRate[[#This Row],[EnvironmentSatisfaction]],PerfRate[[#This Row],[JobSatisfaction]],PerfRate[[#This Row],[RelationshipSatisfaction]])</f>
        <v>3.3333333333333335</v>
      </c>
      <c r="R2140" s="2">
        <f>PerfRate[[#This Row],[ManagerRating]] - PerfRate[[#This Row],[SelfRating]]</f>
        <v>0</v>
      </c>
    </row>
    <row r="2141" spans="1:18">
      <c r="A2141" s="2" t="s">
        <v>6448</v>
      </c>
      <c r="B2141" s="2" t="s">
        <v>943</v>
      </c>
      <c r="C2141" s="1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  <c r="L2141" s="2" t="s">
        <v>11031</v>
      </c>
      <c r="M2141" s="2" t="s">
        <v>11030</v>
      </c>
      <c r="N2141" s="2" t="s">
        <v>11038</v>
      </c>
      <c r="O2141" s="2" t="s">
        <v>11035</v>
      </c>
      <c r="P2141" s="2" t="s">
        <v>11037</v>
      </c>
      <c r="Q2141" s="2">
        <f>AVERAGE(PerfRate[[#This Row],[EnvironmentSatisfaction]],PerfRate[[#This Row],[JobSatisfaction]],PerfRate[[#This Row],[RelationshipSatisfaction]])</f>
        <v>3.6666666666666665</v>
      </c>
      <c r="R2141" s="2">
        <f>PerfRate[[#This Row],[ManagerRating]] - PerfRate[[#This Row],[SelfRating]]</f>
        <v>-1</v>
      </c>
    </row>
    <row r="2142" spans="1:18">
      <c r="A2142" s="2" t="s">
        <v>6449</v>
      </c>
      <c r="B2142" s="2" t="s">
        <v>823</v>
      </c>
      <c r="C2142" s="1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  <c r="L2142" s="2" t="s">
        <v>11029</v>
      </c>
      <c r="M2142" s="2" t="s">
        <v>11029</v>
      </c>
      <c r="N2142" s="2" t="s">
        <v>11037</v>
      </c>
      <c r="O2142" s="2" t="s">
        <v>11038</v>
      </c>
      <c r="P2142" s="2" t="s">
        <v>11037</v>
      </c>
      <c r="Q2142" s="2">
        <f>AVERAGE(PerfRate[[#This Row],[EnvironmentSatisfaction]],PerfRate[[#This Row],[JobSatisfaction]],PerfRate[[#This Row],[RelationshipSatisfaction]])</f>
        <v>4.333333333333333</v>
      </c>
      <c r="R2142" s="2">
        <f>PerfRate[[#This Row],[ManagerRating]] - PerfRate[[#This Row],[SelfRating]]</f>
        <v>0</v>
      </c>
    </row>
    <row r="2143" spans="1:18">
      <c r="A2143" s="2" t="s">
        <v>6450</v>
      </c>
      <c r="B2143" s="2" t="s">
        <v>3881</v>
      </c>
      <c r="C2143" s="1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  <c r="L2143" s="2" t="s">
        <v>11031</v>
      </c>
      <c r="M2143" s="2" t="s">
        <v>11030</v>
      </c>
      <c r="N2143" s="2" t="s">
        <v>11036</v>
      </c>
      <c r="O2143" s="2" t="s">
        <v>11037</v>
      </c>
      <c r="P2143" s="2" t="s">
        <v>11037</v>
      </c>
      <c r="Q2143" s="2">
        <f>AVERAGE(PerfRate[[#This Row],[EnvironmentSatisfaction]],PerfRate[[#This Row],[JobSatisfaction]],PerfRate[[#This Row],[RelationshipSatisfaction]])</f>
        <v>3.6666666666666665</v>
      </c>
      <c r="R2143" s="2">
        <f>PerfRate[[#This Row],[ManagerRating]] - PerfRate[[#This Row],[SelfRating]]</f>
        <v>-1</v>
      </c>
    </row>
    <row r="2144" spans="1:18">
      <c r="A2144" s="2" t="s">
        <v>6451</v>
      </c>
      <c r="B2144" s="2" t="s">
        <v>577</v>
      </c>
      <c r="C2144" s="1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  <c r="L2144" s="2" t="s">
        <v>11030</v>
      </c>
      <c r="M2144" s="2" t="s">
        <v>11029</v>
      </c>
      <c r="N2144" s="2" t="s">
        <v>11038</v>
      </c>
      <c r="O2144" s="2" t="s">
        <v>11038</v>
      </c>
      <c r="P2144" s="2" t="s">
        <v>11036</v>
      </c>
      <c r="Q2144" s="2">
        <f>AVERAGE(PerfRate[[#This Row],[EnvironmentSatisfaction]],PerfRate[[#This Row],[JobSatisfaction]],PerfRate[[#This Row],[RelationshipSatisfaction]])</f>
        <v>4.333333333333333</v>
      </c>
      <c r="R2144" s="2">
        <f>PerfRate[[#This Row],[ManagerRating]] - PerfRate[[#This Row],[SelfRating]]</f>
        <v>-1</v>
      </c>
    </row>
    <row r="2145" spans="1:18">
      <c r="A2145" s="2" t="s">
        <v>6452</v>
      </c>
      <c r="B2145" s="2" t="s">
        <v>2605</v>
      </c>
      <c r="C2145" s="1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  <c r="L2145" s="2" t="s">
        <v>11029</v>
      </c>
      <c r="M2145" s="2" t="s">
        <v>11028</v>
      </c>
      <c r="N2145" s="2" t="s">
        <v>11038</v>
      </c>
      <c r="O2145" s="2" t="s">
        <v>11037</v>
      </c>
      <c r="P2145" s="2" t="s">
        <v>11036</v>
      </c>
      <c r="Q2145" s="2">
        <f>AVERAGE(PerfRate[[#This Row],[EnvironmentSatisfaction]],PerfRate[[#This Row],[JobSatisfaction]],PerfRate[[#This Row],[RelationshipSatisfaction]])</f>
        <v>4</v>
      </c>
      <c r="R2145" s="2">
        <f>PerfRate[[#This Row],[ManagerRating]] - PerfRate[[#This Row],[SelfRating]]</f>
        <v>-1</v>
      </c>
    </row>
    <row r="2146" spans="1:18">
      <c r="A2146" s="2" t="s">
        <v>6453</v>
      </c>
      <c r="B2146" s="2" t="s">
        <v>520</v>
      </c>
      <c r="C2146" s="1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  <c r="L2146" s="2" t="s">
        <v>11030</v>
      </c>
      <c r="M2146" s="2" t="s">
        <v>11030</v>
      </c>
      <c r="N2146" s="2" t="s">
        <v>11037</v>
      </c>
      <c r="O2146" s="2" t="s">
        <v>11037</v>
      </c>
      <c r="P2146" s="2" t="s">
        <v>11035</v>
      </c>
      <c r="Q2146" s="2">
        <f>AVERAGE(PerfRate[[#This Row],[EnvironmentSatisfaction]],PerfRate[[#This Row],[JobSatisfaction]],PerfRate[[#This Row],[RelationshipSatisfaction]])</f>
        <v>3.3333333333333335</v>
      </c>
      <c r="R2146" s="2">
        <f>PerfRate[[#This Row],[ManagerRating]] - PerfRate[[#This Row],[SelfRating]]</f>
        <v>0</v>
      </c>
    </row>
    <row r="2147" spans="1:18">
      <c r="A2147" s="2" t="s">
        <v>6454</v>
      </c>
      <c r="B2147" s="2" t="s">
        <v>302</v>
      </c>
      <c r="C2147" s="1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  <c r="L2147" s="2" t="s">
        <v>11031</v>
      </c>
      <c r="M2147" s="2" t="s">
        <v>11031</v>
      </c>
      <c r="N2147" s="2" t="s">
        <v>11036</v>
      </c>
      <c r="O2147" s="2" t="s">
        <v>11037</v>
      </c>
      <c r="P2147" s="2" t="s">
        <v>11038</v>
      </c>
      <c r="Q2147" s="2">
        <f>AVERAGE(PerfRate[[#This Row],[EnvironmentSatisfaction]],PerfRate[[#This Row],[JobSatisfaction]],PerfRate[[#This Row],[RelationshipSatisfaction]])</f>
        <v>4</v>
      </c>
      <c r="R2147" s="2">
        <f>PerfRate[[#This Row],[ManagerRating]] - PerfRate[[#This Row],[SelfRating]]</f>
        <v>0</v>
      </c>
    </row>
    <row r="2148" spans="1:18">
      <c r="A2148" s="2" t="s">
        <v>6455</v>
      </c>
      <c r="B2148" s="2" t="s">
        <v>1590</v>
      </c>
      <c r="C2148" s="1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  <c r="L2148" s="2" t="s">
        <v>11030</v>
      </c>
      <c r="M2148" s="2" t="s">
        <v>11030</v>
      </c>
      <c r="N2148" s="2" t="s">
        <v>11036</v>
      </c>
      <c r="O2148" s="2" t="s">
        <v>11036</v>
      </c>
      <c r="P2148" s="2" t="s">
        <v>11037</v>
      </c>
      <c r="Q2148" s="2">
        <f>AVERAGE(PerfRate[[#This Row],[EnvironmentSatisfaction]],PerfRate[[#This Row],[JobSatisfaction]],PerfRate[[#This Row],[RelationshipSatisfaction]])</f>
        <v>3.3333333333333335</v>
      </c>
      <c r="R2148" s="2">
        <f>PerfRate[[#This Row],[ManagerRating]] - PerfRate[[#This Row],[SelfRating]]</f>
        <v>0</v>
      </c>
    </row>
    <row r="2149" spans="1:18">
      <c r="A2149" s="2" t="s">
        <v>6456</v>
      </c>
      <c r="B2149" s="2" t="s">
        <v>1804</v>
      </c>
      <c r="C2149" s="1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  <c r="L2149" s="2" t="s">
        <v>11029</v>
      </c>
      <c r="M2149" s="2" t="s">
        <v>11029</v>
      </c>
      <c r="N2149" s="2" t="s">
        <v>11038</v>
      </c>
      <c r="O2149" s="2" t="s">
        <v>11038</v>
      </c>
      <c r="P2149" s="2" t="s">
        <v>11038</v>
      </c>
      <c r="Q2149" s="2">
        <f>AVERAGE(PerfRate[[#This Row],[EnvironmentSatisfaction]],PerfRate[[#This Row],[JobSatisfaction]],PerfRate[[#This Row],[RelationshipSatisfaction]])</f>
        <v>5</v>
      </c>
      <c r="R2149" s="2">
        <f>PerfRate[[#This Row],[ManagerRating]] - PerfRate[[#This Row],[SelfRating]]</f>
        <v>0</v>
      </c>
    </row>
    <row r="2150" spans="1:18">
      <c r="A2150" s="2" t="s">
        <v>6457</v>
      </c>
      <c r="B2150" s="2" t="s">
        <v>1283</v>
      </c>
      <c r="C2150" s="1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  <c r="L2150" s="2" t="s">
        <v>11029</v>
      </c>
      <c r="M2150" s="2" t="s">
        <v>11028</v>
      </c>
      <c r="N2150" s="2" t="s">
        <v>11036</v>
      </c>
      <c r="O2150" s="2" t="s">
        <v>11037</v>
      </c>
      <c r="P2150" s="2" t="s">
        <v>11037</v>
      </c>
      <c r="Q2150" s="2">
        <f>AVERAGE(PerfRate[[#This Row],[EnvironmentSatisfaction]],PerfRate[[#This Row],[JobSatisfaction]],PerfRate[[#This Row],[RelationshipSatisfaction]])</f>
        <v>3.6666666666666665</v>
      </c>
      <c r="R2150" s="2">
        <f>PerfRate[[#This Row],[ManagerRating]] - PerfRate[[#This Row],[SelfRating]]</f>
        <v>-1</v>
      </c>
    </row>
    <row r="2151" spans="1:18">
      <c r="A2151" s="2" t="s">
        <v>6458</v>
      </c>
      <c r="B2151" s="2" t="s">
        <v>2106</v>
      </c>
      <c r="C2151" s="1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  <c r="L2151" s="2" t="s">
        <v>11031</v>
      </c>
      <c r="M2151" s="2" t="s">
        <v>11030</v>
      </c>
      <c r="N2151" s="2" t="s">
        <v>11038</v>
      </c>
      <c r="O2151" s="2" t="s">
        <v>11037</v>
      </c>
      <c r="P2151" s="2" t="s">
        <v>11037</v>
      </c>
      <c r="Q2151" s="2">
        <f>AVERAGE(PerfRate[[#This Row],[EnvironmentSatisfaction]],PerfRate[[#This Row],[JobSatisfaction]],PerfRate[[#This Row],[RelationshipSatisfaction]])</f>
        <v>4.333333333333333</v>
      </c>
      <c r="R2151" s="2">
        <f>PerfRate[[#This Row],[ManagerRating]] - PerfRate[[#This Row],[SelfRating]]</f>
        <v>-1</v>
      </c>
    </row>
    <row r="2152" spans="1:18">
      <c r="A2152" s="2" t="s">
        <v>6459</v>
      </c>
      <c r="B2152" s="2" t="s">
        <v>586</v>
      </c>
      <c r="C2152" s="1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  <c r="L2152" s="2" t="s">
        <v>11031</v>
      </c>
      <c r="M2152" s="2" t="s">
        <v>11030</v>
      </c>
      <c r="N2152" s="2" t="s">
        <v>11037</v>
      </c>
      <c r="O2152" s="2" t="s">
        <v>11038</v>
      </c>
      <c r="P2152" s="2" t="s">
        <v>11035</v>
      </c>
      <c r="Q2152" s="2">
        <f>AVERAGE(PerfRate[[#This Row],[EnvironmentSatisfaction]],PerfRate[[#This Row],[JobSatisfaction]],PerfRate[[#This Row],[RelationshipSatisfaction]])</f>
        <v>3.6666666666666665</v>
      </c>
      <c r="R2152" s="2">
        <f>PerfRate[[#This Row],[ManagerRating]] - PerfRate[[#This Row],[SelfRating]]</f>
        <v>-1</v>
      </c>
    </row>
    <row r="2153" spans="1:18">
      <c r="A2153" s="2" t="s">
        <v>6460</v>
      </c>
      <c r="B2153" s="2" t="s">
        <v>826</v>
      </c>
      <c r="C2153" s="1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  <c r="L2153" s="2" t="s">
        <v>11031</v>
      </c>
      <c r="M2153" s="2" t="s">
        <v>11031</v>
      </c>
      <c r="N2153" s="2" t="s">
        <v>11036</v>
      </c>
      <c r="O2153" s="2" t="s">
        <v>11037</v>
      </c>
      <c r="P2153" s="2" t="s">
        <v>11037</v>
      </c>
      <c r="Q2153" s="2">
        <f>AVERAGE(PerfRate[[#This Row],[EnvironmentSatisfaction]],PerfRate[[#This Row],[JobSatisfaction]],PerfRate[[#This Row],[RelationshipSatisfaction]])</f>
        <v>3.6666666666666665</v>
      </c>
      <c r="R2153" s="2">
        <f>PerfRate[[#This Row],[ManagerRating]] - PerfRate[[#This Row],[SelfRating]]</f>
        <v>0</v>
      </c>
    </row>
    <row r="2154" spans="1:18">
      <c r="A2154" s="2" t="s">
        <v>6461</v>
      </c>
      <c r="B2154" s="2" t="s">
        <v>4023</v>
      </c>
      <c r="C2154" s="1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  <c r="L2154" s="2" t="s">
        <v>11030</v>
      </c>
      <c r="M2154" s="2" t="s">
        <v>11029</v>
      </c>
      <c r="N2154" s="2" t="s">
        <v>11038</v>
      </c>
      <c r="O2154" s="2" t="s">
        <v>11036</v>
      </c>
      <c r="P2154" s="2" t="s">
        <v>11035</v>
      </c>
      <c r="Q2154" s="2">
        <f>AVERAGE(PerfRate[[#This Row],[EnvironmentSatisfaction]],PerfRate[[#This Row],[JobSatisfaction]],PerfRate[[#This Row],[RelationshipSatisfaction]])</f>
        <v>3.3333333333333335</v>
      </c>
      <c r="R2154" s="2">
        <f>PerfRate[[#This Row],[ManagerRating]] - PerfRate[[#This Row],[SelfRating]]</f>
        <v>-1</v>
      </c>
    </row>
    <row r="2155" spans="1:18">
      <c r="A2155" s="2" t="s">
        <v>6462</v>
      </c>
      <c r="B2155" s="2" t="s">
        <v>281</v>
      </c>
      <c r="C2155" s="1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  <c r="L2155" s="2" t="s">
        <v>11031</v>
      </c>
      <c r="M2155" s="2" t="s">
        <v>11030</v>
      </c>
      <c r="N2155" s="2" t="s">
        <v>11037</v>
      </c>
      <c r="O2155" s="2" t="s">
        <v>11036</v>
      </c>
      <c r="P2155" s="2" t="s">
        <v>11038</v>
      </c>
      <c r="Q2155" s="2">
        <f>AVERAGE(PerfRate[[#This Row],[EnvironmentSatisfaction]],PerfRate[[#This Row],[JobSatisfaction]],PerfRate[[#This Row],[RelationshipSatisfaction]])</f>
        <v>4</v>
      </c>
      <c r="R2155" s="2">
        <f>PerfRate[[#This Row],[ManagerRating]] - PerfRate[[#This Row],[SelfRating]]</f>
        <v>-1</v>
      </c>
    </row>
    <row r="2156" spans="1:18">
      <c r="A2156" s="2" t="s">
        <v>6463</v>
      </c>
      <c r="B2156" s="2" t="s">
        <v>1620</v>
      </c>
      <c r="C2156" s="1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  <c r="L2156" s="2" t="s">
        <v>11029</v>
      </c>
      <c r="M2156" s="2" t="s">
        <v>11028</v>
      </c>
      <c r="N2156" s="2" t="s">
        <v>11037</v>
      </c>
      <c r="O2156" s="2" t="s">
        <v>11035</v>
      </c>
      <c r="P2156" s="2" t="s">
        <v>11037</v>
      </c>
      <c r="Q2156" s="2">
        <f>AVERAGE(PerfRate[[#This Row],[EnvironmentSatisfaction]],PerfRate[[#This Row],[JobSatisfaction]],PerfRate[[#This Row],[RelationshipSatisfaction]])</f>
        <v>3.3333333333333335</v>
      </c>
      <c r="R2156" s="2">
        <f>PerfRate[[#This Row],[ManagerRating]] - PerfRate[[#This Row],[SelfRating]]</f>
        <v>-1</v>
      </c>
    </row>
    <row r="2157" spans="1:18">
      <c r="A2157" s="2" t="s">
        <v>6464</v>
      </c>
      <c r="B2157" s="2" t="s">
        <v>362</v>
      </c>
      <c r="C2157" s="1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  <c r="L2157" s="2" t="s">
        <v>11031</v>
      </c>
      <c r="M2157" s="2" t="s">
        <v>11030</v>
      </c>
      <c r="N2157" s="2" t="s">
        <v>11036</v>
      </c>
      <c r="O2157" s="2" t="s">
        <v>11038</v>
      </c>
      <c r="P2157" s="2" t="s">
        <v>11035</v>
      </c>
      <c r="Q2157" s="2">
        <f>AVERAGE(PerfRate[[#This Row],[EnvironmentSatisfaction]],PerfRate[[#This Row],[JobSatisfaction]],PerfRate[[#This Row],[RelationshipSatisfaction]])</f>
        <v>3.3333333333333335</v>
      </c>
      <c r="R2157" s="2">
        <f>PerfRate[[#This Row],[ManagerRating]] - PerfRate[[#This Row],[SelfRating]]</f>
        <v>-1</v>
      </c>
    </row>
    <row r="2158" spans="1:18">
      <c r="A2158" s="2" t="s">
        <v>6465</v>
      </c>
      <c r="B2158" s="2" t="s">
        <v>1942</v>
      </c>
      <c r="C2158" s="1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  <c r="L2158" s="2" t="s">
        <v>11030</v>
      </c>
      <c r="M2158" s="2" t="s">
        <v>11029</v>
      </c>
      <c r="N2158" s="2" t="s">
        <v>11036</v>
      </c>
      <c r="O2158" s="2" t="s">
        <v>11036</v>
      </c>
      <c r="P2158" s="2" t="s">
        <v>11036</v>
      </c>
      <c r="Q2158" s="2">
        <f>AVERAGE(PerfRate[[#This Row],[EnvironmentSatisfaction]],PerfRate[[#This Row],[JobSatisfaction]],PerfRate[[#This Row],[RelationshipSatisfaction]])</f>
        <v>3</v>
      </c>
      <c r="R2158" s="2">
        <f>PerfRate[[#This Row],[ManagerRating]] - PerfRate[[#This Row],[SelfRating]]</f>
        <v>-1</v>
      </c>
    </row>
    <row r="2159" spans="1:18">
      <c r="A2159" s="2" t="s">
        <v>6466</v>
      </c>
      <c r="B2159" s="2" t="s">
        <v>2097</v>
      </c>
      <c r="C2159" s="1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  <c r="L2159" s="2" t="s">
        <v>11031</v>
      </c>
      <c r="M2159" s="2" t="s">
        <v>11030</v>
      </c>
      <c r="N2159" s="2" t="s">
        <v>11037</v>
      </c>
      <c r="O2159" s="2" t="s">
        <v>11036</v>
      </c>
      <c r="P2159" s="2" t="s">
        <v>11035</v>
      </c>
      <c r="Q2159" s="2">
        <f>AVERAGE(PerfRate[[#This Row],[EnvironmentSatisfaction]],PerfRate[[#This Row],[JobSatisfaction]],PerfRate[[#This Row],[RelationshipSatisfaction]])</f>
        <v>3</v>
      </c>
      <c r="R2159" s="2">
        <f>PerfRate[[#This Row],[ManagerRating]] - PerfRate[[#This Row],[SelfRating]]</f>
        <v>-1</v>
      </c>
    </row>
    <row r="2160" spans="1:18">
      <c r="A2160" s="2" t="s">
        <v>6467</v>
      </c>
      <c r="B2160" s="2" t="s">
        <v>326</v>
      </c>
      <c r="C2160" s="1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  <c r="L2160" s="2" t="s">
        <v>11030</v>
      </c>
      <c r="M2160" s="2" t="s">
        <v>11030</v>
      </c>
      <c r="N2160" s="2" t="s">
        <v>11038</v>
      </c>
      <c r="O2160" s="2" t="s">
        <v>11036</v>
      </c>
      <c r="P2160" s="2" t="s">
        <v>11038</v>
      </c>
      <c r="Q2160" s="2">
        <f>AVERAGE(PerfRate[[#This Row],[EnvironmentSatisfaction]],PerfRate[[#This Row],[JobSatisfaction]],PerfRate[[#This Row],[RelationshipSatisfaction]])</f>
        <v>4.333333333333333</v>
      </c>
      <c r="R2160" s="2">
        <f>PerfRate[[#This Row],[ManagerRating]] - PerfRate[[#This Row],[SelfRating]]</f>
        <v>0</v>
      </c>
    </row>
    <row r="2161" spans="1:18">
      <c r="A2161" s="2" t="s">
        <v>6468</v>
      </c>
      <c r="B2161" s="2" t="s">
        <v>711</v>
      </c>
      <c r="C2161" s="1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  <c r="L2161" s="2" t="s">
        <v>11030</v>
      </c>
      <c r="M2161" s="2" t="s">
        <v>11029</v>
      </c>
      <c r="N2161" s="2" t="s">
        <v>11037</v>
      </c>
      <c r="O2161" s="2" t="s">
        <v>11035</v>
      </c>
      <c r="P2161" s="2" t="s">
        <v>11038</v>
      </c>
      <c r="Q2161" s="2">
        <f>AVERAGE(PerfRate[[#This Row],[EnvironmentSatisfaction]],PerfRate[[#This Row],[JobSatisfaction]],PerfRate[[#This Row],[RelationshipSatisfaction]])</f>
        <v>3.6666666666666665</v>
      </c>
      <c r="R2161" s="2">
        <f>PerfRate[[#This Row],[ManagerRating]] - PerfRate[[#This Row],[SelfRating]]</f>
        <v>-1</v>
      </c>
    </row>
    <row r="2162" spans="1:18">
      <c r="A2162" s="2" t="s">
        <v>6469</v>
      </c>
      <c r="B2162" s="2" t="s">
        <v>1753</v>
      </c>
      <c r="C2162" s="1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  <c r="L2162" s="2" t="s">
        <v>11030</v>
      </c>
      <c r="M2162" s="2" t="s">
        <v>11030</v>
      </c>
      <c r="N2162" s="2" t="s">
        <v>11037</v>
      </c>
      <c r="O2162" s="2" t="s">
        <v>11035</v>
      </c>
      <c r="P2162" s="2" t="s">
        <v>11037</v>
      </c>
      <c r="Q2162" s="2">
        <f>AVERAGE(PerfRate[[#This Row],[EnvironmentSatisfaction]],PerfRate[[#This Row],[JobSatisfaction]],PerfRate[[#This Row],[RelationshipSatisfaction]])</f>
        <v>3.3333333333333335</v>
      </c>
      <c r="R2162" s="2">
        <f>PerfRate[[#This Row],[ManagerRating]] - PerfRate[[#This Row],[SelfRating]]</f>
        <v>0</v>
      </c>
    </row>
    <row r="2163" spans="1:18">
      <c r="A2163" s="2" t="s">
        <v>6470</v>
      </c>
      <c r="B2163" s="2" t="s">
        <v>1453</v>
      </c>
      <c r="C2163" s="1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  <c r="L2163" s="2" t="s">
        <v>11030</v>
      </c>
      <c r="M2163" s="2" t="s">
        <v>11030</v>
      </c>
      <c r="N2163" s="2" t="s">
        <v>11036</v>
      </c>
      <c r="O2163" s="2" t="s">
        <v>11036</v>
      </c>
      <c r="P2163" s="2" t="s">
        <v>11035</v>
      </c>
      <c r="Q2163" s="2">
        <f>AVERAGE(PerfRate[[#This Row],[EnvironmentSatisfaction]],PerfRate[[#This Row],[JobSatisfaction]],PerfRate[[#This Row],[RelationshipSatisfaction]])</f>
        <v>2.6666666666666665</v>
      </c>
      <c r="R2163" s="2">
        <f>PerfRate[[#This Row],[ManagerRating]] - PerfRate[[#This Row],[SelfRating]]</f>
        <v>0</v>
      </c>
    </row>
    <row r="2164" spans="1:18">
      <c r="A2164" s="2" t="s">
        <v>6471</v>
      </c>
      <c r="B2164" s="2" t="s">
        <v>1959</v>
      </c>
      <c r="C2164" s="1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  <c r="L2164" s="2" t="s">
        <v>11030</v>
      </c>
      <c r="M2164" s="2" t="s">
        <v>11029</v>
      </c>
      <c r="N2164" s="2" t="s">
        <v>11037</v>
      </c>
      <c r="O2164" s="2" t="s">
        <v>11036</v>
      </c>
      <c r="P2164" s="2" t="s">
        <v>11037</v>
      </c>
      <c r="Q2164" s="2">
        <f>AVERAGE(PerfRate[[#This Row],[EnvironmentSatisfaction]],PerfRate[[#This Row],[JobSatisfaction]],PerfRate[[#This Row],[RelationshipSatisfaction]])</f>
        <v>3.6666666666666665</v>
      </c>
      <c r="R2164" s="2">
        <f>PerfRate[[#This Row],[ManagerRating]] - PerfRate[[#This Row],[SelfRating]]</f>
        <v>-1</v>
      </c>
    </row>
    <row r="2165" spans="1:18">
      <c r="A2165" s="2" t="s">
        <v>6472</v>
      </c>
      <c r="B2165" s="2" t="s">
        <v>1921</v>
      </c>
      <c r="C2165" s="1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  <c r="L2165" s="2" t="s">
        <v>11030</v>
      </c>
      <c r="M2165" s="2" t="s">
        <v>11030</v>
      </c>
      <c r="N2165" s="2" t="s">
        <v>11036</v>
      </c>
      <c r="O2165" s="2" t="s">
        <v>11035</v>
      </c>
      <c r="P2165" s="2" t="s">
        <v>11036</v>
      </c>
      <c r="Q2165" s="2">
        <f>AVERAGE(PerfRate[[#This Row],[EnvironmentSatisfaction]],PerfRate[[#This Row],[JobSatisfaction]],PerfRate[[#This Row],[RelationshipSatisfaction]])</f>
        <v>2.6666666666666665</v>
      </c>
      <c r="R2165" s="2">
        <f>PerfRate[[#This Row],[ManagerRating]] - PerfRate[[#This Row],[SelfRating]]</f>
        <v>0</v>
      </c>
    </row>
    <row r="2166" spans="1:18">
      <c r="A2166" s="2" t="s">
        <v>6473</v>
      </c>
      <c r="B2166" s="2" t="s">
        <v>1810</v>
      </c>
      <c r="C2166" s="1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  <c r="L2166" s="2" t="s">
        <v>11031</v>
      </c>
      <c r="M2166" s="2" t="s">
        <v>11030</v>
      </c>
      <c r="N2166" s="2" t="s">
        <v>11037</v>
      </c>
      <c r="O2166" s="2" t="s">
        <v>11035</v>
      </c>
      <c r="P2166" s="2" t="s">
        <v>11036</v>
      </c>
      <c r="Q2166" s="2">
        <f>AVERAGE(PerfRate[[#This Row],[EnvironmentSatisfaction]],PerfRate[[#This Row],[JobSatisfaction]],PerfRate[[#This Row],[RelationshipSatisfaction]])</f>
        <v>3</v>
      </c>
      <c r="R2166" s="2">
        <f>PerfRate[[#This Row],[ManagerRating]] - PerfRate[[#This Row],[SelfRating]]</f>
        <v>-1</v>
      </c>
    </row>
    <row r="2167" spans="1:18">
      <c r="A2167" s="2" t="s">
        <v>6474</v>
      </c>
      <c r="B2167" s="2" t="s">
        <v>2002</v>
      </c>
      <c r="C2167" s="1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  <c r="L2167" s="2" t="s">
        <v>11030</v>
      </c>
      <c r="M2167" s="2" t="s">
        <v>11030</v>
      </c>
      <c r="N2167" s="2" t="s">
        <v>11036</v>
      </c>
      <c r="O2167" s="2" t="s">
        <v>11036</v>
      </c>
      <c r="P2167" s="2" t="s">
        <v>11038</v>
      </c>
      <c r="Q2167" s="2">
        <f>AVERAGE(PerfRate[[#This Row],[EnvironmentSatisfaction]],PerfRate[[#This Row],[JobSatisfaction]],PerfRate[[#This Row],[RelationshipSatisfaction]])</f>
        <v>3.6666666666666665</v>
      </c>
      <c r="R2167" s="2">
        <f>PerfRate[[#This Row],[ManagerRating]] - PerfRate[[#This Row],[SelfRating]]</f>
        <v>0</v>
      </c>
    </row>
    <row r="2168" spans="1:18">
      <c r="A2168" s="2" t="s">
        <v>6475</v>
      </c>
      <c r="B2168" s="2" t="s">
        <v>404</v>
      </c>
      <c r="C2168" s="1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  <c r="L2168" s="2" t="s">
        <v>11030</v>
      </c>
      <c r="M2168" s="2" t="s">
        <v>11030</v>
      </c>
      <c r="N2168" s="2" t="s">
        <v>11038</v>
      </c>
      <c r="O2168" s="2" t="s">
        <v>11036</v>
      </c>
      <c r="P2168" s="2" t="s">
        <v>11038</v>
      </c>
      <c r="Q2168" s="2">
        <f>AVERAGE(PerfRate[[#This Row],[EnvironmentSatisfaction]],PerfRate[[#This Row],[JobSatisfaction]],PerfRate[[#This Row],[RelationshipSatisfaction]])</f>
        <v>4.333333333333333</v>
      </c>
      <c r="R2168" s="2">
        <f>PerfRate[[#This Row],[ManagerRating]] - PerfRate[[#This Row],[SelfRating]]</f>
        <v>0</v>
      </c>
    </row>
    <row r="2169" spans="1:18">
      <c r="A2169" s="2" t="s">
        <v>6476</v>
      </c>
      <c r="B2169" s="2" t="s">
        <v>169</v>
      </c>
      <c r="C2169" s="1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  <c r="L2169" s="2" t="s">
        <v>11030</v>
      </c>
      <c r="M2169" s="2" t="s">
        <v>11030</v>
      </c>
      <c r="N2169" s="2" t="s">
        <v>11036</v>
      </c>
      <c r="O2169" s="2" t="s">
        <v>11037</v>
      </c>
      <c r="P2169" s="2" t="s">
        <v>11037</v>
      </c>
      <c r="Q2169" s="2">
        <f>AVERAGE(PerfRate[[#This Row],[EnvironmentSatisfaction]],PerfRate[[#This Row],[JobSatisfaction]],PerfRate[[#This Row],[RelationshipSatisfaction]])</f>
        <v>3.6666666666666665</v>
      </c>
      <c r="R2169" s="2">
        <f>PerfRate[[#This Row],[ManagerRating]] - PerfRate[[#This Row],[SelfRating]]</f>
        <v>0</v>
      </c>
    </row>
    <row r="2170" spans="1:18">
      <c r="A2170" s="2" t="s">
        <v>6477</v>
      </c>
      <c r="B2170" s="2" t="s">
        <v>2184</v>
      </c>
      <c r="C2170" s="1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  <c r="L2170" s="2" t="s">
        <v>11031</v>
      </c>
      <c r="M2170" s="2" t="s">
        <v>11031</v>
      </c>
      <c r="N2170" s="2" t="s">
        <v>11038</v>
      </c>
      <c r="O2170" s="2" t="s">
        <v>11036</v>
      </c>
      <c r="P2170" s="2" t="s">
        <v>11038</v>
      </c>
      <c r="Q2170" s="2">
        <f>AVERAGE(PerfRate[[#This Row],[EnvironmentSatisfaction]],PerfRate[[#This Row],[JobSatisfaction]],PerfRate[[#This Row],[RelationshipSatisfaction]])</f>
        <v>4.333333333333333</v>
      </c>
      <c r="R2170" s="2">
        <f>PerfRate[[#This Row],[ManagerRating]] - PerfRate[[#This Row],[SelfRating]]</f>
        <v>0</v>
      </c>
    </row>
    <row r="2171" spans="1:18">
      <c r="A2171" s="2" t="s">
        <v>6478</v>
      </c>
      <c r="B2171" s="2" t="s">
        <v>452</v>
      </c>
      <c r="C2171" s="1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  <c r="L2171" s="2" t="s">
        <v>11029</v>
      </c>
      <c r="M2171" s="2" t="s">
        <v>11029</v>
      </c>
      <c r="N2171" s="2" t="s">
        <v>11037</v>
      </c>
      <c r="O2171" s="2" t="s">
        <v>11036</v>
      </c>
      <c r="P2171" s="2" t="s">
        <v>11036</v>
      </c>
      <c r="Q2171" s="2">
        <f>AVERAGE(PerfRate[[#This Row],[EnvironmentSatisfaction]],PerfRate[[#This Row],[JobSatisfaction]],PerfRate[[#This Row],[RelationshipSatisfaction]])</f>
        <v>3.3333333333333335</v>
      </c>
      <c r="R2171" s="2">
        <f>PerfRate[[#This Row],[ManagerRating]] - PerfRate[[#This Row],[SelfRating]]</f>
        <v>0</v>
      </c>
    </row>
    <row r="2172" spans="1:18">
      <c r="A2172" s="2" t="s">
        <v>6479</v>
      </c>
      <c r="B2172" s="2" t="s">
        <v>1201</v>
      </c>
      <c r="C2172" s="1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  <c r="L2172" s="2" t="s">
        <v>11029</v>
      </c>
      <c r="M2172" s="2" t="s">
        <v>11028</v>
      </c>
      <c r="N2172" s="2" t="s">
        <v>11037</v>
      </c>
      <c r="O2172" s="2" t="s">
        <v>11038</v>
      </c>
      <c r="P2172" s="2" t="s">
        <v>11037</v>
      </c>
      <c r="Q2172" s="2">
        <f>AVERAGE(PerfRate[[#This Row],[EnvironmentSatisfaction]],PerfRate[[#This Row],[JobSatisfaction]],PerfRate[[#This Row],[RelationshipSatisfaction]])</f>
        <v>4.333333333333333</v>
      </c>
      <c r="R2172" s="2">
        <f>PerfRate[[#This Row],[ManagerRating]] - PerfRate[[#This Row],[SelfRating]]</f>
        <v>-1</v>
      </c>
    </row>
    <row r="2173" spans="1:18">
      <c r="A2173" s="2" t="s">
        <v>6480</v>
      </c>
      <c r="B2173" s="2" t="s">
        <v>2427</v>
      </c>
      <c r="C2173" s="1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  <c r="L2173" s="2" t="s">
        <v>11031</v>
      </c>
      <c r="M2173" s="2" t="s">
        <v>11031</v>
      </c>
      <c r="N2173" s="2" t="s">
        <v>11037</v>
      </c>
      <c r="O2173" s="2" t="s">
        <v>11036</v>
      </c>
      <c r="P2173" s="2" t="s">
        <v>11038</v>
      </c>
      <c r="Q2173" s="2">
        <f>AVERAGE(PerfRate[[#This Row],[EnvironmentSatisfaction]],PerfRate[[#This Row],[JobSatisfaction]],PerfRate[[#This Row],[RelationshipSatisfaction]])</f>
        <v>4</v>
      </c>
      <c r="R2173" s="2">
        <f>PerfRate[[#This Row],[ManagerRating]] - PerfRate[[#This Row],[SelfRating]]</f>
        <v>0</v>
      </c>
    </row>
    <row r="2174" spans="1:18">
      <c r="A2174" s="2" t="s">
        <v>6481</v>
      </c>
      <c r="B2174" s="2" t="s">
        <v>2296</v>
      </c>
      <c r="C2174" s="1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  <c r="L2174" s="2" t="s">
        <v>11029</v>
      </c>
      <c r="M2174" s="2" t="s">
        <v>11028</v>
      </c>
      <c r="N2174" s="2" t="s">
        <v>11037</v>
      </c>
      <c r="O2174" s="2" t="s">
        <v>11038</v>
      </c>
      <c r="P2174" s="2" t="s">
        <v>11037</v>
      </c>
      <c r="Q2174" s="2">
        <f>AVERAGE(PerfRate[[#This Row],[EnvironmentSatisfaction]],PerfRate[[#This Row],[JobSatisfaction]],PerfRate[[#This Row],[RelationshipSatisfaction]])</f>
        <v>4.333333333333333</v>
      </c>
      <c r="R2174" s="2">
        <f>PerfRate[[#This Row],[ManagerRating]] - PerfRate[[#This Row],[SelfRating]]</f>
        <v>-1</v>
      </c>
    </row>
    <row r="2175" spans="1:18">
      <c r="A2175" s="2" t="s">
        <v>6482</v>
      </c>
      <c r="B2175" s="2" t="s">
        <v>3189</v>
      </c>
      <c r="C2175" s="1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  <c r="L2175" s="2" t="s">
        <v>11030</v>
      </c>
      <c r="M2175" s="2" t="s">
        <v>11030</v>
      </c>
      <c r="N2175" s="2" t="s">
        <v>11036</v>
      </c>
      <c r="O2175" s="2" t="s">
        <v>11037</v>
      </c>
      <c r="P2175" s="2" t="s">
        <v>11036</v>
      </c>
      <c r="Q2175" s="2">
        <f>AVERAGE(PerfRate[[#This Row],[EnvironmentSatisfaction]],PerfRate[[#This Row],[JobSatisfaction]],PerfRate[[#This Row],[RelationshipSatisfaction]])</f>
        <v>3.3333333333333335</v>
      </c>
      <c r="R2175" s="2">
        <f>PerfRate[[#This Row],[ManagerRating]] - PerfRate[[#This Row],[SelfRating]]</f>
        <v>0</v>
      </c>
    </row>
    <row r="2176" spans="1:18">
      <c r="A2176" s="2" t="s">
        <v>6483</v>
      </c>
      <c r="B2176" s="2" t="s">
        <v>3154</v>
      </c>
      <c r="C2176" s="1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  <c r="L2176" s="2" t="s">
        <v>11030</v>
      </c>
      <c r="M2176" s="2" t="s">
        <v>11029</v>
      </c>
      <c r="N2176" s="2" t="s">
        <v>11036</v>
      </c>
      <c r="O2176" s="2" t="s">
        <v>11035</v>
      </c>
      <c r="P2176" s="2" t="s">
        <v>11035</v>
      </c>
      <c r="Q2176" s="2">
        <f>AVERAGE(PerfRate[[#This Row],[EnvironmentSatisfaction]],PerfRate[[#This Row],[JobSatisfaction]],PerfRate[[#This Row],[RelationshipSatisfaction]])</f>
        <v>2.3333333333333335</v>
      </c>
      <c r="R2176" s="2">
        <f>PerfRate[[#This Row],[ManagerRating]] - PerfRate[[#This Row],[SelfRating]]</f>
        <v>-1</v>
      </c>
    </row>
    <row r="2177" spans="1:18">
      <c r="A2177" s="2" t="s">
        <v>6484</v>
      </c>
      <c r="B2177" s="2" t="s">
        <v>2529</v>
      </c>
      <c r="C2177" s="1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  <c r="L2177" s="2" t="s">
        <v>11030</v>
      </c>
      <c r="M2177" s="2" t="s">
        <v>11030</v>
      </c>
      <c r="N2177" s="2" t="s">
        <v>11037</v>
      </c>
      <c r="O2177" s="2" t="s">
        <v>11038</v>
      </c>
      <c r="P2177" s="2" t="s">
        <v>11037</v>
      </c>
      <c r="Q2177" s="2">
        <f>AVERAGE(PerfRate[[#This Row],[EnvironmentSatisfaction]],PerfRate[[#This Row],[JobSatisfaction]],PerfRate[[#This Row],[RelationshipSatisfaction]])</f>
        <v>4.333333333333333</v>
      </c>
      <c r="R2177" s="2">
        <f>PerfRate[[#This Row],[ManagerRating]] - PerfRate[[#This Row],[SelfRating]]</f>
        <v>0</v>
      </c>
    </row>
    <row r="2178" spans="1:18">
      <c r="A2178" s="2" t="s">
        <v>6485</v>
      </c>
      <c r="B2178" s="2" t="s">
        <v>1465</v>
      </c>
      <c r="C2178" s="1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  <c r="L2178" s="2" t="s">
        <v>11029</v>
      </c>
      <c r="M2178" s="2" t="s">
        <v>11028</v>
      </c>
      <c r="N2178" s="2" t="s">
        <v>11038</v>
      </c>
      <c r="O2178" s="2" t="s">
        <v>11036</v>
      </c>
      <c r="P2178" s="2" t="s">
        <v>11036</v>
      </c>
      <c r="Q2178" s="2">
        <f>AVERAGE(PerfRate[[#This Row],[EnvironmentSatisfaction]],PerfRate[[#This Row],[JobSatisfaction]],PerfRate[[#This Row],[RelationshipSatisfaction]])</f>
        <v>3.6666666666666665</v>
      </c>
      <c r="R2178" s="2">
        <f>PerfRate[[#This Row],[ManagerRating]] - PerfRate[[#This Row],[SelfRating]]</f>
        <v>-1</v>
      </c>
    </row>
    <row r="2179" spans="1:18">
      <c r="A2179" s="2" t="s">
        <v>6486</v>
      </c>
      <c r="B2179" s="2" t="s">
        <v>2045</v>
      </c>
      <c r="C2179" s="1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  <c r="L2179" s="2" t="s">
        <v>11029</v>
      </c>
      <c r="M2179" s="2" t="s">
        <v>11029</v>
      </c>
      <c r="N2179" s="2" t="s">
        <v>11038</v>
      </c>
      <c r="O2179" s="2" t="s">
        <v>11035</v>
      </c>
      <c r="P2179" s="2" t="s">
        <v>11036</v>
      </c>
      <c r="Q2179" s="2">
        <f>AVERAGE(PerfRate[[#This Row],[EnvironmentSatisfaction]],PerfRate[[#This Row],[JobSatisfaction]],PerfRate[[#This Row],[RelationshipSatisfaction]])</f>
        <v>3.3333333333333335</v>
      </c>
      <c r="R2179" s="2">
        <f>PerfRate[[#This Row],[ManagerRating]] - PerfRate[[#This Row],[SelfRating]]</f>
        <v>0</v>
      </c>
    </row>
    <row r="2180" spans="1:18">
      <c r="A2180" s="2" t="s">
        <v>6487</v>
      </c>
      <c r="B2180" s="2" t="s">
        <v>538</v>
      </c>
      <c r="C2180" s="1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  <c r="L2180" s="2" t="s">
        <v>11031</v>
      </c>
      <c r="M2180" s="2" t="s">
        <v>11031</v>
      </c>
      <c r="N2180" s="2" t="s">
        <v>11036</v>
      </c>
      <c r="O2180" s="2" t="s">
        <v>11035</v>
      </c>
      <c r="P2180" s="2" t="s">
        <v>11038</v>
      </c>
      <c r="Q2180" s="2">
        <f>AVERAGE(PerfRate[[#This Row],[EnvironmentSatisfaction]],PerfRate[[#This Row],[JobSatisfaction]],PerfRate[[#This Row],[RelationshipSatisfaction]])</f>
        <v>3.3333333333333335</v>
      </c>
      <c r="R2180" s="2">
        <f>PerfRate[[#This Row],[ManagerRating]] - PerfRate[[#This Row],[SelfRating]]</f>
        <v>0</v>
      </c>
    </row>
    <row r="2181" spans="1:18">
      <c r="A2181" s="2" t="s">
        <v>6488</v>
      </c>
      <c r="B2181" s="2" t="s">
        <v>50</v>
      </c>
      <c r="C2181" s="1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  <c r="L2181" s="2" t="s">
        <v>11029</v>
      </c>
      <c r="M2181" s="2" t="s">
        <v>11028</v>
      </c>
      <c r="N2181" s="2" t="s">
        <v>11037</v>
      </c>
      <c r="O2181" s="2" t="s">
        <v>11037</v>
      </c>
      <c r="P2181" s="2" t="s">
        <v>11036</v>
      </c>
      <c r="Q2181" s="2">
        <f>AVERAGE(PerfRate[[#This Row],[EnvironmentSatisfaction]],PerfRate[[#This Row],[JobSatisfaction]],PerfRate[[#This Row],[RelationshipSatisfaction]])</f>
        <v>3.6666666666666665</v>
      </c>
      <c r="R2181" s="2">
        <f>PerfRate[[#This Row],[ManagerRating]] - PerfRate[[#This Row],[SelfRating]]</f>
        <v>-1</v>
      </c>
    </row>
    <row r="2182" spans="1:18">
      <c r="A2182" s="2" t="s">
        <v>6489</v>
      </c>
      <c r="B2182" s="2" t="s">
        <v>759</v>
      </c>
      <c r="C2182" s="1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  <c r="L2182" s="2" t="s">
        <v>11031</v>
      </c>
      <c r="M2182" s="2" t="s">
        <v>11030</v>
      </c>
      <c r="N2182" s="2" t="s">
        <v>11038</v>
      </c>
      <c r="O2182" s="2" t="s">
        <v>11035</v>
      </c>
      <c r="P2182" s="2" t="s">
        <v>11035</v>
      </c>
      <c r="Q2182" s="2">
        <f>AVERAGE(PerfRate[[#This Row],[EnvironmentSatisfaction]],PerfRate[[#This Row],[JobSatisfaction]],PerfRate[[#This Row],[RelationshipSatisfaction]])</f>
        <v>3</v>
      </c>
      <c r="R2182" s="2">
        <f>PerfRate[[#This Row],[ManagerRating]] - PerfRate[[#This Row],[SelfRating]]</f>
        <v>-1</v>
      </c>
    </row>
    <row r="2183" spans="1:18">
      <c r="A2183" s="2" t="s">
        <v>6490</v>
      </c>
      <c r="B2183" s="2" t="s">
        <v>610</v>
      </c>
      <c r="C2183" s="1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  <c r="L2183" s="2" t="s">
        <v>11030</v>
      </c>
      <c r="M2183" s="2" t="s">
        <v>11029</v>
      </c>
      <c r="N2183" s="2" t="s">
        <v>11037</v>
      </c>
      <c r="O2183" s="2" t="s">
        <v>11037</v>
      </c>
      <c r="P2183" s="2" t="s">
        <v>11037</v>
      </c>
      <c r="Q2183" s="2">
        <f>AVERAGE(PerfRate[[#This Row],[EnvironmentSatisfaction]],PerfRate[[#This Row],[JobSatisfaction]],PerfRate[[#This Row],[RelationshipSatisfaction]])</f>
        <v>4</v>
      </c>
      <c r="R2183" s="2">
        <f>PerfRate[[#This Row],[ManagerRating]] - PerfRate[[#This Row],[SelfRating]]</f>
        <v>-1</v>
      </c>
    </row>
    <row r="2184" spans="1:18">
      <c r="A2184" s="2" t="s">
        <v>6491</v>
      </c>
      <c r="B2184" s="2" t="s">
        <v>175</v>
      </c>
      <c r="C2184" s="1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  <c r="L2184" s="2" t="s">
        <v>11029</v>
      </c>
      <c r="M2184" s="2" t="s">
        <v>11029</v>
      </c>
      <c r="N2184" s="2" t="s">
        <v>11037</v>
      </c>
      <c r="O2184" s="2" t="s">
        <v>11037</v>
      </c>
      <c r="P2184" s="2" t="s">
        <v>11037</v>
      </c>
      <c r="Q2184" s="2">
        <f>AVERAGE(PerfRate[[#This Row],[EnvironmentSatisfaction]],PerfRate[[#This Row],[JobSatisfaction]],PerfRate[[#This Row],[RelationshipSatisfaction]])</f>
        <v>4</v>
      </c>
      <c r="R2184" s="2">
        <f>PerfRate[[#This Row],[ManagerRating]] - PerfRate[[#This Row],[SelfRating]]</f>
        <v>0</v>
      </c>
    </row>
    <row r="2185" spans="1:18">
      <c r="A2185" s="2" t="s">
        <v>6492</v>
      </c>
      <c r="B2185" s="2" t="s">
        <v>1418</v>
      </c>
      <c r="C2185" s="1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  <c r="L2185" s="2" t="s">
        <v>11030</v>
      </c>
      <c r="M2185" s="2" t="s">
        <v>11029</v>
      </c>
      <c r="N2185" s="2" t="s">
        <v>11037</v>
      </c>
      <c r="O2185" s="2" t="s">
        <v>11038</v>
      </c>
      <c r="P2185" s="2" t="s">
        <v>11035</v>
      </c>
      <c r="Q2185" s="2">
        <f>AVERAGE(PerfRate[[#This Row],[EnvironmentSatisfaction]],PerfRate[[#This Row],[JobSatisfaction]],PerfRate[[#This Row],[RelationshipSatisfaction]])</f>
        <v>3.6666666666666665</v>
      </c>
      <c r="R2185" s="2">
        <f>PerfRate[[#This Row],[ManagerRating]] - PerfRate[[#This Row],[SelfRating]]</f>
        <v>-1</v>
      </c>
    </row>
    <row r="2186" spans="1:18">
      <c r="A2186" s="2" t="s">
        <v>6493</v>
      </c>
      <c r="B2186" s="2" t="s">
        <v>4072</v>
      </c>
      <c r="C2186" s="1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  <c r="L2186" s="2" t="s">
        <v>11030</v>
      </c>
      <c r="M2186" s="2" t="s">
        <v>11030</v>
      </c>
      <c r="N2186" s="2" t="s">
        <v>11038</v>
      </c>
      <c r="O2186" s="2" t="s">
        <v>11038</v>
      </c>
      <c r="P2186" s="2" t="s">
        <v>11038</v>
      </c>
      <c r="Q2186" s="2">
        <f>AVERAGE(PerfRate[[#This Row],[EnvironmentSatisfaction]],PerfRate[[#This Row],[JobSatisfaction]],PerfRate[[#This Row],[RelationshipSatisfaction]])</f>
        <v>5</v>
      </c>
      <c r="R2186" s="2">
        <f>PerfRate[[#This Row],[ManagerRating]] - PerfRate[[#This Row],[SelfRating]]</f>
        <v>0</v>
      </c>
    </row>
    <row r="2187" spans="1:18">
      <c r="A2187" s="2" t="s">
        <v>6494</v>
      </c>
      <c r="B2187" s="2" t="s">
        <v>1915</v>
      </c>
      <c r="C2187" s="1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  <c r="L2187" s="2" t="s">
        <v>11030</v>
      </c>
      <c r="M2187" s="2" t="s">
        <v>11030</v>
      </c>
      <c r="N2187" s="2" t="s">
        <v>11037</v>
      </c>
      <c r="O2187" s="2" t="s">
        <v>11036</v>
      </c>
      <c r="P2187" s="2" t="s">
        <v>11035</v>
      </c>
      <c r="Q2187" s="2">
        <f>AVERAGE(PerfRate[[#This Row],[EnvironmentSatisfaction]],PerfRate[[#This Row],[JobSatisfaction]],PerfRate[[#This Row],[RelationshipSatisfaction]])</f>
        <v>3</v>
      </c>
      <c r="R2187" s="2">
        <f>PerfRate[[#This Row],[ManagerRating]] - PerfRate[[#This Row],[SelfRating]]</f>
        <v>0</v>
      </c>
    </row>
    <row r="2188" spans="1:18">
      <c r="A2188" s="2" t="s">
        <v>6495</v>
      </c>
      <c r="B2188" s="2" t="s">
        <v>2060</v>
      </c>
      <c r="C2188" s="1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  <c r="L2188" s="2" t="s">
        <v>11030</v>
      </c>
      <c r="M2188" s="2" t="s">
        <v>11030</v>
      </c>
      <c r="N2188" s="2" t="s">
        <v>11037</v>
      </c>
      <c r="O2188" s="2" t="s">
        <v>11036</v>
      </c>
      <c r="P2188" s="2" t="s">
        <v>11035</v>
      </c>
      <c r="Q2188" s="2">
        <f>AVERAGE(PerfRate[[#This Row],[EnvironmentSatisfaction]],PerfRate[[#This Row],[JobSatisfaction]],PerfRate[[#This Row],[RelationshipSatisfaction]])</f>
        <v>3</v>
      </c>
      <c r="R2188" s="2">
        <f>PerfRate[[#This Row],[ManagerRating]] - PerfRate[[#This Row],[SelfRating]]</f>
        <v>0</v>
      </c>
    </row>
    <row r="2189" spans="1:18">
      <c r="A2189" s="2" t="s">
        <v>6496</v>
      </c>
      <c r="B2189" s="2" t="s">
        <v>1663</v>
      </c>
      <c r="C2189" s="1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  <c r="L2189" s="2" t="s">
        <v>11030</v>
      </c>
      <c r="M2189" s="2" t="s">
        <v>11030</v>
      </c>
      <c r="N2189" s="2" t="s">
        <v>11037</v>
      </c>
      <c r="O2189" s="2" t="s">
        <v>11038</v>
      </c>
      <c r="P2189" s="2" t="s">
        <v>11037</v>
      </c>
      <c r="Q2189" s="2">
        <f>AVERAGE(PerfRate[[#This Row],[EnvironmentSatisfaction]],PerfRate[[#This Row],[JobSatisfaction]],PerfRate[[#This Row],[RelationshipSatisfaction]])</f>
        <v>4.333333333333333</v>
      </c>
      <c r="R2189" s="2">
        <f>PerfRate[[#This Row],[ManagerRating]] - PerfRate[[#This Row],[SelfRating]]</f>
        <v>0</v>
      </c>
    </row>
    <row r="2190" spans="1:18">
      <c r="A2190" s="2" t="s">
        <v>6497</v>
      </c>
      <c r="B2190" s="2" t="s">
        <v>937</v>
      </c>
      <c r="C2190" s="1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  <c r="L2190" s="2" t="s">
        <v>11031</v>
      </c>
      <c r="M2190" s="2" t="s">
        <v>11030</v>
      </c>
      <c r="N2190" s="2" t="s">
        <v>11038</v>
      </c>
      <c r="O2190" s="2" t="s">
        <v>11037</v>
      </c>
      <c r="P2190" s="2" t="s">
        <v>11037</v>
      </c>
      <c r="Q2190" s="2">
        <f>AVERAGE(PerfRate[[#This Row],[EnvironmentSatisfaction]],PerfRate[[#This Row],[JobSatisfaction]],PerfRate[[#This Row],[RelationshipSatisfaction]])</f>
        <v>4.333333333333333</v>
      </c>
      <c r="R2190" s="2">
        <f>PerfRate[[#This Row],[ManagerRating]] - PerfRate[[#This Row],[SelfRating]]</f>
        <v>-1</v>
      </c>
    </row>
    <row r="2191" spans="1:18">
      <c r="A2191" s="2" t="s">
        <v>6498</v>
      </c>
      <c r="B2191" s="2" t="s">
        <v>1139</v>
      </c>
      <c r="C2191" s="1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  <c r="L2191" s="2" t="s">
        <v>11029</v>
      </c>
      <c r="M2191" s="2" t="s">
        <v>11028</v>
      </c>
      <c r="N2191" s="2" t="s">
        <v>11037</v>
      </c>
      <c r="O2191" s="2" t="s">
        <v>11037</v>
      </c>
      <c r="P2191" s="2" t="s">
        <v>11037</v>
      </c>
      <c r="Q2191" s="2">
        <f>AVERAGE(PerfRate[[#This Row],[EnvironmentSatisfaction]],PerfRate[[#This Row],[JobSatisfaction]],PerfRate[[#This Row],[RelationshipSatisfaction]])</f>
        <v>4</v>
      </c>
      <c r="R2191" s="2">
        <f>PerfRate[[#This Row],[ManagerRating]] - PerfRate[[#This Row],[SelfRating]]</f>
        <v>-1</v>
      </c>
    </row>
    <row r="2192" spans="1:18">
      <c r="A2192" s="2" t="s">
        <v>6499</v>
      </c>
      <c r="B2192" s="2" t="s">
        <v>1111</v>
      </c>
      <c r="C2192" s="1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  <c r="L2192" s="2" t="s">
        <v>11030</v>
      </c>
      <c r="M2192" s="2" t="s">
        <v>11030</v>
      </c>
      <c r="N2192" s="2" t="s">
        <v>11038</v>
      </c>
      <c r="O2192" s="2" t="s">
        <v>11036</v>
      </c>
      <c r="P2192" s="2" t="s">
        <v>11038</v>
      </c>
      <c r="Q2192" s="2">
        <f>AVERAGE(PerfRate[[#This Row],[EnvironmentSatisfaction]],PerfRate[[#This Row],[JobSatisfaction]],PerfRate[[#This Row],[RelationshipSatisfaction]])</f>
        <v>4.333333333333333</v>
      </c>
      <c r="R2192" s="2">
        <f>PerfRate[[#This Row],[ManagerRating]] - PerfRate[[#This Row],[SelfRating]]</f>
        <v>0</v>
      </c>
    </row>
    <row r="2193" spans="1:18">
      <c r="A2193" s="2" t="s">
        <v>6500</v>
      </c>
      <c r="B2193" s="2" t="s">
        <v>532</v>
      </c>
      <c r="C2193" s="1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  <c r="L2193" s="2" t="s">
        <v>11030</v>
      </c>
      <c r="M2193" s="2" t="s">
        <v>11029</v>
      </c>
      <c r="N2193" s="2" t="s">
        <v>11036</v>
      </c>
      <c r="O2193" s="2" t="s">
        <v>11038</v>
      </c>
      <c r="P2193" s="2" t="s">
        <v>11037</v>
      </c>
      <c r="Q2193" s="2">
        <f>AVERAGE(PerfRate[[#This Row],[EnvironmentSatisfaction]],PerfRate[[#This Row],[JobSatisfaction]],PerfRate[[#This Row],[RelationshipSatisfaction]])</f>
        <v>4</v>
      </c>
      <c r="R2193" s="2">
        <f>PerfRate[[#This Row],[ManagerRating]] - PerfRate[[#This Row],[SelfRating]]</f>
        <v>-1</v>
      </c>
    </row>
    <row r="2194" spans="1:18">
      <c r="A2194" s="2" t="s">
        <v>6501</v>
      </c>
      <c r="B2194" s="2" t="s">
        <v>1850</v>
      </c>
      <c r="C2194" s="1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  <c r="L2194" s="2" t="s">
        <v>11031</v>
      </c>
      <c r="M2194" s="2" t="s">
        <v>11030</v>
      </c>
      <c r="N2194" s="2" t="s">
        <v>11036</v>
      </c>
      <c r="O2194" s="2" t="s">
        <v>11036</v>
      </c>
      <c r="P2194" s="2" t="s">
        <v>11035</v>
      </c>
      <c r="Q2194" s="2">
        <f>AVERAGE(PerfRate[[#This Row],[EnvironmentSatisfaction]],PerfRate[[#This Row],[JobSatisfaction]],PerfRate[[#This Row],[RelationshipSatisfaction]])</f>
        <v>2.6666666666666665</v>
      </c>
      <c r="R2194" s="2">
        <f>PerfRate[[#This Row],[ManagerRating]] - PerfRate[[#This Row],[SelfRating]]</f>
        <v>-1</v>
      </c>
    </row>
    <row r="2195" spans="1:18">
      <c r="A2195" s="2" t="s">
        <v>6502</v>
      </c>
      <c r="B2195" s="2" t="s">
        <v>1802</v>
      </c>
      <c r="C2195" s="1">
        <v>43469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  <c r="L2195" s="2" t="s">
        <v>11029</v>
      </c>
      <c r="M2195" s="2" t="s">
        <v>11029</v>
      </c>
      <c r="N2195" s="2" t="s">
        <v>11036</v>
      </c>
      <c r="O2195" s="2" t="s">
        <v>11037</v>
      </c>
      <c r="P2195" s="2" t="s">
        <v>11036</v>
      </c>
      <c r="Q2195" s="2">
        <f>AVERAGE(PerfRate[[#This Row],[EnvironmentSatisfaction]],PerfRate[[#This Row],[JobSatisfaction]],PerfRate[[#This Row],[RelationshipSatisfaction]])</f>
        <v>3.3333333333333335</v>
      </c>
      <c r="R2195" s="2">
        <f>PerfRate[[#This Row],[ManagerRating]] - PerfRate[[#This Row],[SelfRating]]</f>
        <v>0</v>
      </c>
    </row>
    <row r="2196" spans="1:18">
      <c r="A2196" s="2" t="s">
        <v>6503</v>
      </c>
      <c r="B2196" s="2" t="s">
        <v>3320</v>
      </c>
      <c r="C2196" s="1">
        <v>43500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  <c r="L2196" s="2" t="s">
        <v>11030</v>
      </c>
      <c r="M2196" s="2" t="s">
        <v>11030</v>
      </c>
      <c r="N2196" s="2" t="s">
        <v>11036</v>
      </c>
      <c r="O2196" s="2" t="s">
        <v>11035</v>
      </c>
      <c r="P2196" s="2" t="s">
        <v>11036</v>
      </c>
      <c r="Q2196" s="2">
        <f>AVERAGE(PerfRate[[#This Row],[EnvironmentSatisfaction]],PerfRate[[#This Row],[JobSatisfaction]],PerfRate[[#This Row],[RelationshipSatisfaction]])</f>
        <v>2.6666666666666665</v>
      </c>
      <c r="R2196" s="2">
        <f>PerfRate[[#This Row],[ManagerRating]] - PerfRate[[#This Row],[SelfRating]]</f>
        <v>0</v>
      </c>
    </row>
    <row r="2197" spans="1:18">
      <c r="A2197" s="2" t="s">
        <v>6504</v>
      </c>
      <c r="B2197" s="2" t="s">
        <v>160</v>
      </c>
      <c r="C2197" s="1">
        <v>43500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  <c r="L2197" s="2" t="s">
        <v>11031</v>
      </c>
      <c r="M2197" s="2" t="s">
        <v>11031</v>
      </c>
      <c r="N2197" s="2" t="s">
        <v>11037</v>
      </c>
      <c r="O2197" s="2" t="s">
        <v>11037</v>
      </c>
      <c r="P2197" s="2" t="s">
        <v>11038</v>
      </c>
      <c r="Q2197" s="2">
        <f>AVERAGE(PerfRate[[#This Row],[EnvironmentSatisfaction]],PerfRate[[#This Row],[JobSatisfaction]],PerfRate[[#This Row],[RelationshipSatisfaction]])</f>
        <v>4.333333333333333</v>
      </c>
      <c r="R2197" s="2">
        <f>PerfRate[[#This Row],[ManagerRating]] - PerfRate[[#This Row],[SelfRating]]</f>
        <v>0</v>
      </c>
    </row>
    <row r="2198" spans="1:18">
      <c r="A2198" s="2" t="s">
        <v>6505</v>
      </c>
      <c r="B2198" s="2" t="s">
        <v>2372</v>
      </c>
      <c r="C2198" s="1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  <c r="L2198" s="2" t="s">
        <v>11030</v>
      </c>
      <c r="M2198" s="2" t="s">
        <v>11030</v>
      </c>
      <c r="N2198" s="2" t="s">
        <v>11036</v>
      </c>
      <c r="O2198" s="2" t="s">
        <v>11038</v>
      </c>
      <c r="P2198" s="2" t="s">
        <v>11036</v>
      </c>
      <c r="Q2198" s="2">
        <f>AVERAGE(PerfRate[[#This Row],[EnvironmentSatisfaction]],PerfRate[[#This Row],[JobSatisfaction]],PerfRate[[#This Row],[RelationshipSatisfaction]])</f>
        <v>3.6666666666666665</v>
      </c>
      <c r="R2198" s="2">
        <f>PerfRate[[#This Row],[ManagerRating]] - PerfRate[[#This Row],[SelfRating]]</f>
        <v>0</v>
      </c>
    </row>
    <row r="2199" spans="1:18">
      <c r="A2199" s="2" t="s">
        <v>6506</v>
      </c>
      <c r="B2199" s="2" t="s">
        <v>753</v>
      </c>
      <c r="C2199" s="1">
        <v>43500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  <c r="L2199" s="2" t="s">
        <v>11029</v>
      </c>
      <c r="M2199" s="2" t="s">
        <v>11029</v>
      </c>
      <c r="N2199" s="2" t="s">
        <v>11037</v>
      </c>
      <c r="O2199" s="2" t="s">
        <v>11036</v>
      </c>
      <c r="P2199" s="2" t="s">
        <v>11038</v>
      </c>
      <c r="Q2199" s="2">
        <f>AVERAGE(PerfRate[[#This Row],[EnvironmentSatisfaction]],PerfRate[[#This Row],[JobSatisfaction]],PerfRate[[#This Row],[RelationshipSatisfaction]])</f>
        <v>4</v>
      </c>
      <c r="R2199" s="2">
        <f>PerfRate[[#This Row],[ManagerRating]] - PerfRate[[#This Row],[SelfRating]]</f>
        <v>0</v>
      </c>
    </row>
    <row r="2200" spans="1:18">
      <c r="A2200" s="2" t="s">
        <v>6507</v>
      </c>
      <c r="B2200" s="2" t="s">
        <v>1108</v>
      </c>
      <c r="C2200" s="1">
        <v>43500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  <c r="L2200" s="2" t="s">
        <v>11030</v>
      </c>
      <c r="M2200" s="2" t="s">
        <v>11030</v>
      </c>
      <c r="N2200" s="2" t="s">
        <v>11036</v>
      </c>
      <c r="O2200" s="2" t="s">
        <v>11038</v>
      </c>
      <c r="P2200" s="2" t="s">
        <v>11038</v>
      </c>
      <c r="Q2200" s="2">
        <f>AVERAGE(PerfRate[[#This Row],[EnvironmentSatisfaction]],PerfRate[[#This Row],[JobSatisfaction]],PerfRate[[#This Row],[RelationshipSatisfaction]])</f>
        <v>4.333333333333333</v>
      </c>
      <c r="R2200" s="2">
        <f>PerfRate[[#This Row],[ManagerRating]] - PerfRate[[#This Row],[SelfRating]]</f>
        <v>0</v>
      </c>
    </row>
    <row r="2201" spans="1:18">
      <c r="A2201" s="2" t="s">
        <v>6508</v>
      </c>
      <c r="B2201" s="2" t="s">
        <v>1189</v>
      </c>
      <c r="C2201" s="1">
        <v>43528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  <c r="L2201" s="2" t="s">
        <v>11031</v>
      </c>
      <c r="M2201" s="2" t="s">
        <v>11030</v>
      </c>
      <c r="N2201" s="2" t="s">
        <v>11038</v>
      </c>
      <c r="O2201" s="2" t="s">
        <v>11038</v>
      </c>
      <c r="P2201" s="2" t="s">
        <v>11036</v>
      </c>
      <c r="Q2201" s="2">
        <f>AVERAGE(PerfRate[[#This Row],[EnvironmentSatisfaction]],PerfRate[[#This Row],[JobSatisfaction]],PerfRate[[#This Row],[RelationshipSatisfaction]])</f>
        <v>4.333333333333333</v>
      </c>
      <c r="R2201" s="2">
        <f>PerfRate[[#This Row],[ManagerRating]] - PerfRate[[#This Row],[SelfRating]]</f>
        <v>-1</v>
      </c>
    </row>
    <row r="2202" spans="1:18">
      <c r="A2202" s="2" t="s">
        <v>6509</v>
      </c>
      <c r="B2202" s="2" t="s">
        <v>1529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  <c r="L2202" s="2" t="s">
        <v>11029</v>
      </c>
      <c r="M2202" s="2" t="s">
        <v>11028</v>
      </c>
      <c r="N2202" s="2" t="s">
        <v>11037</v>
      </c>
      <c r="O2202" s="2" t="s">
        <v>11038</v>
      </c>
      <c r="P2202" s="2" t="s">
        <v>11038</v>
      </c>
      <c r="Q2202" s="2">
        <f>AVERAGE(PerfRate[[#This Row],[EnvironmentSatisfaction]],PerfRate[[#This Row],[JobSatisfaction]],PerfRate[[#This Row],[RelationshipSatisfaction]])</f>
        <v>4.666666666666667</v>
      </c>
      <c r="R2202" s="2">
        <f>PerfRate[[#This Row],[ManagerRating]] - PerfRate[[#This Row],[SelfRating]]</f>
        <v>-1</v>
      </c>
    </row>
    <row r="2203" spans="1:18">
      <c r="A2203" s="2" t="s">
        <v>6510</v>
      </c>
      <c r="B2203" s="2" t="s">
        <v>1474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  <c r="L2203" s="2" t="s">
        <v>11029</v>
      </c>
      <c r="M2203" s="2" t="s">
        <v>11028</v>
      </c>
      <c r="N2203" s="2" t="s">
        <v>11037</v>
      </c>
      <c r="O2203" s="2" t="s">
        <v>11035</v>
      </c>
      <c r="P2203" s="2" t="s">
        <v>11035</v>
      </c>
      <c r="Q2203" s="2">
        <f>AVERAGE(PerfRate[[#This Row],[EnvironmentSatisfaction]],PerfRate[[#This Row],[JobSatisfaction]],PerfRate[[#This Row],[RelationshipSatisfaction]])</f>
        <v>2.6666666666666665</v>
      </c>
      <c r="R2203" s="2">
        <f>PerfRate[[#This Row],[ManagerRating]] - PerfRate[[#This Row],[SelfRating]]</f>
        <v>-1</v>
      </c>
    </row>
    <row r="2204" spans="1:18">
      <c r="A2204" s="2" t="s">
        <v>6511</v>
      </c>
      <c r="B2204" s="2" t="s">
        <v>1853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  <c r="L2204" s="2" t="s">
        <v>11030</v>
      </c>
      <c r="M2204" s="2" t="s">
        <v>11030</v>
      </c>
      <c r="N2204" s="2" t="s">
        <v>11037</v>
      </c>
      <c r="O2204" s="2" t="s">
        <v>11038</v>
      </c>
      <c r="P2204" s="2" t="s">
        <v>11036</v>
      </c>
      <c r="Q2204" s="2">
        <f>AVERAGE(PerfRate[[#This Row],[EnvironmentSatisfaction]],PerfRate[[#This Row],[JobSatisfaction]],PerfRate[[#This Row],[RelationshipSatisfaction]])</f>
        <v>4</v>
      </c>
      <c r="R2204" s="2">
        <f>PerfRate[[#This Row],[ManagerRating]] - PerfRate[[#This Row],[SelfRating]]</f>
        <v>0</v>
      </c>
    </row>
    <row r="2205" spans="1:18">
      <c r="A2205" s="2" t="s">
        <v>6512</v>
      </c>
      <c r="B2205" s="2" t="s">
        <v>687</v>
      </c>
      <c r="C2205" s="1">
        <v>43589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  <c r="L2205" s="2" t="s">
        <v>11031</v>
      </c>
      <c r="M2205" s="2" t="s">
        <v>11030</v>
      </c>
      <c r="N2205" s="2" t="s">
        <v>11038</v>
      </c>
      <c r="O2205" s="2" t="s">
        <v>11036</v>
      </c>
      <c r="P2205" s="2" t="s">
        <v>11038</v>
      </c>
      <c r="Q2205" s="2">
        <f>AVERAGE(PerfRate[[#This Row],[EnvironmentSatisfaction]],PerfRate[[#This Row],[JobSatisfaction]],PerfRate[[#This Row],[RelationshipSatisfaction]])</f>
        <v>4.333333333333333</v>
      </c>
      <c r="R2205" s="2">
        <f>PerfRate[[#This Row],[ManagerRating]] - PerfRate[[#This Row],[SelfRating]]</f>
        <v>-1</v>
      </c>
    </row>
    <row r="2206" spans="1:18">
      <c r="A2206" s="2" t="s">
        <v>6513</v>
      </c>
      <c r="B2206" s="2" t="s">
        <v>2792</v>
      </c>
      <c r="C2206" s="1">
        <v>43589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  <c r="L2206" s="2" t="s">
        <v>11029</v>
      </c>
      <c r="M2206" s="2" t="s">
        <v>11029</v>
      </c>
      <c r="N2206" s="2" t="s">
        <v>11036</v>
      </c>
      <c r="O2206" s="2" t="s">
        <v>11036</v>
      </c>
      <c r="P2206" s="2" t="s">
        <v>11036</v>
      </c>
      <c r="Q2206" s="2">
        <f>AVERAGE(PerfRate[[#This Row],[EnvironmentSatisfaction]],PerfRate[[#This Row],[JobSatisfaction]],PerfRate[[#This Row],[RelationshipSatisfaction]])</f>
        <v>3</v>
      </c>
      <c r="R2206" s="2">
        <f>PerfRate[[#This Row],[ManagerRating]] - PerfRate[[#This Row],[SelfRating]]</f>
        <v>0</v>
      </c>
    </row>
    <row r="2207" spans="1:18">
      <c r="A2207" s="2" t="s">
        <v>6514</v>
      </c>
      <c r="B2207" s="2" t="s">
        <v>2981</v>
      </c>
      <c r="C2207" s="1">
        <v>43589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  <c r="L2207" s="2" t="s">
        <v>11029</v>
      </c>
      <c r="M2207" s="2" t="s">
        <v>11029</v>
      </c>
      <c r="N2207" s="2" t="s">
        <v>11036</v>
      </c>
      <c r="O2207" s="2" t="s">
        <v>11036</v>
      </c>
      <c r="P2207" s="2" t="s">
        <v>11036</v>
      </c>
      <c r="Q2207" s="2">
        <f>AVERAGE(PerfRate[[#This Row],[EnvironmentSatisfaction]],PerfRate[[#This Row],[JobSatisfaction]],PerfRate[[#This Row],[RelationshipSatisfaction]])</f>
        <v>3</v>
      </c>
      <c r="R2207" s="2">
        <f>PerfRate[[#This Row],[ManagerRating]] - PerfRate[[#This Row],[SelfRating]]</f>
        <v>0</v>
      </c>
    </row>
    <row r="2208" spans="1:18">
      <c r="A2208" s="2" t="s">
        <v>6515</v>
      </c>
      <c r="B2208" s="2" t="s">
        <v>1227</v>
      </c>
      <c r="C2208" s="1">
        <v>43589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  <c r="L2208" s="2" t="s">
        <v>11030</v>
      </c>
      <c r="M2208" s="2" t="s">
        <v>11030</v>
      </c>
      <c r="N2208" s="2" t="s">
        <v>11036</v>
      </c>
      <c r="O2208" s="2" t="s">
        <v>11038</v>
      </c>
      <c r="P2208" s="2" t="s">
        <v>11035</v>
      </c>
      <c r="Q2208" s="2">
        <f>AVERAGE(PerfRate[[#This Row],[EnvironmentSatisfaction]],PerfRate[[#This Row],[JobSatisfaction]],PerfRate[[#This Row],[RelationshipSatisfaction]])</f>
        <v>3.3333333333333335</v>
      </c>
      <c r="R2208" s="2">
        <f>PerfRate[[#This Row],[ManagerRating]] - PerfRate[[#This Row],[SelfRating]]</f>
        <v>0</v>
      </c>
    </row>
    <row r="2209" spans="1:18">
      <c r="A2209" s="2" t="s">
        <v>6516</v>
      </c>
      <c r="B2209" s="2" t="s">
        <v>508</v>
      </c>
      <c r="C2209" s="1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  <c r="L2209" s="2" t="s">
        <v>11031</v>
      </c>
      <c r="M2209" s="2" t="s">
        <v>11031</v>
      </c>
      <c r="N2209" s="2" t="s">
        <v>11036</v>
      </c>
      <c r="O2209" s="2" t="s">
        <v>11037</v>
      </c>
      <c r="P2209" s="2" t="s">
        <v>11038</v>
      </c>
      <c r="Q2209" s="2">
        <f>AVERAGE(PerfRate[[#This Row],[EnvironmentSatisfaction]],PerfRate[[#This Row],[JobSatisfaction]],PerfRate[[#This Row],[RelationshipSatisfaction]])</f>
        <v>4</v>
      </c>
      <c r="R2209" s="2">
        <f>PerfRate[[#This Row],[ManagerRating]] - PerfRate[[#This Row],[SelfRating]]</f>
        <v>0</v>
      </c>
    </row>
    <row r="2210" spans="1:18">
      <c r="A2210" s="2" t="s">
        <v>6517</v>
      </c>
      <c r="B2210" s="2" t="s">
        <v>296</v>
      </c>
      <c r="C2210" s="1">
        <v>43620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  <c r="L2210" s="2" t="s">
        <v>11030</v>
      </c>
      <c r="M2210" s="2" t="s">
        <v>11030</v>
      </c>
      <c r="N2210" s="2" t="s">
        <v>11037</v>
      </c>
      <c r="O2210" s="2" t="s">
        <v>11036</v>
      </c>
      <c r="P2210" s="2" t="s">
        <v>11038</v>
      </c>
      <c r="Q2210" s="2">
        <f>AVERAGE(PerfRate[[#This Row],[EnvironmentSatisfaction]],PerfRate[[#This Row],[JobSatisfaction]],PerfRate[[#This Row],[RelationshipSatisfaction]])</f>
        <v>4</v>
      </c>
      <c r="R2210" s="2">
        <f>PerfRate[[#This Row],[ManagerRating]] - PerfRate[[#This Row],[SelfRating]]</f>
        <v>0</v>
      </c>
    </row>
    <row r="2211" spans="1:18">
      <c r="A2211" s="2" t="s">
        <v>6518</v>
      </c>
      <c r="B2211" s="2" t="s">
        <v>42</v>
      </c>
      <c r="C2211" s="1">
        <v>43681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  <c r="L2211" s="2" t="s">
        <v>11029</v>
      </c>
      <c r="M2211" s="2" t="s">
        <v>11029</v>
      </c>
      <c r="N2211" s="2" t="s">
        <v>11036</v>
      </c>
      <c r="O2211" s="2" t="s">
        <v>11037</v>
      </c>
      <c r="P2211" s="2" t="s">
        <v>11035</v>
      </c>
      <c r="Q2211" s="2">
        <f>AVERAGE(PerfRate[[#This Row],[EnvironmentSatisfaction]],PerfRate[[#This Row],[JobSatisfaction]],PerfRate[[#This Row],[RelationshipSatisfaction]])</f>
        <v>3</v>
      </c>
      <c r="R2211" s="2">
        <f>PerfRate[[#This Row],[ManagerRating]] - PerfRate[[#This Row],[SelfRating]]</f>
        <v>0</v>
      </c>
    </row>
    <row r="2212" spans="1:18">
      <c r="A2212" s="2" t="s">
        <v>6519</v>
      </c>
      <c r="B2212" s="2" t="s">
        <v>779</v>
      </c>
      <c r="C2212" s="1">
        <v>43712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  <c r="L2212" s="2" t="s">
        <v>11031</v>
      </c>
      <c r="M2212" s="2" t="s">
        <v>11030</v>
      </c>
      <c r="N2212" s="2" t="s">
        <v>11036</v>
      </c>
      <c r="O2212" s="2" t="s">
        <v>11038</v>
      </c>
      <c r="P2212" s="2" t="s">
        <v>11038</v>
      </c>
      <c r="Q2212" s="2">
        <f>AVERAGE(PerfRate[[#This Row],[EnvironmentSatisfaction]],PerfRate[[#This Row],[JobSatisfaction]],PerfRate[[#This Row],[RelationshipSatisfaction]])</f>
        <v>4.333333333333333</v>
      </c>
      <c r="R2212" s="2">
        <f>PerfRate[[#This Row],[ManagerRating]] - PerfRate[[#This Row],[SelfRating]]</f>
        <v>-1</v>
      </c>
    </row>
    <row r="2213" spans="1:18">
      <c r="A2213" s="2" t="s">
        <v>6520</v>
      </c>
      <c r="B2213" s="2" t="s">
        <v>3986</v>
      </c>
      <c r="C2213" s="1">
        <v>43712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  <c r="L2213" s="2" t="s">
        <v>11031</v>
      </c>
      <c r="M2213" s="2" t="s">
        <v>11030</v>
      </c>
      <c r="N2213" s="2" t="s">
        <v>11038</v>
      </c>
      <c r="O2213" s="2" t="s">
        <v>11036</v>
      </c>
      <c r="P2213" s="2" t="s">
        <v>11038</v>
      </c>
      <c r="Q2213" s="2">
        <f>AVERAGE(PerfRate[[#This Row],[EnvironmentSatisfaction]],PerfRate[[#This Row],[JobSatisfaction]],PerfRate[[#This Row],[RelationshipSatisfaction]])</f>
        <v>4.333333333333333</v>
      </c>
      <c r="R2213" s="2">
        <f>PerfRate[[#This Row],[ManagerRating]] - PerfRate[[#This Row],[SelfRating]]</f>
        <v>-1</v>
      </c>
    </row>
    <row r="2214" spans="1:18">
      <c r="A2214" s="2" t="s">
        <v>6521</v>
      </c>
      <c r="B2214" s="2" t="s">
        <v>1389</v>
      </c>
      <c r="C2214" s="1">
        <v>43712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  <c r="L2214" s="2" t="s">
        <v>11030</v>
      </c>
      <c r="M2214" s="2" t="s">
        <v>11029</v>
      </c>
      <c r="N2214" s="2" t="s">
        <v>11036</v>
      </c>
      <c r="O2214" s="2" t="s">
        <v>11037</v>
      </c>
      <c r="P2214" s="2" t="s">
        <v>11037</v>
      </c>
      <c r="Q2214" s="2">
        <f>AVERAGE(PerfRate[[#This Row],[EnvironmentSatisfaction]],PerfRate[[#This Row],[JobSatisfaction]],PerfRate[[#This Row],[RelationshipSatisfaction]])</f>
        <v>3.6666666666666665</v>
      </c>
      <c r="R2214" s="2">
        <f>PerfRate[[#This Row],[ManagerRating]] - PerfRate[[#This Row],[SelfRating]]</f>
        <v>-1</v>
      </c>
    </row>
    <row r="2215" spans="1:18">
      <c r="A2215" s="2" t="s">
        <v>6522</v>
      </c>
      <c r="B2215" s="2" t="s">
        <v>323</v>
      </c>
      <c r="C2215" s="1">
        <v>43742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  <c r="L2215" s="2" t="s">
        <v>11031</v>
      </c>
      <c r="M2215" s="2" t="s">
        <v>11031</v>
      </c>
      <c r="N2215" s="2" t="s">
        <v>11036</v>
      </c>
      <c r="O2215" s="2" t="s">
        <v>11035</v>
      </c>
      <c r="P2215" s="2" t="s">
        <v>11037</v>
      </c>
      <c r="Q2215" s="2">
        <f>AVERAGE(PerfRate[[#This Row],[EnvironmentSatisfaction]],PerfRate[[#This Row],[JobSatisfaction]],PerfRate[[#This Row],[RelationshipSatisfaction]])</f>
        <v>3</v>
      </c>
      <c r="R2215" s="2">
        <f>PerfRate[[#This Row],[ManagerRating]] - PerfRate[[#This Row],[SelfRating]]</f>
        <v>0</v>
      </c>
    </row>
    <row r="2216" spans="1:18">
      <c r="A2216" s="2" t="s">
        <v>6523</v>
      </c>
      <c r="B2216" s="2" t="s">
        <v>723</v>
      </c>
      <c r="C2216" s="1">
        <v>43742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  <c r="L2216" s="2" t="s">
        <v>11029</v>
      </c>
      <c r="M2216" s="2" t="s">
        <v>11028</v>
      </c>
      <c r="N2216" s="2" t="s">
        <v>11037</v>
      </c>
      <c r="O2216" s="2" t="s">
        <v>11038</v>
      </c>
      <c r="P2216" s="2" t="s">
        <v>11037</v>
      </c>
      <c r="Q2216" s="2">
        <f>AVERAGE(PerfRate[[#This Row],[EnvironmentSatisfaction]],PerfRate[[#This Row],[JobSatisfaction]],PerfRate[[#This Row],[RelationshipSatisfaction]])</f>
        <v>4.333333333333333</v>
      </c>
      <c r="R2216" s="2">
        <f>PerfRate[[#This Row],[ManagerRating]] - PerfRate[[#This Row],[SelfRating]]</f>
        <v>-1</v>
      </c>
    </row>
    <row r="2217" spans="1:18">
      <c r="A2217" s="2" t="s">
        <v>6524</v>
      </c>
      <c r="B2217" s="2" t="s">
        <v>1976</v>
      </c>
      <c r="C2217" s="1">
        <v>43742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  <c r="L2217" s="2" t="s">
        <v>11029</v>
      </c>
      <c r="M2217" s="2" t="s">
        <v>11028</v>
      </c>
      <c r="N2217" s="2" t="s">
        <v>11037</v>
      </c>
      <c r="O2217" s="2" t="s">
        <v>11038</v>
      </c>
      <c r="P2217" s="2" t="s">
        <v>11036</v>
      </c>
      <c r="Q2217" s="2">
        <f>AVERAGE(PerfRate[[#This Row],[EnvironmentSatisfaction]],PerfRate[[#This Row],[JobSatisfaction]],PerfRate[[#This Row],[RelationshipSatisfaction]])</f>
        <v>4</v>
      </c>
      <c r="R2217" s="2">
        <f>PerfRate[[#This Row],[ManagerRating]] - PerfRate[[#This Row],[SelfRating]]</f>
        <v>-1</v>
      </c>
    </row>
    <row r="2218" spans="1:18">
      <c r="A2218" s="2" t="s">
        <v>6525</v>
      </c>
      <c r="B2218" s="2" t="s">
        <v>395</v>
      </c>
      <c r="C2218" s="1">
        <v>43773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  <c r="L2218" s="2" t="s">
        <v>11031</v>
      </c>
      <c r="M2218" s="2" t="s">
        <v>11031</v>
      </c>
      <c r="N2218" s="2" t="s">
        <v>11038</v>
      </c>
      <c r="O2218" s="2" t="s">
        <v>11036</v>
      </c>
      <c r="P2218" s="2" t="s">
        <v>11037</v>
      </c>
      <c r="Q2218" s="2">
        <f>AVERAGE(PerfRate[[#This Row],[EnvironmentSatisfaction]],PerfRate[[#This Row],[JobSatisfaction]],PerfRate[[#This Row],[RelationshipSatisfaction]])</f>
        <v>4</v>
      </c>
      <c r="R2218" s="2">
        <f>PerfRate[[#This Row],[ManagerRating]] - PerfRate[[#This Row],[SelfRating]]</f>
        <v>0</v>
      </c>
    </row>
    <row r="2219" spans="1:18">
      <c r="A2219" s="2" t="s">
        <v>6526</v>
      </c>
      <c r="B2219" s="2" t="s">
        <v>3448</v>
      </c>
      <c r="C2219" s="1">
        <v>43773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  <c r="L2219" s="2" t="s">
        <v>11031</v>
      </c>
      <c r="M2219" s="2" t="s">
        <v>11031</v>
      </c>
      <c r="N2219" s="2" t="s">
        <v>11036</v>
      </c>
      <c r="O2219" s="2" t="s">
        <v>11036</v>
      </c>
      <c r="P2219" s="2" t="s">
        <v>11036</v>
      </c>
      <c r="Q2219" s="2">
        <f>AVERAGE(PerfRate[[#This Row],[EnvironmentSatisfaction]],PerfRate[[#This Row],[JobSatisfaction]],PerfRate[[#This Row],[RelationshipSatisfaction]])</f>
        <v>3</v>
      </c>
      <c r="R2219" s="2">
        <f>PerfRate[[#This Row],[ManagerRating]] - PerfRate[[#This Row],[SelfRating]]</f>
        <v>0</v>
      </c>
    </row>
    <row r="2220" spans="1:18">
      <c r="A2220" s="2" t="s">
        <v>6527</v>
      </c>
      <c r="B2220" s="2" t="s">
        <v>2160</v>
      </c>
      <c r="C2220" s="1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  <c r="L2220" s="2" t="s">
        <v>11031</v>
      </c>
      <c r="M2220" s="2" t="s">
        <v>11030</v>
      </c>
      <c r="N2220" s="2" t="s">
        <v>11037</v>
      </c>
      <c r="O2220" s="2" t="s">
        <v>11035</v>
      </c>
      <c r="P2220" s="2" t="s">
        <v>11038</v>
      </c>
      <c r="Q2220" s="2">
        <f>AVERAGE(PerfRate[[#This Row],[EnvironmentSatisfaction]],PerfRate[[#This Row],[JobSatisfaction]],PerfRate[[#This Row],[RelationshipSatisfaction]])</f>
        <v>3.6666666666666665</v>
      </c>
      <c r="R2220" s="2">
        <f>PerfRate[[#This Row],[ManagerRating]] - PerfRate[[#This Row],[SelfRating]]</f>
        <v>-1</v>
      </c>
    </row>
    <row r="2221" spans="1:18">
      <c r="A2221" s="2" t="s">
        <v>6528</v>
      </c>
      <c r="B2221" s="2" t="s">
        <v>3490</v>
      </c>
      <c r="C2221" s="1">
        <v>43773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  <c r="L2221" s="2" t="s">
        <v>11030</v>
      </c>
      <c r="M2221" s="2" t="s">
        <v>11029</v>
      </c>
      <c r="N2221" s="2" t="s">
        <v>11038</v>
      </c>
      <c r="O2221" s="2" t="s">
        <v>11036</v>
      </c>
      <c r="P2221" s="2" t="s">
        <v>11038</v>
      </c>
      <c r="Q2221" s="2">
        <f>AVERAGE(PerfRate[[#This Row],[EnvironmentSatisfaction]],PerfRate[[#This Row],[JobSatisfaction]],PerfRate[[#This Row],[RelationshipSatisfaction]])</f>
        <v>4.333333333333333</v>
      </c>
      <c r="R2221" s="2">
        <f>PerfRate[[#This Row],[ManagerRating]] - PerfRate[[#This Row],[SelfRating]]</f>
        <v>-1</v>
      </c>
    </row>
    <row r="2222" spans="1:18">
      <c r="A2222" s="2" t="s">
        <v>6529</v>
      </c>
      <c r="B2222" s="2" t="s">
        <v>1166</v>
      </c>
      <c r="C2222" s="1">
        <v>43773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  <c r="L2222" s="2" t="s">
        <v>11031</v>
      </c>
      <c r="M2222" s="2" t="s">
        <v>11030</v>
      </c>
      <c r="N2222" s="2" t="s">
        <v>11038</v>
      </c>
      <c r="O2222" s="2" t="s">
        <v>11037</v>
      </c>
      <c r="P2222" s="2" t="s">
        <v>11035</v>
      </c>
      <c r="Q2222" s="2">
        <f>AVERAGE(PerfRate[[#This Row],[EnvironmentSatisfaction]],PerfRate[[#This Row],[JobSatisfaction]],PerfRate[[#This Row],[RelationshipSatisfaction]])</f>
        <v>3.6666666666666665</v>
      </c>
      <c r="R2222" s="2">
        <f>PerfRate[[#This Row],[ManagerRating]] - PerfRate[[#This Row],[SelfRating]]</f>
        <v>-1</v>
      </c>
    </row>
    <row r="2223" spans="1:18">
      <c r="A2223" s="2" t="s">
        <v>6530</v>
      </c>
      <c r="B2223" s="2" t="s">
        <v>771</v>
      </c>
      <c r="C2223" s="1">
        <v>43803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  <c r="L2223" s="2" t="s">
        <v>11030</v>
      </c>
      <c r="M2223" s="2" t="s">
        <v>11029</v>
      </c>
      <c r="N2223" s="2" t="s">
        <v>11036</v>
      </c>
      <c r="O2223" s="2" t="s">
        <v>11036</v>
      </c>
      <c r="P2223" s="2" t="s">
        <v>11035</v>
      </c>
      <c r="Q2223" s="2">
        <f>AVERAGE(PerfRate[[#This Row],[EnvironmentSatisfaction]],PerfRate[[#This Row],[JobSatisfaction]],PerfRate[[#This Row],[RelationshipSatisfaction]])</f>
        <v>2.6666666666666665</v>
      </c>
      <c r="R2223" s="2">
        <f>PerfRate[[#This Row],[ManagerRating]] - PerfRate[[#This Row],[SelfRating]]</f>
        <v>-1</v>
      </c>
    </row>
    <row r="2224" spans="1:18">
      <c r="A2224" s="2" t="s">
        <v>6531</v>
      </c>
      <c r="B2224" s="2" t="s">
        <v>235</v>
      </c>
      <c r="C2224" s="1">
        <v>43803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  <c r="L2224" s="2" t="s">
        <v>11030</v>
      </c>
      <c r="M2224" s="2" t="s">
        <v>11029</v>
      </c>
      <c r="N2224" s="2" t="s">
        <v>11037</v>
      </c>
      <c r="O2224" s="2" t="s">
        <v>11036</v>
      </c>
      <c r="P2224" s="2" t="s">
        <v>11038</v>
      </c>
      <c r="Q2224" s="2">
        <f>AVERAGE(PerfRate[[#This Row],[EnvironmentSatisfaction]],PerfRate[[#This Row],[JobSatisfaction]],PerfRate[[#This Row],[RelationshipSatisfaction]])</f>
        <v>4</v>
      </c>
      <c r="R2224" s="2">
        <f>PerfRate[[#This Row],[ManagerRating]] - PerfRate[[#This Row],[SelfRating]]</f>
        <v>-1</v>
      </c>
    </row>
    <row r="2225" spans="1:18">
      <c r="A2225" s="2" t="s">
        <v>6532</v>
      </c>
      <c r="B2225" s="2" t="s">
        <v>1071</v>
      </c>
      <c r="C2225" s="1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  <c r="L2225" s="2" t="s">
        <v>11029</v>
      </c>
      <c r="M2225" s="2" t="s">
        <v>11029</v>
      </c>
      <c r="N2225" s="2" t="s">
        <v>11036</v>
      </c>
      <c r="O2225" s="2" t="s">
        <v>11038</v>
      </c>
      <c r="P2225" s="2" t="s">
        <v>11035</v>
      </c>
      <c r="Q2225" s="2">
        <f>AVERAGE(PerfRate[[#This Row],[EnvironmentSatisfaction]],PerfRate[[#This Row],[JobSatisfaction]],PerfRate[[#This Row],[RelationshipSatisfaction]])</f>
        <v>3.3333333333333335</v>
      </c>
      <c r="R2225" s="2">
        <f>PerfRate[[#This Row],[ManagerRating]] - PerfRate[[#This Row],[SelfRating]]</f>
        <v>0</v>
      </c>
    </row>
    <row r="2226" spans="1:18">
      <c r="A2226" s="2" t="s">
        <v>6533</v>
      </c>
      <c r="B2226" s="2" t="s">
        <v>1779</v>
      </c>
      <c r="C2226" s="1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  <c r="L2226" s="2" t="s">
        <v>11031</v>
      </c>
      <c r="M2226" s="2" t="s">
        <v>11030</v>
      </c>
      <c r="N2226" s="2" t="s">
        <v>11037</v>
      </c>
      <c r="O2226" s="2" t="s">
        <v>11036</v>
      </c>
      <c r="P2226" s="2" t="s">
        <v>11037</v>
      </c>
      <c r="Q2226" s="2">
        <f>AVERAGE(PerfRate[[#This Row],[EnvironmentSatisfaction]],PerfRate[[#This Row],[JobSatisfaction]],PerfRate[[#This Row],[RelationshipSatisfaction]])</f>
        <v>3.6666666666666665</v>
      </c>
      <c r="R2226" s="2">
        <f>PerfRate[[#This Row],[ManagerRating]] - PerfRate[[#This Row],[SelfRating]]</f>
        <v>-1</v>
      </c>
    </row>
    <row r="2227" spans="1:18">
      <c r="A2227" s="2" t="s">
        <v>6534</v>
      </c>
      <c r="B2227" s="2" t="s">
        <v>106</v>
      </c>
      <c r="C2227" s="1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  <c r="L2227" s="2" t="s">
        <v>11030</v>
      </c>
      <c r="M2227" s="2" t="s">
        <v>11030</v>
      </c>
      <c r="N2227" s="2" t="s">
        <v>11037</v>
      </c>
      <c r="O2227" s="2" t="s">
        <v>11038</v>
      </c>
      <c r="P2227" s="2" t="s">
        <v>11037</v>
      </c>
      <c r="Q2227" s="2">
        <f>AVERAGE(PerfRate[[#This Row],[EnvironmentSatisfaction]],PerfRate[[#This Row],[JobSatisfaction]],PerfRate[[#This Row],[RelationshipSatisfaction]])</f>
        <v>4.333333333333333</v>
      </c>
      <c r="R2227" s="2">
        <f>PerfRate[[#This Row],[ManagerRating]] - PerfRate[[#This Row],[SelfRating]]</f>
        <v>0</v>
      </c>
    </row>
    <row r="2228" spans="1:18">
      <c r="A2228" s="2" t="s">
        <v>6535</v>
      </c>
      <c r="B2228" s="2" t="s">
        <v>1303</v>
      </c>
      <c r="C2228" s="1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  <c r="L2228" s="2" t="s">
        <v>11029</v>
      </c>
      <c r="M2228" s="2" t="s">
        <v>11028</v>
      </c>
      <c r="N2228" s="2" t="s">
        <v>11036</v>
      </c>
      <c r="O2228" s="2" t="s">
        <v>11036</v>
      </c>
      <c r="P2228" s="2" t="s">
        <v>11035</v>
      </c>
      <c r="Q2228" s="2">
        <f>AVERAGE(PerfRate[[#This Row],[EnvironmentSatisfaction]],PerfRate[[#This Row],[JobSatisfaction]],PerfRate[[#This Row],[RelationshipSatisfaction]])</f>
        <v>2.6666666666666665</v>
      </c>
      <c r="R2228" s="2">
        <f>PerfRate[[#This Row],[ManagerRating]] - PerfRate[[#This Row],[SelfRating]]</f>
        <v>-1</v>
      </c>
    </row>
    <row r="2229" spans="1:18">
      <c r="A2229" s="2" t="s">
        <v>6536</v>
      </c>
      <c r="B2229" s="2" t="s">
        <v>1968</v>
      </c>
      <c r="C2229" s="1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  <c r="L2229" s="2" t="s">
        <v>11031</v>
      </c>
      <c r="M2229" s="2" t="s">
        <v>11031</v>
      </c>
      <c r="N2229" s="2" t="s">
        <v>11038</v>
      </c>
      <c r="O2229" s="2" t="s">
        <v>11037</v>
      </c>
      <c r="P2229" s="2" t="s">
        <v>11038</v>
      </c>
      <c r="Q2229" s="2">
        <f>AVERAGE(PerfRate[[#This Row],[EnvironmentSatisfaction]],PerfRate[[#This Row],[JobSatisfaction]],PerfRate[[#This Row],[RelationshipSatisfaction]])</f>
        <v>4.666666666666667</v>
      </c>
      <c r="R2229" s="2">
        <f>PerfRate[[#This Row],[ManagerRating]] - PerfRate[[#This Row],[SelfRating]]</f>
        <v>0</v>
      </c>
    </row>
    <row r="2230" spans="1:18">
      <c r="A2230" s="2" t="s">
        <v>6537</v>
      </c>
      <c r="B2230" s="2" t="s">
        <v>4002</v>
      </c>
      <c r="C2230" s="1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  <c r="L2230" s="2" t="s">
        <v>11030</v>
      </c>
      <c r="M2230" s="2" t="s">
        <v>11030</v>
      </c>
      <c r="N2230" s="2" t="s">
        <v>11038</v>
      </c>
      <c r="O2230" s="2" t="s">
        <v>11038</v>
      </c>
      <c r="P2230" s="2" t="s">
        <v>11036</v>
      </c>
      <c r="Q2230" s="2">
        <f>AVERAGE(PerfRate[[#This Row],[EnvironmentSatisfaction]],PerfRate[[#This Row],[JobSatisfaction]],PerfRate[[#This Row],[RelationshipSatisfaction]])</f>
        <v>4.333333333333333</v>
      </c>
      <c r="R2230" s="2">
        <f>PerfRate[[#This Row],[ManagerRating]] - PerfRate[[#This Row],[SelfRating]]</f>
        <v>0</v>
      </c>
    </row>
    <row r="2231" spans="1:18">
      <c r="A2231" s="2" t="s">
        <v>6538</v>
      </c>
      <c r="B2231" s="2" t="s">
        <v>1027</v>
      </c>
      <c r="C2231" s="1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  <c r="L2231" s="2" t="s">
        <v>11029</v>
      </c>
      <c r="M2231" s="2" t="s">
        <v>11029</v>
      </c>
      <c r="N2231" s="2" t="s">
        <v>11036</v>
      </c>
      <c r="O2231" s="2" t="s">
        <v>11035</v>
      </c>
      <c r="P2231" s="2" t="s">
        <v>11038</v>
      </c>
      <c r="Q2231" s="2">
        <f>AVERAGE(PerfRate[[#This Row],[EnvironmentSatisfaction]],PerfRate[[#This Row],[JobSatisfaction]],PerfRate[[#This Row],[RelationshipSatisfaction]])</f>
        <v>3.3333333333333335</v>
      </c>
      <c r="R2231" s="2">
        <f>PerfRate[[#This Row],[ManagerRating]] - PerfRate[[#This Row],[SelfRating]]</f>
        <v>0</v>
      </c>
    </row>
    <row r="2232" spans="1:18">
      <c r="A2232" s="2" t="s">
        <v>6539</v>
      </c>
      <c r="B2232" s="2" t="s">
        <v>3702</v>
      </c>
      <c r="C2232" s="1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  <c r="L2232" s="2" t="s">
        <v>11029</v>
      </c>
      <c r="M2232" s="2" t="s">
        <v>11028</v>
      </c>
      <c r="N2232" s="2" t="s">
        <v>11038</v>
      </c>
      <c r="O2232" s="2" t="s">
        <v>11036</v>
      </c>
      <c r="P2232" s="2" t="s">
        <v>11038</v>
      </c>
      <c r="Q2232" s="2">
        <f>AVERAGE(PerfRate[[#This Row],[EnvironmentSatisfaction]],PerfRate[[#This Row],[JobSatisfaction]],PerfRate[[#This Row],[RelationshipSatisfaction]])</f>
        <v>4.333333333333333</v>
      </c>
      <c r="R2232" s="2">
        <f>PerfRate[[#This Row],[ManagerRating]] - PerfRate[[#This Row],[SelfRating]]</f>
        <v>-1</v>
      </c>
    </row>
    <row r="2233" spans="1:18">
      <c r="A2233" s="2" t="s">
        <v>6540</v>
      </c>
      <c r="B2233" s="2" t="s">
        <v>189</v>
      </c>
      <c r="C2233" s="1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  <c r="L2233" s="2" t="s">
        <v>11029</v>
      </c>
      <c r="M2233" s="2" t="s">
        <v>11029</v>
      </c>
      <c r="N2233" s="2" t="s">
        <v>11038</v>
      </c>
      <c r="O2233" s="2" t="s">
        <v>11037</v>
      </c>
      <c r="P2233" s="2" t="s">
        <v>11035</v>
      </c>
      <c r="Q2233" s="2">
        <f>AVERAGE(PerfRate[[#This Row],[EnvironmentSatisfaction]],PerfRate[[#This Row],[JobSatisfaction]],PerfRate[[#This Row],[RelationshipSatisfaction]])</f>
        <v>3.6666666666666665</v>
      </c>
      <c r="R2233" s="2">
        <f>PerfRate[[#This Row],[ManagerRating]] - PerfRate[[#This Row],[SelfRating]]</f>
        <v>0</v>
      </c>
    </row>
    <row r="2234" spans="1:18">
      <c r="A2234" s="2" t="s">
        <v>6541</v>
      </c>
      <c r="B2234" s="2" t="s">
        <v>1569</v>
      </c>
      <c r="C2234" s="1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  <c r="L2234" s="2" t="s">
        <v>11030</v>
      </c>
      <c r="M2234" s="2" t="s">
        <v>11030</v>
      </c>
      <c r="N2234" s="2" t="s">
        <v>11037</v>
      </c>
      <c r="O2234" s="2" t="s">
        <v>11036</v>
      </c>
      <c r="P2234" s="2" t="s">
        <v>11038</v>
      </c>
      <c r="Q2234" s="2">
        <f>AVERAGE(PerfRate[[#This Row],[EnvironmentSatisfaction]],PerfRate[[#This Row],[JobSatisfaction]],PerfRate[[#This Row],[RelationshipSatisfaction]])</f>
        <v>4</v>
      </c>
      <c r="R2234" s="2">
        <f>PerfRate[[#This Row],[ManagerRating]] - PerfRate[[#This Row],[SelfRating]]</f>
        <v>0</v>
      </c>
    </row>
    <row r="2235" spans="1:18">
      <c r="A2235" s="2" t="s">
        <v>6542</v>
      </c>
      <c r="B2235" s="2" t="s">
        <v>3881</v>
      </c>
      <c r="C2235" s="1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  <c r="L2235" s="2" t="s">
        <v>11030</v>
      </c>
      <c r="M2235" s="2" t="s">
        <v>11030</v>
      </c>
      <c r="N2235" s="2" t="s">
        <v>11036</v>
      </c>
      <c r="O2235" s="2" t="s">
        <v>11037</v>
      </c>
      <c r="P2235" s="2" t="s">
        <v>11037</v>
      </c>
      <c r="Q2235" s="2">
        <f>AVERAGE(PerfRate[[#This Row],[EnvironmentSatisfaction]],PerfRate[[#This Row],[JobSatisfaction]],PerfRate[[#This Row],[RelationshipSatisfaction]])</f>
        <v>3.6666666666666665</v>
      </c>
      <c r="R2235" s="2">
        <f>PerfRate[[#This Row],[ManagerRating]] - PerfRate[[#This Row],[SelfRating]]</f>
        <v>0</v>
      </c>
    </row>
    <row r="2236" spans="1:18">
      <c r="A2236" s="2" t="s">
        <v>6543</v>
      </c>
      <c r="B2236" s="2" t="s">
        <v>4023</v>
      </c>
      <c r="C2236" s="1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  <c r="L2236" s="2" t="s">
        <v>11029</v>
      </c>
      <c r="M2236" s="2" t="s">
        <v>11029</v>
      </c>
      <c r="N2236" s="2" t="s">
        <v>11038</v>
      </c>
      <c r="O2236" s="2" t="s">
        <v>11036</v>
      </c>
      <c r="P2236" s="2" t="s">
        <v>11037</v>
      </c>
      <c r="Q2236" s="2">
        <f>AVERAGE(PerfRate[[#This Row],[EnvironmentSatisfaction]],PerfRate[[#This Row],[JobSatisfaction]],PerfRate[[#This Row],[RelationshipSatisfaction]])</f>
        <v>4</v>
      </c>
      <c r="R2236" s="2">
        <f>PerfRate[[#This Row],[ManagerRating]] - PerfRate[[#This Row],[SelfRating]]</f>
        <v>0</v>
      </c>
    </row>
    <row r="2237" spans="1:18">
      <c r="A2237" s="2" t="s">
        <v>6544</v>
      </c>
      <c r="B2237" s="2" t="s">
        <v>562</v>
      </c>
      <c r="C2237" s="1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  <c r="L2237" s="2" t="s">
        <v>11030</v>
      </c>
      <c r="M2237" s="2" t="s">
        <v>11030</v>
      </c>
      <c r="N2237" s="2" t="s">
        <v>11038</v>
      </c>
      <c r="O2237" s="2" t="s">
        <v>11036</v>
      </c>
      <c r="P2237" s="2" t="s">
        <v>11036</v>
      </c>
      <c r="Q2237" s="2">
        <f>AVERAGE(PerfRate[[#This Row],[EnvironmentSatisfaction]],PerfRate[[#This Row],[JobSatisfaction]],PerfRate[[#This Row],[RelationshipSatisfaction]])</f>
        <v>3.6666666666666665</v>
      </c>
      <c r="R2237" s="2">
        <f>PerfRate[[#This Row],[ManagerRating]] - PerfRate[[#This Row],[SelfRating]]</f>
        <v>0</v>
      </c>
    </row>
    <row r="2238" spans="1:18">
      <c r="A2238" s="2" t="s">
        <v>6545</v>
      </c>
      <c r="B2238" s="2" t="s">
        <v>883</v>
      </c>
      <c r="C2238" s="1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  <c r="L2238" s="2" t="s">
        <v>11031</v>
      </c>
      <c r="M2238" s="2" t="s">
        <v>11030</v>
      </c>
      <c r="N2238" s="2" t="s">
        <v>11036</v>
      </c>
      <c r="O2238" s="2" t="s">
        <v>11038</v>
      </c>
      <c r="P2238" s="2" t="s">
        <v>11035</v>
      </c>
      <c r="Q2238" s="2">
        <f>AVERAGE(PerfRate[[#This Row],[EnvironmentSatisfaction]],PerfRate[[#This Row],[JobSatisfaction]],PerfRate[[#This Row],[RelationshipSatisfaction]])</f>
        <v>3.3333333333333335</v>
      </c>
      <c r="R2238" s="2">
        <f>PerfRate[[#This Row],[ManagerRating]] - PerfRate[[#This Row],[SelfRating]]</f>
        <v>-1</v>
      </c>
    </row>
    <row r="2239" spans="1:18">
      <c r="A2239" s="2" t="s">
        <v>6546</v>
      </c>
      <c r="B2239" s="2" t="s">
        <v>1921</v>
      </c>
      <c r="C2239" s="1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  <c r="L2239" s="2" t="s">
        <v>11030</v>
      </c>
      <c r="M2239" s="2" t="s">
        <v>11030</v>
      </c>
      <c r="N2239" s="2" t="s">
        <v>11038</v>
      </c>
      <c r="O2239" s="2" t="s">
        <v>11038</v>
      </c>
      <c r="P2239" s="2" t="s">
        <v>11035</v>
      </c>
      <c r="Q2239" s="2">
        <f>AVERAGE(PerfRate[[#This Row],[EnvironmentSatisfaction]],PerfRate[[#This Row],[JobSatisfaction]],PerfRate[[#This Row],[RelationshipSatisfaction]])</f>
        <v>4</v>
      </c>
      <c r="R2239" s="2">
        <f>PerfRate[[#This Row],[ManagerRating]] - PerfRate[[#This Row],[SelfRating]]</f>
        <v>0</v>
      </c>
    </row>
    <row r="2240" spans="1:18">
      <c r="A2240" s="2" t="s">
        <v>6547</v>
      </c>
      <c r="B2240" s="2" t="s">
        <v>3154</v>
      </c>
      <c r="C2240" s="1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  <c r="L2240" s="2" t="s">
        <v>11029</v>
      </c>
      <c r="M2240" s="2" t="s">
        <v>11029</v>
      </c>
      <c r="N2240" s="2" t="s">
        <v>11037</v>
      </c>
      <c r="O2240" s="2" t="s">
        <v>11036</v>
      </c>
      <c r="P2240" s="2" t="s">
        <v>11037</v>
      </c>
      <c r="Q2240" s="2">
        <f>AVERAGE(PerfRate[[#This Row],[EnvironmentSatisfaction]],PerfRate[[#This Row],[JobSatisfaction]],PerfRate[[#This Row],[RelationshipSatisfaction]])</f>
        <v>3.6666666666666665</v>
      </c>
      <c r="R2240" s="2">
        <f>PerfRate[[#This Row],[ManagerRating]] - PerfRate[[#This Row],[SelfRating]]</f>
        <v>0</v>
      </c>
    </row>
    <row r="2241" spans="1:18">
      <c r="A2241" s="2" t="s">
        <v>6548</v>
      </c>
      <c r="B2241" s="2" t="s">
        <v>1074</v>
      </c>
      <c r="C2241" s="1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  <c r="L2241" s="2" t="s">
        <v>11030</v>
      </c>
      <c r="M2241" s="2" t="s">
        <v>11030</v>
      </c>
      <c r="N2241" s="2" t="s">
        <v>11038</v>
      </c>
      <c r="O2241" s="2" t="s">
        <v>11035</v>
      </c>
      <c r="P2241" s="2" t="s">
        <v>11036</v>
      </c>
      <c r="Q2241" s="2">
        <f>AVERAGE(PerfRate[[#This Row],[EnvironmentSatisfaction]],PerfRate[[#This Row],[JobSatisfaction]],PerfRate[[#This Row],[RelationshipSatisfaction]])</f>
        <v>3.3333333333333335</v>
      </c>
      <c r="R2241" s="2">
        <f>PerfRate[[#This Row],[ManagerRating]] - PerfRate[[#This Row],[SelfRating]]</f>
        <v>0</v>
      </c>
    </row>
    <row r="2242" spans="1:18">
      <c r="A2242" s="2" t="s">
        <v>6549</v>
      </c>
      <c r="B2242" s="2" t="s">
        <v>1221</v>
      </c>
      <c r="C2242" s="1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  <c r="L2242" s="2" t="s">
        <v>11030</v>
      </c>
      <c r="M2242" s="2" t="s">
        <v>11030</v>
      </c>
      <c r="N2242" s="2" t="s">
        <v>11038</v>
      </c>
      <c r="O2242" s="2" t="s">
        <v>11036</v>
      </c>
      <c r="P2242" s="2" t="s">
        <v>11038</v>
      </c>
      <c r="Q2242" s="2">
        <f>AVERAGE(PerfRate[[#This Row],[EnvironmentSatisfaction]],PerfRate[[#This Row],[JobSatisfaction]],PerfRate[[#This Row],[RelationshipSatisfaction]])</f>
        <v>4.333333333333333</v>
      </c>
      <c r="R2242" s="2">
        <f>PerfRate[[#This Row],[ManagerRating]] - PerfRate[[#This Row],[SelfRating]]</f>
        <v>0</v>
      </c>
    </row>
    <row r="2243" spans="1:18">
      <c r="A2243" s="2" t="s">
        <v>6550</v>
      </c>
      <c r="B2243" s="2" t="s">
        <v>1306</v>
      </c>
      <c r="C2243" s="1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  <c r="L2243" s="2" t="s">
        <v>11030</v>
      </c>
      <c r="M2243" s="2" t="s">
        <v>11030</v>
      </c>
      <c r="N2243" s="2" t="s">
        <v>11038</v>
      </c>
      <c r="O2243" s="2" t="s">
        <v>11038</v>
      </c>
      <c r="P2243" s="2" t="s">
        <v>11038</v>
      </c>
      <c r="Q2243" s="2">
        <f>AVERAGE(PerfRate[[#This Row],[EnvironmentSatisfaction]],PerfRate[[#This Row],[JobSatisfaction]],PerfRate[[#This Row],[RelationshipSatisfaction]])</f>
        <v>5</v>
      </c>
      <c r="R2243" s="2">
        <f>PerfRate[[#This Row],[ManagerRating]] - PerfRate[[#This Row],[SelfRating]]</f>
        <v>0</v>
      </c>
    </row>
    <row r="2244" spans="1:18">
      <c r="A2244" s="2" t="s">
        <v>6551</v>
      </c>
      <c r="B2244" s="2" t="s">
        <v>693</v>
      </c>
      <c r="C2244" s="1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  <c r="L2244" s="2" t="s">
        <v>11029</v>
      </c>
      <c r="M2244" s="2" t="s">
        <v>11028</v>
      </c>
      <c r="N2244" s="2" t="s">
        <v>11037</v>
      </c>
      <c r="O2244" s="2" t="s">
        <v>11036</v>
      </c>
      <c r="P2244" s="2" t="s">
        <v>11036</v>
      </c>
      <c r="Q2244" s="2">
        <f>AVERAGE(PerfRate[[#This Row],[EnvironmentSatisfaction]],PerfRate[[#This Row],[JobSatisfaction]],PerfRate[[#This Row],[RelationshipSatisfaction]])</f>
        <v>3.3333333333333335</v>
      </c>
      <c r="R2244" s="2">
        <f>PerfRate[[#This Row],[ManagerRating]] - PerfRate[[#This Row],[SelfRating]]</f>
        <v>-1</v>
      </c>
    </row>
    <row r="2245" spans="1:18">
      <c r="A2245" s="2" t="s">
        <v>6552</v>
      </c>
      <c r="B2245" s="2" t="s">
        <v>979</v>
      </c>
      <c r="C2245" s="1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  <c r="L2245" s="2" t="s">
        <v>11030</v>
      </c>
      <c r="M2245" s="2" t="s">
        <v>11030</v>
      </c>
      <c r="N2245" s="2" t="s">
        <v>11038</v>
      </c>
      <c r="O2245" s="2" t="s">
        <v>11035</v>
      </c>
      <c r="P2245" s="2" t="s">
        <v>11035</v>
      </c>
      <c r="Q2245" s="2">
        <f>AVERAGE(PerfRate[[#This Row],[EnvironmentSatisfaction]],PerfRate[[#This Row],[JobSatisfaction]],PerfRate[[#This Row],[RelationshipSatisfaction]])</f>
        <v>3</v>
      </c>
      <c r="R2245" s="2">
        <f>PerfRate[[#This Row],[ManagerRating]] - PerfRate[[#This Row],[SelfRating]]</f>
        <v>0</v>
      </c>
    </row>
    <row r="2246" spans="1:18">
      <c r="A2246" s="2" t="s">
        <v>6553</v>
      </c>
      <c r="B2246" s="2" t="s">
        <v>266</v>
      </c>
      <c r="C2246" s="1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  <c r="L2246" s="2" t="s">
        <v>11029</v>
      </c>
      <c r="M2246" s="2" t="s">
        <v>11029</v>
      </c>
      <c r="N2246" s="2" t="s">
        <v>11037</v>
      </c>
      <c r="O2246" s="2" t="s">
        <v>11036</v>
      </c>
      <c r="P2246" s="2" t="s">
        <v>11038</v>
      </c>
      <c r="Q2246" s="2">
        <f>AVERAGE(PerfRate[[#This Row],[EnvironmentSatisfaction]],PerfRate[[#This Row],[JobSatisfaction]],PerfRate[[#This Row],[RelationshipSatisfaction]])</f>
        <v>4</v>
      </c>
      <c r="R2246" s="2">
        <f>PerfRate[[#This Row],[ManagerRating]] - PerfRate[[#This Row],[SelfRating]]</f>
        <v>0</v>
      </c>
    </row>
    <row r="2247" spans="1:18">
      <c r="A2247" s="2" t="s">
        <v>6554</v>
      </c>
      <c r="B2247" s="2" t="s">
        <v>1915</v>
      </c>
      <c r="C2247" s="1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  <c r="L2247" s="2" t="s">
        <v>11029</v>
      </c>
      <c r="M2247" s="2" t="s">
        <v>11028</v>
      </c>
      <c r="N2247" s="2" t="s">
        <v>11036</v>
      </c>
      <c r="O2247" s="2" t="s">
        <v>11038</v>
      </c>
      <c r="P2247" s="2" t="s">
        <v>11037</v>
      </c>
      <c r="Q2247" s="2">
        <f>AVERAGE(PerfRate[[#This Row],[EnvironmentSatisfaction]],PerfRate[[#This Row],[JobSatisfaction]],PerfRate[[#This Row],[RelationshipSatisfaction]])</f>
        <v>4</v>
      </c>
      <c r="R2247" s="2">
        <f>PerfRate[[#This Row],[ManagerRating]] - PerfRate[[#This Row],[SelfRating]]</f>
        <v>-1</v>
      </c>
    </row>
    <row r="2248" spans="1:18">
      <c r="A2248" s="2" t="s">
        <v>6555</v>
      </c>
      <c r="B2248" s="2" t="s">
        <v>928</v>
      </c>
      <c r="C2248" s="1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  <c r="L2248" s="2" t="s">
        <v>11031</v>
      </c>
      <c r="M2248" s="2" t="s">
        <v>11030</v>
      </c>
      <c r="N2248" s="2" t="s">
        <v>11036</v>
      </c>
      <c r="O2248" s="2" t="s">
        <v>11038</v>
      </c>
      <c r="P2248" s="2" t="s">
        <v>11038</v>
      </c>
      <c r="Q2248" s="2">
        <f>AVERAGE(PerfRate[[#This Row],[EnvironmentSatisfaction]],PerfRate[[#This Row],[JobSatisfaction]],PerfRate[[#This Row],[RelationshipSatisfaction]])</f>
        <v>4.333333333333333</v>
      </c>
      <c r="R2248" s="2">
        <f>PerfRate[[#This Row],[ManagerRating]] - PerfRate[[#This Row],[SelfRating]]</f>
        <v>-1</v>
      </c>
    </row>
    <row r="2249" spans="1:18">
      <c r="A2249" s="2" t="s">
        <v>6556</v>
      </c>
      <c r="B2249" s="2" t="s">
        <v>1990</v>
      </c>
      <c r="C2249" s="1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  <c r="L2249" s="2" t="s">
        <v>11029</v>
      </c>
      <c r="M2249" s="2" t="s">
        <v>11028</v>
      </c>
      <c r="N2249" s="2" t="s">
        <v>11038</v>
      </c>
      <c r="O2249" s="2" t="s">
        <v>11037</v>
      </c>
      <c r="P2249" s="2" t="s">
        <v>11036</v>
      </c>
      <c r="Q2249" s="2">
        <f>AVERAGE(PerfRate[[#This Row],[EnvironmentSatisfaction]],PerfRate[[#This Row],[JobSatisfaction]],PerfRate[[#This Row],[RelationshipSatisfaction]])</f>
        <v>4</v>
      </c>
      <c r="R2249" s="2">
        <f>PerfRate[[#This Row],[ManagerRating]] - PerfRate[[#This Row],[SelfRating]]</f>
        <v>-1</v>
      </c>
    </row>
    <row r="2250" spans="1:18">
      <c r="A2250" s="2" t="s">
        <v>6557</v>
      </c>
      <c r="B2250" s="2" t="s">
        <v>208</v>
      </c>
      <c r="C2250" s="1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  <c r="L2250" s="2" t="s">
        <v>11030</v>
      </c>
      <c r="M2250" s="2" t="s">
        <v>11030</v>
      </c>
      <c r="N2250" s="2" t="s">
        <v>11038</v>
      </c>
      <c r="O2250" s="2" t="s">
        <v>11035</v>
      </c>
      <c r="P2250" s="2" t="s">
        <v>11035</v>
      </c>
      <c r="Q2250" s="2">
        <f>AVERAGE(PerfRate[[#This Row],[EnvironmentSatisfaction]],PerfRate[[#This Row],[JobSatisfaction]],PerfRate[[#This Row],[RelationshipSatisfaction]])</f>
        <v>3</v>
      </c>
      <c r="R2250" s="2">
        <f>PerfRate[[#This Row],[ManagerRating]] - PerfRate[[#This Row],[SelfRating]]</f>
        <v>0</v>
      </c>
    </row>
    <row r="2251" spans="1:18">
      <c r="A2251" s="2" t="s">
        <v>6558</v>
      </c>
      <c r="B2251" s="2" t="s">
        <v>1249</v>
      </c>
      <c r="C2251" s="1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  <c r="L2251" s="2" t="s">
        <v>11029</v>
      </c>
      <c r="M2251" s="2" t="s">
        <v>11029</v>
      </c>
      <c r="N2251" s="2" t="s">
        <v>11036</v>
      </c>
      <c r="O2251" s="2" t="s">
        <v>11035</v>
      </c>
      <c r="P2251" s="2" t="s">
        <v>11036</v>
      </c>
      <c r="Q2251" s="2">
        <f>AVERAGE(PerfRate[[#This Row],[EnvironmentSatisfaction]],PerfRate[[#This Row],[JobSatisfaction]],PerfRate[[#This Row],[RelationshipSatisfaction]])</f>
        <v>2.6666666666666665</v>
      </c>
      <c r="R2251" s="2">
        <f>PerfRate[[#This Row],[ManagerRating]] - PerfRate[[#This Row],[SelfRating]]</f>
        <v>0</v>
      </c>
    </row>
    <row r="2252" spans="1:18">
      <c r="A2252" s="2" t="s">
        <v>6559</v>
      </c>
      <c r="B2252" s="2" t="s">
        <v>2372</v>
      </c>
      <c r="C2252" s="1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  <c r="L2252" s="2" t="s">
        <v>11030</v>
      </c>
      <c r="M2252" s="2" t="s">
        <v>11030</v>
      </c>
      <c r="N2252" s="2" t="s">
        <v>11036</v>
      </c>
      <c r="O2252" s="2" t="s">
        <v>11038</v>
      </c>
      <c r="P2252" s="2" t="s">
        <v>11037</v>
      </c>
      <c r="Q2252" s="2">
        <f>AVERAGE(PerfRate[[#This Row],[EnvironmentSatisfaction]],PerfRate[[#This Row],[JobSatisfaction]],PerfRate[[#This Row],[RelationshipSatisfaction]])</f>
        <v>4</v>
      </c>
      <c r="R2252" s="2">
        <f>PerfRate[[#This Row],[ManagerRating]] - PerfRate[[#This Row],[SelfRating]]</f>
        <v>0</v>
      </c>
    </row>
    <row r="2253" spans="1:18">
      <c r="A2253" s="2" t="s">
        <v>6560</v>
      </c>
      <c r="B2253" s="2" t="s">
        <v>508</v>
      </c>
      <c r="C2253" s="1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  <c r="L2253" s="2" t="s">
        <v>11029</v>
      </c>
      <c r="M2253" s="2" t="s">
        <v>11029</v>
      </c>
      <c r="N2253" s="2" t="s">
        <v>11038</v>
      </c>
      <c r="O2253" s="2" t="s">
        <v>11038</v>
      </c>
      <c r="P2253" s="2" t="s">
        <v>11036</v>
      </c>
      <c r="Q2253" s="2">
        <f>AVERAGE(PerfRate[[#This Row],[EnvironmentSatisfaction]],PerfRate[[#This Row],[JobSatisfaction]],PerfRate[[#This Row],[RelationshipSatisfaction]])</f>
        <v>4.333333333333333</v>
      </c>
      <c r="R2253" s="2">
        <f>PerfRate[[#This Row],[ManagerRating]] - PerfRate[[#This Row],[SelfRating]]</f>
        <v>0</v>
      </c>
    </row>
    <row r="2254" spans="1:18">
      <c r="A2254" s="2" t="s">
        <v>6561</v>
      </c>
      <c r="B2254" s="2" t="s">
        <v>2532</v>
      </c>
      <c r="C2254" s="1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  <c r="L2254" s="2" t="s">
        <v>11030</v>
      </c>
      <c r="M2254" s="2" t="s">
        <v>11029</v>
      </c>
      <c r="N2254" s="2" t="s">
        <v>11038</v>
      </c>
      <c r="O2254" s="2" t="s">
        <v>11038</v>
      </c>
      <c r="P2254" s="2" t="s">
        <v>11036</v>
      </c>
      <c r="Q2254" s="2">
        <f>AVERAGE(PerfRate[[#This Row],[EnvironmentSatisfaction]],PerfRate[[#This Row],[JobSatisfaction]],PerfRate[[#This Row],[RelationshipSatisfaction]])</f>
        <v>4.333333333333333</v>
      </c>
      <c r="R2254" s="2">
        <f>PerfRate[[#This Row],[ManagerRating]] - PerfRate[[#This Row],[SelfRating]]</f>
        <v>-1</v>
      </c>
    </row>
    <row r="2255" spans="1:18">
      <c r="A2255" s="2" t="s">
        <v>6562</v>
      </c>
      <c r="B2255" s="2" t="s">
        <v>814</v>
      </c>
      <c r="C2255" s="1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  <c r="L2255" s="2" t="s">
        <v>11031</v>
      </c>
      <c r="M2255" s="2" t="s">
        <v>11030</v>
      </c>
      <c r="N2255" s="2" t="s">
        <v>11036</v>
      </c>
      <c r="O2255" s="2" t="s">
        <v>11037</v>
      </c>
      <c r="P2255" s="2" t="s">
        <v>11036</v>
      </c>
      <c r="Q2255" s="2">
        <f>AVERAGE(PerfRate[[#This Row],[EnvironmentSatisfaction]],PerfRate[[#This Row],[JobSatisfaction]],PerfRate[[#This Row],[RelationshipSatisfaction]])</f>
        <v>3.3333333333333335</v>
      </c>
      <c r="R2255" s="2">
        <f>PerfRate[[#This Row],[ManagerRating]] - PerfRate[[#This Row],[SelfRating]]</f>
        <v>-1</v>
      </c>
    </row>
    <row r="2256" spans="1:18">
      <c r="A2256" s="2" t="s">
        <v>6563</v>
      </c>
      <c r="B2256" s="2" t="s">
        <v>1441</v>
      </c>
      <c r="C2256" s="1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  <c r="L2256" s="2" t="s">
        <v>11029</v>
      </c>
      <c r="M2256" s="2" t="s">
        <v>11028</v>
      </c>
      <c r="N2256" s="2" t="s">
        <v>11038</v>
      </c>
      <c r="O2256" s="2" t="s">
        <v>11037</v>
      </c>
      <c r="P2256" s="2" t="s">
        <v>11035</v>
      </c>
      <c r="Q2256" s="2">
        <f>AVERAGE(PerfRate[[#This Row],[EnvironmentSatisfaction]],PerfRate[[#This Row],[JobSatisfaction]],PerfRate[[#This Row],[RelationshipSatisfaction]])</f>
        <v>3.6666666666666665</v>
      </c>
      <c r="R2256" s="2">
        <f>PerfRate[[#This Row],[ManagerRating]] - PerfRate[[#This Row],[SelfRating]]</f>
        <v>-1</v>
      </c>
    </row>
    <row r="2257" spans="1:18">
      <c r="A2257" s="2" t="s">
        <v>6564</v>
      </c>
      <c r="B2257" s="2" t="s">
        <v>1476</v>
      </c>
      <c r="C2257" s="1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  <c r="L2257" s="2" t="s">
        <v>11029</v>
      </c>
      <c r="M2257" s="2" t="s">
        <v>11029</v>
      </c>
      <c r="N2257" s="2" t="s">
        <v>11036</v>
      </c>
      <c r="O2257" s="2" t="s">
        <v>11036</v>
      </c>
      <c r="P2257" s="2" t="s">
        <v>11036</v>
      </c>
      <c r="Q2257" s="2">
        <f>AVERAGE(PerfRate[[#This Row],[EnvironmentSatisfaction]],PerfRate[[#This Row],[JobSatisfaction]],PerfRate[[#This Row],[RelationshipSatisfaction]])</f>
        <v>3</v>
      </c>
      <c r="R2257" s="2">
        <f>PerfRate[[#This Row],[ManagerRating]] - PerfRate[[#This Row],[SelfRating]]</f>
        <v>0</v>
      </c>
    </row>
    <row r="2258" spans="1:18">
      <c r="A2258" s="2" t="s">
        <v>6565</v>
      </c>
      <c r="B2258" s="2" t="s">
        <v>461</v>
      </c>
      <c r="C2258" s="1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  <c r="L2258" s="2" t="s">
        <v>11029</v>
      </c>
      <c r="M2258" s="2" t="s">
        <v>11028</v>
      </c>
      <c r="N2258" s="2" t="s">
        <v>11038</v>
      </c>
      <c r="O2258" s="2" t="s">
        <v>11035</v>
      </c>
      <c r="P2258" s="2" t="s">
        <v>11035</v>
      </c>
      <c r="Q2258" s="2">
        <f>AVERAGE(PerfRate[[#This Row],[EnvironmentSatisfaction]],PerfRate[[#This Row],[JobSatisfaction]],PerfRate[[#This Row],[RelationshipSatisfaction]])</f>
        <v>3</v>
      </c>
      <c r="R2258" s="2">
        <f>PerfRate[[#This Row],[ManagerRating]] - PerfRate[[#This Row],[SelfRating]]</f>
        <v>-1</v>
      </c>
    </row>
    <row r="2259" spans="1:18">
      <c r="A2259" s="2" t="s">
        <v>6566</v>
      </c>
      <c r="B2259" s="2" t="s">
        <v>1421</v>
      </c>
      <c r="C2259" s="1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  <c r="L2259" s="2" t="s">
        <v>11029</v>
      </c>
      <c r="M2259" s="2" t="s">
        <v>11028</v>
      </c>
      <c r="N2259" s="2" t="s">
        <v>11036</v>
      </c>
      <c r="O2259" s="2" t="s">
        <v>11038</v>
      </c>
      <c r="P2259" s="2" t="s">
        <v>11038</v>
      </c>
      <c r="Q2259" s="2">
        <f>AVERAGE(PerfRate[[#This Row],[EnvironmentSatisfaction]],PerfRate[[#This Row],[JobSatisfaction]],PerfRate[[#This Row],[RelationshipSatisfaction]])</f>
        <v>4.333333333333333</v>
      </c>
      <c r="R2259" s="2">
        <f>PerfRate[[#This Row],[ManagerRating]] - PerfRate[[#This Row],[SelfRating]]</f>
        <v>-1</v>
      </c>
    </row>
    <row r="2260" spans="1:18">
      <c r="A2260" s="2" t="s">
        <v>6567</v>
      </c>
      <c r="B2260" s="2" t="s">
        <v>1719</v>
      </c>
      <c r="C2260" s="1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  <c r="L2260" s="2" t="s">
        <v>11029</v>
      </c>
      <c r="M2260" s="2" t="s">
        <v>11029</v>
      </c>
      <c r="N2260" s="2" t="s">
        <v>11036</v>
      </c>
      <c r="O2260" s="2" t="s">
        <v>11036</v>
      </c>
      <c r="P2260" s="2" t="s">
        <v>11035</v>
      </c>
      <c r="Q2260" s="2">
        <f>AVERAGE(PerfRate[[#This Row],[EnvironmentSatisfaction]],PerfRate[[#This Row],[JobSatisfaction]],PerfRate[[#This Row],[RelationshipSatisfaction]])</f>
        <v>2.6666666666666665</v>
      </c>
      <c r="R2260" s="2">
        <f>PerfRate[[#This Row],[ManagerRating]] - PerfRate[[#This Row],[SelfRating]]</f>
        <v>0</v>
      </c>
    </row>
    <row r="2261" spans="1:18">
      <c r="A2261" s="2" t="s">
        <v>6568</v>
      </c>
      <c r="B2261" s="2" t="s">
        <v>2019</v>
      </c>
      <c r="C2261" s="1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  <c r="L2261" s="2" t="s">
        <v>11031</v>
      </c>
      <c r="M2261" s="2" t="s">
        <v>11030</v>
      </c>
      <c r="N2261" s="2" t="s">
        <v>11038</v>
      </c>
      <c r="O2261" s="2" t="s">
        <v>11036</v>
      </c>
      <c r="P2261" s="2" t="s">
        <v>11037</v>
      </c>
      <c r="Q2261" s="2">
        <f>AVERAGE(PerfRate[[#This Row],[EnvironmentSatisfaction]],PerfRate[[#This Row],[JobSatisfaction]],PerfRate[[#This Row],[RelationshipSatisfaction]])</f>
        <v>4</v>
      </c>
      <c r="R2261" s="2">
        <f>PerfRate[[#This Row],[ManagerRating]] - PerfRate[[#This Row],[SelfRating]]</f>
        <v>-1</v>
      </c>
    </row>
    <row r="2262" spans="1:18">
      <c r="A2262" s="2" t="s">
        <v>6569</v>
      </c>
      <c r="B2262" s="2" t="s">
        <v>3702</v>
      </c>
      <c r="C2262" s="1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  <c r="L2262" s="2" t="s">
        <v>11031</v>
      </c>
      <c r="M2262" s="2" t="s">
        <v>11031</v>
      </c>
      <c r="N2262" s="2" t="s">
        <v>11037</v>
      </c>
      <c r="O2262" s="2" t="s">
        <v>11038</v>
      </c>
      <c r="P2262" s="2" t="s">
        <v>11036</v>
      </c>
      <c r="Q2262" s="2">
        <f>AVERAGE(PerfRate[[#This Row],[EnvironmentSatisfaction]],PerfRate[[#This Row],[JobSatisfaction]],PerfRate[[#This Row],[RelationshipSatisfaction]])</f>
        <v>4</v>
      </c>
      <c r="R2262" s="2">
        <f>PerfRate[[#This Row],[ManagerRating]] - PerfRate[[#This Row],[SelfRating]]</f>
        <v>0</v>
      </c>
    </row>
    <row r="2263" spans="1:18">
      <c r="A2263" s="2" t="s">
        <v>6570</v>
      </c>
      <c r="B2263" s="2" t="s">
        <v>446</v>
      </c>
      <c r="C2263" s="1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  <c r="L2263" s="2" t="s">
        <v>11030</v>
      </c>
      <c r="M2263" s="2" t="s">
        <v>11030</v>
      </c>
      <c r="N2263" s="2" t="s">
        <v>11036</v>
      </c>
      <c r="O2263" s="2" t="s">
        <v>11037</v>
      </c>
      <c r="P2263" s="2" t="s">
        <v>11035</v>
      </c>
      <c r="Q2263" s="2">
        <f>AVERAGE(PerfRate[[#This Row],[EnvironmentSatisfaction]],PerfRate[[#This Row],[JobSatisfaction]],PerfRate[[#This Row],[RelationshipSatisfaction]])</f>
        <v>3</v>
      </c>
      <c r="R2263" s="2">
        <f>PerfRate[[#This Row],[ManagerRating]] - PerfRate[[#This Row],[SelfRating]]</f>
        <v>0</v>
      </c>
    </row>
    <row r="2264" spans="1:18">
      <c r="A2264" s="2" t="s">
        <v>6571</v>
      </c>
      <c r="B2264" s="2" t="s">
        <v>1741</v>
      </c>
      <c r="C2264" s="1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  <c r="L2264" s="2" t="s">
        <v>11029</v>
      </c>
      <c r="M2264" s="2" t="s">
        <v>11028</v>
      </c>
      <c r="N2264" s="2" t="s">
        <v>11036</v>
      </c>
      <c r="O2264" s="2" t="s">
        <v>11035</v>
      </c>
      <c r="P2264" s="2" t="s">
        <v>11038</v>
      </c>
      <c r="Q2264" s="2">
        <f>AVERAGE(PerfRate[[#This Row],[EnvironmentSatisfaction]],PerfRate[[#This Row],[JobSatisfaction]],PerfRate[[#This Row],[RelationshipSatisfaction]])</f>
        <v>3.3333333333333335</v>
      </c>
      <c r="R2264" s="2">
        <f>PerfRate[[#This Row],[ManagerRating]] - PerfRate[[#This Row],[SelfRating]]</f>
        <v>-1</v>
      </c>
    </row>
    <row r="2265" spans="1:18">
      <c r="A2265" s="2" t="s">
        <v>6572</v>
      </c>
      <c r="B2265" s="2" t="s">
        <v>1344</v>
      </c>
      <c r="C2265" s="1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  <c r="L2265" s="2" t="s">
        <v>11031</v>
      </c>
      <c r="M2265" s="2" t="s">
        <v>11030</v>
      </c>
      <c r="N2265" s="2" t="s">
        <v>11036</v>
      </c>
      <c r="O2265" s="2" t="s">
        <v>11035</v>
      </c>
      <c r="P2265" s="2" t="s">
        <v>11037</v>
      </c>
      <c r="Q2265" s="2">
        <f>AVERAGE(PerfRate[[#This Row],[EnvironmentSatisfaction]],PerfRate[[#This Row],[JobSatisfaction]],PerfRate[[#This Row],[RelationshipSatisfaction]])</f>
        <v>3</v>
      </c>
      <c r="R2265" s="2">
        <f>PerfRate[[#This Row],[ManagerRating]] - PerfRate[[#This Row],[SelfRating]]</f>
        <v>-1</v>
      </c>
    </row>
    <row r="2266" spans="1:18">
      <c r="A2266" s="2" t="s">
        <v>6573</v>
      </c>
      <c r="B2266" s="2" t="s">
        <v>2024</v>
      </c>
      <c r="C2266" s="1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  <c r="L2266" s="2" t="s">
        <v>11031</v>
      </c>
      <c r="M2266" s="2" t="s">
        <v>11031</v>
      </c>
      <c r="N2266" s="2" t="s">
        <v>11037</v>
      </c>
      <c r="O2266" s="2" t="s">
        <v>11038</v>
      </c>
      <c r="P2266" s="2" t="s">
        <v>11035</v>
      </c>
      <c r="Q2266" s="2">
        <f>AVERAGE(PerfRate[[#This Row],[EnvironmentSatisfaction]],PerfRate[[#This Row],[JobSatisfaction]],PerfRate[[#This Row],[RelationshipSatisfaction]])</f>
        <v>3.6666666666666665</v>
      </c>
      <c r="R2266" s="2">
        <f>PerfRate[[#This Row],[ManagerRating]] - PerfRate[[#This Row],[SelfRating]]</f>
        <v>0</v>
      </c>
    </row>
    <row r="2267" spans="1:18">
      <c r="A2267" s="2" t="s">
        <v>6574</v>
      </c>
      <c r="B2267" s="2" t="s">
        <v>2532</v>
      </c>
      <c r="C2267" s="1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  <c r="L2267" s="2" t="s">
        <v>11029</v>
      </c>
      <c r="M2267" s="2" t="s">
        <v>11028</v>
      </c>
      <c r="N2267" s="2" t="s">
        <v>11038</v>
      </c>
      <c r="O2267" s="2" t="s">
        <v>11036</v>
      </c>
      <c r="P2267" s="2" t="s">
        <v>11036</v>
      </c>
      <c r="Q2267" s="2">
        <f>AVERAGE(PerfRate[[#This Row],[EnvironmentSatisfaction]],PerfRate[[#This Row],[JobSatisfaction]],PerfRate[[#This Row],[RelationshipSatisfaction]])</f>
        <v>3.6666666666666665</v>
      </c>
      <c r="R2267" s="2">
        <f>PerfRate[[#This Row],[ManagerRating]] - PerfRate[[#This Row],[SelfRating]]</f>
        <v>-1</v>
      </c>
    </row>
    <row r="2268" spans="1:18">
      <c r="A2268" s="2" t="s">
        <v>6575</v>
      </c>
      <c r="B2268" s="2" t="s">
        <v>985</v>
      </c>
      <c r="C2268" s="1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  <c r="L2268" s="2" t="s">
        <v>11031</v>
      </c>
      <c r="M2268" s="2" t="s">
        <v>11031</v>
      </c>
      <c r="N2268" s="2" t="s">
        <v>11036</v>
      </c>
      <c r="O2268" s="2" t="s">
        <v>11038</v>
      </c>
      <c r="P2268" s="2" t="s">
        <v>11037</v>
      </c>
      <c r="Q2268" s="2">
        <f>AVERAGE(PerfRate[[#This Row],[EnvironmentSatisfaction]],PerfRate[[#This Row],[JobSatisfaction]],PerfRate[[#This Row],[RelationshipSatisfaction]])</f>
        <v>4</v>
      </c>
      <c r="R2268" s="2">
        <f>PerfRate[[#This Row],[ManagerRating]] - PerfRate[[#This Row],[SelfRating]]</f>
        <v>0</v>
      </c>
    </row>
    <row r="2269" spans="1:18">
      <c r="A2269" s="2" t="s">
        <v>6576</v>
      </c>
      <c r="B2269" s="2" t="s">
        <v>2122</v>
      </c>
      <c r="C2269" s="1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  <c r="L2269" s="2" t="s">
        <v>11030</v>
      </c>
      <c r="M2269" s="2" t="s">
        <v>11029</v>
      </c>
      <c r="N2269" s="2" t="s">
        <v>11037</v>
      </c>
      <c r="O2269" s="2" t="s">
        <v>11036</v>
      </c>
      <c r="P2269" s="2" t="s">
        <v>11035</v>
      </c>
      <c r="Q2269" s="2">
        <f>AVERAGE(PerfRate[[#This Row],[EnvironmentSatisfaction]],PerfRate[[#This Row],[JobSatisfaction]],PerfRate[[#This Row],[RelationshipSatisfaction]])</f>
        <v>3</v>
      </c>
      <c r="R2269" s="2">
        <f>PerfRate[[#This Row],[ManagerRating]] - PerfRate[[#This Row],[SelfRating]]</f>
        <v>-1</v>
      </c>
    </row>
    <row r="2270" spans="1:18">
      <c r="A2270" s="2" t="s">
        <v>6577</v>
      </c>
      <c r="B2270" s="2" t="s">
        <v>2039</v>
      </c>
      <c r="C2270" s="1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  <c r="L2270" s="2" t="s">
        <v>11030</v>
      </c>
      <c r="M2270" s="2" t="s">
        <v>11029</v>
      </c>
      <c r="N2270" s="2" t="s">
        <v>11037</v>
      </c>
      <c r="O2270" s="2" t="s">
        <v>11036</v>
      </c>
      <c r="P2270" s="2" t="s">
        <v>11035</v>
      </c>
      <c r="Q2270" s="2">
        <f>AVERAGE(PerfRate[[#This Row],[EnvironmentSatisfaction]],PerfRate[[#This Row],[JobSatisfaction]],PerfRate[[#This Row],[RelationshipSatisfaction]])</f>
        <v>3</v>
      </c>
      <c r="R2270" s="2">
        <f>PerfRate[[#This Row],[ManagerRating]] - PerfRate[[#This Row],[SelfRating]]</f>
        <v>-1</v>
      </c>
    </row>
    <row r="2271" spans="1:18">
      <c r="A2271" s="2" t="s">
        <v>6578</v>
      </c>
      <c r="B2271" s="2" t="s">
        <v>1641</v>
      </c>
      <c r="C2271" s="1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  <c r="L2271" s="2" t="s">
        <v>11031</v>
      </c>
      <c r="M2271" s="2" t="s">
        <v>11031</v>
      </c>
      <c r="N2271" s="2" t="s">
        <v>11036</v>
      </c>
      <c r="O2271" s="2" t="s">
        <v>11036</v>
      </c>
      <c r="P2271" s="2" t="s">
        <v>11036</v>
      </c>
      <c r="Q2271" s="2">
        <f>AVERAGE(PerfRate[[#This Row],[EnvironmentSatisfaction]],PerfRate[[#This Row],[JobSatisfaction]],PerfRate[[#This Row],[RelationshipSatisfaction]])</f>
        <v>3</v>
      </c>
      <c r="R2271" s="2">
        <f>PerfRate[[#This Row],[ManagerRating]] - PerfRate[[#This Row],[SelfRating]]</f>
        <v>0</v>
      </c>
    </row>
    <row r="2272" spans="1:18">
      <c r="A2272" s="2" t="s">
        <v>6579</v>
      </c>
      <c r="B2272" s="2" t="s">
        <v>2366</v>
      </c>
      <c r="C2272" s="1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  <c r="L2272" s="2" t="s">
        <v>11029</v>
      </c>
      <c r="M2272" s="2" t="s">
        <v>11029</v>
      </c>
      <c r="N2272" s="2" t="s">
        <v>11037</v>
      </c>
      <c r="O2272" s="2" t="s">
        <v>11035</v>
      </c>
      <c r="P2272" s="2" t="s">
        <v>11037</v>
      </c>
      <c r="Q2272" s="2">
        <f>AVERAGE(PerfRate[[#This Row],[EnvironmentSatisfaction]],PerfRate[[#This Row],[JobSatisfaction]],PerfRate[[#This Row],[RelationshipSatisfaction]])</f>
        <v>3.3333333333333335</v>
      </c>
      <c r="R2272" s="2">
        <f>PerfRate[[#This Row],[ManagerRating]] - PerfRate[[#This Row],[SelfRating]]</f>
        <v>0</v>
      </c>
    </row>
    <row r="2273" spans="1:18">
      <c r="A2273" s="2" t="s">
        <v>6580</v>
      </c>
      <c r="B2273" s="2" t="s">
        <v>1965</v>
      </c>
      <c r="C2273" s="1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  <c r="L2273" s="2" t="s">
        <v>11031</v>
      </c>
      <c r="M2273" s="2" t="s">
        <v>11031</v>
      </c>
      <c r="N2273" s="2" t="s">
        <v>11036</v>
      </c>
      <c r="O2273" s="2" t="s">
        <v>11038</v>
      </c>
      <c r="P2273" s="2" t="s">
        <v>11038</v>
      </c>
      <c r="Q2273" s="2">
        <f>AVERAGE(PerfRate[[#This Row],[EnvironmentSatisfaction]],PerfRate[[#This Row],[JobSatisfaction]],PerfRate[[#This Row],[RelationshipSatisfaction]])</f>
        <v>4.333333333333333</v>
      </c>
      <c r="R2273" s="2">
        <f>PerfRate[[#This Row],[ManagerRating]] - PerfRate[[#This Row],[SelfRating]]</f>
        <v>0</v>
      </c>
    </row>
    <row r="2274" spans="1:18">
      <c r="A2274" s="2" t="s">
        <v>6581</v>
      </c>
      <c r="B2274" s="2" t="s">
        <v>1750</v>
      </c>
      <c r="C2274" s="1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  <c r="L2274" s="2" t="s">
        <v>11031</v>
      </c>
      <c r="M2274" s="2" t="s">
        <v>11031</v>
      </c>
      <c r="N2274" s="2" t="s">
        <v>11037</v>
      </c>
      <c r="O2274" s="2" t="s">
        <v>11037</v>
      </c>
      <c r="P2274" s="2" t="s">
        <v>11038</v>
      </c>
      <c r="Q2274" s="2">
        <f>AVERAGE(PerfRate[[#This Row],[EnvironmentSatisfaction]],PerfRate[[#This Row],[JobSatisfaction]],PerfRate[[#This Row],[RelationshipSatisfaction]])</f>
        <v>4.333333333333333</v>
      </c>
      <c r="R2274" s="2">
        <f>PerfRate[[#This Row],[ManagerRating]] - PerfRate[[#This Row],[SelfRating]]</f>
        <v>0</v>
      </c>
    </row>
    <row r="2275" spans="1:18">
      <c r="A2275" s="2" t="s">
        <v>6582</v>
      </c>
      <c r="B2275" s="2" t="s">
        <v>2628</v>
      </c>
      <c r="C2275" s="1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  <c r="L2275" s="2" t="s">
        <v>11029</v>
      </c>
      <c r="M2275" s="2" t="s">
        <v>11029</v>
      </c>
      <c r="N2275" s="2" t="s">
        <v>11037</v>
      </c>
      <c r="O2275" s="2" t="s">
        <v>11037</v>
      </c>
      <c r="P2275" s="2" t="s">
        <v>11036</v>
      </c>
      <c r="Q2275" s="2">
        <f>AVERAGE(PerfRate[[#This Row],[EnvironmentSatisfaction]],PerfRate[[#This Row],[JobSatisfaction]],PerfRate[[#This Row],[RelationshipSatisfaction]])</f>
        <v>3.6666666666666665</v>
      </c>
      <c r="R2275" s="2">
        <f>PerfRate[[#This Row],[ManagerRating]] - PerfRate[[#This Row],[SelfRating]]</f>
        <v>0</v>
      </c>
    </row>
    <row r="2276" spans="1:18">
      <c r="A2276" s="2" t="s">
        <v>6583</v>
      </c>
      <c r="B2276" s="2" t="s">
        <v>2153</v>
      </c>
      <c r="C2276" s="1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  <c r="L2276" s="2" t="s">
        <v>11031</v>
      </c>
      <c r="M2276" s="2" t="s">
        <v>11030</v>
      </c>
      <c r="N2276" s="2" t="s">
        <v>11038</v>
      </c>
      <c r="O2276" s="2" t="s">
        <v>11037</v>
      </c>
      <c r="P2276" s="2" t="s">
        <v>11038</v>
      </c>
      <c r="Q2276" s="2">
        <f>AVERAGE(PerfRate[[#This Row],[EnvironmentSatisfaction]],PerfRate[[#This Row],[JobSatisfaction]],PerfRate[[#This Row],[RelationshipSatisfaction]])</f>
        <v>4.666666666666667</v>
      </c>
      <c r="R2276" s="2">
        <f>PerfRate[[#This Row],[ManagerRating]] - PerfRate[[#This Row],[SelfRating]]</f>
        <v>-1</v>
      </c>
    </row>
    <row r="2277" spans="1:18">
      <c r="A2277" s="2" t="s">
        <v>6584</v>
      </c>
      <c r="B2277" s="2" t="s">
        <v>214</v>
      </c>
      <c r="C2277" s="1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  <c r="L2277" s="2" t="s">
        <v>11031</v>
      </c>
      <c r="M2277" s="2" t="s">
        <v>11030</v>
      </c>
      <c r="N2277" s="2" t="s">
        <v>11036</v>
      </c>
      <c r="O2277" s="2" t="s">
        <v>11038</v>
      </c>
      <c r="P2277" s="2" t="s">
        <v>11035</v>
      </c>
      <c r="Q2277" s="2">
        <f>AVERAGE(PerfRate[[#This Row],[EnvironmentSatisfaction]],PerfRate[[#This Row],[JobSatisfaction]],PerfRate[[#This Row],[RelationshipSatisfaction]])</f>
        <v>3.3333333333333335</v>
      </c>
      <c r="R2277" s="2">
        <f>PerfRate[[#This Row],[ManagerRating]] - PerfRate[[#This Row],[SelfRating]]</f>
        <v>-1</v>
      </c>
    </row>
    <row r="2278" spans="1:18">
      <c r="A2278" s="2" t="s">
        <v>6585</v>
      </c>
      <c r="B2278" s="2" t="s">
        <v>1800</v>
      </c>
      <c r="C2278" s="1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  <c r="L2278" s="2" t="s">
        <v>11031</v>
      </c>
      <c r="M2278" s="2" t="s">
        <v>11030</v>
      </c>
      <c r="N2278" s="2" t="s">
        <v>11038</v>
      </c>
      <c r="O2278" s="2" t="s">
        <v>11037</v>
      </c>
      <c r="P2278" s="2" t="s">
        <v>11036</v>
      </c>
      <c r="Q2278" s="2">
        <f>AVERAGE(PerfRate[[#This Row],[EnvironmentSatisfaction]],PerfRate[[#This Row],[JobSatisfaction]],PerfRate[[#This Row],[RelationshipSatisfaction]])</f>
        <v>4</v>
      </c>
      <c r="R2278" s="2">
        <f>PerfRate[[#This Row],[ManagerRating]] - PerfRate[[#This Row],[SelfRating]]</f>
        <v>-1</v>
      </c>
    </row>
    <row r="2279" spans="1:18">
      <c r="A2279" s="2" t="s">
        <v>6586</v>
      </c>
      <c r="B2279" s="2" t="s">
        <v>1868</v>
      </c>
      <c r="C2279" s="1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  <c r="L2279" s="2" t="s">
        <v>11030</v>
      </c>
      <c r="M2279" s="2" t="s">
        <v>11029</v>
      </c>
      <c r="N2279" s="2" t="s">
        <v>11038</v>
      </c>
      <c r="O2279" s="2" t="s">
        <v>11035</v>
      </c>
      <c r="P2279" s="2" t="s">
        <v>11035</v>
      </c>
      <c r="Q2279" s="2">
        <f>AVERAGE(PerfRate[[#This Row],[EnvironmentSatisfaction]],PerfRate[[#This Row],[JobSatisfaction]],PerfRate[[#This Row],[RelationshipSatisfaction]])</f>
        <v>3</v>
      </c>
      <c r="R2279" s="2">
        <f>PerfRate[[#This Row],[ManagerRating]] - PerfRate[[#This Row],[SelfRating]]</f>
        <v>-1</v>
      </c>
    </row>
    <row r="2280" spans="1:18">
      <c r="A2280" s="2" t="s">
        <v>6587</v>
      </c>
      <c r="B2280" s="2" t="s">
        <v>1012</v>
      </c>
      <c r="C2280" s="1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  <c r="L2280" s="2" t="s">
        <v>11031</v>
      </c>
      <c r="M2280" s="2" t="s">
        <v>11030</v>
      </c>
      <c r="N2280" s="2" t="s">
        <v>11036</v>
      </c>
      <c r="O2280" s="2" t="s">
        <v>11038</v>
      </c>
      <c r="P2280" s="2" t="s">
        <v>11035</v>
      </c>
      <c r="Q2280" s="2">
        <f>AVERAGE(PerfRate[[#This Row],[EnvironmentSatisfaction]],PerfRate[[#This Row],[JobSatisfaction]],PerfRate[[#This Row],[RelationshipSatisfaction]])</f>
        <v>3.3333333333333335</v>
      </c>
      <c r="R2280" s="2">
        <f>PerfRate[[#This Row],[ManagerRating]] - PerfRate[[#This Row],[SelfRating]]</f>
        <v>-1</v>
      </c>
    </row>
    <row r="2281" spans="1:18">
      <c r="A2281" s="2" t="s">
        <v>6588</v>
      </c>
      <c r="B2281" s="2" t="s">
        <v>2620</v>
      </c>
      <c r="C2281" s="1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  <c r="L2281" s="2" t="s">
        <v>11031</v>
      </c>
      <c r="M2281" s="2" t="s">
        <v>11030</v>
      </c>
      <c r="N2281" s="2" t="s">
        <v>11036</v>
      </c>
      <c r="O2281" s="2" t="s">
        <v>11036</v>
      </c>
      <c r="P2281" s="2" t="s">
        <v>11036</v>
      </c>
      <c r="Q2281" s="2">
        <f>AVERAGE(PerfRate[[#This Row],[EnvironmentSatisfaction]],PerfRate[[#This Row],[JobSatisfaction]],PerfRate[[#This Row],[RelationshipSatisfaction]])</f>
        <v>3</v>
      </c>
      <c r="R2281" s="2">
        <f>PerfRate[[#This Row],[ManagerRating]] - PerfRate[[#This Row],[SelfRating]]</f>
        <v>-1</v>
      </c>
    </row>
    <row r="2282" spans="1:18">
      <c r="A2282" s="2" t="s">
        <v>6589</v>
      </c>
      <c r="B2282" s="2" t="s">
        <v>4118</v>
      </c>
      <c r="C2282" s="1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  <c r="L2282" s="2" t="s">
        <v>11030</v>
      </c>
      <c r="M2282" s="2" t="s">
        <v>11030</v>
      </c>
      <c r="N2282" s="2" t="s">
        <v>11036</v>
      </c>
      <c r="O2282" s="2" t="s">
        <v>11038</v>
      </c>
      <c r="P2282" s="2" t="s">
        <v>11036</v>
      </c>
      <c r="Q2282" s="2">
        <f>AVERAGE(PerfRate[[#This Row],[EnvironmentSatisfaction]],PerfRate[[#This Row],[JobSatisfaction]],PerfRate[[#This Row],[RelationshipSatisfaction]])</f>
        <v>3.6666666666666665</v>
      </c>
      <c r="R2282" s="2">
        <f>PerfRate[[#This Row],[ManagerRating]] - PerfRate[[#This Row],[SelfRating]]</f>
        <v>0</v>
      </c>
    </row>
    <row r="2283" spans="1:18">
      <c r="A2283" s="2" t="s">
        <v>6590</v>
      </c>
      <c r="B2283" s="2" t="s">
        <v>817</v>
      </c>
      <c r="C2283" s="1">
        <v>43470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  <c r="L2283" s="2" t="s">
        <v>11031</v>
      </c>
      <c r="M2283" s="2" t="s">
        <v>11030</v>
      </c>
      <c r="N2283" s="2" t="s">
        <v>11038</v>
      </c>
      <c r="O2283" s="2" t="s">
        <v>11038</v>
      </c>
      <c r="P2283" s="2" t="s">
        <v>11036</v>
      </c>
      <c r="Q2283" s="2">
        <f>AVERAGE(PerfRate[[#This Row],[EnvironmentSatisfaction]],PerfRate[[#This Row],[JobSatisfaction]],PerfRate[[#This Row],[RelationshipSatisfaction]])</f>
        <v>4.333333333333333</v>
      </c>
      <c r="R2283" s="2">
        <f>PerfRate[[#This Row],[ManagerRating]] - PerfRate[[#This Row],[SelfRating]]</f>
        <v>-1</v>
      </c>
    </row>
    <row r="2284" spans="1:18">
      <c r="A2284" s="2" t="s">
        <v>6591</v>
      </c>
      <c r="B2284" s="2" t="s">
        <v>2653</v>
      </c>
      <c r="C2284" s="1">
        <v>43470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  <c r="L2284" s="2" t="s">
        <v>11031</v>
      </c>
      <c r="M2284" s="2" t="s">
        <v>11031</v>
      </c>
      <c r="N2284" s="2" t="s">
        <v>11036</v>
      </c>
      <c r="O2284" s="2" t="s">
        <v>11038</v>
      </c>
      <c r="P2284" s="2" t="s">
        <v>11035</v>
      </c>
      <c r="Q2284" s="2">
        <f>AVERAGE(PerfRate[[#This Row],[EnvironmentSatisfaction]],PerfRate[[#This Row],[JobSatisfaction]],PerfRate[[#This Row],[RelationshipSatisfaction]])</f>
        <v>3.3333333333333335</v>
      </c>
      <c r="R2284" s="2">
        <f>PerfRate[[#This Row],[ManagerRating]] - PerfRate[[#This Row],[SelfRating]]</f>
        <v>0</v>
      </c>
    </row>
    <row r="2285" spans="1:18">
      <c r="A2285" s="2" t="s">
        <v>6592</v>
      </c>
      <c r="B2285" s="2" t="s">
        <v>1312</v>
      </c>
      <c r="C2285" s="1">
        <v>43501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  <c r="L2285" s="2" t="s">
        <v>11029</v>
      </c>
      <c r="M2285" s="2" t="s">
        <v>11028</v>
      </c>
      <c r="N2285" s="2" t="s">
        <v>11037</v>
      </c>
      <c r="O2285" s="2" t="s">
        <v>11036</v>
      </c>
      <c r="P2285" s="2" t="s">
        <v>11035</v>
      </c>
      <c r="Q2285" s="2">
        <f>AVERAGE(PerfRate[[#This Row],[EnvironmentSatisfaction]],PerfRate[[#This Row],[JobSatisfaction]],PerfRate[[#This Row],[RelationshipSatisfaction]])</f>
        <v>3</v>
      </c>
      <c r="R2285" s="2">
        <f>PerfRate[[#This Row],[ManagerRating]] - PerfRate[[#This Row],[SelfRating]]</f>
        <v>-1</v>
      </c>
    </row>
    <row r="2286" spans="1:18">
      <c r="A2286" s="2" t="s">
        <v>6593</v>
      </c>
      <c r="B2286" s="2" t="s">
        <v>559</v>
      </c>
      <c r="C2286" s="1">
        <v>43501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  <c r="L2286" s="2" t="s">
        <v>11029</v>
      </c>
      <c r="M2286" s="2" t="s">
        <v>11028</v>
      </c>
      <c r="N2286" s="2" t="s">
        <v>11037</v>
      </c>
      <c r="O2286" s="2" t="s">
        <v>11035</v>
      </c>
      <c r="P2286" s="2" t="s">
        <v>11036</v>
      </c>
      <c r="Q2286" s="2">
        <f>AVERAGE(PerfRate[[#This Row],[EnvironmentSatisfaction]],PerfRate[[#This Row],[JobSatisfaction]],PerfRate[[#This Row],[RelationshipSatisfaction]])</f>
        <v>3</v>
      </c>
      <c r="R2286" s="2">
        <f>PerfRate[[#This Row],[ManagerRating]] - PerfRate[[#This Row],[SelfRating]]</f>
        <v>-1</v>
      </c>
    </row>
    <row r="2287" spans="1:18">
      <c r="A2287" s="2" t="s">
        <v>6594</v>
      </c>
      <c r="B2287" s="2" t="s">
        <v>1641</v>
      </c>
      <c r="C2287" s="1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  <c r="L2287" s="2" t="s">
        <v>11030</v>
      </c>
      <c r="M2287" s="2" t="s">
        <v>11029</v>
      </c>
      <c r="N2287" s="2" t="s">
        <v>11036</v>
      </c>
      <c r="O2287" s="2" t="s">
        <v>11037</v>
      </c>
      <c r="P2287" s="2" t="s">
        <v>11036</v>
      </c>
      <c r="Q2287" s="2">
        <f>AVERAGE(PerfRate[[#This Row],[EnvironmentSatisfaction]],PerfRate[[#This Row],[JobSatisfaction]],PerfRate[[#This Row],[RelationshipSatisfaction]])</f>
        <v>3.3333333333333335</v>
      </c>
      <c r="R2287" s="2">
        <f>PerfRate[[#This Row],[ManagerRating]] - PerfRate[[#This Row],[SelfRating]]</f>
        <v>-1</v>
      </c>
    </row>
    <row r="2288" spans="1:18">
      <c r="A2288" s="2" t="s">
        <v>6595</v>
      </c>
      <c r="B2288" s="2" t="s">
        <v>3012</v>
      </c>
      <c r="C2288" s="1">
        <v>43501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  <c r="L2288" s="2" t="s">
        <v>11029</v>
      </c>
      <c r="M2288" s="2" t="s">
        <v>11028</v>
      </c>
      <c r="N2288" s="2" t="s">
        <v>11038</v>
      </c>
      <c r="O2288" s="2" t="s">
        <v>11038</v>
      </c>
      <c r="P2288" s="2" t="s">
        <v>11037</v>
      </c>
      <c r="Q2288" s="2">
        <f>AVERAGE(PerfRate[[#This Row],[EnvironmentSatisfaction]],PerfRate[[#This Row],[JobSatisfaction]],PerfRate[[#This Row],[RelationshipSatisfaction]])</f>
        <v>4.666666666666667</v>
      </c>
      <c r="R2288" s="2">
        <f>PerfRate[[#This Row],[ManagerRating]] - PerfRate[[#This Row],[SelfRating]]</f>
        <v>-1</v>
      </c>
    </row>
    <row r="2289" spans="1:18">
      <c r="A2289" s="2" t="s">
        <v>6596</v>
      </c>
      <c r="B2289" s="2" t="s">
        <v>1906</v>
      </c>
      <c r="C2289" s="1">
        <v>43529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  <c r="L2289" s="2" t="s">
        <v>11029</v>
      </c>
      <c r="M2289" s="2" t="s">
        <v>11028</v>
      </c>
      <c r="N2289" s="2" t="s">
        <v>11036</v>
      </c>
      <c r="O2289" s="2" t="s">
        <v>11038</v>
      </c>
      <c r="P2289" s="2" t="s">
        <v>11036</v>
      </c>
      <c r="Q2289" s="2">
        <f>AVERAGE(PerfRate[[#This Row],[EnvironmentSatisfaction]],PerfRate[[#This Row],[JobSatisfaction]],PerfRate[[#This Row],[RelationshipSatisfaction]])</f>
        <v>3.6666666666666665</v>
      </c>
      <c r="R2289" s="2">
        <f>PerfRate[[#This Row],[ManagerRating]] - PerfRate[[#This Row],[SelfRating]]</f>
        <v>-1</v>
      </c>
    </row>
    <row r="2290" spans="1:18">
      <c r="A2290" s="2" t="s">
        <v>6597</v>
      </c>
      <c r="B2290" s="2" t="s">
        <v>652</v>
      </c>
      <c r="C2290" s="1">
        <v>43529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  <c r="L2290" s="2" t="s">
        <v>11031</v>
      </c>
      <c r="M2290" s="2" t="s">
        <v>11031</v>
      </c>
      <c r="N2290" s="2" t="s">
        <v>11038</v>
      </c>
      <c r="O2290" s="2" t="s">
        <v>11037</v>
      </c>
      <c r="P2290" s="2" t="s">
        <v>11038</v>
      </c>
      <c r="Q2290" s="2">
        <f>AVERAGE(PerfRate[[#This Row],[EnvironmentSatisfaction]],PerfRate[[#This Row],[JobSatisfaction]],PerfRate[[#This Row],[RelationshipSatisfaction]])</f>
        <v>4.666666666666667</v>
      </c>
      <c r="R2290" s="2">
        <f>PerfRate[[#This Row],[ManagerRating]] - PerfRate[[#This Row],[SelfRating]]</f>
        <v>0</v>
      </c>
    </row>
    <row r="2291" spans="1:18">
      <c r="A2291" s="2" t="s">
        <v>6598</v>
      </c>
      <c r="B2291" s="2" t="s">
        <v>2017</v>
      </c>
      <c r="C2291" s="1">
        <v>43529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  <c r="L2291" s="2" t="s">
        <v>11031</v>
      </c>
      <c r="M2291" s="2" t="s">
        <v>11030</v>
      </c>
      <c r="N2291" s="2" t="s">
        <v>11036</v>
      </c>
      <c r="O2291" s="2" t="s">
        <v>11036</v>
      </c>
      <c r="P2291" s="2" t="s">
        <v>11037</v>
      </c>
      <c r="Q2291" s="2">
        <f>AVERAGE(PerfRate[[#This Row],[EnvironmentSatisfaction]],PerfRate[[#This Row],[JobSatisfaction]],PerfRate[[#This Row],[RelationshipSatisfaction]])</f>
        <v>3.3333333333333335</v>
      </c>
      <c r="R2291" s="2">
        <f>PerfRate[[#This Row],[ManagerRating]] - PerfRate[[#This Row],[SelfRating]]</f>
        <v>-1</v>
      </c>
    </row>
    <row r="2292" spans="1:18">
      <c r="A2292" s="2" t="s">
        <v>6599</v>
      </c>
      <c r="B2292" s="2" t="s">
        <v>1721</v>
      </c>
      <c r="C2292" s="1">
        <v>43560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  <c r="L2292" s="2" t="s">
        <v>11030</v>
      </c>
      <c r="M2292" s="2" t="s">
        <v>11030</v>
      </c>
      <c r="N2292" s="2" t="s">
        <v>11038</v>
      </c>
      <c r="O2292" s="2" t="s">
        <v>11037</v>
      </c>
      <c r="P2292" s="2" t="s">
        <v>11038</v>
      </c>
      <c r="Q2292" s="2">
        <f>AVERAGE(PerfRate[[#This Row],[EnvironmentSatisfaction]],PerfRate[[#This Row],[JobSatisfaction]],PerfRate[[#This Row],[RelationshipSatisfaction]])</f>
        <v>4.666666666666667</v>
      </c>
      <c r="R2292" s="2">
        <f>PerfRate[[#This Row],[ManagerRating]] - PerfRate[[#This Row],[SelfRating]]</f>
        <v>0</v>
      </c>
    </row>
    <row r="2293" spans="1:18">
      <c r="A2293" s="2" t="s">
        <v>6600</v>
      </c>
      <c r="B2293" s="2" t="s">
        <v>1895</v>
      </c>
      <c r="C2293" s="1">
        <v>43560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  <c r="L2293" s="2" t="s">
        <v>11030</v>
      </c>
      <c r="M2293" s="2" t="s">
        <v>11030</v>
      </c>
      <c r="N2293" s="2" t="s">
        <v>11037</v>
      </c>
      <c r="O2293" s="2" t="s">
        <v>11035</v>
      </c>
      <c r="P2293" s="2" t="s">
        <v>11035</v>
      </c>
      <c r="Q2293" s="2">
        <f>AVERAGE(PerfRate[[#This Row],[EnvironmentSatisfaction]],PerfRate[[#This Row],[JobSatisfaction]],PerfRate[[#This Row],[RelationshipSatisfaction]])</f>
        <v>2.6666666666666665</v>
      </c>
      <c r="R2293" s="2">
        <f>PerfRate[[#This Row],[ManagerRating]] - PerfRate[[#This Row],[SelfRating]]</f>
        <v>0</v>
      </c>
    </row>
    <row r="2294" spans="1:18">
      <c r="A2294" s="2" t="s">
        <v>6601</v>
      </c>
      <c r="B2294" s="2" t="s">
        <v>1142</v>
      </c>
      <c r="C2294" s="1">
        <v>43560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  <c r="L2294" s="2" t="s">
        <v>11031</v>
      </c>
      <c r="M2294" s="2" t="s">
        <v>11030</v>
      </c>
      <c r="N2294" s="2" t="s">
        <v>11036</v>
      </c>
      <c r="O2294" s="2" t="s">
        <v>11038</v>
      </c>
      <c r="P2294" s="2" t="s">
        <v>11035</v>
      </c>
      <c r="Q2294" s="2">
        <f>AVERAGE(PerfRate[[#This Row],[EnvironmentSatisfaction]],PerfRate[[#This Row],[JobSatisfaction]],PerfRate[[#This Row],[RelationshipSatisfaction]])</f>
        <v>3.3333333333333335</v>
      </c>
      <c r="R2294" s="2">
        <f>PerfRate[[#This Row],[ManagerRating]] - PerfRate[[#This Row],[SelfRating]]</f>
        <v>-1</v>
      </c>
    </row>
    <row r="2295" spans="1:18">
      <c r="A2295" s="2" t="s">
        <v>6602</v>
      </c>
      <c r="B2295" s="2" t="s">
        <v>449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  <c r="L2295" s="2" t="s">
        <v>11029</v>
      </c>
      <c r="M2295" s="2" t="s">
        <v>11029</v>
      </c>
      <c r="N2295" s="2" t="s">
        <v>11038</v>
      </c>
      <c r="O2295" s="2" t="s">
        <v>11037</v>
      </c>
      <c r="P2295" s="2" t="s">
        <v>11037</v>
      </c>
      <c r="Q2295" s="2">
        <f>AVERAGE(PerfRate[[#This Row],[EnvironmentSatisfaction]],PerfRate[[#This Row],[JobSatisfaction]],PerfRate[[#This Row],[RelationshipSatisfaction]])</f>
        <v>4.333333333333333</v>
      </c>
      <c r="R2295" s="2">
        <f>PerfRate[[#This Row],[ManagerRating]] - PerfRate[[#This Row],[SelfRating]]</f>
        <v>0</v>
      </c>
    </row>
    <row r="2296" spans="1:18">
      <c r="A2296" s="2" t="s">
        <v>6603</v>
      </c>
      <c r="B2296" s="2" t="s">
        <v>3657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  <c r="L2296" s="2" t="s">
        <v>11029</v>
      </c>
      <c r="M2296" s="2" t="s">
        <v>11028</v>
      </c>
      <c r="N2296" s="2" t="s">
        <v>11037</v>
      </c>
      <c r="O2296" s="2" t="s">
        <v>11038</v>
      </c>
      <c r="P2296" s="2" t="s">
        <v>11037</v>
      </c>
      <c r="Q2296" s="2">
        <f>AVERAGE(PerfRate[[#This Row],[EnvironmentSatisfaction]],PerfRate[[#This Row],[JobSatisfaction]],PerfRate[[#This Row],[RelationshipSatisfaction]])</f>
        <v>4.333333333333333</v>
      </c>
      <c r="R2296" s="2">
        <f>PerfRate[[#This Row],[ManagerRating]] - PerfRate[[#This Row],[SelfRating]]</f>
        <v>-1</v>
      </c>
    </row>
    <row r="2297" spans="1:18">
      <c r="A2297" s="2" t="s">
        <v>6604</v>
      </c>
      <c r="B2297" s="2" t="s">
        <v>223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  <c r="L2297" s="2" t="s">
        <v>11029</v>
      </c>
      <c r="M2297" s="2" t="s">
        <v>11028</v>
      </c>
      <c r="N2297" s="2" t="s">
        <v>11038</v>
      </c>
      <c r="O2297" s="2" t="s">
        <v>11037</v>
      </c>
      <c r="P2297" s="2" t="s">
        <v>11035</v>
      </c>
      <c r="Q2297" s="2">
        <f>AVERAGE(PerfRate[[#This Row],[EnvironmentSatisfaction]],PerfRate[[#This Row],[JobSatisfaction]],PerfRate[[#This Row],[RelationshipSatisfaction]])</f>
        <v>3.6666666666666665</v>
      </c>
      <c r="R2297" s="2">
        <f>PerfRate[[#This Row],[ManagerRating]] - PerfRate[[#This Row],[SelfRating]]</f>
        <v>-1</v>
      </c>
    </row>
    <row r="2298" spans="1:18">
      <c r="A2298" s="2" t="s">
        <v>6605</v>
      </c>
      <c r="B2298" s="2" t="s">
        <v>2366</v>
      </c>
      <c r="C2298" s="1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  <c r="L2298" s="2" t="s">
        <v>11029</v>
      </c>
      <c r="M2298" s="2" t="s">
        <v>11029</v>
      </c>
      <c r="N2298" s="2" t="s">
        <v>11037</v>
      </c>
      <c r="O2298" s="2" t="s">
        <v>11035</v>
      </c>
      <c r="P2298" s="2" t="s">
        <v>11037</v>
      </c>
      <c r="Q2298" s="2">
        <f>AVERAGE(PerfRate[[#This Row],[EnvironmentSatisfaction]],PerfRate[[#This Row],[JobSatisfaction]],PerfRate[[#This Row],[RelationshipSatisfaction]])</f>
        <v>3.3333333333333335</v>
      </c>
      <c r="R2298" s="2">
        <f>PerfRate[[#This Row],[ManagerRating]] - PerfRate[[#This Row],[SelfRating]]</f>
        <v>0</v>
      </c>
    </row>
    <row r="2299" spans="1:18">
      <c r="A2299" s="2" t="s">
        <v>6606</v>
      </c>
      <c r="B2299" s="2" t="s">
        <v>2166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  <c r="L2299" s="2" t="s">
        <v>11031</v>
      </c>
      <c r="M2299" s="2" t="s">
        <v>11031</v>
      </c>
      <c r="N2299" s="2" t="s">
        <v>11037</v>
      </c>
      <c r="O2299" s="2" t="s">
        <v>11038</v>
      </c>
      <c r="P2299" s="2" t="s">
        <v>11035</v>
      </c>
      <c r="Q2299" s="2">
        <f>AVERAGE(PerfRate[[#This Row],[EnvironmentSatisfaction]],PerfRate[[#This Row],[JobSatisfaction]],PerfRate[[#This Row],[RelationshipSatisfaction]])</f>
        <v>3.6666666666666665</v>
      </c>
      <c r="R2299" s="2">
        <f>PerfRate[[#This Row],[ManagerRating]] - PerfRate[[#This Row],[SelfRating]]</f>
        <v>0</v>
      </c>
    </row>
    <row r="2300" spans="1:18">
      <c r="A2300" s="2" t="s">
        <v>6607</v>
      </c>
      <c r="B2300" s="2" t="s">
        <v>2117</v>
      </c>
      <c r="C2300" s="1">
        <v>43621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  <c r="L2300" s="2" t="s">
        <v>11030</v>
      </c>
      <c r="M2300" s="2" t="s">
        <v>11029</v>
      </c>
      <c r="N2300" s="2" t="s">
        <v>11038</v>
      </c>
      <c r="O2300" s="2" t="s">
        <v>11038</v>
      </c>
      <c r="P2300" s="2" t="s">
        <v>11038</v>
      </c>
      <c r="Q2300" s="2">
        <f>AVERAGE(PerfRate[[#This Row],[EnvironmentSatisfaction]],PerfRate[[#This Row],[JobSatisfaction]],PerfRate[[#This Row],[RelationshipSatisfaction]])</f>
        <v>5</v>
      </c>
      <c r="R2300" s="2">
        <f>PerfRate[[#This Row],[ManagerRating]] - PerfRate[[#This Row],[SelfRating]]</f>
        <v>-1</v>
      </c>
    </row>
    <row r="2301" spans="1:18">
      <c r="A2301" s="2" t="s">
        <v>6608</v>
      </c>
      <c r="B2301" s="2" t="s">
        <v>3091</v>
      </c>
      <c r="C2301" s="1">
        <v>43621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  <c r="L2301" s="2" t="s">
        <v>11029</v>
      </c>
      <c r="M2301" s="2" t="s">
        <v>11028</v>
      </c>
      <c r="N2301" s="2" t="s">
        <v>11038</v>
      </c>
      <c r="O2301" s="2" t="s">
        <v>11036</v>
      </c>
      <c r="P2301" s="2" t="s">
        <v>11037</v>
      </c>
      <c r="Q2301" s="2">
        <f>AVERAGE(PerfRate[[#This Row],[EnvironmentSatisfaction]],PerfRate[[#This Row],[JobSatisfaction]],PerfRate[[#This Row],[RelationshipSatisfaction]])</f>
        <v>4</v>
      </c>
      <c r="R2301" s="2">
        <f>PerfRate[[#This Row],[ManagerRating]] - PerfRate[[#This Row],[SelfRating]]</f>
        <v>-1</v>
      </c>
    </row>
    <row r="2302" spans="1:18">
      <c r="A2302" s="2" t="s">
        <v>6609</v>
      </c>
      <c r="B2302" s="2" t="s">
        <v>925</v>
      </c>
      <c r="C2302" s="1">
        <v>43621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  <c r="L2302" s="2" t="s">
        <v>11029</v>
      </c>
      <c r="M2302" s="2" t="s">
        <v>11029</v>
      </c>
      <c r="N2302" s="2" t="s">
        <v>11038</v>
      </c>
      <c r="O2302" s="2" t="s">
        <v>11035</v>
      </c>
      <c r="P2302" s="2" t="s">
        <v>11038</v>
      </c>
      <c r="Q2302" s="2">
        <f>AVERAGE(PerfRate[[#This Row],[EnvironmentSatisfaction]],PerfRate[[#This Row],[JobSatisfaction]],PerfRate[[#This Row],[RelationshipSatisfaction]])</f>
        <v>4</v>
      </c>
      <c r="R2302" s="2">
        <f>PerfRate[[#This Row],[ManagerRating]] - PerfRate[[#This Row],[SelfRating]]</f>
        <v>0</v>
      </c>
    </row>
    <row r="2303" spans="1:18">
      <c r="A2303" s="2" t="s">
        <v>6610</v>
      </c>
      <c r="B2303" s="2" t="s">
        <v>3945</v>
      </c>
      <c r="C2303" s="1">
        <v>43651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  <c r="L2303" s="2" t="s">
        <v>11031</v>
      </c>
      <c r="M2303" s="2" t="s">
        <v>11031</v>
      </c>
      <c r="N2303" s="2" t="s">
        <v>11038</v>
      </c>
      <c r="O2303" s="2" t="s">
        <v>11036</v>
      </c>
      <c r="P2303" s="2" t="s">
        <v>11035</v>
      </c>
      <c r="Q2303" s="2">
        <f>AVERAGE(PerfRate[[#This Row],[EnvironmentSatisfaction]],PerfRate[[#This Row],[JobSatisfaction]],PerfRate[[#This Row],[RelationshipSatisfaction]])</f>
        <v>3.3333333333333335</v>
      </c>
      <c r="R2303" s="2">
        <f>PerfRate[[#This Row],[ManagerRating]] - PerfRate[[#This Row],[SelfRating]]</f>
        <v>0</v>
      </c>
    </row>
    <row r="2304" spans="1:18">
      <c r="A2304" s="2" t="s">
        <v>6611</v>
      </c>
      <c r="B2304" s="2" t="s">
        <v>1962</v>
      </c>
      <c r="C2304" s="1">
        <v>43682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  <c r="L2304" s="2" t="s">
        <v>11030</v>
      </c>
      <c r="M2304" s="2" t="s">
        <v>11030</v>
      </c>
      <c r="N2304" s="2" t="s">
        <v>11037</v>
      </c>
      <c r="O2304" s="2" t="s">
        <v>11038</v>
      </c>
      <c r="P2304" s="2" t="s">
        <v>11036</v>
      </c>
      <c r="Q2304" s="2">
        <f>AVERAGE(PerfRate[[#This Row],[EnvironmentSatisfaction]],PerfRate[[#This Row],[JobSatisfaction]],PerfRate[[#This Row],[RelationshipSatisfaction]])</f>
        <v>4</v>
      </c>
      <c r="R2304" s="2">
        <f>PerfRate[[#This Row],[ManagerRating]] - PerfRate[[#This Row],[SelfRating]]</f>
        <v>0</v>
      </c>
    </row>
    <row r="2305" spans="1:18">
      <c r="A2305" s="2" t="s">
        <v>6612</v>
      </c>
      <c r="B2305" s="2" t="s">
        <v>499</v>
      </c>
      <c r="C2305" s="1">
        <v>43682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  <c r="L2305" s="2" t="s">
        <v>11031</v>
      </c>
      <c r="M2305" s="2" t="s">
        <v>11031</v>
      </c>
      <c r="N2305" s="2" t="s">
        <v>11036</v>
      </c>
      <c r="O2305" s="2" t="s">
        <v>11035</v>
      </c>
      <c r="P2305" s="2" t="s">
        <v>11038</v>
      </c>
      <c r="Q2305" s="2">
        <f>AVERAGE(PerfRate[[#This Row],[EnvironmentSatisfaction]],PerfRate[[#This Row],[JobSatisfaction]],PerfRate[[#This Row],[RelationshipSatisfaction]])</f>
        <v>3.3333333333333335</v>
      </c>
      <c r="R2305" s="2">
        <f>PerfRate[[#This Row],[ManagerRating]] - PerfRate[[#This Row],[SelfRating]]</f>
        <v>0</v>
      </c>
    </row>
    <row r="2306" spans="1:18">
      <c r="A2306" s="2" t="s">
        <v>6613</v>
      </c>
      <c r="B2306" s="2" t="s">
        <v>1148</v>
      </c>
      <c r="C2306" s="1">
        <v>43682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  <c r="L2306" s="2" t="s">
        <v>11030</v>
      </c>
      <c r="M2306" s="2" t="s">
        <v>11029</v>
      </c>
      <c r="N2306" s="2" t="s">
        <v>11037</v>
      </c>
      <c r="O2306" s="2" t="s">
        <v>11038</v>
      </c>
      <c r="P2306" s="2" t="s">
        <v>11038</v>
      </c>
      <c r="Q2306" s="2">
        <f>AVERAGE(PerfRate[[#This Row],[EnvironmentSatisfaction]],PerfRate[[#This Row],[JobSatisfaction]],PerfRate[[#This Row],[RelationshipSatisfaction]])</f>
        <v>4.666666666666667</v>
      </c>
      <c r="R2306" s="2">
        <f>PerfRate[[#This Row],[ManagerRating]] - PerfRate[[#This Row],[SelfRating]]</f>
        <v>-1</v>
      </c>
    </row>
    <row r="2307" spans="1:18">
      <c r="A2307" s="2" t="s">
        <v>6614</v>
      </c>
      <c r="B2307" s="2" t="s">
        <v>2363</v>
      </c>
      <c r="C2307" s="1">
        <v>43713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  <c r="L2307" s="2" t="s">
        <v>11029</v>
      </c>
      <c r="M2307" s="2" t="s">
        <v>11029</v>
      </c>
      <c r="N2307" s="2" t="s">
        <v>11038</v>
      </c>
      <c r="O2307" s="2" t="s">
        <v>11037</v>
      </c>
      <c r="P2307" s="2" t="s">
        <v>11035</v>
      </c>
      <c r="Q2307" s="2">
        <f>AVERAGE(PerfRate[[#This Row],[EnvironmentSatisfaction]],PerfRate[[#This Row],[JobSatisfaction]],PerfRate[[#This Row],[RelationshipSatisfaction]])</f>
        <v>3.6666666666666665</v>
      </c>
      <c r="R2307" s="2">
        <f>PerfRate[[#This Row],[ManagerRating]] - PerfRate[[#This Row],[SelfRating]]</f>
        <v>0</v>
      </c>
    </row>
    <row r="2308" spans="1:18">
      <c r="A2308" s="2" t="s">
        <v>6615</v>
      </c>
      <c r="B2308" s="2" t="s">
        <v>1918</v>
      </c>
      <c r="C2308" s="1">
        <v>43713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  <c r="L2308" s="2" t="s">
        <v>11031</v>
      </c>
      <c r="M2308" s="2" t="s">
        <v>11030</v>
      </c>
      <c r="N2308" s="2" t="s">
        <v>11038</v>
      </c>
      <c r="O2308" s="2" t="s">
        <v>11036</v>
      </c>
      <c r="P2308" s="2" t="s">
        <v>11038</v>
      </c>
      <c r="Q2308" s="2">
        <f>AVERAGE(PerfRate[[#This Row],[EnvironmentSatisfaction]],PerfRate[[#This Row],[JobSatisfaction]],PerfRate[[#This Row],[RelationshipSatisfaction]])</f>
        <v>4.333333333333333</v>
      </c>
      <c r="R2308" s="2">
        <f>PerfRate[[#This Row],[ManagerRating]] - PerfRate[[#This Row],[SelfRating]]</f>
        <v>-1</v>
      </c>
    </row>
    <row r="2309" spans="1:18">
      <c r="A2309" s="2" t="s">
        <v>6616</v>
      </c>
      <c r="B2309" s="2" t="s">
        <v>214</v>
      </c>
      <c r="C2309" s="1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  <c r="L2309" s="2" t="s">
        <v>11031</v>
      </c>
      <c r="M2309" s="2" t="s">
        <v>11030</v>
      </c>
      <c r="N2309" s="2" t="s">
        <v>11037</v>
      </c>
      <c r="O2309" s="2" t="s">
        <v>11036</v>
      </c>
      <c r="P2309" s="2" t="s">
        <v>11036</v>
      </c>
      <c r="Q2309" s="2">
        <f>AVERAGE(PerfRate[[#This Row],[EnvironmentSatisfaction]],PerfRate[[#This Row],[JobSatisfaction]],PerfRate[[#This Row],[RelationshipSatisfaction]])</f>
        <v>3.3333333333333335</v>
      </c>
      <c r="R2309" s="2">
        <f>PerfRate[[#This Row],[ManagerRating]] - PerfRate[[#This Row],[SelfRating]]</f>
        <v>-1</v>
      </c>
    </row>
    <row r="2310" spans="1:18">
      <c r="A2310" s="2" t="s">
        <v>6617</v>
      </c>
      <c r="B2310" s="2" t="s">
        <v>3149</v>
      </c>
      <c r="C2310" s="1">
        <v>43743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  <c r="L2310" s="2" t="s">
        <v>11031</v>
      </c>
      <c r="M2310" s="2" t="s">
        <v>11031</v>
      </c>
      <c r="N2310" s="2" t="s">
        <v>11036</v>
      </c>
      <c r="O2310" s="2" t="s">
        <v>11036</v>
      </c>
      <c r="P2310" s="2" t="s">
        <v>11035</v>
      </c>
      <c r="Q2310" s="2">
        <f>AVERAGE(PerfRate[[#This Row],[EnvironmentSatisfaction]],PerfRate[[#This Row],[JobSatisfaction]],PerfRate[[#This Row],[RelationshipSatisfaction]])</f>
        <v>2.6666666666666665</v>
      </c>
      <c r="R2310" s="2">
        <f>PerfRate[[#This Row],[ManagerRating]] - PerfRate[[#This Row],[SelfRating]]</f>
        <v>0</v>
      </c>
    </row>
    <row r="2311" spans="1:18">
      <c r="A2311" s="2" t="s">
        <v>6618</v>
      </c>
      <c r="B2311" s="2" t="s">
        <v>973</v>
      </c>
      <c r="C2311" s="1">
        <v>43743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  <c r="L2311" s="2" t="s">
        <v>11031</v>
      </c>
      <c r="M2311" s="2" t="s">
        <v>11031</v>
      </c>
      <c r="N2311" s="2" t="s">
        <v>11036</v>
      </c>
      <c r="O2311" s="2" t="s">
        <v>11037</v>
      </c>
      <c r="P2311" s="2" t="s">
        <v>11037</v>
      </c>
      <c r="Q2311" s="2">
        <f>AVERAGE(PerfRate[[#This Row],[EnvironmentSatisfaction]],PerfRate[[#This Row],[JobSatisfaction]],PerfRate[[#This Row],[RelationshipSatisfaction]])</f>
        <v>3.6666666666666665</v>
      </c>
      <c r="R2311" s="2">
        <f>PerfRate[[#This Row],[ManagerRating]] - PerfRate[[#This Row],[SelfRating]]</f>
        <v>0</v>
      </c>
    </row>
    <row r="2312" spans="1:18">
      <c r="A2312" s="2" t="s">
        <v>6619</v>
      </c>
      <c r="B2312" s="2" t="s">
        <v>2100</v>
      </c>
      <c r="C2312" s="1">
        <v>43743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  <c r="L2312" s="2" t="s">
        <v>11030</v>
      </c>
      <c r="M2312" s="2" t="s">
        <v>11029</v>
      </c>
      <c r="N2312" s="2" t="s">
        <v>11038</v>
      </c>
      <c r="O2312" s="2" t="s">
        <v>11035</v>
      </c>
      <c r="P2312" s="2" t="s">
        <v>11038</v>
      </c>
      <c r="Q2312" s="2">
        <f>AVERAGE(PerfRate[[#This Row],[EnvironmentSatisfaction]],PerfRate[[#This Row],[JobSatisfaction]],PerfRate[[#This Row],[RelationshipSatisfaction]])</f>
        <v>4</v>
      </c>
      <c r="R2312" s="2">
        <f>PerfRate[[#This Row],[ManagerRating]] - PerfRate[[#This Row],[SelfRating]]</f>
        <v>-1</v>
      </c>
    </row>
    <row r="2313" spans="1:18">
      <c r="A2313" s="2" t="s">
        <v>6620</v>
      </c>
      <c r="B2313" s="2" t="s">
        <v>2343</v>
      </c>
      <c r="C2313" s="1">
        <v>43774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  <c r="L2313" s="2" t="s">
        <v>11031</v>
      </c>
      <c r="M2313" s="2" t="s">
        <v>11031</v>
      </c>
      <c r="N2313" s="2" t="s">
        <v>11036</v>
      </c>
      <c r="O2313" s="2" t="s">
        <v>11036</v>
      </c>
      <c r="P2313" s="2" t="s">
        <v>11036</v>
      </c>
      <c r="Q2313" s="2">
        <f>AVERAGE(PerfRate[[#This Row],[EnvironmentSatisfaction]],PerfRate[[#This Row],[JobSatisfaction]],PerfRate[[#This Row],[RelationshipSatisfaction]])</f>
        <v>3</v>
      </c>
      <c r="R2313" s="2">
        <f>PerfRate[[#This Row],[ManagerRating]] - PerfRate[[#This Row],[SelfRating]]</f>
        <v>0</v>
      </c>
    </row>
    <row r="2314" spans="1:18">
      <c r="A2314" s="2" t="s">
        <v>6621</v>
      </c>
      <c r="B2314" s="2" t="s">
        <v>1770</v>
      </c>
      <c r="C2314" s="1">
        <v>43774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  <c r="L2314" s="2" t="s">
        <v>11031</v>
      </c>
      <c r="M2314" s="2" t="s">
        <v>11030</v>
      </c>
      <c r="N2314" s="2" t="s">
        <v>11036</v>
      </c>
      <c r="O2314" s="2" t="s">
        <v>11035</v>
      </c>
      <c r="P2314" s="2" t="s">
        <v>11038</v>
      </c>
      <c r="Q2314" s="2">
        <f>AVERAGE(PerfRate[[#This Row],[EnvironmentSatisfaction]],PerfRate[[#This Row],[JobSatisfaction]],PerfRate[[#This Row],[RelationshipSatisfaction]])</f>
        <v>3.3333333333333335</v>
      </c>
      <c r="R2314" s="2">
        <f>PerfRate[[#This Row],[ManagerRating]] - PerfRate[[#This Row],[SelfRating]]</f>
        <v>-1</v>
      </c>
    </row>
    <row r="2315" spans="1:18">
      <c r="A2315" s="2" t="s">
        <v>6622</v>
      </c>
      <c r="B2315" s="2" t="s">
        <v>305</v>
      </c>
      <c r="C2315" s="1">
        <v>43804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  <c r="L2315" s="2" t="s">
        <v>11029</v>
      </c>
      <c r="M2315" s="2" t="s">
        <v>11029</v>
      </c>
      <c r="N2315" s="2" t="s">
        <v>11038</v>
      </c>
      <c r="O2315" s="2" t="s">
        <v>11035</v>
      </c>
      <c r="P2315" s="2" t="s">
        <v>11035</v>
      </c>
      <c r="Q2315" s="2">
        <f>AVERAGE(PerfRate[[#This Row],[EnvironmentSatisfaction]],PerfRate[[#This Row],[JobSatisfaction]],PerfRate[[#This Row],[RelationshipSatisfaction]])</f>
        <v>3</v>
      </c>
      <c r="R2315" s="2">
        <f>PerfRate[[#This Row],[ManagerRating]] - PerfRate[[#This Row],[SelfRating]]</f>
        <v>0</v>
      </c>
    </row>
    <row r="2316" spans="1:18">
      <c r="A2316" s="2" t="s">
        <v>6623</v>
      </c>
      <c r="B2316" s="2" t="s">
        <v>2158</v>
      </c>
      <c r="C2316" s="1">
        <v>43804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  <c r="L2316" s="2" t="s">
        <v>11031</v>
      </c>
      <c r="M2316" s="2" t="s">
        <v>11031</v>
      </c>
      <c r="N2316" s="2" t="s">
        <v>11037</v>
      </c>
      <c r="O2316" s="2" t="s">
        <v>11035</v>
      </c>
      <c r="P2316" s="2" t="s">
        <v>11035</v>
      </c>
      <c r="Q2316" s="2">
        <f>AVERAGE(PerfRate[[#This Row],[EnvironmentSatisfaction]],PerfRate[[#This Row],[JobSatisfaction]],PerfRate[[#This Row],[RelationshipSatisfaction]])</f>
        <v>2.6666666666666665</v>
      </c>
      <c r="R2316" s="2">
        <f>PerfRate[[#This Row],[ManagerRating]] - PerfRate[[#This Row],[SelfRating]]</f>
        <v>0</v>
      </c>
    </row>
    <row r="2317" spans="1:18">
      <c r="A2317" s="2" t="s">
        <v>6624</v>
      </c>
      <c r="B2317" s="2" t="s">
        <v>811</v>
      </c>
      <c r="C2317" s="1">
        <v>43804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  <c r="L2317" s="2" t="s">
        <v>11031</v>
      </c>
      <c r="M2317" s="2" t="s">
        <v>11031</v>
      </c>
      <c r="N2317" s="2" t="s">
        <v>11038</v>
      </c>
      <c r="O2317" s="2" t="s">
        <v>11037</v>
      </c>
      <c r="P2317" s="2" t="s">
        <v>11037</v>
      </c>
      <c r="Q2317" s="2">
        <f>AVERAGE(PerfRate[[#This Row],[EnvironmentSatisfaction]],PerfRate[[#This Row],[JobSatisfaction]],PerfRate[[#This Row],[RelationshipSatisfaction]])</f>
        <v>4.333333333333333</v>
      </c>
      <c r="R2317" s="2">
        <f>PerfRate[[#This Row],[ManagerRating]] - PerfRate[[#This Row],[SelfRating]]</f>
        <v>0</v>
      </c>
    </row>
    <row r="2318" spans="1:18">
      <c r="A2318" s="2" t="s">
        <v>6625</v>
      </c>
      <c r="B2318" s="2" t="s">
        <v>57</v>
      </c>
      <c r="C2318" s="1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  <c r="L2318" s="2" t="s">
        <v>11030</v>
      </c>
      <c r="M2318" s="2" t="s">
        <v>11029</v>
      </c>
      <c r="N2318" s="2" t="s">
        <v>11037</v>
      </c>
      <c r="O2318" s="2" t="s">
        <v>11038</v>
      </c>
      <c r="P2318" s="2" t="s">
        <v>11037</v>
      </c>
      <c r="Q2318" s="2">
        <f>AVERAGE(PerfRate[[#This Row],[EnvironmentSatisfaction]],PerfRate[[#This Row],[JobSatisfaction]],PerfRate[[#This Row],[RelationshipSatisfaction]])</f>
        <v>4.333333333333333</v>
      </c>
      <c r="R2318" s="2">
        <f>PerfRate[[#This Row],[ManagerRating]] - PerfRate[[#This Row],[SelfRating]]</f>
        <v>-1</v>
      </c>
    </row>
    <row r="2319" spans="1:18">
      <c r="A2319" s="2" t="s">
        <v>6626</v>
      </c>
      <c r="B2319" s="2" t="s">
        <v>1572</v>
      </c>
      <c r="C2319" s="1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  <c r="L2319" s="2" t="s">
        <v>11031</v>
      </c>
      <c r="M2319" s="2" t="s">
        <v>11031</v>
      </c>
      <c r="N2319" s="2" t="s">
        <v>11036</v>
      </c>
      <c r="O2319" s="2" t="s">
        <v>11035</v>
      </c>
      <c r="P2319" s="2" t="s">
        <v>11036</v>
      </c>
      <c r="Q2319" s="2">
        <f>AVERAGE(PerfRate[[#This Row],[EnvironmentSatisfaction]],PerfRate[[#This Row],[JobSatisfaction]],PerfRate[[#This Row],[RelationshipSatisfaction]])</f>
        <v>2.6666666666666665</v>
      </c>
      <c r="R2319" s="2">
        <f>PerfRate[[#This Row],[ManagerRating]] - PerfRate[[#This Row],[SelfRating]]</f>
        <v>0</v>
      </c>
    </row>
    <row r="2320" spans="1:18">
      <c r="A2320" s="2" t="s">
        <v>6627</v>
      </c>
      <c r="B2320" s="2" t="s">
        <v>1868</v>
      </c>
      <c r="C2320" s="1">
        <v>41644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  <c r="L2320" s="2" t="s">
        <v>11029</v>
      </c>
      <c r="M2320" s="2" t="s">
        <v>11028</v>
      </c>
      <c r="N2320" s="2" t="s">
        <v>11038</v>
      </c>
      <c r="O2320" s="2" t="s">
        <v>11037</v>
      </c>
      <c r="P2320" s="2" t="s">
        <v>11037</v>
      </c>
      <c r="Q2320" s="2">
        <f>AVERAGE(PerfRate[[#This Row],[EnvironmentSatisfaction]],PerfRate[[#This Row],[JobSatisfaction]],PerfRate[[#This Row],[RelationshipSatisfaction]])</f>
        <v>4.333333333333333</v>
      </c>
      <c r="R2320" s="2">
        <f>PerfRate[[#This Row],[ManagerRating]] - PerfRate[[#This Row],[SelfRating]]</f>
        <v>-1</v>
      </c>
    </row>
    <row r="2321" spans="1:18">
      <c r="A2321" s="2" t="s">
        <v>6628</v>
      </c>
      <c r="B2321" s="2" t="s">
        <v>338</v>
      </c>
      <c r="C2321" s="1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  <c r="L2321" s="2" t="s">
        <v>11031</v>
      </c>
      <c r="M2321" s="2" t="s">
        <v>11030</v>
      </c>
      <c r="N2321" s="2" t="s">
        <v>11036</v>
      </c>
      <c r="O2321" s="2" t="s">
        <v>11038</v>
      </c>
      <c r="P2321" s="2" t="s">
        <v>11038</v>
      </c>
      <c r="Q2321" s="2">
        <f>AVERAGE(PerfRate[[#This Row],[EnvironmentSatisfaction]],PerfRate[[#This Row],[JobSatisfaction]],PerfRate[[#This Row],[RelationshipSatisfaction]])</f>
        <v>4.333333333333333</v>
      </c>
      <c r="R2321" s="2">
        <f>PerfRate[[#This Row],[ManagerRating]] - PerfRate[[#This Row],[SelfRating]]</f>
        <v>-1</v>
      </c>
    </row>
    <row r="2322" spans="1:18">
      <c r="A2322" s="2" t="s">
        <v>6629</v>
      </c>
      <c r="B2322" s="2" t="s">
        <v>613</v>
      </c>
      <c r="C2322" s="1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  <c r="L2322" s="2" t="s">
        <v>11030</v>
      </c>
      <c r="M2322" s="2" t="s">
        <v>11030</v>
      </c>
      <c r="N2322" s="2" t="s">
        <v>11036</v>
      </c>
      <c r="O2322" s="2" t="s">
        <v>11037</v>
      </c>
      <c r="P2322" s="2" t="s">
        <v>11036</v>
      </c>
      <c r="Q2322" s="2">
        <f>AVERAGE(PerfRate[[#This Row],[EnvironmentSatisfaction]],PerfRate[[#This Row],[JobSatisfaction]],PerfRate[[#This Row],[RelationshipSatisfaction]])</f>
        <v>3.3333333333333335</v>
      </c>
      <c r="R2322" s="2">
        <f>PerfRate[[#This Row],[ManagerRating]] - PerfRate[[#This Row],[SelfRating]]</f>
        <v>0</v>
      </c>
    </row>
    <row r="2323" spans="1:18">
      <c r="A2323" s="2" t="s">
        <v>6630</v>
      </c>
      <c r="B2323" s="2" t="s">
        <v>1626</v>
      </c>
      <c r="C2323" s="1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  <c r="L2323" s="2" t="s">
        <v>11030</v>
      </c>
      <c r="M2323" s="2" t="s">
        <v>11029</v>
      </c>
      <c r="N2323" s="2" t="s">
        <v>11038</v>
      </c>
      <c r="O2323" s="2" t="s">
        <v>11037</v>
      </c>
      <c r="P2323" s="2" t="s">
        <v>11038</v>
      </c>
      <c r="Q2323" s="2">
        <f>AVERAGE(PerfRate[[#This Row],[EnvironmentSatisfaction]],PerfRate[[#This Row],[JobSatisfaction]],PerfRate[[#This Row],[RelationshipSatisfaction]])</f>
        <v>4.666666666666667</v>
      </c>
      <c r="R2323" s="2">
        <f>PerfRate[[#This Row],[ManagerRating]] - PerfRate[[#This Row],[SelfRating]]</f>
        <v>-1</v>
      </c>
    </row>
    <row r="2324" spans="1:18">
      <c r="A2324" s="2" t="s">
        <v>6631</v>
      </c>
      <c r="B2324" s="2" t="s">
        <v>1987</v>
      </c>
      <c r="C2324" s="1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  <c r="L2324" s="2" t="s">
        <v>11031</v>
      </c>
      <c r="M2324" s="2" t="s">
        <v>11030</v>
      </c>
      <c r="N2324" s="2" t="s">
        <v>11036</v>
      </c>
      <c r="O2324" s="2" t="s">
        <v>11035</v>
      </c>
      <c r="P2324" s="2" t="s">
        <v>11037</v>
      </c>
      <c r="Q2324" s="2">
        <f>AVERAGE(PerfRate[[#This Row],[EnvironmentSatisfaction]],PerfRate[[#This Row],[JobSatisfaction]],PerfRate[[#This Row],[RelationshipSatisfaction]])</f>
        <v>3</v>
      </c>
      <c r="R2324" s="2">
        <f>PerfRate[[#This Row],[ManagerRating]] - PerfRate[[#This Row],[SelfRating]]</f>
        <v>-1</v>
      </c>
    </row>
    <row r="2325" spans="1:18">
      <c r="A2325" s="2" t="s">
        <v>6632</v>
      </c>
      <c r="B2325" s="2" t="s">
        <v>1856</v>
      </c>
      <c r="C2325" s="1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  <c r="L2325" s="2" t="s">
        <v>11030</v>
      </c>
      <c r="M2325" s="2" t="s">
        <v>11030</v>
      </c>
      <c r="N2325" s="2" t="s">
        <v>11038</v>
      </c>
      <c r="O2325" s="2" t="s">
        <v>11035</v>
      </c>
      <c r="P2325" s="2" t="s">
        <v>11037</v>
      </c>
      <c r="Q2325" s="2">
        <f>AVERAGE(PerfRate[[#This Row],[EnvironmentSatisfaction]],PerfRate[[#This Row],[JobSatisfaction]],PerfRate[[#This Row],[RelationshipSatisfaction]])</f>
        <v>3.6666666666666665</v>
      </c>
      <c r="R2325" s="2">
        <f>PerfRate[[#This Row],[ManagerRating]] - PerfRate[[#This Row],[SelfRating]]</f>
        <v>0</v>
      </c>
    </row>
    <row r="2326" spans="1:18">
      <c r="A2326" s="2" t="s">
        <v>6633</v>
      </c>
      <c r="B2326" s="2" t="s">
        <v>2666</v>
      </c>
      <c r="C2326" s="1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  <c r="L2326" s="2" t="s">
        <v>11029</v>
      </c>
      <c r="M2326" s="2" t="s">
        <v>11028</v>
      </c>
      <c r="N2326" s="2" t="s">
        <v>11038</v>
      </c>
      <c r="O2326" s="2" t="s">
        <v>11037</v>
      </c>
      <c r="P2326" s="2" t="s">
        <v>11036</v>
      </c>
      <c r="Q2326" s="2">
        <f>AVERAGE(PerfRate[[#This Row],[EnvironmentSatisfaction]],PerfRate[[#This Row],[JobSatisfaction]],PerfRate[[#This Row],[RelationshipSatisfaction]])</f>
        <v>4</v>
      </c>
      <c r="R2326" s="2">
        <f>PerfRate[[#This Row],[ManagerRating]] - PerfRate[[#This Row],[SelfRating]]</f>
        <v>-1</v>
      </c>
    </row>
    <row r="2327" spans="1:18">
      <c r="A2327" s="2" t="s">
        <v>6634</v>
      </c>
      <c r="B2327" s="2" t="s">
        <v>898</v>
      </c>
      <c r="C2327" s="1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  <c r="L2327" s="2" t="s">
        <v>11030</v>
      </c>
      <c r="M2327" s="2" t="s">
        <v>11030</v>
      </c>
      <c r="N2327" s="2" t="s">
        <v>11036</v>
      </c>
      <c r="O2327" s="2" t="s">
        <v>11036</v>
      </c>
      <c r="P2327" s="2" t="s">
        <v>11037</v>
      </c>
      <c r="Q2327" s="2">
        <f>AVERAGE(PerfRate[[#This Row],[EnvironmentSatisfaction]],PerfRate[[#This Row],[JobSatisfaction]],PerfRate[[#This Row],[RelationshipSatisfaction]])</f>
        <v>3.3333333333333335</v>
      </c>
      <c r="R2327" s="2">
        <f>PerfRate[[#This Row],[ManagerRating]] - PerfRate[[#This Row],[SelfRating]]</f>
        <v>0</v>
      </c>
    </row>
    <row r="2328" spans="1:18">
      <c r="A2328" s="2" t="s">
        <v>6635</v>
      </c>
      <c r="B2328" s="2" t="s">
        <v>1432</v>
      </c>
      <c r="C2328" s="1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  <c r="L2328" s="2" t="s">
        <v>11031</v>
      </c>
      <c r="M2328" s="2" t="s">
        <v>11030</v>
      </c>
      <c r="N2328" s="2" t="s">
        <v>11038</v>
      </c>
      <c r="O2328" s="2" t="s">
        <v>11038</v>
      </c>
      <c r="P2328" s="2" t="s">
        <v>11038</v>
      </c>
      <c r="Q2328" s="2">
        <f>AVERAGE(PerfRate[[#This Row],[EnvironmentSatisfaction]],PerfRate[[#This Row],[JobSatisfaction]],PerfRate[[#This Row],[RelationshipSatisfaction]])</f>
        <v>5</v>
      </c>
      <c r="R2328" s="2">
        <f>PerfRate[[#This Row],[ManagerRating]] - PerfRate[[#This Row],[SelfRating]]</f>
        <v>-1</v>
      </c>
    </row>
    <row r="2329" spans="1:18">
      <c r="A2329" s="2" t="s">
        <v>6636</v>
      </c>
      <c r="B2329" s="2" t="s">
        <v>1329</v>
      </c>
      <c r="C2329" s="1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  <c r="L2329" s="2" t="s">
        <v>11031</v>
      </c>
      <c r="M2329" s="2" t="s">
        <v>11030</v>
      </c>
      <c r="N2329" s="2" t="s">
        <v>11036</v>
      </c>
      <c r="O2329" s="2" t="s">
        <v>11038</v>
      </c>
      <c r="P2329" s="2" t="s">
        <v>11035</v>
      </c>
      <c r="Q2329" s="2">
        <f>AVERAGE(PerfRate[[#This Row],[EnvironmentSatisfaction]],PerfRate[[#This Row],[JobSatisfaction]],PerfRate[[#This Row],[RelationshipSatisfaction]])</f>
        <v>3.3333333333333335</v>
      </c>
      <c r="R2329" s="2">
        <f>PerfRate[[#This Row],[ManagerRating]] - PerfRate[[#This Row],[SelfRating]]</f>
        <v>-1</v>
      </c>
    </row>
    <row r="2330" spans="1:18">
      <c r="A2330" s="2" t="s">
        <v>6637</v>
      </c>
      <c r="B2330" s="2" t="s">
        <v>392</v>
      </c>
      <c r="C2330" s="1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  <c r="L2330" s="2" t="s">
        <v>11031</v>
      </c>
      <c r="M2330" s="2" t="s">
        <v>11030</v>
      </c>
      <c r="N2330" s="2" t="s">
        <v>11038</v>
      </c>
      <c r="O2330" s="2" t="s">
        <v>11038</v>
      </c>
      <c r="P2330" s="2" t="s">
        <v>11037</v>
      </c>
      <c r="Q2330" s="2">
        <f>AVERAGE(PerfRate[[#This Row],[EnvironmentSatisfaction]],PerfRate[[#This Row],[JobSatisfaction]],PerfRate[[#This Row],[RelationshipSatisfaction]])</f>
        <v>4.666666666666667</v>
      </c>
      <c r="R2330" s="2">
        <f>PerfRate[[#This Row],[ManagerRating]] - PerfRate[[#This Row],[SelfRating]]</f>
        <v>-1</v>
      </c>
    </row>
    <row r="2331" spans="1:18">
      <c r="A2331" s="2" t="s">
        <v>6638</v>
      </c>
      <c r="B2331" s="2" t="s">
        <v>1012</v>
      </c>
      <c r="C2331" s="1">
        <v>41644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  <c r="L2331" s="2" t="s">
        <v>11029</v>
      </c>
      <c r="M2331" s="2" t="s">
        <v>11029</v>
      </c>
      <c r="N2331" s="2" t="s">
        <v>11036</v>
      </c>
      <c r="O2331" s="2" t="s">
        <v>11037</v>
      </c>
      <c r="P2331" s="2" t="s">
        <v>11036</v>
      </c>
      <c r="Q2331" s="2">
        <f>AVERAGE(PerfRate[[#This Row],[EnvironmentSatisfaction]],PerfRate[[#This Row],[JobSatisfaction]],PerfRate[[#This Row],[RelationshipSatisfaction]])</f>
        <v>3.3333333333333335</v>
      </c>
      <c r="R2331" s="2">
        <f>PerfRate[[#This Row],[ManagerRating]] - PerfRate[[#This Row],[SelfRating]]</f>
        <v>0</v>
      </c>
    </row>
    <row r="2332" spans="1:18">
      <c r="A2332" s="2" t="s">
        <v>6639</v>
      </c>
      <c r="B2332" s="2" t="s">
        <v>479</v>
      </c>
      <c r="C2332" s="1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  <c r="L2332" s="2" t="s">
        <v>11029</v>
      </c>
      <c r="M2332" s="2" t="s">
        <v>11028</v>
      </c>
      <c r="N2332" s="2" t="s">
        <v>11038</v>
      </c>
      <c r="O2332" s="2" t="s">
        <v>11035</v>
      </c>
      <c r="P2332" s="2" t="s">
        <v>11036</v>
      </c>
      <c r="Q2332" s="2">
        <f>AVERAGE(PerfRate[[#This Row],[EnvironmentSatisfaction]],PerfRate[[#This Row],[JobSatisfaction]],PerfRate[[#This Row],[RelationshipSatisfaction]])</f>
        <v>3.3333333333333335</v>
      </c>
      <c r="R2332" s="2">
        <f>PerfRate[[#This Row],[ManagerRating]] - PerfRate[[#This Row],[SelfRating]]</f>
        <v>-1</v>
      </c>
    </row>
    <row r="2333" spans="1:18">
      <c r="A2333" s="2" t="s">
        <v>6640</v>
      </c>
      <c r="B2333" s="2" t="s">
        <v>616</v>
      </c>
      <c r="C2333" s="1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  <c r="L2333" s="2" t="s">
        <v>11029</v>
      </c>
      <c r="M2333" s="2" t="s">
        <v>11028</v>
      </c>
      <c r="N2333" s="2" t="s">
        <v>11038</v>
      </c>
      <c r="O2333" s="2" t="s">
        <v>11037</v>
      </c>
      <c r="P2333" s="2" t="s">
        <v>11038</v>
      </c>
      <c r="Q2333" s="2">
        <f>AVERAGE(PerfRate[[#This Row],[EnvironmentSatisfaction]],PerfRate[[#This Row],[JobSatisfaction]],PerfRate[[#This Row],[RelationshipSatisfaction]])</f>
        <v>4.666666666666667</v>
      </c>
      <c r="R2333" s="2">
        <f>PerfRate[[#This Row],[ManagerRating]] - PerfRate[[#This Row],[SelfRating]]</f>
        <v>-1</v>
      </c>
    </row>
    <row r="2334" spans="1:18">
      <c r="A2334" s="2" t="s">
        <v>6641</v>
      </c>
      <c r="B2334" s="2" t="s">
        <v>670</v>
      </c>
      <c r="C2334" s="1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  <c r="L2334" s="2" t="s">
        <v>11029</v>
      </c>
      <c r="M2334" s="2" t="s">
        <v>11028</v>
      </c>
      <c r="N2334" s="2" t="s">
        <v>11036</v>
      </c>
      <c r="O2334" s="2" t="s">
        <v>11036</v>
      </c>
      <c r="P2334" s="2" t="s">
        <v>11035</v>
      </c>
      <c r="Q2334" s="2">
        <f>AVERAGE(PerfRate[[#This Row],[EnvironmentSatisfaction]],PerfRate[[#This Row],[JobSatisfaction]],PerfRate[[#This Row],[RelationshipSatisfaction]])</f>
        <v>2.6666666666666665</v>
      </c>
      <c r="R2334" s="2">
        <f>PerfRate[[#This Row],[ManagerRating]] - PerfRate[[#This Row],[SelfRating]]</f>
        <v>-1</v>
      </c>
    </row>
    <row r="2335" spans="1:18">
      <c r="A2335" s="2" t="s">
        <v>6642</v>
      </c>
      <c r="B2335" s="2" t="s">
        <v>1833</v>
      </c>
      <c r="C2335" s="1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  <c r="L2335" s="2" t="s">
        <v>11030</v>
      </c>
      <c r="M2335" s="2" t="s">
        <v>11030</v>
      </c>
      <c r="N2335" s="2" t="s">
        <v>11036</v>
      </c>
      <c r="O2335" s="2" t="s">
        <v>11036</v>
      </c>
      <c r="P2335" s="2" t="s">
        <v>11037</v>
      </c>
      <c r="Q2335" s="2">
        <f>AVERAGE(PerfRate[[#This Row],[EnvironmentSatisfaction]],PerfRate[[#This Row],[JobSatisfaction]],PerfRate[[#This Row],[RelationshipSatisfaction]])</f>
        <v>3.3333333333333335</v>
      </c>
      <c r="R2335" s="2">
        <f>PerfRate[[#This Row],[ManagerRating]] - PerfRate[[#This Row],[SelfRating]]</f>
        <v>0</v>
      </c>
    </row>
    <row r="2336" spans="1:18">
      <c r="A2336" s="2" t="s">
        <v>6643</v>
      </c>
      <c r="B2336" s="2" t="s">
        <v>2500</v>
      </c>
      <c r="C2336" s="1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  <c r="L2336" s="2" t="s">
        <v>11031</v>
      </c>
      <c r="M2336" s="2" t="s">
        <v>11030</v>
      </c>
      <c r="N2336" s="2" t="s">
        <v>11038</v>
      </c>
      <c r="O2336" s="2" t="s">
        <v>11037</v>
      </c>
      <c r="P2336" s="2" t="s">
        <v>11038</v>
      </c>
      <c r="Q2336" s="2">
        <f>AVERAGE(PerfRate[[#This Row],[EnvironmentSatisfaction]],PerfRate[[#This Row],[JobSatisfaction]],PerfRate[[#This Row],[RelationshipSatisfaction]])</f>
        <v>4.666666666666667</v>
      </c>
      <c r="R2336" s="2">
        <f>PerfRate[[#This Row],[ManagerRating]] - PerfRate[[#This Row],[SelfRating]]</f>
        <v>-1</v>
      </c>
    </row>
    <row r="2337" spans="1:18">
      <c r="A2337" s="2" t="s">
        <v>6644</v>
      </c>
      <c r="B2337" s="2" t="s">
        <v>1716</v>
      </c>
      <c r="C2337" s="1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  <c r="L2337" s="2" t="s">
        <v>11031</v>
      </c>
      <c r="M2337" s="2" t="s">
        <v>11031</v>
      </c>
      <c r="N2337" s="2" t="s">
        <v>11038</v>
      </c>
      <c r="O2337" s="2" t="s">
        <v>11036</v>
      </c>
      <c r="P2337" s="2" t="s">
        <v>11035</v>
      </c>
      <c r="Q2337" s="2">
        <f>AVERAGE(PerfRate[[#This Row],[EnvironmentSatisfaction]],PerfRate[[#This Row],[JobSatisfaction]],PerfRate[[#This Row],[RelationshipSatisfaction]])</f>
        <v>3.3333333333333335</v>
      </c>
      <c r="R2337" s="2">
        <f>PerfRate[[#This Row],[ManagerRating]] - PerfRate[[#This Row],[SelfRating]]</f>
        <v>0</v>
      </c>
    </row>
    <row r="2338" spans="1:18">
      <c r="A2338" s="2" t="s">
        <v>6645</v>
      </c>
      <c r="B2338" s="2" t="s">
        <v>1292</v>
      </c>
      <c r="C2338" s="1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  <c r="L2338" s="2" t="s">
        <v>11029</v>
      </c>
      <c r="M2338" s="2" t="s">
        <v>11028</v>
      </c>
      <c r="N2338" s="2" t="s">
        <v>11037</v>
      </c>
      <c r="O2338" s="2" t="s">
        <v>11038</v>
      </c>
      <c r="P2338" s="2" t="s">
        <v>11036</v>
      </c>
      <c r="Q2338" s="2">
        <f>AVERAGE(PerfRate[[#This Row],[EnvironmentSatisfaction]],PerfRate[[#This Row],[JobSatisfaction]],PerfRate[[#This Row],[RelationshipSatisfaction]])</f>
        <v>4</v>
      </c>
      <c r="R2338" s="2">
        <f>PerfRate[[#This Row],[ManagerRating]] - PerfRate[[#This Row],[SelfRating]]</f>
        <v>-1</v>
      </c>
    </row>
    <row r="2339" spans="1:18">
      <c r="A2339" s="2" t="s">
        <v>6646</v>
      </c>
      <c r="B2339" s="2" t="s">
        <v>1647</v>
      </c>
      <c r="C2339" s="1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  <c r="L2339" s="2" t="s">
        <v>11029</v>
      </c>
      <c r="M2339" s="2" t="s">
        <v>11029</v>
      </c>
      <c r="N2339" s="2" t="s">
        <v>11036</v>
      </c>
      <c r="O2339" s="2" t="s">
        <v>11038</v>
      </c>
      <c r="P2339" s="2" t="s">
        <v>11037</v>
      </c>
      <c r="Q2339" s="2">
        <f>AVERAGE(PerfRate[[#This Row],[EnvironmentSatisfaction]],PerfRate[[#This Row],[JobSatisfaction]],PerfRate[[#This Row],[RelationshipSatisfaction]])</f>
        <v>4</v>
      </c>
      <c r="R2339" s="2">
        <f>PerfRate[[#This Row],[ManagerRating]] - PerfRate[[#This Row],[SelfRating]]</f>
        <v>0</v>
      </c>
    </row>
    <row r="2340" spans="1:18">
      <c r="A2340" s="2" t="s">
        <v>6647</v>
      </c>
      <c r="B2340" s="2" t="s">
        <v>458</v>
      </c>
      <c r="C2340" s="1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  <c r="L2340" s="2" t="s">
        <v>11030</v>
      </c>
      <c r="M2340" s="2" t="s">
        <v>11029</v>
      </c>
      <c r="N2340" s="2" t="s">
        <v>11036</v>
      </c>
      <c r="O2340" s="2" t="s">
        <v>11035</v>
      </c>
      <c r="P2340" s="2" t="s">
        <v>11038</v>
      </c>
      <c r="Q2340" s="2">
        <f>AVERAGE(PerfRate[[#This Row],[EnvironmentSatisfaction]],PerfRate[[#This Row],[JobSatisfaction]],PerfRate[[#This Row],[RelationshipSatisfaction]])</f>
        <v>3.3333333333333335</v>
      </c>
      <c r="R2340" s="2">
        <f>PerfRate[[#This Row],[ManagerRating]] - PerfRate[[#This Row],[SelfRating]]</f>
        <v>-1</v>
      </c>
    </row>
    <row r="2341" spans="1:18">
      <c r="A2341" s="2" t="s">
        <v>6648</v>
      </c>
      <c r="B2341" s="2" t="s">
        <v>3212</v>
      </c>
      <c r="C2341" s="1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  <c r="L2341" s="2" t="s">
        <v>11030</v>
      </c>
      <c r="M2341" s="2" t="s">
        <v>11030</v>
      </c>
      <c r="N2341" s="2" t="s">
        <v>11038</v>
      </c>
      <c r="O2341" s="2" t="s">
        <v>11037</v>
      </c>
      <c r="P2341" s="2" t="s">
        <v>11036</v>
      </c>
      <c r="Q2341" s="2">
        <f>AVERAGE(PerfRate[[#This Row],[EnvironmentSatisfaction]],PerfRate[[#This Row],[JobSatisfaction]],PerfRate[[#This Row],[RelationshipSatisfaction]])</f>
        <v>4</v>
      </c>
      <c r="R2341" s="2">
        <f>PerfRate[[#This Row],[ManagerRating]] - PerfRate[[#This Row],[SelfRating]]</f>
        <v>0</v>
      </c>
    </row>
    <row r="2342" spans="1:18">
      <c r="A2342" s="2" t="s">
        <v>6649</v>
      </c>
      <c r="B2342" s="2" t="s">
        <v>1672</v>
      </c>
      <c r="C2342" s="1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  <c r="L2342" s="2" t="s">
        <v>11030</v>
      </c>
      <c r="M2342" s="2" t="s">
        <v>11029</v>
      </c>
      <c r="N2342" s="2" t="s">
        <v>11037</v>
      </c>
      <c r="O2342" s="2" t="s">
        <v>11038</v>
      </c>
      <c r="P2342" s="2" t="s">
        <v>11037</v>
      </c>
      <c r="Q2342" s="2">
        <f>AVERAGE(PerfRate[[#This Row],[EnvironmentSatisfaction]],PerfRate[[#This Row],[JobSatisfaction]],PerfRate[[#This Row],[RelationshipSatisfaction]])</f>
        <v>4.333333333333333</v>
      </c>
      <c r="R2342" s="2">
        <f>PerfRate[[#This Row],[ManagerRating]] - PerfRate[[#This Row],[SelfRating]]</f>
        <v>-1</v>
      </c>
    </row>
    <row r="2343" spans="1:18">
      <c r="A2343" s="2" t="s">
        <v>6650</v>
      </c>
      <c r="B2343" s="2" t="s">
        <v>2620</v>
      </c>
      <c r="C2343" s="1">
        <v>41644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  <c r="L2343" s="2" t="s">
        <v>11029</v>
      </c>
      <c r="M2343" s="2" t="s">
        <v>11028</v>
      </c>
      <c r="N2343" s="2" t="s">
        <v>11038</v>
      </c>
      <c r="O2343" s="2" t="s">
        <v>11037</v>
      </c>
      <c r="P2343" s="2" t="s">
        <v>11035</v>
      </c>
      <c r="Q2343" s="2">
        <f>AVERAGE(PerfRate[[#This Row],[EnvironmentSatisfaction]],PerfRate[[#This Row],[JobSatisfaction]],PerfRate[[#This Row],[RelationshipSatisfaction]])</f>
        <v>3.6666666666666665</v>
      </c>
      <c r="R2343" s="2">
        <f>PerfRate[[#This Row],[ManagerRating]] - PerfRate[[#This Row],[SelfRating]]</f>
        <v>-1</v>
      </c>
    </row>
    <row r="2344" spans="1:18">
      <c r="A2344" s="2" t="s">
        <v>6651</v>
      </c>
      <c r="B2344" s="2" t="s">
        <v>1145</v>
      </c>
      <c r="C2344" s="1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  <c r="L2344" s="2" t="s">
        <v>11030</v>
      </c>
      <c r="M2344" s="2" t="s">
        <v>11030</v>
      </c>
      <c r="N2344" s="2" t="s">
        <v>11036</v>
      </c>
      <c r="O2344" s="2" t="s">
        <v>11035</v>
      </c>
      <c r="P2344" s="2" t="s">
        <v>11035</v>
      </c>
      <c r="Q2344" s="2">
        <f>AVERAGE(PerfRate[[#This Row],[EnvironmentSatisfaction]],PerfRate[[#This Row],[JobSatisfaction]],PerfRate[[#This Row],[RelationshipSatisfaction]])</f>
        <v>2.3333333333333335</v>
      </c>
      <c r="R2344" s="2">
        <f>PerfRate[[#This Row],[ManagerRating]] - PerfRate[[#This Row],[SelfRating]]</f>
        <v>0</v>
      </c>
    </row>
    <row r="2345" spans="1:18">
      <c r="A2345" s="2" t="s">
        <v>6652</v>
      </c>
      <c r="B2345" s="2" t="s">
        <v>3772</v>
      </c>
      <c r="C2345" s="1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  <c r="L2345" s="2" t="s">
        <v>11030</v>
      </c>
      <c r="M2345" s="2" t="s">
        <v>11029</v>
      </c>
      <c r="N2345" s="2" t="s">
        <v>11038</v>
      </c>
      <c r="O2345" s="2" t="s">
        <v>11038</v>
      </c>
      <c r="P2345" s="2" t="s">
        <v>11035</v>
      </c>
      <c r="Q2345" s="2">
        <f>AVERAGE(PerfRate[[#This Row],[EnvironmentSatisfaction]],PerfRate[[#This Row],[JobSatisfaction]],PerfRate[[#This Row],[RelationshipSatisfaction]])</f>
        <v>4</v>
      </c>
      <c r="R2345" s="2">
        <f>PerfRate[[#This Row],[ManagerRating]] - PerfRate[[#This Row],[SelfRating]]</f>
        <v>-1</v>
      </c>
    </row>
    <row r="2346" spans="1:18">
      <c r="A2346" s="2" t="s">
        <v>6653</v>
      </c>
      <c r="B2346" s="2" t="s">
        <v>1927</v>
      </c>
      <c r="C2346" s="1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  <c r="L2346" s="2" t="s">
        <v>11029</v>
      </c>
      <c r="M2346" s="2" t="s">
        <v>11028</v>
      </c>
      <c r="N2346" s="2" t="s">
        <v>11036</v>
      </c>
      <c r="O2346" s="2" t="s">
        <v>11037</v>
      </c>
      <c r="P2346" s="2" t="s">
        <v>11037</v>
      </c>
      <c r="Q2346" s="2">
        <f>AVERAGE(PerfRate[[#This Row],[EnvironmentSatisfaction]],PerfRate[[#This Row],[JobSatisfaction]],PerfRate[[#This Row],[RelationshipSatisfaction]])</f>
        <v>3.6666666666666665</v>
      </c>
      <c r="R2346" s="2">
        <f>PerfRate[[#This Row],[ManagerRating]] - PerfRate[[#This Row],[SelfRating]]</f>
        <v>-1</v>
      </c>
    </row>
    <row r="2347" spans="1:18">
      <c r="A2347" s="2" t="s">
        <v>6654</v>
      </c>
      <c r="B2347" s="2" t="s">
        <v>4257</v>
      </c>
      <c r="C2347" s="1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  <c r="L2347" s="2" t="s">
        <v>11031</v>
      </c>
      <c r="M2347" s="2" t="s">
        <v>11030</v>
      </c>
      <c r="N2347" s="2" t="s">
        <v>11036</v>
      </c>
      <c r="O2347" s="2" t="s">
        <v>11037</v>
      </c>
      <c r="P2347" s="2" t="s">
        <v>11035</v>
      </c>
      <c r="Q2347" s="2">
        <f>AVERAGE(PerfRate[[#This Row],[EnvironmentSatisfaction]],PerfRate[[#This Row],[JobSatisfaction]],PerfRate[[#This Row],[RelationshipSatisfaction]])</f>
        <v>3</v>
      </c>
      <c r="R2347" s="2">
        <f>PerfRate[[#This Row],[ManagerRating]] - PerfRate[[#This Row],[SelfRating]]</f>
        <v>-1</v>
      </c>
    </row>
    <row r="2348" spans="1:18">
      <c r="A2348" s="2" t="s">
        <v>6655</v>
      </c>
      <c r="B2348" s="2" t="s">
        <v>109</v>
      </c>
      <c r="C2348" s="1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  <c r="L2348" s="2" t="s">
        <v>11029</v>
      </c>
      <c r="M2348" s="2" t="s">
        <v>11029</v>
      </c>
      <c r="N2348" s="2" t="s">
        <v>11037</v>
      </c>
      <c r="O2348" s="2" t="s">
        <v>11038</v>
      </c>
      <c r="P2348" s="2" t="s">
        <v>11036</v>
      </c>
      <c r="Q2348" s="2">
        <f>AVERAGE(PerfRate[[#This Row],[EnvironmentSatisfaction]],PerfRate[[#This Row],[JobSatisfaction]],PerfRate[[#This Row],[RelationshipSatisfaction]])</f>
        <v>4</v>
      </c>
      <c r="R2348" s="2">
        <f>PerfRate[[#This Row],[ManagerRating]] - PerfRate[[#This Row],[SelfRating]]</f>
        <v>0</v>
      </c>
    </row>
    <row r="2349" spans="1:18">
      <c r="A2349" s="2" t="s">
        <v>6656</v>
      </c>
      <c r="B2349" s="2" t="s">
        <v>910</v>
      </c>
      <c r="C2349" s="1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  <c r="L2349" s="2" t="s">
        <v>11031</v>
      </c>
      <c r="M2349" s="2" t="s">
        <v>11030</v>
      </c>
      <c r="N2349" s="2" t="s">
        <v>11038</v>
      </c>
      <c r="O2349" s="2" t="s">
        <v>11038</v>
      </c>
      <c r="P2349" s="2" t="s">
        <v>11038</v>
      </c>
      <c r="Q2349" s="2">
        <f>AVERAGE(PerfRate[[#This Row],[EnvironmentSatisfaction]],PerfRate[[#This Row],[JobSatisfaction]],PerfRate[[#This Row],[RelationshipSatisfaction]])</f>
        <v>5</v>
      </c>
      <c r="R2349" s="2">
        <f>PerfRate[[#This Row],[ManagerRating]] - PerfRate[[#This Row],[SelfRating]]</f>
        <v>-1</v>
      </c>
    </row>
    <row r="2350" spans="1:18">
      <c r="A2350" s="2" t="s">
        <v>6657</v>
      </c>
      <c r="B2350" s="2" t="s">
        <v>1286</v>
      </c>
      <c r="C2350" s="1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  <c r="L2350" s="2" t="s">
        <v>11030</v>
      </c>
      <c r="M2350" s="2" t="s">
        <v>11029</v>
      </c>
      <c r="N2350" s="2" t="s">
        <v>11036</v>
      </c>
      <c r="O2350" s="2" t="s">
        <v>11037</v>
      </c>
      <c r="P2350" s="2" t="s">
        <v>11036</v>
      </c>
      <c r="Q2350" s="2">
        <f>AVERAGE(PerfRate[[#This Row],[EnvironmentSatisfaction]],PerfRate[[#This Row],[JobSatisfaction]],PerfRate[[#This Row],[RelationshipSatisfaction]])</f>
        <v>3.3333333333333335</v>
      </c>
      <c r="R2350" s="2">
        <f>PerfRate[[#This Row],[ManagerRating]] - PerfRate[[#This Row],[SelfRating]]</f>
        <v>-1</v>
      </c>
    </row>
    <row r="2351" spans="1:18">
      <c r="A2351" s="2" t="s">
        <v>6658</v>
      </c>
      <c r="B2351" s="2" t="s">
        <v>1215</v>
      </c>
      <c r="C2351" s="1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  <c r="L2351" s="2" t="s">
        <v>11029</v>
      </c>
      <c r="M2351" s="2" t="s">
        <v>11029</v>
      </c>
      <c r="N2351" s="2" t="s">
        <v>11037</v>
      </c>
      <c r="O2351" s="2" t="s">
        <v>11037</v>
      </c>
      <c r="P2351" s="2" t="s">
        <v>11037</v>
      </c>
      <c r="Q2351" s="2">
        <f>AVERAGE(PerfRate[[#This Row],[EnvironmentSatisfaction]],PerfRate[[#This Row],[JobSatisfaction]],PerfRate[[#This Row],[RelationshipSatisfaction]])</f>
        <v>4</v>
      </c>
      <c r="R2351" s="2">
        <f>PerfRate[[#This Row],[ManagerRating]] - PerfRate[[#This Row],[SelfRating]]</f>
        <v>0</v>
      </c>
    </row>
    <row r="2352" spans="1:18">
      <c r="A2352" s="2" t="s">
        <v>6659</v>
      </c>
      <c r="B2352" s="2" t="s">
        <v>1084</v>
      </c>
      <c r="C2352" s="1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  <c r="L2352" s="2" t="s">
        <v>11030</v>
      </c>
      <c r="M2352" s="2" t="s">
        <v>11029</v>
      </c>
      <c r="N2352" s="2" t="s">
        <v>11038</v>
      </c>
      <c r="O2352" s="2" t="s">
        <v>11038</v>
      </c>
      <c r="P2352" s="2" t="s">
        <v>11036</v>
      </c>
      <c r="Q2352" s="2">
        <f>AVERAGE(PerfRate[[#This Row],[EnvironmentSatisfaction]],PerfRate[[#This Row],[JobSatisfaction]],PerfRate[[#This Row],[RelationshipSatisfaction]])</f>
        <v>4.333333333333333</v>
      </c>
      <c r="R2352" s="2">
        <f>PerfRate[[#This Row],[ManagerRating]] - PerfRate[[#This Row],[SelfRating]]</f>
        <v>-1</v>
      </c>
    </row>
    <row r="2353" spans="1:18">
      <c r="A2353" s="2" t="s">
        <v>6660</v>
      </c>
      <c r="B2353" s="2" t="s">
        <v>2128</v>
      </c>
      <c r="C2353" s="1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  <c r="L2353" s="2" t="s">
        <v>11031</v>
      </c>
      <c r="M2353" s="2" t="s">
        <v>11030</v>
      </c>
      <c r="N2353" s="2" t="s">
        <v>11038</v>
      </c>
      <c r="O2353" s="2" t="s">
        <v>11036</v>
      </c>
      <c r="P2353" s="2" t="s">
        <v>11036</v>
      </c>
      <c r="Q2353" s="2">
        <f>AVERAGE(PerfRate[[#This Row],[EnvironmentSatisfaction]],PerfRate[[#This Row],[JobSatisfaction]],PerfRate[[#This Row],[RelationshipSatisfaction]])</f>
        <v>3.6666666666666665</v>
      </c>
      <c r="R2353" s="2">
        <f>PerfRate[[#This Row],[ManagerRating]] - PerfRate[[#This Row],[SelfRating]]</f>
        <v>-1</v>
      </c>
    </row>
    <row r="2354" spans="1:18">
      <c r="A2354" s="2" t="s">
        <v>6661</v>
      </c>
      <c r="B2354" s="2" t="s">
        <v>4118</v>
      </c>
      <c r="C2354" s="1">
        <v>41644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  <c r="L2354" s="2" t="s">
        <v>11029</v>
      </c>
      <c r="M2354" s="2" t="s">
        <v>11029</v>
      </c>
      <c r="N2354" s="2" t="s">
        <v>11037</v>
      </c>
      <c r="O2354" s="2" t="s">
        <v>11035</v>
      </c>
      <c r="P2354" s="2" t="s">
        <v>11036</v>
      </c>
      <c r="Q2354" s="2">
        <f>AVERAGE(PerfRate[[#This Row],[EnvironmentSatisfaction]],PerfRate[[#This Row],[JobSatisfaction]],PerfRate[[#This Row],[RelationshipSatisfaction]])</f>
        <v>3</v>
      </c>
      <c r="R2354" s="2">
        <f>PerfRate[[#This Row],[ManagerRating]] - PerfRate[[#This Row],[SelfRating]]</f>
        <v>0</v>
      </c>
    </row>
    <row r="2355" spans="1:18">
      <c r="A2355" s="2" t="s">
        <v>6662</v>
      </c>
      <c r="B2355" s="2" t="s">
        <v>1892</v>
      </c>
      <c r="C2355" s="1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  <c r="L2355" s="2" t="s">
        <v>11031</v>
      </c>
      <c r="M2355" s="2" t="s">
        <v>11031</v>
      </c>
      <c r="N2355" s="2" t="s">
        <v>11036</v>
      </c>
      <c r="O2355" s="2" t="s">
        <v>11037</v>
      </c>
      <c r="P2355" s="2" t="s">
        <v>11038</v>
      </c>
      <c r="Q2355" s="2">
        <f>AVERAGE(PerfRate[[#This Row],[EnvironmentSatisfaction]],PerfRate[[#This Row],[JobSatisfaction]],PerfRate[[#This Row],[RelationshipSatisfaction]])</f>
        <v>4</v>
      </c>
      <c r="R2355" s="2">
        <f>PerfRate[[#This Row],[ManagerRating]] - PerfRate[[#This Row],[SelfRating]]</f>
        <v>0</v>
      </c>
    </row>
    <row r="2356" spans="1:18">
      <c r="A2356" s="2" t="s">
        <v>6663</v>
      </c>
      <c r="B2356" s="2" t="s">
        <v>3365</v>
      </c>
      <c r="C2356" s="1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  <c r="L2356" s="2" t="s">
        <v>11030</v>
      </c>
      <c r="M2356" s="2" t="s">
        <v>11030</v>
      </c>
      <c r="N2356" s="2" t="s">
        <v>11038</v>
      </c>
      <c r="O2356" s="2" t="s">
        <v>11037</v>
      </c>
      <c r="P2356" s="2" t="s">
        <v>11037</v>
      </c>
      <c r="Q2356" s="2">
        <f>AVERAGE(PerfRate[[#This Row],[EnvironmentSatisfaction]],PerfRate[[#This Row],[JobSatisfaction]],PerfRate[[#This Row],[RelationshipSatisfaction]])</f>
        <v>4.333333333333333</v>
      </c>
      <c r="R2356" s="2">
        <f>PerfRate[[#This Row],[ManagerRating]] - PerfRate[[#This Row],[SelfRating]]</f>
        <v>0</v>
      </c>
    </row>
    <row r="2357" spans="1:18">
      <c r="A2357" s="2" t="s">
        <v>6664</v>
      </c>
      <c r="B2357" s="2" t="s">
        <v>916</v>
      </c>
      <c r="C2357" s="1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  <c r="L2357" s="2" t="s">
        <v>11030</v>
      </c>
      <c r="M2357" s="2" t="s">
        <v>11030</v>
      </c>
      <c r="N2357" s="2" t="s">
        <v>11037</v>
      </c>
      <c r="O2357" s="2" t="s">
        <v>11037</v>
      </c>
      <c r="P2357" s="2" t="s">
        <v>11035</v>
      </c>
      <c r="Q2357" s="2">
        <f>AVERAGE(PerfRate[[#This Row],[EnvironmentSatisfaction]],PerfRate[[#This Row],[JobSatisfaction]],PerfRate[[#This Row],[RelationshipSatisfaction]])</f>
        <v>3.3333333333333335</v>
      </c>
      <c r="R2357" s="2">
        <f>PerfRate[[#This Row],[ManagerRating]] - PerfRate[[#This Row],[SelfRating]]</f>
        <v>0</v>
      </c>
    </row>
    <row r="2358" spans="1:18">
      <c r="A2358" s="2" t="s">
        <v>6665</v>
      </c>
      <c r="B2358" s="2" t="s">
        <v>777</v>
      </c>
      <c r="C2358" s="1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  <c r="L2358" s="2" t="s">
        <v>11029</v>
      </c>
      <c r="M2358" s="2" t="s">
        <v>11029</v>
      </c>
      <c r="N2358" s="2" t="s">
        <v>11037</v>
      </c>
      <c r="O2358" s="2" t="s">
        <v>11038</v>
      </c>
      <c r="P2358" s="2" t="s">
        <v>11035</v>
      </c>
      <c r="Q2358" s="2">
        <f>AVERAGE(PerfRate[[#This Row],[EnvironmentSatisfaction]],PerfRate[[#This Row],[JobSatisfaction]],PerfRate[[#This Row],[RelationshipSatisfaction]])</f>
        <v>3.6666666666666665</v>
      </c>
      <c r="R2358" s="2">
        <f>PerfRate[[#This Row],[ManagerRating]] - PerfRate[[#This Row],[SelfRating]]</f>
        <v>0</v>
      </c>
    </row>
    <row r="2359" spans="1:18">
      <c r="A2359" s="2" t="s">
        <v>6666</v>
      </c>
      <c r="B2359" s="2" t="s">
        <v>1160</v>
      </c>
      <c r="C2359" s="1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  <c r="L2359" s="2" t="s">
        <v>11031</v>
      </c>
      <c r="M2359" s="2" t="s">
        <v>11031</v>
      </c>
      <c r="N2359" s="2" t="s">
        <v>11037</v>
      </c>
      <c r="O2359" s="2" t="s">
        <v>11036</v>
      </c>
      <c r="P2359" s="2" t="s">
        <v>11036</v>
      </c>
      <c r="Q2359" s="2">
        <f>AVERAGE(PerfRate[[#This Row],[EnvironmentSatisfaction]],PerfRate[[#This Row],[JobSatisfaction]],PerfRate[[#This Row],[RelationshipSatisfaction]])</f>
        <v>3.3333333333333335</v>
      </c>
      <c r="R2359" s="2">
        <f>PerfRate[[#This Row],[ManagerRating]] - PerfRate[[#This Row],[SelfRating]]</f>
        <v>0</v>
      </c>
    </row>
    <row r="2360" spans="1:18">
      <c r="A2360" s="2" t="s">
        <v>6667</v>
      </c>
      <c r="B2360" s="2" t="s">
        <v>1970</v>
      </c>
      <c r="C2360" s="1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  <c r="L2360" s="2" t="s">
        <v>11030</v>
      </c>
      <c r="M2360" s="2" t="s">
        <v>11030</v>
      </c>
      <c r="N2360" s="2" t="s">
        <v>11036</v>
      </c>
      <c r="O2360" s="2" t="s">
        <v>11038</v>
      </c>
      <c r="P2360" s="2" t="s">
        <v>11038</v>
      </c>
      <c r="Q2360" s="2">
        <f>AVERAGE(PerfRate[[#This Row],[EnvironmentSatisfaction]],PerfRate[[#This Row],[JobSatisfaction]],PerfRate[[#This Row],[RelationshipSatisfaction]])</f>
        <v>4.333333333333333</v>
      </c>
      <c r="R2360" s="2">
        <f>PerfRate[[#This Row],[ManagerRating]] - PerfRate[[#This Row],[SelfRating]]</f>
        <v>0</v>
      </c>
    </row>
    <row r="2361" spans="1:18">
      <c r="A2361" s="2" t="s">
        <v>6668</v>
      </c>
      <c r="B2361" s="2" t="s">
        <v>1953</v>
      </c>
      <c r="C2361" s="1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  <c r="L2361" s="2" t="s">
        <v>11030</v>
      </c>
      <c r="M2361" s="2" t="s">
        <v>11030</v>
      </c>
      <c r="N2361" s="2" t="s">
        <v>11036</v>
      </c>
      <c r="O2361" s="2" t="s">
        <v>11035</v>
      </c>
      <c r="P2361" s="2" t="s">
        <v>11035</v>
      </c>
      <c r="Q2361" s="2">
        <f>AVERAGE(PerfRate[[#This Row],[EnvironmentSatisfaction]],PerfRate[[#This Row],[JobSatisfaction]],PerfRate[[#This Row],[RelationshipSatisfaction]])</f>
        <v>2.3333333333333335</v>
      </c>
      <c r="R2361" s="2">
        <f>PerfRate[[#This Row],[ManagerRating]] - PerfRate[[#This Row],[SelfRating]]</f>
        <v>0</v>
      </c>
    </row>
    <row r="2362" spans="1:18">
      <c r="A2362" s="2" t="s">
        <v>6669</v>
      </c>
      <c r="B2362" s="2" t="s">
        <v>2464</v>
      </c>
      <c r="C2362" s="1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  <c r="L2362" s="2" t="s">
        <v>11031</v>
      </c>
      <c r="M2362" s="2" t="s">
        <v>11031</v>
      </c>
      <c r="N2362" s="2" t="s">
        <v>11037</v>
      </c>
      <c r="O2362" s="2" t="s">
        <v>11036</v>
      </c>
      <c r="P2362" s="2" t="s">
        <v>11037</v>
      </c>
      <c r="Q2362" s="2">
        <f>AVERAGE(PerfRate[[#This Row],[EnvironmentSatisfaction]],PerfRate[[#This Row],[JobSatisfaction]],PerfRate[[#This Row],[RelationshipSatisfaction]])</f>
        <v>3.6666666666666665</v>
      </c>
      <c r="R2362" s="2">
        <f>PerfRate[[#This Row],[ManagerRating]] - PerfRate[[#This Row],[SelfRating]]</f>
        <v>0</v>
      </c>
    </row>
    <row r="2363" spans="1:18">
      <c r="A2363" s="2" t="s">
        <v>6670</v>
      </c>
      <c r="B2363" s="2" t="s">
        <v>3108</v>
      </c>
      <c r="C2363" s="1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  <c r="L2363" s="2" t="s">
        <v>11031</v>
      </c>
      <c r="M2363" s="2" t="s">
        <v>11030</v>
      </c>
      <c r="N2363" s="2" t="s">
        <v>11038</v>
      </c>
      <c r="O2363" s="2" t="s">
        <v>11037</v>
      </c>
      <c r="P2363" s="2" t="s">
        <v>11035</v>
      </c>
      <c r="Q2363" s="2">
        <f>AVERAGE(PerfRate[[#This Row],[EnvironmentSatisfaction]],PerfRate[[#This Row],[JobSatisfaction]],PerfRate[[#This Row],[RelationshipSatisfaction]])</f>
        <v>3.6666666666666665</v>
      </c>
      <c r="R2363" s="2">
        <f>PerfRate[[#This Row],[ManagerRating]] - PerfRate[[#This Row],[SelfRating]]</f>
        <v>-1</v>
      </c>
    </row>
    <row r="2364" spans="1:18">
      <c r="A2364" s="2" t="s">
        <v>6671</v>
      </c>
      <c r="B2364" s="2" t="s">
        <v>317</v>
      </c>
      <c r="C2364" s="1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  <c r="L2364" s="2" t="s">
        <v>11029</v>
      </c>
      <c r="M2364" s="2" t="s">
        <v>11029</v>
      </c>
      <c r="N2364" s="2" t="s">
        <v>11038</v>
      </c>
      <c r="O2364" s="2" t="s">
        <v>11037</v>
      </c>
      <c r="P2364" s="2" t="s">
        <v>11038</v>
      </c>
      <c r="Q2364" s="2">
        <f>AVERAGE(PerfRate[[#This Row],[EnvironmentSatisfaction]],PerfRate[[#This Row],[JobSatisfaction]],PerfRate[[#This Row],[RelationshipSatisfaction]])</f>
        <v>4.666666666666667</v>
      </c>
      <c r="R2364" s="2">
        <f>PerfRate[[#This Row],[ManagerRating]] - PerfRate[[#This Row],[SelfRating]]</f>
        <v>0</v>
      </c>
    </row>
    <row r="2365" spans="1:18">
      <c r="A2365" s="2" t="s">
        <v>6672</v>
      </c>
      <c r="B2365" s="2" t="s">
        <v>817</v>
      </c>
      <c r="C2365" s="1">
        <v>41675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  <c r="L2365" s="2" t="s">
        <v>11029</v>
      </c>
      <c r="M2365" s="2" t="s">
        <v>11028</v>
      </c>
      <c r="N2365" s="2" t="s">
        <v>11037</v>
      </c>
      <c r="O2365" s="2" t="s">
        <v>11038</v>
      </c>
      <c r="P2365" s="2" t="s">
        <v>11035</v>
      </c>
      <c r="Q2365" s="2">
        <f>AVERAGE(PerfRate[[#This Row],[EnvironmentSatisfaction]],PerfRate[[#This Row],[JobSatisfaction]],PerfRate[[#This Row],[RelationshipSatisfaction]])</f>
        <v>3.6666666666666665</v>
      </c>
      <c r="R2365" s="2">
        <f>PerfRate[[#This Row],[ManagerRating]] - PerfRate[[#This Row],[SelfRating]]</f>
        <v>-1</v>
      </c>
    </row>
    <row r="2366" spans="1:18">
      <c r="A2366" s="2" t="s">
        <v>6673</v>
      </c>
      <c r="B2366" s="2" t="s">
        <v>982</v>
      </c>
      <c r="C2366" s="1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  <c r="L2366" s="2" t="s">
        <v>11030</v>
      </c>
      <c r="M2366" s="2" t="s">
        <v>11029</v>
      </c>
      <c r="N2366" s="2" t="s">
        <v>11038</v>
      </c>
      <c r="O2366" s="2" t="s">
        <v>11036</v>
      </c>
      <c r="P2366" s="2" t="s">
        <v>11036</v>
      </c>
      <c r="Q2366" s="2">
        <f>AVERAGE(PerfRate[[#This Row],[EnvironmentSatisfaction]],PerfRate[[#This Row],[JobSatisfaction]],PerfRate[[#This Row],[RelationshipSatisfaction]])</f>
        <v>3.6666666666666665</v>
      </c>
      <c r="R2366" s="2">
        <f>PerfRate[[#This Row],[ManagerRating]] - PerfRate[[#This Row],[SelfRating]]</f>
        <v>-1</v>
      </c>
    </row>
    <row r="2367" spans="1:18">
      <c r="A2367" s="2" t="s">
        <v>6674</v>
      </c>
      <c r="B2367" s="2" t="s">
        <v>3926</v>
      </c>
      <c r="C2367" s="1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  <c r="L2367" s="2" t="s">
        <v>11029</v>
      </c>
      <c r="M2367" s="2" t="s">
        <v>11028</v>
      </c>
      <c r="N2367" s="2" t="s">
        <v>11037</v>
      </c>
      <c r="O2367" s="2" t="s">
        <v>11038</v>
      </c>
      <c r="P2367" s="2" t="s">
        <v>11037</v>
      </c>
      <c r="Q2367" s="2">
        <f>AVERAGE(PerfRate[[#This Row],[EnvironmentSatisfaction]],PerfRate[[#This Row],[JobSatisfaction]],PerfRate[[#This Row],[RelationshipSatisfaction]])</f>
        <v>4.333333333333333</v>
      </c>
      <c r="R2367" s="2">
        <f>PerfRate[[#This Row],[ManagerRating]] - PerfRate[[#This Row],[SelfRating]]</f>
        <v>-1</v>
      </c>
    </row>
    <row r="2368" spans="1:18">
      <c r="A2368" s="2" t="s">
        <v>6675</v>
      </c>
      <c r="B2368" s="2" t="s">
        <v>961</v>
      </c>
      <c r="C2368" s="1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  <c r="L2368" s="2" t="s">
        <v>11031</v>
      </c>
      <c r="M2368" s="2" t="s">
        <v>11030</v>
      </c>
      <c r="N2368" s="2" t="s">
        <v>11038</v>
      </c>
      <c r="O2368" s="2" t="s">
        <v>11035</v>
      </c>
      <c r="P2368" s="2" t="s">
        <v>11035</v>
      </c>
      <c r="Q2368" s="2">
        <f>AVERAGE(PerfRate[[#This Row],[EnvironmentSatisfaction]],PerfRate[[#This Row],[JobSatisfaction]],PerfRate[[#This Row],[RelationshipSatisfaction]])</f>
        <v>3</v>
      </c>
      <c r="R2368" s="2">
        <f>PerfRate[[#This Row],[ManagerRating]] - PerfRate[[#This Row],[SelfRating]]</f>
        <v>-1</v>
      </c>
    </row>
    <row r="2369" spans="1:18">
      <c r="A2369" s="2" t="s">
        <v>6676</v>
      </c>
      <c r="B2369" s="2" t="s">
        <v>1520</v>
      </c>
      <c r="C2369" s="1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  <c r="L2369" s="2" t="s">
        <v>11030</v>
      </c>
      <c r="M2369" s="2" t="s">
        <v>11029</v>
      </c>
      <c r="N2369" s="2" t="s">
        <v>11036</v>
      </c>
      <c r="O2369" s="2" t="s">
        <v>11037</v>
      </c>
      <c r="P2369" s="2" t="s">
        <v>11035</v>
      </c>
      <c r="Q2369" s="2">
        <f>AVERAGE(PerfRate[[#This Row],[EnvironmentSatisfaction]],PerfRate[[#This Row],[JobSatisfaction]],PerfRate[[#This Row],[RelationshipSatisfaction]])</f>
        <v>3</v>
      </c>
      <c r="R2369" s="2">
        <f>PerfRate[[#This Row],[ManagerRating]] - PerfRate[[#This Row],[SelfRating]]</f>
        <v>-1</v>
      </c>
    </row>
    <row r="2370" spans="1:18">
      <c r="A2370" s="2" t="s">
        <v>6677</v>
      </c>
      <c r="B2370" s="2" t="s">
        <v>350</v>
      </c>
      <c r="C2370" s="1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  <c r="L2370" s="2" t="s">
        <v>11031</v>
      </c>
      <c r="M2370" s="2" t="s">
        <v>11030</v>
      </c>
      <c r="N2370" s="2" t="s">
        <v>11037</v>
      </c>
      <c r="O2370" s="2" t="s">
        <v>11038</v>
      </c>
      <c r="P2370" s="2" t="s">
        <v>11038</v>
      </c>
      <c r="Q2370" s="2">
        <f>AVERAGE(PerfRate[[#This Row],[EnvironmentSatisfaction]],PerfRate[[#This Row],[JobSatisfaction]],PerfRate[[#This Row],[RelationshipSatisfaction]])</f>
        <v>4.666666666666667</v>
      </c>
      <c r="R2370" s="2">
        <f>PerfRate[[#This Row],[ManagerRating]] - PerfRate[[#This Row],[SelfRating]]</f>
        <v>-1</v>
      </c>
    </row>
    <row r="2371" spans="1:18">
      <c r="A2371" s="2" t="s">
        <v>6678</v>
      </c>
      <c r="B2371" s="2" t="s">
        <v>631</v>
      </c>
      <c r="C2371" s="1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  <c r="L2371" s="2" t="s">
        <v>11031</v>
      </c>
      <c r="M2371" s="2" t="s">
        <v>11030</v>
      </c>
      <c r="N2371" s="2" t="s">
        <v>11036</v>
      </c>
      <c r="O2371" s="2" t="s">
        <v>11035</v>
      </c>
      <c r="P2371" s="2" t="s">
        <v>11035</v>
      </c>
      <c r="Q2371" s="2">
        <f>AVERAGE(PerfRate[[#This Row],[EnvironmentSatisfaction]],PerfRate[[#This Row],[JobSatisfaction]],PerfRate[[#This Row],[RelationshipSatisfaction]])</f>
        <v>2.3333333333333335</v>
      </c>
      <c r="R2371" s="2">
        <f>PerfRate[[#This Row],[ManagerRating]] - PerfRate[[#This Row],[SelfRating]]</f>
        <v>-1</v>
      </c>
    </row>
    <row r="2372" spans="1:18">
      <c r="A2372" s="2" t="s">
        <v>6679</v>
      </c>
      <c r="B2372" s="2" t="s">
        <v>744</v>
      </c>
      <c r="C2372" s="1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  <c r="L2372" s="2" t="s">
        <v>11029</v>
      </c>
      <c r="M2372" s="2" t="s">
        <v>11029</v>
      </c>
      <c r="N2372" s="2" t="s">
        <v>11036</v>
      </c>
      <c r="O2372" s="2" t="s">
        <v>11036</v>
      </c>
      <c r="P2372" s="2" t="s">
        <v>11036</v>
      </c>
      <c r="Q2372" s="2">
        <f>AVERAGE(PerfRate[[#This Row],[EnvironmentSatisfaction]],PerfRate[[#This Row],[JobSatisfaction]],PerfRate[[#This Row],[RelationshipSatisfaction]])</f>
        <v>3</v>
      </c>
      <c r="R2372" s="2">
        <f>PerfRate[[#This Row],[ManagerRating]] - PerfRate[[#This Row],[SelfRating]]</f>
        <v>0</v>
      </c>
    </row>
    <row r="2373" spans="1:18">
      <c r="A2373" s="2" t="s">
        <v>6680</v>
      </c>
      <c r="B2373" s="2" t="s">
        <v>1535</v>
      </c>
      <c r="C2373" s="1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  <c r="L2373" s="2" t="s">
        <v>11029</v>
      </c>
      <c r="M2373" s="2" t="s">
        <v>11028</v>
      </c>
      <c r="N2373" s="2" t="s">
        <v>11038</v>
      </c>
      <c r="O2373" s="2" t="s">
        <v>11038</v>
      </c>
      <c r="P2373" s="2" t="s">
        <v>11038</v>
      </c>
      <c r="Q2373" s="2">
        <f>AVERAGE(PerfRate[[#This Row],[EnvironmentSatisfaction]],PerfRate[[#This Row],[JobSatisfaction]],PerfRate[[#This Row],[RelationshipSatisfaction]])</f>
        <v>5</v>
      </c>
      <c r="R2373" s="2">
        <f>PerfRate[[#This Row],[ManagerRating]] - PerfRate[[#This Row],[SelfRating]]</f>
        <v>-1</v>
      </c>
    </row>
    <row r="2374" spans="1:18">
      <c r="A2374" s="2" t="s">
        <v>6681</v>
      </c>
      <c r="B2374" s="2" t="s">
        <v>1730</v>
      </c>
      <c r="C2374" s="1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  <c r="L2374" s="2" t="s">
        <v>11030</v>
      </c>
      <c r="M2374" s="2" t="s">
        <v>11030</v>
      </c>
      <c r="N2374" s="2" t="s">
        <v>11036</v>
      </c>
      <c r="O2374" s="2" t="s">
        <v>11035</v>
      </c>
      <c r="P2374" s="2" t="s">
        <v>11037</v>
      </c>
      <c r="Q2374" s="2">
        <f>AVERAGE(PerfRate[[#This Row],[EnvironmentSatisfaction]],PerfRate[[#This Row],[JobSatisfaction]],PerfRate[[#This Row],[RelationshipSatisfaction]])</f>
        <v>3</v>
      </c>
      <c r="R2374" s="2">
        <f>PerfRate[[#This Row],[ManagerRating]] - PerfRate[[#This Row],[SelfRating]]</f>
        <v>0</v>
      </c>
    </row>
    <row r="2375" spans="1:18">
      <c r="A2375" s="2" t="s">
        <v>6682</v>
      </c>
      <c r="B2375" s="2" t="s">
        <v>3256</v>
      </c>
      <c r="C2375" s="1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  <c r="L2375" s="2" t="s">
        <v>11030</v>
      </c>
      <c r="M2375" s="2" t="s">
        <v>11030</v>
      </c>
      <c r="N2375" s="2" t="s">
        <v>11038</v>
      </c>
      <c r="O2375" s="2" t="s">
        <v>11038</v>
      </c>
      <c r="P2375" s="2" t="s">
        <v>11038</v>
      </c>
      <c r="Q2375" s="2">
        <f>AVERAGE(PerfRate[[#This Row],[EnvironmentSatisfaction]],PerfRate[[#This Row],[JobSatisfaction]],PerfRate[[#This Row],[RelationshipSatisfaction]])</f>
        <v>5</v>
      </c>
      <c r="R2375" s="2">
        <f>PerfRate[[#This Row],[ManagerRating]] - PerfRate[[#This Row],[SelfRating]]</f>
        <v>0</v>
      </c>
    </row>
    <row r="2376" spans="1:18">
      <c r="A2376" s="2" t="s">
        <v>6683</v>
      </c>
      <c r="B2376" s="2" t="s">
        <v>2653</v>
      </c>
      <c r="C2376" s="1">
        <v>41675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  <c r="L2376" s="2" t="s">
        <v>11031</v>
      </c>
      <c r="M2376" s="2" t="s">
        <v>11030</v>
      </c>
      <c r="N2376" s="2" t="s">
        <v>11038</v>
      </c>
      <c r="O2376" s="2" t="s">
        <v>11037</v>
      </c>
      <c r="P2376" s="2" t="s">
        <v>11037</v>
      </c>
      <c r="Q2376" s="2">
        <f>AVERAGE(PerfRate[[#This Row],[EnvironmentSatisfaction]],PerfRate[[#This Row],[JobSatisfaction]],PerfRate[[#This Row],[RelationshipSatisfaction]])</f>
        <v>4.333333333333333</v>
      </c>
      <c r="R2376" s="2">
        <f>PerfRate[[#This Row],[ManagerRating]] - PerfRate[[#This Row],[SelfRating]]</f>
        <v>-1</v>
      </c>
    </row>
    <row r="2377" spans="1:18">
      <c r="A2377" s="2" t="s">
        <v>6684</v>
      </c>
      <c r="B2377" s="2" t="s">
        <v>556</v>
      </c>
      <c r="C2377" s="1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  <c r="L2377" s="2" t="s">
        <v>11031</v>
      </c>
      <c r="M2377" s="2" t="s">
        <v>11031</v>
      </c>
      <c r="N2377" s="2" t="s">
        <v>11036</v>
      </c>
      <c r="O2377" s="2" t="s">
        <v>11038</v>
      </c>
      <c r="P2377" s="2" t="s">
        <v>11038</v>
      </c>
      <c r="Q2377" s="2">
        <f>AVERAGE(PerfRate[[#This Row],[EnvironmentSatisfaction]],PerfRate[[#This Row],[JobSatisfaction]],PerfRate[[#This Row],[RelationshipSatisfaction]])</f>
        <v>4.333333333333333</v>
      </c>
      <c r="R2377" s="2">
        <f>PerfRate[[#This Row],[ManagerRating]] - PerfRate[[#This Row],[SelfRating]]</f>
        <v>0</v>
      </c>
    </row>
    <row r="2378" spans="1:18">
      <c r="A2378" s="2" t="s">
        <v>6685</v>
      </c>
      <c r="B2378" s="2" t="s">
        <v>1255</v>
      </c>
      <c r="C2378" s="1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  <c r="L2378" s="2" t="s">
        <v>11029</v>
      </c>
      <c r="M2378" s="2" t="s">
        <v>11029</v>
      </c>
      <c r="N2378" s="2" t="s">
        <v>11037</v>
      </c>
      <c r="O2378" s="2" t="s">
        <v>11037</v>
      </c>
      <c r="P2378" s="2" t="s">
        <v>11035</v>
      </c>
      <c r="Q2378" s="2">
        <f>AVERAGE(PerfRate[[#This Row],[EnvironmentSatisfaction]],PerfRate[[#This Row],[JobSatisfaction]],PerfRate[[#This Row],[RelationshipSatisfaction]])</f>
        <v>3.3333333333333335</v>
      </c>
      <c r="R2378" s="2">
        <f>PerfRate[[#This Row],[ManagerRating]] - PerfRate[[#This Row],[SelfRating]]</f>
        <v>0</v>
      </c>
    </row>
    <row r="2379" spans="1:18">
      <c r="A2379" s="2" t="s">
        <v>6686</v>
      </c>
      <c r="B2379" s="2" t="s">
        <v>1791</v>
      </c>
      <c r="C2379" s="1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  <c r="L2379" s="2" t="s">
        <v>11029</v>
      </c>
      <c r="M2379" s="2" t="s">
        <v>11028</v>
      </c>
      <c r="N2379" s="2" t="s">
        <v>11036</v>
      </c>
      <c r="O2379" s="2" t="s">
        <v>11035</v>
      </c>
      <c r="P2379" s="2" t="s">
        <v>11038</v>
      </c>
      <c r="Q2379" s="2">
        <f>AVERAGE(PerfRate[[#This Row],[EnvironmentSatisfaction]],PerfRate[[#This Row],[JobSatisfaction]],PerfRate[[#This Row],[RelationshipSatisfaction]])</f>
        <v>3.3333333333333335</v>
      </c>
      <c r="R2379" s="2">
        <f>PerfRate[[#This Row],[ManagerRating]] - PerfRate[[#This Row],[SelfRating]]</f>
        <v>-1</v>
      </c>
    </row>
    <row r="2380" spans="1:18">
      <c r="A2380" s="2" t="s">
        <v>6687</v>
      </c>
      <c r="B2380" s="2" t="s">
        <v>1773</v>
      </c>
      <c r="C2380" s="1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  <c r="L2380" s="2" t="s">
        <v>11029</v>
      </c>
      <c r="M2380" s="2" t="s">
        <v>11029</v>
      </c>
      <c r="N2380" s="2" t="s">
        <v>11038</v>
      </c>
      <c r="O2380" s="2" t="s">
        <v>11038</v>
      </c>
      <c r="P2380" s="2" t="s">
        <v>11036</v>
      </c>
      <c r="Q2380" s="2">
        <f>AVERAGE(PerfRate[[#This Row],[EnvironmentSatisfaction]],PerfRate[[#This Row],[JobSatisfaction]],PerfRate[[#This Row],[RelationshipSatisfaction]])</f>
        <v>4.333333333333333</v>
      </c>
      <c r="R2380" s="2">
        <f>PerfRate[[#This Row],[ManagerRating]] - PerfRate[[#This Row],[SelfRating]]</f>
        <v>0</v>
      </c>
    </row>
    <row r="2381" spans="1:18">
      <c r="A2381" s="2" t="s">
        <v>6688</v>
      </c>
      <c r="B2381" s="2" t="s">
        <v>131</v>
      </c>
      <c r="C2381" s="1">
        <v>43471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  <c r="L2381" s="2" t="s">
        <v>11030</v>
      </c>
      <c r="M2381" s="2" t="s">
        <v>11029</v>
      </c>
      <c r="N2381" s="2" t="s">
        <v>11038</v>
      </c>
      <c r="O2381" s="2" t="s">
        <v>11038</v>
      </c>
      <c r="P2381" s="2" t="s">
        <v>11035</v>
      </c>
      <c r="Q2381" s="2">
        <f>AVERAGE(PerfRate[[#This Row],[EnvironmentSatisfaction]],PerfRate[[#This Row],[JobSatisfaction]],PerfRate[[#This Row],[RelationshipSatisfaction]])</f>
        <v>4</v>
      </c>
      <c r="R2381" s="2">
        <f>PerfRate[[#This Row],[ManagerRating]] - PerfRate[[#This Row],[SelfRating]]</f>
        <v>-1</v>
      </c>
    </row>
    <row r="2382" spans="1:18">
      <c r="A2382" s="2" t="s">
        <v>6689</v>
      </c>
      <c r="B2382" s="2" t="s">
        <v>835</v>
      </c>
      <c r="C2382" s="1">
        <v>43471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  <c r="L2382" s="2" t="s">
        <v>11029</v>
      </c>
      <c r="M2382" s="2" t="s">
        <v>11028</v>
      </c>
      <c r="N2382" s="2" t="s">
        <v>11037</v>
      </c>
      <c r="O2382" s="2" t="s">
        <v>11035</v>
      </c>
      <c r="P2382" s="2" t="s">
        <v>11035</v>
      </c>
      <c r="Q2382" s="2">
        <f>AVERAGE(PerfRate[[#This Row],[EnvironmentSatisfaction]],PerfRate[[#This Row],[JobSatisfaction]],PerfRate[[#This Row],[RelationshipSatisfaction]])</f>
        <v>2.6666666666666665</v>
      </c>
      <c r="R2382" s="2">
        <f>PerfRate[[#This Row],[ManagerRating]] - PerfRate[[#This Row],[SelfRating]]</f>
        <v>-1</v>
      </c>
    </row>
    <row r="2383" spans="1:18">
      <c r="A2383" s="2" t="s">
        <v>6690</v>
      </c>
      <c r="B2383" s="2" t="s">
        <v>877</v>
      </c>
      <c r="C2383" s="1">
        <v>43471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  <c r="L2383" s="2" t="s">
        <v>11030</v>
      </c>
      <c r="M2383" s="2" t="s">
        <v>11029</v>
      </c>
      <c r="N2383" s="2" t="s">
        <v>11038</v>
      </c>
      <c r="O2383" s="2" t="s">
        <v>11035</v>
      </c>
      <c r="P2383" s="2" t="s">
        <v>11037</v>
      </c>
      <c r="Q2383" s="2">
        <f>AVERAGE(PerfRate[[#This Row],[EnvironmentSatisfaction]],PerfRate[[#This Row],[JobSatisfaction]],PerfRate[[#This Row],[RelationshipSatisfaction]])</f>
        <v>3.6666666666666665</v>
      </c>
      <c r="R2383" s="2">
        <f>PerfRate[[#This Row],[ManagerRating]] - PerfRate[[#This Row],[SelfRating]]</f>
        <v>-1</v>
      </c>
    </row>
    <row r="2384" spans="1:18">
      <c r="A2384" s="2" t="s">
        <v>6691</v>
      </c>
      <c r="B2384" s="2" t="s">
        <v>634</v>
      </c>
      <c r="C2384" s="1">
        <v>43471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  <c r="L2384" s="2" t="s">
        <v>11029</v>
      </c>
      <c r="M2384" s="2" t="s">
        <v>11029</v>
      </c>
      <c r="N2384" s="2" t="s">
        <v>11037</v>
      </c>
      <c r="O2384" s="2" t="s">
        <v>11037</v>
      </c>
      <c r="P2384" s="2" t="s">
        <v>11035</v>
      </c>
      <c r="Q2384" s="2">
        <f>AVERAGE(PerfRate[[#This Row],[EnvironmentSatisfaction]],PerfRate[[#This Row],[JobSatisfaction]],PerfRate[[#This Row],[RelationshipSatisfaction]])</f>
        <v>3.3333333333333335</v>
      </c>
      <c r="R2384" s="2">
        <f>PerfRate[[#This Row],[ManagerRating]] - PerfRate[[#This Row],[SelfRating]]</f>
        <v>0</v>
      </c>
    </row>
    <row r="2385" spans="1:18">
      <c r="A2385" s="2" t="s">
        <v>6692</v>
      </c>
      <c r="B2385" s="2" t="s">
        <v>2103</v>
      </c>
      <c r="C2385" s="1">
        <v>43471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  <c r="L2385" s="2" t="s">
        <v>11030</v>
      </c>
      <c r="M2385" s="2" t="s">
        <v>11029</v>
      </c>
      <c r="N2385" s="2" t="s">
        <v>11038</v>
      </c>
      <c r="O2385" s="2" t="s">
        <v>11036</v>
      </c>
      <c r="P2385" s="2" t="s">
        <v>11038</v>
      </c>
      <c r="Q2385" s="2">
        <f>AVERAGE(PerfRate[[#This Row],[EnvironmentSatisfaction]],PerfRate[[#This Row],[JobSatisfaction]],PerfRate[[#This Row],[RelationshipSatisfaction]])</f>
        <v>4.333333333333333</v>
      </c>
      <c r="R2385" s="2">
        <f>PerfRate[[#This Row],[ManagerRating]] - PerfRate[[#This Row],[SelfRating]]</f>
        <v>-1</v>
      </c>
    </row>
    <row r="2386" spans="1:18">
      <c r="A2386" s="2" t="s">
        <v>6693</v>
      </c>
      <c r="B2386" s="2" t="s">
        <v>1497</v>
      </c>
      <c r="C2386" s="1">
        <v>43502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  <c r="L2386" s="2" t="s">
        <v>11029</v>
      </c>
      <c r="M2386" s="2" t="s">
        <v>11029</v>
      </c>
      <c r="N2386" s="2" t="s">
        <v>11036</v>
      </c>
      <c r="O2386" s="2" t="s">
        <v>11035</v>
      </c>
      <c r="P2386" s="2" t="s">
        <v>11038</v>
      </c>
      <c r="Q2386" s="2">
        <f>AVERAGE(PerfRate[[#This Row],[EnvironmentSatisfaction]],PerfRate[[#This Row],[JobSatisfaction]],PerfRate[[#This Row],[RelationshipSatisfaction]])</f>
        <v>3.3333333333333335</v>
      </c>
      <c r="R2386" s="2">
        <f>PerfRate[[#This Row],[ManagerRating]] - PerfRate[[#This Row],[SelfRating]]</f>
        <v>0</v>
      </c>
    </row>
    <row r="2387" spans="1:18">
      <c r="A2387" s="2" t="s">
        <v>6694</v>
      </c>
      <c r="B2387" s="2" t="s">
        <v>1347</v>
      </c>
      <c r="C2387" s="1">
        <v>41675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  <c r="L2387" s="2" t="s">
        <v>11029</v>
      </c>
      <c r="M2387" s="2" t="s">
        <v>11028</v>
      </c>
      <c r="N2387" s="2" t="s">
        <v>11037</v>
      </c>
      <c r="O2387" s="2" t="s">
        <v>11036</v>
      </c>
      <c r="P2387" s="2" t="s">
        <v>11037</v>
      </c>
      <c r="Q2387" s="2">
        <f>AVERAGE(PerfRate[[#This Row],[EnvironmentSatisfaction]],PerfRate[[#This Row],[JobSatisfaction]],PerfRate[[#This Row],[RelationshipSatisfaction]])</f>
        <v>3.6666666666666665</v>
      </c>
      <c r="R2387" s="2">
        <f>PerfRate[[#This Row],[ManagerRating]] - PerfRate[[#This Row],[SelfRating]]</f>
        <v>-1</v>
      </c>
    </row>
    <row r="2388" spans="1:18">
      <c r="A2388" s="2" t="s">
        <v>6695</v>
      </c>
      <c r="B2388" s="2" t="s">
        <v>791</v>
      </c>
      <c r="C2388" s="1">
        <v>43530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  <c r="L2388" s="2" t="s">
        <v>11031</v>
      </c>
      <c r="M2388" s="2" t="s">
        <v>11031</v>
      </c>
      <c r="N2388" s="2" t="s">
        <v>11038</v>
      </c>
      <c r="O2388" s="2" t="s">
        <v>11036</v>
      </c>
      <c r="P2388" s="2" t="s">
        <v>11036</v>
      </c>
      <c r="Q2388" s="2">
        <f>AVERAGE(PerfRate[[#This Row],[EnvironmentSatisfaction]],PerfRate[[#This Row],[JobSatisfaction]],PerfRate[[#This Row],[RelationshipSatisfaction]])</f>
        <v>3.6666666666666665</v>
      </c>
      <c r="R2388" s="2">
        <f>PerfRate[[#This Row],[ManagerRating]] - PerfRate[[#This Row],[SelfRating]]</f>
        <v>0</v>
      </c>
    </row>
    <row r="2389" spans="1:18">
      <c r="A2389" s="2" t="s">
        <v>6696</v>
      </c>
      <c r="B2389" s="2" t="s">
        <v>4263</v>
      </c>
      <c r="C2389" s="1">
        <v>43561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  <c r="L2389" s="2" t="s">
        <v>11030</v>
      </c>
      <c r="M2389" s="2" t="s">
        <v>11029</v>
      </c>
      <c r="N2389" s="2" t="s">
        <v>11036</v>
      </c>
      <c r="O2389" s="2" t="s">
        <v>11035</v>
      </c>
      <c r="P2389" s="2" t="s">
        <v>11038</v>
      </c>
      <c r="Q2389" s="2">
        <f>AVERAGE(PerfRate[[#This Row],[EnvironmentSatisfaction]],PerfRate[[#This Row],[JobSatisfaction]],PerfRate[[#This Row],[RelationshipSatisfaction]])</f>
        <v>3.3333333333333335</v>
      </c>
      <c r="R2389" s="2">
        <f>PerfRate[[#This Row],[ManagerRating]] - PerfRate[[#This Row],[SelfRating]]</f>
        <v>-1</v>
      </c>
    </row>
    <row r="2390" spans="1:18">
      <c r="A2390" s="2" t="s">
        <v>6697</v>
      </c>
      <c r="B2390" s="2" t="s">
        <v>437</v>
      </c>
      <c r="C2390" s="1">
        <v>43591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  <c r="L2390" s="2" t="s">
        <v>11029</v>
      </c>
      <c r="M2390" s="2" t="s">
        <v>11029</v>
      </c>
      <c r="N2390" s="2" t="s">
        <v>11038</v>
      </c>
      <c r="O2390" s="2" t="s">
        <v>11036</v>
      </c>
      <c r="P2390" s="2" t="s">
        <v>11036</v>
      </c>
      <c r="Q2390" s="2">
        <f>AVERAGE(PerfRate[[#This Row],[EnvironmentSatisfaction]],PerfRate[[#This Row],[JobSatisfaction]],PerfRate[[#This Row],[RelationshipSatisfaction]])</f>
        <v>3.6666666666666665</v>
      </c>
      <c r="R2390" s="2">
        <f>PerfRate[[#This Row],[ManagerRating]] - PerfRate[[#This Row],[SelfRating]]</f>
        <v>0</v>
      </c>
    </row>
    <row r="2391" spans="1:18">
      <c r="A2391" s="2" t="s">
        <v>6698</v>
      </c>
      <c r="B2391" s="2" t="s">
        <v>3673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  <c r="L2391" s="2" t="s">
        <v>11031</v>
      </c>
      <c r="M2391" s="2" t="s">
        <v>11031</v>
      </c>
      <c r="N2391" s="2" t="s">
        <v>11036</v>
      </c>
      <c r="O2391" s="2" t="s">
        <v>11035</v>
      </c>
      <c r="P2391" s="2" t="s">
        <v>11038</v>
      </c>
      <c r="Q2391" s="2">
        <f>AVERAGE(PerfRate[[#This Row],[EnvironmentSatisfaction]],PerfRate[[#This Row],[JobSatisfaction]],PerfRate[[#This Row],[RelationshipSatisfaction]])</f>
        <v>3.3333333333333335</v>
      </c>
      <c r="R2391" s="2">
        <f>PerfRate[[#This Row],[ManagerRating]] - PerfRate[[#This Row],[SelfRating]]</f>
        <v>0</v>
      </c>
    </row>
    <row r="2392" spans="1:18">
      <c r="A2392" s="2" t="s">
        <v>6699</v>
      </c>
      <c r="B2392" s="2" t="s">
        <v>844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  <c r="L2392" s="2" t="s">
        <v>11029</v>
      </c>
      <c r="M2392" s="2" t="s">
        <v>11028</v>
      </c>
      <c r="N2392" s="2" t="s">
        <v>11037</v>
      </c>
      <c r="O2392" s="2" t="s">
        <v>11037</v>
      </c>
      <c r="P2392" s="2" t="s">
        <v>11038</v>
      </c>
      <c r="Q2392" s="2">
        <f>AVERAGE(PerfRate[[#This Row],[EnvironmentSatisfaction]],PerfRate[[#This Row],[JobSatisfaction]],PerfRate[[#This Row],[RelationshipSatisfaction]])</f>
        <v>4.333333333333333</v>
      </c>
      <c r="R2392" s="2">
        <f>PerfRate[[#This Row],[ManagerRating]] - PerfRate[[#This Row],[SelfRating]]</f>
        <v>-1</v>
      </c>
    </row>
    <row r="2393" spans="1:18">
      <c r="A2393" s="2" t="s">
        <v>6700</v>
      </c>
      <c r="B2393" s="2" t="s">
        <v>741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  <c r="L2393" s="2" t="s">
        <v>11029</v>
      </c>
      <c r="M2393" s="2" t="s">
        <v>11028</v>
      </c>
      <c r="N2393" s="2" t="s">
        <v>11036</v>
      </c>
      <c r="O2393" s="2" t="s">
        <v>11037</v>
      </c>
      <c r="P2393" s="2" t="s">
        <v>11038</v>
      </c>
      <c r="Q2393" s="2">
        <f>AVERAGE(PerfRate[[#This Row],[EnvironmentSatisfaction]],PerfRate[[#This Row],[JobSatisfaction]],PerfRate[[#This Row],[RelationshipSatisfaction]])</f>
        <v>4</v>
      </c>
      <c r="R2393" s="2">
        <f>PerfRate[[#This Row],[ManagerRating]] - PerfRate[[#This Row],[SelfRating]]</f>
        <v>-1</v>
      </c>
    </row>
    <row r="2394" spans="1:18">
      <c r="A2394" s="2" t="s">
        <v>6701</v>
      </c>
      <c r="B2394" s="2" t="s">
        <v>1541</v>
      </c>
      <c r="C2394" s="1">
        <v>43652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  <c r="L2394" s="2" t="s">
        <v>11030</v>
      </c>
      <c r="M2394" s="2" t="s">
        <v>11029</v>
      </c>
      <c r="N2394" s="2" t="s">
        <v>11036</v>
      </c>
      <c r="O2394" s="2" t="s">
        <v>11036</v>
      </c>
      <c r="P2394" s="2" t="s">
        <v>11035</v>
      </c>
      <c r="Q2394" s="2">
        <f>AVERAGE(PerfRate[[#This Row],[EnvironmentSatisfaction]],PerfRate[[#This Row],[JobSatisfaction]],PerfRate[[#This Row],[RelationshipSatisfaction]])</f>
        <v>2.6666666666666665</v>
      </c>
      <c r="R2394" s="2">
        <f>PerfRate[[#This Row],[ManagerRating]] - PerfRate[[#This Row],[SelfRating]]</f>
        <v>-1</v>
      </c>
    </row>
    <row r="2395" spans="1:18">
      <c r="A2395" s="2" t="s">
        <v>6702</v>
      </c>
      <c r="B2395" s="2" t="s">
        <v>1183</v>
      </c>
      <c r="C2395" s="1">
        <v>43683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  <c r="L2395" s="2" t="s">
        <v>11030</v>
      </c>
      <c r="M2395" s="2" t="s">
        <v>11030</v>
      </c>
      <c r="N2395" s="2" t="s">
        <v>11038</v>
      </c>
      <c r="O2395" s="2" t="s">
        <v>11038</v>
      </c>
      <c r="P2395" s="2" t="s">
        <v>11038</v>
      </c>
      <c r="Q2395" s="2">
        <f>AVERAGE(PerfRate[[#This Row],[EnvironmentSatisfaction]],PerfRate[[#This Row],[JobSatisfaction]],PerfRate[[#This Row],[RelationshipSatisfaction]])</f>
        <v>5</v>
      </c>
      <c r="R2395" s="2">
        <f>PerfRate[[#This Row],[ManagerRating]] - PerfRate[[#This Row],[SelfRating]]</f>
        <v>0</v>
      </c>
    </row>
    <row r="2396" spans="1:18">
      <c r="A2396" s="2" t="s">
        <v>6703</v>
      </c>
      <c r="B2396" s="2" t="s">
        <v>416</v>
      </c>
      <c r="C2396" s="1">
        <v>43714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  <c r="L2396" s="2" t="s">
        <v>11031</v>
      </c>
      <c r="M2396" s="2" t="s">
        <v>11031</v>
      </c>
      <c r="N2396" s="2" t="s">
        <v>11037</v>
      </c>
      <c r="O2396" s="2" t="s">
        <v>11035</v>
      </c>
      <c r="P2396" s="2" t="s">
        <v>11037</v>
      </c>
      <c r="Q2396" s="2">
        <f>AVERAGE(PerfRate[[#This Row],[EnvironmentSatisfaction]],PerfRate[[#This Row],[JobSatisfaction]],PerfRate[[#This Row],[RelationshipSatisfaction]])</f>
        <v>3.3333333333333335</v>
      </c>
      <c r="R2396" s="2">
        <f>PerfRate[[#This Row],[ManagerRating]] - PerfRate[[#This Row],[SelfRating]]</f>
        <v>0</v>
      </c>
    </row>
    <row r="2397" spans="1:18">
      <c r="A2397" s="2" t="s">
        <v>6704</v>
      </c>
      <c r="B2397" s="2" t="s">
        <v>229</v>
      </c>
      <c r="C2397" s="1">
        <v>43714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  <c r="L2397" s="2" t="s">
        <v>11029</v>
      </c>
      <c r="M2397" s="2" t="s">
        <v>11029</v>
      </c>
      <c r="N2397" s="2" t="s">
        <v>11038</v>
      </c>
      <c r="O2397" s="2" t="s">
        <v>11035</v>
      </c>
      <c r="P2397" s="2" t="s">
        <v>11036</v>
      </c>
      <c r="Q2397" s="2">
        <f>AVERAGE(PerfRate[[#This Row],[EnvironmentSatisfaction]],PerfRate[[#This Row],[JobSatisfaction]],PerfRate[[#This Row],[RelationshipSatisfaction]])</f>
        <v>3.3333333333333335</v>
      </c>
      <c r="R2397" s="2">
        <f>PerfRate[[#This Row],[ManagerRating]] - PerfRate[[#This Row],[SelfRating]]</f>
        <v>0</v>
      </c>
    </row>
    <row r="2398" spans="1:18">
      <c r="A2398" s="2" t="s">
        <v>6705</v>
      </c>
      <c r="B2398" s="2" t="s">
        <v>1312</v>
      </c>
      <c r="C2398" s="1">
        <v>41703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  <c r="L2398" s="2" t="s">
        <v>11029</v>
      </c>
      <c r="M2398" s="2" t="s">
        <v>11029</v>
      </c>
      <c r="N2398" s="2" t="s">
        <v>11037</v>
      </c>
      <c r="O2398" s="2" t="s">
        <v>11038</v>
      </c>
      <c r="P2398" s="2" t="s">
        <v>11035</v>
      </c>
      <c r="Q2398" s="2">
        <f>AVERAGE(PerfRate[[#This Row],[EnvironmentSatisfaction]],PerfRate[[#This Row],[JobSatisfaction]],PerfRate[[#This Row],[RelationshipSatisfaction]])</f>
        <v>3.6666666666666665</v>
      </c>
      <c r="R2398" s="2">
        <f>PerfRate[[#This Row],[ManagerRating]] - PerfRate[[#This Row],[SelfRating]]</f>
        <v>0</v>
      </c>
    </row>
    <row r="2399" spans="1:18">
      <c r="A2399" s="2" t="s">
        <v>6706</v>
      </c>
      <c r="B2399" s="2" t="s">
        <v>247</v>
      </c>
      <c r="C2399" s="1">
        <v>43744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  <c r="L2399" s="2" t="s">
        <v>11030</v>
      </c>
      <c r="M2399" s="2" t="s">
        <v>11029</v>
      </c>
      <c r="N2399" s="2" t="s">
        <v>11036</v>
      </c>
      <c r="O2399" s="2" t="s">
        <v>11036</v>
      </c>
      <c r="P2399" s="2" t="s">
        <v>11037</v>
      </c>
      <c r="Q2399" s="2">
        <f>AVERAGE(PerfRate[[#This Row],[EnvironmentSatisfaction]],PerfRate[[#This Row],[JobSatisfaction]],PerfRate[[#This Row],[RelationshipSatisfaction]])</f>
        <v>3.3333333333333335</v>
      </c>
      <c r="R2399" s="2">
        <f>PerfRate[[#This Row],[ManagerRating]] - PerfRate[[#This Row],[SelfRating]]</f>
        <v>-1</v>
      </c>
    </row>
    <row r="2400" spans="1:18">
      <c r="A2400" s="2" t="s">
        <v>6707</v>
      </c>
      <c r="B2400" s="2" t="s">
        <v>1096</v>
      </c>
      <c r="C2400" s="1">
        <v>43744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  <c r="L2400" s="2" t="s">
        <v>11030</v>
      </c>
      <c r="M2400" s="2" t="s">
        <v>11030</v>
      </c>
      <c r="N2400" s="2" t="s">
        <v>11036</v>
      </c>
      <c r="O2400" s="2" t="s">
        <v>11037</v>
      </c>
      <c r="P2400" s="2" t="s">
        <v>11035</v>
      </c>
      <c r="Q2400" s="2">
        <f>AVERAGE(PerfRate[[#This Row],[EnvironmentSatisfaction]],PerfRate[[#This Row],[JobSatisfaction]],PerfRate[[#This Row],[RelationshipSatisfaction]])</f>
        <v>3</v>
      </c>
      <c r="R2400" s="2">
        <f>PerfRate[[#This Row],[ManagerRating]] - PerfRate[[#This Row],[SelfRating]]</f>
        <v>0</v>
      </c>
    </row>
    <row r="2401" spans="1:18">
      <c r="A2401" s="2" t="s">
        <v>6708</v>
      </c>
      <c r="B2401" s="2" t="s">
        <v>1747</v>
      </c>
      <c r="C2401" s="1">
        <v>43775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  <c r="L2401" s="2" t="s">
        <v>11029</v>
      </c>
      <c r="M2401" s="2" t="s">
        <v>11028</v>
      </c>
      <c r="N2401" s="2" t="s">
        <v>11037</v>
      </c>
      <c r="O2401" s="2" t="s">
        <v>11037</v>
      </c>
      <c r="P2401" s="2" t="s">
        <v>11038</v>
      </c>
      <c r="Q2401" s="2">
        <f>AVERAGE(PerfRate[[#This Row],[EnvironmentSatisfaction]],PerfRate[[#This Row],[JobSatisfaction]],PerfRate[[#This Row],[RelationshipSatisfaction]])</f>
        <v>4.333333333333333</v>
      </c>
      <c r="R2401" s="2">
        <f>PerfRate[[#This Row],[ManagerRating]] - PerfRate[[#This Row],[SelfRating]]</f>
        <v>-1</v>
      </c>
    </row>
    <row r="2402" spans="1:18">
      <c r="A2402" s="2" t="s">
        <v>6709</v>
      </c>
      <c r="B2402" s="2" t="s">
        <v>1995</v>
      </c>
      <c r="C2402" s="1">
        <v>43805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  <c r="L2402" s="2" t="s">
        <v>11029</v>
      </c>
      <c r="M2402" s="2" t="s">
        <v>11029</v>
      </c>
      <c r="N2402" s="2" t="s">
        <v>11036</v>
      </c>
      <c r="O2402" s="2" t="s">
        <v>11038</v>
      </c>
      <c r="P2402" s="2" t="s">
        <v>11036</v>
      </c>
      <c r="Q2402" s="2">
        <f>AVERAGE(PerfRate[[#This Row],[EnvironmentSatisfaction]],PerfRate[[#This Row],[JobSatisfaction]],PerfRate[[#This Row],[RelationshipSatisfaction]])</f>
        <v>3.6666666666666665</v>
      </c>
      <c r="R2402" s="2">
        <f>PerfRate[[#This Row],[ManagerRating]] - PerfRate[[#This Row],[SelfRating]]</f>
        <v>0</v>
      </c>
    </row>
    <row r="2403" spans="1:18">
      <c r="A2403" s="2" t="s">
        <v>6710</v>
      </c>
      <c r="B2403" s="2" t="s">
        <v>3829</v>
      </c>
      <c r="C2403" s="1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  <c r="L2403" s="2" t="s">
        <v>11031</v>
      </c>
      <c r="M2403" s="2" t="s">
        <v>11031</v>
      </c>
      <c r="N2403" s="2" t="s">
        <v>11036</v>
      </c>
      <c r="O2403" s="2" t="s">
        <v>11036</v>
      </c>
      <c r="P2403" s="2" t="s">
        <v>11037</v>
      </c>
      <c r="Q2403" s="2">
        <f>AVERAGE(PerfRate[[#This Row],[EnvironmentSatisfaction]],PerfRate[[#This Row],[JobSatisfaction]],PerfRate[[#This Row],[RelationshipSatisfaction]])</f>
        <v>3.3333333333333335</v>
      </c>
      <c r="R2403" s="2">
        <f>PerfRate[[#This Row],[ManagerRating]] - PerfRate[[#This Row],[SelfRating]]</f>
        <v>0</v>
      </c>
    </row>
    <row r="2404" spans="1:18">
      <c r="A2404" s="2" t="s">
        <v>6711</v>
      </c>
      <c r="B2404" s="2" t="s">
        <v>3254</v>
      </c>
      <c r="C2404" s="1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  <c r="L2404" s="2" t="s">
        <v>11031</v>
      </c>
      <c r="M2404" s="2" t="s">
        <v>11031</v>
      </c>
      <c r="N2404" s="2" t="s">
        <v>11038</v>
      </c>
      <c r="O2404" s="2" t="s">
        <v>11035</v>
      </c>
      <c r="P2404" s="2" t="s">
        <v>11036</v>
      </c>
      <c r="Q2404" s="2">
        <f>AVERAGE(PerfRate[[#This Row],[EnvironmentSatisfaction]],PerfRate[[#This Row],[JobSatisfaction]],PerfRate[[#This Row],[RelationshipSatisfaction]])</f>
        <v>3.3333333333333335</v>
      </c>
      <c r="R2404" s="2">
        <f>PerfRate[[#This Row],[ManagerRating]] - PerfRate[[#This Row],[SelfRating]]</f>
        <v>0</v>
      </c>
    </row>
    <row r="2405" spans="1:18">
      <c r="A2405" s="2" t="s">
        <v>6712</v>
      </c>
      <c r="B2405" s="2" t="s">
        <v>440</v>
      </c>
      <c r="C2405" s="1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  <c r="L2405" s="2" t="s">
        <v>11029</v>
      </c>
      <c r="M2405" s="2" t="s">
        <v>11028</v>
      </c>
      <c r="N2405" s="2" t="s">
        <v>11036</v>
      </c>
      <c r="O2405" s="2" t="s">
        <v>11035</v>
      </c>
      <c r="P2405" s="2" t="s">
        <v>11035</v>
      </c>
      <c r="Q2405" s="2">
        <f>AVERAGE(PerfRate[[#This Row],[EnvironmentSatisfaction]],PerfRate[[#This Row],[JobSatisfaction]],PerfRate[[#This Row],[RelationshipSatisfaction]])</f>
        <v>2.3333333333333335</v>
      </c>
      <c r="R2405" s="2">
        <f>PerfRate[[#This Row],[ManagerRating]] - PerfRate[[#This Row],[SelfRating]]</f>
        <v>-1</v>
      </c>
    </row>
    <row r="2406" spans="1:18">
      <c r="A2406" s="2" t="s">
        <v>6713</v>
      </c>
      <c r="B2406" s="2" t="s">
        <v>919</v>
      </c>
      <c r="C2406" s="1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  <c r="L2406" s="2" t="s">
        <v>11030</v>
      </c>
      <c r="M2406" s="2" t="s">
        <v>11029</v>
      </c>
      <c r="N2406" s="2" t="s">
        <v>11038</v>
      </c>
      <c r="O2406" s="2" t="s">
        <v>11037</v>
      </c>
      <c r="P2406" s="2" t="s">
        <v>11035</v>
      </c>
      <c r="Q2406" s="2">
        <f>AVERAGE(PerfRate[[#This Row],[EnvironmentSatisfaction]],PerfRate[[#This Row],[JobSatisfaction]],PerfRate[[#This Row],[RelationshipSatisfaction]])</f>
        <v>3.6666666666666665</v>
      </c>
      <c r="R2406" s="2">
        <f>PerfRate[[#This Row],[ManagerRating]] - PerfRate[[#This Row],[SelfRating]]</f>
        <v>-1</v>
      </c>
    </row>
    <row r="2407" spans="1:18">
      <c r="A2407" s="2" t="s">
        <v>6714</v>
      </c>
      <c r="B2407" s="2" t="s">
        <v>1782</v>
      </c>
      <c r="C2407" s="1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  <c r="L2407" s="2" t="s">
        <v>11030</v>
      </c>
      <c r="M2407" s="2" t="s">
        <v>11030</v>
      </c>
      <c r="N2407" s="2" t="s">
        <v>11037</v>
      </c>
      <c r="O2407" s="2" t="s">
        <v>11035</v>
      </c>
      <c r="P2407" s="2" t="s">
        <v>11035</v>
      </c>
      <c r="Q2407" s="2">
        <f>AVERAGE(PerfRate[[#This Row],[EnvironmentSatisfaction]],PerfRate[[#This Row],[JobSatisfaction]],PerfRate[[#This Row],[RelationshipSatisfaction]])</f>
        <v>2.6666666666666665</v>
      </c>
      <c r="R2407" s="2">
        <f>PerfRate[[#This Row],[ManagerRating]] - PerfRate[[#This Row],[SelfRating]]</f>
        <v>0</v>
      </c>
    </row>
    <row r="2408" spans="1:18">
      <c r="A2408" s="2" t="s">
        <v>6715</v>
      </c>
      <c r="B2408" s="2" t="s">
        <v>1105</v>
      </c>
      <c r="C2408" s="1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  <c r="L2408" s="2" t="s">
        <v>11031</v>
      </c>
      <c r="M2408" s="2" t="s">
        <v>11031</v>
      </c>
      <c r="N2408" s="2" t="s">
        <v>11036</v>
      </c>
      <c r="O2408" s="2" t="s">
        <v>11036</v>
      </c>
      <c r="P2408" s="2" t="s">
        <v>11035</v>
      </c>
      <c r="Q2408" s="2">
        <f>AVERAGE(PerfRate[[#This Row],[EnvironmentSatisfaction]],PerfRate[[#This Row],[JobSatisfaction]],PerfRate[[#This Row],[RelationshipSatisfaction]])</f>
        <v>2.6666666666666665</v>
      </c>
      <c r="R2408" s="2">
        <f>PerfRate[[#This Row],[ManagerRating]] - PerfRate[[#This Row],[SelfRating]]</f>
        <v>0</v>
      </c>
    </row>
    <row r="2409" spans="1:18">
      <c r="A2409" s="2" t="s">
        <v>6716</v>
      </c>
      <c r="B2409" s="2" t="s">
        <v>1906</v>
      </c>
      <c r="C2409" s="1">
        <v>41734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  <c r="L2409" s="2" t="s">
        <v>11029</v>
      </c>
      <c r="M2409" s="2" t="s">
        <v>11028</v>
      </c>
      <c r="N2409" s="2" t="s">
        <v>11038</v>
      </c>
      <c r="O2409" s="2" t="s">
        <v>11035</v>
      </c>
      <c r="P2409" s="2" t="s">
        <v>11037</v>
      </c>
      <c r="Q2409" s="2">
        <f>AVERAGE(PerfRate[[#This Row],[EnvironmentSatisfaction]],PerfRate[[#This Row],[JobSatisfaction]],PerfRate[[#This Row],[RelationshipSatisfaction]])</f>
        <v>3.6666666666666665</v>
      </c>
      <c r="R2409" s="2">
        <f>PerfRate[[#This Row],[ManagerRating]] - PerfRate[[#This Row],[SelfRating]]</f>
        <v>-1</v>
      </c>
    </row>
    <row r="2410" spans="1:18">
      <c r="A2410" s="2" t="s">
        <v>6717</v>
      </c>
      <c r="B2410" s="2" t="s">
        <v>1865</v>
      </c>
      <c r="C2410" s="1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  <c r="L2410" s="2" t="s">
        <v>11029</v>
      </c>
      <c r="M2410" s="2" t="s">
        <v>11028</v>
      </c>
      <c r="N2410" s="2" t="s">
        <v>11037</v>
      </c>
      <c r="O2410" s="2" t="s">
        <v>11036</v>
      </c>
      <c r="P2410" s="2" t="s">
        <v>11035</v>
      </c>
      <c r="Q2410" s="2">
        <f>AVERAGE(PerfRate[[#This Row],[EnvironmentSatisfaction]],PerfRate[[#This Row],[JobSatisfaction]],PerfRate[[#This Row],[RelationshipSatisfaction]])</f>
        <v>3</v>
      </c>
      <c r="R2410" s="2">
        <f>PerfRate[[#This Row],[ManagerRating]] - PerfRate[[#This Row],[SelfRating]]</f>
        <v>-1</v>
      </c>
    </row>
    <row r="2411" spans="1:18">
      <c r="A2411" s="2" t="s">
        <v>6718</v>
      </c>
      <c r="B2411" s="2" t="s">
        <v>374</v>
      </c>
      <c r="C2411" s="1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  <c r="L2411" s="2" t="s">
        <v>11029</v>
      </c>
      <c r="M2411" s="2" t="s">
        <v>11028</v>
      </c>
      <c r="N2411" s="2" t="s">
        <v>11037</v>
      </c>
      <c r="O2411" s="2" t="s">
        <v>11036</v>
      </c>
      <c r="P2411" s="2" t="s">
        <v>11038</v>
      </c>
      <c r="Q2411" s="2">
        <f>AVERAGE(PerfRate[[#This Row],[EnvironmentSatisfaction]],PerfRate[[#This Row],[JobSatisfaction]],PerfRate[[#This Row],[RelationshipSatisfaction]])</f>
        <v>4</v>
      </c>
      <c r="R2411" s="2">
        <f>PerfRate[[#This Row],[ManagerRating]] - PerfRate[[#This Row],[SelfRating]]</f>
        <v>-1</v>
      </c>
    </row>
    <row r="2412" spans="1:18">
      <c r="A2412" s="2" t="s">
        <v>6719</v>
      </c>
      <c r="B2412" s="2" t="s">
        <v>1076</v>
      </c>
      <c r="C2412" s="1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  <c r="L2412" s="2" t="s">
        <v>11031</v>
      </c>
      <c r="M2412" s="2" t="s">
        <v>11030</v>
      </c>
      <c r="N2412" s="2" t="s">
        <v>11038</v>
      </c>
      <c r="O2412" s="2" t="s">
        <v>11036</v>
      </c>
      <c r="P2412" s="2" t="s">
        <v>11035</v>
      </c>
      <c r="Q2412" s="2">
        <f>AVERAGE(PerfRate[[#This Row],[EnvironmentSatisfaction]],PerfRate[[#This Row],[JobSatisfaction]],PerfRate[[#This Row],[RelationshipSatisfaction]])</f>
        <v>3.3333333333333335</v>
      </c>
      <c r="R2412" s="2">
        <f>PerfRate[[#This Row],[ManagerRating]] - PerfRate[[#This Row],[SelfRating]]</f>
        <v>-1</v>
      </c>
    </row>
    <row r="2413" spans="1:18">
      <c r="A2413" s="2" t="s">
        <v>6720</v>
      </c>
      <c r="B2413" s="2" t="s">
        <v>344</v>
      </c>
      <c r="C2413" s="1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  <c r="L2413" s="2" t="s">
        <v>11029</v>
      </c>
      <c r="M2413" s="2" t="s">
        <v>11029</v>
      </c>
      <c r="N2413" s="2" t="s">
        <v>11038</v>
      </c>
      <c r="O2413" s="2" t="s">
        <v>11035</v>
      </c>
      <c r="P2413" s="2" t="s">
        <v>11035</v>
      </c>
      <c r="Q2413" s="2">
        <f>AVERAGE(PerfRate[[#This Row],[EnvironmentSatisfaction]],PerfRate[[#This Row],[JobSatisfaction]],PerfRate[[#This Row],[RelationshipSatisfaction]])</f>
        <v>3</v>
      </c>
      <c r="R2413" s="2">
        <f>PerfRate[[#This Row],[ManagerRating]] - PerfRate[[#This Row],[SelfRating]]</f>
        <v>0</v>
      </c>
    </row>
    <row r="2414" spans="1:18">
      <c r="A2414" s="2" t="s">
        <v>6721</v>
      </c>
      <c r="B2414" s="2" t="s">
        <v>732</v>
      </c>
      <c r="C2414" s="1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  <c r="L2414" s="2" t="s">
        <v>11029</v>
      </c>
      <c r="M2414" s="2" t="s">
        <v>11029</v>
      </c>
      <c r="N2414" s="2" t="s">
        <v>11037</v>
      </c>
      <c r="O2414" s="2" t="s">
        <v>11038</v>
      </c>
      <c r="P2414" s="2" t="s">
        <v>11035</v>
      </c>
      <c r="Q2414" s="2">
        <f>AVERAGE(PerfRate[[#This Row],[EnvironmentSatisfaction]],PerfRate[[#This Row],[JobSatisfaction]],PerfRate[[#This Row],[RelationshipSatisfaction]])</f>
        <v>3.6666666666666665</v>
      </c>
      <c r="R2414" s="2">
        <f>PerfRate[[#This Row],[ManagerRating]] - PerfRate[[#This Row],[SelfRating]]</f>
        <v>0</v>
      </c>
    </row>
    <row r="2415" spans="1:18">
      <c r="A2415" s="2" t="s">
        <v>6722</v>
      </c>
      <c r="B2415" s="2" t="s">
        <v>1033</v>
      </c>
      <c r="C2415" s="1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  <c r="L2415" s="2" t="s">
        <v>11031</v>
      </c>
      <c r="M2415" s="2" t="s">
        <v>11030</v>
      </c>
      <c r="N2415" s="2" t="s">
        <v>11038</v>
      </c>
      <c r="O2415" s="2" t="s">
        <v>11036</v>
      </c>
      <c r="P2415" s="2" t="s">
        <v>11035</v>
      </c>
      <c r="Q2415" s="2">
        <f>AVERAGE(PerfRate[[#This Row],[EnvironmentSatisfaction]],PerfRate[[#This Row],[JobSatisfaction]],PerfRate[[#This Row],[RelationshipSatisfaction]])</f>
        <v>3.3333333333333335</v>
      </c>
      <c r="R2415" s="2">
        <f>PerfRate[[#This Row],[ManagerRating]] - PerfRate[[#This Row],[SelfRating]]</f>
        <v>-1</v>
      </c>
    </row>
    <row r="2416" spans="1:18">
      <c r="A2416" s="2" t="s">
        <v>6723</v>
      </c>
      <c r="B2416" s="2" t="s">
        <v>1871</v>
      </c>
      <c r="C2416" s="1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  <c r="L2416" s="2" t="s">
        <v>11031</v>
      </c>
      <c r="M2416" s="2" t="s">
        <v>11031</v>
      </c>
      <c r="N2416" s="2" t="s">
        <v>11037</v>
      </c>
      <c r="O2416" s="2" t="s">
        <v>11037</v>
      </c>
      <c r="P2416" s="2" t="s">
        <v>11037</v>
      </c>
      <c r="Q2416" s="2">
        <f>AVERAGE(PerfRate[[#This Row],[EnvironmentSatisfaction]],PerfRate[[#This Row],[JobSatisfaction]],PerfRate[[#This Row],[RelationshipSatisfaction]])</f>
        <v>4</v>
      </c>
      <c r="R2416" s="2">
        <f>PerfRate[[#This Row],[ManagerRating]] - PerfRate[[#This Row],[SelfRating]]</f>
        <v>0</v>
      </c>
    </row>
    <row r="2417" spans="1:18">
      <c r="A2417" s="2" t="s">
        <v>6724</v>
      </c>
      <c r="B2417" s="2" t="s">
        <v>1788</v>
      </c>
      <c r="C2417" s="1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  <c r="L2417" s="2" t="s">
        <v>11030</v>
      </c>
      <c r="M2417" s="2" t="s">
        <v>11029</v>
      </c>
      <c r="N2417" s="2" t="s">
        <v>11038</v>
      </c>
      <c r="O2417" s="2" t="s">
        <v>11035</v>
      </c>
      <c r="P2417" s="2" t="s">
        <v>11038</v>
      </c>
      <c r="Q2417" s="2">
        <f>AVERAGE(PerfRate[[#This Row],[EnvironmentSatisfaction]],PerfRate[[#This Row],[JobSatisfaction]],PerfRate[[#This Row],[RelationshipSatisfaction]])</f>
        <v>4</v>
      </c>
      <c r="R2417" s="2">
        <f>PerfRate[[#This Row],[ManagerRating]] - PerfRate[[#This Row],[SelfRating]]</f>
        <v>-1</v>
      </c>
    </row>
    <row r="2418" spans="1:18">
      <c r="A2418" s="2" t="s">
        <v>6725</v>
      </c>
      <c r="B2418" s="2" t="s">
        <v>293</v>
      </c>
      <c r="C2418" s="1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  <c r="L2418" s="2" t="s">
        <v>11031</v>
      </c>
      <c r="M2418" s="2" t="s">
        <v>11031</v>
      </c>
      <c r="N2418" s="2" t="s">
        <v>11037</v>
      </c>
      <c r="O2418" s="2" t="s">
        <v>11038</v>
      </c>
      <c r="P2418" s="2" t="s">
        <v>11036</v>
      </c>
      <c r="Q2418" s="2">
        <f>AVERAGE(PerfRate[[#This Row],[EnvironmentSatisfaction]],PerfRate[[#This Row],[JobSatisfaction]],PerfRate[[#This Row],[RelationshipSatisfaction]])</f>
        <v>4</v>
      </c>
      <c r="R2418" s="2">
        <f>PerfRate[[#This Row],[ManagerRating]] - PerfRate[[#This Row],[SelfRating]]</f>
        <v>0</v>
      </c>
    </row>
    <row r="2419" spans="1:18">
      <c r="A2419" s="2" t="s">
        <v>6726</v>
      </c>
      <c r="B2419" s="2" t="s">
        <v>931</v>
      </c>
      <c r="C2419" s="1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  <c r="L2419" s="2" t="s">
        <v>11030</v>
      </c>
      <c r="M2419" s="2" t="s">
        <v>11030</v>
      </c>
      <c r="N2419" s="2" t="s">
        <v>11037</v>
      </c>
      <c r="O2419" s="2" t="s">
        <v>11037</v>
      </c>
      <c r="P2419" s="2" t="s">
        <v>11037</v>
      </c>
      <c r="Q2419" s="2">
        <f>AVERAGE(PerfRate[[#This Row],[EnvironmentSatisfaction]],PerfRate[[#This Row],[JobSatisfaction]],PerfRate[[#This Row],[RelationshipSatisfaction]])</f>
        <v>4</v>
      </c>
      <c r="R2419" s="2">
        <f>PerfRate[[#This Row],[ManagerRating]] - PerfRate[[#This Row],[SelfRating]]</f>
        <v>0</v>
      </c>
    </row>
    <row r="2420" spans="1:18">
      <c r="A2420" s="2" t="s">
        <v>6727</v>
      </c>
      <c r="B2420" s="2" t="s">
        <v>1721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  <c r="L2420" s="2" t="s">
        <v>11029</v>
      </c>
      <c r="M2420" s="2" t="s">
        <v>11028</v>
      </c>
      <c r="N2420" s="2" t="s">
        <v>11036</v>
      </c>
      <c r="O2420" s="2" t="s">
        <v>11037</v>
      </c>
      <c r="P2420" s="2" t="s">
        <v>11038</v>
      </c>
      <c r="Q2420" s="2">
        <f>AVERAGE(PerfRate[[#This Row],[EnvironmentSatisfaction]],PerfRate[[#This Row],[JobSatisfaction]],PerfRate[[#This Row],[RelationshipSatisfaction]])</f>
        <v>4</v>
      </c>
      <c r="R2420" s="2">
        <f>PerfRate[[#This Row],[ManagerRating]] - PerfRate[[#This Row],[SelfRating]]</f>
        <v>-1</v>
      </c>
    </row>
    <row r="2421" spans="1:18">
      <c r="A2421" s="2" t="s">
        <v>6728</v>
      </c>
      <c r="B2421" s="2" t="s">
        <v>1315</v>
      </c>
      <c r="C2421" s="1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  <c r="L2421" s="2" t="s">
        <v>11029</v>
      </c>
      <c r="M2421" s="2" t="s">
        <v>11029</v>
      </c>
      <c r="N2421" s="2" t="s">
        <v>11038</v>
      </c>
      <c r="O2421" s="2" t="s">
        <v>11036</v>
      </c>
      <c r="P2421" s="2" t="s">
        <v>11036</v>
      </c>
      <c r="Q2421" s="2">
        <f>AVERAGE(PerfRate[[#This Row],[EnvironmentSatisfaction]],PerfRate[[#This Row],[JobSatisfaction]],PerfRate[[#This Row],[RelationshipSatisfaction]])</f>
        <v>3.6666666666666665</v>
      </c>
      <c r="R2421" s="2">
        <f>PerfRate[[#This Row],[ManagerRating]] - PerfRate[[#This Row],[SelfRating]]</f>
        <v>0</v>
      </c>
    </row>
    <row r="2422" spans="1:18">
      <c r="A2422" s="2" t="s">
        <v>6729</v>
      </c>
      <c r="B2422" s="2" t="s">
        <v>2672</v>
      </c>
      <c r="C2422" s="1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  <c r="L2422" s="2" t="s">
        <v>11031</v>
      </c>
      <c r="M2422" s="2" t="s">
        <v>11031</v>
      </c>
      <c r="N2422" s="2" t="s">
        <v>11036</v>
      </c>
      <c r="O2422" s="2" t="s">
        <v>11037</v>
      </c>
      <c r="P2422" s="2" t="s">
        <v>11036</v>
      </c>
      <c r="Q2422" s="2">
        <f>AVERAGE(PerfRate[[#This Row],[EnvironmentSatisfaction]],PerfRate[[#This Row],[JobSatisfaction]],PerfRate[[#This Row],[RelationshipSatisfaction]])</f>
        <v>3.3333333333333335</v>
      </c>
      <c r="R2422" s="2">
        <f>PerfRate[[#This Row],[ManagerRating]] - PerfRate[[#This Row],[SelfRating]]</f>
        <v>0</v>
      </c>
    </row>
    <row r="2423" spans="1:18">
      <c r="A2423" s="2" t="s">
        <v>6730</v>
      </c>
      <c r="B2423" s="2" t="s">
        <v>217</v>
      </c>
      <c r="C2423" s="1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  <c r="L2423" s="2" t="s">
        <v>11031</v>
      </c>
      <c r="M2423" s="2" t="s">
        <v>11030</v>
      </c>
      <c r="N2423" s="2" t="s">
        <v>11038</v>
      </c>
      <c r="O2423" s="2" t="s">
        <v>11036</v>
      </c>
      <c r="P2423" s="2" t="s">
        <v>11035</v>
      </c>
      <c r="Q2423" s="2">
        <f>AVERAGE(PerfRate[[#This Row],[EnvironmentSatisfaction]],PerfRate[[#This Row],[JobSatisfaction]],PerfRate[[#This Row],[RelationshipSatisfaction]])</f>
        <v>3.3333333333333335</v>
      </c>
      <c r="R2423" s="2">
        <f>PerfRate[[#This Row],[ManagerRating]] - PerfRate[[#This Row],[SelfRating]]</f>
        <v>-1</v>
      </c>
    </row>
    <row r="2424" spans="1:18">
      <c r="A2424" s="2" t="s">
        <v>6731</v>
      </c>
      <c r="B2424" s="2" t="s">
        <v>195</v>
      </c>
      <c r="C2424" s="1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  <c r="L2424" s="2" t="s">
        <v>11029</v>
      </c>
      <c r="M2424" s="2" t="s">
        <v>11028</v>
      </c>
      <c r="N2424" s="2" t="s">
        <v>11037</v>
      </c>
      <c r="O2424" s="2" t="s">
        <v>11038</v>
      </c>
      <c r="P2424" s="2" t="s">
        <v>11035</v>
      </c>
      <c r="Q2424" s="2">
        <f>AVERAGE(PerfRate[[#This Row],[EnvironmentSatisfaction]],PerfRate[[#This Row],[JobSatisfaction]],PerfRate[[#This Row],[RelationshipSatisfaction]])</f>
        <v>3.6666666666666665</v>
      </c>
      <c r="R2424" s="2">
        <f>PerfRate[[#This Row],[ManagerRating]] - PerfRate[[#This Row],[SelfRating]]</f>
        <v>-1</v>
      </c>
    </row>
    <row r="2425" spans="1:18">
      <c r="A2425" s="2" t="s">
        <v>6732</v>
      </c>
      <c r="B2425" s="2" t="s">
        <v>487</v>
      </c>
      <c r="C2425" s="1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  <c r="L2425" s="2" t="s">
        <v>11029</v>
      </c>
      <c r="M2425" s="2" t="s">
        <v>11029</v>
      </c>
      <c r="N2425" s="2" t="s">
        <v>11036</v>
      </c>
      <c r="O2425" s="2" t="s">
        <v>11038</v>
      </c>
      <c r="P2425" s="2" t="s">
        <v>11037</v>
      </c>
      <c r="Q2425" s="2">
        <f>AVERAGE(PerfRate[[#This Row],[EnvironmentSatisfaction]],PerfRate[[#This Row],[JobSatisfaction]],PerfRate[[#This Row],[RelationshipSatisfaction]])</f>
        <v>4</v>
      </c>
      <c r="R2425" s="2">
        <f>PerfRate[[#This Row],[ManagerRating]] - PerfRate[[#This Row],[SelfRating]]</f>
        <v>0</v>
      </c>
    </row>
    <row r="2426" spans="1:18">
      <c r="A2426" s="2" t="s">
        <v>6733</v>
      </c>
      <c r="B2426" s="2" t="s">
        <v>329</v>
      </c>
      <c r="C2426" s="1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  <c r="L2426" s="2" t="s">
        <v>11030</v>
      </c>
      <c r="M2426" s="2" t="s">
        <v>11029</v>
      </c>
      <c r="N2426" s="2" t="s">
        <v>11037</v>
      </c>
      <c r="O2426" s="2" t="s">
        <v>11038</v>
      </c>
      <c r="P2426" s="2" t="s">
        <v>11036</v>
      </c>
      <c r="Q2426" s="2">
        <f>AVERAGE(PerfRate[[#This Row],[EnvironmentSatisfaction]],PerfRate[[#This Row],[JobSatisfaction]],PerfRate[[#This Row],[RelationshipSatisfaction]])</f>
        <v>4</v>
      </c>
      <c r="R2426" s="2">
        <f>PerfRate[[#This Row],[ManagerRating]] - PerfRate[[#This Row],[SelfRating]]</f>
        <v>-1</v>
      </c>
    </row>
    <row r="2427" spans="1:18">
      <c r="A2427" s="2" t="s">
        <v>6734</v>
      </c>
      <c r="B2427" s="2" t="s">
        <v>1079</v>
      </c>
      <c r="C2427" s="1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  <c r="L2427" s="2" t="s">
        <v>11030</v>
      </c>
      <c r="M2427" s="2" t="s">
        <v>11030</v>
      </c>
      <c r="N2427" s="2" t="s">
        <v>11036</v>
      </c>
      <c r="O2427" s="2" t="s">
        <v>11037</v>
      </c>
      <c r="P2427" s="2" t="s">
        <v>11038</v>
      </c>
      <c r="Q2427" s="2">
        <f>AVERAGE(PerfRate[[#This Row],[EnvironmentSatisfaction]],PerfRate[[#This Row],[JobSatisfaction]],PerfRate[[#This Row],[RelationshipSatisfaction]])</f>
        <v>4</v>
      </c>
      <c r="R2427" s="2">
        <f>PerfRate[[#This Row],[ManagerRating]] - PerfRate[[#This Row],[SelfRating]]</f>
        <v>0</v>
      </c>
    </row>
    <row r="2428" spans="1:18">
      <c r="A2428" s="2" t="s">
        <v>6735</v>
      </c>
      <c r="B2428" s="2" t="s">
        <v>1099</v>
      </c>
      <c r="C2428" s="1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  <c r="L2428" s="2" t="s">
        <v>11029</v>
      </c>
      <c r="M2428" s="2" t="s">
        <v>11028</v>
      </c>
      <c r="N2428" s="2" t="s">
        <v>11038</v>
      </c>
      <c r="O2428" s="2" t="s">
        <v>11038</v>
      </c>
      <c r="P2428" s="2" t="s">
        <v>11037</v>
      </c>
      <c r="Q2428" s="2">
        <f>AVERAGE(PerfRate[[#This Row],[EnvironmentSatisfaction]],PerfRate[[#This Row],[JobSatisfaction]],PerfRate[[#This Row],[RelationshipSatisfaction]])</f>
        <v>4.666666666666667</v>
      </c>
      <c r="R2428" s="2">
        <f>PerfRate[[#This Row],[ManagerRating]] - PerfRate[[#This Row],[SelfRating]]</f>
        <v>-1</v>
      </c>
    </row>
    <row r="2429" spans="1:18">
      <c r="A2429" s="2" t="s">
        <v>6736</v>
      </c>
      <c r="B2429" s="2" t="s">
        <v>434</v>
      </c>
      <c r="C2429" s="1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  <c r="L2429" s="2" t="s">
        <v>11030</v>
      </c>
      <c r="M2429" s="2" t="s">
        <v>11029</v>
      </c>
      <c r="N2429" s="2" t="s">
        <v>11038</v>
      </c>
      <c r="O2429" s="2" t="s">
        <v>11038</v>
      </c>
      <c r="P2429" s="2" t="s">
        <v>11035</v>
      </c>
      <c r="Q2429" s="2">
        <f>AVERAGE(PerfRate[[#This Row],[EnvironmentSatisfaction]],PerfRate[[#This Row],[JobSatisfaction]],PerfRate[[#This Row],[RelationshipSatisfaction]])</f>
        <v>4</v>
      </c>
      <c r="R2429" s="2">
        <f>PerfRate[[#This Row],[ManagerRating]] - PerfRate[[#This Row],[SelfRating]]</f>
        <v>-1</v>
      </c>
    </row>
    <row r="2430" spans="1:18">
      <c r="A2430" s="2" t="s">
        <v>6737</v>
      </c>
      <c r="B2430" s="2" t="s">
        <v>1494</v>
      </c>
      <c r="C2430" s="1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  <c r="L2430" s="2" t="s">
        <v>11029</v>
      </c>
      <c r="M2430" s="2" t="s">
        <v>11029</v>
      </c>
      <c r="N2430" s="2" t="s">
        <v>11037</v>
      </c>
      <c r="O2430" s="2" t="s">
        <v>11037</v>
      </c>
      <c r="P2430" s="2" t="s">
        <v>11038</v>
      </c>
      <c r="Q2430" s="2">
        <f>AVERAGE(PerfRate[[#This Row],[EnvironmentSatisfaction]],PerfRate[[#This Row],[JobSatisfaction]],PerfRate[[#This Row],[RelationshipSatisfaction]])</f>
        <v>4.333333333333333</v>
      </c>
      <c r="R2430" s="2">
        <f>PerfRate[[#This Row],[ManagerRating]] - PerfRate[[#This Row],[SelfRating]]</f>
        <v>0</v>
      </c>
    </row>
    <row r="2431" spans="1:18">
      <c r="A2431" s="2" t="s">
        <v>6738</v>
      </c>
      <c r="B2431" s="2" t="s">
        <v>1895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  <c r="L2431" s="2" t="s">
        <v>11030</v>
      </c>
      <c r="M2431" s="2" t="s">
        <v>11030</v>
      </c>
      <c r="N2431" s="2" t="s">
        <v>11038</v>
      </c>
      <c r="O2431" s="2" t="s">
        <v>11037</v>
      </c>
      <c r="P2431" s="2" t="s">
        <v>11035</v>
      </c>
      <c r="Q2431" s="2">
        <f>AVERAGE(PerfRate[[#This Row],[EnvironmentSatisfaction]],PerfRate[[#This Row],[JobSatisfaction]],PerfRate[[#This Row],[RelationshipSatisfaction]])</f>
        <v>3.6666666666666665</v>
      </c>
      <c r="R2431" s="2">
        <f>PerfRate[[#This Row],[ManagerRating]] - PerfRate[[#This Row],[SelfRating]]</f>
        <v>0</v>
      </c>
    </row>
    <row r="2432" spans="1:18">
      <c r="A2432" s="2" t="s">
        <v>6739</v>
      </c>
      <c r="B2432" s="2" t="s">
        <v>1447</v>
      </c>
      <c r="C2432" s="1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  <c r="L2432" s="2" t="s">
        <v>11029</v>
      </c>
      <c r="M2432" s="2" t="s">
        <v>11028</v>
      </c>
      <c r="N2432" s="2" t="s">
        <v>11038</v>
      </c>
      <c r="O2432" s="2" t="s">
        <v>11035</v>
      </c>
      <c r="P2432" s="2" t="s">
        <v>11036</v>
      </c>
      <c r="Q2432" s="2">
        <f>AVERAGE(PerfRate[[#This Row],[EnvironmentSatisfaction]],PerfRate[[#This Row],[JobSatisfaction]],PerfRate[[#This Row],[RelationshipSatisfaction]])</f>
        <v>3.3333333333333335</v>
      </c>
      <c r="R2432" s="2">
        <f>PerfRate[[#This Row],[ManagerRating]] - PerfRate[[#This Row],[SelfRating]]</f>
        <v>-1</v>
      </c>
    </row>
    <row r="2433" spans="1:18">
      <c r="A2433" s="2" t="s">
        <v>6740</v>
      </c>
      <c r="B2433" s="2" t="s">
        <v>2638</v>
      </c>
      <c r="C2433" s="1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  <c r="L2433" s="2" t="s">
        <v>11031</v>
      </c>
      <c r="M2433" s="2" t="s">
        <v>11030</v>
      </c>
      <c r="N2433" s="2" t="s">
        <v>11036</v>
      </c>
      <c r="O2433" s="2" t="s">
        <v>11037</v>
      </c>
      <c r="P2433" s="2" t="s">
        <v>11035</v>
      </c>
      <c r="Q2433" s="2">
        <f>AVERAGE(PerfRate[[#This Row],[EnvironmentSatisfaction]],PerfRate[[#This Row],[JobSatisfaction]],PerfRate[[#This Row],[RelationshipSatisfaction]])</f>
        <v>3</v>
      </c>
      <c r="R2433" s="2">
        <f>PerfRate[[#This Row],[ManagerRating]] - PerfRate[[#This Row],[SelfRating]]</f>
        <v>-1</v>
      </c>
    </row>
    <row r="2434" spans="1:18">
      <c r="A2434" s="2" t="s">
        <v>6741</v>
      </c>
      <c r="B2434" s="2" t="s">
        <v>443</v>
      </c>
      <c r="C2434" s="1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  <c r="L2434" s="2" t="s">
        <v>11029</v>
      </c>
      <c r="M2434" s="2" t="s">
        <v>11028</v>
      </c>
      <c r="N2434" s="2" t="s">
        <v>11037</v>
      </c>
      <c r="O2434" s="2" t="s">
        <v>11035</v>
      </c>
      <c r="P2434" s="2" t="s">
        <v>11036</v>
      </c>
      <c r="Q2434" s="2">
        <f>AVERAGE(PerfRate[[#This Row],[EnvironmentSatisfaction]],PerfRate[[#This Row],[JobSatisfaction]],PerfRate[[#This Row],[RelationshipSatisfaction]])</f>
        <v>3</v>
      </c>
      <c r="R2434" s="2">
        <f>PerfRate[[#This Row],[ManagerRating]] - PerfRate[[#This Row],[SelfRating]]</f>
        <v>-1</v>
      </c>
    </row>
    <row r="2435" spans="1:18">
      <c r="A2435" s="2" t="s">
        <v>6742</v>
      </c>
      <c r="B2435" s="2" t="s">
        <v>332</v>
      </c>
      <c r="C2435" s="1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  <c r="L2435" s="2" t="s">
        <v>11031</v>
      </c>
      <c r="M2435" s="2" t="s">
        <v>11030</v>
      </c>
      <c r="N2435" s="2" t="s">
        <v>11036</v>
      </c>
      <c r="O2435" s="2" t="s">
        <v>11036</v>
      </c>
      <c r="P2435" s="2" t="s">
        <v>11035</v>
      </c>
      <c r="Q2435" s="2">
        <f>AVERAGE(PerfRate[[#This Row],[EnvironmentSatisfaction]],PerfRate[[#This Row],[JobSatisfaction]],PerfRate[[#This Row],[RelationshipSatisfaction]])</f>
        <v>2.6666666666666665</v>
      </c>
      <c r="R2435" s="2">
        <f>PerfRate[[#This Row],[ManagerRating]] - PerfRate[[#This Row],[SelfRating]]</f>
        <v>-1</v>
      </c>
    </row>
    <row r="2436" spans="1:18">
      <c r="A2436" s="2" t="s">
        <v>6743</v>
      </c>
      <c r="B2436" s="2" t="s">
        <v>565</v>
      </c>
      <c r="C2436" s="1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  <c r="L2436" s="2" t="s">
        <v>11029</v>
      </c>
      <c r="M2436" s="2" t="s">
        <v>11029</v>
      </c>
      <c r="N2436" s="2" t="s">
        <v>11036</v>
      </c>
      <c r="O2436" s="2" t="s">
        <v>11036</v>
      </c>
      <c r="P2436" s="2" t="s">
        <v>11037</v>
      </c>
      <c r="Q2436" s="2">
        <f>AVERAGE(PerfRate[[#This Row],[EnvironmentSatisfaction]],PerfRate[[#This Row],[JobSatisfaction]],PerfRate[[#This Row],[RelationshipSatisfaction]])</f>
        <v>3.3333333333333335</v>
      </c>
      <c r="R2436" s="2">
        <f>PerfRate[[#This Row],[ManagerRating]] - PerfRate[[#This Row],[SelfRating]]</f>
        <v>0</v>
      </c>
    </row>
    <row r="2437" spans="1:18">
      <c r="A2437" s="2" t="s">
        <v>6744</v>
      </c>
      <c r="B2437" s="2" t="s">
        <v>1657</v>
      </c>
      <c r="C2437" s="1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  <c r="L2437" s="2" t="s">
        <v>11030</v>
      </c>
      <c r="M2437" s="2" t="s">
        <v>11029</v>
      </c>
      <c r="N2437" s="2" t="s">
        <v>11036</v>
      </c>
      <c r="O2437" s="2" t="s">
        <v>11035</v>
      </c>
      <c r="P2437" s="2" t="s">
        <v>11038</v>
      </c>
      <c r="Q2437" s="2">
        <f>AVERAGE(PerfRate[[#This Row],[EnvironmentSatisfaction]],PerfRate[[#This Row],[JobSatisfaction]],PerfRate[[#This Row],[RelationshipSatisfaction]])</f>
        <v>3.3333333333333335</v>
      </c>
      <c r="R2437" s="2">
        <f>PerfRate[[#This Row],[ManagerRating]] - PerfRate[[#This Row],[SelfRating]]</f>
        <v>-1</v>
      </c>
    </row>
    <row r="2438" spans="1:18">
      <c r="A2438" s="2" t="s">
        <v>6745</v>
      </c>
      <c r="B2438" s="2" t="s">
        <v>1756</v>
      </c>
      <c r="C2438" s="1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  <c r="L2438" s="2" t="s">
        <v>11030</v>
      </c>
      <c r="M2438" s="2" t="s">
        <v>11030</v>
      </c>
      <c r="N2438" s="2" t="s">
        <v>11038</v>
      </c>
      <c r="O2438" s="2" t="s">
        <v>11035</v>
      </c>
      <c r="P2438" s="2" t="s">
        <v>11035</v>
      </c>
      <c r="Q2438" s="2">
        <f>AVERAGE(PerfRate[[#This Row],[EnvironmentSatisfaction]],PerfRate[[#This Row],[JobSatisfaction]],PerfRate[[#This Row],[RelationshipSatisfaction]])</f>
        <v>3</v>
      </c>
      <c r="R2438" s="2">
        <f>PerfRate[[#This Row],[ManagerRating]] - PerfRate[[#This Row],[SelfRating]]</f>
        <v>0</v>
      </c>
    </row>
    <row r="2439" spans="1:18">
      <c r="A2439" s="2" t="s">
        <v>6746</v>
      </c>
      <c r="B2439" s="2" t="s">
        <v>201</v>
      </c>
      <c r="C2439" s="1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  <c r="L2439" s="2" t="s">
        <v>11029</v>
      </c>
      <c r="M2439" s="2" t="s">
        <v>11029</v>
      </c>
      <c r="N2439" s="2" t="s">
        <v>11036</v>
      </c>
      <c r="O2439" s="2" t="s">
        <v>11035</v>
      </c>
      <c r="P2439" s="2" t="s">
        <v>11035</v>
      </c>
      <c r="Q2439" s="2">
        <f>AVERAGE(PerfRate[[#This Row],[EnvironmentSatisfaction]],PerfRate[[#This Row],[JobSatisfaction]],PerfRate[[#This Row],[RelationshipSatisfaction]])</f>
        <v>2.3333333333333335</v>
      </c>
      <c r="R2439" s="2">
        <f>PerfRate[[#This Row],[ManagerRating]] - PerfRate[[#This Row],[SelfRating]]</f>
        <v>0</v>
      </c>
    </row>
    <row r="2440" spans="1:18">
      <c r="A2440" s="2" t="s">
        <v>6747</v>
      </c>
      <c r="B2440" s="2" t="s">
        <v>476</v>
      </c>
      <c r="C2440" s="1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  <c r="L2440" s="2" t="s">
        <v>11029</v>
      </c>
      <c r="M2440" s="2" t="s">
        <v>11029</v>
      </c>
      <c r="N2440" s="2" t="s">
        <v>11038</v>
      </c>
      <c r="O2440" s="2" t="s">
        <v>11035</v>
      </c>
      <c r="P2440" s="2" t="s">
        <v>11035</v>
      </c>
      <c r="Q2440" s="2">
        <f>AVERAGE(PerfRate[[#This Row],[EnvironmentSatisfaction]],PerfRate[[#This Row],[JobSatisfaction]],PerfRate[[#This Row],[RelationshipSatisfaction]])</f>
        <v>3</v>
      </c>
      <c r="R2440" s="2">
        <f>PerfRate[[#This Row],[ManagerRating]] - PerfRate[[#This Row],[SelfRating]]</f>
        <v>0</v>
      </c>
    </row>
    <row r="2441" spans="1:18">
      <c r="A2441" s="2" t="s">
        <v>6748</v>
      </c>
      <c r="B2441" s="2" t="s">
        <v>640</v>
      </c>
      <c r="C2441" s="1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  <c r="L2441" s="2" t="s">
        <v>11031</v>
      </c>
      <c r="M2441" s="2" t="s">
        <v>11031</v>
      </c>
      <c r="N2441" s="2" t="s">
        <v>11037</v>
      </c>
      <c r="O2441" s="2" t="s">
        <v>11035</v>
      </c>
      <c r="P2441" s="2" t="s">
        <v>11036</v>
      </c>
      <c r="Q2441" s="2">
        <f>AVERAGE(PerfRate[[#This Row],[EnvironmentSatisfaction]],PerfRate[[#This Row],[JobSatisfaction]],PerfRate[[#This Row],[RelationshipSatisfaction]])</f>
        <v>3</v>
      </c>
      <c r="R2441" s="2">
        <f>PerfRate[[#This Row],[ManagerRating]] - PerfRate[[#This Row],[SelfRating]]</f>
        <v>0</v>
      </c>
    </row>
    <row r="2442" spans="1:18">
      <c r="A2442" s="2" t="s">
        <v>6749</v>
      </c>
      <c r="B2442" s="2" t="s">
        <v>449</v>
      </c>
      <c r="C2442" s="1">
        <v>41795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  <c r="L2442" s="2" t="s">
        <v>11031</v>
      </c>
      <c r="M2442" s="2" t="s">
        <v>11030</v>
      </c>
      <c r="N2442" s="2" t="s">
        <v>11037</v>
      </c>
      <c r="O2442" s="2" t="s">
        <v>11038</v>
      </c>
      <c r="P2442" s="2" t="s">
        <v>11035</v>
      </c>
      <c r="Q2442" s="2">
        <f>AVERAGE(PerfRate[[#This Row],[EnvironmentSatisfaction]],PerfRate[[#This Row],[JobSatisfaction]],PerfRate[[#This Row],[RelationshipSatisfaction]])</f>
        <v>3.6666666666666665</v>
      </c>
      <c r="R2442" s="2">
        <f>PerfRate[[#This Row],[ManagerRating]] - PerfRate[[#This Row],[SelfRating]]</f>
        <v>-1</v>
      </c>
    </row>
    <row r="2443" spans="1:18">
      <c r="A2443" s="2" t="s">
        <v>6750</v>
      </c>
      <c r="B2443" s="2" t="s">
        <v>1632</v>
      </c>
      <c r="C2443" s="1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  <c r="L2443" s="2" t="s">
        <v>11031</v>
      </c>
      <c r="M2443" s="2" t="s">
        <v>11030</v>
      </c>
      <c r="N2443" s="2" t="s">
        <v>11037</v>
      </c>
      <c r="O2443" s="2" t="s">
        <v>11036</v>
      </c>
      <c r="P2443" s="2" t="s">
        <v>11036</v>
      </c>
      <c r="Q2443" s="2">
        <f>AVERAGE(PerfRate[[#This Row],[EnvironmentSatisfaction]],PerfRate[[#This Row],[JobSatisfaction]],PerfRate[[#This Row],[RelationshipSatisfaction]])</f>
        <v>3.3333333333333335</v>
      </c>
      <c r="R2443" s="2">
        <f>PerfRate[[#This Row],[ManagerRating]] - PerfRate[[#This Row],[SelfRating]]</f>
        <v>-1</v>
      </c>
    </row>
    <row r="2444" spans="1:18">
      <c r="A2444" s="2" t="s">
        <v>6751</v>
      </c>
      <c r="B2444" s="2" t="s">
        <v>1813</v>
      </c>
      <c r="C2444" s="1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  <c r="L2444" s="2" t="s">
        <v>11031</v>
      </c>
      <c r="M2444" s="2" t="s">
        <v>11030</v>
      </c>
      <c r="N2444" s="2" t="s">
        <v>11036</v>
      </c>
      <c r="O2444" s="2" t="s">
        <v>11038</v>
      </c>
      <c r="P2444" s="2" t="s">
        <v>11038</v>
      </c>
      <c r="Q2444" s="2">
        <f>AVERAGE(PerfRate[[#This Row],[EnvironmentSatisfaction]],PerfRate[[#This Row],[JobSatisfaction]],PerfRate[[#This Row],[RelationshipSatisfaction]])</f>
        <v>4.333333333333333</v>
      </c>
      <c r="R2444" s="2">
        <f>PerfRate[[#This Row],[ManagerRating]] - PerfRate[[#This Row],[SelfRating]]</f>
        <v>-1</v>
      </c>
    </row>
    <row r="2445" spans="1:18">
      <c r="A2445" s="2" t="s">
        <v>6752</v>
      </c>
      <c r="B2445" s="2" t="s">
        <v>994</v>
      </c>
      <c r="C2445" s="1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  <c r="L2445" s="2" t="s">
        <v>11030</v>
      </c>
      <c r="M2445" s="2" t="s">
        <v>11030</v>
      </c>
      <c r="N2445" s="2" t="s">
        <v>11037</v>
      </c>
      <c r="O2445" s="2" t="s">
        <v>11037</v>
      </c>
      <c r="P2445" s="2" t="s">
        <v>11038</v>
      </c>
      <c r="Q2445" s="2">
        <f>AVERAGE(PerfRate[[#This Row],[EnvironmentSatisfaction]],PerfRate[[#This Row],[JobSatisfaction]],PerfRate[[#This Row],[RelationshipSatisfaction]])</f>
        <v>4.333333333333333</v>
      </c>
      <c r="R2445" s="2">
        <f>PerfRate[[#This Row],[ManagerRating]] - PerfRate[[#This Row],[SelfRating]]</f>
        <v>0</v>
      </c>
    </row>
    <row r="2446" spans="1:18">
      <c r="A2446" s="2" t="s">
        <v>6753</v>
      </c>
      <c r="B2446" s="2" t="s">
        <v>1268</v>
      </c>
      <c r="C2446" s="1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  <c r="L2446" s="2" t="s">
        <v>11029</v>
      </c>
      <c r="M2446" s="2" t="s">
        <v>11029</v>
      </c>
      <c r="N2446" s="2" t="s">
        <v>11036</v>
      </c>
      <c r="O2446" s="2" t="s">
        <v>11037</v>
      </c>
      <c r="P2446" s="2" t="s">
        <v>11038</v>
      </c>
      <c r="Q2446" s="2">
        <f>AVERAGE(PerfRate[[#This Row],[EnvironmentSatisfaction]],PerfRate[[#This Row],[JobSatisfaction]],PerfRate[[#This Row],[RelationshipSatisfaction]])</f>
        <v>4</v>
      </c>
      <c r="R2446" s="2">
        <f>PerfRate[[#This Row],[ManagerRating]] - PerfRate[[#This Row],[SelfRating]]</f>
        <v>0</v>
      </c>
    </row>
    <row r="2447" spans="1:18">
      <c r="A2447" s="2" t="s">
        <v>6754</v>
      </c>
      <c r="B2447" s="2" t="s">
        <v>1462</v>
      </c>
      <c r="C2447" s="1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  <c r="L2447" s="2" t="s">
        <v>11029</v>
      </c>
      <c r="M2447" s="2" t="s">
        <v>11028</v>
      </c>
      <c r="N2447" s="2" t="s">
        <v>11036</v>
      </c>
      <c r="O2447" s="2" t="s">
        <v>11038</v>
      </c>
      <c r="P2447" s="2" t="s">
        <v>11037</v>
      </c>
      <c r="Q2447" s="2">
        <f>AVERAGE(PerfRate[[#This Row],[EnvironmentSatisfaction]],PerfRate[[#This Row],[JobSatisfaction]],PerfRate[[#This Row],[RelationshipSatisfaction]])</f>
        <v>4</v>
      </c>
      <c r="R2447" s="2">
        <f>PerfRate[[#This Row],[ManagerRating]] - PerfRate[[#This Row],[SelfRating]]</f>
        <v>-1</v>
      </c>
    </row>
    <row r="2448" spans="1:18">
      <c r="A2448" s="2" t="s">
        <v>6755</v>
      </c>
      <c r="B2448" s="2" t="s">
        <v>1611</v>
      </c>
      <c r="C2448" s="1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  <c r="L2448" s="2" t="s">
        <v>11029</v>
      </c>
      <c r="M2448" s="2" t="s">
        <v>11029</v>
      </c>
      <c r="N2448" s="2" t="s">
        <v>11036</v>
      </c>
      <c r="O2448" s="2" t="s">
        <v>11036</v>
      </c>
      <c r="P2448" s="2" t="s">
        <v>11038</v>
      </c>
      <c r="Q2448" s="2">
        <f>AVERAGE(PerfRate[[#This Row],[EnvironmentSatisfaction]],PerfRate[[#This Row],[JobSatisfaction]],PerfRate[[#This Row],[RelationshipSatisfaction]])</f>
        <v>3.6666666666666665</v>
      </c>
      <c r="R2448" s="2">
        <f>PerfRate[[#This Row],[ManagerRating]] - PerfRate[[#This Row],[SelfRating]]</f>
        <v>0</v>
      </c>
    </row>
    <row r="2449" spans="1:18">
      <c r="A2449" s="2" t="s">
        <v>6756</v>
      </c>
      <c r="B2449" s="2" t="s">
        <v>1903</v>
      </c>
      <c r="C2449" s="1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  <c r="L2449" s="2" t="s">
        <v>11029</v>
      </c>
      <c r="M2449" s="2" t="s">
        <v>11029</v>
      </c>
      <c r="N2449" s="2" t="s">
        <v>11036</v>
      </c>
      <c r="O2449" s="2" t="s">
        <v>11036</v>
      </c>
      <c r="P2449" s="2" t="s">
        <v>11038</v>
      </c>
      <c r="Q2449" s="2">
        <f>AVERAGE(PerfRate[[#This Row],[EnvironmentSatisfaction]],PerfRate[[#This Row],[JobSatisfaction]],PerfRate[[#This Row],[RelationshipSatisfaction]])</f>
        <v>3.6666666666666665</v>
      </c>
      <c r="R2449" s="2">
        <f>PerfRate[[#This Row],[ManagerRating]] - PerfRate[[#This Row],[SelfRating]]</f>
        <v>0</v>
      </c>
    </row>
    <row r="2450" spans="1:18">
      <c r="A2450" s="2" t="s">
        <v>6757</v>
      </c>
      <c r="B2450" s="2" t="s">
        <v>3531</v>
      </c>
      <c r="C2450" s="1">
        <v>43472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  <c r="L2450" s="2" t="s">
        <v>11029</v>
      </c>
      <c r="M2450" s="2" t="s">
        <v>11028</v>
      </c>
      <c r="N2450" s="2" t="s">
        <v>11038</v>
      </c>
      <c r="O2450" s="2" t="s">
        <v>11037</v>
      </c>
      <c r="P2450" s="2" t="s">
        <v>11036</v>
      </c>
      <c r="Q2450" s="2">
        <f>AVERAGE(PerfRate[[#This Row],[EnvironmentSatisfaction]],PerfRate[[#This Row],[JobSatisfaction]],PerfRate[[#This Row],[RelationshipSatisfaction]])</f>
        <v>4</v>
      </c>
      <c r="R2450" s="2">
        <f>PerfRate[[#This Row],[ManagerRating]] - PerfRate[[#This Row],[SelfRating]]</f>
        <v>-1</v>
      </c>
    </row>
    <row r="2451" spans="1:18">
      <c r="A2451" s="2" t="s">
        <v>6758</v>
      </c>
      <c r="B2451" s="2" t="s">
        <v>263</v>
      </c>
      <c r="C2451" s="1">
        <v>43472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  <c r="L2451" s="2" t="s">
        <v>11031</v>
      </c>
      <c r="M2451" s="2" t="s">
        <v>11030</v>
      </c>
      <c r="N2451" s="2" t="s">
        <v>11036</v>
      </c>
      <c r="O2451" s="2" t="s">
        <v>11035</v>
      </c>
      <c r="P2451" s="2" t="s">
        <v>11038</v>
      </c>
      <c r="Q2451" s="2">
        <f>AVERAGE(PerfRate[[#This Row],[EnvironmentSatisfaction]],PerfRate[[#This Row],[JobSatisfaction]],PerfRate[[#This Row],[RelationshipSatisfaction]])</f>
        <v>3.3333333333333335</v>
      </c>
      <c r="R2451" s="2">
        <f>PerfRate[[#This Row],[ManagerRating]] - PerfRate[[#This Row],[SelfRating]]</f>
        <v>-1</v>
      </c>
    </row>
    <row r="2452" spans="1:18">
      <c r="A2452" s="2" t="s">
        <v>6759</v>
      </c>
      <c r="B2452" s="2" t="s">
        <v>880</v>
      </c>
      <c r="C2452" s="1">
        <v>43472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  <c r="L2452" s="2" t="s">
        <v>11030</v>
      </c>
      <c r="M2452" s="2" t="s">
        <v>11029</v>
      </c>
      <c r="N2452" s="2" t="s">
        <v>11036</v>
      </c>
      <c r="O2452" s="2" t="s">
        <v>11037</v>
      </c>
      <c r="P2452" s="2" t="s">
        <v>11037</v>
      </c>
      <c r="Q2452" s="2">
        <f>AVERAGE(PerfRate[[#This Row],[EnvironmentSatisfaction]],PerfRate[[#This Row],[JobSatisfaction]],PerfRate[[#This Row],[RelationshipSatisfaction]])</f>
        <v>3.6666666666666665</v>
      </c>
      <c r="R2452" s="2">
        <f>PerfRate[[#This Row],[ManagerRating]] - PerfRate[[#This Row],[SelfRating]]</f>
        <v>-1</v>
      </c>
    </row>
    <row r="2453" spans="1:18">
      <c r="A2453" s="2" t="s">
        <v>6760</v>
      </c>
      <c r="B2453" s="2" t="s">
        <v>1383</v>
      </c>
      <c r="C2453" s="1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  <c r="L2453" s="2" t="s">
        <v>11030</v>
      </c>
      <c r="M2453" s="2" t="s">
        <v>11029</v>
      </c>
      <c r="N2453" s="2" t="s">
        <v>11036</v>
      </c>
      <c r="O2453" s="2" t="s">
        <v>11036</v>
      </c>
      <c r="P2453" s="2" t="s">
        <v>11036</v>
      </c>
      <c r="Q2453" s="2">
        <f>AVERAGE(PerfRate[[#This Row],[EnvironmentSatisfaction]],PerfRate[[#This Row],[JobSatisfaction]],PerfRate[[#This Row],[RelationshipSatisfaction]])</f>
        <v>3</v>
      </c>
      <c r="R2453" s="2">
        <f>PerfRate[[#This Row],[ManagerRating]] - PerfRate[[#This Row],[SelfRating]]</f>
        <v>-1</v>
      </c>
    </row>
    <row r="2454" spans="1:18">
      <c r="A2454" s="2" t="s">
        <v>6761</v>
      </c>
      <c r="B2454" s="2" t="s">
        <v>3657</v>
      </c>
      <c r="C2454" s="1">
        <v>41795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  <c r="L2454" s="2" t="s">
        <v>11031</v>
      </c>
      <c r="M2454" s="2" t="s">
        <v>11030</v>
      </c>
      <c r="N2454" s="2" t="s">
        <v>11036</v>
      </c>
      <c r="O2454" s="2" t="s">
        <v>11035</v>
      </c>
      <c r="P2454" s="2" t="s">
        <v>11036</v>
      </c>
      <c r="Q2454" s="2">
        <f>AVERAGE(PerfRate[[#This Row],[EnvironmentSatisfaction]],PerfRate[[#This Row],[JobSatisfaction]],PerfRate[[#This Row],[RelationshipSatisfaction]])</f>
        <v>2.6666666666666665</v>
      </c>
      <c r="R2454" s="2">
        <f>PerfRate[[#This Row],[ManagerRating]] - PerfRate[[#This Row],[SelfRating]]</f>
        <v>-1</v>
      </c>
    </row>
    <row r="2455" spans="1:18">
      <c r="A2455" s="2" t="s">
        <v>6762</v>
      </c>
      <c r="B2455" s="2" t="s">
        <v>1261</v>
      </c>
      <c r="C2455" s="1">
        <v>43472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  <c r="L2455" s="2" t="s">
        <v>11031</v>
      </c>
      <c r="M2455" s="2" t="s">
        <v>11030</v>
      </c>
      <c r="N2455" s="2" t="s">
        <v>11036</v>
      </c>
      <c r="O2455" s="2" t="s">
        <v>11037</v>
      </c>
      <c r="P2455" s="2" t="s">
        <v>11036</v>
      </c>
      <c r="Q2455" s="2">
        <f>AVERAGE(PerfRate[[#This Row],[EnvironmentSatisfaction]],PerfRate[[#This Row],[JobSatisfaction]],PerfRate[[#This Row],[RelationshipSatisfaction]])</f>
        <v>3.3333333333333335</v>
      </c>
      <c r="R2455" s="2">
        <f>PerfRate[[#This Row],[ManagerRating]] - PerfRate[[#This Row],[SelfRating]]</f>
        <v>-1</v>
      </c>
    </row>
    <row r="2456" spans="1:18">
      <c r="A2456" s="2" t="s">
        <v>6763</v>
      </c>
      <c r="B2456" s="2" t="s">
        <v>467</v>
      </c>
      <c r="C2456" s="1">
        <v>43531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  <c r="L2456" s="2" t="s">
        <v>11030</v>
      </c>
      <c r="M2456" s="2" t="s">
        <v>11030</v>
      </c>
      <c r="N2456" s="2" t="s">
        <v>11037</v>
      </c>
      <c r="O2456" s="2" t="s">
        <v>11035</v>
      </c>
      <c r="P2456" s="2" t="s">
        <v>11036</v>
      </c>
      <c r="Q2456" s="2">
        <f>AVERAGE(PerfRate[[#This Row],[EnvironmentSatisfaction]],PerfRate[[#This Row],[JobSatisfaction]],PerfRate[[#This Row],[RelationshipSatisfaction]])</f>
        <v>3</v>
      </c>
      <c r="R2456" s="2">
        <f>PerfRate[[#This Row],[ManagerRating]] - PerfRate[[#This Row],[SelfRating]]</f>
        <v>0</v>
      </c>
    </row>
    <row r="2457" spans="1:18">
      <c r="A2457" s="2" t="s">
        <v>6764</v>
      </c>
      <c r="B2457" s="2" t="s">
        <v>1859</v>
      </c>
      <c r="C2457" s="1">
        <v>43562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  <c r="L2457" s="2" t="s">
        <v>11029</v>
      </c>
      <c r="M2457" s="2" t="s">
        <v>11029</v>
      </c>
      <c r="N2457" s="2" t="s">
        <v>11038</v>
      </c>
      <c r="O2457" s="2" t="s">
        <v>11036</v>
      </c>
      <c r="P2457" s="2" t="s">
        <v>11035</v>
      </c>
      <c r="Q2457" s="2">
        <f>AVERAGE(PerfRate[[#This Row],[EnvironmentSatisfaction]],PerfRate[[#This Row],[JobSatisfaction]],PerfRate[[#This Row],[RelationshipSatisfaction]])</f>
        <v>3.3333333333333335</v>
      </c>
      <c r="R2457" s="2">
        <f>PerfRate[[#This Row],[ManagerRating]] - PerfRate[[#This Row],[SelfRating]]</f>
        <v>0</v>
      </c>
    </row>
    <row r="2458" spans="1:18">
      <c r="A2458" s="2" t="s">
        <v>6765</v>
      </c>
      <c r="B2458" s="2" t="s">
        <v>2091</v>
      </c>
      <c r="C2458" s="1">
        <v>43562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  <c r="L2458" s="2" t="s">
        <v>11029</v>
      </c>
      <c r="M2458" s="2" t="s">
        <v>11029</v>
      </c>
      <c r="N2458" s="2" t="s">
        <v>11036</v>
      </c>
      <c r="O2458" s="2" t="s">
        <v>11038</v>
      </c>
      <c r="P2458" s="2" t="s">
        <v>11038</v>
      </c>
      <c r="Q2458" s="2">
        <f>AVERAGE(PerfRate[[#This Row],[EnvironmentSatisfaction]],PerfRate[[#This Row],[JobSatisfaction]],PerfRate[[#This Row],[RelationshipSatisfaction]])</f>
        <v>4.333333333333333</v>
      </c>
      <c r="R2458" s="2">
        <f>PerfRate[[#This Row],[ManagerRating]] - PerfRate[[#This Row],[SelfRating]]</f>
        <v>0</v>
      </c>
    </row>
    <row r="2459" spans="1:18">
      <c r="A2459" s="2" t="s">
        <v>6766</v>
      </c>
      <c r="B2459" s="2" t="s">
        <v>505</v>
      </c>
      <c r="C2459" s="1">
        <v>43592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  <c r="L2459" s="2" t="s">
        <v>11031</v>
      </c>
      <c r="M2459" s="2" t="s">
        <v>11031</v>
      </c>
      <c r="N2459" s="2" t="s">
        <v>11036</v>
      </c>
      <c r="O2459" s="2" t="s">
        <v>11036</v>
      </c>
      <c r="P2459" s="2" t="s">
        <v>11036</v>
      </c>
      <c r="Q2459" s="2">
        <f>AVERAGE(PerfRate[[#This Row],[EnvironmentSatisfaction]],PerfRate[[#This Row],[JobSatisfaction]],PerfRate[[#This Row],[RelationshipSatisfaction]])</f>
        <v>3</v>
      </c>
      <c r="R2459" s="2">
        <f>PerfRate[[#This Row],[ManagerRating]] - PerfRate[[#This Row],[SelfRating]]</f>
        <v>0</v>
      </c>
    </row>
    <row r="2460" spans="1:18">
      <c r="A2460" s="2" t="s">
        <v>6767</v>
      </c>
      <c r="B2460" s="2" t="s">
        <v>1761</v>
      </c>
      <c r="C2460" s="1">
        <v>43592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  <c r="L2460" s="2" t="s">
        <v>11031</v>
      </c>
      <c r="M2460" s="2" t="s">
        <v>11031</v>
      </c>
      <c r="N2460" s="2" t="s">
        <v>11036</v>
      </c>
      <c r="O2460" s="2" t="s">
        <v>11035</v>
      </c>
      <c r="P2460" s="2" t="s">
        <v>11037</v>
      </c>
      <c r="Q2460" s="2">
        <f>AVERAGE(PerfRate[[#This Row],[EnvironmentSatisfaction]],PerfRate[[#This Row],[JobSatisfaction]],PerfRate[[#This Row],[RelationshipSatisfaction]])</f>
        <v>3</v>
      </c>
      <c r="R2460" s="2">
        <f>PerfRate[[#This Row],[ManagerRating]] - PerfRate[[#This Row],[SelfRating]]</f>
        <v>0</v>
      </c>
    </row>
    <row r="2461" spans="1:18">
      <c r="A2461" s="2" t="s">
        <v>6768</v>
      </c>
      <c r="B2461" s="2" t="s">
        <v>179</v>
      </c>
      <c r="C2461" s="1">
        <v>43623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  <c r="L2461" s="2" t="s">
        <v>11030</v>
      </c>
      <c r="M2461" s="2" t="s">
        <v>11030</v>
      </c>
      <c r="N2461" s="2" t="s">
        <v>11038</v>
      </c>
      <c r="O2461" s="2" t="s">
        <v>11036</v>
      </c>
      <c r="P2461" s="2" t="s">
        <v>11036</v>
      </c>
      <c r="Q2461" s="2">
        <f>AVERAGE(PerfRate[[#This Row],[EnvironmentSatisfaction]],PerfRate[[#This Row],[JobSatisfaction]],PerfRate[[#This Row],[RelationshipSatisfaction]])</f>
        <v>3.6666666666666665</v>
      </c>
      <c r="R2461" s="2">
        <f>PerfRate[[#This Row],[ManagerRating]] - PerfRate[[#This Row],[SelfRating]]</f>
        <v>0</v>
      </c>
    </row>
    <row r="2462" spans="1:18">
      <c r="A2462" s="2" t="s">
        <v>6769</v>
      </c>
      <c r="B2462" s="2" t="s">
        <v>1839</v>
      </c>
      <c r="C2462" s="1">
        <v>43623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  <c r="L2462" s="2" t="s">
        <v>11031</v>
      </c>
      <c r="M2462" s="2" t="s">
        <v>11030</v>
      </c>
      <c r="N2462" s="2" t="s">
        <v>11034</v>
      </c>
      <c r="O2462" s="2" t="s">
        <v>11034</v>
      </c>
      <c r="P2462" s="2" t="s">
        <v>11035</v>
      </c>
      <c r="Q2462" s="2">
        <f>AVERAGE(PerfRate[[#This Row],[EnvironmentSatisfaction]],PerfRate[[#This Row],[JobSatisfaction]],PerfRate[[#This Row],[RelationshipSatisfaction]])</f>
        <v>1.3333333333333333</v>
      </c>
      <c r="R2462" s="2">
        <f>PerfRate[[#This Row],[ManagerRating]] - PerfRate[[#This Row],[SelfRating]]</f>
        <v>-1</v>
      </c>
    </row>
    <row r="2463" spans="1:18">
      <c r="A2463" s="2" t="s">
        <v>6770</v>
      </c>
      <c r="B2463" s="2" t="s">
        <v>3549</v>
      </c>
      <c r="C2463" s="1">
        <v>43684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  <c r="L2463" s="2" t="s">
        <v>11030</v>
      </c>
      <c r="M2463" s="2" t="s">
        <v>11029</v>
      </c>
      <c r="N2463" s="2" t="s">
        <v>11035</v>
      </c>
      <c r="O2463" s="2" t="s">
        <v>11034</v>
      </c>
      <c r="P2463" s="2" t="s">
        <v>11036</v>
      </c>
      <c r="Q2463" s="2">
        <f>AVERAGE(PerfRate[[#This Row],[EnvironmentSatisfaction]],PerfRate[[#This Row],[JobSatisfaction]],PerfRate[[#This Row],[RelationshipSatisfaction]])</f>
        <v>2</v>
      </c>
      <c r="R2463" s="2">
        <f>PerfRate[[#This Row],[ManagerRating]] - PerfRate[[#This Row],[SelfRating]]</f>
        <v>-1</v>
      </c>
    </row>
    <row r="2464" spans="1:18">
      <c r="A2464" s="2" t="s">
        <v>6771</v>
      </c>
      <c r="B2464" s="2" t="s">
        <v>541</v>
      </c>
      <c r="C2464" s="1">
        <v>43684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  <c r="L2464" s="2" t="s">
        <v>11030</v>
      </c>
      <c r="M2464" s="2" t="s">
        <v>11030</v>
      </c>
      <c r="N2464" s="2" t="s">
        <v>11035</v>
      </c>
      <c r="O2464" s="2" t="s">
        <v>11037</v>
      </c>
      <c r="P2464" s="2" t="s">
        <v>11037</v>
      </c>
      <c r="Q2464" s="2">
        <f>AVERAGE(PerfRate[[#This Row],[EnvironmentSatisfaction]],PerfRate[[#This Row],[JobSatisfaction]],PerfRate[[#This Row],[RelationshipSatisfaction]])</f>
        <v>3.3333333333333335</v>
      </c>
      <c r="R2464" s="2">
        <f>PerfRate[[#This Row],[ManagerRating]] - PerfRate[[#This Row],[SelfRating]]</f>
        <v>0</v>
      </c>
    </row>
    <row r="2465" spans="1:18">
      <c r="A2465" s="2" t="s">
        <v>6772</v>
      </c>
      <c r="B2465" s="2" t="s">
        <v>2117</v>
      </c>
      <c r="C2465" s="1">
        <v>41825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  <c r="L2465" s="2" t="s">
        <v>11030</v>
      </c>
      <c r="M2465" s="2" t="s">
        <v>11030</v>
      </c>
      <c r="N2465" s="2" t="s">
        <v>11036</v>
      </c>
      <c r="O2465" s="2" t="s">
        <v>11035</v>
      </c>
      <c r="P2465" s="2" t="s">
        <v>11038</v>
      </c>
      <c r="Q2465" s="2">
        <f>AVERAGE(PerfRate[[#This Row],[EnvironmentSatisfaction]],PerfRate[[#This Row],[JobSatisfaction]],PerfRate[[#This Row],[RelationshipSatisfaction]])</f>
        <v>3.3333333333333335</v>
      </c>
      <c r="R2465" s="2">
        <f>PerfRate[[#This Row],[ManagerRating]] - PerfRate[[#This Row],[SelfRating]]</f>
        <v>0</v>
      </c>
    </row>
    <row r="2466" spans="1:18">
      <c r="A2466" s="2" t="s">
        <v>6773</v>
      </c>
      <c r="B2466" s="2" t="s">
        <v>1794</v>
      </c>
      <c r="C2466" s="1">
        <v>43684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  <c r="L2466" s="2" t="s">
        <v>11031</v>
      </c>
      <c r="M2466" s="2" t="s">
        <v>11030</v>
      </c>
      <c r="N2466" s="2" t="s">
        <v>11034</v>
      </c>
      <c r="O2466" s="2" t="s">
        <v>11034</v>
      </c>
      <c r="P2466" s="2" t="s">
        <v>11037</v>
      </c>
      <c r="Q2466" s="2">
        <f>AVERAGE(PerfRate[[#This Row],[EnvironmentSatisfaction]],PerfRate[[#This Row],[JobSatisfaction]],PerfRate[[#This Row],[RelationshipSatisfaction]])</f>
        <v>2</v>
      </c>
      <c r="R2466" s="2">
        <f>PerfRate[[#This Row],[ManagerRating]] - PerfRate[[#This Row],[SelfRating]]</f>
        <v>-1</v>
      </c>
    </row>
    <row r="2467" spans="1:18">
      <c r="A2467" s="2" t="s">
        <v>6774</v>
      </c>
      <c r="B2467" s="2" t="s">
        <v>232</v>
      </c>
      <c r="C2467" s="1">
        <v>43715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  <c r="L2467" s="2" t="s">
        <v>11030</v>
      </c>
      <c r="M2467" s="2" t="s">
        <v>11030</v>
      </c>
      <c r="N2467" s="2" t="s">
        <v>11037</v>
      </c>
      <c r="O2467" s="2" t="s">
        <v>11037</v>
      </c>
      <c r="P2467" s="2" t="s">
        <v>11037</v>
      </c>
      <c r="Q2467" s="2">
        <f>AVERAGE(PerfRate[[#This Row],[EnvironmentSatisfaction]],PerfRate[[#This Row],[JobSatisfaction]],PerfRate[[#This Row],[RelationshipSatisfaction]])</f>
        <v>4</v>
      </c>
      <c r="R2467" s="2">
        <f>PerfRate[[#This Row],[ManagerRating]] - PerfRate[[#This Row],[SelfRating]]</f>
        <v>0</v>
      </c>
    </row>
    <row r="2468" spans="1:18">
      <c r="A2468" s="2" t="s">
        <v>6775</v>
      </c>
      <c r="B2468" s="2" t="s">
        <v>473</v>
      </c>
      <c r="C2468" s="1">
        <v>43715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  <c r="L2468" s="2" t="s">
        <v>11031</v>
      </c>
      <c r="M2468" s="2" t="s">
        <v>11030</v>
      </c>
      <c r="N2468" s="2" t="s">
        <v>11034</v>
      </c>
      <c r="O2468" s="2" t="s">
        <v>11036</v>
      </c>
      <c r="P2468" s="2" t="s">
        <v>11037</v>
      </c>
      <c r="Q2468" s="2">
        <f>AVERAGE(PerfRate[[#This Row],[EnvironmentSatisfaction]],PerfRate[[#This Row],[JobSatisfaction]],PerfRate[[#This Row],[RelationshipSatisfaction]])</f>
        <v>2.6666666666666665</v>
      </c>
      <c r="R2468" s="2">
        <f>PerfRate[[#This Row],[ManagerRating]] - PerfRate[[#This Row],[SelfRating]]</f>
        <v>-1</v>
      </c>
    </row>
    <row r="2469" spans="1:18">
      <c r="A2469" s="2" t="s">
        <v>6776</v>
      </c>
      <c r="B2469" s="2" t="s">
        <v>1258</v>
      </c>
      <c r="C2469" s="1">
        <v>43715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  <c r="L2469" s="2" t="s">
        <v>11030</v>
      </c>
      <c r="M2469" s="2" t="s">
        <v>11030</v>
      </c>
      <c r="N2469" s="2" t="s">
        <v>11036</v>
      </c>
      <c r="O2469" s="2" t="s">
        <v>11035</v>
      </c>
      <c r="P2469" s="2" t="s">
        <v>11034</v>
      </c>
      <c r="Q2469" s="2">
        <f>AVERAGE(PerfRate[[#This Row],[EnvironmentSatisfaction]],PerfRate[[#This Row],[JobSatisfaction]],PerfRate[[#This Row],[RelationshipSatisfaction]])</f>
        <v>2</v>
      </c>
      <c r="R2469" s="2">
        <f>PerfRate[[#This Row],[ManagerRating]] - PerfRate[[#This Row],[SelfRating]]</f>
        <v>0</v>
      </c>
    </row>
    <row r="2470" spans="1:18">
      <c r="A2470" s="2" t="s">
        <v>6777</v>
      </c>
      <c r="B2470" s="2" t="s">
        <v>1021</v>
      </c>
      <c r="C2470" s="1">
        <v>43715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  <c r="L2470" s="2" t="s">
        <v>11029</v>
      </c>
      <c r="M2470" s="2" t="s">
        <v>11029</v>
      </c>
      <c r="N2470" s="2" t="s">
        <v>11037</v>
      </c>
      <c r="O2470" s="2" t="s">
        <v>11034</v>
      </c>
      <c r="P2470" s="2" t="s">
        <v>11036</v>
      </c>
      <c r="Q2470" s="2">
        <f>AVERAGE(PerfRate[[#This Row],[EnvironmentSatisfaction]],PerfRate[[#This Row],[JobSatisfaction]],PerfRate[[#This Row],[RelationshipSatisfaction]])</f>
        <v>2.6666666666666665</v>
      </c>
      <c r="R2470" s="2">
        <f>PerfRate[[#This Row],[ManagerRating]] - PerfRate[[#This Row],[SelfRating]]</f>
        <v>0</v>
      </c>
    </row>
    <row r="2471" spans="1:18">
      <c r="A2471" s="2" t="s">
        <v>6778</v>
      </c>
      <c r="B2471" s="2" t="s">
        <v>1298</v>
      </c>
      <c r="C2471" s="1">
        <v>43715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  <c r="L2471" s="2" t="s">
        <v>11031</v>
      </c>
      <c r="M2471" s="2" t="s">
        <v>11030</v>
      </c>
      <c r="N2471" s="2" t="s">
        <v>11036</v>
      </c>
      <c r="O2471" s="2" t="s">
        <v>11036</v>
      </c>
      <c r="P2471" s="2" t="s">
        <v>11035</v>
      </c>
      <c r="Q2471" s="2">
        <f>AVERAGE(PerfRate[[#This Row],[EnvironmentSatisfaction]],PerfRate[[#This Row],[JobSatisfaction]],PerfRate[[#This Row],[RelationshipSatisfaction]])</f>
        <v>2.6666666666666665</v>
      </c>
      <c r="R2471" s="2">
        <f>PerfRate[[#This Row],[ManagerRating]] - PerfRate[[#This Row],[SelfRating]]</f>
        <v>-1</v>
      </c>
    </row>
    <row r="2472" spans="1:18">
      <c r="A2472" s="2" t="s">
        <v>6779</v>
      </c>
      <c r="B2472" s="2" t="s">
        <v>2757</v>
      </c>
      <c r="C2472" s="1">
        <v>43745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  <c r="L2472" s="2" t="s">
        <v>11030</v>
      </c>
      <c r="M2472" s="2" t="s">
        <v>11030</v>
      </c>
      <c r="N2472" s="2" t="s">
        <v>11038</v>
      </c>
      <c r="O2472" s="2" t="s">
        <v>11037</v>
      </c>
      <c r="P2472" s="2" t="s">
        <v>11037</v>
      </c>
      <c r="Q2472" s="2">
        <f>AVERAGE(PerfRate[[#This Row],[EnvironmentSatisfaction]],PerfRate[[#This Row],[JobSatisfaction]],PerfRate[[#This Row],[RelationshipSatisfaction]])</f>
        <v>4.333333333333333</v>
      </c>
      <c r="R2472" s="2">
        <f>PerfRate[[#This Row],[ManagerRating]] - PerfRate[[#This Row],[SelfRating]]</f>
        <v>0</v>
      </c>
    </row>
    <row r="2473" spans="1:18">
      <c r="A2473" s="2" t="s">
        <v>6780</v>
      </c>
      <c r="B2473" s="2" t="s">
        <v>269</v>
      </c>
      <c r="C2473" s="1">
        <v>43745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  <c r="L2473" s="2" t="s">
        <v>11030</v>
      </c>
      <c r="M2473" s="2" t="s">
        <v>11030</v>
      </c>
      <c r="N2473" s="2" t="s">
        <v>11037</v>
      </c>
      <c r="O2473" s="2" t="s">
        <v>11038</v>
      </c>
      <c r="P2473" s="2" t="s">
        <v>11037</v>
      </c>
      <c r="Q2473" s="2">
        <f>AVERAGE(PerfRate[[#This Row],[EnvironmentSatisfaction]],PerfRate[[#This Row],[JobSatisfaction]],PerfRate[[#This Row],[RelationshipSatisfaction]])</f>
        <v>4.333333333333333</v>
      </c>
      <c r="R2473" s="2">
        <f>PerfRate[[#This Row],[ManagerRating]] - PerfRate[[#This Row],[SelfRating]]</f>
        <v>0</v>
      </c>
    </row>
    <row r="2474" spans="1:18">
      <c r="A2474" s="2" t="s">
        <v>6781</v>
      </c>
      <c r="B2474" s="2" t="s">
        <v>643</v>
      </c>
      <c r="C2474" s="1">
        <v>43745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  <c r="L2474" s="2" t="s">
        <v>11031</v>
      </c>
      <c r="M2474" s="2" t="s">
        <v>11031</v>
      </c>
      <c r="N2474" s="2" t="s">
        <v>11036</v>
      </c>
      <c r="O2474" s="2" t="s">
        <v>11038</v>
      </c>
      <c r="P2474" s="2" t="s">
        <v>11037</v>
      </c>
      <c r="Q2474" s="2">
        <f>AVERAGE(PerfRate[[#This Row],[EnvironmentSatisfaction]],PerfRate[[#This Row],[JobSatisfaction]],PerfRate[[#This Row],[RelationshipSatisfaction]])</f>
        <v>4</v>
      </c>
      <c r="R2474" s="2">
        <f>PerfRate[[#This Row],[ManagerRating]] - PerfRate[[#This Row],[SelfRating]]</f>
        <v>0</v>
      </c>
    </row>
    <row r="2475" spans="1:18">
      <c r="A2475" s="2" t="s">
        <v>6782</v>
      </c>
      <c r="B2475" s="2" t="s">
        <v>1403</v>
      </c>
      <c r="C2475" s="1">
        <v>43745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  <c r="L2475" s="2" t="s">
        <v>11030</v>
      </c>
      <c r="M2475" s="2" t="s">
        <v>11030</v>
      </c>
      <c r="N2475" s="2" t="s">
        <v>11037</v>
      </c>
      <c r="O2475" s="2" t="s">
        <v>11038</v>
      </c>
      <c r="P2475" s="2" t="s">
        <v>11037</v>
      </c>
      <c r="Q2475" s="2">
        <f>AVERAGE(PerfRate[[#This Row],[EnvironmentSatisfaction]],PerfRate[[#This Row],[JobSatisfaction]],PerfRate[[#This Row],[RelationshipSatisfaction]])</f>
        <v>4.333333333333333</v>
      </c>
      <c r="R2475" s="2">
        <f>PerfRate[[#This Row],[ManagerRating]] - PerfRate[[#This Row],[SelfRating]]</f>
        <v>0</v>
      </c>
    </row>
    <row r="2476" spans="1:18">
      <c r="A2476" s="2" t="s">
        <v>6783</v>
      </c>
      <c r="B2476" s="2" t="s">
        <v>3091</v>
      </c>
      <c r="C2476" s="1">
        <v>41825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  <c r="L2476" s="2" t="s">
        <v>11029</v>
      </c>
      <c r="M2476" s="2" t="s">
        <v>11028</v>
      </c>
      <c r="N2476" s="2" t="s">
        <v>11036</v>
      </c>
      <c r="O2476" s="2" t="s">
        <v>11035</v>
      </c>
      <c r="P2476" s="2" t="s">
        <v>11038</v>
      </c>
      <c r="Q2476" s="2">
        <f>AVERAGE(PerfRate[[#This Row],[EnvironmentSatisfaction]],PerfRate[[#This Row],[JobSatisfaction]],PerfRate[[#This Row],[RelationshipSatisfaction]])</f>
        <v>3.3333333333333335</v>
      </c>
      <c r="R2476" s="2">
        <f>PerfRate[[#This Row],[ManagerRating]] - PerfRate[[#This Row],[SelfRating]]</f>
        <v>-1</v>
      </c>
    </row>
    <row r="2477" spans="1:18">
      <c r="A2477" s="2" t="s">
        <v>6784</v>
      </c>
      <c r="B2477" s="2" t="s">
        <v>1555</v>
      </c>
      <c r="C2477" s="1">
        <v>43745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  <c r="L2477" s="2" t="s">
        <v>11031</v>
      </c>
      <c r="M2477" s="2" t="s">
        <v>11031</v>
      </c>
      <c r="N2477" s="2" t="s">
        <v>11038</v>
      </c>
      <c r="O2477" s="2" t="s">
        <v>11035</v>
      </c>
      <c r="P2477" s="2" t="s">
        <v>11037</v>
      </c>
      <c r="Q2477" s="2">
        <f>AVERAGE(PerfRate[[#This Row],[EnvironmentSatisfaction]],PerfRate[[#This Row],[JobSatisfaction]],PerfRate[[#This Row],[RelationshipSatisfaction]])</f>
        <v>3.6666666666666665</v>
      </c>
      <c r="R2477" s="2">
        <f>PerfRate[[#This Row],[ManagerRating]] - PerfRate[[#This Row],[SelfRating]]</f>
        <v>0</v>
      </c>
    </row>
    <row r="2478" spans="1:18">
      <c r="A2478" s="2" t="s">
        <v>6785</v>
      </c>
      <c r="B2478" s="2" t="s">
        <v>308</v>
      </c>
      <c r="C2478" s="1">
        <v>43776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  <c r="L2478" s="2" t="s">
        <v>11031</v>
      </c>
      <c r="M2478" s="2" t="s">
        <v>11030</v>
      </c>
      <c r="N2478" s="2" t="s">
        <v>11037</v>
      </c>
      <c r="O2478" s="2" t="s">
        <v>11037</v>
      </c>
      <c r="P2478" s="2" t="s">
        <v>11037</v>
      </c>
      <c r="Q2478" s="2">
        <f>AVERAGE(PerfRate[[#This Row],[EnvironmentSatisfaction]],PerfRate[[#This Row],[JobSatisfaction]],PerfRate[[#This Row],[RelationshipSatisfaction]])</f>
        <v>4</v>
      </c>
      <c r="R2478" s="2">
        <f>PerfRate[[#This Row],[ManagerRating]] - PerfRate[[#This Row],[SelfRating]]</f>
        <v>-1</v>
      </c>
    </row>
    <row r="2479" spans="1:18">
      <c r="A2479" s="2" t="s">
        <v>6786</v>
      </c>
      <c r="B2479" s="2" t="s">
        <v>1039</v>
      </c>
      <c r="C2479" s="1">
        <v>43776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  <c r="L2479" s="2" t="s">
        <v>11031</v>
      </c>
      <c r="M2479" s="2" t="s">
        <v>11031</v>
      </c>
      <c r="N2479" s="2" t="s">
        <v>11038</v>
      </c>
      <c r="O2479" s="2" t="s">
        <v>11037</v>
      </c>
      <c r="P2479" s="2" t="s">
        <v>11036</v>
      </c>
      <c r="Q2479" s="2">
        <f>AVERAGE(PerfRate[[#This Row],[EnvironmentSatisfaction]],PerfRate[[#This Row],[JobSatisfaction]],PerfRate[[#This Row],[RelationshipSatisfaction]])</f>
        <v>4</v>
      </c>
      <c r="R2479" s="2">
        <f>PerfRate[[#This Row],[ManagerRating]] - PerfRate[[#This Row],[SelfRating]]</f>
        <v>0</v>
      </c>
    </row>
    <row r="2480" spans="1:18">
      <c r="A2480" s="2" t="s">
        <v>6787</v>
      </c>
      <c r="B2480" s="2" t="s">
        <v>1933</v>
      </c>
      <c r="C2480" s="1">
        <v>43776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  <c r="L2480" s="2" t="s">
        <v>11030</v>
      </c>
      <c r="M2480" s="2" t="s">
        <v>11030</v>
      </c>
      <c r="N2480" s="2" t="s">
        <v>11037</v>
      </c>
      <c r="O2480" s="2" t="s">
        <v>11036</v>
      </c>
      <c r="P2480" s="2" t="s">
        <v>11037</v>
      </c>
      <c r="Q2480" s="2">
        <f>AVERAGE(PerfRate[[#This Row],[EnvironmentSatisfaction]],PerfRate[[#This Row],[JobSatisfaction]],PerfRate[[#This Row],[RelationshipSatisfaction]])</f>
        <v>3.6666666666666665</v>
      </c>
      <c r="R2480" s="2">
        <f>PerfRate[[#This Row],[ManagerRating]] - PerfRate[[#This Row],[SelfRating]]</f>
        <v>0</v>
      </c>
    </row>
    <row r="2481" spans="1:18">
      <c r="A2481" s="2" t="s">
        <v>6788</v>
      </c>
      <c r="B2481" s="2" t="s">
        <v>1218</v>
      </c>
      <c r="C2481" s="1">
        <v>43806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  <c r="L2481" s="2" t="s">
        <v>11030</v>
      </c>
      <c r="M2481" s="2" t="s">
        <v>11029</v>
      </c>
      <c r="N2481" s="2" t="s">
        <v>11037</v>
      </c>
      <c r="O2481" s="2" t="s">
        <v>11037</v>
      </c>
      <c r="P2481" s="2" t="s">
        <v>11036</v>
      </c>
      <c r="Q2481" s="2">
        <f>AVERAGE(PerfRate[[#This Row],[EnvironmentSatisfaction]],PerfRate[[#This Row],[JobSatisfaction]],PerfRate[[#This Row],[RelationshipSatisfaction]])</f>
        <v>3.6666666666666665</v>
      </c>
      <c r="R2481" s="2">
        <f>PerfRate[[#This Row],[ManagerRating]] - PerfRate[[#This Row],[SelfRating]]</f>
        <v>-1</v>
      </c>
    </row>
    <row r="2482" spans="1:18">
      <c r="A2482" s="2" t="s">
        <v>6789</v>
      </c>
      <c r="B2482" s="2" t="s">
        <v>535</v>
      </c>
      <c r="C2482" s="1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  <c r="L2482" s="2" t="s">
        <v>11031</v>
      </c>
      <c r="M2482" s="2" t="s">
        <v>11030</v>
      </c>
      <c r="N2482" s="2" t="s">
        <v>11037</v>
      </c>
      <c r="O2482" s="2" t="s">
        <v>11035</v>
      </c>
      <c r="P2482" s="2" t="s">
        <v>11038</v>
      </c>
      <c r="Q2482" s="2">
        <f>AVERAGE(PerfRate[[#This Row],[EnvironmentSatisfaction]],PerfRate[[#This Row],[JobSatisfaction]],PerfRate[[#This Row],[RelationshipSatisfaction]])</f>
        <v>3.6666666666666665</v>
      </c>
      <c r="R2482" s="2">
        <f>PerfRate[[#This Row],[ManagerRating]] - PerfRate[[#This Row],[SelfRating]]</f>
        <v>-1</v>
      </c>
    </row>
    <row r="2483" spans="1:18">
      <c r="A2483" s="2" t="s">
        <v>6790</v>
      </c>
      <c r="B2483" s="2" t="s">
        <v>1036</v>
      </c>
      <c r="C2483" s="1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  <c r="L2483" s="2" t="s">
        <v>11030</v>
      </c>
      <c r="M2483" s="2" t="s">
        <v>11030</v>
      </c>
      <c r="N2483" s="2" t="s">
        <v>11038</v>
      </c>
      <c r="O2483" s="2" t="s">
        <v>11038</v>
      </c>
      <c r="P2483" s="2" t="s">
        <v>11037</v>
      </c>
      <c r="Q2483" s="2">
        <f>AVERAGE(PerfRate[[#This Row],[EnvironmentSatisfaction]],PerfRate[[#This Row],[JobSatisfaction]],PerfRate[[#This Row],[RelationshipSatisfaction]])</f>
        <v>4.666666666666667</v>
      </c>
      <c r="R2483" s="2">
        <f>PerfRate[[#This Row],[ManagerRating]] - PerfRate[[#This Row],[SelfRating]]</f>
        <v>0</v>
      </c>
    </row>
    <row r="2484" spans="1:18">
      <c r="A2484" s="2" t="s">
        <v>6791</v>
      </c>
      <c r="B2484" s="2" t="s">
        <v>1009</v>
      </c>
      <c r="C2484" s="1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  <c r="L2484" s="2" t="s">
        <v>11030</v>
      </c>
      <c r="M2484" s="2" t="s">
        <v>11029</v>
      </c>
      <c r="N2484" s="2" t="s">
        <v>11037</v>
      </c>
      <c r="O2484" s="2" t="s">
        <v>11036</v>
      </c>
      <c r="P2484" s="2" t="s">
        <v>11035</v>
      </c>
      <c r="Q2484" s="2">
        <f>AVERAGE(PerfRate[[#This Row],[EnvironmentSatisfaction]],PerfRate[[#This Row],[JobSatisfaction]],PerfRate[[#This Row],[RelationshipSatisfaction]])</f>
        <v>3</v>
      </c>
      <c r="R2484" s="2">
        <f>PerfRate[[#This Row],[ManagerRating]] - PerfRate[[#This Row],[SelfRating]]</f>
        <v>-1</v>
      </c>
    </row>
    <row r="2485" spans="1:18">
      <c r="A2485" s="2" t="s">
        <v>6792</v>
      </c>
      <c r="B2485" s="2" t="s">
        <v>1523</v>
      </c>
      <c r="C2485" s="1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  <c r="L2485" s="2" t="s">
        <v>11031</v>
      </c>
      <c r="M2485" s="2" t="s">
        <v>11031</v>
      </c>
      <c r="N2485" s="2" t="s">
        <v>11038</v>
      </c>
      <c r="O2485" s="2" t="s">
        <v>11038</v>
      </c>
      <c r="P2485" s="2" t="s">
        <v>11035</v>
      </c>
      <c r="Q2485" s="2">
        <f>AVERAGE(PerfRate[[#This Row],[EnvironmentSatisfaction]],PerfRate[[#This Row],[JobSatisfaction]],PerfRate[[#This Row],[RelationshipSatisfaction]])</f>
        <v>4</v>
      </c>
      <c r="R2485" s="2">
        <f>PerfRate[[#This Row],[ManagerRating]] - PerfRate[[#This Row],[SelfRating]]</f>
        <v>0</v>
      </c>
    </row>
    <row r="2486" spans="1:18">
      <c r="A2486" s="2" t="s">
        <v>6793</v>
      </c>
      <c r="B2486" s="2" t="s">
        <v>907</v>
      </c>
      <c r="C2486" s="1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  <c r="L2486" s="2" t="s">
        <v>11030</v>
      </c>
      <c r="M2486" s="2" t="s">
        <v>11029</v>
      </c>
      <c r="N2486" s="2" t="s">
        <v>11038</v>
      </c>
      <c r="O2486" s="2" t="s">
        <v>11035</v>
      </c>
      <c r="P2486" s="2" t="s">
        <v>11035</v>
      </c>
      <c r="Q2486" s="2">
        <f>AVERAGE(PerfRate[[#This Row],[EnvironmentSatisfaction]],PerfRate[[#This Row],[JobSatisfaction]],PerfRate[[#This Row],[RelationshipSatisfaction]])</f>
        <v>3</v>
      </c>
      <c r="R2486" s="2">
        <f>PerfRate[[#This Row],[ManagerRating]] - PerfRate[[#This Row],[SelfRating]]</f>
        <v>-1</v>
      </c>
    </row>
    <row r="2487" spans="1:18">
      <c r="A2487" s="2" t="s">
        <v>6794</v>
      </c>
      <c r="B2487" s="2" t="s">
        <v>1321</v>
      </c>
      <c r="C2487" s="1">
        <v>41825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  <c r="L2487" s="2" t="s">
        <v>11029</v>
      </c>
      <c r="M2487" s="2" t="s">
        <v>11029</v>
      </c>
      <c r="N2487" s="2" t="s">
        <v>11036</v>
      </c>
      <c r="O2487" s="2" t="s">
        <v>11038</v>
      </c>
      <c r="P2487" s="2" t="s">
        <v>11035</v>
      </c>
      <c r="Q2487" s="2">
        <f>AVERAGE(PerfRate[[#This Row],[EnvironmentSatisfaction]],PerfRate[[#This Row],[JobSatisfaction]],PerfRate[[#This Row],[RelationshipSatisfaction]])</f>
        <v>3.3333333333333335</v>
      </c>
      <c r="R2487" s="2">
        <f>PerfRate[[#This Row],[ManagerRating]] - PerfRate[[#This Row],[SelfRating]]</f>
        <v>0</v>
      </c>
    </row>
    <row r="2488" spans="1:18">
      <c r="A2488" s="2" t="s">
        <v>6795</v>
      </c>
      <c r="B2488" s="2" t="s">
        <v>1192</v>
      </c>
      <c r="C2488" s="1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  <c r="L2488" s="2" t="s">
        <v>11031</v>
      </c>
      <c r="M2488" s="2" t="s">
        <v>11030</v>
      </c>
      <c r="N2488" s="2" t="s">
        <v>11036</v>
      </c>
      <c r="O2488" s="2" t="s">
        <v>11036</v>
      </c>
      <c r="P2488" s="2" t="s">
        <v>11036</v>
      </c>
      <c r="Q2488" s="2">
        <f>AVERAGE(PerfRate[[#This Row],[EnvironmentSatisfaction]],PerfRate[[#This Row],[JobSatisfaction]],PerfRate[[#This Row],[RelationshipSatisfaction]])</f>
        <v>3</v>
      </c>
      <c r="R2488" s="2">
        <f>PerfRate[[#This Row],[ManagerRating]] - PerfRate[[#This Row],[SelfRating]]</f>
        <v>-1</v>
      </c>
    </row>
    <row r="2489" spans="1:18">
      <c r="A2489" s="2" t="s">
        <v>6796</v>
      </c>
      <c r="B2489" s="2" t="s">
        <v>2575</v>
      </c>
      <c r="C2489" s="1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  <c r="L2489" s="2" t="s">
        <v>11029</v>
      </c>
      <c r="M2489" s="2" t="s">
        <v>11029</v>
      </c>
      <c r="N2489" s="2" t="s">
        <v>11036</v>
      </c>
      <c r="O2489" s="2" t="s">
        <v>11036</v>
      </c>
      <c r="P2489" s="2" t="s">
        <v>11036</v>
      </c>
      <c r="Q2489" s="2">
        <f>AVERAGE(PerfRate[[#This Row],[EnvironmentSatisfaction]],PerfRate[[#This Row],[JobSatisfaction]],PerfRate[[#This Row],[RelationshipSatisfaction]])</f>
        <v>3</v>
      </c>
      <c r="R2489" s="2">
        <f>PerfRate[[#This Row],[ManagerRating]] - PerfRate[[#This Row],[SelfRating]]</f>
        <v>0</v>
      </c>
    </row>
    <row r="2490" spans="1:18">
      <c r="A2490" s="2" t="s">
        <v>6797</v>
      </c>
      <c r="B2490" s="2" t="s">
        <v>67</v>
      </c>
      <c r="C2490" s="1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  <c r="L2490" s="2" t="s">
        <v>11030</v>
      </c>
      <c r="M2490" s="2" t="s">
        <v>11030</v>
      </c>
      <c r="N2490" s="2" t="s">
        <v>11038</v>
      </c>
      <c r="O2490" s="2" t="s">
        <v>11036</v>
      </c>
      <c r="P2490" s="2" t="s">
        <v>11038</v>
      </c>
      <c r="Q2490" s="2">
        <f>AVERAGE(PerfRate[[#This Row],[EnvironmentSatisfaction]],PerfRate[[#This Row],[JobSatisfaction]],PerfRate[[#This Row],[RelationshipSatisfaction]])</f>
        <v>4.333333333333333</v>
      </c>
      <c r="R2490" s="2">
        <f>PerfRate[[#This Row],[ManagerRating]] - PerfRate[[#This Row],[SelfRating]]</f>
        <v>0</v>
      </c>
    </row>
    <row r="2491" spans="1:18">
      <c r="A2491" s="2" t="s">
        <v>6798</v>
      </c>
      <c r="B2491" s="2" t="s">
        <v>1018</v>
      </c>
      <c r="C2491" s="1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  <c r="L2491" s="2" t="s">
        <v>11031</v>
      </c>
      <c r="M2491" s="2" t="s">
        <v>11030</v>
      </c>
      <c r="N2491" s="2" t="s">
        <v>11036</v>
      </c>
      <c r="O2491" s="2" t="s">
        <v>11038</v>
      </c>
      <c r="P2491" s="2" t="s">
        <v>11035</v>
      </c>
      <c r="Q2491" s="2">
        <f>AVERAGE(PerfRate[[#This Row],[EnvironmentSatisfaction]],PerfRate[[#This Row],[JobSatisfaction]],PerfRate[[#This Row],[RelationshipSatisfaction]])</f>
        <v>3.3333333333333335</v>
      </c>
      <c r="R2491" s="2">
        <f>PerfRate[[#This Row],[ManagerRating]] - PerfRate[[#This Row],[SelfRating]]</f>
        <v>-1</v>
      </c>
    </row>
    <row r="2492" spans="1:18">
      <c r="A2492" s="2" t="s">
        <v>6799</v>
      </c>
      <c r="B2492" s="2" t="s">
        <v>1605</v>
      </c>
      <c r="C2492" s="1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  <c r="L2492" s="2" t="s">
        <v>11030</v>
      </c>
      <c r="M2492" s="2" t="s">
        <v>11029</v>
      </c>
      <c r="N2492" s="2" t="s">
        <v>11036</v>
      </c>
      <c r="O2492" s="2" t="s">
        <v>11035</v>
      </c>
      <c r="P2492" s="2" t="s">
        <v>11038</v>
      </c>
      <c r="Q2492" s="2">
        <f>AVERAGE(PerfRate[[#This Row],[EnvironmentSatisfaction]],PerfRate[[#This Row],[JobSatisfaction]],PerfRate[[#This Row],[RelationshipSatisfaction]])</f>
        <v>3.3333333333333335</v>
      </c>
      <c r="R2492" s="2">
        <f>PerfRate[[#This Row],[ManagerRating]] - PerfRate[[#This Row],[SelfRating]]</f>
        <v>-1</v>
      </c>
    </row>
    <row r="2493" spans="1:18">
      <c r="A2493" s="2" t="s">
        <v>6800</v>
      </c>
      <c r="B2493" s="2" t="s">
        <v>3824</v>
      </c>
      <c r="C2493" s="1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  <c r="L2493" s="2" t="s">
        <v>11030</v>
      </c>
      <c r="M2493" s="2" t="s">
        <v>11029</v>
      </c>
      <c r="N2493" s="2" t="s">
        <v>11036</v>
      </c>
      <c r="O2493" s="2" t="s">
        <v>11035</v>
      </c>
      <c r="P2493" s="2" t="s">
        <v>11038</v>
      </c>
      <c r="Q2493" s="2">
        <f>AVERAGE(PerfRate[[#This Row],[EnvironmentSatisfaction]],PerfRate[[#This Row],[JobSatisfaction]],PerfRate[[#This Row],[RelationshipSatisfaction]])</f>
        <v>3.3333333333333335</v>
      </c>
      <c r="R2493" s="2">
        <f>PerfRate[[#This Row],[ManagerRating]] - PerfRate[[#This Row],[SelfRating]]</f>
        <v>-1</v>
      </c>
    </row>
    <row r="2494" spans="1:18">
      <c r="A2494" s="2" t="s">
        <v>6801</v>
      </c>
      <c r="B2494" s="2" t="s">
        <v>3192</v>
      </c>
      <c r="C2494" s="1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  <c r="L2494" s="2" t="s">
        <v>11030</v>
      </c>
      <c r="M2494" s="2" t="s">
        <v>11030</v>
      </c>
      <c r="N2494" s="2" t="s">
        <v>11037</v>
      </c>
      <c r="O2494" s="2" t="s">
        <v>11035</v>
      </c>
      <c r="P2494" s="2" t="s">
        <v>11036</v>
      </c>
      <c r="Q2494" s="2">
        <f>AVERAGE(PerfRate[[#This Row],[EnvironmentSatisfaction]],PerfRate[[#This Row],[JobSatisfaction]],PerfRate[[#This Row],[RelationshipSatisfaction]])</f>
        <v>3</v>
      </c>
      <c r="R2494" s="2">
        <f>PerfRate[[#This Row],[ManagerRating]] - PerfRate[[#This Row],[SelfRating]]</f>
        <v>0</v>
      </c>
    </row>
    <row r="2495" spans="1:18">
      <c r="A2495" s="2" t="s">
        <v>6802</v>
      </c>
      <c r="B2495" s="2" t="s">
        <v>2946</v>
      </c>
      <c r="C2495" s="1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  <c r="L2495" s="2" t="s">
        <v>11029</v>
      </c>
      <c r="M2495" s="2" t="s">
        <v>11028</v>
      </c>
      <c r="N2495" s="2" t="s">
        <v>11038</v>
      </c>
      <c r="O2495" s="2" t="s">
        <v>11038</v>
      </c>
      <c r="P2495" s="2" t="s">
        <v>11036</v>
      </c>
      <c r="Q2495" s="2">
        <f>AVERAGE(PerfRate[[#This Row],[EnvironmentSatisfaction]],PerfRate[[#This Row],[JobSatisfaction]],PerfRate[[#This Row],[RelationshipSatisfaction]])</f>
        <v>4.333333333333333</v>
      </c>
      <c r="R2495" s="2">
        <f>PerfRate[[#This Row],[ManagerRating]] - PerfRate[[#This Row],[SelfRating]]</f>
        <v>-1</v>
      </c>
    </row>
    <row r="2496" spans="1:18">
      <c r="A2496" s="2" t="s">
        <v>6803</v>
      </c>
      <c r="B2496" s="2" t="s">
        <v>1289</v>
      </c>
      <c r="C2496" s="1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  <c r="L2496" s="2" t="s">
        <v>11031</v>
      </c>
      <c r="M2496" s="2" t="s">
        <v>11030</v>
      </c>
      <c r="N2496" s="2" t="s">
        <v>11037</v>
      </c>
      <c r="O2496" s="2" t="s">
        <v>11035</v>
      </c>
      <c r="P2496" s="2" t="s">
        <v>11036</v>
      </c>
      <c r="Q2496" s="2">
        <f>AVERAGE(PerfRate[[#This Row],[EnvironmentSatisfaction]],PerfRate[[#This Row],[JobSatisfaction]],PerfRate[[#This Row],[RelationshipSatisfaction]])</f>
        <v>3</v>
      </c>
      <c r="R2496" s="2">
        <f>PerfRate[[#This Row],[ManagerRating]] - PerfRate[[#This Row],[SelfRating]]</f>
        <v>-1</v>
      </c>
    </row>
    <row r="2497" spans="1:18">
      <c r="A2497" s="2" t="s">
        <v>6804</v>
      </c>
      <c r="B2497" s="2" t="s">
        <v>1042</v>
      </c>
      <c r="C2497" s="1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  <c r="L2497" s="2" t="s">
        <v>11031</v>
      </c>
      <c r="M2497" s="2" t="s">
        <v>11031</v>
      </c>
      <c r="N2497" s="2" t="s">
        <v>11036</v>
      </c>
      <c r="O2497" s="2" t="s">
        <v>11038</v>
      </c>
      <c r="P2497" s="2" t="s">
        <v>11037</v>
      </c>
      <c r="Q2497" s="2">
        <f>AVERAGE(PerfRate[[#This Row],[EnvironmentSatisfaction]],PerfRate[[#This Row],[JobSatisfaction]],PerfRate[[#This Row],[RelationshipSatisfaction]])</f>
        <v>4</v>
      </c>
      <c r="R2497" s="2">
        <f>PerfRate[[#This Row],[ManagerRating]] - PerfRate[[#This Row],[SelfRating]]</f>
        <v>0</v>
      </c>
    </row>
    <row r="2498" spans="1:18">
      <c r="A2498" s="2" t="s">
        <v>6805</v>
      </c>
      <c r="B2498" s="2" t="s">
        <v>3945</v>
      </c>
      <c r="C2498" s="1">
        <v>41856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  <c r="L2498" s="2" t="s">
        <v>11031</v>
      </c>
      <c r="M2498" s="2" t="s">
        <v>11031</v>
      </c>
      <c r="N2498" s="2" t="s">
        <v>11037</v>
      </c>
      <c r="O2498" s="2" t="s">
        <v>11036</v>
      </c>
      <c r="P2498" s="2" t="s">
        <v>11035</v>
      </c>
      <c r="Q2498" s="2">
        <f>AVERAGE(PerfRate[[#This Row],[EnvironmentSatisfaction]],PerfRate[[#This Row],[JobSatisfaction]],PerfRate[[#This Row],[RelationshipSatisfaction]])</f>
        <v>3</v>
      </c>
      <c r="R2498" s="2">
        <f>PerfRate[[#This Row],[ManagerRating]] - PerfRate[[#This Row],[SelfRating]]</f>
        <v>0</v>
      </c>
    </row>
    <row r="2499" spans="1:18">
      <c r="A2499" s="2" t="s">
        <v>6806</v>
      </c>
      <c r="B2499" s="2" t="s">
        <v>3645</v>
      </c>
      <c r="C2499" s="1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  <c r="L2499" s="2" t="s">
        <v>11029</v>
      </c>
      <c r="M2499" s="2" t="s">
        <v>11029</v>
      </c>
      <c r="N2499" s="2" t="s">
        <v>11038</v>
      </c>
      <c r="O2499" s="2" t="s">
        <v>11038</v>
      </c>
      <c r="P2499" s="2" t="s">
        <v>11038</v>
      </c>
      <c r="Q2499" s="2">
        <f>AVERAGE(PerfRate[[#This Row],[EnvironmentSatisfaction]],PerfRate[[#This Row],[JobSatisfaction]],PerfRate[[#This Row],[RelationshipSatisfaction]])</f>
        <v>5</v>
      </c>
      <c r="R2499" s="2">
        <f>PerfRate[[#This Row],[ManagerRating]] - PerfRate[[#This Row],[SelfRating]]</f>
        <v>0</v>
      </c>
    </row>
    <row r="2500" spans="1:18">
      <c r="A2500" s="2" t="s">
        <v>6807</v>
      </c>
      <c r="B2500" s="2" t="s">
        <v>3088</v>
      </c>
      <c r="C2500" s="1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  <c r="L2500" s="2" t="s">
        <v>11030</v>
      </c>
      <c r="M2500" s="2" t="s">
        <v>11029</v>
      </c>
      <c r="N2500" s="2" t="s">
        <v>11036</v>
      </c>
      <c r="O2500" s="2" t="s">
        <v>11036</v>
      </c>
      <c r="P2500" s="2" t="s">
        <v>11036</v>
      </c>
      <c r="Q2500" s="2">
        <f>AVERAGE(PerfRate[[#This Row],[EnvironmentSatisfaction]],PerfRate[[#This Row],[JobSatisfaction]],PerfRate[[#This Row],[RelationshipSatisfaction]])</f>
        <v>3</v>
      </c>
      <c r="R2500" s="2">
        <f>PerfRate[[#This Row],[ManagerRating]] - PerfRate[[#This Row],[SelfRating]]</f>
        <v>-1</v>
      </c>
    </row>
    <row r="2501" spans="1:18">
      <c r="A2501" s="2" t="s">
        <v>6808</v>
      </c>
      <c r="B2501" s="2" t="s">
        <v>147</v>
      </c>
      <c r="C2501" s="1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  <c r="L2501" s="2" t="s">
        <v>11030</v>
      </c>
      <c r="M2501" s="2" t="s">
        <v>11029</v>
      </c>
      <c r="N2501" s="2" t="s">
        <v>11037</v>
      </c>
      <c r="O2501" s="2" t="s">
        <v>11035</v>
      </c>
      <c r="P2501" s="2" t="s">
        <v>11035</v>
      </c>
      <c r="Q2501" s="2">
        <f>AVERAGE(PerfRate[[#This Row],[EnvironmentSatisfaction]],PerfRate[[#This Row],[JobSatisfaction]],PerfRate[[#This Row],[RelationshipSatisfaction]])</f>
        <v>2.6666666666666665</v>
      </c>
      <c r="R2501" s="2">
        <f>PerfRate[[#This Row],[ManagerRating]] - PerfRate[[#This Row],[SelfRating]]</f>
        <v>-1</v>
      </c>
    </row>
    <row r="2502" spans="1:18">
      <c r="A2502" s="2" t="s">
        <v>6809</v>
      </c>
      <c r="B2502" s="2" t="s">
        <v>699</v>
      </c>
      <c r="C2502" s="1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  <c r="L2502" s="2" t="s">
        <v>11029</v>
      </c>
      <c r="M2502" s="2" t="s">
        <v>11028</v>
      </c>
      <c r="N2502" s="2" t="s">
        <v>11038</v>
      </c>
      <c r="O2502" s="2" t="s">
        <v>11036</v>
      </c>
      <c r="P2502" s="2" t="s">
        <v>11037</v>
      </c>
      <c r="Q2502" s="2">
        <f>AVERAGE(PerfRate[[#This Row],[EnvironmentSatisfaction]],PerfRate[[#This Row],[JobSatisfaction]],PerfRate[[#This Row],[RelationshipSatisfaction]])</f>
        <v>4</v>
      </c>
      <c r="R2502" s="2">
        <f>PerfRate[[#This Row],[ManagerRating]] - PerfRate[[#This Row],[SelfRating]]</f>
        <v>-1</v>
      </c>
    </row>
    <row r="2503" spans="1:18">
      <c r="A2503" s="2" t="s">
        <v>6810</v>
      </c>
      <c r="B2503" s="2" t="s">
        <v>820</v>
      </c>
      <c r="C2503" s="1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  <c r="L2503" s="2" t="s">
        <v>11031</v>
      </c>
      <c r="M2503" s="2" t="s">
        <v>11031</v>
      </c>
      <c r="N2503" s="2" t="s">
        <v>11036</v>
      </c>
      <c r="O2503" s="2" t="s">
        <v>11037</v>
      </c>
      <c r="P2503" s="2" t="s">
        <v>11038</v>
      </c>
      <c r="Q2503" s="2">
        <f>AVERAGE(PerfRate[[#This Row],[EnvironmentSatisfaction]],PerfRate[[#This Row],[JobSatisfaction]],PerfRate[[#This Row],[RelationshipSatisfaction]])</f>
        <v>4</v>
      </c>
      <c r="R2503" s="2">
        <f>PerfRate[[#This Row],[ManagerRating]] - PerfRate[[#This Row],[SelfRating]]</f>
        <v>0</v>
      </c>
    </row>
    <row r="2504" spans="1:18">
      <c r="A2504" s="2" t="s">
        <v>6811</v>
      </c>
      <c r="B2504" s="2" t="s">
        <v>1999</v>
      </c>
      <c r="C2504" s="1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  <c r="L2504" s="2" t="s">
        <v>11030</v>
      </c>
      <c r="M2504" s="2" t="s">
        <v>11029</v>
      </c>
      <c r="N2504" s="2" t="s">
        <v>11037</v>
      </c>
      <c r="O2504" s="2" t="s">
        <v>11035</v>
      </c>
      <c r="P2504" s="2" t="s">
        <v>11036</v>
      </c>
      <c r="Q2504" s="2">
        <f>AVERAGE(PerfRate[[#This Row],[EnvironmentSatisfaction]],PerfRate[[#This Row],[JobSatisfaction]],PerfRate[[#This Row],[RelationshipSatisfaction]])</f>
        <v>3</v>
      </c>
      <c r="R2504" s="2">
        <f>PerfRate[[#This Row],[ManagerRating]] - PerfRate[[#This Row],[SelfRating]]</f>
        <v>-1</v>
      </c>
    </row>
    <row r="2505" spans="1:18">
      <c r="A2505" s="2" t="s">
        <v>6812</v>
      </c>
      <c r="B2505" s="2" t="s">
        <v>1744</v>
      </c>
      <c r="C2505" s="1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  <c r="L2505" s="2" t="s">
        <v>11031</v>
      </c>
      <c r="M2505" s="2" t="s">
        <v>11030</v>
      </c>
      <c r="N2505" s="2" t="s">
        <v>11036</v>
      </c>
      <c r="O2505" s="2" t="s">
        <v>11036</v>
      </c>
      <c r="P2505" s="2" t="s">
        <v>11036</v>
      </c>
      <c r="Q2505" s="2">
        <f>AVERAGE(PerfRate[[#This Row],[EnvironmentSatisfaction]],PerfRate[[#This Row],[JobSatisfaction]],PerfRate[[#This Row],[RelationshipSatisfaction]])</f>
        <v>3</v>
      </c>
      <c r="R2505" s="2">
        <f>PerfRate[[#This Row],[ManagerRating]] - PerfRate[[#This Row],[SelfRating]]</f>
        <v>-1</v>
      </c>
    </row>
    <row r="2506" spans="1:18">
      <c r="A2506" s="2" t="s">
        <v>6813</v>
      </c>
      <c r="B2506" s="2" t="s">
        <v>1830</v>
      </c>
      <c r="C2506" s="1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  <c r="L2506" s="2" t="s">
        <v>11030</v>
      </c>
      <c r="M2506" s="2" t="s">
        <v>11030</v>
      </c>
      <c r="N2506" s="2" t="s">
        <v>11038</v>
      </c>
      <c r="O2506" s="2" t="s">
        <v>11038</v>
      </c>
      <c r="P2506" s="2" t="s">
        <v>11035</v>
      </c>
      <c r="Q2506" s="2">
        <f>AVERAGE(PerfRate[[#This Row],[EnvironmentSatisfaction]],PerfRate[[#This Row],[JobSatisfaction]],PerfRate[[#This Row],[RelationshipSatisfaction]])</f>
        <v>4</v>
      </c>
      <c r="R2506" s="2">
        <f>PerfRate[[#This Row],[ManagerRating]] - PerfRate[[#This Row],[SelfRating]]</f>
        <v>0</v>
      </c>
    </row>
    <row r="2507" spans="1:18">
      <c r="A2507" s="2" t="s">
        <v>6814</v>
      </c>
      <c r="B2507" s="2" t="s">
        <v>1151</v>
      </c>
      <c r="C2507" s="1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  <c r="L2507" s="2" t="s">
        <v>11031</v>
      </c>
      <c r="M2507" s="2" t="s">
        <v>11030</v>
      </c>
      <c r="N2507" s="2" t="s">
        <v>11037</v>
      </c>
      <c r="O2507" s="2" t="s">
        <v>11036</v>
      </c>
      <c r="P2507" s="2" t="s">
        <v>11038</v>
      </c>
      <c r="Q2507" s="2">
        <f>AVERAGE(PerfRate[[#This Row],[EnvironmentSatisfaction]],PerfRate[[#This Row],[JobSatisfaction]],PerfRate[[#This Row],[RelationshipSatisfaction]])</f>
        <v>4</v>
      </c>
      <c r="R2507" s="2">
        <f>PerfRate[[#This Row],[ManagerRating]] - PerfRate[[#This Row],[SelfRating]]</f>
        <v>-1</v>
      </c>
    </row>
    <row r="2508" spans="1:18">
      <c r="A2508" s="2" t="s">
        <v>6815</v>
      </c>
      <c r="B2508" s="2" t="s">
        <v>1186</v>
      </c>
      <c r="C2508" s="1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  <c r="L2508" s="2" t="s">
        <v>11030</v>
      </c>
      <c r="M2508" s="2" t="s">
        <v>11030</v>
      </c>
      <c r="N2508" s="2" t="s">
        <v>11037</v>
      </c>
      <c r="O2508" s="2" t="s">
        <v>11035</v>
      </c>
      <c r="P2508" s="2" t="s">
        <v>11035</v>
      </c>
      <c r="Q2508" s="2">
        <f>AVERAGE(PerfRate[[#This Row],[EnvironmentSatisfaction]],PerfRate[[#This Row],[JobSatisfaction]],PerfRate[[#This Row],[RelationshipSatisfaction]])</f>
        <v>2.6666666666666665</v>
      </c>
      <c r="R2508" s="2">
        <f>PerfRate[[#This Row],[ManagerRating]] - PerfRate[[#This Row],[SelfRating]]</f>
        <v>0</v>
      </c>
    </row>
    <row r="2509" spans="1:18">
      <c r="A2509" s="2" t="s">
        <v>6816</v>
      </c>
      <c r="B2509" s="2" t="s">
        <v>1962</v>
      </c>
      <c r="C2509" s="1">
        <v>41887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  <c r="L2509" s="2" t="s">
        <v>11030</v>
      </c>
      <c r="M2509" s="2" t="s">
        <v>11030</v>
      </c>
      <c r="N2509" s="2" t="s">
        <v>11037</v>
      </c>
      <c r="O2509" s="2" t="s">
        <v>11037</v>
      </c>
      <c r="P2509" s="2" t="s">
        <v>11037</v>
      </c>
      <c r="Q2509" s="2">
        <f>AVERAGE(PerfRate[[#This Row],[EnvironmentSatisfaction]],PerfRate[[#This Row],[JobSatisfaction]],PerfRate[[#This Row],[RelationshipSatisfaction]])</f>
        <v>4</v>
      </c>
      <c r="R2509" s="2">
        <f>PerfRate[[#This Row],[ManagerRating]] - PerfRate[[#This Row],[SelfRating]]</f>
        <v>0</v>
      </c>
    </row>
    <row r="2510" spans="1:18">
      <c r="A2510" s="2" t="s">
        <v>6817</v>
      </c>
      <c r="B2510" s="2" t="s">
        <v>747</v>
      </c>
      <c r="C2510" s="1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  <c r="L2510" s="2" t="s">
        <v>11030</v>
      </c>
      <c r="M2510" s="2" t="s">
        <v>11029</v>
      </c>
      <c r="N2510" s="2" t="s">
        <v>11038</v>
      </c>
      <c r="O2510" s="2" t="s">
        <v>11038</v>
      </c>
      <c r="P2510" s="2" t="s">
        <v>11035</v>
      </c>
      <c r="Q2510" s="2">
        <f>AVERAGE(PerfRate[[#This Row],[EnvironmentSatisfaction]],PerfRate[[#This Row],[JobSatisfaction]],PerfRate[[#This Row],[RelationshipSatisfaction]])</f>
        <v>4</v>
      </c>
      <c r="R2510" s="2">
        <f>PerfRate[[#This Row],[ManagerRating]] - PerfRate[[#This Row],[SelfRating]]</f>
        <v>-1</v>
      </c>
    </row>
    <row r="2511" spans="1:18">
      <c r="A2511" s="2" t="s">
        <v>6818</v>
      </c>
      <c r="B2511" s="2" t="s">
        <v>1000</v>
      </c>
      <c r="C2511" s="1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  <c r="L2511" s="2" t="s">
        <v>11029</v>
      </c>
      <c r="M2511" s="2" t="s">
        <v>11028</v>
      </c>
      <c r="N2511" s="2" t="s">
        <v>11036</v>
      </c>
      <c r="O2511" s="2" t="s">
        <v>11038</v>
      </c>
      <c r="P2511" s="2" t="s">
        <v>11036</v>
      </c>
      <c r="Q2511" s="2">
        <f>AVERAGE(PerfRate[[#This Row],[EnvironmentSatisfaction]],PerfRate[[#This Row],[JobSatisfaction]],PerfRate[[#This Row],[RelationshipSatisfaction]])</f>
        <v>3.6666666666666665</v>
      </c>
      <c r="R2511" s="2">
        <f>PerfRate[[#This Row],[ManagerRating]] - PerfRate[[#This Row],[SelfRating]]</f>
        <v>-1</v>
      </c>
    </row>
    <row r="2512" spans="1:18">
      <c r="A2512" s="2" t="s">
        <v>6819</v>
      </c>
      <c r="B2512" s="2" t="s">
        <v>1736</v>
      </c>
      <c r="C2512" s="1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  <c r="L2512" s="2" t="s">
        <v>11030</v>
      </c>
      <c r="M2512" s="2" t="s">
        <v>11030</v>
      </c>
      <c r="N2512" s="2" t="s">
        <v>11038</v>
      </c>
      <c r="O2512" s="2" t="s">
        <v>11035</v>
      </c>
      <c r="P2512" s="2" t="s">
        <v>11037</v>
      </c>
      <c r="Q2512" s="2">
        <f>AVERAGE(PerfRate[[#This Row],[EnvironmentSatisfaction]],PerfRate[[#This Row],[JobSatisfaction]],PerfRate[[#This Row],[RelationshipSatisfaction]])</f>
        <v>3.6666666666666665</v>
      </c>
      <c r="R2512" s="2">
        <f>PerfRate[[#This Row],[ManagerRating]] - PerfRate[[#This Row],[SelfRating]]</f>
        <v>0</v>
      </c>
    </row>
    <row r="2513" spans="1:18">
      <c r="A2513" s="2" t="s">
        <v>6820</v>
      </c>
      <c r="B2513" s="2" t="s">
        <v>2590</v>
      </c>
      <c r="C2513" s="1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  <c r="L2513" s="2" t="s">
        <v>11030</v>
      </c>
      <c r="M2513" s="2" t="s">
        <v>11029</v>
      </c>
      <c r="N2513" s="2" t="s">
        <v>11038</v>
      </c>
      <c r="O2513" s="2" t="s">
        <v>11038</v>
      </c>
      <c r="P2513" s="2" t="s">
        <v>11037</v>
      </c>
      <c r="Q2513" s="2">
        <f>AVERAGE(PerfRate[[#This Row],[EnvironmentSatisfaction]],PerfRate[[#This Row],[JobSatisfaction]],PerfRate[[#This Row],[RelationshipSatisfaction]])</f>
        <v>4.666666666666667</v>
      </c>
      <c r="R2513" s="2">
        <f>PerfRate[[#This Row],[ManagerRating]] - PerfRate[[#This Row],[SelfRating]]</f>
        <v>-1</v>
      </c>
    </row>
    <row r="2514" spans="1:18">
      <c r="A2514" s="2" t="s">
        <v>6821</v>
      </c>
      <c r="B2514" s="2" t="s">
        <v>1238</v>
      </c>
      <c r="C2514" s="1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  <c r="L2514" s="2" t="s">
        <v>11031</v>
      </c>
      <c r="M2514" s="2" t="s">
        <v>11030</v>
      </c>
      <c r="N2514" s="2" t="s">
        <v>11037</v>
      </c>
      <c r="O2514" s="2" t="s">
        <v>11035</v>
      </c>
      <c r="P2514" s="2" t="s">
        <v>11035</v>
      </c>
      <c r="Q2514" s="2">
        <f>AVERAGE(PerfRate[[#This Row],[EnvironmentSatisfaction]],PerfRate[[#This Row],[JobSatisfaction]],PerfRate[[#This Row],[RelationshipSatisfaction]])</f>
        <v>2.6666666666666665</v>
      </c>
      <c r="R2514" s="2">
        <f>PerfRate[[#This Row],[ManagerRating]] - PerfRate[[#This Row],[SelfRating]]</f>
        <v>-1</v>
      </c>
    </row>
    <row r="2515" spans="1:18">
      <c r="A2515" s="2" t="s">
        <v>6822</v>
      </c>
      <c r="B2515" s="2" t="s">
        <v>1546</v>
      </c>
      <c r="C2515" s="1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  <c r="L2515" s="2" t="s">
        <v>11029</v>
      </c>
      <c r="M2515" s="2" t="s">
        <v>11028</v>
      </c>
      <c r="N2515" s="2" t="s">
        <v>11038</v>
      </c>
      <c r="O2515" s="2" t="s">
        <v>11038</v>
      </c>
      <c r="P2515" s="2" t="s">
        <v>11037</v>
      </c>
      <c r="Q2515" s="2">
        <f>AVERAGE(PerfRate[[#This Row],[EnvironmentSatisfaction]],PerfRate[[#This Row],[JobSatisfaction]],PerfRate[[#This Row],[RelationshipSatisfaction]])</f>
        <v>4.666666666666667</v>
      </c>
      <c r="R2515" s="2">
        <f>PerfRate[[#This Row],[ManagerRating]] - PerfRate[[#This Row],[SelfRating]]</f>
        <v>-1</v>
      </c>
    </row>
    <row r="2516" spans="1:18">
      <c r="A2516" s="2" t="s">
        <v>6823</v>
      </c>
      <c r="B2516" s="2" t="s">
        <v>272</v>
      </c>
      <c r="C2516" s="1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  <c r="L2516" s="2" t="s">
        <v>11029</v>
      </c>
      <c r="M2516" s="2" t="s">
        <v>11028</v>
      </c>
      <c r="N2516" s="2" t="s">
        <v>11038</v>
      </c>
      <c r="O2516" s="2" t="s">
        <v>11037</v>
      </c>
      <c r="P2516" s="2" t="s">
        <v>11035</v>
      </c>
      <c r="Q2516" s="2">
        <f>AVERAGE(PerfRate[[#This Row],[EnvironmentSatisfaction]],PerfRate[[#This Row],[JobSatisfaction]],PerfRate[[#This Row],[RelationshipSatisfaction]])</f>
        <v>3.6666666666666665</v>
      </c>
      <c r="R2516" s="2">
        <f>PerfRate[[#This Row],[ManagerRating]] - PerfRate[[#This Row],[SelfRating]]</f>
        <v>-1</v>
      </c>
    </row>
    <row r="2517" spans="1:18">
      <c r="A2517" s="2" t="s">
        <v>6824</v>
      </c>
      <c r="B2517" s="2" t="s">
        <v>151</v>
      </c>
      <c r="C2517" s="1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  <c r="L2517" s="2" t="s">
        <v>11031</v>
      </c>
      <c r="M2517" s="2" t="s">
        <v>11031</v>
      </c>
      <c r="N2517" s="2" t="s">
        <v>11036</v>
      </c>
      <c r="O2517" s="2" t="s">
        <v>11035</v>
      </c>
      <c r="P2517" s="2" t="s">
        <v>11038</v>
      </c>
      <c r="Q2517" s="2">
        <f>AVERAGE(PerfRate[[#This Row],[EnvironmentSatisfaction]],PerfRate[[#This Row],[JobSatisfaction]],PerfRate[[#This Row],[RelationshipSatisfaction]])</f>
        <v>3.3333333333333335</v>
      </c>
      <c r="R2517" s="2">
        <f>PerfRate[[#This Row],[ManagerRating]] - PerfRate[[#This Row],[SelfRating]]</f>
        <v>0</v>
      </c>
    </row>
    <row r="2518" spans="1:18">
      <c r="A2518" s="2" t="s">
        <v>6825</v>
      </c>
      <c r="B2518" s="2" t="s">
        <v>1136</v>
      </c>
      <c r="C2518" s="1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  <c r="L2518" s="2" t="s">
        <v>11030</v>
      </c>
      <c r="M2518" s="2" t="s">
        <v>11029</v>
      </c>
      <c r="N2518" s="2" t="s">
        <v>11038</v>
      </c>
      <c r="O2518" s="2" t="s">
        <v>11036</v>
      </c>
      <c r="P2518" s="2" t="s">
        <v>11037</v>
      </c>
      <c r="Q2518" s="2">
        <f>AVERAGE(PerfRate[[#This Row],[EnvironmentSatisfaction]],PerfRate[[#This Row],[JobSatisfaction]],PerfRate[[#This Row],[RelationshipSatisfaction]])</f>
        <v>4</v>
      </c>
      <c r="R2518" s="2">
        <f>PerfRate[[#This Row],[ManagerRating]] - PerfRate[[#This Row],[SelfRating]]</f>
        <v>-1</v>
      </c>
    </row>
    <row r="2519" spans="1:18">
      <c r="A2519" s="2" t="s">
        <v>6826</v>
      </c>
      <c r="B2519" s="2" t="s">
        <v>1517</v>
      </c>
      <c r="C2519" s="1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  <c r="L2519" s="2" t="s">
        <v>11030</v>
      </c>
      <c r="M2519" s="2" t="s">
        <v>11030</v>
      </c>
      <c r="N2519" s="2" t="s">
        <v>11038</v>
      </c>
      <c r="O2519" s="2" t="s">
        <v>11035</v>
      </c>
      <c r="P2519" s="2" t="s">
        <v>11037</v>
      </c>
      <c r="Q2519" s="2">
        <f>AVERAGE(PerfRate[[#This Row],[EnvironmentSatisfaction]],PerfRate[[#This Row],[JobSatisfaction]],PerfRate[[#This Row],[RelationshipSatisfaction]])</f>
        <v>3.6666666666666665</v>
      </c>
      <c r="R2519" s="2">
        <f>PerfRate[[#This Row],[ManagerRating]] - PerfRate[[#This Row],[SelfRating]]</f>
        <v>0</v>
      </c>
    </row>
    <row r="2520" spans="1:18">
      <c r="A2520" s="2" t="s">
        <v>6827</v>
      </c>
      <c r="B2520" s="2" t="s">
        <v>3031</v>
      </c>
      <c r="C2520" s="1">
        <v>41887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  <c r="L2520" s="2" t="s">
        <v>11030</v>
      </c>
      <c r="M2520" s="2" t="s">
        <v>11030</v>
      </c>
      <c r="N2520" s="2" t="s">
        <v>11037</v>
      </c>
      <c r="O2520" s="2" t="s">
        <v>11036</v>
      </c>
      <c r="P2520" s="2" t="s">
        <v>11037</v>
      </c>
      <c r="Q2520" s="2">
        <f>AVERAGE(PerfRate[[#This Row],[EnvironmentSatisfaction]],PerfRate[[#This Row],[JobSatisfaction]],PerfRate[[#This Row],[RelationshipSatisfaction]])</f>
        <v>3.6666666666666665</v>
      </c>
      <c r="R2520" s="2">
        <f>PerfRate[[#This Row],[ManagerRating]] - PerfRate[[#This Row],[SelfRating]]</f>
        <v>0</v>
      </c>
    </row>
    <row r="2521" spans="1:18">
      <c r="A2521" s="2" t="s">
        <v>6828</v>
      </c>
      <c r="B2521" s="2" t="s">
        <v>1649</v>
      </c>
      <c r="C2521" s="1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  <c r="L2521" s="2" t="s">
        <v>11029</v>
      </c>
      <c r="M2521" s="2" t="s">
        <v>11029</v>
      </c>
      <c r="N2521" s="2" t="s">
        <v>11037</v>
      </c>
      <c r="O2521" s="2" t="s">
        <v>11036</v>
      </c>
      <c r="P2521" s="2" t="s">
        <v>11038</v>
      </c>
      <c r="Q2521" s="2">
        <f>AVERAGE(PerfRate[[#This Row],[EnvironmentSatisfaction]],PerfRate[[#This Row],[JobSatisfaction]],PerfRate[[#This Row],[RelationshipSatisfaction]])</f>
        <v>4</v>
      </c>
      <c r="R2521" s="2">
        <f>PerfRate[[#This Row],[ManagerRating]] - PerfRate[[#This Row],[SelfRating]]</f>
        <v>0</v>
      </c>
    </row>
    <row r="2522" spans="1:18">
      <c r="A2522" s="2" t="s">
        <v>6829</v>
      </c>
      <c r="B2522" s="2" t="s">
        <v>2074</v>
      </c>
      <c r="C2522" s="1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  <c r="L2522" s="2" t="s">
        <v>11031</v>
      </c>
      <c r="M2522" s="2" t="s">
        <v>11030</v>
      </c>
      <c r="N2522" s="2" t="s">
        <v>11036</v>
      </c>
      <c r="O2522" s="2" t="s">
        <v>11037</v>
      </c>
      <c r="P2522" s="2" t="s">
        <v>11035</v>
      </c>
      <c r="Q2522" s="2">
        <f>AVERAGE(PerfRate[[#This Row],[EnvironmentSatisfaction]],PerfRate[[#This Row],[JobSatisfaction]],PerfRate[[#This Row],[RelationshipSatisfaction]])</f>
        <v>3</v>
      </c>
      <c r="R2522" s="2">
        <f>PerfRate[[#This Row],[ManagerRating]] - PerfRate[[#This Row],[SelfRating]]</f>
        <v>-1</v>
      </c>
    </row>
    <row r="2523" spans="1:18">
      <c r="A2523" s="2" t="s">
        <v>6830</v>
      </c>
      <c r="B2523" s="2" t="s">
        <v>3857</v>
      </c>
      <c r="C2523" s="1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  <c r="L2523" s="2" t="s">
        <v>11029</v>
      </c>
      <c r="M2523" s="2" t="s">
        <v>11029</v>
      </c>
      <c r="N2523" s="2" t="s">
        <v>11038</v>
      </c>
      <c r="O2523" s="2" t="s">
        <v>11035</v>
      </c>
      <c r="P2523" s="2" t="s">
        <v>11036</v>
      </c>
      <c r="Q2523" s="2">
        <f>AVERAGE(PerfRate[[#This Row],[EnvironmentSatisfaction]],PerfRate[[#This Row],[JobSatisfaction]],PerfRate[[#This Row],[RelationshipSatisfaction]])</f>
        <v>3.3333333333333335</v>
      </c>
      <c r="R2523" s="2">
        <f>PerfRate[[#This Row],[ManagerRating]] - PerfRate[[#This Row],[SelfRating]]</f>
        <v>0</v>
      </c>
    </row>
    <row r="2524" spans="1:18">
      <c r="A2524" s="2" t="s">
        <v>6831</v>
      </c>
      <c r="B2524" s="2" t="s">
        <v>1391</v>
      </c>
      <c r="C2524" s="1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  <c r="L2524" s="2" t="s">
        <v>11029</v>
      </c>
      <c r="M2524" s="2" t="s">
        <v>11029</v>
      </c>
      <c r="N2524" s="2" t="s">
        <v>11037</v>
      </c>
      <c r="O2524" s="2" t="s">
        <v>11035</v>
      </c>
      <c r="P2524" s="2" t="s">
        <v>11038</v>
      </c>
      <c r="Q2524" s="2">
        <f>AVERAGE(PerfRate[[#This Row],[EnvironmentSatisfaction]],PerfRate[[#This Row],[JobSatisfaction]],PerfRate[[#This Row],[RelationshipSatisfaction]])</f>
        <v>3.6666666666666665</v>
      </c>
      <c r="R2524" s="2">
        <f>PerfRate[[#This Row],[ManagerRating]] - PerfRate[[#This Row],[SelfRating]]</f>
        <v>0</v>
      </c>
    </row>
    <row r="2525" spans="1:18">
      <c r="A2525" s="2" t="s">
        <v>6832</v>
      </c>
      <c r="B2525" s="2" t="s">
        <v>3394</v>
      </c>
      <c r="C2525" s="1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  <c r="L2525" s="2" t="s">
        <v>11031</v>
      </c>
      <c r="M2525" s="2" t="s">
        <v>11030</v>
      </c>
      <c r="N2525" s="2" t="s">
        <v>11036</v>
      </c>
      <c r="O2525" s="2" t="s">
        <v>11035</v>
      </c>
      <c r="P2525" s="2" t="s">
        <v>11036</v>
      </c>
      <c r="Q2525" s="2">
        <f>AVERAGE(PerfRate[[#This Row],[EnvironmentSatisfaction]],PerfRate[[#This Row],[JobSatisfaction]],PerfRate[[#This Row],[RelationshipSatisfaction]])</f>
        <v>2.6666666666666665</v>
      </c>
      <c r="R2525" s="2">
        <f>PerfRate[[#This Row],[ManagerRating]] - PerfRate[[#This Row],[SelfRating]]</f>
        <v>-1</v>
      </c>
    </row>
    <row r="2526" spans="1:18">
      <c r="A2526" s="2" t="s">
        <v>6833</v>
      </c>
      <c r="B2526" s="2" t="s">
        <v>958</v>
      </c>
      <c r="C2526" s="1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  <c r="L2526" s="2" t="s">
        <v>11030</v>
      </c>
      <c r="M2526" s="2" t="s">
        <v>11030</v>
      </c>
      <c r="N2526" s="2" t="s">
        <v>11036</v>
      </c>
      <c r="O2526" s="2" t="s">
        <v>11035</v>
      </c>
      <c r="P2526" s="2" t="s">
        <v>11035</v>
      </c>
      <c r="Q2526" s="2">
        <f>AVERAGE(PerfRate[[#This Row],[EnvironmentSatisfaction]],PerfRate[[#This Row],[JobSatisfaction]],PerfRate[[#This Row],[RelationshipSatisfaction]])</f>
        <v>2.3333333333333335</v>
      </c>
      <c r="R2526" s="2">
        <f>PerfRate[[#This Row],[ManagerRating]] - PerfRate[[#This Row],[SelfRating]]</f>
        <v>0</v>
      </c>
    </row>
    <row r="2527" spans="1:18">
      <c r="A2527" s="2" t="s">
        <v>6834</v>
      </c>
      <c r="B2527" s="2" t="s">
        <v>1844</v>
      </c>
      <c r="C2527" s="1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  <c r="L2527" s="2" t="s">
        <v>11029</v>
      </c>
      <c r="M2527" s="2" t="s">
        <v>11028</v>
      </c>
      <c r="N2527" s="2" t="s">
        <v>11038</v>
      </c>
      <c r="O2527" s="2" t="s">
        <v>11035</v>
      </c>
      <c r="P2527" s="2" t="s">
        <v>11037</v>
      </c>
      <c r="Q2527" s="2">
        <f>AVERAGE(PerfRate[[#This Row],[EnvironmentSatisfaction]],PerfRate[[#This Row],[JobSatisfaction]],PerfRate[[#This Row],[RelationshipSatisfaction]])</f>
        <v>3.6666666666666665</v>
      </c>
      <c r="R2527" s="2">
        <f>PerfRate[[#This Row],[ManagerRating]] - PerfRate[[#This Row],[SelfRating]]</f>
        <v>-1</v>
      </c>
    </row>
    <row r="2528" spans="1:18">
      <c r="A2528" s="2" t="s">
        <v>6835</v>
      </c>
      <c r="B2528" s="2" t="s">
        <v>35</v>
      </c>
      <c r="C2528" s="1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  <c r="L2528" s="2" t="s">
        <v>11030</v>
      </c>
      <c r="M2528" s="2" t="s">
        <v>11029</v>
      </c>
      <c r="N2528" s="2" t="s">
        <v>11037</v>
      </c>
      <c r="O2528" s="2" t="s">
        <v>11036</v>
      </c>
      <c r="P2528" s="2" t="s">
        <v>11037</v>
      </c>
      <c r="Q2528" s="2">
        <f>AVERAGE(PerfRate[[#This Row],[EnvironmentSatisfaction]],PerfRate[[#This Row],[JobSatisfaction]],PerfRate[[#This Row],[RelationshipSatisfaction]])</f>
        <v>3.6666666666666665</v>
      </c>
      <c r="R2528" s="2">
        <f>PerfRate[[#This Row],[ManagerRating]] - PerfRate[[#This Row],[SelfRating]]</f>
        <v>-1</v>
      </c>
    </row>
    <row r="2529" spans="1:18">
      <c r="A2529" s="2" t="s">
        <v>6836</v>
      </c>
      <c r="B2529" s="2" t="s">
        <v>583</v>
      </c>
      <c r="C2529" s="1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  <c r="L2529" s="2" t="s">
        <v>11030</v>
      </c>
      <c r="M2529" s="2" t="s">
        <v>11030</v>
      </c>
      <c r="N2529" s="2" t="s">
        <v>11038</v>
      </c>
      <c r="O2529" s="2" t="s">
        <v>11035</v>
      </c>
      <c r="P2529" s="2" t="s">
        <v>11036</v>
      </c>
      <c r="Q2529" s="2">
        <f>AVERAGE(PerfRate[[#This Row],[EnvironmentSatisfaction]],PerfRate[[#This Row],[JobSatisfaction]],PerfRate[[#This Row],[RelationshipSatisfaction]])</f>
        <v>3.3333333333333335</v>
      </c>
      <c r="R2529" s="2">
        <f>PerfRate[[#This Row],[ManagerRating]] - PerfRate[[#This Row],[SelfRating]]</f>
        <v>0</v>
      </c>
    </row>
    <row r="2530" spans="1:18">
      <c r="A2530" s="2" t="s">
        <v>6837</v>
      </c>
      <c r="B2530" s="2" t="s">
        <v>1062</v>
      </c>
      <c r="C2530" s="1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  <c r="L2530" s="2" t="s">
        <v>11029</v>
      </c>
      <c r="M2530" s="2" t="s">
        <v>11028</v>
      </c>
      <c r="N2530" s="2" t="s">
        <v>11038</v>
      </c>
      <c r="O2530" s="2" t="s">
        <v>11036</v>
      </c>
      <c r="P2530" s="2" t="s">
        <v>11038</v>
      </c>
      <c r="Q2530" s="2">
        <f>AVERAGE(PerfRate[[#This Row],[EnvironmentSatisfaction]],PerfRate[[#This Row],[JobSatisfaction]],PerfRate[[#This Row],[RelationshipSatisfaction]])</f>
        <v>4.333333333333333</v>
      </c>
      <c r="R2530" s="2">
        <f>PerfRate[[#This Row],[ManagerRating]] - PerfRate[[#This Row],[SelfRating]]</f>
        <v>-1</v>
      </c>
    </row>
    <row r="2531" spans="1:18">
      <c r="A2531" s="2" t="s">
        <v>6838</v>
      </c>
      <c r="B2531" s="2" t="s">
        <v>2363</v>
      </c>
      <c r="C2531" s="1">
        <v>41917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  <c r="L2531" s="2" t="s">
        <v>11031</v>
      </c>
      <c r="M2531" s="2" t="s">
        <v>11031</v>
      </c>
      <c r="N2531" s="2" t="s">
        <v>11038</v>
      </c>
      <c r="O2531" s="2" t="s">
        <v>11038</v>
      </c>
      <c r="P2531" s="2" t="s">
        <v>11035</v>
      </c>
      <c r="Q2531" s="2">
        <f>AVERAGE(PerfRate[[#This Row],[EnvironmentSatisfaction]],PerfRate[[#This Row],[JobSatisfaction]],PerfRate[[#This Row],[RelationshipSatisfaction]])</f>
        <v>4</v>
      </c>
      <c r="R2531" s="2">
        <f>PerfRate[[#This Row],[ManagerRating]] - PerfRate[[#This Row],[SelfRating]]</f>
        <v>0</v>
      </c>
    </row>
    <row r="2532" spans="1:18">
      <c r="A2532" s="2" t="s">
        <v>6839</v>
      </c>
      <c r="B2532" s="2" t="s">
        <v>1617</v>
      </c>
      <c r="C2532" s="1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  <c r="L2532" s="2" t="s">
        <v>11031</v>
      </c>
      <c r="M2532" s="2" t="s">
        <v>11030</v>
      </c>
      <c r="N2532" s="2" t="s">
        <v>11038</v>
      </c>
      <c r="O2532" s="2" t="s">
        <v>11037</v>
      </c>
      <c r="P2532" s="2" t="s">
        <v>11036</v>
      </c>
      <c r="Q2532" s="2">
        <f>AVERAGE(PerfRate[[#This Row],[EnvironmentSatisfaction]],PerfRate[[#This Row],[JobSatisfaction]],PerfRate[[#This Row],[RelationshipSatisfaction]])</f>
        <v>4</v>
      </c>
      <c r="R2532" s="2">
        <f>PerfRate[[#This Row],[ManagerRating]] - PerfRate[[#This Row],[SelfRating]]</f>
        <v>-1</v>
      </c>
    </row>
    <row r="2533" spans="1:18">
      <c r="A2533" s="2" t="s">
        <v>6840</v>
      </c>
      <c r="B2533" s="2" t="s">
        <v>1666</v>
      </c>
      <c r="C2533" s="1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  <c r="L2533" s="2" t="s">
        <v>11030</v>
      </c>
      <c r="M2533" s="2" t="s">
        <v>11029</v>
      </c>
      <c r="N2533" s="2" t="s">
        <v>11037</v>
      </c>
      <c r="O2533" s="2" t="s">
        <v>11037</v>
      </c>
      <c r="P2533" s="2" t="s">
        <v>11035</v>
      </c>
      <c r="Q2533" s="2">
        <f>AVERAGE(PerfRate[[#This Row],[EnvironmentSatisfaction]],PerfRate[[#This Row],[JobSatisfaction]],PerfRate[[#This Row],[RelationshipSatisfaction]])</f>
        <v>3.3333333333333335</v>
      </c>
      <c r="R2533" s="2">
        <f>PerfRate[[#This Row],[ManagerRating]] - PerfRate[[#This Row],[SelfRating]]</f>
        <v>-1</v>
      </c>
    </row>
    <row r="2534" spans="1:18">
      <c r="A2534" s="2" t="s">
        <v>6841</v>
      </c>
      <c r="B2534" s="2" t="s">
        <v>1450</v>
      </c>
      <c r="C2534" s="1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  <c r="L2534" s="2" t="s">
        <v>11029</v>
      </c>
      <c r="M2534" s="2" t="s">
        <v>11028</v>
      </c>
      <c r="N2534" s="2" t="s">
        <v>11037</v>
      </c>
      <c r="O2534" s="2" t="s">
        <v>11038</v>
      </c>
      <c r="P2534" s="2" t="s">
        <v>11035</v>
      </c>
      <c r="Q2534" s="2">
        <f>AVERAGE(PerfRate[[#This Row],[EnvironmentSatisfaction]],PerfRate[[#This Row],[JobSatisfaction]],PerfRate[[#This Row],[RelationshipSatisfaction]])</f>
        <v>3.6666666666666665</v>
      </c>
      <c r="R2534" s="2">
        <f>PerfRate[[#This Row],[ManagerRating]] - PerfRate[[#This Row],[SelfRating]]</f>
        <v>-1</v>
      </c>
    </row>
    <row r="2535" spans="1:18">
      <c r="A2535" s="2" t="s">
        <v>6842</v>
      </c>
      <c r="B2535" s="2" t="s">
        <v>829</v>
      </c>
      <c r="C2535" s="1">
        <v>43473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  <c r="L2535" s="2" t="s">
        <v>11031</v>
      </c>
      <c r="M2535" s="2" t="s">
        <v>11030</v>
      </c>
      <c r="N2535" s="2" t="s">
        <v>11038</v>
      </c>
      <c r="O2535" s="2" t="s">
        <v>11035</v>
      </c>
      <c r="P2535" s="2" t="s">
        <v>11037</v>
      </c>
      <c r="Q2535" s="2">
        <f>AVERAGE(PerfRate[[#This Row],[EnvironmentSatisfaction]],PerfRate[[#This Row],[JobSatisfaction]],PerfRate[[#This Row],[RelationshipSatisfaction]])</f>
        <v>3.6666666666666665</v>
      </c>
      <c r="R2535" s="2">
        <f>PerfRate[[#This Row],[ManagerRating]] - PerfRate[[#This Row],[SelfRating]]</f>
        <v>-1</v>
      </c>
    </row>
    <row r="2536" spans="1:18">
      <c r="A2536" s="2" t="s">
        <v>6843</v>
      </c>
      <c r="B2536" s="2" t="s">
        <v>1875</v>
      </c>
      <c r="C2536" s="1">
        <v>43473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  <c r="L2536" s="2" t="s">
        <v>11029</v>
      </c>
      <c r="M2536" s="2" t="s">
        <v>11029</v>
      </c>
      <c r="N2536" s="2" t="s">
        <v>11037</v>
      </c>
      <c r="O2536" s="2" t="s">
        <v>11036</v>
      </c>
      <c r="P2536" s="2" t="s">
        <v>11035</v>
      </c>
      <c r="Q2536" s="2">
        <f>AVERAGE(PerfRate[[#This Row],[EnvironmentSatisfaction]],PerfRate[[#This Row],[JobSatisfaction]],PerfRate[[#This Row],[RelationshipSatisfaction]])</f>
        <v>3</v>
      </c>
      <c r="R2536" s="2">
        <f>PerfRate[[#This Row],[ManagerRating]] - PerfRate[[#This Row],[SelfRating]]</f>
        <v>0</v>
      </c>
    </row>
    <row r="2537" spans="1:18">
      <c r="A2537" s="2" t="s">
        <v>6844</v>
      </c>
      <c r="B2537" s="2" t="s">
        <v>1727</v>
      </c>
      <c r="C2537" s="1">
        <v>43504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  <c r="L2537" s="2" t="s">
        <v>11031</v>
      </c>
      <c r="M2537" s="2" t="s">
        <v>11031</v>
      </c>
      <c r="N2537" s="2" t="s">
        <v>11036</v>
      </c>
      <c r="O2537" s="2" t="s">
        <v>11035</v>
      </c>
      <c r="P2537" s="2" t="s">
        <v>11037</v>
      </c>
      <c r="Q2537" s="2">
        <f>AVERAGE(PerfRate[[#This Row],[EnvironmentSatisfaction]],PerfRate[[#This Row],[JobSatisfaction]],PerfRate[[#This Row],[RelationshipSatisfaction]])</f>
        <v>3</v>
      </c>
      <c r="R2537" s="2">
        <f>PerfRate[[#This Row],[ManagerRating]] - PerfRate[[#This Row],[SelfRating]]</f>
        <v>0</v>
      </c>
    </row>
    <row r="2538" spans="1:18">
      <c r="A2538" s="2" t="s">
        <v>6845</v>
      </c>
      <c r="B2538" s="2" t="s">
        <v>1505</v>
      </c>
      <c r="C2538" s="1">
        <v>43532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  <c r="L2538" s="2" t="s">
        <v>11029</v>
      </c>
      <c r="M2538" s="2" t="s">
        <v>11028</v>
      </c>
      <c r="N2538" s="2" t="s">
        <v>11036</v>
      </c>
      <c r="O2538" s="2" t="s">
        <v>11035</v>
      </c>
      <c r="P2538" s="2" t="s">
        <v>11036</v>
      </c>
      <c r="Q2538" s="2">
        <f>AVERAGE(PerfRate[[#This Row],[EnvironmentSatisfaction]],PerfRate[[#This Row],[JobSatisfaction]],PerfRate[[#This Row],[RelationshipSatisfaction]])</f>
        <v>2.6666666666666665</v>
      </c>
      <c r="R2538" s="2">
        <f>PerfRate[[#This Row],[ManagerRating]] - PerfRate[[#This Row],[SelfRating]]</f>
        <v>-1</v>
      </c>
    </row>
    <row r="2539" spans="1:18">
      <c r="A2539" s="2" t="s">
        <v>6846</v>
      </c>
      <c r="B2539" s="2" t="s">
        <v>1526</v>
      </c>
      <c r="C2539" s="1">
        <v>43532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  <c r="L2539" s="2" t="s">
        <v>11031</v>
      </c>
      <c r="M2539" s="2" t="s">
        <v>11031</v>
      </c>
      <c r="N2539" s="2" t="s">
        <v>11037</v>
      </c>
      <c r="O2539" s="2" t="s">
        <v>11037</v>
      </c>
      <c r="P2539" s="2" t="s">
        <v>11035</v>
      </c>
      <c r="Q2539" s="2">
        <f>AVERAGE(PerfRate[[#This Row],[EnvironmentSatisfaction]],PerfRate[[#This Row],[JobSatisfaction]],PerfRate[[#This Row],[RelationshipSatisfaction]])</f>
        <v>3.3333333333333335</v>
      </c>
      <c r="R2539" s="2">
        <f>PerfRate[[#This Row],[ManagerRating]] - PerfRate[[#This Row],[SelfRating]]</f>
        <v>0</v>
      </c>
    </row>
    <row r="2540" spans="1:18">
      <c r="A2540" s="2" t="s">
        <v>6847</v>
      </c>
      <c r="B2540" s="2" t="s">
        <v>2545</v>
      </c>
      <c r="C2540" s="1">
        <v>43563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  <c r="L2540" s="2" t="s">
        <v>11030</v>
      </c>
      <c r="M2540" s="2" t="s">
        <v>11030</v>
      </c>
      <c r="N2540" s="2" t="s">
        <v>11038</v>
      </c>
      <c r="O2540" s="2" t="s">
        <v>11036</v>
      </c>
      <c r="P2540" s="2" t="s">
        <v>11037</v>
      </c>
      <c r="Q2540" s="2">
        <f>AVERAGE(PerfRate[[#This Row],[EnvironmentSatisfaction]],PerfRate[[#This Row],[JobSatisfaction]],PerfRate[[#This Row],[RelationshipSatisfaction]])</f>
        <v>4</v>
      </c>
      <c r="R2540" s="2">
        <f>PerfRate[[#This Row],[ManagerRating]] - PerfRate[[#This Row],[SelfRating]]</f>
        <v>0</v>
      </c>
    </row>
    <row r="2541" spans="1:18">
      <c r="A2541" s="2" t="s">
        <v>6848</v>
      </c>
      <c r="B2541" s="2" t="s">
        <v>377</v>
      </c>
      <c r="C2541" s="1">
        <v>43563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  <c r="L2541" s="2" t="s">
        <v>11030</v>
      </c>
      <c r="M2541" s="2" t="s">
        <v>11029</v>
      </c>
      <c r="N2541" s="2" t="s">
        <v>11038</v>
      </c>
      <c r="O2541" s="2" t="s">
        <v>11038</v>
      </c>
      <c r="P2541" s="2" t="s">
        <v>11035</v>
      </c>
      <c r="Q2541" s="2">
        <f>AVERAGE(PerfRate[[#This Row],[EnvironmentSatisfaction]],PerfRate[[#This Row],[JobSatisfaction]],PerfRate[[#This Row],[RelationshipSatisfaction]])</f>
        <v>4</v>
      </c>
      <c r="R2541" s="2">
        <f>PerfRate[[#This Row],[ManagerRating]] - PerfRate[[#This Row],[SelfRating]]</f>
        <v>-1</v>
      </c>
    </row>
    <row r="2542" spans="1:18">
      <c r="A2542" s="2" t="s">
        <v>6849</v>
      </c>
      <c r="B2542" s="2" t="s">
        <v>3149</v>
      </c>
      <c r="C2542" s="1">
        <v>41948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  <c r="L2542" s="2" t="s">
        <v>11029</v>
      </c>
      <c r="M2542" s="2" t="s">
        <v>11028</v>
      </c>
      <c r="N2542" s="2" t="s">
        <v>11037</v>
      </c>
      <c r="O2542" s="2" t="s">
        <v>11037</v>
      </c>
      <c r="P2542" s="2" t="s">
        <v>11036</v>
      </c>
      <c r="Q2542" s="2">
        <f>AVERAGE(PerfRate[[#This Row],[EnvironmentSatisfaction]],PerfRate[[#This Row],[JobSatisfaction]],PerfRate[[#This Row],[RelationshipSatisfaction]])</f>
        <v>3.6666666666666665</v>
      </c>
      <c r="R2542" s="2">
        <f>PerfRate[[#This Row],[ManagerRating]] - PerfRate[[#This Row],[SelfRating]]</f>
        <v>-1</v>
      </c>
    </row>
    <row r="2543" spans="1:18">
      <c r="A2543" s="2" t="s">
        <v>6850</v>
      </c>
      <c r="B2543" s="2" t="s">
        <v>115</v>
      </c>
      <c r="C2543" s="1">
        <v>43563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  <c r="L2543" s="2" t="s">
        <v>11029</v>
      </c>
      <c r="M2543" s="2" t="s">
        <v>11029</v>
      </c>
      <c r="N2543" s="2" t="s">
        <v>11037</v>
      </c>
      <c r="O2543" s="2" t="s">
        <v>11035</v>
      </c>
      <c r="P2543" s="2" t="s">
        <v>11037</v>
      </c>
      <c r="Q2543" s="2">
        <f>AVERAGE(PerfRate[[#This Row],[EnvironmentSatisfaction]],PerfRate[[#This Row],[JobSatisfaction]],PerfRate[[#This Row],[RelationshipSatisfaction]])</f>
        <v>3.3333333333333335</v>
      </c>
      <c r="R2543" s="2">
        <f>PerfRate[[#This Row],[ManagerRating]] - PerfRate[[#This Row],[SelfRating]]</f>
        <v>0</v>
      </c>
    </row>
    <row r="2544" spans="1:18">
      <c r="A2544" s="2" t="s">
        <v>6851</v>
      </c>
      <c r="B2544" s="2" t="s">
        <v>1054</v>
      </c>
      <c r="C2544" s="1">
        <v>43563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  <c r="L2544" s="2" t="s">
        <v>11029</v>
      </c>
      <c r="M2544" s="2" t="s">
        <v>11029</v>
      </c>
      <c r="N2544" s="2" t="s">
        <v>11038</v>
      </c>
      <c r="O2544" s="2" t="s">
        <v>11036</v>
      </c>
      <c r="P2544" s="2" t="s">
        <v>11037</v>
      </c>
      <c r="Q2544" s="2">
        <f>AVERAGE(PerfRate[[#This Row],[EnvironmentSatisfaction]],PerfRate[[#This Row],[JobSatisfaction]],PerfRate[[#This Row],[RelationshipSatisfaction]])</f>
        <v>4</v>
      </c>
      <c r="R2544" s="2">
        <f>PerfRate[[#This Row],[ManagerRating]] - PerfRate[[#This Row],[SelfRating]]</f>
        <v>0</v>
      </c>
    </row>
    <row r="2545" spans="1:18">
      <c r="A2545" s="2" t="s">
        <v>6852</v>
      </c>
      <c r="B2545" s="2" t="s">
        <v>2057</v>
      </c>
      <c r="C2545" s="1">
        <v>43563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  <c r="L2545" s="2" t="s">
        <v>11031</v>
      </c>
      <c r="M2545" s="2" t="s">
        <v>11031</v>
      </c>
      <c r="N2545" s="2" t="s">
        <v>11038</v>
      </c>
      <c r="O2545" s="2" t="s">
        <v>11037</v>
      </c>
      <c r="P2545" s="2" t="s">
        <v>11035</v>
      </c>
      <c r="Q2545" s="2">
        <f>AVERAGE(PerfRate[[#This Row],[EnvironmentSatisfaction]],PerfRate[[#This Row],[JobSatisfaction]],PerfRate[[#This Row],[RelationshipSatisfaction]])</f>
        <v>3.6666666666666665</v>
      </c>
      <c r="R2545" s="2">
        <f>PerfRate[[#This Row],[ManagerRating]] - PerfRate[[#This Row],[SelfRating]]</f>
        <v>0</v>
      </c>
    </row>
    <row r="2546" spans="1:18">
      <c r="A2546" s="2" t="s">
        <v>6853</v>
      </c>
      <c r="B2546" s="2" t="s">
        <v>553</v>
      </c>
      <c r="C2546" s="1">
        <v>43624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  <c r="L2546" s="2" t="s">
        <v>11029</v>
      </c>
      <c r="M2546" s="2" t="s">
        <v>11028</v>
      </c>
      <c r="N2546" s="2" t="s">
        <v>11037</v>
      </c>
      <c r="O2546" s="2" t="s">
        <v>11037</v>
      </c>
      <c r="P2546" s="2" t="s">
        <v>11035</v>
      </c>
      <c r="Q2546" s="2">
        <f>AVERAGE(PerfRate[[#This Row],[EnvironmentSatisfaction]],PerfRate[[#This Row],[JobSatisfaction]],PerfRate[[#This Row],[RelationshipSatisfaction]])</f>
        <v>3.3333333333333335</v>
      </c>
      <c r="R2546" s="2">
        <f>PerfRate[[#This Row],[ManagerRating]] - PerfRate[[#This Row],[SelfRating]]</f>
        <v>-1</v>
      </c>
    </row>
    <row r="2547" spans="1:18">
      <c r="A2547" s="2" t="s">
        <v>6854</v>
      </c>
      <c r="B2547" s="2" t="s">
        <v>729</v>
      </c>
      <c r="C2547" s="1">
        <v>43624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  <c r="L2547" s="2" t="s">
        <v>11029</v>
      </c>
      <c r="M2547" s="2" t="s">
        <v>11029</v>
      </c>
      <c r="N2547" s="2" t="s">
        <v>11038</v>
      </c>
      <c r="O2547" s="2" t="s">
        <v>11035</v>
      </c>
      <c r="P2547" s="2" t="s">
        <v>11035</v>
      </c>
      <c r="Q2547" s="2">
        <f>AVERAGE(PerfRate[[#This Row],[EnvironmentSatisfaction]],PerfRate[[#This Row],[JobSatisfaction]],PerfRate[[#This Row],[RelationshipSatisfaction]])</f>
        <v>3</v>
      </c>
      <c r="R2547" s="2">
        <f>PerfRate[[#This Row],[ManagerRating]] - PerfRate[[#This Row],[SelfRating]]</f>
        <v>0</v>
      </c>
    </row>
    <row r="2548" spans="1:18">
      <c r="A2548" s="2" t="s">
        <v>6855</v>
      </c>
      <c r="B2548" s="2" t="s">
        <v>1956</v>
      </c>
      <c r="C2548" s="1">
        <v>43624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  <c r="L2548" s="2" t="s">
        <v>11031</v>
      </c>
      <c r="M2548" s="2" t="s">
        <v>11031</v>
      </c>
      <c r="N2548" s="2" t="s">
        <v>11037</v>
      </c>
      <c r="O2548" s="2" t="s">
        <v>11037</v>
      </c>
      <c r="P2548" s="2" t="s">
        <v>11035</v>
      </c>
      <c r="Q2548" s="2">
        <f>AVERAGE(PerfRate[[#This Row],[EnvironmentSatisfaction]],PerfRate[[#This Row],[JobSatisfaction]],PerfRate[[#This Row],[RelationshipSatisfaction]])</f>
        <v>3.3333333333333335</v>
      </c>
      <c r="R2548" s="2">
        <f>PerfRate[[#This Row],[ManagerRating]] - PerfRate[[#This Row],[SelfRating]]</f>
        <v>0</v>
      </c>
    </row>
    <row r="2549" spans="1:18">
      <c r="A2549" s="2" t="s">
        <v>6856</v>
      </c>
      <c r="B2549" s="2" t="s">
        <v>774</v>
      </c>
      <c r="C2549" s="1">
        <v>43716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  <c r="L2549" s="2" t="s">
        <v>11031</v>
      </c>
      <c r="M2549" s="2" t="s">
        <v>11031</v>
      </c>
      <c r="N2549" s="2" t="s">
        <v>11036</v>
      </c>
      <c r="O2549" s="2" t="s">
        <v>11037</v>
      </c>
      <c r="P2549" s="2" t="s">
        <v>11036</v>
      </c>
      <c r="Q2549" s="2">
        <f>AVERAGE(PerfRate[[#This Row],[EnvironmentSatisfaction]],PerfRate[[#This Row],[JobSatisfaction]],PerfRate[[#This Row],[RelationshipSatisfaction]])</f>
        <v>3.3333333333333335</v>
      </c>
      <c r="R2549" s="2">
        <f>PerfRate[[#This Row],[ManagerRating]] - PerfRate[[#This Row],[SelfRating]]</f>
        <v>0</v>
      </c>
    </row>
    <row r="2550" spans="1:18">
      <c r="A2550" s="2" t="s">
        <v>6857</v>
      </c>
      <c r="B2550" s="2" t="s">
        <v>1488</v>
      </c>
      <c r="C2550" s="1">
        <v>43716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  <c r="L2550" s="2" t="s">
        <v>11030</v>
      </c>
      <c r="M2550" s="2" t="s">
        <v>11030</v>
      </c>
      <c r="N2550" s="2" t="s">
        <v>11038</v>
      </c>
      <c r="O2550" s="2" t="s">
        <v>11036</v>
      </c>
      <c r="P2550" s="2" t="s">
        <v>11035</v>
      </c>
      <c r="Q2550" s="2">
        <f>AVERAGE(PerfRate[[#This Row],[EnvironmentSatisfaction]],PerfRate[[#This Row],[JobSatisfaction]],PerfRate[[#This Row],[RelationshipSatisfaction]])</f>
        <v>3.3333333333333335</v>
      </c>
      <c r="R2550" s="2">
        <f>PerfRate[[#This Row],[ManagerRating]] - PerfRate[[#This Row],[SelfRating]]</f>
        <v>0</v>
      </c>
    </row>
    <row r="2551" spans="1:18">
      <c r="A2551" s="2" t="s">
        <v>6858</v>
      </c>
      <c r="B2551" s="2" t="s">
        <v>2134</v>
      </c>
      <c r="C2551" s="1">
        <v>43716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  <c r="L2551" s="2" t="s">
        <v>11029</v>
      </c>
      <c r="M2551" s="2" t="s">
        <v>11029</v>
      </c>
      <c r="N2551" s="2" t="s">
        <v>11038</v>
      </c>
      <c r="O2551" s="2" t="s">
        <v>11035</v>
      </c>
      <c r="P2551" s="2" t="s">
        <v>11036</v>
      </c>
      <c r="Q2551" s="2">
        <f>AVERAGE(PerfRate[[#This Row],[EnvironmentSatisfaction]],PerfRate[[#This Row],[JobSatisfaction]],PerfRate[[#This Row],[RelationshipSatisfaction]])</f>
        <v>3.3333333333333335</v>
      </c>
      <c r="R2551" s="2">
        <f>PerfRate[[#This Row],[ManagerRating]] - PerfRate[[#This Row],[SelfRating]]</f>
        <v>0</v>
      </c>
    </row>
    <row r="2552" spans="1:18">
      <c r="A2552" s="2" t="s">
        <v>6859</v>
      </c>
      <c r="B2552" s="2" t="s">
        <v>250</v>
      </c>
      <c r="C2552" s="1">
        <v>43746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  <c r="L2552" s="2" t="s">
        <v>11030</v>
      </c>
      <c r="M2552" s="2" t="s">
        <v>11030</v>
      </c>
      <c r="N2552" s="2" t="s">
        <v>11038</v>
      </c>
      <c r="O2552" s="2" t="s">
        <v>11036</v>
      </c>
      <c r="P2552" s="2" t="s">
        <v>11036</v>
      </c>
      <c r="Q2552" s="2">
        <f>AVERAGE(PerfRate[[#This Row],[EnvironmentSatisfaction]],PerfRate[[#This Row],[JobSatisfaction]],PerfRate[[#This Row],[RelationshipSatisfaction]])</f>
        <v>3.6666666666666665</v>
      </c>
      <c r="R2552" s="2">
        <f>PerfRate[[#This Row],[ManagerRating]] - PerfRate[[#This Row],[SelfRating]]</f>
        <v>0</v>
      </c>
    </row>
    <row r="2553" spans="1:18">
      <c r="A2553" s="2" t="s">
        <v>6860</v>
      </c>
      <c r="B2553" s="2" t="s">
        <v>2343</v>
      </c>
      <c r="C2553" s="1">
        <v>41978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  <c r="L2553" s="2" t="s">
        <v>11030</v>
      </c>
      <c r="M2553" s="2" t="s">
        <v>11029</v>
      </c>
      <c r="N2553" s="2" t="s">
        <v>11037</v>
      </c>
      <c r="O2553" s="2" t="s">
        <v>11035</v>
      </c>
      <c r="P2553" s="2" t="s">
        <v>11035</v>
      </c>
      <c r="Q2553" s="2">
        <f>AVERAGE(PerfRate[[#This Row],[EnvironmentSatisfaction]],PerfRate[[#This Row],[JobSatisfaction]],PerfRate[[#This Row],[RelationshipSatisfaction]])</f>
        <v>2.6666666666666665</v>
      </c>
      <c r="R2553" s="2">
        <f>PerfRate[[#This Row],[ManagerRating]] - PerfRate[[#This Row],[SelfRating]]</f>
        <v>-1</v>
      </c>
    </row>
    <row r="2554" spans="1:18">
      <c r="A2554" s="2" t="s">
        <v>6861</v>
      </c>
      <c r="B2554" s="2" t="s">
        <v>625</v>
      </c>
      <c r="C2554" s="1">
        <v>43807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  <c r="L2554" s="2" t="s">
        <v>11030</v>
      </c>
      <c r="M2554" s="2" t="s">
        <v>11029</v>
      </c>
      <c r="N2554" s="2" t="s">
        <v>11037</v>
      </c>
      <c r="O2554" s="2" t="s">
        <v>11038</v>
      </c>
      <c r="P2554" s="2" t="s">
        <v>11036</v>
      </c>
      <c r="Q2554" s="2">
        <f>AVERAGE(PerfRate[[#This Row],[EnvironmentSatisfaction]],PerfRate[[#This Row],[JobSatisfaction]],PerfRate[[#This Row],[RelationshipSatisfaction]])</f>
        <v>4</v>
      </c>
      <c r="R2554" s="2">
        <f>PerfRate[[#This Row],[ManagerRating]] - PerfRate[[#This Row],[SelfRating]]</f>
        <v>-1</v>
      </c>
    </row>
    <row r="2555" spans="1:18">
      <c r="A2555" s="2" t="s">
        <v>6862</v>
      </c>
      <c r="B2555" s="2" t="s">
        <v>1614</v>
      </c>
      <c r="C2555" s="1">
        <v>43807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  <c r="L2555" s="2" t="s">
        <v>11029</v>
      </c>
      <c r="M2555" s="2" t="s">
        <v>11029</v>
      </c>
      <c r="N2555" s="2" t="s">
        <v>11038</v>
      </c>
      <c r="O2555" s="2" t="s">
        <v>11038</v>
      </c>
      <c r="P2555" s="2" t="s">
        <v>11036</v>
      </c>
      <c r="Q2555" s="2">
        <f>AVERAGE(PerfRate[[#This Row],[EnvironmentSatisfaction]],PerfRate[[#This Row],[JobSatisfaction]],PerfRate[[#This Row],[RelationshipSatisfaction]])</f>
        <v>4.333333333333333</v>
      </c>
      <c r="R2555" s="2">
        <f>PerfRate[[#This Row],[ManagerRating]] - PerfRate[[#This Row],[SelfRating]]</f>
        <v>0</v>
      </c>
    </row>
    <row r="2556" spans="1:18">
      <c r="A2556" s="2" t="s">
        <v>6863</v>
      </c>
      <c r="B2556" s="2" t="s">
        <v>1827</v>
      </c>
      <c r="C2556" s="1">
        <v>43807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  <c r="L2556" s="2" t="s">
        <v>11030</v>
      </c>
      <c r="M2556" s="2" t="s">
        <v>11030</v>
      </c>
      <c r="N2556" s="2" t="s">
        <v>11037</v>
      </c>
      <c r="O2556" s="2" t="s">
        <v>11038</v>
      </c>
      <c r="P2556" s="2" t="s">
        <v>11036</v>
      </c>
      <c r="Q2556" s="2">
        <f>AVERAGE(PerfRate[[#This Row],[EnvironmentSatisfaction]],PerfRate[[#This Row],[JobSatisfaction]],PerfRate[[#This Row],[RelationshipSatisfaction]])</f>
        <v>4</v>
      </c>
      <c r="R2556" s="2">
        <f>PerfRate[[#This Row],[ManagerRating]] - PerfRate[[#This Row],[SelfRating]]</f>
        <v>0</v>
      </c>
    </row>
    <row r="2557" spans="1:18">
      <c r="A2557" s="2" t="s">
        <v>6864</v>
      </c>
      <c r="B2557" s="2" t="s">
        <v>3071</v>
      </c>
      <c r="C2557" s="1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  <c r="L2557" s="2" t="s">
        <v>11029</v>
      </c>
      <c r="M2557" s="2" t="s">
        <v>11028</v>
      </c>
      <c r="N2557" s="2" t="s">
        <v>11037</v>
      </c>
      <c r="O2557" s="2" t="s">
        <v>11038</v>
      </c>
      <c r="P2557" s="2" t="s">
        <v>11036</v>
      </c>
      <c r="Q2557" s="2">
        <f>AVERAGE(PerfRate[[#This Row],[EnvironmentSatisfaction]],PerfRate[[#This Row],[JobSatisfaction]],PerfRate[[#This Row],[RelationshipSatisfaction]])</f>
        <v>4</v>
      </c>
      <c r="R2557" s="2">
        <f>PerfRate[[#This Row],[ManagerRating]] - PerfRate[[#This Row],[SelfRating]]</f>
        <v>-1</v>
      </c>
    </row>
    <row r="2558" spans="1:18">
      <c r="A2558" s="2" t="s">
        <v>6865</v>
      </c>
      <c r="B2558" s="2" t="s">
        <v>803</v>
      </c>
      <c r="C2558" s="1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  <c r="L2558" s="2" t="s">
        <v>11030</v>
      </c>
      <c r="M2558" s="2" t="s">
        <v>11030</v>
      </c>
      <c r="N2558" s="2" t="s">
        <v>11037</v>
      </c>
      <c r="O2558" s="2" t="s">
        <v>11035</v>
      </c>
      <c r="P2558" s="2" t="s">
        <v>11035</v>
      </c>
      <c r="Q2558" s="2">
        <f>AVERAGE(PerfRate[[#This Row],[EnvironmentSatisfaction]],PerfRate[[#This Row],[JobSatisfaction]],PerfRate[[#This Row],[RelationshipSatisfaction]])</f>
        <v>2.6666666666666665</v>
      </c>
      <c r="R2558" s="2">
        <f>PerfRate[[#This Row],[ManagerRating]] - PerfRate[[#This Row],[SelfRating]]</f>
        <v>0</v>
      </c>
    </row>
    <row r="2559" spans="1:18">
      <c r="A2559" s="2" t="s">
        <v>6866</v>
      </c>
      <c r="B2559" s="2" t="s">
        <v>756</v>
      </c>
      <c r="C2559" s="1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  <c r="L2559" s="2" t="s">
        <v>11029</v>
      </c>
      <c r="M2559" s="2" t="s">
        <v>11029</v>
      </c>
      <c r="N2559" s="2" t="s">
        <v>11036</v>
      </c>
      <c r="O2559" s="2" t="s">
        <v>11037</v>
      </c>
      <c r="P2559" s="2" t="s">
        <v>11037</v>
      </c>
      <c r="Q2559" s="2">
        <f>AVERAGE(PerfRate[[#This Row],[EnvironmentSatisfaction]],PerfRate[[#This Row],[JobSatisfaction]],PerfRate[[#This Row],[RelationshipSatisfaction]])</f>
        <v>3.6666666666666665</v>
      </c>
      <c r="R2559" s="2">
        <f>PerfRate[[#This Row],[ManagerRating]] - PerfRate[[#This Row],[SelfRating]]</f>
        <v>0</v>
      </c>
    </row>
    <row r="2560" spans="1:18">
      <c r="A2560" s="2" t="s">
        <v>6867</v>
      </c>
      <c r="B2560" s="2" t="s">
        <v>3198</v>
      </c>
      <c r="C2560" s="1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  <c r="L2560" s="2" t="s">
        <v>11030</v>
      </c>
      <c r="M2560" s="2" t="s">
        <v>11029</v>
      </c>
      <c r="N2560" s="2" t="s">
        <v>11037</v>
      </c>
      <c r="O2560" s="2" t="s">
        <v>11036</v>
      </c>
      <c r="P2560" s="2" t="s">
        <v>11037</v>
      </c>
      <c r="Q2560" s="2">
        <f>AVERAGE(PerfRate[[#This Row],[EnvironmentSatisfaction]],PerfRate[[#This Row],[JobSatisfaction]],PerfRate[[#This Row],[RelationshipSatisfaction]])</f>
        <v>3.6666666666666665</v>
      </c>
      <c r="R2560" s="2">
        <f>PerfRate[[#This Row],[ManagerRating]] - PerfRate[[#This Row],[SelfRating]]</f>
        <v>-1</v>
      </c>
    </row>
    <row r="2561" spans="1:18">
      <c r="A2561" s="2" t="s">
        <v>6868</v>
      </c>
      <c r="B2561" s="2" t="s">
        <v>1608</v>
      </c>
      <c r="C2561" s="1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  <c r="L2561" s="2" t="s">
        <v>11030</v>
      </c>
      <c r="M2561" s="2" t="s">
        <v>11030</v>
      </c>
      <c r="N2561" s="2" t="s">
        <v>11036</v>
      </c>
      <c r="O2561" s="2" t="s">
        <v>11036</v>
      </c>
      <c r="P2561" s="2" t="s">
        <v>11038</v>
      </c>
      <c r="Q2561" s="2">
        <f>AVERAGE(PerfRate[[#This Row],[EnvironmentSatisfaction]],PerfRate[[#This Row],[JobSatisfaction]],PerfRate[[#This Row],[RelationshipSatisfaction]])</f>
        <v>3.6666666666666665</v>
      </c>
      <c r="R2561" s="2">
        <f>PerfRate[[#This Row],[ManagerRating]] - PerfRate[[#This Row],[SelfRating]]</f>
        <v>0</v>
      </c>
    </row>
    <row r="2562" spans="1:18">
      <c r="A2562" s="2" t="s">
        <v>6869</v>
      </c>
      <c r="B2562" s="2" t="s">
        <v>1836</v>
      </c>
      <c r="C2562" s="1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  <c r="L2562" s="2" t="s">
        <v>11029</v>
      </c>
      <c r="M2562" s="2" t="s">
        <v>11029</v>
      </c>
      <c r="N2562" s="2" t="s">
        <v>11037</v>
      </c>
      <c r="O2562" s="2" t="s">
        <v>11035</v>
      </c>
      <c r="P2562" s="2" t="s">
        <v>11037</v>
      </c>
      <c r="Q2562" s="2">
        <f>AVERAGE(PerfRate[[#This Row],[EnvironmentSatisfaction]],PerfRate[[#This Row],[JobSatisfaction]],PerfRate[[#This Row],[RelationshipSatisfaction]])</f>
        <v>3.3333333333333335</v>
      </c>
      <c r="R2562" s="2">
        <f>PerfRate[[#This Row],[ManagerRating]] - PerfRate[[#This Row],[SelfRating]]</f>
        <v>0</v>
      </c>
    </row>
    <row r="2563" spans="1:18">
      <c r="A2563" s="2" t="s">
        <v>6870</v>
      </c>
      <c r="B2563" s="2" t="s">
        <v>952</v>
      </c>
      <c r="C2563" s="1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  <c r="L2563" s="2" t="s">
        <v>11029</v>
      </c>
      <c r="M2563" s="2" t="s">
        <v>11028</v>
      </c>
      <c r="N2563" s="2" t="s">
        <v>11036</v>
      </c>
      <c r="O2563" s="2" t="s">
        <v>11037</v>
      </c>
      <c r="P2563" s="2" t="s">
        <v>11038</v>
      </c>
      <c r="Q2563" s="2">
        <f>AVERAGE(PerfRate[[#This Row],[EnvironmentSatisfaction]],PerfRate[[#This Row],[JobSatisfaction]],PerfRate[[#This Row],[RelationshipSatisfaction]])</f>
        <v>4</v>
      </c>
      <c r="R2563" s="2">
        <f>PerfRate[[#This Row],[ManagerRating]] - PerfRate[[#This Row],[SelfRating]]</f>
        <v>-1</v>
      </c>
    </row>
    <row r="2564" spans="1:18">
      <c r="A2564" s="2" t="s">
        <v>6871</v>
      </c>
      <c r="B2564" s="2" t="s">
        <v>241</v>
      </c>
      <c r="C2564" s="1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  <c r="L2564" s="2" t="s">
        <v>11031</v>
      </c>
      <c r="M2564" s="2" t="s">
        <v>11031</v>
      </c>
      <c r="N2564" s="2" t="s">
        <v>11038</v>
      </c>
      <c r="O2564" s="2" t="s">
        <v>11037</v>
      </c>
      <c r="P2564" s="2" t="s">
        <v>11038</v>
      </c>
      <c r="Q2564" s="2">
        <f>AVERAGE(PerfRate[[#This Row],[EnvironmentSatisfaction]],PerfRate[[#This Row],[JobSatisfaction]],PerfRate[[#This Row],[RelationshipSatisfaction]])</f>
        <v>4.666666666666667</v>
      </c>
      <c r="R2564" s="2">
        <f>PerfRate[[#This Row],[ManagerRating]] - PerfRate[[#This Row],[SelfRating]]</f>
        <v>0</v>
      </c>
    </row>
    <row r="2565" spans="1:18">
      <c r="A2565" s="2" t="s">
        <v>6872</v>
      </c>
      <c r="B2565" s="2" t="s">
        <v>305</v>
      </c>
      <c r="C2565" s="1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  <c r="L2565" s="2" t="s">
        <v>11031</v>
      </c>
      <c r="M2565" s="2" t="s">
        <v>11030</v>
      </c>
      <c r="N2565" s="2" t="s">
        <v>11037</v>
      </c>
      <c r="O2565" s="2" t="s">
        <v>11038</v>
      </c>
      <c r="P2565" s="2" t="s">
        <v>11036</v>
      </c>
      <c r="Q2565" s="2">
        <f>AVERAGE(PerfRate[[#This Row],[EnvironmentSatisfaction]],PerfRate[[#This Row],[JobSatisfaction]],PerfRate[[#This Row],[RelationshipSatisfaction]])</f>
        <v>4</v>
      </c>
      <c r="R2565" s="2">
        <f>PerfRate[[#This Row],[ManagerRating]] - PerfRate[[#This Row],[SelfRating]]</f>
        <v>-1</v>
      </c>
    </row>
    <row r="2566" spans="1:18">
      <c r="A2566" s="2" t="s">
        <v>6873</v>
      </c>
      <c r="B2566" s="2" t="s">
        <v>619</v>
      </c>
      <c r="C2566" s="1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  <c r="L2566" s="2" t="s">
        <v>11031</v>
      </c>
      <c r="M2566" s="2" t="s">
        <v>11030</v>
      </c>
      <c r="N2566" s="2" t="s">
        <v>11038</v>
      </c>
      <c r="O2566" s="2" t="s">
        <v>11036</v>
      </c>
      <c r="P2566" s="2" t="s">
        <v>11038</v>
      </c>
      <c r="Q2566" s="2">
        <f>AVERAGE(PerfRate[[#This Row],[EnvironmentSatisfaction]],PerfRate[[#This Row],[JobSatisfaction]],PerfRate[[#This Row],[RelationshipSatisfaction]])</f>
        <v>4.333333333333333</v>
      </c>
      <c r="R2566" s="2">
        <f>PerfRate[[#This Row],[ManagerRating]] - PerfRate[[#This Row],[SelfRating]]</f>
        <v>-1</v>
      </c>
    </row>
    <row r="2567" spans="1:18">
      <c r="A2567" s="2" t="s">
        <v>6874</v>
      </c>
      <c r="B2567" s="2" t="s">
        <v>1701</v>
      </c>
      <c r="C2567" s="1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  <c r="L2567" s="2" t="s">
        <v>11029</v>
      </c>
      <c r="M2567" s="2" t="s">
        <v>11029</v>
      </c>
      <c r="N2567" s="2" t="s">
        <v>11037</v>
      </c>
      <c r="O2567" s="2" t="s">
        <v>11037</v>
      </c>
      <c r="P2567" s="2" t="s">
        <v>11036</v>
      </c>
      <c r="Q2567" s="2">
        <f>AVERAGE(PerfRate[[#This Row],[EnvironmentSatisfaction]],PerfRate[[#This Row],[JobSatisfaction]],PerfRate[[#This Row],[RelationshipSatisfaction]])</f>
        <v>3.6666666666666665</v>
      </c>
      <c r="R2567" s="2">
        <f>PerfRate[[#This Row],[ManagerRating]] - PerfRate[[#This Row],[SelfRating]]</f>
        <v>0</v>
      </c>
    </row>
    <row r="2568" spans="1:18">
      <c r="A2568" s="2" t="s">
        <v>6875</v>
      </c>
      <c r="B2568" s="2" t="s">
        <v>2617</v>
      </c>
      <c r="C2568" s="1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  <c r="L2568" s="2" t="s">
        <v>11030</v>
      </c>
      <c r="M2568" s="2" t="s">
        <v>11030</v>
      </c>
      <c r="N2568" s="2" t="s">
        <v>11036</v>
      </c>
      <c r="O2568" s="2" t="s">
        <v>11037</v>
      </c>
      <c r="P2568" s="2" t="s">
        <v>11036</v>
      </c>
      <c r="Q2568" s="2">
        <f>AVERAGE(PerfRate[[#This Row],[EnvironmentSatisfaction]],PerfRate[[#This Row],[JobSatisfaction]],PerfRate[[#This Row],[RelationshipSatisfaction]])</f>
        <v>3.3333333333333335</v>
      </c>
      <c r="R2568" s="2">
        <f>PerfRate[[#This Row],[ManagerRating]] - PerfRate[[#This Row],[SelfRating]]</f>
        <v>0</v>
      </c>
    </row>
    <row r="2569" spans="1:18">
      <c r="A2569" s="2" t="s">
        <v>6876</v>
      </c>
      <c r="B2569" s="2" t="s">
        <v>2581</v>
      </c>
      <c r="C2569" s="1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  <c r="L2569" s="2" t="s">
        <v>11030</v>
      </c>
      <c r="M2569" s="2" t="s">
        <v>11030</v>
      </c>
      <c r="N2569" s="2" t="s">
        <v>11037</v>
      </c>
      <c r="O2569" s="2" t="s">
        <v>11038</v>
      </c>
      <c r="P2569" s="2" t="s">
        <v>11037</v>
      </c>
      <c r="Q2569" s="2">
        <f>AVERAGE(PerfRate[[#This Row],[EnvironmentSatisfaction]],PerfRate[[#This Row],[JobSatisfaction]],PerfRate[[#This Row],[RelationshipSatisfaction]])</f>
        <v>4.333333333333333</v>
      </c>
      <c r="R2569" s="2">
        <f>PerfRate[[#This Row],[ManagerRating]] - PerfRate[[#This Row],[SelfRating]]</f>
        <v>0</v>
      </c>
    </row>
    <row r="2570" spans="1:18">
      <c r="A2570" s="2" t="s">
        <v>6877</v>
      </c>
      <c r="B2570" s="2" t="s">
        <v>1280</v>
      </c>
      <c r="C2570" s="1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  <c r="L2570" s="2" t="s">
        <v>11031</v>
      </c>
      <c r="M2570" s="2" t="s">
        <v>11031</v>
      </c>
      <c r="N2570" s="2" t="s">
        <v>11038</v>
      </c>
      <c r="O2570" s="2" t="s">
        <v>11035</v>
      </c>
      <c r="P2570" s="2" t="s">
        <v>11038</v>
      </c>
      <c r="Q2570" s="2">
        <f>AVERAGE(PerfRate[[#This Row],[EnvironmentSatisfaction]],PerfRate[[#This Row],[JobSatisfaction]],PerfRate[[#This Row],[RelationshipSatisfaction]])</f>
        <v>4</v>
      </c>
      <c r="R2570" s="2">
        <f>PerfRate[[#This Row],[ManagerRating]] - PerfRate[[#This Row],[SelfRating]]</f>
        <v>0</v>
      </c>
    </row>
    <row r="2571" spans="1:18">
      <c r="A2571" s="2" t="s">
        <v>6878</v>
      </c>
      <c r="B2571" s="2" t="s">
        <v>1102</v>
      </c>
      <c r="C2571" s="1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  <c r="L2571" s="2" t="s">
        <v>11030</v>
      </c>
      <c r="M2571" s="2" t="s">
        <v>11029</v>
      </c>
      <c r="N2571" s="2" t="s">
        <v>11036</v>
      </c>
      <c r="O2571" s="2" t="s">
        <v>11038</v>
      </c>
      <c r="P2571" s="2" t="s">
        <v>11037</v>
      </c>
      <c r="Q2571" s="2">
        <f>AVERAGE(PerfRate[[#This Row],[EnvironmentSatisfaction]],PerfRate[[#This Row],[JobSatisfaction]],PerfRate[[#This Row],[RelationshipSatisfaction]])</f>
        <v>4</v>
      </c>
      <c r="R2571" s="2">
        <f>PerfRate[[#This Row],[ManagerRating]] - PerfRate[[#This Row],[SelfRating]]</f>
        <v>-1</v>
      </c>
    </row>
    <row r="2572" spans="1:18">
      <c r="A2572" s="2" t="s">
        <v>6879</v>
      </c>
      <c r="B2572" s="2" t="s">
        <v>2022</v>
      </c>
      <c r="C2572" s="1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  <c r="L2572" s="2" t="s">
        <v>11030</v>
      </c>
      <c r="M2572" s="2" t="s">
        <v>11029</v>
      </c>
      <c r="N2572" s="2" t="s">
        <v>11038</v>
      </c>
      <c r="O2572" s="2" t="s">
        <v>11038</v>
      </c>
      <c r="P2572" s="2" t="s">
        <v>11037</v>
      </c>
      <c r="Q2572" s="2">
        <f>AVERAGE(PerfRate[[#This Row],[EnvironmentSatisfaction]],PerfRate[[#This Row],[JobSatisfaction]],PerfRate[[#This Row],[RelationshipSatisfaction]])</f>
        <v>4.666666666666667</v>
      </c>
      <c r="R2572" s="2">
        <f>PerfRate[[#This Row],[ManagerRating]] - PerfRate[[#This Row],[SelfRating]]</f>
        <v>-1</v>
      </c>
    </row>
    <row r="2573" spans="1:18">
      <c r="A2573" s="2" t="s">
        <v>6880</v>
      </c>
      <c r="B2573" s="2" t="s">
        <v>2042</v>
      </c>
      <c r="C2573" s="1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  <c r="L2573" s="2" t="s">
        <v>11029</v>
      </c>
      <c r="M2573" s="2" t="s">
        <v>11028</v>
      </c>
      <c r="N2573" s="2" t="s">
        <v>11037</v>
      </c>
      <c r="O2573" s="2" t="s">
        <v>11037</v>
      </c>
      <c r="P2573" s="2" t="s">
        <v>11036</v>
      </c>
      <c r="Q2573" s="2">
        <f>AVERAGE(PerfRate[[#This Row],[EnvironmentSatisfaction]],PerfRate[[#This Row],[JobSatisfaction]],PerfRate[[#This Row],[RelationshipSatisfaction]])</f>
        <v>3.6666666666666665</v>
      </c>
      <c r="R2573" s="2">
        <f>PerfRate[[#This Row],[ManagerRating]] - PerfRate[[#This Row],[SelfRating]]</f>
        <v>-1</v>
      </c>
    </row>
    <row r="2574" spans="1:18">
      <c r="A2574" s="2" t="s">
        <v>6881</v>
      </c>
      <c r="B2574" s="2" t="s">
        <v>2721</v>
      </c>
      <c r="C2574" s="1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  <c r="L2574" s="2" t="s">
        <v>11030</v>
      </c>
      <c r="M2574" s="2" t="s">
        <v>11030</v>
      </c>
      <c r="N2574" s="2" t="s">
        <v>11036</v>
      </c>
      <c r="O2574" s="2" t="s">
        <v>11035</v>
      </c>
      <c r="P2574" s="2" t="s">
        <v>11035</v>
      </c>
      <c r="Q2574" s="2">
        <f>AVERAGE(PerfRate[[#This Row],[EnvironmentSatisfaction]],PerfRate[[#This Row],[JobSatisfaction]],PerfRate[[#This Row],[RelationshipSatisfaction]])</f>
        <v>2.3333333333333335</v>
      </c>
      <c r="R2574" s="2">
        <f>PerfRate[[#This Row],[ManagerRating]] - PerfRate[[#This Row],[SelfRating]]</f>
        <v>0</v>
      </c>
    </row>
    <row r="2575" spans="1:18">
      <c r="A2575" s="2" t="s">
        <v>6882</v>
      </c>
      <c r="B2575" s="2" t="s">
        <v>514</v>
      </c>
      <c r="C2575" s="1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  <c r="L2575" s="2" t="s">
        <v>11031</v>
      </c>
      <c r="M2575" s="2" t="s">
        <v>11030</v>
      </c>
      <c r="N2575" s="2" t="s">
        <v>11034</v>
      </c>
      <c r="O2575" s="2" t="s">
        <v>11037</v>
      </c>
      <c r="P2575" s="2" t="s">
        <v>11034</v>
      </c>
      <c r="Q2575" s="2">
        <f>AVERAGE(PerfRate[[#This Row],[EnvironmentSatisfaction]],PerfRate[[#This Row],[JobSatisfaction]],PerfRate[[#This Row],[RelationshipSatisfaction]])</f>
        <v>2</v>
      </c>
      <c r="R2575" s="2">
        <f>PerfRate[[#This Row],[ManagerRating]] - PerfRate[[#This Row],[SelfRating]]</f>
        <v>-1</v>
      </c>
    </row>
    <row r="2576" spans="1:18">
      <c r="A2576" s="2" t="s">
        <v>6883</v>
      </c>
      <c r="B2576" s="2" t="s">
        <v>2158</v>
      </c>
      <c r="C2576" s="1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  <c r="L2576" s="2" t="s">
        <v>11029</v>
      </c>
      <c r="M2576" s="2" t="s">
        <v>11029</v>
      </c>
      <c r="N2576" s="2" t="s">
        <v>11036</v>
      </c>
      <c r="O2576" s="2" t="s">
        <v>11035</v>
      </c>
      <c r="P2576" s="2" t="s">
        <v>11036</v>
      </c>
      <c r="Q2576" s="2">
        <f>AVERAGE(PerfRate[[#This Row],[EnvironmentSatisfaction]],PerfRate[[#This Row],[JobSatisfaction]],PerfRate[[#This Row],[RelationshipSatisfaction]])</f>
        <v>2.6666666666666665</v>
      </c>
      <c r="R2576" s="2">
        <f>PerfRate[[#This Row],[ManagerRating]] - PerfRate[[#This Row],[SelfRating]]</f>
        <v>0</v>
      </c>
    </row>
    <row r="2577" spans="1:18">
      <c r="A2577" s="2" t="s">
        <v>6884</v>
      </c>
      <c r="B2577" s="2" t="s">
        <v>3510</v>
      </c>
      <c r="C2577" s="1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  <c r="L2577" s="2" t="s">
        <v>11031</v>
      </c>
      <c r="M2577" s="2" t="s">
        <v>11030</v>
      </c>
      <c r="N2577" s="2" t="s">
        <v>11037</v>
      </c>
      <c r="O2577" s="2" t="s">
        <v>11034</v>
      </c>
      <c r="P2577" s="2" t="s">
        <v>11037</v>
      </c>
      <c r="Q2577" s="2">
        <f>AVERAGE(PerfRate[[#This Row],[EnvironmentSatisfaction]],PerfRate[[#This Row],[JobSatisfaction]],PerfRate[[#This Row],[RelationshipSatisfaction]])</f>
        <v>3</v>
      </c>
      <c r="R2577" s="2">
        <f>PerfRate[[#This Row],[ManagerRating]] - PerfRate[[#This Row],[SelfRating]]</f>
        <v>-1</v>
      </c>
    </row>
    <row r="2578" spans="1:18">
      <c r="A2578" s="2" t="s">
        <v>6885</v>
      </c>
      <c r="B2578" s="2" t="s">
        <v>592</v>
      </c>
      <c r="C2578" s="1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  <c r="L2578" s="2" t="s">
        <v>11030</v>
      </c>
      <c r="M2578" s="2" t="s">
        <v>11029</v>
      </c>
      <c r="N2578" s="2" t="s">
        <v>11034</v>
      </c>
      <c r="O2578" s="2" t="s">
        <v>11035</v>
      </c>
      <c r="P2578" s="2" t="s">
        <v>11034</v>
      </c>
      <c r="Q2578" s="2">
        <f>AVERAGE(PerfRate[[#This Row],[EnvironmentSatisfaction]],PerfRate[[#This Row],[JobSatisfaction]],PerfRate[[#This Row],[RelationshipSatisfaction]])</f>
        <v>1.3333333333333333</v>
      </c>
      <c r="R2578" s="2">
        <f>PerfRate[[#This Row],[ManagerRating]] - PerfRate[[#This Row],[SelfRating]]</f>
        <v>-1</v>
      </c>
    </row>
    <row r="2579" spans="1:18">
      <c r="A2579" s="2" t="s">
        <v>6886</v>
      </c>
      <c r="B2579" s="2" t="s">
        <v>1575</v>
      </c>
      <c r="C2579" s="1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  <c r="L2579" s="2" t="s">
        <v>11029</v>
      </c>
      <c r="M2579" s="2" t="s">
        <v>11029</v>
      </c>
      <c r="N2579" s="2" t="s">
        <v>11035</v>
      </c>
      <c r="O2579" s="2" t="s">
        <v>11037</v>
      </c>
      <c r="P2579" s="2" t="s">
        <v>11035</v>
      </c>
      <c r="Q2579" s="2">
        <f>AVERAGE(PerfRate[[#This Row],[EnvironmentSatisfaction]],PerfRate[[#This Row],[JobSatisfaction]],PerfRate[[#This Row],[RelationshipSatisfaction]])</f>
        <v>2.6666666666666665</v>
      </c>
      <c r="R2579" s="2">
        <f>PerfRate[[#This Row],[ManagerRating]] - PerfRate[[#This Row],[SelfRating]]</f>
        <v>0</v>
      </c>
    </row>
    <row r="2580" spans="1:18">
      <c r="A2580" s="2" t="s">
        <v>6887</v>
      </c>
      <c r="B2580" s="2" t="s">
        <v>1471</v>
      </c>
      <c r="C2580" s="1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  <c r="L2580" s="2" t="s">
        <v>11031</v>
      </c>
      <c r="M2580" s="2" t="s">
        <v>11030</v>
      </c>
      <c r="N2580" s="2" t="s">
        <v>11036</v>
      </c>
      <c r="O2580" s="2" t="s">
        <v>11036</v>
      </c>
      <c r="P2580" s="2" t="s">
        <v>11036</v>
      </c>
      <c r="Q2580" s="2">
        <f>AVERAGE(PerfRate[[#This Row],[EnvironmentSatisfaction]],PerfRate[[#This Row],[JobSatisfaction]],PerfRate[[#This Row],[RelationshipSatisfaction]])</f>
        <v>3</v>
      </c>
      <c r="R2580" s="2">
        <f>PerfRate[[#This Row],[ManagerRating]] - PerfRate[[#This Row],[SelfRating]]</f>
        <v>-1</v>
      </c>
    </row>
    <row r="2581" spans="1:18">
      <c r="A2581" s="2" t="s">
        <v>6888</v>
      </c>
      <c r="B2581" s="2" t="s">
        <v>1767</v>
      </c>
      <c r="C2581" s="1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  <c r="L2581" s="2" t="s">
        <v>11030</v>
      </c>
      <c r="M2581" s="2" t="s">
        <v>11029</v>
      </c>
      <c r="N2581" s="2" t="s">
        <v>11034</v>
      </c>
      <c r="O2581" s="2" t="s">
        <v>11034</v>
      </c>
      <c r="P2581" s="2" t="s">
        <v>11034</v>
      </c>
      <c r="Q2581" s="2">
        <f>AVERAGE(PerfRate[[#This Row],[EnvironmentSatisfaction]],PerfRate[[#This Row],[JobSatisfaction]],PerfRate[[#This Row],[RelationshipSatisfaction]])</f>
        <v>1</v>
      </c>
      <c r="R2581" s="2">
        <f>PerfRate[[#This Row],[ManagerRating]] - PerfRate[[#This Row],[SelfRating]]</f>
        <v>-1</v>
      </c>
    </row>
    <row r="2582" spans="1:18">
      <c r="A2582" s="2" t="s">
        <v>6889</v>
      </c>
      <c r="B2582" s="2" t="s">
        <v>3341</v>
      </c>
      <c r="C2582" s="1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  <c r="L2582" s="2" t="s">
        <v>11030</v>
      </c>
      <c r="M2582" s="2" t="s">
        <v>11030</v>
      </c>
      <c r="N2582" s="2" t="s">
        <v>11034</v>
      </c>
      <c r="O2582" s="2" t="s">
        <v>11034</v>
      </c>
      <c r="P2582" s="2" t="s">
        <v>11036</v>
      </c>
      <c r="Q2582" s="2">
        <f>AVERAGE(PerfRate[[#This Row],[EnvironmentSatisfaction]],PerfRate[[#This Row],[JobSatisfaction]],PerfRate[[#This Row],[RelationshipSatisfaction]])</f>
        <v>1.6666666666666667</v>
      </c>
      <c r="R2582" s="2">
        <f>PerfRate[[#This Row],[ManagerRating]] - PerfRate[[#This Row],[SelfRating]]</f>
        <v>0</v>
      </c>
    </row>
    <row r="2583" spans="1:18">
      <c r="A2583" s="2" t="s">
        <v>6890</v>
      </c>
      <c r="B2583" s="2" t="s">
        <v>356</v>
      </c>
      <c r="C2583" s="1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  <c r="L2583" s="2" t="s">
        <v>11031</v>
      </c>
      <c r="M2583" s="2" t="s">
        <v>11030</v>
      </c>
      <c r="N2583" s="2" t="s">
        <v>11036</v>
      </c>
      <c r="O2583" s="2" t="s">
        <v>11037</v>
      </c>
      <c r="P2583" s="2" t="s">
        <v>11037</v>
      </c>
      <c r="Q2583" s="2">
        <f>AVERAGE(PerfRate[[#This Row],[EnvironmentSatisfaction]],PerfRate[[#This Row],[JobSatisfaction]],PerfRate[[#This Row],[RelationshipSatisfaction]])</f>
        <v>3.6666666666666665</v>
      </c>
      <c r="R2583" s="2">
        <f>PerfRate[[#This Row],[ManagerRating]] - PerfRate[[#This Row],[SelfRating]]</f>
        <v>-1</v>
      </c>
    </row>
    <row r="2584" spans="1:18">
      <c r="A2584" s="2" t="s">
        <v>6891</v>
      </c>
      <c r="B2584" s="2" t="s">
        <v>863</v>
      </c>
      <c r="C2584" s="1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  <c r="L2584" s="2" t="s">
        <v>11031</v>
      </c>
      <c r="M2584" s="2" t="s">
        <v>11030</v>
      </c>
      <c r="N2584" s="2" t="s">
        <v>11038</v>
      </c>
      <c r="O2584" s="2" t="s">
        <v>11038</v>
      </c>
      <c r="P2584" s="2" t="s">
        <v>11035</v>
      </c>
      <c r="Q2584" s="2">
        <f>AVERAGE(PerfRate[[#This Row],[EnvironmentSatisfaction]],PerfRate[[#This Row],[JobSatisfaction]],PerfRate[[#This Row],[RelationshipSatisfaction]])</f>
        <v>4</v>
      </c>
      <c r="R2584" s="2">
        <f>PerfRate[[#This Row],[ManagerRating]] - PerfRate[[#This Row],[SelfRating]]</f>
        <v>-1</v>
      </c>
    </row>
    <row r="2585" spans="1:18">
      <c r="A2585" s="2" t="s">
        <v>6892</v>
      </c>
      <c r="B2585" s="2" t="s">
        <v>2625</v>
      </c>
      <c r="C2585" s="1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  <c r="L2585" s="2" t="s">
        <v>11030</v>
      </c>
      <c r="M2585" s="2" t="s">
        <v>11030</v>
      </c>
      <c r="N2585" s="2" t="s">
        <v>11038</v>
      </c>
      <c r="O2585" s="2" t="s">
        <v>11036</v>
      </c>
      <c r="P2585" s="2" t="s">
        <v>11038</v>
      </c>
      <c r="Q2585" s="2">
        <f>AVERAGE(PerfRate[[#This Row],[EnvironmentSatisfaction]],PerfRate[[#This Row],[JobSatisfaction]],PerfRate[[#This Row],[RelationshipSatisfaction]])</f>
        <v>4.333333333333333</v>
      </c>
      <c r="R2585" s="2">
        <f>PerfRate[[#This Row],[ManagerRating]] - PerfRate[[#This Row],[SelfRating]]</f>
        <v>0</v>
      </c>
    </row>
    <row r="2586" spans="1:18">
      <c r="A2586" s="2" t="s">
        <v>6893</v>
      </c>
      <c r="B2586" s="2" t="s">
        <v>1362</v>
      </c>
      <c r="C2586" s="1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  <c r="L2586" s="2" t="s">
        <v>11031</v>
      </c>
      <c r="M2586" s="2" t="s">
        <v>11031</v>
      </c>
      <c r="N2586" s="2" t="s">
        <v>11038</v>
      </c>
      <c r="O2586" s="2" t="s">
        <v>11036</v>
      </c>
      <c r="P2586" s="2" t="s">
        <v>11037</v>
      </c>
      <c r="Q2586" s="2">
        <f>AVERAGE(PerfRate[[#This Row],[EnvironmentSatisfaction]],PerfRate[[#This Row],[JobSatisfaction]],PerfRate[[#This Row],[RelationshipSatisfaction]])</f>
        <v>4</v>
      </c>
      <c r="R2586" s="2">
        <f>PerfRate[[#This Row],[ManagerRating]] - PerfRate[[#This Row],[SelfRating]]</f>
        <v>0</v>
      </c>
    </row>
    <row r="2587" spans="1:18">
      <c r="A2587" s="2" t="s">
        <v>6894</v>
      </c>
      <c r="B2587" s="2" t="s">
        <v>57</v>
      </c>
      <c r="C2587" s="1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  <c r="L2587" s="2" t="s">
        <v>11031</v>
      </c>
      <c r="M2587" s="2" t="s">
        <v>11031</v>
      </c>
      <c r="N2587" s="2" t="s">
        <v>11037</v>
      </c>
      <c r="O2587" s="2" t="s">
        <v>11038</v>
      </c>
      <c r="P2587" s="2" t="s">
        <v>11037</v>
      </c>
      <c r="Q2587" s="2">
        <f>AVERAGE(PerfRate[[#This Row],[EnvironmentSatisfaction]],PerfRate[[#This Row],[JobSatisfaction]],PerfRate[[#This Row],[RelationshipSatisfaction]])</f>
        <v>4.333333333333333</v>
      </c>
      <c r="R2587" s="2">
        <f>PerfRate[[#This Row],[ManagerRating]] - PerfRate[[#This Row],[SelfRating]]</f>
        <v>0</v>
      </c>
    </row>
    <row r="2588" spans="1:18">
      <c r="A2588" s="2" t="s">
        <v>6895</v>
      </c>
      <c r="B2588" s="2" t="s">
        <v>544</v>
      </c>
      <c r="C2588" s="1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  <c r="L2588" s="2" t="s">
        <v>11029</v>
      </c>
      <c r="M2588" s="2" t="s">
        <v>11029</v>
      </c>
      <c r="N2588" s="2" t="s">
        <v>11037</v>
      </c>
      <c r="O2588" s="2" t="s">
        <v>11035</v>
      </c>
      <c r="P2588" s="2" t="s">
        <v>11037</v>
      </c>
      <c r="Q2588" s="2">
        <f>AVERAGE(PerfRate[[#This Row],[EnvironmentSatisfaction]],PerfRate[[#This Row],[JobSatisfaction]],PerfRate[[#This Row],[RelationshipSatisfaction]])</f>
        <v>3.3333333333333335</v>
      </c>
      <c r="R2588" s="2">
        <f>PerfRate[[#This Row],[ManagerRating]] - PerfRate[[#This Row],[SelfRating]]</f>
        <v>0</v>
      </c>
    </row>
    <row r="2589" spans="1:18">
      <c r="A2589" s="2" t="s">
        <v>6896</v>
      </c>
      <c r="B2589" s="2" t="s">
        <v>1212</v>
      </c>
      <c r="C2589" s="1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  <c r="L2589" s="2" t="s">
        <v>11030</v>
      </c>
      <c r="M2589" s="2" t="s">
        <v>11030</v>
      </c>
      <c r="N2589" s="2" t="s">
        <v>11038</v>
      </c>
      <c r="O2589" s="2" t="s">
        <v>11038</v>
      </c>
      <c r="P2589" s="2" t="s">
        <v>11035</v>
      </c>
      <c r="Q2589" s="2">
        <f>AVERAGE(PerfRate[[#This Row],[EnvironmentSatisfaction]],PerfRate[[#This Row],[JobSatisfaction]],PerfRate[[#This Row],[RelationshipSatisfaction]])</f>
        <v>4</v>
      </c>
      <c r="R2589" s="2">
        <f>PerfRate[[#This Row],[ManagerRating]] - PerfRate[[#This Row],[SelfRating]]</f>
        <v>0</v>
      </c>
    </row>
    <row r="2590" spans="1:18">
      <c r="A2590" s="2" t="s">
        <v>6897</v>
      </c>
      <c r="B2590" s="2" t="s">
        <v>2033</v>
      </c>
      <c r="C2590" s="1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  <c r="L2590" s="2" t="s">
        <v>11031</v>
      </c>
      <c r="M2590" s="2" t="s">
        <v>11031</v>
      </c>
      <c r="N2590" s="2" t="s">
        <v>11036</v>
      </c>
      <c r="O2590" s="2" t="s">
        <v>11035</v>
      </c>
      <c r="P2590" s="2" t="s">
        <v>11038</v>
      </c>
      <c r="Q2590" s="2">
        <f>AVERAGE(PerfRate[[#This Row],[EnvironmentSatisfaction]],PerfRate[[#This Row],[JobSatisfaction]],PerfRate[[#This Row],[RelationshipSatisfaction]])</f>
        <v>3.3333333333333335</v>
      </c>
      <c r="R2590" s="2">
        <f>PerfRate[[#This Row],[ManagerRating]] - PerfRate[[#This Row],[SelfRating]]</f>
        <v>0</v>
      </c>
    </row>
    <row r="2591" spans="1:18">
      <c r="A2591" s="2" t="s">
        <v>6898</v>
      </c>
      <c r="B2591" s="2" t="s">
        <v>4032</v>
      </c>
      <c r="C2591" s="1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  <c r="L2591" s="2" t="s">
        <v>11030</v>
      </c>
      <c r="M2591" s="2" t="s">
        <v>11030</v>
      </c>
      <c r="N2591" s="2" t="s">
        <v>11038</v>
      </c>
      <c r="O2591" s="2" t="s">
        <v>11036</v>
      </c>
      <c r="P2591" s="2" t="s">
        <v>11038</v>
      </c>
      <c r="Q2591" s="2">
        <f>AVERAGE(PerfRate[[#This Row],[EnvironmentSatisfaction]],PerfRate[[#This Row],[JobSatisfaction]],PerfRate[[#This Row],[RelationshipSatisfaction]])</f>
        <v>4.333333333333333</v>
      </c>
      <c r="R2591" s="2">
        <f>PerfRate[[#This Row],[ManagerRating]] - PerfRate[[#This Row],[SelfRating]]</f>
        <v>0</v>
      </c>
    </row>
    <row r="2592" spans="1:18">
      <c r="A2592" s="2" t="s">
        <v>6899</v>
      </c>
      <c r="B2592" s="2" t="s">
        <v>1468</v>
      </c>
      <c r="C2592" s="1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  <c r="L2592" s="2" t="s">
        <v>11031</v>
      </c>
      <c r="M2592" s="2" t="s">
        <v>11031</v>
      </c>
      <c r="N2592" s="2" t="s">
        <v>11038</v>
      </c>
      <c r="O2592" s="2" t="s">
        <v>11036</v>
      </c>
      <c r="P2592" s="2" t="s">
        <v>11038</v>
      </c>
      <c r="Q2592" s="2">
        <f>AVERAGE(PerfRate[[#This Row],[EnvironmentSatisfaction]],PerfRate[[#This Row],[JobSatisfaction]],PerfRate[[#This Row],[RelationshipSatisfaction]])</f>
        <v>4.333333333333333</v>
      </c>
      <c r="R2592" s="2">
        <f>PerfRate[[#This Row],[ManagerRating]] - PerfRate[[#This Row],[SelfRating]]</f>
        <v>0</v>
      </c>
    </row>
    <row r="2593" spans="1:18">
      <c r="A2593" s="2" t="s">
        <v>6900</v>
      </c>
      <c r="B2593" s="2" t="s">
        <v>2767</v>
      </c>
      <c r="C2593" s="1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  <c r="L2593" s="2" t="s">
        <v>11031</v>
      </c>
      <c r="M2593" s="2" t="s">
        <v>11030</v>
      </c>
      <c r="N2593" s="2" t="s">
        <v>11036</v>
      </c>
      <c r="O2593" s="2" t="s">
        <v>11036</v>
      </c>
      <c r="P2593" s="2" t="s">
        <v>11036</v>
      </c>
      <c r="Q2593" s="2">
        <f>AVERAGE(PerfRate[[#This Row],[EnvironmentSatisfaction]],PerfRate[[#This Row],[JobSatisfaction]],PerfRate[[#This Row],[RelationshipSatisfaction]])</f>
        <v>3</v>
      </c>
      <c r="R2593" s="2">
        <f>PerfRate[[#This Row],[ManagerRating]] - PerfRate[[#This Row],[SelfRating]]</f>
        <v>-1</v>
      </c>
    </row>
    <row r="2594" spans="1:18">
      <c r="A2594" s="2" t="s">
        <v>6901</v>
      </c>
      <c r="B2594" s="2" t="s">
        <v>1602</v>
      </c>
      <c r="C2594" s="1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  <c r="L2594" s="2" t="s">
        <v>11031</v>
      </c>
      <c r="M2594" s="2" t="s">
        <v>11031</v>
      </c>
      <c r="N2594" s="2" t="s">
        <v>11037</v>
      </c>
      <c r="O2594" s="2" t="s">
        <v>11038</v>
      </c>
      <c r="P2594" s="2" t="s">
        <v>11037</v>
      </c>
      <c r="Q2594" s="2">
        <f>AVERAGE(PerfRate[[#This Row],[EnvironmentSatisfaction]],PerfRate[[#This Row],[JobSatisfaction]],PerfRate[[#This Row],[RelationshipSatisfaction]])</f>
        <v>4.333333333333333</v>
      </c>
      <c r="R2594" s="2">
        <f>PerfRate[[#This Row],[ManagerRating]] - PerfRate[[#This Row],[SelfRating]]</f>
        <v>0</v>
      </c>
    </row>
    <row r="2595" spans="1:18">
      <c r="A2595" s="2" t="s">
        <v>6902</v>
      </c>
      <c r="B2595" s="2" t="s">
        <v>976</v>
      </c>
      <c r="C2595" s="1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  <c r="L2595" s="2" t="s">
        <v>11029</v>
      </c>
      <c r="M2595" s="2" t="s">
        <v>11029</v>
      </c>
      <c r="N2595" s="2" t="s">
        <v>11036</v>
      </c>
      <c r="O2595" s="2" t="s">
        <v>11037</v>
      </c>
      <c r="P2595" s="2" t="s">
        <v>11036</v>
      </c>
      <c r="Q2595" s="2">
        <f>AVERAGE(PerfRate[[#This Row],[EnvironmentSatisfaction]],PerfRate[[#This Row],[JobSatisfaction]],PerfRate[[#This Row],[RelationshipSatisfaction]])</f>
        <v>3.3333333333333335</v>
      </c>
      <c r="R2595" s="2">
        <f>PerfRate[[#This Row],[ManagerRating]] - PerfRate[[#This Row],[SelfRating]]</f>
        <v>0</v>
      </c>
    </row>
    <row r="2596" spans="1:18">
      <c r="A2596" s="2" t="s">
        <v>6903</v>
      </c>
      <c r="B2596" s="2" t="s">
        <v>1578</v>
      </c>
      <c r="C2596" s="1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  <c r="L2596" s="2" t="s">
        <v>11029</v>
      </c>
      <c r="M2596" s="2" t="s">
        <v>11028</v>
      </c>
      <c r="N2596" s="2" t="s">
        <v>11037</v>
      </c>
      <c r="O2596" s="2" t="s">
        <v>11036</v>
      </c>
      <c r="P2596" s="2" t="s">
        <v>11038</v>
      </c>
      <c r="Q2596" s="2">
        <f>AVERAGE(PerfRate[[#This Row],[EnvironmentSatisfaction]],PerfRate[[#This Row],[JobSatisfaction]],PerfRate[[#This Row],[RelationshipSatisfaction]])</f>
        <v>4</v>
      </c>
      <c r="R2596" s="2">
        <f>PerfRate[[#This Row],[ManagerRating]] - PerfRate[[#This Row],[SelfRating]]</f>
        <v>-1</v>
      </c>
    </row>
    <row r="2597" spans="1:18">
      <c r="A2597" s="2" t="s">
        <v>6904</v>
      </c>
      <c r="B2597" s="2" t="s">
        <v>782</v>
      </c>
      <c r="C2597" s="1">
        <v>43474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  <c r="L2597" s="2" t="s">
        <v>11029</v>
      </c>
      <c r="M2597" s="2" t="s">
        <v>11029</v>
      </c>
      <c r="N2597" s="2" t="s">
        <v>11038</v>
      </c>
      <c r="O2597" s="2" t="s">
        <v>11036</v>
      </c>
      <c r="P2597" s="2" t="s">
        <v>11035</v>
      </c>
      <c r="Q2597" s="2">
        <f>AVERAGE(PerfRate[[#This Row],[EnvironmentSatisfaction]],PerfRate[[#This Row],[JobSatisfaction]],PerfRate[[#This Row],[RelationshipSatisfaction]])</f>
        <v>3.3333333333333335</v>
      </c>
      <c r="R2597" s="2">
        <f>PerfRate[[#This Row],[ManagerRating]] - PerfRate[[#This Row],[SelfRating]]</f>
        <v>0</v>
      </c>
    </row>
    <row r="2598" spans="1:18">
      <c r="A2598" s="2" t="s">
        <v>6905</v>
      </c>
      <c r="B2598" s="2" t="s">
        <v>1572</v>
      </c>
      <c r="C2598" s="1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  <c r="L2598" s="2" t="s">
        <v>11029</v>
      </c>
      <c r="M2598" s="2" t="s">
        <v>11028</v>
      </c>
      <c r="N2598" s="2" t="s">
        <v>11038</v>
      </c>
      <c r="O2598" s="2" t="s">
        <v>11038</v>
      </c>
      <c r="P2598" s="2" t="s">
        <v>11036</v>
      </c>
      <c r="Q2598" s="2">
        <f>AVERAGE(PerfRate[[#This Row],[EnvironmentSatisfaction]],PerfRate[[#This Row],[JobSatisfaction]],PerfRate[[#This Row],[RelationshipSatisfaction]])</f>
        <v>4.333333333333333</v>
      </c>
      <c r="R2598" s="2">
        <f>PerfRate[[#This Row],[ManagerRating]] - PerfRate[[#This Row],[SelfRating]]</f>
        <v>-1</v>
      </c>
    </row>
    <row r="2599" spans="1:18">
      <c r="A2599" s="2" t="s">
        <v>6906</v>
      </c>
      <c r="B2599" s="2" t="s">
        <v>1680</v>
      </c>
      <c r="C2599" s="1">
        <v>43474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  <c r="L2599" s="2" t="s">
        <v>11030</v>
      </c>
      <c r="M2599" s="2" t="s">
        <v>11030</v>
      </c>
      <c r="N2599" s="2" t="s">
        <v>11037</v>
      </c>
      <c r="O2599" s="2" t="s">
        <v>11037</v>
      </c>
      <c r="P2599" s="2" t="s">
        <v>11035</v>
      </c>
      <c r="Q2599" s="2">
        <f>AVERAGE(PerfRate[[#This Row],[EnvironmentSatisfaction]],PerfRate[[#This Row],[JobSatisfaction]],PerfRate[[#This Row],[RelationshipSatisfaction]])</f>
        <v>3.3333333333333335</v>
      </c>
      <c r="R2599" s="2">
        <f>PerfRate[[#This Row],[ManagerRating]] - PerfRate[[#This Row],[SelfRating]]</f>
        <v>0</v>
      </c>
    </row>
    <row r="2600" spans="1:18">
      <c r="A2600" s="2" t="s">
        <v>6907</v>
      </c>
      <c r="B2600" s="2" t="s">
        <v>2533</v>
      </c>
      <c r="C2600" s="1">
        <v>43505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  <c r="L2600" s="2" t="s">
        <v>11029</v>
      </c>
      <c r="M2600" s="2" t="s">
        <v>11028</v>
      </c>
      <c r="N2600" s="2" t="s">
        <v>11036</v>
      </c>
      <c r="O2600" s="2" t="s">
        <v>11037</v>
      </c>
      <c r="P2600" s="2" t="s">
        <v>11038</v>
      </c>
      <c r="Q2600" s="2">
        <f>AVERAGE(PerfRate[[#This Row],[EnvironmentSatisfaction]],PerfRate[[#This Row],[JobSatisfaction]],PerfRate[[#This Row],[RelationshipSatisfaction]])</f>
        <v>4</v>
      </c>
      <c r="R2600" s="2">
        <f>PerfRate[[#This Row],[ManagerRating]] - PerfRate[[#This Row],[SelfRating]]</f>
        <v>-1</v>
      </c>
    </row>
    <row r="2601" spans="1:18">
      <c r="A2601" s="2" t="s">
        <v>6908</v>
      </c>
      <c r="B2601" s="2" t="s">
        <v>847</v>
      </c>
      <c r="C2601" s="1">
        <v>43505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  <c r="L2601" s="2" t="s">
        <v>11029</v>
      </c>
      <c r="M2601" s="2" t="s">
        <v>11028</v>
      </c>
      <c r="N2601" s="2" t="s">
        <v>11037</v>
      </c>
      <c r="O2601" s="2" t="s">
        <v>11035</v>
      </c>
      <c r="P2601" s="2" t="s">
        <v>11038</v>
      </c>
      <c r="Q2601" s="2">
        <f>AVERAGE(PerfRate[[#This Row],[EnvironmentSatisfaction]],PerfRate[[#This Row],[JobSatisfaction]],PerfRate[[#This Row],[RelationshipSatisfaction]])</f>
        <v>3.6666666666666665</v>
      </c>
      <c r="R2601" s="2">
        <f>PerfRate[[#This Row],[ManagerRating]] - PerfRate[[#This Row],[SelfRating]]</f>
        <v>-1</v>
      </c>
    </row>
    <row r="2602" spans="1:18">
      <c r="A2602" s="2" t="s">
        <v>6909</v>
      </c>
      <c r="B2602" s="2" t="s">
        <v>1984</v>
      </c>
      <c r="C2602" s="1">
        <v>43505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  <c r="L2602" s="2" t="s">
        <v>11031</v>
      </c>
      <c r="M2602" s="2" t="s">
        <v>11031</v>
      </c>
      <c r="N2602" s="2" t="s">
        <v>11036</v>
      </c>
      <c r="O2602" s="2" t="s">
        <v>11035</v>
      </c>
      <c r="P2602" s="2" t="s">
        <v>11038</v>
      </c>
      <c r="Q2602" s="2">
        <f>AVERAGE(PerfRate[[#This Row],[EnvironmentSatisfaction]],PerfRate[[#This Row],[JobSatisfaction]],PerfRate[[#This Row],[RelationshipSatisfaction]])</f>
        <v>3.3333333333333335</v>
      </c>
      <c r="R2602" s="2">
        <f>PerfRate[[#This Row],[ManagerRating]] - PerfRate[[#This Row],[SelfRating]]</f>
        <v>0</v>
      </c>
    </row>
    <row r="2603" spans="1:18">
      <c r="A2603" s="2" t="s">
        <v>6910</v>
      </c>
      <c r="B2603" s="2" t="s">
        <v>886</v>
      </c>
      <c r="C2603" s="1">
        <v>43533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  <c r="L2603" s="2" t="s">
        <v>11029</v>
      </c>
      <c r="M2603" s="2" t="s">
        <v>11028</v>
      </c>
      <c r="N2603" s="2" t="s">
        <v>11037</v>
      </c>
      <c r="O2603" s="2" t="s">
        <v>11035</v>
      </c>
      <c r="P2603" s="2" t="s">
        <v>11036</v>
      </c>
      <c r="Q2603" s="2">
        <f>AVERAGE(PerfRate[[#This Row],[EnvironmentSatisfaction]],PerfRate[[#This Row],[JobSatisfaction]],PerfRate[[#This Row],[RelationshipSatisfaction]])</f>
        <v>3</v>
      </c>
      <c r="R2603" s="2">
        <f>PerfRate[[#This Row],[ManagerRating]] - PerfRate[[#This Row],[SelfRating]]</f>
        <v>-1</v>
      </c>
    </row>
    <row r="2604" spans="1:18">
      <c r="A2604" s="2" t="s">
        <v>6911</v>
      </c>
      <c r="B2604" s="2" t="s">
        <v>1232</v>
      </c>
      <c r="C2604" s="1">
        <v>43533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  <c r="L2604" s="2" t="s">
        <v>11030</v>
      </c>
      <c r="M2604" s="2" t="s">
        <v>11030</v>
      </c>
      <c r="N2604" s="2" t="s">
        <v>11038</v>
      </c>
      <c r="O2604" s="2" t="s">
        <v>11038</v>
      </c>
      <c r="P2604" s="2" t="s">
        <v>11036</v>
      </c>
      <c r="Q2604" s="2">
        <f>AVERAGE(PerfRate[[#This Row],[EnvironmentSatisfaction]],PerfRate[[#This Row],[JobSatisfaction]],PerfRate[[#This Row],[RelationshipSatisfaction]])</f>
        <v>4.333333333333333</v>
      </c>
      <c r="R2604" s="2">
        <f>PerfRate[[#This Row],[ManagerRating]] - PerfRate[[#This Row],[SelfRating]]</f>
        <v>0</v>
      </c>
    </row>
    <row r="2605" spans="1:18">
      <c r="A2605" s="2" t="s">
        <v>6912</v>
      </c>
      <c r="B2605" s="2" t="s">
        <v>2140</v>
      </c>
      <c r="C2605" s="1">
        <v>43533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  <c r="L2605" s="2" t="s">
        <v>11031</v>
      </c>
      <c r="M2605" s="2" t="s">
        <v>11030</v>
      </c>
      <c r="N2605" s="2" t="s">
        <v>11038</v>
      </c>
      <c r="O2605" s="2" t="s">
        <v>11035</v>
      </c>
      <c r="P2605" s="2" t="s">
        <v>11035</v>
      </c>
      <c r="Q2605" s="2">
        <f>AVERAGE(PerfRate[[#This Row],[EnvironmentSatisfaction]],PerfRate[[#This Row],[JobSatisfaction]],PerfRate[[#This Row],[RelationshipSatisfaction]])</f>
        <v>3</v>
      </c>
      <c r="R2605" s="2">
        <f>PerfRate[[#This Row],[ManagerRating]] - PerfRate[[#This Row],[SelfRating]]</f>
        <v>-1</v>
      </c>
    </row>
    <row r="2606" spans="1:18">
      <c r="A2606" s="2" t="s">
        <v>6913</v>
      </c>
      <c r="B2606" s="2" t="s">
        <v>1807</v>
      </c>
      <c r="C2606" s="1">
        <v>43533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  <c r="L2606" s="2" t="s">
        <v>11029</v>
      </c>
      <c r="M2606" s="2" t="s">
        <v>11029</v>
      </c>
      <c r="N2606" s="2" t="s">
        <v>11037</v>
      </c>
      <c r="O2606" s="2" t="s">
        <v>11035</v>
      </c>
      <c r="P2606" s="2" t="s">
        <v>11035</v>
      </c>
      <c r="Q2606" s="2">
        <f>AVERAGE(PerfRate[[#This Row],[EnvironmentSatisfaction]],PerfRate[[#This Row],[JobSatisfaction]],PerfRate[[#This Row],[RelationshipSatisfaction]])</f>
        <v>2.6666666666666665</v>
      </c>
      <c r="R2606" s="2">
        <f>PerfRate[[#This Row],[ManagerRating]] - PerfRate[[#This Row],[SelfRating]]</f>
        <v>0</v>
      </c>
    </row>
    <row r="2607" spans="1:18">
      <c r="A2607" s="2" t="s">
        <v>6914</v>
      </c>
      <c r="B2607" s="2" t="s">
        <v>1797</v>
      </c>
      <c r="C2607" s="1">
        <v>43533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  <c r="L2607" s="2" t="s">
        <v>11030</v>
      </c>
      <c r="M2607" s="2" t="s">
        <v>11029</v>
      </c>
      <c r="N2607" s="2" t="s">
        <v>11036</v>
      </c>
      <c r="O2607" s="2" t="s">
        <v>11036</v>
      </c>
      <c r="P2607" s="2" t="s">
        <v>11036</v>
      </c>
      <c r="Q2607" s="2">
        <f>AVERAGE(PerfRate[[#This Row],[EnvironmentSatisfaction]],PerfRate[[#This Row],[JobSatisfaction]],PerfRate[[#This Row],[RelationshipSatisfaction]])</f>
        <v>3</v>
      </c>
      <c r="R2607" s="2">
        <f>PerfRate[[#This Row],[ManagerRating]] - PerfRate[[#This Row],[SelfRating]]</f>
        <v>-1</v>
      </c>
    </row>
    <row r="2608" spans="1:18">
      <c r="A2608" s="2" t="s">
        <v>6915</v>
      </c>
      <c r="B2608" s="2" t="s">
        <v>4222</v>
      </c>
      <c r="C2608" s="1">
        <v>43564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  <c r="L2608" s="2" t="s">
        <v>11029</v>
      </c>
      <c r="M2608" s="2" t="s">
        <v>11028</v>
      </c>
      <c r="N2608" s="2" t="s">
        <v>11036</v>
      </c>
      <c r="O2608" s="2" t="s">
        <v>11036</v>
      </c>
      <c r="P2608" s="2" t="s">
        <v>11036</v>
      </c>
      <c r="Q2608" s="2">
        <f>AVERAGE(PerfRate[[#This Row],[EnvironmentSatisfaction]],PerfRate[[#This Row],[JobSatisfaction]],PerfRate[[#This Row],[RelationshipSatisfaction]])</f>
        <v>3</v>
      </c>
      <c r="R2608" s="2">
        <f>PerfRate[[#This Row],[ManagerRating]] - PerfRate[[#This Row],[SelfRating]]</f>
        <v>-1</v>
      </c>
    </row>
    <row r="2609" spans="1:18">
      <c r="A2609" s="2" t="s">
        <v>6916</v>
      </c>
      <c r="B2609" s="2" t="s">
        <v>613</v>
      </c>
      <c r="C2609" s="1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  <c r="L2609" s="2" t="s">
        <v>11030</v>
      </c>
      <c r="M2609" s="2" t="s">
        <v>11029</v>
      </c>
      <c r="N2609" s="2" t="s">
        <v>11036</v>
      </c>
      <c r="O2609" s="2" t="s">
        <v>11036</v>
      </c>
      <c r="P2609" s="2" t="s">
        <v>11035</v>
      </c>
      <c r="Q2609" s="2">
        <f>AVERAGE(PerfRate[[#This Row],[EnvironmentSatisfaction]],PerfRate[[#This Row],[JobSatisfaction]],PerfRate[[#This Row],[RelationshipSatisfaction]])</f>
        <v>2.6666666666666665</v>
      </c>
      <c r="R2609" s="2">
        <f>PerfRate[[#This Row],[ManagerRating]] - PerfRate[[#This Row],[SelfRating]]</f>
        <v>-1</v>
      </c>
    </row>
    <row r="2610" spans="1:18">
      <c r="A2610" s="2" t="s">
        <v>6917</v>
      </c>
      <c r="B2610" s="2" t="s">
        <v>1563</v>
      </c>
      <c r="C2610" s="1">
        <v>43564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  <c r="L2610" s="2" t="s">
        <v>11031</v>
      </c>
      <c r="M2610" s="2" t="s">
        <v>11030</v>
      </c>
      <c r="N2610" s="2" t="s">
        <v>11037</v>
      </c>
      <c r="O2610" s="2" t="s">
        <v>11038</v>
      </c>
      <c r="P2610" s="2" t="s">
        <v>11037</v>
      </c>
      <c r="Q2610" s="2">
        <f>AVERAGE(PerfRate[[#This Row],[EnvironmentSatisfaction]],PerfRate[[#This Row],[JobSatisfaction]],PerfRate[[#This Row],[RelationshipSatisfaction]])</f>
        <v>4.333333333333333</v>
      </c>
      <c r="R2610" s="2">
        <f>PerfRate[[#This Row],[ManagerRating]] - PerfRate[[#This Row],[SelfRating]]</f>
        <v>-1</v>
      </c>
    </row>
    <row r="2611" spans="1:18">
      <c r="A2611" s="2" t="s">
        <v>6918</v>
      </c>
      <c r="B2611" s="2" t="s">
        <v>1924</v>
      </c>
      <c r="C2611" s="1">
        <v>43564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  <c r="L2611" s="2" t="s">
        <v>11030</v>
      </c>
      <c r="M2611" s="2" t="s">
        <v>11029</v>
      </c>
      <c r="N2611" s="2" t="s">
        <v>11037</v>
      </c>
      <c r="O2611" s="2" t="s">
        <v>11035</v>
      </c>
      <c r="P2611" s="2" t="s">
        <v>11036</v>
      </c>
      <c r="Q2611" s="2">
        <f>AVERAGE(PerfRate[[#This Row],[EnvironmentSatisfaction]],PerfRate[[#This Row],[JobSatisfaction]],PerfRate[[#This Row],[RelationshipSatisfaction]])</f>
        <v>3</v>
      </c>
      <c r="R2611" s="2">
        <f>PerfRate[[#This Row],[ManagerRating]] - PerfRate[[#This Row],[SelfRating]]</f>
        <v>-1</v>
      </c>
    </row>
    <row r="2612" spans="1:18">
      <c r="A2612" s="2" t="s">
        <v>6919</v>
      </c>
      <c r="B2612" s="2" t="s">
        <v>1374</v>
      </c>
      <c r="C2612" s="1">
        <v>43594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  <c r="L2612" s="2" t="s">
        <v>11031</v>
      </c>
      <c r="M2612" s="2" t="s">
        <v>11030</v>
      </c>
      <c r="N2612" s="2" t="s">
        <v>11036</v>
      </c>
      <c r="O2612" s="2" t="s">
        <v>11038</v>
      </c>
      <c r="P2612" s="2" t="s">
        <v>11038</v>
      </c>
      <c r="Q2612" s="2">
        <f>AVERAGE(PerfRate[[#This Row],[EnvironmentSatisfaction]],PerfRate[[#This Row],[JobSatisfaction]],PerfRate[[#This Row],[RelationshipSatisfaction]])</f>
        <v>4.333333333333333</v>
      </c>
      <c r="R2612" s="2">
        <f>PerfRate[[#This Row],[ManagerRating]] - PerfRate[[#This Row],[SelfRating]]</f>
        <v>-1</v>
      </c>
    </row>
    <row r="2613" spans="1:18">
      <c r="A2613" s="2" t="s">
        <v>6920</v>
      </c>
      <c r="B2613" s="2" t="s">
        <v>604</v>
      </c>
      <c r="C2613" s="1">
        <v>43625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  <c r="L2613" s="2" t="s">
        <v>11031</v>
      </c>
      <c r="M2613" s="2" t="s">
        <v>11030</v>
      </c>
      <c r="N2613" s="2" t="s">
        <v>11036</v>
      </c>
      <c r="O2613" s="2" t="s">
        <v>11036</v>
      </c>
      <c r="P2613" s="2" t="s">
        <v>11036</v>
      </c>
      <c r="Q2613" s="2">
        <f>AVERAGE(PerfRate[[#This Row],[EnvironmentSatisfaction]],PerfRate[[#This Row],[JobSatisfaction]],PerfRate[[#This Row],[RelationshipSatisfaction]])</f>
        <v>3</v>
      </c>
      <c r="R2613" s="2">
        <f>PerfRate[[#This Row],[ManagerRating]] - PerfRate[[#This Row],[SelfRating]]</f>
        <v>-1</v>
      </c>
    </row>
    <row r="2614" spans="1:18">
      <c r="A2614" s="2" t="s">
        <v>6921</v>
      </c>
      <c r="B2614" s="2" t="s">
        <v>3353</v>
      </c>
      <c r="C2614" s="1">
        <v>43686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  <c r="L2614" s="2" t="s">
        <v>11029</v>
      </c>
      <c r="M2614" s="2" t="s">
        <v>11028</v>
      </c>
      <c r="N2614" s="2" t="s">
        <v>11037</v>
      </c>
      <c r="O2614" s="2" t="s">
        <v>11036</v>
      </c>
      <c r="P2614" s="2" t="s">
        <v>11038</v>
      </c>
      <c r="Q2614" s="2">
        <f>AVERAGE(PerfRate[[#This Row],[EnvironmentSatisfaction]],PerfRate[[#This Row],[JobSatisfaction]],PerfRate[[#This Row],[RelationshipSatisfaction]])</f>
        <v>4</v>
      </c>
      <c r="R2614" s="2">
        <f>PerfRate[[#This Row],[ManagerRating]] - PerfRate[[#This Row],[SelfRating]]</f>
        <v>-1</v>
      </c>
    </row>
    <row r="2615" spans="1:18">
      <c r="A2615" s="2" t="s">
        <v>6922</v>
      </c>
      <c r="B2615" s="2" t="s">
        <v>1377</v>
      </c>
      <c r="C2615" s="1">
        <v>43686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  <c r="L2615" s="2" t="s">
        <v>11029</v>
      </c>
      <c r="M2615" s="2" t="s">
        <v>11028</v>
      </c>
      <c r="N2615" s="2" t="s">
        <v>11038</v>
      </c>
      <c r="O2615" s="2" t="s">
        <v>11036</v>
      </c>
      <c r="P2615" s="2" t="s">
        <v>11038</v>
      </c>
      <c r="Q2615" s="2">
        <f>AVERAGE(PerfRate[[#This Row],[EnvironmentSatisfaction]],PerfRate[[#This Row],[JobSatisfaction]],PerfRate[[#This Row],[RelationshipSatisfaction]])</f>
        <v>4.333333333333333</v>
      </c>
      <c r="R2615" s="2">
        <f>PerfRate[[#This Row],[ManagerRating]] - PerfRate[[#This Row],[SelfRating]]</f>
        <v>-1</v>
      </c>
    </row>
    <row r="2616" spans="1:18">
      <c r="A2616" s="2" t="s">
        <v>6923</v>
      </c>
      <c r="B2616" s="2" t="s">
        <v>1459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  <c r="L2616" s="2" t="s">
        <v>11031</v>
      </c>
      <c r="M2616" s="2" t="s">
        <v>11030</v>
      </c>
      <c r="N2616" s="2" t="s">
        <v>11038</v>
      </c>
      <c r="O2616" s="2" t="s">
        <v>11035</v>
      </c>
      <c r="P2616" s="2" t="s">
        <v>11037</v>
      </c>
      <c r="Q2616" s="2">
        <f>AVERAGE(PerfRate[[#This Row],[EnvironmentSatisfaction]],PerfRate[[#This Row],[JobSatisfaction]],PerfRate[[#This Row],[RelationshipSatisfaction]])</f>
        <v>3.6666666666666665</v>
      </c>
      <c r="R2616" s="2">
        <f>PerfRate[[#This Row],[ManagerRating]] - PerfRate[[#This Row],[SelfRating]]</f>
        <v>-1</v>
      </c>
    </row>
    <row r="2617" spans="1:18">
      <c r="A2617" s="2" t="s">
        <v>6924</v>
      </c>
      <c r="B2617" s="2" t="s">
        <v>794</v>
      </c>
      <c r="C2617" s="1">
        <v>43778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  <c r="L2617" s="2" t="s">
        <v>11031</v>
      </c>
      <c r="M2617" s="2" t="s">
        <v>11030</v>
      </c>
      <c r="N2617" s="2" t="s">
        <v>11037</v>
      </c>
      <c r="O2617" s="2" t="s">
        <v>11035</v>
      </c>
      <c r="P2617" s="2" t="s">
        <v>11036</v>
      </c>
      <c r="Q2617" s="2">
        <f>AVERAGE(PerfRate[[#This Row],[EnvironmentSatisfaction]],PerfRate[[#This Row],[JobSatisfaction]],PerfRate[[#This Row],[RelationshipSatisfaction]])</f>
        <v>3</v>
      </c>
      <c r="R2617" s="2">
        <f>PerfRate[[#This Row],[ManagerRating]] - PerfRate[[#This Row],[SelfRating]]</f>
        <v>-1</v>
      </c>
    </row>
    <row r="2618" spans="1:18">
      <c r="A2618" s="2" t="s">
        <v>6925</v>
      </c>
      <c r="B2618" s="2" t="s">
        <v>2071</v>
      </c>
      <c r="C2618" s="1">
        <v>43778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  <c r="L2618" s="2" t="s">
        <v>11030</v>
      </c>
      <c r="M2618" s="2" t="s">
        <v>11030</v>
      </c>
      <c r="N2618" s="2" t="s">
        <v>11038</v>
      </c>
      <c r="O2618" s="2" t="s">
        <v>11036</v>
      </c>
      <c r="P2618" s="2" t="s">
        <v>11038</v>
      </c>
      <c r="Q2618" s="2">
        <f>AVERAGE(PerfRate[[#This Row],[EnvironmentSatisfaction]],PerfRate[[#This Row],[JobSatisfaction]],PerfRate[[#This Row],[RelationshipSatisfaction]])</f>
        <v>4.333333333333333</v>
      </c>
      <c r="R2618" s="2">
        <f>PerfRate[[#This Row],[ManagerRating]] - PerfRate[[#This Row],[SelfRating]]</f>
        <v>0</v>
      </c>
    </row>
    <row r="2619" spans="1:18">
      <c r="A2619" s="2" t="s">
        <v>6926</v>
      </c>
      <c r="B2619" s="2" t="s">
        <v>464</v>
      </c>
      <c r="C2619" s="1">
        <v>43808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  <c r="L2619" s="2" t="s">
        <v>11031</v>
      </c>
      <c r="M2619" s="2" t="s">
        <v>11031</v>
      </c>
      <c r="N2619" s="2" t="s">
        <v>11037</v>
      </c>
      <c r="O2619" s="2" t="s">
        <v>11036</v>
      </c>
      <c r="P2619" s="2" t="s">
        <v>11035</v>
      </c>
      <c r="Q2619" s="2">
        <f>AVERAGE(PerfRate[[#This Row],[EnvironmentSatisfaction]],PerfRate[[#This Row],[JobSatisfaction]],PerfRate[[#This Row],[RelationshipSatisfaction]])</f>
        <v>3</v>
      </c>
      <c r="R2619" s="2">
        <f>PerfRate[[#This Row],[ManagerRating]] - PerfRate[[#This Row],[SelfRating]]</f>
        <v>0</v>
      </c>
    </row>
    <row r="2620" spans="1:18">
      <c r="A2620" s="2" t="s">
        <v>6927</v>
      </c>
      <c r="B2620" s="2" t="s">
        <v>1329</v>
      </c>
      <c r="C2620" s="1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  <c r="L2620" s="2" t="s">
        <v>11030</v>
      </c>
      <c r="M2620" s="2" t="s">
        <v>11029</v>
      </c>
      <c r="N2620" s="2" t="s">
        <v>11036</v>
      </c>
      <c r="O2620" s="2" t="s">
        <v>11035</v>
      </c>
      <c r="P2620" s="2" t="s">
        <v>11036</v>
      </c>
      <c r="Q2620" s="2">
        <f>AVERAGE(PerfRate[[#This Row],[EnvironmentSatisfaction]],PerfRate[[#This Row],[JobSatisfaction]],PerfRate[[#This Row],[RelationshipSatisfaction]])</f>
        <v>2.6666666666666665</v>
      </c>
      <c r="R2620" s="2">
        <f>PerfRate[[#This Row],[ManagerRating]] - PerfRate[[#This Row],[SelfRating]]</f>
        <v>-1</v>
      </c>
    </row>
    <row r="2621" spans="1:18">
      <c r="A2621" s="2" t="s">
        <v>6928</v>
      </c>
      <c r="B2621" s="2" t="s">
        <v>1386</v>
      </c>
      <c r="C2621" s="1">
        <v>43808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  <c r="L2621" s="2" t="s">
        <v>11031</v>
      </c>
      <c r="M2621" s="2" t="s">
        <v>11031</v>
      </c>
      <c r="N2621" s="2" t="s">
        <v>11036</v>
      </c>
      <c r="O2621" s="2" t="s">
        <v>11037</v>
      </c>
      <c r="P2621" s="2" t="s">
        <v>11036</v>
      </c>
      <c r="Q2621" s="2">
        <f>AVERAGE(PerfRate[[#This Row],[EnvironmentSatisfaction]],PerfRate[[#This Row],[JobSatisfaction]],PerfRate[[#This Row],[RelationshipSatisfaction]])</f>
        <v>3.3333333333333335</v>
      </c>
      <c r="R2621" s="2">
        <f>PerfRate[[#This Row],[ManagerRating]] - PerfRate[[#This Row],[SelfRating]]</f>
        <v>0</v>
      </c>
    </row>
    <row r="2622" spans="1:18">
      <c r="A2622" s="2" t="s">
        <v>6929</v>
      </c>
      <c r="B2622" s="2" t="s">
        <v>1655</v>
      </c>
      <c r="C2622" s="1">
        <v>43808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  <c r="L2622" s="2" t="s">
        <v>11030</v>
      </c>
      <c r="M2622" s="2" t="s">
        <v>11029</v>
      </c>
      <c r="N2622" s="2" t="s">
        <v>11037</v>
      </c>
      <c r="O2622" s="2" t="s">
        <v>11037</v>
      </c>
      <c r="P2622" s="2" t="s">
        <v>11036</v>
      </c>
      <c r="Q2622" s="2">
        <f>AVERAGE(PerfRate[[#This Row],[EnvironmentSatisfaction]],PerfRate[[#This Row],[JobSatisfaction]],PerfRate[[#This Row],[RelationshipSatisfaction]])</f>
        <v>3.6666666666666665</v>
      </c>
      <c r="R2622" s="2">
        <f>PerfRate[[#This Row],[ManagerRating]] - PerfRate[[#This Row],[SelfRating]]</f>
        <v>-1</v>
      </c>
    </row>
    <row r="2623" spans="1:18">
      <c r="A2623" s="2" t="s">
        <v>6930</v>
      </c>
      <c r="B2623" s="2" t="s">
        <v>2163</v>
      </c>
      <c r="C2623" s="1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  <c r="L2623" s="2" t="s">
        <v>11029</v>
      </c>
      <c r="M2623" s="2" t="s">
        <v>11029</v>
      </c>
      <c r="N2623" s="2" t="s">
        <v>11036</v>
      </c>
      <c r="O2623" s="2" t="s">
        <v>11038</v>
      </c>
      <c r="P2623" s="2" t="s">
        <v>11035</v>
      </c>
      <c r="Q2623" s="2">
        <f>AVERAGE(PerfRate[[#This Row],[EnvironmentSatisfaction]],PerfRate[[#This Row],[JobSatisfaction]],PerfRate[[#This Row],[RelationshipSatisfaction]])</f>
        <v>3.3333333333333335</v>
      </c>
      <c r="R2623" s="2">
        <f>PerfRate[[#This Row],[ManagerRating]] - PerfRate[[#This Row],[SelfRating]]</f>
        <v>0</v>
      </c>
    </row>
    <row r="2624" spans="1:18">
      <c r="A2624" s="2" t="s">
        <v>6931</v>
      </c>
      <c r="B2624" s="2" t="s">
        <v>4142</v>
      </c>
      <c r="C2624" s="1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  <c r="L2624" s="2" t="s">
        <v>11029</v>
      </c>
      <c r="M2624" s="2" t="s">
        <v>11029</v>
      </c>
      <c r="N2624" s="2" t="s">
        <v>11037</v>
      </c>
      <c r="O2624" s="2" t="s">
        <v>11035</v>
      </c>
      <c r="P2624" s="2" t="s">
        <v>11036</v>
      </c>
      <c r="Q2624" s="2">
        <f>AVERAGE(PerfRate[[#This Row],[EnvironmentSatisfaction]],PerfRate[[#This Row],[JobSatisfaction]],PerfRate[[#This Row],[RelationshipSatisfaction]])</f>
        <v>3</v>
      </c>
      <c r="R2624" s="2">
        <f>PerfRate[[#This Row],[ManagerRating]] - PerfRate[[#This Row],[SelfRating]]</f>
        <v>0</v>
      </c>
    </row>
    <row r="2625" spans="1:18">
      <c r="A2625" s="2" t="s">
        <v>6932</v>
      </c>
      <c r="B2625" s="2" t="s">
        <v>1816</v>
      </c>
      <c r="C2625" s="1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  <c r="L2625" s="2" t="s">
        <v>11030</v>
      </c>
      <c r="M2625" s="2" t="s">
        <v>11030</v>
      </c>
      <c r="N2625" s="2" t="s">
        <v>11036</v>
      </c>
      <c r="O2625" s="2" t="s">
        <v>11035</v>
      </c>
      <c r="P2625" s="2" t="s">
        <v>11037</v>
      </c>
      <c r="Q2625" s="2">
        <f>AVERAGE(PerfRate[[#This Row],[EnvironmentSatisfaction]],PerfRate[[#This Row],[JobSatisfaction]],PerfRate[[#This Row],[RelationshipSatisfaction]])</f>
        <v>3</v>
      </c>
      <c r="R2625" s="2">
        <f>PerfRate[[#This Row],[ManagerRating]] - PerfRate[[#This Row],[SelfRating]]</f>
        <v>0</v>
      </c>
    </row>
    <row r="2626" spans="1:18">
      <c r="A2626" s="2" t="s">
        <v>6933</v>
      </c>
      <c r="B2626" s="2" t="s">
        <v>1758</v>
      </c>
      <c r="C2626" s="1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  <c r="L2626" s="2" t="s">
        <v>11031</v>
      </c>
      <c r="M2626" s="2" t="s">
        <v>11031</v>
      </c>
      <c r="N2626" s="2" t="s">
        <v>11036</v>
      </c>
      <c r="O2626" s="2" t="s">
        <v>11038</v>
      </c>
      <c r="P2626" s="2" t="s">
        <v>11035</v>
      </c>
      <c r="Q2626" s="2">
        <f>AVERAGE(PerfRate[[#This Row],[EnvironmentSatisfaction]],PerfRate[[#This Row],[JobSatisfaction]],PerfRate[[#This Row],[RelationshipSatisfaction]])</f>
        <v>3.3333333333333335</v>
      </c>
      <c r="R2626" s="2">
        <f>PerfRate[[#This Row],[ManagerRating]] - PerfRate[[#This Row],[SelfRating]]</f>
        <v>0</v>
      </c>
    </row>
    <row r="2627" spans="1:18">
      <c r="A2627" s="2" t="s">
        <v>6934</v>
      </c>
      <c r="B2627" s="2" t="s">
        <v>2145</v>
      </c>
      <c r="C2627" s="1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  <c r="L2627" s="2" t="s">
        <v>11031</v>
      </c>
      <c r="M2627" s="2" t="s">
        <v>11030</v>
      </c>
      <c r="N2627" s="2" t="s">
        <v>11036</v>
      </c>
      <c r="O2627" s="2" t="s">
        <v>11037</v>
      </c>
      <c r="P2627" s="2" t="s">
        <v>11035</v>
      </c>
      <c r="Q2627" s="2">
        <f>AVERAGE(PerfRate[[#This Row],[EnvironmentSatisfaction]],PerfRate[[#This Row],[JobSatisfaction]],PerfRate[[#This Row],[RelationshipSatisfaction]])</f>
        <v>3</v>
      </c>
      <c r="R2627" s="2">
        <f>PerfRate[[#This Row],[ManagerRating]] - PerfRate[[#This Row],[SelfRating]]</f>
        <v>-1</v>
      </c>
    </row>
    <row r="2628" spans="1:18">
      <c r="A2628" s="2" t="s">
        <v>6935</v>
      </c>
      <c r="B2628" s="2" t="s">
        <v>299</v>
      </c>
      <c r="C2628" s="1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  <c r="L2628" s="2" t="s">
        <v>11031</v>
      </c>
      <c r="M2628" s="2" t="s">
        <v>11030</v>
      </c>
      <c r="N2628" s="2" t="s">
        <v>11037</v>
      </c>
      <c r="O2628" s="2" t="s">
        <v>11035</v>
      </c>
      <c r="P2628" s="2" t="s">
        <v>11038</v>
      </c>
      <c r="Q2628" s="2">
        <f>AVERAGE(PerfRate[[#This Row],[EnvironmentSatisfaction]],PerfRate[[#This Row],[JobSatisfaction]],PerfRate[[#This Row],[RelationshipSatisfaction]])</f>
        <v>3.6666666666666665</v>
      </c>
      <c r="R2628" s="2">
        <f>PerfRate[[#This Row],[ManagerRating]] - PerfRate[[#This Row],[SelfRating]]</f>
        <v>-1</v>
      </c>
    </row>
    <row r="2629" spans="1:18">
      <c r="A2629" s="2" t="s">
        <v>6936</v>
      </c>
      <c r="B2629" s="2" t="s">
        <v>547</v>
      </c>
      <c r="C2629" s="1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  <c r="L2629" s="2" t="s">
        <v>11029</v>
      </c>
      <c r="M2629" s="2" t="s">
        <v>11029</v>
      </c>
      <c r="N2629" s="2" t="s">
        <v>11036</v>
      </c>
      <c r="O2629" s="2" t="s">
        <v>11038</v>
      </c>
      <c r="P2629" s="2" t="s">
        <v>11037</v>
      </c>
      <c r="Q2629" s="2">
        <f>AVERAGE(PerfRate[[#This Row],[EnvironmentSatisfaction]],PerfRate[[#This Row],[JobSatisfaction]],PerfRate[[#This Row],[RelationshipSatisfaction]])</f>
        <v>4</v>
      </c>
      <c r="R2629" s="2">
        <f>PerfRate[[#This Row],[ManagerRating]] - PerfRate[[#This Row],[SelfRating]]</f>
        <v>0</v>
      </c>
    </row>
    <row r="2630" spans="1:18">
      <c r="A2630" s="2" t="s">
        <v>6937</v>
      </c>
      <c r="B2630" s="2" t="s">
        <v>1444</v>
      </c>
      <c r="C2630" s="1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  <c r="L2630" s="2" t="s">
        <v>11031</v>
      </c>
      <c r="M2630" s="2" t="s">
        <v>11030</v>
      </c>
      <c r="N2630" s="2" t="s">
        <v>11037</v>
      </c>
      <c r="O2630" s="2" t="s">
        <v>11037</v>
      </c>
      <c r="P2630" s="2" t="s">
        <v>11036</v>
      </c>
      <c r="Q2630" s="2">
        <f>AVERAGE(PerfRate[[#This Row],[EnvironmentSatisfaction]],PerfRate[[#This Row],[JobSatisfaction]],PerfRate[[#This Row],[RelationshipSatisfaction]])</f>
        <v>3.6666666666666665</v>
      </c>
      <c r="R2630" s="2">
        <f>PerfRate[[#This Row],[ManagerRating]] - PerfRate[[#This Row],[SelfRating]]</f>
        <v>-1</v>
      </c>
    </row>
    <row r="2631" spans="1:18">
      <c r="A2631" s="2" t="s">
        <v>6938</v>
      </c>
      <c r="B2631" s="2" t="s">
        <v>392</v>
      </c>
      <c r="C2631" s="1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  <c r="L2631" s="2" t="s">
        <v>11030</v>
      </c>
      <c r="M2631" s="2" t="s">
        <v>11029</v>
      </c>
      <c r="N2631" s="2" t="s">
        <v>11038</v>
      </c>
      <c r="O2631" s="2" t="s">
        <v>11036</v>
      </c>
      <c r="P2631" s="2" t="s">
        <v>11037</v>
      </c>
      <c r="Q2631" s="2">
        <f>AVERAGE(PerfRate[[#This Row],[EnvironmentSatisfaction]],PerfRate[[#This Row],[JobSatisfaction]],PerfRate[[#This Row],[RelationshipSatisfaction]])</f>
        <v>4</v>
      </c>
      <c r="R2631" s="2">
        <f>PerfRate[[#This Row],[ManagerRating]] - PerfRate[[#This Row],[SelfRating]]</f>
        <v>-1</v>
      </c>
    </row>
    <row r="2632" spans="1:18">
      <c r="A2632" s="2" t="s">
        <v>6939</v>
      </c>
      <c r="B2632" s="2" t="s">
        <v>1936</v>
      </c>
      <c r="C2632" s="1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  <c r="L2632" s="2" t="s">
        <v>11029</v>
      </c>
      <c r="M2632" s="2" t="s">
        <v>11029</v>
      </c>
      <c r="N2632" s="2" t="s">
        <v>11037</v>
      </c>
      <c r="O2632" s="2" t="s">
        <v>11036</v>
      </c>
      <c r="P2632" s="2" t="s">
        <v>11038</v>
      </c>
      <c r="Q2632" s="2">
        <f>AVERAGE(PerfRate[[#This Row],[EnvironmentSatisfaction]],PerfRate[[#This Row],[JobSatisfaction]],PerfRate[[#This Row],[RelationshipSatisfaction]])</f>
        <v>4</v>
      </c>
      <c r="R2632" s="2">
        <f>PerfRate[[#This Row],[ManagerRating]] - PerfRate[[#This Row],[SelfRating]]</f>
        <v>0</v>
      </c>
    </row>
    <row r="2633" spans="1:18">
      <c r="A2633" s="2" t="s">
        <v>6940</v>
      </c>
      <c r="B2633" s="2" t="s">
        <v>1335</v>
      </c>
      <c r="C2633" s="1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  <c r="L2633" s="2" t="s">
        <v>11031</v>
      </c>
      <c r="M2633" s="2" t="s">
        <v>11031</v>
      </c>
      <c r="N2633" s="2" t="s">
        <v>11038</v>
      </c>
      <c r="O2633" s="2" t="s">
        <v>11038</v>
      </c>
      <c r="P2633" s="2" t="s">
        <v>11038</v>
      </c>
      <c r="Q2633" s="2">
        <f>AVERAGE(PerfRate[[#This Row],[EnvironmentSatisfaction]],PerfRate[[#This Row],[JobSatisfaction]],PerfRate[[#This Row],[RelationshipSatisfaction]])</f>
        <v>5</v>
      </c>
      <c r="R2633" s="2">
        <f>PerfRate[[#This Row],[ManagerRating]] - PerfRate[[#This Row],[SelfRating]]</f>
        <v>0</v>
      </c>
    </row>
    <row r="2634" spans="1:18">
      <c r="A2634" s="2" t="s">
        <v>6941</v>
      </c>
      <c r="B2634" s="2" t="s">
        <v>1901</v>
      </c>
      <c r="C2634" s="1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  <c r="L2634" s="2" t="s">
        <v>11029</v>
      </c>
      <c r="M2634" s="2" t="s">
        <v>11028</v>
      </c>
      <c r="N2634" s="2" t="s">
        <v>11037</v>
      </c>
      <c r="O2634" s="2" t="s">
        <v>11036</v>
      </c>
      <c r="P2634" s="2" t="s">
        <v>11035</v>
      </c>
      <c r="Q2634" s="2">
        <f>AVERAGE(PerfRate[[#This Row],[EnvironmentSatisfaction]],PerfRate[[#This Row],[JobSatisfaction]],PerfRate[[#This Row],[RelationshipSatisfaction]])</f>
        <v>3</v>
      </c>
      <c r="R2634" s="2">
        <f>PerfRate[[#This Row],[ManagerRating]] - PerfRate[[#This Row],[SelfRating]]</f>
        <v>-1</v>
      </c>
    </row>
    <row r="2635" spans="1:18">
      <c r="A2635" s="2" t="s">
        <v>6942</v>
      </c>
      <c r="B2635" s="2" t="s">
        <v>2885</v>
      </c>
      <c r="C2635" s="1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  <c r="L2635" s="2" t="s">
        <v>11031</v>
      </c>
      <c r="M2635" s="2" t="s">
        <v>11030</v>
      </c>
      <c r="N2635" s="2" t="s">
        <v>11037</v>
      </c>
      <c r="O2635" s="2" t="s">
        <v>11038</v>
      </c>
      <c r="P2635" s="2" t="s">
        <v>11038</v>
      </c>
      <c r="Q2635" s="2">
        <f>AVERAGE(PerfRate[[#This Row],[EnvironmentSatisfaction]],PerfRate[[#This Row],[JobSatisfaction]],PerfRate[[#This Row],[RelationshipSatisfaction]])</f>
        <v>4.666666666666667</v>
      </c>
      <c r="R2635" s="2">
        <f>PerfRate[[#This Row],[ManagerRating]] - PerfRate[[#This Row],[SelfRating]]</f>
        <v>-1</v>
      </c>
    </row>
    <row r="2636" spans="1:18">
      <c r="A2636" s="2" t="s">
        <v>6943</v>
      </c>
      <c r="B2636" s="2" t="s">
        <v>988</v>
      </c>
      <c r="C2636" s="1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  <c r="L2636" s="2" t="s">
        <v>11030</v>
      </c>
      <c r="M2636" s="2" t="s">
        <v>11030</v>
      </c>
      <c r="N2636" s="2" t="s">
        <v>11037</v>
      </c>
      <c r="O2636" s="2" t="s">
        <v>11037</v>
      </c>
      <c r="P2636" s="2" t="s">
        <v>11035</v>
      </c>
      <c r="Q2636" s="2">
        <f>AVERAGE(PerfRate[[#This Row],[EnvironmentSatisfaction]],PerfRate[[#This Row],[JobSatisfaction]],PerfRate[[#This Row],[RelationshipSatisfaction]])</f>
        <v>3.3333333333333335</v>
      </c>
      <c r="R2636" s="2">
        <f>PerfRate[[#This Row],[ManagerRating]] - PerfRate[[#This Row],[SelfRating]]</f>
        <v>0</v>
      </c>
    </row>
    <row r="2637" spans="1:18">
      <c r="A2637" s="2" t="s">
        <v>6944</v>
      </c>
      <c r="B2637" s="2" t="s">
        <v>2563</v>
      </c>
      <c r="C2637" s="1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  <c r="L2637" s="2" t="s">
        <v>11031</v>
      </c>
      <c r="M2637" s="2" t="s">
        <v>11030</v>
      </c>
      <c r="N2637" s="2" t="s">
        <v>11037</v>
      </c>
      <c r="O2637" s="2" t="s">
        <v>11035</v>
      </c>
      <c r="P2637" s="2" t="s">
        <v>11035</v>
      </c>
      <c r="Q2637" s="2">
        <f>AVERAGE(PerfRate[[#This Row],[EnvironmentSatisfaction]],PerfRate[[#This Row],[JobSatisfaction]],PerfRate[[#This Row],[RelationshipSatisfaction]])</f>
        <v>2.6666666666666665</v>
      </c>
      <c r="R2637" s="2">
        <f>PerfRate[[#This Row],[ManagerRating]] - PerfRate[[#This Row],[SelfRating]]</f>
        <v>-1</v>
      </c>
    </row>
    <row r="2638" spans="1:18">
      <c r="A2638" s="2" t="s">
        <v>6945</v>
      </c>
      <c r="B2638" s="2" t="s">
        <v>1456</v>
      </c>
      <c r="C2638" s="1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  <c r="L2638" s="2" t="s">
        <v>11029</v>
      </c>
      <c r="M2638" s="2" t="s">
        <v>11029</v>
      </c>
      <c r="N2638" s="2" t="s">
        <v>11038</v>
      </c>
      <c r="O2638" s="2" t="s">
        <v>11037</v>
      </c>
      <c r="P2638" s="2" t="s">
        <v>11036</v>
      </c>
      <c r="Q2638" s="2">
        <f>AVERAGE(PerfRate[[#This Row],[EnvironmentSatisfaction]],PerfRate[[#This Row],[JobSatisfaction]],PerfRate[[#This Row],[RelationshipSatisfaction]])</f>
        <v>4</v>
      </c>
      <c r="R2638" s="2">
        <f>PerfRate[[#This Row],[ManagerRating]] - PerfRate[[#This Row],[SelfRating]]</f>
        <v>0</v>
      </c>
    </row>
    <row r="2639" spans="1:18">
      <c r="A2639" s="2" t="s">
        <v>6946</v>
      </c>
      <c r="B2639" s="2" t="s">
        <v>1713</v>
      </c>
      <c r="C2639" s="1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  <c r="L2639" s="2" t="s">
        <v>11029</v>
      </c>
      <c r="M2639" s="2" t="s">
        <v>11028</v>
      </c>
      <c r="N2639" s="2" t="s">
        <v>11036</v>
      </c>
      <c r="O2639" s="2" t="s">
        <v>11035</v>
      </c>
      <c r="P2639" s="2" t="s">
        <v>11038</v>
      </c>
      <c r="Q2639" s="2">
        <f>AVERAGE(PerfRate[[#This Row],[EnvironmentSatisfaction]],PerfRate[[#This Row],[JobSatisfaction]],PerfRate[[#This Row],[RelationshipSatisfaction]])</f>
        <v>3.3333333333333335</v>
      </c>
      <c r="R2639" s="2">
        <f>PerfRate[[#This Row],[ManagerRating]] - PerfRate[[#This Row],[SelfRating]]</f>
        <v>-1</v>
      </c>
    </row>
    <row r="2640" spans="1:18">
      <c r="A2640" s="2" t="s">
        <v>6947</v>
      </c>
      <c r="B2640" s="2" t="s">
        <v>517</v>
      </c>
      <c r="C2640" s="1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  <c r="L2640" s="2" t="s">
        <v>11030</v>
      </c>
      <c r="M2640" s="2" t="s">
        <v>11030</v>
      </c>
      <c r="N2640" s="2" t="s">
        <v>11036</v>
      </c>
      <c r="O2640" s="2" t="s">
        <v>11035</v>
      </c>
      <c r="P2640" s="2" t="s">
        <v>11038</v>
      </c>
      <c r="Q2640" s="2">
        <f>AVERAGE(PerfRate[[#This Row],[EnvironmentSatisfaction]],PerfRate[[#This Row],[JobSatisfaction]],PerfRate[[#This Row],[RelationshipSatisfaction]])</f>
        <v>3.3333333333333335</v>
      </c>
      <c r="R2640" s="2">
        <f>PerfRate[[#This Row],[ManagerRating]] - PerfRate[[#This Row],[SelfRating]]</f>
        <v>0</v>
      </c>
    </row>
    <row r="2641" spans="1:18">
      <c r="A2641" s="2" t="s">
        <v>6948</v>
      </c>
      <c r="B2641" s="2" t="s">
        <v>1274</v>
      </c>
      <c r="C2641" s="1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  <c r="L2641" s="2" t="s">
        <v>11030</v>
      </c>
      <c r="M2641" s="2" t="s">
        <v>11030</v>
      </c>
      <c r="N2641" s="2" t="s">
        <v>11038</v>
      </c>
      <c r="O2641" s="2" t="s">
        <v>11036</v>
      </c>
      <c r="P2641" s="2" t="s">
        <v>11038</v>
      </c>
      <c r="Q2641" s="2">
        <f>AVERAGE(PerfRate[[#This Row],[EnvironmentSatisfaction]],PerfRate[[#This Row],[JobSatisfaction]],PerfRate[[#This Row],[RelationshipSatisfaction]])</f>
        <v>4.333333333333333</v>
      </c>
      <c r="R2641" s="2">
        <f>PerfRate[[#This Row],[ManagerRating]] - PerfRate[[#This Row],[SelfRating]]</f>
        <v>0</v>
      </c>
    </row>
    <row r="2642" spans="1:18">
      <c r="A2642" s="2" t="s">
        <v>6949</v>
      </c>
      <c r="B2642" s="2" t="s">
        <v>2500</v>
      </c>
      <c r="C2642" s="1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  <c r="L2642" s="2" t="s">
        <v>11029</v>
      </c>
      <c r="M2642" s="2" t="s">
        <v>11029</v>
      </c>
      <c r="N2642" s="2" t="s">
        <v>11037</v>
      </c>
      <c r="O2642" s="2" t="s">
        <v>11036</v>
      </c>
      <c r="P2642" s="2" t="s">
        <v>11037</v>
      </c>
      <c r="Q2642" s="2">
        <f>AVERAGE(PerfRate[[#This Row],[EnvironmentSatisfaction]],PerfRate[[#This Row],[JobSatisfaction]],PerfRate[[#This Row],[RelationshipSatisfaction]])</f>
        <v>3.6666666666666665</v>
      </c>
      <c r="R2642" s="2">
        <f>PerfRate[[#This Row],[ManagerRating]] - PerfRate[[#This Row],[SelfRating]]</f>
        <v>0</v>
      </c>
    </row>
    <row r="2643" spans="1:18">
      <c r="A2643" s="2" t="s">
        <v>6950</v>
      </c>
      <c r="B2643" s="2" t="s">
        <v>2596</v>
      </c>
      <c r="C2643" s="1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  <c r="L2643" s="2" t="s">
        <v>11030</v>
      </c>
      <c r="M2643" s="2" t="s">
        <v>11029</v>
      </c>
      <c r="N2643" s="2" t="s">
        <v>11038</v>
      </c>
      <c r="O2643" s="2" t="s">
        <v>11036</v>
      </c>
      <c r="P2643" s="2" t="s">
        <v>11037</v>
      </c>
      <c r="Q2643" s="2">
        <f>AVERAGE(PerfRate[[#This Row],[EnvironmentSatisfaction]],PerfRate[[#This Row],[JobSatisfaction]],PerfRate[[#This Row],[RelationshipSatisfaction]])</f>
        <v>4</v>
      </c>
      <c r="R2643" s="2">
        <f>PerfRate[[#This Row],[ManagerRating]] - PerfRate[[#This Row],[SelfRating]]</f>
        <v>-1</v>
      </c>
    </row>
    <row r="2644" spans="1:18">
      <c r="A2644" s="2" t="s">
        <v>6951</v>
      </c>
      <c r="B2644" s="2" t="s">
        <v>2920</v>
      </c>
      <c r="C2644" s="1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  <c r="L2644" s="2" t="s">
        <v>11031</v>
      </c>
      <c r="M2644" s="2" t="s">
        <v>11031</v>
      </c>
      <c r="N2644" s="2" t="s">
        <v>11036</v>
      </c>
      <c r="O2644" s="2" t="s">
        <v>11037</v>
      </c>
      <c r="P2644" s="2" t="s">
        <v>11038</v>
      </c>
      <c r="Q2644" s="2">
        <f>AVERAGE(PerfRate[[#This Row],[EnvironmentSatisfaction]],PerfRate[[#This Row],[JobSatisfaction]],PerfRate[[#This Row],[RelationshipSatisfaction]])</f>
        <v>4</v>
      </c>
      <c r="R2644" s="2">
        <f>PerfRate[[#This Row],[ManagerRating]] - PerfRate[[#This Row],[SelfRating]]</f>
        <v>0</v>
      </c>
    </row>
    <row r="2645" spans="1:18">
      <c r="A2645" s="2" t="s">
        <v>6952</v>
      </c>
      <c r="B2645" s="2" t="s">
        <v>1560</v>
      </c>
      <c r="C2645" s="1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  <c r="L2645" s="2" t="s">
        <v>11031</v>
      </c>
      <c r="M2645" s="2" t="s">
        <v>11030</v>
      </c>
      <c r="N2645" s="2" t="s">
        <v>11038</v>
      </c>
      <c r="O2645" s="2" t="s">
        <v>11035</v>
      </c>
      <c r="P2645" s="2" t="s">
        <v>11035</v>
      </c>
      <c r="Q2645" s="2">
        <f>AVERAGE(PerfRate[[#This Row],[EnvironmentSatisfaction]],PerfRate[[#This Row],[JobSatisfaction]],PerfRate[[#This Row],[RelationshipSatisfaction]])</f>
        <v>3</v>
      </c>
      <c r="R2645" s="2">
        <f>PerfRate[[#This Row],[ManagerRating]] - PerfRate[[#This Row],[SelfRating]]</f>
        <v>-1</v>
      </c>
    </row>
    <row r="2646" spans="1:18">
      <c r="A2646" s="2" t="s">
        <v>6953</v>
      </c>
      <c r="B2646" s="2" t="s">
        <v>134</v>
      </c>
      <c r="C2646" s="1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  <c r="L2646" s="2" t="s">
        <v>11031</v>
      </c>
      <c r="M2646" s="2" t="s">
        <v>11030</v>
      </c>
      <c r="N2646" s="2" t="s">
        <v>11037</v>
      </c>
      <c r="O2646" s="2" t="s">
        <v>11036</v>
      </c>
      <c r="P2646" s="2" t="s">
        <v>11036</v>
      </c>
      <c r="Q2646" s="2">
        <f>AVERAGE(PerfRate[[#This Row],[EnvironmentSatisfaction]],PerfRate[[#This Row],[JobSatisfaction]],PerfRate[[#This Row],[RelationshipSatisfaction]])</f>
        <v>3.3333333333333335</v>
      </c>
      <c r="R2646" s="2">
        <f>PerfRate[[#This Row],[ManagerRating]] - PerfRate[[#This Row],[SelfRating]]</f>
        <v>-1</v>
      </c>
    </row>
    <row r="2647" spans="1:18">
      <c r="A2647" s="2" t="s">
        <v>6954</v>
      </c>
      <c r="B2647" s="2" t="s">
        <v>4230</v>
      </c>
      <c r="C2647" s="1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  <c r="L2647" s="2" t="s">
        <v>11031</v>
      </c>
      <c r="M2647" s="2" t="s">
        <v>11030</v>
      </c>
      <c r="N2647" s="2" t="s">
        <v>11038</v>
      </c>
      <c r="O2647" s="2" t="s">
        <v>11035</v>
      </c>
      <c r="P2647" s="2" t="s">
        <v>11038</v>
      </c>
      <c r="Q2647" s="2">
        <f>AVERAGE(PerfRate[[#This Row],[EnvironmentSatisfaction]],PerfRate[[#This Row],[JobSatisfaction]],PerfRate[[#This Row],[RelationshipSatisfaction]])</f>
        <v>4</v>
      </c>
      <c r="R2647" s="2">
        <f>PerfRate[[#This Row],[ManagerRating]] - PerfRate[[#This Row],[SelfRating]]</f>
        <v>-1</v>
      </c>
    </row>
    <row r="2648" spans="1:18">
      <c r="A2648" s="2" t="s">
        <v>6955</v>
      </c>
      <c r="B2648" s="2" t="s">
        <v>482</v>
      </c>
      <c r="C2648" s="1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  <c r="L2648" s="2" t="s">
        <v>11031</v>
      </c>
      <c r="M2648" s="2" t="s">
        <v>11031</v>
      </c>
      <c r="N2648" s="2" t="s">
        <v>11038</v>
      </c>
      <c r="O2648" s="2" t="s">
        <v>11038</v>
      </c>
      <c r="P2648" s="2" t="s">
        <v>11038</v>
      </c>
      <c r="Q2648" s="2">
        <f>AVERAGE(PerfRate[[#This Row],[EnvironmentSatisfaction]],PerfRate[[#This Row],[JobSatisfaction]],PerfRate[[#This Row],[RelationshipSatisfaction]])</f>
        <v>5</v>
      </c>
      <c r="R2648" s="2">
        <f>PerfRate[[#This Row],[ManagerRating]] - PerfRate[[#This Row],[SelfRating]]</f>
        <v>0</v>
      </c>
    </row>
    <row r="2649" spans="1:18">
      <c r="A2649" s="2" t="s">
        <v>6956</v>
      </c>
      <c r="B2649" s="2" t="s">
        <v>708</v>
      </c>
      <c r="C2649" s="1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  <c r="L2649" s="2" t="s">
        <v>11031</v>
      </c>
      <c r="M2649" s="2" t="s">
        <v>11031</v>
      </c>
      <c r="N2649" s="2" t="s">
        <v>11037</v>
      </c>
      <c r="O2649" s="2" t="s">
        <v>11035</v>
      </c>
      <c r="P2649" s="2" t="s">
        <v>11036</v>
      </c>
      <c r="Q2649" s="2">
        <f>AVERAGE(PerfRate[[#This Row],[EnvironmentSatisfaction]],PerfRate[[#This Row],[JobSatisfaction]],PerfRate[[#This Row],[RelationshipSatisfaction]])</f>
        <v>3</v>
      </c>
      <c r="R2649" s="2">
        <f>PerfRate[[#This Row],[ManagerRating]] - PerfRate[[#This Row],[SelfRating]]</f>
        <v>0</v>
      </c>
    </row>
    <row r="2650" spans="1:18">
      <c r="A2650" s="2" t="s">
        <v>6957</v>
      </c>
      <c r="B2650" s="2" t="s">
        <v>841</v>
      </c>
      <c r="C2650" s="1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  <c r="L2650" s="2" t="s">
        <v>11031</v>
      </c>
      <c r="M2650" s="2" t="s">
        <v>11030</v>
      </c>
      <c r="N2650" s="2" t="s">
        <v>11036</v>
      </c>
      <c r="O2650" s="2" t="s">
        <v>11035</v>
      </c>
      <c r="P2650" s="2" t="s">
        <v>11038</v>
      </c>
      <c r="Q2650" s="2">
        <f>AVERAGE(PerfRate[[#This Row],[EnvironmentSatisfaction]],PerfRate[[#This Row],[JobSatisfaction]],PerfRate[[#This Row],[RelationshipSatisfaction]])</f>
        <v>3.3333333333333335</v>
      </c>
      <c r="R2650" s="2">
        <f>PerfRate[[#This Row],[ManagerRating]] - PerfRate[[#This Row],[SelfRating]]</f>
        <v>-1</v>
      </c>
    </row>
    <row r="2651" spans="1:18">
      <c r="A2651" s="2" t="s">
        <v>6958</v>
      </c>
      <c r="B2651" s="2" t="s">
        <v>1368</v>
      </c>
      <c r="C2651" s="1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  <c r="L2651" s="2" t="s">
        <v>11029</v>
      </c>
      <c r="M2651" s="2" t="s">
        <v>11028</v>
      </c>
      <c r="N2651" s="2" t="s">
        <v>11037</v>
      </c>
      <c r="O2651" s="2" t="s">
        <v>11036</v>
      </c>
      <c r="P2651" s="2" t="s">
        <v>11035</v>
      </c>
      <c r="Q2651" s="2">
        <f>AVERAGE(PerfRate[[#This Row],[EnvironmentSatisfaction]],PerfRate[[#This Row],[JobSatisfaction]],PerfRate[[#This Row],[RelationshipSatisfaction]])</f>
        <v>3</v>
      </c>
      <c r="R2651" s="2">
        <f>PerfRate[[#This Row],[ManagerRating]] - PerfRate[[#This Row],[SelfRating]]</f>
        <v>-1</v>
      </c>
    </row>
    <row r="2652" spans="1:18">
      <c r="A2652" s="2" t="s">
        <v>6959</v>
      </c>
      <c r="B2652" s="2" t="s">
        <v>1171</v>
      </c>
      <c r="C2652" s="1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  <c r="L2652" s="2" t="s">
        <v>11029</v>
      </c>
      <c r="M2652" s="2" t="s">
        <v>11028</v>
      </c>
      <c r="N2652" s="2" t="s">
        <v>11037</v>
      </c>
      <c r="O2652" s="2" t="s">
        <v>11038</v>
      </c>
      <c r="P2652" s="2" t="s">
        <v>11035</v>
      </c>
      <c r="Q2652" s="2">
        <f>AVERAGE(PerfRate[[#This Row],[EnvironmentSatisfaction]],PerfRate[[#This Row],[JobSatisfaction]],PerfRate[[#This Row],[RelationshipSatisfaction]])</f>
        <v>3.6666666666666665</v>
      </c>
      <c r="R2652" s="2">
        <f>PerfRate[[#This Row],[ManagerRating]] - PerfRate[[#This Row],[SelfRating]]</f>
        <v>-1</v>
      </c>
    </row>
    <row r="2653" spans="1:18">
      <c r="A2653" s="2" t="s">
        <v>6960</v>
      </c>
      <c r="B2653" s="2" t="s">
        <v>1716</v>
      </c>
      <c r="C2653" s="1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  <c r="L2653" s="2" t="s">
        <v>11030</v>
      </c>
      <c r="M2653" s="2" t="s">
        <v>11029</v>
      </c>
      <c r="N2653" s="2" t="s">
        <v>11037</v>
      </c>
      <c r="O2653" s="2" t="s">
        <v>11035</v>
      </c>
      <c r="P2653" s="2" t="s">
        <v>11035</v>
      </c>
      <c r="Q2653" s="2">
        <f>AVERAGE(PerfRate[[#This Row],[EnvironmentSatisfaction]],PerfRate[[#This Row],[JobSatisfaction]],PerfRate[[#This Row],[RelationshipSatisfaction]])</f>
        <v>2.6666666666666665</v>
      </c>
      <c r="R2653" s="2">
        <f>PerfRate[[#This Row],[ManagerRating]] - PerfRate[[#This Row],[SelfRating]]</f>
        <v>-1</v>
      </c>
    </row>
    <row r="2654" spans="1:18">
      <c r="A2654" s="2" t="s">
        <v>6961</v>
      </c>
      <c r="B2654" s="2" t="s">
        <v>3280</v>
      </c>
      <c r="C2654" s="1">
        <v>43475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  <c r="L2654" s="2" t="s">
        <v>11030</v>
      </c>
      <c r="M2654" s="2" t="s">
        <v>11030</v>
      </c>
      <c r="N2654" s="2" t="s">
        <v>11038</v>
      </c>
      <c r="O2654" s="2" t="s">
        <v>11037</v>
      </c>
      <c r="P2654" s="2" t="s">
        <v>11035</v>
      </c>
      <c r="Q2654" s="2">
        <f>AVERAGE(PerfRate[[#This Row],[EnvironmentSatisfaction]],PerfRate[[#This Row],[JobSatisfaction]],PerfRate[[#This Row],[RelationshipSatisfaction]])</f>
        <v>3.6666666666666665</v>
      </c>
      <c r="R2654" s="2">
        <f>PerfRate[[#This Row],[ManagerRating]] - PerfRate[[#This Row],[SelfRating]]</f>
        <v>0</v>
      </c>
    </row>
    <row r="2655" spans="1:18">
      <c r="A2655" s="2" t="s">
        <v>6962</v>
      </c>
      <c r="B2655" s="2" t="s">
        <v>3074</v>
      </c>
      <c r="C2655" s="1">
        <v>43475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  <c r="L2655" s="2" t="s">
        <v>11031</v>
      </c>
      <c r="M2655" s="2" t="s">
        <v>11030</v>
      </c>
      <c r="N2655" s="2" t="s">
        <v>11038</v>
      </c>
      <c r="O2655" s="2" t="s">
        <v>11035</v>
      </c>
      <c r="P2655" s="2" t="s">
        <v>11038</v>
      </c>
      <c r="Q2655" s="2">
        <f>AVERAGE(PerfRate[[#This Row],[EnvironmentSatisfaction]],PerfRate[[#This Row],[JobSatisfaction]],PerfRate[[#This Row],[RelationshipSatisfaction]])</f>
        <v>4</v>
      </c>
      <c r="R2655" s="2">
        <f>PerfRate[[#This Row],[ManagerRating]] - PerfRate[[#This Row],[SelfRating]]</f>
        <v>-1</v>
      </c>
    </row>
    <row r="2656" spans="1:18">
      <c r="A2656" s="2" t="s">
        <v>6963</v>
      </c>
      <c r="B2656" s="2" t="s">
        <v>383</v>
      </c>
      <c r="C2656" s="1">
        <v>43475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  <c r="L2656" s="2" t="s">
        <v>11030</v>
      </c>
      <c r="M2656" s="2" t="s">
        <v>11030</v>
      </c>
      <c r="N2656" s="2" t="s">
        <v>11038</v>
      </c>
      <c r="O2656" s="2" t="s">
        <v>11036</v>
      </c>
      <c r="P2656" s="2" t="s">
        <v>11037</v>
      </c>
      <c r="Q2656" s="2">
        <f>AVERAGE(PerfRate[[#This Row],[EnvironmentSatisfaction]],PerfRate[[#This Row],[JobSatisfaction]],PerfRate[[#This Row],[RelationshipSatisfaction]])</f>
        <v>4</v>
      </c>
      <c r="R2656" s="2">
        <f>PerfRate[[#This Row],[ManagerRating]] - PerfRate[[#This Row],[SelfRating]]</f>
        <v>0</v>
      </c>
    </row>
    <row r="2657" spans="1:18">
      <c r="A2657" s="2" t="s">
        <v>6964</v>
      </c>
      <c r="B2657" s="2" t="s">
        <v>913</v>
      </c>
      <c r="C2657" s="1">
        <v>43475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  <c r="L2657" s="2" t="s">
        <v>11029</v>
      </c>
      <c r="M2657" s="2" t="s">
        <v>11029</v>
      </c>
      <c r="N2657" s="2" t="s">
        <v>11037</v>
      </c>
      <c r="O2657" s="2" t="s">
        <v>11037</v>
      </c>
      <c r="P2657" s="2" t="s">
        <v>11036</v>
      </c>
      <c r="Q2657" s="2">
        <f>AVERAGE(PerfRate[[#This Row],[EnvironmentSatisfaction]],PerfRate[[#This Row],[JobSatisfaction]],PerfRate[[#This Row],[RelationshipSatisfaction]])</f>
        <v>3.6666666666666665</v>
      </c>
      <c r="R2657" s="2">
        <f>PerfRate[[#This Row],[ManagerRating]] - PerfRate[[#This Row],[SelfRating]]</f>
        <v>0</v>
      </c>
    </row>
    <row r="2658" spans="1:18">
      <c r="A2658" s="2" t="s">
        <v>6965</v>
      </c>
      <c r="B2658" s="2" t="s">
        <v>1552</v>
      </c>
      <c r="C2658" s="1">
        <v>43475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  <c r="L2658" s="2" t="s">
        <v>11030</v>
      </c>
      <c r="M2658" s="2" t="s">
        <v>11029</v>
      </c>
      <c r="N2658" s="2" t="s">
        <v>11036</v>
      </c>
      <c r="O2658" s="2" t="s">
        <v>11036</v>
      </c>
      <c r="P2658" s="2" t="s">
        <v>11036</v>
      </c>
      <c r="Q2658" s="2">
        <f>AVERAGE(PerfRate[[#This Row],[EnvironmentSatisfaction]],PerfRate[[#This Row],[JobSatisfaction]],PerfRate[[#This Row],[RelationshipSatisfaction]])</f>
        <v>3</v>
      </c>
      <c r="R2658" s="2">
        <f>PerfRate[[#This Row],[ManagerRating]] - PerfRate[[#This Row],[SelfRating]]</f>
        <v>-1</v>
      </c>
    </row>
    <row r="2659" spans="1:18">
      <c r="A2659" s="2" t="s">
        <v>6966</v>
      </c>
      <c r="B2659" s="2" t="s">
        <v>3600</v>
      </c>
      <c r="C2659" s="1">
        <v>43506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  <c r="L2659" s="2" t="s">
        <v>11029</v>
      </c>
      <c r="M2659" s="2" t="s">
        <v>11028</v>
      </c>
      <c r="N2659" s="2" t="s">
        <v>11036</v>
      </c>
      <c r="O2659" s="2" t="s">
        <v>11037</v>
      </c>
      <c r="P2659" s="2" t="s">
        <v>11037</v>
      </c>
      <c r="Q2659" s="2">
        <f>AVERAGE(PerfRate[[#This Row],[EnvironmentSatisfaction]],PerfRate[[#This Row],[JobSatisfaction]],PerfRate[[#This Row],[RelationshipSatisfaction]])</f>
        <v>3.6666666666666665</v>
      </c>
      <c r="R2659" s="2">
        <f>PerfRate[[#This Row],[ManagerRating]] - PerfRate[[#This Row],[SelfRating]]</f>
        <v>-1</v>
      </c>
    </row>
    <row r="2660" spans="1:18">
      <c r="A2660" s="2" t="s">
        <v>6967</v>
      </c>
      <c r="B2660" s="2" t="s">
        <v>89</v>
      </c>
      <c r="C2660" s="1">
        <v>43534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  <c r="L2660" s="2" t="s">
        <v>11031</v>
      </c>
      <c r="M2660" s="2" t="s">
        <v>11031</v>
      </c>
      <c r="N2660" s="2" t="s">
        <v>11036</v>
      </c>
      <c r="O2660" s="2" t="s">
        <v>11037</v>
      </c>
      <c r="P2660" s="2" t="s">
        <v>11038</v>
      </c>
      <c r="Q2660" s="2">
        <f>AVERAGE(PerfRate[[#This Row],[EnvironmentSatisfaction]],PerfRate[[#This Row],[JobSatisfaction]],PerfRate[[#This Row],[RelationshipSatisfaction]])</f>
        <v>4</v>
      </c>
      <c r="R2660" s="2">
        <f>PerfRate[[#This Row],[ManagerRating]] - PerfRate[[#This Row],[SelfRating]]</f>
        <v>0</v>
      </c>
    </row>
    <row r="2661" spans="1:18">
      <c r="A2661" s="2" t="s">
        <v>6968</v>
      </c>
      <c r="B2661" s="2" t="s">
        <v>922</v>
      </c>
      <c r="C2661" s="1">
        <v>43565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  <c r="L2661" s="2" t="s">
        <v>11031</v>
      </c>
      <c r="M2661" s="2" t="s">
        <v>11031</v>
      </c>
      <c r="N2661" s="2" t="s">
        <v>11037</v>
      </c>
      <c r="O2661" s="2" t="s">
        <v>11036</v>
      </c>
      <c r="P2661" s="2" t="s">
        <v>11037</v>
      </c>
      <c r="Q2661" s="2">
        <f>AVERAGE(PerfRate[[#This Row],[EnvironmentSatisfaction]],PerfRate[[#This Row],[JobSatisfaction]],PerfRate[[#This Row],[RelationshipSatisfaction]])</f>
        <v>3.6666666666666665</v>
      </c>
      <c r="R2661" s="2">
        <f>PerfRate[[#This Row],[ManagerRating]] - PerfRate[[#This Row],[SelfRating]]</f>
        <v>0</v>
      </c>
    </row>
    <row r="2662" spans="1:18">
      <c r="A2662" s="2" t="s">
        <v>6969</v>
      </c>
      <c r="B2662" s="2" t="s">
        <v>1204</v>
      </c>
      <c r="C2662" s="1">
        <v>43565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  <c r="L2662" s="2" t="s">
        <v>11029</v>
      </c>
      <c r="M2662" s="2" t="s">
        <v>11029</v>
      </c>
      <c r="N2662" s="2" t="s">
        <v>11037</v>
      </c>
      <c r="O2662" s="2" t="s">
        <v>11036</v>
      </c>
      <c r="P2662" s="2" t="s">
        <v>11036</v>
      </c>
      <c r="Q2662" s="2">
        <f>AVERAGE(PerfRate[[#This Row],[EnvironmentSatisfaction]],PerfRate[[#This Row],[JobSatisfaction]],PerfRate[[#This Row],[RelationshipSatisfaction]])</f>
        <v>3.3333333333333335</v>
      </c>
      <c r="R2662" s="2">
        <f>PerfRate[[#This Row],[ManagerRating]] - PerfRate[[#This Row],[SelfRating]]</f>
        <v>0</v>
      </c>
    </row>
    <row r="2663" spans="1:18">
      <c r="A2663" s="2" t="s">
        <v>6970</v>
      </c>
      <c r="B2663" s="2" t="s">
        <v>1271</v>
      </c>
      <c r="C2663" s="1">
        <v>43565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  <c r="L2663" s="2" t="s">
        <v>11029</v>
      </c>
      <c r="M2663" s="2" t="s">
        <v>11028</v>
      </c>
      <c r="N2663" s="2" t="s">
        <v>11037</v>
      </c>
      <c r="O2663" s="2" t="s">
        <v>11038</v>
      </c>
      <c r="P2663" s="2" t="s">
        <v>11037</v>
      </c>
      <c r="Q2663" s="2">
        <f>AVERAGE(PerfRate[[#This Row],[EnvironmentSatisfaction]],PerfRate[[#This Row],[JobSatisfaction]],PerfRate[[#This Row],[RelationshipSatisfaction]])</f>
        <v>4.333333333333333</v>
      </c>
      <c r="R2663" s="2">
        <f>PerfRate[[#This Row],[ManagerRating]] - PerfRate[[#This Row],[SelfRating]]</f>
        <v>-1</v>
      </c>
    </row>
    <row r="2664" spans="1:18">
      <c r="A2664" s="2" t="s">
        <v>6971</v>
      </c>
      <c r="B2664" s="2" t="s">
        <v>1292</v>
      </c>
      <c r="C2664" s="1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  <c r="L2664" s="2" t="s">
        <v>11029</v>
      </c>
      <c r="M2664" s="2" t="s">
        <v>11028</v>
      </c>
      <c r="N2664" s="2" t="s">
        <v>11036</v>
      </c>
      <c r="O2664" s="2" t="s">
        <v>11037</v>
      </c>
      <c r="P2664" s="2" t="s">
        <v>11036</v>
      </c>
      <c r="Q2664" s="2">
        <f>AVERAGE(PerfRate[[#This Row],[EnvironmentSatisfaction]],PerfRate[[#This Row],[JobSatisfaction]],PerfRate[[#This Row],[RelationshipSatisfaction]])</f>
        <v>3.3333333333333335</v>
      </c>
      <c r="R2664" s="2">
        <f>PerfRate[[#This Row],[ManagerRating]] - PerfRate[[#This Row],[SelfRating]]</f>
        <v>-1</v>
      </c>
    </row>
    <row r="2665" spans="1:18">
      <c r="A2665" s="2" t="s">
        <v>6972</v>
      </c>
      <c r="B2665" s="2" t="s">
        <v>1549</v>
      </c>
      <c r="C2665" s="1">
        <v>43565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  <c r="L2665" s="2" t="s">
        <v>11031</v>
      </c>
      <c r="M2665" s="2" t="s">
        <v>11030</v>
      </c>
      <c r="N2665" s="2" t="s">
        <v>11036</v>
      </c>
      <c r="O2665" s="2" t="s">
        <v>11036</v>
      </c>
      <c r="P2665" s="2" t="s">
        <v>11038</v>
      </c>
      <c r="Q2665" s="2">
        <f>AVERAGE(PerfRate[[#This Row],[EnvironmentSatisfaction]],PerfRate[[#This Row],[JobSatisfaction]],PerfRate[[#This Row],[RelationshipSatisfaction]])</f>
        <v>3.6666666666666665</v>
      </c>
      <c r="R2665" s="2">
        <f>PerfRate[[#This Row],[ManagerRating]] - PerfRate[[#This Row],[SelfRating]]</f>
        <v>-1</v>
      </c>
    </row>
    <row r="2666" spans="1:18">
      <c r="A2666" s="2" t="s">
        <v>6973</v>
      </c>
      <c r="B2666" s="2" t="s">
        <v>2608</v>
      </c>
      <c r="C2666" s="1">
        <v>43565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  <c r="L2666" s="2" t="s">
        <v>11031</v>
      </c>
      <c r="M2666" s="2" t="s">
        <v>11030</v>
      </c>
      <c r="N2666" s="2" t="s">
        <v>11038</v>
      </c>
      <c r="O2666" s="2" t="s">
        <v>11035</v>
      </c>
      <c r="P2666" s="2" t="s">
        <v>11038</v>
      </c>
      <c r="Q2666" s="2">
        <f>AVERAGE(PerfRate[[#This Row],[EnvironmentSatisfaction]],PerfRate[[#This Row],[JobSatisfaction]],PerfRate[[#This Row],[RelationshipSatisfaction]])</f>
        <v>4</v>
      </c>
      <c r="R2666" s="2">
        <f>PerfRate[[#This Row],[ManagerRating]] - PerfRate[[#This Row],[SelfRating]]</f>
        <v>-1</v>
      </c>
    </row>
    <row r="2667" spans="1:18">
      <c r="A2667" s="2" t="s">
        <v>6974</v>
      </c>
      <c r="B2667" s="2" t="s">
        <v>502</v>
      </c>
      <c r="C2667" s="1">
        <v>43687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  <c r="L2667" s="2" t="s">
        <v>11029</v>
      </c>
      <c r="M2667" s="2" t="s">
        <v>11028</v>
      </c>
      <c r="N2667" s="2" t="s">
        <v>11038</v>
      </c>
      <c r="O2667" s="2" t="s">
        <v>11038</v>
      </c>
      <c r="P2667" s="2" t="s">
        <v>11035</v>
      </c>
      <c r="Q2667" s="2">
        <f>AVERAGE(PerfRate[[#This Row],[EnvironmentSatisfaction]],PerfRate[[#This Row],[JobSatisfaction]],PerfRate[[#This Row],[RelationshipSatisfaction]])</f>
        <v>4</v>
      </c>
      <c r="R2667" s="2">
        <f>PerfRate[[#This Row],[ManagerRating]] - PerfRate[[#This Row],[SelfRating]]</f>
        <v>-1</v>
      </c>
    </row>
    <row r="2668" spans="1:18">
      <c r="A2668" s="2" t="s">
        <v>6975</v>
      </c>
      <c r="B2668" s="2" t="s">
        <v>3329</v>
      </c>
      <c r="C2668" s="1">
        <v>43718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  <c r="L2668" s="2" t="s">
        <v>11030</v>
      </c>
      <c r="M2668" s="2" t="s">
        <v>11029</v>
      </c>
      <c r="N2668" s="2" t="s">
        <v>11037</v>
      </c>
      <c r="O2668" s="2" t="s">
        <v>11037</v>
      </c>
      <c r="P2668" s="2" t="s">
        <v>11035</v>
      </c>
      <c r="Q2668" s="2">
        <f>AVERAGE(PerfRate[[#This Row],[EnvironmentSatisfaction]],PerfRate[[#This Row],[JobSatisfaction]],PerfRate[[#This Row],[RelationshipSatisfaction]])</f>
        <v>3.3333333333333335</v>
      </c>
      <c r="R2668" s="2">
        <f>PerfRate[[#This Row],[ManagerRating]] - PerfRate[[#This Row],[SelfRating]]</f>
        <v>-1</v>
      </c>
    </row>
    <row r="2669" spans="1:18">
      <c r="A2669" s="2" t="s">
        <v>6976</v>
      </c>
      <c r="B2669" s="2" t="s">
        <v>3739</v>
      </c>
      <c r="C2669" s="1">
        <v>43718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  <c r="L2669" s="2" t="s">
        <v>11030</v>
      </c>
      <c r="M2669" s="2" t="s">
        <v>11029</v>
      </c>
      <c r="N2669" s="2" t="s">
        <v>11037</v>
      </c>
      <c r="O2669" s="2" t="s">
        <v>11038</v>
      </c>
      <c r="P2669" s="2" t="s">
        <v>11037</v>
      </c>
      <c r="Q2669" s="2">
        <f>AVERAGE(PerfRate[[#This Row],[EnvironmentSatisfaction]],PerfRate[[#This Row],[JobSatisfaction]],PerfRate[[#This Row],[RelationshipSatisfaction]])</f>
        <v>4.333333333333333</v>
      </c>
      <c r="R2669" s="2">
        <f>PerfRate[[#This Row],[ManagerRating]] - PerfRate[[#This Row],[SelfRating]]</f>
        <v>-1</v>
      </c>
    </row>
    <row r="2670" spans="1:18">
      <c r="A2670" s="2" t="s">
        <v>6977</v>
      </c>
      <c r="B2670" s="2" t="s">
        <v>765</v>
      </c>
      <c r="C2670" s="1">
        <v>43718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  <c r="L2670" s="2" t="s">
        <v>11030</v>
      </c>
      <c r="M2670" s="2" t="s">
        <v>11030</v>
      </c>
      <c r="N2670" s="2" t="s">
        <v>11036</v>
      </c>
      <c r="O2670" s="2" t="s">
        <v>11037</v>
      </c>
      <c r="P2670" s="2" t="s">
        <v>11035</v>
      </c>
      <c r="Q2670" s="2">
        <f>AVERAGE(PerfRate[[#This Row],[EnvironmentSatisfaction]],PerfRate[[#This Row],[JobSatisfaction]],PerfRate[[#This Row],[RelationshipSatisfaction]])</f>
        <v>3</v>
      </c>
      <c r="R2670" s="2">
        <f>PerfRate[[#This Row],[ManagerRating]] - PerfRate[[#This Row],[SelfRating]]</f>
        <v>0</v>
      </c>
    </row>
    <row r="2671" spans="1:18">
      <c r="A2671" s="2" t="s">
        <v>6978</v>
      </c>
      <c r="B2671" s="2" t="s">
        <v>1593</v>
      </c>
      <c r="C2671" s="1">
        <v>43718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  <c r="L2671" s="2" t="s">
        <v>11031</v>
      </c>
      <c r="M2671" s="2" t="s">
        <v>11030</v>
      </c>
      <c r="N2671" s="2" t="s">
        <v>11036</v>
      </c>
      <c r="O2671" s="2" t="s">
        <v>11037</v>
      </c>
      <c r="P2671" s="2" t="s">
        <v>11035</v>
      </c>
      <c r="Q2671" s="2">
        <f>AVERAGE(PerfRate[[#This Row],[EnvironmentSatisfaction]],PerfRate[[#This Row],[JobSatisfaction]],PerfRate[[#This Row],[RelationshipSatisfaction]])</f>
        <v>3</v>
      </c>
      <c r="R2671" s="2">
        <f>PerfRate[[#This Row],[ManagerRating]] - PerfRate[[#This Row],[SelfRating]]</f>
        <v>-1</v>
      </c>
    </row>
    <row r="2672" spans="1:18">
      <c r="A2672" s="2" t="s">
        <v>6979</v>
      </c>
      <c r="B2672" s="2" t="s">
        <v>1230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  <c r="L2672" s="2" t="s">
        <v>11029</v>
      </c>
      <c r="M2672" s="2" t="s">
        <v>11029</v>
      </c>
      <c r="N2672" s="2" t="s">
        <v>11036</v>
      </c>
      <c r="O2672" s="2" t="s">
        <v>11036</v>
      </c>
      <c r="P2672" s="2" t="s">
        <v>11035</v>
      </c>
      <c r="Q2672" s="2">
        <f>AVERAGE(PerfRate[[#This Row],[EnvironmentSatisfaction]],PerfRate[[#This Row],[JobSatisfaction]],PerfRate[[#This Row],[RelationshipSatisfaction]])</f>
        <v>2.6666666666666665</v>
      </c>
      <c r="R2672" s="2">
        <f>PerfRate[[#This Row],[ManagerRating]] - PerfRate[[#This Row],[SelfRating]]</f>
        <v>0</v>
      </c>
    </row>
    <row r="2673" spans="1:18">
      <c r="A2673" s="2" t="s">
        <v>6980</v>
      </c>
      <c r="B2673" s="2" t="s">
        <v>2614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  <c r="L2673" s="2" t="s">
        <v>11029</v>
      </c>
      <c r="M2673" s="2" t="s">
        <v>11028</v>
      </c>
      <c r="N2673" s="2" t="s">
        <v>11038</v>
      </c>
      <c r="O2673" s="2" t="s">
        <v>11036</v>
      </c>
      <c r="P2673" s="2" t="s">
        <v>11037</v>
      </c>
      <c r="Q2673" s="2">
        <f>AVERAGE(PerfRate[[#This Row],[EnvironmentSatisfaction]],PerfRate[[#This Row],[JobSatisfaction]],PerfRate[[#This Row],[RelationshipSatisfaction]])</f>
        <v>4</v>
      </c>
      <c r="R2673" s="2">
        <f>PerfRate[[#This Row],[ManagerRating]] - PerfRate[[#This Row],[SelfRating]]</f>
        <v>-1</v>
      </c>
    </row>
    <row r="2674" spans="1:18">
      <c r="A2674" s="2" t="s">
        <v>6981</v>
      </c>
      <c r="B2674" s="2" t="s">
        <v>1301</v>
      </c>
      <c r="C2674" s="1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  <c r="L2674" s="2" t="s">
        <v>11029</v>
      </c>
      <c r="M2674" s="2" t="s">
        <v>11029</v>
      </c>
      <c r="N2674" s="2" t="s">
        <v>11037</v>
      </c>
      <c r="O2674" s="2" t="s">
        <v>11035</v>
      </c>
      <c r="P2674" s="2" t="s">
        <v>11038</v>
      </c>
      <c r="Q2674" s="2">
        <f>AVERAGE(PerfRate[[#This Row],[EnvironmentSatisfaction]],PerfRate[[#This Row],[JobSatisfaction]],PerfRate[[#This Row],[RelationshipSatisfaction]])</f>
        <v>3.6666666666666665</v>
      </c>
      <c r="R2674" s="2">
        <f>PerfRate[[#This Row],[ManagerRating]] - PerfRate[[#This Row],[SelfRating]]</f>
        <v>0</v>
      </c>
    </row>
    <row r="2675" spans="1:18">
      <c r="A2675" s="2" t="s">
        <v>6982</v>
      </c>
      <c r="B2675" s="2" t="s">
        <v>2131</v>
      </c>
      <c r="C2675" s="1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  <c r="L2675" s="2" t="s">
        <v>11029</v>
      </c>
      <c r="M2675" s="2" t="s">
        <v>11028</v>
      </c>
      <c r="N2675" s="2" t="s">
        <v>11036</v>
      </c>
      <c r="O2675" s="2" t="s">
        <v>11036</v>
      </c>
      <c r="P2675" s="2" t="s">
        <v>11035</v>
      </c>
      <c r="Q2675" s="2">
        <f>AVERAGE(PerfRate[[#This Row],[EnvironmentSatisfaction]],PerfRate[[#This Row],[JobSatisfaction]],PerfRate[[#This Row],[RelationshipSatisfaction]])</f>
        <v>2.6666666666666665</v>
      </c>
      <c r="R2675" s="2">
        <f>PerfRate[[#This Row],[ManagerRating]] - PerfRate[[#This Row],[SelfRating]]</f>
        <v>-1</v>
      </c>
    </row>
    <row r="2676" spans="1:18">
      <c r="A2676" s="2" t="s">
        <v>6983</v>
      </c>
      <c r="B2676" s="2" t="s">
        <v>1647</v>
      </c>
      <c r="C2676" s="1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  <c r="L2676" s="2" t="s">
        <v>11030</v>
      </c>
      <c r="M2676" s="2" t="s">
        <v>11029</v>
      </c>
      <c r="N2676" s="2" t="s">
        <v>11038</v>
      </c>
      <c r="O2676" s="2" t="s">
        <v>11036</v>
      </c>
      <c r="P2676" s="2" t="s">
        <v>11037</v>
      </c>
      <c r="Q2676" s="2">
        <f>AVERAGE(PerfRate[[#This Row],[EnvironmentSatisfaction]],PerfRate[[#This Row],[JobSatisfaction]],PerfRate[[#This Row],[RelationshipSatisfaction]])</f>
        <v>4</v>
      </c>
      <c r="R2676" s="2">
        <f>PerfRate[[#This Row],[ManagerRating]] - PerfRate[[#This Row],[SelfRating]]</f>
        <v>-1</v>
      </c>
    </row>
    <row r="2677" spans="1:18">
      <c r="A2677" s="2" t="s">
        <v>6984</v>
      </c>
      <c r="B2677" s="2" t="s">
        <v>1485</v>
      </c>
      <c r="C2677" s="1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  <c r="L2677" s="2" t="s">
        <v>11030</v>
      </c>
      <c r="M2677" s="2" t="s">
        <v>11029</v>
      </c>
      <c r="N2677" s="2" t="s">
        <v>11037</v>
      </c>
      <c r="O2677" s="2" t="s">
        <v>11036</v>
      </c>
      <c r="P2677" s="2" t="s">
        <v>11036</v>
      </c>
      <c r="Q2677" s="2">
        <f>AVERAGE(PerfRate[[#This Row],[EnvironmentSatisfaction]],PerfRate[[#This Row],[JobSatisfaction]],PerfRate[[#This Row],[RelationshipSatisfaction]])</f>
        <v>3.3333333333333335</v>
      </c>
      <c r="R2677" s="2">
        <f>PerfRate[[#This Row],[ManagerRating]] - PerfRate[[#This Row],[SelfRating]]</f>
        <v>-1</v>
      </c>
    </row>
    <row r="2678" spans="1:18">
      <c r="A2678" s="2" t="s">
        <v>6985</v>
      </c>
      <c r="B2678" s="2" t="s">
        <v>1210</v>
      </c>
      <c r="C2678" s="1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  <c r="L2678" s="2" t="s">
        <v>11030</v>
      </c>
      <c r="M2678" s="2" t="s">
        <v>11030</v>
      </c>
      <c r="N2678" s="2" t="s">
        <v>11036</v>
      </c>
      <c r="O2678" s="2" t="s">
        <v>11035</v>
      </c>
      <c r="P2678" s="2" t="s">
        <v>11038</v>
      </c>
      <c r="Q2678" s="2">
        <f>AVERAGE(PerfRate[[#This Row],[EnvironmentSatisfaction]],PerfRate[[#This Row],[JobSatisfaction]],PerfRate[[#This Row],[RelationshipSatisfaction]])</f>
        <v>3.3333333333333335</v>
      </c>
      <c r="R2678" s="2">
        <f>PerfRate[[#This Row],[ManagerRating]] - PerfRate[[#This Row],[SelfRating]]</f>
        <v>0</v>
      </c>
    </row>
    <row r="2679" spans="1:18">
      <c r="A2679" s="2" t="s">
        <v>6986</v>
      </c>
      <c r="B2679" s="2" t="s">
        <v>1059</v>
      </c>
      <c r="C2679" s="1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  <c r="L2679" s="2" t="s">
        <v>11030</v>
      </c>
      <c r="M2679" s="2" t="s">
        <v>11030</v>
      </c>
      <c r="N2679" s="2" t="s">
        <v>11038</v>
      </c>
      <c r="O2679" s="2" t="s">
        <v>11036</v>
      </c>
      <c r="P2679" s="2" t="s">
        <v>11038</v>
      </c>
      <c r="Q2679" s="2">
        <f>AVERAGE(PerfRate[[#This Row],[EnvironmentSatisfaction]],PerfRate[[#This Row],[JobSatisfaction]],PerfRate[[#This Row],[RelationshipSatisfaction]])</f>
        <v>4.333333333333333</v>
      </c>
      <c r="R2679" s="2">
        <f>PerfRate[[#This Row],[ManagerRating]] - PerfRate[[#This Row],[SelfRating]]</f>
        <v>0</v>
      </c>
    </row>
    <row r="2680" spans="1:18">
      <c r="A2680" s="2" t="s">
        <v>6987</v>
      </c>
      <c r="B2680" s="2" t="s">
        <v>1243</v>
      </c>
      <c r="C2680" s="1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  <c r="L2680" s="2" t="s">
        <v>11031</v>
      </c>
      <c r="M2680" s="2" t="s">
        <v>11030</v>
      </c>
      <c r="N2680" s="2" t="s">
        <v>11036</v>
      </c>
      <c r="O2680" s="2" t="s">
        <v>11038</v>
      </c>
      <c r="P2680" s="2" t="s">
        <v>11035</v>
      </c>
      <c r="Q2680" s="2">
        <f>AVERAGE(PerfRate[[#This Row],[EnvironmentSatisfaction]],PerfRate[[#This Row],[JobSatisfaction]],PerfRate[[#This Row],[RelationshipSatisfaction]])</f>
        <v>3.3333333333333335</v>
      </c>
      <c r="R2680" s="2">
        <f>PerfRate[[#This Row],[ManagerRating]] - PerfRate[[#This Row],[SelfRating]]</f>
        <v>-1</v>
      </c>
    </row>
    <row r="2681" spans="1:18">
      <c r="A2681" s="2" t="s">
        <v>6988</v>
      </c>
      <c r="B2681" s="2" t="s">
        <v>1400</v>
      </c>
      <c r="C2681" s="1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  <c r="L2681" s="2" t="s">
        <v>11029</v>
      </c>
      <c r="M2681" s="2" t="s">
        <v>11028</v>
      </c>
      <c r="N2681" s="2" t="s">
        <v>11036</v>
      </c>
      <c r="O2681" s="2" t="s">
        <v>11037</v>
      </c>
      <c r="P2681" s="2" t="s">
        <v>11035</v>
      </c>
      <c r="Q2681" s="2">
        <f>AVERAGE(PerfRate[[#This Row],[EnvironmentSatisfaction]],PerfRate[[#This Row],[JobSatisfaction]],PerfRate[[#This Row],[RelationshipSatisfaction]])</f>
        <v>3</v>
      </c>
      <c r="R2681" s="2">
        <f>PerfRate[[#This Row],[ManagerRating]] - PerfRate[[#This Row],[SelfRating]]</f>
        <v>-1</v>
      </c>
    </row>
    <row r="2682" spans="1:18">
      <c r="A2682" s="2" t="s">
        <v>6989</v>
      </c>
      <c r="B2682" s="2" t="s">
        <v>1130</v>
      </c>
      <c r="C2682" s="1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  <c r="L2682" s="2" t="s">
        <v>11031</v>
      </c>
      <c r="M2682" s="2" t="s">
        <v>11031</v>
      </c>
      <c r="N2682" s="2" t="s">
        <v>11036</v>
      </c>
      <c r="O2682" s="2" t="s">
        <v>11035</v>
      </c>
      <c r="P2682" s="2" t="s">
        <v>11035</v>
      </c>
      <c r="Q2682" s="2">
        <f>AVERAGE(PerfRate[[#This Row],[EnvironmentSatisfaction]],PerfRate[[#This Row],[JobSatisfaction]],PerfRate[[#This Row],[RelationshipSatisfaction]])</f>
        <v>2.3333333333333335</v>
      </c>
      <c r="R2682" s="2">
        <f>PerfRate[[#This Row],[ManagerRating]] - PerfRate[[#This Row],[SelfRating]]</f>
        <v>0</v>
      </c>
    </row>
    <row r="2683" spans="1:18">
      <c r="A2683" s="2" t="s">
        <v>6990</v>
      </c>
      <c r="B2683" s="2" t="s">
        <v>3323</v>
      </c>
      <c r="C2683" s="1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  <c r="L2683" s="2" t="s">
        <v>11030</v>
      </c>
      <c r="M2683" s="2" t="s">
        <v>11030</v>
      </c>
      <c r="N2683" s="2" t="s">
        <v>11036</v>
      </c>
      <c r="O2683" s="2" t="s">
        <v>11038</v>
      </c>
      <c r="P2683" s="2" t="s">
        <v>11037</v>
      </c>
      <c r="Q2683" s="2">
        <f>AVERAGE(PerfRate[[#This Row],[EnvironmentSatisfaction]],PerfRate[[#This Row],[JobSatisfaction]],PerfRate[[#This Row],[RelationshipSatisfaction]])</f>
        <v>4</v>
      </c>
      <c r="R2683" s="2">
        <f>PerfRate[[#This Row],[ManagerRating]] - PerfRate[[#This Row],[SelfRating]]</f>
        <v>0</v>
      </c>
    </row>
    <row r="2684" spans="1:18">
      <c r="A2684" s="2" t="s">
        <v>6991</v>
      </c>
      <c r="B2684" s="2" t="s">
        <v>3611</v>
      </c>
      <c r="C2684" s="1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  <c r="L2684" s="2" t="s">
        <v>11030</v>
      </c>
      <c r="M2684" s="2" t="s">
        <v>11030</v>
      </c>
      <c r="N2684" s="2" t="s">
        <v>11036</v>
      </c>
      <c r="O2684" s="2" t="s">
        <v>11037</v>
      </c>
      <c r="P2684" s="2" t="s">
        <v>11036</v>
      </c>
      <c r="Q2684" s="2">
        <f>AVERAGE(PerfRate[[#This Row],[EnvironmentSatisfaction]],PerfRate[[#This Row],[JobSatisfaction]],PerfRate[[#This Row],[RelationshipSatisfaction]])</f>
        <v>3.3333333333333335</v>
      </c>
      <c r="R2684" s="2">
        <f>PerfRate[[#This Row],[ManagerRating]] - PerfRate[[#This Row],[SelfRating]]</f>
        <v>0</v>
      </c>
    </row>
    <row r="2685" spans="1:18">
      <c r="A2685" s="2" t="s">
        <v>6992</v>
      </c>
      <c r="B2685" s="2" t="s">
        <v>1415</v>
      </c>
      <c r="C2685" s="1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  <c r="L2685" s="2" t="s">
        <v>11030</v>
      </c>
      <c r="M2685" s="2" t="s">
        <v>11030</v>
      </c>
      <c r="N2685" s="2" t="s">
        <v>11036</v>
      </c>
      <c r="O2685" s="2" t="s">
        <v>11035</v>
      </c>
      <c r="P2685" s="2" t="s">
        <v>11037</v>
      </c>
      <c r="Q2685" s="2">
        <f>AVERAGE(PerfRate[[#This Row],[EnvironmentSatisfaction]],PerfRate[[#This Row],[JobSatisfaction]],PerfRate[[#This Row],[RelationshipSatisfaction]])</f>
        <v>3</v>
      </c>
      <c r="R2685" s="2">
        <f>PerfRate[[#This Row],[ManagerRating]] - PerfRate[[#This Row],[SelfRating]]</f>
        <v>0</v>
      </c>
    </row>
    <row r="2686" spans="1:18">
      <c r="A2686" s="2" t="s">
        <v>6993</v>
      </c>
      <c r="B2686" s="2" t="s">
        <v>1878</v>
      </c>
      <c r="C2686" s="1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  <c r="L2686" s="2" t="s">
        <v>11029</v>
      </c>
      <c r="M2686" s="2" t="s">
        <v>11029</v>
      </c>
      <c r="N2686" s="2" t="s">
        <v>11038</v>
      </c>
      <c r="O2686" s="2" t="s">
        <v>11037</v>
      </c>
      <c r="P2686" s="2" t="s">
        <v>11036</v>
      </c>
      <c r="Q2686" s="2">
        <f>AVERAGE(PerfRate[[#This Row],[EnvironmentSatisfaction]],PerfRate[[#This Row],[JobSatisfaction]],PerfRate[[#This Row],[RelationshipSatisfaction]])</f>
        <v>4</v>
      </c>
      <c r="R2686" s="2">
        <f>PerfRate[[#This Row],[ManagerRating]] - PerfRate[[#This Row],[SelfRating]]</f>
        <v>0</v>
      </c>
    </row>
    <row r="2687" spans="1:18">
      <c r="A2687" s="2" t="s">
        <v>6994</v>
      </c>
      <c r="B2687" s="2" t="s">
        <v>458</v>
      </c>
      <c r="C2687" s="1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  <c r="L2687" s="2" t="s">
        <v>11031</v>
      </c>
      <c r="M2687" s="2" t="s">
        <v>11030</v>
      </c>
      <c r="N2687" s="2" t="s">
        <v>11037</v>
      </c>
      <c r="O2687" s="2" t="s">
        <v>11037</v>
      </c>
      <c r="P2687" s="2" t="s">
        <v>11037</v>
      </c>
      <c r="Q2687" s="2">
        <f>AVERAGE(PerfRate[[#This Row],[EnvironmentSatisfaction]],PerfRate[[#This Row],[JobSatisfaction]],PerfRate[[#This Row],[RelationshipSatisfaction]])</f>
        <v>4</v>
      </c>
      <c r="R2687" s="2">
        <f>PerfRate[[#This Row],[ManagerRating]] - PerfRate[[#This Row],[SelfRating]]</f>
        <v>-1</v>
      </c>
    </row>
    <row r="2688" spans="1:18">
      <c r="A2688" s="2" t="s">
        <v>6995</v>
      </c>
      <c r="B2688" s="2" t="s">
        <v>2843</v>
      </c>
      <c r="C2688" s="1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  <c r="L2688" s="2" t="s">
        <v>11029</v>
      </c>
      <c r="M2688" s="2" t="s">
        <v>11028</v>
      </c>
      <c r="N2688" s="2" t="s">
        <v>11036</v>
      </c>
      <c r="O2688" s="2" t="s">
        <v>11035</v>
      </c>
      <c r="P2688" s="2" t="s">
        <v>11036</v>
      </c>
      <c r="Q2688" s="2">
        <f>AVERAGE(PerfRate[[#This Row],[EnvironmentSatisfaction]],PerfRate[[#This Row],[JobSatisfaction]],PerfRate[[#This Row],[RelationshipSatisfaction]])</f>
        <v>2.6666666666666665</v>
      </c>
      <c r="R2688" s="2">
        <f>PerfRate[[#This Row],[ManagerRating]] - PerfRate[[#This Row],[SelfRating]]</f>
        <v>-1</v>
      </c>
    </row>
    <row r="2689" spans="1:18">
      <c r="A2689" s="2" t="s">
        <v>6996</v>
      </c>
      <c r="B2689" s="2" t="s">
        <v>637</v>
      </c>
      <c r="C2689" s="1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  <c r="L2689" s="2" t="s">
        <v>11029</v>
      </c>
      <c r="M2689" s="2" t="s">
        <v>11028</v>
      </c>
      <c r="N2689" s="2" t="s">
        <v>11037</v>
      </c>
      <c r="O2689" s="2" t="s">
        <v>11035</v>
      </c>
      <c r="P2689" s="2" t="s">
        <v>11036</v>
      </c>
      <c r="Q2689" s="2">
        <f>AVERAGE(PerfRate[[#This Row],[EnvironmentSatisfaction]],PerfRate[[#This Row],[JobSatisfaction]],PerfRate[[#This Row],[RelationshipSatisfaction]])</f>
        <v>3</v>
      </c>
      <c r="R2689" s="2">
        <f>PerfRate[[#This Row],[ManagerRating]] - PerfRate[[#This Row],[SelfRating]]</f>
        <v>-1</v>
      </c>
    </row>
    <row r="2690" spans="1:18">
      <c r="A2690" s="2" t="s">
        <v>6997</v>
      </c>
      <c r="B2690" s="2" t="s">
        <v>872</v>
      </c>
      <c r="C2690" s="1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  <c r="L2690" s="2" t="s">
        <v>11030</v>
      </c>
      <c r="M2690" s="2" t="s">
        <v>11030</v>
      </c>
      <c r="N2690" s="2" t="s">
        <v>11037</v>
      </c>
      <c r="O2690" s="2" t="s">
        <v>11036</v>
      </c>
      <c r="P2690" s="2" t="s">
        <v>11036</v>
      </c>
      <c r="Q2690" s="2">
        <f>AVERAGE(PerfRate[[#This Row],[EnvironmentSatisfaction]],PerfRate[[#This Row],[JobSatisfaction]],PerfRate[[#This Row],[RelationshipSatisfaction]])</f>
        <v>3.3333333333333335</v>
      </c>
      <c r="R2690" s="2">
        <f>PerfRate[[#This Row],[ManagerRating]] - PerfRate[[#This Row],[SelfRating]]</f>
        <v>0</v>
      </c>
    </row>
    <row r="2691" spans="1:18">
      <c r="A2691" s="2" t="s">
        <v>6998</v>
      </c>
      <c r="B2691" s="2" t="s">
        <v>720</v>
      </c>
      <c r="C2691" s="1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  <c r="L2691" s="2" t="s">
        <v>11030</v>
      </c>
      <c r="M2691" s="2" t="s">
        <v>11029</v>
      </c>
      <c r="N2691" s="2" t="s">
        <v>11036</v>
      </c>
      <c r="O2691" s="2" t="s">
        <v>11038</v>
      </c>
      <c r="P2691" s="2" t="s">
        <v>11035</v>
      </c>
      <c r="Q2691" s="2">
        <f>AVERAGE(PerfRate[[#This Row],[EnvironmentSatisfaction]],PerfRate[[#This Row],[JobSatisfaction]],PerfRate[[#This Row],[RelationshipSatisfaction]])</f>
        <v>3.3333333333333335</v>
      </c>
      <c r="R2691" s="2">
        <f>PerfRate[[#This Row],[ManagerRating]] - PerfRate[[#This Row],[SelfRating]]</f>
        <v>-1</v>
      </c>
    </row>
    <row r="2692" spans="1:18">
      <c r="A2692" s="2" t="s">
        <v>6999</v>
      </c>
      <c r="B2692" s="2" t="s">
        <v>1912</v>
      </c>
      <c r="C2692" s="1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  <c r="L2692" s="2" t="s">
        <v>11029</v>
      </c>
      <c r="M2692" s="2" t="s">
        <v>11028</v>
      </c>
      <c r="N2692" s="2" t="s">
        <v>11036</v>
      </c>
      <c r="O2692" s="2" t="s">
        <v>11035</v>
      </c>
      <c r="P2692" s="2" t="s">
        <v>11035</v>
      </c>
      <c r="Q2692" s="2">
        <f>AVERAGE(PerfRate[[#This Row],[EnvironmentSatisfaction]],PerfRate[[#This Row],[JobSatisfaction]],PerfRate[[#This Row],[RelationshipSatisfaction]])</f>
        <v>2.3333333333333335</v>
      </c>
      <c r="R2692" s="2">
        <f>PerfRate[[#This Row],[ManagerRating]] - PerfRate[[#This Row],[SelfRating]]</f>
        <v>-1</v>
      </c>
    </row>
    <row r="2693" spans="1:18">
      <c r="A2693" s="2" t="s">
        <v>7000</v>
      </c>
      <c r="B2693" s="2" t="s">
        <v>1821</v>
      </c>
      <c r="C2693" s="1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  <c r="L2693" s="2" t="s">
        <v>11029</v>
      </c>
      <c r="M2693" s="2" t="s">
        <v>11028</v>
      </c>
      <c r="N2693" s="2" t="s">
        <v>11036</v>
      </c>
      <c r="O2693" s="2" t="s">
        <v>11035</v>
      </c>
      <c r="P2693" s="2" t="s">
        <v>11037</v>
      </c>
      <c r="Q2693" s="2">
        <f>AVERAGE(PerfRate[[#This Row],[EnvironmentSatisfaction]],PerfRate[[#This Row],[JobSatisfaction]],PerfRate[[#This Row],[RelationshipSatisfaction]])</f>
        <v>3</v>
      </c>
      <c r="R2693" s="2">
        <f>PerfRate[[#This Row],[ManagerRating]] - PerfRate[[#This Row],[SelfRating]]</f>
        <v>-1</v>
      </c>
    </row>
    <row r="2694" spans="1:18">
      <c r="A2694" s="2" t="s">
        <v>7001</v>
      </c>
      <c r="B2694" s="2" t="s">
        <v>1898</v>
      </c>
      <c r="C2694" s="1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  <c r="L2694" s="2" t="s">
        <v>11029</v>
      </c>
      <c r="M2694" s="2" t="s">
        <v>11029</v>
      </c>
      <c r="N2694" s="2" t="s">
        <v>11037</v>
      </c>
      <c r="O2694" s="2" t="s">
        <v>11038</v>
      </c>
      <c r="P2694" s="2" t="s">
        <v>11036</v>
      </c>
      <c r="Q2694" s="2">
        <f>AVERAGE(PerfRate[[#This Row],[EnvironmentSatisfaction]],PerfRate[[#This Row],[JobSatisfaction]],PerfRate[[#This Row],[RelationshipSatisfaction]])</f>
        <v>4</v>
      </c>
      <c r="R2694" s="2">
        <f>PerfRate[[#This Row],[ManagerRating]] - PerfRate[[#This Row],[SelfRating]]</f>
        <v>0</v>
      </c>
    </row>
    <row r="2695" spans="1:18">
      <c r="A2695" s="2" t="s">
        <v>7002</v>
      </c>
      <c r="B2695" s="2" t="s">
        <v>1629</v>
      </c>
      <c r="C2695" s="1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  <c r="L2695" s="2" t="s">
        <v>11030</v>
      </c>
      <c r="M2695" s="2" t="s">
        <v>11029</v>
      </c>
      <c r="N2695" s="2" t="s">
        <v>11036</v>
      </c>
      <c r="O2695" s="2" t="s">
        <v>11035</v>
      </c>
      <c r="P2695" s="2" t="s">
        <v>11038</v>
      </c>
      <c r="Q2695" s="2">
        <f>AVERAGE(PerfRate[[#This Row],[EnvironmentSatisfaction]],PerfRate[[#This Row],[JobSatisfaction]],PerfRate[[#This Row],[RelationshipSatisfaction]])</f>
        <v>3.3333333333333335</v>
      </c>
      <c r="R2695" s="2">
        <f>PerfRate[[#This Row],[ManagerRating]] - PerfRate[[#This Row],[SelfRating]]</f>
        <v>-1</v>
      </c>
    </row>
    <row r="2696" spans="1:18">
      <c r="A2696" s="2" t="s">
        <v>7003</v>
      </c>
      <c r="B2696" s="2" t="s">
        <v>359</v>
      </c>
      <c r="C2696" s="1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  <c r="L2696" s="2" t="s">
        <v>11030</v>
      </c>
      <c r="M2696" s="2" t="s">
        <v>11029</v>
      </c>
      <c r="N2696" s="2" t="s">
        <v>11038</v>
      </c>
      <c r="O2696" s="2" t="s">
        <v>11038</v>
      </c>
      <c r="P2696" s="2" t="s">
        <v>11035</v>
      </c>
      <c r="Q2696" s="2">
        <f>AVERAGE(PerfRate[[#This Row],[EnvironmentSatisfaction]],PerfRate[[#This Row],[JobSatisfaction]],PerfRate[[#This Row],[RelationshipSatisfaction]])</f>
        <v>4</v>
      </c>
      <c r="R2696" s="2">
        <f>PerfRate[[#This Row],[ManagerRating]] - PerfRate[[#This Row],[SelfRating]]</f>
        <v>-1</v>
      </c>
    </row>
    <row r="2697" spans="1:18">
      <c r="A2697" s="2" t="s">
        <v>7004</v>
      </c>
      <c r="B2697" s="2" t="s">
        <v>1412</v>
      </c>
      <c r="C2697" s="1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  <c r="L2697" s="2" t="s">
        <v>11030</v>
      </c>
      <c r="M2697" s="2" t="s">
        <v>11029</v>
      </c>
      <c r="N2697" s="2" t="s">
        <v>11036</v>
      </c>
      <c r="O2697" s="2" t="s">
        <v>11035</v>
      </c>
      <c r="P2697" s="2" t="s">
        <v>11037</v>
      </c>
      <c r="Q2697" s="2">
        <f>AVERAGE(PerfRate[[#This Row],[EnvironmentSatisfaction]],PerfRate[[#This Row],[JobSatisfaction]],PerfRate[[#This Row],[RelationshipSatisfaction]])</f>
        <v>3</v>
      </c>
      <c r="R2697" s="2">
        <f>PerfRate[[#This Row],[ManagerRating]] - PerfRate[[#This Row],[SelfRating]]</f>
        <v>-1</v>
      </c>
    </row>
    <row r="2698" spans="1:18">
      <c r="A2698" s="2" t="s">
        <v>7005</v>
      </c>
      <c r="B2698" s="2" t="s">
        <v>3212</v>
      </c>
      <c r="C2698" s="1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  <c r="L2698" s="2" t="s">
        <v>11029</v>
      </c>
      <c r="M2698" s="2" t="s">
        <v>11028</v>
      </c>
      <c r="N2698" s="2" t="s">
        <v>11036</v>
      </c>
      <c r="O2698" s="2" t="s">
        <v>11038</v>
      </c>
      <c r="P2698" s="2" t="s">
        <v>11036</v>
      </c>
      <c r="Q2698" s="2">
        <f>AVERAGE(PerfRate[[#This Row],[EnvironmentSatisfaction]],PerfRate[[#This Row],[JobSatisfaction]],PerfRate[[#This Row],[RelationshipSatisfaction]])</f>
        <v>3.6666666666666665</v>
      </c>
      <c r="R2698" s="2">
        <f>PerfRate[[#This Row],[ManagerRating]] - PerfRate[[#This Row],[SelfRating]]</f>
        <v>-1</v>
      </c>
    </row>
    <row r="2699" spans="1:18">
      <c r="A2699" s="2" t="s">
        <v>7006</v>
      </c>
      <c r="B2699" s="2" t="s">
        <v>1482</v>
      </c>
      <c r="C2699" s="1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  <c r="L2699" s="2" t="s">
        <v>11029</v>
      </c>
      <c r="M2699" s="2" t="s">
        <v>11029</v>
      </c>
      <c r="N2699" s="2" t="s">
        <v>11037</v>
      </c>
      <c r="O2699" s="2" t="s">
        <v>11037</v>
      </c>
      <c r="P2699" s="2" t="s">
        <v>11038</v>
      </c>
      <c r="Q2699" s="2">
        <f>AVERAGE(PerfRate[[#This Row],[EnvironmentSatisfaction]],PerfRate[[#This Row],[JobSatisfaction]],PerfRate[[#This Row],[RelationshipSatisfaction]])</f>
        <v>4.333333333333333</v>
      </c>
      <c r="R2699" s="2">
        <f>PerfRate[[#This Row],[ManagerRating]] - PerfRate[[#This Row],[SelfRating]]</f>
        <v>0</v>
      </c>
    </row>
    <row r="2700" spans="1:18">
      <c r="A2700" s="2" t="s">
        <v>7007</v>
      </c>
      <c r="B2700" s="2" t="s">
        <v>1824</v>
      </c>
      <c r="C2700" s="1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  <c r="L2700" s="2" t="s">
        <v>11030</v>
      </c>
      <c r="M2700" s="2" t="s">
        <v>11029</v>
      </c>
      <c r="N2700" s="2" t="s">
        <v>11036</v>
      </c>
      <c r="O2700" s="2" t="s">
        <v>11037</v>
      </c>
      <c r="P2700" s="2" t="s">
        <v>11037</v>
      </c>
      <c r="Q2700" s="2">
        <f>AVERAGE(PerfRate[[#This Row],[EnvironmentSatisfaction]],PerfRate[[#This Row],[JobSatisfaction]],PerfRate[[#This Row],[RelationshipSatisfaction]])</f>
        <v>3.6666666666666665</v>
      </c>
      <c r="R2700" s="2">
        <f>PerfRate[[#This Row],[ManagerRating]] - PerfRate[[#This Row],[SelfRating]]</f>
        <v>-1</v>
      </c>
    </row>
    <row r="2701" spans="1:18">
      <c r="A2701" s="2" t="s">
        <v>7008</v>
      </c>
      <c r="B2701" s="2" t="s">
        <v>806</v>
      </c>
      <c r="C2701" s="1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  <c r="L2701" s="2" t="s">
        <v>11031</v>
      </c>
      <c r="M2701" s="2" t="s">
        <v>11031</v>
      </c>
      <c r="N2701" s="2" t="s">
        <v>11037</v>
      </c>
      <c r="O2701" s="2" t="s">
        <v>11036</v>
      </c>
      <c r="P2701" s="2" t="s">
        <v>11037</v>
      </c>
      <c r="Q2701" s="2">
        <f>AVERAGE(PerfRate[[#This Row],[EnvironmentSatisfaction]],PerfRate[[#This Row],[JobSatisfaction]],PerfRate[[#This Row],[RelationshipSatisfaction]])</f>
        <v>3.6666666666666665</v>
      </c>
      <c r="R2701" s="2">
        <f>PerfRate[[#This Row],[ManagerRating]] - PerfRate[[#This Row],[SelfRating]]</f>
        <v>0</v>
      </c>
    </row>
    <row r="2702" spans="1:18">
      <c r="A2702" s="2" t="s">
        <v>7009</v>
      </c>
      <c r="B2702" s="2" t="s">
        <v>955</v>
      </c>
      <c r="C2702" s="1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  <c r="L2702" s="2" t="s">
        <v>11029</v>
      </c>
      <c r="M2702" s="2" t="s">
        <v>11029</v>
      </c>
      <c r="N2702" s="2" t="s">
        <v>11038</v>
      </c>
      <c r="O2702" s="2" t="s">
        <v>11038</v>
      </c>
      <c r="P2702" s="2" t="s">
        <v>11038</v>
      </c>
      <c r="Q2702" s="2">
        <f>AVERAGE(PerfRate[[#This Row],[EnvironmentSatisfaction]],PerfRate[[#This Row],[JobSatisfaction]],PerfRate[[#This Row],[RelationshipSatisfaction]])</f>
        <v>5</v>
      </c>
      <c r="R2702" s="2">
        <f>PerfRate[[#This Row],[ManagerRating]] - PerfRate[[#This Row],[SelfRating]]</f>
        <v>0</v>
      </c>
    </row>
    <row r="2703" spans="1:18">
      <c r="A2703" s="2" t="s">
        <v>7010</v>
      </c>
      <c r="B2703" s="2" t="s">
        <v>808</v>
      </c>
      <c r="C2703" s="1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  <c r="L2703" s="2" t="s">
        <v>11029</v>
      </c>
      <c r="M2703" s="2" t="s">
        <v>11029</v>
      </c>
      <c r="N2703" s="2" t="s">
        <v>11036</v>
      </c>
      <c r="O2703" s="2" t="s">
        <v>11037</v>
      </c>
      <c r="P2703" s="2" t="s">
        <v>11038</v>
      </c>
      <c r="Q2703" s="2">
        <f>AVERAGE(PerfRate[[#This Row],[EnvironmentSatisfaction]],PerfRate[[#This Row],[JobSatisfaction]],PerfRate[[#This Row],[RelationshipSatisfaction]])</f>
        <v>4</v>
      </c>
      <c r="R2703" s="2">
        <f>PerfRate[[#This Row],[ManagerRating]] - PerfRate[[#This Row],[SelfRating]]</f>
        <v>0</v>
      </c>
    </row>
    <row r="2704" spans="1:18">
      <c r="A2704" s="2" t="s">
        <v>7011</v>
      </c>
      <c r="B2704" s="2" t="s">
        <v>2027</v>
      </c>
      <c r="C2704" s="1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  <c r="L2704" s="2" t="s">
        <v>11029</v>
      </c>
      <c r="M2704" s="2" t="s">
        <v>11028</v>
      </c>
      <c r="N2704" s="2" t="s">
        <v>11037</v>
      </c>
      <c r="O2704" s="2" t="s">
        <v>11036</v>
      </c>
      <c r="P2704" s="2" t="s">
        <v>11036</v>
      </c>
      <c r="Q2704" s="2">
        <f>AVERAGE(PerfRate[[#This Row],[EnvironmentSatisfaction]],PerfRate[[#This Row],[JobSatisfaction]],PerfRate[[#This Row],[RelationshipSatisfaction]])</f>
        <v>3.3333333333333335</v>
      </c>
      <c r="R2704" s="2">
        <f>PerfRate[[#This Row],[ManagerRating]] - PerfRate[[#This Row],[SelfRating]]</f>
        <v>-1</v>
      </c>
    </row>
    <row r="2705" spans="1:18">
      <c r="A2705" s="2" t="s">
        <v>7012</v>
      </c>
      <c r="B2705" s="2" t="s">
        <v>3054</v>
      </c>
      <c r="C2705" s="1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  <c r="L2705" s="2" t="s">
        <v>11031</v>
      </c>
      <c r="M2705" s="2" t="s">
        <v>11030</v>
      </c>
      <c r="N2705" s="2" t="s">
        <v>11037</v>
      </c>
      <c r="O2705" s="2" t="s">
        <v>11037</v>
      </c>
      <c r="P2705" s="2" t="s">
        <v>11036</v>
      </c>
      <c r="Q2705" s="2">
        <f>AVERAGE(PerfRate[[#This Row],[EnvironmentSatisfaction]],PerfRate[[#This Row],[JobSatisfaction]],PerfRate[[#This Row],[RelationshipSatisfaction]])</f>
        <v>3.6666666666666665</v>
      </c>
      <c r="R2705" s="2">
        <f>PerfRate[[#This Row],[ManagerRating]] - PerfRate[[#This Row],[SelfRating]]</f>
        <v>-1</v>
      </c>
    </row>
    <row r="2706" spans="1:18">
      <c r="A2706" s="2" t="s">
        <v>7013</v>
      </c>
      <c r="B2706" s="2" t="s">
        <v>431</v>
      </c>
      <c r="C2706" s="1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  <c r="L2706" s="2" t="s">
        <v>11031</v>
      </c>
      <c r="M2706" s="2" t="s">
        <v>11030</v>
      </c>
      <c r="N2706" s="2" t="s">
        <v>11036</v>
      </c>
      <c r="O2706" s="2" t="s">
        <v>11037</v>
      </c>
      <c r="P2706" s="2" t="s">
        <v>11037</v>
      </c>
      <c r="Q2706" s="2">
        <f>AVERAGE(PerfRate[[#This Row],[EnvironmentSatisfaction]],PerfRate[[#This Row],[JobSatisfaction]],PerfRate[[#This Row],[RelationshipSatisfaction]])</f>
        <v>3.6666666666666665</v>
      </c>
      <c r="R2706" s="2">
        <f>PerfRate[[#This Row],[ManagerRating]] - PerfRate[[#This Row],[SelfRating]]</f>
        <v>-1</v>
      </c>
    </row>
    <row r="2707" spans="1:18">
      <c r="A2707" s="2" t="s">
        <v>7014</v>
      </c>
      <c r="B2707" s="2" t="s">
        <v>649</v>
      </c>
      <c r="C2707" s="1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  <c r="L2707" s="2" t="s">
        <v>11031</v>
      </c>
      <c r="M2707" s="2" t="s">
        <v>11031</v>
      </c>
      <c r="N2707" s="2" t="s">
        <v>11036</v>
      </c>
      <c r="O2707" s="2" t="s">
        <v>11036</v>
      </c>
      <c r="P2707" s="2" t="s">
        <v>11035</v>
      </c>
      <c r="Q2707" s="2">
        <f>AVERAGE(PerfRate[[#This Row],[EnvironmentSatisfaction]],PerfRate[[#This Row],[JobSatisfaction]],PerfRate[[#This Row],[RelationshipSatisfaction]])</f>
        <v>2.6666666666666665</v>
      </c>
      <c r="R2707" s="2">
        <f>PerfRate[[#This Row],[ManagerRating]] - PerfRate[[#This Row],[SelfRating]]</f>
        <v>0</v>
      </c>
    </row>
    <row r="2708" spans="1:18">
      <c r="A2708" s="2" t="s">
        <v>7015</v>
      </c>
      <c r="B2708" s="2" t="s">
        <v>1003</v>
      </c>
      <c r="C2708" s="1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  <c r="L2708" s="2" t="s">
        <v>11029</v>
      </c>
      <c r="M2708" s="2" t="s">
        <v>11029</v>
      </c>
      <c r="N2708" s="2" t="s">
        <v>11038</v>
      </c>
      <c r="O2708" s="2" t="s">
        <v>11037</v>
      </c>
      <c r="P2708" s="2" t="s">
        <v>11035</v>
      </c>
      <c r="Q2708" s="2">
        <f>AVERAGE(PerfRate[[#This Row],[EnvironmentSatisfaction]],PerfRate[[#This Row],[JobSatisfaction]],PerfRate[[#This Row],[RelationshipSatisfaction]])</f>
        <v>3.6666666666666665</v>
      </c>
      <c r="R2708" s="2">
        <f>PerfRate[[#This Row],[ManagerRating]] - PerfRate[[#This Row],[SelfRating]]</f>
        <v>0</v>
      </c>
    </row>
    <row r="2709" spans="1:18">
      <c r="A2709" s="2" t="s">
        <v>7016</v>
      </c>
      <c r="B2709" s="2" t="s">
        <v>3772</v>
      </c>
      <c r="C2709" s="1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  <c r="L2709" s="2" t="s">
        <v>11031</v>
      </c>
      <c r="M2709" s="2" t="s">
        <v>11030</v>
      </c>
      <c r="N2709" s="2" t="s">
        <v>11036</v>
      </c>
      <c r="O2709" s="2" t="s">
        <v>11036</v>
      </c>
      <c r="P2709" s="2" t="s">
        <v>11037</v>
      </c>
      <c r="Q2709" s="2">
        <f>AVERAGE(PerfRate[[#This Row],[EnvironmentSatisfaction]],PerfRate[[#This Row],[JobSatisfaction]],PerfRate[[#This Row],[RelationshipSatisfaction]])</f>
        <v>3.3333333333333335</v>
      </c>
      <c r="R2709" s="2">
        <f>PerfRate[[#This Row],[ManagerRating]] - PerfRate[[#This Row],[SelfRating]]</f>
        <v>-1</v>
      </c>
    </row>
    <row r="2710" spans="1:18">
      <c r="A2710" s="2" t="s">
        <v>7017</v>
      </c>
      <c r="B2710" s="2" t="s">
        <v>2593</v>
      </c>
      <c r="C2710" s="1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  <c r="L2710" s="2" t="s">
        <v>11029</v>
      </c>
      <c r="M2710" s="2" t="s">
        <v>11028</v>
      </c>
      <c r="N2710" s="2" t="s">
        <v>11038</v>
      </c>
      <c r="O2710" s="2" t="s">
        <v>11037</v>
      </c>
      <c r="P2710" s="2" t="s">
        <v>11038</v>
      </c>
      <c r="Q2710" s="2">
        <f>AVERAGE(PerfRate[[#This Row],[EnvironmentSatisfaction]],PerfRate[[#This Row],[JobSatisfaction]],PerfRate[[#This Row],[RelationshipSatisfaction]])</f>
        <v>4.666666666666667</v>
      </c>
      <c r="R2710" s="2">
        <f>PerfRate[[#This Row],[ManagerRating]] - PerfRate[[#This Row],[SelfRating]]</f>
        <v>-1</v>
      </c>
    </row>
    <row r="2711" spans="1:18">
      <c r="A2711" s="2" t="s">
        <v>7018</v>
      </c>
      <c r="B2711" s="2" t="s">
        <v>1318</v>
      </c>
      <c r="C2711" s="1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  <c r="L2711" s="2" t="s">
        <v>11030</v>
      </c>
      <c r="M2711" s="2" t="s">
        <v>11030</v>
      </c>
      <c r="N2711" s="2" t="s">
        <v>11038</v>
      </c>
      <c r="O2711" s="2" t="s">
        <v>11035</v>
      </c>
      <c r="P2711" s="2" t="s">
        <v>11036</v>
      </c>
      <c r="Q2711" s="2">
        <f>AVERAGE(PerfRate[[#This Row],[EnvironmentSatisfaction]],PerfRate[[#This Row],[JobSatisfaction]],PerfRate[[#This Row],[RelationshipSatisfaction]])</f>
        <v>3.3333333333333335</v>
      </c>
      <c r="R2711" s="2">
        <f>PerfRate[[#This Row],[ManagerRating]] - PerfRate[[#This Row],[SelfRating]]</f>
        <v>0</v>
      </c>
    </row>
    <row r="2712" spans="1:18">
      <c r="A2712" s="2" t="s">
        <v>7019</v>
      </c>
      <c r="B2712" s="2" t="s">
        <v>1764</v>
      </c>
      <c r="C2712" s="1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  <c r="L2712" s="2" t="s">
        <v>11031</v>
      </c>
      <c r="M2712" s="2" t="s">
        <v>11031</v>
      </c>
      <c r="N2712" s="2" t="s">
        <v>11038</v>
      </c>
      <c r="O2712" s="2" t="s">
        <v>11038</v>
      </c>
      <c r="P2712" s="2" t="s">
        <v>11035</v>
      </c>
      <c r="Q2712" s="2">
        <f>AVERAGE(PerfRate[[#This Row],[EnvironmentSatisfaction]],PerfRate[[#This Row],[JobSatisfaction]],PerfRate[[#This Row],[RelationshipSatisfaction]])</f>
        <v>4</v>
      </c>
      <c r="R2712" s="2">
        <f>PerfRate[[#This Row],[ManagerRating]] - PerfRate[[#This Row],[SelfRating]]</f>
        <v>0</v>
      </c>
    </row>
    <row r="2713" spans="1:18">
      <c r="A2713" s="2" t="s">
        <v>7020</v>
      </c>
      <c r="B2713" s="2" t="s">
        <v>3583</v>
      </c>
      <c r="C2713" s="1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  <c r="L2713" s="2" t="s">
        <v>11031</v>
      </c>
      <c r="M2713" s="2" t="s">
        <v>11030</v>
      </c>
      <c r="N2713" s="2" t="s">
        <v>11036</v>
      </c>
      <c r="O2713" s="2" t="s">
        <v>11035</v>
      </c>
      <c r="P2713" s="2" t="s">
        <v>11035</v>
      </c>
      <c r="Q2713" s="2">
        <f>AVERAGE(PerfRate[[#This Row],[EnvironmentSatisfaction]],PerfRate[[#This Row],[JobSatisfaction]],PerfRate[[#This Row],[RelationshipSatisfaction]])</f>
        <v>2.3333333333333335</v>
      </c>
      <c r="R2713" s="2">
        <f>PerfRate[[#This Row],[ManagerRating]] - PerfRate[[#This Row],[SelfRating]]</f>
        <v>-1</v>
      </c>
    </row>
    <row r="2714" spans="1:18">
      <c r="A2714" s="2" t="s">
        <v>7021</v>
      </c>
      <c r="B2714" s="2" t="s">
        <v>138</v>
      </c>
      <c r="C2714" s="1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  <c r="L2714" s="2" t="s">
        <v>11029</v>
      </c>
      <c r="M2714" s="2" t="s">
        <v>11028</v>
      </c>
      <c r="N2714" s="2" t="s">
        <v>11036</v>
      </c>
      <c r="O2714" s="2" t="s">
        <v>11036</v>
      </c>
      <c r="P2714" s="2" t="s">
        <v>11035</v>
      </c>
      <c r="Q2714" s="2">
        <f>AVERAGE(PerfRate[[#This Row],[EnvironmentSatisfaction]],PerfRate[[#This Row],[JobSatisfaction]],PerfRate[[#This Row],[RelationshipSatisfaction]])</f>
        <v>2.6666666666666665</v>
      </c>
      <c r="R2714" s="2">
        <f>PerfRate[[#This Row],[ManagerRating]] - PerfRate[[#This Row],[SelfRating]]</f>
        <v>-1</v>
      </c>
    </row>
    <row r="2715" spans="1:18">
      <c r="A2715" s="2" t="s">
        <v>7022</v>
      </c>
      <c r="B2715" s="2" t="s">
        <v>1557</v>
      </c>
      <c r="C2715" s="1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  <c r="L2715" s="2" t="s">
        <v>11031</v>
      </c>
      <c r="M2715" s="2" t="s">
        <v>11031</v>
      </c>
      <c r="N2715" s="2" t="s">
        <v>11037</v>
      </c>
      <c r="O2715" s="2" t="s">
        <v>11034</v>
      </c>
      <c r="P2715" s="2" t="s">
        <v>11037</v>
      </c>
      <c r="Q2715" s="2">
        <f>AVERAGE(PerfRate[[#This Row],[EnvironmentSatisfaction]],PerfRate[[#This Row],[JobSatisfaction]],PerfRate[[#This Row],[RelationshipSatisfaction]])</f>
        <v>3</v>
      </c>
      <c r="R2715" s="2">
        <f>PerfRate[[#This Row],[ManagerRating]] - PerfRate[[#This Row],[SelfRating]]</f>
        <v>0</v>
      </c>
    </row>
    <row r="2716" spans="1:18">
      <c r="A2716" s="2" t="s">
        <v>7023</v>
      </c>
      <c r="B2716" s="2" t="s">
        <v>23</v>
      </c>
      <c r="C2716" s="1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  <c r="L2716" s="2" t="s">
        <v>11031</v>
      </c>
      <c r="M2716" s="2" t="s">
        <v>11030</v>
      </c>
      <c r="N2716" s="2" t="s">
        <v>11034</v>
      </c>
      <c r="O2716" s="2" t="s">
        <v>11036</v>
      </c>
      <c r="P2716" s="2" t="s">
        <v>11035</v>
      </c>
      <c r="Q2716" s="2">
        <f>AVERAGE(PerfRate[[#This Row],[EnvironmentSatisfaction]],PerfRate[[#This Row],[JobSatisfaction]],PerfRate[[#This Row],[RelationshipSatisfaction]])</f>
        <v>2</v>
      </c>
      <c r="R2716" s="2">
        <f>PerfRate[[#This Row],[ManagerRating]] - PerfRate[[#This Row],[SelfRating]]</f>
        <v>-1</v>
      </c>
    </row>
    <row r="2717" spans="1:18">
      <c r="A2717" s="2" t="s">
        <v>7024</v>
      </c>
      <c r="B2717" s="2" t="s">
        <v>4069</v>
      </c>
      <c r="C2717" s="1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  <c r="L2717" s="2" t="s">
        <v>11029</v>
      </c>
      <c r="M2717" s="2" t="s">
        <v>11029</v>
      </c>
      <c r="N2717" s="2" t="s">
        <v>11035</v>
      </c>
      <c r="O2717" s="2" t="s">
        <v>11037</v>
      </c>
      <c r="P2717" s="2" t="s">
        <v>11035</v>
      </c>
      <c r="Q2717" s="2">
        <f>AVERAGE(PerfRate[[#This Row],[EnvironmentSatisfaction]],PerfRate[[#This Row],[JobSatisfaction]],PerfRate[[#This Row],[RelationshipSatisfaction]])</f>
        <v>2.6666666666666665</v>
      </c>
      <c r="R2717" s="2">
        <f>PerfRate[[#This Row],[ManagerRating]] - PerfRate[[#This Row],[SelfRating]]</f>
        <v>0</v>
      </c>
    </row>
    <row r="2718" spans="1:18">
      <c r="A2718" s="2" t="s">
        <v>7025</v>
      </c>
      <c r="B2718" s="2" t="s">
        <v>797</v>
      </c>
      <c r="C2718" s="1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  <c r="L2718" s="2" t="s">
        <v>11029</v>
      </c>
      <c r="M2718" s="2" t="s">
        <v>11029</v>
      </c>
      <c r="N2718" s="2" t="s">
        <v>11037</v>
      </c>
      <c r="O2718" s="2" t="s">
        <v>11034</v>
      </c>
      <c r="P2718" s="2" t="s">
        <v>11037</v>
      </c>
      <c r="Q2718" s="2">
        <f>AVERAGE(PerfRate[[#This Row],[EnvironmentSatisfaction]],PerfRate[[#This Row],[JobSatisfaction]],PerfRate[[#This Row],[RelationshipSatisfaction]])</f>
        <v>3</v>
      </c>
      <c r="R2718" s="2">
        <f>PerfRate[[#This Row],[ManagerRating]] - PerfRate[[#This Row],[SelfRating]]</f>
        <v>0</v>
      </c>
    </row>
    <row r="2719" spans="1:18">
      <c r="A2719" s="2" t="s">
        <v>7026</v>
      </c>
      <c r="B2719" s="2" t="s">
        <v>574</v>
      </c>
      <c r="C2719" s="1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  <c r="L2719" s="2" t="s">
        <v>11029</v>
      </c>
      <c r="M2719" s="2" t="s">
        <v>11028</v>
      </c>
      <c r="N2719" s="2" t="s">
        <v>11034</v>
      </c>
      <c r="O2719" s="2" t="s">
        <v>11035</v>
      </c>
      <c r="P2719" s="2" t="s">
        <v>11036</v>
      </c>
      <c r="Q2719" s="2">
        <f>AVERAGE(PerfRate[[#This Row],[EnvironmentSatisfaction]],PerfRate[[#This Row],[JobSatisfaction]],PerfRate[[#This Row],[RelationshipSatisfaction]])</f>
        <v>2</v>
      </c>
      <c r="R2719" s="2">
        <f>PerfRate[[#This Row],[ManagerRating]] - PerfRate[[#This Row],[SelfRating]]</f>
        <v>-1</v>
      </c>
    </row>
    <row r="2720" spans="1:18">
      <c r="A2720" s="2" t="s">
        <v>7027</v>
      </c>
      <c r="B2720" s="2" t="s">
        <v>1927</v>
      </c>
      <c r="C2720" s="1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  <c r="L2720" s="2" t="s">
        <v>11030</v>
      </c>
      <c r="M2720" s="2" t="s">
        <v>11029</v>
      </c>
      <c r="N2720" s="2" t="s">
        <v>11036</v>
      </c>
      <c r="O2720" s="2" t="s">
        <v>11037</v>
      </c>
      <c r="P2720" s="2" t="s">
        <v>11038</v>
      </c>
      <c r="Q2720" s="2">
        <f>AVERAGE(PerfRate[[#This Row],[EnvironmentSatisfaction]],PerfRate[[#This Row],[JobSatisfaction]],PerfRate[[#This Row],[RelationshipSatisfaction]])</f>
        <v>4</v>
      </c>
      <c r="R2720" s="2">
        <f>PerfRate[[#This Row],[ManagerRating]] - PerfRate[[#This Row],[SelfRating]]</f>
        <v>-1</v>
      </c>
    </row>
    <row r="2721" spans="1:18">
      <c r="A2721" s="2" t="s">
        <v>7028</v>
      </c>
      <c r="B2721" s="2" t="s">
        <v>2048</v>
      </c>
      <c r="C2721" s="1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  <c r="L2721" s="2" t="s">
        <v>11030</v>
      </c>
      <c r="M2721" s="2" t="s">
        <v>11030</v>
      </c>
      <c r="N2721" s="2" t="s">
        <v>11034</v>
      </c>
      <c r="O2721" s="2" t="s">
        <v>11037</v>
      </c>
      <c r="P2721" s="2" t="s">
        <v>11035</v>
      </c>
      <c r="Q2721" s="2">
        <f>AVERAGE(PerfRate[[#This Row],[EnvironmentSatisfaction]],PerfRate[[#This Row],[JobSatisfaction]],PerfRate[[#This Row],[RelationshipSatisfaction]])</f>
        <v>2.3333333333333335</v>
      </c>
      <c r="R2721" s="2">
        <f>PerfRate[[#This Row],[ManagerRating]] - PerfRate[[#This Row],[SelfRating]]</f>
        <v>0</v>
      </c>
    </row>
    <row r="2722" spans="1:18">
      <c r="A2722" s="2" t="s">
        <v>7029</v>
      </c>
      <c r="B2722" s="2" t="s">
        <v>875</v>
      </c>
      <c r="C2722" s="1">
        <v>43476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  <c r="L2722" s="2" t="s">
        <v>11029</v>
      </c>
      <c r="M2722" s="2" t="s">
        <v>11028</v>
      </c>
      <c r="N2722" s="2" t="s">
        <v>11037</v>
      </c>
      <c r="O2722" s="2" t="s">
        <v>11036</v>
      </c>
      <c r="P2722" s="2" t="s">
        <v>11036</v>
      </c>
      <c r="Q2722" s="2">
        <f>AVERAGE(PerfRate[[#This Row],[EnvironmentSatisfaction]],PerfRate[[#This Row],[JobSatisfaction]],PerfRate[[#This Row],[RelationshipSatisfaction]])</f>
        <v>3.3333333333333335</v>
      </c>
      <c r="R2722" s="2">
        <f>PerfRate[[#This Row],[ManagerRating]] - PerfRate[[#This Row],[SelfRating]]</f>
        <v>-1</v>
      </c>
    </row>
    <row r="2723" spans="1:18">
      <c r="A2723" s="2" t="s">
        <v>7030</v>
      </c>
      <c r="B2723" s="2" t="s">
        <v>389</v>
      </c>
      <c r="C2723" s="1">
        <v>43507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  <c r="L2723" s="2" t="s">
        <v>11031</v>
      </c>
      <c r="M2723" s="2" t="s">
        <v>11031</v>
      </c>
      <c r="N2723" s="2" t="s">
        <v>11038</v>
      </c>
      <c r="O2723" s="2" t="s">
        <v>11035</v>
      </c>
      <c r="P2723" s="2" t="s">
        <v>11036</v>
      </c>
      <c r="Q2723" s="2">
        <f>AVERAGE(PerfRate[[#This Row],[EnvironmentSatisfaction]],PerfRate[[#This Row],[JobSatisfaction]],PerfRate[[#This Row],[RelationshipSatisfaction]])</f>
        <v>3.3333333333333335</v>
      </c>
      <c r="R2723" s="2">
        <f>PerfRate[[#This Row],[ManagerRating]] - PerfRate[[#This Row],[SelfRating]]</f>
        <v>0</v>
      </c>
    </row>
    <row r="2724" spans="1:18">
      <c r="A2724" s="2" t="s">
        <v>7031</v>
      </c>
      <c r="B2724" s="2" t="s">
        <v>1207</v>
      </c>
      <c r="C2724" s="1">
        <v>43507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  <c r="L2724" s="2" t="s">
        <v>11029</v>
      </c>
      <c r="M2724" s="2" t="s">
        <v>11029</v>
      </c>
      <c r="N2724" s="2" t="s">
        <v>11037</v>
      </c>
      <c r="O2724" s="2" t="s">
        <v>11038</v>
      </c>
      <c r="P2724" s="2" t="s">
        <v>11038</v>
      </c>
      <c r="Q2724" s="2">
        <f>AVERAGE(PerfRate[[#This Row],[EnvironmentSatisfaction]],PerfRate[[#This Row],[JobSatisfaction]],PerfRate[[#This Row],[RelationshipSatisfaction]])</f>
        <v>4.666666666666667</v>
      </c>
      <c r="R2724" s="2">
        <f>PerfRate[[#This Row],[ManagerRating]] - PerfRate[[#This Row],[SelfRating]]</f>
        <v>0</v>
      </c>
    </row>
    <row r="2725" spans="1:18">
      <c r="A2725" s="2" t="s">
        <v>7032</v>
      </c>
      <c r="B2725" s="2" t="s">
        <v>3552</v>
      </c>
      <c r="C2725" s="1">
        <v>43535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  <c r="L2725" s="2" t="s">
        <v>11031</v>
      </c>
      <c r="M2725" s="2" t="s">
        <v>11030</v>
      </c>
      <c r="N2725" s="2" t="s">
        <v>11038</v>
      </c>
      <c r="O2725" s="2" t="s">
        <v>11037</v>
      </c>
      <c r="P2725" s="2" t="s">
        <v>11038</v>
      </c>
      <c r="Q2725" s="2">
        <f>AVERAGE(PerfRate[[#This Row],[EnvironmentSatisfaction]],PerfRate[[#This Row],[JobSatisfaction]],PerfRate[[#This Row],[RelationshipSatisfaction]])</f>
        <v>4.666666666666667</v>
      </c>
      <c r="R2725" s="2">
        <f>PerfRate[[#This Row],[ManagerRating]] - PerfRate[[#This Row],[SelfRating]]</f>
        <v>-1</v>
      </c>
    </row>
    <row r="2726" spans="1:18">
      <c r="A2726" s="2" t="s">
        <v>7033</v>
      </c>
      <c r="B2726" s="2" t="s">
        <v>1426</v>
      </c>
      <c r="C2726" s="1">
        <v>43535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  <c r="L2726" s="2" t="s">
        <v>11029</v>
      </c>
      <c r="M2726" s="2" t="s">
        <v>11028</v>
      </c>
      <c r="N2726" s="2" t="s">
        <v>11038</v>
      </c>
      <c r="O2726" s="2" t="s">
        <v>11036</v>
      </c>
      <c r="P2726" s="2" t="s">
        <v>11037</v>
      </c>
      <c r="Q2726" s="2">
        <f>AVERAGE(PerfRate[[#This Row],[EnvironmentSatisfaction]],PerfRate[[#This Row],[JobSatisfaction]],PerfRate[[#This Row],[RelationshipSatisfaction]])</f>
        <v>4</v>
      </c>
      <c r="R2726" s="2">
        <f>PerfRate[[#This Row],[ManagerRating]] - PerfRate[[#This Row],[SelfRating]]</f>
        <v>-1</v>
      </c>
    </row>
    <row r="2727" spans="1:18">
      <c r="A2727" s="2" t="s">
        <v>7034</v>
      </c>
      <c r="B2727" s="2" t="s">
        <v>681</v>
      </c>
      <c r="C2727" s="1">
        <v>43566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  <c r="L2727" s="2" t="s">
        <v>11030</v>
      </c>
      <c r="M2727" s="2" t="s">
        <v>11030</v>
      </c>
      <c r="N2727" s="2" t="s">
        <v>11038</v>
      </c>
      <c r="O2727" s="2" t="s">
        <v>11037</v>
      </c>
      <c r="P2727" s="2" t="s">
        <v>11038</v>
      </c>
      <c r="Q2727" s="2">
        <f>AVERAGE(PerfRate[[#This Row],[EnvironmentSatisfaction]],PerfRate[[#This Row],[JobSatisfaction]],PerfRate[[#This Row],[RelationshipSatisfaction]])</f>
        <v>4.666666666666667</v>
      </c>
      <c r="R2727" s="2">
        <f>PerfRate[[#This Row],[ManagerRating]] - PerfRate[[#This Row],[SelfRating]]</f>
        <v>0</v>
      </c>
    </row>
    <row r="2728" spans="1:18">
      <c r="A2728" s="2" t="s">
        <v>7035</v>
      </c>
      <c r="B2728" s="2" t="s">
        <v>3305</v>
      </c>
      <c r="C2728" s="1">
        <v>43596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  <c r="L2728" s="2" t="s">
        <v>11029</v>
      </c>
      <c r="M2728" s="2" t="s">
        <v>11028</v>
      </c>
      <c r="N2728" s="2" t="s">
        <v>11038</v>
      </c>
      <c r="O2728" s="2" t="s">
        <v>11037</v>
      </c>
      <c r="P2728" s="2" t="s">
        <v>11037</v>
      </c>
      <c r="Q2728" s="2">
        <f>AVERAGE(PerfRate[[#This Row],[EnvironmentSatisfaction]],PerfRate[[#This Row],[JobSatisfaction]],PerfRate[[#This Row],[RelationshipSatisfaction]])</f>
        <v>4.333333333333333</v>
      </c>
      <c r="R2728" s="2">
        <f>PerfRate[[#This Row],[ManagerRating]] - PerfRate[[#This Row],[SelfRating]]</f>
        <v>-1</v>
      </c>
    </row>
    <row r="2729" spans="1:18">
      <c r="A2729" s="2" t="s">
        <v>7036</v>
      </c>
      <c r="B2729" s="2" t="s">
        <v>1087</v>
      </c>
      <c r="C2729" s="1">
        <v>43596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  <c r="L2729" s="2" t="s">
        <v>11030</v>
      </c>
      <c r="M2729" s="2" t="s">
        <v>11030</v>
      </c>
      <c r="N2729" s="2" t="s">
        <v>11037</v>
      </c>
      <c r="O2729" s="2" t="s">
        <v>11036</v>
      </c>
      <c r="P2729" s="2" t="s">
        <v>11036</v>
      </c>
      <c r="Q2729" s="2">
        <f>AVERAGE(PerfRate[[#This Row],[EnvironmentSatisfaction]],PerfRate[[#This Row],[JobSatisfaction]],PerfRate[[#This Row],[RelationshipSatisfaction]])</f>
        <v>3.3333333333333335</v>
      </c>
      <c r="R2729" s="2">
        <f>PerfRate[[#This Row],[ManagerRating]] - PerfRate[[#This Row],[SelfRating]]</f>
        <v>0</v>
      </c>
    </row>
    <row r="2730" spans="1:18">
      <c r="A2730" s="2" t="s">
        <v>7037</v>
      </c>
      <c r="B2730" s="2" t="s">
        <v>661</v>
      </c>
      <c r="C2730" s="1">
        <v>43627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  <c r="L2730" s="2" t="s">
        <v>11029</v>
      </c>
      <c r="M2730" s="2" t="s">
        <v>11029</v>
      </c>
      <c r="N2730" s="2" t="s">
        <v>11036</v>
      </c>
      <c r="O2730" s="2" t="s">
        <v>11038</v>
      </c>
      <c r="P2730" s="2" t="s">
        <v>11038</v>
      </c>
      <c r="Q2730" s="2">
        <f>AVERAGE(PerfRate[[#This Row],[EnvironmentSatisfaction]],PerfRate[[#This Row],[JobSatisfaction]],PerfRate[[#This Row],[RelationshipSatisfaction]])</f>
        <v>4.333333333333333</v>
      </c>
      <c r="R2730" s="2">
        <f>PerfRate[[#This Row],[ManagerRating]] - PerfRate[[#This Row],[SelfRating]]</f>
        <v>0</v>
      </c>
    </row>
    <row r="2731" spans="1:18">
      <c r="A2731" s="2" t="s">
        <v>7038</v>
      </c>
      <c r="B2731" s="2" t="s">
        <v>4257</v>
      </c>
      <c r="C2731" s="1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  <c r="L2731" s="2" t="s">
        <v>11031</v>
      </c>
      <c r="M2731" s="2" t="s">
        <v>11031</v>
      </c>
      <c r="N2731" s="2" t="s">
        <v>11038</v>
      </c>
      <c r="O2731" s="2" t="s">
        <v>11037</v>
      </c>
      <c r="P2731" s="2" t="s">
        <v>11035</v>
      </c>
      <c r="Q2731" s="2">
        <f>AVERAGE(PerfRate[[#This Row],[EnvironmentSatisfaction]],PerfRate[[#This Row],[JobSatisfaction]],PerfRate[[#This Row],[RelationshipSatisfaction]])</f>
        <v>3.6666666666666665</v>
      </c>
      <c r="R2731" s="2">
        <f>PerfRate[[#This Row],[ManagerRating]] - PerfRate[[#This Row],[SelfRating]]</f>
        <v>0</v>
      </c>
    </row>
    <row r="2732" spans="1:18">
      <c r="A2732" s="2" t="s">
        <v>7039</v>
      </c>
      <c r="B2732" s="2" t="s">
        <v>895</v>
      </c>
      <c r="C2732" s="1">
        <v>43627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  <c r="L2732" s="2" t="s">
        <v>11029</v>
      </c>
      <c r="M2732" s="2" t="s">
        <v>11028</v>
      </c>
      <c r="N2732" s="2" t="s">
        <v>11036</v>
      </c>
      <c r="O2732" s="2" t="s">
        <v>11037</v>
      </c>
      <c r="P2732" s="2" t="s">
        <v>11037</v>
      </c>
      <c r="Q2732" s="2">
        <f>AVERAGE(PerfRate[[#This Row],[EnvironmentSatisfaction]],PerfRate[[#This Row],[JobSatisfaction]],PerfRate[[#This Row],[RelationshipSatisfaction]])</f>
        <v>3.6666666666666665</v>
      </c>
      <c r="R2732" s="2">
        <f>PerfRate[[#This Row],[ManagerRating]] - PerfRate[[#This Row],[SelfRating]]</f>
        <v>-1</v>
      </c>
    </row>
    <row r="2733" spans="1:18">
      <c r="A2733" s="2" t="s">
        <v>7040</v>
      </c>
      <c r="B2733" s="2" t="s">
        <v>526</v>
      </c>
      <c r="C2733" s="1">
        <v>43627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  <c r="L2733" s="2" t="s">
        <v>11031</v>
      </c>
      <c r="M2733" s="2" t="s">
        <v>11031</v>
      </c>
      <c r="N2733" s="2" t="s">
        <v>11036</v>
      </c>
      <c r="O2733" s="2" t="s">
        <v>11038</v>
      </c>
      <c r="P2733" s="2" t="s">
        <v>11036</v>
      </c>
      <c r="Q2733" s="2">
        <f>AVERAGE(PerfRate[[#This Row],[EnvironmentSatisfaction]],PerfRate[[#This Row],[JobSatisfaction]],PerfRate[[#This Row],[RelationshipSatisfaction]])</f>
        <v>3.6666666666666665</v>
      </c>
      <c r="R2733" s="2">
        <f>PerfRate[[#This Row],[ManagerRating]] - PerfRate[[#This Row],[SelfRating]]</f>
        <v>0</v>
      </c>
    </row>
    <row r="2734" spans="1:18">
      <c r="A2734" s="2" t="s">
        <v>7041</v>
      </c>
      <c r="B2734" s="2" t="s">
        <v>1121</v>
      </c>
      <c r="C2734" s="1">
        <v>43627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  <c r="L2734" s="2" t="s">
        <v>11030</v>
      </c>
      <c r="M2734" s="2" t="s">
        <v>11030</v>
      </c>
      <c r="N2734" s="2" t="s">
        <v>11036</v>
      </c>
      <c r="O2734" s="2" t="s">
        <v>11036</v>
      </c>
      <c r="P2734" s="2" t="s">
        <v>11035</v>
      </c>
      <c r="Q2734" s="2">
        <f>AVERAGE(PerfRate[[#This Row],[EnvironmentSatisfaction]],PerfRate[[#This Row],[JobSatisfaction]],PerfRate[[#This Row],[RelationshipSatisfaction]])</f>
        <v>2.6666666666666665</v>
      </c>
      <c r="R2734" s="2">
        <f>PerfRate[[#This Row],[ManagerRating]] - PerfRate[[#This Row],[SelfRating]]</f>
        <v>0</v>
      </c>
    </row>
    <row r="2735" spans="1:18">
      <c r="A2735" s="2" t="s">
        <v>7042</v>
      </c>
      <c r="B2735" s="2" t="s">
        <v>3623</v>
      </c>
      <c r="C2735" s="1">
        <v>43627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  <c r="L2735" s="2" t="s">
        <v>11031</v>
      </c>
      <c r="M2735" s="2" t="s">
        <v>11030</v>
      </c>
      <c r="N2735" s="2" t="s">
        <v>11036</v>
      </c>
      <c r="O2735" s="2" t="s">
        <v>11037</v>
      </c>
      <c r="P2735" s="2" t="s">
        <v>11037</v>
      </c>
      <c r="Q2735" s="2">
        <f>AVERAGE(PerfRate[[#This Row],[EnvironmentSatisfaction]],PerfRate[[#This Row],[JobSatisfaction]],PerfRate[[#This Row],[RelationshipSatisfaction]])</f>
        <v>3.6666666666666665</v>
      </c>
      <c r="R2735" s="2">
        <f>PerfRate[[#This Row],[ManagerRating]] - PerfRate[[#This Row],[SelfRating]]</f>
        <v>-1</v>
      </c>
    </row>
    <row r="2736" spans="1:18">
      <c r="A2736" s="2" t="s">
        <v>7043</v>
      </c>
      <c r="B2736" s="2" t="s">
        <v>3442</v>
      </c>
      <c r="C2736" s="1">
        <v>43657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  <c r="L2736" s="2" t="s">
        <v>11031</v>
      </c>
      <c r="M2736" s="2" t="s">
        <v>11030</v>
      </c>
      <c r="N2736" s="2" t="s">
        <v>11036</v>
      </c>
      <c r="O2736" s="2" t="s">
        <v>11035</v>
      </c>
      <c r="P2736" s="2" t="s">
        <v>11037</v>
      </c>
      <c r="Q2736" s="2">
        <f>AVERAGE(PerfRate[[#This Row],[EnvironmentSatisfaction]],PerfRate[[#This Row],[JobSatisfaction]],PerfRate[[#This Row],[RelationshipSatisfaction]])</f>
        <v>3</v>
      </c>
      <c r="R2736" s="2">
        <f>PerfRate[[#This Row],[ManagerRating]] - PerfRate[[#This Row],[SelfRating]]</f>
        <v>-1</v>
      </c>
    </row>
    <row r="2737" spans="1:18">
      <c r="A2737" s="2" t="s">
        <v>7044</v>
      </c>
      <c r="B2737" s="2" t="s">
        <v>667</v>
      </c>
      <c r="C2737" s="1">
        <v>43657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  <c r="L2737" s="2" t="s">
        <v>11031</v>
      </c>
      <c r="M2737" s="2" t="s">
        <v>11031</v>
      </c>
      <c r="N2737" s="2" t="s">
        <v>11036</v>
      </c>
      <c r="O2737" s="2" t="s">
        <v>11037</v>
      </c>
      <c r="P2737" s="2" t="s">
        <v>11038</v>
      </c>
      <c r="Q2737" s="2">
        <f>AVERAGE(PerfRate[[#This Row],[EnvironmentSatisfaction]],PerfRate[[#This Row],[JobSatisfaction]],PerfRate[[#This Row],[RelationshipSatisfaction]])</f>
        <v>4</v>
      </c>
      <c r="R2737" s="2">
        <f>PerfRate[[#This Row],[ManagerRating]] - PerfRate[[#This Row],[SelfRating]]</f>
        <v>0</v>
      </c>
    </row>
    <row r="2738" spans="1:18">
      <c r="A2738" s="2" t="s">
        <v>7045</v>
      </c>
      <c r="B2738" s="2" t="s">
        <v>1689</v>
      </c>
      <c r="C2738" s="1">
        <v>43657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  <c r="L2738" s="2" t="s">
        <v>11030</v>
      </c>
      <c r="M2738" s="2" t="s">
        <v>11029</v>
      </c>
      <c r="N2738" s="2" t="s">
        <v>11036</v>
      </c>
      <c r="O2738" s="2" t="s">
        <v>11035</v>
      </c>
      <c r="P2738" s="2" t="s">
        <v>11037</v>
      </c>
      <c r="Q2738" s="2">
        <f>AVERAGE(PerfRate[[#This Row],[EnvironmentSatisfaction]],PerfRate[[#This Row],[JobSatisfaction]],PerfRate[[#This Row],[RelationshipSatisfaction]])</f>
        <v>3</v>
      </c>
      <c r="R2738" s="2">
        <f>PerfRate[[#This Row],[ManagerRating]] - PerfRate[[#This Row],[SelfRating]]</f>
        <v>-1</v>
      </c>
    </row>
    <row r="2739" spans="1:18">
      <c r="A2739" s="2" t="s">
        <v>7046</v>
      </c>
      <c r="B2739" s="2" t="s">
        <v>3631</v>
      </c>
      <c r="C2739" s="1">
        <v>43688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  <c r="L2739" s="2" t="s">
        <v>11029</v>
      </c>
      <c r="M2739" s="2" t="s">
        <v>11028</v>
      </c>
      <c r="N2739" s="2" t="s">
        <v>11037</v>
      </c>
      <c r="O2739" s="2" t="s">
        <v>11036</v>
      </c>
      <c r="P2739" s="2" t="s">
        <v>11036</v>
      </c>
      <c r="Q2739" s="2">
        <f>AVERAGE(PerfRate[[#This Row],[EnvironmentSatisfaction]],PerfRate[[#This Row],[JobSatisfaction]],PerfRate[[#This Row],[RelationshipSatisfaction]])</f>
        <v>3.3333333333333335</v>
      </c>
      <c r="R2739" s="2">
        <f>PerfRate[[#This Row],[ManagerRating]] - PerfRate[[#This Row],[SelfRating]]</f>
        <v>-1</v>
      </c>
    </row>
    <row r="2740" spans="1:18">
      <c r="A2740" s="2" t="s">
        <v>7047</v>
      </c>
      <c r="B2740" s="2" t="s">
        <v>1133</v>
      </c>
      <c r="C2740" s="1">
        <v>43688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  <c r="L2740" s="2" t="s">
        <v>11029</v>
      </c>
      <c r="M2740" s="2" t="s">
        <v>11028</v>
      </c>
      <c r="N2740" s="2" t="s">
        <v>11037</v>
      </c>
      <c r="O2740" s="2" t="s">
        <v>11036</v>
      </c>
      <c r="P2740" s="2" t="s">
        <v>11038</v>
      </c>
      <c r="Q2740" s="2">
        <f>AVERAGE(PerfRate[[#This Row],[EnvironmentSatisfaction]],PerfRate[[#This Row],[JobSatisfaction]],PerfRate[[#This Row],[RelationshipSatisfaction]])</f>
        <v>4</v>
      </c>
      <c r="R2740" s="2">
        <f>PerfRate[[#This Row],[ManagerRating]] - PerfRate[[#This Row],[SelfRating]]</f>
        <v>-1</v>
      </c>
    </row>
    <row r="2741" spans="1:18">
      <c r="A2741" s="2" t="s">
        <v>7048</v>
      </c>
      <c r="B2741" s="2" t="s">
        <v>1695</v>
      </c>
      <c r="C2741" s="1">
        <v>43688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  <c r="L2741" s="2" t="s">
        <v>11031</v>
      </c>
      <c r="M2741" s="2" t="s">
        <v>11031</v>
      </c>
      <c r="N2741" s="2" t="s">
        <v>11038</v>
      </c>
      <c r="O2741" s="2" t="s">
        <v>11038</v>
      </c>
      <c r="P2741" s="2" t="s">
        <v>11036</v>
      </c>
      <c r="Q2741" s="2">
        <f>AVERAGE(PerfRate[[#This Row],[EnvironmentSatisfaction]],PerfRate[[#This Row],[JobSatisfaction]],PerfRate[[#This Row],[RelationshipSatisfaction]])</f>
        <v>4.333333333333333</v>
      </c>
      <c r="R2741" s="2">
        <f>PerfRate[[#This Row],[ManagerRating]] - PerfRate[[#This Row],[SelfRating]]</f>
        <v>0</v>
      </c>
    </row>
    <row r="2742" spans="1:18">
      <c r="A2742" s="2" t="s">
        <v>7049</v>
      </c>
      <c r="B2742" s="2" t="s">
        <v>3365</v>
      </c>
      <c r="C2742" s="1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  <c r="L2742" s="2" t="s">
        <v>11030</v>
      </c>
      <c r="M2742" s="2" t="s">
        <v>11030</v>
      </c>
      <c r="N2742" s="2" t="s">
        <v>11036</v>
      </c>
      <c r="O2742" s="2" t="s">
        <v>11038</v>
      </c>
      <c r="P2742" s="2" t="s">
        <v>11037</v>
      </c>
      <c r="Q2742" s="2">
        <f>AVERAGE(PerfRate[[#This Row],[EnvironmentSatisfaction]],PerfRate[[#This Row],[JobSatisfaction]],PerfRate[[#This Row],[RelationshipSatisfaction]])</f>
        <v>4</v>
      </c>
      <c r="R2742" s="2">
        <f>PerfRate[[#This Row],[ManagerRating]] - PerfRate[[#This Row],[SelfRating]]</f>
        <v>0</v>
      </c>
    </row>
    <row r="2743" spans="1:18">
      <c r="A2743" s="2" t="s">
        <v>7050</v>
      </c>
      <c r="B2743" s="2" t="s">
        <v>144</v>
      </c>
      <c r="C2743" s="1">
        <v>43719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  <c r="L2743" s="2" t="s">
        <v>11031</v>
      </c>
      <c r="M2743" s="2" t="s">
        <v>11031</v>
      </c>
      <c r="N2743" s="2" t="s">
        <v>11037</v>
      </c>
      <c r="O2743" s="2" t="s">
        <v>11038</v>
      </c>
      <c r="P2743" s="2" t="s">
        <v>11035</v>
      </c>
      <c r="Q2743" s="2">
        <f>AVERAGE(PerfRate[[#This Row],[EnvironmentSatisfaction]],PerfRate[[#This Row],[JobSatisfaction]],PerfRate[[#This Row],[RelationshipSatisfaction]])</f>
        <v>3.6666666666666665</v>
      </c>
      <c r="R2743" s="2">
        <f>PerfRate[[#This Row],[ManagerRating]] - PerfRate[[#This Row],[SelfRating]]</f>
        <v>0</v>
      </c>
    </row>
    <row r="2744" spans="1:18">
      <c r="A2744" s="2" t="s">
        <v>7051</v>
      </c>
      <c r="B2744" s="2" t="s">
        <v>785</v>
      </c>
      <c r="C2744" s="1">
        <v>43719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  <c r="L2744" s="2" t="s">
        <v>11030</v>
      </c>
      <c r="M2744" s="2" t="s">
        <v>11030</v>
      </c>
      <c r="N2744" s="2" t="s">
        <v>11037</v>
      </c>
      <c r="O2744" s="2" t="s">
        <v>11038</v>
      </c>
      <c r="P2744" s="2" t="s">
        <v>11038</v>
      </c>
      <c r="Q2744" s="2">
        <f>AVERAGE(PerfRate[[#This Row],[EnvironmentSatisfaction]],PerfRate[[#This Row],[JobSatisfaction]],PerfRate[[#This Row],[RelationshipSatisfaction]])</f>
        <v>4.666666666666667</v>
      </c>
      <c r="R2744" s="2">
        <f>PerfRate[[#This Row],[ManagerRating]] - PerfRate[[#This Row],[SelfRating]]</f>
        <v>0</v>
      </c>
    </row>
    <row r="2745" spans="1:18">
      <c r="A2745" s="2" t="s">
        <v>7052</v>
      </c>
      <c r="B2745" s="2" t="s">
        <v>1114</v>
      </c>
      <c r="C2745" s="1">
        <v>43719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  <c r="L2745" s="2" t="s">
        <v>11031</v>
      </c>
      <c r="M2745" s="2" t="s">
        <v>11031</v>
      </c>
      <c r="N2745" s="2" t="s">
        <v>11037</v>
      </c>
      <c r="O2745" s="2" t="s">
        <v>11035</v>
      </c>
      <c r="P2745" s="2" t="s">
        <v>11036</v>
      </c>
      <c r="Q2745" s="2">
        <f>AVERAGE(PerfRate[[#This Row],[EnvironmentSatisfaction]],PerfRate[[#This Row],[JobSatisfaction]],PerfRate[[#This Row],[RelationshipSatisfaction]])</f>
        <v>3</v>
      </c>
      <c r="R2745" s="2">
        <f>PerfRate[[#This Row],[ManagerRating]] - PerfRate[[#This Row],[SelfRating]]</f>
        <v>0</v>
      </c>
    </row>
    <row r="2746" spans="1:18">
      <c r="A2746" s="2" t="s">
        <v>7053</v>
      </c>
      <c r="B2746" s="2" t="s">
        <v>172</v>
      </c>
      <c r="C2746" s="1">
        <v>43749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  <c r="L2746" s="2" t="s">
        <v>11030</v>
      </c>
      <c r="M2746" s="2" t="s">
        <v>11030</v>
      </c>
      <c r="N2746" s="2" t="s">
        <v>11036</v>
      </c>
      <c r="O2746" s="2" t="s">
        <v>11036</v>
      </c>
      <c r="P2746" s="2" t="s">
        <v>11035</v>
      </c>
      <c r="Q2746" s="2">
        <f>AVERAGE(PerfRate[[#This Row],[EnvironmentSatisfaction]],PerfRate[[#This Row],[JobSatisfaction]],PerfRate[[#This Row],[RelationshipSatisfaction]])</f>
        <v>2.6666666666666665</v>
      </c>
      <c r="R2746" s="2">
        <f>PerfRate[[#This Row],[ManagerRating]] - PerfRate[[#This Row],[SelfRating]]</f>
        <v>0</v>
      </c>
    </row>
    <row r="2747" spans="1:18">
      <c r="A2747" s="2" t="s">
        <v>7054</v>
      </c>
      <c r="B2747" s="2" t="s">
        <v>4227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  <c r="L2747" s="2" t="s">
        <v>11030</v>
      </c>
      <c r="M2747" s="2" t="s">
        <v>11030</v>
      </c>
      <c r="N2747" s="2" t="s">
        <v>11037</v>
      </c>
      <c r="O2747" s="2" t="s">
        <v>11037</v>
      </c>
      <c r="P2747" s="2" t="s">
        <v>11035</v>
      </c>
      <c r="Q2747" s="2">
        <f>AVERAGE(PerfRate[[#This Row],[EnvironmentSatisfaction]],PerfRate[[#This Row],[JobSatisfaction]],PerfRate[[#This Row],[RelationshipSatisfaction]])</f>
        <v>3.3333333333333335</v>
      </c>
      <c r="R2747" s="2">
        <f>PerfRate[[#This Row],[ManagerRating]] - PerfRate[[#This Row],[SelfRating]]</f>
        <v>0</v>
      </c>
    </row>
    <row r="2748" spans="1:18">
      <c r="A2748" s="2" t="s">
        <v>7055</v>
      </c>
      <c r="B2748" s="2" t="s">
        <v>3411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  <c r="L2748" s="2" t="s">
        <v>11031</v>
      </c>
      <c r="M2748" s="2" t="s">
        <v>11031</v>
      </c>
      <c r="N2748" s="2" t="s">
        <v>11038</v>
      </c>
      <c r="O2748" s="2" t="s">
        <v>11035</v>
      </c>
      <c r="P2748" s="2" t="s">
        <v>11037</v>
      </c>
      <c r="Q2748" s="2">
        <f>AVERAGE(PerfRate[[#This Row],[EnvironmentSatisfaction]],PerfRate[[#This Row],[JobSatisfaction]],PerfRate[[#This Row],[RelationshipSatisfaction]])</f>
        <v>3.6666666666666665</v>
      </c>
      <c r="R2748" s="2">
        <f>PerfRate[[#This Row],[ManagerRating]] - PerfRate[[#This Row],[SelfRating]]</f>
        <v>0</v>
      </c>
    </row>
    <row r="2749" spans="1:18">
      <c r="A2749" s="2" t="s">
        <v>7056</v>
      </c>
      <c r="B2749" s="2" t="s">
        <v>768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  <c r="L2749" s="2" t="s">
        <v>11029</v>
      </c>
      <c r="M2749" s="2" t="s">
        <v>11028</v>
      </c>
      <c r="N2749" s="2" t="s">
        <v>11037</v>
      </c>
      <c r="O2749" s="2" t="s">
        <v>11038</v>
      </c>
      <c r="P2749" s="2" t="s">
        <v>11038</v>
      </c>
      <c r="Q2749" s="2">
        <f>AVERAGE(PerfRate[[#This Row],[EnvironmentSatisfaction]],PerfRate[[#This Row],[JobSatisfaction]],PerfRate[[#This Row],[RelationshipSatisfaction]])</f>
        <v>4.666666666666667</v>
      </c>
      <c r="R2749" s="2">
        <f>PerfRate[[#This Row],[ManagerRating]] - PerfRate[[#This Row],[SelfRating]]</f>
        <v>-1</v>
      </c>
    </row>
    <row r="2750" spans="1:18">
      <c r="A2750" s="2" t="s">
        <v>7057</v>
      </c>
      <c r="B2750" s="2" t="s">
        <v>1051</v>
      </c>
      <c r="C2750" s="1">
        <v>43810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  <c r="L2750" s="2" t="s">
        <v>11029</v>
      </c>
      <c r="M2750" s="2" t="s">
        <v>11028</v>
      </c>
      <c r="N2750" s="2" t="s">
        <v>11037</v>
      </c>
      <c r="O2750" s="2" t="s">
        <v>11035</v>
      </c>
      <c r="P2750" s="2" t="s">
        <v>11035</v>
      </c>
      <c r="Q2750" s="2">
        <f>AVERAGE(PerfRate[[#This Row],[EnvironmentSatisfaction]],PerfRate[[#This Row],[JobSatisfaction]],PerfRate[[#This Row],[RelationshipSatisfaction]])</f>
        <v>2.6666666666666665</v>
      </c>
      <c r="R2750" s="2">
        <f>PerfRate[[#This Row],[ManagerRating]] - PerfRate[[#This Row],[SelfRating]]</f>
        <v>-1</v>
      </c>
    </row>
    <row r="2751" spans="1:18">
      <c r="A2751" s="2" t="s">
        <v>7058</v>
      </c>
      <c r="B2751" s="2" t="s">
        <v>1872</v>
      </c>
      <c r="C2751" s="1">
        <v>43810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  <c r="L2751" s="2" t="s">
        <v>11030</v>
      </c>
      <c r="M2751" s="2" t="s">
        <v>11030</v>
      </c>
      <c r="N2751" s="2" t="s">
        <v>11037</v>
      </c>
      <c r="O2751" s="2" t="s">
        <v>11038</v>
      </c>
      <c r="P2751" s="2" t="s">
        <v>11037</v>
      </c>
      <c r="Q2751" s="2">
        <f>AVERAGE(PerfRate[[#This Row],[EnvironmentSatisfaction]],PerfRate[[#This Row],[JobSatisfaction]],PerfRate[[#This Row],[RelationshipSatisfaction]])</f>
        <v>4.333333333333333</v>
      </c>
      <c r="R2751" s="2">
        <f>PerfRate[[#This Row],[ManagerRating]] - PerfRate[[#This Row],[SelfRating]]</f>
        <v>0</v>
      </c>
    </row>
    <row r="2752" spans="1:18">
      <c r="A2752" s="2" t="s">
        <v>7059</v>
      </c>
      <c r="B2752" s="2" t="s">
        <v>1168</v>
      </c>
      <c r="C2752" s="1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  <c r="L2752" s="2" t="s">
        <v>11031</v>
      </c>
      <c r="M2752" s="2" t="s">
        <v>11030</v>
      </c>
      <c r="N2752" s="2" t="s">
        <v>11038</v>
      </c>
      <c r="O2752" s="2" t="s">
        <v>11038</v>
      </c>
      <c r="P2752" s="2" t="s">
        <v>11038</v>
      </c>
      <c r="Q2752" s="2">
        <f>AVERAGE(PerfRate[[#This Row],[EnvironmentSatisfaction]],PerfRate[[#This Row],[JobSatisfaction]],PerfRate[[#This Row],[RelationshipSatisfaction]])</f>
        <v>5</v>
      </c>
      <c r="R2752" s="2">
        <f>PerfRate[[#This Row],[ManagerRating]] - PerfRate[[#This Row],[SelfRating]]</f>
        <v>-1</v>
      </c>
    </row>
    <row r="2753" spans="1:18">
      <c r="A2753" s="2" t="s">
        <v>7060</v>
      </c>
      <c r="B2753" s="2" t="s">
        <v>2464</v>
      </c>
      <c r="C2753" s="1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  <c r="L2753" s="2" t="s">
        <v>11031</v>
      </c>
      <c r="M2753" s="2" t="s">
        <v>11030</v>
      </c>
      <c r="N2753" s="2" t="s">
        <v>11036</v>
      </c>
      <c r="O2753" s="2" t="s">
        <v>11038</v>
      </c>
      <c r="P2753" s="2" t="s">
        <v>11035</v>
      </c>
      <c r="Q2753" s="2">
        <f>AVERAGE(PerfRate[[#This Row],[EnvironmentSatisfaction]],PerfRate[[#This Row],[JobSatisfaction]],PerfRate[[#This Row],[RelationshipSatisfaction]])</f>
        <v>3.3333333333333335</v>
      </c>
      <c r="R2753" s="2">
        <f>PerfRate[[#This Row],[ManagerRating]] - PerfRate[[#This Row],[SelfRating]]</f>
        <v>-1</v>
      </c>
    </row>
    <row r="2754" spans="1:18">
      <c r="A2754" s="2" t="s">
        <v>7061</v>
      </c>
      <c r="B2754" s="2" t="s">
        <v>485</v>
      </c>
      <c r="C2754" s="1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  <c r="L2754" s="2" t="s">
        <v>11029</v>
      </c>
      <c r="M2754" s="2" t="s">
        <v>11028</v>
      </c>
      <c r="N2754" s="2" t="s">
        <v>11038</v>
      </c>
      <c r="O2754" s="2" t="s">
        <v>11038</v>
      </c>
      <c r="P2754" s="2" t="s">
        <v>11035</v>
      </c>
      <c r="Q2754" s="2">
        <f>AVERAGE(PerfRate[[#This Row],[EnvironmentSatisfaction]],PerfRate[[#This Row],[JobSatisfaction]],PerfRate[[#This Row],[RelationshipSatisfaction]])</f>
        <v>4</v>
      </c>
      <c r="R2754" s="2">
        <f>PerfRate[[#This Row],[ManagerRating]] - PerfRate[[#This Row],[SelfRating]]</f>
        <v>-1</v>
      </c>
    </row>
    <row r="2755" spans="1:18">
      <c r="A2755" s="2" t="s">
        <v>7062</v>
      </c>
      <c r="B2755" s="2" t="s">
        <v>1015</v>
      </c>
      <c r="C2755" s="1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  <c r="L2755" s="2" t="s">
        <v>11030</v>
      </c>
      <c r="M2755" s="2" t="s">
        <v>11029</v>
      </c>
      <c r="N2755" s="2" t="s">
        <v>11038</v>
      </c>
      <c r="O2755" s="2" t="s">
        <v>11035</v>
      </c>
      <c r="P2755" s="2" t="s">
        <v>11035</v>
      </c>
      <c r="Q2755" s="2">
        <f>AVERAGE(PerfRate[[#This Row],[EnvironmentSatisfaction]],PerfRate[[#This Row],[JobSatisfaction]],PerfRate[[#This Row],[RelationshipSatisfaction]])</f>
        <v>3</v>
      </c>
      <c r="R2755" s="2">
        <f>PerfRate[[#This Row],[ManagerRating]] - PerfRate[[#This Row],[SelfRating]]</f>
        <v>-1</v>
      </c>
    </row>
    <row r="2756" spans="1:18">
      <c r="A2756" s="2" t="s">
        <v>7063</v>
      </c>
      <c r="B2756" s="2" t="s">
        <v>125</v>
      </c>
      <c r="C2756" s="1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  <c r="L2756" s="2" t="s">
        <v>11030</v>
      </c>
      <c r="M2756" s="2" t="s">
        <v>11030</v>
      </c>
      <c r="N2756" s="2" t="s">
        <v>11038</v>
      </c>
      <c r="O2756" s="2" t="s">
        <v>11036</v>
      </c>
      <c r="P2756" s="2" t="s">
        <v>11037</v>
      </c>
      <c r="Q2756" s="2">
        <f>AVERAGE(PerfRate[[#This Row],[EnvironmentSatisfaction]],PerfRate[[#This Row],[JobSatisfaction]],PerfRate[[#This Row],[RelationshipSatisfaction]])</f>
        <v>4</v>
      </c>
      <c r="R2756" s="2">
        <f>PerfRate[[#This Row],[ManagerRating]] - PerfRate[[#This Row],[SelfRating]]</f>
        <v>0</v>
      </c>
    </row>
    <row r="2757" spans="1:18">
      <c r="A2757" s="2" t="s">
        <v>7064</v>
      </c>
      <c r="B2757" s="2" t="s">
        <v>1266</v>
      </c>
      <c r="C2757" s="1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  <c r="L2757" s="2" t="s">
        <v>11030</v>
      </c>
      <c r="M2757" s="2" t="s">
        <v>11030</v>
      </c>
      <c r="N2757" s="2" t="s">
        <v>11037</v>
      </c>
      <c r="O2757" s="2" t="s">
        <v>11036</v>
      </c>
      <c r="P2757" s="2" t="s">
        <v>11035</v>
      </c>
      <c r="Q2757" s="2">
        <f>AVERAGE(PerfRate[[#This Row],[EnvironmentSatisfaction]],PerfRate[[#This Row],[JobSatisfaction]],PerfRate[[#This Row],[RelationshipSatisfaction]])</f>
        <v>3</v>
      </c>
      <c r="R2757" s="2">
        <f>PerfRate[[#This Row],[ManagerRating]] - PerfRate[[#This Row],[SelfRating]]</f>
        <v>0</v>
      </c>
    </row>
    <row r="2758" spans="1:18">
      <c r="A2758" s="2" t="s">
        <v>7065</v>
      </c>
      <c r="B2758" s="2" t="s">
        <v>1683</v>
      </c>
      <c r="C2758" s="1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  <c r="L2758" s="2" t="s">
        <v>11031</v>
      </c>
      <c r="M2758" s="2" t="s">
        <v>11031</v>
      </c>
      <c r="N2758" s="2" t="s">
        <v>11036</v>
      </c>
      <c r="O2758" s="2" t="s">
        <v>11035</v>
      </c>
      <c r="P2758" s="2" t="s">
        <v>11038</v>
      </c>
      <c r="Q2758" s="2">
        <f>AVERAGE(PerfRate[[#This Row],[EnvironmentSatisfaction]],PerfRate[[#This Row],[JobSatisfaction]],PerfRate[[#This Row],[RelationshipSatisfaction]])</f>
        <v>3.3333333333333335</v>
      </c>
      <c r="R2758" s="2">
        <f>PerfRate[[#This Row],[ManagerRating]] - PerfRate[[#This Row],[SelfRating]]</f>
        <v>0</v>
      </c>
    </row>
    <row r="2759" spans="1:18">
      <c r="A2759" s="2" t="s">
        <v>7066</v>
      </c>
      <c r="B2759" s="2" t="s">
        <v>422</v>
      </c>
      <c r="C2759" s="1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  <c r="L2759" s="2" t="s">
        <v>11031</v>
      </c>
      <c r="M2759" s="2" t="s">
        <v>11031</v>
      </c>
      <c r="N2759" s="2" t="s">
        <v>11036</v>
      </c>
      <c r="O2759" s="2" t="s">
        <v>11035</v>
      </c>
      <c r="P2759" s="2" t="s">
        <v>11038</v>
      </c>
      <c r="Q2759" s="2">
        <f>AVERAGE(PerfRate[[#This Row],[EnvironmentSatisfaction]],PerfRate[[#This Row],[JobSatisfaction]],PerfRate[[#This Row],[RelationshipSatisfaction]])</f>
        <v>3.3333333333333335</v>
      </c>
      <c r="R2759" s="2">
        <f>PerfRate[[#This Row],[ManagerRating]] - PerfRate[[#This Row],[SelfRating]]</f>
        <v>0</v>
      </c>
    </row>
    <row r="2760" spans="1:18">
      <c r="A2760" s="2" t="s">
        <v>7067</v>
      </c>
      <c r="B2760" s="2" t="s">
        <v>655</v>
      </c>
      <c r="C2760" s="1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  <c r="L2760" s="2" t="s">
        <v>11030</v>
      </c>
      <c r="M2760" s="2" t="s">
        <v>11030</v>
      </c>
      <c r="N2760" s="2" t="s">
        <v>11036</v>
      </c>
      <c r="O2760" s="2" t="s">
        <v>11037</v>
      </c>
      <c r="P2760" s="2" t="s">
        <v>11038</v>
      </c>
      <c r="Q2760" s="2">
        <f>AVERAGE(PerfRate[[#This Row],[EnvironmentSatisfaction]],PerfRate[[#This Row],[JobSatisfaction]],PerfRate[[#This Row],[RelationshipSatisfaction]])</f>
        <v>4</v>
      </c>
      <c r="R2760" s="2">
        <f>PerfRate[[#This Row],[ManagerRating]] - PerfRate[[#This Row],[SelfRating]]</f>
        <v>0</v>
      </c>
    </row>
    <row r="2761" spans="1:18">
      <c r="A2761" s="2" t="s">
        <v>7068</v>
      </c>
      <c r="B2761" s="2" t="s">
        <v>1174</v>
      </c>
      <c r="C2761" s="1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  <c r="L2761" s="2" t="s">
        <v>11031</v>
      </c>
      <c r="M2761" s="2" t="s">
        <v>11031</v>
      </c>
      <c r="N2761" s="2" t="s">
        <v>11037</v>
      </c>
      <c r="O2761" s="2" t="s">
        <v>11035</v>
      </c>
      <c r="P2761" s="2" t="s">
        <v>11036</v>
      </c>
      <c r="Q2761" s="2">
        <f>AVERAGE(PerfRate[[#This Row],[EnvironmentSatisfaction]],PerfRate[[#This Row],[JobSatisfaction]],PerfRate[[#This Row],[RelationshipSatisfaction]])</f>
        <v>3</v>
      </c>
      <c r="R2761" s="2">
        <f>PerfRate[[#This Row],[ManagerRating]] - PerfRate[[#This Row],[SelfRating]]</f>
        <v>0</v>
      </c>
    </row>
    <row r="2762" spans="1:18">
      <c r="A2762" s="2" t="s">
        <v>7069</v>
      </c>
      <c r="B2762" s="2" t="s">
        <v>967</v>
      </c>
      <c r="C2762" s="1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  <c r="L2762" s="2" t="s">
        <v>11029</v>
      </c>
      <c r="M2762" s="2" t="s">
        <v>11028</v>
      </c>
      <c r="N2762" s="2" t="s">
        <v>11038</v>
      </c>
      <c r="O2762" s="2" t="s">
        <v>11038</v>
      </c>
      <c r="P2762" s="2" t="s">
        <v>11038</v>
      </c>
      <c r="Q2762" s="2">
        <f>AVERAGE(PerfRate[[#This Row],[EnvironmentSatisfaction]],PerfRate[[#This Row],[JobSatisfaction]],PerfRate[[#This Row],[RelationshipSatisfaction]])</f>
        <v>5</v>
      </c>
      <c r="R2762" s="2">
        <f>PerfRate[[#This Row],[ManagerRating]] - PerfRate[[#This Row],[SelfRating]]</f>
        <v>-1</v>
      </c>
    </row>
    <row r="2763" spans="1:18">
      <c r="A2763" s="2" t="s">
        <v>7070</v>
      </c>
      <c r="B2763" s="2" t="s">
        <v>1503</v>
      </c>
      <c r="C2763" s="1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  <c r="L2763" s="2" t="s">
        <v>11031</v>
      </c>
      <c r="M2763" s="2" t="s">
        <v>11030</v>
      </c>
      <c r="N2763" s="2" t="s">
        <v>11037</v>
      </c>
      <c r="O2763" s="2" t="s">
        <v>11035</v>
      </c>
      <c r="P2763" s="2" t="s">
        <v>11038</v>
      </c>
      <c r="Q2763" s="2">
        <f>AVERAGE(PerfRate[[#This Row],[EnvironmentSatisfaction]],PerfRate[[#This Row],[JobSatisfaction]],PerfRate[[#This Row],[RelationshipSatisfaction]])</f>
        <v>3.6666666666666665</v>
      </c>
      <c r="R2763" s="2">
        <f>PerfRate[[#This Row],[ManagerRating]] - PerfRate[[#This Row],[SelfRating]]</f>
        <v>-1</v>
      </c>
    </row>
    <row r="2764" spans="1:18">
      <c r="A2764" s="2" t="s">
        <v>7071</v>
      </c>
      <c r="B2764" s="2" t="s">
        <v>3108</v>
      </c>
      <c r="C2764" s="1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  <c r="L2764" s="2" t="s">
        <v>11029</v>
      </c>
      <c r="M2764" s="2" t="s">
        <v>11028</v>
      </c>
      <c r="N2764" s="2" t="s">
        <v>11038</v>
      </c>
      <c r="O2764" s="2" t="s">
        <v>11038</v>
      </c>
      <c r="P2764" s="2" t="s">
        <v>11037</v>
      </c>
      <c r="Q2764" s="2">
        <f>AVERAGE(PerfRate[[#This Row],[EnvironmentSatisfaction]],PerfRate[[#This Row],[JobSatisfaction]],PerfRate[[#This Row],[RelationshipSatisfaction]])</f>
        <v>4.666666666666667</v>
      </c>
      <c r="R2764" s="2">
        <f>PerfRate[[#This Row],[ManagerRating]] - PerfRate[[#This Row],[SelfRating]]</f>
        <v>-1</v>
      </c>
    </row>
    <row r="2765" spans="1:18">
      <c r="A2765" s="2" t="s">
        <v>7072</v>
      </c>
      <c r="B2765" s="2" t="s">
        <v>371</v>
      </c>
      <c r="C2765" s="1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  <c r="L2765" s="2" t="s">
        <v>11029</v>
      </c>
      <c r="M2765" s="2" t="s">
        <v>11028</v>
      </c>
      <c r="N2765" s="2" t="s">
        <v>11036</v>
      </c>
      <c r="O2765" s="2" t="s">
        <v>11038</v>
      </c>
      <c r="P2765" s="2" t="s">
        <v>11035</v>
      </c>
      <c r="Q2765" s="2">
        <f>AVERAGE(PerfRate[[#This Row],[EnvironmentSatisfaction]],PerfRate[[#This Row],[JobSatisfaction]],PerfRate[[#This Row],[RelationshipSatisfaction]])</f>
        <v>3.3333333333333335</v>
      </c>
      <c r="R2765" s="2">
        <f>PerfRate[[#This Row],[ManagerRating]] - PerfRate[[#This Row],[SelfRating]]</f>
        <v>-1</v>
      </c>
    </row>
    <row r="2766" spans="1:18">
      <c r="A2766" s="2" t="s">
        <v>7073</v>
      </c>
      <c r="B2766" s="2" t="s">
        <v>2094</v>
      </c>
      <c r="C2766" s="1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  <c r="L2766" s="2" t="s">
        <v>11029</v>
      </c>
      <c r="M2766" s="2" t="s">
        <v>11029</v>
      </c>
      <c r="N2766" s="2" t="s">
        <v>11037</v>
      </c>
      <c r="O2766" s="2" t="s">
        <v>11035</v>
      </c>
      <c r="P2766" s="2" t="s">
        <v>11035</v>
      </c>
      <c r="Q2766" s="2">
        <f>AVERAGE(PerfRate[[#This Row],[EnvironmentSatisfaction]],PerfRate[[#This Row],[JobSatisfaction]],PerfRate[[#This Row],[RelationshipSatisfaction]])</f>
        <v>2.6666666666666665</v>
      </c>
      <c r="R2766" s="2">
        <f>PerfRate[[#This Row],[ManagerRating]] - PerfRate[[#This Row],[SelfRating]]</f>
        <v>0</v>
      </c>
    </row>
    <row r="2767" spans="1:18">
      <c r="A2767" s="2" t="s">
        <v>7074</v>
      </c>
      <c r="B2767" s="2" t="s">
        <v>2011</v>
      </c>
      <c r="C2767" s="1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  <c r="L2767" s="2" t="s">
        <v>11031</v>
      </c>
      <c r="M2767" s="2" t="s">
        <v>11030</v>
      </c>
      <c r="N2767" s="2" t="s">
        <v>11036</v>
      </c>
      <c r="O2767" s="2" t="s">
        <v>11038</v>
      </c>
      <c r="P2767" s="2" t="s">
        <v>11035</v>
      </c>
      <c r="Q2767" s="2">
        <f>AVERAGE(PerfRate[[#This Row],[EnvironmentSatisfaction]],PerfRate[[#This Row],[JobSatisfaction]],PerfRate[[#This Row],[RelationshipSatisfaction]])</f>
        <v>3.3333333333333335</v>
      </c>
      <c r="R2767" s="2">
        <f>PerfRate[[#This Row],[ManagerRating]] - PerfRate[[#This Row],[SelfRating]]</f>
        <v>-1</v>
      </c>
    </row>
    <row r="2768" spans="1:18">
      <c r="A2768" s="2" t="s">
        <v>7075</v>
      </c>
      <c r="B2768" s="2" t="s">
        <v>157</v>
      </c>
      <c r="C2768" s="1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  <c r="L2768" s="2" t="s">
        <v>11030</v>
      </c>
      <c r="M2768" s="2" t="s">
        <v>11030</v>
      </c>
      <c r="N2768" s="2" t="s">
        <v>11038</v>
      </c>
      <c r="O2768" s="2" t="s">
        <v>11035</v>
      </c>
      <c r="P2768" s="2" t="s">
        <v>11038</v>
      </c>
      <c r="Q2768" s="2">
        <f>AVERAGE(PerfRate[[#This Row],[EnvironmentSatisfaction]],PerfRate[[#This Row],[JobSatisfaction]],PerfRate[[#This Row],[RelationshipSatisfaction]])</f>
        <v>4</v>
      </c>
      <c r="R2768" s="2">
        <f>PerfRate[[#This Row],[ManagerRating]] - PerfRate[[#This Row],[SelfRating]]</f>
        <v>0</v>
      </c>
    </row>
    <row r="2769" spans="1:18">
      <c r="A2769" s="2" t="s">
        <v>7076</v>
      </c>
      <c r="B2769" s="2" t="s">
        <v>1644</v>
      </c>
      <c r="C2769" s="1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  <c r="L2769" s="2" t="s">
        <v>11029</v>
      </c>
      <c r="M2769" s="2" t="s">
        <v>11029</v>
      </c>
      <c r="N2769" s="2" t="s">
        <v>11036</v>
      </c>
      <c r="O2769" s="2" t="s">
        <v>11037</v>
      </c>
      <c r="P2769" s="2" t="s">
        <v>11038</v>
      </c>
      <c r="Q2769" s="2">
        <f>AVERAGE(PerfRate[[#This Row],[EnvironmentSatisfaction]],PerfRate[[#This Row],[JobSatisfaction]],PerfRate[[#This Row],[RelationshipSatisfaction]])</f>
        <v>4</v>
      </c>
      <c r="R2769" s="2">
        <f>PerfRate[[#This Row],[ManagerRating]] - PerfRate[[#This Row],[SelfRating]]</f>
        <v>0</v>
      </c>
    </row>
    <row r="2770" spans="1:18">
      <c r="A2770" s="2" t="s">
        <v>7077</v>
      </c>
      <c r="B2770" s="2" t="s">
        <v>1979</v>
      </c>
      <c r="C2770" s="1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  <c r="L2770" s="2" t="s">
        <v>11031</v>
      </c>
      <c r="M2770" s="2" t="s">
        <v>11031</v>
      </c>
      <c r="N2770" s="2" t="s">
        <v>11037</v>
      </c>
      <c r="O2770" s="2" t="s">
        <v>11036</v>
      </c>
      <c r="P2770" s="2" t="s">
        <v>11035</v>
      </c>
      <c r="Q2770" s="2">
        <f>AVERAGE(PerfRate[[#This Row],[EnvironmentSatisfaction]],PerfRate[[#This Row],[JobSatisfaction]],PerfRate[[#This Row],[RelationshipSatisfaction]])</f>
        <v>3</v>
      </c>
      <c r="R2770" s="2">
        <f>PerfRate[[#This Row],[ManagerRating]] - PerfRate[[#This Row],[SelfRating]]</f>
        <v>0</v>
      </c>
    </row>
    <row r="2771" spans="1:18">
      <c r="A2771" s="2" t="s">
        <v>7078</v>
      </c>
      <c r="B2771" s="2" t="s">
        <v>62</v>
      </c>
      <c r="C2771" s="1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  <c r="L2771" s="2" t="s">
        <v>11029</v>
      </c>
      <c r="M2771" s="2" t="s">
        <v>11029</v>
      </c>
      <c r="N2771" s="2" t="s">
        <v>11037</v>
      </c>
      <c r="O2771" s="2" t="s">
        <v>11037</v>
      </c>
      <c r="P2771" s="2" t="s">
        <v>11037</v>
      </c>
      <c r="Q2771" s="2">
        <f>AVERAGE(PerfRate[[#This Row],[EnvironmentSatisfaction]],PerfRate[[#This Row],[JobSatisfaction]],PerfRate[[#This Row],[RelationshipSatisfaction]])</f>
        <v>4</v>
      </c>
      <c r="R2771" s="2">
        <f>PerfRate[[#This Row],[ManagerRating]] - PerfRate[[#This Row],[SelfRating]]</f>
        <v>0</v>
      </c>
    </row>
    <row r="2772" spans="1:18">
      <c r="A2772" s="2" t="s">
        <v>7079</v>
      </c>
      <c r="B2772" s="2" t="s">
        <v>1785</v>
      </c>
      <c r="C2772" s="1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  <c r="L2772" s="2" t="s">
        <v>11029</v>
      </c>
      <c r="M2772" s="2" t="s">
        <v>11028</v>
      </c>
      <c r="N2772" s="2" t="s">
        <v>11037</v>
      </c>
      <c r="O2772" s="2" t="s">
        <v>11037</v>
      </c>
      <c r="P2772" s="2" t="s">
        <v>11038</v>
      </c>
      <c r="Q2772" s="2">
        <f>AVERAGE(PerfRate[[#This Row],[EnvironmentSatisfaction]],PerfRate[[#This Row],[JobSatisfaction]],PerfRate[[#This Row],[RelationshipSatisfaction]])</f>
        <v>4.333333333333333</v>
      </c>
      <c r="R2772" s="2">
        <f>PerfRate[[#This Row],[ManagerRating]] - PerfRate[[#This Row],[SelfRating]]</f>
        <v>-1</v>
      </c>
    </row>
    <row r="2773" spans="1:18">
      <c r="A2773" s="2" t="s">
        <v>7080</v>
      </c>
      <c r="B2773" s="2" t="s">
        <v>163</v>
      </c>
      <c r="C2773" s="1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  <c r="L2773" s="2" t="s">
        <v>11030</v>
      </c>
      <c r="M2773" s="2" t="s">
        <v>11029</v>
      </c>
      <c r="N2773" s="2" t="s">
        <v>11038</v>
      </c>
      <c r="O2773" s="2" t="s">
        <v>11038</v>
      </c>
      <c r="P2773" s="2" t="s">
        <v>11037</v>
      </c>
      <c r="Q2773" s="2">
        <f>AVERAGE(PerfRate[[#This Row],[EnvironmentSatisfaction]],PerfRate[[#This Row],[JobSatisfaction]],PerfRate[[#This Row],[RelationshipSatisfaction]])</f>
        <v>4.666666666666667</v>
      </c>
      <c r="R2773" s="2">
        <f>PerfRate[[#This Row],[ManagerRating]] - PerfRate[[#This Row],[SelfRating]]</f>
        <v>-1</v>
      </c>
    </row>
    <row r="2774" spans="1:18">
      <c r="A2774" s="2" t="s">
        <v>7081</v>
      </c>
      <c r="B2774" s="2" t="s">
        <v>1157</v>
      </c>
      <c r="C2774" s="1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  <c r="L2774" s="2" t="s">
        <v>11030</v>
      </c>
      <c r="M2774" s="2" t="s">
        <v>11029</v>
      </c>
      <c r="N2774" s="2" t="s">
        <v>11037</v>
      </c>
      <c r="O2774" s="2" t="s">
        <v>11036</v>
      </c>
      <c r="P2774" s="2" t="s">
        <v>11037</v>
      </c>
      <c r="Q2774" s="2">
        <f>AVERAGE(PerfRate[[#This Row],[EnvironmentSatisfaction]],PerfRate[[#This Row],[JobSatisfaction]],PerfRate[[#This Row],[RelationshipSatisfaction]])</f>
        <v>3.6666666666666665</v>
      </c>
      <c r="R2774" s="2">
        <f>PerfRate[[#This Row],[ManagerRating]] - PerfRate[[#This Row],[SelfRating]]</f>
        <v>-1</v>
      </c>
    </row>
    <row r="2775" spans="1:18">
      <c r="A2775" s="2" t="s">
        <v>7082</v>
      </c>
      <c r="B2775" s="2" t="s">
        <v>982</v>
      </c>
      <c r="C2775" s="1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  <c r="L2775" s="2" t="s">
        <v>11031</v>
      </c>
      <c r="M2775" s="2" t="s">
        <v>11031</v>
      </c>
      <c r="N2775" s="2" t="s">
        <v>11037</v>
      </c>
      <c r="O2775" s="2" t="s">
        <v>11035</v>
      </c>
      <c r="P2775" s="2" t="s">
        <v>11038</v>
      </c>
      <c r="Q2775" s="2">
        <f>AVERAGE(PerfRate[[#This Row],[EnvironmentSatisfaction]],PerfRate[[#This Row],[JobSatisfaction]],PerfRate[[#This Row],[RelationshipSatisfaction]])</f>
        <v>3.6666666666666665</v>
      </c>
      <c r="R2775" s="2">
        <f>PerfRate[[#This Row],[ManagerRating]] - PerfRate[[#This Row],[SelfRating]]</f>
        <v>0</v>
      </c>
    </row>
    <row r="2776" spans="1:18">
      <c r="A2776" s="2" t="s">
        <v>7083</v>
      </c>
      <c r="B2776" s="2" t="s">
        <v>1380</v>
      </c>
      <c r="C2776" s="1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  <c r="L2776" s="2" t="s">
        <v>11031</v>
      </c>
      <c r="M2776" s="2" t="s">
        <v>11031</v>
      </c>
      <c r="N2776" s="2" t="s">
        <v>11037</v>
      </c>
      <c r="O2776" s="2" t="s">
        <v>11035</v>
      </c>
      <c r="P2776" s="2" t="s">
        <v>11038</v>
      </c>
      <c r="Q2776" s="2">
        <f>AVERAGE(PerfRate[[#This Row],[EnvironmentSatisfaction]],PerfRate[[#This Row],[JobSatisfaction]],PerfRate[[#This Row],[RelationshipSatisfaction]])</f>
        <v>3.6666666666666665</v>
      </c>
      <c r="R2776" s="2">
        <f>PerfRate[[#This Row],[ManagerRating]] - PerfRate[[#This Row],[SelfRating]]</f>
        <v>0</v>
      </c>
    </row>
    <row r="2777" spans="1:18">
      <c r="A2777" s="2" t="s">
        <v>7084</v>
      </c>
      <c r="B2777" s="2" t="s">
        <v>2622</v>
      </c>
      <c r="C2777" s="1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  <c r="L2777" s="2" t="s">
        <v>11030</v>
      </c>
      <c r="M2777" s="2" t="s">
        <v>11030</v>
      </c>
      <c r="N2777" s="2" t="s">
        <v>11038</v>
      </c>
      <c r="O2777" s="2" t="s">
        <v>11035</v>
      </c>
      <c r="P2777" s="2" t="s">
        <v>11038</v>
      </c>
      <c r="Q2777" s="2">
        <f>AVERAGE(PerfRate[[#This Row],[EnvironmentSatisfaction]],PerfRate[[#This Row],[JobSatisfaction]],PerfRate[[#This Row],[RelationshipSatisfaction]])</f>
        <v>4</v>
      </c>
      <c r="R2777" s="2">
        <f>PerfRate[[#This Row],[ManagerRating]] - PerfRate[[#This Row],[SelfRating]]</f>
        <v>0</v>
      </c>
    </row>
    <row r="2778" spans="1:18">
      <c r="A2778" s="2" t="s">
        <v>7085</v>
      </c>
      <c r="B2778" s="2" t="s">
        <v>4177</v>
      </c>
      <c r="C2778" s="1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  <c r="L2778" s="2" t="s">
        <v>11031</v>
      </c>
      <c r="M2778" s="2" t="s">
        <v>11030</v>
      </c>
      <c r="N2778" s="2" t="s">
        <v>11037</v>
      </c>
      <c r="O2778" s="2" t="s">
        <v>11036</v>
      </c>
      <c r="P2778" s="2" t="s">
        <v>11038</v>
      </c>
      <c r="Q2778" s="2">
        <f>AVERAGE(PerfRate[[#This Row],[EnvironmentSatisfaction]],PerfRate[[#This Row],[JobSatisfaction]],PerfRate[[#This Row],[RelationshipSatisfaction]])</f>
        <v>4</v>
      </c>
      <c r="R2778" s="2">
        <f>PerfRate[[#This Row],[ManagerRating]] - PerfRate[[#This Row],[SelfRating]]</f>
        <v>-1</v>
      </c>
    </row>
    <row r="2779" spans="1:18">
      <c r="A2779" s="2" t="s">
        <v>7086</v>
      </c>
      <c r="B2779" s="2" t="s">
        <v>646</v>
      </c>
      <c r="C2779" s="1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  <c r="L2779" s="2" t="s">
        <v>11029</v>
      </c>
      <c r="M2779" s="2" t="s">
        <v>11028</v>
      </c>
      <c r="N2779" s="2" t="s">
        <v>11037</v>
      </c>
      <c r="O2779" s="2" t="s">
        <v>11035</v>
      </c>
      <c r="P2779" s="2" t="s">
        <v>11038</v>
      </c>
      <c r="Q2779" s="2">
        <f>AVERAGE(PerfRate[[#This Row],[EnvironmentSatisfaction]],PerfRate[[#This Row],[JobSatisfaction]],PerfRate[[#This Row],[RelationshipSatisfaction]])</f>
        <v>3.6666666666666665</v>
      </c>
      <c r="R2779" s="2">
        <f>PerfRate[[#This Row],[ManagerRating]] - PerfRate[[#This Row],[SelfRating]]</f>
        <v>-1</v>
      </c>
    </row>
    <row r="2780" spans="1:18">
      <c r="A2780" s="2" t="s">
        <v>7087</v>
      </c>
      <c r="B2780" s="2" t="s">
        <v>1847</v>
      </c>
      <c r="C2780" s="1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  <c r="L2780" s="2" t="s">
        <v>11031</v>
      </c>
      <c r="M2780" s="2" t="s">
        <v>11030</v>
      </c>
      <c r="N2780" s="2" t="s">
        <v>11038</v>
      </c>
      <c r="O2780" s="2" t="s">
        <v>11038</v>
      </c>
      <c r="P2780" s="2" t="s">
        <v>11035</v>
      </c>
      <c r="Q2780" s="2">
        <f>AVERAGE(PerfRate[[#This Row],[EnvironmentSatisfaction]],PerfRate[[#This Row],[JobSatisfaction]],PerfRate[[#This Row],[RelationshipSatisfaction]])</f>
        <v>4</v>
      </c>
      <c r="R2780" s="2">
        <f>PerfRate[[#This Row],[ManagerRating]] - PerfRate[[#This Row],[SelfRating]]</f>
        <v>-1</v>
      </c>
    </row>
    <row r="2781" spans="1:18">
      <c r="A2781" s="2" t="s">
        <v>7088</v>
      </c>
      <c r="B2781" s="2" t="s">
        <v>398</v>
      </c>
      <c r="C2781" s="1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  <c r="L2781" s="2" t="s">
        <v>11031</v>
      </c>
      <c r="M2781" s="2" t="s">
        <v>11031</v>
      </c>
      <c r="N2781" s="2" t="s">
        <v>11036</v>
      </c>
      <c r="O2781" s="2" t="s">
        <v>11036</v>
      </c>
      <c r="P2781" s="2" t="s">
        <v>11038</v>
      </c>
      <c r="Q2781" s="2">
        <f>AVERAGE(PerfRate[[#This Row],[EnvironmentSatisfaction]],PerfRate[[#This Row],[JobSatisfaction]],PerfRate[[#This Row],[RelationshipSatisfaction]])</f>
        <v>3.6666666666666665</v>
      </c>
      <c r="R2781" s="2">
        <f>PerfRate[[#This Row],[ManagerRating]] - PerfRate[[#This Row],[SelfRating]]</f>
        <v>0</v>
      </c>
    </row>
    <row r="2782" spans="1:18">
      <c r="A2782" s="2" t="s">
        <v>7089</v>
      </c>
      <c r="B2782" s="2" t="s">
        <v>290</v>
      </c>
      <c r="C2782" s="1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  <c r="L2782" s="2" t="s">
        <v>11030</v>
      </c>
      <c r="M2782" s="2" t="s">
        <v>11029</v>
      </c>
      <c r="N2782" s="2" t="s">
        <v>11038</v>
      </c>
      <c r="O2782" s="2" t="s">
        <v>11038</v>
      </c>
      <c r="P2782" s="2" t="s">
        <v>11035</v>
      </c>
      <c r="Q2782" s="2">
        <f>AVERAGE(PerfRate[[#This Row],[EnvironmentSatisfaction]],PerfRate[[#This Row],[JobSatisfaction]],PerfRate[[#This Row],[RelationshipSatisfaction]])</f>
        <v>4</v>
      </c>
      <c r="R2782" s="2">
        <f>PerfRate[[#This Row],[ManagerRating]] - PerfRate[[#This Row],[SelfRating]]</f>
        <v>-1</v>
      </c>
    </row>
    <row r="2783" spans="1:18">
      <c r="A2783" s="2" t="s">
        <v>7090</v>
      </c>
      <c r="B2783" s="2" t="s">
        <v>275</v>
      </c>
      <c r="C2783" s="1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  <c r="L2783" s="2" t="s">
        <v>11031</v>
      </c>
      <c r="M2783" s="2" t="s">
        <v>11031</v>
      </c>
      <c r="N2783" s="2" t="s">
        <v>11037</v>
      </c>
      <c r="O2783" s="2" t="s">
        <v>11036</v>
      </c>
      <c r="P2783" s="2" t="s">
        <v>11038</v>
      </c>
      <c r="Q2783" s="2">
        <f>AVERAGE(PerfRate[[#This Row],[EnvironmentSatisfaction]],PerfRate[[#This Row],[JobSatisfaction]],PerfRate[[#This Row],[RelationshipSatisfaction]])</f>
        <v>4</v>
      </c>
      <c r="R2783" s="2">
        <f>PerfRate[[#This Row],[ManagerRating]] - PerfRate[[#This Row],[SelfRating]]</f>
        <v>0</v>
      </c>
    </row>
    <row r="2784" spans="1:18">
      <c r="A2784" s="2" t="s">
        <v>7091</v>
      </c>
      <c r="B2784" s="2" t="s">
        <v>598</v>
      </c>
      <c r="C2784" s="1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  <c r="L2784" s="2" t="s">
        <v>11031</v>
      </c>
      <c r="M2784" s="2" t="s">
        <v>11031</v>
      </c>
      <c r="N2784" s="2" t="s">
        <v>11036</v>
      </c>
      <c r="O2784" s="2" t="s">
        <v>11036</v>
      </c>
      <c r="P2784" s="2" t="s">
        <v>11037</v>
      </c>
      <c r="Q2784" s="2">
        <f>AVERAGE(PerfRate[[#This Row],[EnvironmentSatisfaction]],PerfRate[[#This Row],[JobSatisfaction]],PerfRate[[#This Row],[RelationshipSatisfaction]])</f>
        <v>3.3333333333333335</v>
      </c>
      <c r="R2784" s="2">
        <f>PerfRate[[#This Row],[ManagerRating]] - PerfRate[[#This Row],[SelfRating]]</f>
        <v>0</v>
      </c>
    </row>
    <row r="2785" spans="1:18">
      <c r="A2785" s="2" t="s">
        <v>7092</v>
      </c>
      <c r="B2785" s="2" t="s">
        <v>2036</v>
      </c>
      <c r="C2785" s="1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  <c r="L2785" s="2" t="s">
        <v>11031</v>
      </c>
      <c r="M2785" s="2" t="s">
        <v>11031</v>
      </c>
      <c r="N2785" s="2" t="s">
        <v>11037</v>
      </c>
      <c r="O2785" s="2" t="s">
        <v>11037</v>
      </c>
      <c r="P2785" s="2" t="s">
        <v>11036</v>
      </c>
      <c r="Q2785" s="2">
        <f>AVERAGE(PerfRate[[#This Row],[EnvironmentSatisfaction]],PerfRate[[#This Row],[JobSatisfaction]],PerfRate[[#This Row],[RelationshipSatisfaction]])</f>
        <v>3.6666666666666665</v>
      </c>
      <c r="R2785" s="2">
        <f>PerfRate[[#This Row],[ManagerRating]] - PerfRate[[#This Row],[SelfRating]]</f>
        <v>0</v>
      </c>
    </row>
    <row r="2786" spans="1:18">
      <c r="A2786" s="2" t="s">
        <v>7093</v>
      </c>
      <c r="B2786" s="2" t="s">
        <v>1198</v>
      </c>
      <c r="C2786" s="1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  <c r="L2786" s="2" t="s">
        <v>11029</v>
      </c>
      <c r="M2786" s="2" t="s">
        <v>11029</v>
      </c>
      <c r="N2786" s="2" t="s">
        <v>11037</v>
      </c>
      <c r="O2786" s="2" t="s">
        <v>11038</v>
      </c>
      <c r="P2786" s="2" t="s">
        <v>11038</v>
      </c>
      <c r="Q2786" s="2">
        <f>AVERAGE(PerfRate[[#This Row],[EnvironmentSatisfaction]],PerfRate[[#This Row],[JobSatisfaction]],PerfRate[[#This Row],[RelationshipSatisfaction]])</f>
        <v>4.666666666666667</v>
      </c>
      <c r="R2786" s="2">
        <f>PerfRate[[#This Row],[ManagerRating]] - PerfRate[[#This Row],[SelfRating]]</f>
        <v>0</v>
      </c>
    </row>
    <row r="2787" spans="1:18">
      <c r="A2787" s="2" t="s">
        <v>7094</v>
      </c>
      <c r="B2787" s="2" t="s">
        <v>3926</v>
      </c>
      <c r="C2787" s="1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  <c r="L2787" s="2" t="s">
        <v>11030</v>
      </c>
      <c r="M2787" s="2" t="s">
        <v>11030</v>
      </c>
      <c r="N2787" s="2" t="s">
        <v>11038</v>
      </c>
      <c r="O2787" s="2" t="s">
        <v>11038</v>
      </c>
      <c r="P2787" s="2" t="s">
        <v>11035</v>
      </c>
      <c r="Q2787" s="2">
        <f>AVERAGE(PerfRate[[#This Row],[EnvironmentSatisfaction]],PerfRate[[#This Row],[JobSatisfaction]],PerfRate[[#This Row],[RelationshipSatisfaction]])</f>
        <v>4</v>
      </c>
      <c r="R2787" s="2">
        <f>PerfRate[[#This Row],[ManagerRating]] - PerfRate[[#This Row],[SelfRating]]</f>
        <v>0</v>
      </c>
    </row>
    <row r="2788" spans="1:18">
      <c r="A2788" s="2" t="s">
        <v>7095</v>
      </c>
      <c r="B2788" s="2" t="s">
        <v>869</v>
      </c>
      <c r="C2788" s="1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  <c r="L2788" s="2" t="s">
        <v>11029</v>
      </c>
      <c r="M2788" s="2" t="s">
        <v>11029</v>
      </c>
      <c r="N2788" s="2" t="s">
        <v>11036</v>
      </c>
      <c r="O2788" s="2" t="s">
        <v>11036</v>
      </c>
      <c r="P2788" s="2" t="s">
        <v>11035</v>
      </c>
      <c r="Q2788" s="2">
        <f>AVERAGE(PerfRate[[#This Row],[EnvironmentSatisfaction]],PerfRate[[#This Row],[JobSatisfaction]],PerfRate[[#This Row],[RelationshipSatisfaction]])</f>
        <v>2.6666666666666665</v>
      </c>
      <c r="R2788" s="2">
        <f>PerfRate[[#This Row],[ManagerRating]] - PerfRate[[#This Row],[SelfRating]]</f>
        <v>0</v>
      </c>
    </row>
    <row r="2789" spans="1:18">
      <c r="A2789" s="2" t="s">
        <v>7096</v>
      </c>
      <c r="B2789" s="2" t="s">
        <v>1240</v>
      </c>
      <c r="C2789" s="1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  <c r="L2789" s="2" t="s">
        <v>11030</v>
      </c>
      <c r="M2789" s="2" t="s">
        <v>11029</v>
      </c>
      <c r="N2789" s="2" t="s">
        <v>11037</v>
      </c>
      <c r="O2789" s="2" t="s">
        <v>11038</v>
      </c>
      <c r="P2789" s="2" t="s">
        <v>11038</v>
      </c>
      <c r="Q2789" s="2">
        <f>AVERAGE(PerfRate[[#This Row],[EnvironmentSatisfaction]],PerfRate[[#This Row],[JobSatisfaction]],PerfRate[[#This Row],[RelationshipSatisfaction]])</f>
        <v>4.666666666666667</v>
      </c>
      <c r="R2789" s="2">
        <f>PerfRate[[#This Row],[ManagerRating]] - PerfRate[[#This Row],[SelfRating]]</f>
        <v>-1</v>
      </c>
    </row>
    <row r="2790" spans="1:18">
      <c r="A2790" s="2" t="s">
        <v>7097</v>
      </c>
      <c r="B2790" s="2" t="s">
        <v>1350</v>
      </c>
      <c r="C2790" s="1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  <c r="L2790" s="2" t="s">
        <v>11030</v>
      </c>
      <c r="M2790" s="2" t="s">
        <v>11030</v>
      </c>
      <c r="N2790" s="2" t="s">
        <v>11036</v>
      </c>
      <c r="O2790" s="2" t="s">
        <v>11035</v>
      </c>
      <c r="P2790" s="2" t="s">
        <v>11038</v>
      </c>
      <c r="Q2790" s="2">
        <f>AVERAGE(PerfRate[[#This Row],[EnvironmentSatisfaction]],PerfRate[[#This Row],[JobSatisfaction]],PerfRate[[#This Row],[RelationshipSatisfaction]])</f>
        <v>3.3333333333333335</v>
      </c>
      <c r="R2790" s="2">
        <f>PerfRate[[#This Row],[ManagerRating]] - PerfRate[[#This Row],[SelfRating]]</f>
        <v>0</v>
      </c>
    </row>
    <row r="2791" spans="1:18">
      <c r="A2791" s="2" t="s">
        <v>7098</v>
      </c>
      <c r="B2791" s="2" t="s">
        <v>386</v>
      </c>
      <c r="C2791" s="1">
        <v>43477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  <c r="L2791" s="2" t="s">
        <v>11030</v>
      </c>
      <c r="M2791" s="2" t="s">
        <v>11029</v>
      </c>
      <c r="N2791" s="2" t="s">
        <v>11037</v>
      </c>
      <c r="O2791" s="2" t="s">
        <v>11038</v>
      </c>
      <c r="P2791" s="2" t="s">
        <v>11038</v>
      </c>
      <c r="Q2791" s="2">
        <f>AVERAGE(PerfRate[[#This Row],[EnvironmentSatisfaction]],PerfRate[[#This Row],[JobSatisfaction]],PerfRate[[#This Row],[RelationshipSatisfaction]])</f>
        <v>4.666666666666667</v>
      </c>
      <c r="R2791" s="2">
        <f>PerfRate[[#This Row],[ManagerRating]] - PerfRate[[#This Row],[SelfRating]]</f>
        <v>-1</v>
      </c>
    </row>
    <row r="2792" spans="1:18">
      <c r="A2792" s="2" t="s">
        <v>7099</v>
      </c>
      <c r="B2792" s="2" t="s">
        <v>425</v>
      </c>
      <c r="C2792" s="1">
        <v>43477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  <c r="L2792" s="2" t="s">
        <v>11031</v>
      </c>
      <c r="M2792" s="2" t="s">
        <v>11031</v>
      </c>
      <c r="N2792" s="2" t="s">
        <v>11036</v>
      </c>
      <c r="O2792" s="2" t="s">
        <v>11037</v>
      </c>
      <c r="P2792" s="2" t="s">
        <v>11035</v>
      </c>
      <c r="Q2792" s="2">
        <f>AVERAGE(PerfRate[[#This Row],[EnvironmentSatisfaction]],PerfRate[[#This Row],[JobSatisfaction]],PerfRate[[#This Row],[RelationshipSatisfaction]])</f>
        <v>3</v>
      </c>
      <c r="R2792" s="2">
        <f>PerfRate[[#This Row],[ManagerRating]] - PerfRate[[#This Row],[SelfRating]]</f>
        <v>0</v>
      </c>
    </row>
    <row r="2793" spans="1:18">
      <c r="A2793" s="2" t="s">
        <v>7100</v>
      </c>
      <c r="B2793" s="2" t="s">
        <v>832</v>
      </c>
      <c r="C2793" s="1">
        <v>43508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  <c r="L2793" s="2" t="s">
        <v>11029</v>
      </c>
      <c r="M2793" s="2" t="s">
        <v>11029</v>
      </c>
      <c r="N2793" s="2" t="s">
        <v>11036</v>
      </c>
      <c r="O2793" s="2" t="s">
        <v>11038</v>
      </c>
      <c r="P2793" s="2" t="s">
        <v>11035</v>
      </c>
      <c r="Q2793" s="2">
        <f>AVERAGE(PerfRate[[#This Row],[EnvironmentSatisfaction]],PerfRate[[#This Row],[JobSatisfaction]],PerfRate[[#This Row],[RelationshipSatisfaction]])</f>
        <v>3.3333333333333335</v>
      </c>
      <c r="R2793" s="2">
        <f>PerfRate[[#This Row],[ManagerRating]] - PerfRate[[#This Row],[SelfRating]]</f>
        <v>0</v>
      </c>
    </row>
    <row r="2794" spans="1:18">
      <c r="A2794" s="2" t="s">
        <v>7101</v>
      </c>
      <c r="B2794" s="2" t="s">
        <v>1992</v>
      </c>
      <c r="C2794" s="1">
        <v>43508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  <c r="L2794" s="2" t="s">
        <v>11030</v>
      </c>
      <c r="M2794" s="2" t="s">
        <v>11029</v>
      </c>
      <c r="N2794" s="2" t="s">
        <v>11038</v>
      </c>
      <c r="O2794" s="2" t="s">
        <v>11037</v>
      </c>
      <c r="P2794" s="2" t="s">
        <v>11035</v>
      </c>
      <c r="Q2794" s="2">
        <f>AVERAGE(PerfRate[[#This Row],[EnvironmentSatisfaction]],PerfRate[[#This Row],[JobSatisfaction]],PerfRate[[#This Row],[RelationshipSatisfaction]])</f>
        <v>3.6666666666666665</v>
      </c>
      <c r="R2794" s="2">
        <f>PerfRate[[#This Row],[ManagerRating]] - PerfRate[[#This Row],[SelfRating]]</f>
        <v>-1</v>
      </c>
    </row>
    <row r="2795" spans="1:18">
      <c r="A2795" s="2" t="s">
        <v>7102</v>
      </c>
      <c r="B2795" s="2" t="s">
        <v>3406</v>
      </c>
      <c r="C2795" s="1">
        <v>43536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  <c r="L2795" s="2" t="s">
        <v>11030</v>
      </c>
      <c r="M2795" s="2" t="s">
        <v>11030</v>
      </c>
      <c r="N2795" s="2" t="s">
        <v>11036</v>
      </c>
      <c r="O2795" s="2" t="s">
        <v>11037</v>
      </c>
      <c r="P2795" s="2" t="s">
        <v>11035</v>
      </c>
      <c r="Q2795" s="2">
        <f>AVERAGE(PerfRate[[#This Row],[EnvironmentSatisfaction]],PerfRate[[#This Row],[JobSatisfaction]],PerfRate[[#This Row],[RelationshipSatisfaction]])</f>
        <v>3</v>
      </c>
      <c r="R2795" s="2">
        <f>PerfRate[[#This Row],[ManagerRating]] - PerfRate[[#This Row],[SelfRating]]</f>
        <v>0</v>
      </c>
    </row>
    <row r="2796" spans="1:18">
      <c r="A2796" s="2" t="s">
        <v>7103</v>
      </c>
      <c r="B2796" s="2" t="s">
        <v>3665</v>
      </c>
      <c r="C2796" s="1">
        <v>43536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  <c r="L2796" s="2" t="s">
        <v>11029</v>
      </c>
      <c r="M2796" s="2" t="s">
        <v>11029</v>
      </c>
      <c r="N2796" s="2" t="s">
        <v>11036</v>
      </c>
      <c r="O2796" s="2" t="s">
        <v>11038</v>
      </c>
      <c r="P2796" s="2" t="s">
        <v>11036</v>
      </c>
      <c r="Q2796" s="2">
        <f>AVERAGE(PerfRate[[#This Row],[EnvironmentSatisfaction]],PerfRate[[#This Row],[JobSatisfaction]],PerfRate[[#This Row],[RelationshipSatisfaction]])</f>
        <v>3.6666666666666665</v>
      </c>
      <c r="R2796" s="2">
        <f>PerfRate[[#This Row],[ManagerRating]] - PerfRate[[#This Row],[SelfRating]]</f>
        <v>0</v>
      </c>
    </row>
    <row r="2797" spans="1:18">
      <c r="A2797" s="2" t="s">
        <v>7104</v>
      </c>
      <c r="B2797" s="2" t="s">
        <v>78</v>
      </c>
      <c r="C2797" s="1">
        <v>43597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  <c r="L2797" s="2" t="s">
        <v>11030</v>
      </c>
      <c r="M2797" s="2" t="s">
        <v>11030</v>
      </c>
      <c r="N2797" s="2" t="s">
        <v>11038</v>
      </c>
      <c r="O2797" s="2" t="s">
        <v>11037</v>
      </c>
      <c r="P2797" s="2" t="s">
        <v>11035</v>
      </c>
      <c r="Q2797" s="2">
        <f>AVERAGE(PerfRate[[#This Row],[EnvironmentSatisfaction]],PerfRate[[#This Row],[JobSatisfaction]],PerfRate[[#This Row],[RelationshipSatisfaction]])</f>
        <v>3.6666666666666665</v>
      </c>
      <c r="R2797" s="2">
        <f>PerfRate[[#This Row],[ManagerRating]] - PerfRate[[#This Row],[SelfRating]]</f>
        <v>0</v>
      </c>
    </row>
    <row r="2798" spans="1:18">
      <c r="A2798" s="2" t="s">
        <v>7105</v>
      </c>
      <c r="B2798" s="2" t="s">
        <v>1520</v>
      </c>
      <c r="C2798" s="1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  <c r="L2798" s="2" t="s">
        <v>11029</v>
      </c>
      <c r="M2798" s="2" t="s">
        <v>11029</v>
      </c>
      <c r="N2798" s="2" t="s">
        <v>11038</v>
      </c>
      <c r="O2798" s="2" t="s">
        <v>11037</v>
      </c>
      <c r="P2798" s="2" t="s">
        <v>11038</v>
      </c>
      <c r="Q2798" s="2">
        <f>AVERAGE(PerfRate[[#This Row],[EnvironmentSatisfaction]],PerfRate[[#This Row],[JobSatisfaction]],PerfRate[[#This Row],[RelationshipSatisfaction]])</f>
        <v>4.666666666666667</v>
      </c>
      <c r="R2798" s="2">
        <f>PerfRate[[#This Row],[ManagerRating]] - PerfRate[[#This Row],[SelfRating]]</f>
        <v>0</v>
      </c>
    </row>
    <row r="2799" spans="1:18">
      <c r="A2799" s="2" t="s">
        <v>7106</v>
      </c>
      <c r="B2799" s="2" t="s">
        <v>183</v>
      </c>
      <c r="C2799" s="1">
        <v>43597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  <c r="L2799" s="2" t="s">
        <v>11029</v>
      </c>
      <c r="M2799" s="2" t="s">
        <v>11029</v>
      </c>
      <c r="N2799" s="2" t="s">
        <v>11036</v>
      </c>
      <c r="O2799" s="2" t="s">
        <v>11038</v>
      </c>
      <c r="P2799" s="2" t="s">
        <v>11038</v>
      </c>
      <c r="Q2799" s="2">
        <f>AVERAGE(PerfRate[[#This Row],[EnvironmentSatisfaction]],PerfRate[[#This Row],[JobSatisfaction]],PerfRate[[#This Row],[RelationshipSatisfaction]])</f>
        <v>4.333333333333333</v>
      </c>
      <c r="R2799" s="2">
        <f>PerfRate[[#This Row],[ManagerRating]] - PerfRate[[#This Row],[SelfRating]]</f>
        <v>0</v>
      </c>
    </row>
    <row r="2800" spans="1:18">
      <c r="A2800" s="2" t="s">
        <v>7107</v>
      </c>
      <c r="B2800" s="2" t="s">
        <v>112</v>
      </c>
      <c r="C2800" s="1">
        <v>43597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  <c r="L2800" s="2" t="s">
        <v>11030</v>
      </c>
      <c r="M2800" s="2" t="s">
        <v>11029</v>
      </c>
      <c r="N2800" s="2" t="s">
        <v>11036</v>
      </c>
      <c r="O2800" s="2" t="s">
        <v>11037</v>
      </c>
      <c r="P2800" s="2" t="s">
        <v>11037</v>
      </c>
      <c r="Q2800" s="2">
        <f>AVERAGE(PerfRate[[#This Row],[EnvironmentSatisfaction]],PerfRate[[#This Row],[JobSatisfaction]],PerfRate[[#This Row],[RelationshipSatisfaction]])</f>
        <v>3.6666666666666665</v>
      </c>
      <c r="R2800" s="2">
        <f>PerfRate[[#This Row],[ManagerRating]] - PerfRate[[#This Row],[SelfRating]]</f>
        <v>-1</v>
      </c>
    </row>
    <row r="2801" spans="1:18">
      <c r="A2801" s="2" t="s">
        <v>7108</v>
      </c>
      <c r="B2801" s="2" t="s">
        <v>946</v>
      </c>
      <c r="C2801" s="1">
        <v>43597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  <c r="L2801" s="2" t="s">
        <v>11029</v>
      </c>
      <c r="M2801" s="2" t="s">
        <v>11029</v>
      </c>
      <c r="N2801" s="2" t="s">
        <v>11038</v>
      </c>
      <c r="O2801" s="2" t="s">
        <v>11036</v>
      </c>
      <c r="P2801" s="2" t="s">
        <v>11038</v>
      </c>
      <c r="Q2801" s="2">
        <f>AVERAGE(PerfRate[[#This Row],[EnvironmentSatisfaction]],PerfRate[[#This Row],[JobSatisfaction]],PerfRate[[#This Row],[RelationshipSatisfaction]])</f>
        <v>4.333333333333333</v>
      </c>
      <c r="R2801" s="2">
        <f>PerfRate[[#This Row],[ManagerRating]] - PerfRate[[#This Row],[SelfRating]]</f>
        <v>0</v>
      </c>
    </row>
    <row r="2802" spans="1:18">
      <c r="A2802" s="2" t="s">
        <v>7109</v>
      </c>
      <c r="B2802" s="2" t="s">
        <v>1045</v>
      </c>
      <c r="C2802" s="1">
        <v>43597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  <c r="L2802" s="2" t="s">
        <v>11030</v>
      </c>
      <c r="M2802" s="2" t="s">
        <v>11030</v>
      </c>
      <c r="N2802" s="2" t="s">
        <v>11036</v>
      </c>
      <c r="O2802" s="2" t="s">
        <v>11035</v>
      </c>
      <c r="P2802" s="2" t="s">
        <v>11038</v>
      </c>
      <c r="Q2802" s="2">
        <f>AVERAGE(PerfRate[[#This Row],[EnvironmentSatisfaction]],PerfRate[[#This Row],[JobSatisfaction]],PerfRate[[#This Row],[RelationshipSatisfaction]])</f>
        <v>3.3333333333333335</v>
      </c>
      <c r="R2802" s="2">
        <f>PerfRate[[#This Row],[ManagerRating]] - PerfRate[[#This Row],[SelfRating]]</f>
        <v>0</v>
      </c>
    </row>
    <row r="2803" spans="1:18">
      <c r="A2803" s="2" t="s">
        <v>7110</v>
      </c>
      <c r="B2803" s="2" t="s">
        <v>118</v>
      </c>
      <c r="C2803" s="1">
        <v>43658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  <c r="L2803" s="2" t="s">
        <v>11030</v>
      </c>
      <c r="M2803" s="2" t="s">
        <v>11029</v>
      </c>
      <c r="N2803" s="2" t="s">
        <v>11036</v>
      </c>
      <c r="O2803" s="2" t="s">
        <v>11037</v>
      </c>
      <c r="P2803" s="2" t="s">
        <v>11037</v>
      </c>
      <c r="Q2803" s="2">
        <f>AVERAGE(PerfRate[[#This Row],[EnvironmentSatisfaction]],PerfRate[[#This Row],[JobSatisfaction]],PerfRate[[#This Row],[RelationshipSatisfaction]])</f>
        <v>3.6666666666666665</v>
      </c>
      <c r="R2803" s="2">
        <f>PerfRate[[#This Row],[ManagerRating]] - PerfRate[[#This Row],[SelfRating]]</f>
        <v>-1</v>
      </c>
    </row>
    <row r="2804" spans="1:18">
      <c r="A2804" s="2" t="s">
        <v>7111</v>
      </c>
      <c r="B2804" s="2" t="s">
        <v>1692</v>
      </c>
      <c r="C2804" s="1">
        <v>43658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  <c r="L2804" s="2" t="s">
        <v>11031</v>
      </c>
      <c r="M2804" s="2" t="s">
        <v>11030</v>
      </c>
      <c r="N2804" s="2" t="s">
        <v>11038</v>
      </c>
      <c r="O2804" s="2" t="s">
        <v>11038</v>
      </c>
      <c r="P2804" s="2" t="s">
        <v>11038</v>
      </c>
      <c r="Q2804" s="2">
        <f>AVERAGE(PerfRate[[#This Row],[EnvironmentSatisfaction]],PerfRate[[#This Row],[JobSatisfaction]],PerfRate[[#This Row],[RelationshipSatisfaction]])</f>
        <v>5</v>
      </c>
      <c r="R2804" s="2">
        <f>PerfRate[[#This Row],[ManagerRating]] - PerfRate[[#This Row],[SelfRating]]</f>
        <v>-1</v>
      </c>
    </row>
    <row r="2805" spans="1:18">
      <c r="A2805" s="2" t="s">
        <v>7112</v>
      </c>
      <c r="B2805" s="2" t="s">
        <v>3963</v>
      </c>
      <c r="C2805" s="1">
        <v>43689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  <c r="L2805" s="2" t="s">
        <v>11030</v>
      </c>
      <c r="M2805" s="2" t="s">
        <v>11030</v>
      </c>
      <c r="N2805" s="2" t="s">
        <v>11038</v>
      </c>
      <c r="O2805" s="2" t="s">
        <v>11035</v>
      </c>
      <c r="P2805" s="2" t="s">
        <v>11035</v>
      </c>
      <c r="Q2805" s="2">
        <f>AVERAGE(PerfRate[[#This Row],[EnvironmentSatisfaction]],PerfRate[[#This Row],[JobSatisfaction]],PerfRate[[#This Row],[RelationshipSatisfaction]])</f>
        <v>3</v>
      </c>
      <c r="R2805" s="2">
        <f>PerfRate[[#This Row],[ManagerRating]] - PerfRate[[#This Row],[SelfRating]]</f>
        <v>0</v>
      </c>
    </row>
    <row r="2806" spans="1:18">
      <c r="A2806" s="2" t="s">
        <v>7113</v>
      </c>
      <c r="B2806" s="2" t="s">
        <v>2730</v>
      </c>
      <c r="C2806" s="1">
        <v>43689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  <c r="L2806" s="2" t="s">
        <v>11030</v>
      </c>
      <c r="M2806" s="2" t="s">
        <v>11029</v>
      </c>
      <c r="N2806" s="2" t="s">
        <v>11037</v>
      </c>
      <c r="O2806" s="2" t="s">
        <v>11038</v>
      </c>
      <c r="P2806" s="2" t="s">
        <v>11036</v>
      </c>
      <c r="Q2806" s="2">
        <f>AVERAGE(PerfRate[[#This Row],[EnvironmentSatisfaction]],PerfRate[[#This Row],[JobSatisfaction]],PerfRate[[#This Row],[RelationshipSatisfaction]])</f>
        <v>4</v>
      </c>
      <c r="R2806" s="2">
        <f>PerfRate[[#This Row],[ManagerRating]] - PerfRate[[#This Row],[SelfRating]]</f>
        <v>-1</v>
      </c>
    </row>
    <row r="2807" spans="1:18">
      <c r="A2807" s="2" t="s">
        <v>7114</v>
      </c>
      <c r="B2807" s="2" t="s">
        <v>1883</v>
      </c>
      <c r="C2807" s="1">
        <v>43689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  <c r="L2807" s="2" t="s">
        <v>11031</v>
      </c>
      <c r="M2807" s="2" t="s">
        <v>11030</v>
      </c>
      <c r="N2807" s="2" t="s">
        <v>11037</v>
      </c>
      <c r="O2807" s="2" t="s">
        <v>11036</v>
      </c>
      <c r="P2807" s="2" t="s">
        <v>11036</v>
      </c>
      <c r="Q2807" s="2">
        <f>AVERAGE(PerfRate[[#This Row],[EnvironmentSatisfaction]],PerfRate[[#This Row],[JobSatisfaction]],PerfRate[[#This Row],[RelationshipSatisfaction]])</f>
        <v>3.3333333333333335</v>
      </c>
      <c r="R2807" s="2">
        <f>PerfRate[[#This Row],[ManagerRating]] - PerfRate[[#This Row],[SelfRating]]</f>
        <v>-1</v>
      </c>
    </row>
    <row r="2808" spans="1:18">
      <c r="A2808" s="2" t="s">
        <v>7115</v>
      </c>
      <c r="B2808" s="2" t="s">
        <v>4202</v>
      </c>
      <c r="C2808" s="1">
        <v>43720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  <c r="L2808" s="2" t="s">
        <v>11031</v>
      </c>
      <c r="M2808" s="2" t="s">
        <v>11030</v>
      </c>
      <c r="N2808" s="2" t="s">
        <v>11038</v>
      </c>
      <c r="O2808" s="2" t="s">
        <v>11035</v>
      </c>
      <c r="P2808" s="2" t="s">
        <v>11037</v>
      </c>
      <c r="Q2808" s="2">
        <f>AVERAGE(PerfRate[[#This Row],[EnvironmentSatisfaction]],PerfRate[[#This Row],[JobSatisfaction]],PerfRate[[#This Row],[RelationshipSatisfaction]])</f>
        <v>3.6666666666666665</v>
      </c>
      <c r="R2808" s="2">
        <f>PerfRate[[#This Row],[ManagerRating]] - PerfRate[[#This Row],[SelfRating]]</f>
        <v>-1</v>
      </c>
    </row>
    <row r="2809" spans="1:18">
      <c r="A2809" s="2" t="s">
        <v>7116</v>
      </c>
      <c r="B2809" s="2" t="s">
        <v>350</v>
      </c>
      <c r="C2809" s="1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  <c r="L2809" s="2" t="s">
        <v>11031</v>
      </c>
      <c r="M2809" s="2" t="s">
        <v>11030</v>
      </c>
      <c r="N2809" s="2" t="s">
        <v>11037</v>
      </c>
      <c r="O2809" s="2" t="s">
        <v>11038</v>
      </c>
      <c r="P2809" s="2" t="s">
        <v>11035</v>
      </c>
      <c r="Q2809" s="2">
        <f>AVERAGE(PerfRate[[#This Row],[EnvironmentSatisfaction]],PerfRate[[#This Row],[JobSatisfaction]],PerfRate[[#This Row],[RelationshipSatisfaction]])</f>
        <v>3.6666666666666665</v>
      </c>
      <c r="R2809" s="2">
        <f>PerfRate[[#This Row],[ManagerRating]] - PerfRate[[#This Row],[SelfRating]]</f>
        <v>-1</v>
      </c>
    </row>
    <row r="2810" spans="1:18">
      <c r="A2810" s="2" t="s">
        <v>7117</v>
      </c>
      <c r="B2810" s="2" t="s">
        <v>380</v>
      </c>
      <c r="C2810" s="1">
        <v>43720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  <c r="L2810" s="2" t="s">
        <v>11031</v>
      </c>
      <c r="M2810" s="2" t="s">
        <v>11030</v>
      </c>
      <c r="N2810" s="2" t="s">
        <v>11038</v>
      </c>
      <c r="O2810" s="2" t="s">
        <v>11038</v>
      </c>
      <c r="P2810" s="2" t="s">
        <v>11038</v>
      </c>
      <c r="Q2810" s="2">
        <f>AVERAGE(PerfRate[[#This Row],[EnvironmentSatisfaction]],PerfRate[[#This Row],[JobSatisfaction]],PerfRate[[#This Row],[RelationshipSatisfaction]])</f>
        <v>5</v>
      </c>
      <c r="R2810" s="2">
        <f>PerfRate[[#This Row],[ManagerRating]] - PerfRate[[#This Row],[SelfRating]]</f>
        <v>-1</v>
      </c>
    </row>
    <row r="2811" spans="1:18">
      <c r="A2811" s="2" t="s">
        <v>7118</v>
      </c>
      <c r="B2811" s="2" t="s">
        <v>856</v>
      </c>
      <c r="C2811" s="1">
        <v>43781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  <c r="L2811" s="2" t="s">
        <v>11030</v>
      </c>
      <c r="M2811" s="2" t="s">
        <v>11030</v>
      </c>
      <c r="N2811" s="2" t="s">
        <v>11036</v>
      </c>
      <c r="O2811" s="2" t="s">
        <v>11037</v>
      </c>
      <c r="P2811" s="2" t="s">
        <v>11037</v>
      </c>
      <c r="Q2811" s="2">
        <f>AVERAGE(PerfRate[[#This Row],[EnvironmentSatisfaction]],PerfRate[[#This Row],[JobSatisfaction]],PerfRate[[#This Row],[RelationshipSatisfaction]])</f>
        <v>3.6666666666666665</v>
      </c>
      <c r="R2811" s="2">
        <f>PerfRate[[#This Row],[ManagerRating]] - PerfRate[[#This Row],[SelfRating]]</f>
        <v>0</v>
      </c>
    </row>
    <row r="2812" spans="1:18">
      <c r="A2812" s="2" t="s">
        <v>7119</v>
      </c>
      <c r="B2812" s="2" t="s">
        <v>1599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  <c r="L2812" s="2" t="s">
        <v>11029</v>
      </c>
      <c r="M2812" s="2" t="s">
        <v>11029</v>
      </c>
      <c r="N2812" s="2" t="s">
        <v>11037</v>
      </c>
      <c r="O2812" s="2" t="s">
        <v>11035</v>
      </c>
      <c r="P2812" s="2" t="s">
        <v>11036</v>
      </c>
      <c r="Q2812" s="2">
        <f>AVERAGE(PerfRate[[#This Row],[EnvironmentSatisfaction]],PerfRate[[#This Row],[JobSatisfaction]],PerfRate[[#This Row],[RelationshipSatisfaction]])</f>
        <v>3</v>
      </c>
      <c r="R2812" s="2">
        <f>PerfRate[[#This Row],[ManagerRating]] - PerfRate[[#This Row],[SelfRating]]</f>
        <v>0</v>
      </c>
    </row>
    <row r="2813" spans="1:18">
      <c r="A2813" s="2" t="s">
        <v>7120</v>
      </c>
      <c r="B2813" s="2" t="s">
        <v>3362</v>
      </c>
      <c r="C2813" s="1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  <c r="L2813" s="2" t="s">
        <v>11029</v>
      </c>
      <c r="M2813" s="2" t="s">
        <v>11028</v>
      </c>
      <c r="N2813" s="2" t="s">
        <v>11037</v>
      </c>
      <c r="O2813" s="2" t="s">
        <v>11038</v>
      </c>
      <c r="P2813" s="2" t="s">
        <v>11038</v>
      </c>
      <c r="Q2813" s="2">
        <f>AVERAGE(PerfRate[[#This Row],[EnvironmentSatisfaction]],PerfRate[[#This Row],[JobSatisfaction]],PerfRate[[#This Row],[RelationshipSatisfaction]])</f>
        <v>4.666666666666667</v>
      </c>
      <c r="R2813" s="2">
        <f>PerfRate[[#This Row],[ManagerRating]] - PerfRate[[#This Row],[SelfRating]]</f>
        <v>-1</v>
      </c>
    </row>
    <row r="2814" spans="1:18">
      <c r="A2814" s="2" t="s">
        <v>7121</v>
      </c>
      <c r="B2814" s="2" t="s">
        <v>314</v>
      </c>
      <c r="C2814" s="1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  <c r="L2814" s="2" t="s">
        <v>11029</v>
      </c>
      <c r="M2814" s="2" t="s">
        <v>11029</v>
      </c>
      <c r="N2814" s="2" t="s">
        <v>11037</v>
      </c>
      <c r="O2814" s="2" t="s">
        <v>11038</v>
      </c>
      <c r="P2814" s="2" t="s">
        <v>11035</v>
      </c>
      <c r="Q2814" s="2">
        <f>AVERAGE(PerfRate[[#This Row],[EnvironmentSatisfaction]],PerfRate[[#This Row],[JobSatisfaction]],PerfRate[[#This Row],[RelationshipSatisfaction]])</f>
        <v>3.6666666666666665</v>
      </c>
      <c r="R2814" s="2">
        <f>PerfRate[[#This Row],[ManagerRating]] - PerfRate[[#This Row],[SelfRating]]</f>
        <v>0</v>
      </c>
    </row>
    <row r="2815" spans="1:18">
      <c r="A2815" s="2" t="s">
        <v>7122</v>
      </c>
      <c r="B2815" s="2" t="s">
        <v>1566</v>
      </c>
      <c r="C2815" s="1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  <c r="L2815" s="2" t="s">
        <v>11030</v>
      </c>
      <c r="M2815" s="2" t="s">
        <v>11029</v>
      </c>
      <c r="N2815" s="2" t="s">
        <v>11036</v>
      </c>
      <c r="O2815" s="2" t="s">
        <v>11035</v>
      </c>
      <c r="P2815" s="2" t="s">
        <v>11037</v>
      </c>
      <c r="Q2815" s="2">
        <f>AVERAGE(PerfRate[[#This Row],[EnvironmentSatisfaction]],PerfRate[[#This Row],[JobSatisfaction]],PerfRate[[#This Row],[RelationshipSatisfaction]])</f>
        <v>3</v>
      </c>
      <c r="R2815" s="2">
        <f>PerfRate[[#This Row],[ManagerRating]] - PerfRate[[#This Row],[SelfRating]]</f>
        <v>-1</v>
      </c>
    </row>
    <row r="2816" spans="1:18">
      <c r="A2816" s="2" t="s">
        <v>7123</v>
      </c>
      <c r="B2816" s="2" t="s">
        <v>3160</v>
      </c>
      <c r="C2816" s="1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  <c r="L2816" s="2" t="s">
        <v>11031</v>
      </c>
      <c r="M2816" s="2" t="s">
        <v>11031</v>
      </c>
      <c r="N2816" s="2" t="s">
        <v>11038</v>
      </c>
      <c r="O2816" s="2" t="s">
        <v>11036</v>
      </c>
      <c r="P2816" s="2" t="s">
        <v>11038</v>
      </c>
      <c r="Q2816" s="2">
        <f>AVERAGE(PerfRate[[#This Row],[EnvironmentSatisfaction]],PerfRate[[#This Row],[JobSatisfaction]],PerfRate[[#This Row],[RelationshipSatisfaction]])</f>
        <v>4.333333333333333</v>
      </c>
      <c r="R2816" s="2">
        <f>PerfRate[[#This Row],[ManagerRating]] - PerfRate[[#This Row],[SelfRating]]</f>
        <v>0</v>
      </c>
    </row>
    <row r="2817" spans="1:18">
      <c r="A2817" s="2" t="s">
        <v>7124</v>
      </c>
      <c r="B2817" s="2" t="s">
        <v>2051</v>
      </c>
      <c r="C2817" s="1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  <c r="L2817" s="2" t="s">
        <v>11031</v>
      </c>
      <c r="M2817" s="2" t="s">
        <v>11031</v>
      </c>
      <c r="N2817" s="2" t="s">
        <v>11038</v>
      </c>
      <c r="O2817" s="2" t="s">
        <v>11037</v>
      </c>
      <c r="P2817" s="2" t="s">
        <v>11035</v>
      </c>
      <c r="Q2817" s="2">
        <f>AVERAGE(PerfRate[[#This Row],[EnvironmentSatisfaction]],PerfRate[[#This Row],[JobSatisfaction]],PerfRate[[#This Row],[RelationshipSatisfaction]])</f>
        <v>3.6666666666666665</v>
      </c>
      <c r="R2817" s="2">
        <f>PerfRate[[#This Row],[ManagerRating]] - PerfRate[[#This Row],[SelfRating]]</f>
        <v>0</v>
      </c>
    </row>
    <row r="2818" spans="1:18">
      <c r="A2818" s="2" t="s">
        <v>7125</v>
      </c>
      <c r="B2818" s="2" t="s">
        <v>3476</v>
      </c>
      <c r="C2818" s="1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  <c r="L2818" s="2" t="s">
        <v>11030</v>
      </c>
      <c r="M2818" s="2" t="s">
        <v>11029</v>
      </c>
      <c r="N2818" s="2" t="s">
        <v>11038</v>
      </c>
      <c r="O2818" s="2" t="s">
        <v>11035</v>
      </c>
      <c r="P2818" s="2" t="s">
        <v>11038</v>
      </c>
      <c r="Q2818" s="2">
        <f>AVERAGE(PerfRate[[#This Row],[EnvironmentSatisfaction]],PerfRate[[#This Row],[JobSatisfaction]],PerfRate[[#This Row],[RelationshipSatisfaction]])</f>
        <v>4</v>
      </c>
      <c r="R2818" s="2">
        <f>PerfRate[[#This Row],[ManagerRating]] - PerfRate[[#This Row],[SelfRating]]</f>
        <v>-1</v>
      </c>
    </row>
    <row r="2819" spans="1:18">
      <c r="A2819" s="2" t="s">
        <v>7126</v>
      </c>
      <c r="B2819" s="2" t="s">
        <v>211</v>
      </c>
      <c r="C2819" s="1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  <c r="L2819" s="2" t="s">
        <v>11029</v>
      </c>
      <c r="M2819" s="2" t="s">
        <v>11029</v>
      </c>
      <c r="N2819" s="2" t="s">
        <v>11036</v>
      </c>
      <c r="O2819" s="2" t="s">
        <v>11037</v>
      </c>
      <c r="P2819" s="2" t="s">
        <v>11035</v>
      </c>
      <c r="Q2819" s="2">
        <f>AVERAGE(PerfRate[[#This Row],[EnvironmentSatisfaction]],PerfRate[[#This Row],[JobSatisfaction]],PerfRate[[#This Row],[RelationshipSatisfaction]])</f>
        <v>3</v>
      </c>
      <c r="R2819" s="2">
        <f>PerfRate[[#This Row],[ManagerRating]] - PerfRate[[#This Row],[SelfRating]]</f>
        <v>0</v>
      </c>
    </row>
    <row r="2820" spans="1:18">
      <c r="A2820" s="2" t="s">
        <v>7127</v>
      </c>
      <c r="B2820" s="2" t="s">
        <v>3023</v>
      </c>
      <c r="C2820" s="1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  <c r="L2820" s="2" t="s">
        <v>11031</v>
      </c>
      <c r="M2820" s="2" t="s">
        <v>11031</v>
      </c>
      <c r="N2820" s="2" t="s">
        <v>11038</v>
      </c>
      <c r="O2820" s="2" t="s">
        <v>11038</v>
      </c>
      <c r="P2820" s="2" t="s">
        <v>11038</v>
      </c>
      <c r="Q2820" s="2">
        <f>AVERAGE(PerfRate[[#This Row],[EnvironmentSatisfaction]],PerfRate[[#This Row],[JobSatisfaction]],PerfRate[[#This Row],[RelationshipSatisfaction]])</f>
        <v>5</v>
      </c>
      <c r="R2820" s="2">
        <f>PerfRate[[#This Row],[ManagerRating]] - PerfRate[[#This Row],[SelfRating]]</f>
        <v>0</v>
      </c>
    </row>
    <row r="2821" spans="1:18">
      <c r="A2821" s="2" t="s">
        <v>7128</v>
      </c>
      <c r="B2821" s="2" t="s">
        <v>1397</v>
      </c>
      <c r="C2821" s="1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  <c r="L2821" s="2" t="s">
        <v>11029</v>
      </c>
      <c r="M2821" s="2" t="s">
        <v>11029</v>
      </c>
      <c r="N2821" s="2" t="s">
        <v>11036</v>
      </c>
      <c r="O2821" s="2" t="s">
        <v>11036</v>
      </c>
      <c r="P2821" s="2" t="s">
        <v>11035</v>
      </c>
      <c r="Q2821" s="2">
        <f>AVERAGE(PerfRate[[#This Row],[EnvironmentSatisfaction]],PerfRate[[#This Row],[JobSatisfaction]],PerfRate[[#This Row],[RelationshipSatisfaction]])</f>
        <v>2.6666666666666665</v>
      </c>
      <c r="R2821" s="2">
        <f>PerfRate[[#This Row],[ManagerRating]] - PerfRate[[#This Row],[SelfRating]]</f>
        <v>0</v>
      </c>
    </row>
    <row r="2822" spans="1:18">
      <c r="A2822" s="2" t="s">
        <v>7129</v>
      </c>
      <c r="B2822" s="2" t="s">
        <v>3606</v>
      </c>
      <c r="C2822" s="1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  <c r="L2822" s="2" t="s">
        <v>11029</v>
      </c>
      <c r="M2822" s="2" t="s">
        <v>11029</v>
      </c>
      <c r="N2822" s="2" t="s">
        <v>11036</v>
      </c>
      <c r="O2822" s="2" t="s">
        <v>11038</v>
      </c>
      <c r="P2822" s="2" t="s">
        <v>11038</v>
      </c>
      <c r="Q2822" s="2">
        <f>AVERAGE(PerfRate[[#This Row],[EnvironmentSatisfaction]],PerfRate[[#This Row],[JobSatisfaction]],PerfRate[[#This Row],[RelationshipSatisfaction]])</f>
        <v>4.333333333333333</v>
      </c>
      <c r="R2822" s="2">
        <f>PerfRate[[#This Row],[ManagerRating]] - PerfRate[[#This Row],[SelfRating]]</f>
        <v>0</v>
      </c>
    </row>
    <row r="2823" spans="1:18">
      <c r="A2823" s="2" t="s">
        <v>7130</v>
      </c>
      <c r="B2823" s="2" t="s">
        <v>679</v>
      </c>
      <c r="C2823" s="1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  <c r="L2823" s="2" t="s">
        <v>11030</v>
      </c>
      <c r="M2823" s="2" t="s">
        <v>11030</v>
      </c>
      <c r="N2823" s="2" t="s">
        <v>11036</v>
      </c>
      <c r="O2823" s="2" t="s">
        <v>11035</v>
      </c>
      <c r="P2823" s="2" t="s">
        <v>11038</v>
      </c>
      <c r="Q2823" s="2">
        <f>AVERAGE(PerfRate[[#This Row],[EnvironmentSatisfaction]],PerfRate[[#This Row],[JobSatisfaction]],PerfRate[[#This Row],[RelationshipSatisfaction]])</f>
        <v>3.3333333333333335</v>
      </c>
      <c r="R2823" s="2">
        <f>PerfRate[[#This Row],[ManagerRating]] - PerfRate[[#This Row],[SelfRating]]</f>
        <v>0</v>
      </c>
    </row>
    <row r="2824" spans="1:18">
      <c r="A2824" s="2" t="s">
        <v>7131</v>
      </c>
      <c r="B2824" s="2" t="s">
        <v>2005</v>
      </c>
      <c r="C2824" s="1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  <c r="L2824" s="2" t="s">
        <v>11029</v>
      </c>
      <c r="M2824" s="2" t="s">
        <v>11028</v>
      </c>
      <c r="N2824" s="2" t="s">
        <v>11036</v>
      </c>
      <c r="O2824" s="2" t="s">
        <v>11035</v>
      </c>
      <c r="P2824" s="2" t="s">
        <v>11035</v>
      </c>
      <c r="Q2824" s="2">
        <f>AVERAGE(PerfRate[[#This Row],[EnvironmentSatisfaction]],PerfRate[[#This Row],[JobSatisfaction]],PerfRate[[#This Row],[RelationshipSatisfaction]])</f>
        <v>2.3333333333333335</v>
      </c>
      <c r="R2824" s="2">
        <f>PerfRate[[#This Row],[ManagerRating]] - PerfRate[[#This Row],[SelfRating]]</f>
        <v>-1</v>
      </c>
    </row>
    <row r="2825" spans="1:18">
      <c r="A2825" s="2" t="s">
        <v>7132</v>
      </c>
      <c r="B2825" s="2" t="s">
        <v>278</v>
      </c>
      <c r="C2825" s="1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  <c r="L2825" s="2" t="s">
        <v>11030</v>
      </c>
      <c r="M2825" s="2" t="s">
        <v>11029</v>
      </c>
      <c r="N2825" s="2" t="s">
        <v>11037</v>
      </c>
      <c r="O2825" s="2" t="s">
        <v>11037</v>
      </c>
      <c r="P2825" s="2" t="s">
        <v>11035</v>
      </c>
      <c r="Q2825" s="2">
        <f>AVERAGE(PerfRate[[#This Row],[EnvironmentSatisfaction]],PerfRate[[#This Row],[JobSatisfaction]],PerfRate[[#This Row],[RelationshipSatisfaction]])</f>
        <v>3.3333333333333335</v>
      </c>
      <c r="R2825" s="2">
        <f>PerfRate[[#This Row],[ManagerRating]] - PerfRate[[#This Row],[SelfRating]]</f>
        <v>-1</v>
      </c>
    </row>
    <row r="2826" spans="1:18">
      <c r="A2826" s="2" t="s">
        <v>7133</v>
      </c>
      <c r="B2826" s="2" t="s">
        <v>186</v>
      </c>
      <c r="C2826" s="1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  <c r="L2826" s="2" t="s">
        <v>11029</v>
      </c>
      <c r="M2826" s="2" t="s">
        <v>11028</v>
      </c>
      <c r="N2826" s="2" t="s">
        <v>11037</v>
      </c>
      <c r="O2826" s="2" t="s">
        <v>11036</v>
      </c>
      <c r="P2826" s="2" t="s">
        <v>11037</v>
      </c>
      <c r="Q2826" s="2">
        <f>AVERAGE(PerfRate[[#This Row],[EnvironmentSatisfaction]],PerfRate[[#This Row],[JobSatisfaction]],PerfRate[[#This Row],[RelationshipSatisfaction]])</f>
        <v>3.6666666666666665</v>
      </c>
      <c r="R2826" s="2">
        <f>PerfRate[[#This Row],[ManagerRating]] - PerfRate[[#This Row],[SelfRating]]</f>
        <v>-1</v>
      </c>
    </row>
    <row r="2827" spans="1:18">
      <c r="A2827" s="2" t="s">
        <v>7134</v>
      </c>
      <c r="B2827" s="2" t="s">
        <v>1277</v>
      </c>
      <c r="C2827" s="1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  <c r="L2827" s="2" t="s">
        <v>11031</v>
      </c>
      <c r="M2827" s="2" t="s">
        <v>11031</v>
      </c>
      <c r="N2827" s="2" t="s">
        <v>11036</v>
      </c>
      <c r="O2827" s="2" t="s">
        <v>11037</v>
      </c>
      <c r="P2827" s="2" t="s">
        <v>11035</v>
      </c>
      <c r="Q2827" s="2">
        <f>AVERAGE(PerfRate[[#This Row],[EnvironmentSatisfaction]],PerfRate[[#This Row],[JobSatisfaction]],PerfRate[[#This Row],[RelationshipSatisfaction]])</f>
        <v>3</v>
      </c>
      <c r="R2827" s="2">
        <f>PerfRate[[#This Row],[ManagerRating]] - PerfRate[[#This Row],[SelfRating]]</f>
        <v>0</v>
      </c>
    </row>
    <row r="2828" spans="1:18">
      <c r="A2828" s="2" t="s">
        <v>7135</v>
      </c>
      <c r="B2828" s="2" t="s">
        <v>1635</v>
      </c>
      <c r="C2828" s="1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  <c r="L2828" s="2" t="s">
        <v>11029</v>
      </c>
      <c r="M2828" s="2" t="s">
        <v>11028</v>
      </c>
      <c r="N2828" s="2" t="s">
        <v>11037</v>
      </c>
      <c r="O2828" s="2" t="s">
        <v>11036</v>
      </c>
      <c r="P2828" s="2" t="s">
        <v>11037</v>
      </c>
      <c r="Q2828" s="2">
        <f>AVERAGE(PerfRate[[#This Row],[EnvironmentSatisfaction]],PerfRate[[#This Row],[JobSatisfaction]],PerfRate[[#This Row],[RelationshipSatisfaction]])</f>
        <v>3.6666666666666665</v>
      </c>
      <c r="R2828" s="2">
        <f>PerfRate[[#This Row],[ManagerRating]] - PerfRate[[#This Row],[SelfRating]]</f>
        <v>-1</v>
      </c>
    </row>
    <row r="2829" spans="1:18">
      <c r="A2829" s="2" t="s">
        <v>7136</v>
      </c>
      <c r="B2829" s="2" t="s">
        <v>311</v>
      </c>
      <c r="C2829" s="1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  <c r="L2829" s="2" t="s">
        <v>11031</v>
      </c>
      <c r="M2829" s="2" t="s">
        <v>11031</v>
      </c>
      <c r="N2829" s="2" t="s">
        <v>11036</v>
      </c>
      <c r="O2829" s="2" t="s">
        <v>11035</v>
      </c>
      <c r="P2829" s="2" t="s">
        <v>11037</v>
      </c>
      <c r="Q2829" s="2">
        <f>AVERAGE(PerfRate[[#This Row],[EnvironmentSatisfaction]],PerfRate[[#This Row],[JobSatisfaction]],PerfRate[[#This Row],[RelationshipSatisfaction]])</f>
        <v>3</v>
      </c>
      <c r="R2829" s="2">
        <f>PerfRate[[#This Row],[ManagerRating]] - PerfRate[[#This Row],[SelfRating]]</f>
        <v>0</v>
      </c>
    </row>
    <row r="2830" spans="1:18">
      <c r="A2830" s="2" t="s">
        <v>7137</v>
      </c>
      <c r="B2830" s="2" t="s">
        <v>413</v>
      </c>
      <c r="C2830" s="1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  <c r="L2830" s="2" t="s">
        <v>11031</v>
      </c>
      <c r="M2830" s="2" t="s">
        <v>11031</v>
      </c>
      <c r="N2830" s="2" t="s">
        <v>11038</v>
      </c>
      <c r="O2830" s="2" t="s">
        <v>11038</v>
      </c>
      <c r="P2830" s="2" t="s">
        <v>11037</v>
      </c>
      <c r="Q2830" s="2">
        <f>AVERAGE(PerfRate[[#This Row],[EnvironmentSatisfaction]],PerfRate[[#This Row],[JobSatisfaction]],PerfRate[[#This Row],[RelationshipSatisfaction]])</f>
        <v>4.666666666666667</v>
      </c>
      <c r="R2830" s="2">
        <f>PerfRate[[#This Row],[ManagerRating]] - PerfRate[[#This Row],[SelfRating]]</f>
        <v>0</v>
      </c>
    </row>
    <row r="2831" spans="1:18">
      <c r="A2831" s="2" t="s">
        <v>7138</v>
      </c>
      <c r="B2831" s="2" t="s">
        <v>3256</v>
      </c>
      <c r="C2831" s="1">
        <v>41645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  <c r="L2831" s="2" t="s">
        <v>11030</v>
      </c>
      <c r="M2831" s="2" t="s">
        <v>11030</v>
      </c>
      <c r="N2831" s="2" t="s">
        <v>11037</v>
      </c>
      <c r="O2831" s="2" t="s">
        <v>11035</v>
      </c>
      <c r="P2831" s="2" t="s">
        <v>11037</v>
      </c>
      <c r="Q2831" s="2">
        <f>AVERAGE(PerfRate[[#This Row],[EnvironmentSatisfaction]],PerfRate[[#This Row],[JobSatisfaction]],PerfRate[[#This Row],[RelationshipSatisfaction]])</f>
        <v>3.3333333333333335</v>
      </c>
      <c r="R2831" s="2">
        <f>PerfRate[[#This Row],[ManagerRating]] - PerfRate[[#This Row],[SelfRating]]</f>
        <v>0</v>
      </c>
    </row>
    <row r="2832" spans="1:18">
      <c r="A2832" s="2" t="s">
        <v>7139</v>
      </c>
      <c r="B2832" s="2" t="s">
        <v>949</v>
      </c>
      <c r="C2832" s="1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  <c r="L2832" s="2" t="s">
        <v>11030</v>
      </c>
      <c r="M2832" s="2" t="s">
        <v>11030</v>
      </c>
      <c r="N2832" s="2" t="s">
        <v>11038</v>
      </c>
      <c r="O2832" s="2" t="s">
        <v>11035</v>
      </c>
      <c r="P2832" s="2" t="s">
        <v>11035</v>
      </c>
      <c r="Q2832" s="2">
        <f>AVERAGE(PerfRate[[#This Row],[EnvironmentSatisfaction]],PerfRate[[#This Row],[JobSatisfaction]],PerfRate[[#This Row],[RelationshipSatisfaction]])</f>
        <v>3</v>
      </c>
      <c r="R2832" s="2">
        <f>PerfRate[[#This Row],[ManagerRating]] - PerfRate[[#This Row],[SelfRating]]</f>
        <v>0</v>
      </c>
    </row>
    <row r="2833" spans="1:18">
      <c r="A2833" s="2" t="s">
        <v>7140</v>
      </c>
      <c r="B2833" s="2" t="s">
        <v>1438</v>
      </c>
      <c r="C2833" s="1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  <c r="L2833" s="2" t="s">
        <v>11029</v>
      </c>
      <c r="M2833" s="2" t="s">
        <v>11028</v>
      </c>
      <c r="N2833" s="2" t="s">
        <v>11036</v>
      </c>
      <c r="O2833" s="2" t="s">
        <v>11038</v>
      </c>
      <c r="P2833" s="2" t="s">
        <v>11036</v>
      </c>
      <c r="Q2833" s="2">
        <f>AVERAGE(PerfRate[[#This Row],[EnvironmentSatisfaction]],PerfRate[[#This Row],[JobSatisfaction]],PerfRate[[#This Row],[RelationshipSatisfaction]])</f>
        <v>3.6666666666666665</v>
      </c>
      <c r="R2833" s="2">
        <f>PerfRate[[#This Row],[ManagerRating]] - PerfRate[[#This Row],[SelfRating]]</f>
        <v>-1</v>
      </c>
    </row>
    <row r="2834" spans="1:18">
      <c r="A2834" s="2" t="s">
        <v>7141</v>
      </c>
      <c r="B2834" s="2" t="s">
        <v>2065</v>
      </c>
      <c r="C2834" s="1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  <c r="L2834" s="2" t="s">
        <v>11031</v>
      </c>
      <c r="M2834" s="2" t="s">
        <v>11030</v>
      </c>
      <c r="N2834" s="2" t="s">
        <v>11037</v>
      </c>
      <c r="O2834" s="2" t="s">
        <v>11038</v>
      </c>
      <c r="P2834" s="2" t="s">
        <v>11036</v>
      </c>
      <c r="Q2834" s="2">
        <f>AVERAGE(PerfRate[[#This Row],[EnvironmentSatisfaction]],PerfRate[[#This Row],[JobSatisfaction]],PerfRate[[#This Row],[RelationshipSatisfaction]])</f>
        <v>4</v>
      </c>
      <c r="R2834" s="2">
        <f>PerfRate[[#This Row],[ManagerRating]] - PerfRate[[#This Row],[SelfRating]]</f>
        <v>-1</v>
      </c>
    </row>
    <row r="2835" spans="1:18">
      <c r="A2835" s="2" t="s">
        <v>7142</v>
      </c>
      <c r="B2835" s="2" t="s">
        <v>4035</v>
      </c>
      <c r="C2835" s="1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  <c r="L2835" s="2" t="s">
        <v>11030</v>
      </c>
      <c r="M2835" s="2" t="s">
        <v>11029</v>
      </c>
      <c r="N2835" s="2" t="s">
        <v>11036</v>
      </c>
      <c r="O2835" s="2" t="s">
        <v>11038</v>
      </c>
      <c r="P2835" s="2" t="s">
        <v>11038</v>
      </c>
      <c r="Q2835" s="2">
        <f>AVERAGE(PerfRate[[#This Row],[EnvironmentSatisfaction]],PerfRate[[#This Row],[JobSatisfaction]],PerfRate[[#This Row],[RelationshipSatisfaction]])</f>
        <v>4.333333333333333</v>
      </c>
      <c r="R2835" s="2">
        <f>PerfRate[[#This Row],[ManagerRating]] - PerfRate[[#This Row],[SelfRating]]</f>
        <v>-1</v>
      </c>
    </row>
    <row r="2836" spans="1:18">
      <c r="A2836" s="2" t="s">
        <v>7143</v>
      </c>
      <c r="B2836" s="2" t="s">
        <v>901</v>
      </c>
      <c r="C2836" s="1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  <c r="L2836" s="2" t="s">
        <v>11031</v>
      </c>
      <c r="M2836" s="2" t="s">
        <v>11031</v>
      </c>
      <c r="N2836" s="2" t="s">
        <v>11037</v>
      </c>
      <c r="O2836" s="2" t="s">
        <v>11038</v>
      </c>
      <c r="P2836" s="2" t="s">
        <v>11038</v>
      </c>
      <c r="Q2836" s="2">
        <f>AVERAGE(PerfRate[[#This Row],[EnvironmentSatisfaction]],PerfRate[[#This Row],[JobSatisfaction]],PerfRate[[#This Row],[RelationshipSatisfaction]])</f>
        <v>4.666666666666667</v>
      </c>
      <c r="R2836" s="2">
        <f>PerfRate[[#This Row],[ManagerRating]] - PerfRate[[#This Row],[SelfRating]]</f>
        <v>0</v>
      </c>
    </row>
    <row r="2837" spans="1:18">
      <c r="A2837" s="2" t="s">
        <v>7144</v>
      </c>
      <c r="B2837" s="2" t="s">
        <v>860</v>
      </c>
      <c r="C2837" s="1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  <c r="L2837" s="2" t="s">
        <v>11029</v>
      </c>
      <c r="M2837" s="2" t="s">
        <v>11029</v>
      </c>
      <c r="N2837" s="2" t="s">
        <v>11038</v>
      </c>
      <c r="O2837" s="2" t="s">
        <v>11038</v>
      </c>
      <c r="P2837" s="2" t="s">
        <v>11037</v>
      </c>
      <c r="Q2837" s="2">
        <f>AVERAGE(PerfRate[[#This Row],[EnvironmentSatisfaction]],PerfRate[[#This Row],[JobSatisfaction]],PerfRate[[#This Row],[RelationshipSatisfaction]])</f>
        <v>4.666666666666667</v>
      </c>
      <c r="R2837" s="2">
        <f>PerfRate[[#This Row],[ManagerRating]] - PerfRate[[#This Row],[SelfRating]]</f>
        <v>0</v>
      </c>
    </row>
    <row r="2838" spans="1:18">
      <c r="A2838" s="2" t="s">
        <v>7145</v>
      </c>
      <c r="B2838" s="2" t="s">
        <v>1623</v>
      </c>
      <c r="C2838" s="1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  <c r="L2838" s="2" t="s">
        <v>11030</v>
      </c>
      <c r="M2838" s="2" t="s">
        <v>11030</v>
      </c>
      <c r="N2838" s="2" t="s">
        <v>11036</v>
      </c>
      <c r="O2838" s="2" t="s">
        <v>11038</v>
      </c>
      <c r="P2838" s="2" t="s">
        <v>11038</v>
      </c>
      <c r="Q2838" s="2">
        <f>AVERAGE(PerfRate[[#This Row],[EnvironmentSatisfaction]],PerfRate[[#This Row],[JobSatisfaction]],PerfRate[[#This Row],[RelationshipSatisfaction]])</f>
        <v>4.333333333333333</v>
      </c>
      <c r="R2838" s="2">
        <f>PerfRate[[#This Row],[ManagerRating]] - PerfRate[[#This Row],[SelfRating]]</f>
        <v>0</v>
      </c>
    </row>
    <row r="2839" spans="1:18">
      <c r="A2839" s="2" t="s">
        <v>7146</v>
      </c>
      <c r="B2839" s="2" t="s">
        <v>1514</v>
      </c>
      <c r="C2839" s="1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  <c r="L2839" s="2" t="s">
        <v>11029</v>
      </c>
      <c r="M2839" s="2" t="s">
        <v>11029</v>
      </c>
      <c r="N2839" s="2" t="s">
        <v>11037</v>
      </c>
      <c r="O2839" s="2" t="s">
        <v>11035</v>
      </c>
      <c r="P2839" s="2" t="s">
        <v>11038</v>
      </c>
      <c r="Q2839" s="2">
        <f>AVERAGE(PerfRate[[#This Row],[EnvironmentSatisfaction]],PerfRate[[#This Row],[JobSatisfaction]],PerfRate[[#This Row],[RelationshipSatisfaction]])</f>
        <v>3.6666666666666665</v>
      </c>
      <c r="R2839" s="2">
        <f>PerfRate[[#This Row],[ManagerRating]] - PerfRate[[#This Row],[SelfRating]]</f>
        <v>0</v>
      </c>
    </row>
    <row r="2840" spans="1:18">
      <c r="A2840" s="2" t="s">
        <v>7147</v>
      </c>
      <c r="B2840" s="2" t="s">
        <v>2054</v>
      </c>
      <c r="C2840" s="1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  <c r="L2840" s="2" t="s">
        <v>11031</v>
      </c>
      <c r="M2840" s="2" t="s">
        <v>11031</v>
      </c>
      <c r="N2840" s="2" t="s">
        <v>11037</v>
      </c>
      <c r="O2840" s="2" t="s">
        <v>11037</v>
      </c>
      <c r="P2840" s="2" t="s">
        <v>11037</v>
      </c>
      <c r="Q2840" s="2">
        <f>AVERAGE(PerfRate[[#This Row],[EnvironmentSatisfaction]],PerfRate[[#This Row],[JobSatisfaction]],PerfRate[[#This Row],[RelationshipSatisfaction]])</f>
        <v>4</v>
      </c>
      <c r="R2840" s="2">
        <f>PerfRate[[#This Row],[ManagerRating]] - PerfRate[[#This Row],[SelfRating]]</f>
        <v>0</v>
      </c>
    </row>
    <row r="2841" spans="1:18">
      <c r="A2841" s="2" t="s">
        <v>7148</v>
      </c>
      <c r="B2841" s="2" t="s">
        <v>1776</v>
      </c>
      <c r="C2841" s="1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  <c r="L2841" s="2" t="s">
        <v>11030</v>
      </c>
      <c r="M2841" s="2" t="s">
        <v>11030</v>
      </c>
      <c r="N2841" s="2" t="s">
        <v>11036</v>
      </c>
      <c r="O2841" s="2" t="s">
        <v>11037</v>
      </c>
      <c r="P2841" s="2" t="s">
        <v>11036</v>
      </c>
      <c r="Q2841" s="2">
        <f>AVERAGE(PerfRate[[#This Row],[EnvironmentSatisfaction]],PerfRate[[#This Row],[JobSatisfaction]],PerfRate[[#This Row],[RelationshipSatisfaction]])</f>
        <v>3.3333333333333335</v>
      </c>
      <c r="R2841" s="2">
        <f>PerfRate[[#This Row],[ManagerRating]] - PerfRate[[#This Row],[SelfRating]]</f>
        <v>0</v>
      </c>
    </row>
    <row r="2842" spans="1:18">
      <c r="A2842" s="2" t="s">
        <v>7149</v>
      </c>
      <c r="B2842" s="2" t="s">
        <v>4263</v>
      </c>
      <c r="C2842" s="1">
        <v>41765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  <c r="L2842" s="2" t="s">
        <v>11029</v>
      </c>
      <c r="M2842" s="2" t="s">
        <v>11028</v>
      </c>
      <c r="N2842" s="2" t="s">
        <v>11038</v>
      </c>
      <c r="O2842" s="2" t="s">
        <v>11035</v>
      </c>
      <c r="P2842" s="2" t="s">
        <v>11036</v>
      </c>
      <c r="Q2842" s="2">
        <f>AVERAGE(PerfRate[[#This Row],[EnvironmentSatisfaction]],PerfRate[[#This Row],[JobSatisfaction]],PerfRate[[#This Row],[RelationshipSatisfaction]])</f>
        <v>3.3333333333333335</v>
      </c>
      <c r="R2842" s="2">
        <f>PerfRate[[#This Row],[ManagerRating]] - PerfRate[[#This Row],[SelfRating]]</f>
        <v>-1</v>
      </c>
    </row>
    <row r="2843" spans="1:18">
      <c r="A2843" s="2" t="s">
        <v>7150</v>
      </c>
      <c r="B2843" s="2" t="s">
        <v>3207</v>
      </c>
      <c r="C2843" s="1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  <c r="L2843" s="2" t="s">
        <v>11030</v>
      </c>
      <c r="M2843" s="2" t="s">
        <v>11030</v>
      </c>
      <c r="N2843" s="2" t="s">
        <v>11037</v>
      </c>
      <c r="O2843" s="2" t="s">
        <v>11037</v>
      </c>
      <c r="P2843" s="2" t="s">
        <v>11038</v>
      </c>
      <c r="Q2843" s="2">
        <f>AVERAGE(PerfRate[[#This Row],[EnvironmentSatisfaction]],PerfRate[[#This Row],[JobSatisfaction]],PerfRate[[#This Row],[RelationshipSatisfaction]])</f>
        <v>4.333333333333333</v>
      </c>
      <c r="R2843" s="2">
        <f>PerfRate[[#This Row],[ManagerRating]] - PerfRate[[#This Row],[SelfRating]]</f>
        <v>0</v>
      </c>
    </row>
    <row r="2844" spans="1:18">
      <c r="A2844" s="2" t="s">
        <v>7151</v>
      </c>
      <c r="B2844" s="2" t="s">
        <v>419</v>
      </c>
      <c r="C2844" s="1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  <c r="L2844" s="2" t="s">
        <v>11030</v>
      </c>
      <c r="M2844" s="2" t="s">
        <v>11029</v>
      </c>
      <c r="N2844" s="2" t="s">
        <v>11038</v>
      </c>
      <c r="O2844" s="2" t="s">
        <v>11035</v>
      </c>
      <c r="P2844" s="2" t="s">
        <v>11037</v>
      </c>
      <c r="Q2844" s="2">
        <f>AVERAGE(PerfRate[[#This Row],[EnvironmentSatisfaction]],PerfRate[[#This Row],[JobSatisfaction]],PerfRate[[#This Row],[RelationshipSatisfaction]])</f>
        <v>3.6666666666666665</v>
      </c>
      <c r="R2844" s="2">
        <f>PerfRate[[#This Row],[ManagerRating]] - PerfRate[[#This Row],[SelfRating]]</f>
        <v>-1</v>
      </c>
    </row>
    <row r="2845" spans="1:18">
      <c r="A2845" s="2" t="s">
        <v>7152</v>
      </c>
      <c r="B2845" s="2" t="s">
        <v>2856</v>
      </c>
      <c r="C2845" s="1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  <c r="L2845" s="2" t="s">
        <v>11029</v>
      </c>
      <c r="M2845" s="2" t="s">
        <v>11028</v>
      </c>
      <c r="N2845" s="2" t="s">
        <v>11038</v>
      </c>
      <c r="O2845" s="2" t="s">
        <v>11036</v>
      </c>
      <c r="P2845" s="2" t="s">
        <v>11036</v>
      </c>
      <c r="Q2845" s="2">
        <f>AVERAGE(PerfRate[[#This Row],[EnvironmentSatisfaction]],PerfRate[[#This Row],[JobSatisfaction]],PerfRate[[#This Row],[RelationshipSatisfaction]])</f>
        <v>3.6666666666666665</v>
      </c>
      <c r="R2845" s="2">
        <f>PerfRate[[#This Row],[ManagerRating]] - PerfRate[[#This Row],[SelfRating]]</f>
        <v>-1</v>
      </c>
    </row>
    <row r="2846" spans="1:18">
      <c r="A2846" s="2" t="s">
        <v>7153</v>
      </c>
      <c r="B2846" s="2" t="s">
        <v>628</v>
      </c>
      <c r="C2846" s="1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  <c r="L2846" s="2" t="s">
        <v>11029</v>
      </c>
      <c r="M2846" s="2" t="s">
        <v>11028</v>
      </c>
      <c r="N2846" s="2" t="s">
        <v>11036</v>
      </c>
      <c r="O2846" s="2" t="s">
        <v>11038</v>
      </c>
      <c r="P2846" s="2" t="s">
        <v>11035</v>
      </c>
      <c r="Q2846" s="2">
        <f>AVERAGE(PerfRate[[#This Row],[EnvironmentSatisfaction]],PerfRate[[#This Row],[JobSatisfaction]],PerfRate[[#This Row],[RelationshipSatisfaction]])</f>
        <v>3.3333333333333335</v>
      </c>
      <c r="R2846" s="2">
        <f>PerfRate[[#This Row],[ManagerRating]] - PerfRate[[#This Row],[SelfRating]]</f>
        <v>-1</v>
      </c>
    </row>
    <row r="2847" spans="1:18">
      <c r="A2847" s="2" t="s">
        <v>7154</v>
      </c>
      <c r="B2847" s="2" t="s">
        <v>997</v>
      </c>
      <c r="C2847" s="1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  <c r="L2847" s="2" t="s">
        <v>11031</v>
      </c>
      <c r="M2847" s="2" t="s">
        <v>11031</v>
      </c>
      <c r="N2847" s="2" t="s">
        <v>11037</v>
      </c>
      <c r="O2847" s="2" t="s">
        <v>11036</v>
      </c>
      <c r="P2847" s="2" t="s">
        <v>11038</v>
      </c>
      <c r="Q2847" s="2">
        <f>AVERAGE(PerfRate[[#This Row],[EnvironmentSatisfaction]],PerfRate[[#This Row],[JobSatisfaction]],PerfRate[[#This Row],[RelationshipSatisfaction]])</f>
        <v>4</v>
      </c>
      <c r="R2847" s="2">
        <f>PerfRate[[#This Row],[ManagerRating]] - PerfRate[[#This Row],[SelfRating]]</f>
        <v>0</v>
      </c>
    </row>
    <row r="2848" spans="1:18">
      <c r="A2848" s="2" t="s">
        <v>7155</v>
      </c>
      <c r="B2848" s="2" t="s">
        <v>2062</v>
      </c>
      <c r="C2848" s="1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  <c r="L2848" s="2" t="s">
        <v>11030</v>
      </c>
      <c r="M2848" s="2" t="s">
        <v>11029</v>
      </c>
      <c r="N2848" s="2" t="s">
        <v>11038</v>
      </c>
      <c r="O2848" s="2" t="s">
        <v>11036</v>
      </c>
      <c r="P2848" s="2" t="s">
        <v>11038</v>
      </c>
      <c r="Q2848" s="2">
        <f>AVERAGE(PerfRate[[#This Row],[EnvironmentSatisfaction]],PerfRate[[#This Row],[JobSatisfaction]],PerfRate[[#This Row],[RelationshipSatisfaction]])</f>
        <v>4.333333333333333</v>
      </c>
      <c r="R2848" s="2">
        <f>PerfRate[[#This Row],[ManagerRating]] - PerfRate[[#This Row],[SelfRating]]</f>
        <v>-1</v>
      </c>
    </row>
    <row r="2849" spans="1:18">
      <c r="A2849" s="2" t="s">
        <v>7156</v>
      </c>
      <c r="B2849" s="2" t="s">
        <v>788</v>
      </c>
      <c r="C2849" s="1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  <c r="L2849" s="2" t="s">
        <v>11029</v>
      </c>
      <c r="M2849" s="2" t="s">
        <v>11029</v>
      </c>
      <c r="N2849" s="2" t="s">
        <v>11036</v>
      </c>
      <c r="O2849" s="2" t="s">
        <v>11035</v>
      </c>
      <c r="P2849" s="2" t="s">
        <v>11038</v>
      </c>
      <c r="Q2849" s="2">
        <f>AVERAGE(PerfRate[[#This Row],[EnvironmentSatisfaction]],PerfRate[[#This Row],[JobSatisfaction]],PerfRate[[#This Row],[RelationshipSatisfaction]])</f>
        <v>3.3333333333333335</v>
      </c>
      <c r="R2849" s="2">
        <f>PerfRate[[#This Row],[ManagerRating]] - PerfRate[[#This Row],[SelfRating]]</f>
        <v>0</v>
      </c>
    </row>
    <row r="2850" spans="1:18">
      <c r="A2850" s="2" t="s">
        <v>7157</v>
      </c>
      <c r="B2850" s="2" t="s">
        <v>368</v>
      </c>
      <c r="C2850" s="1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  <c r="L2850" s="2" t="s">
        <v>11029</v>
      </c>
      <c r="M2850" s="2" t="s">
        <v>11029</v>
      </c>
      <c r="N2850" s="2" t="s">
        <v>11038</v>
      </c>
      <c r="O2850" s="2" t="s">
        <v>11038</v>
      </c>
      <c r="P2850" s="2" t="s">
        <v>11037</v>
      </c>
      <c r="Q2850" s="2">
        <f>AVERAGE(PerfRate[[#This Row],[EnvironmentSatisfaction]],PerfRate[[#This Row],[JobSatisfaction]],PerfRate[[#This Row],[RelationshipSatisfaction]])</f>
        <v>4.666666666666667</v>
      </c>
      <c r="R2850" s="2">
        <f>PerfRate[[#This Row],[ManagerRating]] - PerfRate[[#This Row],[SelfRating]]</f>
        <v>0</v>
      </c>
    </row>
    <row r="2851" spans="1:18">
      <c r="A2851" s="2" t="s">
        <v>7158</v>
      </c>
      <c r="B2851" s="2" t="s">
        <v>287</v>
      </c>
      <c r="C2851" s="1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  <c r="L2851" s="2" t="s">
        <v>11031</v>
      </c>
      <c r="M2851" s="2" t="s">
        <v>11030</v>
      </c>
      <c r="N2851" s="2" t="s">
        <v>11038</v>
      </c>
      <c r="O2851" s="2" t="s">
        <v>11038</v>
      </c>
      <c r="P2851" s="2" t="s">
        <v>11038</v>
      </c>
      <c r="Q2851" s="2">
        <f>AVERAGE(PerfRate[[#This Row],[EnvironmentSatisfaction]],PerfRate[[#This Row],[JobSatisfaction]],PerfRate[[#This Row],[RelationshipSatisfaction]])</f>
        <v>5</v>
      </c>
      <c r="R2851" s="2">
        <f>PerfRate[[#This Row],[ManagerRating]] - PerfRate[[#This Row],[SelfRating]]</f>
        <v>-1</v>
      </c>
    </row>
    <row r="2852" spans="1:18">
      <c r="A2852" s="2" t="s">
        <v>7159</v>
      </c>
      <c r="B2852" s="2" t="s">
        <v>866</v>
      </c>
      <c r="C2852" s="1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  <c r="L2852" s="2" t="s">
        <v>11030</v>
      </c>
      <c r="M2852" s="2" t="s">
        <v>11029</v>
      </c>
      <c r="N2852" s="2" t="s">
        <v>11037</v>
      </c>
      <c r="O2852" s="2" t="s">
        <v>11037</v>
      </c>
      <c r="P2852" s="2" t="s">
        <v>11036</v>
      </c>
      <c r="Q2852" s="2">
        <f>AVERAGE(PerfRate[[#This Row],[EnvironmentSatisfaction]],PerfRate[[#This Row],[JobSatisfaction]],PerfRate[[#This Row],[RelationshipSatisfaction]])</f>
        <v>3.6666666666666665</v>
      </c>
      <c r="R2852" s="2">
        <f>PerfRate[[#This Row],[ManagerRating]] - PerfRate[[#This Row],[SelfRating]]</f>
        <v>-1</v>
      </c>
    </row>
    <row r="2853" spans="1:18">
      <c r="A2853" s="2" t="s">
        <v>7160</v>
      </c>
      <c r="B2853" s="2" t="s">
        <v>3673</v>
      </c>
      <c r="C2853" s="1">
        <v>41826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  <c r="L2853" s="2" t="s">
        <v>11029</v>
      </c>
      <c r="M2853" s="2" t="s">
        <v>11029</v>
      </c>
      <c r="N2853" s="2" t="s">
        <v>11038</v>
      </c>
      <c r="O2853" s="2" t="s">
        <v>11037</v>
      </c>
      <c r="P2853" s="2" t="s">
        <v>11035</v>
      </c>
      <c r="Q2853" s="2">
        <f>AVERAGE(PerfRate[[#This Row],[EnvironmentSatisfaction]],PerfRate[[#This Row],[JobSatisfaction]],PerfRate[[#This Row],[RelationshipSatisfaction]])</f>
        <v>3.6666666666666665</v>
      </c>
      <c r="R2853" s="2">
        <f>PerfRate[[#This Row],[ManagerRating]] - PerfRate[[#This Row],[SelfRating]]</f>
        <v>0</v>
      </c>
    </row>
    <row r="2854" spans="1:18">
      <c r="A2854" s="2" t="s">
        <v>7161</v>
      </c>
      <c r="B2854" s="2" t="s">
        <v>1638</v>
      </c>
      <c r="C2854" s="1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  <c r="L2854" s="2" t="s">
        <v>11031</v>
      </c>
      <c r="M2854" s="2" t="s">
        <v>11030</v>
      </c>
      <c r="N2854" s="2" t="s">
        <v>11037</v>
      </c>
      <c r="O2854" s="2" t="s">
        <v>11037</v>
      </c>
      <c r="P2854" s="2" t="s">
        <v>11035</v>
      </c>
      <c r="Q2854" s="2">
        <f>AVERAGE(PerfRate[[#This Row],[EnvironmentSatisfaction]],PerfRate[[#This Row],[JobSatisfaction]],PerfRate[[#This Row],[RelationshipSatisfaction]])</f>
        <v>3.3333333333333335</v>
      </c>
      <c r="R2854" s="2">
        <f>PerfRate[[#This Row],[ManagerRating]] - PerfRate[[#This Row],[SelfRating]]</f>
        <v>-1</v>
      </c>
    </row>
    <row r="2855" spans="1:18">
      <c r="A2855" s="2" t="s">
        <v>7162</v>
      </c>
      <c r="B2855" s="2" t="s">
        <v>2089</v>
      </c>
      <c r="C2855" s="1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  <c r="L2855" s="2" t="s">
        <v>11029</v>
      </c>
      <c r="M2855" s="2" t="s">
        <v>11029</v>
      </c>
      <c r="N2855" s="2" t="s">
        <v>11037</v>
      </c>
      <c r="O2855" s="2" t="s">
        <v>11036</v>
      </c>
      <c r="P2855" s="2" t="s">
        <v>11035</v>
      </c>
      <c r="Q2855" s="2">
        <f>AVERAGE(PerfRate[[#This Row],[EnvironmentSatisfaction]],PerfRate[[#This Row],[JobSatisfaction]],PerfRate[[#This Row],[RelationshipSatisfaction]])</f>
        <v>3</v>
      </c>
      <c r="R2855" s="2">
        <f>PerfRate[[#This Row],[ManagerRating]] - PerfRate[[#This Row],[SelfRating]]</f>
        <v>0</v>
      </c>
    </row>
    <row r="2856" spans="1:18">
      <c r="A2856" s="2" t="s">
        <v>7163</v>
      </c>
      <c r="B2856" s="2" t="s">
        <v>1862</v>
      </c>
      <c r="C2856" s="1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  <c r="L2856" s="2" t="s">
        <v>11030</v>
      </c>
      <c r="M2856" s="2" t="s">
        <v>11029</v>
      </c>
      <c r="N2856" s="2" t="s">
        <v>11036</v>
      </c>
      <c r="O2856" s="2" t="s">
        <v>11036</v>
      </c>
      <c r="P2856" s="2" t="s">
        <v>11036</v>
      </c>
      <c r="Q2856" s="2">
        <f>AVERAGE(PerfRate[[#This Row],[EnvironmentSatisfaction]],PerfRate[[#This Row],[JobSatisfaction]],PerfRate[[#This Row],[RelationshipSatisfaction]])</f>
        <v>3</v>
      </c>
      <c r="R2856" s="2">
        <f>PerfRate[[#This Row],[ManagerRating]] - PerfRate[[#This Row],[SelfRating]]</f>
        <v>-1</v>
      </c>
    </row>
    <row r="2857" spans="1:18">
      <c r="A2857" s="2" t="s">
        <v>7164</v>
      </c>
      <c r="B2857" s="2" t="s">
        <v>3572</v>
      </c>
      <c r="C2857" s="1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  <c r="L2857" s="2" t="s">
        <v>11029</v>
      </c>
      <c r="M2857" s="2" t="s">
        <v>11029</v>
      </c>
      <c r="N2857" s="2" t="s">
        <v>11038</v>
      </c>
      <c r="O2857" s="2" t="s">
        <v>11038</v>
      </c>
      <c r="P2857" s="2" t="s">
        <v>11037</v>
      </c>
      <c r="Q2857" s="2">
        <f>AVERAGE(PerfRate[[#This Row],[EnvironmentSatisfaction]],PerfRate[[#This Row],[JobSatisfaction]],PerfRate[[#This Row],[RelationshipSatisfaction]])</f>
        <v>4.666666666666667</v>
      </c>
      <c r="R2857" s="2">
        <f>PerfRate[[#This Row],[ManagerRating]] - PerfRate[[#This Row],[SelfRating]]</f>
        <v>0</v>
      </c>
    </row>
    <row r="2858" spans="1:18">
      <c r="A2858" s="2" t="s">
        <v>7165</v>
      </c>
      <c r="B2858" s="2" t="s">
        <v>204</v>
      </c>
      <c r="C2858" s="1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  <c r="L2858" s="2" t="s">
        <v>11030</v>
      </c>
      <c r="M2858" s="2" t="s">
        <v>11029</v>
      </c>
      <c r="N2858" s="2" t="s">
        <v>11038</v>
      </c>
      <c r="O2858" s="2" t="s">
        <v>11036</v>
      </c>
      <c r="P2858" s="2" t="s">
        <v>11037</v>
      </c>
      <c r="Q2858" s="2">
        <f>AVERAGE(PerfRate[[#This Row],[EnvironmentSatisfaction]],PerfRate[[#This Row],[JobSatisfaction]],PerfRate[[#This Row],[RelationshipSatisfaction]])</f>
        <v>4</v>
      </c>
      <c r="R2858" s="2">
        <f>PerfRate[[#This Row],[ManagerRating]] - PerfRate[[#This Row],[SelfRating]]</f>
        <v>-1</v>
      </c>
    </row>
    <row r="2859" spans="1:18">
      <c r="A2859" s="2" t="s">
        <v>7166</v>
      </c>
      <c r="B2859" s="2" t="s">
        <v>904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  <c r="L2859" s="2" t="s">
        <v>11029</v>
      </c>
      <c r="M2859" s="2" t="s">
        <v>11029</v>
      </c>
      <c r="N2859" s="2" t="s">
        <v>11037</v>
      </c>
      <c r="O2859" s="2" t="s">
        <v>11038</v>
      </c>
      <c r="P2859" s="2" t="s">
        <v>11037</v>
      </c>
      <c r="Q2859" s="2">
        <f>AVERAGE(PerfRate[[#This Row],[EnvironmentSatisfaction]],PerfRate[[#This Row],[JobSatisfaction]],PerfRate[[#This Row],[RelationshipSatisfaction]])</f>
        <v>4.333333333333333</v>
      </c>
      <c r="R2859" s="2">
        <f>PerfRate[[#This Row],[ManagerRating]] - PerfRate[[#This Row],[SelfRating]]</f>
        <v>0</v>
      </c>
    </row>
    <row r="2860" spans="1:18">
      <c r="A2860" s="2" t="s">
        <v>7167</v>
      </c>
      <c r="B2860" s="2" t="s">
        <v>1429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  <c r="L2860" s="2" t="s">
        <v>11029</v>
      </c>
      <c r="M2860" s="2" t="s">
        <v>11028</v>
      </c>
      <c r="N2860" s="2" t="s">
        <v>11037</v>
      </c>
      <c r="O2860" s="2" t="s">
        <v>11037</v>
      </c>
      <c r="P2860" s="2" t="s">
        <v>11036</v>
      </c>
      <c r="Q2860" s="2">
        <f>AVERAGE(PerfRate[[#This Row],[EnvironmentSatisfaction]],PerfRate[[#This Row],[JobSatisfaction]],PerfRate[[#This Row],[RelationshipSatisfaction]])</f>
        <v>3.6666666666666665</v>
      </c>
      <c r="R2860" s="2">
        <f>PerfRate[[#This Row],[ManagerRating]] - PerfRate[[#This Row],[SelfRating]]</f>
        <v>-1</v>
      </c>
    </row>
    <row r="2861" spans="1:18">
      <c r="A2861" s="2" t="s">
        <v>7168</v>
      </c>
      <c r="B2861" s="2" t="s">
        <v>2083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  <c r="L2861" s="2" t="s">
        <v>11031</v>
      </c>
      <c r="M2861" s="2" t="s">
        <v>11031</v>
      </c>
      <c r="N2861" s="2" t="s">
        <v>11036</v>
      </c>
      <c r="O2861" s="2" t="s">
        <v>11038</v>
      </c>
      <c r="P2861" s="2" t="s">
        <v>11038</v>
      </c>
      <c r="Q2861" s="2">
        <f>AVERAGE(PerfRate[[#This Row],[EnvironmentSatisfaction]],PerfRate[[#This Row],[JobSatisfaction]],PerfRate[[#This Row],[RelationshipSatisfaction]])</f>
        <v>4.333333333333333</v>
      </c>
      <c r="R2861" s="2">
        <f>PerfRate[[#This Row],[ManagerRating]] - PerfRate[[#This Row],[SelfRating]]</f>
        <v>0</v>
      </c>
    </row>
    <row r="2862" spans="1:18">
      <c r="A2862" s="2" t="s">
        <v>7169</v>
      </c>
      <c r="B2862" s="2" t="s">
        <v>2272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  <c r="L2862" s="2" t="s">
        <v>11031</v>
      </c>
      <c r="M2862" s="2" t="s">
        <v>11031</v>
      </c>
      <c r="N2862" s="2" t="s">
        <v>11038</v>
      </c>
      <c r="O2862" s="2" t="s">
        <v>11037</v>
      </c>
      <c r="P2862" s="2" t="s">
        <v>11036</v>
      </c>
      <c r="Q2862" s="2">
        <f>AVERAGE(PerfRate[[#This Row],[EnvironmentSatisfaction]],PerfRate[[#This Row],[JobSatisfaction]],PerfRate[[#This Row],[RelationshipSatisfaction]])</f>
        <v>4</v>
      </c>
      <c r="R2862" s="2">
        <f>PerfRate[[#This Row],[ManagerRating]] - PerfRate[[#This Row],[SelfRating]]</f>
        <v>0</v>
      </c>
    </row>
    <row r="2863" spans="1:18">
      <c r="A2863" s="2" t="s">
        <v>7170</v>
      </c>
      <c r="B2863" s="2" t="s">
        <v>1235</v>
      </c>
      <c r="C2863" s="1">
        <v>43862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  <c r="L2863" s="2" t="s">
        <v>11030</v>
      </c>
      <c r="M2863" s="2" t="s">
        <v>11030</v>
      </c>
      <c r="N2863" s="2" t="s">
        <v>11037</v>
      </c>
      <c r="O2863" s="2" t="s">
        <v>11035</v>
      </c>
      <c r="P2863" s="2" t="s">
        <v>11038</v>
      </c>
      <c r="Q2863" s="2">
        <f>AVERAGE(PerfRate[[#This Row],[EnvironmentSatisfaction]],PerfRate[[#This Row],[JobSatisfaction]],PerfRate[[#This Row],[RelationshipSatisfaction]])</f>
        <v>3.6666666666666665</v>
      </c>
      <c r="R2863" s="2">
        <f>PerfRate[[#This Row],[ManagerRating]] - PerfRate[[#This Row],[SelfRating]]</f>
        <v>0</v>
      </c>
    </row>
    <row r="2864" spans="1:18">
      <c r="A2864" s="2" t="s">
        <v>7171</v>
      </c>
      <c r="B2864" s="2" t="s">
        <v>3051</v>
      </c>
      <c r="C2864" s="1">
        <v>41918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  <c r="L2864" s="2" t="s">
        <v>11031</v>
      </c>
      <c r="M2864" s="2" t="s">
        <v>11030</v>
      </c>
      <c r="N2864" s="2" t="s">
        <v>11037</v>
      </c>
      <c r="O2864" s="2" t="s">
        <v>11037</v>
      </c>
      <c r="P2864" s="2" t="s">
        <v>11038</v>
      </c>
      <c r="Q2864" s="2">
        <f>AVERAGE(PerfRate[[#This Row],[EnvironmentSatisfaction]],PerfRate[[#This Row],[JobSatisfaction]],PerfRate[[#This Row],[RelationshipSatisfaction]])</f>
        <v>4.333333333333333</v>
      </c>
      <c r="R2864" s="2">
        <f>PerfRate[[#This Row],[ManagerRating]] - PerfRate[[#This Row],[SelfRating]]</f>
        <v>-1</v>
      </c>
    </row>
    <row r="2865" spans="1:18">
      <c r="A2865" s="2" t="s">
        <v>7172</v>
      </c>
      <c r="B2865" s="2" t="s">
        <v>1326</v>
      </c>
      <c r="C2865" s="1">
        <v>43862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  <c r="L2865" s="2" t="s">
        <v>11029</v>
      </c>
      <c r="M2865" s="2" t="s">
        <v>11029</v>
      </c>
      <c r="N2865" s="2" t="s">
        <v>11038</v>
      </c>
      <c r="O2865" s="2" t="s">
        <v>11037</v>
      </c>
      <c r="P2865" s="2" t="s">
        <v>11036</v>
      </c>
      <c r="Q2865" s="2">
        <f>AVERAGE(PerfRate[[#This Row],[EnvironmentSatisfaction]],PerfRate[[#This Row],[JobSatisfaction]],PerfRate[[#This Row],[RelationshipSatisfaction]])</f>
        <v>4</v>
      </c>
      <c r="R2865" s="2">
        <f>PerfRate[[#This Row],[ManagerRating]] - PerfRate[[#This Row],[SelfRating]]</f>
        <v>0</v>
      </c>
    </row>
    <row r="2866" spans="1:18">
      <c r="A2866" s="2" t="s">
        <v>7173</v>
      </c>
      <c r="B2866" s="2" t="s">
        <v>320</v>
      </c>
      <c r="C2866" s="1">
        <v>43862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  <c r="L2866" s="2" t="s">
        <v>11029</v>
      </c>
      <c r="M2866" s="2" t="s">
        <v>11029</v>
      </c>
      <c r="N2866" s="2" t="s">
        <v>11036</v>
      </c>
      <c r="O2866" s="2" t="s">
        <v>11036</v>
      </c>
      <c r="P2866" s="2" t="s">
        <v>11038</v>
      </c>
      <c r="Q2866" s="2">
        <f>AVERAGE(PerfRate[[#This Row],[EnvironmentSatisfaction]],PerfRate[[#This Row],[JobSatisfaction]],PerfRate[[#This Row],[RelationshipSatisfaction]])</f>
        <v>3.6666666666666665</v>
      </c>
      <c r="R2866" s="2">
        <f>PerfRate[[#This Row],[ManagerRating]] - PerfRate[[#This Row],[SelfRating]]</f>
        <v>0</v>
      </c>
    </row>
    <row r="2867" spans="1:18">
      <c r="A2867" s="2" t="s">
        <v>7174</v>
      </c>
      <c r="B2867" s="2" t="s">
        <v>1068</v>
      </c>
      <c r="C2867" s="1">
        <v>43862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  <c r="L2867" s="2" t="s">
        <v>11031</v>
      </c>
      <c r="M2867" s="2" t="s">
        <v>11031</v>
      </c>
      <c r="N2867" s="2" t="s">
        <v>11037</v>
      </c>
      <c r="O2867" s="2" t="s">
        <v>11038</v>
      </c>
      <c r="P2867" s="2" t="s">
        <v>11035</v>
      </c>
      <c r="Q2867" s="2">
        <f>AVERAGE(PerfRate[[#This Row],[EnvironmentSatisfaction]],PerfRate[[#This Row],[JobSatisfaction]],PerfRate[[#This Row],[RelationshipSatisfaction]])</f>
        <v>3.6666666666666665</v>
      </c>
      <c r="R2867" s="2">
        <f>PerfRate[[#This Row],[ManagerRating]] - PerfRate[[#This Row],[SelfRating]]</f>
        <v>0</v>
      </c>
    </row>
    <row r="2868" spans="1:18">
      <c r="A2868" s="2" t="s">
        <v>7175</v>
      </c>
      <c r="B2868" s="2" t="s">
        <v>1435</v>
      </c>
      <c r="C2868" s="1">
        <v>43891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  <c r="L2868" s="2" t="s">
        <v>11031</v>
      </c>
      <c r="M2868" s="2" t="s">
        <v>11030</v>
      </c>
      <c r="N2868" s="2" t="s">
        <v>11038</v>
      </c>
      <c r="O2868" s="2" t="s">
        <v>11038</v>
      </c>
      <c r="P2868" s="2" t="s">
        <v>11035</v>
      </c>
      <c r="Q2868" s="2">
        <f>AVERAGE(PerfRate[[#This Row],[EnvironmentSatisfaction]],PerfRate[[#This Row],[JobSatisfaction]],PerfRate[[#This Row],[RelationshipSatisfaction]])</f>
        <v>4</v>
      </c>
      <c r="R2868" s="2">
        <f>PerfRate[[#This Row],[ManagerRating]] - PerfRate[[#This Row],[SelfRating]]</f>
        <v>-1</v>
      </c>
    </row>
    <row r="2869" spans="1:18">
      <c r="A2869" s="2" t="s">
        <v>7176</v>
      </c>
      <c r="B2869" s="2" t="s">
        <v>1030</v>
      </c>
      <c r="C2869" s="1">
        <v>43891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  <c r="L2869" s="2" t="s">
        <v>11030</v>
      </c>
      <c r="M2869" s="2" t="s">
        <v>11029</v>
      </c>
      <c r="N2869" s="2" t="s">
        <v>11038</v>
      </c>
      <c r="O2869" s="2" t="s">
        <v>11038</v>
      </c>
      <c r="P2869" s="2" t="s">
        <v>11037</v>
      </c>
      <c r="Q2869" s="2">
        <f>AVERAGE(PerfRate[[#This Row],[EnvironmentSatisfaction]],PerfRate[[#This Row],[JobSatisfaction]],PerfRate[[#This Row],[RelationshipSatisfaction]])</f>
        <v>4.666666666666667</v>
      </c>
      <c r="R2869" s="2">
        <f>PerfRate[[#This Row],[ManagerRating]] - PerfRate[[#This Row],[SelfRating]]</f>
        <v>-1</v>
      </c>
    </row>
    <row r="2870" spans="1:18">
      <c r="A2870" s="2" t="s">
        <v>7177</v>
      </c>
      <c r="B2870" s="2" t="s">
        <v>1841</v>
      </c>
      <c r="C2870" s="1">
        <v>43891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  <c r="L2870" s="2" t="s">
        <v>11031</v>
      </c>
      <c r="M2870" s="2" t="s">
        <v>11031</v>
      </c>
      <c r="N2870" s="2" t="s">
        <v>11036</v>
      </c>
      <c r="O2870" s="2" t="s">
        <v>11037</v>
      </c>
      <c r="P2870" s="2" t="s">
        <v>11035</v>
      </c>
      <c r="Q2870" s="2">
        <f>AVERAGE(PerfRate[[#This Row],[EnvironmentSatisfaction]],PerfRate[[#This Row],[JobSatisfaction]],PerfRate[[#This Row],[RelationshipSatisfaction]])</f>
        <v>3</v>
      </c>
      <c r="R2870" s="2">
        <f>PerfRate[[#This Row],[ManagerRating]] - PerfRate[[#This Row],[SelfRating]]</f>
        <v>0</v>
      </c>
    </row>
    <row r="2871" spans="1:18">
      <c r="A2871" s="2" t="s">
        <v>7178</v>
      </c>
      <c r="B2871" s="2" t="s">
        <v>2190</v>
      </c>
      <c r="C2871" s="1">
        <v>43891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  <c r="L2871" s="2" t="s">
        <v>11029</v>
      </c>
      <c r="M2871" s="2" t="s">
        <v>11029</v>
      </c>
      <c r="N2871" s="2" t="s">
        <v>11036</v>
      </c>
      <c r="O2871" s="2" t="s">
        <v>11037</v>
      </c>
      <c r="P2871" s="2" t="s">
        <v>11035</v>
      </c>
      <c r="Q2871" s="2">
        <f>AVERAGE(PerfRate[[#This Row],[EnvironmentSatisfaction]],PerfRate[[#This Row],[JobSatisfaction]],PerfRate[[#This Row],[RelationshipSatisfaction]])</f>
        <v>3</v>
      </c>
      <c r="R2871" s="2">
        <f>PerfRate[[#This Row],[ManagerRating]] - PerfRate[[#This Row],[SelfRating]]</f>
        <v>0</v>
      </c>
    </row>
    <row r="2872" spans="1:18">
      <c r="A2872" s="2" t="s">
        <v>7179</v>
      </c>
      <c r="B2872" s="2" t="s">
        <v>2260</v>
      </c>
      <c r="C2872" s="1">
        <v>43891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  <c r="L2872" s="2" t="s">
        <v>11031</v>
      </c>
      <c r="M2872" s="2" t="s">
        <v>11031</v>
      </c>
      <c r="N2872" s="2" t="s">
        <v>11037</v>
      </c>
      <c r="O2872" s="2" t="s">
        <v>11038</v>
      </c>
      <c r="P2872" s="2" t="s">
        <v>11038</v>
      </c>
      <c r="Q2872" s="2">
        <f>AVERAGE(PerfRate[[#This Row],[EnvironmentSatisfaction]],PerfRate[[#This Row],[JobSatisfaction]],PerfRate[[#This Row],[RelationshipSatisfaction]])</f>
        <v>4.666666666666667</v>
      </c>
      <c r="R2872" s="2">
        <f>PerfRate[[#This Row],[ManagerRating]] - PerfRate[[#This Row],[SelfRating]]</f>
        <v>0</v>
      </c>
    </row>
    <row r="2873" spans="1:18">
      <c r="A2873" s="2" t="s">
        <v>7180</v>
      </c>
      <c r="B2873" s="2" t="s">
        <v>260</v>
      </c>
      <c r="C2873" s="1">
        <v>43922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  <c r="L2873" s="2" t="s">
        <v>11031</v>
      </c>
      <c r="M2873" s="2" t="s">
        <v>11031</v>
      </c>
      <c r="N2873" s="2" t="s">
        <v>11036</v>
      </c>
      <c r="O2873" s="2" t="s">
        <v>11038</v>
      </c>
      <c r="P2873" s="2" t="s">
        <v>11036</v>
      </c>
      <c r="Q2873" s="2">
        <f>AVERAGE(PerfRate[[#This Row],[EnvironmentSatisfaction]],PerfRate[[#This Row],[JobSatisfaction]],PerfRate[[#This Row],[RelationshipSatisfaction]])</f>
        <v>3.6666666666666665</v>
      </c>
      <c r="R2873" s="2">
        <f>PerfRate[[#This Row],[ManagerRating]] - PerfRate[[#This Row],[SelfRating]]</f>
        <v>0</v>
      </c>
    </row>
    <row r="2874" spans="1:18">
      <c r="A2874" s="2" t="s">
        <v>7181</v>
      </c>
      <c r="B2874" s="2" t="s">
        <v>892</v>
      </c>
      <c r="C2874" s="1">
        <v>43952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  <c r="L2874" s="2" t="s">
        <v>11029</v>
      </c>
      <c r="M2874" s="2" t="s">
        <v>11029</v>
      </c>
      <c r="N2874" s="2" t="s">
        <v>11036</v>
      </c>
      <c r="O2874" s="2" t="s">
        <v>11036</v>
      </c>
      <c r="P2874" s="2" t="s">
        <v>11037</v>
      </c>
      <c r="Q2874" s="2">
        <f>AVERAGE(PerfRate[[#This Row],[EnvironmentSatisfaction]],PerfRate[[#This Row],[JobSatisfaction]],PerfRate[[#This Row],[RelationshipSatisfaction]])</f>
        <v>3.3333333333333335</v>
      </c>
      <c r="R2874" s="2">
        <f>PerfRate[[#This Row],[ManagerRating]] - PerfRate[[#This Row],[SelfRating]]</f>
        <v>0</v>
      </c>
    </row>
    <row r="2875" spans="1:18">
      <c r="A2875" s="2" t="s">
        <v>7182</v>
      </c>
      <c r="B2875" s="2" t="s">
        <v>1724</v>
      </c>
      <c r="C2875" s="1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  <c r="L2875" s="2" t="s">
        <v>11030</v>
      </c>
      <c r="M2875" s="2" t="s">
        <v>11029</v>
      </c>
      <c r="N2875" s="2" t="s">
        <v>11037</v>
      </c>
      <c r="O2875" s="2" t="s">
        <v>11038</v>
      </c>
      <c r="P2875" s="2" t="s">
        <v>11037</v>
      </c>
      <c r="Q2875" s="2">
        <f>AVERAGE(PerfRate[[#This Row],[EnvironmentSatisfaction]],PerfRate[[#This Row],[JobSatisfaction]],PerfRate[[#This Row],[RelationshipSatisfaction]])</f>
        <v>4.333333333333333</v>
      </c>
      <c r="R2875" s="2">
        <f>PerfRate[[#This Row],[ManagerRating]] - PerfRate[[#This Row],[SelfRating]]</f>
        <v>-1</v>
      </c>
    </row>
    <row r="2876" spans="1:18">
      <c r="A2876" s="2" t="s">
        <v>7183</v>
      </c>
      <c r="B2876" s="2" t="s">
        <v>141</v>
      </c>
      <c r="C2876" s="1">
        <v>43983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  <c r="L2876" s="2" t="s">
        <v>11031</v>
      </c>
      <c r="M2876" s="2" t="s">
        <v>11030</v>
      </c>
      <c r="N2876" s="2" t="s">
        <v>11038</v>
      </c>
      <c r="O2876" s="2" t="s">
        <v>11037</v>
      </c>
      <c r="P2876" s="2" t="s">
        <v>11035</v>
      </c>
      <c r="Q2876" s="2">
        <f>AVERAGE(PerfRate[[#This Row],[EnvironmentSatisfaction]],PerfRate[[#This Row],[JobSatisfaction]],PerfRate[[#This Row],[RelationshipSatisfaction]])</f>
        <v>3.6666666666666665</v>
      </c>
      <c r="R2876" s="2">
        <f>PerfRate[[#This Row],[ManagerRating]] - PerfRate[[#This Row],[SelfRating]]</f>
        <v>-1</v>
      </c>
    </row>
    <row r="2877" spans="1:18">
      <c r="A2877" s="2" t="s">
        <v>7184</v>
      </c>
      <c r="B2877" s="2" t="s">
        <v>428</v>
      </c>
      <c r="C2877" s="1">
        <v>44013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  <c r="L2877" s="2" t="s">
        <v>11031</v>
      </c>
      <c r="M2877" s="2" t="s">
        <v>11030</v>
      </c>
      <c r="N2877" s="2" t="s">
        <v>11037</v>
      </c>
      <c r="O2877" s="2" t="s">
        <v>11038</v>
      </c>
      <c r="P2877" s="2" t="s">
        <v>11038</v>
      </c>
      <c r="Q2877" s="2">
        <f>AVERAGE(PerfRate[[#This Row],[EnvironmentSatisfaction]],PerfRate[[#This Row],[JobSatisfaction]],PerfRate[[#This Row],[RelationshipSatisfaction]])</f>
        <v>4.666666666666667</v>
      </c>
      <c r="R2877" s="2">
        <f>PerfRate[[#This Row],[ManagerRating]] - PerfRate[[#This Row],[SelfRating]]</f>
        <v>-1</v>
      </c>
    </row>
    <row r="2878" spans="1:18">
      <c r="A2878" s="2" t="s">
        <v>7185</v>
      </c>
      <c r="B2878" s="2" t="s">
        <v>1295</v>
      </c>
      <c r="C2878" s="1">
        <v>44013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  <c r="L2878" s="2" t="s">
        <v>11031</v>
      </c>
      <c r="M2878" s="2" t="s">
        <v>11031</v>
      </c>
      <c r="N2878" s="2" t="s">
        <v>11038</v>
      </c>
      <c r="O2878" s="2" t="s">
        <v>11036</v>
      </c>
      <c r="P2878" s="2" t="s">
        <v>11035</v>
      </c>
      <c r="Q2878" s="2">
        <f>AVERAGE(PerfRate[[#This Row],[EnvironmentSatisfaction]],PerfRate[[#This Row],[JobSatisfaction]],PerfRate[[#This Row],[RelationshipSatisfaction]])</f>
        <v>3.3333333333333335</v>
      </c>
      <c r="R2878" s="2">
        <f>PerfRate[[#This Row],[ManagerRating]] - PerfRate[[#This Row],[SelfRating]]</f>
        <v>0</v>
      </c>
    </row>
    <row r="2879" spans="1:18">
      <c r="A2879" s="2" t="s">
        <v>7186</v>
      </c>
      <c r="B2879" s="2" t="s">
        <v>2335</v>
      </c>
      <c r="C2879" s="1">
        <v>44013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  <c r="L2879" s="2" t="s">
        <v>11030</v>
      </c>
      <c r="M2879" s="2" t="s">
        <v>11029</v>
      </c>
      <c r="N2879" s="2" t="s">
        <v>11038</v>
      </c>
      <c r="O2879" s="2" t="s">
        <v>11037</v>
      </c>
      <c r="P2879" s="2" t="s">
        <v>11035</v>
      </c>
      <c r="Q2879" s="2">
        <f>AVERAGE(PerfRate[[#This Row],[EnvironmentSatisfaction]],PerfRate[[#This Row],[JobSatisfaction]],PerfRate[[#This Row],[RelationshipSatisfaction]])</f>
        <v>3.6666666666666665</v>
      </c>
      <c r="R2879" s="2">
        <f>PerfRate[[#This Row],[ManagerRating]] - PerfRate[[#This Row],[SelfRating]]</f>
        <v>-1</v>
      </c>
    </row>
    <row r="2880" spans="1:18">
      <c r="A2880" s="2" t="s">
        <v>7187</v>
      </c>
      <c r="B2880" s="2" t="s">
        <v>2475</v>
      </c>
      <c r="C2880" s="1">
        <v>44013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  <c r="L2880" s="2" t="s">
        <v>11030</v>
      </c>
      <c r="M2880" s="2" t="s">
        <v>11030</v>
      </c>
      <c r="N2880" s="2" t="s">
        <v>11037</v>
      </c>
      <c r="O2880" s="2" t="s">
        <v>11038</v>
      </c>
      <c r="P2880" s="2" t="s">
        <v>11035</v>
      </c>
      <c r="Q2880" s="2">
        <f>AVERAGE(PerfRate[[#This Row],[EnvironmentSatisfaction]],PerfRate[[#This Row],[JobSatisfaction]],PerfRate[[#This Row],[RelationshipSatisfaction]])</f>
        <v>3.6666666666666665</v>
      </c>
      <c r="R2880" s="2">
        <f>PerfRate[[#This Row],[ManagerRating]] - PerfRate[[#This Row],[SelfRating]]</f>
        <v>0</v>
      </c>
    </row>
    <row r="2881" spans="1:18">
      <c r="A2881" s="2" t="s">
        <v>7188</v>
      </c>
      <c r="B2881" s="2" t="s">
        <v>1532</v>
      </c>
      <c r="C2881" s="1">
        <v>44044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  <c r="L2881" s="2" t="s">
        <v>11031</v>
      </c>
      <c r="M2881" s="2" t="s">
        <v>11030</v>
      </c>
      <c r="N2881" s="2" t="s">
        <v>11037</v>
      </c>
      <c r="O2881" s="2" t="s">
        <v>11036</v>
      </c>
      <c r="P2881" s="2" t="s">
        <v>11038</v>
      </c>
      <c r="Q2881" s="2">
        <f>AVERAGE(PerfRate[[#This Row],[EnvironmentSatisfaction]],PerfRate[[#This Row],[JobSatisfaction]],PerfRate[[#This Row],[RelationshipSatisfaction]])</f>
        <v>4</v>
      </c>
      <c r="R2881" s="2">
        <f>PerfRate[[#This Row],[ManagerRating]] - PerfRate[[#This Row],[SelfRating]]</f>
        <v>-1</v>
      </c>
    </row>
    <row r="2882" spans="1:18">
      <c r="A2882" s="2" t="s">
        <v>7189</v>
      </c>
      <c r="B2882" s="2" t="s">
        <v>2086</v>
      </c>
      <c r="C2882" s="1">
        <v>44044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  <c r="L2882" s="2" t="s">
        <v>11031</v>
      </c>
      <c r="M2882" s="2" t="s">
        <v>11031</v>
      </c>
      <c r="N2882" s="2" t="s">
        <v>11038</v>
      </c>
      <c r="O2882" s="2" t="s">
        <v>11038</v>
      </c>
      <c r="P2882" s="2" t="s">
        <v>11038</v>
      </c>
      <c r="Q2882" s="2">
        <f>AVERAGE(PerfRate[[#This Row],[EnvironmentSatisfaction]],PerfRate[[#This Row],[JobSatisfaction]],PerfRate[[#This Row],[RelationshipSatisfaction]])</f>
        <v>5</v>
      </c>
      <c r="R2882" s="2">
        <f>PerfRate[[#This Row],[ManagerRating]] - PerfRate[[#This Row],[SelfRating]]</f>
        <v>0</v>
      </c>
    </row>
    <row r="2883" spans="1:18">
      <c r="A2883" s="2" t="s">
        <v>7190</v>
      </c>
      <c r="B2883" s="2" t="s">
        <v>1945</v>
      </c>
      <c r="C2883" s="1">
        <v>44075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  <c r="L2883" s="2" t="s">
        <v>11030</v>
      </c>
      <c r="M2883" s="2" t="s">
        <v>11030</v>
      </c>
      <c r="N2883" s="2" t="s">
        <v>11037</v>
      </c>
      <c r="O2883" s="2" t="s">
        <v>11037</v>
      </c>
      <c r="P2883" s="2" t="s">
        <v>11035</v>
      </c>
      <c r="Q2883" s="2">
        <f>AVERAGE(PerfRate[[#This Row],[EnvironmentSatisfaction]],PerfRate[[#This Row],[JobSatisfaction]],PerfRate[[#This Row],[RelationshipSatisfaction]])</f>
        <v>3.3333333333333335</v>
      </c>
      <c r="R2883" s="2">
        <f>PerfRate[[#This Row],[ManagerRating]] - PerfRate[[#This Row],[SelfRating]]</f>
        <v>0</v>
      </c>
    </row>
    <row r="2884" spans="1:18">
      <c r="A2884" s="2" t="s">
        <v>7191</v>
      </c>
      <c r="B2884" s="2" t="s">
        <v>934</v>
      </c>
      <c r="C2884" s="1">
        <v>44075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  <c r="L2884" s="2" t="s">
        <v>11031</v>
      </c>
      <c r="M2884" s="2" t="s">
        <v>11031</v>
      </c>
      <c r="N2884" s="2" t="s">
        <v>11038</v>
      </c>
      <c r="O2884" s="2" t="s">
        <v>11035</v>
      </c>
      <c r="P2884" s="2" t="s">
        <v>11038</v>
      </c>
      <c r="Q2884" s="2">
        <f>AVERAGE(PerfRate[[#This Row],[EnvironmentSatisfaction]],PerfRate[[#This Row],[JobSatisfaction]],PerfRate[[#This Row],[RelationshipSatisfaction]])</f>
        <v>4</v>
      </c>
      <c r="R2884" s="2">
        <f>PerfRate[[#This Row],[ManagerRating]] - PerfRate[[#This Row],[SelfRating]]</f>
        <v>0</v>
      </c>
    </row>
    <row r="2885" spans="1:18">
      <c r="A2885" s="2" t="s">
        <v>7192</v>
      </c>
      <c r="B2885" s="2" t="s">
        <v>850</v>
      </c>
      <c r="C2885" s="1">
        <v>44075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  <c r="L2885" s="2" t="s">
        <v>11029</v>
      </c>
      <c r="M2885" s="2" t="s">
        <v>11029</v>
      </c>
      <c r="N2885" s="2" t="s">
        <v>11036</v>
      </c>
      <c r="O2885" s="2" t="s">
        <v>11037</v>
      </c>
      <c r="P2885" s="2" t="s">
        <v>11034</v>
      </c>
      <c r="Q2885" s="2">
        <f>AVERAGE(PerfRate[[#This Row],[EnvironmentSatisfaction]],PerfRate[[#This Row],[JobSatisfaction]],PerfRate[[#This Row],[RelationshipSatisfaction]])</f>
        <v>2.6666666666666665</v>
      </c>
      <c r="R2885" s="2">
        <f>PerfRate[[#This Row],[ManagerRating]] - PerfRate[[#This Row],[SelfRating]]</f>
        <v>0</v>
      </c>
    </row>
    <row r="2886" spans="1:18">
      <c r="A2886" s="2" t="s">
        <v>7193</v>
      </c>
      <c r="B2886" s="2" t="s">
        <v>3829</v>
      </c>
      <c r="C2886" s="1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  <c r="L2886" s="2" t="s">
        <v>11031</v>
      </c>
      <c r="M2886" s="2" t="s">
        <v>11031</v>
      </c>
      <c r="N2886" s="2" t="s">
        <v>11037</v>
      </c>
      <c r="O2886" s="2" t="s">
        <v>11038</v>
      </c>
      <c r="P2886" s="2" t="s">
        <v>11038</v>
      </c>
      <c r="Q2886" s="2">
        <f>AVERAGE(PerfRate[[#This Row],[EnvironmentSatisfaction]],PerfRate[[#This Row],[JobSatisfaction]],PerfRate[[#This Row],[RelationshipSatisfaction]])</f>
        <v>4.666666666666667</v>
      </c>
      <c r="R2886" s="2">
        <f>PerfRate[[#This Row],[ManagerRating]] - PerfRate[[#This Row],[SelfRating]]</f>
        <v>0</v>
      </c>
    </row>
    <row r="2887" spans="1:18">
      <c r="A2887" s="2" t="s">
        <v>7194</v>
      </c>
      <c r="B2887" s="2" t="s">
        <v>1093</v>
      </c>
      <c r="C2887" s="1">
        <v>44075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  <c r="L2887" s="2" t="s">
        <v>11029</v>
      </c>
      <c r="M2887" s="2" t="s">
        <v>11028</v>
      </c>
      <c r="N2887" s="2" t="s">
        <v>11036</v>
      </c>
      <c r="O2887" s="2" t="s">
        <v>11036</v>
      </c>
      <c r="P2887" s="2" t="s">
        <v>11034</v>
      </c>
      <c r="Q2887" s="2">
        <f>AVERAGE(PerfRate[[#This Row],[EnvironmentSatisfaction]],PerfRate[[#This Row],[JobSatisfaction]],PerfRate[[#This Row],[RelationshipSatisfaction]])</f>
        <v>2.3333333333333335</v>
      </c>
      <c r="R2887" s="2">
        <f>PerfRate[[#This Row],[ManagerRating]] - PerfRate[[#This Row],[SelfRating]]</f>
        <v>-1</v>
      </c>
    </row>
    <row r="2888" spans="1:18">
      <c r="A2888" s="2" t="s">
        <v>7195</v>
      </c>
      <c r="B2888" s="2" t="s">
        <v>2137</v>
      </c>
      <c r="C2888" s="1">
        <v>44075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  <c r="L2888" s="2" t="s">
        <v>11031</v>
      </c>
      <c r="M2888" s="2" t="s">
        <v>11030</v>
      </c>
      <c r="N2888" s="2" t="s">
        <v>11034</v>
      </c>
      <c r="O2888" s="2" t="s">
        <v>11036</v>
      </c>
      <c r="P2888" s="2" t="s">
        <v>11034</v>
      </c>
      <c r="Q2888" s="2">
        <f>AVERAGE(PerfRate[[#This Row],[EnvironmentSatisfaction]],PerfRate[[#This Row],[JobSatisfaction]],PerfRate[[#This Row],[RelationshipSatisfaction]])</f>
        <v>1.6666666666666667</v>
      </c>
      <c r="R2888" s="2">
        <f>PerfRate[[#This Row],[ManagerRating]] - PerfRate[[#This Row],[SelfRating]]</f>
        <v>-1</v>
      </c>
    </row>
    <row r="2889" spans="1:18">
      <c r="A2889" s="2" t="s">
        <v>7196</v>
      </c>
      <c r="B2889" s="2" t="s">
        <v>2523</v>
      </c>
      <c r="C2889" s="1">
        <v>44075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  <c r="L2889" s="2" t="s">
        <v>11030</v>
      </c>
      <c r="M2889" s="2" t="s">
        <v>11030</v>
      </c>
      <c r="N2889" s="2" t="s">
        <v>11035</v>
      </c>
      <c r="O2889" s="2" t="s">
        <v>11034</v>
      </c>
      <c r="P2889" s="2" t="s">
        <v>11037</v>
      </c>
      <c r="Q2889" s="2">
        <f>AVERAGE(PerfRate[[#This Row],[EnvironmentSatisfaction]],PerfRate[[#This Row],[JobSatisfaction]],PerfRate[[#This Row],[RelationshipSatisfaction]])</f>
        <v>2.3333333333333335</v>
      </c>
      <c r="R2889" s="2">
        <f>PerfRate[[#This Row],[ManagerRating]] - PerfRate[[#This Row],[SelfRating]]</f>
        <v>0</v>
      </c>
    </row>
    <row r="2890" spans="1:18">
      <c r="A2890" s="2" t="s">
        <v>7197</v>
      </c>
      <c r="B2890" s="2" t="s">
        <v>2611</v>
      </c>
      <c r="C2890" s="1">
        <v>44075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  <c r="L2890" s="2" t="s">
        <v>11029</v>
      </c>
      <c r="M2890" s="2" t="s">
        <v>11028</v>
      </c>
      <c r="N2890" s="2" t="s">
        <v>11034</v>
      </c>
      <c r="O2890" s="2" t="s">
        <v>11034</v>
      </c>
      <c r="P2890" s="2" t="s">
        <v>11035</v>
      </c>
      <c r="Q2890" s="2">
        <f>AVERAGE(PerfRate[[#This Row],[EnvironmentSatisfaction]],PerfRate[[#This Row],[JobSatisfaction]],PerfRate[[#This Row],[RelationshipSatisfaction]])</f>
        <v>1.3333333333333333</v>
      </c>
      <c r="R2890" s="2">
        <f>PerfRate[[#This Row],[ManagerRating]] - PerfRate[[#This Row],[SelfRating]]</f>
        <v>-1</v>
      </c>
    </row>
    <row r="2891" spans="1:18">
      <c r="A2891" s="2" t="s">
        <v>7198</v>
      </c>
      <c r="B2891" s="2" t="s">
        <v>853</v>
      </c>
      <c r="C2891" s="1">
        <v>44105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  <c r="L2891" s="2" t="s">
        <v>11029</v>
      </c>
      <c r="M2891" s="2" t="s">
        <v>11029</v>
      </c>
      <c r="N2891" s="2" t="s">
        <v>11036</v>
      </c>
      <c r="O2891" s="2" t="s">
        <v>11037</v>
      </c>
      <c r="P2891" s="2" t="s">
        <v>11035</v>
      </c>
      <c r="Q2891" s="2">
        <f>AVERAGE(PerfRate[[#This Row],[EnvironmentSatisfaction]],PerfRate[[#This Row],[JobSatisfaction]],PerfRate[[#This Row],[RelationshipSatisfaction]])</f>
        <v>3</v>
      </c>
      <c r="R2891" s="2">
        <f>PerfRate[[#This Row],[ManagerRating]] - PerfRate[[#This Row],[SelfRating]]</f>
        <v>0</v>
      </c>
    </row>
    <row r="2892" spans="1:18">
      <c r="A2892" s="2" t="s">
        <v>7199</v>
      </c>
      <c r="B2892" s="2" t="s">
        <v>595</v>
      </c>
      <c r="C2892" s="1">
        <v>44105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  <c r="L2892" s="2" t="s">
        <v>11030</v>
      </c>
      <c r="M2892" s="2" t="s">
        <v>11030</v>
      </c>
      <c r="N2892" s="2" t="s">
        <v>11037</v>
      </c>
      <c r="O2892" s="2" t="s">
        <v>11034</v>
      </c>
      <c r="P2892" s="2" t="s">
        <v>11036</v>
      </c>
      <c r="Q2892" s="2">
        <f>AVERAGE(PerfRate[[#This Row],[EnvironmentSatisfaction]],PerfRate[[#This Row],[JobSatisfaction]],PerfRate[[#This Row],[RelationshipSatisfaction]])</f>
        <v>2.6666666666666665</v>
      </c>
      <c r="R2892" s="2">
        <f>PerfRate[[#This Row],[ManagerRating]] - PerfRate[[#This Row],[SelfRating]]</f>
        <v>0</v>
      </c>
    </row>
    <row r="2893" spans="1:18">
      <c r="A2893" s="2" t="s">
        <v>7200</v>
      </c>
      <c r="B2893" s="2" t="s">
        <v>2080</v>
      </c>
      <c r="C2893" s="1">
        <v>44136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  <c r="L2893" s="2" t="s">
        <v>11030</v>
      </c>
      <c r="M2893" s="2" t="s">
        <v>11029</v>
      </c>
      <c r="N2893" s="2" t="s">
        <v>11036</v>
      </c>
      <c r="O2893" s="2" t="s">
        <v>11035</v>
      </c>
      <c r="P2893" s="2" t="s">
        <v>11036</v>
      </c>
      <c r="Q2893" s="2">
        <f>AVERAGE(PerfRate[[#This Row],[EnvironmentSatisfaction]],PerfRate[[#This Row],[JobSatisfaction]],PerfRate[[#This Row],[RelationshipSatisfaction]])</f>
        <v>2.6666666666666665</v>
      </c>
      <c r="R2893" s="2">
        <f>PerfRate[[#This Row],[ManagerRating]] - PerfRate[[#This Row],[SelfRating]]</f>
        <v>-1</v>
      </c>
    </row>
    <row r="2894" spans="1:18">
      <c r="A2894" s="2" t="s">
        <v>7201</v>
      </c>
      <c r="B2894" s="2" t="s">
        <v>3868</v>
      </c>
      <c r="C2894" s="1">
        <v>44136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  <c r="L2894" s="2" t="s">
        <v>11030</v>
      </c>
      <c r="M2894" s="2" t="s">
        <v>11029</v>
      </c>
      <c r="N2894" s="2" t="s">
        <v>11037</v>
      </c>
      <c r="O2894" s="2" t="s">
        <v>11038</v>
      </c>
      <c r="P2894" s="2" t="s">
        <v>11037</v>
      </c>
      <c r="Q2894" s="2">
        <f>AVERAGE(PerfRate[[#This Row],[EnvironmentSatisfaction]],PerfRate[[#This Row],[JobSatisfaction]],PerfRate[[#This Row],[RelationshipSatisfaction]])</f>
        <v>4.333333333333333</v>
      </c>
      <c r="R2894" s="2">
        <f>PerfRate[[#This Row],[ManagerRating]] - PerfRate[[#This Row],[SelfRating]]</f>
        <v>-1</v>
      </c>
    </row>
    <row r="2895" spans="1:18">
      <c r="A2895" s="2" t="s">
        <v>7202</v>
      </c>
      <c r="B2895" s="2" t="s">
        <v>2494</v>
      </c>
      <c r="C2895" s="1">
        <v>44136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  <c r="L2895" s="2" t="s">
        <v>11030</v>
      </c>
      <c r="M2895" s="2" t="s">
        <v>11030</v>
      </c>
      <c r="N2895" s="2" t="s">
        <v>11038</v>
      </c>
      <c r="O2895" s="2" t="s">
        <v>11035</v>
      </c>
      <c r="P2895" s="2" t="s">
        <v>11037</v>
      </c>
      <c r="Q2895" s="2">
        <f>AVERAGE(PerfRate[[#This Row],[EnvironmentSatisfaction]],PerfRate[[#This Row],[JobSatisfaction]],PerfRate[[#This Row],[RelationshipSatisfaction]])</f>
        <v>3.6666666666666665</v>
      </c>
      <c r="R2895" s="2">
        <f>PerfRate[[#This Row],[ManagerRating]] - PerfRate[[#This Row],[SelfRating]]</f>
        <v>0</v>
      </c>
    </row>
    <row r="2896" spans="1:18">
      <c r="A2896" s="2" t="s">
        <v>7203</v>
      </c>
      <c r="B2896" s="2" t="s">
        <v>1973</v>
      </c>
      <c r="C2896" s="1">
        <v>44166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  <c r="L2896" s="2" t="s">
        <v>11029</v>
      </c>
      <c r="M2896" s="2" t="s">
        <v>11029</v>
      </c>
      <c r="N2896" s="2" t="s">
        <v>11036</v>
      </c>
      <c r="O2896" s="2" t="s">
        <v>11037</v>
      </c>
      <c r="P2896" s="2" t="s">
        <v>11036</v>
      </c>
      <c r="Q2896" s="2">
        <f>AVERAGE(PerfRate[[#This Row],[EnvironmentSatisfaction]],PerfRate[[#This Row],[JobSatisfaction]],PerfRate[[#This Row],[RelationshipSatisfaction]])</f>
        <v>3.3333333333333335</v>
      </c>
      <c r="R2896" s="2">
        <f>PerfRate[[#This Row],[ManagerRating]] - PerfRate[[#This Row],[SelfRating]]</f>
        <v>0</v>
      </c>
    </row>
    <row r="2897" spans="1:18">
      <c r="A2897" s="2" t="s">
        <v>7204</v>
      </c>
      <c r="B2897" s="2" t="s">
        <v>1006</v>
      </c>
      <c r="C2897" s="1">
        <v>41276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  <c r="L2897" s="2" t="s">
        <v>11030</v>
      </c>
      <c r="M2897" s="2" t="s">
        <v>11029</v>
      </c>
      <c r="N2897" s="2" t="s">
        <v>11038</v>
      </c>
      <c r="O2897" s="2" t="s">
        <v>11036</v>
      </c>
      <c r="P2897" s="2" t="s">
        <v>11037</v>
      </c>
      <c r="Q2897" s="2">
        <f>AVERAGE(PerfRate[[#This Row],[EnvironmentSatisfaction]],PerfRate[[#This Row],[JobSatisfaction]],PerfRate[[#This Row],[RelationshipSatisfaction]])</f>
        <v>4</v>
      </c>
      <c r="R2897" s="2">
        <f>PerfRate[[#This Row],[ManagerRating]] - PerfRate[[#This Row],[SelfRating]]</f>
        <v>-1</v>
      </c>
    </row>
    <row r="2898" spans="1:18">
      <c r="A2898" s="2" t="s">
        <v>7205</v>
      </c>
      <c r="B2898" s="2" t="s">
        <v>3254</v>
      </c>
      <c r="C2898" s="1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  <c r="L2898" s="2" t="s">
        <v>11031</v>
      </c>
      <c r="M2898" s="2" t="s">
        <v>11030</v>
      </c>
      <c r="N2898" s="2" t="s">
        <v>11037</v>
      </c>
      <c r="O2898" s="2" t="s">
        <v>11036</v>
      </c>
      <c r="P2898" s="2" t="s">
        <v>11035</v>
      </c>
      <c r="Q2898" s="2">
        <f>AVERAGE(PerfRate[[#This Row],[EnvironmentSatisfaction]],PerfRate[[#This Row],[JobSatisfaction]],PerfRate[[#This Row],[RelationshipSatisfaction]])</f>
        <v>3</v>
      </c>
      <c r="R2898" s="2">
        <f>PerfRate[[#This Row],[ManagerRating]] - PerfRate[[#This Row],[SelfRating]]</f>
        <v>-1</v>
      </c>
    </row>
    <row r="2899" spans="1:18">
      <c r="A2899" s="2" t="s">
        <v>7206</v>
      </c>
      <c r="B2899" s="2" t="s">
        <v>889</v>
      </c>
      <c r="C2899" s="1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  <c r="L2899" s="2" t="s">
        <v>11031</v>
      </c>
      <c r="M2899" s="2" t="s">
        <v>11030</v>
      </c>
      <c r="N2899" s="2" t="s">
        <v>11038</v>
      </c>
      <c r="O2899" s="2" t="s">
        <v>11036</v>
      </c>
      <c r="P2899" s="2" t="s">
        <v>11038</v>
      </c>
      <c r="Q2899" s="2">
        <f>AVERAGE(PerfRate[[#This Row],[EnvironmentSatisfaction]],PerfRate[[#This Row],[JobSatisfaction]],PerfRate[[#This Row],[RelationshipSatisfaction]])</f>
        <v>4.333333333333333</v>
      </c>
      <c r="R2899" s="2">
        <f>PerfRate[[#This Row],[ManagerRating]] - PerfRate[[#This Row],[SelfRating]]</f>
        <v>-1</v>
      </c>
    </row>
    <row r="2900" spans="1:18">
      <c r="A2900" s="2" t="s">
        <v>7207</v>
      </c>
      <c r="B2900" s="2" t="s">
        <v>2281</v>
      </c>
      <c r="C2900" s="1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  <c r="L2900" s="2" t="s">
        <v>11031</v>
      </c>
      <c r="M2900" s="2" t="s">
        <v>11031</v>
      </c>
      <c r="N2900" s="2" t="s">
        <v>11038</v>
      </c>
      <c r="O2900" s="2" t="s">
        <v>11037</v>
      </c>
      <c r="P2900" s="2" t="s">
        <v>11036</v>
      </c>
      <c r="Q2900" s="2">
        <f>AVERAGE(PerfRate[[#This Row],[EnvironmentSatisfaction]],PerfRate[[#This Row],[JobSatisfaction]],PerfRate[[#This Row],[RelationshipSatisfaction]])</f>
        <v>4</v>
      </c>
      <c r="R2900" s="2">
        <f>PerfRate[[#This Row],[ManagerRating]] - PerfRate[[#This Row],[SelfRating]]</f>
        <v>0</v>
      </c>
    </row>
    <row r="2901" spans="1:18">
      <c r="A2901" s="2" t="s">
        <v>7208</v>
      </c>
      <c r="B2901" s="2" t="s">
        <v>1090</v>
      </c>
      <c r="C2901" s="1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  <c r="L2901" s="2" t="s">
        <v>11031</v>
      </c>
      <c r="M2901" s="2" t="s">
        <v>11030</v>
      </c>
      <c r="N2901" s="2" t="s">
        <v>11038</v>
      </c>
      <c r="O2901" s="2" t="s">
        <v>11036</v>
      </c>
      <c r="P2901" s="2" t="s">
        <v>11036</v>
      </c>
      <c r="Q2901" s="2">
        <f>AVERAGE(PerfRate[[#This Row],[EnvironmentSatisfaction]],PerfRate[[#This Row],[JobSatisfaction]],PerfRate[[#This Row],[RelationshipSatisfaction]])</f>
        <v>3.6666666666666665</v>
      </c>
      <c r="R2901" s="2">
        <f>PerfRate[[#This Row],[ManagerRating]] - PerfRate[[#This Row],[SelfRating]]</f>
        <v>-1</v>
      </c>
    </row>
    <row r="2902" spans="1:18">
      <c r="A2902" s="2" t="s">
        <v>7209</v>
      </c>
      <c r="B2902" s="2" t="s">
        <v>3586</v>
      </c>
      <c r="C2902" s="1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  <c r="L2902" s="2" t="s">
        <v>11030</v>
      </c>
      <c r="M2902" s="2" t="s">
        <v>11030</v>
      </c>
      <c r="N2902" s="2" t="s">
        <v>11038</v>
      </c>
      <c r="O2902" s="2" t="s">
        <v>11037</v>
      </c>
      <c r="P2902" s="2" t="s">
        <v>11037</v>
      </c>
      <c r="Q2902" s="2">
        <f>AVERAGE(PerfRate[[#This Row],[EnvironmentSatisfaction]],PerfRate[[#This Row],[JobSatisfaction]],PerfRate[[#This Row],[RelationshipSatisfaction]])</f>
        <v>4.333333333333333</v>
      </c>
      <c r="R2902" s="2">
        <f>PerfRate[[#This Row],[ManagerRating]] - PerfRate[[#This Row],[SelfRating]]</f>
        <v>0</v>
      </c>
    </row>
    <row r="2903" spans="1:18">
      <c r="A2903" s="2" t="s">
        <v>7210</v>
      </c>
      <c r="B2903" s="2" t="s">
        <v>166</v>
      </c>
      <c r="C2903" s="1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  <c r="L2903" s="2" t="s">
        <v>11030</v>
      </c>
      <c r="M2903" s="2" t="s">
        <v>11030</v>
      </c>
      <c r="N2903" s="2" t="s">
        <v>11036</v>
      </c>
      <c r="O2903" s="2" t="s">
        <v>11038</v>
      </c>
      <c r="P2903" s="2" t="s">
        <v>11036</v>
      </c>
      <c r="Q2903" s="2">
        <f>AVERAGE(PerfRate[[#This Row],[EnvironmentSatisfaction]],PerfRate[[#This Row],[JobSatisfaction]],PerfRate[[#This Row],[RelationshipSatisfaction]])</f>
        <v>3.6666666666666665</v>
      </c>
      <c r="R2903" s="2">
        <f>PerfRate[[#This Row],[ManagerRating]] - PerfRate[[#This Row],[SelfRating]]</f>
        <v>0</v>
      </c>
    </row>
    <row r="2904" spans="1:18">
      <c r="A2904" s="2" t="s">
        <v>7211</v>
      </c>
      <c r="B2904" s="2" t="s">
        <v>2204</v>
      </c>
      <c r="C2904" s="1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  <c r="L2904" s="2" t="s">
        <v>11029</v>
      </c>
      <c r="M2904" s="2" t="s">
        <v>11028</v>
      </c>
      <c r="N2904" s="2" t="s">
        <v>11037</v>
      </c>
      <c r="O2904" s="2" t="s">
        <v>11038</v>
      </c>
      <c r="P2904" s="2" t="s">
        <v>11036</v>
      </c>
      <c r="Q2904" s="2">
        <f>AVERAGE(PerfRate[[#This Row],[EnvironmentSatisfaction]],PerfRate[[#This Row],[JobSatisfaction]],PerfRate[[#This Row],[RelationshipSatisfaction]])</f>
        <v>4</v>
      </c>
      <c r="R2904" s="2">
        <f>PerfRate[[#This Row],[ManagerRating]] - PerfRate[[#This Row],[SelfRating]]</f>
        <v>-1</v>
      </c>
    </row>
    <row r="2905" spans="1:18">
      <c r="A2905" s="2" t="s">
        <v>7212</v>
      </c>
      <c r="B2905" s="2" t="s">
        <v>401</v>
      </c>
      <c r="C2905" s="1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  <c r="L2905" s="2" t="s">
        <v>11029</v>
      </c>
      <c r="M2905" s="2" t="s">
        <v>11028</v>
      </c>
      <c r="N2905" s="2" t="s">
        <v>11036</v>
      </c>
      <c r="O2905" s="2" t="s">
        <v>11035</v>
      </c>
      <c r="P2905" s="2" t="s">
        <v>11035</v>
      </c>
      <c r="Q2905" s="2">
        <f>AVERAGE(PerfRate[[#This Row],[EnvironmentSatisfaction]],PerfRate[[#This Row],[JobSatisfaction]],PerfRate[[#This Row],[RelationshipSatisfaction]])</f>
        <v>2.3333333333333335</v>
      </c>
      <c r="R2905" s="2">
        <f>PerfRate[[#This Row],[ManagerRating]] - PerfRate[[#This Row],[SelfRating]]</f>
        <v>-1</v>
      </c>
    </row>
    <row r="2906" spans="1:18">
      <c r="A2906" s="2" t="s">
        <v>7213</v>
      </c>
      <c r="B2906" s="2" t="s">
        <v>1889</v>
      </c>
      <c r="C2906" s="1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  <c r="L2906" s="2" t="s">
        <v>11029</v>
      </c>
      <c r="M2906" s="2" t="s">
        <v>11029</v>
      </c>
      <c r="N2906" s="2" t="s">
        <v>11036</v>
      </c>
      <c r="O2906" s="2" t="s">
        <v>11038</v>
      </c>
      <c r="P2906" s="2" t="s">
        <v>11038</v>
      </c>
      <c r="Q2906" s="2">
        <f>AVERAGE(PerfRate[[#This Row],[EnvironmentSatisfaction]],PerfRate[[#This Row],[JobSatisfaction]],PerfRate[[#This Row],[RelationshipSatisfaction]])</f>
        <v>4.333333333333333</v>
      </c>
      <c r="R2906" s="2">
        <f>PerfRate[[#This Row],[ManagerRating]] - PerfRate[[#This Row],[SelfRating]]</f>
        <v>0</v>
      </c>
    </row>
    <row r="2907" spans="1:18">
      <c r="A2907" s="2" t="s">
        <v>7214</v>
      </c>
      <c r="B2907" s="2" t="s">
        <v>940</v>
      </c>
      <c r="C2907" s="1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  <c r="L2907" s="2" t="s">
        <v>11029</v>
      </c>
      <c r="M2907" s="2" t="s">
        <v>11028</v>
      </c>
      <c r="N2907" s="2" t="s">
        <v>11037</v>
      </c>
      <c r="O2907" s="2" t="s">
        <v>11038</v>
      </c>
      <c r="P2907" s="2" t="s">
        <v>11038</v>
      </c>
      <c r="Q2907" s="2">
        <f>AVERAGE(PerfRate[[#This Row],[EnvironmentSatisfaction]],PerfRate[[#This Row],[JobSatisfaction]],PerfRate[[#This Row],[RelationshipSatisfaction]])</f>
        <v>4.666666666666667</v>
      </c>
      <c r="R2907" s="2">
        <f>PerfRate[[#This Row],[ManagerRating]] - PerfRate[[#This Row],[SelfRating]]</f>
        <v>-1</v>
      </c>
    </row>
    <row r="2908" spans="1:18">
      <c r="A2908" s="2" t="s">
        <v>7215</v>
      </c>
      <c r="B2908" s="2" t="s">
        <v>490</v>
      </c>
      <c r="C2908" s="1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  <c r="L2908" s="2" t="s">
        <v>11030</v>
      </c>
      <c r="M2908" s="2" t="s">
        <v>11030</v>
      </c>
      <c r="N2908" s="2" t="s">
        <v>11037</v>
      </c>
      <c r="O2908" s="2" t="s">
        <v>11038</v>
      </c>
      <c r="P2908" s="2" t="s">
        <v>11038</v>
      </c>
      <c r="Q2908" s="2">
        <f>AVERAGE(PerfRate[[#This Row],[EnvironmentSatisfaction]],PerfRate[[#This Row],[JobSatisfaction]],PerfRate[[#This Row],[RelationshipSatisfaction]])</f>
        <v>4.666666666666667</v>
      </c>
      <c r="R2908" s="2">
        <f>PerfRate[[#This Row],[ManagerRating]] - PerfRate[[#This Row],[SelfRating]]</f>
        <v>0</v>
      </c>
    </row>
    <row r="2909" spans="1:18">
      <c r="A2909" s="2" t="s">
        <v>7216</v>
      </c>
      <c r="B2909" s="2" t="s">
        <v>2672</v>
      </c>
      <c r="C2909" s="1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  <c r="L2909" s="2" t="s">
        <v>11031</v>
      </c>
      <c r="M2909" s="2" t="s">
        <v>11031</v>
      </c>
      <c r="N2909" s="2" t="s">
        <v>11038</v>
      </c>
      <c r="O2909" s="2" t="s">
        <v>11035</v>
      </c>
      <c r="P2909" s="2" t="s">
        <v>11037</v>
      </c>
      <c r="Q2909" s="2">
        <f>AVERAGE(PerfRate[[#This Row],[EnvironmentSatisfaction]],PerfRate[[#This Row],[JobSatisfaction]],PerfRate[[#This Row],[RelationshipSatisfaction]])</f>
        <v>3.6666666666666665</v>
      </c>
      <c r="R2909" s="2">
        <f>PerfRate[[#This Row],[ManagerRating]] - PerfRate[[#This Row],[SelfRating]]</f>
        <v>0</v>
      </c>
    </row>
    <row r="2910" spans="1:18">
      <c r="A2910" s="2" t="s">
        <v>7217</v>
      </c>
      <c r="B2910" s="2" t="s">
        <v>1733</v>
      </c>
      <c r="C2910" s="1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  <c r="L2910" s="2" t="s">
        <v>11029</v>
      </c>
      <c r="M2910" s="2" t="s">
        <v>11028</v>
      </c>
      <c r="N2910" s="2" t="s">
        <v>11037</v>
      </c>
      <c r="O2910" s="2" t="s">
        <v>11035</v>
      </c>
      <c r="P2910" s="2" t="s">
        <v>11037</v>
      </c>
      <c r="Q2910" s="2">
        <f>AVERAGE(PerfRate[[#This Row],[EnvironmentSatisfaction]],PerfRate[[#This Row],[JobSatisfaction]],PerfRate[[#This Row],[RelationshipSatisfaction]])</f>
        <v>3.3333333333333335</v>
      </c>
      <c r="R2910" s="2">
        <f>PerfRate[[#This Row],[ManagerRating]] - PerfRate[[#This Row],[SelfRating]]</f>
        <v>-1</v>
      </c>
    </row>
    <row r="2911" spans="1:18">
      <c r="A2911" s="2" t="s">
        <v>7218</v>
      </c>
      <c r="B2911" s="2" t="s">
        <v>1930</v>
      </c>
      <c r="C2911" s="1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  <c r="L2911" s="2" t="s">
        <v>11031</v>
      </c>
      <c r="M2911" s="2" t="s">
        <v>11031</v>
      </c>
      <c r="N2911" s="2" t="s">
        <v>11036</v>
      </c>
      <c r="O2911" s="2" t="s">
        <v>11037</v>
      </c>
      <c r="P2911" s="2" t="s">
        <v>11035</v>
      </c>
      <c r="Q2911" s="2">
        <f>AVERAGE(PerfRate[[#This Row],[EnvironmentSatisfaction]],PerfRate[[#This Row],[JobSatisfaction]],PerfRate[[#This Row],[RelationshipSatisfaction]])</f>
        <v>3</v>
      </c>
      <c r="R2911" s="2">
        <f>PerfRate[[#This Row],[ManagerRating]] - PerfRate[[#This Row],[SelfRating]]</f>
        <v>0</v>
      </c>
    </row>
    <row r="2912" spans="1:18">
      <c r="A2912" s="2" t="s">
        <v>7219</v>
      </c>
      <c r="B2912" s="2" t="s">
        <v>738</v>
      </c>
      <c r="C2912" s="1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  <c r="L2912" s="2" t="s">
        <v>11030</v>
      </c>
      <c r="M2912" s="2" t="s">
        <v>11029</v>
      </c>
      <c r="N2912" s="2" t="s">
        <v>11037</v>
      </c>
      <c r="O2912" s="2" t="s">
        <v>11036</v>
      </c>
      <c r="P2912" s="2" t="s">
        <v>11036</v>
      </c>
      <c r="Q2912" s="2">
        <f>AVERAGE(PerfRate[[#This Row],[EnvironmentSatisfaction]],PerfRate[[#This Row],[JobSatisfaction]],PerfRate[[#This Row],[RelationshipSatisfaction]])</f>
        <v>3.3333333333333335</v>
      </c>
      <c r="R2912" s="2">
        <f>PerfRate[[#This Row],[ManagerRating]] - PerfRate[[#This Row],[SelfRating]]</f>
        <v>-1</v>
      </c>
    </row>
    <row r="2913" spans="1:18">
      <c r="A2913" s="2" t="s">
        <v>7220</v>
      </c>
      <c r="B2913" s="2" t="s">
        <v>2911</v>
      </c>
      <c r="C2913" s="1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  <c r="L2913" s="2" t="s">
        <v>11030</v>
      </c>
      <c r="M2913" s="2" t="s">
        <v>11029</v>
      </c>
      <c r="N2913" s="2" t="s">
        <v>11037</v>
      </c>
      <c r="O2913" s="2" t="s">
        <v>11035</v>
      </c>
      <c r="P2913" s="2" t="s">
        <v>11038</v>
      </c>
      <c r="Q2913" s="2">
        <f>AVERAGE(PerfRate[[#This Row],[EnvironmentSatisfaction]],PerfRate[[#This Row],[JobSatisfaction]],PerfRate[[#This Row],[RelationshipSatisfaction]])</f>
        <v>3.6666666666666665</v>
      </c>
      <c r="R2913" s="2">
        <f>PerfRate[[#This Row],[ManagerRating]] - PerfRate[[#This Row],[SelfRating]]</f>
        <v>-1</v>
      </c>
    </row>
    <row r="2914" spans="1:18">
      <c r="A2914" s="2" t="s">
        <v>7221</v>
      </c>
      <c r="B2914" s="2" t="s">
        <v>1818</v>
      </c>
      <c r="C2914" s="1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  <c r="L2914" s="2" t="s">
        <v>11029</v>
      </c>
      <c r="M2914" s="2" t="s">
        <v>11028</v>
      </c>
      <c r="N2914" s="2" t="s">
        <v>11036</v>
      </c>
      <c r="O2914" s="2" t="s">
        <v>11035</v>
      </c>
      <c r="P2914" s="2" t="s">
        <v>11036</v>
      </c>
      <c r="Q2914" s="2">
        <f>AVERAGE(PerfRate[[#This Row],[EnvironmentSatisfaction]],PerfRate[[#This Row],[JobSatisfaction]],PerfRate[[#This Row],[RelationshipSatisfaction]])</f>
        <v>2.6666666666666665</v>
      </c>
      <c r="R2914" s="2">
        <f>PerfRate[[#This Row],[ManagerRating]] - PerfRate[[#This Row],[SelfRating]]</f>
        <v>-1</v>
      </c>
    </row>
    <row r="2915" spans="1:18">
      <c r="A2915" s="2" t="s">
        <v>7222</v>
      </c>
      <c r="B2915" s="2" t="s">
        <v>1881</v>
      </c>
      <c r="C2915" s="1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  <c r="L2915" s="2" t="s">
        <v>11031</v>
      </c>
      <c r="M2915" s="2" t="s">
        <v>11030</v>
      </c>
      <c r="N2915" s="2" t="s">
        <v>11038</v>
      </c>
      <c r="O2915" s="2" t="s">
        <v>11038</v>
      </c>
      <c r="P2915" s="2" t="s">
        <v>11036</v>
      </c>
      <c r="Q2915" s="2">
        <f>AVERAGE(PerfRate[[#This Row],[EnvironmentSatisfaction]],PerfRate[[#This Row],[JobSatisfaction]],PerfRate[[#This Row],[RelationshipSatisfaction]])</f>
        <v>4.333333333333333</v>
      </c>
      <c r="R2915" s="2">
        <f>PerfRate[[#This Row],[ManagerRating]] - PerfRate[[#This Row],[SelfRating]]</f>
        <v>-1</v>
      </c>
    </row>
    <row r="2916" spans="1:18">
      <c r="A2916" s="2" t="s">
        <v>7223</v>
      </c>
      <c r="B2916" s="2" t="s">
        <v>1177</v>
      </c>
      <c r="C2916" s="1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  <c r="L2916" s="2" t="s">
        <v>11029</v>
      </c>
      <c r="M2916" s="2" t="s">
        <v>11029</v>
      </c>
      <c r="N2916" s="2" t="s">
        <v>11038</v>
      </c>
      <c r="O2916" s="2" t="s">
        <v>11036</v>
      </c>
      <c r="P2916" s="2" t="s">
        <v>11038</v>
      </c>
      <c r="Q2916" s="2">
        <f>AVERAGE(PerfRate[[#This Row],[EnvironmentSatisfaction]],PerfRate[[#This Row],[JobSatisfaction]],PerfRate[[#This Row],[RelationshipSatisfaction]])</f>
        <v>4.333333333333333</v>
      </c>
      <c r="R2916" s="2">
        <f>PerfRate[[#This Row],[ManagerRating]] - PerfRate[[#This Row],[SelfRating]]</f>
        <v>0</v>
      </c>
    </row>
    <row r="2917" spans="1:18">
      <c r="A2917" s="2" t="s">
        <v>7224</v>
      </c>
      <c r="B2917" s="2" t="s">
        <v>94</v>
      </c>
      <c r="C2917" s="1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  <c r="L2917" s="2" t="s">
        <v>11030</v>
      </c>
      <c r="M2917" s="2" t="s">
        <v>11030</v>
      </c>
      <c r="N2917" s="2" t="s">
        <v>11036</v>
      </c>
      <c r="O2917" s="2" t="s">
        <v>11035</v>
      </c>
      <c r="P2917" s="2" t="s">
        <v>11037</v>
      </c>
      <c r="Q2917" s="2">
        <f>AVERAGE(PerfRate[[#This Row],[EnvironmentSatisfaction]],PerfRate[[#This Row],[JobSatisfaction]],PerfRate[[#This Row],[RelationshipSatisfaction]])</f>
        <v>3</v>
      </c>
      <c r="R2917" s="2">
        <f>PerfRate[[#This Row],[ManagerRating]] - PerfRate[[#This Row],[SelfRating]]</f>
        <v>0</v>
      </c>
    </row>
    <row r="2918" spans="1:18">
      <c r="A2918" s="2" t="s">
        <v>7225</v>
      </c>
      <c r="B2918" s="2" t="s">
        <v>690</v>
      </c>
      <c r="C2918" s="1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  <c r="L2918" s="2" t="s">
        <v>11030</v>
      </c>
      <c r="M2918" s="2" t="s">
        <v>11029</v>
      </c>
      <c r="N2918" s="2" t="s">
        <v>11037</v>
      </c>
      <c r="O2918" s="2" t="s">
        <v>11037</v>
      </c>
      <c r="P2918" s="2" t="s">
        <v>11035</v>
      </c>
      <c r="Q2918" s="2">
        <f>AVERAGE(PerfRate[[#This Row],[EnvironmentSatisfaction]],PerfRate[[#This Row],[JobSatisfaction]],PerfRate[[#This Row],[RelationshipSatisfaction]])</f>
        <v>3.3333333333333335</v>
      </c>
      <c r="R2918" s="2">
        <f>PerfRate[[#This Row],[ManagerRating]] - PerfRate[[#This Row],[SelfRating]]</f>
        <v>-1</v>
      </c>
    </row>
    <row r="2919" spans="1:18">
      <c r="A2919" s="2" t="s">
        <v>7226</v>
      </c>
      <c r="B2919" s="2" t="s">
        <v>1707</v>
      </c>
      <c r="C2919" s="1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  <c r="L2919" s="2" t="s">
        <v>11031</v>
      </c>
      <c r="M2919" s="2" t="s">
        <v>11031</v>
      </c>
      <c r="N2919" s="2" t="s">
        <v>11036</v>
      </c>
      <c r="O2919" s="2" t="s">
        <v>11038</v>
      </c>
      <c r="P2919" s="2" t="s">
        <v>11038</v>
      </c>
      <c r="Q2919" s="2">
        <f>AVERAGE(PerfRate[[#This Row],[EnvironmentSatisfaction]],PerfRate[[#This Row],[JobSatisfaction]],PerfRate[[#This Row],[RelationshipSatisfaction]])</f>
        <v>4.333333333333333</v>
      </c>
      <c r="R2919" s="2">
        <f>PerfRate[[#This Row],[ManagerRating]] - PerfRate[[#This Row],[SelfRating]]</f>
        <v>0</v>
      </c>
    </row>
    <row r="2920" spans="1:18">
      <c r="A2920" s="2" t="s">
        <v>7227</v>
      </c>
      <c r="B2920" s="2" t="s">
        <v>3531</v>
      </c>
      <c r="C2920" s="1">
        <v>41677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  <c r="L2920" s="2" t="s">
        <v>11029</v>
      </c>
      <c r="M2920" s="2" t="s">
        <v>11029</v>
      </c>
      <c r="N2920" s="2" t="s">
        <v>11038</v>
      </c>
      <c r="O2920" s="2" t="s">
        <v>11035</v>
      </c>
      <c r="P2920" s="2" t="s">
        <v>11036</v>
      </c>
      <c r="Q2920" s="2">
        <f>AVERAGE(PerfRate[[#This Row],[EnvironmentSatisfaction]],PerfRate[[#This Row],[JobSatisfaction]],PerfRate[[#This Row],[RelationshipSatisfaction]])</f>
        <v>3.3333333333333335</v>
      </c>
      <c r="R2920" s="2">
        <f>PerfRate[[#This Row],[ManagerRating]] - PerfRate[[#This Row],[SelfRating]]</f>
        <v>0</v>
      </c>
    </row>
    <row r="2921" spans="1:18">
      <c r="A2921" s="2" t="s">
        <v>7228</v>
      </c>
      <c r="B2921" s="2" t="s">
        <v>1024</v>
      </c>
      <c r="C2921" s="1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  <c r="L2921" s="2" t="s">
        <v>11030</v>
      </c>
      <c r="M2921" s="2" t="s">
        <v>11030</v>
      </c>
      <c r="N2921" s="2" t="s">
        <v>11038</v>
      </c>
      <c r="O2921" s="2" t="s">
        <v>11037</v>
      </c>
      <c r="P2921" s="2" t="s">
        <v>11035</v>
      </c>
      <c r="Q2921" s="2">
        <f>AVERAGE(PerfRate[[#This Row],[EnvironmentSatisfaction]],PerfRate[[#This Row],[JobSatisfaction]],PerfRate[[#This Row],[RelationshipSatisfaction]])</f>
        <v>3.6666666666666665</v>
      </c>
      <c r="R2921" s="2">
        <f>PerfRate[[#This Row],[ManagerRating]] - PerfRate[[#This Row],[SelfRating]]</f>
        <v>0</v>
      </c>
    </row>
    <row r="2922" spans="1:18">
      <c r="A2922" s="2" t="s">
        <v>7229</v>
      </c>
      <c r="B2922" s="2" t="s">
        <v>1406</v>
      </c>
      <c r="C2922" s="1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  <c r="L2922" s="2" t="s">
        <v>11030</v>
      </c>
      <c r="M2922" s="2" t="s">
        <v>11030</v>
      </c>
      <c r="N2922" s="2" t="s">
        <v>11036</v>
      </c>
      <c r="O2922" s="2" t="s">
        <v>11037</v>
      </c>
      <c r="P2922" s="2" t="s">
        <v>11035</v>
      </c>
      <c r="Q2922" s="2">
        <f>AVERAGE(PerfRate[[#This Row],[EnvironmentSatisfaction]],PerfRate[[#This Row],[JobSatisfaction]],PerfRate[[#This Row],[RelationshipSatisfaction]])</f>
        <v>3</v>
      </c>
      <c r="R2922" s="2">
        <f>PerfRate[[#This Row],[ManagerRating]] - PerfRate[[#This Row],[SelfRating]]</f>
        <v>0</v>
      </c>
    </row>
    <row r="2923" spans="1:18">
      <c r="A2923" s="2" t="s">
        <v>7230</v>
      </c>
      <c r="B2923" s="2" t="s">
        <v>705</v>
      </c>
      <c r="C2923" s="1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  <c r="L2923" s="2" t="s">
        <v>11031</v>
      </c>
      <c r="M2923" s="2" t="s">
        <v>11031</v>
      </c>
      <c r="N2923" s="2" t="s">
        <v>11036</v>
      </c>
      <c r="O2923" s="2" t="s">
        <v>11037</v>
      </c>
      <c r="P2923" s="2" t="s">
        <v>11036</v>
      </c>
      <c r="Q2923" s="2">
        <f>AVERAGE(PerfRate[[#This Row],[EnvironmentSatisfaction]],PerfRate[[#This Row],[JobSatisfaction]],PerfRate[[#This Row],[RelationshipSatisfaction]])</f>
        <v>3.3333333333333335</v>
      </c>
      <c r="R2923" s="2">
        <f>PerfRate[[#This Row],[ManagerRating]] - PerfRate[[#This Row],[SelfRating]]</f>
        <v>0</v>
      </c>
    </row>
    <row r="2924" spans="1:18">
      <c r="A2924" s="2" t="s">
        <v>7231</v>
      </c>
      <c r="B2924" s="2" t="s">
        <v>1423</v>
      </c>
      <c r="C2924" s="1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  <c r="L2924" s="2" t="s">
        <v>11031</v>
      </c>
      <c r="M2924" s="2" t="s">
        <v>11031</v>
      </c>
      <c r="N2924" s="2" t="s">
        <v>11037</v>
      </c>
      <c r="O2924" s="2" t="s">
        <v>11037</v>
      </c>
      <c r="P2924" s="2" t="s">
        <v>11035</v>
      </c>
      <c r="Q2924" s="2">
        <f>AVERAGE(PerfRate[[#This Row],[EnvironmentSatisfaction]],PerfRate[[#This Row],[JobSatisfaction]],PerfRate[[#This Row],[RelationshipSatisfaction]])</f>
        <v>3.3333333333333335</v>
      </c>
      <c r="R2924" s="2">
        <f>PerfRate[[#This Row],[ManagerRating]] - PerfRate[[#This Row],[SelfRating]]</f>
        <v>0</v>
      </c>
    </row>
    <row r="2925" spans="1:18">
      <c r="A2925" s="2" t="s">
        <v>7232</v>
      </c>
      <c r="B2925" s="2" t="s">
        <v>1948</v>
      </c>
      <c r="C2925" s="1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  <c r="L2925" s="2" t="s">
        <v>11030</v>
      </c>
      <c r="M2925" s="2" t="s">
        <v>11029</v>
      </c>
      <c r="N2925" s="2" t="s">
        <v>11034</v>
      </c>
      <c r="O2925" s="2" t="s">
        <v>11037</v>
      </c>
      <c r="P2925" s="2" t="s">
        <v>11036</v>
      </c>
      <c r="Q2925" s="2">
        <f>AVERAGE(PerfRate[[#This Row],[EnvironmentSatisfaction]],PerfRate[[#This Row],[JobSatisfaction]],PerfRate[[#This Row],[RelationshipSatisfaction]])</f>
        <v>2.6666666666666665</v>
      </c>
      <c r="R2925" s="2">
        <f>PerfRate[[#This Row],[ManagerRating]] - PerfRate[[#This Row],[SelfRating]]</f>
        <v>-1</v>
      </c>
    </row>
    <row r="2926" spans="1:18">
      <c r="A2926" s="2" t="s">
        <v>7233</v>
      </c>
      <c r="B2926" s="2" t="s">
        <v>2187</v>
      </c>
      <c r="C2926" s="1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  <c r="L2926" s="2" t="s">
        <v>11029</v>
      </c>
      <c r="M2926" s="2" t="s">
        <v>11028</v>
      </c>
      <c r="N2926" s="2" t="s">
        <v>11035</v>
      </c>
      <c r="O2926" s="2" t="s">
        <v>11036</v>
      </c>
      <c r="P2926" s="2" t="s">
        <v>11037</v>
      </c>
      <c r="Q2926" s="2">
        <f>AVERAGE(PerfRate[[#This Row],[EnvironmentSatisfaction]],PerfRate[[#This Row],[JobSatisfaction]],PerfRate[[#This Row],[RelationshipSatisfaction]])</f>
        <v>3</v>
      </c>
      <c r="R2926" s="2">
        <f>PerfRate[[#This Row],[ManagerRating]] - PerfRate[[#This Row],[SelfRating]]</f>
        <v>-1</v>
      </c>
    </row>
    <row r="2927" spans="1:18">
      <c r="A2927" s="2" t="s">
        <v>7234</v>
      </c>
      <c r="B2927" s="2" t="s">
        <v>664</v>
      </c>
      <c r="C2927" s="1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  <c r="L2927" s="2" t="s">
        <v>11030</v>
      </c>
      <c r="M2927" s="2" t="s">
        <v>11030</v>
      </c>
      <c r="N2927" s="2" t="s">
        <v>11037</v>
      </c>
      <c r="O2927" s="2" t="s">
        <v>11036</v>
      </c>
      <c r="P2927" s="2" t="s">
        <v>11035</v>
      </c>
      <c r="Q2927" s="2">
        <f>AVERAGE(PerfRate[[#This Row],[EnvironmentSatisfaction]],PerfRate[[#This Row],[JobSatisfaction]],PerfRate[[#This Row],[RelationshipSatisfaction]])</f>
        <v>3</v>
      </c>
      <c r="R2927" s="2">
        <f>PerfRate[[#This Row],[ManagerRating]] - PerfRate[[#This Row],[SelfRating]]</f>
        <v>0</v>
      </c>
    </row>
    <row r="2928" spans="1:18">
      <c r="A2928" s="2" t="s">
        <v>7235</v>
      </c>
      <c r="B2928" s="2" t="s">
        <v>1739</v>
      </c>
      <c r="C2928" s="1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  <c r="L2928" s="2" t="s">
        <v>11029</v>
      </c>
      <c r="M2928" s="2" t="s">
        <v>11028</v>
      </c>
      <c r="N2928" s="2" t="s">
        <v>11037</v>
      </c>
      <c r="O2928" s="2" t="s">
        <v>11037</v>
      </c>
      <c r="P2928" s="2" t="s">
        <v>11037</v>
      </c>
      <c r="Q2928" s="2">
        <f>AVERAGE(PerfRate[[#This Row],[EnvironmentSatisfaction]],PerfRate[[#This Row],[JobSatisfaction]],PerfRate[[#This Row],[RelationshipSatisfaction]])</f>
        <v>4</v>
      </c>
      <c r="R2928" s="2">
        <f>PerfRate[[#This Row],[ManagerRating]] - PerfRate[[#This Row],[SelfRating]]</f>
        <v>-1</v>
      </c>
    </row>
    <row r="2929" spans="1:18">
      <c r="A2929" s="2" t="s">
        <v>7236</v>
      </c>
      <c r="B2929" s="2" t="s">
        <v>2302</v>
      </c>
      <c r="C2929" s="1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  <c r="L2929" s="2" t="s">
        <v>11031</v>
      </c>
      <c r="M2929" s="2" t="s">
        <v>11030</v>
      </c>
      <c r="N2929" s="2" t="s">
        <v>11034</v>
      </c>
      <c r="O2929" s="2" t="s">
        <v>11036</v>
      </c>
      <c r="P2929" s="2" t="s">
        <v>11034</v>
      </c>
      <c r="Q2929" s="2">
        <f>AVERAGE(PerfRate[[#This Row],[EnvironmentSatisfaction]],PerfRate[[#This Row],[JobSatisfaction]],PerfRate[[#This Row],[RelationshipSatisfaction]])</f>
        <v>1.6666666666666667</v>
      </c>
      <c r="R2929" s="2">
        <f>PerfRate[[#This Row],[ManagerRating]] - PerfRate[[#This Row],[SelfRating]]</f>
        <v>-1</v>
      </c>
    </row>
    <row r="2930" spans="1:18">
      <c r="A2930" s="2" t="s">
        <v>7237</v>
      </c>
      <c r="B2930" s="2" t="s">
        <v>684</v>
      </c>
      <c r="C2930" s="1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  <c r="L2930" s="2" t="s">
        <v>11029</v>
      </c>
      <c r="M2930" s="2" t="s">
        <v>11029</v>
      </c>
      <c r="N2930" s="2" t="s">
        <v>11037</v>
      </c>
      <c r="O2930" s="2" t="s">
        <v>11036</v>
      </c>
      <c r="P2930" s="2" t="s">
        <v>11034</v>
      </c>
      <c r="Q2930" s="2">
        <f>AVERAGE(PerfRate[[#This Row],[EnvironmentSatisfaction]],PerfRate[[#This Row],[JobSatisfaction]],PerfRate[[#This Row],[RelationshipSatisfaction]])</f>
        <v>2.6666666666666665</v>
      </c>
      <c r="R2930" s="2">
        <f>PerfRate[[#This Row],[ManagerRating]] - PerfRate[[#This Row],[SelfRating]]</f>
        <v>0</v>
      </c>
    </row>
    <row r="2931" spans="1:18">
      <c r="A2931" s="2" t="s">
        <v>7238</v>
      </c>
      <c r="B2931" s="2" t="s">
        <v>2572</v>
      </c>
      <c r="C2931" s="1">
        <v>41677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  <c r="L2931" s="2" t="s">
        <v>11030</v>
      </c>
      <c r="M2931" s="2" t="s">
        <v>11029</v>
      </c>
      <c r="N2931" s="2" t="s">
        <v>11038</v>
      </c>
      <c r="O2931" s="2" t="s">
        <v>11037</v>
      </c>
      <c r="P2931" s="2" t="s">
        <v>11038</v>
      </c>
      <c r="Q2931" s="2">
        <f>AVERAGE(PerfRate[[#This Row],[EnvironmentSatisfaction]],PerfRate[[#This Row],[JobSatisfaction]],PerfRate[[#This Row],[RelationshipSatisfaction]])</f>
        <v>4.666666666666667</v>
      </c>
      <c r="R2931" s="2">
        <f>PerfRate[[#This Row],[ManagerRating]] - PerfRate[[#This Row],[SelfRating]]</f>
        <v>-1</v>
      </c>
    </row>
    <row r="2932" spans="1:18">
      <c r="A2932" s="2" t="s">
        <v>7239</v>
      </c>
      <c r="B2932" s="2" t="s">
        <v>702</v>
      </c>
      <c r="C2932" s="1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  <c r="L2932" s="2" t="s">
        <v>11030</v>
      </c>
      <c r="M2932" s="2" t="s">
        <v>11029</v>
      </c>
      <c r="N2932" s="2" t="s">
        <v>11036</v>
      </c>
      <c r="O2932" s="2" t="s">
        <v>11036</v>
      </c>
      <c r="P2932" s="2" t="s">
        <v>11036</v>
      </c>
      <c r="Q2932" s="2">
        <f>AVERAGE(PerfRate[[#This Row],[EnvironmentSatisfaction]],PerfRate[[#This Row],[JobSatisfaction]],PerfRate[[#This Row],[RelationshipSatisfaction]])</f>
        <v>3</v>
      </c>
      <c r="R2932" s="2">
        <f>PerfRate[[#This Row],[ManagerRating]] - PerfRate[[#This Row],[SelfRating]]</f>
        <v>-1</v>
      </c>
    </row>
    <row r="2933" spans="1:18">
      <c r="A2933" s="2" t="s">
        <v>7240</v>
      </c>
      <c r="B2933" s="2" t="s">
        <v>991</v>
      </c>
      <c r="C2933" s="1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  <c r="L2933" s="2" t="s">
        <v>11031</v>
      </c>
      <c r="M2933" s="2" t="s">
        <v>11031</v>
      </c>
      <c r="N2933" s="2" t="s">
        <v>11037</v>
      </c>
      <c r="O2933" s="2" t="s">
        <v>11037</v>
      </c>
      <c r="P2933" s="2" t="s">
        <v>11037</v>
      </c>
      <c r="Q2933" s="2">
        <f>AVERAGE(PerfRate[[#This Row],[EnvironmentSatisfaction]],PerfRate[[#This Row],[JobSatisfaction]],PerfRate[[#This Row],[RelationshipSatisfaction]])</f>
        <v>4</v>
      </c>
      <c r="R2933" s="2">
        <f>PerfRate[[#This Row],[ManagerRating]] - PerfRate[[#This Row],[SelfRating]]</f>
        <v>0</v>
      </c>
    </row>
    <row r="2934" spans="1:18">
      <c r="A2934" s="2" t="s">
        <v>7241</v>
      </c>
      <c r="B2934" s="2" t="s">
        <v>1252</v>
      </c>
      <c r="C2934" s="1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  <c r="L2934" s="2" t="s">
        <v>11031</v>
      </c>
      <c r="M2934" s="2" t="s">
        <v>11031</v>
      </c>
      <c r="N2934" s="2" t="s">
        <v>11036</v>
      </c>
      <c r="O2934" s="2" t="s">
        <v>11038</v>
      </c>
      <c r="P2934" s="2" t="s">
        <v>11037</v>
      </c>
      <c r="Q2934" s="2">
        <f>AVERAGE(PerfRate[[#This Row],[EnvironmentSatisfaction]],PerfRate[[#This Row],[JobSatisfaction]],PerfRate[[#This Row],[RelationshipSatisfaction]])</f>
        <v>4</v>
      </c>
      <c r="R2934" s="2">
        <f>PerfRate[[#This Row],[ManagerRating]] - PerfRate[[#This Row],[SelfRating]]</f>
        <v>0</v>
      </c>
    </row>
    <row r="2935" spans="1:18">
      <c r="A2935" s="2" t="s">
        <v>7242</v>
      </c>
      <c r="B2935" s="2" t="s">
        <v>3995</v>
      </c>
      <c r="C2935" s="1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  <c r="L2935" s="2" t="s">
        <v>11031</v>
      </c>
      <c r="M2935" s="2" t="s">
        <v>11031</v>
      </c>
      <c r="N2935" s="2" t="s">
        <v>11037</v>
      </c>
      <c r="O2935" s="2" t="s">
        <v>11038</v>
      </c>
      <c r="P2935" s="2" t="s">
        <v>11035</v>
      </c>
      <c r="Q2935" s="2">
        <f>AVERAGE(PerfRate[[#This Row],[EnvironmentSatisfaction]],PerfRate[[#This Row],[JobSatisfaction]],PerfRate[[#This Row],[RelationshipSatisfaction]])</f>
        <v>3.6666666666666665</v>
      </c>
      <c r="R2935" s="2">
        <f>PerfRate[[#This Row],[ManagerRating]] - PerfRate[[#This Row],[SelfRating]]</f>
        <v>0</v>
      </c>
    </row>
    <row r="2936" spans="1:18">
      <c r="A2936" s="2" t="s">
        <v>7243</v>
      </c>
      <c r="B2936" s="2" t="s">
        <v>1886</v>
      </c>
      <c r="C2936" s="1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  <c r="L2936" s="2" t="s">
        <v>11029</v>
      </c>
      <c r="M2936" s="2" t="s">
        <v>11028</v>
      </c>
      <c r="N2936" s="2" t="s">
        <v>11037</v>
      </c>
      <c r="O2936" s="2" t="s">
        <v>11038</v>
      </c>
      <c r="P2936" s="2" t="s">
        <v>11036</v>
      </c>
      <c r="Q2936" s="2">
        <f>AVERAGE(PerfRate[[#This Row],[EnvironmentSatisfaction]],PerfRate[[#This Row],[JobSatisfaction]],PerfRate[[#This Row],[RelationshipSatisfaction]])</f>
        <v>4</v>
      </c>
      <c r="R2936" s="2">
        <f>PerfRate[[#This Row],[ManagerRating]] - PerfRate[[#This Row],[SelfRating]]</f>
        <v>-1</v>
      </c>
    </row>
    <row r="2937" spans="1:18">
      <c r="A2937" s="2" t="s">
        <v>7244</v>
      </c>
      <c r="B2937" s="2" t="s">
        <v>3566</v>
      </c>
      <c r="C2937" s="1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  <c r="L2937" s="2" t="s">
        <v>11030</v>
      </c>
      <c r="M2937" s="2" t="s">
        <v>11029</v>
      </c>
      <c r="N2937" s="2" t="s">
        <v>11037</v>
      </c>
      <c r="O2937" s="2" t="s">
        <v>11037</v>
      </c>
      <c r="P2937" s="2" t="s">
        <v>11036</v>
      </c>
      <c r="Q2937" s="2">
        <f>AVERAGE(PerfRate[[#This Row],[EnvironmentSatisfaction]],PerfRate[[#This Row],[JobSatisfaction]],PerfRate[[#This Row],[RelationshipSatisfaction]])</f>
        <v>3.6666666666666665</v>
      </c>
      <c r="R2937" s="2">
        <f>PerfRate[[#This Row],[ManagerRating]] - PerfRate[[#This Row],[SelfRating]]</f>
        <v>-1</v>
      </c>
    </row>
    <row r="2938" spans="1:18">
      <c r="A2938" s="2" t="s">
        <v>7245</v>
      </c>
      <c r="B2938" s="2" t="s">
        <v>1065</v>
      </c>
      <c r="C2938" s="1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  <c r="L2938" s="2" t="s">
        <v>11030</v>
      </c>
      <c r="M2938" s="2" t="s">
        <v>11029</v>
      </c>
      <c r="N2938" s="2" t="s">
        <v>11038</v>
      </c>
      <c r="O2938" s="2" t="s">
        <v>11037</v>
      </c>
      <c r="P2938" s="2" t="s">
        <v>11038</v>
      </c>
      <c r="Q2938" s="2">
        <f>AVERAGE(PerfRate[[#This Row],[EnvironmentSatisfaction]],PerfRate[[#This Row],[JobSatisfaction]],PerfRate[[#This Row],[RelationshipSatisfaction]])</f>
        <v>4.666666666666667</v>
      </c>
      <c r="R2938" s="2">
        <f>PerfRate[[#This Row],[ManagerRating]] - PerfRate[[#This Row],[SelfRating]]</f>
        <v>-1</v>
      </c>
    </row>
    <row r="2939" spans="1:18">
      <c r="A2939" s="2" t="s">
        <v>7246</v>
      </c>
      <c r="B2939" s="2" t="s">
        <v>589</v>
      </c>
      <c r="C2939" s="1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  <c r="L2939" s="2" t="s">
        <v>11029</v>
      </c>
      <c r="M2939" s="2" t="s">
        <v>11028</v>
      </c>
      <c r="N2939" s="2" t="s">
        <v>11036</v>
      </c>
      <c r="O2939" s="2" t="s">
        <v>11035</v>
      </c>
      <c r="P2939" s="2" t="s">
        <v>11038</v>
      </c>
      <c r="Q2939" s="2">
        <f>AVERAGE(PerfRate[[#This Row],[EnvironmentSatisfaction]],PerfRate[[#This Row],[JobSatisfaction]],PerfRate[[#This Row],[RelationshipSatisfaction]])</f>
        <v>3.3333333333333335</v>
      </c>
      <c r="R2939" s="2">
        <f>PerfRate[[#This Row],[ManagerRating]] - PerfRate[[#This Row],[SelfRating]]</f>
        <v>-1</v>
      </c>
    </row>
    <row r="2940" spans="1:18">
      <c r="A2940" s="2" t="s">
        <v>7247</v>
      </c>
      <c r="B2940" s="2" t="s">
        <v>2497</v>
      </c>
      <c r="C2940" s="1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  <c r="L2940" s="2" t="s">
        <v>11029</v>
      </c>
      <c r="M2940" s="2" t="s">
        <v>11029</v>
      </c>
      <c r="N2940" s="2" t="s">
        <v>11038</v>
      </c>
      <c r="O2940" s="2" t="s">
        <v>11036</v>
      </c>
      <c r="P2940" s="2" t="s">
        <v>11037</v>
      </c>
      <c r="Q2940" s="2">
        <f>AVERAGE(PerfRate[[#This Row],[EnvironmentSatisfaction]],PerfRate[[#This Row],[JobSatisfaction]],PerfRate[[#This Row],[RelationshipSatisfaction]])</f>
        <v>4</v>
      </c>
      <c r="R2940" s="2">
        <f>PerfRate[[#This Row],[ManagerRating]] - PerfRate[[#This Row],[SelfRating]]</f>
        <v>0</v>
      </c>
    </row>
    <row r="2941" spans="1:18">
      <c r="A2941" s="2" t="s">
        <v>7248</v>
      </c>
      <c r="B2941" s="2" t="s">
        <v>1027</v>
      </c>
      <c r="C2941" s="1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  <c r="L2941" s="2" t="s">
        <v>11031</v>
      </c>
      <c r="M2941" s="2" t="s">
        <v>11030</v>
      </c>
      <c r="N2941" s="2" t="s">
        <v>11037</v>
      </c>
      <c r="O2941" s="2" t="s">
        <v>11038</v>
      </c>
      <c r="P2941" s="2" t="s">
        <v>11036</v>
      </c>
      <c r="Q2941" s="2">
        <f>AVERAGE(PerfRate[[#This Row],[EnvironmentSatisfaction]],PerfRate[[#This Row],[JobSatisfaction]],PerfRate[[#This Row],[RelationshipSatisfaction]])</f>
        <v>4</v>
      </c>
      <c r="R2941" s="2">
        <f>PerfRate[[#This Row],[ManagerRating]] - PerfRate[[#This Row],[SelfRating]]</f>
        <v>-1</v>
      </c>
    </row>
    <row r="2942" spans="1:18">
      <c r="A2942" s="2" t="s">
        <v>7249</v>
      </c>
      <c r="B2942" s="2" t="s">
        <v>3549</v>
      </c>
      <c r="C2942" s="1">
        <v>41889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  <c r="L2942" s="2" t="s">
        <v>11031</v>
      </c>
      <c r="M2942" s="2" t="s">
        <v>11030</v>
      </c>
      <c r="N2942" s="2" t="s">
        <v>11037</v>
      </c>
      <c r="O2942" s="2" t="s">
        <v>11038</v>
      </c>
      <c r="P2942" s="2" t="s">
        <v>11038</v>
      </c>
      <c r="Q2942" s="2">
        <f>AVERAGE(PerfRate[[#This Row],[EnvironmentSatisfaction]],PerfRate[[#This Row],[JobSatisfaction]],PerfRate[[#This Row],[RelationshipSatisfaction]])</f>
        <v>4.666666666666667</v>
      </c>
      <c r="R2942" s="2">
        <f>PerfRate[[#This Row],[ManagerRating]] - PerfRate[[#This Row],[SelfRating]]</f>
        <v>-1</v>
      </c>
    </row>
    <row r="2943" spans="1:18">
      <c r="A2943" s="2" t="s">
        <v>7250</v>
      </c>
      <c r="B2943" s="2" t="s">
        <v>622</v>
      </c>
      <c r="C2943" s="1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  <c r="L2943" s="2" t="s">
        <v>11030</v>
      </c>
      <c r="M2943" s="2" t="s">
        <v>11029</v>
      </c>
      <c r="N2943" s="2" t="s">
        <v>11038</v>
      </c>
      <c r="O2943" s="2" t="s">
        <v>11036</v>
      </c>
      <c r="P2943" s="2" t="s">
        <v>11038</v>
      </c>
      <c r="Q2943" s="2">
        <f>AVERAGE(PerfRate[[#This Row],[EnvironmentSatisfaction]],PerfRate[[#This Row],[JobSatisfaction]],PerfRate[[#This Row],[RelationshipSatisfaction]])</f>
        <v>4.333333333333333</v>
      </c>
      <c r="R2943" s="2">
        <f>PerfRate[[#This Row],[ManagerRating]] - PerfRate[[#This Row],[SelfRating]]</f>
        <v>-1</v>
      </c>
    </row>
    <row r="2944" spans="1:18">
      <c r="A2944" s="2" t="s">
        <v>7251</v>
      </c>
      <c r="B2944" s="2" t="s">
        <v>1263</v>
      </c>
      <c r="C2944" s="1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  <c r="L2944" s="2" t="s">
        <v>11031</v>
      </c>
      <c r="M2944" s="2" t="s">
        <v>11030</v>
      </c>
      <c r="N2944" s="2" t="s">
        <v>11036</v>
      </c>
      <c r="O2944" s="2" t="s">
        <v>11038</v>
      </c>
      <c r="P2944" s="2" t="s">
        <v>11038</v>
      </c>
      <c r="Q2944" s="2">
        <f>AVERAGE(PerfRate[[#This Row],[EnvironmentSatisfaction]],PerfRate[[#This Row],[JobSatisfaction]],PerfRate[[#This Row],[RelationshipSatisfaction]])</f>
        <v>4.333333333333333</v>
      </c>
      <c r="R2944" s="2">
        <f>PerfRate[[#This Row],[ManagerRating]] - PerfRate[[#This Row],[SelfRating]]</f>
        <v>-1</v>
      </c>
    </row>
    <row r="2945" spans="1:18">
      <c r="A2945" s="2" t="s">
        <v>7252</v>
      </c>
      <c r="B2945" s="2" t="s">
        <v>1341</v>
      </c>
      <c r="C2945" s="1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  <c r="L2945" s="2" t="s">
        <v>11029</v>
      </c>
      <c r="M2945" s="2" t="s">
        <v>11029</v>
      </c>
      <c r="N2945" s="2" t="s">
        <v>11036</v>
      </c>
      <c r="O2945" s="2" t="s">
        <v>11036</v>
      </c>
      <c r="P2945" s="2" t="s">
        <v>11036</v>
      </c>
      <c r="Q2945" s="2">
        <f>AVERAGE(PerfRate[[#This Row],[EnvironmentSatisfaction]],PerfRate[[#This Row],[JobSatisfaction]],PerfRate[[#This Row],[RelationshipSatisfaction]])</f>
        <v>3</v>
      </c>
      <c r="R2945" s="2">
        <f>PerfRate[[#This Row],[ManagerRating]] - PerfRate[[#This Row],[SelfRating]]</f>
        <v>0</v>
      </c>
    </row>
    <row r="2946" spans="1:18">
      <c r="A2946" s="2" t="s">
        <v>7253</v>
      </c>
      <c r="B2946" s="2" t="s">
        <v>3015</v>
      </c>
      <c r="C2946" s="1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  <c r="L2946" s="2" t="s">
        <v>11029</v>
      </c>
      <c r="M2946" s="2" t="s">
        <v>11029</v>
      </c>
      <c r="N2946" s="2" t="s">
        <v>11036</v>
      </c>
      <c r="O2946" s="2" t="s">
        <v>11035</v>
      </c>
      <c r="P2946" s="2" t="s">
        <v>11038</v>
      </c>
      <c r="Q2946" s="2">
        <f>AVERAGE(PerfRate[[#This Row],[EnvironmentSatisfaction]],PerfRate[[#This Row],[JobSatisfaction]],PerfRate[[#This Row],[RelationshipSatisfaction]])</f>
        <v>3.3333333333333335</v>
      </c>
      <c r="R2946" s="2">
        <f>PerfRate[[#This Row],[ManagerRating]] - PerfRate[[#This Row],[SelfRating]]</f>
        <v>0</v>
      </c>
    </row>
    <row r="2947" spans="1:18">
      <c r="A2947" s="2" t="s">
        <v>7254</v>
      </c>
      <c r="B2947" s="2" t="s">
        <v>1383</v>
      </c>
      <c r="C2947" s="1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  <c r="L2947" s="2" t="s">
        <v>11029</v>
      </c>
      <c r="M2947" s="2" t="s">
        <v>11028</v>
      </c>
      <c r="N2947" s="2" t="s">
        <v>11037</v>
      </c>
      <c r="O2947" s="2" t="s">
        <v>11036</v>
      </c>
      <c r="P2947" s="2" t="s">
        <v>11035</v>
      </c>
      <c r="Q2947" s="2">
        <f>AVERAGE(PerfRate[[#This Row],[EnvironmentSatisfaction]],PerfRate[[#This Row],[JobSatisfaction]],PerfRate[[#This Row],[RelationshipSatisfaction]])</f>
        <v>3</v>
      </c>
      <c r="R2947" s="2">
        <f>PerfRate[[#This Row],[ManagerRating]] - PerfRate[[#This Row],[SelfRating]]</f>
        <v>-1</v>
      </c>
    </row>
    <row r="2948" spans="1:18">
      <c r="A2948" s="2" t="s">
        <v>7255</v>
      </c>
      <c r="B2948" s="2" t="s">
        <v>241</v>
      </c>
      <c r="C2948" s="1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  <c r="L2948" s="2" t="s">
        <v>11029</v>
      </c>
      <c r="M2948" s="2" t="s">
        <v>11029</v>
      </c>
      <c r="N2948" s="2" t="s">
        <v>11038</v>
      </c>
      <c r="O2948" s="2" t="s">
        <v>11036</v>
      </c>
      <c r="P2948" s="2" t="s">
        <v>11036</v>
      </c>
      <c r="Q2948" s="2">
        <f>AVERAGE(PerfRate[[#This Row],[EnvironmentSatisfaction]],PerfRate[[#This Row],[JobSatisfaction]],PerfRate[[#This Row],[RelationshipSatisfaction]])</f>
        <v>3.6666666666666665</v>
      </c>
      <c r="R2948" s="2">
        <f>PerfRate[[#This Row],[ManagerRating]] - PerfRate[[#This Row],[SelfRating]]</f>
        <v>0</v>
      </c>
    </row>
    <row r="2949" spans="1:18">
      <c r="A2949" s="2" t="s">
        <v>7256</v>
      </c>
      <c r="B2949" s="2" t="s">
        <v>735</v>
      </c>
      <c r="C2949" s="1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  <c r="L2949" s="2" t="s">
        <v>11029</v>
      </c>
      <c r="M2949" s="2" t="s">
        <v>11029</v>
      </c>
      <c r="N2949" s="2" t="s">
        <v>11036</v>
      </c>
      <c r="O2949" s="2" t="s">
        <v>11037</v>
      </c>
      <c r="P2949" s="2" t="s">
        <v>11037</v>
      </c>
      <c r="Q2949" s="2">
        <f>AVERAGE(PerfRate[[#This Row],[EnvironmentSatisfaction]],PerfRate[[#This Row],[JobSatisfaction]],PerfRate[[#This Row],[RelationshipSatisfaction]])</f>
        <v>3.6666666666666665</v>
      </c>
      <c r="R2949" s="2">
        <f>PerfRate[[#This Row],[ManagerRating]] - PerfRate[[#This Row],[SelfRating]]</f>
        <v>0</v>
      </c>
    </row>
    <row r="2950" spans="1:18">
      <c r="A2950" s="2" t="s">
        <v>7257</v>
      </c>
      <c r="B2950" s="2" t="s">
        <v>3126</v>
      </c>
      <c r="C2950" s="1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  <c r="L2950" s="2" t="s">
        <v>11030</v>
      </c>
      <c r="M2950" s="2" t="s">
        <v>11030</v>
      </c>
      <c r="N2950" s="2" t="s">
        <v>11036</v>
      </c>
      <c r="O2950" s="2" t="s">
        <v>11035</v>
      </c>
      <c r="P2950" s="2" t="s">
        <v>11038</v>
      </c>
      <c r="Q2950" s="2">
        <f>AVERAGE(PerfRate[[#This Row],[EnvironmentSatisfaction]],PerfRate[[#This Row],[JobSatisfaction]],PerfRate[[#This Row],[RelationshipSatisfaction]])</f>
        <v>3.3333333333333335</v>
      </c>
      <c r="R2950" s="2">
        <f>PerfRate[[#This Row],[ManagerRating]] - PerfRate[[#This Row],[SelfRating]]</f>
        <v>0</v>
      </c>
    </row>
    <row r="2951" spans="1:18">
      <c r="A2951" s="2" t="s">
        <v>7258</v>
      </c>
      <c r="B2951" s="2" t="s">
        <v>493</v>
      </c>
      <c r="C2951" s="1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  <c r="L2951" s="2" t="s">
        <v>11031</v>
      </c>
      <c r="M2951" s="2" t="s">
        <v>11030</v>
      </c>
      <c r="N2951" s="2" t="s">
        <v>11036</v>
      </c>
      <c r="O2951" s="2" t="s">
        <v>11035</v>
      </c>
      <c r="P2951" s="2" t="s">
        <v>11035</v>
      </c>
      <c r="Q2951" s="2">
        <f>AVERAGE(PerfRate[[#This Row],[EnvironmentSatisfaction]],PerfRate[[#This Row],[JobSatisfaction]],PerfRate[[#This Row],[RelationshipSatisfaction]])</f>
        <v>2.3333333333333335</v>
      </c>
      <c r="R2951" s="2">
        <f>PerfRate[[#This Row],[ManagerRating]] - PerfRate[[#This Row],[SelfRating]]</f>
        <v>-1</v>
      </c>
    </row>
    <row r="2952" spans="1:18">
      <c r="A2952" s="2" t="s">
        <v>7259</v>
      </c>
      <c r="B2952" s="2" t="s">
        <v>1511</v>
      </c>
      <c r="C2952" s="1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  <c r="L2952" s="2" t="s">
        <v>11031</v>
      </c>
      <c r="M2952" s="2" t="s">
        <v>11030</v>
      </c>
      <c r="N2952" s="2" t="s">
        <v>11037</v>
      </c>
      <c r="O2952" s="2" t="s">
        <v>11035</v>
      </c>
      <c r="P2952" s="2" t="s">
        <v>11038</v>
      </c>
      <c r="Q2952" s="2">
        <f>AVERAGE(PerfRate[[#This Row],[EnvironmentSatisfaction]],PerfRate[[#This Row],[JobSatisfaction]],PerfRate[[#This Row],[RelationshipSatisfaction]])</f>
        <v>3.6666666666666665</v>
      </c>
      <c r="R2952" s="2">
        <f>PerfRate[[#This Row],[ManagerRating]] - PerfRate[[#This Row],[SelfRating]]</f>
        <v>-1</v>
      </c>
    </row>
    <row r="2953" spans="1:18">
      <c r="A2953" s="2" t="s">
        <v>7260</v>
      </c>
      <c r="B2953" s="2" t="s">
        <v>2757</v>
      </c>
      <c r="C2953" s="1">
        <v>41950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  <c r="L2953" s="2" t="s">
        <v>11029</v>
      </c>
      <c r="M2953" s="2" t="s">
        <v>11028</v>
      </c>
      <c r="N2953" s="2" t="s">
        <v>11038</v>
      </c>
      <c r="O2953" s="2" t="s">
        <v>11036</v>
      </c>
      <c r="P2953" s="2" t="s">
        <v>11037</v>
      </c>
      <c r="Q2953" s="2">
        <f>AVERAGE(PerfRate[[#This Row],[EnvironmentSatisfaction]],PerfRate[[#This Row],[JobSatisfaction]],PerfRate[[#This Row],[RelationshipSatisfaction]])</f>
        <v>4</v>
      </c>
      <c r="R2953" s="2">
        <f>PerfRate[[#This Row],[ManagerRating]] - PerfRate[[#This Row],[SelfRating]]</f>
        <v>-1</v>
      </c>
    </row>
    <row r="2954" spans="1:18">
      <c r="A2954" s="2" t="s">
        <v>7261</v>
      </c>
      <c r="B2954" s="2" t="s">
        <v>2131</v>
      </c>
      <c r="C2954" s="1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  <c r="L2954" s="2" t="s">
        <v>11029</v>
      </c>
      <c r="M2954" s="2" t="s">
        <v>11028</v>
      </c>
      <c r="N2954" s="2" t="s">
        <v>11038</v>
      </c>
      <c r="O2954" s="2" t="s">
        <v>11038</v>
      </c>
      <c r="P2954" s="2" t="s">
        <v>11035</v>
      </c>
      <c r="Q2954" s="2">
        <f>AVERAGE(PerfRate[[#This Row],[EnvironmentSatisfaction]],PerfRate[[#This Row],[JobSatisfaction]],PerfRate[[#This Row],[RelationshipSatisfaction]])</f>
        <v>4</v>
      </c>
      <c r="R2954" s="2">
        <f>PerfRate[[#This Row],[ManagerRating]] - PerfRate[[#This Row],[SelfRating]]</f>
        <v>-1</v>
      </c>
    </row>
    <row r="2955" spans="1:18">
      <c r="A2955" s="2" t="s">
        <v>7262</v>
      </c>
      <c r="B2955" s="2" t="s">
        <v>1198</v>
      </c>
      <c r="C2955" s="1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  <c r="L2955" s="2" t="s">
        <v>11030</v>
      </c>
      <c r="M2955" s="2" t="s">
        <v>11029</v>
      </c>
      <c r="N2955" s="2" t="s">
        <v>11037</v>
      </c>
      <c r="O2955" s="2" t="s">
        <v>11037</v>
      </c>
      <c r="P2955" s="2" t="s">
        <v>11036</v>
      </c>
      <c r="Q2955" s="2">
        <f>AVERAGE(PerfRate[[#This Row],[EnvironmentSatisfaction]],PerfRate[[#This Row],[JobSatisfaction]],PerfRate[[#This Row],[RelationshipSatisfaction]])</f>
        <v>3.6666666666666665</v>
      </c>
      <c r="R2955" s="2">
        <f>PerfRate[[#This Row],[ManagerRating]] - PerfRate[[#This Row],[SelfRating]]</f>
        <v>-1</v>
      </c>
    </row>
    <row r="2956" spans="1:18">
      <c r="A2956" s="2" t="s">
        <v>7263</v>
      </c>
      <c r="B2956" s="2" t="s">
        <v>1353</v>
      </c>
      <c r="C2956" s="1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  <c r="L2956" s="2" t="s">
        <v>11031</v>
      </c>
      <c r="M2956" s="2" t="s">
        <v>11030</v>
      </c>
      <c r="N2956" s="2" t="s">
        <v>11037</v>
      </c>
      <c r="O2956" s="2" t="s">
        <v>11038</v>
      </c>
      <c r="P2956" s="2" t="s">
        <v>11038</v>
      </c>
      <c r="Q2956" s="2">
        <f>AVERAGE(PerfRate[[#This Row],[EnvironmentSatisfaction]],PerfRate[[#This Row],[JobSatisfaction]],PerfRate[[#This Row],[RelationshipSatisfaction]])</f>
        <v>4.666666666666667</v>
      </c>
      <c r="R2956" s="2">
        <f>PerfRate[[#This Row],[ManagerRating]] - PerfRate[[#This Row],[SelfRating]]</f>
        <v>-1</v>
      </c>
    </row>
    <row r="2957" spans="1:18">
      <c r="A2957" s="2" t="s">
        <v>7264</v>
      </c>
      <c r="B2957" s="2" t="s">
        <v>1997</v>
      </c>
      <c r="C2957" s="1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  <c r="L2957" s="2" t="s">
        <v>11031</v>
      </c>
      <c r="M2957" s="2" t="s">
        <v>11030</v>
      </c>
      <c r="N2957" s="2" t="s">
        <v>11036</v>
      </c>
      <c r="O2957" s="2" t="s">
        <v>11038</v>
      </c>
      <c r="P2957" s="2" t="s">
        <v>11038</v>
      </c>
      <c r="Q2957" s="2">
        <f>AVERAGE(PerfRate[[#This Row],[EnvironmentSatisfaction]],PerfRate[[#This Row],[JobSatisfaction]],PerfRate[[#This Row],[RelationshipSatisfaction]])</f>
        <v>4.333333333333333</v>
      </c>
      <c r="R2957" s="2">
        <f>PerfRate[[#This Row],[ManagerRating]] - PerfRate[[#This Row],[SelfRating]]</f>
        <v>-1</v>
      </c>
    </row>
    <row r="2958" spans="1:18">
      <c r="A2958" s="2" t="s">
        <v>7265</v>
      </c>
      <c r="B2958" s="2" t="s">
        <v>1006</v>
      </c>
      <c r="C2958" s="1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  <c r="L2958" s="2" t="s">
        <v>11030</v>
      </c>
      <c r="M2958" s="2" t="s">
        <v>11030</v>
      </c>
      <c r="N2958" s="2" t="s">
        <v>11036</v>
      </c>
      <c r="O2958" s="2" t="s">
        <v>11036</v>
      </c>
      <c r="P2958" s="2" t="s">
        <v>11035</v>
      </c>
      <c r="Q2958" s="2">
        <f>AVERAGE(PerfRate[[#This Row],[EnvironmentSatisfaction]],PerfRate[[#This Row],[JobSatisfaction]],PerfRate[[#This Row],[RelationshipSatisfaction]])</f>
        <v>2.6666666666666665</v>
      </c>
      <c r="R2958" s="2">
        <f>PerfRate[[#This Row],[ManagerRating]] - PerfRate[[#This Row],[SelfRating]]</f>
        <v>0</v>
      </c>
    </row>
    <row r="2959" spans="1:18">
      <c r="A2959" s="2" t="s">
        <v>7266</v>
      </c>
      <c r="B2959" s="2" t="s">
        <v>220</v>
      </c>
      <c r="C2959" s="1">
        <v>43832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  <c r="L2959" s="2" t="s">
        <v>11030</v>
      </c>
      <c r="M2959" s="2" t="s">
        <v>11030</v>
      </c>
      <c r="N2959" s="2" t="s">
        <v>11037</v>
      </c>
      <c r="O2959" s="2" t="s">
        <v>11038</v>
      </c>
      <c r="P2959" s="2" t="s">
        <v>11038</v>
      </c>
      <c r="Q2959" s="2">
        <f>AVERAGE(PerfRate[[#This Row],[EnvironmentSatisfaction]],PerfRate[[#This Row],[JobSatisfaction]],PerfRate[[#This Row],[RelationshipSatisfaction]])</f>
        <v>4.666666666666667</v>
      </c>
      <c r="R2959" s="2">
        <f>PerfRate[[#This Row],[ManagerRating]] - PerfRate[[#This Row],[SelfRating]]</f>
        <v>0</v>
      </c>
    </row>
    <row r="2960" spans="1:18">
      <c r="A2960" s="2" t="s">
        <v>7267</v>
      </c>
      <c r="B2960" s="2" t="s">
        <v>1356</v>
      </c>
      <c r="C2960" s="1">
        <v>43832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  <c r="L2960" s="2" t="s">
        <v>11030</v>
      </c>
      <c r="M2960" s="2" t="s">
        <v>11029</v>
      </c>
      <c r="N2960" s="2" t="s">
        <v>11037</v>
      </c>
      <c r="O2960" s="2" t="s">
        <v>11037</v>
      </c>
      <c r="P2960" s="2" t="s">
        <v>11036</v>
      </c>
      <c r="Q2960" s="2">
        <f>AVERAGE(PerfRate[[#This Row],[EnvironmentSatisfaction]],PerfRate[[#This Row],[JobSatisfaction]],PerfRate[[#This Row],[RelationshipSatisfaction]])</f>
        <v>3.6666666666666665</v>
      </c>
      <c r="R2960" s="2">
        <f>PerfRate[[#This Row],[ManagerRating]] - PerfRate[[#This Row],[SelfRating]]</f>
        <v>-1</v>
      </c>
    </row>
    <row r="2961" spans="1:18">
      <c r="A2961" s="2" t="s">
        <v>7268</v>
      </c>
      <c r="B2961" s="2" t="s">
        <v>2418</v>
      </c>
      <c r="C2961" s="1">
        <v>43832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  <c r="L2961" s="2" t="s">
        <v>11029</v>
      </c>
      <c r="M2961" s="2" t="s">
        <v>11029</v>
      </c>
      <c r="N2961" s="2" t="s">
        <v>11036</v>
      </c>
      <c r="O2961" s="2" t="s">
        <v>11038</v>
      </c>
      <c r="P2961" s="2" t="s">
        <v>11036</v>
      </c>
      <c r="Q2961" s="2">
        <f>AVERAGE(PerfRate[[#This Row],[EnvironmentSatisfaction]],PerfRate[[#This Row],[JobSatisfaction]],PerfRate[[#This Row],[RelationshipSatisfaction]])</f>
        <v>3.6666666666666665</v>
      </c>
      <c r="R2961" s="2">
        <f>PerfRate[[#This Row],[ManagerRating]] - PerfRate[[#This Row],[SelfRating]]</f>
        <v>0</v>
      </c>
    </row>
    <row r="2962" spans="1:18">
      <c r="A2962" s="2" t="s">
        <v>7269</v>
      </c>
      <c r="B2962" s="2" t="s">
        <v>714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  <c r="L2962" s="2" t="s">
        <v>11031</v>
      </c>
      <c r="M2962" s="2" t="s">
        <v>11030</v>
      </c>
      <c r="N2962" s="2" t="s">
        <v>11038</v>
      </c>
      <c r="O2962" s="2" t="s">
        <v>11036</v>
      </c>
      <c r="P2962" s="2" t="s">
        <v>11037</v>
      </c>
      <c r="Q2962" s="2">
        <f>AVERAGE(PerfRate[[#This Row],[EnvironmentSatisfaction]],PerfRate[[#This Row],[JobSatisfaction]],PerfRate[[#This Row],[RelationshipSatisfaction]])</f>
        <v>4</v>
      </c>
      <c r="R2962" s="2">
        <f>PerfRate[[#This Row],[ManagerRating]] - PerfRate[[#This Row],[SelfRating]]</f>
        <v>-1</v>
      </c>
    </row>
    <row r="2963" spans="1:18">
      <c r="A2963" s="2" t="s">
        <v>7270</v>
      </c>
      <c r="B2963" s="2" t="s">
        <v>122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  <c r="L2963" s="2" t="s">
        <v>11030</v>
      </c>
      <c r="M2963" s="2" t="s">
        <v>11030</v>
      </c>
      <c r="N2963" s="2" t="s">
        <v>11036</v>
      </c>
      <c r="O2963" s="2" t="s">
        <v>11036</v>
      </c>
      <c r="P2963" s="2" t="s">
        <v>11038</v>
      </c>
      <c r="Q2963" s="2">
        <f>AVERAGE(PerfRate[[#This Row],[EnvironmentSatisfaction]],PerfRate[[#This Row],[JobSatisfaction]],PerfRate[[#This Row],[RelationshipSatisfaction]])</f>
        <v>3.6666666666666665</v>
      </c>
      <c r="R2963" s="2">
        <f>PerfRate[[#This Row],[ManagerRating]] - PerfRate[[#This Row],[SelfRating]]</f>
        <v>0</v>
      </c>
    </row>
    <row r="2964" spans="1:18">
      <c r="A2964" s="2" t="s">
        <v>7271</v>
      </c>
      <c r="B2964" s="2" t="s">
        <v>1677</v>
      </c>
      <c r="C2964" s="1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  <c r="L2964" s="2" t="s">
        <v>11030</v>
      </c>
      <c r="M2964" s="2" t="s">
        <v>11030</v>
      </c>
      <c r="N2964" s="2" t="s">
        <v>11037</v>
      </c>
      <c r="O2964" s="2" t="s">
        <v>11035</v>
      </c>
      <c r="P2964" s="2" t="s">
        <v>11037</v>
      </c>
      <c r="Q2964" s="2">
        <f>AVERAGE(PerfRate[[#This Row],[EnvironmentSatisfaction]],PerfRate[[#This Row],[JobSatisfaction]],PerfRate[[#This Row],[RelationshipSatisfaction]])</f>
        <v>3.3333333333333335</v>
      </c>
      <c r="R2964" s="2">
        <f>PerfRate[[#This Row],[ManagerRating]] - PerfRate[[#This Row],[SelfRating]]</f>
        <v>0</v>
      </c>
    </row>
    <row r="2965" spans="1:18">
      <c r="A2965" s="2" t="s">
        <v>7272</v>
      </c>
      <c r="B2965" s="2" t="s">
        <v>726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  <c r="L2965" s="2" t="s">
        <v>11031</v>
      </c>
      <c r="M2965" s="2" t="s">
        <v>11030</v>
      </c>
      <c r="N2965" s="2" t="s">
        <v>11037</v>
      </c>
      <c r="O2965" s="2" t="s">
        <v>11037</v>
      </c>
      <c r="P2965" s="2" t="s">
        <v>11037</v>
      </c>
      <c r="Q2965" s="2">
        <f>AVERAGE(PerfRate[[#This Row],[EnvironmentSatisfaction]],PerfRate[[#This Row],[JobSatisfaction]],PerfRate[[#This Row],[RelationshipSatisfaction]])</f>
        <v>4</v>
      </c>
      <c r="R2965" s="2">
        <f>PerfRate[[#This Row],[ManagerRating]] - PerfRate[[#This Row],[SelfRating]]</f>
        <v>-1</v>
      </c>
    </row>
    <row r="2966" spans="1:18">
      <c r="A2966" s="2" t="s">
        <v>7273</v>
      </c>
      <c r="B2966" s="2" t="s">
        <v>1163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  <c r="L2966" s="2" t="s">
        <v>11029</v>
      </c>
      <c r="M2966" s="2" t="s">
        <v>11029</v>
      </c>
      <c r="N2966" s="2" t="s">
        <v>11038</v>
      </c>
      <c r="O2966" s="2" t="s">
        <v>11036</v>
      </c>
      <c r="P2966" s="2" t="s">
        <v>11035</v>
      </c>
      <c r="Q2966" s="2">
        <f>AVERAGE(PerfRate[[#This Row],[EnvironmentSatisfaction]],PerfRate[[#This Row],[JobSatisfaction]],PerfRate[[#This Row],[RelationshipSatisfaction]])</f>
        <v>3.3333333333333335</v>
      </c>
      <c r="R2966" s="2">
        <f>PerfRate[[#This Row],[ManagerRating]] - PerfRate[[#This Row],[SelfRating]]</f>
        <v>0</v>
      </c>
    </row>
    <row r="2967" spans="1:18">
      <c r="A2967" s="2" t="s">
        <v>7274</v>
      </c>
      <c r="B2967" s="2" t="s">
        <v>1048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  <c r="L2967" s="2" t="s">
        <v>11030</v>
      </c>
      <c r="M2967" s="2" t="s">
        <v>11030</v>
      </c>
      <c r="N2967" s="2" t="s">
        <v>11037</v>
      </c>
      <c r="O2967" s="2" t="s">
        <v>11035</v>
      </c>
      <c r="P2967" s="2" t="s">
        <v>11036</v>
      </c>
      <c r="Q2967" s="2">
        <f>AVERAGE(PerfRate[[#This Row],[EnvironmentSatisfaction]],PerfRate[[#This Row],[JobSatisfaction]],PerfRate[[#This Row],[RelationshipSatisfaction]])</f>
        <v>3</v>
      </c>
      <c r="R2967" s="2">
        <f>PerfRate[[#This Row],[ManagerRating]] - PerfRate[[#This Row],[SelfRating]]</f>
        <v>0</v>
      </c>
    </row>
    <row r="2968" spans="1:18">
      <c r="A2968" s="2" t="s">
        <v>7275</v>
      </c>
      <c r="B2968" s="2" t="s">
        <v>2441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  <c r="L2968" s="2" t="s">
        <v>11031</v>
      </c>
      <c r="M2968" s="2" t="s">
        <v>11031</v>
      </c>
      <c r="N2968" s="2" t="s">
        <v>11037</v>
      </c>
      <c r="O2968" s="2" t="s">
        <v>11037</v>
      </c>
      <c r="P2968" s="2" t="s">
        <v>11038</v>
      </c>
      <c r="Q2968" s="2">
        <f>AVERAGE(PerfRate[[#This Row],[EnvironmentSatisfaction]],PerfRate[[#This Row],[JobSatisfaction]],PerfRate[[#This Row],[RelationshipSatisfaction]])</f>
        <v>4.333333333333333</v>
      </c>
      <c r="R2968" s="2">
        <f>PerfRate[[#This Row],[ManagerRating]] - PerfRate[[#This Row],[SelfRating]]</f>
        <v>0</v>
      </c>
    </row>
    <row r="2969" spans="1:18">
      <c r="A2969" s="2" t="s">
        <v>7276</v>
      </c>
      <c r="B2969" s="2" t="s">
        <v>1538</v>
      </c>
      <c r="C2969" s="1">
        <v>43892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  <c r="L2969" s="2" t="s">
        <v>11030</v>
      </c>
      <c r="M2969" s="2" t="s">
        <v>11029</v>
      </c>
      <c r="N2969" s="2" t="s">
        <v>11036</v>
      </c>
      <c r="O2969" s="2" t="s">
        <v>11037</v>
      </c>
      <c r="P2969" s="2" t="s">
        <v>11038</v>
      </c>
      <c r="Q2969" s="2">
        <f>AVERAGE(PerfRate[[#This Row],[EnvironmentSatisfaction]],PerfRate[[#This Row],[JobSatisfaction]],PerfRate[[#This Row],[RelationshipSatisfaction]])</f>
        <v>4</v>
      </c>
      <c r="R2969" s="2">
        <f>PerfRate[[#This Row],[ManagerRating]] - PerfRate[[#This Row],[SelfRating]]</f>
        <v>-1</v>
      </c>
    </row>
    <row r="2970" spans="1:18">
      <c r="A2970" s="2" t="s">
        <v>7277</v>
      </c>
      <c r="B2970" s="2" t="s">
        <v>244</v>
      </c>
      <c r="C2970" s="1">
        <v>43892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  <c r="L2970" s="2" t="s">
        <v>11031</v>
      </c>
      <c r="M2970" s="2" t="s">
        <v>11030</v>
      </c>
      <c r="N2970" s="2" t="s">
        <v>11038</v>
      </c>
      <c r="O2970" s="2" t="s">
        <v>11037</v>
      </c>
      <c r="P2970" s="2" t="s">
        <v>11036</v>
      </c>
      <c r="Q2970" s="2">
        <f>AVERAGE(PerfRate[[#This Row],[EnvironmentSatisfaction]],PerfRate[[#This Row],[JobSatisfaction]],PerfRate[[#This Row],[RelationshipSatisfaction]])</f>
        <v>4</v>
      </c>
      <c r="R2970" s="2">
        <f>PerfRate[[#This Row],[ManagerRating]] - PerfRate[[#This Row],[SelfRating]]</f>
        <v>-1</v>
      </c>
    </row>
    <row r="2971" spans="1:18">
      <c r="A2971" s="2" t="s">
        <v>7278</v>
      </c>
      <c r="B2971" s="2" t="s">
        <v>496</v>
      </c>
      <c r="C2971" s="1">
        <v>43923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  <c r="L2971" s="2" t="s">
        <v>11029</v>
      </c>
      <c r="M2971" s="2" t="s">
        <v>11028</v>
      </c>
      <c r="N2971" s="2" t="s">
        <v>11038</v>
      </c>
      <c r="O2971" s="2" t="s">
        <v>11035</v>
      </c>
      <c r="P2971" s="2" t="s">
        <v>11036</v>
      </c>
      <c r="Q2971" s="2">
        <f>AVERAGE(PerfRate[[#This Row],[EnvironmentSatisfaction]],PerfRate[[#This Row],[JobSatisfaction]],PerfRate[[#This Row],[RelationshipSatisfaction]])</f>
        <v>3.3333333333333335</v>
      </c>
      <c r="R2971" s="2">
        <f>PerfRate[[#This Row],[ManagerRating]] - PerfRate[[#This Row],[SelfRating]]</f>
        <v>-1</v>
      </c>
    </row>
    <row r="2972" spans="1:18">
      <c r="A2972" s="2" t="s">
        <v>7279</v>
      </c>
      <c r="B2972" s="2" t="s">
        <v>676</v>
      </c>
      <c r="C2972" s="1">
        <v>43923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  <c r="L2972" s="2" t="s">
        <v>11030</v>
      </c>
      <c r="M2972" s="2" t="s">
        <v>11030</v>
      </c>
      <c r="N2972" s="2" t="s">
        <v>11036</v>
      </c>
      <c r="O2972" s="2" t="s">
        <v>11035</v>
      </c>
      <c r="P2972" s="2" t="s">
        <v>11036</v>
      </c>
      <c r="Q2972" s="2">
        <f>AVERAGE(PerfRate[[#This Row],[EnvironmentSatisfaction]],PerfRate[[#This Row],[JobSatisfaction]],PerfRate[[#This Row],[RelationshipSatisfaction]])</f>
        <v>2.6666666666666665</v>
      </c>
      <c r="R2972" s="2">
        <f>PerfRate[[#This Row],[ManagerRating]] - PerfRate[[#This Row],[SelfRating]]</f>
        <v>0</v>
      </c>
    </row>
    <row r="2973" spans="1:18">
      <c r="A2973" s="2" t="s">
        <v>7280</v>
      </c>
      <c r="B2973" s="2" t="s">
        <v>3818</v>
      </c>
      <c r="C2973" s="1">
        <v>43923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  <c r="L2973" s="2" t="s">
        <v>11031</v>
      </c>
      <c r="M2973" s="2" t="s">
        <v>11031</v>
      </c>
      <c r="N2973" s="2" t="s">
        <v>11036</v>
      </c>
      <c r="O2973" s="2" t="s">
        <v>11038</v>
      </c>
      <c r="P2973" s="2" t="s">
        <v>11038</v>
      </c>
      <c r="Q2973" s="2">
        <f>AVERAGE(PerfRate[[#This Row],[EnvironmentSatisfaction]],PerfRate[[#This Row],[JobSatisfaction]],PerfRate[[#This Row],[RelationshipSatisfaction]])</f>
        <v>4.333333333333333</v>
      </c>
      <c r="R2973" s="2">
        <f>PerfRate[[#This Row],[ManagerRating]] - PerfRate[[#This Row],[SelfRating]]</f>
        <v>0</v>
      </c>
    </row>
    <row r="2974" spans="1:18">
      <c r="A2974" s="2" t="s">
        <v>7281</v>
      </c>
      <c r="B2974" s="2" t="s">
        <v>3105</v>
      </c>
      <c r="C2974" s="1">
        <v>43923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  <c r="L2974" s="2" t="s">
        <v>11029</v>
      </c>
      <c r="M2974" s="2" t="s">
        <v>11029</v>
      </c>
      <c r="N2974" s="2" t="s">
        <v>11037</v>
      </c>
      <c r="O2974" s="2" t="s">
        <v>11037</v>
      </c>
      <c r="P2974" s="2" t="s">
        <v>11035</v>
      </c>
      <c r="Q2974" s="2">
        <f>AVERAGE(PerfRate[[#This Row],[EnvironmentSatisfaction]],PerfRate[[#This Row],[JobSatisfaction]],PerfRate[[#This Row],[RelationshipSatisfaction]])</f>
        <v>3.3333333333333335</v>
      </c>
      <c r="R2974" s="2">
        <f>PerfRate[[#This Row],[ManagerRating]] - PerfRate[[#This Row],[SelfRating]]</f>
        <v>0</v>
      </c>
    </row>
    <row r="2975" spans="1:18">
      <c r="A2975" s="2" t="s">
        <v>7282</v>
      </c>
      <c r="B2975" s="2" t="s">
        <v>3640</v>
      </c>
      <c r="C2975" s="1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  <c r="L2975" s="2" t="s">
        <v>11031</v>
      </c>
      <c r="M2975" s="2" t="s">
        <v>11030</v>
      </c>
      <c r="N2975" s="2" t="s">
        <v>11037</v>
      </c>
      <c r="O2975" s="2" t="s">
        <v>11035</v>
      </c>
      <c r="P2975" s="2" t="s">
        <v>11037</v>
      </c>
      <c r="Q2975" s="2">
        <f>AVERAGE(PerfRate[[#This Row],[EnvironmentSatisfaction]],PerfRate[[#This Row],[JobSatisfaction]],PerfRate[[#This Row],[RelationshipSatisfaction]])</f>
        <v>3.3333333333333335</v>
      </c>
      <c r="R2975" s="2">
        <f>PerfRate[[#This Row],[ManagerRating]] - PerfRate[[#This Row],[SelfRating]]</f>
        <v>-1</v>
      </c>
    </row>
    <row r="2976" spans="1:18">
      <c r="A2976" s="2" t="s">
        <v>7283</v>
      </c>
      <c r="B2976" s="2" t="s">
        <v>1224</v>
      </c>
      <c r="C2976" s="1">
        <v>43923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  <c r="L2976" s="2" t="s">
        <v>11031</v>
      </c>
      <c r="M2976" s="2" t="s">
        <v>11030</v>
      </c>
      <c r="N2976" s="2" t="s">
        <v>11038</v>
      </c>
      <c r="O2976" s="2" t="s">
        <v>11037</v>
      </c>
      <c r="P2976" s="2" t="s">
        <v>11037</v>
      </c>
      <c r="Q2976" s="2">
        <f>AVERAGE(PerfRate[[#This Row],[EnvironmentSatisfaction]],PerfRate[[#This Row],[JobSatisfaction]],PerfRate[[#This Row],[RelationshipSatisfaction]])</f>
        <v>4.333333333333333</v>
      </c>
      <c r="R2976" s="2">
        <f>PerfRate[[#This Row],[ManagerRating]] - PerfRate[[#This Row],[SelfRating]]</f>
        <v>-1</v>
      </c>
    </row>
    <row r="2977" spans="1:18">
      <c r="A2977" s="2" t="s">
        <v>7284</v>
      </c>
      <c r="B2977" s="2" t="s">
        <v>1508</v>
      </c>
      <c r="C2977" s="1">
        <v>43923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  <c r="L2977" s="2" t="s">
        <v>11031</v>
      </c>
      <c r="M2977" s="2" t="s">
        <v>11031</v>
      </c>
      <c r="N2977" s="2" t="s">
        <v>11036</v>
      </c>
      <c r="O2977" s="2" t="s">
        <v>11035</v>
      </c>
      <c r="P2977" s="2" t="s">
        <v>11035</v>
      </c>
      <c r="Q2977" s="2">
        <f>AVERAGE(PerfRate[[#This Row],[EnvironmentSatisfaction]],PerfRate[[#This Row],[JobSatisfaction]],PerfRate[[#This Row],[RelationshipSatisfaction]])</f>
        <v>2.3333333333333335</v>
      </c>
      <c r="R2977" s="2">
        <f>PerfRate[[#This Row],[ManagerRating]] - PerfRate[[#This Row],[SelfRating]]</f>
        <v>0</v>
      </c>
    </row>
    <row r="2978" spans="1:18">
      <c r="A2978" s="2" t="s">
        <v>7285</v>
      </c>
      <c r="B2978" s="2" t="s">
        <v>2030</v>
      </c>
      <c r="C2978" s="1">
        <v>43923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  <c r="L2978" s="2" t="s">
        <v>11031</v>
      </c>
      <c r="M2978" s="2" t="s">
        <v>11031</v>
      </c>
      <c r="N2978" s="2" t="s">
        <v>11036</v>
      </c>
      <c r="O2978" s="2" t="s">
        <v>11037</v>
      </c>
      <c r="P2978" s="2" t="s">
        <v>11037</v>
      </c>
      <c r="Q2978" s="2">
        <f>AVERAGE(PerfRate[[#This Row],[EnvironmentSatisfaction]],PerfRate[[#This Row],[JobSatisfaction]],PerfRate[[#This Row],[RelationshipSatisfaction]])</f>
        <v>3.6666666666666665</v>
      </c>
      <c r="R2978" s="2">
        <f>PerfRate[[#This Row],[ManagerRating]] - PerfRate[[#This Row],[SelfRating]]</f>
        <v>0</v>
      </c>
    </row>
    <row r="2979" spans="1:18">
      <c r="A2979" s="2" t="s">
        <v>7286</v>
      </c>
      <c r="B2979" s="2" t="s">
        <v>2375</v>
      </c>
      <c r="C2979" s="1">
        <v>43923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  <c r="L2979" s="2" t="s">
        <v>11031</v>
      </c>
      <c r="M2979" s="2" t="s">
        <v>11031</v>
      </c>
      <c r="N2979" s="2" t="s">
        <v>11035</v>
      </c>
      <c r="O2979" s="2" t="s">
        <v>11037</v>
      </c>
      <c r="P2979" s="2" t="s">
        <v>11037</v>
      </c>
      <c r="Q2979" s="2">
        <f>AVERAGE(PerfRate[[#This Row],[EnvironmentSatisfaction]],PerfRate[[#This Row],[JobSatisfaction]],PerfRate[[#This Row],[RelationshipSatisfaction]])</f>
        <v>3.3333333333333335</v>
      </c>
      <c r="R2979" s="2">
        <f>PerfRate[[#This Row],[ManagerRating]] - PerfRate[[#This Row],[SelfRating]]</f>
        <v>0</v>
      </c>
    </row>
    <row r="2980" spans="1:18">
      <c r="A2980" s="2" t="s">
        <v>7287</v>
      </c>
      <c r="B2980" s="2" t="s">
        <v>2438</v>
      </c>
      <c r="C2980" s="1">
        <v>43923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  <c r="L2980" s="2" t="s">
        <v>11031</v>
      </c>
      <c r="M2980" s="2" t="s">
        <v>11030</v>
      </c>
      <c r="N2980" s="2" t="s">
        <v>11035</v>
      </c>
      <c r="O2980" s="2" t="s">
        <v>11037</v>
      </c>
      <c r="P2980" s="2" t="s">
        <v>11036</v>
      </c>
      <c r="Q2980" s="2">
        <f>AVERAGE(PerfRate[[#This Row],[EnvironmentSatisfaction]],PerfRate[[#This Row],[JobSatisfaction]],PerfRate[[#This Row],[RelationshipSatisfaction]])</f>
        <v>3</v>
      </c>
      <c r="R2980" s="2">
        <f>PerfRate[[#This Row],[ManagerRating]] - PerfRate[[#This Row],[SelfRating]]</f>
        <v>-1</v>
      </c>
    </row>
    <row r="2981" spans="1:18">
      <c r="A2981" s="2" t="s">
        <v>7288</v>
      </c>
      <c r="B2981" s="2" t="s">
        <v>226</v>
      </c>
      <c r="C2981" s="1">
        <v>43953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  <c r="L2981" s="2" t="s">
        <v>11030</v>
      </c>
      <c r="M2981" s="2" t="s">
        <v>11029</v>
      </c>
      <c r="N2981" s="2" t="s">
        <v>11036</v>
      </c>
      <c r="O2981" s="2" t="s">
        <v>11037</v>
      </c>
      <c r="P2981" s="2" t="s">
        <v>11035</v>
      </c>
      <c r="Q2981" s="2">
        <f>AVERAGE(PerfRate[[#This Row],[EnvironmentSatisfaction]],PerfRate[[#This Row],[JobSatisfaction]],PerfRate[[#This Row],[RelationshipSatisfaction]])</f>
        <v>3</v>
      </c>
      <c r="R2981" s="2">
        <f>PerfRate[[#This Row],[ManagerRating]] - PerfRate[[#This Row],[SelfRating]]</f>
        <v>-1</v>
      </c>
    </row>
    <row r="2982" spans="1:18">
      <c r="A2982" s="2" t="s">
        <v>7289</v>
      </c>
      <c r="B2982" s="2" t="s">
        <v>81</v>
      </c>
      <c r="C2982" s="1">
        <v>43953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  <c r="L2982" s="2" t="s">
        <v>11029</v>
      </c>
      <c r="M2982" s="2" t="s">
        <v>11028</v>
      </c>
      <c r="N2982" s="2" t="s">
        <v>11035</v>
      </c>
      <c r="O2982" s="2" t="s">
        <v>11037</v>
      </c>
      <c r="P2982" s="2" t="s">
        <v>11036</v>
      </c>
      <c r="Q2982" s="2">
        <f>AVERAGE(PerfRate[[#This Row],[EnvironmentSatisfaction]],PerfRate[[#This Row],[JobSatisfaction]],PerfRate[[#This Row],[RelationshipSatisfaction]])</f>
        <v>3</v>
      </c>
      <c r="R2982" s="2">
        <f>PerfRate[[#This Row],[ManagerRating]] - PerfRate[[#This Row],[SelfRating]]</f>
        <v>-1</v>
      </c>
    </row>
    <row r="2983" spans="1:18">
      <c r="A2983" s="2" t="s">
        <v>7290</v>
      </c>
      <c r="B2983" s="2" t="s">
        <v>335</v>
      </c>
      <c r="C2983" s="1">
        <v>43953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  <c r="L2983" s="2" t="s">
        <v>11030</v>
      </c>
      <c r="M2983" s="2" t="s">
        <v>11030</v>
      </c>
      <c r="N2983" s="2" t="s">
        <v>11034</v>
      </c>
      <c r="O2983" s="2" t="s">
        <v>11037</v>
      </c>
      <c r="P2983" s="2" t="s">
        <v>11034</v>
      </c>
      <c r="Q2983" s="2">
        <f>AVERAGE(PerfRate[[#This Row],[EnvironmentSatisfaction]],PerfRate[[#This Row],[JobSatisfaction]],PerfRate[[#This Row],[RelationshipSatisfaction]])</f>
        <v>2</v>
      </c>
      <c r="R2983" s="2">
        <f>PerfRate[[#This Row],[ManagerRating]] - PerfRate[[#This Row],[SelfRating]]</f>
        <v>0</v>
      </c>
    </row>
    <row r="2984" spans="1:18">
      <c r="A2984" s="2" t="s">
        <v>7291</v>
      </c>
      <c r="B2984" s="2" t="s">
        <v>1544</v>
      </c>
      <c r="C2984" s="1">
        <v>43984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  <c r="L2984" s="2" t="s">
        <v>11029</v>
      </c>
      <c r="M2984" s="2" t="s">
        <v>11029</v>
      </c>
      <c r="N2984" s="2" t="s">
        <v>11037</v>
      </c>
      <c r="O2984" s="2" t="s">
        <v>11036</v>
      </c>
      <c r="P2984" s="2" t="s">
        <v>11036</v>
      </c>
      <c r="Q2984" s="2">
        <f>AVERAGE(PerfRate[[#This Row],[EnvironmentSatisfaction]],PerfRate[[#This Row],[JobSatisfaction]],PerfRate[[#This Row],[RelationshipSatisfaction]])</f>
        <v>3.3333333333333335</v>
      </c>
      <c r="R2984" s="2">
        <f>PerfRate[[#This Row],[ManagerRating]] - PerfRate[[#This Row],[SelfRating]]</f>
        <v>0</v>
      </c>
    </row>
    <row r="2985" spans="1:18">
      <c r="A2985" s="2" t="s">
        <v>7292</v>
      </c>
      <c r="B2985" s="2" t="s">
        <v>2635</v>
      </c>
      <c r="C2985" s="1">
        <v>43984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  <c r="L2985" s="2" t="s">
        <v>11030</v>
      </c>
      <c r="M2985" s="2" t="s">
        <v>11029</v>
      </c>
      <c r="N2985" s="2" t="s">
        <v>11035</v>
      </c>
      <c r="O2985" s="2" t="s">
        <v>11037</v>
      </c>
      <c r="P2985" s="2" t="s">
        <v>11035</v>
      </c>
      <c r="Q2985" s="2">
        <f>AVERAGE(PerfRate[[#This Row],[EnvironmentSatisfaction]],PerfRate[[#This Row],[JobSatisfaction]],PerfRate[[#This Row],[RelationshipSatisfaction]])</f>
        <v>2.6666666666666665</v>
      </c>
      <c r="R2985" s="2">
        <f>PerfRate[[#This Row],[ManagerRating]] - PerfRate[[#This Row],[SelfRating]]</f>
        <v>-1</v>
      </c>
    </row>
    <row r="2986" spans="1:18">
      <c r="A2986" s="2" t="s">
        <v>7293</v>
      </c>
      <c r="B2986" s="2" t="s">
        <v>67</v>
      </c>
      <c r="C2986" s="1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  <c r="L2986" s="2" t="s">
        <v>11031</v>
      </c>
      <c r="M2986" s="2" t="s">
        <v>11031</v>
      </c>
      <c r="N2986" s="2" t="s">
        <v>11036</v>
      </c>
      <c r="O2986" s="2" t="s">
        <v>11038</v>
      </c>
      <c r="P2986" s="2" t="s">
        <v>11038</v>
      </c>
      <c r="Q2986" s="2">
        <f>AVERAGE(PerfRate[[#This Row],[EnvironmentSatisfaction]],PerfRate[[#This Row],[JobSatisfaction]],PerfRate[[#This Row],[RelationshipSatisfaction]])</f>
        <v>4.333333333333333</v>
      </c>
      <c r="R2986" s="2">
        <f>PerfRate[[#This Row],[ManagerRating]] - PerfRate[[#This Row],[SelfRating]]</f>
        <v>0</v>
      </c>
    </row>
    <row r="2987" spans="1:18">
      <c r="A2987" s="2" t="s">
        <v>7294</v>
      </c>
      <c r="B2987" s="2" t="s">
        <v>253</v>
      </c>
      <c r="C2987" s="1">
        <v>44045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  <c r="L2987" s="2" t="s">
        <v>11031</v>
      </c>
      <c r="M2987" s="2" t="s">
        <v>11030</v>
      </c>
      <c r="N2987" s="2" t="s">
        <v>11037</v>
      </c>
      <c r="O2987" s="2" t="s">
        <v>11036</v>
      </c>
      <c r="P2987" s="2" t="s">
        <v>11035</v>
      </c>
      <c r="Q2987" s="2">
        <f>AVERAGE(PerfRate[[#This Row],[EnvironmentSatisfaction]],PerfRate[[#This Row],[JobSatisfaction]],PerfRate[[#This Row],[RelationshipSatisfaction]])</f>
        <v>3</v>
      </c>
      <c r="R2987" s="2">
        <f>PerfRate[[#This Row],[ManagerRating]] - PerfRate[[#This Row],[SelfRating]]</f>
        <v>-1</v>
      </c>
    </row>
    <row r="2988" spans="1:18">
      <c r="A2988" s="2" t="s">
        <v>7295</v>
      </c>
      <c r="B2988" s="2" t="s">
        <v>198</v>
      </c>
      <c r="C2988" s="1">
        <v>44045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  <c r="L2988" s="2" t="s">
        <v>11030</v>
      </c>
      <c r="M2988" s="2" t="s">
        <v>11030</v>
      </c>
      <c r="N2988" s="2" t="s">
        <v>11038</v>
      </c>
      <c r="O2988" s="2" t="s">
        <v>11035</v>
      </c>
      <c r="P2988" s="2" t="s">
        <v>11036</v>
      </c>
      <c r="Q2988" s="2">
        <f>AVERAGE(PerfRate[[#This Row],[EnvironmentSatisfaction]],PerfRate[[#This Row],[JobSatisfaction]],PerfRate[[#This Row],[RelationshipSatisfaction]])</f>
        <v>3.3333333333333335</v>
      </c>
      <c r="R2988" s="2">
        <f>PerfRate[[#This Row],[ManagerRating]] - PerfRate[[#This Row],[SelfRating]]</f>
        <v>0</v>
      </c>
    </row>
    <row r="2989" spans="1:18">
      <c r="A2989" s="2" t="s">
        <v>7296</v>
      </c>
      <c r="B2989" s="2" t="s">
        <v>1246</v>
      </c>
      <c r="C2989" s="1">
        <v>44045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  <c r="L2989" s="2" t="s">
        <v>11031</v>
      </c>
      <c r="M2989" s="2" t="s">
        <v>11030</v>
      </c>
      <c r="N2989" s="2" t="s">
        <v>11036</v>
      </c>
      <c r="O2989" s="2" t="s">
        <v>11038</v>
      </c>
      <c r="P2989" s="2" t="s">
        <v>11038</v>
      </c>
      <c r="Q2989" s="2">
        <f>AVERAGE(PerfRate[[#This Row],[EnvironmentSatisfaction]],PerfRate[[#This Row],[JobSatisfaction]],PerfRate[[#This Row],[RelationshipSatisfaction]])</f>
        <v>4.333333333333333</v>
      </c>
      <c r="R2989" s="2">
        <f>PerfRate[[#This Row],[ManagerRating]] - PerfRate[[#This Row],[SelfRating]]</f>
        <v>-1</v>
      </c>
    </row>
    <row r="2990" spans="1:18">
      <c r="A2990" s="2" t="s">
        <v>7297</v>
      </c>
      <c r="B2990" s="2" t="s">
        <v>1596</v>
      </c>
      <c r="C2990" s="1">
        <v>44045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  <c r="L2990" s="2" t="s">
        <v>11030</v>
      </c>
      <c r="M2990" s="2" t="s">
        <v>11029</v>
      </c>
      <c r="N2990" s="2" t="s">
        <v>11037</v>
      </c>
      <c r="O2990" s="2" t="s">
        <v>11038</v>
      </c>
      <c r="P2990" s="2" t="s">
        <v>11035</v>
      </c>
      <c r="Q2990" s="2">
        <f>AVERAGE(PerfRate[[#This Row],[EnvironmentSatisfaction]],PerfRate[[#This Row],[JobSatisfaction]],PerfRate[[#This Row],[RelationshipSatisfaction]])</f>
        <v>3.6666666666666665</v>
      </c>
      <c r="R2990" s="2">
        <f>PerfRate[[#This Row],[ManagerRating]] - PerfRate[[#This Row],[SelfRating]]</f>
        <v>-1</v>
      </c>
    </row>
    <row r="2991" spans="1:18">
      <c r="A2991" s="2" t="s">
        <v>7298</v>
      </c>
      <c r="B2991" s="2" t="s">
        <v>256</v>
      </c>
      <c r="C2991" s="1">
        <v>44076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  <c r="L2991" s="2" t="s">
        <v>11031</v>
      </c>
      <c r="M2991" s="2" t="s">
        <v>11031</v>
      </c>
      <c r="N2991" s="2" t="s">
        <v>11036</v>
      </c>
      <c r="O2991" s="2" t="s">
        <v>11036</v>
      </c>
      <c r="P2991" s="2" t="s">
        <v>11038</v>
      </c>
      <c r="Q2991" s="2">
        <f>AVERAGE(PerfRate[[#This Row],[EnvironmentSatisfaction]],PerfRate[[#This Row],[JobSatisfaction]],PerfRate[[#This Row],[RelationshipSatisfaction]])</f>
        <v>3.6666666666666665</v>
      </c>
      <c r="R2991" s="2">
        <f>PerfRate[[#This Row],[ManagerRating]] - PerfRate[[#This Row],[SelfRating]]</f>
        <v>0</v>
      </c>
    </row>
    <row r="2992" spans="1:18">
      <c r="A2992" s="2" t="s">
        <v>7299</v>
      </c>
      <c r="B2992" s="2" t="s">
        <v>2109</v>
      </c>
      <c r="C2992" s="1">
        <v>44106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  <c r="L2992" s="2" t="s">
        <v>11029</v>
      </c>
      <c r="M2992" s="2" t="s">
        <v>11029</v>
      </c>
      <c r="N2992" s="2" t="s">
        <v>11036</v>
      </c>
      <c r="O2992" s="2" t="s">
        <v>11038</v>
      </c>
      <c r="P2992" s="2" t="s">
        <v>11037</v>
      </c>
      <c r="Q2992" s="2">
        <f>AVERAGE(PerfRate[[#This Row],[EnvironmentSatisfaction]],PerfRate[[#This Row],[JobSatisfaction]],PerfRate[[#This Row],[RelationshipSatisfaction]])</f>
        <v>4</v>
      </c>
      <c r="R2992" s="2">
        <f>PerfRate[[#This Row],[ManagerRating]] - PerfRate[[#This Row],[SelfRating]]</f>
        <v>0</v>
      </c>
    </row>
    <row r="2993" spans="1:18">
      <c r="A2993" s="2" t="s">
        <v>7300</v>
      </c>
      <c r="B2993" s="2" t="s">
        <v>1981</v>
      </c>
      <c r="C2993" s="1">
        <v>44106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  <c r="L2993" s="2" t="s">
        <v>11031</v>
      </c>
      <c r="M2993" s="2" t="s">
        <v>11031</v>
      </c>
      <c r="N2993" s="2" t="s">
        <v>11037</v>
      </c>
      <c r="O2993" s="2" t="s">
        <v>11036</v>
      </c>
      <c r="P2993" s="2" t="s">
        <v>11037</v>
      </c>
      <c r="Q2993" s="2">
        <f>AVERAGE(PerfRate[[#This Row],[EnvironmentSatisfaction]],PerfRate[[#This Row],[JobSatisfaction]],PerfRate[[#This Row],[RelationshipSatisfaction]])</f>
        <v>3.6666666666666665</v>
      </c>
      <c r="R2993" s="2">
        <f>PerfRate[[#This Row],[ManagerRating]] - PerfRate[[#This Row],[SelfRating]]</f>
        <v>0</v>
      </c>
    </row>
    <row r="2994" spans="1:18">
      <c r="A2994" s="2" t="s">
        <v>7301</v>
      </c>
      <c r="B2994" s="2" t="s">
        <v>658</v>
      </c>
      <c r="C2994" s="1">
        <v>44106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  <c r="L2994" s="2" t="s">
        <v>11031</v>
      </c>
      <c r="M2994" s="2" t="s">
        <v>11030</v>
      </c>
      <c r="N2994" s="2" t="s">
        <v>11038</v>
      </c>
      <c r="O2994" s="2" t="s">
        <v>11036</v>
      </c>
      <c r="P2994" s="2" t="s">
        <v>11035</v>
      </c>
      <c r="Q2994" s="2">
        <f>AVERAGE(PerfRate[[#This Row],[EnvironmentSatisfaction]],PerfRate[[#This Row],[JobSatisfaction]],PerfRate[[#This Row],[RelationshipSatisfaction]])</f>
        <v>3.3333333333333335</v>
      </c>
      <c r="R2994" s="2">
        <f>PerfRate[[#This Row],[ManagerRating]] - PerfRate[[#This Row],[SelfRating]]</f>
        <v>-1</v>
      </c>
    </row>
    <row r="2995" spans="1:18">
      <c r="A2995" s="2" t="s">
        <v>7302</v>
      </c>
      <c r="B2995" s="2" t="s">
        <v>4104</v>
      </c>
      <c r="C2995" s="1">
        <v>44137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  <c r="L2995" s="2" t="s">
        <v>11029</v>
      </c>
      <c r="M2995" s="2" t="s">
        <v>11029</v>
      </c>
      <c r="N2995" s="2" t="s">
        <v>11037</v>
      </c>
      <c r="O2995" s="2" t="s">
        <v>11035</v>
      </c>
      <c r="P2995" s="2" t="s">
        <v>11035</v>
      </c>
      <c r="Q2995" s="2">
        <f>AVERAGE(PerfRate[[#This Row],[EnvironmentSatisfaction]],PerfRate[[#This Row],[JobSatisfaction]],PerfRate[[#This Row],[RelationshipSatisfaction]])</f>
        <v>2.6666666666666665</v>
      </c>
      <c r="R2995" s="2">
        <f>PerfRate[[#This Row],[ManagerRating]] - PerfRate[[#This Row],[SelfRating]]</f>
        <v>0</v>
      </c>
    </row>
    <row r="2996" spans="1:18">
      <c r="A2996" s="2" t="s">
        <v>7303</v>
      </c>
      <c r="B2996" s="2" t="s">
        <v>607</v>
      </c>
      <c r="C2996" s="1">
        <v>44137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  <c r="L2996" s="2" t="s">
        <v>11029</v>
      </c>
      <c r="M2996" s="2" t="s">
        <v>11029</v>
      </c>
      <c r="N2996" s="2" t="s">
        <v>11037</v>
      </c>
      <c r="O2996" s="2" t="s">
        <v>11037</v>
      </c>
      <c r="P2996" s="2" t="s">
        <v>11035</v>
      </c>
      <c r="Q2996" s="2">
        <f>AVERAGE(PerfRate[[#This Row],[EnvironmentSatisfaction]],PerfRate[[#This Row],[JobSatisfaction]],PerfRate[[#This Row],[RelationshipSatisfaction]])</f>
        <v>3.3333333333333335</v>
      </c>
      <c r="R2996" s="2">
        <f>PerfRate[[#This Row],[ManagerRating]] - PerfRate[[#This Row],[SelfRating]]</f>
        <v>0</v>
      </c>
    </row>
    <row r="2997" spans="1:18">
      <c r="A2997" s="2" t="s">
        <v>7304</v>
      </c>
      <c r="B2997" s="2" t="s">
        <v>3824</v>
      </c>
      <c r="C2997" s="1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  <c r="L2997" s="2" t="s">
        <v>11031</v>
      </c>
      <c r="M2997" s="2" t="s">
        <v>11031</v>
      </c>
      <c r="N2997" s="2" t="s">
        <v>11036</v>
      </c>
      <c r="O2997" s="2" t="s">
        <v>11038</v>
      </c>
      <c r="P2997" s="2" t="s">
        <v>11038</v>
      </c>
      <c r="Q2997" s="2">
        <f>AVERAGE(PerfRate[[#This Row],[EnvironmentSatisfaction]],PerfRate[[#This Row],[JobSatisfaction]],PerfRate[[#This Row],[RelationshipSatisfaction]])</f>
        <v>4.333333333333333</v>
      </c>
      <c r="R2997" s="2">
        <f>PerfRate[[#This Row],[ManagerRating]] - PerfRate[[#This Row],[SelfRating]]</f>
        <v>0</v>
      </c>
    </row>
    <row r="2998" spans="1:18">
      <c r="A2998" s="2" t="s">
        <v>7305</v>
      </c>
      <c r="B2998" s="2" t="s">
        <v>3069</v>
      </c>
      <c r="C2998" s="1">
        <v>44137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  <c r="L2998" s="2" t="s">
        <v>11030</v>
      </c>
      <c r="M2998" s="2" t="s">
        <v>11029</v>
      </c>
      <c r="N2998" s="2" t="s">
        <v>11036</v>
      </c>
      <c r="O2998" s="2" t="s">
        <v>11038</v>
      </c>
      <c r="P2998" s="2" t="s">
        <v>11038</v>
      </c>
      <c r="Q2998" s="2">
        <f>AVERAGE(PerfRate[[#This Row],[EnvironmentSatisfaction]],PerfRate[[#This Row],[JobSatisfaction]],PerfRate[[#This Row],[RelationshipSatisfaction]])</f>
        <v>4.333333333333333</v>
      </c>
      <c r="R2998" s="2">
        <f>PerfRate[[#This Row],[ManagerRating]] - PerfRate[[#This Row],[SelfRating]]</f>
        <v>-1</v>
      </c>
    </row>
    <row r="2999" spans="1:18">
      <c r="A2999" s="2" t="s">
        <v>7306</v>
      </c>
      <c r="B2999" s="2" t="s">
        <v>750</v>
      </c>
      <c r="C2999" s="1">
        <v>44167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  <c r="L2999" s="2" t="s">
        <v>11029</v>
      </c>
      <c r="M2999" s="2" t="s">
        <v>11028</v>
      </c>
      <c r="N2999" s="2" t="s">
        <v>11038</v>
      </c>
      <c r="O2999" s="2" t="s">
        <v>11037</v>
      </c>
      <c r="P2999" s="2" t="s">
        <v>11036</v>
      </c>
      <c r="Q2999" s="2">
        <f>AVERAGE(PerfRate[[#This Row],[EnvironmentSatisfaction]],PerfRate[[#This Row],[JobSatisfaction]],PerfRate[[#This Row],[RelationshipSatisfaction]])</f>
        <v>4</v>
      </c>
      <c r="R2999" s="2">
        <f>PerfRate[[#This Row],[ManagerRating]] - PerfRate[[#This Row],[SelfRating]]</f>
        <v>-1</v>
      </c>
    </row>
    <row r="3000" spans="1:18">
      <c r="A3000" s="2" t="s">
        <v>7307</v>
      </c>
      <c r="B3000" s="2" t="s">
        <v>1698</v>
      </c>
      <c r="C3000" s="1">
        <v>44167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  <c r="L3000" s="2" t="s">
        <v>11031</v>
      </c>
      <c r="M3000" s="2" t="s">
        <v>11030</v>
      </c>
      <c r="N3000" s="2" t="s">
        <v>11038</v>
      </c>
      <c r="O3000" s="2" t="s">
        <v>11038</v>
      </c>
      <c r="P3000" s="2" t="s">
        <v>11035</v>
      </c>
      <c r="Q3000" s="2">
        <f>AVERAGE(PerfRate[[#This Row],[EnvironmentSatisfaction]],PerfRate[[#This Row],[JobSatisfaction]],PerfRate[[#This Row],[RelationshipSatisfaction]])</f>
        <v>4</v>
      </c>
      <c r="R3000" s="2">
        <f>PerfRate[[#This Row],[ManagerRating]] - PerfRate[[#This Row],[SelfRating]]</f>
        <v>-1</v>
      </c>
    </row>
    <row r="3001" spans="1:18">
      <c r="A3001" s="2" t="s">
        <v>7308</v>
      </c>
      <c r="B3001" s="2" t="s">
        <v>1124</v>
      </c>
      <c r="C3001" s="1">
        <v>44167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  <c r="L3001" s="2" t="s">
        <v>11031</v>
      </c>
      <c r="M3001" s="2" t="s">
        <v>11031</v>
      </c>
      <c r="N3001" s="2" t="s">
        <v>11037</v>
      </c>
      <c r="O3001" s="2" t="s">
        <v>11035</v>
      </c>
      <c r="P3001" s="2" t="s">
        <v>11038</v>
      </c>
      <c r="Q3001" s="2">
        <f>AVERAGE(PerfRate[[#This Row],[EnvironmentSatisfaction]],PerfRate[[#This Row],[JobSatisfaction]],PerfRate[[#This Row],[RelationshipSatisfaction]])</f>
        <v>3.6666666666666665</v>
      </c>
      <c r="R3001" s="2">
        <f>PerfRate[[#This Row],[ManagerRating]] - PerfRate[[#This Row],[SelfRating]]</f>
        <v>0</v>
      </c>
    </row>
    <row r="3002" spans="1:18">
      <c r="A3002" s="2" t="s">
        <v>7309</v>
      </c>
      <c r="B3002" s="2" t="s">
        <v>2299</v>
      </c>
      <c r="C3002" s="1">
        <v>44167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  <c r="L3002" s="2" t="s">
        <v>11029</v>
      </c>
      <c r="M3002" s="2" t="s">
        <v>11028</v>
      </c>
      <c r="N3002" s="2" t="s">
        <v>11036</v>
      </c>
      <c r="O3002" s="2" t="s">
        <v>11036</v>
      </c>
      <c r="P3002" s="2" t="s">
        <v>11036</v>
      </c>
      <c r="Q3002" s="2">
        <f>AVERAGE(PerfRate[[#This Row],[EnvironmentSatisfaction]],PerfRate[[#This Row],[JobSatisfaction]],PerfRate[[#This Row],[RelationshipSatisfaction]])</f>
        <v>3</v>
      </c>
      <c r="R3002" s="2">
        <f>PerfRate[[#This Row],[ManagerRating]] - PerfRate[[#This Row],[SelfRating]]</f>
        <v>-1</v>
      </c>
    </row>
    <row r="3003" spans="1:18">
      <c r="A3003" s="2" t="s">
        <v>7310</v>
      </c>
      <c r="B3003" s="2" t="s">
        <v>1669</v>
      </c>
      <c r="C3003" s="1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  <c r="L3003" s="2" t="s">
        <v>11031</v>
      </c>
      <c r="M3003" s="2" t="s">
        <v>11031</v>
      </c>
      <c r="N3003" s="2" t="s">
        <v>11036</v>
      </c>
      <c r="O3003" s="2" t="s">
        <v>11038</v>
      </c>
      <c r="P3003" s="2" t="s">
        <v>11037</v>
      </c>
      <c r="Q3003" s="2">
        <f>AVERAGE(PerfRate[[#This Row],[EnvironmentSatisfaction]],PerfRate[[#This Row],[JobSatisfaction]],PerfRate[[#This Row],[RelationshipSatisfaction]])</f>
        <v>4</v>
      </c>
      <c r="R3003" s="2">
        <f>PerfRate[[#This Row],[ManagerRating]] - PerfRate[[#This Row],[SelfRating]]</f>
        <v>0</v>
      </c>
    </row>
    <row r="3004" spans="1:18">
      <c r="A3004" s="2" t="s">
        <v>7311</v>
      </c>
      <c r="B3004" s="2" t="s">
        <v>1394</v>
      </c>
      <c r="C3004" s="1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  <c r="L3004" s="2" t="s">
        <v>11029</v>
      </c>
      <c r="M3004" s="2" t="s">
        <v>11029</v>
      </c>
      <c r="N3004" s="2" t="s">
        <v>11036</v>
      </c>
      <c r="O3004" s="2" t="s">
        <v>11038</v>
      </c>
      <c r="P3004" s="2" t="s">
        <v>11035</v>
      </c>
      <c r="Q3004" s="2">
        <f>AVERAGE(PerfRate[[#This Row],[EnvironmentSatisfaction]],PerfRate[[#This Row],[JobSatisfaction]],PerfRate[[#This Row],[RelationshipSatisfaction]])</f>
        <v>3.3333333333333335</v>
      </c>
      <c r="R3004" s="2">
        <f>PerfRate[[#This Row],[ManagerRating]] - PerfRate[[#This Row],[SelfRating]]</f>
        <v>0</v>
      </c>
    </row>
    <row r="3005" spans="1:18">
      <c r="A3005" s="2" t="s">
        <v>7312</v>
      </c>
      <c r="B3005" s="2" t="s">
        <v>1479</v>
      </c>
      <c r="C3005" s="1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  <c r="L3005" s="2" t="s">
        <v>11031</v>
      </c>
      <c r="M3005" s="2" t="s">
        <v>11030</v>
      </c>
      <c r="N3005" s="2" t="s">
        <v>11037</v>
      </c>
      <c r="O3005" s="2" t="s">
        <v>11037</v>
      </c>
      <c r="P3005" s="2" t="s">
        <v>11036</v>
      </c>
      <c r="Q3005" s="2">
        <f>AVERAGE(PerfRate[[#This Row],[EnvironmentSatisfaction]],PerfRate[[#This Row],[JobSatisfaction]],PerfRate[[#This Row],[RelationshipSatisfaction]])</f>
        <v>3.6666666666666665</v>
      </c>
      <c r="R3005" s="2">
        <f>PerfRate[[#This Row],[ManagerRating]] - PerfRate[[#This Row],[SelfRating]]</f>
        <v>-1</v>
      </c>
    </row>
    <row r="3006" spans="1:18">
      <c r="A3006" s="2" t="s">
        <v>7313</v>
      </c>
      <c r="B3006" s="2" t="s">
        <v>601</v>
      </c>
      <c r="C3006" s="1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  <c r="L3006" s="2" t="s">
        <v>11031</v>
      </c>
      <c r="M3006" s="2" t="s">
        <v>11031</v>
      </c>
      <c r="N3006" s="2" t="s">
        <v>11037</v>
      </c>
      <c r="O3006" s="2" t="s">
        <v>11036</v>
      </c>
      <c r="P3006" s="2" t="s">
        <v>11036</v>
      </c>
      <c r="Q3006" s="2">
        <f>AVERAGE(PerfRate[[#This Row],[EnvironmentSatisfaction]],PerfRate[[#This Row],[JobSatisfaction]],PerfRate[[#This Row],[RelationshipSatisfaction]])</f>
        <v>3.3333333333333335</v>
      </c>
      <c r="R3006" s="2">
        <f>PerfRate[[#This Row],[ManagerRating]] - PerfRate[[#This Row],[SelfRating]]</f>
        <v>0</v>
      </c>
    </row>
    <row r="3007" spans="1:18">
      <c r="A3007" s="2" t="s">
        <v>7314</v>
      </c>
      <c r="B3007" s="2" t="s">
        <v>1950</v>
      </c>
      <c r="C3007" s="1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  <c r="L3007" s="2" t="s">
        <v>11030</v>
      </c>
      <c r="M3007" s="2" t="s">
        <v>11030</v>
      </c>
      <c r="N3007" s="2" t="s">
        <v>11036</v>
      </c>
      <c r="O3007" s="2" t="s">
        <v>11037</v>
      </c>
      <c r="P3007" s="2" t="s">
        <v>11035</v>
      </c>
      <c r="Q3007" s="2">
        <f>AVERAGE(PerfRate[[#This Row],[EnvironmentSatisfaction]],PerfRate[[#This Row],[JobSatisfaction]],PerfRate[[#This Row],[RelationshipSatisfaction]])</f>
        <v>3</v>
      </c>
      <c r="R3007" s="2">
        <f>PerfRate[[#This Row],[ManagerRating]] - PerfRate[[#This Row],[SelfRating]]</f>
        <v>0</v>
      </c>
    </row>
    <row r="3008" spans="1:18">
      <c r="A3008" s="2" t="s">
        <v>7315</v>
      </c>
      <c r="B3008" s="2" t="s">
        <v>523</v>
      </c>
      <c r="C3008" s="1">
        <v>41276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  <c r="L3008" s="2" t="s">
        <v>11029</v>
      </c>
      <c r="M3008" s="2" t="s">
        <v>11028</v>
      </c>
      <c r="N3008" s="2" t="s">
        <v>11037</v>
      </c>
      <c r="O3008" s="2" t="s">
        <v>11037</v>
      </c>
      <c r="P3008" s="2" t="s">
        <v>11038</v>
      </c>
      <c r="Q3008" s="2">
        <f>AVERAGE(PerfRate[[#This Row],[EnvironmentSatisfaction]],PerfRate[[#This Row],[JobSatisfaction]],PerfRate[[#This Row],[RelationshipSatisfaction]])</f>
        <v>4.333333333333333</v>
      </c>
      <c r="R3008" s="2">
        <f>PerfRate[[#This Row],[ManagerRating]] - PerfRate[[#This Row],[SelfRating]]</f>
        <v>-1</v>
      </c>
    </row>
    <row r="3009" spans="1:18">
      <c r="A3009" s="2" t="s">
        <v>7316</v>
      </c>
      <c r="B3009" s="2" t="s">
        <v>3192</v>
      </c>
      <c r="C3009" s="1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  <c r="L3009" s="2" t="s">
        <v>11029</v>
      </c>
      <c r="M3009" s="2" t="s">
        <v>11028</v>
      </c>
      <c r="N3009" s="2" t="s">
        <v>11038</v>
      </c>
      <c r="O3009" s="2" t="s">
        <v>11036</v>
      </c>
      <c r="P3009" s="2" t="s">
        <v>11037</v>
      </c>
      <c r="Q3009" s="2">
        <f>AVERAGE(PerfRate[[#This Row],[EnvironmentSatisfaction]],PerfRate[[#This Row],[JobSatisfaction]],PerfRate[[#This Row],[RelationshipSatisfaction]])</f>
        <v>4</v>
      </c>
      <c r="R3009" s="2">
        <f>PerfRate[[#This Row],[ManagerRating]] - PerfRate[[#This Row],[SelfRating]]</f>
        <v>-1</v>
      </c>
    </row>
    <row r="3010" spans="1:18">
      <c r="A3010" s="2" t="s">
        <v>7317</v>
      </c>
      <c r="B3010" s="2" t="s">
        <v>1195</v>
      </c>
      <c r="C3010" s="1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  <c r="L3010" s="2" t="s">
        <v>11031</v>
      </c>
      <c r="M3010" s="2" t="s">
        <v>11030</v>
      </c>
      <c r="N3010" s="2" t="s">
        <v>11036</v>
      </c>
      <c r="O3010" s="2" t="s">
        <v>11037</v>
      </c>
      <c r="P3010" s="2" t="s">
        <v>11035</v>
      </c>
      <c r="Q3010" s="2">
        <f>AVERAGE(PerfRate[[#This Row],[EnvironmentSatisfaction]],PerfRate[[#This Row],[JobSatisfaction]],PerfRate[[#This Row],[RelationshipSatisfaction]])</f>
        <v>3</v>
      </c>
      <c r="R3010" s="2">
        <f>PerfRate[[#This Row],[ManagerRating]] - PerfRate[[#This Row],[SelfRating]]</f>
        <v>-1</v>
      </c>
    </row>
    <row r="3011" spans="1:18">
      <c r="A3011" s="2" t="s">
        <v>7318</v>
      </c>
      <c r="B3011" s="2" t="s">
        <v>98</v>
      </c>
      <c r="C3011" s="1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  <c r="L3011" s="2" t="s">
        <v>11030</v>
      </c>
      <c r="M3011" s="2" t="s">
        <v>11030</v>
      </c>
      <c r="N3011" s="2" t="s">
        <v>11038</v>
      </c>
      <c r="O3011" s="2" t="s">
        <v>11037</v>
      </c>
      <c r="P3011" s="2" t="s">
        <v>11036</v>
      </c>
      <c r="Q3011" s="2">
        <f>AVERAGE(PerfRate[[#This Row],[EnvironmentSatisfaction]],PerfRate[[#This Row],[JobSatisfaction]],PerfRate[[#This Row],[RelationshipSatisfaction]])</f>
        <v>4</v>
      </c>
      <c r="R3011" s="2">
        <f>PerfRate[[#This Row],[ManagerRating]] - PerfRate[[#This Row],[SelfRating]]</f>
        <v>0</v>
      </c>
    </row>
    <row r="3012" spans="1:18">
      <c r="A3012" s="2" t="s">
        <v>7319</v>
      </c>
      <c r="B3012" s="2" t="s">
        <v>102</v>
      </c>
      <c r="C3012" s="1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  <c r="L3012" s="2" t="s">
        <v>11031</v>
      </c>
      <c r="M3012" s="2" t="s">
        <v>11030</v>
      </c>
      <c r="N3012" s="2" t="s">
        <v>11036</v>
      </c>
      <c r="O3012" s="2" t="s">
        <v>11038</v>
      </c>
      <c r="P3012" s="2" t="s">
        <v>11037</v>
      </c>
      <c r="Q3012" s="2">
        <f>AVERAGE(PerfRate[[#This Row],[EnvironmentSatisfaction]],PerfRate[[#This Row],[JobSatisfaction]],PerfRate[[#This Row],[RelationshipSatisfaction]])</f>
        <v>4</v>
      </c>
      <c r="R3012" s="2">
        <f>PerfRate[[#This Row],[ManagerRating]] - PerfRate[[#This Row],[SelfRating]]</f>
        <v>-1</v>
      </c>
    </row>
    <row r="3013" spans="1:18">
      <c r="A3013" s="2" t="s">
        <v>7320</v>
      </c>
      <c r="B3013" s="2" t="s">
        <v>2432</v>
      </c>
      <c r="C3013" s="1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  <c r="L3013" s="2" t="s">
        <v>11030</v>
      </c>
      <c r="M3013" s="2" t="s">
        <v>11030</v>
      </c>
      <c r="N3013" s="2" t="s">
        <v>11037</v>
      </c>
      <c r="O3013" s="2" t="s">
        <v>11035</v>
      </c>
      <c r="P3013" s="2" t="s">
        <v>11037</v>
      </c>
      <c r="Q3013" s="2">
        <f>AVERAGE(PerfRate[[#This Row],[EnvironmentSatisfaction]],PerfRate[[#This Row],[JobSatisfaction]],PerfRate[[#This Row],[RelationshipSatisfaction]])</f>
        <v>3.3333333333333335</v>
      </c>
      <c r="R3013" s="2">
        <f>PerfRate[[#This Row],[ManagerRating]] - PerfRate[[#This Row],[SelfRating]]</f>
        <v>0</v>
      </c>
    </row>
    <row r="3014" spans="1:18">
      <c r="A3014" s="2" t="s">
        <v>7321</v>
      </c>
      <c r="B3014" s="2" t="s">
        <v>2014</v>
      </c>
      <c r="C3014" s="1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  <c r="L3014" s="2" t="s">
        <v>11029</v>
      </c>
      <c r="M3014" s="2" t="s">
        <v>11028</v>
      </c>
      <c r="N3014" s="2" t="s">
        <v>11038</v>
      </c>
      <c r="O3014" s="2" t="s">
        <v>11038</v>
      </c>
      <c r="P3014" s="2" t="s">
        <v>11035</v>
      </c>
      <c r="Q3014" s="2">
        <f>AVERAGE(PerfRate[[#This Row],[EnvironmentSatisfaction]],PerfRate[[#This Row],[JobSatisfaction]],PerfRate[[#This Row],[RelationshipSatisfaction]])</f>
        <v>4</v>
      </c>
      <c r="R3014" s="2">
        <f>PerfRate[[#This Row],[ManagerRating]] - PerfRate[[#This Row],[SelfRating]]</f>
        <v>-1</v>
      </c>
    </row>
    <row r="3015" spans="1:18">
      <c r="A3015" s="2" t="s">
        <v>7322</v>
      </c>
      <c r="B3015" s="2" t="s">
        <v>717</v>
      </c>
      <c r="C3015" s="1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  <c r="L3015" s="2" t="s">
        <v>11031</v>
      </c>
      <c r="M3015" s="2" t="s">
        <v>11030</v>
      </c>
      <c r="N3015" s="2" t="s">
        <v>11036</v>
      </c>
      <c r="O3015" s="2" t="s">
        <v>11035</v>
      </c>
      <c r="P3015" s="2" t="s">
        <v>11038</v>
      </c>
      <c r="Q3015" s="2">
        <f>AVERAGE(PerfRate[[#This Row],[EnvironmentSatisfaction]],PerfRate[[#This Row],[JobSatisfaction]],PerfRate[[#This Row],[RelationshipSatisfaction]])</f>
        <v>3.3333333333333335</v>
      </c>
      <c r="R3015" s="2">
        <f>PerfRate[[#This Row],[ManagerRating]] - PerfRate[[#This Row],[SelfRating]]</f>
        <v>-1</v>
      </c>
    </row>
    <row r="3016" spans="1:18">
      <c r="A3016" s="2" t="s">
        <v>7323</v>
      </c>
      <c r="B3016" s="2" t="s">
        <v>1154</v>
      </c>
      <c r="C3016" s="1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  <c r="L3016" s="2" t="s">
        <v>11031</v>
      </c>
      <c r="M3016" s="2" t="s">
        <v>11031</v>
      </c>
      <c r="N3016" s="2" t="s">
        <v>11038</v>
      </c>
      <c r="O3016" s="2" t="s">
        <v>11036</v>
      </c>
      <c r="P3016" s="2" t="s">
        <v>11037</v>
      </c>
      <c r="Q3016" s="2">
        <f>AVERAGE(PerfRate[[#This Row],[EnvironmentSatisfaction]],PerfRate[[#This Row],[JobSatisfaction]],PerfRate[[#This Row],[RelationshipSatisfaction]])</f>
        <v>4</v>
      </c>
      <c r="R3016" s="2">
        <f>PerfRate[[#This Row],[ManagerRating]] - PerfRate[[#This Row],[SelfRating]]</f>
        <v>0</v>
      </c>
    </row>
    <row r="3017" spans="1:18">
      <c r="A3017" s="2" t="s">
        <v>7324</v>
      </c>
      <c r="B3017" s="2" t="s">
        <v>529</v>
      </c>
      <c r="C3017" s="1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  <c r="L3017" s="2" t="s">
        <v>11031</v>
      </c>
      <c r="M3017" s="2" t="s">
        <v>11030</v>
      </c>
      <c r="N3017" s="2" t="s">
        <v>11036</v>
      </c>
      <c r="O3017" s="2" t="s">
        <v>11035</v>
      </c>
      <c r="P3017" s="2" t="s">
        <v>11036</v>
      </c>
      <c r="Q3017" s="2">
        <f>AVERAGE(PerfRate[[#This Row],[EnvironmentSatisfaction]],PerfRate[[#This Row],[JobSatisfaction]],PerfRate[[#This Row],[RelationshipSatisfaction]])</f>
        <v>2.6666666666666665</v>
      </c>
      <c r="R3017" s="2">
        <f>PerfRate[[#This Row],[ManagerRating]] - PerfRate[[#This Row],[SelfRating]]</f>
        <v>-1</v>
      </c>
    </row>
    <row r="3018" spans="1:18">
      <c r="A3018" s="2" t="s">
        <v>7325</v>
      </c>
      <c r="B3018" s="2" t="s">
        <v>1584</v>
      </c>
      <c r="C3018" s="1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  <c r="L3018" s="2" t="s">
        <v>11031</v>
      </c>
      <c r="M3018" s="2" t="s">
        <v>11030</v>
      </c>
      <c r="N3018" s="2" t="s">
        <v>11038</v>
      </c>
      <c r="O3018" s="2" t="s">
        <v>11036</v>
      </c>
      <c r="P3018" s="2" t="s">
        <v>11038</v>
      </c>
      <c r="Q3018" s="2">
        <f>AVERAGE(PerfRate[[#This Row],[EnvironmentSatisfaction]],PerfRate[[#This Row],[JobSatisfaction]],PerfRate[[#This Row],[RelationshipSatisfaction]])</f>
        <v>4.333333333333333</v>
      </c>
      <c r="R3018" s="2">
        <f>PerfRate[[#This Row],[ManagerRating]] - PerfRate[[#This Row],[SelfRating]]</f>
        <v>-1</v>
      </c>
    </row>
    <row r="3019" spans="1:18">
      <c r="A3019" s="2" t="s">
        <v>7326</v>
      </c>
      <c r="B3019" s="2" t="s">
        <v>73</v>
      </c>
      <c r="C3019" s="1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  <c r="L3019" s="2" t="s">
        <v>11029</v>
      </c>
      <c r="M3019" s="2" t="s">
        <v>11028</v>
      </c>
      <c r="N3019" s="2" t="s">
        <v>11037</v>
      </c>
      <c r="O3019" s="2" t="s">
        <v>11035</v>
      </c>
      <c r="P3019" s="2" t="s">
        <v>11035</v>
      </c>
      <c r="Q3019" s="2">
        <f>AVERAGE(PerfRate[[#This Row],[EnvironmentSatisfaction]],PerfRate[[#This Row],[JobSatisfaction]],PerfRate[[#This Row],[RelationshipSatisfaction]])</f>
        <v>2.6666666666666665</v>
      </c>
      <c r="R3019" s="2">
        <f>PerfRate[[#This Row],[ManagerRating]] - PerfRate[[#This Row],[SelfRating]]</f>
        <v>-1</v>
      </c>
    </row>
    <row r="3020" spans="1:18">
      <c r="A3020" s="2" t="s">
        <v>7327</v>
      </c>
      <c r="B3020" s="2" t="s">
        <v>2946</v>
      </c>
      <c r="C3020" s="1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  <c r="L3020" s="2" t="s">
        <v>11031</v>
      </c>
      <c r="M3020" s="2" t="s">
        <v>11031</v>
      </c>
      <c r="N3020" s="2" t="s">
        <v>11037</v>
      </c>
      <c r="O3020" s="2" t="s">
        <v>11037</v>
      </c>
      <c r="P3020" s="2" t="s">
        <v>11037</v>
      </c>
      <c r="Q3020" s="2">
        <f>AVERAGE(PerfRate[[#This Row],[EnvironmentSatisfaction]],PerfRate[[#This Row],[JobSatisfaction]],PerfRate[[#This Row],[RelationshipSatisfaction]])</f>
        <v>4</v>
      </c>
      <c r="R3020" s="2">
        <f>PerfRate[[#This Row],[ManagerRating]] - PerfRate[[#This Row],[SelfRating]]</f>
        <v>0</v>
      </c>
    </row>
    <row r="3021" spans="1:18">
      <c r="A3021" s="2" t="s">
        <v>7328</v>
      </c>
      <c r="B3021" s="2" t="s">
        <v>1581</v>
      </c>
      <c r="C3021" s="1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  <c r="L3021" s="2" t="s">
        <v>11031</v>
      </c>
      <c r="M3021" s="2" t="s">
        <v>11031</v>
      </c>
      <c r="N3021" s="2" t="s">
        <v>11037</v>
      </c>
      <c r="O3021" s="2" t="s">
        <v>11038</v>
      </c>
      <c r="P3021" s="2" t="s">
        <v>11036</v>
      </c>
      <c r="Q3021" s="2">
        <f>AVERAGE(PerfRate[[#This Row],[EnvironmentSatisfaction]],PerfRate[[#This Row],[JobSatisfaction]],PerfRate[[#This Row],[RelationshipSatisfaction]])</f>
        <v>4</v>
      </c>
      <c r="R3021" s="2">
        <f>PerfRate[[#This Row],[ManagerRating]] - PerfRate[[#This Row],[SelfRating]]</f>
        <v>0</v>
      </c>
    </row>
    <row r="3022" spans="1:18">
      <c r="A3022" s="2" t="s">
        <v>7329</v>
      </c>
      <c r="B3022" s="2" t="s">
        <v>2008</v>
      </c>
      <c r="C3022" s="1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  <c r="L3022" s="2" t="s">
        <v>11030</v>
      </c>
      <c r="M3022" s="2" t="s">
        <v>11030</v>
      </c>
      <c r="N3022" s="2" t="s">
        <v>11038</v>
      </c>
      <c r="O3022" s="2" t="s">
        <v>11036</v>
      </c>
      <c r="P3022" s="2" t="s">
        <v>11036</v>
      </c>
      <c r="Q3022" s="2">
        <f>AVERAGE(PerfRate[[#This Row],[EnvironmentSatisfaction]],PerfRate[[#This Row],[JobSatisfaction]],PerfRate[[#This Row],[RelationshipSatisfaction]])</f>
        <v>3.6666666666666665</v>
      </c>
      <c r="R3022" s="2">
        <f>PerfRate[[#This Row],[ManagerRating]] - PerfRate[[#This Row],[SelfRating]]</f>
        <v>0</v>
      </c>
    </row>
    <row r="3023" spans="1:18">
      <c r="A3023" s="2" t="s">
        <v>7330</v>
      </c>
      <c r="B3023" s="2" t="s">
        <v>2068</v>
      </c>
      <c r="C3023" s="1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  <c r="L3023" s="2" t="s">
        <v>11030</v>
      </c>
      <c r="M3023" s="2" t="s">
        <v>11029</v>
      </c>
      <c r="N3023" s="2" t="s">
        <v>11038</v>
      </c>
      <c r="O3023" s="2" t="s">
        <v>11037</v>
      </c>
      <c r="P3023" s="2" t="s">
        <v>11037</v>
      </c>
      <c r="Q3023" s="2">
        <f>AVERAGE(PerfRate[[#This Row],[EnvironmentSatisfaction]],PerfRate[[#This Row],[JobSatisfaction]],PerfRate[[#This Row],[RelationshipSatisfaction]])</f>
        <v>4.333333333333333</v>
      </c>
      <c r="R3023" s="2">
        <f>PerfRate[[#This Row],[ManagerRating]] - PerfRate[[#This Row],[SelfRating]]</f>
        <v>-1</v>
      </c>
    </row>
    <row r="3024" spans="1:18">
      <c r="A3024" s="2" t="s">
        <v>7331</v>
      </c>
      <c r="B3024" s="2" t="s">
        <v>410</v>
      </c>
      <c r="C3024" s="1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  <c r="L3024" s="2" t="s">
        <v>11031</v>
      </c>
      <c r="M3024" s="2" t="s">
        <v>11031</v>
      </c>
      <c r="N3024" s="2" t="s">
        <v>11038</v>
      </c>
      <c r="O3024" s="2" t="s">
        <v>11036</v>
      </c>
      <c r="P3024" s="2" t="s">
        <v>11038</v>
      </c>
      <c r="Q3024" s="2">
        <f>AVERAGE(PerfRate[[#This Row],[EnvironmentSatisfaction]],PerfRate[[#This Row],[JobSatisfaction]],PerfRate[[#This Row],[RelationshipSatisfaction]])</f>
        <v>4.333333333333333</v>
      </c>
      <c r="R3024" s="2">
        <f>PerfRate[[#This Row],[ManagerRating]] - PerfRate[[#This Row],[SelfRating]]</f>
        <v>0</v>
      </c>
    </row>
    <row r="3025" spans="1:18">
      <c r="A3025" s="2" t="s">
        <v>7332</v>
      </c>
      <c r="B3025" s="2" t="s">
        <v>1409</v>
      </c>
      <c r="C3025" s="1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  <c r="L3025" s="2" t="s">
        <v>11029</v>
      </c>
      <c r="M3025" s="2" t="s">
        <v>11029</v>
      </c>
      <c r="N3025" s="2" t="s">
        <v>11037</v>
      </c>
      <c r="O3025" s="2" t="s">
        <v>11038</v>
      </c>
      <c r="P3025" s="2" t="s">
        <v>11037</v>
      </c>
      <c r="Q3025" s="2">
        <f>AVERAGE(PerfRate[[#This Row],[EnvironmentSatisfaction]],PerfRate[[#This Row],[JobSatisfaction]],PerfRate[[#This Row],[RelationshipSatisfaction]])</f>
        <v>4.333333333333333</v>
      </c>
      <c r="R3025" s="2">
        <f>PerfRate[[#This Row],[ManagerRating]] - PerfRate[[#This Row],[SelfRating]]</f>
        <v>0</v>
      </c>
    </row>
    <row r="3026" spans="1:18">
      <c r="A3026" s="2" t="s">
        <v>7333</v>
      </c>
      <c r="B3026" s="2" t="s">
        <v>568</v>
      </c>
      <c r="C3026" s="1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  <c r="L3026" s="2" t="s">
        <v>11031</v>
      </c>
      <c r="M3026" s="2" t="s">
        <v>11031</v>
      </c>
      <c r="N3026" s="2" t="s">
        <v>11036</v>
      </c>
      <c r="O3026" s="2" t="s">
        <v>11037</v>
      </c>
      <c r="P3026" s="2" t="s">
        <v>11036</v>
      </c>
      <c r="Q3026" s="2">
        <f>AVERAGE(PerfRate[[#This Row],[EnvironmentSatisfaction]],PerfRate[[#This Row],[JobSatisfaction]],PerfRate[[#This Row],[RelationshipSatisfaction]])</f>
        <v>3.3333333333333335</v>
      </c>
      <c r="R3026" s="2">
        <f>PerfRate[[#This Row],[ManagerRating]] - PerfRate[[#This Row],[SelfRating]]</f>
        <v>0</v>
      </c>
    </row>
    <row r="3027" spans="1:18">
      <c r="A3027" s="2" t="s">
        <v>7334</v>
      </c>
      <c r="B3027" s="2" t="s">
        <v>1119</v>
      </c>
      <c r="C3027" s="1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  <c r="L3027" s="2" t="s">
        <v>11030</v>
      </c>
      <c r="M3027" s="2" t="s">
        <v>11029</v>
      </c>
      <c r="N3027" s="2" t="s">
        <v>11037</v>
      </c>
      <c r="O3027" s="2" t="s">
        <v>11038</v>
      </c>
      <c r="P3027" s="2" t="s">
        <v>11037</v>
      </c>
      <c r="Q3027" s="2">
        <f>AVERAGE(PerfRate[[#This Row],[EnvironmentSatisfaction]],PerfRate[[#This Row],[JobSatisfaction]],PerfRate[[#This Row],[RelationshipSatisfaction]])</f>
        <v>4.333333333333333</v>
      </c>
      <c r="R3027" s="2">
        <f>PerfRate[[#This Row],[ManagerRating]] - PerfRate[[#This Row],[SelfRating]]</f>
        <v>-1</v>
      </c>
    </row>
    <row r="3028" spans="1:18">
      <c r="A3028" s="2" t="s">
        <v>7335</v>
      </c>
      <c r="B3028" s="2" t="s">
        <v>511</v>
      </c>
      <c r="C3028" s="1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  <c r="L3028" s="2" t="s">
        <v>11029</v>
      </c>
      <c r="M3028" s="2" t="s">
        <v>11029</v>
      </c>
      <c r="N3028" s="2" t="s">
        <v>11036</v>
      </c>
      <c r="O3028" s="2" t="s">
        <v>11038</v>
      </c>
      <c r="P3028" s="2" t="s">
        <v>11038</v>
      </c>
      <c r="Q3028" s="2">
        <f>AVERAGE(PerfRate[[#This Row],[EnvironmentSatisfaction]],PerfRate[[#This Row],[JobSatisfaction]],PerfRate[[#This Row],[RelationshipSatisfaction]])</f>
        <v>4.333333333333333</v>
      </c>
      <c r="R3028" s="2">
        <f>PerfRate[[#This Row],[ManagerRating]] - PerfRate[[#This Row],[SelfRating]]</f>
        <v>0</v>
      </c>
    </row>
    <row r="3029" spans="1:18">
      <c r="A3029" s="2" t="s">
        <v>7336</v>
      </c>
      <c r="B3029" s="2" t="s">
        <v>128</v>
      </c>
      <c r="C3029" s="1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  <c r="L3029" s="2" t="s">
        <v>11031</v>
      </c>
      <c r="M3029" s="2" t="s">
        <v>11031</v>
      </c>
      <c r="N3029" s="2" t="s">
        <v>11037</v>
      </c>
      <c r="O3029" s="2" t="s">
        <v>11038</v>
      </c>
      <c r="P3029" s="2" t="s">
        <v>11038</v>
      </c>
      <c r="Q3029" s="2">
        <f>AVERAGE(PerfRate[[#This Row],[EnvironmentSatisfaction]],PerfRate[[#This Row],[JobSatisfaction]],PerfRate[[#This Row],[RelationshipSatisfaction]])</f>
        <v>4.666666666666667</v>
      </c>
      <c r="R3029" s="2">
        <f>PerfRate[[#This Row],[ManagerRating]] - PerfRate[[#This Row],[SelfRating]]</f>
        <v>0</v>
      </c>
    </row>
    <row r="3030" spans="1:18">
      <c r="A3030" s="2" t="s">
        <v>7337</v>
      </c>
      <c r="B3030" s="2" t="s">
        <v>762</v>
      </c>
      <c r="C3030" s="1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  <c r="L3030" s="2" t="s">
        <v>11029</v>
      </c>
      <c r="M3030" s="2" t="s">
        <v>11028</v>
      </c>
      <c r="N3030" s="2" t="s">
        <v>11036</v>
      </c>
      <c r="O3030" s="2" t="s">
        <v>11037</v>
      </c>
      <c r="P3030" s="2" t="s">
        <v>11037</v>
      </c>
      <c r="Q3030" s="2">
        <f>AVERAGE(PerfRate[[#This Row],[EnvironmentSatisfaction]],PerfRate[[#This Row],[JobSatisfaction]],PerfRate[[#This Row],[RelationshipSatisfaction]])</f>
        <v>3.6666666666666665</v>
      </c>
      <c r="R3030" s="2">
        <f>PerfRate[[#This Row],[ManagerRating]] - PerfRate[[#This Row],[SelfRating]]</f>
        <v>-1</v>
      </c>
    </row>
    <row r="3031" spans="1:18">
      <c r="A3031" s="2" t="s">
        <v>7338</v>
      </c>
      <c r="B3031" s="2" t="s">
        <v>3088</v>
      </c>
      <c r="C3031" s="1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  <c r="L3031" s="2" t="s">
        <v>11030</v>
      </c>
      <c r="M3031" s="2" t="s">
        <v>11029</v>
      </c>
      <c r="N3031" s="2" t="s">
        <v>11038</v>
      </c>
      <c r="O3031" s="2" t="s">
        <v>11037</v>
      </c>
      <c r="P3031" s="2" t="s">
        <v>11037</v>
      </c>
      <c r="Q3031" s="2">
        <f>AVERAGE(PerfRate[[#This Row],[EnvironmentSatisfaction]],PerfRate[[#This Row],[JobSatisfaction]],PerfRate[[#This Row],[RelationshipSatisfaction]])</f>
        <v>4.333333333333333</v>
      </c>
      <c r="R3031" s="2">
        <f>PerfRate[[#This Row],[ManagerRating]] - PerfRate[[#This Row],[SelfRating]]</f>
        <v>-1</v>
      </c>
    </row>
    <row r="3032" spans="1:18">
      <c r="A3032" s="2" t="s">
        <v>7339</v>
      </c>
      <c r="B3032" s="2" t="s">
        <v>1056</v>
      </c>
      <c r="C3032" s="1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  <c r="L3032" s="2" t="s">
        <v>11031</v>
      </c>
      <c r="M3032" s="2" t="s">
        <v>11030</v>
      </c>
      <c r="N3032" s="2" t="s">
        <v>11038</v>
      </c>
      <c r="O3032" s="2" t="s">
        <v>11038</v>
      </c>
      <c r="P3032" s="2" t="s">
        <v>11037</v>
      </c>
      <c r="Q3032" s="2">
        <f>AVERAGE(PerfRate[[#This Row],[EnvironmentSatisfaction]],PerfRate[[#This Row],[JobSatisfaction]],PerfRate[[#This Row],[RelationshipSatisfaction]])</f>
        <v>4.666666666666667</v>
      </c>
      <c r="R3032" s="2">
        <f>PerfRate[[#This Row],[ManagerRating]] - PerfRate[[#This Row],[SelfRating]]</f>
        <v>-1</v>
      </c>
    </row>
    <row r="3033" spans="1:18">
      <c r="A3033" s="2" t="s">
        <v>7340</v>
      </c>
      <c r="B3033" s="2" t="s">
        <v>284</v>
      </c>
      <c r="C3033" s="1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  <c r="L3033" s="2" t="s">
        <v>11030</v>
      </c>
      <c r="M3033" s="2" t="s">
        <v>11030</v>
      </c>
      <c r="N3033" s="2" t="s">
        <v>11036</v>
      </c>
      <c r="O3033" s="2" t="s">
        <v>11037</v>
      </c>
      <c r="P3033" s="2" t="s">
        <v>11036</v>
      </c>
      <c r="Q3033" s="2">
        <f>AVERAGE(PerfRate[[#This Row],[EnvironmentSatisfaction]],PerfRate[[#This Row],[JobSatisfaction]],PerfRate[[#This Row],[RelationshipSatisfaction]])</f>
        <v>3.3333333333333335</v>
      </c>
      <c r="R3033" s="2">
        <f>PerfRate[[#This Row],[ManagerRating]] - PerfRate[[#This Row],[SelfRating]]</f>
        <v>0</v>
      </c>
    </row>
    <row r="3034" spans="1:18">
      <c r="A3034" s="2" t="s">
        <v>7341</v>
      </c>
      <c r="B3034" s="2" t="s">
        <v>2587</v>
      </c>
      <c r="C3034" s="1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  <c r="L3034" s="2" t="s">
        <v>11031</v>
      </c>
      <c r="M3034" s="2" t="s">
        <v>11031</v>
      </c>
      <c r="N3034" s="2" t="s">
        <v>11037</v>
      </c>
      <c r="O3034" s="2" t="s">
        <v>11035</v>
      </c>
      <c r="P3034" s="2" t="s">
        <v>11036</v>
      </c>
      <c r="Q3034" s="2">
        <f>AVERAGE(PerfRate[[#This Row],[EnvironmentSatisfaction]],PerfRate[[#This Row],[JobSatisfaction]],PerfRate[[#This Row],[RelationshipSatisfaction]])</f>
        <v>3</v>
      </c>
      <c r="R3034" s="2">
        <f>PerfRate[[#This Row],[ManagerRating]] - PerfRate[[#This Row],[SelfRating]]</f>
        <v>0</v>
      </c>
    </row>
    <row r="3035" spans="1:18">
      <c r="A3035" s="2" t="s">
        <v>7342</v>
      </c>
      <c r="B3035" s="2" t="s">
        <v>2453</v>
      </c>
      <c r="C3035" s="1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  <c r="L3035" s="2" t="s">
        <v>11030</v>
      </c>
      <c r="M3035" s="2" t="s">
        <v>11029</v>
      </c>
      <c r="N3035" s="2" t="s">
        <v>11037</v>
      </c>
      <c r="O3035" s="2" t="s">
        <v>11036</v>
      </c>
      <c r="P3035" s="2" t="s">
        <v>11038</v>
      </c>
      <c r="Q3035" s="2">
        <f>AVERAGE(PerfRate[[#This Row],[EnvironmentSatisfaction]],PerfRate[[#This Row],[JobSatisfaction]],PerfRate[[#This Row],[RelationshipSatisfaction]])</f>
        <v>4</v>
      </c>
      <c r="R3035" s="2">
        <f>PerfRate[[#This Row],[ManagerRating]] - PerfRate[[#This Row],[SelfRating]]</f>
        <v>-1</v>
      </c>
    </row>
    <row r="3036" spans="1:18">
      <c r="A3036" s="2" t="s">
        <v>7343</v>
      </c>
      <c r="B3036" s="2" t="s">
        <v>1116</v>
      </c>
      <c r="C3036" s="1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  <c r="L3036" s="2" t="s">
        <v>11030</v>
      </c>
      <c r="M3036" s="2" t="s">
        <v>11030</v>
      </c>
      <c r="N3036" s="2" t="s">
        <v>11038</v>
      </c>
      <c r="O3036" s="2" t="s">
        <v>11038</v>
      </c>
      <c r="P3036" s="2" t="s">
        <v>11038</v>
      </c>
      <c r="Q3036" s="2">
        <f>AVERAGE(PerfRate[[#This Row],[EnvironmentSatisfaction]],PerfRate[[#This Row],[JobSatisfaction]],PerfRate[[#This Row],[RelationshipSatisfaction]])</f>
        <v>5</v>
      </c>
      <c r="R3036" s="2">
        <f>PerfRate[[#This Row],[ManagerRating]] - PerfRate[[#This Row],[SelfRating]]</f>
        <v>0</v>
      </c>
    </row>
    <row r="3037" spans="1:18">
      <c r="A3037" s="2" t="s">
        <v>7344</v>
      </c>
      <c r="B3037" s="2" t="s">
        <v>2193</v>
      </c>
      <c r="C3037" s="1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  <c r="L3037" s="2" t="s">
        <v>11031</v>
      </c>
      <c r="M3037" s="2" t="s">
        <v>11030</v>
      </c>
      <c r="N3037" s="2" t="s">
        <v>11037</v>
      </c>
      <c r="O3037" s="2" t="s">
        <v>11035</v>
      </c>
      <c r="P3037" s="2" t="s">
        <v>11035</v>
      </c>
      <c r="Q3037" s="2">
        <f>AVERAGE(PerfRate[[#This Row],[EnvironmentSatisfaction]],PerfRate[[#This Row],[JobSatisfaction]],PerfRate[[#This Row],[RelationshipSatisfaction]])</f>
        <v>2.6666666666666665</v>
      </c>
      <c r="R3037" s="2">
        <f>PerfRate[[#This Row],[ManagerRating]] - PerfRate[[#This Row],[SelfRating]]</f>
        <v>-1</v>
      </c>
    </row>
    <row r="3038" spans="1:18">
      <c r="A3038" s="2" t="s">
        <v>7345</v>
      </c>
      <c r="B3038" s="2" t="s">
        <v>455</v>
      </c>
      <c r="C3038" s="1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  <c r="L3038" s="2" t="s">
        <v>11030</v>
      </c>
      <c r="M3038" s="2" t="s">
        <v>11029</v>
      </c>
      <c r="N3038" s="2" t="s">
        <v>11036</v>
      </c>
      <c r="O3038" s="2" t="s">
        <v>11035</v>
      </c>
      <c r="P3038" s="2" t="s">
        <v>11035</v>
      </c>
      <c r="Q3038" s="2">
        <f>AVERAGE(PerfRate[[#This Row],[EnvironmentSatisfaction]],PerfRate[[#This Row],[JobSatisfaction]],PerfRate[[#This Row],[RelationshipSatisfaction]])</f>
        <v>2.3333333333333335</v>
      </c>
      <c r="R3038" s="2">
        <f>PerfRate[[#This Row],[ManagerRating]] - PerfRate[[#This Row],[SelfRating]]</f>
        <v>-1</v>
      </c>
    </row>
    <row r="3039" spans="1:18">
      <c r="A3039" s="2" t="s">
        <v>7346</v>
      </c>
      <c r="B3039" s="2" t="s">
        <v>2641</v>
      </c>
      <c r="C3039" s="1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  <c r="L3039" s="2" t="s">
        <v>11030</v>
      </c>
      <c r="M3039" s="2" t="s">
        <v>11030</v>
      </c>
      <c r="N3039" s="2" t="s">
        <v>11038</v>
      </c>
      <c r="O3039" s="2" t="s">
        <v>11038</v>
      </c>
      <c r="P3039" s="2" t="s">
        <v>11035</v>
      </c>
      <c r="Q3039" s="2">
        <f>AVERAGE(PerfRate[[#This Row],[EnvironmentSatisfaction]],PerfRate[[#This Row],[JobSatisfaction]],PerfRate[[#This Row],[RelationshipSatisfaction]])</f>
        <v>4</v>
      </c>
      <c r="R3039" s="2">
        <f>PerfRate[[#This Row],[ManagerRating]] - PerfRate[[#This Row],[SelfRating]]</f>
        <v>0</v>
      </c>
    </row>
    <row r="3040" spans="1:18">
      <c r="A3040" s="2" t="s">
        <v>7347</v>
      </c>
      <c r="B3040" s="2" t="s">
        <v>1909</v>
      </c>
      <c r="C3040" s="1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  <c r="L3040" s="2" t="s">
        <v>11031</v>
      </c>
      <c r="M3040" s="2" t="s">
        <v>11031</v>
      </c>
      <c r="N3040" s="2" t="s">
        <v>11038</v>
      </c>
      <c r="O3040" s="2" t="s">
        <v>11035</v>
      </c>
      <c r="P3040" s="2" t="s">
        <v>11035</v>
      </c>
      <c r="Q3040" s="2">
        <f>AVERAGE(PerfRate[[#This Row],[EnvironmentSatisfaction]],PerfRate[[#This Row],[JobSatisfaction]],PerfRate[[#This Row],[RelationshipSatisfaction]])</f>
        <v>3</v>
      </c>
      <c r="R3040" s="2">
        <f>PerfRate[[#This Row],[ManagerRating]] - PerfRate[[#This Row],[SelfRating]]</f>
        <v>0</v>
      </c>
    </row>
    <row r="3041" spans="1:18">
      <c r="A3041" s="2" t="s">
        <v>7348</v>
      </c>
      <c r="B3041" s="2" t="s">
        <v>238</v>
      </c>
      <c r="C3041" s="1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  <c r="L3041" s="2" t="s">
        <v>11029</v>
      </c>
      <c r="M3041" s="2" t="s">
        <v>11028</v>
      </c>
      <c r="N3041" s="2" t="s">
        <v>11036</v>
      </c>
      <c r="O3041" s="2" t="s">
        <v>11037</v>
      </c>
      <c r="P3041" s="2" t="s">
        <v>11038</v>
      </c>
      <c r="Q3041" s="2">
        <f>AVERAGE(PerfRate[[#This Row],[EnvironmentSatisfaction]],PerfRate[[#This Row],[JobSatisfaction]],PerfRate[[#This Row],[RelationshipSatisfaction]])</f>
        <v>4</v>
      </c>
      <c r="R3041" s="2">
        <f>PerfRate[[#This Row],[ManagerRating]] - PerfRate[[#This Row],[SelfRating]]</f>
        <v>-1</v>
      </c>
    </row>
    <row r="3042" spans="1:18">
      <c r="A3042" s="2" t="s">
        <v>7349</v>
      </c>
      <c r="B3042" s="2" t="s">
        <v>3857</v>
      </c>
      <c r="C3042" s="1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  <c r="L3042" s="2" t="s">
        <v>11031</v>
      </c>
      <c r="M3042" s="2" t="s">
        <v>11030</v>
      </c>
      <c r="N3042" s="2" t="s">
        <v>11037</v>
      </c>
      <c r="O3042" s="2" t="s">
        <v>11036</v>
      </c>
      <c r="P3042" s="2" t="s">
        <v>11035</v>
      </c>
      <c r="Q3042" s="2">
        <f>AVERAGE(PerfRate[[#This Row],[EnvironmentSatisfaction]],PerfRate[[#This Row],[JobSatisfaction]],PerfRate[[#This Row],[RelationshipSatisfaction]])</f>
        <v>3</v>
      </c>
      <c r="R3042" s="2">
        <f>PerfRate[[#This Row],[ManagerRating]] - PerfRate[[#This Row],[SelfRating]]</f>
        <v>-1</v>
      </c>
    </row>
    <row r="3043" spans="1:18">
      <c r="A3043" s="2" t="s">
        <v>7350</v>
      </c>
      <c r="B3043" s="2" t="s">
        <v>154</v>
      </c>
      <c r="C3043" s="1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  <c r="L3043" s="2" t="s">
        <v>11029</v>
      </c>
      <c r="M3043" s="2" t="s">
        <v>11028</v>
      </c>
      <c r="N3043" s="2" t="s">
        <v>11038</v>
      </c>
      <c r="O3043" s="2" t="s">
        <v>11037</v>
      </c>
      <c r="P3043" s="2" t="s">
        <v>11036</v>
      </c>
      <c r="Q3043" s="2">
        <f>AVERAGE(PerfRate[[#This Row],[EnvironmentSatisfaction]],PerfRate[[#This Row],[JobSatisfaction]],PerfRate[[#This Row],[RelationshipSatisfaction]])</f>
        <v>4</v>
      </c>
      <c r="R3043" s="2">
        <f>PerfRate[[#This Row],[ManagerRating]] - PerfRate[[#This Row],[SelfRating]]</f>
        <v>-1</v>
      </c>
    </row>
    <row r="3044" spans="1:18">
      <c r="A3044" s="2" t="s">
        <v>7351</v>
      </c>
      <c r="B3044" s="2" t="s">
        <v>2115</v>
      </c>
      <c r="C3044" s="1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  <c r="L3044" s="2" t="s">
        <v>11029</v>
      </c>
      <c r="M3044" s="2" t="s">
        <v>11028</v>
      </c>
      <c r="N3044" s="2" t="s">
        <v>11038</v>
      </c>
      <c r="O3044" s="2" t="s">
        <v>11036</v>
      </c>
      <c r="P3044" s="2" t="s">
        <v>11036</v>
      </c>
      <c r="Q3044" s="2">
        <f>AVERAGE(PerfRate[[#This Row],[EnvironmentSatisfaction]],PerfRate[[#This Row],[JobSatisfaction]],PerfRate[[#This Row],[RelationshipSatisfaction]])</f>
        <v>3.6666666666666665</v>
      </c>
      <c r="R3044" s="2">
        <f>PerfRate[[#This Row],[ManagerRating]] - PerfRate[[#This Row],[SelfRating]]</f>
        <v>-1</v>
      </c>
    </row>
    <row r="3045" spans="1:18">
      <c r="A3045" s="2" t="s">
        <v>7352</v>
      </c>
      <c r="B3045" s="2" t="s">
        <v>2650</v>
      </c>
      <c r="C3045" s="1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  <c r="L3045" s="2" t="s">
        <v>11031</v>
      </c>
      <c r="M3045" s="2" t="s">
        <v>11030</v>
      </c>
      <c r="N3045" s="2" t="s">
        <v>11038</v>
      </c>
      <c r="O3045" s="2" t="s">
        <v>11035</v>
      </c>
      <c r="P3045" s="2" t="s">
        <v>11038</v>
      </c>
      <c r="Q3045" s="2">
        <f>AVERAGE(PerfRate[[#This Row],[EnvironmentSatisfaction]],PerfRate[[#This Row],[JobSatisfaction]],PerfRate[[#This Row],[RelationshipSatisfaction]])</f>
        <v>4</v>
      </c>
      <c r="R3045" s="2">
        <f>PerfRate[[#This Row],[ManagerRating]] - PerfRate[[#This Row],[SelfRating]]</f>
        <v>-1</v>
      </c>
    </row>
    <row r="3046" spans="1:18">
      <c r="A3046" s="2" t="s">
        <v>7353</v>
      </c>
      <c r="B3046" s="2" t="s">
        <v>696</v>
      </c>
      <c r="C3046" s="1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  <c r="L3046" s="2" t="s">
        <v>11031</v>
      </c>
      <c r="M3046" s="2" t="s">
        <v>11030</v>
      </c>
      <c r="N3046" s="2" t="s">
        <v>11037</v>
      </c>
      <c r="O3046" s="2" t="s">
        <v>11036</v>
      </c>
      <c r="P3046" s="2" t="s">
        <v>11037</v>
      </c>
      <c r="Q3046" s="2">
        <f>AVERAGE(PerfRate[[#This Row],[EnvironmentSatisfaction]],PerfRate[[#This Row],[JobSatisfaction]],PerfRate[[#This Row],[RelationshipSatisfaction]])</f>
        <v>3.6666666666666665</v>
      </c>
      <c r="R3046" s="2">
        <f>PerfRate[[#This Row],[ManagerRating]] - PerfRate[[#This Row],[SelfRating]]</f>
        <v>-1</v>
      </c>
    </row>
    <row r="3047" spans="1:18">
      <c r="A3047" s="2" t="s">
        <v>7354</v>
      </c>
      <c r="B3047" s="2" t="s">
        <v>1180</v>
      </c>
      <c r="C3047" s="1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  <c r="L3047" s="2" t="s">
        <v>11029</v>
      </c>
      <c r="M3047" s="2" t="s">
        <v>11029</v>
      </c>
      <c r="N3047" s="2" t="s">
        <v>11038</v>
      </c>
      <c r="O3047" s="2" t="s">
        <v>11035</v>
      </c>
      <c r="P3047" s="2" t="s">
        <v>11037</v>
      </c>
      <c r="Q3047" s="2">
        <f>AVERAGE(PerfRate[[#This Row],[EnvironmentSatisfaction]],PerfRate[[#This Row],[JobSatisfaction]],PerfRate[[#This Row],[RelationshipSatisfaction]])</f>
        <v>3.6666666666666665</v>
      </c>
      <c r="R3047" s="2">
        <f>PerfRate[[#This Row],[ManagerRating]] - PerfRate[[#This Row],[SelfRating]]</f>
        <v>0</v>
      </c>
    </row>
    <row r="3048" spans="1:18">
      <c r="A3048" s="2" t="s">
        <v>7355</v>
      </c>
      <c r="B3048" s="2" t="s">
        <v>1127</v>
      </c>
      <c r="C3048" s="1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  <c r="L3048" s="2" t="s">
        <v>11031</v>
      </c>
      <c r="M3048" s="2" t="s">
        <v>11030</v>
      </c>
      <c r="N3048" s="2" t="s">
        <v>11037</v>
      </c>
      <c r="O3048" s="2" t="s">
        <v>11037</v>
      </c>
      <c r="P3048" s="2" t="s">
        <v>11035</v>
      </c>
      <c r="Q3048" s="2">
        <f>AVERAGE(PerfRate[[#This Row],[EnvironmentSatisfaction]],PerfRate[[#This Row],[JobSatisfaction]],PerfRate[[#This Row],[RelationshipSatisfaction]])</f>
        <v>3.3333333333333335</v>
      </c>
      <c r="R3048" s="2">
        <f>PerfRate[[#This Row],[ManagerRating]] - PerfRate[[#This Row],[SelfRating]]</f>
        <v>-1</v>
      </c>
    </row>
    <row r="3049" spans="1:18">
      <c r="A3049" s="2" t="s">
        <v>7356</v>
      </c>
      <c r="B3049" s="2" t="s">
        <v>2759</v>
      </c>
      <c r="C3049" s="1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  <c r="L3049" s="2" t="s">
        <v>11029</v>
      </c>
      <c r="M3049" s="2" t="s">
        <v>11028</v>
      </c>
      <c r="N3049" s="2" t="s">
        <v>11038</v>
      </c>
      <c r="O3049" s="2" t="s">
        <v>11036</v>
      </c>
      <c r="P3049" s="2" t="s">
        <v>11038</v>
      </c>
      <c r="Q3049" s="2">
        <f>AVERAGE(PerfRate[[#This Row],[EnvironmentSatisfaction]],PerfRate[[#This Row],[JobSatisfaction]],PerfRate[[#This Row],[RelationshipSatisfaction]])</f>
        <v>4.333333333333333</v>
      </c>
      <c r="R3049" s="2">
        <f>PerfRate[[#This Row],[ManagerRating]] - PerfRate[[#This Row],[SelfRating]]</f>
        <v>-1</v>
      </c>
    </row>
    <row r="3050" spans="1:18">
      <c r="A3050" s="2" t="s">
        <v>7357</v>
      </c>
      <c r="B3050" s="2" t="s">
        <v>353</v>
      </c>
      <c r="C3050" s="1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  <c r="L3050" s="2" t="s">
        <v>11031</v>
      </c>
      <c r="M3050" s="2" t="s">
        <v>11030</v>
      </c>
      <c r="N3050" s="2" t="s">
        <v>11037</v>
      </c>
      <c r="O3050" s="2" t="s">
        <v>11038</v>
      </c>
      <c r="P3050" s="2" t="s">
        <v>11035</v>
      </c>
      <c r="Q3050" s="2">
        <f>AVERAGE(PerfRate[[#This Row],[EnvironmentSatisfaction]],PerfRate[[#This Row],[JobSatisfaction]],PerfRate[[#This Row],[RelationshipSatisfaction]])</f>
        <v>3.6666666666666665</v>
      </c>
      <c r="R3050" s="2">
        <f>PerfRate[[#This Row],[ManagerRating]] - PerfRate[[#This Row],[SelfRating]]</f>
        <v>-1</v>
      </c>
    </row>
    <row r="3051" spans="1:18">
      <c r="A3051" s="2" t="s">
        <v>7358</v>
      </c>
      <c r="B3051" s="2" t="s">
        <v>1500</v>
      </c>
      <c r="C3051" s="1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  <c r="L3051" s="2" t="s">
        <v>11030</v>
      </c>
      <c r="M3051" s="2" t="s">
        <v>11029</v>
      </c>
      <c r="N3051" s="2" t="s">
        <v>11038</v>
      </c>
      <c r="O3051" s="2" t="s">
        <v>11036</v>
      </c>
      <c r="P3051" s="2" t="s">
        <v>11038</v>
      </c>
      <c r="Q3051" s="2">
        <f>AVERAGE(PerfRate[[#This Row],[EnvironmentSatisfaction]],PerfRate[[#This Row],[JobSatisfaction]],PerfRate[[#This Row],[RelationshipSatisfaction]])</f>
        <v>4.333333333333333</v>
      </c>
      <c r="R3051" s="2">
        <f>PerfRate[[#This Row],[ManagerRating]] - PerfRate[[#This Row],[SelfRating]]</f>
        <v>-1</v>
      </c>
    </row>
    <row r="3052" spans="1:18">
      <c r="A3052" s="2" t="s">
        <v>7359</v>
      </c>
      <c r="B3052" s="2" t="s">
        <v>1371</v>
      </c>
      <c r="C3052" s="1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  <c r="L3052" s="2" t="s">
        <v>11030</v>
      </c>
      <c r="M3052" s="2" t="s">
        <v>11029</v>
      </c>
      <c r="N3052" s="2" t="s">
        <v>11036</v>
      </c>
      <c r="O3052" s="2" t="s">
        <v>11037</v>
      </c>
      <c r="P3052" s="2" t="s">
        <v>11038</v>
      </c>
      <c r="Q3052" s="2">
        <f>AVERAGE(PerfRate[[#This Row],[EnvironmentSatisfaction]],PerfRate[[#This Row],[JobSatisfaction]],PerfRate[[#This Row],[RelationshipSatisfaction]])</f>
        <v>4</v>
      </c>
      <c r="R3052" s="2">
        <f>PerfRate[[#This Row],[ManagerRating]] - PerfRate[[#This Row],[SelfRating]]</f>
        <v>-1</v>
      </c>
    </row>
    <row r="3053" spans="1:18">
      <c r="A3053" s="2" t="s">
        <v>7360</v>
      </c>
      <c r="B3053" s="2" t="s">
        <v>3394</v>
      </c>
      <c r="C3053" s="1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  <c r="L3053" s="2" t="s">
        <v>11031</v>
      </c>
      <c r="M3053" s="2" t="s">
        <v>11030</v>
      </c>
      <c r="N3053" s="2" t="s">
        <v>11038</v>
      </c>
      <c r="O3053" s="2" t="s">
        <v>11038</v>
      </c>
      <c r="P3053" s="2" t="s">
        <v>11038</v>
      </c>
      <c r="Q3053" s="2">
        <f>AVERAGE(PerfRate[[#This Row],[EnvironmentSatisfaction]],PerfRate[[#This Row],[JobSatisfaction]],PerfRate[[#This Row],[RelationshipSatisfaction]])</f>
        <v>5</v>
      </c>
      <c r="R3053" s="2">
        <f>PerfRate[[#This Row],[ManagerRating]] - PerfRate[[#This Row],[SelfRating]]</f>
        <v>-1</v>
      </c>
    </row>
    <row r="3054" spans="1:18">
      <c r="A3054" s="2" t="s">
        <v>7361</v>
      </c>
      <c r="B3054" s="2" t="s">
        <v>2119</v>
      </c>
      <c r="C3054" s="1">
        <v>43833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  <c r="L3054" s="2" t="s">
        <v>11029</v>
      </c>
      <c r="M3054" s="2" t="s">
        <v>11029</v>
      </c>
      <c r="N3054" s="2" t="s">
        <v>11037</v>
      </c>
      <c r="O3054" s="2" t="s">
        <v>11035</v>
      </c>
      <c r="P3054" s="2" t="s">
        <v>11038</v>
      </c>
      <c r="Q3054" s="2">
        <f>AVERAGE(PerfRate[[#This Row],[EnvironmentSatisfaction]],PerfRate[[#This Row],[JobSatisfaction]],PerfRate[[#This Row],[RelationshipSatisfaction]])</f>
        <v>3.6666666666666665</v>
      </c>
      <c r="R3054" s="2">
        <f>PerfRate[[#This Row],[ManagerRating]] - PerfRate[[#This Row],[SelfRating]]</f>
        <v>0</v>
      </c>
    </row>
    <row r="3055" spans="1:18">
      <c r="A3055" s="2" t="s">
        <v>7362</v>
      </c>
      <c r="B3055" s="2" t="s">
        <v>673</v>
      </c>
      <c r="C3055" s="1">
        <v>43833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  <c r="L3055" s="2" t="s">
        <v>11029</v>
      </c>
      <c r="M3055" s="2" t="s">
        <v>11028</v>
      </c>
      <c r="N3055" s="2" t="s">
        <v>11037</v>
      </c>
      <c r="O3055" s="2" t="s">
        <v>11038</v>
      </c>
      <c r="P3055" s="2" t="s">
        <v>11038</v>
      </c>
      <c r="Q3055" s="2">
        <f>AVERAGE(PerfRate[[#This Row],[EnvironmentSatisfaction]],PerfRate[[#This Row],[JobSatisfaction]],PerfRate[[#This Row],[RelationshipSatisfaction]])</f>
        <v>4.666666666666667</v>
      </c>
      <c r="R3055" s="2">
        <f>PerfRate[[#This Row],[ManagerRating]] - PerfRate[[#This Row],[SelfRating]]</f>
        <v>-1</v>
      </c>
    </row>
    <row r="3056" spans="1:18">
      <c r="A3056" s="2" t="s">
        <v>7363</v>
      </c>
      <c r="B3056" s="2" t="s">
        <v>1587</v>
      </c>
      <c r="C3056" s="1">
        <v>43833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  <c r="L3056" s="2" t="s">
        <v>11031</v>
      </c>
      <c r="M3056" s="2" t="s">
        <v>11031</v>
      </c>
      <c r="N3056" s="2" t="s">
        <v>11038</v>
      </c>
      <c r="O3056" s="2" t="s">
        <v>11037</v>
      </c>
      <c r="P3056" s="2" t="s">
        <v>11035</v>
      </c>
      <c r="Q3056" s="2">
        <f>AVERAGE(PerfRate[[#This Row],[EnvironmentSatisfaction]],PerfRate[[#This Row],[JobSatisfaction]],PerfRate[[#This Row],[RelationshipSatisfaction]])</f>
        <v>3.6666666666666665</v>
      </c>
      <c r="R3056" s="2">
        <f>PerfRate[[#This Row],[ManagerRating]] - PerfRate[[#This Row],[SelfRating]]</f>
        <v>0</v>
      </c>
    </row>
    <row r="3057" spans="1:18">
      <c r="A3057" s="2" t="s">
        <v>7364</v>
      </c>
      <c r="B3057" s="2" t="s">
        <v>2351</v>
      </c>
      <c r="C3057" s="1">
        <v>43864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  <c r="L3057" s="2" t="s">
        <v>11029</v>
      </c>
      <c r="M3057" s="2" t="s">
        <v>11028</v>
      </c>
      <c r="N3057" s="2" t="s">
        <v>11037</v>
      </c>
      <c r="O3057" s="2" t="s">
        <v>11036</v>
      </c>
      <c r="P3057" s="2" t="s">
        <v>11038</v>
      </c>
      <c r="Q3057" s="2">
        <f>AVERAGE(PerfRate[[#This Row],[EnvironmentSatisfaction]],PerfRate[[#This Row],[JobSatisfaction]],PerfRate[[#This Row],[RelationshipSatisfaction]])</f>
        <v>4</v>
      </c>
      <c r="R3057" s="2">
        <f>PerfRate[[#This Row],[ManagerRating]] - PerfRate[[#This Row],[SelfRating]]</f>
        <v>-1</v>
      </c>
    </row>
    <row r="3058" spans="1:18">
      <c r="A3058" s="2" t="s">
        <v>7365</v>
      </c>
      <c r="B3058" s="2" t="s">
        <v>550</v>
      </c>
      <c r="C3058" s="1">
        <v>43864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  <c r="L3058" s="2" t="s">
        <v>11029</v>
      </c>
      <c r="M3058" s="2" t="s">
        <v>11028</v>
      </c>
      <c r="N3058" s="2" t="s">
        <v>11038</v>
      </c>
      <c r="O3058" s="2" t="s">
        <v>11036</v>
      </c>
      <c r="P3058" s="2" t="s">
        <v>11037</v>
      </c>
      <c r="Q3058" s="2">
        <f>AVERAGE(PerfRate[[#This Row],[EnvironmentSatisfaction]],PerfRate[[#This Row],[JobSatisfaction]],PerfRate[[#This Row],[RelationshipSatisfaction]])</f>
        <v>4</v>
      </c>
      <c r="R3058" s="2">
        <f>PerfRate[[#This Row],[ManagerRating]] - PerfRate[[#This Row],[SelfRating]]</f>
        <v>-1</v>
      </c>
    </row>
    <row r="3059" spans="1:18">
      <c r="A3059" s="2" t="s">
        <v>7366</v>
      </c>
      <c r="B3059" s="2" t="s">
        <v>1704</v>
      </c>
      <c r="C3059" s="1">
        <v>43864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  <c r="L3059" s="2" t="s">
        <v>11029</v>
      </c>
      <c r="M3059" s="2" t="s">
        <v>11028</v>
      </c>
      <c r="N3059" s="2" t="s">
        <v>11037</v>
      </c>
      <c r="O3059" s="2" t="s">
        <v>11035</v>
      </c>
      <c r="P3059" s="2" t="s">
        <v>11035</v>
      </c>
      <c r="Q3059" s="2">
        <f>AVERAGE(PerfRate[[#This Row],[EnvironmentSatisfaction]],PerfRate[[#This Row],[JobSatisfaction]],PerfRate[[#This Row],[RelationshipSatisfaction]])</f>
        <v>2.6666666666666665</v>
      </c>
      <c r="R3059" s="2">
        <f>PerfRate[[#This Row],[ManagerRating]] - PerfRate[[#This Row],[SelfRating]]</f>
        <v>-1</v>
      </c>
    </row>
    <row r="3060" spans="1:18">
      <c r="A3060" s="2" t="s">
        <v>7367</v>
      </c>
      <c r="B3060" s="2" t="s">
        <v>341</v>
      </c>
      <c r="C3060" s="1">
        <v>43864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  <c r="L3060" s="2" t="s">
        <v>11031</v>
      </c>
      <c r="M3060" s="2" t="s">
        <v>11031</v>
      </c>
      <c r="N3060" s="2" t="s">
        <v>11036</v>
      </c>
      <c r="O3060" s="2" t="s">
        <v>11035</v>
      </c>
      <c r="P3060" s="2" t="s">
        <v>11035</v>
      </c>
      <c r="Q3060" s="2">
        <f>AVERAGE(PerfRate[[#This Row],[EnvironmentSatisfaction]],PerfRate[[#This Row],[JobSatisfaction]],PerfRate[[#This Row],[RelationshipSatisfaction]])</f>
        <v>2.3333333333333335</v>
      </c>
      <c r="R3060" s="2">
        <f>PerfRate[[#This Row],[ManagerRating]] - PerfRate[[#This Row],[SelfRating]]</f>
        <v>0</v>
      </c>
    </row>
    <row r="3061" spans="1:18">
      <c r="A3061" s="2" t="s">
        <v>7368</v>
      </c>
      <c r="B3061" s="2" t="s">
        <v>2395</v>
      </c>
      <c r="C3061" s="1">
        <v>43864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  <c r="L3061" s="2" t="s">
        <v>11031</v>
      </c>
      <c r="M3061" s="2" t="s">
        <v>11030</v>
      </c>
      <c r="N3061" s="2" t="s">
        <v>11036</v>
      </c>
      <c r="O3061" s="2" t="s">
        <v>11037</v>
      </c>
      <c r="P3061" s="2" t="s">
        <v>11035</v>
      </c>
      <c r="Q3061" s="2">
        <f>AVERAGE(PerfRate[[#This Row],[EnvironmentSatisfaction]],PerfRate[[#This Row],[JobSatisfaction]],PerfRate[[#This Row],[RelationshipSatisfaction]])</f>
        <v>3</v>
      </c>
      <c r="R3061" s="2">
        <f>PerfRate[[#This Row],[ManagerRating]] - PerfRate[[#This Row],[SelfRating]]</f>
        <v>-1</v>
      </c>
    </row>
    <row r="3062" spans="1:18">
      <c r="A3062" s="2" t="s">
        <v>7369</v>
      </c>
      <c r="B3062" s="2" t="s">
        <v>3457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  <c r="L3062" s="2" t="s">
        <v>11031</v>
      </c>
      <c r="M3062" s="2" t="s">
        <v>11030</v>
      </c>
      <c r="N3062" s="2" t="s">
        <v>11038</v>
      </c>
      <c r="O3062" s="2" t="s">
        <v>11035</v>
      </c>
      <c r="P3062" s="2" t="s">
        <v>11035</v>
      </c>
      <c r="Q3062" s="2">
        <f>AVERAGE(PerfRate[[#This Row],[EnvironmentSatisfaction]],PerfRate[[#This Row],[JobSatisfaction]],PerfRate[[#This Row],[RelationshipSatisfaction]])</f>
        <v>3</v>
      </c>
      <c r="R3062" s="2">
        <f>PerfRate[[#This Row],[ManagerRating]] - PerfRate[[#This Row],[SelfRating]]</f>
        <v>-1</v>
      </c>
    </row>
    <row r="3063" spans="1:18">
      <c r="A3063" s="2" t="s">
        <v>7370</v>
      </c>
      <c r="B3063" s="2" t="s">
        <v>2198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  <c r="L3063" s="2" t="s">
        <v>11029</v>
      </c>
      <c r="M3063" s="2" t="s">
        <v>11028</v>
      </c>
      <c r="N3063" s="2" t="s">
        <v>11038</v>
      </c>
      <c r="O3063" s="2" t="s">
        <v>11038</v>
      </c>
      <c r="P3063" s="2" t="s">
        <v>11038</v>
      </c>
      <c r="Q3063" s="2">
        <f>AVERAGE(PerfRate[[#This Row],[EnvironmentSatisfaction]],PerfRate[[#This Row],[JobSatisfaction]],PerfRate[[#This Row],[RelationshipSatisfaction]])</f>
        <v>5</v>
      </c>
      <c r="R3063" s="2">
        <f>PerfRate[[#This Row],[ManagerRating]] - PerfRate[[#This Row],[SelfRating]]</f>
        <v>-1</v>
      </c>
    </row>
    <row r="3064" spans="1:18">
      <c r="A3064" s="2" t="s">
        <v>7371</v>
      </c>
      <c r="B3064" s="2" t="s">
        <v>958</v>
      </c>
      <c r="C3064" s="1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  <c r="L3064" s="2" t="s">
        <v>11031</v>
      </c>
      <c r="M3064" s="2" t="s">
        <v>11031</v>
      </c>
      <c r="N3064" s="2" t="s">
        <v>11037</v>
      </c>
      <c r="O3064" s="2" t="s">
        <v>11035</v>
      </c>
      <c r="P3064" s="2" t="s">
        <v>11038</v>
      </c>
      <c r="Q3064" s="2">
        <f>AVERAGE(PerfRate[[#This Row],[EnvironmentSatisfaction]],PerfRate[[#This Row],[JobSatisfaction]],PerfRate[[#This Row],[RelationshipSatisfaction]])</f>
        <v>3.6666666666666665</v>
      </c>
      <c r="R3064" s="2">
        <f>PerfRate[[#This Row],[ManagerRating]] - PerfRate[[#This Row],[SelfRating]]</f>
        <v>0</v>
      </c>
    </row>
    <row r="3065" spans="1:18">
      <c r="A3065" s="2" t="s">
        <v>7372</v>
      </c>
      <c r="B3065" s="2" t="s">
        <v>580</v>
      </c>
      <c r="C3065" s="1">
        <v>43924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  <c r="L3065" s="2" t="s">
        <v>11029</v>
      </c>
      <c r="M3065" s="2" t="s">
        <v>11028</v>
      </c>
      <c r="N3065" s="2" t="s">
        <v>11038</v>
      </c>
      <c r="O3065" s="2" t="s">
        <v>11036</v>
      </c>
      <c r="P3065" s="2" t="s">
        <v>11037</v>
      </c>
      <c r="Q3065" s="2">
        <f>AVERAGE(PerfRate[[#This Row],[EnvironmentSatisfaction]],PerfRate[[#This Row],[JobSatisfaction]],PerfRate[[#This Row],[RelationshipSatisfaction]])</f>
        <v>4</v>
      </c>
      <c r="R3065" s="2">
        <f>PerfRate[[#This Row],[ManagerRating]] - PerfRate[[#This Row],[SelfRating]]</f>
        <v>-1</v>
      </c>
    </row>
    <row r="3066" spans="1:18">
      <c r="A3066" s="2" t="s">
        <v>7373</v>
      </c>
      <c r="B3066" s="2" t="s">
        <v>1365</v>
      </c>
      <c r="C3066" s="1">
        <v>43924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  <c r="L3066" s="2" t="s">
        <v>11029</v>
      </c>
      <c r="M3066" s="2" t="s">
        <v>11028</v>
      </c>
      <c r="N3066" s="2" t="s">
        <v>11037</v>
      </c>
      <c r="O3066" s="2" t="s">
        <v>11036</v>
      </c>
      <c r="P3066" s="2" t="s">
        <v>11038</v>
      </c>
      <c r="Q3066" s="2">
        <f>AVERAGE(PerfRate[[#This Row],[EnvironmentSatisfaction]],PerfRate[[#This Row],[JobSatisfaction]],PerfRate[[#This Row],[RelationshipSatisfaction]])</f>
        <v>4</v>
      </c>
      <c r="R3066" s="2">
        <f>PerfRate[[#This Row],[ManagerRating]] - PerfRate[[#This Row],[SelfRating]]</f>
        <v>-1</v>
      </c>
    </row>
    <row r="3067" spans="1:18">
      <c r="A3067" s="2" t="s">
        <v>7374</v>
      </c>
      <c r="B3067" s="2" t="s">
        <v>347</v>
      </c>
      <c r="C3067" s="1">
        <v>43924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  <c r="L3067" s="2" t="s">
        <v>11030</v>
      </c>
      <c r="M3067" s="2" t="s">
        <v>11029</v>
      </c>
      <c r="N3067" s="2" t="s">
        <v>11036</v>
      </c>
      <c r="O3067" s="2" t="s">
        <v>11036</v>
      </c>
      <c r="P3067" s="2" t="s">
        <v>11037</v>
      </c>
      <c r="Q3067" s="2">
        <f>AVERAGE(PerfRate[[#This Row],[EnvironmentSatisfaction]],PerfRate[[#This Row],[JobSatisfaction]],PerfRate[[#This Row],[RelationshipSatisfaction]])</f>
        <v>3.3333333333333335</v>
      </c>
      <c r="R3067" s="2">
        <f>PerfRate[[#This Row],[ManagerRating]] - PerfRate[[#This Row],[SelfRating]]</f>
        <v>-1</v>
      </c>
    </row>
    <row r="3068" spans="1:18">
      <c r="A3068" s="2" t="s">
        <v>7375</v>
      </c>
      <c r="B3068" s="2" t="s">
        <v>470</v>
      </c>
      <c r="C3068" s="1">
        <v>43924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  <c r="L3068" s="2" t="s">
        <v>11029</v>
      </c>
      <c r="M3068" s="2" t="s">
        <v>11028</v>
      </c>
      <c r="N3068" s="2" t="s">
        <v>11036</v>
      </c>
      <c r="O3068" s="2" t="s">
        <v>11037</v>
      </c>
      <c r="P3068" s="2" t="s">
        <v>11035</v>
      </c>
      <c r="Q3068" s="2">
        <f>AVERAGE(PerfRate[[#This Row],[EnvironmentSatisfaction]],PerfRate[[#This Row],[JobSatisfaction]],PerfRate[[#This Row],[RelationshipSatisfaction]])</f>
        <v>3</v>
      </c>
      <c r="R3068" s="2">
        <f>PerfRate[[#This Row],[ManagerRating]] - PerfRate[[#This Row],[SelfRating]]</f>
        <v>-1</v>
      </c>
    </row>
    <row r="3069" spans="1:18">
      <c r="A3069" s="2" t="s">
        <v>7376</v>
      </c>
      <c r="B3069" s="2" t="s">
        <v>1491</v>
      </c>
      <c r="C3069" s="1">
        <v>43924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  <c r="L3069" s="2" t="s">
        <v>11030</v>
      </c>
      <c r="M3069" s="2" t="s">
        <v>11030</v>
      </c>
      <c r="N3069" s="2" t="s">
        <v>11037</v>
      </c>
      <c r="O3069" s="2" t="s">
        <v>11035</v>
      </c>
      <c r="P3069" s="2" t="s">
        <v>11036</v>
      </c>
      <c r="Q3069" s="2">
        <f>AVERAGE(PerfRate[[#This Row],[EnvironmentSatisfaction]],PerfRate[[#This Row],[JobSatisfaction]],PerfRate[[#This Row],[RelationshipSatisfaction]])</f>
        <v>3</v>
      </c>
      <c r="R3069" s="2">
        <f>PerfRate[[#This Row],[ManagerRating]] - PerfRate[[#This Row],[SelfRating]]</f>
        <v>0</v>
      </c>
    </row>
    <row r="3070" spans="1:18">
      <c r="A3070" s="2" t="s">
        <v>7377</v>
      </c>
      <c r="B3070" s="2" t="s">
        <v>2287</v>
      </c>
      <c r="C3070" s="1">
        <v>43924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  <c r="L3070" s="2" t="s">
        <v>11030</v>
      </c>
      <c r="M3070" s="2" t="s">
        <v>11029</v>
      </c>
      <c r="N3070" s="2" t="s">
        <v>11038</v>
      </c>
      <c r="O3070" s="2" t="s">
        <v>11035</v>
      </c>
      <c r="P3070" s="2" t="s">
        <v>11037</v>
      </c>
      <c r="Q3070" s="2">
        <f>AVERAGE(PerfRate[[#This Row],[EnvironmentSatisfaction]],PerfRate[[#This Row],[JobSatisfaction]],PerfRate[[#This Row],[RelationshipSatisfaction]])</f>
        <v>3.6666666666666665</v>
      </c>
      <c r="R3070" s="2">
        <f>PerfRate[[#This Row],[ManagerRating]] - PerfRate[[#This Row],[SelfRating]]</f>
        <v>-1</v>
      </c>
    </row>
    <row r="3071" spans="1:18">
      <c r="A3071" s="2" t="s">
        <v>7378</v>
      </c>
      <c r="B3071" s="2" t="s">
        <v>407</v>
      </c>
      <c r="C3071" s="1">
        <v>43954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  <c r="L3071" s="2" t="s">
        <v>11031</v>
      </c>
      <c r="M3071" s="2" t="s">
        <v>11030</v>
      </c>
      <c r="N3071" s="2" t="s">
        <v>11036</v>
      </c>
      <c r="O3071" s="2" t="s">
        <v>11037</v>
      </c>
      <c r="P3071" s="2" t="s">
        <v>11036</v>
      </c>
      <c r="Q3071" s="2">
        <f>AVERAGE(PerfRate[[#This Row],[EnvironmentSatisfaction]],PerfRate[[#This Row],[JobSatisfaction]],PerfRate[[#This Row],[RelationshipSatisfaction]])</f>
        <v>3.3333333333333335</v>
      </c>
      <c r="R3071" s="2">
        <f>PerfRate[[#This Row],[ManagerRating]] - PerfRate[[#This Row],[SelfRating]]</f>
        <v>-1</v>
      </c>
    </row>
    <row r="3072" spans="1:18">
      <c r="A3072" s="2" t="s">
        <v>7379</v>
      </c>
      <c r="B3072" s="2" t="s">
        <v>1082</v>
      </c>
      <c r="C3072" s="1">
        <v>43954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  <c r="L3072" s="2" t="s">
        <v>11030</v>
      </c>
      <c r="M3072" s="2" t="s">
        <v>11029</v>
      </c>
      <c r="N3072" s="2" t="s">
        <v>11037</v>
      </c>
      <c r="O3072" s="2" t="s">
        <v>11037</v>
      </c>
      <c r="P3072" s="2" t="s">
        <v>11038</v>
      </c>
      <c r="Q3072" s="2">
        <f>AVERAGE(PerfRate[[#This Row],[EnvironmentSatisfaction]],PerfRate[[#This Row],[JobSatisfaction]],PerfRate[[#This Row],[RelationshipSatisfaction]])</f>
        <v>4.333333333333333</v>
      </c>
      <c r="R3072" s="2">
        <f>PerfRate[[#This Row],[ManagerRating]] - PerfRate[[#This Row],[SelfRating]]</f>
        <v>-1</v>
      </c>
    </row>
    <row r="3073" spans="1:18">
      <c r="A3073" s="2" t="s">
        <v>7380</v>
      </c>
      <c r="B3073" s="2" t="s">
        <v>2879</v>
      </c>
      <c r="C3073" s="1">
        <v>43954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  <c r="L3073" s="2" t="s">
        <v>11029</v>
      </c>
      <c r="M3073" s="2" t="s">
        <v>11029</v>
      </c>
      <c r="N3073" s="2" t="s">
        <v>11036</v>
      </c>
      <c r="O3073" s="2" t="s">
        <v>11038</v>
      </c>
      <c r="P3073" s="2" t="s">
        <v>11036</v>
      </c>
      <c r="Q3073" s="2">
        <f>AVERAGE(PerfRate[[#This Row],[EnvironmentSatisfaction]],PerfRate[[#This Row],[JobSatisfaction]],PerfRate[[#This Row],[RelationshipSatisfaction]])</f>
        <v>3.6666666666666665</v>
      </c>
      <c r="R3073" s="2">
        <f>PerfRate[[#This Row],[ManagerRating]] - PerfRate[[#This Row],[SelfRating]]</f>
        <v>0</v>
      </c>
    </row>
    <row r="3074" spans="1:18">
      <c r="A3074" s="2" t="s">
        <v>7381</v>
      </c>
      <c r="B3074" s="2" t="s">
        <v>1652</v>
      </c>
      <c r="C3074" s="1">
        <v>43954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  <c r="L3074" s="2" t="s">
        <v>11030</v>
      </c>
      <c r="M3074" s="2" t="s">
        <v>11030</v>
      </c>
      <c r="N3074" s="2" t="s">
        <v>11037</v>
      </c>
      <c r="O3074" s="2" t="s">
        <v>11035</v>
      </c>
      <c r="P3074" s="2" t="s">
        <v>11037</v>
      </c>
      <c r="Q3074" s="2">
        <f>AVERAGE(PerfRate[[#This Row],[EnvironmentSatisfaction]],PerfRate[[#This Row],[JobSatisfaction]],PerfRate[[#This Row],[RelationshipSatisfaction]])</f>
        <v>3.3333333333333335</v>
      </c>
      <c r="R3074" s="2">
        <f>PerfRate[[#This Row],[ManagerRating]] - PerfRate[[#This Row],[SelfRating]]</f>
        <v>0</v>
      </c>
    </row>
    <row r="3075" spans="1:18">
      <c r="A3075" s="2" t="s">
        <v>7382</v>
      </c>
      <c r="B3075" s="2" t="s">
        <v>35</v>
      </c>
      <c r="C3075" s="1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  <c r="L3075" s="2" t="s">
        <v>11030</v>
      </c>
      <c r="M3075" s="2" t="s">
        <v>11030</v>
      </c>
      <c r="N3075" s="2" t="s">
        <v>11038</v>
      </c>
      <c r="O3075" s="2" t="s">
        <v>11038</v>
      </c>
      <c r="P3075" s="2" t="s">
        <v>11037</v>
      </c>
      <c r="Q3075" s="2">
        <f>AVERAGE(PerfRate[[#This Row],[EnvironmentSatisfaction]],PerfRate[[#This Row],[JobSatisfaction]],PerfRate[[#This Row],[RelationshipSatisfaction]])</f>
        <v>4.666666666666667</v>
      </c>
      <c r="R3075" s="2">
        <f>PerfRate[[#This Row],[ManagerRating]] - PerfRate[[#This Row],[SelfRating]]</f>
        <v>0</v>
      </c>
    </row>
    <row r="3076" spans="1:18">
      <c r="A3076" s="2" t="s">
        <v>7383</v>
      </c>
      <c r="B3076" s="2" t="s">
        <v>2077</v>
      </c>
      <c r="C3076" s="1">
        <v>43954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  <c r="L3076" s="2" t="s">
        <v>11029</v>
      </c>
      <c r="M3076" s="2" t="s">
        <v>11029</v>
      </c>
      <c r="N3076" s="2" t="s">
        <v>11038</v>
      </c>
      <c r="O3076" s="2" t="s">
        <v>11036</v>
      </c>
      <c r="P3076" s="2" t="s">
        <v>11035</v>
      </c>
      <c r="Q3076" s="2">
        <f>AVERAGE(PerfRate[[#This Row],[EnvironmentSatisfaction]],PerfRate[[#This Row],[JobSatisfaction]],PerfRate[[#This Row],[RelationshipSatisfaction]])</f>
        <v>3.3333333333333335</v>
      </c>
      <c r="R3076" s="2">
        <f>PerfRate[[#This Row],[ManagerRating]] - PerfRate[[#This Row],[SelfRating]]</f>
        <v>0</v>
      </c>
    </row>
    <row r="3077" spans="1:18">
      <c r="A3077" s="2" t="s">
        <v>7384</v>
      </c>
      <c r="B3077" s="2" t="s">
        <v>2478</v>
      </c>
      <c r="C3077" s="1">
        <v>43954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  <c r="L3077" s="2" t="s">
        <v>11030</v>
      </c>
      <c r="M3077" s="2" t="s">
        <v>11030</v>
      </c>
      <c r="N3077" s="2" t="s">
        <v>11037</v>
      </c>
      <c r="O3077" s="2" t="s">
        <v>11035</v>
      </c>
      <c r="P3077" s="2" t="s">
        <v>11036</v>
      </c>
      <c r="Q3077" s="2">
        <f>AVERAGE(PerfRate[[#This Row],[EnvironmentSatisfaction]],PerfRate[[#This Row],[JobSatisfaction]],PerfRate[[#This Row],[RelationshipSatisfaction]])</f>
        <v>3</v>
      </c>
      <c r="R3077" s="2">
        <f>PerfRate[[#This Row],[ManagerRating]] - PerfRate[[#This Row],[SelfRating]]</f>
        <v>0</v>
      </c>
    </row>
    <row r="3078" spans="1:18">
      <c r="A3078" s="2" t="s">
        <v>7385</v>
      </c>
      <c r="B3078" s="2" t="s">
        <v>3028</v>
      </c>
      <c r="C3078" s="1">
        <v>43954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  <c r="L3078" s="2" t="s">
        <v>11031</v>
      </c>
      <c r="M3078" s="2" t="s">
        <v>11030</v>
      </c>
      <c r="N3078" s="2" t="s">
        <v>11036</v>
      </c>
      <c r="O3078" s="2" t="s">
        <v>11035</v>
      </c>
      <c r="P3078" s="2" t="s">
        <v>11038</v>
      </c>
      <c r="Q3078" s="2">
        <f>AVERAGE(PerfRate[[#This Row],[EnvironmentSatisfaction]],PerfRate[[#This Row],[JobSatisfaction]],PerfRate[[#This Row],[RelationshipSatisfaction]])</f>
        <v>3.3333333333333335</v>
      </c>
      <c r="R3078" s="2">
        <f>PerfRate[[#This Row],[ManagerRating]] - PerfRate[[#This Row],[SelfRating]]</f>
        <v>-1</v>
      </c>
    </row>
    <row r="3079" spans="1:18">
      <c r="A3079" s="2" t="s">
        <v>7386</v>
      </c>
      <c r="B3079" s="2" t="s">
        <v>838</v>
      </c>
      <c r="C3079" s="1">
        <v>43985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  <c r="L3079" s="2" t="s">
        <v>11030</v>
      </c>
      <c r="M3079" s="2" t="s">
        <v>11029</v>
      </c>
      <c r="N3079" s="2" t="s">
        <v>11037</v>
      </c>
      <c r="O3079" s="2" t="s">
        <v>11036</v>
      </c>
      <c r="P3079" s="2" t="s">
        <v>11036</v>
      </c>
      <c r="Q3079" s="2">
        <f>AVERAGE(PerfRate[[#This Row],[EnvironmentSatisfaction]],PerfRate[[#This Row],[JobSatisfaction]],PerfRate[[#This Row],[RelationshipSatisfaction]])</f>
        <v>3.3333333333333335</v>
      </c>
      <c r="R3079" s="2">
        <f>PerfRate[[#This Row],[ManagerRating]] - PerfRate[[#This Row],[SelfRating]]</f>
        <v>-1</v>
      </c>
    </row>
    <row r="3080" spans="1:18">
      <c r="A3080" s="2" t="s">
        <v>7387</v>
      </c>
      <c r="B3080" s="2" t="s">
        <v>1674</v>
      </c>
      <c r="C3080" s="1">
        <v>43985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  <c r="L3080" s="2" t="s">
        <v>11029</v>
      </c>
      <c r="M3080" s="2" t="s">
        <v>11028</v>
      </c>
      <c r="N3080" s="2" t="s">
        <v>11036</v>
      </c>
      <c r="O3080" s="2" t="s">
        <v>11038</v>
      </c>
      <c r="P3080" s="2" t="s">
        <v>11036</v>
      </c>
      <c r="Q3080" s="2">
        <f>AVERAGE(PerfRate[[#This Row],[EnvironmentSatisfaction]],PerfRate[[#This Row],[JobSatisfaction]],PerfRate[[#This Row],[RelationshipSatisfaction]])</f>
        <v>3.6666666666666665</v>
      </c>
      <c r="R3080" s="2">
        <f>PerfRate[[#This Row],[ManagerRating]] - PerfRate[[#This Row],[SelfRating]]</f>
        <v>-1</v>
      </c>
    </row>
    <row r="3081" spans="1:18">
      <c r="A3081" s="2" t="s">
        <v>7388</v>
      </c>
      <c r="B3081" s="2" t="s">
        <v>86</v>
      </c>
      <c r="C3081" s="1">
        <v>43985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  <c r="L3081" s="2" t="s">
        <v>11029</v>
      </c>
      <c r="M3081" s="2" t="s">
        <v>11028</v>
      </c>
      <c r="N3081" s="2" t="s">
        <v>11036</v>
      </c>
      <c r="O3081" s="2" t="s">
        <v>11036</v>
      </c>
      <c r="P3081" s="2" t="s">
        <v>11036</v>
      </c>
      <c r="Q3081" s="2">
        <f>AVERAGE(PerfRate[[#This Row],[EnvironmentSatisfaction]],PerfRate[[#This Row],[JobSatisfaction]],PerfRate[[#This Row],[RelationshipSatisfaction]])</f>
        <v>3</v>
      </c>
      <c r="R3081" s="2">
        <f>PerfRate[[#This Row],[ManagerRating]] - PerfRate[[#This Row],[SelfRating]]</f>
        <v>-1</v>
      </c>
    </row>
    <row r="3082" spans="1:18">
      <c r="A3082" s="2" t="s">
        <v>7389</v>
      </c>
      <c r="B3082" s="2" t="s">
        <v>4183</v>
      </c>
      <c r="C3082" s="1">
        <v>43985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  <c r="L3082" s="2" t="s">
        <v>11030</v>
      </c>
      <c r="M3082" s="2" t="s">
        <v>11029</v>
      </c>
      <c r="N3082" s="2" t="s">
        <v>11038</v>
      </c>
      <c r="O3082" s="2" t="s">
        <v>11037</v>
      </c>
      <c r="P3082" s="2" t="s">
        <v>11037</v>
      </c>
      <c r="Q3082" s="2">
        <f>AVERAGE(PerfRate[[#This Row],[EnvironmentSatisfaction]],PerfRate[[#This Row],[JobSatisfaction]],PerfRate[[#This Row],[RelationshipSatisfaction]])</f>
        <v>4.333333333333333</v>
      </c>
      <c r="R3082" s="2">
        <f>PerfRate[[#This Row],[ManagerRating]] - PerfRate[[#This Row],[SelfRating]]</f>
        <v>-1</v>
      </c>
    </row>
    <row r="3083" spans="1:18">
      <c r="A3083" s="2" t="s">
        <v>7390</v>
      </c>
      <c r="B3083" s="2" t="s">
        <v>2222</v>
      </c>
      <c r="C3083" s="1">
        <v>43985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  <c r="L3083" s="2" t="s">
        <v>11029</v>
      </c>
      <c r="M3083" s="2" t="s">
        <v>11029</v>
      </c>
      <c r="N3083" s="2" t="s">
        <v>11038</v>
      </c>
      <c r="O3083" s="2" t="s">
        <v>11036</v>
      </c>
      <c r="P3083" s="2" t="s">
        <v>11035</v>
      </c>
      <c r="Q3083" s="2">
        <f>AVERAGE(PerfRate[[#This Row],[EnvironmentSatisfaction]],PerfRate[[#This Row],[JobSatisfaction]],PerfRate[[#This Row],[RelationshipSatisfaction]])</f>
        <v>3.3333333333333335</v>
      </c>
      <c r="R3083" s="2">
        <f>PerfRate[[#This Row],[ManagerRating]] - PerfRate[[#This Row],[SelfRating]]</f>
        <v>0</v>
      </c>
    </row>
    <row r="3084" spans="1:18">
      <c r="A3084" s="2" t="s">
        <v>7391</v>
      </c>
      <c r="B3084" s="2" t="s">
        <v>1359</v>
      </c>
      <c r="C3084" s="1">
        <v>44015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  <c r="L3084" s="2" t="s">
        <v>11031</v>
      </c>
      <c r="M3084" s="2" t="s">
        <v>11030</v>
      </c>
      <c r="N3084" s="2" t="s">
        <v>11038</v>
      </c>
      <c r="O3084" s="2" t="s">
        <v>11037</v>
      </c>
      <c r="P3084" s="2" t="s">
        <v>11038</v>
      </c>
      <c r="Q3084" s="2">
        <f>AVERAGE(PerfRate[[#This Row],[EnvironmentSatisfaction]],PerfRate[[#This Row],[JobSatisfaction]],PerfRate[[#This Row],[RelationshipSatisfaction]])</f>
        <v>4.666666666666667</v>
      </c>
      <c r="R3084" s="2">
        <f>PerfRate[[#This Row],[ManagerRating]] - PerfRate[[#This Row],[SelfRating]]</f>
        <v>-1</v>
      </c>
    </row>
    <row r="3085" spans="1:18">
      <c r="A3085" s="2" t="s">
        <v>7392</v>
      </c>
      <c r="B3085" s="2" t="s">
        <v>800</v>
      </c>
      <c r="C3085" s="1">
        <v>44046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  <c r="L3085" s="2" t="s">
        <v>11029</v>
      </c>
      <c r="M3085" s="2" t="s">
        <v>11028</v>
      </c>
      <c r="N3085" s="2" t="s">
        <v>11036</v>
      </c>
      <c r="O3085" s="2" t="s">
        <v>11038</v>
      </c>
      <c r="P3085" s="2" t="s">
        <v>11036</v>
      </c>
      <c r="Q3085" s="2">
        <f>AVERAGE(PerfRate[[#This Row],[EnvironmentSatisfaction]],PerfRate[[#This Row],[JobSatisfaction]],PerfRate[[#This Row],[RelationshipSatisfaction]])</f>
        <v>3.6666666666666665</v>
      </c>
      <c r="R3085" s="2">
        <f>PerfRate[[#This Row],[ManagerRating]] - PerfRate[[#This Row],[SelfRating]]</f>
        <v>-1</v>
      </c>
    </row>
    <row r="3086" spans="1:18">
      <c r="A3086" s="2" t="s">
        <v>7393</v>
      </c>
      <c r="B3086" s="2" t="s">
        <v>2545</v>
      </c>
      <c r="C3086" s="1">
        <v>41767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  <c r="L3086" s="2" t="s">
        <v>11030</v>
      </c>
      <c r="M3086" s="2" t="s">
        <v>11029</v>
      </c>
      <c r="N3086" s="2" t="s">
        <v>11038</v>
      </c>
      <c r="O3086" s="2" t="s">
        <v>11037</v>
      </c>
      <c r="P3086" s="2" t="s">
        <v>11037</v>
      </c>
      <c r="Q3086" s="2">
        <f>AVERAGE(PerfRate[[#This Row],[EnvironmentSatisfaction]],PerfRate[[#This Row],[JobSatisfaction]],PerfRate[[#This Row],[RelationshipSatisfaction]])</f>
        <v>4.333333333333333</v>
      </c>
      <c r="R3086" s="2">
        <f>PerfRate[[#This Row],[ManagerRating]] - PerfRate[[#This Row],[SelfRating]]</f>
        <v>-1</v>
      </c>
    </row>
    <row r="3087" spans="1:18">
      <c r="A3087" s="2" t="s">
        <v>7394</v>
      </c>
      <c r="B3087" s="2" t="s">
        <v>192</v>
      </c>
      <c r="C3087" s="1">
        <v>44046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  <c r="L3087" s="2" t="s">
        <v>11031</v>
      </c>
      <c r="M3087" s="2" t="s">
        <v>11030</v>
      </c>
      <c r="N3087" s="2" t="s">
        <v>11037</v>
      </c>
      <c r="O3087" s="2" t="s">
        <v>11035</v>
      </c>
      <c r="P3087" s="2" t="s">
        <v>11038</v>
      </c>
      <c r="Q3087" s="2">
        <f>AVERAGE(PerfRate[[#This Row],[EnvironmentSatisfaction]],PerfRate[[#This Row],[JobSatisfaction]],PerfRate[[#This Row],[RelationshipSatisfaction]])</f>
        <v>3.6666666666666665</v>
      </c>
      <c r="R3087" s="2">
        <f>PerfRate[[#This Row],[ManagerRating]] - PerfRate[[#This Row],[SelfRating]]</f>
        <v>-1</v>
      </c>
    </row>
    <row r="3088" spans="1:18">
      <c r="A3088" s="2" t="s">
        <v>7395</v>
      </c>
      <c r="B3088" s="2" t="s">
        <v>571</v>
      </c>
      <c r="C3088" s="1">
        <v>44046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  <c r="L3088" s="2" t="s">
        <v>11030</v>
      </c>
      <c r="M3088" s="2" t="s">
        <v>11030</v>
      </c>
      <c r="N3088" s="2" t="s">
        <v>11038</v>
      </c>
      <c r="O3088" s="2" t="s">
        <v>11035</v>
      </c>
      <c r="P3088" s="2" t="s">
        <v>11038</v>
      </c>
      <c r="Q3088" s="2">
        <f>AVERAGE(PerfRate[[#This Row],[EnvironmentSatisfaction]],PerfRate[[#This Row],[JobSatisfaction]],PerfRate[[#This Row],[RelationshipSatisfaction]])</f>
        <v>4</v>
      </c>
      <c r="R3088" s="2">
        <f>PerfRate[[#This Row],[ManagerRating]] - PerfRate[[#This Row],[SelfRating]]</f>
        <v>0</v>
      </c>
    </row>
    <row r="3089" spans="1:18">
      <c r="A3089" s="2" t="s">
        <v>7396</v>
      </c>
      <c r="B3089" s="2" t="s">
        <v>4236</v>
      </c>
      <c r="C3089" s="1">
        <v>44077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  <c r="L3089" s="2" t="s">
        <v>11029</v>
      </c>
      <c r="M3089" s="2" t="s">
        <v>11028</v>
      </c>
      <c r="N3089" s="2" t="s">
        <v>11036</v>
      </c>
      <c r="O3089" s="2" t="s">
        <v>11036</v>
      </c>
      <c r="P3089" s="2" t="s">
        <v>11036</v>
      </c>
      <c r="Q3089" s="2">
        <f>AVERAGE(PerfRate[[#This Row],[EnvironmentSatisfaction]],PerfRate[[#This Row],[JobSatisfaction]],PerfRate[[#This Row],[RelationshipSatisfaction]])</f>
        <v>3</v>
      </c>
      <c r="R3089" s="2">
        <f>PerfRate[[#This Row],[ManagerRating]] - PerfRate[[#This Row],[SelfRating]]</f>
        <v>-1</v>
      </c>
    </row>
    <row r="3090" spans="1:18">
      <c r="A3090" s="2" t="s">
        <v>7397</v>
      </c>
      <c r="B3090" s="2" t="s">
        <v>2566</v>
      </c>
      <c r="C3090" s="1">
        <v>44077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  <c r="L3090" s="2" t="s">
        <v>11029</v>
      </c>
      <c r="M3090" s="2" t="s">
        <v>11028</v>
      </c>
      <c r="N3090" s="2" t="s">
        <v>11036</v>
      </c>
      <c r="O3090" s="2" t="s">
        <v>11038</v>
      </c>
      <c r="P3090" s="2" t="s">
        <v>11038</v>
      </c>
      <c r="Q3090" s="2">
        <f>AVERAGE(PerfRate[[#This Row],[EnvironmentSatisfaction]],PerfRate[[#This Row],[JobSatisfaction]],PerfRate[[#This Row],[RelationshipSatisfaction]])</f>
        <v>4.333333333333333</v>
      </c>
      <c r="R3090" s="2">
        <f>PerfRate[[#This Row],[ManagerRating]] - PerfRate[[#This Row],[SelfRating]]</f>
        <v>-1</v>
      </c>
    </row>
    <row r="3091" spans="1:18">
      <c r="A3091" s="2" t="s">
        <v>7398</v>
      </c>
      <c r="B3091" s="2" t="s">
        <v>1939</v>
      </c>
      <c r="C3091" s="1">
        <v>44107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  <c r="L3091" s="2" t="s">
        <v>11029</v>
      </c>
      <c r="M3091" s="2" t="s">
        <v>11029</v>
      </c>
      <c r="N3091" s="2" t="s">
        <v>11037</v>
      </c>
      <c r="O3091" s="2" t="s">
        <v>11036</v>
      </c>
      <c r="P3091" s="2" t="s">
        <v>11035</v>
      </c>
      <c r="Q3091" s="2">
        <f>AVERAGE(PerfRate[[#This Row],[EnvironmentSatisfaction]],PerfRate[[#This Row],[JobSatisfaction]],PerfRate[[#This Row],[RelationshipSatisfaction]])</f>
        <v>3</v>
      </c>
      <c r="R3091" s="2">
        <f>PerfRate[[#This Row],[ManagerRating]] - PerfRate[[#This Row],[SelfRating]]</f>
        <v>0</v>
      </c>
    </row>
    <row r="3092" spans="1:18">
      <c r="A3092" s="2" t="s">
        <v>7399</v>
      </c>
      <c r="B3092" s="2" t="s">
        <v>3425</v>
      </c>
      <c r="C3092" s="1">
        <v>44107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  <c r="L3092" s="2" t="s">
        <v>11030</v>
      </c>
      <c r="M3092" s="2" t="s">
        <v>11030</v>
      </c>
      <c r="N3092" s="2" t="s">
        <v>11037</v>
      </c>
      <c r="O3092" s="2" t="s">
        <v>11038</v>
      </c>
      <c r="P3092" s="2" t="s">
        <v>11035</v>
      </c>
      <c r="Q3092" s="2">
        <f>AVERAGE(PerfRate[[#This Row],[EnvironmentSatisfaction]],PerfRate[[#This Row],[JobSatisfaction]],PerfRate[[#This Row],[RelationshipSatisfaction]])</f>
        <v>3.6666666666666665</v>
      </c>
      <c r="R3092" s="2">
        <f>PerfRate[[#This Row],[ManagerRating]] - PerfRate[[#This Row],[SelfRating]]</f>
        <v>0</v>
      </c>
    </row>
    <row r="3093" spans="1:18">
      <c r="A3093" s="2" t="s">
        <v>7400</v>
      </c>
      <c r="B3093" s="2" t="s">
        <v>2387</v>
      </c>
      <c r="C3093" s="1">
        <v>44107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  <c r="L3093" s="2" t="s">
        <v>11031</v>
      </c>
      <c r="M3093" s="2" t="s">
        <v>11031</v>
      </c>
      <c r="N3093" s="2" t="s">
        <v>11037</v>
      </c>
      <c r="O3093" s="2" t="s">
        <v>11035</v>
      </c>
      <c r="P3093" s="2" t="s">
        <v>11038</v>
      </c>
      <c r="Q3093" s="2">
        <f>AVERAGE(PerfRate[[#This Row],[EnvironmentSatisfaction]],PerfRate[[#This Row],[JobSatisfaction]],PerfRate[[#This Row],[RelationshipSatisfaction]])</f>
        <v>3.6666666666666665</v>
      </c>
      <c r="R3093" s="2">
        <f>PerfRate[[#This Row],[ManagerRating]] - PerfRate[[#This Row],[SelfRating]]</f>
        <v>0</v>
      </c>
    </row>
    <row r="3094" spans="1:18">
      <c r="A3094" s="2" t="s">
        <v>7401</v>
      </c>
      <c r="B3094" s="2" t="s">
        <v>1686</v>
      </c>
      <c r="C3094" s="1">
        <v>44138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  <c r="L3094" s="2" t="s">
        <v>11031</v>
      </c>
      <c r="M3094" s="2" t="s">
        <v>11030</v>
      </c>
      <c r="N3094" s="2" t="s">
        <v>11036</v>
      </c>
      <c r="O3094" s="2" t="s">
        <v>11036</v>
      </c>
      <c r="P3094" s="2" t="s">
        <v>11036</v>
      </c>
      <c r="Q3094" s="2">
        <f>AVERAGE(PerfRate[[#This Row],[EnvironmentSatisfaction]],PerfRate[[#This Row],[JobSatisfaction]],PerfRate[[#This Row],[RelationshipSatisfaction]])</f>
        <v>3</v>
      </c>
      <c r="R3094" s="2">
        <f>PerfRate[[#This Row],[ManagerRating]] - PerfRate[[#This Row],[SelfRating]]</f>
        <v>-1</v>
      </c>
    </row>
    <row r="3095" spans="1:18">
      <c r="A3095" s="2" t="s">
        <v>7402</v>
      </c>
      <c r="B3095" s="2" t="s">
        <v>365</v>
      </c>
      <c r="C3095" s="1">
        <v>44168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  <c r="L3095" s="2" t="s">
        <v>11031</v>
      </c>
      <c r="M3095" s="2" t="s">
        <v>11031</v>
      </c>
      <c r="N3095" s="2" t="s">
        <v>11036</v>
      </c>
      <c r="O3095" s="2" t="s">
        <v>11038</v>
      </c>
      <c r="P3095" s="2" t="s">
        <v>11036</v>
      </c>
      <c r="Q3095" s="2">
        <f>AVERAGE(PerfRate[[#This Row],[EnvironmentSatisfaction]],PerfRate[[#This Row],[JobSatisfaction]],PerfRate[[#This Row],[RelationshipSatisfaction]])</f>
        <v>3.6666666666666665</v>
      </c>
      <c r="R3095" s="2">
        <f>PerfRate[[#This Row],[ManagerRating]] - PerfRate[[#This Row],[SelfRating]]</f>
        <v>0</v>
      </c>
    </row>
    <row r="3096" spans="1:18">
      <c r="A3096" s="2" t="s">
        <v>7403</v>
      </c>
      <c r="B3096" s="2" t="s">
        <v>823</v>
      </c>
      <c r="C3096" s="1">
        <v>44168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  <c r="L3096" s="2" t="s">
        <v>11030</v>
      </c>
      <c r="M3096" s="2" t="s">
        <v>11029</v>
      </c>
      <c r="N3096" s="2" t="s">
        <v>11037</v>
      </c>
      <c r="O3096" s="2" t="s">
        <v>11035</v>
      </c>
      <c r="P3096" s="2" t="s">
        <v>11036</v>
      </c>
      <c r="Q3096" s="2">
        <f>AVERAGE(PerfRate[[#This Row],[EnvironmentSatisfaction]],PerfRate[[#This Row],[JobSatisfaction]],PerfRate[[#This Row],[RelationshipSatisfaction]])</f>
        <v>3</v>
      </c>
      <c r="R3096" s="2">
        <f>PerfRate[[#This Row],[ManagerRating]] - PerfRate[[#This Row],[SelfRating]]</f>
        <v>-1</v>
      </c>
    </row>
    <row r="3097" spans="1:18">
      <c r="A3097" s="2" t="s">
        <v>7404</v>
      </c>
      <c r="B3097" s="2" t="s">
        <v>2599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  <c r="L3097" s="2" t="s">
        <v>11031</v>
      </c>
      <c r="M3097" s="2" t="s">
        <v>11030</v>
      </c>
      <c r="N3097" s="2" t="s">
        <v>11037</v>
      </c>
      <c r="O3097" s="2" t="s">
        <v>11038</v>
      </c>
      <c r="P3097" s="2" t="s">
        <v>11038</v>
      </c>
      <c r="Q3097" s="2">
        <f>AVERAGE(PerfRate[[#This Row],[EnvironmentSatisfaction]],PerfRate[[#This Row],[JobSatisfaction]],PerfRate[[#This Row],[RelationshipSatisfaction]])</f>
        <v>4.666666666666667</v>
      </c>
      <c r="R3097" s="2">
        <f>PerfRate[[#This Row],[ManagerRating]] - PerfRate[[#This Row],[SelfRating]]</f>
        <v>-1</v>
      </c>
    </row>
    <row r="3098" spans="1:18">
      <c r="A3098" s="2" t="s">
        <v>7405</v>
      </c>
      <c r="B3098" s="2" t="s">
        <v>577</v>
      </c>
      <c r="C3098" s="1">
        <v>44168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  <c r="L3098" s="2" t="s">
        <v>11031</v>
      </c>
      <c r="M3098" s="2" t="s">
        <v>11031</v>
      </c>
      <c r="N3098" s="2" t="s">
        <v>11037</v>
      </c>
      <c r="O3098" s="2" t="s">
        <v>11035</v>
      </c>
      <c r="P3098" s="2" t="s">
        <v>11037</v>
      </c>
      <c r="Q3098" s="2">
        <f>AVERAGE(PerfRate[[#This Row],[EnvironmentSatisfaction]],PerfRate[[#This Row],[JobSatisfaction]],PerfRate[[#This Row],[RelationshipSatisfaction]])</f>
        <v>3.3333333333333335</v>
      </c>
      <c r="R3098" s="2">
        <f>PerfRate[[#This Row],[ManagerRating]] - PerfRate[[#This Row],[SelfRating]]</f>
        <v>0</v>
      </c>
    </row>
    <row r="3099" spans="1:18">
      <c r="A3099" s="2" t="s">
        <v>7406</v>
      </c>
      <c r="B3099" s="2" t="s">
        <v>2605</v>
      </c>
      <c r="C3099" s="1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  <c r="L3099" s="2" t="s">
        <v>11031</v>
      </c>
      <c r="M3099" s="2" t="s">
        <v>11031</v>
      </c>
      <c r="N3099" s="2" t="s">
        <v>11038</v>
      </c>
      <c r="O3099" s="2" t="s">
        <v>11037</v>
      </c>
      <c r="P3099" s="2" t="s">
        <v>11035</v>
      </c>
      <c r="Q3099" s="2">
        <f>AVERAGE(PerfRate[[#This Row],[EnvironmentSatisfaction]],PerfRate[[#This Row],[JobSatisfaction]],PerfRate[[#This Row],[RelationshipSatisfaction]])</f>
        <v>3.6666666666666665</v>
      </c>
      <c r="R3099" s="2">
        <f>PerfRate[[#This Row],[ManagerRating]] - PerfRate[[#This Row],[SelfRating]]</f>
        <v>0</v>
      </c>
    </row>
    <row r="3100" spans="1:18">
      <c r="A3100" s="2" t="s">
        <v>7407</v>
      </c>
      <c r="B3100" s="2" t="s">
        <v>520</v>
      </c>
      <c r="C3100" s="1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  <c r="L3100" s="2" t="s">
        <v>11029</v>
      </c>
      <c r="M3100" s="2" t="s">
        <v>11029</v>
      </c>
      <c r="N3100" s="2" t="s">
        <v>11036</v>
      </c>
      <c r="O3100" s="2" t="s">
        <v>11037</v>
      </c>
      <c r="P3100" s="2" t="s">
        <v>11037</v>
      </c>
      <c r="Q3100" s="2">
        <f>AVERAGE(PerfRate[[#This Row],[EnvironmentSatisfaction]],PerfRate[[#This Row],[JobSatisfaction]],PerfRate[[#This Row],[RelationshipSatisfaction]])</f>
        <v>3.6666666666666665</v>
      </c>
      <c r="R3100" s="2">
        <f>PerfRate[[#This Row],[ManagerRating]] - PerfRate[[#This Row],[SelfRating]]</f>
        <v>0</v>
      </c>
    </row>
    <row r="3101" spans="1:18">
      <c r="A3101" s="2" t="s">
        <v>7408</v>
      </c>
      <c r="B3101" s="2" t="s">
        <v>302</v>
      </c>
      <c r="C3101" s="1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  <c r="L3101" s="2" t="s">
        <v>11029</v>
      </c>
      <c r="M3101" s="2" t="s">
        <v>11028</v>
      </c>
      <c r="N3101" s="2" t="s">
        <v>11036</v>
      </c>
      <c r="O3101" s="2" t="s">
        <v>11037</v>
      </c>
      <c r="P3101" s="2" t="s">
        <v>11037</v>
      </c>
      <c r="Q3101" s="2">
        <f>AVERAGE(PerfRate[[#This Row],[EnvironmentSatisfaction]],PerfRate[[#This Row],[JobSatisfaction]],PerfRate[[#This Row],[RelationshipSatisfaction]])</f>
        <v>3.6666666666666665</v>
      </c>
      <c r="R3101" s="2">
        <f>PerfRate[[#This Row],[ManagerRating]] - PerfRate[[#This Row],[SelfRating]]</f>
        <v>-1</v>
      </c>
    </row>
    <row r="3102" spans="1:18">
      <c r="A3102" s="2" t="s">
        <v>7409</v>
      </c>
      <c r="B3102" s="2" t="s">
        <v>1590</v>
      </c>
      <c r="C3102" s="1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  <c r="L3102" s="2" t="s">
        <v>11031</v>
      </c>
      <c r="M3102" s="2" t="s">
        <v>11031</v>
      </c>
      <c r="N3102" s="2" t="s">
        <v>11038</v>
      </c>
      <c r="O3102" s="2" t="s">
        <v>11037</v>
      </c>
      <c r="P3102" s="2" t="s">
        <v>11037</v>
      </c>
      <c r="Q3102" s="2">
        <f>AVERAGE(PerfRate[[#This Row],[EnvironmentSatisfaction]],PerfRate[[#This Row],[JobSatisfaction]],PerfRate[[#This Row],[RelationshipSatisfaction]])</f>
        <v>4.333333333333333</v>
      </c>
      <c r="R3102" s="2">
        <f>PerfRate[[#This Row],[ManagerRating]] - PerfRate[[#This Row],[SelfRating]]</f>
        <v>0</v>
      </c>
    </row>
    <row r="3103" spans="1:18">
      <c r="A3103" s="2" t="s">
        <v>7410</v>
      </c>
      <c r="B3103" s="2" t="s">
        <v>1804</v>
      </c>
      <c r="C3103" s="1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  <c r="L3103" s="2" t="s">
        <v>11029</v>
      </c>
      <c r="M3103" s="2" t="s">
        <v>11029</v>
      </c>
      <c r="N3103" s="2" t="s">
        <v>11036</v>
      </c>
      <c r="O3103" s="2" t="s">
        <v>11038</v>
      </c>
      <c r="P3103" s="2" t="s">
        <v>11036</v>
      </c>
      <c r="Q3103" s="2">
        <f>AVERAGE(PerfRate[[#This Row],[EnvironmentSatisfaction]],PerfRate[[#This Row],[JobSatisfaction]],PerfRate[[#This Row],[RelationshipSatisfaction]])</f>
        <v>3.6666666666666665</v>
      </c>
      <c r="R3103" s="2">
        <f>PerfRate[[#This Row],[ManagerRating]] - PerfRate[[#This Row],[SelfRating]]</f>
        <v>0</v>
      </c>
    </row>
    <row r="3104" spans="1:18">
      <c r="A3104" s="2" t="s">
        <v>7411</v>
      </c>
      <c r="B3104" s="2" t="s">
        <v>1283</v>
      </c>
      <c r="C3104" s="1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  <c r="L3104" s="2" t="s">
        <v>11031</v>
      </c>
      <c r="M3104" s="2" t="s">
        <v>11031</v>
      </c>
      <c r="N3104" s="2" t="s">
        <v>11037</v>
      </c>
      <c r="O3104" s="2" t="s">
        <v>11038</v>
      </c>
      <c r="P3104" s="2" t="s">
        <v>11037</v>
      </c>
      <c r="Q3104" s="2">
        <f>AVERAGE(PerfRate[[#This Row],[EnvironmentSatisfaction]],PerfRate[[#This Row],[JobSatisfaction]],PerfRate[[#This Row],[RelationshipSatisfaction]])</f>
        <v>4.333333333333333</v>
      </c>
      <c r="R3104" s="2">
        <f>PerfRate[[#This Row],[ManagerRating]] - PerfRate[[#This Row],[SelfRating]]</f>
        <v>0</v>
      </c>
    </row>
    <row r="3105" spans="1:18">
      <c r="A3105" s="2" t="s">
        <v>7412</v>
      </c>
      <c r="B3105" s="2" t="s">
        <v>2106</v>
      </c>
      <c r="C3105" s="1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  <c r="L3105" s="2" t="s">
        <v>11030</v>
      </c>
      <c r="M3105" s="2" t="s">
        <v>11029</v>
      </c>
      <c r="N3105" s="2" t="s">
        <v>11038</v>
      </c>
      <c r="O3105" s="2" t="s">
        <v>11036</v>
      </c>
      <c r="P3105" s="2" t="s">
        <v>11036</v>
      </c>
      <c r="Q3105" s="2">
        <f>AVERAGE(PerfRate[[#This Row],[EnvironmentSatisfaction]],PerfRate[[#This Row],[JobSatisfaction]],PerfRate[[#This Row],[RelationshipSatisfaction]])</f>
        <v>3.6666666666666665</v>
      </c>
      <c r="R3105" s="2">
        <f>PerfRate[[#This Row],[ManagerRating]] - PerfRate[[#This Row],[SelfRating]]</f>
        <v>-1</v>
      </c>
    </row>
    <row r="3106" spans="1:18">
      <c r="A3106" s="2" t="s">
        <v>7413</v>
      </c>
      <c r="B3106" s="2" t="s">
        <v>586</v>
      </c>
      <c r="C3106" s="1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  <c r="L3106" s="2" t="s">
        <v>11030</v>
      </c>
      <c r="M3106" s="2" t="s">
        <v>11029</v>
      </c>
      <c r="N3106" s="2" t="s">
        <v>11038</v>
      </c>
      <c r="O3106" s="2" t="s">
        <v>11037</v>
      </c>
      <c r="P3106" s="2" t="s">
        <v>11038</v>
      </c>
      <c r="Q3106" s="2">
        <f>AVERAGE(PerfRate[[#This Row],[EnvironmentSatisfaction]],PerfRate[[#This Row],[JobSatisfaction]],PerfRate[[#This Row],[RelationshipSatisfaction]])</f>
        <v>4.666666666666667</v>
      </c>
      <c r="R3106" s="2">
        <f>PerfRate[[#This Row],[ManagerRating]] - PerfRate[[#This Row],[SelfRating]]</f>
        <v>-1</v>
      </c>
    </row>
    <row r="3107" spans="1:18">
      <c r="A3107" s="2" t="s">
        <v>7414</v>
      </c>
      <c r="B3107" s="2" t="s">
        <v>826</v>
      </c>
      <c r="C3107" s="1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  <c r="L3107" s="2" t="s">
        <v>11029</v>
      </c>
      <c r="M3107" s="2" t="s">
        <v>11028</v>
      </c>
      <c r="N3107" s="2" t="s">
        <v>11037</v>
      </c>
      <c r="O3107" s="2" t="s">
        <v>11035</v>
      </c>
      <c r="P3107" s="2" t="s">
        <v>11035</v>
      </c>
      <c r="Q3107" s="2">
        <f>AVERAGE(PerfRate[[#This Row],[EnvironmentSatisfaction]],PerfRate[[#This Row],[JobSatisfaction]],PerfRate[[#This Row],[RelationshipSatisfaction]])</f>
        <v>2.6666666666666665</v>
      </c>
      <c r="R3107" s="2">
        <f>PerfRate[[#This Row],[ManagerRating]] - PerfRate[[#This Row],[SelfRating]]</f>
        <v>-1</v>
      </c>
    </row>
    <row r="3108" spans="1:18">
      <c r="A3108" s="2" t="s">
        <v>7415</v>
      </c>
      <c r="B3108" s="2" t="s">
        <v>3071</v>
      </c>
      <c r="C3108" s="1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  <c r="L3108" s="2" t="s">
        <v>11029</v>
      </c>
      <c r="M3108" s="2" t="s">
        <v>11029</v>
      </c>
      <c r="N3108" s="2" t="s">
        <v>11037</v>
      </c>
      <c r="O3108" s="2" t="s">
        <v>11038</v>
      </c>
      <c r="P3108" s="2" t="s">
        <v>11037</v>
      </c>
      <c r="Q3108" s="2">
        <f>AVERAGE(PerfRate[[#This Row],[EnvironmentSatisfaction]],PerfRate[[#This Row],[JobSatisfaction]],PerfRate[[#This Row],[RelationshipSatisfaction]])</f>
        <v>4.333333333333333</v>
      </c>
      <c r="R3108" s="2">
        <f>PerfRate[[#This Row],[ManagerRating]] - PerfRate[[#This Row],[SelfRating]]</f>
        <v>0</v>
      </c>
    </row>
    <row r="3109" spans="1:18">
      <c r="A3109" s="2" t="s">
        <v>7416</v>
      </c>
      <c r="B3109" s="2" t="s">
        <v>281</v>
      </c>
      <c r="C3109" s="1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  <c r="L3109" s="2" t="s">
        <v>11029</v>
      </c>
      <c r="M3109" s="2" t="s">
        <v>11028</v>
      </c>
      <c r="N3109" s="2" t="s">
        <v>11038</v>
      </c>
      <c r="O3109" s="2" t="s">
        <v>11036</v>
      </c>
      <c r="P3109" s="2" t="s">
        <v>11035</v>
      </c>
      <c r="Q3109" s="2">
        <f>AVERAGE(PerfRate[[#This Row],[EnvironmentSatisfaction]],PerfRate[[#This Row],[JobSatisfaction]],PerfRate[[#This Row],[RelationshipSatisfaction]])</f>
        <v>3.3333333333333335</v>
      </c>
      <c r="R3109" s="2">
        <f>PerfRate[[#This Row],[ManagerRating]] - PerfRate[[#This Row],[SelfRating]]</f>
        <v>-1</v>
      </c>
    </row>
    <row r="3110" spans="1:18">
      <c r="A3110" s="2" t="s">
        <v>7417</v>
      </c>
      <c r="B3110" s="2" t="s">
        <v>1620</v>
      </c>
      <c r="C3110" s="1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  <c r="L3110" s="2" t="s">
        <v>11031</v>
      </c>
      <c r="M3110" s="2" t="s">
        <v>11031</v>
      </c>
      <c r="N3110" s="2" t="s">
        <v>11036</v>
      </c>
      <c r="O3110" s="2" t="s">
        <v>11037</v>
      </c>
      <c r="P3110" s="2" t="s">
        <v>11038</v>
      </c>
      <c r="Q3110" s="2">
        <f>AVERAGE(PerfRate[[#This Row],[EnvironmentSatisfaction]],PerfRate[[#This Row],[JobSatisfaction]],PerfRate[[#This Row],[RelationshipSatisfaction]])</f>
        <v>4</v>
      </c>
      <c r="R3110" s="2">
        <f>PerfRate[[#This Row],[ManagerRating]] - PerfRate[[#This Row],[SelfRating]]</f>
        <v>0</v>
      </c>
    </row>
    <row r="3111" spans="1:18">
      <c r="A3111" s="2" t="s">
        <v>7418</v>
      </c>
      <c r="B3111" s="2" t="s">
        <v>362</v>
      </c>
      <c r="C3111" s="1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  <c r="L3111" s="2" t="s">
        <v>11030</v>
      </c>
      <c r="M3111" s="2" t="s">
        <v>11030</v>
      </c>
      <c r="N3111" s="2" t="s">
        <v>11038</v>
      </c>
      <c r="O3111" s="2" t="s">
        <v>11037</v>
      </c>
      <c r="P3111" s="2" t="s">
        <v>11037</v>
      </c>
      <c r="Q3111" s="2">
        <f>AVERAGE(PerfRate[[#This Row],[EnvironmentSatisfaction]],PerfRate[[#This Row],[JobSatisfaction]],PerfRate[[#This Row],[RelationshipSatisfaction]])</f>
        <v>4.333333333333333</v>
      </c>
      <c r="R3111" s="2">
        <f>PerfRate[[#This Row],[ManagerRating]] - PerfRate[[#This Row],[SelfRating]]</f>
        <v>0</v>
      </c>
    </row>
    <row r="3112" spans="1:18">
      <c r="A3112" s="2" t="s">
        <v>7419</v>
      </c>
      <c r="B3112" s="2" t="s">
        <v>1942</v>
      </c>
      <c r="C3112" s="1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  <c r="L3112" s="2" t="s">
        <v>11031</v>
      </c>
      <c r="M3112" s="2" t="s">
        <v>11031</v>
      </c>
      <c r="N3112" s="2" t="s">
        <v>11036</v>
      </c>
      <c r="O3112" s="2" t="s">
        <v>11036</v>
      </c>
      <c r="P3112" s="2" t="s">
        <v>11036</v>
      </c>
      <c r="Q3112" s="2">
        <f>AVERAGE(PerfRate[[#This Row],[EnvironmentSatisfaction]],PerfRate[[#This Row],[JobSatisfaction]],PerfRate[[#This Row],[RelationshipSatisfaction]])</f>
        <v>3</v>
      </c>
      <c r="R3112" s="2">
        <f>PerfRate[[#This Row],[ManagerRating]] - PerfRate[[#This Row],[SelfRating]]</f>
        <v>0</v>
      </c>
    </row>
    <row r="3113" spans="1:18">
      <c r="A3113" s="2" t="s">
        <v>7420</v>
      </c>
      <c r="B3113" s="2" t="s">
        <v>2097</v>
      </c>
      <c r="C3113" s="1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  <c r="L3113" s="2" t="s">
        <v>11029</v>
      </c>
      <c r="M3113" s="2" t="s">
        <v>11029</v>
      </c>
      <c r="N3113" s="2" t="s">
        <v>11036</v>
      </c>
      <c r="O3113" s="2" t="s">
        <v>11035</v>
      </c>
      <c r="P3113" s="2" t="s">
        <v>11036</v>
      </c>
      <c r="Q3113" s="2">
        <f>AVERAGE(PerfRate[[#This Row],[EnvironmentSatisfaction]],PerfRate[[#This Row],[JobSatisfaction]],PerfRate[[#This Row],[RelationshipSatisfaction]])</f>
        <v>2.6666666666666665</v>
      </c>
      <c r="R3113" s="2">
        <f>PerfRate[[#This Row],[ManagerRating]] - PerfRate[[#This Row],[SelfRating]]</f>
        <v>0</v>
      </c>
    </row>
    <row r="3114" spans="1:18">
      <c r="A3114" s="2" t="s">
        <v>7421</v>
      </c>
      <c r="B3114" s="2" t="s">
        <v>326</v>
      </c>
      <c r="C3114" s="1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  <c r="L3114" s="2" t="s">
        <v>11030</v>
      </c>
      <c r="M3114" s="2" t="s">
        <v>11030</v>
      </c>
      <c r="N3114" s="2" t="s">
        <v>11038</v>
      </c>
      <c r="O3114" s="2" t="s">
        <v>11038</v>
      </c>
      <c r="P3114" s="2" t="s">
        <v>11038</v>
      </c>
      <c r="Q3114" s="2">
        <f>AVERAGE(PerfRate[[#This Row],[EnvironmentSatisfaction]],PerfRate[[#This Row],[JobSatisfaction]],PerfRate[[#This Row],[RelationshipSatisfaction]])</f>
        <v>5</v>
      </c>
      <c r="R3114" s="2">
        <f>PerfRate[[#This Row],[ManagerRating]] - PerfRate[[#This Row],[SelfRating]]</f>
        <v>0</v>
      </c>
    </row>
    <row r="3115" spans="1:18">
      <c r="A3115" s="2" t="s">
        <v>7422</v>
      </c>
      <c r="B3115" s="2" t="s">
        <v>711</v>
      </c>
      <c r="C3115" s="1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  <c r="L3115" s="2" t="s">
        <v>11031</v>
      </c>
      <c r="M3115" s="2" t="s">
        <v>11030</v>
      </c>
      <c r="N3115" s="2" t="s">
        <v>11038</v>
      </c>
      <c r="O3115" s="2" t="s">
        <v>11038</v>
      </c>
      <c r="P3115" s="2" t="s">
        <v>11035</v>
      </c>
      <c r="Q3115" s="2">
        <f>AVERAGE(PerfRate[[#This Row],[EnvironmentSatisfaction]],PerfRate[[#This Row],[JobSatisfaction]],PerfRate[[#This Row],[RelationshipSatisfaction]])</f>
        <v>4</v>
      </c>
      <c r="R3115" s="2">
        <f>PerfRate[[#This Row],[ManagerRating]] - PerfRate[[#This Row],[SelfRating]]</f>
        <v>-1</v>
      </c>
    </row>
    <row r="3116" spans="1:18">
      <c r="A3116" s="2" t="s">
        <v>7423</v>
      </c>
      <c r="B3116" s="2" t="s">
        <v>1753</v>
      </c>
      <c r="C3116" s="1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  <c r="L3116" s="2" t="s">
        <v>11029</v>
      </c>
      <c r="M3116" s="2" t="s">
        <v>11028</v>
      </c>
      <c r="N3116" s="2" t="s">
        <v>11037</v>
      </c>
      <c r="O3116" s="2" t="s">
        <v>11035</v>
      </c>
      <c r="P3116" s="2" t="s">
        <v>11037</v>
      </c>
      <c r="Q3116" s="2">
        <f>AVERAGE(PerfRate[[#This Row],[EnvironmentSatisfaction]],PerfRate[[#This Row],[JobSatisfaction]],PerfRate[[#This Row],[RelationshipSatisfaction]])</f>
        <v>3.3333333333333335</v>
      </c>
      <c r="R3116" s="2">
        <f>PerfRate[[#This Row],[ManagerRating]] - PerfRate[[#This Row],[SelfRating]]</f>
        <v>-1</v>
      </c>
    </row>
    <row r="3117" spans="1:18">
      <c r="A3117" s="2" t="s">
        <v>7424</v>
      </c>
      <c r="B3117" s="2" t="s">
        <v>1453</v>
      </c>
      <c r="C3117" s="1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  <c r="L3117" s="2" t="s">
        <v>11029</v>
      </c>
      <c r="M3117" s="2" t="s">
        <v>11029</v>
      </c>
      <c r="N3117" s="2" t="s">
        <v>11037</v>
      </c>
      <c r="O3117" s="2" t="s">
        <v>11038</v>
      </c>
      <c r="P3117" s="2" t="s">
        <v>11036</v>
      </c>
      <c r="Q3117" s="2">
        <f>AVERAGE(PerfRate[[#This Row],[EnvironmentSatisfaction]],PerfRate[[#This Row],[JobSatisfaction]],PerfRate[[#This Row],[RelationshipSatisfaction]])</f>
        <v>4</v>
      </c>
      <c r="R3117" s="2">
        <f>PerfRate[[#This Row],[ManagerRating]] - PerfRate[[#This Row],[SelfRating]]</f>
        <v>0</v>
      </c>
    </row>
    <row r="3118" spans="1:18">
      <c r="A3118" s="2" t="s">
        <v>7425</v>
      </c>
      <c r="B3118" s="2" t="s">
        <v>1959</v>
      </c>
      <c r="C3118" s="1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  <c r="L3118" s="2" t="s">
        <v>11031</v>
      </c>
      <c r="M3118" s="2" t="s">
        <v>11030</v>
      </c>
      <c r="N3118" s="2" t="s">
        <v>11036</v>
      </c>
      <c r="O3118" s="2" t="s">
        <v>11035</v>
      </c>
      <c r="P3118" s="2" t="s">
        <v>11038</v>
      </c>
      <c r="Q3118" s="2">
        <f>AVERAGE(PerfRate[[#This Row],[EnvironmentSatisfaction]],PerfRate[[#This Row],[JobSatisfaction]],PerfRate[[#This Row],[RelationshipSatisfaction]])</f>
        <v>3.3333333333333335</v>
      </c>
      <c r="R3118" s="2">
        <f>PerfRate[[#This Row],[ManagerRating]] - PerfRate[[#This Row],[SelfRating]]</f>
        <v>-1</v>
      </c>
    </row>
    <row r="3119" spans="1:18">
      <c r="A3119" s="2" t="s">
        <v>7426</v>
      </c>
      <c r="B3119" s="2" t="s">
        <v>714</v>
      </c>
      <c r="C3119" s="1">
        <v>41335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  <c r="L3119" s="2" t="s">
        <v>11030</v>
      </c>
      <c r="M3119" s="2" t="s">
        <v>11029</v>
      </c>
      <c r="N3119" s="2" t="s">
        <v>11038</v>
      </c>
      <c r="O3119" s="2" t="s">
        <v>11038</v>
      </c>
      <c r="P3119" s="2" t="s">
        <v>11036</v>
      </c>
      <c r="Q3119" s="2">
        <f>AVERAGE(PerfRate[[#This Row],[EnvironmentSatisfaction]],PerfRate[[#This Row],[JobSatisfaction]],PerfRate[[#This Row],[RelationshipSatisfaction]])</f>
        <v>4.333333333333333</v>
      </c>
      <c r="R3119" s="2">
        <f>PerfRate[[#This Row],[ManagerRating]] - PerfRate[[#This Row],[SelfRating]]</f>
        <v>-1</v>
      </c>
    </row>
    <row r="3120" spans="1:18">
      <c r="A3120" s="2" t="s">
        <v>7427</v>
      </c>
      <c r="B3120" s="2" t="s">
        <v>3198</v>
      </c>
      <c r="C3120" s="1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  <c r="L3120" s="2" t="s">
        <v>11029</v>
      </c>
      <c r="M3120" s="2" t="s">
        <v>11028</v>
      </c>
      <c r="N3120" s="2" t="s">
        <v>11037</v>
      </c>
      <c r="O3120" s="2" t="s">
        <v>11038</v>
      </c>
      <c r="P3120" s="2" t="s">
        <v>11038</v>
      </c>
      <c r="Q3120" s="2">
        <f>AVERAGE(PerfRate[[#This Row],[EnvironmentSatisfaction]],PerfRate[[#This Row],[JobSatisfaction]],PerfRate[[#This Row],[RelationshipSatisfaction]])</f>
        <v>4.666666666666667</v>
      </c>
      <c r="R3120" s="2">
        <f>PerfRate[[#This Row],[ManagerRating]] - PerfRate[[#This Row],[SelfRating]]</f>
        <v>-1</v>
      </c>
    </row>
    <row r="3121" spans="1:18">
      <c r="A3121" s="2" t="s">
        <v>7428</v>
      </c>
      <c r="B3121" s="2" t="s">
        <v>1810</v>
      </c>
      <c r="C3121" s="1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  <c r="L3121" s="2" t="s">
        <v>11031</v>
      </c>
      <c r="M3121" s="2" t="s">
        <v>11031</v>
      </c>
      <c r="N3121" s="2" t="s">
        <v>11038</v>
      </c>
      <c r="O3121" s="2" t="s">
        <v>11038</v>
      </c>
      <c r="P3121" s="2" t="s">
        <v>11037</v>
      </c>
      <c r="Q3121" s="2">
        <f>AVERAGE(PerfRate[[#This Row],[EnvironmentSatisfaction]],PerfRate[[#This Row],[JobSatisfaction]],PerfRate[[#This Row],[RelationshipSatisfaction]])</f>
        <v>4.666666666666667</v>
      </c>
      <c r="R3121" s="2">
        <f>PerfRate[[#This Row],[ManagerRating]] - PerfRate[[#This Row],[SelfRating]]</f>
        <v>0</v>
      </c>
    </row>
    <row r="3122" spans="1:18">
      <c r="A3122" s="2" t="s">
        <v>7429</v>
      </c>
      <c r="B3122" s="2" t="s">
        <v>2002</v>
      </c>
      <c r="C3122" s="1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  <c r="L3122" s="2" t="s">
        <v>11029</v>
      </c>
      <c r="M3122" s="2" t="s">
        <v>11028</v>
      </c>
      <c r="N3122" s="2" t="s">
        <v>11037</v>
      </c>
      <c r="O3122" s="2" t="s">
        <v>11035</v>
      </c>
      <c r="P3122" s="2" t="s">
        <v>11038</v>
      </c>
      <c r="Q3122" s="2">
        <f>AVERAGE(PerfRate[[#This Row],[EnvironmentSatisfaction]],PerfRate[[#This Row],[JobSatisfaction]],PerfRate[[#This Row],[RelationshipSatisfaction]])</f>
        <v>3.6666666666666665</v>
      </c>
      <c r="R3122" s="2">
        <f>PerfRate[[#This Row],[ManagerRating]] - PerfRate[[#This Row],[SelfRating]]</f>
        <v>-1</v>
      </c>
    </row>
    <row r="3123" spans="1:18">
      <c r="A3123" s="2" t="s">
        <v>7430</v>
      </c>
      <c r="B3123" s="2" t="s">
        <v>404</v>
      </c>
      <c r="C3123" s="1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  <c r="L3123" s="2" t="s">
        <v>11030</v>
      </c>
      <c r="M3123" s="2" t="s">
        <v>11029</v>
      </c>
      <c r="N3123" s="2" t="s">
        <v>11036</v>
      </c>
      <c r="O3123" s="2" t="s">
        <v>11035</v>
      </c>
      <c r="P3123" s="2" t="s">
        <v>11038</v>
      </c>
      <c r="Q3123" s="2">
        <f>AVERAGE(PerfRate[[#This Row],[EnvironmentSatisfaction]],PerfRate[[#This Row],[JobSatisfaction]],PerfRate[[#This Row],[RelationshipSatisfaction]])</f>
        <v>3.3333333333333335</v>
      </c>
      <c r="R3123" s="2">
        <f>PerfRate[[#This Row],[ManagerRating]] - PerfRate[[#This Row],[SelfRating]]</f>
        <v>-1</v>
      </c>
    </row>
    <row r="3124" spans="1:18">
      <c r="A3124" s="2" t="s">
        <v>7431</v>
      </c>
      <c r="B3124" s="2" t="s">
        <v>2503</v>
      </c>
      <c r="C3124" s="1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  <c r="L3124" s="2" t="s">
        <v>11029</v>
      </c>
      <c r="M3124" s="2" t="s">
        <v>11029</v>
      </c>
      <c r="N3124" s="2" t="s">
        <v>11037</v>
      </c>
      <c r="O3124" s="2" t="s">
        <v>11036</v>
      </c>
      <c r="P3124" s="2" t="s">
        <v>11037</v>
      </c>
      <c r="Q3124" s="2">
        <f>AVERAGE(PerfRate[[#This Row],[EnvironmentSatisfaction]],PerfRate[[#This Row],[JobSatisfaction]],PerfRate[[#This Row],[RelationshipSatisfaction]])</f>
        <v>3.6666666666666665</v>
      </c>
      <c r="R3124" s="2">
        <f>PerfRate[[#This Row],[ManagerRating]] - PerfRate[[#This Row],[SelfRating]]</f>
        <v>0</v>
      </c>
    </row>
    <row r="3125" spans="1:18">
      <c r="A3125" s="2" t="s">
        <v>7432</v>
      </c>
      <c r="B3125" s="2" t="s">
        <v>2234</v>
      </c>
      <c r="C3125" s="1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  <c r="L3125" s="2" t="s">
        <v>11029</v>
      </c>
      <c r="M3125" s="2" t="s">
        <v>11028</v>
      </c>
      <c r="N3125" s="2" t="s">
        <v>11038</v>
      </c>
      <c r="O3125" s="2" t="s">
        <v>11037</v>
      </c>
      <c r="P3125" s="2" t="s">
        <v>11037</v>
      </c>
      <c r="Q3125" s="2">
        <f>AVERAGE(PerfRate[[#This Row],[EnvironmentSatisfaction]],PerfRate[[#This Row],[JobSatisfaction]],PerfRate[[#This Row],[RelationshipSatisfaction]])</f>
        <v>4.333333333333333</v>
      </c>
      <c r="R3125" s="2">
        <f>PerfRate[[#This Row],[ManagerRating]] - PerfRate[[#This Row],[SelfRating]]</f>
        <v>-1</v>
      </c>
    </row>
    <row r="3126" spans="1:18">
      <c r="A3126" s="2" t="s">
        <v>7433</v>
      </c>
      <c r="B3126" s="2" t="s">
        <v>169</v>
      </c>
      <c r="C3126" s="1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  <c r="L3126" s="2" t="s">
        <v>11031</v>
      </c>
      <c r="M3126" s="2" t="s">
        <v>11031</v>
      </c>
      <c r="N3126" s="2" t="s">
        <v>11037</v>
      </c>
      <c r="O3126" s="2" t="s">
        <v>11035</v>
      </c>
      <c r="P3126" s="2" t="s">
        <v>11036</v>
      </c>
      <c r="Q3126" s="2">
        <f>AVERAGE(PerfRate[[#This Row],[EnvironmentSatisfaction]],PerfRate[[#This Row],[JobSatisfaction]],PerfRate[[#This Row],[RelationshipSatisfaction]])</f>
        <v>3</v>
      </c>
      <c r="R3126" s="2">
        <f>PerfRate[[#This Row],[ManagerRating]] - PerfRate[[#This Row],[SelfRating]]</f>
        <v>0</v>
      </c>
    </row>
    <row r="3127" spans="1:18">
      <c r="A3127" s="2" t="s">
        <v>7434</v>
      </c>
      <c r="B3127" s="2" t="s">
        <v>2184</v>
      </c>
      <c r="C3127" s="1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  <c r="L3127" s="2" t="s">
        <v>11030</v>
      </c>
      <c r="M3127" s="2" t="s">
        <v>11029</v>
      </c>
      <c r="N3127" s="2" t="s">
        <v>11036</v>
      </c>
      <c r="O3127" s="2" t="s">
        <v>11038</v>
      </c>
      <c r="P3127" s="2" t="s">
        <v>11037</v>
      </c>
      <c r="Q3127" s="2">
        <f>AVERAGE(PerfRate[[#This Row],[EnvironmentSatisfaction]],PerfRate[[#This Row],[JobSatisfaction]],PerfRate[[#This Row],[RelationshipSatisfaction]])</f>
        <v>4</v>
      </c>
      <c r="R3127" s="2">
        <f>PerfRate[[#This Row],[ManagerRating]] - PerfRate[[#This Row],[SelfRating]]</f>
        <v>-1</v>
      </c>
    </row>
    <row r="3128" spans="1:18">
      <c r="A3128" s="2" t="s">
        <v>7435</v>
      </c>
      <c r="B3128" s="2" t="s">
        <v>452</v>
      </c>
      <c r="C3128" s="1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  <c r="L3128" s="2" t="s">
        <v>11029</v>
      </c>
      <c r="M3128" s="2" t="s">
        <v>11028</v>
      </c>
      <c r="N3128" s="2" t="s">
        <v>11038</v>
      </c>
      <c r="O3128" s="2" t="s">
        <v>11038</v>
      </c>
      <c r="P3128" s="2" t="s">
        <v>11038</v>
      </c>
      <c r="Q3128" s="2">
        <f>AVERAGE(PerfRate[[#This Row],[EnvironmentSatisfaction]],PerfRate[[#This Row],[JobSatisfaction]],PerfRate[[#This Row],[RelationshipSatisfaction]])</f>
        <v>5</v>
      </c>
      <c r="R3128" s="2">
        <f>PerfRate[[#This Row],[ManagerRating]] - PerfRate[[#This Row],[SelfRating]]</f>
        <v>-1</v>
      </c>
    </row>
    <row r="3129" spans="1:18">
      <c r="A3129" s="2" t="s">
        <v>7436</v>
      </c>
      <c r="B3129" s="2" t="s">
        <v>2491</v>
      </c>
      <c r="C3129" s="1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  <c r="L3129" s="2" t="s">
        <v>11029</v>
      </c>
      <c r="M3129" s="2" t="s">
        <v>11028</v>
      </c>
      <c r="N3129" s="2" t="s">
        <v>11037</v>
      </c>
      <c r="O3129" s="2" t="s">
        <v>11035</v>
      </c>
      <c r="P3129" s="2" t="s">
        <v>11038</v>
      </c>
      <c r="Q3129" s="2">
        <f>AVERAGE(PerfRate[[#This Row],[EnvironmentSatisfaction]],PerfRate[[#This Row],[JobSatisfaction]],PerfRate[[#This Row],[RelationshipSatisfaction]])</f>
        <v>3.6666666666666665</v>
      </c>
      <c r="R3129" s="2">
        <f>PerfRate[[#This Row],[ManagerRating]] - PerfRate[[#This Row],[SelfRating]]</f>
        <v>-1</v>
      </c>
    </row>
    <row r="3130" spans="1:18">
      <c r="A3130" s="2" t="s">
        <v>7437</v>
      </c>
      <c r="B3130" s="2" t="s">
        <v>1201</v>
      </c>
      <c r="C3130" s="1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  <c r="L3130" s="2" t="s">
        <v>11030</v>
      </c>
      <c r="M3130" s="2" t="s">
        <v>11029</v>
      </c>
      <c r="N3130" s="2" t="s">
        <v>11036</v>
      </c>
      <c r="O3130" s="2" t="s">
        <v>11035</v>
      </c>
      <c r="P3130" s="2" t="s">
        <v>11038</v>
      </c>
      <c r="Q3130" s="2">
        <f>AVERAGE(PerfRate[[#This Row],[EnvironmentSatisfaction]],PerfRate[[#This Row],[JobSatisfaction]],PerfRate[[#This Row],[RelationshipSatisfaction]])</f>
        <v>3.3333333333333335</v>
      </c>
      <c r="R3130" s="2">
        <f>PerfRate[[#This Row],[ManagerRating]] - PerfRate[[#This Row],[SelfRating]]</f>
        <v>-1</v>
      </c>
    </row>
    <row r="3131" spans="1:18">
      <c r="A3131" s="2" t="s">
        <v>7438</v>
      </c>
      <c r="B3131" s="2" t="s">
        <v>2581</v>
      </c>
      <c r="C3131" s="1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  <c r="L3131" s="2" t="s">
        <v>11030</v>
      </c>
      <c r="M3131" s="2" t="s">
        <v>11030</v>
      </c>
      <c r="N3131" s="2" t="s">
        <v>11036</v>
      </c>
      <c r="O3131" s="2" t="s">
        <v>11038</v>
      </c>
      <c r="P3131" s="2" t="s">
        <v>11035</v>
      </c>
      <c r="Q3131" s="2">
        <f>AVERAGE(PerfRate[[#This Row],[EnvironmentSatisfaction]],PerfRate[[#This Row],[JobSatisfaction]],PerfRate[[#This Row],[RelationshipSatisfaction]])</f>
        <v>3.3333333333333335</v>
      </c>
      <c r="R3131" s="2">
        <f>PerfRate[[#This Row],[ManagerRating]] - PerfRate[[#This Row],[SelfRating]]</f>
        <v>0</v>
      </c>
    </row>
    <row r="3132" spans="1:18">
      <c r="A3132" s="2" t="s">
        <v>7439</v>
      </c>
      <c r="B3132" s="2" t="s">
        <v>2427</v>
      </c>
      <c r="C3132" s="1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  <c r="L3132" s="2" t="s">
        <v>11029</v>
      </c>
      <c r="M3132" s="2" t="s">
        <v>11029</v>
      </c>
      <c r="N3132" s="2" t="s">
        <v>11036</v>
      </c>
      <c r="O3132" s="2" t="s">
        <v>11038</v>
      </c>
      <c r="P3132" s="2" t="s">
        <v>11037</v>
      </c>
      <c r="Q3132" s="2">
        <f>AVERAGE(PerfRate[[#This Row],[EnvironmentSatisfaction]],PerfRate[[#This Row],[JobSatisfaction]],PerfRate[[#This Row],[RelationshipSatisfaction]])</f>
        <v>4</v>
      </c>
      <c r="R3132" s="2">
        <f>PerfRate[[#This Row],[ManagerRating]] - PerfRate[[#This Row],[SelfRating]]</f>
        <v>0</v>
      </c>
    </row>
    <row r="3133" spans="1:18">
      <c r="A3133" s="2" t="s">
        <v>7440</v>
      </c>
      <c r="B3133" s="2" t="s">
        <v>2296</v>
      </c>
      <c r="C3133" s="1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  <c r="L3133" s="2" t="s">
        <v>11031</v>
      </c>
      <c r="M3133" s="2" t="s">
        <v>11031</v>
      </c>
      <c r="N3133" s="2" t="s">
        <v>11036</v>
      </c>
      <c r="O3133" s="2" t="s">
        <v>11035</v>
      </c>
      <c r="P3133" s="2" t="s">
        <v>11036</v>
      </c>
      <c r="Q3133" s="2">
        <f>AVERAGE(PerfRate[[#This Row],[EnvironmentSatisfaction]],PerfRate[[#This Row],[JobSatisfaction]],PerfRate[[#This Row],[RelationshipSatisfaction]])</f>
        <v>2.6666666666666665</v>
      </c>
      <c r="R3133" s="2">
        <f>PerfRate[[#This Row],[ManagerRating]] - PerfRate[[#This Row],[SelfRating]]</f>
        <v>0</v>
      </c>
    </row>
    <row r="3134" spans="1:18">
      <c r="A3134" s="2" t="s">
        <v>7441</v>
      </c>
      <c r="B3134" s="2" t="s">
        <v>3189</v>
      </c>
      <c r="C3134" s="1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  <c r="L3134" s="2" t="s">
        <v>11031</v>
      </c>
      <c r="M3134" s="2" t="s">
        <v>11031</v>
      </c>
      <c r="N3134" s="2" t="s">
        <v>11036</v>
      </c>
      <c r="O3134" s="2" t="s">
        <v>11037</v>
      </c>
      <c r="P3134" s="2" t="s">
        <v>11038</v>
      </c>
      <c r="Q3134" s="2">
        <f>AVERAGE(PerfRate[[#This Row],[EnvironmentSatisfaction]],PerfRate[[#This Row],[JobSatisfaction]],PerfRate[[#This Row],[RelationshipSatisfaction]])</f>
        <v>4</v>
      </c>
      <c r="R3134" s="2">
        <f>PerfRate[[#This Row],[ManagerRating]] - PerfRate[[#This Row],[SelfRating]]</f>
        <v>0</v>
      </c>
    </row>
    <row r="3135" spans="1:18">
      <c r="A3135" s="2" t="s">
        <v>7442</v>
      </c>
      <c r="B3135" s="2" t="s">
        <v>2529</v>
      </c>
      <c r="C3135" s="1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  <c r="L3135" s="2" t="s">
        <v>11029</v>
      </c>
      <c r="M3135" s="2" t="s">
        <v>11030</v>
      </c>
      <c r="N3135" s="2" t="s">
        <v>11036</v>
      </c>
      <c r="O3135" s="2" t="s">
        <v>11037</v>
      </c>
      <c r="P3135" s="2" t="s">
        <v>11038</v>
      </c>
      <c r="Q3135" s="2">
        <f>AVERAGE(PerfRate[[#This Row],[EnvironmentSatisfaction]],PerfRate[[#This Row],[JobSatisfaction]],PerfRate[[#This Row],[RelationshipSatisfaction]])</f>
        <v>4</v>
      </c>
      <c r="R3135" s="2">
        <f>PerfRate[[#This Row],[ManagerRating]] - PerfRate[[#This Row],[SelfRating]]</f>
        <v>1</v>
      </c>
    </row>
    <row r="3136" spans="1:18">
      <c r="A3136" s="2" t="s">
        <v>7443</v>
      </c>
      <c r="B3136" s="2" t="s">
        <v>2488</v>
      </c>
      <c r="C3136" s="1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  <c r="L3136" s="2" t="s">
        <v>11029</v>
      </c>
      <c r="M3136" s="2" t="s">
        <v>11028</v>
      </c>
      <c r="N3136" s="2" t="s">
        <v>11037</v>
      </c>
      <c r="O3136" s="2" t="s">
        <v>11036</v>
      </c>
      <c r="P3136" s="2" t="s">
        <v>11038</v>
      </c>
      <c r="Q3136" s="2">
        <f>AVERAGE(PerfRate[[#This Row],[EnvironmentSatisfaction]],PerfRate[[#This Row],[JobSatisfaction]],PerfRate[[#This Row],[RelationshipSatisfaction]])</f>
        <v>4</v>
      </c>
      <c r="R3136" s="2">
        <f>PerfRate[[#This Row],[ManagerRating]] - PerfRate[[#This Row],[SelfRating]]</f>
        <v>-1</v>
      </c>
    </row>
    <row r="3137" spans="1:18">
      <c r="A3137" s="2" t="s">
        <v>7444</v>
      </c>
      <c r="B3137" s="2" t="s">
        <v>1465</v>
      </c>
      <c r="C3137" s="1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  <c r="L3137" s="2" t="s">
        <v>11029</v>
      </c>
      <c r="M3137" s="2" t="s">
        <v>11028</v>
      </c>
      <c r="N3137" s="2" t="s">
        <v>11037</v>
      </c>
      <c r="O3137" s="2" t="s">
        <v>11035</v>
      </c>
      <c r="P3137" s="2" t="s">
        <v>11038</v>
      </c>
      <c r="Q3137" s="2">
        <f>AVERAGE(PerfRate[[#This Row],[EnvironmentSatisfaction]],PerfRate[[#This Row],[JobSatisfaction]],PerfRate[[#This Row],[RelationshipSatisfaction]])</f>
        <v>3.6666666666666665</v>
      </c>
      <c r="R3137" s="2">
        <f>PerfRate[[#This Row],[ManagerRating]] - PerfRate[[#This Row],[SelfRating]]</f>
        <v>-1</v>
      </c>
    </row>
    <row r="3138" spans="1:18">
      <c r="A3138" s="2" t="s">
        <v>7445</v>
      </c>
      <c r="B3138" s="2" t="s">
        <v>2045</v>
      </c>
      <c r="C3138" s="1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  <c r="L3138" s="2" t="s">
        <v>11029</v>
      </c>
      <c r="M3138" s="2" t="s">
        <v>11029</v>
      </c>
      <c r="N3138" s="2" t="s">
        <v>11038</v>
      </c>
      <c r="O3138" s="2" t="s">
        <v>11037</v>
      </c>
      <c r="P3138" s="2" t="s">
        <v>11035</v>
      </c>
      <c r="Q3138" s="2">
        <f>AVERAGE(PerfRate[[#This Row],[EnvironmentSatisfaction]],PerfRate[[#This Row],[JobSatisfaction]],PerfRate[[#This Row],[RelationshipSatisfaction]])</f>
        <v>3.6666666666666665</v>
      </c>
      <c r="R3138" s="2">
        <f>PerfRate[[#This Row],[ManagerRating]] - PerfRate[[#This Row],[SelfRating]]</f>
        <v>0</v>
      </c>
    </row>
    <row r="3139" spans="1:18">
      <c r="A3139" s="2" t="s">
        <v>7446</v>
      </c>
      <c r="B3139" s="2" t="s">
        <v>538</v>
      </c>
      <c r="C3139" s="1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  <c r="L3139" s="2" t="s">
        <v>11030</v>
      </c>
      <c r="M3139" s="2" t="s">
        <v>11030</v>
      </c>
      <c r="N3139" s="2" t="s">
        <v>11036</v>
      </c>
      <c r="O3139" s="2" t="s">
        <v>11036</v>
      </c>
      <c r="P3139" s="2" t="s">
        <v>11036</v>
      </c>
      <c r="Q3139" s="2">
        <f>AVERAGE(PerfRate[[#This Row],[EnvironmentSatisfaction]],PerfRate[[#This Row],[JobSatisfaction]],PerfRate[[#This Row],[RelationshipSatisfaction]])</f>
        <v>3</v>
      </c>
      <c r="R3139" s="2">
        <f>PerfRate[[#This Row],[ManagerRating]] - PerfRate[[#This Row],[SelfRating]]</f>
        <v>0</v>
      </c>
    </row>
    <row r="3140" spans="1:18">
      <c r="A3140" s="2" t="s">
        <v>7447</v>
      </c>
      <c r="B3140" s="2" t="s">
        <v>50</v>
      </c>
      <c r="C3140" s="1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  <c r="L3140" s="2" t="s">
        <v>11031</v>
      </c>
      <c r="M3140" s="2" t="s">
        <v>11030</v>
      </c>
      <c r="N3140" s="2" t="s">
        <v>11037</v>
      </c>
      <c r="O3140" s="2" t="s">
        <v>11038</v>
      </c>
      <c r="P3140" s="2" t="s">
        <v>11035</v>
      </c>
      <c r="Q3140" s="2">
        <f>AVERAGE(PerfRate[[#This Row],[EnvironmentSatisfaction]],PerfRate[[#This Row],[JobSatisfaction]],PerfRate[[#This Row],[RelationshipSatisfaction]])</f>
        <v>3.6666666666666665</v>
      </c>
      <c r="R3140" s="2">
        <f>PerfRate[[#This Row],[ManagerRating]] - PerfRate[[#This Row],[SelfRating]]</f>
        <v>-1</v>
      </c>
    </row>
    <row r="3141" spans="1:18">
      <c r="A3141" s="2" t="s">
        <v>7448</v>
      </c>
      <c r="B3141" s="2" t="s">
        <v>759</v>
      </c>
      <c r="C3141" s="1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  <c r="L3141" s="2" t="s">
        <v>11031</v>
      </c>
      <c r="M3141" s="2" t="s">
        <v>11030</v>
      </c>
      <c r="N3141" s="2" t="s">
        <v>11037</v>
      </c>
      <c r="O3141" s="2" t="s">
        <v>11038</v>
      </c>
      <c r="P3141" s="2" t="s">
        <v>11038</v>
      </c>
      <c r="Q3141" s="2">
        <f>AVERAGE(PerfRate[[#This Row],[EnvironmentSatisfaction]],PerfRate[[#This Row],[JobSatisfaction]],PerfRate[[#This Row],[RelationshipSatisfaction]])</f>
        <v>4.666666666666667</v>
      </c>
      <c r="R3141" s="2">
        <f>PerfRate[[#This Row],[ManagerRating]] - PerfRate[[#This Row],[SelfRating]]</f>
        <v>-1</v>
      </c>
    </row>
    <row r="3142" spans="1:18">
      <c r="A3142" s="2" t="s">
        <v>7449</v>
      </c>
      <c r="B3142" s="2" t="s">
        <v>2721</v>
      </c>
      <c r="C3142" s="1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  <c r="L3142" s="2" t="s">
        <v>11031</v>
      </c>
      <c r="M3142" s="2" t="s">
        <v>11030</v>
      </c>
      <c r="N3142" s="2" t="s">
        <v>11038</v>
      </c>
      <c r="O3142" s="2" t="s">
        <v>11038</v>
      </c>
      <c r="P3142" s="2" t="s">
        <v>11037</v>
      </c>
      <c r="Q3142" s="2">
        <f>AVERAGE(PerfRate[[#This Row],[EnvironmentSatisfaction]],PerfRate[[#This Row],[JobSatisfaction]],PerfRate[[#This Row],[RelationshipSatisfaction]])</f>
        <v>4.666666666666667</v>
      </c>
      <c r="R3142" s="2">
        <f>PerfRate[[#This Row],[ManagerRating]] - PerfRate[[#This Row],[SelfRating]]</f>
        <v>-1</v>
      </c>
    </row>
    <row r="3143" spans="1:18">
      <c r="A3143" s="2" t="s">
        <v>7450</v>
      </c>
      <c r="B3143" s="2" t="s">
        <v>610</v>
      </c>
      <c r="C3143" s="1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  <c r="L3143" s="2" t="s">
        <v>11031</v>
      </c>
      <c r="M3143" s="2" t="s">
        <v>11031</v>
      </c>
      <c r="N3143" s="2" t="s">
        <v>11036</v>
      </c>
      <c r="O3143" s="2" t="s">
        <v>11036</v>
      </c>
      <c r="P3143" s="2" t="s">
        <v>11037</v>
      </c>
      <c r="Q3143" s="2">
        <f>AVERAGE(PerfRate[[#This Row],[EnvironmentSatisfaction]],PerfRate[[#This Row],[JobSatisfaction]],PerfRate[[#This Row],[RelationshipSatisfaction]])</f>
        <v>3.3333333333333335</v>
      </c>
      <c r="R3143" s="2">
        <f>PerfRate[[#This Row],[ManagerRating]] - PerfRate[[#This Row],[SelfRating]]</f>
        <v>0</v>
      </c>
    </row>
    <row r="3144" spans="1:18">
      <c r="A3144" s="2" t="s">
        <v>7451</v>
      </c>
      <c r="B3144" s="2" t="s">
        <v>175</v>
      </c>
      <c r="C3144" s="1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  <c r="L3144" s="2" t="s">
        <v>11031</v>
      </c>
      <c r="M3144" s="2" t="s">
        <v>11030</v>
      </c>
      <c r="N3144" s="2" t="s">
        <v>11037</v>
      </c>
      <c r="O3144" s="2" t="s">
        <v>11037</v>
      </c>
      <c r="P3144" s="2" t="s">
        <v>11035</v>
      </c>
      <c r="Q3144" s="2">
        <f>AVERAGE(PerfRate[[#This Row],[EnvironmentSatisfaction]],PerfRate[[#This Row],[JobSatisfaction]],PerfRate[[#This Row],[RelationshipSatisfaction]])</f>
        <v>3.3333333333333335</v>
      </c>
      <c r="R3144" s="2">
        <f>PerfRate[[#This Row],[ManagerRating]] - PerfRate[[#This Row],[SelfRating]]</f>
        <v>-1</v>
      </c>
    </row>
    <row r="3145" spans="1:18">
      <c r="A3145" s="2" t="s">
        <v>7452</v>
      </c>
      <c r="B3145" s="2" t="s">
        <v>1418</v>
      </c>
      <c r="C3145" s="1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  <c r="L3145" s="2" t="s">
        <v>11029</v>
      </c>
      <c r="M3145" s="2" t="s">
        <v>11029</v>
      </c>
      <c r="N3145" s="2" t="s">
        <v>11037</v>
      </c>
      <c r="O3145" s="2" t="s">
        <v>11038</v>
      </c>
      <c r="P3145" s="2" t="s">
        <v>11038</v>
      </c>
      <c r="Q3145" s="2">
        <f>AVERAGE(PerfRate[[#This Row],[EnvironmentSatisfaction]],PerfRate[[#This Row],[JobSatisfaction]],PerfRate[[#This Row],[RelationshipSatisfaction]])</f>
        <v>4.666666666666667</v>
      </c>
      <c r="R3145" s="2">
        <f>PerfRate[[#This Row],[ManagerRating]] - PerfRate[[#This Row],[SelfRating]]</f>
        <v>0</v>
      </c>
    </row>
    <row r="3146" spans="1:18">
      <c r="A3146" s="2" t="s">
        <v>7453</v>
      </c>
      <c r="B3146" s="2" t="s">
        <v>2169</v>
      </c>
      <c r="C3146" s="1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  <c r="L3146" s="2" t="s">
        <v>11029</v>
      </c>
      <c r="M3146" s="2" t="s">
        <v>11029</v>
      </c>
      <c r="N3146" s="2" t="s">
        <v>11036</v>
      </c>
      <c r="O3146" s="2" t="s">
        <v>11035</v>
      </c>
      <c r="P3146" s="2" t="s">
        <v>11038</v>
      </c>
      <c r="Q3146" s="2">
        <f>AVERAGE(PerfRate[[#This Row],[EnvironmentSatisfaction]],PerfRate[[#This Row],[JobSatisfaction]],PerfRate[[#This Row],[RelationshipSatisfaction]])</f>
        <v>3.3333333333333335</v>
      </c>
      <c r="R3146" s="2">
        <f>PerfRate[[#This Row],[ManagerRating]] - PerfRate[[#This Row],[SelfRating]]</f>
        <v>0</v>
      </c>
    </row>
    <row r="3147" spans="1:18">
      <c r="A3147" s="2" t="s">
        <v>7454</v>
      </c>
      <c r="B3147" s="2" t="s">
        <v>4072</v>
      </c>
      <c r="C3147" s="1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  <c r="L3147" s="2" t="s">
        <v>11030</v>
      </c>
      <c r="M3147" s="2" t="s">
        <v>11029</v>
      </c>
      <c r="N3147" s="2" t="s">
        <v>11038</v>
      </c>
      <c r="O3147" s="2" t="s">
        <v>11037</v>
      </c>
      <c r="P3147" s="2" t="s">
        <v>11038</v>
      </c>
      <c r="Q3147" s="2">
        <f>AVERAGE(PerfRate[[#This Row],[EnvironmentSatisfaction]],PerfRate[[#This Row],[JobSatisfaction]],PerfRate[[#This Row],[RelationshipSatisfaction]])</f>
        <v>4.666666666666667</v>
      </c>
      <c r="R3147" s="2">
        <f>PerfRate[[#This Row],[ManagerRating]] - PerfRate[[#This Row],[SelfRating]]</f>
        <v>-1</v>
      </c>
    </row>
    <row r="3148" spans="1:18">
      <c r="A3148" s="2" t="s">
        <v>7455</v>
      </c>
      <c r="B3148" s="2" t="s">
        <v>2060</v>
      </c>
      <c r="C3148" s="1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  <c r="L3148" s="2" t="s">
        <v>11031</v>
      </c>
      <c r="M3148" s="2" t="s">
        <v>11030</v>
      </c>
      <c r="N3148" s="2" t="s">
        <v>11037</v>
      </c>
      <c r="O3148" s="2" t="s">
        <v>11035</v>
      </c>
      <c r="P3148" s="2" t="s">
        <v>11038</v>
      </c>
      <c r="Q3148" s="2">
        <f>AVERAGE(PerfRate[[#This Row],[EnvironmentSatisfaction]],PerfRate[[#This Row],[JobSatisfaction]],PerfRate[[#This Row],[RelationshipSatisfaction]])</f>
        <v>3.6666666666666665</v>
      </c>
      <c r="R3148" s="2">
        <f>PerfRate[[#This Row],[ManagerRating]] - PerfRate[[#This Row],[SelfRating]]</f>
        <v>-1</v>
      </c>
    </row>
    <row r="3149" spans="1:18">
      <c r="A3149" s="2" t="s">
        <v>7456</v>
      </c>
      <c r="B3149" s="2" t="s">
        <v>1663</v>
      </c>
      <c r="C3149" s="1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  <c r="L3149" s="2" t="s">
        <v>11031</v>
      </c>
      <c r="M3149" s="2" t="s">
        <v>11031</v>
      </c>
      <c r="N3149" s="2" t="s">
        <v>11037</v>
      </c>
      <c r="O3149" s="2" t="s">
        <v>11037</v>
      </c>
      <c r="P3149" s="2" t="s">
        <v>11036</v>
      </c>
      <c r="Q3149" s="2">
        <f>AVERAGE(PerfRate[[#This Row],[EnvironmentSatisfaction]],PerfRate[[#This Row],[JobSatisfaction]],PerfRate[[#This Row],[RelationshipSatisfaction]])</f>
        <v>3.6666666666666665</v>
      </c>
      <c r="R3149" s="2">
        <f>PerfRate[[#This Row],[ManagerRating]] - PerfRate[[#This Row],[SelfRating]]</f>
        <v>0</v>
      </c>
    </row>
    <row r="3150" spans="1:18">
      <c r="A3150" s="2" t="s">
        <v>7457</v>
      </c>
      <c r="B3150" s="2" t="s">
        <v>937</v>
      </c>
      <c r="C3150" s="1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  <c r="L3150" s="2" t="s">
        <v>11030</v>
      </c>
      <c r="M3150" s="2" t="s">
        <v>11029</v>
      </c>
      <c r="N3150" s="2" t="s">
        <v>11036</v>
      </c>
      <c r="O3150" s="2" t="s">
        <v>11035</v>
      </c>
      <c r="P3150" s="2" t="s">
        <v>11036</v>
      </c>
      <c r="Q3150" s="2">
        <f>AVERAGE(PerfRate[[#This Row],[EnvironmentSatisfaction]],PerfRate[[#This Row],[JobSatisfaction]],PerfRate[[#This Row],[RelationshipSatisfaction]])</f>
        <v>2.6666666666666665</v>
      </c>
      <c r="R3150" s="2">
        <f>PerfRate[[#This Row],[ManagerRating]] - PerfRate[[#This Row],[SelfRating]]</f>
        <v>-1</v>
      </c>
    </row>
    <row r="3151" spans="1:18">
      <c r="A3151" s="2" t="s">
        <v>7458</v>
      </c>
      <c r="B3151" s="2" t="s">
        <v>1139</v>
      </c>
      <c r="C3151" s="1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  <c r="L3151" s="2" t="s">
        <v>11029</v>
      </c>
      <c r="M3151" s="2" t="s">
        <v>11028</v>
      </c>
      <c r="N3151" s="2" t="s">
        <v>11036</v>
      </c>
      <c r="O3151" s="2" t="s">
        <v>11038</v>
      </c>
      <c r="P3151" s="2" t="s">
        <v>11035</v>
      </c>
      <c r="Q3151" s="2">
        <f>AVERAGE(PerfRate[[#This Row],[EnvironmentSatisfaction]],PerfRate[[#This Row],[JobSatisfaction]],PerfRate[[#This Row],[RelationshipSatisfaction]])</f>
        <v>3.3333333333333335</v>
      </c>
      <c r="R3151" s="2">
        <f>PerfRate[[#This Row],[ManagerRating]] - PerfRate[[#This Row],[SelfRating]]</f>
        <v>-1</v>
      </c>
    </row>
    <row r="3152" spans="1:18">
      <c r="A3152" s="2" t="s">
        <v>7459</v>
      </c>
      <c r="B3152" s="2" t="s">
        <v>2551</v>
      </c>
      <c r="C3152" s="1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  <c r="L3152" s="2" t="s">
        <v>11031</v>
      </c>
      <c r="M3152" s="2" t="s">
        <v>11031</v>
      </c>
      <c r="N3152" s="2" t="s">
        <v>11038</v>
      </c>
      <c r="O3152" s="2" t="s">
        <v>11036</v>
      </c>
      <c r="P3152" s="2" t="s">
        <v>11035</v>
      </c>
      <c r="Q3152" s="2">
        <f>AVERAGE(PerfRate[[#This Row],[EnvironmentSatisfaction]],PerfRate[[#This Row],[JobSatisfaction]],PerfRate[[#This Row],[RelationshipSatisfaction]])</f>
        <v>3.3333333333333335</v>
      </c>
      <c r="R3152" s="2">
        <f>PerfRate[[#This Row],[ManagerRating]] - PerfRate[[#This Row],[SelfRating]]</f>
        <v>0</v>
      </c>
    </row>
    <row r="3153" spans="1:18">
      <c r="A3153" s="2" t="s">
        <v>7460</v>
      </c>
      <c r="B3153" s="2" t="s">
        <v>3510</v>
      </c>
      <c r="C3153" s="1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  <c r="L3153" s="2" t="s">
        <v>11031</v>
      </c>
      <c r="M3153" s="2" t="s">
        <v>11030</v>
      </c>
      <c r="N3153" s="2" t="s">
        <v>11037</v>
      </c>
      <c r="O3153" s="2" t="s">
        <v>11036</v>
      </c>
      <c r="P3153" s="2" t="s">
        <v>11037</v>
      </c>
      <c r="Q3153" s="2">
        <f>AVERAGE(PerfRate[[#This Row],[EnvironmentSatisfaction]],PerfRate[[#This Row],[JobSatisfaction]],PerfRate[[#This Row],[RelationshipSatisfaction]])</f>
        <v>3.6666666666666665</v>
      </c>
      <c r="R3153" s="2">
        <f>PerfRate[[#This Row],[ManagerRating]] - PerfRate[[#This Row],[SelfRating]]</f>
        <v>-1</v>
      </c>
    </row>
    <row r="3154" spans="1:18">
      <c r="A3154" s="2" t="s">
        <v>7461</v>
      </c>
      <c r="B3154" s="2" t="s">
        <v>1111</v>
      </c>
      <c r="C3154" s="1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  <c r="L3154" s="2" t="s">
        <v>11031</v>
      </c>
      <c r="M3154" s="2" t="s">
        <v>11031</v>
      </c>
      <c r="N3154" s="2" t="s">
        <v>11036</v>
      </c>
      <c r="O3154" s="2" t="s">
        <v>11035</v>
      </c>
      <c r="P3154" s="2" t="s">
        <v>11036</v>
      </c>
      <c r="Q3154" s="2">
        <f>AVERAGE(PerfRate[[#This Row],[EnvironmentSatisfaction]],PerfRate[[#This Row],[JobSatisfaction]],PerfRate[[#This Row],[RelationshipSatisfaction]])</f>
        <v>2.6666666666666665</v>
      </c>
      <c r="R3154" s="2">
        <f>PerfRate[[#This Row],[ManagerRating]] - PerfRate[[#This Row],[SelfRating]]</f>
        <v>0</v>
      </c>
    </row>
    <row r="3155" spans="1:18">
      <c r="A3155" s="2" t="s">
        <v>7462</v>
      </c>
      <c r="B3155" s="2" t="s">
        <v>532</v>
      </c>
      <c r="C3155" s="1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  <c r="L3155" s="2" t="s">
        <v>11029</v>
      </c>
      <c r="M3155" s="2" t="s">
        <v>11029</v>
      </c>
      <c r="N3155" s="2" t="s">
        <v>11037</v>
      </c>
      <c r="O3155" s="2" t="s">
        <v>11036</v>
      </c>
      <c r="P3155" s="2" t="s">
        <v>11036</v>
      </c>
      <c r="Q3155" s="2">
        <f>AVERAGE(PerfRate[[#This Row],[EnvironmentSatisfaction]],PerfRate[[#This Row],[JobSatisfaction]],PerfRate[[#This Row],[RelationshipSatisfaction]])</f>
        <v>3.3333333333333335</v>
      </c>
      <c r="R3155" s="2">
        <f>PerfRate[[#This Row],[ManagerRating]] - PerfRate[[#This Row],[SelfRating]]</f>
        <v>0</v>
      </c>
    </row>
    <row r="3156" spans="1:18">
      <c r="A3156" s="2" t="s">
        <v>7463</v>
      </c>
      <c r="B3156" s="2" t="s">
        <v>1850</v>
      </c>
      <c r="C3156" s="1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  <c r="L3156" s="2" t="s">
        <v>11029</v>
      </c>
      <c r="M3156" s="2" t="s">
        <v>11029</v>
      </c>
      <c r="N3156" s="2" t="s">
        <v>11036</v>
      </c>
      <c r="O3156" s="2" t="s">
        <v>11038</v>
      </c>
      <c r="P3156" s="2" t="s">
        <v>11036</v>
      </c>
      <c r="Q3156" s="2">
        <f>AVERAGE(PerfRate[[#This Row],[EnvironmentSatisfaction]],PerfRate[[#This Row],[JobSatisfaction]],PerfRate[[#This Row],[RelationshipSatisfaction]])</f>
        <v>3.6666666666666665</v>
      </c>
      <c r="R3156" s="2">
        <f>PerfRate[[#This Row],[ManagerRating]] - PerfRate[[#This Row],[SelfRating]]</f>
        <v>0</v>
      </c>
    </row>
    <row r="3157" spans="1:18">
      <c r="A3157" s="2" t="s">
        <v>7464</v>
      </c>
      <c r="B3157" s="2" t="s">
        <v>2326</v>
      </c>
      <c r="C3157" s="1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  <c r="L3157" s="2" t="s">
        <v>11031</v>
      </c>
      <c r="M3157" s="2" t="s">
        <v>11031</v>
      </c>
      <c r="N3157" s="2" t="s">
        <v>11037</v>
      </c>
      <c r="O3157" s="2" t="s">
        <v>11038</v>
      </c>
      <c r="P3157" s="2" t="s">
        <v>11036</v>
      </c>
      <c r="Q3157" s="2">
        <f>AVERAGE(PerfRate[[#This Row],[EnvironmentSatisfaction]],PerfRate[[#This Row],[JobSatisfaction]],PerfRate[[#This Row],[RelationshipSatisfaction]])</f>
        <v>4</v>
      </c>
      <c r="R3157" s="2">
        <f>PerfRate[[#This Row],[ManagerRating]] - PerfRate[[#This Row],[SelfRating]]</f>
        <v>0</v>
      </c>
    </row>
    <row r="3158" spans="1:18">
      <c r="A3158" s="2" t="s">
        <v>7465</v>
      </c>
      <c r="B3158" s="2" t="s">
        <v>1802</v>
      </c>
      <c r="C3158" s="1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  <c r="L3158" s="2" t="s">
        <v>11029</v>
      </c>
      <c r="M3158" s="2" t="s">
        <v>11029</v>
      </c>
      <c r="N3158" s="2" t="s">
        <v>11036</v>
      </c>
      <c r="O3158" s="2" t="s">
        <v>11034</v>
      </c>
      <c r="P3158" s="2" t="s">
        <v>11037</v>
      </c>
      <c r="Q3158" s="2">
        <f>AVERAGE(PerfRate[[#This Row],[EnvironmentSatisfaction]],PerfRate[[#This Row],[JobSatisfaction]],PerfRate[[#This Row],[RelationshipSatisfaction]])</f>
        <v>2.6666666666666665</v>
      </c>
      <c r="R3158" s="2">
        <f>PerfRate[[#This Row],[ManagerRating]] - PerfRate[[#This Row],[SelfRating]]</f>
        <v>0</v>
      </c>
    </row>
    <row r="3159" spans="1:18">
      <c r="A3159" s="2" t="s">
        <v>7466</v>
      </c>
      <c r="B3159" s="2" t="s">
        <v>3320</v>
      </c>
      <c r="C3159" s="1">
        <v>43834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  <c r="L3159" s="2" t="s">
        <v>11029</v>
      </c>
      <c r="M3159" s="2" t="s">
        <v>11029</v>
      </c>
      <c r="N3159" s="2" t="s">
        <v>11035</v>
      </c>
      <c r="O3159" s="2" t="s">
        <v>11037</v>
      </c>
      <c r="P3159" s="2" t="s">
        <v>11034</v>
      </c>
      <c r="Q3159" s="2">
        <f>AVERAGE(PerfRate[[#This Row],[EnvironmentSatisfaction]],PerfRate[[#This Row],[JobSatisfaction]],PerfRate[[#This Row],[RelationshipSatisfaction]])</f>
        <v>2.3333333333333335</v>
      </c>
      <c r="R3159" s="2">
        <f>PerfRate[[#This Row],[ManagerRating]] - PerfRate[[#This Row],[SelfRating]]</f>
        <v>0</v>
      </c>
    </row>
    <row r="3160" spans="1:18">
      <c r="A3160" s="2" t="s">
        <v>7467</v>
      </c>
      <c r="B3160" s="2" t="s">
        <v>160</v>
      </c>
      <c r="C3160" s="1">
        <v>43834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  <c r="L3160" s="2" t="s">
        <v>11029</v>
      </c>
      <c r="M3160" s="2" t="s">
        <v>11029</v>
      </c>
      <c r="N3160" s="2" t="s">
        <v>11036</v>
      </c>
      <c r="O3160" s="2" t="s">
        <v>11036</v>
      </c>
      <c r="P3160" s="2" t="s">
        <v>11037</v>
      </c>
      <c r="Q3160" s="2">
        <f>AVERAGE(PerfRate[[#This Row],[EnvironmentSatisfaction]],PerfRate[[#This Row],[JobSatisfaction]],PerfRate[[#This Row],[RelationshipSatisfaction]])</f>
        <v>3.3333333333333335</v>
      </c>
      <c r="R3160" s="2">
        <f>PerfRate[[#This Row],[ManagerRating]] - PerfRate[[#This Row],[SelfRating]]</f>
        <v>0</v>
      </c>
    </row>
    <row r="3161" spans="1:18">
      <c r="A3161" s="2" t="s">
        <v>7468</v>
      </c>
      <c r="B3161" s="2" t="s">
        <v>753</v>
      </c>
      <c r="C3161" s="1">
        <v>43834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  <c r="L3161" s="2" t="s">
        <v>11030</v>
      </c>
      <c r="M3161" s="2" t="s">
        <v>11029</v>
      </c>
      <c r="N3161" s="2" t="s">
        <v>11037</v>
      </c>
      <c r="O3161" s="2" t="s">
        <v>11037</v>
      </c>
      <c r="P3161" s="2" t="s">
        <v>11036</v>
      </c>
      <c r="Q3161" s="2">
        <f>AVERAGE(PerfRate[[#This Row],[EnvironmentSatisfaction]],PerfRate[[#This Row],[JobSatisfaction]],PerfRate[[#This Row],[RelationshipSatisfaction]])</f>
        <v>3.6666666666666665</v>
      </c>
      <c r="R3161" s="2">
        <f>PerfRate[[#This Row],[ManagerRating]] - PerfRate[[#This Row],[SelfRating]]</f>
        <v>-1</v>
      </c>
    </row>
    <row r="3162" spans="1:18">
      <c r="A3162" s="2" t="s">
        <v>7469</v>
      </c>
      <c r="B3162" s="2" t="s">
        <v>1108</v>
      </c>
      <c r="C3162" s="1">
        <v>43834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  <c r="L3162" s="2" t="s">
        <v>11031</v>
      </c>
      <c r="M3162" s="2" t="s">
        <v>11031</v>
      </c>
      <c r="N3162" s="2" t="s">
        <v>11037</v>
      </c>
      <c r="O3162" s="2" t="s">
        <v>11036</v>
      </c>
      <c r="P3162" s="2" t="s">
        <v>11034</v>
      </c>
      <c r="Q3162" s="2">
        <f>AVERAGE(PerfRate[[#This Row],[EnvironmentSatisfaction]],PerfRate[[#This Row],[JobSatisfaction]],PerfRate[[#This Row],[RelationshipSatisfaction]])</f>
        <v>2.6666666666666665</v>
      </c>
      <c r="R3162" s="2">
        <f>PerfRate[[#This Row],[ManagerRating]] - PerfRate[[#This Row],[SelfRating]]</f>
        <v>0</v>
      </c>
    </row>
    <row r="3163" spans="1:18">
      <c r="A3163" s="2" t="s">
        <v>7470</v>
      </c>
      <c r="B3163" s="2" t="s">
        <v>1189</v>
      </c>
      <c r="C3163" s="1">
        <v>43865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  <c r="L3163" s="2" t="s">
        <v>11031</v>
      </c>
      <c r="M3163" s="2" t="s">
        <v>11031</v>
      </c>
      <c r="N3163" s="2" t="s">
        <v>11034</v>
      </c>
      <c r="O3163" s="2" t="s">
        <v>11037</v>
      </c>
      <c r="P3163" s="2" t="s">
        <v>11036</v>
      </c>
      <c r="Q3163" s="2">
        <f>AVERAGE(PerfRate[[#This Row],[EnvironmentSatisfaction]],PerfRate[[#This Row],[JobSatisfaction]],PerfRate[[#This Row],[RelationshipSatisfaction]])</f>
        <v>2.6666666666666665</v>
      </c>
      <c r="R3163" s="2">
        <f>PerfRate[[#This Row],[ManagerRating]] - PerfRate[[#This Row],[SelfRating]]</f>
        <v>0</v>
      </c>
    </row>
    <row r="3164" spans="1:18">
      <c r="A3164" s="2" t="s">
        <v>7471</v>
      </c>
      <c r="B3164" s="2" t="s">
        <v>3341</v>
      </c>
      <c r="C3164" s="1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  <c r="L3164" s="2" t="s">
        <v>11030</v>
      </c>
      <c r="M3164" s="2" t="s">
        <v>11029</v>
      </c>
      <c r="N3164" s="2" t="s">
        <v>11038</v>
      </c>
      <c r="O3164" s="2" t="s">
        <v>11036</v>
      </c>
      <c r="P3164" s="2" t="s">
        <v>11038</v>
      </c>
      <c r="Q3164" s="2">
        <f>AVERAGE(PerfRate[[#This Row],[EnvironmentSatisfaction]],PerfRate[[#This Row],[JobSatisfaction]],PerfRate[[#This Row],[RelationshipSatisfaction]])</f>
        <v>4.333333333333333</v>
      </c>
      <c r="R3164" s="2">
        <f>PerfRate[[#This Row],[ManagerRating]] - PerfRate[[#This Row],[SelfRating]]</f>
        <v>-1</v>
      </c>
    </row>
    <row r="3165" spans="1:18">
      <c r="A3165" s="2" t="s">
        <v>7472</v>
      </c>
      <c r="B3165" s="2" t="s">
        <v>2312</v>
      </c>
      <c r="C3165" s="1">
        <v>43865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  <c r="L3165" s="2" t="s">
        <v>11031</v>
      </c>
      <c r="M3165" s="2" t="s">
        <v>11031</v>
      </c>
      <c r="N3165" s="2" t="s">
        <v>11035</v>
      </c>
      <c r="O3165" s="2" t="s">
        <v>11037</v>
      </c>
      <c r="P3165" s="2" t="s">
        <v>11035</v>
      </c>
      <c r="Q3165" s="2">
        <f>AVERAGE(PerfRate[[#This Row],[EnvironmentSatisfaction]],PerfRate[[#This Row],[JobSatisfaction]],PerfRate[[#This Row],[RelationshipSatisfaction]])</f>
        <v>2.6666666666666665</v>
      </c>
      <c r="R3165" s="2">
        <f>PerfRate[[#This Row],[ManagerRating]] - PerfRate[[#This Row],[SelfRating]]</f>
        <v>0</v>
      </c>
    </row>
    <row r="3166" spans="1:18">
      <c r="A3166" s="2" t="s">
        <v>7473</v>
      </c>
      <c r="B3166" s="2" t="s">
        <v>2473</v>
      </c>
      <c r="C3166" s="1">
        <v>43865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  <c r="L3166" s="2" t="s">
        <v>11029</v>
      </c>
      <c r="M3166" s="2" t="s">
        <v>11028</v>
      </c>
      <c r="N3166" s="2" t="s">
        <v>11036</v>
      </c>
      <c r="O3166" s="2" t="s">
        <v>11035</v>
      </c>
      <c r="P3166" s="2" t="s">
        <v>11036</v>
      </c>
      <c r="Q3166" s="2">
        <f>AVERAGE(PerfRate[[#This Row],[EnvironmentSatisfaction]],PerfRate[[#This Row],[JobSatisfaction]],PerfRate[[#This Row],[RelationshipSatisfaction]])</f>
        <v>2.6666666666666665</v>
      </c>
      <c r="R3166" s="2">
        <f>PerfRate[[#This Row],[ManagerRating]] - PerfRate[[#This Row],[SelfRating]]</f>
        <v>-1</v>
      </c>
    </row>
    <row r="3167" spans="1:18">
      <c r="A3167" s="2" t="s">
        <v>7474</v>
      </c>
      <c r="B3167" s="2" t="s">
        <v>1529</v>
      </c>
      <c r="C3167" s="1">
        <v>43894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  <c r="L3167" s="2" t="s">
        <v>11029</v>
      </c>
      <c r="M3167" s="2" t="s">
        <v>11028</v>
      </c>
      <c r="N3167" s="2" t="s">
        <v>11036</v>
      </c>
      <c r="O3167" s="2" t="s">
        <v>11037</v>
      </c>
      <c r="P3167" s="2" t="s">
        <v>11036</v>
      </c>
      <c r="Q3167" s="2">
        <f>AVERAGE(PerfRate[[#This Row],[EnvironmentSatisfaction]],PerfRate[[#This Row],[JobSatisfaction]],PerfRate[[#This Row],[RelationshipSatisfaction]])</f>
        <v>3.3333333333333335</v>
      </c>
      <c r="R3167" s="2">
        <f>PerfRate[[#This Row],[ManagerRating]] - PerfRate[[#This Row],[SelfRating]]</f>
        <v>-1</v>
      </c>
    </row>
    <row r="3168" spans="1:18">
      <c r="A3168" s="2" t="s">
        <v>7475</v>
      </c>
      <c r="B3168" s="2" t="s">
        <v>1474</v>
      </c>
      <c r="C3168" s="1">
        <v>43894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  <c r="L3168" s="2" t="s">
        <v>11030</v>
      </c>
      <c r="M3168" s="2" t="s">
        <v>11030</v>
      </c>
      <c r="N3168" s="2" t="s">
        <v>11037</v>
      </c>
      <c r="O3168" s="2" t="s">
        <v>11038</v>
      </c>
      <c r="P3168" s="2" t="s">
        <v>11036</v>
      </c>
      <c r="Q3168" s="2">
        <f>AVERAGE(PerfRate[[#This Row],[EnvironmentSatisfaction]],PerfRate[[#This Row],[JobSatisfaction]],PerfRate[[#This Row],[RelationshipSatisfaction]])</f>
        <v>4</v>
      </c>
      <c r="R3168" s="2">
        <f>PerfRate[[#This Row],[ManagerRating]] - PerfRate[[#This Row],[SelfRating]]</f>
        <v>0</v>
      </c>
    </row>
    <row r="3169" spans="1:18">
      <c r="A3169" s="2" t="s">
        <v>7476</v>
      </c>
      <c r="B3169" s="2" t="s">
        <v>1853</v>
      </c>
      <c r="C3169" s="1">
        <v>43894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  <c r="L3169" s="2" t="s">
        <v>11031</v>
      </c>
      <c r="M3169" s="2" t="s">
        <v>11030</v>
      </c>
      <c r="N3169" s="2" t="s">
        <v>11038</v>
      </c>
      <c r="O3169" s="2" t="s">
        <v>11038</v>
      </c>
      <c r="P3169" s="2" t="s">
        <v>11037</v>
      </c>
      <c r="Q3169" s="2">
        <f>AVERAGE(PerfRate[[#This Row],[EnvironmentSatisfaction]],PerfRate[[#This Row],[JobSatisfaction]],PerfRate[[#This Row],[RelationshipSatisfaction]])</f>
        <v>4.666666666666667</v>
      </c>
      <c r="R3169" s="2">
        <f>PerfRate[[#This Row],[ManagerRating]] - PerfRate[[#This Row],[SelfRating]]</f>
        <v>-1</v>
      </c>
    </row>
    <row r="3170" spans="1:18">
      <c r="A3170" s="2" t="s">
        <v>7477</v>
      </c>
      <c r="B3170" s="2" t="s">
        <v>687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  <c r="L3170" s="2" t="s">
        <v>11031</v>
      </c>
      <c r="M3170" s="2" t="s">
        <v>11030</v>
      </c>
      <c r="N3170" s="2" t="s">
        <v>11036</v>
      </c>
      <c r="O3170" s="2" t="s">
        <v>11037</v>
      </c>
      <c r="P3170" s="2" t="s">
        <v>11035</v>
      </c>
      <c r="Q3170" s="2">
        <f>AVERAGE(PerfRate[[#This Row],[EnvironmentSatisfaction]],PerfRate[[#This Row],[JobSatisfaction]],PerfRate[[#This Row],[RelationshipSatisfaction]])</f>
        <v>3</v>
      </c>
      <c r="R3170" s="2">
        <f>PerfRate[[#This Row],[ManagerRating]] - PerfRate[[#This Row],[SelfRating]]</f>
        <v>-1</v>
      </c>
    </row>
    <row r="3171" spans="1:18">
      <c r="A3171" s="2" t="s">
        <v>7478</v>
      </c>
      <c r="B3171" s="2" t="s">
        <v>2792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  <c r="L3171" s="2" t="s">
        <v>11029</v>
      </c>
      <c r="M3171" s="2" t="s">
        <v>11028</v>
      </c>
      <c r="N3171" s="2" t="s">
        <v>11038</v>
      </c>
      <c r="O3171" s="2" t="s">
        <v>11036</v>
      </c>
      <c r="P3171" s="2" t="s">
        <v>11036</v>
      </c>
      <c r="Q3171" s="2">
        <f>AVERAGE(PerfRate[[#This Row],[EnvironmentSatisfaction]],PerfRate[[#This Row],[JobSatisfaction]],PerfRate[[#This Row],[RelationshipSatisfaction]])</f>
        <v>3.6666666666666665</v>
      </c>
      <c r="R3171" s="2">
        <f>PerfRate[[#This Row],[ManagerRating]] - PerfRate[[#This Row],[SelfRating]]</f>
        <v>-1</v>
      </c>
    </row>
    <row r="3172" spans="1:18">
      <c r="A3172" s="2" t="s">
        <v>7479</v>
      </c>
      <c r="B3172" s="2" t="s">
        <v>2981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  <c r="L3172" s="2" t="s">
        <v>11029</v>
      </c>
      <c r="M3172" s="2" t="s">
        <v>11028</v>
      </c>
      <c r="N3172" s="2" t="s">
        <v>11038</v>
      </c>
      <c r="O3172" s="2" t="s">
        <v>11038</v>
      </c>
      <c r="P3172" s="2" t="s">
        <v>11036</v>
      </c>
      <c r="Q3172" s="2">
        <f>AVERAGE(PerfRate[[#This Row],[EnvironmentSatisfaction]],PerfRate[[#This Row],[JobSatisfaction]],PerfRate[[#This Row],[RelationshipSatisfaction]])</f>
        <v>4.333333333333333</v>
      </c>
      <c r="R3172" s="2">
        <f>PerfRate[[#This Row],[ManagerRating]] - PerfRate[[#This Row],[SelfRating]]</f>
        <v>-1</v>
      </c>
    </row>
    <row r="3173" spans="1:18">
      <c r="A3173" s="2" t="s">
        <v>7480</v>
      </c>
      <c r="B3173" s="2" t="s">
        <v>1227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  <c r="L3173" s="2" t="s">
        <v>11030</v>
      </c>
      <c r="M3173" s="2" t="s">
        <v>11029</v>
      </c>
      <c r="N3173" s="2" t="s">
        <v>11036</v>
      </c>
      <c r="O3173" s="2" t="s">
        <v>11035</v>
      </c>
      <c r="P3173" s="2" t="s">
        <v>11037</v>
      </c>
      <c r="Q3173" s="2">
        <f>AVERAGE(PerfRate[[#This Row],[EnvironmentSatisfaction]],PerfRate[[#This Row],[JobSatisfaction]],PerfRate[[#This Row],[RelationshipSatisfaction]])</f>
        <v>3</v>
      </c>
      <c r="R3173" s="2">
        <f>PerfRate[[#This Row],[ManagerRating]] - PerfRate[[#This Row],[SelfRating]]</f>
        <v>-1</v>
      </c>
    </row>
    <row r="3174" spans="1:18">
      <c r="A3174" s="2" t="s">
        <v>7481</v>
      </c>
      <c r="B3174" s="2" t="s">
        <v>296</v>
      </c>
      <c r="C3174" s="1">
        <v>43955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  <c r="L3174" s="2" t="s">
        <v>11029</v>
      </c>
      <c r="M3174" s="2" t="s">
        <v>11028</v>
      </c>
      <c r="N3174" s="2" t="s">
        <v>11038</v>
      </c>
      <c r="O3174" s="2" t="s">
        <v>11036</v>
      </c>
      <c r="P3174" s="2" t="s">
        <v>11037</v>
      </c>
      <c r="Q3174" s="2">
        <f>AVERAGE(PerfRate[[#This Row],[EnvironmentSatisfaction]],PerfRate[[#This Row],[JobSatisfaction]],PerfRate[[#This Row],[RelationshipSatisfaction]])</f>
        <v>4</v>
      </c>
      <c r="R3174" s="2">
        <f>PerfRate[[#This Row],[ManagerRating]] - PerfRate[[#This Row],[SelfRating]]</f>
        <v>-1</v>
      </c>
    </row>
    <row r="3175" spans="1:18">
      <c r="A3175" s="2" t="s">
        <v>7482</v>
      </c>
      <c r="B3175" s="2" t="s">
        <v>4032</v>
      </c>
      <c r="C3175" s="1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  <c r="L3175" s="2" t="s">
        <v>11030</v>
      </c>
      <c r="M3175" s="2" t="s">
        <v>11030</v>
      </c>
      <c r="N3175" s="2" t="s">
        <v>11036</v>
      </c>
      <c r="O3175" s="2" t="s">
        <v>11038</v>
      </c>
      <c r="P3175" s="2" t="s">
        <v>11036</v>
      </c>
      <c r="Q3175" s="2">
        <f>AVERAGE(PerfRate[[#This Row],[EnvironmentSatisfaction]],PerfRate[[#This Row],[JobSatisfaction]],PerfRate[[#This Row],[RelationshipSatisfaction]])</f>
        <v>3.6666666666666665</v>
      </c>
      <c r="R3175" s="2">
        <f>PerfRate[[#This Row],[ManagerRating]] - PerfRate[[#This Row],[SelfRating]]</f>
        <v>0</v>
      </c>
    </row>
    <row r="3176" spans="1:18">
      <c r="A3176" s="2" t="s">
        <v>7483</v>
      </c>
      <c r="B3176" s="2" t="s">
        <v>2175</v>
      </c>
      <c r="C3176" s="1">
        <v>43955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  <c r="L3176" s="2" t="s">
        <v>11029</v>
      </c>
      <c r="M3176" s="2" t="s">
        <v>11028</v>
      </c>
      <c r="N3176" s="2" t="s">
        <v>11038</v>
      </c>
      <c r="O3176" s="2" t="s">
        <v>11038</v>
      </c>
      <c r="P3176" s="2" t="s">
        <v>11037</v>
      </c>
      <c r="Q3176" s="2">
        <f>AVERAGE(PerfRate[[#This Row],[EnvironmentSatisfaction]],PerfRate[[#This Row],[JobSatisfaction]],PerfRate[[#This Row],[RelationshipSatisfaction]])</f>
        <v>4.666666666666667</v>
      </c>
      <c r="R3176" s="2">
        <f>PerfRate[[#This Row],[ManagerRating]] - PerfRate[[#This Row],[SelfRating]]</f>
        <v>-1</v>
      </c>
    </row>
    <row r="3177" spans="1:18">
      <c r="A3177" s="2" t="s">
        <v>7484</v>
      </c>
      <c r="B3177" s="2" t="s">
        <v>42</v>
      </c>
      <c r="C3177" s="1">
        <v>44016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  <c r="L3177" s="2" t="s">
        <v>11029</v>
      </c>
      <c r="M3177" s="2" t="s">
        <v>11028</v>
      </c>
      <c r="N3177" s="2" t="s">
        <v>11037</v>
      </c>
      <c r="O3177" s="2" t="s">
        <v>11035</v>
      </c>
      <c r="P3177" s="2" t="s">
        <v>11036</v>
      </c>
      <c r="Q3177" s="2">
        <f>AVERAGE(PerfRate[[#This Row],[EnvironmentSatisfaction]],PerfRate[[#This Row],[JobSatisfaction]],PerfRate[[#This Row],[RelationshipSatisfaction]])</f>
        <v>3</v>
      </c>
      <c r="R3177" s="2">
        <f>PerfRate[[#This Row],[ManagerRating]] - PerfRate[[#This Row],[SelfRating]]</f>
        <v>-1</v>
      </c>
    </row>
    <row r="3178" spans="1:18">
      <c r="A3178" s="2" t="s">
        <v>7485</v>
      </c>
      <c r="B3178" s="2" t="s">
        <v>2293</v>
      </c>
      <c r="C3178" s="1">
        <v>44016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  <c r="L3178" s="2" t="s">
        <v>11029</v>
      </c>
      <c r="M3178" s="2" t="s">
        <v>11028</v>
      </c>
      <c r="N3178" s="2" t="s">
        <v>11036</v>
      </c>
      <c r="O3178" s="2" t="s">
        <v>11035</v>
      </c>
      <c r="P3178" s="2" t="s">
        <v>11036</v>
      </c>
      <c r="Q3178" s="2">
        <f>AVERAGE(PerfRate[[#This Row],[EnvironmentSatisfaction]],PerfRate[[#This Row],[JobSatisfaction]],PerfRate[[#This Row],[RelationshipSatisfaction]])</f>
        <v>2.6666666666666665</v>
      </c>
      <c r="R3178" s="2">
        <f>PerfRate[[#This Row],[ManagerRating]] - PerfRate[[#This Row],[SelfRating]]</f>
        <v>-1</v>
      </c>
    </row>
    <row r="3179" spans="1:18">
      <c r="A3179" s="2" t="s">
        <v>7486</v>
      </c>
      <c r="B3179" s="2" t="s">
        <v>779</v>
      </c>
      <c r="C3179" s="1">
        <v>44047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  <c r="L3179" s="2" t="s">
        <v>11031</v>
      </c>
      <c r="M3179" s="2" t="s">
        <v>11030</v>
      </c>
      <c r="N3179" s="2" t="s">
        <v>11037</v>
      </c>
      <c r="O3179" s="2" t="s">
        <v>11038</v>
      </c>
      <c r="P3179" s="2" t="s">
        <v>11037</v>
      </c>
      <c r="Q3179" s="2">
        <f>AVERAGE(PerfRate[[#This Row],[EnvironmentSatisfaction]],PerfRate[[#This Row],[JobSatisfaction]],PerfRate[[#This Row],[RelationshipSatisfaction]])</f>
        <v>4.333333333333333</v>
      </c>
      <c r="R3179" s="2">
        <f>PerfRate[[#This Row],[ManagerRating]] - PerfRate[[#This Row],[SelfRating]]</f>
        <v>-1</v>
      </c>
    </row>
    <row r="3180" spans="1:18">
      <c r="A3180" s="2" t="s">
        <v>7487</v>
      </c>
      <c r="B3180" s="2" t="s">
        <v>3986</v>
      </c>
      <c r="C3180" s="1">
        <v>44047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  <c r="L3180" s="2" t="s">
        <v>11031</v>
      </c>
      <c r="M3180" s="2" t="s">
        <v>11030</v>
      </c>
      <c r="N3180" s="2" t="s">
        <v>11038</v>
      </c>
      <c r="O3180" s="2" t="s">
        <v>11037</v>
      </c>
      <c r="P3180" s="2" t="s">
        <v>11037</v>
      </c>
      <c r="Q3180" s="2">
        <f>AVERAGE(PerfRate[[#This Row],[EnvironmentSatisfaction]],PerfRate[[#This Row],[JobSatisfaction]],PerfRate[[#This Row],[RelationshipSatisfaction]])</f>
        <v>4.333333333333333</v>
      </c>
      <c r="R3180" s="2">
        <f>PerfRate[[#This Row],[ManagerRating]] - PerfRate[[#This Row],[SelfRating]]</f>
        <v>-1</v>
      </c>
    </row>
    <row r="3181" spans="1:18">
      <c r="A3181" s="2" t="s">
        <v>7488</v>
      </c>
      <c r="B3181" s="2" t="s">
        <v>1389</v>
      </c>
      <c r="C3181" s="1">
        <v>44047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  <c r="L3181" s="2" t="s">
        <v>11029</v>
      </c>
      <c r="M3181" s="2" t="s">
        <v>11028</v>
      </c>
      <c r="N3181" s="2" t="s">
        <v>11037</v>
      </c>
      <c r="O3181" s="2" t="s">
        <v>11036</v>
      </c>
      <c r="P3181" s="2" t="s">
        <v>11036</v>
      </c>
      <c r="Q3181" s="2">
        <f>AVERAGE(PerfRate[[#This Row],[EnvironmentSatisfaction]],PerfRate[[#This Row],[JobSatisfaction]],PerfRate[[#This Row],[RelationshipSatisfaction]])</f>
        <v>3.3333333333333335</v>
      </c>
      <c r="R3181" s="2">
        <f>PerfRate[[#This Row],[ManagerRating]] - PerfRate[[#This Row],[SelfRating]]</f>
        <v>-1</v>
      </c>
    </row>
    <row r="3182" spans="1:18">
      <c r="A3182" s="2" t="s">
        <v>7489</v>
      </c>
      <c r="B3182" s="2" t="s">
        <v>2459</v>
      </c>
      <c r="C3182" s="1">
        <v>44047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  <c r="L3182" s="2" t="s">
        <v>11029</v>
      </c>
      <c r="M3182" s="2" t="s">
        <v>11029</v>
      </c>
      <c r="N3182" s="2" t="s">
        <v>11036</v>
      </c>
      <c r="O3182" s="2" t="s">
        <v>11035</v>
      </c>
      <c r="P3182" s="2" t="s">
        <v>11036</v>
      </c>
      <c r="Q3182" s="2">
        <f>AVERAGE(PerfRate[[#This Row],[EnvironmentSatisfaction]],PerfRate[[#This Row],[JobSatisfaction]],PerfRate[[#This Row],[RelationshipSatisfaction]])</f>
        <v>2.6666666666666665</v>
      </c>
      <c r="R3182" s="2">
        <f>PerfRate[[#This Row],[ManagerRating]] - PerfRate[[#This Row],[SelfRating]]</f>
        <v>0</v>
      </c>
    </row>
    <row r="3183" spans="1:18">
      <c r="A3183" s="2" t="s">
        <v>7490</v>
      </c>
      <c r="B3183" s="2" t="s">
        <v>323</v>
      </c>
      <c r="C3183" s="1">
        <v>44078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  <c r="L3183" s="2" t="s">
        <v>11031</v>
      </c>
      <c r="M3183" s="2" t="s">
        <v>11031</v>
      </c>
      <c r="N3183" s="2" t="s">
        <v>11038</v>
      </c>
      <c r="O3183" s="2" t="s">
        <v>11036</v>
      </c>
      <c r="P3183" s="2" t="s">
        <v>11035</v>
      </c>
      <c r="Q3183" s="2">
        <f>AVERAGE(PerfRate[[#This Row],[EnvironmentSatisfaction]],PerfRate[[#This Row],[JobSatisfaction]],PerfRate[[#This Row],[RelationshipSatisfaction]])</f>
        <v>3.3333333333333335</v>
      </c>
      <c r="R3183" s="2">
        <f>PerfRate[[#This Row],[ManagerRating]] - PerfRate[[#This Row],[SelfRating]]</f>
        <v>0</v>
      </c>
    </row>
    <row r="3184" spans="1:18">
      <c r="A3184" s="2" t="s">
        <v>7491</v>
      </c>
      <c r="B3184" s="2" t="s">
        <v>723</v>
      </c>
      <c r="C3184" s="1">
        <v>44078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  <c r="L3184" s="2" t="s">
        <v>11029</v>
      </c>
      <c r="M3184" s="2" t="s">
        <v>11029</v>
      </c>
      <c r="N3184" s="2" t="s">
        <v>11036</v>
      </c>
      <c r="O3184" s="2" t="s">
        <v>11037</v>
      </c>
      <c r="P3184" s="2" t="s">
        <v>11038</v>
      </c>
      <c r="Q3184" s="2">
        <f>AVERAGE(PerfRate[[#This Row],[EnvironmentSatisfaction]],PerfRate[[#This Row],[JobSatisfaction]],PerfRate[[#This Row],[RelationshipSatisfaction]])</f>
        <v>4</v>
      </c>
      <c r="R3184" s="2">
        <f>PerfRate[[#This Row],[ManagerRating]] - PerfRate[[#This Row],[SelfRating]]</f>
        <v>0</v>
      </c>
    </row>
    <row r="3185" spans="1:18">
      <c r="A3185" s="2" t="s">
        <v>7492</v>
      </c>
      <c r="B3185" s="2" t="s">
        <v>1976</v>
      </c>
      <c r="C3185" s="1">
        <v>44078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  <c r="L3185" s="2" t="s">
        <v>11031</v>
      </c>
      <c r="M3185" s="2" t="s">
        <v>11030</v>
      </c>
      <c r="N3185" s="2" t="s">
        <v>11037</v>
      </c>
      <c r="O3185" s="2" t="s">
        <v>11037</v>
      </c>
      <c r="P3185" s="2" t="s">
        <v>11036</v>
      </c>
      <c r="Q3185" s="2">
        <f>AVERAGE(PerfRate[[#This Row],[EnvironmentSatisfaction]],PerfRate[[#This Row],[JobSatisfaction]],PerfRate[[#This Row],[RelationshipSatisfaction]])</f>
        <v>3.6666666666666665</v>
      </c>
      <c r="R3185" s="2">
        <f>PerfRate[[#This Row],[ManagerRating]] - PerfRate[[#This Row],[SelfRating]]</f>
        <v>-1</v>
      </c>
    </row>
    <row r="3186" spans="1:18">
      <c r="A3186" s="2" t="s">
        <v>7493</v>
      </c>
      <c r="B3186" s="2" t="s">
        <v>1660</v>
      </c>
      <c r="C3186" s="1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  <c r="L3186" s="2" t="s">
        <v>11031</v>
      </c>
      <c r="M3186" s="2" t="s">
        <v>11031</v>
      </c>
      <c r="N3186" s="2" t="s">
        <v>11036</v>
      </c>
      <c r="O3186" s="2" t="s">
        <v>11035</v>
      </c>
      <c r="P3186" s="2" t="s">
        <v>11037</v>
      </c>
      <c r="Q3186" s="2">
        <f>AVERAGE(PerfRate[[#This Row],[EnvironmentSatisfaction]],PerfRate[[#This Row],[JobSatisfaction]],PerfRate[[#This Row],[RelationshipSatisfaction]])</f>
        <v>3</v>
      </c>
      <c r="R3186" s="2">
        <f>PerfRate[[#This Row],[ManagerRating]] - PerfRate[[#This Row],[SelfRating]]</f>
        <v>0</v>
      </c>
    </row>
    <row r="3187" spans="1:18">
      <c r="A3187" s="2" t="s">
        <v>7494</v>
      </c>
      <c r="B3187" s="2" t="s">
        <v>2178</v>
      </c>
      <c r="C3187" s="1">
        <v>44078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  <c r="L3187" s="2" t="s">
        <v>11029</v>
      </c>
      <c r="M3187" s="2" t="s">
        <v>11028</v>
      </c>
      <c r="N3187" s="2" t="s">
        <v>11036</v>
      </c>
      <c r="O3187" s="2" t="s">
        <v>11036</v>
      </c>
      <c r="P3187" s="2" t="s">
        <v>11037</v>
      </c>
      <c r="Q3187" s="2">
        <f>AVERAGE(PerfRate[[#This Row],[EnvironmentSatisfaction]],PerfRate[[#This Row],[JobSatisfaction]],PerfRate[[#This Row],[RelationshipSatisfaction]])</f>
        <v>3.3333333333333335</v>
      </c>
      <c r="R3187" s="2">
        <f>PerfRate[[#This Row],[ManagerRating]] - PerfRate[[#This Row],[SelfRating]]</f>
        <v>-1</v>
      </c>
    </row>
    <row r="3188" spans="1:18">
      <c r="A3188" s="2" t="s">
        <v>7495</v>
      </c>
      <c r="B3188" s="2" t="s">
        <v>395</v>
      </c>
      <c r="C3188" s="1">
        <v>44108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  <c r="L3188" s="2" t="s">
        <v>11029</v>
      </c>
      <c r="M3188" s="2" t="s">
        <v>11029</v>
      </c>
      <c r="N3188" s="2" t="s">
        <v>11038</v>
      </c>
      <c r="O3188" s="2" t="s">
        <v>11035</v>
      </c>
      <c r="P3188" s="2" t="s">
        <v>11037</v>
      </c>
      <c r="Q3188" s="2">
        <f>AVERAGE(PerfRate[[#This Row],[EnvironmentSatisfaction]],PerfRate[[#This Row],[JobSatisfaction]],PerfRate[[#This Row],[RelationshipSatisfaction]])</f>
        <v>3.6666666666666665</v>
      </c>
      <c r="R3188" s="2">
        <f>PerfRate[[#This Row],[ManagerRating]] - PerfRate[[#This Row],[SelfRating]]</f>
        <v>0</v>
      </c>
    </row>
    <row r="3189" spans="1:18">
      <c r="A3189" s="2" t="s">
        <v>7496</v>
      </c>
      <c r="B3189" s="2" t="s">
        <v>3448</v>
      </c>
      <c r="C3189" s="1">
        <v>44108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  <c r="L3189" s="2" t="s">
        <v>11029</v>
      </c>
      <c r="M3189" s="2" t="s">
        <v>11028</v>
      </c>
      <c r="N3189" s="2" t="s">
        <v>11038</v>
      </c>
      <c r="O3189" s="2" t="s">
        <v>11037</v>
      </c>
      <c r="P3189" s="2" t="s">
        <v>11037</v>
      </c>
      <c r="Q3189" s="2">
        <f>AVERAGE(PerfRate[[#This Row],[EnvironmentSatisfaction]],PerfRate[[#This Row],[JobSatisfaction]],PerfRate[[#This Row],[RelationshipSatisfaction]])</f>
        <v>4.333333333333333</v>
      </c>
      <c r="R3189" s="2">
        <f>PerfRate[[#This Row],[ManagerRating]] - PerfRate[[#This Row],[SelfRating]]</f>
        <v>-1</v>
      </c>
    </row>
    <row r="3190" spans="1:18">
      <c r="A3190" s="2" t="s">
        <v>7497</v>
      </c>
      <c r="B3190" s="2" t="s">
        <v>3490</v>
      </c>
      <c r="C3190" s="1">
        <v>44108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  <c r="L3190" s="2" t="s">
        <v>11030</v>
      </c>
      <c r="M3190" s="2" t="s">
        <v>11030</v>
      </c>
      <c r="N3190" s="2" t="s">
        <v>11036</v>
      </c>
      <c r="O3190" s="2" t="s">
        <v>11038</v>
      </c>
      <c r="P3190" s="2" t="s">
        <v>11037</v>
      </c>
      <c r="Q3190" s="2">
        <f>AVERAGE(PerfRate[[#This Row],[EnvironmentSatisfaction]],PerfRate[[#This Row],[JobSatisfaction]],PerfRate[[#This Row],[RelationshipSatisfaction]])</f>
        <v>4</v>
      </c>
      <c r="R3190" s="2">
        <f>PerfRate[[#This Row],[ManagerRating]] - PerfRate[[#This Row],[SelfRating]]</f>
        <v>0</v>
      </c>
    </row>
    <row r="3191" spans="1:18">
      <c r="A3191" s="2" t="s">
        <v>7498</v>
      </c>
      <c r="B3191" s="2" t="s">
        <v>1166</v>
      </c>
      <c r="C3191" s="1">
        <v>44108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  <c r="L3191" s="2" t="s">
        <v>11031</v>
      </c>
      <c r="M3191" s="2" t="s">
        <v>11031</v>
      </c>
      <c r="N3191" s="2" t="s">
        <v>11036</v>
      </c>
      <c r="O3191" s="2" t="s">
        <v>11037</v>
      </c>
      <c r="P3191" s="2" t="s">
        <v>11036</v>
      </c>
      <c r="Q3191" s="2">
        <f>AVERAGE(PerfRate[[#This Row],[EnvironmentSatisfaction]],PerfRate[[#This Row],[JobSatisfaction]],PerfRate[[#This Row],[RelationshipSatisfaction]])</f>
        <v>3.3333333333333335</v>
      </c>
      <c r="R3191" s="2">
        <f>PerfRate[[#This Row],[ManagerRating]] - PerfRate[[#This Row],[SelfRating]]</f>
        <v>0</v>
      </c>
    </row>
    <row r="3192" spans="1:18">
      <c r="A3192" s="2" t="s">
        <v>7499</v>
      </c>
      <c r="B3192" s="2" t="s">
        <v>771</v>
      </c>
      <c r="C3192" s="1">
        <v>44139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  <c r="L3192" s="2" t="s">
        <v>11030</v>
      </c>
      <c r="M3192" s="2" t="s">
        <v>11030</v>
      </c>
      <c r="N3192" s="2" t="s">
        <v>11038</v>
      </c>
      <c r="O3192" s="2" t="s">
        <v>11036</v>
      </c>
      <c r="P3192" s="2" t="s">
        <v>11037</v>
      </c>
      <c r="Q3192" s="2">
        <f>AVERAGE(PerfRate[[#This Row],[EnvironmentSatisfaction]],PerfRate[[#This Row],[JobSatisfaction]],PerfRate[[#This Row],[RelationshipSatisfaction]])</f>
        <v>4</v>
      </c>
      <c r="R3192" s="2">
        <f>PerfRate[[#This Row],[ManagerRating]] - PerfRate[[#This Row],[SelfRating]]</f>
        <v>0</v>
      </c>
    </row>
    <row r="3193" spans="1:18">
      <c r="A3193" s="2" t="s">
        <v>7500</v>
      </c>
      <c r="B3193" s="2" t="s">
        <v>235</v>
      </c>
      <c r="C3193" s="1">
        <v>44139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  <c r="L3193" s="2" t="s">
        <v>11029</v>
      </c>
      <c r="M3193" s="2" t="s">
        <v>11028</v>
      </c>
      <c r="N3193" s="2" t="s">
        <v>11036</v>
      </c>
      <c r="O3193" s="2" t="s">
        <v>11038</v>
      </c>
      <c r="P3193" s="2" t="s">
        <v>11035</v>
      </c>
      <c r="Q3193" s="2">
        <f>AVERAGE(PerfRate[[#This Row],[EnvironmentSatisfaction]],PerfRate[[#This Row],[JobSatisfaction]],PerfRate[[#This Row],[RelationshipSatisfaction]])</f>
        <v>3.3333333333333335</v>
      </c>
      <c r="R3193" s="2">
        <f>PerfRate[[#This Row],[ManagerRating]] - PerfRate[[#This Row],[SelfRating]]</f>
        <v>-1</v>
      </c>
    </row>
    <row r="3194" spans="1:18">
      <c r="A3194" s="2" t="s">
        <v>7501</v>
      </c>
      <c r="B3194" s="2" t="s">
        <v>2470</v>
      </c>
      <c r="C3194" s="1">
        <v>44139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  <c r="L3194" s="2" t="s">
        <v>11031</v>
      </c>
      <c r="M3194" s="2" t="s">
        <v>11031</v>
      </c>
      <c r="N3194" s="2" t="s">
        <v>11038</v>
      </c>
      <c r="O3194" s="2" t="s">
        <v>11035</v>
      </c>
      <c r="P3194" s="2" t="s">
        <v>11038</v>
      </c>
      <c r="Q3194" s="2">
        <f>AVERAGE(PerfRate[[#This Row],[EnvironmentSatisfaction]],PerfRate[[#This Row],[JobSatisfaction]],PerfRate[[#This Row],[RelationshipSatisfaction]])</f>
        <v>4</v>
      </c>
      <c r="R3194" s="2">
        <f>PerfRate[[#This Row],[ManagerRating]] - PerfRate[[#This Row],[SelfRating]]</f>
        <v>0</v>
      </c>
    </row>
    <row r="3195" spans="1:18">
      <c r="A3195" s="2" t="s">
        <v>7502</v>
      </c>
      <c r="B3195" s="2" t="s">
        <v>2181</v>
      </c>
      <c r="C3195" s="1">
        <v>44139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  <c r="L3195" s="2" t="s">
        <v>11029</v>
      </c>
      <c r="M3195" s="2" t="s">
        <v>11029</v>
      </c>
      <c r="N3195" s="2" t="s">
        <v>11038</v>
      </c>
      <c r="O3195" s="2" t="s">
        <v>11038</v>
      </c>
      <c r="P3195" s="2" t="s">
        <v>11037</v>
      </c>
      <c r="Q3195" s="2">
        <f>AVERAGE(PerfRate[[#This Row],[EnvironmentSatisfaction]],PerfRate[[#This Row],[JobSatisfaction]],PerfRate[[#This Row],[RelationshipSatisfaction]])</f>
        <v>4.666666666666667</v>
      </c>
      <c r="R3195" s="2">
        <f>PerfRate[[#This Row],[ManagerRating]] - PerfRate[[#This Row],[SelfRating]]</f>
        <v>0</v>
      </c>
    </row>
    <row r="3196" spans="1:18">
      <c r="A3196" s="2" t="s">
        <v>7503</v>
      </c>
      <c r="B3196" s="2" t="s">
        <v>1071</v>
      </c>
      <c r="C3196" s="1">
        <v>44169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  <c r="L3196" s="2" t="s">
        <v>11031</v>
      </c>
      <c r="M3196" s="2" t="s">
        <v>11030</v>
      </c>
      <c r="N3196" s="2" t="s">
        <v>11036</v>
      </c>
      <c r="O3196" s="2" t="s">
        <v>11038</v>
      </c>
      <c r="P3196" s="2" t="s">
        <v>11035</v>
      </c>
      <c r="Q3196" s="2">
        <f>AVERAGE(PerfRate[[#This Row],[EnvironmentSatisfaction]],PerfRate[[#This Row],[JobSatisfaction]],PerfRate[[#This Row],[RelationshipSatisfaction]])</f>
        <v>3.3333333333333335</v>
      </c>
      <c r="R3196" s="2">
        <f>PerfRate[[#This Row],[ManagerRating]] - PerfRate[[#This Row],[SelfRating]]</f>
        <v>-1</v>
      </c>
    </row>
    <row r="3197" spans="1:18">
      <c r="A3197" s="2" t="s">
        <v>7504</v>
      </c>
      <c r="B3197" s="2" t="s">
        <v>2767</v>
      </c>
      <c r="C3197" s="1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  <c r="L3197" s="2" t="s">
        <v>11030</v>
      </c>
      <c r="M3197" s="2" t="s">
        <v>11029</v>
      </c>
      <c r="N3197" s="2" t="s">
        <v>11037</v>
      </c>
      <c r="O3197" s="2" t="s">
        <v>11036</v>
      </c>
      <c r="P3197" s="2" t="s">
        <v>11037</v>
      </c>
      <c r="Q3197" s="2">
        <f>AVERAGE(PerfRate[[#This Row],[EnvironmentSatisfaction]],PerfRate[[#This Row],[JobSatisfaction]],PerfRate[[#This Row],[RelationshipSatisfaction]])</f>
        <v>3.6666666666666665</v>
      </c>
      <c r="R3197" s="2">
        <f>PerfRate[[#This Row],[ManagerRating]] - PerfRate[[#This Row],[SelfRating]]</f>
        <v>-1</v>
      </c>
    </row>
    <row r="3198" spans="1:18">
      <c r="A3198" s="2" t="s">
        <v>7505</v>
      </c>
      <c r="B3198" s="2" t="s">
        <v>1779</v>
      </c>
      <c r="C3198" s="1">
        <v>44169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  <c r="L3198" s="2" t="s">
        <v>11029</v>
      </c>
      <c r="M3198" s="2" t="s">
        <v>11028</v>
      </c>
      <c r="N3198" s="2" t="s">
        <v>11038</v>
      </c>
      <c r="O3198" s="2" t="s">
        <v>11038</v>
      </c>
      <c r="P3198" s="2" t="s">
        <v>11037</v>
      </c>
      <c r="Q3198" s="2">
        <f>AVERAGE(PerfRate[[#This Row],[EnvironmentSatisfaction]],PerfRate[[#This Row],[JobSatisfaction]],PerfRate[[#This Row],[RelationshipSatisfaction]])</f>
        <v>4.666666666666667</v>
      </c>
      <c r="R3198" s="2">
        <f>PerfRate[[#This Row],[ManagerRating]] - PerfRate[[#This Row],[SelfRating]]</f>
        <v>-1</v>
      </c>
    </row>
    <row r="3199" spans="1:18">
      <c r="A3199" s="2" t="s">
        <v>7506</v>
      </c>
      <c r="B3199" s="2" t="s">
        <v>106</v>
      </c>
      <c r="C3199" s="1">
        <v>44169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  <c r="L3199" s="2" t="s">
        <v>11029</v>
      </c>
      <c r="M3199" s="2" t="s">
        <v>11029</v>
      </c>
      <c r="N3199" s="2" t="s">
        <v>11038</v>
      </c>
      <c r="O3199" s="2" t="s">
        <v>11037</v>
      </c>
      <c r="P3199" s="2" t="s">
        <v>11038</v>
      </c>
      <c r="Q3199" s="2">
        <f>AVERAGE(PerfRate[[#This Row],[EnvironmentSatisfaction]],PerfRate[[#This Row],[JobSatisfaction]],PerfRate[[#This Row],[RelationshipSatisfaction]])</f>
        <v>4.666666666666667</v>
      </c>
      <c r="R3199" s="2">
        <f>PerfRate[[#This Row],[ManagerRating]] - PerfRate[[#This Row],[SelfRating]]</f>
        <v>0</v>
      </c>
    </row>
    <row r="3200" spans="1:18">
      <c r="A3200" s="2" t="s">
        <v>7507</v>
      </c>
      <c r="B3200" s="2" t="s">
        <v>1303</v>
      </c>
      <c r="C3200" s="1">
        <v>44169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  <c r="L3200" s="2" t="s">
        <v>11029</v>
      </c>
      <c r="M3200" s="2" t="s">
        <v>11029</v>
      </c>
      <c r="N3200" s="2" t="s">
        <v>11037</v>
      </c>
      <c r="O3200" s="2" t="s">
        <v>11036</v>
      </c>
      <c r="P3200" s="2" t="s">
        <v>11037</v>
      </c>
      <c r="Q3200" s="2">
        <f>AVERAGE(PerfRate[[#This Row],[EnvironmentSatisfaction]],PerfRate[[#This Row],[JobSatisfaction]],PerfRate[[#This Row],[RelationshipSatisfaction]])</f>
        <v>3.6666666666666665</v>
      </c>
      <c r="R3200" s="2">
        <f>PerfRate[[#This Row],[ManagerRating]] - PerfRate[[#This Row],[SelfRating]]</f>
        <v>0</v>
      </c>
    </row>
    <row r="3201" spans="1:18">
      <c r="A3201" s="2" t="s">
        <v>7508</v>
      </c>
      <c r="B3201" s="2" t="s">
        <v>1968</v>
      </c>
      <c r="C3201" s="1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  <c r="L3201" s="2" t="s">
        <v>11030</v>
      </c>
      <c r="M3201" s="2" t="s">
        <v>11030</v>
      </c>
      <c r="N3201" s="2" t="s">
        <v>11038</v>
      </c>
      <c r="O3201" s="2" t="s">
        <v>11035</v>
      </c>
      <c r="P3201" s="2" t="s">
        <v>11038</v>
      </c>
      <c r="Q3201" s="2">
        <f>AVERAGE(PerfRate[[#This Row],[EnvironmentSatisfaction]],PerfRate[[#This Row],[JobSatisfaction]],PerfRate[[#This Row],[RelationshipSatisfaction]])</f>
        <v>4</v>
      </c>
      <c r="R3201" s="2">
        <f>PerfRate[[#This Row],[ManagerRating]] - PerfRate[[#This Row],[SelfRating]]</f>
        <v>0</v>
      </c>
    </row>
    <row r="3202" spans="1:18">
      <c r="A3202" s="2" t="s">
        <v>7509</v>
      </c>
      <c r="B3202" s="2" t="s">
        <v>4002</v>
      </c>
      <c r="C3202" s="1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  <c r="L3202" s="2" t="s">
        <v>11029</v>
      </c>
      <c r="M3202" s="2" t="s">
        <v>11029</v>
      </c>
      <c r="N3202" s="2" t="s">
        <v>11036</v>
      </c>
      <c r="O3202" s="2" t="s">
        <v>11036</v>
      </c>
      <c r="P3202" s="2" t="s">
        <v>11038</v>
      </c>
      <c r="Q3202" s="2">
        <f>AVERAGE(PerfRate[[#This Row],[EnvironmentSatisfaction]],PerfRate[[#This Row],[JobSatisfaction]],PerfRate[[#This Row],[RelationshipSatisfaction]])</f>
        <v>3.6666666666666665</v>
      </c>
      <c r="R3202" s="2">
        <f>PerfRate[[#This Row],[ManagerRating]] - PerfRate[[#This Row],[SelfRating]]</f>
        <v>0</v>
      </c>
    </row>
    <row r="3203" spans="1:18">
      <c r="A3203" s="2" t="s">
        <v>7510</v>
      </c>
      <c r="B3203" s="2" t="s">
        <v>189</v>
      </c>
      <c r="C3203" s="1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  <c r="L3203" s="2" t="s">
        <v>11030</v>
      </c>
      <c r="M3203" s="2" t="s">
        <v>11029</v>
      </c>
      <c r="N3203" s="2" t="s">
        <v>11038</v>
      </c>
      <c r="O3203" s="2" t="s">
        <v>11037</v>
      </c>
      <c r="P3203" s="2" t="s">
        <v>11036</v>
      </c>
      <c r="Q3203" s="2">
        <f>AVERAGE(PerfRate[[#This Row],[EnvironmentSatisfaction]],PerfRate[[#This Row],[JobSatisfaction]],PerfRate[[#This Row],[RelationshipSatisfaction]])</f>
        <v>4</v>
      </c>
      <c r="R3203" s="2">
        <f>PerfRate[[#This Row],[ManagerRating]] - PerfRate[[#This Row],[SelfRating]]</f>
        <v>-1</v>
      </c>
    </row>
    <row r="3204" spans="1:18">
      <c r="A3204" s="2" t="s">
        <v>7511</v>
      </c>
      <c r="B3204" s="2" t="s">
        <v>1569</v>
      </c>
      <c r="C3204" s="1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  <c r="L3204" s="2" t="s">
        <v>11031</v>
      </c>
      <c r="M3204" s="2" t="s">
        <v>11030</v>
      </c>
      <c r="N3204" s="2" t="s">
        <v>11038</v>
      </c>
      <c r="O3204" s="2" t="s">
        <v>11035</v>
      </c>
      <c r="P3204" s="2" t="s">
        <v>11037</v>
      </c>
      <c r="Q3204" s="2">
        <f>AVERAGE(PerfRate[[#This Row],[EnvironmentSatisfaction]],PerfRate[[#This Row],[JobSatisfaction]],PerfRate[[#This Row],[RelationshipSatisfaction]])</f>
        <v>3.6666666666666665</v>
      </c>
      <c r="R3204" s="2">
        <f>PerfRate[[#This Row],[ManagerRating]] - PerfRate[[#This Row],[SelfRating]]</f>
        <v>-1</v>
      </c>
    </row>
    <row r="3205" spans="1:18">
      <c r="A3205" s="2" t="s">
        <v>7512</v>
      </c>
      <c r="B3205" s="2" t="s">
        <v>3881</v>
      </c>
      <c r="C3205" s="1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  <c r="L3205" s="2" t="s">
        <v>11030</v>
      </c>
      <c r="M3205" s="2" t="s">
        <v>11030</v>
      </c>
      <c r="N3205" s="2" t="s">
        <v>11038</v>
      </c>
      <c r="O3205" s="2" t="s">
        <v>11036</v>
      </c>
      <c r="P3205" s="2" t="s">
        <v>11037</v>
      </c>
      <c r="Q3205" s="2">
        <f>AVERAGE(PerfRate[[#This Row],[EnvironmentSatisfaction]],PerfRate[[#This Row],[JobSatisfaction]],PerfRate[[#This Row],[RelationshipSatisfaction]])</f>
        <v>4</v>
      </c>
      <c r="R3205" s="2">
        <f>PerfRate[[#This Row],[ManagerRating]] - PerfRate[[#This Row],[SelfRating]]</f>
        <v>0</v>
      </c>
    </row>
    <row r="3206" spans="1:18">
      <c r="A3206" s="2" t="s">
        <v>7513</v>
      </c>
      <c r="B3206" s="2" t="s">
        <v>4023</v>
      </c>
      <c r="C3206" s="1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  <c r="L3206" s="2" t="s">
        <v>11029</v>
      </c>
      <c r="M3206" s="2" t="s">
        <v>11029</v>
      </c>
      <c r="N3206" s="2" t="s">
        <v>11037</v>
      </c>
      <c r="O3206" s="2" t="s">
        <v>11036</v>
      </c>
      <c r="P3206" s="2" t="s">
        <v>11036</v>
      </c>
      <c r="Q3206" s="2">
        <f>AVERAGE(PerfRate[[#This Row],[EnvironmentSatisfaction]],PerfRate[[#This Row],[JobSatisfaction]],PerfRate[[#This Row],[RelationshipSatisfaction]])</f>
        <v>3.3333333333333335</v>
      </c>
      <c r="R3206" s="2">
        <f>PerfRate[[#This Row],[ManagerRating]] - PerfRate[[#This Row],[SelfRating]]</f>
        <v>0</v>
      </c>
    </row>
    <row r="3207" spans="1:18">
      <c r="A3207" s="2" t="s">
        <v>7514</v>
      </c>
      <c r="B3207" s="2" t="s">
        <v>562</v>
      </c>
      <c r="C3207" s="1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  <c r="L3207" s="2" t="s">
        <v>11029</v>
      </c>
      <c r="M3207" s="2" t="s">
        <v>11029</v>
      </c>
      <c r="N3207" s="2" t="s">
        <v>11036</v>
      </c>
      <c r="O3207" s="2" t="s">
        <v>11036</v>
      </c>
      <c r="P3207" s="2" t="s">
        <v>11038</v>
      </c>
      <c r="Q3207" s="2">
        <f>AVERAGE(PerfRate[[#This Row],[EnvironmentSatisfaction]],PerfRate[[#This Row],[JobSatisfaction]],PerfRate[[#This Row],[RelationshipSatisfaction]])</f>
        <v>3.6666666666666665</v>
      </c>
      <c r="R3207" s="2">
        <f>PerfRate[[#This Row],[ManagerRating]] - PerfRate[[#This Row],[SelfRating]]</f>
        <v>0</v>
      </c>
    </row>
    <row r="3208" spans="1:18">
      <c r="A3208" s="2" t="s">
        <v>7515</v>
      </c>
      <c r="B3208" s="2" t="s">
        <v>3114</v>
      </c>
      <c r="C3208" s="1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  <c r="L3208" s="2" t="s">
        <v>11031</v>
      </c>
      <c r="M3208" s="2" t="s">
        <v>11031</v>
      </c>
      <c r="N3208" s="2" t="s">
        <v>11038</v>
      </c>
      <c r="O3208" s="2" t="s">
        <v>11038</v>
      </c>
      <c r="P3208" s="2" t="s">
        <v>11038</v>
      </c>
      <c r="Q3208" s="2">
        <f>AVERAGE(PerfRate[[#This Row],[EnvironmentSatisfaction]],PerfRate[[#This Row],[JobSatisfaction]],PerfRate[[#This Row],[RelationshipSatisfaction]])</f>
        <v>5</v>
      </c>
      <c r="R3208" s="2">
        <f>PerfRate[[#This Row],[ManagerRating]] - PerfRate[[#This Row],[SelfRating]]</f>
        <v>0</v>
      </c>
    </row>
    <row r="3209" spans="1:18">
      <c r="A3209" s="2" t="s">
        <v>7516</v>
      </c>
      <c r="B3209" s="2" t="s">
        <v>883</v>
      </c>
      <c r="C3209" s="1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  <c r="L3209" s="2" t="s">
        <v>11031</v>
      </c>
      <c r="M3209" s="2" t="s">
        <v>11030</v>
      </c>
      <c r="N3209" s="2" t="s">
        <v>11037</v>
      </c>
      <c r="O3209" s="2" t="s">
        <v>11036</v>
      </c>
      <c r="P3209" s="2" t="s">
        <v>11036</v>
      </c>
      <c r="Q3209" s="2">
        <f>AVERAGE(PerfRate[[#This Row],[EnvironmentSatisfaction]],PerfRate[[#This Row],[JobSatisfaction]],PerfRate[[#This Row],[RelationshipSatisfaction]])</f>
        <v>3.3333333333333335</v>
      </c>
      <c r="R3209" s="2">
        <f>PerfRate[[#This Row],[ManagerRating]] - PerfRate[[#This Row],[SelfRating]]</f>
        <v>-1</v>
      </c>
    </row>
    <row r="3210" spans="1:18">
      <c r="A3210" s="2" t="s">
        <v>7517</v>
      </c>
      <c r="B3210" s="2" t="s">
        <v>1921</v>
      </c>
      <c r="C3210" s="1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  <c r="L3210" s="2" t="s">
        <v>11029</v>
      </c>
      <c r="M3210" s="2" t="s">
        <v>11029</v>
      </c>
      <c r="N3210" s="2" t="s">
        <v>11037</v>
      </c>
      <c r="O3210" s="2" t="s">
        <v>11035</v>
      </c>
      <c r="P3210" s="2" t="s">
        <v>11035</v>
      </c>
      <c r="Q3210" s="2">
        <f>AVERAGE(PerfRate[[#This Row],[EnvironmentSatisfaction]],PerfRate[[#This Row],[JobSatisfaction]],PerfRate[[#This Row],[RelationshipSatisfaction]])</f>
        <v>2.6666666666666665</v>
      </c>
      <c r="R3210" s="2">
        <f>PerfRate[[#This Row],[ManagerRating]] - PerfRate[[#This Row],[SelfRating]]</f>
        <v>0</v>
      </c>
    </row>
    <row r="3211" spans="1:18">
      <c r="A3211" s="2" t="s">
        <v>7518</v>
      </c>
      <c r="B3211" s="2" t="s">
        <v>3154</v>
      </c>
      <c r="C3211" s="1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  <c r="L3211" s="2" t="s">
        <v>11030</v>
      </c>
      <c r="M3211" s="2" t="s">
        <v>11030</v>
      </c>
      <c r="N3211" s="2" t="s">
        <v>11036</v>
      </c>
      <c r="O3211" s="2" t="s">
        <v>11037</v>
      </c>
      <c r="P3211" s="2" t="s">
        <v>11036</v>
      </c>
      <c r="Q3211" s="2">
        <f>AVERAGE(PerfRate[[#This Row],[EnvironmentSatisfaction]],PerfRate[[#This Row],[JobSatisfaction]],PerfRate[[#This Row],[RelationshipSatisfaction]])</f>
        <v>3.3333333333333335</v>
      </c>
      <c r="R3211" s="2">
        <f>PerfRate[[#This Row],[ManagerRating]] - PerfRate[[#This Row],[SelfRating]]</f>
        <v>0</v>
      </c>
    </row>
    <row r="3212" spans="1:18">
      <c r="A3212" s="2" t="s">
        <v>7519</v>
      </c>
      <c r="B3212" s="2" t="s">
        <v>1074</v>
      </c>
      <c r="C3212" s="1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  <c r="L3212" s="2" t="s">
        <v>11029</v>
      </c>
      <c r="M3212" s="2" t="s">
        <v>11029</v>
      </c>
      <c r="N3212" s="2" t="s">
        <v>11038</v>
      </c>
      <c r="O3212" s="2" t="s">
        <v>11035</v>
      </c>
      <c r="P3212" s="2" t="s">
        <v>11035</v>
      </c>
      <c r="Q3212" s="2">
        <f>AVERAGE(PerfRate[[#This Row],[EnvironmentSatisfaction]],PerfRate[[#This Row],[JobSatisfaction]],PerfRate[[#This Row],[RelationshipSatisfaction]])</f>
        <v>3</v>
      </c>
      <c r="R3212" s="2">
        <f>PerfRate[[#This Row],[ManagerRating]] - PerfRate[[#This Row],[SelfRating]]</f>
        <v>0</v>
      </c>
    </row>
    <row r="3213" spans="1:18">
      <c r="A3213" s="2" t="s">
        <v>7520</v>
      </c>
      <c r="B3213" s="2" t="s">
        <v>1221</v>
      </c>
      <c r="C3213" s="1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  <c r="L3213" s="2" t="s">
        <v>11030</v>
      </c>
      <c r="M3213" s="2" t="s">
        <v>11030</v>
      </c>
      <c r="N3213" s="2" t="s">
        <v>11037</v>
      </c>
      <c r="O3213" s="2" t="s">
        <v>11037</v>
      </c>
      <c r="P3213" s="2" t="s">
        <v>11037</v>
      </c>
      <c r="Q3213" s="2">
        <f>AVERAGE(PerfRate[[#This Row],[EnvironmentSatisfaction]],PerfRate[[#This Row],[JobSatisfaction]],PerfRate[[#This Row],[RelationshipSatisfaction]])</f>
        <v>4</v>
      </c>
      <c r="R3213" s="2">
        <f>PerfRate[[#This Row],[ManagerRating]] - PerfRate[[#This Row],[SelfRating]]</f>
        <v>0</v>
      </c>
    </row>
    <row r="3214" spans="1:18">
      <c r="A3214" s="2" t="s">
        <v>7521</v>
      </c>
      <c r="B3214" s="2" t="s">
        <v>693</v>
      </c>
      <c r="C3214" s="1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  <c r="L3214" s="2" t="s">
        <v>11030</v>
      </c>
      <c r="M3214" s="2" t="s">
        <v>11029</v>
      </c>
      <c r="N3214" s="2" t="s">
        <v>11037</v>
      </c>
      <c r="O3214" s="2" t="s">
        <v>11038</v>
      </c>
      <c r="P3214" s="2" t="s">
        <v>11035</v>
      </c>
      <c r="Q3214" s="2">
        <f>AVERAGE(PerfRate[[#This Row],[EnvironmentSatisfaction]],PerfRate[[#This Row],[JobSatisfaction]],PerfRate[[#This Row],[RelationshipSatisfaction]])</f>
        <v>3.6666666666666665</v>
      </c>
      <c r="R3214" s="2">
        <f>PerfRate[[#This Row],[ManagerRating]] - PerfRate[[#This Row],[SelfRating]]</f>
        <v>-1</v>
      </c>
    </row>
    <row r="3215" spans="1:18">
      <c r="A3215" s="2" t="s">
        <v>7522</v>
      </c>
      <c r="B3215" s="2" t="s">
        <v>979</v>
      </c>
      <c r="C3215" s="1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  <c r="L3215" s="2" t="s">
        <v>11030</v>
      </c>
      <c r="M3215" s="2" t="s">
        <v>11030</v>
      </c>
      <c r="N3215" s="2" t="s">
        <v>11038</v>
      </c>
      <c r="O3215" s="2" t="s">
        <v>11038</v>
      </c>
      <c r="P3215" s="2" t="s">
        <v>11036</v>
      </c>
      <c r="Q3215" s="2">
        <f>AVERAGE(PerfRate[[#This Row],[EnvironmentSatisfaction]],PerfRate[[#This Row],[JobSatisfaction]],PerfRate[[#This Row],[RelationshipSatisfaction]])</f>
        <v>4.333333333333333</v>
      </c>
      <c r="R3215" s="2">
        <f>PerfRate[[#This Row],[ManagerRating]] - PerfRate[[#This Row],[SelfRating]]</f>
        <v>0</v>
      </c>
    </row>
    <row r="3216" spans="1:18">
      <c r="A3216" s="2" t="s">
        <v>7523</v>
      </c>
      <c r="B3216" s="2" t="s">
        <v>2403</v>
      </c>
      <c r="C3216" s="1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  <c r="L3216" s="2" t="s">
        <v>11031</v>
      </c>
      <c r="M3216" s="2" t="s">
        <v>11030</v>
      </c>
      <c r="N3216" s="2" t="s">
        <v>11036</v>
      </c>
      <c r="O3216" s="2" t="s">
        <v>11035</v>
      </c>
      <c r="P3216" s="2" t="s">
        <v>11038</v>
      </c>
      <c r="Q3216" s="2">
        <f>AVERAGE(PerfRate[[#This Row],[EnvironmentSatisfaction]],PerfRate[[#This Row],[JobSatisfaction]],PerfRate[[#This Row],[RelationshipSatisfaction]])</f>
        <v>3.3333333333333335</v>
      </c>
      <c r="R3216" s="2">
        <f>PerfRate[[#This Row],[ManagerRating]] - PerfRate[[#This Row],[SelfRating]]</f>
        <v>-1</v>
      </c>
    </row>
    <row r="3217" spans="1:18">
      <c r="A3217" s="2" t="s">
        <v>7524</v>
      </c>
      <c r="B3217" s="2" t="s">
        <v>2456</v>
      </c>
      <c r="C3217" s="1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  <c r="L3217" s="2" t="s">
        <v>11030</v>
      </c>
      <c r="M3217" s="2" t="s">
        <v>11030</v>
      </c>
      <c r="N3217" s="2" t="s">
        <v>11036</v>
      </c>
      <c r="O3217" s="2" t="s">
        <v>11035</v>
      </c>
      <c r="P3217" s="2" t="s">
        <v>11036</v>
      </c>
      <c r="Q3217" s="2">
        <f>AVERAGE(PerfRate[[#This Row],[EnvironmentSatisfaction]],PerfRate[[#This Row],[JobSatisfaction]],PerfRate[[#This Row],[RelationshipSatisfaction]])</f>
        <v>2.6666666666666665</v>
      </c>
      <c r="R3217" s="2">
        <f>PerfRate[[#This Row],[ManagerRating]] - PerfRate[[#This Row],[SelfRating]]</f>
        <v>0</v>
      </c>
    </row>
    <row r="3218" spans="1:18">
      <c r="A3218" s="2" t="s">
        <v>7525</v>
      </c>
      <c r="B3218" s="2" t="s">
        <v>2345</v>
      </c>
      <c r="C3218" s="1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  <c r="L3218" s="2" t="s">
        <v>11029</v>
      </c>
      <c r="M3218" s="2" t="s">
        <v>11028</v>
      </c>
      <c r="N3218" s="2" t="s">
        <v>11036</v>
      </c>
      <c r="O3218" s="2" t="s">
        <v>11035</v>
      </c>
      <c r="P3218" s="2" t="s">
        <v>11037</v>
      </c>
      <c r="Q3218" s="2">
        <f>AVERAGE(PerfRate[[#This Row],[EnvironmentSatisfaction]],PerfRate[[#This Row],[JobSatisfaction]],PerfRate[[#This Row],[RelationshipSatisfaction]])</f>
        <v>3</v>
      </c>
      <c r="R3218" s="2">
        <f>PerfRate[[#This Row],[ManagerRating]] - PerfRate[[#This Row],[SelfRating]]</f>
        <v>-1</v>
      </c>
    </row>
    <row r="3219" spans="1:18">
      <c r="A3219" s="2" t="s">
        <v>7526</v>
      </c>
      <c r="B3219" s="2" t="s">
        <v>2533</v>
      </c>
      <c r="C3219" s="1">
        <v>41707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  <c r="L3219" s="2" t="s">
        <v>11031</v>
      </c>
      <c r="M3219" s="2" t="s">
        <v>11030</v>
      </c>
      <c r="N3219" s="2" t="s">
        <v>11038</v>
      </c>
      <c r="O3219" s="2" t="s">
        <v>11037</v>
      </c>
      <c r="P3219" s="2" t="s">
        <v>11037</v>
      </c>
      <c r="Q3219" s="2">
        <f>AVERAGE(PerfRate[[#This Row],[EnvironmentSatisfaction]],PerfRate[[#This Row],[JobSatisfaction]],PerfRate[[#This Row],[RelationshipSatisfaction]])</f>
        <v>4.333333333333333</v>
      </c>
      <c r="R3219" s="2">
        <f>PerfRate[[#This Row],[ManagerRating]] - PerfRate[[#This Row],[SelfRating]]</f>
        <v>-1</v>
      </c>
    </row>
    <row r="3220" spans="1:18">
      <c r="A3220" s="2" t="s">
        <v>7527</v>
      </c>
      <c r="B3220" s="2" t="s">
        <v>266</v>
      </c>
      <c r="C3220" s="1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  <c r="L3220" s="2" t="s">
        <v>11029</v>
      </c>
      <c r="M3220" s="2" t="s">
        <v>11028</v>
      </c>
      <c r="N3220" s="2" t="s">
        <v>11037</v>
      </c>
      <c r="O3220" s="2" t="s">
        <v>11038</v>
      </c>
      <c r="P3220" s="2" t="s">
        <v>11037</v>
      </c>
      <c r="Q3220" s="2">
        <f>AVERAGE(PerfRate[[#This Row],[EnvironmentSatisfaction]],PerfRate[[#This Row],[JobSatisfaction]],PerfRate[[#This Row],[RelationshipSatisfaction]])</f>
        <v>4.333333333333333</v>
      </c>
      <c r="R3220" s="2">
        <f>PerfRate[[#This Row],[ManagerRating]] - PerfRate[[#This Row],[SelfRating]]</f>
        <v>-1</v>
      </c>
    </row>
    <row r="3221" spans="1:18">
      <c r="A3221" s="2" t="s">
        <v>7528</v>
      </c>
      <c r="B3221" s="2" t="s">
        <v>1915</v>
      </c>
      <c r="C3221" s="1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  <c r="L3221" s="2" t="s">
        <v>11029</v>
      </c>
      <c r="M3221" s="2" t="s">
        <v>11028</v>
      </c>
      <c r="N3221" s="2" t="s">
        <v>11038</v>
      </c>
      <c r="O3221" s="2" t="s">
        <v>11035</v>
      </c>
      <c r="P3221" s="2" t="s">
        <v>11036</v>
      </c>
      <c r="Q3221" s="2">
        <f>AVERAGE(PerfRate[[#This Row],[EnvironmentSatisfaction]],PerfRate[[#This Row],[JobSatisfaction]],PerfRate[[#This Row],[RelationshipSatisfaction]])</f>
        <v>3.3333333333333335</v>
      </c>
      <c r="R3221" s="2">
        <f>PerfRate[[#This Row],[ManagerRating]] - PerfRate[[#This Row],[SelfRating]]</f>
        <v>-1</v>
      </c>
    </row>
    <row r="3222" spans="1:18">
      <c r="A3222" s="2" t="s">
        <v>7529</v>
      </c>
      <c r="B3222" s="2" t="s">
        <v>928</v>
      </c>
      <c r="C3222" s="1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  <c r="L3222" s="2" t="s">
        <v>11031</v>
      </c>
      <c r="M3222" s="2" t="s">
        <v>11031</v>
      </c>
      <c r="N3222" s="2" t="s">
        <v>11036</v>
      </c>
      <c r="O3222" s="2" t="s">
        <v>11036</v>
      </c>
      <c r="P3222" s="2" t="s">
        <v>11035</v>
      </c>
      <c r="Q3222" s="2">
        <f>AVERAGE(PerfRate[[#This Row],[EnvironmentSatisfaction]],PerfRate[[#This Row],[JobSatisfaction]],PerfRate[[#This Row],[RelationshipSatisfaction]])</f>
        <v>2.6666666666666665</v>
      </c>
      <c r="R3222" s="2">
        <f>PerfRate[[#This Row],[ManagerRating]] - PerfRate[[#This Row],[SelfRating]]</f>
        <v>0</v>
      </c>
    </row>
    <row r="3223" spans="1:18">
      <c r="A3223" s="2" t="s">
        <v>7530</v>
      </c>
      <c r="B3223" s="2" t="s">
        <v>1990</v>
      </c>
      <c r="C3223" s="1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  <c r="L3223" s="2" t="s">
        <v>11030</v>
      </c>
      <c r="M3223" s="2" t="s">
        <v>11030</v>
      </c>
      <c r="N3223" s="2" t="s">
        <v>11038</v>
      </c>
      <c r="O3223" s="2" t="s">
        <v>11035</v>
      </c>
      <c r="P3223" s="2" t="s">
        <v>11035</v>
      </c>
      <c r="Q3223" s="2">
        <f>AVERAGE(PerfRate[[#This Row],[EnvironmentSatisfaction]],PerfRate[[#This Row],[JobSatisfaction]],PerfRate[[#This Row],[RelationshipSatisfaction]])</f>
        <v>3</v>
      </c>
      <c r="R3223" s="2">
        <f>PerfRate[[#This Row],[ManagerRating]] - PerfRate[[#This Row],[SelfRating]]</f>
        <v>0</v>
      </c>
    </row>
    <row r="3224" spans="1:18">
      <c r="A3224" s="2" t="s">
        <v>7531</v>
      </c>
      <c r="B3224" s="2" t="s">
        <v>208</v>
      </c>
      <c r="C3224" s="1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  <c r="L3224" s="2" t="s">
        <v>11029</v>
      </c>
      <c r="M3224" s="2" t="s">
        <v>11029</v>
      </c>
      <c r="N3224" s="2" t="s">
        <v>11036</v>
      </c>
      <c r="O3224" s="2" t="s">
        <v>11036</v>
      </c>
      <c r="P3224" s="2" t="s">
        <v>11035</v>
      </c>
      <c r="Q3224" s="2">
        <f>AVERAGE(PerfRate[[#This Row],[EnvironmentSatisfaction]],PerfRate[[#This Row],[JobSatisfaction]],PerfRate[[#This Row],[RelationshipSatisfaction]])</f>
        <v>2.6666666666666665</v>
      </c>
      <c r="R3224" s="2">
        <f>PerfRate[[#This Row],[ManagerRating]] - PerfRate[[#This Row],[SelfRating]]</f>
        <v>0</v>
      </c>
    </row>
    <row r="3225" spans="1:18">
      <c r="A3225" s="2" t="s">
        <v>7532</v>
      </c>
      <c r="B3225" s="2" t="s">
        <v>1249</v>
      </c>
      <c r="C3225" s="1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  <c r="L3225" s="2" t="s">
        <v>11029</v>
      </c>
      <c r="M3225" s="2" t="s">
        <v>11029</v>
      </c>
      <c r="N3225" s="2" t="s">
        <v>11036</v>
      </c>
      <c r="O3225" s="2" t="s">
        <v>11036</v>
      </c>
      <c r="P3225" s="2" t="s">
        <v>11038</v>
      </c>
      <c r="Q3225" s="2">
        <f>AVERAGE(PerfRate[[#This Row],[EnvironmentSatisfaction]],PerfRate[[#This Row],[JobSatisfaction]],PerfRate[[#This Row],[RelationshipSatisfaction]])</f>
        <v>3.6666666666666665</v>
      </c>
      <c r="R3225" s="2">
        <f>PerfRate[[#This Row],[ManagerRating]] - PerfRate[[#This Row],[SelfRating]]</f>
        <v>0</v>
      </c>
    </row>
    <row r="3226" spans="1:18">
      <c r="A3226" s="2" t="s">
        <v>7533</v>
      </c>
      <c r="B3226" s="2" t="s">
        <v>2372</v>
      </c>
      <c r="C3226" s="1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  <c r="L3226" s="2" t="s">
        <v>11031</v>
      </c>
      <c r="M3226" s="2" t="s">
        <v>11031</v>
      </c>
      <c r="N3226" s="2" t="s">
        <v>11038</v>
      </c>
      <c r="O3226" s="2" t="s">
        <v>11037</v>
      </c>
      <c r="P3226" s="2" t="s">
        <v>11037</v>
      </c>
      <c r="Q3226" s="2">
        <f>AVERAGE(PerfRate[[#This Row],[EnvironmentSatisfaction]],PerfRate[[#This Row],[JobSatisfaction]],PerfRate[[#This Row],[RelationshipSatisfaction]])</f>
        <v>4.333333333333333</v>
      </c>
      <c r="R3226" s="2">
        <f>PerfRate[[#This Row],[ManagerRating]] - PerfRate[[#This Row],[SelfRating]]</f>
        <v>0</v>
      </c>
    </row>
    <row r="3227" spans="1:18">
      <c r="A3227" s="2" t="s">
        <v>7534</v>
      </c>
      <c r="B3227" s="2" t="s">
        <v>508</v>
      </c>
      <c r="C3227" s="1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  <c r="L3227" s="2" t="s">
        <v>11030</v>
      </c>
      <c r="M3227" s="2" t="s">
        <v>11029</v>
      </c>
      <c r="N3227" s="2" t="s">
        <v>11036</v>
      </c>
      <c r="O3227" s="2" t="s">
        <v>11038</v>
      </c>
      <c r="P3227" s="2" t="s">
        <v>11036</v>
      </c>
      <c r="Q3227" s="2">
        <f>AVERAGE(PerfRate[[#This Row],[EnvironmentSatisfaction]],PerfRate[[#This Row],[JobSatisfaction]],PerfRate[[#This Row],[RelationshipSatisfaction]])</f>
        <v>3.6666666666666665</v>
      </c>
      <c r="R3227" s="2">
        <f>PerfRate[[#This Row],[ManagerRating]] - PerfRate[[#This Row],[SelfRating]]</f>
        <v>-1</v>
      </c>
    </row>
    <row r="3228" spans="1:18">
      <c r="A3228" s="2" t="s">
        <v>7535</v>
      </c>
      <c r="B3228" s="2" t="s">
        <v>814</v>
      </c>
      <c r="C3228" s="1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  <c r="L3228" s="2" t="s">
        <v>11029</v>
      </c>
      <c r="M3228" s="2" t="s">
        <v>11029</v>
      </c>
      <c r="N3228" s="2" t="s">
        <v>11036</v>
      </c>
      <c r="O3228" s="2" t="s">
        <v>11035</v>
      </c>
      <c r="P3228" s="2" t="s">
        <v>11035</v>
      </c>
      <c r="Q3228" s="2">
        <f>AVERAGE(PerfRate[[#This Row],[EnvironmentSatisfaction]],PerfRate[[#This Row],[JobSatisfaction]],PerfRate[[#This Row],[RelationshipSatisfaction]])</f>
        <v>2.3333333333333335</v>
      </c>
      <c r="R3228" s="2">
        <f>PerfRate[[#This Row],[ManagerRating]] - PerfRate[[#This Row],[SelfRating]]</f>
        <v>0</v>
      </c>
    </row>
    <row r="3229" spans="1:18">
      <c r="A3229" s="2" t="s">
        <v>7536</v>
      </c>
      <c r="B3229" s="2" t="s">
        <v>1441</v>
      </c>
      <c r="C3229" s="1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  <c r="L3229" s="2" t="s">
        <v>11030</v>
      </c>
      <c r="M3229" s="2" t="s">
        <v>11030</v>
      </c>
      <c r="N3229" s="2" t="s">
        <v>11038</v>
      </c>
      <c r="O3229" s="2" t="s">
        <v>11035</v>
      </c>
      <c r="P3229" s="2" t="s">
        <v>11038</v>
      </c>
      <c r="Q3229" s="2">
        <f>AVERAGE(PerfRate[[#This Row],[EnvironmentSatisfaction]],PerfRate[[#This Row],[JobSatisfaction]],PerfRate[[#This Row],[RelationshipSatisfaction]])</f>
        <v>4</v>
      </c>
      <c r="R3229" s="2">
        <f>PerfRate[[#This Row],[ManagerRating]] - PerfRate[[#This Row],[SelfRating]]</f>
        <v>0</v>
      </c>
    </row>
    <row r="3230" spans="1:18">
      <c r="A3230" s="2" t="s">
        <v>7537</v>
      </c>
      <c r="B3230" s="2" t="s">
        <v>122</v>
      </c>
      <c r="C3230" s="1">
        <v>41335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  <c r="L3230" s="2" t="s">
        <v>11031</v>
      </c>
      <c r="M3230" s="2" t="s">
        <v>11031</v>
      </c>
      <c r="N3230" s="2" t="s">
        <v>11038</v>
      </c>
      <c r="O3230" s="2" t="s">
        <v>11038</v>
      </c>
      <c r="P3230" s="2" t="s">
        <v>11036</v>
      </c>
      <c r="Q3230" s="2">
        <f>AVERAGE(PerfRate[[#This Row],[EnvironmentSatisfaction]],PerfRate[[#This Row],[JobSatisfaction]],PerfRate[[#This Row],[RelationshipSatisfaction]])</f>
        <v>4.333333333333333</v>
      </c>
      <c r="R3230" s="2">
        <f>PerfRate[[#This Row],[ManagerRating]] - PerfRate[[#This Row],[SelfRating]]</f>
        <v>0</v>
      </c>
    </row>
    <row r="3231" spans="1:18">
      <c r="A3231" s="2" t="s">
        <v>7538</v>
      </c>
      <c r="B3231" s="2" t="s">
        <v>4222</v>
      </c>
      <c r="C3231" s="1">
        <v>41768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  <c r="L3231" s="2" t="s">
        <v>11031</v>
      </c>
      <c r="M3231" s="2" t="s">
        <v>11031</v>
      </c>
      <c r="N3231" s="2" t="s">
        <v>11036</v>
      </c>
      <c r="O3231" s="2" t="s">
        <v>11037</v>
      </c>
      <c r="P3231" s="2" t="s">
        <v>11036</v>
      </c>
      <c r="Q3231" s="2">
        <f>AVERAGE(PerfRate[[#This Row],[EnvironmentSatisfaction]],PerfRate[[#This Row],[JobSatisfaction]],PerfRate[[#This Row],[RelationshipSatisfaction]])</f>
        <v>3.3333333333333335</v>
      </c>
      <c r="R3231" s="2">
        <f>PerfRate[[#This Row],[ManagerRating]] - PerfRate[[#This Row],[SelfRating]]</f>
        <v>0</v>
      </c>
    </row>
    <row r="3232" spans="1:18">
      <c r="A3232" s="2" t="s">
        <v>7539</v>
      </c>
      <c r="B3232" s="2" t="s">
        <v>1476</v>
      </c>
      <c r="C3232" s="1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  <c r="L3232" s="2" t="s">
        <v>11031</v>
      </c>
      <c r="M3232" s="2" t="s">
        <v>11030</v>
      </c>
      <c r="N3232" s="2" t="s">
        <v>11038</v>
      </c>
      <c r="O3232" s="2" t="s">
        <v>11035</v>
      </c>
      <c r="P3232" s="2" t="s">
        <v>11038</v>
      </c>
      <c r="Q3232" s="2">
        <f>AVERAGE(PerfRate[[#This Row],[EnvironmentSatisfaction]],PerfRate[[#This Row],[JobSatisfaction]],PerfRate[[#This Row],[RelationshipSatisfaction]])</f>
        <v>4</v>
      </c>
      <c r="R3232" s="2">
        <f>PerfRate[[#This Row],[ManagerRating]] - PerfRate[[#This Row],[SelfRating]]</f>
        <v>-1</v>
      </c>
    </row>
    <row r="3233" spans="1:18">
      <c r="A3233" s="2" t="s">
        <v>7540</v>
      </c>
      <c r="B3233" s="2" t="s">
        <v>461</v>
      </c>
      <c r="C3233" s="1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  <c r="L3233" s="2" t="s">
        <v>11030</v>
      </c>
      <c r="M3233" s="2" t="s">
        <v>11029</v>
      </c>
      <c r="N3233" s="2" t="s">
        <v>11038</v>
      </c>
      <c r="O3233" s="2" t="s">
        <v>11036</v>
      </c>
      <c r="P3233" s="2" t="s">
        <v>11037</v>
      </c>
      <c r="Q3233" s="2">
        <f>AVERAGE(PerfRate[[#This Row],[EnvironmentSatisfaction]],PerfRate[[#This Row],[JobSatisfaction]],PerfRate[[#This Row],[RelationshipSatisfaction]])</f>
        <v>4</v>
      </c>
      <c r="R3233" s="2">
        <f>PerfRate[[#This Row],[ManagerRating]] - PerfRate[[#This Row],[SelfRating]]</f>
        <v>-1</v>
      </c>
    </row>
    <row r="3234" spans="1:18">
      <c r="A3234" s="2" t="s">
        <v>7541</v>
      </c>
      <c r="B3234" s="2" t="s">
        <v>1421</v>
      </c>
      <c r="C3234" s="1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  <c r="L3234" s="2" t="s">
        <v>11031</v>
      </c>
      <c r="M3234" s="2" t="s">
        <v>11030</v>
      </c>
      <c r="N3234" s="2" t="s">
        <v>11036</v>
      </c>
      <c r="O3234" s="2" t="s">
        <v>11037</v>
      </c>
      <c r="P3234" s="2" t="s">
        <v>11036</v>
      </c>
      <c r="Q3234" s="2">
        <f>AVERAGE(PerfRate[[#This Row],[EnvironmentSatisfaction]],PerfRate[[#This Row],[JobSatisfaction]],PerfRate[[#This Row],[RelationshipSatisfaction]])</f>
        <v>3.3333333333333335</v>
      </c>
      <c r="R3234" s="2">
        <f>PerfRate[[#This Row],[ManagerRating]] - PerfRate[[#This Row],[SelfRating]]</f>
        <v>-1</v>
      </c>
    </row>
    <row r="3235" spans="1:18">
      <c r="A3235" s="2" t="s">
        <v>7542</v>
      </c>
      <c r="B3235" s="2" t="s">
        <v>1719</v>
      </c>
      <c r="C3235" s="1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  <c r="L3235" s="2" t="s">
        <v>11030</v>
      </c>
      <c r="M3235" s="2" t="s">
        <v>11030</v>
      </c>
      <c r="N3235" s="2" t="s">
        <v>11038</v>
      </c>
      <c r="O3235" s="2" t="s">
        <v>11035</v>
      </c>
      <c r="P3235" s="2" t="s">
        <v>11038</v>
      </c>
      <c r="Q3235" s="2">
        <f>AVERAGE(PerfRate[[#This Row],[EnvironmentSatisfaction]],PerfRate[[#This Row],[JobSatisfaction]],PerfRate[[#This Row],[RelationshipSatisfaction]])</f>
        <v>4</v>
      </c>
      <c r="R3235" s="2">
        <f>PerfRate[[#This Row],[ManagerRating]] - PerfRate[[#This Row],[SelfRating]]</f>
        <v>0</v>
      </c>
    </row>
    <row r="3236" spans="1:18">
      <c r="A3236" s="2" t="s">
        <v>7543</v>
      </c>
      <c r="B3236" s="2" t="s">
        <v>2019</v>
      </c>
      <c r="C3236" s="1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  <c r="L3236" s="2" t="s">
        <v>11031</v>
      </c>
      <c r="M3236" s="2" t="s">
        <v>11031</v>
      </c>
      <c r="N3236" s="2" t="s">
        <v>11036</v>
      </c>
      <c r="O3236" s="2" t="s">
        <v>11037</v>
      </c>
      <c r="P3236" s="2" t="s">
        <v>11037</v>
      </c>
      <c r="Q3236" s="2">
        <f>AVERAGE(PerfRate[[#This Row],[EnvironmentSatisfaction]],PerfRate[[#This Row],[JobSatisfaction]],PerfRate[[#This Row],[RelationshipSatisfaction]])</f>
        <v>3.6666666666666665</v>
      </c>
      <c r="R3236" s="2">
        <f>PerfRate[[#This Row],[ManagerRating]] - PerfRate[[#This Row],[SelfRating]]</f>
        <v>0</v>
      </c>
    </row>
    <row r="3237" spans="1:18">
      <c r="A3237" s="2" t="s">
        <v>7544</v>
      </c>
      <c r="B3237" s="2" t="s">
        <v>2995</v>
      </c>
      <c r="C3237" s="1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  <c r="L3237" s="2" t="s">
        <v>11031</v>
      </c>
      <c r="M3237" s="2" t="s">
        <v>11030</v>
      </c>
      <c r="N3237" s="2" t="s">
        <v>11038</v>
      </c>
      <c r="O3237" s="2" t="s">
        <v>11036</v>
      </c>
      <c r="P3237" s="2" t="s">
        <v>11037</v>
      </c>
      <c r="Q3237" s="2">
        <f>AVERAGE(PerfRate[[#This Row],[EnvironmentSatisfaction]],PerfRate[[#This Row],[JobSatisfaction]],PerfRate[[#This Row],[RelationshipSatisfaction]])</f>
        <v>4</v>
      </c>
      <c r="R3237" s="2">
        <f>PerfRate[[#This Row],[ManagerRating]] - PerfRate[[#This Row],[SelfRating]]</f>
        <v>-1</v>
      </c>
    </row>
    <row r="3238" spans="1:18">
      <c r="A3238" s="2" t="s">
        <v>7545</v>
      </c>
      <c r="B3238" s="2" t="s">
        <v>3702</v>
      </c>
      <c r="C3238" s="1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  <c r="L3238" s="2" t="s">
        <v>11029</v>
      </c>
      <c r="M3238" s="2" t="s">
        <v>11028</v>
      </c>
      <c r="N3238" s="2" t="s">
        <v>11038</v>
      </c>
      <c r="O3238" s="2" t="s">
        <v>11038</v>
      </c>
      <c r="P3238" s="2" t="s">
        <v>11037</v>
      </c>
      <c r="Q3238" s="2">
        <f>AVERAGE(PerfRate[[#This Row],[EnvironmentSatisfaction]],PerfRate[[#This Row],[JobSatisfaction]],PerfRate[[#This Row],[RelationshipSatisfaction]])</f>
        <v>4.666666666666667</v>
      </c>
      <c r="R3238" s="2">
        <f>PerfRate[[#This Row],[ManagerRating]] - PerfRate[[#This Row],[SelfRating]]</f>
        <v>-1</v>
      </c>
    </row>
    <row r="3239" spans="1:18">
      <c r="A3239" s="2" t="s">
        <v>7546</v>
      </c>
      <c r="B3239" s="2" t="s">
        <v>446</v>
      </c>
      <c r="C3239" s="1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  <c r="L3239" s="2" t="s">
        <v>11029</v>
      </c>
      <c r="M3239" s="2" t="s">
        <v>11029</v>
      </c>
      <c r="N3239" s="2" t="s">
        <v>11038</v>
      </c>
      <c r="O3239" s="2" t="s">
        <v>11037</v>
      </c>
      <c r="P3239" s="2" t="s">
        <v>11036</v>
      </c>
      <c r="Q3239" s="2">
        <f>AVERAGE(PerfRate[[#This Row],[EnvironmentSatisfaction]],PerfRate[[#This Row],[JobSatisfaction]],PerfRate[[#This Row],[RelationshipSatisfaction]])</f>
        <v>4</v>
      </c>
      <c r="R3239" s="2">
        <f>PerfRate[[#This Row],[ManagerRating]] - PerfRate[[#This Row],[SelfRating]]</f>
        <v>0</v>
      </c>
    </row>
    <row r="3240" spans="1:18">
      <c r="A3240" s="2" t="s">
        <v>7547</v>
      </c>
      <c r="B3240" s="2" t="s">
        <v>1741</v>
      </c>
      <c r="C3240" s="1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  <c r="L3240" s="2" t="s">
        <v>11030</v>
      </c>
      <c r="M3240" s="2" t="s">
        <v>11029</v>
      </c>
      <c r="N3240" s="2" t="s">
        <v>11037</v>
      </c>
      <c r="O3240" s="2" t="s">
        <v>11038</v>
      </c>
      <c r="P3240" s="2" t="s">
        <v>11038</v>
      </c>
      <c r="Q3240" s="2">
        <f>AVERAGE(PerfRate[[#This Row],[EnvironmentSatisfaction]],PerfRate[[#This Row],[JobSatisfaction]],PerfRate[[#This Row],[RelationshipSatisfaction]])</f>
        <v>4.666666666666667</v>
      </c>
      <c r="R3240" s="2">
        <f>PerfRate[[#This Row],[ManagerRating]] - PerfRate[[#This Row],[SelfRating]]</f>
        <v>-1</v>
      </c>
    </row>
    <row r="3241" spans="1:18">
      <c r="A3241" s="2" t="s">
        <v>7548</v>
      </c>
      <c r="B3241" s="2" t="s">
        <v>2024</v>
      </c>
      <c r="C3241" s="1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  <c r="L3241" s="2" t="s">
        <v>11029</v>
      </c>
      <c r="M3241" s="2" t="s">
        <v>11029</v>
      </c>
      <c r="N3241" s="2" t="s">
        <v>11038</v>
      </c>
      <c r="O3241" s="2" t="s">
        <v>11036</v>
      </c>
      <c r="P3241" s="2" t="s">
        <v>11038</v>
      </c>
      <c r="Q3241" s="2">
        <f>AVERAGE(PerfRate[[#This Row],[EnvironmentSatisfaction]],PerfRate[[#This Row],[JobSatisfaction]],PerfRate[[#This Row],[RelationshipSatisfaction]])</f>
        <v>4.333333333333333</v>
      </c>
      <c r="R3241" s="2">
        <f>PerfRate[[#This Row],[ManagerRating]] - PerfRate[[#This Row],[SelfRating]]</f>
        <v>0</v>
      </c>
    </row>
    <row r="3242" spans="1:18">
      <c r="A3242" s="2" t="s">
        <v>7549</v>
      </c>
      <c r="B3242" s="2" t="s">
        <v>3353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  <c r="L3242" s="2" t="s">
        <v>11030</v>
      </c>
      <c r="M3242" s="2" t="s">
        <v>11030</v>
      </c>
      <c r="N3242" s="2" t="s">
        <v>11036</v>
      </c>
      <c r="O3242" s="2" t="s">
        <v>11037</v>
      </c>
      <c r="P3242" s="2" t="s">
        <v>11037</v>
      </c>
      <c r="Q3242" s="2">
        <f>AVERAGE(PerfRate[[#This Row],[EnvironmentSatisfaction]],PerfRate[[#This Row],[JobSatisfaction]],PerfRate[[#This Row],[RelationshipSatisfaction]])</f>
        <v>3.6666666666666665</v>
      </c>
      <c r="R3242" s="2">
        <f>PerfRate[[#This Row],[ManagerRating]] - PerfRate[[#This Row],[SelfRating]]</f>
        <v>0</v>
      </c>
    </row>
    <row r="3243" spans="1:18">
      <c r="A3243" s="2" t="s">
        <v>7550</v>
      </c>
      <c r="B3243" s="2" t="s">
        <v>2532</v>
      </c>
      <c r="C3243" s="1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  <c r="L3243" s="2" t="s">
        <v>11031</v>
      </c>
      <c r="M3243" s="2" t="s">
        <v>11031</v>
      </c>
      <c r="N3243" s="2" t="s">
        <v>11037</v>
      </c>
      <c r="O3243" s="2" t="s">
        <v>11035</v>
      </c>
      <c r="P3243" s="2" t="s">
        <v>11035</v>
      </c>
      <c r="Q3243" s="2">
        <f>AVERAGE(PerfRate[[#This Row],[EnvironmentSatisfaction]],PerfRate[[#This Row],[JobSatisfaction]],PerfRate[[#This Row],[RelationshipSatisfaction]])</f>
        <v>2.6666666666666665</v>
      </c>
      <c r="R3243" s="2">
        <f>PerfRate[[#This Row],[ManagerRating]] - PerfRate[[#This Row],[SelfRating]]</f>
        <v>0</v>
      </c>
    </row>
    <row r="3244" spans="1:18">
      <c r="A3244" s="2" t="s">
        <v>7551</v>
      </c>
      <c r="B3244" s="2" t="s">
        <v>985</v>
      </c>
      <c r="C3244" s="1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  <c r="L3244" s="2" t="s">
        <v>11029</v>
      </c>
      <c r="M3244" s="2" t="s">
        <v>11028</v>
      </c>
      <c r="N3244" s="2" t="s">
        <v>11037</v>
      </c>
      <c r="O3244" s="2" t="s">
        <v>11036</v>
      </c>
      <c r="P3244" s="2" t="s">
        <v>11036</v>
      </c>
      <c r="Q3244" s="2">
        <f>AVERAGE(PerfRate[[#This Row],[EnvironmentSatisfaction]],PerfRate[[#This Row],[JobSatisfaction]],PerfRate[[#This Row],[RelationshipSatisfaction]])</f>
        <v>3.3333333333333335</v>
      </c>
      <c r="R3244" s="2">
        <f>PerfRate[[#This Row],[ManagerRating]] - PerfRate[[#This Row],[SelfRating]]</f>
        <v>-1</v>
      </c>
    </row>
    <row r="3245" spans="1:18">
      <c r="A3245" s="2" t="s">
        <v>7552</v>
      </c>
      <c r="B3245" s="2" t="s">
        <v>2122</v>
      </c>
      <c r="C3245" s="1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  <c r="L3245" s="2" t="s">
        <v>11030</v>
      </c>
      <c r="M3245" s="2" t="s">
        <v>11029</v>
      </c>
      <c r="N3245" s="2" t="s">
        <v>11036</v>
      </c>
      <c r="O3245" s="2" t="s">
        <v>11036</v>
      </c>
      <c r="P3245" s="2" t="s">
        <v>11035</v>
      </c>
      <c r="Q3245" s="2">
        <f>AVERAGE(PerfRate[[#This Row],[EnvironmentSatisfaction]],PerfRate[[#This Row],[JobSatisfaction]],PerfRate[[#This Row],[RelationshipSatisfaction]])</f>
        <v>2.6666666666666665</v>
      </c>
      <c r="R3245" s="2">
        <f>PerfRate[[#This Row],[ManagerRating]] - PerfRate[[#This Row],[SelfRating]]</f>
        <v>-1</v>
      </c>
    </row>
    <row r="3246" spans="1:18">
      <c r="A3246" s="2" t="s">
        <v>7553</v>
      </c>
      <c r="B3246" s="2" t="s">
        <v>2248</v>
      </c>
      <c r="C3246" s="1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  <c r="L3246" s="2" t="s">
        <v>11031</v>
      </c>
      <c r="M3246" s="2" t="s">
        <v>11031</v>
      </c>
      <c r="N3246" s="2" t="s">
        <v>11036</v>
      </c>
      <c r="O3246" s="2" t="s">
        <v>11038</v>
      </c>
      <c r="P3246" s="2" t="s">
        <v>11037</v>
      </c>
      <c r="Q3246" s="2">
        <f>AVERAGE(PerfRate[[#This Row],[EnvironmentSatisfaction]],PerfRate[[#This Row],[JobSatisfaction]],PerfRate[[#This Row],[RelationshipSatisfaction]])</f>
        <v>4</v>
      </c>
      <c r="R3246" s="2">
        <f>PerfRate[[#This Row],[ManagerRating]] - PerfRate[[#This Row],[SelfRating]]</f>
        <v>0</v>
      </c>
    </row>
    <row r="3247" spans="1:18">
      <c r="A3247" s="2" t="s">
        <v>7554</v>
      </c>
      <c r="B3247" s="2" t="s">
        <v>2039</v>
      </c>
      <c r="C3247" s="1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  <c r="L3247" s="2" t="s">
        <v>11031</v>
      </c>
      <c r="M3247" s="2" t="s">
        <v>11030</v>
      </c>
      <c r="N3247" s="2" t="s">
        <v>11038</v>
      </c>
      <c r="O3247" s="2" t="s">
        <v>11038</v>
      </c>
      <c r="P3247" s="2" t="s">
        <v>11036</v>
      </c>
      <c r="Q3247" s="2">
        <f>AVERAGE(PerfRate[[#This Row],[EnvironmentSatisfaction]],PerfRate[[#This Row],[JobSatisfaction]],PerfRate[[#This Row],[RelationshipSatisfaction]])</f>
        <v>4.333333333333333</v>
      </c>
      <c r="R3247" s="2">
        <f>PerfRate[[#This Row],[ManagerRating]] - PerfRate[[#This Row],[SelfRating]]</f>
        <v>-1</v>
      </c>
    </row>
    <row r="3248" spans="1:18">
      <c r="A3248" s="2" t="s">
        <v>7555</v>
      </c>
      <c r="B3248" s="2" t="s">
        <v>2263</v>
      </c>
      <c r="C3248" s="1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  <c r="L3248" s="2" t="s">
        <v>11030</v>
      </c>
      <c r="M3248" s="2" t="s">
        <v>11029</v>
      </c>
      <c r="N3248" s="2" t="s">
        <v>11037</v>
      </c>
      <c r="O3248" s="2" t="s">
        <v>11038</v>
      </c>
      <c r="P3248" s="2" t="s">
        <v>11035</v>
      </c>
      <c r="Q3248" s="2">
        <f>AVERAGE(PerfRate[[#This Row],[EnvironmentSatisfaction]],PerfRate[[#This Row],[JobSatisfaction]],PerfRate[[#This Row],[RelationshipSatisfaction]])</f>
        <v>3.6666666666666665</v>
      </c>
      <c r="R3248" s="2">
        <f>PerfRate[[#This Row],[ManagerRating]] - PerfRate[[#This Row],[SelfRating]]</f>
        <v>-1</v>
      </c>
    </row>
    <row r="3249" spans="1:18">
      <c r="A3249" s="2" t="s">
        <v>7556</v>
      </c>
      <c r="B3249" s="2" t="s">
        <v>1641</v>
      </c>
      <c r="C3249" s="1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  <c r="L3249" s="2" t="s">
        <v>11029</v>
      </c>
      <c r="M3249" s="2" t="s">
        <v>11029</v>
      </c>
      <c r="N3249" s="2" t="s">
        <v>11037</v>
      </c>
      <c r="O3249" s="2" t="s">
        <v>11036</v>
      </c>
      <c r="P3249" s="2" t="s">
        <v>11035</v>
      </c>
      <c r="Q3249" s="2">
        <f>AVERAGE(PerfRate[[#This Row],[EnvironmentSatisfaction]],PerfRate[[#This Row],[JobSatisfaction]],PerfRate[[#This Row],[RelationshipSatisfaction]])</f>
        <v>3</v>
      </c>
      <c r="R3249" s="2">
        <f>PerfRate[[#This Row],[ManagerRating]] - PerfRate[[#This Row],[SelfRating]]</f>
        <v>0</v>
      </c>
    </row>
    <row r="3250" spans="1:18">
      <c r="A3250" s="2" t="s">
        <v>7557</v>
      </c>
      <c r="B3250" s="2" t="s">
        <v>2366</v>
      </c>
      <c r="C3250" s="1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  <c r="L3250" s="2" t="s">
        <v>11030</v>
      </c>
      <c r="M3250" s="2" t="s">
        <v>11029</v>
      </c>
      <c r="N3250" s="2" t="s">
        <v>11038</v>
      </c>
      <c r="O3250" s="2" t="s">
        <v>11037</v>
      </c>
      <c r="P3250" s="2" t="s">
        <v>11037</v>
      </c>
      <c r="Q3250" s="2">
        <f>AVERAGE(PerfRate[[#This Row],[EnvironmentSatisfaction]],PerfRate[[#This Row],[JobSatisfaction]],PerfRate[[#This Row],[RelationshipSatisfaction]])</f>
        <v>4.333333333333333</v>
      </c>
      <c r="R3250" s="2">
        <f>PerfRate[[#This Row],[ManagerRating]] - PerfRate[[#This Row],[SelfRating]]</f>
        <v>-1</v>
      </c>
    </row>
    <row r="3251" spans="1:18">
      <c r="A3251" s="2" t="s">
        <v>7558</v>
      </c>
      <c r="B3251" s="2" t="s">
        <v>1965</v>
      </c>
      <c r="C3251" s="1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  <c r="L3251" s="2" t="s">
        <v>11029</v>
      </c>
      <c r="M3251" s="2" t="s">
        <v>11028</v>
      </c>
      <c r="N3251" s="2" t="s">
        <v>11037</v>
      </c>
      <c r="O3251" s="2" t="s">
        <v>11037</v>
      </c>
      <c r="P3251" s="2" t="s">
        <v>11038</v>
      </c>
      <c r="Q3251" s="2">
        <f>AVERAGE(PerfRate[[#This Row],[EnvironmentSatisfaction]],PerfRate[[#This Row],[JobSatisfaction]],PerfRate[[#This Row],[RelationshipSatisfaction]])</f>
        <v>4.333333333333333</v>
      </c>
      <c r="R3251" s="2">
        <f>PerfRate[[#This Row],[ManagerRating]] - PerfRate[[#This Row],[SelfRating]]</f>
        <v>-1</v>
      </c>
    </row>
    <row r="3252" spans="1:18">
      <c r="A3252" s="2" t="s">
        <v>7559</v>
      </c>
      <c r="B3252" s="2" t="s">
        <v>1750</v>
      </c>
      <c r="C3252" s="1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  <c r="L3252" s="2" t="s">
        <v>11029</v>
      </c>
      <c r="M3252" s="2" t="s">
        <v>11028</v>
      </c>
      <c r="N3252" s="2" t="s">
        <v>11037</v>
      </c>
      <c r="O3252" s="2" t="s">
        <v>11035</v>
      </c>
      <c r="P3252" s="2" t="s">
        <v>11037</v>
      </c>
      <c r="Q3252" s="2">
        <f>AVERAGE(PerfRate[[#This Row],[EnvironmentSatisfaction]],PerfRate[[#This Row],[JobSatisfaction]],PerfRate[[#This Row],[RelationshipSatisfaction]])</f>
        <v>3.3333333333333335</v>
      </c>
      <c r="R3252" s="2">
        <f>PerfRate[[#This Row],[ManagerRating]] - PerfRate[[#This Row],[SelfRating]]</f>
        <v>-1</v>
      </c>
    </row>
    <row r="3253" spans="1:18">
      <c r="A3253" s="2" t="s">
        <v>7560</v>
      </c>
      <c r="B3253" s="2" t="s">
        <v>4142</v>
      </c>
      <c r="C3253" s="1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  <c r="L3253" s="2" t="s">
        <v>11031</v>
      </c>
      <c r="M3253" s="2" t="s">
        <v>11031</v>
      </c>
      <c r="N3253" s="2" t="s">
        <v>11037</v>
      </c>
      <c r="O3253" s="2" t="s">
        <v>11036</v>
      </c>
      <c r="P3253" s="2" t="s">
        <v>11034</v>
      </c>
      <c r="Q3253" s="2">
        <f>AVERAGE(PerfRate[[#This Row],[EnvironmentSatisfaction]],PerfRate[[#This Row],[JobSatisfaction]],PerfRate[[#This Row],[RelationshipSatisfaction]])</f>
        <v>2.6666666666666665</v>
      </c>
      <c r="R3253" s="2">
        <f>PerfRate[[#This Row],[ManagerRating]] - PerfRate[[#This Row],[SelfRating]]</f>
        <v>0</v>
      </c>
    </row>
    <row r="3254" spans="1:18">
      <c r="A3254" s="2" t="s">
        <v>7561</v>
      </c>
      <c r="B3254" s="2" t="s">
        <v>2554</v>
      </c>
      <c r="C3254" s="1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  <c r="L3254" s="2" t="s">
        <v>11029</v>
      </c>
      <c r="M3254" s="2" t="s">
        <v>11029</v>
      </c>
      <c r="N3254" s="2" t="s">
        <v>11036</v>
      </c>
      <c r="O3254" s="2" t="s">
        <v>11036</v>
      </c>
      <c r="P3254" s="2" t="s">
        <v>11038</v>
      </c>
      <c r="Q3254" s="2">
        <f>AVERAGE(PerfRate[[#This Row],[EnvironmentSatisfaction]],PerfRate[[#This Row],[JobSatisfaction]],PerfRate[[#This Row],[RelationshipSatisfaction]])</f>
        <v>3.6666666666666665</v>
      </c>
      <c r="R3254" s="2">
        <f>PerfRate[[#This Row],[ManagerRating]] - PerfRate[[#This Row],[SelfRating]]</f>
        <v>0</v>
      </c>
    </row>
    <row r="3255" spans="1:18">
      <c r="A3255" s="2" t="s">
        <v>7562</v>
      </c>
      <c r="B3255" s="2" t="s">
        <v>2628</v>
      </c>
      <c r="C3255" s="1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  <c r="L3255" s="2" t="s">
        <v>11031</v>
      </c>
      <c r="M3255" s="2" t="s">
        <v>11031</v>
      </c>
      <c r="N3255" s="2" t="s">
        <v>11037</v>
      </c>
      <c r="O3255" s="2" t="s">
        <v>11035</v>
      </c>
      <c r="P3255" s="2" t="s">
        <v>11038</v>
      </c>
      <c r="Q3255" s="2">
        <f>AVERAGE(PerfRate[[#This Row],[EnvironmentSatisfaction]],PerfRate[[#This Row],[JobSatisfaction]],PerfRate[[#This Row],[RelationshipSatisfaction]])</f>
        <v>3.6666666666666665</v>
      </c>
      <c r="R3255" s="2">
        <f>PerfRate[[#This Row],[ManagerRating]] - PerfRate[[#This Row],[SelfRating]]</f>
        <v>0</v>
      </c>
    </row>
    <row r="3256" spans="1:18">
      <c r="A3256" s="2" t="s">
        <v>7563</v>
      </c>
      <c r="B3256" s="2" t="s">
        <v>214</v>
      </c>
      <c r="C3256" s="1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  <c r="L3256" s="2" t="s">
        <v>11030</v>
      </c>
      <c r="M3256" s="2" t="s">
        <v>11030</v>
      </c>
      <c r="N3256" s="2" t="s">
        <v>11037</v>
      </c>
      <c r="O3256" s="2" t="s">
        <v>11036</v>
      </c>
      <c r="P3256" s="2" t="s">
        <v>11038</v>
      </c>
      <c r="Q3256" s="2">
        <f>AVERAGE(PerfRate[[#This Row],[EnvironmentSatisfaction]],PerfRate[[#This Row],[JobSatisfaction]],PerfRate[[#This Row],[RelationshipSatisfaction]])</f>
        <v>4</v>
      </c>
      <c r="R3256" s="2">
        <f>PerfRate[[#This Row],[ManagerRating]] - PerfRate[[#This Row],[SelfRating]]</f>
        <v>0</v>
      </c>
    </row>
    <row r="3257" spans="1:18">
      <c r="A3257" s="2" t="s">
        <v>7564</v>
      </c>
      <c r="B3257" s="2" t="s">
        <v>1800</v>
      </c>
      <c r="C3257" s="1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  <c r="L3257" s="2" t="s">
        <v>11031</v>
      </c>
      <c r="M3257" s="2" t="s">
        <v>11031</v>
      </c>
      <c r="N3257" s="2" t="s">
        <v>11038</v>
      </c>
      <c r="O3257" s="2" t="s">
        <v>11037</v>
      </c>
      <c r="P3257" s="2" t="s">
        <v>11035</v>
      </c>
      <c r="Q3257" s="2">
        <f>AVERAGE(PerfRate[[#This Row],[EnvironmentSatisfaction]],PerfRate[[#This Row],[JobSatisfaction]],PerfRate[[#This Row],[RelationshipSatisfaction]])</f>
        <v>3.6666666666666665</v>
      </c>
      <c r="R3257" s="2">
        <f>PerfRate[[#This Row],[ManagerRating]] - PerfRate[[#This Row],[SelfRating]]</f>
        <v>0</v>
      </c>
    </row>
    <row r="3258" spans="1:18">
      <c r="A3258" s="2" t="s">
        <v>7565</v>
      </c>
      <c r="B3258" s="2" t="s">
        <v>1868</v>
      </c>
      <c r="C3258" s="1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  <c r="L3258" s="2" t="s">
        <v>11030</v>
      </c>
      <c r="M3258" s="2" t="s">
        <v>11029</v>
      </c>
      <c r="N3258" s="2" t="s">
        <v>11037</v>
      </c>
      <c r="O3258" s="2" t="s">
        <v>11035</v>
      </c>
      <c r="P3258" s="2" t="s">
        <v>11035</v>
      </c>
      <c r="Q3258" s="2">
        <f>AVERAGE(PerfRate[[#This Row],[EnvironmentSatisfaction]],PerfRate[[#This Row],[JobSatisfaction]],PerfRate[[#This Row],[RelationshipSatisfaction]])</f>
        <v>2.6666666666666665</v>
      </c>
      <c r="R3258" s="2">
        <f>PerfRate[[#This Row],[ManagerRating]] - PerfRate[[#This Row],[SelfRating]]</f>
        <v>-1</v>
      </c>
    </row>
    <row r="3259" spans="1:18">
      <c r="A3259" s="2" t="s">
        <v>7566</v>
      </c>
      <c r="B3259" s="2" t="s">
        <v>1012</v>
      </c>
      <c r="C3259" s="1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  <c r="L3259" s="2" t="s">
        <v>11031</v>
      </c>
      <c r="M3259" s="2" t="s">
        <v>11030</v>
      </c>
      <c r="N3259" s="2" t="s">
        <v>11036</v>
      </c>
      <c r="O3259" s="2" t="s">
        <v>11038</v>
      </c>
      <c r="P3259" s="2" t="s">
        <v>11037</v>
      </c>
      <c r="Q3259" s="2">
        <f>AVERAGE(PerfRate[[#This Row],[EnvironmentSatisfaction]],PerfRate[[#This Row],[JobSatisfaction]],PerfRate[[#This Row],[RelationshipSatisfaction]])</f>
        <v>4</v>
      </c>
      <c r="R3259" s="2">
        <f>PerfRate[[#This Row],[ManagerRating]] - PerfRate[[#This Row],[SelfRating]]</f>
        <v>-1</v>
      </c>
    </row>
    <row r="3260" spans="1:18">
      <c r="A3260" s="2" t="s">
        <v>7567</v>
      </c>
      <c r="B3260" s="2" t="s">
        <v>2620</v>
      </c>
      <c r="C3260" s="1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  <c r="L3260" s="2" t="s">
        <v>11029</v>
      </c>
      <c r="M3260" s="2" t="s">
        <v>11029</v>
      </c>
      <c r="N3260" s="2" t="s">
        <v>11036</v>
      </c>
      <c r="O3260" s="2" t="s">
        <v>11038</v>
      </c>
      <c r="P3260" s="2" t="s">
        <v>11036</v>
      </c>
      <c r="Q3260" s="2">
        <f>AVERAGE(PerfRate[[#This Row],[EnvironmentSatisfaction]],PerfRate[[#This Row],[JobSatisfaction]],PerfRate[[#This Row],[RelationshipSatisfaction]])</f>
        <v>3.6666666666666665</v>
      </c>
      <c r="R3260" s="2">
        <f>PerfRate[[#This Row],[ManagerRating]] - PerfRate[[#This Row],[SelfRating]]</f>
        <v>0</v>
      </c>
    </row>
    <row r="3261" spans="1:18">
      <c r="A3261" s="2" t="s">
        <v>7568</v>
      </c>
      <c r="B3261" s="2" t="s">
        <v>4118</v>
      </c>
      <c r="C3261" s="1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  <c r="L3261" s="2" t="s">
        <v>11030</v>
      </c>
      <c r="M3261" s="2" t="s">
        <v>11029</v>
      </c>
      <c r="N3261" s="2" t="s">
        <v>11037</v>
      </c>
      <c r="O3261" s="2" t="s">
        <v>11038</v>
      </c>
      <c r="P3261" s="2" t="s">
        <v>11036</v>
      </c>
      <c r="Q3261" s="2">
        <f>AVERAGE(PerfRate[[#This Row],[EnvironmentSatisfaction]],PerfRate[[#This Row],[JobSatisfaction]],PerfRate[[#This Row],[RelationshipSatisfaction]])</f>
        <v>4</v>
      </c>
      <c r="R3261" s="2">
        <f>PerfRate[[#This Row],[ManagerRating]] - PerfRate[[#This Row],[SelfRating]]</f>
        <v>-1</v>
      </c>
    </row>
    <row r="3262" spans="1:18">
      <c r="A3262" s="2" t="s">
        <v>7569</v>
      </c>
      <c r="B3262" s="2" t="s">
        <v>2332</v>
      </c>
      <c r="C3262" s="1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  <c r="L3262" s="2" t="s">
        <v>11031</v>
      </c>
      <c r="M3262" s="2" t="s">
        <v>11031</v>
      </c>
      <c r="N3262" s="2" t="s">
        <v>11038</v>
      </c>
      <c r="O3262" s="2" t="s">
        <v>11036</v>
      </c>
      <c r="P3262" s="2" t="s">
        <v>11035</v>
      </c>
      <c r="Q3262" s="2">
        <f>AVERAGE(PerfRate[[#This Row],[EnvironmentSatisfaction]],PerfRate[[#This Row],[JobSatisfaction]],PerfRate[[#This Row],[RelationshipSatisfaction]])</f>
        <v>3.3333333333333335</v>
      </c>
      <c r="R3262" s="2">
        <f>PerfRate[[#This Row],[ManagerRating]] - PerfRate[[#This Row],[SelfRating]]</f>
        <v>0</v>
      </c>
    </row>
    <row r="3263" spans="1:18">
      <c r="A3263" s="2" t="s">
        <v>7570</v>
      </c>
      <c r="B3263" s="2" t="s">
        <v>817</v>
      </c>
      <c r="C3263" s="1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  <c r="L3263" s="2" t="s">
        <v>11029</v>
      </c>
      <c r="M3263" s="2" t="s">
        <v>11028</v>
      </c>
      <c r="N3263" s="2" t="s">
        <v>11037</v>
      </c>
      <c r="O3263" s="2" t="s">
        <v>11035</v>
      </c>
      <c r="P3263" s="2" t="s">
        <v>11036</v>
      </c>
      <c r="Q3263" s="2">
        <f>AVERAGE(PerfRate[[#This Row],[EnvironmentSatisfaction]],PerfRate[[#This Row],[JobSatisfaction]],PerfRate[[#This Row],[RelationshipSatisfaction]])</f>
        <v>3</v>
      </c>
      <c r="R3263" s="2">
        <f>PerfRate[[#This Row],[ManagerRating]] - PerfRate[[#This Row],[SelfRating]]</f>
        <v>-1</v>
      </c>
    </row>
    <row r="3264" spans="1:18">
      <c r="A3264" s="2" t="s">
        <v>7571</v>
      </c>
      <c r="B3264" s="2" t="s">
        <v>2885</v>
      </c>
      <c r="C3264" s="1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  <c r="L3264" s="2" t="s">
        <v>11030</v>
      </c>
      <c r="M3264" s="2" t="s">
        <v>11029</v>
      </c>
      <c r="N3264" s="2" t="s">
        <v>11037</v>
      </c>
      <c r="O3264" s="2" t="s">
        <v>11034</v>
      </c>
      <c r="P3264" s="2" t="s">
        <v>11034</v>
      </c>
      <c r="Q3264" s="2">
        <f>AVERAGE(PerfRate[[#This Row],[EnvironmentSatisfaction]],PerfRate[[#This Row],[JobSatisfaction]],PerfRate[[#This Row],[RelationshipSatisfaction]])</f>
        <v>2</v>
      </c>
      <c r="R3264" s="2">
        <f>PerfRate[[#This Row],[ManagerRating]] - PerfRate[[#This Row],[SelfRating]]</f>
        <v>-1</v>
      </c>
    </row>
    <row r="3265" spans="1:18">
      <c r="A3265" s="2" t="s">
        <v>7572</v>
      </c>
      <c r="B3265" s="2" t="s">
        <v>2653</v>
      </c>
      <c r="C3265" s="1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  <c r="L3265" s="2" t="s">
        <v>11029</v>
      </c>
      <c r="M3265" s="2" t="s">
        <v>11028</v>
      </c>
      <c r="N3265" s="2" t="s">
        <v>11036</v>
      </c>
      <c r="O3265" s="2" t="s">
        <v>11035</v>
      </c>
      <c r="P3265" s="2" t="s">
        <v>11035</v>
      </c>
      <c r="Q3265" s="2">
        <f>AVERAGE(PerfRate[[#This Row],[EnvironmentSatisfaction]],PerfRate[[#This Row],[JobSatisfaction]],PerfRate[[#This Row],[RelationshipSatisfaction]])</f>
        <v>2.3333333333333335</v>
      </c>
      <c r="R3265" s="2">
        <f>PerfRate[[#This Row],[ManagerRating]] - PerfRate[[#This Row],[SelfRating]]</f>
        <v>-1</v>
      </c>
    </row>
    <row r="3266" spans="1:18">
      <c r="A3266" s="2" t="s">
        <v>7573</v>
      </c>
      <c r="B3266" s="2" t="s">
        <v>3042</v>
      </c>
      <c r="C3266" s="1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  <c r="L3266" s="2" t="s">
        <v>11031</v>
      </c>
      <c r="M3266" s="2" t="s">
        <v>11031</v>
      </c>
      <c r="N3266" s="2" t="s">
        <v>11037</v>
      </c>
      <c r="O3266" s="2" t="s">
        <v>11037</v>
      </c>
      <c r="P3266" s="2" t="s">
        <v>11037</v>
      </c>
      <c r="Q3266" s="2">
        <f>AVERAGE(PerfRate[[#This Row],[EnvironmentSatisfaction]],PerfRate[[#This Row],[JobSatisfaction]],PerfRate[[#This Row],[RelationshipSatisfaction]])</f>
        <v>4</v>
      </c>
      <c r="R3266" s="2">
        <f>PerfRate[[#This Row],[ManagerRating]] - PerfRate[[#This Row],[SelfRating]]</f>
        <v>0</v>
      </c>
    </row>
    <row r="3267" spans="1:18">
      <c r="A3267" s="2" t="s">
        <v>7574</v>
      </c>
      <c r="B3267" s="2" t="s">
        <v>1312</v>
      </c>
      <c r="C3267" s="1">
        <v>43835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  <c r="L3267" s="2" t="s">
        <v>11029</v>
      </c>
      <c r="M3267" s="2" t="s">
        <v>11029</v>
      </c>
      <c r="N3267" s="2" t="s">
        <v>11038</v>
      </c>
      <c r="O3267" s="2" t="s">
        <v>11038</v>
      </c>
      <c r="P3267" s="2" t="s">
        <v>11037</v>
      </c>
      <c r="Q3267" s="2">
        <f>AVERAGE(PerfRate[[#This Row],[EnvironmentSatisfaction]],PerfRate[[#This Row],[JobSatisfaction]],PerfRate[[#This Row],[RelationshipSatisfaction]])</f>
        <v>4.666666666666667</v>
      </c>
      <c r="R3267" s="2">
        <f>PerfRate[[#This Row],[ManagerRating]] - PerfRate[[#This Row],[SelfRating]]</f>
        <v>0</v>
      </c>
    </row>
    <row r="3268" spans="1:18">
      <c r="A3268" s="2" t="s">
        <v>7575</v>
      </c>
      <c r="B3268" s="2" t="s">
        <v>559</v>
      </c>
      <c r="C3268" s="1">
        <v>43835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  <c r="L3268" s="2" t="s">
        <v>11030</v>
      </c>
      <c r="M3268" s="2" t="s">
        <v>11029</v>
      </c>
      <c r="N3268" s="2" t="s">
        <v>11038</v>
      </c>
      <c r="O3268" s="2" t="s">
        <v>11038</v>
      </c>
      <c r="P3268" s="2" t="s">
        <v>11035</v>
      </c>
      <c r="Q3268" s="2">
        <f>AVERAGE(PerfRate[[#This Row],[EnvironmentSatisfaction]],PerfRate[[#This Row],[JobSatisfaction]],PerfRate[[#This Row],[RelationshipSatisfaction]])</f>
        <v>4</v>
      </c>
      <c r="R3268" s="2">
        <f>PerfRate[[#This Row],[ManagerRating]] - PerfRate[[#This Row],[SelfRating]]</f>
        <v>-1</v>
      </c>
    </row>
    <row r="3269" spans="1:18">
      <c r="A3269" s="2" t="s">
        <v>7576</v>
      </c>
      <c r="B3269" s="2" t="s">
        <v>1906</v>
      </c>
      <c r="C3269" s="1">
        <v>43866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  <c r="L3269" s="2" t="s">
        <v>11030</v>
      </c>
      <c r="M3269" s="2" t="s">
        <v>11030</v>
      </c>
      <c r="N3269" s="2" t="s">
        <v>11038</v>
      </c>
      <c r="O3269" s="2" t="s">
        <v>11035</v>
      </c>
      <c r="P3269" s="2" t="s">
        <v>11036</v>
      </c>
      <c r="Q3269" s="2">
        <f>AVERAGE(PerfRate[[#This Row],[EnvironmentSatisfaction]],PerfRate[[#This Row],[JobSatisfaction]],PerfRate[[#This Row],[RelationshipSatisfaction]])</f>
        <v>3.3333333333333335</v>
      </c>
      <c r="R3269" s="2">
        <f>PerfRate[[#This Row],[ManagerRating]] - PerfRate[[#This Row],[SelfRating]]</f>
        <v>0</v>
      </c>
    </row>
    <row r="3270" spans="1:18">
      <c r="A3270" s="2" t="s">
        <v>7577</v>
      </c>
      <c r="B3270" s="2" t="s">
        <v>652</v>
      </c>
      <c r="C3270" s="1">
        <v>43866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  <c r="L3270" s="2" t="s">
        <v>11031</v>
      </c>
      <c r="M3270" s="2" t="s">
        <v>11030</v>
      </c>
      <c r="N3270" s="2" t="s">
        <v>11036</v>
      </c>
      <c r="O3270" s="2" t="s">
        <v>11038</v>
      </c>
      <c r="P3270" s="2" t="s">
        <v>11037</v>
      </c>
      <c r="Q3270" s="2">
        <f>AVERAGE(PerfRate[[#This Row],[EnvironmentSatisfaction]],PerfRate[[#This Row],[JobSatisfaction]],PerfRate[[#This Row],[RelationshipSatisfaction]])</f>
        <v>4</v>
      </c>
      <c r="R3270" s="2">
        <f>PerfRate[[#This Row],[ManagerRating]] - PerfRate[[#This Row],[SelfRating]]</f>
        <v>-1</v>
      </c>
    </row>
    <row r="3271" spans="1:18">
      <c r="A3271" s="2" t="s">
        <v>7578</v>
      </c>
      <c r="B3271" s="2" t="s">
        <v>2017</v>
      </c>
      <c r="C3271" s="1">
        <v>43866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  <c r="L3271" s="2" t="s">
        <v>11030</v>
      </c>
      <c r="M3271" s="2" t="s">
        <v>11030</v>
      </c>
      <c r="N3271" s="2" t="s">
        <v>11037</v>
      </c>
      <c r="O3271" s="2" t="s">
        <v>11037</v>
      </c>
      <c r="P3271" s="2" t="s">
        <v>11038</v>
      </c>
      <c r="Q3271" s="2">
        <f>AVERAGE(PerfRate[[#This Row],[EnvironmentSatisfaction]],PerfRate[[#This Row],[JobSatisfaction]],PerfRate[[#This Row],[RelationshipSatisfaction]])</f>
        <v>4.333333333333333</v>
      </c>
      <c r="R3271" s="2">
        <f>PerfRate[[#This Row],[ManagerRating]] - PerfRate[[#This Row],[SelfRating]]</f>
        <v>0</v>
      </c>
    </row>
    <row r="3272" spans="1:18">
      <c r="A3272" s="2" t="s">
        <v>7579</v>
      </c>
      <c r="B3272" s="2" t="s">
        <v>1721</v>
      </c>
      <c r="C3272" s="1">
        <v>43895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  <c r="L3272" s="2" t="s">
        <v>11029</v>
      </c>
      <c r="M3272" s="2" t="s">
        <v>11028</v>
      </c>
      <c r="N3272" s="2" t="s">
        <v>11036</v>
      </c>
      <c r="O3272" s="2" t="s">
        <v>11036</v>
      </c>
      <c r="P3272" s="2" t="s">
        <v>11035</v>
      </c>
      <c r="Q3272" s="2">
        <f>AVERAGE(PerfRate[[#This Row],[EnvironmentSatisfaction]],PerfRate[[#This Row],[JobSatisfaction]],PerfRate[[#This Row],[RelationshipSatisfaction]])</f>
        <v>2.6666666666666665</v>
      </c>
      <c r="R3272" s="2">
        <f>PerfRate[[#This Row],[ManagerRating]] - PerfRate[[#This Row],[SelfRating]]</f>
        <v>-1</v>
      </c>
    </row>
    <row r="3273" spans="1:18">
      <c r="A3273" s="2" t="s">
        <v>7580</v>
      </c>
      <c r="B3273" s="2" t="s">
        <v>1895</v>
      </c>
      <c r="C3273" s="1">
        <v>43895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  <c r="L3273" s="2" t="s">
        <v>11031</v>
      </c>
      <c r="M3273" s="2" t="s">
        <v>11030</v>
      </c>
      <c r="N3273" s="2" t="s">
        <v>11038</v>
      </c>
      <c r="O3273" s="2" t="s">
        <v>11035</v>
      </c>
      <c r="P3273" s="2" t="s">
        <v>11038</v>
      </c>
      <c r="Q3273" s="2">
        <f>AVERAGE(PerfRate[[#This Row],[EnvironmentSatisfaction]],PerfRate[[#This Row],[JobSatisfaction]],PerfRate[[#This Row],[RelationshipSatisfaction]])</f>
        <v>4</v>
      </c>
      <c r="R3273" s="2">
        <f>PerfRate[[#This Row],[ManagerRating]] - PerfRate[[#This Row],[SelfRating]]</f>
        <v>-1</v>
      </c>
    </row>
    <row r="3274" spans="1:18">
      <c r="A3274" s="2" t="s">
        <v>7581</v>
      </c>
      <c r="B3274" s="2" t="s">
        <v>1142</v>
      </c>
      <c r="C3274" s="1">
        <v>43895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  <c r="L3274" s="2" t="s">
        <v>11030</v>
      </c>
      <c r="M3274" s="2" t="s">
        <v>11029</v>
      </c>
      <c r="N3274" s="2" t="s">
        <v>11038</v>
      </c>
      <c r="O3274" s="2" t="s">
        <v>11038</v>
      </c>
      <c r="P3274" s="2" t="s">
        <v>11038</v>
      </c>
      <c r="Q3274" s="2">
        <f>AVERAGE(PerfRate[[#This Row],[EnvironmentSatisfaction]],PerfRate[[#This Row],[JobSatisfaction]],PerfRate[[#This Row],[RelationshipSatisfaction]])</f>
        <v>5</v>
      </c>
      <c r="R3274" s="2">
        <f>PerfRate[[#This Row],[ManagerRating]] - PerfRate[[#This Row],[SelfRating]]</f>
        <v>-1</v>
      </c>
    </row>
    <row r="3275" spans="1:18">
      <c r="A3275" s="2" t="s">
        <v>7582</v>
      </c>
      <c r="B3275" s="2" t="s">
        <v>2563</v>
      </c>
      <c r="C3275" s="1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  <c r="L3275" s="2" t="s">
        <v>11031</v>
      </c>
      <c r="M3275" s="2" t="s">
        <v>11030</v>
      </c>
      <c r="N3275" s="2" t="s">
        <v>11034</v>
      </c>
      <c r="O3275" s="2" t="s">
        <v>11035</v>
      </c>
      <c r="P3275" s="2" t="s">
        <v>11034</v>
      </c>
      <c r="Q3275" s="2">
        <f>AVERAGE(PerfRate[[#This Row],[EnvironmentSatisfaction]],PerfRate[[#This Row],[JobSatisfaction]],PerfRate[[#This Row],[RelationshipSatisfaction]])</f>
        <v>1.3333333333333333</v>
      </c>
      <c r="R3275" s="2">
        <f>PerfRate[[#This Row],[ManagerRating]] - PerfRate[[#This Row],[SelfRating]]</f>
        <v>-1</v>
      </c>
    </row>
    <row r="3276" spans="1:18">
      <c r="A3276" s="2" t="s">
        <v>7583</v>
      </c>
      <c r="B3276" s="2" t="s">
        <v>2195</v>
      </c>
      <c r="C3276" s="1">
        <v>43895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  <c r="L3276" s="2" t="s">
        <v>11029</v>
      </c>
      <c r="M3276" s="2" t="s">
        <v>11028</v>
      </c>
      <c r="N3276" s="2" t="s">
        <v>11038</v>
      </c>
      <c r="O3276" s="2" t="s">
        <v>11036</v>
      </c>
      <c r="P3276" s="2" t="s">
        <v>11038</v>
      </c>
      <c r="Q3276" s="2">
        <f>AVERAGE(PerfRate[[#This Row],[EnvironmentSatisfaction]],PerfRate[[#This Row],[JobSatisfaction]],PerfRate[[#This Row],[RelationshipSatisfaction]])</f>
        <v>4.333333333333333</v>
      </c>
      <c r="R3276" s="2">
        <f>PerfRate[[#This Row],[ManagerRating]] - PerfRate[[#This Row],[SelfRating]]</f>
        <v>-1</v>
      </c>
    </row>
    <row r="3277" spans="1:18">
      <c r="A3277" s="2" t="s">
        <v>7584</v>
      </c>
      <c r="B3277" s="2" t="s">
        <v>449</v>
      </c>
      <c r="C3277" s="1">
        <v>43926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  <c r="L3277" s="2" t="s">
        <v>11031</v>
      </c>
      <c r="M3277" s="2" t="s">
        <v>11030</v>
      </c>
      <c r="N3277" s="2" t="s">
        <v>11036</v>
      </c>
      <c r="O3277" s="2" t="s">
        <v>11038</v>
      </c>
      <c r="P3277" s="2" t="s">
        <v>11037</v>
      </c>
      <c r="Q3277" s="2">
        <f>AVERAGE(PerfRate[[#This Row],[EnvironmentSatisfaction]],PerfRate[[#This Row],[JobSatisfaction]],PerfRate[[#This Row],[RelationshipSatisfaction]])</f>
        <v>4</v>
      </c>
      <c r="R3277" s="2">
        <f>PerfRate[[#This Row],[ManagerRating]] - PerfRate[[#This Row],[SelfRating]]</f>
        <v>-1</v>
      </c>
    </row>
    <row r="3278" spans="1:18">
      <c r="A3278" s="2" t="s">
        <v>7585</v>
      </c>
      <c r="B3278" s="2" t="s">
        <v>3657</v>
      </c>
      <c r="C3278" s="1">
        <v>43926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  <c r="L3278" s="2" t="s">
        <v>11029</v>
      </c>
      <c r="M3278" s="2" t="s">
        <v>11028</v>
      </c>
      <c r="N3278" s="2" t="s">
        <v>11038</v>
      </c>
      <c r="O3278" s="2" t="s">
        <v>11037</v>
      </c>
      <c r="P3278" s="2" t="s">
        <v>11038</v>
      </c>
      <c r="Q3278" s="2">
        <f>AVERAGE(PerfRate[[#This Row],[EnvironmentSatisfaction]],PerfRate[[#This Row],[JobSatisfaction]],PerfRate[[#This Row],[RelationshipSatisfaction]])</f>
        <v>4.666666666666667</v>
      </c>
      <c r="R3278" s="2">
        <f>PerfRate[[#This Row],[ManagerRating]] - PerfRate[[#This Row],[SelfRating]]</f>
        <v>-1</v>
      </c>
    </row>
    <row r="3279" spans="1:18">
      <c r="A3279" s="2" t="s">
        <v>7586</v>
      </c>
      <c r="B3279" s="2" t="s">
        <v>223</v>
      </c>
      <c r="C3279" s="1">
        <v>43926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  <c r="L3279" s="2" t="s">
        <v>11030</v>
      </c>
      <c r="M3279" s="2" t="s">
        <v>11030</v>
      </c>
      <c r="N3279" s="2" t="s">
        <v>11037</v>
      </c>
      <c r="O3279" s="2" t="s">
        <v>11038</v>
      </c>
      <c r="P3279" s="2" t="s">
        <v>11038</v>
      </c>
      <c r="Q3279" s="2">
        <f>AVERAGE(PerfRate[[#This Row],[EnvironmentSatisfaction]],PerfRate[[#This Row],[JobSatisfaction]],PerfRate[[#This Row],[RelationshipSatisfaction]])</f>
        <v>4.666666666666667</v>
      </c>
      <c r="R3279" s="2">
        <f>PerfRate[[#This Row],[ManagerRating]] - PerfRate[[#This Row],[SelfRating]]</f>
        <v>0</v>
      </c>
    </row>
    <row r="3280" spans="1:18">
      <c r="A3280" s="2" t="s">
        <v>7587</v>
      </c>
      <c r="B3280" s="2" t="s">
        <v>2166</v>
      </c>
      <c r="C3280" s="1">
        <v>43926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  <c r="L3280" s="2" t="s">
        <v>11030</v>
      </c>
      <c r="M3280" s="2" t="s">
        <v>11030</v>
      </c>
      <c r="N3280" s="2" t="s">
        <v>11037</v>
      </c>
      <c r="O3280" s="2" t="s">
        <v>11036</v>
      </c>
      <c r="P3280" s="2" t="s">
        <v>11038</v>
      </c>
      <c r="Q3280" s="2">
        <f>AVERAGE(PerfRate[[#This Row],[EnvironmentSatisfaction]],PerfRate[[#This Row],[JobSatisfaction]],PerfRate[[#This Row],[RelationshipSatisfaction]])</f>
        <v>4</v>
      </c>
      <c r="R3280" s="2">
        <f>PerfRate[[#This Row],[ManagerRating]] - PerfRate[[#This Row],[SelfRating]]</f>
        <v>0</v>
      </c>
    </row>
    <row r="3281" spans="1:18">
      <c r="A3281" s="2" t="s">
        <v>7588</v>
      </c>
      <c r="B3281" s="2" t="s">
        <v>2117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  <c r="L3281" s="2" t="s">
        <v>11030</v>
      </c>
      <c r="M3281" s="2" t="s">
        <v>11029</v>
      </c>
      <c r="N3281" s="2" t="s">
        <v>11038</v>
      </c>
      <c r="O3281" s="2" t="s">
        <v>11037</v>
      </c>
      <c r="P3281" s="2" t="s">
        <v>11036</v>
      </c>
      <c r="Q3281" s="2">
        <f>AVERAGE(PerfRate[[#This Row],[EnvironmentSatisfaction]],PerfRate[[#This Row],[JobSatisfaction]],PerfRate[[#This Row],[RelationshipSatisfaction]])</f>
        <v>4</v>
      </c>
      <c r="R3281" s="2">
        <f>PerfRate[[#This Row],[ManagerRating]] - PerfRate[[#This Row],[SelfRating]]</f>
        <v>-1</v>
      </c>
    </row>
    <row r="3282" spans="1:18">
      <c r="A3282" s="2" t="s">
        <v>7589</v>
      </c>
      <c r="B3282" s="2" t="s">
        <v>3091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  <c r="L3282" s="2" t="s">
        <v>11029</v>
      </c>
      <c r="M3282" s="2" t="s">
        <v>11028</v>
      </c>
      <c r="N3282" s="2" t="s">
        <v>11037</v>
      </c>
      <c r="O3282" s="2" t="s">
        <v>11036</v>
      </c>
      <c r="P3282" s="2" t="s">
        <v>11035</v>
      </c>
      <c r="Q3282" s="2">
        <f>AVERAGE(PerfRate[[#This Row],[EnvironmentSatisfaction]],PerfRate[[#This Row],[JobSatisfaction]],PerfRate[[#This Row],[RelationshipSatisfaction]])</f>
        <v>3</v>
      </c>
      <c r="R3282" s="2">
        <f>PerfRate[[#This Row],[ManagerRating]] - PerfRate[[#This Row],[SelfRating]]</f>
        <v>-1</v>
      </c>
    </row>
    <row r="3283" spans="1:18">
      <c r="A3283" s="2" t="s">
        <v>7590</v>
      </c>
      <c r="B3283" s="2" t="s">
        <v>925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  <c r="L3283" s="2" t="s">
        <v>11029</v>
      </c>
      <c r="M3283" s="2" t="s">
        <v>11028</v>
      </c>
      <c r="N3283" s="2" t="s">
        <v>11038</v>
      </c>
      <c r="O3283" s="2" t="s">
        <v>11038</v>
      </c>
      <c r="P3283" s="2" t="s">
        <v>11037</v>
      </c>
      <c r="Q3283" s="2">
        <f>AVERAGE(PerfRate[[#This Row],[EnvironmentSatisfaction]],PerfRate[[#This Row],[JobSatisfaction]],PerfRate[[#This Row],[RelationshipSatisfaction]])</f>
        <v>4.666666666666667</v>
      </c>
      <c r="R3283" s="2">
        <f>PerfRate[[#This Row],[ManagerRating]] - PerfRate[[#This Row],[SelfRating]]</f>
        <v>-1</v>
      </c>
    </row>
    <row r="3284" spans="1:18">
      <c r="A3284" s="2" t="s">
        <v>7591</v>
      </c>
      <c r="B3284" s="2" t="s">
        <v>3945</v>
      </c>
      <c r="C3284" s="1">
        <v>43987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  <c r="L3284" s="2" t="s">
        <v>11029</v>
      </c>
      <c r="M3284" s="2" t="s">
        <v>11028</v>
      </c>
      <c r="N3284" s="2" t="s">
        <v>11038</v>
      </c>
      <c r="O3284" s="2" t="s">
        <v>11037</v>
      </c>
      <c r="P3284" s="2" t="s">
        <v>11035</v>
      </c>
      <c r="Q3284" s="2">
        <f>AVERAGE(PerfRate[[#This Row],[EnvironmentSatisfaction]],PerfRate[[#This Row],[JobSatisfaction]],PerfRate[[#This Row],[RelationshipSatisfaction]])</f>
        <v>3.6666666666666665</v>
      </c>
      <c r="R3284" s="2">
        <f>PerfRate[[#This Row],[ManagerRating]] - PerfRate[[#This Row],[SelfRating]]</f>
        <v>-1</v>
      </c>
    </row>
    <row r="3285" spans="1:18">
      <c r="A3285" s="2" t="s">
        <v>7592</v>
      </c>
      <c r="B3285" s="2" t="s">
        <v>1962</v>
      </c>
      <c r="C3285" s="1">
        <v>44017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  <c r="L3285" s="2" t="s">
        <v>11029</v>
      </c>
      <c r="M3285" s="2" t="s">
        <v>11029</v>
      </c>
      <c r="N3285" s="2" t="s">
        <v>11037</v>
      </c>
      <c r="O3285" s="2" t="s">
        <v>11035</v>
      </c>
      <c r="P3285" s="2" t="s">
        <v>11035</v>
      </c>
      <c r="Q3285" s="2">
        <f>AVERAGE(PerfRate[[#This Row],[EnvironmentSatisfaction]],PerfRate[[#This Row],[JobSatisfaction]],PerfRate[[#This Row],[RelationshipSatisfaction]])</f>
        <v>2.6666666666666665</v>
      </c>
      <c r="R3285" s="2">
        <f>PerfRate[[#This Row],[ManagerRating]] - PerfRate[[#This Row],[SelfRating]]</f>
        <v>0</v>
      </c>
    </row>
    <row r="3286" spans="1:18">
      <c r="A3286" s="2" t="s">
        <v>7593</v>
      </c>
      <c r="B3286" s="2" t="s">
        <v>517</v>
      </c>
      <c r="C3286" s="1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  <c r="L3286" s="2" t="s">
        <v>11031</v>
      </c>
      <c r="M3286" s="2" t="s">
        <v>11031</v>
      </c>
      <c r="N3286" s="2" t="s">
        <v>11034</v>
      </c>
      <c r="O3286" s="2" t="s">
        <v>11037</v>
      </c>
      <c r="P3286" s="2" t="s">
        <v>11036</v>
      </c>
      <c r="Q3286" s="2">
        <f>AVERAGE(PerfRate[[#This Row],[EnvironmentSatisfaction]],PerfRate[[#This Row],[JobSatisfaction]],PerfRate[[#This Row],[RelationshipSatisfaction]])</f>
        <v>2.6666666666666665</v>
      </c>
      <c r="R3286" s="2">
        <f>PerfRate[[#This Row],[ManagerRating]] - PerfRate[[#This Row],[SelfRating]]</f>
        <v>0</v>
      </c>
    </row>
    <row r="3287" spans="1:18">
      <c r="A3287" s="2" t="s">
        <v>7594</v>
      </c>
      <c r="B3287" s="2" t="s">
        <v>499</v>
      </c>
      <c r="C3287" s="1">
        <v>44017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  <c r="L3287" s="2" t="s">
        <v>11029</v>
      </c>
      <c r="M3287" s="2" t="s">
        <v>11028</v>
      </c>
      <c r="N3287" s="2" t="s">
        <v>11038</v>
      </c>
      <c r="O3287" s="2" t="s">
        <v>11036</v>
      </c>
      <c r="P3287" s="2" t="s">
        <v>11038</v>
      </c>
      <c r="Q3287" s="2">
        <f>AVERAGE(PerfRate[[#This Row],[EnvironmentSatisfaction]],PerfRate[[#This Row],[JobSatisfaction]],PerfRate[[#This Row],[RelationshipSatisfaction]])</f>
        <v>4.333333333333333</v>
      </c>
      <c r="R3287" s="2">
        <f>PerfRate[[#This Row],[ManagerRating]] - PerfRate[[#This Row],[SelfRating]]</f>
        <v>-1</v>
      </c>
    </row>
    <row r="3288" spans="1:18">
      <c r="A3288" s="2" t="s">
        <v>7595</v>
      </c>
      <c r="B3288" s="2" t="s">
        <v>1148</v>
      </c>
      <c r="C3288" s="1">
        <v>44017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  <c r="L3288" s="2" t="s">
        <v>11029</v>
      </c>
      <c r="M3288" s="2" t="s">
        <v>11028</v>
      </c>
      <c r="N3288" s="2" t="s">
        <v>11036</v>
      </c>
      <c r="O3288" s="2" t="s">
        <v>11037</v>
      </c>
      <c r="P3288" s="2" t="s">
        <v>11038</v>
      </c>
      <c r="Q3288" s="2">
        <f>AVERAGE(PerfRate[[#This Row],[EnvironmentSatisfaction]],PerfRate[[#This Row],[JobSatisfaction]],PerfRate[[#This Row],[RelationshipSatisfaction]])</f>
        <v>4</v>
      </c>
      <c r="R3288" s="2">
        <f>PerfRate[[#This Row],[ManagerRating]] - PerfRate[[#This Row],[SelfRating]]</f>
        <v>-1</v>
      </c>
    </row>
    <row r="3289" spans="1:18">
      <c r="A3289" s="2" t="s">
        <v>7596</v>
      </c>
      <c r="B3289" s="2" t="s">
        <v>2363</v>
      </c>
      <c r="C3289" s="1">
        <v>44048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  <c r="L3289" s="2" t="s">
        <v>11031</v>
      </c>
      <c r="M3289" s="2" t="s">
        <v>11030</v>
      </c>
      <c r="N3289" s="2" t="s">
        <v>11036</v>
      </c>
      <c r="O3289" s="2" t="s">
        <v>11037</v>
      </c>
      <c r="P3289" s="2" t="s">
        <v>11035</v>
      </c>
      <c r="Q3289" s="2">
        <f>AVERAGE(PerfRate[[#This Row],[EnvironmentSatisfaction]],PerfRate[[#This Row],[JobSatisfaction]],PerfRate[[#This Row],[RelationshipSatisfaction]])</f>
        <v>3</v>
      </c>
      <c r="R3289" s="2">
        <f>PerfRate[[#This Row],[ManagerRating]] - PerfRate[[#This Row],[SelfRating]]</f>
        <v>-1</v>
      </c>
    </row>
    <row r="3290" spans="1:18">
      <c r="A3290" s="2" t="s">
        <v>7597</v>
      </c>
      <c r="B3290" s="2" t="s">
        <v>1918</v>
      </c>
      <c r="C3290" s="1">
        <v>44048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  <c r="L3290" s="2" t="s">
        <v>11029</v>
      </c>
      <c r="M3290" s="2" t="s">
        <v>11029</v>
      </c>
      <c r="N3290" s="2" t="s">
        <v>11036</v>
      </c>
      <c r="O3290" s="2" t="s">
        <v>11035</v>
      </c>
      <c r="P3290" s="2" t="s">
        <v>11038</v>
      </c>
      <c r="Q3290" s="2">
        <f>AVERAGE(PerfRate[[#This Row],[EnvironmentSatisfaction]],PerfRate[[#This Row],[JobSatisfaction]],PerfRate[[#This Row],[RelationshipSatisfaction]])</f>
        <v>3.3333333333333335</v>
      </c>
      <c r="R3290" s="2">
        <f>PerfRate[[#This Row],[ManagerRating]] - PerfRate[[#This Row],[SelfRating]]</f>
        <v>0</v>
      </c>
    </row>
    <row r="3291" spans="1:18">
      <c r="A3291" s="2" t="s">
        <v>7598</v>
      </c>
      <c r="B3291" s="2" t="s">
        <v>3149</v>
      </c>
      <c r="C3291" s="1">
        <v>44079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  <c r="L3291" s="2" t="s">
        <v>11031</v>
      </c>
      <c r="M3291" s="2" t="s">
        <v>11031</v>
      </c>
      <c r="N3291" s="2" t="s">
        <v>11038</v>
      </c>
      <c r="O3291" s="2" t="s">
        <v>11037</v>
      </c>
      <c r="P3291" s="2" t="s">
        <v>11038</v>
      </c>
      <c r="Q3291" s="2">
        <f>AVERAGE(PerfRate[[#This Row],[EnvironmentSatisfaction]],PerfRate[[#This Row],[JobSatisfaction]],PerfRate[[#This Row],[RelationshipSatisfaction]])</f>
        <v>4.666666666666667</v>
      </c>
      <c r="R3291" s="2">
        <f>PerfRate[[#This Row],[ManagerRating]] - PerfRate[[#This Row],[SelfRating]]</f>
        <v>0</v>
      </c>
    </row>
    <row r="3292" spans="1:18">
      <c r="A3292" s="2" t="s">
        <v>7599</v>
      </c>
      <c r="B3292" s="2" t="s">
        <v>973</v>
      </c>
      <c r="C3292" s="1">
        <v>44079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  <c r="L3292" s="2" t="s">
        <v>11029</v>
      </c>
      <c r="M3292" s="2" t="s">
        <v>11029</v>
      </c>
      <c r="N3292" s="2" t="s">
        <v>11037</v>
      </c>
      <c r="O3292" s="2" t="s">
        <v>11038</v>
      </c>
      <c r="P3292" s="2" t="s">
        <v>11035</v>
      </c>
      <c r="Q3292" s="2">
        <f>AVERAGE(PerfRate[[#This Row],[EnvironmentSatisfaction]],PerfRate[[#This Row],[JobSatisfaction]],PerfRate[[#This Row],[RelationshipSatisfaction]])</f>
        <v>3.6666666666666665</v>
      </c>
      <c r="R3292" s="2">
        <f>PerfRate[[#This Row],[ManagerRating]] - PerfRate[[#This Row],[SelfRating]]</f>
        <v>0</v>
      </c>
    </row>
    <row r="3293" spans="1:18">
      <c r="A3293" s="2" t="s">
        <v>7600</v>
      </c>
      <c r="B3293" s="2" t="s">
        <v>2100</v>
      </c>
      <c r="C3293" s="1">
        <v>44079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  <c r="L3293" s="2" t="s">
        <v>11029</v>
      </c>
      <c r="M3293" s="2" t="s">
        <v>11029</v>
      </c>
      <c r="N3293" s="2" t="s">
        <v>11036</v>
      </c>
      <c r="O3293" s="2" t="s">
        <v>11037</v>
      </c>
      <c r="P3293" s="2" t="s">
        <v>11036</v>
      </c>
      <c r="Q3293" s="2">
        <f>AVERAGE(PerfRate[[#This Row],[EnvironmentSatisfaction]],PerfRate[[#This Row],[JobSatisfaction]],PerfRate[[#This Row],[RelationshipSatisfaction]])</f>
        <v>3.3333333333333335</v>
      </c>
      <c r="R3293" s="2">
        <f>PerfRate[[#This Row],[ManagerRating]] - PerfRate[[#This Row],[SelfRating]]</f>
        <v>0</v>
      </c>
    </row>
    <row r="3294" spans="1:18">
      <c r="A3294" s="2" t="s">
        <v>7601</v>
      </c>
      <c r="B3294" s="2" t="s">
        <v>2343</v>
      </c>
      <c r="C3294" s="1">
        <v>44109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  <c r="L3294" s="2" t="s">
        <v>11031</v>
      </c>
      <c r="M3294" s="2" t="s">
        <v>11030</v>
      </c>
      <c r="N3294" s="2" t="s">
        <v>11037</v>
      </c>
      <c r="O3294" s="2" t="s">
        <v>11037</v>
      </c>
      <c r="P3294" s="2" t="s">
        <v>11035</v>
      </c>
      <c r="Q3294" s="2">
        <f>AVERAGE(PerfRate[[#This Row],[EnvironmentSatisfaction]],PerfRate[[#This Row],[JobSatisfaction]],PerfRate[[#This Row],[RelationshipSatisfaction]])</f>
        <v>3.3333333333333335</v>
      </c>
      <c r="R3294" s="2">
        <f>PerfRate[[#This Row],[ManagerRating]] - PerfRate[[#This Row],[SelfRating]]</f>
        <v>-1</v>
      </c>
    </row>
    <row r="3295" spans="1:18">
      <c r="A3295" s="2" t="s">
        <v>7602</v>
      </c>
      <c r="B3295" s="2" t="s">
        <v>1770</v>
      </c>
      <c r="C3295" s="1">
        <v>44109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  <c r="L3295" s="2" t="s">
        <v>11031</v>
      </c>
      <c r="M3295" s="2" t="s">
        <v>11030</v>
      </c>
      <c r="N3295" s="2" t="s">
        <v>11038</v>
      </c>
      <c r="O3295" s="2" t="s">
        <v>11036</v>
      </c>
      <c r="P3295" s="2" t="s">
        <v>11036</v>
      </c>
      <c r="Q3295" s="2">
        <f>AVERAGE(PerfRate[[#This Row],[EnvironmentSatisfaction]],PerfRate[[#This Row],[JobSatisfaction]],PerfRate[[#This Row],[RelationshipSatisfaction]])</f>
        <v>3.6666666666666665</v>
      </c>
      <c r="R3295" s="2">
        <f>PerfRate[[#This Row],[ManagerRating]] - PerfRate[[#This Row],[SelfRating]]</f>
        <v>-1</v>
      </c>
    </row>
    <row r="3296" spans="1:18">
      <c r="A3296" s="2" t="s">
        <v>7603</v>
      </c>
      <c r="B3296" s="2" t="s">
        <v>305</v>
      </c>
      <c r="C3296" s="1">
        <v>44140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  <c r="L3296" s="2" t="s">
        <v>11029</v>
      </c>
      <c r="M3296" s="2" t="s">
        <v>11029</v>
      </c>
      <c r="N3296" s="2" t="s">
        <v>11036</v>
      </c>
      <c r="O3296" s="2" t="s">
        <v>11037</v>
      </c>
      <c r="P3296" s="2" t="s">
        <v>11035</v>
      </c>
      <c r="Q3296" s="2">
        <f>AVERAGE(PerfRate[[#This Row],[EnvironmentSatisfaction]],PerfRate[[#This Row],[JobSatisfaction]],PerfRate[[#This Row],[RelationshipSatisfaction]])</f>
        <v>3</v>
      </c>
      <c r="R3296" s="2">
        <f>PerfRate[[#This Row],[ManagerRating]] - PerfRate[[#This Row],[SelfRating]]</f>
        <v>0</v>
      </c>
    </row>
    <row r="3297" spans="1:18">
      <c r="A3297" s="2" t="s">
        <v>7604</v>
      </c>
      <c r="B3297" s="2" t="s">
        <v>2596</v>
      </c>
      <c r="C3297" s="1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  <c r="L3297" s="2" t="s">
        <v>11029</v>
      </c>
      <c r="M3297" s="2" t="s">
        <v>11028</v>
      </c>
      <c r="N3297" s="2" t="s">
        <v>11034</v>
      </c>
      <c r="O3297" s="2" t="s">
        <v>11037</v>
      </c>
      <c r="P3297" s="2" t="s">
        <v>11034</v>
      </c>
      <c r="Q3297" s="2">
        <f>AVERAGE(PerfRate[[#This Row],[EnvironmentSatisfaction]],PerfRate[[#This Row],[JobSatisfaction]],PerfRate[[#This Row],[RelationshipSatisfaction]])</f>
        <v>2</v>
      </c>
      <c r="R3297" s="2">
        <f>PerfRate[[#This Row],[ManagerRating]] - PerfRate[[#This Row],[SelfRating]]</f>
        <v>-1</v>
      </c>
    </row>
    <row r="3298" spans="1:18">
      <c r="A3298" s="2" t="s">
        <v>7605</v>
      </c>
      <c r="B3298" s="2" t="s">
        <v>2158</v>
      </c>
      <c r="C3298" s="1">
        <v>44140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  <c r="L3298" s="2" t="s">
        <v>11029</v>
      </c>
      <c r="M3298" s="2" t="s">
        <v>11028</v>
      </c>
      <c r="N3298" s="2" t="s">
        <v>11037</v>
      </c>
      <c r="O3298" s="2" t="s">
        <v>11038</v>
      </c>
      <c r="P3298" s="2" t="s">
        <v>11038</v>
      </c>
      <c r="Q3298" s="2">
        <f>AVERAGE(PerfRate[[#This Row],[EnvironmentSatisfaction]],PerfRate[[#This Row],[JobSatisfaction]],PerfRate[[#This Row],[RelationshipSatisfaction]])</f>
        <v>4.666666666666667</v>
      </c>
      <c r="R3298" s="2">
        <f>PerfRate[[#This Row],[ManagerRating]] - PerfRate[[#This Row],[SelfRating]]</f>
        <v>-1</v>
      </c>
    </row>
    <row r="3299" spans="1:18">
      <c r="A3299" s="2" t="s">
        <v>7606</v>
      </c>
      <c r="B3299" s="2" t="s">
        <v>811</v>
      </c>
      <c r="C3299" s="1">
        <v>44140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  <c r="L3299" s="2" t="s">
        <v>11030</v>
      </c>
      <c r="M3299" s="2" t="s">
        <v>11029</v>
      </c>
      <c r="N3299" s="2" t="s">
        <v>11038</v>
      </c>
      <c r="O3299" s="2" t="s">
        <v>11038</v>
      </c>
      <c r="P3299" s="2" t="s">
        <v>11037</v>
      </c>
      <c r="Q3299" s="2">
        <f>AVERAGE(PerfRate[[#This Row],[EnvironmentSatisfaction]],PerfRate[[#This Row],[JobSatisfaction]],PerfRate[[#This Row],[RelationshipSatisfaction]])</f>
        <v>4.666666666666667</v>
      </c>
      <c r="R3299" s="2">
        <f>PerfRate[[#This Row],[ManagerRating]] - PerfRate[[#This Row],[SelfRating]]</f>
        <v>-1</v>
      </c>
    </row>
    <row r="3300" spans="1:18">
      <c r="A3300" s="2" t="s">
        <v>7607</v>
      </c>
      <c r="B3300" s="2" t="s">
        <v>57</v>
      </c>
      <c r="C3300" s="1">
        <v>44170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  <c r="L3300" s="2" t="s">
        <v>11030</v>
      </c>
      <c r="M3300" s="2" t="s">
        <v>11030</v>
      </c>
      <c r="N3300" s="2" t="s">
        <v>11036</v>
      </c>
      <c r="O3300" s="2" t="s">
        <v>11037</v>
      </c>
      <c r="P3300" s="2" t="s">
        <v>11038</v>
      </c>
      <c r="Q3300" s="2">
        <f>AVERAGE(PerfRate[[#This Row],[EnvironmentSatisfaction]],PerfRate[[#This Row],[JobSatisfaction]],PerfRate[[#This Row],[RelationshipSatisfaction]])</f>
        <v>4</v>
      </c>
      <c r="R3300" s="2">
        <f>PerfRate[[#This Row],[ManagerRating]] - PerfRate[[#This Row],[SelfRating]]</f>
        <v>0</v>
      </c>
    </row>
    <row r="3301" spans="1:18">
      <c r="A3301" s="2" t="s">
        <v>7608</v>
      </c>
      <c r="B3301" s="2" t="s">
        <v>1572</v>
      </c>
      <c r="C3301" s="1">
        <v>44170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  <c r="L3301" s="2" t="s">
        <v>11031</v>
      </c>
      <c r="M3301" s="2" t="s">
        <v>11030</v>
      </c>
      <c r="N3301" s="2" t="s">
        <v>11037</v>
      </c>
      <c r="O3301" s="2" t="s">
        <v>11035</v>
      </c>
      <c r="P3301" s="2" t="s">
        <v>11036</v>
      </c>
      <c r="Q3301" s="2">
        <f>AVERAGE(PerfRate[[#This Row],[EnvironmentSatisfaction]],PerfRate[[#This Row],[JobSatisfaction]],PerfRate[[#This Row],[RelationshipSatisfaction]])</f>
        <v>3</v>
      </c>
      <c r="R3301" s="2">
        <f>PerfRate[[#This Row],[ManagerRating]] - PerfRate[[#This Row],[SelfRating]]</f>
        <v>-1</v>
      </c>
    </row>
    <row r="3302" spans="1:18">
      <c r="A3302" s="2" t="s">
        <v>7609</v>
      </c>
      <c r="B3302" s="2" t="s">
        <v>338</v>
      </c>
      <c r="C3302" s="1">
        <v>44170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  <c r="L3302" s="2" t="s">
        <v>11031</v>
      </c>
      <c r="M3302" s="2" t="s">
        <v>11031</v>
      </c>
      <c r="N3302" s="2" t="s">
        <v>11038</v>
      </c>
      <c r="O3302" s="2" t="s">
        <v>11035</v>
      </c>
      <c r="P3302" s="2" t="s">
        <v>11035</v>
      </c>
      <c r="Q3302" s="2">
        <f>AVERAGE(PerfRate[[#This Row],[EnvironmentSatisfaction]],PerfRate[[#This Row],[JobSatisfaction]],PerfRate[[#This Row],[RelationshipSatisfaction]])</f>
        <v>3</v>
      </c>
      <c r="R3302" s="2">
        <f>PerfRate[[#This Row],[ManagerRating]] - PerfRate[[#This Row],[SelfRating]]</f>
        <v>0</v>
      </c>
    </row>
    <row r="3303" spans="1:18">
      <c r="A3303" s="2" t="s">
        <v>7610</v>
      </c>
      <c r="B3303" s="2" t="s">
        <v>2337</v>
      </c>
      <c r="C3303" s="1">
        <v>44170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  <c r="L3303" s="2" t="s">
        <v>11030</v>
      </c>
      <c r="M3303" s="2" t="s">
        <v>11029</v>
      </c>
      <c r="N3303" s="2" t="s">
        <v>11036</v>
      </c>
      <c r="O3303" s="2" t="s">
        <v>11037</v>
      </c>
      <c r="P3303" s="2" t="s">
        <v>11038</v>
      </c>
      <c r="Q3303" s="2">
        <f>AVERAGE(PerfRate[[#This Row],[EnvironmentSatisfaction]],PerfRate[[#This Row],[JobSatisfaction]],PerfRate[[#This Row],[RelationshipSatisfaction]])</f>
        <v>4</v>
      </c>
      <c r="R3303" s="2">
        <f>PerfRate[[#This Row],[ManagerRating]] - PerfRate[[#This Row],[SelfRating]]</f>
        <v>-1</v>
      </c>
    </row>
    <row r="3304" spans="1:18">
      <c r="A3304" s="2" t="s">
        <v>7611</v>
      </c>
      <c r="B3304" s="2" t="s">
        <v>613</v>
      </c>
      <c r="C3304" s="1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  <c r="L3304" s="2" t="s">
        <v>11029</v>
      </c>
      <c r="M3304" s="2" t="s">
        <v>11029</v>
      </c>
      <c r="N3304" s="2" t="s">
        <v>11036</v>
      </c>
      <c r="O3304" s="2" t="s">
        <v>11037</v>
      </c>
      <c r="P3304" s="2" t="s">
        <v>11037</v>
      </c>
      <c r="Q3304" s="2">
        <f>AVERAGE(PerfRate[[#This Row],[EnvironmentSatisfaction]],PerfRate[[#This Row],[JobSatisfaction]],PerfRate[[#This Row],[RelationshipSatisfaction]])</f>
        <v>3.6666666666666665</v>
      </c>
      <c r="R3304" s="2">
        <f>PerfRate[[#This Row],[ManagerRating]] - PerfRate[[#This Row],[SelfRating]]</f>
        <v>0</v>
      </c>
    </row>
    <row r="3305" spans="1:18">
      <c r="A3305" s="2" t="s">
        <v>7612</v>
      </c>
      <c r="B3305" s="2" t="s">
        <v>1626</v>
      </c>
      <c r="C3305" s="1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  <c r="L3305" s="2" t="s">
        <v>11030</v>
      </c>
      <c r="M3305" s="2" t="s">
        <v>11029</v>
      </c>
      <c r="N3305" s="2" t="s">
        <v>11037</v>
      </c>
      <c r="O3305" s="2" t="s">
        <v>11035</v>
      </c>
      <c r="P3305" s="2" t="s">
        <v>11038</v>
      </c>
      <c r="Q3305" s="2">
        <f>AVERAGE(PerfRate[[#This Row],[EnvironmentSatisfaction]],PerfRate[[#This Row],[JobSatisfaction]],PerfRate[[#This Row],[RelationshipSatisfaction]])</f>
        <v>3.6666666666666665</v>
      </c>
      <c r="R3305" s="2">
        <f>PerfRate[[#This Row],[ManagerRating]] - PerfRate[[#This Row],[SelfRating]]</f>
        <v>-1</v>
      </c>
    </row>
    <row r="3306" spans="1:18">
      <c r="A3306" s="2" t="s">
        <v>7613</v>
      </c>
      <c r="B3306" s="2" t="s">
        <v>1987</v>
      </c>
      <c r="C3306" s="1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  <c r="L3306" s="2" t="s">
        <v>11029</v>
      </c>
      <c r="M3306" s="2" t="s">
        <v>11029</v>
      </c>
      <c r="N3306" s="2" t="s">
        <v>11037</v>
      </c>
      <c r="O3306" s="2" t="s">
        <v>11037</v>
      </c>
      <c r="P3306" s="2" t="s">
        <v>11038</v>
      </c>
      <c r="Q3306" s="2">
        <f>AVERAGE(PerfRate[[#This Row],[EnvironmentSatisfaction]],PerfRate[[#This Row],[JobSatisfaction]],PerfRate[[#This Row],[RelationshipSatisfaction]])</f>
        <v>4.333333333333333</v>
      </c>
      <c r="R3306" s="2">
        <f>PerfRate[[#This Row],[ManagerRating]] - PerfRate[[#This Row],[SelfRating]]</f>
        <v>0</v>
      </c>
    </row>
    <row r="3307" spans="1:18">
      <c r="A3307" s="2" t="s">
        <v>7614</v>
      </c>
      <c r="B3307" s="2" t="s">
        <v>1856</v>
      </c>
      <c r="C3307" s="1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  <c r="L3307" s="2" t="s">
        <v>11030</v>
      </c>
      <c r="M3307" s="2" t="s">
        <v>11030</v>
      </c>
      <c r="N3307" s="2" t="s">
        <v>11036</v>
      </c>
      <c r="O3307" s="2" t="s">
        <v>11035</v>
      </c>
      <c r="P3307" s="2" t="s">
        <v>11038</v>
      </c>
      <c r="Q3307" s="2">
        <f>AVERAGE(PerfRate[[#This Row],[EnvironmentSatisfaction]],PerfRate[[#This Row],[JobSatisfaction]],PerfRate[[#This Row],[RelationshipSatisfaction]])</f>
        <v>3.3333333333333335</v>
      </c>
      <c r="R3307" s="2">
        <f>PerfRate[[#This Row],[ManagerRating]] - PerfRate[[#This Row],[SelfRating]]</f>
        <v>0</v>
      </c>
    </row>
    <row r="3308" spans="1:18">
      <c r="A3308" s="2" t="s">
        <v>7615</v>
      </c>
      <c r="B3308" s="2" t="s">
        <v>2920</v>
      </c>
      <c r="C3308" s="1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  <c r="L3308" s="2" t="s">
        <v>11030</v>
      </c>
      <c r="M3308" s="2" t="s">
        <v>11029</v>
      </c>
      <c r="N3308" s="2" t="s">
        <v>11034</v>
      </c>
      <c r="O3308" s="2" t="s">
        <v>11035</v>
      </c>
      <c r="P3308" s="2" t="s">
        <v>11034</v>
      </c>
      <c r="Q3308" s="2">
        <f>AVERAGE(PerfRate[[#This Row],[EnvironmentSatisfaction]],PerfRate[[#This Row],[JobSatisfaction]],PerfRate[[#This Row],[RelationshipSatisfaction]])</f>
        <v>1.3333333333333333</v>
      </c>
      <c r="R3308" s="2">
        <f>PerfRate[[#This Row],[ManagerRating]] - PerfRate[[#This Row],[SelfRating]]</f>
        <v>-1</v>
      </c>
    </row>
    <row r="3309" spans="1:18">
      <c r="A3309" s="2" t="s">
        <v>7616</v>
      </c>
      <c r="B3309" s="2" t="s">
        <v>2540</v>
      </c>
      <c r="C3309" s="1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  <c r="L3309" s="2" t="s">
        <v>11029</v>
      </c>
      <c r="M3309" s="2" t="s">
        <v>11029</v>
      </c>
      <c r="N3309" s="2" t="s">
        <v>11038</v>
      </c>
      <c r="O3309" s="2" t="s">
        <v>11037</v>
      </c>
      <c r="P3309" s="2" t="s">
        <v>11035</v>
      </c>
      <c r="Q3309" s="2">
        <f>AVERAGE(PerfRate[[#This Row],[EnvironmentSatisfaction]],PerfRate[[#This Row],[JobSatisfaction]],PerfRate[[#This Row],[RelationshipSatisfaction]])</f>
        <v>3.6666666666666665</v>
      </c>
      <c r="R3309" s="2">
        <f>PerfRate[[#This Row],[ManagerRating]] - PerfRate[[#This Row],[SelfRating]]</f>
        <v>0</v>
      </c>
    </row>
    <row r="3310" spans="1:18">
      <c r="A3310" s="2" t="s">
        <v>7617</v>
      </c>
      <c r="B3310" s="2" t="s">
        <v>2666</v>
      </c>
      <c r="C3310" s="1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  <c r="L3310" s="2" t="s">
        <v>11029</v>
      </c>
      <c r="M3310" s="2" t="s">
        <v>11029</v>
      </c>
      <c r="N3310" s="2" t="s">
        <v>11038</v>
      </c>
      <c r="O3310" s="2" t="s">
        <v>11036</v>
      </c>
      <c r="P3310" s="2" t="s">
        <v>11035</v>
      </c>
      <c r="Q3310" s="2">
        <f>AVERAGE(PerfRate[[#This Row],[EnvironmentSatisfaction]],PerfRate[[#This Row],[JobSatisfaction]],PerfRate[[#This Row],[RelationshipSatisfaction]])</f>
        <v>3.3333333333333335</v>
      </c>
      <c r="R3310" s="2">
        <f>PerfRate[[#This Row],[ManagerRating]] - PerfRate[[#This Row],[SelfRating]]</f>
        <v>0</v>
      </c>
    </row>
    <row r="3311" spans="1:18">
      <c r="A3311" s="2" t="s">
        <v>7618</v>
      </c>
      <c r="B3311" s="2" t="s">
        <v>898</v>
      </c>
      <c r="C3311" s="1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  <c r="L3311" s="2" t="s">
        <v>11030</v>
      </c>
      <c r="M3311" s="2" t="s">
        <v>11030</v>
      </c>
      <c r="N3311" s="2" t="s">
        <v>11038</v>
      </c>
      <c r="O3311" s="2" t="s">
        <v>11036</v>
      </c>
      <c r="P3311" s="2" t="s">
        <v>11037</v>
      </c>
      <c r="Q3311" s="2">
        <f>AVERAGE(PerfRate[[#This Row],[EnvironmentSatisfaction]],PerfRate[[#This Row],[JobSatisfaction]],PerfRate[[#This Row],[RelationshipSatisfaction]])</f>
        <v>4</v>
      </c>
      <c r="R3311" s="2">
        <f>PerfRate[[#This Row],[ManagerRating]] - PerfRate[[#This Row],[SelfRating]]</f>
        <v>0</v>
      </c>
    </row>
    <row r="3312" spans="1:18">
      <c r="A3312" s="2" t="s">
        <v>7619</v>
      </c>
      <c r="B3312" s="2" t="s">
        <v>1432</v>
      </c>
      <c r="C3312" s="1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  <c r="L3312" s="2" t="s">
        <v>11030</v>
      </c>
      <c r="M3312" s="2" t="s">
        <v>11030</v>
      </c>
      <c r="N3312" s="2" t="s">
        <v>11037</v>
      </c>
      <c r="O3312" s="2" t="s">
        <v>11037</v>
      </c>
      <c r="P3312" s="2" t="s">
        <v>11036</v>
      </c>
      <c r="Q3312" s="2">
        <f>AVERAGE(PerfRate[[#This Row],[EnvironmentSatisfaction]],PerfRate[[#This Row],[JobSatisfaction]],PerfRate[[#This Row],[RelationshipSatisfaction]])</f>
        <v>3.6666666666666665</v>
      </c>
      <c r="R3312" s="2">
        <f>PerfRate[[#This Row],[ManagerRating]] - PerfRate[[#This Row],[SelfRating]]</f>
        <v>0</v>
      </c>
    </row>
    <row r="3313" spans="1:18">
      <c r="A3313" s="2" t="s">
        <v>7620</v>
      </c>
      <c r="B3313" s="2" t="s">
        <v>1329</v>
      </c>
      <c r="C3313" s="1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  <c r="L3313" s="2" t="s">
        <v>11031</v>
      </c>
      <c r="M3313" s="2" t="s">
        <v>11030</v>
      </c>
      <c r="N3313" s="2" t="s">
        <v>11036</v>
      </c>
      <c r="O3313" s="2" t="s">
        <v>11035</v>
      </c>
      <c r="P3313" s="2" t="s">
        <v>11038</v>
      </c>
      <c r="Q3313" s="2">
        <f>AVERAGE(PerfRate[[#This Row],[EnvironmentSatisfaction]],PerfRate[[#This Row],[JobSatisfaction]],PerfRate[[#This Row],[RelationshipSatisfaction]])</f>
        <v>3.3333333333333335</v>
      </c>
      <c r="R3313" s="2">
        <f>PerfRate[[#This Row],[ManagerRating]] - PerfRate[[#This Row],[SelfRating]]</f>
        <v>-1</v>
      </c>
    </row>
    <row r="3314" spans="1:18">
      <c r="A3314" s="2" t="s">
        <v>7621</v>
      </c>
      <c r="B3314" s="2" t="s">
        <v>392</v>
      </c>
      <c r="C3314" s="1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  <c r="L3314" s="2" t="s">
        <v>11031</v>
      </c>
      <c r="M3314" s="2" t="s">
        <v>11030</v>
      </c>
      <c r="N3314" s="2" t="s">
        <v>11036</v>
      </c>
      <c r="O3314" s="2" t="s">
        <v>11036</v>
      </c>
      <c r="P3314" s="2" t="s">
        <v>11037</v>
      </c>
      <c r="Q3314" s="2">
        <f>AVERAGE(PerfRate[[#This Row],[EnvironmentSatisfaction]],PerfRate[[#This Row],[JobSatisfaction]],PerfRate[[#This Row],[RelationshipSatisfaction]])</f>
        <v>3.3333333333333335</v>
      </c>
      <c r="R3314" s="2">
        <f>PerfRate[[#This Row],[ManagerRating]] - PerfRate[[#This Row],[SelfRating]]</f>
        <v>-1</v>
      </c>
    </row>
    <row r="3315" spans="1:18">
      <c r="A3315" s="2" t="s">
        <v>7622</v>
      </c>
      <c r="B3315" s="2" t="s">
        <v>479</v>
      </c>
      <c r="C3315" s="1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  <c r="L3315" s="2" t="s">
        <v>11029</v>
      </c>
      <c r="M3315" s="2" t="s">
        <v>11028</v>
      </c>
      <c r="N3315" s="2" t="s">
        <v>11037</v>
      </c>
      <c r="O3315" s="2" t="s">
        <v>11037</v>
      </c>
      <c r="P3315" s="2" t="s">
        <v>11036</v>
      </c>
      <c r="Q3315" s="2">
        <f>AVERAGE(PerfRate[[#This Row],[EnvironmentSatisfaction]],PerfRate[[#This Row],[JobSatisfaction]],PerfRate[[#This Row],[RelationshipSatisfaction]])</f>
        <v>3.6666666666666665</v>
      </c>
      <c r="R3315" s="2">
        <f>PerfRate[[#This Row],[ManagerRating]] - PerfRate[[#This Row],[SelfRating]]</f>
        <v>-1</v>
      </c>
    </row>
    <row r="3316" spans="1:18">
      <c r="A3316" s="2" t="s">
        <v>7623</v>
      </c>
      <c r="B3316" s="2" t="s">
        <v>2360</v>
      </c>
      <c r="C3316" s="1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  <c r="L3316" s="2" t="s">
        <v>11031</v>
      </c>
      <c r="M3316" s="2" t="s">
        <v>11030</v>
      </c>
      <c r="N3316" s="2" t="s">
        <v>11036</v>
      </c>
      <c r="O3316" s="2" t="s">
        <v>11036</v>
      </c>
      <c r="P3316" s="2" t="s">
        <v>11038</v>
      </c>
      <c r="Q3316" s="2">
        <f>AVERAGE(PerfRate[[#This Row],[EnvironmentSatisfaction]],PerfRate[[#This Row],[JobSatisfaction]],PerfRate[[#This Row],[RelationshipSatisfaction]])</f>
        <v>3.6666666666666665</v>
      </c>
      <c r="R3316" s="2">
        <f>PerfRate[[#This Row],[ManagerRating]] - PerfRate[[#This Row],[SelfRating]]</f>
        <v>-1</v>
      </c>
    </row>
    <row r="3317" spans="1:18">
      <c r="A3317" s="2" t="s">
        <v>7624</v>
      </c>
      <c r="B3317" s="2" t="s">
        <v>2481</v>
      </c>
      <c r="C3317" s="1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  <c r="L3317" s="2" t="s">
        <v>11031</v>
      </c>
      <c r="M3317" s="2" t="s">
        <v>11031</v>
      </c>
      <c r="N3317" s="2" t="s">
        <v>11038</v>
      </c>
      <c r="O3317" s="2" t="s">
        <v>11035</v>
      </c>
      <c r="P3317" s="2" t="s">
        <v>11037</v>
      </c>
      <c r="Q3317" s="2">
        <f>AVERAGE(PerfRate[[#This Row],[EnvironmentSatisfaction]],PerfRate[[#This Row],[JobSatisfaction]],PerfRate[[#This Row],[RelationshipSatisfaction]])</f>
        <v>3.6666666666666665</v>
      </c>
      <c r="R3317" s="2">
        <f>PerfRate[[#This Row],[ManagerRating]] - PerfRate[[#This Row],[SelfRating]]</f>
        <v>0</v>
      </c>
    </row>
    <row r="3318" spans="1:18">
      <c r="A3318" s="2" t="s">
        <v>7625</v>
      </c>
      <c r="B3318" s="2" t="s">
        <v>616</v>
      </c>
      <c r="C3318" s="1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  <c r="L3318" s="2" t="s">
        <v>11031</v>
      </c>
      <c r="M3318" s="2" t="s">
        <v>11030</v>
      </c>
      <c r="N3318" s="2" t="s">
        <v>11037</v>
      </c>
      <c r="O3318" s="2" t="s">
        <v>11035</v>
      </c>
      <c r="P3318" s="2" t="s">
        <v>11036</v>
      </c>
      <c r="Q3318" s="2">
        <f>AVERAGE(PerfRate[[#This Row],[EnvironmentSatisfaction]],PerfRate[[#This Row],[JobSatisfaction]],PerfRate[[#This Row],[RelationshipSatisfaction]])</f>
        <v>3</v>
      </c>
      <c r="R3318" s="2">
        <f>PerfRate[[#This Row],[ManagerRating]] - PerfRate[[#This Row],[SelfRating]]</f>
        <v>-1</v>
      </c>
    </row>
    <row r="3319" spans="1:18">
      <c r="A3319" s="2" t="s">
        <v>7626</v>
      </c>
      <c r="B3319" s="2" t="s">
        <v>4230</v>
      </c>
      <c r="C3319" s="1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  <c r="L3319" s="2" t="s">
        <v>11029</v>
      </c>
      <c r="M3319" s="2" t="s">
        <v>11028</v>
      </c>
      <c r="N3319" s="2" t="s">
        <v>11035</v>
      </c>
      <c r="O3319" s="2" t="s">
        <v>11037</v>
      </c>
      <c r="P3319" s="2" t="s">
        <v>11037</v>
      </c>
      <c r="Q3319" s="2">
        <f>AVERAGE(PerfRate[[#This Row],[EnvironmentSatisfaction]],PerfRate[[#This Row],[JobSatisfaction]],PerfRate[[#This Row],[RelationshipSatisfaction]])</f>
        <v>3.3333333333333335</v>
      </c>
      <c r="R3319" s="2">
        <f>PerfRate[[#This Row],[ManagerRating]] - PerfRate[[#This Row],[SelfRating]]</f>
        <v>-1</v>
      </c>
    </row>
    <row r="3320" spans="1:18">
      <c r="A3320" s="2" t="s">
        <v>7627</v>
      </c>
      <c r="B3320" s="2" t="s">
        <v>670</v>
      </c>
      <c r="C3320" s="1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  <c r="L3320" s="2" t="s">
        <v>11029</v>
      </c>
      <c r="M3320" s="2" t="s">
        <v>11029</v>
      </c>
      <c r="N3320" s="2" t="s">
        <v>11037</v>
      </c>
      <c r="O3320" s="2" t="s">
        <v>11035</v>
      </c>
      <c r="P3320" s="2" t="s">
        <v>11037</v>
      </c>
      <c r="Q3320" s="2">
        <f>AVERAGE(PerfRate[[#This Row],[EnvironmentSatisfaction]],PerfRate[[#This Row],[JobSatisfaction]],PerfRate[[#This Row],[RelationshipSatisfaction]])</f>
        <v>3.3333333333333335</v>
      </c>
      <c r="R3320" s="2">
        <f>PerfRate[[#This Row],[ManagerRating]] - PerfRate[[#This Row],[SelfRating]]</f>
        <v>0</v>
      </c>
    </row>
    <row r="3321" spans="1:18">
      <c r="A3321" s="2" t="s">
        <v>7628</v>
      </c>
      <c r="B3321" s="2" t="s">
        <v>1833</v>
      </c>
      <c r="C3321" s="1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  <c r="L3321" s="2" t="s">
        <v>11029</v>
      </c>
      <c r="M3321" s="2" t="s">
        <v>11029</v>
      </c>
      <c r="N3321" s="2" t="s">
        <v>11038</v>
      </c>
      <c r="O3321" s="2" t="s">
        <v>11035</v>
      </c>
      <c r="P3321" s="2" t="s">
        <v>11035</v>
      </c>
      <c r="Q3321" s="2">
        <f>AVERAGE(PerfRate[[#This Row],[EnvironmentSatisfaction]],PerfRate[[#This Row],[JobSatisfaction]],PerfRate[[#This Row],[RelationshipSatisfaction]])</f>
        <v>3</v>
      </c>
      <c r="R3321" s="2">
        <f>PerfRate[[#This Row],[ManagerRating]] - PerfRate[[#This Row],[SelfRating]]</f>
        <v>0</v>
      </c>
    </row>
    <row r="3322" spans="1:18">
      <c r="A3322" s="2" t="s">
        <v>7629</v>
      </c>
      <c r="B3322" s="2" t="s">
        <v>2500</v>
      </c>
      <c r="C3322" s="1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  <c r="L3322" s="2" t="s">
        <v>11031</v>
      </c>
      <c r="M3322" s="2" t="s">
        <v>11031</v>
      </c>
      <c r="N3322" s="2" t="s">
        <v>11037</v>
      </c>
      <c r="O3322" s="2" t="s">
        <v>11038</v>
      </c>
      <c r="P3322" s="2" t="s">
        <v>11035</v>
      </c>
      <c r="Q3322" s="2">
        <f>AVERAGE(PerfRate[[#This Row],[EnvironmentSatisfaction]],PerfRate[[#This Row],[JobSatisfaction]],PerfRate[[#This Row],[RelationshipSatisfaction]])</f>
        <v>3.6666666666666665</v>
      </c>
      <c r="R3322" s="2">
        <f>PerfRate[[#This Row],[ManagerRating]] - PerfRate[[#This Row],[SelfRating]]</f>
        <v>0</v>
      </c>
    </row>
    <row r="3323" spans="1:18">
      <c r="A3323" s="2" t="s">
        <v>7630</v>
      </c>
      <c r="B3323" s="2" t="s">
        <v>1716</v>
      </c>
      <c r="C3323" s="1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  <c r="L3323" s="2" t="s">
        <v>11031</v>
      </c>
      <c r="M3323" s="2" t="s">
        <v>11031</v>
      </c>
      <c r="N3323" s="2" t="s">
        <v>11036</v>
      </c>
      <c r="O3323" s="2" t="s">
        <v>11037</v>
      </c>
      <c r="P3323" s="2" t="s">
        <v>11036</v>
      </c>
      <c r="Q3323" s="2">
        <f>AVERAGE(PerfRate[[#This Row],[EnvironmentSatisfaction]],PerfRate[[#This Row],[JobSatisfaction]],PerfRate[[#This Row],[RelationshipSatisfaction]])</f>
        <v>3.3333333333333335</v>
      </c>
      <c r="R3323" s="2">
        <f>PerfRate[[#This Row],[ManagerRating]] - PerfRate[[#This Row],[SelfRating]]</f>
        <v>0</v>
      </c>
    </row>
    <row r="3324" spans="1:18">
      <c r="A3324" s="2" t="s">
        <v>7631</v>
      </c>
      <c r="B3324" s="2" t="s">
        <v>1292</v>
      </c>
      <c r="C3324" s="1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  <c r="L3324" s="2" t="s">
        <v>11030</v>
      </c>
      <c r="M3324" s="2" t="s">
        <v>11029</v>
      </c>
      <c r="N3324" s="2" t="s">
        <v>11036</v>
      </c>
      <c r="O3324" s="2" t="s">
        <v>11035</v>
      </c>
      <c r="P3324" s="2" t="s">
        <v>11037</v>
      </c>
      <c r="Q3324" s="2">
        <f>AVERAGE(PerfRate[[#This Row],[EnvironmentSatisfaction]],PerfRate[[#This Row],[JobSatisfaction]],PerfRate[[#This Row],[RelationshipSatisfaction]])</f>
        <v>3</v>
      </c>
      <c r="R3324" s="2">
        <f>PerfRate[[#This Row],[ManagerRating]] - PerfRate[[#This Row],[SelfRating]]</f>
        <v>-1</v>
      </c>
    </row>
    <row r="3325" spans="1:18">
      <c r="A3325" s="2" t="s">
        <v>7632</v>
      </c>
      <c r="B3325" s="2" t="s">
        <v>1647</v>
      </c>
      <c r="C3325" s="1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  <c r="L3325" s="2" t="s">
        <v>11030</v>
      </c>
      <c r="M3325" s="2" t="s">
        <v>11030</v>
      </c>
      <c r="N3325" s="2" t="s">
        <v>11036</v>
      </c>
      <c r="O3325" s="2" t="s">
        <v>11035</v>
      </c>
      <c r="P3325" s="2" t="s">
        <v>11038</v>
      </c>
      <c r="Q3325" s="2">
        <f>AVERAGE(PerfRate[[#This Row],[EnvironmentSatisfaction]],PerfRate[[#This Row],[JobSatisfaction]],PerfRate[[#This Row],[RelationshipSatisfaction]])</f>
        <v>3.3333333333333335</v>
      </c>
      <c r="R3325" s="2">
        <f>PerfRate[[#This Row],[ManagerRating]] - PerfRate[[#This Row],[SelfRating]]</f>
        <v>0</v>
      </c>
    </row>
    <row r="3326" spans="1:18">
      <c r="A3326" s="2" t="s">
        <v>7633</v>
      </c>
      <c r="B3326" s="2" t="s">
        <v>458</v>
      </c>
      <c r="C3326" s="1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  <c r="L3326" s="2" t="s">
        <v>11030</v>
      </c>
      <c r="M3326" s="2" t="s">
        <v>11029</v>
      </c>
      <c r="N3326" s="2" t="s">
        <v>11037</v>
      </c>
      <c r="O3326" s="2" t="s">
        <v>11035</v>
      </c>
      <c r="P3326" s="2" t="s">
        <v>11035</v>
      </c>
      <c r="Q3326" s="2">
        <f>AVERAGE(PerfRate[[#This Row],[EnvironmentSatisfaction]],PerfRate[[#This Row],[JobSatisfaction]],PerfRate[[#This Row],[RelationshipSatisfaction]])</f>
        <v>2.6666666666666665</v>
      </c>
      <c r="R3326" s="2">
        <f>PerfRate[[#This Row],[ManagerRating]] - PerfRate[[#This Row],[SelfRating]]</f>
        <v>-1</v>
      </c>
    </row>
    <row r="3327" spans="1:18">
      <c r="A3327" s="2" t="s">
        <v>7634</v>
      </c>
      <c r="B3327" s="2" t="s">
        <v>2384</v>
      </c>
      <c r="C3327" s="1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  <c r="L3327" s="2" t="s">
        <v>11030</v>
      </c>
      <c r="M3327" s="2" t="s">
        <v>11029</v>
      </c>
      <c r="N3327" s="2" t="s">
        <v>11036</v>
      </c>
      <c r="O3327" s="2" t="s">
        <v>11037</v>
      </c>
      <c r="P3327" s="2" t="s">
        <v>11035</v>
      </c>
      <c r="Q3327" s="2">
        <f>AVERAGE(PerfRate[[#This Row],[EnvironmentSatisfaction]],PerfRate[[#This Row],[JobSatisfaction]],PerfRate[[#This Row],[RelationshipSatisfaction]])</f>
        <v>3</v>
      </c>
      <c r="R3327" s="2">
        <f>PerfRate[[#This Row],[ManagerRating]] - PerfRate[[#This Row],[SelfRating]]</f>
        <v>-1</v>
      </c>
    </row>
    <row r="3328" spans="1:18">
      <c r="A3328" s="2" t="s">
        <v>7635</v>
      </c>
      <c r="B3328" s="2" t="s">
        <v>2225</v>
      </c>
      <c r="C3328" s="1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  <c r="L3328" s="2" t="s">
        <v>11029</v>
      </c>
      <c r="M3328" s="2" t="s">
        <v>11029</v>
      </c>
      <c r="N3328" s="2" t="s">
        <v>11037</v>
      </c>
      <c r="O3328" s="2" t="s">
        <v>11035</v>
      </c>
      <c r="P3328" s="2" t="s">
        <v>11038</v>
      </c>
      <c r="Q3328" s="2">
        <f>AVERAGE(PerfRate[[#This Row],[EnvironmentSatisfaction]],PerfRate[[#This Row],[JobSatisfaction]],PerfRate[[#This Row],[RelationshipSatisfaction]])</f>
        <v>3.6666666666666665</v>
      </c>
      <c r="R3328" s="2">
        <f>PerfRate[[#This Row],[ManagerRating]] - PerfRate[[#This Row],[SelfRating]]</f>
        <v>0</v>
      </c>
    </row>
    <row r="3329" spans="1:18">
      <c r="A3329" s="2" t="s">
        <v>7636</v>
      </c>
      <c r="B3329" s="2" t="s">
        <v>3212</v>
      </c>
      <c r="C3329" s="1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  <c r="L3329" s="2" t="s">
        <v>11030</v>
      </c>
      <c r="M3329" s="2" t="s">
        <v>11029</v>
      </c>
      <c r="N3329" s="2" t="s">
        <v>11036</v>
      </c>
      <c r="O3329" s="2" t="s">
        <v>11037</v>
      </c>
      <c r="P3329" s="2" t="s">
        <v>11036</v>
      </c>
      <c r="Q3329" s="2">
        <f>AVERAGE(PerfRate[[#This Row],[EnvironmentSatisfaction]],PerfRate[[#This Row],[JobSatisfaction]],PerfRate[[#This Row],[RelationshipSatisfaction]])</f>
        <v>3.3333333333333335</v>
      </c>
      <c r="R3329" s="2">
        <f>PerfRate[[#This Row],[ManagerRating]] - PerfRate[[#This Row],[SelfRating]]</f>
        <v>-1</v>
      </c>
    </row>
    <row r="3330" spans="1:18">
      <c r="A3330" s="2" t="s">
        <v>7637</v>
      </c>
      <c r="B3330" s="2" t="s">
        <v>3280</v>
      </c>
      <c r="C3330" s="1">
        <v>41680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  <c r="L3330" s="2" t="s">
        <v>11030</v>
      </c>
      <c r="M3330" s="2" t="s">
        <v>11029</v>
      </c>
      <c r="N3330" s="2" t="s">
        <v>11037</v>
      </c>
      <c r="O3330" s="2" t="s">
        <v>11036</v>
      </c>
      <c r="P3330" s="2" t="s">
        <v>11035</v>
      </c>
      <c r="Q3330" s="2">
        <f>AVERAGE(PerfRate[[#This Row],[EnvironmentSatisfaction]],PerfRate[[#This Row],[JobSatisfaction]],PerfRate[[#This Row],[RelationshipSatisfaction]])</f>
        <v>3</v>
      </c>
      <c r="R3330" s="2">
        <f>PerfRate[[#This Row],[ManagerRating]] - PerfRate[[#This Row],[SelfRating]]</f>
        <v>-1</v>
      </c>
    </row>
    <row r="3331" spans="1:18">
      <c r="A3331" s="2" t="s">
        <v>7638</v>
      </c>
      <c r="B3331" s="2" t="s">
        <v>1145</v>
      </c>
      <c r="C3331" s="1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  <c r="L3331" s="2" t="s">
        <v>11031</v>
      </c>
      <c r="M3331" s="2" t="s">
        <v>11031</v>
      </c>
      <c r="N3331" s="2" t="s">
        <v>11036</v>
      </c>
      <c r="O3331" s="2" t="s">
        <v>11036</v>
      </c>
      <c r="P3331" s="2" t="s">
        <v>11036</v>
      </c>
      <c r="Q3331" s="2">
        <f>AVERAGE(PerfRate[[#This Row],[EnvironmentSatisfaction]],PerfRate[[#This Row],[JobSatisfaction]],PerfRate[[#This Row],[RelationshipSatisfaction]])</f>
        <v>3</v>
      </c>
      <c r="R3331" s="2">
        <f>PerfRate[[#This Row],[ManagerRating]] - PerfRate[[#This Row],[SelfRating]]</f>
        <v>0</v>
      </c>
    </row>
    <row r="3332" spans="1:18">
      <c r="A3332" s="2" t="s">
        <v>7639</v>
      </c>
      <c r="B3332" s="2" t="s">
        <v>3772</v>
      </c>
      <c r="C3332" s="1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  <c r="L3332" s="2" t="s">
        <v>11029</v>
      </c>
      <c r="M3332" s="2" t="s">
        <v>11028</v>
      </c>
      <c r="N3332" s="2" t="s">
        <v>11037</v>
      </c>
      <c r="O3332" s="2" t="s">
        <v>11035</v>
      </c>
      <c r="P3332" s="2" t="s">
        <v>11037</v>
      </c>
      <c r="Q3332" s="2">
        <f>AVERAGE(PerfRate[[#This Row],[EnvironmentSatisfaction]],PerfRate[[#This Row],[JobSatisfaction]],PerfRate[[#This Row],[RelationshipSatisfaction]])</f>
        <v>3.3333333333333335</v>
      </c>
      <c r="R3332" s="2">
        <f>PerfRate[[#This Row],[ManagerRating]] - PerfRate[[#This Row],[SelfRating]]</f>
        <v>-1</v>
      </c>
    </row>
    <row r="3333" spans="1:18">
      <c r="A3333" s="2" t="s">
        <v>7640</v>
      </c>
      <c r="B3333" s="2" t="s">
        <v>1927</v>
      </c>
      <c r="C3333" s="1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  <c r="L3333" s="2" t="s">
        <v>11031</v>
      </c>
      <c r="M3333" s="2" t="s">
        <v>11030</v>
      </c>
      <c r="N3333" s="2" t="s">
        <v>11036</v>
      </c>
      <c r="O3333" s="2" t="s">
        <v>11036</v>
      </c>
      <c r="P3333" s="2" t="s">
        <v>11037</v>
      </c>
      <c r="Q3333" s="2">
        <f>AVERAGE(PerfRate[[#This Row],[EnvironmentSatisfaction]],PerfRate[[#This Row],[JobSatisfaction]],PerfRate[[#This Row],[RelationshipSatisfaction]])</f>
        <v>3.3333333333333335</v>
      </c>
      <c r="R3333" s="2">
        <f>PerfRate[[#This Row],[ManagerRating]] - PerfRate[[#This Row],[SelfRating]]</f>
        <v>-1</v>
      </c>
    </row>
    <row r="3334" spans="1:18">
      <c r="A3334" s="2" t="s">
        <v>7641</v>
      </c>
      <c r="B3334" s="2" t="s">
        <v>4257</v>
      </c>
      <c r="C3334" s="1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  <c r="L3334" s="2" t="s">
        <v>11031</v>
      </c>
      <c r="M3334" s="2" t="s">
        <v>11030</v>
      </c>
      <c r="N3334" s="2" t="s">
        <v>11037</v>
      </c>
      <c r="O3334" s="2" t="s">
        <v>11038</v>
      </c>
      <c r="P3334" s="2" t="s">
        <v>11036</v>
      </c>
      <c r="Q3334" s="2">
        <f>AVERAGE(PerfRate[[#This Row],[EnvironmentSatisfaction]],PerfRate[[#This Row],[JobSatisfaction]],PerfRate[[#This Row],[RelationshipSatisfaction]])</f>
        <v>4</v>
      </c>
      <c r="R3334" s="2">
        <f>PerfRate[[#This Row],[ManagerRating]] - PerfRate[[#This Row],[SelfRating]]</f>
        <v>-1</v>
      </c>
    </row>
    <row r="3335" spans="1:18">
      <c r="A3335" s="2" t="s">
        <v>7642</v>
      </c>
      <c r="B3335" s="2" t="s">
        <v>109</v>
      </c>
      <c r="C3335" s="1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  <c r="L3335" s="2" t="s">
        <v>11029</v>
      </c>
      <c r="M3335" s="2" t="s">
        <v>11028</v>
      </c>
      <c r="N3335" s="2" t="s">
        <v>11037</v>
      </c>
      <c r="O3335" s="2" t="s">
        <v>11037</v>
      </c>
      <c r="P3335" s="2" t="s">
        <v>11038</v>
      </c>
      <c r="Q3335" s="2">
        <f>AVERAGE(PerfRate[[#This Row],[EnvironmentSatisfaction]],PerfRate[[#This Row],[JobSatisfaction]],PerfRate[[#This Row],[RelationshipSatisfaction]])</f>
        <v>4.333333333333333</v>
      </c>
      <c r="R3335" s="2">
        <f>PerfRate[[#This Row],[ManagerRating]] - PerfRate[[#This Row],[SelfRating]]</f>
        <v>-1</v>
      </c>
    </row>
    <row r="3336" spans="1:18">
      <c r="A3336" s="2" t="s">
        <v>7643</v>
      </c>
      <c r="B3336" s="2" t="s">
        <v>910</v>
      </c>
      <c r="C3336" s="1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  <c r="L3336" s="2" t="s">
        <v>11029</v>
      </c>
      <c r="M3336" s="2" t="s">
        <v>11028</v>
      </c>
      <c r="N3336" s="2" t="s">
        <v>11038</v>
      </c>
      <c r="O3336" s="2" t="s">
        <v>11038</v>
      </c>
      <c r="P3336" s="2" t="s">
        <v>11035</v>
      </c>
      <c r="Q3336" s="2">
        <f>AVERAGE(PerfRate[[#This Row],[EnvironmentSatisfaction]],PerfRate[[#This Row],[JobSatisfaction]],PerfRate[[#This Row],[RelationshipSatisfaction]])</f>
        <v>4</v>
      </c>
      <c r="R3336" s="2">
        <f>PerfRate[[#This Row],[ManagerRating]] - PerfRate[[#This Row],[SelfRating]]</f>
        <v>-1</v>
      </c>
    </row>
    <row r="3337" spans="1:18">
      <c r="A3337" s="2" t="s">
        <v>7644</v>
      </c>
      <c r="B3337" s="2" t="s">
        <v>1286</v>
      </c>
      <c r="C3337" s="1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  <c r="L3337" s="2" t="s">
        <v>11030</v>
      </c>
      <c r="M3337" s="2" t="s">
        <v>11029</v>
      </c>
      <c r="N3337" s="2" t="s">
        <v>11036</v>
      </c>
      <c r="O3337" s="2" t="s">
        <v>11035</v>
      </c>
      <c r="P3337" s="2" t="s">
        <v>11038</v>
      </c>
      <c r="Q3337" s="2">
        <f>AVERAGE(PerfRate[[#This Row],[EnvironmentSatisfaction]],PerfRate[[#This Row],[JobSatisfaction]],PerfRate[[#This Row],[RelationshipSatisfaction]])</f>
        <v>3.3333333333333335</v>
      </c>
      <c r="R3337" s="2">
        <f>PerfRate[[#This Row],[ManagerRating]] - PerfRate[[#This Row],[SelfRating]]</f>
        <v>-1</v>
      </c>
    </row>
    <row r="3338" spans="1:18">
      <c r="A3338" s="2" t="s">
        <v>7645</v>
      </c>
      <c r="B3338" s="2" t="s">
        <v>1215</v>
      </c>
      <c r="C3338" s="1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  <c r="L3338" s="2" t="s">
        <v>11029</v>
      </c>
      <c r="M3338" s="2" t="s">
        <v>11029</v>
      </c>
      <c r="N3338" s="2" t="s">
        <v>11036</v>
      </c>
      <c r="O3338" s="2" t="s">
        <v>11035</v>
      </c>
      <c r="P3338" s="2" t="s">
        <v>11038</v>
      </c>
      <c r="Q3338" s="2">
        <f>AVERAGE(PerfRate[[#This Row],[EnvironmentSatisfaction]],PerfRate[[#This Row],[JobSatisfaction]],PerfRate[[#This Row],[RelationshipSatisfaction]])</f>
        <v>3.3333333333333335</v>
      </c>
      <c r="R3338" s="2">
        <f>PerfRate[[#This Row],[ManagerRating]] - PerfRate[[#This Row],[SelfRating]]</f>
        <v>0</v>
      </c>
    </row>
    <row r="3339" spans="1:18">
      <c r="A3339" s="2" t="s">
        <v>7646</v>
      </c>
      <c r="B3339" s="2" t="s">
        <v>1084</v>
      </c>
      <c r="C3339" s="1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  <c r="L3339" s="2" t="s">
        <v>11029</v>
      </c>
      <c r="M3339" s="2" t="s">
        <v>11029</v>
      </c>
      <c r="N3339" s="2" t="s">
        <v>11037</v>
      </c>
      <c r="O3339" s="2" t="s">
        <v>11037</v>
      </c>
      <c r="P3339" s="2" t="s">
        <v>11035</v>
      </c>
      <c r="Q3339" s="2">
        <f>AVERAGE(PerfRate[[#This Row],[EnvironmentSatisfaction]],PerfRate[[#This Row],[JobSatisfaction]],PerfRate[[#This Row],[RelationshipSatisfaction]])</f>
        <v>3.3333333333333335</v>
      </c>
      <c r="R3339" s="2">
        <f>PerfRate[[#This Row],[ManagerRating]] - PerfRate[[#This Row],[SelfRating]]</f>
        <v>0</v>
      </c>
    </row>
    <row r="3340" spans="1:18">
      <c r="A3340" s="2" t="s">
        <v>7647</v>
      </c>
      <c r="B3340" s="2" t="s">
        <v>2128</v>
      </c>
      <c r="C3340" s="1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  <c r="L3340" s="2" t="s">
        <v>11030</v>
      </c>
      <c r="M3340" s="2" t="s">
        <v>11030</v>
      </c>
      <c r="N3340" s="2" t="s">
        <v>11036</v>
      </c>
      <c r="O3340" s="2" t="s">
        <v>11038</v>
      </c>
      <c r="P3340" s="2" t="s">
        <v>11036</v>
      </c>
      <c r="Q3340" s="2">
        <f>AVERAGE(PerfRate[[#This Row],[EnvironmentSatisfaction]],PerfRate[[#This Row],[JobSatisfaction]],PerfRate[[#This Row],[RelationshipSatisfaction]])</f>
        <v>3.6666666666666665</v>
      </c>
      <c r="R3340" s="2">
        <f>PerfRate[[#This Row],[ManagerRating]] - PerfRate[[#This Row],[SelfRating]]</f>
        <v>0</v>
      </c>
    </row>
    <row r="3341" spans="1:18">
      <c r="A3341" s="2" t="s">
        <v>7648</v>
      </c>
      <c r="B3341" s="2" t="s">
        <v>1538</v>
      </c>
      <c r="C3341" s="1">
        <v>41366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  <c r="L3341" s="2" t="s">
        <v>11029</v>
      </c>
      <c r="M3341" s="2" t="s">
        <v>11029</v>
      </c>
      <c r="N3341" s="2" t="s">
        <v>11037</v>
      </c>
      <c r="O3341" s="2" t="s">
        <v>11037</v>
      </c>
      <c r="P3341" s="2" t="s">
        <v>11035</v>
      </c>
      <c r="Q3341" s="2">
        <f>AVERAGE(PerfRate[[#This Row],[EnvironmentSatisfaction]],PerfRate[[#This Row],[JobSatisfaction]],PerfRate[[#This Row],[RelationshipSatisfaction]])</f>
        <v>3.3333333333333335</v>
      </c>
      <c r="R3341" s="2">
        <f>PerfRate[[#This Row],[ManagerRating]] - PerfRate[[#This Row],[SelfRating]]</f>
        <v>0</v>
      </c>
    </row>
    <row r="3342" spans="1:18">
      <c r="A3342" s="2" t="s">
        <v>7649</v>
      </c>
      <c r="B3342" s="2" t="s">
        <v>3074</v>
      </c>
      <c r="C3342" s="1">
        <v>41680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  <c r="L3342" s="2" t="s">
        <v>11031</v>
      </c>
      <c r="M3342" s="2" t="s">
        <v>11030</v>
      </c>
      <c r="N3342" s="2" t="s">
        <v>11038</v>
      </c>
      <c r="O3342" s="2" t="s">
        <v>11035</v>
      </c>
      <c r="P3342" s="2" t="s">
        <v>11036</v>
      </c>
      <c r="Q3342" s="2">
        <f>AVERAGE(PerfRate[[#This Row],[EnvironmentSatisfaction]],PerfRate[[#This Row],[JobSatisfaction]],PerfRate[[#This Row],[RelationshipSatisfaction]])</f>
        <v>3.3333333333333335</v>
      </c>
      <c r="R3342" s="2">
        <f>PerfRate[[#This Row],[ManagerRating]] - PerfRate[[#This Row],[SelfRating]]</f>
        <v>-1</v>
      </c>
    </row>
    <row r="3343" spans="1:18">
      <c r="A3343" s="2" t="s">
        <v>7650</v>
      </c>
      <c r="B3343" s="2" t="s">
        <v>1892</v>
      </c>
      <c r="C3343" s="1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  <c r="L3343" s="2" t="s">
        <v>11031</v>
      </c>
      <c r="M3343" s="2" t="s">
        <v>11030</v>
      </c>
      <c r="N3343" s="2" t="s">
        <v>11038</v>
      </c>
      <c r="O3343" s="2" t="s">
        <v>11037</v>
      </c>
      <c r="P3343" s="2" t="s">
        <v>11035</v>
      </c>
      <c r="Q3343" s="2">
        <f>AVERAGE(PerfRate[[#This Row],[EnvironmentSatisfaction]],PerfRate[[#This Row],[JobSatisfaction]],PerfRate[[#This Row],[RelationshipSatisfaction]])</f>
        <v>3.6666666666666665</v>
      </c>
      <c r="R3343" s="2">
        <f>PerfRate[[#This Row],[ManagerRating]] - PerfRate[[#This Row],[SelfRating]]</f>
        <v>-1</v>
      </c>
    </row>
    <row r="3344" spans="1:18">
      <c r="A3344" s="2" t="s">
        <v>7651</v>
      </c>
      <c r="B3344" s="2" t="s">
        <v>3365</v>
      </c>
      <c r="C3344" s="1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  <c r="L3344" s="2" t="s">
        <v>11029</v>
      </c>
      <c r="M3344" s="2" t="s">
        <v>11029</v>
      </c>
      <c r="N3344" s="2" t="s">
        <v>11038</v>
      </c>
      <c r="O3344" s="2" t="s">
        <v>11037</v>
      </c>
      <c r="P3344" s="2" t="s">
        <v>11037</v>
      </c>
      <c r="Q3344" s="2">
        <f>AVERAGE(PerfRate[[#This Row],[EnvironmentSatisfaction]],PerfRate[[#This Row],[JobSatisfaction]],PerfRate[[#This Row],[RelationshipSatisfaction]])</f>
        <v>4.333333333333333</v>
      </c>
      <c r="R3344" s="2">
        <f>PerfRate[[#This Row],[ManagerRating]] - PerfRate[[#This Row],[SelfRating]]</f>
        <v>0</v>
      </c>
    </row>
    <row r="3345" spans="1:18">
      <c r="A3345" s="2" t="s">
        <v>7652</v>
      </c>
      <c r="B3345" s="2" t="s">
        <v>916</v>
      </c>
      <c r="C3345" s="1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  <c r="L3345" s="2" t="s">
        <v>11029</v>
      </c>
      <c r="M3345" s="2" t="s">
        <v>11028</v>
      </c>
      <c r="N3345" s="2" t="s">
        <v>11038</v>
      </c>
      <c r="O3345" s="2" t="s">
        <v>11037</v>
      </c>
      <c r="P3345" s="2" t="s">
        <v>11037</v>
      </c>
      <c r="Q3345" s="2">
        <f>AVERAGE(PerfRate[[#This Row],[EnvironmentSatisfaction]],PerfRate[[#This Row],[JobSatisfaction]],PerfRate[[#This Row],[RelationshipSatisfaction]])</f>
        <v>4.333333333333333</v>
      </c>
      <c r="R3345" s="2">
        <f>PerfRate[[#This Row],[ManagerRating]] - PerfRate[[#This Row],[SelfRating]]</f>
        <v>-1</v>
      </c>
    </row>
    <row r="3346" spans="1:18">
      <c r="A3346" s="2" t="s">
        <v>7653</v>
      </c>
      <c r="B3346" s="2" t="s">
        <v>777</v>
      </c>
      <c r="C3346" s="1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  <c r="L3346" s="2" t="s">
        <v>11031</v>
      </c>
      <c r="M3346" s="2" t="s">
        <v>11031</v>
      </c>
      <c r="N3346" s="2" t="s">
        <v>11036</v>
      </c>
      <c r="O3346" s="2" t="s">
        <v>11035</v>
      </c>
      <c r="P3346" s="2" t="s">
        <v>11035</v>
      </c>
      <c r="Q3346" s="2">
        <f>AVERAGE(PerfRate[[#This Row],[EnvironmentSatisfaction]],PerfRate[[#This Row],[JobSatisfaction]],PerfRate[[#This Row],[RelationshipSatisfaction]])</f>
        <v>2.3333333333333335</v>
      </c>
      <c r="R3346" s="2">
        <f>PerfRate[[#This Row],[ManagerRating]] - PerfRate[[#This Row],[SelfRating]]</f>
        <v>0</v>
      </c>
    </row>
    <row r="3347" spans="1:18">
      <c r="A3347" s="2" t="s">
        <v>7654</v>
      </c>
      <c r="B3347" s="2" t="s">
        <v>1160</v>
      </c>
      <c r="C3347" s="1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  <c r="L3347" s="2" t="s">
        <v>11031</v>
      </c>
      <c r="M3347" s="2" t="s">
        <v>11031</v>
      </c>
      <c r="N3347" s="2" t="s">
        <v>11037</v>
      </c>
      <c r="O3347" s="2" t="s">
        <v>11035</v>
      </c>
      <c r="P3347" s="2" t="s">
        <v>11038</v>
      </c>
      <c r="Q3347" s="2">
        <f>AVERAGE(PerfRate[[#This Row],[EnvironmentSatisfaction]],PerfRate[[#This Row],[JobSatisfaction]],PerfRate[[#This Row],[RelationshipSatisfaction]])</f>
        <v>3.6666666666666665</v>
      </c>
      <c r="R3347" s="2">
        <f>PerfRate[[#This Row],[ManagerRating]] - PerfRate[[#This Row],[SelfRating]]</f>
        <v>0</v>
      </c>
    </row>
    <row r="3348" spans="1:18">
      <c r="A3348" s="2" t="s">
        <v>7655</v>
      </c>
      <c r="B3348" s="2" t="s">
        <v>1970</v>
      </c>
      <c r="C3348" s="1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  <c r="L3348" s="2" t="s">
        <v>11030</v>
      </c>
      <c r="M3348" s="2" t="s">
        <v>11030</v>
      </c>
      <c r="N3348" s="2" t="s">
        <v>11036</v>
      </c>
      <c r="O3348" s="2" t="s">
        <v>11036</v>
      </c>
      <c r="P3348" s="2" t="s">
        <v>11036</v>
      </c>
      <c r="Q3348" s="2">
        <f>AVERAGE(PerfRate[[#This Row],[EnvironmentSatisfaction]],PerfRate[[#This Row],[JobSatisfaction]],PerfRate[[#This Row],[RelationshipSatisfaction]])</f>
        <v>3</v>
      </c>
      <c r="R3348" s="2">
        <f>PerfRate[[#This Row],[ManagerRating]] - PerfRate[[#This Row],[SelfRating]]</f>
        <v>0</v>
      </c>
    </row>
    <row r="3349" spans="1:18">
      <c r="A3349" s="2" t="s">
        <v>7656</v>
      </c>
      <c r="B3349" s="2" t="s">
        <v>1953</v>
      </c>
      <c r="C3349" s="1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  <c r="L3349" s="2" t="s">
        <v>11031</v>
      </c>
      <c r="M3349" s="2" t="s">
        <v>11030</v>
      </c>
      <c r="N3349" s="2" t="s">
        <v>11037</v>
      </c>
      <c r="O3349" s="2" t="s">
        <v>11035</v>
      </c>
      <c r="P3349" s="2" t="s">
        <v>11036</v>
      </c>
      <c r="Q3349" s="2">
        <f>AVERAGE(PerfRate[[#This Row],[EnvironmentSatisfaction]],PerfRate[[#This Row],[JobSatisfaction]],PerfRate[[#This Row],[RelationshipSatisfaction]])</f>
        <v>3</v>
      </c>
      <c r="R3349" s="2">
        <f>PerfRate[[#This Row],[ManagerRating]] - PerfRate[[#This Row],[SelfRating]]</f>
        <v>-1</v>
      </c>
    </row>
    <row r="3350" spans="1:18">
      <c r="A3350" s="2" t="s">
        <v>7657</v>
      </c>
      <c r="B3350" s="2" t="s">
        <v>2464</v>
      </c>
      <c r="C3350" s="1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  <c r="L3350" s="2" t="s">
        <v>11030</v>
      </c>
      <c r="M3350" s="2" t="s">
        <v>11030</v>
      </c>
      <c r="N3350" s="2" t="s">
        <v>11037</v>
      </c>
      <c r="O3350" s="2" t="s">
        <v>11037</v>
      </c>
      <c r="P3350" s="2" t="s">
        <v>11036</v>
      </c>
      <c r="Q3350" s="2">
        <f>AVERAGE(PerfRate[[#This Row],[EnvironmentSatisfaction]],PerfRate[[#This Row],[JobSatisfaction]],PerfRate[[#This Row],[RelationshipSatisfaction]])</f>
        <v>3.6666666666666665</v>
      </c>
      <c r="R3350" s="2">
        <f>PerfRate[[#This Row],[ManagerRating]] - PerfRate[[#This Row],[SelfRating]]</f>
        <v>0</v>
      </c>
    </row>
    <row r="3351" spans="1:18">
      <c r="A3351" s="2" t="s">
        <v>7658</v>
      </c>
      <c r="B3351" s="2" t="s">
        <v>3108</v>
      </c>
      <c r="C3351" s="1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  <c r="L3351" s="2" t="s">
        <v>11031</v>
      </c>
      <c r="M3351" s="2" t="s">
        <v>11031</v>
      </c>
      <c r="N3351" s="2" t="s">
        <v>11036</v>
      </c>
      <c r="O3351" s="2" t="s">
        <v>11035</v>
      </c>
      <c r="P3351" s="2" t="s">
        <v>11036</v>
      </c>
      <c r="Q3351" s="2">
        <f>AVERAGE(PerfRate[[#This Row],[EnvironmentSatisfaction]],PerfRate[[#This Row],[JobSatisfaction]],PerfRate[[#This Row],[RelationshipSatisfaction]])</f>
        <v>2.6666666666666665</v>
      </c>
      <c r="R3351" s="2">
        <f>PerfRate[[#This Row],[ManagerRating]] - PerfRate[[#This Row],[SelfRating]]</f>
        <v>0</v>
      </c>
    </row>
    <row r="3352" spans="1:18">
      <c r="A3352" s="2" t="s">
        <v>7659</v>
      </c>
      <c r="B3352" s="2" t="s">
        <v>317</v>
      </c>
      <c r="C3352" s="1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  <c r="L3352" s="2" t="s">
        <v>11029</v>
      </c>
      <c r="M3352" s="2" t="s">
        <v>11028</v>
      </c>
      <c r="N3352" s="2" t="s">
        <v>11037</v>
      </c>
      <c r="O3352" s="2" t="s">
        <v>11038</v>
      </c>
      <c r="P3352" s="2" t="s">
        <v>11035</v>
      </c>
      <c r="Q3352" s="2">
        <f>AVERAGE(PerfRate[[#This Row],[EnvironmentSatisfaction]],PerfRate[[#This Row],[JobSatisfaction]],PerfRate[[#This Row],[RelationshipSatisfaction]])</f>
        <v>3.6666666666666665</v>
      </c>
      <c r="R3352" s="2">
        <f>PerfRate[[#This Row],[ManagerRating]] - PerfRate[[#This Row],[SelfRating]]</f>
        <v>-1</v>
      </c>
    </row>
    <row r="3353" spans="1:18">
      <c r="A3353" s="2" t="s">
        <v>7660</v>
      </c>
      <c r="B3353" s="2" t="s">
        <v>89</v>
      </c>
      <c r="C3353" s="1">
        <v>41739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  <c r="L3353" s="2" t="s">
        <v>11031</v>
      </c>
      <c r="M3353" s="2" t="s">
        <v>11030</v>
      </c>
      <c r="N3353" s="2" t="s">
        <v>11037</v>
      </c>
      <c r="O3353" s="2" t="s">
        <v>11037</v>
      </c>
      <c r="P3353" s="2" t="s">
        <v>11036</v>
      </c>
      <c r="Q3353" s="2">
        <f>AVERAGE(PerfRate[[#This Row],[EnvironmentSatisfaction]],PerfRate[[#This Row],[JobSatisfaction]],PerfRate[[#This Row],[RelationshipSatisfaction]])</f>
        <v>3.6666666666666665</v>
      </c>
      <c r="R3353" s="2">
        <f>PerfRate[[#This Row],[ManagerRating]] - PerfRate[[#This Row],[SelfRating]]</f>
        <v>-1</v>
      </c>
    </row>
    <row r="3354" spans="1:18">
      <c r="A3354" s="2" t="s">
        <v>7661</v>
      </c>
      <c r="B3354" s="2" t="s">
        <v>982</v>
      </c>
      <c r="C3354" s="1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  <c r="L3354" s="2" t="s">
        <v>11030</v>
      </c>
      <c r="M3354" s="2" t="s">
        <v>11029</v>
      </c>
      <c r="N3354" s="2" t="s">
        <v>11036</v>
      </c>
      <c r="O3354" s="2" t="s">
        <v>11038</v>
      </c>
      <c r="P3354" s="2" t="s">
        <v>11035</v>
      </c>
      <c r="Q3354" s="2">
        <f>AVERAGE(PerfRate[[#This Row],[EnvironmentSatisfaction]],PerfRate[[#This Row],[JobSatisfaction]],PerfRate[[#This Row],[RelationshipSatisfaction]])</f>
        <v>3.3333333333333335</v>
      </c>
      <c r="R3354" s="2">
        <f>PerfRate[[#This Row],[ManagerRating]] - PerfRate[[#This Row],[SelfRating]]</f>
        <v>-1</v>
      </c>
    </row>
    <row r="3355" spans="1:18">
      <c r="A3355" s="2" t="s">
        <v>7662</v>
      </c>
      <c r="B3355" s="2" t="s">
        <v>3926</v>
      </c>
      <c r="C3355" s="1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  <c r="L3355" s="2" t="s">
        <v>11031</v>
      </c>
      <c r="M3355" s="2" t="s">
        <v>11031</v>
      </c>
      <c r="N3355" s="2" t="s">
        <v>11036</v>
      </c>
      <c r="O3355" s="2" t="s">
        <v>11037</v>
      </c>
      <c r="P3355" s="2" t="s">
        <v>11037</v>
      </c>
      <c r="Q3355" s="2">
        <f>AVERAGE(PerfRate[[#This Row],[EnvironmentSatisfaction]],PerfRate[[#This Row],[JobSatisfaction]],PerfRate[[#This Row],[RelationshipSatisfaction]])</f>
        <v>3.6666666666666665</v>
      </c>
      <c r="R3355" s="2">
        <f>PerfRate[[#This Row],[ManagerRating]] - PerfRate[[#This Row],[SelfRating]]</f>
        <v>0</v>
      </c>
    </row>
    <row r="3356" spans="1:18">
      <c r="A3356" s="2" t="s">
        <v>7663</v>
      </c>
      <c r="B3356" s="2" t="s">
        <v>2517</v>
      </c>
      <c r="C3356" s="1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  <c r="L3356" s="2" t="s">
        <v>11030</v>
      </c>
      <c r="M3356" s="2" t="s">
        <v>11029</v>
      </c>
      <c r="N3356" s="2" t="s">
        <v>11036</v>
      </c>
      <c r="O3356" s="2" t="s">
        <v>11037</v>
      </c>
      <c r="P3356" s="2" t="s">
        <v>11038</v>
      </c>
      <c r="Q3356" s="2">
        <f>AVERAGE(PerfRate[[#This Row],[EnvironmentSatisfaction]],PerfRate[[#This Row],[JobSatisfaction]],PerfRate[[#This Row],[RelationshipSatisfaction]])</f>
        <v>4</v>
      </c>
      <c r="R3356" s="2">
        <f>PerfRate[[#This Row],[ManagerRating]] - PerfRate[[#This Row],[SelfRating]]</f>
        <v>-1</v>
      </c>
    </row>
    <row r="3357" spans="1:18">
      <c r="A3357" s="2" t="s">
        <v>7664</v>
      </c>
      <c r="B3357" s="2" t="s">
        <v>961</v>
      </c>
      <c r="C3357" s="1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  <c r="L3357" s="2" t="s">
        <v>11030</v>
      </c>
      <c r="M3357" s="2" t="s">
        <v>11030</v>
      </c>
      <c r="N3357" s="2" t="s">
        <v>11037</v>
      </c>
      <c r="O3357" s="2" t="s">
        <v>11037</v>
      </c>
      <c r="P3357" s="2" t="s">
        <v>11035</v>
      </c>
      <c r="Q3357" s="2">
        <f>AVERAGE(PerfRate[[#This Row],[EnvironmentSatisfaction]],PerfRate[[#This Row],[JobSatisfaction]],PerfRate[[#This Row],[RelationshipSatisfaction]])</f>
        <v>3.3333333333333335</v>
      </c>
      <c r="R3357" s="2">
        <f>PerfRate[[#This Row],[ManagerRating]] - PerfRate[[#This Row],[SelfRating]]</f>
        <v>0</v>
      </c>
    </row>
    <row r="3358" spans="1:18">
      <c r="A3358" s="2" t="s">
        <v>7665</v>
      </c>
      <c r="B3358" s="2" t="s">
        <v>1520</v>
      </c>
      <c r="C3358" s="1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  <c r="L3358" s="2" t="s">
        <v>11030</v>
      </c>
      <c r="M3358" s="2" t="s">
        <v>11030</v>
      </c>
      <c r="N3358" s="2" t="s">
        <v>11037</v>
      </c>
      <c r="O3358" s="2" t="s">
        <v>11037</v>
      </c>
      <c r="P3358" s="2" t="s">
        <v>11037</v>
      </c>
      <c r="Q3358" s="2">
        <f>AVERAGE(PerfRate[[#This Row],[EnvironmentSatisfaction]],PerfRate[[#This Row],[JobSatisfaction]],PerfRate[[#This Row],[RelationshipSatisfaction]])</f>
        <v>4</v>
      </c>
      <c r="R3358" s="2">
        <f>PerfRate[[#This Row],[ManagerRating]] - PerfRate[[#This Row],[SelfRating]]</f>
        <v>0</v>
      </c>
    </row>
    <row r="3359" spans="1:18">
      <c r="A3359" s="2" t="s">
        <v>7666</v>
      </c>
      <c r="B3359" s="2" t="s">
        <v>350</v>
      </c>
      <c r="C3359" s="1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  <c r="L3359" s="2" t="s">
        <v>11029</v>
      </c>
      <c r="M3359" s="2" t="s">
        <v>11029</v>
      </c>
      <c r="N3359" s="2" t="s">
        <v>11038</v>
      </c>
      <c r="O3359" s="2" t="s">
        <v>11036</v>
      </c>
      <c r="P3359" s="2" t="s">
        <v>11035</v>
      </c>
      <c r="Q3359" s="2">
        <f>AVERAGE(PerfRate[[#This Row],[EnvironmentSatisfaction]],PerfRate[[#This Row],[JobSatisfaction]],PerfRate[[#This Row],[RelationshipSatisfaction]])</f>
        <v>3.3333333333333335</v>
      </c>
      <c r="R3359" s="2">
        <f>PerfRate[[#This Row],[ManagerRating]] - PerfRate[[#This Row],[SelfRating]]</f>
        <v>0</v>
      </c>
    </row>
    <row r="3360" spans="1:18">
      <c r="A3360" s="2" t="s">
        <v>7667</v>
      </c>
      <c r="B3360" s="2" t="s">
        <v>631</v>
      </c>
      <c r="C3360" s="1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  <c r="L3360" s="2" t="s">
        <v>11030</v>
      </c>
      <c r="M3360" s="2" t="s">
        <v>11030</v>
      </c>
      <c r="N3360" s="2" t="s">
        <v>11035</v>
      </c>
      <c r="O3360" s="2" t="s">
        <v>11037</v>
      </c>
      <c r="P3360" s="2" t="s">
        <v>11036</v>
      </c>
      <c r="Q3360" s="2">
        <f>AVERAGE(PerfRate[[#This Row],[EnvironmentSatisfaction]],PerfRate[[#This Row],[JobSatisfaction]],PerfRate[[#This Row],[RelationshipSatisfaction]])</f>
        <v>3</v>
      </c>
      <c r="R3360" s="2">
        <f>PerfRate[[#This Row],[ManagerRating]] - PerfRate[[#This Row],[SelfRating]]</f>
        <v>0</v>
      </c>
    </row>
    <row r="3361" spans="1:18">
      <c r="A3361" s="2" t="s">
        <v>7668</v>
      </c>
      <c r="B3361" s="2" t="s">
        <v>744</v>
      </c>
      <c r="C3361" s="1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  <c r="L3361" s="2" t="s">
        <v>11031</v>
      </c>
      <c r="M3361" s="2" t="s">
        <v>11030</v>
      </c>
      <c r="N3361" s="2" t="s">
        <v>11034</v>
      </c>
      <c r="O3361" s="2" t="s">
        <v>11035</v>
      </c>
      <c r="P3361" s="2" t="s">
        <v>11035</v>
      </c>
      <c r="Q3361" s="2">
        <f>AVERAGE(PerfRate[[#This Row],[EnvironmentSatisfaction]],PerfRate[[#This Row],[JobSatisfaction]],PerfRate[[#This Row],[RelationshipSatisfaction]])</f>
        <v>1.6666666666666667</v>
      </c>
      <c r="R3361" s="2">
        <f>PerfRate[[#This Row],[ManagerRating]] - PerfRate[[#This Row],[SelfRating]]</f>
        <v>-1</v>
      </c>
    </row>
    <row r="3362" spans="1:18">
      <c r="A3362" s="2" t="s">
        <v>7669</v>
      </c>
      <c r="B3362" s="2" t="s">
        <v>1535</v>
      </c>
      <c r="C3362" s="1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  <c r="L3362" s="2" t="s">
        <v>11031</v>
      </c>
      <c r="M3362" s="2" t="s">
        <v>11030</v>
      </c>
      <c r="N3362" s="2" t="s">
        <v>11037</v>
      </c>
      <c r="O3362" s="2" t="s">
        <v>11037</v>
      </c>
      <c r="P3362" s="2" t="s">
        <v>11035</v>
      </c>
      <c r="Q3362" s="2">
        <f>AVERAGE(PerfRate[[#This Row],[EnvironmentSatisfaction]],PerfRate[[#This Row],[JobSatisfaction]],PerfRate[[#This Row],[RelationshipSatisfaction]])</f>
        <v>3.3333333333333335</v>
      </c>
      <c r="R3362" s="2">
        <f>PerfRate[[#This Row],[ManagerRating]] - PerfRate[[#This Row],[SelfRating]]</f>
        <v>-1</v>
      </c>
    </row>
    <row r="3363" spans="1:18">
      <c r="A3363" s="2" t="s">
        <v>7670</v>
      </c>
      <c r="B3363" s="2" t="s">
        <v>1730</v>
      </c>
      <c r="C3363" s="1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  <c r="L3363" s="2" t="s">
        <v>11029</v>
      </c>
      <c r="M3363" s="2" t="s">
        <v>11029</v>
      </c>
      <c r="N3363" s="2" t="s">
        <v>11036</v>
      </c>
      <c r="O3363" s="2" t="s">
        <v>11035</v>
      </c>
      <c r="P3363" s="2" t="s">
        <v>11037</v>
      </c>
      <c r="Q3363" s="2">
        <f>AVERAGE(PerfRate[[#This Row],[EnvironmentSatisfaction]],PerfRate[[#This Row],[JobSatisfaction]],PerfRate[[#This Row],[RelationshipSatisfaction]])</f>
        <v>3</v>
      </c>
      <c r="R3363" s="2">
        <f>PerfRate[[#This Row],[ManagerRating]] - PerfRate[[#This Row],[SelfRating]]</f>
        <v>0</v>
      </c>
    </row>
    <row r="3364" spans="1:18">
      <c r="A3364" s="2" t="s">
        <v>7671</v>
      </c>
      <c r="B3364" s="2" t="s">
        <v>3329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  <c r="L3364" s="2" t="s">
        <v>11029</v>
      </c>
      <c r="M3364" s="2" t="s">
        <v>11029</v>
      </c>
      <c r="N3364" s="2" t="s">
        <v>11037</v>
      </c>
      <c r="O3364" s="2" t="s">
        <v>11035</v>
      </c>
      <c r="P3364" s="2" t="s">
        <v>11037</v>
      </c>
      <c r="Q3364" s="2">
        <f>AVERAGE(PerfRate[[#This Row],[EnvironmentSatisfaction]],PerfRate[[#This Row],[JobSatisfaction]],PerfRate[[#This Row],[RelationshipSatisfaction]])</f>
        <v>3.3333333333333335</v>
      </c>
      <c r="R3364" s="2">
        <f>PerfRate[[#This Row],[ManagerRating]] - PerfRate[[#This Row],[SelfRating]]</f>
        <v>0</v>
      </c>
    </row>
    <row r="3365" spans="1:18">
      <c r="A3365" s="2" t="s">
        <v>7672</v>
      </c>
      <c r="B3365" s="2" t="s">
        <v>3256</v>
      </c>
      <c r="C3365" s="1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  <c r="L3365" s="2" t="s">
        <v>11030</v>
      </c>
      <c r="M3365" s="2" t="s">
        <v>11029</v>
      </c>
      <c r="N3365" s="2" t="s">
        <v>11036</v>
      </c>
      <c r="O3365" s="2" t="s">
        <v>11037</v>
      </c>
      <c r="P3365" s="2" t="s">
        <v>11037</v>
      </c>
      <c r="Q3365" s="2">
        <f>AVERAGE(PerfRate[[#This Row],[EnvironmentSatisfaction]],PerfRate[[#This Row],[JobSatisfaction]],PerfRate[[#This Row],[RelationshipSatisfaction]])</f>
        <v>3.6666666666666665</v>
      </c>
      <c r="R3365" s="2">
        <f>PerfRate[[#This Row],[ManagerRating]] - PerfRate[[#This Row],[SelfRating]]</f>
        <v>-1</v>
      </c>
    </row>
    <row r="3366" spans="1:18">
      <c r="A3366" s="2" t="s">
        <v>7673</v>
      </c>
      <c r="B3366" s="2" t="s">
        <v>556</v>
      </c>
      <c r="C3366" s="1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  <c r="L3366" s="2" t="s">
        <v>11029</v>
      </c>
      <c r="M3366" s="2" t="s">
        <v>11028</v>
      </c>
      <c r="N3366" s="2" t="s">
        <v>11037</v>
      </c>
      <c r="O3366" s="2" t="s">
        <v>11037</v>
      </c>
      <c r="P3366" s="2" t="s">
        <v>11034</v>
      </c>
      <c r="Q3366" s="2">
        <f>AVERAGE(PerfRate[[#This Row],[EnvironmentSatisfaction]],PerfRate[[#This Row],[JobSatisfaction]],PerfRate[[#This Row],[RelationshipSatisfaction]])</f>
        <v>3</v>
      </c>
      <c r="R3366" s="2">
        <f>PerfRate[[#This Row],[ManagerRating]] - PerfRate[[#This Row],[SelfRating]]</f>
        <v>-1</v>
      </c>
    </row>
    <row r="3367" spans="1:18">
      <c r="A3367" s="2" t="s">
        <v>7674</v>
      </c>
      <c r="B3367" s="2" t="s">
        <v>1255</v>
      </c>
      <c r="C3367" s="1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  <c r="L3367" s="2" t="s">
        <v>11030</v>
      </c>
      <c r="M3367" s="2" t="s">
        <v>11029</v>
      </c>
      <c r="N3367" s="2" t="s">
        <v>11037</v>
      </c>
      <c r="O3367" s="2" t="s">
        <v>11036</v>
      </c>
      <c r="P3367" s="2" t="s">
        <v>11036</v>
      </c>
      <c r="Q3367" s="2">
        <f>AVERAGE(PerfRate[[#This Row],[EnvironmentSatisfaction]],PerfRate[[#This Row],[JobSatisfaction]],PerfRate[[#This Row],[RelationshipSatisfaction]])</f>
        <v>3.3333333333333335</v>
      </c>
      <c r="R3367" s="2">
        <f>PerfRate[[#This Row],[ManagerRating]] - PerfRate[[#This Row],[SelfRating]]</f>
        <v>-1</v>
      </c>
    </row>
    <row r="3368" spans="1:18">
      <c r="A3368" s="2" t="s">
        <v>7675</v>
      </c>
      <c r="B3368" s="2" t="s">
        <v>1791</v>
      </c>
      <c r="C3368" s="1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  <c r="L3368" s="2" t="s">
        <v>11030</v>
      </c>
      <c r="M3368" s="2" t="s">
        <v>11030</v>
      </c>
      <c r="N3368" s="2" t="s">
        <v>11038</v>
      </c>
      <c r="O3368" s="2" t="s">
        <v>11038</v>
      </c>
      <c r="P3368" s="2" t="s">
        <v>11036</v>
      </c>
      <c r="Q3368" s="2">
        <f>AVERAGE(PerfRate[[#This Row],[EnvironmentSatisfaction]],PerfRate[[#This Row],[JobSatisfaction]],PerfRate[[#This Row],[RelationshipSatisfaction]])</f>
        <v>4.333333333333333</v>
      </c>
      <c r="R3368" s="2">
        <f>PerfRate[[#This Row],[ManagerRating]] - PerfRate[[#This Row],[SelfRating]]</f>
        <v>0</v>
      </c>
    </row>
    <row r="3369" spans="1:18">
      <c r="A3369" s="2" t="s">
        <v>7676</v>
      </c>
      <c r="B3369" s="2" t="s">
        <v>1773</v>
      </c>
      <c r="C3369" s="1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  <c r="L3369" s="2" t="s">
        <v>11030</v>
      </c>
      <c r="M3369" s="2" t="s">
        <v>11029</v>
      </c>
      <c r="N3369" s="2" t="s">
        <v>11036</v>
      </c>
      <c r="O3369" s="2" t="s">
        <v>11036</v>
      </c>
      <c r="P3369" s="2" t="s">
        <v>11037</v>
      </c>
      <c r="Q3369" s="2">
        <f>AVERAGE(PerfRate[[#This Row],[EnvironmentSatisfaction]],PerfRate[[#This Row],[JobSatisfaction]],PerfRate[[#This Row],[RelationshipSatisfaction]])</f>
        <v>3.3333333333333335</v>
      </c>
      <c r="R3369" s="2">
        <f>PerfRate[[#This Row],[ManagerRating]] - PerfRate[[#This Row],[SelfRating]]</f>
        <v>-1</v>
      </c>
    </row>
    <row r="3370" spans="1:18">
      <c r="A3370" s="2" t="s">
        <v>7677</v>
      </c>
      <c r="B3370" s="2" t="s">
        <v>131</v>
      </c>
      <c r="C3370" s="1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  <c r="L3370" s="2" t="s">
        <v>11029</v>
      </c>
      <c r="M3370" s="2" t="s">
        <v>11029</v>
      </c>
      <c r="N3370" s="2" t="s">
        <v>11037</v>
      </c>
      <c r="O3370" s="2" t="s">
        <v>11035</v>
      </c>
      <c r="P3370" s="2" t="s">
        <v>11035</v>
      </c>
      <c r="Q3370" s="2">
        <f>AVERAGE(PerfRate[[#This Row],[EnvironmentSatisfaction]],PerfRate[[#This Row],[JobSatisfaction]],PerfRate[[#This Row],[RelationshipSatisfaction]])</f>
        <v>2.6666666666666665</v>
      </c>
      <c r="R3370" s="2">
        <f>PerfRate[[#This Row],[ManagerRating]] - PerfRate[[#This Row],[SelfRating]]</f>
        <v>0</v>
      </c>
    </row>
    <row r="3371" spans="1:18">
      <c r="A3371" s="2" t="s">
        <v>7678</v>
      </c>
      <c r="B3371" s="2" t="s">
        <v>835</v>
      </c>
      <c r="C3371" s="1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  <c r="L3371" s="2" t="s">
        <v>11030</v>
      </c>
      <c r="M3371" s="2" t="s">
        <v>11029</v>
      </c>
      <c r="N3371" s="2" t="s">
        <v>11037</v>
      </c>
      <c r="O3371" s="2" t="s">
        <v>11036</v>
      </c>
      <c r="P3371" s="2" t="s">
        <v>11037</v>
      </c>
      <c r="Q3371" s="2">
        <f>AVERAGE(PerfRate[[#This Row],[EnvironmentSatisfaction]],PerfRate[[#This Row],[JobSatisfaction]],PerfRate[[#This Row],[RelationshipSatisfaction]])</f>
        <v>3.6666666666666665</v>
      </c>
      <c r="R3371" s="2">
        <f>PerfRate[[#This Row],[ManagerRating]] - PerfRate[[#This Row],[SelfRating]]</f>
        <v>-1</v>
      </c>
    </row>
    <row r="3372" spans="1:18">
      <c r="A3372" s="2" t="s">
        <v>7679</v>
      </c>
      <c r="B3372" s="2" t="s">
        <v>877</v>
      </c>
      <c r="C3372" s="1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  <c r="L3372" s="2" t="s">
        <v>11030</v>
      </c>
      <c r="M3372" s="2" t="s">
        <v>11030</v>
      </c>
      <c r="N3372" s="2" t="s">
        <v>11036</v>
      </c>
      <c r="O3372" s="2" t="s">
        <v>11036</v>
      </c>
      <c r="P3372" s="2" t="s">
        <v>11038</v>
      </c>
      <c r="Q3372" s="2">
        <f>AVERAGE(PerfRate[[#This Row],[EnvironmentSatisfaction]],PerfRate[[#This Row],[JobSatisfaction]],PerfRate[[#This Row],[RelationshipSatisfaction]])</f>
        <v>3.6666666666666665</v>
      </c>
      <c r="R3372" s="2">
        <f>PerfRate[[#This Row],[ManagerRating]] - PerfRate[[#This Row],[SelfRating]]</f>
        <v>0</v>
      </c>
    </row>
    <row r="3373" spans="1:18">
      <c r="A3373" s="2" t="s">
        <v>7680</v>
      </c>
      <c r="B3373" s="2" t="s">
        <v>634</v>
      </c>
      <c r="C3373" s="1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  <c r="L3373" s="2" t="s">
        <v>11029</v>
      </c>
      <c r="M3373" s="2" t="s">
        <v>11028</v>
      </c>
      <c r="N3373" s="2" t="s">
        <v>11036</v>
      </c>
      <c r="O3373" s="2" t="s">
        <v>11037</v>
      </c>
      <c r="P3373" s="2" t="s">
        <v>11036</v>
      </c>
      <c r="Q3373" s="2">
        <f>AVERAGE(PerfRate[[#This Row],[EnvironmentSatisfaction]],PerfRate[[#This Row],[JobSatisfaction]],PerfRate[[#This Row],[RelationshipSatisfaction]])</f>
        <v>3.3333333333333335</v>
      </c>
      <c r="R3373" s="2">
        <f>PerfRate[[#This Row],[ManagerRating]] - PerfRate[[#This Row],[SelfRating]]</f>
        <v>-1</v>
      </c>
    </row>
    <row r="3374" spans="1:18">
      <c r="A3374" s="2" t="s">
        <v>7681</v>
      </c>
      <c r="B3374" s="2" t="s">
        <v>2103</v>
      </c>
      <c r="C3374" s="1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  <c r="L3374" s="2" t="s">
        <v>11029</v>
      </c>
      <c r="M3374" s="2" t="s">
        <v>11028</v>
      </c>
      <c r="N3374" s="2" t="s">
        <v>11036</v>
      </c>
      <c r="O3374" s="2" t="s">
        <v>11037</v>
      </c>
      <c r="P3374" s="2" t="s">
        <v>11037</v>
      </c>
      <c r="Q3374" s="2">
        <f>AVERAGE(PerfRate[[#This Row],[EnvironmentSatisfaction]],PerfRate[[#This Row],[JobSatisfaction]],PerfRate[[#This Row],[RelationshipSatisfaction]])</f>
        <v>3.6666666666666665</v>
      </c>
      <c r="R3374" s="2">
        <f>PerfRate[[#This Row],[ManagerRating]] - PerfRate[[#This Row],[SelfRating]]</f>
        <v>-1</v>
      </c>
    </row>
    <row r="3375" spans="1:18">
      <c r="A3375" s="2" t="s">
        <v>7682</v>
      </c>
      <c r="B3375" s="2" t="s">
        <v>3739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  <c r="L3375" s="2" t="s">
        <v>11030</v>
      </c>
      <c r="M3375" s="2" t="s">
        <v>11029</v>
      </c>
      <c r="N3375" s="2" t="s">
        <v>11037</v>
      </c>
      <c r="O3375" s="2" t="s">
        <v>11038</v>
      </c>
      <c r="P3375" s="2" t="s">
        <v>11038</v>
      </c>
      <c r="Q3375" s="2">
        <f>AVERAGE(PerfRate[[#This Row],[EnvironmentSatisfaction]],PerfRate[[#This Row],[JobSatisfaction]],PerfRate[[#This Row],[RelationshipSatisfaction]])</f>
        <v>4.666666666666667</v>
      </c>
      <c r="R3375" s="2">
        <f>PerfRate[[#This Row],[ManagerRating]] - PerfRate[[#This Row],[SelfRating]]</f>
        <v>-1</v>
      </c>
    </row>
    <row r="3376" spans="1:18">
      <c r="A3376" s="2" t="s">
        <v>7683</v>
      </c>
      <c r="B3376" s="2" t="s">
        <v>1497</v>
      </c>
      <c r="C3376" s="1">
        <v>43836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  <c r="L3376" s="2" t="s">
        <v>11031</v>
      </c>
      <c r="M3376" s="2" t="s">
        <v>11030</v>
      </c>
      <c r="N3376" s="2" t="s">
        <v>11037</v>
      </c>
      <c r="O3376" s="2" t="s">
        <v>11038</v>
      </c>
      <c r="P3376" s="2" t="s">
        <v>11038</v>
      </c>
      <c r="Q3376" s="2">
        <f>AVERAGE(PerfRate[[#This Row],[EnvironmentSatisfaction]],PerfRate[[#This Row],[JobSatisfaction]],PerfRate[[#This Row],[RelationshipSatisfaction]])</f>
        <v>4.666666666666667</v>
      </c>
      <c r="R3376" s="2">
        <f>PerfRate[[#This Row],[ManagerRating]] - PerfRate[[#This Row],[SelfRating]]</f>
        <v>-1</v>
      </c>
    </row>
    <row r="3377" spans="1:18">
      <c r="A3377" s="2" t="s">
        <v>7684</v>
      </c>
      <c r="B3377" s="2" t="s">
        <v>791</v>
      </c>
      <c r="C3377" s="1">
        <v>43867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  <c r="L3377" s="2" t="s">
        <v>11031</v>
      </c>
      <c r="M3377" s="2" t="s">
        <v>11031</v>
      </c>
      <c r="N3377" s="2" t="s">
        <v>11036</v>
      </c>
      <c r="O3377" s="2" t="s">
        <v>11036</v>
      </c>
      <c r="P3377" s="2" t="s">
        <v>11038</v>
      </c>
      <c r="Q3377" s="2">
        <f>AVERAGE(PerfRate[[#This Row],[EnvironmentSatisfaction]],PerfRate[[#This Row],[JobSatisfaction]],PerfRate[[#This Row],[RelationshipSatisfaction]])</f>
        <v>3.6666666666666665</v>
      </c>
      <c r="R3377" s="2">
        <f>PerfRate[[#This Row],[ManagerRating]] - PerfRate[[#This Row],[SelfRating]]</f>
        <v>0</v>
      </c>
    </row>
    <row r="3378" spans="1:18">
      <c r="A3378" s="2" t="s">
        <v>7685</v>
      </c>
      <c r="B3378" s="2" t="s">
        <v>4263</v>
      </c>
      <c r="C3378" s="1">
        <v>43896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  <c r="L3378" s="2" t="s">
        <v>11029</v>
      </c>
      <c r="M3378" s="2" t="s">
        <v>11029</v>
      </c>
      <c r="N3378" s="2" t="s">
        <v>11038</v>
      </c>
      <c r="O3378" s="2" t="s">
        <v>11036</v>
      </c>
      <c r="P3378" s="2" t="s">
        <v>11035</v>
      </c>
      <c r="Q3378" s="2">
        <f>AVERAGE(PerfRate[[#This Row],[EnvironmentSatisfaction]],PerfRate[[#This Row],[JobSatisfaction]],PerfRate[[#This Row],[RelationshipSatisfaction]])</f>
        <v>3.3333333333333335</v>
      </c>
      <c r="R3378" s="2">
        <f>PerfRate[[#This Row],[ManagerRating]] - PerfRate[[#This Row],[SelfRating]]</f>
        <v>0</v>
      </c>
    </row>
    <row r="3379" spans="1:18">
      <c r="A3379" s="2" t="s">
        <v>7686</v>
      </c>
      <c r="B3379" s="2" t="s">
        <v>437</v>
      </c>
      <c r="C3379" s="1">
        <v>43927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  <c r="L3379" s="2" t="s">
        <v>11030</v>
      </c>
      <c r="M3379" s="2" t="s">
        <v>11030</v>
      </c>
      <c r="N3379" s="2" t="s">
        <v>11037</v>
      </c>
      <c r="O3379" s="2" t="s">
        <v>11035</v>
      </c>
      <c r="P3379" s="2" t="s">
        <v>11037</v>
      </c>
      <c r="Q3379" s="2">
        <f>AVERAGE(PerfRate[[#This Row],[EnvironmentSatisfaction]],PerfRate[[#This Row],[JobSatisfaction]],PerfRate[[#This Row],[RelationshipSatisfaction]])</f>
        <v>3.3333333333333335</v>
      </c>
      <c r="R3379" s="2">
        <f>PerfRate[[#This Row],[ManagerRating]] - PerfRate[[#This Row],[SelfRating]]</f>
        <v>0</v>
      </c>
    </row>
    <row r="3380" spans="1:18">
      <c r="A3380" s="2" t="s">
        <v>7687</v>
      </c>
      <c r="B3380" s="2" t="s">
        <v>2318</v>
      </c>
      <c r="C3380" s="1">
        <v>43927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  <c r="L3380" s="2" t="s">
        <v>11029</v>
      </c>
      <c r="M3380" s="2" t="s">
        <v>11028</v>
      </c>
      <c r="N3380" s="2" t="s">
        <v>11038</v>
      </c>
      <c r="O3380" s="2" t="s">
        <v>11037</v>
      </c>
      <c r="P3380" s="2" t="s">
        <v>11035</v>
      </c>
      <c r="Q3380" s="2">
        <f>AVERAGE(PerfRate[[#This Row],[EnvironmentSatisfaction]],PerfRate[[#This Row],[JobSatisfaction]],PerfRate[[#This Row],[RelationshipSatisfaction]])</f>
        <v>3.6666666666666665</v>
      </c>
      <c r="R3380" s="2">
        <f>PerfRate[[#This Row],[ManagerRating]] - PerfRate[[#This Row],[SelfRating]]</f>
        <v>-1</v>
      </c>
    </row>
    <row r="3381" spans="1:18">
      <c r="A3381" s="2" t="s">
        <v>7688</v>
      </c>
      <c r="B3381" s="2" t="s">
        <v>3634</v>
      </c>
      <c r="C3381" s="1">
        <v>43927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  <c r="L3381" s="2" t="s">
        <v>11031</v>
      </c>
      <c r="M3381" s="2" t="s">
        <v>11030</v>
      </c>
      <c r="N3381" s="2" t="s">
        <v>11037</v>
      </c>
      <c r="O3381" s="2" t="s">
        <v>11038</v>
      </c>
      <c r="P3381" s="2" t="s">
        <v>11035</v>
      </c>
      <c r="Q3381" s="2">
        <f>AVERAGE(PerfRate[[#This Row],[EnvironmentSatisfaction]],PerfRate[[#This Row],[JobSatisfaction]],PerfRate[[#This Row],[RelationshipSatisfaction]])</f>
        <v>3.6666666666666665</v>
      </c>
      <c r="R3381" s="2">
        <f>PerfRate[[#This Row],[ManagerRating]] - PerfRate[[#This Row],[SelfRating]]</f>
        <v>-1</v>
      </c>
    </row>
    <row r="3382" spans="1:18">
      <c r="A3382" s="2" t="s">
        <v>7689</v>
      </c>
      <c r="B3382" s="2" t="s">
        <v>3673</v>
      </c>
      <c r="C3382" s="1">
        <v>43957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  <c r="L3382" s="2" t="s">
        <v>11029</v>
      </c>
      <c r="M3382" s="2" t="s">
        <v>11028</v>
      </c>
      <c r="N3382" s="2" t="s">
        <v>11036</v>
      </c>
      <c r="O3382" s="2" t="s">
        <v>11036</v>
      </c>
      <c r="P3382" s="2" t="s">
        <v>11038</v>
      </c>
      <c r="Q3382" s="2">
        <f>AVERAGE(PerfRate[[#This Row],[EnvironmentSatisfaction]],PerfRate[[#This Row],[JobSatisfaction]],PerfRate[[#This Row],[RelationshipSatisfaction]])</f>
        <v>3.6666666666666665</v>
      </c>
      <c r="R3382" s="2">
        <f>PerfRate[[#This Row],[ManagerRating]] - PerfRate[[#This Row],[SelfRating]]</f>
        <v>-1</v>
      </c>
    </row>
    <row r="3383" spans="1:18">
      <c r="A3383" s="2" t="s">
        <v>7690</v>
      </c>
      <c r="B3383" s="2" t="s">
        <v>844</v>
      </c>
      <c r="C3383" s="1">
        <v>43957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  <c r="L3383" s="2" t="s">
        <v>11030</v>
      </c>
      <c r="M3383" s="2" t="s">
        <v>11029</v>
      </c>
      <c r="N3383" s="2" t="s">
        <v>11037</v>
      </c>
      <c r="O3383" s="2" t="s">
        <v>11038</v>
      </c>
      <c r="P3383" s="2" t="s">
        <v>11038</v>
      </c>
      <c r="Q3383" s="2">
        <f>AVERAGE(PerfRate[[#This Row],[EnvironmentSatisfaction]],PerfRate[[#This Row],[JobSatisfaction]],PerfRate[[#This Row],[RelationshipSatisfaction]])</f>
        <v>4.666666666666667</v>
      </c>
      <c r="R3383" s="2">
        <f>PerfRate[[#This Row],[ManagerRating]] - PerfRate[[#This Row],[SelfRating]]</f>
        <v>-1</v>
      </c>
    </row>
    <row r="3384" spans="1:18">
      <c r="A3384" s="2" t="s">
        <v>7691</v>
      </c>
      <c r="B3384" s="2" t="s">
        <v>741</v>
      </c>
      <c r="C3384" s="1">
        <v>43957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  <c r="L3384" s="2" t="s">
        <v>11029</v>
      </c>
      <c r="M3384" s="2" t="s">
        <v>11029</v>
      </c>
      <c r="N3384" s="2" t="s">
        <v>11038</v>
      </c>
      <c r="O3384" s="2" t="s">
        <v>11037</v>
      </c>
      <c r="P3384" s="2" t="s">
        <v>11035</v>
      </c>
      <c r="Q3384" s="2">
        <f>AVERAGE(PerfRate[[#This Row],[EnvironmentSatisfaction]],PerfRate[[#This Row],[JobSatisfaction]],PerfRate[[#This Row],[RelationshipSatisfaction]])</f>
        <v>3.6666666666666665</v>
      </c>
      <c r="R3384" s="2">
        <f>PerfRate[[#This Row],[ManagerRating]] - PerfRate[[#This Row],[SelfRating]]</f>
        <v>0</v>
      </c>
    </row>
    <row r="3385" spans="1:18">
      <c r="A3385" s="2" t="s">
        <v>7692</v>
      </c>
      <c r="B3385" s="2" t="s">
        <v>1541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  <c r="L3385" s="2" t="s">
        <v>11029</v>
      </c>
      <c r="M3385" s="2" t="s">
        <v>11028</v>
      </c>
      <c r="N3385" s="2" t="s">
        <v>11036</v>
      </c>
      <c r="O3385" s="2" t="s">
        <v>11035</v>
      </c>
      <c r="P3385" s="2" t="s">
        <v>11036</v>
      </c>
      <c r="Q3385" s="2">
        <f>AVERAGE(PerfRate[[#This Row],[EnvironmentSatisfaction]],PerfRate[[#This Row],[JobSatisfaction]],PerfRate[[#This Row],[RelationshipSatisfaction]])</f>
        <v>2.6666666666666665</v>
      </c>
      <c r="R3385" s="2">
        <f>PerfRate[[#This Row],[ManagerRating]] - PerfRate[[#This Row],[SelfRating]]</f>
        <v>-1</v>
      </c>
    </row>
    <row r="3386" spans="1:18">
      <c r="A3386" s="2" t="s">
        <v>7693</v>
      </c>
      <c r="B3386" s="2" t="s">
        <v>1301</v>
      </c>
      <c r="C3386" s="1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  <c r="L3386" s="2" t="s">
        <v>11031</v>
      </c>
      <c r="M3386" s="2" t="s">
        <v>11031</v>
      </c>
      <c r="N3386" s="2" t="s">
        <v>11038</v>
      </c>
      <c r="O3386" s="2" t="s">
        <v>11035</v>
      </c>
      <c r="P3386" s="2" t="s">
        <v>11038</v>
      </c>
      <c r="Q3386" s="2">
        <f>AVERAGE(PerfRate[[#This Row],[EnvironmentSatisfaction]],PerfRate[[#This Row],[JobSatisfaction]],PerfRate[[#This Row],[RelationshipSatisfaction]])</f>
        <v>4</v>
      </c>
      <c r="R3386" s="2">
        <f>PerfRate[[#This Row],[ManagerRating]] - PerfRate[[#This Row],[SelfRating]]</f>
        <v>0</v>
      </c>
    </row>
    <row r="3387" spans="1:18">
      <c r="A3387" s="2" t="s">
        <v>7694</v>
      </c>
      <c r="B3387" s="2" t="s">
        <v>2172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  <c r="L3387" s="2" t="s">
        <v>11031</v>
      </c>
      <c r="M3387" s="2" t="s">
        <v>11031</v>
      </c>
      <c r="N3387" s="2" t="s">
        <v>11037</v>
      </c>
      <c r="O3387" s="2" t="s">
        <v>11036</v>
      </c>
      <c r="P3387" s="2" t="s">
        <v>11036</v>
      </c>
      <c r="Q3387" s="2">
        <f>AVERAGE(PerfRate[[#This Row],[EnvironmentSatisfaction]],PerfRate[[#This Row],[JobSatisfaction]],PerfRate[[#This Row],[RelationshipSatisfaction]])</f>
        <v>3.3333333333333335</v>
      </c>
      <c r="R3387" s="2">
        <f>PerfRate[[#This Row],[ManagerRating]] - PerfRate[[#This Row],[SelfRating]]</f>
        <v>0</v>
      </c>
    </row>
    <row r="3388" spans="1:18">
      <c r="A3388" s="2" t="s">
        <v>7695</v>
      </c>
      <c r="B3388" s="2" t="s">
        <v>1183</v>
      </c>
      <c r="C3388" s="1">
        <v>44018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  <c r="L3388" s="2" t="s">
        <v>11031</v>
      </c>
      <c r="M3388" s="2" t="s">
        <v>11031</v>
      </c>
      <c r="N3388" s="2" t="s">
        <v>11036</v>
      </c>
      <c r="O3388" s="2" t="s">
        <v>11038</v>
      </c>
      <c r="P3388" s="2" t="s">
        <v>11038</v>
      </c>
      <c r="Q3388" s="2">
        <f>AVERAGE(PerfRate[[#This Row],[EnvironmentSatisfaction]],PerfRate[[#This Row],[JobSatisfaction]],PerfRate[[#This Row],[RelationshipSatisfaction]])</f>
        <v>4.333333333333333</v>
      </c>
      <c r="R3388" s="2">
        <f>PerfRate[[#This Row],[ManagerRating]] - PerfRate[[#This Row],[SelfRating]]</f>
        <v>0</v>
      </c>
    </row>
    <row r="3389" spans="1:18">
      <c r="A3389" s="2" t="s">
        <v>7696</v>
      </c>
      <c r="B3389" s="2" t="s">
        <v>2284</v>
      </c>
      <c r="C3389" s="1">
        <v>44018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  <c r="L3389" s="2" t="s">
        <v>11029</v>
      </c>
      <c r="M3389" s="2" t="s">
        <v>11028</v>
      </c>
      <c r="N3389" s="2" t="s">
        <v>11037</v>
      </c>
      <c r="O3389" s="2" t="s">
        <v>11037</v>
      </c>
      <c r="P3389" s="2" t="s">
        <v>11038</v>
      </c>
      <c r="Q3389" s="2">
        <f>AVERAGE(PerfRate[[#This Row],[EnvironmentSatisfaction]],PerfRate[[#This Row],[JobSatisfaction]],PerfRate[[#This Row],[RelationshipSatisfaction]])</f>
        <v>4.333333333333333</v>
      </c>
      <c r="R3389" s="2">
        <f>PerfRate[[#This Row],[ManagerRating]] - PerfRate[[#This Row],[SelfRating]]</f>
        <v>-1</v>
      </c>
    </row>
    <row r="3390" spans="1:18">
      <c r="A3390" s="2" t="s">
        <v>7697</v>
      </c>
      <c r="B3390" s="2" t="s">
        <v>416</v>
      </c>
      <c r="C3390" s="1">
        <v>44049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  <c r="L3390" s="2" t="s">
        <v>11029</v>
      </c>
      <c r="M3390" s="2" t="s">
        <v>11029</v>
      </c>
      <c r="N3390" s="2" t="s">
        <v>11036</v>
      </c>
      <c r="O3390" s="2" t="s">
        <v>11036</v>
      </c>
      <c r="P3390" s="2" t="s">
        <v>11035</v>
      </c>
      <c r="Q3390" s="2">
        <f>AVERAGE(PerfRate[[#This Row],[EnvironmentSatisfaction]],PerfRate[[#This Row],[JobSatisfaction]],PerfRate[[#This Row],[RelationshipSatisfaction]])</f>
        <v>2.6666666666666665</v>
      </c>
      <c r="R3390" s="2">
        <f>PerfRate[[#This Row],[ManagerRating]] - PerfRate[[#This Row],[SelfRating]]</f>
        <v>0</v>
      </c>
    </row>
    <row r="3391" spans="1:18">
      <c r="A3391" s="2" t="s">
        <v>7698</v>
      </c>
      <c r="B3391" s="2" t="s">
        <v>229</v>
      </c>
      <c r="C3391" s="1">
        <v>44049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  <c r="L3391" s="2" t="s">
        <v>11031</v>
      </c>
      <c r="M3391" s="2" t="s">
        <v>11030</v>
      </c>
      <c r="N3391" s="2" t="s">
        <v>11037</v>
      </c>
      <c r="O3391" s="2" t="s">
        <v>11037</v>
      </c>
      <c r="P3391" s="2" t="s">
        <v>11035</v>
      </c>
      <c r="Q3391" s="2">
        <f>AVERAGE(PerfRate[[#This Row],[EnvironmentSatisfaction]],PerfRate[[#This Row],[JobSatisfaction]],PerfRate[[#This Row],[RelationshipSatisfaction]])</f>
        <v>3.3333333333333335</v>
      </c>
      <c r="R3391" s="2">
        <f>PerfRate[[#This Row],[ManagerRating]] - PerfRate[[#This Row],[SelfRating]]</f>
        <v>-1</v>
      </c>
    </row>
    <row r="3392" spans="1:18">
      <c r="A3392" s="2" t="s">
        <v>7699</v>
      </c>
      <c r="B3392" s="2" t="s">
        <v>247</v>
      </c>
      <c r="C3392" s="1">
        <v>44080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  <c r="L3392" s="2" t="s">
        <v>11031</v>
      </c>
      <c r="M3392" s="2" t="s">
        <v>11030</v>
      </c>
      <c r="N3392" s="2" t="s">
        <v>11036</v>
      </c>
      <c r="O3392" s="2" t="s">
        <v>11035</v>
      </c>
      <c r="P3392" s="2" t="s">
        <v>11038</v>
      </c>
      <c r="Q3392" s="2">
        <f>AVERAGE(PerfRate[[#This Row],[EnvironmentSatisfaction]],PerfRate[[#This Row],[JobSatisfaction]],PerfRate[[#This Row],[RelationshipSatisfaction]])</f>
        <v>3.3333333333333335</v>
      </c>
      <c r="R3392" s="2">
        <f>PerfRate[[#This Row],[ManagerRating]] - PerfRate[[#This Row],[SelfRating]]</f>
        <v>-1</v>
      </c>
    </row>
    <row r="3393" spans="1:18">
      <c r="A3393" s="2" t="s">
        <v>7700</v>
      </c>
      <c r="B3393" s="2" t="s">
        <v>1096</v>
      </c>
      <c r="C3393" s="1">
        <v>44080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  <c r="L3393" s="2" t="s">
        <v>11031</v>
      </c>
      <c r="M3393" s="2" t="s">
        <v>11031</v>
      </c>
      <c r="N3393" s="2" t="s">
        <v>11037</v>
      </c>
      <c r="O3393" s="2" t="s">
        <v>11035</v>
      </c>
      <c r="P3393" s="2" t="s">
        <v>11037</v>
      </c>
      <c r="Q3393" s="2">
        <f>AVERAGE(PerfRate[[#This Row],[EnvironmentSatisfaction]],PerfRate[[#This Row],[JobSatisfaction]],PerfRate[[#This Row],[RelationshipSatisfaction]])</f>
        <v>3.3333333333333335</v>
      </c>
      <c r="R3393" s="2">
        <f>PerfRate[[#This Row],[ManagerRating]] - PerfRate[[#This Row],[SelfRating]]</f>
        <v>0</v>
      </c>
    </row>
    <row r="3394" spans="1:18">
      <c r="A3394" s="2" t="s">
        <v>7701</v>
      </c>
      <c r="B3394" s="2" t="s">
        <v>1747</v>
      </c>
      <c r="C3394" s="1">
        <v>44110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  <c r="L3394" s="2" t="s">
        <v>11029</v>
      </c>
      <c r="M3394" s="2" t="s">
        <v>11029</v>
      </c>
      <c r="N3394" s="2" t="s">
        <v>11038</v>
      </c>
      <c r="O3394" s="2" t="s">
        <v>11037</v>
      </c>
      <c r="P3394" s="2" t="s">
        <v>11038</v>
      </c>
      <c r="Q3394" s="2">
        <f>AVERAGE(PerfRate[[#This Row],[EnvironmentSatisfaction]],PerfRate[[#This Row],[JobSatisfaction]],PerfRate[[#This Row],[RelationshipSatisfaction]])</f>
        <v>4.666666666666667</v>
      </c>
      <c r="R3394" s="2">
        <f>PerfRate[[#This Row],[ManagerRating]] - PerfRate[[#This Row],[SelfRating]]</f>
        <v>0</v>
      </c>
    </row>
    <row r="3395" spans="1:18">
      <c r="A3395" s="2" t="s">
        <v>7702</v>
      </c>
      <c r="B3395" s="2" t="s">
        <v>1995</v>
      </c>
      <c r="C3395" s="1">
        <v>44141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  <c r="L3395" s="2" t="s">
        <v>11030</v>
      </c>
      <c r="M3395" s="2" t="s">
        <v>11030</v>
      </c>
      <c r="N3395" s="2" t="s">
        <v>11038</v>
      </c>
      <c r="O3395" s="2" t="s">
        <v>11035</v>
      </c>
      <c r="P3395" s="2" t="s">
        <v>11038</v>
      </c>
      <c r="Q3395" s="2">
        <f>AVERAGE(PerfRate[[#This Row],[EnvironmentSatisfaction]],PerfRate[[#This Row],[JobSatisfaction]],PerfRate[[#This Row],[RelationshipSatisfaction]])</f>
        <v>4</v>
      </c>
      <c r="R3395" s="2">
        <f>PerfRate[[#This Row],[ManagerRating]] - PerfRate[[#This Row],[SelfRating]]</f>
        <v>0</v>
      </c>
    </row>
    <row r="3396" spans="1:18">
      <c r="A3396" s="2" t="s">
        <v>7703</v>
      </c>
      <c r="B3396" s="2" t="s">
        <v>3829</v>
      </c>
      <c r="C3396" s="1">
        <v>44171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  <c r="L3396" s="2" t="s">
        <v>11029</v>
      </c>
      <c r="M3396" s="2" t="s">
        <v>11028</v>
      </c>
      <c r="N3396" s="2" t="s">
        <v>11037</v>
      </c>
      <c r="O3396" s="2" t="s">
        <v>11036</v>
      </c>
      <c r="P3396" s="2" t="s">
        <v>11036</v>
      </c>
      <c r="Q3396" s="2">
        <f>AVERAGE(PerfRate[[#This Row],[EnvironmentSatisfaction]],PerfRate[[#This Row],[JobSatisfaction]],PerfRate[[#This Row],[RelationshipSatisfaction]])</f>
        <v>3.3333333333333335</v>
      </c>
      <c r="R3396" s="2">
        <f>PerfRate[[#This Row],[ManagerRating]] - PerfRate[[#This Row],[SelfRating]]</f>
        <v>-1</v>
      </c>
    </row>
    <row r="3397" spans="1:18">
      <c r="A3397" s="2" t="s">
        <v>7704</v>
      </c>
      <c r="B3397" s="2" t="s">
        <v>3323</v>
      </c>
      <c r="C3397" s="1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  <c r="L3397" s="2" t="s">
        <v>11031</v>
      </c>
      <c r="M3397" s="2" t="s">
        <v>11031</v>
      </c>
      <c r="N3397" s="2" t="s">
        <v>11036</v>
      </c>
      <c r="O3397" s="2" t="s">
        <v>11036</v>
      </c>
      <c r="P3397" s="2" t="s">
        <v>11035</v>
      </c>
      <c r="Q3397" s="2">
        <f>AVERAGE(PerfRate[[#This Row],[EnvironmentSatisfaction]],PerfRate[[#This Row],[JobSatisfaction]],PerfRate[[#This Row],[RelationshipSatisfaction]])</f>
        <v>2.6666666666666665</v>
      </c>
      <c r="R3397" s="2">
        <f>PerfRate[[#This Row],[ManagerRating]] - PerfRate[[#This Row],[SelfRating]]</f>
        <v>0</v>
      </c>
    </row>
    <row r="3398" spans="1:18">
      <c r="A3398" s="2" t="s">
        <v>7705</v>
      </c>
      <c r="B3398" s="2" t="s">
        <v>3254</v>
      </c>
      <c r="C3398" s="1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  <c r="L3398" s="2" t="s">
        <v>11029</v>
      </c>
      <c r="M3398" s="2" t="s">
        <v>11028</v>
      </c>
      <c r="N3398" s="2" t="s">
        <v>11036</v>
      </c>
      <c r="O3398" s="2" t="s">
        <v>11038</v>
      </c>
      <c r="P3398" s="2" t="s">
        <v>11038</v>
      </c>
      <c r="Q3398" s="2">
        <f>AVERAGE(PerfRate[[#This Row],[EnvironmentSatisfaction]],PerfRate[[#This Row],[JobSatisfaction]],PerfRate[[#This Row],[RelationshipSatisfaction]])</f>
        <v>4.333333333333333</v>
      </c>
      <c r="R3398" s="2">
        <f>PerfRate[[#This Row],[ManagerRating]] - PerfRate[[#This Row],[SelfRating]]</f>
        <v>-1</v>
      </c>
    </row>
    <row r="3399" spans="1:18">
      <c r="A3399" s="2" t="s">
        <v>7706</v>
      </c>
      <c r="B3399" s="2" t="s">
        <v>440</v>
      </c>
      <c r="C3399" s="1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  <c r="L3399" s="2" t="s">
        <v>11029</v>
      </c>
      <c r="M3399" s="2" t="s">
        <v>11029</v>
      </c>
      <c r="N3399" s="2" t="s">
        <v>11037</v>
      </c>
      <c r="O3399" s="2" t="s">
        <v>11035</v>
      </c>
      <c r="P3399" s="2" t="s">
        <v>11037</v>
      </c>
      <c r="Q3399" s="2">
        <f>AVERAGE(PerfRate[[#This Row],[EnvironmentSatisfaction]],PerfRate[[#This Row],[JobSatisfaction]],PerfRate[[#This Row],[RelationshipSatisfaction]])</f>
        <v>3.3333333333333335</v>
      </c>
      <c r="R3399" s="2">
        <f>PerfRate[[#This Row],[ManagerRating]] - PerfRate[[#This Row],[SelfRating]]</f>
        <v>0</v>
      </c>
    </row>
    <row r="3400" spans="1:18">
      <c r="A3400" s="2" t="s">
        <v>7707</v>
      </c>
      <c r="B3400" s="2" t="s">
        <v>919</v>
      </c>
      <c r="C3400" s="1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  <c r="L3400" s="2" t="s">
        <v>11030</v>
      </c>
      <c r="M3400" s="2" t="s">
        <v>11029</v>
      </c>
      <c r="N3400" s="2" t="s">
        <v>11038</v>
      </c>
      <c r="O3400" s="2" t="s">
        <v>11035</v>
      </c>
      <c r="P3400" s="2" t="s">
        <v>11038</v>
      </c>
      <c r="Q3400" s="2">
        <f>AVERAGE(PerfRate[[#This Row],[EnvironmentSatisfaction]],PerfRate[[#This Row],[JobSatisfaction]],PerfRate[[#This Row],[RelationshipSatisfaction]])</f>
        <v>4</v>
      </c>
      <c r="R3400" s="2">
        <f>PerfRate[[#This Row],[ManagerRating]] - PerfRate[[#This Row],[SelfRating]]</f>
        <v>-1</v>
      </c>
    </row>
    <row r="3401" spans="1:18">
      <c r="A3401" s="2" t="s">
        <v>7708</v>
      </c>
      <c r="B3401" s="2" t="s">
        <v>1782</v>
      </c>
      <c r="C3401" s="1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  <c r="L3401" s="2" t="s">
        <v>11029</v>
      </c>
      <c r="M3401" s="2" t="s">
        <v>11028</v>
      </c>
      <c r="N3401" s="2" t="s">
        <v>11038</v>
      </c>
      <c r="O3401" s="2" t="s">
        <v>11037</v>
      </c>
      <c r="P3401" s="2" t="s">
        <v>11036</v>
      </c>
      <c r="Q3401" s="2">
        <f>AVERAGE(PerfRate[[#This Row],[EnvironmentSatisfaction]],PerfRate[[#This Row],[JobSatisfaction]],PerfRate[[#This Row],[RelationshipSatisfaction]])</f>
        <v>4</v>
      </c>
      <c r="R3401" s="2">
        <f>PerfRate[[#This Row],[ManagerRating]] - PerfRate[[#This Row],[SelfRating]]</f>
        <v>-1</v>
      </c>
    </row>
    <row r="3402" spans="1:18">
      <c r="A3402" s="2" t="s">
        <v>7709</v>
      </c>
      <c r="B3402" s="2" t="s">
        <v>2526</v>
      </c>
      <c r="C3402" s="1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  <c r="L3402" s="2" t="s">
        <v>11031</v>
      </c>
      <c r="M3402" s="2" t="s">
        <v>11030</v>
      </c>
      <c r="N3402" s="2" t="s">
        <v>11038</v>
      </c>
      <c r="O3402" s="2" t="s">
        <v>11038</v>
      </c>
      <c r="P3402" s="2" t="s">
        <v>11038</v>
      </c>
      <c r="Q3402" s="2">
        <f>AVERAGE(PerfRate[[#This Row],[EnvironmentSatisfaction]],PerfRate[[#This Row],[JobSatisfaction]],PerfRate[[#This Row],[RelationshipSatisfaction]])</f>
        <v>5</v>
      </c>
      <c r="R3402" s="2">
        <f>PerfRate[[#This Row],[ManagerRating]] - PerfRate[[#This Row],[SelfRating]]</f>
        <v>-1</v>
      </c>
    </row>
    <row r="3403" spans="1:18">
      <c r="A3403" s="2" t="s">
        <v>7710</v>
      </c>
      <c r="B3403" s="2" t="s">
        <v>1105</v>
      </c>
      <c r="C3403" s="1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  <c r="L3403" s="2" t="s">
        <v>11030</v>
      </c>
      <c r="M3403" s="2" t="s">
        <v>11030</v>
      </c>
      <c r="N3403" s="2" t="s">
        <v>11038</v>
      </c>
      <c r="O3403" s="2" t="s">
        <v>11037</v>
      </c>
      <c r="P3403" s="2" t="s">
        <v>11036</v>
      </c>
      <c r="Q3403" s="2">
        <f>AVERAGE(PerfRate[[#This Row],[EnvironmentSatisfaction]],PerfRate[[#This Row],[JobSatisfaction]],PerfRate[[#This Row],[RelationshipSatisfaction]])</f>
        <v>4</v>
      </c>
      <c r="R3403" s="2">
        <f>PerfRate[[#This Row],[ManagerRating]] - PerfRate[[#This Row],[SelfRating]]</f>
        <v>0</v>
      </c>
    </row>
    <row r="3404" spans="1:18">
      <c r="A3404" s="2" t="s">
        <v>7711</v>
      </c>
      <c r="B3404" s="2" t="s">
        <v>1865</v>
      </c>
      <c r="C3404" s="1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  <c r="L3404" s="2" t="s">
        <v>11029</v>
      </c>
      <c r="M3404" s="2" t="s">
        <v>11029</v>
      </c>
      <c r="N3404" s="2" t="s">
        <v>11037</v>
      </c>
      <c r="O3404" s="2" t="s">
        <v>11038</v>
      </c>
      <c r="P3404" s="2" t="s">
        <v>11035</v>
      </c>
      <c r="Q3404" s="2">
        <f>AVERAGE(PerfRate[[#This Row],[EnvironmentSatisfaction]],PerfRate[[#This Row],[JobSatisfaction]],PerfRate[[#This Row],[RelationshipSatisfaction]])</f>
        <v>3.6666666666666665</v>
      </c>
      <c r="R3404" s="2">
        <f>PerfRate[[#This Row],[ManagerRating]] - PerfRate[[#This Row],[SelfRating]]</f>
        <v>0</v>
      </c>
    </row>
    <row r="3405" spans="1:18">
      <c r="A3405" s="2" t="s">
        <v>7712</v>
      </c>
      <c r="B3405" s="2" t="s">
        <v>2254</v>
      </c>
      <c r="C3405" s="1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  <c r="L3405" s="2" t="s">
        <v>11030</v>
      </c>
      <c r="M3405" s="2" t="s">
        <v>11030</v>
      </c>
      <c r="N3405" s="2" t="s">
        <v>11036</v>
      </c>
      <c r="O3405" s="2" t="s">
        <v>11036</v>
      </c>
      <c r="P3405" s="2" t="s">
        <v>11037</v>
      </c>
      <c r="Q3405" s="2">
        <f>AVERAGE(PerfRate[[#This Row],[EnvironmentSatisfaction]],PerfRate[[#This Row],[JobSatisfaction]],PerfRate[[#This Row],[RelationshipSatisfaction]])</f>
        <v>3.3333333333333335</v>
      </c>
      <c r="R3405" s="2">
        <f>PerfRate[[#This Row],[ManagerRating]] - PerfRate[[#This Row],[SelfRating]]</f>
        <v>0</v>
      </c>
    </row>
    <row r="3406" spans="1:18">
      <c r="A3406" s="2" t="s">
        <v>7713</v>
      </c>
      <c r="B3406" s="2" t="s">
        <v>2483</v>
      </c>
      <c r="C3406" s="1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  <c r="L3406" s="2" t="s">
        <v>11029</v>
      </c>
      <c r="M3406" s="2" t="s">
        <v>11029</v>
      </c>
      <c r="N3406" s="2" t="s">
        <v>11038</v>
      </c>
      <c r="O3406" s="2" t="s">
        <v>11036</v>
      </c>
      <c r="P3406" s="2" t="s">
        <v>11036</v>
      </c>
      <c r="Q3406" s="2">
        <f>AVERAGE(PerfRate[[#This Row],[EnvironmentSatisfaction]],PerfRate[[#This Row],[JobSatisfaction]],PerfRate[[#This Row],[RelationshipSatisfaction]])</f>
        <v>3.6666666666666665</v>
      </c>
      <c r="R3406" s="2">
        <f>PerfRate[[#This Row],[ManagerRating]] - PerfRate[[#This Row],[SelfRating]]</f>
        <v>0</v>
      </c>
    </row>
    <row r="3407" spans="1:18">
      <c r="A3407" s="2" t="s">
        <v>7714</v>
      </c>
      <c r="B3407" s="2" t="s">
        <v>374</v>
      </c>
      <c r="C3407" s="1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  <c r="L3407" s="2" t="s">
        <v>11029</v>
      </c>
      <c r="M3407" s="2" t="s">
        <v>11029</v>
      </c>
      <c r="N3407" s="2" t="s">
        <v>11038</v>
      </c>
      <c r="O3407" s="2" t="s">
        <v>11038</v>
      </c>
      <c r="P3407" s="2" t="s">
        <v>11035</v>
      </c>
      <c r="Q3407" s="2">
        <f>AVERAGE(PerfRate[[#This Row],[EnvironmentSatisfaction]],PerfRate[[#This Row],[JobSatisfaction]],PerfRate[[#This Row],[RelationshipSatisfaction]])</f>
        <v>4</v>
      </c>
      <c r="R3407" s="2">
        <f>PerfRate[[#This Row],[ManagerRating]] - PerfRate[[#This Row],[SelfRating]]</f>
        <v>0</v>
      </c>
    </row>
    <row r="3408" spans="1:18">
      <c r="A3408" s="2" t="s">
        <v>7715</v>
      </c>
      <c r="B3408" s="2" t="s">
        <v>3611</v>
      </c>
      <c r="C3408" s="1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  <c r="L3408" s="2" t="s">
        <v>11029</v>
      </c>
      <c r="M3408" s="2" t="s">
        <v>11028</v>
      </c>
      <c r="N3408" s="2" t="s">
        <v>11038</v>
      </c>
      <c r="O3408" s="2" t="s">
        <v>11037</v>
      </c>
      <c r="P3408" s="2" t="s">
        <v>11036</v>
      </c>
      <c r="Q3408" s="2">
        <f>AVERAGE(PerfRate[[#This Row],[EnvironmentSatisfaction]],PerfRate[[#This Row],[JobSatisfaction]],PerfRate[[#This Row],[RelationshipSatisfaction]])</f>
        <v>4</v>
      </c>
      <c r="R3408" s="2">
        <f>PerfRate[[#This Row],[ManagerRating]] - PerfRate[[#This Row],[SelfRating]]</f>
        <v>-1</v>
      </c>
    </row>
    <row r="3409" spans="1:18">
      <c r="A3409" s="2" t="s">
        <v>7716</v>
      </c>
      <c r="B3409" s="2" t="s">
        <v>1076</v>
      </c>
      <c r="C3409" s="1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  <c r="L3409" s="2" t="s">
        <v>11029</v>
      </c>
      <c r="M3409" s="2" t="s">
        <v>11028</v>
      </c>
      <c r="N3409" s="2" t="s">
        <v>11036</v>
      </c>
      <c r="O3409" s="2" t="s">
        <v>11035</v>
      </c>
      <c r="P3409" s="2" t="s">
        <v>11038</v>
      </c>
      <c r="Q3409" s="2">
        <f>AVERAGE(PerfRate[[#This Row],[EnvironmentSatisfaction]],PerfRate[[#This Row],[JobSatisfaction]],PerfRate[[#This Row],[RelationshipSatisfaction]])</f>
        <v>3.3333333333333335</v>
      </c>
      <c r="R3409" s="2">
        <f>PerfRate[[#This Row],[ManagerRating]] - PerfRate[[#This Row],[SelfRating]]</f>
        <v>-1</v>
      </c>
    </row>
    <row r="3410" spans="1:18">
      <c r="A3410" s="2" t="s">
        <v>7717</v>
      </c>
      <c r="B3410" s="2" t="s">
        <v>344</v>
      </c>
      <c r="C3410" s="1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  <c r="L3410" s="2" t="s">
        <v>11029</v>
      </c>
      <c r="M3410" s="2" t="s">
        <v>11029</v>
      </c>
      <c r="N3410" s="2" t="s">
        <v>11036</v>
      </c>
      <c r="O3410" s="2" t="s">
        <v>11037</v>
      </c>
      <c r="P3410" s="2" t="s">
        <v>11037</v>
      </c>
      <c r="Q3410" s="2">
        <f>AVERAGE(PerfRate[[#This Row],[EnvironmentSatisfaction]],PerfRate[[#This Row],[JobSatisfaction]],PerfRate[[#This Row],[RelationshipSatisfaction]])</f>
        <v>3.6666666666666665</v>
      </c>
      <c r="R3410" s="2">
        <f>PerfRate[[#This Row],[ManagerRating]] - PerfRate[[#This Row],[SelfRating]]</f>
        <v>0</v>
      </c>
    </row>
    <row r="3411" spans="1:18">
      <c r="A3411" s="2" t="s">
        <v>7718</v>
      </c>
      <c r="B3411" s="2" t="s">
        <v>732</v>
      </c>
      <c r="C3411" s="1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  <c r="L3411" s="2" t="s">
        <v>11030</v>
      </c>
      <c r="M3411" s="2" t="s">
        <v>11030</v>
      </c>
      <c r="N3411" s="2" t="s">
        <v>11036</v>
      </c>
      <c r="O3411" s="2" t="s">
        <v>11038</v>
      </c>
      <c r="P3411" s="2" t="s">
        <v>11038</v>
      </c>
      <c r="Q3411" s="2">
        <f>AVERAGE(PerfRate[[#This Row],[EnvironmentSatisfaction]],PerfRate[[#This Row],[JobSatisfaction]],PerfRate[[#This Row],[RelationshipSatisfaction]])</f>
        <v>4.333333333333333</v>
      </c>
      <c r="R3411" s="2">
        <f>PerfRate[[#This Row],[ManagerRating]] - PerfRate[[#This Row],[SelfRating]]</f>
        <v>0</v>
      </c>
    </row>
    <row r="3412" spans="1:18">
      <c r="A3412" s="2" t="s">
        <v>7719</v>
      </c>
      <c r="B3412" s="2" t="s">
        <v>1033</v>
      </c>
      <c r="C3412" s="1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  <c r="L3412" s="2" t="s">
        <v>11031</v>
      </c>
      <c r="M3412" s="2" t="s">
        <v>11031</v>
      </c>
      <c r="N3412" s="2" t="s">
        <v>11038</v>
      </c>
      <c r="O3412" s="2" t="s">
        <v>11036</v>
      </c>
      <c r="P3412" s="2" t="s">
        <v>11037</v>
      </c>
      <c r="Q3412" s="2">
        <f>AVERAGE(PerfRate[[#This Row],[EnvironmentSatisfaction]],PerfRate[[#This Row],[JobSatisfaction]],PerfRate[[#This Row],[RelationshipSatisfaction]])</f>
        <v>4</v>
      </c>
      <c r="R3412" s="2">
        <f>PerfRate[[#This Row],[ManagerRating]] - PerfRate[[#This Row],[SelfRating]]</f>
        <v>0</v>
      </c>
    </row>
    <row r="3413" spans="1:18">
      <c r="A3413" s="2" t="s">
        <v>7720</v>
      </c>
      <c r="B3413" s="2" t="s">
        <v>1871</v>
      </c>
      <c r="C3413" s="1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  <c r="L3413" s="2" t="s">
        <v>11029</v>
      </c>
      <c r="M3413" s="2" t="s">
        <v>11029</v>
      </c>
      <c r="N3413" s="2" t="s">
        <v>11036</v>
      </c>
      <c r="O3413" s="2" t="s">
        <v>11035</v>
      </c>
      <c r="P3413" s="2" t="s">
        <v>11037</v>
      </c>
      <c r="Q3413" s="2">
        <f>AVERAGE(PerfRate[[#This Row],[EnvironmentSatisfaction]],PerfRate[[#This Row],[JobSatisfaction]],PerfRate[[#This Row],[RelationshipSatisfaction]])</f>
        <v>3</v>
      </c>
      <c r="R3413" s="2">
        <f>PerfRate[[#This Row],[ManagerRating]] - PerfRate[[#This Row],[SelfRating]]</f>
        <v>0</v>
      </c>
    </row>
    <row r="3414" spans="1:18">
      <c r="A3414" s="2" t="s">
        <v>7721</v>
      </c>
      <c r="B3414" s="2" t="s">
        <v>1788</v>
      </c>
      <c r="C3414" s="1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  <c r="L3414" s="2" t="s">
        <v>11031</v>
      </c>
      <c r="M3414" s="2" t="s">
        <v>11030</v>
      </c>
      <c r="N3414" s="2" t="s">
        <v>11036</v>
      </c>
      <c r="O3414" s="2" t="s">
        <v>11038</v>
      </c>
      <c r="P3414" s="2" t="s">
        <v>11036</v>
      </c>
      <c r="Q3414" s="2">
        <f>AVERAGE(PerfRate[[#This Row],[EnvironmentSatisfaction]],PerfRate[[#This Row],[JobSatisfaction]],PerfRate[[#This Row],[RelationshipSatisfaction]])</f>
        <v>3.6666666666666665</v>
      </c>
      <c r="R3414" s="2">
        <f>PerfRate[[#This Row],[ManagerRating]] - PerfRate[[#This Row],[SelfRating]]</f>
        <v>-1</v>
      </c>
    </row>
    <row r="3415" spans="1:18">
      <c r="A3415" s="2" t="s">
        <v>7722</v>
      </c>
      <c r="B3415" s="2" t="s">
        <v>2557</v>
      </c>
      <c r="C3415" s="1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  <c r="L3415" s="2" t="s">
        <v>11030</v>
      </c>
      <c r="M3415" s="2" t="s">
        <v>11030</v>
      </c>
      <c r="N3415" s="2" t="s">
        <v>11038</v>
      </c>
      <c r="O3415" s="2" t="s">
        <v>11038</v>
      </c>
      <c r="P3415" s="2" t="s">
        <v>11035</v>
      </c>
      <c r="Q3415" s="2">
        <f>AVERAGE(PerfRate[[#This Row],[EnvironmentSatisfaction]],PerfRate[[#This Row],[JobSatisfaction]],PerfRate[[#This Row],[RelationshipSatisfaction]])</f>
        <v>4</v>
      </c>
      <c r="R3415" s="2">
        <f>PerfRate[[#This Row],[ManagerRating]] - PerfRate[[#This Row],[SelfRating]]</f>
        <v>0</v>
      </c>
    </row>
    <row r="3416" spans="1:18">
      <c r="A3416" s="2" t="s">
        <v>7723</v>
      </c>
      <c r="B3416" s="2" t="s">
        <v>2210</v>
      </c>
      <c r="C3416" s="1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  <c r="L3416" s="2" t="s">
        <v>11030</v>
      </c>
      <c r="M3416" s="2" t="s">
        <v>11029</v>
      </c>
      <c r="N3416" s="2" t="s">
        <v>11036</v>
      </c>
      <c r="O3416" s="2" t="s">
        <v>11036</v>
      </c>
      <c r="P3416" s="2" t="s">
        <v>11035</v>
      </c>
      <c r="Q3416" s="2">
        <f>AVERAGE(PerfRate[[#This Row],[EnvironmentSatisfaction]],PerfRate[[#This Row],[JobSatisfaction]],PerfRate[[#This Row],[RelationshipSatisfaction]])</f>
        <v>2.6666666666666665</v>
      </c>
      <c r="R3416" s="2">
        <f>PerfRate[[#This Row],[ManagerRating]] - PerfRate[[#This Row],[SelfRating]]</f>
        <v>-1</v>
      </c>
    </row>
    <row r="3417" spans="1:18">
      <c r="A3417" s="2" t="s">
        <v>7724</v>
      </c>
      <c r="B3417" s="2" t="s">
        <v>293</v>
      </c>
      <c r="C3417" s="1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  <c r="L3417" s="2" t="s">
        <v>11029</v>
      </c>
      <c r="M3417" s="2" t="s">
        <v>11028</v>
      </c>
      <c r="N3417" s="2" t="s">
        <v>11038</v>
      </c>
      <c r="O3417" s="2" t="s">
        <v>11037</v>
      </c>
      <c r="P3417" s="2" t="s">
        <v>11035</v>
      </c>
      <c r="Q3417" s="2">
        <f>AVERAGE(PerfRate[[#This Row],[EnvironmentSatisfaction]],PerfRate[[#This Row],[JobSatisfaction]],PerfRate[[#This Row],[RelationshipSatisfaction]])</f>
        <v>3.6666666666666665</v>
      </c>
      <c r="R3417" s="2">
        <f>PerfRate[[#This Row],[ManagerRating]] - PerfRate[[#This Row],[SelfRating]]</f>
        <v>-1</v>
      </c>
    </row>
    <row r="3418" spans="1:18">
      <c r="A3418" s="2" t="s">
        <v>7725</v>
      </c>
      <c r="B3418" s="2" t="s">
        <v>931</v>
      </c>
      <c r="C3418" s="1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  <c r="L3418" s="2" t="s">
        <v>11029</v>
      </c>
      <c r="M3418" s="2" t="s">
        <v>11029</v>
      </c>
      <c r="N3418" s="2" t="s">
        <v>11037</v>
      </c>
      <c r="O3418" s="2" t="s">
        <v>11035</v>
      </c>
      <c r="P3418" s="2" t="s">
        <v>11038</v>
      </c>
      <c r="Q3418" s="2">
        <f>AVERAGE(PerfRate[[#This Row],[EnvironmentSatisfaction]],PerfRate[[#This Row],[JobSatisfaction]],PerfRate[[#This Row],[RelationshipSatisfaction]])</f>
        <v>3.6666666666666665</v>
      </c>
      <c r="R3418" s="2">
        <f>PerfRate[[#This Row],[ManagerRating]] - PerfRate[[#This Row],[SelfRating]]</f>
        <v>0</v>
      </c>
    </row>
    <row r="3419" spans="1:18">
      <c r="A3419" s="2" t="s">
        <v>7726</v>
      </c>
      <c r="B3419" s="2" t="s">
        <v>2843</v>
      </c>
      <c r="C3419" s="1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  <c r="L3419" s="2" t="s">
        <v>11031</v>
      </c>
      <c r="M3419" s="2" t="s">
        <v>11031</v>
      </c>
      <c r="N3419" s="2" t="s">
        <v>11037</v>
      </c>
      <c r="O3419" s="2" t="s">
        <v>11035</v>
      </c>
      <c r="P3419" s="2" t="s">
        <v>11035</v>
      </c>
      <c r="Q3419" s="2">
        <f>AVERAGE(PerfRate[[#This Row],[EnvironmentSatisfaction]],PerfRate[[#This Row],[JobSatisfaction]],PerfRate[[#This Row],[RelationshipSatisfaction]])</f>
        <v>2.6666666666666665</v>
      </c>
      <c r="R3419" s="2">
        <f>PerfRate[[#This Row],[ManagerRating]] - PerfRate[[#This Row],[SelfRating]]</f>
        <v>0</v>
      </c>
    </row>
    <row r="3420" spans="1:18">
      <c r="A3420" s="2" t="s">
        <v>7727</v>
      </c>
      <c r="B3420" s="2" t="s">
        <v>1315</v>
      </c>
      <c r="C3420" s="1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  <c r="L3420" s="2" t="s">
        <v>11029</v>
      </c>
      <c r="M3420" s="2" t="s">
        <v>11029</v>
      </c>
      <c r="N3420" s="2" t="s">
        <v>11036</v>
      </c>
      <c r="O3420" s="2" t="s">
        <v>11035</v>
      </c>
      <c r="P3420" s="2" t="s">
        <v>11035</v>
      </c>
      <c r="Q3420" s="2">
        <f>AVERAGE(PerfRate[[#This Row],[EnvironmentSatisfaction]],PerfRate[[#This Row],[JobSatisfaction]],PerfRate[[#This Row],[RelationshipSatisfaction]])</f>
        <v>2.3333333333333335</v>
      </c>
      <c r="R3420" s="2">
        <f>PerfRate[[#This Row],[ManagerRating]] - PerfRate[[#This Row],[SelfRating]]</f>
        <v>0</v>
      </c>
    </row>
    <row r="3421" spans="1:18">
      <c r="A3421" s="2" t="s">
        <v>7728</v>
      </c>
      <c r="B3421" s="2" t="s">
        <v>2672</v>
      </c>
      <c r="C3421" s="1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  <c r="L3421" s="2" t="s">
        <v>11030</v>
      </c>
      <c r="M3421" s="2" t="s">
        <v>11030</v>
      </c>
      <c r="N3421" s="2" t="s">
        <v>11037</v>
      </c>
      <c r="O3421" s="2" t="s">
        <v>11038</v>
      </c>
      <c r="P3421" s="2" t="s">
        <v>11036</v>
      </c>
      <c r="Q3421" s="2">
        <f>AVERAGE(PerfRate[[#This Row],[EnvironmentSatisfaction]],PerfRate[[#This Row],[JobSatisfaction]],PerfRate[[#This Row],[RelationshipSatisfaction]])</f>
        <v>4</v>
      </c>
      <c r="R3421" s="2">
        <f>PerfRate[[#This Row],[ManagerRating]] - PerfRate[[#This Row],[SelfRating]]</f>
        <v>0</v>
      </c>
    </row>
    <row r="3422" spans="1:18">
      <c r="A3422" s="2" t="s">
        <v>7729</v>
      </c>
      <c r="B3422" s="2" t="s">
        <v>217</v>
      </c>
      <c r="C3422" s="1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  <c r="L3422" s="2" t="s">
        <v>11029</v>
      </c>
      <c r="M3422" s="2" t="s">
        <v>11028</v>
      </c>
      <c r="N3422" s="2" t="s">
        <v>11036</v>
      </c>
      <c r="O3422" s="2" t="s">
        <v>11036</v>
      </c>
      <c r="P3422" s="2" t="s">
        <v>11036</v>
      </c>
      <c r="Q3422" s="2">
        <f>AVERAGE(PerfRate[[#This Row],[EnvironmentSatisfaction]],PerfRate[[#This Row],[JobSatisfaction]],PerfRate[[#This Row],[RelationshipSatisfaction]])</f>
        <v>3</v>
      </c>
      <c r="R3422" s="2">
        <f>PerfRate[[#This Row],[ManagerRating]] - PerfRate[[#This Row],[SelfRating]]</f>
        <v>-1</v>
      </c>
    </row>
    <row r="3423" spans="1:18">
      <c r="A3423" s="2" t="s">
        <v>7730</v>
      </c>
      <c r="B3423" s="2" t="s">
        <v>195</v>
      </c>
      <c r="C3423" s="1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  <c r="L3423" s="2" t="s">
        <v>11029</v>
      </c>
      <c r="M3423" s="2" t="s">
        <v>11029</v>
      </c>
      <c r="N3423" s="2" t="s">
        <v>11037</v>
      </c>
      <c r="O3423" s="2" t="s">
        <v>11035</v>
      </c>
      <c r="P3423" s="2" t="s">
        <v>11038</v>
      </c>
      <c r="Q3423" s="2">
        <f>AVERAGE(PerfRate[[#This Row],[EnvironmentSatisfaction]],PerfRate[[#This Row],[JobSatisfaction]],PerfRate[[#This Row],[RelationshipSatisfaction]])</f>
        <v>3.6666666666666665</v>
      </c>
      <c r="R3423" s="2">
        <f>PerfRate[[#This Row],[ManagerRating]] - PerfRate[[#This Row],[SelfRating]]</f>
        <v>0</v>
      </c>
    </row>
    <row r="3424" spans="1:18">
      <c r="A3424" s="2" t="s">
        <v>7731</v>
      </c>
      <c r="B3424" s="2" t="s">
        <v>2578</v>
      </c>
      <c r="C3424" s="1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  <c r="L3424" s="2" t="s">
        <v>11029</v>
      </c>
      <c r="M3424" s="2" t="s">
        <v>11028</v>
      </c>
      <c r="N3424" s="2" t="s">
        <v>11036</v>
      </c>
      <c r="O3424" s="2" t="s">
        <v>11037</v>
      </c>
      <c r="P3424" s="2" t="s">
        <v>11037</v>
      </c>
      <c r="Q3424" s="2">
        <f>AVERAGE(PerfRate[[#This Row],[EnvironmentSatisfaction]],PerfRate[[#This Row],[JobSatisfaction]],PerfRate[[#This Row],[RelationshipSatisfaction]])</f>
        <v>3.6666666666666665</v>
      </c>
      <c r="R3424" s="2">
        <f>PerfRate[[#This Row],[ManagerRating]] - PerfRate[[#This Row],[SelfRating]]</f>
        <v>-1</v>
      </c>
    </row>
    <row r="3425" spans="1:18">
      <c r="A3425" s="2" t="s">
        <v>7732</v>
      </c>
      <c r="B3425" s="2" t="s">
        <v>487</v>
      </c>
      <c r="C3425" s="1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  <c r="L3425" s="2" t="s">
        <v>11031</v>
      </c>
      <c r="M3425" s="2" t="s">
        <v>11031</v>
      </c>
      <c r="N3425" s="2" t="s">
        <v>11036</v>
      </c>
      <c r="O3425" s="2" t="s">
        <v>11035</v>
      </c>
      <c r="P3425" s="2" t="s">
        <v>11038</v>
      </c>
      <c r="Q3425" s="2">
        <f>AVERAGE(PerfRate[[#This Row],[EnvironmentSatisfaction]],PerfRate[[#This Row],[JobSatisfaction]],PerfRate[[#This Row],[RelationshipSatisfaction]])</f>
        <v>3.3333333333333335</v>
      </c>
      <c r="R3425" s="2">
        <f>PerfRate[[#This Row],[ManagerRating]] - PerfRate[[#This Row],[SelfRating]]</f>
        <v>0</v>
      </c>
    </row>
    <row r="3426" spans="1:18">
      <c r="A3426" s="2" t="s">
        <v>7733</v>
      </c>
      <c r="B3426" s="2" t="s">
        <v>329</v>
      </c>
      <c r="C3426" s="1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  <c r="L3426" s="2" t="s">
        <v>11029</v>
      </c>
      <c r="M3426" s="2" t="s">
        <v>11028</v>
      </c>
      <c r="N3426" s="2" t="s">
        <v>11036</v>
      </c>
      <c r="O3426" s="2" t="s">
        <v>11038</v>
      </c>
      <c r="P3426" s="2" t="s">
        <v>11036</v>
      </c>
      <c r="Q3426" s="2">
        <f>AVERAGE(PerfRate[[#This Row],[EnvironmentSatisfaction]],PerfRate[[#This Row],[JobSatisfaction]],PerfRate[[#This Row],[RelationshipSatisfaction]])</f>
        <v>3.6666666666666665</v>
      </c>
      <c r="R3426" s="2">
        <f>PerfRate[[#This Row],[ManagerRating]] - PerfRate[[#This Row],[SelfRating]]</f>
        <v>-1</v>
      </c>
    </row>
    <row r="3427" spans="1:18">
      <c r="A3427" s="2" t="s">
        <v>7734</v>
      </c>
      <c r="B3427" s="2" t="s">
        <v>1079</v>
      </c>
      <c r="C3427" s="1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  <c r="L3427" s="2" t="s">
        <v>11031</v>
      </c>
      <c r="M3427" s="2" t="s">
        <v>11031</v>
      </c>
      <c r="N3427" s="2" t="s">
        <v>11037</v>
      </c>
      <c r="O3427" s="2" t="s">
        <v>11037</v>
      </c>
      <c r="P3427" s="2" t="s">
        <v>11035</v>
      </c>
      <c r="Q3427" s="2">
        <f>AVERAGE(PerfRate[[#This Row],[EnvironmentSatisfaction]],PerfRate[[#This Row],[JobSatisfaction]],PerfRate[[#This Row],[RelationshipSatisfaction]])</f>
        <v>3.3333333333333335</v>
      </c>
      <c r="R3427" s="2">
        <f>PerfRate[[#This Row],[ManagerRating]] - PerfRate[[#This Row],[SelfRating]]</f>
        <v>0</v>
      </c>
    </row>
    <row r="3428" spans="1:18">
      <c r="A3428" s="2" t="s">
        <v>7735</v>
      </c>
      <c r="B3428" s="2" t="s">
        <v>1099</v>
      </c>
      <c r="C3428" s="1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  <c r="L3428" s="2" t="s">
        <v>11029</v>
      </c>
      <c r="M3428" s="2" t="s">
        <v>11028</v>
      </c>
      <c r="N3428" s="2" t="s">
        <v>11038</v>
      </c>
      <c r="O3428" s="2" t="s">
        <v>11036</v>
      </c>
      <c r="P3428" s="2" t="s">
        <v>11038</v>
      </c>
      <c r="Q3428" s="2">
        <f>AVERAGE(PerfRate[[#This Row],[EnvironmentSatisfaction]],PerfRate[[#This Row],[JobSatisfaction]],PerfRate[[#This Row],[RelationshipSatisfaction]])</f>
        <v>4.333333333333333</v>
      </c>
      <c r="R3428" s="2">
        <f>PerfRate[[#This Row],[ManagerRating]] - PerfRate[[#This Row],[SelfRating]]</f>
        <v>-1</v>
      </c>
    </row>
    <row r="3429" spans="1:18">
      <c r="A3429" s="2" t="s">
        <v>7736</v>
      </c>
      <c r="B3429" s="2" t="s">
        <v>434</v>
      </c>
      <c r="C3429" s="1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  <c r="L3429" s="2" t="s">
        <v>11030</v>
      </c>
      <c r="M3429" s="2" t="s">
        <v>11030</v>
      </c>
      <c r="N3429" s="2" t="s">
        <v>11035</v>
      </c>
      <c r="O3429" s="2" t="s">
        <v>11034</v>
      </c>
      <c r="P3429" s="2" t="s">
        <v>11034</v>
      </c>
      <c r="Q3429" s="2">
        <f>AVERAGE(PerfRate[[#This Row],[EnvironmentSatisfaction]],PerfRate[[#This Row],[JobSatisfaction]],PerfRate[[#This Row],[RelationshipSatisfaction]])</f>
        <v>1.3333333333333333</v>
      </c>
      <c r="R3429" s="2">
        <f>PerfRate[[#This Row],[ManagerRating]] - PerfRate[[#This Row],[SelfRating]]</f>
        <v>0</v>
      </c>
    </row>
    <row r="3430" spans="1:18">
      <c r="A3430" s="2" t="s">
        <v>7737</v>
      </c>
      <c r="B3430" s="2" t="s">
        <v>955</v>
      </c>
      <c r="C3430" s="1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  <c r="L3430" s="2" t="s">
        <v>11031</v>
      </c>
      <c r="M3430" s="2" t="s">
        <v>11031</v>
      </c>
      <c r="N3430" s="2" t="s">
        <v>11036</v>
      </c>
      <c r="O3430" s="2" t="s">
        <v>11035</v>
      </c>
      <c r="P3430" s="2" t="s">
        <v>11036</v>
      </c>
      <c r="Q3430" s="2">
        <f>AVERAGE(PerfRate[[#This Row],[EnvironmentSatisfaction]],PerfRate[[#This Row],[JobSatisfaction]],PerfRate[[#This Row],[RelationshipSatisfaction]])</f>
        <v>2.6666666666666665</v>
      </c>
      <c r="R3430" s="2">
        <f>PerfRate[[#This Row],[ManagerRating]] - PerfRate[[#This Row],[SelfRating]]</f>
        <v>0</v>
      </c>
    </row>
    <row r="3431" spans="1:18">
      <c r="A3431" s="2" t="s">
        <v>7738</v>
      </c>
      <c r="B3431" s="2" t="s">
        <v>1494</v>
      </c>
      <c r="C3431" s="1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  <c r="L3431" s="2" t="s">
        <v>11031</v>
      </c>
      <c r="M3431" s="2" t="s">
        <v>11031</v>
      </c>
      <c r="N3431" s="2" t="s">
        <v>11034</v>
      </c>
      <c r="O3431" s="2" t="s">
        <v>11035</v>
      </c>
      <c r="P3431" s="2" t="s">
        <v>11035</v>
      </c>
      <c r="Q3431" s="2">
        <f>AVERAGE(PerfRate[[#This Row],[EnvironmentSatisfaction]],PerfRate[[#This Row],[JobSatisfaction]],PerfRate[[#This Row],[RelationshipSatisfaction]])</f>
        <v>1.6666666666666667</v>
      </c>
      <c r="R3431" s="2">
        <f>PerfRate[[#This Row],[ManagerRating]] - PerfRate[[#This Row],[SelfRating]]</f>
        <v>0</v>
      </c>
    </row>
    <row r="3432" spans="1:18">
      <c r="A3432" s="2" t="s">
        <v>7739</v>
      </c>
      <c r="B3432" s="2" t="s">
        <v>2329</v>
      </c>
      <c r="C3432" s="1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  <c r="L3432" s="2" t="s">
        <v>11029</v>
      </c>
      <c r="M3432" s="2" t="s">
        <v>11029</v>
      </c>
      <c r="N3432" s="2" t="s">
        <v>11034</v>
      </c>
      <c r="O3432" s="2" t="s">
        <v>11035</v>
      </c>
      <c r="P3432" s="2" t="s">
        <v>11037</v>
      </c>
      <c r="Q3432" s="2">
        <f>AVERAGE(PerfRate[[#This Row],[EnvironmentSatisfaction]],PerfRate[[#This Row],[JobSatisfaction]],PerfRate[[#This Row],[RelationshipSatisfaction]])</f>
        <v>2.3333333333333335</v>
      </c>
      <c r="R3432" s="2">
        <f>PerfRate[[#This Row],[ManagerRating]] - PerfRate[[#This Row],[SelfRating]]</f>
        <v>0</v>
      </c>
    </row>
    <row r="3433" spans="1:18">
      <c r="A3433" s="2" t="s">
        <v>7740</v>
      </c>
      <c r="B3433" s="2" t="s">
        <v>1447</v>
      </c>
      <c r="C3433" s="1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  <c r="L3433" s="2" t="s">
        <v>11031</v>
      </c>
      <c r="M3433" s="2" t="s">
        <v>11030</v>
      </c>
      <c r="N3433" s="2" t="s">
        <v>11035</v>
      </c>
      <c r="O3433" s="2" t="s">
        <v>11036</v>
      </c>
      <c r="P3433" s="2" t="s">
        <v>11037</v>
      </c>
      <c r="Q3433" s="2">
        <f>AVERAGE(PerfRate[[#This Row],[EnvironmentSatisfaction]],PerfRate[[#This Row],[JobSatisfaction]],PerfRate[[#This Row],[RelationshipSatisfaction]])</f>
        <v>3</v>
      </c>
      <c r="R3433" s="2">
        <f>PerfRate[[#This Row],[ManagerRating]] - PerfRate[[#This Row],[SelfRating]]</f>
        <v>-1</v>
      </c>
    </row>
    <row r="3434" spans="1:18">
      <c r="A3434" s="2" t="s">
        <v>7741</v>
      </c>
      <c r="B3434" s="2" t="s">
        <v>2638</v>
      </c>
      <c r="C3434" s="1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  <c r="L3434" s="2" t="s">
        <v>11029</v>
      </c>
      <c r="M3434" s="2" t="s">
        <v>11029</v>
      </c>
      <c r="N3434" s="2" t="s">
        <v>11036</v>
      </c>
      <c r="O3434" s="2" t="s">
        <v>11037</v>
      </c>
      <c r="P3434" s="2" t="s">
        <v>11037</v>
      </c>
      <c r="Q3434" s="2">
        <f>AVERAGE(PerfRate[[#This Row],[EnvironmentSatisfaction]],PerfRate[[#This Row],[JobSatisfaction]],PerfRate[[#This Row],[RelationshipSatisfaction]])</f>
        <v>3.6666666666666665</v>
      </c>
      <c r="R3434" s="2">
        <f>PerfRate[[#This Row],[ManagerRating]] - PerfRate[[#This Row],[SelfRating]]</f>
        <v>0</v>
      </c>
    </row>
    <row r="3435" spans="1:18">
      <c r="A3435" s="2" t="s">
        <v>7742</v>
      </c>
      <c r="B3435" s="2" t="s">
        <v>443</v>
      </c>
      <c r="C3435" s="1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  <c r="L3435" s="2" t="s">
        <v>11030</v>
      </c>
      <c r="M3435" s="2" t="s">
        <v>11030</v>
      </c>
      <c r="N3435" s="2" t="s">
        <v>11035</v>
      </c>
      <c r="O3435" s="2" t="s">
        <v>11035</v>
      </c>
      <c r="P3435" s="2" t="s">
        <v>11036</v>
      </c>
      <c r="Q3435" s="2">
        <f>AVERAGE(PerfRate[[#This Row],[EnvironmentSatisfaction]],PerfRate[[#This Row],[JobSatisfaction]],PerfRate[[#This Row],[RelationshipSatisfaction]])</f>
        <v>2.3333333333333335</v>
      </c>
      <c r="R3435" s="2">
        <f>PerfRate[[#This Row],[ManagerRating]] - PerfRate[[#This Row],[SelfRating]]</f>
        <v>0</v>
      </c>
    </row>
    <row r="3436" spans="1:18">
      <c r="A3436" s="2" t="s">
        <v>7743</v>
      </c>
      <c r="B3436" s="2" t="s">
        <v>332</v>
      </c>
      <c r="C3436" s="1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  <c r="L3436" s="2" t="s">
        <v>11031</v>
      </c>
      <c r="M3436" s="2" t="s">
        <v>11031</v>
      </c>
      <c r="N3436" s="2" t="s">
        <v>11036</v>
      </c>
      <c r="O3436" s="2" t="s">
        <v>11035</v>
      </c>
      <c r="P3436" s="2" t="s">
        <v>11035</v>
      </c>
      <c r="Q3436" s="2">
        <f>AVERAGE(PerfRate[[#This Row],[EnvironmentSatisfaction]],PerfRate[[#This Row],[JobSatisfaction]],PerfRate[[#This Row],[RelationshipSatisfaction]])</f>
        <v>2.3333333333333335</v>
      </c>
      <c r="R3436" s="2">
        <f>PerfRate[[#This Row],[ManagerRating]] - PerfRate[[#This Row],[SelfRating]]</f>
        <v>0</v>
      </c>
    </row>
    <row r="3437" spans="1:18">
      <c r="A3437" s="2" t="s">
        <v>7744</v>
      </c>
      <c r="B3437" s="2" t="s">
        <v>565</v>
      </c>
      <c r="C3437" s="1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  <c r="L3437" s="2" t="s">
        <v>11031</v>
      </c>
      <c r="M3437" s="2" t="s">
        <v>11031</v>
      </c>
      <c r="N3437" s="2" t="s">
        <v>11038</v>
      </c>
      <c r="O3437" s="2" t="s">
        <v>11038</v>
      </c>
      <c r="P3437" s="2" t="s">
        <v>11035</v>
      </c>
      <c r="Q3437" s="2">
        <f>AVERAGE(PerfRate[[#This Row],[EnvironmentSatisfaction]],PerfRate[[#This Row],[JobSatisfaction]],PerfRate[[#This Row],[RelationshipSatisfaction]])</f>
        <v>4</v>
      </c>
      <c r="R3437" s="2">
        <f>PerfRate[[#This Row],[ManagerRating]] - PerfRate[[#This Row],[SelfRating]]</f>
        <v>0</v>
      </c>
    </row>
    <row r="3438" spans="1:18">
      <c r="A3438" s="2" t="s">
        <v>7745</v>
      </c>
      <c r="B3438" s="2" t="s">
        <v>1756</v>
      </c>
      <c r="C3438" s="1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  <c r="L3438" s="2" t="s">
        <v>11031</v>
      </c>
      <c r="M3438" s="2" t="s">
        <v>11031</v>
      </c>
      <c r="N3438" s="2" t="s">
        <v>11036</v>
      </c>
      <c r="O3438" s="2" t="s">
        <v>11038</v>
      </c>
      <c r="P3438" s="2" t="s">
        <v>11037</v>
      </c>
      <c r="Q3438" s="2">
        <f>AVERAGE(PerfRate[[#This Row],[EnvironmentSatisfaction]],PerfRate[[#This Row],[JobSatisfaction]],PerfRate[[#This Row],[RelationshipSatisfaction]])</f>
        <v>4</v>
      </c>
      <c r="R3438" s="2">
        <f>PerfRate[[#This Row],[ManagerRating]] - PerfRate[[#This Row],[SelfRating]]</f>
        <v>0</v>
      </c>
    </row>
    <row r="3439" spans="1:18">
      <c r="A3439" s="2" t="s">
        <v>7746</v>
      </c>
      <c r="B3439" s="2" t="s">
        <v>2290</v>
      </c>
      <c r="C3439" s="1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  <c r="L3439" s="2" t="s">
        <v>11029</v>
      </c>
      <c r="M3439" s="2" t="s">
        <v>11029</v>
      </c>
      <c r="N3439" s="2" t="s">
        <v>11038</v>
      </c>
      <c r="O3439" s="2" t="s">
        <v>11036</v>
      </c>
      <c r="P3439" s="2" t="s">
        <v>11035</v>
      </c>
      <c r="Q3439" s="2">
        <f>AVERAGE(PerfRate[[#This Row],[EnvironmentSatisfaction]],PerfRate[[#This Row],[JobSatisfaction]],PerfRate[[#This Row],[RelationshipSatisfaction]])</f>
        <v>3.3333333333333335</v>
      </c>
      <c r="R3439" s="2">
        <f>PerfRate[[#This Row],[ManagerRating]] - PerfRate[[#This Row],[SelfRating]]</f>
        <v>0</v>
      </c>
    </row>
    <row r="3440" spans="1:18">
      <c r="A3440" s="2" t="s">
        <v>7747</v>
      </c>
      <c r="B3440" s="2" t="s">
        <v>201</v>
      </c>
      <c r="C3440" s="1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  <c r="L3440" s="2" t="s">
        <v>11029</v>
      </c>
      <c r="M3440" s="2" t="s">
        <v>11029</v>
      </c>
      <c r="N3440" s="2" t="s">
        <v>11036</v>
      </c>
      <c r="O3440" s="2" t="s">
        <v>11036</v>
      </c>
      <c r="P3440" s="2" t="s">
        <v>11037</v>
      </c>
      <c r="Q3440" s="2">
        <f>AVERAGE(PerfRate[[#This Row],[EnvironmentSatisfaction]],PerfRate[[#This Row],[JobSatisfaction]],PerfRate[[#This Row],[RelationshipSatisfaction]])</f>
        <v>3.3333333333333335</v>
      </c>
      <c r="R3440" s="2">
        <f>PerfRate[[#This Row],[ManagerRating]] - PerfRate[[#This Row],[SelfRating]]</f>
        <v>0</v>
      </c>
    </row>
    <row r="3441" spans="1:18">
      <c r="A3441" s="2" t="s">
        <v>7748</v>
      </c>
      <c r="B3441" s="2" t="s">
        <v>3054</v>
      </c>
      <c r="C3441" s="1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  <c r="L3441" s="2" t="s">
        <v>11029</v>
      </c>
      <c r="M3441" s="2" t="s">
        <v>11029</v>
      </c>
      <c r="N3441" s="2" t="s">
        <v>11038</v>
      </c>
      <c r="O3441" s="2" t="s">
        <v>11038</v>
      </c>
      <c r="P3441" s="2" t="s">
        <v>11038</v>
      </c>
      <c r="Q3441" s="2">
        <f>AVERAGE(PerfRate[[#This Row],[EnvironmentSatisfaction]],PerfRate[[#This Row],[JobSatisfaction]],PerfRate[[#This Row],[RelationshipSatisfaction]])</f>
        <v>5</v>
      </c>
      <c r="R3441" s="2">
        <f>PerfRate[[#This Row],[ManagerRating]] - PerfRate[[#This Row],[SelfRating]]</f>
        <v>0</v>
      </c>
    </row>
    <row r="3442" spans="1:18">
      <c r="A3442" s="2" t="s">
        <v>7749</v>
      </c>
      <c r="B3442" s="2" t="s">
        <v>476</v>
      </c>
      <c r="C3442" s="1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  <c r="L3442" s="2" t="s">
        <v>11030</v>
      </c>
      <c r="M3442" s="2" t="s">
        <v>11029</v>
      </c>
      <c r="N3442" s="2" t="s">
        <v>11037</v>
      </c>
      <c r="O3442" s="2" t="s">
        <v>11038</v>
      </c>
      <c r="P3442" s="2" t="s">
        <v>11036</v>
      </c>
      <c r="Q3442" s="2">
        <f>AVERAGE(PerfRate[[#This Row],[EnvironmentSatisfaction]],PerfRate[[#This Row],[JobSatisfaction]],PerfRate[[#This Row],[RelationshipSatisfaction]])</f>
        <v>4</v>
      </c>
      <c r="R3442" s="2">
        <f>PerfRate[[#This Row],[ManagerRating]] - PerfRate[[#This Row],[SelfRating]]</f>
        <v>-1</v>
      </c>
    </row>
    <row r="3443" spans="1:18">
      <c r="A3443" s="2" t="s">
        <v>7750</v>
      </c>
      <c r="B3443" s="2" t="s">
        <v>640</v>
      </c>
      <c r="C3443" s="1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  <c r="L3443" s="2" t="s">
        <v>11029</v>
      </c>
      <c r="M3443" s="2" t="s">
        <v>11029</v>
      </c>
      <c r="N3443" s="2" t="s">
        <v>11036</v>
      </c>
      <c r="O3443" s="2" t="s">
        <v>11038</v>
      </c>
      <c r="P3443" s="2" t="s">
        <v>11036</v>
      </c>
      <c r="Q3443" s="2">
        <f>AVERAGE(PerfRate[[#This Row],[EnvironmentSatisfaction]],PerfRate[[#This Row],[JobSatisfaction]],PerfRate[[#This Row],[RelationshipSatisfaction]])</f>
        <v>3.6666666666666665</v>
      </c>
      <c r="R3443" s="2">
        <f>PerfRate[[#This Row],[ManagerRating]] - PerfRate[[#This Row],[SelfRating]]</f>
        <v>0</v>
      </c>
    </row>
    <row r="3444" spans="1:18">
      <c r="A3444" s="2" t="s">
        <v>7751</v>
      </c>
      <c r="B3444" s="2" t="s">
        <v>1632</v>
      </c>
      <c r="C3444" s="1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  <c r="L3444" s="2" t="s">
        <v>11031</v>
      </c>
      <c r="M3444" s="2" t="s">
        <v>11031</v>
      </c>
      <c r="N3444" s="2" t="s">
        <v>11036</v>
      </c>
      <c r="O3444" s="2" t="s">
        <v>11037</v>
      </c>
      <c r="P3444" s="2" t="s">
        <v>11035</v>
      </c>
      <c r="Q3444" s="2">
        <f>AVERAGE(PerfRate[[#This Row],[EnvironmentSatisfaction]],PerfRate[[#This Row],[JobSatisfaction]],PerfRate[[#This Row],[RelationshipSatisfaction]])</f>
        <v>3</v>
      </c>
      <c r="R3444" s="2">
        <f>PerfRate[[#This Row],[ManagerRating]] - PerfRate[[#This Row],[SelfRating]]</f>
        <v>0</v>
      </c>
    </row>
    <row r="3445" spans="1:18">
      <c r="A3445" s="2" t="s">
        <v>7752</v>
      </c>
      <c r="B3445" s="2" t="s">
        <v>1813</v>
      </c>
      <c r="C3445" s="1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  <c r="L3445" s="2" t="s">
        <v>11030</v>
      </c>
      <c r="M3445" s="2" t="s">
        <v>11030</v>
      </c>
      <c r="N3445" s="2" t="s">
        <v>11037</v>
      </c>
      <c r="O3445" s="2" t="s">
        <v>11037</v>
      </c>
      <c r="P3445" s="2" t="s">
        <v>11036</v>
      </c>
      <c r="Q3445" s="2">
        <f>AVERAGE(PerfRate[[#This Row],[EnvironmentSatisfaction]],PerfRate[[#This Row],[JobSatisfaction]],PerfRate[[#This Row],[RelationshipSatisfaction]])</f>
        <v>3.6666666666666665</v>
      </c>
      <c r="R3445" s="2">
        <f>PerfRate[[#This Row],[ManagerRating]] - PerfRate[[#This Row],[SelfRating]]</f>
        <v>0</v>
      </c>
    </row>
    <row r="3446" spans="1:18">
      <c r="A3446" s="2" t="s">
        <v>7753</v>
      </c>
      <c r="B3446" s="2" t="s">
        <v>994</v>
      </c>
      <c r="C3446" s="1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  <c r="L3446" s="2" t="s">
        <v>11030</v>
      </c>
      <c r="M3446" s="2" t="s">
        <v>11030</v>
      </c>
      <c r="N3446" s="2" t="s">
        <v>11035</v>
      </c>
      <c r="O3446" s="2" t="s">
        <v>11037</v>
      </c>
      <c r="P3446" s="2" t="s">
        <v>11035</v>
      </c>
      <c r="Q3446" s="2">
        <f>AVERAGE(PerfRate[[#This Row],[EnvironmentSatisfaction]],PerfRate[[#This Row],[JobSatisfaction]],PerfRate[[#This Row],[RelationshipSatisfaction]])</f>
        <v>2.6666666666666665</v>
      </c>
      <c r="R3446" s="2">
        <f>PerfRate[[#This Row],[ManagerRating]] - PerfRate[[#This Row],[SelfRating]]</f>
        <v>0</v>
      </c>
    </row>
    <row r="3447" spans="1:18">
      <c r="A3447" s="2" t="s">
        <v>7754</v>
      </c>
      <c r="B3447" s="2" t="s">
        <v>1268</v>
      </c>
      <c r="C3447" s="1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  <c r="L3447" s="2" t="s">
        <v>11031</v>
      </c>
      <c r="M3447" s="2" t="s">
        <v>11031</v>
      </c>
      <c r="N3447" s="2" t="s">
        <v>11036</v>
      </c>
      <c r="O3447" s="2" t="s">
        <v>11036</v>
      </c>
      <c r="P3447" s="2" t="s">
        <v>11035</v>
      </c>
      <c r="Q3447" s="2">
        <f>AVERAGE(PerfRate[[#This Row],[EnvironmentSatisfaction]],PerfRate[[#This Row],[JobSatisfaction]],PerfRate[[#This Row],[RelationshipSatisfaction]])</f>
        <v>2.6666666666666665</v>
      </c>
      <c r="R3447" s="2">
        <f>PerfRate[[#This Row],[ManagerRating]] - PerfRate[[#This Row],[SelfRating]]</f>
        <v>0</v>
      </c>
    </row>
    <row r="3448" spans="1:18">
      <c r="A3448" s="2" t="s">
        <v>7755</v>
      </c>
      <c r="B3448" s="2" t="s">
        <v>1462</v>
      </c>
      <c r="C3448" s="1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  <c r="L3448" s="2" t="s">
        <v>11031</v>
      </c>
      <c r="M3448" s="2" t="s">
        <v>11030</v>
      </c>
      <c r="N3448" s="2" t="s">
        <v>11036</v>
      </c>
      <c r="O3448" s="2" t="s">
        <v>11035</v>
      </c>
      <c r="P3448" s="2" t="s">
        <v>11035</v>
      </c>
      <c r="Q3448" s="2">
        <f>AVERAGE(PerfRate[[#This Row],[EnvironmentSatisfaction]],PerfRate[[#This Row],[JobSatisfaction]],PerfRate[[#This Row],[RelationshipSatisfaction]])</f>
        <v>2.3333333333333335</v>
      </c>
      <c r="R3448" s="2">
        <f>PerfRate[[#This Row],[ManagerRating]] - PerfRate[[#This Row],[SelfRating]]</f>
        <v>-1</v>
      </c>
    </row>
    <row r="3449" spans="1:18">
      <c r="A3449" s="2" t="s">
        <v>7756</v>
      </c>
      <c r="B3449" s="2" t="s">
        <v>1611</v>
      </c>
      <c r="C3449" s="1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  <c r="L3449" s="2" t="s">
        <v>11030</v>
      </c>
      <c r="M3449" s="2" t="s">
        <v>11029</v>
      </c>
      <c r="N3449" s="2" t="s">
        <v>11037</v>
      </c>
      <c r="O3449" s="2" t="s">
        <v>11036</v>
      </c>
      <c r="P3449" s="2" t="s">
        <v>11035</v>
      </c>
      <c r="Q3449" s="2">
        <f>AVERAGE(PerfRate[[#This Row],[EnvironmentSatisfaction]],PerfRate[[#This Row],[JobSatisfaction]],PerfRate[[#This Row],[RelationshipSatisfaction]])</f>
        <v>3</v>
      </c>
      <c r="R3449" s="2">
        <f>PerfRate[[#This Row],[ManagerRating]] - PerfRate[[#This Row],[SelfRating]]</f>
        <v>-1</v>
      </c>
    </row>
    <row r="3450" spans="1:18">
      <c r="A3450" s="2" t="s">
        <v>7757</v>
      </c>
      <c r="B3450" s="2" t="s">
        <v>1903</v>
      </c>
      <c r="C3450" s="1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  <c r="L3450" s="2" t="s">
        <v>11030</v>
      </c>
      <c r="M3450" s="2" t="s">
        <v>11030</v>
      </c>
      <c r="N3450" s="2" t="s">
        <v>11037</v>
      </c>
      <c r="O3450" s="2" t="s">
        <v>11035</v>
      </c>
      <c r="P3450" s="2" t="s">
        <v>11035</v>
      </c>
      <c r="Q3450" s="2">
        <f>AVERAGE(PerfRate[[#This Row],[EnvironmentSatisfaction]],PerfRate[[#This Row],[JobSatisfaction]],PerfRate[[#This Row],[RelationshipSatisfaction]])</f>
        <v>2.6666666666666665</v>
      </c>
      <c r="R3450" s="2">
        <f>PerfRate[[#This Row],[ManagerRating]] - PerfRate[[#This Row],[SelfRating]]</f>
        <v>0</v>
      </c>
    </row>
    <row r="3451" spans="1:18">
      <c r="A3451" s="2" t="s">
        <v>7758</v>
      </c>
      <c r="B3451" s="2" t="s">
        <v>3531</v>
      </c>
      <c r="C3451" s="1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  <c r="L3451" s="2" t="s">
        <v>11030</v>
      </c>
      <c r="M3451" s="2" t="s">
        <v>11030</v>
      </c>
      <c r="N3451" s="2" t="s">
        <v>11034</v>
      </c>
      <c r="O3451" s="2" t="s">
        <v>11037</v>
      </c>
      <c r="P3451" s="2" t="s">
        <v>11036</v>
      </c>
      <c r="Q3451" s="2">
        <f>AVERAGE(PerfRate[[#This Row],[EnvironmentSatisfaction]],PerfRate[[#This Row],[JobSatisfaction]],PerfRate[[#This Row],[RelationshipSatisfaction]])</f>
        <v>2.6666666666666665</v>
      </c>
      <c r="R3451" s="2">
        <f>PerfRate[[#This Row],[ManagerRating]] - PerfRate[[#This Row],[SelfRating]]</f>
        <v>0</v>
      </c>
    </row>
    <row r="3452" spans="1:18">
      <c r="A3452" s="2" t="s">
        <v>7759</v>
      </c>
      <c r="B3452" s="2" t="s">
        <v>496</v>
      </c>
      <c r="C3452" s="1">
        <v>41396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  <c r="L3452" s="2" t="s">
        <v>11029</v>
      </c>
      <c r="M3452" s="2" t="s">
        <v>11028</v>
      </c>
      <c r="N3452" s="2" t="s">
        <v>11036</v>
      </c>
      <c r="O3452" s="2" t="s">
        <v>11035</v>
      </c>
      <c r="P3452" s="2" t="s">
        <v>11037</v>
      </c>
      <c r="Q3452" s="2">
        <f>AVERAGE(PerfRate[[#This Row],[EnvironmentSatisfaction]],PerfRate[[#This Row],[JobSatisfaction]],PerfRate[[#This Row],[RelationshipSatisfaction]])</f>
        <v>3</v>
      </c>
      <c r="R3452" s="2">
        <f>PerfRate[[#This Row],[ManagerRating]] - PerfRate[[#This Row],[SelfRating]]</f>
        <v>-1</v>
      </c>
    </row>
    <row r="3453" spans="1:18">
      <c r="A3453" s="2" t="s">
        <v>7760</v>
      </c>
      <c r="B3453" s="2" t="s">
        <v>3583</v>
      </c>
      <c r="C3453" s="1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  <c r="L3453" s="2" t="s">
        <v>11030</v>
      </c>
      <c r="M3453" s="2" t="s">
        <v>11029</v>
      </c>
      <c r="N3453" s="2" t="s">
        <v>11037</v>
      </c>
      <c r="O3453" s="2" t="s">
        <v>11038</v>
      </c>
      <c r="P3453" s="2" t="s">
        <v>11037</v>
      </c>
      <c r="Q3453" s="2">
        <f>AVERAGE(PerfRate[[#This Row],[EnvironmentSatisfaction]],PerfRate[[#This Row],[JobSatisfaction]],PerfRate[[#This Row],[RelationshipSatisfaction]])</f>
        <v>4.333333333333333</v>
      </c>
      <c r="R3453" s="2">
        <f>PerfRate[[#This Row],[ManagerRating]] - PerfRate[[#This Row],[SelfRating]]</f>
        <v>-1</v>
      </c>
    </row>
    <row r="3454" spans="1:18">
      <c r="A3454" s="2" t="s">
        <v>7761</v>
      </c>
      <c r="B3454" s="2" t="s">
        <v>263</v>
      </c>
      <c r="C3454" s="1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  <c r="L3454" s="2" t="s">
        <v>11029</v>
      </c>
      <c r="M3454" s="2" t="s">
        <v>11029</v>
      </c>
      <c r="N3454" s="2" t="s">
        <v>11037</v>
      </c>
      <c r="O3454" s="2" t="s">
        <v>11035</v>
      </c>
      <c r="P3454" s="2" t="s">
        <v>11036</v>
      </c>
      <c r="Q3454" s="2">
        <f>AVERAGE(PerfRate[[#This Row],[EnvironmentSatisfaction]],PerfRate[[#This Row],[JobSatisfaction]],PerfRate[[#This Row],[RelationshipSatisfaction]])</f>
        <v>3</v>
      </c>
      <c r="R3454" s="2">
        <f>PerfRate[[#This Row],[ManagerRating]] - PerfRate[[#This Row],[SelfRating]]</f>
        <v>0</v>
      </c>
    </row>
    <row r="3455" spans="1:18">
      <c r="A3455" s="2" t="s">
        <v>7762</v>
      </c>
      <c r="B3455" s="2" t="s">
        <v>880</v>
      </c>
      <c r="C3455" s="1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  <c r="L3455" s="2" t="s">
        <v>11031</v>
      </c>
      <c r="M3455" s="2" t="s">
        <v>11030</v>
      </c>
      <c r="N3455" s="2" t="s">
        <v>11038</v>
      </c>
      <c r="O3455" s="2" t="s">
        <v>11035</v>
      </c>
      <c r="P3455" s="2" t="s">
        <v>11036</v>
      </c>
      <c r="Q3455" s="2">
        <f>AVERAGE(PerfRate[[#This Row],[EnvironmentSatisfaction]],PerfRate[[#This Row],[JobSatisfaction]],PerfRate[[#This Row],[RelationshipSatisfaction]])</f>
        <v>3.3333333333333335</v>
      </c>
      <c r="R3455" s="2">
        <f>PerfRate[[#This Row],[ManagerRating]] - PerfRate[[#This Row],[SelfRating]]</f>
        <v>-1</v>
      </c>
    </row>
    <row r="3456" spans="1:18">
      <c r="A3456" s="2" t="s">
        <v>7763</v>
      </c>
      <c r="B3456" s="2" t="s">
        <v>1261</v>
      </c>
      <c r="C3456" s="1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  <c r="L3456" s="2" t="s">
        <v>11030</v>
      </c>
      <c r="M3456" s="2" t="s">
        <v>11030</v>
      </c>
      <c r="N3456" s="2" t="s">
        <v>11038</v>
      </c>
      <c r="O3456" s="2" t="s">
        <v>11035</v>
      </c>
      <c r="P3456" s="2" t="s">
        <v>11037</v>
      </c>
      <c r="Q3456" s="2">
        <f>AVERAGE(PerfRate[[#This Row],[EnvironmentSatisfaction]],PerfRate[[#This Row],[JobSatisfaction]],PerfRate[[#This Row],[RelationshipSatisfaction]])</f>
        <v>3.6666666666666665</v>
      </c>
      <c r="R3456" s="2">
        <f>PerfRate[[#This Row],[ManagerRating]] - PerfRate[[#This Row],[SelfRating]]</f>
        <v>0</v>
      </c>
    </row>
    <row r="3457" spans="1:18">
      <c r="A3457" s="2" t="s">
        <v>7764</v>
      </c>
      <c r="B3457" s="2" t="s">
        <v>2630</v>
      </c>
      <c r="C3457" s="1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  <c r="L3457" s="2" t="s">
        <v>11031</v>
      </c>
      <c r="M3457" s="2" t="s">
        <v>11031</v>
      </c>
      <c r="N3457" s="2" t="s">
        <v>11038</v>
      </c>
      <c r="O3457" s="2" t="s">
        <v>11035</v>
      </c>
      <c r="P3457" s="2" t="s">
        <v>11035</v>
      </c>
      <c r="Q3457" s="2">
        <f>AVERAGE(PerfRate[[#This Row],[EnvironmentSatisfaction]],PerfRate[[#This Row],[JobSatisfaction]],PerfRate[[#This Row],[RelationshipSatisfaction]])</f>
        <v>3</v>
      </c>
      <c r="R3457" s="2">
        <f>PerfRate[[#This Row],[ManagerRating]] - PerfRate[[#This Row],[SelfRating]]</f>
        <v>0</v>
      </c>
    </row>
    <row r="3458" spans="1:18">
      <c r="A3458" s="2" t="s">
        <v>7765</v>
      </c>
      <c r="B3458" s="2" t="s">
        <v>2310</v>
      </c>
      <c r="C3458" s="1">
        <v>43837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  <c r="L3458" s="2" t="s">
        <v>11029</v>
      </c>
      <c r="M3458" s="2" t="s">
        <v>11029</v>
      </c>
      <c r="N3458" s="2" t="s">
        <v>11038</v>
      </c>
      <c r="O3458" s="2" t="s">
        <v>11036</v>
      </c>
      <c r="P3458" s="2" t="s">
        <v>11038</v>
      </c>
      <c r="Q3458" s="2">
        <f>AVERAGE(PerfRate[[#This Row],[EnvironmentSatisfaction]],PerfRate[[#This Row],[JobSatisfaction]],PerfRate[[#This Row],[RelationshipSatisfaction]])</f>
        <v>4.333333333333333</v>
      </c>
      <c r="R3458" s="2">
        <f>PerfRate[[#This Row],[ManagerRating]] - PerfRate[[#This Row],[SelfRating]]</f>
        <v>0</v>
      </c>
    </row>
    <row r="3459" spans="1:18">
      <c r="A3459" s="2" t="s">
        <v>7766</v>
      </c>
      <c r="B3459" s="2" t="s">
        <v>467</v>
      </c>
      <c r="C3459" s="1">
        <v>43868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  <c r="L3459" s="2" t="s">
        <v>11029</v>
      </c>
      <c r="M3459" s="2" t="s">
        <v>11028</v>
      </c>
      <c r="N3459" s="2" t="s">
        <v>11037</v>
      </c>
      <c r="O3459" s="2" t="s">
        <v>11036</v>
      </c>
      <c r="P3459" s="2" t="s">
        <v>11035</v>
      </c>
      <c r="Q3459" s="2">
        <f>AVERAGE(PerfRate[[#This Row],[EnvironmentSatisfaction]],PerfRate[[#This Row],[JobSatisfaction]],PerfRate[[#This Row],[RelationshipSatisfaction]])</f>
        <v>3</v>
      </c>
      <c r="R3459" s="2">
        <f>PerfRate[[#This Row],[ManagerRating]] - PerfRate[[#This Row],[SelfRating]]</f>
        <v>-1</v>
      </c>
    </row>
    <row r="3460" spans="1:18">
      <c r="A3460" s="2" t="s">
        <v>7767</v>
      </c>
      <c r="B3460" s="2" t="s">
        <v>1859</v>
      </c>
      <c r="C3460" s="1">
        <v>43897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  <c r="L3460" s="2" t="s">
        <v>11031</v>
      </c>
      <c r="M3460" s="2" t="s">
        <v>11030</v>
      </c>
      <c r="N3460" s="2" t="s">
        <v>11038</v>
      </c>
      <c r="O3460" s="2" t="s">
        <v>11036</v>
      </c>
      <c r="P3460" s="2" t="s">
        <v>11038</v>
      </c>
      <c r="Q3460" s="2">
        <f>AVERAGE(PerfRate[[#This Row],[EnvironmentSatisfaction]],PerfRate[[#This Row],[JobSatisfaction]],PerfRate[[#This Row],[RelationshipSatisfaction]])</f>
        <v>4.333333333333333</v>
      </c>
      <c r="R3460" s="2">
        <f>PerfRate[[#This Row],[ManagerRating]] - PerfRate[[#This Row],[SelfRating]]</f>
        <v>-1</v>
      </c>
    </row>
    <row r="3461" spans="1:18">
      <c r="A3461" s="2" t="s">
        <v>7768</v>
      </c>
      <c r="B3461" s="2" t="s">
        <v>2091</v>
      </c>
      <c r="C3461" s="1">
        <v>43897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  <c r="L3461" s="2" t="s">
        <v>11030</v>
      </c>
      <c r="M3461" s="2" t="s">
        <v>11029</v>
      </c>
      <c r="N3461" s="2" t="s">
        <v>11037</v>
      </c>
      <c r="O3461" s="2" t="s">
        <v>11037</v>
      </c>
      <c r="P3461" s="2" t="s">
        <v>11038</v>
      </c>
      <c r="Q3461" s="2">
        <f>AVERAGE(PerfRate[[#This Row],[EnvironmentSatisfaction]],PerfRate[[#This Row],[JobSatisfaction]],PerfRate[[#This Row],[RelationshipSatisfaction]])</f>
        <v>4.333333333333333</v>
      </c>
      <c r="R3461" s="2">
        <f>PerfRate[[#This Row],[ManagerRating]] - PerfRate[[#This Row],[SelfRating]]</f>
        <v>-1</v>
      </c>
    </row>
    <row r="3462" spans="1:18">
      <c r="A3462" s="2" t="s">
        <v>7769</v>
      </c>
      <c r="B3462" s="2" t="s">
        <v>505</v>
      </c>
      <c r="C3462" s="1">
        <v>43928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  <c r="L3462" s="2" t="s">
        <v>11030</v>
      </c>
      <c r="M3462" s="2" t="s">
        <v>11029</v>
      </c>
      <c r="N3462" s="2" t="s">
        <v>11038</v>
      </c>
      <c r="O3462" s="2" t="s">
        <v>11036</v>
      </c>
      <c r="P3462" s="2" t="s">
        <v>11038</v>
      </c>
      <c r="Q3462" s="2">
        <f>AVERAGE(PerfRate[[#This Row],[EnvironmentSatisfaction]],PerfRate[[#This Row],[JobSatisfaction]],PerfRate[[#This Row],[RelationshipSatisfaction]])</f>
        <v>4.333333333333333</v>
      </c>
      <c r="R3462" s="2">
        <f>PerfRate[[#This Row],[ManagerRating]] - PerfRate[[#This Row],[SelfRating]]</f>
        <v>-1</v>
      </c>
    </row>
    <row r="3463" spans="1:18">
      <c r="A3463" s="2" t="s">
        <v>7770</v>
      </c>
      <c r="B3463" s="2" t="s">
        <v>1761</v>
      </c>
      <c r="C3463" s="1">
        <v>43928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  <c r="L3463" s="2" t="s">
        <v>11030</v>
      </c>
      <c r="M3463" s="2" t="s">
        <v>11029</v>
      </c>
      <c r="N3463" s="2" t="s">
        <v>11036</v>
      </c>
      <c r="O3463" s="2" t="s">
        <v>11035</v>
      </c>
      <c r="P3463" s="2" t="s">
        <v>11037</v>
      </c>
      <c r="Q3463" s="2">
        <f>AVERAGE(PerfRate[[#This Row],[EnvironmentSatisfaction]],PerfRate[[#This Row],[JobSatisfaction]],PerfRate[[#This Row],[RelationshipSatisfaction]])</f>
        <v>3</v>
      </c>
      <c r="R3463" s="2">
        <f>PerfRate[[#This Row],[ManagerRating]] - PerfRate[[#This Row],[SelfRating]]</f>
        <v>-1</v>
      </c>
    </row>
    <row r="3464" spans="1:18">
      <c r="A3464" s="2" t="s">
        <v>7771</v>
      </c>
      <c r="B3464" s="2" t="s">
        <v>23</v>
      </c>
      <c r="C3464" s="1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  <c r="L3464" s="2" t="s">
        <v>11030</v>
      </c>
      <c r="M3464" s="2" t="s">
        <v>11029</v>
      </c>
      <c r="N3464" s="2" t="s">
        <v>11036</v>
      </c>
      <c r="O3464" s="2" t="s">
        <v>11037</v>
      </c>
      <c r="P3464" s="2" t="s">
        <v>11035</v>
      </c>
      <c r="Q3464" s="2">
        <f>AVERAGE(PerfRate[[#This Row],[EnvironmentSatisfaction]],PerfRate[[#This Row],[JobSatisfaction]],PerfRate[[#This Row],[RelationshipSatisfaction]])</f>
        <v>3</v>
      </c>
      <c r="R3464" s="2">
        <f>PerfRate[[#This Row],[ManagerRating]] - PerfRate[[#This Row],[SelfRating]]</f>
        <v>-1</v>
      </c>
    </row>
    <row r="3465" spans="1:18">
      <c r="A3465" s="2" t="s">
        <v>7772</v>
      </c>
      <c r="B3465" s="2" t="s">
        <v>2569</v>
      </c>
      <c r="C3465" s="1">
        <v>43928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  <c r="L3465" s="2" t="s">
        <v>11030</v>
      </c>
      <c r="M3465" s="2" t="s">
        <v>11029</v>
      </c>
      <c r="N3465" s="2" t="s">
        <v>11037</v>
      </c>
      <c r="O3465" s="2" t="s">
        <v>11038</v>
      </c>
      <c r="P3465" s="2" t="s">
        <v>11035</v>
      </c>
      <c r="Q3465" s="2">
        <f>AVERAGE(PerfRate[[#This Row],[EnvironmentSatisfaction]],PerfRate[[#This Row],[JobSatisfaction]],PerfRate[[#This Row],[RelationshipSatisfaction]])</f>
        <v>3.6666666666666665</v>
      </c>
      <c r="R3465" s="2">
        <f>PerfRate[[#This Row],[ManagerRating]] - PerfRate[[#This Row],[SelfRating]]</f>
        <v>-1</v>
      </c>
    </row>
    <row r="3466" spans="1:18">
      <c r="A3466" s="2" t="s">
        <v>7773</v>
      </c>
      <c r="B3466" s="2" t="s">
        <v>179</v>
      </c>
      <c r="C3466" s="1">
        <v>43958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  <c r="L3466" s="2" t="s">
        <v>11030</v>
      </c>
      <c r="M3466" s="2" t="s">
        <v>11030</v>
      </c>
      <c r="N3466" s="2" t="s">
        <v>11038</v>
      </c>
      <c r="O3466" s="2" t="s">
        <v>11037</v>
      </c>
      <c r="P3466" s="2" t="s">
        <v>11037</v>
      </c>
      <c r="Q3466" s="2">
        <f>AVERAGE(PerfRate[[#This Row],[EnvironmentSatisfaction]],PerfRate[[#This Row],[JobSatisfaction]],PerfRate[[#This Row],[RelationshipSatisfaction]])</f>
        <v>4.333333333333333</v>
      </c>
      <c r="R3466" s="2">
        <f>PerfRate[[#This Row],[ManagerRating]] - PerfRate[[#This Row],[SelfRating]]</f>
        <v>0</v>
      </c>
    </row>
    <row r="3467" spans="1:18">
      <c r="A3467" s="2" t="s">
        <v>7774</v>
      </c>
      <c r="B3467" s="2" t="s">
        <v>1839</v>
      </c>
      <c r="C3467" s="1">
        <v>43958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  <c r="L3467" s="2" t="s">
        <v>11031</v>
      </c>
      <c r="M3467" s="2" t="s">
        <v>11030</v>
      </c>
      <c r="N3467" s="2" t="s">
        <v>11036</v>
      </c>
      <c r="O3467" s="2" t="s">
        <v>11035</v>
      </c>
      <c r="P3467" s="2" t="s">
        <v>11036</v>
      </c>
      <c r="Q3467" s="2">
        <f>AVERAGE(PerfRate[[#This Row],[EnvironmentSatisfaction]],PerfRate[[#This Row],[JobSatisfaction]],PerfRate[[#This Row],[RelationshipSatisfaction]])</f>
        <v>2.6666666666666665</v>
      </c>
      <c r="R3467" s="2">
        <f>PerfRate[[#This Row],[ManagerRating]] - PerfRate[[#This Row],[SelfRating]]</f>
        <v>-1</v>
      </c>
    </row>
    <row r="3468" spans="1:18">
      <c r="A3468" s="2" t="s">
        <v>7775</v>
      </c>
      <c r="B3468" s="2" t="s">
        <v>3549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  <c r="L3468" s="2" t="s">
        <v>11030</v>
      </c>
      <c r="M3468" s="2" t="s">
        <v>11029</v>
      </c>
      <c r="N3468" s="2" t="s">
        <v>11036</v>
      </c>
      <c r="O3468" s="2" t="s">
        <v>11037</v>
      </c>
      <c r="P3468" s="2" t="s">
        <v>11038</v>
      </c>
      <c r="Q3468" s="2">
        <f>AVERAGE(PerfRate[[#This Row],[EnvironmentSatisfaction]],PerfRate[[#This Row],[JobSatisfaction]],PerfRate[[#This Row],[RelationshipSatisfaction]])</f>
        <v>4</v>
      </c>
      <c r="R3468" s="2">
        <f>PerfRate[[#This Row],[ManagerRating]] - PerfRate[[#This Row],[SelfRating]]</f>
        <v>-1</v>
      </c>
    </row>
    <row r="3469" spans="1:18">
      <c r="A3469" s="2" t="s">
        <v>7776</v>
      </c>
      <c r="B3469" s="2" t="s">
        <v>541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  <c r="L3469" s="2" t="s">
        <v>11029</v>
      </c>
      <c r="M3469" s="2" t="s">
        <v>11028</v>
      </c>
      <c r="N3469" s="2" t="s">
        <v>11038</v>
      </c>
      <c r="O3469" s="2" t="s">
        <v>11038</v>
      </c>
      <c r="P3469" s="2" t="s">
        <v>11036</v>
      </c>
      <c r="Q3469" s="2">
        <f>AVERAGE(PerfRate[[#This Row],[EnvironmentSatisfaction]],PerfRate[[#This Row],[JobSatisfaction]],PerfRate[[#This Row],[RelationshipSatisfaction]])</f>
        <v>4.333333333333333</v>
      </c>
      <c r="R3469" s="2">
        <f>PerfRate[[#This Row],[ManagerRating]] - PerfRate[[#This Row],[SelfRating]]</f>
        <v>-1</v>
      </c>
    </row>
    <row r="3470" spans="1:18">
      <c r="A3470" s="2" t="s">
        <v>7777</v>
      </c>
      <c r="B3470" s="2" t="s">
        <v>1794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  <c r="L3470" s="2" t="s">
        <v>11029</v>
      </c>
      <c r="M3470" s="2" t="s">
        <v>11029</v>
      </c>
      <c r="N3470" s="2" t="s">
        <v>11038</v>
      </c>
      <c r="O3470" s="2" t="s">
        <v>11035</v>
      </c>
      <c r="P3470" s="2" t="s">
        <v>11038</v>
      </c>
      <c r="Q3470" s="2">
        <f>AVERAGE(PerfRate[[#This Row],[EnvironmentSatisfaction]],PerfRate[[#This Row],[JobSatisfaction]],PerfRate[[#This Row],[RelationshipSatisfaction]])</f>
        <v>4</v>
      </c>
      <c r="R3470" s="2">
        <f>PerfRate[[#This Row],[ManagerRating]] - PerfRate[[#This Row],[SelfRating]]</f>
        <v>0</v>
      </c>
    </row>
    <row r="3471" spans="1:18">
      <c r="A3471" s="2" t="s">
        <v>7778</v>
      </c>
      <c r="B3471" s="2" t="s">
        <v>232</v>
      </c>
      <c r="C3471" s="1">
        <v>44050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  <c r="L3471" s="2" t="s">
        <v>11029</v>
      </c>
      <c r="M3471" s="2" t="s">
        <v>11029</v>
      </c>
      <c r="N3471" s="2" t="s">
        <v>11037</v>
      </c>
      <c r="O3471" s="2" t="s">
        <v>11035</v>
      </c>
      <c r="P3471" s="2" t="s">
        <v>11035</v>
      </c>
      <c r="Q3471" s="2">
        <f>AVERAGE(PerfRate[[#This Row],[EnvironmentSatisfaction]],PerfRate[[#This Row],[JobSatisfaction]],PerfRate[[#This Row],[RelationshipSatisfaction]])</f>
        <v>2.6666666666666665</v>
      </c>
      <c r="R3471" s="2">
        <f>PerfRate[[#This Row],[ManagerRating]] - PerfRate[[#This Row],[SelfRating]]</f>
        <v>0</v>
      </c>
    </row>
    <row r="3472" spans="1:18">
      <c r="A3472" s="2" t="s">
        <v>7779</v>
      </c>
      <c r="B3472" s="2" t="s">
        <v>473</v>
      </c>
      <c r="C3472" s="1">
        <v>44050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  <c r="L3472" s="2" t="s">
        <v>11031</v>
      </c>
      <c r="M3472" s="2" t="s">
        <v>11031</v>
      </c>
      <c r="N3472" s="2" t="s">
        <v>11037</v>
      </c>
      <c r="O3472" s="2" t="s">
        <v>11036</v>
      </c>
      <c r="P3472" s="2" t="s">
        <v>11037</v>
      </c>
      <c r="Q3472" s="2">
        <f>AVERAGE(PerfRate[[#This Row],[EnvironmentSatisfaction]],PerfRate[[#This Row],[JobSatisfaction]],PerfRate[[#This Row],[RelationshipSatisfaction]])</f>
        <v>3.6666666666666665</v>
      </c>
      <c r="R3472" s="2">
        <f>PerfRate[[#This Row],[ManagerRating]] - PerfRate[[#This Row],[SelfRating]]</f>
        <v>0</v>
      </c>
    </row>
    <row r="3473" spans="1:18">
      <c r="A3473" s="2" t="s">
        <v>7780</v>
      </c>
      <c r="B3473" s="2" t="s">
        <v>1258</v>
      </c>
      <c r="C3473" s="1">
        <v>44050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  <c r="L3473" s="2" t="s">
        <v>11031</v>
      </c>
      <c r="M3473" s="2" t="s">
        <v>11031</v>
      </c>
      <c r="N3473" s="2" t="s">
        <v>11038</v>
      </c>
      <c r="O3473" s="2" t="s">
        <v>11035</v>
      </c>
      <c r="P3473" s="2" t="s">
        <v>11035</v>
      </c>
      <c r="Q3473" s="2">
        <f>AVERAGE(PerfRate[[#This Row],[EnvironmentSatisfaction]],PerfRate[[#This Row],[JobSatisfaction]],PerfRate[[#This Row],[RelationshipSatisfaction]])</f>
        <v>3</v>
      </c>
      <c r="R3473" s="2">
        <f>PerfRate[[#This Row],[ManagerRating]] - PerfRate[[#This Row],[SelfRating]]</f>
        <v>0</v>
      </c>
    </row>
    <row r="3474" spans="1:18">
      <c r="A3474" s="2" t="s">
        <v>7781</v>
      </c>
      <c r="B3474" s="2" t="s">
        <v>1021</v>
      </c>
      <c r="C3474" s="1">
        <v>44050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  <c r="L3474" s="2" t="s">
        <v>11029</v>
      </c>
      <c r="M3474" s="2" t="s">
        <v>11028</v>
      </c>
      <c r="N3474" s="2" t="s">
        <v>11037</v>
      </c>
      <c r="O3474" s="2" t="s">
        <v>11037</v>
      </c>
      <c r="P3474" s="2" t="s">
        <v>11036</v>
      </c>
      <c r="Q3474" s="2">
        <f>AVERAGE(PerfRate[[#This Row],[EnvironmentSatisfaction]],PerfRate[[#This Row],[JobSatisfaction]],PerfRate[[#This Row],[RelationshipSatisfaction]])</f>
        <v>3.6666666666666665</v>
      </c>
      <c r="R3474" s="2">
        <f>PerfRate[[#This Row],[ManagerRating]] - PerfRate[[#This Row],[SelfRating]]</f>
        <v>-1</v>
      </c>
    </row>
    <row r="3475" spans="1:18">
      <c r="A3475" s="2" t="s">
        <v>7782</v>
      </c>
      <c r="B3475" s="2" t="s">
        <v>4069</v>
      </c>
      <c r="C3475" s="1">
        <v>41650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  <c r="L3475" s="2" t="s">
        <v>11031</v>
      </c>
      <c r="M3475" s="2" t="s">
        <v>11031</v>
      </c>
      <c r="N3475" s="2" t="s">
        <v>11036</v>
      </c>
      <c r="O3475" s="2" t="s">
        <v>11035</v>
      </c>
      <c r="P3475" s="2" t="s">
        <v>11037</v>
      </c>
      <c r="Q3475" s="2">
        <f>AVERAGE(PerfRate[[#This Row],[EnvironmentSatisfaction]],PerfRate[[#This Row],[JobSatisfaction]],PerfRate[[#This Row],[RelationshipSatisfaction]])</f>
        <v>3</v>
      </c>
      <c r="R3475" s="2">
        <f>PerfRate[[#This Row],[ManagerRating]] - PerfRate[[#This Row],[SelfRating]]</f>
        <v>0</v>
      </c>
    </row>
    <row r="3476" spans="1:18">
      <c r="A3476" s="2" t="s">
        <v>7783</v>
      </c>
      <c r="B3476" s="2" t="s">
        <v>1298</v>
      </c>
      <c r="C3476" s="1">
        <v>44050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  <c r="L3476" s="2" t="s">
        <v>11030</v>
      </c>
      <c r="M3476" s="2" t="s">
        <v>11029</v>
      </c>
      <c r="N3476" s="2" t="s">
        <v>11036</v>
      </c>
      <c r="O3476" s="2" t="s">
        <v>11037</v>
      </c>
      <c r="P3476" s="2" t="s">
        <v>11037</v>
      </c>
      <c r="Q3476" s="2">
        <f>AVERAGE(PerfRate[[#This Row],[EnvironmentSatisfaction]],PerfRate[[#This Row],[JobSatisfaction]],PerfRate[[#This Row],[RelationshipSatisfaction]])</f>
        <v>3.6666666666666665</v>
      </c>
      <c r="R3476" s="2">
        <f>PerfRate[[#This Row],[ManagerRating]] - PerfRate[[#This Row],[SelfRating]]</f>
        <v>-1</v>
      </c>
    </row>
    <row r="3477" spans="1:18">
      <c r="A3477" s="2" t="s">
        <v>7784</v>
      </c>
      <c r="B3477" s="2" t="s">
        <v>2231</v>
      </c>
      <c r="C3477" s="1">
        <v>44050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  <c r="L3477" s="2" t="s">
        <v>11030</v>
      </c>
      <c r="M3477" s="2" t="s">
        <v>11030</v>
      </c>
      <c r="N3477" s="2" t="s">
        <v>11037</v>
      </c>
      <c r="O3477" s="2" t="s">
        <v>11035</v>
      </c>
      <c r="P3477" s="2" t="s">
        <v>11037</v>
      </c>
      <c r="Q3477" s="2">
        <f>AVERAGE(PerfRate[[#This Row],[EnvironmentSatisfaction]],PerfRate[[#This Row],[JobSatisfaction]],PerfRate[[#This Row],[RelationshipSatisfaction]])</f>
        <v>3.3333333333333335</v>
      </c>
      <c r="R3477" s="2">
        <f>PerfRate[[#This Row],[ManagerRating]] - PerfRate[[#This Row],[SelfRating]]</f>
        <v>0</v>
      </c>
    </row>
    <row r="3478" spans="1:18">
      <c r="A3478" s="2" t="s">
        <v>7785</v>
      </c>
      <c r="B3478" s="2" t="s">
        <v>2757</v>
      </c>
      <c r="C3478" s="1">
        <v>44081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  <c r="L3478" s="2" t="s">
        <v>11031</v>
      </c>
      <c r="M3478" s="2" t="s">
        <v>11031</v>
      </c>
      <c r="N3478" s="2" t="s">
        <v>11036</v>
      </c>
      <c r="O3478" s="2" t="s">
        <v>11036</v>
      </c>
      <c r="P3478" s="2" t="s">
        <v>11037</v>
      </c>
      <c r="Q3478" s="2">
        <f>AVERAGE(PerfRate[[#This Row],[EnvironmentSatisfaction]],PerfRate[[#This Row],[JobSatisfaction]],PerfRate[[#This Row],[RelationshipSatisfaction]])</f>
        <v>3.3333333333333335</v>
      </c>
      <c r="R3478" s="2">
        <f>PerfRate[[#This Row],[ManagerRating]] - PerfRate[[#This Row],[SelfRating]]</f>
        <v>0</v>
      </c>
    </row>
    <row r="3479" spans="1:18">
      <c r="A3479" s="2" t="s">
        <v>7786</v>
      </c>
      <c r="B3479" s="2" t="s">
        <v>269</v>
      </c>
      <c r="C3479" s="1">
        <v>44081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  <c r="L3479" s="2" t="s">
        <v>11029</v>
      </c>
      <c r="M3479" s="2" t="s">
        <v>11029</v>
      </c>
      <c r="N3479" s="2" t="s">
        <v>11038</v>
      </c>
      <c r="O3479" s="2" t="s">
        <v>11038</v>
      </c>
      <c r="P3479" s="2" t="s">
        <v>11038</v>
      </c>
      <c r="Q3479" s="2">
        <f>AVERAGE(PerfRate[[#This Row],[EnvironmentSatisfaction]],PerfRate[[#This Row],[JobSatisfaction]],PerfRate[[#This Row],[RelationshipSatisfaction]])</f>
        <v>5</v>
      </c>
      <c r="R3479" s="2">
        <f>PerfRate[[#This Row],[ManagerRating]] - PerfRate[[#This Row],[SelfRating]]</f>
        <v>0</v>
      </c>
    </row>
    <row r="3480" spans="1:18">
      <c r="A3480" s="2" t="s">
        <v>7787</v>
      </c>
      <c r="B3480" s="2" t="s">
        <v>643</v>
      </c>
      <c r="C3480" s="1">
        <v>44081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  <c r="L3480" s="2" t="s">
        <v>11030</v>
      </c>
      <c r="M3480" s="2" t="s">
        <v>11029</v>
      </c>
      <c r="N3480" s="2" t="s">
        <v>11038</v>
      </c>
      <c r="O3480" s="2" t="s">
        <v>11037</v>
      </c>
      <c r="P3480" s="2" t="s">
        <v>11038</v>
      </c>
      <c r="Q3480" s="2">
        <f>AVERAGE(PerfRate[[#This Row],[EnvironmentSatisfaction]],PerfRate[[#This Row],[JobSatisfaction]],PerfRate[[#This Row],[RelationshipSatisfaction]])</f>
        <v>4.666666666666667</v>
      </c>
      <c r="R3480" s="2">
        <f>PerfRate[[#This Row],[ManagerRating]] - PerfRate[[#This Row],[SelfRating]]</f>
        <v>-1</v>
      </c>
    </row>
    <row r="3481" spans="1:18">
      <c r="A3481" s="2" t="s">
        <v>7788</v>
      </c>
      <c r="B3481" s="2" t="s">
        <v>1403</v>
      </c>
      <c r="C3481" s="1">
        <v>44081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  <c r="L3481" s="2" t="s">
        <v>11030</v>
      </c>
      <c r="M3481" s="2" t="s">
        <v>11029</v>
      </c>
      <c r="N3481" s="2" t="s">
        <v>11037</v>
      </c>
      <c r="O3481" s="2" t="s">
        <v>11035</v>
      </c>
      <c r="P3481" s="2" t="s">
        <v>11035</v>
      </c>
      <c r="Q3481" s="2">
        <f>AVERAGE(PerfRate[[#This Row],[EnvironmentSatisfaction]],PerfRate[[#This Row],[JobSatisfaction]],PerfRate[[#This Row],[RelationshipSatisfaction]])</f>
        <v>2.6666666666666665</v>
      </c>
      <c r="R3481" s="2">
        <f>PerfRate[[#This Row],[ManagerRating]] - PerfRate[[#This Row],[SelfRating]]</f>
        <v>-1</v>
      </c>
    </row>
    <row r="3482" spans="1:18">
      <c r="A3482" s="2" t="s">
        <v>7789</v>
      </c>
      <c r="B3482" s="2" t="s">
        <v>1555</v>
      </c>
      <c r="C3482" s="1">
        <v>44081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  <c r="L3482" s="2" t="s">
        <v>11030</v>
      </c>
      <c r="M3482" s="2" t="s">
        <v>11030</v>
      </c>
      <c r="N3482" s="2" t="s">
        <v>11036</v>
      </c>
      <c r="O3482" s="2" t="s">
        <v>11038</v>
      </c>
      <c r="P3482" s="2" t="s">
        <v>11038</v>
      </c>
      <c r="Q3482" s="2">
        <f>AVERAGE(PerfRate[[#This Row],[EnvironmentSatisfaction]],PerfRate[[#This Row],[JobSatisfaction]],PerfRate[[#This Row],[RelationshipSatisfaction]])</f>
        <v>4.333333333333333</v>
      </c>
      <c r="R3482" s="2">
        <f>PerfRate[[#This Row],[ManagerRating]] - PerfRate[[#This Row],[SelfRating]]</f>
        <v>0</v>
      </c>
    </row>
    <row r="3483" spans="1:18">
      <c r="A3483" s="2" t="s">
        <v>7790</v>
      </c>
      <c r="B3483" s="2" t="s">
        <v>308</v>
      </c>
      <c r="C3483" s="1">
        <v>44111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  <c r="L3483" s="2" t="s">
        <v>11030</v>
      </c>
      <c r="M3483" s="2" t="s">
        <v>11030</v>
      </c>
      <c r="N3483" s="2" t="s">
        <v>11038</v>
      </c>
      <c r="O3483" s="2" t="s">
        <v>11038</v>
      </c>
      <c r="P3483" s="2" t="s">
        <v>11038</v>
      </c>
      <c r="Q3483" s="2">
        <f>AVERAGE(PerfRate[[#This Row],[EnvironmentSatisfaction]],PerfRate[[#This Row],[JobSatisfaction]],PerfRate[[#This Row],[RelationshipSatisfaction]])</f>
        <v>5</v>
      </c>
      <c r="R3483" s="2">
        <f>PerfRate[[#This Row],[ManagerRating]] - PerfRate[[#This Row],[SelfRating]]</f>
        <v>0</v>
      </c>
    </row>
    <row r="3484" spans="1:18">
      <c r="A3484" s="2" t="s">
        <v>7791</v>
      </c>
      <c r="B3484" s="2" t="s">
        <v>1039</v>
      </c>
      <c r="C3484" s="1">
        <v>44111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  <c r="L3484" s="2" t="s">
        <v>11031</v>
      </c>
      <c r="M3484" s="2" t="s">
        <v>11031</v>
      </c>
      <c r="N3484" s="2" t="s">
        <v>11037</v>
      </c>
      <c r="O3484" s="2" t="s">
        <v>11035</v>
      </c>
      <c r="P3484" s="2" t="s">
        <v>11037</v>
      </c>
      <c r="Q3484" s="2">
        <f>AVERAGE(PerfRate[[#This Row],[EnvironmentSatisfaction]],PerfRate[[#This Row],[JobSatisfaction]],PerfRate[[#This Row],[RelationshipSatisfaction]])</f>
        <v>3.3333333333333335</v>
      </c>
      <c r="R3484" s="2">
        <f>PerfRate[[#This Row],[ManagerRating]] - PerfRate[[#This Row],[SelfRating]]</f>
        <v>0</v>
      </c>
    </row>
    <row r="3485" spans="1:18">
      <c r="A3485" s="2" t="s">
        <v>7792</v>
      </c>
      <c r="B3485" s="2" t="s">
        <v>1933</v>
      </c>
      <c r="C3485" s="1">
        <v>44111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  <c r="L3485" s="2" t="s">
        <v>11029</v>
      </c>
      <c r="M3485" s="2" t="s">
        <v>11028</v>
      </c>
      <c r="N3485" s="2" t="s">
        <v>11038</v>
      </c>
      <c r="O3485" s="2" t="s">
        <v>11035</v>
      </c>
      <c r="P3485" s="2" t="s">
        <v>11036</v>
      </c>
      <c r="Q3485" s="2">
        <f>AVERAGE(PerfRate[[#This Row],[EnvironmentSatisfaction]],PerfRate[[#This Row],[JobSatisfaction]],PerfRate[[#This Row],[RelationshipSatisfaction]])</f>
        <v>3.3333333333333335</v>
      </c>
      <c r="R3485" s="2">
        <f>PerfRate[[#This Row],[ManagerRating]] - PerfRate[[#This Row],[SelfRating]]</f>
        <v>-1</v>
      </c>
    </row>
    <row r="3486" spans="1:18">
      <c r="A3486" s="2" t="s">
        <v>7793</v>
      </c>
      <c r="B3486" s="2" t="s">
        <v>3020</v>
      </c>
      <c r="C3486" s="1">
        <v>41709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  <c r="L3486" s="2" t="s">
        <v>11029</v>
      </c>
      <c r="M3486" s="2" t="s">
        <v>11028</v>
      </c>
      <c r="N3486" s="2" t="s">
        <v>11038</v>
      </c>
      <c r="O3486" s="2" t="s">
        <v>11036</v>
      </c>
      <c r="P3486" s="2" t="s">
        <v>11036</v>
      </c>
      <c r="Q3486" s="2">
        <f>AVERAGE(PerfRate[[#This Row],[EnvironmentSatisfaction]],PerfRate[[#This Row],[JobSatisfaction]],PerfRate[[#This Row],[RelationshipSatisfaction]])</f>
        <v>3.6666666666666665</v>
      </c>
      <c r="R3486" s="2">
        <f>PerfRate[[#This Row],[ManagerRating]] - PerfRate[[#This Row],[SelfRating]]</f>
        <v>-1</v>
      </c>
    </row>
    <row r="3487" spans="1:18">
      <c r="A3487" s="2" t="s">
        <v>7794</v>
      </c>
      <c r="B3487" s="2" t="s">
        <v>1218</v>
      </c>
      <c r="C3487" s="1">
        <v>44142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  <c r="L3487" s="2" t="s">
        <v>11029</v>
      </c>
      <c r="M3487" s="2" t="s">
        <v>11029</v>
      </c>
      <c r="N3487" s="2" t="s">
        <v>11036</v>
      </c>
      <c r="O3487" s="2" t="s">
        <v>11036</v>
      </c>
      <c r="P3487" s="2" t="s">
        <v>11037</v>
      </c>
      <c r="Q3487" s="2">
        <f>AVERAGE(PerfRate[[#This Row],[EnvironmentSatisfaction]],PerfRate[[#This Row],[JobSatisfaction]],PerfRate[[#This Row],[RelationshipSatisfaction]])</f>
        <v>3.3333333333333335</v>
      </c>
      <c r="R3487" s="2">
        <f>PerfRate[[#This Row],[ManagerRating]] - PerfRate[[#This Row],[SelfRating]]</f>
        <v>0</v>
      </c>
    </row>
    <row r="3488" spans="1:18">
      <c r="A3488" s="2" t="s">
        <v>7795</v>
      </c>
      <c r="B3488" s="2" t="s">
        <v>2398</v>
      </c>
      <c r="C3488" s="1">
        <v>44142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  <c r="L3488" s="2" t="s">
        <v>11030</v>
      </c>
      <c r="M3488" s="2" t="s">
        <v>11029</v>
      </c>
      <c r="N3488" s="2" t="s">
        <v>11037</v>
      </c>
      <c r="O3488" s="2" t="s">
        <v>11038</v>
      </c>
      <c r="P3488" s="2" t="s">
        <v>11035</v>
      </c>
      <c r="Q3488" s="2">
        <f>AVERAGE(PerfRate[[#This Row],[EnvironmentSatisfaction]],PerfRate[[#This Row],[JobSatisfaction]],PerfRate[[#This Row],[RelationshipSatisfaction]])</f>
        <v>3.6666666666666665</v>
      </c>
      <c r="R3488" s="2">
        <f>PerfRate[[#This Row],[ManagerRating]] - PerfRate[[#This Row],[SelfRating]]</f>
        <v>-1</v>
      </c>
    </row>
    <row r="3489" spans="1:18">
      <c r="A3489" s="2" t="s">
        <v>7796</v>
      </c>
      <c r="B3489" s="2" t="s">
        <v>535</v>
      </c>
      <c r="C3489" s="1">
        <v>44172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  <c r="L3489" s="2" t="s">
        <v>11029</v>
      </c>
      <c r="M3489" s="2" t="s">
        <v>11029</v>
      </c>
      <c r="N3489" s="2" t="s">
        <v>11038</v>
      </c>
      <c r="O3489" s="2" t="s">
        <v>11036</v>
      </c>
      <c r="P3489" s="2" t="s">
        <v>11035</v>
      </c>
      <c r="Q3489" s="2">
        <f>AVERAGE(PerfRate[[#This Row],[EnvironmentSatisfaction]],PerfRate[[#This Row],[JobSatisfaction]],PerfRate[[#This Row],[RelationshipSatisfaction]])</f>
        <v>3.3333333333333335</v>
      </c>
      <c r="R3489" s="2">
        <f>PerfRate[[#This Row],[ManagerRating]] - PerfRate[[#This Row],[SelfRating]]</f>
        <v>0</v>
      </c>
    </row>
    <row r="3490" spans="1:18">
      <c r="A3490" s="2" t="s">
        <v>7797</v>
      </c>
      <c r="B3490" s="2" t="s">
        <v>1036</v>
      </c>
      <c r="C3490" s="1">
        <v>44172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  <c r="L3490" s="2" t="s">
        <v>11029</v>
      </c>
      <c r="M3490" s="2" t="s">
        <v>11029</v>
      </c>
      <c r="N3490" s="2" t="s">
        <v>11038</v>
      </c>
      <c r="O3490" s="2" t="s">
        <v>11036</v>
      </c>
      <c r="P3490" s="2" t="s">
        <v>11038</v>
      </c>
      <c r="Q3490" s="2">
        <f>AVERAGE(PerfRate[[#This Row],[EnvironmentSatisfaction]],PerfRate[[#This Row],[JobSatisfaction]],PerfRate[[#This Row],[RelationshipSatisfaction]])</f>
        <v>4.333333333333333</v>
      </c>
      <c r="R3490" s="2">
        <f>PerfRate[[#This Row],[ManagerRating]] - PerfRate[[#This Row],[SelfRating]]</f>
        <v>0</v>
      </c>
    </row>
    <row r="3491" spans="1:18">
      <c r="A3491" s="2" t="s">
        <v>7798</v>
      </c>
      <c r="B3491" s="2" t="s">
        <v>1009</v>
      </c>
      <c r="C3491" s="1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  <c r="L3491" s="2" t="s">
        <v>11029</v>
      </c>
      <c r="M3491" s="2" t="s">
        <v>11029</v>
      </c>
      <c r="N3491" s="2" t="s">
        <v>11038</v>
      </c>
      <c r="O3491" s="2" t="s">
        <v>11036</v>
      </c>
      <c r="P3491" s="2" t="s">
        <v>11038</v>
      </c>
      <c r="Q3491" s="2">
        <f>AVERAGE(PerfRate[[#This Row],[EnvironmentSatisfaction]],PerfRate[[#This Row],[JobSatisfaction]],PerfRate[[#This Row],[RelationshipSatisfaction]])</f>
        <v>4.333333333333333</v>
      </c>
      <c r="R3491" s="2">
        <f>PerfRate[[#This Row],[ManagerRating]] - PerfRate[[#This Row],[SelfRating]]</f>
        <v>0</v>
      </c>
    </row>
    <row r="3492" spans="1:18">
      <c r="A3492" s="2" t="s">
        <v>7799</v>
      </c>
      <c r="B3492" s="2" t="s">
        <v>1523</v>
      </c>
      <c r="C3492" s="1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  <c r="L3492" s="2" t="s">
        <v>11029</v>
      </c>
      <c r="M3492" s="2" t="s">
        <v>11028</v>
      </c>
      <c r="N3492" s="2" t="s">
        <v>11037</v>
      </c>
      <c r="O3492" s="2" t="s">
        <v>11036</v>
      </c>
      <c r="P3492" s="2" t="s">
        <v>11035</v>
      </c>
      <c r="Q3492" s="2">
        <f>AVERAGE(PerfRate[[#This Row],[EnvironmentSatisfaction]],PerfRate[[#This Row],[JobSatisfaction]],PerfRate[[#This Row],[RelationshipSatisfaction]])</f>
        <v>3</v>
      </c>
      <c r="R3492" s="2">
        <f>PerfRate[[#This Row],[ManagerRating]] - PerfRate[[#This Row],[SelfRating]]</f>
        <v>-1</v>
      </c>
    </row>
    <row r="3493" spans="1:18">
      <c r="A3493" s="2" t="s">
        <v>7800</v>
      </c>
      <c r="B3493" s="2" t="s">
        <v>2304</v>
      </c>
      <c r="C3493" s="1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  <c r="L3493" s="2" t="s">
        <v>11031</v>
      </c>
      <c r="M3493" s="2" t="s">
        <v>11030</v>
      </c>
      <c r="N3493" s="2" t="s">
        <v>11038</v>
      </c>
      <c r="O3493" s="2" t="s">
        <v>11035</v>
      </c>
      <c r="P3493" s="2" t="s">
        <v>11037</v>
      </c>
      <c r="Q3493" s="2">
        <f>AVERAGE(PerfRate[[#This Row],[EnvironmentSatisfaction]],PerfRate[[#This Row],[JobSatisfaction]],PerfRate[[#This Row],[RelationshipSatisfaction]])</f>
        <v>3.6666666666666665</v>
      </c>
      <c r="R3493" s="2">
        <f>PerfRate[[#This Row],[ManagerRating]] - PerfRate[[#This Row],[SelfRating]]</f>
        <v>-1</v>
      </c>
    </row>
    <row r="3494" spans="1:18">
      <c r="A3494" s="2" t="s">
        <v>7801</v>
      </c>
      <c r="B3494" s="2" t="s">
        <v>907</v>
      </c>
      <c r="C3494" s="1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  <c r="L3494" s="2" t="s">
        <v>11029</v>
      </c>
      <c r="M3494" s="2" t="s">
        <v>11029</v>
      </c>
      <c r="N3494" s="2" t="s">
        <v>11038</v>
      </c>
      <c r="O3494" s="2" t="s">
        <v>11038</v>
      </c>
      <c r="P3494" s="2" t="s">
        <v>11038</v>
      </c>
      <c r="Q3494" s="2">
        <f>AVERAGE(PerfRate[[#This Row],[EnvironmentSatisfaction]],PerfRate[[#This Row],[JobSatisfaction]],PerfRate[[#This Row],[RelationshipSatisfaction]])</f>
        <v>5</v>
      </c>
      <c r="R3494" s="2">
        <f>PerfRate[[#This Row],[ManagerRating]] - PerfRate[[#This Row],[SelfRating]]</f>
        <v>0</v>
      </c>
    </row>
    <row r="3495" spans="1:18">
      <c r="A3495" s="2" t="s">
        <v>7802</v>
      </c>
      <c r="B3495" s="2" t="s">
        <v>1192</v>
      </c>
      <c r="C3495" s="1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  <c r="L3495" s="2" t="s">
        <v>11030</v>
      </c>
      <c r="M3495" s="2" t="s">
        <v>11029</v>
      </c>
      <c r="N3495" s="2" t="s">
        <v>11036</v>
      </c>
      <c r="O3495" s="2" t="s">
        <v>11036</v>
      </c>
      <c r="P3495" s="2" t="s">
        <v>11038</v>
      </c>
      <c r="Q3495" s="2">
        <f>AVERAGE(PerfRate[[#This Row],[EnvironmentSatisfaction]],PerfRate[[#This Row],[JobSatisfaction]],PerfRate[[#This Row],[RelationshipSatisfaction]])</f>
        <v>3.6666666666666665</v>
      </c>
      <c r="R3495" s="2">
        <f>PerfRate[[#This Row],[ManagerRating]] - PerfRate[[#This Row],[SelfRating]]</f>
        <v>-1</v>
      </c>
    </row>
    <row r="3496" spans="1:18">
      <c r="A3496" s="2" t="s">
        <v>7803</v>
      </c>
      <c r="B3496" s="2" t="s">
        <v>2575</v>
      </c>
      <c r="C3496" s="1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  <c r="L3496" s="2" t="s">
        <v>11029</v>
      </c>
      <c r="M3496" s="2" t="s">
        <v>11029</v>
      </c>
      <c r="N3496" s="2" t="s">
        <v>11036</v>
      </c>
      <c r="O3496" s="2" t="s">
        <v>11037</v>
      </c>
      <c r="P3496" s="2" t="s">
        <v>11036</v>
      </c>
      <c r="Q3496" s="2">
        <f>AVERAGE(PerfRate[[#This Row],[EnvironmentSatisfaction]],PerfRate[[#This Row],[JobSatisfaction]],PerfRate[[#This Row],[RelationshipSatisfaction]])</f>
        <v>3.3333333333333335</v>
      </c>
      <c r="R3496" s="2">
        <f>PerfRate[[#This Row],[ManagerRating]] - PerfRate[[#This Row],[SelfRating]]</f>
        <v>0</v>
      </c>
    </row>
    <row r="3497" spans="1:18">
      <c r="A3497" s="2" t="s">
        <v>7804</v>
      </c>
      <c r="B3497" s="2" t="s">
        <v>3552</v>
      </c>
      <c r="C3497" s="1">
        <v>41740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  <c r="L3497" s="2" t="s">
        <v>11031</v>
      </c>
      <c r="M3497" s="2" t="s">
        <v>11030</v>
      </c>
      <c r="N3497" s="2" t="s">
        <v>11038</v>
      </c>
      <c r="O3497" s="2" t="s">
        <v>11036</v>
      </c>
      <c r="P3497" s="2" t="s">
        <v>11038</v>
      </c>
      <c r="Q3497" s="2">
        <f>AVERAGE(PerfRate[[#This Row],[EnvironmentSatisfaction]],PerfRate[[#This Row],[JobSatisfaction]],PerfRate[[#This Row],[RelationshipSatisfaction]])</f>
        <v>4.333333333333333</v>
      </c>
      <c r="R3497" s="2">
        <f>PerfRate[[#This Row],[ManagerRating]] - PerfRate[[#This Row],[SelfRating]]</f>
        <v>-1</v>
      </c>
    </row>
    <row r="3498" spans="1:18">
      <c r="A3498" s="2" t="s">
        <v>7805</v>
      </c>
      <c r="B3498" s="2" t="s">
        <v>67</v>
      </c>
      <c r="C3498" s="1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  <c r="L3498" s="2" t="s">
        <v>11031</v>
      </c>
      <c r="M3498" s="2" t="s">
        <v>11031</v>
      </c>
      <c r="N3498" s="2" t="s">
        <v>11037</v>
      </c>
      <c r="O3498" s="2" t="s">
        <v>11036</v>
      </c>
      <c r="P3498" s="2" t="s">
        <v>11038</v>
      </c>
      <c r="Q3498" s="2">
        <f>AVERAGE(PerfRate[[#This Row],[EnvironmentSatisfaction]],PerfRate[[#This Row],[JobSatisfaction]],PerfRate[[#This Row],[RelationshipSatisfaction]])</f>
        <v>4</v>
      </c>
      <c r="R3498" s="2">
        <f>PerfRate[[#This Row],[ManagerRating]] - PerfRate[[#This Row],[SelfRating]]</f>
        <v>0</v>
      </c>
    </row>
    <row r="3499" spans="1:18">
      <c r="A3499" s="2" t="s">
        <v>7806</v>
      </c>
      <c r="B3499" s="2" t="s">
        <v>1018</v>
      </c>
      <c r="C3499" s="1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  <c r="L3499" s="2" t="s">
        <v>11029</v>
      </c>
      <c r="M3499" s="2" t="s">
        <v>11028</v>
      </c>
      <c r="N3499" s="2" t="s">
        <v>11036</v>
      </c>
      <c r="O3499" s="2" t="s">
        <v>11038</v>
      </c>
      <c r="P3499" s="2" t="s">
        <v>11038</v>
      </c>
      <c r="Q3499" s="2">
        <f>AVERAGE(PerfRate[[#This Row],[EnvironmentSatisfaction]],PerfRate[[#This Row],[JobSatisfaction]],PerfRate[[#This Row],[RelationshipSatisfaction]])</f>
        <v>4.333333333333333</v>
      </c>
      <c r="R3499" s="2">
        <f>PerfRate[[#This Row],[ManagerRating]] - PerfRate[[#This Row],[SelfRating]]</f>
        <v>-1</v>
      </c>
    </row>
    <row r="3500" spans="1:18">
      <c r="A3500" s="2" t="s">
        <v>7807</v>
      </c>
      <c r="B3500" s="2" t="s">
        <v>1605</v>
      </c>
      <c r="C3500" s="1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  <c r="L3500" s="2" t="s">
        <v>11029</v>
      </c>
      <c r="M3500" s="2" t="s">
        <v>11029</v>
      </c>
      <c r="N3500" s="2" t="s">
        <v>11036</v>
      </c>
      <c r="O3500" s="2" t="s">
        <v>11036</v>
      </c>
      <c r="P3500" s="2" t="s">
        <v>11037</v>
      </c>
      <c r="Q3500" s="2">
        <f>AVERAGE(PerfRate[[#This Row],[EnvironmentSatisfaction]],PerfRate[[#This Row],[JobSatisfaction]],PerfRate[[#This Row],[RelationshipSatisfaction]])</f>
        <v>3.3333333333333335</v>
      </c>
      <c r="R3500" s="2">
        <f>PerfRate[[#This Row],[ManagerRating]] - PerfRate[[#This Row],[SelfRating]]</f>
        <v>0</v>
      </c>
    </row>
    <row r="3501" spans="1:18">
      <c r="A3501" s="2" t="s">
        <v>7808</v>
      </c>
      <c r="B3501" s="2" t="s">
        <v>3824</v>
      </c>
      <c r="C3501" s="1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  <c r="L3501" s="2" t="s">
        <v>11031</v>
      </c>
      <c r="M3501" s="2" t="s">
        <v>11031</v>
      </c>
      <c r="N3501" s="2" t="s">
        <v>11037</v>
      </c>
      <c r="O3501" s="2" t="s">
        <v>11036</v>
      </c>
      <c r="P3501" s="2" t="s">
        <v>11036</v>
      </c>
      <c r="Q3501" s="2">
        <f>AVERAGE(PerfRate[[#This Row],[EnvironmentSatisfaction]],PerfRate[[#This Row],[JobSatisfaction]],PerfRate[[#This Row],[RelationshipSatisfaction]])</f>
        <v>3.3333333333333335</v>
      </c>
      <c r="R3501" s="2">
        <f>PerfRate[[#This Row],[ManagerRating]] - PerfRate[[#This Row],[SelfRating]]</f>
        <v>0</v>
      </c>
    </row>
    <row r="3502" spans="1:18">
      <c r="A3502" s="2" t="s">
        <v>7809</v>
      </c>
      <c r="B3502" s="2" t="s">
        <v>3192</v>
      </c>
      <c r="C3502" s="1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  <c r="L3502" s="2" t="s">
        <v>11030</v>
      </c>
      <c r="M3502" s="2" t="s">
        <v>11029</v>
      </c>
      <c r="N3502" s="2" t="s">
        <v>11035</v>
      </c>
      <c r="O3502" s="2" t="s">
        <v>11035</v>
      </c>
      <c r="P3502" s="2" t="s">
        <v>11036</v>
      </c>
      <c r="Q3502" s="2">
        <f>AVERAGE(PerfRate[[#This Row],[EnvironmentSatisfaction]],PerfRate[[#This Row],[JobSatisfaction]],PerfRate[[#This Row],[RelationshipSatisfaction]])</f>
        <v>2.3333333333333335</v>
      </c>
      <c r="R3502" s="2">
        <f>PerfRate[[#This Row],[ManagerRating]] - PerfRate[[#This Row],[SelfRating]]</f>
        <v>-1</v>
      </c>
    </row>
    <row r="3503" spans="1:18">
      <c r="A3503" s="2" t="s">
        <v>7810</v>
      </c>
      <c r="B3503" s="2" t="s">
        <v>2946</v>
      </c>
      <c r="C3503" s="1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  <c r="L3503" s="2" t="s">
        <v>11030</v>
      </c>
      <c r="M3503" s="2" t="s">
        <v>11029</v>
      </c>
      <c r="N3503" s="2" t="s">
        <v>11036</v>
      </c>
      <c r="O3503" s="2" t="s">
        <v>11036</v>
      </c>
      <c r="P3503" s="2" t="s">
        <v>11036</v>
      </c>
      <c r="Q3503" s="2">
        <f>AVERAGE(PerfRate[[#This Row],[EnvironmentSatisfaction]],PerfRate[[#This Row],[JobSatisfaction]],PerfRate[[#This Row],[RelationshipSatisfaction]])</f>
        <v>3</v>
      </c>
      <c r="R3503" s="2">
        <f>PerfRate[[#This Row],[ManagerRating]] - PerfRate[[#This Row],[SelfRating]]</f>
        <v>-1</v>
      </c>
    </row>
    <row r="3504" spans="1:18">
      <c r="A3504" s="2" t="s">
        <v>7811</v>
      </c>
      <c r="B3504" s="2" t="s">
        <v>1289</v>
      </c>
      <c r="C3504" s="1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  <c r="L3504" s="2" t="s">
        <v>11030</v>
      </c>
      <c r="M3504" s="2" t="s">
        <v>11029</v>
      </c>
      <c r="N3504" s="2" t="s">
        <v>11037</v>
      </c>
      <c r="O3504" s="2" t="s">
        <v>11036</v>
      </c>
      <c r="P3504" s="2" t="s">
        <v>11035</v>
      </c>
      <c r="Q3504" s="2">
        <f>AVERAGE(PerfRate[[#This Row],[EnvironmentSatisfaction]],PerfRate[[#This Row],[JobSatisfaction]],PerfRate[[#This Row],[RelationshipSatisfaction]])</f>
        <v>3</v>
      </c>
      <c r="R3504" s="2">
        <f>PerfRate[[#This Row],[ManagerRating]] - PerfRate[[#This Row],[SelfRating]]</f>
        <v>-1</v>
      </c>
    </row>
    <row r="3505" spans="1:18">
      <c r="A3505" s="2" t="s">
        <v>7812</v>
      </c>
      <c r="B3505" s="2" t="s">
        <v>1042</v>
      </c>
      <c r="C3505" s="1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  <c r="L3505" s="2" t="s">
        <v>11031</v>
      </c>
      <c r="M3505" s="2" t="s">
        <v>11030</v>
      </c>
      <c r="N3505" s="2" t="s">
        <v>11034</v>
      </c>
      <c r="O3505" s="2" t="s">
        <v>11035</v>
      </c>
      <c r="P3505" s="2" t="s">
        <v>11036</v>
      </c>
      <c r="Q3505" s="2">
        <f>AVERAGE(PerfRate[[#This Row],[EnvironmentSatisfaction]],PerfRate[[#This Row],[JobSatisfaction]],PerfRate[[#This Row],[RelationshipSatisfaction]])</f>
        <v>2</v>
      </c>
      <c r="R3505" s="2">
        <f>PerfRate[[#This Row],[ManagerRating]] - PerfRate[[#This Row],[SelfRating]]</f>
        <v>-1</v>
      </c>
    </row>
    <row r="3506" spans="1:18">
      <c r="A3506" s="2" t="s">
        <v>7813</v>
      </c>
      <c r="B3506" s="2" t="s">
        <v>3088</v>
      </c>
      <c r="C3506" s="1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  <c r="L3506" s="2" t="s">
        <v>11030</v>
      </c>
      <c r="M3506" s="2" t="s">
        <v>11029</v>
      </c>
      <c r="N3506" s="2" t="s">
        <v>11036</v>
      </c>
      <c r="O3506" s="2" t="s">
        <v>11038</v>
      </c>
      <c r="P3506" s="2" t="s">
        <v>11038</v>
      </c>
      <c r="Q3506" s="2">
        <f>AVERAGE(PerfRate[[#This Row],[EnvironmentSatisfaction]],PerfRate[[#This Row],[JobSatisfaction]],PerfRate[[#This Row],[RelationshipSatisfaction]])</f>
        <v>4.333333333333333</v>
      </c>
      <c r="R3506" s="2">
        <f>PerfRate[[#This Row],[ManagerRating]] - PerfRate[[#This Row],[SelfRating]]</f>
        <v>-1</v>
      </c>
    </row>
    <row r="3507" spans="1:18">
      <c r="A3507" s="2" t="s">
        <v>7814</v>
      </c>
      <c r="B3507" s="2" t="s">
        <v>147</v>
      </c>
      <c r="C3507" s="1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  <c r="L3507" s="2" t="s">
        <v>11030</v>
      </c>
      <c r="M3507" s="2" t="s">
        <v>11029</v>
      </c>
      <c r="N3507" s="2" t="s">
        <v>11036</v>
      </c>
      <c r="O3507" s="2" t="s">
        <v>11038</v>
      </c>
      <c r="P3507" s="2" t="s">
        <v>11035</v>
      </c>
      <c r="Q3507" s="2">
        <f>AVERAGE(PerfRate[[#This Row],[EnvironmentSatisfaction]],PerfRate[[#This Row],[JobSatisfaction]],PerfRate[[#This Row],[RelationshipSatisfaction]])</f>
        <v>3.3333333333333335</v>
      </c>
      <c r="R3507" s="2">
        <f>PerfRate[[#This Row],[ManagerRating]] - PerfRate[[#This Row],[SelfRating]]</f>
        <v>-1</v>
      </c>
    </row>
    <row r="3508" spans="1:18">
      <c r="A3508" s="2" t="s">
        <v>7815</v>
      </c>
      <c r="B3508" s="2" t="s">
        <v>3305</v>
      </c>
      <c r="C3508" s="1">
        <v>41801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  <c r="L3508" s="2" t="s">
        <v>11031</v>
      </c>
      <c r="M3508" s="2" t="s">
        <v>11031</v>
      </c>
      <c r="N3508" s="2" t="s">
        <v>11036</v>
      </c>
      <c r="O3508" s="2" t="s">
        <v>11037</v>
      </c>
      <c r="P3508" s="2" t="s">
        <v>11038</v>
      </c>
      <c r="Q3508" s="2">
        <f>AVERAGE(PerfRate[[#This Row],[EnvironmentSatisfaction]],PerfRate[[#This Row],[JobSatisfaction]],PerfRate[[#This Row],[RelationshipSatisfaction]])</f>
        <v>4</v>
      </c>
      <c r="R3508" s="2">
        <f>PerfRate[[#This Row],[ManagerRating]] - PerfRate[[#This Row],[SelfRating]]</f>
        <v>0</v>
      </c>
    </row>
    <row r="3509" spans="1:18">
      <c r="A3509" s="2" t="s">
        <v>7816</v>
      </c>
      <c r="B3509" s="2" t="s">
        <v>699</v>
      </c>
      <c r="C3509" s="1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  <c r="L3509" s="2" t="s">
        <v>11030</v>
      </c>
      <c r="M3509" s="2" t="s">
        <v>11030</v>
      </c>
      <c r="N3509" s="2" t="s">
        <v>11036</v>
      </c>
      <c r="O3509" s="2" t="s">
        <v>11036</v>
      </c>
      <c r="P3509" s="2" t="s">
        <v>11037</v>
      </c>
      <c r="Q3509" s="2">
        <f>AVERAGE(PerfRate[[#This Row],[EnvironmentSatisfaction]],PerfRate[[#This Row],[JobSatisfaction]],PerfRate[[#This Row],[RelationshipSatisfaction]])</f>
        <v>3.3333333333333335</v>
      </c>
      <c r="R3509" s="2">
        <f>PerfRate[[#This Row],[ManagerRating]] - PerfRate[[#This Row],[SelfRating]]</f>
        <v>0</v>
      </c>
    </row>
    <row r="3510" spans="1:18">
      <c r="A3510" s="2" t="s">
        <v>7817</v>
      </c>
      <c r="B3510" s="2" t="s">
        <v>2467</v>
      </c>
      <c r="C3510" s="1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  <c r="L3510" s="2" t="s">
        <v>11031</v>
      </c>
      <c r="M3510" s="2" t="s">
        <v>11030</v>
      </c>
      <c r="N3510" s="2" t="s">
        <v>11036</v>
      </c>
      <c r="O3510" s="2" t="s">
        <v>11036</v>
      </c>
      <c r="P3510" s="2" t="s">
        <v>11035</v>
      </c>
      <c r="Q3510" s="2">
        <f>AVERAGE(PerfRate[[#This Row],[EnvironmentSatisfaction]],PerfRate[[#This Row],[JobSatisfaction]],PerfRate[[#This Row],[RelationshipSatisfaction]])</f>
        <v>2.6666666666666665</v>
      </c>
      <c r="R3510" s="2">
        <f>PerfRate[[#This Row],[ManagerRating]] - PerfRate[[#This Row],[SelfRating]]</f>
        <v>-1</v>
      </c>
    </row>
    <row r="3511" spans="1:18">
      <c r="A3511" s="2" t="s">
        <v>7818</v>
      </c>
      <c r="B3511" s="2" t="s">
        <v>820</v>
      </c>
      <c r="C3511" s="1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  <c r="L3511" s="2" t="s">
        <v>11029</v>
      </c>
      <c r="M3511" s="2" t="s">
        <v>11028</v>
      </c>
      <c r="N3511" s="2" t="s">
        <v>11037</v>
      </c>
      <c r="O3511" s="2" t="s">
        <v>11037</v>
      </c>
      <c r="P3511" s="2" t="s">
        <v>11037</v>
      </c>
      <c r="Q3511" s="2">
        <f>AVERAGE(PerfRate[[#This Row],[EnvironmentSatisfaction]],PerfRate[[#This Row],[JobSatisfaction]],PerfRate[[#This Row],[RelationshipSatisfaction]])</f>
        <v>4</v>
      </c>
      <c r="R3511" s="2">
        <f>PerfRate[[#This Row],[ManagerRating]] - PerfRate[[#This Row],[SelfRating]]</f>
        <v>-1</v>
      </c>
    </row>
    <row r="3512" spans="1:18">
      <c r="A3512" s="2" t="s">
        <v>7819</v>
      </c>
      <c r="B3512" s="2" t="s">
        <v>1999</v>
      </c>
      <c r="C3512" s="1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  <c r="L3512" s="2" t="s">
        <v>11029</v>
      </c>
      <c r="M3512" s="2" t="s">
        <v>11028</v>
      </c>
      <c r="N3512" s="2" t="s">
        <v>11036</v>
      </c>
      <c r="O3512" s="2" t="s">
        <v>11035</v>
      </c>
      <c r="P3512" s="2" t="s">
        <v>11038</v>
      </c>
      <c r="Q3512" s="2">
        <f>AVERAGE(PerfRate[[#This Row],[EnvironmentSatisfaction]],PerfRate[[#This Row],[JobSatisfaction]],PerfRate[[#This Row],[RelationshipSatisfaction]])</f>
        <v>3.3333333333333335</v>
      </c>
      <c r="R3512" s="2">
        <f>PerfRate[[#This Row],[ManagerRating]] - PerfRate[[#This Row],[SelfRating]]</f>
        <v>-1</v>
      </c>
    </row>
    <row r="3513" spans="1:18">
      <c r="A3513" s="2" t="s">
        <v>7820</v>
      </c>
      <c r="B3513" s="2" t="s">
        <v>1744</v>
      </c>
      <c r="C3513" s="1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  <c r="L3513" s="2" t="s">
        <v>11029</v>
      </c>
      <c r="M3513" s="2" t="s">
        <v>11028</v>
      </c>
      <c r="N3513" s="2" t="s">
        <v>11038</v>
      </c>
      <c r="O3513" s="2" t="s">
        <v>11038</v>
      </c>
      <c r="P3513" s="2" t="s">
        <v>11035</v>
      </c>
      <c r="Q3513" s="2">
        <f>AVERAGE(PerfRate[[#This Row],[EnvironmentSatisfaction]],PerfRate[[#This Row],[JobSatisfaction]],PerfRate[[#This Row],[RelationshipSatisfaction]])</f>
        <v>4</v>
      </c>
      <c r="R3513" s="2">
        <f>PerfRate[[#This Row],[ManagerRating]] - PerfRate[[#This Row],[SelfRating]]</f>
        <v>-1</v>
      </c>
    </row>
    <row r="3514" spans="1:18">
      <c r="A3514" s="2" t="s">
        <v>7821</v>
      </c>
      <c r="B3514" s="2" t="s">
        <v>1830</v>
      </c>
      <c r="C3514" s="1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  <c r="L3514" s="2" t="s">
        <v>11029</v>
      </c>
      <c r="M3514" s="2" t="s">
        <v>11028</v>
      </c>
      <c r="N3514" s="2" t="s">
        <v>11038</v>
      </c>
      <c r="O3514" s="2" t="s">
        <v>11035</v>
      </c>
      <c r="P3514" s="2" t="s">
        <v>11035</v>
      </c>
      <c r="Q3514" s="2">
        <f>AVERAGE(PerfRate[[#This Row],[EnvironmentSatisfaction]],PerfRate[[#This Row],[JobSatisfaction]],PerfRate[[#This Row],[RelationshipSatisfaction]])</f>
        <v>3</v>
      </c>
      <c r="R3514" s="2">
        <f>PerfRate[[#This Row],[ManagerRating]] - PerfRate[[#This Row],[SelfRating]]</f>
        <v>-1</v>
      </c>
    </row>
    <row r="3515" spans="1:18">
      <c r="A3515" s="2" t="s">
        <v>7822</v>
      </c>
      <c r="B3515" s="2" t="s">
        <v>1151</v>
      </c>
      <c r="C3515" s="1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  <c r="L3515" s="2" t="s">
        <v>11031</v>
      </c>
      <c r="M3515" s="2" t="s">
        <v>11030</v>
      </c>
      <c r="N3515" s="2" t="s">
        <v>11037</v>
      </c>
      <c r="O3515" s="2" t="s">
        <v>11038</v>
      </c>
      <c r="P3515" s="2" t="s">
        <v>11035</v>
      </c>
      <c r="Q3515" s="2">
        <f>AVERAGE(PerfRate[[#This Row],[EnvironmentSatisfaction]],PerfRate[[#This Row],[JobSatisfaction]],PerfRate[[#This Row],[RelationshipSatisfaction]])</f>
        <v>3.6666666666666665</v>
      </c>
      <c r="R3515" s="2">
        <f>PerfRate[[#This Row],[ManagerRating]] - PerfRate[[#This Row],[SelfRating]]</f>
        <v>-1</v>
      </c>
    </row>
    <row r="3516" spans="1:18">
      <c r="A3516" s="2" t="s">
        <v>7823</v>
      </c>
      <c r="B3516" s="2" t="s">
        <v>1186</v>
      </c>
      <c r="C3516" s="1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  <c r="L3516" s="2" t="s">
        <v>11029</v>
      </c>
      <c r="M3516" s="2" t="s">
        <v>11029</v>
      </c>
      <c r="N3516" s="2" t="s">
        <v>11037</v>
      </c>
      <c r="O3516" s="2" t="s">
        <v>11037</v>
      </c>
      <c r="P3516" s="2" t="s">
        <v>11038</v>
      </c>
      <c r="Q3516" s="2">
        <f>AVERAGE(PerfRate[[#This Row],[EnvironmentSatisfaction]],PerfRate[[#This Row],[JobSatisfaction]],PerfRate[[#This Row],[RelationshipSatisfaction]])</f>
        <v>4.333333333333333</v>
      </c>
      <c r="R3516" s="2">
        <f>PerfRate[[#This Row],[ManagerRating]] - PerfRate[[#This Row],[SelfRating]]</f>
        <v>0</v>
      </c>
    </row>
    <row r="3517" spans="1:18">
      <c r="A3517" s="2" t="s">
        <v>7824</v>
      </c>
      <c r="B3517" s="2" t="s">
        <v>747</v>
      </c>
      <c r="C3517" s="1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  <c r="L3517" s="2" t="s">
        <v>11029</v>
      </c>
      <c r="M3517" s="2" t="s">
        <v>11029</v>
      </c>
      <c r="N3517" s="2" t="s">
        <v>11038</v>
      </c>
      <c r="O3517" s="2" t="s">
        <v>11035</v>
      </c>
      <c r="P3517" s="2" t="s">
        <v>11038</v>
      </c>
      <c r="Q3517" s="2">
        <f>AVERAGE(PerfRate[[#This Row],[EnvironmentSatisfaction]],PerfRate[[#This Row],[JobSatisfaction]],PerfRate[[#This Row],[RelationshipSatisfaction]])</f>
        <v>4</v>
      </c>
      <c r="R3517" s="2">
        <f>PerfRate[[#This Row],[ManagerRating]] - PerfRate[[#This Row],[SelfRating]]</f>
        <v>0</v>
      </c>
    </row>
    <row r="3518" spans="1:18">
      <c r="A3518" s="2" t="s">
        <v>7825</v>
      </c>
      <c r="B3518" s="2" t="s">
        <v>1000</v>
      </c>
      <c r="C3518" s="1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  <c r="L3518" s="2" t="s">
        <v>11030</v>
      </c>
      <c r="M3518" s="2" t="s">
        <v>11029</v>
      </c>
      <c r="N3518" s="2" t="s">
        <v>11037</v>
      </c>
      <c r="O3518" s="2" t="s">
        <v>11036</v>
      </c>
      <c r="P3518" s="2" t="s">
        <v>11035</v>
      </c>
      <c r="Q3518" s="2">
        <f>AVERAGE(PerfRate[[#This Row],[EnvironmentSatisfaction]],PerfRate[[#This Row],[JobSatisfaction]],PerfRate[[#This Row],[RelationshipSatisfaction]])</f>
        <v>3</v>
      </c>
      <c r="R3518" s="2">
        <f>PerfRate[[#This Row],[ManagerRating]] - PerfRate[[#This Row],[SelfRating]]</f>
        <v>-1</v>
      </c>
    </row>
    <row r="3519" spans="1:18">
      <c r="A3519" s="2" t="s">
        <v>7826</v>
      </c>
      <c r="B3519" s="2" t="s">
        <v>3442</v>
      </c>
      <c r="C3519" s="1">
        <v>41862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  <c r="L3519" s="2" t="s">
        <v>11030</v>
      </c>
      <c r="M3519" s="2" t="s">
        <v>11029</v>
      </c>
      <c r="N3519" s="2" t="s">
        <v>11037</v>
      </c>
      <c r="O3519" s="2" t="s">
        <v>11038</v>
      </c>
      <c r="P3519" s="2" t="s">
        <v>11038</v>
      </c>
      <c r="Q3519" s="2">
        <f>AVERAGE(PerfRate[[#This Row],[EnvironmentSatisfaction]],PerfRate[[#This Row],[JobSatisfaction]],PerfRate[[#This Row],[RelationshipSatisfaction]])</f>
        <v>4.666666666666667</v>
      </c>
      <c r="R3519" s="2">
        <f>PerfRate[[#This Row],[ManagerRating]] - PerfRate[[#This Row],[SelfRating]]</f>
        <v>-1</v>
      </c>
    </row>
    <row r="3520" spans="1:18">
      <c r="A3520" s="2" t="s">
        <v>7827</v>
      </c>
      <c r="B3520" s="2" t="s">
        <v>1736</v>
      </c>
      <c r="C3520" s="1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  <c r="L3520" s="2" t="s">
        <v>11029</v>
      </c>
      <c r="M3520" s="2" t="s">
        <v>11029</v>
      </c>
      <c r="N3520" s="2" t="s">
        <v>11038</v>
      </c>
      <c r="O3520" s="2" t="s">
        <v>11036</v>
      </c>
      <c r="P3520" s="2" t="s">
        <v>11035</v>
      </c>
      <c r="Q3520" s="2">
        <f>AVERAGE(PerfRate[[#This Row],[EnvironmentSatisfaction]],PerfRate[[#This Row],[JobSatisfaction]],PerfRate[[#This Row],[RelationshipSatisfaction]])</f>
        <v>3.3333333333333335</v>
      </c>
      <c r="R3520" s="2">
        <f>PerfRate[[#This Row],[ManagerRating]] - PerfRate[[#This Row],[SelfRating]]</f>
        <v>0</v>
      </c>
    </row>
    <row r="3521" spans="1:18">
      <c r="A3521" s="2" t="s">
        <v>7828</v>
      </c>
      <c r="B3521" s="2" t="s">
        <v>2590</v>
      </c>
      <c r="C3521" s="1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  <c r="L3521" s="2" t="s">
        <v>11030</v>
      </c>
      <c r="M3521" s="2" t="s">
        <v>11029</v>
      </c>
      <c r="N3521" s="2" t="s">
        <v>11038</v>
      </c>
      <c r="O3521" s="2" t="s">
        <v>11037</v>
      </c>
      <c r="P3521" s="2" t="s">
        <v>11035</v>
      </c>
      <c r="Q3521" s="2">
        <f>AVERAGE(PerfRate[[#This Row],[EnvironmentSatisfaction]],PerfRate[[#This Row],[JobSatisfaction]],PerfRate[[#This Row],[RelationshipSatisfaction]])</f>
        <v>3.6666666666666665</v>
      </c>
      <c r="R3521" s="2">
        <f>PerfRate[[#This Row],[ManagerRating]] - PerfRate[[#This Row],[SelfRating]]</f>
        <v>-1</v>
      </c>
    </row>
    <row r="3522" spans="1:18">
      <c r="A3522" s="2" t="s">
        <v>7829</v>
      </c>
      <c r="B3522" s="2" t="s">
        <v>1238</v>
      </c>
      <c r="C3522" s="1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  <c r="L3522" s="2" t="s">
        <v>11029</v>
      </c>
      <c r="M3522" s="2" t="s">
        <v>11028</v>
      </c>
      <c r="N3522" s="2" t="s">
        <v>11036</v>
      </c>
      <c r="O3522" s="2" t="s">
        <v>11035</v>
      </c>
      <c r="P3522" s="2" t="s">
        <v>11038</v>
      </c>
      <c r="Q3522" s="2">
        <f>AVERAGE(PerfRate[[#This Row],[EnvironmentSatisfaction]],PerfRate[[#This Row],[JobSatisfaction]],PerfRate[[#This Row],[RelationshipSatisfaction]])</f>
        <v>3.3333333333333335</v>
      </c>
      <c r="R3522" s="2">
        <f>PerfRate[[#This Row],[ManagerRating]] - PerfRate[[#This Row],[SelfRating]]</f>
        <v>-1</v>
      </c>
    </row>
    <row r="3523" spans="1:18">
      <c r="A3523" s="2" t="s">
        <v>7830</v>
      </c>
      <c r="B3523" s="2" t="s">
        <v>1546</v>
      </c>
      <c r="C3523" s="1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  <c r="L3523" s="2" t="s">
        <v>11030</v>
      </c>
      <c r="M3523" s="2" t="s">
        <v>11030</v>
      </c>
      <c r="N3523" s="2" t="s">
        <v>11038</v>
      </c>
      <c r="O3523" s="2" t="s">
        <v>11035</v>
      </c>
      <c r="P3523" s="2" t="s">
        <v>11036</v>
      </c>
      <c r="Q3523" s="2">
        <f>AVERAGE(PerfRate[[#This Row],[EnvironmentSatisfaction]],PerfRate[[#This Row],[JobSatisfaction]],PerfRate[[#This Row],[RelationshipSatisfaction]])</f>
        <v>3.3333333333333335</v>
      </c>
      <c r="R3523" s="2">
        <f>PerfRate[[#This Row],[ManagerRating]] - PerfRate[[#This Row],[SelfRating]]</f>
        <v>0</v>
      </c>
    </row>
    <row r="3524" spans="1:18">
      <c r="A3524" s="2" t="s">
        <v>7831</v>
      </c>
      <c r="B3524" s="2" t="s">
        <v>2324</v>
      </c>
      <c r="C3524" s="1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  <c r="L3524" s="2" t="s">
        <v>11029</v>
      </c>
      <c r="M3524" s="2" t="s">
        <v>11029</v>
      </c>
      <c r="N3524" s="2" t="s">
        <v>11038</v>
      </c>
      <c r="O3524" s="2" t="s">
        <v>11038</v>
      </c>
      <c r="P3524" s="2" t="s">
        <v>11037</v>
      </c>
      <c r="Q3524" s="2">
        <f>AVERAGE(PerfRate[[#This Row],[EnvironmentSatisfaction]],PerfRate[[#This Row],[JobSatisfaction]],PerfRate[[#This Row],[RelationshipSatisfaction]])</f>
        <v>4.666666666666667</v>
      </c>
      <c r="R3524" s="2">
        <f>PerfRate[[#This Row],[ManagerRating]] - PerfRate[[#This Row],[SelfRating]]</f>
        <v>0</v>
      </c>
    </row>
    <row r="3525" spans="1:18">
      <c r="A3525" s="2" t="s">
        <v>7832</v>
      </c>
      <c r="B3525" s="2" t="s">
        <v>2269</v>
      </c>
      <c r="C3525" s="1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  <c r="L3525" s="2" t="s">
        <v>11031</v>
      </c>
      <c r="M3525" s="2" t="s">
        <v>11031</v>
      </c>
      <c r="N3525" s="2" t="s">
        <v>11037</v>
      </c>
      <c r="O3525" s="2" t="s">
        <v>11037</v>
      </c>
      <c r="P3525" s="2" t="s">
        <v>11035</v>
      </c>
      <c r="Q3525" s="2">
        <f>AVERAGE(PerfRate[[#This Row],[EnvironmentSatisfaction]],PerfRate[[#This Row],[JobSatisfaction]],PerfRate[[#This Row],[RelationshipSatisfaction]])</f>
        <v>3.3333333333333335</v>
      </c>
      <c r="R3525" s="2">
        <f>PerfRate[[#This Row],[ManagerRating]] - PerfRate[[#This Row],[SelfRating]]</f>
        <v>0</v>
      </c>
    </row>
    <row r="3526" spans="1:18">
      <c r="A3526" s="2" t="s">
        <v>7833</v>
      </c>
      <c r="B3526" s="2" t="s">
        <v>272</v>
      </c>
      <c r="C3526" s="1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  <c r="L3526" s="2" t="s">
        <v>11030</v>
      </c>
      <c r="M3526" s="2" t="s">
        <v>11030</v>
      </c>
      <c r="N3526" s="2" t="s">
        <v>11036</v>
      </c>
      <c r="O3526" s="2" t="s">
        <v>11035</v>
      </c>
      <c r="P3526" s="2" t="s">
        <v>11038</v>
      </c>
      <c r="Q3526" s="2">
        <f>AVERAGE(PerfRate[[#This Row],[EnvironmentSatisfaction]],PerfRate[[#This Row],[JobSatisfaction]],PerfRate[[#This Row],[RelationshipSatisfaction]])</f>
        <v>3.3333333333333335</v>
      </c>
      <c r="R3526" s="2">
        <f>PerfRate[[#This Row],[ManagerRating]] - PerfRate[[#This Row],[SelfRating]]</f>
        <v>0</v>
      </c>
    </row>
    <row r="3527" spans="1:18">
      <c r="A3527" s="2" t="s">
        <v>7834</v>
      </c>
      <c r="B3527" s="2" t="s">
        <v>151</v>
      </c>
      <c r="C3527" s="1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  <c r="L3527" s="2" t="s">
        <v>11031</v>
      </c>
      <c r="M3527" s="2" t="s">
        <v>11031</v>
      </c>
      <c r="N3527" s="2" t="s">
        <v>11037</v>
      </c>
      <c r="O3527" s="2" t="s">
        <v>11036</v>
      </c>
      <c r="P3527" s="2" t="s">
        <v>11035</v>
      </c>
      <c r="Q3527" s="2">
        <f>AVERAGE(PerfRate[[#This Row],[EnvironmentSatisfaction]],PerfRate[[#This Row],[JobSatisfaction]],PerfRate[[#This Row],[RelationshipSatisfaction]])</f>
        <v>3</v>
      </c>
      <c r="R3527" s="2">
        <f>PerfRate[[#This Row],[ManagerRating]] - PerfRate[[#This Row],[SelfRating]]</f>
        <v>0</v>
      </c>
    </row>
    <row r="3528" spans="1:18">
      <c r="A3528" s="2" t="s">
        <v>7835</v>
      </c>
      <c r="B3528" s="2" t="s">
        <v>1136</v>
      </c>
      <c r="C3528" s="1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  <c r="L3528" s="2" t="s">
        <v>11030</v>
      </c>
      <c r="M3528" s="2" t="s">
        <v>11029</v>
      </c>
      <c r="N3528" s="2" t="s">
        <v>11036</v>
      </c>
      <c r="O3528" s="2" t="s">
        <v>11036</v>
      </c>
      <c r="P3528" s="2" t="s">
        <v>11037</v>
      </c>
      <c r="Q3528" s="2">
        <f>AVERAGE(PerfRate[[#This Row],[EnvironmentSatisfaction]],PerfRate[[#This Row],[JobSatisfaction]],PerfRate[[#This Row],[RelationshipSatisfaction]])</f>
        <v>3.3333333333333335</v>
      </c>
      <c r="R3528" s="2">
        <f>PerfRate[[#This Row],[ManagerRating]] - PerfRate[[#This Row],[SelfRating]]</f>
        <v>-1</v>
      </c>
    </row>
    <row r="3529" spans="1:18">
      <c r="A3529" s="2" t="s">
        <v>7836</v>
      </c>
      <c r="B3529" s="2" t="s">
        <v>1517</v>
      </c>
      <c r="C3529" s="1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  <c r="L3529" s="2" t="s">
        <v>11031</v>
      </c>
      <c r="M3529" s="2" t="s">
        <v>11030</v>
      </c>
      <c r="N3529" s="2" t="s">
        <v>11038</v>
      </c>
      <c r="O3529" s="2" t="s">
        <v>11035</v>
      </c>
      <c r="P3529" s="2" t="s">
        <v>11037</v>
      </c>
      <c r="Q3529" s="2">
        <f>AVERAGE(PerfRate[[#This Row],[EnvironmentSatisfaction]],PerfRate[[#This Row],[JobSatisfaction]],PerfRate[[#This Row],[RelationshipSatisfaction]])</f>
        <v>3.6666666666666665</v>
      </c>
      <c r="R3529" s="2">
        <f>PerfRate[[#This Row],[ManagerRating]] - PerfRate[[#This Row],[SelfRating]]</f>
        <v>-1</v>
      </c>
    </row>
    <row r="3530" spans="1:18">
      <c r="A3530" s="2" t="s">
        <v>7837</v>
      </c>
      <c r="B3530" s="2" t="s">
        <v>3631</v>
      </c>
      <c r="C3530" s="1">
        <v>41893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  <c r="L3530" s="2" t="s">
        <v>11031</v>
      </c>
      <c r="M3530" s="2" t="s">
        <v>11031</v>
      </c>
      <c r="N3530" s="2" t="s">
        <v>11038</v>
      </c>
      <c r="O3530" s="2" t="s">
        <v>11037</v>
      </c>
      <c r="P3530" s="2" t="s">
        <v>11035</v>
      </c>
      <c r="Q3530" s="2">
        <f>AVERAGE(PerfRate[[#This Row],[EnvironmentSatisfaction]],PerfRate[[#This Row],[JobSatisfaction]],PerfRate[[#This Row],[RelationshipSatisfaction]])</f>
        <v>3.6666666666666665</v>
      </c>
      <c r="R3530" s="2">
        <f>PerfRate[[#This Row],[ManagerRating]] - PerfRate[[#This Row],[SelfRating]]</f>
        <v>0</v>
      </c>
    </row>
    <row r="3531" spans="1:18">
      <c r="A3531" s="2" t="s">
        <v>7838</v>
      </c>
      <c r="B3531" s="2" t="s">
        <v>1649</v>
      </c>
      <c r="C3531" s="1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  <c r="L3531" s="2" t="s">
        <v>11031</v>
      </c>
      <c r="M3531" s="2" t="s">
        <v>11031</v>
      </c>
      <c r="N3531" s="2" t="s">
        <v>11037</v>
      </c>
      <c r="O3531" s="2" t="s">
        <v>11037</v>
      </c>
      <c r="P3531" s="2" t="s">
        <v>11036</v>
      </c>
      <c r="Q3531" s="2">
        <f>AVERAGE(PerfRate[[#This Row],[EnvironmentSatisfaction]],PerfRate[[#This Row],[JobSatisfaction]],PerfRate[[#This Row],[RelationshipSatisfaction]])</f>
        <v>3.6666666666666665</v>
      </c>
      <c r="R3531" s="2">
        <f>PerfRate[[#This Row],[ManagerRating]] - PerfRate[[#This Row],[SelfRating]]</f>
        <v>0</v>
      </c>
    </row>
    <row r="3532" spans="1:18">
      <c r="A3532" s="2" t="s">
        <v>7839</v>
      </c>
      <c r="B3532" s="2" t="s">
        <v>2074</v>
      </c>
      <c r="C3532" s="1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  <c r="L3532" s="2" t="s">
        <v>11030</v>
      </c>
      <c r="M3532" s="2" t="s">
        <v>11029</v>
      </c>
      <c r="N3532" s="2" t="s">
        <v>11037</v>
      </c>
      <c r="O3532" s="2" t="s">
        <v>11035</v>
      </c>
      <c r="P3532" s="2" t="s">
        <v>11036</v>
      </c>
      <c r="Q3532" s="2">
        <f>AVERAGE(PerfRate[[#This Row],[EnvironmentSatisfaction]],PerfRate[[#This Row],[JobSatisfaction]],PerfRate[[#This Row],[RelationshipSatisfaction]])</f>
        <v>3</v>
      </c>
      <c r="R3532" s="2">
        <f>PerfRate[[#This Row],[ManagerRating]] - PerfRate[[#This Row],[SelfRating]]</f>
        <v>-1</v>
      </c>
    </row>
    <row r="3533" spans="1:18">
      <c r="A3533" s="2" t="s">
        <v>7840</v>
      </c>
      <c r="B3533" s="2" t="s">
        <v>3857</v>
      </c>
      <c r="C3533" s="1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  <c r="L3533" s="2" t="s">
        <v>11029</v>
      </c>
      <c r="M3533" s="2" t="s">
        <v>11029</v>
      </c>
      <c r="N3533" s="2" t="s">
        <v>11036</v>
      </c>
      <c r="O3533" s="2" t="s">
        <v>11036</v>
      </c>
      <c r="P3533" s="2" t="s">
        <v>11037</v>
      </c>
      <c r="Q3533" s="2">
        <f>AVERAGE(PerfRate[[#This Row],[EnvironmentSatisfaction]],PerfRate[[#This Row],[JobSatisfaction]],PerfRate[[#This Row],[RelationshipSatisfaction]])</f>
        <v>3.3333333333333335</v>
      </c>
      <c r="R3533" s="2">
        <f>PerfRate[[#This Row],[ManagerRating]] - PerfRate[[#This Row],[SelfRating]]</f>
        <v>0</v>
      </c>
    </row>
    <row r="3534" spans="1:18">
      <c r="A3534" s="2" t="s">
        <v>7841</v>
      </c>
      <c r="B3534" s="2" t="s">
        <v>1391</v>
      </c>
      <c r="C3534" s="1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  <c r="L3534" s="2" t="s">
        <v>11031</v>
      </c>
      <c r="M3534" s="2" t="s">
        <v>11030</v>
      </c>
      <c r="N3534" s="2" t="s">
        <v>11037</v>
      </c>
      <c r="O3534" s="2" t="s">
        <v>11035</v>
      </c>
      <c r="P3534" s="2" t="s">
        <v>11035</v>
      </c>
      <c r="Q3534" s="2">
        <f>AVERAGE(PerfRate[[#This Row],[EnvironmentSatisfaction]],PerfRate[[#This Row],[JobSatisfaction]],PerfRate[[#This Row],[RelationshipSatisfaction]])</f>
        <v>2.6666666666666665</v>
      </c>
      <c r="R3534" s="2">
        <f>PerfRate[[#This Row],[ManagerRating]] - PerfRate[[#This Row],[SelfRating]]</f>
        <v>-1</v>
      </c>
    </row>
    <row r="3535" spans="1:18">
      <c r="A3535" s="2" t="s">
        <v>7842</v>
      </c>
      <c r="B3535" s="2" t="s">
        <v>3394</v>
      </c>
      <c r="C3535" s="1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  <c r="L3535" s="2" t="s">
        <v>11031</v>
      </c>
      <c r="M3535" s="2" t="s">
        <v>11030</v>
      </c>
      <c r="N3535" s="2" t="s">
        <v>11036</v>
      </c>
      <c r="O3535" s="2" t="s">
        <v>11036</v>
      </c>
      <c r="P3535" s="2" t="s">
        <v>11036</v>
      </c>
      <c r="Q3535" s="2">
        <f>AVERAGE(PerfRate[[#This Row],[EnvironmentSatisfaction]],PerfRate[[#This Row],[JobSatisfaction]],PerfRate[[#This Row],[RelationshipSatisfaction]])</f>
        <v>3</v>
      </c>
      <c r="R3535" s="2">
        <f>PerfRate[[#This Row],[ManagerRating]] - PerfRate[[#This Row],[SelfRating]]</f>
        <v>-1</v>
      </c>
    </row>
    <row r="3536" spans="1:18">
      <c r="A3536" s="2" t="s">
        <v>7843</v>
      </c>
      <c r="B3536" s="2" t="s">
        <v>1844</v>
      </c>
      <c r="C3536" s="1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  <c r="L3536" s="2" t="s">
        <v>11031</v>
      </c>
      <c r="M3536" s="2" t="s">
        <v>11031</v>
      </c>
      <c r="N3536" s="2" t="s">
        <v>11036</v>
      </c>
      <c r="O3536" s="2" t="s">
        <v>11036</v>
      </c>
      <c r="P3536" s="2" t="s">
        <v>11036</v>
      </c>
      <c r="Q3536" s="2">
        <f>AVERAGE(PerfRate[[#This Row],[EnvironmentSatisfaction]],PerfRate[[#This Row],[JobSatisfaction]],PerfRate[[#This Row],[RelationshipSatisfaction]])</f>
        <v>3</v>
      </c>
      <c r="R3536" s="2">
        <f>PerfRate[[#This Row],[ManagerRating]] - PerfRate[[#This Row],[SelfRating]]</f>
        <v>0</v>
      </c>
    </row>
    <row r="3537" spans="1:18">
      <c r="A3537" s="2" t="s">
        <v>7844</v>
      </c>
      <c r="B3537" s="2" t="s">
        <v>35</v>
      </c>
      <c r="C3537" s="1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  <c r="L3537" s="2" t="s">
        <v>11029</v>
      </c>
      <c r="M3537" s="2" t="s">
        <v>11029</v>
      </c>
      <c r="N3537" s="2" t="s">
        <v>11036</v>
      </c>
      <c r="O3537" s="2" t="s">
        <v>11035</v>
      </c>
      <c r="P3537" s="2" t="s">
        <v>11035</v>
      </c>
      <c r="Q3537" s="2">
        <f>AVERAGE(PerfRate[[#This Row],[EnvironmentSatisfaction]],PerfRate[[#This Row],[JobSatisfaction]],PerfRate[[#This Row],[RelationshipSatisfaction]])</f>
        <v>2.3333333333333335</v>
      </c>
      <c r="R3537" s="2">
        <f>PerfRate[[#This Row],[ManagerRating]] - PerfRate[[#This Row],[SelfRating]]</f>
        <v>0</v>
      </c>
    </row>
    <row r="3538" spans="1:18">
      <c r="A3538" s="2" t="s">
        <v>7845</v>
      </c>
      <c r="B3538" s="2" t="s">
        <v>583</v>
      </c>
      <c r="C3538" s="1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  <c r="L3538" s="2" t="s">
        <v>11029</v>
      </c>
      <c r="M3538" s="2" t="s">
        <v>11029</v>
      </c>
      <c r="N3538" s="2" t="s">
        <v>11038</v>
      </c>
      <c r="O3538" s="2" t="s">
        <v>11038</v>
      </c>
      <c r="P3538" s="2" t="s">
        <v>11036</v>
      </c>
      <c r="Q3538" s="2">
        <f>AVERAGE(PerfRate[[#This Row],[EnvironmentSatisfaction]],PerfRate[[#This Row],[JobSatisfaction]],PerfRate[[#This Row],[RelationshipSatisfaction]])</f>
        <v>4.333333333333333</v>
      </c>
      <c r="R3538" s="2">
        <f>PerfRate[[#This Row],[ManagerRating]] - PerfRate[[#This Row],[SelfRating]]</f>
        <v>0</v>
      </c>
    </row>
    <row r="3539" spans="1:18">
      <c r="A3539" s="2" t="s">
        <v>7846</v>
      </c>
      <c r="B3539" s="2" t="s">
        <v>1062</v>
      </c>
      <c r="C3539" s="1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  <c r="L3539" s="2" t="s">
        <v>11029</v>
      </c>
      <c r="M3539" s="2" t="s">
        <v>11029</v>
      </c>
      <c r="N3539" s="2" t="s">
        <v>11038</v>
      </c>
      <c r="O3539" s="2" t="s">
        <v>11035</v>
      </c>
      <c r="P3539" s="2" t="s">
        <v>11037</v>
      </c>
      <c r="Q3539" s="2">
        <f>AVERAGE(PerfRate[[#This Row],[EnvironmentSatisfaction]],PerfRate[[#This Row],[JobSatisfaction]],PerfRate[[#This Row],[RelationshipSatisfaction]])</f>
        <v>3.6666666666666665</v>
      </c>
      <c r="R3539" s="2">
        <f>PerfRate[[#This Row],[ManagerRating]] - PerfRate[[#This Row],[SelfRating]]</f>
        <v>0</v>
      </c>
    </row>
    <row r="3540" spans="1:18">
      <c r="A3540" s="2" t="s">
        <v>7847</v>
      </c>
      <c r="B3540" s="2" t="s">
        <v>1617</v>
      </c>
      <c r="C3540" s="1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  <c r="L3540" s="2" t="s">
        <v>11030</v>
      </c>
      <c r="M3540" s="2" t="s">
        <v>11030</v>
      </c>
      <c r="N3540" s="2" t="s">
        <v>11037</v>
      </c>
      <c r="O3540" s="2" t="s">
        <v>11038</v>
      </c>
      <c r="P3540" s="2" t="s">
        <v>11037</v>
      </c>
      <c r="Q3540" s="2">
        <f>AVERAGE(PerfRate[[#This Row],[EnvironmentSatisfaction]],PerfRate[[#This Row],[JobSatisfaction]],PerfRate[[#This Row],[RelationshipSatisfaction]])</f>
        <v>4.333333333333333</v>
      </c>
      <c r="R3540" s="2">
        <f>PerfRate[[#This Row],[ManagerRating]] - PerfRate[[#This Row],[SelfRating]]</f>
        <v>0</v>
      </c>
    </row>
    <row r="3541" spans="1:18">
      <c r="A3541" s="2" t="s">
        <v>7848</v>
      </c>
      <c r="B3541" s="2" t="s">
        <v>4227</v>
      </c>
      <c r="C3541" s="1">
        <v>41984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  <c r="L3541" s="2" t="s">
        <v>11030</v>
      </c>
      <c r="M3541" s="2" t="s">
        <v>11030</v>
      </c>
      <c r="N3541" s="2" t="s">
        <v>11036</v>
      </c>
      <c r="O3541" s="2" t="s">
        <v>11035</v>
      </c>
      <c r="P3541" s="2" t="s">
        <v>11035</v>
      </c>
      <c r="Q3541" s="2">
        <f>AVERAGE(PerfRate[[#This Row],[EnvironmentSatisfaction]],PerfRate[[#This Row],[JobSatisfaction]],PerfRate[[#This Row],[RelationshipSatisfaction]])</f>
        <v>2.3333333333333335</v>
      </c>
      <c r="R3541" s="2">
        <f>PerfRate[[#This Row],[ManagerRating]] - PerfRate[[#This Row],[SelfRating]]</f>
        <v>0</v>
      </c>
    </row>
    <row r="3542" spans="1:18">
      <c r="A3542" s="2" t="s">
        <v>7849</v>
      </c>
      <c r="B3542" s="2" t="s">
        <v>1450</v>
      </c>
      <c r="C3542" s="1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  <c r="L3542" s="2" t="s">
        <v>11029</v>
      </c>
      <c r="M3542" s="2" t="s">
        <v>11029</v>
      </c>
      <c r="N3542" s="2" t="s">
        <v>11038</v>
      </c>
      <c r="O3542" s="2" t="s">
        <v>11036</v>
      </c>
      <c r="P3542" s="2" t="s">
        <v>11036</v>
      </c>
      <c r="Q3542" s="2">
        <f>AVERAGE(PerfRate[[#This Row],[EnvironmentSatisfaction]],PerfRate[[#This Row],[JobSatisfaction]],PerfRate[[#This Row],[RelationshipSatisfaction]])</f>
        <v>3.6666666666666665</v>
      </c>
      <c r="R3542" s="2">
        <f>PerfRate[[#This Row],[ManagerRating]] - PerfRate[[#This Row],[SelfRating]]</f>
        <v>0</v>
      </c>
    </row>
    <row r="3543" spans="1:18">
      <c r="A3543" s="2" t="s">
        <v>7850</v>
      </c>
      <c r="B3543" s="2" t="s">
        <v>829</v>
      </c>
      <c r="C3543" s="1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  <c r="L3543" s="2" t="s">
        <v>11029</v>
      </c>
      <c r="M3543" s="2" t="s">
        <v>11028</v>
      </c>
      <c r="N3543" s="2" t="s">
        <v>11037</v>
      </c>
      <c r="O3543" s="2" t="s">
        <v>11035</v>
      </c>
      <c r="P3543" s="2" t="s">
        <v>11037</v>
      </c>
      <c r="Q3543" s="2">
        <f>AVERAGE(PerfRate[[#This Row],[EnvironmentSatisfaction]],PerfRate[[#This Row],[JobSatisfaction]],PerfRate[[#This Row],[RelationshipSatisfaction]])</f>
        <v>3.3333333333333335</v>
      </c>
      <c r="R3543" s="2">
        <f>PerfRate[[#This Row],[ManagerRating]] - PerfRate[[#This Row],[SelfRating]]</f>
        <v>-1</v>
      </c>
    </row>
    <row r="3544" spans="1:18">
      <c r="A3544" s="2" t="s">
        <v>7851</v>
      </c>
      <c r="B3544" s="2" t="s">
        <v>1875</v>
      </c>
      <c r="C3544" s="1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  <c r="L3544" s="2" t="s">
        <v>11029</v>
      </c>
      <c r="M3544" s="2" t="s">
        <v>11028</v>
      </c>
      <c r="N3544" s="2" t="s">
        <v>11036</v>
      </c>
      <c r="O3544" s="2" t="s">
        <v>11038</v>
      </c>
      <c r="P3544" s="2" t="s">
        <v>11037</v>
      </c>
      <c r="Q3544" s="2">
        <f>AVERAGE(PerfRate[[#This Row],[EnvironmentSatisfaction]],PerfRate[[#This Row],[JobSatisfaction]],PerfRate[[#This Row],[RelationshipSatisfaction]])</f>
        <v>4</v>
      </c>
      <c r="R3544" s="2">
        <f>PerfRate[[#This Row],[ManagerRating]] - PerfRate[[#This Row],[SelfRating]]</f>
        <v>-1</v>
      </c>
    </row>
    <row r="3545" spans="1:18">
      <c r="A3545" s="2" t="s">
        <v>7852</v>
      </c>
      <c r="B3545" s="2" t="s">
        <v>2450</v>
      </c>
      <c r="C3545" s="1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  <c r="L3545" s="2" t="s">
        <v>11029</v>
      </c>
      <c r="M3545" s="2" t="s">
        <v>11028</v>
      </c>
      <c r="N3545" s="2" t="s">
        <v>11036</v>
      </c>
      <c r="O3545" s="2" t="s">
        <v>11038</v>
      </c>
      <c r="P3545" s="2" t="s">
        <v>11037</v>
      </c>
      <c r="Q3545" s="2">
        <f>AVERAGE(PerfRate[[#This Row],[EnvironmentSatisfaction]],PerfRate[[#This Row],[JobSatisfaction]],PerfRate[[#This Row],[RelationshipSatisfaction]])</f>
        <v>4</v>
      </c>
      <c r="R3545" s="2">
        <f>PerfRate[[#This Row],[ManagerRating]] - PerfRate[[#This Row],[SelfRating]]</f>
        <v>-1</v>
      </c>
    </row>
    <row r="3546" spans="1:18">
      <c r="A3546" s="2" t="s">
        <v>7853</v>
      </c>
      <c r="B3546" s="2" t="s">
        <v>1727</v>
      </c>
      <c r="C3546" s="1">
        <v>43838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  <c r="L3546" s="2" t="s">
        <v>11031</v>
      </c>
      <c r="M3546" s="2" t="s">
        <v>11031</v>
      </c>
      <c r="N3546" s="2" t="s">
        <v>11037</v>
      </c>
      <c r="O3546" s="2" t="s">
        <v>11036</v>
      </c>
      <c r="P3546" s="2" t="s">
        <v>11035</v>
      </c>
      <c r="Q3546" s="2">
        <f>AVERAGE(PerfRate[[#This Row],[EnvironmentSatisfaction]],PerfRate[[#This Row],[JobSatisfaction]],PerfRate[[#This Row],[RelationshipSatisfaction]])</f>
        <v>3</v>
      </c>
      <c r="R3546" s="2">
        <f>PerfRate[[#This Row],[ManagerRating]] - PerfRate[[#This Row],[SelfRating]]</f>
        <v>0</v>
      </c>
    </row>
    <row r="3547" spans="1:18">
      <c r="A3547" s="2" t="s">
        <v>7854</v>
      </c>
      <c r="B3547" s="2" t="s">
        <v>1505</v>
      </c>
      <c r="C3547" s="1">
        <v>43869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  <c r="L3547" s="2" t="s">
        <v>11031</v>
      </c>
      <c r="M3547" s="2" t="s">
        <v>11030</v>
      </c>
      <c r="N3547" s="2" t="s">
        <v>11036</v>
      </c>
      <c r="O3547" s="2" t="s">
        <v>11037</v>
      </c>
      <c r="P3547" s="2" t="s">
        <v>11038</v>
      </c>
      <c r="Q3547" s="2">
        <f>AVERAGE(PerfRate[[#This Row],[EnvironmentSatisfaction]],PerfRate[[#This Row],[JobSatisfaction]],PerfRate[[#This Row],[RelationshipSatisfaction]])</f>
        <v>4</v>
      </c>
      <c r="R3547" s="2">
        <f>PerfRate[[#This Row],[ManagerRating]] - PerfRate[[#This Row],[SelfRating]]</f>
        <v>-1</v>
      </c>
    </row>
    <row r="3548" spans="1:18">
      <c r="A3548" s="2" t="s">
        <v>7855</v>
      </c>
      <c r="B3548" s="2" t="s">
        <v>1526</v>
      </c>
      <c r="C3548" s="1">
        <v>43869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  <c r="L3548" s="2" t="s">
        <v>11030</v>
      </c>
      <c r="M3548" s="2" t="s">
        <v>11030</v>
      </c>
      <c r="N3548" s="2" t="s">
        <v>11036</v>
      </c>
      <c r="O3548" s="2" t="s">
        <v>11038</v>
      </c>
      <c r="P3548" s="2" t="s">
        <v>11038</v>
      </c>
      <c r="Q3548" s="2">
        <f>AVERAGE(PerfRate[[#This Row],[EnvironmentSatisfaction]],PerfRate[[#This Row],[JobSatisfaction]],PerfRate[[#This Row],[RelationshipSatisfaction]])</f>
        <v>4.333333333333333</v>
      </c>
      <c r="R3548" s="2">
        <f>PerfRate[[#This Row],[ManagerRating]] - PerfRate[[#This Row],[SelfRating]]</f>
        <v>0</v>
      </c>
    </row>
    <row r="3549" spans="1:18">
      <c r="A3549" s="2" t="s">
        <v>7856</v>
      </c>
      <c r="B3549" s="2" t="s">
        <v>2545</v>
      </c>
      <c r="C3549" s="1">
        <v>43898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  <c r="L3549" s="2" t="s">
        <v>11030</v>
      </c>
      <c r="M3549" s="2" t="s">
        <v>11030</v>
      </c>
      <c r="N3549" s="2" t="s">
        <v>11038</v>
      </c>
      <c r="O3549" s="2" t="s">
        <v>11035</v>
      </c>
      <c r="P3549" s="2" t="s">
        <v>11038</v>
      </c>
      <c r="Q3549" s="2">
        <f>AVERAGE(PerfRate[[#This Row],[EnvironmentSatisfaction]],PerfRate[[#This Row],[JobSatisfaction]],PerfRate[[#This Row],[RelationshipSatisfaction]])</f>
        <v>4</v>
      </c>
      <c r="R3549" s="2">
        <f>PerfRate[[#This Row],[ManagerRating]] - PerfRate[[#This Row],[SelfRating]]</f>
        <v>0</v>
      </c>
    </row>
    <row r="3550" spans="1:18">
      <c r="A3550" s="2" t="s">
        <v>7857</v>
      </c>
      <c r="B3550" s="2" t="s">
        <v>377</v>
      </c>
      <c r="C3550" s="1">
        <v>43898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  <c r="L3550" s="2" t="s">
        <v>11029</v>
      </c>
      <c r="M3550" s="2" t="s">
        <v>11028</v>
      </c>
      <c r="N3550" s="2" t="s">
        <v>11038</v>
      </c>
      <c r="O3550" s="2" t="s">
        <v>11037</v>
      </c>
      <c r="P3550" s="2" t="s">
        <v>11036</v>
      </c>
      <c r="Q3550" s="2">
        <f>AVERAGE(PerfRate[[#This Row],[EnvironmentSatisfaction]],PerfRate[[#This Row],[JobSatisfaction]],PerfRate[[#This Row],[RelationshipSatisfaction]])</f>
        <v>4</v>
      </c>
      <c r="R3550" s="2">
        <f>PerfRate[[#This Row],[ManagerRating]] - PerfRate[[#This Row],[SelfRating]]</f>
        <v>-1</v>
      </c>
    </row>
    <row r="3551" spans="1:18">
      <c r="A3551" s="2" t="s">
        <v>7858</v>
      </c>
      <c r="B3551" s="2" t="s">
        <v>115</v>
      </c>
      <c r="C3551" s="1">
        <v>43898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  <c r="L3551" s="2" t="s">
        <v>11031</v>
      </c>
      <c r="M3551" s="2" t="s">
        <v>11031</v>
      </c>
      <c r="N3551" s="2" t="s">
        <v>11038</v>
      </c>
      <c r="O3551" s="2" t="s">
        <v>11037</v>
      </c>
      <c r="P3551" s="2" t="s">
        <v>11037</v>
      </c>
      <c r="Q3551" s="2">
        <f>AVERAGE(PerfRate[[#This Row],[EnvironmentSatisfaction]],PerfRate[[#This Row],[JobSatisfaction]],PerfRate[[#This Row],[RelationshipSatisfaction]])</f>
        <v>4.333333333333333</v>
      </c>
      <c r="R3551" s="2">
        <f>PerfRate[[#This Row],[ManagerRating]] - PerfRate[[#This Row],[SelfRating]]</f>
        <v>0</v>
      </c>
    </row>
    <row r="3552" spans="1:18">
      <c r="A3552" s="2" t="s">
        <v>7859</v>
      </c>
      <c r="B3552" s="2" t="s">
        <v>3411</v>
      </c>
      <c r="C3552" s="1">
        <v>41984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  <c r="L3552" s="2" t="s">
        <v>11030</v>
      </c>
      <c r="M3552" s="2" t="s">
        <v>11029</v>
      </c>
      <c r="N3552" s="2" t="s">
        <v>11038</v>
      </c>
      <c r="O3552" s="2" t="s">
        <v>11035</v>
      </c>
      <c r="P3552" s="2" t="s">
        <v>11038</v>
      </c>
      <c r="Q3552" s="2">
        <f>AVERAGE(PerfRate[[#This Row],[EnvironmentSatisfaction]],PerfRate[[#This Row],[JobSatisfaction]],PerfRate[[#This Row],[RelationshipSatisfaction]])</f>
        <v>4</v>
      </c>
      <c r="R3552" s="2">
        <f>PerfRate[[#This Row],[ManagerRating]] - PerfRate[[#This Row],[SelfRating]]</f>
        <v>-1</v>
      </c>
    </row>
    <row r="3553" spans="1:18">
      <c r="A3553" s="2" t="s">
        <v>7860</v>
      </c>
      <c r="B3553" s="2" t="s">
        <v>1054</v>
      </c>
      <c r="C3553" s="1">
        <v>43898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  <c r="L3553" s="2" t="s">
        <v>11030</v>
      </c>
      <c r="M3553" s="2" t="s">
        <v>11029</v>
      </c>
      <c r="N3553" s="2" t="s">
        <v>11038</v>
      </c>
      <c r="O3553" s="2" t="s">
        <v>11037</v>
      </c>
      <c r="P3553" s="2" t="s">
        <v>11037</v>
      </c>
      <c r="Q3553" s="2">
        <f>AVERAGE(PerfRate[[#This Row],[EnvironmentSatisfaction]],PerfRate[[#This Row],[JobSatisfaction]],PerfRate[[#This Row],[RelationshipSatisfaction]])</f>
        <v>4.333333333333333</v>
      </c>
      <c r="R3553" s="2">
        <f>PerfRate[[#This Row],[ManagerRating]] - PerfRate[[#This Row],[SelfRating]]</f>
        <v>-1</v>
      </c>
    </row>
    <row r="3554" spans="1:18">
      <c r="A3554" s="2" t="s">
        <v>7861</v>
      </c>
      <c r="B3554" s="2" t="s">
        <v>2057</v>
      </c>
      <c r="C3554" s="1">
        <v>43898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  <c r="L3554" s="2" t="s">
        <v>11031</v>
      </c>
      <c r="M3554" s="2" t="s">
        <v>11030</v>
      </c>
      <c r="N3554" s="2" t="s">
        <v>11038</v>
      </c>
      <c r="O3554" s="2" t="s">
        <v>11036</v>
      </c>
      <c r="P3554" s="2" t="s">
        <v>11035</v>
      </c>
      <c r="Q3554" s="2">
        <f>AVERAGE(PerfRate[[#This Row],[EnvironmentSatisfaction]],PerfRate[[#This Row],[JobSatisfaction]],PerfRate[[#This Row],[RelationshipSatisfaction]])</f>
        <v>3.3333333333333335</v>
      </c>
      <c r="R3554" s="2">
        <f>PerfRate[[#This Row],[ManagerRating]] - PerfRate[[#This Row],[SelfRating]]</f>
        <v>-1</v>
      </c>
    </row>
    <row r="3555" spans="1:18">
      <c r="A3555" s="2" t="s">
        <v>7862</v>
      </c>
      <c r="B3555" s="2" t="s">
        <v>553</v>
      </c>
      <c r="C3555" s="1">
        <v>43959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  <c r="L3555" s="2" t="s">
        <v>11031</v>
      </c>
      <c r="M3555" s="2" t="s">
        <v>11030</v>
      </c>
      <c r="N3555" s="2" t="s">
        <v>11038</v>
      </c>
      <c r="O3555" s="2" t="s">
        <v>11038</v>
      </c>
      <c r="P3555" s="2" t="s">
        <v>11035</v>
      </c>
      <c r="Q3555" s="2">
        <f>AVERAGE(PerfRate[[#This Row],[EnvironmentSatisfaction]],PerfRate[[#This Row],[JobSatisfaction]],PerfRate[[#This Row],[RelationshipSatisfaction]])</f>
        <v>4</v>
      </c>
      <c r="R3555" s="2">
        <f>PerfRate[[#This Row],[ManagerRating]] - PerfRate[[#This Row],[SelfRating]]</f>
        <v>-1</v>
      </c>
    </row>
    <row r="3556" spans="1:18">
      <c r="A3556" s="2" t="s">
        <v>7863</v>
      </c>
      <c r="B3556" s="2" t="s">
        <v>729</v>
      </c>
      <c r="C3556" s="1">
        <v>43959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  <c r="L3556" s="2" t="s">
        <v>11029</v>
      </c>
      <c r="M3556" s="2" t="s">
        <v>11028</v>
      </c>
      <c r="N3556" s="2" t="s">
        <v>11037</v>
      </c>
      <c r="O3556" s="2" t="s">
        <v>11037</v>
      </c>
      <c r="P3556" s="2" t="s">
        <v>11036</v>
      </c>
      <c r="Q3556" s="2">
        <f>AVERAGE(PerfRate[[#This Row],[EnvironmentSatisfaction]],PerfRate[[#This Row],[JobSatisfaction]],PerfRate[[#This Row],[RelationshipSatisfaction]])</f>
        <v>3.6666666666666665</v>
      </c>
      <c r="R3556" s="2">
        <f>PerfRate[[#This Row],[ManagerRating]] - PerfRate[[#This Row],[SelfRating]]</f>
        <v>-1</v>
      </c>
    </row>
    <row r="3557" spans="1:18">
      <c r="A3557" s="2" t="s">
        <v>7864</v>
      </c>
      <c r="B3557" s="2" t="s">
        <v>1956</v>
      </c>
      <c r="C3557" s="1">
        <v>43959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  <c r="L3557" s="2" t="s">
        <v>11031</v>
      </c>
      <c r="M3557" s="2" t="s">
        <v>11030</v>
      </c>
      <c r="N3557" s="2" t="s">
        <v>11037</v>
      </c>
      <c r="O3557" s="2" t="s">
        <v>11036</v>
      </c>
      <c r="P3557" s="2" t="s">
        <v>11038</v>
      </c>
      <c r="Q3557" s="2">
        <f>AVERAGE(PerfRate[[#This Row],[EnvironmentSatisfaction]],PerfRate[[#This Row],[JobSatisfaction]],PerfRate[[#This Row],[RelationshipSatisfaction]])</f>
        <v>4</v>
      </c>
      <c r="R3557" s="2">
        <f>PerfRate[[#This Row],[ManagerRating]] - PerfRate[[#This Row],[SelfRating]]</f>
        <v>-1</v>
      </c>
    </row>
    <row r="3558" spans="1:18">
      <c r="A3558" s="2" t="s">
        <v>7865</v>
      </c>
      <c r="B3558" s="2" t="s">
        <v>2357</v>
      </c>
      <c r="C3558" s="1">
        <v>43990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  <c r="L3558" s="2" t="s">
        <v>11031</v>
      </c>
      <c r="M3558" s="2" t="s">
        <v>11031</v>
      </c>
      <c r="N3558" s="2" t="s">
        <v>11036</v>
      </c>
      <c r="O3558" s="2" t="s">
        <v>11038</v>
      </c>
      <c r="P3558" s="2" t="s">
        <v>11035</v>
      </c>
      <c r="Q3558" s="2">
        <f>AVERAGE(PerfRate[[#This Row],[EnvironmentSatisfaction]],PerfRate[[#This Row],[JobSatisfaction]],PerfRate[[#This Row],[RelationshipSatisfaction]])</f>
        <v>3.3333333333333335</v>
      </c>
      <c r="R3558" s="2">
        <f>PerfRate[[#This Row],[ManagerRating]] - PerfRate[[#This Row],[SelfRating]]</f>
        <v>0</v>
      </c>
    </row>
    <row r="3559" spans="1:18">
      <c r="A3559" s="2" t="s">
        <v>7866</v>
      </c>
      <c r="B3559" s="2" t="s">
        <v>774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  <c r="L3559" s="2" t="s">
        <v>11030</v>
      </c>
      <c r="M3559" s="2" t="s">
        <v>11030</v>
      </c>
      <c r="N3559" s="2" t="s">
        <v>11036</v>
      </c>
      <c r="O3559" s="2" t="s">
        <v>11035</v>
      </c>
      <c r="P3559" s="2" t="s">
        <v>11037</v>
      </c>
      <c r="Q3559" s="2">
        <f>AVERAGE(PerfRate[[#This Row],[EnvironmentSatisfaction]],PerfRate[[#This Row],[JobSatisfaction]],PerfRate[[#This Row],[RelationshipSatisfaction]])</f>
        <v>3</v>
      </c>
      <c r="R3559" s="2">
        <f>PerfRate[[#This Row],[ManagerRating]] - PerfRate[[#This Row],[SelfRating]]</f>
        <v>0</v>
      </c>
    </row>
    <row r="3560" spans="1:18">
      <c r="A3560" s="2" t="s">
        <v>7867</v>
      </c>
      <c r="B3560" s="2" t="s">
        <v>1488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  <c r="L3560" s="2" t="s">
        <v>11029</v>
      </c>
      <c r="M3560" s="2" t="s">
        <v>11029</v>
      </c>
      <c r="N3560" s="2" t="s">
        <v>11037</v>
      </c>
      <c r="O3560" s="2" t="s">
        <v>11038</v>
      </c>
      <c r="P3560" s="2" t="s">
        <v>11036</v>
      </c>
      <c r="Q3560" s="2">
        <f>AVERAGE(PerfRate[[#This Row],[EnvironmentSatisfaction]],PerfRate[[#This Row],[JobSatisfaction]],PerfRate[[#This Row],[RelationshipSatisfaction]])</f>
        <v>4</v>
      </c>
      <c r="R3560" s="2">
        <f>PerfRate[[#This Row],[ManagerRating]] - PerfRate[[#This Row],[SelfRating]]</f>
        <v>0</v>
      </c>
    </row>
    <row r="3561" spans="1:18">
      <c r="A3561" s="2" t="s">
        <v>7868</v>
      </c>
      <c r="B3561" s="2" t="s">
        <v>2134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  <c r="L3561" s="2" t="s">
        <v>11030</v>
      </c>
      <c r="M3561" s="2" t="s">
        <v>11029</v>
      </c>
      <c r="N3561" s="2" t="s">
        <v>11037</v>
      </c>
      <c r="O3561" s="2" t="s">
        <v>11035</v>
      </c>
      <c r="P3561" s="2" t="s">
        <v>11037</v>
      </c>
      <c r="Q3561" s="2">
        <f>AVERAGE(PerfRate[[#This Row],[EnvironmentSatisfaction]],PerfRate[[#This Row],[JobSatisfaction]],PerfRate[[#This Row],[RelationshipSatisfaction]])</f>
        <v>3.3333333333333335</v>
      </c>
      <c r="R3561" s="2">
        <f>PerfRate[[#This Row],[ManagerRating]] - PerfRate[[#This Row],[SelfRating]]</f>
        <v>-1</v>
      </c>
    </row>
    <row r="3562" spans="1:18">
      <c r="A3562" s="2" t="s">
        <v>7869</v>
      </c>
      <c r="B3562" s="2" t="s">
        <v>250</v>
      </c>
      <c r="C3562" s="1">
        <v>44082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  <c r="L3562" s="2" t="s">
        <v>11030</v>
      </c>
      <c r="M3562" s="2" t="s">
        <v>11030</v>
      </c>
      <c r="N3562" s="2" t="s">
        <v>11036</v>
      </c>
      <c r="O3562" s="2" t="s">
        <v>11037</v>
      </c>
      <c r="P3562" s="2" t="s">
        <v>11038</v>
      </c>
      <c r="Q3562" s="2">
        <f>AVERAGE(PerfRate[[#This Row],[EnvironmentSatisfaction]],PerfRate[[#This Row],[JobSatisfaction]],PerfRate[[#This Row],[RelationshipSatisfaction]])</f>
        <v>4</v>
      </c>
      <c r="R3562" s="2">
        <f>PerfRate[[#This Row],[ManagerRating]] - PerfRate[[#This Row],[SelfRating]]</f>
        <v>0</v>
      </c>
    </row>
    <row r="3563" spans="1:18">
      <c r="A3563" s="2" t="s">
        <v>7870</v>
      </c>
      <c r="B3563" s="2" t="s">
        <v>676</v>
      </c>
      <c r="C3563" s="1">
        <v>41396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  <c r="L3563" s="2" t="s">
        <v>11029</v>
      </c>
      <c r="M3563" s="2" t="s">
        <v>11029</v>
      </c>
      <c r="N3563" s="2" t="s">
        <v>11038</v>
      </c>
      <c r="O3563" s="2" t="s">
        <v>11037</v>
      </c>
      <c r="P3563" s="2" t="s">
        <v>11036</v>
      </c>
      <c r="Q3563" s="2">
        <f>AVERAGE(PerfRate[[#This Row],[EnvironmentSatisfaction]],PerfRate[[#This Row],[JobSatisfaction]],PerfRate[[#This Row],[RelationshipSatisfaction]])</f>
        <v>4</v>
      </c>
      <c r="R3563" s="2">
        <f>PerfRate[[#This Row],[ManagerRating]] - PerfRate[[#This Row],[SelfRating]]</f>
        <v>0</v>
      </c>
    </row>
    <row r="3564" spans="1:18">
      <c r="A3564" s="2" t="s">
        <v>7871</v>
      </c>
      <c r="B3564" s="2" t="s">
        <v>62</v>
      </c>
      <c r="C3564" s="1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  <c r="L3564" s="2" t="s">
        <v>11030</v>
      </c>
      <c r="M3564" s="2" t="s">
        <v>11030</v>
      </c>
      <c r="N3564" s="2" t="s">
        <v>11038</v>
      </c>
      <c r="O3564" s="2" t="s">
        <v>11038</v>
      </c>
      <c r="P3564" s="2" t="s">
        <v>11035</v>
      </c>
      <c r="Q3564" s="2">
        <f>AVERAGE(PerfRate[[#This Row],[EnvironmentSatisfaction]],PerfRate[[#This Row],[JobSatisfaction]],PerfRate[[#This Row],[RelationshipSatisfaction]])</f>
        <v>4</v>
      </c>
      <c r="R3564" s="2">
        <f>PerfRate[[#This Row],[ManagerRating]] - PerfRate[[#This Row],[SelfRating]]</f>
        <v>0</v>
      </c>
    </row>
    <row r="3565" spans="1:18">
      <c r="A3565" s="2" t="s">
        <v>7872</v>
      </c>
      <c r="B3565" s="2" t="s">
        <v>2486</v>
      </c>
      <c r="C3565" s="1">
        <v>44112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  <c r="L3565" s="2" t="s">
        <v>11029</v>
      </c>
      <c r="M3565" s="2" t="s">
        <v>11028</v>
      </c>
      <c r="N3565" s="2" t="s">
        <v>11038</v>
      </c>
      <c r="O3565" s="2" t="s">
        <v>11038</v>
      </c>
      <c r="P3565" s="2" t="s">
        <v>11038</v>
      </c>
      <c r="Q3565" s="2">
        <f>AVERAGE(PerfRate[[#This Row],[EnvironmentSatisfaction]],PerfRate[[#This Row],[JobSatisfaction]],PerfRate[[#This Row],[RelationshipSatisfaction]])</f>
        <v>5</v>
      </c>
      <c r="R3565" s="2">
        <f>PerfRate[[#This Row],[ManagerRating]] - PerfRate[[#This Row],[SelfRating]]</f>
        <v>-1</v>
      </c>
    </row>
    <row r="3566" spans="1:18">
      <c r="A3566" s="2" t="s">
        <v>7873</v>
      </c>
      <c r="B3566" s="2" t="s">
        <v>2207</v>
      </c>
      <c r="C3566" s="1">
        <v>44112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  <c r="L3566" s="2" t="s">
        <v>11031</v>
      </c>
      <c r="M3566" s="2" t="s">
        <v>11030</v>
      </c>
      <c r="N3566" s="2" t="s">
        <v>11036</v>
      </c>
      <c r="O3566" s="2" t="s">
        <v>11035</v>
      </c>
      <c r="P3566" s="2" t="s">
        <v>11037</v>
      </c>
      <c r="Q3566" s="2">
        <f>AVERAGE(PerfRate[[#This Row],[EnvironmentSatisfaction]],PerfRate[[#This Row],[JobSatisfaction]],PerfRate[[#This Row],[RelationshipSatisfaction]])</f>
        <v>3</v>
      </c>
      <c r="R3566" s="2">
        <f>PerfRate[[#This Row],[ManagerRating]] - PerfRate[[#This Row],[SelfRating]]</f>
        <v>-1</v>
      </c>
    </row>
    <row r="3567" spans="1:18">
      <c r="A3567" s="2" t="s">
        <v>7874</v>
      </c>
      <c r="B3567" s="2" t="s">
        <v>625</v>
      </c>
      <c r="C3567" s="1">
        <v>44143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  <c r="L3567" s="2" t="s">
        <v>11031</v>
      </c>
      <c r="M3567" s="2" t="s">
        <v>11030</v>
      </c>
      <c r="N3567" s="2" t="s">
        <v>11036</v>
      </c>
      <c r="O3567" s="2" t="s">
        <v>11036</v>
      </c>
      <c r="P3567" s="2" t="s">
        <v>11037</v>
      </c>
      <c r="Q3567" s="2">
        <f>AVERAGE(PerfRate[[#This Row],[EnvironmentSatisfaction]],PerfRate[[#This Row],[JobSatisfaction]],PerfRate[[#This Row],[RelationshipSatisfaction]])</f>
        <v>3.3333333333333335</v>
      </c>
      <c r="R3567" s="2">
        <f>PerfRate[[#This Row],[ManagerRating]] - PerfRate[[#This Row],[SelfRating]]</f>
        <v>-1</v>
      </c>
    </row>
    <row r="3568" spans="1:18">
      <c r="A3568" s="2" t="s">
        <v>7875</v>
      </c>
      <c r="B3568" s="2" t="s">
        <v>1614</v>
      </c>
      <c r="C3568" s="1">
        <v>44143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  <c r="L3568" s="2" t="s">
        <v>11029</v>
      </c>
      <c r="M3568" s="2" t="s">
        <v>11029</v>
      </c>
      <c r="N3568" s="2" t="s">
        <v>11036</v>
      </c>
      <c r="O3568" s="2" t="s">
        <v>11037</v>
      </c>
      <c r="P3568" s="2" t="s">
        <v>11037</v>
      </c>
      <c r="Q3568" s="2">
        <f>AVERAGE(PerfRate[[#This Row],[EnvironmentSatisfaction]],PerfRate[[#This Row],[JobSatisfaction]],PerfRate[[#This Row],[RelationshipSatisfaction]])</f>
        <v>3.6666666666666665</v>
      </c>
      <c r="R3568" s="2">
        <f>PerfRate[[#This Row],[ManagerRating]] - PerfRate[[#This Row],[SelfRating]]</f>
        <v>0</v>
      </c>
    </row>
    <row r="3569" spans="1:18">
      <c r="A3569" s="2" t="s">
        <v>7876</v>
      </c>
      <c r="B3569" s="2" t="s">
        <v>1827</v>
      </c>
      <c r="C3569" s="1">
        <v>44143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  <c r="L3569" s="2" t="s">
        <v>11029</v>
      </c>
      <c r="M3569" s="2" t="s">
        <v>11028</v>
      </c>
      <c r="N3569" s="2" t="s">
        <v>11038</v>
      </c>
      <c r="O3569" s="2" t="s">
        <v>11038</v>
      </c>
      <c r="P3569" s="2" t="s">
        <v>11037</v>
      </c>
      <c r="Q3569" s="2">
        <f>AVERAGE(PerfRate[[#This Row],[EnvironmentSatisfaction]],PerfRate[[#This Row],[JobSatisfaction]],PerfRate[[#This Row],[RelationshipSatisfaction]])</f>
        <v>4.666666666666667</v>
      </c>
      <c r="R3569" s="2">
        <f>PerfRate[[#This Row],[ManagerRating]] - PerfRate[[#This Row],[SelfRating]]</f>
        <v>-1</v>
      </c>
    </row>
    <row r="3570" spans="1:18">
      <c r="A3570" s="2" t="s">
        <v>7877</v>
      </c>
      <c r="B3570" s="2" t="s">
        <v>3071</v>
      </c>
      <c r="C3570" s="1">
        <v>44173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  <c r="L3570" s="2" t="s">
        <v>11029</v>
      </c>
      <c r="M3570" s="2" t="s">
        <v>11029</v>
      </c>
      <c r="N3570" s="2" t="s">
        <v>11038</v>
      </c>
      <c r="O3570" s="2" t="s">
        <v>11035</v>
      </c>
      <c r="P3570" s="2" t="s">
        <v>11036</v>
      </c>
      <c r="Q3570" s="2">
        <f>AVERAGE(PerfRate[[#This Row],[EnvironmentSatisfaction]],PerfRate[[#This Row],[JobSatisfaction]],PerfRate[[#This Row],[RelationshipSatisfaction]])</f>
        <v>3.3333333333333335</v>
      </c>
      <c r="R3570" s="2">
        <f>PerfRate[[#This Row],[ManagerRating]] - PerfRate[[#This Row],[SelfRating]]</f>
        <v>0</v>
      </c>
    </row>
    <row r="3571" spans="1:18">
      <c r="A3571" s="2" t="s">
        <v>7878</v>
      </c>
      <c r="B3571" s="2" t="s">
        <v>803</v>
      </c>
      <c r="C3571" s="1">
        <v>44173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  <c r="L3571" s="2" t="s">
        <v>11030</v>
      </c>
      <c r="M3571" s="2" t="s">
        <v>11030</v>
      </c>
      <c r="N3571" s="2" t="s">
        <v>11036</v>
      </c>
      <c r="O3571" s="2" t="s">
        <v>11037</v>
      </c>
      <c r="P3571" s="2" t="s">
        <v>11037</v>
      </c>
      <c r="Q3571" s="2">
        <f>AVERAGE(PerfRate[[#This Row],[EnvironmentSatisfaction]],PerfRate[[#This Row],[JobSatisfaction]],PerfRate[[#This Row],[RelationshipSatisfaction]])</f>
        <v>3.6666666666666665</v>
      </c>
      <c r="R3571" s="2">
        <f>PerfRate[[#This Row],[ManagerRating]] - PerfRate[[#This Row],[SelfRating]]</f>
        <v>0</v>
      </c>
    </row>
    <row r="3572" spans="1:18">
      <c r="A3572" s="2" t="s">
        <v>7879</v>
      </c>
      <c r="B3572" s="2" t="s">
        <v>756</v>
      </c>
      <c r="C3572" s="1">
        <v>44173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  <c r="L3572" s="2" t="s">
        <v>11031</v>
      </c>
      <c r="M3572" s="2" t="s">
        <v>11031</v>
      </c>
      <c r="N3572" s="2" t="s">
        <v>11036</v>
      </c>
      <c r="O3572" s="2" t="s">
        <v>11036</v>
      </c>
      <c r="P3572" s="2" t="s">
        <v>11038</v>
      </c>
      <c r="Q3572" s="2">
        <f>AVERAGE(PerfRate[[#This Row],[EnvironmentSatisfaction]],PerfRate[[#This Row],[JobSatisfaction]],PerfRate[[#This Row],[RelationshipSatisfaction]])</f>
        <v>3.6666666666666665</v>
      </c>
      <c r="R3572" s="2">
        <f>PerfRate[[#This Row],[ManagerRating]] - PerfRate[[#This Row],[SelfRating]]</f>
        <v>0</v>
      </c>
    </row>
    <row r="3573" spans="1:18">
      <c r="A3573" s="2" t="s">
        <v>7880</v>
      </c>
      <c r="B3573" s="2" t="s">
        <v>2340</v>
      </c>
      <c r="C3573" s="1">
        <v>44173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  <c r="L3573" s="2" t="s">
        <v>11030</v>
      </c>
      <c r="M3573" s="2" t="s">
        <v>11030</v>
      </c>
      <c r="N3573" s="2" t="s">
        <v>11036</v>
      </c>
      <c r="O3573" s="2" t="s">
        <v>11036</v>
      </c>
      <c r="P3573" s="2" t="s">
        <v>11038</v>
      </c>
      <c r="Q3573" s="2">
        <f>AVERAGE(PerfRate[[#This Row],[EnvironmentSatisfaction]],PerfRate[[#This Row],[JobSatisfaction]],PerfRate[[#This Row],[RelationshipSatisfaction]])</f>
        <v>3.6666666666666665</v>
      </c>
      <c r="R3573" s="2">
        <f>PerfRate[[#This Row],[ManagerRating]] - PerfRate[[#This Row],[SelfRating]]</f>
        <v>0</v>
      </c>
    </row>
    <row r="3574" spans="1:18">
      <c r="A3574" s="2" t="s">
        <v>7881</v>
      </c>
      <c r="B3574" s="2" t="s">
        <v>2536</v>
      </c>
      <c r="C3574" s="1">
        <v>44173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  <c r="L3574" s="2" t="s">
        <v>11030</v>
      </c>
      <c r="M3574" s="2" t="s">
        <v>11029</v>
      </c>
      <c r="N3574" s="2" t="s">
        <v>11036</v>
      </c>
      <c r="O3574" s="2" t="s">
        <v>11037</v>
      </c>
      <c r="P3574" s="2" t="s">
        <v>11038</v>
      </c>
      <c r="Q3574" s="2">
        <f>AVERAGE(PerfRate[[#This Row],[EnvironmentSatisfaction]],PerfRate[[#This Row],[JobSatisfaction]],PerfRate[[#This Row],[RelationshipSatisfaction]])</f>
        <v>4</v>
      </c>
      <c r="R3574" s="2">
        <f>PerfRate[[#This Row],[ManagerRating]] - PerfRate[[#This Row],[SelfRating]]</f>
        <v>-1</v>
      </c>
    </row>
    <row r="3575" spans="1:18">
      <c r="A3575" s="2" t="s">
        <v>7882</v>
      </c>
      <c r="B3575" s="2" t="s">
        <v>2622</v>
      </c>
      <c r="C3575" s="1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  <c r="L3575" s="2" t="s">
        <v>11029</v>
      </c>
      <c r="M3575" s="2" t="s">
        <v>11028</v>
      </c>
      <c r="N3575" s="2" t="s">
        <v>11036</v>
      </c>
      <c r="O3575" s="2" t="s">
        <v>11036</v>
      </c>
      <c r="P3575" s="2" t="s">
        <v>11038</v>
      </c>
      <c r="Q3575" s="2">
        <f>AVERAGE(PerfRate[[#This Row],[EnvironmentSatisfaction]],PerfRate[[#This Row],[JobSatisfaction]],PerfRate[[#This Row],[RelationshipSatisfaction]])</f>
        <v>3.6666666666666665</v>
      </c>
      <c r="R3575" s="2">
        <f>PerfRate[[#This Row],[ManagerRating]] - PerfRate[[#This Row],[SelfRating]]</f>
        <v>-1</v>
      </c>
    </row>
    <row r="3576" spans="1:18">
      <c r="A3576" s="2" t="s">
        <v>7883</v>
      </c>
      <c r="B3576" s="2" t="s">
        <v>3198</v>
      </c>
      <c r="C3576" s="1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  <c r="L3576" s="2" t="s">
        <v>11030</v>
      </c>
      <c r="M3576" s="2" t="s">
        <v>11029</v>
      </c>
      <c r="N3576" s="2" t="s">
        <v>11037</v>
      </c>
      <c r="O3576" s="2" t="s">
        <v>11036</v>
      </c>
      <c r="P3576" s="2" t="s">
        <v>11036</v>
      </c>
      <c r="Q3576" s="2">
        <f>AVERAGE(PerfRate[[#This Row],[EnvironmentSatisfaction]],PerfRate[[#This Row],[JobSatisfaction]],PerfRate[[#This Row],[RelationshipSatisfaction]])</f>
        <v>3.3333333333333335</v>
      </c>
      <c r="R3576" s="2">
        <f>PerfRate[[#This Row],[ManagerRating]] - PerfRate[[#This Row],[SelfRating]]</f>
        <v>-1</v>
      </c>
    </row>
    <row r="3577" spans="1:18">
      <c r="A3577" s="2" t="s">
        <v>7884</v>
      </c>
      <c r="B3577" s="2" t="s">
        <v>1608</v>
      </c>
      <c r="C3577" s="1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  <c r="L3577" s="2" t="s">
        <v>11031</v>
      </c>
      <c r="M3577" s="2" t="s">
        <v>11030</v>
      </c>
      <c r="N3577" s="2" t="s">
        <v>11036</v>
      </c>
      <c r="O3577" s="2" t="s">
        <v>11037</v>
      </c>
      <c r="P3577" s="2" t="s">
        <v>11036</v>
      </c>
      <c r="Q3577" s="2">
        <f>AVERAGE(PerfRate[[#This Row],[EnvironmentSatisfaction]],PerfRate[[#This Row],[JobSatisfaction]],PerfRate[[#This Row],[RelationshipSatisfaction]])</f>
        <v>3.3333333333333335</v>
      </c>
      <c r="R3577" s="2">
        <f>PerfRate[[#This Row],[ManagerRating]] - PerfRate[[#This Row],[SelfRating]]</f>
        <v>-1</v>
      </c>
    </row>
    <row r="3578" spans="1:18">
      <c r="A3578" s="2" t="s">
        <v>7885</v>
      </c>
      <c r="B3578" s="2" t="s">
        <v>1836</v>
      </c>
      <c r="C3578" s="1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  <c r="L3578" s="2" t="s">
        <v>11031</v>
      </c>
      <c r="M3578" s="2" t="s">
        <v>11030</v>
      </c>
      <c r="N3578" s="2" t="s">
        <v>11038</v>
      </c>
      <c r="O3578" s="2" t="s">
        <v>11036</v>
      </c>
      <c r="P3578" s="2" t="s">
        <v>11038</v>
      </c>
      <c r="Q3578" s="2">
        <f>AVERAGE(PerfRate[[#This Row],[EnvironmentSatisfaction]],PerfRate[[#This Row],[JobSatisfaction]],PerfRate[[#This Row],[RelationshipSatisfaction]])</f>
        <v>4.333333333333333</v>
      </c>
      <c r="R3578" s="2">
        <f>PerfRate[[#This Row],[ManagerRating]] - PerfRate[[#This Row],[SelfRating]]</f>
        <v>-1</v>
      </c>
    </row>
    <row r="3579" spans="1:18">
      <c r="A3579" s="2" t="s">
        <v>7886</v>
      </c>
      <c r="B3579" s="2" t="s">
        <v>2381</v>
      </c>
      <c r="C3579" s="1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  <c r="L3579" s="2" t="s">
        <v>11030</v>
      </c>
      <c r="M3579" s="2" t="s">
        <v>11030</v>
      </c>
      <c r="N3579" s="2" t="s">
        <v>11036</v>
      </c>
      <c r="O3579" s="2" t="s">
        <v>11035</v>
      </c>
      <c r="P3579" s="2" t="s">
        <v>11035</v>
      </c>
      <c r="Q3579" s="2">
        <f>AVERAGE(PerfRate[[#This Row],[EnvironmentSatisfaction]],PerfRate[[#This Row],[JobSatisfaction]],PerfRate[[#This Row],[RelationshipSatisfaction]])</f>
        <v>2.3333333333333335</v>
      </c>
      <c r="R3579" s="2">
        <f>PerfRate[[#This Row],[ManagerRating]] - PerfRate[[#This Row],[SelfRating]]</f>
        <v>0</v>
      </c>
    </row>
    <row r="3580" spans="1:18">
      <c r="A3580" s="2" t="s">
        <v>7887</v>
      </c>
      <c r="B3580" s="2" t="s">
        <v>2401</v>
      </c>
      <c r="C3580" s="1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  <c r="L3580" s="2" t="s">
        <v>11031</v>
      </c>
      <c r="M3580" s="2" t="s">
        <v>11031</v>
      </c>
      <c r="N3580" s="2" t="s">
        <v>11038</v>
      </c>
      <c r="O3580" s="2" t="s">
        <v>11037</v>
      </c>
      <c r="P3580" s="2" t="s">
        <v>11035</v>
      </c>
      <c r="Q3580" s="2">
        <f>AVERAGE(PerfRate[[#This Row],[EnvironmentSatisfaction]],PerfRate[[#This Row],[JobSatisfaction]],PerfRate[[#This Row],[RelationshipSatisfaction]])</f>
        <v>3.6666666666666665</v>
      </c>
      <c r="R3580" s="2">
        <f>PerfRate[[#This Row],[ManagerRating]] - PerfRate[[#This Row],[SelfRating]]</f>
        <v>0</v>
      </c>
    </row>
    <row r="3581" spans="1:18">
      <c r="A3581" s="2" t="s">
        <v>7888</v>
      </c>
      <c r="B3581" s="2" t="s">
        <v>2462</v>
      </c>
      <c r="C3581" s="1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  <c r="L3581" s="2" t="s">
        <v>11029</v>
      </c>
      <c r="M3581" s="2" t="s">
        <v>11029</v>
      </c>
      <c r="N3581" s="2" t="s">
        <v>11037</v>
      </c>
      <c r="O3581" s="2" t="s">
        <v>11038</v>
      </c>
      <c r="P3581" s="2" t="s">
        <v>11038</v>
      </c>
      <c r="Q3581" s="2">
        <f>AVERAGE(PerfRate[[#This Row],[EnvironmentSatisfaction]],PerfRate[[#This Row],[JobSatisfaction]],PerfRate[[#This Row],[RelationshipSatisfaction]])</f>
        <v>4.666666666666667</v>
      </c>
      <c r="R3581" s="2">
        <f>PerfRate[[#This Row],[ManagerRating]] - PerfRate[[#This Row],[SelfRating]]</f>
        <v>0</v>
      </c>
    </row>
    <row r="3582" spans="1:18">
      <c r="A3582" s="2" t="s">
        <v>7889</v>
      </c>
      <c r="B3582" s="2" t="s">
        <v>952</v>
      </c>
      <c r="C3582" s="1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  <c r="L3582" s="2" t="s">
        <v>11031</v>
      </c>
      <c r="M3582" s="2" t="s">
        <v>11031</v>
      </c>
      <c r="N3582" s="2" t="s">
        <v>11038</v>
      </c>
      <c r="O3582" s="2" t="s">
        <v>11036</v>
      </c>
      <c r="P3582" s="2" t="s">
        <v>11038</v>
      </c>
      <c r="Q3582" s="2">
        <f>AVERAGE(PerfRate[[#This Row],[EnvironmentSatisfaction]],PerfRate[[#This Row],[JobSatisfaction]],PerfRate[[#This Row],[RelationshipSatisfaction]])</f>
        <v>4.333333333333333</v>
      </c>
      <c r="R3582" s="2">
        <f>PerfRate[[#This Row],[ManagerRating]] - PerfRate[[#This Row],[SelfRating]]</f>
        <v>0</v>
      </c>
    </row>
    <row r="3583" spans="1:18">
      <c r="A3583" s="2" t="s">
        <v>7890</v>
      </c>
      <c r="B3583" s="2" t="s">
        <v>619</v>
      </c>
      <c r="C3583" s="1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  <c r="L3583" s="2" t="s">
        <v>11029</v>
      </c>
      <c r="M3583" s="2" t="s">
        <v>11029</v>
      </c>
      <c r="N3583" s="2" t="s">
        <v>11037</v>
      </c>
      <c r="O3583" s="2" t="s">
        <v>11038</v>
      </c>
      <c r="P3583" s="2" t="s">
        <v>11038</v>
      </c>
      <c r="Q3583" s="2">
        <f>AVERAGE(PerfRate[[#This Row],[EnvironmentSatisfaction]],PerfRate[[#This Row],[JobSatisfaction]],PerfRate[[#This Row],[RelationshipSatisfaction]])</f>
        <v>4.666666666666667</v>
      </c>
      <c r="R3583" s="2">
        <f>PerfRate[[#This Row],[ManagerRating]] - PerfRate[[#This Row],[SelfRating]]</f>
        <v>0</v>
      </c>
    </row>
    <row r="3584" spans="1:18">
      <c r="A3584" s="2" t="s">
        <v>7891</v>
      </c>
      <c r="B3584" s="2" t="s">
        <v>1701</v>
      </c>
      <c r="C3584" s="1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  <c r="L3584" s="2" t="s">
        <v>11030</v>
      </c>
      <c r="M3584" s="2" t="s">
        <v>11030</v>
      </c>
      <c r="N3584" s="2" t="s">
        <v>11036</v>
      </c>
      <c r="O3584" s="2" t="s">
        <v>11038</v>
      </c>
      <c r="P3584" s="2" t="s">
        <v>11035</v>
      </c>
      <c r="Q3584" s="2">
        <f>AVERAGE(PerfRate[[#This Row],[EnvironmentSatisfaction]],PerfRate[[#This Row],[JobSatisfaction]],PerfRate[[#This Row],[RelationshipSatisfaction]])</f>
        <v>3.3333333333333335</v>
      </c>
      <c r="R3584" s="2">
        <f>PerfRate[[#This Row],[ManagerRating]] - PerfRate[[#This Row],[SelfRating]]</f>
        <v>0</v>
      </c>
    </row>
    <row r="3585" spans="1:18">
      <c r="A3585" s="2" t="s">
        <v>7892</v>
      </c>
      <c r="B3585" s="2" t="s">
        <v>2581</v>
      </c>
      <c r="C3585" s="1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  <c r="L3585" s="2" t="s">
        <v>11030</v>
      </c>
      <c r="M3585" s="2" t="s">
        <v>11029</v>
      </c>
      <c r="N3585" s="2" t="s">
        <v>11038</v>
      </c>
      <c r="O3585" s="2" t="s">
        <v>11036</v>
      </c>
      <c r="P3585" s="2" t="s">
        <v>11038</v>
      </c>
      <c r="Q3585" s="2">
        <f>AVERAGE(PerfRate[[#This Row],[EnvironmentSatisfaction]],PerfRate[[#This Row],[JobSatisfaction]],PerfRate[[#This Row],[RelationshipSatisfaction]])</f>
        <v>4.333333333333333</v>
      </c>
      <c r="R3585" s="2">
        <f>PerfRate[[#This Row],[ManagerRating]] - PerfRate[[#This Row],[SelfRating]]</f>
        <v>-1</v>
      </c>
    </row>
    <row r="3586" spans="1:18">
      <c r="A3586" s="2" t="s">
        <v>7893</v>
      </c>
      <c r="B3586" s="2" t="s">
        <v>4177</v>
      </c>
      <c r="C3586" s="1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  <c r="L3586" s="2" t="s">
        <v>11030</v>
      </c>
      <c r="M3586" s="2" t="s">
        <v>11029</v>
      </c>
      <c r="N3586" s="2" t="s">
        <v>11036</v>
      </c>
      <c r="O3586" s="2" t="s">
        <v>11037</v>
      </c>
      <c r="P3586" s="2" t="s">
        <v>11035</v>
      </c>
      <c r="Q3586" s="2">
        <f>AVERAGE(PerfRate[[#This Row],[EnvironmentSatisfaction]],PerfRate[[#This Row],[JobSatisfaction]],PerfRate[[#This Row],[RelationshipSatisfaction]])</f>
        <v>3</v>
      </c>
      <c r="R3586" s="2">
        <f>PerfRate[[#This Row],[ManagerRating]] - PerfRate[[#This Row],[SelfRating]]</f>
        <v>-1</v>
      </c>
    </row>
    <row r="3587" spans="1:18">
      <c r="A3587" s="2" t="s">
        <v>7894</v>
      </c>
      <c r="B3587" s="2" t="s">
        <v>1280</v>
      </c>
      <c r="C3587" s="1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  <c r="L3587" s="2" t="s">
        <v>11029</v>
      </c>
      <c r="M3587" s="2" t="s">
        <v>11028</v>
      </c>
      <c r="N3587" s="2" t="s">
        <v>11037</v>
      </c>
      <c r="O3587" s="2" t="s">
        <v>11036</v>
      </c>
      <c r="P3587" s="2" t="s">
        <v>11038</v>
      </c>
      <c r="Q3587" s="2">
        <f>AVERAGE(PerfRate[[#This Row],[EnvironmentSatisfaction]],PerfRate[[#This Row],[JobSatisfaction]],PerfRate[[#This Row],[RelationshipSatisfaction]])</f>
        <v>4</v>
      </c>
      <c r="R3587" s="2">
        <f>PerfRate[[#This Row],[ManagerRating]] - PerfRate[[#This Row],[SelfRating]]</f>
        <v>-1</v>
      </c>
    </row>
    <row r="3588" spans="1:18">
      <c r="A3588" s="2" t="s">
        <v>7895</v>
      </c>
      <c r="B3588" s="2" t="s">
        <v>1102</v>
      </c>
      <c r="C3588" s="1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  <c r="L3588" s="2" t="s">
        <v>11030</v>
      </c>
      <c r="M3588" s="2" t="s">
        <v>11029</v>
      </c>
      <c r="N3588" s="2" t="s">
        <v>11036</v>
      </c>
      <c r="O3588" s="2" t="s">
        <v>11035</v>
      </c>
      <c r="P3588" s="2" t="s">
        <v>11038</v>
      </c>
      <c r="Q3588" s="2">
        <f>AVERAGE(PerfRate[[#This Row],[EnvironmentSatisfaction]],PerfRate[[#This Row],[JobSatisfaction]],PerfRate[[#This Row],[RelationshipSatisfaction]])</f>
        <v>3.3333333333333335</v>
      </c>
      <c r="R3588" s="2">
        <f>PerfRate[[#This Row],[ManagerRating]] - PerfRate[[#This Row],[SelfRating]]</f>
        <v>-1</v>
      </c>
    </row>
    <row r="3589" spans="1:18">
      <c r="A3589" s="2" t="s">
        <v>7896</v>
      </c>
      <c r="B3589" s="2" t="s">
        <v>2022</v>
      </c>
      <c r="C3589" s="1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  <c r="L3589" s="2" t="s">
        <v>11030</v>
      </c>
      <c r="M3589" s="2" t="s">
        <v>11030</v>
      </c>
      <c r="N3589" s="2" t="s">
        <v>11037</v>
      </c>
      <c r="O3589" s="2" t="s">
        <v>11037</v>
      </c>
      <c r="P3589" s="2" t="s">
        <v>11036</v>
      </c>
      <c r="Q3589" s="2">
        <f>AVERAGE(PerfRate[[#This Row],[EnvironmentSatisfaction]],PerfRate[[#This Row],[JobSatisfaction]],PerfRate[[#This Row],[RelationshipSatisfaction]])</f>
        <v>3.6666666666666665</v>
      </c>
      <c r="R3589" s="2">
        <f>PerfRate[[#This Row],[ManagerRating]] - PerfRate[[#This Row],[SelfRating]]</f>
        <v>0</v>
      </c>
    </row>
    <row r="3590" spans="1:18">
      <c r="A3590" s="2" t="s">
        <v>7897</v>
      </c>
      <c r="B3590" s="2" t="s">
        <v>2042</v>
      </c>
      <c r="C3590" s="1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  <c r="L3590" s="2" t="s">
        <v>11029</v>
      </c>
      <c r="M3590" s="2" t="s">
        <v>11029</v>
      </c>
      <c r="N3590" s="2" t="s">
        <v>11037</v>
      </c>
      <c r="O3590" s="2" t="s">
        <v>11037</v>
      </c>
      <c r="P3590" s="2" t="s">
        <v>11038</v>
      </c>
      <c r="Q3590" s="2">
        <f>AVERAGE(PerfRate[[#This Row],[EnvironmentSatisfaction]],PerfRate[[#This Row],[JobSatisfaction]],PerfRate[[#This Row],[RelationshipSatisfaction]])</f>
        <v>4.333333333333333</v>
      </c>
      <c r="R3590" s="2">
        <f>PerfRate[[#This Row],[ManagerRating]] - PerfRate[[#This Row],[SelfRating]]</f>
        <v>0</v>
      </c>
    </row>
    <row r="3591" spans="1:18">
      <c r="A3591" s="2" t="s">
        <v>7898</v>
      </c>
      <c r="B3591" s="2" t="s">
        <v>2721</v>
      </c>
      <c r="C3591" s="1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  <c r="L3591" s="2" t="s">
        <v>11030</v>
      </c>
      <c r="M3591" s="2" t="s">
        <v>11029</v>
      </c>
      <c r="N3591" s="2" t="s">
        <v>11036</v>
      </c>
      <c r="O3591" s="2" t="s">
        <v>11035</v>
      </c>
      <c r="P3591" s="2" t="s">
        <v>11037</v>
      </c>
      <c r="Q3591" s="2">
        <f>AVERAGE(PerfRate[[#This Row],[EnvironmentSatisfaction]],PerfRate[[#This Row],[JobSatisfaction]],PerfRate[[#This Row],[RelationshipSatisfaction]])</f>
        <v>3</v>
      </c>
      <c r="R3591" s="2">
        <f>PerfRate[[#This Row],[ManagerRating]] - PerfRate[[#This Row],[SelfRating]]</f>
        <v>-1</v>
      </c>
    </row>
    <row r="3592" spans="1:18">
      <c r="A3592" s="2" t="s">
        <v>7899</v>
      </c>
      <c r="B3592" s="2" t="s">
        <v>514</v>
      </c>
      <c r="C3592" s="1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  <c r="L3592" s="2" t="s">
        <v>11030</v>
      </c>
      <c r="M3592" s="2" t="s">
        <v>11029</v>
      </c>
      <c r="N3592" s="2" t="s">
        <v>11036</v>
      </c>
      <c r="O3592" s="2" t="s">
        <v>11036</v>
      </c>
      <c r="P3592" s="2" t="s">
        <v>11038</v>
      </c>
      <c r="Q3592" s="2">
        <f>AVERAGE(PerfRate[[#This Row],[EnvironmentSatisfaction]],PerfRate[[#This Row],[JobSatisfaction]],PerfRate[[#This Row],[RelationshipSatisfaction]])</f>
        <v>3.6666666666666665</v>
      </c>
      <c r="R3592" s="2">
        <f>PerfRate[[#This Row],[ManagerRating]] - PerfRate[[#This Row],[SelfRating]]</f>
        <v>-1</v>
      </c>
    </row>
    <row r="3593" spans="1:18">
      <c r="A3593" s="2" t="s">
        <v>7900</v>
      </c>
      <c r="B3593" s="2" t="s">
        <v>2429</v>
      </c>
      <c r="C3593" s="1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  <c r="L3593" s="2" t="s">
        <v>11029</v>
      </c>
      <c r="M3593" s="2" t="s">
        <v>11028</v>
      </c>
      <c r="N3593" s="2" t="s">
        <v>11037</v>
      </c>
      <c r="O3593" s="2" t="s">
        <v>11038</v>
      </c>
      <c r="P3593" s="2" t="s">
        <v>11038</v>
      </c>
      <c r="Q3593" s="2">
        <f>AVERAGE(PerfRate[[#This Row],[EnvironmentSatisfaction]],PerfRate[[#This Row],[JobSatisfaction]],PerfRate[[#This Row],[RelationshipSatisfaction]])</f>
        <v>4.666666666666667</v>
      </c>
      <c r="R3593" s="2">
        <f>PerfRate[[#This Row],[ManagerRating]] - PerfRate[[#This Row],[SelfRating]]</f>
        <v>-1</v>
      </c>
    </row>
    <row r="3594" spans="1:18">
      <c r="A3594" s="2" t="s">
        <v>7901</v>
      </c>
      <c r="B3594" s="2" t="s">
        <v>3510</v>
      </c>
      <c r="C3594" s="1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  <c r="L3594" s="2" t="s">
        <v>11031</v>
      </c>
      <c r="M3594" s="2" t="s">
        <v>11031</v>
      </c>
      <c r="N3594" s="2" t="s">
        <v>11038</v>
      </c>
      <c r="O3594" s="2" t="s">
        <v>11037</v>
      </c>
      <c r="P3594" s="2" t="s">
        <v>11038</v>
      </c>
      <c r="Q3594" s="2">
        <f>AVERAGE(PerfRate[[#This Row],[EnvironmentSatisfaction]],PerfRate[[#This Row],[JobSatisfaction]],PerfRate[[#This Row],[RelationshipSatisfaction]])</f>
        <v>4.666666666666667</v>
      </c>
      <c r="R3594" s="2">
        <f>PerfRate[[#This Row],[ManagerRating]] - PerfRate[[#This Row],[SelfRating]]</f>
        <v>0</v>
      </c>
    </row>
    <row r="3595" spans="1:18">
      <c r="A3595" s="2" t="s">
        <v>7902</v>
      </c>
      <c r="B3595" s="2" t="s">
        <v>592</v>
      </c>
      <c r="C3595" s="1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  <c r="L3595" s="2" t="s">
        <v>11030</v>
      </c>
      <c r="M3595" s="2" t="s">
        <v>11029</v>
      </c>
      <c r="N3595" s="2" t="s">
        <v>11037</v>
      </c>
      <c r="O3595" s="2" t="s">
        <v>11036</v>
      </c>
      <c r="P3595" s="2" t="s">
        <v>11036</v>
      </c>
      <c r="Q3595" s="2">
        <f>AVERAGE(PerfRate[[#This Row],[EnvironmentSatisfaction]],PerfRate[[#This Row],[JobSatisfaction]],PerfRate[[#This Row],[RelationshipSatisfaction]])</f>
        <v>3.3333333333333335</v>
      </c>
      <c r="R3595" s="2">
        <f>PerfRate[[#This Row],[ManagerRating]] - PerfRate[[#This Row],[SelfRating]]</f>
        <v>-1</v>
      </c>
    </row>
    <row r="3596" spans="1:18">
      <c r="A3596" s="2" t="s">
        <v>7903</v>
      </c>
      <c r="B3596" s="2" t="s">
        <v>1575</v>
      </c>
      <c r="C3596" s="1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  <c r="L3596" s="2" t="s">
        <v>11029</v>
      </c>
      <c r="M3596" s="2" t="s">
        <v>11029</v>
      </c>
      <c r="N3596" s="2" t="s">
        <v>11037</v>
      </c>
      <c r="O3596" s="2" t="s">
        <v>11035</v>
      </c>
      <c r="P3596" s="2" t="s">
        <v>11036</v>
      </c>
      <c r="Q3596" s="2">
        <f>AVERAGE(PerfRate[[#This Row],[EnvironmentSatisfaction]],PerfRate[[#This Row],[JobSatisfaction]],PerfRate[[#This Row],[RelationshipSatisfaction]])</f>
        <v>3</v>
      </c>
      <c r="R3596" s="2">
        <f>PerfRate[[#This Row],[ManagerRating]] - PerfRate[[#This Row],[SelfRating]]</f>
        <v>0</v>
      </c>
    </row>
    <row r="3597" spans="1:18">
      <c r="A3597" s="2" t="s">
        <v>7904</v>
      </c>
      <c r="B3597" s="2" t="s">
        <v>3406</v>
      </c>
      <c r="C3597" s="1">
        <v>41741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  <c r="L3597" s="2" t="s">
        <v>11030</v>
      </c>
      <c r="M3597" s="2" t="s">
        <v>11029</v>
      </c>
      <c r="N3597" s="2" t="s">
        <v>11037</v>
      </c>
      <c r="O3597" s="2" t="s">
        <v>11036</v>
      </c>
      <c r="P3597" s="2" t="s">
        <v>11037</v>
      </c>
      <c r="Q3597" s="2">
        <f>AVERAGE(PerfRate[[#This Row],[EnvironmentSatisfaction]],PerfRate[[#This Row],[JobSatisfaction]],PerfRate[[#This Row],[RelationshipSatisfaction]])</f>
        <v>3.6666666666666665</v>
      </c>
      <c r="R3597" s="2">
        <f>PerfRate[[#This Row],[ManagerRating]] - PerfRate[[#This Row],[SelfRating]]</f>
        <v>-1</v>
      </c>
    </row>
    <row r="3598" spans="1:18">
      <c r="A3598" s="2" t="s">
        <v>7905</v>
      </c>
      <c r="B3598" s="2" t="s">
        <v>2307</v>
      </c>
      <c r="C3598" s="1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  <c r="L3598" s="2" t="s">
        <v>11029</v>
      </c>
      <c r="M3598" s="2" t="s">
        <v>11028</v>
      </c>
      <c r="N3598" s="2" t="s">
        <v>11036</v>
      </c>
      <c r="O3598" s="2" t="s">
        <v>11036</v>
      </c>
      <c r="P3598" s="2" t="s">
        <v>11036</v>
      </c>
      <c r="Q3598" s="2">
        <f>AVERAGE(PerfRate[[#This Row],[EnvironmentSatisfaction]],PerfRate[[#This Row],[JobSatisfaction]],PerfRate[[#This Row],[RelationshipSatisfaction]])</f>
        <v>3</v>
      </c>
      <c r="R3598" s="2">
        <f>PerfRate[[#This Row],[ManagerRating]] - PerfRate[[#This Row],[SelfRating]]</f>
        <v>-1</v>
      </c>
    </row>
    <row r="3599" spans="1:18">
      <c r="A3599" s="2" t="s">
        <v>7906</v>
      </c>
      <c r="B3599" s="2" t="s">
        <v>1471</v>
      </c>
      <c r="C3599" s="1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  <c r="L3599" s="2" t="s">
        <v>11030</v>
      </c>
      <c r="M3599" s="2" t="s">
        <v>11030</v>
      </c>
      <c r="N3599" s="2" t="s">
        <v>11036</v>
      </c>
      <c r="O3599" s="2" t="s">
        <v>11036</v>
      </c>
      <c r="P3599" s="2" t="s">
        <v>11037</v>
      </c>
      <c r="Q3599" s="2">
        <f>AVERAGE(PerfRate[[#This Row],[EnvironmentSatisfaction]],PerfRate[[#This Row],[JobSatisfaction]],PerfRate[[#This Row],[RelationshipSatisfaction]])</f>
        <v>3.3333333333333335</v>
      </c>
      <c r="R3599" s="2">
        <f>PerfRate[[#This Row],[ManagerRating]] - PerfRate[[#This Row],[SelfRating]]</f>
        <v>0</v>
      </c>
    </row>
    <row r="3600" spans="1:18">
      <c r="A3600" s="2" t="s">
        <v>7907</v>
      </c>
      <c r="B3600" s="2" t="s">
        <v>1767</v>
      </c>
      <c r="C3600" s="1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  <c r="L3600" s="2" t="s">
        <v>11031</v>
      </c>
      <c r="M3600" s="2" t="s">
        <v>11030</v>
      </c>
      <c r="N3600" s="2" t="s">
        <v>11036</v>
      </c>
      <c r="O3600" s="2" t="s">
        <v>11035</v>
      </c>
      <c r="P3600" s="2" t="s">
        <v>11037</v>
      </c>
      <c r="Q3600" s="2">
        <f>AVERAGE(PerfRate[[#This Row],[EnvironmentSatisfaction]],PerfRate[[#This Row],[JobSatisfaction]],PerfRate[[#This Row],[RelationshipSatisfaction]])</f>
        <v>3</v>
      </c>
      <c r="R3600" s="2">
        <f>PerfRate[[#This Row],[ManagerRating]] - PerfRate[[#This Row],[SelfRating]]</f>
        <v>-1</v>
      </c>
    </row>
    <row r="3601" spans="1:18">
      <c r="A3601" s="2" t="s">
        <v>7908</v>
      </c>
      <c r="B3601" s="2" t="s">
        <v>3341</v>
      </c>
      <c r="C3601" s="1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  <c r="L3601" s="2" t="s">
        <v>11029</v>
      </c>
      <c r="M3601" s="2" t="s">
        <v>11029</v>
      </c>
      <c r="N3601" s="2" t="s">
        <v>11037</v>
      </c>
      <c r="O3601" s="2" t="s">
        <v>11036</v>
      </c>
      <c r="P3601" s="2" t="s">
        <v>11036</v>
      </c>
      <c r="Q3601" s="2">
        <f>AVERAGE(PerfRate[[#This Row],[EnvironmentSatisfaction]],PerfRate[[#This Row],[JobSatisfaction]],PerfRate[[#This Row],[RelationshipSatisfaction]])</f>
        <v>3.3333333333333335</v>
      </c>
      <c r="R3601" s="2">
        <f>PerfRate[[#This Row],[ManagerRating]] - PerfRate[[#This Row],[SelfRating]]</f>
        <v>0</v>
      </c>
    </row>
    <row r="3602" spans="1:18">
      <c r="A3602" s="2" t="s">
        <v>7909</v>
      </c>
      <c r="B3602" s="2" t="s">
        <v>356</v>
      </c>
      <c r="C3602" s="1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  <c r="L3602" s="2" t="s">
        <v>11030</v>
      </c>
      <c r="M3602" s="2" t="s">
        <v>11030</v>
      </c>
      <c r="N3602" s="2" t="s">
        <v>11038</v>
      </c>
      <c r="O3602" s="2" t="s">
        <v>11035</v>
      </c>
      <c r="P3602" s="2" t="s">
        <v>11038</v>
      </c>
      <c r="Q3602" s="2">
        <f>AVERAGE(PerfRate[[#This Row],[EnvironmentSatisfaction]],PerfRate[[#This Row],[JobSatisfaction]],PerfRate[[#This Row],[RelationshipSatisfaction]])</f>
        <v>4</v>
      </c>
      <c r="R3602" s="2">
        <f>PerfRate[[#This Row],[ManagerRating]] - PerfRate[[#This Row],[SelfRating]]</f>
        <v>0</v>
      </c>
    </row>
    <row r="3603" spans="1:18">
      <c r="A3603" s="2" t="s">
        <v>7910</v>
      </c>
      <c r="B3603" s="2" t="s">
        <v>863</v>
      </c>
      <c r="C3603" s="1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  <c r="L3603" s="2" t="s">
        <v>11029</v>
      </c>
      <c r="M3603" s="2" t="s">
        <v>11028</v>
      </c>
      <c r="N3603" s="2" t="s">
        <v>11038</v>
      </c>
      <c r="O3603" s="2" t="s">
        <v>11036</v>
      </c>
      <c r="P3603" s="2" t="s">
        <v>11035</v>
      </c>
      <c r="Q3603" s="2">
        <f>AVERAGE(PerfRate[[#This Row],[EnvironmentSatisfaction]],PerfRate[[#This Row],[JobSatisfaction]],PerfRate[[#This Row],[RelationshipSatisfaction]])</f>
        <v>3.3333333333333335</v>
      </c>
      <c r="R3603" s="2">
        <f>PerfRate[[#This Row],[ManagerRating]] - PerfRate[[#This Row],[SelfRating]]</f>
        <v>-1</v>
      </c>
    </row>
    <row r="3604" spans="1:18">
      <c r="A3604" s="2" t="s">
        <v>7911</v>
      </c>
      <c r="B3604" s="2" t="s">
        <v>2625</v>
      </c>
      <c r="C3604" s="1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  <c r="L3604" s="2" t="s">
        <v>11030</v>
      </c>
      <c r="M3604" s="2" t="s">
        <v>11030</v>
      </c>
      <c r="N3604" s="2" t="s">
        <v>11037</v>
      </c>
      <c r="O3604" s="2" t="s">
        <v>11038</v>
      </c>
      <c r="P3604" s="2" t="s">
        <v>11036</v>
      </c>
      <c r="Q3604" s="2">
        <f>AVERAGE(PerfRate[[#This Row],[EnvironmentSatisfaction]],PerfRate[[#This Row],[JobSatisfaction]],PerfRate[[#This Row],[RelationshipSatisfaction]])</f>
        <v>4</v>
      </c>
      <c r="R3604" s="2">
        <f>PerfRate[[#This Row],[ManagerRating]] - PerfRate[[#This Row],[SelfRating]]</f>
        <v>0</v>
      </c>
    </row>
    <row r="3605" spans="1:18">
      <c r="A3605" s="2" t="s">
        <v>7912</v>
      </c>
      <c r="B3605" s="2" t="s">
        <v>1362</v>
      </c>
      <c r="C3605" s="1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  <c r="L3605" s="2" t="s">
        <v>11030</v>
      </c>
      <c r="M3605" s="2" t="s">
        <v>11030</v>
      </c>
      <c r="N3605" s="2" t="s">
        <v>11037</v>
      </c>
      <c r="O3605" s="2" t="s">
        <v>11038</v>
      </c>
      <c r="P3605" s="2" t="s">
        <v>11038</v>
      </c>
      <c r="Q3605" s="2">
        <f>AVERAGE(PerfRate[[#This Row],[EnvironmentSatisfaction]],PerfRate[[#This Row],[JobSatisfaction]],PerfRate[[#This Row],[RelationshipSatisfaction]])</f>
        <v>4.666666666666667</v>
      </c>
      <c r="R3605" s="2">
        <f>PerfRate[[#This Row],[ManagerRating]] - PerfRate[[#This Row],[SelfRating]]</f>
        <v>0</v>
      </c>
    </row>
    <row r="3606" spans="1:18">
      <c r="A3606" s="2" t="s">
        <v>7913</v>
      </c>
      <c r="B3606" s="2" t="s">
        <v>544</v>
      </c>
      <c r="C3606" s="1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  <c r="L3606" s="2" t="s">
        <v>11029</v>
      </c>
      <c r="M3606" s="2" t="s">
        <v>11029</v>
      </c>
      <c r="N3606" s="2" t="s">
        <v>11037</v>
      </c>
      <c r="O3606" s="2" t="s">
        <v>11035</v>
      </c>
      <c r="P3606" s="2" t="s">
        <v>11036</v>
      </c>
      <c r="Q3606" s="2">
        <f>AVERAGE(PerfRate[[#This Row],[EnvironmentSatisfaction]],PerfRate[[#This Row],[JobSatisfaction]],PerfRate[[#This Row],[RelationshipSatisfaction]])</f>
        <v>3</v>
      </c>
      <c r="R3606" s="2">
        <f>PerfRate[[#This Row],[ManagerRating]] - PerfRate[[#This Row],[SelfRating]]</f>
        <v>0</v>
      </c>
    </row>
    <row r="3607" spans="1:18">
      <c r="A3607" s="2" t="s">
        <v>7914</v>
      </c>
      <c r="B3607" s="2" t="s">
        <v>2633</v>
      </c>
      <c r="C3607" s="1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  <c r="L3607" s="2" t="s">
        <v>11030</v>
      </c>
      <c r="M3607" s="2" t="s">
        <v>11029</v>
      </c>
      <c r="N3607" s="2" t="s">
        <v>11038</v>
      </c>
      <c r="O3607" s="2" t="s">
        <v>11036</v>
      </c>
      <c r="P3607" s="2" t="s">
        <v>11038</v>
      </c>
      <c r="Q3607" s="2">
        <f>AVERAGE(PerfRate[[#This Row],[EnvironmentSatisfaction]],PerfRate[[#This Row],[JobSatisfaction]],PerfRate[[#This Row],[RelationshipSatisfaction]])</f>
        <v>4.333333333333333</v>
      </c>
      <c r="R3607" s="2">
        <f>PerfRate[[#This Row],[ManagerRating]] - PerfRate[[#This Row],[SelfRating]]</f>
        <v>-1</v>
      </c>
    </row>
    <row r="3608" spans="1:18">
      <c r="A3608" s="2" t="s">
        <v>7915</v>
      </c>
      <c r="B3608" s="2" t="s">
        <v>3665</v>
      </c>
      <c r="C3608" s="1">
        <v>41741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  <c r="L3608" s="2" t="s">
        <v>11029</v>
      </c>
      <c r="M3608" s="2" t="s">
        <v>11028</v>
      </c>
      <c r="N3608" s="2" t="s">
        <v>11036</v>
      </c>
      <c r="O3608" s="2" t="s">
        <v>11038</v>
      </c>
      <c r="P3608" s="2" t="s">
        <v>11037</v>
      </c>
      <c r="Q3608" s="2">
        <f>AVERAGE(PerfRate[[#This Row],[EnvironmentSatisfaction]],PerfRate[[#This Row],[JobSatisfaction]],PerfRate[[#This Row],[RelationshipSatisfaction]])</f>
        <v>4</v>
      </c>
      <c r="R3608" s="2">
        <f>PerfRate[[#This Row],[ManagerRating]] - PerfRate[[#This Row],[SelfRating]]</f>
        <v>-1</v>
      </c>
    </row>
    <row r="3609" spans="1:18">
      <c r="A3609" s="2" t="s">
        <v>7916</v>
      </c>
      <c r="B3609" s="2" t="s">
        <v>2537</v>
      </c>
      <c r="C3609" s="1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  <c r="L3609" s="2" t="s">
        <v>11029</v>
      </c>
      <c r="M3609" s="2" t="s">
        <v>11029</v>
      </c>
      <c r="N3609" s="2" t="s">
        <v>11036</v>
      </c>
      <c r="O3609" s="2" t="s">
        <v>11038</v>
      </c>
      <c r="P3609" s="2" t="s">
        <v>11036</v>
      </c>
      <c r="Q3609" s="2">
        <f>AVERAGE(PerfRate[[#This Row],[EnvironmentSatisfaction]],PerfRate[[#This Row],[JobSatisfaction]],PerfRate[[#This Row],[RelationshipSatisfaction]])</f>
        <v>3.6666666666666665</v>
      </c>
      <c r="R3609" s="2">
        <f>PerfRate[[#This Row],[ManagerRating]] - PerfRate[[#This Row],[SelfRating]]</f>
        <v>0</v>
      </c>
    </row>
    <row r="3610" spans="1:18">
      <c r="A3610" s="2" t="s">
        <v>7917</v>
      </c>
      <c r="B3610" s="2" t="s">
        <v>1212</v>
      </c>
      <c r="C3610" s="1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  <c r="L3610" s="2" t="s">
        <v>11031</v>
      </c>
      <c r="M3610" s="2" t="s">
        <v>11031</v>
      </c>
      <c r="N3610" s="2" t="s">
        <v>11037</v>
      </c>
      <c r="O3610" s="2" t="s">
        <v>11037</v>
      </c>
      <c r="P3610" s="2" t="s">
        <v>11036</v>
      </c>
      <c r="Q3610" s="2">
        <f>AVERAGE(PerfRate[[#This Row],[EnvironmentSatisfaction]],PerfRate[[#This Row],[JobSatisfaction]],PerfRate[[#This Row],[RelationshipSatisfaction]])</f>
        <v>3.6666666666666665</v>
      </c>
      <c r="R3610" s="2">
        <f>PerfRate[[#This Row],[ManagerRating]] - PerfRate[[#This Row],[SelfRating]]</f>
        <v>0</v>
      </c>
    </row>
    <row r="3611" spans="1:18">
      <c r="A3611" s="2" t="s">
        <v>7918</v>
      </c>
      <c r="B3611" s="2" t="s">
        <v>2033</v>
      </c>
      <c r="C3611" s="1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  <c r="L3611" s="2" t="s">
        <v>11029</v>
      </c>
      <c r="M3611" s="2" t="s">
        <v>11028</v>
      </c>
      <c r="N3611" s="2" t="s">
        <v>11036</v>
      </c>
      <c r="O3611" s="2" t="s">
        <v>11035</v>
      </c>
      <c r="P3611" s="2" t="s">
        <v>11036</v>
      </c>
      <c r="Q3611" s="2">
        <f>AVERAGE(PerfRate[[#This Row],[EnvironmentSatisfaction]],PerfRate[[#This Row],[JobSatisfaction]],PerfRate[[#This Row],[RelationshipSatisfaction]])</f>
        <v>2.6666666666666665</v>
      </c>
      <c r="R3611" s="2">
        <f>PerfRate[[#This Row],[ManagerRating]] - PerfRate[[#This Row],[SelfRating]]</f>
        <v>-1</v>
      </c>
    </row>
    <row r="3612" spans="1:18">
      <c r="A3612" s="2" t="s">
        <v>7919</v>
      </c>
      <c r="B3612" s="2" t="s">
        <v>4032</v>
      </c>
      <c r="C3612" s="1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  <c r="L3612" s="2" t="s">
        <v>11030</v>
      </c>
      <c r="M3612" s="2" t="s">
        <v>11030</v>
      </c>
      <c r="N3612" s="2" t="s">
        <v>11036</v>
      </c>
      <c r="O3612" s="2" t="s">
        <v>11035</v>
      </c>
      <c r="P3612" s="2" t="s">
        <v>11038</v>
      </c>
      <c r="Q3612" s="2">
        <f>AVERAGE(PerfRate[[#This Row],[EnvironmentSatisfaction]],PerfRate[[#This Row],[JobSatisfaction]],PerfRate[[#This Row],[RelationshipSatisfaction]])</f>
        <v>3.3333333333333335</v>
      </c>
      <c r="R3612" s="2">
        <f>PerfRate[[#This Row],[ManagerRating]] - PerfRate[[#This Row],[SelfRating]]</f>
        <v>0</v>
      </c>
    </row>
    <row r="3613" spans="1:18">
      <c r="A3613" s="2" t="s">
        <v>7920</v>
      </c>
      <c r="B3613" s="2" t="s">
        <v>2392</v>
      </c>
      <c r="C3613" s="1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  <c r="L3613" s="2" t="s">
        <v>11029</v>
      </c>
      <c r="M3613" s="2" t="s">
        <v>11029</v>
      </c>
      <c r="N3613" s="2" t="s">
        <v>11036</v>
      </c>
      <c r="O3613" s="2" t="s">
        <v>11035</v>
      </c>
      <c r="P3613" s="2" t="s">
        <v>11037</v>
      </c>
      <c r="Q3613" s="2">
        <f>AVERAGE(PerfRate[[#This Row],[EnvironmentSatisfaction]],PerfRate[[#This Row],[JobSatisfaction]],PerfRate[[#This Row],[RelationshipSatisfaction]])</f>
        <v>3</v>
      </c>
      <c r="R3613" s="2">
        <f>PerfRate[[#This Row],[ManagerRating]] - PerfRate[[#This Row],[SelfRating]]</f>
        <v>0</v>
      </c>
    </row>
    <row r="3614" spans="1:18">
      <c r="A3614" s="2" t="s">
        <v>7921</v>
      </c>
      <c r="B3614" s="2" t="s">
        <v>1468</v>
      </c>
      <c r="C3614" s="1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  <c r="L3614" s="2" t="s">
        <v>11031</v>
      </c>
      <c r="M3614" s="2" t="s">
        <v>11030</v>
      </c>
      <c r="N3614" s="2" t="s">
        <v>11038</v>
      </c>
      <c r="O3614" s="2" t="s">
        <v>11035</v>
      </c>
      <c r="P3614" s="2" t="s">
        <v>11037</v>
      </c>
      <c r="Q3614" s="2">
        <f>AVERAGE(PerfRate[[#This Row],[EnvironmentSatisfaction]],PerfRate[[#This Row],[JobSatisfaction]],PerfRate[[#This Row],[RelationshipSatisfaction]])</f>
        <v>3.6666666666666665</v>
      </c>
      <c r="R3614" s="2">
        <f>PerfRate[[#This Row],[ManagerRating]] - PerfRate[[#This Row],[SelfRating]]</f>
        <v>-1</v>
      </c>
    </row>
    <row r="3615" spans="1:18">
      <c r="A3615" s="2" t="s">
        <v>7922</v>
      </c>
      <c r="B3615" s="2" t="s">
        <v>2219</v>
      </c>
      <c r="C3615" s="1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  <c r="L3615" s="2" t="s">
        <v>11029</v>
      </c>
      <c r="M3615" s="2" t="s">
        <v>11028</v>
      </c>
      <c r="N3615" s="2" t="s">
        <v>11038</v>
      </c>
      <c r="O3615" s="2" t="s">
        <v>11036</v>
      </c>
      <c r="P3615" s="2" t="s">
        <v>11035</v>
      </c>
      <c r="Q3615" s="2">
        <f>AVERAGE(PerfRate[[#This Row],[EnvironmentSatisfaction]],PerfRate[[#This Row],[JobSatisfaction]],PerfRate[[#This Row],[RelationshipSatisfaction]])</f>
        <v>3.3333333333333335</v>
      </c>
      <c r="R3615" s="2">
        <f>PerfRate[[#This Row],[ManagerRating]] - PerfRate[[#This Row],[SelfRating]]</f>
        <v>-1</v>
      </c>
    </row>
    <row r="3616" spans="1:18">
      <c r="A3616" s="2" t="s">
        <v>7923</v>
      </c>
      <c r="B3616" s="2" t="s">
        <v>2767</v>
      </c>
      <c r="C3616" s="1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  <c r="L3616" s="2" t="s">
        <v>11031</v>
      </c>
      <c r="M3616" s="2" t="s">
        <v>11030</v>
      </c>
      <c r="N3616" s="2" t="s">
        <v>11036</v>
      </c>
      <c r="O3616" s="2" t="s">
        <v>11038</v>
      </c>
      <c r="P3616" s="2" t="s">
        <v>11037</v>
      </c>
      <c r="Q3616" s="2">
        <f>AVERAGE(PerfRate[[#This Row],[EnvironmentSatisfaction]],PerfRate[[#This Row],[JobSatisfaction]],PerfRate[[#This Row],[RelationshipSatisfaction]])</f>
        <v>4</v>
      </c>
      <c r="R3616" s="2">
        <f>PerfRate[[#This Row],[ManagerRating]] - PerfRate[[#This Row],[SelfRating]]</f>
        <v>-1</v>
      </c>
    </row>
    <row r="3617" spans="1:18">
      <c r="A3617" s="2" t="s">
        <v>7924</v>
      </c>
      <c r="B3617" s="2" t="s">
        <v>2511</v>
      </c>
      <c r="C3617" s="1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  <c r="L3617" s="2" t="s">
        <v>11030</v>
      </c>
      <c r="M3617" s="2" t="s">
        <v>11029</v>
      </c>
      <c r="N3617" s="2" t="s">
        <v>11037</v>
      </c>
      <c r="O3617" s="2" t="s">
        <v>11038</v>
      </c>
      <c r="P3617" s="2" t="s">
        <v>11038</v>
      </c>
      <c r="Q3617" s="2">
        <f>AVERAGE(PerfRate[[#This Row],[EnvironmentSatisfaction]],PerfRate[[#This Row],[JobSatisfaction]],PerfRate[[#This Row],[RelationshipSatisfaction]])</f>
        <v>4.666666666666667</v>
      </c>
      <c r="R3617" s="2">
        <f>PerfRate[[#This Row],[ManagerRating]] - PerfRate[[#This Row],[SelfRating]]</f>
        <v>-1</v>
      </c>
    </row>
    <row r="3618" spans="1:18">
      <c r="A3618" s="2" t="s">
        <v>7925</v>
      </c>
      <c r="B3618" s="2" t="s">
        <v>1602</v>
      </c>
      <c r="C3618" s="1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  <c r="L3618" s="2" t="s">
        <v>11029</v>
      </c>
      <c r="M3618" s="2" t="s">
        <v>11028</v>
      </c>
      <c r="N3618" s="2" t="s">
        <v>11037</v>
      </c>
      <c r="O3618" s="2" t="s">
        <v>11038</v>
      </c>
      <c r="P3618" s="2" t="s">
        <v>11038</v>
      </c>
      <c r="Q3618" s="2">
        <f>AVERAGE(PerfRate[[#This Row],[EnvironmentSatisfaction]],PerfRate[[#This Row],[JobSatisfaction]],PerfRate[[#This Row],[RelationshipSatisfaction]])</f>
        <v>4.666666666666667</v>
      </c>
      <c r="R3618" s="2">
        <f>PerfRate[[#This Row],[ManagerRating]] - PerfRate[[#This Row],[SelfRating]]</f>
        <v>-1</v>
      </c>
    </row>
    <row r="3619" spans="1:18">
      <c r="A3619" s="2" t="s">
        <v>7926</v>
      </c>
      <c r="B3619" s="2" t="s">
        <v>78</v>
      </c>
      <c r="C3619" s="1">
        <v>41802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  <c r="L3619" s="2" t="s">
        <v>11030</v>
      </c>
      <c r="M3619" s="2" t="s">
        <v>11029</v>
      </c>
      <c r="N3619" s="2" t="s">
        <v>11037</v>
      </c>
      <c r="O3619" s="2" t="s">
        <v>11038</v>
      </c>
      <c r="P3619" s="2" t="s">
        <v>11038</v>
      </c>
      <c r="Q3619" s="2">
        <f>AVERAGE(PerfRate[[#This Row],[EnvironmentSatisfaction]],PerfRate[[#This Row],[JobSatisfaction]],PerfRate[[#This Row],[RelationshipSatisfaction]])</f>
        <v>4.666666666666667</v>
      </c>
      <c r="R3619" s="2">
        <f>PerfRate[[#This Row],[ManagerRating]] - PerfRate[[#This Row],[SelfRating]]</f>
        <v>-1</v>
      </c>
    </row>
    <row r="3620" spans="1:18">
      <c r="A3620" s="2" t="s">
        <v>7927</v>
      </c>
      <c r="B3620" s="2" t="s">
        <v>976</v>
      </c>
      <c r="C3620" s="1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  <c r="L3620" s="2" t="s">
        <v>11030</v>
      </c>
      <c r="M3620" s="2" t="s">
        <v>11029</v>
      </c>
      <c r="N3620" s="2" t="s">
        <v>11038</v>
      </c>
      <c r="O3620" s="2" t="s">
        <v>11035</v>
      </c>
      <c r="P3620" s="2" t="s">
        <v>11037</v>
      </c>
      <c r="Q3620" s="2">
        <f>AVERAGE(PerfRate[[#This Row],[EnvironmentSatisfaction]],PerfRate[[#This Row],[JobSatisfaction]],PerfRate[[#This Row],[RelationshipSatisfaction]])</f>
        <v>3.6666666666666665</v>
      </c>
      <c r="R3620" s="2">
        <f>PerfRate[[#This Row],[ManagerRating]] - PerfRate[[#This Row],[SelfRating]]</f>
        <v>-1</v>
      </c>
    </row>
    <row r="3621" spans="1:18">
      <c r="A3621" s="2" t="s">
        <v>7928</v>
      </c>
      <c r="B3621" s="2" t="s">
        <v>1578</v>
      </c>
      <c r="C3621" s="1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  <c r="L3621" s="2" t="s">
        <v>11031</v>
      </c>
      <c r="M3621" s="2" t="s">
        <v>11031</v>
      </c>
      <c r="N3621" s="2" t="s">
        <v>11038</v>
      </c>
      <c r="O3621" s="2" t="s">
        <v>11037</v>
      </c>
      <c r="P3621" s="2" t="s">
        <v>11038</v>
      </c>
      <c r="Q3621" s="2">
        <f>AVERAGE(PerfRate[[#This Row],[EnvironmentSatisfaction]],PerfRate[[#This Row],[JobSatisfaction]],PerfRate[[#This Row],[RelationshipSatisfaction]])</f>
        <v>4.666666666666667</v>
      </c>
      <c r="R3621" s="2">
        <f>PerfRate[[#This Row],[ManagerRating]] - PerfRate[[#This Row],[SelfRating]]</f>
        <v>0</v>
      </c>
    </row>
    <row r="3622" spans="1:18">
      <c r="A3622" s="2" t="s">
        <v>7929</v>
      </c>
      <c r="B3622" s="2" t="s">
        <v>2348</v>
      </c>
      <c r="C3622" s="1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  <c r="L3622" s="2" t="s">
        <v>11031</v>
      </c>
      <c r="M3622" s="2" t="s">
        <v>11031</v>
      </c>
      <c r="N3622" s="2" t="s">
        <v>11038</v>
      </c>
      <c r="O3622" s="2" t="s">
        <v>11037</v>
      </c>
      <c r="P3622" s="2" t="s">
        <v>11038</v>
      </c>
      <c r="Q3622" s="2">
        <f>AVERAGE(PerfRate[[#This Row],[EnvironmentSatisfaction]],PerfRate[[#This Row],[JobSatisfaction]],PerfRate[[#This Row],[RelationshipSatisfaction]])</f>
        <v>4.666666666666667</v>
      </c>
      <c r="R3622" s="2">
        <f>PerfRate[[#This Row],[ManagerRating]] - PerfRate[[#This Row],[SelfRating]]</f>
        <v>0</v>
      </c>
    </row>
    <row r="3623" spans="1:18">
      <c r="A3623" s="2" t="s">
        <v>7930</v>
      </c>
      <c r="B3623" s="2" t="s">
        <v>782</v>
      </c>
      <c r="C3623" s="1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  <c r="L3623" s="2" t="s">
        <v>11031</v>
      </c>
      <c r="M3623" s="2" t="s">
        <v>11031</v>
      </c>
      <c r="N3623" s="2" t="s">
        <v>11036</v>
      </c>
      <c r="O3623" s="2" t="s">
        <v>11036</v>
      </c>
      <c r="P3623" s="2" t="s">
        <v>11037</v>
      </c>
      <c r="Q3623" s="2">
        <f>AVERAGE(PerfRate[[#This Row],[EnvironmentSatisfaction]],PerfRate[[#This Row],[JobSatisfaction]],PerfRate[[#This Row],[RelationshipSatisfaction]])</f>
        <v>3.3333333333333335</v>
      </c>
      <c r="R3623" s="2">
        <f>PerfRate[[#This Row],[ManagerRating]] - PerfRate[[#This Row],[SelfRating]]</f>
        <v>0</v>
      </c>
    </row>
    <row r="3624" spans="1:18">
      <c r="A3624" s="2" t="s">
        <v>7931</v>
      </c>
      <c r="B3624" s="2" t="s">
        <v>1680</v>
      </c>
      <c r="C3624" s="1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  <c r="L3624" s="2" t="s">
        <v>11030</v>
      </c>
      <c r="M3624" s="2" t="s">
        <v>11029</v>
      </c>
      <c r="N3624" s="2" t="s">
        <v>11036</v>
      </c>
      <c r="O3624" s="2" t="s">
        <v>11035</v>
      </c>
      <c r="P3624" s="2" t="s">
        <v>11037</v>
      </c>
      <c r="Q3624" s="2">
        <f>AVERAGE(PerfRate[[#This Row],[EnvironmentSatisfaction]],PerfRate[[#This Row],[JobSatisfaction]],PerfRate[[#This Row],[RelationshipSatisfaction]])</f>
        <v>3</v>
      </c>
      <c r="R3624" s="2">
        <f>PerfRate[[#This Row],[ManagerRating]] - PerfRate[[#This Row],[SelfRating]]</f>
        <v>-1</v>
      </c>
    </row>
    <row r="3625" spans="1:18">
      <c r="A3625" s="2" t="s">
        <v>7932</v>
      </c>
      <c r="B3625" s="2" t="s">
        <v>2533</v>
      </c>
      <c r="C3625" s="1">
        <v>43839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  <c r="L3625" s="2" t="s">
        <v>11031</v>
      </c>
      <c r="M3625" s="2" t="s">
        <v>11030</v>
      </c>
      <c r="N3625" s="2" t="s">
        <v>11036</v>
      </c>
      <c r="O3625" s="2" t="s">
        <v>11038</v>
      </c>
      <c r="P3625" s="2" t="s">
        <v>11038</v>
      </c>
      <c r="Q3625" s="2">
        <f>AVERAGE(PerfRate[[#This Row],[EnvironmentSatisfaction]],PerfRate[[#This Row],[JobSatisfaction]],PerfRate[[#This Row],[RelationshipSatisfaction]])</f>
        <v>4.333333333333333</v>
      </c>
      <c r="R3625" s="2">
        <f>PerfRate[[#This Row],[ManagerRating]] - PerfRate[[#This Row],[SelfRating]]</f>
        <v>-1</v>
      </c>
    </row>
    <row r="3626" spans="1:18">
      <c r="A3626" s="2" t="s">
        <v>7933</v>
      </c>
      <c r="B3626" s="2" t="s">
        <v>847</v>
      </c>
      <c r="C3626" s="1">
        <v>43839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  <c r="L3626" s="2" t="s">
        <v>11029</v>
      </c>
      <c r="M3626" s="2" t="s">
        <v>11029</v>
      </c>
      <c r="N3626" s="2" t="s">
        <v>11037</v>
      </c>
      <c r="O3626" s="2" t="s">
        <v>11037</v>
      </c>
      <c r="P3626" s="2" t="s">
        <v>11035</v>
      </c>
      <c r="Q3626" s="2">
        <f>AVERAGE(PerfRate[[#This Row],[EnvironmentSatisfaction]],PerfRate[[#This Row],[JobSatisfaction]],PerfRate[[#This Row],[RelationshipSatisfaction]])</f>
        <v>3.3333333333333335</v>
      </c>
      <c r="R3626" s="2">
        <f>PerfRate[[#This Row],[ManagerRating]] - PerfRate[[#This Row],[SelfRating]]</f>
        <v>0</v>
      </c>
    </row>
    <row r="3627" spans="1:18">
      <c r="A3627" s="2" t="s">
        <v>7934</v>
      </c>
      <c r="B3627" s="2" t="s">
        <v>1984</v>
      </c>
      <c r="C3627" s="1">
        <v>43839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  <c r="L3627" s="2" t="s">
        <v>11029</v>
      </c>
      <c r="M3627" s="2" t="s">
        <v>11028</v>
      </c>
      <c r="N3627" s="2" t="s">
        <v>11038</v>
      </c>
      <c r="O3627" s="2" t="s">
        <v>11036</v>
      </c>
      <c r="P3627" s="2" t="s">
        <v>11035</v>
      </c>
      <c r="Q3627" s="2">
        <f>AVERAGE(PerfRate[[#This Row],[EnvironmentSatisfaction]],PerfRate[[#This Row],[JobSatisfaction]],PerfRate[[#This Row],[RelationshipSatisfaction]])</f>
        <v>3.3333333333333335</v>
      </c>
      <c r="R3627" s="2">
        <f>PerfRate[[#This Row],[ManagerRating]] - PerfRate[[#This Row],[SelfRating]]</f>
        <v>-1</v>
      </c>
    </row>
    <row r="3628" spans="1:18">
      <c r="A3628" s="2" t="s">
        <v>7935</v>
      </c>
      <c r="B3628" s="2" t="s">
        <v>886</v>
      </c>
      <c r="C3628" s="1">
        <v>43870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  <c r="L3628" s="2" t="s">
        <v>11031</v>
      </c>
      <c r="M3628" s="2" t="s">
        <v>11030</v>
      </c>
      <c r="N3628" s="2" t="s">
        <v>11037</v>
      </c>
      <c r="O3628" s="2" t="s">
        <v>11038</v>
      </c>
      <c r="P3628" s="2" t="s">
        <v>11037</v>
      </c>
      <c r="Q3628" s="2">
        <f>AVERAGE(PerfRate[[#This Row],[EnvironmentSatisfaction]],PerfRate[[#This Row],[JobSatisfaction]],PerfRate[[#This Row],[RelationshipSatisfaction]])</f>
        <v>4.333333333333333</v>
      </c>
      <c r="R3628" s="2">
        <f>PerfRate[[#This Row],[ManagerRating]] - PerfRate[[#This Row],[SelfRating]]</f>
        <v>-1</v>
      </c>
    </row>
    <row r="3629" spans="1:18">
      <c r="A3629" s="2" t="s">
        <v>7936</v>
      </c>
      <c r="B3629" s="2" t="s">
        <v>1232</v>
      </c>
      <c r="C3629" s="1">
        <v>43870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  <c r="L3629" s="2" t="s">
        <v>11031</v>
      </c>
      <c r="M3629" s="2" t="s">
        <v>11030</v>
      </c>
      <c r="N3629" s="2" t="s">
        <v>11036</v>
      </c>
      <c r="O3629" s="2" t="s">
        <v>11036</v>
      </c>
      <c r="P3629" s="2" t="s">
        <v>11035</v>
      </c>
      <c r="Q3629" s="2">
        <f>AVERAGE(PerfRate[[#This Row],[EnvironmentSatisfaction]],PerfRate[[#This Row],[JobSatisfaction]],PerfRate[[#This Row],[RelationshipSatisfaction]])</f>
        <v>2.6666666666666665</v>
      </c>
      <c r="R3629" s="2">
        <f>PerfRate[[#This Row],[ManagerRating]] - PerfRate[[#This Row],[SelfRating]]</f>
        <v>-1</v>
      </c>
    </row>
    <row r="3630" spans="1:18">
      <c r="A3630" s="2" t="s">
        <v>7937</v>
      </c>
      <c r="B3630" s="2" t="s">
        <v>3963</v>
      </c>
      <c r="C3630" s="1">
        <v>41894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  <c r="L3630" s="2" t="s">
        <v>11029</v>
      </c>
      <c r="M3630" s="2" t="s">
        <v>11029</v>
      </c>
      <c r="N3630" s="2" t="s">
        <v>11037</v>
      </c>
      <c r="O3630" s="2" t="s">
        <v>11037</v>
      </c>
      <c r="P3630" s="2" t="s">
        <v>11035</v>
      </c>
      <c r="Q3630" s="2">
        <f>AVERAGE(PerfRate[[#This Row],[EnvironmentSatisfaction]],PerfRate[[#This Row],[JobSatisfaction]],PerfRate[[#This Row],[RelationshipSatisfaction]])</f>
        <v>3.3333333333333335</v>
      </c>
      <c r="R3630" s="2">
        <f>PerfRate[[#This Row],[ManagerRating]] - PerfRate[[#This Row],[SelfRating]]</f>
        <v>0</v>
      </c>
    </row>
    <row r="3631" spans="1:18">
      <c r="A3631" s="2" t="s">
        <v>7938</v>
      </c>
      <c r="B3631" s="2" t="s">
        <v>2140</v>
      </c>
      <c r="C3631" s="1">
        <v>43870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  <c r="L3631" s="2" t="s">
        <v>11029</v>
      </c>
      <c r="M3631" s="2" t="s">
        <v>11029</v>
      </c>
      <c r="N3631" s="2" t="s">
        <v>11037</v>
      </c>
      <c r="O3631" s="2" t="s">
        <v>11037</v>
      </c>
      <c r="P3631" s="2" t="s">
        <v>11038</v>
      </c>
      <c r="Q3631" s="2">
        <f>AVERAGE(PerfRate[[#This Row],[EnvironmentSatisfaction]],PerfRate[[#This Row],[JobSatisfaction]],PerfRate[[#This Row],[RelationshipSatisfaction]])</f>
        <v>4.333333333333333</v>
      </c>
      <c r="R3631" s="2">
        <f>PerfRate[[#This Row],[ManagerRating]] - PerfRate[[#This Row],[SelfRating]]</f>
        <v>0</v>
      </c>
    </row>
    <row r="3632" spans="1:18">
      <c r="A3632" s="2" t="s">
        <v>7939</v>
      </c>
      <c r="B3632" s="2" t="s">
        <v>1807</v>
      </c>
      <c r="C3632" s="1">
        <v>43870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  <c r="L3632" s="2" t="s">
        <v>11029</v>
      </c>
      <c r="M3632" s="2" t="s">
        <v>11028</v>
      </c>
      <c r="N3632" s="2" t="s">
        <v>11038</v>
      </c>
      <c r="O3632" s="2" t="s">
        <v>11036</v>
      </c>
      <c r="P3632" s="2" t="s">
        <v>11036</v>
      </c>
      <c r="Q3632" s="2">
        <f>AVERAGE(PerfRate[[#This Row],[EnvironmentSatisfaction]],PerfRate[[#This Row],[JobSatisfaction]],PerfRate[[#This Row],[RelationshipSatisfaction]])</f>
        <v>3.6666666666666665</v>
      </c>
      <c r="R3632" s="2">
        <f>PerfRate[[#This Row],[ManagerRating]] - PerfRate[[#This Row],[SelfRating]]</f>
        <v>-1</v>
      </c>
    </row>
    <row r="3633" spans="1:18">
      <c r="A3633" s="2" t="s">
        <v>7940</v>
      </c>
      <c r="B3633" s="2" t="s">
        <v>1797</v>
      </c>
      <c r="C3633" s="1">
        <v>43870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  <c r="L3633" s="2" t="s">
        <v>11029</v>
      </c>
      <c r="M3633" s="2" t="s">
        <v>11028</v>
      </c>
      <c r="N3633" s="2" t="s">
        <v>11036</v>
      </c>
      <c r="O3633" s="2" t="s">
        <v>11036</v>
      </c>
      <c r="P3633" s="2" t="s">
        <v>11037</v>
      </c>
      <c r="Q3633" s="2">
        <f>AVERAGE(PerfRate[[#This Row],[EnvironmentSatisfaction]],PerfRate[[#This Row],[JobSatisfaction]],PerfRate[[#This Row],[RelationshipSatisfaction]])</f>
        <v>3.3333333333333335</v>
      </c>
      <c r="R3633" s="2">
        <f>PerfRate[[#This Row],[ManagerRating]] - PerfRate[[#This Row],[SelfRating]]</f>
        <v>-1</v>
      </c>
    </row>
    <row r="3634" spans="1:18">
      <c r="A3634" s="2" t="s">
        <v>7941</v>
      </c>
      <c r="B3634" s="2" t="s">
        <v>4222</v>
      </c>
      <c r="C3634" s="1">
        <v>43899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  <c r="L3634" s="2" t="s">
        <v>11030</v>
      </c>
      <c r="M3634" s="2" t="s">
        <v>11030</v>
      </c>
      <c r="N3634" s="2" t="s">
        <v>11038</v>
      </c>
      <c r="O3634" s="2" t="s">
        <v>11036</v>
      </c>
      <c r="P3634" s="2" t="s">
        <v>11038</v>
      </c>
      <c r="Q3634" s="2">
        <f>AVERAGE(PerfRate[[#This Row],[EnvironmentSatisfaction]],PerfRate[[#This Row],[JobSatisfaction]],PerfRate[[#This Row],[RelationshipSatisfaction]])</f>
        <v>4.333333333333333</v>
      </c>
      <c r="R3634" s="2">
        <f>PerfRate[[#This Row],[ManagerRating]] - PerfRate[[#This Row],[SelfRating]]</f>
        <v>0</v>
      </c>
    </row>
    <row r="3635" spans="1:18">
      <c r="A3635" s="2" t="s">
        <v>7942</v>
      </c>
      <c r="B3635" s="2" t="s">
        <v>1563</v>
      </c>
      <c r="C3635" s="1">
        <v>43899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  <c r="L3635" s="2" t="s">
        <v>11029</v>
      </c>
      <c r="M3635" s="2" t="s">
        <v>11028</v>
      </c>
      <c r="N3635" s="2" t="s">
        <v>11036</v>
      </c>
      <c r="O3635" s="2" t="s">
        <v>11037</v>
      </c>
      <c r="P3635" s="2" t="s">
        <v>11038</v>
      </c>
      <c r="Q3635" s="2">
        <f>AVERAGE(PerfRate[[#This Row],[EnvironmentSatisfaction]],PerfRate[[#This Row],[JobSatisfaction]],PerfRate[[#This Row],[RelationshipSatisfaction]])</f>
        <v>4</v>
      </c>
      <c r="R3635" s="2">
        <f>PerfRate[[#This Row],[ManagerRating]] - PerfRate[[#This Row],[SelfRating]]</f>
        <v>-1</v>
      </c>
    </row>
    <row r="3636" spans="1:18">
      <c r="A3636" s="2" t="s">
        <v>7943</v>
      </c>
      <c r="B3636" s="2" t="s">
        <v>1924</v>
      </c>
      <c r="C3636" s="1">
        <v>43899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  <c r="L3636" s="2" t="s">
        <v>11029</v>
      </c>
      <c r="M3636" s="2" t="s">
        <v>11028</v>
      </c>
      <c r="N3636" s="2" t="s">
        <v>11038</v>
      </c>
      <c r="O3636" s="2" t="s">
        <v>11035</v>
      </c>
      <c r="P3636" s="2" t="s">
        <v>11038</v>
      </c>
      <c r="Q3636" s="2">
        <f>AVERAGE(PerfRate[[#This Row],[EnvironmentSatisfaction]],PerfRate[[#This Row],[JobSatisfaction]],PerfRate[[#This Row],[RelationshipSatisfaction]])</f>
        <v>4</v>
      </c>
      <c r="R3636" s="2">
        <f>PerfRate[[#This Row],[ManagerRating]] - PerfRate[[#This Row],[SelfRating]]</f>
        <v>-1</v>
      </c>
    </row>
    <row r="3637" spans="1:18">
      <c r="A3637" s="2" t="s">
        <v>7944</v>
      </c>
      <c r="B3637" s="2" t="s">
        <v>1374</v>
      </c>
      <c r="C3637" s="1">
        <v>43930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  <c r="L3637" s="2" t="s">
        <v>11031</v>
      </c>
      <c r="M3637" s="2" t="s">
        <v>11030</v>
      </c>
      <c r="N3637" s="2" t="s">
        <v>11037</v>
      </c>
      <c r="O3637" s="2" t="s">
        <v>11035</v>
      </c>
      <c r="P3637" s="2" t="s">
        <v>11038</v>
      </c>
      <c r="Q3637" s="2">
        <f>AVERAGE(PerfRate[[#This Row],[EnvironmentSatisfaction]],PerfRate[[#This Row],[JobSatisfaction]],PerfRate[[#This Row],[RelationshipSatisfaction]])</f>
        <v>3.6666666666666665</v>
      </c>
      <c r="R3637" s="2">
        <f>PerfRate[[#This Row],[ManagerRating]] - PerfRate[[#This Row],[SelfRating]]</f>
        <v>-1</v>
      </c>
    </row>
    <row r="3638" spans="1:18">
      <c r="A3638" s="2" t="s">
        <v>7945</v>
      </c>
      <c r="B3638" s="2" t="s">
        <v>604</v>
      </c>
      <c r="C3638" s="1">
        <v>43960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  <c r="L3638" s="2" t="s">
        <v>11031</v>
      </c>
      <c r="M3638" s="2" t="s">
        <v>11031</v>
      </c>
      <c r="N3638" s="2" t="s">
        <v>11037</v>
      </c>
      <c r="O3638" s="2" t="s">
        <v>11036</v>
      </c>
      <c r="P3638" s="2" t="s">
        <v>11035</v>
      </c>
      <c r="Q3638" s="2">
        <f>AVERAGE(PerfRate[[#This Row],[EnvironmentSatisfaction]],PerfRate[[#This Row],[JobSatisfaction]],PerfRate[[#This Row],[RelationshipSatisfaction]])</f>
        <v>3</v>
      </c>
      <c r="R3638" s="2">
        <f>PerfRate[[#This Row],[ManagerRating]] - PerfRate[[#This Row],[SelfRating]]</f>
        <v>0</v>
      </c>
    </row>
    <row r="3639" spans="1:18">
      <c r="A3639" s="2" t="s">
        <v>7946</v>
      </c>
      <c r="B3639" s="2" t="s">
        <v>3353</v>
      </c>
      <c r="C3639" s="1">
        <v>44021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  <c r="L3639" s="2" t="s">
        <v>11029</v>
      </c>
      <c r="M3639" s="2" t="s">
        <v>11029</v>
      </c>
      <c r="N3639" s="2" t="s">
        <v>11037</v>
      </c>
      <c r="O3639" s="2" t="s">
        <v>11038</v>
      </c>
      <c r="P3639" s="2" t="s">
        <v>11035</v>
      </c>
      <c r="Q3639" s="2">
        <f>AVERAGE(PerfRate[[#This Row],[EnvironmentSatisfaction]],PerfRate[[#This Row],[JobSatisfaction]],PerfRate[[#This Row],[RelationshipSatisfaction]])</f>
        <v>3.6666666666666665</v>
      </c>
      <c r="R3639" s="2">
        <f>PerfRate[[#This Row],[ManagerRating]] - PerfRate[[#This Row],[SelfRating]]</f>
        <v>0</v>
      </c>
    </row>
    <row r="3640" spans="1:18">
      <c r="A3640" s="2" t="s">
        <v>7947</v>
      </c>
      <c r="B3640" s="2" t="s">
        <v>1377</v>
      </c>
      <c r="C3640" s="1">
        <v>44021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  <c r="L3640" s="2" t="s">
        <v>11030</v>
      </c>
      <c r="M3640" s="2" t="s">
        <v>11029</v>
      </c>
      <c r="N3640" s="2" t="s">
        <v>11037</v>
      </c>
      <c r="O3640" s="2" t="s">
        <v>11036</v>
      </c>
      <c r="P3640" s="2" t="s">
        <v>11037</v>
      </c>
      <c r="Q3640" s="2">
        <f>AVERAGE(PerfRate[[#This Row],[EnvironmentSatisfaction]],PerfRate[[#This Row],[JobSatisfaction]],PerfRate[[#This Row],[RelationshipSatisfaction]])</f>
        <v>3.6666666666666665</v>
      </c>
      <c r="R3640" s="2">
        <f>PerfRate[[#This Row],[ManagerRating]] - PerfRate[[#This Row],[SelfRating]]</f>
        <v>-1</v>
      </c>
    </row>
    <row r="3641" spans="1:18">
      <c r="A3641" s="2" t="s">
        <v>7948</v>
      </c>
      <c r="B3641" s="2" t="s">
        <v>2730</v>
      </c>
      <c r="C3641" s="1">
        <v>41894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  <c r="L3641" s="2" t="s">
        <v>11030</v>
      </c>
      <c r="M3641" s="2" t="s">
        <v>11029</v>
      </c>
      <c r="N3641" s="2" t="s">
        <v>11038</v>
      </c>
      <c r="O3641" s="2" t="s">
        <v>11036</v>
      </c>
      <c r="P3641" s="2" t="s">
        <v>11035</v>
      </c>
      <c r="Q3641" s="2">
        <f>AVERAGE(PerfRate[[#This Row],[EnvironmentSatisfaction]],PerfRate[[#This Row],[JobSatisfaction]],PerfRate[[#This Row],[RelationshipSatisfaction]])</f>
        <v>3.3333333333333335</v>
      </c>
      <c r="R3641" s="2">
        <f>PerfRate[[#This Row],[ManagerRating]] - PerfRate[[#This Row],[SelfRating]]</f>
        <v>-1</v>
      </c>
    </row>
    <row r="3642" spans="1:18">
      <c r="A3642" s="2" t="s">
        <v>7949</v>
      </c>
      <c r="B3642" s="2" t="s">
        <v>2239</v>
      </c>
      <c r="C3642" s="1">
        <v>44021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  <c r="L3642" s="2" t="s">
        <v>11030</v>
      </c>
      <c r="M3642" s="2" t="s">
        <v>11030</v>
      </c>
      <c r="N3642" s="2" t="s">
        <v>11036</v>
      </c>
      <c r="O3642" s="2" t="s">
        <v>11036</v>
      </c>
      <c r="P3642" s="2" t="s">
        <v>11036</v>
      </c>
      <c r="Q3642" s="2">
        <f>AVERAGE(PerfRate[[#This Row],[EnvironmentSatisfaction]],PerfRate[[#This Row],[JobSatisfaction]],PerfRate[[#This Row],[RelationshipSatisfaction]])</f>
        <v>3</v>
      </c>
      <c r="R3642" s="2">
        <f>PerfRate[[#This Row],[ManagerRating]] - PerfRate[[#This Row],[SelfRating]]</f>
        <v>0</v>
      </c>
    </row>
    <row r="3643" spans="1:18">
      <c r="A3643" s="2" t="s">
        <v>7950</v>
      </c>
      <c r="B3643" s="2" t="s">
        <v>2412</v>
      </c>
      <c r="C3643" s="1">
        <v>44021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  <c r="L3643" s="2" t="s">
        <v>11031</v>
      </c>
      <c r="M3643" s="2" t="s">
        <v>11030</v>
      </c>
      <c r="N3643" s="2" t="s">
        <v>11038</v>
      </c>
      <c r="O3643" s="2" t="s">
        <v>11037</v>
      </c>
      <c r="P3643" s="2" t="s">
        <v>11036</v>
      </c>
      <c r="Q3643" s="2">
        <f>AVERAGE(PerfRate[[#This Row],[EnvironmentSatisfaction]],PerfRate[[#This Row],[JobSatisfaction]],PerfRate[[#This Row],[RelationshipSatisfaction]])</f>
        <v>4</v>
      </c>
      <c r="R3643" s="2">
        <f>PerfRate[[#This Row],[ManagerRating]] - PerfRate[[#This Row],[SelfRating]]</f>
        <v>-1</v>
      </c>
    </row>
    <row r="3644" spans="1:18">
      <c r="A3644" s="2" t="s">
        <v>7951</v>
      </c>
      <c r="B3644" s="2" t="s">
        <v>1459</v>
      </c>
      <c r="C3644" s="1">
        <v>44052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  <c r="L3644" s="2" t="s">
        <v>11030</v>
      </c>
      <c r="M3644" s="2" t="s">
        <v>11030</v>
      </c>
      <c r="N3644" s="2" t="s">
        <v>11036</v>
      </c>
      <c r="O3644" s="2" t="s">
        <v>11036</v>
      </c>
      <c r="P3644" s="2" t="s">
        <v>11035</v>
      </c>
      <c r="Q3644" s="2">
        <f>AVERAGE(PerfRate[[#This Row],[EnvironmentSatisfaction]],PerfRate[[#This Row],[JobSatisfaction]],PerfRate[[#This Row],[RelationshipSatisfaction]])</f>
        <v>2.6666666666666665</v>
      </c>
      <c r="R3644" s="2">
        <f>PerfRate[[#This Row],[ManagerRating]] - PerfRate[[#This Row],[SelfRating]]</f>
        <v>0</v>
      </c>
    </row>
    <row r="3645" spans="1:18">
      <c r="A3645" s="2" t="s">
        <v>7952</v>
      </c>
      <c r="B3645" s="2" t="s">
        <v>2542</v>
      </c>
      <c r="C3645" s="1">
        <v>44052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  <c r="L3645" s="2" t="s">
        <v>11029</v>
      </c>
      <c r="M3645" s="2" t="s">
        <v>11028</v>
      </c>
      <c r="N3645" s="2" t="s">
        <v>11038</v>
      </c>
      <c r="O3645" s="2" t="s">
        <v>11036</v>
      </c>
      <c r="P3645" s="2" t="s">
        <v>11037</v>
      </c>
      <c r="Q3645" s="2">
        <f>AVERAGE(PerfRate[[#This Row],[EnvironmentSatisfaction]],PerfRate[[#This Row],[JobSatisfaction]],PerfRate[[#This Row],[RelationshipSatisfaction]])</f>
        <v>4</v>
      </c>
      <c r="R3645" s="2">
        <f>PerfRate[[#This Row],[ManagerRating]] - PerfRate[[#This Row],[SelfRating]]</f>
        <v>-1</v>
      </c>
    </row>
    <row r="3646" spans="1:18">
      <c r="A3646" s="2" t="s">
        <v>7953</v>
      </c>
      <c r="B3646" s="2" t="s">
        <v>794</v>
      </c>
      <c r="C3646" s="1">
        <v>44113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  <c r="L3646" s="2" t="s">
        <v>11031</v>
      </c>
      <c r="M3646" s="2" t="s">
        <v>11030</v>
      </c>
      <c r="N3646" s="2" t="s">
        <v>11037</v>
      </c>
      <c r="O3646" s="2" t="s">
        <v>11036</v>
      </c>
      <c r="P3646" s="2" t="s">
        <v>11035</v>
      </c>
      <c r="Q3646" s="2">
        <f>AVERAGE(PerfRate[[#This Row],[EnvironmentSatisfaction]],PerfRate[[#This Row],[JobSatisfaction]],PerfRate[[#This Row],[RelationshipSatisfaction]])</f>
        <v>3</v>
      </c>
      <c r="R3646" s="2">
        <f>PerfRate[[#This Row],[ManagerRating]] - PerfRate[[#This Row],[SelfRating]]</f>
        <v>-1</v>
      </c>
    </row>
    <row r="3647" spans="1:18">
      <c r="A3647" s="2" t="s">
        <v>7954</v>
      </c>
      <c r="B3647" s="2" t="s">
        <v>2071</v>
      </c>
      <c r="C3647" s="1">
        <v>44113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  <c r="L3647" s="2" t="s">
        <v>11030</v>
      </c>
      <c r="M3647" s="2" t="s">
        <v>11030</v>
      </c>
      <c r="N3647" s="2" t="s">
        <v>11036</v>
      </c>
      <c r="O3647" s="2" t="s">
        <v>11035</v>
      </c>
      <c r="P3647" s="2" t="s">
        <v>11035</v>
      </c>
      <c r="Q3647" s="2">
        <f>AVERAGE(PerfRate[[#This Row],[EnvironmentSatisfaction]],PerfRate[[#This Row],[JobSatisfaction]],PerfRate[[#This Row],[RelationshipSatisfaction]])</f>
        <v>2.3333333333333335</v>
      </c>
      <c r="R3647" s="2">
        <f>PerfRate[[#This Row],[ManagerRating]] - PerfRate[[#This Row],[SelfRating]]</f>
        <v>0</v>
      </c>
    </row>
    <row r="3648" spans="1:18">
      <c r="A3648" s="2" t="s">
        <v>7955</v>
      </c>
      <c r="B3648" s="2" t="s">
        <v>464</v>
      </c>
      <c r="C3648" s="1">
        <v>44144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  <c r="L3648" s="2" t="s">
        <v>11030</v>
      </c>
      <c r="M3648" s="2" t="s">
        <v>11030</v>
      </c>
      <c r="N3648" s="2" t="s">
        <v>11038</v>
      </c>
      <c r="O3648" s="2" t="s">
        <v>11038</v>
      </c>
      <c r="P3648" s="2" t="s">
        <v>11035</v>
      </c>
      <c r="Q3648" s="2">
        <f>AVERAGE(PerfRate[[#This Row],[EnvironmentSatisfaction]],PerfRate[[#This Row],[JobSatisfaction]],PerfRate[[#This Row],[RelationshipSatisfaction]])</f>
        <v>4</v>
      </c>
      <c r="R3648" s="2">
        <f>PerfRate[[#This Row],[ManagerRating]] - PerfRate[[#This Row],[SelfRating]]</f>
        <v>0</v>
      </c>
    </row>
    <row r="3649" spans="1:18">
      <c r="A3649" s="2" t="s">
        <v>7956</v>
      </c>
      <c r="B3649" s="2" t="s">
        <v>1386</v>
      </c>
      <c r="C3649" s="1">
        <v>44144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  <c r="L3649" s="2" t="s">
        <v>11031</v>
      </c>
      <c r="M3649" s="2" t="s">
        <v>11030</v>
      </c>
      <c r="N3649" s="2" t="s">
        <v>11036</v>
      </c>
      <c r="O3649" s="2" t="s">
        <v>11036</v>
      </c>
      <c r="P3649" s="2" t="s">
        <v>11035</v>
      </c>
      <c r="Q3649" s="2">
        <f>AVERAGE(PerfRate[[#This Row],[EnvironmentSatisfaction]],PerfRate[[#This Row],[JobSatisfaction]],PerfRate[[#This Row],[RelationshipSatisfaction]])</f>
        <v>2.6666666666666665</v>
      </c>
      <c r="R3649" s="2">
        <f>PerfRate[[#This Row],[ManagerRating]] - PerfRate[[#This Row],[SelfRating]]</f>
        <v>-1</v>
      </c>
    </row>
    <row r="3650" spans="1:18">
      <c r="A3650" s="2" t="s">
        <v>7957</v>
      </c>
      <c r="B3650" s="2" t="s">
        <v>1655</v>
      </c>
      <c r="C3650" s="1">
        <v>44144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  <c r="L3650" s="2" t="s">
        <v>11029</v>
      </c>
      <c r="M3650" s="2" t="s">
        <v>11029</v>
      </c>
      <c r="N3650" s="2" t="s">
        <v>11036</v>
      </c>
      <c r="O3650" s="2" t="s">
        <v>11037</v>
      </c>
      <c r="P3650" s="2" t="s">
        <v>11036</v>
      </c>
      <c r="Q3650" s="2">
        <f>AVERAGE(PerfRate[[#This Row],[EnvironmentSatisfaction]],PerfRate[[#This Row],[JobSatisfaction]],PerfRate[[#This Row],[RelationshipSatisfaction]])</f>
        <v>3.3333333333333335</v>
      </c>
      <c r="R3650" s="2">
        <f>PerfRate[[#This Row],[ManagerRating]] - PerfRate[[#This Row],[SelfRating]]</f>
        <v>0</v>
      </c>
    </row>
    <row r="3651" spans="1:18">
      <c r="A3651" s="2" t="s">
        <v>7958</v>
      </c>
      <c r="B3651" s="2" t="s">
        <v>2548</v>
      </c>
      <c r="C3651" s="1">
        <v>44144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  <c r="L3651" s="2" t="s">
        <v>11030</v>
      </c>
      <c r="M3651" s="2" t="s">
        <v>11030</v>
      </c>
      <c r="N3651" s="2" t="s">
        <v>11038</v>
      </c>
      <c r="O3651" s="2" t="s">
        <v>11037</v>
      </c>
      <c r="P3651" s="2" t="s">
        <v>11037</v>
      </c>
      <c r="Q3651" s="2">
        <f>AVERAGE(PerfRate[[#This Row],[EnvironmentSatisfaction]],PerfRate[[#This Row],[JobSatisfaction]],PerfRate[[#This Row],[RelationshipSatisfaction]])</f>
        <v>4.333333333333333</v>
      </c>
      <c r="R3651" s="2">
        <f>PerfRate[[#This Row],[ManagerRating]] - PerfRate[[#This Row],[SelfRating]]</f>
        <v>0</v>
      </c>
    </row>
    <row r="3652" spans="1:18">
      <c r="A3652" s="2" t="s">
        <v>7959</v>
      </c>
      <c r="B3652" s="2" t="s">
        <v>4202</v>
      </c>
      <c r="C3652" s="1">
        <v>41924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  <c r="L3652" s="2" t="s">
        <v>11029</v>
      </c>
      <c r="M3652" s="2" t="s">
        <v>11028</v>
      </c>
      <c r="N3652" s="2" t="s">
        <v>11036</v>
      </c>
      <c r="O3652" s="2" t="s">
        <v>11036</v>
      </c>
      <c r="P3652" s="2" t="s">
        <v>11035</v>
      </c>
      <c r="Q3652" s="2">
        <f>AVERAGE(PerfRate[[#This Row],[EnvironmentSatisfaction]],PerfRate[[#This Row],[JobSatisfaction]],PerfRate[[#This Row],[RelationshipSatisfaction]])</f>
        <v>2.6666666666666665</v>
      </c>
      <c r="R3652" s="2">
        <f>PerfRate[[#This Row],[ManagerRating]] - PerfRate[[#This Row],[SelfRating]]</f>
        <v>-1</v>
      </c>
    </row>
    <row r="3653" spans="1:18">
      <c r="A3653" s="2" t="s">
        <v>7960</v>
      </c>
      <c r="B3653" s="2" t="s">
        <v>2278</v>
      </c>
      <c r="C3653" s="1">
        <v>44174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  <c r="L3653" s="2" t="s">
        <v>11029</v>
      </c>
      <c r="M3653" s="2" t="s">
        <v>11028</v>
      </c>
      <c r="N3653" s="2" t="s">
        <v>11038</v>
      </c>
      <c r="O3653" s="2" t="s">
        <v>11037</v>
      </c>
      <c r="P3653" s="2" t="s">
        <v>11036</v>
      </c>
      <c r="Q3653" s="2">
        <f>AVERAGE(PerfRate[[#This Row],[EnvironmentSatisfaction]],PerfRate[[#This Row],[JobSatisfaction]],PerfRate[[#This Row],[RelationshipSatisfaction]])</f>
        <v>4</v>
      </c>
      <c r="R3653" s="2">
        <f>PerfRate[[#This Row],[ManagerRating]] - PerfRate[[#This Row],[SelfRating]]</f>
        <v>-1</v>
      </c>
    </row>
    <row r="3654" spans="1:18">
      <c r="A3654" s="2" t="s">
        <v>7961</v>
      </c>
      <c r="B3654" s="2" t="s">
        <v>2163</v>
      </c>
      <c r="C3654" s="1">
        <v>44174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  <c r="L3654" s="2" t="s">
        <v>11029</v>
      </c>
      <c r="M3654" s="2" t="s">
        <v>11028</v>
      </c>
      <c r="N3654" s="2" t="s">
        <v>11038</v>
      </c>
      <c r="O3654" s="2" t="s">
        <v>11036</v>
      </c>
      <c r="P3654" s="2" t="s">
        <v>11035</v>
      </c>
      <c r="Q3654" s="2">
        <f>AVERAGE(PerfRate[[#This Row],[EnvironmentSatisfaction]],PerfRate[[#This Row],[JobSatisfaction]],PerfRate[[#This Row],[RelationshipSatisfaction]])</f>
        <v>3.3333333333333335</v>
      </c>
      <c r="R3654" s="2">
        <f>PerfRate[[#This Row],[ManagerRating]] - PerfRate[[#This Row],[SelfRating]]</f>
        <v>-1</v>
      </c>
    </row>
    <row r="3655" spans="1:18">
      <c r="A3655" s="2" t="s">
        <v>7962</v>
      </c>
      <c r="B3655" s="2" t="s">
        <v>4142</v>
      </c>
      <c r="C3655" s="1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  <c r="L3655" s="2" t="s">
        <v>11030</v>
      </c>
      <c r="M3655" s="2" t="s">
        <v>11030</v>
      </c>
      <c r="N3655" s="2" t="s">
        <v>11037</v>
      </c>
      <c r="O3655" s="2" t="s">
        <v>11035</v>
      </c>
      <c r="P3655" s="2" t="s">
        <v>11037</v>
      </c>
      <c r="Q3655" s="2">
        <f>AVERAGE(PerfRate[[#This Row],[EnvironmentSatisfaction]],PerfRate[[#This Row],[JobSatisfaction]],PerfRate[[#This Row],[RelationshipSatisfaction]])</f>
        <v>3.3333333333333335</v>
      </c>
      <c r="R3655" s="2">
        <f>PerfRate[[#This Row],[ManagerRating]] - PerfRate[[#This Row],[SelfRating]]</f>
        <v>0</v>
      </c>
    </row>
    <row r="3656" spans="1:18">
      <c r="A3656" s="2" t="s">
        <v>7963</v>
      </c>
      <c r="B3656" s="2" t="s">
        <v>1816</v>
      </c>
      <c r="C3656" s="1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  <c r="L3656" s="2" t="s">
        <v>11029</v>
      </c>
      <c r="M3656" s="2" t="s">
        <v>11028</v>
      </c>
      <c r="N3656" s="2" t="s">
        <v>11038</v>
      </c>
      <c r="O3656" s="2" t="s">
        <v>11038</v>
      </c>
      <c r="P3656" s="2" t="s">
        <v>11036</v>
      </c>
      <c r="Q3656" s="2">
        <f>AVERAGE(PerfRate[[#This Row],[EnvironmentSatisfaction]],PerfRate[[#This Row],[JobSatisfaction]],PerfRate[[#This Row],[RelationshipSatisfaction]])</f>
        <v>4.333333333333333</v>
      </c>
      <c r="R3656" s="2">
        <f>PerfRate[[#This Row],[ManagerRating]] - PerfRate[[#This Row],[SelfRating]]</f>
        <v>-1</v>
      </c>
    </row>
    <row r="3657" spans="1:18">
      <c r="A3657" s="2" t="s">
        <v>7964</v>
      </c>
      <c r="B3657" s="2" t="s">
        <v>1758</v>
      </c>
      <c r="C3657" s="1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  <c r="L3657" s="2" t="s">
        <v>11029</v>
      </c>
      <c r="M3657" s="2" t="s">
        <v>11029</v>
      </c>
      <c r="N3657" s="2" t="s">
        <v>11037</v>
      </c>
      <c r="O3657" s="2" t="s">
        <v>11038</v>
      </c>
      <c r="P3657" s="2" t="s">
        <v>11035</v>
      </c>
      <c r="Q3657" s="2">
        <f>AVERAGE(PerfRate[[#This Row],[EnvironmentSatisfaction]],PerfRate[[#This Row],[JobSatisfaction]],PerfRate[[#This Row],[RelationshipSatisfaction]])</f>
        <v>3.6666666666666665</v>
      </c>
      <c r="R3657" s="2">
        <f>PerfRate[[#This Row],[ManagerRating]] - PerfRate[[#This Row],[SelfRating]]</f>
        <v>0</v>
      </c>
    </row>
    <row r="3658" spans="1:18">
      <c r="A3658" s="2" t="s">
        <v>7965</v>
      </c>
      <c r="B3658" s="2" t="s">
        <v>2509</v>
      </c>
      <c r="C3658" s="1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  <c r="L3658" s="2" t="s">
        <v>11029</v>
      </c>
      <c r="M3658" s="2" t="s">
        <v>11028</v>
      </c>
      <c r="N3658" s="2" t="s">
        <v>11036</v>
      </c>
      <c r="O3658" s="2" t="s">
        <v>11035</v>
      </c>
      <c r="P3658" s="2" t="s">
        <v>11038</v>
      </c>
      <c r="Q3658" s="2">
        <f>AVERAGE(PerfRate[[#This Row],[EnvironmentSatisfaction]],PerfRate[[#This Row],[JobSatisfaction]],PerfRate[[#This Row],[RelationshipSatisfaction]])</f>
        <v>3.3333333333333335</v>
      </c>
      <c r="R3658" s="2">
        <f>PerfRate[[#This Row],[ManagerRating]] - PerfRate[[#This Row],[SelfRating]]</f>
        <v>-1</v>
      </c>
    </row>
    <row r="3659" spans="1:18">
      <c r="A3659" s="2" t="s">
        <v>7966</v>
      </c>
      <c r="B3659" s="2" t="s">
        <v>2216</v>
      </c>
      <c r="C3659" s="1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  <c r="L3659" s="2" t="s">
        <v>11029</v>
      </c>
      <c r="M3659" s="2" t="s">
        <v>11028</v>
      </c>
      <c r="N3659" s="2" t="s">
        <v>11038</v>
      </c>
      <c r="O3659" s="2" t="s">
        <v>11036</v>
      </c>
      <c r="P3659" s="2" t="s">
        <v>11037</v>
      </c>
      <c r="Q3659" s="2">
        <f>AVERAGE(PerfRate[[#This Row],[EnvironmentSatisfaction]],PerfRate[[#This Row],[JobSatisfaction]],PerfRate[[#This Row],[RelationshipSatisfaction]])</f>
        <v>4</v>
      </c>
      <c r="R3659" s="2">
        <f>PerfRate[[#This Row],[ManagerRating]] - PerfRate[[#This Row],[SelfRating]]</f>
        <v>-1</v>
      </c>
    </row>
    <row r="3660" spans="1:18">
      <c r="A3660" s="2" t="s">
        <v>7967</v>
      </c>
      <c r="B3660" s="2" t="s">
        <v>299</v>
      </c>
      <c r="C3660" s="1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  <c r="L3660" s="2" t="s">
        <v>11030</v>
      </c>
      <c r="M3660" s="2" t="s">
        <v>11029</v>
      </c>
      <c r="N3660" s="2" t="s">
        <v>11037</v>
      </c>
      <c r="O3660" s="2" t="s">
        <v>11035</v>
      </c>
      <c r="P3660" s="2" t="s">
        <v>11038</v>
      </c>
      <c r="Q3660" s="2">
        <f>AVERAGE(PerfRate[[#This Row],[EnvironmentSatisfaction]],PerfRate[[#This Row],[JobSatisfaction]],PerfRate[[#This Row],[RelationshipSatisfaction]])</f>
        <v>3.6666666666666665</v>
      </c>
      <c r="R3660" s="2">
        <f>PerfRate[[#This Row],[ManagerRating]] - PerfRate[[#This Row],[SelfRating]]</f>
        <v>-1</v>
      </c>
    </row>
    <row r="3661" spans="1:18">
      <c r="A3661" s="2" t="s">
        <v>7968</v>
      </c>
      <c r="B3661" s="2" t="s">
        <v>547</v>
      </c>
      <c r="C3661" s="1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  <c r="L3661" s="2" t="s">
        <v>11031</v>
      </c>
      <c r="M3661" s="2" t="s">
        <v>11031</v>
      </c>
      <c r="N3661" s="2" t="s">
        <v>11037</v>
      </c>
      <c r="O3661" s="2" t="s">
        <v>11038</v>
      </c>
      <c r="P3661" s="2" t="s">
        <v>11037</v>
      </c>
      <c r="Q3661" s="2">
        <f>AVERAGE(PerfRate[[#This Row],[EnvironmentSatisfaction]],PerfRate[[#This Row],[JobSatisfaction]],PerfRate[[#This Row],[RelationshipSatisfaction]])</f>
        <v>4.333333333333333</v>
      </c>
      <c r="R3661" s="2">
        <f>PerfRate[[#This Row],[ManagerRating]] - PerfRate[[#This Row],[SelfRating]]</f>
        <v>0</v>
      </c>
    </row>
    <row r="3662" spans="1:18">
      <c r="A3662" s="2" t="s">
        <v>7969</v>
      </c>
      <c r="B3662" s="2" t="s">
        <v>2201</v>
      </c>
      <c r="C3662" s="1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  <c r="L3662" s="2" t="s">
        <v>11029</v>
      </c>
      <c r="M3662" s="2" t="s">
        <v>11028</v>
      </c>
      <c r="N3662" s="2" t="s">
        <v>11036</v>
      </c>
      <c r="O3662" s="2" t="s">
        <v>11037</v>
      </c>
      <c r="P3662" s="2" t="s">
        <v>11036</v>
      </c>
      <c r="Q3662" s="2">
        <f>AVERAGE(PerfRate[[#This Row],[EnvironmentSatisfaction]],PerfRate[[#This Row],[JobSatisfaction]],PerfRate[[#This Row],[RelationshipSatisfaction]])</f>
        <v>3.3333333333333335</v>
      </c>
      <c r="R3662" s="2">
        <f>PerfRate[[#This Row],[ManagerRating]] - PerfRate[[#This Row],[SelfRating]]</f>
        <v>-1</v>
      </c>
    </row>
    <row r="3663" spans="1:18">
      <c r="A3663" s="2" t="s">
        <v>7970</v>
      </c>
      <c r="B3663" s="2" t="s">
        <v>3362</v>
      </c>
      <c r="C3663" s="1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  <c r="L3663" s="2" t="s">
        <v>11029</v>
      </c>
      <c r="M3663" s="2" t="s">
        <v>11029</v>
      </c>
      <c r="N3663" s="2" t="s">
        <v>11038</v>
      </c>
      <c r="O3663" s="2" t="s">
        <v>11036</v>
      </c>
      <c r="P3663" s="2" t="s">
        <v>11038</v>
      </c>
      <c r="Q3663" s="2">
        <f>AVERAGE(PerfRate[[#This Row],[EnvironmentSatisfaction]],PerfRate[[#This Row],[JobSatisfaction]],PerfRate[[#This Row],[RelationshipSatisfaction]])</f>
        <v>4.333333333333333</v>
      </c>
      <c r="R3663" s="2">
        <f>PerfRate[[#This Row],[ManagerRating]] - PerfRate[[#This Row],[SelfRating]]</f>
        <v>0</v>
      </c>
    </row>
    <row r="3664" spans="1:18">
      <c r="A3664" s="2" t="s">
        <v>7971</v>
      </c>
      <c r="B3664" s="2" t="s">
        <v>1444</v>
      </c>
      <c r="C3664" s="1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  <c r="L3664" s="2" t="s">
        <v>11031</v>
      </c>
      <c r="M3664" s="2" t="s">
        <v>11031</v>
      </c>
      <c r="N3664" s="2" t="s">
        <v>11036</v>
      </c>
      <c r="O3664" s="2" t="s">
        <v>11038</v>
      </c>
      <c r="P3664" s="2" t="s">
        <v>11038</v>
      </c>
      <c r="Q3664" s="2">
        <f>AVERAGE(PerfRate[[#This Row],[EnvironmentSatisfaction]],PerfRate[[#This Row],[JobSatisfaction]],PerfRate[[#This Row],[RelationshipSatisfaction]])</f>
        <v>4.333333333333333</v>
      </c>
      <c r="R3664" s="2">
        <f>PerfRate[[#This Row],[ManagerRating]] - PerfRate[[#This Row],[SelfRating]]</f>
        <v>0</v>
      </c>
    </row>
    <row r="3665" spans="1:18">
      <c r="A3665" s="2" t="s">
        <v>7972</v>
      </c>
      <c r="B3665" s="2" t="s">
        <v>1936</v>
      </c>
      <c r="C3665" s="1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  <c r="L3665" s="2" t="s">
        <v>11029</v>
      </c>
      <c r="M3665" s="2" t="s">
        <v>11029</v>
      </c>
      <c r="N3665" s="2" t="s">
        <v>11036</v>
      </c>
      <c r="O3665" s="2" t="s">
        <v>11036</v>
      </c>
      <c r="P3665" s="2" t="s">
        <v>11036</v>
      </c>
      <c r="Q3665" s="2">
        <f>AVERAGE(PerfRate[[#This Row],[EnvironmentSatisfaction]],PerfRate[[#This Row],[JobSatisfaction]],PerfRate[[#This Row],[RelationshipSatisfaction]])</f>
        <v>3</v>
      </c>
      <c r="R3665" s="2">
        <f>PerfRate[[#This Row],[ManagerRating]] - PerfRate[[#This Row],[SelfRating]]</f>
        <v>0</v>
      </c>
    </row>
    <row r="3666" spans="1:18">
      <c r="A3666" s="2" t="s">
        <v>7973</v>
      </c>
      <c r="B3666" s="2" t="s">
        <v>1335</v>
      </c>
      <c r="C3666" s="1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  <c r="L3666" s="2" t="s">
        <v>11029</v>
      </c>
      <c r="M3666" s="2" t="s">
        <v>11028</v>
      </c>
      <c r="N3666" s="2" t="s">
        <v>11038</v>
      </c>
      <c r="O3666" s="2" t="s">
        <v>11036</v>
      </c>
      <c r="P3666" s="2" t="s">
        <v>11035</v>
      </c>
      <c r="Q3666" s="2">
        <f>AVERAGE(PerfRate[[#This Row],[EnvironmentSatisfaction]],PerfRate[[#This Row],[JobSatisfaction]],PerfRate[[#This Row],[RelationshipSatisfaction]])</f>
        <v>3.3333333333333335</v>
      </c>
      <c r="R3666" s="2">
        <f>PerfRate[[#This Row],[ManagerRating]] - PerfRate[[#This Row],[SelfRating]]</f>
        <v>-1</v>
      </c>
    </row>
    <row r="3667" spans="1:18">
      <c r="A3667" s="2" t="s">
        <v>7974</v>
      </c>
      <c r="B3667" s="2" t="s">
        <v>1901</v>
      </c>
      <c r="C3667" s="1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  <c r="L3667" s="2" t="s">
        <v>11029</v>
      </c>
      <c r="M3667" s="2" t="s">
        <v>11028</v>
      </c>
      <c r="N3667" s="2" t="s">
        <v>11037</v>
      </c>
      <c r="O3667" s="2" t="s">
        <v>11036</v>
      </c>
      <c r="P3667" s="2" t="s">
        <v>11037</v>
      </c>
      <c r="Q3667" s="2">
        <f>AVERAGE(PerfRate[[#This Row],[EnvironmentSatisfaction]],PerfRate[[#This Row],[JobSatisfaction]],PerfRate[[#This Row],[RelationshipSatisfaction]])</f>
        <v>3.6666666666666665</v>
      </c>
      <c r="R3667" s="2">
        <f>PerfRate[[#This Row],[ManagerRating]] - PerfRate[[#This Row],[SelfRating]]</f>
        <v>-1</v>
      </c>
    </row>
    <row r="3668" spans="1:18">
      <c r="A3668" s="2" t="s">
        <v>7975</v>
      </c>
      <c r="B3668" s="2" t="s">
        <v>2885</v>
      </c>
      <c r="C3668" s="1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  <c r="L3668" s="2" t="s">
        <v>11031</v>
      </c>
      <c r="M3668" s="2" t="s">
        <v>11030</v>
      </c>
      <c r="N3668" s="2" t="s">
        <v>11037</v>
      </c>
      <c r="O3668" s="2" t="s">
        <v>11038</v>
      </c>
      <c r="P3668" s="2" t="s">
        <v>11038</v>
      </c>
      <c r="Q3668" s="2">
        <f>AVERAGE(PerfRate[[#This Row],[EnvironmentSatisfaction]],PerfRate[[#This Row],[JobSatisfaction]],PerfRate[[#This Row],[RelationshipSatisfaction]])</f>
        <v>4.666666666666667</v>
      </c>
      <c r="R3668" s="2">
        <f>PerfRate[[#This Row],[ManagerRating]] - PerfRate[[#This Row],[SelfRating]]</f>
        <v>-1</v>
      </c>
    </row>
    <row r="3669" spans="1:18">
      <c r="A3669" s="2" t="s">
        <v>7976</v>
      </c>
      <c r="B3669" s="2" t="s">
        <v>988</v>
      </c>
      <c r="C3669" s="1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  <c r="L3669" s="2" t="s">
        <v>11030</v>
      </c>
      <c r="M3669" s="2" t="s">
        <v>11030</v>
      </c>
      <c r="N3669" s="2" t="s">
        <v>11036</v>
      </c>
      <c r="O3669" s="2" t="s">
        <v>11035</v>
      </c>
      <c r="P3669" s="2" t="s">
        <v>11037</v>
      </c>
      <c r="Q3669" s="2">
        <f>AVERAGE(PerfRate[[#This Row],[EnvironmentSatisfaction]],PerfRate[[#This Row],[JobSatisfaction]],PerfRate[[#This Row],[RelationshipSatisfaction]])</f>
        <v>3</v>
      </c>
      <c r="R3669" s="2">
        <f>PerfRate[[#This Row],[ManagerRating]] - PerfRate[[#This Row],[SelfRating]]</f>
        <v>0</v>
      </c>
    </row>
    <row r="3670" spans="1:18">
      <c r="A3670" s="2" t="s">
        <v>7977</v>
      </c>
      <c r="B3670" s="2" t="s">
        <v>2563</v>
      </c>
      <c r="C3670" s="1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  <c r="L3670" s="2" t="s">
        <v>11029</v>
      </c>
      <c r="M3670" s="2" t="s">
        <v>11029</v>
      </c>
      <c r="N3670" s="2" t="s">
        <v>11036</v>
      </c>
      <c r="O3670" s="2" t="s">
        <v>11035</v>
      </c>
      <c r="P3670" s="2" t="s">
        <v>11037</v>
      </c>
      <c r="Q3670" s="2">
        <f>AVERAGE(PerfRate[[#This Row],[EnvironmentSatisfaction]],PerfRate[[#This Row],[JobSatisfaction]],PerfRate[[#This Row],[RelationshipSatisfaction]])</f>
        <v>3</v>
      </c>
      <c r="R3670" s="2">
        <f>PerfRate[[#This Row],[ManagerRating]] - PerfRate[[#This Row],[SelfRating]]</f>
        <v>0</v>
      </c>
    </row>
    <row r="3671" spans="1:18">
      <c r="A3671" s="2" t="s">
        <v>7978</v>
      </c>
      <c r="B3671" s="2" t="s">
        <v>1456</v>
      </c>
      <c r="C3671" s="1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  <c r="L3671" s="2" t="s">
        <v>11029</v>
      </c>
      <c r="M3671" s="2" t="s">
        <v>11029</v>
      </c>
      <c r="N3671" s="2" t="s">
        <v>11038</v>
      </c>
      <c r="O3671" s="2" t="s">
        <v>11035</v>
      </c>
      <c r="P3671" s="2" t="s">
        <v>11038</v>
      </c>
      <c r="Q3671" s="2">
        <f>AVERAGE(PerfRate[[#This Row],[EnvironmentSatisfaction]],PerfRate[[#This Row],[JobSatisfaction]],PerfRate[[#This Row],[RelationshipSatisfaction]])</f>
        <v>4</v>
      </c>
      <c r="R3671" s="2">
        <f>PerfRate[[#This Row],[ManagerRating]] - PerfRate[[#This Row],[SelfRating]]</f>
        <v>0</v>
      </c>
    </row>
    <row r="3672" spans="1:18">
      <c r="A3672" s="2" t="s">
        <v>7979</v>
      </c>
      <c r="B3672" s="2" t="s">
        <v>1713</v>
      </c>
      <c r="C3672" s="1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  <c r="L3672" s="2" t="s">
        <v>11030</v>
      </c>
      <c r="M3672" s="2" t="s">
        <v>11029</v>
      </c>
      <c r="N3672" s="2" t="s">
        <v>11036</v>
      </c>
      <c r="O3672" s="2" t="s">
        <v>11036</v>
      </c>
      <c r="P3672" s="2" t="s">
        <v>11035</v>
      </c>
      <c r="Q3672" s="2">
        <f>AVERAGE(PerfRate[[#This Row],[EnvironmentSatisfaction]],PerfRate[[#This Row],[JobSatisfaction]],PerfRate[[#This Row],[RelationshipSatisfaction]])</f>
        <v>2.6666666666666665</v>
      </c>
      <c r="R3672" s="2">
        <f>PerfRate[[#This Row],[ManagerRating]] - PerfRate[[#This Row],[SelfRating]]</f>
        <v>-1</v>
      </c>
    </row>
    <row r="3673" spans="1:18">
      <c r="A3673" s="2" t="s">
        <v>7980</v>
      </c>
      <c r="B3673" s="2" t="s">
        <v>2406</v>
      </c>
      <c r="C3673" s="1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  <c r="L3673" s="2" t="s">
        <v>11029</v>
      </c>
      <c r="M3673" s="2" t="s">
        <v>11028</v>
      </c>
      <c r="N3673" s="2" t="s">
        <v>11038</v>
      </c>
      <c r="O3673" s="2" t="s">
        <v>11038</v>
      </c>
      <c r="P3673" s="2" t="s">
        <v>11035</v>
      </c>
      <c r="Q3673" s="2">
        <f>AVERAGE(PerfRate[[#This Row],[EnvironmentSatisfaction]],PerfRate[[#This Row],[JobSatisfaction]],PerfRate[[#This Row],[RelationshipSatisfaction]])</f>
        <v>4</v>
      </c>
      <c r="R3673" s="2">
        <f>PerfRate[[#This Row],[ManagerRating]] - PerfRate[[#This Row],[SelfRating]]</f>
        <v>-1</v>
      </c>
    </row>
    <row r="3674" spans="1:18">
      <c r="A3674" s="2" t="s">
        <v>7981</v>
      </c>
      <c r="B3674" s="2" t="s">
        <v>226</v>
      </c>
      <c r="C3674" s="1">
        <v>41427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  <c r="L3674" s="2" t="s">
        <v>11030</v>
      </c>
      <c r="M3674" s="2" t="s">
        <v>11030</v>
      </c>
      <c r="N3674" s="2" t="s">
        <v>11037</v>
      </c>
      <c r="O3674" s="2" t="s">
        <v>11038</v>
      </c>
      <c r="P3674" s="2" t="s">
        <v>11037</v>
      </c>
      <c r="Q3674" s="2">
        <f>AVERAGE(PerfRate[[#This Row],[EnvironmentSatisfaction]],PerfRate[[#This Row],[JobSatisfaction]],PerfRate[[#This Row],[RelationshipSatisfaction]])</f>
        <v>4.333333333333333</v>
      </c>
      <c r="R3674" s="2">
        <f>PerfRate[[#This Row],[ManagerRating]] - PerfRate[[#This Row],[SelfRating]]</f>
        <v>0</v>
      </c>
    </row>
    <row r="3675" spans="1:18">
      <c r="A3675" s="2" t="s">
        <v>7982</v>
      </c>
      <c r="B3675" s="2" t="s">
        <v>1324</v>
      </c>
      <c r="C3675" s="1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  <c r="L3675" s="2" t="s">
        <v>11030</v>
      </c>
      <c r="M3675" s="2" t="s">
        <v>11029</v>
      </c>
      <c r="N3675" s="2" t="s">
        <v>11036</v>
      </c>
      <c r="O3675" s="2" t="s">
        <v>11035</v>
      </c>
      <c r="P3675" s="2" t="s">
        <v>11038</v>
      </c>
      <c r="Q3675" s="2">
        <f>AVERAGE(PerfRate[[#This Row],[EnvironmentSatisfaction]],PerfRate[[#This Row],[JobSatisfaction]],PerfRate[[#This Row],[RelationshipSatisfaction]])</f>
        <v>3.3333333333333335</v>
      </c>
      <c r="R3675" s="2">
        <f>PerfRate[[#This Row],[ManagerRating]] - PerfRate[[#This Row],[SelfRating]]</f>
        <v>-1</v>
      </c>
    </row>
    <row r="3676" spans="1:18">
      <c r="A3676" s="2" t="s">
        <v>7983</v>
      </c>
      <c r="B3676" s="2" t="s">
        <v>517</v>
      </c>
      <c r="C3676" s="1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  <c r="L3676" s="2" t="s">
        <v>11029</v>
      </c>
      <c r="M3676" s="2" t="s">
        <v>11028</v>
      </c>
      <c r="N3676" s="2" t="s">
        <v>11038</v>
      </c>
      <c r="O3676" s="2" t="s">
        <v>11038</v>
      </c>
      <c r="P3676" s="2" t="s">
        <v>11035</v>
      </c>
      <c r="Q3676" s="2">
        <f>AVERAGE(PerfRate[[#This Row],[EnvironmentSatisfaction]],PerfRate[[#This Row],[JobSatisfaction]],PerfRate[[#This Row],[RelationshipSatisfaction]])</f>
        <v>4</v>
      </c>
      <c r="R3676" s="2">
        <f>PerfRate[[#This Row],[ManagerRating]] - PerfRate[[#This Row],[SelfRating]]</f>
        <v>-1</v>
      </c>
    </row>
    <row r="3677" spans="1:18">
      <c r="A3677" s="2" t="s">
        <v>7984</v>
      </c>
      <c r="B3677" s="2" t="s">
        <v>2421</v>
      </c>
      <c r="C3677" s="1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  <c r="L3677" s="2" t="s">
        <v>11030</v>
      </c>
      <c r="M3677" s="2" t="s">
        <v>11029</v>
      </c>
      <c r="N3677" s="2" t="s">
        <v>11038</v>
      </c>
      <c r="O3677" s="2" t="s">
        <v>11037</v>
      </c>
      <c r="P3677" s="2" t="s">
        <v>11037</v>
      </c>
      <c r="Q3677" s="2">
        <f>AVERAGE(PerfRate[[#This Row],[EnvironmentSatisfaction]],PerfRate[[#This Row],[JobSatisfaction]],PerfRate[[#This Row],[RelationshipSatisfaction]])</f>
        <v>4.333333333333333</v>
      </c>
      <c r="R3677" s="2">
        <f>PerfRate[[#This Row],[ManagerRating]] - PerfRate[[#This Row],[SelfRating]]</f>
        <v>-1</v>
      </c>
    </row>
    <row r="3678" spans="1:18">
      <c r="A3678" s="2" t="s">
        <v>7985</v>
      </c>
      <c r="B3678" s="2" t="s">
        <v>2415</v>
      </c>
      <c r="C3678" s="1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  <c r="L3678" s="2" t="s">
        <v>11029</v>
      </c>
      <c r="M3678" s="2" t="s">
        <v>11029</v>
      </c>
      <c r="N3678" s="2" t="s">
        <v>11038</v>
      </c>
      <c r="O3678" s="2" t="s">
        <v>11035</v>
      </c>
      <c r="P3678" s="2" t="s">
        <v>11035</v>
      </c>
      <c r="Q3678" s="2">
        <f>AVERAGE(PerfRate[[#This Row],[EnvironmentSatisfaction]],PerfRate[[#This Row],[JobSatisfaction]],PerfRate[[#This Row],[RelationshipSatisfaction]])</f>
        <v>3</v>
      </c>
      <c r="R3678" s="2">
        <f>PerfRate[[#This Row],[ManagerRating]] - PerfRate[[#This Row],[SelfRating]]</f>
        <v>0</v>
      </c>
    </row>
    <row r="3679" spans="1:18">
      <c r="A3679" s="2" t="s">
        <v>7986</v>
      </c>
      <c r="B3679" s="2" t="s">
        <v>1274</v>
      </c>
      <c r="C3679" s="1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  <c r="L3679" s="2" t="s">
        <v>11031</v>
      </c>
      <c r="M3679" s="2" t="s">
        <v>11031</v>
      </c>
      <c r="N3679" s="2" t="s">
        <v>11036</v>
      </c>
      <c r="O3679" s="2" t="s">
        <v>11037</v>
      </c>
      <c r="P3679" s="2" t="s">
        <v>11036</v>
      </c>
      <c r="Q3679" s="2">
        <f>AVERAGE(PerfRate[[#This Row],[EnvironmentSatisfaction]],PerfRate[[#This Row],[JobSatisfaction]],PerfRate[[#This Row],[RelationshipSatisfaction]])</f>
        <v>3.3333333333333335</v>
      </c>
      <c r="R3679" s="2">
        <f>PerfRate[[#This Row],[ManagerRating]] - PerfRate[[#This Row],[SelfRating]]</f>
        <v>0</v>
      </c>
    </row>
    <row r="3680" spans="1:18">
      <c r="A3680" s="2" t="s">
        <v>7987</v>
      </c>
      <c r="B3680" s="2" t="s">
        <v>2447</v>
      </c>
      <c r="C3680" s="1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  <c r="L3680" s="2" t="s">
        <v>11031</v>
      </c>
      <c r="M3680" s="2" t="s">
        <v>11030</v>
      </c>
      <c r="N3680" s="2" t="s">
        <v>11038</v>
      </c>
      <c r="O3680" s="2" t="s">
        <v>11037</v>
      </c>
      <c r="P3680" s="2" t="s">
        <v>11038</v>
      </c>
      <c r="Q3680" s="2">
        <f>AVERAGE(PerfRate[[#This Row],[EnvironmentSatisfaction]],PerfRate[[#This Row],[JobSatisfaction]],PerfRate[[#This Row],[RelationshipSatisfaction]])</f>
        <v>4.666666666666667</v>
      </c>
      <c r="R3680" s="2">
        <f>PerfRate[[#This Row],[ManagerRating]] - PerfRate[[#This Row],[SelfRating]]</f>
        <v>-1</v>
      </c>
    </row>
    <row r="3681" spans="1:18">
      <c r="A3681" s="2" t="s">
        <v>7988</v>
      </c>
      <c r="B3681" s="2" t="s">
        <v>2596</v>
      </c>
      <c r="C3681" s="1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  <c r="L3681" s="2" t="s">
        <v>11031</v>
      </c>
      <c r="M3681" s="2" t="s">
        <v>11030</v>
      </c>
      <c r="N3681" s="2" t="s">
        <v>11036</v>
      </c>
      <c r="O3681" s="2" t="s">
        <v>11035</v>
      </c>
      <c r="P3681" s="2" t="s">
        <v>11038</v>
      </c>
      <c r="Q3681" s="2">
        <f>AVERAGE(PerfRate[[#This Row],[EnvironmentSatisfaction]],PerfRate[[#This Row],[JobSatisfaction]],PerfRate[[#This Row],[RelationshipSatisfaction]])</f>
        <v>3.3333333333333335</v>
      </c>
      <c r="R3681" s="2">
        <f>PerfRate[[#This Row],[ManagerRating]] - PerfRate[[#This Row],[SelfRating]]</f>
        <v>-1</v>
      </c>
    </row>
    <row r="3682" spans="1:18">
      <c r="A3682" s="2" t="s">
        <v>7989</v>
      </c>
      <c r="B3682" s="2" t="s">
        <v>2920</v>
      </c>
      <c r="C3682" s="1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  <c r="L3682" s="2" t="s">
        <v>11031</v>
      </c>
      <c r="M3682" s="2" t="s">
        <v>11031</v>
      </c>
      <c r="N3682" s="2" t="s">
        <v>11036</v>
      </c>
      <c r="O3682" s="2" t="s">
        <v>11036</v>
      </c>
      <c r="P3682" s="2" t="s">
        <v>11035</v>
      </c>
      <c r="Q3682" s="2">
        <f>AVERAGE(PerfRate[[#This Row],[EnvironmentSatisfaction]],PerfRate[[#This Row],[JobSatisfaction]],PerfRate[[#This Row],[RelationshipSatisfaction]])</f>
        <v>2.6666666666666665</v>
      </c>
      <c r="R3682" s="2">
        <f>PerfRate[[#This Row],[ManagerRating]] - PerfRate[[#This Row],[SelfRating]]</f>
        <v>0</v>
      </c>
    </row>
    <row r="3683" spans="1:18">
      <c r="A3683" s="2" t="s">
        <v>7990</v>
      </c>
      <c r="B3683" s="2" t="s">
        <v>1560</v>
      </c>
      <c r="C3683" s="1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  <c r="L3683" s="2" t="s">
        <v>11031</v>
      </c>
      <c r="M3683" s="2" t="s">
        <v>11031</v>
      </c>
      <c r="N3683" s="2" t="s">
        <v>11037</v>
      </c>
      <c r="O3683" s="2" t="s">
        <v>11038</v>
      </c>
      <c r="P3683" s="2" t="s">
        <v>11035</v>
      </c>
      <c r="Q3683" s="2">
        <f>AVERAGE(PerfRate[[#This Row],[EnvironmentSatisfaction]],PerfRate[[#This Row],[JobSatisfaction]],PerfRate[[#This Row],[RelationshipSatisfaction]])</f>
        <v>3.6666666666666665</v>
      </c>
      <c r="R3683" s="2">
        <f>PerfRate[[#This Row],[ManagerRating]] - PerfRate[[#This Row],[SelfRating]]</f>
        <v>0</v>
      </c>
    </row>
    <row r="3684" spans="1:18">
      <c r="A3684" s="2" t="s">
        <v>7991</v>
      </c>
      <c r="B3684" s="2" t="s">
        <v>134</v>
      </c>
      <c r="C3684" s="1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  <c r="L3684" s="2" t="s">
        <v>11030</v>
      </c>
      <c r="M3684" s="2" t="s">
        <v>11029</v>
      </c>
      <c r="N3684" s="2" t="s">
        <v>11037</v>
      </c>
      <c r="O3684" s="2" t="s">
        <v>11037</v>
      </c>
      <c r="P3684" s="2" t="s">
        <v>11037</v>
      </c>
      <c r="Q3684" s="2">
        <f>AVERAGE(PerfRate[[#This Row],[EnvironmentSatisfaction]],PerfRate[[#This Row],[JobSatisfaction]],PerfRate[[#This Row],[RelationshipSatisfaction]])</f>
        <v>4</v>
      </c>
      <c r="R3684" s="2">
        <f>PerfRate[[#This Row],[ManagerRating]] - PerfRate[[#This Row],[SelfRating]]</f>
        <v>-1</v>
      </c>
    </row>
    <row r="3685" spans="1:18">
      <c r="A3685" s="2" t="s">
        <v>7992</v>
      </c>
      <c r="B3685" s="2" t="s">
        <v>2424</v>
      </c>
      <c r="C3685" s="1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  <c r="L3685" s="2" t="s">
        <v>11031</v>
      </c>
      <c r="M3685" s="2" t="s">
        <v>11031</v>
      </c>
      <c r="N3685" s="2" t="s">
        <v>11036</v>
      </c>
      <c r="O3685" s="2" t="s">
        <v>11036</v>
      </c>
      <c r="P3685" s="2" t="s">
        <v>11036</v>
      </c>
      <c r="Q3685" s="2">
        <f>AVERAGE(PerfRate[[#This Row],[EnvironmentSatisfaction]],PerfRate[[#This Row],[JobSatisfaction]],PerfRate[[#This Row],[RelationshipSatisfaction]])</f>
        <v>3</v>
      </c>
      <c r="R3685" s="2">
        <f>PerfRate[[#This Row],[ManagerRating]] - PerfRate[[#This Row],[SelfRating]]</f>
        <v>0</v>
      </c>
    </row>
    <row r="3686" spans="1:18">
      <c r="A3686" s="2" t="s">
        <v>7993</v>
      </c>
      <c r="B3686" s="2" t="s">
        <v>3160</v>
      </c>
      <c r="C3686" s="1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  <c r="L3686" s="2" t="s">
        <v>11031</v>
      </c>
      <c r="M3686" s="2" t="s">
        <v>11031</v>
      </c>
      <c r="N3686" s="2" t="s">
        <v>11038</v>
      </c>
      <c r="O3686" s="2" t="s">
        <v>11037</v>
      </c>
      <c r="P3686" s="2" t="s">
        <v>11038</v>
      </c>
      <c r="Q3686" s="2">
        <f>AVERAGE(PerfRate[[#This Row],[EnvironmentSatisfaction]],PerfRate[[#This Row],[JobSatisfaction]],PerfRate[[#This Row],[RelationshipSatisfaction]])</f>
        <v>4.666666666666667</v>
      </c>
      <c r="R3686" s="2">
        <f>PerfRate[[#This Row],[ManagerRating]] - PerfRate[[#This Row],[SelfRating]]</f>
        <v>0</v>
      </c>
    </row>
    <row r="3687" spans="1:18">
      <c r="A3687" s="2" t="s">
        <v>7994</v>
      </c>
      <c r="B3687" s="2" t="s">
        <v>4230</v>
      </c>
      <c r="C3687" s="1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  <c r="L3687" s="2" t="s">
        <v>11029</v>
      </c>
      <c r="M3687" s="2" t="s">
        <v>11029</v>
      </c>
      <c r="N3687" s="2" t="s">
        <v>11037</v>
      </c>
      <c r="O3687" s="2" t="s">
        <v>11037</v>
      </c>
      <c r="P3687" s="2" t="s">
        <v>11036</v>
      </c>
      <c r="Q3687" s="2">
        <f>AVERAGE(PerfRate[[#This Row],[EnvironmentSatisfaction]],PerfRate[[#This Row],[JobSatisfaction]],PerfRate[[#This Row],[RelationshipSatisfaction]])</f>
        <v>3.6666666666666665</v>
      </c>
      <c r="R3687" s="2">
        <f>PerfRate[[#This Row],[ManagerRating]] - PerfRate[[#This Row],[SelfRating]]</f>
        <v>0</v>
      </c>
    </row>
    <row r="3688" spans="1:18">
      <c r="A3688" s="2" t="s">
        <v>7995</v>
      </c>
      <c r="B3688" s="2" t="s">
        <v>482</v>
      </c>
      <c r="C3688" s="1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  <c r="L3688" s="2" t="s">
        <v>11031</v>
      </c>
      <c r="M3688" s="2" t="s">
        <v>11030</v>
      </c>
      <c r="N3688" s="2" t="s">
        <v>11037</v>
      </c>
      <c r="O3688" s="2" t="s">
        <v>11038</v>
      </c>
      <c r="P3688" s="2" t="s">
        <v>11038</v>
      </c>
      <c r="Q3688" s="2">
        <f>AVERAGE(PerfRate[[#This Row],[EnvironmentSatisfaction]],PerfRate[[#This Row],[JobSatisfaction]],PerfRate[[#This Row],[RelationshipSatisfaction]])</f>
        <v>4.666666666666667</v>
      </c>
      <c r="R3688" s="2">
        <f>PerfRate[[#This Row],[ManagerRating]] - PerfRate[[#This Row],[SelfRating]]</f>
        <v>-1</v>
      </c>
    </row>
    <row r="3689" spans="1:18">
      <c r="A3689" s="2" t="s">
        <v>7996</v>
      </c>
      <c r="B3689" s="2" t="s">
        <v>708</v>
      </c>
      <c r="C3689" s="1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  <c r="L3689" s="2" t="s">
        <v>11029</v>
      </c>
      <c r="M3689" s="2" t="s">
        <v>11028</v>
      </c>
      <c r="N3689" s="2" t="s">
        <v>11037</v>
      </c>
      <c r="O3689" s="2" t="s">
        <v>11037</v>
      </c>
      <c r="P3689" s="2" t="s">
        <v>11035</v>
      </c>
      <c r="Q3689" s="2">
        <f>AVERAGE(PerfRate[[#This Row],[EnvironmentSatisfaction]],PerfRate[[#This Row],[JobSatisfaction]],PerfRate[[#This Row],[RelationshipSatisfaction]])</f>
        <v>3.3333333333333335</v>
      </c>
      <c r="R3689" s="2">
        <f>PerfRate[[#This Row],[ManagerRating]] - PerfRate[[#This Row],[SelfRating]]</f>
        <v>-1</v>
      </c>
    </row>
    <row r="3690" spans="1:18">
      <c r="A3690" s="2" t="s">
        <v>7997</v>
      </c>
      <c r="B3690" s="2" t="s">
        <v>841</v>
      </c>
      <c r="C3690" s="1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  <c r="L3690" s="2" t="s">
        <v>11029</v>
      </c>
      <c r="M3690" s="2" t="s">
        <v>11028</v>
      </c>
      <c r="N3690" s="2" t="s">
        <v>11036</v>
      </c>
      <c r="O3690" s="2" t="s">
        <v>11035</v>
      </c>
      <c r="P3690" s="2" t="s">
        <v>11036</v>
      </c>
      <c r="Q3690" s="2">
        <f>AVERAGE(PerfRate[[#This Row],[EnvironmentSatisfaction]],PerfRate[[#This Row],[JobSatisfaction]],PerfRate[[#This Row],[RelationshipSatisfaction]])</f>
        <v>2.6666666666666665</v>
      </c>
      <c r="R3690" s="2">
        <f>PerfRate[[#This Row],[ManagerRating]] - PerfRate[[#This Row],[SelfRating]]</f>
        <v>-1</v>
      </c>
    </row>
    <row r="3691" spans="1:18">
      <c r="A3691" s="2" t="s">
        <v>7998</v>
      </c>
      <c r="B3691" s="2" t="s">
        <v>1368</v>
      </c>
      <c r="C3691" s="1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  <c r="L3691" s="2" t="s">
        <v>11030</v>
      </c>
      <c r="M3691" s="2" t="s">
        <v>11029</v>
      </c>
      <c r="N3691" s="2" t="s">
        <v>11036</v>
      </c>
      <c r="O3691" s="2" t="s">
        <v>11038</v>
      </c>
      <c r="P3691" s="2" t="s">
        <v>11038</v>
      </c>
      <c r="Q3691" s="2">
        <f>AVERAGE(PerfRate[[#This Row],[EnvironmentSatisfaction]],PerfRate[[#This Row],[JobSatisfaction]],PerfRate[[#This Row],[RelationshipSatisfaction]])</f>
        <v>4.333333333333333</v>
      </c>
      <c r="R3691" s="2">
        <f>PerfRate[[#This Row],[ManagerRating]] - PerfRate[[#This Row],[SelfRating]]</f>
        <v>-1</v>
      </c>
    </row>
    <row r="3692" spans="1:18">
      <c r="A3692" s="2" t="s">
        <v>7999</v>
      </c>
      <c r="B3692" s="2" t="s">
        <v>1171</v>
      </c>
      <c r="C3692" s="1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  <c r="L3692" s="2" t="s">
        <v>11030</v>
      </c>
      <c r="M3692" s="2" t="s">
        <v>11030</v>
      </c>
      <c r="N3692" s="2" t="s">
        <v>11036</v>
      </c>
      <c r="O3692" s="2" t="s">
        <v>11038</v>
      </c>
      <c r="P3692" s="2" t="s">
        <v>11035</v>
      </c>
      <c r="Q3692" s="2">
        <f>AVERAGE(PerfRate[[#This Row],[EnvironmentSatisfaction]],PerfRate[[#This Row],[JobSatisfaction]],PerfRate[[#This Row],[RelationshipSatisfaction]])</f>
        <v>3.3333333333333335</v>
      </c>
      <c r="R3692" s="2">
        <f>PerfRate[[#This Row],[ManagerRating]] - PerfRate[[#This Row],[SelfRating]]</f>
        <v>0</v>
      </c>
    </row>
    <row r="3693" spans="1:18">
      <c r="A3693" s="2" t="s">
        <v>8000</v>
      </c>
      <c r="B3693" s="2" t="s">
        <v>3280</v>
      </c>
      <c r="C3693" s="1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  <c r="L3693" s="2" t="s">
        <v>11031</v>
      </c>
      <c r="M3693" s="2" t="s">
        <v>11030</v>
      </c>
      <c r="N3693" s="2" t="s">
        <v>11036</v>
      </c>
      <c r="O3693" s="2" t="s">
        <v>11035</v>
      </c>
      <c r="P3693" s="2" t="s">
        <v>11037</v>
      </c>
      <c r="Q3693" s="2">
        <f>AVERAGE(PerfRate[[#This Row],[EnvironmentSatisfaction]],PerfRate[[#This Row],[JobSatisfaction]],PerfRate[[#This Row],[RelationshipSatisfaction]])</f>
        <v>3</v>
      </c>
      <c r="R3693" s="2">
        <f>PerfRate[[#This Row],[ManagerRating]] - PerfRate[[#This Row],[SelfRating]]</f>
        <v>-1</v>
      </c>
    </row>
    <row r="3694" spans="1:18">
      <c r="A3694" s="2" t="s">
        <v>8001</v>
      </c>
      <c r="B3694" s="2" t="s">
        <v>3074</v>
      </c>
      <c r="C3694" s="1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  <c r="L3694" s="2" t="s">
        <v>11030</v>
      </c>
      <c r="M3694" s="2" t="s">
        <v>11030</v>
      </c>
      <c r="N3694" s="2" t="s">
        <v>11038</v>
      </c>
      <c r="O3694" s="2" t="s">
        <v>11038</v>
      </c>
      <c r="P3694" s="2" t="s">
        <v>11035</v>
      </c>
      <c r="Q3694" s="2">
        <f>AVERAGE(PerfRate[[#This Row],[EnvironmentSatisfaction]],PerfRate[[#This Row],[JobSatisfaction]],PerfRate[[#This Row],[RelationshipSatisfaction]])</f>
        <v>4</v>
      </c>
      <c r="R3694" s="2">
        <f>PerfRate[[#This Row],[ManagerRating]] - PerfRate[[#This Row],[SelfRating]]</f>
        <v>0</v>
      </c>
    </row>
    <row r="3695" spans="1:18">
      <c r="A3695" s="2" t="s">
        <v>8002</v>
      </c>
      <c r="B3695" s="2" t="s">
        <v>383</v>
      </c>
      <c r="C3695" s="1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  <c r="L3695" s="2" t="s">
        <v>11031</v>
      </c>
      <c r="M3695" s="2" t="s">
        <v>11031</v>
      </c>
      <c r="N3695" s="2" t="s">
        <v>11038</v>
      </c>
      <c r="O3695" s="2" t="s">
        <v>11038</v>
      </c>
      <c r="P3695" s="2" t="s">
        <v>11037</v>
      </c>
      <c r="Q3695" s="2">
        <f>AVERAGE(PerfRate[[#This Row],[EnvironmentSatisfaction]],PerfRate[[#This Row],[JobSatisfaction]],PerfRate[[#This Row],[RelationshipSatisfaction]])</f>
        <v>4.666666666666667</v>
      </c>
      <c r="R3695" s="2">
        <f>PerfRate[[#This Row],[ManagerRating]] - PerfRate[[#This Row],[SelfRating]]</f>
        <v>0</v>
      </c>
    </row>
    <row r="3696" spans="1:18">
      <c r="A3696" s="2" t="s">
        <v>8003</v>
      </c>
      <c r="B3696" s="2" t="s">
        <v>913</v>
      </c>
      <c r="C3696" s="1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  <c r="L3696" s="2" t="s">
        <v>11031</v>
      </c>
      <c r="M3696" s="2" t="s">
        <v>11030</v>
      </c>
      <c r="N3696" s="2" t="s">
        <v>11038</v>
      </c>
      <c r="O3696" s="2" t="s">
        <v>11037</v>
      </c>
      <c r="P3696" s="2" t="s">
        <v>11036</v>
      </c>
      <c r="Q3696" s="2">
        <f>AVERAGE(PerfRate[[#This Row],[EnvironmentSatisfaction]],PerfRate[[#This Row],[JobSatisfaction]],PerfRate[[#This Row],[RelationshipSatisfaction]])</f>
        <v>4</v>
      </c>
      <c r="R3696" s="2">
        <f>PerfRate[[#This Row],[ManagerRating]] - PerfRate[[#This Row],[SelfRating]]</f>
        <v>-1</v>
      </c>
    </row>
    <row r="3697" spans="1:18">
      <c r="A3697" s="2" t="s">
        <v>8004</v>
      </c>
      <c r="B3697" s="2" t="s">
        <v>3476</v>
      </c>
      <c r="C3697" s="1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  <c r="L3697" s="2" t="s">
        <v>11031</v>
      </c>
      <c r="M3697" s="2" t="s">
        <v>11031</v>
      </c>
      <c r="N3697" s="2" t="s">
        <v>11037</v>
      </c>
      <c r="O3697" s="2" t="s">
        <v>11038</v>
      </c>
      <c r="P3697" s="2" t="s">
        <v>11035</v>
      </c>
      <c r="Q3697" s="2">
        <f>AVERAGE(PerfRate[[#This Row],[EnvironmentSatisfaction]],PerfRate[[#This Row],[JobSatisfaction]],PerfRate[[#This Row],[RelationshipSatisfaction]])</f>
        <v>3.6666666666666665</v>
      </c>
      <c r="R3697" s="2">
        <f>PerfRate[[#This Row],[ManagerRating]] - PerfRate[[#This Row],[SelfRating]]</f>
        <v>0</v>
      </c>
    </row>
    <row r="3698" spans="1:18">
      <c r="A3698" s="2" t="s">
        <v>8005</v>
      </c>
      <c r="B3698" s="2" t="s">
        <v>1552</v>
      </c>
      <c r="C3698" s="1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  <c r="L3698" s="2" t="s">
        <v>11029</v>
      </c>
      <c r="M3698" s="2" t="s">
        <v>11029</v>
      </c>
      <c r="N3698" s="2" t="s">
        <v>11036</v>
      </c>
      <c r="O3698" s="2" t="s">
        <v>11035</v>
      </c>
      <c r="P3698" s="2" t="s">
        <v>11036</v>
      </c>
      <c r="Q3698" s="2">
        <f>AVERAGE(PerfRate[[#This Row],[EnvironmentSatisfaction]],PerfRate[[#This Row],[JobSatisfaction]],PerfRate[[#This Row],[RelationshipSatisfaction]])</f>
        <v>2.6666666666666665</v>
      </c>
      <c r="R3698" s="2">
        <f>PerfRate[[#This Row],[ManagerRating]] - PerfRate[[#This Row],[SelfRating]]</f>
        <v>0</v>
      </c>
    </row>
    <row r="3699" spans="1:18">
      <c r="A3699" s="2" t="s">
        <v>8006</v>
      </c>
      <c r="B3699" s="2" t="s">
        <v>89</v>
      </c>
      <c r="C3699" s="1">
        <v>43871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  <c r="L3699" s="2" t="s">
        <v>11029</v>
      </c>
      <c r="M3699" s="2" t="s">
        <v>11029</v>
      </c>
      <c r="N3699" s="2" t="s">
        <v>11037</v>
      </c>
      <c r="O3699" s="2" t="s">
        <v>11037</v>
      </c>
      <c r="P3699" s="2" t="s">
        <v>11037</v>
      </c>
      <c r="Q3699" s="2">
        <f>AVERAGE(PerfRate[[#This Row],[EnvironmentSatisfaction]],PerfRate[[#This Row],[JobSatisfaction]],PerfRate[[#This Row],[RelationshipSatisfaction]])</f>
        <v>4</v>
      </c>
      <c r="R3699" s="2">
        <f>PerfRate[[#This Row],[ManagerRating]] - PerfRate[[#This Row],[SelfRating]]</f>
        <v>0</v>
      </c>
    </row>
    <row r="3700" spans="1:18">
      <c r="A3700" s="2" t="s">
        <v>8007</v>
      </c>
      <c r="B3700" s="2" t="s">
        <v>922</v>
      </c>
      <c r="C3700" s="1">
        <v>43900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  <c r="L3700" s="2" t="s">
        <v>11030</v>
      </c>
      <c r="M3700" s="2" t="s">
        <v>11030</v>
      </c>
      <c r="N3700" s="2" t="s">
        <v>11037</v>
      </c>
      <c r="O3700" s="2" t="s">
        <v>11037</v>
      </c>
      <c r="P3700" s="2" t="s">
        <v>11037</v>
      </c>
      <c r="Q3700" s="2">
        <f>AVERAGE(PerfRate[[#This Row],[EnvironmentSatisfaction]],PerfRate[[#This Row],[JobSatisfaction]],PerfRate[[#This Row],[RelationshipSatisfaction]])</f>
        <v>4</v>
      </c>
      <c r="R3700" s="2">
        <f>PerfRate[[#This Row],[ManagerRating]] - PerfRate[[#This Row],[SelfRating]]</f>
        <v>0</v>
      </c>
    </row>
    <row r="3701" spans="1:18">
      <c r="A3701" s="2" t="s">
        <v>8008</v>
      </c>
      <c r="B3701" s="2" t="s">
        <v>1204</v>
      </c>
      <c r="C3701" s="1">
        <v>43900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  <c r="L3701" s="2" t="s">
        <v>11029</v>
      </c>
      <c r="M3701" s="2" t="s">
        <v>11028</v>
      </c>
      <c r="N3701" s="2" t="s">
        <v>11038</v>
      </c>
      <c r="O3701" s="2" t="s">
        <v>11037</v>
      </c>
      <c r="P3701" s="2" t="s">
        <v>11036</v>
      </c>
      <c r="Q3701" s="2">
        <f>AVERAGE(PerfRate[[#This Row],[EnvironmentSatisfaction]],PerfRate[[#This Row],[JobSatisfaction]],PerfRate[[#This Row],[RelationshipSatisfaction]])</f>
        <v>4</v>
      </c>
      <c r="R3701" s="2">
        <f>PerfRate[[#This Row],[ManagerRating]] - PerfRate[[#This Row],[SelfRating]]</f>
        <v>-1</v>
      </c>
    </row>
    <row r="3702" spans="1:18">
      <c r="A3702" s="2" t="s">
        <v>8009</v>
      </c>
      <c r="B3702" s="2" t="s">
        <v>1271</v>
      </c>
      <c r="C3702" s="1">
        <v>43900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  <c r="L3702" s="2" t="s">
        <v>11031</v>
      </c>
      <c r="M3702" s="2" t="s">
        <v>11031</v>
      </c>
      <c r="N3702" s="2" t="s">
        <v>11036</v>
      </c>
      <c r="O3702" s="2" t="s">
        <v>11037</v>
      </c>
      <c r="P3702" s="2" t="s">
        <v>11038</v>
      </c>
      <c r="Q3702" s="2">
        <f>AVERAGE(PerfRate[[#This Row],[EnvironmentSatisfaction]],PerfRate[[#This Row],[JobSatisfaction]],PerfRate[[#This Row],[RelationshipSatisfaction]])</f>
        <v>4</v>
      </c>
      <c r="R3702" s="2">
        <f>PerfRate[[#This Row],[ManagerRating]] - PerfRate[[#This Row],[SelfRating]]</f>
        <v>0</v>
      </c>
    </row>
    <row r="3703" spans="1:18">
      <c r="A3703" s="2" t="s">
        <v>8010</v>
      </c>
      <c r="B3703" s="2" t="s">
        <v>1549</v>
      </c>
      <c r="C3703" s="1">
        <v>43900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  <c r="L3703" s="2" t="s">
        <v>11030</v>
      </c>
      <c r="M3703" s="2" t="s">
        <v>11030</v>
      </c>
      <c r="N3703" s="2" t="s">
        <v>11037</v>
      </c>
      <c r="O3703" s="2" t="s">
        <v>11037</v>
      </c>
      <c r="P3703" s="2" t="s">
        <v>11035</v>
      </c>
      <c r="Q3703" s="2">
        <f>AVERAGE(PerfRate[[#This Row],[EnvironmentSatisfaction]],PerfRate[[#This Row],[JobSatisfaction]],PerfRate[[#This Row],[RelationshipSatisfaction]])</f>
        <v>3.3333333333333335</v>
      </c>
      <c r="R3703" s="2">
        <f>PerfRate[[#This Row],[ManagerRating]] - PerfRate[[#This Row],[SelfRating]]</f>
        <v>0</v>
      </c>
    </row>
    <row r="3704" spans="1:18">
      <c r="A3704" s="2" t="s">
        <v>8011</v>
      </c>
      <c r="B3704" s="2" t="s">
        <v>2520</v>
      </c>
      <c r="C3704" s="1">
        <v>43992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  <c r="L3704" s="2" t="s">
        <v>11030</v>
      </c>
      <c r="M3704" s="2" t="s">
        <v>11030</v>
      </c>
      <c r="N3704" s="2" t="s">
        <v>11038</v>
      </c>
      <c r="O3704" s="2" t="s">
        <v>11038</v>
      </c>
      <c r="P3704" s="2" t="s">
        <v>11037</v>
      </c>
      <c r="Q3704" s="2">
        <f>AVERAGE(PerfRate[[#This Row],[EnvironmentSatisfaction]],PerfRate[[#This Row],[JobSatisfaction]],PerfRate[[#This Row],[RelationshipSatisfaction]])</f>
        <v>4.666666666666667</v>
      </c>
      <c r="R3704" s="2">
        <f>PerfRate[[#This Row],[ManagerRating]] - PerfRate[[#This Row],[SelfRating]]</f>
        <v>0</v>
      </c>
    </row>
    <row r="3705" spans="1:18">
      <c r="A3705" s="2" t="s">
        <v>8012</v>
      </c>
      <c r="B3705" s="2" t="s">
        <v>502</v>
      </c>
      <c r="C3705" s="1">
        <v>44022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  <c r="L3705" s="2" t="s">
        <v>11031</v>
      </c>
      <c r="M3705" s="2" t="s">
        <v>11030</v>
      </c>
      <c r="N3705" s="2" t="s">
        <v>11037</v>
      </c>
      <c r="O3705" s="2" t="s">
        <v>11036</v>
      </c>
      <c r="P3705" s="2" t="s">
        <v>11038</v>
      </c>
      <c r="Q3705" s="2">
        <f>AVERAGE(PerfRate[[#This Row],[EnvironmentSatisfaction]],PerfRate[[#This Row],[JobSatisfaction]],PerfRate[[#This Row],[RelationshipSatisfaction]])</f>
        <v>4</v>
      </c>
      <c r="R3705" s="2">
        <f>PerfRate[[#This Row],[ManagerRating]] - PerfRate[[#This Row],[SelfRating]]</f>
        <v>-1</v>
      </c>
    </row>
    <row r="3706" spans="1:18">
      <c r="A3706" s="2" t="s">
        <v>8013</v>
      </c>
      <c r="B3706" s="2" t="s">
        <v>3329</v>
      </c>
      <c r="C3706" s="1">
        <v>44053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  <c r="L3706" s="2" t="s">
        <v>11029</v>
      </c>
      <c r="M3706" s="2" t="s">
        <v>11028</v>
      </c>
      <c r="N3706" s="2" t="s">
        <v>11036</v>
      </c>
      <c r="O3706" s="2" t="s">
        <v>11036</v>
      </c>
      <c r="P3706" s="2" t="s">
        <v>11038</v>
      </c>
      <c r="Q3706" s="2">
        <f>AVERAGE(PerfRate[[#This Row],[EnvironmentSatisfaction]],PerfRate[[#This Row],[JobSatisfaction]],PerfRate[[#This Row],[RelationshipSatisfaction]])</f>
        <v>3.6666666666666665</v>
      </c>
      <c r="R3706" s="2">
        <f>PerfRate[[#This Row],[ManagerRating]] - PerfRate[[#This Row],[SelfRating]]</f>
        <v>-1</v>
      </c>
    </row>
    <row r="3707" spans="1:18">
      <c r="A3707" s="2" t="s">
        <v>8014</v>
      </c>
      <c r="B3707" s="2" t="s">
        <v>3739</v>
      </c>
      <c r="C3707" s="1">
        <v>44053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  <c r="L3707" s="2" t="s">
        <v>11031</v>
      </c>
      <c r="M3707" s="2" t="s">
        <v>11031</v>
      </c>
      <c r="N3707" s="2" t="s">
        <v>11036</v>
      </c>
      <c r="O3707" s="2" t="s">
        <v>11036</v>
      </c>
      <c r="P3707" s="2" t="s">
        <v>11038</v>
      </c>
      <c r="Q3707" s="2">
        <f>AVERAGE(PerfRate[[#This Row],[EnvironmentSatisfaction]],PerfRate[[#This Row],[JobSatisfaction]],PerfRate[[#This Row],[RelationshipSatisfaction]])</f>
        <v>3.6666666666666665</v>
      </c>
      <c r="R3707" s="2">
        <f>PerfRate[[#This Row],[ManagerRating]] - PerfRate[[#This Row],[SelfRating]]</f>
        <v>0</v>
      </c>
    </row>
    <row r="3708" spans="1:18">
      <c r="A3708" s="2" t="s">
        <v>8015</v>
      </c>
      <c r="B3708" s="2" t="s">
        <v>3606</v>
      </c>
      <c r="C3708" s="1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  <c r="L3708" s="2" t="s">
        <v>11030</v>
      </c>
      <c r="M3708" s="2" t="s">
        <v>11030</v>
      </c>
      <c r="N3708" s="2" t="s">
        <v>11036</v>
      </c>
      <c r="O3708" s="2" t="s">
        <v>11035</v>
      </c>
      <c r="P3708" s="2" t="s">
        <v>11036</v>
      </c>
      <c r="Q3708" s="2">
        <f>AVERAGE(PerfRate[[#This Row],[EnvironmentSatisfaction]],PerfRate[[#This Row],[JobSatisfaction]],PerfRate[[#This Row],[RelationshipSatisfaction]])</f>
        <v>2.6666666666666665</v>
      </c>
      <c r="R3708" s="2">
        <f>PerfRate[[#This Row],[ManagerRating]] - PerfRate[[#This Row],[SelfRating]]</f>
        <v>0</v>
      </c>
    </row>
    <row r="3709" spans="1:18">
      <c r="A3709" s="2" t="s">
        <v>8016</v>
      </c>
      <c r="B3709" s="2" t="s">
        <v>765</v>
      </c>
      <c r="C3709" s="1">
        <v>44053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  <c r="L3709" s="2" t="s">
        <v>11029</v>
      </c>
      <c r="M3709" s="2" t="s">
        <v>11028</v>
      </c>
      <c r="N3709" s="2" t="s">
        <v>11037</v>
      </c>
      <c r="O3709" s="2" t="s">
        <v>11035</v>
      </c>
      <c r="P3709" s="2" t="s">
        <v>11038</v>
      </c>
      <c r="Q3709" s="2">
        <f>AVERAGE(PerfRate[[#This Row],[EnvironmentSatisfaction]],PerfRate[[#This Row],[JobSatisfaction]],PerfRate[[#This Row],[RelationshipSatisfaction]])</f>
        <v>3.6666666666666665</v>
      </c>
      <c r="R3709" s="2">
        <f>PerfRate[[#This Row],[ManagerRating]] - PerfRate[[#This Row],[SelfRating]]</f>
        <v>-1</v>
      </c>
    </row>
    <row r="3710" spans="1:18">
      <c r="A3710" s="2" t="s">
        <v>8017</v>
      </c>
      <c r="B3710" s="2" t="s">
        <v>1593</v>
      </c>
      <c r="C3710" s="1">
        <v>44053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  <c r="L3710" s="2" t="s">
        <v>11030</v>
      </c>
      <c r="M3710" s="2" t="s">
        <v>11029</v>
      </c>
      <c r="N3710" s="2" t="s">
        <v>11037</v>
      </c>
      <c r="O3710" s="2" t="s">
        <v>11036</v>
      </c>
      <c r="P3710" s="2" t="s">
        <v>11038</v>
      </c>
      <c r="Q3710" s="2">
        <f>AVERAGE(PerfRate[[#This Row],[EnvironmentSatisfaction]],PerfRate[[#This Row],[JobSatisfaction]],PerfRate[[#This Row],[RelationshipSatisfaction]])</f>
        <v>4</v>
      </c>
      <c r="R3710" s="2">
        <f>PerfRate[[#This Row],[ManagerRating]] - PerfRate[[#This Row],[SelfRating]]</f>
        <v>-1</v>
      </c>
    </row>
    <row r="3711" spans="1:18">
      <c r="A3711" s="2" t="s">
        <v>8018</v>
      </c>
      <c r="B3711" s="2" t="s">
        <v>2213</v>
      </c>
      <c r="C3711" s="1">
        <v>44053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  <c r="L3711" s="2" t="s">
        <v>11029</v>
      </c>
      <c r="M3711" s="2" t="s">
        <v>11028</v>
      </c>
      <c r="N3711" s="2" t="s">
        <v>11036</v>
      </c>
      <c r="O3711" s="2" t="s">
        <v>11035</v>
      </c>
      <c r="P3711" s="2" t="s">
        <v>11035</v>
      </c>
      <c r="Q3711" s="2">
        <f>AVERAGE(PerfRate[[#This Row],[EnvironmentSatisfaction]],PerfRate[[#This Row],[JobSatisfaction]],PerfRate[[#This Row],[RelationshipSatisfaction]])</f>
        <v>2.3333333333333335</v>
      </c>
      <c r="R3711" s="2">
        <f>PerfRate[[#This Row],[ManagerRating]] - PerfRate[[#This Row],[SelfRating]]</f>
        <v>-1</v>
      </c>
    </row>
    <row r="3712" spans="1:18">
      <c r="A3712" s="2" t="s">
        <v>8019</v>
      </c>
      <c r="B3712" s="2" t="s">
        <v>1230</v>
      </c>
      <c r="C3712" s="1">
        <v>44084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  <c r="L3712" s="2" t="s">
        <v>11030</v>
      </c>
      <c r="M3712" s="2" t="s">
        <v>11030</v>
      </c>
      <c r="N3712" s="2" t="s">
        <v>11038</v>
      </c>
      <c r="O3712" s="2" t="s">
        <v>11037</v>
      </c>
      <c r="P3712" s="2" t="s">
        <v>11037</v>
      </c>
      <c r="Q3712" s="2">
        <f>AVERAGE(PerfRate[[#This Row],[EnvironmentSatisfaction]],PerfRate[[#This Row],[JobSatisfaction]],PerfRate[[#This Row],[RelationshipSatisfaction]])</f>
        <v>4.333333333333333</v>
      </c>
      <c r="R3712" s="2">
        <f>PerfRate[[#This Row],[ManagerRating]] - PerfRate[[#This Row],[SelfRating]]</f>
        <v>0</v>
      </c>
    </row>
    <row r="3713" spans="1:18">
      <c r="A3713" s="2" t="s">
        <v>8020</v>
      </c>
      <c r="B3713" s="2" t="s">
        <v>1485</v>
      </c>
      <c r="C3713" s="1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  <c r="L3713" s="2" t="s">
        <v>11030</v>
      </c>
      <c r="M3713" s="2" t="s">
        <v>11029</v>
      </c>
      <c r="N3713" s="2" t="s">
        <v>11036</v>
      </c>
      <c r="O3713" s="2" t="s">
        <v>11035</v>
      </c>
      <c r="P3713" s="2" t="s">
        <v>11037</v>
      </c>
      <c r="Q3713" s="2">
        <f>AVERAGE(PerfRate[[#This Row],[EnvironmentSatisfaction]],PerfRate[[#This Row],[JobSatisfaction]],PerfRate[[#This Row],[RelationshipSatisfaction]])</f>
        <v>3</v>
      </c>
      <c r="R3713" s="2">
        <f>PerfRate[[#This Row],[ManagerRating]] - PerfRate[[#This Row],[SelfRating]]</f>
        <v>-1</v>
      </c>
    </row>
    <row r="3714" spans="1:18">
      <c r="A3714" s="2" t="s">
        <v>8021</v>
      </c>
      <c r="B3714" s="2" t="s">
        <v>2242</v>
      </c>
      <c r="C3714" s="1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  <c r="L3714" s="2" t="s">
        <v>11030</v>
      </c>
      <c r="M3714" s="2" t="s">
        <v>11029</v>
      </c>
      <c r="N3714" s="2" t="s">
        <v>11036</v>
      </c>
      <c r="O3714" s="2" t="s">
        <v>11035</v>
      </c>
      <c r="P3714" s="2" t="s">
        <v>11035</v>
      </c>
      <c r="Q3714" s="2">
        <f>AVERAGE(PerfRate[[#This Row],[EnvironmentSatisfaction]],PerfRate[[#This Row],[JobSatisfaction]],PerfRate[[#This Row],[RelationshipSatisfaction]])</f>
        <v>2.3333333333333335</v>
      </c>
      <c r="R3714" s="2">
        <f>PerfRate[[#This Row],[ManagerRating]] - PerfRate[[#This Row],[SelfRating]]</f>
        <v>-1</v>
      </c>
    </row>
    <row r="3715" spans="1:18">
      <c r="A3715" s="2" t="s">
        <v>8022</v>
      </c>
      <c r="B3715" s="2" t="s">
        <v>1210</v>
      </c>
      <c r="C3715" s="1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  <c r="L3715" s="2" t="s">
        <v>11029</v>
      </c>
      <c r="M3715" s="2" t="s">
        <v>11028</v>
      </c>
      <c r="N3715" s="2" t="s">
        <v>11036</v>
      </c>
      <c r="O3715" s="2" t="s">
        <v>11037</v>
      </c>
      <c r="P3715" s="2" t="s">
        <v>11038</v>
      </c>
      <c r="Q3715" s="2">
        <f>AVERAGE(PerfRate[[#This Row],[EnvironmentSatisfaction]],PerfRate[[#This Row],[JobSatisfaction]],PerfRate[[#This Row],[RelationshipSatisfaction]])</f>
        <v>4</v>
      </c>
      <c r="R3715" s="2">
        <f>PerfRate[[#This Row],[ManagerRating]] - PerfRate[[#This Row],[SelfRating]]</f>
        <v>-1</v>
      </c>
    </row>
    <row r="3716" spans="1:18">
      <c r="A3716" s="2" t="s">
        <v>8023</v>
      </c>
      <c r="B3716" s="2" t="s">
        <v>1059</v>
      </c>
      <c r="C3716" s="1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  <c r="L3716" s="2" t="s">
        <v>11031</v>
      </c>
      <c r="M3716" s="2" t="s">
        <v>11030</v>
      </c>
      <c r="N3716" s="2" t="s">
        <v>11038</v>
      </c>
      <c r="O3716" s="2" t="s">
        <v>11038</v>
      </c>
      <c r="P3716" s="2" t="s">
        <v>11038</v>
      </c>
      <c r="Q3716" s="2">
        <f>AVERAGE(PerfRate[[#This Row],[EnvironmentSatisfaction]],PerfRate[[#This Row],[JobSatisfaction]],PerfRate[[#This Row],[RelationshipSatisfaction]])</f>
        <v>5</v>
      </c>
      <c r="R3716" s="2">
        <f>PerfRate[[#This Row],[ManagerRating]] - PerfRate[[#This Row],[SelfRating]]</f>
        <v>-1</v>
      </c>
    </row>
    <row r="3717" spans="1:18">
      <c r="A3717" s="2" t="s">
        <v>8024</v>
      </c>
      <c r="B3717" s="2" t="s">
        <v>1243</v>
      </c>
      <c r="C3717" s="1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  <c r="L3717" s="2" t="s">
        <v>11030</v>
      </c>
      <c r="M3717" s="2" t="s">
        <v>11030</v>
      </c>
      <c r="N3717" s="2" t="s">
        <v>11038</v>
      </c>
      <c r="O3717" s="2" t="s">
        <v>11035</v>
      </c>
      <c r="P3717" s="2" t="s">
        <v>11036</v>
      </c>
      <c r="Q3717" s="2">
        <f>AVERAGE(PerfRate[[#This Row],[EnvironmentSatisfaction]],PerfRate[[#This Row],[JobSatisfaction]],PerfRate[[#This Row],[RelationshipSatisfaction]])</f>
        <v>3.3333333333333335</v>
      </c>
      <c r="R3717" s="2">
        <f>PerfRate[[#This Row],[ManagerRating]] - PerfRate[[#This Row],[SelfRating]]</f>
        <v>0</v>
      </c>
    </row>
    <row r="3718" spans="1:18">
      <c r="A3718" s="2" t="s">
        <v>8025</v>
      </c>
      <c r="B3718" s="2" t="s">
        <v>1400</v>
      </c>
      <c r="C3718" s="1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  <c r="L3718" s="2" t="s">
        <v>11029</v>
      </c>
      <c r="M3718" s="2" t="s">
        <v>11028</v>
      </c>
      <c r="N3718" s="2" t="s">
        <v>11036</v>
      </c>
      <c r="O3718" s="2" t="s">
        <v>11037</v>
      </c>
      <c r="P3718" s="2" t="s">
        <v>11037</v>
      </c>
      <c r="Q3718" s="2">
        <f>AVERAGE(PerfRate[[#This Row],[EnvironmentSatisfaction]],PerfRate[[#This Row],[JobSatisfaction]],PerfRate[[#This Row],[RelationshipSatisfaction]])</f>
        <v>3.6666666666666665</v>
      </c>
      <c r="R3718" s="2">
        <f>PerfRate[[#This Row],[ManagerRating]] - PerfRate[[#This Row],[SelfRating]]</f>
        <v>-1</v>
      </c>
    </row>
    <row r="3719" spans="1:18">
      <c r="A3719" s="2" t="s">
        <v>8026</v>
      </c>
      <c r="B3719" s="2" t="s">
        <v>4035</v>
      </c>
      <c r="C3719" s="1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  <c r="L3719" s="2" t="s">
        <v>11029</v>
      </c>
      <c r="M3719" s="2" t="s">
        <v>11028</v>
      </c>
      <c r="N3719" s="2" t="s">
        <v>11036</v>
      </c>
      <c r="O3719" s="2" t="s">
        <v>11037</v>
      </c>
      <c r="P3719" s="2" t="s">
        <v>11036</v>
      </c>
      <c r="Q3719" s="2">
        <f>AVERAGE(PerfRate[[#This Row],[EnvironmentSatisfaction]],PerfRate[[#This Row],[JobSatisfaction]],PerfRate[[#This Row],[RelationshipSatisfaction]])</f>
        <v>3.3333333333333335</v>
      </c>
      <c r="R3719" s="2">
        <f>PerfRate[[#This Row],[ManagerRating]] - PerfRate[[#This Row],[SelfRating]]</f>
        <v>-1</v>
      </c>
    </row>
    <row r="3720" spans="1:18">
      <c r="A3720" s="2" t="s">
        <v>8027</v>
      </c>
      <c r="B3720" s="2" t="s">
        <v>1130</v>
      </c>
      <c r="C3720" s="1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  <c r="L3720" s="2" t="s">
        <v>11029</v>
      </c>
      <c r="M3720" s="2" t="s">
        <v>11028</v>
      </c>
      <c r="N3720" s="2" t="s">
        <v>11038</v>
      </c>
      <c r="O3720" s="2" t="s">
        <v>11036</v>
      </c>
      <c r="P3720" s="2" t="s">
        <v>11035</v>
      </c>
      <c r="Q3720" s="2">
        <f>AVERAGE(PerfRate[[#This Row],[EnvironmentSatisfaction]],PerfRate[[#This Row],[JobSatisfaction]],PerfRate[[#This Row],[RelationshipSatisfaction]])</f>
        <v>3.3333333333333335</v>
      </c>
      <c r="R3720" s="2">
        <f>PerfRate[[#This Row],[ManagerRating]] - PerfRate[[#This Row],[SelfRating]]</f>
        <v>-1</v>
      </c>
    </row>
    <row r="3721" spans="1:18">
      <c r="A3721" s="2" t="s">
        <v>8028</v>
      </c>
      <c r="B3721" s="2" t="s">
        <v>3323</v>
      </c>
      <c r="C3721" s="1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  <c r="L3721" s="2" t="s">
        <v>11030</v>
      </c>
      <c r="M3721" s="2" t="s">
        <v>11030</v>
      </c>
      <c r="N3721" s="2" t="s">
        <v>11037</v>
      </c>
      <c r="O3721" s="2" t="s">
        <v>11036</v>
      </c>
      <c r="P3721" s="2" t="s">
        <v>11038</v>
      </c>
      <c r="Q3721" s="2">
        <f>AVERAGE(PerfRate[[#This Row],[EnvironmentSatisfaction]],PerfRate[[#This Row],[JobSatisfaction]],PerfRate[[#This Row],[RelationshipSatisfaction]])</f>
        <v>4</v>
      </c>
      <c r="R3721" s="2">
        <f>PerfRate[[#This Row],[ManagerRating]] - PerfRate[[#This Row],[SelfRating]]</f>
        <v>0</v>
      </c>
    </row>
    <row r="3722" spans="1:18">
      <c r="A3722" s="2" t="s">
        <v>8029</v>
      </c>
      <c r="B3722" s="2" t="s">
        <v>3611</v>
      </c>
      <c r="C3722" s="1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  <c r="L3722" s="2" t="s">
        <v>11029</v>
      </c>
      <c r="M3722" s="2" t="s">
        <v>11028</v>
      </c>
      <c r="N3722" s="2" t="s">
        <v>11038</v>
      </c>
      <c r="O3722" s="2" t="s">
        <v>11036</v>
      </c>
      <c r="P3722" s="2" t="s">
        <v>11035</v>
      </c>
      <c r="Q3722" s="2">
        <f>AVERAGE(PerfRate[[#This Row],[EnvironmentSatisfaction]],PerfRate[[#This Row],[JobSatisfaction]],PerfRate[[#This Row],[RelationshipSatisfaction]])</f>
        <v>3.3333333333333335</v>
      </c>
      <c r="R3722" s="2">
        <f>PerfRate[[#This Row],[ManagerRating]] - PerfRate[[#This Row],[SelfRating]]</f>
        <v>-1</v>
      </c>
    </row>
    <row r="3723" spans="1:18">
      <c r="A3723" s="2" t="s">
        <v>8030</v>
      </c>
      <c r="B3723" s="2" t="s">
        <v>1415</v>
      </c>
      <c r="C3723" s="1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  <c r="L3723" s="2" t="s">
        <v>11030</v>
      </c>
      <c r="M3723" s="2" t="s">
        <v>11030</v>
      </c>
      <c r="N3723" s="2" t="s">
        <v>11038</v>
      </c>
      <c r="O3723" s="2" t="s">
        <v>11038</v>
      </c>
      <c r="P3723" s="2" t="s">
        <v>11037</v>
      </c>
      <c r="Q3723" s="2">
        <f>AVERAGE(PerfRate[[#This Row],[EnvironmentSatisfaction]],PerfRate[[#This Row],[JobSatisfaction]],PerfRate[[#This Row],[RelationshipSatisfaction]])</f>
        <v>4.666666666666667</v>
      </c>
      <c r="R3723" s="2">
        <f>PerfRate[[#This Row],[ManagerRating]] - PerfRate[[#This Row],[SelfRating]]</f>
        <v>0</v>
      </c>
    </row>
    <row r="3724" spans="1:18">
      <c r="A3724" s="2" t="s">
        <v>8031</v>
      </c>
      <c r="B3724" s="2" t="s">
        <v>1878</v>
      </c>
      <c r="C3724" s="1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  <c r="L3724" s="2" t="s">
        <v>11029</v>
      </c>
      <c r="M3724" s="2" t="s">
        <v>11028</v>
      </c>
      <c r="N3724" s="2" t="s">
        <v>11036</v>
      </c>
      <c r="O3724" s="2" t="s">
        <v>11037</v>
      </c>
      <c r="P3724" s="2" t="s">
        <v>11036</v>
      </c>
      <c r="Q3724" s="2">
        <f>AVERAGE(PerfRate[[#This Row],[EnvironmentSatisfaction]],PerfRate[[#This Row],[JobSatisfaction]],PerfRate[[#This Row],[RelationshipSatisfaction]])</f>
        <v>3.3333333333333335</v>
      </c>
      <c r="R3724" s="2">
        <f>PerfRate[[#This Row],[ManagerRating]] - PerfRate[[#This Row],[SelfRating]]</f>
        <v>-1</v>
      </c>
    </row>
    <row r="3725" spans="1:18">
      <c r="A3725" s="2" t="s">
        <v>8032</v>
      </c>
      <c r="B3725" s="2" t="s">
        <v>2369</v>
      </c>
      <c r="C3725" s="1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  <c r="L3725" s="2" t="s">
        <v>11029</v>
      </c>
      <c r="M3725" s="2" t="s">
        <v>11029</v>
      </c>
      <c r="N3725" s="2" t="s">
        <v>11036</v>
      </c>
      <c r="O3725" s="2" t="s">
        <v>11035</v>
      </c>
      <c r="P3725" s="2" t="s">
        <v>11036</v>
      </c>
      <c r="Q3725" s="2">
        <f>AVERAGE(PerfRate[[#This Row],[EnvironmentSatisfaction]],PerfRate[[#This Row],[JobSatisfaction]],PerfRate[[#This Row],[RelationshipSatisfaction]])</f>
        <v>2.6666666666666665</v>
      </c>
      <c r="R3725" s="2">
        <f>PerfRate[[#This Row],[ManagerRating]] - PerfRate[[#This Row],[SelfRating]]</f>
        <v>0</v>
      </c>
    </row>
    <row r="3726" spans="1:18">
      <c r="A3726" s="2" t="s">
        <v>8033</v>
      </c>
      <c r="B3726" s="2" t="s">
        <v>2843</v>
      </c>
      <c r="C3726" s="1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  <c r="L3726" s="2" t="s">
        <v>11029</v>
      </c>
      <c r="M3726" s="2" t="s">
        <v>11028</v>
      </c>
      <c r="N3726" s="2" t="s">
        <v>11036</v>
      </c>
      <c r="O3726" s="2" t="s">
        <v>11035</v>
      </c>
      <c r="P3726" s="2" t="s">
        <v>11037</v>
      </c>
      <c r="Q3726" s="2">
        <f>AVERAGE(PerfRate[[#This Row],[EnvironmentSatisfaction]],PerfRate[[#This Row],[JobSatisfaction]],PerfRate[[#This Row],[RelationshipSatisfaction]])</f>
        <v>3</v>
      </c>
      <c r="R3726" s="2">
        <f>PerfRate[[#This Row],[ManagerRating]] - PerfRate[[#This Row],[SelfRating]]</f>
        <v>-1</v>
      </c>
    </row>
    <row r="3727" spans="1:18">
      <c r="A3727" s="2" t="s">
        <v>8034</v>
      </c>
      <c r="B3727" s="2" t="s">
        <v>2354</v>
      </c>
      <c r="C3727" s="1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  <c r="L3727" s="2" t="s">
        <v>11031</v>
      </c>
      <c r="M3727" s="2" t="s">
        <v>11031</v>
      </c>
      <c r="N3727" s="2" t="s">
        <v>11038</v>
      </c>
      <c r="O3727" s="2" t="s">
        <v>11036</v>
      </c>
      <c r="P3727" s="2" t="s">
        <v>11035</v>
      </c>
      <c r="Q3727" s="2">
        <f>AVERAGE(PerfRate[[#This Row],[EnvironmentSatisfaction]],PerfRate[[#This Row],[JobSatisfaction]],PerfRate[[#This Row],[RelationshipSatisfaction]])</f>
        <v>3.3333333333333335</v>
      </c>
      <c r="R3727" s="2">
        <f>PerfRate[[#This Row],[ManagerRating]] - PerfRate[[#This Row],[SelfRating]]</f>
        <v>0</v>
      </c>
    </row>
    <row r="3728" spans="1:18">
      <c r="A3728" s="2" t="s">
        <v>8035</v>
      </c>
      <c r="B3728" s="2" t="s">
        <v>637</v>
      </c>
      <c r="C3728" s="1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  <c r="L3728" s="2" t="s">
        <v>11031</v>
      </c>
      <c r="M3728" s="2" t="s">
        <v>11031</v>
      </c>
      <c r="N3728" s="2" t="s">
        <v>11036</v>
      </c>
      <c r="O3728" s="2" t="s">
        <v>11038</v>
      </c>
      <c r="P3728" s="2" t="s">
        <v>11036</v>
      </c>
      <c r="Q3728" s="2">
        <f>AVERAGE(PerfRate[[#This Row],[EnvironmentSatisfaction]],PerfRate[[#This Row],[JobSatisfaction]],PerfRate[[#This Row],[RelationshipSatisfaction]])</f>
        <v>3.6666666666666665</v>
      </c>
      <c r="R3728" s="2">
        <f>PerfRate[[#This Row],[ManagerRating]] - PerfRate[[#This Row],[SelfRating]]</f>
        <v>0</v>
      </c>
    </row>
    <row r="3729" spans="1:18">
      <c r="A3729" s="2" t="s">
        <v>8036</v>
      </c>
      <c r="B3729" s="2" t="s">
        <v>872</v>
      </c>
      <c r="C3729" s="1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  <c r="L3729" s="2" t="s">
        <v>11029</v>
      </c>
      <c r="M3729" s="2" t="s">
        <v>11028</v>
      </c>
      <c r="N3729" s="2" t="s">
        <v>11038</v>
      </c>
      <c r="O3729" s="2" t="s">
        <v>11038</v>
      </c>
      <c r="P3729" s="2" t="s">
        <v>11036</v>
      </c>
      <c r="Q3729" s="2">
        <f>AVERAGE(PerfRate[[#This Row],[EnvironmentSatisfaction]],PerfRate[[#This Row],[JobSatisfaction]],PerfRate[[#This Row],[RelationshipSatisfaction]])</f>
        <v>4.333333333333333</v>
      </c>
      <c r="R3729" s="2">
        <f>PerfRate[[#This Row],[ManagerRating]] - PerfRate[[#This Row],[SelfRating]]</f>
        <v>-1</v>
      </c>
    </row>
    <row r="3730" spans="1:18">
      <c r="A3730" s="2" t="s">
        <v>8037</v>
      </c>
      <c r="B3730" s="2" t="s">
        <v>3207</v>
      </c>
      <c r="C3730" s="1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  <c r="L3730" s="2" t="s">
        <v>11031</v>
      </c>
      <c r="M3730" s="2" t="s">
        <v>11031</v>
      </c>
      <c r="N3730" s="2" t="s">
        <v>11038</v>
      </c>
      <c r="O3730" s="2" t="s">
        <v>11037</v>
      </c>
      <c r="P3730" s="2" t="s">
        <v>11038</v>
      </c>
      <c r="Q3730" s="2">
        <f>AVERAGE(PerfRate[[#This Row],[EnvironmentSatisfaction]],PerfRate[[#This Row],[JobSatisfaction]],PerfRate[[#This Row],[RelationshipSatisfaction]])</f>
        <v>4.666666666666667</v>
      </c>
      <c r="R3730" s="2">
        <f>PerfRate[[#This Row],[ManagerRating]] - PerfRate[[#This Row],[SelfRating]]</f>
        <v>0</v>
      </c>
    </row>
    <row r="3731" spans="1:18">
      <c r="A3731" s="2" t="s">
        <v>8038</v>
      </c>
      <c r="B3731" s="2" t="s">
        <v>720</v>
      </c>
      <c r="C3731" s="1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  <c r="L3731" s="2" t="s">
        <v>11030</v>
      </c>
      <c r="M3731" s="2" t="s">
        <v>11030</v>
      </c>
      <c r="N3731" s="2" t="s">
        <v>11036</v>
      </c>
      <c r="O3731" s="2" t="s">
        <v>11035</v>
      </c>
      <c r="P3731" s="2" t="s">
        <v>11038</v>
      </c>
      <c r="Q3731" s="2">
        <f>AVERAGE(PerfRate[[#This Row],[EnvironmentSatisfaction]],PerfRate[[#This Row],[JobSatisfaction]],PerfRate[[#This Row],[RelationshipSatisfaction]])</f>
        <v>3.3333333333333335</v>
      </c>
      <c r="R3731" s="2">
        <f>PerfRate[[#This Row],[ManagerRating]] - PerfRate[[#This Row],[SelfRating]]</f>
        <v>0</v>
      </c>
    </row>
    <row r="3732" spans="1:18">
      <c r="A3732" s="2" t="s">
        <v>8039</v>
      </c>
      <c r="B3732" s="2" t="s">
        <v>1912</v>
      </c>
      <c r="C3732" s="1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  <c r="L3732" s="2" t="s">
        <v>11029</v>
      </c>
      <c r="M3732" s="2" t="s">
        <v>11029</v>
      </c>
      <c r="N3732" s="2" t="s">
        <v>11036</v>
      </c>
      <c r="O3732" s="2" t="s">
        <v>11036</v>
      </c>
      <c r="P3732" s="2" t="s">
        <v>11036</v>
      </c>
      <c r="Q3732" s="2">
        <f>AVERAGE(PerfRate[[#This Row],[EnvironmentSatisfaction]],PerfRate[[#This Row],[JobSatisfaction]],PerfRate[[#This Row],[RelationshipSatisfaction]])</f>
        <v>3</v>
      </c>
      <c r="R3732" s="2">
        <f>PerfRate[[#This Row],[ManagerRating]] - PerfRate[[#This Row],[SelfRating]]</f>
        <v>0</v>
      </c>
    </row>
    <row r="3733" spans="1:18">
      <c r="A3733" s="2" t="s">
        <v>8040</v>
      </c>
      <c r="B3733" s="2" t="s">
        <v>1821</v>
      </c>
      <c r="C3733" s="1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  <c r="L3733" s="2" t="s">
        <v>11031</v>
      </c>
      <c r="M3733" s="2" t="s">
        <v>11030</v>
      </c>
      <c r="N3733" s="2" t="s">
        <v>11038</v>
      </c>
      <c r="O3733" s="2" t="s">
        <v>11035</v>
      </c>
      <c r="P3733" s="2" t="s">
        <v>11037</v>
      </c>
      <c r="Q3733" s="2">
        <f>AVERAGE(PerfRate[[#This Row],[EnvironmentSatisfaction]],PerfRate[[#This Row],[JobSatisfaction]],PerfRate[[#This Row],[RelationshipSatisfaction]])</f>
        <v>3.6666666666666665</v>
      </c>
      <c r="R3733" s="2">
        <f>PerfRate[[#This Row],[ManagerRating]] - PerfRate[[#This Row],[SelfRating]]</f>
        <v>-1</v>
      </c>
    </row>
    <row r="3734" spans="1:18">
      <c r="A3734" s="2" t="s">
        <v>8041</v>
      </c>
      <c r="B3734" s="2" t="s">
        <v>1898</v>
      </c>
      <c r="C3734" s="1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  <c r="L3734" s="2" t="s">
        <v>11030</v>
      </c>
      <c r="M3734" s="2" t="s">
        <v>11030</v>
      </c>
      <c r="N3734" s="2" t="s">
        <v>11037</v>
      </c>
      <c r="O3734" s="2" t="s">
        <v>11036</v>
      </c>
      <c r="P3734" s="2" t="s">
        <v>11037</v>
      </c>
      <c r="Q3734" s="2">
        <f>AVERAGE(PerfRate[[#This Row],[EnvironmentSatisfaction]],PerfRate[[#This Row],[JobSatisfaction]],PerfRate[[#This Row],[RelationshipSatisfaction]])</f>
        <v>3.6666666666666665</v>
      </c>
      <c r="R3734" s="2">
        <f>PerfRate[[#This Row],[ManagerRating]] - PerfRate[[#This Row],[SelfRating]]</f>
        <v>0</v>
      </c>
    </row>
    <row r="3735" spans="1:18">
      <c r="A3735" s="2" t="s">
        <v>8042</v>
      </c>
      <c r="B3735" s="2" t="s">
        <v>1629</v>
      </c>
      <c r="C3735" s="1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  <c r="L3735" s="2" t="s">
        <v>11029</v>
      </c>
      <c r="M3735" s="2" t="s">
        <v>11028</v>
      </c>
      <c r="N3735" s="2" t="s">
        <v>11038</v>
      </c>
      <c r="O3735" s="2" t="s">
        <v>11037</v>
      </c>
      <c r="P3735" s="2" t="s">
        <v>11036</v>
      </c>
      <c r="Q3735" s="2">
        <f>AVERAGE(PerfRate[[#This Row],[EnvironmentSatisfaction]],PerfRate[[#This Row],[JobSatisfaction]],PerfRate[[#This Row],[RelationshipSatisfaction]])</f>
        <v>4</v>
      </c>
      <c r="R3735" s="2">
        <f>PerfRate[[#This Row],[ManagerRating]] - PerfRate[[#This Row],[SelfRating]]</f>
        <v>-1</v>
      </c>
    </row>
    <row r="3736" spans="1:18">
      <c r="A3736" s="2" t="s">
        <v>8043</v>
      </c>
      <c r="B3736" s="2" t="s">
        <v>2266</v>
      </c>
      <c r="C3736" s="1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  <c r="L3736" s="2" t="s">
        <v>11031</v>
      </c>
      <c r="M3736" s="2" t="s">
        <v>11031</v>
      </c>
      <c r="N3736" s="2" t="s">
        <v>11037</v>
      </c>
      <c r="O3736" s="2" t="s">
        <v>11036</v>
      </c>
      <c r="P3736" s="2" t="s">
        <v>11035</v>
      </c>
      <c r="Q3736" s="2">
        <f>AVERAGE(PerfRate[[#This Row],[EnvironmentSatisfaction]],PerfRate[[#This Row],[JobSatisfaction]],PerfRate[[#This Row],[RelationshipSatisfaction]])</f>
        <v>3</v>
      </c>
      <c r="R3736" s="2">
        <f>PerfRate[[#This Row],[ManagerRating]] - PerfRate[[#This Row],[SelfRating]]</f>
        <v>0</v>
      </c>
    </row>
    <row r="3737" spans="1:18">
      <c r="A3737" s="2" t="s">
        <v>8044</v>
      </c>
      <c r="B3737" s="2" t="s">
        <v>359</v>
      </c>
      <c r="C3737" s="1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  <c r="L3737" s="2" t="s">
        <v>11029</v>
      </c>
      <c r="M3737" s="2" t="s">
        <v>11028</v>
      </c>
      <c r="N3737" s="2" t="s">
        <v>11036</v>
      </c>
      <c r="O3737" s="2" t="s">
        <v>11038</v>
      </c>
      <c r="P3737" s="2" t="s">
        <v>11036</v>
      </c>
      <c r="Q3737" s="2">
        <f>AVERAGE(PerfRate[[#This Row],[EnvironmentSatisfaction]],PerfRate[[#This Row],[JobSatisfaction]],PerfRate[[#This Row],[RelationshipSatisfaction]])</f>
        <v>3.6666666666666665</v>
      </c>
      <c r="R3737" s="2">
        <f>PerfRate[[#This Row],[ManagerRating]] - PerfRate[[#This Row],[SelfRating]]</f>
        <v>-1</v>
      </c>
    </row>
    <row r="3738" spans="1:18">
      <c r="A3738" s="2" t="s">
        <v>8045</v>
      </c>
      <c r="B3738" s="2" t="s">
        <v>1412</v>
      </c>
      <c r="C3738" s="1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  <c r="L3738" s="2" t="s">
        <v>11030</v>
      </c>
      <c r="M3738" s="2" t="s">
        <v>11029</v>
      </c>
      <c r="N3738" s="2" t="s">
        <v>11037</v>
      </c>
      <c r="O3738" s="2" t="s">
        <v>11037</v>
      </c>
      <c r="P3738" s="2" t="s">
        <v>11036</v>
      </c>
      <c r="Q3738" s="2">
        <f>AVERAGE(PerfRate[[#This Row],[EnvironmentSatisfaction]],PerfRate[[#This Row],[JobSatisfaction]],PerfRate[[#This Row],[RelationshipSatisfaction]])</f>
        <v>3.6666666666666665</v>
      </c>
      <c r="R3738" s="2">
        <f>PerfRate[[#This Row],[ManagerRating]] - PerfRate[[#This Row],[SelfRating]]</f>
        <v>-1</v>
      </c>
    </row>
    <row r="3739" spans="1:18">
      <c r="A3739" s="2" t="s">
        <v>8046</v>
      </c>
      <c r="B3739" s="2" t="s">
        <v>2245</v>
      </c>
      <c r="C3739" s="1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  <c r="L3739" s="2" t="s">
        <v>11030</v>
      </c>
      <c r="M3739" s="2" t="s">
        <v>11029</v>
      </c>
      <c r="N3739" s="2" t="s">
        <v>11037</v>
      </c>
      <c r="O3739" s="2" t="s">
        <v>11037</v>
      </c>
      <c r="P3739" s="2" t="s">
        <v>11037</v>
      </c>
      <c r="Q3739" s="2">
        <f>AVERAGE(PerfRate[[#This Row],[EnvironmentSatisfaction]],PerfRate[[#This Row],[JobSatisfaction]],PerfRate[[#This Row],[RelationshipSatisfaction]])</f>
        <v>4</v>
      </c>
      <c r="R3739" s="2">
        <f>PerfRate[[#This Row],[ManagerRating]] - PerfRate[[#This Row],[SelfRating]]</f>
        <v>-1</v>
      </c>
    </row>
    <row r="3740" spans="1:18">
      <c r="A3740" s="2" t="s">
        <v>8047</v>
      </c>
      <c r="B3740" s="2" t="s">
        <v>3642</v>
      </c>
      <c r="C3740" s="1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  <c r="L3740" s="2" t="s">
        <v>11029</v>
      </c>
      <c r="M3740" s="2" t="s">
        <v>11029</v>
      </c>
      <c r="N3740" s="2" t="s">
        <v>11036</v>
      </c>
      <c r="O3740" s="2" t="s">
        <v>11036</v>
      </c>
      <c r="P3740" s="2" t="s">
        <v>11035</v>
      </c>
      <c r="Q3740" s="2">
        <f>AVERAGE(PerfRate[[#This Row],[EnvironmentSatisfaction]],PerfRate[[#This Row],[JobSatisfaction]],PerfRate[[#This Row],[RelationshipSatisfaction]])</f>
        <v>2.6666666666666665</v>
      </c>
      <c r="R3740" s="2">
        <f>PerfRate[[#This Row],[ManagerRating]] - PerfRate[[#This Row],[SelfRating]]</f>
        <v>0</v>
      </c>
    </row>
    <row r="3741" spans="1:18">
      <c r="A3741" s="2" t="s">
        <v>8048</v>
      </c>
      <c r="B3741" s="2" t="s">
        <v>2856</v>
      </c>
      <c r="C3741" s="1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  <c r="L3741" s="2" t="s">
        <v>11029</v>
      </c>
      <c r="M3741" s="2" t="s">
        <v>11028</v>
      </c>
      <c r="N3741" s="2" t="s">
        <v>11038</v>
      </c>
      <c r="O3741" s="2" t="s">
        <v>11038</v>
      </c>
      <c r="P3741" s="2" t="s">
        <v>11037</v>
      </c>
      <c r="Q3741" s="2">
        <f>AVERAGE(PerfRate[[#This Row],[EnvironmentSatisfaction]],PerfRate[[#This Row],[JobSatisfaction]],PerfRate[[#This Row],[RelationshipSatisfaction]])</f>
        <v>4.666666666666667</v>
      </c>
      <c r="R3741" s="2">
        <f>PerfRate[[#This Row],[ManagerRating]] - PerfRate[[#This Row],[SelfRating]]</f>
        <v>-1</v>
      </c>
    </row>
    <row r="3742" spans="1:18">
      <c r="A3742" s="2" t="s">
        <v>8049</v>
      </c>
      <c r="B3742" s="2" t="s">
        <v>1482</v>
      </c>
      <c r="C3742" s="1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  <c r="L3742" s="2" t="s">
        <v>11031</v>
      </c>
      <c r="M3742" s="2" t="s">
        <v>11030</v>
      </c>
      <c r="N3742" s="2" t="s">
        <v>11036</v>
      </c>
      <c r="O3742" s="2" t="s">
        <v>11038</v>
      </c>
      <c r="P3742" s="2" t="s">
        <v>11036</v>
      </c>
      <c r="Q3742" s="2">
        <f>AVERAGE(PerfRate[[#This Row],[EnvironmentSatisfaction]],PerfRate[[#This Row],[JobSatisfaction]],PerfRate[[#This Row],[RelationshipSatisfaction]])</f>
        <v>3.6666666666666665</v>
      </c>
      <c r="R3742" s="2">
        <f>PerfRate[[#This Row],[ManagerRating]] - PerfRate[[#This Row],[SelfRating]]</f>
        <v>-1</v>
      </c>
    </row>
    <row r="3743" spans="1:18">
      <c r="A3743" s="2" t="s">
        <v>8050</v>
      </c>
      <c r="B3743" s="2" t="s">
        <v>1824</v>
      </c>
      <c r="C3743" s="1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  <c r="L3743" s="2" t="s">
        <v>11030</v>
      </c>
      <c r="M3743" s="2" t="s">
        <v>11029</v>
      </c>
      <c r="N3743" s="2" t="s">
        <v>11036</v>
      </c>
      <c r="O3743" s="2" t="s">
        <v>11035</v>
      </c>
      <c r="P3743" s="2" t="s">
        <v>11035</v>
      </c>
      <c r="Q3743" s="2">
        <f>AVERAGE(PerfRate[[#This Row],[EnvironmentSatisfaction]],PerfRate[[#This Row],[JobSatisfaction]],PerfRate[[#This Row],[RelationshipSatisfaction]])</f>
        <v>2.3333333333333335</v>
      </c>
      <c r="R3743" s="2">
        <f>PerfRate[[#This Row],[ManagerRating]] - PerfRate[[#This Row],[SelfRating]]</f>
        <v>-1</v>
      </c>
    </row>
    <row r="3744" spans="1:18">
      <c r="A3744" s="2" t="s">
        <v>8051</v>
      </c>
      <c r="B3744" s="2" t="s">
        <v>806</v>
      </c>
      <c r="C3744" s="1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  <c r="L3744" s="2" t="s">
        <v>11029</v>
      </c>
      <c r="M3744" s="2" t="s">
        <v>11029</v>
      </c>
      <c r="N3744" s="2" t="s">
        <v>11036</v>
      </c>
      <c r="O3744" s="2" t="s">
        <v>11035</v>
      </c>
      <c r="P3744" s="2" t="s">
        <v>11038</v>
      </c>
      <c r="Q3744" s="2">
        <f>AVERAGE(PerfRate[[#This Row],[EnvironmentSatisfaction]],PerfRate[[#This Row],[JobSatisfaction]],PerfRate[[#This Row],[RelationshipSatisfaction]])</f>
        <v>3.3333333333333335</v>
      </c>
      <c r="R3744" s="2">
        <f>PerfRate[[#This Row],[ManagerRating]] - PerfRate[[#This Row],[SelfRating]]</f>
        <v>0</v>
      </c>
    </row>
    <row r="3745" spans="1:18">
      <c r="A3745" s="2" t="s">
        <v>8052</v>
      </c>
      <c r="B3745" s="2" t="s">
        <v>955</v>
      </c>
      <c r="C3745" s="1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  <c r="L3745" s="2" t="s">
        <v>11030</v>
      </c>
      <c r="M3745" s="2" t="s">
        <v>11029</v>
      </c>
      <c r="N3745" s="2" t="s">
        <v>11037</v>
      </c>
      <c r="O3745" s="2" t="s">
        <v>11037</v>
      </c>
      <c r="P3745" s="2" t="s">
        <v>11036</v>
      </c>
      <c r="Q3745" s="2">
        <f>AVERAGE(PerfRate[[#This Row],[EnvironmentSatisfaction]],PerfRate[[#This Row],[JobSatisfaction]],PerfRate[[#This Row],[RelationshipSatisfaction]])</f>
        <v>3.6666666666666665</v>
      </c>
      <c r="R3745" s="2">
        <f>PerfRate[[#This Row],[ManagerRating]] - PerfRate[[#This Row],[SelfRating]]</f>
        <v>-1</v>
      </c>
    </row>
    <row r="3746" spans="1:18">
      <c r="A3746" s="2" t="s">
        <v>8053</v>
      </c>
      <c r="B3746" s="2" t="s">
        <v>808</v>
      </c>
      <c r="C3746" s="1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  <c r="L3746" s="2" t="s">
        <v>11030</v>
      </c>
      <c r="M3746" s="2" t="s">
        <v>11029</v>
      </c>
      <c r="N3746" s="2" t="s">
        <v>11036</v>
      </c>
      <c r="O3746" s="2" t="s">
        <v>11037</v>
      </c>
      <c r="P3746" s="2" t="s">
        <v>11035</v>
      </c>
      <c r="Q3746" s="2">
        <f>AVERAGE(PerfRate[[#This Row],[EnvironmentSatisfaction]],PerfRate[[#This Row],[JobSatisfaction]],PerfRate[[#This Row],[RelationshipSatisfaction]])</f>
        <v>3</v>
      </c>
      <c r="R3746" s="2">
        <f>PerfRate[[#This Row],[ManagerRating]] - PerfRate[[#This Row],[SelfRating]]</f>
        <v>-1</v>
      </c>
    </row>
    <row r="3747" spans="1:18">
      <c r="A3747" s="2" t="s">
        <v>8054</v>
      </c>
      <c r="B3747" s="2" t="s">
        <v>2027</v>
      </c>
      <c r="C3747" s="1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  <c r="L3747" s="2" t="s">
        <v>11031</v>
      </c>
      <c r="M3747" s="2" t="s">
        <v>11031</v>
      </c>
      <c r="N3747" s="2" t="s">
        <v>11037</v>
      </c>
      <c r="O3747" s="2" t="s">
        <v>11037</v>
      </c>
      <c r="P3747" s="2" t="s">
        <v>11038</v>
      </c>
      <c r="Q3747" s="2">
        <f>AVERAGE(PerfRate[[#This Row],[EnvironmentSatisfaction]],PerfRate[[#This Row],[JobSatisfaction]],PerfRate[[#This Row],[RelationshipSatisfaction]])</f>
        <v>4.333333333333333</v>
      </c>
      <c r="R3747" s="2">
        <f>PerfRate[[#This Row],[ManagerRating]] - PerfRate[[#This Row],[SelfRating]]</f>
        <v>0</v>
      </c>
    </row>
    <row r="3748" spans="1:18">
      <c r="A3748" s="2" t="s">
        <v>8055</v>
      </c>
      <c r="B3748" s="2" t="s">
        <v>3054</v>
      </c>
      <c r="C3748" s="1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  <c r="L3748" s="2" t="s">
        <v>11030</v>
      </c>
      <c r="M3748" s="2" t="s">
        <v>11030</v>
      </c>
      <c r="N3748" s="2" t="s">
        <v>11038</v>
      </c>
      <c r="O3748" s="2" t="s">
        <v>11036</v>
      </c>
      <c r="P3748" s="2" t="s">
        <v>11038</v>
      </c>
      <c r="Q3748" s="2">
        <f>AVERAGE(PerfRate[[#This Row],[EnvironmentSatisfaction]],PerfRate[[#This Row],[JobSatisfaction]],PerfRate[[#This Row],[RelationshipSatisfaction]])</f>
        <v>4.333333333333333</v>
      </c>
      <c r="R3748" s="2">
        <f>PerfRate[[#This Row],[ManagerRating]] - PerfRate[[#This Row],[SelfRating]]</f>
        <v>0</v>
      </c>
    </row>
    <row r="3749" spans="1:18">
      <c r="A3749" s="2" t="s">
        <v>8056</v>
      </c>
      <c r="B3749" s="2" t="s">
        <v>431</v>
      </c>
      <c r="C3749" s="1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  <c r="L3749" s="2" t="s">
        <v>11031</v>
      </c>
      <c r="M3749" s="2" t="s">
        <v>11030</v>
      </c>
      <c r="N3749" s="2" t="s">
        <v>11036</v>
      </c>
      <c r="O3749" s="2" t="s">
        <v>11038</v>
      </c>
      <c r="P3749" s="2" t="s">
        <v>11037</v>
      </c>
      <c r="Q3749" s="2">
        <f>AVERAGE(PerfRate[[#This Row],[EnvironmentSatisfaction]],PerfRate[[#This Row],[JobSatisfaction]],PerfRate[[#This Row],[RelationshipSatisfaction]])</f>
        <v>4</v>
      </c>
      <c r="R3749" s="2">
        <f>PerfRate[[#This Row],[ManagerRating]] - PerfRate[[#This Row],[SelfRating]]</f>
        <v>-1</v>
      </c>
    </row>
    <row r="3750" spans="1:18">
      <c r="A3750" s="2" t="s">
        <v>8057</v>
      </c>
      <c r="B3750" s="2" t="s">
        <v>649</v>
      </c>
      <c r="C3750" s="1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  <c r="L3750" s="2" t="s">
        <v>11030</v>
      </c>
      <c r="M3750" s="2" t="s">
        <v>11029</v>
      </c>
      <c r="N3750" s="2" t="s">
        <v>11038</v>
      </c>
      <c r="O3750" s="2" t="s">
        <v>11035</v>
      </c>
      <c r="P3750" s="2" t="s">
        <v>11037</v>
      </c>
      <c r="Q3750" s="2">
        <f>AVERAGE(PerfRate[[#This Row],[EnvironmentSatisfaction]],PerfRate[[#This Row],[JobSatisfaction]],PerfRate[[#This Row],[RelationshipSatisfaction]])</f>
        <v>3.6666666666666665</v>
      </c>
      <c r="R3750" s="2">
        <f>PerfRate[[#This Row],[ManagerRating]] - PerfRate[[#This Row],[SelfRating]]</f>
        <v>-1</v>
      </c>
    </row>
    <row r="3751" spans="1:18">
      <c r="A3751" s="2" t="s">
        <v>8058</v>
      </c>
      <c r="B3751" s="2" t="s">
        <v>1003</v>
      </c>
      <c r="C3751" s="1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  <c r="L3751" s="2" t="s">
        <v>11031</v>
      </c>
      <c r="M3751" s="2" t="s">
        <v>11031</v>
      </c>
      <c r="N3751" s="2" t="s">
        <v>11036</v>
      </c>
      <c r="O3751" s="2" t="s">
        <v>11038</v>
      </c>
      <c r="P3751" s="2" t="s">
        <v>11037</v>
      </c>
      <c r="Q3751" s="2">
        <f>AVERAGE(PerfRate[[#This Row],[EnvironmentSatisfaction]],PerfRate[[#This Row],[JobSatisfaction]],PerfRate[[#This Row],[RelationshipSatisfaction]])</f>
        <v>4</v>
      </c>
      <c r="R3751" s="2">
        <f>PerfRate[[#This Row],[ManagerRating]] - PerfRate[[#This Row],[SelfRating]]</f>
        <v>0</v>
      </c>
    </row>
    <row r="3752" spans="1:18">
      <c r="A3752" s="2" t="s">
        <v>8059</v>
      </c>
      <c r="B3752" s="2" t="s">
        <v>3572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  <c r="L3752" s="2" t="s">
        <v>11029</v>
      </c>
      <c r="M3752" s="2" t="s">
        <v>11029</v>
      </c>
      <c r="N3752" s="2" t="s">
        <v>11037</v>
      </c>
      <c r="O3752" s="2" t="s">
        <v>11037</v>
      </c>
      <c r="P3752" s="2" t="s">
        <v>11035</v>
      </c>
      <c r="Q3752" s="2">
        <f>AVERAGE(PerfRate[[#This Row],[EnvironmentSatisfaction]],PerfRate[[#This Row],[JobSatisfaction]],PerfRate[[#This Row],[RelationshipSatisfaction]])</f>
        <v>3.3333333333333335</v>
      </c>
      <c r="R3752" s="2">
        <f>PerfRate[[#This Row],[ManagerRating]] - PerfRate[[#This Row],[SelfRating]]</f>
        <v>0</v>
      </c>
    </row>
    <row r="3753" spans="1:18">
      <c r="A3753" s="2" t="s">
        <v>8060</v>
      </c>
      <c r="B3753" s="2" t="s">
        <v>2593</v>
      </c>
      <c r="C3753" s="1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  <c r="L3753" s="2" t="s">
        <v>11031</v>
      </c>
      <c r="M3753" s="2" t="s">
        <v>11031</v>
      </c>
      <c r="N3753" s="2" t="s">
        <v>11038</v>
      </c>
      <c r="O3753" s="2" t="s">
        <v>11036</v>
      </c>
      <c r="P3753" s="2" t="s">
        <v>11036</v>
      </c>
      <c r="Q3753" s="2">
        <f>AVERAGE(PerfRate[[#This Row],[EnvironmentSatisfaction]],PerfRate[[#This Row],[JobSatisfaction]],PerfRate[[#This Row],[RelationshipSatisfaction]])</f>
        <v>3.6666666666666665</v>
      </c>
      <c r="R3753" s="2">
        <f>PerfRate[[#This Row],[ManagerRating]] - PerfRate[[#This Row],[SelfRating]]</f>
        <v>0</v>
      </c>
    </row>
    <row r="3754" spans="1:18">
      <c r="A3754" s="2" t="s">
        <v>8061</v>
      </c>
      <c r="B3754" s="2" t="s">
        <v>1318</v>
      </c>
      <c r="C3754" s="1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  <c r="L3754" s="2" t="s">
        <v>11029</v>
      </c>
      <c r="M3754" s="2" t="s">
        <v>11028</v>
      </c>
      <c r="N3754" s="2" t="s">
        <v>11038</v>
      </c>
      <c r="O3754" s="2" t="s">
        <v>11038</v>
      </c>
      <c r="P3754" s="2" t="s">
        <v>11037</v>
      </c>
      <c r="Q3754" s="2">
        <f>AVERAGE(PerfRate[[#This Row],[EnvironmentSatisfaction]],PerfRate[[#This Row],[JobSatisfaction]],PerfRate[[#This Row],[RelationshipSatisfaction]])</f>
        <v>4.666666666666667</v>
      </c>
      <c r="R3754" s="2">
        <f>PerfRate[[#This Row],[ManagerRating]] - PerfRate[[#This Row],[SelfRating]]</f>
        <v>-1</v>
      </c>
    </row>
    <row r="3755" spans="1:18">
      <c r="A3755" s="2" t="s">
        <v>8062</v>
      </c>
      <c r="B3755" s="2" t="s">
        <v>1764</v>
      </c>
      <c r="C3755" s="1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  <c r="L3755" s="2" t="s">
        <v>11031</v>
      </c>
      <c r="M3755" s="2" t="s">
        <v>11031</v>
      </c>
      <c r="N3755" s="2" t="s">
        <v>11038</v>
      </c>
      <c r="O3755" s="2" t="s">
        <v>11037</v>
      </c>
      <c r="P3755" s="2" t="s">
        <v>11037</v>
      </c>
      <c r="Q3755" s="2">
        <f>AVERAGE(PerfRate[[#This Row],[EnvironmentSatisfaction]],PerfRate[[#This Row],[JobSatisfaction]],PerfRate[[#This Row],[RelationshipSatisfaction]])</f>
        <v>4.333333333333333</v>
      </c>
      <c r="R3755" s="2">
        <f>PerfRate[[#This Row],[ManagerRating]] - PerfRate[[#This Row],[SelfRating]]</f>
        <v>0</v>
      </c>
    </row>
    <row r="3756" spans="1:18">
      <c r="A3756" s="2" t="s">
        <v>8063</v>
      </c>
      <c r="B3756" s="2" t="s">
        <v>3583</v>
      </c>
      <c r="C3756" s="1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  <c r="L3756" s="2" t="s">
        <v>11029</v>
      </c>
      <c r="M3756" s="2" t="s">
        <v>11029</v>
      </c>
      <c r="N3756" s="2" t="s">
        <v>11038</v>
      </c>
      <c r="O3756" s="2" t="s">
        <v>11037</v>
      </c>
      <c r="P3756" s="2" t="s">
        <v>11037</v>
      </c>
      <c r="Q3756" s="2">
        <f>AVERAGE(PerfRate[[#This Row],[EnvironmentSatisfaction]],PerfRate[[#This Row],[JobSatisfaction]],PerfRate[[#This Row],[RelationshipSatisfaction]])</f>
        <v>4.333333333333333</v>
      </c>
      <c r="R3756" s="2">
        <f>PerfRate[[#This Row],[ManagerRating]] - PerfRate[[#This Row],[SelfRating]]</f>
        <v>0</v>
      </c>
    </row>
    <row r="3757" spans="1:18">
      <c r="A3757" s="2" t="s">
        <v>8064</v>
      </c>
      <c r="B3757" s="2" t="s">
        <v>2444</v>
      </c>
      <c r="C3757" s="1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  <c r="L3757" s="2" t="s">
        <v>11029</v>
      </c>
      <c r="M3757" s="2" t="s">
        <v>11028</v>
      </c>
      <c r="N3757" s="2" t="s">
        <v>11037</v>
      </c>
      <c r="O3757" s="2" t="s">
        <v>11036</v>
      </c>
      <c r="P3757" s="2" t="s">
        <v>11038</v>
      </c>
      <c r="Q3757" s="2">
        <f>AVERAGE(PerfRate[[#This Row],[EnvironmentSatisfaction]],PerfRate[[#This Row],[JobSatisfaction]],PerfRate[[#This Row],[RelationshipSatisfaction]])</f>
        <v>4</v>
      </c>
      <c r="R3757" s="2">
        <f>PerfRate[[#This Row],[ManagerRating]] - PerfRate[[#This Row],[SelfRating]]</f>
        <v>-1</v>
      </c>
    </row>
    <row r="3758" spans="1:18">
      <c r="A3758" s="2" t="s">
        <v>8065</v>
      </c>
      <c r="B3758" s="2" t="s">
        <v>138</v>
      </c>
      <c r="C3758" s="1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  <c r="L3758" s="2" t="s">
        <v>11030</v>
      </c>
      <c r="M3758" s="2" t="s">
        <v>11030</v>
      </c>
      <c r="N3758" s="2" t="s">
        <v>11036</v>
      </c>
      <c r="O3758" s="2" t="s">
        <v>11035</v>
      </c>
      <c r="P3758" s="2" t="s">
        <v>11037</v>
      </c>
      <c r="Q3758" s="2">
        <f>AVERAGE(PerfRate[[#This Row],[EnvironmentSatisfaction]],PerfRate[[#This Row],[JobSatisfaction]],PerfRate[[#This Row],[RelationshipSatisfaction]])</f>
        <v>3</v>
      </c>
      <c r="R3758" s="2">
        <f>PerfRate[[#This Row],[ManagerRating]] - PerfRate[[#This Row],[SelfRating]]</f>
        <v>0</v>
      </c>
    </row>
    <row r="3759" spans="1:18">
      <c r="A3759" s="2" t="s">
        <v>8066</v>
      </c>
      <c r="B3759" s="2" t="s">
        <v>1557</v>
      </c>
      <c r="C3759" s="1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  <c r="L3759" s="2" t="s">
        <v>11030</v>
      </c>
      <c r="M3759" s="2" t="s">
        <v>11029</v>
      </c>
      <c r="N3759" s="2" t="s">
        <v>11037</v>
      </c>
      <c r="O3759" s="2" t="s">
        <v>11035</v>
      </c>
      <c r="P3759" s="2" t="s">
        <v>11035</v>
      </c>
      <c r="Q3759" s="2">
        <f>AVERAGE(PerfRate[[#This Row],[EnvironmentSatisfaction]],PerfRate[[#This Row],[JobSatisfaction]],PerfRate[[#This Row],[RelationshipSatisfaction]])</f>
        <v>2.6666666666666665</v>
      </c>
      <c r="R3759" s="2">
        <f>PerfRate[[#This Row],[ManagerRating]] - PerfRate[[#This Row],[SelfRating]]</f>
        <v>-1</v>
      </c>
    </row>
    <row r="3760" spans="1:18">
      <c r="A3760" s="2" t="s">
        <v>8067</v>
      </c>
      <c r="B3760" s="2" t="s">
        <v>2389</v>
      </c>
      <c r="C3760" s="1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  <c r="L3760" s="2" t="s">
        <v>11030</v>
      </c>
      <c r="M3760" s="2" t="s">
        <v>11029</v>
      </c>
      <c r="N3760" s="2" t="s">
        <v>11038</v>
      </c>
      <c r="O3760" s="2" t="s">
        <v>11035</v>
      </c>
      <c r="P3760" s="2" t="s">
        <v>11037</v>
      </c>
      <c r="Q3760" s="2">
        <f>AVERAGE(PerfRate[[#This Row],[EnvironmentSatisfaction]],PerfRate[[#This Row],[JobSatisfaction]],PerfRate[[#This Row],[RelationshipSatisfaction]])</f>
        <v>3.6666666666666665</v>
      </c>
      <c r="R3760" s="2">
        <f>PerfRate[[#This Row],[ManagerRating]] - PerfRate[[#This Row],[SelfRating]]</f>
        <v>-1</v>
      </c>
    </row>
    <row r="3761" spans="1:18">
      <c r="A3761" s="2" t="s">
        <v>8068</v>
      </c>
      <c r="B3761" s="2" t="s">
        <v>23</v>
      </c>
      <c r="C3761" s="1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  <c r="L3761" s="2" t="s">
        <v>11031</v>
      </c>
      <c r="M3761" s="2" t="s">
        <v>11030</v>
      </c>
      <c r="N3761" s="2" t="s">
        <v>11036</v>
      </c>
      <c r="O3761" s="2" t="s">
        <v>11035</v>
      </c>
      <c r="P3761" s="2" t="s">
        <v>11038</v>
      </c>
      <c r="Q3761" s="2">
        <f>AVERAGE(PerfRate[[#This Row],[EnvironmentSatisfaction]],PerfRate[[#This Row],[JobSatisfaction]],PerfRate[[#This Row],[RelationshipSatisfaction]])</f>
        <v>3.3333333333333335</v>
      </c>
      <c r="R3761" s="2">
        <f>PerfRate[[#This Row],[ManagerRating]] - PerfRate[[#This Row],[SelfRating]]</f>
        <v>-1</v>
      </c>
    </row>
    <row r="3762" spans="1:18">
      <c r="A3762" s="2" t="s">
        <v>8069</v>
      </c>
      <c r="B3762" s="2" t="s">
        <v>4069</v>
      </c>
      <c r="C3762" s="1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  <c r="L3762" s="2" t="s">
        <v>11029</v>
      </c>
      <c r="M3762" s="2" t="s">
        <v>11029</v>
      </c>
      <c r="N3762" s="2" t="s">
        <v>11037</v>
      </c>
      <c r="O3762" s="2" t="s">
        <v>11037</v>
      </c>
      <c r="P3762" s="2" t="s">
        <v>11036</v>
      </c>
      <c r="Q3762" s="2">
        <f>AVERAGE(PerfRate[[#This Row],[EnvironmentSatisfaction]],PerfRate[[#This Row],[JobSatisfaction]],PerfRate[[#This Row],[RelationshipSatisfaction]])</f>
        <v>3.6666666666666665</v>
      </c>
      <c r="R3762" s="2">
        <f>PerfRate[[#This Row],[ManagerRating]] - PerfRate[[#This Row],[SelfRating]]</f>
        <v>0</v>
      </c>
    </row>
    <row r="3763" spans="1:18">
      <c r="A3763" s="2" t="s">
        <v>8070</v>
      </c>
      <c r="B3763" s="2" t="s">
        <v>204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  <c r="L3763" s="2" t="s">
        <v>11031</v>
      </c>
      <c r="M3763" s="2" t="s">
        <v>11030</v>
      </c>
      <c r="N3763" s="2" t="s">
        <v>11036</v>
      </c>
      <c r="O3763" s="2" t="s">
        <v>11035</v>
      </c>
      <c r="P3763" s="2" t="s">
        <v>11035</v>
      </c>
      <c r="Q3763" s="2">
        <f>AVERAGE(PerfRate[[#This Row],[EnvironmentSatisfaction]],PerfRate[[#This Row],[JobSatisfaction]],PerfRate[[#This Row],[RelationshipSatisfaction]])</f>
        <v>2.3333333333333335</v>
      </c>
      <c r="R3763" s="2">
        <f>PerfRate[[#This Row],[ManagerRating]] - PerfRate[[#This Row],[SelfRating]]</f>
        <v>-1</v>
      </c>
    </row>
    <row r="3764" spans="1:18">
      <c r="A3764" s="2" t="s">
        <v>8071</v>
      </c>
      <c r="B3764" s="2" t="s">
        <v>797</v>
      </c>
      <c r="C3764" s="1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  <c r="L3764" s="2" t="s">
        <v>11030</v>
      </c>
      <c r="M3764" s="2" t="s">
        <v>11029</v>
      </c>
      <c r="N3764" s="2" t="s">
        <v>11037</v>
      </c>
      <c r="O3764" s="2" t="s">
        <v>11037</v>
      </c>
      <c r="P3764" s="2" t="s">
        <v>11035</v>
      </c>
      <c r="Q3764" s="2">
        <f>AVERAGE(PerfRate[[#This Row],[EnvironmentSatisfaction]],PerfRate[[#This Row],[JobSatisfaction]],PerfRate[[#This Row],[RelationshipSatisfaction]])</f>
        <v>3.3333333333333335</v>
      </c>
      <c r="R3764" s="2">
        <f>PerfRate[[#This Row],[ManagerRating]] - PerfRate[[#This Row],[SelfRating]]</f>
        <v>-1</v>
      </c>
    </row>
    <row r="3765" spans="1:18">
      <c r="A3765" s="2" t="s">
        <v>8072</v>
      </c>
      <c r="B3765" s="2" t="s">
        <v>574</v>
      </c>
      <c r="C3765" s="1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  <c r="L3765" s="2" t="s">
        <v>11030</v>
      </c>
      <c r="M3765" s="2" t="s">
        <v>11030</v>
      </c>
      <c r="N3765" s="2" t="s">
        <v>11037</v>
      </c>
      <c r="O3765" s="2" t="s">
        <v>11037</v>
      </c>
      <c r="P3765" s="2" t="s">
        <v>11036</v>
      </c>
      <c r="Q3765" s="2">
        <f>AVERAGE(PerfRate[[#This Row],[EnvironmentSatisfaction]],PerfRate[[#This Row],[JobSatisfaction]],PerfRate[[#This Row],[RelationshipSatisfaction]])</f>
        <v>3.6666666666666665</v>
      </c>
      <c r="R3765" s="2">
        <f>PerfRate[[#This Row],[ManagerRating]] - PerfRate[[#This Row],[SelfRating]]</f>
        <v>0</v>
      </c>
    </row>
    <row r="3766" spans="1:18">
      <c r="A3766" s="2" t="s">
        <v>8073</v>
      </c>
      <c r="B3766" s="2" t="s">
        <v>2048</v>
      </c>
      <c r="C3766" s="1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  <c r="L3766" s="2" t="s">
        <v>11030</v>
      </c>
      <c r="M3766" s="2" t="s">
        <v>11029</v>
      </c>
      <c r="N3766" s="2" t="s">
        <v>11038</v>
      </c>
      <c r="O3766" s="2" t="s">
        <v>11036</v>
      </c>
      <c r="P3766" s="2" t="s">
        <v>11035</v>
      </c>
      <c r="Q3766" s="2">
        <f>AVERAGE(PerfRate[[#This Row],[EnvironmentSatisfaction]],PerfRate[[#This Row],[JobSatisfaction]],PerfRate[[#This Row],[RelationshipSatisfaction]])</f>
        <v>3.3333333333333335</v>
      </c>
      <c r="R3766" s="2">
        <f>PerfRate[[#This Row],[ManagerRating]] - PerfRate[[#This Row],[SelfRating]]</f>
        <v>-1</v>
      </c>
    </row>
    <row r="3767" spans="1:18">
      <c r="A3767" s="2" t="s">
        <v>8074</v>
      </c>
      <c r="B3767" s="2" t="s">
        <v>2321</v>
      </c>
      <c r="C3767" s="1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  <c r="L3767" s="2" t="s">
        <v>11030</v>
      </c>
      <c r="M3767" s="2" t="s">
        <v>11029</v>
      </c>
      <c r="N3767" s="2" t="s">
        <v>11036</v>
      </c>
      <c r="O3767" s="2" t="s">
        <v>11038</v>
      </c>
      <c r="P3767" s="2" t="s">
        <v>11036</v>
      </c>
      <c r="Q3767" s="2">
        <f>AVERAGE(PerfRate[[#This Row],[EnvironmentSatisfaction]],PerfRate[[#This Row],[JobSatisfaction]],PerfRate[[#This Row],[RelationshipSatisfaction]])</f>
        <v>3.6666666666666665</v>
      </c>
      <c r="R3767" s="2">
        <f>PerfRate[[#This Row],[ManagerRating]] - PerfRate[[#This Row],[SelfRating]]</f>
        <v>-1</v>
      </c>
    </row>
    <row r="3768" spans="1:18">
      <c r="A3768" s="2" t="s">
        <v>8075</v>
      </c>
      <c r="B3768" s="2" t="s">
        <v>875</v>
      </c>
      <c r="C3768" s="1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  <c r="L3768" s="2" t="s">
        <v>11030</v>
      </c>
      <c r="M3768" s="2" t="s">
        <v>11029</v>
      </c>
      <c r="N3768" s="2" t="s">
        <v>11038</v>
      </c>
      <c r="O3768" s="2" t="s">
        <v>11036</v>
      </c>
      <c r="P3768" s="2" t="s">
        <v>11037</v>
      </c>
      <c r="Q3768" s="2">
        <f>AVERAGE(PerfRate[[#This Row],[EnvironmentSatisfaction]],PerfRate[[#This Row],[JobSatisfaction]],PerfRate[[#This Row],[RelationshipSatisfaction]])</f>
        <v>4</v>
      </c>
      <c r="R3768" s="2">
        <f>PerfRate[[#This Row],[ManagerRating]] - PerfRate[[#This Row],[SelfRating]]</f>
        <v>-1</v>
      </c>
    </row>
    <row r="3769" spans="1:18">
      <c r="A3769" s="2" t="s">
        <v>8076</v>
      </c>
      <c r="B3769" s="2" t="s">
        <v>2315</v>
      </c>
      <c r="C3769" s="1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  <c r="L3769" s="2" t="s">
        <v>11030</v>
      </c>
      <c r="M3769" s="2" t="s">
        <v>11030</v>
      </c>
      <c r="N3769" s="2" t="s">
        <v>11038</v>
      </c>
      <c r="O3769" s="2" t="s">
        <v>11035</v>
      </c>
      <c r="P3769" s="2" t="s">
        <v>11036</v>
      </c>
      <c r="Q3769" s="2">
        <f>AVERAGE(PerfRate[[#This Row],[EnvironmentSatisfaction]],PerfRate[[#This Row],[JobSatisfaction]],PerfRate[[#This Row],[RelationshipSatisfaction]])</f>
        <v>3.3333333333333335</v>
      </c>
      <c r="R3769" s="2">
        <f>PerfRate[[#This Row],[ManagerRating]] - PerfRate[[#This Row],[SelfRating]]</f>
        <v>0</v>
      </c>
    </row>
    <row r="3770" spans="1:18">
      <c r="A3770" s="2" t="s">
        <v>8077</v>
      </c>
      <c r="B3770" s="2" t="s">
        <v>389</v>
      </c>
      <c r="C3770" s="1">
        <v>43841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  <c r="L3770" s="2" t="s">
        <v>11030</v>
      </c>
      <c r="M3770" s="2" t="s">
        <v>11030</v>
      </c>
      <c r="N3770" s="2" t="s">
        <v>11038</v>
      </c>
      <c r="O3770" s="2" t="s">
        <v>11037</v>
      </c>
      <c r="P3770" s="2" t="s">
        <v>11035</v>
      </c>
      <c r="Q3770" s="2">
        <f>AVERAGE(PerfRate[[#This Row],[EnvironmentSatisfaction]],PerfRate[[#This Row],[JobSatisfaction]],PerfRate[[#This Row],[RelationshipSatisfaction]])</f>
        <v>3.6666666666666665</v>
      </c>
      <c r="R3770" s="2">
        <f>PerfRate[[#This Row],[ManagerRating]] - PerfRate[[#This Row],[SelfRating]]</f>
        <v>0</v>
      </c>
    </row>
    <row r="3771" spans="1:18">
      <c r="A3771" s="2" t="s">
        <v>8078</v>
      </c>
      <c r="B3771" s="2" t="s">
        <v>1207</v>
      </c>
      <c r="C3771" s="1">
        <v>43841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  <c r="L3771" s="2" t="s">
        <v>11031</v>
      </c>
      <c r="M3771" s="2" t="s">
        <v>11030</v>
      </c>
      <c r="N3771" s="2" t="s">
        <v>11036</v>
      </c>
      <c r="O3771" s="2" t="s">
        <v>11038</v>
      </c>
      <c r="P3771" s="2" t="s">
        <v>11038</v>
      </c>
      <c r="Q3771" s="2">
        <f>AVERAGE(PerfRate[[#This Row],[EnvironmentSatisfaction]],PerfRate[[#This Row],[JobSatisfaction]],PerfRate[[#This Row],[RelationshipSatisfaction]])</f>
        <v>4.333333333333333</v>
      </c>
      <c r="R3771" s="2">
        <f>PerfRate[[#This Row],[ManagerRating]] - PerfRate[[#This Row],[SelfRating]]</f>
        <v>-1</v>
      </c>
    </row>
    <row r="3772" spans="1:18">
      <c r="A3772" s="2" t="s">
        <v>8079</v>
      </c>
      <c r="B3772" s="2" t="s">
        <v>3552</v>
      </c>
      <c r="C3772" s="1">
        <v>43872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  <c r="L3772" s="2" t="s">
        <v>11029</v>
      </c>
      <c r="M3772" s="2" t="s">
        <v>11028</v>
      </c>
      <c r="N3772" s="2" t="s">
        <v>11038</v>
      </c>
      <c r="O3772" s="2" t="s">
        <v>11038</v>
      </c>
      <c r="P3772" s="2" t="s">
        <v>11036</v>
      </c>
      <c r="Q3772" s="2">
        <f>AVERAGE(PerfRate[[#This Row],[EnvironmentSatisfaction]],PerfRate[[#This Row],[JobSatisfaction]],PerfRate[[#This Row],[RelationshipSatisfaction]])</f>
        <v>4.333333333333333</v>
      </c>
      <c r="R3772" s="2">
        <f>PerfRate[[#This Row],[ManagerRating]] - PerfRate[[#This Row],[SelfRating]]</f>
        <v>-1</v>
      </c>
    </row>
    <row r="3773" spans="1:18">
      <c r="A3773" s="2" t="s">
        <v>8080</v>
      </c>
      <c r="B3773" s="2" t="s">
        <v>1426</v>
      </c>
      <c r="C3773" s="1">
        <v>43872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  <c r="L3773" s="2" t="s">
        <v>11030</v>
      </c>
      <c r="M3773" s="2" t="s">
        <v>11029</v>
      </c>
      <c r="N3773" s="2" t="s">
        <v>11036</v>
      </c>
      <c r="O3773" s="2" t="s">
        <v>11035</v>
      </c>
      <c r="P3773" s="2" t="s">
        <v>11035</v>
      </c>
      <c r="Q3773" s="2">
        <f>AVERAGE(PerfRate[[#This Row],[EnvironmentSatisfaction]],PerfRate[[#This Row],[JobSatisfaction]],PerfRate[[#This Row],[RelationshipSatisfaction]])</f>
        <v>2.3333333333333335</v>
      </c>
      <c r="R3773" s="2">
        <f>PerfRate[[#This Row],[ManagerRating]] - PerfRate[[#This Row],[SelfRating]]</f>
        <v>-1</v>
      </c>
    </row>
    <row r="3774" spans="1:18">
      <c r="A3774" s="2" t="s">
        <v>8081</v>
      </c>
      <c r="B3774" s="2" t="s">
        <v>904</v>
      </c>
      <c r="C3774" s="1">
        <v>42036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  <c r="L3774" s="2" t="s">
        <v>11030</v>
      </c>
      <c r="M3774" s="2" t="s">
        <v>11029</v>
      </c>
      <c r="N3774" s="2" t="s">
        <v>11037</v>
      </c>
      <c r="O3774" s="2" t="s">
        <v>11036</v>
      </c>
      <c r="P3774" s="2" t="s">
        <v>11037</v>
      </c>
      <c r="Q3774" s="2">
        <f>AVERAGE(PerfRate[[#This Row],[EnvironmentSatisfaction]],PerfRate[[#This Row],[JobSatisfaction]],PerfRate[[#This Row],[RelationshipSatisfaction]])</f>
        <v>3.6666666666666665</v>
      </c>
      <c r="R3774" s="2">
        <f>PerfRate[[#This Row],[ManagerRating]] - PerfRate[[#This Row],[SelfRating]]</f>
        <v>-1</v>
      </c>
    </row>
    <row r="3775" spans="1:18">
      <c r="A3775" s="2" t="s">
        <v>8082</v>
      </c>
      <c r="B3775" s="2" t="s">
        <v>681</v>
      </c>
      <c r="C3775" s="1">
        <v>43901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  <c r="L3775" s="2" t="s">
        <v>11030</v>
      </c>
      <c r="M3775" s="2" t="s">
        <v>11030</v>
      </c>
      <c r="N3775" s="2" t="s">
        <v>11038</v>
      </c>
      <c r="O3775" s="2" t="s">
        <v>11038</v>
      </c>
      <c r="P3775" s="2" t="s">
        <v>11036</v>
      </c>
      <c r="Q3775" s="2">
        <f>AVERAGE(PerfRate[[#This Row],[EnvironmentSatisfaction]],PerfRate[[#This Row],[JobSatisfaction]],PerfRate[[#This Row],[RelationshipSatisfaction]])</f>
        <v>4.333333333333333</v>
      </c>
      <c r="R3775" s="2">
        <f>PerfRate[[#This Row],[ManagerRating]] - PerfRate[[#This Row],[SelfRating]]</f>
        <v>0</v>
      </c>
    </row>
    <row r="3776" spans="1:18">
      <c r="A3776" s="2" t="s">
        <v>8083</v>
      </c>
      <c r="B3776" s="2" t="s">
        <v>3305</v>
      </c>
      <c r="C3776" s="1">
        <v>43932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  <c r="L3776" s="2" t="s">
        <v>11030</v>
      </c>
      <c r="M3776" s="2" t="s">
        <v>11030</v>
      </c>
      <c r="N3776" s="2" t="s">
        <v>11037</v>
      </c>
      <c r="O3776" s="2" t="s">
        <v>11036</v>
      </c>
      <c r="P3776" s="2" t="s">
        <v>11035</v>
      </c>
      <c r="Q3776" s="2">
        <f>AVERAGE(PerfRate[[#This Row],[EnvironmentSatisfaction]],PerfRate[[#This Row],[JobSatisfaction]],PerfRate[[#This Row],[RelationshipSatisfaction]])</f>
        <v>3</v>
      </c>
      <c r="R3776" s="2">
        <f>PerfRate[[#This Row],[ManagerRating]] - PerfRate[[#This Row],[SelfRating]]</f>
        <v>0</v>
      </c>
    </row>
    <row r="3777" spans="1:18">
      <c r="A3777" s="2" t="s">
        <v>8084</v>
      </c>
      <c r="B3777" s="2" t="s">
        <v>1087</v>
      </c>
      <c r="C3777" s="1">
        <v>43932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  <c r="L3777" s="2" t="s">
        <v>11029</v>
      </c>
      <c r="M3777" s="2" t="s">
        <v>11029</v>
      </c>
      <c r="N3777" s="2" t="s">
        <v>11037</v>
      </c>
      <c r="O3777" s="2" t="s">
        <v>11036</v>
      </c>
      <c r="P3777" s="2" t="s">
        <v>11035</v>
      </c>
      <c r="Q3777" s="2">
        <f>AVERAGE(PerfRate[[#This Row],[EnvironmentSatisfaction]],PerfRate[[#This Row],[JobSatisfaction]],PerfRate[[#This Row],[RelationshipSatisfaction]])</f>
        <v>3</v>
      </c>
      <c r="R3777" s="2">
        <f>PerfRate[[#This Row],[ManagerRating]] - PerfRate[[#This Row],[SelfRating]]</f>
        <v>0</v>
      </c>
    </row>
    <row r="3778" spans="1:18">
      <c r="A3778" s="2" t="s">
        <v>8085</v>
      </c>
      <c r="B3778" s="2" t="s">
        <v>661</v>
      </c>
      <c r="C3778" s="1">
        <v>43962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  <c r="L3778" s="2" t="s">
        <v>11030</v>
      </c>
      <c r="M3778" s="2" t="s">
        <v>11030</v>
      </c>
      <c r="N3778" s="2" t="s">
        <v>11037</v>
      </c>
      <c r="O3778" s="2" t="s">
        <v>11035</v>
      </c>
      <c r="P3778" s="2" t="s">
        <v>11035</v>
      </c>
      <c r="Q3778" s="2">
        <f>AVERAGE(PerfRate[[#This Row],[EnvironmentSatisfaction]],PerfRate[[#This Row],[JobSatisfaction]],PerfRate[[#This Row],[RelationshipSatisfaction]])</f>
        <v>2.6666666666666665</v>
      </c>
      <c r="R3778" s="2">
        <f>PerfRate[[#This Row],[ManagerRating]] - PerfRate[[#This Row],[SelfRating]]</f>
        <v>0</v>
      </c>
    </row>
    <row r="3779" spans="1:18">
      <c r="A3779" s="2" t="s">
        <v>8086</v>
      </c>
      <c r="B3779" s="2" t="s">
        <v>895</v>
      </c>
      <c r="C3779" s="1">
        <v>43962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  <c r="L3779" s="2" t="s">
        <v>11030</v>
      </c>
      <c r="M3779" s="2" t="s">
        <v>11029</v>
      </c>
      <c r="N3779" s="2" t="s">
        <v>11038</v>
      </c>
      <c r="O3779" s="2" t="s">
        <v>11038</v>
      </c>
      <c r="P3779" s="2" t="s">
        <v>11036</v>
      </c>
      <c r="Q3779" s="2">
        <f>AVERAGE(PerfRate[[#This Row],[EnvironmentSatisfaction]],PerfRate[[#This Row],[JobSatisfaction]],PerfRate[[#This Row],[RelationshipSatisfaction]])</f>
        <v>4.333333333333333</v>
      </c>
      <c r="R3779" s="2">
        <f>PerfRate[[#This Row],[ManagerRating]] - PerfRate[[#This Row],[SelfRating]]</f>
        <v>-1</v>
      </c>
    </row>
    <row r="3780" spans="1:18">
      <c r="A3780" s="2" t="s">
        <v>8087</v>
      </c>
      <c r="B3780" s="2" t="s">
        <v>526</v>
      </c>
      <c r="C3780" s="1">
        <v>43962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  <c r="L3780" s="2" t="s">
        <v>11031</v>
      </c>
      <c r="M3780" s="2" t="s">
        <v>11030</v>
      </c>
      <c r="N3780" s="2" t="s">
        <v>11037</v>
      </c>
      <c r="O3780" s="2" t="s">
        <v>11037</v>
      </c>
      <c r="P3780" s="2" t="s">
        <v>11038</v>
      </c>
      <c r="Q3780" s="2">
        <f>AVERAGE(PerfRate[[#This Row],[EnvironmentSatisfaction]],PerfRate[[#This Row],[JobSatisfaction]],PerfRate[[#This Row],[RelationshipSatisfaction]])</f>
        <v>4.333333333333333</v>
      </c>
      <c r="R3780" s="2">
        <f>PerfRate[[#This Row],[ManagerRating]] - PerfRate[[#This Row],[SelfRating]]</f>
        <v>-1</v>
      </c>
    </row>
    <row r="3781" spans="1:18">
      <c r="A3781" s="2" t="s">
        <v>8088</v>
      </c>
      <c r="B3781" s="2" t="s">
        <v>1121</v>
      </c>
      <c r="C3781" s="1">
        <v>43962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  <c r="L3781" s="2" t="s">
        <v>11031</v>
      </c>
      <c r="M3781" s="2" t="s">
        <v>11030</v>
      </c>
      <c r="N3781" s="2" t="s">
        <v>11036</v>
      </c>
      <c r="O3781" s="2" t="s">
        <v>11036</v>
      </c>
      <c r="P3781" s="2" t="s">
        <v>11037</v>
      </c>
      <c r="Q3781" s="2">
        <f>AVERAGE(PerfRate[[#This Row],[EnvironmentSatisfaction]],PerfRate[[#This Row],[JobSatisfaction]],PerfRate[[#This Row],[RelationshipSatisfaction]])</f>
        <v>3.3333333333333335</v>
      </c>
      <c r="R3781" s="2">
        <f>PerfRate[[#This Row],[ManagerRating]] - PerfRate[[#This Row],[SelfRating]]</f>
        <v>-1</v>
      </c>
    </row>
    <row r="3782" spans="1:18">
      <c r="A3782" s="2" t="s">
        <v>8089</v>
      </c>
      <c r="B3782" s="2" t="s">
        <v>2409</v>
      </c>
      <c r="C3782" s="1">
        <v>43962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  <c r="L3782" s="2" t="s">
        <v>11029</v>
      </c>
      <c r="M3782" s="2" t="s">
        <v>11028</v>
      </c>
      <c r="N3782" s="2" t="s">
        <v>11038</v>
      </c>
      <c r="O3782" s="2" t="s">
        <v>11035</v>
      </c>
      <c r="P3782" s="2" t="s">
        <v>11035</v>
      </c>
      <c r="Q3782" s="2">
        <f>AVERAGE(PerfRate[[#This Row],[EnvironmentSatisfaction]],PerfRate[[#This Row],[JobSatisfaction]],PerfRate[[#This Row],[RelationshipSatisfaction]])</f>
        <v>3</v>
      </c>
      <c r="R3782" s="2">
        <f>PerfRate[[#This Row],[ManagerRating]] - PerfRate[[#This Row],[SelfRating]]</f>
        <v>-1</v>
      </c>
    </row>
    <row r="3783" spans="1:18">
      <c r="A3783" s="2" t="s">
        <v>8090</v>
      </c>
      <c r="B3783" s="2" t="s">
        <v>3442</v>
      </c>
      <c r="C3783" s="1">
        <v>43993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  <c r="L3783" s="2" t="s">
        <v>11029</v>
      </c>
      <c r="M3783" s="2" t="s">
        <v>11029</v>
      </c>
      <c r="N3783" s="2" t="s">
        <v>11037</v>
      </c>
      <c r="O3783" s="2" t="s">
        <v>11035</v>
      </c>
      <c r="P3783" s="2" t="s">
        <v>11037</v>
      </c>
      <c r="Q3783" s="2">
        <f>AVERAGE(PerfRate[[#This Row],[EnvironmentSatisfaction]],PerfRate[[#This Row],[JobSatisfaction]],PerfRate[[#This Row],[RelationshipSatisfaction]])</f>
        <v>3.3333333333333335</v>
      </c>
      <c r="R3783" s="2">
        <f>PerfRate[[#This Row],[ManagerRating]] - PerfRate[[#This Row],[SelfRating]]</f>
        <v>0</v>
      </c>
    </row>
    <row r="3784" spans="1:18">
      <c r="A3784" s="2" t="s">
        <v>8091</v>
      </c>
      <c r="B3784" s="2" t="s">
        <v>667</v>
      </c>
      <c r="C3784" s="1">
        <v>43993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  <c r="L3784" s="2" t="s">
        <v>11031</v>
      </c>
      <c r="M3784" s="2" t="s">
        <v>11031</v>
      </c>
      <c r="N3784" s="2" t="s">
        <v>11037</v>
      </c>
      <c r="O3784" s="2" t="s">
        <v>11037</v>
      </c>
      <c r="P3784" s="2" t="s">
        <v>11035</v>
      </c>
      <c r="Q3784" s="2">
        <f>AVERAGE(PerfRate[[#This Row],[EnvironmentSatisfaction]],PerfRate[[#This Row],[JobSatisfaction]],PerfRate[[#This Row],[RelationshipSatisfaction]])</f>
        <v>3.3333333333333335</v>
      </c>
      <c r="R3784" s="2">
        <f>PerfRate[[#This Row],[ManagerRating]] - PerfRate[[#This Row],[SelfRating]]</f>
        <v>0</v>
      </c>
    </row>
    <row r="3785" spans="1:18">
      <c r="A3785" s="2" t="s">
        <v>8092</v>
      </c>
      <c r="B3785" s="2" t="s">
        <v>81</v>
      </c>
      <c r="C3785" s="1">
        <v>41427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  <c r="L3785" s="2" t="s">
        <v>11031</v>
      </c>
      <c r="M3785" s="2" t="s">
        <v>11031</v>
      </c>
      <c r="N3785" s="2" t="s">
        <v>11038</v>
      </c>
      <c r="O3785" s="2" t="s">
        <v>11036</v>
      </c>
      <c r="P3785" s="2" t="s">
        <v>11038</v>
      </c>
      <c r="Q3785" s="2">
        <f>AVERAGE(PerfRate[[#This Row],[EnvironmentSatisfaction]],PerfRate[[#This Row],[JobSatisfaction]],PerfRate[[#This Row],[RelationshipSatisfaction]])</f>
        <v>4.333333333333333</v>
      </c>
      <c r="R3785" s="2">
        <f>PerfRate[[#This Row],[ManagerRating]] - PerfRate[[#This Row],[SelfRating]]</f>
        <v>0</v>
      </c>
    </row>
    <row r="3786" spans="1:18">
      <c r="A3786" s="2" t="s">
        <v>8093</v>
      </c>
      <c r="B3786" s="2" t="s">
        <v>1235</v>
      </c>
      <c r="C3786" s="1">
        <v>42064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  <c r="L3786" s="2" t="s">
        <v>11031</v>
      </c>
      <c r="M3786" s="2" t="s">
        <v>11030</v>
      </c>
      <c r="N3786" s="2" t="s">
        <v>11038</v>
      </c>
      <c r="O3786" s="2" t="s">
        <v>11036</v>
      </c>
      <c r="P3786" s="2" t="s">
        <v>11036</v>
      </c>
      <c r="Q3786" s="2">
        <f>AVERAGE(PerfRate[[#This Row],[EnvironmentSatisfaction]],PerfRate[[#This Row],[JobSatisfaction]],PerfRate[[#This Row],[RelationshipSatisfaction]])</f>
        <v>3.6666666666666665</v>
      </c>
      <c r="R3786" s="2">
        <f>PerfRate[[#This Row],[ManagerRating]] - PerfRate[[#This Row],[SelfRating]]</f>
        <v>-1</v>
      </c>
    </row>
    <row r="3787" spans="1:18">
      <c r="A3787" s="2" t="s">
        <v>8094</v>
      </c>
      <c r="B3787" s="2" t="s">
        <v>1689</v>
      </c>
      <c r="C3787" s="1">
        <v>43993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  <c r="L3787" s="2" t="s">
        <v>11030</v>
      </c>
      <c r="M3787" s="2" t="s">
        <v>11030</v>
      </c>
      <c r="N3787" s="2" t="s">
        <v>11038</v>
      </c>
      <c r="O3787" s="2" t="s">
        <v>11037</v>
      </c>
      <c r="P3787" s="2" t="s">
        <v>11037</v>
      </c>
      <c r="Q3787" s="2">
        <f>AVERAGE(PerfRate[[#This Row],[EnvironmentSatisfaction]],PerfRate[[#This Row],[JobSatisfaction]],PerfRate[[#This Row],[RelationshipSatisfaction]])</f>
        <v>4.333333333333333</v>
      </c>
      <c r="R3787" s="2">
        <f>PerfRate[[#This Row],[ManagerRating]] - PerfRate[[#This Row],[SelfRating]]</f>
        <v>0</v>
      </c>
    </row>
    <row r="3788" spans="1:18">
      <c r="A3788" s="2" t="s">
        <v>8095</v>
      </c>
      <c r="B3788" s="2" t="s">
        <v>3631</v>
      </c>
      <c r="C3788" s="1">
        <v>44023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  <c r="L3788" s="2" t="s">
        <v>11030</v>
      </c>
      <c r="M3788" s="2" t="s">
        <v>11029</v>
      </c>
      <c r="N3788" s="2" t="s">
        <v>11036</v>
      </c>
      <c r="O3788" s="2" t="s">
        <v>11035</v>
      </c>
      <c r="P3788" s="2" t="s">
        <v>11038</v>
      </c>
      <c r="Q3788" s="2">
        <f>AVERAGE(PerfRate[[#This Row],[EnvironmentSatisfaction]],PerfRate[[#This Row],[JobSatisfaction]],PerfRate[[#This Row],[RelationshipSatisfaction]])</f>
        <v>3.3333333333333335</v>
      </c>
      <c r="R3788" s="2">
        <f>PerfRate[[#This Row],[ManagerRating]] - PerfRate[[#This Row],[SelfRating]]</f>
        <v>-1</v>
      </c>
    </row>
    <row r="3789" spans="1:18">
      <c r="A3789" s="2" t="s">
        <v>8096</v>
      </c>
      <c r="B3789" s="2" t="s">
        <v>1133</v>
      </c>
      <c r="C3789" s="1">
        <v>44023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  <c r="L3789" s="2" t="s">
        <v>11031</v>
      </c>
      <c r="M3789" s="2" t="s">
        <v>11030</v>
      </c>
      <c r="N3789" s="2" t="s">
        <v>11038</v>
      </c>
      <c r="O3789" s="2" t="s">
        <v>11036</v>
      </c>
      <c r="P3789" s="2" t="s">
        <v>11038</v>
      </c>
      <c r="Q3789" s="2">
        <f>AVERAGE(PerfRate[[#This Row],[EnvironmentSatisfaction]],PerfRate[[#This Row],[JobSatisfaction]],PerfRate[[#This Row],[RelationshipSatisfaction]])</f>
        <v>4.333333333333333</v>
      </c>
      <c r="R3789" s="2">
        <f>PerfRate[[#This Row],[ManagerRating]] - PerfRate[[#This Row],[SelfRating]]</f>
        <v>-1</v>
      </c>
    </row>
    <row r="3790" spans="1:18">
      <c r="A3790" s="2" t="s">
        <v>8097</v>
      </c>
      <c r="B3790" s="2" t="s">
        <v>1695</v>
      </c>
      <c r="C3790" s="1">
        <v>44023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  <c r="L3790" s="2" t="s">
        <v>11030</v>
      </c>
      <c r="M3790" s="2" t="s">
        <v>11029</v>
      </c>
      <c r="N3790" s="2" t="s">
        <v>11036</v>
      </c>
      <c r="O3790" s="2" t="s">
        <v>11037</v>
      </c>
      <c r="P3790" s="2" t="s">
        <v>11037</v>
      </c>
      <c r="Q3790" s="2">
        <f>AVERAGE(PerfRate[[#This Row],[EnvironmentSatisfaction]],PerfRate[[#This Row],[JobSatisfaction]],PerfRate[[#This Row],[RelationshipSatisfaction]])</f>
        <v>3.6666666666666665</v>
      </c>
      <c r="R3790" s="2">
        <f>PerfRate[[#This Row],[ManagerRating]] - PerfRate[[#This Row],[SelfRating]]</f>
        <v>-1</v>
      </c>
    </row>
    <row r="3791" spans="1:18">
      <c r="A3791" s="2" t="s">
        <v>8098</v>
      </c>
      <c r="B3791" s="2" t="s">
        <v>2602</v>
      </c>
      <c r="C3791" s="1">
        <v>44023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  <c r="L3791" s="2" t="s">
        <v>11030</v>
      </c>
      <c r="M3791" s="2" t="s">
        <v>11030</v>
      </c>
      <c r="N3791" s="2" t="s">
        <v>11038</v>
      </c>
      <c r="O3791" s="2" t="s">
        <v>11036</v>
      </c>
      <c r="P3791" s="2" t="s">
        <v>11038</v>
      </c>
      <c r="Q3791" s="2">
        <f>AVERAGE(PerfRate[[#This Row],[EnvironmentSatisfaction]],PerfRate[[#This Row],[JobSatisfaction]],PerfRate[[#This Row],[RelationshipSatisfaction]])</f>
        <v>4.333333333333333</v>
      </c>
      <c r="R3791" s="2">
        <f>PerfRate[[#This Row],[ManagerRating]] - PerfRate[[#This Row],[SelfRating]]</f>
        <v>0</v>
      </c>
    </row>
    <row r="3792" spans="1:18">
      <c r="A3792" s="2" t="s">
        <v>8099</v>
      </c>
      <c r="B3792" s="2" t="s">
        <v>144</v>
      </c>
      <c r="C3792" s="1">
        <v>44054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  <c r="L3792" s="2" t="s">
        <v>11031</v>
      </c>
      <c r="M3792" s="2" t="s">
        <v>11031</v>
      </c>
      <c r="N3792" s="2" t="s">
        <v>11036</v>
      </c>
      <c r="O3792" s="2" t="s">
        <v>11035</v>
      </c>
      <c r="P3792" s="2" t="s">
        <v>11038</v>
      </c>
      <c r="Q3792" s="2">
        <f>AVERAGE(PerfRate[[#This Row],[EnvironmentSatisfaction]],PerfRate[[#This Row],[JobSatisfaction]],PerfRate[[#This Row],[RelationshipSatisfaction]])</f>
        <v>3.3333333333333335</v>
      </c>
      <c r="R3792" s="2">
        <f>PerfRate[[#This Row],[ManagerRating]] - PerfRate[[#This Row],[SelfRating]]</f>
        <v>0</v>
      </c>
    </row>
    <row r="3793" spans="1:18">
      <c r="A3793" s="2" t="s">
        <v>8100</v>
      </c>
      <c r="B3793" s="2" t="s">
        <v>785</v>
      </c>
      <c r="C3793" s="1">
        <v>44054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  <c r="L3793" s="2" t="s">
        <v>11029</v>
      </c>
      <c r="M3793" s="2" t="s">
        <v>11028</v>
      </c>
      <c r="N3793" s="2" t="s">
        <v>11037</v>
      </c>
      <c r="O3793" s="2" t="s">
        <v>11034</v>
      </c>
      <c r="P3793" s="2" t="s">
        <v>11034</v>
      </c>
      <c r="Q3793" s="2">
        <f>AVERAGE(PerfRate[[#This Row],[EnvironmentSatisfaction]],PerfRate[[#This Row],[JobSatisfaction]],PerfRate[[#This Row],[RelationshipSatisfaction]])</f>
        <v>2</v>
      </c>
      <c r="R3793" s="2">
        <f>PerfRate[[#This Row],[ManagerRating]] - PerfRate[[#This Row],[SelfRating]]</f>
        <v>-1</v>
      </c>
    </row>
    <row r="3794" spans="1:18">
      <c r="A3794" s="2" t="s">
        <v>8101</v>
      </c>
      <c r="B3794" s="2" t="s">
        <v>1114</v>
      </c>
      <c r="C3794" s="1">
        <v>44054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  <c r="L3794" s="2" t="s">
        <v>11029</v>
      </c>
      <c r="M3794" s="2" t="s">
        <v>11029</v>
      </c>
      <c r="N3794" s="2" t="s">
        <v>11036</v>
      </c>
      <c r="O3794" s="2" t="s">
        <v>11037</v>
      </c>
      <c r="P3794" s="2" t="s">
        <v>11035</v>
      </c>
      <c r="Q3794" s="2">
        <f>AVERAGE(PerfRate[[#This Row],[EnvironmentSatisfaction]],PerfRate[[#This Row],[JobSatisfaction]],PerfRate[[#This Row],[RelationshipSatisfaction]])</f>
        <v>3</v>
      </c>
      <c r="R3794" s="2">
        <f>PerfRate[[#This Row],[ManagerRating]] - PerfRate[[#This Row],[SelfRating]]</f>
        <v>0</v>
      </c>
    </row>
    <row r="3795" spans="1:18">
      <c r="A3795" s="2" t="s">
        <v>8102</v>
      </c>
      <c r="B3795" s="2" t="s">
        <v>2998</v>
      </c>
      <c r="C3795" s="1">
        <v>44054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  <c r="L3795" s="2" t="s">
        <v>11031</v>
      </c>
      <c r="M3795" s="2" t="s">
        <v>11030</v>
      </c>
      <c r="N3795" s="2" t="s">
        <v>11037</v>
      </c>
      <c r="O3795" s="2" t="s">
        <v>11037</v>
      </c>
      <c r="P3795" s="2" t="s">
        <v>11037</v>
      </c>
      <c r="Q3795" s="2">
        <f>AVERAGE(PerfRate[[#This Row],[EnvironmentSatisfaction]],PerfRate[[#This Row],[JobSatisfaction]],PerfRate[[#This Row],[RelationshipSatisfaction]])</f>
        <v>4</v>
      </c>
      <c r="R3795" s="2">
        <f>PerfRate[[#This Row],[ManagerRating]] - PerfRate[[#This Row],[SelfRating]]</f>
        <v>-1</v>
      </c>
    </row>
    <row r="3796" spans="1:18">
      <c r="A3796" s="2" t="s">
        <v>8103</v>
      </c>
      <c r="B3796" s="2" t="s">
        <v>172</v>
      </c>
      <c r="C3796" s="1">
        <v>44085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  <c r="L3796" s="2" t="s">
        <v>11031</v>
      </c>
      <c r="M3796" s="2" t="s">
        <v>11031</v>
      </c>
      <c r="N3796" s="2" t="s">
        <v>11035</v>
      </c>
      <c r="O3796" s="2" t="s">
        <v>11037</v>
      </c>
      <c r="P3796" s="2" t="s">
        <v>11037</v>
      </c>
      <c r="Q3796" s="2">
        <f>AVERAGE(PerfRate[[#This Row],[EnvironmentSatisfaction]],PerfRate[[#This Row],[JobSatisfaction]],PerfRate[[#This Row],[RelationshipSatisfaction]])</f>
        <v>3.3333333333333335</v>
      </c>
      <c r="R3796" s="2">
        <f>PerfRate[[#This Row],[ManagerRating]] - PerfRate[[#This Row],[SelfRating]]</f>
        <v>0</v>
      </c>
    </row>
    <row r="3797" spans="1:18">
      <c r="A3797" s="2" t="s">
        <v>8104</v>
      </c>
      <c r="B3797" s="2" t="s">
        <v>1326</v>
      </c>
      <c r="C3797" s="1">
        <v>42064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  <c r="L3797" s="2" t="s">
        <v>11030</v>
      </c>
      <c r="M3797" s="2" t="s">
        <v>11029</v>
      </c>
      <c r="N3797" s="2" t="s">
        <v>11038</v>
      </c>
      <c r="O3797" s="2" t="s">
        <v>11036</v>
      </c>
      <c r="P3797" s="2" t="s">
        <v>11037</v>
      </c>
      <c r="Q3797" s="2">
        <f>AVERAGE(PerfRate[[#This Row],[EnvironmentSatisfaction]],PerfRate[[#This Row],[JobSatisfaction]],PerfRate[[#This Row],[RelationshipSatisfaction]])</f>
        <v>4</v>
      </c>
      <c r="R3797" s="2">
        <f>PerfRate[[#This Row],[ManagerRating]] - PerfRate[[#This Row],[SelfRating]]</f>
        <v>-1</v>
      </c>
    </row>
    <row r="3798" spans="1:18">
      <c r="A3798" s="2" t="s">
        <v>8105</v>
      </c>
      <c r="B3798" s="2" t="s">
        <v>4227</v>
      </c>
      <c r="C3798" s="1">
        <v>44115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  <c r="L3798" s="2" t="s">
        <v>11030</v>
      </c>
      <c r="M3798" s="2" t="s">
        <v>11030</v>
      </c>
      <c r="N3798" s="2" t="s">
        <v>11037</v>
      </c>
      <c r="O3798" s="2" t="s">
        <v>11037</v>
      </c>
      <c r="P3798" s="2" t="s">
        <v>11037</v>
      </c>
      <c r="Q3798" s="2">
        <f>AVERAGE(PerfRate[[#This Row],[EnvironmentSatisfaction]],PerfRate[[#This Row],[JobSatisfaction]],PerfRate[[#This Row],[RelationshipSatisfaction]])</f>
        <v>4</v>
      </c>
      <c r="R3798" s="2">
        <f>PerfRate[[#This Row],[ManagerRating]] - PerfRate[[#This Row],[SelfRating]]</f>
        <v>0</v>
      </c>
    </row>
    <row r="3799" spans="1:18">
      <c r="A3799" s="2" t="s">
        <v>8106</v>
      </c>
      <c r="B3799" s="2" t="s">
        <v>3411</v>
      </c>
      <c r="C3799" s="1">
        <v>44115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  <c r="L3799" s="2" t="s">
        <v>11030</v>
      </c>
      <c r="M3799" s="2" t="s">
        <v>11029</v>
      </c>
      <c r="N3799" s="2" t="s">
        <v>11037</v>
      </c>
      <c r="O3799" s="2" t="s">
        <v>11037</v>
      </c>
      <c r="P3799" s="2" t="s">
        <v>11035</v>
      </c>
      <c r="Q3799" s="2">
        <f>AVERAGE(PerfRate[[#This Row],[EnvironmentSatisfaction]],PerfRate[[#This Row],[JobSatisfaction]],PerfRate[[#This Row],[RelationshipSatisfaction]])</f>
        <v>3.3333333333333335</v>
      </c>
      <c r="R3799" s="2">
        <f>PerfRate[[#This Row],[ManagerRating]] - PerfRate[[#This Row],[SelfRating]]</f>
        <v>-1</v>
      </c>
    </row>
    <row r="3800" spans="1:18">
      <c r="A3800" s="2" t="s">
        <v>8107</v>
      </c>
      <c r="B3800" s="2" t="s">
        <v>768</v>
      </c>
      <c r="C3800" s="1">
        <v>44115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  <c r="L3800" s="2" t="s">
        <v>11030</v>
      </c>
      <c r="M3800" s="2" t="s">
        <v>11030</v>
      </c>
      <c r="N3800" s="2" t="s">
        <v>11037</v>
      </c>
      <c r="O3800" s="2" t="s">
        <v>11035</v>
      </c>
      <c r="P3800" s="2" t="s">
        <v>11038</v>
      </c>
      <c r="Q3800" s="2">
        <f>AVERAGE(PerfRate[[#This Row],[EnvironmentSatisfaction]],PerfRate[[#This Row],[JobSatisfaction]],PerfRate[[#This Row],[RelationshipSatisfaction]])</f>
        <v>3.6666666666666665</v>
      </c>
      <c r="R3800" s="2">
        <f>PerfRate[[#This Row],[ManagerRating]] - PerfRate[[#This Row],[SelfRating]]</f>
        <v>0</v>
      </c>
    </row>
    <row r="3801" spans="1:18">
      <c r="A3801" s="2" t="s">
        <v>8108</v>
      </c>
      <c r="B3801" s="2" t="s">
        <v>1051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  <c r="L3801" s="2" t="s">
        <v>11030</v>
      </c>
      <c r="M3801" s="2" t="s">
        <v>11030</v>
      </c>
      <c r="N3801" s="2" t="s">
        <v>11038</v>
      </c>
      <c r="O3801" s="2" t="s">
        <v>11038</v>
      </c>
      <c r="P3801" s="2" t="s">
        <v>11037</v>
      </c>
      <c r="Q3801" s="2">
        <f>AVERAGE(PerfRate[[#This Row],[EnvironmentSatisfaction]],PerfRate[[#This Row],[JobSatisfaction]],PerfRate[[#This Row],[RelationshipSatisfaction]])</f>
        <v>4.666666666666667</v>
      </c>
      <c r="R3801" s="2">
        <f>PerfRate[[#This Row],[ManagerRating]] - PerfRate[[#This Row],[SelfRating]]</f>
        <v>0</v>
      </c>
    </row>
    <row r="3802" spans="1:18">
      <c r="A3802" s="2" t="s">
        <v>8109</v>
      </c>
      <c r="B3802" s="2" t="s">
        <v>1872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  <c r="L3802" s="2" t="s">
        <v>11031</v>
      </c>
      <c r="M3802" s="2" t="s">
        <v>11030</v>
      </c>
      <c r="N3802" s="2" t="s">
        <v>11038</v>
      </c>
      <c r="O3802" s="2" t="s">
        <v>11035</v>
      </c>
      <c r="P3802" s="2" t="s">
        <v>11038</v>
      </c>
      <c r="Q3802" s="2">
        <f>AVERAGE(PerfRate[[#This Row],[EnvironmentSatisfaction]],PerfRate[[#This Row],[JobSatisfaction]],PerfRate[[#This Row],[RelationshipSatisfaction]])</f>
        <v>4</v>
      </c>
      <c r="R3802" s="2">
        <f>PerfRate[[#This Row],[ManagerRating]] - PerfRate[[#This Row],[SelfRating]]</f>
        <v>-1</v>
      </c>
    </row>
    <row r="3803" spans="1:18">
      <c r="A3803" s="2" t="s">
        <v>8110</v>
      </c>
      <c r="B3803" s="2" t="s">
        <v>1168</v>
      </c>
      <c r="C3803" s="1">
        <v>44176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  <c r="L3803" s="2" t="s">
        <v>11030</v>
      </c>
      <c r="M3803" s="2" t="s">
        <v>11030</v>
      </c>
      <c r="N3803" s="2" t="s">
        <v>11036</v>
      </c>
      <c r="O3803" s="2" t="s">
        <v>11038</v>
      </c>
      <c r="P3803" s="2" t="s">
        <v>11035</v>
      </c>
      <c r="Q3803" s="2">
        <f>AVERAGE(PerfRate[[#This Row],[EnvironmentSatisfaction]],PerfRate[[#This Row],[JobSatisfaction]],PerfRate[[#This Row],[RelationshipSatisfaction]])</f>
        <v>3.3333333333333335</v>
      </c>
      <c r="R3803" s="2">
        <f>PerfRate[[#This Row],[ManagerRating]] - PerfRate[[#This Row],[SelfRating]]</f>
        <v>0</v>
      </c>
    </row>
    <row r="3804" spans="1:18">
      <c r="A3804" s="2" t="s">
        <v>8111</v>
      </c>
      <c r="B3804" s="2" t="s">
        <v>485</v>
      </c>
      <c r="C3804" s="1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  <c r="L3804" s="2" t="s">
        <v>11031</v>
      </c>
      <c r="M3804" s="2" t="s">
        <v>11030</v>
      </c>
      <c r="N3804" s="2" t="s">
        <v>11036</v>
      </c>
      <c r="O3804" s="2" t="s">
        <v>11035</v>
      </c>
      <c r="P3804" s="2" t="s">
        <v>11035</v>
      </c>
      <c r="Q3804" s="2">
        <f>AVERAGE(PerfRate[[#This Row],[EnvironmentSatisfaction]],PerfRate[[#This Row],[JobSatisfaction]],PerfRate[[#This Row],[RelationshipSatisfaction]])</f>
        <v>2.3333333333333335</v>
      </c>
      <c r="R3804" s="2">
        <f>PerfRate[[#This Row],[ManagerRating]] - PerfRate[[#This Row],[SelfRating]]</f>
        <v>-1</v>
      </c>
    </row>
    <row r="3805" spans="1:18">
      <c r="A3805" s="2" t="s">
        <v>8112</v>
      </c>
      <c r="B3805" s="2" t="s">
        <v>1015</v>
      </c>
      <c r="C3805" s="1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  <c r="L3805" s="2" t="s">
        <v>11030</v>
      </c>
      <c r="M3805" s="2" t="s">
        <v>11030</v>
      </c>
      <c r="N3805" s="2" t="s">
        <v>11036</v>
      </c>
      <c r="O3805" s="2" t="s">
        <v>11036</v>
      </c>
      <c r="P3805" s="2" t="s">
        <v>11037</v>
      </c>
      <c r="Q3805" s="2">
        <f>AVERAGE(PerfRate[[#This Row],[EnvironmentSatisfaction]],PerfRate[[#This Row],[JobSatisfaction]],PerfRate[[#This Row],[RelationshipSatisfaction]])</f>
        <v>3.3333333333333335</v>
      </c>
      <c r="R3805" s="2">
        <f>PerfRate[[#This Row],[ManagerRating]] - PerfRate[[#This Row],[SelfRating]]</f>
        <v>0</v>
      </c>
    </row>
    <row r="3806" spans="1:18">
      <c r="A3806" s="2" t="s">
        <v>8113</v>
      </c>
      <c r="B3806" s="2" t="s">
        <v>2275</v>
      </c>
      <c r="C3806" s="1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  <c r="L3806" s="2" t="s">
        <v>11029</v>
      </c>
      <c r="M3806" s="2" t="s">
        <v>11028</v>
      </c>
      <c r="N3806" s="2" t="s">
        <v>11036</v>
      </c>
      <c r="O3806" s="2" t="s">
        <v>11036</v>
      </c>
      <c r="P3806" s="2" t="s">
        <v>11037</v>
      </c>
      <c r="Q3806" s="2">
        <f>AVERAGE(PerfRate[[#This Row],[EnvironmentSatisfaction]],PerfRate[[#This Row],[JobSatisfaction]],PerfRate[[#This Row],[RelationshipSatisfaction]])</f>
        <v>3.3333333333333335</v>
      </c>
      <c r="R3806" s="2">
        <f>PerfRate[[#This Row],[ManagerRating]] - PerfRate[[#This Row],[SelfRating]]</f>
        <v>-1</v>
      </c>
    </row>
    <row r="3807" spans="1:18">
      <c r="A3807" s="2" t="s">
        <v>8114</v>
      </c>
      <c r="B3807" s="2" t="s">
        <v>2435</v>
      </c>
      <c r="C3807" s="1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  <c r="L3807" s="2" t="s">
        <v>11029</v>
      </c>
      <c r="M3807" s="2" t="s">
        <v>11029</v>
      </c>
      <c r="N3807" s="2" t="s">
        <v>11038</v>
      </c>
      <c r="O3807" s="2" t="s">
        <v>11037</v>
      </c>
      <c r="P3807" s="2" t="s">
        <v>11036</v>
      </c>
      <c r="Q3807" s="2">
        <f>AVERAGE(PerfRate[[#This Row],[EnvironmentSatisfaction]],PerfRate[[#This Row],[JobSatisfaction]],PerfRate[[#This Row],[RelationshipSatisfaction]])</f>
        <v>4</v>
      </c>
      <c r="R3807" s="2">
        <f>PerfRate[[#This Row],[ManagerRating]] - PerfRate[[#This Row],[SelfRating]]</f>
        <v>0</v>
      </c>
    </row>
    <row r="3808" spans="1:18">
      <c r="A3808" s="2" t="s">
        <v>8115</v>
      </c>
      <c r="B3808" s="2" t="s">
        <v>320</v>
      </c>
      <c r="C3808" s="1">
        <v>42064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  <c r="L3808" s="2" t="s">
        <v>11030</v>
      </c>
      <c r="M3808" s="2" t="s">
        <v>11030</v>
      </c>
      <c r="N3808" s="2" t="s">
        <v>11037</v>
      </c>
      <c r="O3808" s="2" t="s">
        <v>11035</v>
      </c>
      <c r="P3808" s="2" t="s">
        <v>11036</v>
      </c>
      <c r="Q3808" s="2">
        <f>AVERAGE(PerfRate[[#This Row],[EnvironmentSatisfaction]],PerfRate[[#This Row],[JobSatisfaction]],PerfRate[[#This Row],[RelationshipSatisfaction]])</f>
        <v>3</v>
      </c>
      <c r="R3808" s="2">
        <f>PerfRate[[#This Row],[ManagerRating]] - PerfRate[[#This Row],[SelfRating]]</f>
        <v>0</v>
      </c>
    </row>
    <row r="3809" spans="1:18">
      <c r="A3809" s="2" t="s">
        <v>8116</v>
      </c>
      <c r="B3809" s="2" t="s">
        <v>125</v>
      </c>
      <c r="C3809" s="1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  <c r="L3809" s="2" t="s">
        <v>11031</v>
      </c>
      <c r="M3809" s="2" t="s">
        <v>11030</v>
      </c>
      <c r="N3809" s="2" t="s">
        <v>11037</v>
      </c>
      <c r="O3809" s="2" t="s">
        <v>11037</v>
      </c>
      <c r="P3809" s="2" t="s">
        <v>11037</v>
      </c>
      <c r="Q3809" s="2">
        <f>AVERAGE(PerfRate[[#This Row],[EnvironmentSatisfaction]],PerfRate[[#This Row],[JobSatisfaction]],PerfRate[[#This Row],[RelationshipSatisfaction]])</f>
        <v>4</v>
      </c>
      <c r="R3809" s="2">
        <f>PerfRate[[#This Row],[ManagerRating]] - PerfRate[[#This Row],[SelfRating]]</f>
        <v>-1</v>
      </c>
    </row>
    <row r="3810" spans="1:18">
      <c r="A3810" s="2" t="s">
        <v>8117</v>
      </c>
      <c r="B3810" s="2" t="s">
        <v>1266</v>
      </c>
      <c r="C3810" s="1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  <c r="L3810" s="2" t="s">
        <v>11030</v>
      </c>
      <c r="M3810" s="2" t="s">
        <v>11029</v>
      </c>
      <c r="N3810" s="2" t="s">
        <v>11036</v>
      </c>
      <c r="O3810" s="2" t="s">
        <v>11036</v>
      </c>
      <c r="P3810" s="2" t="s">
        <v>11037</v>
      </c>
      <c r="Q3810" s="2">
        <f>AVERAGE(PerfRate[[#This Row],[EnvironmentSatisfaction]],PerfRate[[#This Row],[JobSatisfaction]],PerfRate[[#This Row],[RelationshipSatisfaction]])</f>
        <v>3.3333333333333335</v>
      </c>
      <c r="R3810" s="2">
        <f>PerfRate[[#This Row],[ManagerRating]] - PerfRate[[#This Row],[SelfRating]]</f>
        <v>-1</v>
      </c>
    </row>
    <row r="3811" spans="1:18">
      <c r="A3811" s="2" t="s">
        <v>8118</v>
      </c>
      <c r="B3811" s="2" t="s">
        <v>1683</v>
      </c>
      <c r="C3811" s="1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  <c r="L3811" s="2" t="s">
        <v>11030</v>
      </c>
      <c r="M3811" s="2" t="s">
        <v>11030</v>
      </c>
      <c r="N3811" s="2" t="s">
        <v>11037</v>
      </c>
      <c r="O3811" s="2" t="s">
        <v>11036</v>
      </c>
      <c r="P3811" s="2" t="s">
        <v>11035</v>
      </c>
      <c r="Q3811" s="2">
        <f>AVERAGE(PerfRate[[#This Row],[EnvironmentSatisfaction]],PerfRate[[#This Row],[JobSatisfaction]],PerfRate[[#This Row],[RelationshipSatisfaction]])</f>
        <v>3</v>
      </c>
      <c r="R3811" s="2">
        <f>PerfRate[[#This Row],[ManagerRating]] - PerfRate[[#This Row],[SelfRating]]</f>
        <v>0</v>
      </c>
    </row>
    <row r="3812" spans="1:18">
      <c r="A3812" s="2" t="s">
        <v>8119</v>
      </c>
      <c r="B3812" s="2" t="s">
        <v>422</v>
      </c>
      <c r="C3812" s="1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  <c r="L3812" s="2" t="s">
        <v>11029</v>
      </c>
      <c r="M3812" s="2" t="s">
        <v>11028</v>
      </c>
      <c r="N3812" s="2" t="s">
        <v>11037</v>
      </c>
      <c r="O3812" s="2" t="s">
        <v>11037</v>
      </c>
      <c r="P3812" s="2" t="s">
        <v>11036</v>
      </c>
      <c r="Q3812" s="2">
        <f>AVERAGE(PerfRate[[#This Row],[EnvironmentSatisfaction]],PerfRate[[#This Row],[JobSatisfaction]],PerfRate[[#This Row],[RelationshipSatisfaction]])</f>
        <v>3.6666666666666665</v>
      </c>
      <c r="R3812" s="2">
        <f>PerfRate[[#This Row],[ManagerRating]] - PerfRate[[#This Row],[SelfRating]]</f>
        <v>-1</v>
      </c>
    </row>
    <row r="3813" spans="1:18">
      <c r="A3813" s="2" t="s">
        <v>8120</v>
      </c>
      <c r="B3813" s="2" t="s">
        <v>655</v>
      </c>
      <c r="C3813" s="1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  <c r="L3813" s="2" t="s">
        <v>11030</v>
      </c>
      <c r="M3813" s="2" t="s">
        <v>11029</v>
      </c>
      <c r="N3813" s="2" t="s">
        <v>11037</v>
      </c>
      <c r="O3813" s="2" t="s">
        <v>11038</v>
      </c>
      <c r="P3813" s="2" t="s">
        <v>11036</v>
      </c>
      <c r="Q3813" s="2">
        <f>AVERAGE(PerfRate[[#This Row],[EnvironmentSatisfaction]],PerfRate[[#This Row],[JobSatisfaction]],PerfRate[[#This Row],[RelationshipSatisfaction]])</f>
        <v>4</v>
      </c>
      <c r="R3813" s="2">
        <f>PerfRate[[#This Row],[ManagerRating]] - PerfRate[[#This Row],[SelfRating]]</f>
        <v>-1</v>
      </c>
    </row>
    <row r="3814" spans="1:18">
      <c r="A3814" s="2" t="s">
        <v>8121</v>
      </c>
      <c r="B3814" s="2" t="s">
        <v>1174</v>
      </c>
      <c r="C3814" s="1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  <c r="L3814" s="2" t="s">
        <v>11030</v>
      </c>
      <c r="M3814" s="2" t="s">
        <v>11030</v>
      </c>
      <c r="N3814" s="2" t="s">
        <v>11038</v>
      </c>
      <c r="O3814" s="2" t="s">
        <v>11037</v>
      </c>
      <c r="P3814" s="2" t="s">
        <v>11035</v>
      </c>
      <c r="Q3814" s="2">
        <f>AVERAGE(PerfRate[[#This Row],[EnvironmentSatisfaction]],PerfRate[[#This Row],[JobSatisfaction]],PerfRate[[#This Row],[RelationshipSatisfaction]])</f>
        <v>3.6666666666666665</v>
      </c>
      <c r="R3814" s="2">
        <f>PerfRate[[#This Row],[ManagerRating]] - PerfRate[[#This Row],[SelfRating]]</f>
        <v>0</v>
      </c>
    </row>
    <row r="3815" spans="1:18">
      <c r="A3815" s="2" t="s">
        <v>8122</v>
      </c>
      <c r="B3815" s="2" t="s">
        <v>967</v>
      </c>
      <c r="C3815" s="1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  <c r="L3815" s="2" t="s">
        <v>11031</v>
      </c>
      <c r="M3815" s="2" t="s">
        <v>11030</v>
      </c>
      <c r="N3815" s="2" t="s">
        <v>11036</v>
      </c>
      <c r="O3815" s="2" t="s">
        <v>11038</v>
      </c>
      <c r="P3815" s="2" t="s">
        <v>11035</v>
      </c>
      <c r="Q3815" s="2">
        <f>AVERAGE(PerfRate[[#This Row],[EnvironmentSatisfaction]],PerfRate[[#This Row],[JobSatisfaction]],PerfRate[[#This Row],[RelationshipSatisfaction]])</f>
        <v>3.3333333333333335</v>
      </c>
      <c r="R3815" s="2">
        <f>PerfRate[[#This Row],[ManagerRating]] - PerfRate[[#This Row],[SelfRating]]</f>
        <v>-1</v>
      </c>
    </row>
    <row r="3816" spans="1:18">
      <c r="A3816" s="2" t="s">
        <v>8123</v>
      </c>
      <c r="B3816" s="2" t="s">
        <v>1503</v>
      </c>
      <c r="C3816" s="1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  <c r="L3816" s="2" t="s">
        <v>11030</v>
      </c>
      <c r="M3816" s="2" t="s">
        <v>11029</v>
      </c>
      <c r="N3816" s="2" t="s">
        <v>11037</v>
      </c>
      <c r="O3816" s="2" t="s">
        <v>11038</v>
      </c>
      <c r="P3816" s="2" t="s">
        <v>11036</v>
      </c>
      <c r="Q3816" s="2">
        <f>AVERAGE(PerfRate[[#This Row],[EnvironmentSatisfaction]],PerfRate[[#This Row],[JobSatisfaction]],PerfRate[[#This Row],[RelationshipSatisfaction]])</f>
        <v>4</v>
      </c>
      <c r="R3816" s="2">
        <f>PerfRate[[#This Row],[ManagerRating]] - PerfRate[[#This Row],[SelfRating]]</f>
        <v>-1</v>
      </c>
    </row>
    <row r="3817" spans="1:18">
      <c r="A3817" s="2" t="s">
        <v>8124</v>
      </c>
      <c r="B3817" s="2" t="s">
        <v>2228</v>
      </c>
      <c r="C3817" s="1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  <c r="L3817" s="2" t="s">
        <v>11030</v>
      </c>
      <c r="M3817" s="2" t="s">
        <v>11029</v>
      </c>
      <c r="N3817" s="2" t="s">
        <v>11037</v>
      </c>
      <c r="O3817" s="2" t="s">
        <v>11035</v>
      </c>
      <c r="P3817" s="2" t="s">
        <v>11036</v>
      </c>
      <c r="Q3817" s="2">
        <f>AVERAGE(PerfRate[[#This Row],[EnvironmentSatisfaction]],PerfRate[[#This Row],[JobSatisfaction]],PerfRate[[#This Row],[RelationshipSatisfaction]])</f>
        <v>3</v>
      </c>
      <c r="R3817" s="2">
        <f>PerfRate[[#This Row],[ManagerRating]] - PerfRate[[#This Row],[SelfRating]]</f>
        <v>-1</v>
      </c>
    </row>
    <row r="3818" spans="1:18">
      <c r="A3818" s="2" t="s">
        <v>8125</v>
      </c>
      <c r="B3818" s="2" t="s">
        <v>371</v>
      </c>
      <c r="C3818" s="1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  <c r="L3818" s="2" t="s">
        <v>11030</v>
      </c>
      <c r="M3818" s="2" t="s">
        <v>11029</v>
      </c>
      <c r="N3818" s="2" t="s">
        <v>11038</v>
      </c>
      <c r="O3818" s="2" t="s">
        <v>11036</v>
      </c>
      <c r="P3818" s="2" t="s">
        <v>11038</v>
      </c>
      <c r="Q3818" s="2">
        <f>AVERAGE(PerfRate[[#This Row],[EnvironmentSatisfaction]],PerfRate[[#This Row],[JobSatisfaction]],PerfRate[[#This Row],[RelationshipSatisfaction]])</f>
        <v>4.333333333333333</v>
      </c>
      <c r="R3818" s="2">
        <f>PerfRate[[#This Row],[ManagerRating]] - PerfRate[[#This Row],[SelfRating]]</f>
        <v>-1</v>
      </c>
    </row>
    <row r="3819" spans="1:18">
      <c r="A3819" s="2" t="s">
        <v>8126</v>
      </c>
      <c r="B3819" s="2" t="s">
        <v>1435</v>
      </c>
      <c r="C3819" s="1">
        <v>42095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  <c r="L3819" s="2" t="s">
        <v>11029</v>
      </c>
      <c r="M3819" s="2" t="s">
        <v>11028</v>
      </c>
      <c r="N3819" s="2" t="s">
        <v>11038</v>
      </c>
      <c r="O3819" s="2" t="s">
        <v>11036</v>
      </c>
      <c r="P3819" s="2" t="s">
        <v>11036</v>
      </c>
      <c r="Q3819" s="2">
        <f>AVERAGE(PerfRate[[#This Row],[EnvironmentSatisfaction]],PerfRate[[#This Row],[JobSatisfaction]],PerfRate[[#This Row],[RelationshipSatisfaction]])</f>
        <v>3.6666666666666665</v>
      </c>
      <c r="R3819" s="2">
        <f>PerfRate[[#This Row],[ManagerRating]] - PerfRate[[#This Row],[SelfRating]]</f>
        <v>-1</v>
      </c>
    </row>
    <row r="3820" spans="1:18">
      <c r="A3820" s="2" t="s">
        <v>8127</v>
      </c>
      <c r="B3820" s="2" t="s">
        <v>2094</v>
      </c>
      <c r="C3820" s="1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  <c r="L3820" s="2" t="s">
        <v>11031</v>
      </c>
      <c r="M3820" s="2" t="s">
        <v>11030</v>
      </c>
      <c r="N3820" s="2" t="s">
        <v>11037</v>
      </c>
      <c r="O3820" s="2" t="s">
        <v>11038</v>
      </c>
      <c r="P3820" s="2" t="s">
        <v>11035</v>
      </c>
      <c r="Q3820" s="2">
        <f>AVERAGE(PerfRate[[#This Row],[EnvironmentSatisfaction]],PerfRate[[#This Row],[JobSatisfaction]],PerfRate[[#This Row],[RelationshipSatisfaction]])</f>
        <v>3.6666666666666665</v>
      </c>
      <c r="R3820" s="2">
        <f>PerfRate[[#This Row],[ManagerRating]] - PerfRate[[#This Row],[SelfRating]]</f>
        <v>-1</v>
      </c>
    </row>
    <row r="3821" spans="1:18">
      <c r="A3821" s="2" t="s">
        <v>8128</v>
      </c>
      <c r="B3821" s="2" t="s">
        <v>2011</v>
      </c>
      <c r="C3821" s="1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  <c r="L3821" s="2" t="s">
        <v>11030</v>
      </c>
      <c r="M3821" s="2" t="s">
        <v>11029</v>
      </c>
      <c r="N3821" s="2" t="s">
        <v>11036</v>
      </c>
      <c r="O3821" s="2" t="s">
        <v>11035</v>
      </c>
      <c r="P3821" s="2" t="s">
        <v>11035</v>
      </c>
      <c r="Q3821" s="2">
        <f>AVERAGE(PerfRate[[#This Row],[EnvironmentSatisfaction]],PerfRate[[#This Row],[JobSatisfaction]],PerfRate[[#This Row],[RelationshipSatisfaction]])</f>
        <v>2.3333333333333335</v>
      </c>
      <c r="R3821" s="2">
        <f>PerfRate[[#This Row],[ManagerRating]] - PerfRate[[#This Row],[SelfRating]]</f>
        <v>-1</v>
      </c>
    </row>
    <row r="3822" spans="1:18">
      <c r="A3822" s="2" t="s">
        <v>8129</v>
      </c>
      <c r="B3822" s="2" t="s">
        <v>157</v>
      </c>
      <c r="C3822" s="1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  <c r="L3822" s="2" t="s">
        <v>11031</v>
      </c>
      <c r="M3822" s="2" t="s">
        <v>11030</v>
      </c>
      <c r="N3822" s="2" t="s">
        <v>11036</v>
      </c>
      <c r="O3822" s="2" t="s">
        <v>11037</v>
      </c>
      <c r="P3822" s="2" t="s">
        <v>11038</v>
      </c>
      <c r="Q3822" s="2">
        <f>AVERAGE(PerfRate[[#This Row],[EnvironmentSatisfaction]],PerfRate[[#This Row],[JobSatisfaction]],PerfRate[[#This Row],[RelationshipSatisfaction]])</f>
        <v>4</v>
      </c>
      <c r="R3822" s="2">
        <f>PerfRate[[#This Row],[ManagerRating]] - PerfRate[[#This Row],[SelfRating]]</f>
        <v>-1</v>
      </c>
    </row>
    <row r="3823" spans="1:18">
      <c r="A3823" s="2" t="s">
        <v>8130</v>
      </c>
      <c r="B3823" s="2" t="s">
        <v>1644</v>
      </c>
      <c r="C3823" s="1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  <c r="L3823" s="2" t="s">
        <v>11031</v>
      </c>
      <c r="M3823" s="2" t="s">
        <v>11030</v>
      </c>
      <c r="N3823" s="2" t="s">
        <v>11038</v>
      </c>
      <c r="O3823" s="2" t="s">
        <v>11038</v>
      </c>
      <c r="P3823" s="2" t="s">
        <v>11035</v>
      </c>
      <c r="Q3823" s="2">
        <f>AVERAGE(PerfRate[[#This Row],[EnvironmentSatisfaction]],PerfRate[[#This Row],[JobSatisfaction]],PerfRate[[#This Row],[RelationshipSatisfaction]])</f>
        <v>4</v>
      </c>
      <c r="R3823" s="2">
        <f>PerfRate[[#This Row],[ManagerRating]] - PerfRate[[#This Row],[SelfRating]]</f>
        <v>-1</v>
      </c>
    </row>
    <row r="3824" spans="1:18">
      <c r="A3824" s="2" t="s">
        <v>8131</v>
      </c>
      <c r="B3824" s="2" t="s">
        <v>1979</v>
      </c>
      <c r="C3824" s="1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  <c r="L3824" s="2" t="s">
        <v>11031</v>
      </c>
      <c r="M3824" s="2" t="s">
        <v>11030</v>
      </c>
      <c r="N3824" s="2" t="s">
        <v>11036</v>
      </c>
      <c r="O3824" s="2" t="s">
        <v>11037</v>
      </c>
      <c r="P3824" s="2" t="s">
        <v>11037</v>
      </c>
      <c r="Q3824" s="2">
        <f>AVERAGE(PerfRate[[#This Row],[EnvironmentSatisfaction]],PerfRate[[#This Row],[JobSatisfaction]],PerfRate[[#This Row],[RelationshipSatisfaction]])</f>
        <v>3.6666666666666665</v>
      </c>
      <c r="R3824" s="2">
        <f>PerfRate[[#This Row],[ManagerRating]] - PerfRate[[#This Row],[SelfRating]]</f>
        <v>-1</v>
      </c>
    </row>
    <row r="3825" spans="1:18">
      <c r="A3825" s="2" t="s">
        <v>8132</v>
      </c>
      <c r="B3825" s="2" t="s">
        <v>62</v>
      </c>
      <c r="C3825" s="1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  <c r="L3825" s="2" t="s">
        <v>11031</v>
      </c>
      <c r="M3825" s="2" t="s">
        <v>11030</v>
      </c>
      <c r="N3825" s="2" t="s">
        <v>11037</v>
      </c>
      <c r="O3825" s="2" t="s">
        <v>11038</v>
      </c>
      <c r="P3825" s="2" t="s">
        <v>11037</v>
      </c>
      <c r="Q3825" s="2">
        <f>AVERAGE(PerfRate[[#This Row],[EnvironmentSatisfaction]],PerfRate[[#This Row],[JobSatisfaction]],PerfRate[[#This Row],[RelationshipSatisfaction]])</f>
        <v>4.333333333333333</v>
      </c>
      <c r="R3825" s="2">
        <f>PerfRate[[#This Row],[ManagerRating]] - PerfRate[[#This Row],[SelfRating]]</f>
        <v>-1</v>
      </c>
    </row>
    <row r="3826" spans="1:18">
      <c r="A3826" s="2" t="s">
        <v>8133</v>
      </c>
      <c r="B3826" s="2" t="s">
        <v>1785</v>
      </c>
      <c r="C3826" s="1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  <c r="L3826" s="2" t="s">
        <v>11029</v>
      </c>
      <c r="M3826" s="2" t="s">
        <v>11029</v>
      </c>
      <c r="N3826" s="2" t="s">
        <v>11038</v>
      </c>
      <c r="O3826" s="2" t="s">
        <v>11036</v>
      </c>
      <c r="P3826" s="2" t="s">
        <v>11036</v>
      </c>
      <c r="Q3826" s="2">
        <f>AVERAGE(PerfRate[[#This Row],[EnvironmentSatisfaction]],PerfRate[[#This Row],[JobSatisfaction]],PerfRate[[#This Row],[RelationshipSatisfaction]])</f>
        <v>3.6666666666666665</v>
      </c>
      <c r="R3826" s="2">
        <f>PerfRate[[#This Row],[ManagerRating]] - PerfRate[[#This Row],[SelfRating]]</f>
        <v>0</v>
      </c>
    </row>
    <row r="3827" spans="1:18">
      <c r="A3827" s="2" t="s">
        <v>8134</v>
      </c>
      <c r="B3827" s="2" t="s">
        <v>163</v>
      </c>
      <c r="C3827" s="1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  <c r="L3827" s="2" t="s">
        <v>11030</v>
      </c>
      <c r="M3827" s="2" t="s">
        <v>11030</v>
      </c>
      <c r="N3827" s="2" t="s">
        <v>11036</v>
      </c>
      <c r="O3827" s="2" t="s">
        <v>11036</v>
      </c>
      <c r="P3827" s="2" t="s">
        <v>11036</v>
      </c>
      <c r="Q3827" s="2">
        <f>AVERAGE(PerfRate[[#This Row],[EnvironmentSatisfaction]],PerfRate[[#This Row],[JobSatisfaction]],PerfRate[[#This Row],[RelationshipSatisfaction]])</f>
        <v>3</v>
      </c>
      <c r="R3827" s="2">
        <f>PerfRate[[#This Row],[ManagerRating]] - PerfRate[[#This Row],[SelfRating]]</f>
        <v>0</v>
      </c>
    </row>
    <row r="3828" spans="1:18">
      <c r="A3828" s="2" t="s">
        <v>8135</v>
      </c>
      <c r="B3828" s="2" t="s">
        <v>1157</v>
      </c>
      <c r="C3828" s="1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  <c r="L3828" s="2" t="s">
        <v>11031</v>
      </c>
      <c r="M3828" s="2" t="s">
        <v>11031</v>
      </c>
      <c r="N3828" s="2" t="s">
        <v>11036</v>
      </c>
      <c r="O3828" s="2" t="s">
        <v>11036</v>
      </c>
      <c r="P3828" s="2" t="s">
        <v>11038</v>
      </c>
      <c r="Q3828" s="2">
        <f>AVERAGE(PerfRate[[#This Row],[EnvironmentSatisfaction]],PerfRate[[#This Row],[JobSatisfaction]],PerfRate[[#This Row],[RelationshipSatisfaction]])</f>
        <v>3.6666666666666665</v>
      </c>
      <c r="R3828" s="2">
        <f>PerfRate[[#This Row],[ManagerRating]] - PerfRate[[#This Row],[SelfRating]]</f>
        <v>0</v>
      </c>
    </row>
    <row r="3829" spans="1:18">
      <c r="A3829" s="2" t="s">
        <v>8136</v>
      </c>
      <c r="B3829" s="2" t="s">
        <v>1380</v>
      </c>
      <c r="C3829" s="1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  <c r="L3829" s="2" t="s">
        <v>11030</v>
      </c>
      <c r="M3829" s="2" t="s">
        <v>11029</v>
      </c>
      <c r="N3829" s="2" t="s">
        <v>11037</v>
      </c>
      <c r="O3829" s="2" t="s">
        <v>11037</v>
      </c>
      <c r="P3829" s="2" t="s">
        <v>11037</v>
      </c>
      <c r="Q3829" s="2">
        <f>AVERAGE(PerfRate[[#This Row],[EnvironmentSatisfaction]],PerfRate[[#This Row],[JobSatisfaction]],PerfRate[[#This Row],[RelationshipSatisfaction]])</f>
        <v>4</v>
      </c>
      <c r="R3829" s="2">
        <f>PerfRate[[#This Row],[ManagerRating]] - PerfRate[[#This Row],[SelfRating]]</f>
        <v>-1</v>
      </c>
    </row>
    <row r="3830" spans="1:18">
      <c r="A3830" s="2" t="s">
        <v>8137</v>
      </c>
      <c r="B3830" s="2" t="s">
        <v>1030</v>
      </c>
      <c r="C3830" s="1">
        <v>42095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  <c r="L3830" s="2" t="s">
        <v>11030</v>
      </c>
      <c r="M3830" s="2" t="s">
        <v>11030</v>
      </c>
      <c r="N3830" s="2" t="s">
        <v>11038</v>
      </c>
      <c r="O3830" s="2" t="s">
        <v>11036</v>
      </c>
      <c r="P3830" s="2" t="s">
        <v>11037</v>
      </c>
      <c r="Q3830" s="2">
        <f>AVERAGE(PerfRate[[#This Row],[EnvironmentSatisfaction]],PerfRate[[#This Row],[JobSatisfaction]],PerfRate[[#This Row],[RelationshipSatisfaction]])</f>
        <v>4</v>
      </c>
      <c r="R3830" s="2">
        <f>PerfRate[[#This Row],[ManagerRating]] - PerfRate[[#This Row],[SelfRating]]</f>
        <v>0</v>
      </c>
    </row>
    <row r="3831" spans="1:18">
      <c r="A3831" s="2" t="s">
        <v>8138</v>
      </c>
      <c r="B3831" s="2" t="s">
        <v>2622</v>
      </c>
      <c r="C3831" s="1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  <c r="L3831" s="2" t="s">
        <v>11030</v>
      </c>
      <c r="M3831" s="2" t="s">
        <v>11029</v>
      </c>
      <c r="N3831" s="2" t="s">
        <v>11036</v>
      </c>
      <c r="O3831" s="2" t="s">
        <v>11035</v>
      </c>
      <c r="P3831" s="2" t="s">
        <v>11038</v>
      </c>
      <c r="Q3831" s="2">
        <f>AVERAGE(PerfRate[[#This Row],[EnvironmentSatisfaction]],PerfRate[[#This Row],[JobSatisfaction]],PerfRate[[#This Row],[RelationshipSatisfaction]])</f>
        <v>3.3333333333333335</v>
      </c>
      <c r="R3831" s="2">
        <f>PerfRate[[#This Row],[ManagerRating]] - PerfRate[[#This Row],[SelfRating]]</f>
        <v>-1</v>
      </c>
    </row>
    <row r="3832" spans="1:18">
      <c r="A3832" s="2" t="s">
        <v>8139</v>
      </c>
      <c r="B3832" s="2" t="s">
        <v>4177</v>
      </c>
      <c r="C3832" s="1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  <c r="L3832" s="2" t="s">
        <v>11029</v>
      </c>
      <c r="M3832" s="2" t="s">
        <v>11029</v>
      </c>
      <c r="N3832" s="2" t="s">
        <v>11036</v>
      </c>
      <c r="O3832" s="2" t="s">
        <v>11036</v>
      </c>
      <c r="P3832" s="2" t="s">
        <v>11037</v>
      </c>
      <c r="Q3832" s="2">
        <f>AVERAGE(PerfRate[[#This Row],[EnvironmentSatisfaction]],PerfRate[[#This Row],[JobSatisfaction]],PerfRate[[#This Row],[RelationshipSatisfaction]])</f>
        <v>3.3333333333333335</v>
      </c>
      <c r="R3832" s="2">
        <f>PerfRate[[#This Row],[ManagerRating]] - PerfRate[[#This Row],[SelfRating]]</f>
        <v>0</v>
      </c>
    </row>
    <row r="3833" spans="1:18">
      <c r="A3833" s="2" t="s">
        <v>8140</v>
      </c>
      <c r="B3833" s="2" t="s">
        <v>646</v>
      </c>
      <c r="C3833" s="1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  <c r="L3833" s="2" t="s">
        <v>11030</v>
      </c>
      <c r="M3833" s="2" t="s">
        <v>11030</v>
      </c>
      <c r="N3833" s="2" t="s">
        <v>11038</v>
      </c>
      <c r="O3833" s="2" t="s">
        <v>11036</v>
      </c>
      <c r="P3833" s="2" t="s">
        <v>11038</v>
      </c>
      <c r="Q3833" s="2">
        <f>AVERAGE(PerfRate[[#This Row],[EnvironmentSatisfaction]],PerfRate[[#This Row],[JobSatisfaction]],PerfRate[[#This Row],[RelationshipSatisfaction]])</f>
        <v>4.333333333333333</v>
      </c>
      <c r="R3833" s="2">
        <f>PerfRate[[#This Row],[ManagerRating]] - PerfRate[[#This Row],[SelfRating]]</f>
        <v>0</v>
      </c>
    </row>
    <row r="3834" spans="1:18">
      <c r="A3834" s="2" t="s">
        <v>8141</v>
      </c>
      <c r="B3834" s="2" t="s">
        <v>1847</v>
      </c>
      <c r="C3834" s="1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  <c r="L3834" s="2" t="s">
        <v>11030</v>
      </c>
      <c r="M3834" s="2" t="s">
        <v>11030</v>
      </c>
      <c r="N3834" s="2" t="s">
        <v>11037</v>
      </c>
      <c r="O3834" s="2" t="s">
        <v>11036</v>
      </c>
      <c r="P3834" s="2" t="s">
        <v>11037</v>
      </c>
      <c r="Q3834" s="2">
        <f>AVERAGE(PerfRate[[#This Row],[EnvironmentSatisfaction]],PerfRate[[#This Row],[JobSatisfaction]],PerfRate[[#This Row],[RelationshipSatisfaction]])</f>
        <v>3.6666666666666665</v>
      </c>
      <c r="R3834" s="2">
        <f>PerfRate[[#This Row],[ManagerRating]] - PerfRate[[#This Row],[SelfRating]]</f>
        <v>0</v>
      </c>
    </row>
    <row r="3835" spans="1:18">
      <c r="A3835" s="2" t="s">
        <v>8142</v>
      </c>
      <c r="B3835" s="2" t="s">
        <v>398</v>
      </c>
      <c r="C3835" s="1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  <c r="L3835" s="2" t="s">
        <v>11030</v>
      </c>
      <c r="M3835" s="2" t="s">
        <v>11030</v>
      </c>
      <c r="N3835" s="2" t="s">
        <v>11038</v>
      </c>
      <c r="O3835" s="2" t="s">
        <v>11037</v>
      </c>
      <c r="P3835" s="2" t="s">
        <v>11037</v>
      </c>
      <c r="Q3835" s="2">
        <f>AVERAGE(PerfRate[[#This Row],[EnvironmentSatisfaction]],PerfRate[[#This Row],[JobSatisfaction]],PerfRate[[#This Row],[RelationshipSatisfaction]])</f>
        <v>4.333333333333333</v>
      </c>
      <c r="R3835" s="2">
        <f>PerfRate[[#This Row],[ManagerRating]] - PerfRate[[#This Row],[SelfRating]]</f>
        <v>0</v>
      </c>
    </row>
    <row r="3836" spans="1:18">
      <c r="A3836" s="2" t="s">
        <v>8143</v>
      </c>
      <c r="B3836" s="2" t="s">
        <v>290</v>
      </c>
      <c r="C3836" s="1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  <c r="L3836" s="2" t="s">
        <v>11030</v>
      </c>
      <c r="M3836" s="2" t="s">
        <v>11030</v>
      </c>
      <c r="N3836" s="2" t="s">
        <v>11038</v>
      </c>
      <c r="O3836" s="2" t="s">
        <v>11036</v>
      </c>
      <c r="P3836" s="2" t="s">
        <v>11035</v>
      </c>
      <c r="Q3836" s="2">
        <f>AVERAGE(PerfRate[[#This Row],[EnvironmentSatisfaction]],PerfRate[[#This Row],[JobSatisfaction]],PerfRate[[#This Row],[RelationshipSatisfaction]])</f>
        <v>3.3333333333333335</v>
      </c>
      <c r="R3836" s="2">
        <f>PerfRate[[#This Row],[ManagerRating]] - PerfRate[[#This Row],[SelfRating]]</f>
        <v>0</v>
      </c>
    </row>
    <row r="3837" spans="1:18">
      <c r="A3837" s="2" t="s">
        <v>8144</v>
      </c>
      <c r="B3837" s="2" t="s">
        <v>275</v>
      </c>
      <c r="C3837" s="1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  <c r="L3837" s="2" t="s">
        <v>11029</v>
      </c>
      <c r="M3837" s="2" t="s">
        <v>11029</v>
      </c>
      <c r="N3837" s="2" t="s">
        <v>11038</v>
      </c>
      <c r="O3837" s="2" t="s">
        <v>11038</v>
      </c>
      <c r="P3837" s="2" t="s">
        <v>11038</v>
      </c>
      <c r="Q3837" s="2">
        <f>AVERAGE(PerfRate[[#This Row],[EnvironmentSatisfaction]],PerfRate[[#This Row],[JobSatisfaction]],PerfRate[[#This Row],[RelationshipSatisfaction]])</f>
        <v>5</v>
      </c>
      <c r="R3837" s="2">
        <f>PerfRate[[#This Row],[ManagerRating]] - PerfRate[[#This Row],[SelfRating]]</f>
        <v>0</v>
      </c>
    </row>
    <row r="3838" spans="1:18">
      <c r="A3838" s="2" t="s">
        <v>8145</v>
      </c>
      <c r="B3838" s="2" t="s">
        <v>598</v>
      </c>
      <c r="C3838" s="1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  <c r="L3838" s="2" t="s">
        <v>11029</v>
      </c>
      <c r="M3838" s="2" t="s">
        <v>11029</v>
      </c>
      <c r="N3838" s="2" t="s">
        <v>11038</v>
      </c>
      <c r="O3838" s="2" t="s">
        <v>11036</v>
      </c>
      <c r="P3838" s="2" t="s">
        <v>11035</v>
      </c>
      <c r="Q3838" s="2">
        <f>AVERAGE(PerfRate[[#This Row],[EnvironmentSatisfaction]],PerfRate[[#This Row],[JobSatisfaction]],PerfRate[[#This Row],[RelationshipSatisfaction]])</f>
        <v>3.3333333333333335</v>
      </c>
      <c r="R3838" s="2">
        <f>PerfRate[[#This Row],[ManagerRating]] - PerfRate[[#This Row],[SelfRating]]</f>
        <v>0</v>
      </c>
    </row>
    <row r="3839" spans="1:18">
      <c r="A3839" s="2" t="s">
        <v>8146</v>
      </c>
      <c r="B3839" s="2" t="s">
        <v>2036</v>
      </c>
      <c r="C3839" s="1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  <c r="L3839" s="2" t="s">
        <v>11029</v>
      </c>
      <c r="M3839" s="2" t="s">
        <v>11029</v>
      </c>
      <c r="N3839" s="2" t="s">
        <v>11035</v>
      </c>
      <c r="O3839" s="2" t="s">
        <v>11036</v>
      </c>
      <c r="P3839" s="2" t="s">
        <v>11037</v>
      </c>
      <c r="Q3839" s="2">
        <f>AVERAGE(PerfRate[[#This Row],[EnvironmentSatisfaction]],PerfRate[[#This Row],[JobSatisfaction]],PerfRate[[#This Row],[RelationshipSatisfaction]])</f>
        <v>3</v>
      </c>
      <c r="R3839" s="2">
        <f>PerfRate[[#This Row],[ManagerRating]] - PerfRate[[#This Row],[SelfRating]]</f>
        <v>0</v>
      </c>
    </row>
    <row r="3840" spans="1:18">
      <c r="A3840" s="2" t="s">
        <v>8147</v>
      </c>
      <c r="B3840" s="2" t="s">
        <v>869</v>
      </c>
      <c r="C3840" s="1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  <c r="L3840" s="2" t="s">
        <v>11030</v>
      </c>
      <c r="M3840" s="2" t="s">
        <v>11030</v>
      </c>
      <c r="N3840" s="2" t="s">
        <v>11037</v>
      </c>
      <c r="O3840" s="2" t="s">
        <v>11034</v>
      </c>
      <c r="P3840" s="2" t="s">
        <v>11036</v>
      </c>
      <c r="Q3840" s="2">
        <f>AVERAGE(PerfRate[[#This Row],[EnvironmentSatisfaction]],PerfRate[[#This Row],[JobSatisfaction]],PerfRate[[#This Row],[RelationshipSatisfaction]])</f>
        <v>2.6666666666666665</v>
      </c>
      <c r="R3840" s="2">
        <f>PerfRate[[#This Row],[ManagerRating]] - PerfRate[[#This Row],[SelfRating]]</f>
        <v>0</v>
      </c>
    </row>
    <row r="3841" spans="1:18">
      <c r="A3841" s="2" t="s">
        <v>8148</v>
      </c>
      <c r="B3841" s="2" t="s">
        <v>964</v>
      </c>
      <c r="C3841" s="1">
        <v>42095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  <c r="L3841" s="2" t="s">
        <v>11030</v>
      </c>
      <c r="M3841" s="2" t="s">
        <v>11029</v>
      </c>
      <c r="N3841" s="2" t="s">
        <v>11036</v>
      </c>
      <c r="O3841" s="2" t="s">
        <v>11035</v>
      </c>
      <c r="P3841" s="2" t="s">
        <v>11037</v>
      </c>
      <c r="Q3841" s="2">
        <f>AVERAGE(PerfRate[[#This Row],[EnvironmentSatisfaction]],PerfRate[[#This Row],[JobSatisfaction]],PerfRate[[#This Row],[RelationshipSatisfaction]])</f>
        <v>3</v>
      </c>
      <c r="R3841" s="2">
        <f>PerfRate[[#This Row],[ManagerRating]] - PerfRate[[#This Row],[SelfRating]]</f>
        <v>-1</v>
      </c>
    </row>
    <row r="3842" spans="1:18">
      <c r="A3842" s="2" t="s">
        <v>8149</v>
      </c>
      <c r="B3842" s="2" t="s">
        <v>1240</v>
      </c>
      <c r="C3842" s="1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  <c r="L3842" s="2" t="s">
        <v>11029</v>
      </c>
      <c r="M3842" s="2" t="s">
        <v>11028</v>
      </c>
      <c r="N3842" s="2" t="s">
        <v>11037</v>
      </c>
      <c r="O3842" s="2" t="s">
        <v>11036</v>
      </c>
      <c r="P3842" s="2" t="s">
        <v>11034</v>
      </c>
      <c r="Q3842" s="2">
        <f>AVERAGE(PerfRate[[#This Row],[EnvironmentSatisfaction]],PerfRate[[#This Row],[JobSatisfaction]],PerfRate[[#This Row],[RelationshipSatisfaction]])</f>
        <v>2.6666666666666665</v>
      </c>
      <c r="R3842" s="2">
        <f>PerfRate[[#This Row],[ManagerRating]] - PerfRate[[#This Row],[SelfRating]]</f>
        <v>-1</v>
      </c>
    </row>
    <row r="3843" spans="1:18">
      <c r="A3843" s="2" t="s">
        <v>8150</v>
      </c>
      <c r="B3843" s="2" t="s">
        <v>1350</v>
      </c>
      <c r="C3843" s="1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  <c r="L3843" s="2" t="s">
        <v>11031</v>
      </c>
      <c r="M3843" s="2" t="s">
        <v>11030</v>
      </c>
      <c r="N3843" s="2" t="s">
        <v>11037</v>
      </c>
      <c r="O3843" s="2" t="s">
        <v>11036</v>
      </c>
      <c r="P3843" s="2" t="s">
        <v>11035</v>
      </c>
      <c r="Q3843" s="2">
        <f>AVERAGE(PerfRate[[#This Row],[EnvironmentSatisfaction]],PerfRate[[#This Row],[JobSatisfaction]],PerfRate[[#This Row],[RelationshipSatisfaction]])</f>
        <v>3</v>
      </c>
      <c r="R3843" s="2">
        <f>PerfRate[[#This Row],[ManagerRating]] - PerfRate[[#This Row],[SelfRating]]</f>
        <v>-1</v>
      </c>
    </row>
    <row r="3844" spans="1:18">
      <c r="A3844" s="2" t="s">
        <v>8151</v>
      </c>
      <c r="B3844" s="2" t="s">
        <v>386</v>
      </c>
      <c r="C3844" s="1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  <c r="L3844" s="2" t="s">
        <v>11031</v>
      </c>
      <c r="M3844" s="2" t="s">
        <v>11031</v>
      </c>
      <c r="N3844" s="2" t="s">
        <v>11034</v>
      </c>
      <c r="O3844" s="2" t="s">
        <v>11034</v>
      </c>
      <c r="P3844" s="2" t="s">
        <v>11037</v>
      </c>
      <c r="Q3844" s="2">
        <f>AVERAGE(PerfRate[[#This Row],[EnvironmentSatisfaction]],PerfRate[[#This Row],[JobSatisfaction]],PerfRate[[#This Row],[RelationshipSatisfaction]])</f>
        <v>2</v>
      </c>
      <c r="R3844" s="2">
        <f>PerfRate[[#This Row],[ManagerRating]] - PerfRate[[#This Row],[SelfRating]]</f>
        <v>0</v>
      </c>
    </row>
    <row r="3845" spans="1:18">
      <c r="A3845" s="2" t="s">
        <v>8152</v>
      </c>
      <c r="B3845" s="2" t="s">
        <v>425</v>
      </c>
      <c r="C3845" s="1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  <c r="L3845" s="2" t="s">
        <v>11031</v>
      </c>
      <c r="M3845" s="2" t="s">
        <v>11031</v>
      </c>
      <c r="N3845" s="2" t="s">
        <v>11036</v>
      </c>
      <c r="O3845" s="2" t="s">
        <v>11035</v>
      </c>
      <c r="P3845" s="2" t="s">
        <v>11036</v>
      </c>
      <c r="Q3845" s="2">
        <f>AVERAGE(PerfRate[[#This Row],[EnvironmentSatisfaction]],PerfRate[[#This Row],[JobSatisfaction]],PerfRate[[#This Row],[RelationshipSatisfaction]])</f>
        <v>2.6666666666666665</v>
      </c>
      <c r="R3845" s="2">
        <f>PerfRate[[#This Row],[ManagerRating]] - PerfRate[[#This Row],[SelfRating]]</f>
        <v>0</v>
      </c>
    </row>
    <row r="3846" spans="1:18">
      <c r="A3846" s="2" t="s">
        <v>8153</v>
      </c>
      <c r="B3846" s="2" t="s">
        <v>832</v>
      </c>
      <c r="C3846" s="1">
        <v>43842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  <c r="L3846" s="2" t="s">
        <v>11029</v>
      </c>
      <c r="M3846" s="2" t="s">
        <v>11028</v>
      </c>
      <c r="N3846" s="2" t="s">
        <v>11037</v>
      </c>
      <c r="O3846" s="2" t="s">
        <v>11036</v>
      </c>
      <c r="P3846" s="2" t="s">
        <v>11036</v>
      </c>
      <c r="Q3846" s="2">
        <f>AVERAGE(PerfRate[[#This Row],[EnvironmentSatisfaction]],PerfRate[[#This Row],[JobSatisfaction]],PerfRate[[#This Row],[RelationshipSatisfaction]])</f>
        <v>3.3333333333333335</v>
      </c>
      <c r="R3846" s="2">
        <f>PerfRate[[#This Row],[ManagerRating]] - PerfRate[[#This Row],[SelfRating]]</f>
        <v>-1</v>
      </c>
    </row>
    <row r="3847" spans="1:18">
      <c r="A3847" s="2" t="s">
        <v>8154</v>
      </c>
      <c r="B3847" s="2" t="s">
        <v>1992</v>
      </c>
      <c r="C3847" s="1">
        <v>43842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  <c r="L3847" s="2" t="s">
        <v>11029</v>
      </c>
      <c r="M3847" s="2" t="s">
        <v>11028</v>
      </c>
      <c r="N3847" s="2" t="s">
        <v>11038</v>
      </c>
      <c r="O3847" s="2" t="s">
        <v>11035</v>
      </c>
      <c r="P3847" s="2" t="s">
        <v>11036</v>
      </c>
      <c r="Q3847" s="2">
        <f>AVERAGE(PerfRate[[#This Row],[EnvironmentSatisfaction]],PerfRate[[#This Row],[JobSatisfaction]],PerfRate[[#This Row],[RelationshipSatisfaction]])</f>
        <v>3.3333333333333335</v>
      </c>
      <c r="R3847" s="2">
        <f>PerfRate[[#This Row],[ManagerRating]] - PerfRate[[#This Row],[SelfRating]]</f>
        <v>-1</v>
      </c>
    </row>
    <row r="3848" spans="1:18">
      <c r="A3848" s="2" t="s">
        <v>8155</v>
      </c>
      <c r="B3848" s="2" t="s">
        <v>3406</v>
      </c>
      <c r="C3848" s="1">
        <v>43873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  <c r="L3848" s="2" t="s">
        <v>11029</v>
      </c>
      <c r="M3848" s="2" t="s">
        <v>11029</v>
      </c>
      <c r="N3848" s="2" t="s">
        <v>11038</v>
      </c>
      <c r="O3848" s="2" t="s">
        <v>11037</v>
      </c>
      <c r="P3848" s="2" t="s">
        <v>11038</v>
      </c>
      <c r="Q3848" s="2">
        <f>AVERAGE(PerfRate[[#This Row],[EnvironmentSatisfaction]],PerfRate[[#This Row],[JobSatisfaction]],PerfRate[[#This Row],[RelationshipSatisfaction]])</f>
        <v>4.666666666666667</v>
      </c>
      <c r="R3848" s="2">
        <f>PerfRate[[#This Row],[ManagerRating]] - PerfRate[[#This Row],[SelfRating]]</f>
        <v>0</v>
      </c>
    </row>
    <row r="3849" spans="1:18">
      <c r="A3849" s="2" t="s">
        <v>8156</v>
      </c>
      <c r="B3849" s="2" t="s">
        <v>3665</v>
      </c>
      <c r="C3849" s="1">
        <v>43873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  <c r="L3849" s="2" t="s">
        <v>11029</v>
      </c>
      <c r="M3849" s="2" t="s">
        <v>11029</v>
      </c>
      <c r="N3849" s="2" t="s">
        <v>11036</v>
      </c>
      <c r="O3849" s="2" t="s">
        <v>11037</v>
      </c>
      <c r="P3849" s="2" t="s">
        <v>11035</v>
      </c>
      <c r="Q3849" s="2">
        <f>AVERAGE(PerfRate[[#This Row],[EnvironmentSatisfaction]],PerfRate[[#This Row],[JobSatisfaction]],PerfRate[[#This Row],[RelationshipSatisfaction]])</f>
        <v>3</v>
      </c>
      <c r="R3849" s="2">
        <f>PerfRate[[#This Row],[ManagerRating]] - PerfRate[[#This Row],[SelfRating]]</f>
        <v>0</v>
      </c>
    </row>
    <row r="3850" spans="1:18">
      <c r="A3850" s="2" t="s">
        <v>8157</v>
      </c>
      <c r="B3850" s="2" t="s">
        <v>2506</v>
      </c>
      <c r="C3850" s="1">
        <v>43873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  <c r="L3850" s="2" t="s">
        <v>11029</v>
      </c>
      <c r="M3850" s="2" t="s">
        <v>11028</v>
      </c>
      <c r="N3850" s="2" t="s">
        <v>11037</v>
      </c>
      <c r="O3850" s="2" t="s">
        <v>11036</v>
      </c>
      <c r="P3850" s="2" t="s">
        <v>11037</v>
      </c>
      <c r="Q3850" s="2">
        <f>AVERAGE(PerfRate[[#This Row],[EnvironmentSatisfaction]],PerfRate[[#This Row],[JobSatisfaction]],PerfRate[[#This Row],[RelationshipSatisfaction]])</f>
        <v>3.6666666666666665</v>
      </c>
      <c r="R3850" s="2">
        <f>PerfRate[[#This Row],[ManagerRating]] - PerfRate[[#This Row],[SelfRating]]</f>
        <v>-1</v>
      </c>
    </row>
    <row r="3851" spans="1:18">
      <c r="A3851" s="2" t="s">
        <v>8158</v>
      </c>
      <c r="B3851" s="2" t="s">
        <v>78</v>
      </c>
      <c r="C3851" s="1">
        <v>43933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  <c r="L3851" s="2" t="s">
        <v>11030</v>
      </c>
      <c r="M3851" s="2" t="s">
        <v>11029</v>
      </c>
      <c r="N3851" s="2" t="s">
        <v>11037</v>
      </c>
      <c r="O3851" s="2" t="s">
        <v>11038</v>
      </c>
      <c r="P3851" s="2" t="s">
        <v>11035</v>
      </c>
      <c r="Q3851" s="2">
        <f>AVERAGE(PerfRate[[#This Row],[EnvironmentSatisfaction]],PerfRate[[#This Row],[JobSatisfaction]],PerfRate[[#This Row],[RelationshipSatisfaction]])</f>
        <v>3.6666666666666665</v>
      </c>
      <c r="R3851" s="2">
        <f>PerfRate[[#This Row],[ManagerRating]] - PerfRate[[#This Row],[SelfRating]]</f>
        <v>-1</v>
      </c>
    </row>
    <row r="3852" spans="1:18">
      <c r="A3852" s="2" t="s">
        <v>8159</v>
      </c>
      <c r="B3852" s="2" t="s">
        <v>260</v>
      </c>
      <c r="C3852" s="1">
        <v>42125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  <c r="L3852" s="2" t="s">
        <v>11029</v>
      </c>
      <c r="M3852" s="2" t="s">
        <v>11028</v>
      </c>
      <c r="N3852" s="2" t="s">
        <v>11038</v>
      </c>
      <c r="O3852" s="2" t="s">
        <v>11037</v>
      </c>
      <c r="P3852" s="2" t="s">
        <v>11035</v>
      </c>
      <c r="Q3852" s="2">
        <f>AVERAGE(PerfRate[[#This Row],[EnvironmentSatisfaction]],PerfRate[[#This Row],[JobSatisfaction]],PerfRate[[#This Row],[RelationshipSatisfaction]])</f>
        <v>3.6666666666666665</v>
      </c>
      <c r="R3852" s="2">
        <f>PerfRate[[#This Row],[ManagerRating]] - PerfRate[[#This Row],[SelfRating]]</f>
        <v>-1</v>
      </c>
    </row>
    <row r="3853" spans="1:18">
      <c r="A3853" s="2" t="s">
        <v>8160</v>
      </c>
      <c r="B3853" s="2" t="s">
        <v>183</v>
      </c>
      <c r="C3853" s="1">
        <v>43933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  <c r="L3853" s="2" t="s">
        <v>11030</v>
      </c>
      <c r="M3853" s="2" t="s">
        <v>11029</v>
      </c>
      <c r="N3853" s="2" t="s">
        <v>11038</v>
      </c>
      <c r="O3853" s="2" t="s">
        <v>11038</v>
      </c>
      <c r="P3853" s="2" t="s">
        <v>11038</v>
      </c>
      <c r="Q3853" s="2">
        <f>AVERAGE(PerfRate[[#This Row],[EnvironmentSatisfaction]],PerfRate[[#This Row],[JobSatisfaction]],PerfRate[[#This Row],[RelationshipSatisfaction]])</f>
        <v>5</v>
      </c>
      <c r="R3853" s="2">
        <f>PerfRate[[#This Row],[ManagerRating]] - PerfRate[[#This Row],[SelfRating]]</f>
        <v>-1</v>
      </c>
    </row>
    <row r="3854" spans="1:18">
      <c r="A3854" s="2" t="s">
        <v>8161</v>
      </c>
      <c r="B3854" s="2" t="s">
        <v>112</v>
      </c>
      <c r="C3854" s="1">
        <v>43933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  <c r="L3854" s="2" t="s">
        <v>11029</v>
      </c>
      <c r="M3854" s="2" t="s">
        <v>11029</v>
      </c>
      <c r="N3854" s="2" t="s">
        <v>11038</v>
      </c>
      <c r="O3854" s="2" t="s">
        <v>11036</v>
      </c>
      <c r="P3854" s="2" t="s">
        <v>11036</v>
      </c>
      <c r="Q3854" s="2">
        <f>AVERAGE(PerfRate[[#This Row],[EnvironmentSatisfaction]],PerfRate[[#This Row],[JobSatisfaction]],PerfRate[[#This Row],[RelationshipSatisfaction]])</f>
        <v>3.6666666666666665</v>
      </c>
      <c r="R3854" s="2">
        <f>PerfRate[[#This Row],[ManagerRating]] - PerfRate[[#This Row],[SelfRating]]</f>
        <v>0</v>
      </c>
    </row>
    <row r="3855" spans="1:18">
      <c r="A3855" s="2" t="s">
        <v>8162</v>
      </c>
      <c r="B3855" s="2" t="s">
        <v>946</v>
      </c>
      <c r="C3855" s="1">
        <v>43933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  <c r="L3855" s="2" t="s">
        <v>11030</v>
      </c>
      <c r="M3855" s="2" t="s">
        <v>11030</v>
      </c>
      <c r="N3855" s="2" t="s">
        <v>11036</v>
      </c>
      <c r="O3855" s="2" t="s">
        <v>11037</v>
      </c>
      <c r="P3855" s="2" t="s">
        <v>11035</v>
      </c>
      <c r="Q3855" s="2">
        <f>AVERAGE(PerfRate[[#This Row],[EnvironmentSatisfaction]],PerfRate[[#This Row],[JobSatisfaction]],PerfRate[[#This Row],[RelationshipSatisfaction]])</f>
        <v>3</v>
      </c>
      <c r="R3855" s="2">
        <f>PerfRate[[#This Row],[ManagerRating]] - PerfRate[[#This Row],[SelfRating]]</f>
        <v>0</v>
      </c>
    </row>
    <row r="3856" spans="1:18">
      <c r="A3856" s="2" t="s">
        <v>8163</v>
      </c>
      <c r="B3856" s="2" t="s">
        <v>1045</v>
      </c>
      <c r="C3856" s="1">
        <v>43933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  <c r="L3856" s="2" t="s">
        <v>11029</v>
      </c>
      <c r="M3856" s="2" t="s">
        <v>11029</v>
      </c>
      <c r="N3856" s="2" t="s">
        <v>11036</v>
      </c>
      <c r="O3856" s="2" t="s">
        <v>11038</v>
      </c>
      <c r="P3856" s="2" t="s">
        <v>11036</v>
      </c>
      <c r="Q3856" s="2">
        <f>AVERAGE(PerfRate[[#This Row],[EnvironmentSatisfaction]],PerfRate[[#This Row],[JobSatisfaction]],PerfRate[[#This Row],[RelationshipSatisfaction]])</f>
        <v>3.6666666666666665</v>
      </c>
      <c r="R3856" s="2">
        <f>PerfRate[[#This Row],[ManagerRating]] - PerfRate[[#This Row],[SelfRating]]</f>
        <v>0</v>
      </c>
    </row>
    <row r="3857" spans="1:18">
      <c r="A3857" s="2" t="s">
        <v>8164</v>
      </c>
      <c r="B3857" s="2" t="s">
        <v>3651</v>
      </c>
      <c r="C3857" s="1">
        <v>43933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  <c r="L3857" s="2" t="s">
        <v>11031</v>
      </c>
      <c r="M3857" s="2" t="s">
        <v>11031</v>
      </c>
      <c r="N3857" s="2" t="s">
        <v>11036</v>
      </c>
      <c r="O3857" s="2" t="s">
        <v>11036</v>
      </c>
      <c r="P3857" s="2" t="s">
        <v>11037</v>
      </c>
      <c r="Q3857" s="2">
        <f>AVERAGE(PerfRate[[#This Row],[EnvironmentSatisfaction]],PerfRate[[#This Row],[JobSatisfaction]],PerfRate[[#This Row],[RelationshipSatisfaction]])</f>
        <v>3.3333333333333335</v>
      </c>
      <c r="R3857" s="2">
        <f>PerfRate[[#This Row],[ManagerRating]] - PerfRate[[#This Row],[SelfRating]]</f>
        <v>0</v>
      </c>
    </row>
    <row r="3858" spans="1:18">
      <c r="A3858" s="2" t="s">
        <v>8165</v>
      </c>
      <c r="B3858" s="2" t="s">
        <v>118</v>
      </c>
      <c r="C3858" s="1">
        <v>43994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  <c r="L3858" s="2" t="s">
        <v>11029</v>
      </c>
      <c r="M3858" s="2" t="s">
        <v>11028</v>
      </c>
      <c r="N3858" s="2" t="s">
        <v>11038</v>
      </c>
      <c r="O3858" s="2" t="s">
        <v>11036</v>
      </c>
      <c r="P3858" s="2" t="s">
        <v>11035</v>
      </c>
      <c r="Q3858" s="2">
        <f>AVERAGE(PerfRate[[#This Row],[EnvironmentSatisfaction]],PerfRate[[#This Row],[JobSatisfaction]],PerfRate[[#This Row],[RelationshipSatisfaction]])</f>
        <v>3.3333333333333335</v>
      </c>
      <c r="R3858" s="2">
        <f>PerfRate[[#This Row],[ManagerRating]] - PerfRate[[#This Row],[SelfRating]]</f>
        <v>-1</v>
      </c>
    </row>
    <row r="3859" spans="1:18">
      <c r="A3859" s="2" t="s">
        <v>8166</v>
      </c>
      <c r="B3859" s="2" t="s">
        <v>1692</v>
      </c>
      <c r="C3859" s="1">
        <v>43994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  <c r="L3859" s="2" t="s">
        <v>11031</v>
      </c>
      <c r="M3859" s="2" t="s">
        <v>11030</v>
      </c>
      <c r="N3859" s="2" t="s">
        <v>11038</v>
      </c>
      <c r="O3859" s="2" t="s">
        <v>11037</v>
      </c>
      <c r="P3859" s="2" t="s">
        <v>11036</v>
      </c>
      <c r="Q3859" s="2">
        <f>AVERAGE(PerfRate[[#This Row],[EnvironmentSatisfaction]],PerfRate[[#This Row],[JobSatisfaction]],PerfRate[[#This Row],[RelationshipSatisfaction]])</f>
        <v>4</v>
      </c>
      <c r="R3859" s="2">
        <f>PerfRate[[#This Row],[ManagerRating]] - PerfRate[[#This Row],[SelfRating]]</f>
        <v>-1</v>
      </c>
    </row>
    <row r="3860" spans="1:18">
      <c r="A3860" s="2" t="s">
        <v>8167</v>
      </c>
      <c r="B3860" s="2" t="s">
        <v>3963</v>
      </c>
      <c r="C3860" s="1">
        <v>44024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  <c r="L3860" s="2" t="s">
        <v>11030</v>
      </c>
      <c r="M3860" s="2" t="s">
        <v>11030</v>
      </c>
      <c r="N3860" s="2" t="s">
        <v>11038</v>
      </c>
      <c r="O3860" s="2" t="s">
        <v>11036</v>
      </c>
      <c r="P3860" s="2" t="s">
        <v>11035</v>
      </c>
      <c r="Q3860" s="2">
        <f>AVERAGE(PerfRate[[#This Row],[EnvironmentSatisfaction]],PerfRate[[#This Row],[JobSatisfaction]],PerfRate[[#This Row],[RelationshipSatisfaction]])</f>
        <v>3.3333333333333335</v>
      </c>
      <c r="R3860" s="2">
        <f>PerfRate[[#This Row],[ManagerRating]] - PerfRate[[#This Row],[SelfRating]]</f>
        <v>0</v>
      </c>
    </row>
    <row r="3861" spans="1:18">
      <c r="A3861" s="2" t="s">
        <v>8168</v>
      </c>
      <c r="B3861" s="2" t="s">
        <v>2730</v>
      </c>
      <c r="C3861" s="1">
        <v>44024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  <c r="L3861" s="2" t="s">
        <v>11030</v>
      </c>
      <c r="M3861" s="2" t="s">
        <v>11029</v>
      </c>
      <c r="N3861" s="2" t="s">
        <v>11036</v>
      </c>
      <c r="O3861" s="2" t="s">
        <v>11037</v>
      </c>
      <c r="P3861" s="2" t="s">
        <v>11038</v>
      </c>
      <c r="Q3861" s="2">
        <f>AVERAGE(PerfRate[[#This Row],[EnvironmentSatisfaction]],PerfRate[[#This Row],[JobSatisfaction]],PerfRate[[#This Row],[RelationshipSatisfaction]])</f>
        <v>4</v>
      </c>
      <c r="R3861" s="2">
        <f>PerfRate[[#This Row],[ManagerRating]] - PerfRate[[#This Row],[SelfRating]]</f>
        <v>-1</v>
      </c>
    </row>
    <row r="3862" spans="1:18">
      <c r="A3862" s="2" t="s">
        <v>8169</v>
      </c>
      <c r="B3862" s="2" t="s">
        <v>1883</v>
      </c>
      <c r="C3862" s="1">
        <v>44024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  <c r="L3862" s="2" t="s">
        <v>11031</v>
      </c>
      <c r="M3862" s="2" t="s">
        <v>11031</v>
      </c>
      <c r="N3862" s="2" t="s">
        <v>11037</v>
      </c>
      <c r="O3862" s="2" t="s">
        <v>11037</v>
      </c>
      <c r="P3862" s="2" t="s">
        <v>11038</v>
      </c>
      <c r="Q3862" s="2">
        <f>AVERAGE(PerfRate[[#This Row],[EnvironmentSatisfaction]],PerfRate[[#This Row],[JobSatisfaction]],PerfRate[[#This Row],[RelationshipSatisfaction]])</f>
        <v>4.333333333333333</v>
      </c>
      <c r="R3862" s="2">
        <f>PerfRate[[#This Row],[ManagerRating]] - PerfRate[[#This Row],[SelfRating]]</f>
        <v>0</v>
      </c>
    </row>
    <row r="3863" spans="1:18">
      <c r="A3863" s="2" t="s">
        <v>8170</v>
      </c>
      <c r="B3863" s="2" t="s">
        <v>3093</v>
      </c>
      <c r="C3863" s="1">
        <v>42156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  <c r="L3863" s="2" t="s">
        <v>11029</v>
      </c>
      <c r="M3863" s="2" t="s">
        <v>11029</v>
      </c>
      <c r="N3863" s="2" t="s">
        <v>11036</v>
      </c>
      <c r="O3863" s="2" t="s">
        <v>11038</v>
      </c>
      <c r="P3863" s="2" t="s">
        <v>11038</v>
      </c>
      <c r="Q3863" s="2">
        <f>AVERAGE(PerfRate[[#This Row],[EnvironmentSatisfaction]],PerfRate[[#This Row],[JobSatisfaction]],PerfRate[[#This Row],[RelationshipSatisfaction]])</f>
        <v>4.333333333333333</v>
      </c>
      <c r="R3863" s="2">
        <f>PerfRate[[#This Row],[ManagerRating]] - PerfRate[[#This Row],[SelfRating]]</f>
        <v>0</v>
      </c>
    </row>
    <row r="3864" spans="1:18">
      <c r="A3864" s="2" t="s">
        <v>8171</v>
      </c>
      <c r="B3864" s="2" t="s">
        <v>4202</v>
      </c>
      <c r="C3864" s="1">
        <v>44055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  <c r="L3864" s="2" t="s">
        <v>11029</v>
      </c>
      <c r="M3864" s="2" t="s">
        <v>11028</v>
      </c>
      <c r="N3864" s="2" t="s">
        <v>11037</v>
      </c>
      <c r="O3864" s="2" t="s">
        <v>11037</v>
      </c>
      <c r="P3864" s="2" t="s">
        <v>11037</v>
      </c>
      <c r="Q3864" s="2">
        <f>AVERAGE(PerfRate[[#This Row],[EnvironmentSatisfaction]],PerfRate[[#This Row],[JobSatisfaction]],PerfRate[[#This Row],[RelationshipSatisfaction]])</f>
        <v>4</v>
      </c>
      <c r="R3864" s="2">
        <f>PerfRate[[#This Row],[ManagerRating]] - PerfRate[[#This Row],[SelfRating]]</f>
        <v>-1</v>
      </c>
    </row>
    <row r="3865" spans="1:18">
      <c r="A3865" s="2" t="s">
        <v>8172</v>
      </c>
      <c r="B3865" s="2" t="s">
        <v>380</v>
      </c>
      <c r="C3865" s="1">
        <v>44055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  <c r="L3865" s="2" t="s">
        <v>11031</v>
      </c>
      <c r="M3865" s="2" t="s">
        <v>11030</v>
      </c>
      <c r="N3865" s="2" t="s">
        <v>11037</v>
      </c>
      <c r="O3865" s="2" t="s">
        <v>11038</v>
      </c>
      <c r="P3865" s="2" t="s">
        <v>11035</v>
      </c>
      <c r="Q3865" s="2">
        <f>AVERAGE(PerfRate[[#This Row],[EnvironmentSatisfaction]],PerfRate[[#This Row],[JobSatisfaction]],PerfRate[[#This Row],[RelationshipSatisfaction]])</f>
        <v>3.6666666666666665</v>
      </c>
      <c r="R3865" s="2">
        <f>PerfRate[[#This Row],[ManagerRating]] - PerfRate[[#This Row],[SelfRating]]</f>
        <v>-1</v>
      </c>
    </row>
    <row r="3866" spans="1:18">
      <c r="A3866" s="2" t="s">
        <v>8173</v>
      </c>
      <c r="B3866" s="2" t="s">
        <v>856</v>
      </c>
      <c r="C3866" s="1">
        <v>44116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  <c r="L3866" s="2" t="s">
        <v>11029</v>
      </c>
      <c r="M3866" s="2" t="s">
        <v>11029</v>
      </c>
      <c r="N3866" s="2" t="s">
        <v>11037</v>
      </c>
      <c r="O3866" s="2" t="s">
        <v>11038</v>
      </c>
      <c r="P3866" s="2" t="s">
        <v>11035</v>
      </c>
      <c r="Q3866" s="2">
        <f>AVERAGE(PerfRate[[#This Row],[EnvironmentSatisfaction]],PerfRate[[#This Row],[JobSatisfaction]],PerfRate[[#This Row],[RelationshipSatisfaction]])</f>
        <v>3.6666666666666665</v>
      </c>
      <c r="R3866" s="2">
        <f>PerfRate[[#This Row],[ManagerRating]] - PerfRate[[#This Row],[SelfRating]]</f>
        <v>0</v>
      </c>
    </row>
    <row r="3867" spans="1:18">
      <c r="A3867" s="2" t="s">
        <v>8174</v>
      </c>
      <c r="B3867" s="2" t="s">
        <v>3123</v>
      </c>
      <c r="C3867" s="1">
        <v>44116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  <c r="L3867" s="2" t="s">
        <v>11029</v>
      </c>
      <c r="M3867" s="2" t="s">
        <v>11029</v>
      </c>
      <c r="N3867" s="2" t="s">
        <v>11036</v>
      </c>
      <c r="O3867" s="2" t="s">
        <v>11035</v>
      </c>
      <c r="P3867" s="2" t="s">
        <v>11037</v>
      </c>
      <c r="Q3867" s="2">
        <f>AVERAGE(PerfRate[[#This Row],[EnvironmentSatisfaction]],PerfRate[[#This Row],[JobSatisfaction]],PerfRate[[#This Row],[RelationshipSatisfaction]])</f>
        <v>3</v>
      </c>
      <c r="R3867" s="2">
        <f>PerfRate[[#This Row],[ManagerRating]] - PerfRate[[#This Row],[SelfRating]]</f>
        <v>0</v>
      </c>
    </row>
    <row r="3868" spans="1:18">
      <c r="A3868" s="2" t="s">
        <v>8175</v>
      </c>
      <c r="B3868" s="2" t="s">
        <v>1599</v>
      </c>
      <c r="C3868" s="1">
        <v>44147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  <c r="L3868" s="2" t="s">
        <v>11030</v>
      </c>
      <c r="M3868" s="2" t="s">
        <v>11030</v>
      </c>
      <c r="N3868" s="2" t="s">
        <v>11036</v>
      </c>
      <c r="O3868" s="2" t="s">
        <v>11036</v>
      </c>
      <c r="P3868" s="2" t="s">
        <v>11037</v>
      </c>
      <c r="Q3868" s="2">
        <f>AVERAGE(PerfRate[[#This Row],[EnvironmentSatisfaction]],PerfRate[[#This Row],[JobSatisfaction]],PerfRate[[#This Row],[RelationshipSatisfaction]])</f>
        <v>3.3333333333333335</v>
      </c>
      <c r="R3868" s="2">
        <f>PerfRate[[#This Row],[ManagerRating]] - PerfRate[[#This Row],[SelfRating]]</f>
        <v>0</v>
      </c>
    </row>
    <row r="3869" spans="1:18">
      <c r="A3869" s="2" t="s">
        <v>8176</v>
      </c>
      <c r="B3869" s="2" t="s">
        <v>2237</v>
      </c>
      <c r="C3869" s="1">
        <v>44147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  <c r="L3869" s="2" t="s">
        <v>11031</v>
      </c>
      <c r="M3869" s="2" t="s">
        <v>11030</v>
      </c>
      <c r="N3869" s="2" t="s">
        <v>11038</v>
      </c>
      <c r="O3869" s="2" t="s">
        <v>11035</v>
      </c>
      <c r="P3869" s="2" t="s">
        <v>11035</v>
      </c>
      <c r="Q3869" s="2">
        <f>AVERAGE(PerfRate[[#This Row],[EnvironmentSatisfaction]],PerfRate[[#This Row],[JobSatisfaction]],PerfRate[[#This Row],[RelationshipSatisfaction]])</f>
        <v>3</v>
      </c>
      <c r="R3869" s="2">
        <f>PerfRate[[#This Row],[ManagerRating]] - PerfRate[[#This Row],[SelfRating]]</f>
        <v>-1</v>
      </c>
    </row>
    <row r="3870" spans="1:18">
      <c r="A3870" s="2" t="s">
        <v>8177</v>
      </c>
      <c r="B3870" s="2" t="s">
        <v>3362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  <c r="L3870" s="2" t="s">
        <v>11029</v>
      </c>
      <c r="M3870" s="2" t="s">
        <v>11029</v>
      </c>
      <c r="N3870" s="2" t="s">
        <v>11036</v>
      </c>
      <c r="O3870" s="2" t="s">
        <v>11036</v>
      </c>
      <c r="P3870" s="2" t="s">
        <v>11035</v>
      </c>
      <c r="Q3870" s="2">
        <f>AVERAGE(PerfRate[[#This Row],[EnvironmentSatisfaction]],PerfRate[[#This Row],[JobSatisfaction]],PerfRate[[#This Row],[RelationshipSatisfaction]])</f>
        <v>2.6666666666666665</v>
      </c>
      <c r="R3870" s="2">
        <f>PerfRate[[#This Row],[ManagerRating]] - PerfRate[[#This Row],[SelfRating]]</f>
        <v>0</v>
      </c>
    </row>
    <row r="3871" spans="1:18">
      <c r="A3871" s="2" t="s">
        <v>8178</v>
      </c>
      <c r="B3871" s="2" t="s">
        <v>314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  <c r="L3871" s="2" t="s">
        <v>11030</v>
      </c>
      <c r="M3871" s="2" t="s">
        <v>11030</v>
      </c>
      <c r="N3871" s="2" t="s">
        <v>11037</v>
      </c>
      <c r="O3871" s="2" t="s">
        <v>11037</v>
      </c>
      <c r="P3871" s="2" t="s">
        <v>11036</v>
      </c>
      <c r="Q3871" s="2">
        <f>AVERAGE(PerfRate[[#This Row],[EnvironmentSatisfaction]],PerfRate[[#This Row],[JobSatisfaction]],PerfRate[[#This Row],[RelationshipSatisfaction]])</f>
        <v>3.6666666666666665</v>
      </c>
      <c r="R3871" s="2">
        <f>PerfRate[[#This Row],[ManagerRating]] - PerfRate[[#This Row],[SelfRating]]</f>
        <v>0</v>
      </c>
    </row>
    <row r="3872" spans="1:18">
      <c r="A3872" s="2" t="s">
        <v>8179</v>
      </c>
      <c r="B3872" s="2" t="s">
        <v>1566</v>
      </c>
      <c r="C3872" s="1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  <c r="L3872" s="2" t="s">
        <v>11029</v>
      </c>
      <c r="M3872" s="2" t="s">
        <v>11028</v>
      </c>
      <c r="N3872" s="2" t="s">
        <v>11038</v>
      </c>
      <c r="O3872" s="2" t="s">
        <v>11035</v>
      </c>
      <c r="P3872" s="2" t="s">
        <v>11037</v>
      </c>
      <c r="Q3872" s="2">
        <f>AVERAGE(PerfRate[[#This Row],[EnvironmentSatisfaction]],PerfRate[[#This Row],[JobSatisfaction]],PerfRate[[#This Row],[RelationshipSatisfaction]])</f>
        <v>3.6666666666666665</v>
      </c>
      <c r="R3872" s="2">
        <f>PerfRate[[#This Row],[ManagerRating]] - PerfRate[[#This Row],[SelfRating]]</f>
        <v>-1</v>
      </c>
    </row>
    <row r="3873" spans="1:18">
      <c r="A3873" s="2" t="s">
        <v>8180</v>
      </c>
      <c r="B3873" s="2" t="s">
        <v>3160</v>
      </c>
      <c r="C3873" s="1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  <c r="L3873" s="2" t="s">
        <v>11031</v>
      </c>
      <c r="M3873" s="2" t="s">
        <v>11030</v>
      </c>
      <c r="N3873" s="2" t="s">
        <v>11038</v>
      </c>
      <c r="O3873" s="2" t="s">
        <v>11038</v>
      </c>
      <c r="P3873" s="2" t="s">
        <v>11038</v>
      </c>
      <c r="Q3873" s="2">
        <f>AVERAGE(PerfRate[[#This Row],[EnvironmentSatisfaction]],PerfRate[[#This Row],[JobSatisfaction]],PerfRate[[#This Row],[RelationshipSatisfaction]])</f>
        <v>5</v>
      </c>
      <c r="R3873" s="2">
        <f>PerfRate[[#This Row],[ManagerRating]] - PerfRate[[#This Row],[SelfRating]]</f>
        <v>-1</v>
      </c>
    </row>
    <row r="3874" spans="1:18">
      <c r="A3874" s="2" t="s">
        <v>8181</v>
      </c>
      <c r="B3874" s="2" t="s">
        <v>141</v>
      </c>
      <c r="C3874" s="1">
        <v>42186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  <c r="L3874" s="2" t="s">
        <v>11029</v>
      </c>
      <c r="M3874" s="2" t="s">
        <v>11029</v>
      </c>
      <c r="N3874" s="2" t="s">
        <v>11038</v>
      </c>
      <c r="O3874" s="2" t="s">
        <v>11037</v>
      </c>
      <c r="P3874" s="2" t="s">
        <v>11037</v>
      </c>
      <c r="Q3874" s="2">
        <f>AVERAGE(PerfRate[[#This Row],[EnvironmentSatisfaction]],PerfRate[[#This Row],[JobSatisfaction]],PerfRate[[#This Row],[RelationshipSatisfaction]])</f>
        <v>4.333333333333333</v>
      </c>
      <c r="R3874" s="2">
        <f>PerfRate[[#This Row],[ManagerRating]] - PerfRate[[#This Row],[SelfRating]]</f>
        <v>0</v>
      </c>
    </row>
    <row r="3875" spans="1:18">
      <c r="A3875" s="2" t="s">
        <v>8182</v>
      </c>
      <c r="B3875" s="2" t="s">
        <v>2051</v>
      </c>
      <c r="C3875" s="1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  <c r="L3875" s="2" t="s">
        <v>11029</v>
      </c>
      <c r="M3875" s="2" t="s">
        <v>11029</v>
      </c>
      <c r="N3875" s="2" t="s">
        <v>11037</v>
      </c>
      <c r="O3875" s="2" t="s">
        <v>11038</v>
      </c>
      <c r="P3875" s="2" t="s">
        <v>11035</v>
      </c>
      <c r="Q3875" s="2">
        <f>AVERAGE(PerfRate[[#This Row],[EnvironmentSatisfaction]],PerfRate[[#This Row],[JobSatisfaction]],PerfRate[[#This Row],[RelationshipSatisfaction]])</f>
        <v>3.6666666666666665</v>
      </c>
      <c r="R3875" s="2">
        <f>PerfRate[[#This Row],[ManagerRating]] - PerfRate[[#This Row],[SelfRating]]</f>
        <v>0</v>
      </c>
    </row>
    <row r="3876" spans="1:18">
      <c r="A3876" s="2" t="s">
        <v>8183</v>
      </c>
      <c r="B3876" s="2" t="s">
        <v>2257</v>
      </c>
      <c r="C3876" s="1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  <c r="L3876" s="2" t="s">
        <v>11030</v>
      </c>
      <c r="M3876" s="2" t="s">
        <v>11030</v>
      </c>
      <c r="N3876" s="2" t="s">
        <v>11038</v>
      </c>
      <c r="O3876" s="2" t="s">
        <v>11038</v>
      </c>
      <c r="P3876" s="2" t="s">
        <v>11036</v>
      </c>
      <c r="Q3876" s="2">
        <f>AVERAGE(PerfRate[[#This Row],[EnvironmentSatisfaction]],PerfRate[[#This Row],[JobSatisfaction]],PerfRate[[#This Row],[RelationshipSatisfaction]])</f>
        <v>4.333333333333333</v>
      </c>
      <c r="R3876" s="2">
        <f>PerfRate[[#This Row],[ManagerRating]] - PerfRate[[#This Row],[SelfRating]]</f>
        <v>0</v>
      </c>
    </row>
    <row r="3877" spans="1:18">
      <c r="A3877" s="2" t="s">
        <v>8184</v>
      </c>
      <c r="B3877" s="2" t="s">
        <v>2514</v>
      </c>
      <c r="C3877" s="1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  <c r="L3877" s="2" t="s">
        <v>11030</v>
      </c>
      <c r="M3877" s="2" t="s">
        <v>11029</v>
      </c>
      <c r="N3877" s="2" t="s">
        <v>11037</v>
      </c>
      <c r="O3877" s="2" t="s">
        <v>11037</v>
      </c>
      <c r="P3877" s="2" t="s">
        <v>11038</v>
      </c>
      <c r="Q3877" s="2">
        <f>AVERAGE(PerfRate[[#This Row],[EnvironmentSatisfaction]],PerfRate[[#This Row],[JobSatisfaction]],PerfRate[[#This Row],[RelationshipSatisfaction]])</f>
        <v>4.333333333333333</v>
      </c>
      <c r="R3877" s="2">
        <f>PerfRate[[#This Row],[ManagerRating]] - PerfRate[[#This Row],[SelfRating]]</f>
        <v>-1</v>
      </c>
    </row>
    <row r="3878" spans="1:18">
      <c r="A3878" s="2" t="s">
        <v>8185</v>
      </c>
      <c r="B3878" s="2" t="s">
        <v>3476</v>
      </c>
      <c r="C3878" s="1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  <c r="L3878" s="2" t="s">
        <v>11031</v>
      </c>
      <c r="M3878" s="2" t="s">
        <v>11031</v>
      </c>
      <c r="N3878" s="2" t="s">
        <v>11038</v>
      </c>
      <c r="O3878" s="2" t="s">
        <v>11035</v>
      </c>
      <c r="P3878" s="2" t="s">
        <v>11038</v>
      </c>
      <c r="Q3878" s="2">
        <f>AVERAGE(PerfRate[[#This Row],[EnvironmentSatisfaction]],PerfRate[[#This Row],[JobSatisfaction]],PerfRate[[#This Row],[RelationshipSatisfaction]])</f>
        <v>4</v>
      </c>
      <c r="R3878" s="2">
        <f>PerfRate[[#This Row],[ManagerRating]] - PerfRate[[#This Row],[SelfRating]]</f>
        <v>0</v>
      </c>
    </row>
    <row r="3879" spans="1:18">
      <c r="A3879" s="2" t="s">
        <v>8186</v>
      </c>
      <c r="B3879" s="2" t="s">
        <v>211</v>
      </c>
      <c r="C3879" s="1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  <c r="L3879" s="2" t="s">
        <v>11030</v>
      </c>
      <c r="M3879" s="2" t="s">
        <v>11030</v>
      </c>
      <c r="N3879" s="2" t="s">
        <v>11038</v>
      </c>
      <c r="O3879" s="2" t="s">
        <v>11037</v>
      </c>
      <c r="P3879" s="2" t="s">
        <v>11036</v>
      </c>
      <c r="Q3879" s="2">
        <f>AVERAGE(PerfRate[[#This Row],[EnvironmentSatisfaction]],PerfRate[[#This Row],[JobSatisfaction]],PerfRate[[#This Row],[RelationshipSatisfaction]])</f>
        <v>4</v>
      </c>
      <c r="R3879" s="2">
        <f>PerfRate[[#This Row],[ManagerRating]] - PerfRate[[#This Row],[SelfRating]]</f>
        <v>0</v>
      </c>
    </row>
    <row r="3880" spans="1:18">
      <c r="A3880" s="2" t="s">
        <v>8187</v>
      </c>
      <c r="B3880" s="2" t="s">
        <v>1397</v>
      </c>
      <c r="C3880" s="1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  <c r="L3880" s="2" t="s">
        <v>11030</v>
      </c>
      <c r="M3880" s="2" t="s">
        <v>11030</v>
      </c>
      <c r="N3880" s="2" t="s">
        <v>11038</v>
      </c>
      <c r="O3880" s="2" t="s">
        <v>11035</v>
      </c>
      <c r="P3880" s="2" t="s">
        <v>11038</v>
      </c>
      <c r="Q3880" s="2">
        <f>AVERAGE(PerfRate[[#This Row],[EnvironmentSatisfaction]],PerfRate[[#This Row],[JobSatisfaction]],PerfRate[[#This Row],[RelationshipSatisfaction]])</f>
        <v>4</v>
      </c>
      <c r="R3880" s="2">
        <f>PerfRate[[#This Row],[ManagerRating]] - PerfRate[[#This Row],[SelfRating]]</f>
        <v>0</v>
      </c>
    </row>
    <row r="3881" spans="1:18">
      <c r="A3881" s="2" t="s">
        <v>8188</v>
      </c>
      <c r="B3881" s="2" t="s">
        <v>2251</v>
      </c>
      <c r="C3881" s="1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  <c r="L3881" s="2" t="s">
        <v>11029</v>
      </c>
      <c r="M3881" s="2" t="s">
        <v>11029</v>
      </c>
      <c r="N3881" s="2" t="s">
        <v>11038</v>
      </c>
      <c r="O3881" s="2" t="s">
        <v>11038</v>
      </c>
      <c r="P3881" s="2" t="s">
        <v>11038</v>
      </c>
      <c r="Q3881" s="2">
        <f>AVERAGE(PerfRate[[#This Row],[EnvironmentSatisfaction]],PerfRate[[#This Row],[JobSatisfaction]],PerfRate[[#This Row],[RelationshipSatisfaction]])</f>
        <v>5</v>
      </c>
      <c r="R3881" s="2">
        <f>PerfRate[[#This Row],[ManagerRating]] - PerfRate[[#This Row],[SelfRating]]</f>
        <v>0</v>
      </c>
    </row>
    <row r="3882" spans="1:18">
      <c r="A3882" s="2" t="s">
        <v>8189</v>
      </c>
      <c r="B3882" s="2" t="s">
        <v>3606</v>
      </c>
      <c r="C3882" s="1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  <c r="L3882" s="2" t="s">
        <v>11031</v>
      </c>
      <c r="M3882" s="2" t="s">
        <v>11031</v>
      </c>
      <c r="N3882" s="2" t="s">
        <v>11037</v>
      </c>
      <c r="O3882" s="2" t="s">
        <v>11038</v>
      </c>
      <c r="P3882" s="2" t="s">
        <v>11038</v>
      </c>
      <c r="Q3882" s="2">
        <f>AVERAGE(PerfRate[[#This Row],[EnvironmentSatisfaction]],PerfRate[[#This Row],[JobSatisfaction]],PerfRate[[#This Row],[RelationshipSatisfaction]])</f>
        <v>4.666666666666667</v>
      </c>
      <c r="R3882" s="2">
        <f>PerfRate[[#This Row],[ManagerRating]] - PerfRate[[#This Row],[SelfRating]]</f>
        <v>0</v>
      </c>
    </row>
    <row r="3883" spans="1:18">
      <c r="A3883" s="2" t="s">
        <v>8190</v>
      </c>
      <c r="B3883" s="2" t="s">
        <v>679</v>
      </c>
      <c r="C3883" s="1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  <c r="L3883" s="2" t="s">
        <v>11030</v>
      </c>
      <c r="M3883" s="2" t="s">
        <v>11029</v>
      </c>
      <c r="N3883" s="2" t="s">
        <v>11037</v>
      </c>
      <c r="O3883" s="2" t="s">
        <v>11035</v>
      </c>
      <c r="P3883" s="2" t="s">
        <v>11038</v>
      </c>
      <c r="Q3883" s="2">
        <f>AVERAGE(PerfRate[[#This Row],[EnvironmentSatisfaction]],PerfRate[[#This Row],[JobSatisfaction]],PerfRate[[#This Row],[RelationshipSatisfaction]])</f>
        <v>3.6666666666666665</v>
      </c>
      <c r="R3883" s="2">
        <f>PerfRate[[#This Row],[ManagerRating]] - PerfRate[[#This Row],[SelfRating]]</f>
        <v>-1</v>
      </c>
    </row>
    <row r="3884" spans="1:18">
      <c r="A3884" s="2" t="s">
        <v>8191</v>
      </c>
      <c r="B3884" s="2" t="s">
        <v>2005</v>
      </c>
      <c r="C3884" s="1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  <c r="L3884" s="2" t="s">
        <v>11029</v>
      </c>
      <c r="M3884" s="2" t="s">
        <v>11029</v>
      </c>
      <c r="N3884" s="2" t="s">
        <v>11037</v>
      </c>
      <c r="O3884" s="2" t="s">
        <v>11038</v>
      </c>
      <c r="P3884" s="2" t="s">
        <v>11036</v>
      </c>
      <c r="Q3884" s="2">
        <f>AVERAGE(PerfRate[[#This Row],[EnvironmentSatisfaction]],PerfRate[[#This Row],[JobSatisfaction]],PerfRate[[#This Row],[RelationshipSatisfaction]])</f>
        <v>4</v>
      </c>
      <c r="R3884" s="2">
        <f>PerfRate[[#This Row],[ManagerRating]] - PerfRate[[#This Row],[SelfRating]]</f>
        <v>0</v>
      </c>
    </row>
    <row r="3885" spans="1:18">
      <c r="A3885" s="2" t="s">
        <v>8192</v>
      </c>
      <c r="B3885" s="2" t="s">
        <v>428</v>
      </c>
      <c r="C3885" s="1">
        <v>42217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  <c r="L3885" s="2" t="s">
        <v>11031</v>
      </c>
      <c r="M3885" s="2" t="s">
        <v>11031</v>
      </c>
      <c r="N3885" s="2" t="s">
        <v>11036</v>
      </c>
      <c r="O3885" s="2" t="s">
        <v>11035</v>
      </c>
      <c r="P3885" s="2" t="s">
        <v>11035</v>
      </c>
      <c r="Q3885" s="2">
        <f>AVERAGE(PerfRate[[#This Row],[EnvironmentSatisfaction]],PerfRate[[#This Row],[JobSatisfaction]],PerfRate[[#This Row],[RelationshipSatisfaction]])</f>
        <v>2.3333333333333335</v>
      </c>
      <c r="R3885" s="2">
        <f>PerfRate[[#This Row],[ManagerRating]] - PerfRate[[#This Row],[SelfRating]]</f>
        <v>0</v>
      </c>
    </row>
    <row r="3886" spans="1:18">
      <c r="A3886" s="2" t="s">
        <v>8193</v>
      </c>
      <c r="B3886" s="2" t="s">
        <v>278</v>
      </c>
      <c r="C3886" s="1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  <c r="L3886" s="2" t="s">
        <v>11029</v>
      </c>
      <c r="M3886" s="2" t="s">
        <v>11028</v>
      </c>
      <c r="N3886" s="2" t="s">
        <v>11037</v>
      </c>
      <c r="O3886" s="2" t="s">
        <v>11038</v>
      </c>
      <c r="P3886" s="2" t="s">
        <v>11036</v>
      </c>
      <c r="Q3886" s="2">
        <f>AVERAGE(PerfRate[[#This Row],[EnvironmentSatisfaction]],PerfRate[[#This Row],[JobSatisfaction]],PerfRate[[#This Row],[RelationshipSatisfaction]])</f>
        <v>4</v>
      </c>
      <c r="R3886" s="2">
        <f>PerfRate[[#This Row],[ManagerRating]] - PerfRate[[#This Row],[SelfRating]]</f>
        <v>-1</v>
      </c>
    </row>
    <row r="3887" spans="1:18">
      <c r="A3887" s="2" t="s">
        <v>8194</v>
      </c>
      <c r="B3887" s="2" t="s">
        <v>186</v>
      </c>
      <c r="C3887" s="1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  <c r="L3887" s="2" t="s">
        <v>11029</v>
      </c>
      <c r="M3887" s="2" t="s">
        <v>11028</v>
      </c>
      <c r="N3887" s="2" t="s">
        <v>11037</v>
      </c>
      <c r="O3887" s="2" t="s">
        <v>11038</v>
      </c>
      <c r="P3887" s="2" t="s">
        <v>11038</v>
      </c>
      <c r="Q3887" s="2">
        <f>AVERAGE(PerfRate[[#This Row],[EnvironmentSatisfaction]],PerfRate[[#This Row],[JobSatisfaction]],PerfRate[[#This Row],[RelationshipSatisfaction]])</f>
        <v>4.666666666666667</v>
      </c>
      <c r="R3887" s="2">
        <f>PerfRate[[#This Row],[ManagerRating]] - PerfRate[[#This Row],[SelfRating]]</f>
        <v>-1</v>
      </c>
    </row>
    <row r="3888" spans="1:18">
      <c r="A3888" s="2" t="s">
        <v>8195</v>
      </c>
      <c r="B3888" s="2" t="s">
        <v>1277</v>
      </c>
      <c r="C3888" s="1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  <c r="L3888" s="2" t="s">
        <v>11030</v>
      </c>
      <c r="M3888" s="2" t="s">
        <v>11029</v>
      </c>
      <c r="N3888" s="2" t="s">
        <v>11036</v>
      </c>
      <c r="O3888" s="2" t="s">
        <v>11036</v>
      </c>
      <c r="P3888" s="2" t="s">
        <v>11036</v>
      </c>
      <c r="Q3888" s="2">
        <f>AVERAGE(PerfRate[[#This Row],[EnvironmentSatisfaction]],PerfRate[[#This Row],[JobSatisfaction]],PerfRate[[#This Row],[RelationshipSatisfaction]])</f>
        <v>3</v>
      </c>
      <c r="R3888" s="2">
        <f>PerfRate[[#This Row],[ManagerRating]] - PerfRate[[#This Row],[SelfRating]]</f>
        <v>-1</v>
      </c>
    </row>
    <row r="3889" spans="1:18">
      <c r="A3889" s="2" t="s">
        <v>8196</v>
      </c>
      <c r="B3889" s="2" t="s">
        <v>1635</v>
      </c>
      <c r="C3889" s="1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  <c r="L3889" s="2" t="s">
        <v>11031</v>
      </c>
      <c r="M3889" s="2" t="s">
        <v>11030</v>
      </c>
      <c r="N3889" s="2" t="s">
        <v>11038</v>
      </c>
      <c r="O3889" s="2" t="s">
        <v>11038</v>
      </c>
      <c r="P3889" s="2" t="s">
        <v>11037</v>
      </c>
      <c r="Q3889" s="2">
        <f>AVERAGE(PerfRate[[#This Row],[EnvironmentSatisfaction]],PerfRate[[#This Row],[JobSatisfaction]],PerfRate[[#This Row],[RelationshipSatisfaction]])</f>
        <v>4.666666666666667</v>
      </c>
      <c r="R3889" s="2">
        <f>PerfRate[[#This Row],[ManagerRating]] - PerfRate[[#This Row],[SelfRating]]</f>
        <v>-1</v>
      </c>
    </row>
    <row r="3890" spans="1:18">
      <c r="A3890" s="2" t="s">
        <v>8197</v>
      </c>
      <c r="B3890" s="2" t="s">
        <v>311</v>
      </c>
      <c r="C3890" s="1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  <c r="L3890" s="2" t="s">
        <v>11030</v>
      </c>
      <c r="M3890" s="2" t="s">
        <v>11030</v>
      </c>
      <c r="N3890" s="2" t="s">
        <v>11036</v>
      </c>
      <c r="O3890" s="2" t="s">
        <v>11038</v>
      </c>
      <c r="P3890" s="2" t="s">
        <v>11036</v>
      </c>
      <c r="Q3890" s="2">
        <f>AVERAGE(PerfRate[[#This Row],[EnvironmentSatisfaction]],PerfRate[[#This Row],[JobSatisfaction]],PerfRate[[#This Row],[RelationshipSatisfaction]])</f>
        <v>3.6666666666666665</v>
      </c>
      <c r="R3890" s="2">
        <f>PerfRate[[#This Row],[ManagerRating]] - PerfRate[[#This Row],[SelfRating]]</f>
        <v>0</v>
      </c>
    </row>
    <row r="3891" spans="1:18">
      <c r="A3891" s="2" t="s">
        <v>8198</v>
      </c>
      <c r="B3891" s="2" t="s">
        <v>413</v>
      </c>
      <c r="C3891" s="1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  <c r="L3891" s="2" t="s">
        <v>11031</v>
      </c>
      <c r="M3891" s="2" t="s">
        <v>11031</v>
      </c>
      <c r="N3891" s="2" t="s">
        <v>11038</v>
      </c>
      <c r="O3891" s="2" t="s">
        <v>11035</v>
      </c>
      <c r="P3891" s="2" t="s">
        <v>11035</v>
      </c>
      <c r="Q3891" s="2">
        <f>AVERAGE(PerfRate[[#This Row],[EnvironmentSatisfaction]],PerfRate[[#This Row],[JobSatisfaction]],PerfRate[[#This Row],[RelationshipSatisfaction]])</f>
        <v>3</v>
      </c>
      <c r="R3891" s="2">
        <f>PerfRate[[#This Row],[ManagerRating]] - PerfRate[[#This Row],[SelfRating]]</f>
        <v>0</v>
      </c>
    </row>
    <row r="3892" spans="1:18">
      <c r="A3892" s="2" t="s">
        <v>8199</v>
      </c>
      <c r="B3892" s="2" t="s">
        <v>949</v>
      </c>
      <c r="C3892" s="1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  <c r="L3892" s="2" t="s">
        <v>11029</v>
      </c>
      <c r="M3892" s="2" t="s">
        <v>11029</v>
      </c>
      <c r="N3892" s="2" t="s">
        <v>11038</v>
      </c>
      <c r="O3892" s="2" t="s">
        <v>11037</v>
      </c>
      <c r="P3892" s="2" t="s">
        <v>11038</v>
      </c>
      <c r="Q3892" s="2">
        <f>AVERAGE(PerfRate[[#This Row],[EnvironmentSatisfaction]],PerfRate[[#This Row],[JobSatisfaction]],PerfRate[[#This Row],[RelationshipSatisfaction]])</f>
        <v>4.666666666666667</v>
      </c>
      <c r="R3892" s="2">
        <f>PerfRate[[#This Row],[ManagerRating]] - PerfRate[[#This Row],[SelfRating]]</f>
        <v>0</v>
      </c>
    </row>
    <row r="3893" spans="1:18">
      <c r="A3893" s="2" t="s">
        <v>8200</v>
      </c>
      <c r="B3893" s="2" t="s">
        <v>1438</v>
      </c>
      <c r="C3893" s="1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  <c r="L3893" s="2" t="s">
        <v>11030</v>
      </c>
      <c r="M3893" s="2" t="s">
        <v>11030</v>
      </c>
      <c r="N3893" s="2" t="s">
        <v>11038</v>
      </c>
      <c r="O3893" s="2" t="s">
        <v>11036</v>
      </c>
      <c r="P3893" s="2" t="s">
        <v>11036</v>
      </c>
      <c r="Q3893" s="2">
        <f>AVERAGE(PerfRate[[#This Row],[EnvironmentSatisfaction]],PerfRate[[#This Row],[JobSatisfaction]],PerfRate[[#This Row],[RelationshipSatisfaction]])</f>
        <v>3.6666666666666665</v>
      </c>
      <c r="R3893" s="2">
        <f>PerfRate[[#This Row],[ManagerRating]] - PerfRate[[#This Row],[SelfRating]]</f>
        <v>0</v>
      </c>
    </row>
    <row r="3894" spans="1:18">
      <c r="A3894" s="2" t="s">
        <v>8201</v>
      </c>
      <c r="B3894" s="2" t="s">
        <v>2065</v>
      </c>
      <c r="C3894" s="1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  <c r="L3894" s="2" t="s">
        <v>11030</v>
      </c>
      <c r="M3894" s="2" t="s">
        <v>11030</v>
      </c>
      <c r="N3894" s="2" t="s">
        <v>11038</v>
      </c>
      <c r="O3894" s="2" t="s">
        <v>11038</v>
      </c>
      <c r="P3894" s="2" t="s">
        <v>11037</v>
      </c>
      <c r="Q3894" s="2">
        <f>AVERAGE(PerfRate[[#This Row],[EnvironmentSatisfaction]],PerfRate[[#This Row],[JobSatisfaction]],PerfRate[[#This Row],[RelationshipSatisfaction]])</f>
        <v>4.666666666666667</v>
      </c>
      <c r="R3894" s="2">
        <f>PerfRate[[#This Row],[ManagerRating]] - PerfRate[[#This Row],[SelfRating]]</f>
        <v>0</v>
      </c>
    </row>
    <row r="3895" spans="1:18">
      <c r="A3895" s="2" t="s">
        <v>8202</v>
      </c>
      <c r="B3895" s="2" t="s">
        <v>4035</v>
      </c>
      <c r="C3895" s="1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  <c r="L3895" s="2" t="s">
        <v>11031</v>
      </c>
      <c r="M3895" s="2" t="s">
        <v>11031</v>
      </c>
      <c r="N3895" s="2" t="s">
        <v>11038</v>
      </c>
      <c r="O3895" s="2" t="s">
        <v>11035</v>
      </c>
      <c r="P3895" s="2" t="s">
        <v>11036</v>
      </c>
      <c r="Q3895" s="2">
        <f>AVERAGE(PerfRate[[#This Row],[EnvironmentSatisfaction]],PerfRate[[#This Row],[JobSatisfaction]],PerfRate[[#This Row],[RelationshipSatisfaction]])</f>
        <v>3.3333333333333335</v>
      </c>
      <c r="R3895" s="2">
        <f>PerfRate[[#This Row],[ManagerRating]] - PerfRate[[#This Row],[SelfRating]]</f>
        <v>0</v>
      </c>
    </row>
    <row r="3896" spans="1:18">
      <c r="A3896" s="2" t="s">
        <v>8203</v>
      </c>
      <c r="B3896" s="2" t="s">
        <v>2109</v>
      </c>
      <c r="C3896" s="1">
        <v>41580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  <c r="L3896" s="2" t="s">
        <v>11031</v>
      </c>
      <c r="M3896" s="2" t="s">
        <v>11030</v>
      </c>
      <c r="N3896" s="2" t="s">
        <v>11037</v>
      </c>
      <c r="O3896" s="2" t="s">
        <v>11038</v>
      </c>
      <c r="P3896" s="2" t="s">
        <v>11036</v>
      </c>
      <c r="Q3896" s="2">
        <f>AVERAGE(PerfRate[[#This Row],[EnvironmentSatisfaction]],PerfRate[[#This Row],[JobSatisfaction]],PerfRate[[#This Row],[RelationshipSatisfaction]])</f>
        <v>4</v>
      </c>
      <c r="R3896" s="2">
        <f>PerfRate[[#This Row],[ManagerRating]] - PerfRate[[#This Row],[SelfRating]]</f>
        <v>-1</v>
      </c>
    </row>
    <row r="3897" spans="1:18">
      <c r="A3897" s="2" t="s">
        <v>8204</v>
      </c>
      <c r="B3897" s="2" t="s">
        <v>1945</v>
      </c>
      <c r="C3897" s="1">
        <v>42278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  <c r="L3897" s="2" t="s">
        <v>11031</v>
      </c>
      <c r="M3897" s="2" t="s">
        <v>11030</v>
      </c>
      <c r="N3897" s="2" t="s">
        <v>11038</v>
      </c>
      <c r="O3897" s="2" t="s">
        <v>11037</v>
      </c>
      <c r="P3897" s="2" t="s">
        <v>11036</v>
      </c>
      <c r="Q3897" s="2">
        <f>AVERAGE(PerfRate[[#This Row],[EnvironmentSatisfaction]],PerfRate[[#This Row],[JobSatisfaction]],PerfRate[[#This Row],[RelationshipSatisfaction]])</f>
        <v>4</v>
      </c>
      <c r="R3897" s="2">
        <f>PerfRate[[#This Row],[ManagerRating]] - PerfRate[[#This Row],[SelfRating]]</f>
        <v>-1</v>
      </c>
    </row>
    <row r="3898" spans="1:18">
      <c r="A3898" s="2" t="s">
        <v>8205</v>
      </c>
      <c r="B3898" s="2" t="s">
        <v>901</v>
      </c>
      <c r="C3898" s="1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  <c r="L3898" s="2" t="s">
        <v>11030</v>
      </c>
      <c r="M3898" s="2" t="s">
        <v>11029</v>
      </c>
      <c r="N3898" s="2" t="s">
        <v>11038</v>
      </c>
      <c r="O3898" s="2" t="s">
        <v>11036</v>
      </c>
      <c r="P3898" s="2" t="s">
        <v>11037</v>
      </c>
      <c r="Q3898" s="2">
        <f>AVERAGE(PerfRate[[#This Row],[EnvironmentSatisfaction]],PerfRate[[#This Row],[JobSatisfaction]],PerfRate[[#This Row],[RelationshipSatisfaction]])</f>
        <v>4</v>
      </c>
      <c r="R3898" s="2">
        <f>PerfRate[[#This Row],[ManagerRating]] - PerfRate[[#This Row],[SelfRating]]</f>
        <v>-1</v>
      </c>
    </row>
    <row r="3899" spans="1:18">
      <c r="A3899" s="2" t="s">
        <v>8206</v>
      </c>
      <c r="B3899" s="2" t="s">
        <v>860</v>
      </c>
      <c r="C3899" s="1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  <c r="L3899" s="2" t="s">
        <v>11029</v>
      </c>
      <c r="M3899" s="2" t="s">
        <v>11029</v>
      </c>
      <c r="N3899" s="2" t="s">
        <v>11038</v>
      </c>
      <c r="O3899" s="2" t="s">
        <v>11038</v>
      </c>
      <c r="P3899" s="2" t="s">
        <v>11038</v>
      </c>
      <c r="Q3899" s="2">
        <f>AVERAGE(PerfRate[[#This Row],[EnvironmentSatisfaction]],PerfRate[[#This Row],[JobSatisfaction]],PerfRate[[#This Row],[RelationshipSatisfaction]])</f>
        <v>5</v>
      </c>
      <c r="R3899" s="2">
        <f>PerfRate[[#This Row],[ManagerRating]] - PerfRate[[#This Row],[SelfRating]]</f>
        <v>0</v>
      </c>
    </row>
    <row r="3900" spans="1:18">
      <c r="A3900" s="2" t="s">
        <v>8207</v>
      </c>
      <c r="B3900" s="2" t="s">
        <v>1623</v>
      </c>
      <c r="C3900" s="1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  <c r="L3900" s="2" t="s">
        <v>11031</v>
      </c>
      <c r="M3900" s="2" t="s">
        <v>11030</v>
      </c>
      <c r="N3900" s="2" t="s">
        <v>11036</v>
      </c>
      <c r="O3900" s="2" t="s">
        <v>11038</v>
      </c>
      <c r="P3900" s="2" t="s">
        <v>11037</v>
      </c>
      <c r="Q3900" s="2">
        <f>AVERAGE(PerfRate[[#This Row],[EnvironmentSatisfaction]],PerfRate[[#This Row],[JobSatisfaction]],PerfRate[[#This Row],[RelationshipSatisfaction]])</f>
        <v>4</v>
      </c>
      <c r="R3900" s="2">
        <f>PerfRate[[#This Row],[ManagerRating]] - PerfRate[[#This Row],[SelfRating]]</f>
        <v>-1</v>
      </c>
    </row>
    <row r="3901" spans="1:18">
      <c r="A3901" s="2" t="s">
        <v>8208</v>
      </c>
      <c r="B3901" s="2" t="s">
        <v>1514</v>
      </c>
      <c r="C3901" s="1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  <c r="L3901" s="2" t="s">
        <v>11029</v>
      </c>
      <c r="M3901" s="2" t="s">
        <v>11028</v>
      </c>
      <c r="N3901" s="2" t="s">
        <v>11037</v>
      </c>
      <c r="O3901" s="2" t="s">
        <v>11038</v>
      </c>
      <c r="P3901" s="2" t="s">
        <v>11037</v>
      </c>
      <c r="Q3901" s="2">
        <f>AVERAGE(PerfRate[[#This Row],[EnvironmentSatisfaction]],PerfRate[[#This Row],[JobSatisfaction]],PerfRate[[#This Row],[RelationshipSatisfaction]])</f>
        <v>4.333333333333333</v>
      </c>
      <c r="R3901" s="2">
        <f>PerfRate[[#This Row],[ManagerRating]] - PerfRate[[#This Row],[SelfRating]]</f>
        <v>-1</v>
      </c>
    </row>
    <row r="3902" spans="1:18">
      <c r="A3902" s="2" t="s">
        <v>8209</v>
      </c>
      <c r="B3902" s="2" t="s">
        <v>2054</v>
      </c>
      <c r="C3902" s="1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  <c r="L3902" s="2" t="s">
        <v>11031</v>
      </c>
      <c r="M3902" s="2" t="s">
        <v>11030</v>
      </c>
      <c r="N3902" s="2" t="s">
        <v>11037</v>
      </c>
      <c r="O3902" s="2" t="s">
        <v>11035</v>
      </c>
      <c r="P3902" s="2" t="s">
        <v>11035</v>
      </c>
      <c r="Q3902" s="2">
        <f>AVERAGE(PerfRate[[#This Row],[EnvironmentSatisfaction]],PerfRate[[#This Row],[JobSatisfaction]],PerfRate[[#This Row],[RelationshipSatisfaction]])</f>
        <v>2.6666666666666665</v>
      </c>
      <c r="R3902" s="2">
        <f>PerfRate[[#This Row],[ManagerRating]] - PerfRate[[#This Row],[SelfRating]]</f>
        <v>-1</v>
      </c>
    </row>
    <row r="3903" spans="1:18">
      <c r="A3903" s="2" t="s">
        <v>8210</v>
      </c>
      <c r="B3903" s="2" t="s">
        <v>1776</v>
      </c>
      <c r="C3903" s="1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  <c r="L3903" s="2" t="s">
        <v>11030</v>
      </c>
      <c r="M3903" s="2" t="s">
        <v>11030</v>
      </c>
      <c r="N3903" s="2" t="s">
        <v>11036</v>
      </c>
      <c r="O3903" s="2" t="s">
        <v>11037</v>
      </c>
      <c r="P3903" s="2" t="s">
        <v>11036</v>
      </c>
      <c r="Q3903" s="2">
        <f>AVERAGE(PerfRate[[#This Row],[EnvironmentSatisfaction]],PerfRate[[#This Row],[JobSatisfaction]],PerfRate[[#This Row],[RelationshipSatisfaction]])</f>
        <v>3.3333333333333335</v>
      </c>
      <c r="R3903" s="2">
        <f>PerfRate[[#This Row],[ManagerRating]] - PerfRate[[#This Row],[SelfRating]]</f>
        <v>0</v>
      </c>
    </row>
    <row r="3904" spans="1:18">
      <c r="A3904" s="2" t="s">
        <v>8211</v>
      </c>
      <c r="B3904" s="2" t="s">
        <v>3006</v>
      </c>
      <c r="C3904" s="1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  <c r="L3904" s="2" t="s">
        <v>11030</v>
      </c>
      <c r="M3904" s="2" t="s">
        <v>11029</v>
      </c>
      <c r="N3904" s="2" t="s">
        <v>11036</v>
      </c>
      <c r="O3904" s="2" t="s">
        <v>11037</v>
      </c>
      <c r="P3904" s="2" t="s">
        <v>11036</v>
      </c>
      <c r="Q3904" s="2">
        <f>AVERAGE(PerfRate[[#This Row],[EnvironmentSatisfaction]],PerfRate[[#This Row],[JobSatisfaction]],PerfRate[[#This Row],[RelationshipSatisfaction]])</f>
        <v>3.3333333333333335</v>
      </c>
      <c r="R3904" s="2">
        <f>PerfRate[[#This Row],[ManagerRating]] - PerfRate[[#This Row],[SelfRating]]</f>
        <v>-1</v>
      </c>
    </row>
    <row r="3905" spans="1:18">
      <c r="A3905" s="2" t="s">
        <v>8212</v>
      </c>
      <c r="B3905" s="2" t="s">
        <v>3207</v>
      </c>
      <c r="C3905" s="1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  <c r="L3905" s="2" t="s">
        <v>11029</v>
      </c>
      <c r="M3905" s="2" t="s">
        <v>11028</v>
      </c>
      <c r="N3905" s="2" t="s">
        <v>11037</v>
      </c>
      <c r="O3905" s="2" t="s">
        <v>11036</v>
      </c>
      <c r="P3905" s="2" t="s">
        <v>11038</v>
      </c>
      <c r="Q3905" s="2">
        <f>AVERAGE(PerfRate[[#This Row],[EnvironmentSatisfaction]],PerfRate[[#This Row],[JobSatisfaction]],PerfRate[[#This Row],[RelationshipSatisfaction]])</f>
        <v>4</v>
      </c>
      <c r="R3905" s="2">
        <f>PerfRate[[#This Row],[ManagerRating]] - PerfRate[[#This Row],[SelfRating]]</f>
        <v>-1</v>
      </c>
    </row>
    <row r="3906" spans="1:18">
      <c r="A3906" s="2" t="s">
        <v>8213</v>
      </c>
      <c r="B3906" s="2" t="s">
        <v>419</v>
      </c>
      <c r="C3906" s="1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  <c r="L3906" s="2" t="s">
        <v>11030</v>
      </c>
      <c r="M3906" s="2" t="s">
        <v>11030</v>
      </c>
      <c r="N3906" s="2" t="s">
        <v>11037</v>
      </c>
      <c r="O3906" s="2" t="s">
        <v>11036</v>
      </c>
      <c r="P3906" s="2" t="s">
        <v>11036</v>
      </c>
      <c r="Q3906" s="2">
        <f>AVERAGE(PerfRate[[#This Row],[EnvironmentSatisfaction]],PerfRate[[#This Row],[JobSatisfaction]],PerfRate[[#This Row],[RelationshipSatisfaction]])</f>
        <v>3.3333333333333335</v>
      </c>
      <c r="R3906" s="2">
        <f>PerfRate[[#This Row],[ManagerRating]] - PerfRate[[#This Row],[SelfRating]]</f>
        <v>0</v>
      </c>
    </row>
    <row r="3907" spans="1:18">
      <c r="A3907" s="2" t="s">
        <v>8214</v>
      </c>
      <c r="B3907" s="2" t="s">
        <v>2644</v>
      </c>
      <c r="C3907" s="1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  <c r="L3907" s="2" t="s">
        <v>11029</v>
      </c>
      <c r="M3907" s="2" t="s">
        <v>11029</v>
      </c>
      <c r="N3907" s="2" t="s">
        <v>11037</v>
      </c>
      <c r="O3907" s="2" t="s">
        <v>11036</v>
      </c>
      <c r="P3907" s="2" t="s">
        <v>11038</v>
      </c>
      <c r="Q3907" s="2">
        <f>AVERAGE(PerfRate[[#This Row],[EnvironmentSatisfaction]],PerfRate[[#This Row],[JobSatisfaction]],PerfRate[[#This Row],[RelationshipSatisfaction]])</f>
        <v>4</v>
      </c>
      <c r="R3907" s="2">
        <f>PerfRate[[#This Row],[ManagerRating]] - PerfRate[[#This Row],[SelfRating]]</f>
        <v>0</v>
      </c>
    </row>
    <row r="3908" spans="1:18">
      <c r="A3908" s="2" t="s">
        <v>8215</v>
      </c>
      <c r="B3908" s="2" t="s">
        <v>934</v>
      </c>
      <c r="C3908" s="1">
        <v>42278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  <c r="L3908" s="2" t="s">
        <v>11031</v>
      </c>
      <c r="M3908" s="2" t="s">
        <v>11030</v>
      </c>
      <c r="N3908" s="2" t="s">
        <v>11038</v>
      </c>
      <c r="O3908" s="2" t="s">
        <v>11037</v>
      </c>
      <c r="P3908" s="2" t="s">
        <v>11035</v>
      </c>
      <c r="Q3908" s="2">
        <f>AVERAGE(PerfRate[[#This Row],[EnvironmentSatisfaction]],PerfRate[[#This Row],[JobSatisfaction]],PerfRate[[#This Row],[RelationshipSatisfaction]])</f>
        <v>3.6666666666666665</v>
      </c>
      <c r="R3908" s="2">
        <f>PerfRate[[#This Row],[ManagerRating]] - PerfRate[[#This Row],[SelfRating]]</f>
        <v>-1</v>
      </c>
    </row>
    <row r="3909" spans="1:18">
      <c r="A3909" s="2" t="s">
        <v>8216</v>
      </c>
      <c r="B3909" s="2" t="s">
        <v>2856</v>
      </c>
      <c r="C3909" s="1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  <c r="L3909" s="2" t="s">
        <v>11029</v>
      </c>
      <c r="M3909" s="2" t="s">
        <v>11029</v>
      </c>
      <c r="N3909" s="2" t="s">
        <v>11036</v>
      </c>
      <c r="O3909" s="2" t="s">
        <v>11038</v>
      </c>
      <c r="P3909" s="2" t="s">
        <v>11038</v>
      </c>
      <c r="Q3909" s="2">
        <f>AVERAGE(PerfRate[[#This Row],[EnvironmentSatisfaction]],PerfRate[[#This Row],[JobSatisfaction]],PerfRate[[#This Row],[RelationshipSatisfaction]])</f>
        <v>4.333333333333333</v>
      </c>
      <c r="R3909" s="2">
        <f>PerfRate[[#This Row],[ManagerRating]] - PerfRate[[#This Row],[SelfRating]]</f>
        <v>0</v>
      </c>
    </row>
    <row r="3910" spans="1:18">
      <c r="A3910" s="2" t="s">
        <v>8217</v>
      </c>
      <c r="B3910" s="2" t="s">
        <v>2560</v>
      </c>
      <c r="C3910" s="1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  <c r="L3910" s="2" t="s">
        <v>11031</v>
      </c>
      <c r="M3910" s="2" t="s">
        <v>11031</v>
      </c>
      <c r="N3910" s="2" t="s">
        <v>11036</v>
      </c>
      <c r="O3910" s="2" t="s">
        <v>11036</v>
      </c>
      <c r="P3910" s="2" t="s">
        <v>11036</v>
      </c>
      <c r="Q3910" s="2">
        <f>AVERAGE(PerfRate[[#This Row],[EnvironmentSatisfaction]],PerfRate[[#This Row],[JobSatisfaction]],PerfRate[[#This Row],[RelationshipSatisfaction]])</f>
        <v>3</v>
      </c>
      <c r="R3910" s="2">
        <f>PerfRate[[#This Row],[ManagerRating]] - PerfRate[[#This Row],[SelfRating]]</f>
        <v>0</v>
      </c>
    </row>
    <row r="3911" spans="1:18">
      <c r="A3911" s="2" t="s">
        <v>8218</v>
      </c>
      <c r="B3911" s="2" t="s">
        <v>628</v>
      </c>
      <c r="C3911" s="1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  <c r="L3911" s="2" t="s">
        <v>11030</v>
      </c>
      <c r="M3911" s="2" t="s">
        <v>11030</v>
      </c>
      <c r="N3911" s="2" t="s">
        <v>11036</v>
      </c>
      <c r="O3911" s="2" t="s">
        <v>11035</v>
      </c>
      <c r="P3911" s="2" t="s">
        <v>11038</v>
      </c>
      <c r="Q3911" s="2">
        <f>AVERAGE(PerfRate[[#This Row],[EnvironmentSatisfaction]],PerfRate[[#This Row],[JobSatisfaction]],PerfRate[[#This Row],[RelationshipSatisfaction]])</f>
        <v>3.3333333333333335</v>
      </c>
      <c r="R3911" s="2">
        <f>PerfRate[[#This Row],[ManagerRating]] - PerfRate[[#This Row],[SelfRating]]</f>
        <v>0</v>
      </c>
    </row>
    <row r="3912" spans="1:18">
      <c r="A3912" s="2" t="s">
        <v>8219</v>
      </c>
      <c r="B3912" s="2" t="s">
        <v>997</v>
      </c>
      <c r="C3912" s="1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  <c r="L3912" s="2" t="s">
        <v>11030</v>
      </c>
      <c r="M3912" s="2" t="s">
        <v>11030</v>
      </c>
      <c r="N3912" s="2" t="s">
        <v>11037</v>
      </c>
      <c r="O3912" s="2" t="s">
        <v>11038</v>
      </c>
      <c r="P3912" s="2" t="s">
        <v>11035</v>
      </c>
      <c r="Q3912" s="2">
        <f>AVERAGE(PerfRate[[#This Row],[EnvironmentSatisfaction]],PerfRate[[#This Row],[JobSatisfaction]],PerfRate[[#This Row],[RelationshipSatisfaction]])</f>
        <v>3.6666666666666665</v>
      </c>
      <c r="R3912" s="2">
        <f>PerfRate[[#This Row],[ManagerRating]] - PerfRate[[#This Row],[SelfRating]]</f>
        <v>0</v>
      </c>
    </row>
    <row r="3913" spans="1:18">
      <c r="A3913" s="2" t="s">
        <v>8220</v>
      </c>
      <c r="B3913" s="2" t="s">
        <v>2062</v>
      </c>
      <c r="C3913" s="1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  <c r="L3913" s="2" t="s">
        <v>11031</v>
      </c>
      <c r="M3913" s="2" t="s">
        <v>11030</v>
      </c>
      <c r="N3913" s="2" t="s">
        <v>11036</v>
      </c>
      <c r="O3913" s="2" t="s">
        <v>11037</v>
      </c>
      <c r="P3913" s="2" t="s">
        <v>11037</v>
      </c>
      <c r="Q3913" s="2">
        <f>AVERAGE(PerfRate[[#This Row],[EnvironmentSatisfaction]],PerfRate[[#This Row],[JobSatisfaction]],PerfRate[[#This Row],[RelationshipSatisfaction]])</f>
        <v>3.6666666666666665</v>
      </c>
      <c r="R3913" s="2">
        <f>PerfRate[[#This Row],[ManagerRating]] - PerfRate[[#This Row],[SelfRating]]</f>
        <v>-1</v>
      </c>
    </row>
    <row r="3914" spans="1:18">
      <c r="A3914" s="2" t="s">
        <v>8221</v>
      </c>
      <c r="B3914" s="2" t="s">
        <v>788</v>
      </c>
      <c r="C3914" s="1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  <c r="L3914" s="2" t="s">
        <v>11030</v>
      </c>
      <c r="M3914" s="2" t="s">
        <v>11029</v>
      </c>
      <c r="N3914" s="2" t="s">
        <v>11036</v>
      </c>
      <c r="O3914" s="2" t="s">
        <v>11038</v>
      </c>
      <c r="P3914" s="2" t="s">
        <v>11037</v>
      </c>
      <c r="Q3914" s="2">
        <f>AVERAGE(PerfRate[[#This Row],[EnvironmentSatisfaction]],PerfRate[[#This Row],[JobSatisfaction]],PerfRate[[#This Row],[RelationshipSatisfaction]])</f>
        <v>4</v>
      </c>
      <c r="R3914" s="2">
        <f>PerfRate[[#This Row],[ManagerRating]] - PerfRate[[#This Row],[SelfRating]]</f>
        <v>-1</v>
      </c>
    </row>
    <row r="3915" spans="1:18">
      <c r="A3915" s="2" t="s">
        <v>8222</v>
      </c>
      <c r="B3915" s="2" t="s">
        <v>368</v>
      </c>
      <c r="C3915" s="1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  <c r="L3915" s="2" t="s">
        <v>11031</v>
      </c>
      <c r="M3915" s="2" t="s">
        <v>11031</v>
      </c>
      <c r="N3915" s="2" t="s">
        <v>11036</v>
      </c>
      <c r="O3915" s="2" t="s">
        <v>11036</v>
      </c>
      <c r="P3915" s="2" t="s">
        <v>11035</v>
      </c>
      <c r="Q3915" s="2">
        <f>AVERAGE(PerfRate[[#This Row],[EnvironmentSatisfaction]],PerfRate[[#This Row],[JobSatisfaction]],PerfRate[[#This Row],[RelationshipSatisfaction]])</f>
        <v>2.6666666666666665</v>
      </c>
      <c r="R3915" s="2">
        <f>PerfRate[[#This Row],[ManagerRating]] - PerfRate[[#This Row],[SelfRating]]</f>
        <v>0</v>
      </c>
    </row>
    <row r="3916" spans="1:18">
      <c r="A3916" s="2" t="s">
        <v>8223</v>
      </c>
      <c r="B3916" s="2" t="s">
        <v>287</v>
      </c>
      <c r="C3916" s="1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  <c r="L3916" s="2" t="s">
        <v>11031</v>
      </c>
      <c r="M3916" s="2" t="s">
        <v>11031</v>
      </c>
      <c r="N3916" s="2" t="s">
        <v>11037</v>
      </c>
      <c r="O3916" s="2" t="s">
        <v>11038</v>
      </c>
      <c r="P3916" s="2" t="s">
        <v>11038</v>
      </c>
      <c r="Q3916" s="2">
        <f>AVERAGE(PerfRate[[#This Row],[EnvironmentSatisfaction]],PerfRate[[#This Row],[JobSatisfaction]],PerfRate[[#This Row],[RelationshipSatisfaction]])</f>
        <v>4.666666666666667</v>
      </c>
      <c r="R3916" s="2">
        <f>PerfRate[[#This Row],[ManagerRating]] - PerfRate[[#This Row],[SelfRating]]</f>
        <v>0</v>
      </c>
    </row>
    <row r="3917" spans="1:18">
      <c r="A3917" s="2" t="s">
        <v>8224</v>
      </c>
      <c r="B3917" s="2" t="s">
        <v>866</v>
      </c>
      <c r="C3917" s="1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  <c r="L3917" s="2" t="s">
        <v>11029</v>
      </c>
      <c r="M3917" s="2" t="s">
        <v>11029</v>
      </c>
      <c r="N3917" s="2" t="s">
        <v>11037</v>
      </c>
      <c r="O3917" s="2" t="s">
        <v>11035</v>
      </c>
      <c r="P3917" s="2" t="s">
        <v>11037</v>
      </c>
      <c r="Q3917" s="2">
        <f>AVERAGE(PerfRate[[#This Row],[EnvironmentSatisfaction]],PerfRate[[#This Row],[JobSatisfaction]],PerfRate[[#This Row],[RelationshipSatisfaction]])</f>
        <v>3.3333333333333335</v>
      </c>
      <c r="R3917" s="2">
        <f>PerfRate[[#This Row],[ManagerRating]] - PerfRate[[#This Row],[SelfRating]]</f>
        <v>0</v>
      </c>
    </row>
    <row r="3918" spans="1:18">
      <c r="A3918" s="2" t="s">
        <v>8225</v>
      </c>
      <c r="B3918" s="2" t="s">
        <v>1638</v>
      </c>
      <c r="C3918" s="1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  <c r="L3918" s="2" t="s">
        <v>11030</v>
      </c>
      <c r="M3918" s="2" t="s">
        <v>11029</v>
      </c>
      <c r="N3918" s="2" t="s">
        <v>11036</v>
      </c>
      <c r="O3918" s="2" t="s">
        <v>11038</v>
      </c>
      <c r="P3918" s="2" t="s">
        <v>11035</v>
      </c>
      <c r="Q3918" s="2">
        <f>AVERAGE(PerfRate[[#This Row],[EnvironmentSatisfaction]],PerfRate[[#This Row],[JobSatisfaction]],PerfRate[[#This Row],[RelationshipSatisfaction]])</f>
        <v>3.3333333333333335</v>
      </c>
      <c r="R3918" s="2">
        <f>PerfRate[[#This Row],[ManagerRating]] - PerfRate[[#This Row],[SelfRating]]</f>
        <v>-1</v>
      </c>
    </row>
    <row r="3919" spans="1:18">
      <c r="A3919" s="2" t="s">
        <v>8226</v>
      </c>
      <c r="B3919" s="2" t="s">
        <v>853</v>
      </c>
      <c r="C3919" s="1">
        <v>42309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  <c r="L3919" s="2" t="s">
        <v>11029</v>
      </c>
      <c r="M3919" s="2" t="s">
        <v>11029</v>
      </c>
      <c r="N3919" s="2" t="s">
        <v>11036</v>
      </c>
      <c r="O3919" s="2" t="s">
        <v>11036</v>
      </c>
      <c r="P3919" s="2" t="s">
        <v>11035</v>
      </c>
      <c r="Q3919" s="2">
        <f>AVERAGE(PerfRate[[#This Row],[EnvironmentSatisfaction]],PerfRate[[#This Row],[JobSatisfaction]],PerfRate[[#This Row],[RelationshipSatisfaction]])</f>
        <v>2.6666666666666665</v>
      </c>
      <c r="R3919" s="2">
        <f>PerfRate[[#This Row],[ManagerRating]] - PerfRate[[#This Row],[SelfRating]]</f>
        <v>0</v>
      </c>
    </row>
    <row r="3920" spans="1:18">
      <c r="A3920" s="2" t="s">
        <v>8227</v>
      </c>
      <c r="B3920" s="2" t="s">
        <v>2089</v>
      </c>
      <c r="C3920" s="1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  <c r="L3920" s="2" t="s">
        <v>11030</v>
      </c>
      <c r="M3920" s="2" t="s">
        <v>11030</v>
      </c>
      <c r="N3920" s="2" t="s">
        <v>11037</v>
      </c>
      <c r="O3920" s="2" t="s">
        <v>11035</v>
      </c>
      <c r="P3920" s="2" t="s">
        <v>11037</v>
      </c>
      <c r="Q3920" s="2">
        <f>AVERAGE(PerfRate[[#This Row],[EnvironmentSatisfaction]],PerfRate[[#This Row],[JobSatisfaction]],PerfRate[[#This Row],[RelationshipSatisfaction]])</f>
        <v>3.3333333333333335</v>
      </c>
      <c r="R3920" s="2">
        <f>PerfRate[[#This Row],[ManagerRating]] - PerfRate[[#This Row],[SelfRating]]</f>
        <v>0</v>
      </c>
    </row>
    <row r="3921" spans="1:18">
      <c r="A3921" s="2" t="s">
        <v>8228</v>
      </c>
      <c r="B3921" s="2" t="s">
        <v>1862</v>
      </c>
      <c r="C3921" s="1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  <c r="L3921" s="2" t="s">
        <v>11030</v>
      </c>
      <c r="M3921" s="2" t="s">
        <v>11030</v>
      </c>
      <c r="N3921" s="2" t="s">
        <v>11036</v>
      </c>
      <c r="O3921" s="2" t="s">
        <v>11037</v>
      </c>
      <c r="P3921" s="2" t="s">
        <v>11036</v>
      </c>
      <c r="Q3921" s="2">
        <f>AVERAGE(PerfRate[[#This Row],[EnvironmentSatisfaction]],PerfRate[[#This Row],[JobSatisfaction]],PerfRate[[#This Row],[RelationshipSatisfaction]])</f>
        <v>3.3333333333333335</v>
      </c>
      <c r="R3921" s="2">
        <f>PerfRate[[#This Row],[ManagerRating]] - PerfRate[[#This Row],[SelfRating]]</f>
        <v>0</v>
      </c>
    </row>
    <row r="3922" spans="1:18">
      <c r="A3922" s="2" t="s">
        <v>8229</v>
      </c>
      <c r="B3922" s="2" t="s">
        <v>2378</v>
      </c>
      <c r="C3922" s="1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  <c r="L3922" s="2" t="s">
        <v>11031</v>
      </c>
      <c r="M3922" s="2" t="s">
        <v>11031</v>
      </c>
      <c r="N3922" s="2" t="s">
        <v>11036</v>
      </c>
      <c r="O3922" s="2" t="s">
        <v>11035</v>
      </c>
      <c r="P3922" s="2" t="s">
        <v>11035</v>
      </c>
      <c r="Q3922" s="2">
        <f>AVERAGE(PerfRate[[#This Row],[EnvironmentSatisfaction]],PerfRate[[#This Row],[JobSatisfaction]],PerfRate[[#This Row],[RelationshipSatisfaction]])</f>
        <v>2.3333333333333335</v>
      </c>
      <c r="R3922" s="2">
        <f>PerfRate[[#This Row],[ManagerRating]] - PerfRate[[#This Row],[SelfRating]]</f>
        <v>0</v>
      </c>
    </row>
    <row r="3923" spans="1:18">
      <c r="A3923" s="2" t="s">
        <v>8230</v>
      </c>
      <c r="B3923" s="2" t="s">
        <v>3572</v>
      </c>
      <c r="C3923" s="1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  <c r="L3923" s="2" t="s">
        <v>11030</v>
      </c>
      <c r="M3923" s="2" t="s">
        <v>11030</v>
      </c>
      <c r="N3923" s="2" t="s">
        <v>11038</v>
      </c>
      <c r="O3923" s="2" t="s">
        <v>11038</v>
      </c>
      <c r="P3923" s="2" t="s">
        <v>11038</v>
      </c>
      <c r="Q3923" s="2">
        <f>AVERAGE(PerfRate[[#This Row],[EnvironmentSatisfaction]],PerfRate[[#This Row],[JobSatisfaction]],PerfRate[[#This Row],[RelationshipSatisfaction]])</f>
        <v>5</v>
      </c>
      <c r="R3923" s="2">
        <f>PerfRate[[#This Row],[ManagerRating]] - PerfRate[[#This Row],[SelfRating]]</f>
        <v>0</v>
      </c>
    </row>
    <row r="3924" spans="1:18">
      <c r="A3924" s="2" t="s">
        <v>8231</v>
      </c>
      <c r="B3924" s="2" t="s">
        <v>204</v>
      </c>
      <c r="C3924" s="1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  <c r="L3924" s="2" t="s">
        <v>11030</v>
      </c>
      <c r="M3924" s="2" t="s">
        <v>11030</v>
      </c>
      <c r="N3924" s="2" t="s">
        <v>11038</v>
      </c>
      <c r="O3924" s="2" t="s">
        <v>11036</v>
      </c>
      <c r="P3924" s="2" t="s">
        <v>11035</v>
      </c>
      <c r="Q3924" s="2">
        <f>AVERAGE(PerfRate[[#This Row],[EnvironmentSatisfaction]],PerfRate[[#This Row],[JobSatisfaction]],PerfRate[[#This Row],[RelationshipSatisfaction]])</f>
        <v>3.3333333333333335</v>
      </c>
      <c r="R3924" s="2">
        <f>PerfRate[[#This Row],[ManagerRating]] - PerfRate[[#This Row],[SelfRating]]</f>
        <v>0</v>
      </c>
    </row>
    <row r="3925" spans="1:18">
      <c r="A3925" s="2" t="s">
        <v>8232</v>
      </c>
      <c r="B3925" s="2" t="s">
        <v>904</v>
      </c>
      <c r="C3925" s="1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  <c r="L3925" s="2" t="s">
        <v>11031</v>
      </c>
      <c r="M3925" s="2" t="s">
        <v>11030</v>
      </c>
      <c r="N3925" s="2" t="s">
        <v>11036</v>
      </c>
      <c r="O3925" s="2" t="s">
        <v>11036</v>
      </c>
      <c r="P3925" s="2" t="s">
        <v>11036</v>
      </c>
      <c r="Q3925" s="2">
        <f>AVERAGE(PerfRate[[#This Row],[EnvironmentSatisfaction]],PerfRate[[#This Row],[JobSatisfaction]],PerfRate[[#This Row],[RelationshipSatisfaction]])</f>
        <v>3</v>
      </c>
      <c r="R3925" s="2">
        <f>PerfRate[[#This Row],[ManagerRating]] - PerfRate[[#This Row],[SelfRating]]</f>
        <v>-1</v>
      </c>
    </row>
    <row r="3926" spans="1:18">
      <c r="A3926" s="2" t="s">
        <v>8233</v>
      </c>
      <c r="B3926" s="2" t="s">
        <v>1429</v>
      </c>
      <c r="C3926" s="1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  <c r="L3926" s="2" t="s">
        <v>11031</v>
      </c>
      <c r="M3926" s="2" t="s">
        <v>11031</v>
      </c>
      <c r="N3926" s="2" t="s">
        <v>11038</v>
      </c>
      <c r="O3926" s="2" t="s">
        <v>11036</v>
      </c>
      <c r="P3926" s="2" t="s">
        <v>11038</v>
      </c>
      <c r="Q3926" s="2">
        <f>AVERAGE(PerfRate[[#This Row],[EnvironmentSatisfaction]],PerfRate[[#This Row],[JobSatisfaction]],PerfRate[[#This Row],[RelationshipSatisfaction]])</f>
        <v>4.333333333333333</v>
      </c>
      <c r="R3926" s="2">
        <f>PerfRate[[#This Row],[ManagerRating]] - PerfRate[[#This Row],[SelfRating]]</f>
        <v>0</v>
      </c>
    </row>
    <row r="3927" spans="1:18">
      <c r="A3927" s="2" t="s">
        <v>8234</v>
      </c>
      <c r="B3927" s="2" t="s">
        <v>2083</v>
      </c>
      <c r="C3927" s="1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  <c r="L3927" s="2" t="s">
        <v>11031</v>
      </c>
      <c r="M3927" s="2" t="s">
        <v>11030</v>
      </c>
      <c r="N3927" s="2" t="s">
        <v>11038</v>
      </c>
      <c r="O3927" s="2" t="s">
        <v>11037</v>
      </c>
      <c r="P3927" s="2" t="s">
        <v>11035</v>
      </c>
      <c r="Q3927" s="2">
        <f>AVERAGE(PerfRate[[#This Row],[EnvironmentSatisfaction]],PerfRate[[#This Row],[JobSatisfaction]],PerfRate[[#This Row],[RelationshipSatisfaction]])</f>
        <v>3.6666666666666665</v>
      </c>
      <c r="R3927" s="2">
        <f>PerfRate[[#This Row],[ManagerRating]] - PerfRate[[#This Row],[SelfRating]]</f>
        <v>-1</v>
      </c>
    </row>
    <row r="3928" spans="1:18">
      <c r="A3928" s="2" t="s">
        <v>8235</v>
      </c>
      <c r="B3928" s="2" t="s">
        <v>2272</v>
      </c>
      <c r="C3928" s="1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  <c r="L3928" s="2" t="s">
        <v>11029</v>
      </c>
      <c r="M3928" s="2" t="s">
        <v>11029</v>
      </c>
      <c r="N3928" s="2" t="s">
        <v>11036</v>
      </c>
      <c r="O3928" s="2" t="s">
        <v>11035</v>
      </c>
      <c r="P3928" s="2" t="s">
        <v>11035</v>
      </c>
      <c r="Q3928" s="2">
        <f>AVERAGE(PerfRate[[#This Row],[EnvironmentSatisfaction]],PerfRate[[#This Row],[JobSatisfaction]],PerfRate[[#This Row],[RelationshipSatisfaction]])</f>
        <v>2.3333333333333335</v>
      </c>
      <c r="R3928" s="2">
        <f>PerfRate[[#This Row],[ManagerRating]] - PerfRate[[#This Row],[SelfRating]]</f>
        <v>0</v>
      </c>
    </row>
    <row r="3929" spans="1:18">
      <c r="A3929" s="2" t="s">
        <v>8236</v>
      </c>
      <c r="B3929" s="2" t="s">
        <v>2949</v>
      </c>
      <c r="C3929" s="1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  <c r="L3929" s="2" t="s">
        <v>11029</v>
      </c>
      <c r="M3929" s="2" t="s">
        <v>11028</v>
      </c>
      <c r="N3929" s="2" t="s">
        <v>11036</v>
      </c>
      <c r="O3929" s="2" t="s">
        <v>11038</v>
      </c>
      <c r="P3929" s="2" t="s">
        <v>11036</v>
      </c>
      <c r="Q3929" s="2">
        <f>AVERAGE(PerfRate[[#This Row],[EnvironmentSatisfaction]],PerfRate[[#This Row],[JobSatisfaction]],PerfRate[[#This Row],[RelationshipSatisfaction]])</f>
        <v>3.6666666666666665</v>
      </c>
      <c r="R3929" s="2">
        <f>PerfRate[[#This Row],[ManagerRating]] - PerfRate[[#This Row],[SelfRating]]</f>
        <v>-1</v>
      </c>
    </row>
    <row r="3930" spans="1:18">
      <c r="A3930" s="2" t="s">
        <v>8237</v>
      </c>
      <c r="B3930" s="2" t="s">
        <v>595</v>
      </c>
      <c r="C3930" s="1">
        <v>42309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  <c r="L3930" s="2" t="s">
        <v>11030</v>
      </c>
      <c r="M3930" s="2" t="s">
        <v>11029</v>
      </c>
      <c r="N3930" s="2" t="s">
        <v>11037</v>
      </c>
      <c r="O3930" s="2" t="s">
        <v>11037</v>
      </c>
      <c r="P3930" s="2" t="s">
        <v>11038</v>
      </c>
      <c r="Q3930" s="2">
        <f>AVERAGE(PerfRate[[#This Row],[EnvironmentSatisfaction]],PerfRate[[#This Row],[JobSatisfaction]],PerfRate[[#This Row],[RelationshipSatisfaction]])</f>
        <v>4.333333333333333</v>
      </c>
      <c r="R3930" s="2">
        <f>PerfRate[[#This Row],[ManagerRating]] - PerfRate[[#This Row],[SelfRating]]</f>
        <v>-1</v>
      </c>
    </row>
    <row r="3931" spans="1:18">
      <c r="A3931" s="2" t="s">
        <v>8238</v>
      </c>
      <c r="B3931" s="2" t="s">
        <v>1235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  <c r="L3931" s="2" t="s">
        <v>11030</v>
      </c>
      <c r="M3931" s="2" t="s">
        <v>11030</v>
      </c>
      <c r="N3931" s="2" t="s">
        <v>11038</v>
      </c>
      <c r="O3931" s="2" t="s">
        <v>11038</v>
      </c>
      <c r="P3931" s="2" t="s">
        <v>11037</v>
      </c>
      <c r="Q3931" s="2">
        <f>AVERAGE(PerfRate[[#This Row],[EnvironmentSatisfaction]],PerfRate[[#This Row],[JobSatisfaction]],PerfRate[[#This Row],[RelationshipSatisfaction]])</f>
        <v>4.666666666666667</v>
      </c>
      <c r="R3931" s="2">
        <f>PerfRate[[#This Row],[ManagerRating]] - PerfRate[[#This Row],[SelfRating]]</f>
        <v>0</v>
      </c>
    </row>
    <row r="3932" spans="1:18">
      <c r="A3932" s="2" t="s">
        <v>8239</v>
      </c>
      <c r="B3932" s="2" t="s">
        <v>1326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  <c r="L3932" s="2" t="s">
        <v>11029</v>
      </c>
      <c r="M3932" s="2" t="s">
        <v>11029</v>
      </c>
      <c r="N3932" s="2" t="s">
        <v>11036</v>
      </c>
      <c r="O3932" s="2" t="s">
        <v>11037</v>
      </c>
      <c r="P3932" s="2" t="s">
        <v>11037</v>
      </c>
      <c r="Q3932" s="2">
        <f>AVERAGE(PerfRate[[#This Row],[EnvironmentSatisfaction]],PerfRate[[#This Row],[JobSatisfaction]],PerfRate[[#This Row],[RelationshipSatisfaction]])</f>
        <v>3.6666666666666665</v>
      </c>
      <c r="R3932" s="2">
        <f>PerfRate[[#This Row],[ManagerRating]] - PerfRate[[#This Row],[SelfRating]]</f>
        <v>0</v>
      </c>
    </row>
    <row r="3933" spans="1:18">
      <c r="A3933" s="2" t="s">
        <v>8240</v>
      </c>
      <c r="B3933" s="2" t="s">
        <v>320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  <c r="L3933" s="2" t="s">
        <v>11031</v>
      </c>
      <c r="M3933" s="2" t="s">
        <v>11031</v>
      </c>
      <c r="N3933" s="2" t="s">
        <v>11037</v>
      </c>
      <c r="O3933" s="2" t="s">
        <v>11038</v>
      </c>
      <c r="P3933" s="2" t="s">
        <v>11037</v>
      </c>
      <c r="Q3933" s="2">
        <f>AVERAGE(PerfRate[[#This Row],[EnvironmentSatisfaction]],PerfRate[[#This Row],[JobSatisfaction]],PerfRate[[#This Row],[RelationshipSatisfaction]])</f>
        <v>4.333333333333333</v>
      </c>
      <c r="R3933" s="2">
        <f>PerfRate[[#This Row],[ManagerRating]] - PerfRate[[#This Row],[SelfRating]]</f>
        <v>0</v>
      </c>
    </row>
    <row r="3934" spans="1:18">
      <c r="A3934" s="2" t="s">
        <v>8241</v>
      </c>
      <c r="B3934" s="2" t="s">
        <v>1068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  <c r="L3934" s="2" t="s">
        <v>11029</v>
      </c>
      <c r="M3934" s="2" t="s">
        <v>11029</v>
      </c>
      <c r="N3934" s="2" t="s">
        <v>11036</v>
      </c>
      <c r="O3934" s="2" t="s">
        <v>11037</v>
      </c>
      <c r="P3934" s="2" t="s">
        <v>11038</v>
      </c>
      <c r="Q3934" s="2">
        <f>AVERAGE(PerfRate[[#This Row],[EnvironmentSatisfaction]],PerfRate[[#This Row],[JobSatisfaction]],PerfRate[[#This Row],[RelationshipSatisfaction]])</f>
        <v>4</v>
      </c>
      <c r="R3934" s="2">
        <f>PerfRate[[#This Row],[ManagerRating]] - PerfRate[[#This Row],[SelfRating]]</f>
        <v>0</v>
      </c>
    </row>
    <row r="3935" spans="1:18">
      <c r="A3935" s="2" t="s">
        <v>8242</v>
      </c>
      <c r="B3935" s="2" t="s">
        <v>2903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  <c r="L3935" s="2" t="s">
        <v>11030</v>
      </c>
      <c r="M3935" s="2" t="s">
        <v>11030</v>
      </c>
      <c r="N3935" s="2" t="s">
        <v>11038</v>
      </c>
      <c r="O3935" s="2" t="s">
        <v>11035</v>
      </c>
      <c r="P3935" s="2" t="s">
        <v>11038</v>
      </c>
      <c r="Q3935" s="2">
        <f>AVERAGE(PerfRate[[#This Row],[EnvironmentSatisfaction]],PerfRate[[#This Row],[JobSatisfaction]],PerfRate[[#This Row],[RelationshipSatisfaction]])</f>
        <v>4</v>
      </c>
      <c r="R3935" s="2">
        <f>PerfRate[[#This Row],[ManagerRating]] - PerfRate[[#This Row],[SelfRating]]</f>
        <v>0</v>
      </c>
    </row>
    <row r="3936" spans="1:18">
      <c r="A3936" s="2" t="s">
        <v>8243</v>
      </c>
      <c r="B3936" s="2" t="s">
        <v>1435</v>
      </c>
      <c r="C3936" s="1">
        <v>44228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  <c r="L3936" s="2" t="s">
        <v>11030</v>
      </c>
      <c r="M3936" s="2" t="s">
        <v>11029</v>
      </c>
      <c r="N3936" s="2" t="s">
        <v>11038</v>
      </c>
      <c r="O3936" s="2" t="s">
        <v>11038</v>
      </c>
      <c r="P3936" s="2" t="s">
        <v>11038</v>
      </c>
      <c r="Q3936" s="2">
        <f>AVERAGE(PerfRate[[#This Row],[EnvironmentSatisfaction]],PerfRate[[#This Row],[JobSatisfaction]],PerfRate[[#This Row],[RelationshipSatisfaction]])</f>
        <v>5</v>
      </c>
      <c r="R3936" s="2">
        <f>PerfRate[[#This Row],[ManagerRating]] - PerfRate[[#This Row],[SelfRating]]</f>
        <v>-1</v>
      </c>
    </row>
    <row r="3937" spans="1:18">
      <c r="A3937" s="2" t="s">
        <v>8244</v>
      </c>
      <c r="B3937" s="2" t="s">
        <v>1030</v>
      </c>
      <c r="C3937" s="1">
        <v>44228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  <c r="L3937" s="2" t="s">
        <v>11030</v>
      </c>
      <c r="M3937" s="2" t="s">
        <v>11029</v>
      </c>
      <c r="N3937" s="2" t="s">
        <v>11037</v>
      </c>
      <c r="O3937" s="2" t="s">
        <v>11036</v>
      </c>
      <c r="P3937" s="2" t="s">
        <v>11037</v>
      </c>
      <c r="Q3937" s="2">
        <f>AVERAGE(PerfRate[[#This Row],[EnvironmentSatisfaction]],PerfRate[[#This Row],[JobSatisfaction]],PerfRate[[#This Row],[RelationshipSatisfaction]])</f>
        <v>3.6666666666666665</v>
      </c>
      <c r="R3937" s="2">
        <f>PerfRate[[#This Row],[ManagerRating]] - PerfRate[[#This Row],[SelfRating]]</f>
        <v>-1</v>
      </c>
    </row>
    <row r="3938" spans="1:18">
      <c r="A3938" s="2" t="s">
        <v>8245</v>
      </c>
      <c r="B3938" s="2" t="s">
        <v>1841</v>
      </c>
      <c r="C3938" s="1">
        <v>44228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  <c r="L3938" s="2" t="s">
        <v>11029</v>
      </c>
      <c r="M3938" s="2" t="s">
        <v>11028</v>
      </c>
      <c r="N3938" s="2" t="s">
        <v>11036</v>
      </c>
      <c r="O3938" s="2" t="s">
        <v>11038</v>
      </c>
      <c r="P3938" s="2" t="s">
        <v>11038</v>
      </c>
      <c r="Q3938" s="2">
        <f>AVERAGE(PerfRate[[#This Row],[EnvironmentSatisfaction]],PerfRate[[#This Row],[JobSatisfaction]],PerfRate[[#This Row],[RelationshipSatisfaction]])</f>
        <v>4.333333333333333</v>
      </c>
      <c r="R3938" s="2">
        <f>PerfRate[[#This Row],[ManagerRating]] - PerfRate[[#This Row],[SelfRating]]</f>
        <v>-1</v>
      </c>
    </row>
    <row r="3939" spans="1:18">
      <c r="A3939" s="2" t="s">
        <v>8246</v>
      </c>
      <c r="B3939" s="2" t="s">
        <v>2190</v>
      </c>
      <c r="C3939" s="1">
        <v>44228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  <c r="L3939" s="2" t="s">
        <v>11030</v>
      </c>
      <c r="M3939" s="2" t="s">
        <v>11030</v>
      </c>
      <c r="N3939" s="2" t="s">
        <v>11038</v>
      </c>
      <c r="O3939" s="2" t="s">
        <v>11035</v>
      </c>
      <c r="P3939" s="2" t="s">
        <v>11035</v>
      </c>
      <c r="Q3939" s="2">
        <f>AVERAGE(PerfRate[[#This Row],[EnvironmentSatisfaction]],PerfRate[[#This Row],[JobSatisfaction]],PerfRate[[#This Row],[RelationshipSatisfaction]])</f>
        <v>3</v>
      </c>
      <c r="R3939" s="2">
        <f>PerfRate[[#This Row],[ManagerRating]] - PerfRate[[#This Row],[SelfRating]]</f>
        <v>0</v>
      </c>
    </row>
    <row r="3940" spans="1:18">
      <c r="A3940" s="2" t="s">
        <v>8247</v>
      </c>
      <c r="B3940" s="2" t="s">
        <v>2260</v>
      </c>
      <c r="C3940" s="1">
        <v>44228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  <c r="L3940" s="2" t="s">
        <v>11030</v>
      </c>
      <c r="M3940" s="2" t="s">
        <v>11029</v>
      </c>
      <c r="N3940" s="2" t="s">
        <v>11037</v>
      </c>
      <c r="O3940" s="2" t="s">
        <v>11036</v>
      </c>
      <c r="P3940" s="2" t="s">
        <v>11035</v>
      </c>
      <c r="Q3940" s="2">
        <f>AVERAGE(PerfRate[[#This Row],[EnvironmentSatisfaction]],PerfRate[[#This Row],[JobSatisfaction]],PerfRate[[#This Row],[RelationshipSatisfaction]])</f>
        <v>3</v>
      </c>
      <c r="R3940" s="2">
        <f>PerfRate[[#This Row],[ManagerRating]] - PerfRate[[#This Row],[SelfRating]]</f>
        <v>-1</v>
      </c>
    </row>
    <row r="3941" spans="1:18">
      <c r="A3941" s="2" t="s">
        <v>8248</v>
      </c>
      <c r="B3941" s="2" t="s">
        <v>970</v>
      </c>
      <c r="C3941" s="1">
        <v>42309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  <c r="L3941" s="2" t="s">
        <v>11029</v>
      </c>
      <c r="M3941" s="2" t="s">
        <v>11028</v>
      </c>
      <c r="N3941" s="2" t="s">
        <v>11037</v>
      </c>
      <c r="O3941" s="2" t="s">
        <v>11038</v>
      </c>
      <c r="P3941" s="2" t="s">
        <v>11038</v>
      </c>
      <c r="Q3941" s="2">
        <f>AVERAGE(PerfRate[[#This Row],[EnvironmentSatisfaction]],PerfRate[[#This Row],[JobSatisfaction]],PerfRate[[#This Row],[RelationshipSatisfaction]])</f>
        <v>4.666666666666667</v>
      </c>
      <c r="R3941" s="2">
        <f>PerfRate[[#This Row],[ManagerRating]] - PerfRate[[#This Row],[SelfRating]]</f>
        <v>-1</v>
      </c>
    </row>
    <row r="3942" spans="1:18">
      <c r="A3942" s="2" t="s">
        <v>8249</v>
      </c>
      <c r="B3942" s="2" t="s">
        <v>2781</v>
      </c>
      <c r="C3942" s="1">
        <v>44228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  <c r="L3942" s="2" t="s">
        <v>11031</v>
      </c>
      <c r="M3942" s="2" t="s">
        <v>11030</v>
      </c>
      <c r="N3942" s="2" t="s">
        <v>11037</v>
      </c>
      <c r="O3942" s="2" t="s">
        <v>11037</v>
      </c>
      <c r="P3942" s="2" t="s">
        <v>11038</v>
      </c>
      <c r="Q3942" s="2">
        <f>AVERAGE(PerfRate[[#This Row],[EnvironmentSatisfaction]],PerfRate[[#This Row],[JobSatisfaction]],PerfRate[[#This Row],[RelationshipSatisfaction]])</f>
        <v>4.333333333333333</v>
      </c>
      <c r="R3942" s="2">
        <f>PerfRate[[#This Row],[ManagerRating]] - PerfRate[[#This Row],[SelfRating]]</f>
        <v>-1</v>
      </c>
    </row>
    <row r="3943" spans="1:18">
      <c r="A3943" s="2" t="s">
        <v>8250</v>
      </c>
      <c r="B3943" s="2" t="s">
        <v>260</v>
      </c>
      <c r="C3943" s="1">
        <v>44256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  <c r="L3943" s="2" t="s">
        <v>11031</v>
      </c>
      <c r="M3943" s="2" t="s">
        <v>11030</v>
      </c>
      <c r="N3943" s="2" t="s">
        <v>11037</v>
      </c>
      <c r="O3943" s="2" t="s">
        <v>11035</v>
      </c>
      <c r="P3943" s="2" t="s">
        <v>11036</v>
      </c>
      <c r="Q3943" s="2">
        <f>AVERAGE(PerfRate[[#This Row],[EnvironmentSatisfaction]],PerfRate[[#This Row],[JobSatisfaction]],PerfRate[[#This Row],[RelationshipSatisfaction]])</f>
        <v>3</v>
      </c>
      <c r="R3943" s="2">
        <f>PerfRate[[#This Row],[ManagerRating]] - PerfRate[[#This Row],[SelfRating]]</f>
        <v>-1</v>
      </c>
    </row>
    <row r="3944" spans="1:18">
      <c r="A3944" s="2" t="s">
        <v>8251</v>
      </c>
      <c r="B3944" s="2" t="s">
        <v>892</v>
      </c>
      <c r="C3944" s="1">
        <v>44287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  <c r="L3944" s="2" t="s">
        <v>11030</v>
      </c>
      <c r="M3944" s="2" t="s">
        <v>11029</v>
      </c>
      <c r="N3944" s="2" t="s">
        <v>11038</v>
      </c>
      <c r="O3944" s="2" t="s">
        <v>11038</v>
      </c>
      <c r="P3944" s="2" t="s">
        <v>11038</v>
      </c>
      <c r="Q3944" s="2">
        <f>AVERAGE(PerfRate[[#This Row],[EnvironmentSatisfaction]],PerfRate[[#This Row],[JobSatisfaction]],PerfRate[[#This Row],[RelationshipSatisfaction]])</f>
        <v>5</v>
      </c>
      <c r="R3944" s="2">
        <f>PerfRate[[#This Row],[ManagerRating]] - PerfRate[[#This Row],[SelfRating]]</f>
        <v>-1</v>
      </c>
    </row>
    <row r="3945" spans="1:18">
      <c r="A3945" s="2" t="s">
        <v>8252</v>
      </c>
      <c r="B3945" s="2" t="s">
        <v>141</v>
      </c>
      <c r="C3945" s="1">
        <v>44317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  <c r="L3945" s="2" t="s">
        <v>11029</v>
      </c>
      <c r="M3945" s="2" t="s">
        <v>11029</v>
      </c>
      <c r="N3945" s="2" t="s">
        <v>11038</v>
      </c>
      <c r="O3945" s="2" t="s">
        <v>11036</v>
      </c>
      <c r="P3945" s="2" t="s">
        <v>11037</v>
      </c>
      <c r="Q3945" s="2">
        <f>AVERAGE(PerfRate[[#This Row],[EnvironmentSatisfaction]],PerfRate[[#This Row],[JobSatisfaction]],PerfRate[[#This Row],[RelationshipSatisfaction]])</f>
        <v>4</v>
      </c>
      <c r="R3945" s="2">
        <f>PerfRate[[#This Row],[ManagerRating]] - PerfRate[[#This Row],[SelfRating]]</f>
        <v>0</v>
      </c>
    </row>
    <row r="3946" spans="1:18">
      <c r="A3946" s="2" t="s">
        <v>8253</v>
      </c>
      <c r="B3946" s="2" t="s">
        <v>3096</v>
      </c>
      <c r="C3946" s="1">
        <v>44317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  <c r="L3946" s="2" t="s">
        <v>11030</v>
      </c>
      <c r="M3946" s="2" t="s">
        <v>11030</v>
      </c>
      <c r="N3946" s="2" t="s">
        <v>11036</v>
      </c>
      <c r="O3946" s="2" t="s">
        <v>11036</v>
      </c>
      <c r="P3946" s="2" t="s">
        <v>11036</v>
      </c>
      <c r="Q3946" s="2">
        <f>AVERAGE(PerfRate[[#This Row],[EnvironmentSatisfaction]],PerfRate[[#This Row],[JobSatisfaction]],PerfRate[[#This Row],[RelationshipSatisfaction]])</f>
        <v>3</v>
      </c>
      <c r="R3946" s="2">
        <f>PerfRate[[#This Row],[ManagerRating]] - PerfRate[[#This Row],[SelfRating]]</f>
        <v>0</v>
      </c>
    </row>
    <row r="3947" spans="1:18">
      <c r="A3947" s="2" t="s">
        <v>8254</v>
      </c>
      <c r="B3947" s="2" t="s">
        <v>428</v>
      </c>
      <c r="C3947" s="1">
        <v>44348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  <c r="L3947" s="2" t="s">
        <v>11031</v>
      </c>
      <c r="M3947" s="2" t="s">
        <v>11031</v>
      </c>
      <c r="N3947" s="2" t="s">
        <v>11037</v>
      </c>
      <c r="O3947" s="2" t="s">
        <v>11035</v>
      </c>
      <c r="P3947" s="2" t="s">
        <v>11038</v>
      </c>
      <c r="Q3947" s="2">
        <f>AVERAGE(PerfRate[[#This Row],[EnvironmentSatisfaction]],PerfRate[[#This Row],[JobSatisfaction]],PerfRate[[#This Row],[RelationshipSatisfaction]])</f>
        <v>3.6666666666666665</v>
      </c>
      <c r="R3947" s="2">
        <f>PerfRate[[#This Row],[ManagerRating]] - PerfRate[[#This Row],[SelfRating]]</f>
        <v>0</v>
      </c>
    </row>
    <row r="3948" spans="1:18">
      <c r="A3948" s="2" t="s">
        <v>8255</v>
      </c>
      <c r="B3948" s="2" t="s">
        <v>1295</v>
      </c>
      <c r="C3948" s="1">
        <v>44348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  <c r="L3948" s="2" t="s">
        <v>11029</v>
      </c>
      <c r="M3948" s="2" t="s">
        <v>11029</v>
      </c>
      <c r="N3948" s="2" t="s">
        <v>11037</v>
      </c>
      <c r="O3948" s="2" t="s">
        <v>11038</v>
      </c>
      <c r="P3948" s="2" t="s">
        <v>11037</v>
      </c>
      <c r="Q3948" s="2">
        <f>AVERAGE(PerfRate[[#This Row],[EnvironmentSatisfaction]],PerfRate[[#This Row],[JobSatisfaction]],PerfRate[[#This Row],[RelationshipSatisfaction]])</f>
        <v>4.333333333333333</v>
      </c>
      <c r="R3948" s="2">
        <f>PerfRate[[#This Row],[ManagerRating]] - PerfRate[[#This Row],[SelfRating]]</f>
        <v>0</v>
      </c>
    </row>
    <row r="3949" spans="1:18">
      <c r="A3949" s="2" t="s">
        <v>8256</v>
      </c>
      <c r="B3949" s="2" t="s">
        <v>2335</v>
      </c>
      <c r="C3949" s="1">
        <v>44348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  <c r="L3949" s="2" t="s">
        <v>11031</v>
      </c>
      <c r="M3949" s="2" t="s">
        <v>11031</v>
      </c>
      <c r="N3949" s="2" t="s">
        <v>11037</v>
      </c>
      <c r="O3949" s="2" t="s">
        <v>11038</v>
      </c>
      <c r="P3949" s="2" t="s">
        <v>11036</v>
      </c>
      <c r="Q3949" s="2">
        <f>AVERAGE(PerfRate[[#This Row],[EnvironmentSatisfaction]],PerfRate[[#This Row],[JobSatisfaction]],PerfRate[[#This Row],[RelationshipSatisfaction]])</f>
        <v>4</v>
      </c>
      <c r="R3949" s="2">
        <f>PerfRate[[#This Row],[ManagerRating]] - PerfRate[[#This Row],[SelfRating]]</f>
        <v>0</v>
      </c>
    </row>
    <row r="3950" spans="1:18">
      <c r="A3950" s="2" t="s">
        <v>8257</v>
      </c>
      <c r="B3950" s="2" t="s">
        <v>2475</v>
      </c>
      <c r="C3950" s="1">
        <v>44348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  <c r="L3950" s="2" t="s">
        <v>11029</v>
      </c>
      <c r="M3950" s="2" t="s">
        <v>11028</v>
      </c>
      <c r="N3950" s="2" t="s">
        <v>11036</v>
      </c>
      <c r="O3950" s="2" t="s">
        <v>11038</v>
      </c>
      <c r="P3950" s="2" t="s">
        <v>11038</v>
      </c>
      <c r="Q3950" s="2">
        <f>AVERAGE(PerfRate[[#This Row],[EnvironmentSatisfaction]],PerfRate[[#This Row],[JobSatisfaction]],PerfRate[[#This Row],[RelationshipSatisfaction]])</f>
        <v>4.333333333333333</v>
      </c>
      <c r="R3950" s="2">
        <f>PerfRate[[#This Row],[ManagerRating]] - PerfRate[[#This Row],[SelfRating]]</f>
        <v>-1</v>
      </c>
    </row>
    <row r="3951" spans="1:18">
      <c r="A3951" s="2" t="s">
        <v>8258</v>
      </c>
      <c r="B3951" s="2" t="s">
        <v>1532</v>
      </c>
      <c r="C3951" s="1">
        <v>44378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  <c r="L3951" s="2" t="s">
        <v>11029</v>
      </c>
      <c r="M3951" s="2" t="s">
        <v>11028</v>
      </c>
      <c r="N3951" s="2" t="s">
        <v>11038</v>
      </c>
      <c r="O3951" s="2" t="s">
        <v>11035</v>
      </c>
      <c r="P3951" s="2" t="s">
        <v>11036</v>
      </c>
      <c r="Q3951" s="2">
        <f>AVERAGE(PerfRate[[#This Row],[EnvironmentSatisfaction]],PerfRate[[#This Row],[JobSatisfaction]],PerfRate[[#This Row],[RelationshipSatisfaction]])</f>
        <v>3.3333333333333335</v>
      </c>
      <c r="R3951" s="2">
        <f>PerfRate[[#This Row],[ManagerRating]] - PerfRate[[#This Row],[SelfRating]]</f>
        <v>-1</v>
      </c>
    </row>
    <row r="3952" spans="1:18">
      <c r="A3952" s="2" t="s">
        <v>8259</v>
      </c>
      <c r="B3952" s="2" t="s">
        <v>2664</v>
      </c>
      <c r="C3952" s="1">
        <v>42309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  <c r="L3952" s="2" t="s">
        <v>11031</v>
      </c>
      <c r="M3952" s="2" t="s">
        <v>11031</v>
      </c>
      <c r="N3952" s="2" t="s">
        <v>11037</v>
      </c>
      <c r="O3952" s="2" t="s">
        <v>11036</v>
      </c>
      <c r="P3952" s="2" t="s">
        <v>11035</v>
      </c>
      <c r="Q3952" s="2">
        <f>AVERAGE(PerfRate[[#This Row],[EnvironmentSatisfaction]],PerfRate[[#This Row],[JobSatisfaction]],PerfRate[[#This Row],[RelationshipSatisfaction]])</f>
        <v>3</v>
      </c>
      <c r="R3952" s="2">
        <f>PerfRate[[#This Row],[ManagerRating]] - PerfRate[[#This Row],[SelfRating]]</f>
        <v>0</v>
      </c>
    </row>
    <row r="3953" spans="1:18">
      <c r="A3953" s="2" t="s">
        <v>8260</v>
      </c>
      <c r="B3953" s="2" t="s">
        <v>2086</v>
      </c>
      <c r="C3953" s="1">
        <v>44378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  <c r="L3953" s="2" t="s">
        <v>11029</v>
      </c>
      <c r="M3953" s="2" t="s">
        <v>11028</v>
      </c>
      <c r="N3953" s="2" t="s">
        <v>11036</v>
      </c>
      <c r="O3953" s="2" t="s">
        <v>11036</v>
      </c>
      <c r="P3953" s="2" t="s">
        <v>11036</v>
      </c>
      <c r="Q3953" s="2">
        <f>AVERAGE(PerfRate[[#This Row],[EnvironmentSatisfaction]],PerfRate[[#This Row],[JobSatisfaction]],PerfRate[[#This Row],[RelationshipSatisfaction]])</f>
        <v>3</v>
      </c>
      <c r="R3953" s="2">
        <f>PerfRate[[#This Row],[ManagerRating]] - PerfRate[[#This Row],[SelfRating]]</f>
        <v>-1</v>
      </c>
    </row>
    <row r="3954" spans="1:18">
      <c r="A3954" s="2" t="s">
        <v>8261</v>
      </c>
      <c r="B3954" s="2" t="s">
        <v>2854</v>
      </c>
      <c r="C3954" s="1">
        <v>44378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  <c r="L3954" s="2" t="s">
        <v>11031</v>
      </c>
      <c r="M3954" s="2" t="s">
        <v>11031</v>
      </c>
      <c r="N3954" s="2" t="s">
        <v>11037</v>
      </c>
      <c r="O3954" s="2" t="s">
        <v>11036</v>
      </c>
      <c r="P3954" s="2" t="s">
        <v>11036</v>
      </c>
      <c r="Q3954" s="2">
        <f>AVERAGE(PerfRate[[#This Row],[EnvironmentSatisfaction]],PerfRate[[#This Row],[JobSatisfaction]],PerfRate[[#This Row],[RelationshipSatisfaction]])</f>
        <v>3.3333333333333335</v>
      </c>
      <c r="R3954" s="2">
        <f>PerfRate[[#This Row],[ManagerRating]] - PerfRate[[#This Row],[SelfRating]]</f>
        <v>0</v>
      </c>
    </row>
    <row r="3955" spans="1:18">
      <c r="A3955" s="2" t="s">
        <v>8262</v>
      </c>
      <c r="B3955" s="2" t="s">
        <v>1945</v>
      </c>
      <c r="C3955" s="1">
        <v>44409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  <c r="L3955" s="2" t="s">
        <v>11031</v>
      </c>
      <c r="M3955" s="2" t="s">
        <v>11030</v>
      </c>
      <c r="N3955" s="2" t="s">
        <v>11036</v>
      </c>
      <c r="O3955" s="2" t="s">
        <v>11034</v>
      </c>
      <c r="P3955" s="2" t="s">
        <v>11034</v>
      </c>
      <c r="Q3955" s="2">
        <f>AVERAGE(PerfRate[[#This Row],[EnvironmentSatisfaction]],PerfRate[[#This Row],[JobSatisfaction]],PerfRate[[#This Row],[RelationshipSatisfaction]])</f>
        <v>1.6666666666666667</v>
      </c>
      <c r="R3955" s="2">
        <f>PerfRate[[#This Row],[ManagerRating]] - PerfRate[[#This Row],[SelfRating]]</f>
        <v>-1</v>
      </c>
    </row>
    <row r="3956" spans="1:18">
      <c r="A3956" s="2" t="s">
        <v>8263</v>
      </c>
      <c r="B3956" s="2" t="s">
        <v>934</v>
      </c>
      <c r="C3956" s="1">
        <v>44409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  <c r="L3956" s="2" t="s">
        <v>11029</v>
      </c>
      <c r="M3956" s="2" t="s">
        <v>11029</v>
      </c>
      <c r="N3956" s="2" t="s">
        <v>11037</v>
      </c>
      <c r="O3956" s="2" t="s">
        <v>11035</v>
      </c>
      <c r="P3956" s="2" t="s">
        <v>11034</v>
      </c>
      <c r="Q3956" s="2">
        <f>AVERAGE(PerfRate[[#This Row],[EnvironmentSatisfaction]],PerfRate[[#This Row],[JobSatisfaction]],PerfRate[[#This Row],[RelationshipSatisfaction]])</f>
        <v>2.3333333333333335</v>
      </c>
      <c r="R3956" s="2">
        <f>PerfRate[[#This Row],[ManagerRating]] - PerfRate[[#This Row],[SelfRating]]</f>
        <v>0</v>
      </c>
    </row>
    <row r="3957" spans="1:18">
      <c r="A3957" s="2" t="s">
        <v>8264</v>
      </c>
      <c r="B3957" s="2" t="s">
        <v>850</v>
      </c>
      <c r="C3957" s="1">
        <v>44409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  <c r="L3957" s="2" t="s">
        <v>11031</v>
      </c>
      <c r="M3957" s="2" t="s">
        <v>11030</v>
      </c>
      <c r="N3957" s="2" t="s">
        <v>11037</v>
      </c>
      <c r="O3957" s="2" t="s">
        <v>11035</v>
      </c>
      <c r="P3957" s="2" t="s">
        <v>11034</v>
      </c>
      <c r="Q3957" s="2">
        <f>AVERAGE(PerfRate[[#This Row],[EnvironmentSatisfaction]],PerfRate[[#This Row],[JobSatisfaction]],PerfRate[[#This Row],[RelationshipSatisfaction]])</f>
        <v>2.3333333333333335</v>
      </c>
      <c r="R3957" s="2">
        <f>PerfRate[[#This Row],[ManagerRating]] - PerfRate[[#This Row],[SelfRating]]</f>
        <v>-1</v>
      </c>
    </row>
    <row r="3958" spans="1:18">
      <c r="A3958" s="2" t="s">
        <v>8265</v>
      </c>
      <c r="B3958" s="2" t="s">
        <v>1093</v>
      </c>
      <c r="C3958" s="1">
        <v>44409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  <c r="L3958" s="2" t="s">
        <v>11031</v>
      </c>
      <c r="M3958" s="2" t="s">
        <v>11031</v>
      </c>
      <c r="N3958" s="2" t="s">
        <v>11034</v>
      </c>
      <c r="O3958" s="2" t="s">
        <v>11035</v>
      </c>
      <c r="P3958" s="2" t="s">
        <v>11034</v>
      </c>
      <c r="Q3958" s="2">
        <f>AVERAGE(PerfRate[[#This Row],[EnvironmentSatisfaction]],PerfRate[[#This Row],[JobSatisfaction]],PerfRate[[#This Row],[RelationshipSatisfaction]])</f>
        <v>1.3333333333333333</v>
      </c>
      <c r="R3958" s="2">
        <f>PerfRate[[#This Row],[ManagerRating]] - PerfRate[[#This Row],[SelfRating]]</f>
        <v>0</v>
      </c>
    </row>
    <row r="3959" spans="1:18">
      <c r="A3959" s="2" t="s">
        <v>8266</v>
      </c>
      <c r="B3959" s="2" t="s">
        <v>2523</v>
      </c>
      <c r="C3959" s="1">
        <v>44409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  <c r="L3959" s="2" t="s">
        <v>11029</v>
      </c>
      <c r="M3959" s="2" t="s">
        <v>11028</v>
      </c>
      <c r="N3959" s="2" t="s">
        <v>11036</v>
      </c>
      <c r="O3959" s="2" t="s">
        <v>11038</v>
      </c>
      <c r="P3959" s="2" t="s">
        <v>11038</v>
      </c>
      <c r="Q3959" s="2">
        <f>AVERAGE(PerfRate[[#This Row],[EnvironmentSatisfaction]],PerfRate[[#This Row],[JobSatisfaction]],PerfRate[[#This Row],[RelationshipSatisfaction]])</f>
        <v>4.333333333333333</v>
      </c>
      <c r="R3959" s="2">
        <f>PerfRate[[#This Row],[ManagerRating]] - PerfRate[[#This Row],[SelfRating]]</f>
        <v>-1</v>
      </c>
    </row>
    <row r="3960" spans="1:18">
      <c r="A3960" s="2" t="s">
        <v>8267</v>
      </c>
      <c r="B3960" s="2" t="s">
        <v>2611</v>
      </c>
      <c r="C3960" s="1">
        <v>44409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  <c r="L3960" s="2" t="s">
        <v>11031</v>
      </c>
      <c r="M3960" s="2" t="s">
        <v>11030</v>
      </c>
      <c r="N3960" s="2" t="s">
        <v>11038</v>
      </c>
      <c r="O3960" s="2" t="s">
        <v>11038</v>
      </c>
      <c r="P3960" s="2" t="s">
        <v>11038</v>
      </c>
      <c r="Q3960" s="2">
        <f>AVERAGE(PerfRate[[#This Row],[EnvironmentSatisfaction]],PerfRate[[#This Row],[JobSatisfaction]],PerfRate[[#This Row],[RelationshipSatisfaction]])</f>
        <v>5</v>
      </c>
      <c r="R3960" s="2">
        <f>PerfRate[[#This Row],[ManagerRating]] - PerfRate[[#This Row],[SelfRating]]</f>
        <v>-1</v>
      </c>
    </row>
    <row r="3961" spans="1:18">
      <c r="A3961" s="2" t="s">
        <v>8268</v>
      </c>
      <c r="B3961" s="2" t="s">
        <v>2993</v>
      </c>
      <c r="C3961" s="1">
        <v>44409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  <c r="L3961" s="2" t="s">
        <v>11029</v>
      </c>
      <c r="M3961" s="2" t="s">
        <v>11028</v>
      </c>
      <c r="N3961" s="2" t="s">
        <v>11036</v>
      </c>
      <c r="O3961" s="2" t="s">
        <v>11038</v>
      </c>
      <c r="P3961" s="2" t="s">
        <v>11037</v>
      </c>
      <c r="Q3961" s="2">
        <f>AVERAGE(PerfRate[[#This Row],[EnvironmentSatisfaction]],PerfRate[[#This Row],[JobSatisfaction]],PerfRate[[#This Row],[RelationshipSatisfaction]])</f>
        <v>4</v>
      </c>
      <c r="R3961" s="2">
        <f>PerfRate[[#This Row],[ManagerRating]] - PerfRate[[#This Row],[SelfRating]]</f>
        <v>-1</v>
      </c>
    </row>
    <row r="3962" spans="1:18">
      <c r="A3962" s="2" t="s">
        <v>8269</v>
      </c>
      <c r="B3962" s="2" t="s">
        <v>853</v>
      </c>
      <c r="C3962" s="1">
        <v>44440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  <c r="L3962" s="2" t="s">
        <v>11031</v>
      </c>
      <c r="M3962" s="2" t="s">
        <v>11030</v>
      </c>
      <c r="N3962" s="2" t="s">
        <v>11036</v>
      </c>
      <c r="O3962" s="2" t="s">
        <v>11037</v>
      </c>
      <c r="P3962" s="2" t="s">
        <v>11038</v>
      </c>
      <c r="Q3962" s="2">
        <f>AVERAGE(PerfRate[[#This Row],[EnvironmentSatisfaction]],PerfRate[[#This Row],[JobSatisfaction]],PerfRate[[#This Row],[RelationshipSatisfaction]])</f>
        <v>4</v>
      </c>
      <c r="R3962" s="2">
        <f>PerfRate[[#This Row],[ManagerRating]] - PerfRate[[#This Row],[SelfRating]]</f>
        <v>-1</v>
      </c>
    </row>
    <row r="3963" spans="1:18">
      <c r="A3963" s="2" t="s">
        <v>8270</v>
      </c>
      <c r="B3963" s="2" t="s">
        <v>2080</v>
      </c>
      <c r="C3963" s="1">
        <v>42339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  <c r="L3963" s="2" t="s">
        <v>11031</v>
      </c>
      <c r="M3963" s="2" t="s">
        <v>11031</v>
      </c>
      <c r="N3963" s="2" t="s">
        <v>11038</v>
      </c>
      <c r="O3963" s="2" t="s">
        <v>11038</v>
      </c>
      <c r="P3963" s="2" t="s">
        <v>11035</v>
      </c>
      <c r="Q3963" s="2">
        <f>AVERAGE(PerfRate[[#This Row],[EnvironmentSatisfaction]],PerfRate[[#This Row],[JobSatisfaction]],PerfRate[[#This Row],[RelationshipSatisfaction]])</f>
        <v>4</v>
      </c>
      <c r="R3963" s="2">
        <f>PerfRate[[#This Row],[ManagerRating]] - PerfRate[[#This Row],[SelfRating]]</f>
        <v>0</v>
      </c>
    </row>
    <row r="3964" spans="1:18">
      <c r="A3964" s="2" t="s">
        <v>8271</v>
      </c>
      <c r="B3964" s="2" t="s">
        <v>595</v>
      </c>
      <c r="C3964" s="1">
        <v>44440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  <c r="L3964" s="2" t="s">
        <v>11029</v>
      </c>
      <c r="M3964" s="2" t="s">
        <v>11028</v>
      </c>
      <c r="N3964" s="2" t="s">
        <v>11036</v>
      </c>
      <c r="O3964" s="2" t="s">
        <v>11038</v>
      </c>
      <c r="P3964" s="2" t="s">
        <v>11036</v>
      </c>
      <c r="Q3964" s="2">
        <f>AVERAGE(PerfRate[[#This Row],[EnvironmentSatisfaction]],PerfRate[[#This Row],[JobSatisfaction]],PerfRate[[#This Row],[RelationshipSatisfaction]])</f>
        <v>3.6666666666666665</v>
      </c>
      <c r="R3964" s="2">
        <f>PerfRate[[#This Row],[ManagerRating]] - PerfRate[[#This Row],[SelfRating]]</f>
        <v>-1</v>
      </c>
    </row>
    <row r="3965" spans="1:18">
      <c r="A3965" s="2" t="s">
        <v>8272</v>
      </c>
      <c r="B3965" s="2" t="s">
        <v>2080</v>
      </c>
      <c r="C3965" s="1">
        <v>44470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  <c r="L3965" s="2" t="s">
        <v>11029</v>
      </c>
      <c r="M3965" s="2" t="s">
        <v>11029</v>
      </c>
      <c r="N3965" s="2" t="s">
        <v>11036</v>
      </c>
      <c r="O3965" s="2" t="s">
        <v>11038</v>
      </c>
      <c r="P3965" s="2" t="s">
        <v>11037</v>
      </c>
      <c r="Q3965" s="2">
        <f>AVERAGE(PerfRate[[#This Row],[EnvironmentSatisfaction]],PerfRate[[#This Row],[JobSatisfaction]],PerfRate[[#This Row],[RelationshipSatisfaction]])</f>
        <v>4</v>
      </c>
      <c r="R3965" s="2">
        <f>PerfRate[[#This Row],[ManagerRating]] - PerfRate[[#This Row],[SelfRating]]</f>
        <v>0</v>
      </c>
    </row>
    <row r="3966" spans="1:18">
      <c r="A3966" s="2" t="s">
        <v>8273</v>
      </c>
      <c r="B3966" s="2" t="s">
        <v>3868</v>
      </c>
      <c r="C3966" s="1">
        <v>44470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  <c r="L3966" s="2" t="s">
        <v>11031</v>
      </c>
      <c r="M3966" s="2" t="s">
        <v>11030</v>
      </c>
      <c r="N3966" s="2" t="s">
        <v>11038</v>
      </c>
      <c r="O3966" s="2" t="s">
        <v>11036</v>
      </c>
      <c r="P3966" s="2" t="s">
        <v>11035</v>
      </c>
      <c r="Q3966" s="2">
        <f>AVERAGE(PerfRate[[#This Row],[EnvironmentSatisfaction]],PerfRate[[#This Row],[JobSatisfaction]],PerfRate[[#This Row],[RelationshipSatisfaction]])</f>
        <v>3.3333333333333335</v>
      </c>
      <c r="R3966" s="2">
        <f>PerfRate[[#This Row],[ManagerRating]] - PerfRate[[#This Row],[SelfRating]]</f>
        <v>-1</v>
      </c>
    </row>
    <row r="3967" spans="1:18">
      <c r="A3967" s="2" t="s">
        <v>8274</v>
      </c>
      <c r="B3967" s="2" t="s">
        <v>2494</v>
      </c>
      <c r="C3967" s="1">
        <v>44470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  <c r="L3967" s="2" t="s">
        <v>11030</v>
      </c>
      <c r="M3967" s="2" t="s">
        <v>11030</v>
      </c>
      <c r="N3967" s="2" t="s">
        <v>11037</v>
      </c>
      <c r="O3967" s="2" t="s">
        <v>11037</v>
      </c>
      <c r="P3967" s="2" t="s">
        <v>11038</v>
      </c>
      <c r="Q3967" s="2">
        <f>AVERAGE(PerfRate[[#This Row],[EnvironmentSatisfaction]],PerfRate[[#This Row],[JobSatisfaction]],PerfRate[[#This Row],[RelationshipSatisfaction]])</f>
        <v>4.333333333333333</v>
      </c>
      <c r="R3967" s="2">
        <f>PerfRate[[#This Row],[ManagerRating]] - PerfRate[[#This Row],[SelfRating]]</f>
        <v>0</v>
      </c>
    </row>
    <row r="3968" spans="1:18">
      <c r="A3968" s="2" t="s">
        <v>8275</v>
      </c>
      <c r="B3968" s="2" t="s">
        <v>1973</v>
      </c>
      <c r="C3968" s="1">
        <v>44501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  <c r="L3968" s="2" t="s">
        <v>11029</v>
      </c>
      <c r="M3968" s="2" t="s">
        <v>11029</v>
      </c>
      <c r="N3968" s="2" t="s">
        <v>11037</v>
      </c>
      <c r="O3968" s="2" t="s">
        <v>11038</v>
      </c>
      <c r="P3968" s="2" t="s">
        <v>11038</v>
      </c>
      <c r="Q3968" s="2">
        <f>AVERAGE(PerfRate[[#This Row],[EnvironmentSatisfaction]],PerfRate[[#This Row],[JobSatisfaction]],PerfRate[[#This Row],[RelationshipSatisfaction]])</f>
        <v>4.666666666666667</v>
      </c>
      <c r="R3968" s="2">
        <f>PerfRate[[#This Row],[ManagerRating]] - PerfRate[[#This Row],[SelfRating]]</f>
        <v>0</v>
      </c>
    </row>
    <row r="3969" spans="1:18">
      <c r="A3969" s="2" t="s">
        <v>8276</v>
      </c>
      <c r="B3969" s="2" t="s">
        <v>889</v>
      </c>
      <c r="C3969" s="1">
        <v>44531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  <c r="L3969" s="2" t="s">
        <v>11029</v>
      </c>
      <c r="M3969" s="2" t="s">
        <v>11028</v>
      </c>
      <c r="N3969" s="2" t="s">
        <v>11037</v>
      </c>
      <c r="O3969" s="2" t="s">
        <v>11036</v>
      </c>
      <c r="P3969" s="2" t="s">
        <v>11037</v>
      </c>
      <c r="Q3969" s="2">
        <f>AVERAGE(PerfRate[[#This Row],[EnvironmentSatisfaction]],PerfRate[[#This Row],[JobSatisfaction]],PerfRate[[#This Row],[RelationshipSatisfaction]])</f>
        <v>3.6666666666666665</v>
      </c>
      <c r="R3969" s="2">
        <f>PerfRate[[#This Row],[ManagerRating]] - PerfRate[[#This Row],[SelfRating]]</f>
        <v>-1</v>
      </c>
    </row>
    <row r="3970" spans="1:18">
      <c r="A3970" s="2" t="s">
        <v>8277</v>
      </c>
      <c r="B3970" s="2" t="s">
        <v>2281</v>
      </c>
      <c r="C3970" s="1">
        <v>44531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  <c r="L3970" s="2" t="s">
        <v>11031</v>
      </c>
      <c r="M3970" s="2" t="s">
        <v>11030</v>
      </c>
      <c r="N3970" s="2" t="s">
        <v>11036</v>
      </c>
      <c r="O3970" s="2" t="s">
        <v>11036</v>
      </c>
      <c r="P3970" s="2" t="s">
        <v>11037</v>
      </c>
      <c r="Q3970" s="2">
        <f>AVERAGE(PerfRate[[#This Row],[EnvironmentSatisfaction]],PerfRate[[#This Row],[JobSatisfaction]],PerfRate[[#This Row],[RelationshipSatisfaction]])</f>
        <v>3.3333333333333335</v>
      </c>
      <c r="R3970" s="2">
        <f>PerfRate[[#This Row],[ManagerRating]] - PerfRate[[#This Row],[SelfRating]]</f>
        <v>-1</v>
      </c>
    </row>
    <row r="3971" spans="1:18">
      <c r="A3971" s="2" t="s">
        <v>8278</v>
      </c>
      <c r="B3971" s="2" t="s">
        <v>1090</v>
      </c>
      <c r="C3971" s="1">
        <v>44531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  <c r="L3971" s="2" t="s">
        <v>11029</v>
      </c>
      <c r="M3971" s="2" t="s">
        <v>11029</v>
      </c>
      <c r="N3971" s="2" t="s">
        <v>11038</v>
      </c>
      <c r="O3971" s="2" t="s">
        <v>11035</v>
      </c>
      <c r="P3971" s="2" t="s">
        <v>11037</v>
      </c>
      <c r="Q3971" s="2">
        <f>AVERAGE(PerfRate[[#This Row],[EnvironmentSatisfaction]],PerfRate[[#This Row],[JobSatisfaction]],PerfRate[[#This Row],[RelationshipSatisfaction]])</f>
        <v>3.6666666666666665</v>
      </c>
      <c r="R3971" s="2">
        <f>PerfRate[[#This Row],[ManagerRating]] - PerfRate[[#This Row],[SelfRating]]</f>
        <v>0</v>
      </c>
    </row>
    <row r="3972" spans="1:18">
      <c r="A3972" s="2" t="s">
        <v>8279</v>
      </c>
      <c r="B3972" s="2" t="s">
        <v>2691</v>
      </c>
      <c r="C3972" s="1">
        <v>44531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  <c r="L3972" s="2" t="s">
        <v>11030</v>
      </c>
      <c r="M3972" s="2" t="s">
        <v>11030</v>
      </c>
      <c r="N3972" s="2" t="s">
        <v>11036</v>
      </c>
      <c r="O3972" s="2" t="s">
        <v>11034</v>
      </c>
      <c r="P3972" s="2" t="s">
        <v>11034</v>
      </c>
      <c r="Q3972" s="2">
        <f>AVERAGE(PerfRate[[#This Row],[EnvironmentSatisfaction]],PerfRate[[#This Row],[JobSatisfaction]],PerfRate[[#This Row],[RelationshipSatisfaction]])</f>
        <v>1.6666666666666667</v>
      </c>
      <c r="R3972" s="2">
        <f>PerfRate[[#This Row],[ManagerRating]] - PerfRate[[#This Row],[SelfRating]]</f>
        <v>0</v>
      </c>
    </row>
    <row r="3973" spans="1:18">
      <c r="A3973" s="2" t="s">
        <v>8280</v>
      </c>
      <c r="B3973" s="2" t="s">
        <v>166</v>
      </c>
      <c r="C3973" s="1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  <c r="L3973" s="2" t="s">
        <v>11029</v>
      </c>
      <c r="M3973" s="2" t="s">
        <v>11029</v>
      </c>
      <c r="N3973" s="2" t="s">
        <v>11034</v>
      </c>
      <c r="O3973" s="2" t="s">
        <v>11036</v>
      </c>
      <c r="P3973" s="2" t="s">
        <v>11035</v>
      </c>
      <c r="Q3973" s="2">
        <f>AVERAGE(PerfRate[[#This Row],[EnvironmentSatisfaction]],PerfRate[[#This Row],[JobSatisfaction]],PerfRate[[#This Row],[RelationshipSatisfaction]])</f>
        <v>2</v>
      </c>
      <c r="R3973" s="2">
        <f>PerfRate[[#This Row],[ManagerRating]] - PerfRate[[#This Row],[SelfRating]]</f>
        <v>0</v>
      </c>
    </row>
    <row r="3974" spans="1:18">
      <c r="A3974" s="2" t="s">
        <v>8281</v>
      </c>
      <c r="B3974" s="2" t="s">
        <v>3868</v>
      </c>
      <c r="C3974" s="1">
        <v>42339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  <c r="L3974" s="2" t="s">
        <v>11030</v>
      </c>
      <c r="M3974" s="2" t="s">
        <v>11030</v>
      </c>
      <c r="N3974" s="2" t="s">
        <v>11037</v>
      </c>
      <c r="O3974" s="2" t="s">
        <v>11037</v>
      </c>
      <c r="P3974" s="2" t="s">
        <v>11037</v>
      </c>
      <c r="Q3974" s="2">
        <f>AVERAGE(PerfRate[[#This Row],[EnvironmentSatisfaction]],PerfRate[[#This Row],[JobSatisfaction]],PerfRate[[#This Row],[RelationshipSatisfaction]])</f>
        <v>4</v>
      </c>
      <c r="R3974" s="2">
        <f>PerfRate[[#This Row],[ManagerRating]] - PerfRate[[#This Row],[SelfRating]]</f>
        <v>0</v>
      </c>
    </row>
    <row r="3975" spans="1:18">
      <c r="A3975" s="2" t="s">
        <v>8282</v>
      </c>
      <c r="B3975" s="2" t="s">
        <v>2204</v>
      </c>
      <c r="C3975" s="1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  <c r="L3975" s="2" t="s">
        <v>11030</v>
      </c>
      <c r="M3975" s="2" t="s">
        <v>11030</v>
      </c>
      <c r="N3975" s="2" t="s">
        <v>11035</v>
      </c>
      <c r="O3975" s="2" t="s">
        <v>11034</v>
      </c>
      <c r="P3975" s="2" t="s">
        <v>11035</v>
      </c>
      <c r="Q3975" s="2">
        <f>AVERAGE(PerfRate[[#This Row],[EnvironmentSatisfaction]],PerfRate[[#This Row],[JobSatisfaction]],PerfRate[[#This Row],[RelationshipSatisfaction]])</f>
        <v>1.6666666666666667</v>
      </c>
      <c r="R3975" s="2">
        <f>PerfRate[[#This Row],[ManagerRating]] - PerfRate[[#This Row],[SelfRating]]</f>
        <v>0</v>
      </c>
    </row>
    <row r="3976" spans="1:18">
      <c r="A3976" s="2" t="s">
        <v>8283</v>
      </c>
      <c r="B3976" s="2" t="s">
        <v>2864</v>
      </c>
      <c r="C3976" s="1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  <c r="L3976" s="2" t="s">
        <v>11031</v>
      </c>
      <c r="M3976" s="2" t="s">
        <v>11031</v>
      </c>
      <c r="N3976" s="2" t="s">
        <v>11035</v>
      </c>
      <c r="O3976" s="2" t="s">
        <v>11036</v>
      </c>
      <c r="P3976" s="2" t="s">
        <v>11034</v>
      </c>
      <c r="Q3976" s="2">
        <f>AVERAGE(PerfRate[[#This Row],[EnvironmentSatisfaction]],PerfRate[[#This Row],[JobSatisfaction]],PerfRate[[#This Row],[RelationshipSatisfaction]])</f>
        <v>2</v>
      </c>
      <c r="R3976" s="2">
        <f>PerfRate[[#This Row],[ManagerRating]] - PerfRate[[#This Row],[SelfRating]]</f>
        <v>0</v>
      </c>
    </row>
    <row r="3977" spans="1:18">
      <c r="A3977" s="2" t="s">
        <v>8284</v>
      </c>
      <c r="B3977" s="2" t="s">
        <v>401</v>
      </c>
      <c r="C3977" s="1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  <c r="L3977" s="2" t="s">
        <v>11030</v>
      </c>
      <c r="M3977" s="2" t="s">
        <v>11030</v>
      </c>
      <c r="N3977" s="2" t="s">
        <v>11035</v>
      </c>
      <c r="O3977" s="2" t="s">
        <v>11034</v>
      </c>
      <c r="P3977" s="2" t="s">
        <v>11036</v>
      </c>
      <c r="Q3977" s="2">
        <f>AVERAGE(PerfRate[[#This Row],[EnvironmentSatisfaction]],PerfRate[[#This Row],[JobSatisfaction]],PerfRate[[#This Row],[RelationshipSatisfaction]])</f>
        <v>2</v>
      </c>
      <c r="R3977" s="2">
        <f>PerfRate[[#This Row],[ManagerRating]] - PerfRate[[#This Row],[SelfRating]]</f>
        <v>0</v>
      </c>
    </row>
    <row r="3978" spans="1:18">
      <c r="A3978" s="2" t="s">
        <v>8285</v>
      </c>
      <c r="B3978" s="2" t="s">
        <v>1889</v>
      </c>
      <c r="C3978" s="1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  <c r="L3978" s="2" t="s">
        <v>11030</v>
      </c>
      <c r="M3978" s="2" t="s">
        <v>11030</v>
      </c>
      <c r="N3978" s="2" t="s">
        <v>11036</v>
      </c>
      <c r="O3978" s="2" t="s">
        <v>11034</v>
      </c>
      <c r="P3978" s="2" t="s">
        <v>11036</v>
      </c>
      <c r="Q3978" s="2">
        <f>AVERAGE(PerfRate[[#This Row],[EnvironmentSatisfaction]],PerfRate[[#This Row],[JobSatisfaction]],PerfRate[[#This Row],[RelationshipSatisfaction]])</f>
        <v>2.3333333333333335</v>
      </c>
      <c r="R3978" s="2">
        <f>PerfRate[[#This Row],[ManagerRating]] - PerfRate[[#This Row],[SelfRating]]</f>
        <v>0</v>
      </c>
    </row>
    <row r="3979" spans="1:18">
      <c r="A3979" s="2" t="s">
        <v>8286</v>
      </c>
      <c r="B3979" s="2" t="s">
        <v>940</v>
      </c>
      <c r="C3979" s="1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  <c r="L3979" s="2" t="s">
        <v>11029</v>
      </c>
      <c r="M3979" s="2" t="s">
        <v>11028</v>
      </c>
      <c r="N3979" s="2" t="s">
        <v>11036</v>
      </c>
      <c r="O3979" s="2" t="s">
        <v>11036</v>
      </c>
      <c r="P3979" s="2" t="s">
        <v>11037</v>
      </c>
      <c r="Q3979" s="2">
        <f>AVERAGE(PerfRate[[#This Row],[EnvironmentSatisfaction]],PerfRate[[#This Row],[JobSatisfaction]],PerfRate[[#This Row],[RelationshipSatisfaction]])</f>
        <v>3.3333333333333335</v>
      </c>
      <c r="R3979" s="2">
        <f>PerfRate[[#This Row],[ManagerRating]] - PerfRate[[#This Row],[SelfRating]]</f>
        <v>-1</v>
      </c>
    </row>
    <row r="3980" spans="1:18">
      <c r="A3980" s="2" t="s">
        <v>8287</v>
      </c>
      <c r="B3980" s="2" t="s">
        <v>490</v>
      </c>
      <c r="C3980" s="1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  <c r="L3980" s="2" t="s">
        <v>11029</v>
      </c>
      <c r="M3980" s="2" t="s">
        <v>11028</v>
      </c>
      <c r="N3980" s="2" t="s">
        <v>11037</v>
      </c>
      <c r="O3980" s="2" t="s">
        <v>11037</v>
      </c>
      <c r="P3980" s="2" t="s">
        <v>11037</v>
      </c>
      <c r="Q3980" s="2">
        <f>AVERAGE(PerfRate[[#This Row],[EnvironmentSatisfaction]],PerfRate[[#This Row],[JobSatisfaction]],PerfRate[[#This Row],[RelationshipSatisfaction]])</f>
        <v>4</v>
      </c>
      <c r="R3980" s="2">
        <f>PerfRate[[#This Row],[ManagerRating]] - PerfRate[[#This Row],[SelfRating]]</f>
        <v>-1</v>
      </c>
    </row>
    <row r="3981" spans="1:18">
      <c r="A3981" s="2" t="s">
        <v>8288</v>
      </c>
      <c r="B3981" s="2" t="s">
        <v>1733</v>
      </c>
      <c r="C3981" s="1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  <c r="L3981" s="2" t="s">
        <v>11031</v>
      </c>
      <c r="M3981" s="2" t="s">
        <v>11031</v>
      </c>
      <c r="N3981" s="2" t="s">
        <v>11038</v>
      </c>
      <c r="O3981" s="2" t="s">
        <v>11036</v>
      </c>
      <c r="P3981" s="2" t="s">
        <v>11036</v>
      </c>
      <c r="Q3981" s="2">
        <f>AVERAGE(PerfRate[[#This Row],[EnvironmentSatisfaction]],PerfRate[[#This Row],[JobSatisfaction]],PerfRate[[#This Row],[RelationshipSatisfaction]])</f>
        <v>3.6666666666666665</v>
      </c>
      <c r="R3981" s="2">
        <f>PerfRate[[#This Row],[ManagerRating]] - PerfRate[[#This Row],[SelfRating]]</f>
        <v>0</v>
      </c>
    </row>
    <row r="3982" spans="1:18">
      <c r="A3982" s="2" t="s">
        <v>8289</v>
      </c>
      <c r="B3982" s="2" t="s">
        <v>1930</v>
      </c>
      <c r="C3982" s="1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  <c r="L3982" s="2" t="s">
        <v>11031</v>
      </c>
      <c r="M3982" s="2" t="s">
        <v>11031</v>
      </c>
      <c r="N3982" s="2" t="s">
        <v>11038</v>
      </c>
      <c r="O3982" s="2" t="s">
        <v>11036</v>
      </c>
      <c r="P3982" s="2" t="s">
        <v>11036</v>
      </c>
      <c r="Q3982" s="2">
        <f>AVERAGE(PerfRate[[#This Row],[EnvironmentSatisfaction]],PerfRate[[#This Row],[JobSatisfaction]],PerfRate[[#This Row],[RelationshipSatisfaction]])</f>
        <v>3.6666666666666665</v>
      </c>
      <c r="R3982" s="2">
        <f>PerfRate[[#This Row],[ManagerRating]] - PerfRate[[#This Row],[SelfRating]]</f>
        <v>0</v>
      </c>
    </row>
    <row r="3983" spans="1:18">
      <c r="A3983" s="2" t="s">
        <v>8290</v>
      </c>
      <c r="B3983" s="2" t="s">
        <v>2748</v>
      </c>
      <c r="C3983" s="1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  <c r="L3983" s="2" t="s">
        <v>11030</v>
      </c>
      <c r="M3983" s="2" t="s">
        <v>11029</v>
      </c>
      <c r="N3983" s="2" t="s">
        <v>11038</v>
      </c>
      <c r="O3983" s="2" t="s">
        <v>11035</v>
      </c>
      <c r="P3983" s="2" t="s">
        <v>11035</v>
      </c>
      <c r="Q3983" s="2">
        <f>AVERAGE(PerfRate[[#This Row],[EnvironmentSatisfaction]],PerfRate[[#This Row],[JobSatisfaction]],PerfRate[[#This Row],[RelationshipSatisfaction]])</f>
        <v>3</v>
      </c>
      <c r="R3983" s="2">
        <f>PerfRate[[#This Row],[ManagerRating]] - PerfRate[[#This Row],[SelfRating]]</f>
        <v>-1</v>
      </c>
    </row>
    <row r="3984" spans="1:18">
      <c r="A3984" s="2" t="s">
        <v>8291</v>
      </c>
      <c r="B3984" s="2" t="s">
        <v>738</v>
      </c>
      <c r="C3984" s="1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  <c r="L3984" s="2" t="s">
        <v>11031</v>
      </c>
      <c r="M3984" s="2" t="s">
        <v>11030</v>
      </c>
      <c r="N3984" s="2" t="s">
        <v>11036</v>
      </c>
      <c r="O3984" s="2" t="s">
        <v>11038</v>
      </c>
      <c r="P3984" s="2" t="s">
        <v>11038</v>
      </c>
      <c r="Q3984" s="2">
        <f>AVERAGE(PerfRate[[#This Row],[EnvironmentSatisfaction]],PerfRate[[#This Row],[JobSatisfaction]],PerfRate[[#This Row],[RelationshipSatisfaction]])</f>
        <v>4.333333333333333</v>
      </c>
      <c r="R3984" s="2">
        <f>PerfRate[[#This Row],[ManagerRating]] - PerfRate[[#This Row],[SelfRating]]</f>
        <v>-1</v>
      </c>
    </row>
    <row r="3985" spans="1:18">
      <c r="A3985" s="2" t="s">
        <v>8292</v>
      </c>
      <c r="B3985" s="2" t="s">
        <v>889</v>
      </c>
      <c r="C3985" s="1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  <c r="L3985" s="2" t="s">
        <v>11030</v>
      </c>
      <c r="M3985" s="2" t="s">
        <v>11030</v>
      </c>
      <c r="N3985" s="2" t="s">
        <v>11037</v>
      </c>
      <c r="O3985" s="2" t="s">
        <v>11038</v>
      </c>
      <c r="P3985" s="2" t="s">
        <v>11036</v>
      </c>
      <c r="Q3985" s="2">
        <f>AVERAGE(PerfRate[[#This Row],[EnvironmentSatisfaction]],PerfRate[[#This Row],[JobSatisfaction]],PerfRate[[#This Row],[RelationshipSatisfaction]])</f>
        <v>4</v>
      </c>
      <c r="R3985" s="2">
        <f>PerfRate[[#This Row],[ManagerRating]] - PerfRate[[#This Row],[SelfRating]]</f>
        <v>0</v>
      </c>
    </row>
    <row r="3986" spans="1:18">
      <c r="A3986" s="2" t="s">
        <v>8293</v>
      </c>
      <c r="B3986" s="2" t="s">
        <v>2911</v>
      </c>
      <c r="C3986" s="1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  <c r="L3986" s="2" t="s">
        <v>11029</v>
      </c>
      <c r="M3986" s="2" t="s">
        <v>11028</v>
      </c>
      <c r="N3986" s="2" t="s">
        <v>11037</v>
      </c>
      <c r="O3986" s="2" t="s">
        <v>11038</v>
      </c>
      <c r="P3986" s="2" t="s">
        <v>11036</v>
      </c>
      <c r="Q3986" s="2">
        <f>AVERAGE(PerfRate[[#This Row],[EnvironmentSatisfaction]],PerfRate[[#This Row],[JobSatisfaction]],PerfRate[[#This Row],[RelationshipSatisfaction]])</f>
        <v>4</v>
      </c>
      <c r="R3986" s="2">
        <f>PerfRate[[#This Row],[ManagerRating]] - PerfRate[[#This Row],[SelfRating]]</f>
        <v>-1</v>
      </c>
    </row>
    <row r="3987" spans="1:18">
      <c r="A3987" s="2" t="s">
        <v>8294</v>
      </c>
      <c r="B3987" s="2" t="s">
        <v>2795</v>
      </c>
      <c r="C3987" s="1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  <c r="L3987" s="2" t="s">
        <v>11030</v>
      </c>
      <c r="M3987" s="2" t="s">
        <v>11029</v>
      </c>
      <c r="N3987" s="2" t="s">
        <v>11037</v>
      </c>
      <c r="O3987" s="2" t="s">
        <v>11038</v>
      </c>
      <c r="P3987" s="2" t="s">
        <v>11036</v>
      </c>
      <c r="Q3987" s="2">
        <f>AVERAGE(PerfRate[[#This Row],[EnvironmentSatisfaction]],PerfRate[[#This Row],[JobSatisfaction]],PerfRate[[#This Row],[RelationshipSatisfaction]])</f>
        <v>4</v>
      </c>
      <c r="R3987" s="2">
        <f>PerfRate[[#This Row],[ManagerRating]] - PerfRate[[#This Row],[SelfRating]]</f>
        <v>-1</v>
      </c>
    </row>
    <row r="3988" spans="1:18">
      <c r="A3988" s="2" t="s">
        <v>8295</v>
      </c>
      <c r="B3988" s="2" t="s">
        <v>1818</v>
      </c>
      <c r="C3988" s="1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  <c r="L3988" s="2" t="s">
        <v>11031</v>
      </c>
      <c r="M3988" s="2" t="s">
        <v>11030</v>
      </c>
      <c r="N3988" s="2" t="s">
        <v>11037</v>
      </c>
      <c r="O3988" s="2" t="s">
        <v>11038</v>
      </c>
      <c r="P3988" s="2" t="s">
        <v>11036</v>
      </c>
      <c r="Q3988" s="2">
        <f>AVERAGE(PerfRate[[#This Row],[EnvironmentSatisfaction]],PerfRate[[#This Row],[JobSatisfaction]],PerfRate[[#This Row],[RelationshipSatisfaction]])</f>
        <v>4</v>
      </c>
      <c r="R3988" s="2">
        <f>PerfRate[[#This Row],[ManagerRating]] - PerfRate[[#This Row],[SelfRating]]</f>
        <v>-1</v>
      </c>
    </row>
    <row r="3989" spans="1:18">
      <c r="A3989" s="2" t="s">
        <v>8296</v>
      </c>
      <c r="B3989" s="2" t="s">
        <v>1881</v>
      </c>
      <c r="C3989" s="1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  <c r="L3989" s="2" t="s">
        <v>11029</v>
      </c>
      <c r="M3989" s="2" t="s">
        <v>11029</v>
      </c>
      <c r="N3989" s="2" t="s">
        <v>11038</v>
      </c>
      <c r="O3989" s="2" t="s">
        <v>11035</v>
      </c>
      <c r="P3989" s="2" t="s">
        <v>11036</v>
      </c>
      <c r="Q3989" s="2">
        <f>AVERAGE(PerfRate[[#This Row],[EnvironmentSatisfaction]],PerfRate[[#This Row],[JobSatisfaction]],PerfRate[[#This Row],[RelationshipSatisfaction]])</f>
        <v>3.3333333333333335</v>
      </c>
      <c r="R3989" s="2">
        <f>PerfRate[[#This Row],[ManagerRating]] - PerfRate[[#This Row],[SelfRating]]</f>
        <v>0</v>
      </c>
    </row>
    <row r="3990" spans="1:18">
      <c r="A3990" s="2" t="s">
        <v>8297</v>
      </c>
      <c r="B3990" s="2" t="s">
        <v>1177</v>
      </c>
      <c r="C3990" s="1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  <c r="L3990" s="2" t="s">
        <v>11030</v>
      </c>
      <c r="M3990" s="2" t="s">
        <v>11030</v>
      </c>
      <c r="N3990" s="2" t="s">
        <v>11036</v>
      </c>
      <c r="O3990" s="2" t="s">
        <v>11037</v>
      </c>
      <c r="P3990" s="2" t="s">
        <v>11037</v>
      </c>
      <c r="Q3990" s="2">
        <f>AVERAGE(PerfRate[[#This Row],[EnvironmentSatisfaction]],PerfRate[[#This Row],[JobSatisfaction]],PerfRate[[#This Row],[RelationshipSatisfaction]])</f>
        <v>3.6666666666666665</v>
      </c>
      <c r="R3990" s="2">
        <f>PerfRate[[#This Row],[ManagerRating]] - PerfRate[[#This Row],[SelfRating]]</f>
        <v>0</v>
      </c>
    </row>
    <row r="3991" spans="1:18">
      <c r="A3991" s="2" t="s">
        <v>8298</v>
      </c>
      <c r="B3991" s="2" t="s">
        <v>2891</v>
      </c>
      <c r="C3991" s="1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  <c r="L3991" s="2" t="s">
        <v>11031</v>
      </c>
      <c r="M3991" s="2" t="s">
        <v>11031</v>
      </c>
      <c r="N3991" s="2" t="s">
        <v>11036</v>
      </c>
      <c r="O3991" s="2" t="s">
        <v>11038</v>
      </c>
      <c r="P3991" s="2" t="s">
        <v>11038</v>
      </c>
      <c r="Q3991" s="2">
        <f>AVERAGE(PerfRate[[#This Row],[EnvironmentSatisfaction]],PerfRate[[#This Row],[JobSatisfaction]],PerfRate[[#This Row],[RelationshipSatisfaction]])</f>
        <v>4.333333333333333</v>
      </c>
      <c r="R3991" s="2">
        <f>PerfRate[[#This Row],[ManagerRating]] - PerfRate[[#This Row],[SelfRating]]</f>
        <v>0</v>
      </c>
    </row>
    <row r="3992" spans="1:18">
      <c r="A3992" s="2" t="s">
        <v>8299</v>
      </c>
      <c r="B3992" s="2" t="s">
        <v>690</v>
      </c>
      <c r="C3992" s="1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  <c r="L3992" s="2" t="s">
        <v>11031</v>
      </c>
      <c r="M3992" s="2" t="s">
        <v>11031</v>
      </c>
      <c r="N3992" s="2" t="s">
        <v>11035</v>
      </c>
      <c r="O3992" s="2" t="s">
        <v>11037</v>
      </c>
      <c r="P3992" s="2" t="s">
        <v>11036</v>
      </c>
      <c r="Q3992" s="2">
        <f>AVERAGE(PerfRate[[#This Row],[EnvironmentSatisfaction]],PerfRate[[#This Row],[JobSatisfaction]],PerfRate[[#This Row],[RelationshipSatisfaction]])</f>
        <v>3</v>
      </c>
      <c r="R3992" s="2">
        <f>PerfRate[[#This Row],[ManagerRating]] - PerfRate[[#This Row],[SelfRating]]</f>
        <v>0</v>
      </c>
    </row>
    <row r="3993" spans="1:18">
      <c r="A3993" s="2" t="s">
        <v>8300</v>
      </c>
      <c r="B3993" s="2" t="s">
        <v>1707</v>
      </c>
      <c r="C3993" s="1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  <c r="L3993" s="2" t="s">
        <v>11029</v>
      </c>
      <c r="M3993" s="2" t="s">
        <v>11028</v>
      </c>
      <c r="N3993" s="2" t="s">
        <v>11034</v>
      </c>
      <c r="O3993" s="2" t="s">
        <v>11035</v>
      </c>
      <c r="P3993" s="2" t="s">
        <v>11035</v>
      </c>
      <c r="Q3993" s="2">
        <f>AVERAGE(PerfRate[[#This Row],[EnvironmentSatisfaction]],PerfRate[[#This Row],[JobSatisfaction]],PerfRate[[#This Row],[RelationshipSatisfaction]])</f>
        <v>1.6666666666666667</v>
      </c>
      <c r="R3993" s="2">
        <f>PerfRate[[#This Row],[ManagerRating]] - PerfRate[[#This Row],[SelfRating]]</f>
        <v>-1</v>
      </c>
    </row>
    <row r="3994" spans="1:18">
      <c r="A3994" s="2" t="s">
        <v>8301</v>
      </c>
      <c r="B3994" s="2" t="s">
        <v>1024</v>
      </c>
      <c r="C3994" s="1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  <c r="L3994" s="2" t="s">
        <v>11031</v>
      </c>
      <c r="M3994" s="2" t="s">
        <v>11030</v>
      </c>
      <c r="N3994" s="2" t="s">
        <v>11035</v>
      </c>
      <c r="O3994" s="2" t="s">
        <v>11034</v>
      </c>
      <c r="P3994" s="2" t="s">
        <v>11037</v>
      </c>
      <c r="Q3994" s="2">
        <f>AVERAGE(PerfRate[[#This Row],[EnvironmentSatisfaction]],PerfRate[[#This Row],[JobSatisfaction]],PerfRate[[#This Row],[RelationshipSatisfaction]])</f>
        <v>2.3333333333333335</v>
      </c>
      <c r="R3994" s="2">
        <f>PerfRate[[#This Row],[ManagerRating]] - PerfRate[[#This Row],[SelfRating]]</f>
        <v>-1</v>
      </c>
    </row>
    <row r="3995" spans="1:18">
      <c r="A3995" s="2" t="s">
        <v>8302</v>
      </c>
      <c r="B3995" s="2" t="s">
        <v>1406</v>
      </c>
      <c r="C3995" s="1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  <c r="L3995" s="2" t="s">
        <v>11029</v>
      </c>
      <c r="M3995" s="2" t="s">
        <v>11028</v>
      </c>
      <c r="N3995" s="2" t="s">
        <v>11037</v>
      </c>
      <c r="O3995" s="2" t="s">
        <v>11034</v>
      </c>
      <c r="P3995" s="2" t="s">
        <v>11037</v>
      </c>
      <c r="Q3995" s="2">
        <f>AVERAGE(PerfRate[[#This Row],[EnvironmentSatisfaction]],PerfRate[[#This Row],[JobSatisfaction]],PerfRate[[#This Row],[RelationshipSatisfaction]])</f>
        <v>3</v>
      </c>
      <c r="R3995" s="2">
        <f>PerfRate[[#This Row],[ManagerRating]] - PerfRate[[#This Row],[SelfRating]]</f>
        <v>-1</v>
      </c>
    </row>
    <row r="3996" spans="1:18">
      <c r="A3996" s="2" t="s">
        <v>8303</v>
      </c>
      <c r="B3996" s="2" t="s">
        <v>2281</v>
      </c>
      <c r="C3996" s="1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  <c r="L3996" s="2" t="s">
        <v>11029</v>
      </c>
      <c r="M3996" s="2" t="s">
        <v>11028</v>
      </c>
      <c r="N3996" s="2" t="s">
        <v>11036</v>
      </c>
      <c r="O3996" s="2" t="s">
        <v>11038</v>
      </c>
      <c r="P3996" s="2" t="s">
        <v>11038</v>
      </c>
      <c r="Q3996" s="2">
        <f>AVERAGE(PerfRate[[#This Row],[EnvironmentSatisfaction]],PerfRate[[#This Row],[JobSatisfaction]],PerfRate[[#This Row],[RelationshipSatisfaction]])</f>
        <v>4.333333333333333</v>
      </c>
      <c r="R3996" s="2">
        <f>PerfRate[[#This Row],[ManagerRating]] - PerfRate[[#This Row],[SelfRating]]</f>
        <v>-1</v>
      </c>
    </row>
    <row r="3997" spans="1:18">
      <c r="A3997" s="2" t="s">
        <v>8304</v>
      </c>
      <c r="B3997" s="2" t="s">
        <v>705</v>
      </c>
      <c r="C3997" s="1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  <c r="L3997" s="2" t="s">
        <v>11030</v>
      </c>
      <c r="M3997" s="2" t="s">
        <v>11029</v>
      </c>
      <c r="N3997" s="2" t="s">
        <v>11037</v>
      </c>
      <c r="O3997" s="2" t="s">
        <v>11035</v>
      </c>
      <c r="P3997" s="2" t="s">
        <v>11034</v>
      </c>
      <c r="Q3997" s="2">
        <f>AVERAGE(PerfRate[[#This Row],[EnvironmentSatisfaction]],PerfRate[[#This Row],[JobSatisfaction]],PerfRate[[#This Row],[RelationshipSatisfaction]])</f>
        <v>2.3333333333333335</v>
      </c>
      <c r="R3997" s="2">
        <f>PerfRate[[#This Row],[ManagerRating]] - PerfRate[[#This Row],[SelfRating]]</f>
        <v>-1</v>
      </c>
    </row>
    <row r="3998" spans="1:18">
      <c r="A3998" s="2" t="s">
        <v>8305</v>
      </c>
      <c r="B3998" s="2" t="s">
        <v>1423</v>
      </c>
      <c r="C3998" s="1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  <c r="L3998" s="2" t="s">
        <v>11029</v>
      </c>
      <c r="M3998" s="2" t="s">
        <v>11028</v>
      </c>
      <c r="N3998" s="2" t="s">
        <v>11036</v>
      </c>
      <c r="O3998" s="2" t="s">
        <v>11037</v>
      </c>
      <c r="P3998" s="2" t="s">
        <v>11035</v>
      </c>
      <c r="Q3998" s="2">
        <f>AVERAGE(PerfRate[[#This Row],[EnvironmentSatisfaction]],PerfRate[[#This Row],[JobSatisfaction]],PerfRate[[#This Row],[RelationshipSatisfaction]])</f>
        <v>3</v>
      </c>
      <c r="R3998" s="2">
        <f>PerfRate[[#This Row],[ManagerRating]] - PerfRate[[#This Row],[SelfRating]]</f>
        <v>-1</v>
      </c>
    </row>
    <row r="3999" spans="1:18">
      <c r="A3999" s="2" t="s">
        <v>8306</v>
      </c>
      <c r="B3999" s="2" t="s">
        <v>1948</v>
      </c>
      <c r="C3999" s="1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  <c r="L3999" s="2" t="s">
        <v>11029</v>
      </c>
      <c r="M3999" s="2" t="s">
        <v>11029</v>
      </c>
      <c r="N3999" s="2" t="s">
        <v>11037</v>
      </c>
      <c r="O3999" s="2" t="s">
        <v>11037</v>
      </c>
      <c r="P3999" s="2" t="s">
        <v>11035</v>
      </c>
      <c r="Q3999" s="2">
        <f>AVERAGE(PerfRate[[#This Row],[EnvironmentSatisfaction]],PerfRate[[#This Row],[JobSatisfaction]],PerfRate[[#This Row],[RelationshipSatisfaction]])</f>
        <v>3.3333333333333335</v>
      </c>
      <c r="R3999" s="2">
        <f>PerfRate[[#This Row],[ManagerRating]] - PerfRate[[#This Row],[SelfRating]]</f>
        <v>0</v>
      </c>
    </row>
    <row r="4000" spans="1:18">
      <c r="A4000" s="2" t="s">
        <v>8307</v>
      </c>
      <c r="B4000" s="2" t="s">
        <v>2187</v>
      </c>
      <c r="C4000" s="1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  <c r="L4000" s="2" t="s">
        <v>11029</v>
      </c>
      <c r="M4000" s="2" t="s">
        <v>11028</v>
      </c>
      <c r="N4000" s="2" t="s">
        <v>11037</v>
      </c>
      <c r="O4000" s="2" t="s">
        <v>11036</v>
      </c>
      <c r="P4000" s="2" t="s">
        <v>11038</v>
      </c>
      <c r="Q4000" s="2">
        <f>AVERAGE(PerfRate[[#This Row],[EnvironmentSatisfaction]],PerfRate[[#This Row],[JobSatisfaction]],PerfRate[[#This Row],[RelationshipSatisfaction]])</f>
        <v>4</v>
      </c>
      <c r="R4000" s="2">
        <f>PerfRate[[#This Row],[ManagerRating]] - PerfRate[[#This Row],[SelfRating]]</f>
        <v>-1</v>
      </c>
    </row>
    <row r="4001" spans="1:18">
      <c r="A4001" s="2" t="s">
        <v>8308</v>
      </c>
      <c r="B4001" s="2" t="s">
        <v>3060</v>
      </c>
      <c r="C4001" s="1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  <c r="L4001" s="2" t="s">
        <v>11029</v>
      </c>
      <c r="M4001" s="2" t="s">
        <v>11029</v>
      </c>
      <c r="N4001" s="2" t="s">
        <v>11036</v>
      </c>
      <c r="O4001" s="2" t="s">
        <v>11036</v>
      </c>
      <c r="P4001" s="2" t="s">
        <v>11037</v>
      </c>
      <c r="Q4001" s="2">
        <f>AVERAGE(PerfRate[[#This Row],[EnvironmentSatisfaction]],PerfRate[[#This Row],[JobSatisfaction]],PerfRate[[#This Row],[RelationshipSatisfaction]])</f>
        <v>3.3333333333333335</v>
      </c>
      <c r="R4001" s="2">
        <f>PerfRate[[#This Row],[ManagerRating]] - PerfRate[[#This Row],[SelfRating]]</f>
        <v>0</v>
      </c>
    </row>
    <row r="4002" spans="1:18">
      <c r="A4002" s="2" t="s">
        <v>8309</v>
      </c>
      <c r="B4002" s="2" t="s">
        <v>664</v>
      </c>
      <c r="C4002" s="1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  <c r="L4002" s="2" t="s">
        <v>11031</v>
      </c>
      <c r="M4002" s="2" t="s">
        <v>11031</v>
      </c>
      <c r="N4002" s="2" t="s">
        <v>11036</v>
      </c>
      <c r="O4002" s="2" t="s">
        <v>11035</v>
      </c>
      <c r="P4002" s="2" t="s">
        <v>11037</v>
      </c>
      <c r="Q4002" s="2">
        <f>AVERAGE(PerfRate[[#This Row],[EnvironmentSatisfaction]],PerfRate[[#This Row],[JobSatisfaction]],PerfRate[[#This Row],[RelationshipSatisfaction]])</f>
        <v>3</v>
      </c>
      <c r="R4002" s="2">
        <f>PerfRate[[#This Row],[ManagerRating]] - PerfRate[[#This Row],[SelfRating]]</f>
        <v>0</v>
      </c>
    </row>
    <row r="4003" spans="1:18">
      <c r="A4003" s="2" t="s">
        <v>8310</v>
      </c>
      <c r="B4003" s="2" t="s">
        <v>1739</v>
      </c>
      <c r="C4003" s="1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  <c r="L4003" s="2" t="s">
        <v>11030</v>
      </c>
      <c r="M4003" s="2" t="s">
        <v>11029</v>
      </c>
      <c r="N4003" s="2" t="s">
        <v>11036</v>
      </c>
      <c r="O4003" s="2" t="s">
        <v>11035</v>
      </c>
      <c r="P4003" s="2" t="s">
        <v>11036</v>
      </c>
      <c r="Q4003" s="2">
        <f>AVERAGE(PerfRate[[#This Row],[EnvironmentSatisfaction]],PerfRate[[#This Row],[JobSatisfaction]],PerfRate[[#This Row],[RelationshipSatisfaction]])</f>
        <v>2.6666666666666665</v>
      </c>
      <c r="R4003" s="2">
        <f>PerfRate[[#This Row],[ManagerRating]] - PerfRate[[#This Row],[SelfRating]]</f>
        <v>-1</v>
      </c>
    </row>
    <row r="4004" spans="1:18">
      <c r="A4004" s="2" t="s">
        <v>8311</v>
      </c>
      <c r="B4004" s="2" t="s">
        <v>2302</v>
      </c>
      <c r="C4004" s="1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  <c r="L4004" s="2" t="s">
        <v>11030</v>
      </c>
      <c r="M4004" s="2" t="s">
        <v>11029</v>
      </c>
      <c r="N4004" s="2" t="s">
        <v>11038</v>
      </c>
      <c r="O4004" s="2" t="s">
        <v>11036</v>
      </c>
      <c r="P4004" s="2" t="s">
        <v>11035</v>
      </c>
      <c r="Q4004" s="2">
        <f>AVERAGE(PerfRate[[#This Row],[EnvironmentSatisfaction]],PerfRate[[#This Row],[JobSatisfaction]],PerfRate[[#This Row],[RelationshipSatisfaction]])</f>
        <v>3.3333333333333335</v>
      </c>
      <c r="R4004" s="2">
        <f>PerfRate[[#This Row],[ManagerRating]] - PerfRate[[#This Row],[SelfRating]]</f>
        <v>-1</v>
      </c>
    </row>
    <row r="4005" spans="1:18">
      <c r="A4005" s="2" t="s">
        <v>8312</v>
      </c>
      <c r="B4005" s="2" t="s">
        <v>684</v>
      </c>
      <c r="C4005" s="1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  <c r="L4005" s="2" t="s">
        <v>11030</v>
      </c>
      <c r="M4005" s="2" t="s">
        <v>11029</v>
      </c>
      <c r="N4005" s="2" t="s">
        <v>11036</v>
      </c>
      <c r="O4005" s="2" t="s">
        <v>11037</v>
      </c>
      <c r="P4005" s="2" t="s">
        <v>11037</v>
      </c>
      <c r="Q4005" s="2">
        <f>AVERAGE(PerfRate[[#This Row],[EnvironmentSatisfaction]],PerfRate[[#This Row],[JobSatisfaction]],PerfRate[[#This Row],[RelationshipSatisfaction]])</f>
        <v>3.6666666666666665</v>
      </c>
      <c r="R4005" s="2">
        <f>PerfRate[[#This Row],[ManagerRating]] - PerfRate[[#This Row],[SelfRating]]</f>
        <v>-1</v>
      </c>
    </row>
    <row r="4006" spans="1:18">
      <c r="A4006" s="2" t="s">
        <v>8313</v>
      </c>
      <c r="B4006" s="2" t="s">
        <v>702</v>
      </c>
      <c r="C4006" s="1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  <c r="L4006" s="2" t="s">
        <v>11029</v>
      </c>
      <c r="M4006" s="2" t="s">
        <v>11028</v>
      </c>
      <c r="N4006" s="2" t="s">
        <v>11036</v>
      </c>
      <c r="O4006" s="2" t="s">
        <v>11038</v>
      </c>
      <c r="P4006" s="2" t="s">
        <v>11035</v>
      </c>
      <c r="Q4006" s="2">
        <f>AVERAGE(PerfRate[[#This Row],[EnvironmentSatisfaction]],PerfRate[[#This Row],[JobSatisfaction]],PerfRate[[#This Row],[RelationshipSatisfaction]])</f>
        <v>3.3333333333333335</v>
      </c>
      <c r="R4006" s="2">
        <f>PerfRate[[#This Row],[ManagerRating]] - PerfRate[[#This Row],[SelfRating]]</f>
        <v>-1</v>
      </c>
    </row>
    <row r="4007" spans="1:18">
      <c r="A4007" s="2" t="s">
        <v>8314</v>
      </c>
      <c r="B4007" s="2" t="s">
        <v>1981</v>
      </c>
      <c r="C4007" s="1">
        <v>41580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  <c r="L4007" s="2" t="s">
        <v>11029</v>
      </c>
      <c r="M4007" s="2" t="s">
        <v>11028</v>
      </c>
      <c r="N4007" s="2" t="s">
        <v>11038</v>
      </c>
      <c r="O4007" s="2" t="s">
        <v>11037</v>
      </c>
      <c r="P4007" s="2" t="s">
        <v>11038</v>
      </c>
      <c r="Q4007" s="2">
        <f>AVERAGE(PerfRate[[#This Row],[EnvironmentSatisfaction]],PerfRate[[#This Row],[JobSatisfaction]],PerfRate[[#This Row],[RelationshipSatisfaction]])</f>
        <v>4.666666666666667</v>
      </c>
      <c r="R4007" s="2">
        <f>PerfRate[[#This Row],[ManagerRating]] - PerfRate[[#This Row],[SelfRating]]</f>
        <v>-1</v>
      </c>
    </row>
    <row r="4008" spans="1:18">
      <c r="A4008" s="2" t="s">
        <v>8315</v>
      </c>
      <c r="B4008" s="2" t="s">
        <v>166</v>
      </c>
      <c r="C4008" s="1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  <c r="L4008" s="2" t="s">
        <v>11029</v>
      </c>
      <c r="M4008" s="2" t="s">
        <v>11029</v>
      </c>
      <c r="N4008" s="2" t="s">
        <v>11038</v>
      </c>
      <c r="O4008" s="2" t="s">
        <v>11037</v>
      </c>
      <c r="P4008" s="2" t="s">
        <v>11037</v>
      </c>
      <c r="Q4008" s="2">
        <f>AVERAGE(PerfRate[[#This Row],[EnvironmentSatisfaction]],PerfRate[[#This Row],[JobSatisfaction]],PerfRate[[#This Row],[RelationshipSatisfaction]])</f>
        <v>4.333333333333333</v>
      </c>
      <c r="R4008" s="2">
        <f>PerfRate[[#This Row],[ManagerRating]] - PerfRate[[#This Row],[SelfRating]]</f>
        <v>0</v>
      </c>
    </row>
    <row r="4009" spans="1:18">
      <c r="A4009" s="2" t="s">
        <v>8316</v>
      </c>
      <c r="B4009" s="2" t="s">
        <v>991</v>
      </c>
      <c r="C4009" s="1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  <c r="L4009" s="2" t="s">
        <v>11031</v>
      </c>
      <c r="M4009" s="2" t="s">
        <v>11031</v>
      </c>
      <c r="N4009" s="2" t="s">
        <v>11038</v>
      </c>
      <c r="O4009" s="2" t="s">
        <v>11037</v>
      </c>
      <c r="P4009" s="2" t="s">
        <v>11037</v>
      </c>
      <c r="Q4009" s="2">
        <f>AVERAGE(PerfRate[[#This Row],[EnvironmentSatisfaction]],PerfRate[[#This Row],[JobSatisfaction]],PerfRate[[#This Row],[RelationshipSatisfaction]])</f>
        <v>4.333333333333333</v>
      </c>
      <c r="R4009" s="2">
        <f>PerfRate[[#This Row],[ManagerRating]] - PerfRate[[#This Row],[SelfRating]]</f>
        <v>0</v>
      </c>
    </row>
    <row r="4010" spans="1:18">
      <c r="A4010" s="2" t="s">
        <v>8317</v>
      </c>
      <c r="B4010" s="2" t="s">
        <v>1252</v>
      </c>
      <c r="C4010" s="1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  <c r="L4010" s="2" t="s">
        <v>11031</v>
      </c>
      <c r="M4010" s="2" t="s">
        <v>11030</v>
      </c>
      <c r="N4010" s="2" t="s">
        <v>11036</v>
      </c>
      <c r="O4010" s="2" t="s">
        <v>11036</v>
      </c>
      <c r="P4010" s="2" t="s">
        <v>11036</v>
      </c>
      <c r="Q4010" s="2">
        <f>AVERAGE(PerfRate[[#This Row],[EnvironmentSatisfaction]],PerfRate[[#This Row],[JobSatisfaction]],PerfRate[[#This Row],[RelationshipSatisfaction]])</f>
        <v>3</v>
      </c>
      <c r="R4010" s="2">
        <f>PerfRate[[#This Row],[ManagerRating]] - PerfRate[[#This Row],[SelfRating]]</f>
        <v>-1</v>
      </c>
    </row>
    <row r="4011" spans="1:18">
      <c r="A4011" s="2" t="s">
        <v>8318</v>
      </c>
      <c r="B4011" s="2" t="s">
        <v>3995</v>
      </c>
      <c r="C4011" s="1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  <c r="L4011" s="2" t="s">
        <v>11029</v>
      </c>
      <c r="M4011" s="2" t="s">
        <v>11028</v>
      </c>
      <c r="N4011" s="2" t="s">
        <v>11036</v>
      </c>
      <c r="O4011" s="2" t="s">
        <v>11035</v>
      </c>
      <c r="P4011" s="2" t="s">
        <v>11037</v>
      </c>
      <c r="Q4011" s="2">
        <f>AVERAGE(PerfRate[[#This Row],[EnvironmentSatisfaction]],PerfRate[[#This Row],[JobSatisfaction]],PerfRate[[#This Row],[RelationshipSatisfaction]])</f>
        <v>3</v>
      </c>
      <c r="R4011" s="2">
        <f>PerfRate[[#This Row],[ManagerRating]] - PerfRate[[#This Row],[SelfRating]]</f>
        <v>-1</v>
      </c>
    </row>
    <row r="4012" spans="1:18">
      <c r="A4012" s="2" t="s">
        <v>8319</v>
      </c>
      <c r="B4012" s="2" t="s">
        <v>1886</v>
      </c>
      <c r="C4012" s="1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  <c r="L4012" s="2" t="s">
        <v>11029</v>
      </c>
      <c r="M4012" s="2" t="s">
        <v>11028</v>
      </c>
      <c r="N4012" s="2" t="s">
        <v>11038</v>
      </c>
      <c r="O4012" s="2" t="s">
        <v>11036</v>
      </c>
      <c r="P4012" s="2" t="s">
        <v>11038</v>
      </c>
      <c r="Q4012" s="2">
        <f>AVERAGE(PerfRate[[#This Row],[EnvironmentSatisfaction]],PerfRate[[#This Row],[JobSatisfaction]],PerfRate[[#This Row],[RelationshipSatisfaction]])</f>
        <v>4.333333333333333</v>
      </c>
      <c r="R4012" s="2">
        <f>PerfRate[[#This Row],[ManagerRating]] - PerfRate[[#This Row],[SelfRating]]</f>
        <v>-1</v>
      </c>
    </row>
    <row r="4013" spans="1:18">
      <c r="A4013" s="2" t="s">
        <v>8320</v>
      </c>
      <c r="B4013" s="2" t="s">
        <v>3566</v>
      </c>
      <c r="C4013" s="1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  <c r="L4013" s="2" t="s">
        <v>11029</v>
      </c>
      <c r="M4013" s="2" t="s">
        <v>11029</v>
      </c>
      <c r="N4013" s="2" t="s">
        <v>11034</v>
      </c>
      <c r="O4013" s="2" t="s">
        <v>11036</v>
      </c>
      <c r="P4013" s="2" t="s">
        <v>11035</v>
      </c>
      <c r="Q4013" s="2">
        <f>AVERAGE(PerfRate[[#This Row],[EnvironmentSatisfaction]],PerfRate[[#This Row],[JobSatisfaction]],PerfRate[[#This Row],[RelationshipSatisfaction]])</f>
        <v>2</v>
      </c>
      <c r="R4013" s="2">
        <f>PerfRate[[#This Row],[ManagerRating]] - PerfRate[[#This Row],[SelfRating]]</f>
        <v>0</v>
      </c>
    </row>
    <row r="4014" spans="1:18">
      <c r="A4014" s="2" t="s">
        <v>8321</v>
      </c>
      <c r="B4014" s="2" t="s">
        <v>1065</v>
      </c>
      <c r="C4014" s="1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  <c r="L4014" s="2" t="s">
        <v>11029</v>
      </c>
      <c r="M4014" s="2" t="s">
        <v>11028</v>
      </c>
      <c r="N4014" s="2" t="s">
        <v>11036</v>
      </c>
      <c r="O4014" s="2" t="s">
        <v>11034</v>
      </c>
      <c r="P4014" s="2" t="s">
        <v>11037</v>
      </c>
      <c r="Q4014" s="2">
        <f>AVERAGE(PerfRate[[#This Row],[EnvironmentSatisfaction]],PerfRate[[#This Row],[JobSatisfaction]],PerfRate[[#This Row],[RelationshipSatisfaction]])</f>
        <v>2.6666666666666665</v>
      </c>
      <c r="R4014" s="2">
        <f>PerfRate[[#This Row],[ManagerRating]] - PerfRate[[#This Row],[SelfRating]]</f>
        <v>-1</v>
      </c>
    </row>
    <row r="4015" spans="1:18">
      <c r="A4015" s="2" t="s">
        <v>8322</v>
      </c>
      <c r="B4015" s="2" t="s">
        <v>589</v>
      </c>
      <c r="C4015" s="1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  <c r="L4015" s="2" t="s">
        <v>11029</v>
      </c>
      <c r="M4015" s="2" t="s">
        <v>11029</v>
      </c>
      <c r="N4015" s="2" t="s">
        <v>11036</v>
      </c>
      <c r="O4015" s="2" t="s">
        <v>11034</v>
      </c>
      <c r="P4015" s="2" t="s">
        <v>11037</v>
      </c>
      <c r="Q4015" s="2">
        <f>AVERAGE(PerfRate[[#This Row],[EnvironmentSatisfaction]],PerfRate[[#This Row],[JobSatisfaction]],PerfRate[[#This Row],[RelationshipSatisfaction]])</f>
        <v>2.6666666666666665</v>
      </c>
      <c r="R4015" s="2">
        <f>PerfRate[[#This Row],[ManagerRating]] - PerfRate[[#This Row],[SelfRating]]</f>
        <v>0</v>
      </c>
    </row>
    <row r="4016" spans="1:18">
      <c r="A4016" s="2" t="s">
        <v>8323</v>
      </c>
      <c r="B4016" s="2" t="s">
        <v>2497</v>
      </c>
      <c r="C4016" s="1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  <c r="L4016" s="2" t="s">
        <v>11030</v>
      </c>
      <c r="M4016" s="2" t="s">
        <v>11029</v>
      </c>
      <c r="N4016" s="2" t="s">
        <v>11036</v>
      </c>
      <c r="O4016" s="2" t="s">
        <v>11036</v>
      </c>
      <c r="P4016" s="2" t="s">
        <v>11036</v>
      </c>
      <c r="Q4016" s="2">
        <f>AVERAGE(PerfRate[[#This Row],[EnvironmentSatisfaction]],PerfRate[[#This Row],[JobSatisfaction]],PerfRate[[#This Row],[RelationshipSatisfaction]])</f>
        <v>3</v>
      </c>
      <c r="R4016" s="2">
        <f>PerfRate[[#This Row],[ManagerRating]] - PerfRate[[#This Row],[SelfRating]]</f>
        <v>-1</v>
      </c>
    </row>
    <row r="4017" spans="1:18">
      <c r="A4017" s="2" t="s">
        <v>8324</v>
      </c>
      <c r="B4017" s="2" t="s">
        <v>1027</v>
      </c>
      <c r="C4017" s="1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  <c r="L4017" s="2" t="s">
        <v>11029</v>
      </c>
      <c r="M4017" s="2" t="s">
        <v>11029</v>
      </c>
      <c r="N4017" s="2" t="s">
        <v>11037</v>
      </c>
      <c r="O4017" s="2" t="s">
        <v>11034</v>
      </c>
      <c r="P4017" s="2" t="s">
        <v>11037</v>
      </c>
      <c r="Q4017" s="2">
        <f>AVERAGE(PerfRate[[#This Row],[EnvironmentSatisfaction]],PerfRate[[#This Row],[JobSatisfaction]],PerfRate[[#This Row],[RelationshipSatisfaction]])</f>
        <v>3</v>
      </c>
      <c r="R4017" s="2">
        <f>PerfRate[[#This Row],[ManagerRating]] - PerfRate[[#This Row],[SelfRating]]</f>
        <v>0</v>
      </c>
    </row>
    <row r="4018" spans="1:18">
      <c r="A4018" s="2" t="s">
        <v>8325</v>
      </c>
      <c r="B4018" s="2" t="s">
        <v>622</v>
      </c>
      <c r="C4018" s="1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  <c r="L4018" s="2" t="s">
        <v>11031</v>
      </c>
      <c r="M4018" s="2" t="s">
        <v>11030</v>
      </c>
      <c r="N4018" s="2" t="s">
        <v>11037</v>
      </c>
      <c r="O4018" s="2" t="s">
        <v>11034</v>
      </c>
      <c r="P4018" s="2" t="s">
        <v>11035</v>
      </c>
      <c r="Q4018" s="2">
        <f>AVERAGE(PerfRate[[#This Row],[EnvironmentSatisfaction]],PerfRate[[#This Row],[JobSatisfaction]],PerfRate[[#This Row],[RelationshipSatisfaction]])</f>
        <v>2.3333333333333335</v>
      </c>
      <c r="R4018" s="2">
        <f>PerfRate[[#This Row],[ManagerRating]] - PerfRate[[#This Row],[SelfRating]]</f>
        <v>-1</v>
      </c>
    </row>
    <row r="4019" spans="1:18">
      <c r="A4019" s="2" t="s">
        <v>8326</v>
      </c>
      <c r="B4019" s="2" t="s">
        <v>401</v>
      </c>
      <c r="C4019" s="1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  <c r="L4019" s="2" t="s">
        <v>11029</v>
      </c>
      <c r="M4019" s="2" t="s">
        <v>11029</v>
      </c>
      <c r="N4019" s="2" t="s">
        <v>11038</v>
      </c>
      <c r="O4019" s="2" t="s">
        <v>11036</v>
      </c>
      <c r="P4019" s="2" t="s">
        <v>11038</v>
      </c>
      <c r="Q4019" s="2">
        <f>AVERAGE(PerfRate[[#This Row],[EnvironmentSatisfaction]],PerfRate[[#This Row],[JobSatisfaction]],PerfRate[[#This Row],[RelationshipSatisfaction]])</f>
        <v>4.333333333333333</v>
      </c>
      <c r="R4019" s="2">
        <f>PerfRate[[#This Row],[ManagerRating]] - PerfRate[[#This Row],[SelfRating]]</f>
        <v>0</v>
      </c>
    </row>
    <row r="4020" spans="1:18">
      <c r="A4020" s="2" t="s">
        <v>8327</v>
      </c>
      <c r="B4020" s="2" t="s">
        <v>1263</v>
      </c>
      <c r="C4020" s="1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  <c r="L4020" s="2" t="s">
        <v>11030</v>
      </c>
      <c r="M4020" s="2" t="s">
        <v>11029</v>
      </c>
      <c r="N4020" s="2" t="s">
        <v>11037</v>
      </c>
      <c r="O4020" s="2" t="s">
        <v>11035</v>
      </c>
      <c r="P4020" s="2" t="s">
        <v>11035</v>
      </c>
      <c r="Q4020" s="2">
        <f>AVERAGE(PerfRate[[#This Row],[EnvironmentSatisfaction]],PerfRate[[#This Row],[JobSatisfaction]],PerfRate[[#This Row],[RelationshipSatisfaction]])</f>
        <v>2.6666666666666665</v>
      </c>
      <c r="R4020" s="2">
        <f>PerfRate[[#This Row],[ManagerRating]] - PerfRate[[#This Row],[SelfRating]]</f>
        <v>-1</v>
      </c>
    </row>
    <row r="4021" spans="1:18">
      <c r="A4021" s="2" t="s">
        <v>8328</v>
      </c>
      <c r="B4021" s="2" t="s">
        <v>1341</v>
      </c>
      <c r="C4021" s="1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  <c r="L4021" s="2" t="s">
        <v>11031</v>
      </c>
      <c r="M4021" s="2" t="s">
        <v>11030</v>
      </c>
      <c r="N4021" s="2" t="s">
        <v>11037</v>
      </c>
      <c r="O4021" s="2" t="s">
        <v>11036</v>
      </c>
      <c r="P4021" s="2" t="s">
        <v>11036</v>
      </c>
      <c r="Q4021" s="2">
        <f>AVERAGE(PerfRate[[#This Row],[EnvironmentSatisfaction]],PerfRate[[#This Row],[JobSatisfaction]],PerfRate[[#This Row],[RelationshipSatisfaction]])</f>
        <v>3.3333333333333335</v>
      </c>
      <c r="R4021" s="2">
        <f>PerfRate[[#This Row],[ManagerRating]] - PerfRate[[#This Row],[SelfRating]]</f>
        <v>-1</v>
      </c>
    </row>
    <row r="4022" spans="1:18">
      <c r="A4022" s="2" t="s">
        <v>8329</v>
      </c>
      <c r="B4022" s="2" t="s">
        <v>1383</v>
      </c>
      <c r="C4022" s="1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  <c r="L4022" s="2" t="s">
        <v>11029</v>
      </c>
      <c r="M4022" s="2" t="s">
        <v>11029</v>
      </c>
      <c r="N4022" s="2" t="s">
        <v>11037</v>
      </c>
      <c r="O4022" s="2" t="s">
        <v>11038</v>
      </c>
      <c r="P4022" s="2" t="s">
        <v>11036</v>
      </c>
      <c r="Q4022" s="2">
        <f>AVERAGE(PerfRate[[#This Row],[EnvironmentSatisfaction]],PerfRate[[#This Row],[JobSatisfaction]],PerfRate[[#This Row],[RelationshipSatisfaction]])</f>
        <v>4</v>
      </c>
      <c r="R4022" s="2">
        <f>PerfRate[[#This Row],[ManagerRating]] - PerfRate[[#This Row],[SelfRating]]</f>
        <v>0</v>
      </c>
    </row>
    <row r="4023" spans="1:18">
      <c r="A4023" s="2" t="s">
        <v>8330</v>
      </c>
      <c r="B4023" s="2" t="s">
        <v>241</v>
      </c>
      <c r="C4023" s="1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  <c r="L4023" s="2" t="s">
        <v>11030</v>
      </c>
      <c r="M4023" s="2" t="s">
        <v>11029</v>
      </c>
      <c r="N4023" s="2" t="s">
        <v>11038</v>
      </c>
      <c r="O4023" s="2" t="s">
        <v>11037</v>
      </c>
      <c r="P4023" s="2" t="s">
        <v>11036</v>
      </c>
      <c r="Q4023" s="2">
        <f>AVERAGE(PerfRate[[#This Row],[EnvironmentSatisfaction]],PerfRate[[#This Row],[JobSatisfaction]],PerfRate[[#This Row],[RelationshipSatisfaction]])</f>
        <v>4</v>
      </c>
      <c r="R4023" s="2">
        <f>PerfRate[[#This Row],[ManagerRating]] - PerfRate[[#This Row],[SelfRating]]</f>
        <v>-1</v>
      </c>
    </row>
    <row r="4024" spans="1:18">
      <c r="A4024" s="2" t="s">
        <v>8331</v>
      </c>
      <c r="B4024" s="2" t="s">
        <v>735</v>
      </c>
      <c r="C4024" s="1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  <c r="L4024" s="2" t="s">
        <v>11031</v>
      </c>
      <c r="M4024" s="2" t="s">
        <v>11031</v>
      </c>
      <c r="N4024" s="2" t="s">
        <v>11038</v>
      </c>
      <c r="O4024" s="2" t="s">
        <v>11038</v>
      </c>
      <c r="P4024" s="2" t="s">
        <v>11035</v>
      </c>
      <c r="Q4024" s="2">
        <f>AVERAGE(PerfRate[[#This Row],[EnvironmentSatisfaction]],PerfRate[[#This Row],[JobSatisfaction]],PerfRate[[#This Row],[RelationshipSatisfaction]])</f>
        <v>4</v>
      </c>
      <c r="R4024" s="2">
        <f>PerfRate[[#This Row],[ManagerRating]] - PerfRate[[#This Row],[SelfRating]]</f>
        <v>0</v>
      </c>
    </row>
    <row r="4025" spans="1:18">
      <c r="A4025" s="2" t="s">
        <v>8332</v>
      </c>
      <c r="B4025" s="2" t="s">
        <v>2814</v>
      </c>
      <c r="C4025" s="1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  <c r="L4025" s="2" t="s">
        <v>11029</v>
      </c>
      <c r="M4025" s="2" t="s">
        <v>11029</v>
      </c>
      <c r="N4025" s="2" t="s">
        <v>11037</v>
      </c>
      <c r="O4025" s="2" t="s">
        <v>11038</v>
      </c>
      <c r="P4025" s="2" t="s">
        <v>11036</v>
      </c>
      <c r="Q4025" s="2">
        <f>AVERAGE(PerfRate[[#This Row],[EnvironmentSatisfaction]],PerfRate[[#This Row],[JobSatisfaction]],PerfRate[[#This Row],[RelationshipSatisfaction]])</f>
        <v>4</v>
      </c>
      <c r="R4025" s="2">
        <f>PerfRate[[#This Row],[ManagerRating]] - PerfRate[[#This Row],[SelfRating]]</f>
        <v>0</v>
      </c>
    </row>
    <row r="4026" spans="1:18">
      <c r="A4026" s="2" t="s">
        <v>8333</v>
      </c>
      <c r="B4026" s="2" t="s">
        <v>3126</v>
      </c>
      <c r="C4026" s="1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  <c r="L4026" s="2" t="s">
        <v>11031</v>
      </c>
      <c r="M4026" s="2" t="s">
        <v>11030</v>
      </c>
      <c r="N4026" s="2" t="s">
        <v>11038</v>
      </c>
      <c r="O4026" s="2" t="s">
        <v>11035</v>
      </c>
      <c r="P4026" s="2" t="s">
        <v>11037</v>
      </c>
      <c r="Q4026" s="2">
        <f>AVERAGE(PerfRate[[#This Row],[EnvironmentSatisfaction]],PerfRate[[#This Row],[JobSatisfaction]],PerfRate[[#This Row],[RelationshipSatisfaction]])</f>
        <v>3.6666666666666665</v>
      </c>
      <c r="R4026" s="2">
        <f>PerfRate[[#This Row],[ManagerRating]] - PerfRate[[#This Row],[SelfRating]]</f>
        <v>-1</v>
      </c>
    </row>
    <row r="4027" spans="1:18">
      <c r="A4027" s="2" t="s">
        <v>8334</v>
      </c>
      <c r="B4027" s="2" t="s">
        <v>493</v>
      </c>
      <c r="C4027" s="1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  <c r="L4027" s="2" t="s">
        <v>11031</v>
      </c>
      <c r="M4027" s="2" t="s">
        <v>11030</v>
      </c>
      <c r="N4027" s="2" t="s">
        <v>11036</v>
      </c>
      <c r="O4027" s="2" t="s">
        <v>11035</v>
      </c>
      <c r="P4027" s="2" t="s">
        <v>11038</v>
      </c>
      <c r="Q4027" s="2">
        <f>AVERAGE(PerfRate[[#This Row],[EnvironmentSatisfaction]],PerfRate[[#This Row],[JobSatisfaction]],PerfRate[[#This Row],[RelationshipSatisfaction]])</f>
        <v>3.3333333333333335</v>
      </c>
      <c r="R4027" s="2">
        <f>PerfRate[[#This Row],[ManagerRating]] - PerfRate[[#This Row],[SelfRating]]</f>
        <v>-1</v>
      </c>
    </row>
    <row r="4028" spans="1:18">
      <c r="A4028" s="2" t="s">
        <v>8335</v>
      </c>
      <c r="B4028" s="2" t="s">
        <v>1511</v>
      </c>
      <c r="C4028" s="1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  <c r="L4028" s="2" t="s">
        <v>11030</v>
      </c>
      <c r="M4028" s="2" t="s">
        <v>11029</v>
      </c>
      <c r="N4028" s="2" t="s">
        <v>11037</v>
      </c>
      <c r="O4028" s="2" t="s">
        <v>11038</v>
      </c>
      <c r="P4028" s="2" t="s">
        <v>11038</v>
      </c>
      <c r="Q4028" s="2">
        <f>AVERAGE(PerfRate[[#This Row],[EnvironmentSatisfaction]],PerfRate[[#This Row],[JobSatisfaction]],PerfRate[[#This Row],[RelationshipSatisfaction]])</f>
        <v>4.666666666666667</v>
      </c>
      <c r="R4028" s="2">
        <f>PerfRate[[#This Row],[ManagerRating]] - PerfRate[[#This Row],[SelfRating]]</f>
        <v>-1</v>
      </c>
    </row>
    <row r="4029" spans="1:18">
      <c r="A4029" s="2" t="s">
        <v>8336</v>
      </c>
      <c r="B4029" s="2" t="s">
        <v>3077</v>
      </c>
      <c r="C4029" s="1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  <c r="L4029" s="2" t="s">
        <v>11030</v>
      </c>
      <c r="M4029" s="2" t="s">
        <v>11029</v>
      </c>
      <c r="N4029" s="2" t="s">
        <v>11037</v>
      </c>
      <c r="O4029" s="2" t="s">
        <v>11035</v>
      </c>
      <c r="P4029" s="2" t="s">
        <v>11035</v>
      </c>
      <c r="Q4029" s="2">
        <f>AVERAGE(PerfRate[[#This Row],[EnvironmentSatisfaction]],PerfRate[[#This Row],[JobSatisfaction]],PerfRate[[#This Row],[RelationshipSatisfaction]])</f>
        <v>2.6666666666666665</v>
      </c>
      <c r="R4029" s="2">
        <f>PerfRate[[#This Row],[ManagerRating]] - PerfRate[[#This Row],[SelfRating]]</f>
        <v>-1</v>
      </c>
    </row>
    <row r="4030" spans="1:18">
      <c r="A4030" s="2" t="s">
        <v>8337</v>
      </c>
      <c r="B4030" s="2" t="s">
        <v>1889</v>
      </c>
      <c r="C4030" s="1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  <c r="L4030" s="2" t="s">
        <v>11031</v>
      </c>
      <c r="M4030" s="2" t="s">
        <v>11030</v>
      </c>
      <c r="N4030" s="2" t="s">
        <v>11037</v>
      </c>
      <c r="O4030" s="2" t="s">
        <v>11036</v>
      </c>
      <c r="P4030" s="2" t="s">
        <v>11035</v>
      </c>
      <c r="Q4030" s="2">
        <f>AVERAGE(PerfRate[[#This Row],[EnvironmentSatisfaction]],PerfRate[[#This Row],[JobSatisfaction]],PerfRate[[#This Row],[RelationshipSatisfaction]])</f>
        <v>3</v>
      </c>
      <c r="R4030" s="2">
        <f>PerfRate[[#This Row],[ManagerRating]] - PerfRate[[#This Row],[SelfRating]]</f>
        <v>-1</v>
      </c>
    </row>
    <row r="4031" spans="1:18">
      <c r="A4031" s="2" t="s">
        <v>8338</v>
      </c>
      <c r="B4031" s="2" t="s">
        <v>2131</v>
      </c>
      <c r="C4031" s="1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  <c r="L4031" s="2" t="s">
        <v>11031</v>
      </c>
      <c r="M4031" s="2" t="s">
        <v>11031</v>
      </c>
      <c r="N4031" s="2" t="s">
        <v>11038</v>
      </c>
      <c r="O4031" s="2" t="s">
        <v>11035</v>
      </c>
      <c r="P4031" s="2" t="s">
        <v>11035</v>
      </c>
      <c r="Q4031" s="2">
        <f>AVERAGE(PerfRate[[#This Row],[EnvironmentSatisfaction]],PerfRate[[#This Row],[JobSatisfaction]],PerfRate[[#This Row],[RelationshipSatisfaction]])</f>
        <v>3</v>
      </c>
      <c r="R4031" s="2">
        <f>PerfRate[[#This Row],[ManagerRating]] - PerfRate[[#This Row],[SelfRating]]</f>
        <v>0</v>
      </c>
    </row>
    <row r="4032" spans="1:18">
      <c r="A4032" s="2" t="s">
        <v>8339</v>
      </c>
      <c r="B4032" s="2" t="s">
        <v>1198</v>
      </c>
      <c r="C4032" s="1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  <c r="L4032" s="2" t="s">
        <v>11029</v>
      </c>
      <c r="M4032" s="2" t="s">
        <v>11029</v>
      </c>
      <c r="N4032" s="2" t="s">
        <v>11037</v>
      </c>
      <c r="O4032" s="2" t="s">
        <v>11037</v>
      </c>
      <c r="P4032" s="2" t="s">
        <v>11037</v>
      </c>
      <c r="Q4032" s="2">
        <f>AVERAGE(PerfRate[[#This Row],[EnvironmentSatisfaction]],PerfRate[[#This Row],[JobSatisfaction]],PerfRate[[#This Row],[RelationshipSatisfaction]])</f>
        <v>4</v>
      </c>
      <c r="R4032" s="2">
        <f>PerfRate[[#This Row],[ManagerRating]] - PerfRate[[#This Row],[SelfRating]]</f>
        <v>0</v>
      </c>
    </row>
    <row r="4033" spans="1:18">
      <c r="A4033" s="2" t="s">
        <v>8340</v>
      </c>
      <c r="B4033" s="2" t="s">
        <v>1353</v>
      </c>
      <c r="C4033" s="1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  <c r="L4033" s="2" t="s">
        <v>11030</v>
      </c>
      <c r="M4033" s="2" t="s">
        <v>11030</v>
      </c>
      <c r="N4033" s="2" t="s">
        <v>11038</v>
      </c>
      <c r="O4033" s="2" t="s">
        <v>11036</v>
      </c>
      <c r="P4033" s="2" t="s">
        <v>11035</v>
      </c>
      <c r="Q4033" s="2">
        <f>AVERAGE(PerfRate[[#This Row],[EnvironmentSatisfaction]],PerfRate[[#This Row],[JobSatisfaction]],PerfRate[[#This Row],[RelationshipSatisfaction]])</f>
        <v>3.3333333333333335</v>
      </c>
      <c r="R4033" s="2">
        <f>PerfRate[[#This Row],[ManagerRating]] - PerfRate[[#This Row],[SelfRating]]</f>
        <v>0</v>
      </c>
    </row>
    <row r="4034" spans="1:18">
      <c r="A4034" s="2" t="s">
        <v>8341</v>
      </c>
      <c r="B4034" s="2" t="s">
        <v>1997</v>
      </c>
      <c r="C4034" s="1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  <c r="L4034" s="2" t="s">
        <v>11030</v>
      </c>
      <c r="M4034" s="2" t="s">
        <v>11030</v>
      </c>
      <c r="N4034" s="2" t="s">
        <v>11037</v>
      </c>
      <c r="O4034" s="2" t="s">
        <v>11036</v>
      </c>
      <c r="P4034" s="2" t="s">
        <v>11036</v>
      </c>
      <c r="Q4034" s="2">
        <f>AVERAGE(PerfRate[[#This Row],[EnvironmentSatisfaction]],PerfRate[[#This Row],[JobSatisfaction]],PerfRate[[#This Row],[RelationshipSatisfaction]])</f>
        <v>3.3333333333333335</v>
      </c>
      <c r="R4034" s="2">
        <f>PerfRate[[#This Row],[ManagerRating]] - PerfRate[[#This Row],[SelfRating]]</f>
        <v>0</v>
      </c>
    </row>
    <row r="4035" spans="1:18">
      <c r="A4035" s="2" t="s">
        <v>8342</v>
      </c>
      <c r="B4035" s="2" t="s">
        <v>1006</v>
      </c>
      <c r="C4035" s="1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  <c r="L4035" s="2" t="s">
        <v>11029</v>
      </c>
      <c r="M4035" s="2" t="s">
        <v>11029</v>
      </c>
      <c r="N4035" s="2" t="s">
        <v>11036</v>
      </c>
      <c r="O4035" s="2" t="s">
        <v>11036</v>
      </c>
      <c r="P4035" s="2" t="s">
        <v>11035</v>
      </c>
      <c r="Q4035" s="2">
        <f>AVERAGE(PerfRate[[#This Row],[EnvironmentSatisfaction]],PerfRate[[#This Row],[JobSatisfaction]],PerfRate[[#This Row],[RelationshipSatisfaction]])</f>
        <v>2.6666666666666665</v>
      </c>
      <c r="R4035" s="2">
        <f>PerfRate[[#This Row],[ManagerRating]] - PerfRate[[#This Row],[SelfRating]]</f>
        <v>0</v>
      </c>
    </row>
    <row r="4036" spans="1:18">
      <c r="A4036" s="2" t="s">
        <v>8343</v>
      </c>
      <c r="B4036" s="2" t="s">
        <v>220</v>
      </c>
      <c r="C4036" s="1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  <c r="L4036" s="2" t="s">
        <v>11029</v>
      </c>
      <c r="M4036" s="2" t="s">
        <v>11028</v>
      </c>
      <c r="N4036" s="2" t="s">
        <v>11036</v>
      </c>
      <c r="O4036" s="2" t="s">
        <v>11036</v>
      </c>
      <c r="P4036" s="2" t="s">
        <v>11038</v>
      </c>
      <c r="Q4036" s="2">
        <f>AVERAGE(PerfRate[[#This Row],[EnvironmentSatisfaction]],PerfRate[[#This Row],[JobSatisfaction]],PerfRate[[#This Row],[RelationshipSatisfaction]])</f>
        <v>3.6666666666666665</v>
      </c>
      <c r="R4036" s="2">
        <f>PerfRate[[#This Row],[ManagerRating]] - PerfRate[[#This Row],[SelfRating]]</f>
        <v>-1</v>
      </c>
    </row>
    <row r="4037" spans="1:18">
      <c r="A4037" s="2" t="s">
        <v>8344</v>
      </c>
      <c r="B4037" s="2" t="s">
        <v>1356</v>
      </c>
      <c r="C4037" s="1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  <c r="L4037" s="2" t="s">
        <v>11029</v>
      </c>
      <c r="M4037" s="2" t="s">
        <v>11029</v>
      </c>
      <c r="N4037" s="2" t="s">
        <v>11037</v>
      </c>
      <c r="O4037" s="2" t="s">
        <v>11035</v>
      </c>
      <c r="P4037" s="2" t="s">
        <v>11037</v>
      </c>
      <c r="Q4037" s="2">
        <f>AVERAGE(PerfRate[[#This Row],[EnvironmentSatisfaction]],PerfRate[[#This Row],[JobSatisfaction]],PerfRate[[#This Row],[RelationshipSatisfaction]])</f>
        <v>3.3333333333333335</v>
      </c>
      <c r="R4037" s="2">
        <f>PerfRate[[#This Row],[ManagerRating]] - PerfRate[[#This Row],[SelfRating]]</f>
        <v>0</v>
      </c>
    </row>
    <row r="4038" spans="1:18">
      <c r="A4038" s="2" t="s">
        <v>8345</v>
      </c>
      <c r="B4038" s="2" t="s">
        <v>2418</v>
      </c>
      <c r="C4038" s="1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  <c r="L4038" s="2" t="s">
        <v>11029</v>
      </c>
      <c r="M4038" s="2" t="s">
        <v>11028</v>
      </c>
      <c r="N4038" s="2" t="s">
        <v>11038</v>
      </c>
      <c r="O4038" s="2" t="s">
        <v>11037</v>
      </c>
      <c r="P4038" s="2" t="s">
        <v>11038</v>
      </c>
      <c r="Q4038" s="2">
        <f>AVERAGE(PerfRate[[#This Row],[EnvironmentSatisfaction]],PerfRate[[#This Row],[JobSatisfaction]],PerfRate[[#This Row],[RelationshipSatisfaction]])</f>
        <v>4.666666666666667</v>
      </c>
      <c r="R4038" s="2">
        <f>PerfRate[[#This Row],[ManagerRating]] - PerfRate[[#This Row],[SelfRating]]</f>
        <v>-1</v>
      </c>
    </row>
    <row r="4039" spans="1:18">
      <c r="A4039" s="2" t="s">
        <v>8346</v>
      </c>
      <c r="B4039" s="2" t="s">
        <v>714</v>
      </c>
      <c r="C4039" s="1">
        <v>44198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  <c r="L4039" s="2" t="s">
        <v>11030</v>
      </c>
      <c r="M4039" s="2" t="s">
        <v>11029</v>
      </c>
      <c r="N4039" s="2" t="s">
        <v>11037</v>
      </c>
      <c r="O4039" s="2" t="s">
        <v>11036</v>
      </c>
      <c r="P4039" s="2" t="s">
        <v>11035</v>
      </c>
      <c r="Q4039" s="2">
        <f>AVERAGE(PerfRate[[#This Row],[EnvironmentSatisfaction]],PerfRate[[#This Row],[JobSatisfaction]],PerfRate[[#This Row],[RelationshipSatisfaction]])</f>
        <v>3</v>
      </c>
      <c r="R4039" s="2">
        <f>PerfRate[[#This Row],[ManagerRating]] - PerfRate[[#This Row],[SelfRating]]</f>
        <v>-1</v>
      </c>
    </row>
    <row r="4040" spans="1:18">
      <c r="A4040" s="2" t="s">
        <v>8347</v>
      </c>
      <c r="B4040" s="2" t="s">
        <v>122</v>
      </c>
      <c r="C4040" s="1">
        <v>44198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  <c r="L4040" s="2" t="s">
        <v>11029</v>
      </c>
      <c r="M4040" s="2" t="s">
        <v>11028</v>
      </c>
      <c r="N4040" s="2" t="s">
        <v>11038</v>
      </c>
      <c r="O4040" s="2" t="s">
        <v>11036</v>
      </c>
      <c r="P4040" s="2" t="s">
        <v>11036</v>
      </c>
      <c r="Q4040" s="2">
        <f>AVERAGE(PerfRate[[#This Row],[EnvironmentSatisfaction]],PerfRate[[#This Row],[JobSatisfaction]],PerfRate[[#This Row],[RelationshipSatisfaction]])</f>
        <v>3.6666666666666665</v>
      </c>
      <c r="R4040" s="2">
        <f>PerfRate[[#This Row],[ManagerRating]] - PerfRate[[#This Row],[SelfRating]]</f>
        <v>-1</v>
      </c>
    </row>
    <row r="4041" spans="1:18">
      <c r="A4041" s="2" t="s">
        <v>8348</v>
      </c>
      <c r="B4041" s="2" t="s">
        <v>940</v>
      </c>
      <c r="C4041" s="1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  <c r="L4041" s="2" t="s">
        <v>11030</v>
      </c>
      <c r="M4041" s="2" t="s">
        <v>11029</v>
      </c>
      <c r="N4041" s="2" t="s">
        <v>11036</v>
      </c>
      <c r="O4041" s="2" t="s">
        <v>11038</v>
      </c>
      <c r="P4041" s="2" t="s">
        <v>11037</v>
      </c>
      <c r="Q4041" s="2">
        <f>AVERAGE(PerfRate[[#This Row],[EnvironmentSatisfaction]],PerfRate[[#This Row],[JobSatisfaction]],PerfRate[[#This Row],[RelationshipSatisfaction]])</f>
        <v>4</v>
      </c>
      <c r="R4041" s="2">
        <f>PerfRate[[#This Row],[ManagerRating]] - PerfRate[[#This Row],[SelfRating]]</f>
        <v>-1</v>
      </c>
    </row>
    <row r="4042" spans="1:18">
      <c r="A4042" s="2" t="s">
        <v>8349</v>
      </c>
      <c r="B4042" s="2" t="s">
        <v>726</v>
      </c>
      <c r="C4042" s="1">
        <v>44198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  <c r="L4042" s="2" t="s">
        <v>11029</v>
      </c>
      <c r="M4042" s="2" t="s">
        <v>11029</v>
      </c>
      <c r="N4042" s="2" t="s">
        <v>11036</v>
      </c>
      <c r="O4042" s="2" t="s">
        <v>11037</v>
      </c>
      <c r="P4042" s="2" t="s">
        <v>11037</v>
      </c>
      <c r="Q4042" s="2">
        <f>AVERAGE(PerfRate[[#This Row],[EnvironmentSatisfaction]],PerfRate[[#This Row],[JobSatisfaction]],PerfRate[[#This Row],[RelationshipSatisfaction]])</f>
        <v>3.6666666666666665</v>
      </c>
      <c r="R4042" s="2">
        <f>PerfRate[[#This Row],[ManagerRating]] - PerfRate[[#This Row],[SelfRating]]</f>
        <v>0</v>
      </c>
    </row>
    <row r="4043" spans="1:18">
      <c r="A4043" s="2" t="s">
        <v>8350</v>
      </c>
      <c r="B4043" s="2" t="s">
        <v>1163</v>
      </c>
      <c r="C4043" s="1">
        <v>44198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  <c r="L4043" s="2" t="s">
        <v>11031</v>
      </c>
      <c r="M4043" s="2" t="s">
        <v>11030</v>
      </c>
      <c r="N4043" s="2" t="s">
        <v>11037</v>
      </c>
      <c r="O4043" s="2" t="s">
        <v>11038</v>
      </c>
      <c r="P4043" s="2" t="s">
        <v>11038</v>
      </c>
      <c r="Q4043" s="2">
        <f>AVERAGE(PerfRate[[#This Row],[EnvironmentSatisfaction]],PerfRate[[#This Row],[JobSatisfaction]],PerfRate[[#This Row],[RelationshipSatisfaction]])</f>
        <v>4.666666666666667</v>
      </c>
      <c r="R4043" s="2">
        <f>PerfRate[[#This Row],[ManagerRating]] - PerfRate[[#This Row],[SelfRating]]</f>
        <v>-1</v>
      </c>
    </row>
    <row r="4044" spans="1:18">
      <c r="A4044" s="2" t="s">
        <v>8351</v>
      </c>
      <c r="B4044" s="2" t="s">
        <v>1048</v>
      </c>
      <c r="C4044" s="1">
        <v>44198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  <c r="L4044" s="2" t="s">
        <v>11030</v>
      </c>
      <c r="M4044" s="2" t="s">
        <v>11029</v>
      </c>
      <c r="N4044" s="2" t="s">
        <v>11037</v>
      </c>
      <c r="O4044" s="2" t="s">
        <v>11035</v>
      </c>
      <c r="P4044" s="2" t="s">
        <v>11038</v>
      </c>
      <c r="Q4044" s="2">
        <f>AVERAGE(PerfRate[[#This Row],[EnvironmentSatisfaction]],PerfRate[[#This Row],[JobSatisfaction]],PerfRate[[#This Row],[RelationshipSatisfaction]])</f>
        <v>3.6666666666666665</v>
      </c>
      <c r="R4044" s="2">
        <f>PerfRate[[#This Row],[ManagerRating]] - PerfRate[[#This Row],[SelfRating]]</f>
        <v>-1</v>
      </c>
    </row>
    <row r="4045" spans="1:18">
      <c r="A4045" s="2" t="s">
        <v>8352</v>
      </c>
      <c r="B4045" s="2" t="s">
        <v>2441</v>
      </c>
      <c r="C4045" s="1">
        <v>44198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  <c r="L4045" s="2" t="s">
        <v>11029</v>
      </c>
      <c r="M4045" s="2" t="s">
        <v>11029</v>
      </c>
      <c r="N4045" s="2" t="s">
        <v>11037</v>
      </c>
      <c r="O4045" s="2" t="s">
        <v>11037</v>
      </c>
      <c r="P4045" s="2" t="s">
        <v>11036</v>
      </c>
      <c r="Q4045" s="2">
        <f>AVERAGE(PerfRate[[#This Row],[EnvironmentSatisfaction]],PerfRate[[#This Row],[JobSatisfaction]],PerfRate[[#This Row],[RelationshipSatisfaction]])</f>
        <v>3.6666666666666665</v>
      </c>
      <c r="R4045" s="2">
        <f>PerfRate[[#This Row],[ManagerRating]] - PerfRate[[#This Row],[SelfRating]]</f>
        <v>0</v>
      </c>
    </row>
    <row r="4046" spans="1:18">
      <c r="A4046" s="2" t="s">
        <v>8353</v>
      </c>
      <c r="B4046" s="2" t="s">
        <v>1538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  <c r="L4046" s="2" t="s">
        <v>11029</v>
      </c>
      <c r="M4046" s="2" t="s">
        <v>11028</v>
      </c>
      <c r="N4046" s="2" t="s">
        <v>11036</v>
      </c>
      <c r="O4046" s="2" t="s">
        <v>11037</v>
      </c>
      <c r="P4046" s="2" t="s">
        <v>11034</v>
      </c>
      <c r="Q4046" s="2">
        <f>AVERAGE(PerfRate[[#This Row],[EnvironmentSatisfaction]],PerfRate[[#This Row],[JobSatisfaction]],PerfRate[[#This Row],[RelationshipSatisfaction]])</f>
        <v>2.6666666666666665</v>
      </c>
      <c r="R4046" s="2">
        <f>PerfRate[[#This Row],[ManagerRating]] - PerfRate[[#This Row],[SelfRating]]</f>
        <v>-1</v>
      </c>
    </row>
    <row r="4047" spans="1:18">
      <c r="A4047" s="2" t="s">
        <v>8354</v>
      </c>
      <c r="B4047" s="2" t="s">
        <v>244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  <c r="L4047" s="2" t="s">
        <v>11030</v>
      </c>
      <c r="M4047" s="2" t="s">
        <v>11030</v>
      </c>
      <c r="N4047" s="2" t="s">
        <v>11034</v>
      </c>
      <c r="O4047" s="2" t="s">
        <v>11036</v>
      </c>
      <c r="P4047" s="2" t="s">
        <v>11035</v>
      </c>
      <c r="Q4047" s="2">
        <f>AVERAGE(PerfRate[[#This Row],[EnvironmentSatisfaction]],PerfRate[[#This Row],[JobSatisfaction]],PerfRate[[#This Row],[RelationshipSatisfaction]])</f>
        <v>2</v>
      </c>
      <c r="R4047" s="2">
        <f>PerfRate[[#This Row],[ManagerRating]] - PerfRate[[#This Row],[SelfRating]]</f>
        <v>0</v>
      </c>
    </row>
    <row r="4048" spans="1:18">
      <c r="A4048" s="2" t="s">
        <v>8355</v>
      </c>
      <c r="B4048" s="2" t="s">
        <v>2694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  <c r="L4048" s="2" t="s">
        <v>11031</v>
      </c>
      <c r="M4048" s="2" t="s">
        <v>11030</v>
      </c>
      <c r="N4048" s="2" t="s">
        <v>11036</v>
      </c>
      <c r="O4048" s="2" t="s">
        <v>11035</v>
      </c>
      <c r="P4048" s="2" t="s">
        <v>11035</v>
      </c>
      <c r="Q4048" s="2">
        <f>AVERAGE(PerfRate[[#This Row],[EnvironmentSatisfaction]],PerfRate[[#This Row],[JobSatisfaction]],PerfRate[[#This Row],[RelationshipSatisfaction]])</f>
        <v>2.3333333333333335</v>
      </c>
      <c r="R4048" s="2">
        <f>PerfRate[[#This Row],[ManagerRating]] - PerfRate[[#This Row],[SelfRating]]</f>
        <v>-1</v>
      </c>
    </row>
    <row r="4049" spans="1:18">
      <c r="A4049" s="2" t="s">
        <v>8356</v>
      </c>
      <c r="B4049" s="2" t="s">
        <v>3017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  <c r="L4049" s="2" t="s">
        <v>11030</v>
      </c>
      <c r="M4049" s="2" t="s">
        <v>11030</v>
      </c>
      <c r="N4049" s="2" t="s">
        <v>11036</v>
      </c>
      <c r="O4049" s="2" t="s">
        <v>11036</v>
      </c>
      <c r="P4049" s="2" t="s">
        <v>11037</v>
      </c>
      <c r="Q4049" s="2">
        <f>AVERAGE(PerfRate[[#This Row],[EnvironmentSatisfaction]],PerfRate[[#This Row],[JobSatisfaction]],PerfRate[[#This Row],[RelationshipSatisfaction]])</f>
        <v>3.3333333333333335</v>
      </c>
      <c r="R4049" s="2">
        <f>PerfRate[[#This Row],[ManagerRating]] - PerfRate[[#This Row],[SelfRating]]</f>
        <v>0</v>
      </c>
    </row>
    <row r="4050" spans="1:18">
      <c r="A4050" s="2" t="s">
        <v>8357</v>
      </c>
      <c r="B4050" s="2" t="s">
        <v>496</v>
      </c>
      <c r="C4050" s="1">
        <v>44257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  <c r="L4050" s="2" t="s">
        <v>11030</v>
      </c>
      <c r="M4050" s="2" t="s">
        <v>11029</v>
      </c>
      <c r="N4050" s="2" t="s">
        <v>11036</v>
      </c>
      <c r="O4050" s="2" t="s">
        <v>11035</v>
      </c>
      <c r="P4050" s="2" t="s">
        <v>11034</v>
      </c>
      <c r="Q4050" s="2">
        <f>AVERAGE(PerfRate[[#This Row],[EnvironmentSatisfaction]],PerfRate[[#This Row],[JobSatisfaction]],PerfRate[[#This Row],[RelationshipSatisfaction]])</f>
        <v>2</v>
      </c>
      <c r="R4050" s="2">
        <f>PerfRate[[#This Row],[ManagerRating]] - PerfRate[[#This Row],[SelfRating]]</f>
        <v>-1</v>
      </c>
    </row>
    <row r="4051" spans="1:18">
      <c r="A4051" s="2" t="s">
        <v>8358</v>
      </c>
      <c r="B4051" s="2" t="s">
        <v>676</v>
      </c>
      <c r="C4051" s="1">
        <v>44257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  <c r="L4051" s="2" t="s">
        <v>11029</v>
      </c>
      <c r="M4051" s="2" t="s">
        <v>11028</v>
      </c>
      <c r="N4051" s="2" t="s">
        <v>11035</v>
      </c>
      <c r="O4051" s="2" t="s">
        <v>11037</v>
      </c>
      <c r="P4051" s="2" t="s">
        <v>11037</v>
      </c>
      <c r="Q4051" s="2">
        <f>AVERAGE(PerfRate[[#This Row],[EnvironmentSatisfaction]],PerfRate[[#This Row],[JobSatisfaction]],PerfRate[[#This Row],[RelationshipSatisfaction]])</f>
        <v>3.3333333333333335</v>
      </c>
      <c r="R4051" s="2">
        <f>PerfRate[[#This Row],[ManagerRating]] - PerfRate[[#This Row],[SelfRating]]</f>
        <v>-1</v>
      </c>
    </row>
    <row r="4052" spans="1:18">
      <c r="A4052" s="2" t="s">
        <v>8359</v>
      </c>
      <c r="B4052" s="2" t="s">
        <v>490</v>
      </c>
      <c r="C4052" s="1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  <c r="L4052" s="2" t="s">
        <v>11030</v>
      </c>
      <c r="M4052" s="2" t="s">
        <v>11030</v>
      </c>
      <c r="N4052" s="2" t="s">
        <v>11037</v>
      </c>
      <c r="O4052" s="2" t="s">
        <v>11038</v>
      </c>
      <c r="P4052" s="2" t="s">
        <v>11036</v>
      </c>
      <c r="Q4052" s="2">
        <f>AVERAGE(PerfRate[[#This Row],[EnvironmentSatisfaction]],PerfRate[[#This Row],[JobSatisfaction]],PerfRate[[#This Row],[RelationshipSatisfaction]])</f>
        <v>4</v>
      </c>
      <c r="R4052" s="2">
        <f>PerfRate[[#This Row],[ManagerRating]] - PerfRate[[#This Row],[SelfRating]]</f>
        <v>0</v>
      </c>
    </row>
    <row r="4053" spans="1:18">
      <c r="A4053" s="2" t="s">
        <v>8360</v>
      </c>
      <c r="B4053" s="2" t="s">
        <v>3818</v>
      </c>
      <c r="C4053" s="1">
        <v>44257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  <c r="L4053" s="2" t="s">
        <v>11029</v>
      </c>
      <c r="M4053" s="2" t="s">
        <v>11028</v>
      </c>
      <c r="N4053" s="2" t="s">
        <v>11037</v>
      </c>
      <c r="O4053" s="2" t="s">
        <v>11038</v>
      </c>
      <c r="P4053" s="2" t="s">
        <v>11038</v>
      </c>
      <c r="Q4053" s="2">
        <f>AVERAGE(PerfRate[[#This Row],[EnvironmentSatisfaction]],PerfRate[[#This Row],[JobSatisfaction]],PerfRate[[#This Row],[RelationshipSatisfaction]])</f>
        <v>4.666666666666667</v>
      </c>
      <c r="R4053" s="2">
        <f>PerfRate[[#This Row],[ManagerRating]] - PerfRate[[#This Row],[SelfRating]]</f>
        <v>-1</v>
      </c>
    </row>
    <row r="4054" spans="1:18">
      <c r="A4054" s="2" t="s">
        <v>8361</v>
      </c>
      <c r="B4054" s="2" t="s">
        <v>3105</v>
      </c>
      <c r="C4054" s="1">
        <v>44257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  <c r="L4054" s="2" t="s">
        <v>11031</v>
      </c>
      <c r="M4054" s="2" t="s">
        <v>11031</v>
      </c>
      <c r="N4054" s="2" t="s">
        <v>11038</v>
      </c>
      <c r="O4054" s="2" t="s">
        <v>11038</v>
      </c>
      <c r="P4054" s="2" t="s">
        <v>11037</v>
      </c>
      <c r="Q4054" s="2">
        <f>AVERAGE(PerfRate[[#This Row],[EnvironmentSatisfaction]],PerfRate[[#This Row],[JobSatisfaction]],PerfRate[[#This Row],[RelationshipSatisfaction]])</f>
        <v>4.666666666666667</v>
      </c>
      <c r="R4054" s="2">
        <f>PerfRate[[#This Row],[ManagerRating]] - PerfRate[[#This Row],[SelfRating]]</f>
        <v>0</v>
      </c>
    </row>
    <row r="4055" spans="1:18">
      <c r="A4055" s="2" t="s">
        <v>8362</v>
      </c>
      <c r="B4055" s="2" t="s">
        <v>1224</v>
      </c>
      <c r="C4055" s="1">
        <v>44257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  <c r="L4055" s="2" t="s">
        <v>11029</v>
      </c>
      <c r="M4055" s="2" t="s">
        <v>11029</v>
      </c>
      <c r="N4055" s="2" t="s">
        <v>11036</v>
      </c>
      <c r="O4055" s="2" t="s">
        <v>11037</v>
      </c>
      <c r="P4055" s="2" t="s">
        <v>11035</v>
      </c>
      <c r="Q4055" s="2">
        <f>AVERAGE(PerfRate[[#This Row],[EnvironmentSatisfaction]],PerfRate[[#This Row],[JobSatisfaction]],PerfRate[[#This Row],[RelationshipSatisfaction]])</f>
        <v>3</v>
      </c>
      <c r="R4055" s="2">
        <f>PerfRate[[#This Row],[ManagerRating]] - PerfRate[[#This Row],[SelfRating]]</f>
        <v>0</v>
      </c>
    </row>
    <row r="4056" spans="1:18">
      <c r="A4056" s="2" t="s">
        <v>8363</v>
      </c>
      <c r="B4056" s="2" t="s">
        <v>1508</v>
      </c>
      <c r="C4056" s="1">
        <v>44257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  <c r="L4056" s="2" t="s">
        <v>11030</v>
      </c>
      <c r="M4056" s="2" t="s">
        <v>11029</v>
      </c>
      <c r="N4056" s="2" t="s">
        <v>11038</v>
      </c>
      <c r="O4056" s="2" t="s">
        <v>11037</v>
      </c>
      <c r="P4056" s="2" t="s">
        <v>11036</v>
      </c>
      <c r="Q4056" s="2">
        <f>AVERAGE(PerfRate[[#This Row],[EnvironmentSatisfaction]],PerfRate[[#This Row],[JobSatisfaction]],PerfRate[[#This Row],[RelationshipSatisfaction]])</f>
        <v>4</v>
      </c>
      <c r="R4056" s="2">
        <f>PerfRate[[#This Row],[ManagerRating]] - PerfRate[[#This Row],[SelfRating]]</f>
        <v>-1</v>
      </c>
    </row>
    <row r="4057" spans="1:18">
      <c r="A4057" s="2" t="s">
        <v>8364</v>
      </c>
      <c r="B4057" s="2" t="s">
        <v>2030</v>
      </c>
      <c r="C4057" s="1">
        <v>44257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  <c r="L4057" s="2" t="s">
        <v>11030</v>
      </c>
      <c r="M4057" s="2" t="s">
        <v>11030</v>
      </c>
      <c r="N4057" s="2" t="s">
        <v>11038</v>
      </c>
      <c r="O4057" s="2" t="s">
        <v>11037</v>
      </c>
      <c r="P4057" s="2" t="s">
        <v>11036</v>
      </c>
      <c r="Q4057" s="2">
        <f>AVERAGE(PerfRate[[#This Row],[EnvironmentSatisfaction]],PerfRate[[#This Row],[JobSatisfaction]],PerfRate[[#This Row],[RelationshipSatisfaction]])</f>
        <v>4</v>
      </c>
      <c r="R4057" s="2">
        <f>PerfRate[[#This Row],[ManagerRating]] - PerfRate[[#This Row],[SelfRating]]</f>
        <v>0</v>
      </c>
    </row>
    <row r="4058" spans="1:18">
      <c r="A4058" s="2" t="s">
        <v>8365</v>
      </c>
      <c r="B4058" s="2" t="s">
        <v>2375</v>
      </c>
      <c r="C4058" s="1">
        <v>44257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  <c r="L4058" s="2" t="s">
        <v>11029</v>
      </c>
      <c r="M4058" s="2" t="s">
        <v>11028</v>
      </c>
      <c r="N4058" s="2" t="s">
        <v>11036</v>
      </c>
      <c r="O4058" s="2" t="s">
        <v>11035</v>
      </c>
      <c r="P4058" s="2" t="s">
        <v>11035</v>
      </c>
      <c r="Q4058" s="2">
        <f>AVERAGE(PerfRate[[#This Row],[EnvironmentSatisfaction]],PerfRate[[#This Row],[JobSatisfaction]],PerfRate[[#This Row],[RelationshipSatisfaction]])</f>
        <v>2.3333333333333335</v>
      </c>
      <c r="R4058" s="2">
        <f>PerfRate[[#This Row],[ManagerRating]] - PerfRate[[#This Row],[SelfRating]]</f>
        <v>-1</v>
      </c>
    </row>
    <row r="4059" spans="1:18">
      <c r="A4059" s="2" t="s">
        <v>8366</v>
      </c>
      <c r="B4059" s="2" t="s">
        <v>2438</v>
      </c>
      <c r="C4059" s="1">
        <v>44257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  <c r="L4059" s="2" t="s">
        <v>11031</v>
      </c>
      <c r="M4059" s="2" t="s">
        <v>11030</v>
      </c>
      <c r="N4059" s="2" t="s">
        <v>11038</v>
      </c>
      <c r="O4059" s="2" t="s">
        <v>11036</v>
      </c>
      <c r="P4059" s="2" t="s">
        <v>11035</v>
      </c>
      <c r="Q4059" s="2">
        <f>AVERAGE(PerfRate[[#This Row],[EnvironmentSatisfaction]],PerfRate[[#This Row],[JobSatisfaction]],PerfRate[[#This Row],[RelationshipSatisfaction]])</f>
        <v>3.3333333333333335</v>
      </c>
      <c r="R4059" s="2">
        <f>PerfRate[[#This Row],[ManagerRating]] - PerfRate[[#This Row],[SelfRating]]</f>
        <v>-1</v>
      </c>
    </row>
    <row r="4060" spans="1:18">
      <c r="A4060" s="2" t="s">
        <v>8367</v>
      </c>
      <c r="B4060" s="2" t="s">
        <v>226</v>
      </c>
      <c r="C4060" s="1">
        <v>44288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  <c r="L4060" s="2" t="s">
        <v>11030</v>
      </c>
      <c r="M4060" s="2" t="s">
        <v>11030</v>
      </c>
      <c r="N4060" s="2" t="s">
        <v>11038</v>
      </c>
      <c r="O4060" s="2" t="s">
        <v>11036</v>
      </c>
      <c r="P4060" s="2" t="s">
        <v>11037</v>
      </c>
      <c r="Q4060" s="2">
        <f>AVERAGE(PerfRate[[#This Row],[EnvironmentSatisfaction]],PerfRate[[#This Row],[JobSatisfaction]],PerfRate[[#This Row],[RelationshipSatisfaction]])</f>
        <v>4</v>
      </c>
      <c r="R4060" s="2">
        <f>PerfRate[[#This Row],[ManagerRating]] - PerfRate[[#This Row],[SelfRating]]</f>
        <v>0</v>
      </c>
    </row>
    <row r="4061" spans="1:18">
      <c r="A4061" s="2" t="s">
        <v>8368</v>
      </c>
      <c r="B4061" s="2" t="s">
        <v>81</v>
      </c>
      <c r="C4061" s="1">
        <v>44288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  <c r="L4061" s="2" t="s">
        <v>11029</v>
      </c>
      <c r="M4061" s="2" t="s">
        <v>11028</v>
      </c>
      <c r="N4061" s="2" t="s">
        <v>11038</v>
      </c>
      <c r="O4061" s="2" t="s">
        <v>11035</v>
      </c>
      <c r="P4061" s="2" t="s">
        <v>11035</v>
      </c>
      <c r="Q4061" s="2">
        <f>AVERAGE(PerfRate[[#This Row],[EnvironmentSatisfaction]],PerfRate[[#This Row],[JobSatisfaction]],PerfRate[[#This Row],[RelationshipSatisfaction]])</f>
        <v>3</v>
      </c>
      <c r="R4061" s="2">
        <f>PerfRate[[#This Row],[ManagerRating]] - PerfRate[[#This Row],[SelfRating]]</f>
        <v>-1</v>
      </c>
    </row>
    <row r="4062" spans="1:18">
      <c r="A4062" s="2" t="s">
        <v>8369</v>
      </c>
      <c r="B4062" s="2" t="s">
        <v>335</v>
      </c>
      <c r="C4062" s="1">
        <v>44288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  <c r="L4062" s="2" t="s">
        <v>11030</v>
      </c>
      <c r="M4062" s="2" t="s">
        <v>11029</v>
      </c>
      <c r="N4062" s="2" t="s">
        <v>11038</v>
      </c>
      <c r="O4062" s="2" t="s">
        <v>11035</v>
      </c>
      <c r="P4062" s="2" t="s">
        <v>11038</v>
      </c>
      <c r="Q4062" s="2">
        <f>AVERAGE(PerfRate[[#This Row],[EnvironmentSatisfaction]],PerfRate[[#This Row],[JobSatisfaction]],PerfRate[[#This Row],[RelationshipSatisfaction]])</f>
        <v>4</v>
      </c>
      <c r="R4062" s="2">
        <f>PerfRate[[#This Row],[ManagerRating]] - PerfRate[[#This Row],[SelfRating]]</f>
        <v>-1</v>
      </c>
    </row>
    <row r="4063" spans="1:18">
      <c r="A4063" s="2" t="s">
        <v>8370</v>
      </c>
      <c r="B4063" s="2" t="s">
        <v>738</v>
      </c>
      <c r="C4063" s="1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  <c r="L4063" s="2" t="s">
        <v>11029</v>
      </c>
      <c r="M4063" s="2" t="s">
        <v>11028</v>
      </c>
      <c r="N4063" s="2" t="s">
        <v>11037</v>
      </c>
      <c r="O4063" s="2" t="s">
        <v>11035</v>
      </c>
      <c r="P4063" s="2" t="s">
        <v>11035</v>
      </c>
      <c r="Q4063" s="2">
        <f>AVERAGE(PerfRate[[#This Row],[EnvironmentSatisfaction]],PerfRate[[#This Row],[JobSatisfaction]],PerfRate[[#This Row],[RelationshipSatisfaction]])</f>
        <v>2.6666666666666665</v>
      </c>
      <c r="R4063" s="2">
        <f>PerfRate[[#This Row],[ManagerRating]] - PerfRate[[#This Row],[SelfRating]]</f>
        <v>-1</v>
      </c>
    </row>
    <row r="4064" spans="1:18">
      <c r="A4064" s="2" t="s">
        <v>8371</v>
      </c>
      <c r="B4064" s="2" t="s">
        <v>1544</v>
      </c>
      <c r="C4064" s="1">
        <v>44318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  <c r="L4064" s="2" t="s">
        <v>11029</v>
      </c>
      <c r="M4064" s="2" t="s">
        <v>11029</v>
      </c>
      <c r="N4064" s="2" t="s">
        <v>11038</v>
      </c>
      <c r="O4064" s="2" t="s">
        <v>11036</v>
      </c>
      <c r="P4064" s="2" t="s">
        <v>11037</v>
      </c>
      <c r="Q4064" s="2">
        <f>AVERAGE(PerfRate[[#This Row],[EnvironmentSatisfaction]],PerfRate[[#This Row],[JobSatisfaction]],PerfRate[[#This Row],[RelationshipSatisfaction]])</f>
        <v>4</v>
      </c>
      <c r="R4064" s="2">
        <f>PerfRate[[#This Row],[ManagerRating]] - PerfRate[[#This Row],[SelfRating]]</f>
        <v>0</v>
      </c>
    </row>
    <row r="4065" spans="1:18">
      <c r="A4065" s="2" t="s">
        <v>8372</v>
      </c>
      <c r="B4065" s="2" t="s">
        <v>2635</v>
      </c>
      <c r="C4065" s="1">
        <v>44318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  <c r="L4065" s="2" t="s">
        <v>11030</v>
      </c>
      <c r="M4065" s="2" t="s">
        <v>11030</v>
      </c>
      <c r="N4065" s="2" t="s">
        <v>11036</v>
      </c>
      <c r="O4065" s="2" t="s">
        <v>11037</v>
      </c>
      <c r="P4065" s="2" t="s">
        <v>11037</v>
      </c>
      <c r="Q4065" s="2">
        <f>AVERAGE(PerfRate[[#This Row],[EnvironmentSatisfaction]],PerfRate[[#This Row],[JobSatisfaction]],PerfRate[[#This Row],[RelationshipSatisfaction]])</f>
        <v>3.6666666666666665</v>
      </c>
      <c r="R4065" s="2">
        <f>PerfRate[[#This Row],[ManagerRating]] - PerfRate[[#This Row],[SelfRating]]</f>
        <v>0</v>
      </c>
    </row>
    <row r="4066" spans="1:18">
      <c r="A4066" s="2" t="s">
        <v>8373</v>
      </c>
      <c r="B4066" s="2" t="s">
        <v>2830</v>
      </c>
      <c r="C4066" s="1">
        <v>44349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  <c r="L4066" s="2" t="s">
        <v>11029</v>
      </c>
      <c r="M4066" s="2" t="s">
        <v>11028</v>
      </c>
      <c r="N4066" s="2" t="s">
        <v>11038</v>
      </c>
      <c r="O4066" s="2" t="s">
        <v>11038</v>
      </c>
      <c r="P4066" s="2" t="s">
        <v>11035</v>
      </c>
      <c r="Q4066" s="2">
        <f>AVERAGE(PerfRate[[#This Row],[EnvironmentSatisfaction]],PerfRate[[#This Row],[JobSatisfaction]],PerfRate[[#This Row],[RelationshipSatisfaction]])</f>
        <v>4</v>
      </c>
      <c r="R4066" s="2">
        <f>PerfRate[[#This Row],[ManagerRating]] - PerfRate[[#This Row],[SelfRating]]</f>
        <v>-1</v>
      </c>
    </row>
    <row r="4067" spans="1:18">
      <c r="A4067" s="2" t="s">
        <v>8374</v>
      </c>
      <c r="B4067" s="2" t="s">
        <v>253</v>
      </c>
      <c r="C4067" s="1">
        <v>44379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  <c r="L4067" s="2" t="s">
        <v>11031</v>
      </c>
      <c r="M4067" s="2" t="s">
        <v>11031</v>
      </c>
      <c r="N4067" s="2" t="s">
        <v>11037</v>
      </c>
      <c r="O4067" s="2" t="s">
        <v>11035</v>
      </c>
      <c r="P4067" s="2" t="s">
        <v>11038</v>
      </c>
      <c r="Q4067" s="2">
        <f>AVERAGE(PerfRate[[#This Row],[EnvironmentSatisfaction]],PerfRate[[#This Row],[JobSatisfaction]],PerfRate[[#This Row],[RelationshipSatisfaction]])</f>
        <v>3.6666666666666665</v>
      </c>
      <c r="R4067" s="2">
        <f>PerfRate[[#This Row],[ManagerRating]] - PerfRate[[#This Row],[SelfRating]]</f>
        <v>0</v>
      </c>
    </row>
    <row r="4068" spans="1:18">
      <c r="A4068" s="2" t="s">
        <v>8375</v>
      </c>
      <c r="B4068" s="2" t="s">
        <v>198</v>
      </c>
      <c r="C4068" s="1">
        <v>44379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  <c r="L4068" s="2" t="s">
        <v>11029</v>
      </c>
      <c r="M4068" s="2" t="s">
        <v>11029</v>
      </c>
      <c r="N4068" s="2" t="s">
        <v>11038</v>
      </c>
      <c r="O4068" s="2" t="s">
        <v>11035</v>
      </c>
      <c r="P4068" s="2" t="s">
        <v>11036</v>
      </c>
      <c r="Q4068" s="2">
        <f>AVERAGE(PerfRate[[#This Row],[EnvironmentSatisfaction]],PerfRate[[#This Row],[JobSatisfaction]],PerfRate[[#This Row],[RelationshipSatisfaction]])</f>
        <v>3.3333333333333335</v>
      </c>
      <c r="R4068" s="2">
        <f>PerfRate[[#This Row],[ManagerRating]] - PerfRate[[#This Row],[SelfRating]]</f>
        <v>0</v>
      </c>
    </row>
    <row r="4069" spans="1:18">
      <c r="A4069" s="2" t="s">
        <v>8376</v>
      </c>
      <c r="B4069" s="2" t="s">
        <v>1246</v>
      </c>
      <c r="C4069" s="1">
        <v>44379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  <c r="L4069" s="2" t="s">
        <v>11030</v>
      </c>
      <c r="M4069" s="2" t="s">
        <v>11030</v>
      </c>
      <c r="N4069" s="2" t="s">
        <v>11038</v>
      </c>
      <c r="O4069" s="2" t="s">
        <v>11037</v>
      </c>
      <c r="P4069" s="2" t="s">
        <v>11036</v>
      </c>
      <c r="Q4069" s="2">
        <f>AVERAGE(PerfRate[[#This Row],[EnvironmentSatisfaction]],PerfRate[[#This Row],[JobSatisfaction]],PerfRate[[#This Row],[RelationshipSatisfaction]])</f>
        <v>4</v>
      </c>
      <c r="R4069" s="2">
        <f>PerfRate[[#This Row],[ManagerRating]] - PerfRate[[#This Row],[SelfRating]]</f>
        <v>0</v>
      </c>
    </row>
    <row r="4070" spans="1:18">
      <c r="A4070" s="2" t="s">
        <v>8377</v>
      </c>
      <c r="B4070" s="2" t="s">
        <v>1596</v>
      </c>
      <c r="C4070" s="1">
        <v>44379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  <c r="L4070" s="2" t="s">
        <v>11029</v>
      </c>
      <c r="M4070" s="2" t="s">
        <v>11029</v>
      </c>
      <c r="N4070" s="2" t="s">
        <v>11037</v>
      </c>
      <c r="O4070" s="2" t="s">
        <v>11036</v>
      </c>
      <c r="P4070" s="2" t="s">
        <v>11037</v>
      </c>
      <c r="Q4070" s="2">
        <f>AVERAGE(PerfRate[[#This Row],[EnvironmentSatisfaction]],PerfRate[[#This Row],[JobSatisfaction]],PerfRate[[#This Row],[RelationshipSatisfaction]])</f>
        <v>3.6666666666666665</v>
      </c>
      <c r="R4070" s="2">
        <f>PerfRate[[#This Row],[ManagerRating]] - PerfRate[[#This Row],[SelfRating]]</f>
        <v>0</v>
      </c>
    </row>
    <row r="4071" spans="1:18">
      <c r="A4071" s="2" t="s">
        <v>8378</v>
      </c>
      <c r="B4071" s="2" t="s">
        <v>256</v>
      </c>
      <c r="C4071" s="1">
        <v>44410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  <c r="L4071" s="2" t="s">
        <v>11031</v>
      </c>
      <c r="M4071" s="2" t="s">
        <v>11030</v>
      </c>
      <c r="N4071" s="2" t="s">
        <v>11038</v>
      </c>
      <c r="O4071" s="2" t="s">
        <v>11036</v>
      </c>
      <c r="P4071" s="2" t="s">
        <v>11037</v>
      </c>
      <c r="Q4071" s="2">
        <f>AVERAGE(PerfRate[[#This Row],[EnvironmentSatisfaction]],PerfRate[[#This Row],[JobSatisfaction]],PerfRate[[#This Row],[RelationshipSatisfaction]])</f>
        <v>4</v>
      </c>
      <c r="R4071" s="2">
        <f>PerfRate[[#This Row],[ManagerRating]] - PerfRate[[#This Row],[SelfRating]]</f>
        <v>-1</v>
      </c>
    </row>
    <row r="4072" spans="1:18">
      <c r="A4072" s="2" t="s">
        <v>8379</v>
      </c>
      <c r="B4072" s="2" t="s">
        <v>2109</v>
      </c>
      <c r="C4072" s="1">
        <v>44441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  <c r="L4072" s="2" t="s">
        <v>11031</v>
      </c>
      <c r="M4072" s="2" t="s">
        <v>11031</v>
      </c>
      <c r="N4072" s="2" t="s">
        <v>11037</v>
      </c>
      <c r="O4072" s="2" t="s">
        <v>11038</v>
      </c>
      <c r="P4072" s="2" t="s">
        <v>11037</v>
      </c>
      <c r="Q4072" s="2">
        <f>AVERAGE(PerfRate[[#This Row],[EnvironmentSatisfaction]],PerfRate[[#This Row],[JobSatisfaction]],PerfRate[[#This Row],[RelationshipSatisfaction]])</f>
        <v>4.333333333333333</v>
      </c>
      <c r="R4072" s="2">
        <f>PerfRate[[#This Row],[ManagerRating]] - PerfRate[[#This Row],[SelfRating]]</f>
        <v>0</v>
      </c>
    </row>
    <row r="4073" spans="1:18">
      <c r="A4073" s="2" t="s">
        <v>8380</v>
      </c>
      <c r="B4073" s="2" t="s">
        <v>1981</v>
      </c>
      <c r="C4073" s="1">
        <v>44441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  <c r="L4073" s="2" t="s">
        <v>11031</v>
      </c>
      <c r="M4073" s="2" t="s">
        <v>11030</v>
      </c>
      <c r="N4073" s="2" t="s">
        <v>11038</v>
      </c>
      <c r="O4073" s="2" t="s">
        <v>11038</v>
      </c>
      <c r="P4073" s="2" t="s">
        <v>11037</v>
      </c>
      <c r="Q4073" s="2">
        <f>AVERAGE(PerfRate[[#This Row],[EnvironmentSatisfaction]],PerfRate[[#This Row],[JobSatisfaction]],PerfRate[[#This Row],[RelationshipSatisfaction]])</f>
        <v>4.666666666666667</v>
      </c>
      <c r="R4073" s="2">
        <f>PerfRate[[#This Row],[ManagerRating]] - PerfRate[[#This Row],[SelfRating]]</f>
        <v>-1</v>
      </c>
    </row>
    <row r="4074" spans="1:18">
      <c r="A4074" s="2" t="s">
        <v>8381</v>
      </c>
      <c r="B4074" s="2" t="s">
        <v>2911</v>
      </c>
      <c r="C4074" s="1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  <c r="L4074" s="2" t="s">
        <v>11031</v>
      </c>
      <c r="M4074" s="2" t="s">
        <v>11030</v>
      </c>
      <c r="N4074" s="2" t="s">
        <v>11036</v>
      </c>
      <c r="O4074" s="2" t="s">
        <v>11037</v>
      </c>
      <c r="P4074" s="2" t="s">
        <v>11038</v>
      </c>
      <c r="Q4074" s="2">
        <f>AVERAGE(PerfRate[[#This Row],[EnvironmentSatisfaction]],PerfRate[[#This Row],[JobSatisfaction]],PerfRate[[#This Row],[RelationshipSatisfaction]])</f>
        <v>4</v>
      </c>
      <c r="R4074" s="2">
        <f>PerfRate[[#This Row],[ManagerRating]] - PerfRate[[#This Row],[SelfRating]]</f>
        <v>-1</v>
      </c>
    </row>
    <row r="4075" spans="1:18">
      <c r="A4075" s="2" t="s">
        <v>8382</v>
      </c>
      <c r="B4075" s="2" t="s">
        <v>658</v>
      </c>
      <c r="C4075" s="1">
        <v>44441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  <c r="L4075" s="2" t="s">
        <v>11029</v>
      </c>
      <c r="M4075" s="2" t="s">
        <v>11029</v>
      </c>
      <c r="N4075" s="2" t="s">
        <v>11037</v>
      </c>
      <c r="O4075" s="2" t="s">
        <v>11037</v>
      </c>
      <c r="P4075" s="2" t="s">
        <v>11036</v>
      </c>
      <c r="Q4075" s="2">
        <f>AVERAGE(PerfRate[[#This Row],[EnvironmentSatisfaction]],PerfRate[[#This Row],[JobSatisfaction]],PerfRate[[#This Row],[RelationshipSatisfaction]])</f>
        <v>3.6666666666666665</v>
      </c>
      <c r="R4075" s="2">
        <f>PerfRate[[#This Row],[ManagerRating]] - PerfRate[[#This Row],[SelfRating]]</f>
        <v>0</v>
      </c>
    </row>
    <row r="4076" spans="1:18">
      <c r="A4076" s="2" t="s">
        <v>8383</v>
      </c>
      <c r="B4076" s="2" t="s">
        <v>4104</v>
      </c>
      <c r="C4076" s="1">
        <v>44471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  <c r="L4076" s="2" t="s">
        <v>11031</v>
      </c>
      <c r="M4076" s="2" t="s">
        <v>11031</v>
      </c>
      <c r="N4076" s="2" t="s">
        <v>11038</v>
      </c>
      <c r="O4076" s="2" t="s">
        <v>11038</v>
      </c>
      <c r="P4076" s="2" t="s">
        <v>11038</v>
      </c>
      <c r="Q4076" s="2">
        <f>AVERAGE(PerfRate[[#This Row],[EnvironmentSatisfaction]],PerfRate[[#This Row],[JobSatisfaction]],PerfRate[[#This Row],[RelationshipSatisfaction]])</f>
        <v>5</v>
      </c>
      <c r="R4076" s="2">
        <f>PerfRate[[#This Row],[ManagerRating]] - PerfRate[[#This Row],[SelfRating]]</f>
        <v>0</v>
      </c>
    </row>
    <row r="4077" spans="1:18">
      <c r="A4077" s="2" t="s">
        <v>8384</v>
      </c>
      <c r="B4077" s="2" t="s">
        <v>607</v>
      </c>
      <c r="C4077" s="1">
        <v>44471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  <c r="L4077" s="2" t="s">
        <v>11030</v>
      </c>
      <c r="M4077" s="2" t="s">
        <v>11030</v>
      </c>
      <c r="N4077" s="2" t="s">
        <v>11037</v>
      </c>
      <c r="O4077" s="2" t="s">
        <v>11038</v>
      </c>
      <c r="P4077" s="2" t="s">
        <v>11037</v>
      </c>
      <c r="Q4077" s="2">
        <f>AVERAGE(PerfRate[[#This Row],[EnvironmentSatisfaction]],PerfRate[[#This Row],[JobSatisfaction]],PerfRate[[#This Row],[RelationshipSatisfaction]])</f>
        <v>4.333333333333333</v>
      </c>
      <c r="R4077" s="2">
        <f>PerfRate[[#This Row],[ManagerRating]] - PerfRate[[#This Row],[SelfRating]]</f>
        <v>0</v>
      </c>
    </row>
    <row r="4078" spans="1:18">
      <c r="A4078" s="2" t="s">
        <v>8385</v>
      </c>
      <c r="B4078" s="2" t="s">
        <v>750</v>
      </c>
      <c r="C4078" s="1">
        <v>44502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  <c r="L4078" s="2" t="s">
        <v>11030</v>
      </c>
      <c r="M4078" s="2" t="s">
        <v>11030</v>
      </c>
      <c r="N4078" s="2" t="s">
        <v>11036</v>
      </c>
      <c r="O4078" s="2" t="s">
        <v>11035</v>
      </c>
      <c r="P4078" s="2" t="s">
        <v>11037</v>
      </c>
      <c r="Q4078" s="2">
        <f>AVERAGE(PerfRate[[#This Row],[EnvironmentSatisfaction]],PerfRate[[#This Row],[JobSatisfaction]],PerfRate[[#This Row],[RelationshipSatisfaction]])</f>
        <v>3</v>
      </c>
      <c r="R4078" s="2">
        <f>PerfRate[[#This Row],[ManagerRating]] - PerfRate[[#This Row],[SelfRating]]</f>
        <v>0</v>
      </c>
    </row>
    <row r="4079" spans="1:18">
      <c r="A4079" s="2" t="s">
        <v>8386</v>
      </c>
      <c r="B4079" s="2" t="s">
        <v>1698</v>
      </c>
      <c r="C4079" s="1">
        <v>44502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  <c r="L4079" s="2" t="s">
        <v>11031</v>
      </c>
      <c r="M4079" s="2" t="s">
        <v>11031</v>
      </c>
      <c r="N4079" s="2" t="s">
        <v>11038</v>
      </c>
      <c r="O4079" s="2" t="s">
        <v>11035</v>
      </c>
      <c r="P4079" s="2" t="s">
        <v>11035</v>
      </c>
      <c r="Q4079" s="2">
        <f>AVERAGE(PerfRate[[#This Row],[EnvironmentSatisfaction]],PerfRate[[#This Row],[JobSatisfaction]],PerfRate[[#This Row],[RelationshipSatisfaction]])</f>
        <v>3</v>
      </c>
      <c r="R4079" s="2">
        <f>PerfRate[[#This Row],[ManagerRating]] - PerfRate[[#This Row],[SelfRating]]</f>
        <v>0</v>
      </c>
    </row>
    <row r="4080" spans="1:18">
      <c r="A4080" s="2" t="s">
        <v>8387</v>
      </c>
      <c r="B4080" s="2" t="s">
        <v>1124</v>
      </c>
      <c r="C4080" s="1">
        <v>44502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  <c r="L4080" s="2" t="s">
        <v>11029</v>
      </c>
      <c r="M4080" s="2" t="s">
        <v>11029</v>
      </c>
      <c r="N4080" s="2" t="s">
        <v>11038</v>
      </c>
      <c r="O4080" s="2" t="s">
        <v>11035</v>
      </c>
      <c r="P4080" s="2" t="s">
        <v>11036</v>
      </c>
      <c r="Q4080" s="2">
        <f>AVERAGE(PerfRate[[#This Row],[EnvironmentSatisfaction]],PerfRate[[#This Row],[JobSatisfaction]],PerfRate[[#This Row],[RelationshipSatisfaction]])</f>
        <v>3.3333333333333335</v>
      </c>
      <c r="R4080" s="2">
        <f>PerfRate[[#This Row],[ManagerRating]] - PerfRate[[#This Row],[SelfRating]]</f>
        <v>0</v>
      </c>
    </row>
    <row r="4081" spans="1:18">
      <c r="A4081" s="2" t="s">
        <v>8388</v>
      </c>
      <c r="B4081" s="2" t="s">
        <v>2299</v>
      </c>
      <c r="C4081" s="1">
        <v>44502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  <c r="L4081" s="2" t="s">
        <v>11029</v>
      </c>
      <c r="M4081" s="2" t="s">
        <v>11028</v>
      </c>
      <c r="N4081" s="2" t="s">
        <v>11037</v>
      </c>
      <c r="O4081" s="2" t="s">
        <v>11036</v>
      </c>
      <c r="P4081" s="2" t="s">
        <v>11035</v>
      </c>
      <c r="Q4081" s="2">
        <f>AVERAGE(PerfRate[[#This Row],[EnvironmentSatisfaction]],PerfRate[[#This Row],[JobSatisfaction]],PerfRate[[#This Row],[RelationshipSatisfaction]])</f>
        <v>3</v>
      </c>
      <c r="R4081" s="2">
        <f>PerfRate[[#This Row],[ManagerRating]] - PerfRate[[#This Row],[SelfRating]]</f>
        <v>-1</v>
      </c>
    </row>
    <row r="4082" spans="1:18">
      <c r="A4082" s="2" t="s">
        <v>8389</v>
      </c>
      <c r="B4082" s="2" t="s">
        <v>1669</v>
      </c>
      <c r="C4082" s="1">
        <v>44532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  <c r="L4082" s="2" t="s">
        <v>11029</v>
      </c>
      <c r="M4082" s="2" t="s">
        <v>11028</v>
      </c>
      <c r="N4082" s="2" t="s">
        <v>11036</v>
      </c>
      <c r="O4082" s="2" t="s">
        <v>11035</v>
      </c>
      <c r="P4082" s="2" t="s">
        <v>11038</v>
      </c>
      <c r="Q4082" s="2">
        <f>AVERAGE(PerfRate[[#This Row],[EnvironmentSatisfaction]],PerfRate[[#This Row],[JobSatisfaction]],PerfRate[[#This Row],[RelationshipSatisfaction]])</f>
        <v>3.3333333333333335</v>
      </c>
      <c r="R4082" s="2">
        <f>PerfRate[[#This Row],[ManagerRating]] - PerfRate[[#This Row],[SelfRating]]</f>
        <v>-1</v>
      </c>
    </row>
    <row r="4083" spans="1:18">
      <c r="A4083" s="2" t="s">
        <v>8390</v>
      </c>
      <c r="B4083" s="2" t="s">
        <v>1394</v>
      </c>
      <c r="C4083" s="1">
        <v>44532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  <c r="L4083" s="2" t="s">
        <v>11031</v>
      </c>
      <c r="M4083" s="2" t="s">
        <v>11030</v>
      </c>
      <c r="N4083" s="2" t="s">
        <v>11036</v>
      </c>
      <c r="O4083" s="2" t="s">
        <v>11036</v>
      </c>
      <c r="P4083" s="2" t="s">
        <v>11036</v>
      </c>
      <c r="Q4083" s="2">
        <f>AVERAGE(PerfRate[[#This Row],[EnvironmentSatisfaction]],PerfRate[[#This Row],[JobSatisfaction]],PerfRate[[#This Row],[RelationshipSatisfaction]])</f>
        <v>3</v>
      </c>
      <c r="R4083" s="2">
        <f>PerfRate[[#This Row],[ManagerRating]] - PerfRate[[#This Row],[SelfRating]]</f>
        <v>-1</v>
      </c>
    </row>
    <row r="4084" spans="1:18">
      <c r="A4084" s="2" t="s">
        <v>8391</v>
      </c>
      <c r="B4084" s="2" t="s">
        <v>1479</v>
      </c>
      <c r="C4084" s="1">
        <v>44532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  <c r="L4084" s="2" t="s">
        <v>11030</v>
      </c>
      <c r="M4084" s="2" t="s">
        <v>11029</v>
      </c>
      <c r="N4084" s="2" t="s">
        <v>11036</v>
      </c>
      <c r="O4084" s="2" t="s">
        <v>11037</v>
      </c>
      <c r="P4084" s="2" t="s">
        <v>11037</v>
      </c>
      <c r="Q4084" s="2">
        <f>AVERAGE(PerfRate[[#This Row],[EnvironmentSatisfaction]],PerfRate[[#This Row],[JobSatisfaction]],PerfRate[[#This Row],[RelationshipSatisfaction]])</f>
        <v>3.6666666666666665</v>
      </c>
      <c r="R4084" s="2">
        <f>PerfRate[[#This Row],[ManagerRating]] - PerfRate[[#This Row],[SelfRating]]</f>
        <v>-1</v>
      </c>
    </row>
    <row r="4085" spans="1:18">
      <c r="A4085" s="2" t="s">
        <v>8392</v>
      </c>
      <c r="B4085" s="2" t="s">
        <v>1818</v>
      </c>
      <c r="C4085" s="1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  <c r="L4085" s="2" t="s">
        <v>11030</v>
      </c>
      <c r="M4085" s="2" t="s">
        <v>11029</v>
      </c>
      <c r="N4085" s="2" t="s">
        <v>11038</v>
      </c>
      <c r="O4085" s="2" t="s">
        <v>11035</v>
      </c>
      <c r="P4085" s="2" t="s">
        <v>11038</v>
      </c>
      <c r="Q4085" s="2">
        <f>AVERAGE(PerfRate[[#This Row],[EnvironmentSatisfaction]],PerfRate[[#This Row],[JobSatisfaction]],PerfRate[[#This Row],[RelationshipSatisfaction]])</f>
        <v>4</v>
      </c>
      <c r="R4085" s="2">
        <f>PerfRate[[#This Row],[ManagerRating]] - PerfRate[[#This Row],[SelfRating]]</f>
        <v>-1</v>
      </c>
    </row>
    <row r="4086" spans="1:18">
      <c r="A4086" s="2" t="s">
        <v>8393</v>
      </c>
      <c r="B4086" s="2" t="s">
        <v>2967</v>
      </c>
      <c r="C4086" s="1">
        <v>44532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  <c r="L4086" s="2" t="s">
        <v>11031</v>
      </c>
      <c r="M4086" s="2" t="s">
        <v>11031</v>
      </c>
      <c r="N4086" s="2" t="s">
        <v>11037</v>
      </c>
      <c r="O4086" s="2" t="s">
        <v>11038</v>
      </c>
      <c r="P4086" s="2" t="s">
        <v>11038</v>
      </c>
      <c r="Q4086" s="2">
        <f>AVERAGE(PerfRate[[#This Row],[EnvironmentSatisfaction]],PerfRate[[#This Row],[JobSatisfaction]],PerfRate[[#This Row],[RelationshipSatisfaction]])</f>
        <v>4.666666666666667</v>
      </c>
      <c r="R4086" s="2">
        <f>PerfRate[[#This Row],[ManagerRating]] - PerfRate[[#This Row],[SelfRating]]</f>
        <v>0</v>
      </c>
    </row>
    <row r="4087" spans="1:18">
      <c r="A4087" s="2" t="s">
        <v>8394</v>
      </c>
      <c r="B4087" s="2" t="s">
        <v>2838</v>
      </c>
      <c r="C4087" s="1">
        <v>44532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  <c r="L4087" s="2" t="s">
        <v>11029</v>
      </c>
      <c r="M4087" s="2" t="s">
        <v>11028</v>
      </c>
      <c r="N4087" s="2" t="s">
        <v>11038</v>
      </c>
      <c r="O4087" s="2" t="s">
        <v>11035</v>
      </c>
      <c r="P4087" s="2" t="s">
        <v>11035</v>
      </c>
      <c r="Q4087" s="2">
        <f>AVERAGE(PerfRate[[#This Row],[EnvironmentSatisfaction]],PerfRate[[#This Row],[JobSatisfaction]],PerfRate[[#This Row],[RelationshipSatisfaction]])</f>
        <v>3</v>
      </c>
      <c r="R4087" s="2">
        <f>PerfRate[[#This Row],[ManagerRating]] - PerfRate[[#This Row],[SelfRating]]</f>
        <v>-1</v>
      </c>
    </row>
    <row r="4088" spans="1:18">
      <c r="A4088" s="2" t="s">
        <v>8395</v>
      </c>
      <c r="B4088" s="2" t="s">
        <v>601</v>
      </c>
      <c r="C4088" s="1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  <c r="L4088" s="2" t="s">
        <v>11031</v>
      </c>
      <c r="M4088" s="2" t="s">
        <v>11030</v>
      </c>
      <c r="N4088" s="2" t="s">
        <v>11037</v>
      </c>
      <c r="O4088" s="2" t="s">
        <v>11037</v>
      </c>
      <c r="P4088" s="2" t="s">
        <v>11038</v>
      </c>
      <c r="Q4088" s="2">
        <f>AVERAGE(PerfRate[[#This Row],[EnvironmentSatisfaction]],PerfRate[[#This Row],[JobSatisfaction]],PerfRate[[#This Row],[RelationshipSatisfaction]])</f>
        <v>4.333333333333333</v>
      </c>
      <c r="R4088" s="2">
        <f>PerfRate[[#This Row],[ManagerRating]] - PerfRate[[#This Row],[SelfRating]]</f>
        <v>-1</v>
      </c>
    </row>
    <row r="4089" spans="1:18">
      <c r="A4089" s="2" t="s">
        <v>8396</v>
      </c>
      <c r="B4089" s="2" t="s">
        <v>1950</v>
      </c>
      <c r="C4089" s="1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  <c r="L4089" s="2" t="s">
        <v>11031</v>
      </c>
      <c r="M4089" s="2" t="s">
        <v>11031</v>
      </c>
      <c r="N4089" s="2" t="s">
        <v>11037</v>
      </c>
      <c r="O4089" s="2" t="s">
        <v>11037</v>
      </c>
      <c r="P4089" s="2" t="s">
        <v>11038</v>
      </c>
      <c r="Q4089" s="2">
        <f>AVERAGE(PerfRate[[#This Row],[EnvironmentSatisfaction]],PerfRate[[#This Row],[JobSatisfaction]],PerfRate[[#This Row],[RelationshipSatisfaction]])</f>
        <v>4.333333333333333</v>
      </c>
      <c r="R4089" s="2">
        <f>PerfRate[[#This Row],[ManagerRating]] - PerfRate[[#This Row],[SelfRating]]</f>
        <v>0</v>
      </c>
    </row>
    <row r="4090" spans="1:18">
      <c r="A4090" s="2" t="s">
        <v>8397</v>
      </c>
      <c r="B4090" s="2" t="s">
        <v>1195</v>
      </c>
      <c r="C4090" s="1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  <c r="L4090" s="2" t="s">
        <v>11031</v>
      </c>
      <c r="M4090" s="2" t="s">
        <v>11031</v>
      </c>
      <c r="N4090" s="2" t="s">
        <v>11038</v>
      </c>
      <c r="O4090" s="2" t="s">
        <v>11037</v>
      </c>
      <c r="P4090" s="2" t="s">
        <v>11036</v>
      </c>
      <c r="Q4090" s="2">
        <f>AVERAGE(PerfRate[[#This Row],[EnvironmentSatisfaction]],PerfRate[[#This Row],[JobSatisfaction]],PerfRate[[#This Row],[RelationshipSatisfaction]])</f>
        <v>4</v>
      </c>
      <c r="R4090" s="2">
        <f>PerfRate[[#This Row],[ManagerRating]] - PerfRate[[#This Row],[SelfRating]]</f>
        <v>0</v>
      </c>
    </row>
    <row r="4091" spans="1:18">
      <c r="A4091" s="2" t="s">
        <v>8398</v>
      </c>
      <c r="B4091" s="2" t="s">
        <v>102</v>
      </c>
      <c r="C4091" s="1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  <c r="L4091" s="2" t="s">
        <v>11030</v>
      </c>
      <c r="M4091" s="2" t="s">
        <v>11030</v>
      </c>
      <c r="N4091" s="2" t="s">
        <v>11036</v>
      </c>
      <c r="O4091" s="2" t="s">
        <v>11035</v>
      </c>
      <c r="P4091" s="2" t="s">
        <v>11038</v>
      </c>
      <c r="Q4091" s="2">
        <f>AVERAGE(PerfRate[[#This Row],[EnvironmentSatisfaction]],PerfRate[[#This Row],[JobSatisfaction]],PerfRate[[#This Row],[RelationshipSatisfaction]])</f>
        <v>3.3333333333333335</v>
      </c>
      <c r="R4091" s="2">
        <f>PerfRate[[#This Row],[ManagerRating]] - PerfRate[[#This Row],[SelfRating]]</f>
        <v>0</v>
      </c>
    </row>
    <row r="4092" spans="1:18">
      <c r="A4092" s="2" t="s">
        <v>8399</v>
      </c>
      <c r="B4092" s="2" t="s">
        <v>2432</v>
      </c>
      <c r="C4092" s="1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  <c r="L4092" s="2" t="s">
        <v>11030</v>
      </c>
      <c r="M4092" s="2" t="s">
        <v>11030</v>
      </c>
      <c r="N4092" s="2" t="s">
        <v>11037</v>
      </c>
      <c r="O4092" s="2" t="s">
        <v>11035</v>
      </c>
      <c r="P4092" s="2" t="s">
        <v>11036</v>
      </c>
      <c r="Q4092" s="2">
        <f>AVERAGE(PerfRate[[#This Row],[EnvironmentSatisfaction]],PerfRate[[#This Row],[JobSatisfaction]],PerfRate[[#This Row],[RelationshipSatisfaction]])</f>
        <v>3</v>
      </c>
      <c r="R4092" s="2">
        <f>PerfRate[[#This Row],[ManagerRating]] - PerfRate[[#This Row],[SelfRating]]</f>
        <v>0</v>
      </c>
    </row>
    <row r="4093" spans="1:18">
      <c r="A4093" s="2" t="s">
        <v>8400</v>
      </c>
      <c r="B4093" s="2" t="s">
        <v>2841</v>
      </c>
      <c r="C4093" s="1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  <c r="L4093" s="2" t="s">
        <v>11030</v>
      </c>
      <c r="M4093" s="2" t="s">
        <v>11029</v>
      </c>
      <c r="N4093" s="2" t="s">
        <v>11036</v>
      </c>
      <c r="O4093" s="2" t="s">
        <v>11035</v>
      </c>
      <c r="P4093" s="2" t="s">
        <v>11035</v>
      </c>
      <c r="Q4093" s="2">
        <f>AVERAGE(PerfRate[[#This Row],[EnvironmentSatisfaction]],PerfRate[[#This Row],[JobSatisfaction]],PerfRate[[#This Row],[RelationshipSatisfaction]])</f>
        <v>2.3333333333333335</v>
      </c>
      <c r="R4093" s="2">
        <f>PerfRate[[#This Row],[ManagerRating]] - PerfRate[[#This Row],[SelfRating]]</f>
        <v>-1</v>
      </c>
    </row>
    <row r="4094" spans="1:18">
      <c r="A4094" s="2" t="s">
        <v>8401</v>
      </c>
      <c r="B4094" s="2" t="s">
        <v>2014</v>
      </c>
      <c r="C4094" s="1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  <c r="L4094" s="2" t="s">
        <v>11029</v>
      </c>
      <c r="M4094" s="2" t="s">
        <v>11028</v>
      </c>
      <c r="N4094" s="2" t="s">
        <v>11038</v>
      </c>
      <c r="O4094" s="2" t="s">
        <v>11037</v>
      </c>
      <c r="P4094" s="2" t="s">
        <v>11038</v>
      </c>
      <c r="Q4094" s="2">
        <f>AVERAGE(PerfRate[[#This Row],[EnvironmentSatisfaction]],PerfRate[[#This Row],[JobSatisfaction]],PerfRate[[#This Row],[RelationshipSatisfaction]])</f>
        <v>4.666666666666667</v>
      </c>
      <c r="R4094" s="2">
        <f>PerfRate[[#This Row],[ManagerRating]] - PerfRate[[#This Row],[SelfRating]]</f>
        <v>-1</v>
      </c>
    </row>
    <row r="4095" spans="1:18">
      <c r="A4095" s="2" t="s">
        <v>8402</v>
      </c>
      <c r="B4095" s="2" t="s">
        <v>717</v>
      </c>
      <c r="C4095" s="1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  <c r="L4095" s="2" t="s">
        <v>11029</v>
      </c>
      <c r="M4095" s="2" t="s">
        <v>11028</v>
      </c>
      <c r="N4095" s="2" t="s">
        <v>11036</v>
      </c>
      <c r="O4095" s="2" t="s">
        <v>11038</v>
      </c>
      <c r="P4095" s="2" t="s">
        <v>11036</v>
      </c>
      <c r="Q4095" s="2">
        <f>AVERAGE(PerfRate[[#This Row],[EnvironmentSatisfaction]],PerfRate[[#This Row],[JobSatisfaction]],PerfRate[[#This Row],[RelationshipSatisfaction]])</f>
        <v>3.6666666666666665</v>
      </c>
      <c r="R4095" s="2">
        <f>PerfRate[[#This Row],[ManagerRating]] - PerfRate[[#This Row],[SelfRating]]</f>
        <v>-1</v>
      </c>
    </row>
    <row r="4096" spans="1:18">
      <c r="A4096" s="2" t="s">
        <v>8403</v>
      </c>
      <c r="B4096" s="2" t="s">
        <v>1881</v>
      </c>
      <c r="C4096" s="1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  <c r="L4096" s="2" t="s">
        <v>11029</v>
      </c>
      <c r="M4096" s="2" t="s">
        <v>11028</v>
      </c>
      <c r="N4096" s="2" t="s">
        <v>11037</v>
      </c>
      <c r="O4096" s="2" t="s">
        <v>11035</v>
      </c>
      <c r="P4096" s="2" t="s">
        <v>11036</v>
      </c>
      <c r="Q4096" s="2">
        <f>AVERAGE(PerfRate[[#This Row],[EnvironmentSatisfaction]],PerfRate[[#This Row],[JobSatisfaction]],PerfRate[[#This Row],[RelationshipSatisfaction]])</f>
        <v>3</v>
      </c>
      <c r="R4096" s="2">
        <f>PerfRate[[#This Row],[ManagerRating]] - PerfRate[[#This Row],[SelfRating]]</f>
        <v>-1</v>
      </c>
    </row>
    <row r="4097" spans="1:18">
      <c r="A4097" s="2" t="s">
        <v>8404</v>
      </c>
      <c r="B4097" s="2" t="s">
        <v>1154</v>
      </c>
      <c r="C4097" s="1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  <c r="L4097" s="2" t="s">
        <v>11031</v>
      </c>
      <c r="M4097" s="2" t="s">
        <v>11030</v>
      </c>
      <c r="N4097" s="2" t="s">
        <v>11036</v>
      </c>
      <c r="O4097" s="2" t="s">
        <v>11035</v>
      </c>
      <c r="P4097" s="2" t="s">
        <v>11035</v>
      </c>
      <c r="Q4097" s="2">
        <f>AVERAGE(PerfRate[[#This Row],[EnvironmentSatisfaction]],PerfRate[[#This Row],[JobSatisfaction]],PerfRate[[#This Row],[RelationshipSatisfaction]])</f>
        <v>2.3333333333333335</v>
      </c>
      <c r="R4097" s="2">
        <f>PerfRate[[#This Row],[ManagerRating]] - PerfRate[[#This Row],[SelfRating]]</f>
        <v>-1</v>
      </c>
    </row>
    <row r="4098" spans="1:18">
      <c r="A4098" s="2" t="s">
        <v>8405</v>
      </c>
      <c r="B4098" s="2" t="s">
        <v>529</v>
      </c>
      <c r="C4098" s="1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  <c r="L4098" s="2" t="s">
        <v>11031</v>
      </c>
      <c r="M4098" s="2" t="s">
        <v>11030</v>
      </c>
      <c r="N4098" s="2" t="s">
        <v>11037</v>
      </c>
      <c r="O4098" s="2" t="s">
        <v>11037</v>
      </c>
      <c r="P4098" s="2" t="s">
        <v>11037</v>
      </c>
      <c r="Q4098" s="2">
        <f>AVERAGE(PerfRate[[#This Row],[EnvironmentSatisfaction]],PerfRate[[#This Row],[JobSatisfaction]],PerfRate[[#This Row],[RelationshipSatisfaction]])</f>
        <v>4</v>
      </c>
      <c r="R4098" s="2">
        <f>PerfRate[[#This Row],[ManagerRating]] - PerfRate[[#This Row],[SelfRating]]</f>
        <v>-1</v>
      </c>
    </row>
    <row r="4099" spans="1:18">
      <c r="A4099" s="2" t="s">
        <v>8406</v>
      </c>
      <c r="B4099" s="2" t="s">
        <v>1584</v>
      </c>
      <c r="C4099" s="1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  <c r="L4099" s="2" t="s">
        <v>11031</v>
      </c>
      <c r="M4099" s="2" t="s">
        <v>11031</v>
      </c>
      <c r="N4099" s="2" t="s">
        <v>11038</v>
      </c>
      <c r="O4099" s="2" t="s">
        <v>11035</v>
      </c>
      <c r="P4099" s="2" t="s">
        <v>11035</v>
      </c>
      <c r="Q4099" s="2">
        <f>AVERAGE(PerfRate[[#This Row],[EnvironmentSatisfaction]],PerfRate[[#This Row],[JobSatisfaction]],PerfRate[[#This Row],[RelationshipSatisfaction]])</f>
        <v>3</v>
      </c>
      <c r="R4099" s="2">
        <f>PerfRate[[#This Row],[ManagerRating]] - PerfRate[[#This Row],[SelfRating]]</f>
        <v>0</v>
      </c>
    </row>
    <row r="4100" spans="1:18">
      <c r="A4100" s="2" t="s">
        <v>8407</v>
      </c>
      <c r="B4100" s="2" t="s">
        <v>73</v>
      </c>
      <c r="C4100" s="1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  <c r="L4100" s="2" t="s">
        <v>11031</v>
      </c>
      <c r="M4100" s="2" t="s">
        <v>11030</v>
      </c>
      <c r="N4100" s="2" t="s">
        <v>11036</v>
      </c>
      <c r="O4100" s="2" t="s">
        <v>11036</v>
      </c>
      <c r="P4100" s="2" t="s">
        <v>11036</v>
      </c>
      <c r="Q4100" s="2">
        <f>AVERAGE(PerfRate[[#This Row],[EnvironmentSatisfaction]],PerfRate[[#This Row],[JobSatisfaction]],PerfRate[[#This Row],[RelationshipSatisfaction]])</f>
        <v>3</v>
      </c>
      <c r="R4100" s="2">
        <f>PerfRate[[#This Row],[ManagerRating]] - PerfRate[[#This Row],[SelfRating]]</f>
        <v>-1</v>
      </c>
    </row>
    <row r="4101" spans="1:18">
      <c r="A4101" s="2" t="s">
        <v>8408</v>
      </c>
      <c r="B4101" s="2" t="s">
        <v>1581</v>
      </c>
      <c r="C4101" s="1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  <c r="L4101" s="2" t="s">
        <v>11031</v>
      </c>
      <c r="M4101" s="2" t="s">
        <v>11030</v>
      </c>
      <c r="N4101" s="2" t="s">
        <v>11038</v>
      </c>
      <c r="O4101" s="2" t="s">
        <v>11036</v>
      </c>
      <c r="P4101" s="2" t="s">
        <v>11037</v>
      </c>
      <c r="Q4101" s="2">
        <f>AVERAGE(PerfRate[[#This Row],[EnvironmentSatisfaction]],PerfRate[[#This Row],[JobSatisfaction]],PerfRate[[#This Row],[RelationshipSatisfaction]])</f>
        <v>4</v>
      </c>
      <c r="R4101" s="2">
        <f>PerfRate[[#This Row],[ManagerRating]] - PerfRate[[#This Row],[SelfRating]]</f>
        <v>-1</v>
      </c>
    </row>
    <row r="4102" spans="1:18">
      <c r="A4102" s="2" t="s">
        <v>8409</v>
      </c>
      <c r="B4102" s="2" t="s">
        <v>2008</v>
      </c>
      <c r="C4102" s="1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  <c r="L4102" s="2" t="s">
        <v>11030</v>
      </c>
      <c r="M4102" s="2" t="s">
        <v>11030</v>
      </c>
      <c r="N4102" s="2" t="s">
        <v>11038</v>
      </c>
      <c r="O4102" s="2" t="s">
        <v>11037</v>
      </c>
      <c r="P4102" s="2" t="s">
        <v>11038</v>
      </c>
      <c r="Q4102" s="2">
        <f>AVERAGE(PerfRate[[#This Row],[EnvironmentSatisfaction]],PerfRate[[#This Row],[JobSatisfaction]],PerfRate[[#This Row],[RelationshipSatisfaction]])</f>
        <v>4.666666666666667</v>
      </c>
      <c r="R4102" s="2">
        <f>PerfRate[[#This Row],[ManagerRating]] - PerfRate[[#This Row],[SelfRating]]</f>
        <v>0</v>
      </c>
    </row>
    <row r="4103" spans="1:18">
      <c r="A4103" s="2" t="s">
        <v>8410</v>
      </c>
      <c r="B4103" s="2" t="s">
        <v>2068</v>
      </c>
      <c r="C4103" s="1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  <c r="L4103" s="2" t="s">
        <v>11029</v>
      </c>
      <c r="M4103" s="2" t="s">
        <v>11029</v>
      </c>
      <c r="N4103" s="2" t="s">
        <v>11037</v>
      </c>
      <c r="O4103" s="2" t="s">
        <v>11037</v>
      </c>
      <c r="P4103" s="2" t="s">
        <v>11035</v>
      </c>
      <c r="Q4103" s="2">
        <f>AVERAGE(PerfRate[[#This Row],[EnvironmentSatisfaction]],PerfRate[[#This Row],[JobSatisfaction]],PerfRate[[#This Row],[RelationshipSatisfaction]])</f>
        <v>3.3333333333333335</v>
      </c>
      <c r="R4103" s="2">
        <f>PerfRate[[#This Row],[ManagerRating]] - PerfRate[[#This Row],[SelfRating]]</f>
        <v>0</v>
      </c>
    </row>
    <row r="4104" spans="1:18">
      <c r="A4104" s="2" t="s">
        <v>8411</v>
      </c>
      <c r="B4104" s="2" t="s">
        <v>410</v>
      </c>
      <c r="C4104" s="1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  <c r="L4104" s="2" t="s">
        <v>11031</v>
      </c>
      <c r="M4104" s="2" t="s">
        <v>11031</v>
      </c>
      <c r="N4104" s="2" t="s">
        <v>11037</v>
      </c>
      <c r="O4104" s="2" t="s">
        <v>11037</v>
      </c>
      <c r="P4104" s="2" t="s">
        <v>11035</v>
      </c>
      <c r="Q4104" s="2">
        <f>AVERAGE(PerfRate[[#This Row],[EnvironmentSatisfaction]],PerfRate[[#This Row],[JobSatisfaction]],PerfRate[[#This Row],[RelationshipSatisfaction]])</f>
        <v>3.3333333333333335</v>
      </c>
      <c r="R4104" s="2">
        <f>PerfRate[[#This Row],[ManagerRating]] - PerfRate[[#This Row],[SelfRating]]</f>
        <v>0</v>
      </c>
    </row>
    <row r="4105" spans="1:18">
      <c r="A4105" s="2" t="s">
        <v>8412</v>
      </c>
      <c r="B4105" s="2" t="s">
        <v>1409</v>
      </c>
      <c r="C4105" s="1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  <c r="L4105" s="2" t="s">
        <v>11031</v>
      </c>
      <c r="M4105" s="2" t="s">
        <v>11030</v>
      </c>
      <c r="N4105" s="2" t="s">
        <v>11036</v>
      </c>
      <c r="O4105" s="2" t="s">
        <v>11038</v>
      </c>
      <c r="P4105" s="2" t="s">
        <v>11038</v>
      </c>
      <c r="Q4105" s="2">
        <f>AVERAGE(PerfRate[[#This Row],[EnvironmentSatisfaction]],PerfRate[[#This Row],[JobSatisfaction]],PerfRate[[#This Row],[RelationshipSatisfaction]])</f>
        <v>4.333333333333333</v>
      </c>
      <c r="R4105" s="2">
        <f>PerfRate[[#This Row],[ManagerRating]] - PerfRate[[#This Row],[SelfRating]]</f>
        <v>-1</v>
      </c>
    </row>
    <row r="4106" spans="1:18">
      <c r="A4106" s="2" t="s">
        <v>8413</v>
      </c>
      <c r="B4106" s="2" t="s">
        <v>568</v>
      </c>
      <c r="C4106" s="1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  <c r="L4106" s="2" t="s">
        <v>11031</v>
      </c>
      <c r="M4106" s="2" t="s">
        <v>11031</v>
      </c>
      <c r="N4106" s="2" t="s">
        <v>11036</v>
      </c>
      <c r="O4106" s="2" t="s">
        <v>11037</v>
      </c>
      <c r="P4106" s="2" t="s">
        <v>11036</v>
      </c>
      <c r="Q4106" s="2">
        <f>AVERAGE(PerfRate[[#This Row],[EnvironmentSatisfaction]],PerfRate[[#This Row],[JobSatisfaction]],PerfRate[[#This Row],[RelationshipSatisfaction]])</f>
        <v>3.3333333333333335</v>
      </c>
      <c r="R4106" s="2">
        <f>PerfRate[[#This Row],[ManagerRating]] - PerfRate[[#This Row],[SelfRating]]</f>
        <v>0</v>
      </c>
    </row>
    <row r="4107" spans="1:18">
      <c r="A4107" s="2" t="s">
        <v>8414</v>
      </c>
      <c r="B4107" s="2" t="s">
        <v>1177</v>
      </c>
      <c r="C4107" s="1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  <c r="L4107" s="2" t="s">
        <v>11030</v>
      </c>
      <c r="M4107" s="2" t="s">
        <v>11029</v>
      </c>
      <c r="N4107" s="2" t="s">
        <v>11038</v>
      </c>
      <c r="O4107" s="2" t="s">
        <v>11035</v>
      </c>
      <c r="P4107" s="2" t="s">
        <v>11036</v>
      </c>
      <c r="Q4107" s="2">
        <f>AVERAGE(PerfRate[[#This Row],[EnvironmentSatisfaction]],PerfRate[[#This Row],[JobSatisfaction]],PerfRate[[#This Row],[RelationshipSatisfaction]])</f>
        <v>3.3333333333333335</v>
      </c>
      <c r="R4107" s="2">
        <f>PerfRate[[#This Row],[ManagerRating]] - PerfRate[[#This Row],[SelfRating]]</f>
        <v>-1</v>
      </c>
    </row>
    <row r="4108" spans="1:18">
      <c r="A4108" s="2" t="s">
        <v>8415</v>
      </c>
      <c r="B4108" s="2" t="s">
        <v>1119</v>
      </c>
      <c r="C4108" s="1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  <c r="L4108" s="2" t="s">
        <v>11031</v>
      </c>
      <c r="M4108" s="2" t="s">
        <v>11031</v>
      </c>
      <c r="N4108" s="2" t="s">
        <v>11038</v>
      </c>
      <c r="O4108" s="2" t="s">
        <v>11038</v>
      </c>
      <c r="P4108" s="2" t="s">
        <v>11038</v>
      </c>
      <c r="Q4108" s="2">
        <f>AVERAGE(PerfRate[[#This Row],[EnvironmentSatisfaction]],PerfRate[[#This Row],[JobSatisfaction]],PerfRate[[#This Row],[RelationshipSatisfaction]])</f>
        <v>5</v>
      </c>
      <c r="R4108" s="2">
        <f>PerfRate[[#This Row],[ManagerRating]] - PerfRate[[#This Row],[SelfRating]]</f>
        <v>0</v>
      </c>
    </row>
    <row r="4109" spans="1:18">
      <c r="A4109" s="2" t="s">
        <v>8416</v>
      </c>
      <c r="B4109" s="2" t="s">
        <v>511</v>
      </c>
      <c r="C4109" s="1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  <c r="L4109" s="2" t="s">
        <v>11029</v>
      </c>
      <c r="M4109" s="2" t="s">
        <v>11028</v>
      </c>
      <c r="N4109" s="2" t="s">
        <v>11038</v>
      </c>
      <c r="O4109" s="2" t="s">
        <v>11037</v>
      </c>
      <c r="P4109" s="2" t="s">
        <v>11038</v>
      </c>
      <c r="Q4109" s="2">
        <f>AVERAGE(PerfRate[[#This Row],[EnvironmentSatisfaction]],PerfRate[[#This Row],[JobSatisfaction]],PerfRate[[#This Row],[RelationshipSatisfaction]])</f>
        <v>4.666666666666667</v>
      </c>
      <c r="R4109" s="2">
        <f>PerfRate[[#This Row],[ManagerRating]] - PerfRate[[#This Row],[SelfRating]]</f>
        <v>-1</v>
      </c>
    </row>
    <row r="4110" spans="1:18">
      <c r="A4110" s="2" t="s">
        <v>8417</v>
      </c>
      <c r="B4110" s="2" t="s">
        <v>128</v>
      </c>
      <c r="C4110" s="1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  <c r="L4110" s="2" t="s">
        <v>11030</v>
      </c>
      <c r="M4110" s="2" t="s">
        <v>11029</v>
      </c>
      <c r="N4110" s="2" t="s">
        <v>11036</v>
      </c>
      <c r="O4110" s="2" t="s">
        <v>11037</v>
      </c>
      <c r="P4110" s="2" t="s">
        <v>11037</v>
      </c>
      <c r="Q4110" s="2">
        <f>AVERAGE(PerfRate[[#This Row],[EnvironmentSatisfaction]],PerfRate[[#This Row],[JobSatisfaction]],PerfRate[[#This Row],[RelationshipSatisfaction]])</f>
        <v>3.6666666666666665</v>
      </c>
      <c r="R4110" s="2">
        <f>PerfRate[[#This Row],[ManagerRating]] - PerfRate[[#This Row],[SelfRating]]</f>
        <v>-1</v>
      </c>
    </row>
    <row r="4111" spans="1:18">
      <c r="A4111" s="2" t="s">
        <v>8418</v>
      </c>
      <c r="B4111" s="2" t="s">
        <v>762</v>
      </c>
      <c r="C4111" s="1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  <c r="L4111" s="2" t="s">
        <v>11030</v>
      </c>
      <c r="M4111" s="2" t="s">
        <v>11029</v>
      </c>
      <c r="N4111" s="2" t="s">
        <v>11037</v>
      </c>
      <c r="O4111" s="2" t="s">
        <v>11037</v>
      </c>
      <c r="P4111" s="2" t="s">
        <v>11038</v>
      </c>
      <c r="Q4111" s="2">
        <f>AVERAGE(PerfRate[[#This Row],[EnvironmentSatisfaction]],PerfRate[[#This Row],[JobSatisfaction]],PerfRate[[#This Row],[RelationshipSatisfaction]])</f>
        <v>4.333333333333333</v>
      </c>
      <c r="R4111" s="2">
        <f>PerfRate[[#This Row],[ManagerRating]] - PerfRate[[#This Row],[SelfRating]]</f>
        <v>-1</v>
      </c>
    </row>
    <row r="4112" spans="1:18">
      <c r="A4112" s="2" t="s">
        <v>8419</v>
      </c>
      <c r="B4112" s="2" t="s">
        <v>1056</v>
      </c>
      <c r="C4112" s="1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  <c r="L4112" s="2" t="s">
        <v>11029</v>
      </c>
      <c r="M4112" s="2" t="s">
        <v>11029</v>
      </c>
      <c r="N4112" s="2" t="s">
        <v>11038</v>
      </c>
      <c r="O4112" s="2" t="s">
        <v>11035</v>
      </c>
      <c r="P4112" s="2" t="s">
        <v>11037</v>
      </c>
      <c r="Q4112" s="2">
        <f>AVERAGE(PerfRate[[#This Row],[EnvironmentSatisfaction]],PerfRate[[#This Row],[JobSatisfaction]],PerfRate[[#This Row],[RelationshipSatisfaction]])</f>
        <v>3.6666666666666665</v>
      </c>
      <c r="R4112" s="2">
        <f>PerfRate[[#This Row],[ManagerRating]] - PerfRate[[#This Row],[SelfRating]]</f>
        <v>0</v>
      </c>
    </row>
    <row r="4113" spans="1:18">
      <c r="A4113" s="2" t="s">
        <v>8420</v>
      </c>
      <c r="B4113" s="2" t="s">
        <v>284</v>
      </c>
      <c r="C4113" s="1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  <c r="L4113" s="2" t="s">
        <v>11031</v>
      </c>
      <c r="M4113" s="2" t="s">
        <v>11030</v>
      </c>
      <c r="N4113" s="2" t="s">
        <v>11037</v>
      </c>
      <c r="O4113" s="2" t="s">
        <v>11038</v>
      </c>
      <c r="P4113" s="2" t="s">
        <v>11037</v>
      </c>
      <c r="Q4113" s="2">
        <f>AVERAGE(PerfRate[[#This Row],[EnvironmentSatisfaction]],PerfRate[[#This Row],[JobSatisfaction]],PerfRate[[#This Row],[RelationshipSatisfaction]])</f>
        <v>4.333333333333333</v>
      </c>
      <c r="R4113" s="2">
        <f>PerfRate[[#This Row],[ManagerRating]] - PerfRate[[#This Row],[SelfRating]]</f>
        <v>-1</v>
      </c>
    </row>
    <row r="4114" spans="1:18">
      <c r="A4114" s="2" t="s">
        <v>8421</v>
      </c>
      <c r="B4114" s="2" t="s">
        <v>2587</v>
      </c>
      <c r="C4114" s="1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  <c r="L4114" s="2" t="s">
        <v>11029</v>
      </c>
      <c r="M4114" s="2" t="s">
        <v>11028</v>
      </c>
      <c r="N4114" s="2" t="s">
        <v>11036</v>
      </c>
      <c r="O4114" s="2" t="s">
        <v>11036</v>
      </c>
      <c r="P4114" s="2" t="s">
        <v>11035</v>
      </c>
      <c r="Q4114" s="2">
        <f>AVERAGE(PerfRate[[#This Row],[EnvironmentSatisfaction]],PerfRate[[#This Row],[JobSatisfaction]],PerfRate[[#This Row],[RelationshipSatisfaction]])</f>
        <v>2.6666666666666665</v>
      </c>
      <c r="R4114" s="2">
        <f>PerfRate[[#This Row],[ManagerRating]] - PerfRate[[#This Row],[SelfRating]]</f>
        <v>-1</v>
      </c>
    </row>
    <row r="4115" spans="1:18">
      <c r="A4115" s="2" t="s">
        <v>8422</v>
      </c>
      <c r="B4115" s="2" t="s">
        <v>2897</v>
      </c>
      <c r="C4115" s="1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  <c r="L4115" s="2" t="s">
        <v>11031</v>
      </c>
      <c r="M4115" s="2" t="s">
        <v>11031</v>
      </c>
      <c r="N4115" s="2" t="s">
        <v>11036</v>
      </c>
      <c r="O4115" s="2" t="s">
        <v>11037</v>
      </c>
      <c r="P4115" s="2" t="s">
        <v>11035</v>
      </c>
      <c r="Q4115" s="2">
        <f>AVERAGE(PerfRate[[#This Row],[EnvironmentSatisfaction]],PerfRate[[#This Row],[JobSatisfaction]],PerfRate[[#This Row],[RelationshipSatisfaction]])</f>
        <v>3</v>
      </c>
      <c r="R4115" s="2">
        <f>PerfRate[[#This Row],[ManagerRating]] - PerfRate[[#This Row],[SelfRating]]</f>
        <v>0</v>
      </c>
    </row>
    <row r="4116" spans="1:18">
      <c r="A4116" s="2" t="s">
        <v>8423</v>
      </c>
      <c r="B4116" s="2" t="s">
        <v>2990</v>
      </c>
      <c r="C4116" s="1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  <c r="L4116" s="2" t="s">
        <v>11029</v>
      </c>
      <c r="M4116" s="2" t="s">
        <v>11028</v>
      </c>
      <c r="N4116" s="2" t="s">
        <v>11038</v>
      </c>
      <c r="O4116" s="2" t="s">
        <v>11035</v>
      </c>
      <c r="P4116" s="2" t="s">
        <v>11036</v>
      </c>
      <c r="Q4116" s="2">
        <f>AVERAGE(PerfRate[[#This Row],[EnvironmentSatisfaction]],PerfRate[[#This Row],[JobSatisfaction]],PerfRate[[#This Row],[RelationshipSatisfaction]])</f>
        <v>3.3333333333333335</v>
      </c>
      <c r="R4116" s="2">
        <f>PerfRate[[#This Row],[ManagerRating]] - PerfRate[[#This Row],[SelfRating]]</f>
        <v>-1</v>
      </c>
    </row>
    <row r="4117" spans="1:18">
      <c r="A4117" s="2" t="s">
        <v>8424</v>
      </c>
      <c r="B4117" s="2" t="s">
        <v>2453</v>
      </c>
      <c r="C4117" s="1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  <c r="L4117" s="2" t="s">
        <v>11029</v>
      </c>
      <c r="M4117" s="2" t="s">
        <v>11028</v>
      </c>
      <c r="N4117" s="2" t="s">
        <v>11038</v>
      </c>
      <c r="O4117" s="2" t="s">
        <v>11035</v>
      </c>
      <c r="P4117" s="2" t="s">
        <v>11035</v>
      </c>
      <c r="Q4117" s="2">
        <f>AVERAGE(PerfRate[[#This Row],[EnvironmentSatisfaction]],PerfRate[[#This Row],[JobSatisfaction]],PerfRate[[#This Row],[RelationshipSatisfaction]])</f>
        <v>3</v>
      </c>
      <c r="R4117" s="2">
        <f>PerfRate[[#This Row],[ManagerRating]] - PerfRate[[#This Row],[SelfRating]]</f>
        <v>-1</v>
      </c>
    </row>
    <row r="4118" spans="1:18">
      <c r="A4118" s="2" t="s">
        <v>8425</v>
      </c>
      <c r="B4118" s="2" t="s">
        <v>750</v>
      </c>
      <c r="C4118" s="1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  <c r="L4118" s="2" t="s">
        <v>11031</v>
      </c>
      <c r="M4118" s="2" t="s">
        <v>11031</v>
      </c>
      <c r="N4118" s="2" t="s">
        <v>11037</v>
      </c>
      <c r="O4118" s="2" t="s">
        <v>11038</v>
      </c>
      <c r="P4118" s="2" t="s">
        <v>11035</v>
      </c>
      <c r="Q4118" s="2">
        <f>AVERAGE(PerfRate[[#This Row],[EnvironmentSatisfaction]],PerfRate[[#This Row],[JobSatisfaction]],PerfRate[[#This Row],[RelationshipSatisfaction]])</f>
        <v>3.6666666666666665</v>
      </c>
      <c r="R4118" s="2">
        <f>PerfRate[[#This Row],[ManagerRating]] - PerfRate[[#This Row],[SelfRating]]</f>
        <v>0</v>
      </c>
    </row>
    <row r="4119" spans="1:18">
      <c r="A4119" s="2" t="s">
        <v>8426</v>
      </c>
      <c r="B4119" s="2" t="s">
        <v>94</v>
      </c>
      <c r="C4119" s="1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  <c r="L4119" s="2" t="s">
        <v>11030</v>
      </c>
      <c r="M4119" s="2" t="s">
        <v>11029</v>
      </c>
      <c r="N4119" s="2" t="s">
        <v>11036</v>
      </c>
      <c r="O4119" s="2" t="s">
        <v>11036</v>
      </c>
      <c r="P4119" s="2" t="s">
        <v>11035</v>
      </c>
      <c r="Q4119" s="2">
        <f>AVERAGE(PerfRate[[#This Row],[EnvironmentSatisfaction]],PerfRate[[#This Row],[JobSatisfaction]],PerfRate[[#This Row],[RelationshipSatisfaction]])</f>
        <v>2.6666666666666665</v>
      </c>
      <c r="R4119" s="2">
        <f>PerfRate[[#This Row],[ManagerRating]] - PerfRate[[#This Row],[SelfRating]]</f>
        <v>-1</v>
      </c>
    </row>
    <row r="4120" spans="1:18">
      <c r="A4120" s="2" t="s">
        <v>8427</v>
      </c>
      <c r="B4120" s="2" t="s">
        <v>1116</v>
      </c>
      <c r="C4120" s="1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  <c r="L4120" s="2" t="s">
        <v>11029</v>
      </c>
      <c r="M4120" s="2" t="s">
        <v>11028</v>
      </c>
      <c r="N4120" s="2" t="s">
        <v>11037</v>
      </c>
      <c r="O4120" s="2" t="s">
        <v>11034</v>
      </c>
      <c r="P4120" s="2" t="s">
        <v>11036</v>
      </c>
      <c r="Q4120" s="2">
        <f>AVERAGE(PerfRate[[#This Row],[EnvironmentSatisfaction]],PerfRate[[#This Row],[JobSatisfaction]],PerfRate[[#This Row],[RelationshipSatisfaction]])</f>
        <v>2.6666666666666665</v>
      </c>
      <c r="R4120" s="2">
        <f>PerfRate[[#This Row],[ManagerRating]] - PerfRate[[#This Row],[SelfRating]]</f>
        <v>-1</v>
      </c>
    </row>
    <row r="4121" spans="1:18">
      <c r="A4121" s="2" t="s">
        <v>8428</v>
      </c>
      <c r="B4121" s="2" t="s">
        <v>2193</v>
      </c>
      <c r="C4121" s="1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  <c r="L4121" s="2" t="s">
        <v>11030</v>
      </c>
      <c r="M4121" s="2" t="s">
        <v>11030</v>
      </c>
      <c r="N4121" s="2" t="s">
        <v>11036</v>
      </c>
      <c r="O4121" s="2" t="s">
        <v>11034</v>
      </c>
      <c r="P4121" s="2" t="s">
        <v>11037</v>
      </c>
      <c r="Q4121" s="2">
        <f>AVERAGE(PerfRate[[#This Row],[EnvironmentSatisfaction]],PerfRate[[#This Row],[JobSatisfaction]],PerfRate[[#This Row],[RelationshipSatisfaction]])</f>
        <v>2.6666666666666665</v>
      </c>
      <c r="R4121" s="2">
        <f>PerfRate[[#This Row],[ManagerRating]] - PerfRate[[#This Row],[SelfRating]]</f>
        <v>0</v>
      </c>
    </row>
    <row r="4122" spans="1:18">
      <c r="A4122" s="2" t="s">
        <v>8429</v>
      </c>
      <c r="B4122" s="2" t="s">
        <v>2681</v>
      </c>
      <c r="C4122" s="1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  <c r="L4122" s="2" t="s">
        <v>11030</v>
      </c>
      <c r="M4122" s="2" t="s">
        <v>11029</v>
      </c>
      <c r="N4122" s="2" t="s">
        <v>11037</v>
      </c>
      <c r="O4122" s="2" t="s">
        <v>11037</v>
      </c>
      <c r="P4122" s="2" t="s">
        <v>11036</v>
      </c>
      <c r="Q4122" s="2">
        <f>AVERAGE(PerfRate[[#This Row],[EnvironmentSatisfaction]],PerfRate[[#This Row],[JobSatisfaction]],PerfRate[[#This Row],[RelationshipSatisfaction]])</f>
        <v>3.6666666666666665</v>
      </c>
      <c r="R4122" s="2">
        <f>PerfRate[[#This Row],[ManagerRating]] - PerfRate[[#This Row],[SelfRating]]</f>
        <v>-1</v>
      </c>
    </row>
    <row r="4123" spans="1:18">
      <c r="A4123" s="2" t="s">
        <v>8430</v>
      </c>
      <c r="B4123" s="2" t="s">
        <v>455</v>
      </c>
      <c r="C4123" s="1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  <c r="L4123" s="2" t="s">
        <v>11029</v>
      </c>
      <c r="M4123" s="2" t="s">
        <v>11029</v>
      </c>
      <c r="N4123" s="2" t="s">
        <v>11035</v>
      </c>
      <c r="O4123" s="2" t="s">
        <v>11034</v>
      </c>
      <c r="P4123" s="2" t="s">
        <v>11037</v>
      </c>
      <c r="Q4123" s="2">
        <f>AVERAGE(PerfRate[[#This Row],[EnvironmentSatisfaction]],PerfRate[[#This Row],[JobSatisfaction]],PerfRate[[#This Row],[RelationshipSatisfaction]])</f>
        <v>2.3333333333333335</v>
      </c>
      <c r="R4123" s="2">
        <f>PerfRate[[#This Row],[ManagerRating]] - PerfRate[[#This Row],[SelfRating]]</f>
        <v>0</v>
      </c>
    </row>
    <row r="4124" spans="1:18">
      <c r="A4124" s="2" t="s">
        <v>8431</v>
      </c>
      <c r="B4124" s="2" t="s">
        <v>2641</v>
      </c>
      <c r="C4124" s="1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  <c r="L4124" s="2" t="s">
        <v>11029</v>
      </c>
      <c r="M4124" s="2" t="s">
        <v>11028</v>
      </c>
      <c r="N4124" s="2" t="s">
        <v>11037</v>
      </c>
      <c r="O4124" s="2" t="s">
        <v>11035</v>
      </c>
      <c r="P4124" s="2" t="s">
        <v>11036</v>
      </c>
      <c r="Q4124" s="2">
        <f>AVERAGE(PerfRate[[#This Row],[EnvironmentSatisfaction]],PerfRate[[#This Row],[JobSatisfaction]],PerfRate[[#This Row],[RelationshipSatisfaction]])</f>
        <v>3</v>
      </c>
      <c r="R4124" s="2">
        <f>PerfRate[[#This Row],[ManagerRating]] - PerfRate[[#This Row],[SelfRating]]</f>
        <v>-1</v>
      </c>
    </row>
    <row r="4125" spans="1:18">
      <c r="A4125" s="2" t="s">
        <v>8432</v>
      </c>
      <c r="B4125" s="2" t="s">
        <v>1909</v>
      </c>
      <c r="C4125" s="1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  <c r="L4125" s="2" t="s">
        <v>11030</v>
      </c>
      <c r="M4125" s="2" t="s">
        <v>11029</v>
      </c>
      <c r="N4125" s="2" t="s">
        <v>11034</v>
      </c>
      <c r="O4125" s="2" t="s">
        <v>11035</v>
      </c>
      <c r="P4125" s="2" t="s">
        <v>11034</v>
      </c>
      <c r="Q4125" s="2">
        <f>AVERAGE(PerfRate[[#This Row],[EnvironmentSatisfaction]],PerfRate[[#This Row],[JobSatisfaction]],PerfRate[[#This Row],[RelationshipSatisfaction]])</f>
        <v>1.3333333333333333</v>
      </c>
      <c r="R4125" s="2">
        <f>PerfRate[[#This Row],[ManagerRating]] - PerfRate[[#This Row],[SelfRating]]</f>
        <v>-1</v>
      </c>
    </row>
    <row r="4126" spans="1:18">
      <c r="A4126" s="2" t="s">
        <v>8433</v>
      </c>
      <c r="B4126" s="2" t="s">
        <v>238</v>
      </c>
      <c r="C4126" s="1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  <c r="L4126" s="2" t="s">
        <v>11029</v>
      </c>
      <c r="M4126" s="2" t="s">
        <v>11029</v>
      </c>
      <c r="N4126" s="2" t="s">
        <v>11038</v>
      </c>
      <c r="O4126" s="2" t="s">
        <v>11036</v>
      </c>
      <c r="P4126" s="2" t="s">
        <v>11036</v>
      </c>
      <c r="Q4126" s="2">
        <f>AVERAGE(PerfRate[[#This Row],[EnvironmentSatisfaction]],PerfRate[[#This Row],[JobSatisfaction]],PerfRate[[#This Row],[RelationshipSatisfaction]])</f>
        <v>3.6666666666666665</v>
      </c>
      <c r="R4126" s="2">
        <f>PerfRate[[#This Row],[ManagerRating]] - PerfRate[[#This Row],[SelfRating]]</f>
        <v>0</v>
      </c>
    </row>
    <row r="4127" spans="1:18">
      <c r="A4127" s="2" t="s">
        <v>8434</v>
      </c>
      <c r="B4127" s="2" t="s">
        <v>2964</v>
      </c>
      <c r="C4127" s="1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  <c r="L4127" s="2" t="s">
        <v>11030</v>
      </c>
      <c r="M4127" s="2" t="s">
        <v>11030</v>
      </c>
      <c r="N4127" s="2" t="s">
        <v>11038</v>
      </c>
      <c r="O4127" s="2" t="s">
        <v>11036</v>
      </c>
      <c r="P4127" s="2" t="s">
        <v>11037</v>
      </c>
      <c r="Q4127" s="2">
        <f>AVERAGE(PerfRate[[#This Row],[EnvironmentSatisfaction]],PerfRate[[#This Row],[JobSatisfaction]],PerfRate[[#This Row],[RelationshipSatisfaction]])</f>
        <v>4</v>
      </c>
      <c r="R4127" s="2">
        <f>PerfRate[[#This Row],[ManagerRating]] - PerfRate[[#This Row],[SelfRating]]</f>
        <v>0</v>
      </c>
    </row>
    <row r="4128" spans="1:18">
      <c r="A4128" s="2" t="s">
        <v>8435</v>
      </c>
      <c r="B4128" s="2" t="s">
        <v>154</v>
      </c>
      <c r="C4128" s="1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  <c r="L4128" s="2" t="s">
        <v>11030</v>
      </c>
      <c r="M4128" s="2" t="s">
        <v>11030</v>
      </c>
      <c r="N4128" s="2" t="s">
        <v>11038</v>
      </c>
      <c r="O4128" s="2" t="s">
        <v>11037</v>
      </c>
      <c r="P4128" s="2" t="s">
        <v>11038</v>
      </c>
      <c r="Q4128" s="2">
        <f>AVERAGE(PerfRate[[#This Row],[EnvironmentSatisfaction]],PerfRate[[#This Row],[JobSatisfaction]],PerfRate[[#This Row],[RelationshipSatisfaction]])</f>
        <v>4.666666666666667</v>
      </c>
      <c r="R4128" s="2">
        <f>PerfRate[[#This Row],[ManagerRating]] - PerfRate[[#This Row],[SelfRating]]</f>
        <v>0</v>
      </c>
    </row>
    <row r="4129" spans="1:18">
      <c r="A4129" s="2" t="s">
        <v>8436</v>
      </c>
      <c r="B4129" s="2" t="s">
        <v>2115</v>
      </c>
      <c r="C4129" s="1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  <c r="L4129" s="2" t="s">
        <v>11029</v>
      </c>
      <c r="M4129" s="2" t="s">
        <v>11029</v>
      </c>
      <c r="N4129" s="2" t="s">
        <v>11036</v>
      </c>
      <c r="O4129" s="2" t="s">
        <v>11035</v>
      </c>
      <c r="P4129" s="2" t="s">
        <v>11035</v>
      </c>
      <c r="Q4129" s="2">
        <f>AVERAGE(PerfRate[[#This Row],[EnvironmentSatisfaction]],PerfRate[[#This Row],[JobSatisfaction]],PerfRate[[#This Row],[RelationshipSatisfaction]])</f>
        <v>2.3333333333333335</v>
      </c>
      <c r="R4129" s="2">
        <f>PerfRate[[#This Row],[ManagerRating]] - PerfRate[[#This Row],[SelfRating]]</f>
        <v>0</v>
      </c>
    </row>
    <row r="4130" spans="1:18">
      <c r="A4130" s="2" t="s">
        <v>8437</v>
      </c>
      <c r="B4130" s="2" t="s">
        <v>690</v>
      </c>
      <c r="C4130" s="1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  <c r="L4130" s="2" t="s">
        <v>11031</v>
      </c>
      <c r="M4130" s="2" t="s">
        <v>11031</v>
      </c>
      <c r="N4130" s="2" t="s">
        <v>11038</v>
      </c>
      <c r="O4130" s="2" t="s">
        <v>11038</v>
      </c>
      <c r="P4130" s="2" t="s">
        <v>11037</v>
      </c>
      <c r="Q4130" s="2">
        <f>AVERAGE(PerfRate[[#This Row],[EnvironmentSatisfaction]],PerfRate[[#This Row],[JobSatisfaction]],PerfRate[[#This Row],[RelationshipSatisfaction]])</f>
        <v>4.666666666666667</v>
      </c>
      <c r="R4130" s="2">
        <f>PerfRate[[#This Row],[ManagerRating]] - PerfRate[[#This Row],[SelfRating]]</f>
        <v>0</v>
      </c>
    </row>
    <row r="4131" spans="1:18">
      <c r="A4131" s="2" t="s">
        <v>8438</v>
      </c>
      <c r="B4131" s="2" t="s">
        <v>2650</v>
      </c>
      <c r="C4131" s="1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  <c r="L4131" s="2" t="s">
        <v>11030</v>
      </c>
      <c r="M4131" s="2" t="s">
        <v>11030</v>
      </c>
      <c r="N4131" s="2" t="s">
        <v>11037</v>
      </c>
      <c r="O4131" s="2" t="s">
        <v>11035</v>
      </c>
      <c r="P4131" s="2" t="s">
        <v>11037</v>
      </c>
      <c r="Q4131" s="2">
        <f>AVERAGE(PerfRate[[#This Row],[EnvironmentSatisfaction]],PerfRate[[#This Row],[JobSatisfaction]],PerfRate[[#This Row],[RelationshipSatisfaction]])</f>
        <v>3.3333333333333335</v>
      </c>
      <c r="R4131" s="2">
        <f>PerfRate[[#This Row],[ManagerRating]] - PerfRate[[#This Row],[SelfRating]]</f>
        <v>0</v>
      </c>
    </row>
    <row r="4132" spans="1:18">
      <c r="A4132" s="2" t="s">
        <v>8439</v>
      </c>
      <c r="B4132" s="2" t="s">
        <v>696</v>
      </c>
      <c r="C4132" s="1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  <c r="L4132" s="2" t="s">
        <v>11031</v>
      </c>
      <c r="M4132" s="2" t="s">
        <v>11030</v>
      </c>
      <c r="N4132" s="2" t="s">
        <v>11038</v>
      </c>
      <c r="O4132" s="2" t="s">
        <v>11036</v>
      </c>
      <c r="P4132" s="2" t="s">
        <v>11038</v>
      </c>
      <c r="Q4132" s="2">
        <f>AVERAGE(PerfRate[[#This Row],[EnvironmentSatisfaction]],PerfRate[[#This Row],[JobSatisfaction]],PerfRate[[#This Row],[RelationshipSatisfaction]])</f>
        <v>4.333333333333333</v>
      </c>
      <c r="R4132" s="2">
        <f>PerfRate[[#This Row],[ManagerRating]] - PerfRate[[#This Row],[SelfRating]]</f>
        <v>-1</v>
      </c>
    </row>
    <row r="4133" spans="1:18">
      <c r="A4133" s="2" t="s">
        <v>8440</v>
      </c>
      <c r="B4133" s="2" t="s">
        <v>2689</v>
      </c>
      <c r="C4133" s="1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  <c r="L4133" s="2" t="s">
        <v>11031</v>
      </c>
      <c r="M4133" s="2" t="s">
        <v>11031</v>
      </c>
      <c r="N4133" s="2" t="s">
        <v>11036</v>
      </c>
      <c r="O4133" s="2" t="s">
        <v>11038</v>
      </c>
      <c r="P4133" s="2" t="s">
        <v>11035</v>
      </c>
      <c r="Q4133" s="2">
        <f>AVERAGE(PerfRate[[#This Row],[EnvironmentSatisfaction]],PerfRate[[#This Row],[JobSatisfaction]],PerfRate[[#This Row],[RelationshipSatisfaction]])</f>
        <v>3.3333333333333335</v>
      </c>
      <c r="R4133" s="2">
        <f>PerfRate[[#This Row],[ManagerRating]] - PerfRate[[#This Row],[SelfRating]]</f>
        <v>0</v>
      </c>
    </row>
    <row r="4134" spans="1:18">
      <c r="A4134" s="2" t="s">
        <v>8441</v>
      </c>
      <c r="B4134" s="2" t="s">
        <v>1180</v>
      </c>
      <c r="C4134" s="1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  <c r="L4134" s="2" t="s">
        <v>11031</v>
      </c>
      <c r="M4134" s="2" t="s">
        <v>11030</v>
      </c>
      <c r="N4134" s="2" t="s">
        <v>11037</v>
      </c>
      <c r="O4134" s="2" t="s">
        <v>11035</v>
      </c>
      <c r="P4134" s="2" t="s">
        <v>11035</v>
      </c>
      <c r="Q4134" s="2">
        <f>AVERAGE(PerfRate[[#This Row],[EnvironmentSatisfaction]],PerfRate[[#This Row],[JobSatisfaction]],PerfRate[[#This Row],[RelationshipSatisfaction]])</f>
        <v>2.6666666666666665</v>
      </c>
      <c r="R4134" s="2">
        <f>PerfRate[[#This Row],[ManagerRating]] - PerfRate[[#This Row],[SelfRating]]</f>
        <v>-1</v>
      </c>
    </row>
    <row r="4135" spans="1:18">
      <c r="A4135" s="2" t="s">
        <v>8442</v>
      </c>
      <c r="B4135" s="2" t="s">
        <v>1127</v>
      </c>
      <c r="C4135" s="1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  <c r="L4135" s="2" t="s">
        <v>11029</v>
      </c>
      <c r="M4135" s="2" t="s">
        <v>11028</v>
      </c>
      <c r="N4135" s="2" t="s">
        <v>11036</v>
      </c>
      <c r="O4135" s="2" t="s">
        <v>11036</v>
      </c>
      <c r="P4135" s="2" t="s">
        <v>11037</v>
      </c>
      <c r="Q4135" s="2">
        <f>AVERAGE(PerfRate[[#This Row],[EnvironmentSatisfaction]],PerfRate[[#This Row],[JobSatisfaction]],PerfRate[[#This Row],[RelationshipSatisfaction]])</f>
        <v>3.3333333333333335</v>
      </c>
      <c r="R4135" s="2">
        <f>PerfRate[[#This Row],[ManagerRating]] - PerfRate[[#This Row],[SelfRating]]</f>
        <v>-1</v>
      </c>
    </row>
    <row r="4136" spans="1:18">
      <c r="A4136" s="2" t="s">
        <v>8443</v>
      </c>
      <c r="B4136" s="2" t="s">
        <v>2759</v>
      </c>
      <c r="C4136" s="1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  <c r="L4136" s="2" t="s">
        <v>11030</v>
      </c>
      <c r="M4136" s="2" t="s">
        <v>11029</v>
      </c>
      <c r="N4136" s="2" t="s">
        <v>11036</v>
      </c>
      <c r="O4136" s="2" t="s">
        <v>11037</v>
      </c>
      <c r="P4136" s="2" t="s">
        <v>11037</v>
      </c>
      <c r="Q4136" s="2">
        <f>AVERAGE(PerfRate[[#This Row],[EnvironmentSatisfaction]],PerfRate[[#This Row],[JobSatisfaction]],PerfRate[[#This Row],[RelationshipSatisfaction]])</f>
        <v>3.6666666666666665</v>
      </c>
      <c r="R4136" s="2">
        <f>PerfRate[[#This Row],[ManagerRating]] - PerfRate[[#This Row],[SelfRating]]</f>
        <v>-1</v>
      </c>
    </row>
    <row r="4137" spans="1:18">
      <c r="A4137" s="2" t="s">
        <v>8444</v>
      </c>
      <c r="B4137" s="2" t="s">
        <v>353</v>
      </c>
      <c r="C4137" s="1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  <c r="L4137" s="2" t="s">
        <v>11030</v>
      </c>
      <c r="M4137" s="2" t="s">
        <v>11030</v>
      </c>
      <c r="N4137" s="2" t="s">
        <v>11037</v>
      </c>
      <c r="O4137" s="2" t="s">
        <v>11037</v>
      </c>
      <c r="P4137" s="2" t="s">
        <v>11036</v>
      </c>
      <c r="Q4137" s="2">
        <f>AVERAGE(PerfRate[[#This Row],[EnvironmentSatisfaction]],PerfRate[[#This Row],[JobSatisfaction]],PerfRate[[#This Row],[RelationshipSatisfaction]])</f>
        <v>3.6666666666666665</v>
      </c>
      <c r="R4137" s="2">
        <f>PerfRate[[#This Row],[ManagerRating]] - PerfRate[[#This Row],[SelfRating]]</f>
        <v>0</v>
      </c>
    </row>
    <row r="4138" spans="1:18">
      <c r="A4138" s="2" t="s">
        <v>8445</v>
      </c>
      <c r="B4138" s="2" t="s">
        <v>1500</v>
      </c>
      <c r="C4138" s="1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  <c r="L4138" s="2" t="s">
        <v>11030</v>
      </c>
      <c r="M4138" s="2" t="s">
        <v>11030</v>
      </c>
      <c r="N4138" s="2" t="s">
        <v>11037</v>
      </c>
      <c r="O4138" s="2" t="s">
        <v>11035</v>
      </c>
      <c r="P4138" s="2" t="s">
        <v>11036</v>
      </c>
      <c r="Q4138" s="2">
        <f>AVERAGE(PerfRate[[#This Row],[EnvironmentSatisfaction]],PerfRate[[#This Row],[JobSatisfaction]],PerfRate[[#This Row],[RelationshipSatisfaction]])</f>
        <v>3</v>
      </c>
      <c r="R4138" s="2">
        <f>PerfRate[[#This Row],[ManagerRating]] - PerfRate[[#This Row],[SelfRating]]</f>
        <v>0</v>
      </c>
    </row>
    <row r="4139" spans="1:18">
      <c r="A4139" s="2" t="s">
        <v>8446</v>
      </c>
      <c r="B4139" s="2" t="s">
        <v>1371</v>
      </c>
      <c r="C4139" s="1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  <c r="L4139" s="2" t="s">
        <v>11030</v>
      </c>
      <c r="M4139" s="2" t="s">
        <v>11030</v>
      </c>
      <c r="N4139" s="2" t="s">
        <v>11034</v>
      </c>
      <c r="O4139" s="2" t="s">
        <v>11034</v>
      </c>
      <c r="P4139" s="2" t="s">
        <v>11037</v>
      </c>
      <c r="Q4139" s="2">
        <f>AVERAGE(PerfRate[[#This Row],[EnvironmentSatisfaction]],PerfRate[[#This Row],[JobSatisfaction]],PerfRate[[#This Row],[RelationshipSatisfaction]])</f>
        <v>2</v>
      </c>
      <c r="R4139" s="2">
        <f>PerfRate[[#This Row],[ManagerRating]] - PerfRate[[#This Row],[SelfRating]]</f>
        <v>0</v>
      </c>
    </row>
    <row r="4140" spans="1:18">
      <c r="A4140" s="2" t="s">
        <v>8447</v>
      </c>
      <c r="B4140" s="2" t="s">
        <v>2119</v>
      </c>
      <c r="C4140" s="1">
        <v>44199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  <c r="L4140" s="2" t="s">
        <v>11030</v>
      </c>
      <c r="M4140" s="2" t="s">
        <v>11030</v>
      </c>
      <c r="N4140" s="2" t="s">
        <v>11035</v>
      </c>
      <c r="O4140" s="2" t="s">
        <v>11036</v>
      </c>
      <c r="P4140" s="2" t="s">
        <v>11037</v>
      </c>
      <c r="Q4140" s="2">
        <f>AVERAGE(PerfRate[[#This Row],[EnvironmentSatisfaction]],PerfRate[[#This Row],[JobSatisfaction]],PerfRate[[#This Row],[RelationshipSatisfaction]])</f>
        <v>3</v>
      </c>
      <c r="R4140" s="2">
        <f>PerfRate[[#This Row],[ManagerRating]] - PerfRate[[#This Row],[SelfRating]]</f>
        <v>0</v>
      </c>
    </row>
    <row r="4141" spans="1:18">
      <c r="A4141" s="2" t="s">
        <v>8448</v>
      </c>
      <c r="B4141" s="2" t="s">
        <v>1707</v>
      </c>
      <c r="C4141" s="1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  <c r="L4141" s="2" t="s">
        <v>11031</v>
      </c>
      <c r="M4141" s="2" t="s">
        <v>11031</v>
      </c>
      <c r="N4141" s="2" t="s">
        <v>11037</v>
      </c>
      <c r="O4141" s="2" t="s">
        <v>11035</v>
      </c>
      <c r="P4141" s="2" t="s">
        <v>11038</v>
      </c>
      <c r="Q4141" s="2">
        <f>AVERAGE(PerfRate[[#This Row],[EnvironmentSatisfaction]],PerfRate[[#This Row],[JobSatisfaction]],PerfRate[[#This Row],[RelationshipSatisfaction]])</f>
        <v>3.6666666666666665</v>
      </c>
      <c r="R4141" s="2">
        <f>PerfRate[[#This Row],[ManagerRating]] - PerfRate[[#This Row],[SelfRating]]</f>
        <v>0</v>
      </c>
    </row>
    <row r="4142" spans="1:18">
      <c r="A4142" s="2" t="s">
        <v>8449</v>
      </c>
      <c r="B4142" s="2" t="s">
        <v>673</v>
      </c>
      <c r="C4142" s="1">
        <v>44199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  <c r="L4142" s="2" t="s">
        <v>11030</v>
      </c>
      <c r="M4142" s="2" t="s">
        <v>11029</v>
      </c>
      <c r="N4142" s="2" t="s">
        <v>11037</v>
      </c>
      <c r="O4142" s="2" t="s">
        <v>11036</v>
      </c>
      <c r="P4142" s="2" t="s">
        <v>11036</v>
      </c>
      <c r="Q4142" s="2">
        <f>AVERAGE(PerfRate[[#This Row],[EnvironmentSatisfaction]],PerfRate[[#This Row],[JobSatisfaction]],PerfRate[[#This Row],[RelationshipSatisfaction]])</f>
        <v>3.3333333333333335</v>
      </c>
      <c r="R4142" s="2">
        <f>PerfRate[[#This Row],[ManagerRating]] - PerfRate[[#This Row],[SelfRating]]</f>
        <v>-1</v>
      </c>
    </row>
    <row r="4143" spans="1:18">
      <c r="A4143" s="2" t="s">
        <v>8450</v>
      </c>
      <c r="B4143" s="2" t="s">
        <v>1587</v>
      </c>
      <c r="C4143" s="1">
        <v>44199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  <c r="L4143" s="2" t="s">
        <v>11029</v>
      </c>
      <c r="M4143" s="2" t="s">
        <v>11029</v>
      </c>
      <c r="N4143" s="2" t="s">
        <v>11037</v>
      </c>
      <c r="O4143" s="2" t="s">
        <v>11035</v>
      </c>
      <c r="P4143" s="2" t="s">
        <v>11034</v>
      </c>
      <c r="Q4143" s="2">
        <f>AVERAGE(PerfRate[[#This Row],[EnvironmentSatisfaction]],PerfRate[[#This Row],[JobSatisfaction]],PerfRate[[#This Row],[RelationshipSatisfaction]])</f>
        <v>2.3333333333333335</v>
      </c>
      <c r="R4143" s="2">
        <f>PerfRate[[#This Row],[ManagerRating]] - PerfRate[[#This Row],[SelfRating]]</f>
        <v>0</v>
      </c>
    </row>
    <row r="4144" spans="1:18">
      <c r="A4144" s="2" t="s">
        <v>8451</v>
      </c>
      <c r="B4144" s="2" t="s">
        <v>2351</v>
      </c>
      <c r="C4144" s="1">
        <v>44230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  <c r="L4144" s="2" t="s">
        <v>11030</v>
      </c>
      <c r="M4144" s="2" t="s">
        <v>11029</v>
      </c>
      <c r="N4144" s="2" t="s">
        <v>11036</v>
      </c>
      <c r="O4144" s="2" t="s">
        <v>11036</v>
      </c>
      <c r="P4144" s="2" t="s">
        <v>11035</v>
      </c>
      <c r="Q4144" s="2">
        <f>AVERAGE(PerfRate[[#This Row],[EnvironmentSatisfaction]],PerfRate[[#This Row],[JobSatisfaction]],PerfRate[[#This Row],[RelationshipSatisfaction]])</f>
        <v>2.6666666666666665</v>
      </c>
      <c r="R4144" s="2">
        <f>PerfRate[[#This Row],[ManagerRating]] - PerfRate[[#This Row],[SelfRating]]</f>
        <v>-1</v>
      </c>
    </row>
    <row r="4145" spans="1:18">
      <c r="A4145" s="2" t="s">
        <v>8452</v>
      </c>
      <c r="B4145" s="2" t="s">
        <v>550</v>
      </c>
      <c r="C4145" s="1">
        <v>44230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  <c r="L4145" s="2" t="s">
        <v>11030</v>
      </c>
      <c r="M4145" s="2" t="s">
        <v>11030</v>
      </c>
      <c r="N4145" s="2" t="s">
        <v>11034</v>
      </c>
      <c r="O4145" s="2" t="s">
        <v>11035</v>
      </c>
      <c r="P4145" s="2" t="s">
        <v>11036</v>
      </c>
      <c r="Q4145" s="2">
        <f>AVERAGE(PerfRate[[#This Row],[EnvironmentSatisfaction]],PerfRate[[#This Row],[JobSatisfaction]],PerfRate[[#This Row],[RelationshipSatisfaction]])</f>
        <v>2</v>
      </c>
      <c r="R4145" s="2">
        <f>PerfRate[[#This Row],[ManagerRating]] - PerfRate[[#This Row],[SelfRating]]</f>
        <v>0</v>
      </c>
    </row>
    <row r="4146" spans="1:18">
      <c r="A4146" s="2" t="s">
        <v>8453</v>
      </c>
      <c r="B4146" s="2" t="s">
        <v>1704</v>
      </c>
      <c r="C4146" s="1">
        <v>44230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  <c r="L4146" s="2" t="s">
        <v>11030</v>
      </c>
      <c r="M4146" s="2" t="s">
        <v>11029</v>
      </c>
      <c r="N4146" s="2" t="s">
        <v>11036</v>
      </c>
      <c r="O4146" s="2" t="s">
        <v>11035</v>
      </c>
      <c r="P4146" s="2" t="s">
        <v>11035</v>
      </c>
      <c r="Q4146" s="2">
        <f>AVERAGE(PerfRate[[#This Row],[EnvironmentSatisfaction]],PerfRate[[#This Row],[JobSatisfaction]],PerfRate[[#This Row],[RelationshipSatisfaction]])</f>
        <v>2.3333333333333335</v>
      </c>
      <c r="R4146" s="2">
        <f>PerfRate[[#This Row],[ManagerRating]] - PerfRate[[#This Row],[SelfRating]]</f>
        <v>-1</v>
      </c>
    </row>
    <row r="4147" spans="1:18">
      <c r="A4147" s="2" t="s">
        <v>8454</v>
      </c>
      <c r="B4147" s="2" t="s">
        <v>341</v>
      </c>
      <c r="C4147" s="1">
        <v>44230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  <c r="L4147" s="2" t="s">
        <v>11029</v>
      </c>
      <c r="M4147" s="2" t="s">
        <v>11028</v>
      </c>
      <c r="N4147" s="2" t="s">
        <v>11037</v>
      </c>
      <c r="O4147" s="2" t="s">
        <v>11035</v>
      </c>
      <c r="P4147" s="2" t="s">
        <v>11036</v>
      </c>
      <c r="Q4147" s="2">
        <f>AVERAGE(PerfRate[[#This Row],[EnvironmentSatisfaction]],PerfRate[[#This Row],[JobSatisfaction]],PerfRate[[#This Row],[RelationshipSatisfaction]])</f>
        <v>3</v>
      </c>
      <c r="R4147" s="2">
        <f>PerfRate[[#This Row],[ManagerRating]] - PerfRate[[#This Row],[SelfRating]]</f>
        <v>-1</v>
      </c>
    </row>
    <row r="4148" spans="1:18">
      <c r="A4148" s="2" t="s">
        <v>8455</v>
      </c>
      <c r="B4148" s="2" t="s">
        <v>2395</v>
      </c>
      <c r="C4148" s="1">
        <v>44230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  <c r="L4148" s="2" t="s">
        <v>11031</v>
      </c>
      <c r="M4148" s="2" t="s">
        <v>11030</v>
      </c>
      <c r="N4148" s="2" t="s">
        <v>11037</v>
      </c>
      <c r="O4148" s="2" t="s">
        <v>11037</v>
      </c>
      <c r="P4148" s="2" t="s">
        <v>11038</v>
      </c>
      <c r="Q4148" s="2">
        <f>AVERAGE(PerfRate[[#This Row],[EnvironmentSatisfaction]],PerfRate[[#This Row],[JobSatisfaction]],PerfRate[[#This Row],[RelationshipSatisfaction]])</f>
        <v>4.333333333333333</v>
      </c>
      <c r="R4148" s="2">
        <f>PerfRate[[#This Row],[ManagerRating]] - PerfRate[[#This Row],[SelfRating]]</f>
        <v>-1</v>
      </c>
    </row>
    <row r="4149" spans="1:18">
      <c r="A4149" s="2" t="s">
        <v>8456</v>
      </c>
      <c r="B4149" s="2" t="s">
        <v>3676</v>
      </c>
      <c r="C4149" s="1">
        <v>44230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  <c r="L4149" s="2" t="s">
        <v>11030</v>
      </c>
      <c r="M4149" s="2" t="s">
        <v>11030</v>
      </c>
      <c r="N4149" s="2" t="s">
        <v>11038</v>
      </c>
      <c r="O4149" s="2" t="s">
        <v>11036</v>
      </c>
      <c r="P4149" s="2" t="s">
        <v>11036</v>
      </c>
      <c r="Q4149" s="2">
        <f>AVERAGE(PerfRate[[#This Row],[EnvironmentSatisfaction]],PerfRate[[#This Row],[JobSatisfaction]],PerfRate[[#This Row],[RelationshipSatisfaction]])</f>
        <v>3.6666666666666665</v>
      </c>
      <c r="R4149" s="2">
        <f>PerfRate[[#This Row],[ManagerRating]] - PerfRate[[#This Row],[SelfRating]]</f>
        <v>0</v>
      </c>
    </row>
    <row r="4150" spans="1:18">
      <c r="A4150" s="2" t="s">
        <v>8457</v>
      </c>
      <c r="B4150" s="2" t="s">
        <v>3457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  <c r="L4150" s="2" t="s">
        <v>11029</v>
      </c>
      <c r="M4150" s="2" t="s">
        <v>11028</v>
      </c>
      <c r="N4150" s="2" t="s">
        <v>11037</v>
      </c>
      <c r="O4150" s="2" t="s">
        <v>11038</v>
      </c>
      <c r="P4150" s="2" t="s">
        <v>11037</v>
      </c>
      <c r="Q4150" s="2">
        <f>AVERAGE(PerfRate[[#This Row],[EnvironmentSatisfaction]],PerfRate[[#This Row],[JobSatisfaction]],PerfRate[[#This Row],[RelationshipSatisfaction]])</f>
        <v>4.333333333333333</v>
      </c>
      <c r="R4150" s="2">
        <f>PerfRate[[#This Row],[ManagerRating]] - PerfRate[[#This Row],[SelfRating]]</f>
        <v>-1</v>
      </c>
    </row>
    <row r="4151" spans="1:18">
      <c r="A4151" s="2" t="s">
        <v>8458</v>
      </c>
      <c r="B4151" s="2" t="s">
        <v>2198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  <c r="L4151" s="2" t="s">
        <v>11031</v>
      </c>
      <c r="M4151" s="2" t="s">
        <v>11031</v>
      </c>
      <c r="N4151" s="2" t="s">
        <v>11037</v>
      </c>
      <c r="O4151" s="2" t="s">
        <v>11037</v>
      </c>
      <c r="P4151" s="2" t="s">
        <v>11038</v>
      </c>
      <c r="Q4151" s="2">
        <f>AVERAGE(PerfRate[[#This Row],[EnvironmentSatisfaction]],PerfRate[[#This Row],[JobSatisfaction]],PerfRate[[#This Row],[RelationshipSatisfaction]])</f>
        <v>4.333333333333333</v>
      </c>
      <c r="R4151" s="2">
        <f>PerfRate[[#This Row],[ManagerRating]] - PerfRate[[#This Row],[SelfRating]]</f>
        <v>0</v>
      </c>
    </row>
    <row r="4152" spans="1:18">
      <c r="A4152" s="2" t="s">
        <v>8459</v>
      </c>
      <c r="B4152" s="2" t="s">
        <v>705</v>
      </c>
      <c r="C4152" s="1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  <c r="L4152" s="2" t="s">
        <v>11029</v>
      </c>
      <c r="M4152" s="2" t="s">
        <v>11028</v>
      </c>
      <c r="N4152" s="2" t="s">
        <v>11038</v>
      </c>
      <c r="O4152" s="2" t="s">
        <v>11038</v>
      </c>
      <c r="P4152" s="2" t="s">
        <v>11036</v>
      </c>
      <c r="Q4152" s="2">
        <f>AVERAGE(PerfRate[[#This Row],[EnvironmentSatisfaction]],PerfRate[[#This Row],[JobSatisfaction]],PerfRate[[#This Row],[RelationshipSatisfaction]])</f>
        <v>4.333333333333333</v>
      </c>
      <c r="R4152" s="2">
        <f>PerfRate[[#This Row],[ManagerRating]] - PerfRate[[#This Row],[SelfRating]]</f>
        <v>-1</v>
      </c>
    </row>
    <row r="4153" spans="1:18">
      <c r="A4153" s="2" t="s">
        <v>8460</v>
      </c>
      <c r="B4153" s="2" t="s">
        <v>2775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  <c r="L4153" s="2" t="s">
        <v>11029</v>
      </c>
      <c r="M4153" s="2" t="s">
        <v>11029</v>
      </c>
      <c r="N4153" s="2" t="s">
        <v>11036</v>
      </c>
      <c r="O4153" s="2" t="s">
        <v>11038</v>
      </c>
      <c r="P4153" s="2" t="s">
        <v>11038</v>
      </c>
      <c r="Q4153" s="2">
        <f>AVERAGE(PerfRate[[#This Row],[EnvironmentSatisfaction]],PerfRate[[#This Row],[JobSatisfaction]],PerfRate[[#This Row],[RelationshipSatisfaction]])</f>
        <v>4.333333333333333</v>
      </c>
      <c r="R4153" s="2">
        <f>PerfRate[[#This Row],[ManagerRating]] - PerfRate[[#This Row],[SelfRating]]</f>
        <v>0</v>
      </c>
    </row>
    <row r="4154" spans="1:18">
      <c r="A4154" s="2" t="s">
        <v>8461</v>
      </c>
      <c r="B4154" s="2" t="s">
        <v>580</v>
      </c>
      <c r="C4154" s="1">
        <v>44289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  <c r="L4154" s="2" t="s">
        <v>11030</v>
      </c>
      <c r="M4154" s="2" t="s">
        <v>11030</v>
      </c>
      <c r="N4154" s="2" t="s">
        <v>11037</v>
      </c>
      <c r="O4154" s="2" t="s">
        <v>11037</v>
      </c>
      <c r="P4154" s="2" t="s">
        <v>11035</v>
      </c>
      <c r="Q4154" s="2">
        <f>AVERAGE(PerfRate[[#This Row],[EnvironmentSatisfaction]],PerfRate[[#This Row],[JobSatisfaction]],PerfRate[[#This Row],[RelationshipSatisfaction]])</f>
        <v>3.3333333333333335</v>
      </c>
      <c r="R4154" s="2">
        <f>PerfRate[[#This Row],[ManagerRating]] - PerfRate[[#This Row],[SelfRating]]</f>
        <v>0</v>
      </c>
    </row>
    <row r="4155" spans="1:18">
      <c r="A4155" s="2" t="s">
        <v>8462</v>
      </c>
      <c r="B4155" s="2" t="s">
        <v>1365</v>
      </c>
      <c r="C4155" s="1">
        <v>44289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  <c r="L4155" s="2" t="s">
        <v>11030</v>
      </c>
      <c r="M4155" s="2" t="s">
        <v>11029</v>
      </c>
      <c r="N4155" s="2" t="s">
        <v>11038</v>
      </c>
      <c r="O4155" s="2" t="s">
        <v>11037</v>
      </c>
      <c r="P4155" s="2" t="s">
        <v>11038</v>
      </c>
      <c r="Q4155" s="2">
        <f>AVERAGE(PerfRate[[#This Row],[EnvironmentSatisfaction]],PerfRate[[#This Row],[JobSatisfaction]],PerfRate[[#This Row],[RelationshipSatisfaction]])</f>
        <v>4.666666666666667</v>
      </c>
      <c r="R4155" s="2">
        <f>PerfRate[[#This Row],[ManagerRating]] - PerfRate[[#This Row],[SelfRating]]</f>
        <v>-1</v>
      </c>
    </row>
    <row r="4156" spans="1:18">
      <c r="A4156" s="2" t="s">
        <v>8463</v>
      </c>
      <c r="B4156" s="2" t="s">
        <v>347</v>
      </c>
      <c r="C4156" s="1">
        <v>44289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  <c r="L4156" s="2" t="s">
        <v>11029</v>
      </c>
      <c r="M4156" s="2" t="s">
        <v>11028</v>
      </c>
      <c r="N4156" s="2" t="s">
        <v>11038</v>
      </c>
      <c r="O4156" s="2" t="s">
        <v>11036</v>
      </c>
      <c r="P4156" s="2" t="s">
        <v>11036</v>
      </c>
      <c r="Q4156" s="2">
        <f>AVERAGE(PerfRate[[#This Row],[EnvironmentSatisfaction]],PerfRate[[#This Row],[JobSatisfaction]],PerfRate[[#This Row],[RelationshipSatisfaction]])</f>
        <v>3.6666666666666665</v>
      </c>
      <c r="R4156" s="2">
        <f>PerfRate[[#This Row],[ManagerRating]] - PerfRate[[#This Row],[SelfRating]]</f>
        <v>-1</v>
      </c>
    </row>
    <row r="4157" spans="1:18">
      <c r="A4157" s="2" t="s">
        <v>8464</v>
      </c>
      <c r="B4157" s="2" t="s">
        <v>470</v>
      </c>
      <c r="C4157" s="1">
        <v>44289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  <c r="L4157" s="2" t="s">
        <v>11031</v>
      </c>
      <c r="M4157" s="2" t="s">
        <v>11030</v>
      </c>
      <c r="N4157" s="2" t="s">
        <v>11038</v>
      </c>
      <c r="O4157" s="2" t="s">
        <v>11037</v>
      </c>
      <c r="P4157" s="2" t="s">
        <v>11036</v>
      </c>
      <c r="Q4157" s="2">
        <f>AVERAGE(PerfRate[[#This Row],[EnvironmentSatisfaction]],PerfRate[[#This Row],[JobSatisfaction]],PerfRate[[#This Row],[RelationshipSatisfaction]])</f>
        <v>4</v>
      </c>
      <c r="R4157" s="2">
        <f>PerfRate[[#This Row],[ManagerRating]] - PerfRate[[#This Row],[SelfRating]]</f>
        <v>-1</v>
      </c>
    </row>
    <row r="4158" spans="1:18">
      <c r="A4158" s="2" t="s">
        <v>8465</v>
      </c>
      <c r="B4158" s="2" t="s">
        <v>1491</v>
      </c>
      <c r="C4158" s="1">
        <v>44289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  <c r="L4158" s="2" t="s">
        <v>11029</v>
      </c>
      <c r="M4158" s="2" t="s">
        <v>11029</v>
      </c>
      <c r="N4158" s="2" t="s">
        <v>11037</v>
      </c>
      <c r="O4158" s="2" t="s">
        <v>11038</v>
      </c>
      <c r="P4158" s="2" t="s">
        <v>11035</v>
      </c>
      <c r="Q4158" s="2">
        <f>AVERAGE(PerfRate[[#This Row],[EnvironmentSatisfaction]],PerfRate[[#This Row],[JobSatisfaction]],PerfRate[[#This Row],[RelationshipSatisfaction]])</f>
        <v>3.6666666666666665</v>
      </c>
      <c r="R4158" s="2">
        <f>PerfRate[[#This Row],[ManagerRating]] - PerfRate[[#This Row],[SelfRating]]</f>
        <v>0</v>
      </c>
    </row>
    <row r="4159" spans="1:18">
      <c r="A4159" s="2" t="s">
        <v>8466</v>
      </c>
      <c r="B4159" s="2" t="s">
        <v>2287</v>
      </c>
      <c r="C4159" s="1">
        <v>44289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  <c r="L4159" s="2" t="s">
        <v>11031</v>
      </c>
      <c r="M4159" s="2" t="s">
        <v>11030</v>
      </c>
      <c r="N4159" s="2" t="s">
        <v>11036</v>
      </c>
      <c r="O4159" s="2" t="s">
        <v>11036</v>
      </c>
      <c r="P4159" s="2" t="s">
        <v>11037</v>
      </c>
      <c r="Q4159" s="2">
        <f>AVERAGE(PerfRate[[#This Row],[EnvironmentSatisfaction]],PerfRate[[#This Row],[JobSatisfaction]],PerfRate[[#This Row],[RelationshipSatisfaction]])</f>
        <v>3.3333333333333335</v>
      </c>
      <c r="R4159" s="2">
        <f>PerfRate[[#This Row],[ManagerRating]] - PerfRate[[#This Row],[SelfRating]]</f>
        <v>-1</v>
      </c>
    </row>
    <row r="4160" spans="1:18">
      <c r="A4160" s="2" t="s">
        <v>8467</v>
      </c>
      <c r="B4160" s="2" t="s">
        <v>407</v>
      </c>
      <c r="C4160" s="1">
        <v>44319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  <c r="L4160" s="2" t="s">
        <v>11029</v>
      </c>
      <c r="M4160" s="2" t="s">
        <v>11028</v>
      </c>
      <c r="N4160" s="2" t="s">
        <v>11038</v>
      </c>
      <c r="O4160" s="2" t="s">
        <v>11038</v>
      </c>
      <c r="P4160" s="2" t="s">
        <v>11038</v>
      </c>
      <c r="Q4160" s="2">
        <f>AVERAGE(PerfRate[[#This Row],[EnvironmentSatisfaction]],PerfRate[[#This Row],[JobSatisfaction]],PerfRate[[#This Row],[RelationshipSatisfaction]])</f>
        <v>5</v>
      </c>
      <c r="R4160" s="2">
        <f>PerfRate[[#This Row],[ManagerRating]] - PerfRate[[#This Row],[SelfRating]]</f>
        <v>-1</v>
      </c>
    </row>
    <row r="4161" spans="1:18">
      <c r="A4161" s="2" t="s">
        <v>8468</v>
      </c>
      <c r="B4161" s="2" t="s">
        <v>1082</v>
      </c>
      <c r="C4161" s="1">
        <v>44319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  <c r="L4161" s="2" t="s">
        <v>11030</v>
      </c>
      <c r="M4161" s="2" t="s">
        <v>11029</v>
      </c>
      <c r="N4161" s="2" t="s">
        <v>11037</v>
      </c>
      <c r="O4161" s="2" t="s">
        <v>11035</v>
      </c>
      <c r="P4161" s="2" t="s">
        <v>11035</v>
      </c>
      <c r="Q4161" s="2">
        <f>AVERAGE(PerfRate[[#This Row],[EnvironmentSatisfaction]],PerfRate[[#This Row],[JobSatisfaction]],PerfRate[[#This Row],[RelationshipSatisfaction]])</f>
        <v>2.6666666666666665</v>
      </c>
      <c r="R4161" s="2">
        <f>PerfRate[[#This Row],[ManagerRating]] - PerfRate[[#This Row],[SelfRating]]</f>
        <v>-1</v>
      </c>
    </row>
    <row r="4162" spans="1:18">
      <c r="A4162" s="2" t="s">
        <v>8469</v>
      </c>
      <c r="B4162" s="2" t="s">
        <v>2879</v>
      </c>
      <c r="C4162" s="1">
        <v>44319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  <c r="L4162" s="2" t="s">
        <v>11031</v>
      </c>
      <c r="M4162" s="2" t="s">
        <v>11030</v>
      </c>
      <c r="N4162" s="2" t="s">
        <v>11038</v>
      </c>
      <c r="O4162" s="2" t="s">
        <v>11035</v>
      </c>
      <c r="P4162" s="2" t="s">
        <v>11035</v>
      </c>
      <c r="Q4162" s="2">
        <f>AVERAGE(PerfRate[[#This Row],[EnvironmentSatisfaction]],PerfRate[[#This Row],[JobSatisfaction]],PerfRate[[#This Row],[RelationshipSatisfaction]])</f>
        <v>3</v>
      </c>
      <c r="R4162" s="2">
        <f>PerfRate[[#This Row],[ManagerRating]] - PerfRate[[#This Row],[SelfRating]]</f>
        <v>-1</v>
      </c>
    </row>
    <row r="4163" spans="1:18">
      <c r="A4163" s="2" t="s">
        <v>8470</v>
      </c>
      <c r="B4163" s="2" t="s">
        <v>1252</v>
      </c>
      <c r="C4163" s="1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  <c r="L4163" s="2" t="s">
        <v>11030</v>
      </c>
      <c r="M4163" s="2" t="s">
        <v>11030</v>
      </c>
      <c r="N4163" s="2" t="s">
        <v>11036</v>
      </c>
      <c r="O4163" s="2" t="s">
        <v>11038</v>
      </c>
      <c r="P4163" s="2" t="s">
        <v>11037</v>
      </c>
      <c r="Q4163" s="2">
        <f>AVERAGE(PerfRate[[#This Row],[EnvironmentSatisfaction]],PerfRate[[#This Row],[JobSatisfaction]],PerfRate[[#This Row],[RelationshipSatisfaction]])</f>
        <v>4</v>
      </c>
      <c r="R4163" s="2">
        <f>PerfRate[[#This Row],[ManagerRating]] - PerfRate[[#This Row],[SelfRating]]</f>
        <v>0</v>
      </c>
    </row>
    <row r="4164" spans="1:18">
      <c r="A4164" s="2" t="s">
        <v>8471</v>
      </c>
      <c r="B4164" s="2" t="s">
        <v>1652</v>
      </c>
      <c r="C4164" s="1">
        <v>44319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  <c r="L4164" s="2" t="s">
        <v>11030</v>
      </c>
      <c r="M4164" s="2" t="s">
        <v>11030</v>
      </c>
      <c r="N4164" s="2" t="s">
        <v>11038</v>
      </c>
      <c r="O4164" s="2" t="s">
        <v>11038</v>
      </c>
      <c r="P4164" s="2" t="s">
        <v>11036</v>
      </c>
      <c r="Q4164" s="2">
        <f>AVERAGE(PerfRate[[#This Row],[EnvironmentSatisfaction]],PerfRate[[#This Row],[JobSatisfaction]],PerfRate[[#This Row],[RelationshipSatisfaction]])</f>
        <v>4.333333333333333</v>
      </c>
      <c r="R4164" s="2">
        <f>PerfRate[[#This Row],[ManagerRating]] - PerfRate[[#This Row],[SelfRating]]</f>
        <v>0</v>
      </c>
    </row>
    <row r="4165" spans="1:18">
      <c r="A4165" s="2" t="s">
        <v>8472</v>
      </c>
      <c r="B4165" s="2" t="s">
        <v>2077</v>
      </c>
      <c r="C4165" s="1">
        <v>44319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  <c r="L4165" s="2" t="s">
        <v>11031</v>
      </c>
      <c r="M4165" s="2" t="s">
        <v>11031</v>
      </c>
      <c r="N4165" s="2" t="s">
        <v>11038</v>
      </c>
      <c r="O4165" s="2" t="s">
        <v>11036</v>
      </c>
      <c r="P4165" s="2" t="s">
        <v>11036</v>
      </c>
      <c r="Q4165" s="2">
        <f>AVERAGE(PerfRate[[#This Row],[EnvironmentSatisfaction]],PerfRate[[#This Row],[JobSatisfaction]],PerfRate[[#This Row],[RelationshipSatisfaction]])</f>
        <v>3.6666666666666665</v>
      </c>
      <c r="R4165" s="2">
        <f>PerfRate[[#This Row],[ManagerRating]] - PerfRate[[#This Row],[SelfRating]]</f>
        <v>0</v>
      </c>
    </row>
    <row r="4166" spans="1:18">
      <c r="A4166" s="2" t="s">
        <v>8473</v>
      </c>
      <c r="B4166" s="2" t="s">
        <v>2478</v>
      </c>
      <c r="C4166" s="1">
        <v>44319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  <c r="L4166" s="2" t="s">
        <v>11029</v>
      </c>
      <c r="M4166" s="2" t="s">
        <v>11028</v>
      </c>
      <c r="N4166" s="2" t="s">
        <v>11036</v>
      </c>
      <c r="O4166" s="2" t="s">
        <v>11034</v>
      </c>
      <c r="P4166" s="2" t="s">
        <v>11037</v>
      </c>
      <c r="Q4166" s="2">
        <f>AVERAGE(PerfRate[[#This Row],[EnvironmentSatisfaction]],PerfRate[[#This Row],[JobSatisfaction]],PerfRate[[#This Row],[RelationshipSatisfaction]])</f>
        <v>2.6666666666666665</v>
      </c>
      <c r="R4166" s="2">
        <f>PerfRate[[#This Row],[ManagerRating]] - PerfRate[[#This Row],[SelfRating]]</f>
        <v>-1</v>
      </c>
    </row>
    <row r="4167" spans="1:18">
      <c r="A4167" s="2" t="s">
        <v>8474</v>
      </c>
      <c r="B4167" s="2" t="s">
        <v>838</v>
      </c>
      <c r="C4167" s="1">
        <v>44350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  <c r="L4167" s="2" t="s">
        <v>11029</v>
      </c>
      <c r="M4167" s="2" t="s">
        <v>11028</v>
      </c>
      <c r="N4167" s="2" t="s">
        <v>11036</v>
      </c>
      <c r="O4167" s="2" t="s">
        <v>11034</v>
      </c>
      <c r="P4167" s="2" t="s">
        <v>11035</v>
      </c>
      <c r="Q4167" s="2">
        <f>AVERAGE(PerfRate[[#This Row],[EnvironmentSatisfaction]],PerfRate[[#This Row],[JobSatisfaction]],PerfRate[[#This Row],[RelationshipSatisfaction]])</f>
        <v>2</v>
      </c>
      <c r="R4167" s="2">
        <f>PerfRate[[#This Row],[ManagerRating]] - PerfRate[[#This Row],[SelfRating]]</f>
        <v>-1</v>
      </c>
    </row>
    <row r="4168" spans="1:18">
      <c r="A4168" s="2" t="s">
        <v>8475</v>
      </c>
      <c r="B4168" s="2" t="s">
        <v>1674</v>
      </c>
      <c r="C4168" s="1">
        <v>44350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  <c r="L4168" s="2" t="s">
        <v>11031</v>
      </c>
      <c r="M4168" s="2" t="s">
        <v>11031</v>
      </c>
      <c r="N4168" s="2" t="s">
        <v>11036</v>
      </c>
      <c r="O4168" s="2" t="s">
        <v>11037</v>
      </c>
      <c r="P4168" s="2" t="s">
        <v>11035</v>
      </c>
      <c r="Q4168" s="2">
        <f>AVERAGE(PerfRate[[#This Row],[EnvironmentSatisfaction]],PerfRate[[#This Row],[JobSatisfaction]],PerfRate[[#This Row],[RelationshipSatisfaction]])</f>
        <v>3</v>
      </c>
      <c r="R4168" s="2">
        <f>PerfRate[[#This Row],[ManagerRating]] - PerfRate[[#This Row],[SelfRating]]</f>
        <v>0</v>
      </c>
    </row>
    <row r="4169" spans="1:18">
      <c r="A4169" s="2" t="s">
        <v>8476</v>
      </c>
      <c r="B4169" s="2" t="s">
        <v>86</v>
      </c>
      <c r="C4169" s="1">
        <v>44350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  <c r="L4169" s="2" t="s">
        <v>11031</v>
      </c>
      <c r="M4169" s="2" t="s">
        <v>11031</v>
      </c>
      <c r="N4169" s="2" t="s">
        <v>11034</v>
      </c>
      <c r="O4169" s="2" t="s">
        <v>11036</v>
      </c>
      <c r="P4169" s="2" t="s">
        <v>11037</v>
      </c>
      <c r="Q4169" s="2">
        <f>AVERAGE(PerfRate[[#This Row],[EnvironmentSatisfaction]],PerfRate[[#This Row],[JobSatisfaction]],PerfRate[[#This Row],[RelationshipSatisfaction]])</f>
        <v>2.6666666666666665</v>
      </c>
      <c r="R4169" s="2">
        <f>PerfRate[[#This Row],[ManagerRating]] - PerfRate[[#This Row],[SelfRating]]</f>
        <v>0</v>
      </c>
    </row>
    <row r="4170" spans="1:18">
      <c r="A4170" s="2" t="s">
        <v>8477</v>
      </c>
      <c r="B4170" s="2" t="s">
        <v>4183</v>
      </c>
      <c r="C4170" s="1">
        <v>44350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  <c r="L4170" s="2" t="s">
        <v>11031</v>
      </c>
      <c r="M4170" s="2" t="s">
        <v>11031</v>
      </c>
      <c r="N4170" s="2" t="s">
        <v>11034</v>
      </c>
      <c r="O4170" s="2" t="s">
        <v>11035</v>
      </c>
      <c r="P4170" s="2" t="s">
        <v>11037</v>
      </c>
      <c r="Q4170" s="2">
        <f>AVERAGE(PerfRate[[#This Row],[EnvironmentSatisfaction]],PerfRate[[#This Row],[JobSatisfaction]],PerfRate[[#This Row],[RelationshipSatisfaction]])</f>
        <v>2.3333333333333335</v>
      </c>
      <c r="R4170" s="2">
        <f>PerfRate[[#This Row],[ManagerRating]] - PerfRate[[#This Row],[SelfRating]]</f>
        <v>0</v>
      </c>
    </row>
    <row r="4171" spans="1:18">
      <c r="A4171" s="2" t="s">
        <v>8478</v>
      </c>
      <c r="B4171" s="2" t="s">
        <v>2222</v>
      </c>
      <c r="C4171" s="1">
        <v>44350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  <c r="L4171" s="2" t="s">
        <v>11029</v>
      </c>
      <c r="M4171" s="2" t="s">
        <v>11029</v>
      </c>
      <c r="N4171" s="2" t="s">
        <v>11035</v>
      </c>
      <c r="O4171" s="2" t="s">
        <v>11037</v>
      </c>
      <c r="P4171" s="2" t="s">
        <v>11037</v>
      </c>
      <c r="Q4171" s="2">
        <f>AVERAGE(PerfRate[[#This Row],[EnvironmentSatisfaction]],PerfRate[[#This Row],[JobSatisfaction]],PerfRate[[#This Row],[RelationshipSatisfaction]])</f>
        <v>3.3333333333333335</v>
      </c>
      <c r="R4171" s="2">
        <f>PerfRate[[#This Row],[ManagerRating]] - PerfRate[[#This Row],[SelfRating]]</f>
        <v>0</v>
      </c>
    </row>
    <row r="4172" spans="1:18">
      <c r="A4172" s="2" t="s">
        <v>8479</v>
      </c>
      <c r="B4172" s="2" t="s">
        <v>3025</v>
      </c>
      <c r="C4172" s="1">
        <v>44350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  <c r="L4172" s="2" t="s">
        <v>11030</v>
      </c>
      <c r="M4172" s="2" t="s">
        <v>11029</v>
      </c>
      <c r="N4172" s="2" t="s">
        <v>11036</v>
      </c>
      <c r="O4172" s="2" t="s">
        <v>11035</v>
      </c>
      <c r="P4172" s="2" t="s">
        <v>11038</v>
      </c>
      <c r="Q4172" s="2">
        <f>AVERAGE(PerfRate[[#This Row],[EnvironmentSatisfaction]],PerfRate[[#This Row],[JobSatisfaction]],PerfRate[[#This Row],[RelationshipSatisfaction]])</f>
        <v>3.3333333333333335</v>
      </c>
      <c r="R4172" s="2">
        <f>PerfRate[[#This Row],[ManagerRating]] - PerfRate[[#This Row],[SelfRating]]</f>
        <v>-1</v>
      </c>
    </row>
    <row r="4173" spans="1:18">
      <c r="A4173" s="2" t="s">
        <v>8480</v>
      </c>
      <c r="B4173" s="2" t="s">
        <v>1359</v>
      </c>
      <c r="C4173" s="1">
        <v>44380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  <c r="L4173" s="2" t="s">
        <v>11029</v>
      </c>
      <c r="M4173" s="2" t="s">
        <v>11028</v>
      </c>
      <c r="N4173" s="2" t="s">
        <v>11036</v>
      </c>
      <c r="O4173" s="2" t="s">
        <v>11037</v>
      </c>
      <c r="P4173" s="2" t="s">
        <v>11036</v>
      </c>
      <c r="Q4173" s="2">
        <f>AVERAGE(PerfRate[[#This Row],[EnvironmentSatisfaction]],PerfRate[[#This Row],[JobSatisfaction]],PerfRate[[#This Row],[RelationshipSatisfaction]])</f>
        <v>3.3333333333333335</v>
      </c>
      <c r="R4173" s="2">
        <f>PerfRate[[#This Row],[ManagerRating]] - PerfRate[[#This Row],[SelfRating]]</f>
        <v>-1</v>
      </c>
    </row>
    <row r="4174" spans="1:18">
      <c r="A4174" s="2" t="s">
        <v>8481</v>
      </c>
      <c r="B4174" s="2" t="s">
        <v>3995</v>
      </c>
      <c r="C4174" s="1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  <c r="L4174" s="2" t="s">
        <v>11029</v>
      </c>
      <c r="M4174" s="2" t="s">
        <v>11029</v>
      </c>
      <c r="N4174" s="2" t="s">
        <v>11036</v>
      </c>
      <c r="O4174" s="2" t="s">
        <v>11036</v>
      </c>
      <c r="P4174" s="2" t="s">
        <v>11037</v>
      </c>
      <c r="Q4174" s="2">
        <f>AVERAGE(PerfRate[[#This Row],[EnvironmentSatisfaction]],PerfRate[[#This Row],[JobSatisfaction]],PerfRate[[#This Row],[RelationshipSatisfaction]])</f>
        <v>3.3333333333333335</v>
      </c>
      <c r="R4174" s="2">
        <f>PerfRate[[#This Row],[ManagerRating]] - PerfRate[[#This Row],[SelfRating]]</f>
        <v>0</v>
      </c>
    </row>
    <row r="4175" spans="1:18">
      <c r="A4175" s="2" t="s">
        <v>8482</v>
      </c>
      <c r="B4175" s="2" t="s">
        <v>800</v>
      </c>
      <c r="C4175" s="1">
        <v>44411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  <c r="L4175" s="2" t="s">
        <v>11029</v>
      </c>
      <c r="M4175" s="2" t="s">
        <v>11028</v>
      </c>
      <c r="N4175" s="2" t="s">
        <v>11037</v>
      </c>
      <c r="O4175" s="2" t="s">
        <v>11035</v>
      </c>
      <c r="P4175" s="2" t="s">
        <v>11038</v>
      </c>
      <c r="Q4175" s="2">
        <f>AVERAGE(PerfRate[[#This Row],[EnvironmentSatisfaction]],PerfRate[[#This Row],[JobSatisfaction]],PerfRate[[#This Row],[RelationshipSatisfaction]])</f>
        <v>3.6666666666666665</v>
      </c>
      <c r="R4175" s="2">
        <f>PerfRate[[#This Row],[ManagerRating]] - PerfRate[[#This Row],[SelfRating]]</f>
        <v>-1</v>
      </c>
    </row>
    <row r="4176" spans="1:18">
      <c r="A4176" s="2" t="s">
        <v>8483</v>
      </c>
      <c r="B4176" s="2" t="s">
        <v>192</v>
      </c>
      <c r="C4176" s="1">
        <v>44411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  <c r="L4176" s="2" t="s">
        <v>11031</v>
      </c>
      <c r="M4176" s="2" t="s">
        <v>11031</v>
      </c>
      <c r="N4176" s="2" t="s">
        <v>11038</v>
      </c>
      <c r="O4176" s="2" t="s">
        <v>11036</v>
      </c>
      <c r="P4176" s="2" t="s">
        <v>11036</v>
      </c>
      <c r="Q4176" s="2">
        <f>AVERAGE(PerfRate[[#This Row],[EnvironmentSatisfaction]],PerfRate[[#This Row],[JobSatisfaction]],PerfRate[[#This Row],[RelationshipSatisfaction]])</f>
        <v>3.6666666666666665</v>
      </c>
      <c r="R4176" s="2">
        <f>PerfRate[[#This Row],[ManagerRating]] - PerfRate[[#This Row],[SelfRating]]</f>
        <v>0</v>
      </c>
    </row>
    <row r="4177" spans="1:18">
      <c r="A4177" s="2" t="s">
        <v>8484</v>
      </c>
      <c r="B4177" s="2" t="s">
        <v>571</v>
      </c>
      <c r="C4177" s="1">
        <v>44411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  <c r="L4177" s="2" t="s">
        <v>11031</v>
      </c>
      <c r="M4177" s="2" t="s">
        <v>11030</v>
      </c>
      <c r="N4177" s="2" t="s">
        <v>11038</v>
      </c>
      <c r="O4177" s="2" t="s">
        <v>11035</v>
      </c>
      <c r="P4177" s="2" t="s">
        <v>11035</v>
      </c>
      <c r="Q4177" s="2">
        <f>AVERAGE(PerfRate[[#This Row],[EnvironmentSatisfaction]],PerfRate[[#This Row],[JobSatisfaction]],PerfRate[[#This Row],[RelationshipSatisfaction]])</f>
        <v>3</v>
      </c>
      <c r="R4177" s="2">
        <f>PerfRate[[#This Row],[ManagerRating]] - PerfRate[[#This Row],[SelfRating]]</f>
        <v>-1</v>
      </c>
    </row>
    <row r="4178" spans="1:18">
      <c r="A4178" s="2" t="s">
        <v>8485</v>
      </c>
      <c r="B4178" s="2" t="s">
        <v>2762</v>
      </c>
      <c r="C4178" s="1">
        <v>44411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  <c r="L4178" s="2" t="s">
        <v>11029</v>
      </c>
      <c r="M4178" s="2" t="s">
        <v>11029</v>
      </c>
      <c r="N4178" s="2" t="s">
        <v>11036</v>
      </c>
      <c r="O4178" s="2" t="s">
        <v>11037</v>
      </c>
      <c r="P4178" s="2" t="s">
        <v>11036</v>
      </c>
      <c r="Q4178" s="2">
        <f>AVERAGE(PerfRate[[#This Row],[EnvironmentSatisfaction]],PerfRate[[#This Row],[JobSatisfaction]],PerfRate[[#This Row],[RelationshipSatisfaction]])</f>
        <v>3.3333333333333335</v>
      </c>
      <c r="R4178" s="2">
        <f>PerfRate[[#This Row],[ManagerRating]] - PerfRate[[#This Row],[SelfRating]]</f>
        <v>0</v>
      </c>
    </row>
    <row r="4179" spans="1:18">
      <c r="A4179" s="2" t="s">
        <v>8486</v>
      </c>
      <c r="B4179" s="2" t="s">
        <v>4236</v>
      </c>
      <c r="C4179" s="1">
        <v>44442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  <c r="L4179" s="2" t="s">
        <v>11030</v>
      </c>
      <c r="M4179" s="2" t="s">
        <v>11030</v>
      </c>
      <c r="N4179" s="2" t="s">
        <v>11036</v>
      </c>
      <c r="O4179" s="2" t="s">
        <v>11037</v>
      </c>
      <c r="P4179" s="2" t="s">
        <v>11037</v>
      </c>
      <c r="Q4179" s="2">
        <f>AVERAGE(PerfRate[[#This Row],[EnvironmentSatisfaction]],PerfRate[[#This Row],[JobSatisfaction]],PerfRate[[#This Row],[RelationshipSatisfaction]])</f>
        <v>3.6666666666666665</v>
      </c>
      <c r="R4179" s="2">
        <f>PerfRate[[#This Row],[ManagerRating]] - PerfRate[[#This Row],[SelfRating]]</f>
        <v>0</v>
      </c>
    </row>
    <row r="4180" spans="1:18">
      <c r="A4180" s="2" t="s">
        <v>8487</v>
      </c>
      <c r="B4180" s="2" t="s">
        <v>2566</v>
      </c>
      <c r="C4180" s="1">
        <v>44442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  <c r="L4180" s="2" t="s">
        <v>11030</v>
      </c>
      <c r="M4180" s="2" t="s">
        <v>11029</v>
      </c>
      <c r="N4180" s="2" t="s">
        <v>11037</v>
      </c>
      <c r="O4180" s="2" t="s">
        <v>11038</v>
      </c>
      <c r="P4180" s="2" t="s">
        <v>11037</v>
      </c>
      <c r="Q4180" s="2">
        <f>AVERAGE(PerfRate[[#This Row],[EnvironmentSatisfaction]],PerfRate[[#This Row],[JobSatisfaction]],PerfRate[[#This Row],[RelationshipSatisfaction]])</f>
        <v>4.333333333333333</v>
      </c>
      <c r="R4180" s="2">
        <f>PerfRate[[#This Row],[ManagerRating]] - PerfRate[[#This Row],[SelfRating]]</f>
        <v>-1</v>
      </c>
    </row>
    <row r="4181" spans="1:18">
      <c r="A4181" s="2" t="s">
        <v>8488</v>
      </c>
      <c r="B4181" s="2" t="s">
        <v>2678</v>
      </c>
      <c r="C4181" s="1">
        <v>44442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  <c r="L4181" s="2" t="s">
        <v>11029</v>
      </c>
      <c r="M4181" s="2" t="s">
        <v>11028</v>
      </c>
      <c r="N4181" s="2" t="s">
        <v>11037</v>
      </c>
      <c r="O4181" s="2" t="s">
        <v>11036</v>
      </c>
      <c r="P4181" s="2" t="s">
        <v>11036</v>
      </c>
      <c r="Q4181" s="2">
        <f>AVERAGE(PerfRate[[#This Row],[EnvironmentSatisfaction]],PerfRate[[#This Row],[JobSatisfaction]],PerfRate[[#This Row],[RelationshipSatisfaction]])</f>
        <v>3.3333333333333335</v>
      </c>
      <c r="R4181" s="2">
        <f>PerfRate[[#This Row],[ManagerRating]] - PerfRate[[#This Row],[SelfRating]]</f>
        <v>-1</v>
      </c>
    </row>
    <row r="4182" spans="1:18">
      <c r="A4182" s="2" t="s">
        <v>8489</v>
      </c>
      <c r="B4182" s="2" t="s">
        <v>1939</v>
      </c>
      <c r="C4182" s="1">
        <v>44472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  <c r="L4182" s="2" t="s">
        <v>11030</v>
      </c>
      <c r="M4182" s="2" t="s">
        <v>11030</v>
      </c>
      <c r="N4182" s="2" t="s">
        <v>11038</v>
      </c>
      <c r="O4182" s="2" t="s">
        <v>11035</v>
      </c>
      <c r="P4182" s="2" t="s">
        <v>11038</v>
      </c>
      <c r="Q4182" s="2">
        <f>AVERAGE(PerfRate[[#This Row],[EnvironmentSatisfaction]],PerfRate[[#This Row],[JobSatisfaction]],PerfRate[[#This Row],[RelationshipSatisfaction]])</f>
        <v>4</v>
      </c>
      <c r="R4182" s="2">
        <f>PerfRate[[#This Row],[ManagerRating]] - PerfRate[[#This Row],[SelfRating]]</f>
        <v>0</v>
      </c>
    </row>
    <row r="4183" spans="1:18">
      <c r="A4183" s="2" t="s">
        <v>8490</v>
      </c>
      <c r="B4183" s="2" t="s">
        <v>3425</v>
      </c>
      <c r="C4183" s="1">
        <v>44472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  <c r="L4183" s="2" t="s">
        <v>11031</v>
      </c>
      <c r="M4183" s="2" t="s">
        <v>11031</v>
      </c>
      <c r="N4183" s="2" t="s">
        <v>11037</v>
      </c>
      <c r="O4183" s="2" t="s">
        <v>11038</v>
      </c>
      <c r="P4183" s="2" t="s">
        <v>11038</v>
      </c>
      <c r="Q4183" s="2">
        <f>AVERAGE(PerfRate[[#This Row],[EnvironmentSatisfaction]],PerfRate[[#This Row],[JobSatisfaction]],PerfRate[[#This Row],[RelationshipSatisfaction]])</f>
        <v>4.666666666666667</v>
      </c>
      <c r="R4183" s="2">
        <f>PerfRate[[#This Row],[ManagerRating]] - PerfRate[[#This Row],[SelfRating]]</f>
        <v>0</v>
      </c>
    </row>
    <row r="4184" spans="1:18">
      <c r="A4184" s="2" t="s">
        <v>8491</v>
      </c>
      <c r="B4184" s="2" t="s">
        <v>2387</v>
      </c>
      <c r="C4184" s="1">
        <v>44472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  <c r="L4184" s="2" t="s">
        <v>11030</v>
      </c>
      <c r="M4184" s="2" t="s">
        <v>11030</v>
      </c>
      <c r="N4184" s="2" t="s">
        <v>11037</v>
      </c>
      <c r="O4184" s="2" t="s">
        <v>11038</v>
      </c>
      <c r="P4184" s="2" t="s">
        <v>11037</v>
      </c>
      <c r="Q4184" s="2">
        <f>AVERAGE(PerfRate[[#This Row],[EnvironmentSatisfaction]],PerfRate[[#This Row],[JobSatisfaction]],PerfRate[[#This Row],[RelationshipSatisfaction]])</f>
        <v>4.333333333333333</v>
      </c>
      <c r="R4184" s="2">
        <f>PerfRate[[#This Row],[ManagerRating]] - PerfRate[[#This Row],[SelfRating]]</f>
        <v>0</v>
      </c>
    </row>
    <row r="4185" spans="1:18">
      <c r="A4185" s="2" t="s">
        <v>8492</v>
      </c>
      <c r="B4185" s="2" t="s">
        <v>1886</v>
      </c>
      <c r="C4185" s="1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  <c r="L4185" s="2" t="s">
        <v>11030</v>
      </c>
      <c r="M4185" s="2" t="s">
        <v>11030</v>
      </c>
      <c r="N4185" s="2" t="s">
        <v>11036</v>
      </c>
      <c r="O4185" s="2" t="s">
        <v>11038</v>
      </c>
      <c r="P4185" s="2" t="s">
        <v>11036</v>
      </c>
      <c r="Q4185" s="2">
        <f>AVERAGE(PerfRate[[#This Row],[EnvironmentSatisfaction]],PerfRate[[#This Row],[JobSatisfaction]],PerfRate[[#This Row],[RelationshipSatisfaction]])</f>
        <v>3.6666666666666665</v>
      </c>
      <c r="R4185" s="2">
        <f>PerfRate[[#This Row],[ManagerRating]] - PerfRate[[#This Row],[SelfRating]]</f>
        <v>0</v>
      </c>
    </row>
    <row r="4186" spans="1:18">
      <c r="A4186" s="2" t="s">
        <v>8493</v>
      </c>
      <c r="B4186" s="2" t="s">
        <v>365</v>
      </c>
      <c r="C4186" s="1">
        <v>44533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  <c r="L4186" s="2" t="s">
        <v>11031</v>
      </c>
      <c r="M4186" s="2" t="s">
        <v>11031</v>
      </c>
      <c r="N4186" s="2" t="s">
        <v>11036</v>
      </c>
      <c r="O4186" s="2" t="s">
        <v>11037</v>
      </c>
      <c r="P4186" s="2" t="s">
        <v>11038</v>
      </c>
      <c r="Q4186" s="2">
        <f>AVERAGE(PerfRate[[#This Row],[EnvironmentSatisfaction]],PerfRate[[#This Row],[JobSatisfaction]],PerfRate[[#This Row],[RelationshipSatisfaction]])</f>
        <v>4</v>
      </c>
      <c r="R4186" s="2">
        <f>PerfRate[[#This Row],[ManagerRating]] - PerfRate[[#This Row],[SelfRating]]</f>
        <v>0</v>
      </c>
    </row>
    <row r="4187" spans="1:18">
      <c r="A4187" s="2" t="s">
        <v>8494</v>
      </c>
      <c r="B4187" s="2" t="s">
        <v>823</v>
      </c>
      <c r="C4187" s="1">
        <v>44533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  <c r="L4187" s="2" t="s">
        <v>11030</v>
      </c>
      <c r="M4187" s="2" t="s">
        <v>11029</v>
      </c>
      <c r="N4187" s="2" t="s">
        <v>11036</v>
      </c>
      <c r="O4187" s="2" t="s">
        <v>11035</v>
      </c>
      <c r="P4187" s="2" t="s">
        <v>11037</v>
      </c>
      <c r="Q4187" s="2">
        <f>AVERAGE(PerfRate[[#This Row],[EnvironmentSatisfaction]],PerfRate[[#This Row],[JobSatisfaction]],PerfRate[[#This Row],[RelationshipSatisfaction]])</f>
        <v>3</v>
      </c>
      <c r="R4187" s="2">
        <f>PerfRate[[#This Row],[ManagerRating]] - PerfRate[[#This Row],[SelfRating]]</f>
        <v>-1</v>
      </c>
    </row>
    <row r="4188" spans="1:18">
      <c r="A4188" s="2" t="s">
        <v>8495</v>
      </c>
      <c r="B4188" s="2" t="s">
        <v>577</v>
      </c>
      <c r="C4188" s="1">
        <v>44533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  <c r="L4188" s="2" t="s">
        <v>11031</v>
      </c>
      <c r="M4188" s="2" t="s">
        <v>11030</v>
      </c>
      <c r="N4188" s="2" t="s">
        <v>11036</v>
      </c>
      <c r="O4188" s="2" t="s">
        <v>11036</v>
      </c>
      <c r="P4188" s="2" t="s">
        <v>11038</v>
      </c>
      <c r="Q4188" s="2">
        <f>AVERAGE(PerfRate[[#This Row],[EnvironmentSatisfaction]],PerfRate[[#This Row],[JobSatisfaction]],PerfRate[[#This Row],[RelationshipSatisfaction]])</f>
        <v>3.6666666666666665</v>
      </c>
      <c r="R4188" s="2">
        <f>PerfRate[[#This Row],[ManagerRating]] - PerfRate[[#This Row],[SelfRating]]</f>
        <v>-1</v>
      </c>
    </row>
    <row r="4189" spans="1:18">
      <c r="A4189" s="2" t="s">
        <v>8496</v>
      </c>
      <c r="B4189" s="2" t="s">
        <v>2605</v>
      </c>
      <c r="C4189" s="1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  <c r="L4189" s="2" t="s">
        <v>11029</v>
      </c>
      <c r="M4189" s="2" t="s">
        <v>11029</v>
      </c>
      <c r="N4189" s="2" t="s">
        <v>11036</v>
      </c>
      <c r="O4189" s="2" t="s">
        <v>11037</v>
      </c>
      <c r="P4189" s="2" t="s">
        <v>11038</v>
      </c>
      <c r="Q4189" s="2">
        <f>AVERAGE(PerfRate[[#This Row],[EnvironmentSatisfaction]],PerfRate[[#This Row],[JobSatisfaction]],PerfRate[[#This Row],[RelationshipSatisfaction]])</f>
        <v>4</v>
      </c>
      <c r="R4189" s="2">
        <f>PerfRate[[#This Row],[ManagerRating]] - PerfRate[[#This Row],[SelfRating]]</f>
        <v>0</v>
      </c>
    </row>
    <row r="4190" spans="1:18">
      <c r="A4190" s="2" t="s">
        <v>8497</v>
      </c>
      <c r="B4190" s="2" t="s">
        <v>520</v>
      </c>
      <c r="C4190" s="1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  <c r="L4190" s="2" t="s">
        <v>11031</v>
      </c>
      <c r="M4190" s="2" t="s">
        <v>11030</v>
      </c>
      <c r="N4190" s="2" t="s">
        <v>11036</v>
      </c>
      <c r="O4190" s="2" t="s">
        <v>11037</v>
      </c>
      <c r="P4190" s="2" t="s">
        <v>11038</v>
      </c>
      <c r="Q4190" s="2">
        <f>AVERAGE(PerfRate[[#This Row],[EnvironmentSatisfaction]],PerfRate[[#This Row],[JobSatisfaction]],PerfRate[[#This Row],[RelationshipSatisfaction]])</f>
        <v>4</v>
      </c>
      <c r="R4190" s="2">
        <f>PerfRate[[#This Row],[ManagerRating]] - PerfRate[[#This Row],[SelfRating]]</f>
        <v>-1</v>
      </c>
    </row>
    <row r="4191" spans="1:18">
      <c r="A4191" s="2" t="s">
        <v>8498</v>
      </c>
      <c r="B4191" s="2" t="s">
        <v>302</v>
      </c>
      <c r="C4191" s="1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  <c r="L4191" s="2" t="s">
        <v>11030</v>
      </c>
      <c r="M4191" s="2" t="s">
        <v>11029</v>
      </c>
      <c r="N4191" s="2" t="s">
        <v>11038</v>
      </c>
      <c r="O4191" s="2" t="s">
        <v>11035</v>
      </c>
      <c r="P4191" s="2" t="s">
        <v>11036</v>
      </c>
      <c r="Q4191" s="2">
        <f>AVERAGE(PerfRate[[#This Row],[EnvironmentSatisfaction]],PerfRate[[#This Row],[JobSatisfaction]],PerfRate[[#This Row],[RelationshipSatisfaction]])</f>
        <v>3.3333333333333335</v>
      </c>
      <c r="R4191" s="2">
        <f>PerfRate[[#This Row],[ManagerRating]] - PerfRate[[#This Row],[SelfRating]]</f>
        <v>-1</v>
      </c>
    </row>
    <row r="4192" spans="1:18">
      <c r="A4192" s="2" t="s">
        <v>8499</v>
      </c>
      <c r="B4192" s="2" t="s">
        <v>1590</v>
      </c>
      <c r="C4192" s="1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  <c r="L4192" s="2" t="s">
        <v>11031</v>
      </c>
      <c r="M4192" s="2" t="s">
        <v>11031</v>
      </c>
      <c r="N4192" s="2" t="s">
        <v>11037</v>
      </c>
      <c r="O4192" s="2" t="s">
        <v>11038</v>
      </c>
      <c r="P4192" s="2" t="s">
        <v>11037</v>
      </c>
      <c r="Q4192" s="2">
        <f>AVERAGE(PerfRate[[#This Row],[EnvironmentSatisfaction]],PerfRate[[#This Row],[JobSatisfaction]],PerfRate[[#This Row],[RelationshipSatisfaction]])</f>
        <v>4.333333333333333</v>
      </c>
      <c r="R4192" s="2">
        <f>PerfRate[[#This Row],[ManagerRating]] - PerfRate[[#This Row],[SelfRating]]</f>
        <v>0</v>
      </c>
    </row>
    <row r="4193" spans="1:18">
      <c r="A4193" s="2" t="s">
        <v>8500</v>
      </c>
      <c r="B4193" s="2" t="s">
        <v>1804</v>
      </c>
      <c r="C4193" s="1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  <c r="L4193" s="2" t="s">
        <v>11030</v>
      </c>
      <c r="M4193" s="2" t="s">
        <v>11029</v>
      </c>
      <c r="N4193" s="2" t="s">
        <v>11038</v>
      </c>
      <c r="O4193" s="2" t="s">
        <v>11037</v>
      </c>
      <c r="P4193" s="2" t="s">
        <v>11038</v>
      </c>
      <c r="Q4193" s="2">
        <f>AVERAGE(PerfRate[[#This Row],[EnvironmentSatisfaction]],PerfRate[[#This Row],[JobSatisfaction]],PerfRate[[#This Row],[RelationshipSatisfaction]])</f>
        <v>4.666666666666667</v>
      </c>
      <c r="R4193" s="2">
        <f>PerfRate[[#This Row],[ManagerRating]] - PerfRate[[#This Row],[SelfRating]]</f>
        <v>-1</v>
      </c>
    </row>
    <row r="4194" spans="1:18">
      <c r="A4194" s="2" t="s">
        <v>8501</v>
      </c>
      <c r="B4194" s="2" t="s">
        <v>1283</v>
      </c>
      <c r="C4194" s="1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  <c r="L4194" s="2" t="s">
        <v>11030</v>
      </c>
      <c r="M4194" s="2" t="s">
        <v>11030</v>
      </c>
      <c r="N4194" s="2" t="s">
        <v>11037</v>
      </c>
      <c r="O4194" s="2" t="s">
        <v>11037</v>
      </c>
      <c r="P4194" s="2" t="s">
        <v>11038</v>
      </c>
      <c r="Q4194" s="2">
        <f>AVERAGE(PerfRate[[#This Row],[EnvironmentSatisfaction]],PerfRate[[#This Row],[JobSatisfaction]],PerfRate[[#This Row],[RelationshipSatisfaction]])</f>
        <v>4.333333333333333</v>
      </c>
      <c r="R4194" s="2">
        <f>PerfRate[[#This Row],[ManagerRating]] - PerfRate[[#This Row],[SelfRating]]</f>
        <v>0</v>
      </c>
    </row>
    <row r="4195" spans="1:18">
      <c r="A4195" s="2" t="s">
        <v>8502</v>
      </c>
      <c r="B4195" s="2" t="s">
        <v>2106</v>
      </c>
      <c r="C4195" s="1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  <c r="L4195" s="2" t="s">
        <v>11030</v>
      </c>
      <c r="M4195" s="2" t="s">
        <v>11030</v>
      </c>
      <c r="N4195" s="2" t="s">
        <v>11038</v>
      </c>
      <c r="O4195" s="2" t="s">
        <v>11038</v>
      </c>
      <c r="P4195" s="2" t="s">
        <v>11035</v>
      </c>
      <c r="Q4195" s="2">
        <f>AVERAGE(PerfRate[[#This Row],[EnvironmentSatisfaction]],PerfRate[[#This Row],[JobSatisfaction]],PerfRate[[#This Row],[RelationshipSatisfaction]])</f>
        <v>4</v>
      </c>
      <c r="R4195" s="2">
        <f>PerfRate[[#This Row],[ManagerRating]] - PerfRate[[#This Row],[SelfRating]]</f>
        <v>0</v>
      </c>
    </row>
    <row r="4196" spans="1:18">
      <c r="A4196" s="2" t="s">
        <v>8503</v>
      </c>
      <c r="B4196" s="2" t="s">
        <v>3566</v>
      </c>
      <c r="C4196" s="1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  <c r="L4196" s="2" t="s">
        <v>11030</v>
      </c>
      <c r="M4196" s="2" t="s">
        <v>11030</v>
      </c>
      <c r="N4196" s="2" t="s">
        <v>11037</v>
      </c>
      <c r="O4196" s="2" t="s">
        <v>11036</v>
      </c>
      <c r="P4196" s="2" t="s">
        <v>11038</v>
      </c>
      <c r="Q4196" s="2">
        <f>AVERAGE(PerfRate[[#This Row],[EnvironmentSatisfaction]],PerfRate[[#This Row],[JobSatisfaction]],PerfRate[[#This Row],[RelationshipSatisfaction]])</f>
        <v>4</v>
      </c>
      <c r="R4196" s="2">
        <f>PerfRate[[#This Row],[ManagerRating]] - PerfRate[[#This Row],[SelfRating]]</f>
        <v>0</v>
      </c>
    </row>
    <row r="4197" spans="1:18">
      <c r="A4197" s="2" t="s">
        <v>8504</v>
      </c>
      <c r="B4197" s="2" t="s">
        <v>586</v>
      </c>
      <c r="C4197" s="1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  <c r="L4197" s="2" t="s">
        <v>11030</v>
      </c>
      <c r="M4197" s="2" t="s">
        <v>11029</v>
      </c>
      <c r="N4197" s="2" t="s">
        <v>11037</v>
      </c>
      <c r="O4197" s="2" t="s">
        <v>11037</v>
      </c>
      <c r="P4197" s="2" t="s">
        <v>11037</v>
      </c>
      <c r="Q4197" s="2">
        <f>AVERAGE(PerfRate[[#This Row],[EnvironmentSatisfaction]],PerfRate[[#This Row],[JobSatisfaction]],PerfRate[[#This Row],[RelationshipSatisfaction]])</f>
        <v>4</v>
      </c>
      <c r="R4197" s="2">
        <f>PerfRate[[#This Row],[ManagerRating]] - PerfRate[[#This Row],[SelfRating]]</f>
        <v>-1</v>
      </c>
    </row>
    <row r="4198" spans="1:18">
      <c r="A4198" s="2" t="s">
        <v>8505</v>
      </c>
      <c r="B4198" s="2" t="s">
        <v>826</v>
      </c>
      <c r="C4198" s="1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  <c r="L4198" s="2" t="s">
        <v>11030</v>
      </c>
      <c r="M4198" s="2" t="s">
        <v>11030</v>
      </c>
      <c r="N4198" s="2" t="s">
        <v>11036</v>
      </c>
      <c r="O4198" s="2" t="s">
        <v>11036</v>
      </c>
      <c r="P4198" s="2" t="s">
        <v>11036</v>
      </c>
      <c r="Q4198" s="2">
        <f>AVERAGE(PerfRate[[#This Row],[EnvironmentSatisfaction]],PerfRate[[#This Row],[JobSatisfaction]],PerfRate[[#This Row],[RelationshipSatisfaction]])</f>
        <v>3</v>
      </c>
      <c r="R4198" s="2">
        <f>PerfRate[[#This Row],[ManagerRating]] - PerfRate[[#This Row],[SelfRating]]</f>
        <v>0</v>
      </c>
    </row>
    <row r="4199" spans="1:18">
      <c r="A4199" s="2" t="s">
        <v>8506</v>
      </c>
      <c r="B4199" s="2" t="s">
        <v>281</v>
      </c>
      <c r="C4199" s="1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  <c r="L4199" s="2" t="s">
        <v>11031</v>
      </c>
      <c r="M4199" s="2" t="s">
        <v>11030</v>
      </c>
      <c r="N4199" s="2" t="s">
        <v>11036</v>
      </c>
      <c r="O4199" s="2" t="s">
        <v>11037</v>
      </c>
      <c r="P4199" s="2" t="s">
        <v>11036</v>
      </c>
      <c r="Q4199" s="2">
        <f>AVERAGE(PerfRate[[#This Row],[EnvironmentSatisfaction]],PerfRate[[#This Row],[JobSatisfaction]],PerfRate[[#This Row],[RelationshipSatisfaction]])</f>
        <v>3.3333333333333335</v>
      </c>
      <c r="R4199" s="2">
        <f>PerfRate[[#This Row],[ManagerRating]] - PerfRate[[#This Row],[SelfRating]]</f>
        <v>-1</v>
      </c>
    </row>
    <row r="4200" spans="1:18">
      <c r="A4200" s="2" t="s">
        <v>8507</v>
      </c>
      <c r="B4200" s="2" t="s">
        <v>1620</v>
      </c>
      <c r="C4200" s="1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  <c r="L4200" s="2" t="s">
        <v>11030</v>
      </c>
      <c r="M4200" s="2" t="s">
        <v>11030</v>
      </c>
      <c r="N4200" s="2" t="s">
        <v>11038</v>
      </c>
      <c r="O4200" s="2" t="s">
        <v>11035</v>
      </c>
      <c r="P4200" s="2" t="s">
        <v>11037</v>
      </c>
      <c r="Q4200" s="2">
        <f>AVERAGE(PerfRate[[#This Row],[EnvironmentSatisfaction]],PerfRate[[#This Row],[JobSatisfaction]],PerfRate[[#This Row],[RelationshipSatisfaction]])</f>
        <v>3.6666666666666665</v>
      </c>
      <c r="R4200" s="2">
        <f>PerfRate[[#This Row],[ManagerRating]] - PerfRate[[#This Row],[SelfRating]]</f>
        <v>0</v>
      </c>
    </row>
    <row r="4201" spans="1:18">
      <c r="A4201" s="2" t="s">
        <v>8508</v>
      </c>
      <c r="B4201" s="2" t="s">
        <v>2675</v>
      </c>
      <c r="C4201" s="1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  <c r="L4201" s="2" t="s">
        <v>11030</v>
      </c>
      <c r="M4201" s="2" t="s">
        <v>11029</v>
      </c>
      <c r="N4201" s="2" t="s">
        <v>11036</v>
      </c>
      <c r="O4201" s="2" t="s">
        <v>11035</v>
      </c>
      <c r="P4201" s="2" t="s">
        <v>11035</v>
      </c>
      <c r="Q4201" s="2">
        <f>AVERAGE(PerfRate[[#This Row],[EnvironmentSatisfaction]],PerfRate[[#This Row],[JobSatisfaction]],PerfRate[[#This Row],[RelationshipSatisfaction]])</f>
        <v>2.3333333333333335</v>
      </c>
      <c r="R4201" s="2">
        <f>PerfRate[[#This Row],[ManagerRating]] - PerfRate[[#This Row],[SelfRating]]</f>
        <v>-1</v>
      </c>
    </row>
    <row r="4202" spans="1:18">
      <c r="A4202" s="2" t="s">
        <v>8509</v>
      </c>
      <c r="B4202" s="2" t="s">
        <v>3111</v>
      </c>
      <c r="C4202" s="1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  <c r="L4202" s="2" t="s">
        <v>11031</v>
      </c>
      <c r="M4202" s="2" t="s">
        <v>11030</v>
      </c>
      <c r="N4202" s="2" t="s">
        <v>11038</v>
      </c>
      <c r="O4202" s="2" t="s">
        <v>11036</v>
      </c>
      <c r="P4202" s="2" t="s">
        <v>11035</v>
      </c>
      <c r="Q4202" s="2">
        <f>AVERAGE(PerfRate[[#This Row],[EnvironmentSatisfaction]],PerfRate[[#This Row],[JobSatisfaction]],PerfRate[[#This Row],[RelationshipSatisfaction]])</f>
        <v>3.3333333333333335</v>
      </c>
      <c r="R4202" s="2">
        <f>PerfRate[[#This Row],[ManagerRating]] - PerfRate[[#This Row],[SelfRating]]</f>
        <v>-1</v>
      </c>
    </row>
    <row r="4203" spans="1:18">
      <c r="A4203" s="2" t="s">
        <v>8510</v>
      </c>
      <c r="B4203" s="2" t="s">
        <v>362</v>
      </c>
      <c r="C4203" s="1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  <c r="L4203" s="2" t="s">
        <v>11031</v>
      </c>
      <c r="M4203" s="2" t="s">
        <v>11031</v>
      </c>
      <c r="N4203" s="2" t="s">
        <v>11037</v>
      </c>
      <c r="O4203" s="2" t="s">
        <v>11036</v>
      </c>
      <c r="P4203" s="2" t="s">
        <v>11038</v>
      </c>
      <c r="Q4203" s="2">
        <f>AVERAGE(PerfRate[[#This Row],[EnvironmentSatisfaction]],PerfRate[[#This Row],[JobSatisfaction]],PerfRate[[#This Row],[RelationshipSatisfaction]])</f>
        <v>4</v>
      </c>
      <c r="R4203" s="2">
        <f>PerfRate[[#This Row],[ManagerRating]] - PerfRate[[#This Row],[SelfRating]]</f>
        <v>0</v>
      </c>
    </row>
    <row r="4204" spans="1:18">
      <c r="A4204" s="2" t="s">
        <v>8511</v>
      </c>
      <c r="B4204" s="2" t="s">
        <v>1942</v>
      </c>
      <c r="C4204" s="1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  <c r="L4204" s="2" t="s">
        <v>11030</v>
      </c>
      <c r="M4204" s="2" t="s">
        <v>11029</v>
      </c>
      <c r="N4204" s="2" t="s">
        <v>11038</v>
      </c>
      <c r="O4204" s="2" t="s">
        <v>11037</v>
      </c>
      <c r="P4204" s="2" t="s">
        <v>11035</v>
      </c>
      <c r="Q4204" s="2">
        <f>AVERAGE(PerfRate[[#This Row],[EnvironmentSatisfaction]],PerfRate[[#This Row],[JobSatisfaction]],PerfRate[[#This Row],[RelationshipSatisfaction]])</f>
        <v>3.6666666666666665</v>
      </c>
      <c r="R4204" s="2">
        <f>PerfRate[[#This Row],[ManagerRating]] - PerfRate[[#This Row],[SelfRating]]</f>
        <v>-1</v>
      </c>
    </row>
    <row r="4205" spans="1:18">
      <c r="A4205" s="2" t="s">
        <v>8512</v>
      </c>
      <c r="B4205" s="2" t="s">
        <v>2097</v>
      </c>
      <c r="C4205" s="1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  <c r="L4205" s="2" t="s">
        <v>11029</v>
      </c>
      <c r="M4205" s="2" t="s">
        <v>11028</v>
      </c>
      <c r="N4205" s="2" t="s">
        <v>11038</v>
      </c>
      <c r="O4205" s="2" t="s">
        <v>11038</v>
      </c>
      <c r="P4205" s="2" t="s">
        <v>11035</v>
      </c>
      <c r="Q4205" s="2">
        <f>AVERAGE(PerfRate[[#This Row],[EnvironmentSatisfaction]],PerfRate[[#This Row],[JobSatisfaction]],PerfRate[[#This Row],[RelationshipSatisfaction]])</f>
        <v>4</v>
      </c>
      <c r="R4205" s="2">
        <f>PerfRate[[#This Row],[ManagerRating]] - PerfRate[[#This Row],[SelfRating]]</f>
        <v>-1</v>
      </c>
    </row>
    <row r="4206" spans="1:18">
      <c r="A4206" s="2" t="s">
        <v>8513</v>
      </c>
      <c r="B4206" s="2" t="s">
        <v>326</v>
      </c>
      <c r="C4206" s="1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  <c r="L4206" s="2" t="s">
        <v>11029</v>
      </c>
      <c r="M4206" s="2" t="s">
        <v>11028</v>
      </c>
      <c r="N4206" s="2" t="s">
        <v>11036</v>
      </c>
      <c r="O4206" s="2" t="s">
        <v>11037</v>
      </c>
      <c r="P4206" s="2" t="s">
        <v>11037</v>
      </c>
      <c r="Q4206" s="2">
        <f>AVERAGE(PerfRate[[#This Row],[EnvironmentSatisfaction]],PerfRate[[#This Row],[JobSatisfaction]],PerfRate[[#This Row],[RelationshipSatisfaction]])</f>
        <v>3.6666666666666665</v>
      </c>
      <c r="R4206" s="2">
        <f>PerfRate[[#This Row],[ManagerRating]] - PerfRate[[#This Row],[SelfRating]]</f>
        <v>-1</v>
      </c>
    </row>
    <row r="4207" spans="1:18">
      <c r="A4207" s="2" t="s">
        <v>8514</v>
      </c>
      <c r="B4207" s="2" t="s">
        <v>1065</v>
      </c>
      <c r="C4207" s="1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  <c r="L4207" s="2" t="s">
        <v>11030</v>
      </c>
      <c r="M4207" s="2" t="s">
        <v>11030</v>
      </c>
      <c r="N4207" s="2" t="s">
        <v>11037</v>
      </c>
      <c r="O4207" s="2" t="s">
        <v>11036</v>
      </c>
      <c r="P4207" s="2" t="s">
        <v>11038</v>
      </c>
      <c r="Q4207" s="2">
        <f>AVERAGE(PerfRate[[#This Row],[EnvironmentSatisfaction]],PerfRate[[#This Row],[JobSatisfaction]],PerfRate[[#This Row],[RelationshipSatisfaction]])</f>
        <v>4</v>
      </c>
      <c r="R4207" s="2">
        <f>PerfRate[[#This Row],[ManagerRating]] - PerfRate[[#This Row],[SelfRating]]</f>
        <v>0</v>
      </c>
    </row>
    <row r="4208" spans="1:18">
      <c r="A4208" s="2" t="s">
        <v>8515</v>
      </c>
      <c r="B4208" s="2" t="s">
        <v>711</v>
      </c>
      <c r="C4208" s="1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  <c r="L4208" s="2" t="s">
        <v>11029</v>
      </c>
      <c r="M4208" s="2" t="s">
        <v>11029</v>
      </c>
      <c r="N4208" s="2" t="s">
        <v>11037</v>
      </c>
      <c r="O4208" s="2" t="s">
        <v>11036</v>
      </c>
      <c r="P4208" s="2" t="s">
        <v>11038</v>
      </c>
      <c r="Q4208" s="2">
        <f>AVERAGE(PerfRate[[#This Row],[EnvironmentSatisfaction]],PerfRate[[#This Row],[JobSatisfaction]],PerfRate[[#This Row],[RelationshipSatisfaction]])</f>
        <v>4</v>
      </c>
      <c r="R4208" s="2">
        <f>PerfRate[[#This Row],[ManagerRating]] - PerfRate[[#This Row],[SelfRating]]</f>
        <v>0</v>
      </c>
    </row>
    <row r="4209" spans="1:18">
      <c r="A4209" s="2" t="s">
        <v>8516</v>
      </c>
      <c r="B4209" s="2" t="s">
        <v>1753</v>
      </c>
      <c r="C4209" s="1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  <c r="L4209" s="2" t="s">
        <v>11031</v>
      </c>
      <c r="M4209" s="2" t="s">
        <v>11031</v>
      </c>
      <c r="N4209" s="2" t="s">
        <v>11036</v>
      </c>
      <c r="O4209" s="2" t="s">
        <v>11037</v>
      </c>
      <c r="P4209" s="2" t="s">
        <v>11036</v>
      </c>
      <c r="Q4209" s="2">
        <f>AVERAGE(PerfRate[[#This Row],[EnvironmentSatisfaction]],PerfRate[[#This Row],[JobSatisfaction]],PerfRate[[#This Row],[RelationshipSatisfaction]])</f>
        <v>3.3333333333333335</v>
      </c>
      <c r="R4209" s="2">
        <f>PerfRate[[#This Row],[ManagerRating]] - PerfRate[[#This Row],[SelfRating]]</f>
        <v>0</v>
      </c>
    </row>
    <row r="4210" spans="1:18">
      <c r="A4210" s="2" t="s">
        <v>8517</v>
      </c>
      <c r="B4210" s="2" t="s">
        <v>2745</v>
      </c>
      <c r="C4210" s="1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  <c r="L4210" s="2" t="s">
        <v>11031</v>
      </c>
      <c r="M4210" s="2" t="s">
        <v>11031</v>
      </c>
      <c r="N4210" s="2" t="s">
        <v>11038</v>
      </c>
      <c r="O4210" s="2" t="s">
        <v>11036</v>
      </c>
      <c r="P4210" s="2" t="s">
        <v>11036</v>
      </c>
      <c r="Q4210" s="2">
        <f>AVERAGE(PerfRate[[#This Row],[EnvironmentSatisfaction]],PerfRate[[#This Row],[JobSatisfaction]],PerfRate[[#This Row],[RelationshipSatisfaction]])</f>
        <v>3.6666666666666665</v>
      </c>
      <c r="R4210" s="2">
        <f>PerfRate[[#This Row],[ManagerRating]] - PerfRate[[#This Row],[SelfRating]]</f>
        <v>0</v>
      </c>
    </row>
    <row r="4211" spans="1:18">
      <c r="A4211" s="2" t="s">
        <v>8518</v>
      </c>
      <c r="B4211" s="2" t="s">
        <v>1453</v>
      </c>
      <c r="C4211" s="1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  <c r="L4211" s="2" t="s">
        <v>11031</v>
      </c>
      <c r="M4211" s="2" t="s">
        <v>11031</v>
      </c>
      <c r="N4211" s="2" t="s">
        <v>11036</v>
      </c>
      <c r="O4211" s="2" t="s">
        <v>11036</v>
      </c>
      <c r="P4211" s="2" t="s">
        <v>11036</v>
      </c>
      <c r="Q4211" s="2">
        <f>AVERAGE(PerfRate[[#This Row],[EnvironmentSatisfaction]],PerfRate[[#This Row],[JobSatisfaction]],PerfRate[[#This Row],[RelationshipSatisfaction]])</f>
        <v>3</v>
      </c>
      <c r="R4211" s="2">
        <f>PerfRate[[#This Row],[ManagerRating]] - PerfRate[[#This Row],[SelfRating]]</f>
        <v>0</v>
      </c>
    </row>
    <row r="4212" spans="1:18">
      <c r="A4212" s="2" t="s">
        <v>8519</v>
      </c>
      <c r="B4212" s="2" t="s">
        <v>1959</v>
      </c>
      <c r="C4212" s="1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  <c r="L4212" s="2" t="s">
        <v>11031</v>
      </c>
      <c r="M4212" s="2" t="s">
        <v>11030</v>
      </c>
      <c r="N4212" s="2" t="s">
        <v>11035</v>
      </c>
      <c r="O4212" s="2" t="s">
        <v>11036</v>
      </c>
      <c r="P4212" s="2" t="s">
        <v>11035</v>
      </c>
      <c r="Q4212" s="2">
        <f>AVERAGE(PerfRate[[#This Row],[EnvironmentSatisfaction]],PerfRate[[#This Row],[JobSatisfaction]],PerfRate[[#This Row],[RelationshipSatisfaction]])</f>
        <v>2.3333333333333335</v>
      </c>
      <c r="R4212" s="2">
        <f>PerfRate[[#This Row],[ManagerRating]] - PerfRate[[#This Row],[SelfRating]]</f>
        <v>-1</v>
      </c>
    </row>
    <row r="4213" spans="1:18">
      <c r="A4213" s="2" t="s">
        <v>8520</v>
      </c>
      <c r="B4213" s="2" t="s">
        <v>1810</v>
      </c>
      <c r="C4213" s="1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  <c r="L4213" s="2" t="s">
        <v>11029</v>
      </c>
      <c r="M4213" s="2" t="s">
        <v>11029</v>
      </c>
      <c r="N4213" s="2" t="s">
        <v>11036</v>
      </c>
      <c r="O4213" s="2" t="s">
        <v>11034</v>
      </c>
      <c r="P4213" s="2" t="s">
        <v>11035</v>
      </c>
      <c r="Q4213" s="2">
        <f>AVERAGE(PerfRate[[#This Row],[EnvironmentSatisfaction]],PerfRate[[#This Row],[JobSatisfaction]],PerfRate[[#This Row],[RelationshipSatisfaction]])</f>
        <v>2</v>
      </c>
      <c r="R4213" s="2">
        <f>PerfRate[[#This Row],[ManagerRating]] - PerfRate[[#This Row],[SelfRating]]</f>
        <v>0</v>
      </c>
    </row>
    <row r="4214" spans="1:18">
      <c r="A4214" s="2" t="s">
        <v>8521</v>
      </c>
      <c r="B4214" s="2" t="s">
        <v>2002</v>
      </c>
      <c r="C4214" s="1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  <c r="L4214" s="2" t="s">
        <v>11029</v>
      </c>
      <c r="M4214" s="2" t="s">
        <v>11028</v>
      </c>
      <c r="N4214" s="2" t="s">
        <v>11034</v>
      </c>
      <c r="O4214" s="2" t="s">
        <v>11034</v>
      </c>
      <c r="P4214" s="2" t="s">
        <v>11034</v>
      </c>
      <c r="Q4214" s="2">
        <f>AVERAGE(PerfRate[[#This Row],[EnvironmentSatisfaction]],PerfRate[[#This Row],[JobSatisfaction]],PerfRate[[#This Row],[RelationshipSatisfaction]])</f>
        <v>1</v>
      </c>
      <c r="R4214" s="2">
        <f>PerfRate[[#This Row],[ManagerRating]] - PerfRate[[#This Row],[SelfRating]]</f>
        <v>-1</v>
      </c>
    </row>
    <row r="4215" spans="1:18">
      <c r="A4215" s="2" t="s">
        <v>8522</v>
      </c>
      <c r="B4215" s="2" t="s">
        <v>404</v>
      </c>
      <c r="C4215" s="1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  <c r="L4215" s="2" t="s">
        <v>11029</v>
      </c>
      <c r="M4215" s="2" t="s">
        <v>11028</v>
      </c>
      <c r="N4215" s="2" t="s">
        <v>11036</v>
      </c>
      <c r="O4215" s="2" t="s">
        <v>11036</v>
      </c>
      <c r="P4215" s="2" t="s">
        <v>11037</v>
      </c>
      <c r="Q4215" s="2">
        <f>AVERAGE(PerfRate[[#This Row],[EnvironmentSatisfaction]],PerfRate[[#This Row],[JobSatisfaction]],PerfRate[[#This Row],[RelationshipSatisfaction]])</f>
        <v>3.3333333333333335</v>
      </c>
      <c r="R4215" s="2">
        <f>PerfRate[[#This Row],[ManagerRating]] - PerfRate[[#This Row],[SelfRating]]</f>
        <v>-1</v>
      </c>
    </row>
    <row r="4216" spans="1:18">
      <c r="A4216" s="2" t="s">
        <v>8523</v>
      </c>
      <c r="B4216" s="2" t="s">
        <v>2503</v>
      </c>
      <c r="C4216" s="1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  <c r="L4216" s="2" t="s">
        <v>11030</v>
      </c>
      <c r="M4216" s="2" t="s">
        <v>11030</v>
      </c>
      <c r="N4216" s="2" t="s">
        <v>11037</v>
      </c>
      <c r="O4216" s="2" t="s">
        <v>11036</v>
      </c>
      <c r="P4216" s="2" t="s">
        <v>11035</v>
      </c>
      <c r="Q4216" s="2">
        <f>AVERAGE(PerfRate[[#This Row],[EnvironmentSatisfaction]],PerfRate[[#This Row],[JobSatisfaction]],PerfRate[[#This Row],[RelationshipSatisfaction]])</f>
        <v>3</v>
      </c>
      <c r="R4216" s="2">
        <f>PerfRate[[#This Row],[ManagerRating]] - PerfRate[[#This Row],[SelfRating]]</f>
        <v>0</v>
      </c>
    </row>
    <row r="4217" spans="1:18">
      <c r="A4217" s="2" t="s">
        <v>8524</v>
      </c>
      <c r="B4217" s="2" t="s">
        <v>2234</v>
      </c>
      <c r="C4217" s="1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  <c r="L4217" s="2" t="s">
        <v>11029</v>
      </c>
      <c r="M4217" s="2" t="s">
        <v>11029</v>
      </c>
      <c r="N4217" s="2" t="s">
        <v>11038</v>
      </c>
      <c r="O4217" s="2" t="s">
        <v>11037</v>
      </c>
      <c r="P4217" s="2" t="s">
        <v>11037</v>
      </c>
      <c r="Q4217" s="2">
        <f>AVERAGE(PerfRate[[#This Row],[EnvironmentSatisfaction]],PerfRate[[#This Row],[JobSatisfaction]],PerfRate[[#This Row],[RelationshipSatisfaction]])</f>
        <v>4.333333333333333</v>
      </c>
      <c r="R4217" s="2">
        <f>PerfRate[[#This Row],[ManagerRating]] - PerfRate[[#This Row],[SelfRating]]</f>
        <v>0</v>
      </c>
    </row>
    <row r="4218" spans="1:18">
      <c r="A4218" s="2" t="s">
        <v>8525</v>
      </c>
      <c r="B4218" s="2" t="s">
        <v>1027</v>
      </c>
      <c r="C4218" s="1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  <c r="L4218" s="2" t="s">
        <v>11030</v>
      </c>
      <c r="M4218" s="2" t="s">
        <v>11029</v>
      </c>
      <c r="N4218" s="2" t="s">
        <v>11038</v>
      </c>
      <c r="O4218" s="2" t="s">
        <v>11038</v>
      </c>
      <c r="P4218" s="2" t="s">
        <v>11035</v>
      </c>
      <c r="Q4218" s="2">
        <f>AVERAGE(PerfRate[[#This Row],[EnvironmentSatisfaction]],PerfRate[[#This Row],[JobSatisfaction]],PerfRate[[#This Row],[RelationshipSatisfaction]])</f>
        <v>4</v>
      </c>
      <c r="R4218" s="2">
        <f>PerfRate[[#This Row],[ManagerRating]] - PerfRate[[#This Row],[SelfRating]]</f>
        <v>-1</v>
      </c>
    </row>
    <row r="4219" spans="1:18">
      <c r="A4219" s="2" t="s">
        <v>8526</v>
      </c>
      <c r="B4219" s="2" t="s">
        <v>169</v>
      </c>
      <c r="C4219" s="1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  <c r="L4219" s="2" t="s">
        <v>11030</v>
      </c>
      <c r="M4219" s="2" t="s">
        <v>11030</v>
      </c>
      <c r="N4219" s="2" t="s">
        <v>11038</v>
      </c>
      <c r="O4219" s="2" t="s">
        <v>11037</v>
      </c>
      <c r="P4219" s="2" t="s">
        <v>11036</v>
      </c>
      <c r="Q4219" s="2">
        <f>AVERAGE(PerfRate[[#This Row],[EnvironmentSatisfaction]],PerfRate[[#This Row],[JobSatisfaction]],PerfRate[[#This Row],[RelationshipSatisfaction]])</f>
        <v>4</v>
      </c>
      <c r="R4219" s="2">
        <f>PerfRate[[#This Row],[ManagerRating]] - PerfRate[[#This Row],[SelfRating]]</f>
        <v>0</v>
      </c>
    </row>
    <row r="4220" spans="1:18">
      <c r="A4220" s="2" t="s">
        <v>8527</v>
      </c>
      <c r="B4220" s="2" t="s">
        <v>2184</v>
      </c>
      <c r="C4220" s="1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  <c r="L4220" s="2" t="s">
        <v>11031</v>
      </c>
      <c r="M4220" s="2" t="s">
        <v>11030</v>
      </c>
      <c r="N4220" s="2" t="s">
        <v>11037</v>
      </c>
      <c r="O4220" s="2" t="s">
        <v>11037</v>
      </c>
      <c r="P4220" s="2" t="s">
        <v>11037</v>
      </c>
      <c r="Q4220" s="2">
        <f>AVERAGE(PerfRate[[#This Row],[EnvironmentSatisfaction]],PerfRate[[#This Row],[JobSatisfaction]],PerfRate[[#This Row],[RelationshipSatisfaction]])</f>
        <v>4</v>
      </c>
      <c r="R4220" s="2">
        <f>PerfRate[[#This Row],[ManagerRating]] - PerfRate[[#This Row],[SelfRating]]</f>
        <v>-1</v>
      </c>
    </row>
    <row r="4221" spans="1:18">
      <c r="A4221" s="2" t="s">
        <v>8528</v>
      </c>
      <c r="B4221" s="2" t="s">
        <v>452</v>
      </c>
      <c r="C4221" s="1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  <c r="L4221" s="2" t="s">
        <v>11030</v>
      </c>
      <c r="M4221" s="2" t="s">
        <v>11030</v>
      </c>
      <c r="N4221" s="2" t="s">
        <v>11037</v>
      </c>
      <c r="O4221" s="2" t="s">
        <v>11038</v>
      </c>
      <c r="P4221" s="2" t="s">
        <v>11035</v>
      </c>
      <c r="Q4221" s="2">
        <f>AVERAGE(PerfRate[[#This Row],[EnvironmentSatisfaction]],PerfRate[[#This Row],[JobSatisfaction]],PerfRate[[#This Row],[RelationshipSatisfaction]])</f>
        <v>3.6666666666666665</v>
      </c>
      <c r="R4221" s="2">
        <f>PerfRate[[#This Row],[ManagerRating]] - PerfRate[[#This Row],[SelfRating]]</f>
        <v>0</v>
      </c>
    </row>
    <row r="4222" spans="1:18">
      <c r="A4222" s="2" t="s">
        <v>8529</v>
      </c>
      <c r="B4222" s="2" t="s">
        <v>2491</v>
      </c>
      <c r="C4222" s="1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  <c r="L4222" s="2" t="s">
        <v>11030</v>
      </c>
      <c r="M4222" s="2" t="s">
        <v>11029</v>
      </c>
      <c r="N4222" s="2" t="s">
        <v>11037</v>
      </c>
      <c r="O4222" s="2" t="s">
        <v>11035</v>
      </c>
      <c r="P4222" s="2" t="s">
        <v>11036</v>
      </c>
      <c r="Q4222" s="2">
        <f>AVERAGE(PerfRate[[#This Row],[EnvironmentSatisfaction]],PerfRate[[#This Row],[JobSatisfaction]],PerfRate[[#This Row],[RelationshipSatisfaction]])</f>
        <v>3</v>
      </c>
      <c r="R4222" s="2">
        <f>PerfRate[[#This Row],[ManagerRating]] - PerfRate[[#This Row],[SelfRating]]</f>
        <v>-1</v>
      </c>
    </row>
    <row r="4223" spans="1:18">
      <c r="A4223" s="2" t="s">
        <v>8530</v>
      </c>
      <c r="B4223" s="2" t="s">
        <v>1201</v>
      </c>
      <c r="C4223" s="1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  <c r="L4223" s="2" t="s">
        <v>11030</v>
      </c>
      <c r="M4223" s="2" t="s">
        <v>11029</v>
      </c>
      <c r="N4223" s="2" t="s">
        <v>11037</v>
      </c>
      <c r="O4223" s="2" t="s">
        <v>11035</v>
      </c>
      <c r="P4223" s="2" t="s">
        <v>11036</v>
      </c>
      <c r="Q4223" s="2">
        <f>AVERAGE(PerfRate[[#This Row],[EnvironmentSatisfaction]],PerfRate[[#This Row],[JobSatisfaction]],PerfRate[[#This Row],[RelationshipSatisfaction]])</f>
        <v>3</v>
      </c>
      <c r="R4223" s="2">
        <f>PerfRate[[#This Row],[ManagerRating]] - PerfRate[[#This Row],[SelfRating]]</f>
        <v>-1</v>
      </c>
    </row>
    <row r="4224" spans="1:18">
      <c r="A4224" s="2" t="s">
        <v>8531</v>
      </c>
      <c r="B4224" s="2" t="s">
        <v>2427</v>
      </c>
      <c r="C4224" s="1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  <c r="L4224" s="2" t="s">
        <v>11031</v>
      </c>
      <c r="M4224" s="2" t="s">
        <v>11030</v>
      </c>
      <c r="N4224" s="2" t="s">
        <v>11035</v>
      </c>
      <c r="O4224" s="2" t="s">
        <v>11036</v>
      </c>
      <c r="P4224" s="2" t="s">
        <v>11035</v>
      </c>
      <c r="Q4224" s="2">
        <f>AVERAGE(PerfRate[[#This Row],[EnvironmentSatisfaction]],PerfRate[[#This Row],[JobSatisfaction]],PerfRate[[#This Row],[RelationshipSatisfaction]])</f>
        <v>2.3333333333333335</v>
      </c>
      <c r="R4224" s="2">
        <f>PerfRate[[#This Row],[ManagerRating]] - PerfRate[[#This Row],[SelfRating]]</f>
        <v>-1</v>
      </c>
    </row>
    <row r="4225" spans="1:18">
      <c r="A4225" s="2" t="s">
        <v>8532</v>
      </c>
      <c r="B4225" s="2" t="s">
        <v>2929</v>
      </c>
      <c r="C4225" s="1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  <c r="L4225" s="2" t="s">
        <v>11030</v>
      </c>
      <c r="M4225" s="2" t="s">
        <v>11030</v>
      </c>
      <c r="N4225" s="2" t="s">
        <v>11036</v>
      </c>
      <c r="O4225" s="2" t="s">
        <v>11034</v>
      </c>
      <c r="P4225" s="2" t="s">
        <v>11034</v>
      </c>
      <c r="Q4225" s="2">
        <f>AVERAGE(PerfRate[[#This Row],[EnvironmentSatisfaction]],PerfRate[[#This Row],[JobSatisfaction]],PerfRate[[#This Row],[RelationshipSatisfaction]])</f>
        <v>1.6666666666666667</v>
      </c>
      <c r="R4225" s="2">
        <f>PerfRate[[#This Row],[ManagerRating]] - PerfRate[[#This Row],[SelfRating]]</f>
        <v>0</v>
      </c>
    </row>
    <row r="4226" spans="1:18">
      <c r="A4226" s="2" t="s">
        <v>8533</v>
      </c>
      <c r="B4226" s="2" t="s">
        <v>2724</v>
      </c>
      <c r="C4226" s="1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  <c r="L4226" s="2" t="s">
        <v>11030</v>
      </c>
      <c r="M4226" s="2" t="s">
        <v>11030</v>
      </c>
      <c r="N4226" s="2" t="s">
        <v>11035</v>
      </c>
      <c r="O4226" s="2" t="s">
        <v>11034</v>
      </c>
      <c r="P4226" s="2" t="s">
        <v>11034</v>
      </c>
      <c r="Q4226" s="2">
        <f>AVERAGE(PerfRate[[#This Row],[EnvironmentSatisfaction]],PerfRate[[#This Row],[JobSatisfaction]],PerfRate[[#This Row],[RelationshipSatisfaction]])</f>
        <v>1.3333333333333333</v>
      </c>
      <c r="R4226" s="2">
        <f>PerfRate[[#This Row],[ManagerRating]] - PerfRate[[#This Row],[SelfRating]]</f>
        <v>0</v>
      </c>
    </row>
    <row r="4227" spans="1:18">
      <c r="A4227" s="2" t="s">
        <v>8534</v>
      </c>
      <c r="B4227" s="2" t="s">
        <v>2296</v>
      </c>
      <c r="C4227" s="1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  <c r="L4227" s="2" t="s">
        <v>11031</v>
      </c>
      <c r="M4227" s="2" t="s">
        <v>11031</v>
      </c>
      <c r="N4227" s="2" t="s">
        <v>11037</v>
      </c>
      <c r="O4227" s="2" t="s">
        <v>11034</v>
      </c>
      <c r="P4227" s="2" t="s">
        <v>11036</v>
      </c>
      <c r="Q4227" s="2">
        <f>AVERAGE(PerfRate[[#This Row],[EnvironmentSatisfaction]],PerfRate[[#This Row],[JobSatisfaction]],PerfRate[[#This Row],[RelationshipSatisfaction]])</f>
        <v>2.6666666666666665</v>
      </c>
      <c r="R4227" s="2">
        <f>PerfRate[[#This Row],[ManagerRating]] - PerfRate[[#This Row],[SelfRating]]</f>
        <v>0</v>
      </c>
    </row>
    <row r="4228" spans="1:18">
      <c r="A4228" s="2" t="s">
        <v>8535</v>
      </c>
      <c r="B4228" s="2" t="s">
        <v>3189</v>
      </c>
      <c r="C4228" s="1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  <c r="L4228" s="2" t="s">
        <v>11030</v>
      </c>
      <c r="M4228" s="2" t="s">
        <v>11029</v>
      </c>
      <c r="N4228" s="2" t="s">
        <v>11037</v>
      </c>
      <c r="O4228" s="2" t="s">
        <v>11035</v>
      </c>
      <c r="P4228" s="2" t="s">
        <v>11036</v>
      </c>
      <c r="Q4228" s="2">
        <f>AVERAGE(PerfRate[[#This Row],[EnvironmentSatisfaction]],PerfRate[[#This Row],[JobSatisfaction]],PerfRate[[#This Row],[RelationshipSatisfaction]])</f>
        <v>3</v>
      </c>
      <c r="R4228" s="2">
        <f>PerfRate[[#This Row],[ManagerRating]] - PerfRate[[#This Row],[SelfRating]]</f>
        <v>-1</v>
      </c>
    </row>
    <row r="4229" spans="1:18">
      <c r="A4229" s="2" t="s">
        <v>8536</v>
      </c>
      <c r="B4229" s="2" t="s">
        <v>1698</v>
      </c>
      <c r="C4229" s="1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  <c r="L4229" s="2" t="s">
        <v>11029</v>
      </c>
      <c r="M4229" s="2" t="s">
        <v>11028</v>
      </c>
      <c r="N4229" s="2" t="s">
        <v>11037</v>
      </c>
      <c r="O4229" s="2" t="s">
        <v>11036</v>
      </c>
      <c r="P4229" s="2" t="s">
        <v>11037</v>
      </c>
      <c r="Q4229" s="2">
        <f>AVERAGE(PerfRate[[#This Row],[EnvironmentSatisfaction]],PerfRate[[#This Row],[JobSatisfaction]],PerfRate[[#This Row],[RelationshipSatisfaction]])</f>
        <v>3.6666666666666665</v>
      </c>
      <c r="R4229" s="2">
        <f>PerfRate[[#This Row],[ManagerRating]] - PerfRate[[#This Row],[SelfRating]]</f>
        <v>-1</v>
      </c>
    </row>
    <row r="4230" spans="1:18">
      <c r="A4230" s="2" t="s">
        <v>8537</v>
      </c>
      <c r="B4230" s="2" t="s">
        <v>1672</v>
      </c>
      <c r="C4230" s="1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  <c r="L4230" s="2" t="s">
        <v>11030</v>
      </c>
      <c r="M4230" s="2" t="s">
        <v>11029</v>
      </c>
      <c r="N4230" s="2" t="s">
        <v>11037</v>
      </c>
      <c r="O4230" s="2" t="s">
        <v>11035</v>
      </c>
      <c r="P4230" s="2" t="s">
        <v>11037</v>
      </c>
      <c r="Q4230" s="2">
        <f>AVERAGE(PerfRate[[#This Row],[EnvironmentSatisfaction]],PerfRate[[#This Row],[JobSatisfaction]],PerfRate[[#This Row],[RelationshipSatisfaction]])</f>
        <v>3.3333333333333335</v>
      </c>
      <c r="R4230" s="2">
        <f>PerfRate[[#This Row],[ManagerRating]] - PerfRate[[#This Row],[SelfRating]]</f>
        <v>-1</v>
      </c>
    </row>
    <row r="4231" spans="1:18">
      <c r="A4231" s="2" t="s">
        <v>8538</v>
      </c>
      <c r="B4231" s="2" t="s">
        <v>2529</v>
      </c>
      <c r="C4231" s="1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  <c r="L4231" s="2" t="s">
        <v>11030</v>
      </c>
      <c r="M4231" s="2" t="s">
        <v>11029</v>
      </c>
      <c r="N4231" s="2" t="s">
        <v>11036</v>
      </c>
      <c r="O4231" s="2" t="s">
        <v>11037</v>
      </c>
      <c r="P4231" s="2" t="s">
        <v>11037</v>
      </c>
      <c r="Q4231" s="2">
        <f>AVERAGE(PerfRate[[#This Row],[EnvironmentSatisfaction]],PerfRate[[#This Row],[JobSatisfaction]],PerfRate[[#This Row],[RelationshipSatisfaction]])</f>
        <v>3.6666666666666665</v>
      </c>
      <c r="R4231" s="2">
        <f>PerfRate[[#This Row],[ManagerRating]] - PerfRate[[#This Row],[SelfRating]]</f>
        <v>-1</v>
      </c>
    </row>
    <row r="4232" spans="1:18">
      <c r="A4232" s="2" t="s">
        <v>8539</v>
      </c>
      <c r="B4232" s="2" t="s">
        <v>2488</v>
      </c>
      <c r="C4232" s="1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  <c r="L4232" s="2" t="s">
        <v>11031</v>
      </c>
      <c r="M4232" s="2" t="s">
        <v>11031</v>
      </c>
      <c r="N4232" s="2" t="s">
        <v>11037</v>
      </c>
      <c r="O4232" s="2" t="s">
        <v>11036</v>
      </c>
      <c r="P4232" s="2" t="s">
        <v>11038</v>
      </c>
      <c r="Q4232" s="2">
        <f>AVERAGE(PerfRate[[#This Row],[EnvironmentSatisfaction]],PerfRate[[#This Row],[JobSatisfaction]],PerfRate[[#This Row],[RelationshipSatisfaction]])</f>
        <v>4</v>
      </c>
      <c r="R4232" s="2">
        <f>PerfRate[[#This Row],[ManagerRating]] - PerfRate[[#This Row],[SelfRating]]</f>
        <v>0</v>
      </c>
    </row>
    <row r="4233" spans="1:18">
      <c r="A4233" s="2" t="s">
        <v>8540</v>
      </c>
      <c r="B4233" s="2" t="s">
        <v>1465</v>
      </c>
      <c r="C4233" s="1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  <c r="L4233" s="2" t="s">
        <v>11030</v>
      </c>
      <c r="M4233" s="2" t="s">
        <v>11029</v>
      </c>
      <c r="N4233" s="2" t="s">
        <v>11037</v>
      </c>
      <c r="O4233" s="2" t="s">
        <v>11038</v>
      </c>
      <c r="P4233" s="2" t="s">
        <v>11036</v>
      </c>
      <c r="Q4233" s="2">
        <f>AVERAGE(PerfRate[[#This Row],[EnvironmentSatisfaction]],PerfRate[[#This Row],[JobSatisfaction]],PerfRate[[#This Row],[RelationshipSatisfaction]])</f>
        <v>4</v>
      </c>
      <c r="R4233" s="2">
        <f>PerfRate[[#This Row],[ManagerRating]] - PerfRate[[#This Row],[SelfRating]]</f>
        <v>-1</v>
      </c>
    </row>
    <row r="4234" spans="1:18">
      <c r="A4234" s="2" t="s">
        <v>8541</v>
      </c>
      <c r="B4234" s="2" t="s">
        <v>2045</v>
      </c>
      <c r="C4234" s="1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  <c r="L4234" s="2" t="s">
        <v>11031</v>
      </c>
      <c r="M4234" s="2" t="s">
        <v>11031</v>
      </c>
      <c r="N4234" s="2" t="s">
        <v>11037</v>
      </c>
      <c r="O4234" s="2" t="s">
        <v>11036</v>
      </c>
      <c r="P4234" s="2" t="s">
        <v>11035</v>
      </c>
      <c r="Q4234" s="2">
        <f>AVERAGE(PerfRate[[#This Row],[EnvironmentSatisfaction]],PerfRate[[#This Row],[JobSatisfaction]],PerfRate[[#This Row],[RelationshipSatisfaction]])</f>
        <v>3</v>
      </c>
      <c r="R4234" s="2">
        <f>PerfRate[[#This Row],[ManagerRating]] - PerfRate[[#This Row],[SelfRating]]</f>
        <v>0</v>
      </c>
    </row>
    <row r="4235" spans="1:18">
      <c r="A4235" s="2" t="s">
        <v>8542</v>
      </c>
      <c r="B4235" s="2" t="s">
        <v>2984</v>
      </c>
      <c r="C4235" s="1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  <c r="L4235" s="2" t="s">
        <v>11030</v>
      </c>
      <c r="M4235" s="2" t="s">
        <v>11030</v>
      </c>
      <c r="N4235" s="2" t="s">
        <v>11037</v>
      </c>
      <c r="O4235" s="2" t="s">
        <v>11036</v>
      </c>
      <c r="P4235" s="2" t="s">
        <v>11034</v>
      </c>
      <c r="Q4235" s="2">
        <f>AVERAGE(PerfRate[[#This Row],[EnvironmentSatisfaction]],PerfRate[[#This Row],[JobSatisfaction]],PerfRate[[#This Row],[RelationshipSatisfaction]])</f>
        <v>2.6666666666666665</v>
      </c>
      <c r="R4235" s="2">
        <f>PerfRate[[#This Row],[ManagerRating]] - PerfRate[[#This Row],[SelfRating]]</f>
        <v>0</v>
      </c>
    </row>
    <row r="4236" spans="1:18">
      <c r="A4236" s="2" t="s">
        <v>8543</v>
      </c>
      <c r="B4236" s="2" t="s">
        <v>2715</v>
      </c>
      <c r="C4236" s="1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  <c r="L4236" s="2" t="s">
        <v>11030</v>
      </c>
      <c r="M4236" s="2" t="s">
        <v>11029</v>
      </c>
      <c r="N4236" s="2" t="s">
        <v>11035</v>
      </c>
      <c r="O4236" s="2" t="s">
        <v>11034</v>
      </c>
      <c r="P4236" s="2" t="s">
        <v>11037</v>
      </c>
      <c r="Q4236" s="2">
        <f>AVERAGE(PerfRate[[#This Row],[EnvironmentSatisfaction]],PerfRate[[#This Row],[JobSatisfaction]],PerfRate[[#This Row],[RelationshipSatisfaction]])</f>
        <v>2.3333333333333335</v>
      </c>
      <c r="R4236" s="2">
        <f>PerfRate[[#This Row],[ManagerRating]] - PerfRate[[#This Row],[SelfRating]]</f>
        <v>-1</v>
      </c>
    </row>
    <row r="4237" spans="1:18">
      <c r="A4237" s="2" t="s">
        <v>8544</v>
      </c>
      <c r="B4237" s="2" t="s">
        <v>538</v>
      </c>
      <c r="C4237" s="1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  <c r="L4237" s="2" t="s">
        <v>11030</v>
      </c>
      <c r="M4237" s="2" t="s">
        <v>11030</v>
      </c>
      <c r="N4237" s="2" t="s">
        <v>11035</v>
      </c>
      <c r="O4237" s="2" t="s">
        <v>11037</v>
      </c>
      <c r="P4237" s="2" t="s">
        <v>11035</v>
      </c>
      <c r="Q4237" s="2">
        <f>AVERAGE(PerfRate[[#This Row],[EnvironmentSatisfaction]],PerfRate[[#This Row],[JobSatisfaction]],PerfRate[[#This Row],[RelationshipSatisfaction]])</f>
        <v>2.6666666666666665</v>
      </c>
      <c r="R4237" s="2">
        <f>PerfRate[[#This Row],[ManagerRating]] - PerfRate[[#This Row],[SelfRating]]</f>
        <v>0</v>
      </c>
    </row>
    <row r="4238" spans="1:18">
      <c r="A4238" s="2" t="s">
        <v>8545</v>
      </c>
      <c r="B4238" s="2" t="s">
        <v>50</v>
      </c>
      <c r="C4238" s="1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  <c r="L4238" s="2" t="s">
        <v>11029</v>
      </c>
      <c r="M4238" s="2" t="s">
        <v>11029</v>
      </c>
      <c r="N4238" s="2" t="s">
        <v>11034</v>
      </c>
      <c r="O4238" s="2" t="s">
        <v>11034</v>
      </c>
      <c r="P4238" s="2" t="s">
        <v>11035</v>
      </c>
      <c r="Q4238" s="2">
        <f>AVERAGE(PerfRate[[#This Row],[EnvironmentSatisfaction]],PerfRate[[#This Row],[JobSatisfaction]],PerfRate[[#This Row],[RelationshipSatisfaction]])</f>
        <v>1.3333333333333333</v>
      </c>
      <c r="R4238" s="2">
        <f>PerfRate[[#This Row],[ManagerRating]] - PerfRate[[#This Row],[SelfRating]]</f>
        <v>0</v>
      </c>
    </row>
    <row r="4239" spans="1:18">
      <c r="A4239" s="2" t="s">
        <v>8546</v>
      </c>
      <c r="B4239" s="2" t="s">
        <v>759</v>
      </c>
      <c r="C4239" s="1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  <c r="L4239" s="2" t="s">
        <v>11030</v>
      </c>
      <c r="M4239" s="2" t="s">
        <v>11030</v>
      </c>
      <c r="N4239" s="2" t="s">
        <v>11035</v>
      </c>
      <c r="O4239" s="2" t="s">
        <v>11035</v>
      </c>
      <c r="P4239" s="2" t="s">
        <v>11035</v>
      </c>
      <c r="Q4239" s="2">
        <f>AVERAGE(PerfRate[[#This Row],[EnvironmentSatisfaction]],PerfRate[[#This Row],[JobSatisfaction]],PerfRate[[#This Row],[RelationshipSatisfaction]])</f>
        <v>2</v>
      </c>
      <c r="R4239" s="2">
        <f>PerfRate[[#This Row],[ManagerRating]] - PerfRate[[#This Row],[SelfRating]]</f>
        <v>0</v>
      </c>
    </row>
    <row r="4240" spans="1:18">
      <c r="A4240" s="2" t="s">
        <v>8547</v>
      </c>
      <c r="B4240" s="2" t="s">
        <v>610</v>
      </c>
      <c r="C4240" s="1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  <c r="L4240" s="2" t="s">
        <v>11030</v>
      </c>
      <c r="M4240" s="2" t="s">
        <v>11029</v>
      </c>
      <c r="N4240" s="2" t="s">
        <v>11037</v>
      </c>
      <c r="O4240" s="2" t="s">
        <v>11036</v>
      </c>
      <c r="P4240" s="2" t="s">
        <v>11035</v>
      </c>
      <c r="Q4240" s="2">
        <f>AVERAGE(PerfRate[[#This Row],[EnvironmentSatisfaction]],PerfRate[[#This Row],[JobSatisfaction]],PerfRate[[#This Row],[RelationshipSatisfaction]])</f>
        <v>3</v>
      </c>
      <c r="R4240" s="2">
        <f>PerfRate[[#This Row],[ManagerRating]] - PerfRate[[#This Row],[SelfRating]]</f>
        <v>-1</v>
      </c>
    </row>
    <row r="4241" spans="1:18">
      <c r="A4241" s="2" t="s">
        <v>8548</v>
      </c>
      <c r="B4241" s="2" t="s">
        <v>1383</v>
      </c>
      <c r="C4241" s="1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  <c r="L4241" s="2" t="s">
        <v>11030</v>
      </c>
      <c r="M4241" s="2" t="s">
        <v>11030</v>
      </c>
      <c r="N4241" s="2" t="s">
        <v>11037</v>
      </c>
      <c r="O4241" s="2" t="s">
        <v>11035</v>
      </c>
      <c r="P4241" s="2" t="s">
        <v>11037</v>
      </c>
      <c r="Q4241" s="2">
        <f>AVERAGE(PerfRate[[#This Row],[EnvironmentSatisfaction]],PerfRate[[#This Row],[JobSatisfaction]],PerfRate[[#This Row],[RelationshipSatisfaction]])</f>
        <v>3.3333333333333335</v>
      </c>
      <c r="R4241" s="2">
        <f>PerfRate[[#This Row],[ManagerRating]] - PerfRate[[#This Row],[SelfRating]]</f>
        <v>0</v>
      </c>
    </row>
    <row r="4242" spans="1:18">
      <c r="A4242" s="2" t="s">
        <v>8549</v>
      </c>
      <c r="B4242" s="2" t="s">
        <v>175</v>
      </c>
      <c r="C4242" s="1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  <c r="L4242" s="2" t="s">
        <v>11031</v>
      </c>
      <c r="M4242" s="2" t="s">
        <v>11031</v>
      </c>
      <c r="N4242" s="2" t="s">
        <v>11038</v>
      </c>
      <c r="O4242" s="2" t="s">
        <v>11036</v>
      </c>
      <c r="P4242" s="2" t="s">
        <v>11037</v>
      </c>
      <c r="Q4242" s="2">
        <f>AVERAGE(PerfRate[[#This Row],[EnvironmentSatisfaction]],PerfRate[[#This Row],[JobSatisfaction]],PerfRate[[#This Row],[RelationshipSatisfaction]])</f>
        <v>4</v>
      </c>
      <c r="R4242" s="2">
        <f>PerfRate[[#This Row],[ManagerRating]] - PerfRate[[#This Row],[SelfRating]]</f>
        <v>0</v>
      </c>
    </row>
    <row r="4243" spans="1:18">
      <c r="A4243" s="2" t="s">
        <v>8550</v>
      </c>
      <c r="B4243" s="2" t="s">
        <v>1418</v>
      </c>
      <c r="C4243" s="1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  <c r="L4243" s="2" t="s">
        <v>11029</v>
      </c>
      <c r="M4243" s="2" t="s">
        <v>11029</v>
      </c>
      <c r="N4243" s="2" t="s">
        <v>11036</v>
      </c>
      <c r="O4243" s="2" t="s">
        <v>11038</v>
      </c>
      <c r="P4243" s="2" t="s">
        <v>11035</v>
      </c>
      <c r="Q4243" s="2">
        <f>AVERAGE(PerfRate[[#This Row],[EnvironmentSatisfaction]],PerfRate[[#This Row],[JobSatisfaction]],PerfRate[[#This Row],[RelationshipSatisfaction]])</f>
        <v>3.3333333333333335</v>
      </c>
      <c r="R4243" s="2">
        <f>PerfRate[[#This Row],[ManagerRating]] - PerfRate[[#This Row],[SelfRating]]</f>
        <v>0</v>
      </c>
    </row>
    <row r="4244" spans="1:18">
      <c r="A4244" s="2" t="s">
        <v>8551</v>
      </c>
      <c r="B4244" s="2" t="s">
        <v>2169</v>
      </c>
      <c r="C4244" s="1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  <c r="L4244" s="2" t="s">
        <v>11030</v>
      </c>
      <c r="M4244" s="2" t="s">
        <v>11030</v>
      </c>
      <c r="N4244" s="2" t="s">
        <v>11038</v>
      </c>
      <c r="O4244" s="2" t="s">
        <v>11035</v>
      </c>
      <c r="P4244" s="2" t="s">
        <v>11035</v>
      </c>
      <c r="Q4244" s="2">
        <f>AVERAGE(PerfRate[[#This Row],[EnvironmentSatisfaction]],PerfRate[[#This Row],[JobSatisfaction]],PerfRate[[#This Row],[RelationshipSatisfaction]])</f>
        <v>3</v>
      </c>
      <c r="R4244" s="2">
        <f>PerfRate[[#This Row],[ManagerRating]] - PerfRate[[#This Row],[SelfRating]]</f>
        <v>0</v>
      </c>
    </row>
    <row r="4245" spans="1:18">
      <c r="A4245" s="2" t="s">
        <v>8552</v>
      </c>
      <c r="B4245" s="2" t="s">
        <v>4072</v>
      </c>
      <c r="C4245" s="1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  <c r="L4245" s="2" t="s">
        <v>11030</v>
      </c>
      <c r="M4245" s="2" t="s">
        <v>11029</v>
      </c>
      <c r="N4245" s="2" t="s">
        <v>11038</v>
      </c>
      <c r="O4245" s="2" t="s">
        <v>11036</v>
      </c>
      <c r="P4245" s="2" t="s">
        <v>11036</v>
      </c>
      <c r="Q4245" s="2">
        <f>AVERAGE(PerfRate[[#This Row],[EnvironmentSatisfaction]],PerfRate[[#This Row],[JobSatisfaction]],PerfRate[[#This Row],[RelationshipSatisfaction]])</f>
        <v>3.6666666666666665</v>
      </c>
      <c r="R4245" s="2">
        <f>PerfRate[[#This Row],[ManagerRating]] - PerfRate[[#This Row],[SelfRating]]</f>
        <v>-1</v>
      </c>
    </row>
    <row r="4246" spans="1:18">
      <c r="A4246" s="2" t="s">
        <v>8553</v>
      </c>
      <c r="B4246" s="2" t="s">
        <v>2060</v>
      </c>
      <c r="C4246" s="1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  <c r="L4246" s="2" t="s">
        <v>11031</v>
      </c>
      <c r="M4246" s="2" t="s">
        <v>11031</v>
      </c>
      <c r="N4246" s="2" t="s">
        <v>11038</v>
      </c>
      <c r="O4246" s="2" t="s">
        <v>11036</v>
      </c>
      <c r="P4246" s="2" t="s">
        <v>11035</v>
      </c>
      <c r="Q4246" s="2">
        <f>AVERAGE(PerfRate[[#This Row],[EnvironmentSatisfaction]],PerfRate[[#This Row],[JobSatisfaction]],PerfRate[[#This Row],[RelationshipSatisfaction]])</f>
        <v>3.3333333333333335</v>
      </c>
      <c r="R4246" s="2">
        <f>PerfRate[[#This Row],[ManagerRating]] - PerfRate[[#This Row],[SelfRating]]</f>
        <v>0</v>
      </c>
    </row>
    <row r="4247" spans="1:18">
      <c r="A4247" s="2" t="s">
        <v>8554</v>
      </c>
      <c r="B4247" s="2" t="s">
        <v>1663</v>
      </c>
      <c r="C4247" s="1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  <c r="L4247" s="2" t="s">
        <v>11029</v>
      </c>
      <c r="M4247" s="2" t="s">
        <v>11029</v>
      </c>
      <c r="N4247" s="2" t="s">
        <v>11038</v>
      </c>
      <c r="O4247" s="2" t="s">
        <v>11038</v>
      </c>
      <c r="P4247" s="2" t="s">
        <v>11038</v>
      </c>
      <c r="Q4247" s="2">
        <f>AVERAGE(PerfRate[[#This Row],[EnvironmentSatisfaction]],PerfRate[[#This Row],[JobSatisfaction]],PerfRate[[#This Row],[RelationshipSatisfaction]])</f>
        <v>5</v>
      </c>
      <c r="R4247" s="2">
        <f>PerfRate[[#This Row],[ManagerRating]] - PerfRate[[#This Row],[SelfRating]]</f>
        <v>0</v>
      </c>
    </row>
    <row r="4248" spans="1:18">
      <c r="A4248" s="2" t="s">
        <v>8555</v>
      </c>
      <c r="B4248" s="2" t="s">
        <v>1139</v>
      </c>
      <c r="C4248" s="1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  <c r="L4248" s="2" t="s">
        <v>11031</v>
      </c>
      <c r="M4248" s="2" t="s">
        <v>11031</v>
      </c>
      <c r="N4248" s="2" t="s">
        <v>11038</v>
      </c>
      <c r="O4248" s="2" t="s">
        <v>11035</v>
      </c>
      <c r="P4248" s="2" t="s">
        <v>11038</v>
      </c>
      <c r="Q4248" s="2">
        <f>AVERAGE(PerfRate[[#This Row],[EnvironmentSatisfaction]],PerfRate[[#This Row],[JobSatisfaction]],PerfRate[[#This Row],[RelationshipSatisfaction]])</f>
        <v>4</v>
      </c>
      <c r="R4248" s="2">
        <f>PerfRate[[#This Row],[ManagerRating]] - PerfRate[[#This Row],[SelfRating]]</f>
        <v>0</v>
      </c>
    </row>
    <row r="4249" spans="1:18">
      <c r="A4249" s="2" t="s">
        <v>8556</v>
      </c>
      <c r="B4249" s="2" t="s">
        <v>2551</v>
      </c>
      <c r="C4249" s="1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  <c r="L4249" s="2" t="s">
        <v>11030</v>
      </c>
      <c r="M4249" s="2" t="s">
        <v>11030</v>
      </c>
      <c r="N4249" s="2" t="s">
        <v>11038</v>
      </c>
      <c r="O4249" s="2" t="s">
        <v>11035</v>
      </c>
      <c r="P4249" s="2" t="s">
        <v>11036</v>
      </c>
      <c r="Q4249" s="2">
        <f>AVERAGE(PerfRate[[#This Row],[EnvironmentSatisfaction]],PerfRate[[#This Row],[JobSatisfaction]],PerfRate[[#This Row],[RelationshipSatisfaction]])</f>
        <v>3.3333333333333335</v>
      </c>
      <c r="R4249" s="2">
        <f>PerfRate[[#This Row],[ManagerRating]] - PerfRate[[#This Row],[SelfRating]]</f>
        <v>0</v>
      </c>
    </row>
    <row r="4250" spans="1:18">
      <c r="A4250" s="2" t="s">
        <v>8557</v>
      </c>
      <c r="B4250" s="2" t="s">
        <v>1111</v>
      </c>
      <c r="C4250" s="1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  <c r="L4250" s="2" t="s">
        <v>11030</v>
      </c>
      <c r="M4250" s="2" t="s">
        <v>11029</v>
      </c>
      <c r="N4250" s="2" t="s">
        <v>11038</v>
      </c>
      <c r="O4250" s="2" t="s">
        <v>11035</v>
      </c>
      <c r="P4250" s="2" t="s">
        <v>11038</v>
      </c>
      <c r="Q4250" s="2">
        <f>AVERAGE(PerfRate[[#This Row],[EnvironmentSatisfaction]],PerfRate[[#This Row],[JobSatisfaction]],PerfRate[[#This Row],[RelationshipSatisfaction]])</f>
        <v>4</v>
      </c>
      <c r="R4250" s="2">
        <f>PerfRate[[#This Row],[ManagerRating]] - PerfRate[[#This Row],[SelfRating]]</f>
        <v>-1</v>
      </c>
    </row>
    <row r="4251" spans="1:18">
      <c r="A4251" s="2" t="s">
        <v>8558</v>
      </c>
      <c r="B4251" s="2" t="s">
        <v>532</v>
      </c>
      <c r="C4251" s="1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  <c r="L4251" s="2" t="s">
        <v>11031</v>
      </c>
      <c r="M4251" s="2" t="s">
        <v>11031</v>
      </c>
      <c r="N4251" s="2" t="s">
        <v>11036</v>
      </c>
      <c r="O4251" s="2" t="s">
        <v>11034</v>
      </c>
      <c r="P4251" s="2" t="s">
        <v>11035</v>
      </c>
      <c r="Q4251" s="2">
        <f>AVERAGE(PerfRate[[#This Row],[EnvironmentSatisfaction]],PerfRate[[#This Row],[JobSatisfaction]],PerfRate[[#This Row],[RelationshipSatisfaction]])</f>
        <v>2</v>
      </c>
      <c r="R4251" s="2">
        <f>PerfRate[[#This Row],[ManagerRating]] - PerfRate[[#This Row],[SelfRating]]</f>
        <v>0</v>
      </c>
    </row>
    <row r="4252" spans="1:18">
      <c r="A4252" s="2" t="s">
        <v>8559</v>
      </c>
      <c r="B4252" s="2" t="s">
        <v>241</v>
      </c>
      <c r="C4252" s="1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  <c r="L4252" s="2" t="s">
        <v>11031</v>
      </c>
      <c r="M4252" s="2" t="s">
        <v>11030</v>
      </c>
      <c r="N4252" s="2" t="s">
        <v>11038</v>
      </c>
      <c r="O4252" s="2" t="s">
        <v>11035</v>
      </c>
      <c r="P4252" s="2" t="s">
        <v>11037</v>
      </c>
      <c r="Q4252" s="2">
        <f>AVERAGE(PerfRate[[#This Row],[EnvironmentSatisfaction]],PerfRate[[#This Row],[JobSatisfaction]],PerfRate[[#This Row],[RelationshipSatisfaction]])</f>
        <v>3.6666666666666665</v>
      </c>
      <c r="R4252" s="2">
        <f>PerfRate[[#This Row],[ManagerRating]] - PerfRate[[#This Row],[SelfRating]]</f>
        <v>-1</v>
      </c>
    </row>
    <row r="4253" spans="1:18">
      <c r="A4253" s="2" t="s">
        <v>8560</v>
      </c>
      <c r="B4253" s="2" t="s">
        <v>1850</v>
      </c>
      <c r="C4253" s="1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  <c r="L4253" s="2" t="s">
        <v>11029</v>
      </c>
      <c r="M4253" s="2" t="s">
        <v>11029</v>
      </c>
      <c r="N4253" s="2" t="s">
        <v>11035</v>
      </c>
      <c r="O4253" s="2" t="s">
        <v>11034</v>
      </c>
      <c r="P4253" s="2" t="s">
        <v>11035</v>
      </c>
      <c r="Q4253" s="2">
        <f>AVERAGE(PerfRate[[#This Row],[EnvironmentSatisfaction]],PerfRate[[#This Row],[JobSatisfaction]],PerfRate[[#This Row],[RelationshipSatisfaction]])</f>
        <v>1.6666666666666667</v>
      </c>
      <c r="R4253" s="2">
        <f>PerfRate[[#This Row],[ManagerRating]] - PerfRate[[#This Row],[SelfRating]]</f>
        <v>0</v>
      </c>
    </row>
    <row r="4254" spans="1:18">
      <c r="A4254" s="2" t="s">
        <v>8561</v>
      </c>
      <c r="B4254" s="2" t="s">
        <v>2326</v>
      </c>
      <c r="C4254" s="1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  <c r="L4254" s="2" t="s">
        <v>11029</v>
      </c>
      <c r="M4254" s="2" t="s">
        <v>11028</v>
      </c>
      <c r="N4254" s="2" t="s">
        <v>11034</v>
      </c>
      <c r="O4254" s="2" t="s">
        <v>11034</v>
      </c>
      <c r="P4254" s="2" t="s">
        <v>11036</v>
      </c>
      <c r="Q4254" s="2">
        <f>AVERAGE(PerfRate[[#This Row],[EnvironmentSatisfaction]],PerfRate[[#This Row],[JobSatisfaction]],PerfRate[[#This Row],[RelationshipSatisfaction]])</f>
        <v>1.6666666666666667</v>
      </c>
      <c r="R4254" s="2">
        <f>PerfRate[[#This Row],[ManagerRating]] - PerfRate[[#This Row],[SelfRating]]</f>
        <v>-1</v>
      </c>
    </row>
    <row r="4255" spans="1:18">
      <c r="A4255" s="2" t="s">
        <v>8562</v>
      </c>
      <c r="B4255" s="2" t="s">
        <v>2709</v>
      </c>
      <c r="C4255" s="1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  <c r="L4255" s="2" t="s">
        <v>11031</v>
      </c>
      <c r="M4255" s="2" t="s">
        <v>11031</v>
      </c>
      <c r="N4255" s="2" t="s">
        <v>11034</v>
      </c>
      <c r="O4255" s="2" t="s">
        <v>11036</v>
      </c>
      <c r="P4255" s="2" t="s">
        <v>11036</v>
      </c>
      <c r="Q4255" s="2">
        <f>AVERAGE(PerfRate[[#This Row],[EnvironmentSatisfaction]],PerfRate[[#This Row],[JobSatisfaction]],PerfRate[[#This Row],[RelationshipSatisfaction]])</f>
        <v>2.3333333333333335</v>
      </c>
      <c r="R4255" s="2">
        <f>PerfRate[[#This Row],[ManagerRating]] - PerfRate[[#This Row],[SelfRating]]</f>
        <v>0</v>
      </c>
    </row>
    <row r="4256" spans="1:18">
      <c r="A4256" s="2" t="s">
        <v>8563</v>
      </c>
      <c r="B4256" s="2" t="s">
        <v>1802</v>
      </c>
      <c r="C4256" s="1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  <c r="L4256" s="2" t="s">
        <v>11030</v>
      </c>
      <c r="M4256" s="2" t="s">
        <v>11030</v>
      </c>
      <c r="N4256" s="2" t="s">
        <v>11037</v>
      </c>
      <c r="O4256" s="2" t="s">
        <v>11034</v>
      </c>
      <c r="P4256" s="2" t="s">
        <v>11035</v>
      </c>
      <c r="Q4256" s="2">
        <f>AVERAGE(PerfRate[[#This Row],[EnvironmentSatisfaction]],PerfRate[[#This Row],[JobSatisfaction]],PerfRate[[#This Row],[RelationshipSatisfaction]])</f>
        <v>2.3333333333333335</v>
      </c>
      <c r="R4256" s="2">
        <f>PerfRate[[#This Row],[ManagerRating]] - PerfRate[[#This Row],[SelfRating]]</f>
        <v>0</v>
      </c>
    </row>
    <row r="4257" spans="1:18">
      <c r="A4257" s="2" t="s">
        <v>8564</v>
      </c>
      <c r="B4257" s="2" t="s">
        <v>3320</v>
      </c>
      <c r="C4257" s="1">
        <v>44200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  <c r="L4257" s="2" t="s">
        <v>11030</v>
      </c>
      <c r="M4257" s="2" t="s">
        <v>11030</v>
      </c>
      <c r="N4257" s="2" t="s">
        <v>11036</v>
      </c>
      <c r="O4257" s="2" t="s">
        <v>11036</v>
      </c>
      <c r="P4257" s="2" t="s">
        <v>11038</v>
      </c>
      <c r="Q4257" s="2">
        <f>AVERAGE(PerfRate[[#This Row],[EnvironmentSatisfaction]],PerfRate[[#This Row],[JobSatisfaction]],PerfRate[[#This Row],[RelationshipSatisfaction]])</f>
        <v>3.6666666666666665</v>
      </c>
      <c r="R4257" s="2">
        <f>PerfRate[[#This Row],[ManagerRating]] - PerfRate[[#This Row],[SelfRating]]</f>
        <v>0</v>
      </c>
    </row>
    <row r="4258" spans="1:18">
      <c r="A4258" s="2" t="s">
        <v>8565</v>
      </c>
      <c r="B4258" s="2" t="s">
        <v>160</v>
      </c>
      <c r="C4258" s="1">
        <v>44200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  <c r="L4258" s="2" t="s">
        <v>11031</v>
      </c>
      <c r="M4258" s="2" t="s">
        <v>11031</v>
      </c>
      <c r="N4258" s="2" t="s">
        <v>11036</v>
      </c>
      <c r="O4258" s="2" t="s">
        <v>11036</v>
      </c>
      <c r="P4258" s="2" t="s">
        <v>11037</v>
      </c>
      <c r="Q4258" s="2">
        <f>AVERAGE(PerfRate[[#This Row],[EnvironmentSatisfaction]],PerfRate[[#This Row],[JobSatisfaction]],PerfRate[[#This Row],[RelationshipSatisfaction]])</f>
        <v>3.3333333333333335</v>
      </c>
      <c r="R4258" s="2">
        <f>PerfRate[[#This Row],[ManagerRating]] - PerfRate[[#This Row],[SelfRating]]</f>
        <v>0</v>
      </c>
    </row>
    <row r="4259" spans="1:18">
      <c r="A4259" s="2" t="s">
        <v>8566</v>
      </c>
      <c r="B4259" s="2" t="s">
        <v>753</v>
      </c>
      <c r="C4259" s="1">
        <v>44200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  <c r="L4259" s="2" t="s">
        <v>11030</v>
      </c>
      <c r="M4259" s="2" t="s">
        <v>11030</v>
      </c>
      <c r="N4259" s="2" t="s">
        <v>11037</v>
      </c>
      <c r="O4259" s="2" t="s">
        <v>11037</v>
      </c>
      <c r="P4259" s="2" t="s">
        <v>11036</v>
      </c>
      <c r="Q4259" s="2">
        <f>AVERAGE(PerfRate[[#This Row],[EnvironmentSatisfaction]],PerfRate[[#This Row],[JobSatisfaction]],PerfRate[[#This Row],[RelationshipSatisfaction]])</f>
        <v>3.6666666666666665</v>
      </c>
      <c r="R4259" s="2">
        <f>PerfRate[[#This Row],[ManagerRating]] - PerfRate[[#This Row],[SelfRating]]</f>
        <v>0</v>
      </c>
    </row>
    <row r="4260" spans="1:18">
      <c r="A4260" s="2" t="s">
        <v>8567</v>
      </c>
      <c r="B4260" s="2" t="s">
        <v>1108</v>
      </c>
      <c r="C4260" s="1">
        <v>44200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  <c r="L4260" s="2" t="s">
        <v>11030</v>
      </c>
      <c r="M4260" s="2" t="s">
        <v>11030</v>
      </c>
      <c r="N4260" s="2" t="s">
        <v>11036</v>
      </c>
      <c r="O4260" s="2" t="s">
        <v>11038</v>
      </c>
      <c r="P4260" s="2" t="s">
        <v>11038</v>
      </c>
      <c r="Q4260" s="2">
        <f>AVERAGE(PerfRate[[#This Row],[EnvironmentSatisfaction]],PerfRate[[#This Row],[JobSatisfaction]],PerfRate[[#This Row],[RelationshipSatisfaction]])</f>
        <v>4.333333333333333</v>
      </c>
      <c r="R4260" s="2">
        <f>PerfRate[[#This Row],[ManagerRating]] - PerfRate[[#This Row],[SelfRating]]</f>
        <v>0</v>
      </c>
    </row>
    <row r="4261" spans="1:18">
      <c r="A4261" s="2" t="s">
        <v>8568</v>
      </c>
      <c r="B4261" s="2" t="s">
        <v>1189</v>
      </c>
      <c r="C4261" s="1">
        <v>44231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  <c r="L4261" s="2" t="s">
        <v>11031</v>
      </c>
      <c r="M4261" s="2" t="s">
        <v>11030</v>
      </c>
      <c r="N4261" s="2" t="s">
        <v>11038</v>
      </c>
      <c r="O4261" s="2" t="s">
        <v>11037</v>
      </c>
      <c r="P4261" s="2" t="s">
        <v>11036</v>
      </c>
      <c r="Q4261" s="2">
        <f>AVERAGE(PerfRate[[#This Row],[EnvironmentSatisfaction]],PerfRate[[#This Row],[JobSatisfaction]],PerfRate[[#This Row],[RelationshipSatisfaction]])</f>
        <v>4</v>
      </c>
      <c r="R4261" s="2">
        <f>PerfRate[[#This Row],[ManagerRating]] - PerfRate[[#This Row],[SelfRating]]</f>
        <v>-1</v>
      </c>
    </row>
    <row r="4262" spans="1:18">
      <c r="A4262" s="2" t="s">
        <v>8569</v>
      </c>
      <c r="B4262" s="2" t="s">
        <v>2312</v>
      </c>
      <c r="C4262" s="1">
        <v>44231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  <c r="L4262" s="2" t="s">
        <v>11029</v>
      </c>
      <c r="M4262" s="2" t="s">
        <v>11029</v>
      </c>
      <c r="N4262" s="2" t="s">
        <v>11036</v>
      </c>
      <c r="O4262" s="2" t="s">
        <v>11036</v>
      </c>
      <c r="P4262" s="2" t="s">
        <v>11037</v>
      </c>
      <c r="Q4262" s="2">
        <f>AVERAGE(PerfRate[[#This Row],[EnvironmentSatisfaction]],PerfRate[[#This Row],[JobSatisfaction]],PerfRate[[#This Row],[RelationshipSatisfaction]])</f>
        <v>3.3333333333333335</v>
      </c>
      <c r="R4262" s="2">
        <f>PerfRate[[#This Row],[ManagerRating]] - PerfRate[[#This Row],[SelfRating]]</f>
        <v>0</v>
      </c>
    </row>
    <row r="4263" spans="1:18">
      <c r="A4263" s="2" t="s">
        <v>8570</v>
      </c>
      <c r="B4263" s="2" t="s">
        <v>3126</v>
      </c>
      <c r="C4263" s="1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  <c r="L4263" s="2" t="s">
        <v>11030</v>
      </c>
      <c r="M4263" s="2" t="s">
        <v>11029</v>
      </c>
      <c r="N4263" s="2" t="s">
        <v>11038</v>
      </c>
      <c r="O4263" s="2" t="s">
        <v>11035</v>
      </c>
      <c r="P4263" s="2" t="s">
        <v>11035</v>
      </c>
      <c r="Q4263" s="2">
        <f>AVERAGE(PerfRate[[#This Row],[EnvironmentSatisfaction]],PerfRate[[#This Row],[JobSatisfaction]],PerfRate[[#This Row],[RelationshipSatisfaction]])</f>
        <v>3</v>
      </c>
      <c r="R4263" s="2">
        <f>PerfRate[[#This Row],[ManagerRating]] - PerfRate[[#This Row],[SelfRating]]</f>
        <v>-1</v>
      </c>
    </row>
    <row r="4264" spans="1:18">
      <c r="A4264" s="2" t="s">
        <v>8571</v>
      </c>
      <c r="B4264" s="2" t="s">
        <v>2473</v>
      </c>
      <c r="C4264" s="1">
        <v>44231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  <c r="L4264" s="2" t="s">
        <v>11031</v>
      </c>
      <c r="M4264" s="2" t="s">
        <v>11030</v>
      </c>
      <c r="N4264" s="2" t="s">
        <v>11036</v>
      </c>
      <c r="O4264" s="2" t="s">
        <v>11035</v>
      </c>
      <c r="P4264" s="2" t="s">
        <v>11037</v>
      </c>
      <c r="Q4264" s="2">
        <f>AVERAGE(PerfRate[[#This Row],[EnvironmentSatisfaction]],PerfRate[[#This Row],[JobSatisfaction]],PerfRate[[#This Row],[RelationshipSatisfaction]])</f>
        <v>3</v>
      </c>
      <c r="R4264" s="2">
        <f>PerfRate[[#This Row],[ManagerRating]] - PerfRate[[#This Row],[SelfRating]]</f>
        <v>-1</v>
      </c>
    </row>
    <row r="4265" spans="1:18">
      <c r="A4265" s="2" t="s">
        <v>8572</v>
      </c>
      <c r="B4265" s="2" t="s">
        <v>1529</v>
      </c>
      <c r="C4265" s="1">
        <v>44259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  <c r="L4265" s="2" t="s">
        <v>11029</v>
      </c>
      <c r="M4265" s="2" t="s">
        <v>11029</v>
      </c>
      <c r="N4265" s="2" t="s">
        <v>11034</v>
      </c>
      <c r="O4265" s="2" t="s">
        <v>11037</v>
      </c>
      <c r="P4265" s="2" t="s">
        <v>11037</v>
      </c>
      <c r="Q4265" s="2">
        <f>AVERAGE(PerfRate[[#This Row],[EnvironmentSatisfaction]],PerfRate[[#This Row],[JobSatisfaction]],PerfRate[[#This Row],[RelationshipSatisfaction]])</f>
        <v>3</v>
      </c>
      <c r="R4265" s="2">
        <f>PerfRate[[#This Row],[ManagerRating]] - PerfRate[[#This Row],[SelfRating]]</f>
        <v>0</v>
      </c>
    </row>
    <row r="4266" spans="1:18">
      <c r="A4266" s="2" t="s">
        <v>8573</v>
      </c>
      <c r="B4266" s="2" t="s">
        <v>1474</v>
      </c>
      <c r="C4266" s="1">
        <v>44259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  <c r="L4266" s="2" t="s">
        <v>11030</v>
      </c>
      <c r="M4266" s="2" t="s">
        <v>11030</v>
      </c>
      <c r="N4266" s="2" t="s">
        <v>11037</v>
      </c>
      <c r="O4266" s="2" t="s">
        <v>11036</v>
      </c>
      <c r="P4266" s="2" t="s">
        <v>11034</v>
      </c>
      <c r="Q4266" s="2">
        <f>AVERAGE(PerfRate[[#This Row],[EnvironmentSatisfaction]],PerfRate[[#This Row],[JobSatisfaction]],PerfRate[[#This Row],[RelationshipSatisfaction]])</f>
        <v>2.6666666666666665</v>
      </c>
      <c r="R4266" s="2">
        <f>PerfRate[[#This Row],[ManagerRating]] - PerfRate[[#This Row],[SelfRating]]</f>
        <v>0</v>
      </c>
    </row>
    <row r="4267" spans="1:18">
      <c r="A4267" s="2" t="s">
        <v>8574</v>
      </c>
      <c r="B4267" s="2" t="s">
        <v>1853</v>
      </c>
      <c r="C4267" s="1">
        <v>44259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  <c r="L4267" s="2" t="s">
        <v>11031</v>
      </c>
      <c r="M4267" s="2" t="s">
        <v>11030</v>
      </c>
      <c r="N4267" s="2" t="s">
        <v>11035</v>
      </c>
      <c r="O4267" s="2" t="s">
        <v>11034</v>
      </c>
      <c r="P4267" s="2" t="s">
        <v>11035</v>
      </c>
      <c r="Q4267" s="2">
        <f>AVERAGE(PerfRate[[#This Row],[EnvironmentSatisfaction]],PerfRate[[#This Row],[JobSatisfaction]],PerfRate[[#This Row],[RelationshipSatisfaction]])</f>
        <v>1.6666666666666667</v>
      </c>
      <c r="R4267" s="2">
        <f>PerfRate[[#This Row],[ManagerRating]] - PerfRate[[#This Row],[SelfRating]]</f>
        <v>-1</v>
      </c>
    </row>
    <row r="4268" spans="1:18">
      <c r="A4268" s="2" t="s">
        <v>8575</v>
      </c>
      <c r="B4268" s="2" t="s">
        <v>687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  <c r="L4268" s="2" t="s">
        <v>11029</v>
      </c>
      <c r="M4268" s="2" t="s">
        <v>11028</v>
      </c>
      <c r="N4268" s="2" t="s">
        <v>11038</v>
      </c>
      <c r="O4268" s="2" t="s">
        <v>11035</v>
      </c>
      <c r="P4268" s="2" t="s">
        <v>11035</v>
      </c>
      <c r="Q4268" s="2">
        <f>AVERAGE(PerfRate[[#This Row],[EnvironmentSatisfaction]],PerfRate[[#This Row],[JobSatisfaction]],PerfRate[[#This Row],[RelationshipSatisfaction]])</f>
        <v>3</v>
      </c>
      <c r="R4268" s="2">
        <f>PerfRate[[#This Row],[ManagerRating]] - PerfRate[[#This Row],[SelfRating]]</f>
        <v>-1</v>
      </c>
    </row>
    <row r="4269" spans="1:18">
      <c r="A4269" s="2" t="s">
        <v>8576</v>
      </c>
      <c r="B4269" s="2" t="s">
        <v>2792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  <c r="L4269" s="2" t="s">
        <v>11031</v>
      </c>
      <c r="M4269" s="2" t="s">
        <v>11031</v>
      </c>
      <c r="N4269" s="2" t="s">
        <v>11036</v>
      </c>
      <c r="O4269" s="2" t="s">
        <v>11035</v>
      </c>
      <c r="P4269" s="2" t="s">
        <v>11038</v>
      </c>
      <c r="Q4269" s="2">
        <f>AVERAGE(PerfRate[[#This Row],[EnvironmentSatisfaction]],PerfRate[[#This Row],[JobSatisfaction]],PerfRate[[#This Row],[RelationshipSatisfaction]])</f>
        <v>3.3333333333333335</v>
      </c>
      <c r="R4269" s="2">
        <f>PerfRate[[#This Row],[ManagerRating]] - PerfRate[[#This Row],[SelfRating]]</f>
        <v>0</v>
      </c>
    </row>
    <row r="4270" spans="1:18">
      <c r="A4270" s="2" t="s">
        <v>8577</v>
      </c>
      <c r="B4270" s="2" t="s">
        <v>2981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  <c r="L4270" s="2" t="s">
        <v>11031</v>
      </c>
      <c r="M4270" s="2" t="s">
        <v>11030</v>
      </c>
      <c r="N4270" s="2" t="s">
        <v>11036</v>
      </c>
      <c r="O4270" s="2" t="s">
        <v>11037</v>
      </c>
      <c r="P4270" s="2" t="s">
        <v>11038</v>
      </c>
      <c r="Q4270" s="2">
        <f>AVERAGE(PerfRate[[#This Row],[EnvironmentSatisfaction]],PerfRate[[#This Row],[JobSatisfaction]],PerfRate[[#This Row],[RelationshipSatisfaction]])</f>
        <v>4</v>
      </c>
      <c r="R4270" s="2">
        <f>PerfRate[[#This Row],[ManagerRating]] - PerfRate[[#This Row],[SelfRating]]</f>
        <v>-1</v>
      </c>
    </row>
    <row r="4271" spans="1:18">
      <c r="A4271" s="2" t="s">
        <v>8578</v>
      </c>
      <c r="B4271" s="2" t="s">
        <v>1227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  <c r="L4271" s="2" t="s">
        <v>11029</v>
      </c>
      <c r="M4271" s="2" t="s">
        <v>11029</v>
      </c>
      <c r="N4271" s="2" t="s">
        <v>11037</v>
      </c>
      <c r="O4271" s="2" t="s">
        <v>11038</v>
      </c>
      <c r="P4271" s="2" t="s">
        <v>11037</v>
      </c>
      <c r="Q4271" s="2">
        <f>AVERAGE(PerfRate[[#This Row],[EnvironmentSatisfaction]],PerfRate[[#This Row],[JobSatisfaction]],PerfRate[[#This Row],[RelationshipSatisfaction]])</f>
        <v>4.333333333333333</v>
      </c>
      <c r="R4271" s="2">
        <f>PerfRate[[#This Row],[ManagerRating]] - PerfRate[[#This Row],[SelfRating]]</f>
        <v>0</v>
      </c>
    </row>
    <row r="4272" spans="1:18">
      <c r="A4272" s="2" t="s">
        <v>8579</v>
      </c>
      <c r="B4272" s="2" t="s">
        <v>296</v>
      </c>
      <c r="C4272" s="1">
        <v>44320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  <c r="L4272" s="2" t="s">
        <v>11029</v>
      </c>
      <c r="M4272" s="2" t="s">
        <v>11028</v>
      </c>
      <c r="N4272" s="2" t="s">
        <v>11037</v>
      </c>
      <c r="O4272" s="2" t="s">
        <v>11036</v>
      </c>
      <c r="P4272" s="2" t="s">
        <v>11038</v>
      </c>
      <c r="Q4272" s="2">
        <f>AVERAGE(PerfRate[[#This Row],[EnvironmentSatisfaction]],PerfRate[[#This Row],[JobSatisfaction]],PerfRate[[#This Row],[RelationshipSatisfaction]])</f>
        <v>4</v>
      </c>
      <c r="R4272" s="2">
        <f>PerfRate[[#This Row],[ManagerRating]] - PerfRate[[#This Row],[SelfRating]]</f>
        <v>-1</v>
      </c>
    </row>
    <row r="4273" spans="1:18">
      <c r="A4273" s="2" t="s">
        <v>8580</v>
      </c>
      <c r="B4273" s="2" t="s">
        <v>2175</v>
      </c>
      <c r="C4273" s="1">
        <v>44320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  <c r="L4273" s="2" t="s">
        <v>11030</v>
      </c>
      <c r="M4273" s="2" t="s">
        <v>11030</v>
      </c>
      <c r="N4273" s="2" t="s">
        <v>11037</v>
      </c>
      <c r="O4273" s="2" t="s">
        <v>11035</v>
      </c>
      <c r="P4273" s="2" t="s">
        <v>11036</v>
      </c>
      <c r="Q4273" s="2">
        <f>AVERAGE(PerfRate[[#This Row],[EnvironmentSatisfaction]],PerfRate[[#This Row],[JobSatisfaction]],PerfRate[[#This Row],[RelationshipSatisfaction]])</f>
        <v>3</v>
      </c>
      <c r="R4273" s="2">
        <f>PerfRate[[#This Row],[ManagerRating]] - PerfRate[[#This Row],[SelfRating]]</f>
        <v>0</v>
      </c>
    </row>
    <row r="4274" spans="1:18">
      <c r="A4274" s="2" t="s">
        <v>8581</v>
      </c>
      <c r="B4274" s="2" t="s">
        <v>493</v>
      </c>
      <c r="C4274" s="1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  <c r="L4274" s="2" t="s">
        <v>11029</v>
      </c>
      <c r="M4274" s="2" t="s">
        <v>11029</v>
      </c>
      <c r="N4274" s="2" t="s">
        <v>11038</v>
      </c>
      <c r="O4274" s="2" t="s">
        <v>11038</v>
      </c>
      <c r="P4274" s="2" t="s">
        <v>11036</v>
      </c>
      <c r="Q4274" s="2">
        <f>AVERAGE(PerfRate[[#This Row],[EnvironmentSatisfaction]],PerfRate[[#This Row],[JobSatisfaction]],PerfRate[[#This Row],[RelationshipSatisfaction]])</f>
        <v>4.333333333333333</v>
      </c>
      <c r="R4274" s="2">
        <f>PerfRate[[#This Row],[ManagerRating]] - PerfRate[[#This Row],[SelfRating]]</f>
        <v>0</v>
      </c>
    </row>
    <row r="4275" spans="1:18">
      <c r="A4275" s="2" t="s">
        <v>8582</v>
      </c>
      <c r="B4275" s="2" t="s">
        <v>2812</v>
      </c>
      <c r="C4275" s="1">
        <v>44320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  <c r="L4275" s="2" t="s">
        <v>11031</v>
      </c>
      <c r="M4275" s="2" t="s">
        <v>11030</v>
      </c>
      <c r="N4275" s="2" t="s">
        <v>11037</v>
      </c>
      <c r="O4275" s="2" t="s">
        <v>11038</v>
      </c>
      <c r="P4275" s="2" t="s">
        <v>11036</v>
      </c>
      <c r="Q4275" s="2">
        <f>AVERAGE(PerfRate[[#This Row],[EnvironmentSatisfaction]],PerfRate[[#This Row],[JobSatisfaction]],PerfRate[[#This Row],[RelationshipSatisfaction]])</f>
        <v>4</v>
      </c>
      <c r="R4275" s="2">
        <f>PerfRate[[#This Row],[ManagerRating]] - PerfRate[[#This Row],[SelfRating]]</f>
        <v>-1</v>
      </c>
    </row>
    <row r="4276" spans="1:18">
      <c r="A4276" s="2" t="s">
        <v>8583</v>
      </c>
      <c r="B4276" s="2" t="s">
        <v>42</v>
      </c>
      <c r="C4276" s="1">
        <v>44381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  <c r="L4276" s="2" t="s">
        <v>11030</v>
      </c>
      <c r="M4276" s="2" t="s">
        <v>11029</v>
      </c>
      <c r="N4276" s="2" t="s">
        <v>11037</v>
      </c>
      <c r="O4276" s="2" t="s">
        <v>11037</v>
      </c>
      <c r="P4276" s="2" t="s">
        <v>11036</v>
      </c>
      <c r="Q4276" s="2">
        <f>AVERAGE(PerfRate[[#This Row],[EnvironmentSatisfaction]],PerfRate[[#This Row],[JobSatisfaction]],PerfRate[[#This Row],[RelationshipSatisfaction]])</f>
        <v>3.6666666666666665</v>
      </c>
      <c r="R4276" s="2">
        <f>PerfRate[[#This Row],[ManagerRating]] - PerfRate[[#This Row],[SelfRating]]</f>
        <v>-1</v>
      </c>
    </row>
    <row r="4277" spans="1:18">
      <c r="A4277" s="2" t="s">
        <v>8584</v>
      </c>
      <c r="B4277" s="2" t="s">
        <v>2293</v>
      </c>
      <c r="C4277" s="1">
        <v>44381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  <c r="L4277" s="2" t="s">
        <v>11030</v>
      </c>
      <c r="M4277" s="2" t="s">
        <v>11030</v>
      </c>
      <c r="N4277" s="2" t="s">
        <v>11037</v>
      </c>
      <c r="O4277" s="2" t="s">
        <v>11038</v>
      </c>
      <c r="P4277" s="2" t="s">
        <v>11035</v>
      </c>
      <c r="Q4277" s="2">
        <f>AVERAGE(PerfRate[[#This Row],[EnvironmentSatisfaction]],PerfRate[[#This Row],[JobSatisfaction]],PerfRate[[#This Row],[RelationshipSatisfaction]])</f>
        <v>3.6666666666666665</v>
      </c>
      <c r="R4277" s="2">
        <f>PerfRate[[#This Row],[ManagerRating]] - PerfRate[[#This Row],[SelfRating]]</f>
        <v>0</v>
      </c>
    </row>
    <row r="4278" spans="1:18">
      <c r="A4278" s="2" t="s">
        <v>8585</v>
      </c>
      <c r="B4278" s="2" t="s">
        <v>779</v>
      </c>
      <c r="C4278" s="1">
        <v>44412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  <c r="L4278" s="2" t="s">
        <v>11031</v>
      </c>
      <c r="M4278" s="2" t="s">
        <v>11030</v>
      </c>
      <c r="N4278" s="2" t="s">
        <v>11038</v>
      </c>
      <c r="O4278" s="2" t="s">
        <v>11037</v>
      </c>
      <c r="P4278" s="2" t="s">
        <v>11037</v>
      </c>
      <c r="Q4278" s="2">
        <f>AVERAGE(PerfRate[[#This Row],[EnvironmentSatisfaction]],PerfRate[[#This Row],[JobSatisfaction]],PerfRate[[#This Row],[RelationshipSatisfaction]])</f>
        <v>4.333333333333333</v>
      </c>
      <c r="R4278" s="2">
        <f>PerfRate[[#This Row],[ManagerRating]] - PerfRate[[#This Row],[SelfRating]]</f>
        <v>-1</v>
      </c>
    </row>
    <row r="4279" spans="1:18">
      <c r="A4279" s="2" t="s">
        <v>8586</v>
      </c>
      <c r="B4279" s="2" t="s">
        <v>3986</v>
      </c>
      <c r="C4279" s="1">
        <v>44412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  <c r="L4279" s="2" t="s">
        <v>11031</v>
      </c>
      <c r="M4279" s="2" t="s">
        <v>11031</v>
      </c>
      <c r="N4279" s="2" t="s">
        <v>11037</v>
      </c>
      <c r="O4279" s="2" t="s">
        <v>11035</v>
      </c>
      <c r="P4279" s="2" t="s">
        <v>11037</v>
      </c>
      <c r="Q4279" s="2">
        <f>AVERAGE(PerfRate[[#This Row],[EnvironmentSatisfaction]],PerfRate[[#This Row],[JobSatisfaction]],PerfRate[[#This Row],[RelationshipSatisfaction]])</f>
        <v>3.3333333333333335</v>
      </c>
      <c r="R4279" s="2">
        <f>PerfRate[[#This Row],[ManagerRating]] - PerfRate[[#This Row],[SelfRating]]</f>
        <v>0</v>
      </c>
    </row>
    <row r="4280" spans="1:18">
      <c r="A4280" s="2" t="s">
        <v>8587</v>
      </c>
      <c r="B4280" s="2" t="s">
        <v>1389</v>
      </c>
      <c r="C4280" s="1">
        <v>44412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  <c r="L4280" s="2" t="s">
        <v>11030</v>
      </c>
      <c r="M4280" s="2" t="s">
        <v>11030</v>
      </c>
      <c r="N4280" s="2" t="s">
        <v>11037</v>
      </c>
      <c r="O4280" s="2" t="s">
        <v>11034</v>
      </c>
      <c r="P4280" s="2" t="s">
        <v>11034</v>
      </c>
      <c r="Q4280" s="2">
        <f>AVERAGE(PerfRate[[#This Row],[EnvironmentSatisfaction]],PerfRate[[#This Row],[JobSatisfaction]],PerfRate[[#This Row],[RelationshipSatisfaction]])</f>
        <v>2</v>
      </c>
      <c r="R4280" s="2">
        <f>PerfRate[[#This Row],[ManagerRating]] - PerfRate[[#This Row],[SelfRating]]</f>
        <v>0</v>
      </c>
    </row>
    <row r="4281" spans="1:18">
      <c r="A4281" s="2" t="s">
        <v>8588</v>
      </c>
      <c r="B4281" s="2" t="s">
        <v>2459</v>
      </c>
      <c r="C4281" s="1">
        <v>44412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  <c r="L4281" s="2" t="s">
        <v>11030</v>
      </c>
      <c r="M4281" s="2" t="s">
        <v>11029</v>
      </c>
      <c r="N4281" s="2" t="s">
        <v>11036</v>
      </c>
      <c r="O4281" s="2" t="s">
        <v>11035</v>
      </c>
      <c r="P4281" s="2" t="s">
        <v>11035</v>
      </c>
      <c r="Q4281" s="2">
        <f>AVERAGE(PerfRate[[#This Row],[EnvironmentSatisfaction]],PerfRate[[#This Row],[JobSatisfaction]],PerfRate[[#This Row],[RelationshipSatisfaction]])</f>
        <v>2.3333333333333335</v>
      </c>
      <c r="R4281" s="2">
        <f>PerfRate[[#This Row],[ManagerRating]] - PerfRate[[#This Row],[SelfRating]]</f>
        <v>-1</v>
      </c>
    </row>
    <row r="4282" spans="1:18">
      <c r="A4282" s="2" t="s">
        <v>8589</v>
      </c>
      <c r="B4282" s="2" t="s">
        <v>323</v>
      </c>
      <c r="C4282" s="1">
        <v>44443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  <c r="L4282" s="2" t="s">
        <v>11030</v>
      </c>
      <c r="M4282" s="2" t="s">
        <v>11030</v>
      </c>
      <c r="N4282" s="2" t="s">
        <v>11037</v>
      </c>
      <c r="O4282" s="2" t="s">
        <v>11037</v>
      </c>
      <c r="P4282" s="2" t="s">
        <v>11034</v>
      </c>
      <c r="Q4282" s="2">
        <f>AVERAGE(PerfRate[[#This Row],[EnvironmentSatisfaction]],PerfRate[[#This Row],[JobSatisfaction]],PerfRate[[#This Row],[RelationshipSatisfaction]])</f>
        <v>3</v>
      </c>
      <c r="R4282" s="2">
        <f>PerfRate[[#This Row],[ManagerRating]] - PerfRate[[#This Row],[SelfRating]]</f>
        <v>0</v>
      </c>
    </row>
    <row r="4283" spans="1:18">
      <c r="A4283" s="2" t="s">
        <v>8590</v>
      </c>
      <c r="B4283" s="2" t="s">
        <v>723</v>
      </c>
      <c r="C4283" s="1">
        <v>44443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  <c r="L4283" s="2" t="s">
        <v>11029</v>
      </c>
      <c r="M4283" s="2" t="s">
        <v>11029</v>
      </c>
      <c r="N4283" s="2" t="s">
        <v>11036</v>
      </c>
      <c r="O4283" s="2" t="s">
        <v>11036</v>
      </c>
      <c r="P4283" s="2" t="s">
        <v>11037</v>
      </c>
      <c r="Q4283" s="2">
        <f>AVERAGE(PerfRate[[#This Row],[EnvironmentSatisfaction]],PerfRate[[#This Row],[JobSatisfaction]],PerfRate[[#This Row],[RelationshipSatisfaction]])</f>
        <v>3.3333333333333335</v>
      </c>
      <c r="R4283" s="2">
        <f>PerfRate[[#This Row],[ManagerRating]] - PerfRate[[#This Row],[SelfRating]]</f>
        <v>0</v>
      </c>
    </row>
    <row r="4284" spans="1:18">
      <c r="A4284" s="2" t="s">
        <v>8591</v>
      </c>
      <c r="B4284" s="2" t="s">
        <v>1976</v>
      </c>
      <c r="C4284" s="1">
        <v>44443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  <c r="L4284" s="2" t="s">
        <v>11031</v>
      </c>
      <c r="M4284" s="2" t="s">
        <v>11031</v>
      </c>
      <c r="N4284" s="2" t="s">
        <v>11035</v>
      </c>
      <c r="O4284" s="2" t="s">
        <v>11036</v>
      </c>
      <c r="P4284" s="2" t="s">
        <v>11035</v>
      </c>
      <c r="Q4284" s="2">
        <f>AVERAGE(PerfRate[[#This Row],[EnvironmentSatisfaction]],PerfRate[[#This Row],[JobSatisfaction]],PerfRate[[#This Row],[RelationshipSatisfaction]])</f>
        <v>2.3333333333333335</v>
      </c>
      <c r="R4284" s="2">
        <f>PerfRate[[#This Row],[ManagerRating]] - PerfRate[[#This Row],[SelfRating]]</f>
        <v>0</v>
      </c>
    </row>
    <row r="4285" spans="1:18">
      <c r="A4285" s="2" t="s">
        <v>8592</v>
      </c>
      <c r="B4285" s="2" t="s">
        <v>2131</v>
      </c>
      <c r="C4285" s="1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  <c r="L4285" s="2" t="s">
        <v>11031</v>
      </c>
      <c r="M4285" s="2" t="s">
        <v>11030</v>
      </c>
      <c r="N4285" s="2" t="s">
        <v>11038</v>
      </c>
      <c r="O4285" s="2" t="s">
        <v>11036</v>
      </c>
      <c r="P4285" s="2" t="s">
        <v>11037</v>
      </c>
      <c r="Q4285" s="2">
        <f>AVERAGE(PerfRate[[#This Row],[EnvironmentSatisfaction]],PerfRate[[#This Row],[JobSatisfaction]],PerfRate[[#This Row],[RelationshipSatisfaction]])</f>
        <v>4</v>
      </c>
      <c r="R4285" s="2">
        <f>PerfRate[[#This Row],[ManagerRating]] - PerfRate[[#This Row],[SelfRating]]</f>
        <v>-1</v>
      </c>
    </row>
    <row r="4286" spans="1:18">
      <c r="A4286" s="2" t="s">
        <v>8593</v>
      </c>
      <c r="B4286" s="2" t="s">
        <v>2178</v>
      </c>
      <c r="C4286" s="1">
        <v>44443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  <c r="L4286" s="2" t="s">
        <v>11029</v>
      </c>
      <c r="M4286" s="2" t="s">
        <v>11028</v>
      </c>
      <c r="N4286" s="2" t="s">
        <v>11037</v>
      </c>
      <c r="O4286" s="2" t="s">
        <v>11037</v>
      </c>
      <c r="P4286" s="2" t="s">
        <v>11034</v>
      </c>
      <c r="Q4286" s="2">
        <f>AVERAGE(PerfRate[[#This Row],[EnvironmentSatisfaction]],PerfRate[[#This Row],[JobSatisfaction]],PerfRate[[#This Row],[RelationshipSatisfaction]])</f>
        <v>3</v>
      </c>
      <c r="R4286" s="2">
        <f>PerfRate[[#This Row],[ManagerRating]] - PerfRate[[#This Row],[SelfRating]]</f>
        <v>-1</v>
      </c>
    </row>
    <row r="4287" spans="1:18">
      <c r="A4287" s="2" t="s">
        <v>8594</v>
      </c>
      <c r="B4287" s="2" t="s">
        <v>395</v>
      </c>
      <c r="C4287" s="1">
        <v>44473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  <c r="L4287" s="2" t="s">
        <v>11030</v>
      </c>
      <c r="M4287" s="2" t="s">
        <v>11029</v>
      </c>
      <c r="N4287" s="2" t="s">
        <v>11035</v>
      </c>
      <c r="O4287" s="2" t="s">
        <v>11034</v>
      </c>
      <c r="P4287" s="2" t="s">
        <v>11034</v>
      </c>
      <c r="Q4287" s="2">
        <f>AVERAGE(PerfRate[[#This Row],[EnvironmentSatisfaction]],PerfRate[[#This Row],[JobSatisfaction]],PerfRate[[#This Row],[RelationshipSatisfaction]])</f>
        <v>1.3333333333333333</v>
      </c>
      <c r="R4287" s="2">
        <f>PerfRate[[#This Row],[ManagerRating]] - PerfRate[[#This Row],[SelfRating]]</f>
        <v>-1</v>
      </c>
    </row>
    <row r="4288" spans="1:18">
      <c r="A4288" s="2" t="s">
        <v>8595</v>
      </c>
      <c r="B4288" s="2" t="s">
        <v>3448</v>
      </c>
      <c r="C4288" s="1">
        <v>44473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  <c r="L4288" s="2" t="s">
        <v>11030</v>
      </c>
      <c r="M4288" s="2" t="s">
        <v>11030</v>
      </c>
      <c r="N4288" s="2" t="s">
        <v>11037</v>
      </c>
      <c r="O4288" s="2" t="s">
        <v>11035</v>
      </c>
      <c r="P4288" s="2" t="s">
        <v>11037</v>
      </c>
      <c r="Q4288" s="2">
        <f>AVERAGE(PerfRate[[#This Row],[EnvironmentSatisfaction]],PerfRate[[#This Row],[JobSatisfaction]],PerfRate[[#This Row],[RelationshipSatisfaction]])</f>
        <v>3.3333333333333335</v>
      </c>
      <c r="R4288" s="2">
        <f>PerfRate[[#This Row],[ManagerRating]] - PerfRate[[#This Row],[SelfRating]]</f>
        <v>0</v>
      </c>
    </row>
    <row r="4289" spans="1:18">
      <c r="A4289" s="2" t="s">
        <v>8596</v>
      </c>
      <c r="B4289" s="2" t="s">
        <v>3490</v>
      </c>
      <c r="C4289" s="1">
        <v>44473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  <c r="L4289" s="2" t="s">
        <v>11031</v>
      </c>
      <c r="M4289" s="2" t="s">
        <v>11030</v>
      </c>
      <c r="N4289" s="2" t="s">
        <v>11036</v>
      </c>
      <c r="O4289" s="2" t="s">
        <v>11035</v>
      </c>
      <c r="P4289" s="2" t="s">
        <v>11034</v>
      </c>
      <c r="Q4289" s="2">
        <f>AVERAGE(PerfRate[[#This Row],[EnvironmentSatisfaction]],PerfRate[[#This Row],[JobSatisfaction]],PerfRate[[#This Row],[RelationshipSatisfaction]])</f>
        <v>2</v>
      </c>
      <c r="R4289" s="2">
        <f>PerfRate[[#This Row],[ManagerRating]] - PerfRate[[#This Row],[SelfRating]]</f>
        <v>-1</v>
      </c>
    </row>
    <row r="4290" spans="1:18">
      <c r="A4290" s="2" t="s">
        <v>8597</v>
      </c>
      <c r="B4290" s="2" t="s">
        <v>1166</v>
      </c>
      <c r="C4290" s="1">
        <v>44473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  <c r="L4290" s="2" t="s">
        <v>11030</v>
      </c>
      <c r="M4290" s="2" t="s">
        <v>11030</v>
      </c>
      <c r="N4290" s="2" t="s">
        <v>11037</v>
      </c>
      <c r="O4290" s="2" t="s">
        <v>11038</v>
      </c>
      <c r="P4290" s="2" t="s">
        <v>11038</v>
      </c>
      <c r="Q4290" s="2">
        <f>AVERAGE(PerfRate[[#This Row],[EnvironmentSatisfaction]],PerfRate[[#This Row],[JobSatisfaction]],PerfRate[[#This Row],[RelationshipSatisfaction]])</f>
        <v>4.666666666666667</v>
      </c>
      <c r="R4290" s="2">
        <f>PerfRate[[#This Row],[ManagerRating]] - PerfRate[[#This Row],[SelfRating]]</f>
        <v>0</v>
      </c>
    </row>
    <row r="4291" spans="1:18">
      <c r="A4291" s="2" t="s">
        <v>8598</v>
      </c>
      <c r="B4291" s="2" t="s">
        <v>2952</v>
      </c>
      <c r="C4291" s="1">
        <v>44473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  <c r="L4291" s="2" t="s">
        <v>11029</v>
      </c>
      <c r="M4291" s="2" t="s">
        <v>11028</v>
      </c>
      <c r="N4291" s="2" t="s">
        <v>11037</v>
      </c>
      <c r="O4291" s="2" t="s">
        <v>11037</v>
      </c>
      <c r="P4291" s="2" t="s">
        <v>11035</v>
      </c>
      <c r="Q4291" s="2">
        <f>AVERAGE(PerfRate[[#This Row],[EnvironmentSatisfaction]],PerfRate[[#This Row],[JobSatisfaction]],PerfRate[[#This Row],[RelationshipSatisfaction]])</f>
        <v>3.3333333333333335</v>
      </c>
      <c r="R4291" s="2">
        <f>PerfRate[[#This Row],[ManagerRating]] - PerfRate[[#This Row],[SelfRating]]</f>
        <v>-1</v>
      </c>
    </row>
    <row r="4292" spans="1:18">
      <c r="A4292" s="2" t="s">
        <v>8599</v>
      </c>
      <c r="B4292" s="2" t="s">
        <v>771</v>
      </c>
      <c r="C4292" s="1">
        <v>44504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  <c r="L4292" s="2" t="s">
        <v>11029</v>
      </c>
      <c r="M4292" s="2" t="s">
        <v>11028</v>
      </c>
      <c r="N4292" s="2" t="s">
        <v>11036</v>
      </c>
      <c r="O4292" s="2" t="s">
        <v>11038</v>
      </c>
      <c r="P4292" s="2" t="s">
        <v>11038</v>
      </c>
      <c r="Q4292" s="2">
        <f>AVERAGE(PerfRate[[#This Row],[EnvironmentSatisfaction]],PerfRate[[#This Row],[JobSatisfaction]],PerfRate[[#This Row],[RelationshipSatisfaction]])</f>
        <v>4.333333333333333</v>
      </c>
      <c r="R4292" s="2">
        <f>PerfRate[[#This Row],[ManagerRating]] - PerfRate[[#This Row],[SelfRating]]</f>
        <v>-1</v>
      </c>
    </row>
    <row r="4293" spans="1:18">
      <c r="A4293" s="2" t="s">
        <v>8600</v>
      </c>
      <c r="B4293" s="2" t="s">
        <v>235</v>
      </c>
      <c r="C4293" s="1">
        <v>44504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  <c r="L4293" s="2" t="s">
        <v>11030</v>
      </c>
      <c r="M4293" s="2" t="s">
        <v>11029</v>
      </c>
      <c r="N4293" s="2" t="s">
        <v>11038</v>
      </c>
      <c r="O4293" s="2" t="s">
        <v>11038</v>
      </c>
      <c r="P4293" s="2" t="s">
        <v>11037</v>
      </c>
      <c r="Q4293" s="2">
        <f>AVERAGE(PerfRate[[#This Row],[EnvironmentSatisfaction]],PerfRate[[#This Row],[JobSatisfaction]],PerfRate[[#This Row],[RelationshipSatisfaction]])</f>
        <v>4.666666666666667</v>
      </c>
      <c r="R4293" s="2">
        <f>PerfRate[[#This Row],[ManagerRating]] - PerfRate[[#This Row],[SelfRating]]</f>
        <v>-1</v>
      </c>
    </row>
    <row r="4294" spans="1:18">
      <c r="A4294" s="2" t="s">
        <v>8601</v>
      </c>
      <c r="B4294" s="2" t="s">
        <v>2470</v>
      </c>
      <c r="C4294" s="1">
        <v>44504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  <c r="L4294" s="2" t="s">
        <v>11031</v>
      </c>
      <c r="M4294" s="2" t="s">
        <v>11030</v>
      </c>
      <c r="N4294" s="2" t="s">
        <v>11037</v>
      </c>
      <c r="O4294" s="2" t="s">
        <v>11036</v>
      </c>
      <c r="P4294" s="2" t="s">
        <v>11038</v>
      </c>
      <c r="Q4294" s="2">
        <f>AVERAGE(PerfRate[[#This Row],[EnvironmentSatisfaction]],PerfRate[[#This Row],[JobSatisfaction]],PerfRate[[#This Row],[RelationshipSatisfaction]])</f>
        <v>4</v>
      </c>
      <c r="R4294" s="2">
        <f>PerfRate[[#This Row],[ManagerRating]] - PerfRate[[#This Row],[SelfRating]]</f>
        <v>-1</v>
      </c>
    </row>
    <row r="4295" spans="1:18">
      <c r="A4295" s="2" t="s">
        <v>8602</v>
      </c>
      <c r="B4295" s="2" t="s">
        <v>2181</v>
      </c>
      <c r="C4295" s="1">
        <v>44504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  <c r="L4295" s="2" t="s">
        <v>11029</v>
      </c>
      <c r="M4295" s="2" t="s">
        <v>11029</v>
      </c>
      <c r="N4295" s="2" t="s">
        <v>11037</v>
      </c>
      <c r="O4295" s="2" t="s">
        <v>11038</v>
      </c>
      <c r="P4295" s="2" t="s">
        <v>11038</v>
      </c>
      <c r="Q4295" s="2">
        <f>AVERAGE(PerfRate[[#This Row],[EnvironmentSatisfaction]],PerfRate[[#This Row],[JobSatisfaction]],PerfRate[[#This Row],[RelationshipSatisfaction]])</f>
        <v>4.666666666666667</v>
      </c>
      <c r="R4295" s="2">
        <f>PerfRate[[#This Row],[ManagerRating]] - PerfRate[[#This Row],[SelfRating]]</f>
        <v>0</v>
      </c>
    </row>
    <row r="4296" spans="1:18">
      <c r="A4296" s="2" t="s">
        <v>8603</v>
      </c>
      <c r="B4296" s="2" t="s">
        <v>1198</v>
      </c>
      <c r="C4296" s="1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  <c r="L4296" s="2" t="s">
        <v>11030</v>
      </c>
      <c r="M4296" s="2" t="s">
        <v>11029</v>
      </c>
      <c r="N4296" s="2" t="s">
        <v>11038</v>
      </c>
      <c r="O4296" s="2" t="s">
        <v>11035</v>
      </c>
      <c r="P4296" s="2" t="s">
        <v>11035</v>
      </c>
      <c r="Q4296" s="2">
        <f>AVERAGE(PerfRate[[#This Row],[EnvironmentSatisfaction]],PerfRate[[#This Row],[JobSatisfaction]],PerfRate[[#This Row],[RelationshipSatisfaction]])</f>
        <v>3</v>
      </c>
      <c r="R4296" s="2">
        <f>PerfRate[[#This Row],[ManagerRating]] - PerfRate[[#This Row],[SelfRating]]</f>
        <v>-1</v>
      </c>
    </row>
    <row r="4297" spans="1:18">
      <c r="A4297" s="2" t="s">
        <v>8604</v>
      </c>
      <c r="B4297" s="2" t="s">
        <v>1071</v>
      </c>
      <c r="C4297" s="1">
        <v>44534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  <c r="L4297" s="2" t="s">
        <v>11030</v>
      </c>
      <c r="M4297" s="2" t="s">
        <v>11030</v>
      </c>
      <c r="N4297" s="2" t="s">
        <v>11038</v>
      </c>
      <c r="O4297" s="2" t="s">
        <v>11038</v>
      </c>
      <c r="P4297" s="2" t="s">
        <v>11038</v>
      </c>
      <c r="Q4297" s="2">
        <f>AVERAGE(PerfRate[[#This Row],[EnvironmentSatisfaction]],PerfRate[[#This Row],[JobSatisfaction]],PerfRate[[#This Row],[RelationshipSatisfaction]])</f>
        <v>5</v>
      </c>
      <c r="R4297" s="2">
        <f>PerfRate[[#This Row],[ManagerRating]] - PerfRate[[#This Row],[SelfRating]]</f>
        <v>0</v>
      </c>
    </row>
    <row r="4298" spans="1:18">
      <c r="A4298" s="2" t="s">
        <v>8605</v>
      </c>
      <c r="B4298" s="2" t="s">
        <v>1779</v>
      </c>
      <c r="C4298" s="1">
        <v>44534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  <c r="L4298" s="2" t="s">
        <v>11029</v>
      </c>
      <c r="M4298" s="2" t="s">
        <v>11028</v>
      </c>
      <c r="N4298" s="2" t="s">
        <v>11038</v>
      </c>
      <c r="O4298" s="2" t="s">
        <v>11038</v>
      </c>
      <c r="P4298" s="2" t="s">
        <v>11038</v>
      </c>
      <c r="Q4298" s="2">
        <f>AVERAGE(PerfRate[[#This Row],[EnvironmentSatisfaction]],PerfRate[[#This Row],[JobSatisfaction]],PerfRate[[#This Row],[RelationshipSatisfaction]])</f>
        <v>5</v>
      </c>
      <c r="R4298" s="2">
        <f>PerfRate[[#This Row],[ManagerRating]] - PerfRate[[#This Row],[SelfRating]]</f>
        <v>-1</v>
      </c>
    </row>
    <row r="4299" spans="1:18">
      <c r="A4299" s="2" t="s">
        <v>8606</v>
      </c>
      <c r="B4299" s="2" t="s">
        <v>106</v>
      </c>
      <c r="C4299" s="1">
        <v>44534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  <c r="L4299" s="2" t="s">
        <v>11029</v>
      </c>
      <c r="M4299" s="2" t="s">
        <v>11029</v>
      </c>
      <c r="N4299" s="2" t="s">
        <v>11038</v>
      </c>
      <c r="O4299" s="2" t="s">
        <v>11036</v>
      </c>
      <c r="P4299" s="2" t="s">
        <v>11036</v>
      </c>
      <c r="Q4299" s="2">
        <f>AVERAGE(PerfRate[[#This Row],[EnvironmentSatisfaction]],PerfRate[[#This Row],[JobSatisfaction]],PerfRate[[#This Row],[RelationshipSatisfaction]])</f>
        <v>3.6666666666666665</v>
      </c>
      <c r="R4299" s="2">
        <f>PerfRate[[#This Row],[ManagerRating]] - PerfRate[[#This Row],[SelfRating]]</f>
        <v>0</v>
      </c>
    </row>
    <row r="4300" spans="1:18">
      <c r="A4300" s="2" t="s">
        <v>8607</v>
      </c>
      <c r="B4300" s="2" t="s">
        <v>1303</v>
      </c>
      <c r="C4300" s="1">
        <v>44534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  <c r="L4300" s="2" t="s">
        <v>11030</v>
      </c>
      <c r="M4300" s="2" t="s">
        <v>11029</v>
      </c>
      <c r="N4300" s="2" t="s">
        <v>11037</v>
      </c>
      <c r="O4300" s="2" t="s">
        <v>11037</v>
      </c>
      <c r="P4300" s="2" t="s">
        <v>11037</v>
      </c>
      <c r="Q4300" s="2">
        <f>AVERAGE(PerfRate[[#This Row],[EnvironmentSatisfaction]],PerfRate[[#This Row],[JobSatisfaction]],PerfRate[[#This Row],[RelationshipSatisfaction]])</f>
        <v>4</v>
      </c>
      <c r="R4300" s="2">
        <f>PerfRate[[#This Row],[ManagerRating]] - PerfRate[[#This Row],[SelfRating]]</f>
        <v>-1</v>
      </c>
    </row>
    <row r="4301" spans="1:18">
      <c r="A4301" s="2" t="s">
        <v>8608</v>
      </c>
      <c r="B4301" s="2" t="s">
        <v>1968</v>
      </c>
      <c r="C4301" s="1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  <c r="L4301" s="2" t="s">
        <v>11030</v>
      </c>
      <c r="M4301" s="2" t="s">
        <v>11029</v>
      </c>
      <c r="N4301" s="2" t="s">
        <v>11037</v>
      </c>
      <c r="O4301" s="2" t="s">
        <v>11036</v>
      </c>
      <c r="P4301" s="2" t="s">
        <v>11034</v>
      </c>
      <c r="Q4301" s="2">
        <f>AVERAGE(PerfRate[[#This Row],[EnvironmentSatisfaction]],PerfRate[[#This Row],[JobSatisfaction]],PerfRate[[#This Row],[RelationshipSatisfaction]])</f>
        <v>2.6666666666666665</v>
      </c>
      <c r="R4301" s="2">
        <f>PerfRate[[#This Row],[ManagerRating]] - PerfRate[[#This Row],[SelfRating]]</f>
        <v>-1</v>
      </c>
    </row>
    <row r="4302" spans="1:18">
      <c r="A4302" s="2" t="s">
        <v>8609</v>
      </c>
      <c r="B4302" s="2" t="s">
        <v>4002</v>
      </c>
      <c r="C4302" s="1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  <c r="L4302" s="2" t="s">
        <v>11030</v>
      </c>
      <c r="M4302" s="2" t="s">
        <v>11029</v>
      </c>
      <c r="N4302" s="2" t="s">
        <v>11035</v>
      </c>
      <c r="O4302" s="2" t="s">
        <v>11037</v>
      </c>
      <c r="P4302" s="2" t="s">
        <v>11034</v>
      </c>
      <c r="Q4302" s="2">
        <f>AVERAGE(PerfRate[[#This Row],[EnvironmentSatisfaction]],PerfRate[[#This Row],[JobSatisfaction]],PerfRate[[#This Row],[RelationshipSatisfaction]])</f>
        <v>2.3333333333333335</v>
      </c>
      <c r="R4302" s="2">
        <f>PerfRate[[#This Row],[ManagerRating]] - PerfRate[[#This Row],[SelfRating]]</f>
        <v>-1</v>
      </c>
    </row>
    <row r="4303" spans="1:18">
      <c r="A4303" s="2" t="s">
        <v>8610</v>
      </c>
      <c r="B4303" s="2" t="s">
        <v>189</v>
      </c>
      <c r="C4303" s="1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  <c r="L4303" s="2" t="s">
        <v>11029</v>
      </c>
      <c r="M4303" s="2" t="s">
        <v>11028</v>
      </c>
      <c r="N4303" s="2" t="s">
        <v>11034</v>
      </c>
      <c r="O4303" s="2" t="s">
        <v>11037</v>
      </c>
      <c r="P4303" s="2" t="s">
        <v>11035</v>
      </c>
      <c r="Q4303" s="2">
        <f>AVERAGE(PerfRate[[#This Row],[EnvironmentSatisfaction]],PerfRate[[#This Row],[JobSatisfaction]],PerfRate[[#This Row],[RelationshipSatisfaction]])</f>
        <v>2.3333333333333335</v>
      </c>
      <c r="R4303" s="2">
        <f>PerfRate[[#This Row],[ManagerRating]] - PerfRate[[#This Row],[SelfRating]]</f>
        <v>-1</v>
      </c>
    </row>
    <row r="4304" spans="1:18">
      <c r="A4304" s="2" t="s">
        <v>8611</v>
      </c>
      <c r="B4304" s="2" t="s">
        <v>1569</v>
      </c>
      <c r="C4304" s="1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  <c r="L4304" s="2" t="s">
        <v>11029</v>
      </c>
      <c r="M4304" s="2" t="s">
        <v>11028</v>
      </c>
      <c r="N4304" s="2" t="s">
        <v>11035</v>
      </c>
      <c r="O4304" s="2" t="s">
        <v>11034</v>
      </c>
      <c r="P4304" s="2" t="s">
        <v>11035</v>
      </c>
      <c r="Q4304" s="2">
        <f>AVERAGE(PerfRate[[#This Row],[EnvironmentSatisfaction]],PerfRate[[#This Row],[JobSatisfaction]],PerfRate[[#This Row],[RelationshipSatisfaction]])</f>
        <v>1.6666666666666667</v>
      </c>
      <c r="R4304" s="2">
        <f>PerfRate[[#This Row],[ManagerRating]] - PerfRate[[#This Row],[SelfRating]]</f>
        <v>-1</v>
      </c>
    </row>
    <row r="4305" spans="1:18">
      <c r="A4305" s="2" t="s">
        <v>8612</v>
      </c>
      <c r="B4305" s="2" t="s">
        <v>3881</v>
      </c>
      <c r="C4305" s="1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  <c r="L4305" s="2" t="s">
        <v>11030</v>
      </c>
      <c r="M4305" s="2" t="s">
        <v>11029</v>
      </c>
      <c r="N4305" s="2" t="s">
        <v>11036</v>
      </c>
      <c r="O4305" s="2" t="s">
        <v>11035</v>
      </c>
      <c r="P4305" s="2" t="s">
        <v>11036</v>
      </c>
      <c r="Q4305" s="2">
        <f>AVERAGE(PerfRate[[#This Row],[EnvironmentSatisfaction]],PerfRate[[#This Row],[JobSatisfaction]],PerfRate[[#This Row],[RelationshipSatisfaction]])</f>
        <v>2.6666666666666665</v>
      </c>
      <c r="R4305" s="2">
        <f>PerfRate[[#This Row],[ManagerRating]] - PerfRate[[#This Row],[SelfRating]]</f>
        <v>-1</v>
      </c>
    </row>
    <row r="4306" spans="1:18">
      <c r="A4306" s="2" t="s">
        <v>8613</v>
      </c>
      <c r="B4306" s="2" t="s">
        <v>4023</v>
      </c>
      <c r="C4306" s="1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  <c r="L4306" s="2" t="s">
        <v>11029</v>
      </c>
      <c r="M4306" s="2" t="s">
        <v>11028</v>
      </c>
      <c r="N4306" s="2" t="s">
        <v>11036</v>
      </c>
      <c r="O4306" s="2" t="s">
        <v>11037</v>
      </c>
      <c r="P4306" s="2" t="s">
        <v>11036</v>
      </c>
      <c r="Q4306" s="2">
        <f>AVERAGE(PerfRate[[#This Row],[EnvironmentSatisfaction]],PerfRate[[#This Row],[JobSatisfaction]],PerfRate[[#This Row],[RelationshipSatisfaction]])</f>
        <v>3.3333333333333335</v>
      </c>
      <c r="R4306" s="2">
        <f>PerfRate[[#This Row],[ManagerRating]] - PerfRate[[#This Row],[SelfRating]]</f>
        <v>-1</v>
      </c>
    </row>
    <row r="4307" spans="1:18">
      <c r="A4307" s="2" t="s">
        <v>8614</v>
      </c>
      <c r="B4307" s="2" t="s">
        <v>1006</v>
      </c>
      <c r="C4307" s="1">
        <v>42006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  <c r="L4307" s="2" t="s">
        <v>11030</v>
      </c>
      <c r="M4307" s="2" t="s">
        <v>11030</v>
      </c>
      <c r="N4307" s="2" t="s">
        <v>11036</v>
      </c>
      <c r="O4307" s="2" t="s">
        <v>11038</v>
      </c>
      <c r="P4307" s="2" t="s">
        <v>11036</v>
      </c>
      <c r="Q4307" s="2">
        <f>AVERAGE(PerfRate[[#This Row],[EnvironmentSatisfaction]],PerfRate[[#This Row],[JobSatisfaction]],PerfRate[[#This Row],[RelationshipSatisfaction]])</f>
        <v>3.6666666666666665</v>
      </c>
      <c r="R4307" s="2">
        <f>PerfRate[[#This Row],[ManagerRating]] - PerfRate[[#This Row],[SelfRating]]</f>
        <v>0</v>
      </c>
    </row>
    <row r="4308" spans="1:18">
      <c r="A4308" s="2" t="s">
        <v>8615</v>
      </c>
      <c r="B4308" s="2" t="s">
        <v>562</v>
      </c>
      <c r="C4308" s="1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  <c r="L4308" s="2" t="s">
        <v>11030</v>
      </c>
      <c r="M4308" s="2" t="s">
        <v>11030</v>
      </c>
      <c r="N4308" s="2" t="s">
        <v>11038</v>
      </c>
      <c r="O4308" s="2" t="s">
        <v>11038</v>
      </c>
      <c r="P4308" s="2" t="s">
        <v>11036</v>
      </c>
      <c r="Q4308" s="2">
        <f>AVERAGE(PerfRate[[#This Row],[EnvironmentSatisfaction]],PerfRate[[#This Row],[JobSatisfaction]],PerfRate[[#This Row],[RelationshipSatisfaction]])</f>
        <v>4.333333333333333</v>
      </c>
      <c r="R4308" s="2">
        <f>PerfRate[[#This Row],[ManagerRating]] - PerfRate[[#This Row],[SelfRating]]</f>
        <v>0</v>
      </c>
    </row>
    <row r="4309" spans="1:18">
      <c r="A4309" s="2" t="s">
        <v>8616</v>
      </c>
      <c r="B4309" s="2" t="s">
        <v>883</v>
      </c>
      <c r="C4309" s="1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  <c r="L4309" s="2" t="s">
        <v>11030</v>
      </c>
      <c r="M4309" s="2" t="s">
        <v>11030</v>
      </c>
      <c r="N4309" s="2" t="s">
        <v>11037</v>
      </c>
      <c r="O4309" s="2" t="s">
        <v>11038</v>
      </c>
      <c r="P4309" s="2" t="s">
        <v>11038</v>
      </c>
      <c r="Q4309" s="2">
        <f>AVERAGE(PerfRate[[#This Row],[EnvironmentSatisfaction]],PerfRate[[#This Row],[JobSatisfaction]],PerfRate[[#This Row],[RelationshipSatisfaction]])</f>
        <v>4.666666666666667</v>
      </c>
      <c r="R4309" s="2">
        <f>PerfRate[[#This Row],[ManagerRating]] - PerfRate[[#This Row],[SelfRating]]</f>
        <v>0</v>
      </c>
    </row>
    <row r="4310" spans="1:18">
      <c r="A4310" s="2" t="s">
        <v>8617</v>
      </c>
      <c r="B4310" s="2" t="s">
        <v>1921</v>
      </c>
      <c r="C4310" s="1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  <c r="L4310" s="2" t="s">
        <v>11029</v>
      </c>
      <c r="M4310" s="2" t="s">
        <v>11028</v>
      </c>
      <c r="N4310" s="2" t="s">
        <v>11036</v>
      </c>
      <c r="O4310" s="2" t="s">
        <v>11037</v>
      </c>
      <c r="P4310" s="2" t="s">
        <v>11035</v>
      </c>
      <c r="Q4310" s="2">
        <f>AVERAGE(PerfRate[[#This Row],[EnvironmentSatisfaction]],PerfRate[[#This Row],[JobSatisfaction]],PerfRate[[#This Row],[RelationshipSatisfaction]])</f>
        <v>3</v>
      </c>
      <c r="R4310" s="2">
        <f>PerfRate[[#This Row],[ManagerRating]] - PerfRate[[#This Row],[SelfRating]]</f>
        <v>-1</v>
      </c>
    </row>
    <row r="4311" spans="1:18">
      <c r="A4311" s="2" t="s">
        <v>8618</v>
      </c>
      <c r="B4311" s="2" t="s">
        <v>3154</v>
      </c>
      <c r="C4311" s="1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  <c r="L4311" s="2" t="s">
        <v>11029</v>
      </c>
      <c r="M4311" s="2" t="s">
        <v>11028</v>
      </c>
      <c r="N4311" s="2" t="s">
        <v>11036</v>
      </c>
      <c r="O4311" s="2" t="s">
        <v>11038</v>
      </c>
      <c r="P4311" s="2" t="s">
        <v>11036</v>
      </c>
      <c r="Q4311" s="2">
        <f>AVERAGE(PerfRate[[#This Row],[EnvironmentSatisfaction]],PerfRate[[#This Row],[JobSatisfaction]],PerfRate[[#This Row],[RelationshipSatisfaction]])</f>
        <v>3.6666666666666665</v>
      </c>
      <c r="R4311" s="2">
        <f>PerfRate[[#This Row],[ManagerRating]] - PerfRate[[#This Row],[SelfRating]]</f>
        <v>-1</v>
      </c>
    </row>
    <row r="4312" spans="1:18">
      <c r="A4312" s="2" t="s">
        <v>8619</v>
      </c>
      <c r="B4312" s="2" t="s">
        <v>1074</v>
      </c>
      <c r="C4312" s="1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  <c r="L4312" s="2" t="s">
        <v>11031</v>
      </c>
      <c r="M4312" s="2" t="s">
        <v>11030</v>
      </c>
      <c r="N4312" s="2" t="s">
        <v>11036</v>
      </c>
      <c r="O4312" s="2" t="s">
        <v>11035</v>
      </c>
      <c r="P4312" s="2" t="s">
        <v>11036</v>
      </c>
      <c r="Q4312" s="2">
        <f>AVERAGE(PerfRate[[#This Row],[EnvironmentSatisfaction]],PerfRate[[#This Row],[JobSatisfaction]],PerfRate[[#This Row],[RelationshipSatisfaction]])</f>
        <v>2.6666666666666665</v>
      </c>
      <c r="R4312" s="2">
        <f>PerfRate[[#This Row],[ManagerRating]] - PerfRate[[#This Row],[SelfRating]]</f>
        <v>-1</v>
      </c>
    </row>
    <row r="4313" spans="1:18">
      <c r="A4313" s="2" t="s">
        <v>8620</v>
      </c>
      <c r="B4313" s="2" t="s">
        <v>1221</v>
      </c>
      <c r="C4313" s="1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  <c r="L4313" s="2" t="s">
        <v>11029</v>
      </c>
      <c r="M4313" s="2" t="s">
        <v>11029</v>
      </c>
      <c r="N4313" s="2" t="s">
        <v>11037</v>
      </c>
      <c r="O4313" s="2" t="s">
        <v>11036</v>
      </c>
      <c r="P4313" s="2" t="s">
        <v>11037</v>
      </c>
      <c r="Q4313" s="2">
        <f>AVERAGE(PerfRate[[#This Row],[EnvironmentSatisfaction]],PerfRate[[#This Row],[JobSatisfaction]],PerfRate[[#This Row],[RelationshipSatisfaction]])</f>
        <v>3.6666666666666665</v>
      </c>
      <c r="R4313" s="2">
        <f>PerfRate[[#This Row],[ManagerRating]] - PerfRate[[#This Row],[SelfRating]]</f>
        <v>0</v>
      </c>
    </row>
    <row r="4314" spans="1:18">
      <c r="A4314" s="2" t="s">
        <v>8621</v>
      </c>
      <c r="B4314" s="2" t="s">
        <v>693</v>
      </c>
      <c r="C4314" s="1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  <c r="L4314" s="2" t="s">
        <v>11029</v>
      </c>
      <c r="M4314" s="2" t="s">
        <v>11028</v>
      </c>
      <c r="N4314" s="2" t="s">
        <v>11038</v>
      </c>
      <c r="O4314" s="2" t="s">
        <v>11035</v>
      </c>
      <c r="P4314" s="2" t="s">
        <v>11035</v>
      </c>
      <c r="Q4314" s="2">
        <f>AVERAGE(PerfRate[[#This Row],[EnvironmentSatisfaction]],PerfRate[[#This Row],[JobSatisfaction]],PerfRate[[#This Row],[RelationshipSatisfaction]])</f>
        <v>3</v>
      </c>
      <c r="R4314" s="2">
        <f>PerfRate[[#This Row],[ManagerRating]] - PerfRate[[#This Row],[SelfRating]]</f>
        <v>-1</v>
      </c>
    </row>
    <row r="4315" spans="1:18">
      <c r="A4315" s="2" t="s">
        <v>8622</v>
      </c>
      <c r="B4315" s="2" t="s">
        <v>979</v>
      </c>
      <c r="C4315" s="1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  <c r="L4315" s="2" t="s">
        <v>11030</v>
      </c>
      <c r="M4315" s="2" t="s">
        <v>11030</v>
      </c>
      <c r="N4315" s="2" t="s">
        <v>11037</v>
      </c>
      <c r="O4315" s="2" t="s">
        <v>11037</v>
      </c>
      <c r="P4315" s="2" t="s">
        <v>11035</v>
      </c>
      <c r="Q4315" s="2">
        <f>AVERAGE(PerfRate[[#This Row],[EnvironmentSatisfaction]],PerfRate[[#This Row],[JobSatisfaction]],PerfRate[[#This Row],[RelationshipSatisfaction]])</f>
        <v>3.3333333333333335</v>
      </c>
      <c r="R4315" s="2">
        <f>PerfRate[[#This Row],[ManagerRating]] - PerfRate[[#This Row],[SelfRating]]</f>
        <v>0</v>
      </c>
    </row>
    <row r="4316" spans="1:18">
      <c r="A4316" s="2" t="s">
        <v>8623</v>
      </c>
      <c r="B4316" s="2" t="s">
        <v>2403</v>
      </c>
      <c r="C4316" s="1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  <c r="L4316" s="2" t="s">
        <v>11031</v>
      </c>
      <c r="M4316" s="2" t="s">
        <v>11030</v>
      </c>
      <c r="N4316" s="2" t="s">
        <v>11037</v>
      </c>
      <c r="O4316" s="2" t="s">
        <v>11035</v>
      </c>
      <c r="P4316" s="2" t="s">
        <v>11036</v>
      </c>
      <c r="Q4316" s="2">
        <f>AVERAGE(PerfRate[[#This Row],[EnvironmentSatisfaction]],PerfRate[[#This Row],[JobSatisfaction]],PerfRate[[#This Row],[RelationshipSatisfaction]])</f>
        <v>3</v>
      </c>
      <c r="R4316" s="2">
        <f>PerfRate[[#This Row],[ManagerRating]] - PerfRate[[#This Row],[SelfRating]]</f>
        <v>-1</v>
      </c>
    </row>
    <row r="4317" spans="1:18">
      <c r="A4317" s="2" t="s">
        <v>8624</v>
      </c>
      <c r="B4317" s="2" t="s">
        <v>2456</v>
      </c>
      <c r="C4317" s="1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  <c r="L4317" s="2" t="s">
        <v>11030</v>
      </c>
      <c r="M4317" s="2" t="s">
        <v>11029</v>
      </c>
      <c r="N4317" s="2" t="s">
        <v>11038</v>
      </c>
      <c r="O4317" s="2" t="s">
        <v>11035</v>
      </c>
      <c r="P4317" s="2" t="s">
        <v>11036</v>
      </c>
      <c r="Q4317" s="2">
        <f>AVERAGE(PerfRate[[#This Row],[EnvironmentSatisfaction]],PerfRate[[#This Row],[JobSatisfaction]],PerfRate[[#This Row],[RelationshipSatisfaction]])</f>
        <v>3.3333333333333335</v>
      </c>
      <c r="R4317" s="2">
        <f>PerfRate[[#This Row],[ManagerRating]] - PerfRate[[#This Row],[SelfRating]]</f>
        <v>-1</v>
      </c>
    </row>
    <row r="4318" spans="1:18">
      <c r="A4318" s="2" t="s">
        <v>8625</v>
      </c>
      <c r="B4318" s="2" t="s">
        <v>523</v>
      </c>
      <c r="C4318" s="1">
        <v>42006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  <c r="L4318" s="2" t="s">
        <v>11030</v>
      </c>
      <c r="M4318" s="2" t="s">
        <v>11029</v>
      </c>
      <c r="N4318" s="2" t="s">
        <v>11037</v>
      </c>
      <c r="O4318" s="2" t="s">
        <v>11035</v>
      </c>
      <c r="P4318" s="2" t="s">
        <v>11038</v>
      </c>
      <c r="Q4318" s="2">
        <f>AVERAGE(PerfRate[[#This Row],[EnvironmentSatisfaction]],PerfRate[[#This Row],[JobSatisfaction]],PerfRate[[#This Row],[RelationshipSatisfaction]])</f>
        <v>3.6666666666666665</v>
      </c>
      <c r="R4318" s="2">
        <f>PerfRate[[#This Row],[ManagerRating]] - PerfRate[[#This Row],[SelfRating]]</f>
        <v>-1</v>
      </c>
    </row>
    <row r="4319" spans="1:18">
      <c r="A4319" s="2" t="s">
        <v>8626</v>
      </c>
      <c r="B4319" s="2" t="s">
        <v>2345</v>
      </c>
      <c r="C4319" s="1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  <c r="L4319" s="2" t="s">
        <v>11031</v>
      </c>
      <c r="M4319" s="2" t="s">
        <v>11031</v>
      </c>
      <c r="N4319" s="2" t="s">
        <v>11038</v>
      </c>
      <c r="O4319" s="2" t="s">
        <v>11036</v>
      </c>
      <c r="P4319" s="2" t="s">
        <v>11036</v>
      </c>
      <c r="Q4319" s="2">
        <f>AVERAGE(PerfRate[[#This Row],[EnvironmentSatisfaction]],PerfRate[[#This Row],[JobSatisfaction]],PerfRate[[#This Row],[RelationshipSatisfaction]])</f>
        <v>3.6666666666666665</v>
      </c>
      <c r="R4319" s="2">
        <f>PerfRate[[#This Row],[ManagerRating]] - PerfRate[[#This Row],[SelfRating]]</f>
        <v>0</v>
      </c>
    </row>
    <row r="4320" spans="1:18">
      <c r="A4320" s="2" t="s">
        <v>8627</v>
      </c>
      <c r="B4320" s="2" t="s">
        <v>266</v>
      </c>
      <c r="C4320" s="1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  <c r="L4320" s="2" t="s">
        <v>11031</v>
      </c>
      <c r="M4320" s="2" t="s">
        <v>11030</v>
      </c>
      <c r="N4320" s="2" t="s">
        <v>11038</v>
      </c>
      <c r="O4320" s="2" t="s">
        <v>11036</v>
      </c>
      <c r="P4320" s="2" t="s">
        <v>11038</v>
      </c>
      <c r="Q4320" s="2">
        <f>AVERAGE(PerfRate[[#This Row],[EnvironmentSatisfaction]],PerfRate[[#This Row],[JobSatisfaction]],PerfRate[[#This Row],[RelationshipSatisfaction]])</f>
        <v>4.333333333333333</v>
      </c>
      <c r="R4320" s="2">
        <f>PerfRate[[#This Row],[ManagerRating]] - PerfRate[[#This Row],[SelfRating]]</f>
        <v>-1</v>
      </c>
    </row>
    <row r="4321" spans="1:18">
      <c r="A4321" s="2" t="s">
        <v>8628</v>
      </c>
      <c r="B4321" s="2" t="s">
        <v>2923</v>
      </c>
      <c r="C4321" s="1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  <c r="L4321" s="2" t="s">
        <v>11030</v>
      </c>
      <c r="M4321" s="2" t="s">
        <v>11030</v>
      </c>
      <c r="N4321" s="2" t="s">
        <v>11038</v>
      </c>
      <c r="O4321" s="2" t="s">
        <v>11038</v>
      </c>
      <c r="P4321" s="2" t="s">
        <v>11035</v>
      </c>
      <c r="Q4321" s="2">
        <f>AVERAGE(PerfRate[[#This Row],[EnvironmentSatisfaction]],PerfRate[[#This Row],[JobSatisfaction]],PerfRate[[#This Row],[RelationshipSatisfaction]])</f>
        <v>4</v>
      </c>
      <c r="R4321" s="2">
        <f>PerfRate[[#This Row],[ManagerRating]] - PerfRate[[#This Row],[SelfRating]]</f>
        <v>0</v>
      </c>
    </row>
    <row r="4322" spans="1:18">
      <c r="A4322" s="2" t="s">
        <v>8629</v>
      </c>
      <c r="B4322" s="2" t="s">
        <v>1915</v>
      </c>
      <c r="C4322" s="1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  <c r="L4322" s="2" t="s">
        <v>11029</v>
      </c>
      <c r="M4322" s="2" t="s">
        <v>11029</v>
      </c>
      <c r="N4322" s="2" t="s">
        <v>11036</v>
      </c>
      <c r="O4322" s="2" t="s">
        <v>11036</v>
      </c>
      <c r="P4322" s="2" t="s">
        <v>11036</v>
      </c>
      <c r="Q4322" s="2">
        <f>AVERAGE(PerfRate[[#This Row],[EnvironmentSatisfaction]],PerfRate[[#This Row],[JobSatisfaction]],PerfRate[[#This Row],[RelationshipSatisfaction]])</f>
        <v>3</v>
      </c>
      <c r="R4322" s="2">
        <f>PerfRate[[#This Row],[ManagerRating]] - PerfRate[[#This Row],[SelfRating]]</f>
        <v>0</v>
      </c>
    </row>
    <row r="4323" spans="1:18">
      <c r="A4323" s="2" t="s">
        <v>8630</v>
      </c>
      <c r="B4323" s="2" t="s">
        <v>928</v>
      </c>
      <c r="C4323" s="1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  <c r="L4323" s="2" t="s">
        <v>11030</v>
      </c>
      <c r="M4323" s="2" t="s">
        <v>11030</v>
      </c>
      <c r="N4323" s="2" t="s">
        <v>11037</v>
      </c>
      <c r="O4323" s="2" t="s">
        <v>11034</v>
      </c>
      <c r="P4323" s="2" t="s">
        <v>11034</v>
      </c>
      <c r="Q4323" s="2">
        <f>AVERAGE(PerfRate[[#This Row],[EnvironmentSatisfaction]],PerfRate[[#This Row],[JobSatisfaction]],PerfRate[[#This Row],[RelationshipSatisfaction]])</f>
        <v>2</v>
      </c>
      <c r="R4323" s="2">
        <f>PerfRate[[#This Row],[ManagerRating]] - PerfRate[[#This Row],[SelfRating]]</f>
        <v>0</v>
      </c>
    </row>
    <row r="4324" spans="1:18">
      <c r="A4324" s="2" t="s">
        <v>8631</v>
      </c>
      <c r="B4324" s="2" t="s">
        <v>1990</v>
      </c>
      <c r="C4324" s="1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  <c r="L4324" s="2" t="s">
        <v>11031</v>
      </c>
      <c r="M4324" s="2" t="s">
        <v>11030</v>
      </c>
      <c r="N4324" s="2" t="s">
        <v>11035</v>
      </c>
      <c r="O4324" s="2" t="s">
        <v>11037</v>
      </c>
      <c r="P4324" s="2" t="s">
        <v>11035</v>
      </c>
      <c r="Q4324" s="2">
        <f>AVERAGE(PerfRate[[#This Row],[EnvironmentSatisfaction]],PerfRate[[#This Row],[JobSatisfaction]],PerfRate[[#This Row],[RelationshipSatisfaction]])</f>
        <v>2.6666666666666665</v>
      </c>
      <c r="R4324" s="2">
        <f>PerfRate[[#This Row],[ManagerRating]] - PerfRate[[#This Row],[SelfRating]]</f>
        <v>-1</v>
      </c>
    </row>
    <row r="4325" spans="1:18">
      <c r="A4325" s="2" t="s">
        <v>8632</v>
      </c>
      <c r="B4325" s="2" t="s">
        <v>208</v>
      </c>
      <c r="C4325" s="1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  <c r="L4325" s="2" t="s">
        <v>11030</v>
      </c>
      <c r="M4325" s="2" t="s">
        <v>11029</v>
      </c>
      <c r="N4325" s="2" t="s">
        <v>11034</v>
      </c>
      <c r="O4325" s="2" t="s">
        <v>11036</v>
      </c>
      <c r="P4325" s="2" t="s">
        <v>11036</v>
      </c>
      <c r="Q4325" s="2">
        <f>AVERAGE(PerfRate[[#This Row],[EnvironmentSatisfaction]],PerfRate[[#This Row],[JobSatisfaction]],PerfRate[[#This Row],[RelationshipSatisfaction]])</f>
        <v>2.3333333333333335</v>
      </c>
      <c r="R4325" s="2">
        <f>PerfRate[[#This Row],[ManagerRating]] - PerfRate[[#This Row],[SelfRating]]</f>
        <v>-1</v>
      </c>
    </row>
    <row r="4326" spans="1:18">
      <c r="A4326" s="2" t="s">
        <v>8633</v>
      </c>
      <c r="B4326" s="2" t="s">
        <v>1249</v>
      </c>
      <c r="C4326" s="1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  <c r="L4326" s="2" t="s">
        <v>11030</v>
      </c>
      <c r="M4326" s="2" t="s">
        <v>11029</v>
      </c>
      <c r="N4326" s="2" t="s">
        <v>11034</v>
      </c>
      <c r="O4326" s="2" t="s">
        <v>11037</v>
      </c>
      <c r="P4326" s="2" t="s">
        <v>11035</v>
      </c>
      <c r="Q4326" s="2">
        <f>AVERAGE(PerfRate[[#This Row],[EnvironmentSatisfaction]],PerfRate[[#This Row],[JobSatisfaction]],PerfRate[[#This Row],[RelationshipSatisfaction]])</f>
        <v>2.3333333333333335</v>
      </c>
      <c r="R4326" s="2">
        <f>PerfRate[[#This Row],[ManagerRating]] - PerfRate[[#This Row],[SelfRating]]</f>
        <v>-1</v>
      </c>
    </row>
    <row r="4327" spans="1:18">
      <c r="A4327" s="2" t="s">
        <v>8634</v>
      </c>
      <c r="B4327" s="2" t="s">
        <v>2372</v>
      </c>
      <c r="C4327" s="1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  <c r="L4327" s="2" t="s">
        <v>11030</v>
      </c>
      <c r="M4327" s="2" t="s">
        <v>11030</v>
      </c>
      <c r="N4327" s="2" t="s">
        <v>11035</v>
      </c>
      <c r="O4327" s="2" t="s">
        <v>11036</v>
      </c>
      <c r="P4327" s="2" t="s">
        <v>11034</v>
      </c>
      <c r="Q4327" s="2">
        <f>AVERAGE(PerfRate[[#This Row],[EnvironmentSatisfaction]],PerfRate[[#This Row],[JobSatisfaction]],PerfRate[[#This Row],[RelationshipSatisfaction]])</f>
        <v>2</v>
      </c>
      <c r="R4327" s="2">
        <f>PerfRate[[#This Row],[ManagerRating]] - PerfRate[[#This Row],[SelfRating]]</f>
        <v>0</v>
      </c>
    </row>
    <row r="4328" spans="1:18">
      <c r="A4328" s="2" t="s">
        <v>8635</v>
      </c>
      <c r="B4328" s="2" t="s">
        <v>508</v>
      </c>
      <c r="C4328" s="1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  <c r="L4328" s="2" t="s">
        <v>11029</v>
      </c>
      <c r="M4328" s="2" t="s">
        <v>11029</v>
      </c>
      <c r="N4328" s="2" t="s">
        <v>11036</v>
      </c>
      <c r="O4328" s="2" t="s">
        <v>11035</v>
      </c>
      <c r="P4328" s="2" t="s">
        <v>11035</v>
      </c>
      <c r="Q4328" s="2">
        <f>AVERAGE(PerfRate[[#This Row],[EnvironmentSatisfaction]],PerfRate[[#This Row],[JobSatisfaction]],PerfRate[[#This Row],[RelationshipSatisfaction]])</f>
        <v>2.3333333333333335</v>
      </c>
      <c r="R4328" s="2">
        <f>PerfRate[[#This Row],[ManagerRating]] - PerfRate[[#This Row],[SelfRating]]</f>
        <v>0</v>
      </c>
    </row>
    <row r="4329" spans="1:18">
      <c r="A4329" s="2" t="s">
        <v>8636</v>
      </c>
      <c r="B4329" s="2" t="s">
        <v>220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  <c r="L4329" s="2" t="s">
        <v>11031</v>
      </c>
      <c r="M4329" s="2" t="s">
        <v>11030</v>
      </c>
      <c r="N4329" s="2" t="s">
        <v>11037</v>
      </c>
      <c r="O4329" s="2" t="s">
        <v>11036</v>
      </c>
      <c r="P4329" s="2" t="s">
        <v>11036</v>
      </c>
      <c r="Q4329" s="2">
        <f>AVERAGE(PerfRate[[#This Row],[EnvironmentSatisfaction]],PerfRate[[#This Row],[JobSatisfaction]],PerfRate[[#This Row],[RelationshipSatisfaction]])</f>
        <v>3.3333333333333335</v>
      </c>
      <c r="R4329" s="2">
        <f>PerfRate[[#This Row],[ManagerRating]] - PerfRate[[#This Row],[SelfRating]]</f>
        <v>-1</v>
      </c>
    </row>
    <row r="4330" spans="1:18">
      <c r="A4330" s="2" t="s">
        <v>8637</v>
      </c>
      <c r="B4330" s="2" t="s">
        <v>814</v>
      </c>
      <c r="C4330" s="1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  <c r="L4330" s="2" t="s">
        <v>11031</v>
      </c>
      <c r="M4330" s="2" t="s">
        <v>11030</v>
      </c>
      <c r="N4330" s="2" t="s">
        <v>11037</v>
      </c>
      <c r="O4330" s="2" t="s">
        <v>11035</v>
      </c>
      <c r="P4330" s="2" t="s">
        <v>11035</v>
      </c>
      <c r="Q4330" s="2">
        <f>AVERAGE(PerfRate[[#This Row],[EnvironmentSatisfaction]],PerfRate[[#This Row],[JobSatisfaction]],PerfRate[[#This Row],[RelationshipSatisfaction]])</f>
        <v>2.6666666666666665</v>
      </c>
      <c r="R4330" s="2">
        <f>PerfRate[[#This Row],[ManagerRating]] - PerfRate[[#This Row],[SelfRating]]</f>
        <v>-1</v>
      </c>
    </row>
    <row r="4331" spans="1:18">
      <c r="A4331" s="2" t="s">
        <v>8638</v>
      </c>
      <c r="B4331" s="2" t="s">
        <v>1441</v>
      </c>
      <c r="C4331" s="1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  <c r="L4331" s="2" t="s">
        <v>11031</v>
      </c>
      <c r="M4331" s="2" t="s">
        <v>11030</v>
      </c>
      <c r="N4331" s="2" t="s">
        <v>11037</v>
      </c>
      <c r="O4331" s="2" t="s">
        <v>11038</v>
      </c>
      <c r="P4331" s="2" t="s">
        <v>11037</v>
      </c>
      <c r="Q4331" s="2">
        <f>AVERAGE(PerfRate[[#This Row],[EnvironmentSatisfaction]],PerfRate[[#This Row],[JobSatisfaction]],PerfRate[[#This Row],[RelationshipSatisfaction]])</f>
        <v>4.333333333333333</v>
      </c>
      <c r="R4331" s="2">
        <f>PerfRate[[#This Row],[ManagerRating]] - PerfRate[[#This Row],[SelfRating]]</f>
        <v>-1</v>
      </c>
    </row>
    <row r="4332" spans="1:18">
      <c r="A4332" s="2" t="s">
        <v>8639</v>
      </c>
      <c r="B4332" s="2" t="s">
        <v>1476</v>
      </c>
      <c r="C4332" s="1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  <c r="L4332" s="2" t="s">
        <v>11030</v>
      </c>
      <c r="M4332" s="2" t="s">
        <v>11030</v>
      </c>
      <c r="N4332" s="2" t="s">
        <v>11036</v>
      </c>
      <c r="O4332" s="2" t="s">
        <v>11037</v>
      </c>
      <c r="P4332" s="2" t="s">
        <v>11038</v>
      </c>
      <c r="Q4332" s="2">
        <f>AVERAGE(PerfRate[[#This Row],[EnvironmentSatisfaction]],PerfRate[[#This Row],[JobSatisfaction]],PerfRate[[#This Row],[RelationshipSatisfaction]])</f>
        <v>4</v>
      </c>
      <c r="R4332" s="2">
        <f>PerfRate[[#This Row],[ManagerRating]] - PerfRate[[#This Row],[SelfRating]]</f>
        <v>0</v>
      </c>
    </row>
    <row r="4333" spans="1:18">
      <c r="A4333" s="2" t="s">
        <v>8640</v>
      </c>
      <c r="B4333" s="2" t="s">
        <v>461</v>
      </c>
      <c r="C4333" s="1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  <c r="L4333" s="2" t="s">
        <v>11029</v>
      </c>
      <c r="M4333" s="2" t="s">
        <v>11029</v>
      </c>
      <c r="N4333" s="2" t="s">
        <v>11036</v>
      </c>
      <c r="O4333" s="2" t="s">
        <v>11038</v>
      </c>
      <c r="P4333" s="2" t="s">
        <v>11036</v>
      </c>
      <c r="Q4333" s="2">
        <f>AVERAGE(PerfRate[[#This Row],[EnvironmentSatisfaction]],PerfRate[[#This Row],[JobSatisfaction]],PerfRate[[#This Row],[RelationshipSatisfaction]])</f>
        <v>3.6666666666666665</v>
      </c>
      <c r="R4333" s="2">
        <f>PerfRate[[#This Row],[ManagerRating]] - PerfRate[[#This Row],[SelfRating]]</f>
        <v>0</v>
      </c>
    </row>
    <row r="4334" spans="1:18">
      <c r="A4334" s="2" t="s">
        <v>8641</v>
      </c>
      <c r="B4334" s="2" t="s">
        <v>1421</v>
      </c>
      <c r="C4334" s="1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  <c r="L4334" s="2" t="s">
        <v>11030</v>
      </c>
      <c r="M4334" s="2" t="s">
        <v>11029</v>
      </c>
      <c r="N4334" s="2" t="s">
        <v>11036</v>
      </c>
      <c r="O4334" s="2" t="s">
        <v>11036</v>
      </c>
      <c r="P4334" s="2" t="s">
        <v>11035</v>
      </c>
      <c r="Q4334" s="2">
        <f>AVERAGE(PerfRate[[#This Row],[EnvironmentSatisfaction]],PerfRate[[#This Row],[JobSatisfaction]],PerfRate[[#This Row],[RelationshipSatisfaction]])</f>
        <v>2.6666666666666665</v>
      </c>
      <c r="R4334" s="2">
        <f>PerfRate[[#This Row],[ManagerRating]] - PerfRate[[#This Row],[SelfRating]]</f>
        <v>-1</v>
      </c>
    </row>
    <row r="4335" spans="1:18">
      <c r="A4335" s="2" t="s">
        <v>8642</v>
      </c>
      <c r="B4335" s="2" t="s">
        <v>1719</v>
      </c>
      <c r="C4335" s="1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  <c r="L4335" s="2" t="s">
        <v>11031</v>
      </c>
      <c r="M4335" s="2" t="s">
        <v>11030</v>
      </c>
      <c r="N4335" s="2" t="s">
        <v>11036</v>
      </c>
      <c r="O4335" s="2" t="s">
        <v>11038</v>
      </c>
      <c r="P4335" s="2" t="s">
        <v>11037</v>
      </c>
      <c r="Q4335" s="2">
        <f>AVERAGE(PerfRate[[#This Row],[EnvironmentSatisfaction]],PerfRate[[#This Row],[JobSatisfaction]],PerfRate[[#This Row],[RelationshipSatisfaction]])</f>
        <v>4</v>
      </c>
      <c r="R4335" s="2">
        <f>PerfRate[[#This Row],[ManagerRating]] - PerfRate[[#This Row],[SelfRating]]</f>
        <v>-1</v>
      </c>
    </row>
    <row r="4336" spans="1:18">
      <c r="A4336" s="2" t="s">
        <v>8643</v>
      </c>
      <c r="B4336" s="2" t="s">
        <v>2019</v>
      </c>
      <c r="C4336" s="1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  <c r="L4336" s="2" t="s">
        <v>11030</v>
      </c>
      <c r="M4336" s="2" t="s">
        <v>11029</v>
      </c>
      <c r="N4336" s="2" t="s">
        <v>11036</v>
      </c>
      <c r="O4336" s="2" t="s">
        <v>11035</v>
      </c>
      <c r="P4336" s="2" t="s">
        <v>11037</v>
      </c>
      <c r="Q4336" s="2">
        <f>AVERAGE(PerfRate[[#This Row],[EnvironmentSatisfaction]],PerfRate[[#This Row],[JobSatisfaction]],PerfRate[[#This Row],[RelationshipSatisfaction]])</f>
        <v>3</v>
      </c>
      <c r="R4336" s="2">
        <f>PerfRate[[#This Row],[ManagerRating]] - PerfRate[[#This Row],[SelfRating]]</f>
        <v>-1</v>
      </c>
    </row>
    <row r="4337" spans="1:18">
      <c r="A4337" s="2" t="s">
        <v>8644</v>
      </c>
      <c r="B4337" s="2" t="s">
        <v>2995</v>
      </c>
      <c r="C4337" s="1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  <c r="L4337" s="2" t="s">
        <v>11031</v>
      </c>
      <c r="M4337" s="2" t="s">
        <v>11031</v>
      </c>
      <c r="N4337" s="2" t="s">
        <v>11037</v>
      </c>
      <c r="O4337" s="2" t="s">
        <v>11036</v>
      </c>
      <c r="P4337" s="2" t="s">
        <v>11035</v>
      </c>
      <c r="Q4337" s="2">
        <f>AVERAGE(PerfRate[[#This Row],[EnvironmentSatisfaction]],PerfRate[[#This Row],[JobSatisfaction]],PerfRate[[#This Row],[RelationshipSatisfaction]])</f>
        <v>3</v>
      </c>
      <c r="R4337" s="2">
        <f>PerfRate[[#This Row],[ManagerRating]] - PerfRate[[#This Row],[SelfRating]]</f>
        <v>0</v>
      </c>
    </row>
    <row r="4338" spans="1:18">
      <c r="A4338" s="2" t="s">
        <v>8645</v>
      </c>
      <c r="B4338" s="2" t="s">
        <v>3702</v>
      </c>
      <c r="C4338" s="1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  <c r="L4338" s="2" t="s">
        <v>11030</v>
      </c>
      <c r="M4338" s="2" t="s">
        <v>11029</v>
      </c>
      <c r="N4338" s="2" t="s">
        <v>11036</v>
      </c>
      <c r="O4338" s="2" t="s">
        <v>11036</v>
      </c>
      <c r="P4338" s="2" t="s">
        <v>11035</v>
      </c>
      <c r="Q4338" s="2">
        <f>AVERAGE(PerfRate[[#This Row],[EnvironmentSatisfaction]],PerfRate[[#This Row],[JobSatisfaction]],PerfRate[[#This Row],[RelationshipSatisfaction]])</f>
        <v>2.6666666666666665</v>
      </c>
      <c r="R4338" s="2">
        <f>PerfRate[[#This Row],[ManagerRating]] - PerfRate[[#This Row],[SelfRating]]</f>
        <v>-1</v>
      </c>
    </row>
    <row r="4339" spans="1:18">
      <c r="A4339" s="2" t="s">
        <v>8646</v>
      </c>
      <c r="B4339" s="2" t="s">
        <v>446</v>
      </c>
      <c r="C4339" s="1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  <c r="L4339" s="2" t="s">
        <v>11031</v>
      </c>
      <c r="M4339" s="2" t="s">
        <v>11030</v>
      </c>
      <c r="N4339" s="2" t="s">
        <v>11037</v>
      </c>
      <c r="O4339" s="2" t="s">
        <v>11037</v>
      </c>
      <c r="P4339" s="2" t="s">
        <v>11035</v>
      </c>
      <c r="Q4339" s="2">
        <f>AVERAGE(PerfRate[[#This Row],[EnvironmentSatisfaction]],PerfRate[[#This Row],[JobSatisfaction]],PerfRate[[#This Row],[RelationshipSatisfaction]])</f>
        <v>3.3333333333333335</v>
      </c>
      <c r="R4339" s="2">
        <f>PerfRate[[#This Row],[ManagerRating]] - PerfRate[[#This Row],[SelfRating]]</f>
        <v>-1</v>
      </c>
    </row>
    <row r="4340" spans="1:18">
      <c r="A4340" s="2" t="s">
        <v>8647</v>
      </c>
      <c r="B4340" s="2" t="s">
        <v>1669</v>
      </c>
      <c r="C4340" s="1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  <c r="L4340" s="2" t="s">
        <v>11029</v>
      </c>
      <c r="M4340" s="2" t="s">
        <v>11028</v>
      </c>
      <c r="N4340" s="2" t="s">
        <v>11037</v>
      </c>
      <c r="O4340" s="2" t="s">
        <v>11038</v>
      </c>
      <c r="P4340" s="2" t="s">
        <v>11036</v>
      </c>
      <c r="Q4340" s="2">
        <f>AVERAGE(PerfRate[[#This Row],[EnvironmentSatisfaction]],PerfRate[[#This Row],[JobSatisfaction]],PerfRate[[#This Row],[RelationshipSatisfaction]])</f>
        <v>4</v>
      </c>
      <c r="R4340" s="2">
        <f>PerfRate[[#This Row],[ManagerRating]] - PerfRate[[#This Row],[SelfRating]]</f>
        <v>-1</v>
      </c>
    </row>
    <row r="4341" spans="1:18">
      <c r="A4341" s="2" t="s">
        <v>8648</v>
      </c>
      <c r="B4341" s="2" t="s">
        <v>714</v>
      </c>
      <c r="C4341" s="1">
        <v>42065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  <c r="L4341" s="2" t="s">
        <v>11029</v>
      </c>
      <c r="M4341" s="2" t="s">
        <v>11028</v>
      </c>
      <c r="N4341" s="2" t="s">
        <v>11036</v>
      </c>
      <c r="O4341" s="2" t="s">
        <v>11038</v>
      </c>
      <c r="P4341" s="2" t="s">
        <v>11036</v>
      </c>
      <c r="Q4341" s="2">
        <f>AVERAGE(PerfRate[[#This Row],[EnvironmentSatisfaction]],PerfRate[[#This Row],[JobSatisfaction]],PerfRate[[#This Row],[RelationshipSatisfaction]])</f>
        <v>3.6666666666666665</v>
      </c>
      <c r="R4341" s="2">
        <f>PerfRate[[#This Row],[ManagerRating]] - PerfRate[[#This Row],[SelfRating]]</f>
        <v>-1</v>
      </c>
    </row>
    <row r="4342" spans="1:18">
      <c r="A4342" s="2" t="s">
        <v>8649</v>
      </c>
      <c r="B4342" s="2" t="s">
        <v>1741</v>
      </c>
      <c r="C4342" s="1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  <c r="L4342" s="2" t="s">
        <v>11030</v>
      </c>
      <c r="M4342" s="2" t="s">
        <v>11030</v>
      </c>
      <c r="N4342" s="2" t="s">
        <v>11035</v>
      </c>
      <c r="O4342" s="2" t="s">
        <v>11035</v>
      </c>
      <c r="P4342" s="2" t="s">
        <v>11034</v>
      </c>
      <c r="Q4342" s="2">
        <f>AVERAGE(PerfRate[[#This Row],[EnvironmentSatisfaction]],PerfRate[[#This Row],[JobSatisfaction]],PerfRate[[#This Row],[RelationshipSatisfaction]])</f>
        <v>1.6666666666666667</v>
      </c>
      <c r="R4342" s="2">
        <f>PerfRate[[#This Row],[ManagerRating]] - PerfRate[[#This Row],[SelfRating]]</f>
        <v>0</v>
      </c>
    </row>
    <row r="4343" spans="1:18">
      <c r="A4343" s="2" t="s">
        <v>8650</v>
      </c>
      <c r="B4343" s="2" t="s">
        <v>2024</v>
      </c>
      <c r="C4343" s="1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  <c r="L4343" s="2" t="s">
        <v>11029</v>
      </c>
      <c r="M4343" s="2" t="s">
        <v>11028</v>
      </c>
      <c r="N4343" s="2" t="s">
        <v>11036</v>
      </c>
      <c r="O4343" s="2" t="s">
        <v>11037</v>
      </c>
      <c r="P4343" s="2" t="s">
        <v>11036</v>
      </c>
      <c r="Q4343" s="2">
        <f>AVERAGE(PerfRate[[#This Row],[EnvironmentSatisfaction]],PerfRate[[#This Row],[JobSatisfaction]],PerfRate[[#This Row],[RelationshipSatisfaction]])</f>
        <v>3.3333333333333335</v>
      </c>
      <c r="R4343" s="2">
        <f>PerfRate[[#This Row],[ManagerRating]] - PerfRate[[#This Row],[SelfRating]]</f>
        <v>-1</v>
      </c>
    </row>
    <row r="4344" spans="1:18">
      <c r="A4344" s="2" t="s">
        <v>8651</v>
      </c>
      <c r="B4344" s="2" t="s">
        <v>2532</v>
      </c>
      <c r="C4344" s="1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  <c r="L4344" s="2" t="s">
        <v>11030</v>
      </c>
      <c r="M4344" s="2" t="s">
        <v>11030</v>
      </c>
      <c r="N4344" s="2" t="s">
        <v>11035</v>
      </c>
      <c r="O4344" s="2" t="s">
        <v>11035</v>
      </c>
      <c r="P4344" s="2" t="s">
        <v>11035</v>
      </c>
      <c r="Q4344" s="2">
        <f>AVERAGE(PerfRate[[#This Row],[EnvironmentSatisfaction]],PerfRate[[#This Row],[JobSatisfaction]],PerfRate[[#This Row],[RelationshipSatisfaction]])</f>
        <v>2</v>
      </c>
      <c r="R4344" s="2">
        <f>PerfRate[[#This Row],[ManagerRating]] - PerfRate[[#This Row],[SelfRating]]</f>
        <v>0</v>
      </c>
    </row>
    <row r="4345" spans="1:18">
      <c r="A4345" s="2" t="s">
        <v>8652</v>
      </c>
      <c r="B4345" s="2" t="s">
        <v>985</v>
      </c>
      <c r="C4345" s="1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  <c r="L4345" s="2" t="s">
        <v>11031</v>
      </c>
      <c r="M4345" s="2" t="s">
        <v>11030</v>
      </c>
      <c r="N4345" s="2" t="s">
        <v>11036</v>
      </c>
      <c r="O4345" s="2" t="s">
        <v>11036</v>
      </c>
      <c r="P4345" s="2" t="s">
        <v>11037</v>
      </c>
      <c r="Q4345" s="2">
        <f>AVERAGE(PerfRate[[#This Row],[EnvironmentSatisfaction]],PerfRate[[#This Row],[JobSatisfaction]],PerfRate[[#This Row],[RelationshipSatisfaction]])</f>
        <v>3.3333333333333335</v>
      </c>
      <c r="R4345" s="2">
        <f>PerfRate[[#This Row],[ManagerRating]] - PerfRate[[#This Row],[SelfRating]]</f>
        <v>-1</v>
      </c>
    </row>
    <row r="4346" spans="1:18">
      <c r="A4346" s="2" t="s">
        <v>8653</v>
      </c>
      <c r="B4346" s="2" t="s">
        <v>2122</v>
      </c>
      <c r="C4346" s="1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  <c r="L4346" s="2" t="s">
        <v>11029</v>
      </c>
      <c r="M4346" s="2" t="s">
        <v>11028</v>
      </c>
      <c r="N4346" s="2" t="s">
        <v>11037</v>
      </c>
      <c r="O4346" s="2" t="s">
        <v>11036</v>
      </c>
      <c r="P4346" s="2" t="s">
        <v>11035</v>
      </c>
      <c r="Q4346" s="2">
        <f>AVERAGE(PerfRate[[#This Row],[EnvironmentSatisfaction]],PerfRate[[#This Row],[JobSatisfaction]],PerfRate[[#This Row],[RelationshipSatisfaction]])</f>
        <v>3</v>
      </c>
      <c r="R4346" s="2">
        <f>PerfRate[[#This Row],[ManagerRating]] - PerfRate[[#This Row],[SelfRating]]</f>
        <v>-1</v>
      </c>
    </row>
    <row r="4347" spans="1:18">
      <c r="A4347" s="2" t="s">
        <v>8654</v>
      </c>
      <c r="B4347" s="2" t="s">
        <v>2248</v>
      </c>
      <c r="C4347" s="1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  <c r="L4347" s="2" t="s">
        <v>11030</v>
      </c>
      <c r="M4347" s="2" t="s">
        <v>11029</v>
      </c>
      <c r="N4347" s="2" t="s">
        <v>11036</v>
      </c>
      <c r="O4347" s="2" t="s">
        <v>11038</v>
      </c>
      <c r="P4347" s="2" t="s">
        <v>11037</v>
      </c>
      <c r="Q4347" s="2">
        <f>AVERAGE(PerfRate[[#This Row],[EnvironmentSatisfaction]],PerfRate[[#This Row],[JobSatisfaction]],PerfRate[[#This Row],[RelationshipSatisfaction]])</f>
        <v>4</v>
      </c>
      <c r="R4347" s="2">
        <f>PerfRate[[#This Row],[ManagerRating]] - PerfRate[[#This Row],[SelfRating]]</f>
        <v>-1</v>
      </c>
    </row>
    <row r="4348" spans="1:18">
      <c r="A4348" s="2" t="s">
        <v>8655</v>
      </c>
      <c r="B4348" s="2" t="s">
        <v>2827</v>
      </c>
      <c r="C4348" s="1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  <c r="L4348" s="2" t="s">
        <v>11031</v>
      </c>
      <c r="M4348" s="2" t="s">
        <v>11031</v>
      </c>
      <c r="N4348" s="2" t="s">
        <v>11037</v>
      </c>
      <c r="O4348" s="2" t="s">
        <v>11038</v>
      </c>
      <c r="P4348" s="2" t="s">
        <v>11035</v>
      </c>
      <c r="Q4348" s="2">
        <f>AVERAGE(PerfRate[[#This Row],[EnvironmentSatisfaction]],PerfRate[[#This Row],[JobSatisfaction]],PerfRate[[#This Row],[RelationshipSatisfaction]])</f>
        <v>3.6666666666666665</v>
      </c>
      <c r="R4348" s="2">
        <f>PerfRate[[#This Row],[ManagerRating]] - PerfRate[[#This Row],[SelfRating]]</f>
        <v>0</v>
      </c>
    </row>
    <row r="4349" spans="1:18">
      <c r="A4349" s="2" t="s">
        <v>8656</v>
      </c>
      <c r="B4349" s="2" t="s">
        <v>2718</v>
      </c>
      <c r="C4349" s="1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  <c r="L4349" s="2" t="s">
        <v>11030</v>
      </c>
      <c r="M4349" s="2" t="s">
        <v>11029</v>
      </c>
      <c r="N4349" s="2" t="s">
        <v>11038</v>
      </c>
      <c r="O4349" s="2" t="s">
        <v>11037</v>
      </c>
      <c r="P4349" s="2" t="s">
        <v>11036</v>
      </c>
      <c r="Q4349" s="2">
        <f>AVERAGE(PerfRate[[#This Row],[EnvironmentSatisfaction]],PerfRate[[#This Row],[JobSatisfaction]],PerfRate[[#This Row],[RelationshipSatisfaction]])</f>
        <v>4</v>
      </c>
      <c r="R4349" s="2">
        <f>PerfRate[[#This Row],[ManagerRating]] - PerfRate[[#This Row],[SelfRating]]</f>
        <v>-1</v>
      </c>
    </row>
    <row r="4350" spans="1:18">
      <c r="A4350" s="2" t="s">
        <v>8657</v>
      </c>
      <c r="B4350" s="2" t="s">
        <v>2039</v>
      </c>
      <c r="C4350" s="1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  <c r="L4350" s="2" t="s">
        <v>11029</v>
      </c>
      <c r="M4350" s="2" t="s">
        <v>11029</v>
      </c>
      <c r="N4350" s="2" t="s">
        <v>11038</v>
      </c>
      <c r="O4350" s="2" t="s">
        <v>11037</v>
      </c>
      <c r="P4350" s="2" t="s">
        <v>11036</v>
      </c>
      <c r="Q4350" s="2">
        <f>AVERAGE(PerfRate[[#This Row],[EnvironmentSatisfaction]],PerfRate[[#This Row],[JobSatisfaction]],PerfRate[[#This Row],[RelationshipSatisfaction]])</f>
        <v>4</v>
      </c>
      <c r="R4350" s="2">
        <f>PerfRate[[#This Row],[ManagerRating]] - PerfRate[[#This Row],[SelfRating]]</f>
        <v>0</v>
      </c>
    </row>
    <row r="4351" spans="1:18">
      <c r="A4351" s="2" t="s">
        <v>8658</v>
      </c>
      <c r="B4351" s="2" t="s">
        <v>2263</v>
      </c>
      <c r="C4351" s="1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  <c r="L4351" s="2" t="s">
        <v>11029</v>
      </c>
      <c r="M4351" s="2" t="s">
        <v>11029</v>
      </c>
      <c r="N4351" s="2" t="s">
        <v>11034</v>
      </c>
      <c r="O4351" s="2" t="s">
        <v>11035</v>
      </c>
      <c r="P4351" s="2" t="s">
        <v>11037</v>
      </c>
      <c r="Q4351" s="2">
        <f>AVERAGE(PerfRate[[#This Row],[EnvironmentSatisfaction]],PerfRate[[#This Row],[JobSatisfaction]],PerfRate[[#This Row],[RelationshipSatisfaction]])</f>
        <v>2.3333333333333335</v>
      </c>
      <c r="R4351" s="2">
        <f>PerfRate[[#This Row],[ManagerRating]] - PerfRate[[#This Row],[SelfRating]]</f>
        <v>0</v>
      </c>
    </row>
    <row r="4352" spans="1:18">
      <c r="A4352" s="2" t="s">
        <v>8659</v>
      </c>
      <c r="B4352" s="2" t="s">
        <v>122</v>
      </c>
      <c r="C4352" s="1">
        <v>42065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  <c r="L4352" s="2" t="s">
        <v>11029</v>
      </c>
      <c r="M4352" s="2" t="s">
        <v>11028</v>
      </c>
      <c r="N4352" s="2" t="s">
        <v>11038</v>
      </c>
      <c r="O4352" s="2" t="s">
        <v>11037</v>
      </c>
      <c r="P4352" s="2" t="s">
        <v>11037</v>
      </c>
      <c r="Q4352" s="2">
        <f>AVERAGE(PerfRate[[#This Row],[EnvironmentSatisfaction]],PerfRate[[#This Row],[JobSatisfaction]],PerfRate[[#This Row],[RelationshipSatisfaction]])</f>
        <v>4.333333333333333</v>
      </c>
      <c r="R4352" s="2">
        <f>PerfRate[[#This Row],[ManagerRating]] - PerfRate[[#This Row],[SelfRating]]</f>
        <v>-1</v>
      </c>
    </row>
    <row r="4353" spans="1:18">
      <c r="A4353" s="2" t="s">
        <v>8660</v>
      </c>
      <c r="B4353" s="2" t="s">
        <v>1641</v>
      </c>
      <c r="C4353" s="1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  <c r="L4353" s="2" t="s">
        <v>11029</v>
      </c>
      <c r="M4353" s="2" t="s">
        <v>11028</v>
      </c>
      <c r="N4353" s="2" t="s">
        <v>11035</v>
      </c>
      <c r="O4353" s="2" t="s">
        <v>11034</v>
      </c>
      <c r="P4353" s="2" t="s">
        <v>11036</v>
      </c>
      <c r="Q4353" s="2">
        <f>AVERAGE(PerfRate[[#This Row],[EnvironmentSatisfaction]],PerfRate[[#This Row],[JobSatisfaction]],PerfRate[[#This Row],[RelationshipSatisfaction]])</f>
        <v>2</v>
      </c>
      <c r="R4353" s="2">
        <f>PerfRate[[#This Row],[ManagerRating]] - PerfRate[[#This Row],[SelfRating]]</f>
        <v>-1</v>
      </c>
    </row>
    <row r="4354" spans="1:18">
      <c r="A4354" s="2" t="s">
        <v>8661</v>
      </c>
      <c r="B4354" s="2" t="s">
        <v>2366</v>
      </c>
      <c r="C4354" s="1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  <c r="L4354" s="2" t="s">
        <v>11030</v>
      </c>
      <c r="M4354" s="2" t="s">
        <v>11030</v>
      </c>
      <c r="N4354" s="2" t="s">
        <v>11036</v>
      </c>
      <c r="O4354" s="2" t="s">
        <v>11037</v>
      </c>
      <c r="P4354" s="2" t="s">
        <v>11034</v>
      </c>
      <c r="Q4354" s="2">
        <f>AVERAGE(PerfRate[[#This Row],[EnvironmentSatisfaction]],PerfRate[[#This Row],[JobSatisfaction]],PerfRate[[#This Row],[RelationshipSatisfaction]])</f>
        <v>2.6666666666666665</v>
      </c>
      <c r="R4354" s="2">
        <f>PerfRate[[#This Row],[ManagerRating]] - PerfRate[[#This Row],[SelfRating]]</f>
        <v>0</v>
      </c>
    </row>
    <row r="4355" spans="1:18">
      <c r="A4355" s="2" t="s">
        <v>8662</v>
      </c>
      <c r="B4355" s="2" t="s">
        <v>1965</v>
      </c>
      <c r="C4355" s="1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  <c r="L4355" s="2" t="s">
        <v>11030</v>
      </c>
      <c r="M4355" s="2" t="s">
        <v>11029</v>
      </c>
      <c r="N4355" s="2" t="s">
        <v>11036</v>
      </c>
      <c r="O4355" s="2" t="s">
        <v>11035</v>
      </c>
      <c r="P4355" s="2" t="s">
        <v>11037</v>
      </c>
      <c r="Q4355" s="2">
        <f>AVERAGE(PerfRate[[#This Row],[EnvironmentSatisfaction]],PerfRate[[#This Row],[JobSatisfaction]],PerfRate[[#This Row],[RelationshipSatisfaction]])</f>
        <v>3</v>
      </c>
      <c r="R4355" s="2">
        <f>PerfRate[[#This Row],[ManagerRating]] - PerfRate[[#This Row],[SelfRating]]</f>
        <v>-1</v>
      </c>
    </row>
    <row r="4356" spans="1:18">
      <c r="A4356" s="2" t="s">
        <v>8663</v>
      </c>
      <c r="B4356" s="2" t="s">
        <v>1750</v>
      </c>
      <c r="C4356" s="1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  <c r="L4356" s="2" t="s">
        <v>11030</v>
      </c>
      <c r="M4356" s="2" t="s">
        <v>11029</v>
      </c>
      <c r="N4356" s="2" t="s">
        <v>11036</v>
      </c>
      <c r="O4356" s="2" t="s">
        <v>11037</v>
      </c>
      <c r="P4356" s="2" t="s">
        <v>11036</v>
      </c>
      <c r="Q4356" s="2">
        <f>AVERAGE(PerfRate[[#This Row],[EnvironmentSatisfaction]],PerfRate[[#This Row],[JobSatisfaction]],PerfRate[[#This Row],[RelationshipSatisfaction]])</f>
        <v>3.3333333333333335</v>
      </c>
      <c r="R4356" s="2">
        <f>PerfRate[[#This Row],[ManagerRating]] - PerfRate[[#This Row],[SelfRating]]</f>
        <v>-1</v>
      </c>
    </row>
    <row r="4357" spans="1:18">
      <c r="A4357" s="2" t="s">
        <v>8664</v>
      </c>
      <c r="B4357" s="2" t="s">
        <v>2554</v>
      </c>
      <c r="C4357" s="1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  <c r="L4357" s="2" t="s">
        <v>11030</v>
      </c>
      <c r="M4357" s="2" t="s">
        <v>11030</v>
      </c>
      <c r="N4357" s="2" t="s">
        <v>11038</v>
      </c>
      <c r="O4357" s="2" t="s">
        <v>11035</v>
      </c>
      <c r="P4357" s="2" t="s">
        <v>11038</v>
      </c>
      <c r="Q4357" s="2">
        <f>AVERAGE(PerfRate[[#This Row],[EnvironmentSatisfaction]],PerfRate[[#This Row],[JobSatisfaction]],PerfRate[[#This Row],[RelationshipSatisfaction]])</f>
        <v>4</v>
      </c>
      <c r="R4357" s="2">
        <f>PerfRate[[#This Row],[ManagerRating]] - PerfRate[[#This Row],[SelfRating]]</f>
        <v>0</v>
      </c>
    </row>
    <row r="4358" spans="1:18">
      <c r="A4358" s="2" t="s">
        <v>8665</v>
      </c>
      <c r="B4358" s="2" t="s">
        <v>2684</v>
      </c>
      <c r="C4358" s="1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  <c r="L4358" s="2" t="s">
        <v>11029</v>
      </c>
      <c r="M4358" s="2" t="s">
        <v>11028</v>
      </c>
      <c r="N4358" s="2" t="s">
        <v>11036</v>
      </c>
      <c r="O4358" s="2" t="s">
        <v>11036</v>
      </c>
      <c r="P4358" s="2" t="s">
        <v>11035</v>
      </c>
      <c r="Q4358" s="2">
        <f>AVERAGE(PerfRate[[#This Row],[EnvironmentSatisfaction]],PerfRate[[#This Row],[JobSatisfaction]],PerfRate[[#This Row],[RelationshipSatisfaction]])</f>
        <v>2.6666666666666665</v>
      </c>
      <c r="R4358" s="2">
        <f>PerfRate[[#This Row],[ManagerRating]] - PerfRate[[#This Row],[SelfRating]]</f>
        <v>-1</v>
      </c>
    </row>
    <row r="4359" spans="1:18">
      <c r="A4359" s="2" t="s">
        <v>8666</v>
      </c>
      <c r="B4359" s="2" t="s">
        <v>2958</v>
      </c>
      <c r="C4359" s="1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  <c r="L4359" s="2" t="s">
        <v>11031</v>
      </c>
      <c r="M4359" s="2" t="s">
        <v>11031</v>
      </c>
      <c r="N4359" s="2" t="s">
        <v>11037</v>
      </c>
      <c r="O4359" s="2" t="s">
        <v>11035</v>
      </c>
      <c r="P4359" s="2" t="s">
        <v>11038</v>
      </c>
      <c r="Q4359" s="2">
        <f>AVERAGE(PerfRate[[#This Row],[EnvironmentSatisfaction]],PerfRate[[#This Row],[JobSatisfaction]],PerfRate[[#This Row],[RelationshipSatisfaction]])</f>
        <v>3.6666666666666665</v>
      </c>
      <c r="R4359" s="2">
        <f>PerfRate[[#This Row],[ManagerRating]] - PerfRate[[#This Row],[SelfRating]]</f>
        <v>0</v>
      </c>
    </row>
    <row r="4360" spans="1:18">
      <c r="A4360" s="2" t="s">
        <v>8667</v>
      </c>
      <c r="B4360" s="2" t="s">
        <v>214</v>
      </c>
      <c r="C4360" s="1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  <c r="L4360" s="2" t="s">
        <v>11031</v>
      </c>
      <c r="M4360" s="2" t="s">
        <v>11030</v>
      </c>
      <c r="N4360" s="2" t="s">
        <v>11038</v>
      </c>
      <c r="O4360" s="2" t="s">
        <v>11036</v>
      </c>
      <c r="P4360" s="2" t="s">
        <v>11038</v>
      </c>
      <c r="Q4360" s="2">
        <f>AVERAGE(PerfRate[[#This Row],[EnvironmentSatisfaction]],PerfRate[[#This Row],[JobSatisfaction]],PerfRate[[#This Row],[RelationshipSatisfaction]])</f>
        <v>4.333333333333333</v>
      </c>
      <c r="R4360" s="2">
        <f>PerfRate[[#This Row],[ManagerRating]] - PerfRate[[#This Row],[SelfRating]]</f>
        <v>-1</v>
      </c>
    </row>
    <row r="4361" spans="1:18">
      <c r="A4361" s="2" t="s">
        <v>8668</v>
      </c>
      <c r="B4361" s="2" t="s">
        <v>1800</v>
      </c>
      <c r="C4361" s="1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  <c r="L4361" s="2" t="s">
        <v>11029</v>
      </c>
      <c r="M4361" s="2" t="s">
        <v>11028</v>
      </c>
      <c r="N4361" s="2" t="s">
        <v>11038</v>
      </c>
      <c r="O4361" s="2" t="s">
        <v>11035</v>
      </c>
      <c r="P4361" s="2" t="s">
        <v>11038</v>
      </c>
      <c r="Q4361" s="2">
        <f>AVERAGE(PerfRate[[#This Row],[EnvironmentSatisfaction]],PerfRate[[#This Row],[JobSatisfaction]],PerfRate[[#This Row],[RelationshipSatisfaction]])</f>
        <v>4</v>
      </c>
      <c r="R4361" s="2">
        <f>PerfRate[[#This Row],[ManagerRating]] - PerfRate[[#This Row],[SelfRating]]</f>
        <v>-1</v>
      </c>
    </row>
    <row r="4362" spans="1:18">
      <c r="A4362" s="2" t="s">
        <v>8669</v>
      </c>
      <c r="B4362" s="2" t="s">
        <v>1868</v>
      </c>
      <c r="C4362" s="1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  <c r="L4362" s="2" t="s">
        <v>11031</v>
      </c>
      <c r="M4362" s="2" t="s">
        <v>11030</v>
      </c>
      <c r="N4362" s="2" t="s">
        <v>11038</v>
      </c>
      <c r="O4362" s="2" t="s">
        <v>11035</v>
      </c>
      <c r="P4362" s="2" t="s">
        <v>11038</v>
      </c>
      <c r="Q4362" s="2">
        <f>AVERAGE(PerfRate[[#This Row],[EnvironmentSatisfaction]],PerfRate[[#This Row],[JobSatisfaction]],PerfRate[[#This Row],[RelationshipSatisfaction]])</f>
        <v>4</v>
      </c>
      <c r="R4362" s="2">
        <f>PerfRate[[#This Row],[ManagerRating]] - PerfRate[[#This Row],[SelfRating]]</f>
        <v>-1</v>
      </c>
    </row>
    <row r="4363" spans="1:18">
      <c r="A4363" s="2" t="s">
        <v>8670</v>
      </c>
      <c r="B4363" s="2" t="s">
        <v>1538</v>
      </c>
      <c r="C4363" s="1">
        <v>42096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  <c r="L4363" s="2" t="s">
        <v>11029</v>
      </c>
      <c r="M4363" s="2" t="s">
        <v>11028</v>
      </c>
      <c r="N4363" s="2" t="s">
        <v>11038</v>
      </c>
      <c r="O4363" s="2" t="s">
        <v>11035</v>
      </c>
      <c r="P4363" s="2" t="s">
        <v>11037</v>
      </c>
      <c r="Q4363" s="2">
        <f>AVERAGE(PerfRate[[#This Row],[EnvironmentSatisfaction]],PerfRate[[#This Row],[JobSatisfaction]],PerfRate[[#This Row],[RelationshipSatisfaction]])</f>
        <v>3.6666666666666665</v>
      </c>
      <c r="R4363" s="2">
        <f>PerfRate[[#This Row],[ManagerRating]] - PerfRate[[#This Row],[SelfRating]]</f>
        <v>-1</v>
      </c>
    </row>
    <row r="4364" spans="1:18">
      <c r="A4364" s="2" t="s">
        <v>8671</v>
      </c>
      <c r="B4364" s="2" t="s">
        <v>1012</v>
      </c>
      <c r="C4364" s="1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  <c r="L4364" s="2" t="s">
        <v>11031</v>
      </c>
      <c r="M4364" s="2" t="s">
        <v>11030</v>
      </c>
      <c r="N4364" s="2" t="s">
        <v>11036</v>
      </c>
      <c r="O4364" s="2" t="s">
        <v>11037</v>
      </c>
      <c r="P4364" s="2" t="s">
        <v>11038</v>
      </c>
      <c r="Q4364" s="2">
        <f>AVERAGE(PerfRate[[#This Row],[EnvironmentSatisfaction]],PerfRate[[#This Row],[JobSatisfaction]],PerfRate[[#This Row],[RelationshipSatisfaction]])</f>
        <v>4</v>
      </c>
      <c r="R4364" s="2">
        <f>PerfRate[[#This Row],[ManagerRating]] - PerfRate[[#This Row],[SelfRating]]</f>
        <v>-1</v>
      </c>
    </row>
    <row r="4365" spans="1:18">
      <c r="A4365" s="2" t="s">
        <v>8672</v>
      </c>
      <c r="B4365" s="2" t="s">
        <v>2620</v>
      </c>
      <c r="C4365" s="1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  <c r="L4365" s="2" t="s">
        <v>11031</v>
      </c>
      <c r="M4365" s="2" t="s">
        <v>11030</v>
      </c>
      <c r="N4365" s="2" t="s">
        <v>11036</v>
      </c>
      <c r="O4365" s="2" t="s">
        <v>11038</v>
      </c>
      <c r="P4365" s="2" t="s">
        <v>11037</v>
      </c>
      <c r="Q4365" s="2">
        <f>AVERAGE(PerfRate[[#This Row],[EnvironmentSatisfaction]],PerfRate[[#This Row],[JobSatisfaction]],PerfRate[[#This Row],[RelationshipSatisfaction]])</f>
        <v>4</v>
      </c>
      <c r="R4365" s="2">
        <f>PerfRate[[#This Row],[ManagerRating]] - PerfRate[[#This Row],[SelfRating]]</f>
        <v>-1</v>
      </c>
    </row>
    <row r="4366" spans="1:18">
      <c r="A4366" s="2" t="s">
        <v>8673</v>
      </c>
      <c r="B4366" s="2" t="s">
        <v>4118</v>
      </c>
      <c r="C4366" s="1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  <c r="L4366" s="2" t="s">
        <v>11030</v>
      </c>
      <c r="M4366" s="2" t="s">
        <v>11030</v>
      </c>
      <c r="N4366" s="2" t="s">
        <v>11036</v>
      </c>
      <c r="O4366" s="2" t="s">
        <v>11035</v>
      </c>
      <c r="P4366" s="2" t="s">
        <v>11036</v>
      </c>
      <c r="Q4366" s="2">
        <f>AVERAGE(PerfRate[[#This Row],[EnvironmentSatisfaction]],PerfRate[[#This Row],[JobSatisfaction]],PerfRate[[#This Row],[RelationshipSatisfaction]])</f>
        <v>2.6666666666666665</v>
      </c>
      <c r="R4366" s="2">
        <f>PerfRate[[#This Row],[ManagerRating]] - PerfRate[[#This Row],[SelfRating]]</f>
        <v>0</v>
      </c>
    </row>
    <row r="4367" spans="1:18">
      <c r="A4367" s="2" t="s">
        <v>8674</v>
      </c>
      <c r="B4367" s="2" t="s">
        <v>2332</v>
      </c>
      <c r="C4367" s="1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  <c r="L4367" s="2" t="s">
        <v>11029</v>
      </c>
      <c r="M4367" s="2" t="s">
        <v>11029</v>
      </c>
      <c r="N4367" s="2" t="s">
        <v>11038</v>
      </c>
      <c r="O4367" s="2" t="s">
        <v>11036</v>
      </c>
      <c r="P4367" s="2" t="s">
        <v>11038</v>
      </c>
      <c r="Q4367" s="2">
        <f>AVERAGE(PerfRate[[#This Row],[EnvironmentSatisfaction]],PerfRate[[#This Row],[JobSatisfaction]],PerfRate[[#This Row],[RelationshipSatisfaction]])</f>
        <v>4.333333333333333</v>
      </c>
      <c r="R4367" s="2">
        <f>PerfRate[[#This Row],[ManagerRating]] - PerfRate[[#This Row],[SelfRating]]</f>
        <v>0</v>
      </c>
    </row>
    <row r="4368" spans="1:18">
      <c r="A4368" s="2" t="s">
        <v>8675</v>
      </c>
      <c r="B4368" s="2" t="s">
        <v>817</v>
      </c>
      <c r="C4368" s="1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  <c r="L4368" s="2" t="s">
        <v>11029</v>
      </c>
      <c r="M4368" s="2" t="s">
        <v>11029</v>
      </c>
      <c r="N4368" s="2" t="s">
        <v>11037</v>
      </c>
      <c r="O4368" s="2" t="s">
        <v>11036</v>
      </c>
      <c r="P4368" s="2" t="s">
        <v>11035</v>
      </c>
      <c r="Q4368" s="2">
        <f>AVERAGE(PerfRate[[#This Row],[EnvironmentSatisfaction]],PerfRate[[#This Row],[JobSatisfaction]],PerfRate[[#This Row],[RelationshipSatisfaction]])</f>
        <v>3</v>
      </c>
      <c r="R4368" s="2">
        <f>PerfRate[[#This Row],[ManagerRating]] - PerfRate[[#This Row],[SelfRating]]</f>
        <v>0</v>
      </c>
    </row>
    <row r="4369" spans="1:18">
      <c r="A4369" s="2" t="s">
        <v>8676</v>
      </c>
      <c r="B4369" s="2" t="s">
        <v>2653</v>
      </c>
      <c r="C4369" s="1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  <c r="L4369" s="2" t="s">
        <v>11029</v>
      </c>
      <c r="M4369" s="2" t="s">
        <v>11029</v>
      </c>
      <c r="N4369" s="2" t="s">
        <v>11038</v>
      </c>
      <c r="O4369" s="2" t="s">
        <v>11035</v>
      </c>
      <c r="P4369" s="2" t="s">
        <v>11038</v>
      </c>
      <c r="Q4369" s="2">
        <f>AVERAGE(PerfRate[[#This Row],[EnvironmentSatisfaction]],PerfRate[[#This Row],[JobSatisfaction]],PerfRate[[#This Row],[RelationshipSatisfaction]])</f>
        <v>4</v>
      </c>
      <c r="R4369" s="2">
        <f>PerfRate[[#This Row],[ManagerRating]] - PerfRate[[#This Row],[SelfRating]]</f>
        <v>0</v>
      </c>
    </row>
    <row r="4370" spans="1:18">
      <c r="A4370" s="2" t="s">
        <v>8677</v>
      </c>
      <c r="B4370" s="2" t="s">
        <v>2914</v>
      </c>
      <c r="C4370" s="1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  <c r="L4370" s="2" t="s">
        <v>11031</v>
      </c>
      <c r="M4370" s="2" t="s">
        <v>11031</v>
      </c>
      <c r="N4370" s="2" t="s">
        <v>11037</v>
      </c>
      <c r="O4370" s="2" t="s">
        <v>11035</v>
      </c>
      <c r="P4370" s="2" t="s">
        <v>11036</v>
      </c>
      <c r="Q4370" s="2">
        <f>AVERAGE(PerfRate[[#This Row],[EnvironmentSatisfaction]],PerfRate[[#This Row],[JobSatisfaction]],PerfRate[[#This Row],[RelationshipSatisfaction]])</f>
        <v>3</v>
      </c>
      <c r="R4370" s="2">
        <f>PerfRate[[#This Row],[ManagerRating]] - PerfRate[[#This Row],[SelfRating]]</f>
        <v>0</v>
      </c>
    </row>
    <row r="4371" spans="1:18">
      <c r="A4371" s="2" t="s">
        <v>8678</v>
      </c>
      <c r="B4371" s="2" t="s">
        <v>1312</v>
      </c>
      <c r="C4371" s="1">
        <v>44201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  <c r="L4371" s="2" t="s">
        <v>11029</v>
      </c>
      <c r="M4371" s="2" t="s">
        <v>11029</v>
      </c>
      <c r="N4371" s="2" t="s">
        <v>11036</v>
      </c>
      <c r="O4371" s="2" t="s">
        <v>11038</v>
      </c>
      <c r="P4371" s="2" t="s">
        <v>11036</v>
      </c>
      <c r="Q4371" s="2">
        <f>AVERAGE(PerfRate[[#This Row],[EnvironmentSatisfaction]],PerfRate[[#This Row],[JobSatisfaction]],PerfRate[[#This Row],[RelationshipSatisfaction]])</f>
        <v>3.6666666666666665</v>
      </c>
      <c r="R4371" s="2">
        <f>PerfRate[[#This Row],[ManagerRating]] - PerfRate[[#This Row],[SelfRating]]</f>
        <v>0</v>
      </c>
    </row>
    <row r="4372" spans="1:18">
      <c r="A4372" s="2" t="s">
        <v>8679</v>
      </c>
      <c r="B4372" s="2" t="s">
        <v>559</v>
      </c>
      <c r="C4372" s="1">
        <v>44201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  <c r="L4372" s="2" t="s">
        <v>11031</v>
      </c>
      <c r="M4372" s="2" t="s">
        <v>11030</v>
      </c>
      <c r="N4372" s="2" t="s">
        <v>11038</v>
      </c>
      <c r="O4372" s="2" t="s">
        <v>11038</v>
      </c>
      <c r="P4372" s="2" t="s">
        <v>11036</v>
      </c>
      <c r="Q4372" s="2">
        <f>AVERAGE(PerfRate[[#This Row],[EnvironmentSatisfaction]],PerfRate[[#This Row],[JobSatisfaction]],PerfRate[[#This Row],[RelationshipSatisfaction]])</f>
        <v>4.333333333333333</v>
      </c>
      <c r="R4372" s="2">
        <f>PerfRate[[#This Row],[ManagerRating]] - PerfRate[[#This Row],[SelfRating]]</f>
        <v>-1</v>
      </c>
    </row>
    <row r="4373" spans="1:18">
      <c r="A4373" s="2" t="s">
        <v>8680</v>
      </c>
      <c r="B4373" s="2" t="s">
        <v>3637</v>
      </c>
      <c r="C4373" s="1">
        <v>44201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  <c r="L4373" s="2" t="s">
        <v>11029</v>
      </c>
      <c r="M4373" s="2" t="s">
        <v>11028</v>
      </c>
      <c r="N4373" s="2" t="s">
        <v>11036</v>
      </c>
      <c r="O4373" s="2" t="s">
        <v>11036</v>
      </c>
      <c r="P4373" s="2" t="s">
        <v>11037</v>
      </c>
      <c r="Q4373" s="2">
        <f>AVERAGE(PerfRate[[#This Row],[EnvironmentSatisfaction]],PerfRate[[#This Row],[JobSatisfaction]],PerfRate[[#This Row],[RelationshipSatisfaction]])</f>
        <v>3.3333333333333335</v>
      </c>
      <c r="R4373" s="2">
        <f>PerfRate[[#This Row],[ManagerRating]] - PerfRate[[#This Row],[SelfRating]]</f>
        <v>-1</v>
      </c>
    </row>
    <row r="4374" spans="1:18">
      <c r="A4374" s="2" t="s">
        <v>8681</v>
      </c>
      <c r="B4374" s="2" t="s">
        <v>244</v>
      </c>
      <c r="C4374" s="1">
        <v>42096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  <c r="L4374" s="2" t="s">
        <v>11030</v>
      </c>
      <c r="M4374" s="2" t="s">
        <v>11029</v>
      </c>
      <c r="N4374" s="2" t="s">
        <v>11037</v>
      </c>
      <c r="O4374" s="2" t="s">
        <v>11038</v>
      </c>
      <c r="P4374" s="2" t="s">
        <v>11036</v>
      </c>
      <c r="Q4374" s="2">
        <f>AVERAGE(PerfRate[[#This Row],[EnvironmentSatisfaction]],PerfRate[[#This Row],[JobSatisfaction]],PerfRate[[#This Row],[RelationshipSatisfaction]])</f>
        <v>4</v>
      </c>
      <c r="R4374" s="2">
        <f>PerfRate[[#This Row],[ManagerRating]] - PerfRate[[#This Row],[SelfRating]]</f>
        <v>-1</v>
      </c>
    </row>
    <row r="4375" spans="1:18">
      <c r="A4375" s="2" t="s">
        <v>8682</v>
      </c>
      <c r="B4375" s="2" t="s">
        <v>3589</v>
      </c>
      <c r="C4375" s="1">
        <v>44201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  <c r="L4375" s="2" t="s">
        <v>11030</v>
      </c>
      <c r="M4375" s="2" t="s">
        <v>11030</v>
      </c>
      <c r="N4375" s="2" t="s">
        <v>11038</v>
      </c>
      <c r="O4375" s="2" t="s">
        <v>11036</v>
      </c>
      <c r="P4375" s="2" t="s">
        <v>11036</v>
      </c>
      <c r="Q4375" s="2">
        <f>AVERAGE(PerfRate[[#This Row],[EnvironmentSatisfaction]],PerfRate[[#This Row],[JobSatisfaction]],PerfRate[[#This Row],[RelationshipSatisfaction]])</f>
        <v>3.6666666666666665</v>
      </c>
      <c r="R4375" s="2">
        <f>PerfRate[[#This Row],[ManagerRating]] - PerfRate[[#This Row],[SelfRating]]</f>
        <v>0</v>
      </c>
    </row>
    <row r="4376" spans="1:18">
      <c r="A4376" s="2" t="s">
        <v>8683</v>
      </c>
      <c r="B4376" s="2" t="s">
        <v>1906</v>
      </c>
      <c r="C4376" s="1">
        <v>44232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  <c r="L4376" s="2" t="s">
        <v>11029</v>
      </c>
      <c r="M4376" s="2" t="s">
        <v>11028</v>
      </c>
      <c r="N4376" s="2" t="s">
        <v>11038</v>
      </c>
      <c r="O4376" s="2" t="s">
        <v>11038</v>
      </c>
      <c r="P4376" s="2" t="s">
        <v>11037</v>
      </c>
      <c r="Q4376" s="2">
        <f>AVERAGE(PerfRate[[#This Row],[EnvironmentSatisfaction]],PerfRate[[#This Row],[JobSatisfaction]],PerfRate[[#This Row],[RelationshipSatisfaction]])</f>
        <v>4.666666666666667</v>
      </c>
      <c r="R4376" s="2">
        <f>PerfRate[[#This Row],[ManagerRating]] - PerfRate[[#This Row],[SelfRating]]</f>
        <v>-1</v>
      </c>
    </row>
    <row r="4377" spans="1:18">
      <c r="A4377" s="2" t="s">
        <v>8684</v>
      </c>
      <c r="B4377" s="2" t="s">
        <v>652</v>
      </c>
      <c r="C4377" s="1">
        <v>44232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  <c r="L4377" s="2" t="s">
        <v>11029</v>
      </c>
      <c r="M4377" s="2" t="s">
        <v>11028</v>
      </c>
      <c r="N4377" s="2" t="s">
        <v>11036</v>
      </c>
      <c r="O4377" s="2" t="s">
        <v>11036</v>
      </c>
      <c r="P4377" s="2" t="s">
        <v>11035</v>
      </c>
      <c r="Q4377" s="2">
        <f>AVERAGE(PerfRate[[#This Row],[EnvironmentSatisfaction]],PerfRate[[#This Row],[JobSatisfaction]],PerfRate[[#This Row],[RelationshipSatisfaction]])</f>
        <v>2.6666666666666665</v>
      </c>
      <c r="R4377" s="2">
        <f>PerfRate[[#This Row],[ManagerRating]] - PerfRate[[#This Row],[SelfRating]]</f>
        <v>-1</v>
      </c>
    </row>
    <row r="4378" spans="1:18">
      <c r="A4378" s="2" t="s">
        <v>8685</v>
      </c>
      <c r="B4378" s="2" t="s">
        <v>2017</v>
      </c>
      <c r="C4378" s="1">
        <v>44232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  <c r="L4378" s="2" t="s">
        <v>11030</v>
      </c>
      <c r="M4378" s="2" t="s">
        <v>11029</v>
      </c>
      <c r="N4378" s="2" t="s">
        <v>11036</v>
      </c>
      <c r="O4378" s="2" t="s">
        <v>11037</v>
      </c>
      <c r="P4378" s="2" t="s">
        <v>11038</v>
      </c>
      <c r="Q4378" s="2">
        <f>AVERAGE(PerfRate[[#This Row],[EnvironmentSatisfaction]],PerfRate[[#This Row],[JobSatisfaction]],PerfRate[[#This Row],[RelationshipSatisfaction]])</f>
        <v>4</v>
      </c>
      <c r="R4378" s="2">
        <f>PerfRate[[#This Row],[ManagerRating]] - PerfRate[[#This Row],[SelfRating]]</f>
        <v>-1</v>
      </c>
    </row>
    <row r="4379" spans="1:18">
      <c r="A4379" s="2" t="s">
        <v>8686</v>
      </c>
      <c r="B4379" s="2" t="s">
        <v>1721</v>
      </c>
      <c r="C4379" s="1">
        <v>44260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  <c r="L4379" s="2" t="s">
        <v>11029</v>
      </c>
      <c r="M4379" s="2" t="s">
        <v>11029</v>
      </c>
      <c r="N4379" s="2" t="s">
        <v>11037</v>
      </c>
      <c r="O4379" s="2" t="s">
        <v>11035</v>
      </c>
      <c r="P4379" s="2" t="s">
        <v>11036</v>
      </c>
      <c r="Q4379" s="2">
        <f>AVERAGE(PerfRate[[#This Row],[EnvironmentSatisfaction]],PerfRate[[#This Row],[JobSatisfaction]],PerfRate[[#This Row],[RelationshipSatisfaction]])</f>
        <v>3</v>
      </c>
      <c r="R4379" s="2">
        <f>PerfRate[[#This Row],[ManagerRating]] - PerfRate[[#This Row],[SelfRating]]</f>
        <v>0</v>
      </c>
    </row>
    <row r="4380" spans="1:18">
      <c r="A4380" s="2" t="s">
        <v>8687</v>
      </c>
      <c r="B4380" s="2" t="s">
        <v>1895</v>
      </c>
      <c r="C4380" s="1">
        <v>44260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  <c r="L4380" s="2" t="s">
        <v>11029</v>
      </c>
      <c r="M4380" s="2" t="s">
        <v>11029</v>
      </c>
      <c r="N4380" s="2" t="s">
        <v>11037</v>
      </c>
      <c r="O4380" s="2" t="s">
        <v>11037</v>
      </c>
      <c r="P4380" s="2" t="s">
        <v>11036</v>
      </c>
      <c r="Q4380" s="2">
        <f>AVERAGE(PerfRate[[#This Row],[EnvironmentSatisfaction]],PerfRate[[#This Row],[JobSatisfaction]],PerfRate[[#This Row],[RelationshipSatisfaction]])</f>
        <v>3.6666666666666665</v>
      </c>
      <c r="R4380" s="2">
        <f>PerfRate[[#This Row],[ManagerRating]] - PerfRate[[#This Row],[SelfRating]]</f>
        <v>0</v>
      </c>
    </row>
    <row r="4381" spans="1:18">
      <c r="A4381" s="2" t="s">
        <v>8688</v>
      </c>
      <c r="B4381" s="2" t="s">
        <v>1142</v>
      </c>
      <c r="C4381" s="1">
        <v>44260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  <c r="L4381" s="2" t="s">
        <v>11031</v>
      </c>
      <c r="M4381" s="2" t="s">
        <v>11031</v>
      </c>
      <c r="N4381" s="2" t="s">
        <v>11037</v>
      </c>
      <c r="O4381" s="2" t="s">
        <v>11034</v>
      </c>
      <c r="P4381" s="2" t="s">
        <v>11036</v>
      </c>
      <c r="Q4381" s="2">
        <f>AVERAGE(PerfRate[[#This Row],[EnvironmentSatisfaction]],PerfRate[[#This Row],[JobSatisfaction]],PerfRate[[#This Row],[RelationshipSatisfaction]])</f>
        <v>2.6666666666666665</v>
      </c>
      <c r="R4381" s="2">
        <f>PerfRate[[#This Row],[ManagerRating]] - PerfRate[[#This Row],[SelfRating]]</f>
        <v>0</v>
      </c>
    </row>
    <row r="4382" spans="1:18">
      <c r="A4382" s="2" t="s">
        <v>8689</v>
      </c>
      <c r="B4382" s="2" t="s">
        <v>2195</v>
      </c>
      <c r="C4382" s="1">
        <v>44260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  <c r="L4382" s="2" t="s">
        <v>11029</v>
      </c>
      <c r="M4382" s="2" t="s">
        <v>11029</v>
      </c>
      <c r="N4382" s="2" t="s">
        <v>11036</v>
      </c>
      <c r="O4382" s="2" t="s">
        <v>11037</v>
      </c>
      <c r="P4382" s="2" t="s">
        <v>11037</v>
      </c>
      <c r="Q4382" s="2">
        <f>AVERAGE(PerfRate[[#This Row],[EnvironmentSatisfaction]],PerfRate[[#This Row],[JobSatisfaction]],PerfRate[[#This Row],[RelationshipSatisfaction]])</f>
        <v>3.6666666666666665</v>
      </c>
      <c r="R4382" s="2">
        <f>PerfRate[[#This Row],[ManagerRating]] - PerfRate[[#This Row],[SelfRating]]</f>
        <v>0</v>
      </c>
    </row>
    <row r="4383" spans="1:18">
      <c r="A4383" s="2" t="s">
        <v>8690</v>
      </c>
      <c r="B4383" s="2" t="s">
        <v>449</v>
      </c>
      <c r="C4383" s="1">
        <v>44291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  <c r="L4383" s="2" t="s">
        <v>11031</v>
      </c>
      <c r="M4383" s="2" t="s">
        <v>11031</v>
      </c>
      <c r="N4383" s="2" t="s">
        <v>11035</v>
      </c>
      <c r="O4383" s="2" t="s">
        <v>11037</v>
      </c>
      <c r="P4383" s="2" t="s">
        <v>11036</v>
      </c>
      <c r="Q4383" s="2">
        <f>AVERAGE(PerfRate[[#This Row],[EnvironmentSatisfaction]],PerfRate[[#This Row],[JobSatisfaction]],PerfRate[[#This Row],[RelationshipSatisfaction]])</f>
        <v>3</v>
      </c>
      <c r="R4383" s="2">
        <f>PerfRate[[#This Row],[ManagerRating]] - PerfRate[[#This Row],[SelfRating]]</f>
        <v>0</v>
      </c>
    </row>
    <row r="4384" spans="1:18">
      <c r="A4384" s="2" t="s">
        <v>8691</v>
      </c>
      <c r="B4384" s="2" t="s">
        <v>3657</v>
      </c>
      <c r="C4384" s="1">
        <v>44291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  <c r="L4384" s="2" t="s">
        <v>11031</v>
      </c>
      <c r="M4384" s="2" t="s">
        <v>11030</v>
      </c>
      <c r="N4384" s="2" t="s">
        <v>11034</v>
      </c>
      <c r="O4384" s="2" t="s">
        <v>11035</v>
      </c>
      <c r="P4384" s="2" t="s">
        <v>11035</v>
      </c>
      <c r="Q4384" s="2">
        <f>AVERAGE(PerfRate[[#This Row],[EnvironmentSatisfaction]],PerfRate[[#This Row],[JobSatisfaction]],PerfRate[[#This Row],[RelationshipSatisfaction]])</f>
        <v>1.6666666666666667</v>
      </c>
      <c r="R4384" s="2">
        <f>PerfRate[[#This Row],[ManagerRating]] - PerfRate[[#This Row],[SelfRating]]</f>
        <v>-1</v>
      </c>
    </row>
    <row r="4385" spans="1:18">
      <c r="A4385" s="2" t="s">
        <v>8692</v>
      </c>
      <c r="B4385" s="2" t="s">
        <v>2647</v>
      </c>
      <c r="C4385" s="1">
        <v>42096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  <c r="L4385" s="2" t="s">
        <v>11029</v>
      </c>
      <c r="M4385" s="2" t="s">
        <v>11028</v>
      </c>
      <c r="N4385" s="2" t="s">
        <v>11037</v>
      </c>
      <c r="O4385" s="2" t="s">
        <v>11036</v>
      </c>
      <c r="P4385" s="2" t="s">
        <v>11038</v>
      </c>
      <c r="Q4385" s="2">
        <f>AVERAGE(PerfRate[[#This Row],[EnvironmentSatisfaction]],PerfRate[[#This Row],[JobSatisfaction]],PerfRate[[#This Row],[RelationshipSatisfaction]])</f>
        <v>4</v>
      </c>
      <c r="R4385" s="2">
        <f>PerfRate[[#This Row],[ManagerRating]] - PerfRate[[#This Row],[SelfRating]]</f>
        <v>-1</v>
      </c>
    </row>
    <row r="4386" spans="1:18">
      <c r="A4386" s="2" t="s">
        <v>8693</v>
      </c>
      <c r="B4386" s="2" t="s">
        <v>223</v>
      </c>
      <c r="C4386" s="1">
        <v>44291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  <c r="L4386" s="2" t="s">
        <v>11029</v>
      </c>
      <c r="M4386" s="2" t="s">
        <v>11029</v>
      </c>
      <c r="N4386" s="2" t="s">
        <v>11037</v>
      </c>
      <c r="O4386" s="2" t="s">
        <v>11037</v>
      </c>
      <c r="P4386" s="2" t="s">
        <v>11035</v>
      </c>
      <c r="Q4386" s="2">
        <f>AVERAGE(PerfRate[[#This Row],[EnvironmentSatisfaction]],PerfRate[[#This Row],[JobSatisfaction]],PerfRate[[#This Row],[RelationshipSatisfaction]])</f>
        <v>3.3333333333333335</v>
      </c>
      <c r="R4386" s="2">
        <f>PerfRate[[#This Row],[ManagerRating]] - PerfRate[[#This Row],[SelfRating]]</f>
        <v>0</v>
      </c>
    </row>
    <row r="4387" spans="1:18">
      <c r="A4387" s="2" t="s">
        <v>8694</v>
      </c>
      <c r="B4387" s="2" t="s">
        <v>2117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  <c r="L4387" s="2" t="s">
        <v>11029</v>
      </c>
      <c r="M4387" s="2" t="s">
        <v>11028</v>
      </c>
      <c r="N4387" s="2" t="s">
        <v>11037</v>
      </c>
      <c r="O4387" s="2" t="s">
        <v>11034</v>
      </c>
      <c r="P4387" s="2" t="s">
        <v>11035</v>
      </c>
      <c r="Q4387" s="2">
        <f>AVERAGE(PerfRate[[#This Row],[EnvironmentSatisfaction]],PerfRate[[#This Row],[JobSatisfaction]],PerfRate[[#This Row],[RelationshipSatisfaction]])</f>
        <v>2.3333333333333335</v>
      </c>
      <c r="R4387" s="2">
        <f>PerfRate[[#This Row],[ManagerRating]] - PerfRate[[#This Row],[SelfRating]]</f>
        <v>-1</v>
      </c>
    </row>
    <row r="4388" spans="1:18">
      <c r="A4388" s="2" t="s">
        <v>8695</v>
      </c>
      <c r="B4388" s="2" t="s">
        <v>3091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  <c r="L4388" s="2" t="s">
        <v>11031</v>
      </c>
      <c r="M4388" s="2" t="s">
        <v>11031</v>
      </c>
      <c r="N4388" s="2" t="s">
        <v>11037</v>
      </c>
      <c r="O4388" s="2" t="s">
        <v>11034</v>
      </c>
      <c r="P4388" s="2" t="s">
        <v>11037</v>
      </c>
      <c r="Q4388" s="2">
        <f>AVERAGE(PerfRate[[#This Row],[EnvironmentSatisfaction]],PerfRate[[#This Row],[JobSatisfaction]],PerfRate[[#This Row],[RelationshipSatisfaction]])</f>
        <v>3</v>
      </c>
      <c r="R4388" s="2">
        <f>PerfRate[[#This Row],[ManagerRating]] - PerfRate[[#This Row],[SelfRating]]</f>
        <v>0</v>
      </c>
    </row>
    <row r="4389" spans="1:18">
      <c r="A4389" s="2" t="s">
        <v>8696</v>
      </c>
      <c r="B4389" s="2" t="s">
        <v>925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  <c r="L4389" s="2" t="s">
        <v>11030</v>
      </c>
      <c r="M4389" s="2" t="s">
        <v>11029</v>
      </c>
      <c r="N4389" s="2" t="s">
        <v>11037</v>
      </c>
      <c r="O4389" s="2" t="s">
        <v>11035</v>
      </c>
      <c r="P4389" s="2" t="s">
        <v>11035</v>
      </c>
      <c r="Q4389" s="2">
        <f>AVERAGE(PerfRate[[#This Row],[EnvironmentSatisfaction]],PerfRate[[#This Row],[JobSatisfaction]],PerfRate[[#This Row],[RelationshipSatisfaction]])</f>
        <v>2.6666666666666665</v>
      </c>
      <c r="R4389" s="2">
        <f>PerfRate[[#This Row],[ManagerRating]] - PerfRate[[#This Row],[SelfRating]]</f>
        <v>-1</v>
      </c>
    </row>
    <row r="4390" spans="1:18">
      <c r="A4390" s="2" t="s">
        <v>8697</v>
      </c>
      <c r="B4390" s="2" t="s">
        <v>3945</v>
      </c>
      <c r="C4390" s="1">
        <v>44352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  <c r="L4390" s="2" t="s">
        <v>11029</v>
      </c>
      <c r="M4390" s="2" t="s">
        <v>11028</v>
      </c>
      <c r="N4390" s="2" t="s">
        <v>11038</v>
      </c>
      <c r="O4390" s="2" t="s">
        <v>11038</v>
      </c>
      <c r="P4390" s="2" t="s">
        <v>11035</v>
      </c>
      <c r="Q4390" s="2">
        <f>AVERAGE(PerfRate[[#This Row],[EnvironmentSatisfaction]],PerfRate[[#This Row],[JobSatisfaction]],PerfRate[[#This Row],[RelationshipSatisfaction]])</f>
        <v>4</v>
      </c>
      <c r="R4390" s="2">
        <f>PerfRate[[#This Row],[ManagerRating]] - PerfRate[[#This Row],[SelfRating]]</f>
        <v>-1</v>
      </c>
    </row>
    <row r="4391" spans="1:18">
      <c r="A4391" s="2" t="s">
        <v>8698</v>
      </c>
      <c r="B4391" s="2" t="s">
        <v>1962</v>
      </c>
      <c r="C4391" s="1">
        <v>44382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  <c r="L4391" s="2" t="s">
        <v>11030</v>
      </c>
      <c r="M4391" s="2" t="s">
        <v>11030</v>
      </c>
      <c r="N4391" s="2" t="s">
        <v>11038</v>
      </c>
      <c r="O4391" s="2" t="s">
        <v>11037</v>
      </c>
      <c r="P4391" s="2" t="s">
        <v>11038</v>
      </c>
      <c r="Q4391" s="2">
        <f>AVERAGE(PerfRate[[#This Row],[EnvironmentSatisfaction]],PerfRate[[#This Row],[JobSatisfaction]],PerfRate[[#This Row],[RelationshipSatisfaction]])</f>
        <v>4.666666666666667</v>
      </c>
      <c r="R4391" s="2">
        <f>PerfRate[[#This Row],[ManagerRating]] - PerfRate[[#This Row],[SelfRating]]</f>
        <v>0</v>
      </c>
    </row>
    <row r="4392" spans="1:18">
      <c r="A4392" s="2" t="s">
        <v>8699</v>
      </c>
      <c r="B4392" s="2" t="s">
        <v>499</v>
      </c>
      <c r="C4392" s="1">
        <v>44382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  <c r="L4392" s="2" t="s">
        <v>11029</v>
      </c>
      <c r="M4392" s="2" t="s">
        <v>11028</v>
      </c>
      <c r="N4392" s="2" t="s">
        <v>11037</v>
      </c>
      <c r="O4392" s="2" t="s">
        <v>11035</v>
      </c>
      <c r="P4392" s="2" t="s">
        <v>11036</v>
      </c>
      <c r="Q4392" s="2">
        <f>AVERAGE(PerfRate[[#This Row],[EnvironmentSatisfaction]],PerfRate[[#This Row],[JobSatisfaction]],PerfRate[[#This Row],[RelationshipSatisfaction]])</f>
        <v>3</v>
      </c>
      <c r="R4392" s="2">
        <f>PerfRate[[#This Row],[ManagerRating]] - PerfRate[[#This Row],[SelfRating]]</f>
        <v>-1</v>
      </c>
    </row>
    <row r="4393" spans="1:18">
      <c r="A4393" s="2" t="s">
        <v>8700</v>
      </c>
      <c r="B4393" s="2" t="s">
        <v>1148</v>
      </c>
      <c r="C4393" s="1">
        <v>44382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  <c r="L4393" s="2" t="s">
        <v>11030</v>
      </c>
      <c r="M4393" s="2" t="s">
        <v>11029</v>
      </c>
      <c r="N4393" s="2" t="s">
        <v>11037</v>
      </c>
      <c r="O4393" s="2" t="s">
        <v>11038</v>
      </c>
      <c r="P4393" s="2" t="s">
        <v>11036</v>
      </c>
      <c r="Q4393" s="2">
        <f>AVERAGE(PerfRate[[#This Row],[EnvironmentSatisfaction]],PerfRate[[#This Row],[JobSatisfaction]],PerfRate[[#This Row],[RelationshipSatisfaction]])</f>
        <v>4</v>
      </c>
      <c r="R4393" s="2">
        <f>PerfRate[[#This Row],[ManagerRating]] - PerfRate[[#This Row],[SelfRating]]</f>
        <v>-1</v>
      </c>
    </row>
    <row r="4394" spans="1:18">
      <c r="A4394" s="2" t="s">
        <v>8701</v>
      </c>
      <c r="B4394" s="2" t="s">
        <v>2363</v>
      </c>
      <c r="C4394" s="1">
        <v>44413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  <c r="L4394" s="2" t="s">
        <v>11031</v>
      </c>
      <c r="M4394" s="2" t="s">
        <v>11031</v>
      </c>
      <c r="N4394" s="2" t="s">
        <v>11037</v>
      </c>
      <c r="O4394" s="2" t="s">
        <v>11037</v>
      </c>
      <c r="P4394" s="2" t="s">
        <v>11035</v>
      </c>
      <c r="Q4394" s="2">
        <f>AVERAGE(PerfRate[[#This Row],[EnvironmentSatisfaction]],PerfRate[[#This Row],[JobSatisfaction]],PerfRate[[#This Row],[RelationshipSatisfaction]])</f>
        <v>3.3333333333333335</v>
      </c>
      <c r="R4394" s="2">
        <f>PerfRate[[#This Row],[ManagerRating]] - PerfRate[[#This Row],[SelfRating]]</f>
        <v>0</v>
      </c>
    </row>
    <row r="4395" spans="1:18">
      <c r="A4395" s="2" t="s">
        <v>8702</v>
      </c>
      <c r="B4395" s="2" t="s">
        <v>1918</v>
      </c>
      <c r="C4395" s="1">
        <v>44413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  <c r="L4395" s="2" t="s">
        <v>11030</v>
      </c>
      <c r="M4395" s="2" t="s">
        <v>11029</v>
      </c>
      <c r="N4395" s="2" t="s">
        <v>11036</v>
      </c>
      <c r="O4395" s="2" t="s">
        <v>11036</v>
      </c>
      <c r="P4395" s="2" t="s">
        <v>11038</v>
      </c>
      <c r="Q4395" s="2">
        <f>AVERAGE(PerfRate[[#This Row],[EnvironmentSatisfaction]],PerfRate[[#This Row],[JobSatisfaction]],PerfRate[[#This Row],[RelationshipSatisfaction]])</f>
        <v>3.6666666666666665</v>
      </c>
      <c r="R4395" s="2">
        <f>PerfRate[[#This Row],[ManagerRating]] - PerfRate[[#This Row],[SelfRating]]</f>
        <v>-1</v>
      </c>
    </row>
    <row r="4396" spans="1:18">
      <c r="A4396" s="2" t="s">
        <v>8703</v>
      </c>
      <c r="B4396" s="2" t="s">
        <v>496</v>
      </c>
      <c r="C4396" s="1">
        <v>42126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  <c r="L4396" s="2" t="s">
        <v>11029</v>
      </c>
      <c r="M4396" s="2" t="s">
        <v>11029</v>
      </c>
      <c r="N4396" s="2" t="s">
        <v>11038</v>
      </c>
      <c r="O4396" s="2" t="s">
        <v>11038</v>
      </c>
      <c r="P4396" s="2" t="s">
        <v>11037</v>
      </c>
      <c r="Q4396" s="2">
        <f>AVERAGE(PerfRate[[#This Row],[EnvironmentSatisfaction]],PerfRate[[#This Row],[JobSatisfaction]],PerfRate[[#This Row],[RelationshipSatisfaction]])</f>
        <v>4.666666666666667</v>
      </c>
      <c r="R4396" s="2">
        <f>PerfRate[[#This Row],[ManagerRating]] - PerfRate[[#This Row],[SelfRating]]</f>
        <v>0</v>
      </c>
    </row>
    <row r="4397" spans="1:18">
      <c r="A4397" s="2" t="s">
        <v>8704</v>
      </c>
      <c r="B4397" s="2" t="s">
        <v>3149</v>
      </c>
      <c r="C4397" s="1">
        <v>44444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  <c r="L4397" s="2" t="s">
        <v>11031</v>
      </c>
      <c r="M4397" s="2" t="s">
        <v>11031</v>
      </c>
      <c r="N4397" s="2" t="s">
        <v>11036</v>
      </c>
      <c r="O4397" s="2" t="s">
        <v>11038</v>
      </c>
      <c r="P4397" s="2" t="s">
        <v>11037</v>
      </c>
      <c r="Q4397" s="2">
        <f>AVERAGE(PerfRate[[#This Row],[EnvironmentSatisfaction]],PerfRate[[#This Row],[JobSatisfaction]],PerfRate[[#This Row],[RelationshipSatisfaction]])</f>
        <v>4</v>
      </c>
      <c r="R4397" s="2">
        <f>PerfRate[[#This Row],[ManagerRating]] - PerfRate[[#This Row],[SelfRating]]</f>
        <v>0</v>
      </c>
    </row>
    <row r="4398" spans="1:18">
      <c r="A4398" s="2" t="s">
        <v>8705</v>
      </c>
      <c r="B4398" s="2" t="s">
        <v>973</v>
      </c>
      <c r="C4398" s="1">
        <v>44444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  <c r="L4398" s="2" t="s">
        <v>11029</v>
      </c>
      <c r="M4398" s="2" t="s">
        <v>11029</v>
      </c>
      <c r="N4398" s="2" t="s">
        <v>11038</v>
      </c>
      <c r="O4398" s="2" t="s">
        <v>11037</v>
      </c>
      <c r="P4398" s="2" t="s">
        <v>11038</v>
      </c>
      <c r="Q4398" s="2">
        <f>AVERAGE(PerfRate[[#This Row],[EnvironmentSatisfaction]],PerfRate[[#This Row],[JobSatisfaction]],PerfRate[[#This Row],[RelationshipSatisfaction]])</f>
        <v>4.666666666666667</v>
      </c>
      <c r="R4398" s="2">
        <f>PerfRate[[#This Row],[ManagerRating]] - PerfRate[[#This Row],[SelfRating]]</f>
        <v>0</v>
      </c>
    </row>
    <row r="4399" spans="1:18">
      <c r="A4399" s="2" t="s">
        <v>8706</v>
      </c>
      <c r="B4399" s="2" t="s">
        <v>2100</v>
      </c>
      <c r="C4399" s="1">
        <v>44444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  <c r="L4399" s="2" t="s">
        <v>11031</v>
      </c>
      <c r="M4399" s="2" t="s">
        <v>11030</v>
      </c>
      <c r="N4399" s="2" t="s">
        <v>11036</v>
      </c>
      <c r="O4399" s="2" t="s">
        <v>11036</v>
      </c>
      <c r="P4399" s="2" t="s">
        <v>11035</v>
      </c>
      <c r="Q4399" s="2">
        <f>AVERAGE(PerfRate[[#This Row],[EnvironmentSatisfaction]],PerfRate[[#This Row],[JobSatisfaction]],PerfRate[[#This Row],[RelationshipSatisfaction]])</f>
        <v>2.6666666666666665</v>
      </c>
      <c r="R4399" s="2">
        <f>PerfRate[[#This Row],[ManagerRating]] - PerfRate[[#This Row],[SelfRating]]</f>
        <v>-1</v>
      </c>
    </row>
    <row r="4400" spans="1:18">
      <c r="A4400" s="2" t="s">
        <v>8707</v>
      </c>
      <c r="B4400" s="2" t="s">
        <v>2343</v>
      </c>
      <c r="C4400" s="1">
        <v>44474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  <c r="L4400" s="2" t="s">
        <v>11029</v>
      </c>
      <c r="M4400" s="2" t="s">
        <v>11028</v>
      </c>
      <c r="N4400" s="2" t="s">
        <v>11038</v>
      </c>
      <c r="O4400" s="2" t="s">
        <v>11036</v>
      </c>
      <c r="P4400" s="2" t="s">
        <v>11036</v>
      </c>
      <c r="Q4400" s="2">
        <f>AVERAGE(PerfRate[[#This Row],[EnvironmentSatisfaction]],PerfRate[[#This Row],[JobSatisfaction]],PerfRate[[#This Row],[RelationshipSatisfaction]])</f>
        <v>3.6666666666666665</v>
      </c>
      <c r="R4400" s="2">
        <f>PerfRate[[#This Row],[ManagerRating]] - PerfRate[[#This Row],[SelfRating]]</f>
        <v>-1</v>
      </c>
    </row>
    <row r="4401" spans="1:18">
      <c r="A4401" s="2" t="s">
        <v>8708</v>
      </c>
      <c r="B4401" s="2" t="s">
        <v>1770</v>
      </c>
      <c r="C4401" s="1">
        <v>44474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  <c r="L4401" s="2" t="s">
        <v>11031</v>
      </c>
      <c r="M4401" s="2" t="s">
        <v>11031</v>
      </c>
      <c r="N4401" s="2" t="s">
        <v>11036</v>
      </c>
      <c r="O4401" s="2" t="s">
        <v>11036</v>
      </c>
      <c r="P4401" s="2" t="s">
        <v>11035</v>
      </c>
      <c r="Q4401" s="2">
        <f>AVERAGE(PerfRate[[#This Row],[EnvironmentSatisfaction]],PerfRate[[#This Row],[JobSatisfaction]],PerfRate[[#This Row],[RelationshipSatisfaction]])</f>
        <v>2.6666666666666665</v>
      </c>
      <c r="R4401" s="2">
        <f>PerfRate[[#This Row],[ManagerRating]] - PerfRate[[#This Row],[SelfRating]]</f>
        <v>0</v>
      </c>
    </row>
    <row r="4402" spans="1:18">
      <c r="A4402" s="2" t="s">
        <v>8709</v>
      </c>
      <c r="B4402" s="2" t="s">
        <v>305</v>
      </c>
      <c r="C4402" s="1">
        <v>44505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  <c r="L4402" s="2" t="s">
        <v>11031</v>
      </c>
      <c r="M4402" s="2" t="s">
        <v>11031</v>
      </c>
      <c r="N4402" s="2" t="s">
        <v>11036</v>
      </c>
      <c r="O4402" s="2" t="s">
        <v>11038</v>
      </c>
      <c r="P4402" s="2" t="s">
        <v>11036</v>
      </c>
      <c r="Q4402" s="2">
        <f>AVERAGE(PerfRate[[#This Row],[EnvironmentSatisfaction]],PerfRate[[#This Row],[JobSatisfaction]],PerfRate[[#This Row],[RelationshipSatisfaction]])</f>
        <v>3.6666666666666665</v>
      </c>
      <c r="R4402" s="2">
        <f>PerfRate[[#This Row],[ManagerRating]] - PerfRate[[#This Row],[SelfRating]]</f>
        <v>0</v>
      </c>
    </row>
    <row r="4403" spans="1:18">
      <c r="A4403" s="2" t="s">
        <v>8710</v>
      </c>
      <c r="B4403" s="2" t="s">
        <v>2158</v>
      </c>
      <c r="C4403" s="1">
        <v>44505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  <c r="L4403" s="2" t="s">
        <v>11031</v>
      </c>
      <c r="M4403" s="2" t="s">
        <v>11031</v>
      </c>
      <c r="N4403" s="2" t="s">
        <v>11037</v>
      </c>
      <c r="O4403" s="2" t="s">
        <v>11035</v>
      </c>
      <c r="P4403" s="2" t="s">
        <v>11035</v>
      </c>
      <c r="Q4403" s="2">
        <f>AVERAGE(PerfRate[[#This Row],[EnvironmentSatisfaction]],PerfRate[[#This Row],[JobSatisfaction]],PerfRate[[#This Row],[RelationshipSatisfaction]])</f>
        <v>2.6666666666666665</v>
      </c>
      <c r="R4403" s="2">
        <f>PerfRate[[#This Row],[ManagerRating]] - PerfRate[[#This Row],[SelfRating]]</f>
        <v>0</v>
      </c>
    </row>
    <row r="4404" spans="1:18">
      <c r="A4404" s="2" t="s">
        <v>8711</v>
      </c>
      <c r="B4404" s="2" t="s">
        <v>811</v>
      </c>
      <c r="C4404" s="1">
        <v>44505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  <c r="L4404" s="2" t="s">
        <v>11031</v>
      </c>
      <c r="M4404" s="2" t="s">
        <v>11030</v>
      </c>
      <c r="N4404" s="2" t="s">
        <v>11037</v>
      </c>
      <c r="O4404" s="2" t="s">
        <v>11038</v>
      </c>
      <c r="P4404" s="2" t="s">
        <v>11038</v>
      </c>
      <c r="Q4404" s="2">
        <f>AVERAGE(PerfRate[[#This Row],[EnvironmentSatisfaction]],PerfRate[[#This Row],[JobSatisfaction]],PerfRate[[#This Row],[RelationshipSatisfaction]])</f>
        <v>4.666666666666667</v>
      </c>
      <c r="R4404" s="2">
        <f>PerfRate[[#This Row],[ManagerRating]] - PerfRate[[#This Row],[SelfRating]]</f>
        <v>-1</v>
      </c>
    </row>
    <row r="4405" spans="1:18">
      <c r="A4405" s="2" t="s">
        <v>8712</v>
      </c>
      <c r="B4405" s="2" t="s">
        <v>57</v>
      </c>
      <c r="C4405" s="1">
        <v>44535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  <c r="L4405" s="2" t="s">
        <v>11029</v>
      </c>
      <c r="M4405" s="2" t="s">
        <v>11028</v>
      </c>
      <c r="N4405" s="2" t="s">
        <v>11036</v>
      </c>
      <c r="O4405" s="2" t="s">
        <v>11037</v>
      </c>
      <c r="P4405" s="2" t="s">
        <v>11036</v>
      </c>
      <c r="Q4405" s="2">
        <f>AVERAGE(PerfRate[[#This Row],[EnvironmentSatisfaction]],PerfRate[[#This Row],[JobSatisfaction]],PerfRate[[#This Row],[RelationshipSatisfaction]])</f>
        <v>3.3333333333333335</v>
      </c>
      <c r="R4405" s="2">
        <f>PerfRate[[#This Row],[ManagerRating]] - PerfRate[[#This Row],[SelfRating]]</f>
        <v>-1</v>
      </c>
    </row>
    <row r="4406" spans="1:18">
      <c r="A4406" s="2" t="s">
        <v>8713</v>
      </c>
      <c r="B4406" s="2" t="s">
        <v>1572</v>
      </c>
      <c r="C4406" s="1">
        <v>44535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  <c r="L4406" s="2" t="s">
        <v>11030</v>
      </c>
      <c r="M4406" s="2" t="s">
        <v>11029</v>
      </c>
      <c r="N4406" s="2" t="s">
        <v>11037</v>
      </c>
      <c r="O4406" s="2" t="s">
        <v>11038</v>
      </c>
      <c r="P4406" s="2" t="s">
        <v>11035</v>
      </c>
      <c r="Q4406" s="2">
        <f>AVERAGE(PerfRate[[#This Row],[EnvironmentSatisfaction]],PerfRate[[#This Row],[JobSatisfaction]],PerfRate[[#This Row],[RelationshipSatisfaction]])</f>
        <v>3.6666666666666665</v>
      </c>
      <c r="R4406" s="2">
        <f>PerfRate[[#This Row],[ManagerRating]] - PerfRate[[#This Row],[SelfRating]]</f>
        <v>-1</v>
      </c>
    </row>
    <row r="4407" spans="1:18">
      <c r="A4407" s="2" t="s">
        <v>8714</v>
      </c>
      <c r="B4407" s="2" t="s">
        <v>676</v>
      </c>
      <c r="C4407" s="1">
        <v>42126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  <c r="L4407" s="2" t="s">
        <v>11030</v>
      </c>
      <c r="M4407" s="2" t="s">
        <v>11029</v>
      </c>
      <c r="N4407" s="2" t="s">
        <v>11036</v>
      </c>
      <c r="O4407" s="2" t="s">
        <v>11038</v>
      </c>
      <c r="P4407" s="2" t="s">
        <v>11037</v>
      </c>
      <c r="Q4407" s="2">
        <f>AVERAGE(PerfRate[[#This Row],[EnvironmentSatisfaction]],PerfRate[[#This Row],[JobSatisfaction]],PerfRate[[#This Row],[RelationshipSatisfaction]])</f>
        <v>4</v>
      </c>
      <c r="R4407" s="2">
        <f>PerfRate[[#This Row],[ManagerRating]] - PerfRate[[#This Row],[SelfRating]]</f>
        <v>-1</v>
      </c>
    </row>
    <row r="4408" spans="1:18">
      <c r="A4408" s="2" t="s">
        <v>8715</v>
      </c>
      <c r="B4408" s="2" t="s">
        <v>338</v>
      </c>
      <c r="C4408" s="1">
        <v>44535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  <c r="L4408" s="2" t="s">
        <v>11029</v>
      </c>
      <c r="M4408" s="2" t="s">
        <v>11028</v>
      </c>
      <c r="N4408" s="2" t="s">
        <v>11036</v>
      </c>
      <c r="O4408" s="2" t="s">
        <v>11036</v>
      </c>
      <c r="P4408" s="2" t="s">
        <v>11038</v>
      </c>
      <c r="Q4408" s="2">
        <f>AVERAGE(PerfRate[[#This Row],[EnvironmentSatisfaction]],PerfRate[[#This Row],[JobSatisfaction]],PerfRate[[#This Row],[RelationshipSatisfaction]])</f>
        <v>3.6666666666666665</v>
      </c>
      <c r="R4408" s="2">
        <f>PerfRate[[#This Row],[ManagerRating]] - PerfRate[[#This Row],[SelfRating]]</f>
        <v>-1</v>
      </c>
    </row>
    <row r="4409" spans="1:18">
      <c r="A4409" s="2" t="s">
        <v>8716</v>
      </c>
      <c r="B4409" s="2" t="s">
        <v>2337</v>
      </c>
      <c r="C4409" s="1">
        <v>44535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  <c r="L4409" s="2" t="s">
        <v>11030</v>
      </c>
      <c r="M4409" s="2" t="s">
        <v>11030</v>
      </c>
      <c r="N4409" s="2" t="s">
        <v>11037</v>
      </c>
      <c r="O4409" s="2" t="s">
        <v>11035</v>
      </c>
      <c r="P4409" s="2" t="s">
        <v>11037</v>
      </c>
      <c r="Q4409" s="2">
        <f>AVERAGE(PerfRate[[#This Row],[EnvironmentSatisfaction]],PerfRate[[#This Row],[JobSatisfaction]],PerfRate[[#This Row],[RelationshipSatisfaction]])</f>
        <v>3.3333333333333335</v>
      </c>
      <c r="R4409" s="2">
        <f>PerfRate[[#This Row],[ManagerRating]] - PerfRate[[#This Row],[SelfRating]]</f>
        <v>0</v>
      </c>
    </row>
    <row r="4410" spans="1:18">
      <c r="A4410" s="2" t="s">
        <v>8717</v>
      </c>
      <c r="B4410" s="2" t="s">
        <v>613</v>
      </c>
      <c r="C4410" s="1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  <c r="L4410" s="2" t="s">
        <v>11030</v>
      </c>
      <c r="M4410" s="2" t="s">
        <v>11030</v>
      </c>
      <c r="N4410" s="2" t="s">
        <v>11037</v>
      </c>
      <c r="O4410" s="2" t="s">
        <v>11036</v>
      </c>
      <c r="P4410" s="2" t="s">
        <v>11035</v>
      </c>
      <c r="Q4410" s="2">
        <f>AVERAGE(PerfRate[[#This Row],[EnvironmentSatisfaction]],PerfRate[[#This Row],[JobSatisfaction]],PerfRate[[#This Row],[RelationshipSatisfaction]])</f>
        <v>3</v>
      </c>
      <c r="R4410" s="2">
        <f>PerfRate[[#This Row],[ManagerRating]] - PerfRate[[#This Row],[SelfRating]]</f>
        <v>0</v>
      </c>
    </row>
    <row r="4411" spans="1:18">
      <c r="A4411" s="2" t="s">
        <v>8718</v>
      </c>
      <c r="B4411" s="2" t="s">
        <v>1626</v>
      </c>
      <c r="C4411" s="1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  <c r="L4411" s="2" t="s">
        <v>11031</v>
      </c>
      <c r="M4411" s="2" t="s">
        <v>11031</v>
      </c>
      <c r="N4411" s="2" t="s">
        <v>11038</v>
      </c>
      <c r="O4411" s="2" t="s">
        <v>11036</v>
      </c>
      <c r="P4411" s="2" t="s">
        <v>11037</v>
      </c>
      <c r="Q4411" s="2">
        <f>AVERAGE(PerfRate[[#This Row],[EnvironmentSatisfaction]],PerfRate[[#This Row],[JobSatisfaction]],PerfRate[[#This Row],[RelationshipSatisfaction]])</f>
        <v>4</v>
      </c>
      <c r="R4411" s="2">
        <f>PerfRate[[#This Row],[ManagerRating]] - PerfRate[[#This Row],[SelfRating]]</f>
        <v>0</v>
      </c>
    </row>
    <row r="4412" spans="1:18">
      <c r="A4412" s="2" t="s">
        <v>8719</v>
      </c>
      <c r="B4412" s="2" t="s">
        <v>1987</v>
      </c>
      <c r="C4412" s="1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  <c r="L4412" s="2" t="s">
        <v>11029</v>
      </c>
      <c r="M4412" s="2" t="s">
        <v>11029</v>
      </c>
      <c r="N4412" s="2" t="s">
        <v>11038</v>
      </c>
      <c r="O4412" s="2" t="s">
        <v>11035</v>
      </c>
      <c r="P4412" s="2" t="s">
        <v>11038</v>
      </c>
      <c r="Q4412" s="2">
        <f>AVERAGE(PerfRate[[#This Row],[EnvironmentSatisfaction]],PerfRate[[#This Row],[JobSatisfaction]],PerfRate[[#This Row],[RelationshipSatisfaction]])</f>
        <v>4</v>
      </c>
      <c r="R4412" s="2">
        <f>PerfRate[[#This Row],[ManagerRating]] - PerfRate[[#This Row],[SelfRating]]</f>
        <v>0</v>
      </c>
    </row>
    <row r="4413" spans="1:18">
      <c r="A4413" s="2" t="s">
        <v>8720</v>
      </c>
      <c r="B4413" s="2" t="s">
        <v>1856</v>
      </c>
      <c r="C4413" s="1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  <c r="L4413" s="2" t="s">
        <v>11030</v>
      </c>
      <c r="M4413" s="2" t="s">
        <v>11030</v>
      </c>
      <c r="N4413" s="2" t="s">
        <v>11037</v>
      </c>
      <c r="O4413" s="2" t="s">
        <v>11035</v>
      </c>
      <c r="P4413" s="2" t="s">
        <v>11035</v>
      </c>
      <c r="Q4413" s="2">
        <f>AVERAGE(PerfRate[[#This Row],[EnvironmentSatisfaction]],PerfRate[[#This Row],[JobSatisfaction]],PerfRate[[#This Row],[RelationshipSatisfaction]])</f>
        <v>2.6666666666666665</v>
      </c>
      <c r="R4413" s="2">
        <f>PerfRate[[#This Row],[ManagerRating]] - PerfRate[[#This Row],[SelfRating]]</f>
        <v>0</v>
      </c>
    </row>
    <row r="4414" spans="1:18">
      <c r="A4414" s="2" t="s">
        <v>8721</v>
      </c>
      <c r="B4414" s="2" t="s">
        <v>2540</v>
      </c>
      <c r="C4414" s="1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  <c r="L4414" s="2" t="s">
        <v>11029</v>
      </c>
      <c r="M4414" s="2" t="s">
        <v>11029</v>
      </c>
      <c r="N4414" s="2" t="s">
        <v>11038</v>
      </c>
      <c r="O4414" s="2" t="s">
        <v>11035</v>
      </c>
      <c r="P4414" s="2" t="s">
        <v>11036</v>
      </c>
      <c r="Q4414" s="2">
        <f>AVERAGE(PerfRate[[#This Row],[EnvironmentSatisfaction]],PerfRate[[#This Row],[JobSatisfaction]],PerfRate[[#This Row],[RelationshipSatisfaction]])</f>
        <v>3.3333333333333335</v>
      </c>
      <c r="R4414" s="2">
        <f>PerfRate[[#This Row],[ManagerRating]] - PerfRate[[#This Row],[SelfRating]]</f>
        <v>0</v>
      </c>
    </row>
    <row r="4415" spans="1:18">
      <c r="A4415" s="2" t="s">
        <v>8722</v>
      </c>
      <c r="B4415" s="2" t="s">
        <v>898</v>
      </c>
      <c r="C4415" s="1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  <c r="L4415" s="2" t="s">
        <v>11030</v>
      </c>
      <c r="M4415" s="2" t="s">
        <v>11029</v>
      </c>
      <c r="N4415" s="2" t="s">
        <v>11037</v>
      </c>
      <c r="O4415" s="2" t="s">
        <v>11037</v>
      </c>
      <c r="P4415" s="2" t="s">
        <v>11037</v>
      </c>
      <c r="Q4415" s="2">
        <f>AVERAGE(PerfRate[[#This Row],[EnvironmentSatisfaction]],PerfRate[[#This Row],[JobSatisfaction]],PerfRate[[#This Row],[RelationshipSatisfaction]])</f>
        <v>4</v>
      </c>
      <c r="R4415" s="2">
        <f>PerfRate[[#This Row],[ManagerRating]] - PerfRate[[#This Row],[SelfRating]]</f>
        <v>-1</v>
      </c>
    </row>
    <row r="4416" spans="1:18">
      <c r="A4416" s="2" t="s">
        <v>8723</v>
      </c>
      <c r="B4416" s="2" t="s">
        <v>1432</v>
      </c>
      <c r="C4416" s="1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  <c r="L4416" s="2" t="s">
        <v>11031</v>
      </c>
      <c r="M4416" s="2" t="s">
        <v>11030</v>
      </c>
      <c r="N4416" s="2" t="s">
        <v>11037</v>
      </c>
      <c r="O4416" s="2" t="s">
        <v>11035</v>
      </c>
      <c r="P4416" s="2" t="s">
        <v>11035</v>
      </c>
      <c r="Q4416" s="2">
        <f>AVERAGE(PerfRate[[#This Row],[EnvironmentSatisfaction]],PerfRate[[#This Row],[JobSatisfaction]],PerfRate[[#This Row],[RelationshipSatisfaction]])</f>
        <v>2.6666666666666665</v>
      </c>
      <c r="R4416" s="2">
        <f>PerfRate[[#This Row],[ManagerRating]] - PerfRate[[#This Row],[SelfRating]]</f>
        <v>-1</v>
      </c>
    </row>
    <row r="4417" spans="1:18">
      <c r="A4417" s="2" t="s">
        <v>8724</v>
      </c>
      <c r="B4417" s="2" t="s">
        <v>2733</v>
      </c>
      <c r="C4417" s="1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  <c r="L4417" s="2" t="s">
        <v>11029</v>
      </c>
      <c r="M4417" s="2" t="s">
        <v>11028</v>
      </c>
      <c r="N4417" s="2" t="s">
        <v>11038</v>
      </c>
      <c r="O4417" s="2" t="s">
        <v>11037</v>
      </c>
      <c r="P4417" s="2" t="s">
        <v>11035</v>
      </c>
      <c r="Q4417" s="2">
        <f>AVERAGE(PerfRate[[#This Row],[EnvironmentSatisfaction]],PerfRate[[#This Row],[JobSatisfaction]],PerfRate[[#This Row],[RelationshipSatisfaction]])</f>
        <v>3.6666666666666665</v>
      </c>
      <c r="R4417" s="2">
        <f>PerfRate[[#This Row],[ManagerRating]] - PerfRate[[#This Row],[SelfRating]]</f>
        <v>-1</v>
      </c>
    </row>
    <row r="4418" spans="1:18">
      <c r="A4418" s="2" t="s">
        <v>8725</v>
      </c>
      <c r="B4418" s="2" t="s">
        <v>3818</v>
      </c>
      <c r="C4418" s="1">
        <v>42126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  <c r="L4418" s="2" t="s">
        <v>11031</v>
      </c>
      <c r="M4418" s="2" t="s">
        <v>11031</v>
      </c>
      <c r="N4418" s="2" t="s">
        <v>11038</v>
      </c>
      <c r="O4418" s="2" t="s">
        <v>11036</v>
      </c>
      <c r="P4418" s="2" t="s">
        <v>11037</v>
      </c>
      <c r="Q4418" s="2">
        <f>AVERAGE(PerfRate[[#This Row],[EnvironmentSatisfaction]],PerfRate[[#This Row],[JobSatisfaction]],PerfRate[[#This Row],[RelationshipSatisfaction]])</f>
        <v>4</v>
      </c>
      <c r="R4418" s="2">
        <f>PerfRate[[#This Row],[ManagerRating]] - PerfRate[[#This Row],[SelfRating]]</f>
        <v>0</v>
      </c>
    </row>
    <row r="4419" spans="1:18">
      <c r="A4419" s="2" t="s">
        <v>8726</v>
      </c>
      <c r="B4419" s="2" t="s">
        <v>1329</v>
      </c>
      <c r="C4419" s="1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  <c r="L4419" s="2" t="s">
        <v>11030</v>
      </c>
      <c r="M4419" s="2" t="s">
        <v>11029</v>
      </c>
      <c r="N4419" s="2" t="s">
        <v>11037</v>
      </c>
      <c r="O4419" s="2" t="s">
        <v>11037</v>
      </c>
      <c r="P4419" s="2" t="s">
        <v>11037</v>
      </c>
      <c r="Q4419" s="2">
        <f>AVERAGE(PerfRate[[#This Row],[EnvironmentSatisfaction]],PerfRate[[#This Row],[JobSatisfaction]],PerfRate[[#This Row],[RelationshipSatisfaction]])</f>
        <v>4</v>
      </c>
      <c r="R4419" s="2">
        <f>PerfRate[[#This Row],[ManagerRating]] - PerfRate[[#This Row],[SelfRating]]</f>
        <v>-1</v>
      </c>
    </row>
    <row r="4420" spans="1:18">
      <c r="A4420" s="2" t="s">
        <v>8727</v>
      </c>
      <c r="B4420" s="2" t="s">
        <v>392</v>
      </c>
      <c r="C4420" s="1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  <c r="L4420" s="2" t="s">
        <v>11029</v>
      </c>
      <c r="M4420" s="2" t="s">
        <v>11029</v>
      </c>
      <c r="N4420" s="2" t="s">
        <v>11037</v>
      </c>
      <c r="O4420" s="2" t="s">
        <v>11037</v>
      </c>
      <c r="P4420" s="2" t="s">
        <v>11036</v>
      </c>
      <c r="Q4420" s="2">
        <f>AVERAGE(PerfRate[[#This Row],[EnvironmentSatisfaction]],PerfRate[[#This Row],[JobSatisfaction]],PerfRate[[#This Row],[RelationshipSatisfaction]])</f>
        <v>3.6666666666666665</v>
      </c>
      <c r="R4420" s="2">
        <f>PerfRate[[#This Row],[ManagerRating]] - PerfRate[[#This Row],[SelfRating]]</f>
        <v>0</v>
      </c>
    </row>
    <row r="4421" spans="1:18">
      <c r="A4421" s="2" t="s">
        <v>8728</v>
      </c>
      <c r="B4421" s="2" t="s">
        <v>479</v>
      </c>
      <c r="C4421" s="1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  <c r="L4421" s="2" t="s">
        <v>11029</v>
      </c>
      <c r="M4421" s="2" t="s">
        <v>11028</v>
      </c>
      <c r="N4421" s="2" t="s">
        <v>11036</v>
      </c>
      <c r="O4421" s="2" t="s">
        <v>11037</v>
      </c>
      <c r="P4421" s="2" t="s">
        <v>11038</v>
      </c>
      <c r="Q4421" s="2">
        <f>AVERAGE(PerfRate[[#This Row],[EnvironmentSatisfaction]],PerfRate[[#This Row],[JobSatisfaction]],PerfRate[[#This Row],[RelationshipSatisfaction]])</f>
        <v>4</v>
      </c>
      <c r="R4421" s="2">
        <f>PerfRate[[#This Row],[ManagerRating]] - PerfRate[[#This Row],[SelfRating]]</f>
        <v>-1</v>
      </c>
    </row>
    <row r="4422" spans="1:18">
      <c r="A4422" s="2" t="s">
        <v>8729</v>
      </c>
      <c r="B4422" s="2" t="s">
        <v>2360</v>
      </c>
      <c r="C4422" s="1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  <c r="L4422" s="2" t="s">
        <v>11031</v>
      </c>
      <c r="M4422" s="2" t="s">
        <v>11031</v>
      </c>
      <c r="N4422" s="2" t="s">
        <v>11038</v>
      </c>
      <c r="O4422" s="2" t="s">
        <v>11035</v>
      </c>
      <c r="P4422" s="2" t="s">
        <v>11037</v>
      </c>
      <c r="Q4422" s="2">
        <f>AVERAGE(PerfRate[[#This Row],[EnvironmentSatisfaction]],PerfRate[[#This Row],[JobSatisfaction]],PerfRate[[#This Row],[RelationshipSatisfaction]])</f>
        <v>3.6666666666666665</v>
      </c>
      <c r="R4422" s="2">
        <f>PerfRate[[#This Row],[ManagerRating]] - PerfRate[[#This Row],[SelfRating]]</f>
        <v>0</v>
      </c>
    </row>
    <row r="4423" spans="1:18">
      <c r="A4423" s="2" t="s">
        <v>8730</v>
      </c>
      <c r="B4423" s="2" t="s">
        <v>2481</v>
      </c>
      <c r="C4423" s="1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  <c r="L4423" s="2" t="s">
        <v>11031</v>
      </c>
      <c r="M4423" s="2" t="s">
        <v>11030</v>
      </c>
      <c r="N4423" s="2" t="s">
        <v>11036</v>
      </c>
      <c r="O4423" s="2" t="s">
        <v>11035</v>
      </c>
      <c r="P4423" s="2" t="s">
        <v>11035</v>
      </c>
      <c r="Q4423" s="2">
        <f>AVERAGE(PerfRate[[#This Row],[EnvironmentSatisfaction]],PerfRate[[#This Row],[JobSatisfaction]],PerfRate[[#This Row],[RelationshipSatisfaction]])</f>
        <v>2.3333333333333335</v>
      </c>
      <c r="R4423" s="2">
        <f>PerfRate[[#This Row],[ManagerRating]] - PerfRate[[#This Row],[SelfRating]]</f>
        <v>-1</v>
      </c>
    </row>
    <row r="4424" spans="1:18">
      <c r="A4424" s="2" t="s">
        <v>8731</v>
      </c>
      <c r="B4424" s="2" t="s">
        <v>2817</v>
      </c>
      <c r="C4424" s="1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  <c r="L4424" s="2" t="s">
        <v>11029</v>
      </c>
      <c r="M4424" s="2" t="s">
        <v>11028</v>
      </c>
      <c r="N4424" s="2" t="s">
        <v>11036</v>
      </c>
      <c r="O4424" s="2" t="s">
        <v>11037</v>
      </c>
      <c r="P4424" s="2" t="s">
        <v>11035</v>
      </c>
      <c r="Q4424" s="2">
        <f>AVERAGE(PerfRate[[#This Row],[EnvironmentSatisfaction]],PerfRate[[#This Row],[JobSatisfaction]],PerfRate[[#This Row],[RelationshipSatisfaction]])</f>
        <v>3</v>
      </c>
      <c r="R4424" s="2">
        <f>PerfRate[[#This Row],[ManagerRating]] - PerfRate[[#This Row],[SelfRating]]</f>
        <v>-1</v>
      </c>
    </row>
    <row r="4425" spans="1:18">
      <c r="A4425" s="2" t="s">
        <v>8732</v>
      </c>
      <c r="B4425" s="2" t="s">
        <v>616</v>
      </c>
      <c r="C4425" s="1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  <c r="L4425" s="2" t="s">
        <v>11031</v>
      </c>
      <c r="M4425" s="2" t="s">
        <v>11031</v>
      </c>
      <c r="N4425" s="2" t="s">
        <v>11037</v>
      </c>
      <c r="O4425" s="2" t="s">
        <v>11038</v>
      </c>
      <c r="P4425" s="2" t="s">
        <v>11038</v>
      </c>
      <c r="Q4425" s="2">
        <f>AVERAGE(PerfRate[[#This Row],[EnvironmentSatisfaction]],PerfRate[[#This Row],[JobSatisfaction]],PerfRate[[#This Row],[RelationshipSatisfaction]])</f>
        <v>4.666666666666667</v>
      </c>
      <c r="R4425" s="2">
        <f>PerfRate[[#This Row],[ManagerRating]] - PerfRate[[#This Row],[SelfRating]]</f>
        <v>0</v>
      </c>
    </row>
    <row r="4426" spans="1:18">
      <c r="A4426" s="2" t="s">
        <v>8733</v>
      </c>
      <c r="B4426" s="2" t="s">
        <v>2772</v>
      </c>
      <c r="C4426" s="1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  <c r="L4426" s="2" t="s">
        <v>11031</v>
      </c>
      <c r="M4426" s="2" t="s">
        <v>11031</v>
      </c>
      <c r="N4426" s="2" t="s">
        <v>11037</v>
      </c>
      <c r="O4426" s="2" t="s">
        <v>11036</v>
      </c>
      <c r="P4426" s="2" t="s">
        <v>11036</v>
      </c>
      <c r="Q4426" s="2">
        <f>AVERAGE(PerfRate[[#This Row],[EnvironmentSatisfaction]],PerfRate[[#This Row],[JobSatisfaction]],PerfRate[[#This Row],[RelationshipSatisfaction]])</f>
        <v>3.3333333333333335</v>
      </c>
      <c r="R4426" s="2">
        <f>PerfRate[[#This Row],[ManagerRating]] - PerfRate[[#This Row],[SelfRating]]</f>
        <v>0</v>
      </c>
    </row>
    <row r="4427" spans="1:18">
      <c r="A4427" s="2" t="s">
        <v>8734</v>
      </c>
      <c r="B4427" s="2" t="s">
        <v>670</v>
      </c>
      <c r="C4427" s="1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  <c r="L4427" s="2" t="s">
        <v>11029</v>
      </c>
      <c r="M4427" s="2" t="s">
        <v>11029</v>
      </c>
      <c r="N4427" s="2" t="s">
        <v>11036</v>
      </c>
      <c r="O4427" s="2" t="s">
        <v>11038</v>
      </c>
      <c r="P4427" s="2" t="s">
        <v>11036</v>
      </c>
      <c r="Q4427" s="2">
        <f>AVERAGE(PerfRate[[#This Row],[EnvironmentSatisfaction]],PerfRate[[#This Row],[JobSatisfaction]],PerfRate[[#This Row],[RelationshipSatisfaction]])</f>
        <v>3.6666666666666665</v>
      </c>
      <c r="R4427" s="2">
        <f>PerfRate[[#This Row],[ManagerRating]] - PerfRate[[#This Row],[SelfRating]]</f>
        <v>0</v>
      </c>
    </row>
    <row r="4428" spans="1:18">
      <c r="A4428" s="2" t="s">
        <v>8735</v>
      </c>
      <c r="B4428" s="2" t="s">
        <v>1833</v>
      </c>
      <c r="C4428" s="1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  <c r="L4428" s="2" t="s">
        <v>11029</v>
      </c>
      <c r="M4428" s="2" t="s">
        <v>11029</v>
      </c>
      <c r="N4428" s="2" t="s">
        <v>11036</v>
      </c>
      <c r="O4428" s="2" t="s">
        <v>11038</v>
      </c>
      <c r="P4428" s="2" t="s">
        <v>11035</v>
      </c>
      <c r="Q4428" s="2">
        <f>AVERAGE(PerfRate[[#This Row],[EnvironmentSatisfaction]],PerfRate[[#This Row],[JobSatisfaction]],PerfRate[[#This Row],[RelationshipSatisfaction]])</f>
        <v>3.3333333333333335</v>
      </c>
      <c r="R4428" s="2">
        <f>PerfRate[[#This Row],[ManagerRating]] - PerfRate[[#This Row],[SelfRating]]</f>
        <v>0</v>
      </c>
    </row>
    <row r="4429" spans="1:18">
      <c r="A4429" s="2" t="s">
        <v>8736</v>
      </c>
      <c r="B4429" s="2" t="s">
        <v>3105</v>
      </c>
      <c r="C4429" s="1">
        <v>42126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  <c r="L4429" s="2" t="s">
        <v>11029</v>
      </c>
      <c r="M4429" s="2" t="s">
        <v>11028</v>
      </c>
      <c r="N4429" s="2" t="s">
        <v>11038</v>
      </c>
      <c r="O4429" s="2" t="s">
        <v>11037</v>
      </c>
      <c r="P4429" s="2" t="s">
        <v>11035</v>
      </c>
      <c r="Q4429" s="2">
        <f>AVERAGE(PerfRate[[#This Row],[EnvironmentSatisfaction]],PerfRate[[#This Row],[JobSatisfaction]],PerfRate[[#This Row],[RelationshipSatisfaction]])</f>
        <v>3.6666666666666665</v>
      </c>
      <c r="R4429" s="2">
        <f>PerfRate[[#This Row],[ManagerRating]] - PerfRate[[#This Row],[SelfRating]]</f>
        <v>-1</v>
      </c>
    </row>
    <row r="4430" spans="1:18">
      <c r="A4430" s="2" t="s">
        <v>8737</v>
      </c>
      <c r="B4430" s="2" t="s">
        <v>2786</v>
      </c>
      <c r="C4430" s="1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  <c r="L4430" s="2" t="s">
        <v>11029</v>
      </c>
      <c r="M4430" s="2" t="s">
        <v>11028</v>
      </c>
      <c r="N4430" s="2" t="s">
        <v>11038</v>
      </c>
      <c r="O4430" s="2" t="s">
        <v>11038</v>
      </c>
      <c r="P4430" s="2" t="s">
        <v>11038</v>
      </c>
      <c r="Q4430" s="2">
        <f>AVERAGE(PerfRate[[#This Row],[EnvironmentSatisfaction]],PerfRate[[#This Row],[JobSatisfaction]],PerfRate[[#This Row],[RelationshipSatisfaction]])</f>
        <v>5</v>
      </c>
      <c r="R4430" s="2">
        <f>PerfRate[[#This Row],[ManagerRating]] - PerfRate[[#This Row],[SelfRating]]</f>
        <v>-1</v>
      </c>
    </row>
    <row r="4431" spans="1:18">
      <c r="A4431" s="2" t="s">
        <v>8738</v>
      </c>
      <c r="B4431" s="2" t="s">
        <v>2500</v>
      </c>
      <c r="C4431" s="1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  <c r="L4431" s="2" t="s">
        <v>11031</v>
      </c>
      <c r="M4431" s="2" t="s">
        <v>11030</v>
      </c>
      <c r="N4431" s="2" t="s">
        <v>11036</v>
      </c>
      <c r="O4431" s="2" t="s">
        <v>11037</v>
      </c>
      <c r="P4431" s="2" t="s">
        <v>11038</v>
      </c>
      <c r="Q4431" s="2">
        <f>AVERAGE(PerfRate[[#This Row],[EnvironmentSatisfaction]],PerfRate[[#This Row],[JobSatisfaction]],PerfRate[[#This Row],[RelationshipSatisfaction]])</f>
        <v>4</v>
      </c>
      <c r="R4431" s="2">
        <f>PerfRate[[#This Row],[ManagerRating]] - PerfRate[[#This Row],[SelfRating]]</f>
        <v>-1</v>
      </c>
    </row>
    <row r="4432" spans="1:18">
      <c r="A4432" s="2" t="s">
        <v>8739</v>
      </c>
      <c r="B4432" s="2" t="s">
        <v>1716</v>
      </c>
      <c r="C4432" s="1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  <c r="L4432" s="2" t="s">
        <v>11029</v>
      </c>
      <c r="M4432" s="2" t="s">
        <v>11029</v>
      </c>
      <c r="N4432" s="2" t="s">
        <v>11036</v>
      </c>
      <c r="O4432" s="2" t="s">
        <v>11037</v>
      </c>
      <c r="P4432" s="2" t="s">
        <v>11038</v>
      </c>
      <c r="Q4432" s="2">
        <f>AVERAGE(PerfRate[[#This Row],[EnvironmentSatisfaction]],PerfRate[[#This Row],[JobSatisfaction]],PerfRate[[#This Row],[RelationshipSatisfaction]])</f>
        <v>4</v>
      </c>
      <c r="R4432" s="2">
        <f>PerfRate[[#This Row],[ManagerRating]] - PerfRate[[#This Row],[SelfRating]]</f>
        <v>0</v>
      </c>
    </row>
    <row r="4433" spans="1:18">
      <c r="A4433" s="2" t="s">
        <v>8740</v>
      </c>
      <c r="B4433" s="2" t="s">
        <v>1292</v>
      </c>
      <c r="C4433" s="1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  <c r="L4433" s="2" t="s">
        <v>11030</v>
      </c>
      <c r="M4433" s="2" t="s">
        <v>11030</v>
      </c>
      <c r="N4433" s="2" t="s">
        <v>11036</v>
      </c>
      <c r="O4433" s="2" t="s">
        <v>11038</v>
      </c>
      <c r="P4433" s="2" t="s">
        <v>11038</v>
      </c>
      <c r="Q4433" s="2">
        <f>AVERAGE(PerfRate[[#This Row],[EnvironmentSatisfaction]],PerfRate[[#This Row],[JobSatisfaction]],PerfRate[[#This Row],[RelationshipSatisfaction]])</f>
        <v>4.333333333333333</v>
      </c>
      <c r="R4433" s="2">
        <f>PerfRate[[#This Row],[ManagerRating]] - PerfRate[[#This Row],[SelfRating]]</f>
        <v>0</v>
      </c>
    </row>
    <row r="4434" spans="1:18">
      <c r="A4434" s="2" t="s">
        <v>8741</v>
      </c>
      <c r="B4434" s="2" t="s">
        <v>1647</v>
      </c>
      <c r="C4434" s="1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  <c r="L4434" s="2" t="s">
        <v>11031</v>
      </c>
      <c r="M4434" s="2" t="s">
        <v>11031</v>
      </c>
      <c r="N4434" s="2" t="s">
        <v>11038</v>
      </c>
      <c r="O4434" s="2" t="s">
        <v>11038</v>
      </c>
      <c r="P4434" s="2" t="s">
        <v>11038</v>
      </c>
      <c r="Q4434" s="2">
        <f>AVERAGE(PerfRate[[#This Row],[EnvironmentSatisfaction]],PerfRate[[#This Row],[JobSatisfaction]],PerfRate[[#This Row],[RelationshipSatisfaction]])</f>
        <v>5</v>
      </c>
      <c r="R4434" s="2">
        <f>PerfRate[[#This Row],[ManagerRating]] - PerfRate[[#This Row],[SelfRating]]</f>
        <v>0</v>
      </c>
    </row>
    <row r="4435" spans="1:18">
      <c r="A4435" s="2" t="s">
        <v>8742</v>
      </c>
      <c r="B4435" s="2" t="s">
        <v>2926</v>
      </c>
      <c r="C4435" s="1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  <c r="L4435" s="2" t="s">
        <v>11030</v>
      </c>
      <c r="M4435" s="2" t="s">
        <v>11029</v>
      </c>
      <c r="N4435" s="2" t="s">
        <v>11036</v>
      </c>
      <c r="O4435" s="2" t="s">
        <v>11037</v>
      </c>
      <c r="P4435" s="2" t="s">
        <v>11036</v>
      </c>
      <c r="Q4435" s="2">
        <f>AVERAGE(PerfRate[[#This Row],[EnvironmentSatisfaction]],PerfRate[[#This Row],[JobSatisfaction]],PerfRate[[#This Row],[RelationshipSatisfaction]])</f>
        <v>3.3333333333333335</v>
      </c>
      <c r="R4435" s="2">
        <f>PerfRate[[#This Row],[ManagerRating]] - PerfRate[[#This Row],[SelfRating]]</f>
        <v>-1</v>
      </c>
    </row>
    <row r="4436" spans="1:18">
      <c r="A4436" s="2" t="s">
        <v>8743</v>
      </c>
      <c r="B4436" s="2" t="s">
        <v>458</v>
      </c>
      <c r="C4436" s="1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  <c r="L4436" s="2" t="s">
        <v>11029</v>
      </c>
      <c r="M4436" s="2" t="s">
        <v>11029</v>
      </c>
      <c r="N4436" s="2" t="s">
        <v>11036</v>
      </c>
      <c r="O4436" s="2" t="s">
        <v>11038</v>
      </c>
      <c r="P4436" s="2" t="s">
        <v>11036</v>
      </c>
      <c r="Q4436" s="2">
        <f>AVERAGE(PerfRate[[#This Row],[EnvironmentSatisfaction]],PerfRate[[#This Row],[JobSatisfaction]],PerfRate[[#This Row],[RelationshipSatisfaction]])</f>
        <v>3.6666666666666665</v>
      </c>
      <c r="R4436" s="2">
        <f>PerfRate[[#This Row],[ManagerRating]] - PerfRate[[#This Row],[SelfRating]]</f>
        <v>0</v>
      </c>
    </row>
    <row r="4437" spans="1:18">
      <c r="A4437" s="2" t="s">
        <v>8744</v>
      </c>
      <c r="B4437" s="2" t="s">
        <v>2384</v>
      </c>
      <c r="C4437" s="1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  <c r="L4437" s="2" t="s">
        <v>11030</v>
      </c>
      <c r="M4437" s="2" t="s">
        <v>11029</v>
      </c>
      <c r="N4437" s="2" t="s">
        <v>11038</v>
      </c>
      <c r="O4437" s="2" t="s">
        <v>11037</v>
      </c>
      <c r="P4437" s="2" t="s">
        <v>11036</v>
      </c>
      <c r="Q4437" s="2">
        <f>AVERAGE(PerfRate[[#This Row],[EnvironmentSatisfaction]],PerfRate[[#This Row],[JobSatisfaction]],PerfRate[[#This Row],[RelationshipSatisfaction]])</f>
        <v>4</v>
      </c>
      <c r="R4437" s="2">
        <f>PerfRate[[#This Row],[ManagerRating]] - PerfRate[[#This Row],[SelfRating]]</f>
        <v>-1</v>
      </c>
    </row>
    <row r="4438" spans="1:18">
      <c r="A4438" s="2" t="s">
        <v>8745</v>
      </c>
      <c r="B4438" s="2" t="s">
        <v>2225</v>
      </c>
      <c r="C4438" s="1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  <c r="L4438" s="2" t="s">
        <v>11030</v>
      </c>
      <c r="M4438" s="2" t="s">
        <v>11029</v>
      </c>
      <c r="N4438" s="2" t="s">
        <v>11036</v>
      </c>
      <c r="O4438" s="2" t="s">
        <v>11037</v>
      </c>
      <c r="P4438" s="2" t="s">
        <v>11037</v>
      </c>
      <c r="Q4438" s="2">
        <f>AVERAGE(PerfRate[[#This Row],[EnvironmentSatisfaction]],PerfRate[[#This Row],[JobSatisfaction]],PerfRate[[#This Row],[RelationshipSatisfaction]])</f>
        <v>3.6666666666666665</v>
      </c>
      <c r="R4438" s="2">
        <f>PerfRate[[#This Row],[ManagerRating]] - PerfRate[[#This Row],[SelfRating]]</f>
        <v>-1</v>
      </c>
    </row>
    <row r="4439" spans="1:18">
      <c r="A4439" s="2" t="s">
        <v>8746</v>
      </c>
      <c r="B4439" s="2" t="s">
        <v>3212</v>
      </c>
      <c r="C4439" s="1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  <c r="L4439" s="2" t="s">
        <v>11031</v>
      </c>
      <c r="M4439" s="2" t="s">
        <v>11030</v>
      </c>
      <c r="N4439" s="2" t="s">
        <v>11038</v>
      </c>
      <c r="O4439" s="2" t="s">
        <v>11036</v>
      </c>
      <c r="P4439" s="2" t="s">
        <v>11035</v>
      </c>
      <c r="Q4439" s="2">
        <f>AVERAGE(PerfRate[[#This Row],[EnvironmentSatisfaction]],PerfRate[[#This Row],[JobSatisfaction]],PerfRate[[#This Row],[RelationshipSatisfaction]])</f>
        <v>3.3333333333333335</v>
      </c>
      <c r="R4439" s="2">
        <f>PerfRate[[#This Row],[ManagerRating]] - PerfRate[[#This Row],[SelfRating]]</f>
        <v>-1</v>
      </c>
    </row>
    <row r="4440" spans="1:18">
      <c r="A4440" s="2" t="s">
        <v>8747</v>
      </c>
      <c r="B4440" s="2" t="s">
        <v>226</v>
      </c>
      <c r="C4440" s="1">
        <v>42157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  <c r="L4440" s="2" t="s">
        <v>11030</v>
      </c>
      <c r="M4440" s="2" t="s">
        <v>11030</v>
      </c>
      <c r="N4440" s="2" t="s">
        <v>11038</v>
      </c>
      <c r="O4440" s="2" t="s">
        <v>11035</v>
      </c>
      <c r="P4440" s="2" t="s">
        <v>11036</v>
      </c>
      <c r="Q4440" s="2">
        <f>AVERAGE(PerfRate[[#This Row],[EnvironmentSatisfaction]],PerfRate[[#This Row],[JobSatisfaction]],PerfRate[[#This Row],[RelationshipSatisfaction]])</f>
        <v>3.3333333333333335</v>
      </c>
      <c r="R4440" s="2">
        <f>PerfRate[[#This Row],[ManagerRating]] - PerfRate[[#This Row],[SelfRating]]</f>
        <v>0</v>
      </c>
    </row>
    <row r="4441" spans="1:18">
      <c r="A4441" s="2" t="s">
        <v>8748</v>
      </c>
      <c r="B4441" s="2" t="s">
        <v>1145</v>
      </c>
      <c r="C4441" s="1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  <c r="L4441" s="2" t="s">
        <v>11029</v>
      </c>
      <c r="M4441" s="2" t="s">
        <v>11029</v>
      </c>
      <c r="N4441" s="2" t="s">
        <v>11036</v>
      </c>
      <c r="O4441" s="2" t="s">
        <v>11038</v>
      </c>
      <c r="P4441" s="2" t="s">
        <v>11035</v>
      </c>
      <c r="Q4441" s="2">
        <f>AVERAGE(PerfRate[[#This Row],[EnvironmentSatisfaction]],PerfRate[[#This Row],[JobSatisfaction]],PerfRate[[#This Row],[RelationshipSatisfaction]])</f>
        <v>3.3333333333333335</v>
      </c>
      <c r="R4441" s="2">
        <f>PerfRate[[#This Row],[ManagerRating]] - PerfRate[[#This Row],[SelfRating]]</f>
        <v>0</v>
      </c>
    </row>
    <row r="4442" spans="1:18">
      <c r="A4442" s="2" t="s">
        <v>8749</v>
      </c>
      <c r="B4442" s="2" t="s">
        <v>3772</v>
      </c>
      <c r="C4442" s="1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  <c r="L4442" s="2" t="s">
        <v>11029</v>
      </c>
      <c r="M4442" s="2" t="s">
        <v>11028</v>
      </c>
      <c r="N4442" s="2" t="s">
        <v>11036</v>
      </c>
      <c r="O4442" s="2" t="s">
        <v>11038</v>
      </c>
      <c r="P4442" s="2" t="s">
        <v>11038</v>
      </c>
      <c r="Q4442" s="2">
        <f>AVERAGE(PerfRate[[#This Row],[EnvironmentSatisfaction]],PerfRate[[#This Row],[JobSatisfaction]],PerfRate[[#This Row],[RelationshipSatisfaction]])</f>
        <v>4.333333333333333</v>
      </c>
      <c r="R4442" s="2">
        <f>PerfRate[[#This Row],[ManagerRating]] - PerfRate[[#This Row],[SelfRating]]</f>
        <v>-1</v>
      </c>
    </row>
    <row r="4443" spans="1:18">
      <c r="A4443" s="2" t="s">
        <v>8750</v>
      </c>
      <c r="B4443" s="2" t="s">
        <v>1927</v>
      </c>
      <c r="C4443" s="1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  <c r="L4443" s="2" t="s">
        <v>11029</v>
      </c>
      <c r="M4443" s="2" t="s">
        <v>11029</v>
      </c>
      <c r="N4443" s="2" t="s">
        <v>11036</v>
      </c>
      <c r="O4443" s="2" t="s">
        <v>11035</v>
      </c>
      <c r="P4443" s="2" t="s">
        <v>11036</v>
      </c>
      <c r="Q4443" s="2">
        <f>AVERAGE(PerfRate[[#This Row],[EnvironmentSatisfaction]],PerfRate[[#This Row],[JobSatisfaction]],PerfRate[[#This Row],[RelationshipSatisfaction]])</f>
        <v>2.6666666666666665</v>
      </c>
      <c r="R4443" s="2">
        <f>PerfRate[[#This Row],[ManagerRating]] - PerfRate[[#This Row],[SelfRating]]</f>
        <v>0</v>
      </c>
    </row>
    <row r="4444" spans="1:18">
      <c r="A4444" s="2" t="s">
        <v>8751</v>
      </c>
      <c r="B4444" s="2" t="s">
        <v>4257</v>
      </c>
      <c r="C4444" s="1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  <c r="L4444" s="2" t="s">
        <v>11029</v>
      </c>
      <c r="M4444" s="2" t="s">
        <v>11029</v>
      </c>
      <c r="N4444" s="2" t="s">
        <v>11037</v>
      </c>
      <c r="O4444" s="2" t="s">
        <v>11036</v>
      </c>
      <c r="P4444" s="2" t="s">
        <v>11035</v>
      </c>
      <c r="Q4444" s="2">
        <f>AVERAGE(PerfRate[[#This Row],[EnvironmentSatisfaction]],PerfRate[[#This Row],[JobSatisfaction]],PerfRate[[#This Row],[RelationshipSatisfaction]])</f>
        <v>3</v>
      </c>
      <c r="R4444" s="2">
        <f>PerfRate[[#This Row],[ManagerRating]] - PerfRate[[#This Row],[SelfRating]]</f>
        <v>0</v>
      </c>
    </row>
    <row r="4445" spans="1:18">
      <c r="A4445" s="2" t="s">
        <v>8752</v>
      </c>
      <c r="B4445" s="2" t="s">
        <v>109</v>
      </c>
      <c r="C4445" s="1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  <c r="L4445" s="2" t="s">
        <v>11031</v>
      </c>
      <c r="M4445" s="2" t="s">
        <v>11031</v>
      </c>
      <c r="N4445" s="2" t="s">
        <v>11036</v>
      </c>
      <c r="O4445" s="2" t="s">
        <v>11038</v>
      </c>
      <c r="P4445" s="2" t="s">
        <v>11037</v>
      </c>
      <c r="Q4445" s="2">
        <f>AVERAGE(PerfRate[[#This Row],[EnvironmentSatisfaction]],PerfRate[[#This Row],[JobSatisfaction]],PerfRate[[#This Row],[RelationshipSatisfaction]])</f>
        <v>4</v>
      </c>
      <c r="R4445" s="2">
        <f>PerfRate[[#This Row],[ManagerRating]] - PerfRate[[#This Row],[SelfRating]]</f>
        <v>0</v>
      </c>
    </row>
    <row r="4446" spans="1:18">
      <c r="A4446" s="2" t="s">
        <v>8753</v>
      </c>
      <c r="B4446" s="2" t="s">
        <v>910</v>
      </c>
      <c r="C4446" s="1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  <c r="L4446" s="2" t="s">
        <v>11029</v>
      </c>
      <c r="M4446" s="2" t="s">
        <v>11028</v>
      </c>
      <c r="N4446" s="2" t="s">
        <v>11037</v>
      </c>
      <c r="O4446" s="2" t="s">
        <v>11035</v>
      </c>
      <c r="P4446" s="2" t="s">
        <v>11036</v>
      </c>
      <c r="Q4446" s="2">
        <f>AVERAGE(PerfRate[[#This Row],[EnvironmentSatisfaction]],PerfRate[[#This Row],[JobSatisfaction]],PerfRate[[#This Row],[RelationshipSatisfaction]])</f>
        <v>3</v>
      </c>
      <c r="R4446" s="2">
        <f>PerfRate[[#This Row],[ManagerRating]] - PerfRate[[#This Row],[SelfRating]]</f>
        <v>-1</v>
      </c>
    </row>
    <row r="4447" spans="1:18">
      <c r="A4447" s="2" t="s">
        <v>8754</v>
      </c>
      <c r="B4447" s="2" t="s">
        <v>1286</v>
      </c>
      <c r="C4447" s="1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  <c r="L4447" s="2" t="s">
        <v>11030</v>
      </c>
      <c r="M4447" s="2" t="s">
        <v>11029</v>
      </c>
      <c r="N4447" s="2" t="s">
        <v>11038</v>
      </c>
      <c r="O4447" s="2" t="s">
        <v>11037</v>
      </c>
      <c r="P4447" s="2" t="s">
        <v>11036</v>
      </c>
      <c r="Q4447" s="2">
        <f>AVERAGE(PerfRate[[#This Row],[EnvironmentSatisfaction]],PerfRate[[#This Row],[JobSatisfaction]],PerfRate[[#This Row],[RelationshipSatisfaction]])</f>
        <v>4</v>
      </c>
      <c r="R4447" s="2">
        <f>PerfRate[[#This Row],[ManagerRating]] - PerfRate[[#This Row],[SelfRating]]</f>
        <v>-1</v>
      </c>
    </row>
    <row r="4448" spans="1:18">
      <c r="A4448" s="2" t="s">
        <v>8755</v>
      </c>
      <c r="B4448" s="2" t="s">
        <v>1215</v>
      </c>
      <c r="C4448" s="1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  <c r="L4448" s="2" t="s">
        <v>11030</v>
      </c>
      <c r="M4448" s="2" t="s">
        <v>11030</v>
      </c>
      <c r="N4448" s="2" t="s">
        <v>11036</v>
      </c>
      <c r="O4448" s="2" t="s">
        <v>11038</v>
      </c>
      <c r="P4448" s="2" t="s">
        <v>11037</v>
      </c>
      <c r="Q4448" s="2">
        <f>AVERAGE(PerfRate[[#This Row],[EnvironmentSatisfaction]],PerfRate[[#This Row],[JobSatisfaction]],PerfRate[[#This Row],[RelationshipSatisfaction]])</f>
        <v>4</v>
      </c>
      <c r="R4448" s="2">
        <f>PerfRate[[#This Row],[ManagerRating]] - PerfRate[[#This Row],[SelfRating]]</f>
        <v>0</v>
      </c>
    </row>
    <row r="4449" spans="1:18">
      <c r="A4449" s="2" t="s">
        <v>8756</v>
      </c>
      <c r="B4449" s="2" t="s">
        <v>1084</v>
      </c>
      <c r="C4449" s="1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  <c r="L4449" s="2" t="s">
        <v>11030</v>
      </c>
      <c r="M4449" s="2" t="s">
        <v>11030</v>
      </c>
      <c r="N4449" s="2" t="s">
        <v>11036</v>
      </c>
      <c r="O4449" s="2" t="s">
        <v>11035</v>
      </c>
      <c r="P4449" s="2" t="s">
        <v>11037</v>
      </c>
      <c r="Q4449" s="2">
        <f>AVERAGE(PerfRate[[#This Row],[EnvironmentSatisfaction]],PerfRate[[#This Row],[JobSatisfaction]],PerfRate[[#This Row],[RelationshipSatisfaction]])</f>
        <v>3</v>
      </c>
      <c r="R4449" s="2">
        <f>PerfRate[[#This Row],[ManagerRating]] - PerfRate[[#This Row],[SelfRating]]</f>
        <v>0</v>
      </c>
    </row>
    <row r="4450" spans="1:18">
      <c r="A4450" s="2" t="s">
        <v>8757</v>
      </c>
      <c r="B4450" s="2" t="s">
        <v>2128</v>
      </c>
      <c r="C4450" s="1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  <c r="L4450" s="2" t="s">
        <v>11029</v>
      </c>
      <c r="M4450" s="2" t="s">
        <v>11028</v>
      </c>
      <c r="N4450" s="2" t="s">
        <v>11035</v>
      </c>
      <c r="O4450" s="2" t="s">
        <v>11036</v>
      </c>
      <c r="P4450" s="2" t="s">
        <v>11035</v>
      </c>
      <c r="Q4450" s="2">
        <f>AVERAGE(PerfRate[[#This Row],[EnvironmentSatisfaction]],PerfRate[[#This Row],[JobSatisfaction]],PerfRate[[#This Row],[RelationshipSatisfaction]])</f>
        <v>2.3333333333333335</v>
      </c>
      <c r="R4450" s="2">
        <f>PerfRate[[#This Row],[ManagerRating]] - PerfRate[[#This Row],[SelfRating]]</f>
        <v>-1</v>
      </c>
    </row>
    <row r="4451" spans="1:18">
      <c r="A4451" s="2" t="s">
        <v>8758</v>
      </c>
      <c r="B4451" s="2" t="s">
        <v>1195</v>
      </c>
      <c r="C4451" s="1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  <c r="L4451" s="2" t="s">
        <v>11029</v>
      </c>
      <c r="M4451" s="2" t="s">
        <v>11029</v>
      </c>
      <c r="N4451" s="2" t="s">
        <v>11037</v>
      </c>
      <c r="O4451" s="2" t="s">
        <v>11036</v>
      </c>
      <c r="P4451" s="2" t="s">
        <v>11037</v>
      </c>
      <c r="Q4451" s="2">
        <f>AVERAGE(PerfRate[[#This Row],[EnvironmentSatisfaction]],PerfRate[[#This Row],[JobSatisfaction]],PerfRate[[#This Row],[RelationshipSatisfaction]])</f>
        <v>3.6666666666666665</v>
      </c>
      <c r="R4451" s="2">
        <f>PerfRate[[#This Row],[ManagerRating]] - PerfRate[[#This Row],[SelfRating]]</f>
        <v>0</v>
      </c>
    </row>
    <row r="4452" spans="1:18">
      <c r="A4452" s="2" t="s">
        <v>8759</v>
      </c>
      <c r="B4452" s="2" t="s">
        <v>81</v>
      </c>
      <c r="C4452" s="1">
        <v>42157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  <c r="L4452" s="2" t="s">
        <v>11031</v>
      </c>
      <c r="M4452" s="2" t="s">
        <v>11030</v>
      </c>
      <c r="N4452" s="2" t="s">
        <v>11037</v>
      </c>
      <c r="O4452" s="2" t="s">
        <v>11037</v>
      </c>
      <c r="P4452" s="2" t="s">
        <v>11035</v>
      </c>
      <c r="Q4452" s="2">
        <f>AVERAGE(PerfRate[[#This Row],[EnvironmentSatisfaction]],PerfRate[[#This Row],[JobSatisfaction]],PerfRate[[#This Row],[RelationshipSatisfaction]])</f>
        <v>3.3333333333333335</v>
      </c>
      <c r="R4452" s="2">
        <f>PerfRate[[#This Row],[ManagerRating]] - PerfRate[[#This Row],[SelfRating]]</f>
        <v>-1</v>
      </c>
    </row>
    <row r="4453" spans="1:18">
      <c r="A4453" s="2" t="s">
        <v>8760</v>
      </c>
      <c r="B4453" s="2" t="s">
        <v>1892</v>
      </c>
      <c r="C4453" s="1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  <c r="L4453" s="2" t="s">
        <v>11031</v>
      </c>
      <c r="M4453" s="2" t="s">
        <v>11031</v>
      </c>
      <c r="N4453" s="2" t="s">
        <v>11037</v>
      </c>
      <c r="O4453" s="2" t="s">
        <v>11034</v>
      </c>
      <c r="P4453" s="2" t="s">
        <v>11034</v>
      </c>
      <c r="Q4453" s="2">
        <f>AVERAGE(PerfRate[[#This Row],[EnvironmentSatisfaction]],PerfRate[[#This Row],[JobSatisfaction]],PerfRate[[#This Row],[RelationshipSatisfaction]])</f>
        <v>2</v>
      </c>
      <c r="R4453" s="2">
        <f>PerfRate[[#This Row],[ManagerRating]] - PerfRate[[#This Row],[SelfRating]]</f>
        <v>0</v>
      </c>
    </row>
    <row r="4454" spans="1:18">
      <c r="A4454" s="2" t="s">
        <v>8761</v>
      </c>
      <c r="B4454" s="2" t="s">
        <v>3365</v>
      </c>
      <c r="C4454" s="1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  <c r="L4454" s="2" t="s">
        <v>11031</v>
      </c>
      <c r="M4454" s="2" t="s">
        <v>11030</v>
      </c>
      <c r="N4454" s="2" t="s">
        <v>11035</v>
      </c>
      <c r="O4454" s="2" t="s">
        <v>11036</v>
      </c>
      <c r="P4454" s="2" t="s">
        <v>11036</v>
      </c>
      <c r="Q4454" s="2">
        <f>AVERAGE(PerfRate[[#This Row],[EnvironmentSatisfaction]],PerfRate[[#This Row],[JobSatisfaction]],PerfRate[[#This Row],[RelationshipSatisfaction]])</f>
        <v>2.6666666666666665</v>
      </c>
      <c r="R4454" s="2">
        <f>PerfRate[[#This Row],[ManagerRating]] - PerfRate[[#This Row],[SelfRating]]</f>
        <v>-1</v>
      </c>
    </row>
    <row r="4455" spans="1:18">
      <c r="A4455" s="2" t="s">
        <v>8762</v>
      </c>
      <c r="B4455" s="2" t="s">
        <v>916</v>
      </c>
      <c r="C4455" s="1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  <c r="L4455" s="2" t="s">
        <v>11030</v>
      </c>
      <c r="M4455" s="2" t="s">
        <v>11029</v>
      </c>
      <c r="N4455" s="2" t="s">
        <v>11036</v>
      </c>
      <c r="O4455" s="2" t="s">
        <v>11035</v>
      </c>
      <c r="P4455" s="2" t="s">
        <v>11037</v>
      </c>
      <c r="Q4455" s="2">
        <f>AVERAGE(PerfRate[[#This Row],[EnvironmentSatisfaction]],PerfRate[[#This Row],[JobSatisfaction]],PerfRate[[#This Row],[RelationshipSatisfaction]])</f>
        <v>3</v>
      </c>
      <c r="R4455" s="2">
        <f>PerfRate[[#This Row],[ManagerRating]] - PerfRate[[#This Row],[SelfRating]]</f>
        <v>-1</v>
      </c>
    </row>
    <row r="4456" spans="1:18">
      <c r="A4456" s="2" t="s">
        <v>8763</v>
      </c>
      <c r="B4456" s="2" t="s">
        <v>777</v>
      </c>
      <c r="C4456" s="1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  <c r="L4456" s="2" t="s">
        <v>11029</v>
      </c>
      <c r="M4456" s="2" t="s">
        <v>11028</v>
      </c>
      <c r="N4456" s="2" t="s">
        <v>11037</v>
      </c>
      <c r="O4456" s="2" t="s">
        <v>11037</v>
      </c>
      <c r="P4456" s="2" t="s">
        <v>11035</v>
      </c>
      <c r="Q4456" s="2">
        <f>AVERAGE(PerfRate[[#This Row],[EnvironmentSatisfaction]],PerfRate[[#This Row],[JobSatisfaction]],PerfRate[[#This Row],[RelationshipSatisfaction]])</f>
        <v>3.3333333333333335</v>
      </c>
      <c r="R4456" s="2">
        <f>PerfRate[[#This Row],[ManagerRating]] - PerfRate[[#This Row],[SelfRating]]</f>
        <v>-1</v>
      </c>
    </row>
    <row r="4457" spans="1:18">
      <c r="A4457" s="2" t="s">
        <v>8764</v>
      </c>
      <c r="B4457" s="2" t="s">
        <v>1160</v>
      </c>
      <c r="C4457" s="1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  <c r="L4457" s="2" t="s">
        <v>11029</v>
      </c>
      <c r="M4457" s="2" t="s">
        <v>11028</v>
      </c>
      <c r="N4457" s="2" t="s">
        <v>11036</v>
      </c>
      <c r="O4457" s="2" t="s">
        <v>11036</v>
      </c>
      <c r="P4457" s="2" t="s">
        <v>11036</v>
      </c>
      <c r="Q4457" s="2">
        <f>AVERAGE(PerfRate[[#This Row],[EnvironmentSatisfaction]],PerfRate[[#This Row],[JobSatisfaction]],PerfRate[[#This Row],[RelationshipSatisfaction]])</f>
        <v>3</v>
      </c>
      <c r="R4457" s="2">
        <f>PerfRate[[#This Row],[ManagerRating]] - PerfRate[[#This Row],[SelfRating]]</f>
        <v>-1</v>
      </c>
    </row>
    <row r="4458" spans="1:18">
      <c r="A4458" s="2" t="s">
        <v>8765</v>
      </c>
      <c r="B4458" s="2" t="s">
        <v>1970</v>
      </c>
      <c r="C4458" s="1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  <c r="L4458" s="2" t="s">
        <v>11031</v>
      </c>
      <c r="M4458" s="2" t="s">
        <v>11030</v>
      </c>
      <c r="N4458" s="2" t="s">
        <v>11037</v>
      </c>
      <c r="O4458" s="2" t="s">
        <v>11035</v>
      </c>
      <c r="P4458" s="2" t="s">
        <v>11036</v>
      </c>
      <c r="Q4458" s="2">
        <f>AVERAGE(PerfRate[[#This Row],[EnvironmentSatisfaction]],PerfRate[[#This Row],[JobSatisfaction]],PerfRate[[#This Row],[RelationshipSatisfaction]])</f>
        <v>3</v>
      </c>
      <c r="R4458" s="2">
        <f>PerfRate[[#This Row],[ManagerRating]] - PerfRate[[#This Row],[SelfRating]]</f>
        <v>-1</v>
      </c>
    </row>
    <row r="4459" spans="1:18">
      <c r="A4459" s="2" t="s">
        <v>8766</v>
      </c>
      <c r="B4459" s="2" t="s">
        <v>1953</v>
      </c>
      <c r="C4459" s="1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  <c r="L4459" s="2" t="s">
        <v>11029</v>
      </c>
      <c r="M4459" s="2" t="s">
        <v>11029</v>
      </c>
      <c r="N4459" s="2" t="s">
        <v>11038</v>
      </c>
      <c r="O4459" s="2" t="s">
        <v>11038</v>
      </c>
      <c r="P4459" s="2" t="s">
        <v>11036</v>
      </c>
      <c r="Q4459" s="2">
        <f>AVERAGE(PerfRate[[#This Row],[EnvironmentSatisfaction]],PerfRate[[#This Row],[JobSatisfaction]],PerfRate[[#This Row],[RelationshipSatisfaction]])</f>
        <v>4.333333333333333</v>
      </c>
      <c r="R4459" s="2">
        <f>PerfRate[[#This Row],[ManagerRating]] - PerfRate[[#This Row],[SelfRating]]</f>
        <v>0</v>
      </c>
    </row>
    <row r="4460" spans="1:18">
      <c r="A4460" s="2" t="s">
        <v>8767</v>
      </c>
      <c r="B4460" s="2" t="s">
        <v>2464</v>
      </c>
      <c r="C4460" s="1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  <c r="L4460" s="2" t="s">
        <v>11031</v>
      </c>
      <c r="M4460" s="2" t="s">
        <v>11030</v>
      </c>
      <c r="N4460" s="2" t="s">
        <v>11036</v>
      </c>
      <c r="O4460" s="2" t="s">
        <v>11038</v>
      </c>
      <c r="P4460" s="2" t="s">
        <v>11037</v>
      </c>
      <c r="Q4460" s="2">
        <f>AVERAGE(PerfRate[[#This Row],[EnvironmentSatisfaction]],PerfRate[[#This Row],[JobSatisfaction]],PerfRate[[#This Row],[RelationshipSatisfaction]])</f>
        <v>4</v>
      </c>
      <c r="R4460" s="2">
        <f>PerfRate[[#This Row],[ManagerRating]] - PerfRate[[#This Row],[SelfRating]]</f>
        <v>-1</v>
      </c>
    </row>
    <row r="4461" spans="1:18">
      <c r="A4461" s="2" t="s">
        <v>8768</v>
      </c>
      <c r="B4461" s="2" t="s">
        <v>3108</v>
      </c>
      <c r="C4461" s="1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  <c r="L4461" s="2" t="s">
        <v>11029</v>
      </c>
      <c r="M4461" s="2" t="s">
        <v>11028</v>
      </c>
      <c r="N4461" s="2" t="s">
        <v>11037</v>
      </c>
      <c r="O4461" s="2" t="s">
        <v>11036</v>
      </c>
      <c r="P4461" s="2" t="s">
        <v>11036</v>
      </c>
      <c r="Q4461" s="2">
        <f>AVERAGE(PerfRate[[#This Row],[EnvironmentSatisfaction]],PerfRate[[#This Row],[JobSatisfaction]],PerfRate[[#This Row],[RelationshipSatisfaction]])</f>
        <v>3.3333333333333335</v>
      </c>
      <c r="R4461" s="2">
        <f>PerfRate[[#This Row],[ManagerRating]] - PerfRate[[#This Row],[SelfRating]]</f>
        <v>-1</v>
      </c>
    </row>
    <row r="4462" spans="1:18">
      <c r="A4462" s="2" t="s">
        <v>8769</v>
      </c>
      <c r="B4462" s="2" t="s">
        <v>317</v>
      </c>
      <c r="C4462" s="1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  <c r="L4462" s="2" t="s">
        <v>11030</v>
      </c>
      <c r="M4462" s="2" t="s">
        <v>11030</v>
      </c>
      <c r="N4462" s="2" t="s">
        <v>11038</v>
      </c>
      <c r="O4462" s="2" t="s">
        <v>11035</v>
      </c>
      <c r="P4462" s="2" t="s">
        <v>11038</v>
      </c>
      <c r="Q4462" s="2">
        <f>AVERAGE(PerfRate[[#This Row],[EnvironmentSatisfaction]],PerfRate[[#This Row],[JobSatisfaction]],PerfRate[[#This Row],[RelationshipSatisfaction]])</f>
        <v>4</v>
      </c>
      <c r="R4462" s="2">
        <f>PerfRate[[#This Row],[ManagerRating]] - PerfRate[[#This Row],[SelfRating]]</f>
        <v>0</v>
      </c>
    </row>
    <row r="4463" spans="1:18">
      <c r="A4463" s="2" t="s">
        <v>8770</v>
      </c>
      <c r="B4463" s="2" t="s">
        <v>335</v>
      </c>
      <c r="C4463" s="1">
        <v>42157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  <c r="L4463" s="2" t="s">
        <v>11031</v>
      </c>
      <c r="M4463" s="2" t="s">
        <v>11031</v>
      </c>
      <c r="N4463" s="2" t="s">
        <v>11038</v>
      </c>
      <c r="O4463" s="2" t="s">
        <v>11038</v>
      </c>
      <c r="P4463" s="2" t="s">
        <v>11037</v>
      </c>
      <c r="Q4463" s="2">
        <f>AVERAGE(PerfRate[[#This Row],[EnvironmentSatisfaction]],PerfRate[[#This Row],[JobSatisfaction]],PerfRate[[#This Row],[RelationshipSatisfaction]])</f>
        <v>4.666666666666667</v>
      </c>
      <c r="R4463" s="2">
        <f>PerfRate[[#This Row],[ManagerRating]] - PerfRate[[#This Row],[SelfRating]]</f>
        <v>0</v>
      </c>
    </row>
    <row r="4464" spans="1:18">
      <c r="A4464" s="2" t="s">
        <v>8771</v>
      </c>
      <c r="B4464" s="2" t="s">
        <v>982</v>
      </c>
      <c r="C4464" s="1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  <c r="L4464" s="2" t="s">
        <v>11029</v>
      </c>
      <c r="M4464" s="2" t="s">
        <v>11029</v>
      </c>
      <c r="N4464" s="2" t="s">
        <v>11037</v>
      </c>
      <c r="O4464" s="2" t="s">
        <v>11035</v>
      </c>
      <c r="P4464" s="2" t="s">
        <v>11035</v>
      </c>
      <c r="Q4464" s="2">
        <f>AVERAGE(PerfRate[[#This Row],[EnvironmentSatisfaction]],PerfRate[[#This Row],[JobSatisfaction]],PerfRate[[#This Row],[RelationshipSatisfaction]])</f>
        <v>2.6666666666666665</v>
      </c>
      <c r="R4464" s="2">
        <f>PerfRate[[#This Row],[ManagerRating]] - PerfRate[[#This Row],[SelfRating]]</f>
        <v>0</v>
      </c>
    </row>
    <row r="4465" spans="1:18">
      <c r="A4465" s="2" t="s">
        <v>8772</v>
      </c>
      <c r="B4465" s="2" t="s">
        <v>3926</v>
      </c>
      <c r="C4465" s="1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  <c r="L4465" s="2" t="s">
        <v>11031</v>
      </c>
      <c r="M4465" s="2" t="s">
        <v>11031</v>
      </c>
      <c r="N4465" s="2" t="s">
        <v>11036</v>
      </c>
      <c r="O4465" s="2" t="s">
        <v>11037</v>
      </c>
      <c r="P4465" s="2" t="s">
        <v>11035</v>
      </c>
      <c r="Q4465" s="2">
        <f>AVERAGE(PerfRate[[#This Row],[EnvironmentSatisfaction]],PerfRate[[#This Row],[JobSatisfaction]],PerfRate[[#This Row],[RelationshipSatisfaction]])</f>
        <v>3</v>
      </c>
      <c r="R4465" s="2">
        <f>PerfRate[[#This Row],[ManagerRating]] - PerfRate[[#This Row],[SelfRating]]</f>
        <v>0</v>
      </c>
    </row>
    <row r="4466" spans="1:18">
      <c r="A4466" s="2" t="s">
        <v>8773</v>
      </c>
      <c r="B4466" s="2" t="s">
        <v>2517</v>
      </c>
      <c r="C4466" s="1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  <c r="L4466" s="2" t="s">
        <v>11031</v>
      </c>
      <c r="M4466" s="2" t="s">
        <v>11031</v>
      </c>
      <c r="N4466" s="2" t="s">
        <v>11037</v>
      </c>
      <c r="O4466" s="2" t="s">
        <v>11037</v>
      </c>
      <c r="P4466" s="2" t="s">
        <v>11038</v>
      </c>
      <c r="Q4466" s="2">
        <f>AVERAGE(PerfRate[[#This Row],[EnvironmentSatisfaction]],PerfRate[[#This Row],[JobSatisfaction]],PerfRate[[#This Row],[RelationshipSatisfaction]])</f>
        <v>4.333333333333333</v>
      </c>
      <c r="R4466" s="2">
        <f>PerfRate[[#This Row],[ManagerRating]] - PerfRate[[#This Row],[SelfRating]]</f>
        <v>0</v>
      </c>
    </row>
    <row r="4467" spans="1:18">
      <c r="A4467" s="2" t="s">
        <v>8774</v>
      </c>
      <c r="B4467" s="2" t="s">
        <v>2846</v>
      </c>
      <c r="C4467" s="1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  <c r="L4467" s="2" t="s">
        <v>11030</v>
      </c>
      <c r="M4467" s="2" t="s">
        <v>11030</v>
      </c>
      <c r="N4467" s="2" t="s">
        <v>11037</v>
      </c>
      <c r="O4467" s="2" t="s">
        <v>11037</v>
      </c>
      <c r="P4467" s="2" t="s">
        <v>11035</v>
      </c>
      <c r="Q4467" s="2">
        <f>AVERAGE(PerfRate[[#This Row],[EnvironmentSatisfaction]],PerfRate[[#This Row],[JobSatisfaction]],PerfRate[[#This Row],[RelationshipSatisfaction]])</f>
        <v>3.3333333333333335</v>
      </c>
      <c r="R4467" s="2">
        <f>PerfRate[[#This Row],[ManagerRating]] - PerfRate[[#This Row],[SelfRating]]</f>
        <v>0</v>
      </c>
    </row>
    <row r="4468" spans="1:18">
      <c r="A4468" s="2" t="s">
        <v>8775</v>
      </c>
      <c r="B4468" s="2" t="s">
        <v>2940</v>
      </c>
      <c r="C4468" s="1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  <c r="L4468" s="2" t="s">
        <v>11029</v>
      </c>
      <c r="M4468" s="2" t="s">
        <v>11028</v>
      </c>
      <c r="N4468" s="2" t="s">
        <v>11038</v>
      </c>
      <c r="O4468" s="2" t="s">
        <v>11037</v>
      </c>
      <c r="P4468" s="2" t="s">
        <v>11038</v>
      </c>
      <c r="Q4468" s="2">
        <f>AVERAGE(PerfRate[[#This Row],[EnvironmentSatisfaction]],PerfRate[[#This Row],[JobSatisfaction]],PerfRate[[#This Row],[RelationshipSatisfaction]])</f>
        <v>4.666666666666667</v>
      </c>
      <c r="R4468" s="2">
        <f>PerfRate[[#This Row],[ManagerRating]] - PerfRate[[#This Row],[SelfRating]]</f>
        <v>-1</v>
      </c>
    </row>
    <row r="4469" spans="1:18">
      <c r="A4469" s="2" t="s">
        <v>8776</v>
      </c>
      <c r="B4469" s="2" t="s">
        <v>1520</v>
      </c>
      <c r="C4469" s="1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  <c r="L4469" s="2" t="s">
        <v>11030</v>
      </c>
      <c r="M4469" s="2" t="s">
        <v>11029</v>
      </c>
      <c r="N4469" s="2" t="s">
        <v>11036</v>
      </c>
      <c r="O4469" s="2" t="s">
        <v>11038</v>
      </c>
      <c r="P4469" s="2" t="s">
        <v>11037</v>
      </c>
      <c r="Q4469" s="2">
        <f>AVERAGE(PerfRate[[#This Row],[EnvironmentSatisfaction]],PerfRate[[#This Row],[JobSatisfaction]],PerfRate[[#This Row],[RelationshipSatisfaction]])</f>
        <v>4</v>
      </c>
      <c r="R4469" s="2">
        <f>PerfRate[[#This Row],[ManagerRating]] - PerfRate[[#This Row],[SelfRating]]</f>
        <v>-1</v>
      </c>
    </row>
    <row r="4470" spans="1:18">
      <c r="A4470" s="2" t="s">
        <v>8777</v>
      </c>
      <c r="B4470" s="2" t="s">
        <v>350</v>
      </c>
      <c r="C4470" s="1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  <c r="L4470" s="2" t="s">
        <v>11030</v>
      </c>
      <c r="M4470" s="2" t="s">
        <v>11029</v>
      </c>
      <c r="N4470" s="2" t="s">
        <v>11037</v>
      </c>
      <c r="O4470" s="2" t="s">
        <v>11038</v>
      </c>
      <c r="P4470" s="2" t="s">
        <v>11038</v>
      </c>
      <c r="Q4470" s="2">
        <f>AVERAGE(PerfRate[[#This Row],[EnvironmentSatisfaction]],PerfRate[[#This Row],[JobSatisfaction]],PerfRate[[#This Row],[RelationshipSatisfaction]])</f>
        <v>4.666666666666667</v>
      </c>
      <c r="R4470" s="2">
        <f>PerfRate[[#This Row],[ManagerRating]] - PerfRate[[#This Row],[SelfRating]]</f>
        <v>-1</v>
      </c>
    </row>
    <row r="4471" spans="1:18">
      <c r="A4471" s="2" t="s">
        <v>8778</v>
      </c>
      <c r="B4471" s="2" t="s">
        <v>631</v>
      </c>
      <c r="C4471" s="1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  <c r="L4471" s="2" t="s">
        <v>11031</v>
      </c>
      <c r="M4471" s="2" t="s">
        <v>11031</v>
      </c>
      <c r="N4471" s="2" t="s">
        <v>11038</v>
      </c>
      <c r="O4471" s="2" t="s">
        <v>11038</v>
      </c>
      <c r="P4471" s="2" t="s">
        <v>11035</v>
      </c>
      <c r="Q4471" s="2">
        <f>AVERAGE(PerfRate[[#This Row],[EnvironmentSatisfaction]],PerfRate[[#This Row],[JobSatisfaction]],PerfRate[[#This Row],[RelationshipSatisfaction]])</f>
        <v>4</v>
      </c>
      <c r="R4471" s="2">
        <f>PerfRate[[#This Row],[ManagerRating]] - PerfRate[[#This Row],[SelfRating]]</f>
        <v>0</v>
      </c>
    </row>
    <row r="4472" spans="1:18">
      <c r="A4472" s="2" t="s">
        <v>8779</v>
      </c>
      <c r="B4472" s="2" t="s">
        <v>744</v>
      </c>
      <c r="C4472" s="1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  <c r="L4472" s="2" t="s">
        <v>11031</v>
      </c>
      <c r="M4472" s="2" t="s">
        <v>11031</v>
      </c>
      <c r="N4472" s="2" t="s">
        <v>11037</v>
      </c>
      <c r="O4472" s="2" t="s">
        <v>11038</v>
      </c>
      <c r="P4472" s="2" t="s">
        <v>11036</v>
      </c>
      <c r="Q4472" s="2">
        <f>AVERAGE(PerfRate[[#This Row],[EnvironmentSatisfaction]],PerfRate[[#This Row],[JobSatisfaction]],PerfRate[[#This Row],[RelationshipSatisfaction]])</f>
        <v>4</v>
      </c>
      <c r="R4472" s="2">
        <f>PerfRate[[#This Row],[ManagerRating]] - PerfRate[[#This Row],[SelfRating]]</f>
        <v>0</v>
      </c>
    </row>
    <row r="4473" spans="1:18">
      <c r="A4473" s="2" t="s">
        <v>8780</v>
      </c>
      <c r="B4473" s="2" t="s">
        <v>1535</v>
      </c>
      <c r="C4473" s="1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  <c r="L4473" s="2" t="s">
        <v>11031</v>
      </c>
      <c r="M4473" s="2" t="s">
        <v>11031</v>
      </c>
      <c r="N4473" s="2" t="s">
        <v>11038</v>
      </c>
      <c r="O4473" s="2" t="s">
        <v>11036</v>
      </c>
      <c r="P4473" s="2" t="s">
        <v>11038</v>
      </c>
      <c r="Q4473" s="2">
        <f>AVERAGE(PerfRate[[#This Row],[EnvironmentSatisfaction]],PerfRate[[#This Row],[JobSatisfaction]],PerfRate[[#This Row],[RelationshipSatisfaction]])</f>
        <v>4.333333333333333</v>
      </c>
      <c r="R4473" s="2">
        <f>PerfRate[[#This Row],[ManagerRating]] - PerfRate[[#This Row],[SelfRating]]</f>
        <v>0</v>
      </c>
    </row>
    <row r="4474" spans="1:18">
      <c r="A4474" s="2" t="s">
        <v>8781</v>
      </c>
      <c r="B4474" s="2" t="s">
        <v>253</v>
      </c>
      <c r="C4474" s="1">
        <v>42249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  <c r="L4474" s="2" t="s">
        <v>11030</v>
      </c>
      <c r="M4474" s="2" t="s">
        <v>11030</v>
      </c>
      <c r="N4474" s="2" t="s">
        <v>11036</v>
      </c>
      <c r="O4474" s="2" t="s">
        <v>11035</v>
      </c>
      <c r="P4474" s="2" t="s">
        <v>11035</v>
      </c>
      <c r="Q4474" s="2">
        <f>AVERAGE(PerfRate[[#This Row],[EnvironmentSatisfaction]],PerfRate[[#This Row],[JobSatisfaction]],PerfRate[[#This Row],[RelationshipSatisfaction]])</f>
        <v>2.3333333333333335</v>
      </c>
      <c r="R4474" s="2">
        <f>PerfRate[[#This Row],[ManagerRating]] - PerfRate[[#This Row],[SelfRating]]</f>
        <v>0</v>
      </c>
    </row>
    <row r="4475" spans="1:18">
      <c r="A4475" s="2" t="s">
        <v>8782</v>
      </c>
      <c r="B4475" s="2" t="s">
        <v>1730</v>
      </c>
      <c r="C4475" s="1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  <c r="L4475" s="2" t="s">
        <v>11029</v>
      </c>
      <c r="M4475" s="2" t="s">
        <v>11028</v>
      </c>
      <c r="N4475" s="2" t="s">
        <v>11037</v>
      </c>
      <c r="O4475" s="2" t="s">
        <v>11038</v>
      </c>
      <c r="P4475" s="2" t="s">
        <v>11035</v>
      </c>
      <c r="Q4475" s="2">
        <f>AVERAGE(PerfRate[[#This Row],[EnvironmentSatisfaction]],PerfRate[[#This Row],[JobSatisfaction]],PerfRate[[#This Row],[RelationshipSatisfaction]])</f>
        <v>3.6666666666666665</v>
      </c>
      <c r="R4475" s="2">
        <f>PerfRate[[#This Row],[ManagerRating]] - PerfRate[[#This Row],[SelfRating]]</f>
        <v>-1</v>
      </c>
    </row>
    <row r="4476" spans="1:18">
      <c r="A4476" s="2" t="s">
        <v>8783</v>
      </c>
      <c r="B4476" s="2" t="s">
        <v>3256</v>
      </c>
      <c r="C4476" s="1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  <c r="L4476" s="2" t="s">
        <v>11030</v>
      </c>
      <c r="M4476" s="2" t="s">
        <v>11030</v>
      </c>
      <c r="N4476" s="2" t="s">
        <v>11038</v>
      </c>
      <c r="O4476" s="2" t="s">
        <v>11037</v>
      </c>
      <c r="P4476" s="2" t="s">
        <v>11038</v>
      </c>
      <c r="Q4476" s="2">
        <f>AVERAGE(PerfRate[[#This Row],[EnvironmentSatisfaction]],PerfRate[[#This Row],[JobSatisfaction]],PerfRate[[#This Row],[RelationshipSatisfaction]])</f>
        <v>4.666666666666667</v>
      </c>
      <c r="R4476" s="2">
        <f>PerfRate[[#This Row],[ManagerRating]] - PerfRate[[#This Row],[SelfRating]]</f>
        <v>0</v>
      </c>
    </row>
    <row r="4477" spans="1:18">
      <c r="A4477" s="2" t="s">
        <v>8784</v>
      </c>
      <c r="B4477" s="2" t="s">
        <v>556</v>
      </c>
      <c r="C4477" s="1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  <c r="L4477" s="2" t="s">
        <v>11029</v>
      </c>
      <c r="M4477" s="2" t="s">
        <v>11029</v>
      </c>
      <c r="N4477" s="2" t="s">
        <v>11037</v>
      </c>
      <c r="O4477" s="2" t="s">
        <v>11037</v>
      </c>
      <c r="P4477" s="2" t="s">
        <v>11035</v>
      </c>
      <c r="Q4477" s="2">
        <f>AVERAGE(PerfRate[[#This Row],[EnvironmentSatisfaction]],PerfRate[[#This Row],[JobSatisfaction]],PerfRate[[#This Row],[RelationshipSatisfaction]])</f>
        <v>3.3333333333333335</v>
      </c>
      <c r="R4477" s="2">
        <f>PerfRate[[#This Row],[ManagerRating]] - PerfRate[[#This Row],[SelfRating]]</f>
        <v>0</v>
      </c>
    </row>
    <row r="4478" spans="1:18">
      <c r="A4478" s="2" t="s">
        <v>8785</v>
      </c>
      <c r="B4478" s="2" t="s">
        <v>1255</v>
      </c>
      <c r="C4478" s="1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  <c r="L4478" s="2" t="s">
        <v>11030</v>
      </c>
      <c r="M4478" s="2" t="s">
        <v>11029</v>
      </c>
      <c r="N4478" s="2" t="s">
        <v>11036</v>
      </c>
      <c r="O4478" s="2" t="s">
        <v>11036</v>
      </c>
      <c r="P4478" s="2" t="s">
        <v>11038</v>
      </c>
      <c r="Q4478" s="2">
        <f>AVERAGE(PerfRate[[#This Row],[EnvironmentSatisfaction]],PerfRate[[#This Row],[JobSatisfaction]],PerfRate[[#This Row],[RelationshipSatisfaction]])</f>
        <v>3.6666666666666665</v>
      </c>
      <c r="R4478" s="2">
        <f>PerfRate[[#This Row],[ManagerRating]] - PerfRate[[#This Row],[SelfRating]]</f>
        <v>-1</v>
      </c>
    </row>
    <row r="4479" spans="1:18">
      <c r="A4479" s="2" t="s">
        <v>8786</v>
      </c>
      <c r="B4479" s="2" t="s">
        <v>1791</v>
      </c>
      <c r="C4479" s="1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  <c r="L4479" s="2" t="s">
        <v>11029</v>
      </c>
      <c r="M4479" s="2" t="s">
        <v>11028</v>
      </c>
      <c r="N4479" s="2" t="s">
        <v>11038</v>
      </c>
      <c r="O4479" s="2" t="s">
        <v>11038</v>
      </c>
      <c r="P4479" s="2" t="s">
        <v>11038</v>
      </c>
      <c r="Q4479" s="2">
        <f>AVERAGE(PerfRate[[#This Row],[EnvironmentSatisfaction]],PerfRate[[#This Row],[JobSatisfaction]],PerfRate[[#This Row],[RelationshipSatisfaction]])</f>
        <v>5</v>
      </c>
      <c r="R4479" s="2">
        <f>PerfRate[[#This Row],[ManagerRating]] - PerfRate[[#This Row],[SelfRating]]</f>
        <v>-1</v>
      </c>
    </row>
    <row r="4480" spans="1:18">
      <c r="A4480" s="2" t="s">
        <v>8787</v>
      </c>
      <c r="B4480" s="2" t="s">
        <v>1773</v>
      </c>
      <c r="C4480" s="1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  <c r="L4480" s="2" t="s">
        <v>11031</v>
      </c>
      <c r="M4480" s="2" t="s">
        <v>11030</v>
      </c>
      <c r="N4480" s="2" t="s">
        <v>11038</v>
      </c>
      <c r="O4480" s="2" t="s">
        <v>11036</v>
      </c>
      <c r="P4480" s="2" t="s">
        <v>11035</v>
      </c>
      <c r="Q4480" s="2">
        <f>AVERAGE(PerfRate[[#This Row],[EnvironmentSatisfaction]],PerfRate[[#This Row],[JobSatisfaction]],PerfRate[[#This Row],[RelationshipSatisfaction]])</f>
        <v>3.3333333333333335</v>
      </c>
      <c r="R4480" s="2">
        <f>PerfRate[[#This Row],[ManagerRating]] - PerfRate[[#This Row],[SelfRating]]</f>
        <v>-1</v>
      </c>
    </row>
    <row r="4481" spans="1:18">
      <c r="A4481" s="2" t="s">
        <v>8788</v>
      </c>
      <c r="B4481" s="2" t="s">
        <v>2987</v>
      </c>
      <c r="C4481" s="1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  <c r="L4481" s="2" t="s">
        <v>11031</v>
      </c>
      <c r="M4481" s="2" t="s">
        <v>11030</v>
      </c>
      <c r="N4481" s="2" t="s">
        <v>11036</v>
      </c>
      <c r="O4481" s="2" t="s">
        <v>11035</v>
      </c>
      <c r="P4481" s="2" t="s">
        <v>11038</v>
      </c>
      <c r="Q4481" s="2">
        <f>AVERAGE(PerfRate[[#This Row],[EnvironmentSatisfaction]],PerfRate[[#This Row],[JobSatisfaction]],PerfRate[[#This Row],[RelationshipSatisfaction]])</f>
        <v>3.3333333333333335</v>
      </c>
      <c r="R4481" s="2">
        <f>PerfRate[[#This Row],[ManagerRating]] - PerfRate[[#This Row],[SelfRating]]</f>
        <v>-1</v>
      </c>
    </row>
    <row r="4482" spans="1:18">
      <c r="A4482" s="2" t="s">
        <v>8789</v>
      </c>
      <c r="B4482" s="2" t="s">
        <v>131</v>
      </c>
      <c r="C4482" s="1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  <c r="L4482" s="2" t="s">
        <v>11031</v>
      </c>
      <c r="M4482" s="2" t="s">
        <v>11031</v>
      </c>
      <c r="N4482" s="2" t="s">
        <v>11038</v>
      </c>
      <c r="O4482" s="2" t="s">
        <v>11035</v>
      </c>
      <c r="P4482" s="2" t="s">
        <v>11037</v>
      </c>
      <c r="Q4482" s="2">
        <f>AVERAGE(PerfRate[[#This Row],[EnvironmentSatisfaction]],PerfRate[[#This Row],[JobSatisfaction]],PerfRate[[#This Row],[RelationshipSatisfaction]])</f>
        <v>3.6666666666666665</v>
      </c>
      <c r="R4482" s="2">
        <f>PerfRate[[#This Row],[ManagerRating]] - PerfRate[[#This Row],[SelfRating]]</f>
        <v>0</v>
      </c>
    </row>
    <row r="4483" spans="1:18">
      <c r="A4483" s="2" t="s">
        <v>8790</v>
      </c>
      <c r="B4483" s="2" t="s">
        <v>835</v>
      </c>
      <c r="C4483" s="1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  <c r="L4483" s="2" t="s">
        <v>11031</v>
      </c>
      <c r="M4483" s="2" t="s">
        <v>11031</v>
      </c>
      <c r="N4483" s="2" t="s">
        <v>11036</v>
      </c>
      <c r="O4483" s="2" t="s">
        <v>11037</v>
      </c>
      <c r="P4483" s="2" t="s">
        <v>11035</v>
      </c>
      <c r="Q4483" s="2">
        <f>AVERAGE(PerfRate[[#This Row],[EnvironmentSatisfaction]],PerfRate[[#This Row],[JobSatisfaction]],PerfRate[[#This Row],[RelationshipSatisfaction]])</f>
        <v>3</v>
      </c>
      <c r="R4483" s="2">
        <f>PerfRate[[#This Row],[ManagerRating]] - PerfRate[[#This Row],[SelfRating]]</f>
        <v>0</v>
      </c>
    </row>
    <row r="4484" spans="1:18">
      <c r="A4484" s="2" t="s">
        <v>8791</v>
      </c>
      <c r="B4484" s="2" t="s">
        <v>877</v>
      </c>
      <c r="C4484" s="1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  <c r="L4484" s="2" t="s">
        <v>11030</v>
      </c>
      <c r="M4484" s="2" t="s">
        <v>11029</v>
      </c>
      <c r="N4484" s="2" t="s">
        <v>11036</v>
      </c>
      <c r="O4484" s="2" t="s">
        <v>11035</v>
      </c>
      <c r="P4484" s="2" t="s">
        <v>11035</v>
      </c>
      <c r="Q4484" s="2">
        <f>AVERAGE(PerfRate[[#This Row],[EnvironmentSatisfaction]],PerfRate[[#This Row],[JobSatisfaction]],PerfRate[[#This Row],[RelationshipSatisfaction]])</f>
        <v>2.3333333333333335</v>
      </c>
      <c r="R4484" s="2">
        <f>PerfRate[[#This Row],[ManagerRating]] - PerfRate[[#This Row],[SelfRating]]</f>
        <v>-1</v>
      </c>
    </row>
    <row r="4485" spans="1:18">
      <c r="A4485" s="2" t="s">
        <v>8792</v>
      </c>
      <c r="B4485" s="2" t="s">
        <v>198</v>
      </c>
      <c r="C4485" s="1">
        <v>42249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  <c r="L4485" s="2" t="s">
        <v>11031</v>
      </c>
      <c r="M4485" s="2" t="s">
        <v>11030</v>
      </c>
      <c r="N4485" s="2" t="s">
        <v>11037</v>
      </c>
      <c r="O4485" s="2" t="s">
        <v>11037</v>
      </c>
      <c r="P4485" s="2" t="s">
        <v>11036</v>
      </c>
      <c r="Q4485" s="2">
        <f>AVERAGE(PerfRate[[#This Row],[EnvironmentSatisfaction]],PerfRate[[#This Row],[JobSatisfaction]],PerfRate[[#This Row],[RelationshipSatisfaction]])</f>
        <v>3.6666666666666665</v>
      </c>
      <c r="R4485" s="2">
        <f>PerfRate[[#This Row],[ManagerRating]] - PerfRate[[#This Row],[SelfRating]]</f>
        <v>-1</v>
      </c>
    </row>
    <row r="4486" spans="1:18">
      <c r="A4486" s="2" t="s">
        <v>8793</v>
      </c>
      <c r="B4486" s="2" t="s">
        <v>634</v>
      </c>
      <c r="C4486" s="1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  <c r="L4486" s="2" t="s">
        <v>11029</v>
      </c>
      <c r="M4486" s="2" t="s">
        <v>11028</v>
      </c>
      <c r="N4486" s="2" t="s">
        <v>11037</v>
      </c>
      <c r="O4486" s="2" t="s">
        <v>11037</v>
      </c>
      <c r="P4486" s="2" t="s">
        <v>11038</v>
      </c>
      <c r="Q4486" s="2">
        <f>AVERAGE(PerfRate[[#This Row],[EnvironmentSatisfaction]],PerfRate[[#This Row],[JobSatisfaction]],PerfRate[[#This Row],[RelationshipSatisfaction]])</f>
        <v>4.333333333333333</v>
      </c>
      <c r="R4486" s="2">
        <f>PerfRate[[#This Row],[ManagerRating]] - PerfRate[[#This Row],[SelfRating]]</f>
        <v>-1</v>
      </c>
    </row>
    <row r="4487" spans="1:18">
      <c r="A4487" s="2" t="s">
        <v>8794</v>
      </c>
      <c r="B4487" s="2" t="s">
        <v>2103</v>
      </c>
      <c r="C4487" s="1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  <c r="L4487" s="2" t="s">
        <v>11031</v>
      </c>
      <c r="M4487" s="2" t="s">
        <v>11030</v>
      </c>
      <c r="N4487" s="2" t="s">
        <v>11037</v>
      </c>
      <c r="O4487" s="2" t="s">
        <v>11036</v>
      </c>
      <c r="P4487" s="2" t="s">
        <v>11037</v>
      </c>
      <c r="Q4487" s="2">
        <f>AVERAGE(PerfRate[[#This Row],[EnvironmentSatisfaction]],PerfRate[[#This Row],[JobSatisfaction]],PerfRate[[#This Row],[RelationshipSatisfaction]])</f>
        <v>3.6666666666666665</v>
      </c>
      <c r="R4487" s="2">
        <f>PerfRate[[#This Row],[ManagerRating]] - PerfRate[[#This Row],[SelfRating]]</f>
        <v>-1</v>
      </c>
    </row>
    <row r="4488" spans="1:18">
      <c r="A4488" s="2" t="s">
        <v>8795</v>
      </c>
      <c r="B4488" s="2" t="s">
        <v>1497</v>
      </c>
      <c r="C4488" s="1">
        <v>44202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  <c r="L4488" s="2" t="s">
        <v>11029</v>
      </c>
      <c r="M4488" s="2" t="s">
        <v>11028</v>
      </c>
      <c r="N4488" s="2" t="s">
        <v>11037</v>
      </c>
      <c r="O4488" s="2" t="s">
        <v>11038</v>
      </c>
      <c r="P4488" s="2" t="s">
        <v>11035</v>
      </c>
      <c r="Q4488" s="2">
        <f>AVERAGE(PerfRate[[#This Row],[EnvironmentSatisfaction]],PerfRate[[#This Row],[JobSatisfaction]],PerfRate[[#This Row],[RelationshipSatisfaction]])</f>
        <v>3.6666666666666665</v>
      </c>
      <c r="R4488" s="2">
        <f>PerfRate[[#This Row],[ManagerRating]] - PerfRate[[#This Row],[SelfRating]]</f>
        <v>-1</v>
      </c>
    </row>
    <row r="4489" spans="1:18">
      <c r="A4489" s="2" t="s">
        <v>8796</v>
      </c>
      <c r="B4489" s="2" t="s">
        <v>791</v>
      </c>
      <c r="C4489" s="1">
        <v>44233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  <c r="L4489" s="2" t="s">
        <v>11030</v>
      </c>
      <c r="M4489" s="2" t="s">
        <v>11030</v>
      </c>
      <c r="N4489" s="2" t="s">
        <v>11038</v>
      </c>
      <c r="O4489" s="2" t="s">
        <v>11036</v>
      </c>
      <c r="P4489" s="2" t="s">
        <v>11037</v>
      </c>
      <c r="Q4489" s="2">
        <f>AVERAGE(PerfRate[[#This Row],[EnvironmentSatisfaction]],PerfRate[[#This Row],[JobSatisfaction]],PerfRate[[#This Row],[RelationshipSatisfaction]])</f>
        <v>4</v>
      </c>
      <c r="R4489" s="2">
        <f>PerfRate[[#This Row],[ManagerRating]] - PerfRate[[#This Row],[SelfRating]]</f>
        <v>0</v>
      </c>
    </row>
    <row r="4490" spans="1:18">
      <c r="A4490" s="2" t="s">
        <v>8797</v>
      </c>
      <c r="B4490" s="2" t="s">
        <v>4263</v>
      </c>
      <c r="C4490" s="1">
        <v>44261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  <c r="L4490" s="2" t="s">
        <v>11031</v>
      </c>
      <c r="M4490" s="2" t="s">
        <v>11031</v>
      </c>
      <c r="N4490" s="2" t="s">
        <v>11036</v>
      </c>
      <c r="O4490" s="2" t="s">
        <v>11036</v>
      </c>
      <c r="P4490" s="2" t="s">
        <v>11036</v>
      </c>
      <c r="Q4490" s="2">
        <f>AVERAGE(PerfRate[[#This Row],[EnvironmentSatisfaction]],PerfRate[[#This Row],[JobSatisfaction]],PerfRate[[#This Row],[RelationshipSatisfaction]])</f>
        <v>3</v>
      </c>
      <c r="R4490" s="2">
        <f>PerfRate[[#This Row],[ManagerRating]] - PerfRate[[#This Row],[SelfRating]]</f>
        <v>0</v>
      </c>
    </row>
    <row r="4491" spans="1:18">
      <c r="A4491" s="2" t="s">
        <v>8798</v>
      </c>
      <c r="B4491" s="2" t="s">
        <v>437</v>
      </c>
      <c r="C4491" s="1">
        <v>44292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  <c r="L4491" s="2" t="s">
        <v>11029</v>
      </c>
      <c r="M4491" s="2" t="s">
        <v>11028</v>
      </c>
      <c r="N4491" s="2" t="s">
        <v>11036</v>
      </c>
      <c r="O4491" s="2" t="s">
        <v>11037</v>
      </c>
      <c r="P4491" s="2" t="s">
        <v>11038</v>
      </c>
      <c r="Q4491" s="2">
        <f>AVERAGE(PerfRate[[#This Row],[EnvironmentSatisfaction]],PerfRate[[#This Row],[JobSatisfaction]],PerfRate[[#This Row],[RelationshipSatisfaction]])</f>
        <v>4</v>
      </c>
      <c r="R4491" s="2">
        <f>PerfRate[[#This Row],[ManagerRating]] - PerfRate[[#This Row],[SelfRating]]</f>
        <v>-1</v>
      </c>
    </row>
    <row r="4492" spans="1:18">
      <c r="A4492" s="2" t="s">
        <v>8799</v>
      </c>
      <c r="B4492" s="2" t="s">
        <v>2318</v>
      </c>
      <c r="C4492" s="1">
        <v>44292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  <c r="L4492" s="2" t="s">
        <v>11031</v>
      </c>
      <c r="M4492" s="2" t="s">
        <v>11030</v>
      </c>
      <c r="N4492" s="2" t="s">
        <v>11038</v>
      </c>
      <c r="O4492" s="2" t="s">
        <v>11036</v>
      </c>
      <c r="P4492" s="2" t="s">
        <v>11037</v>
      </c>
      <c r="Q4492" s="2">
        <f>AVERAGE(PerfRate[[#This Row],[EnvironmentSatisfaction]],PerfRate[[#This Row],[JobSatisfaction]],PerfRate[[#This Row],[RelationshipSatisfaction]])</f>
        <v>4</v>
      </c>
      <c r="R4492" s="2">
        <f>PerfRate[[#This Row],[ManagerRating]] - PerfRate[[#This Row],[SelfRating]]</f>
        <v>-1</v>
      </c>
    </row>
    <row r="4493" spans="1:18">
      <c r="A4493" s="2" t="s">
        <v>8800</v>
      </c>
      <c r="B4493" s="2" t="s">
        <v>3673</v>
      </c>
      <c r="C4493" s="1">
        <v>44322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  <c r="L4493" s="2" t="s">
        <v>11030</v>
      </c>
      <c r="M4493" s="2" t="s">
        <v>11029</v>
      </c>
      <c r="N4493" s="2" t="s">
        <v>11037</v>
      </c>
      <c r="O4493" s="2" t="s">
        <v>11035</v>
      </c>
      <c r="P4493" s="2" t="s">
        <v>11036</v>
      </c>
      <c r="Q4493" s="2">
        <f>AVERAGE(PerfRate[[#This Row],[EnvironmentSatisfaction]],PerfRate[[#This Row],[JobSatisfaction]],PerfRate[[#This Row],[RelationshipSatisfaction]])</f>
        <v>3</v>
      </c>
      <c r="R4493" s="2">
        <f>PerfRate[[#This Row],[ManagerRating]] - PerfRate[[#This Row],[SelfRating]]</f>
        <v>-1</v>
      </c>
    </row>
    <row r="4494" spans="1:18">
      <c r="A4494" s="2" t="s">
        <v>8801</v>
      </c>
      <c r="B4494" s="2" t="s">
        <v>844</v>
      </c>
      <c r="C4494" s="1">
        <v>44322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  <c r="L4494" s="2" t="s">
        <v>11030</v>
      </c>
      <c r="M4494" s="2" t="s">
        <v>11029</v>
      </c>
      <c r="N4494" s="2" t="s">
        <v>11038</v>
      </c>
      <c r="O4494" s="2" t="s">
        <v>11037</v>
      </c>
      <c r="P4494" s="2" t="s">
        <v>11036</v>
      </c>
      <c r="Q4494" s="2">
        <f>AVERAGE(PerfRate[[#This Row],[EnvironmentSatisfaction]],PerfRate[[#This Row],[JobSatisfaction]],PerfRate[[#This Row],[RelationshipSatisfaction]])</f>
        <v>4</v>
      </c>
      <c r="R4494" s="2">
        <f>PerfRate[[#This Row],[ManagerRating]] - PerfRate[[#This Row],[SelfRating]]</f>
        <v>-1</v>
      </c>
    </row>
    <row r="4495" spans="1:18">
      <c r="A4495" s="2" t="s">
        <v>8802</v>
      </c>
      <c r="B4495" s="2" t="s">
        <v>741</v>
      </c>
      <c r="C4495" s="1">
        <v>44322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  <c r="L4495" s="2" t="s">
        <v>11029</v>
      </c>
      <c r="M4495" s="2" t="s">
        <v>11029</v>
      </c>
      <c r="N4495" s="2" t="s">
        <v>11036</v>
      </c>
      <c r="O4495" s="2" t="s">
        <v>11036</v>
      </c>
      <c r="P4495" s="2" t="s">
        <v>11038</v>
      </c>
      <c r="Q4495" s="2">
        <f>AVERAGE(PerfRate[[#This Row],[EnvironmentSatisfaction]],PerfRate[[#This Row],[JobSatisfaction]],PerfRate[[#This Row],[RelationshipSatisfaction]])</f>
        <v>3.6666666666666665</v>
      </c>
      <c r="R4495" s="2">
        <f>PerfRate[[#This Row],[ManagerRating]] - PerfRate[[#This Row],[SelfRating]]</f>
        <v>0</v>
      </c>
    </row>
    <row r="4496" spans="1:18">
      <c r="A4496" s="2" t="s">
        <v>8803</v>
      </c>
      <c r="B4496" s="2" t="s">
        <v>256</v>
      </c>
      <c r="C4496" s="1">
        <v>42279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  <c r="L4496" s="2" t="s">
        <v>11031</v>
      </c>
      <c r="M4496" s="2" t="s">
        <v>11030</v>
      </c>
      <c r="N4496" s="2" t="s">
        <v>11038</v>
      </c>
      <c r="O4496" s="2" t="s">
        <v>11037</v>
      </c>
      <c r="P4496" s="2" t="s">
        <v>11037</v>
      </c>
      <c r="Q4496" s="2">
        <f>AVERAGE(PerfRate[[#This Row],[EnvironmentSatisfaction]],PerfRate[[#This Row],[JobSatisfaction]],PerfRate[[#This Row],[RelationshipSatisfaction]])</f>
        <v>4.333333333333333</v>
      </c>
      <c r="R4496" s="2">
        <f>PerfRate[[#This Row],[ManagerRating]] - PerfRate[[#This Row],[SelfRating]]</f>
        <v>-1</v>
      </c>
    </row>
    <row r="4497" spans="1:18">
      <c r="A4497" s="2" t="s">
        <v>8804</v>
      </c>
      <c r="B4497" s="2" t="s">
        <v>3001</v>
      </c>
      <c r="C4497" s="1">
        <v>44322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  <c r="L4497" s="2" t="s">
        <v>11029</v>
      </c>
      <c r="M4497" s="2" t="s">
        <v>11028</v>
      </c>
      <c r="N4497" s="2" t="s">
        <v>11036</v>
      </c>
      <c r="O4497" s="2" t="s">
        <v>11037</v>
      </c>
      <c r="P4497" s="2" t="s">
        <v>11037</v>
      </c>
      <c r="Q4497" s="2">
        <f>AVERAGE(PerfRate[[#This Row],[EnvironmentSatisfaction]],PerfRate[[#This Row],[JobSatisfaction]],PerfRate[[#This Row],[RelationshipSatisfaction]])</f>
        <v>3.6666666666666665</v>
      </c>
      <c r="R4497" s="2">
        <f>PerfRate[[#This Row],[ManagerRating]] - PerfRate[[#This Row],[SelfRating]]</f>
        <v>-1</v>
      </c>
    </row>
    <row r="4498" spans="1:18">
      <c r="A4498" s="2" t="s">
        <v>8805</v>
      </c>
      <c r="B4498" s="2" t="s">
        <v>2789</v>
      </c>
      <c r="C4498" s="1">
        <v>44322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  <c r="L4498" s="2" t="s">
        <v>11029</v>
      </c>
      <c r="M4498" s="2" t="s">
        <v>11028</v>
      </c>
      <c r="N4498" s="2" t="s">
        <v>11037</v>
      </c>
      <c r="O4498" s="2" t="s">
        <v>11035</v>
      </c>
      <c r="P4498" s="2" t="s">
        <v>11038</v>
      </c>
      <c r="Q4498" s="2">
        <f>AVERAGE(PerfRate[[#This Row],[EnvironmentSatisfaction]],PerfRate[[#This Row],[JobSatisfaction]],PerfRate[[#This Row],[RelationshipSatisfaction]])</f>
        <v>3.6666666666666665</v>
      </c>
      <c r="R4498" s="2">
        <f>PerfRate[[#This Row],[ManagerRating]] - PerfRate[[#This Row],[SelfRating]]</f>
        <v>-1</v>
      </c>
    </row>
    <row r="4499" spans="1:18">
      <c r="A4499" s="2" t="s">
        <v>8806</v>
      </c>
      <c r="B4499" s="2" t="s">
        <v>1541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  <c r="L4499" s="2" t="s">
        <v>11029</v>
      </c>
      <c r="M4499" s="2" t="s">
        <v>11029</v>
      </c>
      <c r="N4499" s="2" t="s">
        <v>11038</v>
      </c>
      <c r="O4499" s="2" t="s">
        <v>11035</v>
      </c>
      <c r="P4499" s="2" t="s">
        <v>11037</v>
      </c>
      <c r="Q4499" s="2">
        <f>AVERAGE(PerfRate[[#This Row],[EnvironmentSatisfaction]],PerfRate[[#This Row],[JobSatisfaction]],PerfRate[[#This Row],[RelationshipSatisfaction]])</f>
        <v>3.6666666666666665</v>
      </c>
      <c r="R4499" s="2">
        <f>PerfRate[[#This Row],[ManagerRating]] - PerfRate[[#This Row],[SelfRating]]</f>
        <v>0</v>
      </c>
    </row>
    <row r="4500" spans="1:18">
      <c r="A4500" s="2" t="s">
        <v>8807</v>
      </c>
      <c r="B4500" s="2" t="s">
        <v>2172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  <c r="L4500" s="2" t="s">
        <v>11030</v>
      </c>
      <c r="M4500" s="2" t="s">
        <v>11029</v>
      </c>
      <c r="N4500" s="2" t="s">
        <v>11037</v>
      </c>
      <c r="O4500" s="2" t="s">
        <v>11036</v>
      </c>
      <c r="P4500" s="2" t="s">
        <v>11035</v>
      </c>
      <c r="Q4500" s="2">
        <f>AVERAGE(PerfRate[[#This Row],[EnvironmentSatisfaction]],PerfRate[[#This Row],[JobSatisfaction]],PerfRate[[#This Row],[RelationshipSatisfaction]])</f>
        <v>3</v>
      </c>
      <c r="R4500" s="2">
        <f>PerfRate[[#This Row],[ManagerRating]] - PerfRate[[#This Row],[SelfRating]]</f>
        <v>-1</v>
      </c>
    </row>
    <row r="4501" spans="1:18">
      <c r="A4501" s="2" t="s">
        <v>8808</v>
      </c>
      <c r="B4501" s="2" t="s">
        <v>1183</v>
      </c>
      <c r="C4501" s="1">
        <v>44383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  <c r="L4501" s="2" t="s">
        <v>11030</v>
      </c>
      <c r="M4501" s="2" t="s">
        <v>11030</v>
      </c>
      <c r="N4501" s="2" t="s">
        <v>11038</v>
      </c>
      <c r="O4501" s="2" t="s">
        <v>11035</v>
      </c>
      <c r="P4501" s="2" t="s">
        <v>11037</v>
      </c>
      <c r="Q4501" s="2">
        <f>AVERAGE(PerfRate[[#This Row],[EnvironmentSatisfaction]],PerfRate[[#This Row],[JobSatisfaction]],PerfRate[[#This Row],[RelationshipSatisfaction]])</f>
        <v>3.6666666666666665</v>
      </c>
      <c r="R4501" s="2">
        <f>PerfRate[[#This Row],[ManagerRating]] - PerfRate[[#This Row],[SelfRating]]</f>
        <v>0</v>
      </c>
    </row>
    <row r="4502" spans="1:18">
      <c r="A4502" s="2" t="s">
        <v>8809</v>
      </c>
      <c r="B4502" s="2" t="s">
        <v>2284</v>
      </c>
      <c r="C4502" s="1">
        <v>44383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  <c r="L4502" s="2" t="s">
        <v>11031</v>
      </c>
      <c r="M4502" s="2" t="s">
        <v>11030</v>
      </c>
      <c r="N4502" s="2" t="s">
        <v>11036</v>
      </c>
      <c r="O4502" s="2" t="s">
        <v>11035</v>
      </c>
      <c r="P4502" s="2" t="s">
        <v>11037</v>
      </c>
      <c r="Q4502" s="2">
        <f>AVERAGE(PerfRate[[#This Row],[EnvironmentSatisfaction]],PerfRate[[#This Row],[JobSatisfaction]],PerfRate[[#This Row],[RelationshipSatisfaction]])</f>
        <v>3</v>
      </c>
      <c r="R4502" s="2">
        <f>PerfRate[[#This Row],[ManagerRating]] - PerfRate[[#This Row],[SelfRating]]</f>
        <v>-1</v>
      </c>
    </row>
    <row r="4503" spans="1:18">
      <c r="A4503" s="2" t="s">
        <v>8810</v>
      </c>
      <c r="B4503" s="2" t="s">
        <v>416</v>
      </c>
      <c r="C4503" s="1">
        <v>44414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  <c r="L4503" s="2" t="s">
        <v>11030</v>
      </c>
      <c r="M4503" s="2" t="s">
        <v>11029</v>
      </c>
      <c r="N4503" s="2" t="s">
        <v>11037</v>
      </c>
      <c r="O4503" s="2" t="s">
        <v>11036</v>
      </c>
      <c r="P4503" s="2" t="s">
        <v>11038</v>
      </c>
      <c r="Q4503" s="2">
        <f>AVERAGE(PerfRate[[#This Row],[EnvironmentSatisfaction]],PerfRate[[#This Row],[JobSatisfaction]],PerfRate[[#This Row],[RelationshipSatisfaction]])</f>
        <v>4</v>
      </c>
      <c r="R4503" s="2">
        <f>PerfRate[[#This Row],[ManagerRating]] - PerfRate[[#This Row],[SelfRating]]</f>
        <v>-1</v>
      </c>
    </row>
    <row r="4504" spans="1:18">
      <c r="A4504" s="2" t="s">
        <v>8811</v>
      </c>
      <c r="B4504" s="2" t="s">
        <v>229</v>
      </c>
      <c r="C4504" s="1">
        <v>44414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  <c r="L4504" s="2" t="s">
        <v>11030</v>
      </c>
      <c r="M4504" s="2" t="s">
        <v>11030</v>
      </c>
      <c r="N4504" s="2" t="s">
        <v>11038</v>
      </c>
      <c r="O4504" s="2" t="s">
        <v>11035</v>
      </c>
      <c r="P4504" s="2" t="s">
        <v>11037</v>
      </c>
      <c r="Q4504" s="2">
        <f>AVERAGE(PerfRate[[#This Row],[EnvironmentSatisfaction]],PerfRate[[#This Row],[JobSatisfaction]],PerfRate[[#This Row],[RelationshipSatisfaction]])</f>
        <v>3.6666666666666665</v>
      </c>
      <c r="R4504" s="2">
        <f>PerfRate[[#This Row],[ManagerRating]] - PerfRate[[#This Row],[SelfRating]]</f>
        <v>0</v>
      </c>
    </row>
    <row r="4505" spans="1:18">
      <c r="A4505" s="2" t="s">
        <v>8812</v>
      </c>
      <c r="B4505" s="2" t="s">
        <v>247</v>
      </c>
      <c r="C4505" s="1">
        <v>44445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  <c r="L4505" s="2" t="s">
        <v>11030</v>
      </c>
      <c r="M4505" s="2" t="s">
        <v>11030</v>
      </c>
      <c r="N4505" s="2" t="s">
        <v>11036</v>
      </c>
      <c r="O4505" s="2" t="s">
        <v>11038</v>
      </c>
      <c r="P4505" s="2" t="s">
        <v>11036</v>
      </c>
      <c r="Q4505" s="2">
        <f>AVERAGE(PerfRate[[#This Row],[EnvironmentSatisfaction]],PerfRate[[#This Row],[JobSatisfaction]],PerfRate[[#This Row],[RelationshipSatisfaction]])</f>
        <v>3.6666666666666665</v>
      </c>
      <c r="R4505" s="2">
        <f>PerfRate[[#This Row],[ManagerRating]] - PerfRate[[#This Row],[SelfRating]]</f>
        <v>0</v>
      </c>
    </row>
    <row r="4506" spans="1:18">
      <c r="A4506" s="2" t="s">
        <v>8813</v>
      </c>
      <c r="B4506" s="2" t="s">
        <v>1096</v>
      </c>
      <c r="C4506" s="1">
        <v>44445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  <c r="L4506" s="2" t="s">
        <v>11029</v>
      </c>
      <c r="M4506" s="2" t="s">
        <v>11028</v>
      </c>
      <c r="N4506" s="2" t="s">
        <v>11036</v>
      </c>
      <c r="O4506" s="2" t="s">
        <v>11036</v>
      </c>
      <c r="P4506" s="2" t="s">
        <v>11035</v>
      </c>
      <c r="Q4506" s="2">
        <f>AVERAGE(PerfRate[[#This Row],[EnvironmentSatisfaction]],PerfRate[[#This Row],[JobSatisfaction]],PerfRate[[#This Row],[RelationshipSatisfaction]])</f>
        <v>2.6666666666666665</v>
      </c>
      <c r="R4506" s="2">
        <f>PerfRate[[#This Row],[ManagerRating]] - PerfRate[[#This Row],[SelfRating]]</f>
        <v>-1</v>
      </c>
    </row>
    <row r="4507" spans="1:18">
      <c r="A4507" s="2" t="s">
        <v>8814</v>
      </c>
      <c r="B4507" s="2" t="s">
        <v>2109</v>
      </c>
      <c r="C4507" s="1">
        <v>42310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  <c r="L4507" s="2" t="s">
        <v>11029</v>
      </c>
      <c r="M4507" s="2" t="s">
        <v>11029</v>
      </c>
      <c r="N4507" s="2" t="s">
        <v>11037</v>
      </c>
      <c r="O4507" s="2" t="s">
        <v>11038</v>
      </c>
      <c r="P4507" s="2" t="s">
        <v>11037</v>
      </c>
      <c r="Q4507" s="2">
        <f>AVERAGE(PerfRate[[#This Row],[EnvironmentSatisfaction]],PerfRate[[#This Row],[JobSatisfaction]],PerfRate[[#This Row],[RelationshipSatisfaction]])</f>
        <v>4.333333333333333</v>
      </c>
      <c r="R4507" s="2">
        <f>PerfRate[[#This Row],[ManagerRating]] - PerfRate[[#This Row],[SelfRating]]</f>
        <v>0</v>
      </c>
    </row>
    <row r="4508" spans="1:18">
      <c r="A4508" s="2" t="s">
        <v>8815</v>
      </c>
      <c r="B4508" s="2" t="s">
        <v>1747</v>
      </c>
      <c r="C4508" s="1">
        <v>44475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  <c r="L4508" s="2" t="s">
        <v>11030</v>
      </c>
      <c r="M4508" s="2" t="s">
        <v>11030</v>
      </c>
      <c r="N4508" s="2" t="s">
        <v>11037</v>
      </c>
      <c r="O4508" s="2" t="s">
        <v>11038</v>
      </c>
      <c r="P4508" s="2" t="s">
        <v>11035</v>
      </c>
      <c r="Q4508" s="2">
        <f>AVERAGE(PerfRate[[#This Row],[EnvironmentSatisfaction]],PerfRate[[#This Row],[JobSatisfaction]],PerfRate[[#This Row],[RelationshipSatisfaction]])</f>
        <v>3.6666666666666665</v>
      </c>
      <c r="R4508" s="2">
        <f>PerfRate[[#This Row],[ManagerRating]] - PerfRate[[#This Row],[SelfRating]]</f>
        <v>0</v>
      </c>
    </row>
    <row r="4509" spans="1:18">
      <c r="A4509" s="2" t="s">
        <v>8816</v>
      </c>
      <c r="B4509" s="2" t="s">
        <v>1995</v>
      </c>
      <c r="C4509" s="1">
        <v>44506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  <c r="L4509" s="2" t="s">
        <v>11031</v>
      </c>
      <c r="M4509" s="2" t="s">
        <v>11030</v>
      </c>
      <c r="N4509" s="2" t="s">
        <v>11038</v>
      </c>
      <c r="O4509" s="2" t="s">
        <v>11036</v>
      </c>
      <c r="P4509" s="2" t="s">
        <v>11036</v>
      </c>
      <c r="Q4509" s="2">
        <f>AVERAGE(PerfRate[[#This Row],[EnvironmentSatisfaction]],PerfRate[[#This Row],[JobSatisfaction]],PerfRate[[#This Row],[RelationshipSatisfaction]])</f>
        <v>3.6666666666666665</v>
      </c>
      <c r="R4509" s="2">
        <f>PerfRate[[#This Row],[ManagerRating]] - PerfRate[[#This Row],[SelfRating]]</f>
        <v>-1</v>
      </c>
    </row>
    <row r="4510" spans="1:18">
      <c r="A4510" s="2" t="s">
        <v>8817</v>
      </c>
      <c r="B4510" s="2" t="s">
        <v>3829</v>
      </c>
      <c r="C4510" s="1">
        <v>44536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  <c r="L4510" s="2" t="s">
        <v>11029</v>
      </c>
      <c r="M4510" s="2" t="s">
        <v>11029</v>
      </c>
      <c r="N4510" s="2" t="s">
        <v>11038</v>
      </c>
      <c r="O4510" s="2" t="s">
        <v>11037</v>
      </c>
      <c r="P4510" s="2" t="s">
        <v>11035</v>
      </c>
      <c r="Q4510" s="2">
        <f>AVERAGE(PerfRate[[#This Row],[EnvironmentSatisfaction]],PerfRate[[#This Row],[JobSatisfaction]],PerfRate[[#This Row],[RelationshipSatisfaction]])</f>
        <v>3.6666666666666665</v>
      </c>
      <c r="R4510" s="2">
        <f>PerfRate[[#This Row],[ManagerRating]] - PerfRate[[#This Row],[SelfRating]]</f>
        <v>0</v>
      </c>
    </row>
    <row r="4511" spans="1:18">
      <c r="A4511" s="2" t="s">
        <v>8818</v>
      </c>
      <c r="B4511" s="2" t="s">
        <v>3254</v>
      </c>
      <c r="C4511" s="1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  <c r="L4511" s="2" t="s">
        <v>11029</v>
      </c>
      <c r="M4511" s="2" t="s">
        <v>11028</v>
      </c>
      <c r="N4511" s="2" t="s">
        <v>11036</v>
      </c>
      <c r="O4511" s="2" t="s">
        <v>11036</v>
      </c>
      <c r="P4511" s="2" t="s">
        <v>11037</v>
      </c>
      <c r="Q4511" s="2">
        <f>AVERAGE(PerfRate[[#This Row],[EnvironmentSatisfaction]],PerfRate[[#This Row],[JobSatisfaction]],PerfRate[[#This Row],[RelationshipSatisfaction]])</f>
        <v>3.3333333333333335</v>
      </c>
      <c r="R4511" s="2">
        <f>PerfRate[[#This Row],[ManagerRating]] - PerfRate[[#This Row],[SelfRating]]</f>
        <v>-1</v>
      </c>
    </row>
    <row r="4512" spans="1:18">
      <c r="A4512" s="2" t="s">
        <v>8819</v>
      </c>
      <c r="B4512" s="2" t="s">
        <v>440</v>
      </c>
      <c r="C4512" s="1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  <c r="L4512" s="2" t="s">
        <v>11031</v>
      </c>
      <c r="M4512" s="2" t="s">
        <v>11031</v>
      </c>
      <c r="N4512" s="2" t="s">
        <v>11037</v>
      </c>
      <c r="O4512" s="2" t="s">
        <v>11037</v>
      </c>
      <c r="P4512" s="2" t="s">
        <v>11035</v>
      </c>
      <c r="Q4512" s="2">
        <f>AVERAGE(PerfRate[[#This Row],[EnvironmentSatisfaction]],PerfRate[[#This Row],[JobSatisfaction]],PerfRate[[#This Row],[RelationshipSatisfaction]])</f>
        <v>3.3333333333333335</v>
      </c>
      <c r="R4512" s="2">
        <f>PerfRate[[#This Row],[ManagerRating]] - PerfRate[[#This Row],[SelfRating]]</f>
        <v>0</v>
      </c>
    </row>
    <row r="4513" spans="1:18">
      <c r="A4513" s="2" t="s">
        <v>8820</v>
      </c>
      <c r="B4513" s="2" t="s">
        <v>919</v>
      </c>
      <c r="C4513" s="1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  <c r="L4513" s="2" t="s">
        <v>11031</v>
      </c>
      <c r="M4513" s="2" t="s">
        <v>11030</v>
      </c>
      <c r="N4513" s="2" t="s">
        <v>11038</v>
      </c>
      <c r="O4513" s="2" t="s">
        <v>11037</v>
      </c>
      <c r="P4513" s="2" t="s">
        <v>11037</v>
      </c>
      <c r="Q4513" s="2">
        <f>AVERAGE(PerfRate[[#This Row],[EnvironmentSatisfaction]],PerfRate[[#This Row],[JobSatisfaction]],PerfRate[[#This Row],[RelationshipSatisfaction]])</f>
        <v>4.333333333333333</v>
      </c>
      <c r="R4513" s="2">
        <f>PerfRate[[#This Row],[ManagerRating]] - PerfRate[[#This Row],[SelfRating]]</f>
        <v>-1</v>
      </c>
    </row>
    <row r="4514" spans="1:18">
      <c r="A4514" s="2" t="s">
        <v>8821</v>
      </c>
      <c r="B4514" s="2" t="s">
        <v>1782</v>
      </c>
      <c r="C4514" s="1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  <c r="L4514" s="2" t="s">
        <v>11031</v>
      </c>
      <c r="M4514" s="2" t="s">
        <v>11030</v>
      </c>
      <c r="N4514" s="2" t="s">
        <v>11037</v>
      </c>
      <c r="O4514" s="2" t="s">
        <v>11036</v>
      </c>
      <c r="P4514" s="2" t="s">
        <v>11038</v>
      </c>
      <c r="Q4514" s="2">
        <f>AVERAGE(PerfRate[[#This Row],[EnvironmentSatisfaction]],PerfRate[[#This Row],[JobSatisfaction]],PerfRate[[#This Row],[RelationshipSatisfaction]])</f>
        <v>4</v>
      </c>
      <c r="R4514" s="2">
        <f>PerfRate[[#This Row],[ManagerRating]] - PerfRate[[#This Row],[SelfRating]]</f>
        <v>-1</v>
      </c>
    </row>
    <row r="4515" spans="1:18">
      <c r="A4515" s="2" t="s">
        <v>8822</v>
      </c>
      <c r="B4515" s="2" t="s">
        <v>2526</v>
      </c>
      <c r="C4515" s="1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  <c r="L4515" s="2" t="s">
        <v>11029</v>
      </c>
      <c r="M4515" s="2" t="s">
        <v>11028</v>
      </c>
      <c r="N4515" s="2" t="s">
        <v>11036</v>
      </c>
      <c r="O4515" s="2" t="s">
        <v>11037</v>
      </c>
      <c r="P4515" s="2" t="s">
        <v>11035</v>
      </c>
      <c r="Q4515" s="2">
        <f>AVERAGE(PerfRate[[#This Row],[EnvironmentSatisfaction]],PerfRate[[#This Row],[JobSatisfaction]],PerfRate[[#This Row],[RelationshipSatisfaction]])</f>
        <v>3</v>
      </c>
      <c r="R4515" s="2">
        <f>PerfRate[[#This Row],[ManagerRating]] - PerfRate[[#This Row],[SelfRating]]</f>
        <v>-1</v>
      </c>
    </row>
    <row r="4516" spans="1:18">
      <c r="A4516" s="2" t="s">
        <v>8823</v>
      </c>
      <c r="B4516" s="2" t="s">
        <v>1105</v>
      </c>
      <c r="C4516" s="1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  <c r="L4516" s="2" t="s">
        <v>11029</v>
      </c>
      <c r="M4516" s="2" t="s">
        <v>11028</v>
      </c>
      <c r="N4516" s="2" t="s">
        <v>11038</v>
      </c>
      <c r="O4516" s="2" t="s">
        <v>11037</v>
      </c>
      <c r="P4516" s="2" t="s">
        <v>11038</v>
      </c>
      <c r="Q4516" s="2">
        <f>AVERAGE(PerfRate[[#This Row],[EnvironmentSatisfaction]],PerfRate[[#This Row],[JobSatisfaction]],PerfRate[[#This Row],[RelationshipSatisfaction]])</f>
        <v>4.666666666666667</v>
      </c>
      <c r="R4516" s="2">
        <f>PerfRate[[#This Row],[ManagerRating]] - PerfRate[[#This Row],[SelfRating]]</f>
        <v>-1</v>
      </c>
    </row>
    <row r="4517" spans="1:18">
      <c r="A4517" s="2" t="s">
        <v>8824</v>
      </c>
      <c r="B4517" s="2" t="s">
        <v>1865</v>
      </c>
      <c r="C4517" s="1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  <c r="L4517" s="2" t="s">
        <v>11029</v>
      </c>
      <c r="M4517" s="2" t="s">
        <v>11028</v>
      </c>
      <c r="N4517" s="2" t="s">
        <v>11038</v>
      </c>
      <c r="O4517" s="2" t="s">
        <v>11038</v>
      </c>
      <c r="P4517" s="2" t="s">
        <v>11035</v>
      </c>
      <c r="Q4517" s="2">
        <f>AVERAGE(PerfRate[[#This Row],[EnvironmentSatisfaction]],PerfRate[[#This Row],[JobSatisfaction]],PerfRate[[#This Row],[RelationshipSatisfaction]])</f>
        <v>4</v>
      </c>
      <c r="R4517" s="2">
        <f>PerfRate[[#This Row],[ManagerRating]] - PerfRate[[#This Row],[SelfRating]]</f>
        <v>-1</v>
      </c>
    </row>
    <row r="4518" spans="1:18">
      <c r="A4518" s="2" t="s">
        <v>8825</v>
      </c>
      <c r="B4518" s="2" t="s">
        <v>1981</v>
      </c>
      <c r="C4518" s="1">
        <v>42310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  <c r="L4518" s="2" t="s">
        <v>11031</v>
      </c>
      <c r="M4518" s="2" t="s">
        <v>11030</v>
      </c>
      <c r="N4518" s="2" t="s">
        <v>11038</v>
      </c>
      <c r="O4518" s="2" t="s">
        <v>11037</v>
      </c>
      <c r="P4518" s="2" t="s">
        <v>11036</v>
      </c>
      <c r="Q4518" s="2">
        <f>AVERAGE(PerfRate[[#This Row],[EnvironmentSatisfaction]],PerfRate[[#This Row],[JobSatisfaction]],PerfRate[[#This Row],[RelationshipSatisfaction]])</f>
        <v>4</v>
      </c>
      <c r="R4518" s="2">
        <f>PerfRate[[#This Row],[ManagerRating]] - PerfRate[[#This Row],[SelfRating]]</f>
        <v>-1</v>
      </c>
    </row>
    <row r="4519" spans="1:18">
      <c r="A4519" s="2" t="s">
        <v>8826</v>
      </c>
      <c r="B4519" s="2" t="s">
        <v>2254</v>
      </c>
      <c r="C4519" s="1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  <c r="L4519" s="2" t="s">
        <v>11030</v>
      </c>
      <c r="M4519" s="2" t="s">
        <v>11029</v>
      </c>
      <c r="N4519" s="2" t="s">
        <v>11038</v>
      </c>
      <c r="O4519" s="2" t="s">
        <v>11038</v>
      </c>
      <c r="P4519" s="2" t="s">
        <v>11035</v>
      </c>
      <c r="Q4519" s="2">
        <f>AVERAGE(PerfRate[[#This Row],[EnvironmentSatisfaction]],PerfRate[[#This Row],[JobSatisfaction]],PerfRate[[#This Row],[RelationshipSatisfaction]])</f>
        <v>4</v>
      </c>
      <c r="R4519" s="2">
        <f>PerfRate[[#This Row],[ManagerRating]] - PerfRate[[#This Row],[SelfRating]]</f>
        <v>-1</v>
      </c>
    </row>
    <row r="4520" spans="1:18">
      <c r="A4520" s="2" t="s">
        <v>8827</v>
      </c>
      <c r="B4520" s="2" t="s">
        <v>2483</v>
      </c>
      <c r="C4520" s="1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  <c r="L4520" s="2" t="s">
        <v>11031</v>
      </c>
      <c r="M4520" s="2" t="s">
        <v>11030</v>
      </c>
      <c r="N4520" s="2" t="s">
        <v>11038</v>
      </c>
      <c r="O4520" s="2" t="s">
        <v>11036</v>
      </c>
      <c r="P4520" s="2" t="s">
        <v>11037</v>
      </c>
      <c r="Q4520" s="2">
        <f>AVERAGE(PerfRate[[#This Row],[EnvironmentSatisfaction]],PerfRate[[#This Row],[JobSatisfaction]],PerfRate[[#This Row],[RelationshipSatisfaction]])</f>
        <v>4</v>
      </c>
      <c r="R4520" s="2">
        <f>PerfRate[[#This Row],[ManagerRating]] - PerfRate[[#This Row],[SelfRating]]</f>
        <v>-1</v>
      </c>
    </row>
    <row r="4521" spans="1:18">
      <c r="A4521" s="2" t="s">
        <v>8828</v>
      </c>
      <c r="B4521" s="2" t="s">
        <v>374</v>
      </c>
      <c r="C4521" s="1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  <c r="L4521" s="2" t="s">
        <v>11029</v>
      </c>
      <c r="M4521" s="2" t="s">
        <v>11029</v>
      </c>
      <c r="N4521" s="2" t="s">
        <v>11036</v>
      </c>
      <c r="O4521" s="2" t="s">
        <v>11036</v>
      </c>
      <c r="P4521" s="2" t="s">
        <v>11036</v>
      </c>
      <c r="Q4521" s="2">
        <f>AVERAGE(PerfRate[[#This Row],[EnvironmentSatisfaction]],PerfRate[[#This Row],[JobSatisfaction]],PerfRate[[#This Row],[RelationshipSatisfaction]])</f>
        <v>3</v>
      </c>
      <c r="R4521" s="2">
        <f>PerfRate[[#This Row],[ManagerRating]] - PerfRate[[#This Row],[SelfRating]]</f>
        <v>0</v>
      </c>
    </row>
    <row r="4522" spans="1:18">
      <c r="A4522" s="2" t="s">
        <v>8829</v>
      </c>
      <c r="B4522" s="2" t="s">
        <v>1076</v>
      </c>
      <c r="C4522" s="1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  <c r="L4522" s="2" t="s">
        <v>11029</v>
      </c>
      <c r="M4522" s="2" t="s">
        <v>11028</v>
      </c>
      <c r="N4522" s="2" t="s">
        <v>11036</v>
      </c>
      <c r="O4522" s="2" t="s">
        <v>11035</v>
      </c>
      <c r="P4522" s="2" t="s">
        <v>11035</v>
      </c>
      <c r="Q4522" s="2">
        <f>AVERAGE(PerfRate[[#This Row],[EnvironmentSatisfaction]],PerfRate[[#This Row],[JobSatisfaction]],PerfRate[[#This Row],[RelationshipSatisfaction]])</f>
        <v>2.3333333333333335</v>
      </c>
      <c r="R4522" s="2">
        <f>PerfRate[[#This Row],[ManagerRating]] - PerfRate[[#This Row],[SelfRating]]</f>
        <v>-1</v>
      </c>
    </row>
    <row r="4523" spans="1:18">
      <c r="A4523" s="2" t="s">
        <v>8830</v>
      </c>
      <c r="B4523" s="2" t="s">
        <v>344</v>
      </c>
      <c r="C4523" s="1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  <c r="L4523" s="2" t="s">
        <v>11029</v>
      </c>
      <c r="M4523" s="2" t="s">
        <v>11029</v>
      </c>
      <c r="N4523" s="2" t="s">
        <v>11036</v>
      </c>
      <c r="O4523" s="2" t="s">
        <v>11035</v>
      </c>
      <c r="P4523" s="2" t="s">
        <v>11038</v>
      </c>
      <c r="Q4523" s="2">
        <f>AVERAGE(PerfRate[[#This Row],[EnvironmentSatisfaction]],PerfRate[[#This Row],[JobSatisfaction]],PerfRate[[#This Row],[RelationshipSatisfaction]])</f>
        <v>3.3333333333333335</v>
      </c>
      <c r="R4523" s="2">
        <f>PerfRate[[#This Row],[ManagerRating]] - PerfRate[[#This Row],[SelfRating]]</f>
        <v>0</v>
      </c>
    </row>
    <row r="4524" spans="1:18">
      <c r="A4524" s="2" t="s">
        <v>8831</v>
      </c>
      <c r="B4524" s="2" t="s">
        <v>732</v>
      </c>
      <c r="C4524" s="1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  <c r="L4524" s="2" t="s">
        <v>11029</v>
      </c>
      <c r="M4524" s="2" t="s">
        <v>11029</v>
      </c>
      <c r="N4524" s="2" t="s">
        <v>11036</v>
      </c>
      <c r="O4524" s="2" t="s">
        <v>11035</v>
      </c>
      <c r="P4524" s="2" t="s">
        <v>11037</v>
      </c>
      <c r="Q4524" s="2">
        <f>AVERAGE(PerfRate[[#This Row],[EnvironmentSatisfaction]],PerfRate[[#This Row],[JobSatisfaction]],PerfRate[[#This Row],[RelationshipSatisfaction]])</f>
        <v>3</v>
      </c>
      <c r="R4524" s="2">
        <f>PerfRate[[#This Row],[ManagerRating]] - PerfRate[[#This Row],[SelfRating]]</f>
        <v>0</v>
      </c>
    </row>
    <row r="4525" spans="1:18">
      <c r="A4525" s="2" t="s">
        <v>8832</v>
      </c>
      <c r="B4525" s="2" t="s">
        <v>1033</v>
      </c>
      <c r="C4525" s="1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  <c r="L4525" s="2" t="s">
        <v>11029</v>
      </c>
      <c r="M4525" s="2" t="s">
        <v>11028</v>
      </c>
      <c r="N4525" s="2" t="s">
        <v>11036</v>
      </c>
      <c r="O4525" s="2" t="s">
        <v>11036</v>
      </c>
      <c r="P4525" s="2" t="s">
        <v>11036</v>
      </c>
      <c r="Q4525" s="2">
        <f>AVERAGE(PerfRate[[#This Row],[EnvironmentSatisfaction]],PerfRate[[#This Row],[JobSatisfaction]],PerfRate[[#This Row],[RelationshipSatisfaction]])</f>
        <v>3</v>
      </c>
      <c r="R4525" s="2">
        <f>PerfRate[[#This Row],[ManagerRating]] - PerfRate[[#This Row],[SelfRating]]</f>
        <v>-1</v>
      </c>
    </row>
    <row r="4526" spans="1:18">
      <c r="A4526" s="2" t="s">
        <v>8833</v>
      </c>
      <c r="B4526" s="2" t="s">
        <v>1871</v>
      </c>
      <c r="C4526" s="1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  <c r="L4526" s="2" t="s">
        <v>11030</v>
      </c>
      <c r="M4526" s="2" t="s">
        <v>11030</v>
      </c>
      <c r="N4526" s="2" t="s">
        <v>11038</v>
      </c>
      <c r="O4526" s="2" t="s">
        <v>11035</v>
      </c>
      <c r="P4526" s="2" t="s">
        <v>11038</v>
      </c>
      <c r="Q4526" s="2">
        <f>AVERAGE(PerfRate[[#This Row],[EnvironmentSatisfaction]],PerfRate[[#This Row],[JobSatisfaction]],PerfRate[[#This Row],[RelationshipSatisfaction]])</f>
        <v>4</v>
      </c>
      <c r="R4526" s="2">
        <f>PerfRate[[#This Row],[ManagerRating]] - PerfRate[[#This Row],[SelfRating]]</f>
        <v>0</v>
      </c>
    </row>
    <row r="4527" spans="1:18">
      <c r="A4527" s="2" t="s">
        <v>8834</v>
      </c>
      <c r="B4527" s="2" t="s">
        <v>1788</v>
      </c>
      <c r="C4527" s="1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  <c r="L4527" s="2" t="s">
        <v>11031</v>
      </c>
      <c r="M4527" s="2" t="s">
        <v>11031</v>
      </c>
      <c r="N4527" s="2" t="s">
        <v>11038</v>
      </c>
      <c r="O4527" s="2" t="s">
        <v>11036</v>
      </c>
      <c r="P4527" s="2" t="s">
        <v>11036</v>
      </c>
      <c r="Q4527" s="2">
        <f>AVERAGE(PerfRate[[#This Row],[EnvironmentSatisfaction]],PerfRate[[#This Row],[JobSatisfaction]],PerfRate[[#This Row],[RelationshipSatisfaction]])</f>
        <v>3.6666666666666665</v>
      </c>
      <c r="R4527" s="2">
        <f>PerfRate[[#This Row],[ManagerRating]] - PerfRate[[#This Row],[SelfRating]]</f>
        <v>0</v>
      </c>
    </row>
    <row r="4528" spans="1:18">
      <c r="A4528" s="2" t="s">
        <v>8835</v>
      </c>
      <c r="B4528" s="2" t="s">
        <v>2557</v>
      </c>
      <c r="C4528" s="1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  <c r="L4528" s="2" t="s">
        <v>11031</v>
      </c>
      <c r="M4528" s="2" t="s">
        <v>11030</v>
      </c>
      <c r="N4528" s="2" t="s">
        <v>11038</v>
      </c>
      <c r="O4528" s="2" t="s">
        <v>11036</v>
      </c>
      <c r="P4528" s="2" t="s">
        <v>11036</v>
      </c>
      <c r="Q4528" s="2">
        <f>AVERAGE(PerfRate[[#This Row],[EnvironmentSatisfaction]],PerfRate[[#This Row],[JobSatisfaction]],PerfRate[[#This Row],[RelationshipSatisfaction]])</f>
        <v>3.6666666666666665</v>
      </c>
      <c r="R4528" s="2">
        <f>PerfRate[[#This Row],[ManagerRating]] - PerfRate[[#This Row],[SelfRating]]</f>
        <v>-1</v>
      </c>
    </row>
    <row r="4529" spans="1:18">
      <c r="A4529" s="2" t="s">
        <v>8836</v>
      </c>
      <c r="B4529" s="2" t="s">
        <v>4104</v>
      </c>
      <c r="C4529" s="1">
        <v>42340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  <c r="L4529" s="2" t="s">
        <v>11031</v>
      </c>
      <c r="M4529" s="2" t="s">
        <v>11030</v>
      </c>
      <c r="N4529" s="2" t="s">
        <v>11037</v>
      </c>
      <c r="O4529" s="2" t="s">
        <v>11035</v>
      </c>
      <c r="P4529" s="2" t="s">
        <v>11038</v>
      </c>
      <c r="Q4529" s="2">
        <f>AVERAGE(PerfRate[[#This Row],[EnvironmentSatisfaction]],PerfRate[[#This Row],[JobSatisfaction]],PerfRate[[#This Row],[RelationshipSatisfaction]])</f>
        <v>3.6666666666666665</v>
      </c>
      <c r="R4529" s="2">
        <f>PerfRate[[#This Row],[ManagerRating]] - PerfRate[[#This Row],[SelfRating]]</f>
        <v>-1</v>
      </c>
    </row>
    <row r="4530" spans="1:18">
      <c r="A4530" s="2" t="s">
        <v>8837</v>
      </c>
      <c r="B4530" s="2" t="s">
        <v>2210</v>
      </c>
      <c r="C4530" s="1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  <c r="L4530" s="2" t="s">
        <v>11029</v>
      </c>
      <c r="M4530" s="2" t="s">
        <v>11029</v>
      </c>
      <c r="N4530" s="2" t="s">
        <v>11037</v>
      </c>
      <c r="O4530" s="2" t="s">
        <v>11037</v>
      </c>
      <c r="P4530" s="2" t="s">
        <v>11038</v>
      </c>
      <c r="Q4530" s="2">
        <f>AVERAGE(PerfRate[[#This Row],[EnvironmentSatisfaction]],PerfRate[[#This Row],[JobSatisfaction]],PerfRate[[#This Row],[RelationshipSatisfaction]])</f>
        <v>4.333333333333333</v>
      </c>
      <c r="R4530" s="2">
        <f>PerfRate[[#This Row],[ManagerRating]] - PerfRate[[#This Row],[SelfRating]]</f>
        <v>0</v>
      </c>
    </row>
    <row r="4531" spans="1:18">
      <c r="A4531" s="2" t="s">
        <v>8838</v>
      </c>
      <c r="B4531" s="2" t="s">
        <v>293</v>
      </c>
      <c r="C4531" s="1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  <c r="L4531" s="2" t="s">
        <v>11029</v>
      </c>
      <c r="M4531" s="2" t="s">
        <v>11029</v>
      </c>
      <c r="N4531" s="2" t="s">
        <v>11036</v>
      </c>
      <c r="O4531" s="2" t="s">
        <v>11035</v>
      </c>
      <c r="P4531" s="2" t="s">
        <v>11035</v>
      </c>
      <c r="Q4531" s="2">
        <f>AVERAGE(PerfRate[[#This Row],[EnvironmentSatisfaction]],PerfRate[[#This Row],[JobSatisfaction]],PerfRate[[#This Row],[RelationshipSatisfaction]])</f>
        <v>2.3333333333333335</v>
      </c>
      <c r="R4531" s="2">
        <f>PerfRate[[#This Row],[ManagerRating]] - PerfRate[[#This Row],[SelfRating]]</f>
        <v>0</v>
      </c>
    </row>
    <row r="4532" spans="1:18">
      <c r="A4532" s="2" t="s">
        <v>8839</v>
      </c>
      <c r="B4532" s="2" t="s">
        <v>931</v>
      </c>
      <c r="C4532" s="1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  <c r="L4532" s="2" t="s">
        <v>11031</v>
      </c>
      <c r="M4532" s="2" t="s">
        <v>11030</v>
      </c>
      <c r="N4532" s="2" t="s">
        <v>11038</v>
      </c>
      <c r="O4532" s="2" t="s">
        <v>11035</v>
      </c>
      <c r="P4532" s="2" t="s">
        <v>11036</v>
      </c>
      <c r="Q4532" s="2">
        <f>AVERAGE(PerfRate[[#This Row],[EnvironmentSatisfaction]],PerfRate[[#This Row],[JobSatisfaction]],PerfRate[[#This Row],[RelationshipSatisfaction]])</f>
        <v>3.3333333333333335</v>
      </c>
      <c r="R4532" s="2">
        <f>PerfRate[[#This Row],[ManagerRating]] - PerfRate[[#This Row],[SelfRating]]</f>
        <v>-1</v>
      </c>
    </row>
    <row r="4533" spans="1:18">
      <c r="A4533" s="2" t="s">
        <v>8840</v>
      </c>
      <c r="B4533" s="2" t="s">
        <v>1315</v>
      </c>
      <c r="C4533" s="1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  <c r="L4533" s="2" t="s">
        <v>11031</v>
      </c>
      <c r="M4533" s="2" t="s">
        <v>11031</v>
      </c>
      <c r="N4533" s="2" t="s">
        <v>11036</v>
      </c>
      <c r="O4533" s="2" t="s">
        <v>11037</v>
      </c>
      <c r="P4533" s="2" t="s">
        <v>11037</v>
      </c>
      <c r="Q4533" s="2">
        <f>AVERAGE(PerfRate[[#This Row],[EnvironmentSatisfaction]],PerfRate[[#This Row],[JobSatisfaction]],PerfRate[[#This Row],[RelationshipSatisfaction]])</f>
        <v>3.6666666666666665</v>
      </c>
      <c r="R4533" s="2">
        <f>PerfRate[[#This Row],[ManagerRating]] - PerfRate[[#This Row],[SelfRating]]</f>
        <v>0</v>
      </c>
    </row>
    <row r="4534" spans="1:18">
      <c r="A4534" s="2" t="s">
        <v>8841</v>
      </c>
      <c r="B4534" s="2" t="s">
        <v>2672</v>
      </c>
      <c r="C4534" s="1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  <c r="L4534" s="2" t="s">
        <v>11030</v>
      </c>
      <c r="M4534" s="2" t="s">
        <v>11030</v>
      </c>
      <c r="N4534" s="2" t="s">
        <v>11038</v>
      </c>
      <c r="O4534" s="2" t="s">
        <v>11038</v>
      </c>
      <c r="P4534" s="2" t="s">
        <v>11038</v>
      </c>
      <c r="Q4534" s="2">
        <f>AVERAGE(PerfRate[[#This Row],[EnvironmentSatisfaction]],PerfRate[[#This Row],[JobSatisfaction]],PerfRate[[#This Row],[RelationshipSatisfaction]])</f>
        <v>5</v>
      </c>
      <c r="R4534" s="2">
        <f>PerfRate[[#This Row],[ManagerRating]] - PerfRate[[#This Row],[SelfRating]]</f>
        <v>0</v>
      </c>
    </row>
    <row r="4535" spans="1:18">
      <c r="A4535" s="2" t="s">
        <v>8842</v>
      </c>
      <c r="B4535" s="2" t="s">
        <v>217</v>
      </c>
      <c r="C4535" s="1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  <c r="L4535" s="2" t="s">
        <v>11031</v>
      </c>
      <c r="M4535" s="2" t="s">
        <v>11031</v>
      </c>
      <c r="N4535" s="2" t="s">
        <v>11037</v>
      </c>
      <c r="O4535" s="2" t="s">
        <v>11035</v>
      </c>
      <c r="P4535" s="2" t="s">
        <v>11035</v>
      </c>
      <c r="Q4535" s="2">
        <f>AVERAGE(PerfRate[[#This Row],[EnvironmentSatisfaction]],PerfRate[[#This Row],[JobSatisfaction]],PerfRate[[#This Row],[RelationshipSatisfaction]])</f>
        <v>2.6666666666666665</v>
      </c>
      <c r="R4535" s="2">
        <f>PerfRate[[#This Row],[ManagerRating]] - PerfRate[[#This Row],[SelfRating]]</f>
        <v>0</v>
      </c>
    </row>
    <row r="4536" spans="1:18">
      <c r="A4536" s="2" t="s">
        <v>8843</v>
      </c>
      <c r="B4536" s="2" t="s">
        <v>2873</v>
      </c>
      <c r="C4536" s="1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  <c r="L4536" s="2" t="s">
        <v>11031</v>
      </c>
      <c r="M4536" s="2" t="s">
        <v>11030</v>
      </c>
      <c r="N4536" s="2" t="s">
        <v>11036</v>
      </c>
      <c r="O4536" s="2" t="s">
        <v>11035</v>
      </c>
      <c r="P4536" s="2" t="s">
        <v>11037</v>
      </c>
      <c r="Q4536" s="2">
        <f>AVERAGE(PerfRate[[#This Row],[EnvironmentSatisfaction]],PerfRate[[#This Row],[JobSatisfaction]],PerfRate[[#This Row],[RelationshipSatisfaction]])</f>
        <v>3</v>
      </c>
      <c r="R4536" s="2">
        <f>PerfRate[[#This Row],[ManagerRating]] - PerfRate[[#This Row],[SelfRating]]</f>
        <v>-1</v>
      </c>
    </row>
    <row r="4537" spans="1:18">
      <c r="A4537" s="2" t="s">
        <v>8844</v>
      </c>
      <c r="B4537" s="2" t="s">
        <v>195</v>
      </c>
      <c r="C4537" s="1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  <c r="L4537" s="2" t="s">
        <v>11030</v>
      </c>
      <c r="M4537" s="2" t="s">
        <v>11029</v>
      </c>
      <c r="N4537" s="2" t="s">
        <v>11038</v>
      </c>
      <c r="O4537" s="2" t="s">
        <v>11036</v>
      </c>
      <c r="P4537" s="2" t="s">
        <v>11035</v>
      </c>
      <c r="Q4537" s="2">
        <f>AVERAGE(PerfRate[[#This Row],[EnvironmentSatisfaction]],PerfRate[[#This Row],[JobSatisfaction]],PerfRate[[#This Row],[RelationshipSatisfaction]])</f>
        <v>3.3333333333333335</v>
      </c>
      <c r="R4537" s="2">
        <f>PerfRate[[#This Row],[ManagerRating]] - PerfRate[[#This Row],[SelfRating]]</f>
        <v>-1</v>
      </c>
    </row>
    <row r="4538" spans="1:18">
      <c r="A4538" s="2" t="s">
        <v>8845</v>
      </c>
      <c r="B4538" s="2" t="s">
        <v>2578</v>
      </c>
      <c r="C4538" s="1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  <c r="L4538" s="2" t="s">
        <v>11029</v>
      </c>
      <c r="M4538" s="2" t="s">
        <v>11028</v>
      </c>
      <c r="N4538" s="2" t="s">
        <v>11036</v>
      </c>
      <c r="O4538" s="2" t="s">
        <v>11037</v>
      </c>
      <c r="P4538" s="2" t="s">
        <v>11036</v>
      </c>
      <c r="Q4538" s="2">
        <f>AVERAGE(PerfRate[[#This Row],[EnvironmentSatisfaction]],PerfRate[[#This Row],[JobSatisfaction]],PerfRate[[#This Row],[RelationshipSatisfaction]])</f>
        <v>3.3333333333333335</v>
      </c>
      <c r="R4538" s="2">
        <f>PerfRate[[#This Row],[ManagerRating]] - PerfRate[[#This Row],[SelfRating]]</f>
        <v>-1</v>
      </c>
    </row>
    <row r="4539" spans="1:18">
      <c r="A4539" s="2" t="s">
        <v>8846</v>
      </c>
      <c r="B4539" s="2" t="s">
        <v>487</v>
      </c>
      <c r="C4539" s="1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  <c r="L4539" s="2" t="s">
        <v>11031</v>
      </c>
      <c r="M4539" s="2" t="s">
        <v>11031</v>
      </c>
      <c r="N4539" s="2" t="s">
        <v>11037</v>
      </c>
      <c r="O4539" s="2" t="s">
        <v>11035</v>
      </c>
      <c r="P4539" s="2" t="s">
        <v>11036</v>
      </c>
      <c r="Q4539" s="2">
        <f>AVERAGE(PerfRate[[#This Row],[EnvironmentSatisfaction]],PerfRate[[#This Row],[JobSatisfaction]],PerfRate[[#This Row],[RelationshipSatisfaction]])</f>
        <v>3</v>
      </c>
      <c r="R4539" s="2">
        <f>PerfRate[[#This Row],[ManagerRating]] - PerfRate[[#This Row],[SelfRating]]</f>
        <v>0</v>
      </c>
    </row>
    <row r="4540" spans="1:18">
      <c r="A4540" s="2" t="s">
        <v>8847</v>
      </c>
      <c r="B4540" s="2" t="s">
        <v>750</v>
      </c>
      <c r="C4540" s="1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  <c r="L4540" s="2" t="s">
        <v>11031</v>
      </c>
      <c r="M4540" s="2" t="s">
        <v>11030</v>
      </c>
      <c r="N4540" s="2" t="s">
        <v>11037</v>
      </c>
      <c r="O4540" s="2" t="s">
        <v>11035</v>
      </c>
      <c r="P4540" s="2" t="s">
        <v>11037</v>
      </c>
      <c r="Q4540" s="2">
        <f>AVERAGE(PerfRate[[#This Row],[EnvironmentSatisfaction]],PerfRate[[#This Row],[JobSatisfaction]],PerfRate[[#This Row],[RelationshipSatisfaction]])</f>
        <v>3.3333333333333335</v>
      </c>
      <c r="R4540" s="2">
        <f>PerfRate[[#This Row],[ManagerRating]] - PerfRate[[#This Row],[SelfRating]]</f>
        <v>-1</v>
      </c>
    </row>
    <row r="4541" spans="1:18">
      <c r="A4541" s="2" t="s">
        <v>8848</v>
      </c>
      <c r="B4541" s="2" t="s">
        <v>329</v>
      </c>
      <c r="C4541" s="1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  <c r="L4541" s="2" t="s">
        <v>11030</v>
      </c>
      <c r="M4541" s="2" t="s">
        <v>11030</v>
      </c>
      <c r="N4541" s="2" t="s">
        <v>11035</v>
      </c>
      <c r="O4541" s="2" t="s">
        <v>11035</v>
      </c>
      <c r="P4541" s="2" t="s">
        <v>11034</v>
      </c>
      <c r="Q4541" s="2">
        <f>AVERAGE(PerfRate[[#This Row],[EnvironmentSatisfaction]],PerfRate[[#This Row],[JobSatisfaction]],PerfRate[[#This Row],[RelationshipSatisfaction]])</f>
        <v>1.6666666666666667</v>
      </c>
      <c r="R4541" s="2">
        <f>PerfRate[[#This Row],[ManagerRating]] - PerfRate[[#This Row],[SelfRating]]</f>
        <v>0</v>
      </c>
    </row>
    <row r="4542" spans="1:18">
      <c r="A4542" s="2" t="s">
        <v>8849</v>
      </c>
      <c r="B4542" s="2" t="s">
        <v>1079</v>
      </c>
      <c r="C4542" s="1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  <c r="L4542" s="2" t="s">
        <v>11030</v>
      </c>
      <c r="M4542" s="2" t="s">
        <v>11030</v>
      </c>
      <c r="N4542" s="2" t="s">
        <v>11036</v>
      </c>
      <c r="O4542" s="2" t="s">
        <v>11036</v>
      </c>
      <c r="P4542" s="2" t="s">
        <v>11037</v>
      </c>
      <c r="Q4542" s="2">
        <f>AVERAGE(PerfRate[[#This Row],[EnvironmentSatisfaction]],PerfRate[[#This Row],[JobSatisfaction]],PerfRate[[#This Row],[RelationshipSatisfaction]])</f>
        <v>3.3333333333333335</v>
      </c>
      <c r="R4542" s="2">
        <f>PerfRate[[#This Row],[ManagerRating]] - PerfRate[[#This Row],[SelfRating]]</f>
        <v>0</v>
      </c>
    </row>
    <row r="4543" spans="1:18">
      <c r="A4543" s="2" t="s">
        <v>8850</v>
      </c>
      <c r="B4543" s="2" t="s">
        <v>1099</v>
      </c>
      <c r="C4543" s="1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  <c r="L4543" s="2" t="s">
        <v>11031</v>
      </c>
      <c r="M4543" s="2" t="s">
        <v>11031</v>
      </c>
      <c r="N4543" s="2" t="s">
        <v>11037</v>
      </c>
      <c r="O4543" s="2" t="s">
        <v>11035</v>
      </c>
      <c r="P4543" s="2" t="s">
        <v>11037</v>
      </c>
      <c r="Q4543" s="2">
        <f>AVERAGE(PerfRate[[#This Row],[EnvironmentSatisfaction]],PerfRate[[#This Row],[JobSatisfaction]],PerfRate[[#This Row],[RelationshipSatisfaction]])</f>
        <v>3.3333333333333335</v>
      </c>
      <c r="R4543" s="2">
        <f>PerfRate[[#This Row],[ManagerRating]] - PerfRate[[#This Row],[SelfRating]]</f>
        <v>0</v>
      </c>
    </row>
    <row r="4544" spans="1:18">
      <c r="A4544" s="2" t="s">
        <v>8851</v>
      </c>
      <c r="B4544" s="2" t="s">
        <v>434</v>
      </c>
      <c r="C4544" s="1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  <c r="L4544" s="2" t="s">
        <v>11029</v>
      </c>
      <c r="M4544" s="2" t="s">
        <v>11029</v>
      </c>
      <c r="N4544" s="2" t="s">
        <v>11036</v>
      </c>
      <c r="O4544" s="2" t="s">
        <v>11035</v>
      </c>
      <c r="P4544" s="2" t="s">
        <v>11037</v>
      </c>
      <c r="Q4544" s="2">
        <f>AVERAGE(PerfRate[[#This Row],[EnvironmentSatisfaction]],PerfRate[[#This Row],[JobSatisfaction]],PerfRate[[#This Row],[RelationshipSatisfaction]])</f>
        <v>3</v>
      </c>
      <c r="R4544" s="2">
        <f>PerfRate[[#This Row],[ManagerRating]] - PerfRate[[#This Row],[SelfRating]]</f>
        <v>0</v>
      </c>
    </row>
    <row r="4545" spans="1:18">
      <c r="A4545" s="2" t="s">
        <v>8852</v>
      </c>
      <c r="B4545" s="2" t="s">
        <v>1494</v>
      </c>
      <c r="C4545" s="1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  <c r="L4545" s="2" t="s">
        <v>11031</v>
      </c>
      <c r="M4545" s="2" t="s">
        <v>11030</v>
      </c>
      <c r="N4545" s="2" t="s">
        <v>11036</v>
      </c>
      <c r="O4545" s="2" t="s">
        <v>11035</v>
      </c>
      <c r="P4545" s="2" t="s">
        <v>11038</v>
      </c>
      <c r="Q4545" s="2">
        <f>AVERAGE(PerfRate[[#This Row],[EnvironmentSatisfaction]],PerfRate[[#This Row],[JobSatisfaction]],PerfRate[[#This Row],[RelationshipSatisfaction]])</f>
        <v>3.3333333333333335</v>
      </c>
      <c r="R4545" s="2">
        <f>PerfRate[[#This Row],[ManagerRating]] - PerfRate[[#This Row],[SelfRating]]</f>
        <v>-1</v>
      </c>
    </row>
    <row r="4546" spans="1:18">
      <c r="A4546" s="2" t="s">
        <v>8853</v>
      </c>
      <c r="B4546" s="2" t="s">
        <v>2329</v>
      </c>
      <c r="C4546" s="1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  <c r="L4546" s="2" t="s">
        <v>11031</v>
      </c>
      <c r="M4546" s="2" t="s">
        <v>11030</v>
      </c>
      <c r="N4546" s="2" t="s">
        <v>11038</v>
      </c>
      <c r="O4546" s="2" t="s">
        <v>11037</v>
      </c>
      <c r="P4546" s="2" t="s">
        <v>11035</v>
      </c>
      <c r="Q4546" s="2">
        <f>AVERAGE(PerfRate[[#This Row],[EnvironmentSatisfaction]],PerfRate[[#This Row],[JobSatisfaction]],PerfRate[[#This Row],[RelationshipSatisfaction]])</f>
        <v>3.6666666666666665</v>
      </c>
      <c r="R4546" s="2">
        <f>PerfRate[[#This Row],[ManagerRating]] - PerfRate[[#This Row],[SelfRating]]</f>
        <v>-1</v>
      </c>
    </row>
    <row r="4547" spans="1:18">
      <c r="A4547" s="2" t="s">
        <v>8854</v>
      </c>
      <c r="B4547" s="2" t="s">
        <v>1447</v>
      </c>
      <c r="C4547" s="1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  <c r="L4547" s="2" t="s">
        <v>11029</v>
      </c>
      <c r="M4547" s="2" t="s">
        <v>11028</v>
      </c>
      <c r="N4547" s="2" t="s">
        <v>11037</v>
      </c>
      <c r="O4547" s="2" t="s">
        <v>11036</v>
      </c>
      <c r="P4547" s="2" t="s">
        <v>11038</v>
      </c>
      <c r="Q4547" s="2">
        <f>AVERAGE(PerfRate[[#This Row],[EnvironmentSatisfaction]],PerfRate[[#This Row],[JobSatisfaction]],PerfRate[[#This Row],[RelationshipSatisfaction]])</f>
        <v>4</v>
      </c>
      <c r="R4547" s="2">
        <f>PerfRate[[#This Row],[ManagerRating]] - PerfRate[[#This Row],[SelfRating]]</f>
        <v>-1</v>
      </c>
    </row>
    <row r="4548" spans="1:18">
      <c r="A4548" s="2" t="s">
        <v>8855</v>
      </c>
      <c r="B4548" s="2" t="s">
        <v>443</v>
      </c>
      <c r="C4548" s="1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  <c r="L4548" s="2" t="s">
        <v>11029</v>
      </c>
      <c r="M4548" s="2" t="s">
        <v>11028</v>
      </c>
      <c r="N4548" s="2" t="s">
        <v>11036</v>
      </c>
      <c r="O4548" s="2" t="s">
        <v>11038</v>
      </c>
      <c r="P4548" s="2" t="s">
        <v>11035</v>
      </c>
      <c r="Q4548" s="2">
        <f>AVERAGE(PerfRate[[#This Row],[EnvironmentSatisfaction]],PerfRate[[#This Row],[JobSatisfaction]],PerfRate[[#This Row],[RelationshipSatisfaction]])</f>
        <v>3.3333333333333335</v>
      </c>
      <c r="R4548" s="2">
        <f>PerfRate[[#This Row],[ManagerRating]] - PerfRate[[#This Row],[SelfRating]]</f>
        <v>-1</v>
      </c>
    </row>
    <row r="4549" spans="1:18">
      <c r="A4549" s="2" t="s">
        <v>8856</v>
      </c>
      <c r="B4549" s="2" t="s">
        <v>332</v>
      </c>
      <c r="C4549" s="1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  <c r="L4549" s="2" t="s">
        <v>11030</v>
      </c>
      <c r="M4549" s="2" t="s">
        <v>11030</v>
      </c>
      <c r="N4549" s="2" t="s">
        <v>11037</v>
      </c>
      <c r="O4549" s="2" t="s">
        <v>11038</v>
      </c>
      <c r="P4549" s="2" t="s">
        <v>11035</v>
      </c>
      <c r="Q4549" s="2">
        <f>AVERAGE(PerfRate[[#This Row],[EnvironmentSatisfaction]],PerfRate[[#This Row],[JobSatisfaction]],PerfRate[[#This Row],[RelationshipSatisfaction]])</f>
        <v>3.6666666666666665</v>
      </c>
      <c r="R4549" s="2">
        <f>PerfRate[[#This Row],[ManagerRating]] - PerfRate[[#This Row],[SelfRating]]</f>
        <v>0</v>
      </c>
    </row>
    <row r="4550" spans="1:18">
      <c r="A4550" s="2" t="s">
        <v>8857</v>
      </c>
      <c r="B4550" s="2" t="s">
        <v>565</v>
      </c>
      <c r="C4550" s="1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  <c r="L4550" s="2" t="s">
        <v>11031</v>
      </c>
      <c r="M4550" s="2" t="s">
        <v>11031</v>
      </c>
      <c r="N4550" s="2" t="s">
        <v>11036</v>
      </c>
      <c r="O4550" s="2" t="s">
        <v>11036</v>
      </c>
      <c r="P4550" s="2" t="s">
        <v>11037</v>
      </c>
      <c r="Q4550" s="2">
        <f>AVERAGE(PerfRate[[#This Row],[EnvironmentSatisfaction]],PerfRate[[#This Row],[JobSatisfaction]],PerfRate[[#This Row],[RelationshipSatisfaction]])</f>
        <v>3.3333333333333335</v>
      </c>
      <c r="R4550" s="2">
        <f>PerfRate[[#This Row],[ManagerRating]] - PerfRate[[#This Row],[SelfRating]]</f>
        <v>0</v>
      </c>
    </row>
    <row r="4551" spans="1:18">
      <c r="A4551" s="2" t="s">
        <v>8858</v>
      </c>
      <c r="B4551" s="2" t="s">
        <v>1698</v>
      </c>
      <c r="C4551" s="1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  <c r="L4551" s="2" t="s">
        <v>11030</v>
      </c>
      <c r="M4551" s="2" t="s">
        <v>11030</v>
      </c>
      <c r="N4551" s="2" t="s">
        <v>11036</v>
      </c>
      <c r="O4551" s="2" t="s">
        <v>11038</v>
      </c>
      <c r="P4551" s="2" t="s">
        <v>11038</v>
      </c>
      <c r="Q4551" s="2">
        <f>AVERAGE(PerfRate[[#This Row],[EnvironmentSatisfaction]],PerfRate[[#This Row],[JobSatisfaction]],PerfRate[[#This Row],[RelationshipSatisfaction]])</f>
        <v>4.333333333333333</v>
      </c>
      <c r="R4551" s="2">
        <f>PerfRate[[#This Row],[ManagerRating]] - PerfRate[[#This Row],[SelfRating]]</f>
        <v>0</v>
      </c>
    </row>
    <row r="4552" spans="1:18">
      <c r="A4552" s="2" t="s">
        <v>8859</v>
      </c>
      <c r="B4552" s="2" t="s">
        <v>1756</v>
      </c>
      <c r="C4552" s="1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  <c r="L4552" s="2" t="s">
        <v>11030</v>
      </c>
      <c r="M4552" s="2" t="s">
        <v>11029</v>
      </c>
      <c r="N4552" s="2" t="s">
        <v>11037</v>
      </c>
      <c r="O4552" s="2" t="s">
        <v>11036</v>
      </c>
      <c r="P4552" s="2" t="s">
        <v>11037</v>
      </c>
      <c r="Q4552" s="2">
        <f>AVERAGE(PerfRate[[#This Row],[EnvironmentSatisfaction]],PerfRate[[#This Row],[JobSatisfaction]],PerfRate[[#This Row],[RelationshipSatisfaction]])</f>
        <v>3.6666666666666665</v>
      </c>
      <c r="R4552" s="2">
        <f>PerfRate[[#This Row],[ManagerRating]] - PerfRate[[#This Row],[SelfRating]]</f>
        <v>-1</v>
      </c>
    </row>
    <row r="4553" spans="1:18">
      <c r="A4553" s="2" t="s">
        <v>8860</v>
      </c>
      <c r="B4553" s="2" t="s">
        <v>2290</v>
      </c>
      <c r="C4553" s="1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  <c r="L4553" s="2" t="s">
        <v>11029</v>
      </c>
      <c r="M4553" s="2" t="s">
        <v>11029</v>
      </c>
      <c r="N4553" s="2" t="s">
        <v>11037</v>
      </c>
      <c r="O4553" s="2" t="s">
        <v>11038</v>
      </c>
      <c r="P4553" s="2" t="s">
        <v>11037</v>
      </c>
      <c r="Q4553" s="2">
        <f>AVERAGE(PerfRate[[#This Row],[EnvironmentSatisfaction]],PerfRate[[#This Row],[JobSatisfaction]],PerfRate[[#This Row],[RelationshipSatisfaction]])</f>
        <v>4.333333333333333</v>
      </c>
      <c r="R4553" s="2">
        <f>PerfRate[[#This Row],[ManagerRating]] - PerfRate[[#This Row],[SelfRating]]</f>
        <v>0</v>
      </c>
    </row>
    <row r="4554" spans="1:18">
      <c r="A4554" s="2" t="s">
        <v>8861</v>
      </c>
      <c r="B4554" s="2" t="s">
        <v>2783</v>
      </c>
      <c r="C4554" s="1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  <c r="L4554" s="2" t="s">
        <v>11030</v>
      </c>
      <c r="M4554" s="2" t="s">
        <v>11030</v>
      </c>
      <c r="N4554" s="2" t="s">
        <v>11036</v>
      </c>
      <c r="O4554" s="2" t="s">
        <v>11037</v>
      </c>
      <c r="P4554" s="2" t="s">
        <v>11036</v>
      </c>
      <c r="Q4554" s="2">
        <f>AVERAGE(PerfRate[[#This Row],[EnvironmentSatisfaction]],PerfRate[[#This Row],[JobSatisfaction]],PerfRate[[#This Row],[RelationshipSatisfaction]])</f>
        <v>3.3333333333333335</v>
      </c>
      <c r="R4554" s="2">
        <f>PerfRate[[#This Row],[ManagerRating]] - PerfRate[[#This Row],[SelfRating]]</f>
        <v>0</v>
      </c>
    </row>
    <row r="4555" spans="1:18">
      <c r="A4555" s="2" t="s">
        <v>8862</v>
      </c>
      <c r="B4555" s="2" t="s">
        <v>201</v>
      </c>
      <c r="C4555" s="1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  <c r="L4555" s="2" t="s">
        <v>11029</v>
      </c>
      <c r="M4555" s="2" t="s">
        <v>11029</v>
      </c>
      <c r="N4555" s="2" t="s">
        <v>11037</v>
      </c>
      <c r="O4555" s="2" t="s">
        <v>11036</v>
      </c>
      <c r="P4555" s="2" t="s">
        <v>11037</v>
      </c>
      <c r="Q4555" s="2">
        <f>AVERAGE(PerfRate[[#This Row],[EnvironmentSatisfaction]],PerfRate[[#This Row],[JobSatisfaction]],PerfRate[[#This Row],[RelationshipSatisfaction]])</f>
        <v>3.6666666666666665</v>
      </c>
      <c r="R4555" s="2">
        <f>PerfRate[[#This Row],[ManagerRating]] - PerfRate[[#This Row],[SelfRating]]</f>
        <v>0</v>
      </c>
    </row>
    <row r="4556" spans="1:18">
      <c r="A4556" s="2" t="s">
        <v>8863</v>
      </c>
      <c r="B4556" s="2" t="s">
        <v>476</v>
      </c>
      <c r="C4556" s="1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  <c r="L4556" s="2" t="s">
        <v>11029</v>
      </c>
      <c r="M4556" s="2" t="s">
        <v>11029</v>
      </c>
      <c r="N4556" s="2" t="s">
        <v>11036</v>
      </c>
      <c r="O4556" s="2" t="s">
        <v>11035</v>
      </c>
      <c r="P4556" s="2" t="s">
        <v>11036</v>
      </c>
      <c r="Q4556" s="2">
        <f>AVERAGE(PerfRate[[#This Row],[EnvironmentSatisfaction]],PerfRate[[#This Row],[JobSatisfaction]],PerfRate[[#This Row],[RelationshipSatisfaction]])</f>
        <v>2.6666666666666665</v>
      </c>
      <c r="R4556" s="2">
        <f>PerfRate[[#This Row],[ManagerRating]] - PerfRate[[#This Row],[SelfRating]]</f>
        <v>0</v>
      </c>
    </row>
    <row r="4557" spans="1:18">
      <c r="A4557" s="2" t="s">
        <v>8864</v>
      </c>
      <c r="B4557" s="2" t="s">
        <v>2906</v>
      </c>
      <c r="C4557" s="1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  <c r="L4557" s="2" t="s">
        <v>11029</v>
      </c>
      <c r="M4557" s="2" t="s">
        <v>11028</v>
      </c>
      <c r="N4557" s="2" t="s">
        <v>11036</v>
      </c>
      <c r="O4557" s="2" t="s">
        <v>11037</v>
      </c>
      <c r="P4557" s="2" t="s">
        <v>11037</v>
      </c>
      <c r="Q4557" s="2">
        <f>AVERAGE(PerfRate[[#This Row],[EnvironmentSatisfaction]],PerfRate[[#This Row],[JobSatisfaction]],PerfRate[[#This Row],[RelationshipSatisfaction]])</f>
        <v>3.6666666666666665</v>
      </c>
      <c r="R4557" s="2">
        <f>PerfRate[[#This Row],[ManagerRating]] - PerfRate[[#This Row],[SelfRating]]</f>
        <v>-1</v>
      </c>
    </row>
    <row r="4558" spans="1:18">
      <c r="A4558" s="2" t="s">
        <v>8865</v>
      </c>
      <c r="B4558" s="2" t="s">
        <v>640</v>
      </c>
      <c r="C4558" s="1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  <c r="L4558" s="2" t="s">
        <v>11031</v>
      </c>
      <c r="M4558" s="2" t="s">
        <v>11031</v>
      </c>
      <c r="N4558" s="2" t="s">
        <v>11038</v>
      </c>
      <c r="O4558" s="2" t="s">
        <v>11037</v>
      </c>
      <c r="P4558" s="2" t="s">
        <v>11038</v>
      </c>
      <c r="Q4558" s="2">
        <f>AVERAGE(PerfRate[[#This Row],[EnvironmentSatisfaction]],PerfRate[[#This Row],[JobSatisfaction]],PerfRate[[#This Row],[RelationshipSatisfaction]])</f>
        <v>4.666666666666667</v>
      </c>
      <c r="R4558" s="2">
        <f>PerfRate[[#This Row],[ManagerRating]] - PerfRate[[#This Row],[SelfRating]]</f>
        <v>0</v>
      </c>
    </row>
    <row r="4559" spans="1:18">
      <c r="A4559" s="2" t="s">
        <v>8866</v>
      </c>
      <c r="B4559" s="2" t="s">
        <v>1632</v>
      </c>
      <c r="C4559" s="1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  <c r="L4559" s="2" t="s">
        <v>11030</v>
      </c>
      <c r="M4559" s="2" t="s">
        <v>11030</v>
      </c>
      <c r="N4559" s="2" t="s">
        <v>11037</v>
      </c>
      <c r="O4559" s="2" t="s">
        <v>11035</v>
      </c>
      <c r="P4559" s="2" t="s">
        <v>11038</v>
      </c>
      <c r="Q4559" s="2">
        <f>AVERAGE(PerfRate[[#This Row],[EnvironmentSatisfaction]],PerfRate[[#This Row],[JobSatisfaction]],PerfRate[[#This Row],[RelationshipSatisfaction]])</f>
        <v>3.6666666666666665</v>
      </c>
      <c r="R4559" s="2">
        <f>PerfRate[[#This Row],[ManagerRating]] - PerfRate[[#This Row],[SelfRating]]</f>
        <v>0</v>
      </c>
    </row>
    <row r="4560" spans="1:18">
      <c r="A4560" s="2" t="s">
        <v>8867</v>
      </c>
      <c r="B4560" s="2" t="s">
        <v>1813</v>
      </c>
      <c r="C4560" s="1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  <c r="L4560" s="2" t="s">
        <v>11030</v>
      </c>
      <c r="M4560" s="2" t="s">
        <v>11030</v>
      </c>
      <c r="N4560" s="2" t="s">
        <v>11038</v>
      </c>
      <c r="O4560" s="2" t="s">
        <v>11035</v>
      </c>
      <c r="P4560" s="2" t="s">
        <v>11035</v>
      </c>
      <c r="Q4560" s="2">
        <f>AVERAGE(PerfRate[[#This Row],[EnvironmentSatisfaction]],PerfRate[[#This Row],[JobSatisfaction]],PerfRate[[#This Row],[RelationshipSatisfaction]])</f>
        <v>3</v>
      </c>
      <c r="R4560" s="2">
        <f>PerfRate[[#This Row],[ManagerRating]] - PerfRate[[#This Row],[SelfRating]]</f>
        <v>0</v>
      </c>
    </row>
    <row r="4561" spans="1:18">
      <c r="A4561" s="2" t="s">
        <v>8868</v>
      </c>
      <c r="B4561" s="2" t="s">
        <v>994</v>
      </c>
      <c r="C4561" s="1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  <c r="L4561" s="2" t="s">
        <v>11030</v>
      </c>
      <c r="M4561" s="2" t="s">
        <v>11030</v>
      </c>
      <c r="N4561" s="2" t="s">
        <v>11037</v>
      </c>
      <c r="O4561" s="2" t="s">
        <v>11036</v>
      </c>
      <c r="P4561" s="2" t="s">
        <v>11036</v>
      </c>
      <c r="Q4561" s="2">
        <f>AVERAGE(PerfRate[[#This Row],[EnvironmentSatisfaction]],PerfRate[[#This Row],[JobSatisfaction]],PerfRate[[#This Row],[RelationshipSatisfaction]])</f>
        <v>3.3333333333333335</v>
      </c>
      <c r="R4561" s="2">
        <f>PerfRate[[#This Row],[ManagerRating]] - PerfRate[[#This Row],[SelfRating]]</f>
        <v>0</v>
      </c>
    </row>
    <row r="4562" spans="1:18">
      <c r="A4562" s="2" t="s">
        <v>8869</v>
      </c>
      <c r="B4562" s="2" t="s">
        <v>98</v>
      </c>
      <c r="C4562" s="1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  <c r="L4562" s="2" t="s">
        <v>11030</v>
      </c>
      <c r="M4562" s="2" t="s">
        <v>11030</v>
      </c>
      <c r="N4562" s="2" t="s">
        <v>11036</v>
      </c>
      <c r="O4562" s="2" t="s">
        <v>11035</v>
      </c>
      <c r="P4562" s="2" t="s">
        <v>11036</v>
      </c>
      <c r="Q4562" s="2">
        <f>AVERAGE(PerfRate[[#This Row],[EnvironmentSatisfaction]],PerfRate[[#This Row],[JobSatisfaction]],PerfRate[[#This Row],[RelationshipSatisfaction]])</f>
        <v>2.6666666666666665</v>
      </c>
      <c r="R4562" s="2">
        <f>PerfRate[[#This Row],[ManagerRating]] - PerfRate[[#This Row],[SelfRating]]</f>
        <v>0</v>
      </c>
    </row>
    <row r="4563" spans="1:18">
      <c r="A4563" s="2" t="s">
        <v>8870</v>
      </c>
      <c r="B4563" s="2" t="s">
        <v>1669</v>
      </c>
      <c r="C4563" s="1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  <c r="L4563" s="2" t="s">
        <v>11031</v>
      </c>
      <c r="M4563" s="2" t="s">
        <v>11030</v>
      </c>
      <c r="N4563" s="2" t="s">
        <v>11038</v>
      </c>
      <c r="O4563" s="2" t="s">
        <v>11035</v>
      </c>
      <c r="P4563" s="2" t="s">
        <v>11035</v>
      </c>
      <c r="Q4563" s="2">
        <f>AVERAGE(PerfRate[[#This Row],[EnvironmentSatisfaction]],PerfRate[[#This Row],[JobSatisfaction]],PerfRate[[#This Row],[RelationshipSatisfaction]])</f>
        <v>3</v>
      </c>
      <c r="R4563" s="2">
        <f>PerfRate[[#This Row],[ManagerRating]] - PerfRate[[#This Row],[SelfRating]]</f>
        <v>-1</v>
      </c>
    </row>
    <row r="4564" spans="1:18">
      <c r="A4564" s="2" t="s">
        <v>8871</v>
      </c>
      <c r="B4564" s="2" t="s">
        <v>1268</v>
      </c>
      <c r="C4564" s="1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  <c r="L4564" s="2" t="s">
        <v>11031</v>
      </c>
      <c r="M4564" s="2" t="s">
        <v>11031</v>
      </c>
      <c r="N4564" s="2" t="s">
        <v>11034</v>
      </c>
      <c r="O4564" s="2" t="s">
        <v>11034</v>
      </c>
      <c r="P4564" s="2" t="s">
        <v>11037</v>
      </c>
      <c r="Q4564" s="2">
        <f>AVERAGE(PerfRate[[#This Row],[EnvironmentSatisfaction]],PerfRate[[#This Row],[JobSatisfaction]],PerfRate[[#This Row],[RelationshipSatisfaction]])</f>
        <v>2</v>
      </c>
      <c r="R4564" s="2">
        <f>PerfRate[[#This Row],[ManagerRating]] - PerfRate[[#This Row],[SelfRating]]</f>
        <v>0</v>
      </c>
    </row>
    <row r="4565" spans="1:18">
      <c r="A4565" s="2" t="s">
        <v>8872</v>
      </c>
      <c r="B4565" s="2" t="s">
        <v>1462</v>
      </c>
      <c r="C4565" s="1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  <c r="L4565" s="2" t="s">
        <v>11030</v>
      </c>
      <c r="M4565" s="2" t="s">
        <v>11029</v>
      </c>
      <c r="N4565" s="2" t="s">
        <v>11036</v>
      </c>
      <c r="O4565" s="2" t="s">
        <v>11036</v>
      </c>
      <c r="P4565" s="2" t="s">
        <v>11035</v>
      </c>
      <c r="Q4565" s="2">
        <f>AVERAGE(PerfRate[[#This Row],[EnvironmentSatisfaction]],PerfRate[[#This Row],[JobSatisfaction]],PerfRate[[#This Row],[RelationshipSatisfaction]])</f>
        <v>2.6666666666666665</v>
      </c>
      <c r="R4565" s="2">
        <f>PerfRate[[#This Row],[ManagerRating]] - PerfRate[[#This Row],[SelfRating]]</f>
        <v>-1</v>
      </c>
    </row>
    <row r="4566" spans="1:18">
      <c r="A4566" s="2" t="s">
        <v>8873</v>
      </c>
      <c r="B4566" s="2" t="s">
        <v>1611</v>
      </c>
      <c r="C4566" s="1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  <c r="L4566" s="2" t="s">
        <v>11030</v>
      </c>
      <c r="M4566" s="2" t="s">
        <v>11030</v>
      </c>
      <c r="N4566" s="2" t="s">
        <v>11037</v>
      </c>
      <c r="O4566" s="2" t="s">
        <v>11037</v>
      </c>
      <c r="P4566" s="2" t="s">
        <v>11035</v>
      </c>
      <c r="Q4566" s="2">
        <f>AVERAGE(PerfRate[[#This Row],[EnvironmentSatisfaction]],PerfRate[[#This Row],[JobSatisfaction]],PerfRate[[#This Row],[RelationshipSatisfaction]])</f>
        <v>3.3333333333333335</v>
      </c>
      <c r="R4566" s="2">
        <f>PerfRate[[#This Row],[ManagerRating]] - PerfRate[[#This Row],[SelfRating]]</f>
        <v>0</v>
      </c>
    </row>
    <row r="4567" spans="1:18">
      <c r="A4567" s="2" t="s">
        <v>8874</v>
      </c>
      <c r="B4567" s="2" t="s">
        <v>1903</v>
      </c>
      <c r="C4567" s="1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  <c r="L4567" s="2" t="s">
        <v>11030</v>
      </c>
      <c r="M4567" s="2" t="s">
        <v>11029</v>
      </c>
      <c r="N4567" s="2" t="s">
        <v>11036</v>
      </c>
      <c r="O4567" s="2" t="s">
        <v>11034</v>
      </c>
      <c r="P4567" s="2" t="s">
        <v>11037</v>
      </c>
      <c r="Q4567" s="2">
        <f>AVERAGE(PerfRate[[#This Row],[EnvironmentSatisfaction]],PerfRate[[#This Row],[JobSatisfaction]],PerfRate[[#This Row],[RelationshipSatisfaction]])</f>
        <v>2.6666666666666665</v>
      </c>
      <c r="R4567" s="2">
        <f>PerfRate[[#This Row],[ManagerRating]] - PerfRate[[#This Row],[SelfRating]]</f>
        <v>-1</v>
      </c>
    </row>
    <row r="4568" spans="1:18">
      <c r="A4568" s="2" t="s">
        <v>8875</v>
      </c>
      <c r="B4568" s="2" t="s">
        <v>3531</v>
      </c>
      <c r="C4568" s="1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  <c r="L4568" s="2" t="s">
        <v>11030</v>
      </c>
      <c r="M4568" s="2" t="s">
        <v>11030</v>
      </c>
      <c r="N4568" s="2" t="s">
        <v>11036</v>
      </c>
      <c r="O4568" s="2" t="s">
        <v>11037</v>
      </c>
      <c r="P4568" s="2" t="s">
        <v>11035</v>
      </c>
      <c r="Q4568" s="2">
        <f>AVERAGE(PerfRate[[#This Row],[EnvironmentSatisfaction]],PerfRate[[#This Row],[JobSatisfaction]],PerfRate[[#This Row],[RelationshipSatisfaction]])</f>
        <v>3</v>
      </c>
      <c r="R4568" s="2">
        <f>PerfRate[[#This Row],[ManagerRating]] - PerfRate[[#This Row],[SelfRating]]</f>
        <v>0</v>
      </c>
    </row>
    <row r="4569" spans="1:18">
      <c r="A4569" s="2" t="s">
        <v>8876</v>
      </c>
      <c r="B4569" s="2" t="s">
        <v>263</v>
      </c>
      <c r="C4569" s="1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  <c r="L4569" s="2" t="s">
        <v>11029</v>
      </c>
      <c r="M4569" s="2" t="s">
        <v>11029</v>
      </c>
      <c r="N4569" s="2" t="s">
        <v>11038</v>
      </c>
      <c r="O4569" s="2" t="s">
        <v>11038</v>
      </c>
      <c r="P4569" s="2" t="s">
        <v>11036</v>
      </c>
      <c r="Q4569" s="2">
        <f>AVERAGE(PerfRate[[#This Row],[EnvironmentSatisfaction]],PerfRate[[#This Row],[JobSatisfaction]],PerfRate[[#This Row],[RelationshipSatisfaction]])</f>
        <v>4.333333333333333</v>
      </c>
      <c r="R4569" s="2">
        <f>PerfRate[[#This Row],[ManagerRating]] - PerfRate[[#This Row],[SelfRating]]</f>
        <v>0</v>
      </c>
    </row>
    <row r="4570" spans="1:18">
      <c r="A4570" s="2" t="s">
        <v>8877</v>
      </c>
      <c r="B4570" s="2" t="s">
        <v>880</v>
      </c>
      <c r="C4570" s="1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  <c r="L4570" s="2" t="s">
        <v>11029</v>
      </c>
      <c r="M4570" s="2" t="s">
        <v>11029</v>
      </c>
      <c r="N4570" s="2" t="s">
        <v>11038</v>
      </c>
      <c r="O4570" s="2" t="s">
        <v>11037</v>
      </c>
      <c r="P4570" s="2" t="s">
        <v>11037</v>
      </c>
      <c r="Q4570" s="2">
        <f>AVERAGE(PerfRate[[#This Row],[EnvironmentSatisfaction]],PerfRate[[#This Row],[JobSatisfaction]],PerfRate[[#This Row],[RelationshipSatisfaction]])</f>
        <v>4.333333333333333</v>
      </c>
      <c r="R4570" s="2">
        <f>PerfRate[[#This Row],[ManagerRating]] - PerfRate[[#This Row],[SelfRating]]</f>
        <v>0</v>
      </c>
    </row>
    <row r="4571" spans="1:18">
      <c r="A4571" s="2" t="s">
        <v>8878</v>
      </c>
      <c r="B4571" s="2" t="s">
        <v>1261</v>
      </c>
      <c r="C4571" s="1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  <c r="L4571" s="2" t="s">
        <v>11029</v>
      </c>
      <c r="M4571" s="2" t="s">
        <v>11028</v>
      </c>
      <c r="N4571" s="2" t="s">
        <v>11036</v>
      </c>
      <c r="O4571" s="2" t="s">
        <v>11038</v>
      </c>
      <c r="P4571" s="2" t="s">
        <v>11038</v>
      </c>
      <c r="Q4571" s="2">
        <f>AVERAGE(PerfRate[[#This Row],[EnvironmentSatisfaction]],PerfRate[[#This Row],[JobSatisfaction]],PerfRate[[#This Row],[RelationshipSatisfaction]])</f>
        <v>4.333333333333333</v>
      </c>
      <c r="R4571" s="2">
        <f>PerfRate[[#This Row],[ManagerRating]] - PerfRate[[#This Row],[SelfRating]]</f>
        <v>-1</v>
      </c>
    </row>
    <row r="4572" spans="1:18">
      <c r="A4572" s="2" t="s">
        <v>8879</v>
      </c>
      <c r="B4572" s="2" t="s">
        <v>2630</v>
      </c>
      <c r="C4572" s="1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  <c r="L4572" s="2" t="s">
        <v>11029</v>
      </c>
      <c r="M4572" s="2" t="s">
        <v>11028</v>
      </c>
      <c r="N4572" s="2" t="s">
        <v>11037</v>
      </c>
      <c r="O4572" s="2" t="s">
        <v>11035</v>
      </c>
      <c r="P4572" s="2" t="s">
        <v>11036</v>
      </c>
      <c r="Q4572" s="2">
        <f>AVERAGE(PerfRate[[#This Row],[EnvironmentSatisfaction]],PerfRate[[#This Row],[JobSatisfaction]],PerfRate[[#This Row],[RelationshipSatisfaction]])</f>
        <v>3</v>
      </c>
      <c r="R4572" s="2">
        <f>PerfRate[[#This Row],[ManagerRating]] - PerfRate[[#This Row],[SelfRating]]</f>
        <v>-1</v>
      </c>
    </row>
    <row r="4573" spans="1:18">
      <c r="A4573" s="2" t="s">
        <v>8880</v>
      </c>
      <c r="B4573" s="2" t="s">
        <v>2803</v>
      </c>
      <c r="C4573" s="1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  <c r="L4573" s="2" t="s">
        <v>11029</v>
      </c>
      <c r="M4573" s="2" t="s">
        <v>11029</v>
      </c>
      <c r="N4573" s="2" t="s">
        <v>11037</v>
      </c>
      <c r="O4573" s="2" t="s">
        <v>11037</v>
      </c>
      <c r="P4573" s="2" t="s">
        <v>11038</v>
      </c>
      <c r="Q4573" s="2">
        <f>AVERAGE(PerfRate[[#This Row],[EnvironmentSatisfaction]],PerfRate[[#This Row],[JobSatisfaction]],PerfRate[[#This Row],[RelationshipSatisfaction]])</f>
        <v>4.333333333333333</v>
      </c>
      <c r="R4573" s="2">
        <f>PerfRate[[#This Row],[ManagerRating]] - PerfRate[[#This Row],[SelfRating]]</f>
        <v>0</v>
      </c>
    </row>
    <row r="4574" spans="1:18">
      <c r="A4574" s="2" t="s">
        <v>8881</v>
      </c>
      <c r="B4574" s="2" t="s">
        <v>1195</v>
      </c>
      <c r="C4574" s="1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  <c r="L4574" s="2" t="s">
        <v>11029</v>
      </c>
      <c r="M4574" s="2" t="s">
        <v>11029</v>
      </c>
      <c r="N4574" s="2" t="s">
        <v>11038</v>
      </c>
      <c r="O4574" s="2" t="s">
        <v>11037</v>
      </c>
      <c r="P4574" s="2" t="s">
        <v>11035</v>
      </c>
      <c r="Q4574" s="2">
        <f>AVERAGE(PerfRate[[#This Row],[EnvironmentSatisfaction]],PerfRate[[#This Row],[JobSatisfaction]],PerfRate[[#This Row],[RelationshipSatisfaction]])</f>
        <v>3.6666666666666665</v>
      </c>
      <c r="R4574" s="2">
        <f>PerfRate[[#This Row],[ManagerRating]] - PerfRate[[#This Row],[SelfRating]]</f>
        <v>0</v>
      </c>
    </row>
    <row r="4575" spans="1:18">
      <c r="A4575" s="2" t="s">
        <v>8882</v>
      </c>
      <c r="B4575" s="2" t="s">
        <v>2310</v>
      </c>
      <c r="C4575" s="1">
        <v>44203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  <c r="L4575" s="2" t="s">
        <v>11031</v>
      </c>
      <c r="M4575" s="2" t="s">
        <v>11030</v>
      </c>
      <c r="N4575" s="2" t="s">
        <v>11037</v>
      </c>
      <c r="O4575" s="2" t="s">
        <v>11037</v>
      </c>
      <c r="P4575" s="2" t="s">
        <v>11036</v>
      </c>
      <c r="Q4575" s="2">
        <f>AVERAGE(PerfRate[[#This Row],[EnvironmentSatisfaction]],PerfRate[[#This Row],[JobSatisfaction]],PerfRate[[#This Row],[RelationshipSatisfaction]])</f>
        <v>3.6666666666666665</v>
      </c>
      <c r="R4575" s="2">
        <f>PerfRate[[#This Row],[ManagerRating]] - PerfRate[[#This Row],[SelfRating]]</f>
        <v>-1</v>
      </c>
    </row>
    <row r="4576" spans="1:18">
      <c r="A4576" s="2" t="s">
        <v>8883</v>
      </c>
      <c r="B4576" s="2" t="s">
        <v>467</v>
      </c>
      <c r="C4576" s="1">
        <v>44234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  <c r="L4576" s="2" t="s">
        <v>11030</v>
      </c>
      <c r="M4576" s="2" t="s">
        <v>11030</v>
      </c>
      <c r="N4576" s="2" t="s">
        <v>11037</v>
      </c>
      <c r="O4576" s="2" t="s">
        <v>11038</v>
      </c>
      <c r="P4576" s="2" t="s">
        <v>11036</v>
      </c>
      <c r="Q4576" s="2">
        <f>AVERAGE(PerfRate[[#This Row],[EnvironmentSatisfaction]],PerfRate[[#This Row],[JobSatisfaction]],PerfRate[[#This Row],[RelationshipSatisfaction]])</f>
        <v>4</v>
      </c>
      <c r="R4576" s="2">
        <f>PerfRate[[#This Row],[ManagerRating]] - PerfRate[[#This Row],[SelfRating]]</f>
        <v>0</v>
      </c>
    </row>
    <row r="4577" spans="1:18">
      <c r="A4577" s="2" t="s">
        <v>8884</v>
      </c>
      <c r="B4577" s="2" t="s">
        <v>1859</v>
      </c>
      <c r="C4577" s="1">
        <v>44262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  <c r="L4577" s="2" t="s">
        <v>11031</v>
      </c>
      <c r="M4577" s="2" t="s">
        <v>11030</v>
      </c>
      <c r="N4577" s="2" t="s">
        <v>11038</v>
      </c>
      <c r="O4577" s="2" t="s">
        <v>11037</v>
      </c>
      <c r="P4577" s="2" t="s">
        <v>11036</v>
      </c>
      <c r="Q4577" s="2">
        <f>AVERAGE(PerfRate[[#This Row],[EnvironmentSatisfaction]],PerfRate[[#This Row],[JobSatisfaction]],PerfRate[[#This Row],[RelationshipSatisfaction]])</f>
        <v>4</v>
      </c>
      <c r="R4577" s="2">
        <f>PerfRate[[#This Row],[ManagerRating]] - PerfRate[[#This Row],[SelfRating]]</f>
        <v>-1</v>
      </c>
    </row>
    <row r="4578" spans="1:18">
      <c r="A4578" s="2" t="s">
        <v>8885</v>
      </c>
      <c r="B4578" s="2" t="s">
        <v>2091</v>
      </c>
      <c r="C4578" s="1">
        <v>44262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  <c r="L4578" s="2" t="s">
        <v>11029</v>
      </c>
      <c r="M4578" s="2" t="s">
        <v>11028</v>
      </c>
      <c r="N4578" s="2" t="s">
        <v>11037</v>
      </c>
      <c r="O4578" s="2" t="s">
        <v>11035</v>
      </c>
      <c r="P4578" s="2" t="s">
        <v>11038</v>
      </c>
      <c r="Q4578" s="2">
        <f>AVERAGE(PerfRate[[#This Row],[EnvironmentSatisfaction]],PerfRate[[#This Row],[JobSatisfaction]],PerfRate[[#This Row],[RelationshipSatisfaction]])</f>
        <v>3.6666666666666665</v>
      </c>
      <c r="R4578" s="2">
        <f>PerfRate[[#This Row],[ManagerRating]] - PerfRate[[#This Row],[SelfRating]]</f>
        <v>-1</v>
      </c>
    </row>
    <row r="4579" spans="1:18">
      <c r="A4579" s="2" t="s">
        <v>8886</v>
      </c>
      <c r="B4579" s="2" t="s">
        <v>505</v>
      </c>
      <c r="C4579" s="1">
        <v>44293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  <c r="L4579" s="2" t="s">
        <v>11029</v>
      </c>
      <c r="M4579" s="2" t="s">
        <v>11029</v>
      </c>
      <c r="N4579" s="2" t="s">
        <v>11036</v>
      </c>
      <c r="O4579" s="2" t="s">
        <v>11038</v>
      </c>
      <c r="P4579" s="2" t="s">
        <v>11038</v>
      </c>
      <c r="Q4579" s="2">
        <f>AVERAGE(PerfRate[[#This Row],[EnvironmentSatisfaction]],PerfRate[[#This Row],[JobSatisfaction]],PerfRate[[#This Row],[RelationshipSatisfaction]])</f>
        <v>4.333333333333333</v>
      </c>
      <c r="R4579" s="2">
        <f>PerfRate[[#This Row],[ManagerRating]] - PerfRate[[#This Row],[SelfRating]]</f>
        <v>0</v>
      </c>
    </row>
    <row r="4580" spans="1:18">
      <c r="A4580" s="2" t="s">
        <v>8887</v>
      </c>
      <c r="B4580" s="2" t="s">
        <v>1761</v>
      </c>
      <c r="C4580" s="1">
        <v>44293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  <c r="L4580" s="2" t="s">
        <v>11030</v>
      </c>
      <c r="M4580" s="2" t="s">
        <v>11029</v>
      </c>
      <c r="N4580" s="2" t="s">
        <v>11038</v>
      </c>
      <c r="O4580" s="2" t="s">
        <v>11035</v>
      </c>
      <c r="P4580" s="2" t="s">
        <v>11038</v>
      </c>
      <c r="Q4580" s="2">
        <f>AVERAGE(PerfRate[[#This Row],[EnvironmentSatisfaction]],PerfRate[[#This Row],[JobSatisfaction]],PerfRate[[#This Row],[RelationshipSatisfaction]])</f>
        <v>4</v>
      </c>
      <c r="R4580" s="2">
        <f>PerfRate[[#This Row],[ManagerRating]] - PerfRate[[#This Row],[SelfRating]]</f>
        <v>-1</v>
      </c>
    </row>
    <row r="4581" spans="1:18">
      <c r="A4581" s="2" t="s">
        <v>8888</v>
      </c>
      <c r="B4581" s="2" t="s">
        <v>2569</v>
      </c>
      <c r="C4581" s="1">
        <v>44293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  <c r="L4581" s="2" t="s">
        <v>11031</v>
      </c>
      <c r="M4581" s="2" t="s">
        <v>11031</v>
      </c>
      <c r="N4581" s="2" t="s">
        <v>11037</v>
      </c>
      <c r="O4581" s="2" t="s">
        <v>11036</v>
      </c>
      <c r="P4581" s="2" t="s">
        <v>11036</v>
      </c>
      <c r="Q4581" s="2">
        <f>AVERAGE(PerfRate[[#This Row],[EnvironmentSatisfaction]],PerfRate[[#This Row],[JobSatisfaction]],PerfRate[[#This Row],[RelationshipSatisfaction]])</f>
        <v>3.3333333333333335</v>
      </c>
      <c r="R4581" s="2">
        <f>PerfRate[[#This Row],[ManagerRating]] - PerfRate[[#This Row],[SelfRating]]</f>
        <v>0</v>
      </c>
    </row>
    <row r="4582" spans="1:18">
      <c r="A4582" s="2" t="s">
        <v>8889</v>
      </c>
      <c r="B4582" s="2" t="s">
        <v>2938</v>
      </c>
      <c r="C4582" s="1">
        <v>44293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  <c r="L4582" s="2" t="s">
        <v>11031</v>
      </c>
      <c r="M4582" s="2" t="s">
        <v>11031</v>
      </c>
      <c r="N4582" s="2" t="s">
        <v>11037</v>
      </c>
      <c r="O4582" s="2" t="s">
        <v>11038</v>
      </c>
      <c r="P4582" s="2" t="s">
        <v>11036</v>
      </c>
      <c r="Q4582" s="2">
        <f>AVERAGE(PerfRate[[#This Row],[EnvironmentSatisfaction]],PerfRate[[#This Row],[JobSatisfaction]],PerfRate[[#This Row],[RelationshipSatisfaction]])</f>
        <v>4</v>
      </c>
      <c r="R4582" s="2">
        <f>PerfRate[[#This Row],[ManagerRating]] - PerfRate[[#This Row],[SelfRating]]</f>
        <v>0</v>
      </c>
    </row>
    <row r="4583" spans="1:18">
      <c r="A4583" s="2" t="s">
        <v>8890</v>
      </c>
      <c r="B4583" s="2" t="s">
        <v>2742</v>
      </c>
      <c r="C4583" s="1">
        <v>44293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  <c r="L4583" s="2" t="s">
        <v>11031</v>
      </c>
      <c r="M4583" s="2" t="s">
        <v>11030</v>
      </c>
      <c r="N4583" s="2" t="s">
        <v>11038</v>
      </c>
      <c r="O4583" s="2" t="s">
        <v>11035</v>
      </c>
      <c r="P4583" s="2" t="s">
        <v>11037</v>
      </c>
      <c r="Q4583" s="2">
        <f>AVERAGE(PerfRate[[#This Row],[EnvironmentSatisfaction]],PerfRate[[#This Row],[JobSatisfaction]],PerfRate[[#This Row],[RelationshipSatisfaction]])</f>
        <v>3.6666666666666665</v>
      </c>
      <c r="R4583" s="2">
        <f>PerfRate[[#This Row],[ManagerRating]] - PerfRate[[#This Row],[SelfRating]]</f>
        <v>-1</v>
      </c>
    </row>
    <row r="4584" spans="1:18">
      <c r="A4584" s="2" t="s">
        <v>8891</v>
      </c>
      <c r="B4584" s="2" t="s">
        <v>179</v>
      </c>
      <c r="C4584" s="1">
        <v>44323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  <c r="L4584" s="2" t="s">
        <v>11031</v>
      </c>
      <c r="M4584" s="2" t="s">
        <v>11030</v>
      </c>
      <c r="N4584" s="2" t="s">
        <v>11037</v>
      </c>
      <c r="O4584" s="2" t="s">
        <v>11038</v>
      </c>
      <c r="P4584" s="2" t="s">
        <v>11035</v>
      </c>
      <c r="Q4584" s="2">
        <f>AVERAGE(PerfRate[[#This Row],[EnvironmentSatisfaction]],PerfRate[[#This Row],[JobSatisfaction]],PerfRate[[#This Row],[RelationshipSatisfaction]])</f>
        <v>3.6666666666666665</v>
      </c>
      <c r="R4584" s="2">
        <f>PerfRate[[#This Row],[ManagerRating]] - PerfRate[[#This Row],[SelfRating]]</f>
        <v>-1</v>
      </c>
    </row>
    <row r="4585" spans="1:18">
      <c r="A4585" s="2" t="s">
        <v>8892</v>
      </c>
      <c r="B4585" s="2" t="s">
        <v>98</v>
      </c>
      <c r="C4585" s="1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  <c r="L4585" s="2" t="s">
        <v>11029</v>
      </c>
      <c r="M4585" s="2" t="s">
        <v>11028</v>
      </c>
      <c r="N4585" s="2" t="s">
        <v>11037</v>
      </c>
      <c r="O4585" s="2" t="s">
        <v>11035</v>
      </c>
      <c r="P4585" s="2" t="s">
        <v>11035</v>
      </c>
      <c r="Q4585" s="2">
        <f>AVERAGE(PerfRate[[#This Row],[EnvironmentSatisfaction]],PerfRate[[#This Row],[JobSatisfaction]],PerfRate[[#This Row],[RelationshipSatisfaction]])</f>
        <v>2.6666666666666665</v>
      </c>
      <c r="R4585" s="2">
        <f>PerfRate[[#This Row],[ManagerRating]] - PerfRate[[#This Row],[SelfRating]]</f>
        <v>-1</v>
      </c>
    </row>
    <row r="4586" spans="1:18">
      <c r="A4586" s="2" t="s">
        <v>8893</v>
      </c>
      <c r="B4586" s="2" t="s">
        <v>1839</v>
      </c>
      <c r="C4586" s="1">
        <v>44323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  <c r="L4586" s="2" t="s">
        <v>11031</v>
      </c>
      <c r="M4586" s="2" t="s">
        <v>11031</v>
      </c>
      <c r="N4586" s="2" t="s">
        <v>11037</v>
      </c>
      <c r="O4586" s="2" t="s">
        <v>11035</v>
      </c>
      <c r="P4586" s="2" t="s">
        <v>11035</v>
      </c>
      <c r="Q4586" s="2">
        <f>AVERAGE(PerfRate[[#This Row],[EnvironmentSatisfaction]],PerfRate[[#This Row],[JobSatisfaction]],PerfRate[[#This Row],[RelationshipSatisfaction]])</f>
        <v>2.6666666666666665</v>
      </c>
      <c r="R4586" s="2">
        <f>PerfRate[[#This Row],[ManagerRating]] - PerfRate[[#This Row],[SelfRating]]</f>
        <v>0</v>
      </c>
    </row>
    <row r="4587" spans="1:18">
      <c r="A4587" s="2" t="s">
        <v>8894</v>
      </c>
      <c r="B4587" s="2" t="s">
        <v>2870</v>
      </c>
      <c r="C4587" s="1">
        <v>44323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  <c r="L4587" s="2" t="s">
        <v>11031</v>
      </c>
      <c r="M4587" s="2" t="s">
        <v>11030</v>
      </c>
      <c r="N4587" s="2" t="s">
        <v>11036</v>
      </c>
      <c r="O4587" s="2" t="s">
        <v>11036</v>
      </c>
      <c r="P4587" s="2" t="s">
        <v>11037</v>
      </c>
      <c r="Q4587" s="2">
        <f>AVERAGE(PerfRate[[#This Row],[EnvironmentSatisfaction]],PerfRate[[#This Row],[JobSatisfaction]],PerfRate[[#This Row],[RelationshipSatisfaction]])</f>
        <v>3.3333333333333335</v>
      </c>
      <c r="R4587" s="2">
        <f>PerfRate[[#This Row],[ManagerRating]] - PerfRate[[#This Row],[SelfRating]]</f>
        <v>-1</v>
      </c>
    </row>
    <row r="4588" spans="1:18">
      <c r="A4588" s="2" t="s">
        <v>8895</v>
      </c>
      <c r="B4588" s="2" t="s">
        <v>3549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  <c r="L4588" s="2" t="s">
        <v>11030</v>
      </c>
      <c r="M4588" s="2" t="s">
        <v>11030</v>
      </c>
      <c r="N4588" s="2" t="s">
        <v>11038</v>
      </c>
      <c r="O4588" s="2" t="s">
        <v>11035</v>
      </c>
      <c r="P4588" s="2" t="s">
        <v>11038</v>
      </c>
      <c r="Q4588" s="2">
        <f>AVERAGE(PerfRate[[#This Row],[EnvironmentSatisfaction]],PerfRate[[#This Row],[JobSatisfaction]],PerfRate[[#This Row],[RelationshipSatisfaction]])</f>
        <v>4</v>
      </c>
      <c r="R4588" s="2">
        <f>PerfRate[[#This Row],[ManagerRating]] - PerfRate[[#This Row],[SelfRating]]</f>
        <v>0</v>
      </c>
    </row>
    <row r="4589" spans="1:18">
      <c r="A4589" s="2" t="s">
        <v>8896</v>
      </c>
      <c r="B4589" s="2" t="s">
        <v>541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  <c r="L4589" s="2" t="s">
        <v>11031</v>
      </c>
      <c r="M4589" s="2" t="s">
        <v>11030</v>
      </c>
      <c r="N4589" s="2" t="s">
        <v>11036</v>
      </c>
      <c r="O4589" s="2" t="s">
        <v>11035</v>
      </c>
      <c r="P4589" s="2" t="s">
        <v>11037</v>
      </c>
      <c r="Q4589" s="2">
        <f>AVERAGE(PerfRate[[#This Row],[EnvironmentSatisfaction]],PerfRate[[#This Row],[JobSatisfaction]],PerfRate[[#This Row],[RelationshipSatisfaction]])</f>
        <v>3</v>
      </c>
      <c r="R4589" s="2">
        <f>PerfRate[[#This Row],[ManagerRating]] - PerfRate[[#This Row],[SelfRating]]</f>
        <v>-1</v>
      </c>
    </row>
    <row r="4590" spans="1:18">
      <c r="A4590" s="2" t="s">
        <v>8897</v>
      </c>
      <c r="B4590" s="2" t="s">
        <v>1794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  <c r="L4590" s="2" t="s">
        <v>11031</v>
      </c>
      <c r="M4590" s="2" t="s">
        <v>11030</v>
      </c>
      <c r="N4590" s="2" t="s">
        <v>11038</v>
      </c>
      <c r="O4590" s="2" t="s">
        <v>11035</v>
      </c>
      <c r="P4590" s="2" t="s">
        <v>11037</v>
      </c>
      <c r="Q4590" s="2">
        <f>AVERAGE(PerfRate[[#This Row],[EnvironmentSatisfaction]],PerfRate[[#This Row],[JobSatisfaction]],PerfRate[[#This Row],[RelationshipSatisfaction]])</f>
        <v>3.6666666666666665</v>
      </c>
      <c r="R4590" s="2">
        <f>PerfRate[[#This Row],[ManagerRating]] - PerfRate[[#This Row],[SelfRating]]</f>
        <v>-1</v>
      </c>
    </row>
    <row r="4591" spans="1:18">
      <c r="A4591" s="2" t="s">
        <v>8898</v>
      </c>
      <c r="B4591" s="2" t="s">
        <v>232</v>
      </c>
      <c r="C4591" s="1">
        <v>44415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  <c r="L4591" s="2" t="s">
        <v>11029</v>
      </c>
      <c r="M4591" s="2" t="s">
        <v>11029</v>
      </c>
      <c r="N4591" s="2" t="s">
        <v>11037</v>
      </c>
      <c r="O4591" s="2" t="s">
        <v>11035</v>
      </c>
      <c r="P4591" s="2" t="s">
        <v>11038</v>
      </c>
      <c r="Q4591" s="2">
        <f>AVERAGE(PerfRate[[#This Row],[EnvironmentSatisfaction]],PerfRate[[#This Row],[JobSatisfaction]],PerfRate[[#This Row],[RelationshipSatisfaction]])</f>
        <v>3.6666666666666665</v>
      </c>
      <c r="R4591" s="2">
        <f>PerfRate[[#This Row],[ManagerRating]] - PerfRate[[#This Row],[SelfRating]]</f>
        <v>0</v>
      </c>
    </row>
    <row r="4592" spans="1:18">
      <c r="A4592" s="2" t="s">
        <v>8899</v>
      </c>
      <c r="B4592" s="2" t="s">
        <v>473</v>
      </c>
      <c r="C4592" s="1">
        <v>44415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  <c r="L4592" s="2" t="s">
        <v>11031</v>
      </c>
      <c r="M4592" s="2" t="s">
        <v>11030</v>
      </c>
      <c r="N4592" s="2" t="s">
        <v>11037</v>
      </c>
      <c r="O4592" s="2" t="s">
        <v>11036</v>
      </c>
      <c r="P4592" s="2" t="s">
        <v>11035</v>
      </c>
      <c r="Q4592" s="2">
        <f>AVERAGE(PerfRate[[#This Row],[EnvironmentSatisfaction]],PerfRate[[#This Row],[JobSatisfaction]],PerfRate[[#This Row],[RelationshipSatisfaction]])</f>
        <v>3</v>
      </c>
      <c r="R4592" s="2">
        <f>PerfRate[[#This Row],[ManagerRating]] - PerfRate[[#This Row],[SelfRating]]</f>
        <v>-1</v>
      </c>
    </row>
    <row r="4593" spans="1:18">
      <c r="A4593" s="2" t="s">
        <v>8900</v>
      </c>
      <c r="B4593" s="2" t="s">
        <v>1258</v>
      </c>
      <c r="C4593" s="1">
        <v>44415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  <c r="L4593" s="2" t="s">
        <v>11031</v>
      </c>
      <c r="M4593" s="2" t="s">
        <v>11030</v>
      </c>
      <c r="N4593" s="2" t="s">
        <v>11036</v>
      </c>
      <c r="O4593" s="2" t="s">
        <v>11036</v>
      </c>
      <c r="P4593" s="2" t="s">
        <v>11035</v>
      </c>
      <c r="Q4593" s="2">
        <f>AVERAGE(PerfRate[[#This Row],[EnvironmentSatisfaction]],PerfRate[[#This Row],[JobSatisfaction]],PerfRate[[#This Row],[RelationshipSatisfaction]])</f>
        <v>2.6666666666666665</v>
      </c>
      <c r="R4593" s="2">
        <f>PerfRate[[#This Row],[ManagerRating]] - PerfRate[[#This Row],[SelfRating]]</f>
        <v>-1</v>
      </c>
    </row>
    <row r="4594" spans="1:18">
      <c r="A4594" s="2" t="s">
        <v>8901</v>
      </c>
      <c r="B4594" s="2" t="s">
        <v>1021</v>
      </c>
      <c r="C4594" s="1">
        <v>44415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  <c r="L4594" s="2" t="s">
        <v>11029</v>
      </c>
      <c r="M4594" s="2" t="s">
        <v>11029</v>
      </c>
      <c r="N4594" s="2" t="s">
        <v>11038</v>
      </c>
      <c r="O4594" s="2" t="s">
        <v>11038</v>
      </c>
      <c r="P4594" s="2" t="s">
        <v>11038</v>
      </c>
      <c r="Q4594" s="2">
        <f>AVERAGE(PerfRate[[#This Row],[EnvironmentSatisfaction]],PerfRate[[#This Row],[JobSatisfaction]],PerfRate[[#This Row],[RelationshipSatisfaction]])</f>
        <v>5</v>
      </c>
      <c r="R4594" s="2">
        <f>PerfRate[[#This Row],[ManagerRating]] - PerfRate[[#This Row],[SelfRating]]</f>
        <v>0</v>
      </c>
    </row>
    <row r="4595" spans="1:18">
      <c r="A4595" s="2" t="s">
        <v>8902</v>
      </c>
      <c r="B4595" s="2" t="s">
        <v>2231</v>
      </c>
      <c r="C4595" s="1">
        <v>44415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  <c r="L4595" s="2" t="s">
        <v>11031</v>
      </c>
      <c r="M4595" s="2" t="s">
        <v>11030</v>
      </c>
      <c r="N4595" s="2" t="s">
        <v>11036</v>
      </c>
      <c r="O4595" s="2" t="s">
        <v>11036</v>
      </c>
      <c r="P4595" s="2" t="s">
        <v>11035</v>
      </c>
      <c r="Q4595" s="2">
        <f>AVERAGE(PerfRate[[#This Row],[EnvironmentSatisfaction]],PerfRate[[#This Row],[JobSatisfaction]],PerfRate[[#This Row],[RelationshipSatisfaction]])</f>
        <v>2.6666666666666665</v>
      </c>
      <c r="R4595" s="2">
        <f>PerfRate[[#This Row],[ManagerRating]] - PerfRate[[#This Row],[SelfRating]]</f>
        <v>-1</v>
      </c>
    </row>
    <row r="4596" spans="1:18">
      <c r="A4596" s="2" t="s">
        <v>8903</v>
      </c>
      <c r="B4596" s="2" t="s">
        <v>102</v>
      </c>
      <c r="C4596" s="1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  <c r="L4596" s="2" t="s">
        <v>11030</v>
      </c>
      <c r="M4596" s="2" t="s">
        <v>11029</v>
      </c>
      <c r="N4596" s="2" t="s">
        <v>11038</v>
      </c>
      <c r="O4596" s="2" t="s">
        <v>11038</v>
      </c>
      <c r="P4596" s="2" t="s">
        <v>11037</v>
      </c>
      <c r="Q4596" s="2">
        <f>AVERAGE(PerfRate[[#This Row],[EnvironmentSatisfaction]],PerfRate[[#This Row],[JobSatisfaction]],PerfRate[[#This Row],[RelationshipSatisfaction]])</f>
        <v>4.666666666666667</v>
      </c>
      <c r="R4596" s="2">
        <f>PerfRate[[#This Row],[ManagerRating]] - PerfRate[[#This Row],[SelfRating]]</f>
        <v>-1</v>
      </c>
    </row>
    <row r="4597" spans="1:18">
      <c r="A4597" s="2" t="s">
        <v>8904</v>
      </c>
      <c r="B4597" s="2" t="s">
        <v>3048</v>
      </c>
      <c r="C4597" s="1">
        <v>44415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  <c r="L4597" s="2" t="s">
        <v>11029</v>
      </c>
      <c r="M4597" s="2" t="s">
        <v>11028</v>
      </c>
      <c r="N4597" s="2" t="s">
        <v>11036</v>
      </c>
      <c r="O4597" s="2" t="s">
        <v>11036</v>
      </c>
      <c r="P4597" s="2" t="s">
        <v>11038</v>
      </c>
      <c r="Q4597" s="2">
        <f>AVERAGE(PerfRate[[#This Row],[EnvironmentSatisfaction]],PerfRate[[#This Row],[JobSatisfaction]],PerfRate[[#This Row],[RelationshipSatisfaction]])</f>
        <v>3.6666666666666665</v>
      </c>
      <c r="R4597" s="2">
        <f>PerfRate[[#This Row],[ManagerRating]] - PerfRate[[#This Row],[SelfRating]]</f>
        <v>-1</v>
      </c>
    </row>
    <row r="4598" spans="1:18">
      <c r="A4598" s="2" t="s">
        <v>8905</v>
      </c>
      <c r="B4598" s="2" t="s">
        <v>2757</v>
      </c>
      <c r="C4598" s="1">
        <v>44446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  <c r="L4598" s="2" t="s">
        <v>11029</v>
      </c>
      <c r="M4598" s="2" t="s">
        <v>11028</v>
      </c>
      <c r="N4598" s="2" t="s">
        <v>11036</v>
      </c>
      <c r="O4598" s="2" t="s">
        <v>11038</v>
      </c>
      <c r="P4598" s="2" t="s">
        <v>11037</v>
      </c>
      <c r="Q4598" s="2">
        <f>AVERAGE(PerfRate[[#This Row],[EnvironmentSatisfaction]],PerfRate[[#This Row],[JobSatisfaction]],PerfRate[[#This Row],[RelationshipSatisfaction]])</f>
        <v>4</v>
      </c>
      <c r="R4598" s="2">
        <f>PerfRate[[#This Row],[ManagerRating]] - PerfRate[[#This Row],[SelfRating]]</f>
        <v>-1</v>
      </c>
    </row>
    <row r="4599" spans="1:18">
      <c r="A4599" s="2" t="s">
        <v>8906</v>
      </c>
      <c r="B4599" s="2" t="s">
        <v>269</v>
      </c>
      <c r="C4599" s="1">
        <v>44446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  <c r="L4599" s="2" t="s">
        <v>11031</v>
      </c>
      <c r="M4599" s="2" t="s">
        <v>11030</v>
      </c>
      <c r="N4599" s="2" t="s">
        <v>11038</v>
      </c>
      <c r="O4599" s="2" t="s">
        <v>11035</v>
      </c>
      <c r="P4599" s="2" t="s">
        <v>11038</v>
      </c>
      <c r="Q4599" s="2">
        <f>AVERAGE(PerfRate[[#This Row],[EnvironmentSatisfaction]],PerfRate[[#This Row],[JobSatisfaction]],PerfRate[[#This Row],[RelationshipSatisfaction]])</f>
        <v>4</v>
      </c>
      <c r="R4599" s="2">
        <f>PerfRate[[#This Row],[ManagerRating]] - PerfRate[[#This Row],[SelfRating]]</f>
        <v>-1</v>
      </c>
    </row>
    <row r="4600" spans="1:18">
      <c r="A4600" s="2" t="s">
        <v>8907</v>
      </c>
      <c r="B4600" s="2" t="s">
        <v>643</v>
      </c>
      <c r="C4600" s="1">
        <v>44446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  <c r="L4600" s="2" t="s">
        <v>11029</v>
      </c>
      <c r="M4600" s="2" t="s">
        <v>11028</v>
      </c>
      <c r="N4600" s="2" t="s">
        <v>11036</v>
      </c>
      <c r="O4600" s="2" t="s">
        <v>11037</v>
      </c>
      <c r="P4600" s="2" t="s">
        <v>11037</v>
      </c>
      <c r="Q4600" s="2">
        <f>AVERAGE(PerfRate[[#This Row],[EnvironmentSatisfaction]],PerfRate[[#This Row],[JobSatisfaction]],PerfRate[[#This Row],[RelationshipSatisfaction]])</f>
        <v>3.6666666666666665</v>
      </c>
      <c r="R4600" s="2">
        <f>PerfRate[[#This Row],[ManagerRating]] - PerfRate[[#This Row],[SelfRating]]</f>
        <v>-1</v>
      </c>
    </row>
    <row r="4601" spans="1:18">
      <c r="A4601" s="2" t="s">
        <v>8908</v>
      </c>
      <c r="B4601" s="2" t="s">
        <v>1403</v>
      </c>
      <c r="C4601" s="1">
        <v>44446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  <c r="L4601" s="2" t="s">
        <v>11030</v>
      </c>
      <c r="M4601" s="2" t="s">
        <v>11029</v>
      </c>
      <c r="N4601" s="2" t="s">
        <v>11037</v>
      </c>
      <c r="O4601" s="2" t="s">
        <v>11037</v>
      </c>
      <c r="P4601" s="2" t="s">
        <v>11036</v>
      </c>
      <c r="Q4601" s="2">
        <f>AVERAGE(PerfRate[[#This Row],[EnvironmentSatisfaction]],PerfRate[[#This Row],[JobSatisfaction]],PerfRate[[#This Row],[RelationshipSatisfaction]])</f>
        <v>3.6666666666666665</v>
      </c>
      <c r="R4601" s="2">
        <f>PerfRate[[#This Row],[ManagerRating]] - PerfRate[[#This Row],[SelfRating]]</f>
        <v>-1</v>
      </c>
    </row>
    <row r="4602" spans="1:18">
      <c r="A4602" s="2" t="s">
        <v>8909</v>
      </c>
      <c r="B4602" s="2" t="s">
        <v>1555</v>
      </c>
      <c r="C4602" s="1">
        <v>44446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  <c r="L4602" s="2" t="s">
        <v>11030</v>
      </c>
      <c r="M4602" s="2" t="s">
        <v>11030</v>
      </c>
      <c r="N4602" s="2" t="s">
        <v>11037</v>
      </c>
      <c r="O4602" s="2" t="s">
        <v>11036</v>
      </c>
      <c r="P4602" s="2" t="s">
        <v>11037</v>
      </c>
      <c r="Q4602" s="2">
        <f>AVERAGE(PerfRate[[#This Row],[EnvironmentSatisfaction]],PerfRate[[#This Row],[JobSatisfaction]],PerfRate[[#This Row],[RelationshipSatisfaction]])</f>
        <v>3.6666666666666665</v>
      </c>
      <c r="R4602" s="2">
        <f>PerfRate[[#This Row],[ManagerRating]] - PerfRate[[#This Row],[SelfRating]]</f>
        <v>0</v>
      </c>
    </row>
    <row r="4603" spans="1:18">
      <c r="A4603" s="2" t="s">
        <v>8910</v>
      </c>
      <c r="B4603" s="2" t="s">
        <v>2943</v>
      </c>
      <c r="C4603" s="1">
        <v>44446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  <c r="L4603" s="2" t="s">
        <v>11029</v>
      </c>
      <c r="M4603" s="2" t="s">
        <v>11028</v>
      </c>
      <c r="N4603" s="2" t="s">
        <v>11036</v>
      </c>
      <c r="O4603" s="2" t="s">
        <v>11036</v>
      </c>
      <c r="P4603" s="2" t="s">
        <v>11037</v>
      </c>
      <c r="Q4603" s="2">
        <f>AVERAGE(PerfRate[[#This Row],[EnvironmentSatisfaction]],PerfRate[[#This Row],[JobSatisfaction]],PerfRate[[#This Row],[RelationshipSatisfaction]])</f>
        <v>3.3333333333333335</v>
      </c>
      <c r="R4603" s="2">
        <f>PerfRate[[#This Row],[ManagerRating]] - PerfRate[[#This Row],[SelfRating]]</f>
        <v>-1</v>
      </c>
    </row>
    <row r="4604" spans="1:18">
      <c r="A4604" s="2" t="s">
        <v>8911</v>
      </c>
      <c r="B4604" s="2" t="s">
        <v>308</v>
      </c>
      <c r="C4604" s="1">
        <v>44476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  <c r="L4604" s="2" t="s">
        <v>11029</v>
      </c>
      <c r="M4604" s="2" t="s">
        <v>11028</v>
      </c>
      <c r="N4604" s="2" t="s">
        <v>11038</v>
      </c>
      <c r="O4604" s="2" t="s">
        <v>11037</v>
      </c>
      <c r="P4604" s="2" t="s">
        <v>11037</v>
      </c>
      <c r="Q4604" s="2">
        <f>AVERAGE(PerfRate[[#This Row],[EnvironmentSatisfaction]],PerfRate[[#This Row],[JobSatisfaction]],PerfRate[[#This Row],[RelationshipSatisfaction]])</f>
        <v>4.333333333333333</v>
      </c>
      <c r="R4604" s="2">
        <f>PerfRate[[#This Row],[ManagerRating]] - PerfRate[[#This Row],[SelfRating]]</f>
        <v>-1</v>
      </c>
    </row>
    <row r="4605" spans="1:18">
      <c r="A4605" s="2" t="s">
        <v>8912</v>
      </c>
      <c r="B4605" s="2" t="s">
        <v>1039</v>
      </c>
      <c r="C4605" s="1">
        <v>44476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  <c r="L4605" s="2" t="s">
        <v>11029</v>
      </c>
      <c r="M4605" s="2" t="s">
        <v>11028</v>
      </c>
      <c r="N4605" s="2" t="s">
        <v>11037</v>
      </c>
      <c r="O4605" s="2" t="s">
        <v>11037</v>
      </c>
      <c r="P4605" s="2" t="s">
        <v>11038</v>
      </c>
      <c r="Q4605" s="2">
        <f>AVERAGE(PerfRate[[#This Row],[EnvironmentSatisfaction]],PerfRate[[#This Row],[JobSatisfaction]],PerfRate[[#This Row],[RelationshipSatisfaction]])</f>
        <v>4.333333333333333</v>
      </c>
      <c r="R4605" s="2">
        <f>PerfRate[[#This Row],[ManagerRating]] - PerfRate[[#This Row],[SelfRating]]</f>
        <v>-1</v>
      </c>
    </row>
    <row r="4606" spans="1:18">
      <c r="A4606" s="2" t="s">
        <v>8913</v>
      </c>
      <c r="B4606" s="2" t="s">
        <v>1933</v>
      </c>
      <c r="C4606" s="1">
        <v>44476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  <c r="L4606" s="2" t="s">
        <v>11029</v>
      </c>
      <c r="M4606" s="2" t="s">
        <v>11029</v>
      </c>
      <c r="N4606" s="2" t="s">
        <v>11036</v>
      </c>
      <c r="O4606" s="2" t="s">
        <v>11038</v>
      </c>
      <c r="P4606" s="2" t="s">
        <v>11036</v>
      </c>
      <c r="Q4606" s="2">
        <f>AVERAGE(PerfRate[[#This Row],[EnvironmentSatisfaction]],PerfRate[[#This Row],[JobSatisfaction]],PerfRate[[#This Row],[RelationshipSatisfaction]])</f>
        <v>3.6666666666666665</v>
      </c>
      <c r="R4606" s="2">
        <f>PerfRate[[#This Row],[ManagerRating]] - PerfRate[[#This Row],[SelfRating]]</f>
        <v>0</v>
      </c>
    </row>
    <row r="4607" spans="1:18">
      <c r="A4607" s="2" t="s">
        <v>8914</v>
      </c>
      <c r="B4607" s="2" t="s">
        <v>717</v>
      </c>
      <c r="C4607" s="1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  <c r="L4607" s="2" t="s">
        <v>11030</v>
      </c>
      <c r="M4607" s="2" t="s">
        <v>11030</v>
      </c>
      <c r="N4607" s="2" t="s">
        <v>11037</v>
      </c>
      <c r="O4607" s="2" t="s">
        <v>11037</v>
      </c>
      <c r="P4607" s="2" t="s">
        <v>11038</v>
      </c>
      <c r="Q4607" s="2">
        <f>AVERAGE(PerfRate[[#This Row],[EnvironmentSatisfaction]],PerfRate[[#This Row],[JobSatisfaction]],PerfRate[[#This Row],[RelationshipSatisfaction]])</f>
        <v>4.333333333333333</v>
      </c>
      <c r="R4607" s="2">
        <f>PerfRate[[#This Row],[ManagerRating]] - PerfRate[[#This Row],[SelfRating]]</f>
        <v>0</v>
      </c>
    </row>
    <row r="4608" spans="1:18">
      <c r="A4608" s="2" t="s">
        <v>8915</v>
      </c>
      <c r="B4608" s="2" t="s">
        <v>2908</v>
      </c>
      <c r="C4608" s="1">
        <v>44476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  <c r="L4608" s="2" t="s">
        <v>11030</v>
      </c>
      <c r="M4608" s="2" t="s">
        <v>11030</v>
      </c>
      <c r="N4608" s="2" t="s">
        <v>11038</v>
      </c>
      <c r="O4608" s="2" t="s">
        <v>11036</v>
      </c>
      <c r="P4608" s="2" t="s">
        <v>11035</v>
      </c>
      <c r="Q4608" s="2">
        <f>AVERAGE(PerfRate[[#This Row],[EnvironmentSatisfaction]],PerfRate[[#This Row],[JobSatisfaction]],PerfRate[[#This Row],[RelationshipSatisfaction]])</f>
        <v>3.3333333333333335</v>
      </c>
      <c r="R4608" s="2">
        <f>PerfRate[[#This Row],[ManagerRating]] - PerfRate[[#This Row],[SelfRating]]</f>
        <v>0</v>
      </c>
    </row>
    <row r="4609" spans="1:18">
      <c r="A4609" s="2" t="s">
        <v>8916</v>
      </c>
      <c r="B4609" s="2" t="s">
        <v>1218</v>
      </c>
      <c r="C4609" s="1">
        <v>44507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  <c r="L4609" s="2" t="s">
        <v>11030</v>
      </c>
      <c r="M4609" s="2" t="s">
        <v>11029</v>
      </c>
      <c r="N4609" s="2" t="s">
        <v>11037</v>
      </c>
      <c r="O4609" s="2" t="s">
        <v>11036</v>
      </c>
      <c r="P4609" s="2" t="s">
        <v>11038</v>
      </c>
      <c r="Q4609" s="2">
        <f>AVERAGE(PerfRate[[#This Row],[EnvironmentSatisfaction]],PerfRate[[#This Row],[JobSatisfaction]],PerfRate[[#This Row],[RelationshipSatisfaction]])</f>
        <v>4</v>
      </c>
      <c r="R4609" s="2">
        <f>PerfRate[[#This Row],[ManagerRating]] - PerfRate[[#This Row],[SelfRating]]</f>
        <v>-1</v>
      </c>
    </row>
    <row r="4610" spans="1:18">
      <c r="A4610" s="2" t="s">
        <v>8917</v>
      </c>
      <c r="B4610" s="2" t="s">
        <v>2398</v>
      </c>
      <c r="C4610" s="1">
        <v>44507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  <c r="L4610" s="2" t="s">
        <v>11031</v>
      </c>
      <c r="M4610" s="2" t="s">
        <v>11031</v>
      </c>
      <c r="N4610" s="2" t="s">
        <v>11037</v>
      </c>
      <c r="O4610" s="2" t="s">
        <v>11038</v>
      </c>
      <c r="P4610" s="2" t="s">
        <v>11036</v>
      </c>
      <c r="Q4610" s="2">
        <f>AVERAGE(PerfRate[[#This Row],[EnvironmentSatisfaction]],PerfRate[[#This Row],[JobSatisfaction]],PerfRate[[#This Row],[RelationshipSatisfaction]])</f>
        <v>4</v>
      </c>
      <c r="R4610" s="2">
        <f>PerfRate[[#This Row],[ManagerRating]] - PerfRate[[#This Row],[SelfRating]]</f>
        <v>0</v>
      </c>
    </row>
    <row r="4611" spans="1:18">
      <c r="A4611" s="2" t="s">
        <v>8918</v>
      </c>
      <c r="B4611" s="2" t="s">
        <v>535</v>
      </c>
      <c r="C4611" s="1">
        <v>44537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  <c r="L4611" s="2" t="s">
        <v>11029</v>
      </c>
      <c r="M4611" s="2" t="s">
        <v>11028</v>
      </c>
      <c r="N4611" s="2" t="s">
        <v>11036</v>
      </c>
      <c r="O4611" s="2" t="s">
        <v>11035</v>
      </c>
      <c r="P4611" s="2" t="s">
        <v>11036</v>
      </c>
      <c r="Q4611" s="2">
        <f>AVERAGE(PerfRate[[#This Row],[EnvironmentSatisfaction]],PerfRate[[#This Row],[JobSatisfaction]],PerfRate[[#This Row],[RelationshipSatisfaction]])</f>
        <v>2.6666666666666665</v>
      </c>
      <c r="R4611" s="2">
        <f>PerfRate[[#This Row],[ManagerRating]] - PerfRate[[#This Row],[SelfRating]]</f>
        <v>-1</v>
      </c>
    </row>
    <row r="4612" spans="1:18">
      <c r="A4612" s="2" t="s">
        <v>8919</v>
      </c>
      <c r="B4612" s="2" t="s">
        <v>1036</v>
      </c>
      <c r="C4612" s="1">
        <v>44537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  <c r="L4612" s="2" t="s">
        <v>11030</v>
      </c>
      <c r="M4612" s="2" t="s">
        <v>11030</v>
      </c>
      <c r="N4612" s="2" t="s">
        <v>11037</v>
      </c>
      <c r="O4612" s="2" t="s">
        <v>11035</v>
      </c>
      <c r="P4612" s="2" t="s">
        <v>11035</v>
      </c>
      <c r="Q4612" s="2">
        <f>AVERAGE(PerfRate[[#This Row],[EnvironmentSatisfaction]],PerfRate[[#This Row],[JobSatisfaction]],PerfRate[[#This Row],[RelationshipSatisfaction]])</f>
        <v>2.6666666666666665</v>
      </c>
      <c r="R4612" s="2">
        <f>PerfRate[[#This Row],[ManagerRating]] - PerfRate[[#This Row],[SelfRating]]</f>
        <v>0</v>
      </c>
    </row>
    <row r="4613" spans="1:18">
      <c r="A4613" s="2" t="s">
        <v>8920</v>
      </c>
      <c r="B4613" s="2" t="s">
        <v>2888</v>
      </c>
      <c r="C4613" s="1">
        <v>44537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  <c r="L4613" s="2" t="s">
        <v>11029</v>
      </c>
      <c r="M4613" s="2" t="s">
        <v>11029</v>
      </c>
      <c r="N4613" s="2" t="s">
        <v>11037</v>
      </c>
      <c r="O4613" s="2" t="s">
        <v>11038</v>
      </c>
      <c r="P4613" s="2" t="s">
        <v>11035</v>
      </c>
      <c r="Q4613" s="2">
        <f>AVERAGE(PerfRate[[#This Row],[EnvironmentSatisfaction]],PerfRate[[#This Row],[JobSatisfaction]],PerfRate[[#This Row],[RelationshipSatisfaction]])</f>
        <v>3.6666666666666665</v>
      </c>
      <c r="R4613" s="2">
        <f>PerfRate[[#This Row],[ManagerRating]] - PerfRate[[#This Row],[SelfRating]]</f>
        <v>0</v>
      </c>
    </row>
    <row r="4614" spans="1:18">
      <c r="A4614" s="2" t="s">
        <v>8921</v>
      </c>
      <c r="B4614" s="2" t="s">
        <v>1009</v>
      </c>
      <c r="C4614" s="1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  <c r="L4614" s="2" t="s">
        <v>11030</v>
      </c>
      <c r="M4614" s="2" t="s">
        <v>11029</v>
      </c>
      <c r="N4614" s="2" t="s">
        <v>11037</v>
      </c>
      <c r="O4614" s="2" t="s">
        <v>11035</v>
      </c>
      <c r="P4614" s="2" t="s">
        <v>11037</v>
      </c>
      <c r="Q4614" s="2">
        <f>AVERAGE(PerfRate[[#This Row],[EnvironmentSatisfaction]],PerfRate[[#This Row],[JobSatisfaction]],PerfRate[[#This Row],[RelationshipSatisfaction]])</f>
        <v>3.3333333333333335</v>
      </c>
      <c r="R4614" s="2">
        <f>PerfRate[[#This Row],[ManagerRating]] - PerfRate[[#This Row],[SelfRating]]</f>
        <v>-1</v>
      </c>
    </row>
    <row r="4615" spans="1:18">
      <c r="A4615" s="2" t="s">
        <v>8922</v>
      </c>
      <c r="B4615" s="2" t="s">
        <v>1523</v>
      </c>
      <c r="C4615" s="1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  <c r="L4615" s="2" t="s">
        <v>11029</v>
      </c>
      <c r="M4615" s="2" t="s">
        <v>11029</v>
      </c>
      <c r="N4615" s="2" t="s">
        <v>11037</v>
      </c>
      <c r="O4615" s="2" t="s">
        <v>11038</v>
      </c>
      <c r="P4615" s="2" t="s">
        <v>11035</v>
      </c>
      <c r="Q4615" s="2">
        <f>AVERAGE(PerfRate[[#This Row],[EnvironmentSatisfaction]],PerfRate[[#This Row],[JobSatisfaction]],PerfRate[[#This Row],[RelationshipSatisfaction]])</f>
        <v>3.6666666666666665</v>
      </c>
      <c r="R4615" s="2">
        <f>PerfRate[[#This Row],[ManagerRating]] - PerfRate[[#This Row],[SelfRating]]</f>
        <v>0</v>
      </c>
    </row>
    <row r="4616" spans="1:18">
      <c r="A4616" s="2" t="s">
        <v>8923</v>
      </c>
      <c r="B4616" s="2" t="s">
        <v>2304</v>
      </c>
      <c r="C4616" s="1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  <c r="L4616" s="2" t="s">
        <v>11031</v>
      </c>
      <c r="M4616" s="2" t="s">
        <v>11030</v>
      </c>
      <c r="N4616" s="2" t="s">
        <v>11037</v>
      </c>
      <c r="O4616" s="2" t="s">
        <v>11036</v>
      </c>
      <c r="P4616" s="2" t="s">
        <v>11035</v>
      </c>
      <c r="Q4616" s="2">
        <f>AVERAGE(PerfRate[[#This Row],[EnvironmentSatisfaction]],PerfRate[[#This Row],[JobSatisfaction]],PerfRate[[#This Row],[RelationshipSatisfaction]])</f>
        <v>3</v>
      </c>
      <c r="R4616" s="2">
        <f>PerfRate[[#This Row],[ManagerRating]] - PerfRate[[#This Row],[SelfRating]]</f>
        <v>-1</v>
      </c>
    </row>
    <row r="4617" spans="1:18">
      <c r="A4617" s="2" t="s">
        <v>8924</v>
      </c>
      <c r="B4617" s="2" t="s">
        <v>907</v>
      </c>
      <c r="C4617" s="1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  <c r="L4617" s="2" t="s">
        <v>11029</v>
      </c>
      <c r="M4617" s="2" t="s">
        <v>11028</v>
      </c>
      <c r="N4617" s="2" t="s">
        <v>11037</v>
      </c>
      <c r="O4617" s="2" t="s">
        <v>11038</v>
      </c>
      <c r="P4617" s="2" t="s">
        <v>11038</v>
      </c>
      <c r="Q4617" s="2">
        <f>AVERAGE(PerfRate[[#This Row],[EnvironmentSatisfaction]],PerfRate[[#This Row],[JobSatisfaction]],PerfRate[[#This Row],[RelationshipSatisfaction]])</f>
        <v>4.666666666666667</v>
      </c>
      <c r="R4617" s="2">
        <f>PerfRate[[#This Row],[ManagerRating]] - PerfRate[[#This Row],[SelfRating]]</f>
        <v>-1</v>
      </c>
    </row>
    <row r="4618" spans="1:18">
      <c r="A4618" s="2" t="s">
        <v>8925</v>
      </c>
      <c r="B4618" s="2" t="s">
        <v>1154</v>
      </c>
      <c r="C4618" s="1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  <c r="L4618" s="2" t="s">
        <v>11031</v>
      </c>
      <c r="M4618" s="2" t="s">
        <v>11031</v>
      </c>
      <c r="N4618" s="2" t="s">
        <v>11038</v>
      </c>
      <c r="O4618" s="2" t="s">
        <v>11035</v>
      </c>
      <c r="P4618" s="2" t="s">
        <v>11037</v>
      </c>
      <c r="Q4618" s="2">
        <f>AVERAGE(PerfRate[[#This Row],[EnvironmentSatisfaction]],PerfRate[[#This Row],[JobSatisfaction]],PerfRate[[#This Row],[RelationshipSatisfaction]])</f>
        <v>3.6666666666666665</v>
      </c>
      <c r="R4618" s="2">
        <f>PerfRate[[#This Row],[ManagerRating]] - PerfRate[[#This Row],[SelfRating]]</f>
        <v>0</v>
      </c>
    </row>
    <row r="4619" spans="1:18">
      <c r="A4619" s="2" t="s">
        <v>8926</v>
      </c>
      <c r="B4619" s="2" t="s">
        <v>1192</v>
      </c>
      <c r="C4619" s="1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  <c r="L4619" s="2" t="s">
        <v>11031</v>
      </c>
      <c r="M4619" s="2" t="s">
        <v>11031</v>
      </c>
      <c r="N4619" s="2" t="s">
        <v>11036</v>
      </c>
      <c r="O4619" s="2" t="s">
        <v>11038</v>
      </c>
      <c r="P4619" s="2" t="s">
        <v>11037</v>
      </c>
      <c r="Q4619" s="2">
        <f>AVERAGE(PerfRate[[#This Row],[EnvironmentSatisfaction]],PerfRate[[#This Row],[JobSatisfaction]],PerfRate[[#This Row],[RelationshipSatisfaction]])</f>
        <v>4</v>
      </c>
      <c r="R4619" s="2">
        <f>PerfRate[[#This Row],[ManagerRating]] - PerfRate[[#This Row],[SelfRating]]</f>
        <v>0</v>
      </c>
    </row>
    <row r="4620" spans="1:18">
      <c r="A4620" s="2" t="s">
        <v>8927</v>
      </c>
      <c r="B4620" s="2" t="s">
        <v>2575</v>
      </c>
      <c r="C4620" s="1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  <c r="L4620" s="2" t="s">
        <v>11030</v>
      </c>
      <c r="M4620" s="2" t="s">
        <v>11029</v>
      </c>
      <c r="N4620" s="2" t="s">
        <v>11037</v>
      </c>
      <c r="O4620" s="2" t="s">
        <v>11038</v>
      </c>
      <c r="P4620" s="2" t="s">
        <v>11037</v>
      </c>
      <c r="Q4620" s="2">
        <f>AVERAGE(PerfRate[[#This Row],[EnvironmentSatisfaction]],PerfRate[[#This Row],[JobSatisfaction]],PerfRate[[#This Row],[RelationshipSatisfaction]])</f>
        <v>4.333333333333333</v>
      </c>
      <c r="R4620" s="2">
        <f>PerfRate[[#This Row],[ManagerRating]] - PerfRate[[#This Row],[SelfRating]]</f>
        <v>-1</v>
      </c>
    </row>
    <row r="4621" spans="1:18">
      <c r="A4621" s="2" t="s">
        <v>8928</v>
      </c>
      <c r="B4621" s="2" t="s">
        <v>67</v>
      </c>
      <c r="C4621" s="1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  <c r="L4621" s="2" t="s">
        <v>11031</v>
      </c>
      <c r="M4621" s="2" t="s">
        <v>11030</v>
      </c>
      <c r="N4621" s="2" t="s">
        <v>11037</v>
      </c>
      <c r="O4621" s="2" t="s">
        <v>11038</v>
      </c>
      <c r="P4621" s="2" t="s">
        <v>11037</v>
      </c>
      <c r="Q4621" s="2">
        <f>AVERAGE(PerfRate[[#This Row],[EnvironmentSatisfaction]],PerfRate[[#This Row],[JobSatisfaction]],PerfRate[[#This Row],[RelationshipSatisfaction]])</f>
        <v>4.333333333333333</v>
      </c>
      <c r="R4621" s="2">
        <f>PerfRate[[#This Row],[ManagerRating]] - PerfRate[[#This Row],[SelfRating]]</f>
        <v>-1</v>
      </c>
    </row>
    <row r="4622" spans="1:18">
      <c r="A4622" s="2" t="s">
        <v>8929</v>
      </c>
      <c r="B4622" s="2" t="s">
        <v>1018</v>
      </c>
      <c r="C4622" s="1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  <c r="L4622" s="2" t="s">
        <v>11029</v>
      </c>
      <c r="M4622" s="2" t="s">
        <v>11028</v>
      </c>
      <c r="N4622" s="2" t="s">
        <v>11037</v>
      </c>
      <c r="O4622" s="2" t="s">
        <v>11037</v>
      </c>
      <c r="P4622" s="2" t="s">
        <v>11036</v>
      </c>
      <c r="Q4622" s="2">
        <f>AVERAGE(PerfRate[[#This Row],[EnvironmentSatisfaction]],PerfRate[[#This Row],[JobSatisfaction]],PerfRate[[#This Row],[RelationshipSatisfaction]])</f>
        <v>3.6666666666666665</v>
      </c>
      <c r="R4622" s="2">
        <f>PerfRate[[#This Row],[ManagerRating]] - PerfRate[[#This Row],[SelfRating]]</f>
        <v>-1</v>
      </c>
    </row>
    <row r="4623" spans="1:18">
      <c r="A4623" s="2" t="s">
        <v>8930</v>
      </c>
      <c r="B4623" s="2" t="s">
        <v>1605</v>
      </c>
      <c r="C4623" s="1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  <c r="L4623" s="2" t="s">
        <v>11029</v>
      </c>
      <c r="M4623" s="2" t="s">
        <v>11029</v>
      </c>
      <c r="N4623" s="2" t="s">
        <v>11037</v>
      </c>
      <c r="O4623" s="2" t="s">
        <v>11037</v>
      </c>
      <c r="P4623" s="2" t="s">
        <v>11038</v>
      </c>
      <c r="Q4623" s="2">
        <f>AVERAGE(PerfRate[[#This Row],[EnvironmentSatisfaction]],PerfRate[[#This Row],[JobSatisfaction]],PerfRate[[#This Row],[RelationshipSatisfaction]])</f>
        <v>4.333333333333333</v>
      </c>
      <c r="R4623" s="2">
        <f>PerfRate[[#This Row],[ManagerRating]] - PerfRate[[#This Row],[SelfRating]]</f>
        <v>0</v>
      </c>
    </row>
    <row r="4624" spans="1:18">
      <c r="A4624" s="2" t="s">
        <v>8931</v>
      </c>
      <c r="B4624" s="2" t="s">
        <v>2739</v>
      </c>
      <c r="C4624" s="1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  <c r="L4624" s="2" t="s">
        <v>11029</v>
      </c>
      <c r="M4624" s="2" t="s">
        <v>11028</v>
      </c>
      <c r="N4624" s="2" t="s">
        <v>11038</v>
      </c>
      <c r="O4624" s="2" t="s">
        <v>11036</v>
      </c>
      <c r="P4624" s="2" t="s">
        <v>11037</v>
      </c>
      <c r="Q4624" s="2">
        <f>AVERAGE(PerfRate[[#This Row],[EnvironmentSatisfaction]],PerfRate[[#This Row],[JobSatisfaction]],PerfRate[[#This Row],[RelationshipSatisfaction]])</f>
        <v>4</v>
      </c>
      <c r="R4624" s="2">
        <f>PerfRate[[#This Row],[ManagerRating]] - PerfRate[[#This Row],[SelfRating]]</f>
        <v>-1</v>
      </c>
    </row>
    <row r="4625" spans="1:18">
      <c r="A4625" s="2" t="s">
        <v>8932</v>
      </c>
      <c r="B4625" s="2" t="s">
        <v>3824</v>
      </c>
      <c r="C4625" s="1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  <c r="L4625" s="2" t="s">
        <v>11029</v>
      </c>
      <c r="M4625" s="2" t="s">
        <v>11029</v>
      </c>
      <c r="N4625" s="2" t="s">
        <v>11037</v>
      </c>
      <c r="O4625" s="2" t="s">
        <v>11036</v>
      </c>
      <c r="P4625" s="2" t="s">
        <v>11038</v>
      </c>
      <c r="Q4625" s="2">
        <f>AVERAGE(PerfRate[[#This Row],[EnvironmentSatisfaction]],PerfRate[[#This Row],[JobSatisfaction]],PerfRate[[#This Row],[RelationshipSatisfaction]])</f>
        <v>4</v>
      </c>
      <c r="R4625" s="2">
        <f>PerfRate[[#This Row],[ManagerRating]] - PerfRate[[#This Row],[SelfRating]]</f>
        <v>0</v>
      </c>
    </row>
    <row r="4626" spans="1:18">
      <c r="A4626" s="2" t="s">
        <v>8933</v>
      </c>
      <c r="B4626" s="2" t="s">
        <v>3192</v>
      </c>
      <c r="C4626" s="1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  <c r="L4626" s="2" t="s">
        <v>11029</v>
      </c>
      <c r="M4626" s="2" t="s">
        <v>11028</v>
      </c>
      <c r="N4626" s="2" t="s">
        <v>11037</v>
      </c>
      <c r="O4626" s="2" t="s">
        <v>11035</v>
      </c>
      <c r="P4626" s="2" t="s">
        <v>11035</v>
      </c>
      <c r="Q4626" s="2">
        <f>AVERAGE(PerfRate[[#This Row],[EnvironmentSatisfaction]],PerfRate[[#This Row],[JobSatisfaction]],PerfRate[[#This Row],[RelationshipSatisfaction]])</f>
        <v>2.6666666666666665</v>
      </c>
      <c r="R4626" s="2">
        <f>PerfRate[[#This Row],[ManagerRating]] - PerfRate[[#This Row],[SelfRating]]</f>
        <v>-1</v>
      </c>
    </row>
    <row r="4627" spans="1:18">
      <c r="A4627" s="2" t="s">
        <v>8934</v>
      </c>
      <c r="B4627" s="2" t="s">
        <v>2946</v>
      </c>
      <c r="C4627" s="1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  <c r="L4627" s="2" t="s">
        <v>11029</v>
      </c>
      <c r="M4627" s="2" t="s">
        <v>11028</v>
      </c>
      <c r="N4627" s="2" t="s">
        <v>11038</v>
      </c>
      <c r="O4627" s="2" t="s">
        <v>11038</v>
      </c>
      <c r="P4627" s="2" t="s">
        <v>11036</v>
      </c>
      <c r="Q4627" s="2">
        <f>AVERAGE(PerfRate[[#This Row],[EnvironmentSatisfaction]],PerfRate[[#This Row],[JobSatisfaction]],PerfRate[[#This Row],[RelationshipSatisfaction]])</f>
        <v>4.333333333333333</v>
      </c>
      <c r="R4627" s="2">
        <f>PerfRate[[#This Row],[ManagerRating]] - PerfRate[[#This Row],[SelfRating]]</f>
        <v>-1</v>
      </c>
    </row>
    <row r="4628" spans="1:18">
      <c r="A4628" s="2" t="s">
        <v>8935</v>
      </c>
      <c r="B4628" s="2" t="s">
        <v>1289</v>
      </c>
      <c r="C4628" s="1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  <c r="L4628" s="2" t="s">
        <v>11031</v>
      </c>
      <c r="M4628" s="2" t="s">
        <v>11031</v>
      </c>
      <c r="N4628" s="2" t="s">
        <v>11038</v>
      </c>
      <c r="O4628" s="2" t="s">
        <v>11038</v>
      </c>
      <c r="P4628" s="2" t="s">
        <v>11035</v>
      </c>
      <c r="Q4628" s="2">
        <f>AVERAGE(PerfRate[[#This Row],[EnvironmentSatisfaction]],PerfRate[[#This Row],[JobSatisfaction]],PerfRate[[#This Row],[RelationshipSatisfaction]])</f>
        <v>4</v>
      </c>
      <c r="R4628" s="2">
        <f>PerfRate[[#This Row],[ManagerRating]] - PerfRate[[#This Row],[SelfRating]]</f>
        <v>0</v>
      </c>
    </row>
    <row r="4629" spans="1:18">
      <c r="A4629" s="2" t="s">
        <v>8936</v>
      </c>
      <c r="B4629" s="2" t="s">
        <v>73</v>
      </c>
      <c r="C4629" s="1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  <c r="L4629" s="2" t="s">
        <v>11031</v>
      </c>
      <c r="M4629" s="2" t="s">
        <v>11031</v>
      </c>
      <c r="N4629" s="2" t="s">
        <v>11038</v>
      </c>
      <c r="O4629" s="2" t="s">
        <v>11035</v>
      </c>
      <c r="P4629" s="2" t="s">
        <v>11038</v>
      </c>
      <c r="Q4629" s="2">
        <f>AVERAGE(PerfRate[[#This Row],[EnvironmentSatisfaction]],PerfRate[[#This Row],[JobSatisfaction]],PerfRate[[#This Row],[RelationshipSatisfaction]])</f>
        <v>4</v>
      </c>
      <c r="R4629" s="2">
        <f>PerfRate[[#This Row],[ManagerRating]] - PerfRate[[#This Row],[SelfRating]]</f>
        <v>0</v>
      </c>
    </row>
    <row r="4630" spans="1:18">
      <c r="A4630" s="2" t="s">
        <v>8937</v>
      </c>
      <c r="B4630" s="2" t="s">
        <v>1042</v>
      </c>
      <c r="C4630" s="1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  <c r="L4630" s="2" t="s">
        <v>11031</v>
      </c>
      <c r="M4630" s="2" t="s">
        <v>11030</v>
      </c>
      <c r="N4630" s="2" t="s">
        <v>11036</v>
      </c>
      <c r="O4630" s="2" t="s">
        <v>11036</v>
      </c>
      <c r="P4630" s="2" t="s">
        <v>11037</v>
      </c>
      <c r="Q4630" s="2">
        <f>AVERAGE(PerfRate[[#This Row],[EnvironmentSatisfaction]],PerfRate[[#This Row],[JobSatisfaction]],PerfRate[[#This Row],[RelationshipSatisfaction]])</f>
        <v>3.3333333333333335</v>
      </c>
      <c r="R4630" s="2">
        <f>PerfRate[[#This Row],[ManagerRating]] - PerfRate[[#This Row],[SelfRating]]</f>
        <v>-1</v>
      </c>
    </row>
    <row r="4631" spans="1:18">
      <c r="A4631" s="2" t="s">
        <v>8938</v>
      </c>
      <c r="B4631" s="2" t="s">
        <v>3088</v>
      </c>
      <c r="C4631" s="1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  <c r="L4631" s="2" t="s">
        <v>11029</v>
      </c>
      <c r="M4631" s="2" t="s">
        <v>11029</v>
      </c>
      <c r="N4631" s="2" t="s">
        <v>11036</v>
      </c>
      <c r="O4631" s="2" t="s">
        <v>11037</v>
      </c>
      <c r="P4631" s="2" t="s">
        <v>11036</v>
      </c>
      <c r="Q4631" s="2">
        <f>AVERAGE(PerfRate[[#This Row],[EnvironmentSatisfaction]],PerfRate[[#This Row],[JobSatisfaction]],PerfRate[[#This Row],[RelationshipSatisfaction]])</f>
        <v>3.3333333333333335</v>
      </c>
      <c r="R4631" s="2">
        <f>PerfRate[[#This Row],[ManagerRating]] - PerfRate[[#This Row],[SelfRating]]</f>
        <v>0</v>
      </c>
    </row>
    <row r="4632" spans="1:18">
      <c r="A4632" s="2" t="s">
        <v>8939</v>
      </c>
      <c r="B4632" s="2" t="s">
        <v>147</v>
      </c>
      <c r="C4632" s="1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  <c r="L4632" s="2" t="s">
        <v>11029</v>
      </c>
      <c r="M4632" s="2" t="s">
        <v>11028</v>
      </c>
      <c r="N4632" s="2" t="s">
        <v>11037</v>
      </c>
      <c r="O4632" s="2" t="s">
        <v>11035</v>
      </c>
      <c r="P4632" s="2" t="s">
        <v>11035</v>
      </c>
      <c r="Q4632" s="2">
        <f>AVERAGE(PerfRate[[#This Row],[EnvironmentSatisfaction]],PerfRate[[#This Row],[JobSatisfaction]],PerfRate[[#This Row],[RelationshipSatisfaction]])</f>
        <v>2.6666666666666665</v>
      </c>
      <c r="R4632" s="2">
        <f>PerfRate[[#This Row],[ManagerRating]] - PerfRate[[#This Row],[SelfRating]]</f>
        <v>-1</v>
      </c>
    </row>
    <row r="4633" spans="1:18">
      <c r="A4633" s="2" t="s">
        <v>8940</v>
      </c>
      <c r="B4633" s="2" t="s">
        <v>699</v>
      </c>
      <c r="C4633" s="1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  <c r="L4633" s="2" t="s">
        <v>11031</v>
      </c>
      <c r="M4633" s="2" t="s">
        <v>11031</v>
      </c>
      <c r="N4633" s="2" t="s">
        <v>11037</v>
      </c>
      <c r="O4633" s="2" t="s">
        <v>11035</v>
      </c>
      <c r="P4633" s="2" t="s">
        <v>11038</v>
      </c>
      <c r="Q4633" s="2">
        <f>AVERAGE(PerfRate[[#This Row],[EnvironmentSatisfaction]],PerfRate[[#This Row],[JobSatisfaction]],PerfRate[[#This Row],[RelationshipSatisfaction]])</f>
        <v>3.6666666666666665</v>
      </c>
      <c r="R4633" s="2">
        <f>PerfRate[[#This Row],[ManagerRating]] - PerfRate[[#This Row],[SelfRating]]</f>
        <v>0</v>
      </c>
    </row>
    <row r="4634" spans="1:18">
      <c r="A4634" s="2" t="s">
        <v>8941</v>
      </c>
      <c r="B4634" s="2" t="s">
        <v>2467</v>
      </c>
      <c r="C4634" s="1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  <c r="L4634" s="2" t="s">
        <v>11029</v>
      </c>
      <c r="M4634" s="2" t="s">
        <v>11029</v>
      </c>
      <c r="N4634" s="2" t="s">
        <v>11038</v>
      </c>
      <c r="O4634" s="2" t="s">
        <v>11038</v>
      </c>
      <c r="P4634" s="2" t="s">
        <v>11037</v>
      </c>
      <c r="Q4634" s="2">
        <f>AVERAGE(PerfRate[[#This Row],[EnvironmentSatisfaction]],PerfRate[[#This Row],[JobSatisfaction]],PerfRate[[#This Row],[RelationshipSatisfaction]])</f>
        <v>4.666666666666667</v>
      </c>
      <c r="R4634" s="2">
        <f>PerfRate[[#This Row],[ManagerRating]] - PerfRate[[#This Row],[SelfRating]]</f>
        <v>0</v>
      </c>
    </row>
    <row r="4635" spans="1:18">
      <c r="A4635" s="2" t="s">
        <v>8942</v>
      </c>
      <c r="B4635" s="2" t="s">
        <v>3057</v>
      </c>
      <c r="C4635" s="1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  <c r="L4635" s="2" t="s">
        <v>11030</v>
      </c>
      <c r="M4635" s="2" t="s">
        <v>11030</v>
      </c>
      <c r="N4635" s="2" t="s">
        <v>11036</v>
      </c>
      <c r="O4635" s="2" t="s">
        <v>11036</v>
      </c>
      <c r="P4635" s="2" t="s">
        <v>11037</v>
      </c>
      <c r="Q4635" s="2">
        <f>AVERAGE(PerfRate[[#This Row],[EnvironmentSatisfaction]],PerfRate[[#This Row],[JobSatisfaction]],PerfRate[[#This Row],[RelationshipSatisfaction]])</f>
        <v>3.3333333333333335</v>
      </c>
      <c r="R4635" s="2">
        <f>PerfRate[[#This Row],[ManagerRating]] - PerfRate[[#This Row],[SelfRating]]</f>
        <v>0</v>
      </c>
    </row>
    <row r="4636" spans="1:18">
      <c r="A4636" s="2" t="s">
        <v>8943</v>
      </c>
      <c r="B4636" s="2" t="s">
        <v>820</v>
      </c>
      <c r="C4636" s="1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  <c r="L4636" s="2" t="s">
        <v>11029</v>
      </c>
      <c r="M4636" s="2" t="s">
        <v>11029</v>
      </c>
      <c r="N4636" s="2" t="s">
        <v>11036</v>
      </c>
      <c r="O4636" s="2" t="s">
        <v>11037</v>
      </c>
      <c r="P4636" s="2" t="s">
        <v>11035</v>
      </c>
      <c r="Q4636" s="2">
        <f>AVERAGE(PerfRate[[#This Row],[EnvironmentSatisfaction]],PerfRate[[#This Row],[JobSatisfaction]],PerfRate[[#This Row],[RelationshipSatisfaction]])</f>
        <v>3</v>
      </c>
      <c r="R4636" s="2">
        <f>PerfRate[[#This Row],[ManagerRating]] - PerfRate[[#This Row],[SelfRating]]</f>
        <v>0</v>
      </c>
    </row>
    <row r="4637" spans="1:18">
      <c r="A4637" s="2" t="s">
        <v>8944</v>
      </c>
      <c r="B4637" s="2" t="s">
        <v>1999</v>
      </c>
      <c r="C4637" s="1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  <c r="L4637" s="2" t="s">
        <v>11031</v>
      </c>
      <c r="M4637" s="2" t="s">
        <v>11030</v>
      </c>
      <c r="N4637" s="2" t="s">
        <v>11038</v>
      </c>
      <c r="O4637" s="2" t="s">
        <v>11038</v>
      </c>
      <c r="P4637" s="2" t="s">
        <v>11036</v>
      </c>
      <c r="Q4637" s="2">
        <f>AVERAGE(PerfRate[[#This Row],[EnvironmentSatisfaction]],PerfRate[[#This Row],[JobSatisfaction]],PerfRate[[#This Row],[RelationshipSatisfaction]])</f>
        <v>4.333333333333333</v>
      </c>
      <c r="R4637" s="2">
        <f>PerfRate[[#This Row],[ManagerRating]] - PerfRate[[#This Row],[SelfRating]]</f>
        <v>-1</v>
      </c>
    </row>
    <row r="4638" spans="1:18">
      <c r="A4638" s="2" t="s">
        <v>8945</v>
      </c>
      <c r="B4638" s="2" t="s">
        <v>1744</v>
      </c>
      <c r="C4638" s="1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  <c r="L4638" s="2" t="s">
        <v>11031</v>
      </c>
      <c r="M4638" s="2" t="s">
        <v>11031</v>
      </c>
      <c r="N4638" s="2" t="s">
        <v>11036</v>
      </c>
      <c r="O4638" s="2" t="s">
        <v>11036</v>
      </c>
      <c r="P4638" s="2" t="s">
        <v>11038</v>
      </c>
      <c r="Q4638" s="2">
        <f>AVERAGE(PerfRate[[#This Row],[EnvironmentSatisfaction]],PerfRate[[#This Row],[JobSatisfaction]],PerfRate[[#This Row],[RelationshipSatisfaction]])</f>
        <v>3.6666666666666665</v>
      </c>
      <c r="R4638" s="2">
        <f>PerfRate[[#This Row],[ManagerRating]] - PerfRate[[#This Row],[SelfRating]]</f>
        <v>0</v>
      </c>
    </row>
    <row r="4639" spans="1:18">
      <c r="A4639" s="2" t="s">
        <v>8946</v>
      </c>
      <c r="B4639" s="2" t="s">
        <v>1830</v>
      </c>
      <c r="C4639" s="1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  <c r="L4639" s="2" t="s">
        <v>11030</v>
      </c>
      <c r="M4639" s="2" t="s">
        <v>11029</v>
      </c>
      <c r="N4639" s="2" t="s">
        <v>11034</v>
      </c>
      <c r="O4639" s="2" t="s">
        <v>11037</v>
      </c>
      <c r="P4639" s="2" t="s">
        <v>11037</v>
      </c>
      <c r="Q4639" s="2">
        <f>AVERAGE(PerfRate[[#This Row],[EnvironmentSatisfaction]],PerfRate[[#This Row],[JobSatisfaction]],PerfRate[[#This Row],[RelationshipSatisfaction]])</f>
        <v>3</v>
      </c>
      <c r="R4639" s="2">
        <f>PerfRate[[#This Row],[ManagerRating]] - PerfRate[[#This Row],[SelfRating]]</f>
        <v>-1</v>
      </c>
    </row>
    <row r="4640" spans="1:18">
      <c r="A4640" s="2" t="s">
        <v>8947</v>
      </c>
      <c r="B4640" s="2" t="s">
        <v>1581</v>
      </c>
      <c r="C4640" s="1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  <c r="L4640" s="2" t="s">
        <v>11031</v>
      </c>
      <c r="M4640" s="2" t="s">
        <v>11030</v>
      </c>
      <c r="N4640" s="2" t="s">
        <v>11036</v>
      </c>
      <c r="O4640" s="2" t="s">
        <v>11035</v>
      </c>
      <c r="P4640" s="2" t="s">
        <v>11036</v>
      </c>
      <c r="Q4640" s="2">
        <f>AVERAGE(PerfRate[[#This Row],[EnvironmentSatisfaction]],PerfRate[[#This Row],[JobSatisfaction]],PerfRate[[#This Row],[RelationshipSatisfaction]])</f>
        <v>2.6666666666666665</v>
      </c>
      <c r="R4640" s="2">
        <f>PerfRate[[#This Row],[ManagerRating]] - PerfRate[[#This Row],[SelfRating]]</f>
        <v>-1</v>
      </c>
    </row>
    <row r="4641" spans="1:18">
      <c r="A4641" s="2" t="s">
        <v>8948</v>
      </c>
      <c r="B4641" s="2" t="s">
        <v>3591</v>
      </c>
      <c r="C4641" s="1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  <c r="L4641" s="2" t="s">
        <v>11029</v>
      </c>
      <c r="M4641" s="2" t="s">
        <v>11028</v>
      </c>
      <c r="N4641" s="2" t="s">
        <v>11036</v>
      </c>
      <c r="O4641" s="2" t="s">
        <v>11037</v>
      </c>
      <c r="P4641" s="2" t="s">
        <v>11036</v>
      </c>
      <c r="Q4641" s="2">
        <f>AVERAGE(PerfRate[[#This Row],[EnvironmentSatisfaction]],PerfRate[[#This Row],[JobSatisfaction]],PerfRate[[#This Row],[RelationshipSatisfaction]])</f>
        <v>3.3333333333333335</v>
      </c>
      <c r="R4641" s="2">
        <f>PerfRate[[#This Row],[ManagerRating]] - PerfRate[[#This Row],[SelfRating]]</f>
        <v>-1</v>
      </c>
    </row>
    <row r="4642" spans="1:18">
      <c r="A4642" s="2" t="s">
        <v>8949</v>
      </c>
      <c r="B4642" s="2" t="s">
        <v>1151</v>
      </c>
      <c r="C4642" s="1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  <c r="L4642" s="2" t="s">
        <v>11031</v>
      </c>
      <c r="M4642" s="2" t="s">
        <v>11031</v>
      </c>
      <c r="N4642" s="2" t="s">
        <v>11037</v>
      </c>
      <c r="O4642" s="2" t="s">
        <v>11036</v>
      </c>
      <c r="P4642" s="2" t="s">
        <v>11036</v>
      </c>
      <c r="Q4642" s="2">
        <f>AVERAGE(PerfRate[[#This Row],[EnvironmentSatisfaction]],PerfRate[[#This Row],[JobSatisfaction]],PerfRate[[#This Row],[RelationshipSatisfaction]])</f>
        <v>3.3333333333333335</v>
      </c>
      <c r="R4642" s="2">
        <f>PerfRate[[#This Row],[ManagerRating]] - PerfRate[[#This Row],[SelfRating]]</f>
        <v>0</v>
      </c>
    </row>
    <row r="4643" spans="1:18">
      <c r="A4643" s="2" t="s">
        <v>8950</v>
      </c>
      <c r="B4643" s="2" t="s">
        <v>1186</v>
      </c>
      <c r="C4643" s="1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  <c r="L4643" s="2" t="s">
        <v>11030</v>
      </c>
      <c r="M4643" s="2" t="s">
        <v>11029</v>
      </c>
      <c r="N4643" s="2" t="s">
        <v>11037</v>
      </c>
      <c r="O4643" s="2" t="s">
        <v>11037</v>
      </c>
      <c r="P4643" s="2" t="s">
        <v>11037</v>
      </c>
      <c r="Q4643" s="2">
        <f>AVERAGE(PerfRate[[#This Row],[EnvironmentSatisfaction]],PerfRate[[#This Row],[JobSatisfaction]],PerfRate[[#This Row],[RelationshipSatisfaction]])</f>
        <v>4</v>
      </c>
      <c r="R4643" s="2">
        <f>PerfRate[[#This Row],[ManagerRating]] - PerfRate[[#This Row],[SelfRating]]</f>
        <v>-1</v>
      </c>
    </row>
    <row r="4644" spans="1:18">
      <c r="A4644" s="2" t="s">
        <v>8951</v>
      </c>
      <c r="B4644" s="2" t="s">
        <v>2833</v>
      </c>
      <c r="C4644" s="1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  <c r="L4644" s="2" t="s">
        <v>11029</v>
      </c>
      <c r="M4644" s="2" t="s">
        <v>11028</v>
      </c>
      <c r="N4644" s="2" t="s">
        <v>11034</v>
      </c>
      <c r="O4644" s="2" t="s">
        <v>11035</v>
      </c>
      <c r="P4644" s="2" t="s">
        <v>11035</v>
      </c>
      <c r="Q4644" s="2">
        <f>AVERAGE(PerfRate[[#This Row],[EnvironmentSatisfaction]],PerfRate[[#This Row],[JobSatisfaction]],PerfRate[[#This Row],[RelationshipSatisfaction]])</f>
        <v>1.6666666666666667</v>
      </c>
      <c r="R4644" s="2">
        <f>PerfRate[[#This Row],[ManagerRating]] - PerfRate[[#This Row],[SelfRating]]</f>
        <v>-1</v>
      </c>
    </row>
    <row r="4645" spans="1:18">
      <c r="A4645" s="2" t="s">
        <v>8952</v>
      </c>
      <c r="B4645" s="2" t="s">
        <v>747</v>
      </c>
      <c r="C4645" s="1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  <c r="L4645" s="2" t="s">
        <v>11029</v>
      </c>
      <c r="M4645" s="2" t="s">
        <v>11029</v>
      </c>
      <c r="N4645" s="2" t="s">
        <v>11036</v>
      </c>
      <c r="O4645" s="2" t="s">
        <v>11035</v>
      </c>
      <c r="P4645" s="2" t="s">
        <v>11038</v>
      </c>
      <c r="Q4645" s="2">
        <f>AVERAGE(PerfRate[[#This Row],[EnvironmentSatisfaction]],PerfRate[[#This Row],[JobSatisfaction]],PerfRate[[#This Row],[RelationshipSatisfaction]])</f>
        <v>3.3333333333333335</v>
      </c>
      <c r="R4645" s="2">
        <f>PerfRate[[#This Row],[ManagerRating]] - PerfRate[[#This Row],[SelfRating]]</f>
        <v>0</v>
      </c>
    </row>
    <row r="4646" spans="1:18">
      <c r="A4646" s="2" t="s">
        <v>8953</v>
      </c>
      <c r="B4646" s="2" t="s">
        <v>1000</v>
      </c>
      <c r="C4646" s="1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  <c r="L4646" s="2" t="s">
        <v>11029</v>
      </c>
      <c r="M4646" s="2" t="s">
        <v>11029</v>
      </c>
      <c r="N4646" s="2" t="s">
        <v>11037</v>
      </c>
      <c r="O4646" s="2" t="s">
        <v>11038</v>
      </c>
      <c r="P4646" s="2" t="s">
        <v>11038</v>
      </c>
      <c r="Q4646" s="2">
        <f>AVERAGE(PerfRate[[#This Row],[EnvironmentSatisfaction]],PerfRate[[#This Row],[JobSatisfaction]],PerfRate[[#This Row],[RelationshipSatisfaction]])</f>
        <v>4.666666666666667</v>
      </c>
      <c r="R4646" s="2">
        <f>PerfRate[[#This Row],[ManagerRating]] - PerfRate[[#This Row],[SelfRating]]</f>
        <v>0</v>
      </c>
    </row>
    <row r="4647" spans="1:18">
      <c r="A4647" s="2" t="s">
        <v>8954</v>
      </c>
      <c r="B4647" s="2" t="s">
        <v>1736</v>
      </c>
      <c r="C4647" s="1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  <c r="L4647" s="2" t="s">
        <v>11029</v>
      </c>
      <c r="M4647" s="2" t="s">
        <v>11028</v>
      </c>
      <c r="N4647" s="2" t="s">
        <v>11036</v>
      </c>
      <c r="O4647" s="2" t="s">
        <v>11038</v>
      </c>
      <c r="P4647" s="2" t="s">
        <v>11038</v>
      </c>
      <c r="Q4647" s="2">
        <f>AVERAGE(PerfRate[[#This Row],[EnvironmentSatisfaction]],PerfRate[[#This Row],[JobSatisfaction]],PerfRate[[#This Row],[RelationshipSatisfaction]])</f>
        <v>4.333333333333333</v>
      </c>
      <c r="R4647" s="2">
        <f>PerfRate[[#This Row],[ManagerRating]] - PerfRate[[#This Row],[SelfRating]]</f>
        <v>-1</v>
      </c>
    </row>
    <row r="4648" spans="1:18">
      <c r="A4648" s="2" t="s">
        <v>8955</v>
      </c>
      <c r="B4648" s="2" t="s">
        <v>2590</v>
      </c>
      <c r="C4648" s="1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  <c r="L4648" s="2" t="s">
        <v>11029</v>
      </c>
      <c r="M4648" s="2" t="s">
        <v>11029</v>
      </c>
      <c r="N4648" s="2" t="s">
        <v>11038</v>
      </c>
      <c r="O4648" s="2" t="s">
        <v>11038</v>
      </c>
      <c r="P4648" s="2" t="s">
        <v>11037</v>
      </c>
      <c r="Q4648" s="2">
        <f>AVERAGE(PerfRate[[#This Row],[EnvironmentSatisfaction]],PerfRate[[#This Row],[JobSatisfaction]],PerfRate[[#This Row],[RelationshipSatisfaction]])</f>
        <v>4.666666666666667</v>
      </c>
      <c r="R4648" s="2">
        <f>PerfRate[[#This Row],[ManagerRating]] - PerfRate[[#This Row],[SelfRating]]</f>
        <v>0</v>
      </c>
    </row>
    <row r="4649" spans="1:18">
      <c r="A4649" s="2" t="s">
        <v>8956</v>
      </c>
      <c r="B4649" s="2" t="s">
        <v>1238</v>
      </c>
      <c r="C4649" s="1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  <c r="L4649" s="2" t="s">
        <v>11029</v>
      </c>
      <c r="M4649" s="2" t="s">
        <v>11029</v>
      </c>
      <c r="N4649" s="2" t="s">
        <v>11036</v>
      </c>
      <c r="O4649" s="2" t="s">
        <v>11036</v>
      </c>
      <c r="P4649" s="2" t="s">
        <v>11035</v>
      </c>
      <c r="Q4649" s="2">
        <f>AVERAGE(PerfRate[[#This Row],[EnvironmentSatisfaction]],PerfRate[[#This Row],[JobSatisfaction]],PerfRate[[#This Row],[RelationshipSatisfaction]])</f>
        <v>2.6666666666666665</v>
      </c>
      <c r="R4649" s="2">
        <f>PerfRate[[#This Row],[ManagerRating]] - PerfRate[[#This Row],[SelfRating]]</f>
        <v>0</v>
      </c>
    </row>
    <row r="4650" spans="1:18">
      <c r="A4650" s="2" t="s">
        <v>8957</v>
      </c>
      <c r="B4650" s="2" t="s">
        <v>1546</v>
      </c>
      <c r="C4650" s="1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  <c r="L4650" s="2" t="s">
        <v>11031</v>
      </c>
      <c r="M4650" s="2" t="s">
        <v>11030</v>
      </c>
      <c r="N4650" s="2" t="s">
        <v>11037</v>
      </c>
      <c r="O4650" s="2" t="s">
        <v>11037</v>
      </c>
      <c r="P4650" s="2" t="s">
        <v>11038</v>
      </c>
      <c r="Q4650" s="2">
        <f>AVERAGE(PerfRate[[#This Row],[EnvironmentSatisfaction]],PerfRate[[#This Row],[JobSatisfaction]],PerfRate[[#This Row],[RelationshipSatisfaction]])</f>
        <v>4.333333333333333</v>
      </c>
      <c r="R4650" s="2">
        <f>PerfRate[[#This Row],[ManagerRating]] - PerfRate[[#This Row],[SelfRating]]</f>
        <v>-1</v>
      </c>
    </row>
    <row r="4651" spans="1:18">
      <c r="A4651" s="2" t="s">
        <v>8958</v>
      </c>
      <c r="B4651" s="2" t="s">
        <v>2008</v>
      </c>
      <c r="C4651" s="1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  <c r="L4651" s="2" t="s">
        <v>11029</v>
      </c>
      <c r="M4651" s="2" t="s">
        <v>11029</v>
      </c>
      <c r="N4651" s="2" t="s">
        <v>11036</v>
      </c>
      <c r="O4651" s="2" t="s">
        <v>11038</v>
      </c>
      <c r="P4651" s="2" t="s">
        <v>11037</v>
      </c>
      <c r="Q4651" s="2">
        <f>AVERAGE(PerfRate[[#This Row],[EnvironmentSatisfaction]],PerfRate[[#This Row],[JobSatisfaction]],PerfRate[[#This Row],[RelationshipSatisfaction]])</f>
        <v>4</v>
      </c>
      <c r="R4651" s="2">
        <f>PerfRate[[#This Row],[ManagerRating]] - PerfRate[[#This Row],[SelfRating]]</f>
        <v>0</v>
      </c>
    </row>
    <row r="4652" spans="1:18">
      <c r="A4652" s="2" t="s">
        <v>8959</v>
      </c>
      <c r="B4652" s="2" t="s">
        <v>2324</v>
      </c>
      <c r="C4652" s="1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  <c r="L4652" s="2" t="s">
        <v>11031</v>
      </c>
      <c r="M4652" s="2" t="s">
        <v>11031</v>
      </c>
      <c r="N4652" s="2" t="s">
        <v>11036</v>
      </c>
      <c r="O4652" s="2" t="s">
        <v>11037</v>
      </c>
      <c r="P4652" s="2" t="s">
        <v>11036</v>
      </c>
      <c r="Q4652" s="2">
        <f>AVERAGE(PerfRate[[#This Row],[EnvironmentSatisfaction]],PerfRate[[#This Row],[JobSatisfaction]],PerfRate[[#This Row],[RelationshipSatisfaction]])</f>
        <v>3.3333333333333335</v>
      </c>
      <c r="R4652" s="2">
        <f>PerfRate[[#This Row],[ManagerRating]] - PerfRate[[#This Row],[SelfRating]]</f>
        <v>0</v>
      </c>
    </row>
    <row r="4653" spans="1:18">
      <c r="A4653" s="2" t="s">
        <v>8960</v>
      </c>
      <c r="B4653" s="2" t="s">
        <v>2269</v>
      </c>
      <c r="C4653" s="1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  <c r="L4653" s="2" t="s">
        <v>11030</v>
      </c>
      <c r="M4653" s="2" t="s">
        <v>11030</v>
      </c>
      <c r="N4653" s="2" t="s">
        <v>11038</v>
      </c>
      <c r="O4653" s="2" t="s">
        <v>11035</v>
      </c>
      <c r="P4653" s="2" t="s">
        <v>11036</v>
      </c>
      <c r="Q4653" s="2">
        <f>AVERAGE(PerfRate[[#This Row],[EnvironmentSatisfaction]],PerfRate[[#This Row],[JobSatisfaction]],PerfRate[[#This Row],[RelationshipSatisfaction]])</f>
        <v>3.3333333333333335</v>
      </c>
      <c r="R4653" s="2">
        <f>PerfRate[[#This Row],[ManagerRating]] - PerfRate[[#This Row],[SelfRating]]</f>
        <v>0</v>
      </c>
    </row>
    <row r="4654" spans="1:18">
      <c r="A4654" s="2" t="s">
        <v>8961</v>
      </c>
      <c r="B4654" s="2" t="s">
        <v>272</v>
      </c>
      <c r="C4654" s="1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  <c r="L4654" s="2" t="s">
        <v>11030</v>
      </c>
      <c r="M4654" s="2" t="s">
        <v>11030</v>
      </c>
      <c r="N4654" s="2" t="s">
        <v>11036</v>
      </c>
      <c r="O4654" s="2" t="s">
        <v>11037</v>
      </c>
      <c r="P4654" s="2" t="s">
        <v>11038</v>
      </c>
      <c r="Q4654" s="2">
        <f>AVERAGE(PerfRate[[#This Row],[EnvironmentSatisfaction]],PerfRate[[#This Row],[JobSatisfaction]],PerfRate[[#This Row],[RelationshipSatisfaction]])</f>
        <v>4</v>
      </c>
      <c r="R4654" s="2">
        <f>PerfRate[[#This Row],[ManagerRating]] - PerfRate[[#This Row],[SelfRating]]</f>
        <v>0</v>
      </c>
    </row>
    <row r="4655" spans="1:18">
      <c r="A4655" s="2" t="s">
        <v>8962</v>
      </c>
      <c r="B4655" s="2" t="s">
        <v>151</v>
      </c>
      <c r="C4655" s="1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  <c r="L4655" s="2" t="s">
        <v>11030</v>
      </c>
      <c r="M4655" s="2" t="s">
        <v>11030</v>
      </c>
      <c r="N4655" s="2" t="s">
        <v>11037</v>
      </c>
      <c r="O4655" s="2" t="s">
        <v>11035</v>
      </c>
      <c r="P4655" s="2" t="s">
        <v>11036</v>
      </c>
      <c r="Q4655" s="2">
        <f>AVERAGE(PerfRate[[#This Row],[EnvironmentSatisfaction]],PerfRate[[#This Row],[JobSatisfaction]],PerfRate[[#This Row],[RelationshipSatisfaction]])</f>
        <v>3</v>
      </c>
      <c r="R4655" s="2">
        <f>PerfRate[[#This Row],[ManagerRating]] - PerfRate[[#This Row],[SelfRating]]</f>
        <v>0</v>
      </c>
    </row>
    <row r="4656" spans="1:18">
      <c r="A4656" s="2" t="s">
        <v>8963</v>
      </c>
      <c r="B4656" s="2" t="s">
        <v>1136</v>
      </c>
      <c r="C4656" s="1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  <c r="L4656" s="2" t="s">
        <v>11029</v>
      </c>
      <c r="M4656" s="2" t="s">
        <v>11028</v>
      </c>
      <c r="N4656" s="2" t="s">
        <v>11036</v>
      </c>
      <c r="O4656" s="2" t="s">
        <v>11036</v>
      </c>
      <c r="P4656" s="2" t="s">
        <v>11036</v>
      </c>
      <c r="Q4656" s="2">
        <f>AVERAGE(PerfRate[[#This Row],[EnvironmentSatisfaction]],PerfRate[[#This Row],[JobSatisfaction]],PerfRate[[#This Row],[RelationshipSatisfaction]])</f>
        <v>3</v>
      </c>
      <c r="R4656" s="2">
        <f>PerfRate[[#This Row],[ManagerRating]] - PerfRate[[#This Row],[SelfRating]]</f>
        <v>-1</v>
      </c>
    </row>
    <row r="4657" spans="1:18">
      <c r="A4657" s="2" t="s">
        <v>8964</v>
      </c>
      <c r="B4657" s="2" t="s">
        <v>1517</v>
      </c>
      <c r="C4657" s="1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  <c r="L4657" s="2" t="s">
        <v>11029</v>
      </c>
      <c r="M4657" s="2" t="s">
        <v>11028</v>
      </c>
      <c r="N4657" s="2" t="s">
        <v>11037</v>
      </c>
      <c r="O4657" s="2" t="s">
        <v>11035</v>
      </c>
      <c r="P4657" s="2" t="s">
        <v>11034</v>
      </c>
      <c r="Q4657" s="2">
        <f>AVERAGE(PerfRate[[#This Row],[EnvironmentSatisfaction]],PerfRate[[#This Row],[JobSatisfaction]],PerfRate[[#This Row],[RelationshipSatisfaction]])</f>
        <v>2.3333333333333335</v>
      </c>
      <c r="R4657" s="2">
        <f>PerfRate[[#This Row],[ManagerRating]] - PerfRate[[#This Row],[SelfRating]]</f>
        <v>-1</v>
      </c>
    </row>
    <row r="4658" spans="1:18">
      <c r="A4658" s="2" t="s">
        <v>8965</v>
      </c>
      <c r="B4658" s="2" t="s">
        <v>1649</v>
      </c>
      <c r="C4658" s="1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  <c r="L4658" s="2" t="s">
        <v>11031</v>
      </c>
      <c r="M4658" s="2" t="s">
        <v>11031</v>
      </c>
      <c r="N4658" s="2" t="s">
        <v>11036</v>
      </c>
      <c r="O4658" s="2" t="s">
        <v>11036</v>
      </c>
      <c r="P4658" s="2" t="s">
        <v>11035</v>
      </c>
      <c r="Q4658" s="2">
        <f>AVERAGE(PerfRate[[#This Row],[EnvironmentSatisfaction]],PerfRate[[#This Row],[JobSatisfaction]],PerfRate[[#This Row],[RelationshipSatisfaction]])</f>
        <v>2.6666666666666665</v>
      </c>
      <c r="R4658" s="2">
        <f>PerfRate[[#This Row],[ManagerRating]] - PerfRate[[#This Row],[SelfRating]]</f>
        <v>0</v>
      </c>
    </row>
    <row r="4659" spans="1:18">
      <c r="A4659" s="2" t="s">
        <v>8966</v>
      </c>
      <c r="B4659" s="2" t="s">
        <v>2074</v>
      </c>
      <c r="C4659" s="1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  <c r="L4659" s="2" t="s">
        <v>11030</v>
      </c>
      <c r="M4659" s="2" t="s">
        <v>11030</v>
      </c>
      <c r="N4659" s="2" t="s">
        <v>11036</v>
      </c>
      <c r="O4659" s="2" t="s">
        <v>11035</v>
      </c>
      <c r="P4659" s="2" t="s">
        <v>11035</v>
      </c>
      <c r="Q4659" s="2">
        <f>AVERAGE(PerfRate[[#This Row],[EnvironmentSatisfaction]],PerfRate[[#This Row],[JobSatisfaction]],PerfRate[[#This Row],[RelationshipSatisfaction]])</f>
        <v>2.3333333333333335</v>
      </c>
      <c r="R4659" s="2">
        <f>PerfRate[[#This Row],[ManagerRating]] - PerfRate[[#This Row],[SelfRating]]</f>
        <v>0</v>
      </c>
    </row>
    <row r="4660" spans="1:18">
      <c r="A4660" s="2" t="s">
        <v>8967</v>
      </c>
      <c r="B4660" s="2" t="s">
        <v>3857</v>
      </c>
      <c r="C4660" s="1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  <c r="L4660" s="2" t="s">
        <v>11029</v>
      </c>
      <c r="M4660" s="2" t="s">
        <v>11028</v>
      </c>
      <c r="N4660" s="2" t="s">
        <v>11034</v>
      </c>
      <c r="O4660" s="2" t="s">
        <v>11036</v>
      </c>
      <c r="P4660" s="2" t="s">
        <v>11035</v>
      </c>
      <c r="Q4660" s="2">
        <f>AVERAGE(PerfRate[[#This Row],[EnvironmentSatisfaction]],PerfRate[[#This Row],[JobSatisfaction]],PerfRate[[#This Row],[RelationshipSatisfaction]])</f>
        <v>2</v>
      </c>
      <c r="R4660" s="2">
        <f>PerfRate[[#This Row],[ManagerRating]] - PerfRate[[#This Row],[SelfRating]]</f>
        <v>-1</v>
      </c>
    </row>
    <row r="4661" spans="1:18">
      <c r="A4661" s="2" t="s">
        <v>8968</v>
      </c>
      <c r="B4661" s="2" t="s">
        <v>1391</v>
      </c>
      <c r="C4661" s="1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  <c r="L4661" s="2" t="s">
        <v>11029</v>
      </c>
      <c r="M4661" s="2" t="s">
        <v>11028</v>
      </c>
      <c r="N4661" s="2" t="s">
        <v>11036</v>
      </c>
      <c r="O4661" s="2" t="s">
        <v>11035</v>
      </c>
      <c r="P4661" s="2" t="s">
        <v>11038</v>
      </c>
      <c r="Q4661" s="2">
        <f>AVERAGE(PerfRate[[#This Row],[EnvironmentSatisfaction]],PerfRate[[#This Row],[JobSatisfaction]],PerfRate[[#This Row],[RelationshipSatisfaction]])</f>
        <v>3.3333333333333335</v>
      </c>
      <c r="R4661" s="2">
        <f>PerfRate[[#This Row],[ManagerRating]] - PerfRate[[#This Row],[SelfRating]]</f>
        <v>-1</v>
      </c>
    </row>
    <row r="4662" spans="1:18">
      <c r="A4662" s="2" t="s">
        <v>8969</v>
      </c>
      <c r="B4662" s="2" t="s">
        <v>410</v>
      </c>
      <c r="C4662" s="1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  <c r="L4662" s="2" t="s">
        <v>11029</v>
      </c>
      <c r="M4662" s="2" t="s">
        <v>11029</v>
      </c>
      <c r="N4662" s="2" t="s">
        <v>11037</v>
      </c>
      <c r="O4662" s="2" t="s">
        <v>11037</v>
      </c>
      <c r="P4662" s="2" t="s">
        <v>11038</v>
      </c>
      <c r="Q4662" s="2">
        <f>AVERAGE(PerfRate[[#This Row],[EnvironmentSatisfaction]],PerfRate[[#This Row],[JobSatisfaction]],PerfRate[[#This Row],[RelationshipSatisfaction]])</f>
        <v>4.333333333333333</v>
      </c>
      <c r="R4662" s="2">
        <f>PerfRate[[#This Row],[ManagerRating]] - PerfRate[[#This Row],[SelfRating]]</f>
        <v>0</v>
      </c>
    </row>
    <row r="4663" spans="1:18">
      <c r="A4663" s="2" t="s">
        <v>8970</v>
      </c>
      <c r="B4663" s="2" t="s">
        <v>3394</v>
      </c>
      <c r="C4663" s="1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  <c r="L4663" s="2" t="s">
        <v>11029</v>
      </c>
      <c r="M4663" s="2" t="s">
        <v>11028</v>
      </c>
      <c r="N4663" s="2" t="s">
        <v>11036</v>
      </c>
      <c r="O4663" s="2" t="s">
        <v>11035</v>
      </c>
      <c r="P4663" s="2" t="s">
        <v>11037</v>
      </c>
      <c r="Q4663" s="2">
        <f>AVERAGE(PerfRate[[#This Row],[EnvironmentSatisfaction]],PerfRate[[#This Row],[JobSatisfaction]],PerfRate[[#This Row],[RelationshipSatisfaction]])</f>
        <v>3</v>
      </c>
      <c r="R4663" s="2">
        <f>PerfRate[[#This Row],[ManagerRating]] - PerfRate[[#This Row],[SelfRating]]</f>
        <v>-1</v>
      </c>
    </row>
    <row r="4664" spans="1:18">
      <c r="A4664" s="2" t="s">
        <v>8971</v>
      </c>
      <c r="B4664" s="2" t="s">
        <v>1844</v>
      </c>
      <c r="C4664" s="1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  <c r="L4664" s="2" t="s">
        <v>11029</v>
      </c>
      <c r="M4664" s="2" t="s">
        <v>11028</v>
      </c>
      <c r="N4664" s="2" t="s">
        <v>11037</v>
      </c>
      <c r="O4664" s="2" t="s">
        <v>11038</v>
      </c>
      <c r="P4664" s="2" t="s">
        <v>11036</v>
      </c>
      <c r="Q4664" s="2">
        <f>AVERAGE(PerfRate[[#This Row],[EnvironmentSatisfaction]],PerfRate[[#This Row],[JobSatisfaction]],PerfRate[[#This Row],[RelationshipSatisfaction]])</f>
        <v>4</v>
      </c>
      <c r="R4664" s="2">
        <f>PerfRate[[#This Row],[ManagerRating]] - PerfRate[[#This Row],[SelfRating]]</f>
        <v>-1</v>
      </c>
    </row>
    <row r="4665" spans="1:18">
      <c r="A4665" s="2" t="s">
        <v>8972</v>
      </c>
      <c r="B4665" s="2" t="s">
        <v>35</v>
      </c>
      <c r="C4665" s="1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  <c r="L4665" s="2" t="s">
        <v>11030</v>
      </c>
      <c r="M4665" s="2" t="s">
        <v>11030</v>
      </c>
      <c r="N4665" s="2" t="s">
        <v>11038</v>
      </c>
      <c r="O4665" s="2" t="s">
        <v>11036</v>
      </c>
      <c r="P4665" s="2" t="s">
        <v>11037</v>
      </c>
      <c r="Q4665" s="2">
        <f>AVERAGE(PerfRate[[#This Row],[EnvironmentSatisfaction]],PerfRate[[#This Row],[JobSatisfaction]],PerfRate[[#This Row],[RelationshipSatisfaction]])</f>
        <v>4</v>
      </c>
      <c r="R4665" s="2">
        <f>PerfRate[[#This Row],[ManagerRating]] - PerfRate[[#This Row],[SelfRating]]</f>
        <v>0</v>
      </c>
    </row>
    <row r="4666" spans="1:18">
      <c r="A4666" s="2" t="s">
        <v>8973</v>
      </c>
      <c r="B4666" s="2" t="s">
        <v>583</v>
      </c>
      <c r="C4666" s="1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  <c r="L4666" s="2" t="s">
        <v>11030</v>
      </c>
      <c r="M4666" s="2" t="s">
        <v>11030</v>
      </c>
      <c r="N4666" s="2" t="s">
        <v>11037</v>
      </c>
      <c r="O4666" s="2" t="s">
        <v>11035</v>
      </c>
      <c r="P4666" s="2" t="s">
        <v>11036</v>
      </c>
      <c r="Q4666" s="2">
        <f>AVERAGE(PerfRate[[#This Row],[EnvironmentSatisfaction]],PerfRate[[#This Row],[JobSatisfaction]],PerfRate[[#This Row],[RelationshipSatisfaction]])</f>
        <v>3</v>
      </c>
      <c r="R4666" s="2">
        <f>PerfRate[[#This Row],[ManagerRating]] - PerfRate[[#This Row],[SelfRating]]</f>
        <v>0</v>
      </c>
    </row>
    <row r="4667" spans="1:18">
      <c r="A4667" s="2" t="s">
        <v>8974</v>
      </c>
      <c r="B4667" s="2" t="s">
        <v>1062</v>
      </c>
      <c r="C4667" s="1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  <c r="L4667" s="2" t="s">
        <v>11030</v>
      </c>
      <c r="M4667" s="2" t="s">
        <v>11029</v>
      </c>
      <c r="N4667" s="2" t="s">
        <v>11036</v>
      </c>
      <c r="O4667" s="2" t="s">
        <v>11038</v>
      </c>
      <c r="P4667" s="2" t="s">
        <v>11036</v>
      </c>
      <c r="Q4667" s="2">
        <f>AVERAGE(PerfRate[[#This Row],[EnvironmentSatisfaction]],PerfRate[[#This Row],[JobSatisfaction]],PerfRate[[#This Row],[RelationshipSatisfaction]])</f>
        <v>3.6666666666666665</v>
      </c>
      <c r="R4667" s="2">
        <f>PerfRate[[#This Row],[ManagerRating]] - PerfRate[[#This Row],[SelfRating]]</f>
        <v>-1</v>
      </c>
    </row>
    <row r="4668" spans="1:18">
      <c r="A4668" s="2" t="s">
        <v>8975</v>
      </c>
      <c r="B4668" s="2" t="s">
        <v>1617</v>
      </c>
      <c r="C4668" s="1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  <c r="L4668" s="2" t="s">
        <v>11030</v>
      </c>
      <c r="M4668" s="2" t="s">
        <v>11029</v>
      </c>
      <c r="N4668" s="2" t="s">
        <v>11037</v>
      </c>
      <c r="O4668" s="2" t="s">
        <v>11038</v>
      </c>
      <c r="P4668" s="2" t="s">
        <v>11035</v>
      </c>
      <c r="Q4668" s="2">
        <f>AVERAGE(PerfRate[[#This Row],[EnvironmentSatisfaction]],PerfRate[[#This Row],[JobSatisfaction]],PerfRate[[#This Row],[RelationshipSatisfaction]])</f>
        <v>3.6666666666666665</v>
      </c>
      <c r="R4668" s="2">
        <f>PerfRate[[#This Row],[ManagerRating]] - PerfRate[[#This Row],[SelfRating]]</f>
        <v>-1</v>
      </c>
    </row>
    <row r="4669" spans="1:18">
      <c r="A4669" s="2" t="s">
        <v>8976</v>
      </c>
      <c r="B4669" s="2" t="s">
        <v>1450</v>
      </c>
      <c r="C4669" s="1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  <c r="L4669" s="2" t="s">
        <v>11031</v>
      </c>
      <c r="M4669" s="2" t="s">
        <v>11030</v>
      </c>
      <c r="N4669" s="2" t="s">
        <v>11037</v>
      </c>
      <c r="O4669" s="2" t="s">
        <v>11035</v>
      </c>
      <c r="P4669" s="2" t="s">
        <v>11037</v>
      </c>
      <c r="Q4669" s="2">
        <f>AVERAGE(PerfRate[[#This Row],[EnvironmentSatisfaction]],PerfRate[[#This Row],[JobSatisfaction]],PerfRate[[#This Row],[RelationshipSatisfaction]])</f>
        <v>3.3333333333333335</v>
      </c>
      <c r="R4669" s="2">
        <f>PerfRate[[#This Row],[ManagerRating]] - PerfRate[[#This Row],[SelfRating]]</f>
        <v>-1</v>
      </c>
    </row>
    <row r="4670" spans="1:18">
      <c r="A4670" s="2" t="s">
        <v>8977</v>
      </c>
      <c r="B4670" s="2" t="s">
        <v>829</v>
      </c>
      <c r="C4670" s="1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  <c r="L4670" s="2" t="s">
        <v>11031</v>
      </c>
      <c r="M4670" s="2" t="s">
        <v>11030</v>
      </c>
      <c r="N4670" s="2" t="s">
        <v>11038</v>
      </c>
      <c r="O4670" s="2" t="s">
        <v>11036</v>
      </c>
      <c r="P4670" s="2" t="s">
        <v>11036</v>
      </c>
      <c r="Q4670" s="2">
        <f>AVERAGE(PerfRate[[#This Row],[EnvironmentSatisfaction]],PerfRate[[#This Row],[JobSatisfaction]],PerfRate[[#This Row],[RelationshipSatisfaction]])</f>
        <v>3.6666666666666665</v>
      </c>
      <c r="R4670" s="2">
        <f>PerfRate[[#This Row],[ManagerRating]] - PerfRate[[#This Row],[SelfRating]]</f>
        <v>-1</v>
      </c>
    </row>
    <row r="4671" spans="1:18">
      <c r="A4671" s="2" t="s">
        <v>8978</v>
      </c>
      <c r="B4671" s="2" t="s">
        <v>1875</v>
      </c>
      <c r="C4671" s="1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  <c r="L4671" s="2" t="s">
        <v>11031</v>
      </c>
      <c r="M4671" s="2" t="s">
        <v>11031</v>
      </c>
      <c r="N4671" s="2" t="s">
        <v>11038</v>
      </c>
      <c r="O4671" s="2" t="s">
        <v>11037</v>
      </c>
      <c r="P4671" s="2" t="s">
        <v>11036</v>
      </c>
      <c r="Q4671" s="2">
        <f>AVERAGE(PerfRate[[#This Row],[EnvironmentSatisfaction]],PerfRate[[#This Row],[JobSatisfaction]],PerfRate[[#This Row],[RelationshipSatisfaction]])</f>
        <v>4</v>
      </c>
      <c r="R4671" s="2">
        <f>PerfRate[[#This Row],[ManagerRating]] - PerfRate[[#This Row],[SelfRating]]</f>
        <v>0</v>
      </c>
    </row>
    <row r="4672" spans="1:18">
      <c r="A4672" s="2" t="s">
        <v>8979</v>
      </c>
      <c r="B4672" s="2" t="s">
        <v>2450</v>
      </c>
      <c r="C4672" s="1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  <c r="L4672" s="2" t="s">
        <v>11031</v>
      </c>
      <c r="M4672" s="2" t="s">
        <v>11030</v>
      </c>
      <c r="N4672" s="2" t="s">
        <v>11038</v>
      </c>
      <c r="O4672" s="2" t="s">
        <v>11038</v>
      </c>
      <c r="P4672" s="2" t="s">
        <v>11037</v>
      </c>
      <c r="Q4672" s="2">
        <f>AVERAGE(PerfRate[[#This Row],[EnvironmentSatisfaction]],PerfRate[[#This Row],[JobSatisfaction]],PerfRate[[#This Row],[RelationshipSatisfaction]])</f>
        <v>4.666666666666667</v>
      </c>
      <c r="R4672" s="2">
        <f>PerfRate[[#This Row],[ManagerRating]] - PerfRate[[#This Row],[SelfRating]]</f>
        <v>-1</v>
      </c>
    </row>
    <row r="4673" spans="1:18">
      <c r="A4673" s="2" t="s">
        <v>8980</v>
      </c>
      <c r="B4673" s="2" t="s">
        <v>717</v>
      </c>
      <c r="C4673" s="1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  <c r="L4673" s="2" t="s">
        <v>11030</v>
      </c>
      <c r="M4673" s="2" t="s">
        <v>11030</v>
      </c>
      <c r="N4673" s="2" t="s">
        <v>11038</v>
      </c>
      <c r="O4673" s="2" t="s">
        <v>11036</v>
      </c>
      <c r="P4673" s="2" t="s">
        <v>11038</v>
      </c>
      <c r="Q4673" s="2">
        <f>AVERAGE(PerfRate[[#This Row],[EnvironmentSatisfaction]],PerfRate[[#This Row],[JobSatisfaction]],PerfRate[[#This Row],[RelationshipSatisfaction]])</f>
        <v>4.333333333333333</v>
      </c>
      <c r="R4673" s="2">
        <f>PerfRate[[#This Row],[ManagerRating]] - PerfRate[[#This Row],[SelfRating]]</f>
        <v>0</v>
      </c>
    </row>
    <row r="4674" spans="1:18">
      <c r="A4674" s="2" t="s">
        <v>8981</v>
      </c>
      <c r="B4674" s="2" t="s">
        <v>1409</v>
      </c>
      <c r="C4674" s="1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  <c r="L4674" s="2" t="s">
        <v>11030</v>
      </c>
      <c r="M4674" s="2" t="s">
        <v>11030</v>
      </c>
      <c r="N4674" s="2" t="s">
        <v>11037</v>
      </c>
      <c r="O4674" s="2" t="s">
        <v>11036</v>
      </c>
      <c r="P4674" s="2" t="s">
        <v>11036</v>
      </c>
      <c r="Q4674" s="2">
        <f>AVERAGE(PerfRate[[#This Row],[EnvironmentSatisfaction]],PerfRate[[#This Row],[JobSatisfaction]],PerfRate[[#This Row],[RelationshipSatisfaction]])</f>
        <v>3.3333333333333335</v>
      </c>
      <c r="R4674" s="2">
        <f>PerfRate[[#This Row],[ManagerRating]] - PerfRate[[#This Row],[SelfRating]]</f>
        <v>0</v>
      </c>
    </row>
    <row r="4675" spans="1:18">
      <c r="A4675" s="2" t="s">
        <v>8982</v>
      </c>
      <c r="B4675" s="2" t="s">
        <v>1727</v>
      </c>
      <c r="C4675" s="1">
        <v>44204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  <c r="L4675" s="2" t="s">
        <v>11029</v>
      </c>
      <c r="M4675" s="2" t="s">
        <v>11029</v>
      </c>
      <c r="N4675" s="2" t="s">
        <v>11037</v>
      </c>
      <c r="O4675" s="2" t="s">
        <v>11036</v>
      </c>
      <c r="P4675" s="2" t="s">
        <v>11036</v>
      </c>
      <c r="Q4675" s="2">
        <f>AVERAGE(PerfRate[[#This Row],[EnvironmentSatisfaction]],PerfRate[[#This Row],[JobSatisfaction]],PerfRate[[#This Row],[RelationshipSatisfaction]])</f>
        <v>3.3333333333333335</v>
      </c>
      <c r="R4675" s="2">
        <f>PerfRate[[#This Row],[ManagerRating]] - PerfRate[[#This Row],[SelfRating]]</f>
        <v>0</v>
      </c>
    </row>
    <row r="4676" spans="1:18">
      <c r="A4676" s="2" t="s">
        <v>8983</v>
      </c>
      <c r="B4676" s="2" t="s">
        <v>1505</v>
      </c>
      <c r="C4676" s="1">
        <v>44235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  <c r="L4676" s="2" t="s">
        <v>11031</v>
      </c>
      <c r="M4676" s="2" t="s">
        <v>11030</v>
      </c>
      <c r="N4676" s="2" t="s">
        <v>11037</v>
      </c>
      <c r="O4676" s="2" t="s">
        <v>11038</v>
      </c>
      <c r="P4676" s="2" t="s">
        <v>11037</v>
      </c>
      <c r="Q4676" s="2">
        <f>AVERAGE(PerfRate[[#This Row],[EnvironmentSatisfaction]],PerfRate[[#This Row],[JobSatisfaction]],PerfRate[[#This Row],[RelationshipSatisfaction]])</f>
        <v>4.333333333333333</v>
      </c>
      <c r="R4676" s="2">
        <f>PerfRate[[#This Row],[ManagerRating]] - PerfRate[[#This Row],[SelfRating]]</f>
        <v>-1</v>
      </c>
    </row>
    <row r="4677" spans="1:18">
      <c r="A4677" s="2" t="s">
        <v>8984</v>
      </c>
      <c r="B4677" s="2" t="s">
        <v>1526</v>
      </c>
      <c r="C4677" s="1">
        <v>44235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  <c r="L4677" s="2" t="s">
        <v>11029</v>
      </c>
      <c r="M4677" s="2" t="s">
        <v>11029</v>
      </c>
      <c r="N4677" s="2" t="s">
        <v>11037</v>
      </c>
      <c r="O4677" s="2" t="s">
        <v>11037</v>
      </c>
      <c r="P4677" s="2" t="s">
        <v>11036</v>
      </c>
      <c r="Q4677" s="2">
        <f>AVERAGE(PerfRate[[#This Row],[EnvironmentSatisfaction]],PerfRate[[#This Row],[JobSatisfaction]],PerfRate[[#This Row],[RelationshipSatisfaction]])</f>
        <v>3.6666666666666665</v>
      </c>
      <c r="R4677" s="2">
        <f>PerfRate[[#This Row],[ManagerRating]] - PerfRate[[#This Row],[SelfRating]]</f>
        <v>0</v>
      </c>
    </row>
    <row r="4678" spans="1:18">
      <c r="A4678" s="2" t="s">
        <v>8985</v>
      </c>
      <c r="B4678" s="2" t="s">
        <v>2545</v>
      </c>
      <c r="C4678" s="1">
        <v>44263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  <c r="L4678" s="2" t="s">
        <v>11029</v>
      </c>
      <c r="M4678" s="2" t="s">
        <v>11028</v>
      </c>
      <c r="N4678" s="2" t="s">
        <v>11038</v>
      </c>
      <c r="O4678" s="2" t="s">
        <v>11037</v>
      </c>
      <c r="P4678" s="2" t="s">
        <v>11035</v>
      </c>
      <c r="Q4678" s="2">
        <f>AVERAGE(PerfRate[[#This Row],[EnvironmentSatisfaction]],PerfRate[[#This Row],[JobSatisfaction]],PerfRate[[#This Row],[RelationshipSatisfaction]])</f>
        <v>3.6666666666666665</v>
      </c>
      <c r="R4678" s="2">
        <f>PerfRate[[#This Row],[ManagerRating]] - PerfRate[[#This Row],[SelfRating]]</f>
        <v>-1</v>
      </c>
    </row>
    <row r="4679" spans="1:18">
      <c r="A4679" s="2" t="s">
        <v>8986</v>
      </c>
      <c r="B4679" s="2" t="s">
        <v>377</v>
      </c>
      <c r="C4679" s="1">
        <v>44263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  <c r="L4679" s="2" t="s">
        <v>11029</v>
      </c>
      <c r="M4679" s="2" t="s">
        <v>11029</v>
      </c>
      <c r="N4679" s="2" t="s">
        <v>11038</v>
      </c>
      <c r="O4679" s="2" t="s">
        <v>11035</v>
      </c>
      <c r="P4679" s="2" t="s">
        <v>11038</v>
      </c>
      <c r="Q4679" s="2">
        <f>AVERAGE(PerfRate[[#This Row],[EnvironmentSatisfaction]],PerfRate[[#This Row],[JobSatisfaction]],PerfRate[[#This Row],[RelationshipSatisfaction]])</f>
        <v>4</v>
      </c>
      <c r="R4679" s="2">
        <f>PerfRate[[#This Row],[ManagerRating]] - PerfRate[[#This Row],[SelfRating]]</f>
        <v>0</v>
      </c>
    </row>
    <row r="4680" spans="1:18">
      <c r="A4680" s="2" t="s">
        <v>8987</v>
      </c>
      <c r="B4680" s="2" t="s">
        <v>115</v>
      </c>
      <c r="C4680" s="1">
        <v>44263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  <c r="L4680" s="2" t="s">
        <v>11031</v>
      </c>
      <c r="M4680" s="2" t="s">
        <v>11031</v>
      </c>
      <c r="N4680" s="2" t="s">
        <v>11037</v>
      </c>
      <c r="O4680" s="2" t="s">
        <v>11035</v>
      </c>
      <c r="P4680" s="2" t="s">
        <v>11037</v>
      </c>
      <c r="Q4680" s="2">
        <f>AVERAGE(PerfRate[[#This Row],[EnvironmentSatisfaction]],PerfRate[[#This Row],[JobSatisfaction]],PerfRate[[#This Row],[RelationshipSatisfaction]])</f>
        <v>3.3333333333333335</v>
      </c>
      <c r="R4680" s="2">
        <f>PerfRate[[#This Row],[ManagerRating]] - PerfRate[[#This Row],[SelfRating]]</f>
        <v>0</v>
      </c>
    </row>
    <row r="4681" spans="1:18">
      <c r="A4681" s="2" t="s">
        <v>8988</v>
      </c>
      <c r="B4681" s="2" t="s">
        <v>1054</v>
      </c>
      <c r="C4681" s="1">
        <v>44263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  <c r="L4681" s="2" t="s">
        <v>11030</v>
      </c>
      <c r="M4681" s="2" t="s">
        <v>11029</v>
      </c>
      <c r="N4681" s="2" t="s">
        <v>11038</v>
      </c>
      <c r="O4681" s="2" t="s">
        <v>11035</v>
      </c>
      <c r="P4681" s="2" t="s">
        <v>11035</v>
      </c>
      <c r="Q4681" s="2">
        <f>AVERAGE(PerfRate[[#This Row],[EnvironmentSatisfaction]],PerfRate[[#This Row],[JobSatisfaction]],PerfRate[[#This Row],[RelationshipSatisfaction]])</f>
        <v>3</v>
      </c>
      <c r="R4681" s="2">
        <f>PerfRate[[#This Row],[ManagerRating]] - PerfRate[[#This Row],[SelfRating]]</f>
        <v>-1</v>
      </c>
    </row>
    <row r="4682" spans="1:18">
      <c r="A4682" s="2" t="s">
        <v>8989</v>
      </c>
      <c r="B4682" s="2" t="s">
        <v>2057</v>
      </c>
      <c r="C4682" s="1">
        <v>44263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  <c r="L4682" s="2" t="s">
        <v>11029</v>
      </c>
      <c r="M4682" s="2" t="s">
        <v>11028</v>
      </c>
      <c r="N4682" s="2" t="s">
        <v>11037</v>
      </c>
      <c r="O4682" s="2" t="s">
        <v>11036</v>
      </c>
      <c r="P4682" s="2" t="s">
        <v>11036</v>
      </c>
      <c r="Q4682" s="2">
        <f>AVERAGE(PerfRate[[#This Row],[EnvironmentSatisfaction]],PerfRate[[#This Row],[JobSatisfaction]],PerfRate[[#This Row],[RelationshipSatisfaction]])</f>
        <v>3.3333333333333335</v>
      </c>
      <c r="R4682" s="2">
        <f>PerfRate[[#This Row],[ManagerRating]] - PerfRate[[#This Row],[SelfRating]]</f>
        <v>-1</v>
      </c>
    </row>
    <row r="4683" spans="1:18">
      <c r="A4683" s="2" t="s">
        <v>8990</v>
      </c>
      <c r="B4683" s="2" t="s">
        <v>2935</v>
      </c>
      <c r="C4683" s="1">
        <v>44263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  <c r="L4683" s="2" t="s">
        <v>11031</v>
      </c>
      <c r="M4683" s="2" t="s">
        <v>11030</v>
      </c>
      <c r="N4683" s="2" t="s">
        <v>11036</v>
      </c>
      <c r="O4683" s="2" t="s">
        <v>11038</v>
      </c>
      <c r="P4683" s="2" t="s">
        <v>11038</v>
      </c>
      <c r="Q4683" s="2">
        <f>AVERAGE(PerfRate[[#This Row],[EnvironmentSatisfaction]],PerfRate[[#This Row],[JobSatisfaction]],PerfRate[[#This Row],[RelationshipSatisfaction]])</f>
        <v>4.333333333333333</v>
      </c>
      <c r="R4683" s="2">
        <f>PerfRate[[#This Row],[ManagerRating]] - PerfRate[[#This Row],[SelfRating]]</f>
        <v>-1</v>
      </c>
    </row>
    <row r="4684" spans="1:18">
      <c r="A4684" s="2" t="s">
        <v>8991</v>
      </c>
      <c r="B4684" s="2" t="s">
        <v>553</v>
      </c>
      <c r="C4684" s="1">
        <v>44324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  <c r="L4684" s="2" t="s">
        <v>11029</v>
      </c>
      <c r="M4684" s="2" t="s">
        <v>11029</v>
      </c>
      <c r="N4684" s="2" t="s">
        <v>11037</v>
      </c>
      <c r="O4684" s="2" t="s">
        <v>11036</v>
      </c>
      <c r="P4684" s="2" t="s">
        <v>11036</v>
      </c>
      <c r="Q4684" s="2">
        <f>AVERAGE(PerfRate[[#This Row],[EnvironmentSatisfaction]],PerfRate[[#This Row],[JobSatisfaction]],PerfRate[[#This Row],[RelationshipSatisfaction]])</f>
        <v>3.3333333333333335</v>
      </c>
      <c r="R4684" s="2">
        <f>PerfRate[[#This Row],[ManagerRating]] - PerfRate[[#This Row],[SelfRating]]</f>
        <v>0</v>
      </c>
    </row>
    <row r="4685" spans="1:18">
      <c r="A4685" s="2" t="s">
        <v>8992</v>
      </c>
      <c r="B4685" s="2" t="s">
        <v>511</v>
      </c>
      <c r="C4685" s="1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  <c r="L4685" s="2" t="s">
        <v>11030</v>
      </c>
      <c r="M4685" s="2" t="s">
        <v>11029</v>
      </c>
      <c r="N4685" s="2" t="s">
        <v>11037</v>
      </c>
      <c r="O4685" s="2" t="s">
        <v>11035</v>
      </c>
      <c r="P4685" s="2" t="s">
        <v>11037</v>
      </c>
      <c r="Q4685" s="2">
        <f>AVERAGE(PerfRate[[#This Row],[EnvironmentSatisfaction]],PerfRate[[#This Row],[JobSatisfaction]],PerfRate[[#This Row],[RelationshipSatisfaction]])</f>
        <v>3.3333333333333335</v>
      </c>
      <c r="R4685" s="2">
        <f>PerfRate[[#This Row],[ManagerRating]] - PerfRate[[#This Row],[SelfRating]]</f>
        <v>-1</v>
      </c>
    </row>
    <row r="4686" spans="1:18">
      <c r="A4686" s="2" t="s">
        <v>8993</v>
      </c>
      <c r="B4686" s="2" t="s">
        <v>729</v>
      </c>
      <c r="C4686" s="1">
        <v>44324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  <c r="L4686" s="2" t="s">
        <v>11029</v>
      </c>
      <c r="M4686" s="2" t="s">
        <v>11029</v>
      </c>
      <c r="N4686" s="2" t="s">
        <v>11036</v>
      </c>
      <c r="O4686" s="2" t="s">
        <v>11037</v>
      </c>
      <c r="P4686" s="2" t="s">
        <v>11036</v>
      </c>
      <c r="Q4686" s="2">
        <f>AVERAGE(PerfRate[[#This Row],[EnvironmentSatisfaction]],PerfRate[[#This Row],[JobSatisfaction]],PerfRate[[#This Row],[RelationshipSatisfaction]])</f>
        <v>3.3333333333333335</v>
      </c>
      <c r="R4686" s="2">
        <f>PerfRate[[#This Row],[ManagerRating]] - PerfRate[[#This Row],[SelfRating]]</f>
        <v>0</v>
      </c>
    </row>
    <row r="4687" spans="1:18">
      <c r="A4687" s="2" t="s">
        <v>8994</v>
      </c>
      <c r="B4687" s="2" t="s">
        <v>1956</v>
      </c>
      <c r="C4687" s="1">
        <v>44324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  <c r="L4687" s="2" t="s">
        <v>11029</v>
      </c>
      <c r="M4687" s="2" t="s">
        <v>11028</v>
      </c>
      <c r="N4687" s="2" t="s">
        <v>11036</v>
      </c>
      <c r="O4687" s="2" t="s">
        <v>11037</v>
      </c>
      <c r="P4687" s="2" t="s">
        <v>11037</v>
      </c>
      <c r="Q4687" s="2">
        <f>AVERAGE(PerfRate[[#This Row],[EnvironmentSatisfaction]],PerfRate[[#This Row],[JobSatisfaction]],PerfRate[[#This Row],[RelationshipSatisfaction]])</f>
        <v>3.6666666666666665</v>
      </c>
      <c r="R4687" s="2">
        <f>PerfRate[[#This Row],[ManagerRating]] - PerfRate[[#This Row],[SelfRating]]</f>
        <v>-1</v>
      </c>
    </row>
    <row r="4688" spans="1:18">
      <c r="A4688" s="2" t="s">
        <v>8995</v>
      </c>
      <c r="B4688" s="2" t="s">
        <v>2867</v>
      </c>
      <c r="C4688" s="1">
        <v>44324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  <c r="L4688" s="2" t="s">
        <v>11030</v>
      </c>
      <c r="M4688" s="2" t="s">
        <v>11029</v>
      </c>
      <c r="N4688" s="2" t="s">
        <v>11038</v>
      </c>
      <c r="O4688" s="2" t="s">
        <v>11037</v>
      </c>
      <c r="P4688" s="2" t="s">
        <v>11037</v>
      </c>
      <c r="Q4688" s="2">
        <f>AVERAGE(PerfRate[[#This Row],[EnvironmentSatisfaction]],PerfRate[[#This Row],[JobSatisfaction]],PerfRate[[#This Row],[RelationshipSatisfaction]])</f>
        <v>4.333333333333333</v>
      </c>
      <c r="R4688" s="2">
        <f>PerfRate[[#This Row],[ManagerRating]] - PerfRate[[#This Row],[SelfRating]]</f>
        <v>-1</v>
      </c>
    </row>
    <row r="4689" spans="1:18">
      <c r="A4689" s="2" t="s">
        <v>8996</v>
      </c>
      <c r="B4689" s="2" t="s">
        <v>2764</v>
      </c>
      <c r="C4689" s="1">
        <v>44324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  <c r="L4689" s="2" t="s">
        <v>11029</v>
      </c>
      <c r="M4689" s="2" t="s">
        <v>11029</v>
      </c>
      <c r="N4689" s="2" t="s">
        <v>11037</v>
      </c>
      <c r="O4689" s="2" t="s">
        <v>11035</v>
      </c>
      <c r="P4689" s="2" t="s">
        <v>11036</v>
      </c>
      <c r="Q4689" s="2">
        <f>AVERAGE(PerfRate[[#This Row],[EnvironmentSatisfaction]],PerfRate[[#This Row],[JobSatisfaction]],PerfRate[[#This Row],[RelationshipSatisfaction]])</f>
        <v>3</v>
      </c>
      <c r="R4689" s="2">
        <f>PerfRate[[#This Row],[ManagerRating]] - PerfRate[[#This Row],[SelfRating]]</f>
        <v>0</v>
      </c>
    </row>
    <row r="4690" spans="1:18">
      <c r="A4690" s="2" t="s">
        <v>8997</v>
      </c>
      <c r="B4690" s="2" t="s">
        <v>2357</v>
      </c>
      <c r="C4690" s="1">
        <v>44355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  <c r="L4690" s="2" t="s">
        <v>11030</v>
      </c>
      <c r="M4690" s="2" t="s">
        <v>11029</v>
      </c>
      <c r="N4690" s="2" t="s">
        <v>11037</v>
      </c>
      <c r="O4690" s="2" t="s">
        <v>11035</v>
      </c>
      <c r="P4690" s="2" t="s">
        <v>11038</v>
      </c>
      <c r="Q4690" s="2">
        <f>AVERAGE(PerfRate[[#This Row],[EnvironmentSatisfaction]],PerfRate[[#This Row],[JobSatisfaction]],PerfRate[[#This Row],[RelationshipSatisfaction]])</f>
        <v>3.6666666666666665</v>
      </c>
      <c r="R4690" s="2">
        <f>PerfRate[[#This Row],[ManagerRating]] - PerfRate[[#This Row],[SelfRating]]</f>
        <v>-1</v>
      </c>
    </row>
    <row r="4691" spans="1:18">
      <c r="A4691" s="2" t="s">
        <v>8998</v>
      </c>
      <c r="B4691" s="2" t="s">
        <v>2824</v>
      </c>
      <c r="C4691" s="1">
        <v>44385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  <c r="L4691" s="2" t="s">
        <v>11029</v>
      </c>
      <c r="M4691" s="2" t="s">
        <v>11029</v>
      </c>
      <c r="N4691" s="2" t="s">
        <v>11038</v>
      </c>
      <c r="O4691" s="2" t="s">
        <v>11038</v>
      </c>
      <c r="P4691" s="2" t="s">
        <v>11035</v>
      </c>
      <c r="Q4691" s="2">
        <f>AVERAGE(PerfRate[[#This Row],[EnvironmentSatisfaction]],PerfRate[[#This Row],[JobSatisfaction]],PerfRate[[#This Row],[RelationshipSatisfaction]])</f>
        <v>4</v>
      </c>
      <c r="R4691" s="2">
        <f>PerfRate[[#This Row],[ManagerRating]] - PerfRate[[#This Row],[SelfRating]]</f>
        <v>0</v>
      </c>
    </row>
    <row r="4692" spans="1:18">
      <c r="A4692" s="2" t="s">
        <v>8999</v>
      </c>
      <c r="B4692" s="2" t="s">
        <v>3648</v>
      </c>
      <c r="C4692" s="1">
        <v>44385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  <c r="L4692" s="2" t="s">
        <v>11030</v>
      </c>
      <c r="M4692" s="2" t="s">
        <v>11030</v>
      </c>
      <c r="N4692" s="2" t="s">
        <v>11036</v>
      </c>
      <c r="O4692" s="2" t="s">
        <v>11037</v>
      </c>
      <c r="P4692" s="2" t="s">
        <v>11037</v>
      </c>
      <c r="Q4692" s="2">
        <f>AVERAGE(PerfRate[[#This Row],[EnvironmentSatisfaction]],PerfRate[[#This Row],[JobSatisfaction]],PerfRate[[#This Row],[RelationshipSatisfaction]])</f>
        <v>3.6666666666666665</v>
      </c>
      <c r="R4692" s="2">
        <f>PerfRate[[#This Row],[ManagerRating]] - PerfRate[[#This Row],[SelfRating]]</f>
        <v>0</v>
      </c>
    </row>
    <row r="4693" spans="1:18">
      <c r="A4693" s="2" t="s">
        <v>9000</v>
      </c>
      <c r="B4693" s="2" t="s">
        <v>774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  <c r="L4693" s="2" t="s">
        <v>11030</v>
      </c>
      <c r="M4693" s="2" t="s">
        <v>11030</v>
      </c>
      <c r="N4693" s="2" t="s">
        <v>11037</v>
      </c>
      <c r="O4693" s="2" t="s">
        <v>11037</v>
      </c>
      <c r="P4693" s="2" t="s">
        <v>11035</v>
      </c>
      <c r="Q4693" s="2">
        <f>AVERAGE(PerfRate[[#This Row],[EnvironmentSatisfaction]],PerfRate[[#This Row],[JobSatisfaction]],PerfRate[[#This Row],[RelationshipSatisfaction]])</f>
        <v>3.3333333333333335</v>
      </c>
      <c r="R4693" s="2">
        <f>PerfRate[[#This Row],[ManagerRating]] - PerfRate[[#This Row],[SelfRating]]</f>
        <v>0</v>
      </c>
    </row>
    <row r="4694" spans="1:18">
      <c r="A4694" s="2" t="s">
        <v>9001</v>
      </c>
      <c r="B4694" s="2" t="s">
        <v>1488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  <c r="L4694" s="2" t="s">
        <v>11030</v>
      </c>
      <c r="M4694" s="2" t="s">
        <v>11029</v>
      </c>
      <c r="N4694" s="2" t="s">
        <v>11038</v>
      </c>
      <c r="O4694" s="2" t="s">
        <v>11037</v>
      </c>
      <c r="P4694" s="2" t="s">
        <v>11037</v>
      </c>
      <c r="Q4694" s="2">
        <f>AVERAGE(PerfRate[[#This Row],[EnvironmentSatisfaction]],PerfRate[[#This Row],[JobSatisfaction]],PerfRate[[#This Row],[RelationshipSatisfaction]])</f>
        <v>4.333333333333333</v>
      </c>
      <c r="R4694" s="2">
        <f>PerfRate[[#This Row],[ManagerRating]] - PerfRate[[#This Row],[SelfRating]]</f>
        <v>-1</v>
      </c>
    </row>
    <row r="4695" spans="1:18">
      <c r="A4695" s="2" t="s">
        <v>9002</v>
      </c>
      <c r="B4695" s="2" t="s">
        <v>2134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  <c r="L4695" s="2" t="s">
        <v>11031</v>
      </c>
      <c r="M4695" s="2" t="s">
        <v>11030</v>
      </c>
      <c r="N4695" s="2" t="s">
        <v>11038</v>
      </c>
      <c r="O4695" s="2" t="s">
        <v>11035</v>
      </c>
      <c r="P4695" s="2" t="s">
        <v>11036</v>
      </c>
      <c r="Q4695" s="2">
        <f>AVERAGE(PerfRate[[#This Row],[EnvironmentSatisfaction]],PerfRate[[#This Row],[JobSatisfaction]],PerfRate[[#This Row],[RelationshipSatisfaction]])</f>
        <v>3.3333333333333335</v>
      </c>
      <c r="R4695" s="2">
        <f>PerfRate[[#This Row],[ManagerRating]] - PerfRate[[#This Row],[SelfRating]]</f>
        <v>-1</v>
      </c>
    </row>
    <row r="4696" spans="1:18">
      <c r="A4696" s="2" t="s">
        <v>9003</v>
      </c>
      <c r="B4696" s="2" t="s">
        <v>128</v>
      </c>
      <c r="C4696" s="1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  <c r="L4696" s="2" t="s">
        <v>11031</v>
      </c>
      <c r="M4696" s="2" t="s">
        <v>11031</v>
      </c>
      <c r="N4696" s="2" t="s">
        <v>11037</v>
      </c>
      <c r="O4696" s="2" t="s">
        <v>11037</v>
      </c>
      <c r="P4696" s="2" t="s">
        <v>11037</v>
      </c>
      <c r="Q4696" s="2">
        <f>AVERAGE(PerfRate[[#This Row],[EnvironmentSatisfaction]],PerfRate[[#This Row],[JobSatisfaction]],PerfRate[[#This Row],[RelationshipSatisfaction]])</f>
        <v>4</v>
      </c>
      <c r="R4696" s="2">
        <f>PerfRate[[#This Row],[ManagerRating]] - PerfRate[[#This Row],[SelfRating]]</f>
        <v>0</v>
      </c>
    </row>
    <row r="4697" spans="1:18">
      <c r="A4697" s="2" t="s">
        <v>9004</v>
      </c>
      <c r="B4697" s="2" t="s">
        <v>250</v>
      </c>
      <c r="C4697" s="1">
        <v>44447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  <c r="L4697" s="2" t="s">
        <v>11031</v>
      </c>
      <c r="M4697" s="2" t="s">
        <v>11030</v>
      </c>
      <c r="N4697" s="2" t="s">
        <v>11036</v>
      </c>
      <c r="O4697" s="2" t="s">
        <v>11035</v>
      </c>
      <c r="P4697" s="2" t="s">
        <v>11035</v>
      </c>
      <c r="Q4697" s="2">
        <f>AVERAGE(PerfRate[[#This Row],[EnvironmentSatisfaction]],PerfRate[[#This Row],[JobSatisfaction]],PerfRate[[#This Row],[RelationshipSatisfaction]])</f>
        <v>2.3333333333333335</v>
      </c>
      <c r="R4697" s="2">
        <f>PerfRate[[#This Row],[ManagerRating]] - PerfRate[[#This Row],[SelfRating]]</f>
        <v>-1</v>
      </c>
    </row>
    <row r="4698" spans="1:18">
      <c r="A4698" s="2" t="s">
        <v>9005</v>
      </c>
      <c r="B4698" s="2" t="s">
        <v>2486</v>
      </c>
      <c r="C4698" s="1">
        <v>44477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  <c r="L4698" s="2" t="s">
        <v>11029</v>
      </c>
      <c r="M4698" s="2" t="s">
        <v>11029</v>
      </c>
      <c r="N4698" s="2" t="s">
        <v>11038</v>
      </c>
      <c r="O4698" s="2" t="s">
        <v>11038</v>
      </c>
      <c r="P4698" s="2" t="s">
        <v>11038</v>
      </c>
      <c r="Q4698" s="2">
        <f>AVERAGE(PerfRate[[#This Row],[EnvironmentSatisfaction]],PerfRate[[#This Row],[JobSatisfaction]],PerfRate[[#This Row],[RelationshipSatisfaction]])</f>
        <v>5</v>
      </c>
      <c r="R4698" s="2">
        <f>PerfRate[[#This Row],[ManagerRating]] - PerfRate[[#This Row],[SelfRating]]</f>
        <v>0</v>
      </c>
    </row>
    <row r="4699" spans="1:18">
      <c r="A4699" s="2" t="s">
        <v>9006</v>
      </c>
      <c r="B4699" s="2" t="s">
        <v>2207</v>
      </c>
      <c r="C4699" s="1">
        <v>44477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  <c r="L4699" s="2" t="s">
        <v>11031</v>
      </c>
      <c r="M4699" s="2" t="s">
        <v>11030</v>
      </c>
      <c r="N4699" s="2" t="s">
        <v>11038</v>
      </c>
      <c r="O4699" s="2" t="s">
        <v>11037</v>
      </c>
      <c r="P4699" s="2" t="s">
        <v>11037</v>
      </c>
      <c r="Q4699" s="2">
        <f>AVERAGE(PerfRate[[#This Row],[EnvironmentSatisfaction]],PerfRate[[#This Row],[JobSatisfaction]],PerfRate[[#This Row],[RelationshipSatisfaction]])</f>
        <v>4.333333333333333</v>
      </c>
      <c r="R4699" s="2">
        <f>PerfRate[[#This Row],[ManagerRating]] - PerfRate[[#This Row],[SelfRating]]</f>
        <v>-1</v>
      </c>
    </row>
    <row r="4700" spans="1:18">
      <c r="A4700" s="2" t="s">
        <v>9007</v>
      </c>
      <c r="B4700" s="2" t="s">
        <v>625</v>
      </c>
      <c r="C4700" s="1">
        <v>44508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  <c r="L4700" s="2" t="s">
        <v>11029</v>
      </c>
      <c r="M4700" s="2" t="s">
        <v>11029</v>
      </c>
      <c r="N4700" s="2" t="s">
        <v>11037</v>
      </c>
      <c r="O4700" s="2" t="s">
        <v>11035</v>
      </c>
      <c r="P4700" s="2" t="s">
        <v>11037</v>
      </c>
      <c r="Q4700" s="2">
        <f>AVERAGE(PerfRate[[#This Row],[EnvironmentSatisfaction]],PerfRate[[#This Row],[JobSatisfaction]],PerfRate[[#This Row],[RelationshipSatisfaction]])</f>
        <v>3.3333333333333335</v>
      </c>
      <c r="R4700" s="2">
        <f>PerfRate[[#This Row],[ManagerRating]] - PerfRate[[#This Row],[SelfRating]]</f>
        <v>0</v>
      </c>
    </row>
    <row r="4701" spans="1:18">
      <c r="A4701" s="2" t="s">
        <v>9008</v>
      </c>
      <c r="B4701" s="2" t="s">
        <v>1614</v>
      </c>
      <c r="C4701" s="1">
        <v>44508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  <c r="L4701" s="2" t="s">
        <v>11030</v>
      </c>
      <c r="M4701" s="2" t="s">
        <v>11029</v>
      </c>
      <c r="N4701" s="2" t="s">
        <v>11037</v>
      </c>
      <c r="O4701" s="2" t="s">
        <v>11036</v>
      </c>
      <c r="P4701" s="2" t="s">
        <v>11037</v>
      </c>
      <c r="Q4701" s="2">
        <f>AVERAGE(PerfRate[[#This Row],[EnvironmentSatisfaction]],PerfRate[[#This Row],[JobSatisfaction]],PerfRate[[#This Row],[RelationshipSatisfaction]])</f>
        <v>3.6666666666666665</v>
      </c>
      <c r="R4701" s="2">
        <f>PerfRate[[#This Row],[ManagerRating]] - PerfRate[[#This Row],[SelfRating]]</f>
        <v>-1</v>
      </c>
    </row>
    <row r="4702" spans="1:18">
      <c r="A4702" s="2" t="s">
        <v>9009</v>
      </c>
      <c r="B4702" s="2" t="s">
        <v>1827</v>
      </c>
      <c r="C4702" s="1">
        <v>44508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  <c r="L4702" s="2" t="s">
        <v>11031</v>
      </c>
      <c r="M4702" s="2" t="s">
        <v>11030</v>
      </c>
      <c r="N4702" s="2" t="s">
        <v>11036</v>
      </c>
      <c r="O4702" s="2" t="s">
        <v>11036</v>
      </c>
      <c r="P4702" s="2" t="s">
        <v>11036</v>
      </c>
      <c r="Q4702" s="2">
        <f>AVERAGE(PerfRate[[#This Row],[EnvironmentSatisfaction]],PerfRate[[#This Row],[JobSatisfaction]],PerfRate[[#This Row],[RelationshipSatisfaction]])</f>
        <v>3</v>
      </c>
      <c r="R4702" s="2">
        <f>PerfRate[[#This Row],[ManagerRating]] - PerfRate[[#This Row],[SelfRating]]</f>
        <v>-1</v>
      </c>
    </row>
    <row r="4703" spans="1:18">
      <c r="A4703" s="2" t="s">
        <v>9010</v>
      </c>
      <c r="B4703" s="2" t="s">
        <v>3071</v>
      </c>
      <c r="C4703" s="1">
        <v>44538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  <c r="L4703" s="2" t="s">
        <v>11031</v>
      </c>
      <c r="M4703" s="2" t="s">
        <v>11030</v>
      </c>
      <c r="N4703" s="2" t="s">
        <v>11037</v>
      </c>
      <c r="O4703" s="2" t="s">
        <v>11037</v>
      </c>
      <c r="P4703" s="2" t="s">
        <v>11036</v>
      </c>
      <c r="Q4703" s="2">
        <f>AVERAGE(PerfRate[[#This Row],[EnvironmentSatisfaction]],PerfRate[[#This Row],[JobSatisfaction]],PerfRate[[#This Row],[RelationshipSatisfaction]])</f>
        <v>3.6666666666666665</v>
      </c>
      <c r="R4703" s="2">
        <f>PerfRate[[#This Row],[ManagerRating]] - PerfRate[[#This Row],[SelfRating]]</f>
        <v>-1</v>
      </c>
    </row>
    <row r="4704" spans="1:18">
      <c r="A4704" s="2" t="s">
        <v>9011</v>
      </c>
      <c r="B4704" s="2" t="s">
        <v>803</v>
      </c>
      <c r="C4704" s="1">
        <v>44538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  <c r="L4704" s="2" t="s">
        <v>11031</v>
      </c>
      <c r="M4704" s="2" t="s">
        <v>11031</v>
      </c>
      <c r="N4704" s="2" t="s">
        <v>11037</v>
      </c>
      <c r="O4704" s="2" t="s">
        <v>11037</v>
      </c>
      <c r="P4704" s="2" t="s">
        <v>11037</v>
      </c>
      <c r="Q4704" s="2">
        <f>AVERAGE(PerfRate[[#This Row],[EnvironmentSatisfaction]],PerfRate[[#This Row],[JobSatisfaction]],PerfRate[[#This Row],[RelationshipSatisfaction]])</f>
        <v>4</v>
      </c>
      <c r="R4704" s="2">
        <f>PerfRate[[#This Row],[ManagerRating]] - PerfRate[[#This Row],[SelfRating]]</f>
        <v>0</v>
      </c>
    </row>
    <row r="4705" spans="1:18">
      <c r="A4705" s="2" t="s">
        <v>9012</v>
      </c>
      <c r="B4705" s="2" t="s">
        <v>756</v>
      </c>
      <c r="C4705" s="1">
        <v>44538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  <c r="L4705" s="2" t="s">
        <v>11029</v>
      </c>
      <c r="M4705" s="2" t="s">
        <v>11028</v>
      </c>
      <c r="N4705" s="2" t="s">
        <v>11037</v>
      </c>
      <c r="O4705" s="2" t="s">
        <v>11036</v>
      </c>
      <c r="P4705" s="2" t="s">
        <v>11037</v>
      </c>
      <c r="Q4705" s="2">
        <f>AVERAGE(PerfRate[[#This Row],[EnvironmentSatisfaction]],PerfRate[[#This Row],[JobSatisfaction]],PerfRate[[#This Row],[RelationshipSatisfaction]])</f>
        <v>3.6666666666666665</v>
      </c>
      <c r="R4705" s="2">
        <f>PerfRate[[#This Row],[ManagerRating]] - PerfRate[[#This Row],[SelfRating]]</f>
        <v>-1</v>
      </c>
    </row>
    <row r="4706" spans="1:18">
      <c r="A4706" s="2" t="s">
        <v>9013</v>
      </c>
      <c r="B4706" s="2" t="s">
        <v>2340</v>
      </c>
      <c r="C4706" s="1">
        <v>44538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  <c r="L4706" s="2" t="s">
        <v>11029</v>
      </c>
      <c r="M4706" s="2" t="s">
        <v>11028</v>
      </c>
      <c r="N4706" s="2" t="s">
        <v>11037</v>
      </c>
      <c r="O4706" s="2" t="s">
        <v>11035</v>
      </c>
      <c r="P4706" s="2" t="s">
        <v>11038</v>
      </c>
      <c r="Q4706" s="2">
        <f>AVERAGE(PerfRate[[#This Row],[EnvironmentSatisfaction]],PerfRate[[#This Row],[JobSatisfaction]],PerfRate[[#This Row],[RelationshipSatisfaction]])</f>
        <v>3.6666666666666665</v>
      </c>
      <c r="R4706" s="2">
        <f>PerfRate[[#This Row],[ManagerRating]] - PerfRate[[#This Row],[SelfRating]]</f>
        <v>-1</v>
      </c>
    </row>
    <row r="4707" spans="1:18">
      <c r="A4707" s="2" t="s">
        <v>9014</v>
      </c>
      <c r="B4707" s="2" t="s">
        <v>1309</v>
      </c>
      <c r="C4707" s="1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  <c r="L4707" s="2" t="s">
        <v>11030</v>
      </c>
      <c r="M4707" s="2" t="s">
        <v>11029</v>
      </c>
      <c r="N4707" s="2" t="s">
        <v>11036</v>
      </c>
      <c r="O4707" s="2" t="s">
        <v>11038</v>
      </c>
      <c r="P4707" s="2" t="s">
        <v>11035</v>
      </c>
      <c r="Q4707" s="2">
        <f>AVERAGE(PerfRate[[#This Row],[EnvironmentSatisfaction]],PerfRate[[#This Row],[JobSatisfaction]],PerfRate[[#This Row],[RelationshipSatisfaction]])</f>
        <v>3.3333333333333335</v>
      </c>
      <c r="R4707" s="2">
        <f>PerfRate[[#This Row],[ManagerRating]] - PerfRate[[#This Row],[SelfRating]]</f>
        <v>-1</v>
      </c>
    </row>
    <row r="4708" spans="1:18">
      <c r="A4708" s="2" t="s">
        <v>9015</v>
      </c>
      <c r="B4708" s="2" t="s">
        <v>2536</v>
      </c>
      <c r="C4708" s="1">
        <v>44538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  <c r="L4708" s="2" t="s">
        <v>11030</v>
      </c>
      <c r="M4708" s="2" t="s">
        <v>11030</v>
      </c>
      <c r="N4708" s="2" t="s">
        <v>11038</v>
      </c>
      <c r="O4708" s="2" t="s">
        <v>11037</v>
      </c>
      <c r="P4708" s="2" t="s">
        <v>11035</v>
      </c>
      <c r="Q4708" s="2">
        <f>AVERAGE(PerfRate[[#This Row],[EnvironmentSatisfaction]],PerfRate[[#This Row],[JobSatisfaction]],PerfRate[[#This Row],[RelationshipSatisfaction]])</f>
        <v>3.6666666666666665</v>
      </c>
      <c r="R4708" s="2">
        <f>PerfRate[[#This Row],[ManagerRating]] - PerfRate[[#This Row],[SelfRating]]</f>
        <v>0</v>
      </c>
    </row>
    <row r="4709" spans="1:18">
      <c r="A4709" s="2" t="s">
        <v>9016</v>
      </c>
      <c r="B4709" s="2" t="s">
        <v>3198</v>
      </c>
      <c r="C4709" s="1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  <c r="L4709" s="2" t="s">
        <v>11029</v>
      </c>
      <c r="M4709" s="2" t="s">
        <v>11028</v>
      </c>
      <c r="N4709" s="2" t="s">
        <v>11038</v>
      </c>
      <c r="O4709" s="2" t="s">
        <v>11036</v>
      </c>
      <c r="P4709" s="2" t="s">
        <v>11037</v>
      </c>
      <c r="Q4709" s="2">
        <f>AVERAGE(PerfRate[[#This Row],[EnvironmentSatisfaction]],PerfRate[[#This Row],[JobSatisfaction]],PerfRate[[#This Row],[RelationshipSatisfaction]])</f>
        <v>4</v>
      </c>
      <c r="R4709" s="2">
        <f>PerfRate[[#This Row],[ManagerRating]] - PerfRate[[#This Row],[SelfRating]]</f>
        <v>-1</v>
      </c>
    </row>
    <row r="4710" spans="1:18">
      <c r="A4710" s="2" t="s">
        <v>9017</v>
      </c>
      <c r="B4710" s="2" t="s">
        <v>1608</v>
      </c>
      <c r="C4710" s="1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  <c r="L4710" s="2" t="s">
        <v>11030</v>
      </c>
      <c r="M4710" s="2" t="s">
        <v>11029</v>
      </c>
      <c r="N4710" s="2" t="s">
        <v>11038</v>
      </c>
      <c r="O4710" s="2" t="s">
        <v>11036</v>
      </c>
      <c r="P4710" s="2" t="s">
        <v>11038</v>
      </c>
      <c r="Q4710" s="2">
        <f>AVERAGE(PerfRate[[#This Row],[EnvironmentSatisfaction]],PerfRate[[#This Row],[JobSatisfaction]],PerfRate[[#This Row],[RelationshipSatisfaction]])</f>
        <v>4.333333333333333</v>
      </c>
      <c r="R4710" s="2">
        <f>PerfRate[[#This Row],[ManagerRating]] - PerfRate[[#This Row],[SelfRating]]</f>
        <v>-1</v>
      </c>
    </row>
    <row r="4711" spans="1:18">
      <c r="A4711" s="2" t="s">
        <v>9018</v>
      </c>
      <c r="B4711" s="2" t="s">
        <v>1836</v>
      </c>
      <c r="C4711" s="1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  <c r="L4711" s="2" t="s">
        <v>11029</v>
      </c>
      <c r="M4711" s="2" t="s">
        <v>11028</v>
      </c>
      <c r="N4711" s="2" t="s">
        <v>11037</v>
      </c>
      <c r="O4711" s="2" t="s">
        <v>11037</v>
      </c>
      <c r="P4711" s="2" t="s">
        <v>11035</v>
      </c>
      <c r="Q4711" s="2">
        <f>AVERAGE(PerfRate[[#This Row],[EnvironmentSatisfaction]],PerfRate[[#This Row],[JobSatisfaction]],PerfRate[[#This Row],[RelationshipSatisfaction]])</f>
        <v>3.3333333333333335</v>
      </c>
      <c r="R4711" s="2">
        <f>PerfRate[[#This Row],[ManagerRating]] - PerfRate[[#This Row],[SelfRating]]</f>
        <v>-1</v>
      </c>
    </row>
    <row r="4712" spans="1:18">
      <c r="A4712" s="2" t="s">
        <v>9019</v>
      </c>
      <c r="B4712" s="2" t="s">
        <v>2381</v>
      </c>
      <c r="C4712" s="1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  <c r="L4712" s="2" t="s">
        <v>11030</v>
      </c>
      <c r="M4712" s="2" t="s">
        <v>11030</v>
      </c>
      <c r="N4712" s="2" t="s">
        <v>11038</v>
      </c>
      <c r="O4712" s="2" t="s">
        <v>11038</v>
      </c>
      <c r="P4712" s="2" t="s">
        <v>11038</v>
      </c>
      <c r="Q4712" s="2">
        <f>AVERAGE(PerfRate[[#This Row],[EnvironmentSatisfaction]],PerfRate[[#This Row],[JobSatisfaction]],PerfRate[[#This Row],[RelationshipSatisfaction]])</f>
        <v>5</v>
      </c>
      <c r="R4712" s="2">
        <f>PerfRate[[#This Row],[ManagerRating]] - PerfRate[[#This Row],[SelfRating]]</f>
        <v>0</v>
      </c>
    </row>
    <row r="4713" spans="1:18">
      <c r="A4713" s="2" t="s">
        <v>9020</v>
      </c>
      <c r="B4713" s="2" t="s">
        <v>2401</v>
      </c>
      <c r="C4713" s="1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  <c r="L4713" s="2" t="s">
        <v>11030</v>
      </c>
      <c r="M4713" s="2" t="s">
        <v>11030</v>
      </c>
      <c r="N4713" s="2" t="s">
        <v>11037</v>
      </c>
      <c r="O4713" s="2" t="s">
        <v>11038</v>
      </c>
      <c r="P4713" s="2" t="s">
        <v>11036</v>
      </c>
      <c r="Q4713" s="2">
        <f>AVERAGE(PerfRate[[#This Row],[EnvironmentSatisfaction]],PerfRate[[#This Row],[JobSatisfaction]],PerfRate[[#This Row],[RelationshipSatisfaction]])</f>
        <v>4</v>
      </c>
      <c r="R4713" s="2">
        <f>PerfRate[[#This Row],[ManagerRating]] - PerfRate[[#This Row],[SelfRating]]</f>
        <v>0</v>
      </c>
    </row>
    <row r="4714" spans="1:18">
      <c r="A4714" s="2" t="s">
        <v>9021</v>
      </c>
      <c r="B4714" s="2" t="s">
        <v>2462</v>
      </c>
      <c r="C4714" s="1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  <c r="L4714" s="2" t="s">
        <v>11030</v>
      </c>
      <c r="M4714" s="2" t="s">
        <v>11029</v>
      </c>
      <c r="N4714" s="2" t="s">
        <v>11036</v>
      </c>
      <c r="O4714" s="2" t="s">
        <v>11035</v>
      </c>
      <c r="P4714" s="2" t="s">
        <v>11038</v>
      </c>
      <c r="Q4714" s="2">
        <f>AVERAGE(PerfRate[[#This Row],[EnvironmentSatisfaction]],PerfRate[[#This Row],[JobSatisfaction]],PerfRate[[#This Row],[RelationshipSatisfaction]])</f>
        <v>3.3333333333333335</v>
      </c>
      <c r="R4714" s="2">
        <f>PerfRate[[#This Row],[ManagerRating]] - PerfRate[[#This Row],[SelfRating]]</f>
        <v>-1</v>
      </c>
    </row>
    <row r="4715" spans="1:18">
      <c r="A4715" s="2" t="s">
        <v>9022</v>
      </c>
      <c r="B4715" s="2" t="s">
        <v>952</v>
      </c>
      <c r="C4715" s="1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  <c r="L4715" s="2" t="s">
        <v>11029</v>
      </c>
      <c r="M4715" s="2" t="s">
        <v>11029</v>
      </c>
      <c r="N4715" s="2" t="s">
        <v>11037</v>
      </c>
      <c r="O4715" s="2" t="s">
        <v>11038</v>
      </c>
      <c r="P4715" s="2" t="s">
        <v>11035</v>
      </c>
      <c r="Q4715" s="2">
        <f>AVERAGE(PerfRate[[#This Row],[EnvironmentSatisfaction]],PerfRate[[#This Row],[JobSatisfaction]],PerfRate[[#This Row],[RelationshipSatisfaction]])</f>
        <v>3.6666666666666665</v>
      </c>
      <c r="R4715" s="2">
        <f>PerfRate[[#This Row],[ManagerRating]] - PerfRate[[#This Row],[SelfRating]]</f>
        <v>0</v>
      </c>
    </row>
    <row r="4716" spans="1:18">
      <c r="A4716" s="2" t="s">
        <v>9023</v>
      </c>
      <c r="B4716" s="2" t="s">
        <v>619</v>
      </c>
      <c r="C4716" s="1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  <c r="L4716" s="2" t="s">
        <v>11031</v>
      </c>
      <c r="M4716" s="2" t="s">
        <v>11030</v>
      </c>
      <c r="N4716" s="2" t="s">
        <v>11036</v>
      </c>
      <c r="O4716" s="2" t="s">
        <v>11035</v>
      </c>
      <c r="P4716" s="2" t="s">
        <v>11036</v>
      </c>
      <c r="Q4716" s="2">
        <f>AVERAGE(PerfRate[[#This Row],[EnvironmentSatisfaction]],PerfRate[[#This Row],[JobSatisfaction]],PerfRate[[#This Row],[RelationshipSatisfaction]])</f>
        <v>2.6666666666666665</v>
      </c>
      <c r="R4716" s="2">
        <f>PerfRate[[#This Row],[ManagerRating]] - PerfRate[[#This Row],[SelfRating]]</f>
        <v>-1</v>
      </c>
    </row>
    <row r="4717" spans="1:18">
      <c r="A4717" s="2" t="s">
        <v>9024</v>
      </c>
      <c r="B4717" s="2" t="s">
        <v>2581</v>
      </c>
      <c r="C4717" s="1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  <c r="L4717" s="2" t="s">
        <v>11031</v>
      </c>
      <c r="M4717" s="2" t="s">
        <v>11031</v>
      </c>
      <c r="N4717" s="2" t="s">
        <v>11038</v>
      </c>
      <c r="O4717" s="2" t="s">
        <v>11036</v>
      </c>
      <c r="P4717" s="2" t="s">
        <v>11035</v>
      </c>
      <c r="Q4717" s="2">
        <f>AVERAGE(PerfRate[[#This Row],[EnvironmentSatisfaction]],PerfRate[[#This Row],[JobSatisfaction]],PerfRate[[#This Row],[RelationshipSatisfaction]])</f>
        <v>3.3333333333333335</v>
      </c>
      <c r="R4717" s="2">
        <f>PerfRate[[#This Row],[ManagerRating]] - PerfRate[[#This Row],[SelfRating]]</f>
        <v>0</v>
      </c>
    </row>
    <row r="4718" spans="1:18">
      <c r="A4718" s="2" t="s">
        <v>9025</v>
      </c>
      <c r="B4718" s="2" t="s">
        <v>284</v>
      </c>
      <c r="C4718" s="1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  <c r="L4718" s="2" t="s">
        <v>11030</v>
      </c>
      <c r="M4718" s="2" t="s">
        <v>11030</v>
      </c>
      <c r="N4718" s="2" t="s">
        <v>11036</v>
      </c>
      <c r="O4718" s="2" t="s">
        <v>11035</v>
      </c>
      <c r="P4718" s="2" t="s">
        <v>11035</v>
      </c>
      <c r="Q4718" s="2">
        <f>AVERAGE(PerfRate[[#This Row],[EnvironmentSatisfaction]],PerfRate[[#This Row],[JobSatisfaction]],PerfRate[[#This Row],[RelationshipSatisfaction]])</f>
        <v>2.3333333333333335</v>
      </c>
      <c r="R4718" s="2">
        <f>PerfRate[[#This Row],[ManagerRating]] - PerfRate[[#This Row],[SelfRating]]</f>
        <v>0</v>
      </c>
    </row>
    <row r="4719" spans="1:18">
      <c r="A4719" s="2" t="s">
        <v>9026</v>
      </c>
      <c r="B4719" s="2" t="s">
        <v>1280</v>
      </c>
      <c r="C4719" s="1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  <c r="L4719" s="2" t="s">
        <v>11029</v>
      </c>
      <c r="M4719" s="2" t="s">
        <v>11028</v>
      </c>
      <c r="N4719" s="2" t="s">
        <v>11038</v>
      </c>
      <c r="O4719" s="2" t="s">
        <v>11035</v>
      </c>
      <c r="P4719" s="2" t="s">
        <v>11038</v>
      </c>
      <c r="Q4719" s="2">
        <f>AVERAGE(PerfRate[[#This Row],[EnvironmentSatisfaction]],PerfRate[[#This Row],[JobSatisfaction]],PerfRate[[#This Row],[RelationshipSatisfaction]])</f>
        <v>4</v>
      </c>
      <c r="R4719" s="2">
        <f>PerfRate[[#This Row],[ManagerRating]] - PerfRate[[#This Row],[SelfRating]]</f>
        <v>-1</v>
      </c>
    </row>
    <row r="4720" spans="1:18">
      <c r="A4720" s="2" t="s">
        <v>9027</v>
      </c>
      <c r="B4720" s="2" t="s">
        <v>1102</v>
      </c>
      <c r="C4720" s="1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  <c r="L4720" s="2" t="s">
        <v>11031</v>
      </c>
      <c r="M4720" s="2" t="s">
        <v>11031</v>
      </c>
      <c r="N4720" s="2" t="s">
        <v>11037</v>
      </c>
      <c r="O4720" s="2" t="s">
        <v>11036</v>
      </c>
      <c r="P4720" s="2" t="s">
        <v>11036</v>
      </c>
      <c r="Q4720" s="2">
        <f>AVERAGE(PerfRate[[#This Row],[EnvironmentSatisfaction]],PerfRate[[#This Row],[JobSatisfaction]],PerfRate[[#This Row],[RelationshipSatisfaction]])</f>
        <v>3.3333333333333335</v>
      </c>
      <c r="R4720" s="2">
        <f>PerfRate[[#This Row],[ManagerRating]] - PerfRate[[#This Row],[SelfRating]]</f>
        <v>0</v>
      </c>
    </row>
    <row r="4721" spans="1:18">
      <c r="A4721" s="2" t="s">
        <v>9028</v>
      </c>
      <c r="B4721" s="2" t="s">
        <v>2022</v>
      </c>
      <c r="C4721" s="1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  <c r="L4721" s="2" t="s">
        <v>11031</v>
      </c>
      <c r="M4721" s="2" t="s">
        <v>11031</v>
      </c>
      <c r="N4721" s="2" t="s">
        <v>11036</v>
      </c>
      <c r="O4721" s="2" t="s">
        <v>11038</v>
      </c>
      <c r="P4721" s="2" t="s">
        <v>11036</v>
      </c>
      <c r="Q4721" s="2">
        <f>AVERAGE(PerfRate[[#This Row],[EnvironmentSatisfaction]],PerfRate[[#This Row],[JobSatisfaction]],PerfRate[[#This Row],[RelationshipSatisfaction]])</f>
        <v>3.6666666666666665</v>
      </c>
      <c r="R4721" s="2">
        <f>PerfRate[[#This Row],[ManagerRating]] - PerfRate[[#This Row],[SelfRating]]</f>
        <v>0</v>
      </c>
    </row>
    <row r="4722" spans="1:18">
      <c r="A4722" s="2" t="s">
        <v>9029</v>
      </c>
      <c r="B4722" s="2" t="s">
        <v>2042</v>
      </c>
      <c r="C4722" s="1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  <c r="L4722" s="2" t="s">
        <v>11031</v>
      </c>
      <c r="M4722" s="2" t="s">
        <v>11030</v>
      </c>
      <c r="N4722" s="2" t="s">
        <v>11037</v>
      </c>
      <c r="O4722" s="2" t="s">
        <v>11035</v>
      </c>
      <c r="P4722" s="2" t="s">
        <v>11035</v>
      </c>
      <c r="Q4722" s="2">
        <f>AVERAGE(PerfRate[[#This Row],[EnvironmentSatisfaction]],PerfRate[[#This Row],[JobSatisfaction]],PerfRate[[#This Row],[RelationshipSatisfaction]])</f>
        <v>2.6666666666666665</v>
      </c>
      <c r="R4722" s="2">
        <f>PerfRate[[#This Row],[ManagerRating]] - PerfRate[[#This Row],[SelfRating]]</f>
        <v>-1</v>
      </c>
    </row>
    <row r="4723" spans="1:18">
      <c r="A4723" s="2" t="s">
        <v>9030</v>
      </c>
      <c r="B4723" s="2" t="s">
        <v>2686</v>
      </c>
      <c r="C4723" s="1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  <c r="L4723" s="2" t="s">
        <v>11030</v>
      </c>
      <c r="M4723" s="2" t="s">
        <v>11030</v>
      </c>
      <c r="N4723" s="2" t="s">
        <v>11037</v>
      </c>
      <c r="O4723" s="2" t="s">
        <v>11036</v>
      </c>
      <c r="P4723" s="2" t="s">
        <v>11038</v>
      </c>
      <c r="Q4723" s="2">
        <f>AVERAGE(PerfRate[[#This Row],[EnvironmentSatisfaction]],PerfRate[[#This Row],[JobSatisfaction]],PerfRate[[#This Row],[RelationshipSatisfaction]])</f>
        <v>4</v>
      </c>
      <c r="R4723" s="2">
        <f>PerfRate[[#This Row],[ManagerRating]] - PerfRate[[#This Row],[SelfRating]]</f>
        <v>0</v>
      </c>
    </row>
    <row r="4724" spans="1:18">
      <c r="A4724" s="2" t="s">
        <v>9031</v>
      </c>
      <c r="B4724" s="2" t="s">
        <v>2721</v>
      </c>
      <c r="C4724" s="1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  <c r="L4724" s="2" t="s">
        <v>11029</v>
      </c>
      <c r="M4724" s="2" t="s">
        <v>11028</v>
      </c>
      <c r="N4724" s="2" t="s">
        <v>11036</v>
      </c>
      <c r="O4724" s="2" t="s">
        <v>11037</v>
      </c>
      <c r="P4724" s="2" t="s">
        <v>11035</v>
      </c>
      <c r="Q4724" s="2">
        <f>AVERAGE(PerfRate[[#This Row],[EnvironmentSatisfaction]],PerfRate[[#This Row],[JobSatisfaction]],PerfRate[[#This Row],[RelationshipSatisfaction]])</f>
        <v>3</v>
      </c>
      <c r="R4724" s="2">
        <f>PerfRate[[#This Row],[ManagerRating]] - PerfRate[[#This Row],[SelfRating]]</f>
        <v>-1</v>
      </c>
    </row>
    <row r="4725" spans="1:18">
      <c r="A4725" s="2" t="s">
        <v>9032</v>
      </c>
      <c r="B4725" s="2" t="s">
        <v>514</v>
      </c>
      <c r="C4725" s="1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  <c r="L4725" s="2" t="s">
        <v>11030</v>
      </c>
      <c r="M4725" s="2" t="s">
        <v>11029</v>
      </c>
      <c r="N4725" s="2" t="s">
        <v>11038</v>
      </c>
      <c r="O4725" s="2" t="s">
        <v>11037</v>
      </c>
      <c r="P4725" s="2" t="s">
        <v>11036</v>
      </c>
      <c r="Q4725" s="2">
        <f>AVERAGE(PerfRate[[#This Row],[EnvironmentSatisfaction]],PerfRate[[#This Row],[JobSatisfaction]],PerfRate[[#This Row],[RelationshipSatisfaction]])</f>
        <v>4</v>
      </c>
      <c r="R4725" s="2">
        <f>PerfRate[[#This Row],[ManagerRating]] - PerfRate[[#This Row],[SelfRating]]</f>
        <v>-1</v>
      </c>
    </row>
    <row r="4726" spans="1:18">
      <c r="A4726" s="2" t="s">
        <v>9033</v>
      </c>
      <c r="B4726" s="2" t="s">
        <v>2429</v>
      </c>
      <c r="C4726" s="1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  <c r="L4726" s="2" t="s">
        <v>11029</v>
      </c>
      <c r="M4726" s="2" t="s">
        <v>11028</v>
      </c>
      <c r="N4726" s="2" t="s">
        <v>11036</v>
      </c>
      <c r="O4726" s="2" t="s">
        <v>11038</v>
      </c>
      <c r="P4726" s="2" t="s">
        <v>11035</v>
      </c>
      <c r="Q4726" s="2">
        <f>AVERAGE(PerfRate[[#This Row],[EnvironmentSatisfaction]],PerfRate[[#This Row],[JobSatisfaction]],PerfRate[[#This Row],[RelationshipSatisfaction]])</f>
        <v>3.3333333333333335</v>
      </c>
      <c r="R4726" s="2">
        <f>PerfRate[[#This Row],[ManagerRating]] - PerfRate[[#This Row],[SelfRating]]</f>
        <v>-1</v>
      </c>
    </row>
    <row r="4727" spans="1:18">
      <c r="A4727" s="2" t="s">
        <v>9034</v>
      </c>
      <c r="B4727" s="2" t="s">
        <v>3510</v>
      </c>
      <c r="C4727" s="1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  <c r="L4727" s="2" t="s">
        <v>11029</v>
      </c>
      <c r="M4727" s="2" t="s">
        <v>11029</v>
      </c>
      <c r="N4727" s="2" t="s">
        <v>11036</v>
      </c>
      <c r="O4727" s="2" t="s">
        <v>11038</v>
      </c>
      <c r="P4727" s="2" t="s">
        <v>11035</v>
      </c>
      <c r="Q4727" s="2">
        <f>AVERAGE(PerfRate[[#This Row],[EnvironmentSatisfaction]],PerfRate[[#This Row],[JobSatisfaction]],PerfRate[[#This Row],[RelationshipSatisfaction]])</f>
        <v>3.3333333333333335</v>
      </c>
      <c r="R4727" s="2">
        <f>PerfRate[[#This Row],[ManagerRating]] - PerfRate[[#This Row],[SelfRating]]</f>
        <v>0</v>
      </c>
    </row>
    <row r="4728" spans="1:18">
      <c r="A4728" s="2" t="s">
        <v>9035</v>
      </c>
      <c r="B4728" s="2" t="s">
        <v>592</v>
      </c>
      <c r="C4728" s="1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  <c r="L4728" s="2" t="s">
        <v>11030</v>
      </c>
      <c r="M4728" s="2" t="s">
        <v>11030</v>
      </c>
      <c r="N4728" s="2" t="s">
        <v>11037</v>
      </c>
      <c r="O4728" s="2" t="s">
        <v>11035</v>
      </c>
      <c r="P4728" s="2" t="s">
        <v>11038</v>
      </c>
      <c r="Q4728" s="2">
        <f>AVERAGE(PerfRate[[#This Row],[EnvironmentSatisfaction]],PerfRate[[#This Row],[JobSatisfaction]],PerfRate[[#This Row],[RelationshipSatisfaction]])</f>
        <v>3.6666666666666665</v>
      </c>
      <c r="R4728" s="2">
        <f>PerfRate[[#This Row],[ManagerRating]] - PerfRate[[#This Row],[SelfRating]]</f>
        <v>0</v>
      </c>
    </row>
    <row r="4729" spans="1:18">
      <c r="A4729" s="2" t="s">
        <v>9036</v>
      </c>
      <c r="B4729" s="2" t="s">
        <v>1332</v>
      </c>
      <c r="C4729" s="1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  <c r="L4729" s="2" t="s">
        <v>11029</v>
      </c>
      <c r="M4729" s="2" t="s">
        <v>11029</v>
      </c>
      <c r="N4729" s="2" t="s">
        <v>11036</v>
      </c>
      <c r="O4729" s="2" t="s">
        <v>11038</v>
      </c>
      <c r="P4729" s="2" t="s">
        <v>11035</v>
      </c>
      <c r="Q4729" s="2">
        <f>AVERAGE(PerfRate[[#This Row],[EnvironmentSatisfaction]],PerfRate[[#This Row],[JobSatisfaction]],PerfRate[[#This Row],[RelationshipSatisfaction]])</f>
        <v>3.3333333333333335</v>
      </c>
      <c r="R4729" s="2">
        <f>PerfRate[[#This Row],[ManagerRating]] - PerfRate[[#This Row],[SelfRating]]</f>
        <v>0</v>
      </c>
    </row>
    <row r="4730" spans="1:18">
      <c r="A4730" s="2" t="s">
        <v>9037</v>
      </c>
      <c r="B4730" s="2" t="s">
        <v>1575</v>
      </c>
      <c r="C4730" s="1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  <c r="L4730" s="2" t="s">
        <v>11029</v>
      </c>
      <c r="M4730" s="2" t="s">
        <v>11028</v>
      </c>
      <c r="N4730" s="2" t="s">
        <v>11037</v>
      </c>
      <c r="O4730" s="2" t="s">
        <v>11037</v>
      </c>
      <c r="P4730" s="2" t="s">
        <v>11035</v>
      </c>
      <c r="Q4730" s="2">
        <f>AVERAGE(PerfRate[[#This Row],[EnvironmentSatisfaction]],PerfRate[[#This Row],[JobSatisfaction]],PerfRate[[#This Row],[RelationshipSatisfaction]])</f>
        <v>3.3333333333333335</v>
      </c>
      <c r="R4730" s="2">
        <f>PerfRate[[#This Row],[ManagerRating]] - PerfRate[[#This Row],[SelfRating]]</f>
        <v>-1</v>
      </c>
    </row>
    <row r="4731" spans="1:18">
      <c r="A4731" s="2" t="s">
        <v>9038</v>
      </c>
      <c r="B4731" s="2" t="s">
        <v>2307</v>
      </c>
      <c r="C4731" s="1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  <c r="L4731" s="2" t="s">
        <v>11030</v>
      </c>
      <c r="M4731" s="2" t="s">
        <v>11030</v>
      </c>
      <c r="N4731" s="2" t="s">
        <v>11036</v>
      </c>
      <c r="O4731" s="2" t="s">
        <v>11037</v>
      </c>
      <c r="P4731" s="2" t="s">
        <v>11037</v>
      </c>
      <c r="Q4731" s="2">
        <f>AVERAGE(PerfRate[[#This Row],[EnvironmentSatisfaction]],PerfRate[[#This Row],[JobSatisfaction]],PerfRate[[#This Row],[RelationshipSatisfaction]])</f>
        <v>3.6666666666666665</v>
      </c>
      <c r="R4731" s="2">
        <f>PerfRate[[#This Row],[ManagerRating]] - PerfRate[[#This Row],[SelfRating]]</f>
        <v>0</v>
      </c>
    </row>
    <row r="4732" spans="1:18">
      <c r="A4732" s="2" t="s">
        <v>9039</v>
      </c>
      <c r="B4732" s="2" t="s">
        <v>2751</v>
      </c>
      <c r="C4732" s="1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  <c r="L4732" s="2" t="s">
        <v>11030</v>
      </c>
      <c r="M4732" s="2" t="s">
        <v>11030</v>
      </c>
      <c r="N4732" s="2" t="s">
        <v>11037</v>
      </c>
      <c r="O4732" s="2" t="s">
        <v>11035</v>
      </c>
      <c r="P4732" s="2" t="s">
        <v>11038</v>
      </c>
      <c r="Q4732" s="2">
        <f>AVERAGE(PerfRate[[#This Row],[EnvironmentSatisfaction]],PerfRate[[#This Row],[JobSatisfaction]],PerfRate[[#This Row],[RelationshipSatisfaction]])</f>
        <v>3.6666666666666665</v>
      </c>
      <c r="R4732" s="2">
        <f>PerfRate[[#This Row],[ManagerRating]] - PerfRate[[#This Row],[SelfRating]]</f>
        <v>0</v>
      </c>
    </row>
    <row r="4733" spans="1:18">
      <c r="A4733" s="2" t="s">
        <v>9040</v>
      </c>
      <c r="B4733" s="2" t="s">
        <v>1471</v>
      </c>
      <c r="C4733" s="1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  <c r="L4733" s="2" t="s">
        <v>11030</v>
      </c>
      <c r="M4733" s="2" t="s">
        <v>11030</v>
      </c>
      <c r="N4733" s="2" t="s">
        <v>11037</v>
      </c>
      <c r="O4733" s="2" t="s">
        <v>11035</v>
      </c>
      <c r="P4733" s="2" t="s">
        <v>11036</v>
      </c>
      <c r="Q4733" s="2">
        <f>AVERAGE(PerfRate[[#This Row],[EnvironmentSatisfaction]],PerfRate[[#This Row],[JobSatisfaction]],PerfRate[[#This Row],[RelationshipSatisfaction]])</f>
        <v>3</v>
      </c>
      <c r="R4733" s="2">
        <f>PerfRate[[#This Row],[ManagerRating]] - PerfRate[[#This Row],[SelfRating]]</f>
        <v>0</v>
      </c>
    </row>
    <row r="4734" spans="1:18">
      <c r="A4734" s="2" t="s">
        <v>9041</v>
      </c>
      <c r="B4734" s="2" t="s">
        <v>1767</v>
      </c>
      <c r="C4734" s="1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  <c r="L4734" s="2" t="s">
        <v>11031</v>
      </c>
      <c r="M4734" s="2" t="s">
        <v>11030</v>
      </c>
      <c r="N4734" s="2" t="s">
        <v>11038</v>
      </c>
      <c r="O4734" s="2" t="s">
        <v>11037</v>
      </c>
      <c r="P4734" s="2" t="s">
        <v>11035</v>
      </c>
      <c r="Q4734" s="2">
        <f>AVERAGE(PerfRate[[#This Row],[EnvironmentSatisfaction]],PerfRate[[#This Row],[JobSatisfaction]],PerfRate[[#This Row],[RelationshipSatisfaction]])</f>
        <v>3.6666666666666665</v>
      </c>
      <c r="R4734" s="2">
        <f>PerfRate[[#This Row],[ManagerRating]] - PerfRate[[#This Row],[SelfRating]]</f>
        <v>-1</v>
      </c>
    </row>
    <row r="4735" spans="1:18">
      <c r="A4735" s="2" t="s">
        <v>9042</v>
      </c>
      <c r="B4735" s="2" t="s">
        <v>3341</v>
      </c>
      <c r="C4735" s="1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  <c r="L4735" s="2" t="s">
        <v>11031</v>
      </c>
      <c r="M4735" s="2" t="s">
        <v>11031</v>
      </c>
      <c r="N4735" s="2" t="s">
        <v>11038</v>
      </c>
      <c r="O4735" s="2" t="s">
        <v>11038</v>
      </c>
      <c r="P4735" s="2" t="s">
        <v>11037</v>
      </c>
      <c r="Q4735" s="2">
        <f>AVERAGE(PerfRate[[#This Row],[EnvironmentSatisfaction]],PerfRate[[#This Row],[JobSatisfaction]],PerfRate[[#This Row],[RelationshipSatisfaction]])</f>
        <v>4.666666666666667</v>
      </c>
      <c r="R4735" s="2">
        <f>PerfRate[[#This Row],[ManagerRating]] - PerfRate[[#This Row],[SelfRating]]</f>
        <v>0</v>
      </c>
    </row>
    <row r="4736" spans="1:18">
      <c r="A4736" s="2" t="s">
        <v>9043</v>
      </c>
      <c r="B4736" s="2" t="s">
        <v>356</v>
      </c>
      <c r="C4736" s="1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  <c r="L4736" s="2" t="s">
        <v>11029</v>
      </c>
      <c r="M4736" s="2" t="s">
        <v>11028</v>
      </c>
      <c r="N4736" s="2" t="s">
        <v>11038</v>
      </c>
      <c r="O4736" s="2" t="s">
        <v>11037</v>
      </c>
      <c r="P4736" s="2" t="s">
        <v>11038</v>
      </c>
      <c r="Q4736" s="2">
        <f>AVERAGE(PerfRate[[#This Row],[EnvironmentSatisfaction]],PerfRate[[#This Row],[JobSatisfaction]],PerfRate[[#This Row],[RelationshipSatisfaction]])</f>
        <v>4.666666666666667</v>
      </c>
      <c r="R4736" s="2">
        <f>PerfRate[[#This Row],[ManagerRating]] - PerfRate[[#This Row],[SelfRating]]</f>
        <v>-1</v>
      </c>
    </row>
    <row r="4737" spans="1:18">
      <c r="A4737" s="2" t="s">
        <v>9044</v>
      </c>
      <c r="B4737" s="2" t="s">
        <v>863</v>
      </c>
      <c r="C4737" s="1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  <c r="L4737" s="2" t="s">
        <v>11031</v>
      </c>
      <c r="M4737" s="2" t="s">
        <v>11030</v>
      </c>
      <c r="N4737" s="2" t="s">
        <v>11037</v>
      </c>
      <c r="O4737" s="2" t="s">
        <v>11035</v>
      </c>
      <c r="P4737" s="2" t="s">
        <v>11035</v>
      </c>
      <c r="Q4737" s="2">
        <f>AVERAGE(PerfRate[[#This Row],[EnvironmentSatisfaction]],PerfRate[[#This Row],[JobSatisfaction]],PerfRate[[#This Row],[RelationshipSatisfaction]])</f>
        <v>2.6666666666666665</v>
      </c>
      <c r="R4737" s="2">
        <f>PerfRate[[#This Row],[ManagerRating]] - PerfRate[[#This Row],[SelfRating]]</f>
        <v>-1</v>
      </c>
    </row>
    <row r="4738" spans="1:18">
      <c r="A4738" s="2" t="s">
        <v>9045</v>
      </c>
      <c r="B4738" s="2" t="s">
        <v>2625</v>
      </c>
      <c r="C4738" s="1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  <c r="L4738" s="2" t="s">
        <v>11030</v>
      </c>
      <c r="M4738" s="2" t="s">
        <v>11030</v>
      </c>
      <c r="N4738" s="2" t="s">
        <v>11038</v>
      </c>
      <c r="O4738" s="2" t="s">
        <v>11038</v>
      </c>
      <c r="P4738" s="2" t="s">
        <v>11035</v>
      </c>
      <c r="Q4738" s="2">
        <f>AVERAGE(PerfRate[[#This Row],[EnvironmentSatisfaction]],PerfRate[[#This Row],[JobSatisfaction]],PerfRate[[#This Row],[RelationshipSatisfaction]])</f>
        <v>4</v>
      </c>
      <c r="R4738" s="2">
        <f>PerfRate[[#This Row],[ManagerRating]] - PerfRate[[#This Row],[SelfRating]]</f>
        <v>0</v>
      </c>
    </row>
    <row r="4739" spans="1:18">
      <c r="A4739" s="2" t="s">
        <v>9046</v>
      </c>
      <c r="B4739" s="2" t="s">
        <v>1362</v>
      </c>
      <c r="C4739" s="1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  <c r="L4739" s="2" t="s">
        <v>11030</v>
      </c>
      <c r="M4739" s="2" t="s">
        <v>11029</v>
      </c>
      <c r="N4739" s="2" t="s">
        <v>11038</v>
      </c>
      <c r="O4739" s="2" t="s">
        <v>11038</v>
      </c>
      <c r="P4739" s="2" t="s">
        <v>11038</v>
      </c>
      <c r="Q4739" s="2">
        <f>AVERAGE(PerfRate[[#This Row],[EnvironmentSatisfaction]],PerfRate[[#This Row],[JobSatisfaction]],PerfRate[[#This Row],[RelationshipSatisfaction]])</f>
        <v>5</v>
      </c>
      <c r="R4739" s="2">
        <f>PerfRate[[#This Row],[ManagerRating]] - PerfRate[[#This Row],[SelfRating]]</f>
        <v>-1</v>
      </c>
    </row>
    <row r="4740" spans="1:18">
      <c r="A4740" s="2" t="s">
        <v>9047</v>
      </c>
      <c r="B4740" s="2" t="s">
        <v>2453</v>
      </c>
      <c r="C4740" s="1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  <c r="L4740" s="2" t="s">
        <v>11029</v>
      </c>
      <c r="M4740" s="2" t="s">
        <v>11029</v>
      </c>
      <c r="N4740" s="2" t="s">
        <v>11038</v>
      </c>
      <c r="O4740" s="2" t="s">
        <v>11036</v>
      </c>
      <c r="P4740" s="2" t="s">
        <v>11036</v>
      </c>
      <c r="Q4740" s="2">
        <f>AVERAGE(PerfRate[[#This Row],[EnvironmentSatisfaction]],PerfRate[[#This Row],[JobSatisfaction]],PerfRate[[#This Row],[RelationshipSatisfaction]])</f>
        <v>3.6666666666666665</v>
      </c>
      <c r="R4740" s="2">
        <f>PerfRate[[#This Row],[ManagerRating]] - PerfRate[[#This Row],[SelfRating]]</f>
        <v>0</v>
      </c>
    </row>
    <row r="4741" spans="1:18">
      <c r="A4741" s="2" t="s">
        <v>9048</v>
      </c>
      <c r="B4741" s="2" t="s">
        <v>544</v>
      </c>
      <c r="C4741" s="1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  <c r="L4741" s="2" t="s">
        <v>11030</v>
      </c>
      <c r="M4741" s="2" t="s">
        <v>11029</v>
      </c>
      <c r="N4741" s="2" t="s">
        <v>11036</v>
      </c>
      <c r="O4741" s="2" t="s">
        <v>11037</v>
      </c>
      <c r="P4741" s="2" t="s">
        <v>11036</v>
      </c>
      <c r="Q4741" s="2">
        <f>AVERAGE(PerfRate[[#This Row],[EnvironmentSatisfaction]],PerfRate[[#This Row],[JobSatisfaction]],PerfRate[[#This Row],[RelationshipSatisfaction]])</f>
        <v>3.3333333333333335</v>
      </c>
      <c r="R4741" s="2">
        <f>PerfRate[[#This Row],[ManagerRating]] - PerfRate[[#This Row],[SelfRating]]</f>
        <v>-1</v>
      </c>
    </row>
    <row r="4742" spans="1:18">
      <c r="A4742" s="2" t="s">
        <v>9049</v>
      </c>
      <c r="B4742" s="2" t="s">
        <v>2633</v>
      </c>
      <c r="C4742" s="1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  <c r="L4742" s="2" t="s">
        <v>11029</v>
      </c>
      <c r="M4742" s="2" t="s">
        <v>11028</v>
      </c>
      <c r="N4742" s="2" t="s">
        <v>11038</v>
      </c>
      <c r="O4742" s="2" t="s">
        <v>11035</v>
      </c>
      <c r="P4742" s="2" t="s">
        <v>11037</v>
      </c>
      <c r="Q4742" s="2">
        <f>AVERAGE(PerfRate[[#This Row],[EnvironmentSatisfaction]],PerfRate[[#This Row],[JobSatisfaction]],PerfRate[[#This Row],[RelationshipSatisfaction]])</f>
        <v>3.6666666666666665</v>
      </c>
      <c r="R4742" s="2">
        <f>PerfRate[[#This Row],[ManagerRating]] - PerfRate[[#This Row],[SelfRating]]</f>
        <v>-1</v>
      </c>
    </row>
    <row r="4743" spans="1:18">
      <c r="A4743" s="2" t="s">
        <v>9050</v>
      </c>
      <c r="B4743" s="2" t="s">
        <v>2537</v>
      </c>
      <c r="C4743" s="1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  <c r="L4743" s="2" t="s">
        <v>11030</v>
      </c>
      <c r="M4743" s="2" t="s">
        <v>11030</v>
      </c>
      <c r="N4743" s="2" t="s">
        <v>11037</v>
      </c>
      <c r="O4743" s="2" t="s">
        <v>11035</v>
      </c>
      <c r="P4743" s="2" t="s">
        <v>11037</v>
      </c>
      <c r="Q4743" s="2">
        <f>AVERAGE(PerfRate[[#This Row],[EnvironmentSatisfaction]],PerfRate[[#This Row],[JobSatisfaction]],PerfRate[[#This Row],[RelationshipSatisfaction]])</f>
        <v>3.3333333333333335</v>
      </c>
      <c r="R4743" s="2">
        <f>PerfRate[[#This Row],[ManagerRating]] - PerfRate[[#This Row],[SelfRating]]</f>
        <v>0</v>
      </c>
    </row>
    <row r="4744" spans="1:18">
      <c r="A4744" s="2" t="s">
        <v>9051</v>
      </c>
      <c r="B4744" s="2" t="s">
        <v>1212</v>
      </c>
      <c r="C4744" s="1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  <c r="L4744" s="2" t="s">
        <v>11029</v>
      </c>
      <c r="M4744" s="2" t="s">
        <v>11028</v>
      </c>
      <c r="N4744" s="2" t="s">
        <v>11037</v>
      </c>
      <c r="O4744" s="2" t="s">
        <v>11038</v>
      </c>
      <c r="P4744" s="2" t="s">
        <v>11038</v>
      </c>
      <c r="Q4744" s="2">
        <f>AVERAGE(PerfRate[[#This Row],[EnvironmentSatisfaction]],PerfRate[[#This Row],[JobSatisfaction]],PerfRate[[#This Row],[RelationshipSatisfaction]])</f>
        <v>4.666666666666667</v>
      </c>
      <c r="R4744" s="2">
        <f>PerfRate[[#This Row],[ManagerRating]] - PerfRate[[#This Row],[SelfRating]]</f>
        <v>-1</v>
      </c>
    </row>
    <row r="4745" spans="1:18">
      <c r="A4745" s="2" t="s">
        <v>9052</v>
      </c>
      <c r="B4745" s="2" t="s">
        <v>2033</v>
      </c>
      <c r="C4745" s="1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  <c r="L4745" s="2" t="s">
        <v>11030</v>
      </c>
      <c r="M4745" s="2" t="s">
        <v>11029</v>
      </c>
      <c r="N4745" s="2" t="s">
        <v>11036</v>
      </c>
      <c r="O4745" s="2" t="s">
        <v>11038</v>
      </c>
      <c r="P4745" s="2" t="s">
        <v>11035</v>
      </c>
      <c r="Q4745" s="2">
        <f>AVERAGE(PerfRate[[#This Row],[EnvironmentSatisfaction]],PerfRate[[#This Row],[JobSatisfaction]],PerfRate[[#This Row],[RelationshipSatisfaction]])</f>
        <v>3.3333333333333335</v>
      </c>
      <c r="R4745" s="2">
        <f>PerfRate[[#This Row],[ManagerRating]] - PerfRate[[#This Row],[SelfRating]]</f>
        <v>-1</v>
      </c>
    </row>
    <row r="4746" spans="1:18">
      <c r="A4746" s="2" t="s">
        <v>9053</v>
      </c>
      <c r="B4746" s="2" t="s">
        <v>4032</v>
      </c>
      <c r="C4746" s="1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  <c r="L4746" s="2" t="s">
        <v>11029</v>
      </c>
      <c r="M4746" s="2" t="s">
        <v>11028</v>
      </c>
      <c r="N4746" s="2" t="s">
        <v>11036</v>
      </c>
      <c r="O4746" s="2" t="s">
        <v>11037</v>
      </c>
      <c r="P4746" s="2" t="s">
        <v>11038</v>
      </c>
      <c r="Q4746" s="2">
        <f>AVERAGE(PerfRate[[#This Row],[EnvironmentSatisfaction]],PerfRate[[#This Row],[JobSatisfaction]],PerfRate[[#This Row],[RelationshipSatisfaction]])</f>
        <v>4</v>
      </c>
      <c r="R4746" s="2">
        <f>PerfRate[[#This Row],[ManagerRating]] - PerfRate[[#This Row],[SelfRating]]</f>
        <v>-1</v>
      </c>
    </row>
    <row r="4747" spans="1:18">
      <c r="A4747" s="2" t="s">
        <v>9054</v>
      </c>
      <c r="B4747" s="2" t="s">
        <v>2392</v>
      </c>
      <c r="C4747" s="1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  <c r="L4747" s="2" t="s">
        <v>11029</v>
      </c>
      <c r="M4747" s="2" t="s">
        <v>11028</v>
      </c>
      <c r="N4747" s="2" t="s">
        <v>11037</v>
      </c>
      <c r="O4747" s="2" t="s">
        <v>11035</v>
      </c>
      <c r="P4747" s="2" t="s">
        <v>11037</v>
      </c>
      <c r="Q4747" s="2">
        <f>AVERAGE(PerfRate[[#This Row],[EnvironmentSatisfaction]],PerfRate[[#This Row],[JobSatisfaction]],PerfRate[[#This Row],[RelationshipSatisfaction]])</f>
        <v>3.3333333333333335</v>
      </c>
      <c r="R4747" s="2">
        <f>PerfRate[[#This Row],[ManagerRating]] - PerfRate[[#This Row],[SelfRating]]</f>
        <v>-1</v>
      </c>
    </row>
    <row r="4748" spans="1:18">
      <c r="A4748" s="2" t="s">
        <v>9055</v>
      </c>
      <c r="B4748" s="2" t="s">
        <v>2917</v>
      </c>
      <c r="C4748" s="1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  <c r="L4748" s="2" t="s">
        <v>11030</v>
      </c>
      <c r="M4748" s="2" t="s">
        <v>11029</v>
      </c>
      <c r="N4748" s="2" t="s">
        <v>11038</v>
      </c>
      <c r="O4748" s="2" t="s">
        <v>11036</v>
      </c>
      <c r="P4748" s="2" t="s">
        <v>11037</v>
      </c>
      <c r="Q4748" s="2">
        <f>AVERAGE(PerfRate[[#This Row],[EnvironmentSatisfaction]],PerfRate[[#This Row],[JobSatisfaction]],PerfRate[[#This Row],[RelationshipSatisfaction]])</f>
        <v>4</v>
      </c>
      <c r="R4748" s="2">
        <f>PerfRate[[#This Row],[ManagerRating]] - PerfRate[[#This Row],[SelfRating]]</f>
        <v>-1</v>
      </c>
    </row>
    <row r="4749" spans="1:18">
      <c r="A4749" s="2" t="s">
        <v>9056</v>
      </c>
      <c r="B4749" s="2" t="s">
        <v>1468</v>
      </c>
      <c r="C4749" s="1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  <c r="L4749" s="2" t="s">
        <v>11030</v>
      </c>
      <c r="M4749" s="2" t="s">
        <v>11029</v>
      </c>
      <c r="N4749" s="2" t="s">
        <v>11038</v>
      </c>
      <c r="O4749" s="2" t="s">
        <v>11036</v>
      </c>
      <c r="P4749" s="2" t="s">
        <v>11038</v>
      </c>
      <c r="Q4749" s="2">
        <f>AVERAGE(PerfRate[[#This Row],[EnvironmentSatisfaction]],PerfRate[[#This Row],[JobSatisfaction]],PerfRate[[#This Row],[RelationshipSatisfaction]])</f>
        <v>4.333333333333333</v>
      </c>
      <c r="R4749" s="2">
        <f>PerfRate[[#This Row],[ManagerRating]] - PerfRate[[#This Row],[SelfRating]]</f>
        <v>-1</v>
      </c>
    </row>
    <row r="4750" spans="1:18">
      <c r="A4750" s="2" t="s">
        <v>9057</v>
      </c>
      <c r="B4750" s="2" t="s">
        <v>2219</v>
      </c>
      <c r="C4750" s="1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  <c r="L4750" s="2" t="s">
        <v>11031</v>
      </c>
      <c r="M4750" s="2" t="s">
        <v>11030</v>
      </c>
      <c r="N4750" s="2" t="s">
        <v>11038</v>
      </c>
      <c r="O4750" s="2" t="s">
        <v>11037</v>
      </c>
      <c r="P4750" s="2" t="s">
        <v>11037</v>
      </c>
      <c r="Q4750" s="2">
        <f>AVERAGE(PerfRate[[#This Row],[EnvironmentSatisfaction]],PerfRate[[#This Row],[JobSatisfaction]],PerfRate[[#This Row],[RelationshipSatisfaction]])</f>
        <v>4.333333333333333</v>
      </c>
      <c r="R4750" s="2">
        <f>PerfRate[[#This Row],[ManagerRating]] - PerfRate[[#This Row],[SelfRating]]</f>
        <v>-1</v>
      </c>
    </row>
    <row r="4751" spans="1:18">
      <c r="A4751" s="2" t="s">
        <v>9058</v>
      </c>
      <c r="B4751" s="2" t="s">
        <v>455</v>
     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  <c r="L4751" s="2" t="s">
        <v>11029</v>
      </c>
      <c r="M4751" s="2" t="s">
        <v>11028</v>
      </c>
      <c r="N4751" s="2" t="s">
        <v>11038</v>
      </c>
      <c r="O4751" s="2" t="s">
        <v>11036</v>
      </c>
      <c r="P4751" s="2" t="s">
        <v>11035</v>
      </c>
      <c r="Q4751" s="2">
        <f>AVERAGE(PerfRate[[#This Row],[EnvironmentSatisfaction]],PerfRate[[#This Row],[JobSatisfaction]],PerfRate[[#This Row],[RelationshipSatisfaction]])</f>
        <v>3.3333333333333335</v>
      </c>
      <c r="R4751" s="2">
        <f>PerfRate[[#This Row],[ManagerRating]] - PerfRate[[#This Row],[SelfRating]]</f>
        <v>-1</v>
      </c>
    </row>
    <row r="4752" spans="1:18">
      <c r="A4752" s="2" t="s">
        <v>9059</v>
      </c>
      <c r="B4752" s="2" t="s">
        <v>2767</v>
      </c>
      <c r="C4752" s="1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  <c r="L4752" s="2" t="s">
        <v>11031</v>
      </c>
      <c r="M4752" s="2" t="s">
        <v>11030</v>
      </c>
      <c r="N4752" s="2" t="s">
        <v>11036</v>
      </c>
      <c r="O4752" s="2" t="s">
        <v>11038</v>
      </c>
      <c r="P4752" s="2" t="s">
        <v>11037</v>
      </c>
      <c r="Q4752" s="2">
        <f>AVERAGE(PerfRate[[#This Row],[EnvironmentSatisfaction]],PerfRate[[#This Row],[JobSatisfaction]],PerfRate[[#This Row],[RelationshipSatisfaction]])</f>
        <v>4</v>
      </c>
      <c r="R4752" s="2">
        <f>PerfRate[[#This Row],[ManagerRating]] - PerfRate[[#This Row],[SelfRating]]</f>
        <v>-1</v>
      </c>
    </row>
    <row r="4753" spans="1:18">
      <c r="A4753" s="2" t="s">
        <v>9060</v>
      </c>
      <c r="B4753" s="2" t="s">
        <v>2511</v>
      </c>
      <c r="C4753" s="1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  <c r="L4753" s="2" t="s">
        <v>11030</v>
      </c>
      <c r="M4753" s="2" t="s">
        <v>11030</v>
      </c>
      <c r="N4753" s="2" t="s">
        <v>11037</v>
      </c>
      <c r="O4753" s="2" t="s">
        <v>11035</v>
      </c>
      <c r="P4753" s="2" t="s">
        <v>11035</v>
      </c>
      <c r="Q4753" s="2">
        <f>AVERAGE(PerfRate[[#This Row],[EnvironmentSatisfaction]],PerfRate[[#This Row],[JobSatisfaction]],PerfRate[[#This Row],[RelationshipSatisfaction]])</f>
        <v>2.6666666666666665</v>
      </c>
      <c r="R4753" s="2">
        <f>PerfRate[[#This Row],[ManagerRating]] - PerfRate[[#This Row],[SelfRating]]</f>
        <v>0</v>
      </c>
    </row>
    <row r="4754" spans="1:18">
      <c r="A4754" s="2" t="s">
        <v>9061</v>
      </c>
      <c r="B4754" s="2" t="s">
        <v>1602</v>
      </c>
      <c r="C4754" s="1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  <c r="L4754" s="2" t="s">
        <v>11030</v>
      </c>
      <c r="M4754" s="2" t="s">
        <v>11030</v>
      </c>
      <c r="N4754" s="2" t="s">
        <v>11036</v>
      </c>
      <c r="O4754" s="2" t="s">
        <v>11037</v>
      </c>
      <c r="P4754" s="2" t="s">
        <v>11035</v>
      </c>
      <c r="Q4754" s="2">
        <f>AVERAGE(PerfRate[[#This Row],[EnvironmentSatisfaction]],PerfRate[[#This Row],[JobSatisfaction]],PerfRate[[#This Row],[RelationshipSatisfaction]])</f>
        <v>3</v>
      </c>
      <c r="R4754" s="2">
        <f>PerfRate[[#This Row],[ManagerRating]] - PerfRate[[#This Row],[SelfRating]]</f>
        <v>0</v>
      </c>
    </row>
    <row r="4755" spans="1:18">
      <c r="A4755" s="2" t="s">
        <v>9062</v>
      </c>
      <c r="B4755" s="2" t="s">
        <v>976</v>
      </c>
      <c r="C4755" s="1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  <c r="L4755" s="2" t="s">
        <v>11029</v>
      </c>
      <c r="M4755" s="2" t="s">
        <v>11028</v>
      </c>
      <c r="N4755" s="2" t="s">
        <v>11036</v>
      </c>
      <c r="O4755" s="2" t="s">
        <v>11036</v>
      </c>
      <c r="P4755" s="2" t="s">
        <v>11035</v>
      </c>
      <c r="Q4755" s="2">
        <f>AVERAGE(PerfRate[[#This Row],[EnvironmentSatisfaction]],PerfRate[[#This Row],[JobSatisfaction]],PerfRate[[#This Row],[RelationshipSatisfaction]])</f>
        <v>2.6666666666666665</v>
      </c>
      <c r="R4755" s="2">
        <f>PerfRate[[#This Row],[ManagerRating]] - PerfRate[[#This Row],[SelfRating]]</f>
        <v>-1</v>
      </c>
    </row>
    <row r="4756" spans="1:18">
      <c r="A4756" s="2" t="s">
        <v>9063</v>
      </c>
      <c r="B4756" s="2" t="s">
        <v>2961</v>
      </c>
      <c r="C4756" s="1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  <c r="L4756" s="2" t="s">
        <v>11030</v>
      </c>
      <c r="M4756" s="2" t="s">
        <v>11029</v>
      </c>
      <c r="N4756" s="2" t="s">
        <v>11036</v>
      </c>
      <c r="O4756" s="2" t="s">
        <v>11036</v>
      </c>
      <c r="P4756" s="2" t="s">
        <v>11036</v>
      </c>
      <c r="Q4756" s="2">
        <f>AVERAGE(PerfRate[[#This Row],[EnvironmentSatisfaction]],PerfRate[[#This Row],[JobSatisfaction]],PerfRate[[#This Row],[RelationshipSatisfaction]])</f>
        <v>3</v>
      </c>
      <c r="R4756" s="2">
        <f>PerfRate[[#This Row],[ManagerRating]] - PerfRate[[#This Row],[SelfRating]]</f>
        <v>-1</v>
      </c>
    </row>
    <row r="4757" spans="1:18">
      <c r="A4757" s="2" t="s">
        <v>9064</v>
      </c>
      <c r="B4757" s="2" t="s">
        <v>3603</v>
      </c>
      <c r="C4757" s="1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  <c r="L4757" s="2" t="s">
        <v>11029</v>
      </c>
      <c r="M4757" s="2" t="s">
        <v>11029</v>
      </c>
      <c r="N4757" s="2" t="s">
        <v>11037</v>
      </c>
      <c r="O4757" s="2" t="s">
        <v>11035</v>
      </c>
      <c r="P4757" s="2" t="s">
        <v>11036</v>
      </c>
      <c r="Q4757" s="2">
        <f>AVERAGE(PerfRate[[#This Row],[EnvironmentSatisfaction]],PerfRate[[#This Row],[JobSatisfaction]],PerfRate[[#This Row],[RelationshipSatisfaction]])</f>
        <v>3</v>
      </c>
      <c r="R4757" s="2">
        <f>PerfRate[[#This Row],[ManagerRating]] - PerfRate[[#This Row],[SelfRating]]</f>
        <v>0</v>
      </c>
    </row>
    <row r="4758" spans="1:18">
      <c r="A4758" s="2" t="s">
        <v>9065</v>
      </c>
      <c r="B4758" s="2" t="s">
        <v>1578</v>
      </c>
      <c r="C4758" s="1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  <c r="L4758" s="2" t="s">
        <v>11029</v>
      </c>
      <c r="M4758" s="2" t="s">
        <v>11028</v>
      </c>
      <c r="N4758" s="2" t="s">
        <v>11038</v>
      </c>
      <c r="O4758" s="2" t="s">
        <v>11037</v>
      </c>
      <c r="P4758" s="2" t="s">
        <v>11036</v>
      </c>
      <c r="Q4758" s="2">
        <f>AVERAGE(PerfRate[[#This Row],[EnvironmentSatisfaction]],PerfRate[[#This Row],[JobSatisfaction]],PerfRate[[#This Row],[RelationshipSatisfaction]])</f>
        <v>4</v>
      </c>
      <c r="R4758" s="2">
        <f>PerfRate[[#This Row],[ManagerRating]] - PerfRate[[#This Row],[SelfRating]]</f>
        <v>-1</v>
      </c>
    </row>
    <row r="4759" spans="1:18">
      <c r="A4759" s="2" t="s">
        <v>9066</v>
      </c>
      <c r="B4759" s="2" t="s">
        <v>2348</v>
      </c>
      <c r="C4759" s="1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  <c r="L4759" s="2" t="s">
        <v>11031</v>
      </c>
      <c r="M4759" s="2" t="s">
        <v>11030</v>
      </c>
      <c r="N4759" s="2" t="s">
        <v>11037</v>
      </c>
      <c r="O4759" s="2" t="s">
        <v>11037</v>
      </c>
      <c r="P4759" s="2" t="s">
        <v>11036</v>
      </c>
      <c r="Q4759" s="2">
        <f>AVERAGE(PerfRate[[#This Row],[EnvironmentSatisfaction]],PerfRate[[#This Row],[JobSatisfaction]],PerfRate[[#This Row],[RelationshipSatisfaction]])</f>
        <v>3.6666666666666665</v>
      </c>
      <c r="R4759" s="2">
        <f>PerfRate[[#This Row],[ManagerRating]] - PerfRate[[#This Row],[SelfRating]]</f>
        <v>-1</v>
      </c>
    </row>
    <row r="4760" spans="1:18">
      <c r="A4760" s="2" t="s">
        <v>9067</v>
      </c>
      <c r="B4760" s="2" t="s">
        <v>782</v>
      </c>
      <c r="C4760" s="1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  <c r="L4760" s="2" t="s">
        <v>11031</v>
      </c>
      <c r="M4760" s="2" t="s">
        <v>11030</v>
      </c>
      <c r="N4760" s="2" t="s">
        <v>11038</v>
      </c>
      <c r="O4760" s="2" t="s">
        <v>11038</v>
      </c>
      <c r="P4760" s="2" t="s">
        <v>11038</v>
      </c>
      <c r="Q4760" s="2">
        <f>AVERAGE(PerfRate[[#This Row],[EnvironmentSatisfaction]],PerfRate[[#This Row],[JobSatisfaction]],PerfRate[[#This Row],[RelationshipSatisfaction]])</f>
        <v>5</v>
      </c>
      <c r="R4760" s="2">
        <f>PerfRate[[#This Row],[ManagerRating]] - PerfRate[[#This Row],[SelfRating]]</f>
        <v>-1</v>
      </c>
    </row>
    <row r="4761" spans="1:18">
      <c r="A4761" s="2" t="s">
        <v>9068</v>
      </c>
      <c r="B4761" s="2" t="s">
        <v>1680</v>
      </c>
      <c r="C4761" s="1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  <c r="L4761" s="2" t="s">
        <v>11030</v>
      </c>
      <c r="M4761" s="2" t="s">
        <v>11029</v>
      </c>
      <c r="N4761" s="2" t="s">
        <v>11037</v>
      </c>
      <c r="O4761" s="2" t="s">
        <v>11037</v>
      </c>
      <c r="P4761" s="2" t="s">
        <v>11035</v>
      </c>
      <c r="Q4761" s="2">
        <f>AVERAGE(PerfRate[[#This Row],[EnvironmentSatisfaction]],PerfRate[[#This Row],[JobSatisfaction]],PerfRate[[#This Row],[RelationshipSatisfaction]])</f>
        <v>3.3333333333333335</v>
      </c>
      <c r="R4761" s="2">
        <f>PerfRate[[#This Row],[ManagerRating]] - PerfRate[[#This Row],[SelfRating]]</f>
        <v>-1</v>
      </c>
    </row>
    <row r="4762" spans="1:18">
      <c r="A4762" s="2" t="s">
        <v>9069</v>
      </c>
      <c r="B4762" s="2" t="s">
        <v>2641</v>
      </c>
      <c r="C4762" s="1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  <c r="L4762" s="2" t="s">
        <v>11029</v>
      </c>
      <c r="M4762" s="2" t="s">
        <v>11029</v>
      </c>
      <c r="N4762" s="2" t="s">
        <v>11036</v>
      </c>
      <c r="O4762" s="2" t="s">
        <v>11036</v>
      </c>
      <c r="P4762" s="2" t="s">
        <v>11035</v>
      </c>
      <c r="Q4762" s="2">
        <f>AVERAGE(PerfRate[[#This Row],[EnvironmentSatisfaction]],PerfRate[[#This Row],[JobSatisfaction]],PerfRate[[#This Row],[RelationshipSatisfaction]])</f>
        <v>2.6666666666666665</v>
      </c>
      <c r="R4762" s="2">
        <f>PerfRate[[#This Row],[ManagerRating]] - PerfRate[[#This Row],[SelfRating]]</f>
        <v>0</v>
      </c>
    </row>
    <row r="4763" spans="1:18">
      <c r="A4763" s="2" t="s">
        <v>9070</v>
      </c>
      <c r="B4763" s="2" t="s">
        <v>2533</v>
      </c>
      <c r="C4763" s="1">
        <v>44205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  <c r="L4763" s="2" t="s">
        <v>11029</v>
      </c>
      <c r="M4763" s="2" t="s">
        <v>11029</v>
      </c>
      <c r="N4763" s="2" t="s">
        <v>11036</v>
      </c>
      <c r="O4763" s="2" t="s">
        <v>11036</v>
      </c>
      <c r="P4763" s="2" t="s">
        <v>11038</v>
      </c>
      <c r="Q4763" s="2">
        <f>AVERAGE(PerfRate[[#This Row],[EnvironmentSatisfaction]],PerfRate[[#This Row],[JobSatisfaction]],PerfRate[[#This Row],[RelationshipSatisfaction]])</f>
        <v>3.6666666666666665</v>
      </c>
      <c r="R4763" s="2">
        <f>PerfRate[[#This Row],[ManagerRating]] - PerfRate[[#This Row],[SelfRating]]</f>
        <v>0</v>
      </c>
    </row>
    <row r="4764" spans="1:18">
      <c r="A4764" s="2" t="s">
        <v>9071</v>
      </c>
      <c r="B4764" s="2" t="s">
        <v>847</v>
      </c>
      <c r="C4764" s="1">
        <v>44205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  <c r="L4764" s="2" t="s">
        <v>11031</v>
      </c>
      <c r="M4764" s="2" t="s">
        <v>11031</v>
      </c>
      <c r="N4764" s="2" t="s">
        <v>11036</v>
      </c>
      <c r="O4764" s="2" t="s">
        <v>11036</v>
      </c>
      <c r="P4764" s="2" t="s">
        <v>11037</v>
      </c>
      <c r="Q4764" s="2">
        <f>AVERAGE(PerfRate[[#This Row],[EnvironmentSatisfaction]],PerfRate[[#This Row],[JobSatisfaction]],PerfRate[[#This Row],[RelationshipSatisfaction]])</f>
        <v>3.3333333333333335</v>
      </c>
      <c r="R4764" s="2">
        <f>PerfRate[[#This Row],[ManagerRating]] - PerfRate[[#This Row],[SelfRating]]</f>
        <v>0</v>
      </c>
    </row>
    <row r="4765" spans="1:18">
      <c r="A4765" s="2" t="s">
        <v>9072</v>
      </c>
      <c r="B4765" s="2" t="s">
        <v>1984</v>
      </c>
      <c r="C4765" s="1">
        <v>44205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  <c r="L4765" s="2" t="s">
        <v>11031</v>
      </c>
      <c r="M4765" s="2" t="s">
        <v>11030</v>
      </c>
      <c r="N4765" s="2" t="s">
        <v>11038</v>
      </c>
      <c r="O4765" s="2" t="s">
        <v>11037</v>
      </c>
      <c r="P4765" s="2" t="s">
        <v>11035</v>
      </c>
      <c r="Q4765" s="2">
        <f>AVERAGE(PerfRate[[#This Row],[EnvironmentSatisfaction]],PerfRate[[#This Row],[JobSatisfaction]],PerfRate[[#This Row],[RelationshipSatisfaction]])</f>
        <v>3.6666666666666665</v>
      </c>
      <c r="R4765" s="2">
        <f>PerfRate[[#This Row],[ManagerRating]] - PerfRate[[#This Row],[SelfRating]]</f>
        <v>-1</v>
      </c>
    </row>
    <row r="4766" spans="1:18">
      <c r="A4766" s="2" t="s">
        <v>9073</v>
      </c>
      <c r="B4766" s="2" t="s">
        <v>886</v>
      </c>
      <c r="C4766" s="1">
        <v>44236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  <c r="L4766" s="2" t="s">
        <v>11029</v>
      </c>
      <c r="M4766" s="2" t="s">
        <v>11028</v>
      </c>
      <c r="N4766" s="2" t="s">
        <v>11037</v>
      </c>
      <c r="O4766" s="2" t="s">
        <v>11038</v>
      </c>
      <c r="P4766" s="2" t="s">
        <v>11036</v>
      </c>
      <c r="Q4766" s="2">
        <f>AVERAGE(PerfRate[[#This Row],[EnvironmentSatisfaction]],PerfRate[[#This Row],[JobSatisfaction]],PerfRate[[#This Row],[RelationshipSatisfaction]])</f>
        <v>4</v>
      </c>
      <c r="R4766" s="2">
        <f>PerfRate[[#This Row],[ManagerRating]] - PerfRate[[#This Row],[SelfRating]]</f>
        <v>-1</v>
      </c>
    </row>
    <row r="4767" spans="1:18">
      <c r="A4767" s="2" t="s">
        <v>9074</v>
      </c>
      <c r="B4767" s="2" t="s">
        <v>1232</v>
      </c>
      <c r="C4767" s="1">
        <v>44236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  <c r="L4767" s="2" t="s">
        <v>11030</v>
      </c>
      <c r="M4767" s="2" t="s">
        <v>11029</v>
      </c>
      <c r="N4767" s="2" t="s">
        <v>11037</v>
      </c>
      <c r="O4767" s="2" t="s">
        <v>11038</v>
      </c>
      <c r="P4767" s="2" t="s">
        <v>11035</v>
      </c>
      <c r="Q4767" s="2">
        <f>AVERAGE(PerfRate[[#This Row],[EnvironmentSatisfaction]],PerfRate[[#This Row],[JobSatisfaction]],PerfRate[[#This Row],[RelationshipSatisfaction]])</f>
        <v>3.6666666666666665</v>
      </c>
      <c r="R4767" s="2">
        <f>PerfRate[[#This Row],[ManagerRating]] - PerfRate[[#This Row],[SelfRating]]</f>
        <v>-1</v>
      </c>
    </row>
    <row r="4768" spans="1:18">
      <c r="A4768" s="2" t="s">
        <v>9075</v>
      </c>
      <c r="B4768" s="2" t="s">
        <v>2140</v>
      </c>
      <c r="C4768" s="1">
        <v>44236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  <c r="L4768" s="2" t="s">
        <v>11031</v>
      </c>
      <c r="M4768" s="2" t="s">
        <v>11030</v>
      </c>
      <c r="N4768" s="2" t="s">
        <v>11038</v>
      </c>
      <c r="O4768" s="2" t="s">
        <v>11036</v>
      </c>
      <c r="P4768" s="2" t="s">
        <v>11038</v>
      </c>
      <c r="Q4768" s="2">
        <f>AVERAGE(PerfRate[[#This Row],[EnvironmentSatisfaction]],PerfRate[[#This Row],[JobSatisfaction]],PerfRate[[#This Row],[RelationshipSatisfaction]])</f>
        <v>4.333333333333333</v>
      </c>
      <c r="R4768" s="2">
        <f>PerfRate[[#This Row],[ManagerRating]] - PerfRate[[#This Row],[SelfRating]]</f>
        <v>-1</v>
      </c>
    </row>
    <row r="4769" spans="1:18">
      <c r="A4769" s="2" t="s">
        <v>9076</v>
      </c>
      <c r="B4769" s="2" t="s">
        <v>1807</v>
      </c>
      <c r="C4769" s="1">
        <v>44236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  <c r="L4769" s="2" t="s">
        <v>11030</v>
      </c>
      <c r="M4769" s="2" t="s">
        <v>11030</v>
      </c>
      <c r="N4769" s="2" t="s">
        <v>11036</v>
      </c>
      <c r="O4769" s="2" t="s">
        <v>11036</v>
      </c>
      <c r="P4769" s="2" t="s">
        <v>11038</v>
      </c>
      <c r="Q4769" s="2">
        <f>AVERAGE(PerfRate[[#This Row],[EnvironmentSatisfaction]],PerfRate[[#This Row],[JobSatisfaction]],PerfRate[[#This Row],[RelationshipSatisfaction]])</f>
        <v>3.6666666666666665</v>
      </c>
      <c r="R4769" s="2">
        <f>PerfRate[[#This Row],[ManagerRating]] - PerfRate[[#This Row],[SelfRating]]</f>
        <v>0</v>
      </c>
    </row>
    <row r="4770" spans="1:18">
      <c r="A4770" s="2" t="s">
        <v>9077</v>
      </c>
      <c r="B4770" s="2" t="s">
        <v>1797</v>
      </c>
      <c r="C4770" s="1">
        <v>44236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  <c r="L4770" s="2" t="s">
        <v>11031</v>
      </c>
      <c r="M4770" s="2" t="s">
        <v>11031</v>
      </c>
      <c r="N4770" s="2" t="s">
        <v>11036</v>
      </c>
      <c r="O4770" s="2" t="s">
        <v>11035</v>
      </c>
      <c r="P4770" s="2" t="s">
        <v>11035</v>
      </c>
      <c r="Q4770" s="2">
        <f>AVERAGE(PerfRate[[#This Row],[EnvironmentSatisfaction]],PerfRate[[#This Row],[JobSatisfaction]],PerfRate[[#This Row],[RelationshipSatisfaction]])</f>
        <v>2.3333333333333335</v>
      </c>
      <c r="R4770" s="2">
        <f>PerfRate[[#This Row],[ManagerRating]] - PerfRate[[#This Row],[SelfRating]]</f>
        <v>0</v>
      </c>
    </row>
    <row r="4771" spans="1:18">
      <c r="A4771" s="2" t="s">
        <v>9078</v>
      </c>
      <c r="B4771" s="2" t="s">
        <v>3617</v>
      </c>
      <c r="C4771" s="1">
        <v>44236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  <c r="L4771" s="2" t="s">
        <v>11029</v>
      </c>
      <c r="M4771" s="2" t="s">
        <v>11029</v>
      </c>
      <c r="N4771" s="2" t="s">
        <v>11037</v>
      </c>
      <c r="O4771" s="2" t="s">
        <v>11037</v>
      </c>
      <c r="P4771" s="2" t="s">
        <v>11038</v>
      </c>
      <c r="Q4771" s="2">
        <f>AVERAGE(PerfRate[[#This Row],[EnvironmentSatisfaction]],PerfRate[[#This Row],[JobSatisfaction]],PerfRate[[#This Row],[RelationshipSatisfaction]])</f>
        <v>4.333333333333333</v>
      </c>
      <c r="R4771" s="2">
        <f>PerfRate[[#This Row],[ManagerRating]] - PerfRate[[#This Row],[SelfRating]]</f>
        <v>0</v>
      </c>
    </row>
    <row r="4772" spans="1:18">
      <c r="A4772" s="2" t="s">
        <v>9079</v>
      </c>
      <c r="B4772" s="2" t="s">
        <v>4222</v>
      </c>
      <c r="C4772" s="1">
        <v>44264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  <c r="L4772" s="2" t="s">
        <v>11030</v>
      </c>
      <c r="M4772" s="2" t="s">
        <v>11029</v>
      </c>
      <c r="N4772" s="2" t="s">
        <v>11036</v>
      </c>
      <c r="O4772" s="2" t="s">
        <v>11035</v>
      </c>
      <c r="P4772" s="2" t="s">
        <v>11037</v>
      </c>
      <c r="Q4772" s="2">
        <f>AVERAGE(PerfRate[[#This Row],[EnvironmentSatisfaction]],PerfRate[[#This Row],[JobSatisfaction]],PerfRate[[#This Row],[RelationshipSatisfaction]])</f>
        <v>3</v>
      </c>
      <c r="R4772" s="2">
        <f>PerfRate[[#This Row],[ManagerRating]] - PerfRate[[#This Row],[SelfRating]]</f>
        <v>-1</v>
      </c>
    </row>
    <row r="4773" spans="1:18">
      <c r="A4773" s="2" t="s">
        <v>9080</v>
      </c>
      <c r="B4773" s="2" t="s">
        <v>1909</v>
      </c>
      <c r="C4773" s="1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  <c r="L4773" s="2" t="s">
        <v>11029</v>
      </c>
      <c r="M4773" s="2" t="s">
        <v>11029</v>
      </c>
      <c r="N4773" s="2" t="s">
        <v>11036</v>
      </c>
      <c r="O4773" s="2" t="s">
        <v>11038</v>
      </c>
      <c r="P4773" s="2" t="s">
        <v>11038</v>
      </c>
      <c r="Q4773" s="2">
        <f>AVERAGE(PerfRate[[#This Row],[EnvironmentSatisfaction]],PerfRate[[#This Row],[JobSatisfaction]],PerfRate[[#This Row],[RelationshipSatisfaction]])</f>
        <v>4.333333333333333</v>
      </c>
      <c r="R4773" s="2">
        <f>PerfRate[[#This Row],[ManagerRating]] - PerfRate[[#This Row],[SelfRating]]</f>
        <v>0</v>
      </c>
    </row>
    <row r="4774" spans="1:18">
      <c r="A4774" s="2" t="s">
        <v>9081</v>
      </c>
      <c r="B4774" s="2" t="s">
        <v>1563</v>
      </c>
      <c r="C4774" s="1">
        <v>44264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  <c r="L4774" s="2" t="s">
        <v>11031</v>
      </c>
      <c r="M4774" s="2" t="s">
        <v>11031</v>
      </c>
      <c r="N4774" s="2" t="s">
        <v>11037</v>
      </c>
      <c r="O4774" s="2" t="s">
        <v>11037</v>
      </c>
      <c r="P4774" s="2" t="s">
        <v>11036</v>
      </c>
      <c r="Q4774" s="2">
        <f>AVERAGE(PerfRate[[#This Row],[EnvironmentSatisfaction]],PerfRate[[#This Row],[JobSatisfaction]],PerfRate[[#This Row],[RelationshipSatisfaction]])</f>
        <v>3.6666666666666665</v>
      </c>
      <c r="R4774" s="2">
        <f>PerfRate[[#This Row],[ManagerRating]] - PerfRate[[#This Row],[SelfRating]]</f>
        <v>0</v>
      </c>
    </row>
    <row r="4775" spans="1:18">
      <c r="A4775" s="2" t="s">
        <v>9082</v>
      </c>
      <c r="B4775" s="2" t="s">
        <v>1924</v>
      </c>
      <c r="C4775" s="1">
        <v>44264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  <c r="L4775" s="2" t="s">
        <v>11030</v>
      </c>
      <c r="M4775" s="2" t="s">
        <v>11030</v>
      </c>
      <c r="N4775" s="2" t="s">
        <v>11038</v>
      </c>
      <c r="O4775" s="2" t="s">
        <v>11037</v>
      </c>
      <c r="P4775" s="2" t="s">
        <v>11035</v>
      </c>
      <c r="Q4775" s="2">
        <f>AVERAGE(PerfRate[[#This Row],[EnvironmentSatisfaction]],PerfRate[[#This Row],[JobSatisfaction]],PerfRate[[#This Row],[RelationshipSatisfaction]])</f>
        <v>3.6666666666666665</v>
      </c>
      <c r="R4775" s="2">
        <f>PerfRate[[#This Row],[ManagerRating]] - PerfRate[[#This Row],[SelfRating]]</f>
        <v>0</v>
      </c>
    </row>
    <row r="4776" spans="1:18">
      <c r="A4776" s="2" t="s">
        <v>9083</v>
      </c>
      <c r="B4776" s="2" t="s">
        <v>1374</v>
      </c>
      <c r="C4776" s="1">
        <v>44295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  <c r="L4776" s="2" t="s">
        <v>11029</v>
      </c>
      <c r="M4776" s="2" t="s">
        <v>11029</v>
      </c>
      <c r="N4776" s="2" t="s">
        <v>11036</v>
      </c>
      <c r="O4776" s="2" t="s">
        <v>11038</v>
      </c>
      <c r="P4776" s="2" t="s">
        <v>11037</v>
      </c>
      <c r="Q4776" s="2">
        <f>AVERAGE(PerfRate[[#This Row],[EnvironmentSatisfaction]],PerfRate[[#This Row],[JobSatisfaction]],PerfRate[[#This Row],[RelationshipSatisfaction]])</f>
        <v>4</v>
      </c>
      <c r="R4776" s="2">
        <f>PerfRate[[#This Row],[ManagerRating]] - PerfRate[[#This Row],[SelfRating]]</f>
        <v>0</v>
      </c>
    </row>
    <row r="4777" spans="1:18">
      <c r="A4777" s="2" t="s">
        <v>9084</v>
      </c>
      <c r="B4777" s="2" t="s">
        <v>2778</v>
      </c>
      <c r="C4777" s="1">
        <v>44295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  <c r="L4777" s="2" t="s">
        <v>11030</v>
      </c>
      <c r="M4777" s="2" t="s">
        <v>11029</v>
      </c>
      <c r="N4777" s="2" t="s">
        <v>11037</v>
      </c>
      <c r="O4777" s="2" t="s">
        <v>11036</v>
      </c>
      <c r="P4777" s="2" t="s">
        <v>11038</v>
      </c>
      <c r="Q4777" s="2">
        <f>AVERAGE(PerfRate[[#This Row],[EnvironmentSatisfaction]],PerfRate[[#This Row],[JobSatisfaction]],PerfRate[[#This Row],[RelationshipSatisfaction]])</f>
        <v>4</v>
      </c>
      <c r="R4777" s="2">
        <f>PerfRate[[#This Row],[ManagerRating]] - PerfRate[[#This Row],[SelfRating]]</f>
        <v>-1</v>
      </c>
    </row>
    <row r="4778" spans="1:18">
      <c r="A4778" s="2" t="s">
        <v>9085</v>
      </c>
      <c r="B4778" s="2" t="s">
        <v>604</v>
      </c>
      <c r="C4778" s="1">
        <v>44325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  <c r="L4778" s="2" t="s">
        <v>11031</v>
      </c>
      <c r="M4778" s="2" t="s">
        <v>11031</v>
      </c>
      <c r="N4778" s="2" t="s">
        <v>11035</v>
      </c>
      <c r="O4778" s="2" t="s">
        <v>11034</v>
      </c>
      <c r="P4778" s="2" t="s">
        <v>11036</v>
      </c>
      <c r="Q4778" s="2">
        <f>AVERAGE(PerfRate[[#This Row],[EnvironmentSatisfaction]],PerfRate[[#This Row],[JobSatisfaction]],PerfRate[[#This Row],[RelationshipSatisfaction]])</f>
        <v>2</v>
      </c>
      <c r="R4778" s="2">
        <f>PerfRate[[#This Row],[ManagerRating]] - PerfRate[[#This Row],[SelfRating]]</f>
        <v>0</v>
      </c>
    </row>
    <row r="4779" spans="1:18">
      <c r="A4779" s="2" t="s">
        <v>9086</v>
      </c>
      <c r="B4779" s="2" t="s">
        <v>3353</v>
      </c>
      <c r="C4779" s="1">
        <v>44386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  <c r="L4779" s="2" t="s">
        <v>11031</v>
      </c>
      <c r="M4779" s="2" t="s">
        <v>11031</v>
      </c>
      <c r="N4779" s="2" t="s">
        <v>11037</v>
      </c>
      <c r="O4779" s="2" t="s">
        <v>11036</v>
      </c>
      <c r="P4779" s="2" t="s">
        <v>11034</v>
      </c>
      <c r="Q4779" s="2">
        <f>AVERAGE(PerfRate[[#This Row],[EnvironmentSatisfaction]],PerfRate[[#This Row],[JobSatisfaction]],PerfRate[[#This Row],[RelationshipSatisfaction]])</f>
        <v>2.6666666666666665</v>
      </c>
      <c r="R4779" s="2">
        <f>PerfRate[[#This Row],[ManagerRating]] - PerfRate[[#This Row],[SelfRating]]</f>
        <v>0</v>
      </c>
    </row>
    <row r="4780" spans="1:18">
      <c r="A4780" s="2" t="s">
        <v>9087</v>
      </c>
      <c r="B4780" s="2" t="s">
        <v>1377</v>
      </c>
      <c r="C4780" s="1">
        <v>44386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  <c r="L4780" s="2" t="s">
        <v>11029</v>
      </c>
      <c r="M4780" s="2" t="s">
        <v>11029</v>
      </c>
      <c r="N4780" s="2" t="s">
        <v>11037</v>
      </c>
      <c r="O4780" s="2" t="s">
        <v>11035</v>
      </c>
      <c r="P4780" s="2" t="s">
        <v>11035</v>
      </c>
      <c r="Q4780" s="2">
        <f>AVERAGE(PerfRate[[#This Row],[EnvironmentSatisfaction]],PerfRate[[#This Row],[JobSatisfaction]],PerfRate[[#This Row],[RelationshipSatisfaction]])</f>
        <v>2.6666666666666665</v>
      </c>
      <c r="R4780" s="2">
        <f>PerfRate[[#This Row],[ManagerRating]] - PerfRate[[#This Row],[SelfRating]]</f>
        <v>0</v>
      </c>
    </row>
    <row r="4781" spans="1:18">
      <c r="A4781" s="2" t="s">
        <v>9088</v>
      </c>
      <c r="B4781" s="2" t="s">
        <v>2239</v>
      </c>
      <c r="C4781" s="1">
        <v>44386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  <c r="L4781" s="2" t="s">
        <v>11029</v>
      </c>
      <c r="M4781" s="2" t="s">
        <v>11029</v>
      </c>
      <c r="N4781" s="2" t="s">
        <v>11034</v>
      </c>
      <c r="O4781" s="2" t="s">
        <v>11036</v>
      </c>
      <c r="P4781" s="2" t="s">
        <v>11037</v>
      </c>
      <c r="Q4781" s="2">
        <f>AVERAGE(PerfRate[[#This Row],[EnvironmentSatisfaction]],PerfRate[[#This Row],[JobSatisfaction]],PerfRate[[#This Row],[RelationshipSatisfaction]])</f>
        <v>2.6666666666666665</v>
      </c>
      <c r="R4781" s="2">
        <f>PerfRate[[#This Row],[ManagerRating]] - PerfRate[[#This Row],[SelfRating]]</f>
        <v>0</v>
      </c>
    </row>
    <row r="4782" spans="1:18">
      <c r="A4782" s="2" t="s">
        <v>9089</v>
      </c>
      <c r="B4782" s="2" t="s">
        <v>2412</v>
      </c>
      <c r="C4782" s="1">
        <v>44386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  <c r="L4782" s="2" t="s">
        <v>11029</v>
      </c>
      <c r="M4782" s="2" t="s">
        <v>11029</v>
      </c>
      <c r="N4782" s="2" t="s">
        <v>11034</v>
      </c>
      <c r="O4782" s="2" t="s">
        <v>11034</v>
      </c>
      <c r="P4782" s="2" t="s">
        <v>11035</v>
      </c>
      <c r="Q4782" s="2">
        <f>AVERAGE(PerfRate[[#This Row],[EnvironmentSatisfaction]],PerfRate[[#This Row],[JobSatisfaction]],PerfRate[[#This Row],[RelationshipSatisfaction]])</f>
        <v>1.3333333333333333</v>
      </c>
      <c r="R4782" s="2">
        <f>PerfRate[[#This Row],[ManagerRating]] - PerfRate[[#This Row],[SelfRating]]</f>
        <v>0</v>
      </c>
    </row>
    <row r="4783" spans="1:18">
      <c r="A4783" s="2" t="s">
        <v>9090</v>
      </c>
      <c r="B4783" s="2" t="s">
        <v>1459</v>
      </c>
      <c r="C4783" s="1">
        <v>44417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  <c r="L4783" s="2" t="s">
        <v>11030</v>
      </c>
      <c r="M4783" s="2" t="s">
        <v>11029</v>
      </c>
      <c r="N4783" s="2" t="s">
        <v>11037</v>
      </c>
      <c r="O4783" s="2" t="s">
        <v>11035</v>
      </c>
      <c r="P4783" s="2" t="s">
        <v>11037</v>
      </c>
      <c r="Q4783" s="2">
        <f>AVERAGE(PerfRate[[#This Row],[EnvironmentSatisfaction]],PerfRate[[#This Row],[JobSatisfaction]],PerfRate[[#This Row],[RelationshipSatisfaction]])</f>
        <v>3.3333333333333335</v>
      </c>
      <c r="R4783" s="2">
        <f>PerfRate[[#This Row],[ManagerRating]] - PerfRate[[#This Row],[SelfRating]]</f>
        <v>-1</v>
      </c>
    </row>
    <row r="4784" spans="1:18">
      <c r="A4784" s="2" t="s">
        <v>9091</v>
      </c>
      <c r="B4784" s="2" t="s">
        <v>1154</v>
      </c>
      <c r="C4784" s="1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  <c r="L4784" s="2" t="s">
        <v>11030</v>
      </c>
      <c r="M4784" s="2" t="s">
        <v>11030</v>
      </c>
      <c r="N4784" s="2" t="s">
        <v>11037</v>
      </c>
      <c r="O4784" s="2" t="s">
        <v>11038</v>
      </c>
      <c r="P4784" s="2" t="s">
        <v>11037</v>
      </c>
      <c r="Q4784" s="2">
        <f>AVERAGE(PerfRate[[#This Row],[EnvironmentSatisfaction]],PerfRate[[#This Row],[JobSatisfaction]],PerfRate[[#This Row],[RelationshipSatisfaction]])</f>
        <v>4.333333333333333</v>
      </c>
      <c r="R4784" s="2">
        <f>PerfRate[[#This Row],[ManagerRating]] - PerfRate[[#This Row],[SelfRating]]</f>
        <v>0</v>
      </c>
    </row>
    <row r="4785" spans="1:18">
      <c r="A4785" s="2" t="s">
        <v>9092</v>
      </c>
      <c r="B4785" s="2" t="s">
        <v>238</v>
      </c>
      <c r="C4785" s="1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  <c r="L4785" s="2" t="s">
        <v>11029</v>
      </c>
      <c r="M4785" s="2" t="s">
        <v>11028</v>
      </c>
      <c r="N4785" s="2" t="s">
        <v>11038</v>
      </c>
      <c r="O4785" s="2" t="s">
        <v>11037</v>
      </c>
      <c r="P4785" s="2" t="s">
        <v>11037</v>
      </c>
      <c r="Q4785" s="2">
        <f>AVERAGE(PerfRate[[#This Row],[EnvironmentSatisfaction]],PerfRate[[#This Row],[JobSatisfaction]],PerfRate[[#This Row],[RelationshipSatisfaction]])</f>
        <v>4.333333333333333</v>
      </c>
      <c r="R4785" s="2">
        <f>PerfRate[[#This Row],[ManagerRating]] - PerfRate[[#This Row],[SelfRating]]</f>
        <v>-1</v>
      </c>
    </row>
    <row r="4786" spans="1:18">
      <c r="A4786" s="2" t="s">
        <v>9093</v>
      </c>
      <c r="B4786" s="2" t="s">
        <v>2542</v>
      </c>
      <c r="C4786" s="1">
        <v>44417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  <c r="L4786" s="2" t="s">
        <v>11029</v>
      </c>
      <c r="M4786" s="2" t="s">
        <v>11029</v>
      </c>
      <c r="N4786" s="2" t="s">
        <v>11036</v>
      </c>
      <c r="O4786" s="2" t="s">
        <v>11038</v>
      </c>
      <c r="P4786" s="2" t="s">
        <v>11035</v>
      </c>
      <c r="Q4786" s="2">
        <f>AVERAGE(PerfRate[[#This Row],[EnvironmentSatisfaction]],PerfRate[[#This Row],[JobSatisfaction]],PerfRate[[#This Row],[RelationshipSatisfaction]])</f>
        <v>3.3333333333333335</v>
      </c>
      <c r="R4786" s="2">
        <f>PerfRate[[#This Row],[ManagerRating]] - PerfRate[[#This Row],[SelfRating]]</f>
        <v>0</v>
      </c>
    </row>
    <row r="4787" spans="1:18">
      <c r="A4787" s="2" t="s">
        <v>9094</v>
      </c>
      <c r="B4787" s="2" t="s">
        <v>794</v>
      </c>
      <c r="C4787" s="1">
        <v>44478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  <c r="L4787" s="2" t="s">
        <v>11031</v>
      </c>
      <c r="M4787" s="2" t="s">
        <v>11030</v>
      </c>
      <c r="N4787" s="2" t="s">
        <v>11036</v>
      </c>
      <c r="O4787" s="2" t="s">
        <v>11038</v>
      </c>
      <c r="P4787" s="2" t="s">
        <v>11038</v>
      </c>
      <c r="Q4787" s="2">
        <f>AVERAGE(PerfRate[[#This Row],[EnvironmentSatisfaction]],PerfRate[[#This Row],[JobSatisfaction]],PerfRate[[#This Row],[RelationshipSatisfaction]])</f>
        <v>4.333333333333333</v>
      </c>
      <c r="R4787" s="2">
        <f>PerfRate[[#This Row],[ManagerRating]] - PerfRate[[#This Row],[SelfRating]]</f>
        <v>-1</v>
      </c>
    </row>
    <row r="4788" spans="1:18">
      <c r="A4788" s="2" t="s">
        <v>9095</v>
      </c>
      <c r="B4788" s="2" t="s">
        <v>2071</v>
      </c>
      <c r="C4788" s="1">
        <v>44478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  <c r="L4788" s="2" t="s">
        <v>11030</v>
      </c>
      <c r="M4788" s="2" t="s">
        <v>11030</v>
      </c>
      <c r="N4788" s="2" t="s">
        <v>11038</v>
      </c>
      <c r="O4788" s="2" t="s">
        <v>11038</v>
      </c>
      <c r="P4788" s="2" t="s">
        <v>11038</v>
      </c>
      <c r="Q4788" s="2">
        <f>AVERAGE(PerfRate[[#This Row],[EnvironmentSatisfaction]],PerfRate[[#This Row],[JobSatisfaction]],PerfRate[[#This Row],[RelationshipSatisfaction]])</f>
        <v>5</v>
      </c>
      <c r="R4788" s="2">
        <f>PerfRate[[#This Row],[ManagerRating]] - PerfRate[[#This Row],[SelfRating]]</f>
        <v>0</v>
      </c>
    </row>
    <row r="4789" spans="1:18">
      <c r="A4789" s="2" t="s">
        <v>9096</v>
      </c>
      <c r="B4789" s="2" t="s">
        <v>464</v>
      </c>
      <c r="C4789" s="1">
        <v>44509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  <c r="L4789" s="2" t="s">
        <v>11031</v>
      </c>
      <c r="M4789" s="2" t="s">
        <v>11031</v>
      </c>
      <c r="N4789" s="2" t="s">
        <v>11036</v>
      </c>
      <c r="O4789" s="2" t="s">
        <v>11035</v>
      </c>
      <c r="P4789" s="2" t="s">
        <v>11038</v>
      </c>
      <c r="Q4789" s="2">
        <f>AVERAGE(PerfRate[[#This Row],[EnvironmentSatisfaction]],PerfRate[[#This Row],[JobSatisfaction]],PerfRate[[#This Row],[RelationshipSatisfaction]])</f>
        <v>3.3333333333333335</v>
      </c>
      <c r="R4789" s="2">
        <f>PerfRate[[#This Row],[ManagerRating]] - PerfRate[[#This Row],[SelfRating]]</f>
        <v>0</v>
      </c>
    </row>
    <row r="4790" spans="1:18">
      <c r="A4790" s="2" t="s">
        <v>9097</v>
      </c>
      <c r="B4790" s="2" t="s">
        <v>1386</v>
      </c>
      <c r="C4790" s="1">
        <v>44509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  <c r="L4790" s="2" t="s">
        <v>11029</v>
      </c>
      <c r="M4790" s="2" t="s">
        <v>11029</v>
      </c>
      <c r="N4790" s="2" t="s">
        <v>11038</v>
      </c>
      <c r="O4790" s="2" t="s">
        <v>11036</v>
      </c>
      <c r="P4790" s="2" t="s">
        <v>11037</v>
      </c>
      <c r="Q4790" s="2">
        <f>AVERAGE(PerfRate[[#This Row],[EnvironmentSatisfaction]],PerfRate[[#This Row],[JobSatisfaction]],PerfRate[[#This Row],[RelationshipSatisfaction]])</f>
        <v>4</v>
      </c>
      <c r="R4790" s="2">
        <f>PerfRate[[#This Row],[ManagerRating]] - PerfRate[[#This Row],[SelfRating]]</f>
        <v>0</v>
      </c>
    </row>
    <row r="4791" spans="1:18">
      <c r="A4791" s="2" t="s">
        <v>9098</v>
      </c>
      <c r="B4791" s="2" t="s">
        <v>1655</v>
      </c>
      <c r="C4791" s="1">
        <v>44509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  <c r="L4791" s="2" t="s">
        <v>11029</v>
      </c>
      <c r="M4791" s="2" t="s">
        <v>11028</v>
      </c>
      <c r="N4791" s="2" t="s">
        <v>11038</v>
      </c>
      <c r="O4791" s="2" t="s">
        <v>11035</v>
      </c>
      <c r="P4791" s="2" t="s">
        <v>11036</v>
      </c>
      <c r="Q4791" s="2">
        <f>AVERAGE(PerfRate[[#This Row],[EnvironmentSatisfaction]],PerfRate[[#This Row],[JobSatisfaction]],PerfRate[[#This Row],[RelationshipSatisfaction]])</f>
        <v>3.3333333333333335</v>
      </c>
      <c r="R4791" s="2">
        <f>PerfRate[[#This Row],[ManagerRating]] - PerfRate[[#This Row],[SelfRating]]</f>
        <v>-1</v>
      </c>
    </row>
    <row r="4792" spans="1:18">
      <c r="A4792" s="2" t="s">
        <v>9099</v>
      </c>
      <c r="B4792" s="2" t="s">
        <v>2548</v>
      </c>
      <c r="C4792" s="1">
        <v>44509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  <c r="L4792" s="2" t="s">
        <v>11030</v>
      </c>
      <c r="M4792" s="2" t="s">
        <v>11030</v>
      </c>
      <c r="N4792" s="2" t="s">
        <v>11036</v>
      </c>
      <c r="O4792" s="2" t="s">
        <v>11035</v>
      </c>
      <c r="P4792" s="2" t="s">
        <v>11036</v>
      </c>
      <c r="Q4792" s="2">
        <f>AVERAGE(PerfRate[[#This Row],[EnvironmentSatisfaction]],PerfRate[[#This Row],[JobSatisfaction]],PerfRate[[#This Row],[RelationshipSatisfaction]])</f>
        <v>2.6666666666666665</v>
      </c>
      <c r="R4792" s="2">
        <f>PerfRate[[#This Row],[ManagerRating]] - PerfRate[[#This Row],[SelfRating]]</f>
        <v>0</v>
      </c>
    </row>
    <row r="4793" spans="1:18">
      <c r="A4793" s="2" t="s">
        <v>9100</v>
      </c>
      <c r="B4793" s="2" t="s">
        <v>2972</v>
      </c>
      <c r="C4793" s="1">
        <v>44509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  <c r="L4793" s="2" t="s">
        <v>11031</v>
      </c>
      <c r="M4793" s="2" t="s">
        <v>11031</v>
      </c>
      <c r="N4793" s="2" t="s">
        <v>11037</v>
      </c>
      <c r="O4793" s="2" t="s">
        <v>11038</v>
      </c>
      <c r="P4793" s="2" t="s">
        <v>11038</v>
      </c>
      <c r="Q4793" s="2">
        <f>AVERAGE(PerfRate[[#This Row],[EnvironmentSatisfaction]],PerfRate[[#This Row],[JobSatisfaction]],PerfRate[[#This Row],[RelationshipSatisfaction]])</f>
        <v>4.666666666666667</v>
      </c>
      <c r="R4793" s="2">
        <f>PerfRate[[#This Row],[ManagerRating]] - PerfRate[[#This Row],[SelfRating]]</f>
        <v>0</v>
      </c>
    </row>
    <row r="4794" spans="1:18">
      <c r="A4794" s="2" t="s">
        <v>9101</v>
      </c>
      <c r="B4794" s="2" t="s">
        <v>2278</v>
      </c>
      <c r="C4794" s="1">
        <v>44539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  <c r="L4794" s="2" t="s">
        <v>11031</v>
      </c>
      <c r="M4794" s="2" t="s">
        <v>11030</v>
      </c>
      <c r="N4794" s="2" t="s">
        <v>11036</v>
      </c>
      <c r="O4794" s="2" t="s">
        <v>11037</v>
      </c>
      <c r="P4794" s="2" t="s">
        <v>11038</v>
      </c>
      <c r="Q4794" s="2">
        <f>AVERAGE(PerfRate[[#This Row],[EnvironmentSatisfaction]],PerfRate[[#This Row],[JobSatisfaction]],PerfRate[[#This Row],[RelationshipSatisfaction]])</f>
        <v>4</v>
      </c>
      <c r="R4794" s="2">
        <f>PerfRate[[#This Row],[ManagerRating]] - PerfRate[[#This Row],[SelfRating]]</f>
        <v>-1</v>
      </c>
    </row>
    <row r="4795" spans="1:18">
      <c r="A4795" s="2" t="s">
        <v>9102</v>
      </c>
      <c r="B4795" s="2" t="s">
        <v>2163</v>
      </c>
      <c r="C4795" s="1">
        <v>44539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  <c r="L4795" s="2" t="s">
        <v>11030</v>
      </c>
      <c r="M4795" s="2" t="s">
        <v>11030</v>
      </c>
      <c r="N4795" s="2" t="s">
        <v>11038</v>
      </c>
      <c r="O4795" s="2" t="s">
        <v>11036</v>
      </c>
      <c r="P4795" s="2" t="s">
        <v>11037</v>
      </c>
      <c r="Q4795" s="2">
        <f>AVERAGE(PerfRate[[#This Row],[EnvironmentSatisfaction]],PerfRate[[#This Row],[JobSatisfaction]],PerfRate[[#This Row],[RelationshipSatisfaction]])</f>
        <v>4</v>
      </c>
      <c r="R4795" s="2">
        <f>PerfRate[[#This Row],[ManagerRating]] - PerfRate[[#This Row],[SelfRating]]</f>
        <v>0</v>
      </c>
    </row>
    <row r="4796" spans="1:18">
      <c r="A4796" s="2" t="s">
        <v>9103</v>
      </c>
      <c r="B4796" s="2" t="s">
        <v>154</v>
      </c>
      <c r="C4796" s="1">
        <v>42007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  <c r="L4796" s="2" t="s">
        <v>11031</v>
      </c>
      <c r="M4796" s="2" t="s">
        <v>11030</v>
      </c>
      <c r="N4796" s="2" t="s">
        <v>11036</v>
      </c>
      <c r="O4796" s="2" t="s">
        <v>11038</v>
      </c>
      <c r="P4796" s="2" t="s">
        <v>11036</v>
      </c>
      <c r="Q4796" s="2">
        <f>AVERAGE(PerfRate[[#This Row],[EnvironmentSatisfaction]],PerfRate[[#This Row],[JobSatisfaction]],PerfRate[[#This Row],[RelationshipSatisfaction]])</f>
        <v>3.6666666666666665</v>
      </c>
      <c r="R4796" s="2">
        <f>PerfRate[[#This Row],[ManagerRating]] - PerfRate[[#This Row],[SelfRating]]</f>
        <v>-1</v>
      </c>
    </row>
    <row r="4797" spans="1:18">
      <c r="A4797" s="2" t="s">
        <v>9104</v>
      </c>
      <c r="B4797" s="2" t="s">
        <v>4142</v>
      </c>
      <c r="C4797" s="1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  <c r="L4797" s="2" t="s">
        <v>11030</v>
      </c>
      <c r="M4797" s="2" t="s">
        <v>11030</v>
      </c>
      <c r="N4797" s="2" t="s">
        <v>11036</v>
      </c>
      <c r="O4797" s="2" t="s">
        <v>11037</v>
      </c>
      <c r="P4797" s="2" t="s">
        <v>11038</v>
      </c>
      <c r="Q4797" s="2">
        <f>AVERAGE(PerfRate[[#This Row],[EnvironmentSatisfaction]],PerfRate[[#This Row],[JobSatisfaction]],PerfRate[[#This Row],[RelationshipSatisfaction]])</f>
        <v>4</v>
      </c>
      <c r="R4797" s="2">
        <f>PerfRate[[#This Row],[ManagerRating]] - PerfRate[[#This Row],[SelfRating]]</f>
        <v>0</v>
      </c>
    </row>
    <row r="4798" spans="1:18">
      <c r="A4798" s="2" t="s">
        <v>9105</v>
      </c>
      <c r="B4798" s="2" t="s">
        <v>1816</v>
      </c>
      <c r="C4798" s="1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  <c r="L4798" s="2" t="s">
        <v>11031</v>
      </c>
      <c r="M4798" s="2" t="s">
        <v>11030</v>
      </c>
      <c r="N4798" s="2" t="s">
        <v>11036</v>
      </c>
      <c r="O4798" s="2" t="s">
        <v>11035</v>
      </c>
      <c r="P4798" s="2" t="s">
        <v>11038</v>
      </c>
      <c r="Q4798" s="2">
        <f>AVERAGE(PerfRate[[#This Row],[EnvironmentSatisfaction]],PerfRate[[#This Row],[JobSatisfaction]],PerfRate[[#This Row],[RelationshipSatisfaction]])</f>
        <v>3.3333333333333335</v>
      </c>
      <c r="R4798" s="2">
        <f>PerfRate[[#This Row],[ManagerRating]] - PerfRate[[#This Row],[SelfRating]]</f>
        <v>-1</v>
      </c>
    </row>
    <row r="4799" spans="1:18">
      <c r="A4799" s="2" t="s">
        <v>9106</v>
      </c>
      <c r="B4799" s="2" t="s">
        <v>1758</v>
      </c>
      <c r="C4799" s="1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  <c r="L4799" s="2" t="s">
        <v>11030</v>
      </c>
      <c r="M4799" s="2" t="s">
        <v>11030</v>
      </c>
      <c r="N4799" s="2" t="s">
        <v>11036</v>
      </c>
      <c r="O4799" s="2" t="s">
        <v>11037</v>
      </c>
      <c r="P4799" s="2" t="s">
        <v>11035</v>
      </c>
      <c r="Q4799" s="2">
        <f>AVERAGE(PerfRate[[#This Row],[EnvironmentSatisfaction]],PerfRate[[#This Row],[JobSatisfaction]],PerfRate[[#This Row],[RelationshipSatisfaction]])</f>
        <v>3</v>
      </c>
      <c r="R4799" s="2">
        <f>PerfRate[[#This Row],[ManagerRating]] - PerfRate[[#This Row],[SelfRating]]</f>
        <v>0</v>
      </c>
    </row>
    <row r="4800" spans="1:18">
      <c r="A4800" s="2" t="s">
        <v>9107</v>
      </c>
      <c r="B4800" s="2" t="s">
        <v>2509</v>
      </c>
      <c r="C4800" s="1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  <c r="L4800" s="2" t="s">
        <v>11029</v>
      </c>
      <c r="M4800" s="2" t="s">
        <v>11029</v>
      </c>
      <c r="N4800" s="2" t="s">
        <v>11038</v>
      </c>
      <c r="O4800" s="2" t="s">
        <v>11036</v>
      </c>
      <c r="P4800" s="2" t="s">
        <v>11036</v>
      </c>
      <c r="Q4800" s="2">
        <f>AVERAGE(PerfRate[[#This Row],[EnvironmentSatisfaction]],PerfRate[[#This Row],[JobSatisfaction]],PerfRate[[#This Row],[RelationshipSatisfaction]])</f>
        <v>3.6666666666666665</v>
      </c>
      <c r="R4800" s="2">
        <f>PerfRate[[#This Row],[ManagerRating]] - PerfRate[[#This Row],[SelfRating]]</f>
        <v>0</v>
      </c>
    </row>
    <row r="4801" spans="1:18">
      <c r="A4801" s="2" t="s">
        <v>9108</v>
      </c>
      <c r="B4801" s="2" t="s">
        <v>2216</v>
      </c>
      <c r="C4801" s="1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  <c r="L4801" s="2" t="s">
        <v>11030</v>
      </c>
      <c r="M4801" s="2" t="s">
        <v>11030</v>
      </c>
      <c r="N4801" s="2" t="s">
        <v>11037</v>
      </c>
      <c r="O4801" s="2" t="s">
        <v>11037</v>
      </c>
      <c r="P4801" s="2" t="s">
        <v>11038</v>
      </c>
      <c r="Q4801" s="2">
        <f>AVERAGE(PerfRate[[#This Row],[EnvironmentSatisfaction]],PerfRate[[#This Row],[JobSatisfaction]],PerfRate[[#This Row],[RelationshipSatisfaction]])</f>
        <v>4.333333333333333</v>
      </c>
      <c r="R4801" s="2">
        <f>PerfRate[[#This Row],[ManagerRating]] - PerfRate[[#This Row],[SelfRating]]</f>
        <v>0</v>
      </c>
    </row>
    <row r="4802" spans="1:18">
      <c r="A4802" s="2" t="s">
        <v>9109</v>
      </c>
      <c r="B4802" s="2" t="s">
        <v>299</v>
      </c>
      <c r="C4802" s="1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  <c r="L4802" s="2" t="s">
        <v>11031</v>
      </c>
      <c r="M4802" s="2" t="s">
        <v>11030</v>
      </c>
      <c r="N4802" s="2" t="s">
        <v>11037</v>
      </c>
      <c r="O4802" s="2" t="s">
        <v>11037</v>
      </c>
      <c r="P4802" s="2" t="s">
        <v>11038</v>
      </c>
      <c r="Q4802" s="2">
        <f>AVERAGE(PerfRate[[#This Row],[EnvironmentSatisfaction]],PerfRate[[#This Row],[JobSatisfaction]],PerfRate[[#This Row],[RelationshipSatisfaction]])</f>
        <v>4.333333333333333</v>
      </c>
      <c r="R4802" s="2">
        <f>PerfRate[[#This Row],[ManagerRating]] - PerfRate[[#This Row],[SelfRating]]</f>
        <v>-1</v>
      </c>
    </row>
    <row r="4803" spans="1:18">
      <c r="A4803" s="2" t="s">
        <v>9110</v>
      </c>
      <c r="B4803" s="2" t="s">
        <v>547</v>
      </c>
      <c r="C4803" s="1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  <c r="L4803" s="2" t="s">
        <v>11031</v>
      </c>
      <c r="M4803" s="2" t="s">
        <v>11031</v>
      </c>
      <c r="N4803" s="2" t="s">
        <v>11038</v>
      </c>
      <c r="O4803" s="2" t="s">
        <v>11038</v>
      </c>
      <c r="P4803" s="2" t="s">
        <v>11038</v>
      </c>
      <c r="Q4803" s="2">
        <f>AVERAGE(PerfRate[[#This Row],[EnvironmentSatisfaction]],PerfRate[[#This Row],[JobSatisfaction]],PerfRate[[#This Row],[RelationshipSatisfaction]])</f>
        <v>5</v>
      </c>
      <c r="R4803" s="2">
        <f>PerfRate[[#This Row],[ManagerRating]] - PerfRate[[#This Row],[SelfRating]]</f>
        <v>0</v>
      </c>
    </row>
    <row r="4804" spans="1:18">
      <c r="A4804" s="2" t="s">
        <v>9111</v>
      </c>
      <c r="B4804" s="2" t="s">
        <v>2876</v>
      </c>
      <c r="C4804" s="1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  <c r="L4804" s="2" t="s">
        <v>11031</v>
      </c>
      <c r="M4804" s="2" t="s">
        <v>11031</v>
      </c>
      <c r="N4804" s="2" t="s">
        <v>11038</v>
      </c>
      <c r="O4804" s="2" t="s">
        <v>11036</v>
      </c>
      <c r="P4804" s="2" t="s">
        <v>11036</v>
      </c>
      <c r="Q4804" s="2">
        <f>AVERAGE(PerfRate[[#This Row],[EnvironmentSatisfaction]],PerfRate[[#This Row],[JobSatisfaction]],PerfRate[[#This Row],[RelationshipSatisfaction]])</f>
        <v>3.6666666666666665</v>
      </c>
      <c r="R4804" s="2">
        <f>PerfRate[[#This Row],[ManagerRating]] - PerfRate[[#This Row],[SelfRating]]</f>
        <v>0</v>
      </c>
    </row>
    <row r="4805" spans="1:18">
      <c r="A4805" s="2" t="s">
        <v>9112</v>
      </c>
      <c r="B4805" s="2" t="s">
        <v>2201</v>
      </c>
      <c r="C4805" s="1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  <c r="L4805" s="2" t="s">
        <v>11031</v>
      </c>
      <c r="M4805" s="2" t="s">
        <v>11030</v>
      </c>
      <c r="N4805" s="2" t="s">
        <v>11037</v>
      </c>
      <c r="O4805" s="2" t="s">
        <v>11037</v>
      </c>
      <c r="P4805" s="2" t="s">
        <v>11036</v>
      </c>
      <c r="Q4805" s="2">
        <f>AVERAGE(PerfRate[[#This Row],[EnvironmentSatisfaction]],PerfRate[[#This Row],[JobSatisfaction]],PerfRate[[#This Row],[RelationshipSatisfaction]])</f>
        <v>3.6666666666666665</v>
      </c>
      <c r="R4805" s="2">
        <f>PerfRate[[#This Row],[ManagerRating]] - PerfRate[[#This Row],[SelfRating]]</f>
        <v>-1</v>
      </c>
    </row>
    <row r="4806" spans="1:18">
      <c r="A4806" s="2" t="s">
        <v>9113</v>
      </c>
      <c r="B4806" s="2" t="s">
        <v>1444</v>
      </c>
      <c r="C4806" s="1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  <c r="L4806" s="2" t="s">
        <v>11031</v>
      </c>
      <c r="M4806" s="2" t="s">
        <v>11031</v>
      </c>
      <c r="N4806" s="2" t="s">
        <v>11036</v>
      </c>
      <c r="O4806" s="2" t="s">
        <v>11036</v>
      </c>
      <c r="P4806" s="2" t="s">
        <v>11037</v>
      </c>
      <c r="Q4806" s="2">
        <f>AVERAGE(PerfRate[[#This Row],[EnvironmentSatisfaction]],PerfRate[[#This Row],[JobSatisfaction]],PerfRate[[#This Row],[RelationshipSatisfaction]])</f>
        <v>3.3333333333333335</v>
      </c>
      <c r="R4806" s="2">
        <f>PerfRate[[#This Row],[ManagerRating]] - PerfRate[[#This Row],[SelfRating]]</f>
        <v>0</v>
      </c>
    </row>
    <row r="4807" spans="1:18">
      <c r="A4807" s="2" t="s">
        <v>9114</v>
      </c>
      <c r="B4807" s="2" t="s">
        <v>2115</v>
      </c>
      <c r="C4807" s="1">
        <v>42007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  <c r="L4807" s="2" t="s">
        <v>11030</v>
      </c>
      <c r="M4807" s="2" t="s">
        <v>11030</v>
      </c>
      <c r="N4807" s="2" t="s">
        <v>11037</v>
      </c>
      <c r="O4807" s="2" t="s">
        <v>11035</v>
      </c>
      <c r="P4807" s="2" t="s">
        <v>11037</v>
      </c>
      <c r="Q4807" s="2">
        <f>AVERAGE(PerfRate[[#This Row],[EnvironmentSatisfaction]],PerfRate[[#This Row],[JobSatisfaction]],PerfRate[[#This Row],[RelationshipSatisfaction]])</f>
        <v>3.3333333333333335</v>
      </c>
      <c r="R4807" s="2">
        <f>PerfRate[[#This Row],[ManagerRating]] - PerfRate[[#This Row],[SelfRating]]</f>
        <v>0</v>
      </c>
    </row>
    <row r="4808" spans="1:18">
      <c r="A4808" s="2" t="s">
        <v>9115</v>
      </c>
      <c r="B4808" s="2" t="s">
        <v>1936</v>
      </c>
      <c r="C4808" s="1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  <c r="L4808" s="2" t="s">
        <v>11029</v>
      </c>
      <c r="M4808" s="2" t="s">
        <v>11029</v>
      </c>
      <c r="N4808" s="2" t="s">
        <v>11037</v>
      </c>
      <c r="O4808" s="2" t="s">
        <v>11034</v>
      </c>
      <c r="P4808" s="2" t="s">
        <v>11034</v>
      </c>
      <c r="Q4808" s="2">
        <f>AVERAGE(PerfRate[[#This Row],[EnvironmentSatisfaction]],PerfRate[[#This Row],[JobSatisfaction]],PerfRate[[#This Row],[RelationshipSatisfaction]])</f>
        <v>2</v>
      </c>
      <c r="R4808" s="2">
        <f>PerfRate[[#This Row],[ManagerRating]] - PerfRate[[#This Row],[SelfRating]]</f>
        <v>0</v>
      </c>
    </row>
    <row r="4809" spans="1:18">
      <c r="A4809" s="2" t="s">
        <v>9116</v>
      </c>
      <c r="B4809" s="2" t="s">
        <v>1901</v>
      </c>
      <c r="C4809" s="1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  <c r="L4809" s="2" t="s">
        <v>11031</v>
      </c>
      <c r="M4809" s="2" t="s">
        <v>11030</v>
      </c>
      <c r="N4809" s="2" t="s">
        <v>11036</v>
      </c>
      <c r="O4809" s="2" t="s">
        <v>11037</v>
      </c>
      <c r="P4809" s="2" t="s">
        <v>11036</v>
      </c>
      <c r="Q4809" s="2">
        <f>AVERAGE(PerfRate[[#This Row],[EnvironmentSatisfaction]],PerfRate[[#This Row],[JobSatisfaction]],PerfRate[[#This Row],[RelationshipSatisfaction]])</f>
        <v>3.3333333333333335</v>
      </c>
      <c r="R4809" s="2">
        <f>PerfRate[[#This Row],[ManagerRating]] - PerfRate[[#This Row],[SelfRating]]</f>
        <v>-1</v>
      </c>
    </row>
    <row r="4810" spans="1:18">
      <c r="A4810" s="2" t="s">
        <v>9117</v>
      </c>
      <c r="B4810" s="2" t="s">
        <v>2885</v>
      </c>
      <c r="C4810" s="1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  <c r="L4810" s="2" t="s">
        <v>11029</v>
      </c>
      <c r="M4810" s="2" t="s">
        <v>11028</v>
      </c>
      <c r="N4810" s="2" t="s">
        <v>11034</v>
      </c>
      <c r="O4810" s="2" t="s">
        <v>11034</v>
      </c>
      <c r="P4810" s="2" t="s">
        <v>11037</v>
      </c>
      <c r="Q4810" s="2">
        <f>AVERAGE(PerfRate[[#This Row],[EnvironmentSatisfaction]],PerfRate[[#This Row],[JobSatisfaction]],PerfRate[[#This Row],[RelationshipSatisfaction]])</f>
        <v>2</v>
      </c>
      <c r="R4810" s="2">
        <f>PerfRate[[#This Row],[ManagerRating]] - PerfRate[[#This Row],[SelfRating]]</f>
        <v>-1</v>
      </c>
    </row>
    <row r="4811" spans="1:18">
      <c r="A4811" s="2" t="s">
        <v>9118</v>
      </c>
      <c r="B4811" s="2" t="s">
        <v>988</v>
      </c>
      <c r="C4811" s="1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  <c r="L4811" s="2" t="s">
        <v>11031</v>
      </c>
      <c r="M4811" s="2" t="s">
        <v>11031</v>
      </c>
      <c r="N4811" s="2" t="s">
        <v>11034</v>
      </c>
      <c r="O4811" s="2" t="s">
        <v>11035</v>
      </c>
      <c r="P4811" s="2" t="s">
        <v>11037</v>
      </c>
      <c r="Q4811" s="2">
        <f>AVERAGE(PerfRate[[#This Row],[EnvironmentSatisfaction]],PerfRate[[#This Row],[JobSatisfaction]],PerfRate[[#This Row],[RelationshipSatisfaction]])</f>
        <v>2.3333333333333335</v>
      </c>
      <c r="R4811" s="2">
        <f>PerfRate[[#This Row],[ManagerRating]] - PerfRate[[#This Row],[SelfRating]]</f>
        <v>0</v>
      </c>
    </row>
    <row r="4812" spans="1:18">
      <c r="A4812" s="2" t="s">
        <v>9119</v>
      </c>
      <c r="B4812" s="2" t="s">
        <v>2563</v>
      </c>
      <c r="C4812" s="1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  <c r="L4812" s="2" t="s">
        <v>11029</v>
      </c>
      <c r="M4812" s="2" t="s">
        <v>11029</v>
      </c>
      <c r="N4812" s="2" t="s">
        <v>11036</v>
      </c>
      <c r="O4812" s="2" t="s">
        <v>11035</v>
      </c>
      <c r="P4812" s="2" t="s">
        <v>11035</v>
      </c>
      <c r="Q4812" s="2">
        <f>AVERAGE(PerfRate[[#This Row],[EnvironmentSatisfaction]],PerfRate[[#This Row],[JobSatisfaction]],PerfRate[[#This Row],[RelationshipSatisfaction]])</f>
        <v>2.3333333333333335</v>
      </c>
      <c r="R4812" s="2">
        <f>PerfRate[[#This Row],[ManagerRating]] - PerfRate[[#This Row],[SelfRating]]</f>
        <v>0</v>
      </c>
    </row>
    <row r="4813" spans="1:18">
      <c r="A4813" s="2" t="s">
        <v>9120</v>
      </c>
      <c r="B4813" s="2" t="s">
        <v>1456</v>
      </c>
      <c r="C4813" s="1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  <c r="L4813" s="2" t="s">
        <v>11030</v>
      </c>
      <c r="M4813" s="2" t="s">
        <v>11029</v>
      </c>
      <c r="N4813" s="2" t="s">
        <v>11037</v>
      </c>
      <c r="O4813" s="2" t="s">
        <v>11035</v>
      </c>
      <c r="P4813" s="2" t="s">
        <v>11035</v>
      </c>
      <c r="Q4813" s="2">
        <f>AVERAGE(PerfRate[[#This Row],[EnvironmentSatisfaction]],PerfRate[[#This Row],[JobSatisfaction]],PerfRate[[#This Row],[RelationshipSatisfaction]])</f>
        <v>2.6666666666666665</v>
      </c>
      <c r="R4813" s="2">
        <f>PerfRate[[#This Row],[ManagerRating]] - PerfRate[[#This Row],[SelfRating]]</f>
        <v>-1</v>
      </c>
    </row>
    <row r="4814" spans="1:18">
      <c r="A4814" s="2" t="s">
        <v>9121</v>
      </c>
      <c r="B4814" s="2" t="s">
        <v>2406</v>
      </c>
      <c r="C4814" s="1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  <c r="L4814" s="2" t="s">
        <v>11029</v>
      </c>
      <c r="M4814" s="2" t="s">
        <v>11028</v>
      </c>
      <c r="N4814" s="2" t="s">
        <v>11036</v>
      </c>
      <c r="O4814" s="2" t="s">
        <v>11037</v>
      </c>
      <c r="P4814" s="2" t="s">
        <v>11037</v>
      </c>
      <c r="Q4814" s="2">
        <f>AVERAGE(PerfRate[[#This Row],[EnvironmentSatisfaction]],PerfRate[[#This Row],[JobSatisfaction]],PerfRate[[#This Row],[RelationshipSatisfaction]])</f>
        <v>3.6666666666666665</v>
      </c>
      <c r="R4814" s="2">
        <f>PerfRate[[#This Row],[ManagerRating]] - PerfRate[[#This Row],[SelfRating]]</f>
        <v>-1</v>
      </c>
    </row>
    <row r="4815" spans="1:18">
      <c r="A4815" s="2" t="s">
        <v>9122</v>
      </c>
      <c r="B4815" s="2" t="s">
        <v>2822</v>
      </c>
      <c r="C4815" s="1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  <c r="L4815" s="2" t="s">
        <v>11030</v>
      </c>
      <c r="M4815" s="2" t="s">
        <v>11030</v>
      </c>
      <c r="N4815" s="2" t="s">
        <v>11036</v>
      </c>
      <c r="O4815" s="2" t="s">
        <v>11037</v>
      </c>
      <c r="P4815" s="2" t="s">
        <v>11035</v>
      </c>
      <c r="Q4815" s="2">
        <f>AVERAGE(PerfRate[[#This Row],[EnvironmentSatisfaction]],PerfRate[[#This Row],[JobSatisfaction]],PerfRate[[#This Row],[RelationshipSatisfaction]])</f>
        <v>3</v>
      </c>
      <c r="R4815" s="2">
        <f>PerfRate[[#This Row],[ManagerRating]] - PerfRate[[#This Row],[SelfRating]]</f>
        <v>0</v>
      </c>
    </row>
    <row r="4816" spans="1:18">
      <c r="A4816" s="2" t="s">
        <v>9123</v>
      </c>
      <c r="B4816" s="2" t="s">
        <v>517</v>
      </c>
      <c r="C4816" s="1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  <c r="L4816" s="2" t="s">
        <v>11030</v>
      </c>
      <c r="M4816" s="2" t="s">
        <v>11030</v>
      </c>
      <c r="N4816" s="2" t="s">
        <v>11037</v>
      </c>
      <c r="O4816" s="2" t="s">
        <v>11035</v>
      </c>
      <c r="P4816" s="2" t="s">
        <v>11038</v>
      </c>
      <c r="Q4816" s="2">
        <f>AVERAGE(PerfRate[[#This Row],[EnvironmentSatisfaction]],PerfRate[[#This Row],[JobSatisfaction]],PerfRate[[#This Row],[RelationshipSatisfaction]])</f>
        <v>3.6666666666666665</v>
      </c>
      <c r="R4816" s="2">
        <f>PerfRate[[#This Row],[ManagerRating]] - PerfRate[[#This Row],[SelfRating]]</f>
        <v>0</v>
      </c>
    </row>
    <row r="4817" spans="1:18">
      <c r="A4817" s="2" t="s">
        <v>9124</v>
      </c>
      <c r="B4817" s="2" t="s">
        <v>2421</v>
      </c>
      <c r="C4817" s="1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  <c r="L4817" s="2" t="s">
        <v>11030</v>
      </c>
      <c r="M4817" s="2" t="s">
        <v>11029</v>
      </c>
      <c r="N4817" s="2" t="s">
        <v>11038</v>
      </c>
      <c r="O4817" s="2" t="s">
        <v>11036</v>
      </c>
      <c r="P4817" s="2" t="s">
        <v>11036</v>
      </c>
      <c r="Q4817" s="2">
        <f>AVERAGE(PerfRate[[#This Row],[EnvironmentSatisfaction]],PerfRate[[#This Row],[JobSatisfaction]],PerfRate[[#This Row],[RelationshipSatisfaction]])</f>
        <v>3.6666666666666665</v>
      </c>
      <c r="R4817" s="2">
        <f>PerfRate[[#This Row],[ManagerRating]] - PerfRate[[#This Row],[SelfRating]]</f>
        <v>-1</v>
      </c>
    </row>
    <row r="4818" spans="1:18">
      <c r="A4818" s="2" t="s">
        <v>9125</v>
      </c>
      <c r="B4818" s="2" t="s">
        <v>2650</v>
      </c>
      <c r="C4818" s="1">
        <v>42007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  <c r="L4818" s="2" t="s">
        <v>11030</v>
      </c>
      <c r="M4818" s="2" t="s">
        <v>11030</v>
      </c>
      <c r="N4818" s="2" t="s">
        <v>11037</v>
      </c>
      <c r="O4818" s="2" t="s">
        <v>11035</v>
      </c>
      <c r="P4818" s="2" t="s">
        <v>11036</v>
      </c>
      <c r="Q4818" s="2">
        <f>AVERAGE(PerfRate[[#This Row],[EnvironmentSatisfaction]],PerfRate[[#This Row],[JobSatisfaction]],PerfRate[[#This Row],[RelationshipSatisfaction]])</f>
        <v>3</v>
      </c>
      <c r="R4818" s="2">
        <f>PerfRate[[#This Row],[ManagerRating]] - PerfRate[[#This Row],[SelfRating]]</f>
        <v>0</v>
      </c>
    </row>
    <row r="4819" spans="1:18">
      <c r="A4819" s="2" t="s">
        <v>9126</v>
      </c>
      <c r="B4819" s="2" t="s">
        <v>2415</v>
      </c>
      <c r="C4819" s="1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  <c r="L4819" s="2" t="s">
        <v>11031</v>
      </c>
      <c r="M4819" s="2" t="s">
        <v>11030</v>
      </c>
      <c r="N4819" s="2" t="s">
        <v>11037</v>
      </c>
      <c r="O4819" s="2" t="s">
        <v>11036</v>
      </c>
      <c r="P4819" s="2" t="s">
        <v>11036</v>
      </c>
      <c r="Q4819" s="2">
        <f>AVERAGE(PerfRate[[#This Row],[EnvironmentSatisfaction]],PerfRate[[#This Row],[JobSatisfaction]],PerfRate[[#This Row],[RelationshipSatisfaction]])</f>
        <v>3.3333333333333335</v>
      </c>
      <c r="R4819" s="2">
        <f>PerfRate[[#This Row],[ManagerRating]] - PerfRate[[#This Row],[SelfRating]]</f>
        <v>-1</v>
      </c>
    </row>
    <row r="4820" spans="1:18">
      <c r="A4820" s="2" t="s">
        <v>9127</v>
      </c>
      <c r="B4820" s="2" t="s">
        <v>2706</v>
      </c>
      <c r="C4820" s="1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  <c r="L4820" s="2" t="s">
        <v>11029</v>
      </c>
      <c r="M4820" s="2" t="s">
        <v>11028</v>
      </c>
      <c r="N4820" s="2" t="s">
        <v>11038</v>
      </c>
      <c r="O4820" s="2" t="s">
        <v>11038</v>
      </c>
      <c r="P4820" s="2" t="s">
        <v>11035</v>
      </c>
      <c r="Q4820" s="2">
        <f>AVERAGE(PerfRate[[#This Row],[EnvironmentSatisfaction]],PerfRate[[#This Row],[JobSatisfaction]],PerfRate[[#This Row],[RelationshipSatisfaction]])</f>
        <v>4</v>
      </c>
      <c r="R4820" s="2">
        <f>PerfRate[[#This Row],[ManagerRating]] - PerfRate[[#This Row],[SelfRating]]</f>
        <v>-1</v>
      </c>
    </row>
    <row r="4821" spans="1:18">
      <c r="A4821" s="2" t="s">
        <v>9128</v>
      </c>
      <c r="B4821" s="2" t="s">
        <v>1274</v>
      </c>
      <c r="C4821" s="1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  <c r="L4821" s="2" t="s">
        <v>11030</v>
      </c>
      <c r="M4821" s="2" t="s">
        <v>11030</v>
      </c>
      <c r="N4821" s="2" t="s">
        <v>11037</v>
      </c>
      <c r="O4821" s="2" t="s">
        <v>11035</v>
      </c>
      <c r="P4821" s="2" t="s">
        <v>11035</v>
      </c>
      <c r="Q4821" s="2">
        <f>AVERAGE(PerfRate[[#This Row],[EnvironmentSatisfaction]],PerfRate[[#This Row],[JobSatisfaction]],PerfRate[[#This Row],[RelationshipSatisfaction]])</f>
        <v>2.6666666666666665</v>
      </c>
      <c r="R4821" s="2">
        <f>PerfRate[[#This Row],[ManagerRating]] - PerfRate[[#This Row],[SelfRating]]</f>
        <v>0</v>
      </c>
    </row>
    <row r="4822" spans="1:18">
      <c r="A4822" s="2" t="s">
        <v>9129</v>
      </c>
      <c r="B4822" s="2" t="s">
        <v>2447</v>
      </c>
      <c r="C4822" s="1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  <c r="L4822" s="2" t="s">
        <v>11029</v>
      </c>
      <c r="M4822" s="2" t="s">
        <v>11029</v>
      </c>
      <c r="N4822" s="2" t="s">
        <v>11036</v>
      </c>
      <c r="O4822" s="2" t="s">
        <v>11035</v>
      </c>
      <c r="P4822" s="2" t="s">
        <v>11036</v>
      </c>
      <c r="Q4822" s="2">
        <f>AVERAGE(PerfRate[[#This Row],[EnvironmentSatisfaction]],PerfRate[[#This Row],[JobSatisfaction]],PerfRate[[#This Row],[RelationshipSatisfaction]])</f>
        <v>2.6666666666666665</v>
      </c>
      <c r="R4822" s="2">
        <f>PerfRate[[#This Row],[ManagerRating]] - PerfRate[[#This Row],[SelfRating]]</f>
        <v>0</v>
      </c>
    </row>
    <row r="4823" spans="1:18">
      <c r="A4823" s="2" t="s">
        <v>9130</v>
      </c>
      <c r="B4823" s="2" t="s">
        <v>2596</v>
      </c>
      <c r="C4823" s="1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  <c r="L4823" s="2" t="s">
        <v>11030</v>
      </c>
      <c r="M4823" s="2" t="s">
        <v>11030</v>
      </c>
      <c r="N4823" s="2" t="s">
        <v>11036</v>
      </c>
      <c r="O4823" s="2" t="s">
        <v>11037</v>
      </c>
      <c r="P4823" s="2" t="s">
        <v>11034</v>
      </c>
      <c r="Q4823" s="2">
        <f>AVERAGE(PerfRate[[#This Row],[EnvironmentSatisfaction]],PerfRate[[#This Row],[JobSatisfaction]],PerfRate[[#This Row],[RelationshipSatisfaction]])</f>
        <v>2.6666666666666665</v>
      </c>
      <c r="R4823" s="2">
        <f>PerfRate[[#This Row],[ManagerRating]] - PerfRate[[#This Row],[SelfRating]]</f>
        <v>0</v>
      </c>
    </row>
    <row r="4824" spans="1:18">
      <c r="A4824" s="2" t="s">
        <v>9131</v>
      </c>
      <c r="B4824" s="2" t="s">
        <v>2920</v>
      </c>
      <c r="C4824" s="1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  <c r="L4824" s="2" t="s">
        <v>11029</v>
      </c>
      <c r="M4824" s="2" t="s">
        <v>11029</v>
      </c>
      <c r="N4824" s="2" t="s">
        <v>11036</v>
      </c>
      <c r="O4824" s="2" t="s">
        <v>11036</v>
      </c>
      <c r="P4824" s="2" t="s">
        <v>11034</v>
      </c>
      <c r="Q4824" s="2">
        <f>AVERAGE(PerfRate[[#This Row],[EnvironmentSatisfaction]],PerfRate[[#This Row],[JobSatisfaction]],PerfRate[[#This Row],[RelationshipSatisfaction]])</f>
        <v>2.3333333333333335</v>
      </c>
      <c r="R4824" s="2">
        <f>PerfRate[[#This Row],[ManagerRating]] - PerfRate[[#This Row],[SelfRating]]</f>
        <v>0</v>
      </c>
    </row>
    <row r="4825" spans="1:18">
      <c r="A4825" s="2" t="s">
        <v>9132</v>
      </c>
      <c r="B4825" s="2" t="s">
        <v>1560</v>
      </c>
      <c r="C4825" s="1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  <c r="L4825" s="2" t="s">
        <v>11031</v>
      </c>
      <c r="M4825" s="2" t="s">
        <v>11030</v>
      </c>
      <c r="N4825" s="2" t="s">
        <v>11036</v>
      </c>
      <c r="O4825" s="2" t="s">
        <v>11035</v>
      </c>
      <c r="P4825" s="2" t="s">
        <v>11037</v>
      </c>
      <c r="Q4825" s="2">
        <f>AVERAGE(PerfRate[[#This Row],[EnvironmentSatisfaction]],PerfRate[[#This Row],[JobSatisfaction]],PerfRate[[#This Row],[RelationshipSatisfaction]])</f>
        <v>3</v>
      </c>
      <c r="R4825" s="2">
        <f>PerfRate[[#This Row],[ManagerRating]] - PerfRate[[#This Row],[SelfRating]]</f>
        <v>-1</v>
      </c>
    </row>
    <row r="4826" spans="1:18">
      <c r="A4826" s="2" t="s">
        <v>9133</v>
      </c>
      <c r="B4826" s="2" t="s">
        <v>2978</v>
      </c>
      <c r="C4826" s="1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  <c r="L4826" s="2" t="s">
        <v>11030</v>
      </c>
      <c r="M4826" s="2" t="s">
        <v>11029</v>
      </c>
      <c r="N4826" s="2" t="s">
        <v>11038</v>
      </c>
      <c r="O4826" s="2" t="s">
        <v>11037</v>
      </c>
      <c r="P4826" s="2" t="s">
        <v>11038</v>
      </c>
      <c r="Q4826" s="2">
        <f>AVERAGE(PerfRate[[#This Row],[EnvironmentSatisfaction]],PerfRate[[#This Row],[JobSatisfaction]],PerfRate[[#This Row],[RelationshipSatisfaction]])</f>
        <v>4.666666666666667</v>
      </c>
      <c r="R4826" s="2">
        <f>PerfRate[[#This Row],[ManagerRating]] - PerfRate[[#This Row],[SelfRating]]</f>
        <v>-1</v>
      </c>
    </row>
    <row r="4827" spans="1:18">
      <c r="A4827" s="2" t="s">
        <v>9134</v>
      </c>
      <c r="B4827" s="2" t="s">
        <v>134</v>
      </c>
      <c r="C4827" s="1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  <c r="L4827" s="2" t="s">
        <v>11031</v>
      </c>
      <c r="M4827" s="2" t="s">
        <v>11030</v>
      </c>
      <c r="N4827" s="2" t="s">
        <v>11036</v>
      </c>
      <c r="O4827" s="2" t="s">
        <v>11037</v>
      </c>
      <c r="P4827" s="2" t="s">
        <v>11036</v>
      </c>
      <c r="Q4827" s="2">
        <f>AVERAGE(PerfRate[[#This Row],[EnvironmentSatisfaction]],PerfRate[[#This Row],[JobSatisfaction]],PerfRate[[#This Row],[RelationshipSatisfaction]])</f>
        <v>3.3333333333333335</v>
      </c>
      <c r="R4827" s="2">
        <f>PerfRate[[#This Row],[ManagerRating]] - PerfRate[[#This Row],[SelfRating]]</f>
        <v>-1</v>
      </c>
    </row>
    <row r="4828" spans="1:18">
      <c r="A4828" s="2" t="s">
        <v>9135</v>
      </c>
      <c r="B4828" s="2" t="s">
        <v>2424</v>
      </c>
      <c r="C4828" s="1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  <c r="L4828" s="2" t="s">
        <v>11029</v>
      </c>
      <c r="M4828" s="2" t="s">
        <v>11028</v>
      </c>
      <c r="N4828" s="2" t="s">
        <v>11037</v>
      </c>
      <c r="O4828" s="2" t="s">
        <v>11036</v>
      </c>
      <c r="P4828" s="2" t="s">
        <v>11038</v>
      </c>
      <c r="Q4828" s="2">
        <f>AVERAGE(PerfRate[[#This Row],[EnvironmentSatisfaction]],PerfRate[[#This Row],[JobSatisfaction]],PerfRate[[#This Row],[RelationshipSatisfaction]])</f>
        <v>4</v>
      </c>
      <c r="R4828" s="2">
        <f>PerfRate[[#This Row],[ManagerRating]] - PerfRate[[#This Row],[SelfRating]]</f>
        <v>-1</v>
      </c>
    </row>
    <row r="4829" spans="1:18">
      <c r="A4829" s="2" t="s">
        <v>9136</v>
      </c>
      <c r="B4829" s="2" t="s">
        <v>1180</v>
      </c>
      <c r="C4829" s="1">
        <v>42038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  <c r="L4829" s="2" t="s">
        <v>11031</v>
      </c>
      <c r="M4829" s="2" t="s">
        <v>11031</v>
      </c>
      <c r="N4829" s="2" t="s">
        <v>11038</v>
      </c>
      <c r="O4829" s="2" t="s">
        <v>11035</v>
      </c>
      <c r="P4829" s="2" t="s">
        <v>11035</v>
      </c>
      <c r="Q4829" s="2">
        <f>AVERAGE(PerfRate[[#This Row],[EnvironmentSatisfaction]],PerfRate[[#This Row],[JobSatisfaction]],PerfRate[[#This Row],[RelationshipSatisfaction]])</f>
        <v>3</v>
      </c>
      <c r="R4829" s="2">
        <f>PerfRate[[#This Row],[ManagerRating]] - PerfRate[[#This Row],[SelfRating]]</f>
        <v>0</v>
      </c>
    </row>
    <row r="4830" spans="1:18">
      <c r="A4830" s="2" t="s">
        <v>9137</v>
      </c>
      <c r="B4830" s="2" t="s">
        <v>2727</v>
      </c>
      <c r="C4830" s="1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  <c r="L4830" s="2" t="s">
        <v>11030</v>
      </c>
      <c r="M4830" s="2" t="s">
        <v>11029</v>
      </c>
      <c r="N4830" s="2" t="s">
        <v>11036</v>
      </c>
      <c r="O4830" s="2" t="s">
        <v>11037</v>
      </c>
      <c r="P4830" s="2" t="s">
        <v>11037</v>
      </c>
      <c r="Q4830" s="2">
        <f>AVERAGE(PerfRate[[#This Row],[EnvironmentSatisfaction]],PerfRate[[#This Row],[JobSatisfaction]],PerfRate[[#This Row],[RelationshipSatisfaction]])</f>
        <v>3.6666666666666665</v>
      </c>
      <c r="R4830" s="2">
        <f>PerfRate[[#This Row],[ManagerRating]] - PerfRate[[#This Row],[SelfRating]]</f>
        <v>-1</v>
      </c>
    </row>
    <row r="4831" spans="1:18">
      <c r="A4831" s="2" t="s">
        <v>9138</v>
      </c>
      <c r="B4831" s="2" t="s">
        <v>2806</v>
      </c>
      <c r="C4831" s="1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  <c r="L4831" s="2" t="s">
        <v>11029</v>
      </c>
      <c r="M4831" s="2" t="s">
        <v>11028</v>
      </c>
      <c r="N4831" s="2" t="s">
        <v>11038</v>
      </c>
      <c r="O4831" s="2" t="s">
        <v>11037</v>
      </c>
      <c r="P4831" s="2" t="s">
        <v>11036</v>
      </c>
      <c r="Q4831" s="2">
        <f>AVERAGE(PerfRate[[#This Row],[EnvironmentSatisfaction]],PerfRate[[#This Row],[JobSatisfaction]],PerfRate[[#This Row],[RelationshipSatisfaction]])</f>
        <v>4</v>
      </c>
      <c r="R4831" s="2">
        <f>PerfRate[[#This Row],[ManagerRating]] - PerfRate[[#This Row],[SelfRating]]</f>
        <v>-1</v>
      </c>
    </row>
    <row r="4832" spans="1:18">
      <c r="A4832" s="2" t="s">
        <v>9139</v>
      </c>
      <c r="B4832" s="2" t="s">
        <v>4230</v>
      </c>
      <c r="C4832" s="1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  <c r="L4832" s="2" t="s">
        <v>11031</v>
      </c>
      <c r="M4832" s="2" t="s">
        <v>11030</v>
      </c>
      <c r="N4832" s="2" t="s">
        <v>11037</v>
      </c>
      <c r="O4832" s="2" t="s">
        <v>11035</v>
      </c>
      <c r="P4832" s="2" t="s">
        <v>11035</v>
      </c>
      <c r="Q4832" s="2">
        <f>AVERAGE(PerfRate[[#This Row],[EnvironmentSatisfaction]],PerfRate[[#This Row],[JobSatisfaction]],PerfRate[[#This Row],[RelationshipSatisfaction]])</f>
        <v>2.6666666666666665</v>
      </c>
      <c r="R4832" s="2">
        <f>PerfRate[[#This Row],[ManagerRating]] - PerfRate[[#This Row],[SelfRating]]</f>
        <v>-1</v>
      </c>
    </row>
    <row r="4833" spans="1:18">
      <c r="A4833" s="2" t="s">
        <v>9140</v>
      </c>
      <c r="B4833" s="2" t="s">
        <v>482</v>
      </c>
      <c r="C4833" s="1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  <c r="L4833" s="2" t="s">
        <v>11030</v>
      </c>
      <c r="M4833" s="2" t="s">
        <v>11030</v>
      </c>
      <c r="N4833" s="2" t="s">
        <v>11036</v>
      </c>
      <c r="O4833" s="2" t="s">
        <v>11035</v>
      </c>
      <c r="P4833" s="2" t="s">
        <v>11035</v>
      </c>
      <c r="Q4833" s="2">
        <f>AVERAGE(PerfRate[[#This Row],[EnvironmentSatisfaction]],PerfRate[[#This Row],[JobSatisfaction]],PerfRate[[#This Row],[RelationshipSatisfaction]])</f>
        <v>2.3333333333333335</v>
      </c>
      <c r="R4833" s="2">
        <f>PerfRate[[#This Row],[ManagerRating]] - PerfRate[[#This Row],[SelfRating]]</f>
        <v>0</v>
      </c>
    </row>
    <row r="4834" spans="1:18">
      <c r="A4834" s="2" t="s">
        <v>9141</v>
      </c>
      <c r="B4834" s="2" t="s">
        <v>708</v>
      </c>
      <c r="C4834" s="1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  <c r="L4834" s="2" t="s">
        <v>11030</v>
      </c>
      <c r="M4834" s="2" t="s">
        <v>11030</v>
      </c>
      <c r="N4834" s="2" t="s">
        <v>11038</v>
      </c>
      <c r="O4834" s="2" t="s">
        <v>11037</v>
      </c>
      <c r="P4834" s="2" t="s">
        <v>11037</v>
      </c>
      <c r="Q4834" s="2">
        <f>AVERAGE(PerfRate[[#This Row],[EnvironmentSatisfaction]],PerfRate[[#This Row],[JobSatisfaction]],PerfRate[[#This Row],[RelationshipSatisfaction]])</f>
        <v>4.333333333333333</v>
      </c>
      <c r="R4834" s="2">
        <f>PerfRate[[#This Row],[ManagerRating]] - PerfRate[[#This Row],[SelfRating]]</f>
        <v>0</v>
      </c>
    </row>
    <row r="4835" spans="1:18">
      <c r="A4835" s="2" t="s">
        <v>9142</v>
      </c>
      <c r="B4835" s="2" t="s">
        <v>841</v>
      </c>
      <c r="C4835" s="1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  <c r="L4835" s="2" t="s">
        <v>11030</v>
      </c>
      <c r="M4835" s="2" t="s">
        <v>11029</v>
      </c>
      <c r="N4835" s="2" t="s">
        <v>11038</v>
      </c>
      <c r="O4835" s="2" t="s">
        <v>11036</v>
      </c>
      <c r="P4835" s="2" t="s">
        <v>11036</v>
      </c>
      <c r="Q4835" s="2">
        <f>AVERAGE(PerfRate[[#This Row],[EnvironmentSatisfaction]],PerfRate[[#This Row],[JobSatisfaction]],PerfRate[[#This Row],[RelationshipSatisfaction]])</f>
        <v>3.6666666666666665</v>
      </c>
      <c r="R4835" s="2">
        <f>PerfRate[[#This Row],[ManagerRating]] - PerfRate[[#This Row],[SelfRating]]</f>
        <v>-1</v>
      </c>
    </row>
    <row r="4836" spans="1:18">
      <c r="A4836" s="2" t="s">
        <v>9143</v>
      </c>
      <c r="B4836" s="2" t="s">
        <v>1368</v>
      </c>
      <c r="C4836" s="1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  <c r="L4836" s="2" t="s">
        <v>11029</v>
      </c>
      <c r="M4836" s="2" t="s">
        <v>11029</v>
      </c>
      <c r="N4836" s="2" t="s">
        <v>11036</v>
      </c>
      <c r="O4836" s="2" t="s">
        <v>11038</v>
      </c>
      <c r="P4836" s="2" t="s">
        <v>11038</v>
      </c>
      <c r="Q4836" s="2">
        <f>AVERAGE(PerfRate[[#This Row],[EnvironmentSatisfaction]],PerfRate[[#This Row],[JobSatisfaction]],PerfRate[[#This Row],[RelationshipSatisfaction]])</f>
        <v>4.333333333333333</v>
      </c>
      <c r="R4836" s="2">
        <f>PerfRate[[#This Row],[ManagerRating]] - PerfRate[[#This Row],[SelfRating]]</f>
        <v>0</v>
      </c>
    </row>
    <row r="4837" spans="1:18">
      <c r="A4837" s="2" t="s">
        <v>9144</v>
      </c>
      <c r="B4837" s="2" t="s">
        <v>1171</v>
      </c>
      <c r="C4837" s="1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  <c r="L4837" s="2" t="s">
        <v>11031</v>
      </c>
      <c r="M4837" s="2" t="s">
        <v>11030</v>
      </c>
      <c r="N4837" s="2" t="s">
        <v>11038</v>
      </c>
      <c r="O4837" s="2" t="s">
        <v>11036</v>
      </c>
      <c r="P4837" s="2" t="s">
        <v>11037</v>
      </c>
      <c r="Q4837" s="2">
        <f>AVERAGE(PerfRate[[#This Row],[EnvironmentSatisfaction]],PerfRate[[#This Row],[JobSatisfaction]],PerfRate[[#This Row],[RelationshipSatisfaction]])</f>
        <v>4</v>
      </c>
      <c r="R4837" s="2">
        <f>PerfRate[[#This Row],[ManagerRating]] - PerfRate[[#This Row],[SelfRating]]</f>
        <v>-1</v>
      </c>
    </row>
    <row r="4838" spans="1:18">
      <c r="A4838" s="2" t="s">
        <v>9145</v>
      </c>
      <c r="B4838" s="2" t="s">
        <v>3280</v>
      </c>
      <c r="C4838" s="1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  <c r="L4838" s="2" t="s">
        <v>11029</v>
      </c>
      <c r="M4838" s="2" t="s">
        <v>11028</v>
      </c>
      <c r="N4838" s="2" t="s">
        <v>11038</v>
      </c>
      <c r="O4838" s="2" t="s">
        <v>11038</v>
      </c>
      <c r="P4838" s="2" t="s">
        <v>11035</v>
      </c>
      <c r="Q4838" s="2">
        <f>AVERAGE(PerfRate[[#This Row],[EnvironmentSatisfaction]],PerfRate[[#This Row],[JobSatisfaction]],PerfRate[[#This Row],[RelationshipSatisfaction]])</f>
        <v>4</v>
      </c>
      <c r="R4838" s="2">
        <f>PerfRate[[#This Row],[ManagerRating]] - PerfRate[[#This Row],[SelfRating]]</f>
        <v>-1</v>
      </c>
    </row>
    <row r="4839" spans="1:18">
      <c r="A4839" s="2" t="s">
        <v>9146</v>
      </c>
      <c r="B4839" s="2" t="s">
        <v>3074</v>
      </c>
      <c r="C4839" s="1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  <c r="L4839" s="2" t="s">
        <v>11031</v>
      </c>
      <c r="M4839" s="2" t="s">
        <v>11030</v>
      </c>
      <c r="N4839" s="2" t="s">
        <v>11038</v>
      </c>
      <c r="O4839" s="2" t="s">
        <v>11038</v>
      </c>
      <c r="P4839" s="2" t="s">
        <v>11036</v>
      </c>
      <c r="Q4839" s="2">
        <f>AVERAGE(PerfRate[[#This Row],[EnvironmentSatisfaction]],PerfRate[[#This Row],[JobSatisfaction]],PerfRate[[#This Row],[RelationshipSatisfaction]])</f>
        <v>4.333333333333333</v>
      </c>
      <c r="R4839" s="2">
        <f>PerfRate[[#This Row],[ManagerRating]] - PerfRate[[#This Row],[SelfRating]]</f>
        <v>-1</v>
      </c>
    </row>
    <row r="4840" spans="1:18">
      <c r="A4840" s="2" t="s">
        <v>9147</v>
      </c>
      <c r="B4840" s="2" t="s">
        <v>1127</v>
      </c>
      <c r="C4840" s="1">
        <v>42038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  <c r="L4840" s="2" t="s">
        <v>11029</v>
      </c>
      <c r="M4840" s="2" t="s">
        <v>11028</v>
      </c>
      <c r="N4840" s="2" t="s">
        <v>11037</v>
      </c>
      <c r="O4840" s="2" t="s">
        <v>11038</v>
      </c>
      <c r="P4840" s="2" t="s">
        <v>11037</v>
      </c>
      <c r="Q4840" s="2">
        <f>AVERAGE(PerfRate[[#This Row],[EnvironmentSatisfaction]],PerfRate[[#This Row],[JobSatisfaction]],PerfRate[[#This Row],[RelationshipSatisfaction]])</f>
        <v>4.333333333333333</v>
      </c>
      <c r="R4840" s="2">
        <f>PerfRate[[#This Row],[ManagerRating]] - PerfRate[[#This Row],[SelfRating]]</f>
        <v>-1</v>
      </c>
    </row>
    <row r="4841" spans="1:18">
      <c r="A4841" s="2" t="s">
        <v>9148</v>
      </c>
      <c r="B4841" s="2" t="s">
        <v>383</v>
      </c>
      <c r="C4841" s="1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  <c r="L4841" s="2" t="s">
        <v>11030</v>
      </c>
      <c r="M4841" s="2" t="s">
        <v>11029</v>
      </c>
      <c r="N4841" s="2" t="s">
        <v>11037</v>
      </c>
      <c r="O4841" s="2" t="s">
        <v>11035</v>
      </c>
      <c r="P4841" s="2" t="s">
        <v>11037</v>
      </c>
      <c r="Q4841" s="2">
        <f>AVERAGE(PerfRate[[#This Row],[EnvironmentSatisfaction]],PerfRate[[#This Row],[JobSatisfaction]],PerfRate[[#This Row],[RelationshipSatisfaction]])</f>
        <v>3.3333333333333335</v>
      </c>
      <c r="R4841" s="2">
        <f>PerfRate[[#This Row],[ManagerRating]] - PerfRate[[#This Row],[SelfRating]]</f>
        <v>-1</v>
      </c>
    </row>
    <row r="4842" spans="1:18">
      <c r="A4842" s="2" t="s">
        <v>9149</v>
      </c>
      <c r="B4842" s="2" t="s">
        <v>913</v>
      </c>
      <c r="C4842" s="1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  <c r="L4842" s="2" t="s">
        <v>11031</v>
      </c>
      <c r="M4842" s="2" t="s">
        <v>11031</v>
      </c>
      <c r="N4842" s="2" t="s">
        <v>11036</v>
      </c>
      <c r="O4842" s="2" t="s">
        <v>11036</v>
      </c>
      <c r="P4842" s="2" t="s">
        <v>11036</v>
      </c>
      <c r="Q4842" s="2">
        <f>AVERAGE(PerfRate[[#This Row],[EnvironmentSatisfaction]],PerfRate[[#This Row],[JobSatisfaction]],PerfRate[[#This Row],[RelationshipSatisfaction]])</f>
        <v>3</v>
      </c>
      <c r="R4842" s="2">
        <f>PerfRate[[#This Row],[ManagerRating]] - PerfRate[[#This Row],[SelfRating]]</f>
        <v>0</v>
      </c>
    </row>
    <row r="4843" spans="1:18">
      <c r="A4843" s="2" t="s">
        <v>9150</v>
      </c>
      <c r="B4843" s="2" t="s">
        <v>1552</v>
      </c>
      <c r="C4843" s="1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  <c r="L4843" s="2" t="s">
        <v>11030</v>
      </c>
      <c r="M4843" s="2" t="s">
        <v>11030</v>
      </c>
      <c r="N4843" s="2" t="s">
        <v>11037</v>
      </c>
      <c r="O4843" s="2" t="s">
        <v>11035</v>
      </c>
      <c r="P4843" s="2" t="s">
        <v>11038</v>
      </c>
      <c r="Q4843" s="2">
        <f>AVERAGE(PerfRate[[#This Row],[EnvironmentSatisfaction]],PerfRate[[#This Row],[JobSatisfaction]],PerfRate[[#This Row],[RelationshipSatisfaction]])</f>
        <v>3.6666666666666665</v>
      </c>
      <c r="R4843" s="2">
        <f>PerfRate[[#This Row],[ManagerRating]] - PerfRate[[#This Row],[SelfRating]]</f>
        <v>0</v>
      </c>
    </row>
    <row r="4844" spans="1:18">
      <c r="A4844" s="2" t="s">
        <v>9151</v>
      </c>
      <c r="B4844" s="2" t="s">
        <v>89</v>
      </c>
      <c r="C4844" s="1">
        <v>44237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  <c r="L4844" s="2" t="s">
        <v>11030</v>
      </c>
      <c r="M4844" s="2" t="s">
        <v>11030</v>
      </c>
      <c r="N4844" s="2" t="s">
        <v>11036</v>
      </c>
      <c r="O4844" s="2" t="s">
        <v>11036</v>
      </c>
      <c r="P4844" s="2" t="s">
        <v>11036</v>
      </c>
      <c r="Q4844" s="2">
        <f>AVERAGE(PerfRate[[#This Row],[EnvironmentSatisfaction]],PerfRate[[#This Row],[JobSatisfaction]],PerfRate[[#This Row],[RelationshipSatisfaction]])</f>
        <v>3</v>
      </c>
      <c r="R4844" s="2">
        <f>PerfRate[[#This Row],[ManagerRating]] - PerfRate[[#This Row],[SelfRating]]</f>
        <v>0</v>
      </c>
    </row>
    <row r="4845" spans="1:18">
      <c r="A4845" s="2" t="s">
        <v>9152</v>
      </c>
      <c r="B4845" s="2" t="s">
        <v>922</v>
      </c>
      <c r="C4845" s="1">
        <v>44265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  <c r="L4845" s="2" t="s">
        <v>11029</v>
      </c>
      <c r="M4845" s="2" t="s">
        <v>11028</v>
      </c>
      <c r="N4845" s="2" t="s">
        <v>11037</v>
      </c>
      <c r="O4845" s="2" t="s">
        <v>11038</v>
      </c>
      <c r="P4845" s="2" t="s">
        <v>11035</v>
      </c>
      <c r="Q4845" s="2">
        <f>AVERAGE(PerfRate[[#This Row],[EnvironmentSatisfaction]],PerfRate[[#This Row],[JobSatisfaction]],PerfRate[[#This Row],[RelationshipSatisfaction]])</f>
        <v>3.6666666666666665</v>
      </c>
      <c r="R4845" s="2">
        <f>PerfRate[[#This Row],[ManagerRating]] - PerfRate[[#This Row],[SelfRating]]</f>
        <v>-1</v>
      </c>
    </row>
    <row r="4846" spans="1:18">
      <c r="A4846" s="2" t="s">
        <v>9153</v>
      </c>
      <c r="B4846" s="2" t="s">
        <v>1204</v>
      </c>
      <c r="C4846" s="1">
        <v>44265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  <c r="L4846" s="2" t="s">
        <v>11029</v>
      </c>
      <c r="M4846" s="2" t="s">
        <v>11028</v>
      </c>
      <c r="N4846" s="2" t="s">
        <v>11037</v>
      </c>
      <c r="O4846" s="2" t="s">
        <v>11035</v>
      </c>
      <c r="P4846" s="2" t="s">
        <v>11036</v>
      </c>
      <c r="Q4846" s="2">
        <f>AVERAGE(PerfRate[[#This Row],[EnvironmentSatisfaction]],PerfRate[[#This Row],[JobSatisfaction]],PerfRate[[#This Row],[RelationshipSatisfaction]])</f>
        <v>3</v>
      </c>
      <c r="R4846" s="2">
        <f>PerfRate[[#This Row],[ManagerRating]] - PerfRate[[#This Row],[SelfRating]]</f>
        <v>-1</v>
      </c>
    </row>
    <row r="4847" spans="1:18">
      <c r="A4847" s="2" t="s">
        <v>9154</v>
      </c>
      <c r="B4847" s="2" t="s">
        <v>1271</v>
      </c>
      <c r="C4847" s="1">
        <v>44265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  <c r="L4847" s="2" t="s">
        <v>11029</v>
      </c>
      <c r="M4847" s="2" t="s">
        <v>11029</v>
      </c>
      <c r="N4847" s="2" t="s">
        <v>11037</v>
      </c>
      <c r="O4847" s="2" t="s">
        <v>11038</v>
      </c>
      <c r="P4847" s="2" t="s">
        <v>11037</v>
      </c>
      <c r="Q4847" s="2">
        <f>AVERAGE(PerfRate[[#This Row],[EnvironmentSatisfaction]],PerfRate[[#This Row],[JobSatisfaction]],PerfRate[[#This Row],[RelationshipSatisfaction]])</f>
        <v>4.333333333333333</v>
      </c>
      <c r="R4847" s="2">
        <f>PerfRate[[#This Row],[ManagerRating]] - PerfRate[[#This Row],[SelfRating]]</f>
        <v>0</v>
      </c>
    </row>
    <row r="4848" spans="1:18">
      <c r="A4848" s="2" t="s">
        <v>9155</v>
      </c>
      <c r="B4848" s="2" t="s">
        <v>1549</v>
      </c>
      <c r="C4848" s="1">
        <v>44265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  <c r="L4848" s="2" t="s">
        <v>11030</v>
      </c>
      <c r="M4848" s="2" t="s">
        <v>11030</v>
      </c>
      <c r="N4848" s="2" t="s">
        <v>11037</v>
      </c>
      <c r="O4848" s="2" t="s">
        <v>11037</v>
      </c>
      <c r="P4848" s="2" t="s">
        <v>11037</v>
      </c>
      <c r="Q4848" s="2">
        <f>AVERAGE(PerfRate[[#This Row],[EnvironmentSatisfaction]],PerfRate[[#This Row],[JobSatisfaction]],PerfRate[[#This Row],[RelationshipSatisfaction]])</f>
        <v>4</v>
      </c>
      <c r="R4848" s="2">
        <f>PerfRate[[#This Row],[ManagerRating]] - PerfRate[[#This Row],[SelfRating]]</f>
        <v>0</v>
      </c>
    </row>
    <row r="4849" spans="1:18">
      <c r="A4849" s="2" t="s">
        <v>9156</v>
      </c>
      <c r="B4849" s="2" t="s">
        <v>2800</v>
      </c>
      <c r="C4849" s="1">
        <v>44296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  <c r="L4849" s="2" t="s">
        <v>11030</v>
      </c>
      <c r="M4849" s="2" t="s">
        <v>11030</v>
      </c>
      <c r="N4849" s="2" t="s">
        <v>11038</v>
      </c>
      <c r="O4849" s="2" t="s">
        <v>11036</v>
      </c>
      <c r="P4849" s="2" t="s">
        <v>11038</v>
      </c>
      <c r="Q4849" s="2">
        <f>AVERAGE(PerfRate[[#This Row],[EnvironmentSatisfaction]],PerfRate[[#This Row],[JobSatisfaction]],PerfRate[[#This Row],[RelationshipSatisfaction]])</f>
        <v>4.333333333333333</v>
      </c>
      <c r="R4849" s="2">
        <f>PerfRate[[#This Row],[ManagerRating]] - PerfRate[[#This Row],[SelfRating]]</f>
        <v>0</v>
      </c>
    </row>
    <row r="4850" spans="1:18">
      <c r="A4850" s="2" t="s">
        <v>9157</v>
      </c>
      <c r="B4850" s="2" t="s">
        <v>2520</v>
      </c>
      <c r="C4850" s="1">
        <v>44357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  <c r="L4850" s="2" t="s">
        <v>11030</v>
      </c>
      <c r="M4850" s="2" t="s">
        <v>11029</v>
      </c>
      <c r="N4850" s="2" t="s">
        <v>11037</v>
      </c>
      <c r="O4850" s="2" t="s">
        <v>11035</v>
      </c>
      <c r="P4850" s="2" t="s">
        <v>11037</v>
      </c>
      <c r="Q4850" s="2">
        <f>AVERAGE(PerfRate[[#This Row],[EnvironmentSatisfaction]],PerfRate[[#This Row],[JobSatisfaction]],PerfRate[[#This Row],[RelationshipSatisfaction]])</f>
        <v>3.3333333333333335</v>
      </c>
      <c r="R4850" s="2">
        <f>PerfRate[[#This Row],[ManagerRating]] - PerfRate[[#This Row],[SelfRating]]</f>
        <v>-1</v>
      </c>
    </row>
    <row r="4851" spans="1:18">
      <c r="A4851" s="2" t="s">
        <v>9158</v>
      </c>
      <c r="B4851" s="2" t="s">
        <v>2759</v>
      </c>
      <c r="C4851" s="1">
        <v>42038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  <c r="L4851" s="2" t="s">
        <v>11029</v>
      </c>
      <c r="M4851" s="2" t="s">
        <v>11028</v>
      </c>
      <c r="N4851" s="2" t="s">
        <v>11037</v>
      </c>
      <c r="O4851" s="2" t="s">
        <v>11038</v>
      </c>
      <c r="P4851" s="2" t="s">
        <v>11037</v>
      </c>
      <c r="Q4851" s="2">
        <f>AVERAGE(PerfRate[[#This Row],[EnvironmentSatisfaction]],PerfRate[[#This Row],[JobSatisfaction]],PerfRate[[#This Row],[RelationshipSatisfaction]])</f>
        <v>4.333333333333333</v>
      </c>
      <c r="R4851" s="2">
        <f>PerfRate[[#This Row],[ManagerRating]] - PerfRate[[#This Row],[SelfRating]]</f>
        <v>-1</v>
      </c>
    </row>
    <row r="4852" spans="1:18">
      <c r="A4852" s="2" t="s">
        <v>9159</v>
      </c>
      <c r="B4852" s="2" t="s">
        <v>502</v>
      </c>
      <c r="C4852" s="1">
        <v>44387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  <c r="L4852" s="2" t="s">
        <v>11029</v>
      </c>
      <c r="M4852" s="2" t="s">
        <v>11028</v>
      </c>
      <c r="N4852" s="2" t="s">
        <v>11036</v>
      </c>
      <c r="O4852" s="2" t="s">
        <v>11035</v>
      </c>
      <c r="P4852" s="2" t="s">
        <v>11035</v>
      </c>
      <c r="Q4852" s="2">
        <f>AVERAGE(PerfRate[[#This Row],[EnvironmentSatisfaction]],PerfRate[[#This Row],[JobSatisfaction]],PerfRate[[#This Row],[RelationshipSatisfaction]])</f>
        <v>2.3333333333333335</v>
      </c>
      <c r="R4852" s="2">
        <f>PerfRate[[#This Row],[ManagerRating]] - PerfRate[[#This Row],[SelfRating]]</f>
        <v>-1</v>
      </c>
    </row>
    <row r="4853" spans="1:18">
      <c r="A4853" s="2" t="s">
        <v>9160</v>
      </c>
      <c r="B4853" s="2" t="s">
        <v>3329</v>
      </c>
      <c r="C4853" s="1">
        <v>44418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  <c r="L4853" s="2" t="s">
        <v>11029</v>
      </c>
      <c r="M4853" s="2" t="s">
        <v>11028</v>
      </c>
      <c r="N4853" s="2" t="s">
        <v>11036</v>
      </c>
      <c r="O4853" s="2" t="s">
        <v>11036</v>
      </c>
      <c r="P4853" s="2" t="s">
        <v>11037</v>
      </c>
      <c r="Q4853" s="2">
        <f>AVERAGE(PerfRate[[#This Row],[EnvironmentSatisfaction]],PerfRate[[#This Row],[JobSatisfaction]],PerfRate[[#This Row],[RelationshipSatisfaction]])</f>
        <v>3.3333333333333335</v>
      </c>
      <c r="R4853" s="2">
        <f>PerfRate[[#This Row],[ManagerRating]] - PerfRate[[#This Row],[SelfRating]]</f>
        <v>-1</v>
      </c>
    </row>
    <row r="4854" spans="1:18">
      <c r="A4854" s="2" t="s">
        <v>9161</v>
      </c>
      <c r="B4854" s="2" t="s">
        <v>3739</v>
      </c>
      <c r="C4854" s="1">
        <v>44418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  <c r="L4854" s="2" t="s">
        <v>11029</v>
      </c>
      <c r="M4854" s="2" t="s">
        <v>11028</v>
      </c>
      <c r="N4854" s="2" t="s">
        <v>11037</v>
      </c>
      <c r="O4854" s="2" t="s">
        <v>11038</v>
      </c>
      <c r="P4854" s="2" t="s">
        <v>11035</v>
      </c>
      <c r="Q4854" s="2">
        <f>AVERAGE(PerfRate[[#This Row],[EnvironmentSatisfaction]],PerfRate[[#This Row],[JobSatisfaction]],PerfRate[[#This Row],[RelationshipSatisfaction]])</f>
        <v>3.6666666666666665</v>
      </c>
      <c r="R4854" s="2">
        <f>PerfRate[[#This Row],[ManagerRating]] - PerfRate[[#This Row],[SelfRating]]</f>
        <v>-1</v>
      </c>
    </row>
    <row r="4855" spans="1:18">
      <c r="A4855" s="2" t="s">
        <v>9162</v>
      </c>
      <c r="B4855" s="2" t="s">
        <v>765</v>
      </c>
      <c r="C4855" s="1">
        <v>44418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  <c r="L4855" s="2" t="s">
        <v>11031</v>
      </c>
      <c r="M4855" s="2" t="s">
        <v>11031</v>
      </c>
      <c r="N4855" s="2" t="s">
        <v>11036</v>
      </c>
      <c r="O4855" s="2" t="s">
        <v>11036</v>
      </c>
      <c r="P4855" s="2" t="s">
        <v>11038</v>
      </c>
      <c r="Q4855" s="2">
        <f>AVERAGE(PerfRate[[#This Row],[EnvironmentSatisfaction]],PerfRate[[#This Row],[JobSatisfaction]],PerfRate[[#This Row],[RelationshipSatisfaction]])</f>
        <v>3.6666666666666665</v>
      </c>
      <c r="R4855" s="2">
        <f>PerfRate[[#This Row],[ManagerRating]] - PerfRate[[#This Row],[SelfRating]]</f>
        <v>0</v>
      </c>
    </row>
    <row r="4856" spans="1:18">
      <c r="A4856" s="2" t="s">
        <v>9163</v>
      </c>
      <c r="B4856" s="2" t="s">
        <v>1593</v>
      </c>
      <c r="C4856" s="1">
        <v>44418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  <c r="L4856" s="2" t="s">
        <v>11029</v>
      </c>
      <c r="M4856" s="2" t="s">
        <v>11028</v>
      </c>
      <c r="N4856" s="2" t="s">
        <v>11038</v>
      </c>
      <c r="O4856" s="2" t="s">
        <v>11035</v>
      </c>
      <c r="P4856" s="2" t="s">
        <v>11035</v>
      </c>
      <c r="Q4856" s="2">
        <f>AVERAGE(PerfRate[[#This Row],[EnvironmentSatisfaction]],PerfRate[[#This Row],[JobSatisfaction]],PerfRate[[#This Row],[RelationshipSatisfaction]])</f>
        <v>3</v>
      </c>
      <c r="R4856" s="2">
        <f>PerfRate[[#This Row],[ManagerRating]] - PerfRate[[#This Row],[SelfRating]]</f>
        <v>-1</v>
      </c>
    </row>
    <row r="4857" spans="1:18">
      <c r="A4857" s="2" t="s">
        <v>9164</v>
      </c>
      <c r="B4857" s="2" t="s">
        <v>2213</v>
      </c>
      <c r="C4857" s="1">
        <v>44418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  <c r="L4857" s="2" t="s">
        <v>11030</v>
      </c>
      <c r="M4857" s="2" t="s">
        <v>11029</v>
      </c>
      <c r="N4857" s="2" t="s">
        <v>11038</v>
      </c>
      <c r="O4857" s="2" t="s">
        <v>11036</v>
      </c>
      <c r="P4857" s="2" t="s">
        <v>11036</v>
      </c>
      <c r="Q4857" s="2">
        <f>AVERAGE(PerfRate[[#This Row],[EnvironmentSatisfaction]],PerfRate[[#This Row],[JobSatisfaction]],PerfRate[[#This Row],[RelationshipSatisfaction]])</f>
        <v>3.6666666666666665</v>
      </c>
      <c r="R4857" s="2">
        <f>PerfRate[[#This Row],[ManagerRating]] - PerfRate[[#This Row],[SelfRating]]</f>
        <v>-1</v>
      </c>
    </row>
    <row r="4858" spans="1:18">
      <c r="A4858" s="2" t="s">
        <v>9165</v>
      </c>
      <c r="B4858" s="2" t="s">
        <v>3009</v>
      </c>
      <c r="C4858" s="1">
        <v>44418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  <c r="L4858" s="2" t="s">
        <v>11031</v>
      </c>
      <c r="M4858" s="2" t="s">
        <v>11030</v>
      </c>
      <c r="N4858" s="2" t="s">
        <v>11038</v>
      </c>
      <c r="O4858" s="2" t="s">
        <v>11037</v>
      </c>
      <c r="P4858" s="2" t="s">
        <v>11037</v>
      </c>
      <c r="Q4858" s="2">
        <f>AVERAGE(PerfRate[[#This Row],[EnvironmentSatisfaction]],PerfRate[[#This Row],[JobSatisfaction]],PerfRate[[#This Row],[RelationshipSatisfaction]])</f>
        <v>4.333333333333333</v>
      </c>
      <c r="R4858" s="2">
        <f>PerfRate[[#This Row],[ManagerRating]] - PerfRate[[#This Row],[SelfRating]]</f>
        <v>-1</v>
      </c>
    </row>
    <row r="4859" spans="1:18">
      <c r="A4859" s="2" t="s">
        <v>9166</v>
      </c>
      <c r="B4859" s="2" t="s">
        <v>1230</v>
      </c>
      <c r="C4859" s="1">
        <v>44449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  <c r="L4859" s="2" t="s">
        <v>11029</v>
      </c>
      <c r="M4859" s="2" t="s">
        <v>11028</v>
      </c>
      <c r="N4859" s="2" t="s">
        <v>11037</v>
      </c>
      <c r="O4859" s="2" t="s">
        <v>11038</v>
      </c>
      <c r="P4859" s="2" t="s">
        <v>11035</v>
      </c>
      <c r="Q4859" s="2">
        <f>AVERAGE(PerfRate[[#This Row],[EnvironmentSatisfaction]],PerfRate[[#This Row],[JobSatisfaction]],PerfRate[[#This Row],[RelationshipSatisfaction]])</f>
        <v>3.6666666666666665</v>
      </c>
      <c r="R4859" s="2">
        <f>PerfRate[[#This Row],[ManagerRating]] - PerfRate[[#This Row],[SelfRating]]</f>
        <v>-1</v>
      </c>
    </row>
    <row r="4860" spans="1:18">
      <c r="A4860" s="2" t="s">
        <v>9167</v>
      </c>
      <c r="B4860" s="2" t="s">
        <v>2697</v>
      </c>
      <c r="C4860" s="1">
        <v>44510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  <c r="L4860" s="2" t="s">
        <v>11031</v>
      </c>
      <c r="M4860" s="2" t="s">
        <v>11030</v>
      </c>
      <c r="N4860" s="2" t="s">
        <v>11037</v>
      </c>
      <c r="O4860" s="2" t="s">
        <v>11036</v>
      </c>
      <c r="P4860" s="2" t="s">
        <v>11038</v>
      </c>
      <c r="Q4860" s="2">
        <f>AVERAGE(PerfRate[[#This Row],[EnvironmentSatisfaction]],PerfRate[[#This Row],[JobSatisfaction]],PerfRate[[#This Row],[RelationshipSatisfaction]])</f>
        <v>4</v>
      </c>
      <c r="R4860" s="2">
        <f>PerfRate[[#This Row],[ManagerRating]] - PerfRate[[#This Row],[SelfRating]]</f>
        <v>-1</v>
      </c>
    </row>
    <row r="4861" spans="1:18">
      <c r="A4861" s="2" t="s">
        <v>9168</v>
      </c>
      <c r="B4861" s="2" t="s">
        <v>2712</v>
      </c>
      <c r="C4861" s="1">
        <v>44540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  <c r="L4861" s="2" t="s">
        <v>11029</v>
      </c>
      <c r="M4861" s="2" t="s">
        <v>11028</v>
      </c>
      <c r="N4861" s="2" t="s">
        <v>11034</v>
      </c>
      <c r="O4861" s="2" t="s">
        <v>11037</v>
      </c>
      <c r="P4861" s="2" t="s">
        <v>11037</v>
      </c>
      <c r="Q4861" s="2">
        <f>AVERAGE(PerfRate[[#This Row],[EnvironmentSatisfaction]],PerfRate[[#This Row],[JobSatisfaction]],PerfRate[[#This Row],[RelationshipSatisfaction]])</f>
        <v>3</v>
      </c>
      <c r="R4861" s="2">
        <f>PerfRate[[#This Row],[ManagerRating]] - PerfRate[[#This Row],[SelfRating]]</f>
        <v>-1</v>
      </c>
    </row>
    <row r="4862" spans="1:18">
      <c r="A4862" s="2" t="s">
        <v>9169</v>
      </c>
      <c r="B4862" s="2" t="s">
        <v>353</v>
      </c>
      <c r="C4862" s="1">
        <v>42038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  <c r="L4862" s="2" t="s">
        <v>11030</v>
      </c>
      <c r="M4862" s="2" t="s">
        <v>11029</v>
      </c>
      <c r="N4862" s="2" t="s">
        <v>11038</v>
      </c>
      <c r="O4862" s="2" t="s">
        <v>11038</v>
      </c>
      <c r="P4862" s="2" t="s">
        <v>11037</v>
      </c>
      <c r="Q4862" s="2">
        <f>AVERAGE(PerfRate[[#This Row],[EnvironmentSatisfaction]],PerfRate[[#This Row],[JobSatisfaction]],PerfRate[[#This Row],[RelationshipSatisfaction]])</f>
        <v>4.666666666666667</v>
      </c>
      <c r="R4862" s="2">
        <f>PerfRate[[#This Row],[ManagerRating]] - PerfRate[[#This Row],[SelfRating]]</f>
        <v>-1</v>
      </c>
    </row>
    <row r="4863" spans="1:18">
      <c r="A4863" s="2" t="s">
        <v>9170</v>
      </c>
      <c r="B4863" s="2" t="s">
        <v>1485</v>
      </c>
      <c r="C4863" s="1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  <c r="L4863" s="2" t="s">
        <v>11029</v>
      </c>
      <c r="M4863" s="2" t="s">
        <v>11029</v>
      </c>
      <c r="N4863" s="2" t="s">
        <v>11037</v>
      </c>
      <c r="O4863" s="2" t="s">
        <v>11035</v>
      </c>
      <c r="P4863" s="2" t="s">
        <v>11034</v>
      </c>
      <c r="Q4863" s="2">
        <f>AVERAGE(PerfRate[[#This Row],[EnvironmentSatisfaction]],PerfRate[[#This Row],[JobSatisfaction]],PerfRate[[#This Row],[RelationshipSatisfaction]])</f>
        <v>2.3333333333333335</v>
      </c>
      <c r="R4863" s="2">
        <f>PerfRate[[#This Row],[ManagerRating]] - PerfRate[[#This Row],[SelfRating]]</f>
        <v>0</v>
      </c>
    </row>
    <row r="4864" spans="1:18">
      <c r="A4864" s="2" t="s">
        <v>9171</v>
      </c>
      <c r="B4864" s="2" t="s">
        <v>2242</v>
      </c>
      <c r="C4864" s="1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  <c r="L4864" s="2" t="s">
        <v>11029</v>
      </c>
      <c r="M4864" s="2" t="s">
        <v>11029</v>
      </c>
      <c r="N4864" s="2" t="s">
        <v>11034</v>
      </c>
      <c r="O4864" s="2" t="s">
        <v>11036</v>
      </c>
      <c r="P4864" s="2" t="s">
        <v>11035</v>
      </c>
      <c r="Q4864" s="2">
        <f>AVERAGE(PerfRate[[#This Row],[EnvironmentSatisfaction]],PerfRate[[#This Row],[JobSatisfaction]],PerfRate[[#This Row],[RelationshipSatisfaction]])</f>
        <v>2</v>
      </c>
      <c r="R4864" s="2">
        <f>PerfRate[[#This Row],[ManagerRating]] - PerfRate[[#This Row],[SelfRating]]</f>
        <v>0</v>
      </c>
    </row>
    <row r="4865" spans="1:18">
      <c r="A4865" s="2" t="s">
        <v>9172</v>
      </c>
      <c r="B4865" s="2" t="s">
        <v>2882</v>
      </c>
      <c r="C4865" s="1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  <c r="L4865" s="2" t="s">
        <v>11031</v>
      </c>
      <c r="M4865" s="2" t="s">
        <v>11030</v>
      </c>
      <c r="N4865" s="2" t="s">
        <v>11034</v>
      </c>
      <c r="O4865" s="2" t="s">
        <v>11035</v>
      </c>
      <c r="P4865" s="2" t="s">
        <v>11037</v>
      </c>
      <c r="Q4865" s="2">
        <f>AVERAGE(PerfRate[[#This Row],[EnvironmentSatisfaction]],PerfRate[[#This Row],[JobSatisfaction]],PerfRate[[#This Row],[RelationshipSatisfaction]])</f>
        <v>2.3333333333333335</v>
      </c>
      <c r="R4865" s="2">
        <f>PerfRate[[#This Row],[ManagerRating]] - PerfRate[[#This Row],[SelfRating]]</f>
        <v>-1</v>
      </c>
    </row>
    <row r="4866" spans="1:18">
      <c r="A4866" s="2" t="s">
        <v>9173</v>
      </c>
      <c r="B4866" s="2" t="s">
        <v>1210</v>
      </c>
      <c r="C4866" s="1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  <c r="L4866" s="2" t="s">
        <v>11029</v>
      </c>
      <c r="M4866" s="2" t="s">
        <v>11029</v>
      </c>
      <c r="N4866" s="2" t="s">
        <v>11036</v>
      </c>
      <c r="O4866" s="2" t="s">
        <v>11037</v>
      </c>
      <c r="P4866" s="2" t="s">
        <v>11037</v>
      </c>
      <c r="Q4866" s="2">
        <f>AVERAGE(PerfRate[[#This Row],[EnvironmentSatisfaction]],PerfRate[[#This Row],[JobSatisfaction]],PerfRate[[#This Row],[RelationshipSatisfaction]])</f>
        <v>3.6666666666666665</v>
      </c>
      <c r="R4866" s="2">
        <f>PerfRate[[#This Row],[ManagerRating]] - PerfRate[[#This Row],[SelfRating]]</f>
        <v>0</v>
      </c>
    </row>
    <row r="4867" spans="1:18">
      <c r="A4867" s="2" t="s">
        <v>9174</v>
      </c>
      <c r="B4867" s="2" t="s">
        <v>1059</v>
      </c>
      <c r="C4867" s="1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  <c r="L4867" s="2" t="s">
        <v>11029</v>
      </c>
      <c r="M4867" s="2" t="s">
        <v>11028</v>
      </c>
      <c r="N4867" s="2" t="s">
        <v>11037</v>
      </c>
      <c r="O4867" s="2" t="s">
        <v>11038</v>
      </c>
      <c r="P4867" s="2" t="s">
        <v>11038</v>
      </c>
      <c r="Q4867" s="2">
        <f>AVERAGE(PerfRate[[#This Row],[EnvironmentSatisfaction]],PerfRate[[#This Row],[JobSatisfaction]],PerfRate[[#This Row],[RelationshipSatisfaction]])</f>
        <v>4.666666666666667</v>
      </c>
      <c r="R4867" s="2">
        <f>PerfRate[[#This Row],[ManagerRating]] - PerfRate[[#This Row],[SelfRating]]</f>
        <v>-1</v>
      </c>
    </row>
    <row r="4868" spans="1:18">
      <c r="A4868" s="2" t="s">
        <v>9175</v>
      </c>
      <c r="B4868" s="2" t="s">
        <v>1243</v>
      </c>
      <c r="C4868" s="1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  <c r="L4868" s="2" t="s">
        <v>11029</v>
      </c>
      <c r="M4868" s="2" t="s">
        <v>11028</v>
      </c>
      <c r="N4868" s="2" t="s">
        <v>11038</v>
      </c>
      <c r="O4868" s="2" t="s">
        <v>11037</v>
      </c>
      <c r="P4868" s="2" t="s">
        <v>11036</v>
      </c>
      <c r="Q4868" s="2">
        <f>AVERAGE(PerfRate[[#This Row],[EnvironmentSatisfaction]],PerfRate[[#This Row],[JobSatisfaction]],PerfRate[[#This Row],[RelationshipSatisfaction]])</f>
        <v>4</v>
      </c>
      <c r="R4868" s="2">
        <f>PerfRate[[#This Row],[ManagerRating]] - PerfRate[[#This Row],[SelfRating]]</f>
        <v>-1</v>
      </c>
    </row>
    <row r="4869" spans="1:18">
      <c r="A4869" s="2" t="s">
        <v>9176</v>
      </c>
      <c r="B4869" s="2" t="s">
        <v>1400</v>
      </c>
      <c r="C4869" s="1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  <c r="L4869" s="2" t="s">
        <v>11029</v>
      </c>
      <c r="M4869" s="2" t="s">
        <v>11029</v>
      </c>
      <c r="N4869" s="2" t="s">
        <v>11038</v>
      </c>
      <c r="O4869" s="2" t="s">
        <v>11035</v>
      </c>
      <c r="P4869" s="2" t="s">
        <v>11037</v>
      </c>
      <c r="Q4869" s="2">
        <f>AVERAGE(PerfRate[[#This Row],[EnvironmentSatisfaction]],PerfRate[[#This Row],[JobSatisfaction]],PerfRate[[#This Row],[RelationshipSatisfaction]])</f>
        <v>3.6666666666666665</v>
      </c>
      <c r="R4869" s="2">
        <f>PerfRate[[#This Row],[ManagerRating]] - PerfRate[[#This Row],[SelfRating]]</f>
        <v>0</v>
      </c>
    </row>
    <row r="4870" spans="1:18">
      <c r="A4870" s="2" t="s">
        <v>9177</v>
      </c>
      <c r="B4870" s="2" t="s">
        <v>1130</v>
      </c>
      <c r="C4870" s="1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  <c r="L4870" s="2" t="s">
        <v>11030</v>
      </c>
      <c r="M4870" s="2" t="s">
        <v>11029</v>
      </c>
      <c r="N4870" s="2" t="s">
        <v>11037</v>
      </c>
      <c r="O4870" s="2" t="s">
        <v>11035</v>
      </c>
      <c r="P4870" s="2" t="s">
        <v>11037</v>
      </c>
      <c r="Q4870" s="2">
        <f>AVERAGE(PerfRate[[#This Row],[EnvironmentSatisfaction]],PerfRate[[#This Row],[JobSatisfaction]],PerfRate[[#This Row],[RelationshipSatisfaction]])</f>
        <v>3.3333333333333335</v>
      </c>
      <c r="R4870" s="2">
        <f>PerfRate[[#This Row],[ManagerRating]] - PerfRate[[#This Row],[SelfRating]]</f>
        <v>-1</v>
      </c>
    </row>
    <row r="4871" spans="1:18">
      <c r="A4871" s="2" t="s">
        <v>9178</v>
      </c>
      <c r="B4871" s="2" t="s">
        <v>3323</v>
      </c>
      <c r="C4871" s="1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  <c r="L4871" s="2" t="s">
        <v>11031</v>
      </c>
      <c r="M4871" s="2" t="s">
        <v>11030</v>
      </c>
      <c r="N4871" s="2" t="s">
        <v>11038</v>
      </c>
      <c r="O4871" s="2" t="s">
        <v>11036</v>
      </c>
      <c r="P4871" s="2" t="s">
        <v>11035</v>
      </c>
      <c r="Q4871" s="2">
        <f>AVERAGE(PerfRate[[#This Row],[EnvironmentSatisfaction]],PerfRate[[#This Row],[JobSatisfaction]],PerfRate[[#This Row],[RelationshipSatisfaction]])</f>
        <v>3.3333333333333335</v>
      </c>
      <c r="R4871" s="2">
        <f>PerfRate[[#This Row],[ManagerRating]] - PerfRate[[#This Row],[SelfRating]]</f>
        <v>-1</v>
      </c>
    </row>
    <row r="4872" spans="1:18">
      <c r="A4872" s="2" t="s">
        <v>9179</v>
      </c>
      <c r="B4872" s="2" t="s">
        <v>3611</v>
      </c>
      <c r="C4872" s="1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  <c r="L4872" s="2" t="s">
        <v>11031</v>
      </c>
      <c r="M4872" s="2" t="s">
        <v>11031</v>
      </c>
      <c r="N4872" s="2" t="s">
        <v>11036</v>
      </c>
      <c r="O4872" s="2" t="s">
        <v>11038</v>
      </c>
      <c r="P4872" s="2" t="s">
        <v>11038</v>
      </c>
      <c r="Q4872" s="2">
        <f>AVERAGE(PerfRate[[#This Row],[EnvironmentSatisfaction]],PerfRate[[#This Row],[JobSatisfaction]],PerfRate[[#This Row],[RelationshipSatisfaction]])</f>
        <v>4.333333333333333</v>
      </c>
      <c r="R4872" s="2">
        <f>PerfRate[[#This Row],[ManagerRating]] - PerfRate[[#This Row],[SelfRating]]</f>
        <v>0</v>
      </c>
    </row>
    <row r="4873" spans="1:18">
      <c r="A4873" s="2" t="s">
        <v>9180</v>
      </c>
      <c r="B4873" s="2" t="s">
        <v>2119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  <c r="L4873" s="2" t="s">
        <v>11030</v>
      </c>
      <c r="M4873" s="2" t="s">
        <v>11030</v>
      </c>
      <c r="N4873" s="2" t="s">
        <v>11036</v>
      </c>
      <c r="O4873" s="2" t="s">
        <v>11038</v>
      </c>
      <c r="P4873" s="2" t="s">
        <v>11035</v>
      </c>
      <c r="Q4873" s="2">
        <f>AVERAGE(PerfRate[[#This Row],[EnvironmentSatisfaction]],PerfRate[[#This Row],[JobSatisfaction]],PerfRate[[#This Row],[RelationshipSatisfaction]])</f>
        <v>3.3333333333333335</v>
      </c>
      <c r="R4873" s="2">
        <f>PerfRate[[#This Row],[ManagerRating]] - PerfRate[[#This Row],[SelfRating]]</f>
        <v>0</v>
      </c>
    </row>
    <row r="4874" spans="1:18">
      <c r="A4874" s="2" t="s">
        <v>9181</v>
      </c>
      <c r="B4874" s="2" t="s">
        <v>1415</v>
      </c>
      <c r="C4874" s="1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  <c r="L4874" s="2" t="s">
        <v>11031</v>
      </c>
      <c r="M4874" s="2" t="s">
        <v>11030</v>
      </c>
      <c r="N4874" s="2" t="s">
        <v>11037</v>
      </c>
      <c r="O4874" s="2" t="s">
        <v>11035</v>
      </c>
      <c r="P4874" s="2" t="s">
        <v>11038</v>
      </c>
      <c r="Q4874" s="2">
        <f>AVERAGE(PerfRate[[#This Row],[EnvironmentSatisfaction]],PerfRate[[#This Row],[JobSatisfaction]],PerfRate[[#This Row],[RelationshipSatisfaction]])</f>
        <v>3.6666666666666665</v>
      </c>
      <c r="R4874" s="2">
        <f>PerfRate[[#This Row],[ManagerRating]] - PerfRate[[#This Row],[SelfRating]]</f>
        <v>-1</v>
      </c>
    </row>
    <row r="4875" spans="1:18">
      <c r="A4875" s="2" t="s">
        <v>9182</v>
      </c>
      <c r="B4875" s="2" t="s">
        <v>1878</v>
      </c>
      <c r="C4875" s="1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  <c r="L4875" s="2" t="s">
        <v>11029</v>
      </c>
      <c r="M4875" s="2" t="s">
        <v>11029</v>
      </c>
      <c r="N4875" s="2" t="s">
        <v>11037</v>
      </c>
      <c r="O4875" s="2" t="s">
        <v>11037</v>
      </c>
      <c r="P4875" s="2" t="s">
        <v>11037</v>
      </c>
      <c r="Q4875" s="2">
        <f>AVERAGE(PerfRate[[#This Row],[EnvironmentSatisfaction]],PerfRate[[#This Row],[JobSatisfaction]],PerfRate[[#This Row],[RelationshipSatisfaction]])</f>
        <v>4</v>
      </c>
      <c r="R4875" s="2">
        <f>PerfRate[[#This Row],[ManagerRating]] - PerfRate[[#This Row],[SelfRating]]</f>
        <v>0</v>
      </c>
    </row>
    <row r="4876" spans="1:18">
      <c r="A4876" s="2" t="s">
        <v>9183</v>
      </c>
      <c r="B4876" s="2" t="s">
        <v>2369</v>
      </c>
      <c r="C4876" s="1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  <c r="L4876" s="2" t="s">
        <v>11030</v>
      </c>
      <c r="M4876" s="2" t="s">
        <v>11030</v>
      </c>
      <c r="N4876" s="2" t="s">
        <v>11038</v>
      </c>
      <c r="O4876" s="2" t="s">
        <v>11035</v>
      </c>
      <c r="P4876" s="2" t="s">
        <v>11036</v>
      </c>
      <c r="Q4876" s="2">
        <f>AVERAGE(PerfRate[[#This Row],[EnvironmentSatisfaction]],PerfRate[[#This Row],[JobSatisfaction]],PerfRate[[#This Row],[RelationshipSatisfaction]])</f>
        <v>3.3333333333333335</v>
      </c>
      <c r="R4876" s="2">
        <f>PerfRate[[#This Row],[ManagerRating]] - PerfRate[[#This Row],[SelfRating]]</f>
        <v>0</v>
      </c>
    </row>
    <row r="4877" spans="1:18">
      <c r="A4877" s="2" t="s">
        <v>9184</v>
      </c>
      <c r="B4877" s="2" t="s">
        <v>2843</v>
      </c>
      <c r="C4877" s="1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  <c r="L4877" s="2" t="s">
        <v>11031</v>
      </c>
      <c r="M4877" s="2" t="s">
        <v>11031</v>
      </c>
      <c r="N4877" s="2" t="s">
        <v>11037</v>
      </c>
      <c r="O4877" s="2" t="s">
        <v>11038</v>
      </c>
      <c r="P4877" s="2" t="s">
        <v>11035</v>
      </c>
      <c r="Q4877" s="2">
        <f>AVERAGE(PerfRate[[#This Row],[EnvironmentSatisfaction]],PerfRate[[#This Row],[JobSatisfaction]],PerfRate[[#This Row],[RelationshipSatisfaction]])</f>
        <v>3.6666666666666665</v>
      </c>
      <c r="R4877" s="2">
        <f>PerfRate[[#This Row],[ManagerRating]] - PerfRate[[#This Row],[SelfRating]]</f>
        <v>0</v>
      </c>
    </row>
    <row r="4878" spans="1:18">
      <c r="A4878" s="2" t="s">
        <v>9185</v>
      </c>
      <c r="B4878" s="2" t="s">
        <v>2354</v>
      </c>
      <c r="C4878" s="1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  <c r="L4878" s="2" t="s">
        <v>11030</v>
      </c>
      <c r="M4878" s="2" t="s">
        <v>11029</v>
      </c>
      <c r="N4878" s="2" t="s">
        <v>11038</v>
      </c>
      <c r="O4878" s="2" t="s">
        <v>11037</v>
      </c>
      <c r="P4878" s="2" t="s">
        <v>11036</v>
      </c>
      <c r="Q4878" s="2">
        <f>AVERAGE(PerfRate[[#This Row],[EnvironmentSatisfaction]],PerfRate[[#This Row],[JobSatisfaction]],PerfRate[[#This Row],[RelationshipSatisfaction]])</f>
        <v>4</v>
      </c>
      <c r="R4878" s="2">
        <f>PerfRate[[#This Row],[ManagerRating]] - PerfRate[[#This Row],[SelfRating]]</f>
        <v>-1</v>
      </c>
    </row>
    <row r="4879" spans="1:18">
      <c r="A4879" s="2" t="s">
        <v>9186</v>
      </c>
      <c r="B4879" s="2" t="s">
        <v>637</v>
      </c>
      <c r="C4879" s="1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  <c r="L4879" s="2" t="s">
        <v>11030</v>
      </c>
      <c r="M4879" s="2" t="s">
        <v>11029</v>
      </c>
      <c r="N4879" s="2" t="s">
        <v>11036</v>
      </c>
      <c r="O4879" s="2" t="s">
        <v>11038</v>
      </c>
      <c r="P4879" s="2" t="s">
        <v>11038</v>
      </c>
      <c r="Q4879" s="2">
        <f>AVERAGE(PerfRate[[#This Row],[EnvironmentSatisfaction]],PerfRate[[#This Row],[JobSatisfaction]],PerfRate[[#This Row],[RelationshipSatisfaction]])</f>
        <v>4.333333333333333</v>
      </c>
      <c r="R4879" s="2">
        <f>PerfRate[[#This Row],[ManagerRating]] - PerfRate[[#This Row],[SelfRating]]</f>
        <v>-1</v>
      </c>
    </row>
    <row r="4880" spans="1:18">
      <c r="A4880" s="2" t="s">
        <v>9187</v>
      </c>
      <c r="B4880" s="2" t="s">
        <v>872</v>
      </c>
      <c r="C4880" s="1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  <c r="L4880" s="2" t="s">
        <v>11029</v>
      </c>
      <c r="M4880" s="2" t="s">
        <v>11028</v>
      </c>
      <c r="N4880" s="2" t="s">
        <v>11038</v>
      </c>
      <c r="O4880" s="2" t="s">
        <v>11036</v>
      </c>
      <c r="P4880" s="2" t="s">
        <v>11037</v>
      </c>
      <c r="Q4880" s="2">
        <f>AVERAGE(PerfRate[[#This Row],[EnvironmentSatisfaction]],PerfRate[[#This Row],[JobSatisfaction]],PerfRate[[#This Row],[RelationshipSatisfaction]])</f>
        <v>4</v>
      </c>
      <c r="R4880" s="2">
        <f>PerfRate[[#This Row],[ManagerRating]] - PerfRate[[#This Row],[SelfRating]]</f>
        <v>-1</v>
      </c>
    </row>
    <row r="4881" spans="1:18">
      <c r="A4881" s="2" t="s">
        <v>9188</v>
      </c>
      <c r="B4881" s="2" t="s">
        <v>720</v>
      </c>
      <c r="C4881" s="1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  <c r="L4881" s="2" t="s">
        <v>11029</v>
      </c>
      <c r="M4881" s="2" t="s">
        <v>11029</v>
      </c>
      <c r="N4881" s="2" t="s">
        <v>11036</v>
      </c>
      <c r="O4881" s="2" t="s">
        <v>11036</v>
      </c>
      <c r="P4881" s="2" t="s">
        <v>11035</v>
      </c>
      <c r="Q4881" s="2">
        <f>AVERAGE(PerfRate[[#This Row],[EnvironmentSatisfaction]],PerfRate[[#This Row],[JobSatisfaction]],PerfRate[[#This Row],[RelationshipSatisfaction]])</f>
        <v>2.6666666666666665</v>
      </c>
      <c r="R4881" s="2">
        <f>PerfRate[[#This Row],[ManagerRating]] - PerfRate[[#This Row],[SelfRating]]</f>
        <v>0</v>
      </c>
    </row>
    <row r="4882" spans="1:18">
      <c r="A4882" s="2" t="s">
        <v>9189</v>
      </c>
      <c r="B4882" s="2" t="s">
        <v>1912</v>
      </c>
      <c r="C4882" s="1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  <c r="L4882" s="2" t="s">
        <v>11030</v>
      </c>
      <c r="M4882" s="2" t="s">
        <v>11030</v>
      </c>
      <c r="N4882" s="2" t="s">
        <v>11038</v>
      </c>
      <c r="O4882" s="2" t="s">
        <v>11036</v>
      </c>
      <c r="P4882" s="2" t="s">
        <v>11037</v>
      </c>
      <c r="Q4882" s="2">
        <f>AVERAGE(PerfRate[[#This Row],[EnvironmentSatisfaction]],PerfRate[[#This Row],[JobSatisfaction]],PerfRate[[#This Row],[RelationshipSatisfaction]])</f>
        <v>4</v>
      </c>
      <c r="R4882" s="2">
        <f>PerfRate[[#This Row],[ManagerRating]] - PerfRate[[#This Row],[SelfRating]]</f>
        <v>0</v>
      </c>
    </row>
    <row r="4883" spans="1:18">
      <c r="A4883" s="2" t="s">
        <v>9190</v>
      </c>
      <c r="B4883" s="2" t="s">
        <v>1821</v>
      </c>
      <c r="C4883" s="1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  <c r="L4883" s="2" t="s">
        <v>11029</v>
      </c>
      <c r="M4883" s="2" t="s">
        <v>11028</v>
      </c>
      <c r="N4883" s="2" t="s">
        <v>11037</v>
      </c>
      <c r="O4883" s="2" t="s">
        <v>11037</v>
      </c>
      <c r="P4883" s="2" t="s">
        <v>11036</v>
      </c>
      <c r="Q4883" s="2">
        <f>AVERAGE(PerfRate[[#This Row],[EnvironmentSatisfaction]],PerfRate[[#This Row],[JobSatisfaction]],PerfRate[[#This Row],[RelationshipSatisfaction]])</f>
        <v>3.6666666666666665</v>
      </c>
      <c r="R4883" s="2">
        <f>PerfRate[[#This Row],[ManagerRating]] - PerfRate[[#This Row],[SelfRating]]</f>
        <v>-1</v>
      </c>
    </row>
    <row r="4884" spans="1:18">
      <c r="A4884" s="2" t="s">
        <v>9191</v>
      </c>
      <c r="B4884" s="2" t="s">
        <v>2351</v>
      </c>
      <c r="C4884" s="1">
        <v>42097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  <c r="L4884" s="2" t="s">
        <v>11031</v>
      </c>
      <c r="M4884" s="2" t="s">
        <v>11031</v>
      </c>
      <c r="N4884" s="2" t="s">
        <v>11037</v>
      </c>
      <c r="O4884" s="2" t="s">
        <v>11036</v>
      </c>
      <c r="P4884" s="2" t="s">
        <v>11038</v>
      </c>
      <c r="Q4884" s="2">
        <f>AVERAGE(PerfRate[[#This Row],[EnvironmentSatisfaction]],PerfRate[[#This Row],[JobSatisfaction]],PerfRate[[#This Row],[RelationshipSatisfaction]])</f>
        <v>4</v>
      </c>
      <c r="R4884" s="2">
        <f>PerfRate[[#This Row],[ManagerRating]] - PerfRate[[#This Row],[SelfRating]]</f>
        <v>0</v>
      </c>
    </row>
    <row r="4885" spans="1:18">
      <c r="A4885" s="2" t="s">
        <v>9192</v>
      </c>
      <c r="B4885" s="2" t="s">
        <v>1898</v>
      </c>
      <c r="C4885" s="1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  <c r="L4885" s="2" t="s">
        <v>11029</v>
      </c>
      <c r="M4885" s="2" t="s">
        <v>11028</v>
      </c>
      <c r="N4885" s="2" t="s">
        <v>11036</v>
      </c>
      <c r="O4885" s="2" t="s">
        <v>11038</v>
      </c>
      <c r="P4885" s="2" t="s">
        <v>11038</v>
      </c>
      <c r="Q4885" s="2">
        <f>AVERAGE(PerfRate[[#This Row],[EnvironmentSatisfaction]],PerfRate[[#This Row],[JobSatisfaction]],PerfRate[[#This Row],[RelationshipSatisfaction]])</f>
        <v>4.333333333333333</v>
      </c>
      <c r="R4885" s="2">
        <f>PerfRate[[#This Row],[ManagerRating]] - PerfRate[[#This Row],[SelfRating]]</f>
        <v>-1</v>
      </c>
    </row>
    <row r="4886" spans="1:18">
      <c r="A4886" s="2" t="s">
        <v>9193</v>
      </c>
      <c r="B4886" s="2" t="s">
        <v>1629</v>
      </c>
      <c r="C4886" s="1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  <c r="L4886" s="2" t="s">
        <v>11031</v>
      </c>
      <c r="M4886" s="2" t="s">
        <v>11030</v>
      </c>
      <c r="N4886" s="2" t="s">
        <v>11037</v>
      </c>
      <c r="O4886" s="2" t="s">
        <v>11035</v>
      </c>
      <c r="P4886" s="2" t="s">
        <v>11038</v>
      </c>
      <c r="Q4886" s="2">
        <f>AVERAGE(PerfRate[[#This Row],[EnvironmentSatisfaction]],PerfRate[[#This Row],[JobSatisfaction]],PerfRate[[#This Row],[RelationshipSatisfaction]])</f>
        <v>3.6666666666666665</v>
      </c>
      <c r="R4886" s="2">
        <f>PerfRate[[#This Row],[ManagerRating]] - PerfRate[[#This Row],[SelfRating]]</f>
        <v>-1</v>
      </c>
    </row>
    <row r="4887" spans="1:18">
      <c r="A4887" s="2" t="s">
        <v>9194</v>
      </c>
      <c r="B4887" s="2" t="s">
        <v>2266</v>
      </c>
      <c r="C4887" s="1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  <c r="L4887" s="2" t="s">
        <v>11029</v>
      </c>
      <c r="M4887" s="2" t="s">
        <v>11029</v>
      </c>
      <c r="N4887" s="2" t="s">
        <v>11038</v>
      </c>
      <c r="O4887" s="2" t="s">
        <v>11035</v>
      </c>
      <c r="P4887" s="2" t="s">
        <v>11038</v>
      </c>
      <c r="Q4887" s="2">
        <f>AVERAGE(PerfRate[[#This Row],[EnvironmentSatisfaction]],PerfRate[[#This Row],[JobSatisfaction]],PerfRate[[#This Row],[RelationshipSatisfaction]])</f>
        <v>4</v>
      </c>
      <c r="R4887" s="2">
        <f>PerfRate[[#This Row],[ManagerRating]] - PerfRate[[#This Row],[SelfRating]]</f>
        <v>0</v>
      </c>
    </row>
    <row r="4888" spans="1:18">
      <c r="A4888" s="2" t="s">
        <v>9195</v>
      </c>
      <c r="B4888" s="2" t="s">
        <v>359</v>
      </c>
      <c r="C4888" s="1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  <c r="L4888" s="2" t="s">
        <v>11030</v>
      </c>
      <c r="M4888" s="2" t="s">
        <v>11029</v>
      </c>
      <c r="N4888" s="2" t="s">
        <v>11038</v>
      </c>
      <c r="O4888" s="2" t="s">
        <v>11035</v>
      </c>
      <c r="P4888" s="2" t="s">
        <v>11036</v>
      </c>
      <c r="Q4888" s="2">
        <f>AVERAGE(PerfRate[[#This Row],[EnvironmentSatisfaction]],PerfRate[[#This Row],[JobSatisfaction]],PerfRate[[#This Row],[RelationshipSatisfaction]])</f>
        <v>3.3333333333333335</v>
      </c>
      <c r="R4888" s="2">
        <f>PerfRate[[#This Row],[ManagerRating]] - PerfRate[[#This Row],[SelfRating]]</f>
        <v>-1</v>
      </c>
    </row>
    <row r="4889" spans="1:18">
      <c r="A4889" s="2" t="s">
        <v>9196</v>
      </c>
      <c r="B4889" s="2" t="s">
        <v>1412</v>
      </c>
      <c r="C4889" s="1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  <c r="L4889" s="2" t="s">
        <v>11030</v>
      </c>
      <c r="M4889" s="2" t="s">
        <v>11029</v>
      </c>
      <c r="N4889" s="2" t="s">
        <v>11037</v>
      </c>
      <c r="O4889" s="2" t="s">
        <v>11038</v>
      </c>
      <c r="P4889" s="2" t="s">
        <v>11036</v>
      </c>
      <c r="Q4889" s="2">
        <f>AVERAGE(PerfRate[[#This Row],[EnvironmentSatisfaction]],PerfRate[[#This Row],[JobSatisfaction]],PerfRate[[#This Row],[RelationshipSatisfaction]])</f>
        <v>4</v>
      </c>
      <c r="R4889" s="2">
        <f>PerfRate[[#This Row],[ManagerRating]] - PerfRate[[#This Row],[SelfRating]]</f>
        <v>-1</v>
      </c>
    </row>
    <row r="4890" spans="1:18">
      <c r="A4890" s="2" t="s">
        <v>9197</v>
      </c>
      <c r="B4890" s="2" t="s">
        <v>2245</v>
      </c>
      <c r="C4890" s="1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  <c r="L4890" s="2" t="s">
        <v>11029</v>
      </c>
      <c r="M4890" s="2" t="s">
        <v>11028</v>
      </c>
      <c r="N4890" s="2" t="s">
        <v>11038</v>
      </c>
      <c r="O4890" s="2" t="s">
        <v>11036</v>
      </c>
      <c r="P4890" s="2" t="s">
        <v>11036</v>
      </c>
      <c r="Q4890" s="2">
        <f>AVERAGE(PerfRate[[#This Row],[EnvironmentSatisfaction]],PerfRate[[#This Row],[JobSatisfaction]],PerfRate[[#This Row],[RelationshipSatisfaction]])</f>
        <v>3.6666666666666665</v>
      </c>
      <c r="R4890" s="2">
        <f>PerfRate[[#This Row],[ManagerRating]] - PerfRate[[#This Row],[SelfRating]]</f>
        <v>-1</v>
      </c>
    </row>
    <row r="4891" spans="1:18">
      <c r="A4891" s="2" t="s">
        <v>9198</v>
      </c>
      <c r="B4891" s="2" t="s">
        <v>1482</v>
      </c>
      <c r="C4891" s="1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  <c r="L4891" s="2" t="s">
        <v>11031</v>
      </c>
      <c r="M4891" s="2" t="s">
        <v>11031</v>
      </c>
      <c r="N4891" s="2" t="s">
        <v>11037</v>
      </c>
      <c r="O4891" s="2" t="s">
        <v>11037</v>
      </c>
      <c r="P4891" s="2" t="s">
        <v>11036</v>
      </c>
      <c r="Q4891" s="2">
        <f>AVERAGE(PerfRate[[#This Row],[EnvironmentSatisfaction]],PerfRate[[#This Row],[JobSatisfaction]],PerfRate[[#This Row],[RelationshipSatisfaction]])</f>
        <v>3.6666666666666665</v>
      </c>
      <c r="R4891" s="2">
        <f>PerfRate[[#This Row],[ManagerRating]] - PerfRate[[#This Row],[SelfRating]]</f>
        <v>0</v>
      </c>
    </row>
    <row r="4892" spans="1:18">
      <c r="A4892" s="2" t="s">
        <v>9199</v>
      </c>
      <c r="B4892" s="2" t="s">
        <v>1824</v>
      </c>
      <c r="C4892" s="1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  <c r="L4892" s="2" t="s">
        <v>11030</v>
      </c>
      <c r="M4892" s="2" t="s">
        <v>11030</v>
      </c>
      <c r="N4892" s="2" t="s">
        <v>11037</v>
      </c>
      <c r="O4892" s="2" t="s">
        <v>11036</v>
      </c>
      <c r="P4892" s="2" t="s">
        <v>11038</v>
      </c>
      <c r="Q4892" s="2">
        <f>AVERAGE(PerfRate[[#This Row],[EnvironmentSatisfaction]],PerfRate[[#This Row],[JobSatisfaction]],PerfRate[[#This Row],[RelationshipSatisfaction]])</f>
        <v>4</v>
      </c>
      <c r="R4892" s="2">
        <f>PerfRate[[#This Row],[ManagerRating]] - PerfRate[[#This Row],[SelfRating]]</f>
        <v>0</v>
      </c>
    </row>
    <row r="4893" spans="1:18">
      <c r="A4893" s="2" t="s">
        <v>9200</v>
      </c>
      <c r="B4893" s="2" t="s">
        <v>3120</v>
      </c>
      <c r="C4893" s="1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  <c r="L4893" s="2" t="s">
        <v>11030</v>
      </c>
      <c r="M4893" s="2" t="s">
        <v>11030</v>
      </c>
      <c r="N4893" s="2" t="s">
        <v>11037</v>
      </c>
      <c r="O4893" s="2" t="s">
        <v>11035</v>
      </c>
      <c r="P4893" s="2" t="s">
        <v>11038</v>
      </c>
      <c r="Q4893" s="2">
        <f>AVERAGE(PerfRate[[#This Row],[EnvironmentSatisfaction]],PerfRate[[#This Row],[JobSatisfaction]],PerfRate[[#This Row],[RelationshipSatisfaction]])</f>
        <v>3.6666666666666665</v>
      </c>
      <c r="R4893" s="2">
        <f>PerfRate[[#This Row],[ManagerRating]] - PerfRate[[#This Row],[SelfRating]]</f>
        <v>0</v>
      </c>
    </row>
    <row r="4894" spans="1:18">
      <c r="A4894" s="2" t="s">
        <v>9201</v>
      </c>
      <c r="B4894" s="2" t="s">
        <v>806</v>
      </c>
      <c r="C4894" s="1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  <c r="L4894" s="2" t="s">
        <v>11029</v>
      </c>
      <c r="M4894" s="2" t="s">
        <v>11028</v>
      </c>
      <c r="N4894" s="2" t="s">
        <v>11036</v>
      </c>
      <c r="O4894" s="2" t="s">
        <v>11036</v>
      </c>
      <c r="P4894" s="2" t="s">
        <v>11037</v>
      </c>
      <c r="Q4894" s="2">
        <f>AVERAGE(PerfRate[[#This Row],[EnvironmentSatisfaction]],PerfRate[[#This Row],[JobSatisfaction]],PerfRate[[#This Row],[RelationshipSatisfaction]])</f>
        <v>3.3333333333333335</v>
      </c>
      <c r="R4894" s="2">
        <f>PerfRate[[#This Row],[ManagerRating]] - PerfRate[[#This Row],[SelfRating]]</f>
        <v>-1</v>
      </c>
    </row>
    <row r="4895" spans="1:18">
      <c r="A4895" s="2" t="s">
        <v>9202</v>
      </c>
      <c r="B4895" s="2" t="s">
        <v>73</v>
      </c>
      <c r="C4895" s="1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  <c r="L4895" s="2" t="s">
        <v>11030</v>
      </c>
      <c r="M4895" s="2" t="s">
        <v>11030</v>
      </c>
      <c r="N4895" s="2" t="s">
        <v>11037</v>
      </c>
      <c r="O4895" s="2" t="s">
        <v>11038</v>
      </c>
      <c r="P4895" s="2" t="s">
        <v>11036</v>
      </c>
      <c r="Q4895" s="2">
        <f>AVERAGE(PerfRate[[#This Row],[EnvironmentSatisfaction]],PerfRate[[#This Row],[JobSatisfaction]],PerfRate[[#This Row],[RelationshipSatisfaction]])</f>
        <v>4</v>
      </c>
      <c r="R4895" s="2">
        <f>PerfRate[[#This Row],[ManagerRating]] - PerfRate[[#This Row],[SelfRating]]</f>
        <v>0</v>
      </c>
    </row>
    <row r="4896" spans="1:18">
      <c r="A4896" s="2" t="s">
        <v>9203</v>
      </c>
      <c r="B4896" s="2" t="s">
        <v>550</v>
      </c>
      <c r="C4896" s="1">
        <v>42097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  <c r="L4896" s="2" t="s">
        <v>11030</v>
      </c>
      <c r="M4896" s="2" t="s">
        <v>11030</v>
      </c>
      <c r="N4896" s="2" t="s">
        <v>11036</v>
      </c>
      <c r="O4896" s="2" t="s">
        <v>11036</v>
      </c>
      <c r="P4896" s="2" t="s">
        <v>11037</v>
      </c>
      <c r="Q4896" s="2">
        <f>AVERAGE(PerfRate[[#This Row],[EnvironmentSatisfaction]],PerfRate[[#This Row],[JobSatisfaction]],PerfRate[[#This Row],[RelationshipSatisfaction]])</f>
        <v>3.3333333333333335</v>
      </c>
      <c r="R4896" s="2">
        <f>PerfRate[[#This Row],[ManagerRating]] - PerfRate[[#This Row],[SelfRating]]</f>
        <v>0</v>
      </c>
    </row>
    <row r="4897" spans="1:18">
      <c r="A4897" s="2" t="s">
        <v>9204</v>
      </c>
      <c r="B4897" s="2" t="s">
        <v>808</v>
      </c>
      <c r="C4897" s="1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  <c r="L4897" s="2" t="s">
        <v>11029</v>
      </c>
      <c r="M4897" s="2" t="s">
        <v>11028</v>
      </c>
      <c r="N4897" s="2" t="s">
        <v>11037</v>
      </c>
      <c r="O4897" s="2" t="s">
        <v>11035</v>
      </c>
      <c r="P4897" s="2" t="s">
        <v>11038</v>
      </c>
      <c r="Q4897" s="2">
        <f>AVERAGE(PerfRate[[#This Row],[EnvironmentSatisfaction]],PerfRate[[#This Row],[JobSatisfaction]],PerfRate[[#This Row],[RelationshipSatisfaction]])</f>
        <v>3.6666666666666665</v>
      </c>
      <c r="R4897" s="2">
        <f>PerfRate[[#This Row],[ManagerRating]] - PerfRate[[#This Row],[SelfRating]]</f>
        <v>-1</v>
      </c>
    </row>
    <row r="4898" spans="1:18">
      <c r="A4898" s="2" t="s">
        <v>9205</v>
      </c>
      <c r="B4898" s="2" t="s">
        <v>2027</v>
      </c>
      <c r="C4898" s="1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  <c r="L4898" s="2" t="s">
        <v>11029</v>
      </c>
      <c r="M4898" s="2" t="s">
        <v>11029</v>
      </c>
      <c r="N4898" s="2" t="s">
        <v>11038</v>
      </c>
      <c r="O4898" s="2" t="s">
        <v>11037</v>
      </c>
      <c r="P4898" s="2" t="s">
        <v>11036</v>
      </c>
      <c r="Q4898" s="2">
        <f>AVERAGE(PerfRate[[#This Row],[EnvironmentSatisfaction]],PerfRate[[#This Row],[JobSatisfaction]],PerfRate[[#This Row],[RelationshipSatisfaction]])</f>
        <v>4</v>
      </c>
      <c r="R4898" s="2">
        <f>PerfRate[[#This Row],[ManagerRating]] - PerfRate[[#This Row],[SelfRating]]</f>
        <v>0</v>
      </c>
    </row>
    <row r="4899" spans="1:18">
      <c r="A4899" s="2" t="s">
        <v>9206</v>
      </c>
      <c r="B4899" s="2" t="s">
        <v>3054</v>
      </c>
      <c r="C4899" s="1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  <c r="L4899" s="2" t="s">
        <v>11031</v>
      </c>
      <c r="M4899" s="2" t="s">
        <v>11031</v>
      </c>
      <c r="N4899" s="2" t="s">
        <v>11036</v>
      </c>
      <c r="O4899" s="2" t="s">
        <v>11035</v>
      </c>
      <c r="P4899" s="2" t="s">
        <v>11037</v>
      </c>
      <c r="Q4899" s="2">
        <f>AVERAGE(PerfRate[[#This Row],[EnvironmentSatisfaction]],PerfRate[[#This Row],[JobSatisfaction]],PerfRate[[#This Row],[RelationshipSatisfaction]])</f>
        <v>3</v>
      </c>
      <c r="R4899" s="2">
        <f>PerfRate[[#This Row],[ManagerRating]] - PerfRate[[#This Row],[SelfRating]]</f>
        <v>0</v>
      </c>
    </row>
    <row r="4900" spans="1:18">
      <c r="A4900" s="2" t="s">
        <v>9207</v>
      </c>
      <c r="B4900" s="2" t="s">
        <v>431</v>
      </c>
      <c r="C4900" s="1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  <c r="L4900" s="2" t="s">
        <v>11029</v>
      </c>
      <c r="M4900" s="2" t="s">
        <v>11028</v>
      </c>
      <c r="N4900" s="2" t="s">
        <v>11036</v>
      </c>
      <c r="O4900" s="2" t="s">
        <v>11036</v>
      </c>
      <c r="P4900" s="2" t="s">
        <v>11038</v>
      </c>
      <c r="Q4900" s="2">
        <f>AVERAGE(PerfRate[[#This Row],[EnvironmentSatisfaction]],PerfRate[[#This Row],[JobSatisfaction]],PerfRate[[#This Row],[RelationshipSatisfaction]])</f>
        <v>3.6666666666666665</v>
      </c>
      <c r="R4900" s="2">
        <f>PerfRate[[#This Row],[ManagerRating]] - PerfRate[[#This Row],[SelfRating]]</f>
        <v>-1</v>
      </c>
    </row>
    <row r="4901" spans="1:18">
      <c r="A4901" s="2" t="s">
        <v>9208</v>
      </c>
      <c r="B4901" s="2" t="s">
        <v>649</v>
      </c>
      <c r="C4901" s="1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  <c r="L4901" s="2" t="s">
        <v>11031</v>
      </c>
      <c r="M4901" s="2" t="s">
        <v>11030</v>
      </c>
      <c r="N4901" s="2" t="s">
        <v>11036</v>
      </c>
      <c r="O4901" s="2" t="s">
        <v>11038</v>
      </c>
      <c r="P4901" s="2" t="s">
        <v>11035</v>
      </c>
      <c r="Q4901" s="2">
        <f>AVERAGE(PerfRate[[#This Row],[EnvironmentSatisfaction]],PerfRate[[#This Row],[JobSatisfaction]],PerfRate[[#This Row],[RelationshipSatisfaction]])</f>
        <v>3.3333333333333335</v>
      </c>
      <c r="R4901" s="2">
        <f>PerfRate[[#This Row],[ManagerRating]] - PerfRate[[#This Row],[SelfRating]]</f>
        <v>-1</v>
      </c>
    </row>
    <row r="4902" spans="1:18">
      <c r="A4902" s="2" t="s">
        <v>9209</v>
      </c>
      <c r="B4902" s="2" t="s">
        <v>1003</v>
      </c>
      <c r="C4902" s="1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  <c r="L4902" s="2" t="s">
        <v>11030</v>
      </c>
      <c r="M4902" s="2" t="s">
        <v>11030</v>
      </c>
      <c r="N4902" s="2" t="s">
        <v>11034</v>
      </c>
      <c r="O4902" s="2" t="s">
        <v>11034</v>
      </c>
      <c r="P4902" s="2" t="s">
        <v>11034</v>
      </c>
      <c r="Q4902" s="2">
        <f>AVERAGE(PerfRate[[#This Row],[EnvironmentSatisfaction]],PerfRate[[#This Row],[JobSatisfaction]],PerfRate[[#This Row],[RelationshipSatisfaction]])</f>
        <v>1</v>
      </c>
      <c r="R4902" s="2">
        <f>PerfRate[[#This Row],[ManagerRating]] - PerfRate[[#This Row],[SelfRating]]</f>
        <v>0</v>
      </c>
    </row>
    <row r="4903" spans="1:18">
      <c r="A4903" s="2" t="s">
        <v>9210</v>
      </c>
      <c r="B4903" s="2" t="s">
        <v>2593</v>
      </c>
      <c r="C4903" s="1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  <c r="L4903" s="2" t="s">
        <v>11031</v>
      </c>
      <c r="M4903" s="2" t="s">
        <v>11030</v>
      </c>
      <c r="N4903" s="2" t="s">
        <v>11037</v>
      </c>
      <c r="O4903" s="2" t="s">
        <v>11037</v>
      </c>
      <c r="P4903" s="2" t="s">
        <v>11036</v>
      </c>
      <c r="Q4903" s="2">
        <f>AVERAGE(PerfRate[[#This Row],[EnvironmentSatisfaction]],PerfRate[[#This Row],[JobSatisfaction]],PerfRate[[#This Row],[RelationshipSatisfaction]])</f>
        <v>3.6666666666666665</v>
      </c>
      <c r="R4903" s="2">
        <f>PerfRate[[#This Row],[ManagerRating]] - PerfRate[[#This Row],[SelfRating]]</f>
        <v>-1</v>
      </c>
    </row>
    <row r="4904" spans="1:18">
      <c r="A4904" s="2" t="s">
        <v>9211</v>
      </c>
      <c r="B4904" s="2" t="s">
        <v>1318</v>
      </c>
      <c r="C4904" s="1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  <c r="L4904" s="2" t="s">
        <v>11029</v>
      </c>
      <c r="M4904" s="2" t="s">
        <v>11029</v>
      </c>
      <c r="N4904" s="2" t="s">
        <v>11037</v>
      </c>
      <c r="O4904" s="2" t="s">
        <v>11036</v>
      </c>
      <c r="P4904" s="2" t="s">
        <v>11036</v>
      </c>
      <c r="Q4904" s="2">
        <f>AVERAGE(PerfRate[[#This Row],[EnvironmentSatisfaction]],PerfRate[[#This Row],[JobSatisfaction]],PerfRate[[#This Row],[RelationshipSatisfaction]])</f>
        <v>3.3333333333333335</v>
      </c>
      <c r="R4904" s="2">
        <f>PerfRate[[#This Row],[ManagerRating]] - PerfRate[[#This Row],[SelfRating]]</f>
        <v>0</v>
      </c>
    </row>
    <row r="4905" spans="1:18">
      <c r="A4905" s="2" t="s">
        <v>9212</v>
      </c>
      <c r="B4905" s="2" t="s">
        <v>1764</v>
      </c>
      <c r="C4905" s="1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  <c r="L4905" s="2" t="s">
        <v>11029</v>
      </c>
      <c r="M4905" s="2" t="s">
        <v>11028</v>
      </c>
      <c r="N4905" s="2" t="s">
        <v>11035</v>
      </c>
      <c r="O4905" s="2" t="s">
        <v>11035</v>
      </c>
      <c r="P4905" s="2" t="s">
        <v>11037</v>
      </c>
      <c r="Q4905" s="2">
        <f>AVERAGE(PerfRate[[#This Row],[EnvironmentSatisfaction]],PerfRate[[#This Row],[JobSatisfaction]],PerfRate[[#This Row],[RelationshipSatisfaction]])</f>
        <v>2.6666666666666665</v>
      </c>
      <c r="R4905" s="2">
        <f>PerfRate[[#This Row],[ManagerRating]] - PerfRate[[#This Row],[SelfRating]]</f>
        <v>-1</v>
      </c>
    </row>
    <row r="4906" spans="1:18">
      <c r="A4906" s="2" t="s">
        <v>9213</v>
      </c>
      <c r="B4906" s="2" t="s">
        <v>3583</v>
      </c>
      <c r="C4906" s="1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  <c r="L4906" s="2" t="s">
        <v>11031</v>
      </c>
      <c r="M4906" s="2" t="s">
        <v>11030</v>
      </c>
      <c r="N4906" s="2" t="s">
        <v>11038</v>
      </c>
      <c r="O4906" s="2" t="s">
        <v>11035</v>
      </c>
      <c r="P4906" s="2" t="s">
        <v>11038</v>
      </c>
      <c r="Q4906" s="2">
        <f>AVERAGE(PerfRate[[#This Row],[EnvironmentSatisfaction]],PerfRate[[#This Row],[JobSatisfaction]],PerfRate[[#This Row],[RelationshipSatisfaction]])</f>
        <v>4</v>
      </c>
      <c r="R4906" s="2">
        <f>PerfRate[[#This Row],[ManagerRating]] - PerfRate[[#This Row],[SelfRating]]</f>
        <v>-1</v>
      </c>
    </row>
    <row r="4907" spans="1:18">
      <c r="A4907" s="2" t="s">
        <v>9214</v>
      </c>
      <c r="B4907" s="2" t="s">
        <v>1704</v>
      </c>
      <c r="C4907" s="1">
        <v>42097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  <c r="L4907" s="2" t="s">
        <v>11030</v>
      </c>
      <c r="M4907" s="2" t="s">
        <v>11029</v>
      </c>
      <c r="N4907" s="2" t="s">
        <v>11038</v>
      </c>
      <c r="O4907" s="2" t="s">
        <v>11038</v>
      </c>
      <c r="P4907" s="2" t="s">
        <v>11035</v>
      </c>
      <c r="Q4907" s="2">
        <f>AVERAGE(PerfRate[[#This Row],[EnvironmentSatisfaction]],PerfRate[[#This Row],[JobSatisfaction]],PerfRate[[#This Row],[RelationshipSatisfaction]])</f>
        <v>4</v>
      </c>
      <c r="R4907" s="2">
        <f>PerfRate[[#This Row],[ManagerRating]] - PerfRate[[#This Row],[SelfRating]]</f>
        <v>-1</v>
      </c>
    </row>
    <row r="4908" spans="1:18">
      <c r="A4908" s="2" t="s">
        <v>9215</v>
      </c>
      <c r="B4908" s="2" t="s">
        <v>2444</v>
      </c>
      <c r="C4908" s="1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  <c r="L4908" s="2" t="s">
        <v>11031</v>
      </c>
      <c r="M4908" s="2" t="s">
        <v>11030</v>
      </c>
      <c r="N4908" s="2" t="s">
        <v>11037</v>
      </c>
      <c r="O4908" s="2" t="s">
        <v>11035</v>
      </c>
      <c r="P4908" s="2" t="s">
        <v>11035</v>
      </c>
      <c r="Q4908" s="2">
        <f>AVERAGE(PerfRate[[#This Row],[EnvironmentSatisfaction]],PerfRate[[#This Row],[JobSatisfaction]],PerfRate[[#This Row],[RelationshipSatisfaction]])</f>
        <v>2.6666666666666665</v>
      </c>
      <c r="R4908" s="2">
        <f>PerfRate[[#This Row],[ManagerRating]] - PerfRate[[#This Row],[SelfRating]]</f>
        <v>-1</v>
      </c>
    </row>
    <row r="4909" spans="1:18">
      <c r="A4909" s="2" t="s">
        <v>9216</v>
      </c>
      <c r="B4909" s="2" t="s">
        <v>2894</v>
      </c>
      <c r="C4909" s="1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  <c r="L4909" s="2" t="s">
        <v>11031</v>
      </c>
      <c r="M4909" s="2" t="s">
        <v>11030</v>
      </c>
      <c r="N4909" s="2" t="s">
        <v>11038</v>
      </c>
      <c r="O4909" s="2" t="s">
        <v>11038</v>
      </c>
      <c r="P4909" s="2" t="s">
        <v>11038</v>
      </c>
      <c r="Q4909" s="2">
        <f>AVERAGE(PerfRate[[#This Row],[EnvironmentSatisfaction]],PerfRate[[#This Row],[JobSatisfaction]],PerfRate[[#This Row],[RelationshipSatisfaction]])</f>
        <v>5</v>
      </c>
      <c r="R4909" s="2">
        <f>PerfRate[[#This Row],[ManagerRating]] - PerfRate[[#This Row],[SelfRating]]</f>
        <v>-1</v>
      </c>
    </row>
    <row r="4910" spans="1:18">
      <c r="A4910" s="2" t="s">
        <v>9217</v>
      </c>
      <c r="B4910" s="2" t="s">
        <v>138</v>
      </c>
      <c r="C4910" s="1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  <c r="L4910" s="2" t="s">
        <v>11030</v>
      </c>
      <c r="M4910" s="2" t="s">
        <v>11030</v>
      </c>
      <c r="N4910" s="2" t="s">
        <v>11036</v>
      </c>
      <c r="O4910" s="2" t="s">
        <v>11037</v>
      </c>
      <c r="P4910" s="2" t="s">
        <v>11035</v>
      </c>
      <c r="Q4910" s="2">
        <f>AVERAGE(PerfRate[[#This Row],[EnvironmentSatisfaction]],PerfRate[[#This Row],[JobSatisfaction]],PerfRate[[#This Row],[RelationshipSatisfaction]])</f>
        <v>3</v>
      </c>
      <c r="R4910" s="2">
        <f>PerfRate[[#This Row],[ManagerRating]] - PerfRate[[#This Row],[SelfRating]]</f>
        <v>0</v>
      </c>
    </row>
    <row r="4911" spans="1:18">
      <c r="A4911" s="2" t="s">
        <v>9218</v>
      </c>
      <c r="B4911" s="2" t="s">
        <v>1557</v>
      </c>
      <c r="C4911" s="1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  <c r="L4911" s="2" t="s">
        <v>11030</v>
      </c>
      <c r="M4911" s="2" t="s">
        <v>11029</v>
      </c>
      <c r="N4911" s="2" t="s">
        <v>11038</v>
      </c>
      <c r="O4911" s="2" t="s">
        <v>11037</v>
      </c>
      <c r="P4911" s="2" t="s">
        <v>11035</v>
      </c>
      <c r="Q4911" s="2">
        <f>AVERAGE(PerfRate[[#This Row],[EnvironmentSatisfaction]],PerfRate[[#This Row],[JobSatisfaction]],PerfRate[[#This Row],[RelationshipSatisfaction]])</f>
        <v>3.6666666666666665</v>
      </c>
      <c r="R4911" s="2">
        <f>PerfRate[[#This Row],[ManagerRating]] - PerfRate[[#This Row],[SelfRating]]</f>
        <v>-1</v>
      </c>
    </row>
    <row r="4912" spans="1:18">
      <c r="A4912" s="2" t="s">
        <v>9219</v>
      </c>
      <c r="B4912" s="2" t="s">
        <v>2389</v>
      </c>
      <c r="C4912" s="1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  <c r="L4912" s="2" t="s">
        <v>11030</v>
      </c>
      <c r="M4912" s="2" t="s">
        <v>11030</v>
      </c>
      <c r="N4912" s="2" t="s">
        <v>11038</v>
      </c>
      <c r="O4912" s="2" t="s">
        <v>11035</v>
      </c>
      <c r="P4912" s="2" t="s">
        <v>11035</v>
      </c>
      <c r="Q4912" s="2">
        <f>AVERAGE(PerfRate[[#This Row],[EnvironmentSatisfaction]],PerfRate[[#This Row],[JobSatisfaction]],PerfRate[[#This Row],[RelationshipSatisfaction]])</f>
        <v>3</v>
      </c>
      <c r="R4912" s="2">
        <f>PerfRate[[#This Row],[ManagerRating]] - PerfRate[[#This Row],[SelfRating]]</f>
        <v>0</v>
      </c>
    </row>
    <row r="4913" spans="1:18">
      <c r="A4913" s="2" t="s">
        <v>9220</v>
      </c>
      <c r="B4913" s="2" t="s">
        <v>23</v>
      </c>
      <c r="C4913" s="1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  <c r="L4913" s="2" t="s">
        <v>11029</v>
      </c>
      <c r="M4913" s="2" t="s">
        <v>11029</v>
      </c>
      <c r="N4913" s="2" t="s">
        <v>11037</v>
      </c>
      <c r="O4913" s="2" t="s">
        <v>11038</v>
      </c>
      <c r="P4913" s="2" t="s">
        <v>11037</v>
      </c>
      <c r="Q4913" s="2">
        <f>AVERAGE(PerfRate[[#This Row],[EnvironmentSatisfaction]],PerfRate[[#This Row],[JobSatisfaction]],PerfRate[[#This Row],[RelationshipSatisfaction]])</f>
        <v>4.333333333333333</v>
      </c>
      <c r="R4913" s="2">
        <f>PerfRate[[#This Row],[ManagerRating]] - PerfRate[[#This Row],[SelfRating]]</f>
        <v>0</v>
      </c>
    </row>
    <row r="4914" spans="1:18">
      <c r="A4914" s="2" t="s">
        <v>9221</v>
      </c>
      <c r="B4914" s="2" t="s">
        <v>4069</v>
      </c>
      <c r="C4914" s="1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  <c r="L4914" s="2" t="s">
        <v>11029</v>
      </c>
      <c r="M4914" s="2" t="s">
        <v>11028</v>
      </c>
      <c r="N4914" s="2" t="s">
        <v>11036</v>
      </c>
      <c r="O4914" s="2" t="s">
        <v>11035</v>
      </c>
      <c r="P4914" s="2" t="s">
        <v>11035</v>
      </c>
      <c r="Q4914" s="2">
        <f>AVERAGE(PerfRate[[#This Row],[EnvironmentSatisfaction]],PerfRate[[#This Row],[JobSatisfaction]],PerfRate[[#This Row],[RelationshipSatisfaction]])</f>
        <v>2.3333333333333335</v>
      </c>
      <c r="R4914" s="2">
        <f>PerfRate[[#This Row],[ManagerRating]] - PerfRate[[#This Row],[SelfRating]]</f>
        <v>-1</v>
      </c>
    </row>
    <row r="4915" spans="1:18">
      <c r="A4915" s="2" t="s">
        <v>9222</v>
      </c>
      <c r="B4915" s="2" t="s">
        <v>797</v>
      </c>
      <c r="C4915" s="1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  <c r="L4915" s="2" t="s">
        <v>11029</v>
      </c>
      <c r="M4915" s="2" t="s">
        <v>11029</v>
      </c>
      <c r="N4915" s="2" t="s">
        <v>11037</v>
      </c>
      <c r="O4915" s="2" t="s">
        <v>11035</v>
      </c>
      <c r="P4915" s="2" t="s">
        <v>11035</v>
      </c>
      <c r="Q4915" s="2">
        <f>AVERAGE(PerfRate[[#This Row],[EnvironmentSatisfaction]],PerfRate[[#This Row],[JobSatisfaction]],PerfRate[[#This Row],[RelationshipSatisfaction]])</f>
        <v>2.6666666666666665</v>
      </c>
      <c r="R4915" s="2">
        <f>PerfRate[[#This Row],[ManagerRating]] - PerfRate[[#This Row],[SelfRating]]</f>
        <v>0</v>
      </c>
    </row>
    <row r="4916" spans="1:18">
      <c r="A4916" s="2" t="s">
        <v>9223</v>
      </c>
      <c r="B4916" s="2" t="s">
        <v>574</v>
      </c>
      <c r="C4916" s="1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  <c r="L4916" s="2" t="s">
        <v>11029</v>
      </c>
      <c r="M4916" s="2" t="s">
        <v>11028</v>
      </c>
      <c r="N4916" s="2" t="s">
        <v>11037</v>
      </c>
      <c r="O4916" s="2" t="s">
        <v>11038</v>
      </c>
      <c r="P4916" s="2" t="s">
        <v>11037</v>
      </c>
      <c r="Q4916" s="2">
        <f>AVERAGE(PerfRate[[#This Row],[EnvironmentSatisfaction]],PerfRate[[#This Row],[JobSatisfaction]],PerfRate[[#This Row],[RelationshipSatisfaction]])</f>
        <v>4.333333333333333</v>
      </c>
      <c r="R4916" s="2">
        <f>PerfRate[[#This Row],[ManagerRating]] - PerfRate[[#This Row],[SelfRating]]</f>
        <v>-1</v>
      </c>
    </row>
    <row r="4917" spans="1:18">
      <c r="A4917" s="2" t="s">
        <v>9224</v>
      </c>
      <c r="B4917" s="2" t="s">
        <v>2048</v>
      </c>
      <c r="C4917" s="1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  <c r="L4917" s="2" t="s">
        <v>11031</v>
      </c>
      <c r="M4917" s="2" t="s">
        <v>11031</v>
      </c>
      <c r="N4917" s="2" t="s">
        <v>11037</v>
      </c>
      <c r="O4917" s="2" t="s">
        <v>11037</v>
      </c>
      <c r="P4917" s="2" t="s">
        <v>11037</v>
      </c>
      <c r="Q4917" s="2">
        <f>AVERAGE(PerfRate[[#This Row],[EnvironmentSatisfaction]],PerfRate[[#This Row],[JobSatisfaction]],PerfRate[[#This Row],[RelationshipSatisfaction]])</f>
        <v>4</v>
      </c>
      <c r="R4917" s="2">
        <f>PerfRate[[#This Row],[ManagerRating]] - PerfRate[[#This Row],[SelfRating]]</f>
        <v>0</v>
      </c>
    </row>
    <row r="4918" spans="1:18">
      <c r="A4918" s="2" t="s">
        <v>9225</v>
      </c>
      <c r="B4918" s="2" t="s">
        <v>341</v>
      </c>
      <c r="C4918" s="1">
        <v>42097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  <c r="L4918" s="2" t="s">
        <v>11031</v>
      </c>
      <c r="M4918" s="2" t="s">
        <v>11031</v>
      </c>
      <c r="N4918" s="2" t="s">
        <v>11038</v>
      </c>
      <c r="O4918" s="2" t="s">
        <v>11035</v>
      </c>
      <c r="P4918" s="2" t="s">
        <v>11037</v>
      </c>
      <c r="Q4918" s="2">
        <f>AVERAGE(PerfRate[[#This Row],[EnvironmentSatisfaction]],PerfRate[[#This Row],[JobSatisfaction]],PerfRate[[#This Row],[RelationshipSatisfaction]])</f>
        <v>3.6666666666666665</v>
      </c>
      <c r="R4918" s="2">
        <f>PerfRate[[#This Row],[ManagerRating]] - PerfRate[[#This Row],[SelfRating]]</f>
        <v>0</v>
      </c>
    </row>
    <row r="4919" spans="1:18">
      <c r="A4919" s="2" t="s">
        <v>9226</v>
      </c>
      <c r="B4919" s="2" t="s">
        <v>2321</v>
      </c>
      <c r="C4919" s="1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  <c r="L4919" s="2" t="s">
        <v>11031</v>
      </c>
      <c r="M4919" s="2" t="s">
        <v>11030</v>
      </c>
      <c r="N4919" s="2" t="s">
        <v>11038</v>
      </c>
      <c r="O4919" s="2" t="s">
        <v>11035</v>
      </c>
      <c r="P4919" s="2" t="s">
        <v>11036</v>
      </c>
      <c r="Q4919" s="2">
        <f>AVERAGE(PerfRate[[#This Row],[EnvironmentSatisfaction]],PerfRate[[#This Row],[JobSatisfaction]],PerfRate[[#This Row],[RelationshipSatisfaction]])</f>
        <v>3.3333333333333335</v>
      </c>
      <c r="R4919" s="2">
        <f>PerfRate[[#This Row],[ManagerRating]] - PerfRate[[#This Row],[SelfRating]]</f>
        <v>-1</v>
      </c>
    </row>
    <row r="4920" spans="1:18">
      <c r="A4920" s="2" t="s">
        <v>9227</v>
      </c>
      <c r="B4920" s="2" t="s">
        <v>875</v>
      </c>
      <c r="C4920" s="1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  <c r="L4920" s="2" t="s">
        <v>11030</v>
      </c>
      <c r="M4920" s="2" t="s">
        <v>11029</v>
      </c>
      <c r="N4920" s="2" t="s">
        <v>11036</v>
      </c>
      <c r="O4920" s="2" t="s">
        <v>11038</v>
      </c>
      <c r="P4920" s="2" t="s">
        <v>11035</v>
      </c>
      <c r="Q4920" s="2">
        <f>AVERAGE(PerfRate[[#This Row],[EnvironmentSatisfaction]],PerfRate[[#This Row],[JobSatisfaction]],PerfRate[[#This Row],[RelationshipSatisfaction]])</f>
        <v>3.3333333333333335</v>
      </c>
      <c r="R4920" s="2">
        <f>PerfRate[[#This Row],[ManagerRating]] - PerfRate[[#This Row],[SelfRating]]</f>
        <v>-1</v>
      </c>
    </row>
    <row r="4921" spans="1:18">
      <c r="A4921" s="2" t="s">
        <v>9228</v>
      </c>
      <c r="B4921" s="2" t="s">
        <v>2315</v>
      </c>
      <c r="C4921" s="1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  <c r="L4921" s="2" t="s">
        <v>11030</v>
      </c>
      <c r="M4921" s="2" t="s">
        <v>11030</v>
      </c>
      <c r="N4921" s="2" t="s">
        <v>11036</v>
      </c>
      <c r="O4921" s="2" t="s">
        <v>11038</v>
      </c>
      <c r="P4921" s="2" t="s">
        <v>11035</v>
      </c>
      <c r="Q4921" s="2">
        <f>AVERAGE(PerfRate[[#This Row],[EnvironmentSatisfaction]],PerfRate[[#This Row],[JobSatisfaction]],PerfRate[[#This Row],[RelationshipSatisfaction]])</f>
        <v>3.3333333333333335</v>
      </c>
      <c r="R4921" s="2">
        <f>PerfRate[[#This Row],[ManagerRating]] - PerfRate[[#This Row],[SelfRating]]</f>
        <v>0</v>
      </c>
    </row>
    <row r="4922" spans="1:18">
      <c r="A4922" s="2" t="s">
        <v>9229</v>
      </c>
      <c r="B4922" s="2" t="s">
        <v>389</v>
      </c>
      <c r="C4922" s="1">
        <v>44207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  <c r="L4922" s="2" t="s">
        <v>11029</v>
      </c>
      <c r="M4922" s="2" t="s">
        <v>11029</v>
      </c>
      <c r="N4922" s="2" t="s">
        <v>11038</v>
      </c>
      <c r="O4922" s="2" t="s">
        <v>11038</v>
      </c>
      <c r="P4922" s="2" t="s">
        <v>11037</v>
      </c>
      <c r="Q4922" s="2">
        <f>AVERAGE(PerfRate[[#This Row],[EnvironmentSatisfaction]],PerfRate[[#This Row],[JobSatisfaction]],PerfRate[[#This Row],[RelationshipSatisfaction]])</f>
        <v>4.666666666666667</v>
      </c>
      <c r="R4922" s="2">
        <f>PerfRate[[#This Row],[ManagerRating]] - PerfRate[[#This Row],[SelfRating]]</f>
        <v>0</v>
      </c>
    </row>
    <row r="4923" spans="1:18">
      <c r="A4923" s="2" t="s">
        <v>9230</v>
      </c>
      <c r="B4923" s="2" t="s">
        <v>1207</v>
      </c>
      <c r="C4923" s="1">
        <v>44207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  <c r="L4923" s="2" t="s">
        <v>11030</v>
      </c>
      <c r="M4923" s="2" t="s">
        <v>11030</v>
      </c>
      <c r="N4923" s="2" t="s">
        <v>11037</v>
      </c>
      <c r="O4923" s="2" t="s">
        <v>11037</v>
      </c>
      <c r="P4923" s="2" t="s">
        <v>11037</v>
      </c>
      <c r="Q4923" s="2">
        <f>AVERAGE(PerfRate[[#This Row],[EnvironmentSatisfaction]],PerfRate[[#This Row],[JobSatisfaction]],PerfRate[[#This Row],[RelationshipSatisfaction]])</f>
        <v>4</v>
      </c>
      <c r="R4923" s="2">
        <f>PerfRate[[#This Row],[ManagerRating]] - PerfRate[[#This Row],[SelfRating]]</f>
        <v>0</v>
      </c>
    </row>
    <row r="4924" spans="1:18">
      <c r="A4924" s="2" t="s">
        <v>9231</v>
      </c>
      <c r="B4924" s="2" t="s">
        <v>3552</v>
      </c>
      <c r="C4924" s="1">
        <v>44238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  <c r="L4924" s="2" t="s">
        <v>11030</v>
      </c>
      <c r="M4924" s="2" t="s">
        <v>11029</v>
      </c>
      <c r="N4924" s="2" t="s">
        <v>11037</v>
      </c>
      <c r="O4924" s="2" t="s">
        <v>11037</v>
      </c>
      <c r="P4924" s="2" t="s">
        <v>11036</v>
      </c>
      <c r="Q4924" s="2">
        <f>AVERAGE(PerfRate[[#This Row],[EnvironmentSatisfaction]],PerfRate[[#This Row],[JobSatisfaction]],PerfRate[[#This Row],[RelationshipSatisfaction]])</f>
        <v>3.6666666666666665</v>
      </c>
      <c r="R4924" s="2">
        <f>PerfRate[[#This Row],[ManagerRating]] - PerfRate[[#This Row],[SelfRating]]</f>
        <v>-1</v>
      </c>
    </row>
    <row r="4925" spans="1:18">
      <c r="A4925" s="2" t="s">
        <v>9232</v>
      </c>
      <c r="B4925" s="2" t="s">
        <v>1426</v>
      </c>
      <c r="C4925" s="1">
        <v>44238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  <c r="L4925" s="2" t="s">
        <v>11029</v>
      </c>
      <c r="M4925" s="2" t="s">
        <v>11028</v>
      </c>
      <c r="N4925" s="2" t="s">
        <v>11038</v>
      </c>
      <c r="O4925" s="2" t="s">
        <v>11037</v>
      </c>
      <c r="P4925" s="2" t="s">
        <v>11038</v>
      </c>
      <c r="Q4925" s="2">
        <f>AVERAGE(PerfRate[[#This Row],[EnvironmentSatisfaction]],PerfRate[[#This Row],[JobSatisfaction]],PerfRate[[#This Row],[RelationshipSatisfaction]])</f>
        <v>4.666666666666667</v>
      </c>
      <c r="R4925" s="2">
        <f>PerfRate[[#This Row],[ManagerRating]] - PerfRate[[#This Row],[SelfRating]]</f>
        <v>-1</v>
      </c>
    </row>
    <row r="4926" spans="1:18">
      <c r="A4926" s="2" t="s">
        <v>9233</v>
      </c>
      <c r="B4926" s="2" t="s">
        <v>681</v>
      </c>
      <c r="C4926" s="1">
        <v>44266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  <c r="L4926" s="2" t="s">
        <v>11030</v>
      </c>
      <c r="M4926" s="2" t="s">
        <v>11030</v>
      </c>
      <c r="N4926" s="2" t="s">
        <v>11037</v>
      </c>
      <c r="O4926" s="2" t="s">
        <v>11036</v>
      </c>
      <c r="P4926" s="2" t="s">
        <v>11038</v>
      </c>
      <c r="Q4926" s="2">
        <f>AVERAGE(PerfRate[[#This Row],[EnvironmentSatisfaction]],PerfRate[[#This Row],[JobSatisfaction]],PerfRate[[#This Row],[RelationshipSatisfaction]])</f>
        <v>4</v>
      </c>
      <c r="R4926" s="2">
        <f>PerfRate[[#This Row],[ManagerRating]] - PerfRate[[#This Row],[SelfRating]]</f>
        <v>0</v>
      </c>
    </row>
    <row r="4927" spans="1:18">
      <c r="A4927" s="2" t="s">
        <v>9234</v>
      </c>
      <c r="B4927" s="2" t="s">
        <v>2835</v>
      </c>
      <c r="C4927" s="1">
        <v>44266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  <c r="L4927" s="2" t="s">
        <v>11030</v>
      </c>
      <c r="M4927" s="2" t="s">
        <v>11029</v>
      </c>
      <c r="N4927" s="2" t="s">
        <v>11036</v>
      </c>
      <c r="O4927" s="2" t="s">
        <v>11037</v>
      </c>
      <c r="P4927" s="2" t="s">
        <v>11038</v>
      </c>
      <c r="Q4927" s="2">
        <f>AVERAGE(PerfRate[[#This Row],[EnvironmentSatisfaction]],PerfRate[[#This Row],[JobSatisfaction]],PerfRate[[#This Row],[RelationshipSatisfaction]])</f>
        <v>4</v>
      </c>
      <c r="R4927" s="2">
        <f>PerfRate[[#This Row],[ManagerRating]] - PerfRate[[#This Row],[SelfRating]]</f>
        <v>-1</v>
      </c>
    </row>
    <row r="4928" spans="1:18">
      <c r="A4928" s="2" t="s">
        <v>9235</v>
      </c>
      <c r="B4928" s="2" t="s">
        <v>3082</v>
      </c>
      <c r="C4928" s="1">
        <v>44266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  <c r="L4928" s="2" t="s">
        <v>11029</v>
      </c>
      <c r="M4928" s="2" t="s">
        <v>11029</v>
      </c>
      <c r="N4928" s="2" t="s">
        <v>11036</v>
      </c>
      <c r="O4928" s="2" t="s">
        <v>11035</v>
      </c>
      <c r="P4928" s="2" t="s">
        <v>11035</v>
      </c>
      <c r="Q4928" s="2">
        <f>AVERAGE(PerfRate[[#This Row],[EnvironmentSatisfaction]],PerfRate[[#This Row],[JobSatisfaction]],PerfRate[[#This Row],[RelationshipSatisfaction]])</f>
        <v>2.3333333333333335</v>
      </c>
      <c r="R4928" s="2">
        <f>PerfRate[[#This Row],[ManagerRating]] - PerfRate[[#This Row],[SelfRating]]</f>
        <v>0</v>
      </c>
    </row>
    <row r="4929" spans="1:18">
      <c r="A4929" s="2" t="s">
        <v>9236</v>
      </c>
      <c r="B4929" s="2" t="s">
        <v>3457</v>
      </c>
      <c r="C4929" s="1">
        <v>42127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  <c r="L4929" s="2" t="s">
        <v>11030</v>
      </c>
      <c r="M4929" s="2" t="s">
        <v>11029</v>
      </c>
      <c r="N4929" s="2" t="s">
        <v>11038</v>
      </c>
      <c r="O4929" s="2" t="s">
        <v>11035</v>
      </c>
      <c r="P4929" s="2" t="s">
        <v>11037</v>
      </c>
      <c r="Q4929" s="2">
        <f>AVERAGE(PerfRate[[#This Row],[EnvironmentSatisfaction]],PerfRate[[#This Row],[JobSatisfaction]],PerfRate[[#This Row],[RelationshipSatisfaction]])</f>
        <v>3.6666666666666665</v>
      </c>
      <c r="R4929" s="2">
        <f>PerfRate[[#This Row],[ManagerRating]] - PerfRate[[#This Row],[SelfRating]]</f>
        <v>-1</v>
      </c>
    </row>
    <row r="4930" spans="1:18">
      <c r="A4930" s="2" t="s">
        <v>9237</v>
      </c>
      <c r="B4930" s="2" t="s">
        <v>3305</v>
      </c>
      <c r="C4930" s="1">
        <v>44297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  <c r="L4930" s="2" t="s">
        <v>11029</v>
      </c>
      <c r="M4930" s="2" t="s">
        <v>11029</v>
      </c>
      <c r="N4930" s="2" t="s">
        <v>11037</v>
      </c>
      <c r="O4930" s="2" t="s">
        <v>11036</v>
      </c>
      <c r="P4930" s="2" t="s">
        <v>11035</v>
      </c>
      <c r="Q4930" s="2">
        <f>AVERAGE(PerfRate[[#This Row],[EnvironmentSatisfaction]],PerfRate[[#This Row],[JobSatisfaction]],PerfRate[[#This Row],[RelationshipSatisfaction]])</f>
        <v>3</v>
      </c>
      <c r="R4930" s="2">
        <f>PerfRate[[#This Row],[ManagerRating]] - PerfRate[[#This Row],[SelfRating]]</f>
        <v>0</v>
      </c>
    </row>
    <row r="4931" spans="1:18">
      <c r="A4931" s="2" t="s">
        <v>9238</v>
      </c>
      <c r="B4931" s="2" t="s">
        <v>1087</v>
      </c>
      <c r="C4931" s="1">
        <v>44297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  <c r="L4931" s="2" t="s">
        <v>11030</v>
      </c>
      <c r="M4931" s="2" t="s">
        <v>11030</v>
      </c>
      <c r="N4931" s="2" t="s">
        <v>11038</v>
      </c>
      <c r="O4931" s="2" t="s">
        <v>11035</v>
      </c>
      <c r="P4931" s="2" t="s">
        <v>11036</v>
      </c>
      <c r="Q4931" s="2">
        <f>AVERAGE(PerfRate[[#This Row],[EnvironmentSatisfaction]],PerfRate[[#This Row],[JobSatisfaction]],PerfRate[[#This Row],[RelationshipSatisfaction]])</f>
        <v>3.3333333333333335</v>
      </c>
      <c r="R4931" s="2">
        <f>PerfRate[[#This Row],[ManagerRating]] - PerfRate[[#This Row],[SelfRating]]</f>
        <v>0</v>
      </c>
    </row>
    <row r="4932" spans="1:18">
      <c r="A4932" s="2" t="s">
        <v>9239</v>
      </c>
      <c r="B4932" s="2" t="s">
        <v>2955</v>
      </c>
      <c r="C4932" s="1">
        <v>44297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  <c r="L4932" s="2" t="s">
        <v>11031</v>
      </c>
      <c r="M4932" s="2" t="s">
        <v>11030</v>
      </c>
      <c r="N4932" s="2" t="s">
        <v>11036</v>
      </c>
      <c r="O4932" s="2" t="s">
        <v>11035</v>
      </c>
      <c r="P4932" s="2" t="s">
        <v>11037</v>
      </c>
      <c r="Q4932" s="2">
        <f>AVERAGE(PerfRate[[#This Row],[EnvironmentSatisfaction]],PerfRate[[#This Row],[JobSatisfaction]],PerfRate[[#This Row],[RelationshipSatisfaction]])</f>
        <v>3</v>
      </c>
      <c r="R4932" s="2">
        <f>PerfRate[[#This Row],[ManagerRating]] - PerfRate[[#This Row],[SelfRating]]</f>
        <v>-1</v>
      </c>
    </row>
    <row r="4933" spans="1:18">
      <c r="A4933" s="2" t="s">
        <v>9240</v>
      </c>
      <c r="B4933" s="2" t="s">
        <v>2736</v>
      </c>
      <c r="C4933" s="1">
        <v>44297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  <c r="L4933" s="2" t="s">
        <v>11029</v>
      </c>
      <c r="M4933" s="2" t="s">
        <v>11028</v>
      </c>
      <c r="N4933" s="2" t="s">
        <v>11036</v>
      </c>
      <c r="O4933" s="2" t="s">
        <v>11037</v>
      </c>
      <c r="P4933" s="2" t="s">
        <v>11035</v>
      </c>
      <c r="Q4933" s="2">
        <f>AVERAGE(PerfRate[[#This Row],[EnvironmentSatisfaction]],PerfRate[[#This Row],[JobSatisfaction]],PerfRate[[#This Row],[RelationshipSatisfaction]])</f>
        <v>3</v>
      </c>
      <c r="R4933" s="2">
        <f>PerfRate[[#This Row],[ManagerRating]] - PerfRate[[#This Row],[SelfRating]]</f>
        <v>-1</v>
      </c>
    </row>
    <row r="4934" spans="1:18">
      <c r="A4934" s="2" t="s">
        <v>9241</v>
      </c>
      <c r="B4934" s="2" t="s">
        <v>661</v>
      </c>
      <c r="C4934" s="1">
        <v>44327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  <c r="L4934" s="2" t="s">
        <v>11029</v>
      </c>
      <c r="M4934" s="2" t="s">
        <v>11029</v>
      </c>
      <c r="N4934" s="2" t="s">
        <v>11038</v>
      </c>
      <c r="O4934" s="2" t="s">
        <v>11038</v>
      </c>
      <c r="P4934" s="2" t="s">
        <v>11035</v>
      </c>
      <c r="Q4934" s="2">
        <f>AVERAGE(PerfRate[[#This Row],[EnvironmentSatisfaction]],PerfRate[[#This Row],[JobSatisfaction]],PerfRate[[#This Row],[RelationshipSatisfaction]])</f>
        <v>4</v>
      </c>
      <c r="R4934" s="2">
        <f>PerfRate[[#This Row],[ManagerRating]] - PerfRate[[#This Row],[SelfRating]]</f>
        <v>0</v>
      </c>
    </row>
    <row r="4935" spans="1:18">
      <c r="A4935" s="2" t="s">
        <v>9242</v>
      </c>
      <c r="B4935" s="2" t="s">
        <v>895</v>
      </c>
      <c r="C4935" s="1">
        <v>44327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  <c r="L4935" s="2" t="s">
        <v>11030</v>
      </c>
      <c r="M4935" s="2" t="s">
        <v>11029</v>
      </c>
      <c r="N4935" s="2" t="s">
        <v>11038</v>
      </c>
      <c r="O4935" s="2" t="s">
        <v>11038</v>
      </c>
      <c r="P4935" s="2" t="s">
        <v>11037</v>
      </c>
      <c r="Q4935" s="2">
        <f>AVERAGE(PerfRate[[#This Row],[EnvironmentSatisfaction]],PerfRate[[#This Row],[JobSatisfaction]],PerfRate[[#This Row],[RelationshipSatisfaction]])</f>
        <v>4.666666666666667</v>
      </c>
      <c r="R4935" s="2">
        <f>PerfRate[[#This Row],[ManagerRating]] - PerfRate[[#This Row],[SelfRating]]</f>
        <v>-1</v>
      </c>
    </row>
    <row r="4936" spans="1:18">
      <c r="A4936" s="2" t="s">
        <v>9243</v>
      </c>
      <c r="B4936" s="2" t="s">
        <v>526</v>
      </c>
      <c r="C4936" s="1">
        <v>44327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  <c r="L4936" s="2" t="s">
        <v>11029</v>
      </c>
      <c r="M4936" s="2" t="s">
        <v>11028</v>
      </c>
      <c r="N4936" s="2" t="s">
        <v>11036</v>
      </c>
      <c r="O4936" s="2" t="s">
        <v>11037</v>
      </c>
      <c r="P4936" s="2" t="s">
        <v>11036</v>
      </c>
      <c r="Q4936" s="2">
        <f>AVERAGE(PerfRate[[#This Row],[EnvironmentSatisfaction]],PerfRate[[#This Row],[JobSatisfaction]],PerfRate[[#This Row],[RelationshipSatisfaction]])</f>
        <v>3.3333333333333335</v>
      </c>
      <c r="R4936" s="2">
        <f>PerfRate[[#This Row],[ManagerRating]] - PerfRate[[#This Row],[SelfRating]]</f>
        <v>-1</v>
      </c>
    </row>
    <row r="4937" spans="1:18">
      <c r="A4937" s="2" t="s">
        <v>9244</v>
      </c>
      <c r="B4937" s="2" t="s">
        <v>1121</v>
      </c>
      <c r="C4937" s="1">
        <v>44327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  <c r="L4937" s="2" t="s">
        <v>11030</v>
      </c>
      <c r="M4937" s="2" t="s">
        <v>11029</v>
      </c>
      <c r="N4937" s="2" t="s">
        <v>11037</v>
      </c>
      <c r="O4937" s="2" t="s">
        <v>11038</v>
      </c>
      <c r="P4937" s="2" t="s">
        <v>11036</v>
      </c>
      <c r="Q4937" s="2">
        <f>AVERAGE(PerfRate[[#This Row],[EnvironmentSatisfaction]],PerfRate[[#This Row],[JobSatisfaction]],PerfRate[[#This Row],[RelationshipSatisfaction]])</f>
        <v>4</v>
      </c>
      <c r="R4937" s="2">
        <f>PerfRate[[#This Row],[ManagerRating]] - PerfRate[[#This Row],[SelfRating]]</f>
        <v>-1</v>
      </c>
    </row>
    <row r="4938" spans="1:18">
      <c r="A4938" s="2" t="s">
        <v>9245</v>
      </c>
      <c r="B4938" s="2" t="s">
        <v>2409</v>
      </c>
      <c r="C4938" s="1">
        <v>44327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  <c r="L4938" s="2" t="s">
        <v>11030</v>
      </c>
      <c r="M4938" s="2" t="s">
        <v>11030</v>
      </c>
      <c r="N4938" s="2" t="s">
        <v>11037</v>
      </c>
      <c r="O4938" s="2" t="s">
        <v>11038</v>
      </c>
      <c r="P4938" s="2" t="s">
        <v>11037</v>
      </c>
      <c r="Q4938" s="2">
        <f>AVERAGE(PerfRate[[#This Row],[EnvironmentSatisfaction]],PerfRate[[#This Row],[JobSatisfaction]],PerfRate[[#This Row],[RelationshipSatisfaction]])</f>
        <v>4.333333333333333</v>
      </c>
      <c r="R4938" s="2">
        <f>PerfRate[[#This Row],[ManagerRating]] - PerfRate[[#This Row],[SelfRating]]</f>
        <v>0</v>
      </c>
    </row>
    <row r="4939" spans="1:18">
      <c r="A4939" s="2" t="s">
        <v>9246</v>
      </c>
      <c r="B4939" s="2" t="s">
        <v>3442</v>
      </c>
      <c r="C4939" s="1">
        <v>44358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  <c r="L4939" s="2" t="s">
        <v>11030</v>
      </c>
      <c r="M4939" s="2" t="s">
        <v>11029</v>
      </c>
      <c r="N4939" s="2" t="s">
        <v>11037</v>
      </c>
      <c r="O4939" s="2" t="s">
        <v>11035</v>
      </c>
      <c r="P4939" s="2" t="s">
        <v>11037</v>
      </c>
      <c r="Q4939" s="2">
        <f>AVERAGE(PerfRate[[#This Row],[EnvironmentSatisfaction]],PerfRate[[#This Row],[JobSatisfaction]],PerfRate[[#This Row],[RelationshipSatisfaction]])</f>
        <v>3.3333333333333335</v>
      </c>
      <c r="R4939" s="2">
        <f>PerfRate[[#This Row],[ManagerRating]] - PerfRate[[#This Row],[SelfRating]]</f>
        <v>-1</v>
      </c>
    </row>
    <row r="4940" spans="1:18">
      <c r="A4940" s="2" t="s">
        <v>9247</v>
      </c>
      <c r="B4940" s="2" t="s">
        <v>580</v>
      </c>
      <c r="C4940" s="1">
        <v>42158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  <c r="L4940" s="2" t="s">
        <v>11029</v>
      </c>
      <c r="M4940" s="2" t="s">
        <v>11029</v>
      </c>
      <c r="N4940" s="2" t="s">
        <v>11036</v>
      </c>
      <c r="O4940" s="2" t="s">
        <v>11038</v>
      </c>
      <c r="P4940" s="2" t="s">
        <v>11036</v>
      </c>
      <c r="Q4940" s="2">
        <f>AVERAGE(PerfRate[[#This Row],[EnvironmentSatisfaction]],PerfRate[[#This Row],[JobSatisfaction]],PerfRate[[#This Row],[RelationshipSatisfaction]])</f>
        <v>3.6666666666666665</v>
      </c>
      <c r="R4940" s="2">
        <f>PerfRate[[#This Row],[ManagerRating]] - PerfRate[[#This Row],[SelfRating]]</f>
        <v>0</v>
      </c>
    </row>
    <row r="4941" spans="1:18">
      <c r="A4941" s="2" t="s">
        <v>9248</v>
      </c>
      <c r="B4941" s="2" t="s">
        <v>667</v>
      </c>
      <c r="C4941" s="1">
        <v>44358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  <c r="L4941" s="2" t="s">
        <v>11031</v>
      </c>
      <c r="M4941" s="2" t="s">
        <v>11030</v>
      </c>
      <c r="N4941" s="2" t="s">
        <v>11036</v>
      </c>
      <c r="O4941" s="2" t="s">
        <v>11037</v>
      </c>
      <c r="P4941" s="2" t="s">
        <v>11035</v>
      </c>
      <c r="Q4941" s="2">
        <f>AVERAGE(PerfRate[[#This Row],[EnvironmentSatisfaction]],PerfRate[[#This Row],[JobSatisfaction]],PerfRate[[#This Row],[RelationshipSatisfaction]])</f>
        <v>3</v>
      </c>
      <c r="R4941" s="2">
        <f>PerfRate[[#This Row],[ManagerRating]] - PerfRate[[#This Row],[SelfRating]]</f>
        <v>-1</v>
      </c>
    </row>
    <row r="4942" spans="1:18">
      <c r="A4942" s="2" t="s">
        <v>9249</v>
      </c>
      <c r="B4942" s="2" t="s">
        <v>1689</v>
      </c>
      <c r="C4942" s="1">
        <v>44358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  <c r="L4942" s="2" t="s">
        <v>11030</v>
      </c>
      <c r="M4942" s="2" t="s">
        <v>11030</v>
      </c>
      <c r="N4942" s="2" t="s">
        <v>11037</v>
      </c>
      <c r="O4942" s="2" t="s">
        <v>11038</v>
      </c>
      <c r="P4942" s="2" t="s">
        <v>11035</v>
      </c>
      <c r="Q4942" s="2">
        <f>AVERAGE(PerfRate[[#This Row],[EnvironmentSatisfaction]],PerfRate[[#This Row],[JobSatisfaction]],PerfRate[[#This Row],[RelationshipSatisfaction]])</f>
        <v>3.6666666666666665</v>
      </c>
      <c r="R4942" s="2">
        <f>PerfRate[[#This Row],[ManagerRating]] - PerfRate[[#This Row],[SelfRating]]</f>
        <v>0</v>
      </c>
    </row>
    <row r="4943" spans="1:18">
      <c r="A4943" s="2" t="s">
        <v>9250</v>
      </c>
      <c r="B4943" s="2" t="s">
        <v>3631</v>
      </c>
      <c r="C4943" s="1">
        <v>44388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  <c r="L4943" s="2" t="s">
        <v>11031</v>
      </c>
      <c r="M4943" s="2" t="s">
        <v>11031</v>
      </c>
      <c r="N4943" s="2" t="s">
        <v>11037</v>
      </c>
      <c r="O4943" s="2" t="s">
        <v>11038</v>
      </c>
      <c r="P4943" s="2" t="s">
        <v>11035</v>
      </c>
      <c r="Q4943" s="2">
        <f>AVERAGE(PerfRate[[#This Row],[EnvironmentSatisfaction]],PerfRate[[#This Row],[JobSatisfaction]],PerfRate[[#This Row],[RelationshipSatisfaction]])</f>
        <v>3.6666666666666665</v>
      </c>
      <c r="R4943" s="2">
        <f>PerfRate[[#This Row],[ManagerRating]] - PerfRate[[#This Row],[SelfRating]]</f>
        <v>0</v>
      </c>
    </row>
    <row r="4944" spans="1:18">
      <c r="A4944" s="2" t="s">
        <v>9251</v>
      </c>
      <c r="B4944" s="2" t="s">
        <v>1133</v>
      </c>
      <c r="C4944" s="1">
        <v>44388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  <c r="L4944" s="2" t="s">
        <v>11031</v>
      </c>
      <c r="M4944" s="2" t="s">
        <v>11030</v>
      </c>
      <c r="N4944" s="2" t="s">
        <v>11038</v>
      </c>
      <c r="O4944" s="2" t="s">
        <v>11038</v>
      </c>
      <c r="P4944" s="2" t="s">
        <v>11038</v>
      </c>
      <c r="Q4944" s="2">
        <f>AVERAGE(PerfRate[[#This Row],[EnvironmentSatisfaction]],PerfRate[[#This Row],[JobSatisfaction]],PerfRate[[#This Row],[RelationshipSatisfaction]])</f>
        <v>5</v>
      </c>
      <c r="R4944" s="2">
        <f>PerfRate[[#This Row],[ManagerRating]] - PerfRate[[#This Row],[SelfRating]]</f>
        <v>-1</v>
      </c>
    </row>
    <row r="4945" spans="1:18">
      <c r="A4945" s="2" t="s">
        <v>9252</v>
      </c>
      <c r="B4945" s="2" t="s">
        <v>2602</v>
      </c>
      <c r="C4945" s="1">
        <v>44388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  <c r="L4945" s="2" t="s">
        <v>11031</v>
      </c>
      <c r="M4945" s="2" t="s">
        <v>11031</v>
      </c>
      <c r="N4945" s="2" t="s">
        <v>11038</v>
      </c>
      <c r="O4945" s="2" t="s">
        <v>11035</v>
      </c>
      <c r="P4945" s="2" t="s">
        <v>11036</v>
      </c>
      <c r="Q4945" s="2">
        <f>AVERAGE(PerfRate[[#This Row],[EnvironmentSatisfaction]],PerfRate[[#This Row],[JobSatisfaction]],PerfRate[[#This Row],[RelationshipSatisfaction]])</f>
        <v>3.3333333333333335</v>
      </c>
      <c r="R4945" s="2">
        <f>PerfRate[[#This Row],[ManagerRating]] - PerfRate[[#This Row],[SelfRating]]</f>
        <v>0</v>
      </c>
    </row>
    <row r="4946" spans="1:18">
      <c r="A4946" s="2" t="s">
        <v>9253</v>
      </c>
      <c r="B4946" s="2" t="s">
        <v>144</v>
      </c>
      <c r="C4946" s="1">
        <v>44419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  <c r="L4946" s="2" t="s">
        <v>11031</v>
      </c>
      <c r="M4946" s="2" t="s">
        <v>11030</v>
      </c>
      <c r="N4946" s="2" t="s">
        <v>11037</v>
      </c>
      <c r="O4946" s="2" t="s">
        <v>11036</v>
      </c>
      <c r="P4946" s="2" t="s">
        <v>11036</v>
      </c>
      <c r="Q4946" s="2">
        <f>AVERAGE(PerfRate[[#This Row],[EnvironmentSatisfaction]],PerfRate[[#This Row],[JobSatisfaction]],PerfRate[[#This Row],[RelationshipSatisfaction]])</f>
        <v>3.3333333333333335</v>
      </c>
      <c r="R4946" s="2">
        <f>PerfRate[[#This Row],[ManagerRating]] - PerfRate[[#This Row],[SelfRating]]</f>
        <v>-1</v>
      </c>
    </row>
    <row r="4947" spans="1:18">
      <c r="A4947" s="2" t="s">
        <v>9254</v>
      </c>
      <c r="B4947" s="2" t="s">
        <v>785</v>
      </c>
      <c r="C4947" s="1">
        <v>44419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  <c r="L4947" s="2" t="s">
        <v>11031</v>
      </c>
      <c r="M4947" s="2" t="s">
        <v>11031</v>
      </c>
      <c r="N4947" s="2" t="s">
        <v>11034</v>
      </c>
      <c r="O4947" s="2" t="s">
        <v>11036</v>
      </c>
      <c r="P4947" s="2" t="s">
        <v>11034</v>
      </c>
      <c r="Q4947" s="2">
        <f>AVERAGE(PerfRate[[#This Row],[EnvironmentSatisfaction]],PerfRate[[#This Row],[JobSatisfaction]],PerfRate[[#This Row],[RelationshipSatisfaction]])</f>
        <v>1.6666666666666667</v>
      </c>
      <c r="R4947" s="2">
        <f>PerfRate[[#This Row],[ManagerRating]] - PerfRate[[#This Row],[SelfRating]]</f>
        <v>0</v>
      </c>
    </row>
    <row r="4948" spans="1:18">
      <c r="A4948" s="2" t="s">
        <v>9255</v>
      </c>
      <c r="B4948" s="2" t="s">
        <v>1114</v>
      </c>
      <c r="C4948" s="1">
        <v>44419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  <c r="L4948" s="2" t="s">
        <v>11031</v>
      </c>
      <c r="M4948" s="2" t="s">
        <v>11030</v>
      </c>
      <c r="N4948" s="2" t="s">
        <v>11034</v>
      </c>
      <c r="O4948" s="2" t="s">
        <v>11036</v>
      </c>
      <c r="P4948" s="2" t="s">
        <v>11037</v>
      </c>
      <c r="Q4948" s="2">
        <f>AVERAGE(PerfRate[[#This Row],[EnvironmentSatisfaction]],PerfRate[[#This Row],[JobSatisfaction]],PerfRate[[#This Row],[RelationshipSatisfaction]])</f>
        <v>2.6666666666666665</v>
      </c>
      <c r="R4948" s="2">
        <f>PerfRate[[#This Row],[ManagerRating]] - PerfRate[[#This Row],[SelfRating]]</f>
        <v>-1</v>
      </c>
    </row>
    <row r="4949" spans="1:18">
      <c r="A4949" s="2" t="s">
        <v>9256</v>
      </c>
      <c r="B4949" s="2" t="s">
        <v>2798</v>
      </c>
      <c r="C4949" s="1">
        <v>44419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  <c r="L4949" s="2" t="s">
        <v>11030</v>
      </c>
      <c r="M4949" s="2" t="s">
        <v>11029</v>
      </c>
      <c r="N4949" s="2" t="s">
        <v>11034</v>
      </c>
      <c r="O4949" s="2" t="s">
        <v>11035</v>
      </c>
      <c r="P4949" s="2" t="s">
        <v>11035</v>
      </c>
      <c r="Q4949" s="2">
        <f>AVERAGE(PerfRate[[#This Row],[EnvironmentSatisfaction]],PerfRate[[#This Row],[JobSatisfaction]],PerfRate[[#This Row],[RelationshipSatisfaction]])</f>
        <v>1.6666666666666667</v>
      </c>
      <c r="R4949" s="2">
        <f>PerfRate[[#This Row],[ManagerRating]] - PerfRate[[#This Row],[SelfRating]]</f>
        <v>-1</v>
      </c>
    </row>
    <row r="4950" spans="1:18">
      <c r="A4950" s="2" t="s">
        <v>9257</v>
      </c>
      <c r="B4950" s="2" t="s">
        <v>2998</v>
      </c>
      <c r="C4950" s="1">
        <v>44419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  <c r="L4950" s="2" t="s">
        <v>11030</v>
      </c>
      <c r="M4950" s="2" t="s">
        <v>11030</v>
      </c>
      <c r="N4950" s="2" t="s">
        <v>11036</v>
      </c>
      <c r="O4950" s="2" t="s">
        <v>11038</v>
      </c>
      <c r="P4950" s="2" t="s">
        <v>11037</v>
      </c>
      <c r="Q4950" s="2">
        <f>AVERAGE(PerfRate[[#This Row],[EnvironmentSatisfaction]],PerfRate[[#This Row],[JobSatisfaction]],PerfRate[[#This Row],[RelationshipSatisfaction]])</f>
        <v>4</v>
      </c>
      <c r="R4950" s="2">
        <f>PerfRate[[#This Row],[ManagerRating]] - PerfRate[[#This Row],[SelfRating]]</f>
        <v>0</v>
      </c>
    </row>
    <row r="4951" spans="1:18">
      <c r="A4951" s="2" t="s">
        <v>9258</v>
      </c>
      <c r="B4951" s="2" t="s">
        <v>1365</v>
      </c>
      <c r="C4951" s="1">
        <v>42158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  <c r="L4951" s="2" t="s">
        <v>11031</v>
      </c>
      <c r="M4951" s="2" t="s">
        <v>11030</v>
      </c>
      <c r="N4951" s="2" t="s">
        <v>11036</v>
      </c>
      <c r="O4951" s="2" t="s">
        <v>11035</v>
      </c>
      <c r="P4951" s="2" t="s">
        <v>11035</v>
      </c>
      <c r="Q4951" s="2">
        <f>AVERAGE(PerfRate[[#This Row],[EnvironmentSatisfaction]],PerfRate[[#This Row],[JobSatisfaction]],PerfRate[[#This Row],[RelationshipSatisfaction]])</f>
        <v>2.3333333333333335</v>
      </c>
      <c r="R4951" s="2">
        <f>PerfRate[[#This Row],[ManagerRating]] - PerfRate[[#This Row],[SelfRating]]</f>
        <v>-1</v>
      </c>
    </row>
    <row r="4952" spans="1:18">
      <c r="A4952" s="2" t="s">
        <v>9259</v>
      </c>
      <c r="B4952" s="2" t="s">
        <v>2700</v>
      </c>
      <c r="C4952" s="1">
        <v>44419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  <c r="L4952" s="2" t="s">
        <v>11031</v>
      </c>
      <c r="M4952" s="2" t="s">
        <v>11030</v>
      </c>
      <c r="N4952" s="2" t="s">
        <v>11038</v>
      </c>
      <c r="O4952" s="2" t="s">
        <v>11036</v>
      </c>
      <c r="P4952" s="2" t="s">
        <v>11035</v>
      </c>
      <c r="Q4952" s="2">
        <f>AVERAGE(PerfRate[[#This Row],[EnvironmentSatisfaction]],PerfRate[[#This Row],[JobSatisfaction]],PerfRate[[#This Row],[RelationshipSatisfaction]])</f>
        <v>3.3333333333333335</v>
      </c>
      <c r="R4952" s="2">
        <f>PerfRate[[#This Row],[ManagerRating]] - PerfRate[[#This Row],[SelfRating]]</f>
        <v>-1</v>
      </c>
    </row>
    <row r="4953" spans="1:18">
      <c r="A4953" s="2" t="s">
        <v>9260</v>
      </c>
      <c r="B4953" s="2" t="s">
        <v>3040</v>
      </c>
      <c r="C4953" s="1">
        <v>44419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  <c r="L4953" s="2" t="s">
        <v>11029</v>
      </c>
      <c r="M4953" s="2" t="s">
        <v>11029</v>
      </c>
      <c r="N4953" s="2" t="s">
        <v>11038</v>
      </c>
      <c r="O4953" s="2" t="s">
        <v>11038</v>
      </c>
      <c r="P4953" s="2" t="s">
        <v>11038</v>
      </c>
      <c r="Q4953" s="2">
        <f>AVERAGE(PerfRate[[#This Row],[EnvironmentSatisfaction]],PerfRate[[#This Row],[JobSatisfaction]],PerfRate[[#This Row],[RelationshipSatisfaction]])</f>
        <v>5</v>
      </c>
      <c r="R4953" s="2">
        <f>PerfRate[[#This Row],[ManagerRating]] - PerfRate[[#This Row],[SelfRating]]</f>
        <v>0</v>
      </c>
    </row>
    <row r="4954" spans="1:18">
      <c r="A4954" s="2" t="s">
        <v>9261</v>
      </c>
      <c r="B4954" s="2" t="s">
        <v>172</v>
      </c>
      <c r="C4954" s="1">
        <v>44450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  <c r="L4954" s="2" t="s">
        <v>11031</v>
      </c>
      <c r="M4954" s="2" t="s">
        <v>11031</v>
      </c>
      <c r="N4954" s="2" t="s">
        <v>11038</v>
      </c>
      <c r="O4954" s="2" t="s">
        <v>11036</v>
      </c>
      <c r="P4954" s="2" t="s">
        <v>11037</v>
      </c>
      <c r="Q4954" s="2">
        <f>AVERAGE(PerfRate[[#This Row],[EnvironmentSatisfaction]],PerfRate[[#This Row],[JobSatisfaction]],PerfRate[[#This Row],[RelationshipSatisfaction]])</f>
        <v>4</v>
      </c>
      <c r="R4954" s="2">
        <f>PerfRate[[#This Row],[ManagerRating]] - PerfRate[[#This Row],[SelfRating]]</f>
        <v>0</v>
      </c>
    </row>
    <row r="4955" spans="1:18">
      <c r="A4955" s="2" t="s">
        <v>9262</v>
      </c>
      <c r="B4955" s="2" t="s">
        <v>4227</v>
      </c>
      <c r="C4955" s="1">
        <v>44480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  <c r="L4955" s="2" t="s">
        <v>11030</v>
      </c>
      <c r="M4955" s="2" t="s">
        <v>11030</v>
      </c>
      <c r="N4955" s="2" t="s">
        <v>11038</v>
      </c>
      <c r="O4955" s="2" t="s">
        <v>11038</v>
      </c>
      <c r="P4955" s="2" t="s">
        <v>11037</v>
      </c>
      <c r="Q4955" s="2">
        <f>AVERAGE(PerfRate[[#This Row],[EnvironmentSatisfaction]],PerfRate[[#This Row],[JobSatisfaction]],PerfRate[[#This Row],[RelationshipSatisfaction]])</f>
        <v>4.666666666666667</v>
      </c>
      <c r="R4955" s="2">
        <f>PerfRate[[#This Row],[ManagerRating]] - PerfRate[[#This Row],[SelfRating]]</f>
        <v>0</v>
      </c>
    </row>
    <row r="4956" spans="1:18">
      <c r="A4956" s="2" t="s">
        <v>9263</v>
      </c>
      <c r="B4956" s="2" t="s">
        <v>3411</v>
      </c>
      <c r="C4956" s="1">
        <v>44480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  <c r="L4956" s="2" t="s">
        <v>11029</v>
      </c>
      <c r="M4956" s="2" t="s">
        <v>11029</v>
      </c>
      <c r="N4956" s="2" t="s">
        <v>11038</v>
      </c>
      <c r="O4956" s="2" t="s">
        <v>11037</v>
      </c>
      <c r="P4956" s="2" t="s">
        <v>11035</v>
      </c>
      <c r="Q4956" s="2">
        <f>AVERAGE(PerfRate[[#This Row],[EnvironmentSatisfaction]],PerfRate[[#This Row],[JobSatisfaction]],PerfRate[[#This Row],[RelationshipSatisfaction]])</f>
        <v>3.6666666666666665</v>
      </c>
      <c r="R4956" s="2">
        <f>PerfRate[[#This Row],[ManagerRating]] - PerfRate[[#This Row],[SelfRating]]</f>
        <v>0</v>
      </c>
    </row>
    <row r="4957" spans="1:18">
      <c r="A4957" s="2" t="s">
        <v>9264</v>
      </c>
      <c r="B4957" s="2" t="s">
        <v>768</v>
      </c>
      <c r="C4957" s="1">
        <v>44480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  <c r="L4957" s="2" t="s">
        <v>11031</v>
      </c>
      <c r="M4957" s="2" t="s">
        <v>11031</v>
      </c>
      <c r="N4957" s="2" t="s">
        <v>11037</v>
      </c>
      <c r="O4957" s="2" t="s">
        <v>11038</v>
      </c>
      <c r="P4957" s="2" t="s">
        <v>11035</v>
      </c>
      <c r="Q4957" s="2">
        <f>AVERAGE(PerfRate[[#This Row],[EnvironmentSatisfaction]],PerfRate[[#This Row],[JobSatisfaction]],PerfRate[[#This Row],[RelationshipSatisfaction]])</f>
        <v>3.6666666666666665</v>
      </c>
      <c r="R4957" s="2">
        <f>PerfRate[[#This Row],[ManagerRating]] - PerfRate[[#This Row],[SelfRating]]</f>
        <v>0</v>
      </c>
    </row>
    <row r="4958" spans="1:18">
      <c r="A4958" s="2" t="s">
        <v>9265</v>
      </c>
      <c r="B4958" s="2" t="s">
        <v>1051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  <c r="L4958" s="2" t="s">
        <v>11030</v>
      </c>
      <c r="M4958" s="2" t="s">
        <v>11029</v>
      </c>
      <c r="N4958" s="2" t="s">
        <v>11038</v>
      </c>
      <c r="O4958" s="2" t="s">
        <v>11036</v>
      </c>
      <c r="P4958" s="2" t="s">
        <v>11036</v>
      </c>
      <c r="Q4958" s="2">
        <f>AVERAGE(PerfRate[[#This Row],[EnvironmentSatisfaction]],PerfRate[[#This Row],[JobSatisfaction]],PerfRate[[#This Row],[RelationshipSatisfaction]])</f>
        <v>3.6666666666666665</v>
      </c>
      <c r="R4958" s="2">
        <f>PerfRate[[#This Row],[ManagerRating]] - PerfRate[[#This Row],[SelfRating]]</f>
        <v>-1</v>
      </c>
    </row>
    <row r="4959" spans="1:18">
      <c r="A4959" s="2" t="s">
        <v>9266</v>
      </c>
      <c r="B4959" s="2" t="s">
        <v>1872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  <c r="L4959" s="2" t="s">
        <v>11029</v>
      </c>
      <c r="M4959" s="2" t="s">
        <v>11028</v>
      </c>
      <c r="N4959" s="2" t="s">
        <v>11037</v>
      </c>
      <c r="O4959" s="2" t="s">
        <v>11036</v>
      </c>
      <c r="P4959" s="2" t="s">
        <v>11035</v>
      </c>
      <c r="Q4959" s="2">
        <f>AVERAGE(PerfRate[[#This Row],[EnvironmentSatisfaction]],PerfRate[[#This Row],[JobSatisfaction]],PerfRate[[#This Row],[RelationshipSatisfaction]])</f>
        <v>3</v>
      </c>
      <c r="R4959" s="2">
        <f>PerfRate[[#This Row],[ManagerRating]] - PerfRate[[#This Row],[SelfRating]]</f>
        <v>-1</v>
      </c>
    </row>
    <row r="4960" spans="1:18">
      <c r="A4960" s="2" t="s">
        <v>9267</v>
      </c>
      <c r="B4960" s="2" t="s">
        <v>1168</v>
      </c>
      <c r="C4960" s="1">
        <v>44541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  <c r="L4960" s="2" t="s">
        <v>11030</v>
      </c>
      <c r="M4960" s="2" t="s">
        <v>11029</v>
      </c>
      <c r="N4960" s="2" t="s">
        <v>11036</v>
      </c>
      <c r="O4960" s="2" t="s">
        <v>11035</v>
      </c>
      <c r="P4960" s="2" t="s">
        <v>11037</v>
      </c>
      <c r="Q4960" s="2">
        <f>AVERAGE(PerfRate[[#This Row],[EnvironmentSatisfaction]],PerfRate[[#This Row],[JobSatisfaction]],PerfRate[[#This Row],[RelationshipSatisfaction]])</f>
        <v>3</v>
      </c>
      <c r="R4960" s="2">
        <f>PerfRate[[#This Row],[ManagerRating]] - PerfRate[[#This Row],[SelfRating]]</f>
        <v>-1</v>
      </c>
    </row>
    <row r="4961" spans="1:18">
      <c r="A4961" s="2" t="s">
        <v>9268</v>
      </c>
      <c r="B4961" s="2" t="s">
        <v>2770</v>
      </c>
      <c r="C4961" s="1">
        <v>44541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  <c r="L4961" s="2" t="s">
        <v>11030</v>
      </c>
      <c r="M4961" s="2" t="s">
        <v>11030</v>
      </c>
      <c r="N4961" s="2" t="s">
        <v>11038</v>
      </c>
      <c r="O4961" s="2" t="s">
        <v>11038</v>
      </c>
      <c r="P4961" s="2" t="s">
        <v>11037</v>
      </c>
      <c r="Q4961" s="2">
        <f>AVERAGE(PerfRate[[#This Row],[EnvironmentSatisfaction]],PerfRate[[#This Row],[JobSatisfaction]],PerfRate[[#This Row],[RelationshipSatisfaction]])</f>
        <v>4.666666666666667</v>
      </c>
      <c r="R4961" s="2">
        <f>PerfRate[[#This Row],[ManagerRating]] - PerfRate[[#This Row],[SelfRating]]</f>
        <v>0</v>
      </c>
    </row>
    <row r="4962" spans="1:18">
      <c r="A4962" s="2" t="s">
        <v>9269</v>
      </c>
      <c r="B4962" s="2" t="s">
        <v>347</v>
      </c>
      <c r="C4962" s="1">
        <v>42158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  <c r="L4962" s="2" t="s">
        <v>11029</v>
      </c>
      <c r="M4962" s="2" t="s">
        <v>11029</v>
      </c>
      <c r="N4962" s="2" t="s">
        <v>11036</v>
      </c>
      <c r="O4962" s="2" t="s">
        <v>11038</v>
      </c>
      <c r="P4962" s="2" t="s">
        <v>11036</v>
      </c>
      <c r="Q4962" s="2">
        <f>AVERAGE(PerfRate[[#This Row],[EnvironmentSatisfaction]],PerfRate[[#This Row],[JobSatisfaction]],PerfRate[[#This Row],[RelationshipSatisfaction]])</f>
        <v>3.6666666666666665</v>
      </c>
      <c r="R4962" s="2">
        <f>PerfRate[[#This Row],[ManagerRating]] - PerfRate[[#This Row],[SelfRating]]</f>
        <v>0</v>
      </c>
    </row>
    <row r="4963" spans="1:18">
      <c r="A4963" s="2" t="s">
        <v>9270</v>
      </c>
      <c r="B4963" s="2" t="s">
        <v>485</v>
      </c>
      <c r="C4963" s="1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  <c r="L4963" s="2" t="s">
        <v>11030</v>
      </c>
      <c r="M4963" s="2" t="s">
        <v>11030</v>
      </c>
      <c r="N4963" s="2" t="s">
        <v>11036</v>
      </c>
      <c r="O4963" s="2" t="s">
        <v>11035</v>
      </c>
      <c r="P4963" s="2" t="s">
        <v>11036</v>
      </c>
      <c r="Q4963" s="2">
        <f>AVERAGE(PerfRate[[#This Row],[EnvironmentSatisfaction]],PerfRate[[#This Row],[JobSatisfaction]],PerfRate[[#This Row],[RelationshipSatisfaction]])</f>
        <v>2.6666666666666665</v>
      </c>
      <c r="R4963" s="2">
        <f>PerfRate[[#This Row],[ManagerRating]] - PerfRate[[#This Row],[SelfRating]]</f>
        <v>0</v>
      </c>
    </row>
    <row r="4964" spans="1:18">
      <c r="A4964" s="2" t="s">
        <v>9271</v>
      </c>
      <c r="B4964" s="2" t="s">
        <v>1015</v>
      </c>
      <c r="C4964" s="1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  <c r="L4964" s="2" t="s">
        <v>11031</v>
      </c>
      <c r="M4964" s="2" t="s">
        <v>11030</v>
      </c>
      <c r="N4964" s="2" t="s">
        <v>11034</v>
      </c>
      <c r="O4964" s="2" t="s">
        <v>11036</v>
      </c>
      <c r="P4964" s="2" t="s">
        <v>11037</v>
      </c>
      <c r="Q4964" s="2">
        <f>AVERAGE(PerfRate[[#This Row],[EnvironmentSatisfaction]],PerfRate[[#This Row],[JobSatisfaction]],PerfRate[[#This Row],[RelationshipSatisfaction]])</f>
        <v>2.6666666666666665</v>
      </c>
      <c r="R4964" s="2">
        <f>PerfRate[[#This Row],[ManagerRating]] - PerfRate[[#This Row],[SelfRating]]</f>
        <v>-1</v>
      </c>
    </row>
    <row r="4965" spans="1:18">
      <c r="A4965" s="2" t="s">
        <v>9272</v>
      </c>
      <c r="B4965" s="2" t="s">
        <v>2275</v>
      </c>
      <c r="C4965" s="1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  <c r="L4965" s="2" t="s">
        <v>11031</v>
      </c>
      <c r="M4965" s="2" t="s">
        <v>11030</v>
      </c>
      <c r="N4965" s="2" t="s">
        <v>11037</v>
      </c>
      <c r="O4965" s="2" t="s">
        <v>11036</v>
      </c>
      <c r="P4965" s="2" t="s">
        <v>11037</v>
      </c>
      <c r="Q4965" s="2">
        <f>AVERAGE(PerfRate[[#This Row],[EnvironmentSatisfaction]],PerfRate[[#This Row],[JobSatisfaction]],PerfRate[[#This Row],[RelationshipSatisfaction]])</f>
        <v>3.6666666666666665</v>
      </c>
      <c r="R4965" s="2">
        <f>PerfRate[[#This Row],[ManagerRating]] - PerfRate[[#This Row],[SelfRating]]</f>
        <v>-1</v>
      </c>
    </row>
    <row r="4966" spans="1:18">
      <c r="A4966" s="2" t="s">
        <v>9273</v>
      </c>
      <c r="B4966" s="2" t="s">
        <v>2435</v>
      </c>
      <c r="C4966" s="1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  <c r="L4966" s="2" t="s">
        <v>11031</v>
      </c>
      <c r="M4966" s="2" t="s">
        <v>11030</v>
      </c>
      <c r="N4966" s="2" t="s">
        <v>11036</v>
      </c>
      <c r="O4966" s="2" t="s">
        <v>11036</v>
      </c>
      <c r="P4966" s="2" t="s">
        <v>11036</v>
      </c>
      <c r="Q4966" s="2">
        <f>AVERAGE(PerfRate[[#This Row],[EnvironmentSatisfaction]],PerfRate[[#This Row],[JobSatisfaction]],PerfRate[[#This Row],[RelationshipSatisfaction]])</f>
        <v>3</v>
      </c>
      <c r="R4966" s="2">
        <f>PerfRate[[#This Row],[ManagerRating]] - PerfRate[[#This Row],[SelfRating]]</f>
        <v>-1</v>
      </c>
    </row>
    <row r="4967" spans="1:18">
      <c r="A4967" s="2" t="s">
        <v>9274</v>
      </c>
      <c r="B4967" s="2" t="s">
        <v>2862</v>
      </c>
      <c r="C4967" s="1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  <c r="L4967" s="2" t="s">
        <v>11029</v>
      </c>
      <c r="M4967" s="2" t="s">
        <v>11029</v>
      </c>
      <c r="N4967" s="2" t="s">
        <v>11034</v>
      </c>
      <c r="O4967" s="2" t="s">
        <v>11034</v>
      </c>
      <c r="P4967" s="2" t="s">
        <v>11034</v>
      </c>
      <c r="Q4967" s="2">
        <f>AVERAGE(PerfRate[[#This Row],[EnvironmentSatisfaction]],PerfRate[[#This Row],[JobSatisfaction]],PerfRate[[#This Row],[RelationshipSatisfaction]])</f>
        <v>1</v>
      </c>
      <c r="R4967" s="2">
        <f>PerfRate[[#This Row],[ManagerRating]] - PerfRate[[#This Row],[SelfRating]]</f>
        <v>0</v>
      </c>
    </row>
    <row r="4968" spans="1:18">
      <c r="A4968" s="2" t="s">
        <v>9275</v>
      </c>
      <c r="B4968" s="2" t="s">
        <v>125</v>
      </c>
      <c r="C4968" s="1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  <c r="L4968" s="2" t="s">
        <v>11031</v>
      </c>
      <c r="M4968" s="2" t="s">
        <v>11030</v>
      </c>
      <c r="N4968" s="2" t="s">
        <v>11034</v>
      </c>
      <c r="O4968" s="2" t="s">
        <v>11034</v>
      </c>
      <c r="P4968" s="2" t="s">
        <v>11035</v>
      </c>
      <c r="Q4968" s="2">
        <f>AVERAGE(PerfRate[[#This Row],[EnvironmentSatisfaction]],PerfRate[[#This Row],[JobSatisfaction]],PerfRate[[#This Row],[RelationshipSatisfaction]])</f>
        <v>1.3333333333333333</v>
      </c>
      <c r="R4968" s="2">
        <f>PerfRate[[#This Row],[ManagerRating]] - PerfRate[[#This Row],[SelfRating]]</f>
        <v>-1</v>
      </c>
    </row>
    <row r="4969" spans="1:18">
      <c r="A4969" s="2" t="s">
        <v>9276</v>
      </c>
      <c r="B4969" s="2" t="s">
        <v>1266</v>
      </c>
      <c r="C4969" s="1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  <c r="L4969" s="2" t="s">
        <v>11029</v>
      </c>
      <c r="M4969" s="2" t="s">
        <v>11029</v>
      </c>
      <c r="N4969" s="2" t="s">
        <v>11037</v>
      </c>
      <c r="O4969" s="2" t="s">
        <v>11035</v>
      </c>
      <c r="P4969" s="2" t="s">
        <v>11037</v>
      </c>
      <c r="Q4969" s="2">
        <f>AVERAGE(PerfRate[[#This Row],[EnvironmentSatisfaction]],PerfRate[[#This Row],[JobSatisfaction]],PerfRate[[#This Row],[RelationshipSatisfaction]])</f>
        <v>3.3333333333333335</v>
      </c>
      <c r="R4969" s="2">
        <f>PerfRate[[#This Row],[ManagerRating]] - PerfRate[[#This Row],[SelfRating]]</f>
        <v>0</v>
      </c>
    </row>
    <row r="4970" spans="1:18">
      <c r="A4970" s="2" t="s">
        <v>9277</v>
      </c>
      <c r="B4970" s="2" t="s">
        <v>422</v>
      </c>
      <c r="C4970" s="1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  <c r="L4970" s="2" t="s">
        <v>11030</v>
      </c>
      <c r="M4970" s="2" t="s">
        <v>11030</v>
      </c>
      <c r="N4970" s="2" t="s">
        <v>11035</v>
      </c>
      <c r="O4970" s="2" t="s">
        <v>11034</v>
      </c>
      <c r="P4970" s="2" t="s">
        <v>11034</v>
      </c>
      <c r="Q4970" s="2">
        <f>AVERAGE(PerfRate[[#This Row],[EnvironmentSatisfaction]],PerfRate[[#This Row],[JobSatisfaction]],PerfRate[[#This Row],[RelationshipSatisfaction]])</f>
        <v>1.3333333333333333</v>
      </c>
      <c r="R4970" s="2">
        <f>PerfRate[[#This Row],[ManagerRating]] - PerfRate[[#This Row],[SelfRating]]</f>
        <v>0</v>
      </c>
    </row>
    <row r="4971" spans="1:18">
      <c r="A4971" s="2" t="s">
        <v>9278</v>
      </c>
      <c r="B4971" s="2" t="s">
        <v>655</v>
      </c>
      <c r="C4971" s="1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  <c r="L4971" s="2" t="s">
        <v>11030</v>
      </c>
      <c r="M4971" s="2" t="s">
        <v>11029</v>
      </c>
      <c r="N4971" s="2" t="s">
        <v>11036</v>
      </c>
      <c r="O4971" s="2" t="s">
        <v>11035</v>
      </c>
      <c r="P4971" s="2" t="s">
        <v>11034</v>
      </c>
      <c r="Q4971" s="2">
        <f>AVERAGE(PerfRate[[#This Row],[EnvironmentSatisfaction]],PerfRate[[#This Row],[JobSatisfaction]],PerfRate[[#This Row],[RelationshipSatisfaction]])</f>
        <v>2</v>
      </c>
      <c r="R4971" s="2">
        <f>PerfRate[[#This Row],[ManagerRating]] - PerfRate[[#This Row],[SelfRating]]</f>
        <v>-1</v>
      </c>
    </row>
    <row r="4972" spans="1:18">
      <c r="A4972" s="2" t="s">
        <v>9279</v>
      </c>
      <c r="B4972" s="2" t="s">
        <v>1174</v>
      </c>
      <c r="C4972" s="1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  <c r="L4972" s="2" t="s">
        <v>11030</v>
      </c>
      <c r="M4972" s="2" t="s">
        <v>11030</v>
      </c>
      <c r="N4972" s="2" t="s">
        <v>11038</v>
      </c>
      <c r="O4972" s="2" t="s">
        <v>11035</v>
      </c>
      <c r="P4972" s="2" t="s">
        <v>11037</v>
      </c>
      <c r="Q4972" s="2">
        <f>AVERAGE(PerfRate[[#This Row],[EnvironmentSatisfaction]],PerfRate[[#This Row],[JobSatisfaction]],PerfRate[[#This Row],[RelationshipSatisfaction]])</f>
        <v>3.6666666666666665</v>
      </c>
      <c r="R4972" s="2">
        <f>PerfRate[[#This Row],[ManagerRating]] - PerfRate[[#This Row],[SelfRating]]</f>
        <v>0</v>
      </c>
    </row>
    <row r="4973" spans="1:18">
      <c r="A4973" s="2" t="s">
        <v>9280</v>
      </c>
      <c r="B4973" s="2" t="s">
        <v>470</v>
      </c>
      <c r="C4973" s="1">
        <v>42158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  <c r="L4973" s="2" t="s">
        <v>11029</v>
      </c>
      <c r="M4973" s="2" t="s">
        <v>11028</v>
      </c>
      <c r="N4973" s="2" t="s">
        <v>11038</v>
      </c>
      <c r="O4973" s="2" t="s">
        <v>11036</v>
      </c>
      <c r="P4973" s="2" t="s">
        <v>11035</v>
      </c>
      <c r="Q4973" s="2">
        <f>AVERAGE(PerfRate[[#This Row],[EnvironmentSatisfaction]],PerfRate[[#This Row],[JobSatisfaction]],PerfRate[[#This Row],[RelationshipSatisfaction]])</f>
        <v>3.3333333333333335</v>
      </c>
      <c r="R4973" s="2">
        <f>PerfRate[[#This Row],[ManagerRating]] - PerfRate[[#This Row],[SelfRating]]</f>
        <v>-1</v>
      </c>
    </row>
    <row r="4974" spans="1:18">
      <c r="A4974" s="2" t="s">
        <v>9281</v>
      </c>
      <c r="B4974" s="2" t="s">
        <v>1503</v>
      </c>
      <c r="C4974" s="1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  <c r="L4974" s="2" t="s">
        <v>11031</v>
      </c>
      <c r="M4974" s="2" t="s">
        <v>11031</v>
      </c>
      <c r="N4974" s="2" t="s">
        <v>11038</v>
      </c>
      <c r="O4974" s="2" t="s">
        <v>11036</v>
      </c>
      <c r="P4974" s="2" t="s">
        <v>11035</v>
      </c>
      <c r="Q4974" s="2">
        <f>AVERAGE(PerfRate[[#This Row],[EnvironmentSatisfaction]],PerfRate[[#This Row],[JobSatisfaction]],PerfRate[[#This Row],[RelationshipSatisfaction]])</f>
        <v>3.3333333333333335</v>
      </c>
      <c r="R4974" s="2">
        <f>PerfRate[[#This Row],[ManagerRating]] - PerfRate[[#This Row],[SelfRating]]</f>
        <v>0</v>
      </c>
    </row>
    <row r="4975" spans="1:18">
      <c r="A4975" s="2" t="s">
        <v>9282</v>
      </c>
      <c r="B4975" s="2" t="s">
        <v>2228</v>
      </c>
      <c r="C4975" s="1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  <c r="L4975" s="2" t="s">
        <v>11030</v>
      </c>
      <c r="M4975" s="2" t="s">
        <v>11029</v>
      </c>
      <c r="N4975" s="2" t="s">
        <v>11036</v>
      </c>
      <c r="O4975" s="2" t="s">
        <v>11035</v>
      </c>
      <c r="P4975" s="2" t="s">
        <v>11038</v>
      </c>
      <c r="Q4975" s="2">
        <f>AVERAGE(PerfRate[[#This Row],[EnvironmentSatisfaction]],PerfRate[[#This Row],[JobSatisfaction]],PerfRate[[#This Row],[RelationshipSatisfaction]])</f>
        <v>3.3333333333333335</v>
      </c>
      <c r="R4975" s="2">
        <f>PerfRate[[#This Row],[ManagerRating]] - PerfRate[[#This Row],[SelfRating]]</f>
        <v>-1</v>
      </c>
    </row>
    <row r="4976" spans="1:18">
      <c r="A4976" s="2" t="s">
        <v>9283</v>
      </c>
      <c r="B4976" s="2" t="s">
        <v>2969</v>
      </c>
      <c r="C4976" s="1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  <c r="L4976" s="2" t="s">
        <v>11029</v>
      </c>
      <c r="M4976" s="2" t="s">
        <v>11028</v>
      </c>
      <c r="N4976" s="2" t="s">
        <v>11037</v>
      </c>
      <c r="O4976" s="2" t="s">
        <v>11035</v>
      </c>
      <c r="P4976" s="2" t="s">
        <v>11035</v>
      </c>
      <c r="Q4976" s="2">
        <f>AVERAGE(PerfRate[[#This Row],[EnvironmentSatisfaction]],PerfRate[[#This Row],[JobSatisfaction]],PerfRate[[#This Row],[RelationshipSatisfaction]])</f>
        <v>2.6666666666666665</v>
      </c>
      <c r="R4976" s="2">
        <f>PerfRate[[#This Row],[ManagerRating]] - PerfRate[[#This Row],[SelfRating]]</f>
        <v>-1</v>
      </c>
    </row>
    <row r="4977" spans="1:18">
      <c r="A4977" s="2" t="s">
        <v>9284</v>
      </c>
      <c r="B4977" s="2" t="s">
        <v>371</v>
      </c>
      <c r="C4977" s="1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  <c r="L4977" s="2" t="s">
        <v>11031</v>
      </c>
      <c r="M4977" s="2" t="s">
        <v>11030</v>
      </c>
      <c r="N4977" s="2" t="s">
        <v>11037</v>
      </c>
      <c r="O4977" s="2" t="s">
        <v>11036</v>
      </c>
      <c r="P4977" s="2" t="s">
        <v>11035</v>
      </c>
      <c r="Q4977" s="2">
        <f>AVERAGE(PerfRate[[#This Row],[EnvironmentSatisfaction]],PerfRate[[#This Row],[JobSatisfaction]],PerfRate[[#This Row],[RelationshipSatisfaction]])</f>
        <v>3</v>
      </c>
      <c r="R4977" s="2">
        <f>PerfRate[[#This Row],[ManagerRating]] - PerfRate[[#This Row],[SelfRating]]</f>
        <v>-1</v>
      </c>
    </row>
    <row r="4978" spans="1:18">
      <c r="A4978" s="2" t="s">
        <v>9285</v>
      </c>
      <c r="B4978" s="2" t="s">
        <v>2094</v>
      </c>
      <c r="C4978" s="1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  <c r="L4978" s="2" t="s">
        <v>11030</v>
      </c>
      <c r="M4978" s="2" t="s">
        <v>11029</v>
      </c>
      <c r="N4978" s="2" t="s">
        <v>11038</v>
      </c>
      <c r="O4978" s="2" t="s">
        <v>11038</v>
      </c>
      <c r="P4978" s="2" t="s">
        <v>11038</v>
      </c>
      <c r="Q4978" s="2">
        <f>AVERAGE(PerfRate[[#This Row],[EnvironmentSatisfaction]],PerfRate[[#This Row],[JobSatisfaction]],PerfRate[[#This Row],[RelationshipSatisfaction]])</f>
        <v>5</v>
      </c>
      <c r="R4978" s="2">
        <f>PerfRate[[#This Row],[ManagerRating]] - PerfRate[[#This Row],[SelfRating]]</f>
        <v>-1</v>
      </c>
    </row>
    <row r="4979" spans="1:18">
      <c r="A4979" s="2" t="s">
        <v>9286</v>
      </c>
      <c r="B4979" s="2" t="s">
        <v>2011</v>
      </c>
      <c r="C4979" s="1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  <c r="L4979" s="2" t="s">
        <v>11030</v>
      </c>
      <c r="M4979" s="2" t="s">
        <v>11029</v>
      </c>
      <c r="N4979" s="2" t="s">
        <v>11036</v>
      </c>
      <c r="O4979" s="2" t="s">
        <v>11038</v>
      </c>
      <c r="P4979" s="2" t="s">
        <v>11035</v>
      </c>
      <c r="Q4979" s="2">
        <f>AVERAGE(PerfRate[[#This Row],[EnvironmentSatisfaction]],PerfRate[[#This Row],[JobSatisfaction]],PerfRate[[#This Row],[RelationshipSatisfaction]])</f>
        <v>3.3333333333333335</v>
      </c>
      <c r="R4979" s="2">
        <f>PerfRate[[#This Row],[ManagerRating]] - PerfRate[[#This Row],[SelfRating]]</f>
        <v>-1</v>
      </c>
    </row>
    <row r="4980" spans="1:18">
      <c r="A4980" s="2" t="s">
        <v>9287</v>
      </c>
      <c r="B4980" s="2" t="s">
        <v>2851</v>
      </c>
      <c r="C4980" s="1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  <c r="L4980" s="2" t="s">
        <v>11030</v>
      </c>
      <c r="M4980" s="2" t="s">
        <v>11030</v>
      </c>
      <c r="N4980" s="2" t="s">
        <v>11038</v>
      </c>
      <c r="O4980" s="2" t="s">
        <v>11035</v>
      </c>
      <c r="P4980" s="2" t="s">
        <v>11035</v>
      </c>
      <c r="Q4980" s="2">
        <f>AVERAGE(PerfRate[[#This Row],[EnvironmentSatisfaction]],PerfRate[[#This Row],[JobSatisfaction]],PerfRate[[#This Row],[RelationshipSatisfaction]])</f>
        <v>3</v>
      </c>
      <c r="R4980" s="2">
        <f>PerfRate[[#This Row],[ManagerRating]] - PerfRate[[#This Row],[SelfRating]]</f>
        <v>0</v>
      </c>
    </row>
    <row r="4981" spans="1:18">
      <c r="A4981" s="2" t="s">
        <v>9288</v>
      </c>
      <c r="B4981" s="2" t="s">
        <v>157</v>
      </c>
      <c r="C4981" s="1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  <c r="L4981" s="2" t="s">
        <v>11031</v>
      </c>
      <c r="M4981" s="2" t="s">
        <v>11030</v>
      </c>
      <c r="N4981" s="2" t="s">
        <v>11037</v>
      </c>
      <c r="O4981" s="2" t="s">
        <v>11034</v>
      </c>
      <c r="P4981" s="2" t="s">
        <v>11035</v>
      </c>
      <c r="Q4981" s="2">
        <f>AVERAGE(PerfRate[[#This Row],[EnvironmentSatisfaction]],PerfRate[[#This Row],[JobSatisfaction]],PerfRate[[#This Row],[RelationshipSatisfaction]])</f>
        <v>2.3333333333333335</v>
      </c>
      <c r="R4981" s="2">
        <f>PerfRate[[#This Row],[ManagerRating]] - PerfRate[[#This Row],[SelfRating]]</f>
        <v>-1</v>
      </c>
    </row>
    <row r="4982" spans="1:18">
      <c r="A4982" s="2" t="s">
        <v>9289</v>
      </c>
      <c r="B4982" s="2" t="s">
        <v>1644</v>
      </c>
      <c r="C4982" s="1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  <c r="L4982" s="2" t="s">
        <v>11029</v>
      </c>
      <c r="M4982" s="2" t="s">
        <v>11029</v>
      </c>
      <c r="N4982" s="2" t="s">
        <v>11035</v>
      </c>
      <c r="O4982" s="2" t="s">
        <v>11035</v>
      </c>
      <c r="P4982" s="2" t="s">
        <v>11036</v>
      </c>
      <c r="Q4982" s="2">
        <f>AVERAGE(PerfRate[[#This Row],[EnvironmentSatisfaction]],PerfRate[[#This Row],[JobSatisfaction]],PerfRate[[#This Row],[RelationshipSatisfaction]])</f>
        <v>2.3333333333333335</v>
      </c>
      <c r="R4982" s="2">
        <f>PerfRate[[#This Row],[ManagerRating]] - PerfRate[[#This Row],[SelfRating]]</f>
        <v>0</v>
      </c>
    </row>
    <row r="4983" spans="1:18">
      <c r="A4983" s="2" t="s">
        <v>9290</v>
      </c>
      <c r="B4983" s="2" t="s">
        <v>1979</v>
      </c>
      <c r="C4983" s="1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  <c r="L4983" s="2" t="s">
        <v>11029</v>
      </c>
      <c r="M4983" s="2" t="s">
        <v>11028</v>
      </c>
      <c r="N4983" s="2" t="s">
        <v>11035</v>
      </c>
      <c r="O4983" s="2" t="s">
        <v>11036</v>
      </c>
      <c r="P4983" s="2" t="s">
        <v>11034</v>
      </c>
      <c r="Q4983" s="2">
        <f>AVERAGE(PerfRate[[#This Row],[EnvironmentSatisfaction]],PerfRate[[#This Row],[JobSatisfaction]],PerfRate[[#This Row],[RelationshipSatisfaction]])</f>
        <v>2</v>
      </c>
      <c r="R4983" s="2">
        <f>PerfRate[[#This Row],[ManagerRating]] - PerfRate[[#This Row],[SelfRating]]</f>
        <v>-1</v>
      </c>
    </row>
    <row r="4984" spans="1:18">
      <c r="A4984" s="2" t="s">
        <v>9291</v>
      </c>
      <c r="B4984" s="2" t="s">
        <v>407</v>
      </c>
      <c r="C4984" s="1">
        <v>42188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  <c r="L4984" s="2" t="s">
        <v>11030</v>
      </c>
      <c r="M4984" s="2" t="s">
        <v>11029</v>
      </c>
      <c r="N4984" s="2" t="s">
        <v>11037</v>
      </c>
      <c r="O4984" s="2" t="s">
        <v>11035</v>
      </c>
      <c r="P4984" s="2" t="s">
        <v>11036</v>
      </c>
      <c r="Q4984" s="2">
        <f>AVERAGE(PerfRate[[#This Row],[EnvironmentSatisfaction]],PerfRate[[#This Row],[JobSatisfaction]],PerfRate[[#This Row],[RelationshipSatisfaction]])</f>
        <v>3</v>
      </c>
      <c r="R4984" s="2">
        <f>PerfRate[[#This Row],[ManagerRating]] - PerfRate[[#This Row],[SelfRating]]</f>
        <v>-1</v>
      </c>
    </row>
    <row r="4985" spans="1:18">
      <c r="A4985" s="2" t="s">
        <v>9292</v>
      </c>
      <c r="B4985" s="2" t="s">
        <v>62</v>
      </c>
      <c r="C4985" s="1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  <c r="L4985" s="2" t="s">
        <v>11029</v>
      </c>
      <c r="M4985" s="2" t="s">
        <v>11028</v>
      </c>
      <c r="N4985" s="2" t="s">
        <v>11037</v>
      </c>
      <c r="O4985" s="2" t="s">
        <v>11035</v>
      </c>
      <c r="P4985" s="2" t="s">
        <v>11036</v>
      </c>
      <c r="Q4985" s="2">
        <f>AVERAGE(PerfRate[[#This Row],[EnvironmentSatisfaction]],PerfRate[[#This Row],[JobSatisfaction]],PerfRate[[#This Row],[RelationshipSatisfaction]])</f>
        <v>3</v>
      </c>
      <c r="R4985" s="2">
        <f>PerfRate[[#This Row],[ManagerRating]] - PerfRate[[#This Row],[SelfRating]]</f>
        <v>-1</v>
      </c>
    </row>
    <row r="4986" spans="1:18">
      <c r="A4986" s="2" t="s">
        <v>9293</v>
      </c>
      <c r="B4986" s="2" t="s">
        <v>1785</v>
      </c>
      <c r="C4986" s="1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  <c r="L4986" s="2" t="s">
        <v>11029</v>
      </c>
      <c r="M4986" s="2" t="s">
        <v>11029</v>
      </c>
      <c r="N4986" s="2" t="s">
        <v>11037</v>
      </c>
      <c r="O4986" s="2" t="s">
        <v>11038</v>
      </c>
      <c r="P4986" s="2" t="s">
        <v>11036</v>
      </c>
      <c r="Q4986" s="2">
        <f>AVERAGE(PerfRate[[#This Row],[EnvironmentSatisfaction]],PerfRate[[#This Row],[JobSatisfaction]],PerfRate[[#This Row],[RelationshipSatisfaction]])</f>
        <v>4</v>
      </c>
      <c r="R4986" s="2">
        <f>PerfRate[[#This Row],[ManagerRating]] - PerfRate[[#This Row],[SelfRating]]</f>
        <v>0</v>
      </c>
    </row>
    <row r="4987" spans="1:18">
      <c r="A4987" s="2" t="s">
        <v>9294</v>
      </c>
      <c r="B4987" s="2" t="s">
        <v>2703</v>
      </c>
      <c r="C4987" s="1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  <c r="L4987" s="2" t="s">
        <v>11029</v>
      </c>
      <c r="M4987" s="2" t="s">
        <v>11028</v>
      </c>
      <c r="N4987" s="2" t="s">
        <v>11036</v>
      </c>
      <c r="O4987" s="2" t="s">
        <v>11037</v>
      </c>
      <c r="P4987" s="2" t="s">
        <v>11036</v>
      </c>
      <c r="Q4987" s="2">
        <f>AVERAGE(PerfRate[[#This Row],[EnvironmentSatisfaction]],PerfRate[[#This Row],[JobSatisfaction]],PerfRate[[#This Row],[RelationshipSatisfaction]])</f>
        <v>3.3333333333333335</v>
      </c>
      <c r="R4987" s="2">
        <f>PerfRate[[#This Row],[ManagerRating]] - PerfRate[[#This Row],[SelfRating]]</f>
        <v>-1</v>
      </c>
    </row>
    <row r="4988" spans="1:18">
      <c r="A4988" s="2" t="s">
        <v>9295</v>
      </c>
      <c r="B4988" s="2" t="s">
        <v>163</v>
      </c>
      <c r="C4988" s="1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  <c r="L4988" s="2" t="s">
        <v>11030</v>
      </c>
      <c r="M4988" s="2" t="s">
        <v>11029</v>
      </c>
      <c r="N4988" s="2" t="s">
        <v>11037</v>
      </c>
      <c r="O4988" s="2" t="s">
        <v>11036</v>
      </c>
      <c r="P4988" s="2" t="s">
        <v>11036</v>
      </c>
      <c r="Q4988" s="2">
        <f>AVERAGE(PerfRate[[#This Row],[EnvironmentSatisfaction]],PerfRate[[#This Row],[JobSatisfaction]],PerfRate[[#This Row],[RelationshipSatisfaction]])</f>
        <v>3.3333333333333335</v>
      </c>
      <c r="R4988" s="2">
        <f>PerfRate[[#This Row],[ManagerRating]] - PerfRate[[#This Row],[SelfRating]]</f>
        <v>-1</v>
      </c>
    </row>
    <row r="4989" spans="1:18">
      <c r="A4989" s="2" t="s">
        <v>9296</v>
      </c>
      <c r="B4989" s="2" t="s">
        <v>3659</v>
      </c>
      <c r="C4989" s="1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  <c r="L4989" s="2" t="s">
        <v>11031</v>
      </c>
      <c r="M4989" s="2" t="s">
        <v>11031</v>
      </c>
      <c r="N4989" s="2" t="s">
        <v>11037</v>
      </c>
      <c r="O4989" s="2" t="s">
        <v>11038</v>
      </c>
      <c r="P4989" s="2" t="s">
        <v>11037</v>
      </c>
      <c r="Q4989" s="2">
        <f>AVERAGE(PerfRate[[#This Row],[EnvironmentSatisfaction]],PerfRate[[#This Row],[JobSatisfaction]],PerfRate[[#This Row],[RelationshipSatisfaction]])</f>
        <v>4.333333333333333</v>
      </c>
      <c r="R4989" s="2">
        <f>PerfRate[[#This Row],[ManagerRating]] - PerfRate[[#This Row],[SelfRating]]</f>
        <v>0</v>
      </c>
    </row>
    <row r="4990" spans="1:18">
      <c r="A4990" s="2" t="s">
        <v>9297</v>
      </c>
      <c r="B4990" s="2" t="s">
        <v>1157</v>
      </c>
      <c r="C4990" s="1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  <c r="L4990" s="2" t="s">
        <v>11029</v>
      </c>
      <c r="M4990" s="2" t="s">
        <v>11029</v>
      </c>
      <c r="N4990" s="2" t="s">
        <v>11038</v>
      </c>
      <c r="O4990" s="2" t="s">
        <v>11038</v>
      </c>
      <c r="P4990" s="2" t="s">
        <v>11036</v>
      </c>
      <c r="Q4990" s="2">
        <f>AVERAGE(PerfRate[[#This Row],[EnvironmentSatisfaction]],PerfRate[[#This Row],[JobSatisfaction]],PerfRate[[#This Row],[RelationshipSatisfaction]])</f>
        <v>4.333333333333333</v>
      </c>
      <c r="R4990" s="2">
        <f>PerfRate[[#This Row],[ManagerRating]] - PerfRate[[#This Row],[SelfRating]]</f>
        <v>0</v>
      </c>
    </row>
    <row r="4991" spans="1:18">
      <c r="A4991" s="2" t="s">
        <v>9298</v>
      </c>
      <c r="B4991" s="2" t="s">
        <v>1380</v>
      </c>
      <c r="C4991" s="1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  <c r="L4991" s="2" t="s">
        <v>11031</v>
      </c>
      <c r="M4991" s="2" t="s">
        <v>11031</v>
      </c>
      <c r="N4991" s="2" t="s">
        <v>11037</v>
      </c>
      <c r="O4991" s="2" t="s">
        <v>11035</v>
      </c>
      <c r="P4991" s="2" t="s">
        <v>11038</v>
      </c>
      <c r="Q4991" s="2">
        <f>AVERAGE(PerfRate[[#This Row],[EnvironmentSatisfaction]],PerfRate[[#This Row],[JobSatisfaction]],PerfRate[[#This Row],[RelationshipSatisfaction]])</f>
        <v>3.6666666666666665</v>
      </c>
      <c r="R4991" s="2">
        <f>PerfRate[[#This Row],[ManagerRating]] - PerfRate[[#This Row],[SelfRating]]</f>
        <v>0</v>
      </c>
    </row>
    <row r="4992" spans="1:18">
      <c r="A4992" s="2" t="s">
        <v>9299</v>
      </c>
      <c r="B4992" s="2" t="s">
        <v>2622</v>
      </c>
      <c r="C4992" s="1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  <c r="L4992" s="2" t="s">
        <v>11029</v>
      </c>
      <c r="M4992" s="2" t="s">
        <v>11029</v>
      </c>
      <c r="N4992" s="2" t="s">
        <v>11036</v>
      </c>
      <c r="O4992" s="2" t="s">
        <v>11035</v>
      </c>
      <c r="P4992" s="2" t="s">
        <v>11037</v>
      </c>
      <c r="Q4992" s="2">
        <f>AVERAGE(PerfRate[[#This Row],[EnvironmentSatisfaction]],PerfRate[[#This Row],[JobSatisfaction]],PerfRate[[#This Row],[RelationshipSatisfaction]])</f>
        <v>3</v>
      </c>
      <c r="R4992" s="2">
        <f>PerfRate[[#This Row],[ManagerRating]] - PerfRate[[#This Row],[SelfRating]]</f>
        <v>0</v>
      </c>
    </row>
    <row r="4993" spans="1:18">
      <c r="A4993" s="2" t="s">
        <v>9300</v>
      </c>
      <c r="B4993" s="2" t="s">
        <v>4177</v>
      </c>
      <c r="C4993" s="1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  <c r="L4993" s="2" t="s">
        <v>11031</v>
      </c>
      <c r="M4993" s="2" t="s">
        <v>11030</v>
      </c>
      <c r="N4993" s="2" t="s">
        <v>11038</v>
      </c>
      <c r="O4993" s="2" t="s">
        <v>11038</v>
      </c>
      <c r="P4993" s="2" t="s">
        <v>11037</v>
      </c>
      <c r="Q4993" s="2">
        <f>AVERAGE(PerfRate[[#This Row],[EnvironmentSatisfaction]],PerfRate[[#This Row],[JobSatisfaction]],PerfRate[[#This Row],[RelationshipSatisfaction]])</f>
        <v>4.666666666666667</v>
      </c>
      <c r="R4993" s="2">
        <f>PerfRate[[#This Row],[ManagerRating]] - PerfRate[[#This Row],[SelfRating]]</f>
        <v>-1</v>
      </c>
    </row>
    <row r="4994" spans="1:18">
      <c r="A4994" s="2" t="s">
        <v>9301</v>
      </c>
      <c r="B4994" s="2" t="s">
        <v>646</v>
      </c>
      <c r="C4994" s="1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  <c r="L4994" s="2" t="s">
        <v>11029</v>
      </c>
      <c r="M4994" s="2" t="s">
        <v>11029</v>
      </c>
      <c r="N4994" s="2" t="s">
        <v>11037</v>
      </c>
      <c r="O4994" s="2" t="s">
        <v>11036</v>
      </c>
      <c r="P4994" s="2" t="s">
        <v>11036</v>
      </c>
      <c r="Q4994" s="2">
        <f>AVERAGE(PerfRate[[#This Row],[EnvironmentSatisfaction]],PerfRate[[#This Row],[JobSatisfaction]],PerfRate[[#This Row],[RelationshipSatisfaction]])</f>
        <v>3.3333333333333335</v>
      </c>
      <c r="R4994" s="2">
        <f>PerfRate[[#This Row],[ManagerRating]] - PerfRate[[#This Row],[SelfRating]]</f>
        <v>0</v>
      </c>
    </row>
    <row r="4995" spans="1:18">
      <c r="A4995" s="2" t="s">
        <v>9302</v>
      </c>
      <c r="B4995" s="2" t="s">
        <v>1082</v>
      </c>
      <c r="C4995" s="1">
        <v>42188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  <c r="L4995" s="2" t="s">
        <v>11030</v>
      </c>
      <c r="M4995" s="2" t="s">
        <v>11030</v>
      </c>
      <c r="N4995" s="2" t="s">
        <v>11036</v>
      </c>
      <c r="O4995" s="2" t="s">
        <v>11036</v>
      </c>
      <c r="P4995" s="2" t="s">
        <v>11036</v>
      </c>
      <c r="Q4995" s="2">
        <f>AVERAGE(PerfRate[[#This Row],[EnvironmentSatisfaction]],PerfRate[[#This Row],[JobSatisfaction]],PerfRate[[#This Row],[RelationshipSatisfaction]])</f>
        <v>3</v>
      </c>
      <c r="R4995" s="2">
        <f>PerfRate[[#This Row],[ManagerRating]] - PerfRate[[#This Row],[SelfRating]]</f>
        <v>0</v>
      </c>
    </row>
    <row r="4996" spans="1:18">
      <c r="A4996" s="2" t="s">
        <v>9303</v>
      </c>
      <c r="B4996" s="2" t="s">
        <v>1847</v>
      </c>
      <c r="C4996" s="1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  <c r="L4996" s="2" t="s">
        <v>11030</v>
      </c>
      <c r="M4996" s="2" t="s">
        <v>11029</v>
      </c>
      <c r="N4996" s="2" t="s">
        <v>11036</v>
      </c>
      <c r="O4996" s="2" t="s">
        <v>11036</v>
      </c>
      <c r="P4996" s="2" t="s">
        <v>11035</v>
      </c>
      <c r="Q4996" s="2">
        <f>AVERAGE(PerfRate[[#This Row],[EnvironmentSatisfaction]],PerfRate[[#This Row],[JobSatisfaction]],PerfRate[[#This Row],[RelationshipSatisfaction]])</f>
        <v>2.6666666666666665</v>
      </c>
      <c r="R4996" s="2">
        <f>PerfRate[[#This Row],[ManagerRating]] - PerfRate[[#This Row],[SelfRating]]</f>
        <v>-1</v>
      </c>
    </row>
    <row r="4997" spans="1:18">
      <c r="A4997" s="2" t="s">
        <v>9304</v>
      </c>
      <c r="B4997" s="2" t="s">
        <v>398</v>
      </c>
      <c r="C4997" s="1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  <c r="L4997" s="2" t="s">
        <v>11029</v>
      </c>
      <c r="M4997" s="2" t="s">
        <v>11029</v>
      </c>
      <c r="N4997" s="2" t="s">
        <v>11036</v>
      </c>
      <c r="O4997" s="2" t="s">
        <v>11037</v>
      </c>
      <c r="P4997" s="2" t="s">
        <v>11035</v>
      </c>
      <c r="Q4997" s="2">
        <f>AVERAGE(PerfRate[[#This Row],[EnvironmentSatisfaction]],PerfRate[[#This Row],[JobSatisfaction]],PerfRate[[#This Row],[RelationshipSatisfaction]])</f>
        <v>3</v>
      </c>
      <c r="R4997" s="2">
        <f>PerfRate[[#This Row],[ManagerRating]] - PerfRate[[#This Row],[SelfRating]]</f>
        <v>0</v>
      </c>
    </row>
    <row r="4998" spans="1:18">
      <c r="A4998" s="2" t="s">
        <v>9305</v>
      </c>
      <c r="B4998" s="2" t="s">
        <v>290</v>
      </c>
      <c r="C4998" s="1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  <c r="L4998" s="2" t="s">
        <v>11031</v>
      </c>
      <c r="M4998" s="2" t="s">
        <v>11030</v>
      </c>
      <c r="N4998" s="2" t="s">
        <v>11036</v>
      </c>
      <c r="O4998" s="2" t="s">
        <v>11035</v>
      </c>
      <c r="P4998" s="2" t="s">
        <v>11035</v>
      </c>
      <c r="Q4998" s="2">
        <f>AVERAGE(PerfRate[[#This Row],[EnvironmentSatisfaction]],PerfRate[[#This Row],[JobSatisfaction]],PerfRate[[#This Row],[RelationshipSatisfaction]])</f>
        <v>2.3333333333333335</v>
      </c>
      <c r="R4998" s="2">
        <f>PerfRate[[#This Row],[ManagerRating]] - PerfRate[[#This Row],[SelfRating]]</f>
        <v>-1</v>
      </c>
    </row>
    <row r="4999" spans="1:18">
      <c r="A4999" s="2" t="s">
        <v>9306</v>
      </c>
      <c r="B4999" s="2" t="s">
        <v>275</v>
      </c>
      <c r="C4999" s="1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  <c r="L4999" s="2" t="s">
        <v>11031</v>
      </c>
      <c r="M4999" s="2" t="s">
        <v>11030</v>
      </c>
      <c r="N4999" s="2" t="s">
        <v>11037</v>
      </c>
      <c r="O4999" s="2" t="s">
        <v>11035</v>
      </c>
      <c r="P4999" s="2" t="s">
        <v>11037</v>
      </c>
      <c r="Q4999" s="2">
        <f>AVERAGE(PerfRate[[#This Row],[EnvironmentSatisfaction]],PerfRate[[#This Row],[JobSatisfaction]],PerfRate[[#This Row],[RelationshipSatisfaction]])</f>
        <v>3.3333333333333335</v>
      </c>
      <c r="R4999" s="2">
        <f>PerfRate[[#This Row],[ManagerRating]] - PerfRate[[#This Row],[SelfRating]]</f>
        <v>-1</v>
      </c>
    </row>
    <row r="5000" spans="1:18">
      <c r="A5000" s="2" t="s">
        <v>9307</v>
      </c>
      <c r="B5000" s="2" t="s">
        <v>598</v>
      </c>
      <c r="C5000" s="1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  <c r="L5000" s="2" t="s">
        <v>11029</v>
      </c>
      <c r="M5000" s="2" t="s">
        <v>11028</v>
      </c>
      <c r="N5000" s="2" t="s">
        <v>11038</v>
      </c>
      <c r="O5000" s="2" t="s">
        <v>11037</v>
      </c>
      <c r="P5000" s="2" t="s">
        <v>11036</v>
      </c>
      <c r="Q5000" s="2">
        <f>AVERAGE(PerfRate[[#This Row],[EnvironmentSatisfaction]],PerfRate[[#This Row],[JobSatisfaction]],PerfRate[[#This Row],[RelationshipSatisfaction]])</f>
        <v>4</v>
      </c>
      <c r="R5000" s="2">
        <f>PerfRate[[#This Row],[ManagerRating]] - PerfRate[[#This Row],[SelfRating]]</f>
        <v>-1</v>
      </c>
    </row>
    <row r="5001" spans="1:18">
      <c r="A5001" s="2" t="s">
        <v>9308</v>
      </c>
      <c r="B5001" s="2" t="s">
        <v>2036</v>
      </c>
      <c r="C5001" s="1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  <c r="L5001" s="2" t="s">
        <v>11029</v>
      </c>
      <c r="M5001" s="2" t="s">
        <v>11028</v>
      </c>
      <c r="N5001" s="2" t="s">
        <v>11038</v>
      </c>
      <c r="O5001" s="2" t="s">
        <v>11037</v>
      </c>
      <c r="P5001" s="2" t="s">
        <v>11035</v>
      </c>
      <c r="Q5001" s="2">
        <f>AVERAGE(PerfRate[[#This Row],[EnvironmentSatisfaction]],PerfRate[[#This Row],[JobSatisfaction]],PerfRate[[#This Row],[RelationshipSatisfaction]])</f>
        <v>3.6666666666666665</v>
      </c>
      <c r="R5001" s="2">
        <f>PerfRate[[#This Row],[ManagerRating]] - PerfRate[[#This Row],[SelfRating]]</f>
        <v>-1</v>
      </c>
    </row>
    <row r="5002" spans="1:18">
      <c r="A5002" s="2" t="s">
        <v>9309</v>
      </c>
      <c r="B5002" s="2" t="s">
        <v>869</v>
      </c>
      <c r="C5002" s="1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  <c r="L5002" s="2" t="s">
        <v>11029</v>
      </c>
      <c r="M5002" s="2" t="s">
        <v>11028</v>
      </c>
      <c r="N5002" s="2" t="s">
        <v>11036</v>
      </c>
      <c r="O5002" s="2" t="s">
        <v>11038</v>
      </c>
      <c r="P5002" s="2" t="s">
        <v>11037</v>
      </c>
      <c r="Q5002" s="2">
        <f>AVERAGE(PerfRate[[#This Row],[EnvironmentSatisfaction]],PerfRate[[#This Row],[JobSatisfaction]],PerfRate[[#This Row],[RelationshipSatisfaction]])</f>
        <v>4</v>
      </c>
      <c r="R5002" s="2">
        <f>PerfRate[[#This Row],[ManagerRating]] - PerfRate[[#This Row],[SelfRating]]</f>
        <v>-1</v>
      </c>
    </row>
    <row r="5003" spans="1:18">
      <c r="A5003" s="2" t="s">
        <v>9310</v>
      </c>
      <c r="B5003" s="2" t="s">
        <v>1240</v>
      </c>
      <c r="C5003" s="1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  <c r="L5003" s="2" t="s">
        <v>11029</v>
      </c>
      <c r="M5003" s="2" t="s">
        <v>11029</v>
      </c>
      <c r="N5003" s="2" t="s">
        <v>11038</v>
      </c>
      <c r="O5003" s="2" t="s">
        <v>11035</v>
      </c>
      <c r="P5003" s="2" t="s">
        <v>11038</v>
      </c>
      <c r="Q5003" s="2">
        <f>AVERAGE(PerfRate[[#This Row],[EnvironmentSatisfaction]],PerfRate[[#This Row],[JobSatisfaction]],PerfRate[[#This Row],[RelationshipSatisfaction]])</f>
        <v>4</v>
      </c>
      <c r="R5003" s="2">
        <f>PerfRate[[#This Row],[ManagerRating]] - PerfRate[[#This Row],[SelfRating]]</f>
        <v>0</v>
      </c>
    </row>
    <row r="5004" spans="1:18">
      <c r="A5004" s="2" t="s">
        <v>9311</v>
      </c>
      <c r="B5004" s="2" t="s">
        <v>1350</v>
      </c>
      <c r="C5004" s="1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  <c r="L5004" s="2" t="s">
        <v>11031</v>
      </c>
      <c r="M5004" s="2" t="s">
        <v>11030</v>
      </c>
      <c r="N5004" s="2" t="s">
        <v>11036</v>
      </c>
      <c r="O5004" s="2" t="s">
        <v>11036</v>
      </c>
      <c r="P5004" s="2" t="s">
        <v>11038</v>
      </c>
      <c r="Q5004" s="2">
        <f>AVERAGE(PerfRate[[#This Row],[EnvironmentSatisfaction]],PerfRate[[#This Row],[JobSatisfaction]],PerfRate[[#This Row],[RelationshipSatisfaction]])</f>
        <v>3.6666666666666665</v>
      </c>
      <c r="R5004" s="2">
        <f>PerfRate[[#This Row],[ManagerRating]] - PerfRate[[#This Row],[SelfRating]]</f>
        <v>-1</v>
      </c>
    </row>
    <row r="5005" spans="1:18">
      <c r="A5005" s="2" t="s">
        <v>9312</v>
      </c>
      <c r="B5005" s="2" t="s">
        <v>386</v>
      </c>
      <c r="C5005" s="1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  <c r="L5005" s="2" t="s">
        <v>11029</v>
      </c>
      <c r="M5005" s="2" t="s">
        <v>11029</v>
      </c>
      <c r="N5005" s="2" t="s">
        <v>11036</v>
      </c>
      <c r="O5005" s="2" t="s">
        <v>11035</v>
      </c>
      <c r="P5005" s="2" t="s">
        <v>11035</v>
      </c>
      <c r="Q5005" s="2">
        <f>AVERAGE(PerfRate[[#This Row],[EnvironmentSatisfaction]],PerfRate[[#This Row],[JobSatisfaction]],PerfRate[[#This Row],[RelationshipSatisfaction]])</f>
        <v>2.3333333333333335</v>
      </c>
      <c r="R5005" s="2">
        <f>PerfRate[[#This Row],[ManagerRating]] - PerfRate[[#This Row],[SelfRating]]</f>
        <v>0</v>
      </c>
    </row>
    <row r="5006" spans="1:18">
      <c r="A5006" s="2" t="s">
        <v>9313</v>
      </c>
      <c r="B5006" s="2" t="s">
        <v>1581</v>
      </c>
      <c r="C5006" s="1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  <c r="L5006" s="2" t="s">
        <v>11029</v>
      </c>
      <c r="M5006" s="2" t="s">
        <v>11028</v>
      </c>
      <c r="N5006" s="2" t="s">
        <v>11037</v>
      </c>
      <c r="O5006" s="2" t="s">
        <v>11037</v>
      </c>
      <c r="P5006" s="2" t="s">
        <v>11037</v>
      </c>
      <c r="Q5006" s="2">
        <f>AVERAGE(PerfRate[[#This Row],[EnvironmentSatisfaction]],PerfRate[[#This Row],[JobSatisfaction]],PerfRate[[#This Row],[RelationshipSatisfaction]])</f>
        <v>4</v>
      </c>
      <c r="R5006" s="2">
        <f>PerfRate[[#This Row],[ManagerRating]] - PerfRate[[#This Row],[SelfRating]]</f>
        <v>-1</v>
      </c>
    </row>
    <row r="5007" spans="1:18">
      <c r="A5007" s="2" t="s">
        <v>9314</v>
      </c>
      <c r="B5007" s="2" t="s">
        <v>2879</v>
      </c>
      <c r="C5007" s="1">
        <v>42188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  <c r="L5007" s="2" t="s">
        <v>11031</v>
      </c>
      <c r="M5007" s="2" t="s">
        <v>11031</v>
      </c>
      <c r="N5007" s="2" t="s">
        <v>11038</v>
      </c>
      <c r="O5007" s="2" t="s">
        <v>11035</v>
      </c>
      <c r="P5007" s="2" t="s">
        <v>11038</v>
      </c>
      <c r="Q5007" s="2">
        <f>AVERAGE(PerfRate[[#This Row],[EnvironmentSatisfaction]],PerfRate[[#This Row],[JobSatisfaction]],PerfRate[[#This Row],[RelationshipSatisfaction]])</f>
        <v>4</v>
      </c>
      <c r="R5007" s="2">
        <f>PerfRate[[#This Row],[ManagerRating]] - PerfRate[[#This Row],[SelfRating]]</f>
        <v>0</v>
      </c>
    </row>
    <row r="5008" spans="1:18">
      <c r="A5008" s="2" t="s">
        <v>9315</v>
      </c>
      <c r="B5008" s="2" t="s">
        <v>425</v>
      </c>
      <c r="C5008" s="1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  <c r="L5008" s="2" t="s">
        <v>11029</v>
      </c>
      <c r="M5008" s="2" t="s">
        <v>11028</v>
      </c>
      <c r="N5008" s="2" t="s">
        <v>11037</v>
      </c>
      <c r="O5008" s="2" t="s">
        <v>11036</v>
      </c>
      <c r="P5008" s="2" t="s">
        <v>11037</v>
      </c>
      <c r="Q5008" s="2">
        <f>AVERAGE(PerfRate[[#This Row],[EnvironmentSatisfaction]],PerfRate[[#This Row],[JobSatisfaction]],PerfRate[[#This Row],[RelationshipSatisfaction]])</f>
        <v>3.6666666666666665</v>
      </c>
      <c r="R5008" s="2">
        <f>PerfRate[[#This Row],[ManagerRating]] - PerfRate[[#This Row],[SelfRating]]</f>
        <v>-1</v>
      </c>
    </row>
    <row r="5009" spans="1:18">
      <c r="A5009" s="2" t="s">
        <v>9316</v>
      </c>
      <c r="B5009" s="2" t="s">
        <v>832</v>
      </c>
      <c r="C5009" s="1">
        <v>44208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  <c r="L5009" s="2" t="s">
        <v>11031</v>
      </c>
      <c r="M5009" s="2" t="s">
        <v>11030</v>
      </c>
      <c r="N5009" s="2" t="s">
        <v>11037</v>
      </c>
      <c r="O5009" s="2" t="s">
        <v>11036</v>
      </c>
      <c r="P5009" s="2" t="s">
        <v>11038</v>
      </c>
      <c r="Q5009" s="2">
        <f>AVERAGE(PerfRate[[#This Row],[EnvironmentSatisfaction]],PerfRate[[#This Row],[JobSatisfaction]],PerfRate[[#This Row],[RelationshipSatisfaction]])</f>
        <v>4</v>
      </c>
      <c r="R5009" s="2">
        <f>PerfRate[[#This Row],[ManagerRating]] - PerfRate[[#This Row],[SelfRating]]</f>
        <v>-1</v>
      </c>
    </row>
    <row r="5010" spans="1:18">
      <c r="A5010" s="2" t="s">
        <v>9317</v>
      </c>
      <c r="B5010" s="2" t="s">
        <v>1992</v>
      </c>
      <c r="C5010" s="1">
        <v>44208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  <c r="L5010" s="2" t="s">
        <v>11030</v>
      </c>
      <c r="M5010" s="2" t="s">
        <v>11029</v>
      </c>
      <c r="N5010" s="2" t="s">
        <v>11038</v>
      </c>
      <c r="O5010" s="2" t="s">
        <v>11038</v>
      </c>
      <c r="P5010" s="2" t="s">
        <v>11037</v>
      </c>
      <c r="Q5010" s="2">
        <f>AVERAGE(PerfRate[[#This Row],[EnvironmentSatisfaction]],PerfRate[[#This Row],[JobSatisfaction]],PerfRate[[#This Row],[RelationshipSatisfaction]])</f>
        <v>4.666666666666667</v>
      </c>
      <c r="R5010" s="2">
        <f>PerfRate[[#This Row],[ManagerRating]] - PerfRate[[#This Row],[SelfRating]]</f>
        <v>-1</v>
      </c>
    </row>
    <row r="5011" spans="1:18">
      <c r="A5011" s="2" t="s">
        <v>9318</v>
      </c>
      <c r="B5011" s="2" t="s">
        <v>3406</v>
      </c>
      <c r="C5011" s="1">
        <v>44239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  <c r="L5011" s="2" t="s">
        <v>11030</v>
      </c>
      <c r="M5011" s="2" t="s">
        <v>11029</v>
      </c>
      <c r="N5011" s="2" t="s">
        <v>11038</v>
      </c>
      <c r="O5011" s="2" t="s">
        <v>11036</v>
      </c>
      <c r="P5011" s="2" t="s">
        <v>11035</v>
      </c>
      <c r="Q5011" s="2">
        <f>AVERAGE(PerfRate[[#This Row],[EnvironmentSatisfaction]],PerfRate[[#This Row],[JobSatisfaction]],PerfRate[[#This Row],[RelationshipSatisfaction]])</f>
        <v>3.3333333333333335</v>
      </c>
      <c r="R5011" s="2">
        <f>PerfRate[[#This Row],[ManagerRating]] - PerfRate[[#This Row],[SelfRating]]</f>
        <v>-1</v>
      </c>
    </row>
    <row r="5012" spans="1:18">
      <c r="A5012" s="2" t="s">
        <v>9319</v>
      </c>
      <c r="B5012" s="2" t="s">
        <v>3665</v>
      </c>
      <c r="C5012" s="1">
        <v>44239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  <c r="L5012" s="2" t="s">
        <v>11030</v>
      </c>
      <c r="M5012" s="2" t="s">
        <v>11030</v>
      </c>
      <c r="N5012" s="2" t="s">
        <v>11038</v>
      </c>
      <c r="O5012" s="2" t="s">
        <v>11037</v>
      </c>
      <c r="P5012" s="2" t="s">
        <v>11035</v>
      </c>
      <c r="Q5012" s="2">
        <f>AVERAGE(PerfRate[[#This Row],[EnvironmentSatisfaction]],PerfRate[[#This Row],[JobSatisfaction]],PerfRate[[#This Row],[RelationshipSatisfaction]])</f>
        <v>3.6666666666666665</v>
      </c>
      <c r="R5012" s="2">
        <f>PerfRate[[#This Row],[ManagerRating]] - PerfRate[[#This Row],[SelfRating]]</f>
        <v>0</v>
      </c>
    </row>
    <row r="5013" spans="1:18">
      <c r="A5013" s="2" t="s">
        <v>9320</v>
      </c>
      <c r="B5013" s="2" t="s">
        <v>2506</v>
      </c>
      <c r="C5013" s="1">
        <v>44239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  <c r="L5013" s="2" t="s">
        <v>11029</v>
      </c>
      <c r="M5013" s="2" t="s">
        <v>11028</v>
      </c>
      <c r="N5013" s="2" t="s">
        <v>11038</v>
      </c>
      <c r="O5013" s="2" t="s">
        <v>11036</v>
      </c>
      <c r="P5013" s="2" t="s">
        <v>11036</v>
      </c>
      <c r="Q5013" s="2">
        <f>AVERAGE(PerfRate[[#This Row],[EnvironmentSatisfaction]],PerfRate[[#This Row],[JobSatisfaction]],PerfRate[[#This Row],[RelationshipSatisfaction]])</f>
        <v>3.6666666666666665</v>
      </c>
      <c r="R5013" s="2">
        <f>PerfRate[[#This Row],[ManagerRating]] - PerfRate[[#This Row],[SelfRating]]</f>
        <v>-1</v>
      </c>
    </row>
    <row r="5014" spans="1:18">
      <c r="A5014" s="2" t="s">
        <v>9321</v>
      </c>
      <c r="B5014" s="2" t="s">
        <v>78</v>
      </c>
      <c r="C5014" s="1">
        <v>44298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  <c r="L5014" s="2" t="s">
        <v>11030</v>
      </c>
      <c r="M5014" s="2" t="s">
        <v>11030</v>
      </c>
      <c r="N5014" s="2" t="s">
        <v>11036</v>
      </c>
      <c r="O5014" s="2" t="s">
        <v>11035</v>
      </c>
      <c r="P5014" s="2" t="s">
        <v>11038</v>
      </c>
      <c r="Q5014" s="2">
        <f>AVERAGE(PerfRate[[#This Row],[EnvironmentSatisfaction]],PerfRate[[#This Row],[JobSatisfaction]],PerfRate[[#This Row],[RelationshipSatisfaction]])</f>
        <v>3.3333333333333335</v>
      </c>
      <c r="R5014" s="2">
        <f>PerfRate[[#This Row],[ManagerRating]] - PerfRate[[#This Row],[SelfRating]]</f>
        <v>0</v>
      </c>
    </row>
    <row r="5015" spans="1:18">
      <c r="A5015" s="2" t="s">
        <v>9322</v>
      </c>
      <c r="B5015" s="2" t="s">
        <v>183</v>
      </c>
      <c r="C5015" s="1">
        <v>44298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  <c r="L5015" s="2" t="s">
        <v>11031</v>
      </c>
      <c r="M5015" s="2" t="s">
        <v>11031</v>
      </c>
      <c r="N5015" s="2" t="s">
        <v>11037</v>
      </c>
      <c r="O5015" s="2" t="s">
        <v>11038</v>
      </c>
      <c r="P5015" s="2" t="s">
        <v>11038</v>
      </c>
      <c r="Q5015" s="2">
        <f>AVERAGE(PerfRate[[#This Row],[EnvironmentSatisfaction]],PerfRate[[#This Row],[JobSatisfaction]],PerfRate[[#This Row],[RelationshipSatisfaction]])</f>
        <v>4.666666666666667</v>
      </c>
      <c r="R5015" s="2">
        <f>PerfRate[[#This Row],[ManagerRating]] - PerfRate[[#This Row],[SelfRating]]</f>
        <v>0</v>
      </c>
    </row>
    <row r="5016" spans="1:18">
      <c r="A5016" s="2" t="s">
        <v>9323</v>
      </c>
      <c r="B5016" s="2" t="s">
        <v>112</v>
      </c>
      <c r="C5016" s="1">
        <v>44298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  <c r="L5016" s="2" t="s">
        <v>11030</v>
      </c>
      <c r="M5016" s="2" t="s">
        <v>11030</v>
      </c>
      <c r="N5016" s="2" t="s">
        <v>11037</v>
      </c>
      <c r="O5016" s="2" t="s">
        <v>11037</v>
      </c>
      <c r="P5016" s="2" t="s">
        <v>11036</v>
      </c>
      <c r="Q5016" s="2">
        <f>AVERAGE(PerfRate[[#This Row],[EnvironmentSatisfaction]],PerfRate[[#This Row],[JobSatisfaction]],PerfRate[[#This Row],[RelationshipSatisfaction]])</f>
        <v>3.6666666666666665</v>
      </c>
      <c r="R5016" s="2">
        <f>PerfRate[[#This Row],[ManagerRating]] - PerfRate[[#This Row],[SelfRating]]</f>
        <v>0</v>
      </c>
    </row>
    <row r="5017" spans="1:18">
      <c r="A5017" s="2" t="s">
        <v>9324</v>
      </c>
      <c r="B5017" s="2" t="s">
        <v>946</v>
      </c>
      <c r="C5017" s="1">
        <v>44298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  <c r="L5017" s="2" t="s">
        <v>11030</v>
      </c>
      <c r="M5017" s="2" t="s">
        <v>11030</v>
      </c>
      <c r="N5017" s="2" t="s">
        <v>11038</v>
      </c>
      <c r="O5017" s="2" t="s">
        <v>11037</v>
      </c>
      <c r="P5017" s="2" t="s">
        <v>11036</v>
      </c>
      <c r="Q5017" s="2">
        <f>AVERAGE(PerfRate[[#This Row],[EnvironmentSatisfaction]],PerfRate[[#This Row],[JobSatisfaction]],PerfRate[[#This Row],[RelationshipSatisfaction]])</f>
        <v>4</v>
      </c>
      <c r="R5017" s="2">
        <f>PerfRate[[#This Row],[ManagerRating]] - PerfRate[[#This Row],[SelfRating]]</f>
        <v>0</v>
      </c>
    </row>
    <row r="5018" spans="1:18">
      <c r="A5018" s="2" t="s">
        <v>9325</v>
      </c>
      <c r="B5018" s="2" t="s">
        <v>838</v>
      </c>
      <c r="C5018" s="1">
        <v>42219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  <c r="L5018" s="2" t="s">
        <v>11030</v>
      </c>
      <c r="M5018" s="2" t="s">
        <v>11030</v>
      </c>
      <c r="N5018" s="2" t="s">
        <v>11037</v>
      </c>
      <c r="O5018" s="2" t="s">
        <v>11035</v>
      </c>
      <c r="P5018" s="2" t="s">
        <v>11035</v>
      </c>
      <c r="Q5018" s="2">
        <f>AVERAGE(PerfRate[[#This Row],[EnvironmentSatisfaction]],PerfRate[[#This Row],[JobSatisfaction]],PerfRate[[#This Row],[RelationshipSatisfaction]])</f>
        <v>2.6666666666666665</v>
      </c>
      <c r="R5018" s="2">
        <f>PerfRate[[#This Row],[ManagerRating]] - PerfRate[[#This Row],[SelfRating]]</f>
        <v>0</v>
      </c>
    </row>
    <row r="5019" spans="1:18">
      <c r="A5019" s="2" t="s">
        <v>9326</v>
      </c>
      <c r="B5019" s="2" t="s">
        <v>1045</v>
      </c>
      <c r="C5019" s="1">
        <v>44298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  <c r="L5019" s="2" t="s">
        <v>11029</v>
      </c>
      <c r="M5019" s="2" t="s">
        <v>11028</v>
      </c>
      <c r="N5019" s="2" t="s">
        <v>11037</v>
      </c>
      <c r="O5019" s="2" t="s">
        <v>11038</v>
      </c>
      <c r="P5019" s="2" t="s">
        <v>11037</v>
      </c>
      <c r="Q5019" s="2">
        <f>AVERAGE(PerfRate[[#This Row],[EnvironmentSatisfaction]],PerfRate[[#This Row],[JobSatisfaction]],PerfRate[[#This Row],[RelationshipSatisfaction]])</f>
        <v>4.333333333333333</v>
      </c>
      <c r="R5019" s="2">
        <f>PerfRate[[#This Row],[ManagerRating]] - PerfRate[[#This Row],[SelfRating]]</f>
        <v>-1</v>
      </c>
    </row>
    <row r="5020" spans="1:18">
      <c r="A5020" s="2" t="s">
        <v>9327</v>
      </c>
      <c r="B5020" s="2" t="s">
        <v>118</v>
      </c>
      <c r="C5020" s="1">
        <v>44359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  <c r="L5020" s="2" t="s">
        <v>11031</v>
      </c>
      <c r="M5020" s="2" t="s">
        <v>11031</v>
      </c>
      <c r="N5020" s="2" t="s">
        <v>11038</v>
      </c>
      <c r="O5020" s="2" t="s">
        <v>11037</v>
      </c>
      <c r="P5020" s="2" t="s">
        <v>11036</v>
      </c>
      <c r="Q5020" s="2">
        <f>AVERAGE(PerfRate[[#This Row],[EnvironmentSatisfaction]],PerfRate[[#This Row],[JobSatisfaction]],PerfRate[[#This Row],[RelationshipSatisfaction]])</f>
        <v>4</v>
      </c>
      <c r="R5020" s="2">
        <f>PerfRate[[#This Row],[ManagerRating]] - PerfRate[[#This Row],[SelfRating]]</f>
        <v>0</v>
      </c>
    </row>
    <row r="5021" spans="1:18">
      <c r="A5021" s="2" t="s">
        <v>9328</v>
      </c>
      <c r="B5021" s="2" t="s">
        <v>1692</v>
      </c>
      <c r="C5021" s="1">
        <v>44359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  <c r="L5021" s="2" t="s">
        <v>11029</v>
      </c>
      <c r="M5021" s="2" t="s">
        <v>11028</v>
      </c>
      <c r="N5021" s="2" t="s">
        <v>11036</v>
      </c>
      <c r="O5021" s="2" t="s">
        <v>11035</v>
      </c>
      <c r="P5021" s="2" t="s">
        <v>11037</v>
      </c>
      <c r="Q5021" s="2">
        <f>AVERAGE(PerfRate[[#This Row],[EnvironmentSatisfaction]],PerfRate[[#This Row],[JobSatisfaction]],PerfRate[[#This Row],[RelationshipSatisfaction]])</f>
        <v>3</v>
      </c>
      <c r="R5021" s="2">
        <f>PerfRate[[#This Row],[ManagerRating]] - PerfRate[[#This Row],[SelfRating]]</f>
        <v>-1</v>
      </c>
    </row>
    <row r="5022" spans="1:18">
      <c r="A5022" s="2" t="s">
        <v>9329</v>
      </c>
      <c r="B5022" s="2" t="s">
        <v>3963</v>
      </c>
      <c r="C5022" s="1">
        <v>44389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  <c r="L5022" s="2" t="s">
        <v>11029</v>
      </c>
      <c r="M5022" s="2" t="s">
        <v>11029</v>
      </c>
      <c r="N5022" s="2" t="s">
        <v>11037</v>
      </c>
      <c r="O5022" s="2" t="s">
        <v>11036</v>
      </c>
      <c r="P5022" s="2" t="s">
        <v>11036</v>
      </c>
      <c r="Q5022" s="2">
        <f>AVERAGE(PerfRate[[#This Row],[EnvironmentSatisfaction]],PerfRate[[#This Row],[JobSatisfaction]],PerfRate[[#This Row],[RelationshipSatisfaction]])</f>
        <v>3.3333333333333335</v>
      </c>
      <c r="R5022" s="2">
        <f>PerfRate[[#This Row],[ManagerRating]] - PerfRate[[#This Row],[SelfRating]]</f>
        <v>0</v>
      </c>
    </row>
    <row r="5023" spans="1:18">
      <c r="A5023" s="2" t="s">
        <v>9330</v>
      </c>
      <c r="B5023" s="2" t="s">
        <v>2730</v>
      </c>
      <c r="C5023" s="1">
        <v>44389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  <c r="L5023" s="2" t="s">
        <v>11030</v>
      </c>
      <c r="M5023" s="2" t="s">
        <v>11030</v>
      </c>
      <c r="N5023" s="2" t="s">
        <v>11036</v>
      </c>
      <c r="O5023" s="2" t="s">
        <v>11038</v>
      </c>
      <c r="P5023" s="2" t="s">
        <v>11038</v>
      </c>
      <c r="Q5023" s="2">
        <f>AVERAGE(PerfRate[[#This Row],[EnvironmentSatisfaction]],PerfRate[[#This Row],[JobSatisfaction]],PerfRate[[#This Row],[RelationshipSatisfaction]])</f>
        <v>4.333333333333333</v>
      </c>
      <c r="R5023" s="2">
        <f>PerfRate[[#This Row],[ManagerRating]] - PerfRate[[#This Row],[SelfRating]]</f>
        <v>0</v>
      </c>
    </row>
    <row r="5024" spans="1:18">
      <c r="A5024" s="2" t="s">
        <v>9331</v>
      </c>
      <c r="B5024" s="2" t="s">
        <v>1883</v>
      </c>
      <c r="C5024" s="1">
        <v>44389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  <c r="L5024" s="2" t="s">
        <v>11030</v>
      </c>
      <c r="M5024" s="2" t="s">
        <v>11030</v>
      </c>
      <c r="N5024" s="2" t="s">
        <v>11036</v>
      </c>
      <c r="O5024" s="2" t="s">
        <v>11035</v>
      </c>
      <c r="P5024" s="2" t="s">
        <v>11036</v>
      </c>
      <c r="Q5024" s="2">
        <f>AVERAGE(PerfRate[[#This Row],[EnvironmentSatisfaction]],PerfRate[[#This Row],[JobSatisfaction]],PerfRate[[#This Row],[RelationshipSatisfaction]])</f>
        <v>2.6666666666666665</v>
      </c>
      <c r="R5024" s="2">
        <f>PerfRate[[#This Row],[ManagerRating]] - PerfRate[[#This Row],[SelfRating]]</f>
        <v>0</v>
      </c>
    </row>
    <row r="5025" spans="1:18">
      <c r="A5025" s="2" t="s">
        <v>9332</v>
      </c>
      <c r="B5025" s="2" t="s">
        <v>4202</v>
      </c>
      <c r="C5025" s="1">
        <v>44420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  <c r="L5025" s="2" t="s">
        <v>11031</v>
      </c>
      <c r="M5025" s="2" t="s">
        <v>11031</v>
      </c>
      <c r="N5025" s="2" t="s">
        <v>11038</v>
      </c>
      <c r="O5025" s="2" t="s">
        <v>11035</v>
      </c>
      <c r="P5025" s="2" t="s">
        <v>11037</v>
      </c>
      <c r="Q5025" s="2">
        <f>AVERAGE(PerfRate[[#This Row],[EnvironmentSatisfaction]],PerfRate[[#This Row],[JobSatisfaction]],PerfRate[[#This Row],[RelationshipSatisfaction]])</f>
        <v>3.6666666666666665</v>
      </c>
      <c r="R5025" s="2">
        <f>PerfRate[[#This Row],[ManagerRating]] - PerfRate[[#This Row],[SelfRating]]</f>
        <v>0</v>
      </c>
    </row>
    <row r="5026" spans="1:18">
      <c r="A5026" s="2" t="s">
        <v>9333</v>
      </c>
      <c r="B5026" s="2" t="s">
        <v>380</v>
      </c>
      <c r="C5026" s="1">
        <v>44420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  <c r="L5026" s="2" t="s">
        <v>11030</v>
      </c>
      <c r="M5026" s="2" t="s">
        <v>11030</v>
      </c>
      <c r="N5026" s="2" t="s">
        <v>11038</v>
      </c>
      <c r="O5026" s="2" t="s">
        <v>11035</v>
      </c>
      <c r="P5026" s="2" t="s">
        <v>11036</v>
      </c>
      <c r="Q5026" s="2">
        <f>AVERAGE(PerfRate[[#This Row],[EnvironmentSatisfaction]],PerfRate[[#This Row],[JobSatisfaction]],PerfRate[[#This Row],[RelationshipSatisfaction]])</f>
        <v>3.3333333333333335</v>
      </c>
      <c r="R5026" s="2">
        <f>PerfRate[[#This Row],[ManagerRating]] - PerfRate[[#This Row],[SelfRating]]</f>
        <v>0</v>
      </c>
    </row>
    <row r="5027" spans="1:18">
      <c r="A5027" s="2" t="s">
        <v>9334</v>
      </c>
      <c r="B5027" s="2" t="s">
        <v>856</v>
      </c>
      <c r="C5027" s="1">
        <v>44481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  <c r="L5027" s="2" t="s">
        <v>11031</v>
      </c>
      <c r="M5027" s="2" t="s">
        <v>11030</v>
      </c>
      <c r="N5027" s="2" t="s">
        <v>11038</v>
      </c>
      <c r="O5027" s="2" t="s">
        <v>11038</v>
      </c>
      <c r="P5027" s="2" t="s">
        <v>11038</v>
      </c>
      <c r="Q5027" s="2">
        <f>AVERAGE(PerfRate[[#This Row],[EnvironmentSatisfaction]],PerfRate[[#This Row],[JobSatisfaction]],PerfRate[[#This Row],[RelationshipSatisfaction]])</f>
        <v>5</v>
      </c>
      <c r="R5027" s="2">
        <f>PerfRate[[#This Row],[ManagerRating]] - PerfRate[[#This Row],[SelfRating]]</f>
        <v>-1</v>
      </c>
    </row>
    <row r="5028" spans="1:18">
      <c r="A5028" s="2" t="s">
        <v>9335</v>
      </c>
      <c r="B5028" s="2" t="s">
        <v>2859</v>
      </c>
      <c r="C5028" s="1">
        <v>44481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  <c r="L5028" s="2" t="s">
        <v>11030</v>
      </c>
      <c r="M5028" s="2" t="s">
        <v>11029</v>
      </c>
      <c r="N5028" s="2" t="s">
        <v>11036</v>
      </c>
      <c r="O5028" s="2" t="s">
        <v>11037</v>
      </c>
      <c r="P5028" s="2" t="s">
        <v>11035</v>
      </c>
      <c r="Q5028" s="2">
        <f>AVERAGE(PerfRate[[#This Row],[EnvironmentSatisfaction]],PerfRate[[#This Row],[JobSatisfaction]],PerfRate[[#This Row],[RelationshipSatisfaction]])</f>
        <v>3</v>
      </c>
      <c r="R5028" s="2">
        <f>PerfRate[[#This Row],[ManagerRating]] - PerfRate[[#This Row],[SelfRating]]</f>
        <v>-1</v>
      </c>
    </row>
    <row r="5029" spans="1:18">
      <c r="A5029" s="2" t="s">
        <v>9336</v>
      </c>
      <c r="B5029" s="2" t="s">
        <v>1674</v>
      </c>
      <c r="C5029" s="1">
        <v>42219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  <c r="L5029" s="2" t="s">
        <v>11029</v>
      </c>
      <c r="M5029" s="2" t="s">
        <v>11028</v>
      </c>
      <c r="N5029" s="2" t="s">
        <v>11036</v>
      </c>
      <c r="O5029" s="2" t="s">
        <v>11037</v>
      </c>
      <c r="P5029" s="2" t="s">
        <v>11036</v>
      </c>
      <c r="Q5029" s="2">
        <f>AVERAGE(PerfRate[[#This Row],[EnvironmentSatisfaction]],PerfRate[[#This Row],[JobSatisfaction]],PerfRate[[#This Row],[RelationshipSatisfaction]])</f>
        <v>3.3333333333333335</v>
      </c>
      <c r="R5029" s="2">
        <f>PerfRate[[#This Row],[ManagerRating]] - PerfRate[[#This Row],[SelfRating]]</f>
        <v>-1</v>
      </c>
    </row>
    <row r="5030" spans="1:18">
      <c r="A5030" s="2" t="s">
        <v>9337</v>
      </c>
      <c r="B5030" s="2" t="s">
        <v>2819</v>
      </c>
      <c r="C5030" s="1">
        <v>44481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  <c r="L5030" s="2" t="s">
        <v>11031</v>
      </c>
      <c r="M5030" s="2" t="s">
        <v>11030</v>
      </c>
      <c r="N5030" s="2" t="s">
        <v>11037</v>
      </c>
      <c r="O5030" s="2" t="s">
        <v>11035</v>
      </c>
      <c r="P5030" s="2" t="s">
        <v>11037</v>
      </c>
      <c r="Q5030" s="2">
        <f>AVERAGE(PerfRate[[#This Row],[EnvironmentSatisfaction]],PerfRate[[#This Row],[JobSatisfaction]],PerfRate[[#This Row],[RelationshipSatisfaction]])</f>
        <v>3.3333333333333335</v>
      </c>
      <c r="R5030" s="2">
        <f>PerfRate[[#This Row],[ManagerRating]] - PerfRate[[#This Row],[SelfRating]]</f>
        <v>-1</v>
      </c>
    </row>
    <row r="5031" spans="1:18">
      <c r="A5031" s="2" t="s">
        <v>9338</v>
      </c>
      <c r="B5031" s="2" t="s">
        <v>1599</v>
      </c>
      <c r="C5031" s="1">
        <v>44512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  <c r="L5031" s="2" t="s">
        <v>11030</v>
      </c>
      <c r="M5031" s="2" t="s">
        <v>11030</v>
      </c>
      <c r="N5031" s="2" t="s">
        <v>11038</v>
      </c>
      <c r="O5031" s="2" t="s">
        <v>11035</v>
      </c>
      <c r="P5031" s="2" t="s">
        <v>11037</v>
      </c>
      <c r="Q5031" s="2">
        <f>AVERAGE(PerfRate[[#This Row],[EnvironmentSatisfaction]],PerfRate[[#This Row],[JobSatisfaction]],PerfRate[[#This Row],[RelationshipSatisfaction]])</f>
        <v>3.6666666666666665</v>
      </c>
      <c r="R5031" s="2">
        <f>PerfRate[[#This Row],[ManagerRating]] - PerfRate[[#This Row],[SelfRating]]</f>
        <v>0</v>
      </c>
    </row>
    <row r="5032" spans="1:18">
      <c r="A5032" s="2" t="s">
        <v>9339</v>
      </c>
      <c r="B5032" s="2" t="s">
        <v>2237</v>
      </c>
      <c r="C5032" s="1">
        <v>44512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  <c r="L5032" s="2" t="s">
        <v>11031</v>
      </c>
      <c r="M5032" s="2" t="s">
        <v>11030</v>
      </c>
      <c r="N5032" s="2" t="s">
        <v>11038</v>
      </c>
      <c r="O5032" s="2" t="s">
        <v>11036</v>
      </c>
      <c r="P5032" s="2" t="s">
        <v>11036</v>
      </c>
      <c r="Q5032" s="2">
        <f>AVERAGE(PerfRate[[#This Row],[EnvironmentSatisfaction]],PerfRate[[#This Row],[JobSatisfaction]],PerfRate[[#This Row],[RelationshipSatisfaction]])</f>
        <v>3.6666666666666665</v>
      </c>
      <c r="R5032" s="2">
        <f>PerfRate[[#This Row],[ManagerRating]] - PerfRate[[#This Row],[SelfRating]]</f>
        <v>-1</v>
      </c>
    </row>
    <row r="5033" spans="1:18">
      <c r="A5033" s="2" t="s">
        <v>9340</v>
      </c>
      <c r="B5033" s="2" t="s">
        <v>3362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  <c r="L5033" s="2" t="s">
        <v>11031</v>
      </c>
      <c r="M5033" s="2" t="s">
        <v>11030</v>
      </c>
      <c r="N5033" s="2" t="s">
        <v>11038</v>
      </c>
      <c r="O5033" s="2" t="s">
        <v>11038</v>
      </c>
      <c r="P5033" s="2" t="s">
        <v>11036</v>
      </c>
      <c r="Q5033" s="2">
        <f>AVERAGE(PerfRate[[#This Row],[EnvironmentSatisfaction]],PerfRate[[#This Row],[JobSatisfaction]],PerfRate[[#This Row],[RelationshipSatisfaction]])</f>
        <v>4.333333333333333</v>
      </c>
      <c r="R5033" s="2">
        <f>PerfRate[[#This Row],[ManagerRating]] - PerfRate[[#This Row],[SelfRating]]</f>
        <v>-1</v>
      </c>
    </row>
    <row r="5034" spans="1:18">
      <c r="A5034" s="2" t="s">
        <v>9341</v>
      </c>
      <c r="B5034" s="2" t="s">
        <v>314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  <c r="L5034" s="2" t="s">
        <v>11031</v>
      </c>
      <c r="M5034" s="2" t="s">
        <v>11031</v>
      </c>
      <c r="N5034" s="2" t="s">
        <v>11036</v>
      </c>
      <c r="O5034" s="2" t="s">
        <v>11035</v>
      </c>
      <c r="P5034" s="2" t="s">
        <v>11038</v>
      </c>
      <c r="Q5034" s="2">
        <f>AVERAGE(PerfRate[[#This Row],[EnvironmentSatisfaction]],PerfRate[[#This Row],[JobSatisfaction]],PerfRate[[#This Row],[RelationshipSatisfaction]])</f>
        <v>3.3333333333333335</v>
      </c>
      <c r="R5034" s="2">
        <f>PerfRate[[#This Row],[ManagerRating]] - PerfRate[[#This Row],[SelfRating]]</f>
        <v>0</v>
      </c>
    </row>
    <row r="5035" spans="1:18">
      <c r="A5035" s="2" t="s">
        <v>9342</v>
      </c>
      <c r="B5035" s="2" t="s">
        <v>2809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  <c r="L5035" s="2" t="s">
        <v>11030</v>
      </c>
      <c r="M5035" s="2" t="s">
        <v>11030</v>
      </c>
      <c r="N5035" s="2" t="s">
        <v>11036</v>
      </c>
      <c r="O5035" s="2" t="s">
        <v>11035</v>
      </c>
      <c r="P5035" s="2" t="s">
        <v>11036</v>
      </c>
      <c r="Q5035" s="2">
        <f>AVERAGE(PerfRate[[#This Row],[EnvironmentSatisfaction]],PerfRate[[#This Row],[JobSatisfaction]],PerfRate[[#This Row],[RelationshipSatisfaction]])</f>
        <v>2.6666666666666665</v>
      </c>
      <c r="R5035" s="2">
        <f>PerfRate[[#This Row],[ManagerRating]] - PerfRate[[#This Row],[SelfRating]]</f>
        <v>0</v>
      </c>
    </row>
    <row r="5036" spans="1:18">
      <c r="A5036" s="2" t="s">
        <v>9343</v>
      </c>
      <c r="B5036" s="2" t="s">
        <v>3662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  <c r="L5036" s="2" t="s">
        <v>11029</v>
      </c>
      <c r="M5036" s="2" t="s">
        <v>11028</v>
      </c>
      <c r="N5036" s="2" t="s">
        <v>11038</v>
      </c>
      <c r="O5036" s="2" t="s">
        <v>11035</v>
      </c>
      <c r="P5036" s="2" t="s">
        <v>11036</v>
      </c>
      <c r="Q5036" s="2">
        <f>AVERAGE(PerfRate[[#This Row],[EnvironmentSatisfaction]],PerfRate[[#This Row],[JobSatisfaction]],PerfRate[[#This Row],[RelationshipSatisfaction]])</f>
        <v>3.3333333333333335</v>
      </c>
      <c r="R5036" s="2">
        <f>PerfRate[[#This Row],[ManagerRating]] - PerfRate[[#This Row],[SelfRating]]</f>
        <v>-1</v>
      </c>
    </row>
    <row r="5037" spans="1:18">
      <c r="A5037" s="2" t="s">
        <v>9344</v>
      </c>
      <c r="B5037" s="2" t="s">
        <v>2932</v>
      </c>
      <c r="C5037" s="1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  <c r="L5037" s="2" t="s">
        <v>11030</v>
      </c>
      <c r="M5037" s="2" t="s">
        <v>11030</v>
      </c>
      <c r="N5037" s="2" t="s">
        <v>11036</v>
      </c>
      <c r="O5037" s="2" t="s">
        <v>11038</v>
      </c>
      <c r="P5037" s="2" t="s">
        <v>11036</v>
      </c>
      <c r="Q5037" s="2">
        <f>AVERAGE(PerfRate[[#This Row],[EnvironmentSatisfaction]],PerfRate[[#This Row],[JobSatisfaction]],PerfRate[[#This Row],[RelationshipSatisfaction]])</f>
        <v>3.6666666666666665</v>
      </c>
      <c r="R5037" s="2">
        <f>PerfRate[[#This Row],[ManagerRating]] - PerfRate[[#This Row],[SelfRating]]</f>
        <v>0</v>
      </c>
    </row>
    <row r="5038" spans="1:18">
      <c r="A5038" s="2" t="s">
        <v>9345</v>
      </c>
      <c r="B5038" s="2" t="s">
        <v>1566</v>
      </c>
      <c r="C5038" s="1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  <c r="L5038" s="2" t="s">
        <v>11031</v>
      </c>
      <c r="M5038" s="2" t="s">
        <v>11030</v>
      </c>
      <c r="N5038" s="2" t="s">
        <v>11037</v>
      </c>
      <c r="O5038" s="2" t="s">
        <v>11035</v>
      </c>
      <c r="P5038" s="2" t="s">
        <v>11036</v>
      </c>
      <c r="Q5038" s="2">
        <f>AVERAGE(PerfRate[[#This Row],[EnvironmentSatisfaction]],PerfRate[[#This Row],[JobSatisfaction]],PerfRate[[#This Row],[RelationshipSatisfaction]])</f>
        <v>3</v>
      </c>
      <c r="R5038" s="2">
        <f>PerfRate[[#This Row],[ManagerRating]] - PerfRate[[#This Row],[SelfRating]]</f>
        <v>-1</v>
      </c>
    </row>
    <row r="5039" spans="1:18">
      <c r="A5039" s="2" t="s">
        <v>9346</v>
      </c>
      <c r="B5039" s="2" t="s">
        <v>3160</v>
      </c>
      <c r="C5039" s="1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  <c r="L5039" s="2" t="s">
        <v>11030</v>
      </c>
      <c r="M5039" s="2" t="s">
        <v>11030</v>
      </c>
      <c r="N5039" s="2" t="s">
        <v>11034</v>
      </c>
      <c r="O5039" s="2" t="s">
        <v>11035</v>
      </c>
      <c r="P5039" s="2" t="s">
        <v>11034</v>
      </c>
      <c r="Q5039" s="2">
        <f>AVERAGE(PerfRate[[#This Row],[EnvironmentSatisfaction]],PerfRate[[#This Row],[JobSatisfaction]],PerfRate[[#This Row],[RelationshipSatisfaction]])</f>
        <v>1.3333333333333333</v>
      </c>
      <c r="R5039" s="2">
        <f>PerfRate[[#This Row],[ManagerRating]] - PerfRate[[#This Row],[SelfRating]]</f>
        <v>0</v>
      </c>
    </row>
    <row r="5040" spans="1:18">
      <c r="A5040" s="2" t="s">
        <v>9347</v>
      </c>
      <c r="B5040" s="2" t="s">
        <v>86</v>
      </c>
      <c r="C5040" s="1">
        <v>42219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  <c r="L5040" s="2" t="s">
        <v>11030</v>
      </c>
      <c r="M5040" s="2" t="s">
        <v>11030</v>
      </c>
      <c r="N5040" s="2" t="s">
        <v>11037</v>
      </c>
      <c r="O5040" s="2" t="s">
        <v>11038</v>
      </c>
      <c r="P5040" s="2" t="s">
        <v>11035</v>
      </c>
      <c r="Q5040" s="2">
        <f>AVERAGE(PerfRate[[#This Row],[EnvironmentSatisfaction]],PerfRate[[#This Row],[JobSatisfaction]],PerfRate[[#This Row],[RelationshipSatisfaction]])</f>
        <v>3.6666666666666665</v>
      </c>
      <c r="R5040" s="2">
        <f>PerfRate[[#This Row],[ManagerRating]] - PerfRate[[#This Row],[SelfRating]]</f>
        <v>0</v>
      </c>
    </row>
    <row r="5041" spans="1:18">
      <c r="A5041" s="2" t="s">
        <v>9348</v>
      </c>
      <c r="B5041" s="2" t="s">
        <v>2051</v>
      </c>
      <c r="C5041" s="1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  <c r="L5041" s="2" t="s">
        <v>11031</v>
      </c>
      <c r="M5041" s="2" t="s">
        <v>11030</v>
      </c>
      <c r="N5041" s="2" t="s">
        <v>11035</v>
      </c>
      <c r="O5041" s="2" t="s">
        <v>11034</v>
      </c>
      <c r="P5041" s="2" t="s">
        <v>11034</v>
      </c>
      <c r="Q5041" s="2">
        <f>AVERAGE(PerfRate[[#This Row],[EnvironmentSatisfaction]],PerfRate[[#This Row],[JobSatisfaction]],PerfRate[[#This Row],[RelationshipSatisfaction]])</f>
        <v>1.3333333333333333</v>
      </c>
      <c r="R5041" s="2">
        <f>PerfRate[[#This Row],[ManagerRating]] - PerfRate[[#This Row],[SelfRating]]</f>
        <v>-1</v>
      </c>
    </row>
    <row r="5042" spans="1:18">
      <c r="A5042" s="2" t="s">
        <v>9349</v>
      </c>
      <c r="B5042" s="2" t="s">
        <v>2257</v>
      </c>
      <c r="C5042" s="1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  <c r="L5042" s="2" t="s">
        <v>11031</v>
      </c>
      <c r="M5042" s="2" t="s">
        <v>11030</v>
      </c>
      <c r="N5042" s="2" t="s">
        <v>11035</v>
      </c>
      <c r="O5042" s="2" t="s">
        <v>11035</v>
      </c>
      <c r="P5042" s="2" t="s">
        <v>11036</v>
      </c>
      <c r="Q5042" s="2">
        <f>AVERAGE(PerfRate[[#This Row],[EnvironmentSatisfaction]],PerfRate[[#This Row],[JobSatisfaction]],PerfRate[[#This Row],[RelationshipSatisfaction]])</f>
        <v>2.3333333333333335</v>
      </c>
      <c r="R5042" s="2">
        <f>PerfRate[[#This Row],[ManagerRating]] - PerfRate[[#This Row],[SelfRating]]</f>
        <v>-1</v>
      </c>
    </row>
    <row r="5043" spans="1:18">
      <c r="A5043" s="2" t="s">
        <v>9350</v>
      </c>
      <c r="B5043" s="2" t="s">
        <v>2514</v>
      </c>
      <c r="C5043" s="1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  <c r="L5043" s="2" t="s">
        <v>11029</v>
      </c>
      <c r="M5043" s="2" t="s">
        <v>11028</v>
      </c>
      <c r="N5043" s="2" t="s">
        <v>11036</v>
      </c>
      <c r="O5043" s="2" t="s">
        <v>11036</v>
      </c>
      <c r="P5043" s="2" t="s">
        <v>11037</v>
      </c>
      <c r="Q5043" s="2">
        <f>AVERAGE(PerfRate[[#This Row],[EnvironmentSatisfaction]],PerfRate[[#This Row],[JobSatisfaction]],PerfRate[[#This Row],[RelationshipSatisfaction]])</f>
        <v>3.3333333333333335</v>
      </c>
      <c r="R5043" s="2">
        <f>PerfRate[[#This Row],[ManagerRating]] - PerfRate[[#This Row],[SelfRating]]</f>
        <v>-1</v>
      </c>
    </row>
    <row r="5044" spans="1:18">
      <c r="A5044" s="2" t="s">
        <v>9351</v>
      </c>
      <c r="B5044" s="2" t="s">
        <v>3476</v>
      </c>
      <c r="C5044" s="1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  <c r="L5044" s="2" t="s">
        <v>11031</v>
      </c>
      <c r="M5044" s="2" t="s">
        <v>11031</v>
      </c>
      <c r="N5044" s="2" t="s">
        <v>11037</v>
      </c>
      <c r="O5044" s="2" t="s">
        <v>11035</v>
      </c>
      <c r="P5044" s="2" t="s">
        <v>11035</v>
      </c>
      <c r="Q5044" s="2">
        <f>AVERAGE(PerfRate[[#This Row],[EnvironmentSatisfaction]],PerfRate[[#This Row],[JobSatisfaction]],PerfRate[[#This Row],[RelationshipSatisfaction]])</f>
        <v>2.6666666666666665</v>
      </c>
      <c r="R5044" s="2">
        <f>PerfRate[[#This Row],[ManagerRating]] - PerfRate[[#This Row],[SelfRating]]</f>
        <v>0</v>
      </c>
    </row>
    <row r="5045" spans="1:18">
      <c r="A5045" s="2" t="s">
        <v>9352</v>
      </c>
      <c r="B5045" s="2" t="s">
        <v>2900</v>
      </c>
      <c r="C5045" s="1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  <c r="L5045" s="2" t="s">
        <v>11030</v>
      </c>
      <c r="M5045" s="2" t="s">
        <v>11030</v>
      </c>
      <c r="N5045" s="2" t="s">
        <v>11037</v>
      </c>
      <c r="O5045" s="2" t="s">
        <v>11037</v>
      </c>
      <c r="P5045" s="2" t="s">
        <v>11035</v>
      </c>
      <c r="Q5045" s="2">
        <f>AVERAGE(PerfRate[[#This Row],[EnvironmentSatisfaction]],PerfRate[[#This Row],[JobSatisfaction]],PerfRate[[#This Row],[RelationshipSatisfaction]])</f>
        <v>3.3333333333333335</v>
      </c>
      <c r="R5045" s="2">
        <f>PerfRate[[#This Row],[ManagerRating]] - PerfRate[[#This Row],[SelfRating]]</f>
        <v>0</v>
      </c>
    </row>
    <row r="5046" spans="1:18">
      <c r="A5046" s="2" t="s">
        <v>9353</v>
      </c>
      <c r="B5046" s="2" t="s">
        <v>211</v>
      </c>
      <c r="C5046" s="1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  <c r="L5046" s="2" t="s">
        <v>11030</v>
      </c>
      <c r="M5046" s="2" t="s">
        <v>11029</v>
      </c>
      <c r="N5046" s="2" t="s">
        <v>11038</v>
      </c>
      <c r="O5046" s="2" t="s">
        <v>11035</v>
      </c>
      <c r="P5046" s="2" t="s">
        <v>11035</v>
      </c>
      <c r="Q5046" s="2">
        <f>AVERAGE(PerfRate[[#This Row],[EnvironmentSatisfaction]],PerfRate[[#This Row],[JobSatisfaction]],PerfRate[[#This Row],[RelationshipSatisfaction]])</f>
        <v>3</v>
      </c>
      <c r="R5046" s="2">
        <f>PerfRate[[#This Row],[ManagerRating]] - PerfRate[[#This Row],[SelfRating]]</f>
        <v>-1</v>
      </c>
    </row>
    <row r="5047" spans="1:18">
      <c r="A5047" s="2" t="s">
        <v>9354</v>
      </c>
      <c r="B5047" s="2" t="s">
        <v>1397</v>
      </c>
      <c r="C5047" s="1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  <c r="L5047" s="2" t="s">
        <v>11029</v>
      </c>
      <c r="M5047" s="2" t="s">
        <v>11029</v>
      </c>
      <c r="N5047" s="2" t="s">
        <v>11038</v>
      </c>
      <c r="O5047" s="2" t="s">
        <v>11038</v>
      </c>
      <c r="P5047" s="2" t="s">
        <v>11036</v>
      </c>
      <c r="Q5047" s="2">
        <f>AVERAGE(PerfRate[[#This Row],[EnvironmentSatisfaction]],PerfRate[[#This Row],[JobSatisfaction]],PerfRate[[#This Row],[RelationshipSatisfaction]])</f>
        <v>4.333333333333333</v>
      </c>
      <c r="R5047" s="2">
        <f>PerfRate[[#This Row],[ManagerRating]] - PerfRate[[#This Row],[SelfRating]]</f>
        <v>0</v>
      </c>
    </row>
    <row r="5048" spans="1:18">
      <c r="A5048" s="2" t="s">
        <v>9355</v>
      </c>
      <c r="B5048" s="2" t="s">
        <v>2251</v>
      </c>
      <c r="C5048" s="1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  <c r="L5048" s="2" t="s">
        <v>11031</v>
      </c>
      <c r="M5048" s="2" t="s">
        <v>11030</v>
      </c>
      <c r="N5048" s="2" t="s">
        <v>11038</v>
      </c>
      <c r="O5048" s="2" t="s">
        <v>11035</v>
      </c>
      <c r="P5048" s="2" t="s">
        <v>11037</v>
      </c>
      <c r="Q5048" s="2">
        <f>AVERAGE(PerfRate[[#This Row],[EnvironmentSatisfaction]],PerfRate[[#This Row],[JobSatisfaction]],PerfRate[[#This Row],[RelationshipSatisfaction]])</f>
        <v>3.6666666666666665</v>
      </c>
      <c r="R5048" s="2">
        <f>PerfRate[[#This Row],[ManagerRating]] - PerfRate[[#This Row],[SelfRating]]</f>
        <v>-1</v>
      </c>
    </row>
    <row r="5049" spans="1:18">
      <c r="A5049" s="2" t="s">
        <v>9356</v>
      </c>
      <c r="B5049" s="2" t="s">
        <v>3606</v>
      </c>
      <c r="C5049" s="1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  <c r="L5049" s="2" t="s">
        <v>11031</v>
      </c>
      <c r="M5049" s="2" t="s">
        <v>11030</v>
      </c>
      <c r="N5049" s="2" t="s">
        <v>11037</v>
      </c>
      <c r="O5049" s="2" t="s">
        <v>11037</v>
      </c>
      <c r="P5049" s="2" t="s">
        <v>11035</v>
      </c>
      <c r="Q5049" s="2">
        <f>AVERAGE(PerfRate[[#This Row],[EnvironmentSatisfaction]],PerfRate[[#This Row],[JobSatisfaction]],PerfRate[[#This Row],[RelationshipSatisfaction]])</f>
        <v>3.3333333333333335</v>
      </c>
      <c r="R5049" s="2">
        <f>PerfRate[[#This Row],[ManagerRating]] - PerfRate[[#This Row],[SelfRating]]</f>
        <v>-1</v>
      </c>
    </row>
    <row r="5050" spans="1:18">
      <c r="A5050" s="2" t="s">
        <v>9357</v>
      </c>
      <c r="B5050" s="2" t="s">
        <v>679</v>
      </c>
      <c r="C5050" s="1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  <c r="L5050" s="2" t="s">
        <v>11031</v>
      </c>
      <c r="M5050" s="2" t="s">
        <v>11031</v>
      </c>
      <c r="N5050" s="2" t="s">
        <v>11038</v>
      </c>
      <c r="O5050" s="2" t="s">
        <v>11038</v>
      </c>
      <c r="P5050" s="2" t="s">
        <v>11037</v>
      </c>
      <c r="Q5050" s="2">
        <f>AVERAGE(PerfRate[[#This Row],[EnvironmentSatisfaction]],PerfRate[[#This Row],[JobSatisfaction]],PerfRate[[#This Row],[RelationshipSatisfaction]])</f>
        <v>4.666666666666667</v>
      </c>
      <c r="R5050" s="2">
        <f>PerfRate[[#This Row],[ManagerRating]] - PerfRate[[#This Row],[SelfRating]]</f>
        <v>0</v>
      </c>
    </row>
    <row r="5051" spans="1:18">
      <c r="A5051" s="2" t="s">
        <v>9358</v>
      </c>
      <c r="B5051" s="2" t="s">
        <v>4183</v>
      </c>
      <c r="C5051" s="1">
        <v>42219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  <c r="L5051" s="2" t="s">
        <v>11031</v>
      </c>
      <c r="M5051" s="2" t="s">
        <v>11031</v>
      </c>
      <c r="N5051" s="2" t="s">
        <v>11037</v>
      </c>
      <c r="O5051" s="2" t="s">
        <v>11038</v>
      </c>
      <c r="P5051" s="2" t="s">
        <v>11038</v>
      </c>
      <c r="Q5051" s="2">
        <f>AVERAGE(PerfRate[[#This Row],[EnvironmentSatisfaction]],PerfRate[[#This Row],[JobSatisfaction]],PerfRate[[#This Row],[RelationshipSatisfaction]])</f>
        <v>4.666666666666667</v>
      </c>
      <c r="R5051" s="2">
        <f>PerfRate[[#This Row],[ManagerRating]] - PerfRate[[#This Row],[SelfRating]]</f>
        <v>0</v>
      </c>
    </row>
    <row r="5052" spans="1:18">
      <c r="A5052" s="2" t="s">
        <v>9359</v>
      </c>
      <c r="B5052" s="2" t="s">
        <v>2005</v>
      </c>
      <c r="C5052" s="1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  <c r="L5052" s="2" t="s">
        <v>11031</v>
      </c>
      <c r="M5052" s="2" t="s">
        <v>11031</v>
      </c>
      <c r="N5052" s="2" t="s">
        <v>11036</v>
      </c>
      <c r="O5052" s="2" t="s">
        <v>11035</v>
      </c>
      <c r="P5052" s="2" t="s">
        <v>11038</v>
      </c>
      <c r="Q5052" s="2">
        <f>AVERAGE(PerfRate[[#This Row],[EnvironmentSatisfaction]],PerfRate[[#This Row],[JobSatisfaction]],PerfRate[[#This Row],[RelationshipSatisfaction]])</f>
        <v>3.3333333333333335</v>
      </c>
      <c r="R5052" s="2">
        <f>PerfRate[[#This Row],[ManagerRating]] - PerfRate[[#This Row],[SelfRating]]</f>
        <v>0</v>
      </c>
    </row>
    <row r="5053" spans="1:18">
      <c r="A5053" s="2" t="s">
        <v>9360</v>
      </c>
      <c r="B5053" s="2" t="s">
        <v>2754</v>
      </c>
      <c r="C5053" s="1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  <c r="L5053" s="2" t="s">
        <v>11031</v>
      </c>
      <c r="M5053" s="2" t="s">
        <v>11030</v>
      </c>
      <c r="N5053" s="2" t="s">
        <v>11038</v>
      </c>
      <c r="O5053" s="2" t="s">
        <v>11035</v>
      </c>
      <c r="P5053" s="2" t="s">
        <v>11036</v>
      </c>
      <c r="Q5053" s="2">
        <f>AVERAGE(PerfRate[[#This Row],[EnvironmentSatisfaction]],PerfRate[[#This Row],[JobSatisfaction]],PerfRate[[#This Row],[RelationshipSatisfaction]])</f>
        <v>3.3333333333333335</v>
      </c>
      <c r="R5053" s="2">
        <f>PerfRate[[#This Row],[ManagerRating]] - PerfRate[[#This Row],[SelfRating]]</f>
        <v>-1</v>
      </c>
    </row>
    <row r="5054" spans="1:18">
      <c r="A5054" s="2" t="s">
        <v>9361</v>
      </c>
      <c r="B5054" s="2" t="s">
        <v>278</v>
      </c>
      <c r="C5054" s="1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  <c r="L5054" s="2" t="s">
        <v>11029</v>
      </c>
      <c r="M5054" s="2" t="s">
        <v>11029</v>
      </c>
      <c r="N5054" s="2" t="s">
        <v>11037</v>
      </c>
      <c r="O5054" s="2" t="s">
        <v>11036</v>
      </c>
      <c r="P5054" s="2" t="s">
        <v>11037</v>
      </c>
      <c r="Q5054" s="2">
        <f>AVERAGE(PerfRate[[#This Row],[EnvironmentSatisfaction]],PerfRate[[#This Row],[JobSatisfaction]],PerfRate[[#This Row],[RelationshipSatisfaction]])</f>
        <v>3.6666666666666665</v>
      </c>
      <c r="R5054" s="2">
        <f>PerfRate[[#This Row],[ManagerRating]] - PerfRate[[#This Row],[SelfRating]]</f>
        <v>0</v>
      </c>
    </row>
    <row r="5055" spans="1:18">
      <c r="A5055" s="2" t="s">
        <v>9362</v>
      </c>
      <c r="B5055" s="2" t="s">
        <v>186</v>
      </c>
      <c r="C5055" s="1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  <c r="L5055" s="2" t="s">
        <v>11031</v>
      </c>
      <c r="M5055" s="2" t="s">
        <v>11031</v>
      </c>
      <c r="N5055" s="2" t="s">
        <v>11038</v>
      </c>
      <c r="O5055" s="2" t="s">
        <v>11035</v>
      </c>
      <c r="P5055" s="2" t="s">
        <v>11035</v>
      </c>
      <c r="Q5055" s="2">
        <f>AVERAGE(PerfRate[[#This Row],[EnvironmentSatisfaction]],PerfRate[[#This Row],[JobSatisfaction]],PerfRate[[#This Row],[RelationshipSatisfaction]])</f>
        <v>3</v>
      </c>
      <c r="R5055" s="2">
        <f>PerfRate[[#This Row],[ManagerRating]] - PerfRate[[#This Row],[SelfRating]]</f>
        <v>0</v>
      </c>
    </row>
    <row r="5056" spans="1:18">
      <c r="A5056" s="2" t="s">
        <v>9363</v>
      </c>
      <c r="B5056" s="2" t="s">
        <v>1277</v>
      </c>
      <c r="C5056" s="1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  <c r="L5056" s="2" t="s">
        <v>11029</v>
      </c>
      <c r="M5056" s="2" t="s">
        <v>11029</v>
      </c>
      <c r="N5056" s="2" t="s">
        <v>11036</v>
      </c>
      <c r="O5056" s="2" t="s">
        <v>11037</v>
      </c>
      <c r="P5056" s="2" t="s">
        <v>11036</v>
      </c>
      <c r="Q5056" s="2">
        <f>AVERAGE(PerfRate[[#This Row],[EnvironmentSatisfaction]],PerfRate[[#This Row],[JobSatisfaction]],PerfRate[[#This Row],[RelationshipSatisfaction]])</f>
        <v>3.3333333333333335</v>
      </c>
      <c r="R5056" s="2">
        <f>PerfRate[[#This Row],[ManagerRating]] - PerfRate[[#This Row],[SelfRating]]</f>
        <v>0</v>
      </c>
    </row>
    <row r="5057" spans="1:18">
      <c r="A5057" s="2" t="s">
        <v>9364</v>
      </c>
      <c r="B5057" s="2" t="s">
        <v>1635</v>
      </c>
      <c r="C5057" s="1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  <c r="L5057" s="2" t="s">
        <v>11029</v>
      </c>
      <c r="M5057" s="2" t="s">
        <v>11029</v>
      </c>
      <c r="N5057" s="2" t="s">
        <v>11036</v>
      </c>
      <c r="O5057" s="2" t="s">
        <v>11037</v>
      </c>
      <c r="P5057" s="2" t="s">
        <v>11035</v>
      </c>
      <c r="Q5057" s="2">
        <f>AVERAGE(PerfRate[[#This Row],[EnvironmentSatisfaction]],PerfRate[[#This Row],[JobSatisfaction]],PerfRate[[#This Row],[RelationshipSatisfaction]])</f>
        <v>3</v>
      </c>
      <c r="R5057" s="2">
        <f>PerfRate[[#This Row],[ManagerRating]] - PerfRate[[#This Row],[SelfRating]]</f>
        <v>0</v>
      </c>
    </row>
    <row r="5058" spans="1:18">
      <c r="A5058" s="2" t="s">
        <v>9365</v>
      </c>
      <c r="B5058" s="2" t="s">
        <v>311</v>
      </c>
      <c r="C5058" s="1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  <c r="L5058" s="2" t="s">
        <v>11029</v>
      </c>
      <c r="M5058" s="2" t="s">
        <v>11029</v>
      </c>
      <c r="N5058" s="2" t="s">
        <v>11037</v>
      </c>
      <c r="O5058" s="2" t="s">
        <v>11038</v>
      </c>
      <c r="P5058" s="2" t="s">
        <v>11038</v>
      </c>
      <c r="Q5058" s="2">
        <f>AVERAGE(PerfRate[[#This Row],[EnvironmentSatisfaction]],PerfRate[[#This Row],[JobSatisfaction]],PerfRate[[#This Row],[RelationshipSatisfaction]])</f>
        <v>4.666666666666667</v>
      </c>
      <c r="R5058" s="2">
        <f>PerfRate[[#This Row],[ManagerRating]] - PerfRate[[#This Row],[SelfRating]]</f>
        <v>0</v>
      </c>
    </row>
    <row r="5059" spans="1:18">
      <c r="A5059" s="2" t="s">
        <v>9366</v>
      </c>
      <c r="B5059" s="2" t="s">
        <v>413</v>
      </c>
      <c r="C5059" s="1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  <c r="L5059" s="2" t="s">
        <v>11029</v>
      </c>
      <c r="M5059" s="2" t="s">
        <v>11028</v>
      </c>
      <c r="N5059" s="2" t="s">
        <v>11038</v>
      </c>
      <c r="O5059" s="2" t="s">
        <v>11035</v>
      </c>
      <c r="P5059" s="2" t="s">
        <v>11037</v>
      </c>
      <c r="Q5059" s="2">
        <f>AVERAGE(PerfRate[[#This Row],[EnvironmentSatisfaction]],PerfRate[[#This Row],[JobSatisfaction]],PerfRate[[#This Row],[RelationshipSatisfaction]])</f>
        <v>3.6666666666666665</v>
      </c>
      <c r="R5059" s="2">
        <f>PerfRate[[#This Row],[ManagerRating]] - PerfRate[[#This Row],[SelfRating]]</f>
        <v>-1</v>
      </c>
    </row>
    <row r="5060" spans="1:18">
      <c r="A5060" s="2" t="s">
        <v>9367</v>
      </c>
      <c r="B5060" s="2" t="s">
        <v>949</v>
      </c>
      <c r="C5060" s="1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  <c r="L5060" s="2" t="s">
        <v>11031</v>
      </c>
      <c r="M5060" s="2" t="s">
        <v>11030</v>
      </c>
      <c r="N5060" s="2" t="s">
        <v>11036</v>
      </c>
      <c r="O5060" s="2" t="s">
        <v>11037</v>
      </c>
      <c r="P5060" s="2" t="s">
        <v>11035</v>
      </c>
      <c r="Q5060" s="2">
        <f>AVERAGE(PerfRate[[#This Row],[EnvironmentSatisfaction]],PerfRate[[#This Row],[JobSatisfaction]],PerfRate[[#This Row],[RelationshipSatisfaction]])</f>
        <v>3</v>
      </c>
      <c r="R5060" s="2">
        <f>PerfRate[[#This Row],[ManagerRating]] - PerfRate[[#This Row],[SelfRating]]</f>
        <v>-1</v>
      </c>
    </row>
    <row r="5061" spans="1:18">
      <c r="A5061" s="2" t="s">
        <v>9368</v>
      </c>
      <c r="B5061" s="2" t="s">
        <v>1438</v>
      </c>
      <c r="C5061" s="1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  <c r="L5061" s="2" t="s">
        <v>11030</v>
      </c>
      <c r="M5061" s="2" t="s">
        <v>11029</v>
      </c>
      <c r="N5061" s="2" t="s">
        <v>11036</v>
      </c>
      <c r="O5061" s="2" t="s">
        <v>11036</v>
      </c>
      <c r="P5061" s="2" t="s">
        <v>11035</v>
      </c>
      <c r="Q5061" s="2">
        <f>AVERAGE(PerfRate[[#This Row],[EnvironmentSatisfaction]],PerfRate[[#This Row],[JobSatisfaction]],PerfRate[[#This Row],[RelationshipSatisfaction]])</f>
        <v>2.6666666666666665</v>
      </c>
      <c r="R5061" s="2">
        <f>PerfRate[[#This Row],[ManagerRating]] - PerfRate[[#This Row],[SelfRating]]</f>
        <v>-1</v>
      </c>
    </row>
    <row r="5062" spans="1:18">
      <c r="A5062" s="2" t="s">
        <v>9369</v>
      </c>
      <c r="B5062" s="2" t="s">
        <v>800</v>
      </c>
      <c r="C5062" s="1">
        <v>42280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  <c r="L5062" s="2" t="s">
        <v>11031</v>
      </c>
      <c r="M5062" s="2" t="s">
        <v>11031</v>
      </c>
      <c r="N5062" s="2" t="s">
        <v>11037</v>
      </c>
      <c r="O5062" s="2" t="s">
        <v>11038</v>
      </c>
      <c r="P5062" s="2" t="s">
        <v>11035</v>
      </c>
      <c r="Q5062" s="2">
        <f>AVERAGE(PerfRate[[#This Row],[EnvironmentSatisfaction]],PerfRate[[#This Row],[JobSatisfaction]],PerfRate[[#This Row],[RelationshipSatisfaction]])</f>
        <v>3.6666666666666665</v>
      </c>
      <c r="R5062" s="2">
        <f>PerfRate[[#This Row],[ManagerRating]] - PerfRate[[#This Row],[SelfRating]]</f>
        <v>0</v>
      </c>
    </row>
    <row r="5063" spans="1:18">
      <c r="A5063" s="2" t="s">
        <v>9370</v>
      </c>
      <c r="B5063" s="2" t="s">
        <v>2065</v>
      </c>
      <c r="C5063" s="1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  <c r="L5063" s="2" t="s">
        <v>11031</v>
      </c>
      <c r="M5063" s="2" t="s">
        <v>11030</v>
      </c>
      <c r="N5063" s="2" t="s">
        <v>11038</v>
      </c>
      <c r="O5063" s="2" t="s">
        <v>11037</v>
      </c>
      <c r="P5063" s="2" t="s">
        <v>11038</v>
      </c>
      <c r="Q5063" s="2">
        <f>AVERAGE(PerfRate[[#This Row],[EnvironmentSatisfaction]],PerfRate[[#This Row],[JobSatisfaction]],PerfRate[[#This Row],[RelationshipSatisfaction]])</f>
        <v>4.666666666666667</v>
      </c>
      <c r="R5063" s="2">
        <f>PerfRate[[#This Row],[ManagerRating]] - PerfRate[[#This Row],[SelfRating]]</f>
        <v>-1</v>
      </c>
    </row>
    <row r="5064" spans="1:18">
      <c r="A5064" s="2" t="s">
        <v>9371</v>
      </c>
      <c r="B5064" s="2" t="s">
        <v>4035</v>
      </c>
      <c r="C5064" s="1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  <c r="L5064" s="2" t="s">
        <v>11029</v>
      </c>
      <c r="M5064" s="2" t="s">
        <v>11028</v>
      </c>
      <c r="N5064" s="2" t="s">
        <v>11037</v>
      </c>
      <c r="O5064" s="2" t="s">
        <v>11036</v>
      </c>
      <c r="P5064" s="2" t="s">
        <v>11035</v>
      </c>
      <c r="Q5064" s="2">
        <f>AVERAGE(PerfRate[[#This Row],[EnvironmentSatisfaction]],PerfRate[[#This Row],[JobSatisfaction]],PerfRate[[#This Row],[RelationshipSatisfaction]])</f>
        <v>3</v>
      </c>
      <c r="R5064" s="2">
        <f>PerfRate[[#This Row],[ManagerRating]] - PerfRate[[#This Row],[SelfRating]]</f>
        <v>-1</v>
      </c>
    </row>
    <row r="5065" spans="1:18">
      <c r="A5065" s="2" t="s">
        <v>9372</v>
      </c>
      <c r="B5065" s="2" t="s">
        <v>901</v>
      </c>
      <c r="C5065" s="1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  <c r="L5065" s="2" t="s">
        <v>11029</v>
      </c>
      <c r="M5065" s="2" t="s">
        <v>11029</v>
      </c>
      <c r="N5065" s="2" t="s">
        <v>11037</v>
      </c>
      <c r="O5065" s="2" t="s">
        <v>11037</v>
      </c>
      <c r="P5065" s="2" t="s">
        <v>11037</v>
      </c>
      <c r="Q5065" s="2">
        <f>AVERAGE(PerfRate[[#This Row],[EnvironmentSatisfaction]],PerfRate[[#This Row],[JobSatisfaction]],PerfRate[[#This Row],[RelationshipSatisfaction]])</f>
        <v>4</v>
      </c>
      <c r="R5065" s="2">
        <f>PerfRate[[#This Row],[ManagerRating]] - PerfRate[[#This Row],[SelfRating]]</f>
        <v>0</v>
      </c>
    </row>
    <row r="5066" spans="1:18">
      <c r="A5066" s="2" t="s">
        <v>9373</v>
      </c>
      <c r="B5066" s="2" t="s">
        <v>860</v>
      </c>
      <c r="C5066" s="1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  <c r="L5066" s="2" t="s">
        <v>11030</v>
      </c>
      <c r="M5066" s="2" t="s">
        <v>11029</v>
      </c>
      <c r="N5066" s="2" t="s">
        <v>11038</v>
      </c>
      <c r="O5066" s="2" t="s">
        <v>11037</v>
      </c>
      <c r="P5066" s="2" t="s">
        <v>11038</v>
      </c>
      <c r="Q5066" s="2">
        <f>AVERAGE(PerfRate[[#This Row],[EnvironmentSatisfaction]],PerfRate[[#This Row],[JobSatisfaction]],PerfRate[[#This Row],[RelationshipSatisfaction]])</f>
        <v>4.666666666666667</v>
      </c>
      <c r="R5066" s="2">
        <f>PerfRate[[#This Row],[ManagerRating]] - PerfRate[[#This Row],[SelfRating]]</f>
        <v>-1</v>
      </c>
    </row>
    <row r="5067" spans="1:18">
      <c r="A5067" s="2" t="s">
        <v>9374</v>
      </c>
      <c r="B5067" s="2" t="s">
        <v>1623</v>
      </c>
      <c r="C5067" s="1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  <c r="L5067" s="2" t="s">
        <v>11029</v>
      </c>
      <c r="M5067" s="2" t="s">
        <v>11028</v>
      </c>
      <c r="N5067" s="2" t="s">
        <v>11038</v>
      </c>
      <c r="O5067" s="2" t="s">
        <v>11037</v>
      </c>
      <c r="P5067" s="2" t="s">
        <v>11035</v>
      </c>
      <c r="Q5067" s="2">
        <f>AVERAGE(PerfRate[[#This Row],[EnvironmentSatisfaction]],PerfRate[[#This Row],[JobSatisfaction]],PerfRate[[#This Row],[RelationshipSatisfaction]])</f>
        <v>3.6666666666666665</v>
      </c>
      <c r="R5067" s="2">
        <f>PerfRate[[#This Row],[ManagerRating]] - PerfRate[[#This Row],[SelfRating]]</f>
        <v>-1</v>
      </c>
    </row>
    <row r="5068" spans="1:18">
      <c r="A5068" s="2" t="s">
        <v>9375</v>
      </c>
      <c r="B5068" s="2" t="s">
        <v>1514</v>
      </c>
      <c r="C5068" s="1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  <c r="L5068" s="2" t="s">
        <v>11030</v>
      </c>
      <c r="M5068" s="2" t="s">
        <v>11029</v>
      </c>
      <c r="N5068" s="2" t="s">
        <v>11038</v>
      </c>
      <c r="O5068" s="2" t="s">
        <v>11036</v>
      </c>
      <c r="P5068" s="2" t="s">
        <v>11037</v>
      </c>
      <c r="Q5068" s="2">
        <f>AVERAGE(PerfRate[[#This Row],[EnvironmentSatisfaction]],PerfRate[[#This Row],[JobSatisfaction]],PerfRate[[#This Row],[RelationshipSatisfaction]])</f>
        <v>4</v>
      </c>
      <c r="R5068" s="2">
        <f>PerfRate[[#This Row],[ManagerRating]] - PerfRate[[#This Row],[SelfRating]]</f>
        <v>-1</v>
      </c>
    </row>
    <row r="5069" spans="1:18">
      <c r="A5069" s="2" t="s">
        <v>9376</v>
      </c>
      <c r="B5069" s="2" t="s">
        <v>2054</v>
      </c>
      <c r="C5069" s="1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  <c r="L5069" s="2" t="s">
        <v>11030</v>
      </c>
      <c r="M5069" s="2" t="s">
        <v>11029</v>
      </c>
      <c r="N5069" s="2" t="s">
        <v>11038</v>
      </c>
      <c r="O5069" s="2" t="s">
        <v>11035</v>
      </c>
      <c r="P5069" s="2" t="s">
        <v>11035</v>
      </c>
      <c r="Q5069" s="2">
        <f>AVERAGE(PerfRate[[#This Row],[EnvironmentSatisfaction]],PerfRate[[#This Row],[JobSatisfaction]],PerfRate[[#This Row],[RelationshipSatisfaction]])</f>
        <v>3</v>
      </c>
      <c r="R5069" s="2">
        <f>PerfRate[[#This Row],[ManagerRating]] - PerfRate[[#This Row],[SelfRating]]</f>
        <v>-1</v>
      </c>
    </row>
    <row r="5070" spans="1:18">
      <c r="A5070" s="2" t="s">
        <v>9377</v>
      </c>
      <c r="B5070" s="2" t="s">
        <v>1776</v>
      </c>
      <c r="C5070" s="1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  <c r="L5070" s="2" t="s">
        <v>11030</v>
      </c>
      <c r="M5070" s="2" t="s">
        <v>11030</v>
      </c>
      <c r="N5070" s="2" t="s">
        <v>11037</v>
      </c>
      <c r="O5070" s="2" t="s">
        <v>11037</v>
      </c>
      <c r="P5070" s="2" t="s">
        <v>11035</v>
      </c>
      <c r="Q5070" s="2">
        <f>AVERAGE(PerfRate[[#This Row],[EnvironmentSatisfaction]],PerfRate[[#This Row],[JobSatisfaction]],PerfRate[[#This Row],[RelationshipSatisfaction]])</f>
        <v>3.3333333333333335</v>
      </c>
      <c r="R5070" s="2">
        <f>PerfRate[[#This Row],[ManagerRating]] - PerfRate[[#This Row],[SelfRating]]</f>
        <v>0</v>
      </c>
    </row>
    <row r="5071" spans="1:18">
      <c r="A5071" s="2" t="s">
        <v>9378</v>
      </c>
      <c r="B5071" s="2" t="s">
        <v>2849</v>
      </c>
      <c r="C5071" s="1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  <c r="L5071" s="2" t="s">
        <v>11031</v>
      </c>
      <c r="M5071" s="2" t="s">
        <v>11030</v>
      </c>
      <c r="N5071" s="2" t="s">
        <v>11038</v>
      </c>
      <c r="O5071" s="2" t="s">
        <v>11035</v>
      </c>
      <c r="P5071" s="2" t="s">
        <v>11035</v>
      </c>
      <c r="Q5071" s="2">
        <f>AVERAGE(PerfRate[[#This Row],[EnvironmentSatisfaction]],PerfRate[[#This Row],[JobSatisfaction]],PerfRate[[#This Row],[RelationshipSatisfaction]])</f>
        <v>3</v>
      </c>
      <c r="R5071" s="2">
        <f>PerfRate[[#This Row],[ManagerRating]] - PerfRate[[#This Row],[SelfRating]]</f>
        <v>-1</v>
      </c>
    </row>
    <row r="5072" spans="1:18">
      <c r="A5072" s="2" t="s">
        <v>9379</v>
      </c>
      <c r="B5072" s="2" t="s">
        <v>3006</v>
      </c>
      <c r="C5072" s="1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  <c r="L5072" s="2" t="s">
        <v>11029</v>
      </c>
      <c r="M5072" s="2" t="s">
        <v>11028</v>
      </c>
      <c r="N5072" s="2" t="s">
        <v>11038</v>
      </c>
      <c r="O5072" s="2" t="s">
        <v>11035</v>
      </c>
      <c r="P5072" s="2" t="s">
        <v>11035</v>
      </c>
      <c r="Q5072" s="2">
        <f>AVERAGE(PerfRate[[#This Row],[EnvironmentSatisfaction]],PerfRate[[#This Row],[JobSatisfaction]],PerfRate[[#This Row],[RelationshipSatisfaction]])</f>
        <v>3</v>
      </c>
      <c r="R5072" s="2">
        <f>PerfRate[[#This Row],[ManagerRating]] - PerfRate[[#This Row],[SelfRating]]</f>
        <v>-1</v>
      </c>
    </row>
    <row r="5073" spans="1:18">
      <c r="A5073" s="2" t="s">
        <v>9380</v>
      </c>
      <c r="B5073" s="2" t="s">
        <v>192</v>
      </c>
      <c r="C5073" s="1">
        <v>42280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  <c r="L5073" s="2" t="s">
        <v>11029</v>
      </c>
      <c r="M5073" s="2" t="s">
        <v>11029</v>
      </c>
      <c r="N5073" s="2" t="s">
        <v>11037</v>
      </c>
      <c r="O5073" s="2" t="s">
        <v>11035</v>
      </c>
      <c r="P5073" s="2" t="s">
        <v>11036</v>
      </c>
      <c r="Q5073" s="2">
        <f>AVERAGE(PerfRate[[#This Row],[EnvironmentSatisfaction]],PerfRate[[#This Row],[JobSatisfaction]],PerfRate[[#This Row],[RelationshipSatisfaction]])</f>
        <v>3</v>
      </c>
      <c r="R5073" s="2">
        <f>PerfRate[[#This Row],[ManagerRating]] - PerfRate[[#This Row],[SelfRating]]</f>
        <v>0</v>
      </c>
    </row>
    <row r="5074" spans="1:18">
      <c r="A5074" s="2" t="s">
        <v>9381</v>
      </c>
      <c r="B5074" s="2" t="s">
        <v>3207</v>
      </c>
      <c r="C5074" s="1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  <c r="L5074" s="2" t="s">
        <v>11030</v>
      </c>
      <c r="M5074" s="2" t="s">
        <v>11029</v>
      </c>
      <c r="N5074" s="2" t="s">
        <v>11036</v>
      </c>
      <c r="O5074" s="2" t="s">
        <v>11036</v>
      </c>
      <c r="P5074" s="2" t="s">
        <v>11036</v>
      </c>
      <c r="Q5074" s="2">
        <f>AVERAGE(PerfRate[[#This Row],[EnvironmentSatisfaction]],PerfRate[[#This Row],[JobSatisfaction]],PerfRate[[#This Row],[RelationshipSatisfaction]])</f>
        <v>3</v>
      </c>
      <c r="R5074" s="2">
        <f>PerfRate[[#This Row],[ManagerRating]] - PerfRate[[#This Row],[SelfRating]]</f>
        <v>-1</v>
      </c>
    </row>
    <row r="5075" spans="1:18">
      <c r="A5075" s="2" t="s">
        <v>9382</v>
      </c>
      <c r="B5075" s="2" t="s">
        <v>419</v>
      </c>
      <c r="C5075" s="1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  <c r="L5075" s="2" t="s">
        <v>11031</v>
      </c>
      <c r="M5075" s="2" t="s">
        <v>11031</v>
      </c>
      <c r="N5075" s="2" t="s">
        <v>11036</v>
      </c>
      <c r="O5075" s="2" t="s">
        <v>11037</v>
      </c>
      <c r="P5075" s="2" t="s">
        <v>11038</v>
      </c>
      <c r="Q5075" s="2">
        <f>AVERAGE(PerfRate[[#This Row],[EnvironmentSatisfaction]],PerfRate[[#This Row],[JobSatisfaction]],PerfRate[[#This Row],[RelationshipSatisfaction]])</f>
        <v>4</v>
      </c>
      <c r="R5075" s="2">
        <f>PerfRate[[#This Row],[ManagerRating]] - PerfRate[[#This Row],[SelfRating]]</f>
        <v>0</v>
      </c>
    </row>
    <row r="5076" spans="1:18">
      <c r="A5076" s="2" t="s">
        <v>9383</v>
      </c>
      <c r="B5076" s="2" t="s">
        <v>2975</v>
      </c>
      <c r="C5076" s="1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  <c r="L5076" s="2" t="s">
        <v>11031</v>
      </c>
      <c r="M5076" s="2" t="s">
        <v>11030</v>
      </c>
      <c r="N5076" s="2" t="s">
        <v>11037</v>
      </c>
      <c r="O5076" s="2" t="s">
        <v>11035</v>
      </c>
      <c r="P5076" s="2" t="s">
        <v>11038</v>
      </c>
      <c r="Q5076" s="2">
        <f>AVERAGE(PerfRate[[#This Row],[EnvironmentSatisfaction]],PerfRate[[#This Row],[JobSatisfaction]],PerfRate[[#This Row],[RelationshipSatisfaction]])</f>
        <v>3.6666666666666665</v>
      </c>
      <c r="R5076" s="2">
        <f>PerfRate[[#This Row],[ManagerRating]] - PerfRate[[#This Row],[SelfRating]]</f>
        <v>-1</v>
      </c>
    </row>
    <row r="5077" spans="1:18">
      <c r="A5077" s="2" t="s">
        <v>9384</v>
      </c>
      <c r="B5077" s="2" t="s">
        <v>2644</v>
      </c>
      <c r="C5077" s="1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  <c r="L5077" s="2" t="s">
        <v>11029</v>
      </c>
      <c r="M5077" s="2" t="s">
        <v>11028</v>
      </c>
      <c r="N5077" s="2" t="s">
        <v>11036</v>
      </c>
      <c r="O5077" s="2" t="s">
        <v>11035</v>
      </c>
      <c r="P5077" s="2" t="s">
        <v>11037</v>
      </c>
      <c r="Q5077" s="2">
        <f>AVERAGE(PerfRate[[#This Row],[EnvironmentSatisfaction]],PerfRate[[#This Row],[JobSatisfaction]],PerfRate[[#This Row],[RelationshipSatisfaction]])</f>
        <v>3</v>
      </c>
      <c r="R5077" s="2">
        <f>PerfRate[[#This Row],[ManagerRating]] - PerfRate[[#This Row],[SelfRating]]</f>
        <v>-1</v>
      </c>
    </row>
    <row r="5078" spans="1:18">
      <c r="A5078" s="2" t="s">
        <v>9385</v>
      </c>
      <c r="B5078" s="2" t="s">
        <v>3609</v>
      </c>
      <c r="C5078" s="1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  <c r="L5078" s="2" t="s">
        <v>11030</v>
      </c>
      <c r="M5078" s="2" t="s">
        <v>11029</v>
      </c>
      <c r="N5078" s="2" t="s">
        <v>11038</v>
      </c>
      <c r="O5078" s="2" t="s">
        <v>11035</v>
      </c>
      <c r="P5078" s="2" t="s">
        <v>11035</v>
      </c>
      <c r="Q5078" s="2">
        <f>AVERAGE(PerfRate[[#This Row],[EnvironmentSatisfaction]],PerfRate[[#This Row],[JobSatisfaction]],PerfRate[[#This Row],[RelationshipSatisfaction]])</f>
        <v>3</v>
      </c>
      <c r="R5078" s="2">
        <f>PerfRate[[#This Row],[ManagerRating]] - PerfRate[[#This Row],[SelfRating]]</f>
        <v>-1</v>
      </c>
    </row>
    <row r="5079" spans="1:18">
      <c r="A5079" s="2" t="s">
        <v>9386</v>
      </c>
      <c r="B5079" s="2" t="s">
        <v>2856</v>
      </c>
      <c r="C5079" s="1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  <c r="L5079" s="2" t="s">
        <v>11031</v>
      </c>
      <c r="M5079" s="2" t="s">
        <v>11031</v>
      </c>
      <c r="N5079" s="2" t="s">
        <v>11038</v>
      </c>
      <c r="O5079" s="2" t="s">
        <v>11035</v>
      </c>
      <c r="P5079" s="2" t="s">
        <v>11038</v>
      </c>
      <c r="Q5079" s="2">
        <f>AVERAGE(PerfRate[[#This Row],[EnvironmentSatisfaction]],PerfRate[[#This Row],[JobSatisfaction]],PerfRate[[#This Row],[RelationshipSatisfaction]])</f>
        <v>4</v>
      </c>
      <c r="R5079" s="2">
        <f>PerfRate[[#This Row],[ManagerRating]] - PerfRate[[#This Row],[SelfRating]]</f>
        <v>0</v>
      </c>
    </row>
    <row r="5080" spans="1:18">
      <c r="A5080" s="2" t="s">
        <v>9387</v>
      </c>
      <c r="B5080" s="2" t="s">
        <v>2560</v>
      </c>
      <c r="C5080" s="1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  <c r="L5080" s="2" t="s">
        <v>11029</v>
      </c>
      <c r="M5080" s="2" t="s">
        <v>11029</v>
      </c>
      <c r="N5080" s="2" t="s">
        <v>11036</v>
      </c>
      <c r="O5080" s="2" t="s">
        <v>11038</v>
      </c>
      <c r="P5080" s="2" t="s">
        <v>11037</v>
      </c>
      <c r="Q5080" s="2">
        <f>AVERAGE(PerfRate[[#This Row],[EnvironmentSatisfaction]],PerfRate[[#This Row],[JobSatisfaction]],PerfRate[[#This Row],[RelationshipSatisfaction]])</f>
        <v>4</v>
      </c>
      <c r="R5080" s="2">
        <f>PerfRate[[#This Row],[ManagerRating]] - PerfRate[[#This Row],[SelfRating]]</f>
        <v>0</v>
      </c>
    </row>
    <row r="5081" spans="1:18">
      <c r="A5081" s="2" t="s">
        <v>9388</v>
      </c>
      <c r="B5081" s="2" t="s">
        <v>628</v>
      </c>
      <c r="C5081" s="1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  <c r="L5081" s="2" t="s">
        <v>11031</v>
      </c>
      <c r="M5081" s="2" t="s">
        <v>11031</v>
      </c>
      <c r="N5081" s="2" t="s">
        <v>11038</v>
      </c>
      <c r="O5081" s="2" t="s">
        <v>11037</v>
      </c>
      <c r="P5081" s="2" t="s">
        <v>11037</v>
      </c>
      <c r="Q5081" s="2">
        <f>AVERAGE(PerfRate[[#This Row],[EnvironmentSatisfaction]],PerfRate[[#This Row],[JobSatisfaction]],PerfRate[[#This Row],[RelationshipSatisfaction]])</f>
        <v>4.333333333333333</v>
      </c>
      <c r="R5081" s="2">
        <f>PerfRate[[#This Row],[ManagerRating]] - PerfRate[[#This Row],[SelfRating]]</f>
        <v>0</v>
      </c>
    </row>
    <row r="5082" spans="1:18">
      <c r="A5082" s="2" t="s">
        <v>9389</v>
      </c>
      <c r="B5082" s="2" t="s">
        <v>997</v>
      </c>
      <c r="C5082" s="1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  <c r="L5082" s="2" t="s">
        <v>11031</v>
      </c>
      <c r="M5082" s="2" t="s">
        <v>11030</v>
      </c>
      <c r="N5082" s="2" t="s">
        <v>11038</v>
      </c>
      <c r="O5082" s="2" t="s">
        <v>11036</v>
      </c>
      <c r="P5082" s="2" t="s">
        <v>11036</v>
      </c>
      <c r="Q5082" s="2">
        <f>AVERAGE(PerfRate[[#This Row],[EnvironmentSatisfaction]],PerfRate[[#This Row],[JobSatisfaction]],PerfRate[[#This Row],[RelationshipSatisfaction]])</f>
        <v>3.6666666666666665</v>
      </c>
      <c r="R5082" s="2">
        <f>PerfRate[[#This Row],[ManagerRating]] - PerfRate[[#This Row],[SelfRating]]</f>
        <v>-1</v>
      </c>
    </row>
    <row r="5083" spans="1:18">
      <c r="A5083" s="2" t="s">
        <v>9390</v>
      </c>
      <c r="B5083" s="2" t="s">
        <v>2062</v>
      </c>
      <c r="C5083" s="1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  <c r="L5083" s="2" t="s">
        <v>11029</v>
      </c>
      <c r="M5083" s="2" t="s">
        <v>11028</v>
      </c>
      <c r="N5083" s="2" t="s">
        <v>11038</v>
      </c>
      <c r="O5083" s="2" t="s">
        <v>11035</v>
      </c>
      <c r="P5083" s="2" t="s">
        <v>11037</v>
      </c>
      <c r="Q5083" s="2">
        <f>AVERAGE(PerfRate[[#This Row],[EnvironmentSatisfaction]],PerfRate[[#This Row],[JobSatisfaction]],PerfRate[[#This Row],[RelationshipSatisfaction]])</f>
        <v>3.6666666666666665</v>
      </c>
      <c r="R5083" s="2">
        <f>PerfRate[[#This Row],[ManagerRating]] - PerfRate[[#This Row],[SelfRating]]</f>
        <v>-1</v>
      </c>
    </row>
    <row r="5084" spans="1:18">
      <c r="A5084" s="2" t="s">
        <v>9391</v>
      </c>
      <c r="B5084" s="2" t="s">
        <v>4236</v>
      </c>
      <c r="C5084" s="1">
        <v>42311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  <c r="L5084" s="2" t="s">
        <v>11029</v>
      </c>
      <c r="M5084" s="2" t="s">
        <v>11028</v>
      </c>
      <c r="N5084" s="2" t="s">
        <v>11037</v>
      </c>
      <c r="O5084" s="2" t="s">
        <v>11038</v>
      </c>
      <c r="P5084" s="2" t="s">
        <v>11038</v>
      </c>
      <c r="Q5084" s="2">
        <f>AVERAGE(PerfRate[[#This Row],[EnvironmentSatisfaction]],PerfRate[[#This Row],[JobSatisfaction]],PerfRate[[#This Row],[RelationshipSatisfaction]])</f>
        <v>4.666666666666667</v>
      </c>
      <c r="R5084" s="2">
        <f>PerfRate[[#This Row],[ManagerRating]] - PerfRate[[#This Row],[SelfRating]]</f>
        <v>-1</v>
      </c>
    </row>
    <row r="5085" spans="1:18">
      <c r="A5085" s="2" t="s">
        <v>9392</v>
      </c>
      <c r="B5085" s="2" t="s">
        <v>788</v>
      </c>
      <c r="C5085" s="1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  <c r="L5085" s="2" t="s">
        <v>11029</v>
      </c>
      <c r="M5085" s="2" t="s">
        <v>11029</v>
      </c>
      <c r="N5085" s="2" t="s">
        <v>11038</v>
      </c>
      <c r="O5085" s="2" t="s">
        <v>11035</v>
      </c>
      <c r="P5085" s="2" t="s">
        <v>11037</v>
      </c>
      <c r="Q5085" s="2">
        <f>AVERAGE(PerfRate[[#This Row],[EnvironmentSatisfaction]],PerfRate[[#This Row],[JobSatisfaction]],PerfRate[[#This Row],[RelationshipSatisfaction]])</f>
        <v>3.6666666666666665</v>
      </c>
      <c r="R5085" s="2">
        <f>PerfRate[[#This Row],[ManagerRating]] - PerfRate[[#This Row],[SelfRating]]</f>
        <v>0</v>
      </c>
    </row>
    <row r="5086" spans="1:18">
      <c r="A5086" s="2" t="s">
        <v>9393</v>
      </c>
      <c r="B5086" s="2" t="s">
        <v>368</v>
      </c>
      <c r="C5086" s="1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  <c r="L5086" s="2" t="s">
        <v>11031</v>
      </c>
      <c r="M5086" s="2" t="s">
        <v>11030</v>
      </c>
      <c r="N5086" s="2" t="s">
        <v>11037</v>
      </c>
      <c r="O5086" s="2" t="s">
        <v>11035</v>
      </c>
      <c r="P5086" s="2" t="s">
        <v>11037</v>
      </c>
      <c r="Q5086" s="2">
        <f>AVERAGE(PerfRate[[#This Row],[EnvironmentSatisfaction]],PerfRate[[#This Row],[JobSatisfaction]],PerfRate[[#This Row],[RelationshipSatisfaction]])</f>
        <v>3.3333333333333335</v>
      </c>
      <c r="R5086" s="2">
        <f>PerfRate[[#This Row],[ManagerRating]] - PerfRate[[#This Row],[SelfRating]]</f>
        <v>-1</v>
      </c>
    </row>
    <row r="5087" spans="1:18">
      <c r="A5087" s="2" t="s">
        <v>9394</v>
      </c>
      <c r="B5087" s="2" t="s">
        <v>287</v>
      </c>
      <c r="C5087" s="1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  <c r="L5087" s="2" t="s">
        <v>11031</v>
      </c>
      <c r="M5087" s="2" t="s">
        <v>11031</v>
      </c>
      <c r="N5087" s="2" t="s">
        <v>11036</v>
      </c>
      <c r="O5087" s="2" t="s">
        <v>11037</v>
      </c>
      <c r="P5087" s="2" t="s">
        <v>11036</v>
      </c>
      <c r="Q5087" s="2">
        <f>AVERAGE(PerfRate[[#This Row],[EnvironmentSatisfaction]],PerfRate[[#This Row],[JobSatisfaction]],PerfRate[[#This Row],[RelationshipSatisfaction]])</f>
        <v>3.3333333333333335</v>
      </c>
      <c r="R5087" s="2">
        <f>PerfRate[[#This Row],[ManagerRating]] - PerfRate[[#This Row],[SelfRating]]</f>
        <v>0</v>
      </c>
    </row>
    <row r="5088" spans="1:18">
      <c r="A5088" s="2" t="s">
        <v>9395</v>
      </c>
      <c r="B5088" s="2" t="s">
        <v>866</v>
      </c>
      <c r="C5088" s="1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  <c r="L5088" s="2" t="s">
        <v>11030</v>
      </c>
      <c r="M5088" s="2" t="s">
        <v>11029</v>
      </c>
      <c r="N5088" s="2" t="s">
        <v>11038</v>
      </c>
      <c r="O5088" s="2" t="s">
        <v>11036</v>
      </c>
      <c r="P5088" s="2" t="s">
        <v>11036</v>
      </c>
      <c r="Q5088" s="2">
        <f>AVERAGE(PerfRate[[#This Row],[EnvironmentSatisfaction]],PerfRate[[#This Row],[JobSatisfaction]],PerfRate[[#This Row],[RelationshipSatisfaction]])</f>
        <v>3.6666666666666665</v>
      </c>
      <c r="R5088" s="2">
        <f>PerfRate[[#This Row],[ManagerRating]] - PerfRate[[#This Row],[SelfRating]]</f>
        <v>-1</v>
      </c>
    </row>
    <row r="5089" spans="1:18">
      <c r="A5089" s="2" t="s">
        <v>9396</v>
      </c>
      <c r="B5089" s="2" t="s">
        <v>1638</v>
      </c>
      <c r="C5089" s="1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  <c r="L5089" s="2" t="s">
        <v>11029</v>
      </c>
      <c r="M5089" s="2" t="s">
        <v>11028</v>
      </c>
      <c r="N5089" s="2" t="s">
        <v>11037</v>
      </c>
      <c r="O5089" s="2" t="s">
        <v>11037</v>
      </c>
      <c r="P5089" s="2" t="s">
        <v>11038</v>
      </c>
      <c r="Q5089" s="2">
        <f>AVERAGE(PerfRate[[#This Row],[EnvironmentSatisfaction]],PerfRate[[#This Row],[JobSatisfaction]],PerfRate[[#This Row],[RelationshipSatisfaction]])</f>
        <v>4.333333333333333</v>
      </c>
      <c r="R5089" s="2">
        <f>PerfRate[[#This Row],[ManagerRating]] - PerfRate[[#This Row],[SelfRating]]</f>
        <v>-1</v>
      </c>
    </row>
    <row r="5090" spans="1:18">
      <c r="A5090" s="2" t="s">
        <v>9397</v>
      </c>
      <c r="B5090" s="2" t="s">
        <v>2089</v>
      </c>
      <c r="C5090" s="1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  <c r="L5090" s="2" t="s">
        <v>11030</v>
      </c>
      <c r="M5090" s="2" t="s">
        <v>11029</v>
      </c>
      <c r="N5090" s="2" t="s">
        <v>11037</v>
      </c>
      <c r="O5090" s="2" t="s">
        <v>11035</v>
      </c>
      <c r="P5090" s="2" t="s">
        <v>11035</v>
      </c>
      <c r="Q5090" s="2">
        <f>AVERAGE(PerfRate[[#This Row],[EnvironmentSatisfaction]],PerfRate[[#This Row],[JobSatisfaction]],PerfRate[[#This Row],[RelationshipSatisfaction]])</f>
        <v>2.6666666666666665</v>
      </c>
      <c r="R5090" s="2">
        <f>PerfRate[[#This Row],[ManagerRating]] - PerfRate[[#This Row],[SelfRating]]</f>
        <v>-1</v>
      </c>
    </row>
    <row r="5091" spans="1:18">
      <c r="A5091" s="2" t="s">
        <v>9398</v>
      </c>
      <c r="B5091" s="2" t="s">
        <v>1862</v>
      </c>
      <c r="C5091" s="1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  <c r="L5091" s="2" t="s">
        <v>11031</v>
      </c>
      <c r="M5091" s="2" t="s">
        <v>11030</v>
      </c>
      <c r="N5091" s="2" t="s">
        <v>11038</v>
      </c>
      <c r="O5091" s="2" t="s">
        <v>11035</v>
      </c>
      <c r="P5091" s="2" t="s">
        <v>11037</v>
      </c>
      <c r="Q5091" s="2">
        <f>AVERAGE(PerfRate[[#This Row],[EnvironmentSatisfaction]],PerfRate[[#This Row],[JobSatisfaction]],PerfRate[[#This Row],[RelationshipSatisfaction]])</f>
        <v>3.6666666666666665</v>
      </c>
      <c r="R5091" s="2">
        <f>PerfRate[[#This Row],[ManagerRating]] - PerfRate[[#This Row],[SelfRating]]</f>
        <v>-1</v>
      </c>
    </row>
    <row r="5092" spans="1:18">
      <c r="A5092" s="2" t="s">
        <v>9399</v>
      </c>
      <c r="B5092" s="2" t="s">
        <v>2378</v>
      </c>
      <c r="C5092" s="1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  <c r="L5092" s="2" t="s">
        <v>11029</v>
      </c>
      <c r="M5092" s="2" t="s">
        <v>11029</v>
      </c>
      <c r="N5092" s="2" t="s">
        <v>11037</v>
      </c>
      <c r="O5092" s="2" t="s">
        <v>11035</v>
      </c>
      <c r="P5092" s="2" t="s">
        <v>11036</v>
      </c>
      <c r="Q5092" s="2">
        <f>AVERAGE(PerfRate[[#This Row],[EnvironmentSatisfaction]],PerfRate[[#This Row],[JobSatisfaction]],PerfRate[[#This Row],[RelationshipSatisfaction]])</f>
        <v>3</v>
      </c>
      <c r="R5092" s="2">
        <f>PerfRate[[#This Row],[ManagerRating]] - PerfRate[[#This Row],[SelfRating]]</f>
        <v>0</v>
      </c>
    </row>
    <row r="5093" spans="1:18">
      <c r="A5093" s="2" t="s">
        <v>9400</v>
      </c>
      <c r="B5093" s="2" t="s">
        <v>3572</v>
      </c>
      <c r="C5093" s="1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  <c r="L5093" s="2" t="s">
        <v>11029</v>
      </c>
      <c r="M5093" s="2" t="s">
        <v>11029</v>
      </c>
      <c r="N5093" s="2" t="s">
        <v>11038</v>
      </c>
      <c r="O5093" s="2" t="s">
        <v>11035</v>
      </c>
      <c r="P5093" s="2" t="s">
        <v>11038</v>
      </c>
      <c r="Q5093" s="2">
        <f>AVERAGE(PerfRate[[#This Row],[EnvironmentSatisfaction]],PerfRate[[#This Row],[JobSatisfaction]],PerfRate[[#This Row],[RelationshipSatisfaction]])</f>
        <v>4</v>
      </c>
      <c r="R5093" s="2">
        <f>PerfRate[[#This Row],[ManagerRating]] - PerfRate[[#This Row],[SelfRating]]</f>
        <v>0</v>
      </c>
    </row>
    <row r="5094" spans="1:18">
      <c r="A5094" s="2" t="s">
        <v>9401</v>
      </c>
      <c r="B5094" s="2" t="s">
        <v>204</v>
      </c>
      <c r="C5094" s="1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  <c r="L5094" s="2" t="s">
        <v>11029</v>
      </c>
      <c r="M5094" s="2" t="s">
        <v>11028</v>
      </c>
      <c r="N5094" s="2" t="s">
        <v>11037</v>
      </c>
      <c r="O5094" s="2" t="s">
        <v>11036</v>
      </c>
      <c r="P5094" s="2" t="s">
        <v>11036</v>
      </c>
      <c r="Q5094" s="2">
        <f>AVERAGE(PerfRate[[#This Row],[EnvironmentSatisfaction]],PerfRate[[#This Row],[JobSatisfaction]],PerfRate[[#This Row],[RelationshipSatisfaction]])</f>
        <v>3.3333333333333335</v>
      </c>
      <c r="R5094" s="2">
        <f>PerfRate[[#This Row],[ManagerRating]] - PerfRate[[#This Row],[SelfRating]]</f>
        <v>-1</v>
      </c>
    </row>
    <row r="5095" spans="1:18">
      <c r="A5095" s="2" t="s">
        <v>9402</v>
      </c>
      <c r="B5095" s="2" t="s">
        <v>1939</v>
      </c>
      <c r="C5095" s="1">
        <v>42341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  <c r="L5095" s="2" t="s">
        <v>11029</v>
      </c>
      <c r="M5095" s="2" t="s">
        <v>11029</v>
      </c>
      <c r="N5095" s="2" t="s">
        <v>11036</v>
      </c>
      <c r="O5095" s="2" t="s">
        <v>11036</v>
      </c>
      <c r="P5095" s="2" t="s">
        <v>11037</v>
      </c>
      <c r="Q5095" s="2">
        <f>AVERAGE(PerfRate[[#This Row],[EnvironmentSatisfaction]],PerfRate[[#This Row],[JobSatisfaction]],PerfRate[[#This Row],[RelationshipSatisfaction]])</f>
        <v>3.3333333333333335</v>
      </c>
      <c r="R5095" s="2">
        <f>PerfRate[[#This Row],[ManagerRating]] - PerfRate[[#This Row],[SelfRating]]</f>
        <v>0</v>
      </c>
    </row>
    <row r="5096" spans="1:18">
      <c r="A5096" s="2" t="s">
        <v>9403</v>
      </c>
      <c r="B5096" s="2" t="s">
        <v>904</v>
      </c>
      <c r="C5096" s="1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  <c r="L5096" s="2" t="s">
        <v>11029</v>
      </c>
      <c r="M5096" s="2" t="s">
        <v>11028</v>
      </c>
      <c r="N5096" s="2" t="s">
        <v>11036</v>
      </c>
      <c r="O5096" s="2" t="s">
        <v>11036</v>
      </c>
      <c r="P5096" s="2" t="s">
        <v>11038</v>
      </c>
      <c r="Q5096" s="2">
        <f>AVERAGE(PerfRate[[#This Row],[EnvironmentSatisfaction]],PerfRate[[#This Row],[JobSatisfaction]],PerfRate[[#This Row],[RelationshipSatisfaction]])</f>
        <v>3.6666666666666665</v>
      </c>
      <c r="R5096" s="2">
        <f>PerfRate[[#This Row],[ManagerRating]] - PerfRate[[#This Row],[SelfRating]]</f>
        <v>-1</v>
      </c>
    </row>
    <row r="5097" spans="1:18">
      <c r="A5097" s="2" t="s">
        <v>9404</v>
      </c>
      <c r="B5097" s="2" t="s">
        <v>1429</v>
      </c>
      <c r="C5097" s="1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  <c r="L5097" s="2" t="s">
        <v>11029</v>
      </c>
      <c r="M5097" s="2" t="s">
        <v>11028</v>
      </c>
      <c r="N5097" s="2" t="s">
        <v>11038</v>
      </c>
      <c r="O5097" s="2" t="s">
        <v>11036</v>
      </c>
      <c r="P5097" s="2" t="s">
        <v>11038</v>
      </c>
      <c r="Q5097" s="2">
        <f>AVERAGE(PerfRate[[#This Row],[EnvironmentSatisfaction]],PerfRate[[#This Row],[JobSatisfaction]],PerfRate[[#This Row],[RelationshipSatisfaction]])</f>
        <v>4.333333333333333</v>
      </c>
      <c r="R5097" s="2">
        <f>PerfRate[[#This Row],[ManagerRating]] - PerfRate[[#This Row],[SelfRating]]</f>
        <v>-1</v>
      </c>
    </row>
    <row r="5098" spans="1:18">
      <c r="A5098" s="2" t="s">
        <v>9405</v>
      </c>
      <c r="B5098" s="2" t="s">
        <v>2083</v>
      </c>
      <c r="C5098" s="1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  <c r="L5098" s="2" t="s">
        <v>11030</v>
      </c>
      <c r="M5098" s="2" t="s">
        <v>11030</v>
      </c>
      <c r="N5098" s="2" t="s">
        <v>11037</v>
      </c>
      <c r="O5098" s="2" t="s">
        <v>11035</v>
      </c>
      <c r="P5098" s="2" t="s">
        <v>11038</v>
      </c>
      <c r="Q5098" s="2">
        <f>AVERAGE(PerfRate[[#This Row],[EnvironmentSatisfaction]],PerfRate[[#This Row],[JobSatisfaction]],PerfRate[[#This Row],[RelationshipSatisfaction]])</f>
        <v>3.6666666666666665</v>
      </c>
      <c r="R5098" s="2">
        <f>PerfRate[[#This Row],[ManagerRating]] - PerfRate[[#This Row],[SelfRating]]</f>
        <v>0</v>
      </c>
    </row>
    <row r="5099" spans="1:18">
      <c r="A5099" s="2" t="s">
        <v>9406</v>
      </c>
      <c r="B5099" s="2" t="s">
        <v>2272</v>
      </c>
      <c r="C5099" s="1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  <c r="L5099" s="2" t="s">
        <v>11030</v>
      </c>
      <c r="M5099" s="2" t="s">
        <v>11030</v>
      </c>
      <c r="N5099" s="2" t="s">
        <v>11036</v>
      </c>
      <c r="O5099" s="2" t="s">
        <v>11035</v>
      </c>
      <c r="P5099" s="2" t="s">
        <v>11036</v>
      </c>
      <c r="Q5099" s="2">
        <f>AVERAGE(PerfRate[[#This Row],[EnvironmentSatisfaction]],PerfRate[[#This Row],[JobSatisfaction]],PerfRate[[#This Row],[RelationshipSatisfaction]])</f>
        <v>2.6666666666666665</v>
      </c>
      <c r="R5099" s="2">
        <f>PerfRate[[#This Row],[ManagerRating]] - PerfRate[[#This Row],[SelfRating]]</f>
        <v>0</v>
      </c>
    </row>
    <row r="5100" spans="1:18">
      <c r="A5100" s="2" t="s">
        <v>9407</v>
      </c>
      <c r="B5100" s="2" t="s">
        <v>2949</v>
      </c>
      <c r="C5100" s="1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  <c r="L5100" s="2" t="s">
        <v>11031</v>
      </c>
      <c r="M5100" s="2" t="s">
        <v>11031</v>
      </c>
      <c r="N5100" s="2" t="s">
        <v>11038</v>
      </c>
      <c r="O5100" s="2" t="s">
        <v>11036</v>
      </c>
      <c r="P5100" s="2" t="s">
        <v>11035</v>
      </c>
      <c r="Q5100" s="2">
        <f>AVERAGE(PerfRate[[#This Row],[EnvironmentSatisfaction]],PerfRate[[#This Row],[JobSatisfaction]],PerfRate[[#This Row],[RelationshipSatisfaction]])</f>
        <v>3.3333333333333335</v>
      </c>
      <c r="R5100" s="2">
        <f>PerfRate[[#This Row],[ManagerRating]] - PerfRate[[#This Row],[SelfRating]]</f>
        <v>0</v>
      </c>
    </row>
    <row r="5101" spans="1:18">
      <c r="A5101" s="2" t="s">
        <v>9408</v>
      </c>
      <c r="B5101" s="2" t="s">
        <v>1235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  <c r="L5101" s="2" t="s">
        <v>11031</v>
      </c>
      <c r="M5101" s="2" t="s">
        <v>11031</v>
      </c>
      <c r="N5101" s="2" t="s">
        <v>11036</v>
      </c>
      <c r="O5101" s="2" t="s">
        <v>11037</v>
      </c>
      <c r="P5101" s="2" t="s">
        <v>11037</v>
      </c>
      <c r="Q5101" s="2">
        <f>AVERAGE(PerfRate[[#This Row],[EnvironmentSatisfaction]],PerfRate[[#This Row],[JobSatisfaction]],PerfRate[[#This Row],[RelationshipSatisfaction]])</f>
        <v>3.6666666666666665</v>
      </c>
      <c r="R5101" s="2">
        <f>PerfRate[[#This Row],[ManagerRating]] - PerfRate[[#This Row],[SelfRating]]</f>
        <v>0</v>
      </c>
    </row>
    <row r="5102" spans="1:18">
      <c r="A5102" s="2" t="s">
        <v>9409</v>
      </c>
      <c r="B5102" s="2" t="s">
        <v>1326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  <c r="L5102" s="2" t="s">
        <v>11031</v>
      </c>
      <c r="M5102" s="2" t="s">
        <v>11030</v>
      </c>
      <c r="N5102" s="2" t="s">
        <v>11037</v>
      </c>
      <c r="O5102" s="2" t="s">
        <v>11038</v>
      </c>
      <c r="P5102" s="2" t="s">
        <v>11035</v>
      </c>
      <c r="Q5102" s="2">
        <f>AVERAGE(PerfRate[[#This Row],[EnvironmentSatisfaction]],PerfRate[[#This Row],[JobSatisfaction]],PerfRate[[#This Row],[RelationshipSatisfaction]])</f>
        <v>3.6666666666666665</v>
      </c>
      <c r="R5102" s="2">
        <f>PerfRate[[#This Row],[ManagerRating]] - PerfRate[[#This Row],[SelfRating]]</f>
        <v>-1</v>
      </c>
    </row>
    <row r="5103" spans="1:18">
      <c r="A5103" s="2" t="s">
        <v>9410</v>
      </c>
      <c r="B5103" s="2" t="s">
        <v>320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  <c r="L5103" s="2" t="s">
        <v>11031</v>
      </c>
      <c r="M5103" s="2" t="s">
        <v>11031</v>
      </c>
      <c r="N5103" s="2" t="s">
        <v>11038</v>
      </c>
      <c r="O5103" s="2" t="s">
        <v>11037</v>
      </c>
      <c r="P5103" s="2" t="s">
        <v>11037</v>
      </c>
      <c r="Q5103" s="2">
        <f>AVERAGE(PerfRate[[#This Row],[EnvironmentSatisfaction]],PerfRate[[#This Row],[JobSatisfaction]],PerfRate[[#This Row],[RelationshipSatisfaction]])</f>
        <v>4.333333333333333</v>
      </c>
      <c r="R5103" s="2">
        <f>PerfRate[[#This Row],[ManagerRating]] - PerfRate[[#This Row],[SelfRating]]</f>
        <v>0</v>
      </c>
    </row>
    <row r="5104" spans="1:18">
      <c r="A5104" s="2" t="s">
        <v>9411</v>
      </c>
      <c r="B5104" s="2" t="s">
        <v>1068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  <c r="L5104" s="2" t="s">
        <v>11029</v>
      </c>
      <c r="M5104" s="2" t="s">
        <v>11029</v>
      </c>
      <c r="N5104" s="2" t="s">
        <v>11038</v>
      </c>
      <c r="O5104" s="2" t="s">
        <v>11038</v>
      </c>
      <c r="P5104" s="2" t="s">
        <v>11038</v>
      </c>
      <c r="Q5104" s="2">
        <f>AVERAGE(PerfRate[[#This Row],[EnvironmentSatisfaction]],PerfRate[[#This Row],[JobSatisfaction]],PerfRate[[#This Row],[RelationshipSatisfaction]])</f>
        <v>5</v>
      </c>
      <c r="R5104" s="2">
        <f>PerfRate[[#This Row],[ManagerRating]] - PerfRate[[#This Row],[SelfRating]]</f>
        <v>0</v>
      </c>
    </row>
    <row r="5105" spans="1:18">
      <c r="A5105" s="2" t="s">
        <v>9412</v>
      </c>
      <c r="B5105" s="2" t="s">
        <v>2903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  <c r="L5105" s="2" t="s">
        <v>11031</v>
      </c>
      <c r="M5105" s="2" t="s">
        <v>11030</v>
      </c>
      <c r="N5105" s="2" t="s">
        <v>11038</v>
      </c>
      <c r="O5105" s="2" t="s">
        <v>11038</v>
      </c>
      <c r="P5105" s="2" t="s">
        <v>11036</v>
      </c>
      <c r="Q5105" s="2">
        <f>AVERAGE(PerfRate[[#This Row],[EnvironmentSatisfaction]],PerfRate[[#This Row],[JobSatisfaction]],PerfRate[[#This Row],[RelationshipSatisfaction]])</f>
        <v>4.333333333333333</v>
      </c>
      <c r="R5105" s="2">
        <f>PerfRate[[#This Row],[ManagerRating]] - PerfRate[[#This Row],[SelfRating]]</f>
        <v>-1</v>
      </c>
    </row>
    <row r="5106" spans="1:18">
      <c r="A5106" s="2" t="s">
        <v>9413</v>
      </c>
      <c r="B5106" s="2" t="s">
        <v>3425</v>
      </c>
      <c r="C5106" s="1">
        <v>42341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  <c r="L5106" s="2" t="s">
        <v>11030</v>
      </c>
      <c r="M5106" s="2" t="s">
        <v>11029</v>
      </c>
      <c r="N5106" s="2" t="s">
        <v>11036</v>
      </c>
      <c r="O5106" s="2" t="s">
        <v>11037</v>
      </c>
      <c r="P5106" s="2" t="s">
        <v>11037</v>
      </c>
      <c r="Q5106" s="2">
        <f>AVERAGE(PerfRate[[#This Row],[EnvironmentSatisfaction]],PerfRate[[#This Row],[JobSatisfaction]],PerfRate[[#This Row],[RelationshipSatisfaction]])</f>
        <v>3.6666666666666665</v>
      </c>
      <c r="R5106" s="2">
        <f>PerfRate[[#This Row],[ManagerRating]] - PerfRate[[#This Row],[SelfRating]]</f>
        <v>-1</v>
      </c>
    </row>
    <row r="5107" spans="1:18">
      <c r="A5107" s="2" t="s">
        <v>9414</v>
      </c>
      <c r="B5107" s="2" t="s">
        <v>1435</v>
      </c>
      <c r="C5107" s="1">
        <v>44593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  <c r="L5107" s="2" t="s">
        <v>11029</v>
      </c>
      <c r="M5107" s="2" t="s">
        <v>11028</v>
      </c>
      <c r="N5107" s="2" t="s">
        <v>11036</v>
      </c>
      <c r="O5107" s="2" t="s">
        <v>11035</v>
      </c>
      <c r="P5107" s="2" t="s">
        <v>11037</v>
      </c>
      <c r="Q5107" s="2">
        <f>AVERAGE(PerfRate[[#This Row],[EnvironmentSatisfaction]],PerfRate[[#This Row],[JobSatisfaction]],PerfRate[[#This Row],[RelationshipSatisfaction]])</f>
        <v>3</v>
      </c>
      <c r="R5107" s="2">
        <f>PerfRate[[#This Row],[ManagerRating]] - PerfRate[[#This Row],[SelfRating]]</f>
        <v>-1</v>
      </c>
    </row>
    <row r="5108" spans="1:18">
      <c r="A5108" s="2" t="s">
        <v>9415</v>
      </c>
      <c r="B5108" s="2" t="s">
        <v>1030</v>
      </c>
      <c r="C5108" s="1">
        <v>44593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  <c r="L5108" s="2" t="s">
        <v>11029</v>
      </c>
      <c r="M5108" s="2" t="s">
        <v>11029</v>
      </c>
      <c r="N5108" s="2" t="s">
        <v>11038</v>
      </c>
      <c r="O5108" s="2" t="s">
        <v>11035</v>
      </c>
      <c r="P5108" s="2" t="s">
        <v>11037</v>
      </c>
      <c r="Q5108" s="2">
        <f>AVERAGE(PerfRate[[#This Row],[EnvironmentSatisfaction]],PerfRate[[#This Row],[JobSatisfaction]],PerfRate[[#This Row],[RelationshipSatisfaction]])</f>
        <v>3.6666666666666665</v>
      </c>
      <c r="R5108" s="2">
        <f>PerfRate[[#This Row],[ManagerRating]] - PerfRate[[#This Row],[SelfRating]]</f>
        <v>0</v>
      </c>
    </row>
    <row r="5109" spans="1:18">
      <c r="A5109" s="2" t="s">
        <v>9416</v>
      </c>
      <c r="B5109" s="2" t="s">
        <v>1841</v>
      </c>
      <c r="C5109" s="1">
        <v>44593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  <c r="L5109" s="2" t="s">
        <v>11029</v>
      </c>
      <c r="M5109" s="2" t="s">
        <v>11028</v>
      </c>
      <c r="N5109" s="2" t="s">
        <v>11036</v>
      </c>
      <c r="O5109" s="2" t="s">
        <v>11036</v>
      </c>
      <c r="P5109" s="2" t="s">
        <v>11037</v>
      </c>
      <c r="Q5109" s="2">
        <f>AVERAGE(PerfRate[[#This Row],[EnvironmentSatisfaction]],PerfRate[[#This Row],[JobSatisfaction]],PerfRate[[#This Row],[RelationshipSatisfaction]])</f>
        <v>3.3333333333333335</v>
      </c>
      <c r="R5109" s="2">
        <f>PerfRate[[#This Row],[ManagerRating]] - PerfRate[[#This Row],[SelfRating]]</f>
        <v>-1</v>
      </c>
    </row>
    <row r="5110" spans="1:18">
      <c r="A5110" s="2" t="s">
        <v>9417</v>
      </c>
      <c r="B5110" s="2" t="s">
        <v>2190</v>
      </c>
      <c r="C5110" s="1">
        <v>44593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  <c r="L5110" s="2" t="s">
        <v>11030</v>
      </c>
      <c r="M5110" s="2" t="s">
        <v>11030</v>
      </c>
      <c r="N5110" s="2" t="s">
        <v>11038</v>
      </c>
      <c r="O5110" s="2" t="s">
        <v>11037</v>
      </c>
      <c r="P5110" s="2" t="s">
        <v>11038</v>
      </c>
      <c r="Q5110" s="2">
        <f>AVERAGE(PerfRate[[#This Row],[EnvironmentSatisfaction]],PerfRate[[#This Row],[JobSatisfaction]],PerfRate[[#This Row],[RelationshipSatisfaction]])</f>
        <v>4.666666666666667</v>
      </c>
      <c r="R5110" s="2">
        <f>PerfRate[[#This Row],[ManagerRating]] - PerfRate[[#This Row],[SelfRating]]</f>
        <v>0</v>
      </c>
    </row>
    <row r="5111" spans="1:18">
      <c r="A5111" s="2" t="s">
        <v>9418</v>
      </c>
      <c r="B5111" s="2" t="s">
        <v>2260</v>
      </c>
      <c r="C5111" s="1">
        <v>44593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  <c r="L5111" s="2" t="s">
        <v>11030</v>
      </c>
      <c r="M5111" s="2" t="s">
        <v>11030</v>
      </c>
      <c r="N5111" s="2" t="s">
        <v>11038</v>
      </c>
      <c r="O5111" s="2" t="s">
        <v>11036</v>
      </c>
      <c r="P5111" s="2" t="s">
        <v>11035</v>
      </c>
      <c r="Q5111" s="2">
        <f>AVERAGE(PerfRate[[#This Row],[EnvironmentSatisfaction]],PerfRate[[#This Row],[JobSatisfaction]],PerfRate[[#This Row],[RelationshipSatisfaction]])</f>
        <v>3.3333333333333335</v>
      </c>
      <c r="R5111" s="2">
        <f>PerfRate[[#This Row],[ManagerRating]] - PerfRate[[#This Row],[SelfRating]]</f>
        <v>0</v>
      </c>
    </row>
    <row r="5112" spans="1:18">
      <c r="A5112" s="2" t="s">
        <v>9419</v>
      </c>
      <c r="B5112" s="2" t="s">
        <v>2781</v>
      </c>
      <c r="C5112" s="1">
        <v>44593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  <c r="L5112" s="2" t="s">
        <v>11031</v>
      </c>
      <c r="M5112" s="2" t="s">
        <v>11031</v>
      </c>
      <c r="N5112" s="2" t="s">
        <v>11037</v>
      </c>
      <c r="O5112" s="2" t="s">
        <v>11038</v>
      </c>
      <c r="P5112" s="2" t="s">
        <v>11038</v>
      </c>
      <c r="Q5112" s="2">
        <f>AVERAGE(PerfRate[[#This Row],[EnvironmentSatisfaction]],PerfRate[[#This Row],[JobSatisfaction]],PerfRate[[#This Row],[RelationshipSatisfaction]])</f>
        <v>4.666666666666667</v>
      </c>
      <c r="R5112" s="2">
        <f>PerfRate[[#This Row],[ManagerRating]] - PerfRate[[#This Row],[SelfRating]]</f>
        <v>0</v>
      </c>
    </row>
    <row r="5113" spans="1:18">
      <c r="A5113" s="2" t="s">
        <v>9420</v>
      </c>
      <c r="B5113" s="2" t="s">
        <v>3445</v>
      </c>
      <c r="C5113" s="1">
        <v>44593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  <c r="L5113" s="2" t="s">
        <v>11031</v>
      </c>
      <c r="M5113" s="2" t="s">
        <v>11030</v>
      </c>
      <c r="N5113" s="2" t="s">
        <v>11037</v>
      </c>
      <c r="O5113" s="2" t="s">
        <v>11035</v>
      </c>
      <c r="P5113" s="2" t="s">
        <v>11035</v>
      </c>
      <c r="Q5113" s="2">
        <f>AVERAGE(PerfRate[[#This Row],[EnvironmentSatisfaction]],PerfRate[[#This Row],[JobSatisfaction]],PerfRate[[#This Row],[RelationshipSatisfaction]])</f>
        <v>2.6666666666666665</v>
      </c>
      <c r="R5113" s="2">
        <f>PerfRate[[#This Row],[ManagerRating]] - PerfRate[[#This Row],[SelfRating]]</f>
        <v>-1</v>
      </c>
    </row>
    <row r="5114" spans="1:18">
      <c r="A5114" s="2" t="s">
        <v>9421</v>
      </c>
      <c r="B5114" s="2" t="s">
        <v>260</v>
      </c>
      <c r="C5114" s="1">
        <v>44621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  <c r="L5114" s="2" t="s">
        <v>11029</v>
      </c>
      <c r="M5114" s="2" t="s">
        <v>11028</v>
      </c>
      <c r="N5114" s="2" t="s">
        <v>11036</v>
      </c>
      <c r="O5114" s="2" t="s">
        <v>11038</v>
      </c>
      <c r="P5114" s="2" t="s">
        <v>11035</v>
      </c>
      <c r="Q5114" s="2">
        <f>AVERAGE(PerfRate[[#This Row],[EnvironmentSatisfaction]],PerfRate[[#This Row],[JobSatisfaction]],PerfRate[[#This Row],[RelationshipSatisfaction]])</f>
        <v>3.3333333333333335</v>
      </c>
      <c r="R5114" s="2">
        <f>PerfRate[[#This Row],[ManagerRating]] - PerfRate[[#This Row],[SelfRating]]</f>
        <v>-1</v>
      </c>
    </row>
    <row r="5115" spans="1:18">
      <c r="A5115" s="2" t="s">
        <v>9422</v>
      </c>
      <c r="B5115" s="2" t="s">
        <v>892</v>
      </c>
      <c r="C5115" s="1">
        <v>44652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  <c r="L5115" s="2" t="s">
        <v>11029</v>
      </c>
      <c r="M5115" s="2" t="s">
        <v>11029</v>
      </c>
      <c r="N5115" s="2" t="s">
        <v>11036</v>
      </c>
      <c r="O5115" s="2" t="s">
        <v>11036</v>
      </c>
      <c r="P5115" s="2" t="s">
        <v>11038</v>
      </c>
      <c r="Q5115" s="2">
        <f>AVERAGE(PerfRate[[#This Row],[EnvironmentSatisfaction]],PerfRate[[#This Row],[JobSatisfaction]],PerfRate[[#This Row],[RelationshipSatisfaction]])</f>
        <v>3.6666666666666665</v>
      </c>
      <c r="R5115" s="2">
        <f>PerfRate[[#This Row],[ManagerRating]] - PerfRate[[#This Row],[SelfRating]]</f>
        <v>0</v>
      </c>
    </row>
    <row r="5116" spans="1:18">
      <c r="A5116" s="2" t="s">
        <v>9423</v>
      </c>
      <c r="B5116" s="2" t="s">
        <v>3251</v>
      </c>
      <c r="C5116" s="1">
        <v>44652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  <c r="L5116" s="2" t="s">
        <v>11031</v>
      </c>
      <c r="M5116" s="2" t="s">
        <v>11031</v>
      </c>
      <c r="N5116" s="2" t="s">
        <v>11038</v>
      </c>
      <c r="O5116" s="2" t="s">
        <v>11037</v>
      </c>
      <c r="P5116" s="2" t="s">
        <v>11036</v>
      </c>
      <c r="Q5116" s="2">
        <f>AVERAGE(PerfRate[[#This Row],[EnvironmentSatisfaction]],PerfRate[[#This Row],[JobSatisfaction]],PerfRate[[#This Row],[RelationshipSatisfaction]])</f>
        <v>4</v>
      </c>
      <c r="R5116" s="2">
        <f>PerfRate[[#This Row],[ManagerRating]] - PerfRate[[#This Row],[SelfRating]]</f>
        <v>0</v>
      </c>
    </row>
    <row r="5117" spans="1:18">
      <c r="A5117" s="2" t="s">
        <v>9424</v>
      </c>
      <c r="B5117" s="2" t="s">
        <v>2008</v>
      </c>
      <c r="C5117" s="1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  <c r="L5117" s="2" t="s">
        <v>11030</v>
      </c>
      <c r="M5117" s="2" t="s">
        <v>11029</v>
      </c>
      <c r="N5117" s="2" t="s">
        <v>11037</v>
      </c>
      <c r="O5117" s="2" t="s">
        <v>11035</v>
      </c>
      <c r="P5117" s="2" t="s">
        <v>11038</v>
      </c>
      <c r="Q5117" s="2">
        <f>AVERAGE(PerfRate[[#This Row],[EnvironmentSatisfaction]],PerfRate[[#This Row],[JobSatisfaction]],PerfRate[[#This Row],[RelationshipSatisfaction]])</f>
        <v>3.6666666666666665</v>
      </c>
      <c r="R5117" s="2">
        <f>PerfRate[[#This Row],[ManagerRating]] - PerfRate[[#This Row],[SelfRating]]</f>
        <v>-1</v>
      </c>
    </row>
    <row r="5118" spans="1:18">
      <c r="A5118" s="2" t="s">
        <v>9425</v>
      </c>
      <c r="B5118" s="2" t="s">
        <v>365</v>
      </c>
      <c r="C5118" s="1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  <c r="L5118" s="2" t="s">
        <v>11030</v>
      </c>
      <c r="M5118" s="2" t="s">
        <v>11030</v>
      </c>
      <c r="N5118" s="2" t="s">
        <v>11038</v>
      </c>
      <c r="O5118" s="2" t="s">
        <v>11036</v>
      </c>
      <c r="P5118" s="2" t="s">
        <v>11038</v>
      </c>
      <c r="Q5118" s="2">
        <f>AVERAGE(PerfRate[[#This Row],[EnvironmentSatisfaction]],PerfRate[[#This Row],[JobSatisfaction]],PerfRate[[#This Row],[RelationshipSatisfaction]])</f>
        <v>4.333333333333333</v>
      </c>
      <c r="R5118" s="2">
        <f>PerfRate[[#This Row],[ManagerRating]] - PerfRate[[#This Row],[SelfRating]]</f>
        <v>0</v>
      </c>
    </row>
    <row r="5119" spans="1:18">
      <c r="A5119" s="2" t="s">
        <v>9426</v>
      </c>
      <c r="B5119" s="2" t="s">
        <v>3473</v>
      </c>
      <c r="C5119" s="1">
        <v>44652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  <c r="L5119" s="2" t="s">
        <v>11030</v>
      </c>
      <c r="M5119" s="2" t="s">
        <v>11030</v>
      </c>
      <c r="N5119" s="2" t="s">
        <v>11037</v>
      </c>
      <c r="O5119" s="2" t="s">
        <v>11036</v>
      </c>
      <c r="P5119" s="2" t="s">
        <v>11037</v>
      </c>
      <c r="Q5119" s="2">
        <f>AVERAGE(PerfRate[[#This Row],[EnvironmentSatisfaction]],PerfRate[[#This Row],[JobSatisfaction]],PerfRate[[#This Row],[RelationshipSatisfaction]])</f>
        <v>3.6666666666666665</v>
      </c>
      <c r="R5119" s="2">
        <f>PerfRate[[#This Row],[ManagerRating]] - PerfRate[[#This Row],[SelfRating]]</f>
        <v>0</v>
      </c>
    </row>
    <row r="5120" spans="1:18">
      <c r="A5120" s="2" t="s">
        <v>9427</v>
      </c>
      <c r="B5120" s="2" t="s">
        <v>141</v>
      </c>
      <c r="C5120" s="1">
        <v>44682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  <c r="L5120" s="2" t="s">
        <v>11031</v>
      </c>
      <c r="M5120" s="2" t="s">
        <v>11030</v>
      </c>
      <c r="N5120" s="2" t="s">
        <v>11037</v>
      </c>
      <c r="O5120" s="2" t="s">
        <v>11037</v>
      </c>
      <c r="P5120" s="2" t="s">
        <v>11037</v>
      </c>
      <c r="Q5120" s="2">
        <f>AVERAGE(PerfRate[[#This Row],[EnvironmentSatisfaction]],PerfRate[[#This Row],[JobSatisfaction]],PerfRate[[#This Row],[RelationshipSatisfaction]])</f>
        <v>4</v>
      </c>
      <c r="R5120" s="2">
        <f>PerfRate[[#This Row],[ManagerRating]] - PerfRate[[#This Row],[SelfRating]]</f>
        <v>-1</v>
      </c>
    </row>
    <row r="5121" spans="1:18">
      <c r="A5121" s="2" t="s">
        <v>9428</v>
      </c>
      <c r="B5121" s="2" t="s">
        <v>428</v>
      </c>
      <c r="C5121" s="1">
        <v>44713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  <c r="L5121" s="2" t="s">
        <v>11029</v>
      </c>
      <c r="M5121" s="2" t="s">
        <v>11029</v>
      </c>
      <c r="N5121" s="2" t="s">
        <v>11037</v>
      </c>
      <c r="O5121" s="2" t="s">
        <v>11037</v>
      </c>
      <c r="P5121" s="2" t="s">
        <v>11036</v>
      </c>
      <c r="Q5121" s="2">
        <f>AVERAGE(PerfRate[[#This Row],[EnvironmentSatisfaction]],PerfRate[[#This Row],[JobSatisfaction]],PerfRate[[#This Row],[RelationshipSatisfaction]])</f>
        <v>3.6666666666666665</v>
      </c>
      <c r="R5121" s="2">
        <f>PerfRate[[#This Row],[ManagerRating]] - PerfRate[[#This Row],[SelfRating]]</f>
        <v>0</v>
      </c>
    </row>
    <row r="5122" spans="1:18">
      <c r="A5122" s="2" t="s">
        <v>9429</v>
      </c>
      <c r="B5122" s="2" t="s">
        <v>1295</v>
      </c>
      <c r="C5122" s="1">
        <v>44713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  <c r="L5122" s="2" t="s">
        <v>11030</v>
      </c>
      <c r="M5122" s="2" t="s">
        <v>11029</v>
      </c>
      <c r="N5122" s="2" t="s">
        <v>11036</v>
      </c>
      <c r="O5122" s="2" t="s">
        <v>11037</v>
      </c>
      <c r="P5122" s="2" t="s">
        <v>11038</v>
      </c>
      <c r="Q5122" s="2">
        <f>AVERAGE(PerfRate[[#This Row],[EnvironmentSatisfaction]],PerfRate[[#This Row],[JobSatisfaction]],PerfRate[[#This Row],[RelationshipSatisfaction]])</f>
        <v>4</v>
      </c>
      <c r="R5122" s="2">
        <f>PerfRate[[#This Row],[ManagerRating]] - PerfRate[[#This Row],[SelfRating]]</f>
        <v>-1</v>
      </c>
    </row>
    <row r="5123" spans="1:18">
      <c r="A5123" s="2" t="s">
        <v>9430</v>
      </c>
      <c r="B5123" s="2" t="s">
        <v>2335</v>
      </c>
      <c r="C5123" s="1">
        <v>44713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  <c r="L5123" s="2" t="s">
        <v>11030</v>
      </c>
      <c r="M5123" s="2" t="s">
        <v>11030</v>
      </c>
      <c r="N5123" s="2" t="s">
        <v>11037</v>
      </c>
      <c r="O5123" s="2" t="s">
        <v>11038</v>
      </c>
      <c r="P5123" s="2" t="s">
        <v>11035</v>
      </c>
      <c r="Q5123" s="2">
        <f>AVERAGE(PerfRate[[#This Row],[EnvironmentSatisfaction]],PerfRate[[#This Row],[JobSatisfaction]],PerfRate[[#This Row],[RelationshipSatisfaction]])</f>
        <v>3.6666666666666665</v>
      </c>
      <c r="R5123" s="2">
        <f>PerfRate[[#This Row],[ManagerRating]] - PerfRate[[#This Row],[SelfRating]]</f>
        <v>0</v>
      </c>
    </row>
    <row r="5124" spans="1:18">
      <c r="A5124" s="2" t="s">
        <v>9431</v>
      </c>
      <c r="B5124" s="2" t="s">
        <v>2475</v>
      </c>
      <c r="C5124" s="1">
        <v>44713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  <c r="L5124" s="2" t="s">
        <v>11030</v>
      </c>
      <c r="M5124" s="2" t="s">
        <v>11030</v>
      </c>
      <c r="N5124" s="2" t="s">
        <v>11038</v>
      </c>
      <c r="O5124" s="2" t="s">
        <v>11035</v>
      </c>
      <c r="P5124" s="2" t="s">
        <v>11037</v>
      </c>
      <c r="Q5124" s="2">
        <f>AVERAGE(PerfRate[[#This Row],[EnvironmentSatisfaction]],PerfRate[[#This Row],[JobSatisfaction]],PerfRate[[#This Row],[RelationshipSatisfaction]])</f>
        <v>3.6666666666666665</v>
      </c>
      <c r="R5124" s="2">
        <f>PerfRate[[#This Row],[ManagerRating]] - PerfRate[[#This Row],[SelfRating]]</f>
        <v>0</v>
      </c>
    </row>
    <row r="5125" spans="1:18">
      <c r="A5125" s="2" t="s">
        <v>9432</v>
      </c>
      <c r="B5125" s="2" t="s">
        <v>3373</v>
      </c>
      <c r="C5125" s="1">
        <v>44713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  <c r="L5125" s="2" t="s">
        <v>11029</v>
      </c>
      <c r="M5125" s="2" t="s">
        <v>11029</v>
      </c>
      <c r="N5125" s="2" t="s">
        <v>11038</v>
      </c>
      <c r="O5125" s="2" t="s">
        <v>11037</v>
      </c>
      <c r="P5125" s="2" t="s">
        <v>11036</v>
      </c>
      <c r="Q5125" s="2">
        <f>AVERAGE(PerfRate[[#This Row],[EnvironmentSatisfaction]],PerfRate[[#This Row],[JobSatisfaction]],PerfRate[[#This Row],[RelationshipSatisfaction]])</f>
        <v>4</v>
      </c>
      <c r="R5125" s="2">
        <f>PerfRate[[#This Row],[ManagerRating]] - PerfRate[[#This Row],[SelfRating]]</f>
        <v>0</v>
      </c>
    </row>
    <row r="5126" spans="1:18">
      <c r="A5126" s="2" t="s">
        <v>9433</v>
      </c>
      <c r="B5126" s="2" t="s">
        <v>1532</v>
      </c>
      <c r="C5126" s="1">
        <v>44743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  <c r="L5126" s="2" t="s">
        <v>11031</v>
      </c>
      <c r="M5126" s="2" t="s">
        <v>11031</v>
      </c>
      <c r="N5126" s="2" t="s">
        <v>11038</v>
      </c>
      <c r="O5126" s="2" t="s">
        <v>11038</v>
      </c>
      <c r="P5126" s="2" t="s">
        <v>11035</v>
      </c>
      <c r="Q5126" s="2">
        <f>AVERAGE(PerfRate[[#This Row],[EnvironmentSatisfaction]],PerfRate[[#This Row],[JobSatisfaction]],PerfRate[[#This Row],[RelationshipSatisfaction]])</f>
        <v>4</v>
      </c>
      <c r="R5126" s="2">
        <f>PerfRate[[#This Row],[ManagerRating]] - PerfRate[[#This Row],[SelfRating]]</f>
        <v>0</v>
      </c>
    </row>
    <row r="5127" spans="1:18">
      <c r="A5127" s="2" t="s">
        <v>9434</v>
      </c>
      <c r="B5127" s="2" t="s">
        <v>2086</v>
      </c>
      <c r="C5127" s="1">
        <v>44743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  <c r="L5127" s="2" t="s">
        <v>11029</v>
      </c>
      <c r="M5127" s="2" t="s">
        <v>11028</v>
      </c>
      <c r="N5127" s="2" t="s">
        <v>11038</v>
      </c>
      <c r="O5127" s="2" t="s">
        <v>11036</v>
      </c>
      <c r="P5127" s="2" t="s">
        <v>11035</v>
      </c>
      <c r="Q5127" s="2">
        <f>AVERAGE(PerfRate[[#This Row],[EnvironmentSatisfaction]],PerfRate[[#This Row],[JobSatisfaction]],PerfRate[[#This Row],[RelationshipSatisfaction]])</f>
        <v>3.3333333333333335</v>
      </c>
      <c r="R5127" s="2">
        <f>PerfRate[[#This Row],[ManagerRating]] - PerfRate[[#This Row],[SelfRating]]</f>
        <v>-1</v>
      </c>
    </row>
    <row r="5128" spans="1:18">
      <c r="A5128" s="2" t="s">
        <v>9435</v>
      </c>
      <c r="B5128" s="2" t="s">
        <v>2854</v>
      </c>
      <c r="C5128" s="1">
        <v>44743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  <c r="L5128" s="2" t="s">
        <v>11029</v>
      </c>
      <c r="M5128" s="2" t="s">
        <v>11029</v>
      </c>
      <c r="N5128" s="2" t="s">
        <v>11038</v>
      </c>
      <c r="O5128" s="2" t="s">
        <v>11038</v>
      </c>
      <c r="P5128" s="2" t="s">
        <v>11038</v>
      </c>
      <c r="Q5128" s="2">
        <f>AVERAGE(PerfRate[[#This Row],[EnvironmentSatisfaction]],PerfRate[[#This Row],[JobSatisfaction]],PerfRate[[#This Row],[RelationshipSatisfaction]])</f>
        <v>5</v>
      </c>
      <c r="R5128" s="2">
        <f>PerfRate[[#This Row],[ManagerRating]] - PerfRate[[#This Row],[SelfRating]]</f>
        <v>0</v>
      </c>
    </row>
    <row r="5129" spans="1:18">
      <c r="A5129" s="2" t="s">
        <v>9436</v>
      </c>
      <c r="B5129" s="2" t="s">
        <v>943</v>
      </c>
      <c r="C5129" s="1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  <c r="L5129" s="2" t="s">
        <v>11030</v>
      </c>
      <c r="M5129" s="2" t="s">
        <v>11030</v>
      </c>
      <c r="N5129" s="2" t="s">
        <v>11038</v>
      </c>
      <c r="O5129" s="2" t="s">
        <v>11038</v>
      </c>
      <c r="P5129" s="2" t="s">
        <v>11035</v>
      </c>
      <c r="Q5129" s="2">
        <f>AVERAGE(PerfRate[[#This Row],[EnvironmentSatisfaction]],PerfRate[[#This Row],[JobSatisfaction]],PerfRate[[#This Row],[RelationshipSatisfaction]])</f>
        <v>4</v>
      </c>
      <c r="R5129" s="2">
        <f>PerfRate[[#This Row],[ManagerRating]] - PerfRate[[#This Row],[SelfRating]]</f>
        <v>0</v>
      </c>
    </row>
    <row r="5130" spans="1:18">
      <c r="A5130" s="2" t="s">
        <v>9437</v>
      </c>
      <c r="B5130" s="2" t="s">
        <v>1945</v>
      </c>
      <c r="C5130" s="1">
        <v>44774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  <c r="L5130" s="2" t="s">
        <v>11030</v>
      </c>
      <c r="M5130" s="2" t="s">
        <v>11029</v>
      </c>
      <c r="N5130" s="2" t="s">
        <v>11036</v>
      </c>
      <c r="O5130" s="2" t="s">
        <v>11038</v>
      </c>
      <c r="P5130" s="2" t="s">
        <v>11037</v>
      </c>
      <c r="Q5130" s="2">
        <f>AVERAGE(PerfRate[[#This Row],[EnvironmentSatisfaction]],PerfRate[[#This Row],[JobSatisfaction]],PerfRate[[#This Row],[RelationshipSatisfaction]])</f>
        <v>4</v>
      </c>
      <c r="R5130" s="2">
        <f>PerfRate[[#This Row],[ManagerRating]] - PerfRate[[#This Row],[SelfRating]]</f>
        <v>-1</v>
      </c>
    </row>
    <row r="5131" spans="1:18">
      <c r="A5131" s="2" t="s">
        <v>9438</v>
      </c>
      <c r="B5131" s="2" t="s">
        <v>934</v>
      </c>
      <c r="C5131" s="1">
        <v>44774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  <c r="L5131" s="2" t="s">
        <v>11029</v>
      </c>
      <c r="M5131" s="2" t="s">
        <v>11028</v>
      </c>
      <c r="N5131" s="2" t="s">
        <v>11038</v>
      </c>
      <c r="O5131" s="2" t="s">
        <v>11038</v>
      </c>
      <c r="P5131" s="2" t="s">
        <v>11036</v>
      </c>
      <c r="Q5131" s="2">
        <f>AVERAGE(PerfRate[[#This Row],[EnvironmentSatisfaction]],PerfRate[[#This Row],[JobSatisfaction]],PerfRate[[#This Row],[RelationshipSatisfaction]])</f>
        <v>4.333333333333333</v>
      </c>
      <c r="R5131" s="2">
        <f>PerfRate[[#This Row],[ManagerRating]] - PerfRate[[#This Row],[SelfRating]]</f>
        <v>-1</v>
      </c>
    </row>
    <row r="5132" spans="1:18">
      <c r="A5132" s="2" t="s">
        <v>9439</v>
      </c>
      <c r="B5132" s="2" t="s">
        <v>850</v>
      </c>
      <c r="C5132" s="1">
        <v>44774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  <c r="L5132" s="2" t="s">
        <v>11030</v>
      </c>
      <c r="M5132" s="2" t="s">
        <v>11030</v>
      </c>
      <c r="N5132" s="2" t="s">
        <v>11037</v>
      </c>
      <c r="O5132" s="2" t="s">
        <v>11036</v>
      </c>
      <c r="P5132" s="2" t="s">
        <v>11035</v>
      </c>
      <c r="Q5132" s="2">
        <f>AVERAGE(PerfRate[[#This Row],[EnvironmentSatisfaction]],PerfRate[[#This Row],[JobSatisfaction]],PerfRate[[#This Row],[RelationshipSatisfaction]])</f>
        <v>3</v>
      </c>
      <c r="R5132" s="2">
        <f>PerfRate[[#This Row],[ManagerRating]] - PerfRate[[#This Row],[SelfRating]]</f>
        <v>0</v>
      </c>
    </row>
    <row r="5133" spans="1:18">
      <c r="A5133" s="2" t="s">
        <v>9440</v>
      </c>
      <c r="B5133" s="2" t="s">
        <v>1093</v>
      </c>
      <c r="C5133" s="1">
        <v>44774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  <c r="L5133" s="2" t="s">
        <v>11031</v>
      </c>
      <c r="M5133" s="2" t="s">
        <v>11031</v>
      </c>
      <c r="N5133" s="2" t="s">
        <v>11037</v>
      </c>
      <c r="O5133" s="2" t="s">
        <v>11037</v>
      </c>
      <c r="P5133" s="2" t="s">
        <v>11036</v>
      </c>
      <c r="Q5133" s="2">
        <f>AVERAGE(PerfRate[[#This Row],[EnvironmentSatisfaction]],PerfRate[[#This Row],[JobSatisfaction]],PerfRate[[#This Row],[RelationshipSatisfaction]])</f>
        <v>3.6666666666666665</v>
      </c>
      <c r="R5133" s="2">
        <f>PerfRate[[#This Row],[ManagerRating]] - PerfRate[[#This Row],[SelfRating]]</f>
        <v>0</v>
      </c>
    </row>
    <row r="5134" spans="1:18">
      <c r="A5134" s="2" t="s">
        <v>9441</v>
      </c>
      <c r="B5134" s="2" t="s">
        <v>2523</v>
      </c>
      <c r="C5134" s="1">
        <v>44774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  <c r="L5134" s="2" t="s">
        <v>11029</v>
      </c>
      <c r="M5134" s="2" t="s">
        <v>11028</v>
      </c>
      <c r="N5134" s="2" t="s">
        <v>11035</v>
      </c>
      <c r="O5134" s="2" t="s">
        <v>11036</v>
      </c>
      <c r="P5134" s="2" t="s">
        <v>11034</v>
      </c>
      <c r="Q5134" s="2">
        <f>AVERAGE(PerfRate[[#This Row],[EnvironmentSatisfaction]],PerfRate[[#This Row],[JobSatisfaction]],PerfRate[[#This Row],[RelationshipSatisfaction]])</f>
        <v>2</v>
      </c>
      <c r="R5134" s="2">
        <f>PerfRate[[#This Row],[ManagerRating]] - PerfRate[[#This Row],[SelfRating]]</f>
        <v>-1</v>
      </c>
    </row>
    <row r="5135" spans="1:18">
      <c r="A5135" s="2" t="s">
        <v>9442</v>
      </c>
      <c r="B5135" s="2" t="s">
        <v>2611</v>
      </c>
      <c r="C5135" s="1">
        <v>44774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  <c r="L5135" s="2" t="s">
        <v>11030</v>
      </c>
      <c r="M5135" s="2" t="s">
        <v>11029</v>
      </c>
      <c r="N5135" s="2" t="s">
        <v>11035</v>
      </c>
      <c r="O5135" s="2" t="s">
        <v>11034</v>
      </c>
      <c r="P5135" s="2" t="s">
        <v>11036</v>
      </c>
      <c r="Q5135" s="2">
        <f>AVERAGE(PerfRate[[#This Row],[EnvironmentSatisfaction]],PerfRate[[#This Row],[JobSatisfaction]],PerfRate[[#This Row],[RelationshipSatisfaction]])</f>
        <v>2</v>
      </c>
      <c r="R5135" s="2">
        <f>PerfRate[[#This Row],[ManagerRating]] - PerfRate[[#This Row],[SelfRating]]</f>
        <v>-1</v>
      </c>
    </row>
    <row r="5136" spans="1:18">
      <c r="A5136" s="2" t="s">
        <v>9443</v>
      </c>
      <c r="B5136" s="2" t="s">
        <v>2993</v>
      </c>
      <c r="C5136" s="1">
        <v>44774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  <c r="L5136" s="2" t="s">
        <v>11030</v>
      </c>
      <c r="M5136" s="2" t="s">
        <v>11029</v>
      </c>
      <c r="N5136" s="2" t="s">
        <v>11037</v>
      </c>
      <c r="O5136" s="2" t="s">
        <v>11036</v>
      </c>
      <c r="P5136" s="2" t="s">
        <v>11036</v>
      </c>
      <c r="Q5136" s="2">
        <f>AVERAGE(PerfRate[[#This Row],[EnvironmentSatisfaction]],PerfRate[[#This Row],[JobSatisfaction]],PerfRate[[#This Row],[RelationshipSatisfaction]])</f>
        <v>3.3333333333333335</v>
      </c>
      <c r="R5136" s="2">
        <f>PerfRate[[#This Row],[ManagerRating]] - PerfRate[[#This Row],[SelfRating]]</f>
        <v>-1</v>
      </c>
    </row>
    <row r="5137" spans="1:18">
      <c r="A5137" s="2" t="s">
        <v>9444</v>
      </c>
      <c r="B5137" s="2" t="s">
        <v>853</v>
      </c>
      <c r="C5137" s="1">
        <v>44805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  <c r="L5137" s="2" t="s">
        <v>11029</v>
      </c>
      <c r="M5137" s="2" t="s">
        <v>11028</v>
      </c>
      <c r="N5137" s="2" t="s">
        <v>11036</v>
      </c>
      <c r="O5137" s="2" t="s">
        <v>11035</v>
      </c>
      <c r="P5137" s="2" t="s">
        <v>11038</v>
      </c>
      <c r="Q5137" s="2">
        <f>AVERAGE(PerfRate[[#This Row],[EnvironmentSatisfaction]],PerfRate[[#This Row],[JobSatisfaction]],PerfRate[[#This Row],[RelationshipSatisfaction]])</f>
        <v>3.3333333333333335</v>
      </c>
      <c r="R5137" s="2">
        <f>PerfRate[[#This Row],[ManagerRating]] - PerfRate[[#This Row],[SelfRating]]</f>
        <v>-1</v>
      </c>
    </row>
    <row r="5138" spans="1:18">
      <c r="A5138" s="2" t="s">
        <v>9445</v>
      </c>
      <c r="B5138" s="2" t="s">
        <v>595</v>
      </c>
      <c r="C5138" s="1">
        <v>44805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  <c r="L5138" s="2" t="s">
        <v>11030</v>
      </c>
      <c r="M5138" s="2" t="s">
        <v>11029</v>
      </c>
      <c r="N5138" s="2" t="s">
        <v>11037</v>
      </c>
      <c r="O5138" s="2" t="s">
        <v>11037</v>
      </c>
      <c r="P5138" s="2" t="s">
        <v>11037</v>
      </c>
      <c r="Q5138" s="2">
        <f>AVERAGE(PerfRate[[#This Row],[EnvironmentSatisfaction]],PerfRate[[#This Row],[JobSatisfaction]],PerfRate[[#This Row],[RelationshipSatisfaction]])</f>
        <v>4</v>
      </c>
      <c r="R5138" s="2">
        <f>PerfRate[[#This Row],[ManagerRating]] - PerfRate[[#This Row],[SelfRating]]</f>
        <v>-1</v>
      </c>
    </row>
    <row r="5139" spans="1:18">
      <c r="A5139" s="2" t="s">
        <v>9446</v>
      </c>
      <c r="B5139" s="2" t="s">
        <v>2080</v>
      </c>
      <c r="C5139" s="1">
        <v>44835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  <c r="L5139" s="2" t="s">
        <v>11029</v>
      </c>
      <c r="M5139" s="2" t="s">
        <v>11029</v>
      </c>
      <c r="N5139" s="2" t="s">
        <v>11037</v>
      </c>
      <c r="O5139" s="2" t="s">
        <v>11035</v>
      </c>
      <c r="P5139" s="2" t="s">
        <v>11037</v>
      </c>
      <c r="Q5139" s="2">
        <f>AVERAGE(PerfRate[[#This Row],[EnvironmentSatisfaction]],PerfRate[[#This Row],[JobSatisfaction]],PerfRate[[#This Row],[RelationshipSatisfaction]])</f>
        <v>3.3333333333333335</v>
      </c>
      <c r="R5139" s="2">
        <f>PerfRate[[#This Row],[ManagerRating]] - PerfRate[[#This Row],[SelfRating]]</f>
        <v>0</v>
      </c>
    </row>
    <row r="5140" spans="1:18">
      <c r="A5140" s="2" t="s">
        <v>9447</v>
      </c>
      <c r="B5140" s="2" t="s">
        <v>2605</v>
      </c>
      <c r="C5140" s="1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  <c r="L5140" s="2" t="s">
        <v>11031</v>
      </c>
      <c r="M5140" s="2" t="s">
        <v>11030</v>
      </c>
      <c r="N5140" s="2" t="s">
        <v>11038</v>
      </c>
      <c r="O5140" s="2" t="s">
        <v>11036</v>
      </c>
      <c r="P5140" s="2" t="s">
        <v>11036</v>
      </c>
      <c r="Q5140" s="2">
        <f>AVERAGE(PerfRate[[#This Row],[EnvironmentSatisfaction]],PerfRate[[#This Row],[JobSatisfaction]],PerfRate[[#This Row],[RelationshipSatisfaction]])</f>
        <v>3.6666666666666665</v>
      </c>
      <c r="R5140" s="2">
        <f>PerfRate[[#This Row],[ManagerRating]] - PerfRate[[#This Row],[SelfRating]]</f>
        <v>-1</v>
      </c>
    </row>
    <row r="5141" spans="1:18">
      <c r="A5141" s="2" t="s">
        <v>9448</v>
      </c>
      <c r="B5141" s="2" t="s">
        <v>3868</v>
      </c>
      <c r="C5141" s="1">
        <v>44835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  <c r="L5141" s="2" t="s">
        <v>11031</v>
      </c>
      <c r="M5141" s="2" t="s">
        <v>11031</v>
      </c>
      <c r="N5141" s="2" t="s">
        <v>11036</v>
      </c>
      <c r="O5141" s="2" t="s">
        <v>11037</v>
      </c>
      <c r="P5141" s="2" t="s">
        <v>11036</v>
      </c>
      <c r="Q5141" s="2">
        <f>AVERAGE(PerfRate[[#This Row],[EnvironmentSatisfaction]],PerfRate[[#This Row],[JobSatisfaction]],PerfRate[[#This Row],[RelationshipSatisfaction]])</f>
        <v>3.3333333333333335</v>
      </c>
      <c r="R5141" s="2">
        <f>PerfRate[[#This Row],[ManagerRating]] - PerfRate[[#This Row],[SelfRating]]</f>
        <v>0</v>
      </c>
    </row>
    <row r="5142" spans="1:18">
      <c r="A5142" s="2" t="s">
        <v>9449</v>
      </c>
      <c r="B5142" s="2" t="s">
        <v>2494</v>
      </c>
      <c r="C5142" s="1">
        <v>44835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  <c r="L5142" s="2" t="s">
        <v>11031</v>
      </c>
      <c r="M5142" s="2" t="s">
        <v>11031</v>
      </c>
      <c r="N5142" s="2" t="s">
        <v>11038</v>
      </c>
      <c r="O5142" s="2" t="s">
        <v>11036</v>
      </c>
      <c r="P5142" s="2" t="s">
        <v>11035</v>
      </c>
      <c r="Q5142" s="2">
        <f>AVERAGE(PerfRate[[#This Row],[EnvironmentSatisfaction]],PerfRate[[#This Row],[JobSatisfaction]],PerfRate[[#This Row],[RelationshipSatisfaction]])</f>
        <v>3.3333333333333335</v>
      </c>
      <c r="R5142" s="2">
        <f>PerfRate[[#This Row],[ManagerRating]] - PerfRate[[#This Row],[SelfRating]]</f>
        <v>0</v>
      </c>
    </row>
    <row r="5143" spans="1:18">
      <c r="A5143" s="2" t="s">
        <v>9450</v>
      </c>
      <c r="B5143" s="2" t="s">
        <v>3291</v>
      </c>
      <c r="C5143" s="1">
        <v>44835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  <c r="L5143" s="2" t="s">
        <v>11031</v>
      </c>
      <c r="M5143" s="2" t="s">
        <v>11031</v>
      </c>
      <c r="N5143" s="2" t="s">
        <v>11037</v>
      </c>
      <c r="O5143" s="2" t="s">
        <v>11035</v>
      </c>
      <c r="P5143" s="2" t="s">
        <v>11035</v>
      </c>
      <c r="Q5143" s="2">
        <f>AVERAGE(PerfRate[[#This Row],[EnvironmentSatisfaction]],PerfRate[[#This Row],[JobSatisfaction]],PerfRate[[#This Row],[RelationshipSatisfaction]])</f>
        <v>2.6666666666666665</v>
      </c>
      <c r="R5143" s="2">
        <f>PerfRate[[#This Row],[ManagerRating]] - PerfRate[[#This Row],[SelfRating]]</f>
        <v>0</v>
      </c>
    </row>
    <row r="5144" spans="1:18">
      <c r="A5144" s="2" t="s">
        <v>9451</v>
      </c>
      <c r="B5144" s="2" t="s">
        <v>1973</v>
      </c>
      <c r="C5144" s="1">
        <v>44866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  <c r="L5144" s="2" t="s">
        <v>11031</v>
      </c>
      <c r="M5144" s="2" t="s">
        <v>11031</v>
      </c>
      <c r="N5144" s="2" t="s">
        <v>11036</v>
      </c>
      <c r="O5144" s="2" t="s">
        <v>11037</v>
      </c>
      <c r="P5144" s="2" t="s">
        <v>11038</v>
      </c>
      <c r="Q5144" s="2">
        <f>AVERAGE(PerfRate[[#This Row],[EnvironmentSatisfaction]],PerfRate[[#This Row],[JobSatisfaction]],PerfRate[[#This Row],[RelationshipSatisfaction]])</f>
        <v>4</v>
      </c>
      <c r="R5144" s="2">
        <f>PerfRate[[#This Row],[ManagerRating]] - PerfRate[[#This Row],[SelfRating]]</f>
        <v>0</v>
      </c>
    </row>
    <row r="5145" spans="1:18">
      <c r="A5145" s="2" t="s">
        <v>9452</v>
      </c>
      <c r="B5145" s="2" t="s">
        <v>889</v>
      </c>
      <c r="C5145" s="1">
        <v>44896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  <c r="L5145" s="2" t="s">
        <v>11030</v>
      </c>
      <c r="M5145" s="2" t="s">
        <v>11030</v>
      </c>
      <c r="N5145" s="2" t="s">
        <v>11038</v>
      </c>
      <c r="O5145" s="2" t="s">
        <v>11035</v>
      </c>
      <c r="P5145" s="2" t="s">
        <v>11036</v>
      </c>
      <c r="Q5145" s="2">
        <f>AVERAGE(PerfRate[[#This Row],[EnvironmentSatisfaction]],PerfRate[[#This Row],[JobSatisfaction]],PerfRate[[#This Row],[RelationshipSatisfaction]])</f>
        <v>3.3333333333333335</v>
      </c>
      <c r="R5145" s="2">
        <f>PerfRate[[#This Row],[ManagerRating]] - PerfRate[[#This Row],[SelfRating]]</f>
        <v>0</v>
      </c>
    </row>
    <row r="5146" spans="1:18">
      <c r="A5146" s="2" t="s">
        <v>9453</v>
      </c>
      <c r="B5146" s="2" t="s">
        <v>2281</v>
      </c>
      <c r="C5146" s="1">
        <v>44896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  <c r="L5146" s="2" t="s">
        <v>11030</v>
      </c>
      <c r="M5146" s="2" t="s">
        <v>11030</v>
      </c>
      <c r="N5146" s="2" t="s">
        <v>11036</v>
      </c>
      <c r="O5146" s="2" t="s">
        <v>11037</v>
      </c>
      <c r="P5146" s="2" t="s">
        <v>11036</v>
      </c>
      <c r="Q5146" s="2">
        <f>AVERAGE(PerfRate[[#This Row],[EnvironmentSatisfaction]],PerfRate[[#This Row],[JobSatisfaction]],PerfRate[[#This Row],[RelationshipSatisfaction]])</f>
        <v>3.3333333333333335</v>
      </c>
      <c r="R5146" s="2">
        <f>PerfRate[[#This Row],[ManagerRating]] - PerfRate[[#This Row],[SelfRating]]</f>
        <v>0</v>
      </c>
    </row>
    <row r="5147" spans="1:18">
      <c r="A5147" s="2" t="s">
        <v>9454</v>
      </c>
      <c r="B5147" s="2" t="s">
        <v>1090</v>
      </c>
      <c r="C5147" s="1">
        <v>44896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  <c r="L5147" s="2" t="s">
        <v>11031</v>
      </c>
      <c r="M5147" s="2" t="s">
        <v>11031</v>
      </c>
      <c r="N5147" s="2" t="s">
        <v>11036</v>
      </c>
      <c r="O5147" s="2" t="s">
        <v>11036</v>
      </c>
      <c r="P5147" s="2" t="s">
        <v>11036</v>
      </c>
      <c r="Q5147" s="2">
        <f>AVERAGE(PerfRate[[#This Row],[EnvironmentSatisfaction]],PerfRate[[#This Row],[JobSatisfaction]],PerfRate[[#This Row],[RelationshipSatisfaction]])</f>
        <v>3</v>
      </c>
      <c r="R5147" s="2">
        <f>PerfRate[[#This Row],[ManagerRating]] - PerfRate[[#This Row],[SelfRating]]</f>
        <v>0</v>
      </c>
    </row>
    <row r="5148" spans="1:18">
      <c r="A5148" s="2" t="s">
        <v>9455</v>
      </c>
      <c r="B5148" s="2" t="s">
        <v>2691</v>
      </c>
      <c r="C5148" s="1">
        <v>44896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  <c r="L5148" s="2" t="s">
        <v>11031</v>
      </c>
      <c r="M5148" s="2" t="s">
        <v>11030</v>
      </c>
      <c r="N5148" s="2" t="s">
        <v>11037</v>
      </c>
      <c r="O5148" s="2" t="s">
        <v>11037</v>
      </c>
      <c r="P5148" s="2" t="s">
        <v>11036</v>
      </c>
      <c r="Q5148" s="2">
        <f>AVERAGE(PerfRate[[#This Row],[EnvironmentSatisfaction]],PerfRate[[#This Row],[JobSatisfaction]],PerfRate[[#This Row],[RelationshipSatisfaction]])</f>
        <v>3.6666666666666665</v>
      </c>
      <c r="R5148" s="2">
        <f>PerfRate[[#This Row],[ManagerRating]] - PerfRate[[#This Row],[SelfRating]]</f>
        <v>-1</v>
      </c>
    </row>
    <row r="5149" spans="1:18">
      <c r="A5149" s="2" t="s">
        <v>9456</v>
      </c>
      <c r="B5149" s="2" t="s">
        <v>166</v>
      </c>
      <c r="C5149" s="1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  <c r="L5149" s="2" t="s">
        <v>11030</v>
      </c>
      <c r="M5149" s="2" t="s">
        <v>11029</v>
      </c>
      <c r="N5149" s="2" t="s">
        <v>11036</v>
      </c>
      <c r="O5149" s="2" t="s">
        <v>11037</v>
      </c>
      <c r="P5149" s="2" t="s">
        <v>11035</v>
      </c>
      <c r="Q5149" s="2">
        <f>AVERAGE(PerfRate[[#This Row],[EnvironmentSatisfaction]],PerfRate[[#This Row],[JobSatisfaction]],PerfRate[[#This Row],[RelationshipSatisfaction]])</f>
        <v>3</v>
      </c>
      <c r="R5149" s="2">
        <f>PerfRate[[#This Row],[ManagerRating]] - PerfRate[[#This Row],[SelfRating]]</f>
        <v>-1</v>
      </c>
    </row>
    <row r="5150" spans="1:18">
      <c r="A5150" s="2" t="s">
        <v>9457</v>
      </c>
      <c r="B5150" s="2" t="s">
        <v>2204</v>
      </c>
      <c r="C5150" s="1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  <c r="L5150" s="2" t="s">
        <v>11031</v>
      </c>
      <c r="M5150" s="2" t="s">
        <v>11030</v>
      </c>
      <c r="N5150" s="2" t="s">
        <v>11036</v>
      </c>
      <c r="O5150" s="2" t="s">
        <v>11035</v>
      </c>
      <c r="P5150" s="2" t="s">
        <v>11038</v>
      </c>
      <c r="Q5150" s="2">
        <f>AVERAGE(PerfRate[[#This Row],[EnvironmentSatisfaction]],PerfRate[[#This Row],[JobSatisfaction]],PerfRate[[#This Row],[RelationshipSatisfaction]])</f>
        <v>3.3333333333333335</v>
      </c>
      <c r="R5150" s="2">
        <f>PerfRate[[#This Row],[ManagerRating]] - PerfRate[[#This Row],[SelfRating]]</f>
        <v>-1</v>
      </c>
    </row>
    <row r="5151" spans="1:18">
      <c r="A5151" s="2" t="s">
        <v>9458</v>
      </c>
      <c r="B5151" s="2" t="s">
        <v>520</v>
      </c>
      <c r="C5151" s="1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  <c r="L5151" s="2" t="s">
        <v>11030</v>
      </c>
      <c r="M5151" s="2" t="s">
        <v>11030</v>
      </c>
      <c r="N5151" s="2" t="s">
        <v>11037</v>
      </c>
      <c r="O5151" s="2" t="s">
        <v>11036</v>
      </c>
      <c r="P5151" s="2" t="s">
        <v>11035</v>
      </c>
      <c r="Q5151" s="2">
        <f>AVERAGE(PerfRate[[#This Row],[EnvironmentSatisfaction]],PerfRate[[#This Row],[JobSatisfaction]],PerfRate[[#This Row],[RelationshipSatisfaction]])</f>
        <v>3</v>
      </c>
      <c r="R5151" s="2">
        <f>PerfRate[[#This Row],[ManagerRating]] - PerfRate[[#This Row],[SelfRating]]</f>
        <v>0</v>
      </c>
    </row>
    <row r="5152" spans="1:18">
      <c r="A5152" s="2" t="s">
        <v>9459</v>
      </c>
      <c r="B5152" s="2" t="s">
        <v>2864</v>
      </c>
      <c r="C5152" s="1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  <c r="L5152" s="2" t="s">
        <v>11029</v>
      </c>
      <c r="M5152" s="2" t="s">
        <v>11028</v>
      </c>
      <c r="N5152" s="2" t="s">
        <v>11037</v>
      </c>
      <c r="O5152" s="2" t="s">
        <v>11038</v>
      </c>
      <c r="P5152" s="2" t="s">
        <v>11035</v>
      </c>
      <c r="Q5152" s="2">
        <f>AVERAGE(PerfRate[[#This Row],[EnvironmentSatisfaction]],PerfRate[[#This Row],[JobSatisfaction]],PerfRate[[#This Row],[RelationshipSatisfaction]])</f>
        <v>3.6666666666666665</v>
      </c>
      <c r="R5152" s="2">
        <f>PerfRate[[#This Row],[ManagerRating]] - PerfRate[[#This Row],[SelfRating]]</f>
        <v>-1</v>
      </c>
    </row>
    <row r="5153" spans="1:18">
      <c r="A5153" s="2" t="s">
        <v>9460</v>
      </c>
      <c r="B5153" s="2" t="s">
        <v>401</v>
      </c>
      <c r="C5153" s="1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  <c r="L5153" s="2" t="s">
        <v>11029</v>
      </c>
      <c r="M5153" s="2" t="s">
        <v>11028</v>
      </c>
      <c r="N5153" s="2" t="s">
        <v>11037</v>
      </c>
      <c r="O5153" s="2" t="s">
        <v>11035</v>
      </c>
      <c r="P5153" s="2" t="s">
        <v>11035</v>
      </c>
      <c r="Q5153" s="2">
        <f>AVERAGE(PerfRate[[#This Row],[EnvironmentSatisfaction]],PerfRate[[#This Row],[JobSatisfaction]],PerfRate[[#This Row],[RelationshipSatisfaction]])</f>
        <v>2.6666666666666665</v>
      </c>
      <c r="R5153" s="2">
        <f>PerfRate[[#This Row],[ManagerRating]] - PerfRate[[#This Row],[SelfRating]]</f>
        <v>-1</v>
      </c>
    </row>
    <row r="5154" spans="1:18">
      <c r="A5154" s="2" t="s">
        <v>9461</v>
      </c>
      <c r="B5154" s="2" t="s">
        <v>1889</v>
      </c>
      <c r="C5154" s="1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  <c r="L5154" s="2" t="s">
        <v>11030</v>
      </c>
      <c r="M5154" s="2" t="s">
        <v>11029</v>
      </c>
      <c r="N5154" s="2" t="s">
        <v>11036</v>
      </c>
      <c r="O5154" s="2" t="s">
        <v>11036</v>
      </c>
      <c r="P5154" s="2" t="s">
        <v>11037</v>
      </c>
      <c r="Q5154" s="2">
        <f>AVERAGE(PerfRate[[#This Row],[EnvironmentSatisfaction]],PerfRate[[#This Row],[JobSatisfaction]],PerfRate[[#This Row],[RelationshipSatisfaction]])</f>
        <v>3.3333333333333335</v>
      </c>
      <c r="R5154" s="2">
        <f>PerfRate[[#This Row],[ManagerRating]] - PerfRate[[#This Row],[SelfRating]]</f>
        <v>-1</v>
      </c>
    </row>
    <row r="5155" spans="1:18">
      <c r="A5155" s="2" t="s">
        <v>9462</v>
      </c>
      <c r="B5155" s="2" t="s">
        <v>940</v>
      </c>
      <c r="C5155" s="1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  <c r="L5155" s="2" t="s">
        <v>11029</v>
      </c>
      <c r="M5155" s="2" t="s">
        <v>11028</v>
      </c>
      <c r="N5155" s="2" t="s">
        <v>11036</v>
      </c>
      <c r="O5155" s="2" t="s">
        <v>11037</v>
      </c>
      <c r="P5155" s="2" t="s">
        <v>11036</v>
      </c>
      <c r="Q5155" s="2">
        <f>AVERAGE(PerfRate[[#This Row],[EnvironmentSatisfaction]],PerfRate[[#This Row],[JobSatisfaction]],PerfRate[[#This Row],[RelationshipSatisfaction]])</f>
        <v>3.3333333333333335</v>
      </c>
      <c r="R5155" s="2">
        <f>PerfRate[[#This Row],[ManagerRating]] - PerfRate[[#This Row],[SelfRating]]</f>
        <v>-1</v>
      </c>
    </row>
    <row r="5156" spans="1:18">
      <c r="A5156" s="2" t="s">
        <v>9463</v>
      </c>
      <c r="B5156" s="2" t="s">
        <v>490</v>
      </c>
      <c r="C5156" s="1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  <c r="L5156" s="2" t="s">
        <v>11031</v>
      </c>
      <c r="M5156" s="2" t="s">
        <v>11030</v>
      </c>
      <c r="N5156" s="2" t="s">
        <v>11037</v>
      </c>
      <c r="O5156" s="2" t="s">
        <v>11035</v>
      </c>
      <c r="P5156" s="2" t="s">
        <v>11037</v>
      </c>
      <c r="Q5156" s="2">
        <f>AVERAGE(PerfRate[[#This Row],[EnvironmentSatisfaction]],PerfRate[[#This Row],[JobSatisfaction]],PerfRate[[#This Row],[RelationshipSatisfaction]])</f>
        <v>3.3333333333333335</v>
      </c>
      <c r="R5156" s="2">
        <f>PerfRate[[#This Row],[ManagerRating]] - PerfRate[[#This Row],[SelfRating]]</f>
        <v>-1</v>
      </c>
    </row>
    <row r="5157" spans="1:18">
      <c r="A5157" s="2" t="s">
        <v>9464</v>
      </c>
      <c r="B5157" s="2" t="s">
        <v>1733</v>
      </c>
      <c r="C5157" s="1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  <c r="L5157" s="2" t="s">
        <v>11030</v>
      </c>
      <c r="M5157" s="2" t="s">
        <v>11029</v>
      </c>
      <c r="N5157" s="2" t="s">
        <v>11038</v>
      </c>
      <c r="O5157" s="2" t="s">
        <v>11038</v>
      </c>
      <c r="P5157" s="2" t="s">
        <v>11036</v>
      </c>
      <c r="Q5157" s="2">
        <f>AVERAGE(PerfRate[[#This Row],[EnvironmentSatisfaction]],PerfRate[[#This Row],[JobSatisfaction]],PerfRate[[#This Row],[RelationshipSatisfaction]])</f>
        <v>4.333333333333333</v>
      </c>
      <c r="R5157" s="2">
        <f>PerfRate[[#This Row],[ManagerRating]] - PerfRate[[#This Row],[SelfRating]]</f>
        <v>-1</v>
      </c>
    </row>
    <row r="5158" spans="1:18">
      <c r="A5158" s="2" t="s">
        <v>9465</v>
      </c>
      <c r="B5158" s="2" t="s">
        <v>1930</v>
      </c>
      <c r="C5158" s="1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  <c r="L5158" s="2" t="s">
        <v>11029</v>
      </c>
      <c r="M5158" s="2" t="s">
        <v>11029</v>
      </c>
      <c r="N5158" s="2" t="s">
        <v>11038</v>
      </c>
      <c r="O5158" s="2" t="s">
        <v>11037</v>
      </c>
      <c r="P5158" s="2" t="s">
        <v>11037</v>
      </c>
      <c r="Q5158" s="2">
        <f>AVERAGE(PerfRate[[#This Row],[EnvironmentSatisfaction]],PerfRate[[#This Row],[JobSatisfaction]],PerfRate[[#This Row],[RelationshipSatisfaction]])</f>
        <v>4.333333333333333</v>
      </c>
      <c r="R5158" s="2">
        <f>PerfRate[[#This Row],[ManagerRating]] - PerfRate[[#This Row],[SelfRating]]</f>
        <v>0</v>
      </c>
    </row>
    <row r="5159" spans="1:18">
      <c r="A5159" s="2" t="s">
        <v>9466</v>
      </c>
      <c r="B5159" s="2" t="s">
        <v>2748</v>
      </c>
      <c r="C5159" s="1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  <c r="L5159" s="2" t="s">
        <v>11031</v>
      </c>
      <c r="M5159" s="2" t="s">
        <v>11031</v>
      </c>
      <c r="N5159" s="2" t="s">
        <v>11038</v>
      </c>
      <c r="O5159" s="2" t="s">
        <v>11038</v>
      </c>
      <c r="P5159" s="2" t="s">
        <v>11038</v>
      </c>
      <c r="Q5159" s="2">
        <f>AVERAGE(PerfRate[[#This Row],[EnvironmentSatisfaction]],PerfRate[[#This Row],[JobSatisfaction]],PerfRate[[#This Row],[RelationshipSatisfaction]])</f>
        <v>5</v>
      </c>
      <c r="R5159" s="2">
        <f>PerfRate[[#This Row],[ManagerRating]] - PerfRate[[#This Row],[SelfRating]]</f>
        <v>0</v>
      </c>
    </row>
    <row r="5160" spans="1:18">
      <c r="A5160" s="2" t="s">
        <v>9467</v>
      </c>
      <c r="B5160" s="2" t="s">
        <v>738</v>
      </c>
      <c r="C5160" s="1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  <c r="L5160" s="2" t="s">
        <v>11029</v>
      </c>
      <c r="M5160" s="2" t="s">
        <v>11028</v>
      </c>
      <c r="N5160" s="2" t="s">
        <v>11036</v>
      </c>
      <c r="O5160" s="2" t="s">
        <v>11036</v>
      </c>
      <c r="P5160" s="2" t="s">
        <v>11038</v>
      </c>
      <c r="Q5160" s="2">
        <f>AVERAGE(PerfRate[[#This Row],[EnvironmentSatisfaction]],PerfRate[[#This Row],[JobSatisfaction]],PerfRate[[#This Row],[RelationshipSatisfaction]])</f>
        <v>3.6666666666666665</v>
      </c>
      <c r="R5160" s="2">
        <f>PerfRate[[#This Row],[ManagerRating]] - PerfRate[[#This Row],[SelfRating]]</f>
        <v>-1</v>
      </c>
    </row>
    <row r="5161" spans="1:18">
      <c r="A5161" s="2" t="s">
        <v>9468</v>
      </c>
      <c r="B5161" s="2" t="s">
        <v>2911</v>
      </c>
      <c r="C5161" s="1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  <c r="L5161" s="2" t="s">
        <v>11030</v>
      </c>
      <c r="M5161" s="2" t="s">
        <v>11029</v>
      </c>
      <c r="N5161" s="2" t="s">
        <v>11036</v>
      </c>
      <c r="O5161" s="2" t="s">
        <v>11036</v>
      </c>
      <c r="P5161" s="2" t="s">
        <v>11035</v>
      </c>
      <c r="Q5161" s="2">
        <f>AVERAGE(PerfRate[[#This Row],[EnvironmentSatisfaction]],PerfRate[[#This Row],[JobSatisfaction]],PerfRate[[#This Row],[RelationshipSatisfaction]])</f>
        <v>2.6666666666666665</v>
      </c>
      <c r="R5161" s="2">
        <f>PerfRate[[#This Row],[ManagerRating]] - PerfRate[[#This Row],[SelfRating]]</f>
        <v>-1</v>
      </c>
    </row>
    <row r="5162" spans="1:18">
      <c r="A5162" s="2" t="s">
        <v>9469</v>
      </c>
      <c r="B5162" s="2" t="s">
        <v>302</v>
      </c>
      <c r="C5162" s="1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  <c r="L5162" s="2" t="s">
        <v>11030</v>
      </c>
      <c r="M5162" s="2" t="s">
        <v>11029</v>
      </c>
      <c r="N5162" s="2" t="s">
        <v>11037</v>
      </c>
      <c r="O5162" s="2" t="s">
        <v>11037</v>
      </c>
      <c r="P5162" s="2" t="s">
        <v>11038</v>
      </c>
      <c r="Q5162" s="2">
        <f>AVERAGE(PerfRate[[#This Row],[EnvironmentSatisfaction]],PerfRate[[#This Row],[JobSatisfaction]],PerfRate[[#This Row],[RelationshipSatisfaction]])</f>
        <v>4.333333333333333</v>
      </c>
      <c r="R5162" s="2">
        <f>PerfRate[[#This Row],[ManagerRating]] - PerfRate[[#This Row],[SelfRating]]</f>
        <v>-1</v>
      </c>
    </row>
    <row r="5163" spans="1:18">
      <c r="A5163" s="2" t="s">
        <v>9470</v>
      </c>
      <c r="B5163" s="2" t="s">
        <v>2795</v>
      </c>
      <c r="C5163" s="1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  <c r="L5163" s="2" t="s">
        <v>11031</v>
      </c>
      <c r="M5163" s="2" t="s">
        <v>11031</v>
      </c>
      <c r="N5163" s="2" t="s">
        <v>11037</v>
      </c>
      <c r="O5163" s="2" t="s">
        <v>11037</v>
      </c>
      <c r="P5163" s="2" t="s">
        <v>11037</v>
      </c>
      <c r="Q5163" s="2">
        <f>AVERAGE(PerfRate[[#This Row],[EnvironmentSatisfaction]],PerfRate[[#This Row],[JobSatisfaction]],PerfRate[[#This Row],[RelationshipSatisfaction]])</f>
        <v>4</v>
      </c>
      <c r="R5163" s="2">
        <f>PerfRate[[#This Row],[ManagerRating]] - PerfRate[[#This Row],[SelfRating]]</f>
        <v>0</v>
      </c>
    </row>
    <row r="5164" spans="1:18">
      <c r="A5164" s="2" t="s">
        <v>9471</v>
      </c>
      <c r="B5164" s="2" t="s">
        <v>1818</v>
      </c>
      <c r="C5164" s="1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  <c r="L5164" s="2" t="s">
        <v>11029</v>
      </c>
      <c r="M5164" s="2" t="s">
        <v>11029</v>
      </c>
      <c r="N5164" s="2" t="s">
        <v>11035</v>
      </c>
      <c r="O5164" s="2" t="s">
        <v>11034</v>
      </c>
      <c r="P5164" s="2" t="s">
        <v>11035</v>
      </c>
      <c r="Q5164" s="2">
        <f>AVERAGE(PerfRate[[#This Row],[EnvironmentSatisfaction]],PerfRate[[#This Row],[JobSatisfaction]],PerfRate[[#This Row],[RelationshipSatisfaction]])</f>
        <v>1.6666666666666667</v>
      </c>
      <c r="R5164" s="2">
        <f>PerfRate[[#This Row],[ManagerRating]] - PerfRate[[#This Row],[SelfRating]]</f>
        <v>0</v>
      </c>
    </row>
    <row r="5165" spans="1:18">
      <c r="A5165" s="2" t="s">
        <v>9472</v>
      </c>
      <c r="B5165" s="2" t="s">
        <v>1881</v>
      </c>
      <c r="C5165" s="1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  <c r="L5165" s="2" t="s">
        <v>11029</v>
      </c>
      <c r="M5165" s="2" t="s">
        <v>11028</v>
      </c>
      <c r="N5165" s="2" t="s">
        <v>11035</v>
      </c>
      <c r="O5165" s="2" t="s">
        <v>11037</v>
      </c>
      <c r="P5165" s="2" t="s">
        <v>11035</v>
      </c>
      <c r="Q5165" s="2">
        <f>AVERAGE(PerfRate[[#This Row],[EnvironmentSatisfaction]],PerfRate[[#This Row],[JobSatisfaction]],PerfRate[[#This Row],[RelationshipSatisfaction]])</f>
        <v>2.6666666666666665</v>
      </c>
      <c r="R5165" s="2">
        <f>PerfRate[[#This Row],[ManagerRating]] - PerfRate[[#This Row],[SelfRating]]</f>
        <v>-1</v>
      </c>
    </row>
    <row r="5166" spans="1:18">
      <c r="A5166" s="2" t="s">
        <v>9473</v>
      </c>
      <c r="B5166" s="2" t="s">
        <v>1177</v>
      </c>
      <c r="C5166" s="1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  <c r="L5166" s="2" t="s">
        <v>11029</v>
      </c>
      <c r="M5166" s="2" t="s">
        <v>11028</v>
      </c>
      <c r="N5166" s="2" t="s">
        <v>11035</v>
      </c>
      <c r="O5166" s="2" t="s">
        <v>11037</v>
      </c>
      <c r="P5166" s="2" t="s">
        <v>11035</v>
      </c>
      <c r="Q5166" s="2">
        <f>AVERAGE(PerfRate[[#This Row],[EnvironmentSatisfaction]],PerfRate[[#This Row],[JobSatisfaction]],PerfRate[[#This Row],[RelationshipSatisfaction]])</f>
        <v>2.6666666666666665</v>
      </c>
      <c r="R5166" s="2">
        <f>PerfRate[[#This Row],[ManagerRating]] - PerfRate[[#This Row],[SelfRating]]</f>
        <v>-1</v>
      </c>
    </row>
    <row r="5167" spans="1:18">
      <c r="A5167" s="2" t="s">
        <v>9474</v>
      </c>
      <c r="B5167" s="2" t="s">
        <v>2891</v>
      </c>
      <c r="C5167" s="1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  <c r="L5167" s="2" t="s">
        <v>11031</v>
      </c>
      <c r="M5167" s="2" t="s">
        <v>11030</v>
      </c>
      <c r="N5167" s="2" t="s">
        <v>11036</v>
      </c>
      <c r="O5167" s="2" t="s">
        <v>11035</v>
      </c>
      <c r="P5167" s="2" t="s">
        <v>11034</v>
      </c>
      <c r="Q5167" s="2">
        <f>AVERAGE(PerfRate[[#This Row],[EnvironmentSatisfaction]],PerfRate[[#This Row],[JobSatisfaction]],PerfRate[[#This Row],[RelationshipSatisfaction]])</f>
        <v>2</v>
      </c>
      <c r="R5167" s="2">
        <f>PerfRate[[#This Row],[ManagerRating]] - PerfRate[[#This Row],[SelfRating]]</f>
        <v>-1</v>
      </c>
    </row>
    <row r="5168" spans="1:18">
      <c r="A5168" s="2" t="s">
        <v>9475</v>
      </c>
      <c r="B5168" s="2" t="s">
        <v>3414</v>
      </c>
      <c r="C5168" s="1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  <c r="L5168" s="2" t="s">
        <v>11029</v>
      </c>
      <c r="M5168" s="2" t="s">
        <v>11028</v>
      </c>
      <c r="N5168" s="2" t="s">
        <v>11037</v>
      </c>
      <c r="O5168" s="2" t="s">
        <v>11035</v>
      </c>
      <c r="P5168" s="2" t="s">
        <v>11035</v>
      </c>
      <c r="Q5168" s="2">
        <f>AVERAGE(PerfRate[[#This Row],[EnvironmentSatisfaction]],PerfRate[[#This Row],[JobSatisfaction]],PerfRate[[#This Row],[RelationshipSatisfaction]])</f>
        <v>2.6666666666666665</v>
      </c>
      <c r="R5168" s="2">
        <f>PerfRate[[#This Row],[ManagerRating]] - PerfRate[[#This Row],[SelfRating]]</f>
        <v>-1</v>
      </c>
    </row>
    <row r="5169" spans="1:18">
      <c r="A5169" s="2" t="s">
        <v>9476</v>
      </c>
      <c r="B5169" s="2" t="s">
        <v>690</v>
      </c>
      <c r="C5169" s="1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  <c r="L5169" s="2" t="s">
        <v>11031</v>
      </c>
      <c r="M5169" s="2" t="s">
        <v>11030</v>
      </c>
      <c r="N5169" s="2" t="s">
        <v>11037</v>
      </c>
      <c r="O5169" s="2" t="s">
        <v>11036</v>
      </c>
      <c r="P5169" s="2" t="s">
        <v>11038</v>
      </c>
      <c r="Q5169" s="2">
        <f>AVERAGE(PerfRate[[#This Row],[EnvironmentSatisfaction]],PerfRate[[#This Row],[JobSatisfaction]],PerfRate[[#This Row],[RelationshipSatisfaction]])</f>
        <v>4</v>
      </c>
      <c r="R5169" s="2">
        <f>PerfRate[[#This Row],[ManagerRating]] - PerfRate[[#This Row],[SelfRating]]</f>
        <v>-1</v>
      </c>
    </row>
    <row r="5170" spans="1:18">
      <c r="A5170" s="2" t="s">
        <v>9477</v>
      </c>
      <c r="B5170" s="2" t="s">
        <v>1707</v>
      </c>
      <c r="C5170" s="1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  <c r="L5170" s="2" t="s">
        <v>11031</v>
      </c>
      <c r="M5170" s="2" t="s">
        <v>11030</v>
      </c>
      <c r="N5170" s="2" t="s">
        <v>11036</v>
      </c>
      <c r="O5170" s="2" t="s">
        <v>11036</v>
      </c>
      <c r="P5170" s="2" t="s">
        <v>11038</v>
      </c>
      <c r="Q5170" s="2">
        <f>AVERAGE(PerfRate[[#This Row],[EnvironmentSatisfaction]],PerfRate[[#This Row],[JobSatisfaction]],PerfRate[[#This Row],[RelationshipSatisfaction]])</f>
        <v>3.6666666666666665</v>
      </c>
      <c r="R5170" s="2">
        <f>PerfRate[[#This Row],[ManagerRating]] - PerfRate[[#This Row],[SelfRating]]</f>
        <v>-1</v>
      </c>
    </row>
    <row r="5171" spans="1:18">
      <c r="A5171" s="2" t="s">
        <v>9478</v>
      </c>
      <c r="B5171" s="2" t="s">
        <v>1024</v>
      </c>
      <c r="C5171" s="1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  <c r="L5171" s="2" t="s">
        <v>11029</v>
      </c>
      <c r="M5171" s="2" t="s">
        <v>11028</v>
      </c>
      <c r="N5171" s="2" t="s">
        <v>11036</v>
      </c>
      <c r="O5171" s="2" t="s">
        <v>11036</v>
      </c>
      <c r="P5171" s="2" t="s">
        <v>11035</v>
      </c>
      <c r="Q5171" s="2">
        <f>AVERAGE(PerfRate[[#This Row],[EnvironmentSatisfaction]],PerfRate[[#This Row],[JobSatisfaction]],PerfRate[[#This Row],[RelationshipSatisfaction]])</f>
        <v>2.6666666666666665</v>
      </c>
      <c r="R5171" s="2">
        <f>PerfRate[[#This Row],[ManagerRating]] - PerfRate[[#This Row],[SelfRating]]</f>
        <v>-1</v>
      </c>
    </row>
    <row r="5172" spans="1:18">
      <c r="A5172" s="2" t="s">
        <v>9479</v>
      </c>
      <c r="B5172" s="2" t="s">
        <v>1406</v>
      </c>
      <c r="C5172" s="1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  <c r="L5172" s="2" t="s">
        <v>11030</v>
      </c>
      <c r="M5172" s="2" t="s">
        <v>11029</v>
      </c>
      <c r="N5172" s="2" t="s">
        <v>11037</v>
      </c>
      <c r="O5172" s="2" t="s">
        <v>11036</v>
      </c>
      <c r="P5172" s="2" t="s">
        <v>11038</v>
      </c>
      <c r="Q5172" s="2">
        <f>AVERAGE(PerfRate[[#This Row],[EnvironmentSatisfaction]],PerfRate[[#This Row],[JobSatisfaction]],PerfRate[[#This Row],[RelationshipSatisfaction]])</f>
        <v>4</v>
      </c>
      <c r="R5172" s="2">
        <f>PerfRate[[#This Row],[ManagerRating]] - PerfRate[[#This Row],[SelfRating]]</f>
        <v>-1</v>
      </c>
    </row>
    <row r="5173" spans="1:18">
      <c r="A5173" s="2" t="s">
        <v>9480</v>
      </c>
      <c r="B5173" s="2" t="s">
        <v>1710</v>
      </c>
      <c r="C5173" s="1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  <c r="L5173" s="2" t="s">
        <v>11029</v>
      </c>
      <c r="M5173" s="2" t="s">
        <v>11029</v>
      </c>
      <c r="N5173" s="2" t="s">
        <v>11036</v>
      </c>
      <c r="O5173" s="2" t="s">
        <v>11036</v>
      </c>
      <c r="P5173" s="2" t="s">
        <v>11038</v>
      </c>
      <c r="Q5173" s="2">
        <f>AVERAGE(PerfRate[[#This Row],[EnvironmentSatisfaction]],PerfRate[[#This Row],[JobSatisfaction]],PerfRate[[#This Row],[RelationshipSatisfaction]])</f>
        <v>3.6666666666666665</v>
      </c>
      <c r="R5173" s="2">
        <f>PerfRate[[#This Row],[ManagerRating]] - PerfRate[[#This Row],[SelfRating]]</f>
        <v>0</v>
      </c>
    </row>
    <row r="5174" spans="1:18">
      <c r="A5174" s="2" t="s">
        <v>9481</v>
      </c>
      <c r="B5174" s="2" t="s">
        <v>3294</v>
      </c>
      <c r="C5174" s="1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  <c r="L5174" s="2" t="s">
        <v>11029</v>
      </c>
      <c r="M5174" s="2" t="s">
        <v>11028</v>
      </c>
      <c r="N5174" s="2" t="s">
        <v>11037</v>
      </c>
      <c r="O5174" s="2" t="s">
        <v>11038</v>
      </c>
      <c r="P5174" s="2" t="s">
        <v>11035</v>
      </c>
      <c r="Q5174" s="2">
        <f>AVERAGE(PerfRate[[#This Row],[EnvironmentSatisfaction]],PerfRate[[#This Row],[JobSatisfaction]],PerfRate[[#This Row],[RelationshipSatisfaction]])</f>
        <v>3.6666666666666665</v>
      </c>
      <c r="R5174" s="2">
        <f>PerfRate[[#This Row],[ManagerRating]] - PerfRate[[#This Row],[SelfRating]]</f>
        <v>-1</v>
      </c>
    </row>
    <row r="5175" spans="1:18">
      <c r="A5175" s="2" t="s">
        <v>9482</v>
      </c>
      <c r="B5175" s="2" t="s">
        <v>705</v>
      </c>
      <c r="C5175" s="1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  <c r="L5175" s="2" t="s">
        <v>11030</v>
      </c>
      <c r="M5175" s="2" t="s">
        <v>11029</v>
      </c>
      <c r="N5175" s="2" t="s">
        <v>11037</v>
      </c>
      <c r="O5175" s="2" t="s">
        <v>11037</v>
      </c>
      <c r="P5175" s="2" t="s">
        <v>11036</v>
      </c>
      <c r="Q5175" s="2">
        <f>AVERAGE(PerfRate[[#This Row],[EnvironmentSatisfaction]],PerfRate[[#This Row],[JobSatisfaction]],PerfRate[[#This Row],[RelationshipSatisfaction]])</f>
        <v>3.6666666666666665</v>
      </c>
      <c r="R5175" s="2">
        <f>PerfRate[[#This Row],[ManagerRating]] - PerfRate[[#This Row],[SelfRating]]</f>
        <v>-1</v>
      </c>
    </row>
    <row r="5176" spans="1:18">
      <c r="A5176" s="2" t="s">
        <v>9483</v>
      </c>
      <c r="B5176" s="2" t="s">
        <v>1423</v>
      </c>
      <c r="C5176" s="1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  <c r="L5176" s="2" t="s">
        <v>11030</v>
      </c>
      <c r="M5176" s="2" t="s">
        <v>11029</v>
      </c>
      <c r="N5176" s="2" t="s">
        <v>11038</v>
      </c>
      <c r="O5176" s="2" t="s">
        <v>11038</v>
      </c>
      <c r="P5176" s="2" t="s">
        <v>11036</v>
      </c>
      <c r="Q5176" s="2">
        <f>AVERAGE(PerfRate[[#This Row],[EnvironmentSatisfaction]],PerfRate[[#This Row],[JobSatisfaction]],PerfRate[[#This Row],[RelationshipSatisfaction]])</f>
        <v>4.333333333333333</v>
      </c>
      <c r="R5176" s="2">
        <f>PerfRate[[#This Row],[ManagerRating]] - PerfRate[[#This Row],[SelfRating]]</f>
        <v>-1</v>
      </c>
    </row>
    <row r="5177" spans="1:18">
      <c r="A5177" s="2" t="s">
        <v>9484</v>
      </c>
      <c r="B5177" s="2" t="s">
        <v>1948</v>
      </c>
      <c r="C5177" s="1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  <c r="L5177" s="2" t="s">
        <v>11030</v>
      </c>
      <c r="M5177" s="2" t="s">
        <v>11029</v>
      </c>
      <c r="N5177" s="2" t="s">
        <v>11038</v>
      </c>
      <c r="O5177" s="2" t="s">
        <v>11035</v>
      </c>
      <c r="P5177" s="2" t="s">
        <v>11037</v>
      </c>
      <c r="Q5177" s="2">
        <f>AVERAGE(PerfRate[[#This Row],[EnvironmentSatisfaction]],PerfRate[[#This Row],[JobSatisfaction]],PerfRate[[#This Row],[RelationshipSatisfaction]])</f>
        <v>3.6666666666666665</v>
      </c>
      <c r="R5177" s="2">
        <f>PerfRate[[#This Row],[ManagerRating]] - PerfRate[[#This Row],[SelfRating]]</f>
        <v>-1</v>
      </c>
    </row>
    <row r="5178" spans="1:18">
      <c r="A5178" s="2" t="s">
        <v>9485</v>
      </c>
      <c r="B5178" s="2" t="s">
        <v>2187</v>
      </c>
      <c r="C5178" s="1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  <c r="L5178" s="2" t="s">
        <v>11031</v>
      </c>
      <c r="M5178" s="2" t="s">
        <v>11031</v>
      </c>
      <c r="N5178" s="2" t="s">
        <v>11036</v>
      </c>
      <c r="O5178" s="2" t="s">
        <v>11035</v>
      </c>
      <c r="P5178" s="2" t="s">
        <v>11035</v>
      </c>
      <c r="Q5178" s="2">
        <f>AVERAGE(PerfRate[[#This Row],[EnvironmentSatisfaction]],PerfRate[[#This Row],[JobSatisfaction]],PerfRate[[#This Row],[RelationshipSatisfaction]])</f>
        <v>2.3333333333333335</v>
      </c>
      <c r="R5178" s="2">
        <f>PerfRate[[#This Row],[ManagerRating]] - PerfRate[[#This Row],[SelfRating]]</f>
        <v>0</v>
      </c>
    </row>
    <row r="5179" spans="1:18">
      <c r="A5179" s="2" t="s">
        <v>9486</v>
      </c>
      <c r="B5179" s="2" t="s">
        <v>664</v>
      </c>
      <c r="C5179" s="1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  <c r="L5179" s="2" t="s">
        <v>11030</v>
      </c>
      <c r="M5179" s="2" t="s">
        <v>11030</v>
      </c>
      <c r="N5179" s="2" t="s">
        <v>11036</v>
      </c>
      <c r="O5179" s="2" t="s">
        <v>11036</v>
      </c>
      <c r="P5179" s="2" t="s">
        <v>11038</v>
      </c>
      <c r="Q5179" s="2">
        <f>AVERAGE(PerfRate[[#This Row],[EnvironmentSatisfaction]],PerfRate[[#This Row],[JobSatisfaction]],PerfRate[[#This Row],[RelationshipSatisfaction]])</f>
        <v>3.6666666666666665</v>
      </c>
      <c r="R5179" s="2">
        <f>PerfRate[[#This Row],[ManagerRating]] - PerfRate[[#This Row],[SelfRating]]</f>
        <v>0</v>
      </c>
    </row>
    <row r="5180" spans="1:18">
      <c r="A5180" s="2" t="s">
        <v>9487</v>
      </c>
      <c r="B5180" s="2" t="s">
        <v>1739</v>
      </c>
      <c r="C5180" s="1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  <c r="L5180" s="2" t="s">
        <v>11031</v>
      </c>
      <c r="M5180" s="2" t="s">
        <v>11030</v>
      </c>
      <c r="N5180" s="2" t="s">
        <v>11038</v>
      </c>
      <c r="O5180" s="2" t="s">
        <v>11036</v>
      </c>
      <c r="P5180" s="2" t="s">
        <v>11036</v>
      </c>
      <c r="Q5180" s="2">
        <f>AVERAGE(PerfRate[[#This Row],[EnvironmentSatisfaction]],PerfRate[[#This Row],[JobSatisfaction]],PerfRate[[#This Row],[RelationshipSatisfaction]])</f>
        <v>3.6666666666666665</v>
      </c>
      <c r="R5180" s="2">
        <f>PerfRate[[#This Row],[ManagerRating]] - PerfRate[[#This Row],[SelfRating]]</f>
        <v>-1</v>
      </c>
    </row>
    <row r="5181" spans="1:18">
      <c r="A5181" s="2" t="s">
        <v>9488</v>
      </c>
      <c r="B5181" s="2" t="s">
        <v>2302</v>
      </c>
      <c r="C5181" s="1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  <c r="L5181" s="2" t="s">
        <v>11030</v>
      </c>
      <c r="M5181" s="2" t="s">
        <v>11030</v>
      </c>
      <c r="N5181" s="2" t="s">
        <v>11036</v>
      </c>
      <c r="O5181" s="2" t="s">
        <v>11035</v>
      </c>
      <c r="P5181" s="2" t="s">
        <v>11038</v>
      </c>
      <c r="Q5181" s="2">
        <f>AVERAGE(PerfRate[[#This Row],[EnvironmentSatisfaction]],PerfRate[[#This Row],[JobSatisfaction]],PerfRate[[#This Row],[RelationshipSatisfaction]])</f>
        <v>3.3333333333333335</v>
      </c>
      <c r="R5181" s="2">
        <f>PerfRate[[#This Row],[ManagerRating]] - PerfRate[[#This Row],[SelfRating]]</f>
        <v>0</v>
      </c>
    </row>
    <row r="5182" spans="1:18">
      <c r="A5182" s="2" t="s">
        <v>9489</v>
      </c>
      <c r="B5182" s="2" t="s">
        <v>684</v>
      </c>
      <c r="C5182" s="1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  <c r="L5182" s="2" t="s">
        <v>11031</v>
      </c>
      <c r="M5182" s="2" t="s">
        <v>11031</v>
      </c>
      <c r="N5182" s="2" t="s">
        <v>11037</v>
      </c>
      <c r="O5182" s="2" t="s">
        <v>11038</v>
      </c>
      <c r="P5182" s="2" t="s">
        <v>11035</v>
      </c>
      <c r="Q5182" s="2">
        <f>AVERAGE(PerfRate[[#This Row],[EnvironmentSatisfaction]],PerfRate[[#This Row],[JobSatisfaction]],PerfRate[[#This Row],[RelationshipSatisfaction]])</f>
        <v>3.6666666666666665</v>
      </c>
      <c r="R5182" s="2">
        <f>PerfRate[[#This Row],[ManagerRating]] - PerfRate[[#This Row],[SelfRating]]</f>
        <v>0</v>
      </c>
    </row>
    <row r="5183" spans="1:18">
      <c r="A5183" s="2" t="s">
        <v>9490</v>
      </c>
      <c r="B5183" s="2" t="s">
        <v>702</v>
      </c>
      <c r="C5183" s="1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  <c r="L5183" s="2" t="s">
        <v>11031</v>
      </c>
      <c r="M5183" s="2" t="s">
        <v>11031</v>
      </c>
      <c r="N5183" s="2" t="s">
        <v>11038</v>
      </c>
      <c r="O5183" s="2" t="s">
        <v>11036</v>
      </c>
      <c r="P5183" s="2" t="s">
        <v>11037</v>
      </c>
      <c r="Q5183" s="2">
        <f>AVERAGE(PerfRate[[#This Row],[EnvironmentSatisfaction]],PerfRate[[#This Row],[JobSatisfaction]],PerfRate[[#This Row],[RelationshipSatisfaction]])</f>
        <v>4</v>
      </c>
      <c r="R5183" s="2">
        <f>PerfRate[[#This Row],[ManagerRating]] - PerfRate[[#This Row],[SelfRating]]</f>
        <v>0</v>
      </c>
    </row>
    <row r="5184" spans="1:18">
      <c r="A5184" s="2" t="s">
        <v>9491</v>
      </c>
      <c r="B5184" s="2" t="s">
        <v>586</v>
      </c>
      <c r="C5184" s="1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  <c r="L5184" s="2" t="s">
        <v>11029</v>
      </c>
      <c r="M5184" s="2" t="s">
        <v>11029</v>
      </c>
      <c r="N5184" s="2" t="s">
        <v>11038</v>
      </c>
      <c r="O5184" s="2" t="s">
        <v>11036</v>
      </c>
      <c r="P5184" s="2" t="s">
        <v>11036</v>
      </c>
      <c r="Q5184" s="2">
        <f>AVERAGE(PerfRate[[#This Row],[EnvironmentSatisfaction]],PerfRate[[#This Row],[JobSatisfaction]],PerfRate[[#This Row],[RelationshipSatisfaction]])</f>
        <v>3.6666666666666665</v>
      </c>
      <c r="R5184" s="2">
        <f>PerfRate[[#This Row],[ManagerRating]] - PerfRate[[#This Row],[SelfRating]]</f>
        <v>0</v>
      </c>
    </row>
    <row r="5185" spans="1:18">
      <c r="A5185" s="2" t="s">
        <v>9492</v>
      </c>
      <c r="B5185" s="2" t="s">
        <v>991</v>
      </c>
      <c r="C5185" s="1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  <c r="L5185" s="2" t="s">
        <v>11029</v>
      </c>
      <c r="M5185" s="2" t="s">
        <v>11029</v>
      </c>
      <c r="N5185" s="2" t="s">
        <v>11036</v>
      </c>
      <c r="O5185" s="2" t="s">
        <v>11036</v>
      </c>
      <c r="P5185" s="2" t="s">
        <v>11038</v>
      </c>
      <c r="Q5185" s="2">
        <f>AVERAGE(PerfRate[[#This Row],[EnvironmentSatisfaction]],PerfRate[[#This Row],[JobSatisfaction]],PerfRate[[#This Row],[RelationshipSatisfaction]])</f>
        <v>3.6666666666666665</v>
      </c>
      <c r="R5185" s="2">
        <f>PerfRate[[#This Row],[ManagerRating]] - PerfRate[[#This Row],[SelfRating]]</f>
        <v>0</v>
      </c>
    </row>
    <row r="5186" spans="1:18">
      <c r="A5186" s="2" t="s">
        <v>9493</v>
      </c>
      <c r="B5186" s="2" t="s">
        <v>1252</v>
      </c>
      <c r="C5186" s="1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  <c r="L5186" s="2" t="s">
        <v>11031</v>
      </c>
      <c r="M5186" s="2" t="s">
        <v>11031</v>
      </c>
      <c r="N5186" s="2" t="s">
        <v>11037</v>
      </c>
      <c r="O5186" s="2" t="s">
        <v>11035</v>
      </c>
      <c r="P5186" s="2" t="s">
        <v>11035</v>
      </c>
      <c r="Q5186" s="2">
        <f>AVERAGE(PerfRate[[#This Row],[EnvironmentSatisfaction]],PerfRate[[#This Row],[JobSatisfaction]],PerfRate[[#This Row],[RelationshipSatisfaction]])</f>
        <v>2.6666666666666665</v>
      </c>
      <c r="R5186" s="2">
        <f>PerfRate[[#This Row],[ManagerRating]] - PerfRate[[#This Row],[SelfRating]]</f>
        <v>0</v>
      </c>
    </row>
    <row r="5187" spans="1:18">
      <c r="A5187" s="2" t="s">
        <v>9494</v>
      </c>
      <c r="B5187" s="2" t="s">
        <v>3995</v>
      </c>
      <c r="C5187" s="1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  <c r="L5187" s="2" t="s">
        <v>11031</v>
      </c>
      <c r="M5187" s="2" t="s">
        <v>11030</v>
      </c>
      <c r="N5187" s="2" t="s">
        <v>11036</v>
      </c>
      <c r="O5187" s="2" t="s">
        <v>11037</v>
      </c>
      <c r="P5187" s="2" t="s">
        <v>11038</v>
      </c>
      <c r="Q5187" s="2">
        <f>AVERAGE(PerfRate[[#This Row],[EnvironmentSatisfaction]],PerfRate[[#This Row],[JobSatisfaction]],PerfRate[[#This Row],[RelationshipSatisfaction]])</f>
        <v>4</v>
      </c>
      <c r="R5187" s="2">
        <f>PerfRate[[#This Row],[ManagerRating]] - PerfRate[[#This Row],[SelfRating]]</f>
        <v>-1</v>
      </c>
    </row>
    <row r="5188" spans="1:18">
      <c r="A5188" s="2" t="s">
        <v>9495</v>
      </c>
      <c r="B5188" s="2" t="s">
        <v>1886</v>
      </c>
      <c r="C5188" s="1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  <c r="L5188" s="2" t="s">
        <v>11030</v>
      </c>
      <c r="M5188" s="2" t="s">
        <v>11030</v>
      </c>
      <c r="N5188" s="2" t="s">
        <v>11036</v>
      </c>
      <c r="O5188" s="2" t="s">
        <v>11038</v>
      </c>
      <c r="P5188" s="2" t="s">
        <v>11037</v>
      </c>
      <c r="Q5188" s="2">
        <f>AVERAGE(PerfRate[[#This Row],[EnvironmentSatisfaction]],PerfRate[[#This Row],[JobSatisfaction]],PerfRate[[#This Row],[RelationshipSatisfaction]])</f>
        <v>4</v>
      </c>
      <c r="R5188" s="2">
        <f>PerfRate[[#This Row],[ManagerRating]] - PerfRate[[#This Row],[SelfRating]]</f>
        <v>0</v>
      </c>
    </row>
    <row r="5189" spans="1:18">
      <c r="A5189" s="2" t="s">
        <v>9496</v>
      </c>
      <c r="B5189" s="2" t="s">
        <v>3566</v>
      </c>
      <c r="C5189" s="1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  <c r="L5189" s="2" t="s">
        <v>11031</v>
      </c>
      <c r="M5189" s="2" t="s">
        <v>11031</v>
      </c>
      <c r="N5189" s="2" t="s">
        <v>11036</v>
      </c>
      <c r="O5189" s="2" t="s">
        <v>11036</v>
      </c>
      <c r="P5189" s="2" t="s">
        <v>11038</v>
      </c>
      <c r="Q5189" s="2">
        <f>AVERAGE(PerfRate[[#This Row],[EnvironmentSatisfaction]],PerfRate[[#This Row],[JobSatisfaction]],PerfRate[[#This Row],[RelationshipSatisfaction]])</f>
        <v>3.6666666666666665</v>
      </c>
      <c r="R5189" s="2">
        <f>PerfRate[[#This Row],[ManagerRating]] - PerfRate[[#This Row],[SelfRating]]</f>
        <v>0</v>
      </c>
    </row>
    <row r="5190" spans="1:18">
      <c r="A5190" s="2" t="s">
        <v>9497</v>
      </c>
      <c r="B5190" s="2" t="s">
        <v>1065</v>
      </c>
      <c r="C5190" s="1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  <c r="L5190" s="2" t="s">
        <v>11031</v>
      </c>
      <c r="M5190" s="2" t="s">
        <v>11031</v>
      </c>
      <c r="N5190" s="2" t="s">
        <v>11037</v>
      </c>
      <c r="O5190" s="2" t="s">
        <v>11037</v>
      </c>
      <c r="P5190" s="2" t="s">
        <v>11035</v>
      </c>
      <c r="Q5190" s="2">
        <f>AVERAGE(PerfRate[[#This Row],[EnvironmentSatisfaction]],PerfRate[[#This Row],[JobSatisfaction]],PerfRate[[#This Row],[RelationshipSatisfaction]])</f>
        <v>3.3333333333333335</v>
      </c>
      <c r="R5190" s="2">
        <f>PerfRate[[#This Row],[ManagerRating]] - PerfRate[[#This Row],[SelfRating]]</f>
        <v>0</v>
      </c>
    </row>
    <row r="5191" spans="1:18">
      <c r="A5191" s="2" t="s">
        <v>9498</v>
      </c>
      <c r="B5191" s="2" t="s">
        <v>589</v>
      </c>
      <c r="C5191" s="1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  <c r="L5191" s="2" t="s">
        <v>11031</v>
      </c>
      <c r="M5191" s="2" t="s">
        <v>11031</v>
      </c>
      <c r="N5191" s="2" t="s">
        <v>11037</v>
      </c>
      <c r="O5191" s="2" t="s">
        <v>11037</v>
      </c>
      <c r="P5191" s="2" t="s">
        <v>11035</v>
      </c>
      <c r="Q5191" s="2">
        <f>AVERAGE(PerfRate[[#This Row],[EnvironmentSatisfaction]],PerfRate[[#This Row],[JobSatisfaction]],PerfRate[[#This Row],[RelationshipSatisfaction]])</f>
        <v>3.3333333333333335</v>
      </c>
      <c r="R5191" s="2">
        <f>PerfRate[[#This Row],[ManagerRating]] - PerfRate[[#This Row],[SelfRating]]</f>
        <v>0</v>
      </c>
    </row>
    <row r="5192" spans="1:18">
      <c r="A5192" s="2" t="s">
        <v>9499</v>
      </c>
      <c r="B5192" s="2" t="s">
        <v>2497</v>
      </c>
      <c r="C5192" s="1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  <c r="L5192" s="2" t="s">
        <v>11030</v>
      </c>
      <c r="M5192" s="2" t="s">
        <v>11029</v>
      </c>
      <c r="N5192" s="2" t="s">
        <v>11038</v>
      </c>
      <c r="O5192" s="2" t="s">
        <v>11037</v>
      </c>
      <c r="P5192" s="2" t="s">
        <v>11036</v>
      </c>
      <c r="Q5192" s="2">
        <f>AVERAGE(PerfRate[[#This Row],[EnvironmentSatisfaction]],PerfRate[[#This Row],[JobSatisfaction]],PerfRate[[#This Row],[RelationshipSatisfaction]])</f>
        <v>4</v>
      </c>
      <c r="R5192" s="2">
        <f>PerfRate[[#This Row],[ManagerRating]] - PerfRate[[#This Row],[SelfRating]]</f>
        <v>-1</v>
      </c>
    </row>
    <row r="5193" spans="1:18">
      <c r="A5193" s="2" t="s">
        <v>9500</v>
      </c>
      <c r="B5193" s="2" t="s">
        <v>1027</v>
      </c>
      <c r="C5193" s="1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  <c r="L5193" s="2" t="s">
        <v>11031</v>
      </c>
      <c r="M5193" s="2" t="s">
        <v>11031</v>
      </c>
      <c r="N5193" s="2" t="s">
        <v>11036</v>
      </c>
      <c r="O5193" s="2" t="s">
        <v>11036</v>
      </c>
      <c r="P5193" s="2" t="s">
        <v>11037</v>
      </c>
      <c r="Q5193" s="2">
        <f>AVERAGE(PerfRate[[#This Row],[EnvironmentSatisfaction]],PerfRate[[#This Row],[JobSatisfaction]],PerfRate[[#This Row],[RelationshipSatisfaction]])</f>
        <v>3.3333333333333335</v>
      </c>
      <c r="R5193" s="2">
        <f>PerfRate[[#This Row],[ManagerRating]] - PerfRate[[#This Row],[SelfRating]]</f>
        <v>0</v>
      </c>
    </row>
    <row r="5194" spans="1:18">
      <c r="A5194" s="2" t="s">
        <v>9501</v>
      </c>
      <c r="B5194" s="2" t="s">
        <v>622</v>
      </c>
      <c r="C5194" s="1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  <c r="L5194" s="2" t="s">
        <v>11030</v>
      </c>
      <c r="M5194" s="2" t="s">
        <v>11029</v>
      </c>
      <c r="N5194" s="2" t="s">
        <v>11034</v>
      </c>
      <c r="O5194" s="2" t="s">
        <v>11035</v>
      </c>
      <c r="P5194" s="2" t="s">
        <v>11036</v>
      </c>
      <c r="Q5194" s="2">
        <f>AVERAGE(PerfRate[[#This Row],[EnvironmentSatisfaction]],PerfRate[[#This Row],[JobSatisfaction]],PerfRate[[#This Row],[RelationshipSatisfaction]])</f>
        <v>2</v>
      </c>
      <c r="R5194" s="2">
        <f>PerfRate[[#This Row],[ManagerRating]] - PerfRate[[#This Row],[SelfRating]]</f>
        <v>-1</v>
      </c>
    </row>
    <row r="5195" spans="1:18">
      <c r="A5195" s="2" t="s">
        <v>9502</v>
      </c>
      <c r="B5195" s="2" t="s">
        <v>826</v>
      </c>
      <c r="C5195" s="1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  <c r="L5195" s="2" t="s">
        <v>11031</v>
      </c>
      <c r="M5195" s="2" t="s">
        <v>11031</v>
      </c>
      <c r="N5195" s="2" t="s">
        <v>11037</v>
      </c>
      <c r="O5195" s="2" t="s">
        <v>11037</v>
      </c>
      <c r="P5195" s="2" t="s">
        <v>11037</v>
      </c>
      <c r="Q5195" s="2">
        <f>AVERAGE(PerfRate[[#This Row],[EnvironmentSatisfaction]],PerfRate[[#This Row],[JobSatisfaction]],PerfRate[[#This Row],[RelationshipSatisfaction]])</f>
        <v>4</v>
      </c>
      <c r="R5195" s="2">
        <f>PerfRate[[#This Row],[ManagerRating]] - PerfRate[[#This Row],[SelfRating]]</f>
        <v>0</v>
      </c>
    </row>
    <row r="5196" spans="1:18">
      <c r="A5196" s="2" t="s">
        <v>9503</v>
      </c>
      <c r="B5196" s="2" t="s">
        <v>1263</v>
      </c>
      <c r="C5196" s="1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  <c r="L5196" s="2" t="s">
        <v>11029</v>
      </c>
      <c r="M5196" s="2" t="s">
        <v>11029</v>
      </c>
      <c r="N5196" s="2" t="s">
        <v>11035</v>
      </c>
      <c r="O5196" s="2" t="s">
        <v>11036</v>
      </c>
      <c r="P5196" s="2" t="s">
        <v>11036</v>
      </c>
      <c r="Q5196" s="2">
        <f>AVERAGE(PerfRate[[#This Row],[EnvironmentSatisfaction]],PerfRate[[#This Row],[JobSatisfaction]],PerfRate[[#This Row],[RelationshipSatisfaction]])</f>
        <v>2.6666666666666665</v>
      </c>
      <c r="R5196" s="2">
        <f>PerfRate[[#This Row],[ManagerRating]] - PerfRate[[#This Row],[SelfRating]]</f>
        <v>0</v>
      </c>
    </row>
    <row r="5197" spans="1:18">
      <c r="A5197" s="2" t="s">
        <v>9504</v>
      </c>
      <c r="B5197" s="2" t="s">
        <v>3237</v>
      </c>
      <c r="C5197" s="1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  <c r="L5197" s="2" t="s">
        <v>11029</v>
      </c>
      <c r="M5197" s="2" t="s">
        <v>11028</v>
      </c>
      <c r="N5197" s="2" t="s">
        <v>11034</v>
      </c>
      <c r="O5197" s="2" t="s">
        <v>11037</v>
      </c>
      <c r="P5197" s="2" t="s">
        <v>11036</v>
      </c>
      <c r="Q5197" s="2">
        <f>AVERAGE(PerfRate[[#This Row],[EnvironmentSatisfaction]],PerfRate[[#This Row],[JobSatisfaction]],PerfRate[[#This Row],[RelationshipSatisfaction]])</f>
        <v>2.6666666666666665</v>
      </c>
      <c r="R5197" s="2">
        <f>PerfRate[[#This Row],[ManagerRating]] - PerfRate[[#This Row],[SelfRating]]</f>
        <v>-1</v>
      </c>
    </row>
    <row r="5198" spans="1:18">
      <c r="A5198" s="2" t="s">
        <v>9505</v>
      </c>
      <c r="B5198" s="2" t="s">
        <v>3543</v>
      </c>
      <c r="C5198" s="1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  <c r="L5198" s="2" t="s">
        <v>11031</v>
      </c>
      <c r="M5198" s="2" t="s">
        <v>11031</v>
      </c>
      <c r="N5198" s="2" t="s">
        <v>11035</v>
      </c>
      <c r="O5198" s="2" t="s">
        <v>11035</v>
      </c>
      <c r="P5198" s="2" t="s">
        <v>11034</v>
      </c>
      <c r="Q5198" s="2">
        <f>AVERAGE(PerfRate[[#This Row],[EnvironmentSatisfaction]],PerfRate[[#This Row],[JobSatisfaction]],PerfRate[[#This Row],[RelationshipSatisfaction]])</f>
        <v>1.6666666666666667</v>
      </c>
      <c r="R5198" s="2">
        <f>PerfRate[[#This Row],[ManagerRating]] - PerfRate[[#This Row],[SelfRating]]</f>
        <v>0</v>
      </c>
    </row>
    <row r="5199" spans="1:18">
      <c r="A5199" s="2" t="s">
        <v>9506</v>
      </c>
      <c r="B5199" s="2" t="s">
        <v>1383</v>
      </c>
      <c r="C5199" s="1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  <c r="L5199" s="2" t="s">
        <v>11030</v>
      </c>
      <c r="M5199" s="2" t="s">
        <v>11030</v>
      </c>
      <c r="N5199" s="2" t="s">
        <v>11036</v>
      </c>
      <c r="O5199" s="2" t="s">
        <v>11038</v>
      </c>
      <c r="P5199" s="2" t="s">
        <v>11035</v>
      </c>
      <c r="Q5199" s="2">
        <f>AVERAGE(PerfRate[[#This Row],[EnvironmentSatisfaction]],PerfRate[[#This Row],[JobSatisfaction]],PerfRate[[#This Row],[RelationshipSatisfaction]])</f>
        <v>3.3333333333333335</v>
      </c>
      <c r="R5199" s="2">
        <f>PerfRate[[#This Row],[ManagerRating]] - PerfRate[[#This Row],[SelfRating]]</f>
        <v>0</v>
      </c>
    </row>
    <row r="5200" spans="1:18">
      <c r="A5200" s="2" t="s">
        <v>9507</v>
      </c>
      <c r="B5200" s="2" t="s">
        <v>241</v>
      </c>
      <c r="C5200" s="1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  <c r="L5200" s="2" t="s">
        <v>11031</v>
      </c>
      <c r="M5200" s="2" t="s">
        <v>11031</v>
      </c>
      <c r="N5200" s="2" t="s">
        <v>11037</v>
      </c>
      <c r="O5200" s="2" t="s">
        <v>11037</v>
      </c>
      <c r="P5200" s="2" t="s">
        <v>11035</v>
      </c>
      <c r="Q5200" s="2">
        <f>AVERAGE(PerfRate[[#This Row],[EnvironmentSatisfaction]],PerfRate[[#This Row],[JobSatisfaction]],PerfRate[[#This Row],[RelationshipSatisfaction]])</f>
        <v>3.3333333333333335</v>
      </c>
      <c r="R5200" s="2">
        <f>PerfRate[[#This Row],[ManagerRating]] - PerfRate[[#This Row],[SelfRating]]</f>
        <v>0</v>
      </c>
    </row>
    <row r="5201" spans="1:18">
      <c r="A5201" s="2" t="s">
        <v>9508</v>
      </c>
      <c r="B5201" s="2" t="s">
        <v>735</v>
      </c>
      <c r="C5201" s="1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  <c r="L5201" s="2" t="s">
        <v>11030</v>
      </c>
      <c r="M5201" s="2" t="s">
        <v>11029</v>
      </c>
      <c r="N5201" s="2" t="s">
        <v>11037</v>
      </c>
      <c r="O5201" s="2" t="s">
        <v>11037</v>
      </c>
      <c r="P5201" s="2" t="s">
        <v>11035</v>
      </c>
      <c r="Q5201" s="2">
        <f>AVERAGE(PerfRate[[#This Row],[EnvironmentSatisfaction]],PerfRate[[#This Row],[JobSatisfaction]],PerfRate[[#This Row],[RelationshipSatisfaction]])</f>
        <v>3.3333333333333335</v>
      </c>
      <c r="R5201" s="2">
        <f>PerfRate[[#This Row],[ManagerRating]] - PerfRate[[#This Row],[SelfRating]]</f>
        <v>-1</v>
      </c>
    </row>
    <row r="5202" spans="1:18">
      <c r="A5202" s="2" t="s">
        <v>9509</v>
      </c>
      <c r="B5202" s="2" t="s">
        <v>2814</v>
      </c>
      <c r="C5202" s="1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  <c r="L5202" s="2" t="s">
        <v>11031</v>
      </c>
      <c r="M5202" s="2" t="s">
        <v>11030</v>
      </c>
      <c r="N5202" s="2" t="s">
        <v>11038</v>
      </c>
      <c r="O5202" s="2" t="s">
        <v>11037</v>
      </c>
      <c r="P5202" s="2" t="s">
        <v>11036</v>
      </c>
      <c r="Q5202" s="2">
        <f>AVERAGE(PerfRate[[#This Row],[EnvironmentSatisfaction]],PerfRate[[#This Row],[JobSatisfaction]],PerfRate[[#This Row],[RelationshipSatisfaction]])</f>
        <v>4</v>
      </c>
      <c r="R5202" s="2">
        <f>PerfRate[[#This Row],[ManagerRating]] - PerfRate[[#This Row],[SelfRating]]</f>
        <v>-1</v>
      </c>
    </row>
    <row r="5203" spans="1:18">
      <c r="A5203" s="2" t="s">
        <v>9510</v>
      </c>
      <c r="B5203" s="2" t="s">
        <v>3126</v>
      </c>
      <c r="C5203" s="1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  <c r="L5203" s="2" t="s">
        <v>11030</v>
      </c>
      <c r="M5203" s="2" t="s">
        <v>11030</v>
      </c>
      <c r="N5203" s="2" t="s">
        <v>11037</v>
      </c>
      <c r="O5203" s="2" t="s">
        <v>11036</v>
      </c>
      <c r="P5203" s="2" t="s">
        <v>11036</v>
      </c>
      <c r="Q5203" s="2">
        <f>AVERAGE(PerfRate[[#This Row],[EnvironmentSatisfaction]],PerfRate[[#This Row],[JobSatisfaction]],PerfRate[[#This Row],[RelationshipSatisfaction]])</f>
        <v>3.3333333333333335</v>
      </c>
      <c r="R5203" s="2">
        <f>PerfRate[[#This Row],[ManagerRating]] - PerfRate[[#This Row],[SelfRating]]</f>
        <v>0</v>
      </c>
    </row>
    <row r="5204" spans="1:18">
      <c r="A5204" s="2" t="s">
        <v>9511</v>
      </c>
      <c r="B5204" s="2" t="s">
        <v>493</v>
      </c>
      <c r="C5204" s="1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  <c r="L5204" s="2" t="s">
        <v>11029</v>
      </c>
      <c r="M5204" s="2" t="s">
        <v>11028</v>
      </c>
      <c r="N5204" s="2" t="s">
        <v>11037</v>
      </c>
      <c r="O5204" s="2" t="s">
        <v>11035</v>
      </c>
      <c r="P5204" s="2" t="s">
        <v>11037</v>
      </c>
      <c r="Q5204" s="2">
        <f>AVERAGE(PerfRate[[#This Row],[EnvironmentSatisfaction]],PerfRate[[#This Row],[JobSatisfaction]],PerfRate[[#This Row],[RelationshipSatisfaction]])</f>
        <v>3.3333333333333335</v>
      </c>
      <c r="R5204" s="2">
        <f>PerfRate[[#This Row],[ManagerRating]] - PerfRate[[#This Row],[SelfRating]]</f>
        <v>-1</v>
      </c>
    </row>
    <row r="5205" spans="1:18">
      <c r="A5205" s="2" t="s">
        <v>9512</v>
      </c>
      <c r="B5205" s="2" t="s">
        <v>1511</v>
      </c>
      <c r="C5205" s="1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  <c r="L5205" s="2" t="s">
        <v>11030</v>
      </c>
      <c r="M5205" s="2" t="s">
        <v>11029</v>
      </c>
      <c r="N5205" s="2" t="s">
        <v>11036</v>
      </c>
      <c r="O5205" s="2" t="s">
        <v>11037</v>
      </c>
      <c r="P5205" s="2" t="s">
        <v>11037</v>
      </c>
      <c r="Q5205" s="2">
        <f>AVERAGE(PerfRate[[#This Row],[EnvironmentSatisfaction]],PerfRate[[#This Row],[JobSatisfaction]],PerfRate[[#This Row],[RelationshipSatisfaction]])</f>
        <v>3.6666666666666665</v>
      </c>
      <c r="R5205" s="2">
        <f>PerfRate[[#This Row],[ManagerRating]] - PerfRate[[#This Row],[SelfRating]]</f>
        <v>-1</v>
      </c>
    </row>
    <row r="5206" spans="1:18">
      <c r="A5206" s="2" t="s">
        <v>9513</v>
      </c>
      <c r="B5206" s="2" t="s">
        <v>281</v>
      </c>
      <c r="C5206" s="1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  <c r="L5206" s="2" t="s">
        <v>11031</v>
      </c>
      <c r="M5206" s="2" t="s">
        <v>11031</v>
      </c>
      <c r="N5206" s="2" t="s">
        <v>11037</v>
      </c>
      <c r="O5206" s="2" t="s">
        <v>11037</v>
      </c>
      <c r="P5206" s="2" t="s">
        <v>11037</v>
      </c>
      <c r="Q5206" s="2">
        <f>AVERAGE(PerfRate[[#This Row],[EnvironmentSatisfaction]],PerfRate[[#This Row],[JobSatisfaction]],PerfRate[[#This Row],[RelationshipSatisfaction]])</f>
        <v>4</v>
      </c>
      <c r="R5206" s="2">
        <f>PerfRate[[#This Row],[ManagerRating]] - PerfRate[[#This Row],[SelfRating]]</f>
        <v>0</v>
      </c>
    </row>
    <row r="5207" spans="1:18">
      <c r="A5207" s="2" t="s">
        <v>9514</v>
      </c>
      <c r="B5207" s="2" t="s">
        <v>2131</v>
      </c>
      <c r="C5207" s="1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  <c r="L5207" s="2" t="s">
        <v>11030</v>
      </c>
      <c r="M5207" s="2" t="s">
        <v>11029</v>
      </c>
      <c r="N5207" s="2" t="s">
        <v>11038</v>
      </c>
      <c r="O5207" s="2" t="s">
        <v>11037</v>
      </c>
      <c r="P5207" s="2" t="s">
        <v>11035</v>
      </c>
      <c r="Q5207" s="2">
        <f>AVERAGE(PerfRate[[#This Row],[EnvironmentSatisfaction]],PerfRate[[#This Row],[JobSatisfaction]],PerfRate[[#This Row],[RelationshipSatisfaction]])</f>
        <v>3.6666666666666665</v>
      </c>
      <c r="R5207" s="2">
        <f>PerfRate[[#This Row],[ManagerRating]] - PerfRate[[#This Row],[SelfRating]]</f>
        <v>-1</v>
      </c>
    </row>
    <row r="5208" spans="1:18">
      <c r="A5208" s="2" t="s">
        <v>9515</v>
      </c>
      <c r="B5208" s="2" t="s">
        <v>1198</v>
      </c>
      <c r="C5208" s="1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  <c r="L5208" s="2" t="s">
        <v>11030</v>
      </c>
      <c r="M5208" s="2" t="s">
        <v>11029</v>
      </c>
      <c r="N5208" s="2" t="s">
        <v>11036</v>
      </c>
      <c r="O5208" s="2" t="s">
        <v>11035</v>
      </c>
      <c r="P5208" s="2" t="s">
        <v>11035</v>
      </c>
      <c r="Q5208" s="2">
        <f>AVERAGE(PerfRate[[#This Row],[EnvironmentSatisfaction]],PerfRate[[#This Row],[JobSatisfaction]],PerfRate[[#This Row],[RelationshipSatisfaction]])</f>
        <v>2.3333333333333335</v>
      </c>
      <c r="R5208" s="2">
        <f>PerfRate[[#This Row],[ManagerRating]] - PerfRate[[#This Row],[SelfRating]]</f>
        <v>-1</v>
      </c>
    </row>
    <row r="5209" spans="1:18">
      <c r="A5209" s="2" t="s">
        <v>9516</v>
      </c>
      <c r="B5209" s="2" t="s">
        <v>1353</v>
      </c>
      <c r="C5209" s="1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  <c r="L5209" s="2" t="s">
        <v>11031</v>
      </c>
      <c r="M5209" s="2" t="s">
        <v>11030</v>
      </c>
      <c r="N5209" s="2" t="s">
        <v>11037</v>
      </c>
      <c r="O5209" s="2" t="s">
        <v>11037</v>
      </c>
      <c r="P5209" s="2" t="s">
        <v>11036</v>
      </c>
      <c r="Q5209" s="2">
        <f>AVERAGE(PerfRate[[#This Row],[EnvironmentSatisfaction]],PerfRate[[#This Row],[JobSatisfaction]],PerfRate[[#This Row],[RelationshipSatisfaction]])</f>
        <v>3.6666666666666665</v>
      </c>
      <c r="R5209" s="2">
        <f>PerfRate[[#This Row],[ManagerRating]] - PerfRate[[#This Row],[SelfRating]]</f>
        <v>-1</v>
      </c>
    </row>
    <row r="5210" spans="1:18">
      <c r="A5210" s="2" t="s">
        <v>9517</v>
      </c>
      <c r="B5210" s="2" t="s">
        <v>1997</v>
      </c>
      <c r="C5210" s="1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  <c r="L5210" s="2" t="s">
        <v>11031</v>
      </c>
      <c r="M5210" s="2" t="s">
        <v>11031</v>
      </c>
      <c r="N5210" s="2" t="s">
        <v>11037</v>
      </c>
      <c r="O5210" s="2" t="s">
        <v>11035</v>
      </c>
      <c r="P5210" s="2" t="s">
        <v>11038</v>
      </c>
      <c r="Q5210" s="2">
        <f>AVERAGE(PerfRate[[#This Row],[EnvironmentSatisfaction]],PerfRate[[#This Row],[JobSatisfaction]],PerfRate[[#This Row],[RelationshipSatisfaction]])</f>
        <v>3.6666666666666665</v>
      </c>
      <c r="R5210" s="2">
        <f>PerfRate[[#This Row],[ManagerRating]] - PerfRate[[#This Row],[SelfRating]]</f>
        <v>0</v>
      </c>
    </row>
    <row r="5211" spans="1:18">
      <c r="A5211" s="2" t="s">
        <v>9518</v>
      </c>
      <c r="B5211" s="2" t="s">
        <v>1006</v>
      </c>
      <c r="C5211" s="1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  <c r="L5211" s="2" t="s">
        <v>11030</v>
      </c>
      <c r="M5211" s="2" t="s">
        <v>11030</v>
      </c>
      <c r="N5211" s="2" t="s">
        <v>11037</v>
      </c>
      <c r="O5211" s="2" t="s">
        <v>11035</v>
      </c>
      <c r="P5211" s="2" t="s">
        <v>11037</v>
      </c>
      <c r="Q5211" s="2">
        <f>AVERAGE(PerfRate[[#This Row],[EnvironmentSatisfaction]],PerfRate[[#This Row],[JobSatisfaction]],PerfRate[[#This Row],[RelationshipSatisfaction]])</f>
        <v>3.3333333333333335</v>
      </c>
      <c r="R5211" s="2">
        <f>PerfRate[[#This Row],[ManagerRating]] - PerfRate[[#This Row],[SelfRating]]</f>
        <v>0</v>
      </c>
    </row>
    <row r="5212" spans="1:18">
      <c r="A5212" s="2" t="s">
        <v>9519</v>
      </c>
      <c r="B5212" s="2" t="s">
        <v>220</v>
      </c>
      <c r="C5212" s="1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  <c r="L5212" s="2" t="s">
        <v>11031</v>
      </c>
      <c r="M5212" s="2" t="s">
        <v>11030</v>
      </c>
      <c r="N5212" s="2" t="s">
        <v>11036</v>
      </c>
      <c r="O5212" s="2" t="s">
        <v>11035</v>
      </c>
      <c r="P5212" s="2" t="s">
        <v>11035</v>
      </c>
      <c r="Q5212" s="2">
        <f>AVERAGE(PerfRate[[#This Row],[EnvironmentSatisfaction]],PerfRate[[#This Row],[JobSatisfaction]],PerfRate[[#This Row],[RelationshipSatisfaction]])</f>
        <v>2.3333333333333335</v>
      </c>
      <c r="R5212" s="2">
        <f>PerfRate[[#This Row],[ManagerRating]] - PerfRate[[#This Row],[SelfRating]]</f>
        <v>-1</v>
      </c>
    </row>
    <row r="5213" spans="1:18">
      <c r="A5213" s="2" t="s">
        <v>9520</v>
      </c>
      <c r="B5213" s="2" t="s">
        <v>1356</v>
      </c>
      <c r="C5213" s="1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  <c r="L5213" s="2" t="s">
        <v>11031</v>
      </c>
      <c r="M5213" s="2" t="s">
        <v>11030</v>
      </c>
      <c r="N5213" s="2" t="s">
        <v>11037</v>
      </c>
      <c r="O5213" s="2" t="s">
        <v>11037</v>
      </c>
      <c r="P5213" s="2" t="s">
        <v>11034</v>
      </c>
      <c r="Q5213" s="2">
        <f>AVERAGE(PerfRate[[#This Row],[EnvironmentSatisfaction]],PerfRate[[#This Row],[JobSatisfaction]],PerfRate[[#This Row],[RelationshipSatisfaction]])</f>
        <v>3</v>
      </c>
      <c r="R5213" s="2">
        <f>PerfRate[[#This Row],[ManagerRating]] - PerfRate[[#This Row],[SelfRating]]</f>
        <v>-1</v>
      </c>
    </row>
    <row r="5214" spans="1:18">
      <c r="A5214" s="2" t="s">
        <v>9521</v>
      </c>
      <c r="B5214" s="2" t="s">
        <v>2418</v>
      </c>
      <c r="C5214" s="1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  <c r="L5214" s="2" t="s">
        <v>11030</v>
      </c>
      <c r="M5214" s="2" t="s">
        <v>11030</v>
      </c>
      <c r="N5214" s="2" t="s">
        <v>11037</v>
      </c>
      <c r="O5214" s="2" t="s">
        <v>11037</v>
      </c>
      <c r="P5214" s="2" t="s">
        <v>11034</v>
      </c>
      <c r="Q5214" s="2">
        <f>AVERAGE(PerfRate[[#This Row],[EnvironmentSatisfaction]],PerfRate[[#This Row],[JobSatisfaction]],PerfRate[[#This Row],[RelationshipSatisfaction]])</f>
        <v>3</v>
      </c>
      <c r="R5214" s="2">
        <f>PerfRate[[#This Row],[ManagerRating]] - PerfRate[[#This Row],[SelfRating]]</f>
        <v>0</v>
      </c>
    </row>
    <row r="5215" spans="1:18">
      <c r="A5215" s="2" t="s">
        <v>9522</v>
      </c>
      <c r="B5215" s="2" t="s">
        <v>3495</v>
      </c>
      <c r="C5215" s="1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  <c r="L5215" s="2" t="s">
        <v>11031</v>
      </c>
      <c r="M5215" s="2" t="s">
        <v>11031</v>
      </c>
      <c r="N5215" s="2" t="s">
        <v>11036</v>
      </c>
      <c r="O5215" s="2" t="s">
        <v>11036</v>
      </c>
      <c r="P5215" s="2" t="s">
        <v>11036</v>
      </c>
      <c r="Q5215" s="2">
        <f>AVERAGE(PerfRate[[#This Row],[EnvironmentSatisfaction]],PerfRate[[#This Row],[JobSatisfaction]],PerfRate[[#This Row],[RelationshipSatisfaction]])</f>
        <v>3</v>
      </c>
      <c r="R5215" s="2">
        <f>PerfRate[[#This Row],[ManagerRating]] - PerfRate[[#This Row],[SelfRating]]</f>
        <v>0</v>
      </c>
    </row>
    <row r="5216" spans="1:18">
      <c r="A5216" s="2" t="s">
        <v>9523</v>
      </c>
      <c r="B5216" s="2" t="s">
        <v>3628</v>
      </c>
      <c r="C5216" s="1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  <c r="L5216" s="2" t="s">
        <v>11029</v>
      </c>
      <c r="M5216" s="2" t="s">
        <v>11029</v>
      </c>
      <c r="N5216" s="2" t="s">
        <v>11038</v>
      </c>
      <c r="O5216" s="2" t="s">
        <v>11038</v>
      </c>
      <c r="P5216" s="2" t="s">
        <v>11038</v>
      </c>
      <c r="Q5216" s="2">
        <f>AVERAGE(PerfRate[[#This Row],[EnvironmentSatisfaction]],PerfRate[[#This Row],[JobSatisfaction]],PerfRate[[#This Row],[RelationshipSatisfaction]])</f>
        <v>5</v>
      </c>
      <c r="R5216" s="2">
        <f>PerfRate[[#This Row],[ManagerRating]] - PerfRate[[#This Row],[SelfRating]]</f>
        <v>0</v>
      </c>
    </row>
    <row r="5217" spans="1:18">
      <c r="A5217" s="2" t="s">
        <v>9524</v>
      </c>
      <c r="B5217" s="2" t="s">
        <v>362</v>
      </c>
      <c r="C5217" s="1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  <c r="L5217" s="2" t="s">
        <v>11031</v>
      </c>
      <c r="M5217" s="2" t="s">
        <v>11030</v>
      </c>
      <c r="N5217" s="2" t="s">
        <v>11038</v>
      </c>
      <c r="O5217" s="2" t="s">
        <v>11037</v>
      </c>
      <c r="P5217" s="2" t="s">
        <v>11035</v>
      </c>
      <c r="Q5217" s="2">
        <f>AVERAGE(PerfRate[[#This Row],[EnvironmentSatisfaction]],PerfRate[[#This Row],[JobSatisfaction]],PerfRate[[#This Row],[RelationshipSatisfaction]])</f>
        <v>3.6666666666666665</v>
      </c>
      <c r="R5217" s="2">
        <f>PerfRate[[#This Row],[ManagerRating]] - PerfRate[[#This Row],[SelfRating]]</f>
        <v>-1</v>
      </c>
    </row>
    <row r="5218" spans="1:18">
      <c r="A5218" s="2" t="s">
        <v>9525</v>
      </c>
      <c r="B5218" s="2" t="s">
        <v>714</v>
      </c>
      <c r="C5218" s="1">
        <v>44563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  <c r="L5218" s="2" t="s">
        <v>11030</v>
      </c>
      <c r="M5218" s="2" t="s">
        <v>11029</v>
      </c>
      <c r="N5218" s="2" t="s">
        <v>11038</v>
      </c>
      <c r="O5218" s="2" t="s">
        <v>11037</v>
      </c>
      <c r="P5218" s="2" t="s">
        <v>11036</v>
      </c>
      <c r="Q5218" s="2">
        <f>AVERAGE(PerfRate[[#This Row],[EnvironmentSatisfaction]],PerfRate[[#This Row],[JobSatisfaction]],PerfRate[[#This Row],[RelationshipSatisfaction]])</f>
        <v>4</v>
      </c>
      <c r="R5218" s="2">
        <f>PerfRate[[#This Row],[ManagerRating]] - PerfRate[[#This Row],[SelfRating]]</f>
        <v>-1</v>
      </c>
    </row>
    <row r="5219" spans="1:18">
      <c r="A5219" s="2" t="s">
        <v>9526</v>
      </c>
      <c r="B5219" s="2" t="s">
        <v>122</v>
      </c>
      <c r="C5219" s="1">
        <v>44563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  <c r="L5219" s="2" t="s">
        <v>11030</v>
      </c>
      <c r="M5219" s="2" t="s">
        <v>11030</v>
      </c>
      <c r="N5219" s="2" t="s">
        <v>11036</v>
      </c>
      <c r="O5219" s="2" t="s">
        <v>11036</v>
      </c>
      <c r="P5219" s="2" t="s">
        <v>11036</v>
      </c>
      <c r="Q5219" s="2">
        <f>AVERAGE(PerfRate[[#This Row],[EnvironmentSatisfaction]],PerfRate[[#This Row],[JobSatisfaction]],PerfRate[[#This Row],[RelationshipSatisfaction]])</f>
        <v>3</v>
      </c>
      <c r="R5219" s="2">
        <f>PerfRate[[#This Row],[ManagerRating]] - PerfRate[[#This Row],[SelfRating]]</f>
        <v>0</v>
      </c>
    </row>
    <row r="5220" spans="1:18">
      <c r="A5220" s="2" t="s">
        <v>9527</v>
      </c>
      <c r="B5220" s="2" t="s">
        <v>726</v>
      </c>
      <c r="C5220" s="1">
        <v>44563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  <c r="L5220" s="2" t="s">
        <v>11029</v>
      </c>
      <c r="M5220" s="2" t="s">
        <v>11028</v>
      </c>
      <c r="N5220" s="2" t="s">
        <v>11038</v>
      </c>
      <c r="O5220" s="2" t="s">
        <v>11035</v>
      </c>
      <c r="P5220" s="2" t="s">
        <v>11035</v>
      </c>
      <c r="Q5220" s="2">
        <f>AVERAGE(PerfRate[[#This Row],[EnvironmentSatisfaction]],PerfRate[[#This Row],[JobSatisfaction]],PerfRate[[#This Row],[RelationshipSatisfaction]])</f>
        <v>3</v>
      </c>
      <c r="R5220" s="2">
        <f>PerfRate[[#This Row],[ManagerRating]] - PerfRate[[#This Row],[SelfRating]]</f>
        <v>-1</v>
      </c>
    </row>
    <row r="5221" spans="1:18">
      <c r="A5221" s="2" t="s">
        <v>9528</v>
      </c>
      <c r="B5221" s="2" t="s">
        <v>1163</v>
      </c>
      <c r="C5221" s="1">
        <v>44563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  <c r="L5221" s="2" t="s">
        <v>11029</v>
      </c>
      <c r="M5221" s="2" t="s">
        <v>11028</v>
      </c>
      <c r="N5221" s="2" t="s">
        <v>11036</v>
      </c>
      <c r="O5221" s="2" t="s">
        <v>11038</v>
      </c>
      <c r="P5221" s="2" t="s">
        <v>11037</v>
      </c>
      <c r="Q5221" s="2">
        <f>AVERAGE(PerfRate[[#This Row],[EnvironmentSatisfaction]],PerfRate[[#This Row],[JobSatisfaction]],PerfRate[[#This Row],[RelationshipSatisfaction]])</f>
        <v>4</v>
      </c>
      <c r="R5221" s="2">
        <f>PerfRate[[#This Row],[ManagerRating]] - PerfRate[[#This Row],[SelfRating]]</f>
        <v>-1</v>
      </c>
    </row>
    <row r="5222" spans="1:18">
      <c r="A5222" s="2" t="s">
        <v>9529</v>
      </c>
      <c r="B5222" s="2" t="s">
        <v>1048</v>
      </c>
      <c r="C5222" s="1">
        <v>44563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  <c r="L5222" s="2" t="s">
        <v>11030</v>
      </c>
      <c r="M5222" s="2" t="s">
        <v>11029</v>
      </c>
      <c r="N5222" s="2" t="s">
        <v>11036</v>
      </c>
      <c r="O5222" s="2" t="s">
        <v>11035</v>
      </c>
      <c r="P5222" s="2" t="s">
        <v>11038</v>
      </c>
      <c r="Q5222" s="2">
        <f>AVERAGE(PerfRate[[#This Row],[EnvironmentSatisfaction]],PerfRate[[#This Row],[JobSatisfaction]],PerfRate[[#This Row],[RelationshipSatisfaction]])</f>
        <v>3.3333333333333335</v>
      </c>
      <c r="R5222" s="2">
        <f>PerfRate[[#This Row],[ManagerRating]] - PerfRate[[#This Row],[SelfRating]]</f>
        <v>-1</v>
      </c>
    </row>
    <row r="5223" spans="1:18">
      <c r="A5223" s="2" t="s">
        <v>9530</v>
      </c>
      <c r="B5223" s="2" t="s">
        <v>2441</v>
      </c>
      <c r="C5223" s="1">
        <v>44563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  <c r="L5223" s="2" t="s">
        <v>11029</v>
      </c>
      <c r="M5223" s="2" t="s">
        <v>11028</v>
      </c>
      <c r="N5223" s="2" t="s">
        <v>11038</v>
      </c>
      <c r="O5223" s="2" t="s">
        <v>11035</v>
      </c>
      <c r="P5223" s="2" t="s">
        <v>11037</v>
      </c>
      <c r="Q5223" s="2">
        <f>AVERAGE(PerfRate[[#This Row],[EnvironmentSatisfaction]],PerfRate[[#This Row],[JobSatisfaction]],PerfRate[[#This Row],[RelationshipSatisfaction]])</f>
        <v>3.6666666666666665</v>
      </c>
      <c r="R5223" s="2">
        <f>PerfRate[[#This Row],[ManagerRating]] - PerfRate[[#This Row],[SelfRating]]</f>
        <v>-1</v>
      </c>
    </row>
    <row r="5224" spans="1:18">
      <c r="A5224" s="2" t="s">
        <v>9531</v>
      </c>
      <c r="B5224" s="2" t="s">
        <v>1538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  <c r="L5224" s="2" t="s">
        <v>11031</v>
      </c>
      <c r="M5224" s="2" t="s">
        <v>11030</v>
      </c>
      <c r="N5224" s="2" t="s">
        <v>11038</v>
      </c>
      <c r="O5224" s="2" t="s">
        <v>11037</v>
      </c>
      <c r="P5224" s="2" t="s">
        <v>11036</v>
      </c>
      <c r="Q5224" s="2">
        <f>AVERAGE(PerfRate[[#This Row],[EnvironmentSatisfaction]],PerfRate[[#This Row],[JobSatisfaction]],PerfRate[[#This Row],[RelationshipSatisfaction]])</f>
        <v>4</v>
      </c>
      <c r="R5224" s="2">
        <f>PerfRate[[#This Row],[ManagerRating]] - PerfRate[[#This Row],[SelfRating]]</f>
        <v>-1</v>
      </c>
    </row>
    <row r="5225" spans="1:18">
      <c r="A5225" s="2" t="s">
        <v>9532</v>
      </c>
      <c r="B5225" s="2" t="s">
        <v>244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  <c r="L5225" s="2" t="s">
        <v>11031</v>
      </c>
      <c r="M5225" s="2" t="s">
        <v>11031</v>
      </c>
      <c r="N5225" s="2" t="s">
        <v>11037</v>
      </c>
      <c r="O5225" s="2" t="s">
        <v>11036</v>
      </c>
      <c r="P5225" s="2" t="s">
        <v>11035</v>
      </c>
      <c r="Q5225" s="2">
        <f>AVERAGE(PerfRate[[#This Row],[EnvironmentSatisfaction]],PerfRate[[#This Row],[JobSatisfaction]],PerfRate[[#This Row],[RelationshipSatisfaction]])</f>
        <v>3</v>
      </c>
      <c r="R5225" s="2">
        <f>PerfRate[[#This Row],[ManagerRating]] - PerfRate[[#This Row],[SelfRating]]</f>
        <v>0</v>
      </c>
    </row>
    <row r="5226" spans="1:18">
      <c r="A5226" s="2" t="s">
        <v>9533</v>
      </c>
      <c r="B5226" s="2" t="s">
        <v>2694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  <c r="L5226" s="2" t="s">
        <v>11031</v>
      </c>
      <c r="M5226" s="2" t="s">
        <v>11031</v>
      </c>
      <c r="N5226" s="2" t="s">
        <v>11036</v>
      </c>
      <c r="O5226" s="2" t="s">
        <v>11034</v>
      </c>
      <c r="P5226" s="2" t="s">
        <v>11035</v>
      </c>
      <c r="Q5226" s="2">
        <f>AVERAGE(PerfRate[[#This Row],[EnvironmentSatisfaction]],PerfRate[[#This Row],[JobSatisfaction]],PerfRate[[#This Row],[RelationshipSatisfaction]])</f>
        <v>2</v>
      </c>
      <c r="R5226" s="2">
        <f>PerfRate[[#This Row],[ManagerRating]] - PerfRate[[#This Row],[SelfRating]]</f>
        <v>0</v>
      </c>
    </row>
    <row r="5227" spans="1:18">
      <c r="A5227" s="2" t="s">
        <v>9534</v>
      </c>
      <c r="B5227" s="2" t="s">
        <v>3017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  <c r="L5227" s="2" t="s">
        <v>11031</v>
      </c>
      <c r="M5227" s="2" t="s">
        <v>11031</v>
      </c>
      <c r="N5227" s="2" t="s">
        <v>11036</v>
      </c>
      <c r="O5227" s="2" t="s">
        <v>11037</v>
      </c>
      <c r="P5227" s="2" t="s">
        <v>11036</v>
      </c>
      <c r="Q5227" s="2">
        <f>AVERAGE(PerfRate[[#This Row],[EnvironmentSatisfaction]],PerfRate[[#This Row],[JobSatisfaction]],PerfRate[[#This Row],[RelationshipSatisfaction]])</f>
        <v>3.3333333333333335</v>
      </c>
      <c r="R5227" s="2">
        <f>PerfRate[[#This Row],[ManagerRating]] - PerfRate[[#This Row],[SelfRating]]</f>
        <v>0</v>
      </c>
    </row>
    <row r="5228" spans="1:18">
      <c r="A5228" s="2" t="s">
        <v>9535</v>
      </c>
      <c r="B5228" s="2" t="s">
        <v>410</v>
      </c>
      <c r="C5228" s="1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  <c r="L5228" s="2" t="s">
        <v>11029</v>
      </c>
      <c r="M5228" s="2" t="s">
        <v>11029</v>
      </c>
      <c r="N5228" s="2" t="s">
        <v>11037</v>
      </c>
      <c r="O5228" s="2" t="s">
        <v>11035</v>
      </c>
      <c r="P5228" s="2" t="s">
        <v>11038</v>
      </c>
      <c r="Q5228" s="2">
        <f>AVERAGE(PerfRate[[#This Row],[EnvironmentSatisfaction]],PerfRate[[#This Row],[JobSatisfaction]],PerfRate[[#This Row],[RelationshipSatisfaction]])</f>
        <v>3.6666666666666665</v>
      </c>
      <c r="R5228" s="2">
        <f>PerfRate[[#This Row],[ManagerRating]] - PerfRate[[#This Row],[SelfRating]]</f>
        <v>0</v>
      </c>
    </row>
    <row r="5229" spans="1:18">
      <c r="A5229" s="2" t="s">
        <v>9536</v>
      </c>
      <c r="B5229" s="2" t="s">
        <v>1942</v>
      </c>
      <c r="C5229" s="1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  <c r="L5229" s="2" t="s">
        <v>11031</v>
      </c>
      <c r="M5229" s="2" t="s">
        <v>11031</v>
      </c>
      <c r="N5229" s="2" t="s">
        <v>11037</v>
      </c>
      <c r="O5229" s="2" t="s">
        <v>11036</v>
      </c>
      <c r="P5229" s="2" t="s">
        <v>11038</v>
      </c>
      <c r="Q5229" s="2">
        <f>AVERAGE(PerfRate[[#This Row],[EnvironmentSatisfaction]],PerfRate[[#This Row],[JobSatisfaction]],PerfRate[[#This Row],[RelationshipSatisfaction]])</f>
        <v>4</v>
      </c>
      <c r="R5229" s="2">
        <f>PerfRate[[#This Row],[ManagerRating]] - PerfRate[[#This Row],[SelfRating]]</f>
        <v>0</v>
      </c>
    </row>
    <row r="5230" spans="1:18">
      <c r="A5230" s="2" t="s">
        <v>9537</v>
      </c>
      <c r="B5230" s="2" t="s">
        <v>496</v>
      </c>
      <c r="C5230" s="1">
        <v>44622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  <c r="L5230" s="2" t="s">
        <v>11030</v>
      </c>
      <c r="M5230" s="2" t="s">
        <v>11030</v>
      </c>
      <c r="N5230" s="2" t="s">
        <v>11037</v>
      </c>
      <c r="O5230" s="2" t="s">
        <v>11034</v>
      </c>
      <c r="P5230" s="2" t="s">
        <v>11036</v>
      </c>
      <c r="Q5230" s="2">
        <f>AVERAGE(PerfRate[[#This Row],[EnvironmentSatisfaction]],PerfRate[[#This Row],[JobSatisfaction]],PerfRate[[#This Row],[RelationshipSatisfaction]])</f>
        <v>2.6666666666666665</v>
      </c>
      <c r="R5230" s="2">
        <f>PerfRate[[#This Row],[ManagerRating]] - PerfRate[[#This Row],[SelfRating]]</f>
        <v>0</v>
      </c>
    </row>
    <row r="5231" spans="1:18">
      <c r="A5231" s="2" t="s">
        <v>9538</v>
      </c>
      <c r="B5231" s="2" t="s">
        <v>676</v>
      </c>
      <c r="C5231" s="1">
        <v>44622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  <c r="L5231" s="2" t="s">
        <v>11031</v>
      </c>
      <c r="M5231" s="2" t="s">
        <v>11030</v>
      </c>
      <c r="N5231" s="2" t="s">
        <v>11036</v>
      </c>
      <c r="O5231" s="2" t="s">
        <v>11037</v>
      </c>
      <c r="P5231" s="2" t="s">
        <v>11036</v>
      </c>
      <c r="Q5231" s="2">
        <f>AVERAGE(PerfRate[[#This Row],[EnvironmentSatisfaction]],PerfRate[[#This Row],[JobSatisfaction]],PerfRate[[#This Row],[RelationshipSatisfaction]])</f>
        <v>3.3333333333333335</v>
      </c>
      <c r="R5231" s="2">
        <f>PerfRate[[#This Row],[ManagerRating]] - PerfRate[[#This Row],[SelfRating]]</f>
        <v>-1</v>
      </c>
    </row>
    <row r="5232" spans="1:18">
      <c r="A5232" s="2" t="s">
        <v>9539</v>
      </c>
      <c r="B5232" s="2" t="s">
        <v>3818</v>
      </c>
      <c r="C5232" s="1">
        <v>44622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  <c r="L5232" s="2" t="s">
        <v>11029</v>
      </c>
      <c r="M5232" s="2" t="s">
        <v>11028</v>
      </c>
      <c r="N5232" s="2" t="s">
        <v>11038</v>
      </c>
      <c r="O5232" s="2" t="s">
        <v>11037</v>
      </c>
      <c r="P5232" s="2" t="s">
        <v>11035</v>
      </c>
      <c r="Q5232" s="2">
        <f>AVERAGE(PerfRate[[#This Row],[EnvironmentSatisfaction]],PerfRate[[#This Row],[JobSatisfaction]],PerfRate[[#This Row],[RelationshipSatisfaction]])</f>
        <v>3.6666666666666665</v>
      </c>
      <c r="R5232" s="2">
        <f>PerfRate[[#This Row],[ManagerRating]] - PerfRate[[#This Row],[SelfRating]]</f>
        <v>-1</v>
      </c>
    </row>
    <row r="5233" spans="1:18">
      <c r="A5233" s="2" t="s">
        <v>9540</v>
      </c>
      <c r="B5233" s="2" t="s">
        <v>3105</v>
      </c>
      <c r="C5233" s="1">
        <v>44622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  <c r="L5233" s="2" t="s">
        <v>11031</v>
      </c>
      <c r="M5233" s="2" t="s">
        <v>11031</v>
      </c>
      <c r="N5233" s="2" t="s">
        <v>11037</v>
      </c>
      <c r="O5233" s="2" t="s">
        <v>11037</v>
      </c>
      <c r="P5233" s="2" t="s">
        <v>11038</v>
      </c>
      <c r="Q5233" s="2">
        <f>AVERAGE(PerfRate[[#This Row],[EnvironmentSatisfaction]],PerfRate[[#This Row],[JobSatisfaction]],PerfRate[[#This Row],[RelationshipSatisfaction]])</f>
        <v>4.333333333333333</v>
      </c>
      <c r="R5233" s="2">
        <f>PerfRate[[#This Row],[ManagerRating]] - PerfRate[[#This Row],[SelfRating]]</f>
        <v>0</v>
      </c>
    </row>
    <row r="5234" spans="1:18">
      <c r="A5234" s="2" t="s">
        <v>9541</v>
      </c>
      <c r="B5234" s="2" t="s">
        <v>1224</v>
      </c>
      <c r="C5234" s="1">
        <v>44622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  <c r="L5234" s="2" t="s">
        <v>11030</v>
      </c>
      <c r="M5234" s="2" t="s">
        <v>11030</v>
      </c>
      <c r="N5234" s="2" t="s">
        <v>11036</v>
      </c>
      <c r="O5234" s="2" t="s">
        <v>11035</v>
      </c>
      <c r="P5234" s="2" t="s">
        <v>11037</v>
      </c>
      <c r="Q5234" s="2">
        <f>AVERAGE(PerfRate[[#This Row],[EnvironmentSatisfaction]],PerfRate[[#This Row],[JobSatisfaction]],PerfRate[[#This Row],[RelationshipSatisfaction]])</f>
        <v>3</v>
      </c>
      <c r="R5234" s="2">
        <f>PerfRate[[#This Row],[ManagerRating]] - PerfRate[[#This Row],[SelfRating]]</f>
        <v>0</v>
      </c>
    </row>
    <row r="5235" spans="1:18">
      <c r="A5235" s="2" t="s">
        <v>9542</v>
      </c>
      <c r="B5235" s="2" t="s">
        <v>1508</v>
      </c>
      <c r="C5235" s="1">
        <v>44622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  <c r="L5235" s="2" t="s">
        <v>11029</v>
      </c>
      <c r="M5235" s="2" t="s">
        <v>11029</v>
      </c>
      <c r="N5235" s="2" t="s">
        <v>11037</v>
      </c>
      <c r="O5235" s="2" t="s">
        <v>11035</v>
      </c>
      <c r="P5235" s="2" t="s">
        <v>11036</v>
      </c>
      <c r="Q5235" s="2">
        <f>AVERAGE(PerfRate[[#This Row],[EnvironmentSatisfaction]],PerfRate[[#This Row],[JobSatisfaction]],PerfRate[[#This Row],[RelationshipSatisfaction]])</f>
        <v>3</v>
      </c>
      <c r="R5235" s="2">
        <f>PerfRate[[#This Row],[ManagerRating]] - PerfRate[[#This Row],[SelfRating]]</f>
        <v>0</v>
      </c>
    </row>
    <row r="5236" spans="1:18">
      <c r="A5236" s="2" t="s">
        <v>9543</v>
      </c>
      <c r="B5236" s="2" t="s">
        <v>2030</v>
      </c>
      <c r="C5236" s="1">
        <v>44622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  <c r="L5236" s="2" t="s">
        <v>11031</v>
      </c>
      <c r="M5236" s="2" t="s">
        <v>11031</v>
      </c>
      <c r="N5236" s="2" t="s">
        <v>11037</v>
      </c>
      <c r="O5236" s="2" t="s">
        <v>11037</v>
      </c>
      <c r="P5236" s="2" t="s">
        <v>11038</v>
      </c>
      <c r="Q5236" s="2">
        <f>AVERAGE(PerfRate[[#This Row],[EnvironmentSatisfaction]],PerfRate[[#This Row],[JobSatisfaction]],PerfRate[[#This Row],[RelationshipSatisfaction]])</f>
        <v>4.333333333333333</v>
      </c>
      <c r="R5236" s="2">
        <f>PerfRate[[#This Row],[ManagerRating]] - PerfRate[[#This Row],[SelfRating]]</f>
        <v>0</v>
      </c>
    </row>
    <row r="5237" spans="1:18">
      <c r="A5237" s="2" t="s">
        <v>9544</v>
      </c>
      <c r="B5237" s="2" t="s">
        <v>2375</v>
      </c>
      <c r="C5237" s="1">
        <v>44622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  <c r="L5237" s="2" t="s">
        <v>11029</v>
      </c>
      <c r="M5237" s="2" t="s">
        <v>11029</v>
      </c>
      <c r="N5237" s="2" t="s">
        <v>11038</v>
      </c>
      <c r="O5237" s="2" t="s">
        <v>11038</v>
      </c>
      <c r="P5237" s="2" t="s">
        <v>11035</v>
      </c>
      <c r="Q5237" s="2">
        <f>AVERAGE(PerfRate[[#This Row],[EnvironmentSatisfaction]],PerfRate[[#This Row],[JobSatisfaction]],PerfRate[[#This Row],[RelationshipSatisfaction]])</f>
        <v>4</v>
      </c>
      <c r="R5237" s="2">
        <f>PerfRate[[#This Row],[ManagerRating]] - PerfRate[[#This Row],[SelfRating]]</f>
        <v>0</v>
      </c>
    </row>
    <row r="5238" spans="1:18">
      <c r="A5238" s="2" t="s">
        <v>9545</v>
      </c>
      <c r="B5238" s="2" t="s">
        <v>2438</v>
      </c>
      <c r="C5238" s="1">
        <v>44622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  <c r="L5238" s="2" t="s">
        <v>11030</v>
      </c>
      <c r="M5238" s="2" t="s">
        <v>11030</v>
      </c>
      <c r="N5238" s="2" t="s">
        <v>11038</v>
      </c>
      <c r="O5238" s="2" t="s">
        <v>11038</v>
      </c>
      <c r="P5238" s="2" t="s">
        <v>11037</v>
      </c>
      <c r="Q5238" s="2">
        <f>AVERAGE(PerfRate[[#This Row],[EnvironmentSatisfaction]],PerfRate[[#This Row],[JobSatisfaction]],PerfRate[[#This Row],[RelationshipSatisfaction]])</f>
        <v>4.666666666666667</v>
      </c>
      <c r="R5238" s="2">
        <f>PerfRate[[#This Row],[ManagerRating]] - PerfRate[[#This Row],[SelfRating]]</f>
        <v>0</v>
      </c>
    </row>
    <row r="5239" spans="1:18">
      <c r="A5239" s="2" t="s">
        <v>9546</v>
      </c>
      <c r="B5239" s="2" t="s">
        <v>226</v>
      </c>
      <c r="C5239" s="1">
        <v>44653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  <c r="L5239" s="2" t="s">
        <v>11029</v>
      </c>
      <c r="M5239" s="2" t="s">
        <v>11028</v>
      </c>
      <c r="N5239" s="2" t="s">
        <v>11036</v>
      </c>
      <c r="O5239" s="2" t="s">
        <v>11037</v>
      </c>
      <c r="P5239" s="2" t="s">
        <v>11038</v>
      </c>
      <c r="Q5239" s="2">
        <f>AVERAGE(PerfRate[[#This Row],[EnvironmentSatisfaction]],PerfRate[[#This Row],[JobSatisfaction]],PerfRate[[#This Row],[RelationshipSatisfaction]])</f>
        <v>4</v>
      </c>
      <c r="R5239" s="2">
        <f>PerfRate[[#This Row],[ManagerRating]] - PerfRate[[#This Row],[SelfRating]]</f>
        <v>-1</v>
      </c>
    </row>
    <row r="5240" spans="1:18">
      <c r="A5240" s="2" t="s">
        <v>9547</v>
      </c>
      <c r="B5240" s="2" t="s">
        <v>2097</v>
      </c>
      <c r="C5240" s="1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  <c r="L5240" s="2" t="s">
        <v>11029</v>
      </c>
      <c r="M5240" s="2" t="s">
        <v>11029</v>
      </c>
      <c r="N5240" s="2" t="s">
        <v>11038</v>
      </c>
      <c r="O5240" s="2" t="s">
        <v>11038</v>
      </c>
      <c r="P5240" s="2" t="s">
        <v>11035</v>
      </c>
      <c r="Q5240" s="2">
        <f>AVERAGE(PerfRate[[#This Row],[EnvironmentSatisfaction]],PerfRate[[#This Row],[JobSatisfaction]],PerfRate[[#This Row],[RelationshipSatisfaction]])</f>
        <v>4</v>
      </c>
      <c r="R5240" s="2">
        <f>PerfRate[[#This Row],[ManagerRating]] - PerfRate[[#This Row],[SelfRating]]</f>
        <v>0</v>
      </c>
    </row>
    <row r="5241" spans="1:18">
      <c r="A5241" s="2" t="s">
        <v>9548</v>
      </c>
      <c r="B5241" s="2" t="s">
        <v>81</v>
      </c>
      <c r="C5241" s="1">
        <v>44653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  <c r="L5241" s="2" t="s">
        <v>11029</v>
      </c>
      <c r="M5241" s="2" t="s">
        <v>11029</v>
      </c>
      <c r="N5241" s="2" t="s">
        <v>11038</v>
      </c>
      <c r="O5241" s="2" t="s">
        <v>11037</v>
      </c>
      <c r="P5241" s="2" t="s">
        <v>11036</v>
      </c>
      <c r="Q5241" s="2">
        <f>AVERAGE(PerfRate[[#This Row],[EnvironmentSatisfaction]],PerfRate[[#This Row],[JobSatisfaction]],PerfRate[[#This Row],[RelationshipSatisfaction]])</f>
        <v>4</v>
      </c>
      <c r="R5241" s="2">
        <f>PerfRate[[#This Row],[ManagerRating]] - PerfRate[[#This Row],[SelfRating]]</f>
        <v>0</v>
      </c>
    </row>
    <row r="5242" spans="1:18">
      <c r="A5242" s="2" t="s">
        <v>9549</v>
      </c>
      <c r="B5242" s="2" t="s">
        <v>335</v>
      </c>
      <c r="C5242" s="1">
        <v>44653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  <c r="L5242" s="2" t="s">
        <v>11029</v>
      </c>
      <c r="M5242" s="2" t="s">
        <v>11028</v>
      </c>
      <c r="N5242" s="2" t="s">
        <v>11036</v>
      </c>
      <c r="O5242" s="2" t="s">
        <v>11038</v>
      </c>
      <c r="P5242" s="2" t="s">
        <v>11035</v>
      </c>
      <c r="Q5242" s="2">
        <f>AVERAGE(PerfRate[[#This Row],[EnvironmentSatisfaction]],PerfRate[[#This Row],[JobSatisfaction]],PerfRate[[#This Row],[RelationshipSatisfaction]])</f>
        <v>3.3333333333333335</v>
      </c>
      <c r="R5242" s="2">
        <f>PerfRate[[#This Row],[ManagerRating]] - PerfRate[[#This Row],[SelfRating]]</f>
        <v>-1</v>
      </c>
    </row>
    <row r="5243" spans="1:18">
      <c r="A5243" s="2" t="s">
        <v>9550</v>
      </c>
      <c r="B5243" s="2" t="s">
        <v>1544</v>
      </c>
      <c r="C5243" s="1">
        <v>44683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  <c r="L5243" s="2" t="s">
        <v>11030</v>
      </c>
      <c r="M5243" s="2" t="s">
        <v>11030</v>
      </c>
      <c r="N5243" s="2" t="s">
        <v>11037</v>
      </c>
      <c r="O5243" s="2" t="s">
        <v>11035</v>
      </c>
      <c r="P5243" s="2" t="s">
        <v>11036</v>
      </c>
      <c r="Q5243" s="2">
        <f>AVERAGE(PerfRate[[#This Row],[EnvironmentSatisfaction]],PerfRate[[#This Row],[JobSatisfaction]],PerfRate[[#This Row],[RelationshipSatisfaction]])</f>
        <v>3</v>
      </c>
      <c r="R5243" s="2">
        <f>PerfRate[[#This Row],[ManagerRating]] - PerfRate[[#This Row],[SelfRating]]</f>
        <v>0</v>
      </c>
    </row>
    <row r="5244" spans="1:18">
      <c r="A5244" s="2" t="s">
        <v>9551</v>
      </c>
      <c r="B5244" s="2" t="s">
        <v>3231</v>
      </c>
      <c r="C5244" s="1">
        <v>44683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  <c r="L5244" s="2" t="s">
        <v>11031</v>
      </c>
      <c r="M5244" s="2" t="s">
        <v>11031</v>
      </c>
      <c r="N5244" s="2" t="s">
        <v>11036</v>
      </c>
      <c r="O5244" s="2" t="s">
        <v>11037</v>
      </c>
      <c r="P5244" s="2" t="s">
        <v>11038</v>
      </c>
      <c r="Q5244" s="2">
        <f>AVERAGE(PerfRate[[#This Row],[EnvironmentSatisfaction]],PerfRate[[#This Row],[JobSatisfaction]],PerfRate[[#This Row],[RelationshipSatisfaction]])</f>
        <v>4</v>
      </c>
      <c r="R5244" s="2">
        <f>PerfRate[[#This Row],[ManagerRating]] - PerfRate[[#This Row],[SelfRating]]</f>
        <v>0</v>
      </c>
    </row>
    <row r="5245" spans="1:18">
      <c r="A5245" s="2" t="s">
        <v>9552</v>
      </c>
      <c r="B5245" s="2" t="s">
        <v>2830</v>
      </c>
      <c r="C5245" s="1">
        <v>44714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  <c r="L5245" s="2" t="s">
        <v>11030</v>
      </c>
      <c r="M5245" s="2" t="s">
        <v>11030</v>
      </c>
      <c r="N5245" s="2" t="s">
        <v>11038</v>
      </c>
      <c r="O5245" s="2" t="s">
        <v>11035</v>
      </c>
      <c r="P5245" s="2" t="s">
        <v>11038</v>
      </c>
      <c r="Q5245" s="2">
        <f>AVERAGE(PerfRate[[#This Row],[EnvironmentSatisfaction]],PerfRate[[#This Row],[JobSatisfaction]],PerfRate[[#This Row],[RelationshipSatisfaction]])</f>
        <v>4</v>
      </c>
      <c r="R5245" s="2">
        <f>PerfRate[[#This Row],[ManagerRating]] - PerfRate[[#This Row],[SelfRating]]</f>
        <v>0</v>
      </c>
    </row>
    <row r="5246" spans="1:18">
      <c r="A5246" s="2" t="s">
        <v>9553</v>
      </c>
      <c r="B5246" s="2" t="s">
        <v>3513</v>
      </c>
      <c r="C5246" s="1">
        <v>44714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  <c r="L5246" s="2" t="s">
        <v>11031</v>
      </c>
      <c r="M5246" s="2" t="s">
        <v>11030</v>
      </c>
      <c r="N5246" s="2" t="s">
        <v>11036</v>
      </c>
      <c r="O5246" s="2" t="s">
        <v>11037</v>
      </c>
      <c r="P5246" s="2" t="s">
        <v>11035</v>
      </c>
      <c r="Q5246" s="2">
        <f>AVERAGE(PerfRate[[#This Row],[EnvironmentSatisfaction]],PerfRate[[#This Row],[JobSatisfaction]],PerfRate[[#This Row],[RelationshipSatisfaction]])</f>
        <v>3</v>
      </c>
      <c r="R5246" s="2">
        <f>PerfRate[[#This Row],[ManagerRating]] - PerfRate[[#This Row],[SelfRating]]</f>
        <v>-1</v>
      </c>
    </row>
    <row r="5247" spans="1:18">
      <c r="A5247" s="2" t="s">
        <v>9554</v>
      </c>
      <c r="B5247" s="2" t="s">
        <v>253</v>
      </c>
      <c r="C5247" s="1">
        <v>44744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  <c r="L5247" s="2" t="s">
        <v>11031</v>
      </c>
      <c r="M5247" s="2" t="s">
        <v>11031</v>
      </c>
      <c r="N5247" s="2" t="s">
        <v>11036</v>
      </c>
      <c r="O5247" s="2" t="s">
        <v>11035</v>
      </c>
      <c r="P5247" s="2" t="s">
        <v>11038</v>
      </c>
      <c r="Q5247" s="2">
        <f>AVERAGE(PerfRate[[#This Row],[EnvironmentSatisfaction]],PerfRate[[#This Row],[JobSatisfaction]],PerfRate[[#This Row],[RelationshipSatisfaction]])</f>
        <v>3.3333333333333335</v>
      </c>
      <c r="R5247" s="2">
        <f>PerfRate[[#This Row],[ManagerRating]] - PerfRate[[#This Row],[SelfRating]]</f>
        <v>0</v>
      </c>
    </row>
    <row r="5248" spans="1:18">
      <c r="A5248" s="2" t="s">
        <v>9555</v>
      </c>
      <c r="B5248" s="2" t="s">
        <v>198</v>
      </c>
      <c r="C5248" s="1">
        <v>44744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  <c r="L5248" s="2" t="s">
        <v>11031</v>
      </c>
      <c r="M5248" s="2" t="s">
        <v>11031</v>
      </c>
      <c r="N5248" s="2" t="s">
        <v>11036</v>
      </c>
      <c r="O5248" s="2" t="s">
        <v>11037</v>
      </c>
      <c r="P5248" s="2" t="s">
        <v>11035</v>
      </c>
      <c r="Q5248" s="2">
        <f>AVERAGE(PerfRate[[#This Row],[EnvironmentSatisfaction]],PerfRate[[#This Row],[JobSatisfaction]],PerfRate[[#This Row],[RelationshipSatisfaction]])</f>
        <v>3</v>
      </c>
      <c r="R5248" s="2">
        <f>PerfRate[[#This Row],[ManagerRating]] - PerfRate[[#This Row],[SelfRating]]</f>
        <v>0</v>
      </c>
    </row>
    <row r="5249" spans="1:18">
      <c r="A5249" s="2" t="s">
        <v>9556</v>
      </c>
      <c r="B5249" s="2" t="s">
        <v>1246</v>
      </c>
      <c r="C5249" s="1">
        <v>44744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  <c r="L5249" s="2" t="s">
        <v>11030</v>
      </c>
      <c r="M5249" s="2" t="s">
        <v>11029</v>
      </c>
      <c r="N5249" s="2" t="s">
        <v>11038</v>
      </c>
      <c r="O5249" s="2" t="s">
        <v>11035</v>
      </c>
      <c r="P5249" s="2" t="s">
        <v>11035</v>
      </c>
      <c r="Q5249" s="2">
        <f>AVERAGE(PerfRate[[#This Row],[EnvironmentSatisfaction]],PerfRate[[#This Row],[JobSatisfaction]],PerfRate[[#This Row],[RelationshipSatisfaction]])</f>
        <v>3</v>
      </c>
      <c r="R5249" s="2">
        <f>PerfRate[[#This Row],[ManagerRating]] - PerfRate[[#This Row],[SelfRating]]</f>
        <v>-1</v>
      </c>
    </row>
    <row r="5250" spans="1:18">
      <c r="A5250" s="2" t="s">
        <v>9557</v>
      </c>
      <c r="B5250" s="2" t="s">
        <v>1596</v>
      </c>
      <c r="C5250" s="1">
        <v>44744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  <c r="L5250" s="2" t="s">
        <v>11030</v>
      </c>
      <c r="M5250" s="2" t="s">
        <v>11029</v>
      </c>
      <c r="N5250" s="2" t="s">
        <v>11038</v>
      </c>
      <c r="O5250" s="2" t="s">
        <v>11038</v>
      </c>
      <c r="P5250" s="2" t="s">
        <v>11035</v>
      </c>
      <c r="Q5250" s="2">
        <f>AVERAGE(PerfRate[[#This Row],[EnvironmentSatisfaction]],PerfRate[[#This Row],[JobSatisfaction]],PerfRate[[#This Row],[RelationshipSatisfaction]])</f>
        <v>4</v>
      </c>
      <c r="R5250" s="2">
        <f>PerfRate[[#This Row],[ManagerRating]] - PerfRate[[#This Row],[SelfRating]]</f>
        <v>-1</v>
      </c>
    </row>
    <row r="5251" spans="1:18">
      <c r="A5251" s="2" t="s">
        <v>9558</v>
      </c>
      <c r="B5251" s="2" t="s">
        <v>326</v>
      </c>
      <c r="C5251" s="1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  <c r="L5251" s="2" t="s">
        <v>11030</v>
      </c>
      <c r="M5251" s="2" t="s">
        <v>11030</v>
      </c>
      <c r="N5251" s="2" t="s">
        <v>11036</v>
      </c>
      <c r="O5251" s="2" t="s">
        <v>11037</v>
      </c>
      <c r="P5251" s="2" t="s">
        <v>11038</v>
      </c>
      <c r="Q5251" s="2">
        <f>AVERAGE(PerfRate[[#This Row],[EnvironmentSatisfaction]],PerfRate[[#This Row],[JobSatisfaction]],PerfRate[[#This Row],[RelationshipSatisfaction]])</f>
        <v>4</v>
      </c>
      <c r="R5251" s="2">
        <f>PerfRate[[#This Row],[ManagerRating]] - PerfRate[[#This Row],[SelfRating]]</f>
        <v>0</v>
      </c>
    </row>
    <row r="5252" spans="1:18">
      <c r="A5252" s="2" t="s">
        <v>9559</v>
      </c>
      <c r="B5252" s="2" t="s">
        <v>256</v>
      </c>
      <c r="C5252" s="1">
        <v>44775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  <c r="L5252" s="2" t="s">
        <v>11031</v>
      </c>
      <c r="M5252" s="2" t="s">
        <v>11031</v>
      </c>
      <c r="N5252" s="2" t="s">
        <v>11038</v>
      </c>
      <c r="O5252" s="2" t="s">
        <v>11038</v>
      </c>
      <c r="P5252" s="2" t="s">
        <v>11035</v>
      </c>
      <c r="Q5252" s="2">
        <f>AVERAGE(PerfRate[[#This Row],[EnvironmentSatisfaction]],PerfRate[[#This Row],[JobSatisfaction]],PerfRate[[#This Row],[RelationshipSatisfaction]])</f>
        <v>4</v>
      </c>
      <c r="R5252" s="2">
        <f>PerfRate[[#This Row],[ManagerRating]] - PerfRate[[#This Row],[SelfRating]]</f>
        <v>0</v>
      </c>
    </row>
    <row r="5253" spans="1:18">
      <c r="A5253" s="2" t="s">
        <v>9560</v>
      </c>
      <c r="B5253" s="2" t="s">
        <v>2109</v>
      </c>
      <c r="C5253" s="1">
        <v>44806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  <c r="L5253" s="2" t="s">
        <v>11031</v>
      </c>
      <c r="M5253" s="2" t="s">
        <v>11030</v>
      </c>
      <c r="N5253" s="2" t="s">
        <v>11038</v>
      </c>
      <c r="O5253" s="2" t="s">
        <v>11037</v>
      </c>
      <c r="P5253" s="2" t="s">
        <v>11036</v>
      </c>
      <c r="Q5253" s="2">
        <f>AVERAGE(PerfRate[[#This Row],[EnvironmentSatisfaction]],PerfRate[[#This Row],[JobSatisfaction]],PerfRate[[#This Row],[RelationshipSatisfaction]])</f>
        <v>4</v>
      </c>
      <c r="R5253" s="2">
        <f>PerfRate[[#This Row],[ManagerRating]] - PerfRate[[#This Row],[SelfRating]]</f>
        <v>-1</v>
      </c>
    </row>
    <row r="5254" spans="1:18">
      <c r="A5254" s="2" t="s">
        <v>9561</v>
      </c>
      <c r="B5254" s="2" t="s">
        <v>1981</v>
      </c>
      <c r="C5254" s="1">
        <v>44806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  <c r="L5254" s="2" t="s">
        <v>11029</v>
      </c>
      <c r="M5254" s="2" t="s">
        <v>11029</v>
      </c>
      <c r="N5254" s="2" t="s">
        <v>11037</v>
      </c>
      <c r="O5254" s="2" t="s">
        <v>11036</v>
      </c>
      <c r="P5254" s="2" t="s">
        <v>11036</v>
      </c>
      <c r="Q5254" s="2">
        <f>AVERAGE(PerfRate[[#This Row],[EnvironmentSatisfaction]],PerfRate[[#This Row],[JobSatisfaction]],PerfRate[[#This Row],[RelationshipSatisfaction]])</f>
        <v>3.3333333333333335</v>
      </c>
      <c r="R5254" s="2">
        <f>PerfRate[[#This Row],[ManagerRating]] - PerfRate[[#This Row],[SelfRating]]</f>
        <v>0</v>
      </c>
    </row>
    <row r="5255" spans="1:18">
      <c r="A5255" s="2" t="s">
        <v>9562</v>
      </c>
      <c r="B5255" s="2" t="s">
        <v>658</v>
      </c>
      <c r="C5255" s="1">
        <v>44806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  <c r="L5255" s="2" t="s">
        <v>11030</v>
      </c>
      <c r="M5255" s="2" t="s">
        <v>11029</v>
      </c>
      <c r="N5255" s="2" t="s">
        <v>11036</v>
      </c>
      <c r="O5255" s="2" t="s">
        <v>11037</v>
      </c>
      <c r="P5255" s="2" t="s">
        <v>11036</v>
      </c>
      <c r="Q5255" s="2">
        <f>AVERAGE(PerfRate[[#This Row],[EnvironmentSatisfaction]],PerfRate[[#This Row],[JobSatisfaction]],PerfRate[[#This Row],[RelationshipSatisfaction]])</f>
        <v>3.3333333333333335</v>
      </c>
      <c r="R5255" s="2">
        <f>PerfRate[[#This Row],[ManagerRating]] - PerfRate[[#This Row],[SelfRating]]</f>
        <v>-1</v>
      </c>
    </row>
    <row r="5256" spans="1:18">
      <c r="A5256" s="2" t="s">
        <v>9563</v>
      </c>
      <c r="B5256" s="2" t="s">
        <v>4104</v>
      </c>
      <c r="C5256" s="1">
        <v>44836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  <c r="L5256" s="2" t="s">
        <v>11031</v>
      </c>
      <c r="M5256" s="2" t="s">
        <v>11030</v>
      </c>
      <c r="N5256" s="2" t="s">
        <v>11036</v>
      </c>
      <c r="O5256" s="2" t="s">
        <v>11036</v>
      </c>
      <c r="P5256" s="2" t="s">
        <v>11038</v>
      </c>
      <c r="Q5256" s="2">
        <f>AVERAGE(PerfRate[[#This Row],[EnvironmentSatisfaction]],PerfRate[[#This Row],[JobSatisfaction]],PerfRate[[#This Row],[RelationshipSatisfaction]])</f>
        <v>3.6666666666666665</v>
      </c>
      <c r="R5256" s="2">
        <f>PerfRate[[#This Row],[ManagerRating]] - PerfRate[[#This Row],[SelfRating]]</f>
        <v>-1</v>
      </c>
    </row>
    <row r="5257" spans="1:18">
      <c r="A5257" s="2" t="s">
        <v>9564</v>
      </c>
      <c r="B5257" s="2" t="s">
        <v>607</v>
      </c>
      <c r="C5257" s="1">
        <v>44836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  <c r="L5257" s="2" t="s">
        <v>11029</v>
      </c>
      <c r="M5257" s="2" t="s">
        <v>11029</v>
      </c>
      <c r="N5257" s="2" t="s">
        <v>11038</v>
      </c>
      <c r="O5257" s="2" t="s">
        <v>11036</v>
      </c>
      <c r="P5257" s="2" t="s">
        <v>11037</v>
      </c>
      <c r="Q5257" s="2">
        <f>AVERAGE(PerfRate[[#This Row],[EnvironmentSatisfaction]],PerfRate[[#This Row],[JobSatisfaction]],PerfRate[[#This Row],[RelationshipSatisfaction]])</f>
        <v>4</v>
      </c>
      <c r="R5257" s="2">
        <f>PerfRate[[#This Row],[ManagerRating]] - PerfRate[[#This Row],[SelfRating]]</f>
        <v>0</v>
      </c>
    </row>
    <row r="5258" spans="1:18">
      <c r="A5258" s="2" t="s">
        <v>9565</v>
      </c>
      <c r="B5258" s="2" t="s">
        <v>750</v>
      </c>
      <c r="C5258" s="1">
        <v>44867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  <c r="L5258" s="2" t="s">
        <v>11030</v>
      </c>
      <c r="M5258" s="2" t="s">
        <v>11030</v>
      </c>
      <c r="N5258" s="2" t="s">
        <v>11036</v>
      </c>
      <c r="O5258" s="2" t="s">
        <v>11035</v>
      </c>
      <c r="P5258" s="2" t="s">
        <v>11037</v>
      </c>
      <c r="Q5258" s="2">
        <f>AVERAGE(PerfRate[[#This Row],[EnvironmentSatisfaction]],PerfRate[[#This Row],[JobSatisfaction]],PerfRate[[#This Row],[RelationshipSatisfaction]])</f>
        <v>3</v>
      </c>
      <c r="R5258" s="2">
        <f>PerfRate[[#This Row],[ManagerRating]] - PerfRate[[#This Row],[SelfRating]]</f>
        <v>0</v>
      </c>
    </row>
    <row r="5259" spans="1:18">
      <c r="A5259" s="2" t="s">
        <v>9566</v>
      </c>
      <c r="B5259" s="2" t="s">
        <v>1698</v>
      </c>
      <c r="C5259" s="1">
        <v>44867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  <c r="L5259" s="2" t="s">
        <v>11030</v>
      </c>
      <c r="M5259" s="2" t="s">
        <v>11030</v>
      </c>
      <c r="N5259" s="2" t="s">
        <v>11038</v>
      </c>
      <c r="O5259" s="2" t="s">
        <v>11037</v>
      </c>
      <c r="P5259" s="2" t="s">
        <v>11036</v>
      </c>
      <c r="Q5259" s="2">
        <f>AVERAGE(PerfRate[[#This Row],[EnvironmentSatisfaction]],PerfRate[[#This Row],[JobSatisfaction]],PerfRate[[#This Row],[RelationshipSatisfaction]])</f>
        <v>4</v>
      </c>
      <c r="R5259" s="2">
        <f>PerfRate[[#This Row],[ManagerRating]] - PerfRate[[#This Row],[SelfRating]]</f>
        <v>0</v>
      </c>
    </row>
    <row r="5260" spans="1:18">
      <c r="A5260" s="2" t="s">
        <v>9567</v>
      </c>
      <c r="B5260" s="2" t="s">
        <v>1124</v>
      </c>
      <c r="C5260" s="1">
        <v>44867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  <c r="L5260" s="2" t="s">
        <v>11030</v>
      </c>
      <c r="M5260" s="2" t="s">
        <v>11030</v>
      </c>
      <c r="N5260" s="2" t="s">
        <v>11038</v>
      </c>
      <c r="O5260" s="2" t="s">
        <v>11035</v>
      </c>
      <c r="P5260" s="2" t="s">
        <v>11036</v>
      </c>
      <c r="Q5260" s="2">
        <f>AVERAGE(PerfRate[[#This Row],[EnvironmentSatisfaction]],PerfRate[[#This Row],[JobSatisfaction]],PerfRate[[#This Row],[RelationshipSatisfaction]])</f>
        <v>3.3333333333333335</v>
      </c>
      <c r="R5260" s="2">
        <f>PerfRate[[#This Row],[ManagerRating]] - PerfRate[[#This Row],[SelfRating]]</f>
        <v>0</v>
      </c>
    </row>
    <row r="5261" spans="1:18">
      <c r="A5261" s="2" t="s">
        <v>9568</v>
      </c>
      <c r="B5261" s="2" t="s">
        <v>2299</v>
      </c>
      <c r="C5261" s="1">
        <v>44867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  <c r="L5261" s="2" t="s">
        <v>11030</v>
      </c>
      <c r="M5261" s="2" t="s">
        <v>11030</v>
      </c>
      <c r="N5261" s="2" t="s">
        <v>11037</v>
      </c>
      <c r="O5261" s="2" t="s">
        <v>11035</v>
      </c>
      <c r="P5261" s="2" t="s">
        <v>11035</v>
      </c>
      <c r="Q5261" s="2">
        <f>AVERAGE(PerfRate[[#This Row],[EnvironmentSatisfaction]],PerfRate[[#This Row],[JobSatisfaction]],PerfRate[[#This Row],[RelationshipSatisfaction]])</f>
        <v>2.6666666666666665</v>
      </c>
      <c r="R5261" s="2">
        <f>PerfRate[[#This Row],[ManagerRating]] - PerfRate[[#This Row],[SelfRating]]</f>
        <v>0</v>
      </c>
    </row>
    <row r="5262" spans="1:18">
      <c r="A5262" s="2" t="s">
        <v>9569</v>
      </c>
      <c r="B5262" s="2" t="s">
        <v>404</v>
      </c>
      <c r="C5262" s="1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  <c r="L5262" s="2" t="s">
        <v>11031</v>
      </c>
      <c r="M5262" s="2" t="s">
        <v>11030</v>
      </c>
      <c r="N5262" s="2" t="s">
        <v>11037</v>
      </c>
      <c r="O5262" s="2" t="s">
        <v>11037</v>
      </c>
      <c r="P5262" s="2" t="s">
        <v>11037</v>
      </c>
      <c r="Q5262" s="2">
        <f>AVERAGE(PerfRate[[#This Row],[EnvironmentSatisfaction]],PerfRate[[#This Row],[JobSatisfaction]],PerfRate[[#This Row],[RelationshipSatisfaction]])</f>
        <v>4</v>
      </c>
      <c r="R5262" s="2">
        <f>PerfRate[[#This Row],[ManagerRating]] - PerfRate[[#This Row],[SelfRating]]</f>
        <v>-1</v>
      </c>
    </row>
    <row r="5263" spans="1:18">
      <c r="A5263" s="2" t="s">
        <v>9570</v>
      </c>
      <c r="B5263" s="2" t="s">
        <v>1669</v>
      </c>
      <c r="C5263" s="1">
        <v>44897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  <c r="L5263" s="2" t="s">
        <v>11030</v>
      </c>
      <c r="M5263" s="2" t="s">
        <v>11030</v>
      </c>
      <c r="N5263" s="2" t="s">
        <v>11037</v>
      </c>
      <c r="O5263" s="2" t="s">
        <v>11036</v>
      </c>
      <c r="P5263" s="2" t="s">
        <v>11038</v>
      </c>
      <c r="Q5263" s="2">
        <f>AVERAGE(PerfRate[[#This Row],[EnvironmentSatisfaction]],PerfRate[[#This Row],[JobSatisfaction]],PerfRate[[#This Row],[RelationshipSatisfaction]])</f>
        <v>4</v>
      </c>
      <c r="R5263" s="2">
        <f>PerfRate[[#This Row],[ManagerRating]] - PerfRate[[#This Row],[SelfRating]]</f>
        <v>0</v>
      </c>
    </row>
    <row r="5264" spans="1:18">
      <c r="A5264" s="2" t="s">
        <v>9571</v>
      </c>
      <c r="B5264" s="2" t="s">
        <v>1394</v>
      </c>
      <c r="C5264" s="1">
        <v>44897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  <c r="L5264" s="2" t="s">
        <v>11029</v>
      </c>
      <c r="M5264" s="2" t="s">
        <v>11029</v>
      </c>
      <c r="N5264" s="2" t="s">
        <v>11036</v>
      </c>
      <c r="O5264" s="2" t="s">
        <v>11036</v>
      </c>
      <c r="P5264" s="2" t="s">
        <v>11035</v>
      </c>
      <c r="Q5264" s="2">
        <f>AVERAGE(PerfRate[[#This Row],[EnvironmentSatisfaction]],PerfRate[[#This Row],[JobSatisfaction]],PerfRate[[#This Row],[RelationshipSatisfaction]])</f>
        <v>2.6666666666666665</v>
      </c>
      <c r="R5264" s="2">
        <f>PerfRate[[#This Row],[ManagerRating]] - PerfRate[[#This Row],[SelfRating]]</f>
        <v>0</v>
      </c>
    </row>
    <row r="5265" spans="1:18">
      <c r="A5265" s="2" t="s">
        <v>9572</v>
      </c>
      <c r="B5265" s="2" t="s">
        <v>1479</v>
      </c>
      <c r="C5265" s="1">
        <v>44897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  <c r="L5265" s="2" t="s">
        <v>11031</v>
      </c>
      <c r="M5265" s="2" t="s">
        <v>11031</v>
      </c>
      <c r="N5265" s="2" t="s">
        <v>11038</v>
      </c>
      <c r="O5265" s="2" t="s">
        <v>11038</v>
      </c>
      <c r="P5265" s="2" t="s">
        <v>11038</v>
      </c>
      <c r="Q5265" s="2">
        <f>AVERAGE(PerfRate[[#This Row],[EnvironmentSatisfaction]],PerfRate[[#This Row],[JobSatisfaction]],PerfRate[[#This Row],[RelationshipSatisfaction]])</f>
        <v>5</v>
      </c>
      <c r="R5265" s="2">
        <f>PerfRate[[#This Row],[ManagerRating]] - PerfRate[[#This Row],[SelfRating]]</f>
        <v>0</v>
      </c>
    </row>
    <row r="5266" spans="1:18">
      <c r="A5266" s="2" t="s">
        <v>9573</v>
      </c>
      <c r="B5266" s="2" t="s">
        <v>2967</v>
      </c>
      <c r="C5266" s="1">
        <v>44897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  <c r="L5266" s="2" t="s">
        <v>11030</v>
      </c>
      <c r="M5266" s="2" t="s">
        <v>11030</v>
      </c>
      <c r="N5266" s="2" t="s">
        <v>11036</v>
      </c>
      <c r="O5266" s="2" t="s">
        <v>11038</v>
      </c>
      <c r="P5266" s="2" t="s">
        <v>11035</v>
      </c>
      <c r="Q5266" s="2">
        <f>AVERAGE(PerfRate[[#This Row],[EnvironmentSatisfaction]],PerfRate[[#This Row],[JobSatisfaction]],PerfRate[[#This Row],[RelationshipSatisfaction]])</f>
        <v>3.3333333333333335</v>
      </c>
      <c r="R5266" s="2">
        <f>PerfRate[[#This Row],[ManagerRating]] - PerfRate[[#This Row],[SelfRating]]</f>
        <v>0</v>
      </c>
    </row>
    <row r="5267" spans="1:18">
      <c r="A5267" s="2" t="s">
        <v>9574</v>
      </c>
      <c r="B5267" s="2" t="s">
        <v>2838</v>
      </c>
      <c r="C5267" s="1">
        <v>44897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  <c r="L5267" s="2" t="s">
        <v>11031</v>
      </c>
      <c r="M5267" s="2" t="s">
        <v>11031</v>
      </c>
      <c r="N5267" s="2" t="s">
        <v>11036</v>
      </c>
      <c r="O5267" s="2" t="s">
        <v>11037</v>
      </c>
      <c r="P5267" s="2" t="s">
        <v>11035</v>
      </c>
      <c r="Q5267" s="2">
        <f>AVERAGE(PerfRate[[#This Row],[EnvironmentSatisfaction]],PerfRate[[#This Row],[JobSatisfaction]],PerfRate[[#This Row],[RelationshipSatisfaction]])</f>
        <v>3</v>
      </c>
      <c r="R5267" s="2">
        <f>PerfRate[[#This Row],[ManagerRating]] - PerfRate[[#This Row],[SelfRating]]</f>
        <v>0</v>
      </c>
    </row>
    <row r="5268" spans="1:18">
      <c r="A5268" s="2" t="s">
        <v>9575</v>
      </c>
      <c r="B5268" s="2" t="s">
        <v>601</v>
      </c>
      <c r="C5268" s="1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  <c r="L5268" s="2" t="s">
        <v>11031</v>
      </c>
      <c r="M5268" s="2" t="s">
        <v>11031</v>
      </c>
      <c r="N5268" s="2" t="s">
        <v>11038</v>
      </c>
      <c r="O5268" s="2" t="s">
        <v>11035</v>
      </c>
      <c r="P5268" s="2" t="s">
        <v>11035</v>
      </c>
      <c r="Q5268" s="2">
        <f>AVERAGE(PerfRate[[#This Row],[EnvironmentSatisfaction]],PerfRate[[#This Row],[JobSatisfaction]],PerfRate[[#This Row],[RelationshipSatisfaction]])</f>
        <v>3</v>
      </c>
      <c r="R5268" s="2">
        <f>PerfRate[[#This Row],[ManagerRating]] - PerfRate[[#This Row],[SelfRating]]</f>
        <v>0</v>
      </c>
    </row>
    <row r="5269" spans="1:18">
      <c r="A5269" s="2" t="s">
        <v>9576</v>
      </c>
      <c r="B5269" s="2" t="s">
        <v>1950</v>
      </c>
      <c r="C5269" s="1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  <c r="L5269" s="2" t="s">
        <v>11030</v>
      </c>
      <c r="M5269" s="2" t="s">
        <v>11029</v>
      </c>
      <c r="N5269" s="2" t="s">
        <v>11037</v>
      </c>
      <c r="O5269" s="2" t="s">
        <v>11035</v>
      </c>
      <c r="P5269" s="2" t="s">
        <v>11035</v>
      </c>
      <c r="Q5269" s="2">
        <f>AVERAGE(PerfRate[[#This Row],[EnvironmentSatisfaction]],PerfRate[[#This Row],[JobSatisfaction]],PerfRate[[#This Row],[RelationshipSatisfaction]])</f>
        <v>2.6666666666666665</v>
      </c>
      <c r="R5269" s="2">
        <f>PerfRate[[#This Row],[ManagerRating]] - PerfRate[[#This Row],[SelfRating]]</f>
        <v>-1</v>
      </c>
    </row>
    <row r="5270" spans="1:18">
      <c r="A5270" s="2" t="s">
        <v>9577</v>
      </c>
      <c r="B5270" s="2" t="s">
        <v>1195</v>
      </c>
      <c r="C5270" s="1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  <c r="L5270" s="2" t="s">
        <v>11029</v>
      </c>
      <c r="M5270" s="2" t="s">
        <v>11028</v>
      </c>
      <c r="N5270" s="2" t="s">
        <v>11038</v>
      </c>
      <c r="O5270" s="2" t="s">
        <v>11038</v>
      </c>
      <c r="P5270" s="2" t="s">
        <v>11037</v>
      </c>
      <c r="Q5270" s="2">
        <f>AVERAGE(PerfRate[[#This Row],[EnvironmentSatisfaction]],PerfRate[[#This Row],[JobSatisfaction]],PerfRate[[#This Row],[RelationshipSatisfaction]])</f>
        <v>4.666666666666667</v>
      </c>
      <c r="R5270" s="2">
        <f>PerfRate[[#This Row],[ManagerRating]] - PerfRate[[#This Row],[SelfRating]]</f>
        <v>-1</v>
      </c>
    </row>
    <row r="5271" spans="1:18">
      <c r="A5271" s="2" t="s">
        <v>9578</v>
      </c>
      <c r="B5271" s="2" t="s">
        <v>102</v>
      </c>
      <c r="C5271" s="1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  <c r="L5271" s="2" t="s">
        <v>11030</v>
      </c>
      <c r="M5271" s="2" t="s">
        <v>11030</v>
      </c>
      <c r="N5271" s="2" t="s">
        <v>11037</v>
      </c>
      <c r="O5271" s="2" t="s">
        <v>11036</v>
      </c>
      <c r="P5271" s="2" t="s">
        <v>11038</v>
      </c>
      <c r="Q5271" s="2">
        <f>AVERAGE(PerfRate[[#This Row],[EnvironmentSatisfaction]],PerfRate[[#This Row],[JobSatisfaction]],PerfRate[[#This Row],[RelationshipSatisfaction]])</f>
        <v>4</v>
      </c>
      <c r="R5271" s="2">
        <f>PerfRate[[#This Row],[ManagerRating]] - PerfRate[[#This Row],[SelfRating]]</f>
        <v>0</v>
      </c>
    </row>
    <row r="5272" spans="1:18">
      <c r="A5272" s="2" t="s">
        <v>9579</v>
      </c>
      <c r="B5272" s="2" t="s">
        <v>2432</v>
      </c>
      <c r="C5272" s="1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  <c r="L5272" s="2" t="s">
        <v>11031</v>
      </c>
      <c r="M5272" s="2" t="s">
        <v>11031</v>
      </c>
      <c r="N5272" s="2" t="s">
        <v>11037</v>
      </c>
      <c r="O5272" s="2" t="s">
        <v>11037</v>
      </c>
      <c r="P5272" s="2" t="s">
        <v>11038</v>
      </c>
      <c r="Q5272" s="2">
        <f>AVERAGE(PerfRate[[#This Row],[EnvironmentSatisfaction]],PerfRate[[#This Row],[JobSatisfaction]],PerfRate[[#This Row],[RelationshipSatisfaction]])</f>
        <v>4.333333333333333</v>
      </c>
      <c r="R5272" s="2">
        <f>PerfRate[[#This Row],[ManagerRating]] - PerfRate[[#This Row],[SelfRating]]</f>
        <v>0</v>
      </c>
    </row>
    <row r="5273" spans="1:18">
      <c r="A5273" s="2" t="s">
        <v>9580</v>
      </c>
      <c r="B5273" s="2" t="s">
        <v>169</v>
      </c>
      <c r="C5273" s="1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  <c r="L5273" s="2" t="s">
        <v>11031</v>
      </c>
      <c r="M5273" s="2" t="s">
        <v>11031</v>
      </c>
      <c r="N5273" s="2" t="s">
        <v>11036</v>
      </c>
      <c r="O5273" s="2" t="s">
        <v>11038</v>
      </c>
      <c r="P5273" s="2" t="s">
        <v>11035</v>
      </c>
      <c r="Q5273" s="2">
        <f>AVERAGE(PerfRate[[#This Row],[EnvironmentSatisfaction]],PerfRate[[#This Row],[JobSatisfaction]],PerfRate[[#This Row],[RelationshipSatisfaction]])</f>
        <v>3.3333333333333335</v>
      </c>
      <c r="R5273" s="2">
        <f>PerfRate[[#This Row],[ManagerRating]] - PerfRate[[#This Row],[SelfRating]]</f>
        <v>0</v>
      </c>
    </row>
    <row r="5274" spans="1:18">
      <c r="A5274" s="2" t="s">
        <v>9581</v>
      </c>
      <c r="B5274" s="2" t="s">
        <v>2841</v>
      </c>
      <c r="C5274" s="1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  <c r="L5274" s="2" t="s">
        <v>11030</v>
      </c>
      <c r="M5274" s="2" t="s">
        <v>11029</v>
      </c>
      <c r="N5274" s="2" t="s">
        <v>11037</v>
      </c>
      <c r="O5274" s="2" t="s">
        <v>11037</v>
      </c>
      <c r="P5274" s="2" t="s">
        <v>11038</v>
      </c>
      <c r="Q5274" s="2">
        <f>AVERAGE(PerfRate[[#This Row],[EnvironmentSatisfaction]],PerfRate[[#This Row],[JobSatisfaction]],PerfRate[[#This Row],[RelationshipSatisfaction]])</f>
        <v>4.333333333333333</v>
      </c>
      <c r="R5274" s="2">
        <f>PerfRate[[#This Row],[ManagerRating]] - PerfRate[[#This Row],[SelfRating]]</f>
        <v>-1</v>
      </c>
    </row>
    <row r="5275" spans="1:18">
      <c r="A5275" s="2" t="s">
        <v>9582</v>
      </c>
      <c r="B5275" s="2" t="s">
        <v>2014</v>
      </c>
      <c r="C5275" s="1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  <c r="L5275" s="2" t="s">
        <v>11031</v>
      </c>
      <c r="M5275" s="2" t="s">
        <v>11030</v>
      </c>
      <c r="N5275" s="2" t="s">
        <v>11037</v>
      </c>
      <c r="O5275" s="2" t="s">
        <v>11035</v>
      </c>
      <c r="P5275" s="2" t="s">
        <v>11037</v>
      </c>
      <c r="Q5275" s="2">
        <f>AVERAGE(PerfRate[[#This Row],[EnvironmentSatisfaction]],PerfRate[[#This Row],[JobSatisfaction]],PerfRate[[#This Row],[RelationshipSatisfaction]])</f>
        <v>3.3333333333333335</v>
      </c>
      <c r="R5275" s="2">
        <f>PerfRate[[#This Row],[ManagerRating]] - PerfRate[[#This Row],[SelfRating]]</f>
        <v>-1</v>
      </c>
    </row>
    <row r="5276" spans="1:18">
      <c r="A5276" s="2" t="s">
        <v>9583</v>
      </c>
      <c r="B5276" s="2" t="s">
        <v>717</v>
      </c>
      <c r="C5276" s="1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  <c r="L5276" s="2" t="s">
        <v>11030</v>
      </c>
      <c r="M5276" s="2" t="s">
        <v>11029</v>
      </c>
      <c r="N5276" s="2" t="s">
        <v>11038</v>
      </c>
      <c r="O5276" s="2" t="s">
        <v>11038</v>
      </c>
      <c r="P5276" s="2" t="s">
        <v>11038</v>
      </c>
      <c r="Q5276" s="2">
        <f>AVERAGE(PerfRate[[#This Row],[EnvironmentSatisfaction]],PerfRate[[#This Row],[JobSatisfaction]],PerfRate[[#This Row],[RelationshipSatisfaction]])</f>
        <v>5</v>
      </c>
      <c r="R5276" s="2">
        <f>PerfRate[[#This Row],[ManagerRating]] - PerfRate[[#This Row],[SelfRating]]</f>
        <v>-1</v>
      </c>
    </row>
    <row r="5277" spans="1:18">
      <c r="A5277" s="2" t="s">
        <v>9584</v>
      </c>
      <c r="B5277" s="2" t="s">
        <v>1154</v>
      </c>
      <c r="C5277" s="1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  <c r="L5277" s="2" t="s">
        <v>11030</v>
      </c>
      <c r="M5277" s="2" t="s">
        <v>11030</v>
      </c>
      <c r="N5277" s="2" t="s">
        <v>11038</v>
      </c>
      <c r="O5277" s="2" t="s">
        <v>11038</v>
      </c>
      <c r="P5277" s="2" t="s">
        <v>11035</v>
      </c>
      <c r="Q5277" s="2">
        <f>AVERAGE(PerfRate[[#This Row],[EnvironmentSatisfaction]],PerfRate[[#This Row],[JobSatisfaction]],PerfRate[[#This Row],[RelationshipSatisfaction]])</f>
        <v>4</v>
      </c>
      <c r="R5277" s="2">
        <f>PerfRate[[#This Row],[ManagerRating]] - PerfRate[[#This Row],[SelfRating]]</f>
        <v>0</v>
      </c>
    </row>
    <row r="5278" spans="1:18">
      <c r="A5278" s="2" t="s">
        <v>9585</v>
      </c>
      <c r="B5278" s="2" t="s">
        <v>529</v>
      </c>
      <c r="C5278" s="1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  <c r="L5278" s="2" t="s">
        <v>11031</v>
      </c>
      <c r="M5278" s="2" t="s">
        <v>11031</v>
      </c>
      <c r="N5278" s="2" t="s">
        <v>11037</v>
      </c>
      <c r="O5278" s="2" t="s">
        <v>11037</v>
      </c>
      <c r="P5278" s="2" t="s">
        <v>11035</v>
      </c>
      <c r="Q5278" s="2">
        <f>AVERAGE(PerfRate[[#This Row],[EnvironmentSatisfaction]],PerfRate[[#This Row],[JobSatisfaction]],PerfRate[[#This Row],[RelationshipSatisfaction]])</f>
        <v>3.3333333333333335</v>
      </c>
      <c r="R5278" s="2">
        <f>PerfRate[[#This Row],[ManagerRating]] - PerfRate[[#This Row],[SelfRating]]</f>
        <v>0</v>
      </c>
    </row>
    <row r="5279" spans="1:18">
      <c r="A5279" s="2" t="s">
        <v>9586</v>
      </c>
      <c r="B5279" s="2" t="s">
        <v>1584</v>
      </c>
      <c r="C5279" s="1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  <c r="L5279" s="2" t="s">
        <v>11031</v>
      </c>
      <c r="M5279" s="2" t="s">
        <v>11031</v>
      </c>
      <c r="N5279" s="2" t="s">
        <v>11037</v>
      </c>
      <c r="O5279" s="2" t="s">
        <v>11037</v>
      </c>
      <c r="P5279" s="2" t="s">
        <v>11038</v>
      </c>
      <c r="Q5279" s="2">
        <f>AVERAGE(PerfRate[[#This Row],[EnvironmentSatisfaction]],PerfRate[[#This Row],[JobSatisfaction]],PerfRate[[#This Row],[RelationshipSatisfaction]])</f>
        <v>4.333333333333333</v>
      </c>
      <c r="R5279" s="2">
        <f>PerfRate[[#This Row],[ManagerRating]] - PerfRate[[#This Row],[SelfRating]]</f>
        <v>0</v>
      </c>
    </row>
    <row r="5280" spans="1:18">
      <c r="A5280" s="2" t="s">
        <v>9587</v>
      </c>
      <c r="B5280" s="2" t="s">
        <v>3344</v>
      </c>
      <c r="C5280" s="1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  <c r="L5280" s="2" t="s">
        <v>11030</v>
      </c>
      <c r="M5280" s="2" t="s">
        <v>11029</v>
      </c>
      <c r="N5280" s="2" t="s">
        <v>11038</v>
      </c>
      <c r="O5280" s="2" t="s">
        <v>11036</v>
      </c>
      <c r="P5280" s="2" t="s">
        <v>11036</v>
      </c>
      <c r="Q5280" s="2">
        <f>AVERAGE(PerfRate[[#This Row],[EnvironmentSatisfaction]],PerfRate[[#This Row],[JobSatisfaction]],PerfRate[[#This Row],[RelationshipSatisfaction]])</f>
        <v>3.6666666666666665</v>
      </c>
      <c r="R5280" s="2">
        <f>PerfRate[[#This Row],[ManagerRating]] - PerfRate[[#This Row],[SelfRating]]</f>
        <v>-1</v>
      </c>
    </row>
    <row r="5281" spans="1:18">
      <c r="A5281" s="2" t="s">
        <v>9588</v>
      </c>
      <c r="B5281" s="2" t="s">
        <v>1581</v>
      </c>
      <c r="C5281" s="1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  <c r="L5281" s="2" t="s">
        <v>11031</v>
      </c>
      <c r="M5281" s="2" t="s">
        <v>11030</v>
      </c>
      <c r="N5281" s="2" t="s">
        <v>11036</v>
      </c>
      <c r="O5281" s="2" t="s">
        <v>11036</v>
      </c>
      <c r="P5281" s="2" t="s">
        <v>11036</v>
      </c>
      <c r="Q5281" s="2">
        <f>AVERAGE(PerfRate[[#This Row],[EnvironmentSatisfaction]],PerfRate[[#This Row],[JobSatisfaction]],PerfRate[[#This Row],[RelationshipSatisfaction]])</f>
        <v>3</v>
      </c>
      <c r="R5281" s="2">
        <f>PerfRate[[#This Row],[ManagerRating]] - PerfRate[[#This Row],[SelfRating]]</f>
        <v>-1</v>
      </c>
    </row>
    <row r="5282" spans="1:18">
      <c r="A5282" s="2" t="s">
        <v>9589</v>
      </c>
      <c r="B5282" s="2" t="s">
        <v>2008</v>
      </c>
      <c r="C5282" s="1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  <c r="L5282" s="2" t="s">
        <v>11031</v>
      </c>
      <c r="M5282" s="2" t="s">
        <v>11031</v>
      </c>
      <c r="N5282" s="2" t="s">
        <v>11038</v>
      </c>
      <c r="O5282" s="2" t="s">
        <v>11035</v>
      </c>
      <c r="P5282" s="2" t="s">
        <v>11036</v>
      </c>
      <c r="Q5282" s="2">
        <f>AVERAGE(PerfRate[[#This Row],[EnvironmentSatisfaction]],PerfRate[[#This Row],[JobSatisfaction]],PerfRate[[#This Row],[RelationshipSatisfaction]])</f>
        <v>3.3333333333333335</v>
      </c>
      <c r="R5282" s="2">
        <f>PerfRate[[#This Row],[ManagerRating]] - PerfRate[[#This Row],[SelfRating]]</f>
        <v>0</v>
      </c>
    </row>
    <row r="5283" spans="1:18">
      <c r="A5283" s="2" t="s">
        <v>9590</v>
      </c>
      <c r="B5283" s="2" t="s">
        <v>2068</v>
      </c>
      <c r="C5283" s="1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  <c r="L5283" s="2" t="s">
        <v>11030</v>
      </c>
      <c r="M5283" s="2" t="s">
        <v>11030</v>
      </c>
      <c r="N5283" s="2" t="s">
        <v>11036</v>
      </c>
      <c r="O5283" s="2" t="s">
        <v>11035</v>
      </c>
      <c r="P5283" s="2" t="s">
        <v>11037</v>
      </c>
      <c r="Q5283" s="2">
        <f>AVERAGE(PerfRate[[#This Row],[EnvironmentSatisfaction]],PerfRate[[#This Row],[JobSatisfaction]],PerfRate[[#This Row],[RelationshipSatisfaction]])</f>
        <v>3</v>
      </c>
      <c r="R5283" s="2">
        <f>PerfRate[[#This Row],[ManagerRating]] - PerfRate[[#This Row],[SelfRating]]</f>
        <v>0</v>
      </c>
    </row>
    <row r="5284" spans="1:18">
      <c r="A5284" s="2" t="s">
        <v>9591</v>
      </c>
      <c r="B5284" s="2" t="s">
        <v>2184</v>
      </c>
      <c r="C5284" s="1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  <c r="L5284" s="2" t="s">
        <v>11030</v>
      </c>
      <c r="M5284" s="2" t="s">
        <v>11030</v>
      </c>
      <c r="N5284" s="2" t="s">
        <v>11037</v>
      </c>
      <c r="O5284" s="2" t="s">
        <v>11038</v>
      </c>
      <c r="P5284" s="2" t="s">
        <v>11035</v>
      </c>
      <c r="Q5284" s="2">
        <f>AVERAGE(PerfRate[[#This Row],[EnvironmentSatisfaction]],PerfRate[[#This Row],[JobSatisfaction]],PerfRate[[#This Row],[RelationshipSatisfaction]])</f>
        <v>3.6666666666666665</v>
      </c>
      <c r="R5284" s="2">
        <f>PerfRate[[#This Row],[ManagerRating]] - PerfRate[[#This Row],[SelfRating]]</f>
        <v>0</v>
      </c>
    </row>
    <row r="5285" spans="1:18">
      <c r="A5285" s="2" t="s">
        <v>9592</v>
      </c>
      <c r="B5285" s="2" t="s">
        <v>3465</v>
      </c>
      <c r="C5285" s="1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  <c r="L5285" s="2" t="s">
        <v>11031</v>
      </c>
      <c r="M5285" s="2" t="s">
        <v>11031</v>
      </c>
      <c r="N5285" s="2" t="s">
        <v>11036</v>
      </c>
      <c r="O5285" s="2" t="s">
        <v>11036</v>
      </c>
      <c r="P5285" s="2" t="s">
        <v>11036</v>
      </c>
      <c r="Q5285" s="2">
        <f>AVERAGE(PerfRate[[#This Row],[EnvironmentSatisfaction]],PerfRate[[#This Row],[JobSatisfaction]],PerfRate[[#This Row],[RelationshipSatisfaction]])</f>
        <v>3</v>
      </c>
      <c r="R5285" s="2">
        <f>PerfRate[[#This Row],[ManagerRating]] - PerfRate[[#This Row],[SelfRating]]</f>
        <v>0</v>
      </c>
    </row>
    <row r="5286" spans="1:18">
      <c r="A5286" s="2" t="s">
        <v>9593</v>
      </c>
      <c r="B5286" s="2" t="s">
        <v>410</v>
      </c>
      <c r="C5286" s="1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  <c r="L5286" s="2" t="s">
        <v>11030</v>
      </c>
      <c r="M5286" s="2" t="s">
        <v>11030</v>
      </c>
      <c r="N5286" s="2" t="s">
        <v>11037</v>
      </c>
      <c r="O5286" s="2" t="s">
        <v>11037</v>
      </c>
      <c r="P5286" s="2" t="s">
        <v>11038</v>
      </c>
      <c r="Q5286" s="2">
        <f>AVERAGE(PerfRate[[#This Row],[EnvironmentSatisfaction]],PerfRate[[#This Row],[JobSatisfaction]],PerfRate[[#This Row],[RelationshipSatisfaction]])</f>
        <v>4.333333333333333</v>
      </c>
      <c r="R5286" s="2">
        <f>PerfRate[[#This Row],[ManagerRating]] - PerfRate[[#This Row],[SelfRating]]</f>
        <v>0</v>
      </c>
    </row>
    <row r="5287" spans="1:18">
      <c r="A5287" s="2" t="s">
        <v>9594</v>
      </c>
      <c r="B5287" s="2" t="s">
        <v>1409</v>
      </c>
      <c r="C5287" s="1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  <c r="L5287" s="2" t="s">
        <v>11030</v>
      </c>
      <c r="M5287" s="2" t="s">
        <v>11030</v>
      </c>
      <c r="N5287" s="2" t="s">
        <v>11037</v>
      </c>
      <c r="O5287" s="2" t="s">
        <v>11036</v>
      </c>
      <c r="P5287" s="2" t="s">
        <v>11036</v>
      </c>
      <c r="Q5287" s="2">
        <f>AVERAGE(PerfRate[[#This Row],[EnvironmentSatisfaction]],PerfRate[[#This Row],[JobSatisfaction]],PerfRate[[#This Row],[RelationshipSatisfaction]])</f>
        <v>3.3333333333333335</v>
      </c>
      <c r="R5287" s="2">
        <f>PerfRate[[#This Row],[ManagerRating]] - PerfRate[[#This Row],[SelfRating]]</f>
        <v>0</v>
      </c>
    </row>
    <row r="5288" spans="1:18">
      <c r="A5288" s="2" t="s">
        <v>9595</v>
      </c>
      <c r="B5288" s="2" t="s">
        <v>568</v>
      </c>
      <c r="C5288" s="1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  <c r="L5288" s="2" t="s">
        <v>11030</v>
      </c>
      <c r="M5288" s="2" t="s">
        <v>11029</v>
      </c>
      <c r="N5288" s="2" t="s">
        <v>11037</v>
      </c>
      <c r="O5288" s="2" t="s">
        <v>11038</v>
      </c>
      <c r="P5288" s="2" t="s">
        <v>11036</v>
      </c>
      <c r="Q5288" s="2">
        <f>AVERAGE(PerfRate[[#This Row],[EnvironmentSatisfaction]],PerfRate[[#This Row],[JobSatisfaction]],PerfRate[[#This Row],[RelationshipSatisfaction]])</f>
        <v>4</v>
      </c>
      <c r="R5288" s="2">
        <f>PerfRate[[#This Row],[ManagerRating]] - PerfRate[[#This Row],[SelfRating]]</f>
        <v>-1</v>
      </c>
    </row>
    <row r="5289" spans="1:18">
      <c r="A5289" s="2" t="s">
        <v>9596</v>
      </c>
      <c r="B5289" s="2" t="s">
        <v>1119</v>
      </c>
      <c r="C5289" s="1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  <c r="L5289" s="2" t="s">
        <v>11030</v>
      </c>
      <c r="M5289" s="2" t="s">
        <v>11030</v>
      </c>
      <c r="N5289" s="2" t="s">
        <v>11036</v>
      </c>
      <c r="O5289" s="2" t="s">
        <v>11036</v>
      </c>
      <c r="P5289" s="2" t="s">
        <v>11036</v>
      </c>
      <c r="Q5289" s="2">
        <f>AVERAGE(PerfRate[[#This Row],[EnvironmentSatisfaction]],PerfRate[[#This Row],[JobSatisfaction]],PerfRate[[#This Row],[RelationshipSatisfaction]])</f>
        <v>3</v>
      </c>
      <c r="R5289" s="2">
        <f>PerfRate[[#This Row],[ManagerRating]] - PerfRate[[#This Row],[SelfRating]]</f>
        <v>0</v>
      </c>
    </row>
    <row r="5290" spans="1:18">
      <c r="A5290" s="2" t="s">
        <v>9597</v>
      </c>
      <c r="B5290" s="2" t="s">
        <v>3144</v>
      </c>
      <c r="C5290" s="1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  <c r="L5290" s="2" t="s">
        <v>11030</v>
      </c>
      <c r="M5290" s="2" t="s">
        <v>11029</v>
      </c>
      <c r="N5290" s="2" t="s">
        <v>11037</v>
      </c>
      <c r="O5290" s="2" t="s">
        <v>11038</v>
      </c>
      <c r="P5290" s="2" t="s">
        <v>11035</v>
      </c>
      <c r="Q5290" s="2">
        <f>AVERAGE(PerfRate[[#This Row],[EnvironmentSatisfaction]],PerfRate[[#This Row],[JobSatisfaction]],PerfRate[[#This Row],[RelationshipSatisfaction]])</f>
        <v>3.6666666666666665</v>
      </c>
      <c r="R5290" s="2">
        <f>PerfRate[[#This Row],[ManagerRating]] - PerfRate[[#This Row],[SelfRating]]</f>
        <v>-1</v>
      </c>
    </row>
    <row r="5291" spans="1:18">
      <c r="A5291" s="2" t="s">
        <v>9598</v>
      </c>
      <c r="B5291" s="2" t="s">
        <v>511</v>
      </c>
      <c r="C5291" s="1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  <c r="L5291" s="2" t="s">
        <v>11031</v>
      </c>
      <c r="M5291" s="2" t="s">
        <v>11031</v>
      </c>
      <c r="N5291" s="2" t="s">
        <v>11037</v>
      </c>
      <c r="O5291" s="2" t="s">
        <v>11035</v>
      </c>
      <c r="P5291" s="2" t="s">
        <v>11036</v>
      </c>
      <c r="Q5291" s="2">
        <f>AVERAGE(PerfRate[[#This Row],[EnvironmentSatisfaction]],PerfRate[[#This Row],[JobSatisfaction]],PerfRate[[#This Row],[RelationshipSatisfaction]])</f>
        <v>3</v>
      </c>
      <c r="R5291" s="2">
        <f>PerfRate[[#This Row],[ManagerRating]] - PerfRate[[#This Row],[SelfRating]]</f>
        <v>0</v>
      </c>
    </row>
    <row r="5292" spans="1:18">
      <c r="A5292" s="2" t="s">
        <v>9599</v>
      </c>
      <c r="B5292" s="2" t="s">
        <v>128</v>
      </c>
      <c r="C5292" s="1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  <c r="L5292" s="2" t="s">
        <v>11029</v>
      </c>
      <c r="M5292" s="2" t="s">
        <v>11028</v>
      </c>
      <c r="N5292" s="2" t="s">
        <v>11038</v>
      </c>
      <c r="O5292" s="2" t="s">
        <v>11036</v>
      </c>
      <c r="P5292" s="2" t="s">
        <v>11038</v>
      </c>
      <c r="Q5292" s="2">
        <f>AVERAGE(PerfRate[[#This Row],[EnvironmentSatisfaction]],PerfRate[[#This Row],[JobSatisfaction]],PerfRate[[#This Row],[RelationshipSatisfaction]])</f>
        <v>4.333333333333333</v>
      </c>
      <c r="R5292" s="2">
        <f>PerfRate[[#This Row],[ManagerRating]] - PerfRate[[#This Row],[SelfRating]]</f>
        <v>-1</v>
      </c>
    </row>
    <row r="5293" spans="1:18">
      <c r="A5293" s="2" t="s">
        <v>9600</v>
      </c>
      <c r="B5293" s="2" t="s">
        <v>762</v>
      </c>
      <c r="C5293" s="1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  <c r="L5293" s="2" t="s">
        <v>11031</v>
      </c>
      <c r="M5293" s="2" t="s">
        <v>11030</v>
      </c>
      <c r="N5293" s="2" t="s">
        <v>11036</v>
      </c>
      <c r="O5293" s="2" t="s">
        <v>11037</v>
      </c>
      <c r="P5293" s="2" t="s">
        <v>11037</v>
      </c>
      <c r="Q5293" s="2">
        <f>AVERAGE(PerfRate[[#This Row],[EnvironmentSatisfaction]],PerfRate[[#This Row],[JobSatisfaction]],PerfRate[[#This Row],[RelationshipSatisfaction]])</f>
        <v>3.6666666666666665</v>
      </c>
      <c r="R5293" s="2">
        <f>PerfRate[[#This Row],[ManagerRating]] - PerfRate[[#This Row],[SelfRating]]</f>
        <v>-1</v>
      </c>
    </row>
    <row r="5294" spans="1:18">
      <c r="A5294" s="2" t="s">
        <v>9601</v>
      </c>
      <c r="B5294" s="2" t="s">
        <v>1056</v>
      </c>
      <c r="C5294" s="1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  <c r="L5294" s="2" t="s">
        <v>11031</v>
      </c>
      <c r="M5294" s="2" t="s">
        <v>11031</v>
      </c>
      <c r="N5294" s="2" t="s">
        <v>11038</v>
      </c>
      <c r="O5294" s="2" t="s">
        <v>11037</v>
      </c>
      <c r="P5294" s="2" t="s">
        <v>11035</v>
      </c>
      <c r="Q5294" s="2">
        <f>AVERAGE(PerfRate[[#This Row],[EnvironmentSatisfaction]],PerfRate[[#This Row],[JobSatisfaction]],PerfRate[[#This Row],[RelationshipSatisfaction]])</f>
        <v>3.6666666666666665</v>
      </c>
      <c r="R5294" s="2">
        <f>PerfRate[[#This Row],[ManagerRating]] - PerfRate[[#This Row],[SelfRating]]</f>
        <v>0</v>
      </c>
    </row>
    <row r="5295" spans="1:18">
      <c r="A5295" s="2" t="s">
        <v>9602</v>
      </c>
      <c r="B5295" s="2" t="s">
        <v>452</v>
      </c>
      <c r="C5295" s="1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  <c r="L5295" s="2" t="s">
        <v>11030</v>
      </c>
      <c r="M5295" s="2" t="s">
        <v>11029</v>
      </c>
      <c r="N5295" s="2" t="s">
        <v>11038</v>
      </c>
      <c r="O5295" s="2" t="s">
        <v>11036</v>
      </c>
      <c r="P5295" s="2" t="s">
        <v>11035</v>
      </c>
      <c r="Q5295" s="2">
        <f>AVERAGE(PerfRate[[#This Row],[EnvironmentSatisfaction]],PerfRate[[#This Row],[JobSatisfaction]],PerfRate[[#This Row],[RelationshipSatisfaction]])</f>
        <v>3.3333333333333335</v>
      </c>
      <c r="R5295" s="2">
        <f>PerfRate[[#This Row],[ManagerRating]] - PerfRate[[#This Row],[SelfRating]]</f>
        <v>-1</v>
      </c>
    </row>
    <row r="5296" spans="1:18">
      <c r="A5296" s="2" t="s">
        <v>9603</v>
      </c>
      <c r="B5296" s="2" t="s">
        <v>284</v>
      </c>
      <c r="C5296" s="1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  <c r="L5296" s="2" t="s">
        <v>11031</v>
      </c>
      <c r="M5296" s="2" t="s">
        <v>11031</v>
      </c>
      <c r="N5296" s="2" t="s">
        <v>11036</v>
      </c>
      <c r="O5296" s="2" t="s">
        <v>11036</v>
      </c>
      <c r="P5296" s="2" t="s">
        <v>11035</v>
      </c>
      <c r="Q5296" s="2">
        <f>AVERAGE(PerfRate[[#This Row],[EnvironmentSatisfaction]],PerfRate[[#This Row],[JobSatisfaction]],PerfRate[[#This Row],[RelationshipSatisfaction]])</f>
        <v>2.6666666666666665</v>
      </c>
      <c r="R5296" s="2">
        <f>PerfRate[[#This Row],[ManagerRating]] - PerfRate[[#This Row],[SelfRating]]</f>
        <v>0</v>
      </c>
    </row>
    <row r="5297" spans="1:18">
      <c r="A5297" s="2" t="s">
        <v>9604</v>
      </c>
      <c r="B5297" s="2" t="s">
        <v>2587</v>
      </c>
      <c r="C5297" s="1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  <c r="L5297" s="2" t="s">
        <v>11029</v>
      </c>
      <c r="M5297" s="2" t="s">
        <v>11028</v>
      </c>
      <c r="N5297" s="2" t="s">
        <v>11037</v>
      </c>
      <c r="O5297" s="2" t="s">
        <v>11037</v>
      </c>
      <c r="P5297" s="2" t="s">
        <v>11035</v>
      </c>
      <c r="Q5297" s="2">
        <f>AVERAGE(PerfRate[[#This Row],[EnvironmentSatisfaction]],PerfRate[[#This Row],[JobSatisfaction]],PerfRate[[#This Row],[RelationshipSatisfaction]])</f>
        <v>3.3333333333333335</v>
      </c>
      <c r="R5297" s="2">
        <f>PerfRate[[#This Row],[ManagerRating]] - PerfRate[[#This Row],[SelfRating]]</f>
        <v>-1</v>
      </c>
    </row>
    <row r="5298" spans="1:18">
      <c r="A5298" s="2" t="s">
        <v>9605</v>
      </c>
      <c r="B5298" s="2" t="s">
        <v>2897</v>
      </c>
      <c r="C5298" s="1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  <c r="L5298" s="2" t="s">
        <v>11030</v>
      </c>
      <c r="M5298" s="2" t="s">
        <v>11029</v>
      </c>
      <c r="N5298" s="2" t="s">
        <v>11038</v>
      </c>
      <c r="O5298" s="2" t="s">
        <v>11037</v>
      </c>
      <c r="P5298" s="2" t="s">
        <v>11037</v>
      </c>
      <c r="Q5298" s="2">
        <f>AVERAGE(PerfRate[[#This Row],[EnvironmentSatisfaction]],PerfRate[[#This Row],[JobSatisfaction]],PerfRate[[#This Row],[RelationshipSatisfaction]])</f>
        <v>4.333333333333333</v>
      </c>
      <c r="R5298" s="2">
        <f>PerfRate[[#This Row],[ManagerRating]] - PerfRate[[#This Row],[SelfRating]]</f>
        <v>-1</v>
      </c>
    </row>
    <row r="5299" spans="1:18">
      <c r="A5299" s="2" t="s">
        <v>9606</v>
      </c>
      <c r="B5299" s="2" t="s">
        <v>2990</v>
      </c>
      <c r="C5299" s="1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  <c r="L5299" s="2" t="s">
        <v>11029</v>
      </c>
      <c r="M5299" s="2" t="s">
        <v>11028</v>
      </c>
      <c r="N5299" s="2" t="s">
        <v>11036</v>
      </c>
      <c r="O5299" s="2" t="s">
        <v>11037</v>
      </c>
      <c r="P5299" s="2" t="s">
        <v>11038</v>
      </c>
      <c r="Q5299" s="2">
        <f>AVERAGE(PerfRate[[#This Row],[EnvironmentSatisfaction]],PerfRate[[#This Row],[JobSatisfaction]],PerfRate[[#This Row],[RelationshipSatisfaction]])</f>
        <v>4</v>
      </c>
      <c r="R5299" s="2">
        <f>PerfRate[[#This Row],[ManagerRating]] - PerfRate[[#This Row],[SelfRating]]</f>
        <v>-1</v>
      </c>
    </row>
    <row r="5300" spans="1:18">
      <c r="A5300" s="2" t="s">
        <v>9607</v>
      </c>
      <c r="B5300" s="2" t="s">
        <v>2453</v>
      </c>
      <c r="C5300" s="1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  <c r="L5300" s="2" t="s">
        <v>11031</v>
      </c>
      <c r="M5300" s="2" t="s">
        <v>11031</v>
      </c>
      <c r="N5300" s="2" t="s">
        <v>11036</v>
      </c>
      <c r="O5300" s="2" t="s">
        <v>11035</v>
      </c>
      <c r="P5300" s="2" t="s">
        <v>11038</v>
      </c>
      <c r="Q5300" s="2">
        <f>AVERAGE(PerfRate[[#This Row],[EnvironmentSatisfaction]],PerfRate[[#This Row],[JobSatisfaction]],PerfRate[[#This Row],[RelationshipSatisfaction]])</f>
        <v>3.3333333333333335</v>
      </c>
      <c r="R5300" s="2">
        <f>PerfRate[[#This Row],[ManagerRating]] - PerfRate[[#This Row],[SelfRating]]</f>
        <v>0</v>
      </c>
    </row>
    <row r="5301" spans="1:18">
      <c r="A5301" s="2" t="s">
        <v>9608</v>
      </c>
      <c r="B5301" s="2" t="s">
        <v>1116</v>
      </c>
      <c r="C5301" s="1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  <c r="L5301" s="2" t="s">
        <v>11030</v>
      </c>
      <c r="M5301" s="2" t="s">
        <v>11029</v>
      </c>
      <c r="N5301" s="2" t="s">
        <v>11038</v>
      </c>
      <c r="O5301" s="2" t="s">
        <v>11038</v>
      </c>
      <c r="P5301" s="2" t="s">
        <v>11037</v>
      </c>
      <c r="Q5301" s="2">
        <f>AVERAGE(PerfRate[[#This Row],[EnvironmentSatisfaction]],PerfRate[[#This Row],[JobSatisfaction]],PerfRate[[#This Row],[RelationshipSatisfaction]])</f>
        <v>4.666666666666667</v>
      </c>
      <c r="R5301" s="2">
        <f>PerfRate[[#This Row],[ManagerRating]] - PerfRate[[#This Row],[SelfRating]]</f>
        <v>-1</v>
      </c>
    </row>
    <row r="5302" spans="1:18">
      <c r="A5302" s="2" t="s">
        <v>9609</v>
      </c>
      <c r="B5302" s="2" t="s">
        <v>2193</v>
      </c>
      <c r="C5302" s="1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  <c r="L5302" s="2" t="s">
        <v>11031</v>
      </c>
      <c r="M5302" s="2" t="s">
        <v>11030</v>
      </c>
      <c r="N5302" s="2" t="s">
        <v>11036</v>
      </c>
      <c r="O5302" s="2" t="s">
        <v>11036</v>
      </c>
      <c r="P5302" s="2" t="s">
        <v>11035</v>
      </c>
      <c r="Q5302" s="2">
        <f>AVERAGE(PerfRate[[#This Row],[EnvironmentSatisfaction]],PerfRate[[#This Row],[JobSatisfaction]],PerfRate[[#This Row],[RelationshipSatisfaction]])</f>
        <v>2.6666666666666665</v>
      </c>
      <c r="R5302" s="2">
        <f>PerfRate[[#This Row],[ManagerRating]] - PerfRate[[#This Row],[SelfRating]]</f>
        <v>-1</v>
      </c>
    </row>
    <row r="5303" spans="1:18">
      <c r="A5303" s="2" t="s">
        <v>9610</v>
      </c>
      <c r="B5303" s="2" t="s">
        <v>2681</v>
      </c>
      <c r="C5303" s="1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  <c r="L5303" s="2" t="s">
        <v>11031</v>
      </c>
      <c r="M5303" s="2" t="s">
        <v>11031</v>
      </c>
      <c r="N5303" s="2" t="s">
        <v>11036</v>
      </c>
      <c r="O5303" s="2" t="s">
        <v>11035</v>
      </c>
      <c r="P5303" s="2" t="s">
        <v>11037</v>
      </c>
      <c r="Q5303" s="2">
        <f>AVERAGE(PerfRate[[#This Row],[EnvironmentSatisfaction]],PerfRate[[#This Row],[JobSatisfaction]],PerfRate[[#This Row],[RelationshipSatisfaction]])</f>
        <v>3</v>
      </c>
      <c r="R5303" s="2">
        <f>PerfRate[[#This Row],[ManagerRating]] - PerfRate[[#This Row],[SelfRating]]</f>
        <v>0</v>
      </c>
    </row>
    <row r="5304" spans="1:18">
      <c r="A5304" s="2" t="s">
        <v>9611</v>
      </c>
      <c r="B5304" s="2" t="s">
        <v>455</v>
      </c>
      <c r="C5304" s="1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  <c r="L5304" s="2" t="s">
        <v>11029</v>
      </c>
      <c r="M5304" s="2" t="s">
        <v>11028</v>
      </c>
      <c r="N5304" s="2" t="s">
        <v>11037</v>
      </c>
      <c r="O5304" s="2" t="s">
        <v>11038</v>
      </c>
      <c r="P5304" s="2" t="s">
        <v>11035</v>
      </c>
      <c r="Q5304" s="2">
        <f>AVERAGE(PerfRate[[#This Row],[EnvironmentSatisfaction]],PerfRate[[#This Row],[JobSatisfaction]],PerfRate[[#This Row],[RelationshipSatisfaction]])</f>
        <v>3.6666666666666665</v>
      </c>
      <c r="R5304" s="2">
        <f>PerfRate[[#This Row],[ManagerRating]] - PerfRate[[#This Row],[SelfRating]]</f>
        <v>-1</v>
      </c>
    </row>
    <row r="5305" spans="1:18">
      <c r="A5305" s="2" t="s">
        <v>9612</v>
      </c>
      <c r="B5305" s="2" t="s">
        <v>2641</v>
      </c>
      <c r="C5305" s="1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  <c r="L5305" s="2" t="s">
        <v>11029</v>
      </c>
      <c r="M5305" s="2" t="s">
        <v>11028</v>
      </c>
      <c r="N5305" s="2" t="s">
        <v>11038</v>
      </c>
      <c r="O5305" s="2" t="s">
        <v>11038</v>
      </c>
      <c r="P5305" s="2" t="s">
        <v>11036</v>
      </c>
      <c r="Q5305" s="2">
        <f>AVERAGE(PerfRate[[#This Row],[EnvironmentSatisfaction]],PerfRate[[#This Row],[JobSatisfaction]],PerfRate[[#This Row],[RelationshipSatisfaction]])</f>
        <v>4.333333333333333</v>
      </c>
      <c r="R5305" s="2">
        <f>PerfRate[[#This Row],[ManagerRating]] - PerfRate[[#This Row],[SelfRating]]</f>
        <v>-1</v>
      </c>
    </row>
    <row r="5306" spans="1:18">
      <c r="A5306" s="2" t="s">
        <v>9613</v>
      </c>
      <c r="B5306" s="2" t="s">
        <v>1201</v>
      </c>
      <c r="C5306" s="1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  <c r="L5306" s="2" t="s">
        <v>11029</v>
      </c>
      <c r="M5306" s="2" t="s">
        <v>11028</v>
      </c>
      <c r="N5306" s="2" t="s">
        <v>11036</v>
      </c>
      <c r="O5306" s="2" t="s">
        <v>11038</v>
      </c>
      <c r="P5306" s="2" t="s">
        <v>11038</v>
      </c>
      <c r="Q5306" s="2">
        <f>AVERAGE(PerfRate[[#This Row],[EnvironmentSatisfaction]],PerfRate[[#This Row],[JobSatisfaction]],PerfRate[[#This Row],[RelationshipSatisfaction]])</f>
        <v>4.333333333333333</v>
      </c>
      <c r="R5306" s="2">
        <f>PerfRate[[#This Row],[ManagerRating]] - PerfRate[[#This Row],[SelfRating]]</f>
        <v>-1</v>
      </c>
    </row>
    <row r="5307" spans="1:18">
      <c r="A5307" s="2" t="s">
        <v>9614</v>
      </c>
      <c r="B5307" s="2" t="s">
        <v>1909</v>
      </c>
      <c r="C5307" s="1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  <c r="L5307" s="2" t="s">
        <v>11031</v>
      </c>
      <c r="M5307" s="2" t="s">
        <v>11031</v>
      </c>
      <c r="N5307" s="2" t="s">
        <v>11037</v>
      </c>
      <c r="O5307" s="2" t="s">
        <v>11036</v>
      </c>
      <c r="P5307" s="2" t="s">
        <v>11036</v>
      </c>
      <c r="Q5307" s="2">
        <f>AVERAGE(PerfRate[[#This Row],[EnvironmentSatisfaction]],PerfRate[[#This Row],[JobSatisfaction]],PerfRate[[#This Row],[RelationshipSatisfaction]])</f>
        <v>3.3333333333333335</v>
      </c>
      <c r="R5307" s="2">
        <f>PerfRate[[#This Row],[ManagerRating]] - PerfRate[[#This Row],[SelfRating]]</f>
        <v>0</v>
      </c>
    </row>
    <row r="5308" spans="1:18">
      <c r="A5308" s="2" t="s">
        <v>9615</v>
      </c>
      <c r="B5308" s="2" t="s">
        <v>238</v>
      </c>
      <c r="C5308" s="1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  <c r="L5308" s="2" t="s">
        <v>11031</v>
      </c>
      <c r="M5308" s="2" t="s">
        <v>11030</v>
      </c>
      <c r="N5308" s="2" t="s">
        <v>11038</v>
      </c>
      <c r="O5308" s="2" t="s">
        <v>11035</v>
      </c>
      <c r="P5308" s="2" t="s">
        <v>11036</v>
      </c>
      <c r="Q5308" s="2">
        <f>AVERAGE(PerfRate[[#This Row],[EnvironmentSatisfaction]],PerfRate[[#This Row],[JobSatisfaction]],PerfRate[[#This Row],[RelationshipSatisfaction]])</f>
        <v>3.3333333333333335</v>
      </c>
      <c r="R5308" s="2">
        <f>PerfRate[[#This Row],[ManagerRating]] - PerfRate[[#This Row],[SelfRating]]</f>
        <v>-1</v>
      </c>
    </row>
    <row r="5309" spans="1:18">
      <c r="A5309" s="2" t="s">
        <v>9616</v>
      </c>
      <c r="B5309" s="2" t="s">
        <v>2964</v>
      </c>
      <c r="C5309" s="1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  <c r="L5309" s="2" t="s">
        <v>11029</v>
      </c>
      <c r="M5309" s="2" t="s">
        <v>11029</v>
      </c>
      <c r="N5309" s="2" t="s">
        <v>11038</v>
      </c>
      <c r="O5309" s="2" t="s">
        <v>11037</v>
      </c>
      <c r="P5309" s="2" t="s">
        <v>11036</v>
      </c>
      <c r="Q5309" s="2">
        <f>AVERAGE(PerfRate[[#This Row],[EnvironmentSatisfaction]],PerfRate[[#This Row],[JobSatisfaction]],PerfRate[[#This Row],[RelationshipSatisfaction]])</f>
        <v>4</v>
      </c>
      <c r="R5309" s="2">
        <f>PerfRate[[#This Row],[ManagerRating]] - PerfRate[[#This Row],[SelfRating]]</f>
        <v>0</v>
      </c>
    </row>
    <row r="5310" spans="1:18">
      <c r="A5310" s="2" t="s">
        <v>9617</v>
      </c>
      <c r="B5310" s="2" t="s">
        <v>154</v>
      </c>
      <c r="C5310" s="1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  <c r="L5310" s="2" t="s">
        <v>11030</v>
      </c>
      <c r="M5310" s="2" t="s">
        <v>11030</v>
      </c>
      <c r="N5310" s="2" t="s">
        <v>11036</v>
      </c>
      <c r="O5310" s="2" t="s">
        <v>11037</v>
      </c>
      <c r="P5310" s="2" t="s">
        <v>11038</v>
      </c>
      <c r="Q5310" s="2">
        <f>AVERAGE(PerfRate[[#This Row],[EnvironmentSatisfaction]],PerfRate[[#This Row],[JobSatisfaction]],PerfRate[[#This Row],[RelationshipSatisfaction]])</f>
        <v>4</v>
      </c>
      <c r="R5310" s="2">
        <f>PerfRate[[#This Row],[ManagerRating]] - PerfRate[[#This Row],[SelfRating]]</f>
        <v>0</v>
      </c>
    </row>
    <row r="5311" spans="1:18">
      <c r="A5311" s="2" t="s">
        <v>9618</v>
      </c>
      <c r="B5311" s="2" t="s">
        <v>2115</v>
      </c>
      <c r="C5311" s="1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  <c r="L5311" s="2" t="s">
        <v>11031</v>
      </c>
      <c r="M5311" s="2" t="s">
        <v>11031</v>
      </c>
      <c r="N5311" s="2" t="s">
        <v>11037</v>
      </c>
      <c r="O5311" s="2" t="s">
        <v>11038</v>
      </c>
      <c r="P5311" s="2" t="s">
        <v>11035</v>
      </c>
      <c r="Q5311" s="2">
        <f>AVERAGE(PerfRate[[#This Row],[EnvironmentSatisfaction]],PerfRate[[#This Row],[JobSatisfaction]],PerfRate[[#This Row],[RelationshipSatisfaction]])</f>
        <v>3.6666666666666665</v>
      </c>
      <c r="R5311" s="2">
        <f>PerfRate[[#This Row],[ManagerRating]] - PerfRate[[#This Row],[SelfRating]]</f>
        <v>0</v>
      </c>
    </row>
    <row r="5312" spans="1:18">
      <c r="A5312" s="2" t="s">
        <v>9619</v>
      </c>
      <c r="B5312" s="2" t="s">
        <v>2650</v>
      </c>
      <c r="C5312" s="1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  <c r="L5312" s="2" t="s">
        <v>11030</v>
      </c>
      <c r="M5312" s="2" t="s">
        <v>11029</v>
      </c>
      <c r="N5312" s="2" t="s">
        <v>11037</v>
      </c>
      <c r="O5312" s="2" t="s">
        <v>11035</v>
      </c>
      <c r="P5312" s="2" t="s">
        <v>11037</v>
      </c>
      <c r="Q5312" s="2">
        <f>AVERAGE(PerfRate[[#This Row],[EnvironmentSatisfaction]],PerfRate[[#This Row],[JobSatisfaction]],PerfRate[[#This Row],[RelationshipSatisfaction]])</f>
        <v>3.3333333333333335</v>
      </c>
      <c r="R5312" s="2">
        <f>PerfRate[[#This Row],[ManagerRating]] - PerfRate[[#This Row],[SelfRating]]</f>
        <v>-1</v>
      </c>
    </row>
    <row r="5313" spans="1:18">
      <c r="A5313" s="2" t="s">
        <v>9620</v>
      </c>
      <c r="B5313" s="2" t="s">
        <v>696</v>
      </c>
      <c r="C5313" s="1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  <c r="L5313" s="2" t="s">
        <v>11030</v>
      </c>
      <c r="M5313" s="2" t="s">
        <v>11029</v>
      </c>
      <c r="N5313" s="2" t="s">
        <v>11036</v>
      </c>
      <c r="O5313" s="2" t="s">
        <v>11036</v>
      </c>
      <c r="P5313" s="2" t="s">
        <v>11037</v>
      </c>
      <c r="Q5313" s="2">
        <f>AVERAGE(PerfRate[[#This Row],[EnvironmentSatisfaction]],PerfRate[[#This Row],[JobSatisfaction]],PerfRate[[#This Row],[RelationshipSatisfaction]])</f>
        <v>3.3333333333333335</v>
      </c>
      <c r="R5313" s="2">
        <f>PerfRate[[#This Row],[ManagerRating]] - PerfRate[[#This Row],[SelfRating]]</f>
        <v>-1</v>
      </c>
    </row>
    <row r="5314" spans="1:18">
      <c r="A5314" s="2" t="s">
        <v>9621</v>
      </c>
      <c r="B5314" s="2" t="s">
        <v>2689</v>
      </c>
      <c r="C5314" s="1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  <c r="L5314" s="2" t="s">
        <v>11030</v>
      </c>
      <c r="M5314" s="2" t="s">
        <v>11029</v>
      </c>
      <c r="N5314" s="2" t="s">
        <v>11036</v>
      </c>
      <c r="O5314" s="2" t="s">
        <v>11036</v>
      </c>
      <c r="P5314" s="2" t="s">
        <v>11038</v>
      </c>
      <c r="Q5314" s="2">
        <f>AVERAGE(PerfRate[[#This Row],[EnvironmentSatisfaction]],PerfRate[[#This Row],[JobSatisfaction]],PerfRate[[#This Row],[RelationshipSatisfaction]])</f>
        <v>3.6666666666666665</v>
      </c>
      <c r="R5314" s="2">
        <f>PerfRate[[#This Row],[ManagerRating]] - PerfRate[[#This Row],[SelfRating]]</f>
        <v>-1</v>
      </c>
    </row>
    <row r="5315" spans="1:18">
      <c r="A5315" s="2" t="s">
        <v>9622</v>
      </c>
      <c r="B5315" s="2" t="s">
        <v>1180</v>
      </c>
      <c r="C5315" s="1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  <c r="L5315" s="2" t="s">
        <v>11030</v>
      </c>
      <c r="M5315" s="2" t="s">
        <v>11029</v>
      </c>
      <c r="N5315" s="2" t="s">
        <v>11036</v>
      </c>
      <c r="O5315" s="2" t="s">
        <v>11038</v>
      </c>
      <c r="P5315" s="2" t="s">
        <v>11037</v>
      </c>
      <c r="Q5315" s="2">
        <f>AVERAGE(PerfRate[[#This Row],[EnvironmentSatisfaction]],PerfRate[[#This Row],[JobSatisfaction]],PerfRate[[#This Row],[RelationshipSatisfaction]])</f>
        <v>4</v>
      </c>
      <c r="R5315" s="2">
        <f>PerfRate[[#This Row],[ManagerRating]] - PerfRate[[#This Row],[SelfRating]]</f>
        <v>-1</v>
      </c>
    </row>
    <row r="5316" spans="1:18">
      <c r="A5316" s="2" t="s">
        <v>9623</v>
      </c>
      <c r="B5316" s="2" t="s">
        <v>1127</v>
      </c>
      <c r="C5316" s="1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  <c r="L5316" s="2" t="s">
        <v>11031</v>
      </c>
      <c r="M5316" s="2" t="s">
        <v>11031</v>
      </c>
      <c r="N5316" s="2" t="s">
        <v>11036</v>
      </c>
      <c r="O5316" s="2" t="s">
        <v>11037</v>
      </c>
      <c r="P5316" s="2" t="s">
        <v>11036</v>
      </c>
      <c r="Q5316" s="2">
        <f>AVERAGE(PerfRate[[#This Row],[EnvironmentSatisfaction]],PerfRate[[#This Row],[JobSatisfaction]],PerfRate[[#This Row],[RelationshipSatisfaction]])</f>
        <v>3.3333333333333335</v>
      </c>
      <c r="R5316" s="2">
        <f>PerfRate[[#This Row],[ManagerRating]] - PerfRate[[#This Row],[SelfRating]]</f>
        <v>0</v>
      </c>
    </row>
    <row r="5317" spans="1:18">
      <c r="A5317" s="2" t="s">
        <v>9624</v>
      </c>
      <c r="B5317" s="2" t="s">
        <v>2427</v>
      </c>
      <c r="C5317" s="1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  <c r="L5317" s="2" t="s">
        <v>11029</v>
      </c>
      <c r="M5317" s="2" t="s">
        <v>11028</v>
      </c>
      <c r="N5317" s="2" t="s">
        <v>11038</v>
      </c>
      <c r="O5317" s="2" t="s">
        <v>11036</v>
      </c>
      <c r="P5317" s="2" t="s">
        <v>11038</v>
      </c>
      <c r="Q5317" s="2">
        <f>AVERAGE(PerfRate[[#This Row],[EnvironmentSatisfaction]],PerfRate[[#This Row],[JobSatisfaction]],PerfRate[[#This Row],[RelationshipSatisfaction]])</f>
        <v>4.333333333333333</v>
      </c>
      <c r="R5317" s="2">
        <f>PerfRate[[#This Row],[ManagerRating]] - PerfRate[[#This Row],[SelfRating]]</f>
        <v>-1</v>
      </c>
    </row>
    <row r="5318" spans="1:18">
      <c r="A5318" s="2" t="s">
        <v>9625</v>
      </c>
      <c r="B5318" s="2" t="s">
        <v>2759</v>
      </c>
      <c r="C5318" s="1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  <c r="L5318" s="2" t="s">
        <v>11029</v>
      </c>
      <c r="M5318" s="2" t="s">
        <v>11028</v>
      </c>
      <c r="N5318" s="2" t="s">
        <v>11038</v>
      </c>
      <c r="O5318" s="2" t="s">
        <v>11037</v>
      </c>
      <c r="P5318" s="2" t="s">
        <v>11035</v>
      </c>
      <c r="Q5318" s="2">
        <f>AVERAGE(PerfRate[[#This Row],[EnvironmentSatisfaction]],PerfRate[[#This Row],[JobSatisfaction]],PerfRate[[#This Row],[RelationshipSatisfaction]])</f>
        <v>3.6666666666666665</v>
      </c>
      <c r="R5318" s="2">
        <f>PerfRate[[#This Row],[ManagerRating]] - PerfRate[[#This Row],[SelfRating]]</f>
        <v>-1</v>
      </c>
    </row>
    <row r="5319" spans="1:18">
      <c r="A5319" s="2" t="s">
        <v>9626</v>
      </c>
      <c r="B5319" s="2" t="s">
        <v>353</v>
      </c>
      <c r="C5319" s="1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  <c r="L5319" s="2" t="s">
        <v>11030</v>
      </c>
      <c r="M5319" s="2" t="s">
        <v>11029</v>
      </c>
      <c r="N5319" s="2" t="s">
        <v>11038</v>
      </c>
      <c r="O5319" s="2" t="s">
        <v>11037</v>
      </c>
      <c r="P5319" s="2" t="s">
        <v>11035</v>
      </c>
      <c r="Q5319" s="2">
        <f>AVERAGE(PerfRate[[#This Row],[EnvironmentSatisfaction]],PerfRate[[#This Row],[JobSatisfaction]],PerfRate[[#This Row],[RelationshipSatisfaction]])</f>
        <v>3.6666666666666665</v>
      </c>
      <c r="R5319" s="2">
        <f>PerfRate[[#This Row],[ManagerRating]] - PerfRate[[#This Row],[SelfRating]]</f>
        <v>-1</v>
      </c>
    </row>
    <row r="5320" spans="1:18">
      <c r="A5320" s="2" t="s">
        <v>9627</v>
      </c>
      <c r="B5320" s="2" t="s">
        <v>1500</v>
      </c>
      <c r="C5320" s="1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  <c r="L5320" s="2" t="s">
        <v>11029</v>
      </c>
      <c r="M5320" s="2" t="s">
        <v>11029</v>
      </c>
      <c r="N5320" s="2" t="s">
        <v>11038</v>
      </c>
      <c r="O5320" s="2" t="s">
        <v>11035</v>
      </c>
      <c r="P5320" s="2" t="s">
        <v>11035</v>
      </c>
      <c r="Q5320" s="2">
        <f>AVERAGE(PerfRate[[#This Row],[EnvironmentSatisfaction]],PerfRate[[#This Row],[JobSatisfaction]],PerfRate[[#This Row],[RelationshipSatisfaction]])</f>
        <v>3</v>
      </c>
      <c r="R5320" s="2">
        <f>PerfRate[[#This Row],[ManagerRating]] - PerfRate[[#This Row],[SelfRating]]</f>
        <v>0</v>
      </c>
    </row>
    <row r="5321" spans="1:18">
      <c r="A5321" s="2" t="s">
        <v>9628</v>
      </c>
      <c r="B5321" s="2" t="s">
        <v>1371</v>
      </c>
      <c r="C5321" s="1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  <c r="L5321" s="2" t="s">
        <v>11031</v>
      </c>
      <c r="M5321" s="2" t="s">
        <v>11031</v>
      </c>
      <c r="N5321" s="2" t="s">
        <v>11036</v>
      </c>
      <c r="O5321" s="2" t="s">
        <v>11038</v>
      </c>
      <c r="P5321" s="2" t="s">
        <v>11036</v>
      </c>
      <c r="Q5321" s="2">
        <f>AVERAGE(PerfRate[[#This Row],[EnvironmentSatisfaction]],PerfRate[[#This Row],[JobSatisfaction]],PerfRate[[#This Row],[RelationshipSatisfaction]])</f>
        <v>3.6666666666666665</v>
      </c>
      <c r="R5321" s="2">
        <f>PerfRate[[#This Row],[ManagerRating]] - PerfRate[[#This Row],[SelfRating]]</f>
        <v>0</v>
      </c>
    </row>
    <row r="5322" spans="1:18">
      <c r="A5322" s="2" t="s">
        <v>9629</v>
      </c>
      <c r="B5322" s="2" t="s">
        <v>3439</v>
      </c>
      <c r="C5322" s="1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  <c r="L5322" s="2" t="s">
        <v>11030</v>
      </c>
      <c r="M5322" s="2" t="s">
        <v>11029</v>
      </c>
      <c r="N5322" s="2" t="s">
        <v>11038</v>
      </c>
      <c r="O5322" s="2" t="s">
        <v>11035</v>
      </c>
      <c r="P5322" s="2" t="s">
        <v>11038</v>
      </c>
      <c r="Q5322" s="2">
        <f>AVERAGE(PerfRate[[#This Row],[EnvironmentSatisfaction]],PerfRate[[#This Row],[JobSatisfaction]],PerfRate[[#This Row],[RelationshipSatisfaction]])</f>
        <v>4</v>
      </c>
      <c r="R5322" s="2">
        <f>PerfRate[[#This Row],[ManagerRating]] - PerfRate[[#This Row],[SelfRating]]</f>
        <v>-1</v>
      </c>
    </row>
    <row r="5323" spans="1:18">
      <c r="A5323" s="2" t="s">
        <v>9630</v>
      </c>
      <c r="B5323" s="2" t="s">
        <v>2119</v>
      </c>
      <c r="C5323" s="1">
        <v>44564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  <c r="L5323" s="2" t="s">
        <v>11029</v>
      </c>
      <c r="M5323" s="2" t="s">
        <v>11029</v>
      </c>
      <c r="N5323" s="2" t="s">
        <v>11035</v>
      </c>
      <c r="O5323" s="2" t="s">
        <v>11036</v>
      </c>
      <c r="P5323" s="2" t="s">
        <v>11037</v>
      </c>
      <c r="Q5323" s="2">
        <f>AVERAGE(PerfRate[[#This Row],[EnvironmentSatisfaction]],PerfRate[[#This Row],[JobSatisfaction]],PerfRate[[#This Row],[RelationshipSatisfaction]])</f>
        <v>3</v>
      </c>
      <c r="R5323" s="2">
        <f>PerfRate[[#This Row],[ManagerRating]] - PerfRate[[#This Row],[SelfRating]]</f>
        <v>0</v>
      </c>
    </row>
    <row r="5324" spans="1:18">
      <c r="A5324" s="2" t="s">
        <v>9631</v>
      </c>
      <c r="B5324" s="2" t="s">
        <v>673</v>
      </c>
      <c r="C5324" s="1">
        <v>44564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  <c r="L5324" s="2" t="s">
        <v>11031</v>
      </c>
      <c r="M5324" s="2" t="s">
        <v>11031</v>
      </c>
      <c r="N5324" s="2" t="s">
        <v>11037</v>
      </c>
      <c r="O5324" s="2" t="s">
        <v>11036</v>
      </c>
      <c r="P5324" s="2" t="s">
        <v>11035</v>
      </c>
      <c r="Q5324" s="2">
        <f>AVERAGE(PerfRate[[#This Row],[EnvironmentSatisfaction]],PerfRate[[#This Row],[JobSatisfaction]],PerfRate[[#This Row],[RelationshipSatisfaction]])</f>
        <v>3</v>
      </c>
      <c r="R5324" s="2">
        <f>PerfRate[[#This Row],[ManagerRating]] - PerfRate[[#This Row],[SelfRating]]</f>
        <v>0</v>
      </c>
    </row>
    <row r="5325" spans="1:18">
      <c r="A5325" s="2" t="s">
        <v>9632</v>
      </c>
      <c r="B5325" s="2" t="s">
        <v>1587</v>
      </c>
      <c r="C5325" s="1">
        <v>44564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  <c r="L5325" s="2" t="s">
        <v>11029</v>
      </c>
      <c r="M5325" s="2" t="s">
        <v>11029</v>
      </c>
      <c r="N5325" s="2" t="s">
        <v>11037</v>
      </c>
      <c r="O5325" s="2" t="s">
        <v>11036</v>
      </c>
      <c r="P5325" s="2" t="s">
        <v>11037</v>
      </c>
      <c r="Q5325" s="2">
        <f>AVERAGE(PerfRate[[#This Row],[EnvironmentSatisfaction]],PerfRate[[#This Row],[JobSatisfaction]],PerfRate[[#This Row],[RelationshipSatisfaction]])</f>
        <v>3.6666666666666665</v>
      </c>
      <c r="R5325" s="2">
        <f>PerfRate[[#This Row],[ManagerRating]] - PerfRate[[#This Row],[SelfRating]]</f>
        <v>0</v>
      </c>
    </row>
    <row r="5326" spans="1:18">
      <c r="A5326" s="2" t="s">
        <v>9633</v>
      </c>
      <c r="B5326" s="2" t="s">
        <v>3225</v>
      </c>
      <c r="C5326" s="1">
        <v>44564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  <c r="L5326" s="2" t="s">
        <v>11030</v>
      </c>
      <c r="M5326" s="2" t="s">
        <v>11029</v>
      </c>
      <c r="N5326" s="2" t="s">
        <v>11036</v>
      </c>
      <c r="O5326" s="2" t="s">
        <v>11036</v>
      </c>
      <c r="P5326" s="2" t="s">
        <v>11035</v>
      </c>
      <c r="Q5326" s="2">
        <f>AVERAGE(PerfRate[[#This Row],[EnvironmentSatisfaction]],PerfRate[[#This Row],[JobSatisfaction]],PerfRate[[#This Row],[RelationshipSatisfaction]])</f>
        <v>2.6666666666666665</v>
      </c>
      <c r="R5326" s="2">
        <f>PerfRate[[#This Row],[ManagerRating]] - PerfRate[[#This Row],[SelfRating]]</f>
        <v>-1</v>
      </c>
    </row>
    <row r="5327" spans="1:18">
      <c r="A5327" s="2" t="s">
        <v>9634</v>
      </c>
      <c r="B5327" s="2" t="s">
        <v>2351</v>
      </c>
      <c r="C5327" s="1">
        <v>44595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  <c r="L5327" s="2" t="s">
        <v>11029</v>
      </c>
      <c r="M5327" s="2" t="s">
        <v>11029</v>
      </c>
      <c r="N5327" s="2" t="s">
        <v>11036</v>
      </c>
      <c r="O5327" s="2" t="s">
        <v>11036</v>
      </c>
      <c r="P5327" s="2" t="s">
        <v>11036</v>
      </c>
      <c r="Q5327" s="2">
        <f>AVERAGE(PerfRate[[#This Row],[EnvironmentSatisfaction]],PerfRate[[#This Row],[JobSatisfaction]],PerfRate[[#This Row],[RelationshipSatisfaction]])</f>
        <v>3</v>
      </c>
      <c r="R5327" s="2">
        <f>PerfRate[[#This Row],[ManagerRating]] - PerfRate[[#This Row],[SelfRating]]</f>
        <v>0</v>
      </c>
    </row>
    <row r="5328" spans="1:18">
      <c r="A5328" s="2" t="s">
        <v>9635</v>
      </c>
      <c r="B5328" s="2" t="s">
        <v>2296</v>
      </c>
      <c r="C5328" s="1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  <c r="L5328" s="2" t="s">
        <v>11029</v>
      </c>
      <c r="M5328" s="2" t="s">
        <v>11028</v>
      </c>
      <c r="N5328" s="2" t="s">
        <v>11036</v>
      </c>
      <c r="O5328" s="2" t="s">
        <v>11036</v>
      </c>
      <c r="P5328" s="2" t="s">
        <v>11038</v>
      </c>
      <c r="Q5328" s="2">
        <f>AVERAGE(PerfRate[[#This Row],[EnvironmentSatisfaction]],PerfRate[[#This Row],[JobSatisfaction]],PerfRate[[#This Row],[RelationshipSatisfaction]])</f>
        <v>3.6666666666666665</v>
      </c>
      <c r="R5328" s="2">
        <f>PerfRate[[#This Row],[ManagerRating]] - PerfRate[[#This Row],[SelfRating]]</f>
        <v>-1</v>
      </c>
    </row>
    <row r="5329" spans="1:18">
      <c r="A5329" s="2" t="s">
        <v>9636</v>
      </c>
      <c r="B5329" s="2" t="s">
        <v>550</v>
      </c>
      <c r="C5329" s="1">
        <v>44595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  <c r="L5329" s="2" t="s">
        <v>11029</v>
      </c>
      <c r="M5329" s="2" t="s">
        <v>11028</v>
      </c>
      <c r="N5329" s="2" t="s">
        <v>11036</v>
      </c>
      <c r="O5329" s="2" t="s">
        <v>11036</v>
      </c>
      <c r="P5329" s="2" t="s">
        <v>11038</v>
      </c>
      <c r="Q5329" s="2">
        <f>AVERAGE(PerfRate[[#This Row],[EnvironmentSatisfaction]],PerfRate[[#This Row],[JobSatisfaction]],PerfRate[[#This Row],[RelationshipSatisfaction]])</f>
        <v>3.6666666666666665</v>
      </c>
      <c r="R5329" s="2">
        <f>PerfRate[[#This Row],[ManagerRating]] - PerfRate[[#This Row],[SelfRating]]</f>
        <v>-1</v>
      </c>
    </row>
    <row r="5330" spans="1:18">
      <c r="A5330" s="2" t="s">
        <v>9637</v>
      </c>
      <c r="B5330" s="2" t="s">
        <v>1704</v>
      </c>
      <c r="C5330" s="1">
        <v>44595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  <c r="L5330" s="2" t="s">
        <v>11031</v>
      </c>
      <c r="M5330" s="2" t="s">
        <v>11030</v>
      </c>
      <c r="N5330" s="2" t="s">
        <v>11038</v>
      </c>
      <c r="O5330" s="2" t="s">
        <v>11038</v>
      </c>
      <c r="P5330" s="2" t="s">
        <v>11035</v>
      </c>
      <c r="Q5330" s="2">
        <f>AVERAGE(PerfRate[[#This Row],[EnvironmentSatisfaction]],PerfRate[[#This Row],[JobSatisfaction]],PerfRate[[#This Row],[RelationshipSatisfaction]])</f>
        <v>4</v>
      </c>
      <c r="R5330" s="2">
        <f>PerfRate[[#This Row],[ManagerRating]] - PerfRate[[#This Row],[SelfRating]]</f>
        <v>-1</v>
      </c>
    </row>
    <row r="5331" spans="1:18">
      <c r="A5331" s="2" t="s">
        <v>9638</v>
      </c>
      <c r="B5331" s="2" t="s">
        <v>341</v>
      </c>
      <c r="C5331" s="1">
        <v>44595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  <c r="L5331" s="2" t="s">
        <v>11030</v>
      </c>
      <c r="M5331" s="2" t="s">
        <v>11029</v>
      </c>
      <c r="N5331" s="2" t="s">
        <v>11036</v>
      </c>
      <c r="O5331" s="2" t="s">
        <v>11037</v>
      </c>
      <c r="P5331" s="2" t="s">
        <v>11038</v>
      </c>
      <c r="Q5331" s="2">
        <f>AVERAGE(PerfRate[[#This Row],[EnvironmentSatisfaction]],PerfRate[[#This Row],[JobSatisfaction]],PerfRate[[#This Row],[RelationshipSatisfaction]])</f>
        <v>4</v>
      </c>
      <c r="R5331" s="2">
        <f>PerfRate[[#This Row],[ManagerRating]] - PerfRate[[#This Row],[SelfRating]]</f>
        <v>-1</v>
      </c>
    </row>
    <row r="5332" spans="1:18">
      <c r="A5332" s="2" t="s">
        <v>9639</v>
      </c>
      <c r="B5332" s="2" t="s">
        <v>2395</v>
      </c>
      <c r="C5332" s="1">
        <v>44595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  <c r="L5332" s="2" t="s">
        <v>11029</v>
      </c>
      <c r="M5332" s="2" t="s">
        <v>11028</v>
      </c>
      <c r="N5332" s="2" t="s">
        <v>11037</v>
      </c>
      <c r="O5332" s="2" t="s">
        <v>11038</v>
      </c>
      <c r="P5332" s="2" t="s">
        <v>11038</v>
      </c>
      <c r="Q5332" s="2">
        <f>AVERAGE(PerfRate[[#This Row],[EnvironmentSatisfaction]],PerfRate[[#This Row],[JobSatisfaction]],PerfRate[[#This Row],[RelationshipSatisfaction]])</f>
        <v>4.666666666666667</v>
      </c>
      <c r="R5332" s="2">
        <f>PerfRate[[#This Row],[ManagerRating]] - PerfRate[[#This Row],[SelfRating]]</f>
        <v>-1</v>
      </c>
    </row>
    <row r="5333" spans="1:18">
      <c r="A5333" s="2" t="s">
        <v>9640</v>
      </c>
      <c r="B5333" s="2" t="s">
        <v>3457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  <c r="L5333" s="2" t="s">
        <v>11030</v>
      </c>
      <c r="M5333" s="2" t="s">
        <v>11030</v>
      </c>
      <c r="N5333" s="2" t="s">
        <v>11036</v>
      </c>
      <c r="O5333" s="2" t="s">
        <v>11037</v>
      </c>
      <c r="P5333" s="2" t="s">
        <v>11038</v>
      </c>
      <c r="Q5333" s="2">
        <f>AVERAGE(PerfRate[[#This Row],[EnvironmentSatisfaction]],PerfRate[[#This Row],[JobSatisfaction]],PerfRate[[#This Row],[RelationshipSatisfaction]])</f>
        <v>4</v>
      </c>
      <c r="R5333" s="2">
        <f>PerfRate[[#This Row],[ManagerRating]] - PerfRate[[#This Row],[SelfRating]]</f>
        <v>0</v>
      </c>
    </row>
    <row r="5334" spans="1:18">
      <c r="A5334" s="2" t="s">
        <v>9641</v>
      </c>
      <c r="B5334" s="2" t="s">
        <v>2198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  <c r="L5334" s="2" t="s">
        <v>11029</v>
      </c>
      <c r="M5334" s="2" t="s">
        <v>11029</v>
      </c>
      <c r="N5334" s="2" t="s">
        <v>11036</v>
      </c>
      <c r="O5334" s="2" t="s">
        <v>11036</v>
      </c>
      <c r="P5334" s="2" t="s">
        <v>11035</v>
      </c>
      <c r="Q5334" s="2">
        <f>AVERAGE(PerfRate[[#This Row],[EnvironmentSatisfaction]],PerfRate[[#This Row],[JobSatisfaction]],PerfRate[[#This Row],[RelationshipSatisfaction]])</f>
        <v>2.6666666666666665</v>
      </c>
      <c r="R5334" s="2">
        <f>PerfRate[[#This Row],[ManagerRating]] - PerfRate[[#This Row],[SelfRating]]</f>
        <v>0</v>
      </c>
    </row>
    <row r="5335" spans="1:18">
      <c r="A5335" s="2" t="s">
        <v>9642</v>
      </c>
      <c r="B5335" s="2" t="s">
        <v>2775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  <c r="L5335" s="2" t="s">
        <v>11031</v>
      </c>
      <c r="M5335" s="2" t="s">
        <v>11030</v>
      </c>
      <c r="N5335" s="2" t="s">
        <v>11036</v>
      </c>
      <c r="O5335" s="2" t="s">
        <v>11038</v>
      </c>
      <c r="P5335" s="2" t="s">
        <v>11035</v>
      </c>
      <c r="Q5335" s="2">
        <f>AVERAGE(PerfRate[[#This Row],[EnvironmentSatisfaction]],PerfRate[[#This Row],[JobSatisfaction]],PerfRate[[#This Row],[RelationshipSatisfaction]])</f>
        <v>3.3333333333333335</v>
      </c>
      <c r="R5335" s="2">
        <f>PerfRate[[#This Row],[ManagerRating]] - PerfRate[[#This Row],[SelfRating]]</f>
        <v>-1</v>
      </c>
    </row>
    <row r="5336" spans="1:18">
      <c r="A5336" s="2" t="s">
        <v>9643</v>
      </c>
      <c r="B5336" s="2" t="s">
        <v>3488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  <c r="L5336" s="2" t="s">
        <v>11031</v>
      </c>
      <c r="M5336" s="2" t="s">
        <v>11031</v>
      </c>
      <c r="N5336" s="2" t="s">
        <v>11038</v>
      </c>
      <c r="O5336" s="2" t="s">
        <v>11035</v>
      </c>
      <c r="P5336" s="2" t="s">
        <v>11038</v>
      </c>
      <c r="Q5336" s="2">
        <f>AVERAGE(PerfRate[[#This Row],[EnvironmentSatisfaction]],PerfRate[[#This Row],[JobSatisfaction]],PerfRate[[#This Row],[RelationshipSatisfaction]])</f>
        <v>4</v>
      </c>
      <c r="R5336" s="2">
        <f>PerfRate[[#This Row],[ManagerRating]] - PerfRate[[#This Row],[SelfRating]]</f>
        <v>0</v>
      </c>
    </row>
    <row r="5337" spans="1:18">
      <c r="A5337" s="2" t="s">
        <v>9644</v>
      </c>
      <c r="B5337" s="2" t="s">
        <v>3166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  <c r="L5337" s="2" t="s">
        <v>11031</v>
      </c>
      <c r="M5337" s="2" t="s">
        <v>11031</v>
      </c>
      <c r="N5337" s="2" t="s">
        <v>11038</v>
      </c>
      <c r="O5337" s="2" t="s">
        <v>11037</v>
      </c>
      <c r="P5337" s="2" t="s">
        <v>11037</v>
      </c>
      <c r="Q5337" s="2">
        <f>AVERAGE(PerfRate[[#This Row],[EnvironmentSatisfaction]],PerfRate[[#This Row],[JobSatisfaction]],PerfRate[[#This Row],[RelationshipSatisfaction]])</f>
        <v>4.333333333333333</v>
      </c>
      <c r="R5337" s="2">
        <f>PerfRate[[#This Row],[ManagerRating]] - PerfRate[[#This Row],[SelfRating]]</f>
        <v>0</v>
      </c>
    </row>
    <row r="5338" spans="1:18">
      <c r="A5338" s="2" t="s">
        <v>9645</v>
      </c>
      <c r="B5338" s="2" t="s">
        <v>580</v>
      </c>
      <c r="C5338" s="1">
        <v>44654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  <c r="L5338" s="2" t="s">
        <v>11031</v>
      </c>
      <c r="M5338" s="2" t="s">
        <v>11030</v>
      </c>
      <c r="N5338" s="2" t="s">
        <v>11037</v>
      </c>
      <c r="O5338" s="2" t="s">
        <v>11036</v>
      </c>
      <c r="P5338" s="2" t="s">
        <v>11036</v>
      </c>
      <c r="Q5338" s="2">
        <f>AVERAGE(PerfRate[[#This Row],[EnvironmentSatisfaction]],PerfRate[[#This Row],[JobSatisfaction]],PerfRate[[#This Row],[RelationshipSatisfaction]])</f>
        <v>3.3333333333333335</v>
      </c>
      <c r="R5338" s="2">
        <f>PerfRate[[#This Row],[ManagerRating]] - PerfRate[[#This Row],[SelfRating]]</f>
        <v>-1</v>
      </c>
    </row>
    <row r="5339" spans="1:18">
      <c r="A5339" s="2" t="s">
        <v>9646</v>
      </c>
      <c r="B5339" s="2" t="s">
        <v>1409</v>
      </c>
      <c r="C5339" s="1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  <c r="L5339" s="2" t="s">
        <v>11030</v>
      </c>
      <c r="M5339" s="2" t="s">
        <v>11029</v>
      </c>
      <c r="N5339" s="2" t="s">
        <v>11038</v>
      </c>
      <c r="O5339" s="2" t="s">
        <v>11036</v>
      </c>
      <c r="P5339" s="2" t="s">
        <v>11035</v>
      </c>
      <c r="Q5339" s="2">
        <f>AVERAGE(PerfRate[[#This Row],[EnvironmentSatisfaction]],PerfRate[[#This Row],[JobSatisfaction]],PerfRate[[#This Row],[RelationshipSatisfaction]])</f>
        <v>3.3333333333333335</v>
      </c>
      <c r="R5339" s="2">
        <f>PerfRate[[#This Row],[ManagerRating]] - PerfRate[[#This Row],[SelfRating]]</f>
        <v>-1</v>
      </c>
    </row>
    <row r="5340" spans="1:18">
      <c r="A5340" s="2" t="s">
        <v>9647</v>
      </c>
      <c r="B5340" s="2" t="s">
        <v>3189</v>
      </c>
      <c r="C5340" s="1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  <c r="L5340" s="2" t="s">
        <v>11030</v>
      </c>
      <c r="M5340" s="2" t="s">
        <v>11030</v>
      </c>
      <c r="N5340" s="2" t="s">
        <v>11037</v>
      </c>
      <c r="O5340" s="2" t="s">
        <v>11035</v>
      </c>
      <c r="P5340" s="2" t="s">
        <v>11035</v>
      </c>
      <c r="Q5340" s="2">
        <f>AVERAGE(PerfRate[[#This Row],[EnvironmentSatisfaction]],PerfRate[[#This Row],[JobSatisfaction]],PerfRate[[#This Row],[RelationshipSatisfaction]])</f>
        <v>2.6666666666666665</v>
      </c>
      <c r="R5340" s="2">
        <f>PerfRate[[#This Row],[ManagerRating]] - PerfRate[[#This Row],[SelfRating]]</f>
        <v>0</v>
      </c>
    </row>
    <row r="5341" spans="1:18">
      <c r="A5341" s="2" t="s">
        <v>9648</v>
      </c>
      <c r="B5341" s="2" t="s">
        <v>1365</v>
      </c>
      <c r="C5341" s="1">
        <v>44654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  <c r="L5341" s="2" t="s">
        <v>11030</v>
      </c>
      <c r="M5341" s="2" t="s">
        <v>11029</v>
      </c>
      <c r="N5341" s="2" t="s">
        <v>11038</v>
      </c>
      <c r="O5341" s="2" t="s">
        <v>11036</v>
      </c>
      <c r="P5341" s="2" t="s">
        <v>11035</v>
      </c>
      <c r="Q5341" s="2">
        <f>AVERAGE(PerfRate[[#This Row],[EnvironmentSatisfaction]],PerfRate[[#This Row],[JobSatisfaction]],PerfRate[[#This Row],[RelationshipSatisfaction]])</f>
        <v>3.3333333333333335</v>
      </c>
      <c r="R5341" s="2">
        <f>PerfRate[[#This Row],[ManagerRating]] - PerfRate[[#This Row],[SelfRating]]</f>
        <v>-1</v>
      </c>
    </row>
    <row r="5342" spans="1:18">
      <c r="A5342" s="2" t="s">
        <v>9649</v>
      </c>
      <c r="B5342" s="2" t="s">
        <v>347</v>
      </c>
      <c r="C5342" s="1">
        <v>44654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  <c r="L5342" s="2" t="s">
        <v>11030</v>
      </c>
      <c r="M5342" s="2" t="s">
        <v>11030</v>
      </c>
      <c r="N5342" s="2" t="s">
        <v>11037</v>
      </c>
      <c r="O5342" s="2" t="s">
        <v>11036</v>
      </c>
      <c r="P5342" s="2" t="s">
        <v>11038</v>
      </c>
      <c r="Q5342" s="2">
        <f>AVERAGE(PerfRate[[#This Row],[EnvironmentSatisfaction]],PerfRate[[#This Row],[JobSatisfaction]],PerfRate[[#This Row],[RelationshipSatisfaction]])</f>
        <v>4</v>
      </c>
      <c r="R5342" s="2">
        <f>PerfRate[[#This Row],[ManagerRating]] - PerfRate[[#This Row],[SelfRating]]</f>
        <v>0</v>
      </c>
    </row>
    <row r="5343" spans="1:18">
      <c r="A5343" s="2" t="s">
        <v>9650</v>
      </c>
      <c r="B5343" s="2" t="s">
        <v>470</v>
      </c>
      <c r="C5343" s="1">
        <v>44654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  <c r="L5343" s="2" t="s">
        <v>11029</v>
      </c>
      <c r="M5343" s="2" t="s">
        <v>11028</v>
      </c>
      <c r="N5343" s="2" t="s">
        <v>11037</v>
      </c>
      <c r="O5343" s="2" t="s">
        <v>11037</v>
      </c>
      <c r="P5343" s="2" t="s">
        <v>11037</v>
      </c>
      <c r="Q5343" s="2">
        <f>AVERAGE(PerfRate[[#This Row],[EnvironmentSatisfaction]],PerfRate[[#This Row],[JobSatisfaction]],PerfRate[[#This Row],[RelationshipSatisfaction]])</f>
        <v>4</v>
      </c>
      <c r="R5343" s="2">
        <f>PerfRate[[#This Row],[ManagerRating]] - PerfRate[[#This Row],[SelfRating]]</f>
        <v>-1</v>
      </c>
    </row>
    <row r="5344" spans="1:18">
      <c r="A5344" s="2" t="s">
        <v>9651</v>
      </c>
      <c r="B5344" s="2" t="s">
        <v>1491</v>
      </c>
      <c r="C5344" s="1">
        <v>44654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  <c r="L5344" s="2" t="s">
        <v>11031</v>
      </c>
      <c r="M5344" s="2" t="s">
        <v>11031</v>
      </c>
      <c r="N5344" s="2" t="s">
        <v>11037</v>
      </c>
      <c r="O5344" s="2" t="s">
        <v>11038</v>
      </c>
      <c r="P5344" s="2" t="s">
        <v>11038</v>
      </c>
      <c r="Q5344" s="2">
        <f>AVERAGE(PerfRate[[#This Row],[EnvironmentSatisfaction]],PerfRate[[#This Row],[JobSatisfaction]],PerfRate[[#This Row],[RelationshipSatisfaction]])</f>
        <v>4.666666666666667</v>
      </c>
      <c r="R5344" s="2">
        <f>PerfRate[[#This Row],[ManagerRating]] - PerfRate[[#This Row],[SelfRating]]</f>
        <v>0</v>
      </c>
    </row>
    <row r="5345" spans="1:18">
      <c r="A5345" s="2" t="s">
        <v>9652</v>
      </c>
      <c r="B5345" s="2" t="s">
        <v>2287</v>
      </c>
      <c r="C5345" s="1">
        <v>44654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  <c r="L5345" s="2" t="s">
        <v>11030</v>
      </c>
      <c r="M5345" s="2" t="s">
        <v>11029</v>
      </c>
      <c r="N5345" s="2" t="s">
        <v>11037</v>
      </c>
      <c r="O5345" s="2" t="s">
        <v>11038</v>
      </c>
      <c r="P5345" s="2" t="s">
        <v>11037</v>
      </c>
      <c r="Q5345" s="2">
        <f>AVERAGE(PerfRate[[#This Row],[EnvironmentSatisfaction]],PerfRate[[#This Row],[JobSatisfaction]],PerfRate[[#This Row],[RelationshipSatisfaction]])</f>
        <v>4.333333333333333</v>
      </c>
      <c r="R5345" s="2">
        <f>PerfRate[[#This Row],[ManagerRating]] - PerfRate[[#This Row],[SelfRating]]</f>
        <v>-1</v>
      </c>
    </row>
    <row r="5346" spans="1:18">
      <c r="A5346" s="2" t="s">
        <v>9653</v>
      </c>
      <c r="B5346" s="2" t="s">
        <v>407</v>
      </c>
      <c r="C5346" s="1">
        <v>44684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  <c r="L5346" s="2" t="s">
        <v>11030</v>
      </c>
      <c r="M5346" s="2" t="s">
        <v>11030</v>
      </c>
      <c r="N5346" s="2" t="s">
        <v>11036</v>
      </c>
      <c r="O5346" s="2" t="s">
        <v>11035</v>
      </c>
      <c r="P5346" s="2" t="s">
        <v>11037</v>
      </c>
      <c r="Q5346" s="2">
        <f>AVERAGE(PerfRate[[#This Row],[EnvironmentSatisfaction]],PerfRate[[#This Row],[JobSatisfaction]],PerfRate[[#This Row],[RelationshipSatisfaction]])</f>
        <v>3</v>
      </c>
      <c r="R5346" s="2">
        <f>PerfRate[[#This Row],[ManagerRating]] - PerfRate[[#This Row],[SelfRating]]</f>
        <v>0</v>
      </c>
    </row>
    <row r="5347" spans="1:18">
      <c r="A5347" s="2" t="s">
        <v>9654</v>
      </c>
      <c r="B5347" s="2" t="s">
        <v>1082</v>
      </c>
      <c r="C5347" s="1">
        <v>44684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  <c r="L5347" s="2" t="s">
        <v>11030</v>
      </c>
      <c r="M5347" s="2" t="s">
        <v>11030</v>
      </c>
      <c r="N5347" s="2" t="s">
        <v>11037</v>
      </c>
      <c r="O5347" s="2" t="s">
        <v>11036</v>
      </c>
      <c r="P5347" s="2" t="s">
        <v>11038</v>
      </c>
      <c r="Q5347" s="2">
        <f>AVERAGE(PerfRate[[#This Row],[EnvironmentSatisfaction]],PerfRate[[#This Row],[JobSatisfaction]],PerfRate[[#This Row],[RelationshipSatisfaction]])</f>
        <v>4</v>
      </c>
      <c r="R5347" s="2">
        <f>PerfRate[[#This Row],[ManagerRating]] - PerfRate[[#This Row],[SelfRating]]</f>
        <v>0</v>
      </c>
    </row>
    <row r="5348" spans="1:18">
      <c r="A5348" s="2" t="s">
        <v>9655</v>
      </c>
      <c r="B5348" s="2" t="s">
        <v>2879</v>
      </c>
      <c r="C5348" s="1">
        <v>44684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  <c r="L5348" s="2" t="s">
        <v>11031</v>
      </c>
      <c r="M5348" s="2" t="s">
        <v>11030</v>
      </c>
      <c r="N5348" s="2" t="s">
        <v>11037</v>
      </c>
      <c r="O5348" s="2" t="s">
        <v>11038</v>
      </c>
      <c r="P5348" s="2" t="s">
        <v>11036</v>
      </c>
      <c r="Q5348" s="2">
        <f>AVERAGE(PerfRate[[#This Row],[EnvironmentSatisfaction]],PerfRate[[#This Row],[JobSatisfaction]],PerfRate[[#This Row],[RelationshipSatisfaction]])</f>
        <v>4</v>
      </c>
      <c r="R5348" s="2">
        <f>PerfRate[[#This Row],[ManagerRating]] - PerfRate[[#This Row],[SelfRating]]</f>
        <v>-1</v>
      </c>
    </row>
    <row r="5349" spans="1:18">
      <c r="A5349" s="2" t="s">
        <v>9656</v>
      </c>
      <c r="B5349" s="2" t="s">
        <v>1652</v>
      </c>
      <c r="C5349" s="1">
        <v>44684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  <c r="L5349" s="2" t="s">
        <v>11029</v>
      </c>
      <c r="M5349" s="2" t="s">
        <v>11029</v>
      </c>
      <c r="N5349" s="2" t="s">
        <v>11036</v>
      </c>
      <c r="O5349" s="2" t="s">
        <v>11038</v>
      </c>
      <c r="P5349" s="2" t="s">
        <v>11036</v>
      </c>
      <c r="Q5349" s="2">
        <f>AVERAGE(PerfRate[[#This Row],[EnvironmentSatisfaction]],PerfRate[[#This Row],[JobSatisfaction]],PerfRate[[#This Row],[RelationshipSatisfaction]])</f>
        <v>3.6666666666666665</v>
      </c>
      <c r="R5349" s="2">
        <f>PerfRate[[#This Row],[ManagerRating]] - PerfRate[[#This Row],[SelfRating]]</f>
        <v>0</v>
      </c>
    </row>
    <row r="5350" spans="1:18">
      <c r="A5350" s="2" t="s">
        <v>9657</v>
      </c>
      <c r="B5350" s="2" t="s">
        <v>2077</v>
      </c>
      <c r="C5350" s="1">
        <v>44684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  <c r="L5350" s="2" t="s">
        <v>11031</v>
      </c>
      <c r="M5350" s="2" t="s">
        <v>11031</v>
      </c>
      <c r="N5350" s="2" t="s">
        <v>11036</v>
      </c>
      <c r="O5350" s="2" t="s">
        <v>11038</v>
      </c>
      <c r="P5350" s="2" t="s">
        <v>11037</v>
      </c>
      <c r="Q5350" s="2">
        <f>AVERAGE(PerfRate[[#This Row],[EnvironmentSatisfaction]],PerfRate[[#This Row],[JobSatisfaction]],PerfRate[[#This Row],[RelationshipSatisfaction]])</f>
        <v>4</v>
      </c>
      <c r="R5350" s="2">
        <f>PerfRate[[#This Row],[ManagerRating]] - PerfRate[[#This Row],[SelfRating]]</f>
        <v>0</v>
      </c>
    </row>
    <row r="5351" spans="1:18">
      <c r="A5351" s="2" t="s">
        <v>9658</v>
      </c>
      <c r="B5351" s="2" t="s">
        <v>538</v>
      </c>
      <c r="C5351" s="1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  <c r="L5351" s="2" t="s">
        <v>11029</v>
      </c>
      <c r="M5351" s="2" t="s">
        <v>11029</v>
      </c>
      <c r="N5351" s="2" t="s">
        <v>11038</v>
      </c>
      <c r="O5351" s="2" t="s">
        <v>11038</v>
      </c>
      <c r="P5351" s="2" t="s">
        <v>11037</v>
      </c>
      <c r="Q5351" s="2">
        <f>AVERAGE(PerfRate[[#This Row],[EnvironmentSatisfaction]],PerfRate[[#This Row],[JobSatisfaction]],PerfRate[[#This Row],[RelationshipSatisfaction]])</f>
        <v>4.666666666666667</v>
      </c>
      <c r="R5351" s="2">
        <f>PerfRate[[#This Row],[ManagerRating]] - PerfRate[[#This Row],[SelfRating]]</f>
        <v>0</v>
      </c>
    </row>
    <row r="5352" spans="1:18">
      <c r="A5352" s="2" t="s">
        <v>9659</v>
      </c>
      <c r="B5352" s="2" t="s">
        <v>2478</v>
      </c>
      <c r="C5352" s="1">
        <v>44684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  <c r="L5352" s="2" t="s">
        <v>11030</v>
      </c>
      <c r="M5352" s="2" t="s">
        <v>11029</v>
      </c>
      <c r="N5352" s="2" t="s">
        <v>11036</v>
      </c>
      <c r="O5352" s="2" t="s">
        <v>11036</v>
      </c>
      <c r="P5352" s="2" t="s">
        <v>11038</v>
      </c>
      <c r="Q5352" s="2">
        <f>AVERAGE(PerfRate[[#This Row],[EnvironmentSatisfaction]],PerfRate[[#This Row],[JobSatisfaction]],PerfRate[[#This Row],[RelationshipSatisfaction]])</f>
        <v>3.6666666666666665</v>
      </c>
      <c r="R5352" s="2">
        <f>PerfRate[[#This Row],[ManagerRating]] - PerfRate[[#This Row],[SelfRating]]</f>
        <v>-1</v>
      </c>
    </row>
    <row r="5353" spans="1:18">
      <c r="A5353" s="2" t="s">
        <v>9660</v>
      </c>
      <c r="B5353" s="2" t="s">
        <v>838</v>
      </c>
      <c r="C5353" s="1">
        <v>44715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  <c r="L5353" s="2" t="s">
        <v>11030</v>
      </c>
      <c r="M5353" s="2" t="s">
        <v>11029</v>
      </c>
      <c r="N5353" s="2" t="s">
        <v>11036</v>
      </c>
      <c r="O5353" s="2" t="s">
        <v>11037</v>
      </c>
      <c r="P5353" s="2" t="s">
        <v>11038</v>
      </c>
      <c r="Q5353" s="2">
        <f>AVERAGE(PerfRate[[#This Row],[EnvironmentSatisfaction]],PerfRate[[#This Row],[JobSatisfaction]],PerfRate[[#This Row],[RelationshipSatisfaction]])</f>
        <v>4</v>
      </c>
      <c r="R5353" s="2">
        <f>PerfRate[[#This Row],[ManagerRating]] - PerfRate[[#This Row],[SelfRating]]</f>
        <v>-1</v>
      </c>
    </row>
    <row r="5354" spans="1:18">
      <c r="A5354" s="2" t="s">
        <v>9661</v>
      </c>
      <c r="B5354" s="2" t="s">
        <v>1674</v>
      </c>
      <c r="C5354" s="1">
        <v>44715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  <c r="L5354" s="2" t="s">
        <v>11031</v>
      </c>
      <c r="M5354" s="2" t="s">
        <v>11030</v>
      </c>
      <c r="N5354" s="2" t="s">
        <v>11038</v>
      </c>
      <c r="O5354" s="2" t="s">
        <v>11036</v>
      </c>
      <c r="P5354" s="2" t="s">
        <v>11037</v>
      </c>
      <c r="Q5354" s="2">
        <f>AVERAGE(PerfRate[[#This Row],[EnvironmentSatisfaction]],PerfRate[[#This Row],[JobSatisfaction]],PerfRate[[#This Row],[RelationshipSatisfaction]])</f>
        <v>4</v>
      </c>
      <c r="R5354" s="2">
        <f>PerfRate[[#This Row],[ManagerRating]] - PerfRate[[#This Row],[SelfRating]]</f>
        <v>-1</v>
      </c>
    </row>
    <row r="5355" spans="1:18">
      <c r="A5355" s="2" t="s">
        <v>9662</v>
      </c>
      <c r="B5355" s="2" t="s">
        <v>4183</v>
      </c>
      <c r="C5355" s="1">
        <v>44715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  <c r="L5355" s="2" t="s">
        <v>11031</v>
      </c>
      <c r="M5355" s="2" t="s">
        <v>11030</v>
      </c>
      <c r="N5355" s="2" t="s">
        <v>11036</v>
      </c>
      <c r="O5355" s="2" t="s">
        <v>11035</v>
      </c>
      <c r="P5355" s="2" t="s">
        <v>11038</v>
      </c>
      <c r="Q5355" s="2">
        <f>AVERAGE(PerfRate[[#This Row],[EnvironmentSatisfaction]],PerfRate[[#This Row],[JobSatisfaction]],PerfRate[[#This Row],[RelationshipSatisfaction]])</f>
        <v>3.3333333333333335</v>
      </c>
      <c r="R5355" s="2">
        <f>PerfRate[[#This Row],[ManagerRating]] - PerfRate[[#This Row],[SelfRating]]</f>
        <v>-1</v>
      </c>
    </row>
    <row r="5356" spans="1:18">
      <c r="A5356" s="2" t="s">
        <v>9663</v>
      </c>
      <c r="B5356" s="2" t="s">
        <v>2222</v>
      </c>
      <c r="C5356" s="1">
        <v>44715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  <c r="L5356" s="2" t="s">
        <v>11031</v>
      </c>
      <c r="M5356" s="2" t="s">
        <v>11030</v>
      </c>
      <c r="N5356" s="2" t="s">
        <v>11038</v>
      </c>
      <c r="O5356" s="2" t="s">
        <v>11038</v>
      </c>
      <c r="P5356" s="2" t="s">
        <v>11038</v>
      </c>
      <c r="Q5356" s="2">
        <f>AVERAGE(PerfRate[[#This Row],[EnvironmentSatisfaction]],PerfRate[[#This Row],[JobSatisfaction]],PerfRate[[#This Row],[RelationshipSatisfaction]])</f>
        <v>5</v>
      </c>
      <c r="R5356" s="2">
        <f>PerfRate[[#This Row],[ManagerRating]] - PerfRate[[#This Row],[SelfRating]]</f>
        <v>-1</v>
      </c>
    </row>
    <row r="5357" spans="1:18">
      <c r="A5357" s="2" t="s">
        <v>9664</v>
      </c>
      <c r="B5357" s="2" t="s">
        <v>3025</v>
      </c>
      <c r="C5357" s="1">
        <v>44715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  <c r="L5357" s="2" t="s">
        <v>11029</v>
      </c>
      <c r="M5357" s="2" t="s">
        <v>11028</v>
      </c>
      <c r="N5357" s="2" t="s">
        <v>11036</v>
      </c>
      <c r="O5357" s="2" t="s">
        <v>11036</v>
      </c>
      <c r="P5357" s="2" t="s">
        <v>11035</v>
      </c>
      <c r="Q5357" s="2">
        <f>AVERAGE(PerfRate[[#This Row],[EnvironmentSatisfaction]],PerfRate[[#This Row],[JobSatisfaction]],PerfRate[[#This Row],[RelationshipSatisfaction]])</f>
        <v>2.6666666666666665</v>
      </c>
      <c r="R5357" s="2">
        <f>PerfRate[[#This Row],[ManagerRating]] - PerfRate[[#This Row],[SelfRating]]</f>
        <v>-1</v>
      </c>
    </row>
    <row r="5358" spans="1:18">
      <c r="A5358" s="2" t="s">
        <v>9665</v>
      </c>
      <c r="B5358" s="2" t="s">
        <v>1359</v>
      </c>
      <c r="C5358" s="1">
        <v>44745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  <c r="L5358" s="2" t="s">
        <v>11029</v>
      </c>
      <c r="M5358" s="2" t="s">
        <v>11029</v>
      </c>
      <c r="N5358" s="2" t="s">
        <v>11036</v>
      </c>
      <c r="O5358" s="2" t="s">
        <v>11037</v>
      </c>
      <c r="P5358" s="2" t="s">
        <v>11037</v>
      </c>
      <c r="Q5358" s="2">
        <f>AVERAGE(PerfRate[[#This Row],[EnvironmentSatisfaction]],PerfRate[[#This Row],[JobSatisfaction]],PerfRate[[#This Row],[RelationshipSatisfaction]])</f>
        <v>3.6666666666666665</v>
      </c>
      <c r="R5358" s="2">
        <f>PerfRate[[#This Row],[ManagerRating]] - PerfRate[[#This Row],[SelfRating]]</f>
        <v>0</v>
      </c>
    </row>
    <row r="5359" spans="1:18">
      <c r="A5359" s="2" t="s">
        <v>9666</v>
      </c>
      <c r="B5359" s="2" t="s">
        <v>800</v>
      </c>
      <c r="C5359" s="1">
        <v>44776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  <c r="L5359" s="2" t="s">
        <v>11031</v>
      </c>
      <c r="M5359" s="2" t="s">
        <v>11031</v>
      </c>
      <c r="N5359" s="2" t="s">
        <v>11037</v>
      </c>
      <c r="O5359" s="2" t="s">
        <v>11038</v>
      </c>
      <c r="P5359" s="2" t="s">
        <v>11038</v>
      </c>
      <c r="Q5359" s="2">
        <f>AVERAGE(PerfRate[[#This Row],[EnvironmentSatisfaction]],PerfRate[[#This Row],[JobSatisfaction]],PerfRate[[#This Row],[RelationshipSatisfaction]])</f>
        <v>4.666666666666667</v>
      </c>
      <c r="R5359" s="2">
        <f>PerfRate[[#This Row],[ManagerRating]] - PerfRate[[#This Row],[SelfRating]]</f>
        <v>0</v>
      </c>
    </row>
    <row r="5360" spans="1:18">
      <c r="A5360" s="2" t="s">
        <v>9667</v>
      </c>
      <c r="B5360" s="2" t="s">
        <v>192</v>
      </c>
      <c r="C5360" s="1">
        <v>44776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  <c r="L5360" s="2" t="s">
        <v>11029</v>
      </c>
      <c r="M5360" s="2" t="s">
        <v>11028</v>
      </c>
      <c r="N5360" s="2" t="s">
        <v>11038</v>
      </c>
      <c r="O5360" s="2" t="s">
        <v>11036</v>
      </c>
      <c r="P5360" s="2" t="s">
        <v>11037</v>
      </c>
      <c r="Q5360" s="2">
        <f>AVERAGE(PerfRate[[#This Row],[EnvironmentSatisfaction]],PerfRate[[#This Row],[JobSatisfaction]],PerfRate[[#This Row],[RelationshipSatisfaction]])</f>
        <v>4</v>
      </c>
      <c r="R5360" s="2">
        <f>PerfRate[[#This Row],[ManagerRating]] - PerfRate[[#This Row],[SelfRating]]</f>
        <v>-1</v>
      </c>
    </row>
    <row r="5361" spans="1:18">
      <c r="A5361" s="2" t="s">
        <v>9668</v>
      </c>
      <c r="B5361" s="2" t="s">
        <v>571</v>
      </c>
      <c r="C5361" s="1">
        <v>44776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  <c r="L5361" s="2" t="s">
        <v>11029</v>
      </c>
      <c r="M5361" s="2" t="s">
        <v>11028</v>
      </c>
      <c r="N5361" s="2" t="s">
        <v>11036</v>
      </c>
      <c r="O5361" s="2" t="s">
        <v>11035</v>
      </c>
      <c r="P5361" s="2" t="s">
        <v>11038</v>
      </c>
      <c r="Q5361" s="2">
        <f>AVERAGE(PerfRate[[#This Row],[EnvironmentSatisfaction]],PerfRate[[#This Row],[JobSatisfaction]],PerfRate[[#This Row],[RelationshipSatisfaction]])</f>
        <v>3.3333333333333335</v>
      </c>
      <c r="R5361" s="2">
        <f>PerfRate[[#This Row],[ManagerRating]] - PerfRate[[#This Row],[SelfRating]]</f>
        <v>-1</v>
      </c>
    </row>
    <row r="5362" spans="1:18">
      <c r="A5362" s="2" t="s">
        <v>9669</v>
      </c>
      <c r="B5362" s="2" t="s">
        <v>50</v>
      </c>
      <c r="C5362" s="1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  <c r="L5362" s="2" t="s">
        <v>11031</v>
      </c>
      <c r="M5362" s="2" t="s">
        <v>11031</v>
      </c>
      <c r="N5362" s="2" t="s">
        <v>11038</v>
      </c>
      <c r="O5362" s="2" t="s">
        <v>11037</v>
      </c>
      <c r="P5362" s="2" t="s">
        <v>11036</v>
      </c>
      <c r="Q5362" s="2">
        <f>AVERAGE(PerfRate[[#This Row],[EnvironmentSatisfaction]],PerfRate[[#This Row],[JobSatisfaction]],PerfRate[[#This Row],[RelationshipSatisfaction]])</f>
        <v>4</v>
      </c>
      <c r="R5362" s="2">
        <f>PerfRate[[#This Row],[ManagerRating]] - PerfRate[[#This Row],[SelfRating]]</f>
        <v>0</v>
      </c>
    </row>
    <row r="5363" spans="1:18">
      <c r="A5363" s="2" t="s">
        <v>9670</v>
      </c>
      <c r="B5363" s="2" t="s">
        <v>2762</v>
      </c>
      <c r="C5363" s="1">
        <v>44776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  <c r="L5363" s="2" t="s">
        <v>11029</v>
      </c>
      <c r="M5363" s="2" t="s">
        <v>11029</v>
      </c>
      <c r="N5363" s="2" t="s">
        <v>11038</v>
      </c>
      <c r="O5363" s="2" t="s">
        <v>11037</v>
      </c>
      <c r="P5363" s="2" t="s">
        <v>11038</v>
      </c>
      <c r="Q5363" s="2">
        <f>AVERAGE(PerfRate[[#This Row],[EnvironmentSatisfaction]],PerfRate[[#This Row],[JobSatisfaction]],PerfRate[[#This Row],[RelationshipSatisfaction]])</f>
        <v>4.666666666666667</v>
      </c>
      <c r="R5363" s="2">
        <f>PerfRate[[#This Row],[ManagerRating]] - PerfRate[[#This Row],[SelfRating]]</f>
        <v>0</v>
      </c>
    </row>
    <row r="5364" spans="1:18">
      <c r="A5364" s="2" t="s">
        <v>9671</v>
      </c>
      <c r="B5364" s="2" t="s">
        <v>4236</v>
      </c>
      <c r="C5364" s="1">
        <v>44807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  <c r="L5364" s="2" t="s">
        <v>11030</v>
      </c>
      <c r="M5364" s="2" t="s">
        <v>11029</v>
      </c>
      <c r="N5364" s="2" t="s">
        <v>11038</v>
      </c>
      <c r="O5364" s="2" t="s">
        <v>11036</v>
      </c>
      <c r="P5364" s="2" t="s">
        <v>11038</v>
      </c>
      <c r="Q5364" s="2">
        <f>AVERAGE(PerfRate[[#This Row],[EnvironmentSatisfaction]],PerfRate[[#This Row],[JobSatisfaction]],PerfRate[[#This Row],[RelationshipSatisfaction]])</f>
        <v>4.333333333333333</v>
      </c>
      <c r="R5364" s="2">
        <f>PerfRate[[#This Row],[ManagerRating]] - PerfRate[[#This Row],[SelfRating]]</f>
        <v>-1</v>
      </c>
    </row>
    <row r="5365" spans="1:18">
      <c r="A5365" s="2" t="s">
        <v>9672</v>
      </c>
      <c r="B5365" s="2" t="s">
        <v>2566</v>
      </c>
      <c r="C5365" s="1">
        <v>44807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  <c r="L5365" s="2" t="s">
        <v>11030</v>
      </c>
      <c r="M5365" s="2" t="s">
        <v>11030</v>
      </c>
      <c r="N5365" s="2" t="s">
        <v>11038</v>
      </c>
      <c r="O5365" s="2" t="s">
        <v>11036</v>
      </c>
      <c r="P5365" s="2" t="s">
        <v>11037</v>
      </c>
      <c r="Q5365" s="2">
        <f>AVERAGE(PerfRate[[#This Row],[EnvironmentSatisfaction]],PerfRate[[#This Row],[JobSatisfaction]],PerfRate[[#This Row],[RelationshipSatisfaction]])</f>
        <v>4</v>
      </c>
      <c r="R5365" s="2">
        <f>PerfRate[[#This Row],[ManagerRating]] - PerfRate[[#This Row],[SelfRating]]</f>
        <v>0</v>
      </c>
    </row>
    <row r="5366" spans="1:18">
      <c r="A5366" s="2" t="s">
        <v>9673</v>
      </c>
      <c r="B5366" s="2" t="s">
        <v>2678</v>
      </c>
      <c r="C5366" s="1">
        <v>44807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  <c r="L5366" s="2" t="s">
        <v>11029</v>
      </c>
      <c r="M5366" s="2" t="s">
        <v>11028</v>
      </c>
      <c r="N5366" s="2" t="s">
        <v>11036</v>
      </c>
      <c r="O5366" s="2" t="s">
        <v>11038</v>
      </c>
      <c r="P5366" s="2" t="s">
        <v>11035</v>
      </c>
      <c r="Q5366" s="2">
        <f>AVERAGE(PerfRate[[#This Row],[EnvironmentSatisfaction]],PerfRate[[#This Row],[JobSatisfaction]],PerfRate[[#This Row],[RelationshipSatisfaction]])</f>
        <v>3.3333333333333335</v>
      </c>
      <c r="R5366" s="2">
        <f>PerfRate[[#This Row],[ManagerRating]] - PerfRate[[#This Row],[SelfRating]]</f>
        <v>-1</v>
      </c>
    </row>
    <row r="5367" spans="1:18">
      <c r="A5367" s="2" t="s">
        <v>9674</v>
      </c>
      <c r="B5367" s="2" t="s">
        <v>3283</v>
      </c>
      <c r="C5367" s="1">
        <v>44807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  <c r="L5367" s="2" t="s">
        <v>11031</v>
      </c>
      <c r="M5367" s="2" t="s">
        <v>11030</v>
      </c>
      <c r="N5367" s="2" t="s">
        <v>11036</v>
      </c>
      <c r="O5367" s="2" t="s">
        <v>11038</v>
      </c>
      <c r="P5367" s="2" t="s">
        <v>11038</v>
      </c>
      <c r="Q5367" s="2">
        <f>AVERAGE(PerfRate[[#This Row],[EnvironmentSatisfaction]],PerfRate[[#This Row],[JobSatisfaction]],PerfRate[[#This Row],[RelationshipSatisfaction]])</f>
        <v>4.333333333333333</v>
      </c>
      <c r="R5367" s="2">
        <f>PerfRate[[#This Row],[ManagerRating]] - PerfRate[[#This Row],[SelfRating]]</f>
        <v>-1</v>
      </c>
    </row>
    <row r="5368" spans="1:18">
      <c r="A5368" s="2" t="s">
        <v>9675</v>
      </c>
      <c r="B5368" s="2" t="s">
        <v>1939</v>
      </c>
      <c r="C5368" s="1">
        <v>44837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  <c r="L5368" s="2" t="s">
        <v>11031</v>
      </c>
      <c r="M5368" s="2" t="s">
        <v>11031</v>
      </c>
      <c r="N5368" s="2" t="s">
        <v>11037</v>
      </c>
      <c r="O5368" s="2" t="s">
        <v>11038</v>
      </c>
      <c r="P5368" s="2" t="s">
        <v>11038</v>
      </c>
      <c r="Q5368" s="2">
        <f>AVERAGE(PerfRate[[#This Row],[EnvironmentSatisfaction]],PerfRate[[#This Row],[JobSatisfaction]],PerfRate[[#This Row],[RelationshipSatisfaction]])</f>
        <v>4.666666666666667</v>
      </c>
      <c r="R5368" s="2">
        <f>PerfRate[[#This Row],[ManagerRating]] - PerfRate[[#This Row],[SelfRating]]</f>
        <v>0</v>
      </c>
    </row>
    <row r="5369" spans="1:18">
      <c r="A5369" s="2" t="s">
        <v>9676</v>
      </c>
      <c r="B5369" s="2" t="s">
        <v>3425</v>
      </c>
      <c r="C5369" s="1">
        <v>44837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  <c r="L5369" s="2" t="s">
        <v>11031</v>
      </c>
      <c r="M5369" s="2" t="s">
        <v>11030</v>
      </c>
      <c r="N5369" s="2" t="s">
        <v>11036</v>
      </c>
      <c r="O5369" s="2" t="s">
        <v>11035</v>
      </c>
      <c r="P5369" s="2" t="s">
        <v>11035</v>
      </c>
      <c r="Q5369" s="2">
        <f>AVERAGE(PerfRate[[#This Row],[EnvironmentSatisfaction]],PerfRate[[#This Row],[JobSatisfaction]],PerfRate[[#This Row],[RelationshipSatisfaction]])</f>
        <v>2.3333333333333335</v>
      </c>
      <c r="R5369" s="2">
        <f>PerfRate[[#This Row],[ManagerRating]] - PerfRate[[#This Row],[SelfRating]]</f>
        <v>-1</v>
      </c>
    </row>
    <row r="5370" spans="1:18">
      <c r="A5370" s="2" t="s">
        <v>9677</v>
      </c>
      <c r="B5370" s="2" t="s">
        <v>2387</v>
      </c>
      <c r="C5370" s="1">
        <v>44837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  <c r="L5370" s="2" t="s">
        <v>11029</v>
      </c>
      <c r="M5370" s="2" t="s">
        <v>11029</v>
      </c>
      <c r="N5370" s="2" t="s">
        <v>11038</v>
      </c>
      <c r="O5370" s="2" t="s">
        <v>11035</v>
      </c>
      <c r="P5370" s="2" t="s">
        <v>11037</v>
      </c>
      <c r="Q5370" s="2">
        <f>AVERAGE(PerfRate[[#This Row],[EnvironmentSatisfaction]],PerfRate[[#This Row],[JobSatisfaction]],PerfRate[[#This Row],[RelationshipSatisfaction]])</f>
        <v>3.6666666666666665</v>
      </c>
      <c r="R5370" s="2">
        <f>PerfRate[[#This Row],[ManagerRating]] - PerfRate[[#This Row],[SelfRating]]</f>
        <v>0</v>
      </c>
    </row>
    <row r="5371" spans="1:18">
      <c r="A5371" s="2" t="s">
        <v>9678</v>
      </c>
      <c r="B5371" s="2" t="s">
        <v>3454</v>
      </c>
      <c r="C5371" s="1">
        <v>44868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  <c r="L5371" s="2" t="s">
        <v>11031</v>
      </c>
      <c r="M5371" s="2" t="s">
        <v>11030</v>
      </c>
      <c r="N5371" s="2" t="s">
        <v>11037</v>
      </c>
      <c r="O5371" s="2" t="s">
        <v>11035</v>
      </c>
      <c r="P5371" s="2" t="s">
        <v>11036</v>
      </c>
      <c r="Q5371" s="2">
        <f>AVERAGE(PerfRate[[#This Row],[EnvironmentSatisfaction]],PerfRate[[#This Row],[JobSatisfaction]],PerfRate[[#This Row],[RelationshipSatisfaction]])</f>
        <v>3</v>
      </c>
      <c r="R5371" s="2">
        <f>PerfRate[[#This Row],[ManagerRating]] - PerfRate[[#This Row],[SelfRating]]</f>
        <v>-1</v>
      </c>
    </row>
    <row r="5372" spans="1:18">
      <c r="A5372" s="2" t="s">
        <v>9679</v>
      </c>
      <c r="B5372" s="2" t="s">
        <v>365</v>
      </c>
      <c r="C5372" s="1">
        <v>44898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  <c r="L5372" s="2" t="s">
        <v>11029</v>
      </c>
      <c r="M5372" s="2" t="s">
        <v>11029</v>
      </c>
      <c r="N5372" s="2" t="s">
        <v>11038</v>
      </c>
      <c r="O5372" s="2" t="s">
        <v>11036</v>
      </c>
      <c r="P5372" s="2" t="s">
        <v>11035</v>
      </c>
      <c r="Q5372" s="2">
        <f>AVERAGE(PerfRate[[#This Row],[EnvironmentSatisfaction]],PerfRate[[#This Row],[JobSatisfaction]],PerfRate[[#This Row],[RelationshipSatisfaction]])</f>
        <v>3.3333333333333335</v>
      </c>
      <c r="R5372" s="2">
        <f>PerfRate[[#This Row],[ManagerRating]] - PerfRate[[#This Row],[SelfRating]]</f>
        <v>0</v>
      </c>
    </row>
    <row r="5373" spans="1:18">
      <c r="A5373" s="2" t="s">
        <v>9680</v>
      </c>
      <c r="B5373" s="2" t="s">
        <v>175</v>
      </c>
      <c r="C5373" s="1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  <c r="L5373" s="2" t="s">
        <v>11030</v>
      </c>
      <c r="M5373" s="2" t="s">
        <v>11029</v>
      </c>
      <c r="N5373" s="2" t="s">
        <v>11038</v>
      </c>
      <c r="O5373" s="2" t="s">
        <v>11037</v>
      </c>
      <c r="P5373" s="2" t="s">
        <v>11036</v>
      </c>
      <c r="Q5373" s="2">
        <f>AVERAGE(PerfRate[[#This Row],[EnvironmentSatisfaction]],PerfRate[[#This Row],[JobSatisfaction]],PerfRate[[#This Row],[RelationshipSatisfaction]])</f>
        <v>4</v>
      </c>
      <c r="R5373" s="2">
        <f>PerfRate[[#This Row],[ManagerRating]] - PerfRate[[#This Row],[SelfRating]]</f>
        <v>-1</v>
      </c>
    </row>
    <row r="5374" spans="1:18">
      <c r="A5374" s="2" t="s">
        <v>9681</v>
      </c>
      <c r="B5374" s="2" t="s">
        <v>823</v>
      </c>
      <c r="C5374" s="1">
        <v>44898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  <c r="L5374" s="2" t="s">
        <v>11030</v>
      </c>
      <c r="M5374" s="2" t="s">
        <v>11029</v>
      </c>
      <c r="N5374" s="2" t="s">
        <v>11038</v>
      </c>
      <c r="O5374" s="2" t="s">
        <v>11037</v>
      </c>
      <c r="P5374" s="2" t="s">
        <v>11035</v>
      </c>
      <c r="Q5374" s="2">
        <f>AVERAGE(PerfRate[[#This Row],[EnvironmentSatisfaction]],PerfRate[[#This Row],[JobSatisfaction]],PerfRate[[#This Row],[RelationshipSatisfaction]])</f>
        <v>3.6666666666666665</v>
      </c>
      <c r="R5374" s="2">
        <f>PerfRate[[#This Row],[ManagerRating]] - PerfRate[[#This Row],[SelfRating]]</f>
        <v>-1</v>
      </c>
    </row>
    <row r="5375" spans="1:18">
      <c r="A5375" s="2" t="s">
        <v>9682</v>
      </c>
      <c r="B5375" s="2" t="s">
        <v>577</v>
      </c>
      <c r="C5375" s="1">
        <v>44898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  <c r="L5375" s="2" t="s">
        <v>11029</v>
      </c>
      <c r="M5375" s="2" t="s">
        <v>11028</v>
      </c>
      <c r="N5375" s="2" t="s">
        <v>11038</v>
      </c>
      <c r="O5375" s="2" t="s">
        <v>11035</v>
      </c>
      <c r="P5375" s="2" t="s">
        <v>11037</v>
      </c>
      <c r="Q5375" s="2">
        <f>AVERAGE(PerfRate[[#This Row],[EnvironmentSatisfaction]],PerfRate[[#This Row],[JobSatisfaction]],PerfRate[[#This Row],[RelationshipSatisfaction]])</f>
        <v>3.6666666666666665</v>
      </c>
      <c r="R5375" s="2">
        <f>PerfRate[[#This Row],[ManagerRating]] - PerfRate[[#This Row],[SelfRating]]</f>
        <v>-1</v>
      </c>
    </row>
    <row r="5376" spans="1:18">
      <c r="A5376" s="2" t="s">
        <v>9683</v>
      </c>
      <c r="B5376" s="2" t="s">
        <v>2605</v>
      </c>
      <c r="C5376" s="1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  <c r="L5376" s="2" t="s">
        <v>11031</v>
      </c>
      <c r="M5376" s="2" t="s">
        <v>11031</v>
      </c>
      <c r="N5376" s="2" t="s">
        <v>11036</v>
      </c>
      <c r="O5376" s="2" t="s">
        <v>11037</v>
      </c>
      <c r="P5376" s="2" t="s">
        <v>11038</v>
      </c>
      <c r="Q5376" s="2">
        <f>AVERAGE(PerfRate[[#This Row],[EnvironmentSatisfaction]],PerfRate[[#This Row],[JobSatisfaction]],PerfRate[[#This Row],[RelationshipSatisfaction]])</f>
        <v>4</v>
      </c>
      <c r="R5376" s="2">
        <f>PerfRate[[#This Row],[ManagerRating]] - PerfRate[[#This Row],[SelfRating]]</f>
        <v>0</v>
      </c>
    </row>
    <row r="5377" spans="1:18">
      <c r="A5377" s="2" t="s">
        <v>9684</v>
      </c>
      <c r="B5377" s="2" t="s">
        <v>520</v>
      </c>
      <c r="C5377" s="1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  <c r="L5377" s="2" t="s">
        <v>11031</v>
      </c>
      <c r="M5377" s="2" t="s">
        <v>11031</v>
      </c>
      <c r="N5377" s="2" t="s">
        <v>11037</v>
      </c>
      <c r="O5377" s="2" t="s">
        <v>11036</v>
      </c>
      <c r="P5377" s="2" t="s">
        <v>11035</v>
      </c>
      <c r="Q5377" s="2">
        <f>AVERAGE(PerfRate[[#This Row],[EnvironmentSatisfaction]],PerfRate[[#This Row],[JobSatisfaction]],PerfRate[[#This Row],[RelationshipSatisfaction]])</f>
        <v>3</v>
      </c>
      <c r="R5377" s="2">
        <f>PerfRate[[#This Row],[ManagerRating]] - PerfRate[[#This Row],[SelfRating]]</f>
        <v>0</v>
      </c>
    </row>
    <row r="5378" spans="1:18">
      <c r="A5378" s="2" t="s">
        <v>9685</v>
      </c>
      <c r="B5378" s="2" t="s">
        <v>302</v>
      </c>
      <c r="C5378" s="1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  <c r="L5378" s="2" t="s">
        <v>11030</v>
      </c>
      <c r="M5378" s="2" t="s">
        <v>11030</v>
      </c>
      <c r="N5378" s="2" t="s">
        <v>11037</v>
      </c>
      <c r="O5378" s="2" t="s">
        <v>11036</v>
      </c>
      <c r="P5378" s="2" t="s">
        <v>11036</v>
      </c>
      <c r="Q5378" s="2">
        <f>AVERAGE(PerfRate[[#This Row],[EnvironmentSatisfaction]],PerfRate[[#This Row],[JobSatisfaction]],PerfRate[[#This Row],[RelationshipSatisfaction]])</f>
        <v>3.3333333333333335</v>
      </c>
      <c r="R5378" s="2">
        <f>PerfRate[[#This Row],[ManagerRating]] - PerfRate[[#This Row],[SelfRating]]</f>
        <v>0</v>
      </c>
    </row>
    <row r="5379" spans="1:18">
      <c r="A5379" s="2" t="s">
        <v>9686</v>
      </c>
      <c r="B5379" s="2" t="s">
        <v>1590</v>
      </c>
      <c r="C5379" s="1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  <c r="L5379" s="2" t="s">
        <v>11029</v>
      </c>
      <c r="M5379" s="2" t="s">
        <v>11029</v>
      </c>
      <c r="N5379" s="2" t="s">
        <v>11037</v>
      </c>
      <c r="O5379" s="2" t="s">
        <v>11036</v>
      </c>
      <c r="P5379" s="2" t="s">
        <v>11036</v>
      </c>
      <c r="Q5379" s="2">
        <f>AVERAGE(PerfRate[[#This Row],[EnvironmentSatisfaction]],PerfRate[[#This Row],[JobSatisfaction]],PerfRate[[#This Row],[RelationshipSatisfaction]])</f>
        <v>3.3333333333333335</v>
      </c>
      <c r="R5379" s="2">
        <f>PerfRate[[#This Row],[ManagerRating]] - PerfRate[[#This Row],[SelfRating]]</f>
        <v>0</v>
      </c>
    </row>
    <row r="5380" spans="1:18">
      <c r="A5380" s="2" t="s">
        <v>9687</v>
      </c>
      <c r="B5380" s="2" t="s">
        <v>1804</v>
      </c>
      <c r="C5380" s="1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  <c r="L5380" s="2" t="s">
        <v>11031</v>
      </c>
      <c r="M5380" s="2" t="s">
        <v>11031</v>
      </c>
      <c r="N5380" s="2" t="s">
        <v>11036</v>
      </c>
      <c r="O5380" s="2" t="s">
        <v>11035</v>
      </c>
      <c r="P5380" s="2" t="s">
        <v>11035</v>
      </c>
      <c r="Q5380" s="2">
        <f>AVERAGE(PerfRate[[#This Row],[EnvironmentSatisfaction]],PerfRate[[#This Row],[JobSatisfaction]],PerfRate[[#This Row],[RelationshipSatisfaction]])</f>
        <v>2.3333333333333335</v>
      </c>
      <c r="R5380" s="2">
        <f>PerfRate[[#This Row],[ManagerRating]] - PerfRate[[#This Row],[SelfRating]]</f>
        <v>0</v>
      </c>
    </row>
    <row r="5381" spans="1:18">
      <c r="A5381" s="2" t="s">
        <v>9688</v>
      </c>
      <c r="B5381" s="2" t="s">
        <v>1283</v>
      </c>
      <c r="C5381" s="1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  <c r="L5381" s="2" t="s">
        <v>11029</v>
      </c>
      <c r="M5381" s="2" t="s">
        <v>11029</v>
      </c>
      <c r="N5381" s="2" t="s">
        <v>11037</v>
      </c>
      <c r="O5381" s="2" t="s">
        <v>11036</v>
      </c>
      <c r="P5381" s="2" t="s">
        <v>11034</v>
      </c>
      <c r="Q5381" s="2">
        <f>AVERAGE(PerfRate[[#This Row],[EnvironmentSatisfaction]],PerfRate[[#This Row],[JobSatisfaction]],PerfRate[[#This Row],[RelationshipSatisfaction]])</f>
        <v>2.6666666666666665</v>
      </c>
      <c r="R5381" s="2">
        <f>PerfRate[[#This Row],[ManagerRating]] - PerfRate[[#This Row],[SelfRating]]</f>
        <v>0</v>
      </c>
    </row>
    <row r="5382" spans="1:18">
      <c r="A5382" s="2" t="s">
        <v>9689</v>
      </c>
      <c r="B5382" s="2" t="s">
        <v>2106</v>
      </c>
      <c r="C5382" s="1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  <c r="L5382" s="2" t="s">
        <v>11029</v>
      </c>
      <c r="M5382" s="2" t="s">
        <v>11028</v>
      </c>
      <c r="N5382" s="2" t="s">
        <v>11036</v>
      </c>
      <c r="O5382" s="2" t="s">
        <v>11037</v>
      </c>
      <c r="P5382" s="2" t="s">
        <v>11034</v>
      </c>
      <c r="Q5382" s="2">
        <f>AVERAGE(PerfRate[[#This Row],[EnvironmentSatisfaction]],PerfRate[[#This Row],[JobSatisfaction]],PerfRate[[#This Row],[RelationshipSatisfaction]])</f>
        <v>2.6666666666666665</v>
      </c>
      <c r="R5382" s="2">
        <f>PerfRate[[#This Row],[ManagerRating]] - PerfRate[[#This Row],[SelfRating]]</f>
        <v>-1</v>
      </c>
    </row>
    <row r="5383" spans="1:18">
      <c r="A5383" s="2" t="s">
        <v>9690</v>
      </c>
      <c r="B5383" s="2" t="s">
        <v>586</v>
      </c>
      <c r="C5383" s="1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  <c r="L5383" s="2" t="s">
        <v>11030</v>
      </c>
      <c r="M5383" s="2" t="s">
        <v>11029</v>
      </c>
      <c r="N5383" s="2" t="s">
        <v>11035</v>
      </c>
      <c r="O5383" s="2" t="s">
        <v>11037</v>
      </c>
      <c r="P5383" s="2" t="s">
        <v>11036</v>
      </c>
      <c r="Q5383" s="2">
        <f>AVERAGE(PerfRate[[#This Row],[EnvironmentSatisfaction]],PerfRate[[#This Row],[JobSatisfaction]],PerfRate[[#This Row],[RelationshipSatisfaction]])</f>
        <v>3</v>
      </c>
      <c r="R5383" s="2">
        <f>PerfRate[[#This Row],[ManagerRating]] - PerfRate[[#This Row],[SelfRating]]</f>
        <v>-1</v>
      </c>
    </row>
    <row r="5384" spans="1:18">
      <c r="A5384" s="2" t="s">
        <v>9691</v>
      </c>
      <c r="B5384" s="2" t="s">
        <v>4072</v>
      </c>
      <c r="C5384" s="1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  <c r="L5384" s="2" t="s">
        <v>11030</v>
      </c>
      <c r="M5384" s="2" t="s">
        <v>11030</v>
      </c>
      <c r="N5384" s="2" t="s">
        <v>11036</v>
      </c>
      <c r="O5384" s="2" t="s">
        <v>11035</v>
      </c>
      <c r="P5384" s="2" t="s">
        <v>11037</v>
      </c>
      <c r="Q5384" s="2">
        <f>AVERAGE(PerfRate[[#This Row],[EnvironmentSatisfaction]],PerfRate[[#This Row],[JobSatisfaction]],PerfRate[[#This Row],[RelationshipSatisfaction]])</f>
        <v>3</v>
      </c>
      <c r="R5384" s="2">
        <f>PerfRate[[#This Row],[ManagerRating]] - PerfRate[[#This Row],[SelfRating]]</f>
        <v>0</v>
      </c>
    </row>
    <row r="5385" spans="1:18">
      <c r="A5385" s="2" t="s">
        <v>9692</v>
      </c>
      <c r="B5385" s="2" t="s">
        <v>826</v>
      </c>
      <c r="C5385" s="1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  <c r="L5385" s="2" t="s">
        <v>11030</v>
      </c>
      <c r="M5385" s="2" t="s">
        <v>11030</v>
      </c>
      <c r="N5385" s="2" t="s">
        <v>11035</v>
      </c>
      <c r="O5385" s="2" t="s">
        <v>11037</v>
      </c>
      <c r="P5385" s="2" t="s">
        <v>11036</v>
      </c>
      <c r="Q5385" s="2">
        <f>AVERAGE(PerfRate[[#This Row],[EnvironmentSatisfaction]],PerfRate[[#This Row],[JobSatisfaction]],PerfRate[[#This Row],[RelationshipSatisfaction]])</f>
        <v>3</v>
      </c>
      <c r="R5385" s="2">
        <f>PerfRate[[#This Row],[ManagerRating]] - PerfRate[[#This Row],[SelfRating]]</f>
        <v>0</v>
      </c>
    </row>
    <row r="5386" spans="1:18">
      <c r="A5386" s="2" t="s">
        <v>9693</v>
      </c>
      <c r="B5386" s="2" t="s">
        <v>281</v>
      </c>
      <c r="C5386" s="1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  <c r="L5386" s="2" t="s">
        <v>11031</v>
      </c>
      <c r="M5386" s="2" t="s">
        <v>11031</v>
      </c>
      <c r="N5386" s="2" t="s">
        <v>11038</v>
      </c>
      <c r="O5386" s="2" t="s">
        <v>11036</v>
      </c>
      <c r="P5386" s="2" t="s">
        <v>11038</v>
      </c>
      <c r="Q5386" s="2">
        <f>AVERAGE(PerfRate[[#This Row],[EnvironmentSatisfaction]],PerfRate[[#This Row],[JobSatisfaction]],PerfRate[[#This Row],[RelationshipSatisfaction]])</f>
        <v>4.333333333333333</v>
      </c>
      <c r="R5386" s="2">
        <f>PerfRate[[#This Row],[ManagerRating]] - PerfRate[[#This Row],[SelfRating]]</f>
        <v>0</v>
      </c>
    </row>
    <row r="5387" spans="1:18">
      <c r="A5387" s="2" t="s">
        <v>9694</v>
      </c>
      <c r="B5387" s="2" t="s">
        <v>1620</v>
      </c>
      <c r="C5387" s="1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  <c r="L5387" s="2" t="s">
        <v>11029</v>
      </c>
      <c r="M5387" s="2" t="s">
        <v>11028</v>
      </c>
      <c r="N5387" s="2" t="s">
        <v>11037</v>
      </c>
      <c r="O5387" s="2" t="s">
        <v>11038</v>
      </c>
      <c r="P5387" s="2" t="s">
        <v>11035</v>
      </c>
      <c r="Q5387" s="2">
        <f>AVERAGE(PerfRate[[#This Row],[EnvironmentSatisfaction]],PerfRate[[#This Row],[JobSatisfaction]],PerfRate[[#This Row],[RelationshipSatisfaction]])</f>
        <v>3.6666666666666665</v>
      </c>
      <c r="R5387" s="2">
        <f>PerfRate[[#This Row],[ManagerRating]] - PerfRate[[#This Row],[SelfRating]]</f>
        <v>-1</v>
      </c>
    </row>
    <row r="5388" spans="1:18">
      <c r="A5388" s="2" t="s">
        <v>9695</v>
      </c>
      <c r="B5388" s="2" t="s">
        <v>2675</v>
      </c>
      <c r="C5388" s="1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  <c r="L5388" s="2" t="s">
        <v>11031</v>
      </c>
      <c r="M5388" s="2" t="s">
        <v>11030</v>
      </c>
      <c r="N5388" s="2" t="s">
        <v>11036</v>
      </c>
      <c r="O5388" s="2" t="s">
        <v>11036</v>
      </c>
      <c r="P5388" s="2" t="s">
        <v>11037</v>
      </c>
      <c r="Q5388" s="2">
        <f>AVERAGE(PerfRate[[#This Row],[EnvironmentSatisfaction]],PerfRate[[#This Row],[JobSatisfaction]],PerfRate[[#This Row],[RelationshipSatisfaction]])</f>
        <v>3.3333333333333335</v>
      </c>
      <c r="R5388" s="2">
        <f>PerfRate[[#This Row],[ManagerRating]] - PerfRate[[#This Row],[SelfRating]]</f>
        <v>-1</v>
      </c>
    </row>
    <row r="5389" spans="1:18">
      <c r="A5389" s="2" t="s">
        <v>9696</v>
      </c>
      <c r="B5389" s="2" t="s">
        <v>362</v>
      </c>
      <c r="C5389" s="1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  <c r="L5389" s="2" t="s">
        <v>11031</v>
      </c>
      <c r="M5389" s="2" t="s">
        <v>11031</v>
      </c>
      <c r="N5389" s="2" t="s">
        <v>11038</v>
      </c>
      <c r="O5389" s="2" t="s">
        <v>11036</v>
      </c>
      <c r="P5389" s="2" t="s">
        <v>11037</v>
      </c>
      <c r="Q5389" s="2">
        <f>AVERAGE(PerfRate[[#This Row],[EnvironmentSatisfaction]],PerfRate[[#This Row],[JobSatisfaction]],PerfRate[[#This Row],[RelationshipSatisfaction]])</f>
        <v>4</v>
      </c>
      <c r="R5389" s="2">
        <f>PerfRate[[#This Row],[ManagerRating]] - PerfRate[[#This Row],[SelfRating]]</f>
        <v>0</v>
      </c>
    </row>
    <row r="5390" spans="1:18">
      <c r="A5390" s="2" t="s">
        <v>9697</v>
      </c>
      <c r="B5390" s="2" t="s">
        <v>1942</v>
      </c>
      <c r="C5390" s="1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  <c r="L5390" s="2" t="s">
        <v>11029</v>
      </c>
      <c r="M5390" s="2" t="s">
        <v>11029</v>
      </c>
      <c r="N5390" s="2" t="s">
        <v>11036</v>
      </c>
      <c r="O5390" s="2" t="s">
        <v>11035</v>
      </c>
      <c r="P5390" s="2" t="s">
        <v>11037</v>
      </c>
      <c r="Q5390" s="2">
        <f>AVERAGE(PerfRate[[#This Row],[EnvironmentSatisfaction]],PerfRate[[#This Row],[JobSatisfaction]],PerfRate[[#This Row],[RelationshipSatisfaction]])</f>
        <v>3</v>
      </c>
      <c r="R5390" s="2">
        <f>PerfRate[[#This Row],[ManagerRating]] - PerfRate[[#This Row],[SelfRating]]</f>
        <v>0</v>
      </c>
    </row>
    <row r="5391" spans="1:18">
      <c r="A5391" s="2" t="s">
        <v>9698</v>
      </c>
      <c r="B5391" s="2" t="s">
        <v>2097</v>
      </c>
      <c r="C5391" s="1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  <c r="L5391" s="2" t="s">
        <v>11029</v>
      </c>
      <c r="M5391" s="2" t="s">
        <v>11029</v>
      </c>
      <c r="N5391" s="2" t="s">
        <v>11037</v>
      </c>
      <c r="O5391" s="2" t="s">
        <v>11036</v>
      </c>
      <c r="P5391" s="2" t="s">
        <v>11037</v>
      </c>
      <c r="Q5391" s="2">
        <f>AVERAGE(PerfRate[[#This Row],[EnvironmentSatisfaction]],PerfRate[[#This Row],[JobSatisfaction]],PerfRate[[#This Row],[RelationshipSatisfaction]])</f>
        <v>3.6666666666666665</v>
      </c>
      <c r="R5391" s="2">
        <f>PerfRate[[#This Row],[ManagerRating]] - PerfRate[[#This Row],[SelfRating]]</f>
        <v>0</v>
      </c>
    </row>
    <row r="5392" spans="1:18">
      <c r="A5392" s="2" t="s">
        <v>9699</v>
      </c>
      <c r="B5392" s="2" t="s">
        <v>3577</v>
      </c>
      <c r="C5392" s="1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  <c r="L5392" s="2" t="s">
        <v>11029</v>
      </c>
      <c r="M5392" s="2" t="s">
        <v>11028</v>
      </c>
      <c r="N5392" s="2" t="s">
        <v>11038</v>
      </c>
      <c r="O5392" s="2" t="s">
        <v>11038</v>
      </c>
      <c r="P5392" s="2" t="s">
        <v>11035</v>
      </c>
      <c r="Q5392" s="2">
        <f>AVERAGE(PerfRate[[#This Row],[EnvironmentSatisfaction]],PerfRate[[#This Row],[JobSatisfaction]],PerfRate[[#This Row],[RelationshipSatisfaction]])</f>
        <v>4</v>
      </c>
      <c r="R5392" s="2">
        <f>PerfRate[[#This Row],[ManagerRating]] - PerfRate[[#This Row],[SelfRating]]</f>
        <v>-1</v>
      </c>
    </row>
    <row r="5393" spans="1:18">
      <c r="A5393" s="2" t="s">
        <v>9700</v>
      </c>
      <c r="B5393" s="2" t="s">
        <v>326</v>
      </c>
      <c r="C5393" s="1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  <c r="L5393" s="2" t="s">
        <v>11031</v>
      </c>
      <c r="M5393" s="2" t="s">
        <v>11030</v>
      </c>
      <c r="N5393" s="2" t="s">
        <v>11038</v>
      </c>
      <c r="O5393" s="2" t="s">
        <v>11038</v>
      </c>
      <c r="P5393" s="2" t="s">
        <v>11035</v>
      </c>
      <c r="Q5393" s="2">
        <f>AVERAGE(PerfRate[[#This Row],[EnvironmentSatisfaction]],PerfRate[[#This Row],[JobSatisfaction]],PerfRate[[#This Row],[RelationshipSatisfaction]])</f>
        <v>4</v>
      </c>
      <c r="R5393" s="2">
        <f>PerfRate[[#This Row],[ManagerRating]] - PerfRate[[#This Row],[SelfRating]]</f>
        <v>-1</v>
      </c>
    </row>
    <row r="5394" spans="1:18">
      <c r="A5394" s="2" t="s">
        <v>9701</v>
      </c>
      <c r="B5394" s="2" t="s">
        <v>711</v>
      </c>
      <c r="C5394" s="1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  <c r="L5394" s="2" t="s">
        <v>11029</v>
      </c>
      <c r="M5394" s="2" t="s">
        <v>11029</v>
      </c>
      <c r="N5394" s="2" t="s">
        <v>11038</v>
      </c>
      <c r="O5394" s="2" t="s">
        <v>11036</v>
      </c>
      <c r="P5394" s="2" t="s">
        <v>11038</v>
      </c>
      <c r="Q5394" s="2">
        <f>AVERAGE(PerfRate[[#This Row],[EnvironmentSatisfaction]],PerfRate[[#This Row],[JobSatisfaction]],PerfRate[[#This Row],[RelationshipSatisfaction]])</f>
        <v>4.333333333333333</v>
      </c>
      <c r="R5394" s="2">
        <f>PerfRate[[#This Row],[ManagerRating]] - PerfRate[[#This Row],[SelfRating]]</f>
        <v>0</v>
      </c>
    </row>
    <row r="5395" spans="1:18">
      <c r="A5395" s="2" t="s">
        <v>9702</v>
      </c>
      <c r="B5395" s="2" t="s">
        <v>1663</v>
      </c>
      <c r="C5395" s="1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  <c r="L5395" s="2" t="s">
        <v>11029</v>
      </c>
      <c r="M5395" s="2" t="s">
        <v>11029</v>
      </c>
      <c r="N5395" s="2" t="s">
        <v>11038</v>
      </c>
      <c r="O5395" s="2" t="s">
        <v>11036</v>
      </c>
      <c r="P5395" s="2" t="s">
        <v>11035</v>
      </c>
      <c r="Q5395" s="2">
        <f>AVERAGE(PerfRate[[#This Row],[EnvironmentSatisfaction]],PerfRate[[#This Row],[JobSatisfaction]],PerfRate[[#This Row],[RelationshipSatisfaction]])</f>
        <v>3.3333333333333335</v>
      </c>
      <c r="R5395" s="2">
        <f>PerfRate[[#This Row],[ManagerRating]] - PerfRate[[#This Row],[SelfRating]]</f>
        <v>0</v>
      </c>
    </row>
    <row r="5396" spans="1:18">
      <c r="A5396" s="2" t="s">
        <v>9703</v>
      </c>
      <c r="B5396" s="2" t="s">
        <v>1753</v>
      </c>
      <c r="C5396" s="1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  <c r="L5396" s="2" t="s">
        <v>11030</v>
      </c>
      <c r="M5396" s="2" t="s">
        <v>11029</v>
      </c>
      <c r="N5396" s="2" t="s">
        <v>11036</v>
      </c>
      <c r="O5396" s="2" t="s">
        <v>11035</v>
      </c>
      <c r="P5396" s="2" t="s">
        <v>11038</v>
      </c>
      <c r="Q5396" s="2">
        <f>AVERAGE(PerfRate[[#This Row],[EnvironmentSatisfaction]],PerfRate[[#This Row],[JobSatisfaction]],PerfRate[[#This Row],[RelationshipSatisfaction]])</f>
        <v>3.3333333333333335</v>
      </c>
      <c r="R5396" s="2">
        <f>PerfRate[[#This Row],[ManagerRating]] - PerfRate[[#This Row],[SelfRating]]</f>
        <v>-1</v>
      </c>
    </row>
    <row r="5397" spans="1:18">
      <c r="A5397" s="2" t="s">
        <v>9704</v>
      </c>
      <c r="B5397" s="2" t="s">
        <v>2745</v>
      </c>
      <c r="C5397" s="1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  <c r="L5397" s="2" t="s">
        <v>11029</v>
      </c>
      <c r="M5397" s="2" t="s">
        <v>11029</v>
      </c>
      <c r="N5397" s="2" t="s">
        <v>11037</v>
      </c>
      <c r="O5397" s="2" t="s">
        <v>11038</v>
      </c>
      <c r="P5397" s="2" t="s">
        <v>11037</v>
      </c>
      <c r="Q5397" s="2">
        <f>AVERAGE(PerfRate[[#This Row],[EnvironmentSatisfaction]],PerfRate[[#This Row],[JobSatisfaction]],PerfRate[[#This Row],[RelationshipSatisfaction]])</f>
        <v>4.333333333333333</v>
      </c>
      <c r="R5397" s="2">
        <f>PerfRate[[#This Row],[ManagerRating]] - PerfRate[[#This Row],[SelfRating]]</f>
        <v>0</v>
      </c>
    </row>
    <row r="5398" spans="1:18">
      <c r="A5398" s="2" t="s">
        <v>9705</v>
      </c>
      <c r="B5398" s="2" t="s">
        <v>1453</v>
      </c>
      <c r="C5398" s="1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  <c r="L5398" s="2" t="s">
        <v>11030</v>
      </c>
      <c r="M5398" s="2" t="s">
        <v>11029</v>
      </c>
      <c r="N5398" s="2" t="s">
        <v>11036</v>
      </c>
      <c r="O5398" s="2" t="s">
        <v>11037</v>
      </c>
      <c r="P5398" s="2" t="s">
        <v>11037</v>
      </c>
      <c r="Q5398" s="2">
        <f>AVERAGE(PerfRate[[#This Row],[EnvironmentSatisfaction]],PerfRate[[#This Row],[JobSatisfaction]],PerfRate[[#This Row],[RelationshipSatisfaction]])</f>
        <v>3.6666666666666665</v>
      </c>
      <c r="R5398" s="2">
        <f>PerfRate[[#This Row],[ManagerRating]] - PerfRate[[#This Row],[SelfRating]]</f>
        <v>-1</v>
      </c>
    </row>
    <row r="5399" spans="1:18">
      <c r="A5399" s="2" t="s">
        <v>9706</v>
      </c>
      <c r="B5399" s="2" t="s">
        <v>1959</v>
      </c>
      <c r="C5399" s="1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  <c r="L5399" s="2" t="s">
        <v>11029</v>
      </c>
      <c r="M5399" s="2" t="s">
        <v>11029</v>
      </c>
      <c r="N5399" s="2" t="s">
        <v>11037</v>
      </c>
      <c r="O5399" s="2" t="s">
        <v>11038</v>
      </c>
      <c r="P5399" s="2" t="s">
        <v>11035</v>
      </c>
      <c r="Q5399" s="2">
        <f>AVERAGE(PerfRate[[#This Row],[EnvironmentSatisfaction]],PerfRate[[#This Row],[JobSatisfaction]],PerfRate[[#This Row],[RelationshipSatisfaction]])</f>
        <v>3.6666666666666665</v>
      </c>
      <c r="R5399" s="2">
        <f>PerfRate[[#This Row],[ManagerRating]] - PerfRate[[#This Row],[SelfRating]]</f>
        <v>0</v>
      </c>
    </row>
    <row r="5400" spans="1:18">
      <c r="A5400" s="2" t="s">
        <v>9707</v>
      </c>
      <c r="B5400" s="2" t="s">
        <v>1810</v>
      </c>
      <c r="C5400" s="1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  <c r="L5400" s="2" t="s">
        <v>11031</v>
      </c>
      <c r="M5400" s="2" t="s">
        <v>11031</v>
      </c>
      <c r="N5400" s="2" t="s">
        <v>11037</v>
      </c>
      <c r="O5400" s="2" t="s">
        <v>11036</v>
      </c>
      <c r="P5400" s="2" t="s">
        <v>11035</v>
      </c>
      <c r="Q5400" s="2">
        <f>AVERAGE(PerfRate[[#This Row],[EnvironmentSatisfaction]],PerfRate[[#This Row],[JobSatisfaction]],PerfRate[[#This Row],[RelationshipSatisfaction]])</f>
        <v>3</v>
      </c>
      <c r="R5400" s="2">
        <f>PerfRate[[#This Row],[ManagerRating]] - PerfRate[[#This Row],[SelfRating]]</f>
        <v>0</v>
      </c>
    </row>
    <row r="5401" spans="1:18">
      <c r="A5401" s="2" t="s">
        <v>9708</v>
      </c>
      <c r="B5401" s="2" t="s">
        <v>2002</v>
      </c>
      <c r="C5401" s="1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  <c r="L5401" s="2" t="s">
        <v>11030</v>
      </c>
      <c r="M5401" s="2" t="s">
        <v>11030</v>
      </c>
      <c r="N5401" s="2" t="s">
        <v>11036</v>
      </c>
      <c r="O5401" s="2" t="s">
        <v>11037</v>
      </c>
      <c r="P5401" s="2" t="s">
        <v>11036</v>
      </c>
      <c r="Q5401" s="2">
        <f>AVERAGE(PerfRate[[#This Row],[EnvironmentSatisfaction]],PerfRate[[#This Row],[JobSatisfaction]],PerfRate[[#This Row],[RelationshipSatisfaction]])</f>
        <v>3.3333333333333335</v>
      </c>
      <c r="R5401" s="2">
        <f>PerfRate[[#This Row],[ManagerRating]] - PerfRate[[#This Row],[SelfRating]]</f>
        <v>0</v>
      </c>
    </row>
    <row r="5402" spans="1:18">
      <c r="A5402" s="2" t="s">
        <v>9709</v>
      </c>
      <c r="B5402" s="2" t="s">
        <v>404</v>
      </c>
      <c r="C5402" s="1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  <c r="L5402" s="2" t="s">
        <v>11031</v>
      </c>
      <c r="M5402" s="2" t="s">
        <v>11030</v>
      </c>
      <c r="N5402" s="2" t="s">
        <v>11036</v>
      </c>
      <c r="O5402" s="2" t="s">
        <v>11038</v>
      </c>
      <c r="P5402" s="2" t="s">
        <v>11038</v>
      </c>
      <c r="Q5402" s="2">
        <f>AVERAGE(PerfRate[[#This Row],[EnvironmentSatisfaction]],PerfRate[[#This Row],[JobSatisfaction]],PerfRate[[#This Row],[RelationshipSatisfaction]])</f>
        <v>4.333333333333333</v>
      </c>
      <c r="R5402" s="2">
        <f>PerfRate[[#This Row],[ManagerRating]] - PerfRate[[#This Row],[SelfRating]]</f>
        <v>-1</v>
      </c>
    </row>
    <row r="5403" spans="1:18">
      <c r="A5403" s="2" t="s">
        <v>9710</v>
      </c>
      <c r="B5403" s="2" t="s">
        <v>2503</v>
      </c>
      <c r="C5403" s="1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  <c r="L5403" s="2" t="s">
        <v>11029</v>
      </c>
      <c r="M5403" s="2" t="s">
        <v>11029</v>
      </c>
      <c r="N5403" s="2" t="s">
        <v>11037</v>
      </c>
      <c r="O5403" s="2" t="s">
        <v>11036</v>
      </c>
      <c r="P5403" s="2" t="s">
        <v>11035</v>
      </c>
      <c r="Q5403" s="2">
        <f>AVERAGE(PerfRate[[#This Row],[EnvironmentSatisfaction]],PerfRate[[#This Row],[JobSatisfaction]],PerfRate[[#This Row],[RelationshipSatisfaction]])</f>
        <v>3</v>
      </c>
      <c r="R5403" s="2">
        <f>PerfRate[[#This Row],[ManagerRating]] - PerfRate[[#This Row],[SelfRating]]</f>
        <v>0</v>
      </c>
    </row>
    <row r="5404" spans="1:18">
      <c r="A5404" s="2" t="s">
        <v>9711</v>
      </c>
      <c r="B5404" s="2" t="s">
        <v>2234</v>
      </c>
      <c r="C5404" s="1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  <c r="L5404" s="2" t="s">
        <v>11031</v>
      </c>
      <c r="M5404" s="2" t="s">
        <v>11031</v>
      </c>
      <c r="N5404" s="2" t="s">
        <v>11037</v>
      </c>
      <c r="O5404" s="2" t="s">
        <v>11036</v>
      </c>
      <c r="P5404" s="2" t="s">
        <v>11035</v>
      </c>
      <c r="Q5404" s="2">
        <f>AVERAGE(PerfRate[[#This Row],[EnvironmentSatisfaction]],PerfRate[[#This Row],[JobSatisfaction]],PerfRate[[#This Row],[RelationshipSatisfaction]])</f>
        <v>3</v>
      </c>
      <c r="R5404" s="2">
        <f>PerfRate[[#This Row],[ManagerRating]] - PerfRate[[#This Row],[SelfRating]]</f>
        <v>0</v>
      </c>
    </row>
    <row r="5405" spans="1:18">
      <c r="A5405" s="2" t="s">
        <v>9712</v>
      </c>
      <c r="B5405" s="2" t="s">
        <v>169</v>
      </c>
      <c r="C5405" s="1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  <c r="L5405" s="2" t="s">
        <v>11029</v>
      </c>
      <c r="M5405" s="2" t="s">
        <v>11028</v>
      </c>
      <c r="N5405" s="2" t="s">
        <v>11035</v>
      </c>
      <c r="O5405" s="2" t="s">
        <v>11037</v>
      </c>
      <c r="P5405" s="2" t="s">
        <v>11034</v>
      </c>
      <c r="Q5405" s="2">
        <f>AVERAGE(PerfRate[[#This Row],[EnvironmentSatisfaction]],PerfRate[[#This Row],[JobSatisfaction]],PerfRate[[#This Row],[RelationshipSatisfaction]])</f>
        <v>2.3333333333333335</v>
      </c>
      <c r="R5405" s="2">
        <f>PerfRate[[#This Row],[ManagerRating]] - PerfRate[[#This Row],[SelfRating]]</f>
        <v>-1</v>
      </c>
    </row>
    <row r="5406" spans="1:18">
      <c r="A5406" s="2" t="s">
        <v>9713</v>
      </c>
      <c r="B5406" s="2" t="s">
        <v>937</v>
      </c>
      <c r="C5406" s="1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  <c r="L5406" s="2" t="s">
        <v>11030</v>
      </c>
      <c r="M5406" s="2" t="s">
        <v>11029</v>
      </c>
      <c r="N5406" s="2" t="s">
        <v>11038</v>
      </c>
      <c r="O5406" s="2" t="s">
        <v>11036</v>
      </c>
      <c r="P5406" s="2" t="s">
        <v>11036</v>
      </c>
      <c r="Q5406" s="2">
        <f>AVERAGE(PerfRate[[#This Row],[EnvironmentSatisfaction]],PerfRate[[#This Row],[JobSatisfaction]],PerfRate[[#This Row],[RelationshipSatisfaction]])</f>
        <v>3.6666666666666665</v>
      </c>
      <c r="R5406" s="2">
        <f>PerfRate[[#This Row],[ManagerRating]] - PerfRate[[#This Row],[SelfRating]]</f>
        <v>-1</v>
      </c>
    </row>
    <row r="5407" spans="1:18">
      <c r="A5407" s="2" t="s">
        <v>9714</v>
      </c>
      <c r="B5407" s="2" t="s">
        <v>2184</v>
      </c>
      <c r="C5407" s="1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  <c r="L5407" s="2" t="s">
        <v>11031</v>
      </c>
      <c r="M5407" s="2" t="s">
        <v>11031</v>
      </c>
      <c r="N5407" s="2" t="s">
        <v>11035</v>
      </c>
      <c r="O5407" s="2" t="s">
        <v>11037</v>
      </c>
      <c r="P5407" s="2" t="s">
        <v>11035</v>
      </c>
      <c r="Q5407" s="2">
        <f>AVERAGE(PerfRate[[#This Row],[EnvironmentSatisfaction]],PerfRate[[#This Row],[JobSatisfaction]],PerfRate[[#This Row],[RelationshipSatisfaction]])</f>
        <v>2.6666666666666665</v>
      </c>
      <c r="R5407" s="2">
        <f>PerfRate[[#This Row],[ManagerRating]] - PerfRate[[#This Row],[SelfRating]]</f>
        <v>0</v>
      </c>
    </row>
    <row r="5408" spans="1:18">
      <c r="A5408" s="2" t="s">
        <v>9715</v>
      </c>
      <c r="B5408" s="2" t="s">
        <v>452</v>
      </c>
      <c r="C5408" s="1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  <c r="L5408" s="2" t="s">
        <v>11031</v>
      </c>
      <c r="M5408" s="2" t="s">
        <v>11030</v>
      </c>
      <c r="N5408" s="2" t="s">
        <v>11037</v>
      </c>
      <c r="O5408" s="2" t="s">
        <v>11035</v>
      </c>
      <c r="P5408" s="2" t="s">
        <v>11037</v>
      </c>
      <c r="Q5408" s="2">
        <f>AVERAGE(PerfRate[[#This Row],[EnvironmentSatisfaction]],PerfRate[[#This Row],[JobSatisfaction]],PerfRate[[#This Row],[RelationshipSatisfaction]])</f>
        <v>3.3333333333333335</v>
      </c>
      <c r="R5408" s="2">
        <f>PerfRate[[#This Row],[ManagerRating]] - PerfRate[[#This Row],[SelfRating]]</f>
        <v>-1</v>
      </c>
    </row>
    <row r="5409" spans="1:18">
      <c r="A5409" s="2" t="s">
        <v>9716</v>
      </c>
      <c r="B5409" s="2" t="s">
        <v>2491</v>
      </c>
      <c r="C5409" s="1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  <c r="L5409" s="2" t="s">
        <v>11030</v>
      </c>
      <c r="M5409" s="2" t="s">
        <v>11029</v>
      </c>
      <c r="N5409" s="2" t="s">
        <v>11036</v>
      </c>
      <c r="O5409" s="2" t="s">
        <v>11037</v>
      </c>
      <c r="P5409" s="2" t="s">
        <v>11035</v>
      </c>
      <c r="Q5409" s="2">
        <f>AVERAGE(PerfRate[[#This Row],[EnvironmentSatisfaction]],PerfRate[[#This Row],[JobSatisfaction]],PerfRate[[#This Row],[RelationshipSatisfaction]])</f>
        <v>3</v>
      </c>
      <c r="R5409" s="2">
        <f>PerfRate[[#This Row],[ManagerRating]] - PerfRate[[#This Row],[SelfRating]]</f>
        <v>-1</v>
      </c>
    </row>
    <row r="5410" spans="1:18">
      <c r="A5410" s="2" t="s">
        <v>9717</v>
      </c>
      <c r="B5410" s="2" t="s">
        <v>3501</v>
      </c>
      <c r="C5410" s="1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  <c r="L5410" s="2" t="s">
        <v>11030</v>
      </c>
      <c r="M5410" s="2" t="s">
        <v>11029</v>
      </c>
      <c r="N5410" s="2" t="s">
        <v>11037</v>
      </c>
      <c r="O5410" s="2" t="s">
        <v>11038</v>
      </c>
      <c r="P5410" s="2" t="s">
        <v>11035</v>
      </c>
      <c r="Q5410" s="2">
        <f>AVERAGE(PerfRate[[#This Row],[EnvironmentSatisfaction]],PerfRate[[#This Row],[JobSatisfaction]],PerfRate[[#This Row],[RelationshipSatisfaction]])</f>
        <v>3.6666666666666665</v>
      </c>
      <c r="R5410" s="2">
        <f>PerfRate[[#This Row],[ManagerRating]] - PerfRate[[#This Row],[SelfRating]]</f>
        <v>-1</v>
      </c>
    </row>
    <row r="5411" spans="1:18">
      <c r="A5411" s="2" t="s">
        <v>9718</v>
      </c>
      <c r="B5411" s="2" t="s">
        <v>3376</v>
      </c>
      <c r="C5411" s="1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  <c r="L5411" s="2" t="s">
        <v>11030</v>
      </c>
      <c r="M5411" s="2" t="s">
        <v>11029</v>
      </c>
      <c r="N5411" s="2" t="s">
        <v>11038</v>
      </c>
      <c r="O5411" s="2" t="s">
        <v>11038</v>
      </c>
      <c r="P5411" s="2" t="s">
        <v>11035</v>
      </c>
      <c r="Q5411" s="2">
        <f>AVERAGE(PerfRate[[#This Row],[EnvironmentSatisfaction]],PerfRate[[#This Row],[JobSatisfaction]],PerfRate[[#This Row],[RelationshipSatisfaction]])</f>
        <v>4</v>
      </c>
      <c r="R5411" s="2">
        <f>PerfRate[[#This Row],[ManagerRating]] - PerfRate[[#This Row],[SelfRating]]</f>
        <v>-1</v>
      </c>
    </row>
    <row r="5412" spans="1:18">
      <c r="A5412" s="2" t="s">
        <v>9719</v>
      </c>
      <c r="B5412" s="2" t="s">
        <v>1201</v>
      </c>
      <c r="C5412" s="1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  <c r="L5412" s="2" t="s">
        <v>11030</v>
      </c>
      <c r="M5412" s="2" t="s">
        <v>11030</v>
      </c>
      <c r="N5412" s="2" t="s">
        <v>11038</v>
      </c>
      <c r="O5412" s="2" t="s">
        <v>11037</v>
      </c>
      <c r="P5412" s="2" t="s">
        <v>11036</v>
      </c>
      <c r="Q5412" s="2">
        <f>AVERAGE(PerfRate[[#This Row],[EnvironmentSatisfaction]],PerfRate[[#This Row],[JobSatisfaction]],PerfRate[[#This Row],[RelationshipSatisfaction]])</f>
        <v>4</v>
      </c>
      <c r="R5412" s="2">
        <f>PerfRate[[#This Row],[ManagerRating]] - PerfRate[[#This Row],[SelfRating]]</f>
        <v>0</v>
      </c>
    </row>
    <row r="5413" spans="1:18">
      <c r="A5413" s="2" t="s">
        <v>9720</v>
      </c>
      <c r="B5413" s="2" t="s">
        <v>2427</v>
      </c>
      <c r="C5413" s="1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  <c r="L5413" s="2" t="s">
        <v>11030</v>
      </c>
      <c r="M5413" s="2" t="s">
        <v>11029</v>
      </c>
      <c r="N5413" s="2" t="s">
        <v>11038</v>
      </c>
      <c r="O5413" s="2" t="s">
        <v>11036</v>
      </c>
      <c r="P5413" s="2" t="s">
        <v>11036</v>
      </c>
      <c r="Q5413" s="2">
        <f>AVERAGE(PerfRate[[#This Row],[EnvironmentSatisfaction]],PerfRate[[#This Row],[JobSatisfaction]],PerfRate[[#This Row],[RelationshipSatisfaction]])</f>
        <v>3.6666666666666665</v>
      </c>
      <c r="R5413" s="2">
        <f>PerfRate[[#This Row],[ManagerRating]] - PerfRate[[#This Row],[SelfRating]]</f>
        <v>-1</v>
      </c>
    </row>
    <row r="5414" spans="1:18">
      <c r="A5414" s="2" t="s">
        <v>9721</v>
      </c>
      <c r="B5414" s="2" t="s">
        <v>2929</v>
      </c>
      <c r="C5414" s="1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  <c r="L5414" s="2" t="s">
        <v>11029</v>
      </c>
      <c r="M5414" s="2" t="s">
        <v>11028</v>
      </c>
      <c r="N5414" s="2" t="s">
        <v>11036</v>
      </c>
      <c r="O5414" s="2" t="s">
        <v>11037</v>
      </c>
      <c r="P5414" s="2" t="s">
        <v>11037</v>
      </c>
      <c r="Q5414" s="2">
        <f>AVERAGE(PerfRate[[#This Row],[EnvironmentSatisfaction]],PerfRate[[#This Row],[JobSatisfaction]],PerfRate[[#This Row],[RelationshipSatisfaction]])</f>
        <v>3.6666666666666665</v>
      </c>
      <c r="R5414" s="2">
        <f>PerfRate[[#This Row],[ManagerRating]] - PerfRate[[#This Row],[SelfRating]]</f>
        <v>-1</v>
      </c>
    </row>
    <row r="5415" spans="1:18">
      <c r="A5415" s="2" t="s">
        <v>9722</v>
      </c>
      <c r="B5415" s="2" t="s">
        <v>2724</v>
      </c>
      <c r="C5415" s="1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  <c r="L5415" s="2" t="s">
        <v>11031</v>
      </c>
      <c r="M5415" s="2" t="s">
        <v>11030</v>
      </c>
      <c r="N5415" s="2" t="s">
        <v>11037</v>
      </c>
      <c r="O5415" s="2" t="s">
        <v>11037</v>
      </c>
      <c r="P5415" s="2" t="s">
        <v>11037</v>
      </c>
      <c r="Q5415" s="2">
        <f>AVERAGE(PerfRate[[#This Row],[EnvironmentSatisfaction]],PerfRate[[#This Row],[JobSatisfaction]],PerfRate[[#This Row],[RelationshipSatisfaction]])</f>
        <v>4</v>
      </c>
      <c r="R5415" s="2">
        <f>PerfRate[[#This Row],[ManagerRating]] - PerfRate[[#This Row],[SelfRating]]</f>
        <v>-1</v>
      </c>
    </row>
    <row r="5416" spans="1:18">
      <c r="A5416" s="2" t="s">
        <v>9723</v>
      </c>
      <c r="B5416" s="2" t="s">
        <v>2296</v>
      </c>
      <c r="C5416" s="1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  <c r="L5416" s="2" t="s">
        <v>11031</v>
      </c>
      <c r="M5416" s="2" t="s">
        <v>11031</v>
      </c>
      <c r="N5416" s="2" t="s">
        <v>11038</v>
      </c>
      <c r="O5416" s="2" t="s">
        <v>11036</v>
      </c>
      <c r="P5416" s="2" t="s">
        <v>11037</v>
      </c>
      <c r="Q5416" s="2">
        <f>AVERAGE(PerfRate[[#This Row],[EnvironmentSatisfaction]],PerfRate[[#This Row],[JobSatisfaction]],PerfRate[[#This Row],[RelationshipSatisfaction]])</f>
        <v>4</v>
      </c>
      <c r="R5416" s="2">
        <f>PerfRate[[#This Row],[ManagerRating]] - PerfRate[[#This Row],[SelfRating]]</f>
        <v>0</v>
      </c>
    </row>
    <row r="5417" spans="1:18">
      <c r="A5417" s="2" t="s">
        <v>9724</v>
      </c>
      <c r="B5417" s="2" t="s">
        <v>2112</v>
      </c>
      <c r="C5417" s="1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  <c r="L5417" s="2" t="s">
        <v>11031</v>
      </c>
      <c r="M5417" s="2" t="s">
        <v>11031</v>
      </c>
      <c r="N5417" s="2" t="s">
        <v>11037</v>
      </c>
      <c r="O5417" s="2" t="s">
        <v>11036</v>
      </c>
      <c r="P5417" s="2" t="s">
        <v>11037</v>
      </c>
      <c r="Q5417" s="2">
        <f>AVERAGE(PerfRate[[#This Row],[EnvironmentSatisfaction]],PerfRate[[#This Row],[JobSatisfaction]],PerfRate[[#This Row],[RelationshipSatisfaction]])</f>
        <v>3.6666666666666665</v>
      </c>
      <c r="R5417" s="2">
        <f>PerfRate[[#This Row],[ManagerRating]] - PerfRate[[#This Row],[SelfRating]]</f>
        <v>0</v>
      </c>
    </row>
    <row r="5418" spans="1:18">
      <c r="A5418" s="2" t="s">
        <v>9725</v>
      </c>
      <c r="B5418" s="2" t="s">
        <v>3189</v>
      </c>
      <c r="C5418" s="1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  <c r="L5418" s="2" t="s">
        <v>11029</v>
      </c>
      <c r="M5418" s="2" t="s">
        <v>11028</v>
      </c>
      <c r="N5418" s="2" t="s">
        <v>11037</v>
      </c>
      <c r="O5418" s="2" t="s">
        <v>11036</v>
      </c>
      <c r="P5418" s="2" t="s">
        <v>11038</v>
      </c>
      <c r="Q5418" s="2">
        <f>AVERAGE(PerfRate[[#This Row],[EnvironmentSatisfaction]],PerfRate[[#This Row],[JobSatisfaction]],PerfRate[[#This Row],[RelationshipSatisfaction]])</f>
        <v>4</v>
      </c>
      <c r="R5418" s="2">
        <f>PerfRate[[#This Row],[ManagerRating]] - PerfRate[[#This Row],[SelfRating]]</f>
        <v>-1</v>
      </c>
    </row>
    <row r="5419" spans="1:18">
      <c r="A5419" s="2" t="s">
        <v>9726</v>
      </c>
      <c r="B5419" s="2" t="s">
        <v>2529</v>
      </c>
      <c r="C5419" s="1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  <c r="L5419" s="2" t="s">
        <v>11029</v>
      </c>
      <c r="M5419" s="2" t="s">
        <v>11028</v>
      </c>
      <c r="N5419" s="2" t="s">
        <v>11036</v>
      </c>
      <c r="O5419" s="2" t="s">
        <v>11036</v>
      </c>
      <c r="P5419" s="2" t="s">
        <v>11036</v>
      </c>
      <c r="Q5419" s="2">
        <f>AVERAGE(PerfRate[[#This Row],[EnvironmentSatisfaction]],PerfRate[[#This Row],[JobSatisfaction]],PerfRate[[#This Row],[RelationshipSatisfaction]])</f>
        <v>3</v>
      </c>
      <c r="R5419" s="2">
        <f>PerfRate[[#This Row],[ManagerRating]] - PerfRate[[#This Row],[SelfRating]]</f>
        <v>-1</v>
      </c>
    </row>
    <row r="5420" spans="1:18">
      <c r="A5420" s="2" t="s">
        <v>9727</v>
      </c>
      <c r="B5420" s="2" t="s">
        <v>2488</v>
      </c>
      <c r="C5420" s="1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  <c r="L5420" s="2" t="s">
        <v>11029</v>
      </c>
      <c r="M5420" s="2" t="s">
        <v>11029</v>
      </c>
      <c r="N5420" s="2" t="s">
        <v>11036</v>
      </c>
      <c r="O5420" s="2" t="s">
        <v>11038</v>
      </c>
      <c r="P5420" s="2" t="s">
        <v>11036</v>
      </c>
      <c r="Q5420" s="2">
        <f>AVERAGE(PerfRate[[#This Row],[EnvironmentSatisfaction]],PerfRate[[#This Row],[JobSatisfaction]],PerfRate[[#This Row],[RelationshipSatisfaction]])</f>
        <v>3.6666666666666665</v>
      </c>
      <c r="R5420" s="2">
        <f>PerfRate[[#This Row],[ManagerRating]] - PerfRate[[#This Row],[SelfRating]]</f>
        <v>0</v>
      </c>
    </row>
    <row r="5421" spans="1:18">
      <c r="A5421" s="2" t="s">
        <v>9728</v>
      </c>
      <c r="B5421" s="2" t="s">
        <v>1465</v>
      </c>
      <c r="C5421" s="1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  <c r="L5421" s="2" t="s">
        <v>11031</v>
      </c>
      <c r="M5421" s="2" t="s">
        <v>11031</v>
      </c>
      <c r="N5421" s="2" t="s">
        <v>11037</v>
      </c>
      <c r="O5421" s="2" t="s">
        <v>11038</v>
      </c>
      <c r="P5421" s="2" t="s">
        <v>11037</v>
      </c>
      <c r="Q5421" s="2">
        <f>AVERAGE(PerfRate[[#This Row],[EnvironmentSatisfaction]],PerfRate[[#This Row],[JobSatisfaction]],PerfRate[[#This Row],[RelationshipSatisfaction]])</f>
        <v>4.333333333333333</v>
      </c>
      <c r="R5421" s="2">
        <f>PerfRate[[#This Row],[ManagerRating]] - PerfRate[[#This Row],[SelfRating]]</f>
        <v>0</v>
      </c>
    </row>
    <row r="5422" spans="1:18">
      <c r="A5422" s="2" t="s">
        <v>9729</v>
      </c>
      <c r="B5422" s="2" t="s">
        <v>2045</v>
      </c>
      <c r="C5422" s="1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  <c r="L5422" s="2" t="s">
        <v>11030</v>
      </c>
      <c r="M5422" s="2" t="s">
        <v>11029</v>
      </c>
      <c r="N5422" s="2" t="s">
        <v>11036</v>
      </c>
      <c r="O5422" s="2" t="s">
        <v>11038</v>
      </c>
      <c r="P5422" s="2" t="s">
        <v>11038</v>
      </c>
      <c r="Q5422" s="2">
        <f>AVERAGE(PerfRate[[#This Row],[EnvironmentSatisfaction]],PerfRate[[#This Row],[JobSatisfaction]],PerfRate[[#This Row],[RelationshipSatisfaction]])</f>
        <v>4.333333333333333</v>
      </c>
      <c r="R5422" s="2">
        <f>PerfRate[[#This Row],[ManagerRating]] - PerfRate[[#This Row],[SelfRating]]</f>
        <v>-1</v>
      </c>
    </row>
    <row r="5423" spans="1:18">
      <c r="A5423" s="2" t="s">
        <v>9730</v>
      </c>
      <c r="B5423" s="2" t="s">
        <v>2984</v>
      </c>
      <c r="C5423" s="1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  <c r="L5423" s="2" t="s">
        <v>11029</v>
      </c>
      <c r="M5423" s="2" t="s">
        <v>11028</v>
      </c>
      <c r="N5423" s="2" t="s">
        <v>11038</v>
      </c>
      <c r="O5423" s="2" t="s">
        <v>11037</v>
      </c>
      <c r="P5423" s="2" t="s">
        <v>11038</v>
      </c>
      <c r="Q5423" s="2">
        <f>AVERAGE(PerfRate[[#This Row],[EnvironmentSatisfaction]],PerfRate[[#This Row],[JobSatisfaction]],PerfRate[[#This Row],[RelationshipSatisfaction]])</f>
        <v>4.666666666666667</v>
      </c>
      <c r="R5423" s="2">
        <f>PerfRate[[#This Row],[ManagerRating]] - PerfRate[[#This Row],[SelfRating]]</f>
        <v>-1</v>
      </c>
    </row>
    <row r="5424" spans="1:18">
      <c r="A5424" s="2" t="s">
        <v>9731</v>
      </c>
      <c r="B5424" s="2" t="s">
        <v>2715</v>
      </c>
      <c r="C5424" s="1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  <c r="L5424" s="2" t="s">
        <v>11031</v>
      </c>
      <c r="M5424" s="2" t="s">
        <v>11031</v>
      </c>
      <c r="N5424" s="2" t="s">
        <v>11036</v>
      </c>
      <c r="O5424" s="2" t="s">
        <v>11038</v>
      </c>
      <c r="P5424" s="2" t="s">
        <v>11037</v>
      </c>
      <c r="Q5424" s="2">
        <f>AVERAGE(PerfRate[[#This Row],[EnvironmentSatisfaction]],PerfRate[[#This Row],[JobSatisfaction]],PerfRate[[#This Row],[RelationshipSatisfaction]])</f>
        <v>4</v>
      </c>
      <c r="R5424" s="2">
        <f>PerfRate[[#This Row],[ManagerRating]] - PerfRate[[#This Row],[SelfRating]]</f>
        <v>0</v>
      </c>
    </row>
    <row r="5425" spans="1:18">
      <c r="A5425" s="2" t="s">
        <v>9732</v>
      </c>
      <c r="B5425" s="2" t="s">
        <v>3264</v>
      </c>
      <c r="C5425" s="1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  <c r="L5425" s="2" t="s">
        <v>11029</v>
      </c>
      <c r="M5425" s="2" t="s">
        <v>11028</v>
      </c>
      <c r="N5425" s="2" t="s">
        <v>11036</v>
      </c>
      <c r="O5425" s="2" t="s">
        <v>11034</v>
      </c>
      <c r="P5425" s="2" t="s">
        <v>11037</v>
      </c>
      <c r="Q5425" s="2">
        <f>AVERAGE(PerfRate[[#This Row],[EnvironmentSatisfaction]],PerfRate[[#This Row],[JobSatisfaction]],PerfRate[[#This Row],[RelationshipSatisfaction]])</f>
        <v>2.6666666666666665</v>
      </c>
      <c r="R5425" s="2">
        <f>PerfRate[[#This Row],[ManagerRating]] - PerfRate[[#This Row],[SelfRating]]</f>
        <v>-1</v>
      </c>
    </row>
    <row r="5426" spans="1:18">
      <c r="A5426" s="2" t="s">
        <v>9733</v>
      </c>
      <c r="B5426" s="2" t="s">
        <v>538</v>
      </c>
      <c r="C5426" s="1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  <c r="L5426" s="2" t="s">
        <v>11030</v>
      </c>
      <c r="M5426" s="2" t="s">
        <v>11030</v>
      </c>
      <c r="N5426" s="2" t="s">
        <v>11037</v>
      </c>
      <c r="O5426" s="2" t="s">
        <v>11034</v>
      </c>
      <c r="P5426" s="2" t="s">
        <v>11035</v>
      </c>
      <c r="Q5426" s="2">
        <f>AVERAGE(PerfRate[[#This Row],[EnvironmentSatisfaction]],PerfRate[[#This Row],[JobSatisfaction]],PerfRate[[#This Row],[RelationshipSatisfaction]])</f>
        <v>2.3333333333333335</v>
      </c>
      <c r="R5426" s="2">
        <f>PerfRate[[#This Row],[ManagerRating]] - PerfRate[[#This Row],[SelfRating]]</f>
        <v>0</v>
      </c>
    </row>
    <row r="5427" spans="1:18">
      <c r="A5427" s="2" t="s">
        <v>9734</v>
      </c>
      <c r="B5427" s="2" t="s">
        <v>50</v>
      </c>
      <c r="C5427" s="1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  <c r="L5427" s="2" t="s">
        <v>11029</v>
      </c>
      <c r="M5427" s="2" t="s">
        <v>11029</v>
      </c>
      <c r="N5427" s="2" t="s">
        <v>11034</v>
      </c>
      <c r="O5427" s="2" t="s">
        <v>11037</v>
      </c>
      <c r="P5427" s="2" t="s">
        <v>11036</v>
      </c>
      <c r="Q5427" s="2">
        <f>AVERAGE(PerfRate[[#This Row],[EnvironmentSatisfaction]],PerfRate[[#This Row],[JobSatisfaction]],PerfRate[[#This Row],[RelationshipSatisfaction]])</f>
        <v>2.6666666666666665</v>
      </c>
      <c r="R5427" s="2">
        <f>PerfRate[[#This Row],[ManagerRating]] - PerfRate[[#This Row],[SelfRating]]</f>
        <v>0</v>
      </c>
    </row>
    <row r="5428" spans="1:18">
      <c r="A5428" s="2" t="s">
        <v>9735</v>
      </c>
      <c r="B5428" s="2" t="s">
        <v>1111</v>
      </c>
      <c r="C5428" s="1">
        <v>42008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  <c r="L5428" s="2" t="s">
        <v>11031</v>
      </c>
      <c r="M5428" s="2" t="s">
        <v>11030</v>
      </c>
      <c r="N5428" s="2" t="s">
        <v>11037</v>
      </c>
      <c r="O5428" s="2" t="s">
        <v>11037</v>
      </c>
      <c r="P5428" s="2" t="s">
        <v>11035</v>
      </c>
      <c r="Q5428" s="2">
        <f>AVERAGE(PerfRate[[#This Row],[EnvironmentSatisfaction]],PerfRate[[#This Row],[JobSatisfaction]],PerfRate[[#This Row],[RelationshipSatisfaction]])</f>
        <v>3.3333333333333335</v>
      </c>
      <c r="R5428" s="2">
        <f>PerfRate[[#This Row],[ManagerRating]] - PerfRate[[#This Row],[SelfRating]]</f>
        <v>-1</v>
      </c>
    </row>
    <row r="5429" spans="1:18">
      <c r="A5429" s="2" t="s">
        <v>9736</v>
      </c>
      <c r="B5429" s="2" t="s">
        <v>759</v>
      </c>
      <c r="C5429" s="1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  <c r="L5429" s="2" t="s">
        <v>11031</v>
      </c>
      <c r="M5429" s="2" t="s">
        <v>11030</v>
      </c>
      <c r="N5429" s="2" t="s">
        <v>11036</v>
      </c>
      <c r="O5429" s="2" t="s">
        <v>11038</v>
      </c>
      <c r="P5429" s="2" t="s">
        <v>11035</v>
      </c>
      <c r="Q5429" s="2">
        <f>AVERAGE(PerfRate[[#This Row],[EnvironmentSatisfaction]],PerfRate[[#This Row],[JobSatisfaction]],PerfRate[[#This Row],[RelationshipSatisfaction]])</f>
        <v>3.3333333333333335</v>
      </c>
      <c r="R5429" s="2">
        <f>PerfRate[[#This Row],[ManagerRating]] - PerfRate[[#This Row],[SelfRating]]</f>
        <v>-1</v>
      </c>
    </row>
    <row r="5430" spans="1:18">
      <c r="A5430" s="2" t="s">
        <v>9737</v>
      </c>
      <c r="B5430" s="2" t="s">
        <v>610</v>
      </c>
      <c r="C5430" s="1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  <c r="L5430" s="2" t="s">
        <v>11031</v>
      </c>
      <c r="M5430" s="2" t="s">
        <v>11030</v>
      </c>
      <c r="N5430" s="2" t="s">
        <v>11038</v>
      </c>
      <c r="O5430" s="2" t="s">
        <v>11037</v>
      </c>
      <c r="P5430" s="2" t="s">
        <v>11036</v>
      </c>
      <c r="Q5430" s="2">
        <f>AVERAGE(PerfRate[[#This Row],[EnvironmentSatisfaction]],PerfRate[[#This Row],[JobSatisfaction]],PerfRate[[#This Row],[RelationshipSatisfaction]])</f>
        <v>4</v>
      </c>
      <c r="R5430" s="2">
        <f>PerfRate[[#This Row],[ManagerRating]] - PerfRate[[#This Row],[SelfRating]]</f>
        <v>-1</v>
      </c>
    </row>
    <row r="5431" spans="1:18">
      <c r="A5431" s="2" t="s">
        <v>9738</v>
      </c>
      <c r="B5431" s="2" t="s">
        <v>3382</v>
      </c>
      <c r="C5431" s="1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  <c r="L5431" s="2" t="s">
        <v>11030</v>
      </c>
      <c r="M5431" s="2" t="s">
        <v>11030</v>
      </c>
      <c r="N5431" s="2" t="s">
        <v>11037</v>
      </c>
      <c r="O5431" s="2" t="s">
        <v>11038</v>
      </c>
      <c r="P5431" s="2" t="s">
        <v>11038</v>
      </c>
      <c r="Q5431" s="2">
        <f>AVERAGE(PerfRate[[#This Row],[EnvironmentSatisfaction]],PerfRate[[#This Row],[JobSatisfaction]],PerfRate[[#This Row],[RelationshipSatisfaction]])</f>
        <v>4.666666666666667</v>
      </c>
      <c r="R5431" s="2">
        <f>PerfRate[[#This Row],[ManagerRating]] - PerfRate[[#This Row],[SelfRating]]</f>
        <v>0</v>
      </c>
    </row>
    <row r="5432" spans="1:18">
      <c r="A5432" s="2" t="s">
        <v>9739</v>
      </c>
      <c r="B5432" s="2" t="s">
        <v>175</v>
      </c>
      <c r="C5432" s="1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  <c r="L5432" s="2" t="s">
        <v>11031</v>
      </c>
      <c r="M5432" s="2" t="s">
        <v>11030</v>
      </c>
      <c r="N5432" s="2" t="s">
        <v>11037</v>
      </c>
      <c r="O5432" s="2" t="s">
        <v>11038</v>
      </c>
      <c r="P5432" s="2" t="s">
        <v>11038</v>
      </c>
      <c r="Q5432" s="2">
        <f>AVERAGE(PerfRate[[#This Row],[EnvironmentSatisfaction]],PerfRate[[#This Row],[JobSatisfaction]],PerfRate[[#This Row],[RelationshipSatisfaction]])</f>
        <v>4.666666666666667</v>
      </c>
      <c r="R5432" s="2">
        <f>PerfRate[[#This Row],[ManagerRating]] - PerfRate[[#This Row],[SelfRating]]</f>
        <v>-1</v>
      </c>
    </row>
    <row r="5433" spans="1:18">
      <c r="A5433" s="2" t="s">
        <v>9740</v>
      </c>
      <c r="B5433" s="2" t="s">
        <v>1418</v>
      </c>
      <c r="C5433" s="1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  <c r="L5433" s="2" t="s">
        <v>11029</v>
      </c>
      <c r="M5433" s="2" t="s">
        <v>11029</v>
      </c>
      <c r="N5433" s="2" t="s">
        <v>11037</v>
      </c>
      <c r="O5433" s="2" t="s">
        <v>11036</v>
      </c>
      <c r="P5433" s="2" t="s">
        <v>11037</v>
      </c>
      <c r="Q5433" s="2">
        <f>AVERAGE(PerfRate[[#This Row],[EnvironmentSatisfaction]],PerfRate[[#This Row],[JobSatisfaction]],PerfRate[[#This Row],[RelationshipSatisfaction]])</f>
        <v>3.6666666666666665</v>
      </c>
      <c r="R5433" s="2">
        <f>PerfRate[[#This Row],[ManagerRating]] - PerfRate[[#This Row],[SelfRating]]</f>
        <v>0</v>
      </c>
    </row>
    <row r="5434" spans="1:18">
      <c r="A5434" s="2" t="s">
        <v>9741</v>
      </c>
      <c r="B5434" s="2" t="s">
        <v>2169</v>
      </c>
      <c r="C5434" s="1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  <c r="L5434" s="2" t="s">
        <v>11029</v>
      </c>
      <c r="M5434" s="2" t="s">
        <v>11029</v>
      </c>
      <c r="N5434" s="2" t="s">
        <v>11036</v>
      </c>
      <c r="O5434" s="2" t="s">
        <v>11036</v>
      </c>
      <c r="P5434" s="2" t="s">
        <v>11035</v>
      </c>
      <c r="Q5434" s="2">
        <f>AVERAGE(PerfRate[[#This Row],[EnvironmentSatisfaction]],PerfRate[[#This Row],[JobSatisfaction]],PerfRate[[#This Row],[RelationshipSatisfaction]])</f>
        <v>2.6666666666666665</v>
      </c>
      <c r="R5434" s="2">
        <f>PerfRate[[#This Row],[ManagerRating]] - PerfRate[[#This Row],[SelfRating]]</f>
        <v>0</v>
      </c>
    </row>
    <row r="5435" spans="1:18">
      <c r="A5435" s="2" t="s">
        <v>9742</v>
      </c>
      <c r="B5435" s="2" t="s">
        <v>3519</v>
      </c>
      <c r="C5435" s="1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  <c r="L5435" s="2" t="s">
        <v>11031</v>
      </c>
      <c r="M5435" s="2" t="s">
        <v>11030</v>
      </c>
      <c r="N5435" s="2" t="s">
        <v>11034</v>
      </c>
      <c r="O5435" s="2" t="s">
        <v>11035</v>
      </c>
      <c r="P5435" s="2" t="s">
        <v>11034</v>
      </c>
      <c r="Q5435" s="2">
        <f>AVERAGE(PerfRate[[#This Row],[EnvironmentSatisfaction]],PerfRate[[#This Row],[JobSatisfaction]],PerfRate[[#This Row],[RelationshipSatisfaction]])</f>
        <v>1.3333333333333333</v>
      </c>
      <c r="R5435" s="2">
        <f>PerfRate[[#This Row],[ManagerRating]] - PerfRate[[#This Row],[SelfRating]]</f>
        <v>-1</v>
      </c>
    </row>
    <row r="5436" spans="1:18">
      <c r="A5436" s="2" t="s">
        <v>9743</v>
      </c>
      <c r="B5436" s="2" t="s">
        <v>4072</v>
      </c>
      <c r="C5436" s="1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  <c r="L5436" s="2" t="s">
        <v>11030</v>
      </c>
      <c r="M5436" s="2" t="s">
        <v>11030</v>
      </c>
      <c r="N5436" s="2" t="s">
        <v>11034</v>
      </c>
      <c r="O5436" s="2" t="s">
        <v>11035</v>
      </c>
      <c r="P5436" s="2" t="s">
        <v>11035</v>
      </c>
      <c r="Q5436" s="2">
        <f>AVERAGE(PerfRate[[#This Row],[EnvironmentSatisfaction]],PerfRate[[#This Row],[JobSatisfaction]],PerfRate[[#This Row],[RelationshipSatisfaction]])</f>
        <v>1.6666666666666667</v>
      </c>
      <c r="R5436" s="2">
        <f>PerfRate[[#This Row],[ManagerRating]] - PerfRate[[#This Row],[SelfRating]]</f>
        <v>0</v>
      </c>
    </row>
    <row r="5437" spans="1:18">
      <c r="A5437" s="2" t="s">
        <v>9744</v>
      </c>
      <c r="B5437" s="2" t="s">
        <v>2060</v>
      </c>
      <c r="C5437" s="1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  <c r="L5437" s="2" t="s">
        <v>11031</v>
      </c>
      <c r="M5437" s="2" t="s">
        <v>11030</v>
      </c>
      <c r="N5437" s="2" t="s">
        <v>11034</v>
      </c>
      <c r="O5437" s="2" t="s">
        <v>11035</v>
      </c>
      <c r="P5437" s="2" t="s">
        <v>11035</v>
      </c>
      <c r="Q5437" s="2">
        <f>AVERAGE(PerfRate[[#This Row],[EnvironmentSatisfaction]],PerfRate[[#This Row],[JobSatisfaction]],PerfRate[[#This Row],[RelationshipSatisfaction]])</f>
        <v>1.6666666666666667</v>
      </c>
      <c r="R5437" s="2">
        <f>PerfRate[[#This Row],[ManagerRating]] - PerfRate[[#This Row],[SelfRating]]</f>
        <v>-1</v>
      </c>
    </row>
    <row r="5438" spans="1:18">
      <c r="A5438" s="2" t="s">
        <v>9745</v>
      </c>
      <c r="B5438" s="2" t="s">
        <v>3561</v>
      </c>
      <c r="C5438" s="1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  <c r="L5438" s="2" t="s">
        <v>11029</v>
      </c>
      <c r="M5438" s="2" t="s">
        <v>11029</v>
      </c>
      <c r="N5438" s="2" t="s">
        <v>11037</v>
      </c>
      <c r="O5438" s="2" t="s">
        <v>11038</v>
      </c>
      <c r="P5438" s="2" t="s">
        <v>11035</v>
      </c>
      <c r="Q5438" s="2">
        <f>AVERAGE(PerfRate[[#This Row],[EnvironmentSatisfaction]],PerfRate[[#This Row],[JobSatisfaction]],PerfRate[[#This Row],[RelationshipSatisfaction]])</f>
        <v>3.6666666666666665</v>
      </c>
      <c r="R5438" s="2">
        <f>PerfRate[[#This Row],[ManagerRating]] - PerfRate[[#This Row],[SelfRating]]</f>
        <v>0</v>
      </c>
    </row>
    <row r="5439" spans="1:18">
      <c r="A5439" s="2" t="s">
        <v>9746</v>
      </c>
      <c r="B5439" s="2" t="s">
        <v>2125</v>
      </c>
      <c r="C5439" s="1">
        <v>42039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  <c r="L5439" s="2" t="s">
        <v>11031</v>
      </c>
      <c r="M5439" s="2" t="s">
        <v>11031</v>
      </c>
      <c r="N5439" s="2" t="s">
        <v>11038</v>
      </c>
      <c r="O5439" s="2" t="s">
        <v>11036</v>
      </c>
      <c r="P5439" s="2" t="s">
        <v>11035</v>
      </c>
      <c r="Q5439" s="2">
        <f>AVERAGE(PerfRate[[#This Row],[EnvironmentSatisfaction]],PerfRate[[#This Row],[JobSatisfaction]],PerfRate[[#This Row],[RelationshipSatisfaction]])</f>
        <v>3.3333333333333335</v>
      </c>
      <c r="R5439" s="2">
        <f>PerfRate[[#This Row],[ManagerRating]] - PerfRate[[#This Row],[SelfRating]]</f>
        <v>0</v>
      </c>
    </row>
    <row r="5440" spans="1:18">
      <c r="A5440" s="2" t="s">
        <v>9747</v>
      </c>
      <c r="B5440" s="2" t="s">
        <v>1663</v>
      </c>
      <c r="C5440" s="1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  <c r="L5440" s="2" t="s">
        <v>11029</v>
      </c>
      <c r="M5440" s="2" t="s">
        <v>11028</v>
      </c>
      <c r="N5440" s="2" t="s">
        <v>11038</v>
      </c>
      <c r="O5440" s="2" t="s">
        <v>11037</v>
      </c>
      <c r="P5440" s="2" t="s">
        <v>11037</v>
      </c>
      <c r="Q5440" s="2">
        <f>AVERAGE(PerfRate[[#This Row],[EnvironmentSatisfaction]],PerfRate[[#This Row],[JobSatisfaction]],PerfRate[[#This Row],[RelationshipSatisfaction]])</f>
        <v>4.333333333333333</v>
      </c>
      <c r="R5440" s="2">
        <f>PerfRate[[#This Row],[ManagerRating]] - PerfRate[[#This Row],[SelfRating]]</f>
        <v>-1</v>
      </c>
    </row>
    <row r="5441" spans="1:18">
      <c r="A5441" s="2" t="s">
        <v>9748</v>
      </c>
      <c r="B5441" s="2" t="s">
        <v>1139</v>
      </c>
      <c r="C5441" s="1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  <c r="L5441" s="2" t="s">
        <v>11031</v>
      </c>
      <c r="M5441" s="2" t="s">
        <v>11031</v>
      </c>
      <c r="N5441" s="2" t="s">
        <v>11037</v>
      </c>
      <c r="O5441" s="2" t="s">
        <v>11037</v>
      </c>
      <c r="P5441" s="2" t="s">
        <v>11038</v>
      </c>
      <c r="Q5441" s="2">
        <f>AVERAGE(PerfRate[[#This Row],[EnvironmentSatisfaction]],PerfRate[[#This Row],[JobSatisfaction]],PerfRate[[#This Row],[RelationshipSatisfaction]])</f>
        <v>4.333333333333333</v>
      </c>
      <c r="R5441" s="2">
        <f>PerfRate[[#This Row],[ManagerRating]] - PerfRate[[#This Row],[SelfRating]]</f>
        <v>0</v>
      </c>
    </row>
    <row r="5442" spans="1:18">
      <c r="A5442" s="2" t="s">
        <v>9749</v>
      </c>
      <c r="B5442" s="2" t="s">
        <v>2551</v>
      </c>
      <c r="C5442" s="1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  <c r="L5442" s="2" t="s">
        <v>11030</v>
      </c>
      <c r="M5442" s="2" t="s">
        <v>11030</v>
      </c>
      <c r="N5442" s="2" t="s">
        <v>11036</v>
      </c>
      <c r="O5442" s="2" t="s">
        <v>11037</v>
      </c>
      <c r="P5442" s="2" t="s">
        <v>11038</v>
      </c>
      <c r="Q5442" s="2">
        <f>AVERAGE(PerfRate[[#This Row],[EnvironmentSatisfaction]],PerfRate[[#This Row],[JobSatisfaction]],PerfRate[[#This Row],[RelationshipSatisfaction]])</f>
        <v>4</v>
      </c>
      <c r="R5442" s="2">
        <f>PerfRate[[#This Row],[ManagerRating]] - PerfRate[[#This Row],[SelfRating]]</f>
        <v>0</v>
      </c>
    </row>
    <row r="5443" spans="1:18">
      <c r="A5443" s="2" t="s">
        <v>9750</v>
      </c>
      <c r="B5443" s="2" t="s">
        <v>1111</v>
      </c>
      <c r="C5443" s="1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  <c r="L5443" s="2" t="s">
        <v>11029</v>
      </c>
      <c r="M5443" s="2" t="s">
        <v>11028</v>
      </c>
      <c r="N5443" s="2" t="s">
        <v>11036</v>
      </c>
      <c r="O5443" s="2" t="s">
        <v>11036</v>
      </c>
      <c r="P5443" s="2" t="s">
        <v>11037</v>
      </c>
      <c r="Q5443" s="2">
        <f>AVERAGE(PerfRate[[#This Row],[EnvironmentSatisfaction]],PerfRate[[#This Row],[JobSatisfaction]],PerfRate[[#This Row],[RelationshipSatisfaction]])</f>
        <v>3.3333333333333335</v>
      </c>
      <c r="R5443" s="2">
        <f>PerfRate[[#This Row],[ManagerRating]] - PerfRate[[#This Row],[SelfRating]]</f>
        <v>-1</v>
      </c>
    </row>
    <row r="5444" spans="1:18">
      <c r="A5444" s="2" t="s">
        <v>9751</v>
      </c>
      <c r="B5444" s="2" t="s">
        <v>532</v>
      </c>
      <c r="C5444" s="1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  <c r="L5444" s="2" t="s">
        <v>11030</v>
      </c>
      <c r="M5444" s="2" t="s">
        <v>11029</v>
      </c>
      <c r="N5444" s="2" t="s">
        <v>11036</v>
      </c>
      <c r="O5444" s="2" t="s">
        <v>11038</v>
      </c>
      <c r="P5444" s="2" t="s">
        <v>11037</v>
      </c>
      <c r="Q5444" s="2">
        <f>AVERAGE(PerfRate[[#This Row],[EnvironmentSatisfaction]],PerfRate[[#This Row],[JobSatisfaction]],PerfRate[[#This Row],[RelationshipSatisfaction]])</f>
        <v>4</v>
      </c>
      <c r="R5444" s="2">
        <f>PerfRate[[#This Row],[ManagerRating]] - PerfRate[[#This Row],[SelfRating]]</f>
        <v>-1</v>
      </c>
    </row>
    <row r="5445" spans="1:18">
      <c r="A5445" s="2" t="s">
        <v>9752</v>
      </c>
      <c r="B5445" s="2" t="s">
        <v>1850</v>
      </c>
      <c r="C5445" s="1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  <c r="L5445" s="2" t="s">
        <v>11030</v>
      </c>
      <c r="M5445" s="2" t="s">
        <v>11029</v>
      </c>
      <c r="N5445" s="2" t="s">
        <v>11036</v>
      </c>
      <c r="O5445" s="2" t="s">
        <v>11037</v>
      </c>
      <c r="P5445" s="2" t="s">
        <v>11037</v>
      </c>
      <c r="Q5445" s="2">
        <f>AVERAGE(PerfRate[[#This Row],[EnvironmentSatisfaction]],PerfRate[[#This Row],[JobSatisfaction]],PerfRate[[#This Row],[RelationshipSatisfaction]])</f>
        <v>3.6666666666666665</v>
      </c>
      <c r="R5445" s="2">
        <f>PerfRate[[#This Row],[ManagerRating]] - PerfRate[[#This Row],[SelfRating]]</f>
        <v>-1</v>
      </c>
    </row>
    <row r="5446" spans="1:18">
      <c r="A5446" s="2" t="s">
        <v>9753</v>
      </c>
      <c r="B5446" s="2" t="s">
        <v>2326</v>
      </c>
      <c r="C5446" s="1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  <c r="L5446" s="2" t="s">
        <v>11029</v>
      </c>
      <c r="M5446" s="2" t="s">
        <v>11028</v>
      </c>
      <c r="N5446" s="2" t="s">
        <v>11038</v>
      </c>
      <c r="O5446" s="2" t="s">
        <v>11038</v>
      </c>
      <c r="P5446" s="2" t="s">
        <v>11035</v>
      </c>
      <c r="Q5446" s="2">
        <f>AVERAGE(PerfRate[[#This Row],[EnvironmentSatisfaction]],PerfRate[[#This Row],[JobSatisfaction]],PerfRate[[#This Row],[RelationshipSatisfaction]])</f>
        <v>4</v>
      </c>
      <c r="R5446" s="2">
        <f>PerfRate[[#This Row],[ManagerRating]] - PerfRate[[#This Row],[SelfRating]]</f>
        <v>-1</v>
      </c>
    </row>
    <row r="5447" spans="1:18">
      <c r="A5447" s="2" t="s">
        <v>9754</v>
      </c>
      <c r="B5447" s="2" t="s">
        <v>2709</v>
      </c>
      <c r="C5447" s="1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  <c r="L5447" s="2" t="s">
        <v>11030</v>
      </c>
      <c r="M5447" s="2" t="s">
        <v>11029</v>
      </c>
      <c r="N5447" s="2" t="s">
        <v>11037</v>
      </c>
      <c r="O5447" s="2" t="s">
        <v>11038</v>
      </c>
      <c r="P5447" s="2" t="s">
        <v>11037</v>
      </c>
      <c r="Q5447" s="2">
        <f>AVERAGE(PerfRate[[#This Row],[EnvironmentSatisfaction]],PerfRate[[#This Row],[JobSatisfaction]],PerfRate[[#This Row],[RelationshipSatisfaction]])</f>
        <v>4.333333333333333</v>
      </c>
      <c r="R5447" s="2">
        <f>PerfRate[[#This Row],[ManagerRating]] - PerfRate[[#This Row],[SelfRating]]</f>
        <v>-1</v>
      </c>
    </row>
    <row r="5448" spans="1:18">
      <c r="A5448" s="2" t="s">
        <v>9755</v>
      </c>
      <c r="B5448" s="2" t="s">
        <v>3391</v>
      </c>
      <c r="C5448" s="1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  <c r="L5448" s="2" t="s">
        <v>11030</v>
      </c>
      <c r="M5448" s="2" t="s">
        <v>11029</v>
      </c>
      <c r="N5448" s="2" t="s">
        <v>11037</v>
      </c>
      <c r="O5448" s="2" t="s">
        <v>11036</v>
      </c>
      <c r="P5448" s="2" t="s">
        <v>11037</v>
      </c>
      <c r="Q5448" s="2">
        <f>AVERAGE(PerfRate[[#This Row],[EnvironmentSatisfaction]],PerfRate[[#This Row],[JobSatisfaction]],PerfRate[[#This Row],[RelationshipSatisfaction]])</f>
        <v>3.6666666666666665</v>
      </c>
      <c r="R5448" s="2">
        <f>PerfRate[[#This Row],[ManagerRating]] - PerfRate[[#This Row],[SelfRating]]</f>
        <v>-1</v>
      </c>
    </row>
    <row r="5449" spans="1:18">
      <c r="A5449" s="2" t="s">
        <v>9756</v>
      </c>
      <c r="B5449" s="2" t="s">
        <v>1802</v>
      </c>
      <c r="C5449" s="1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  <c r="L5449" s="2" t="s">
        <v>11030</v>
      </c>
      <c r="M5449" s="2" t="s">
        <v>11029</v>
      </c>
      <c r="N5449" s="2" t="s">
        <v>11038</v>
      </c>
      <c r="O5449" s="2" t="s">
        <v>11035</v>
      </c>
      <c r="P5449" s="2" t="s">
        <v>11036</v>
      </c>
      <c r="Q5449" s="2">
        <f>AVERAGE(PerfRate[[#This Row],[EnvironmentSatisfaction]],PerfRate[[#This Row],[JobSatisfaction]],PerfRate[[#This Row],[RelationshipSatisfaction]])</f>
        <v>3.3333333333333335</v>
      </c>
      <c r="R5449" s="2">
        <f>PerfRate[[#This Row],[ManagerRating]] - PerfRate[[#This Row],[SelfRating]]</f>
        <v>-1</v>
      </c>
    </row>
    <row r="5450" spans="1:18">
      <c r="A5450" s="2" t="s">
        <v>9757</v>
      </c>
      <c r="B5450" s="2" t="s">
        <v>2453</v>
      </c>
      <c r="C5450" s="1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  <c r="L5450" s="2" t="s">
        <v>11031</v>
      </c>
      <c r="M5450" s="2" t="s">
        <v>11030</v>
      </c>
      <c r="N5450" s="2" t="s">
        <v>11037</v>
      </c>
      <c r="O5450" s="2" t="s">
        <v>11037</v>
      </c>
      <c r="P5450" s="2" t="s">
        <v>11036</v>
      </c>
      <c r="Q5450" s="2">
        <f>AVERAGE(PerfRate[[#This Row],[EnvironmentSatisfaction]],PerfRate[[#This Row],[JobSatisfaction]],PerfRate[[#This Row],[RelationshipSatisfaction]])</f>
        <v>3.6666666666666665</v>
      </c>
      <c r="R5450" s="2">
        <f>PerfRate[[#This Row],[ManagerRating]] - PerfRate[[#This Row],[SelfRating]]</f>
        <v>-1</v>
      </c>
    </row>
    <row r="5451" spans="1:18">
      <c r="A5451" s="2" t="s">
        <v>9758</v>
      </c>
      <c r="B5451" s="2" t="s">
        <v>3129</v>
      </c>
      <c r="C5451" s="1">
        <v>42039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  <c r="L5451" s="2" t="s">
        <v>11029</v>
      </c>
      <c r="M5451" s="2" t="s">
        <v>11028</v>
      </c>
      <c r="N5451" s="2" t="s">
        <v>11037</v>
      </c>
      <c r="O5451" s="2" t="s">
        <v>11035</v>
      </c>
      <c r="P5451" s="2" t="s">
        <v>11035</v>
      </c>
      <c r="Q5451" s="2">
        <f>AVERAGE(PerfRate[[#This Row],[EnvironmentSatisfaction]],PerfRate[[#This Row],[JobSatisfaction]],PerfRate[[#This Row],[RelationshipSatisfaction]])</f>
        <v>2.6666666666666665</v>
      </c>
      <c r="R5451" s="2">
        <f>PerfRate[[#This Row],[ManagerRating]] - PerfRate[[#This Row],[SelfRating]]</f>
        <v>-1</v>
      </c>
    </row>
    <row r="5452" spans="1:18">
      <c r="A5452" s="2" t="s">
        <v>9759</v>
      </c>
      <c r="B5452" s="2" t="s">
        <v>3320</v>
      </c>
      <c r="C5452" s="1">
        <v>44565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  <c r="L5452" s="2" t="s">
        <v>11029</v>
      </c>
      <c r="M5452" s="2" t="s">
        <v>11029</v>
      </c>
      <c r="N5452" s="2" t="s">
        <v>11036</v>
      </c>
      <c r="O5452" s="2" t="s">
        <v>11036</v>
      </c>
      <c r="P5452" s="2" t="s">
        <v>11036</v>
      </c>
      <c r="Q5452" s="2">
        <f>AVERAGE(PerfRate[[#This Row],[EnvironmentSatisfaction]],PerfRate[[#This Row],[JobSatisfaction]],PerfRate[[#This Row],[RelationshipSatisfaction]])</f>
        <v>3</v>
      </c>
      <c r="R5452" s="2">
        <f>PerfRate[[#This Row],[ManagerRating]] - PerfRate[[#This Row],[SelfRating]]</f>
        <v>0</v>
      </c>
    </row>
    <row r="5453" spans="1:18">
      <c r="A5453" s="2" t="s">
        <v>9760</v>
      </c>
      <c r="B5453" s="2" t="s">
        <v>160</v>
      </c>
      <c r="C5453" s="1">
        <v>44565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  <c r="L5453" s="2" t="s">
        <v>11031</v>
      </c>
      <c r="M5453" s="2" t="s">
        <v>11030</v>
      </c>
      <c r="N5453" s="2" t="s">
        <v>11037</v>
      </c>
      <c r="O5453" s="2" t="s">
        <v>11037</v>
      </c>
      <c r="P5453" s="2" t="s">
        <v>11036</v>
      </c>
      <c r="Q5453" s="2">
        <f>AVERAGE(PerfRate[[#This Row],[EnvironmentSatisfaction]],PerfRate[[#This Row],[JobSatisfaction]],PerfRate[[#This Row],[RelationshipSatisfaction]])</f>
        <v>3.6666666666666665</v>
      </c>
      <c r="R5453" s="2">
        <f>PerfRate[[#This Row],[ManagerRating]] - PerfRate[[#This Row],[SelfRating]]</f>
        <v>-1</v>
      </c>
    </row>
    <row r="5454" spans="1:18">
      <c r="A5454" s="2" t="s">
        <v>9761</v>
      </c>
      <c r="B5454" s="2" t="s">
        <v>753</v>
      </c>
      <c r="C5454" s="1">
        <v>44565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  <c r="L5454" s="2" t="s">
        <v>11030</v>
      </c>
      <c r="M5454" s="2" t="s">
        <v>11030</v>
      </c>
      <c r="N5454" s="2" t="s">
        <v>11037</v>
      </c>
      <c r="O5454" s="2" t="s">
        <v>11037</v>
      </c>
      <c r="P5454" s="2" t="s">
        <v>11038</v>
      </c>
      <c r="Q5454" s="2">
        <f>AVERAGE(PerfRate[[#This Row],[EnvironmentSatisfaction]],PerfRate[[#This Row],[JobSatisfaction]],PerfRate[[#This Row],[RelationshipSatisfaction]])</f>
        <v>4.333333333333333</v>
      </c>
      <c r="R5454" s="2">
        <f>PerfRate[[#This Row],[ManagerRating]] - PerfRate[[#This Row],[SelfRating]]</f>
        <v>0</v>
      </c>
    </row>
    <row r="5455" spans="1:18">
      <c r="A5455" s="2" t="s">
        <v>9762</v>
      </c>
      <c r="B5455" s="2" t="s">
        <v>1108</v>
      </c>
      <c r="C5455" s="1">
        <v>44565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  <c r="L5455" s="2" t="s">
        <v>11030</v>
      </c>
      <c r="M5455" s="2" t="s">
        <v>11030</v>
      </c>
      <c r="N5455" s="2" t="s">
        <v>11038</v>
      </c>
      <c r="O5455" s="2" t="s">
        <v>11035</v>
      </c>
      <c r="P5455" s="2" t="s">
        <v>11036</v>
      </c>
      <c r="Q5455" s="2">
        <f>AVERAGE(PerfRate[[#This Row],[EnvironmentSatisfaction]],PerfRate[[#This Row],[JobSatisfaction]],PerfRate[[#This Row],[RelationshipSatisfaction]])</f>
        <v>3.3333333333333335</v>
      </c>
      <c r="R5455" s="2">
        <f>PerfRate[[#This Row],[ManagerRating]] - PerfRate[[#This Row],[SelfRating]]</f>
        <v>0</v>
      </c>
    </row>
    <row r="5456" spans="1:18">
      <c r="A5456" s="2" t="s">
        <v>9763</v>
      </c>
      <c r="B5456" s="2" t="s">
        <v>1189</v>
      </c>
      <c r="C5456" s="1">
        <v>44596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  <c r="L5456" s="2" t="s">
        <v>11031</v>
      </c>
      <c r="M5456" s="2" t="s">
        <v>11030</v>
      </c>
      <c r="N5456" s="2" t="s">
        <v>11038</v>
      </c>
      <c r="O5456" s="2" t="s">
        <v>11036</v>
      </c>
      <c r="P5456" s="2" t="s">
        <v>11038</v>
      </c>
      <c r="Q5456" s="2">
        <f>AVERAGE(PerfRate[[#This Row],[EnvironmentSatisfaction]],PerfRate[[#This Row],[JobSatisfaction]],PerfRate[[#This Row],[RelationshipSatisfaction]])</f>
        <v>4.333333333333333</v>
      </c>
      <c r="R5456" s="2">
        <f>PerfRate[[#This Row],[ManagerRating]] - PerfRate[[#This Row],[SelfRating]]</f>
        <v>-1</v>
      </c>
    </row>
    <row r="5457" spans="1:18">
      <c r="A5457" s="2" t="s">
        <v>9764</v>
      </c>
      <c r="B5457" s="2" t="s">
        <v>2312</v>
      </c>
      <c r="C5457" s="1">
        <v>44596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  <c r="L5457" s="2" t="s">
        <v>11031</v>
      </c>
      <c r="M5457" s="2" t="s">
        <v>11031</v>
      </c>
      <c r="N5457" s="2" t="s">
        <v>11038</v>
      </c>
      <c r="O5457" s="2" t="s">
        <v>11036</v>
      </c>
      <c r="P5457" s="2" t="s">
        <v>11035</v>
      </c>
      <c r="Q5457" s="2">
        <f>AVERAGE(PerfRate[[#This Row],[EnvironmentSatisfaction]],PerfRate[[#This Row],[JobSatisfaction]],PerfRate[[#This Row],[RelationshipSatisfaction]])</f>
        <v>3.3333333333333335</v>
      </c>
      <c r="R5457" s="2">
        <f>PerfRate[[#This Row],[ManagerRating]] - PerfRate[[#This Row],[SelfRating]]</f>
        <v>0</v>
      </c>
    </row>
    <row r="5458" spans="1:18">
      <c r="A5458" s="2" t="s">
        <v>9765</v>
      </c>
      <c r="B5458" s="2" t="s">
        <v>2473</v>
      </c>
      <c r="C5458" s="1">
        <v>44596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  <c r="L5458" s="2" t="s">
        <v>11029</v>
      </c>
      <c r="M5458" s="2" t="s">
        <v>11029</v>
      </c>
      <c r="N5458" s="2" t="s">
        <v>11037</v>
      </c>
      <c r="O5458" s="2" t="s">
        <v>11038</v>
      </c>
      <c r="P5458" s="2" t="s">
        <v>11037</v>
      </c>
      <c r="Q5458" s="2">
        <f>AVERAGE(PerfRate[[#This Row],[EnvironmentSatisfaction]],PerfRate[[#This Row],[JobSatisfaction]],PerfRate[[#This Row],[RelationshipSatisfaction]])</f>
        <v>4.333333333333333</v>
      </c>
      <c r="R5458" s="2">
        <f>PerfRate[[#This Row],[ManagerRating]] - PerfRate[[#This Row],[SelfRating]]</f>
        <v>0</v>
      </c>
    </row>
    <row r="5459" spans="1:18">
      <c r="A5459" s="2" t="s">
        <v>9766</v>
      </c>
      <c r="B5459" s="2" t="s">
        <v>3222</v>
      </c>
      <c r="C5459" s="1">
        <v>44596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  <c r="L5459" s="2" t="s">
        <v>11029</v>
      </c>
      <c r="M5459" s="2" t="s">
        <v>11029</v>
      </c>
      <c r="N5459" s="2" t="s">
        <v>11038</v>
      </c>
      <c r="O5459" s="2" t="s">
        <v>11036</v>
      </c>
      <c r="P5459" s="2" t="s">
        <v>11037</v>
      </c>
      <c r="Q5459" s="2">
        <f>AVERAGE(PerfRate[[#This Row],[EnvironmentSatisfaction]],PerfRate[[#This Row],[JobSatisfaction]],PerfRate[[#This Row],[RelationshipSatisfaction]])</f>
        <v>4</v>
      </c>
      <c r="R5459" s="2">
        <f>PerfRate[[#This Row],[ManagerRating]] - PerfRate[[#This Row],[SelfRating]]</f>
        <v>0</v>
      </c>
    </row>
    <row r="5460" spans="1:18">
      <c r="A5460" s="2" t="s">
        <v>9767</v>
      </c>
      <c r="B5460" s="2" t="s">
        <v>1529</v>
      </c>
      <c r="C5460" s="1">
        <v>44624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  <c r="L5460" s="2" t="s">
        <v>11030</v>
      </c>
      <c r="M5460" s="2" t="s">
        <v>11029</v>
      </c>
      <c r="N5460" s="2" t="s">
        <v>11037</v>
      </c>
      <c r="O5460" s="2" t="s">
        <v>11037</v>
      </c>
      <c r="P5460" s="2" t="s">
        <v>11036</v>
      </c>
      <c r="Q5460" s="2">
        <f>AVERAGE(PerfRate[[#This Row],[EnvironmentSatisfaction]],PerfRate[[#This Row],[JobSatisfaction]],PerfRate[[#This Row],[RelationshipSatisfaction]])</f>
        <v>3.6666666666666665</v>
      </c>
      <c r="R5460" s="2">
        <f>PerfRate[[#This Row],[ManagerRating]] - PerfRate[[#This Row],[SelfRating]]</f>
        <v>-1</v>
      </c>
    </row>
    <row r="5461" spans="1:18">
      <c r="A5461" s="2" t="s">
        <v>9768</v>
      </c>
      <c r="B5461" s="2" t="s">
        <v>1474</v>
      </c>
      <c r="C5461" s="1">
        <v>44624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  <c r="L5461" s="2" t="s">
        <v>11029</v>
      </c>
      <c r="M5461" s="2" t="s">
        <v>11029</v>
      </c>
      <c r="N5461" s="2" t="s">
        <v>11038</v>
      </c>
      <c r="O5461" s="2" t="s">
        <v>11036</v>
      </c>
      <c r="P5461" s="2" t="s">
        <v>11035</v>
      </c>
      <c r="Q5461" s="2">
        <f>AVERAGE(PerfRate[[#This Row],[EnvironmentSatisfaction]],PerfRate[[#This Row],[JobSatisfaction]],PerfRate[[#This Row],[RelationshipSatisfaction]])</f>
        <v>3.3333333333333335</v>
      </c>
      <c r="R5461" s="2">
        <f>PerfRate[[#This Row],[ManagerRating]] - PerfRate[[#This Row],[SelfRating]]</f>
        <v>0</v>
      </c>
    </row>
    <row r="5462" spans="1:18">
      <c r="A5462" s="2" t="s">
        <v>9769</v>
      </c>
      <c r="B5462" s="2" t="s">
        <v>3320</v>
      </c>
      <c r="C5462" s="1">
        <v>42067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  <c r="L5462" s="2" t="s">
        <v>11029</v>
      </c>
      <c r="M5462" s="2" t="s">
        <v>11028</v>
      </c>
      <c r="N5462" s="2" t="s">
        <v>11037</v>
      </c>
      <c r="O5462" s="2" t="s">
        <v>11037</v>
      </c>
      <c r="P5462" s="2" t="s">
        <v>11037</v>
      </c>
      <c r="Q5462" s="2">
        <f>AVERAGE(PerfRate[[#This Row],[EnvironmentSatisfaction]],PerfRate[[#This Row],[JobSatisfaction]],PerfRate[[#This Row],[RelationshipSatisfaction]])</f>
        <v>4</v>
      </c>
      <c r="R5462" s="2">
        <f>PerfRate[[#This Row],[ManagerRating]] - PerfRate[[#This Row],[SelfRating]]</f>
        <v>-1</v>
      </c>
    </row>
    <row r="5463" spans="1:18">
      <c r="A5463" s="2" t="s">
        <v>9770</v>
      </c>
      <c r="B5463" s="2" t="s">
        <v>1853</v>
      </c>
      <c r="C5463" s="1">
        <v>44624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  <c r="L5463" s="2" t="s">
        <v>11031</v>
      </c>
      <c r="M5463" s="2" t="s">
        <v>11031</v>
      </c>
      <c r="N5463" s="2" t="s">
        <v>11036</v>
      </c>
      <c r="O5463" s="2" t="s">
        <v>11037</v>
      </c>
      <c r="P5463" s="2" t="s">
        <v>11036</v>
      </c>
      <c r="Q5463" s="2">
        <f>AVERAGE(PerfRate[[#This Row],[EnvironmentSatisfaction]],PerfRate[[#This Row],[JobSatisfaction]],PerfRate[[#This Row],[RelationshipSatisfaction]])</f>
        <v>3.3333333333333335</v>
      </c>
      <c r="R5463" s="2">
        <f>PerfRate[[#This Row],[ManagerRating]] - PerfRate[[#This Row],[SelfRating]]</f>
        <v>0</v>
      </c>
    </row>
    <row r="5464" spans="1:18">
      <c r="A5464" s="2" t="s">
        <v>9771</v>
      </c>
      <c r="B5464" s="2" t="s">
        <v>687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  <c r="L5464" s="2" t="s">
        <v>11029</v>
      </c>
      <c r="M5464" s="2" t="s">
        <v>11029</v>
      </c>
      <c r="N5464" s="2" t="s">
        <v>11037</v>
      </c>
      <c r="O5464" s="2" t="s">
        <v>11035</v>
      </c>
      <c r="P5464" s="2" t="s">
        <v>11037</v>
      </c>
      <c r="Q5464" s="2">
        <f>AVERAGE(PerfRate[[#This Row],[EnvironmentSatisfaction]],PerfRate[[#This Row],[JobSatisfaction]],PerfRate[[#This Row],[RelationshipSatisfaction]])</f>
        <v>3.3333333333333335</v>
      </c>
      <c r="R5464" s="2">
        <f>PerfRate[[#This Row],[ManagerRating]] - PerfRate[[#This Row],[SelfRating]]</f>
        <v>0</v>
      </c>
    </row>
    <row r="5465" spans="1:18">
      <c r="A5465" s="2" t="s">
        <v>9772</v>
      </c>
      <c r="B5465" s="2" t="s">
        <v>2792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  <c r="L5465" s="2" t="s">
        <v>11029</v>
      </c>
      <c r="M5465" s="2" t="s">
        <v>11028</v>
      </c>
      <c r="N5465" s="2" t="s">
        <v>11036</v>
      </c>
      <c r="O5465" s="2" t="s">
        <v>11036</v>
      </c>
      <c r="P5465" s="2" t="s">
        <v>11037</v>
      </c>
      <c r="Q5465" s="2">
        <f>AVERAGE(PerfRate[[#This Row],[EnvironmentSatisfaction]],PerfRate[[#This Row],[JobSatisfaction]],PerfRate[[#This Row],[RelationshipSatisfaction]])</f>
        <v>3.3333333333333335</v>
      </c>
      <c r="R5465" s="2">
        <f>PerfRate[[#This Row],[ManagerRating]] - PerfRate[[#This Row],[SelfRating]]</f>
        <v>-1</v>
      </c>
    </row>
    <row r="5466" spans="1:18">
      <c r="A5466" s="2" t="s">
        <v>9773</v>
      </c>
      <c r="B5466" s="2" t="s">
        <v>2981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  <c r="L5466" s="2" t="s">
        <v>11031</v>
      </c>
      <c r="M5466" s="2" t="s">
        <v>11030</v>
      </c>
      <c r="N5466" s="2" t="s">
        <v>11037</v>
      </c>
      <c r="O5466" s="2" t="s">
        <v>11034</v>
      </c>
      <c r="P5466" s="2" t="s">
        <v>11034</v>
      </c>
      <c r="Q5466" s="2">
        <f>AVERAGE(PerfRate[[#This Row],[EnvironmentSatisfaction]],PerfRate[[#This Row],[JobSatisfaction]],PerfRate[[#This Row],[RelationshipSatisfaction]])</f>
        <v>2</v>
      </c>
      <c r="R5466" s="2">
        <f>PerfRate[[#This Row],[ManagerRating]] - PerfRate[[#This Row],[SelfRating]]</f>
        <v>-1</v>
      </c>
    </row>
    <row r="5467" spans="1:18">
      <c r="A5467" s="2" t="s">
        <v>9774</v>
      </c>
      <c r="B5467" s="2" t="s">
        <v>1227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  <c r="L5467" s="2" t="s">
        <v>11031</v>
      </c>
      <c r="M5467" s="2" t="s">
        <v>11031</v>
      </c>
      <c r="N5467" s="2" t="s">
        <v>11036</v>
      </c>
      <c r="O5467" s="2" t="s">
        <v>11034</v>
      </c>
      <c r="P5467" s="2" t="s">
        <v>11037</v>
      </c>
      <c r="Q5467" s="2">
        <f>AVERAGE(PerfRate[[#This Row],[EnvironmentSatisfaction]],PerfRate[[#This Row],[JobSatisfaction]],PerfRate[[#This Row],[RelationshipSatisfaction]])</f>
        <v>2.6666666666666665</v>
      </c>
      <c r="R5467" s="2">
        <f>PerfRate[[#This Row],[ManagerRating]] - PerfRate[[#This Row],[SelfRating]]</f>
        <v>0</v>
      </c>
    </row>
    <row r="5468" spans="1:18">
      <c r="A5468" s="2" t="s">
        <v>9775</v>
      </c>
      <c r="B5468" s="2" t="s">
        <v>296</v>
      </c>
      <c r="C5468" s="1">
        <v>44685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  <c r="L5468" s="2" t="s">
        <v>11030</v>
      </c>
      <c r="M5468" s="2" t="s">
        <v>11030</v>
      </c>
      <c r="N5468" s="2" t="s">
        <v>11034</v>
      </c>
      <c r="O5468" s="2" t="s">
        <v>11037</v>
      </c>
      <c r="P5468" s="2" t="s">
        <v>11036</v>
      </c>
      <c r="Q5468" s="2">
        <f>AVERAGE(PerfRate[[#This Row],[EnvironmentSatisfaction]],PerfRate[[#This Row],[JobSatisfaction]],PerfRate[[#This Row],[RelationshipSatisfaction]])</f>
        <v>2.6666666666666665</v>
      </c>
      <c r="R5468" s="2">
        <f>PerfRate[[#This Row],[ManagerRating]] - PerfRate[[#This Row],[SelfRating]]</f>
        <v>0</v>
      </c>
    </row>
    <row r="5469" spans="1:18">
      <c r="A5469" s="2" t="s">
        <v>9776</v>
      </c>
      <c r="B5469" s="2" t="s">
        <v>2175</v>
      </c>
      <c r="C5469" s="1">
        <v>44685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  <c r="L5469" s="2" t="s">
        <v>11029</v>
      </c>
      <c r="M5469" s="2" t="s">
        <v>11028</v>
      </c>
      <c r="N5469" s="2" t="s">
        <v>11036</v>
      </c>
      <c r="O5469" s="2" t="s">
        <v>11037</v>
      </c>
      <c r="P5469" s="2" t="s">
        <v>11038</v>
      </c>
      <c r="Q5469" s="2">
        <f>AVERAGE(PerfRate[[#This Row],[EnvironmentSatisfaction]],PerfRate[[#This Row],[JobSatisfaction]],PerfRate[[#This Row],[RelationshipSatisfaction]])</f>
        <v>4</v>
      </c>
      <c r="R5469" s="2">
        <f>PerfRate[[#This Row],[ManagerRating]] - PerfRate[[#This Row],[SelfRating]]</f>
        <v>-1</v>
      </c>
    </row>
    <row r="5470" spans="1:18">
      <c r="A5470" s="2" t="s">
        <v>9777</v>
      </c>
      <c r="B5470" s="2" t="s">
        <v>2812</v>
      </c>
      <c r="C5470" s="1">
        <v>44685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  <c r="L5470" s="2" t="s">
        <v>11030</v>
      </c>
      <c r="M5470" s="2" t="s">
        <v>11029</v>
      </c>
      <c r="N5470" s="2" t="s">
        <v>11036</v>
      </c>
      <c r="O5470" s="2" t="s">
        <v>11038</v>
      </c>
      <c r="P5470" s="2" t="s">
        <v>11037</v>
      </c>
      <c r="Q5470" s="2">
        <f>AVERAGE(PerfRate[[#This Row],[EnvironmentSatisfaction]],PerfRate[[#This Row],[JobSatisfaction]],PerfRate[[#This Row],[RelationshipSatisfaction]])</f>
        <v>4</v>
      </c>
      <c r="R5470" s="2">
        <f>PerfRate[[#This Row],[ManagerRating]] - PerfRate[[#This Row],[SelfRating]]</f>
        <v>-1</v>
      </c>
    </row>
    <row r="5471" spans="1:18">
      <c r="A5471" s="2" t="s">
        <v>9778</v>
      </c>
      <c r="B5471" s="2" t="s">
        <v>42</v>
      </c>
      <c r="C5471" s="1">
        <v>44746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  <c r="L5471" s="2" t="s">
        <v>11030</v>
      </c>
      <c r="M5471" s="2" t="s">
        <v>11029</v>
      </c>
      <c r="N5471" s="2" t="s">
        <v>11037</v>
      </c>
      <c r="O5471" s="2" t="s">
        <v>11038</v>
      </c>
      <c r="P5471" s="2" t="s">
        <v>11036</v>
      </c>
      <c r="Q5471" s="2">
        <f>AVERAGE(PerfRate[[#This Row],[EnvironmentSatisfaction]],PerfRate[[#This Row],[JobSatisfaction]],PerfRate[[#This Row],[RelationshipSatisfaction]])</f>
        <v>4</v>
      </c>
      <c r="R5471" s="2">
        <f>PerfRate[[#This Row],[ManagerRating]] - PerfRate[[#This Row],[SelfRating]]</f>
        <v>-1</v>
      </c>
    </row>
    <row r="5472" spans="1:18">
      <c r="A5472" s="2" t="s">
        <v>9779</v>
      </c>
      <c r="B5472" s="2" t="s">
        <v>2293</v>
      </c>
      <c r="C5472" s="1">
        <v>44746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  <c r="L5472" s="2" t="s">
        <v>11029</v>
      </c>
      <c r="M5472" s="2" t="s">
        <v>11029</v>
      </c>
      <c r="N5472" s="2" t="s">
        <v>11036</v>
      </c>
      <c r="O5472" s="2" t="s">
        <v>11035</v>
      </c>
      <c r="P5472" s="2" t="s">
        <v>11036</v>
      </c>
      <c r="Q5472" s="2">
        <f>AVERAGE(PerfRate[[#This Row],[EnvironmentSatisfaction]],PerfRate[[#This Row],[JobSatisfaction]],PerfRate[[#This Row],[RelationshipSatisfaction]])</f>
        <v>2.6666666666666665</v>
      </c>
      <c r="R5472" s="2">
        <f>PerfRate[[#This Row],[ManagerRating]] - PerfRate[[#This Row],[SelfRating]]</f>
        <v>0</v>
      </c>
    </row>
    <row r="5473" spans="1:18">
      <c r="A5473" s="2" t="s">
        <v>9780</v>
      </c>
      <c r="B5473" s="2" t="s">
        <v>160</v>
      </c>
      <c r="C5473" s="1">
        <v>42067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  <c r="L5473" s="2" t="s">
        <v>11029</v>
      </c>
      <c r="M5473" s="2" t="s">
        <v>11028</v>
      </c>
      <c r="N5473" s="2" t="s">
        <v>11038</v>
      </c>
      <c r="O5473" s="2" t="s">
        <v>11036</v>
      </c>
      <c r="P5473" s="2" t="s">
        <v>11038</v>
      </c>
      <c r="Q5473" s="2">
        <f>AVERAGE(PerfRate[[#This Row],[EnvironmentSatisfaction]],PerfRate[[#This Row],[JobSatisfaction]],PerfRate[[#This Row],[RelationshipSatisfaction]])</f>
        <v>4.333333333333333</v>
      </c>
      <c r="R5473" s="2">
        <f>PerfRate[[#This Row],[ManagerRating]] - PerfRate[[#This Row],[SelfRating]]</f>
        <v>-1</v>
      </c>
    </row>
    <row r="5474" spans="1:18">
      <c r="A5474" s="2" t="s">
        <v>9781</v>
      </c>
      <c r="B5474" s="2" t="s">
        <v>779</v>
      </c>
      <c r="C5474" s="1">
        <v>44777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  <c r="L5474" s="2" t="s">
        <v>11031</v>
      </c>
      <c r="M5474" s="2" t="s">
        <v>11031</v>
      </c>
      <c r="N5474" s="2" t="s">
        <v>11038</v>
      </c>
      <c r="O5474" s="2" t="s">
        <v>11036</v>
      </c>
      <c r="P5474" s="2" t="s">
        <v>11036</v>
      </c>
      <c r="Q5474" s="2">
        <f>AVERAGE(PerfRate[[#This Row],[EnvironmentSatisfaction]],PerfRate[[#This Row],[JobSatisfaction]],PerfRate[[#This Row],[RelationshipSatisfaction]])</f>
        <v>3.6666666666666665</v>
      </c>
      <c r="R5474" s="2">
        <f>PerfRate[[#This Row],[ManagerRating]] - PerfRate[[#This Row],[SelfRating]]</f>
        <v>0</v>
      </c>
    </row>
    <row r="5475" spans="1:18">
      <c r="A5475" s="2" t="s">
        <v>9782</v>
      </c>
      <c r="B5475" s="2" t="s">
        <v>3986</v>
      </c>
      <c r="C5475" s="1">
        <v>44777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  <c r="L5475" s="2" t="s">
        <v>11029</v>
      </c>
      <c r="M5475" s="2" t="s">
        <v>11029</v>
      </c>
      <c r="N5475" s="2" t="s">
        <v>11036</v>
      </c>
      <c r="O5475" s="2" t="s">
        <v>11035</v>
      </c>
      <c r="P5475" s="2" t="s">
        <v>11036</v>
      </c>
      <c r="Q5475" s="2">
        <f>AVERAGE(PerfRate[[#This Row],[EnvironmentSatisfaction]],PerfRate[[#This Row],[JobSatisfaction]],PerfRate[[#This Row],[RelationshipSatisfaction]])</f>
        <v>2.6666666666666665</v>
      </c>
      <c r="R5475" s="2">
        <f>PerfRate[[#This Row],[ManagerRating]] - PerfRate[[#This Row],[SelfRating]]</f>
        <v>0</v>
      </c>
    </row>
    <row r="5476" spans="1:18">
      <c r="A5476" s="2" t="s">
        <v>9783</v>
      </c>
      <c r="B5476" s="2" t="s">
        <v>1389</v>
      </c>
      <c r="C5476" s="1">
        <v>44777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  <c r="L5476" s="2" t="s">
        <v>11030</v>
      </c>
      <c r="M5476" s="2" t="s">
        <v>11029</v>
      </c>
      <c r="N5476" s="2" t="s">
        <v>11037</v>
      </c>
      <c r="O5476" s="2" t="s">
        <v>11036</v>
      </c>
      <c r="P5476" s="2" t="s">
        <v>11037</v>
      </c>
      <c r="Q5476" s="2">
        <f>AVERAGE(PerfRate[[#This Row],[EnvironmentSatisfaction]],PerfRate[[#This Row],[JobSatisfaction]],PerfRate[[#This Row],[RelationshipSatisfaction]])</f>
        <v>3.6666666666666665</v>
      </c>
      <c r="R5476" s="2">
        <f>PerfRate[[#This Row],[ManagerRating]] - PerfRate[[#This Row],[SelfRating]]</f>
        <v>-1</v>
      </c>
    </row>
    <row r="5477" spans="1:18">
      <c r="A5477" s="2" t="s">
        <v>9784</v>
      </c>
      <c r="B5477" s="2" t="s">
        <v>2459</v>
      </c>
      <c r="C5477" s="1">
        <v>44777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  <c r="L5477" s="2" t="s">
        <v>11029</v>
      </c>
      <c r="M5477" s="2" t="s">
        <v>11028</v>
      </c>
      <c r="N5477" s="2" t="s">
        <v>11037</v>
      </c>
      <c r="O5477" s="2" t="s">
        <v>11035</v>
      </c>
      <c r="P5477" s="2" t="s">
        <v>11035</v>
      </c>
      <c r="Q5477" s="2">
        <f>AVERAGE(PerfRate[[#This Row],[EnvironmentSatisfaction]],PerfRate[[#This Row],[JobSatisfaction]],PerfRate[[#This Row],[RelationshipSatisfaction]])</f>
        <v>2.6666666666666665</v>
      </c>
      <c r="R5477" s="2">
        <f>PerfRate[[#This Row],[ManagerRating]] - PerfRate[[#This Row],[SelfRating]]</f>
        <v>-1</v>
      </c>
    </row>
    <row r="5478" spans="1:18">
      <c r="A5478" s="2" t="s">
        <v>9785</v>
      </c>
      <c r="B5478" s="2" t="s">
        <v>3350</v>
      </c>
      <c r="C5478" s="1">
        <v>44777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  <c r="L5478" s="2" t="s">
        <v>11030</v>
      </c>
      <c r="M5478" s="2" t="s">
        <v>11029</v>
      </c>
      <c r="N5478" s="2" t="s">
        <v>11037</v>
      </c>
      <c r="O5478" s="2" t="s">
        <v>11038</v>
      </c>
      <c r="P5478" s="2" t="s">
        <v>11035</v>
      </c>
      <c r="Q5478" s="2">
        <f>AVERAGE(PerfRate[[#This Row],[EnvironmentSatisfaction]],PerfRate[[#This Row],[JobSatisfaction]],PerfRate[[#This Row],[RelationshipSatisfaction]])</f>
        <v>3.6666666666666665</v>
      </c>
      <c r="R5478" s="2">
        <f>PerfRate[[#This Row],[ManagerRating]] - PerfRate[[#This Row],[SelfRating]]</f>
        <v>-1</v>
      </c>
    </row>
    <row r="5479" spans="1:18">
      <c r="A5479" s="2" t="s">
        <v>9786</v>
      </c>
      <c r="B5479" s="2" t="s">
        <v>323</v>
      </c>
      <c r="C5479" s="1">
        <v>44808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  <c r="L5479" s="2" t="s">
        <v>11031</v>
      </c>
      <c r="M5479" s="2" t="s">
        <v>11031</v>
      </c>
      <c r="N5479" s="2" t="s">
        <v>11037</v>
      </c>
      <c r="O5479" s="2" t="s">
        <v>11035</v>
      </c>
      <c r="P5479" s="2" t="s">
        <v>11035</v>
      </c>
      <c r="Q5479" s="2">
        <f>AVERAGE(PerfRate[[#This Row],[EnvironmentSatisfaction]],PerfRate[[#This Row],[JobSatisfaction]],PerfRate[[#This Row],[RelationshipSatisfaction]])</f>
        <v>2.6666666666666665</v>
      </c>
      <c r="R5479" s="2">
        <f>PerfRate[[#This Row],[ManagerRating]] - PerfRate[[#This Row],[SelfRating]]</f>
        <v>0</v>
      </c>
    </row>
    <row r="5480" spans="1:18">
      <c r="A5480" s="2" t="s">
        <v>9787</v>
      </c>
      <c r="B5480" s="2" t="s">
        <v>723</v>
      </c>
      <c r="C5480" s="1">
        <v>44808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  <c r="L5480" s="2" t="s">
        <v>11030</v>
      </c>
      <c r="M5480" s="2" t="s">
        <v>11030</v>
      </c>
      <c r="N5480" s="2" t="s">
        <v>11036</v>
      </c>
      <c r="O5480" s="2" t="s">
        <v>11037</v>
      </c>
      <c r="P5480" s="2" t="s">
        <v>11036</v>
      </c>
      <c r="Q5480" s="2">
        <f>AVERAGE(PerfRate[[#This Row],[EnvironmentSatisfaction]],PerfRate[[#This Row],[JobSatisfaction]],PerfRate[[#This Row],[RelationshipSatisfaction]])</f>
        <v>3.3333333333333335</v>
      </c>
      <c r="R5480" s="2">
        <f>PerfRate[[#This Row],[ManagerRating]] - PerfRate[[#This Row],[SelfRating]]</f>
        <v>0</v>
      </c>
    </row>
    <row r="5481" spans="1:18">
      <c r="A5481" s="2" t="s">
        <v>9788</v>
      </c>
      <c r="B5481" s="2" t="s">
        <v>1976</v>
      </c>
      <c r="C5481" s="1">
        <v>44808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  <c r="L5481" s="2" t="s">
        <v>11029</v>
      </c>
      <c r="M5481" s="2" t="s">
        <v>11028</v>
      </c>
      <c r="N5481" s="2" t="s">
        <v>11037</v>
      </c>
      <c r="O5481" s="2" t="s">
        <v>11036</v>
      </c>
      <c r="P5481" s="2" t="s">
        <v>11037</v>
      </c>
      <c r="Q5481" s="2">
        <f>AVERAGE(PerfRate[[#This Row],[EnvironmentSatisfaction]],PerfRate[[#This Row],[JobSatisfaction]],PerfRate[[#This Row],[RelationshipSatisfaction]])</f>
        <v>3.6666666666666665</v>
      </c>
      <c r="R5481" s="2">
        <f>PerfRate[[#This Row],[ManagerRating]] - PerfRate[[#This Row],[SelfRating]]</f>
        <v>-1</v>
      </c>
    </row>
    <row r="5482" spans="1:18">
      <c r="A5482" s="2" t="s">
        <v>9789</v>
      </c>
      <c r="B5482" s="2" t="s">
        <v>2178</v>
      </c>
      <c r="C5482" s="1">
        <v>44808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  <c r="L5482" s="2" t="s">
        <v>11029</v>
      </c>
      <c r="M5482" s="2" t="s">
        <v>11028</v>
      </c>
      <c r="N5482" s="2" t="s">
        <v>11037</v>
      </c>
      <c r="O5482" s="2" t="s">
        <v>11036</v>
      </c>
      <c r="P5482" s="2" t="s">
        <v>11036</v>
      </c>
      <c r="Q5482" s="2">
        <f>AVERAGE(PerfRate[[#This Row],[EnvironmentSatisfaction]],PerfRate[[#This Row],[JobSatisfaction]],PerfRate[[#This Row],[RelationshipSatisfaction]])</f>
        <v>3.3333333333333335</v>
      </c>
      <c r="R5482" s="2">
        <f>PerfRate[[#This Row],[ManagerRating]] - PerfRate[[#This Row],[SelfRating]]</f>
        <v>-1</v>
      </c>
    </row>
    <row r="5483" spans="1:18">
      <c r="A5483" s="2" t="s">
        <v>9790</v>
      </c>
      <c r="B5483" s="2" t="s">
        <v>395</v>
      </c>
      <c r="C5483" s="1">
        <v>44838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  <c r="L5483" s="2" t="s">
        <v>11029</v>
      </c>
      <c r="M5483" s="2" t="s">
        <v>11029</v>
      </c>
      <c r="N5483" s="2" t="s">
        <v>11036</v>
      </c>
      <c r="O5483" s="2" t="s">
        <v>11035</v>
      </c>
      <c r="P5483" s="2" t="s">
        <v>11036</v>
      </c>
      <c r="Q5483" s="2">
        <f>AVERAGE(PerfRate[[#This Row],[EnvironmentSatisfaction]],PerfRate[[#This Row],[JobSatisfaction]],PerfRate[[#This Row],[RelationshipSatisfaction]])</f>
        <v>2.6666666666666665</v>
      </c>
      <c r="R5483" s="2">
        <f>PerfRate[[#This Row],[ManagerRating]] - PerfRate[[#This Row],[SelfRating]]</f>
        <v>0</v>
      </c>
    </row>
    <row r="5484" spans="1:18">
      <c r="A5484" s="2" t="s">
        <v>9791</v>
      </c>
      <c r="B5484" s="2" t="s">
        <v>1189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  <c r="L5484" s="2" t="s">
        <v>11030</v>
      </c>
      <c r="M5484" s="2" t="s">
        <v>11030</v>
      </c>
      <c r="N5484" s="2" t="s">
        <v>11037</v>
      </c>
      <c r="O5484" s="2" t="s">
        <v>11037</v>
      </c>
      <c r="P5484" s="2" t="s">
        <v>11038</v>
      </c>
      <c r="Q5484" s="2">
        <f>AVERAGE(PerfRate[[#This Row],[EnvironmentSatisfaction]],PerfRate[[#This Row],[JobSatisfaction]],PerfRate[[#This Row],[RelationshipSatisfaction]])</f>
        <v>4.333333333333333</v>
      </c>
      <c r="R5484" s="2">
        <f>PerfRate[[#This Row],[ManagerRating]] - PerfRate[[#This Row],[SelfRating]]</f>
        <v>0</v>
      </c>
    </row>
    <row r="5485" spans="1:18">
      <c r="A5485" s="2" t="s">
        <v>9792</v>
      </c>
      <c r="B5485" s="2" t="s">
        <v>3448</v>
      </c>
      <c r="C5485" s="1">
        <v>44838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  <c r="L5485" s="2" t="s">
        <v>11031</v>
      </c>
      <c r="M5485" s="2" t="s">
        <v>11030</v>
      </c>
      <c r="N5485" s="2" t="s">
        <v>11036</v>
      </c>
      <c r="O5485" s="2" t="s">
        <v>11035</v>
      </c>
      <c r="P5485" s="2" t="s">
        <v>11036</v>
      </c>
      <c r="Q5485" s="2">
        <f>AVERAGE(PerfRate[[#This Row],[EnvironmentSatisfaction]],PerfRate[[#This Row],[JobSatisfaction]],PerfRate[[#This Row],[RelationshipSatisfaction]])</f>
        <v>2.6666666666666665</v>
      </c>
      <c r="R5485" s="2">
        <f>PerfRate[[#This Row],[ManagerRating]] - PerfRate[[#This Row],[SelfRating]]</f>
        <v>-1</v>
      </c>
    </row>
    <row r="5486" spans="1:18">
      <c r="A5486" s="2" t="s">
        <v>9793</v>
      </c>
      <c r="B5486" s="2" t="s">
        <v>3490</v>
      </c>
      <c r="C5486" s="1">
        <v>44838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  <c r="L5486" s="2" t="s">
        <v>11029</v>
      </c>
      <c r="M5486" s="2" t="s">
        <v>11028</v>
      </c>
      <c r="N5486" s="2" t="s">
        <v>11036</v>
      </c>
      <c r="O5486" s="2" t="s">
        <v>11038</v>
      </c>
      <c r="P5486" s="2" t="s">
        <v>11035</v>
      </c>
      <c r="Q5486" s="2">
        <f>AVERAGE(PerfRate[[#This Row],[EnvironmentSatisfaction]],PerfRate[[#This Row],[JobSatisfaction]],PerfRate[[#This Row],[RelationshipSatisfaction]])</f>
        <v>3.3333333333333335</v>
      </c>
      <c r="R5486" s="2">
        <f>PerfRate[[#This Row],[ManagerRating]] - PerfRate[[#This Row],[SelfRating]]</f>
        <v>-1</v>
      </c>
    </row>
    <row r="5487" spans="1:18">
      <c r="A5487" s="2" t="s">
        <v>9794</v>
      </c>
      <c r="B5487" s="2" t="s">
        <v>1166</v>
      </c>
      <c r="C5487" s="1">
        <v>44838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  <c r="L5487" s="2" t="s">
        <v>11029</v>
      </c>
      <c r="M5487" s="2" t="s">
        <v>11028</v>
      </c>
      <c r="N5487" s="2" t="s">
        <v>11038</v>
      </c>
      <c r="O5487" s="2" t="s">
        <v>11035</v>
      </c>
      <c r="P5487" s="2" t="s">
        <v>11035</v>
      </c>
      <c r="Q5487" s="2">
        <f>AVERAGE(PerfRate[[#This Row],[EnvironmentSatisfaction]],PerfRate[[#This Row],[JobSatisfaction]],PerfRate[[#This Row],[RelationshipSatisfaction]])</f>
        <v>3</v>
      </c>
      <c r="R5487" s="2">
        <f>PerfRate[[#This Row],[ManagerRating]] - PerfRate[[#This Row],[SelfRating]]</f>
        <v>-1</v>
      </c>
    </row>
    <row r="5488" spans="1:18">
      <c r="A5488" s="2" t="s">
        <v>9795</v>
      </c>
      <c r="B5488" s="2" t="s">
        <v>2952</v>
      </c>
      <c r="C5488" s="1">
        <v>44838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  <c r="L5488" s="2" t="s">
        <v>11031</v>
      </c>
      <c r="M5488" s="2" t="s">
        <v>11030</v>
      </c>
      <c r="N5488" s="2" t="s">
        <v>11037</v>
      </c>
      <c r="O5488" s="2" t="s">
        <v>11038</v>
      </c>
      <c r="P5488" s="2" t="s">
        <v>11038</v>
      </c>
      <c r="Q5488" s="2">
        <f>AVERAGE(PerfRate[[#This Row],[EnvironmentSatisfaction]],PerfRate[[#This Row],[JobSatisfaction]],PerfRate[[#This Row],[RelationshipSatisfaction]])</f>
        <v>4.666666666666667</v>
      </c>
      <c r="R5488" s="2">
        <f>PerfRate[[#This Row],[ManagerRating]] - PerfRate[[#This Row],[SelfRating]]</f>
        <v>-1</v>
      </c>
    </row>
    <row r="5489" spans="1:18">
      <c r="A5489" s="2" t="s">
        <v>9796</v>
      </c>
      <c r="B5489" s="2" t="s">
        <v>771</v>
      </c>
      <c r="C5489" s="1">
        <v>44869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  <c r="L5489" s="2" t="s">
        <v>11029</v>
      </c>
      <c r="M5489" s="2" t="s">
        <v>11028</v>
      </c>
      <c r="N5489" s="2" t="s">
        <v>11038</v>
      </c>
      <c r="O5489" s="2" t="s">
        <v>11036</v>
      </c>
      <c r="P5489" s="2" t="s">
        <v>11035</v>
      </c>
      <c r="Q5489" s="2">
        <f>AVERAGE(PerfRate[[#This Row],[EnvironmentSatisfaction]],PerfRate[[#This Row],[JobSatisfaction]],PerfRate[[#This Row],[RelationshipSatisfaction]])</f>
        <v>3.3333333333333335</v>
      </c>
      <c r="R5489" s="2">
        <f>PerfRate[[#This Row],[ManagerRating]] - PerfRate[[#This Row],[SelfRating]]</f>
        <v>-1</v>
      </c>
    </row>
    <row r="5490" spans="1:18">
      <c r="A5490" s="2" t="s">
        <v>9797</v>
      </c>
      <c r="B5490" s="2" t="s">
        <v>235</v>
      </c>
      <c r="C5490" s="1">
        <v>44869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  <c r="L5490" s="2" t="s">
        <v>11030</v>
      </c>
      <c r="M5490" s="2" t="s">
        <v>11030</v>
      </c>
      <c r="N5490" s="2" t="s">
        <v>11038</v>
      </c>
      <c r="O5490" s="2" t="s">
        <v>11035</v>
      </c>
      <c r="P5490" s="2" t="s">
        <v>11038</v>
      </c>
      <c r="Q5490" s="2">
        <f>AVERAGE(PerfRate[[#This Row],[EnvironmentSatisfaction]],PerfRate[[#This Row],[JobSatisfaction]],PerfRate[[#This Row],[RelationshipSatisfaction]])</f>
        <v>4</v>
      </c>
      <c r="R5490" s="2">
        <f>PerfRate[[#This Row],[ManagerRating]] - PerfRate[[#This Row],[SelfRating]]</f>
        <v>0</v>
      </c>
    </row>
    <row r="5491" spans="1:18">
      <c r="A5491" s="2" t="s">
        <v>9798</v>
      </c>
      <c r="B5491" s="2" t="s">
        <v>2470</v>
      </c>
      <c r="C5491" s="1">
        <v>44869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  <c r="L5491" s="2" t="s">
        <v>11029</v>
      </c>
      <c r="M5491" s="2" t="s">
        <v>11028</v>
      </c>
      <c r="N5491" s="2" t="s">
        <v>11036</v>
      </c>
      <c r="O5491" s="2" t="s">
        <v>11038</v>
      </c>
      <c r="P5491" s="2" t="s">
        <v>11036</v>
      </c>
      <c r="Q5491" s="2">
        <f>AVERAGE(PerfRate[[#This Row],[EnvironmentSatisfaction]],PerfRate[[#This Row],[JobSatisfaction]],PerfRate[[#This Row],[RelationshipSatisfaction]])</f>
        <v>3.6666666666666665</v>
      </c>
      <c r="R5491" s="2">
        <f>PerfRate[[#This Row],[ManagerRating]] - PerfRate[[#This Row],[SelfRating]]</f>
        <v>-1</v>
      </c>
    </row>
    <row r="5492" spans="1:18">
      <c r="A5492" s="2" t="s">
        <v>9799</v>
      </c>
      <c r="B5492" s="2" t="s">
        <v>2181</v>
      </c>
      <c r="C5492" s="1">
        <v>44869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  <c r="L5492" s="2" t="s">
        <v>11029</v>
      </c>
      <c r="M5492" s="2" t="s">
        <v>11029</v>
      </c>
      <c r="N5492" s="2" t="s">
        <v>11036</v>
      </c>
      <c r="O5492" s="2" t="s">
        <v>11036</v>
      </c>
      <c r="P5492" s="2" t="s">
        <v>11035</v>
      </c>
      <c r="Q5492" s="2">
        <f>AVERAGE(PerfRate[[#This Row],[EnvironmentSatisfaction]],PerfRate[[#This Row],[JobSatisfaction]],PerfRate[[#This Row],[RelationshipSatisfaction]])</f>
        <v>2.6666666666666665</v>
      </c>
      <c r="R5492" s="2">
        <f>PerfRate[[#This Row],[ManagerRating]] - PerfRate[[#This Row],[SelfRating]]</f>
        <v>0</v>
      </c>
    </row>
    <row r="5493" spans="1:18">
      <c r="A5493" s="2" t="s">
        <v>9800</v>
      </c>
      <c r="B5493" s="2" t="s">
        <v>1071</v>
      </c>
      <c r="C5493" s="1">
        <v>44899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  <c r="L5493" s="2" t="s">
        <v>11031</v>
      </c>
      <c r="M5493" s="2" t="s">
        <v>11030</v>
      </c>
      <c r="N5493" s="2" t="s">
        <v>11038</v>
      </c>
      <c r="O5493" s="2" t="s">
        <v>11036</v>
      </c>
      <c r="P5493" s="2" t="s">
        <v>11035</v>
      </c>
      <c r="Q5493" s="2">
        <f>AVERAGE(PerfRate[[#This Row],[EnvironmentSatisfaction]],PerfRate[[#This Row],[JobSatisfaction]],PerfRate[[#This Row],[RelationshipSatisfaction]])</f>
        <v>3.3333333333333335</v>
      </c>
      <c r="R5493" s="2">
        <f>PerfRate[[#This Row],[ManagerRating]] - PerfRate[[#This Row],[SelfRating]]</f>
        <v>-1</v>
      </c>
    </row>
    <row r="5494" spans="1:18">
      <c r="A5494" s="2" t="s">
        <v>9801</v>
      </c>
      <c r="B5494" s="2" t="s">
        <v>1779</v>
      </c>
      <c r="C5494" s="1">
        <v>44899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  <c r="L5494" s="2" t="s">
        <v>11029</v>
      </c>
      <c r="M5494" s="2" t="s">
        <v>11029</v>
      </c>
      <c r="N5494" s="2" t="s">
        <v>11038</v>
      </c>
      <c r="O5494" s="2" t="s">
        <v>11036</v>
      </c>
      <c r="P5494" s="2" t="s">
        <v>11038</v>
      </c>
      <c r="Q5494" s="2">
        <f>AVERAGE(PerfRate[[#This Row],[EnvironmentSatisfaction]],PerfRate[[#This Row],[JobSatisfaction]],PerfRate[[#This Row],[RelationshipSatisfaction]])</f>
        <v>4.333333333333333</v>
      </c>
      <c r="R5494" s="2">
        <f>PerfRate[[#This Row],[ManagerRating]] - PerfRate[[#This Row],[SelfRating]]</f>
        <v>0</v>
      </c>
    </row>
    <row r="5495" spans="1:18">
      <c r="A5495" s="2" t="s">
        <v>9802</v>
      </c>
      <c r="B5495" s="2" t="s">
        <v>687</v>
      </c>
      <c r="C5495" s="1">
        <v>42159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  <c r="L5495" s="2" t="s">
        <v>11031</v>
      </c>
      <c r="M5495" s="2" t="s">
        <v>11030</v>
      </c>
      <c r="N5495" s="2" t="s">
        <v>11037</v>
      </c>
      <c r="O5495" s="2" t="s">
        <v>11037</v>
      </c>
      <c r="P5495" s="2" t="s">
        <v>11038</v>
      </c>
      <c r="Q5495" s="2">
        <f>AVERAGE(PerfRate[[#This Row],[EnvironmentSatisfaction]],PerfRate[[#This Row],[JobSatisfaction]],PerfRate[[#This Row],[RelationshipSatisfaction]])</f>
        <v>4.333333333333333</v>
      </c>
      <c r="R5495" s="2">
        <f>PerfRate[[#This Row],[ManagerRating]] - PerfRate[[#This Row],[SelfRating]]</f>
        <v>-1</v>
      </c>
    </row>
    <row r="5496" spans="1:18">
      <c r="A5496" s="2" t="s">
        <v>9803</v>
      </c>
      <c r="B5496" s="2" t="s">
        <v>106</v>
      </c>
      <c r="C5496" s="1">
        <v>44899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  <c r="L5496" s="2" t="s">
        <v>11031</v>
      </c>
      <c r="M5496" s="2" t="s">
        <v>11030</v>
      </c>
      <c r="N5496" s="2" t="s">
        <v>11036</v>
      </c>
      <c r="O5496" s="2" t="s">
        <v>11037</v>
      </c>
      <c r="P5496" s="2" t="s">
        <v>11035</v>
      </c>
      <c r="Q5496" s="2">
        <f>AVERAGE(PerfRate[[#This Row],[EnvironmentSatisfaction]],PerfRate[[#This Row],[JobSatisfaction]],PerfRate[[#This Row],[RelationshipSatisfaction]])</f>
        <v>3</v>
      </c>
      <c r="R5496" s="2">
        <f>PerfRate[[#This Row],[ManagerRating]] - PerfRate[[#This Row],[SelfRating]]</f>
        <v>-1</v>
      </c>
    </row>
    <row r="5497" spans="1:18">
      <c r="A5497" s="2" t="s">
        <v>9804</v>
      </c>
      <c r="B5497" s="2" t="s">
        <v>1968</v>
      </c>
      <c r="C5497" s="1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  <c r="L5497" s="2" t="s">
        <v>11030</v>
      </c>
      <c r="M5497" s="2" t="s">
        <v>11030</v>
      </c>
      <c r="N5497" s="2" t="s">
        <v>11038</v>
      </c>
      <c r="O5497" s="2" t="s">
        <v>11037</v>
      </c>
      <c r="P5497" s="2" t="s">
        <v>11035</v>
      </c>
      <c r="Q5497" s="2">
        <f>AVERAGE(PerfRate[[#This Row],[EnvironmentSatisfaction]],PerfRate[[#This Row],[JobSatisfaction]],PerfRate[[#This Row],[RelationshipSatisfaction]])</f>
        <v>3.6666666666666665</v>
      </c>
      <c r="R5497" s="2">
        <f>PerfRate[[#This Row],[ManagerRating]] - PerfRate[[#This Row],[SelfRating]]</f>
        <v>0</v>
      </c>
    </row>
    <row r="5498" spans="1:18">
      <c r="A5498" s="2" t="s">
        <v>9805</v>
      </c>
      <c r="B5498" s="2" t="s">
        <v>4002</v>
      </c>
      <c r="C5498" s="1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  <c r="L5498" s="2" t="s">
        <v>11030</v>
      </c>
      <c r="M5498" s="2" t="s">
        <v>11029</v>
      </c>
      <c r="N5498" s="2" t="s">
        <v>11036</v>
      </c>
      <c r="O5498" s="2" t="s">
        <v>11037</v>
      </c>
      <c r="P5498" s="2" t="s">
        <v>11038</v>
      </c>
      <c r="Q5498" s="2">
        <f>AVERAGE(PerfRate[[#This Row],[EnvironmentSatisfaction]],PerfRate[[#This Row],[JobSatisfaction]],PerfRate[[#This Row],[RelationshipSatisfaction]])</f>
        <v>4</v>
      </c>
      <c r="R5498" s="2">
        <f>PerfRate[[#This Row],[ManagerRating]] - PerfRate[[#This Row],[SelfRating]]</f>
        <v>-1</v>
      </c>
    </row>
    <row r="5499" spans="1:18">
      <c r="A5499" s="2" t="s">
        <v>9806</v>
      </c>
      <c r="B5499" s="2" t="s">
        <v>189</v>
      </c>
      <c r="C5499" s="1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  <c r="L5499" s="2" t="s">
        <v>11031</v>
      </c>
      <c r="M5499" s="2" t="s">
        <v>11030</v>
      </c>
      <c r="N5499" s="2" t="s">
        <v>11037</v>
      </c>
      <c r="O5499" s="2" t="s">
        <v>11038</v>
      </c>
      <c r="P5499" s="2" t="s">
        <v>11035</v>
      </c>
      <c r="Q5499" s="2">
        <f>AVERAGE(PerfRate[[#This Row],[EnvironmentSatisfaction]],PerfRate[[#This Row],[JobSatisfaction]],PerfRate[[#This Row],[RelationshipSatisfaction]])</f>
        <v>3.6666666666666665</v>
      </c>
      <c r="R5499" s="2">
        <f>PerfRate[[#This Row],[ManagerRating]] - PerfRate[[#This Row],[SelfRating]]</f>
        <v>-1</v>
      </c>
    </row>
    <row r="5500" spans="1:18">
      <c r="A5500" s="2" t="s">
        <v>9807</v>
      </c>
      <c r="B5500" s="2" t="s">
        <v>1569</v>
      </c>
      <c r="C5500" s="1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  <c r="L5500" s="2" t="s">
        <v>11030</v>
      </c>
      <c r="M5500" s="2" t="s">
        <v>11029</v>
      </c>
      <c r="N5500" s="2" t="s">
        <v>11037</v>
      </c>
      <c r="O5500" s="2" t="s">
        <v>11035</v>
      </c>
      <c r="P5500" s="2" t="s">
        <v>11036</v>
      </c>
      <c r="Q5500" s="2">
        <f>AVERAGE(PerfRate[[#This Row],[EnvironmentSatisfaction]],PerfRate[[#This Row],[JobSatisfaction]],PerfRate[[#This Row],[RelationshipSatisfaction]])</f>
        <v>3</v>
      </c>
      <c r="R5500" s="2">
        <f>PerfRate[[#This Row],[ManagerRating]] - PerfRate[[#This Row],[SelfRating]]</f>
        <v>-1</v>
      </c>
    </row>
    <row r="5501" spans="1:18">
      <c r="A5501" s="2" t="s">
        <v>9808</v>
      </c>
      <c r="B5501" s="2" t="s">
        <v>3558</v>
      </c>
      <c r="C5501" s="1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  <c r="L5501" s="2" t="s">
        <v>11030</v>
      </c>
      <c r="M5501" s="2" t="s">
        <v>11030</v>
      </c>
      <c r="N5501" s="2" t="s">
        <v>11036</v>
      </c>
      <c r="O5501" s="2" t="s">
        <v>11036</v>
      </c>
      <c r="P5501" s="2" t="s">
        <v>11037</v>
      </c>
      <c r="Q5501" s="2">
        <f>AVERAGE(PerfRate[[#This Row],[EnvironmentSatisfaction]],PerfRate[[#This Row],[JobSatisfaction]],PerfRate[[#This Row],[RelationshipSatisfaction]])</f>
        <v>3.3333333333333335</v>
      </c>
      <c r="R5501" s="2">
        <f>PerfRate[[#This Row],[ManagerRating]] - PerfRate[[#This Row],[SelfRating]]</f>
        <v>0</v>
      </c>
    </row>
    <row r="5502" spans="1:18">
      <c r="A5502" s="2" t="s">
        <v>9809</v>
      </c>
      <c r="B5502" s="2" t="s">
        <v>3881</v>
      </c>
      <c r="C5502" s="1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  <c r="L5502" s="2" t="s">
        <v>11031</v>
      </c>
      <c r="M5502" s="2" t="s">
        <v>11031</v>
      </c>
      <c r="N5502" s="2" t="s">
        <v>11038</v>
      </c>
      <c r="O5502" s="2" t="s">
        <v>11035</v>
      </c>
      <c r="P5502" s="2" t="s">
        <v>11037</v>
      </c>
      <c r="Q5502" s="2">
        <f>AVERAGE(PerfRate[[#This Row],[EnvironmentSatisfaction]],PerfRate[[#This Row],[JobSatisfaction]],PerfRate[[#This Row],[RelationshipSatisfaction]])</f>
        <v>3.6666666666666665</v>
      </c>
      <c r="R5502" s="2">
        <f>PerfRate[[#This Row],[ManagerRating]] - PerfRate[[#This Row],[SelfRating]]</f>
        <v>0</v>
      </c>
    </row>
    <row r="5503" spans="1:18">
      <c r="A5503" s="2" t="s">
        <v>9810</v>
      </c>
      <c r="B5503" s="2" t="s">
        <v>4023</v>
      </c>
      <c r="C5503" s="1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  <c r="L5503" s="2" t="s">
        <v>11031</v>
      </c>
      <c r="M5503" s="2" t="s">
        <v>11030</v>
      </c>
      <c r="N5503" s="2" t="s">
        <v>11038</v>
      </c>
      <c r="O5503" s="2" t="s">
        <v>11036</v>
      </c>
      <c r="P5503" s="2" t="s">
        <v>11037</v>
      </c>
      <c r="Q5503" s="2">
        <f>AVERAGE(PerfRate[[#This Row],[EnvironmentSatisfaction]],PerfRate[[#This Row],[JobSatisfaction]],PerfRate[[#This Row],[RelationshipSatisfaction]])</f>
        <v>4</v>
      </c>
      <c r="R5503" s="2">
        <f>PerfRate[[#This Row],[ManagerRating]] - PerfRate[[#This Row],[SelfRating]]</f>
        <v>-1</v>
      </c>
    </row>
    <row r="5504" spans="1:18">
      <c r="A5504" s="2" t="s">
        <v>9811</v>
      </c>
      <c r="B5504" s="2" t="s">
        <v>562</v>
      </c>
      <c r="C5504" s="1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  <c r="L5504" s="2" t="s">
        <v>11029</v>
      </c>
      <c r="M5504" s="2" t="s">
        <v>11028</v>
      </c>
      <c r="N5504" s="2" t="s">
        <v>11038</v>
      </c>
      <c r="O5504" s="2" t="s">
        <v>11037</v>
      </c>
      <c r="P5504" s="2" t="s">
        <v>11038</v>
      </c>
      <c r="Q5504" s="2">
        <f>AVERAGE(PerfRate[[#This Row],[EnvironmentSatisfaction]],PerfRate[[#This Row],[JobSatisfaction]],PerfRate[[#This Row],[RelationshipSatisfaction]])</f>
        <v>4.666666666666667</v>
      </c>
      <c r="R5504" s="2">
        <f>PerfRate[[#This Row],[ManagerRating]] - PerfRate[[#This Row],[SelfRating]]</f>
        <v>-1</v>
      </c>
    </row>
    <row r="5505" spans="1:18">
      <c r="A5505" s="2" t="s">
        <v>9812</v>
      </c>
      <c r="B5505" s="2" t="s">
        <v>883</v>
      </c>
      <c r="C5505" s="1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  <c r="L5505" s="2" t="s">
        <v>11031</v>
      </c>
      <c r="M5505" s="2" t="s">
        <v>11030</v>
      </c>
      <c r="N5505" s="2" t="s">
        <v>11037</v>
      </c>
      <c r="O5505" s="2" t="s">
        <v>11038</v>
      </c>
      <c r="P5505" s="2" t="s">
        <v>11038</v>
      </c>
      <c r="Q5505" s="2">
        <f>AVERAGE(PerfRate[[#This Row],[EnvironmentSatisfaction]],PerfRate[[#This Row],[JobSatisfaction]],PerfRate[[#This Row],[RelationshipSatisfaction]])</f>
        <v>4.666666666666667</v>
      </c>
      <c r="R5505" s="2">
        <f>PerfRate[[#This Row],[ManagerRating]] - PerfRate[[#This Row],[SelfRating]]</f>
        <v>-1</v>
      </c>
    </row>
    <row r="5506" spans="1:18">
      <c r="A5506" s="2" t="s">
        <v>9813</v>
      </c>
      <c r="B5506" s="2" t="s">
        <v>2792</v>
      </c>
      <c r="C5506" s="1">
        <v>42159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  <c r="L5506" s="2" t="s">
        <v>11029</v>
      </c>
      <c r="M5506" s="2" t="s">
        <v>11028</v>
      </c>
      <c r="N5506" s="2" t="s">
        <v>11038</v>
      </c>
      <c r="O5506" s="2" t="s">
        <v>11037</v>
      </c>
      <c r="P5506" s="2" t="s">
        <v>11037</v>
      </c>
      <c r="Q5506" s="2">
        <f>AVERAGE(PerfRate[[#This Row],[EnvironmentSatisfaction]],PerfRate[[#This Row],[JobSatisfaction]],PerfRate[[#This Row],[RelationshipSatisfaction]])</f>
        <v>4.333333333333333</v>
      </c>
      <c r="R5506" s="2">
        <f>PerfRate[[#This Row],[ManagerRating]] - PerfRate[[#This Row],[SelfRating]]</f>
        <v>-1</v>
      </c>
    </row>
    <row r="5507" spans="1:18">
      <c r="A5507" s="2" t="s">
        <v>9814</v>
      </c>
      <c r="B5507" s="2" t="s">
        <v>1921</v>
      </c>
      <c r="C5507" s="1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  <c r="L5507" s="2" t="s">
        <v>11030</v>
      </c>
      <c r="M5507" s="2" t="s">
        <v>11029</v>
      </c>
      <c r="N5507" s="2" t="s">
        <v>11036</v>
      </c>
      <c r="O5507" s="2" t="s">
        <v>11035</v>
      </c>
      <c r="P5507" s="2" t="s">
        <v>11037</v>
      </c>
      <c r="Q5507" s="2">
        <f>AVERAGE(PerfRate[[#This Row],[EnvironmentSatisfaction]],PerfRate[[#This Row],[JobSatisfaction]],PerfRate[[#This Row],[RelationshipSatisfaction]])</f>
        <v>3</v>
      </c>
      <c r="R5507" s="2">
        <f>PerfRate[[#This Row],[ManagerRating]] - PerfRate[[#This Row],[SelfRating]]</f>
        <v>-1</v>
      </c>
    </row>
    <row r="5508" spans="1:18">
      <c r="A5508" s="2" t="s">
        <v>9815</v>
      </c>
      <c r="B5508" s="2" t="s">
        <v>3154</v>
      </c>
      <c r="C5508" s="1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  <c r="L5508" s="2" t="s">
        <v>11031</v>
      </c>
      <c r="M5508" s="2" t="s">
        <v>11031</v>
      </c>
      <c r="N5508" s="2" t="s">
        <v>11036</v>
      </c>
      <c r="O5508" s="2" t="s">
        <v>11035</v>
      </c>
      <c r="P5508" s="2" t="s">
        <v>11035</v>
      </c>
      <c r="Q5508" s="2">
        <f>AVERAGE(PerfRate[[#This Row],[EnvironmentSatisfaction]],PerfRate[[#This Row],[JobSatisfaction]],PerfRate[[#This Row],[RelationshipSatisfaction]])</f>
        <v>2.3333333333333335</v>
      </c>
      <c r="R5508" s="2">
        <f>PerfRate[[#This Row],[ManagerRating]] - PerfRate[[#This Row],[SelfRating]]</f>
        <v>0</v>
      </c>
    </row>
    <row r="5509" spans="1:18">
      <c r="A5509" s="2" t="s">
        <v>9816</v>
      </c>
      <c r="B5509" s="2" t="s">
        <v>1074</v>
      </c>
      <c r="C5509" s="1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  <c r="L5509" s="2" t="s">
        <v>11029</v>
      </c>
      <c r="M5509" s="2" t="s">
        <v>11028</v>
      </c>
      <c r="N5509" s="2" t="s">
        <v>11036</v>
      </c>
      <c r="O5509" s="2" t="s">
        <v>11036</v>
      </c>
      <c r="P5509" s="2" t="s">
        <v>11037</v>
      </c>
      <c r="Q5509" s="2">
        <f>AVERAGE(PerfRate[[#This Row],[EnvironmentSatisfaction]],PerfRate[[#This Row],[JobSatisfaction]],PerfRate[[#This Row],[RelationshipSatisfaction]])</f>
        <v>3.3333333333333335</v>
      </c>
      <c r="R5509" s="2">
        <f>PerfRate[[#This Row],[ManagerRating]] - PerfRate[[#This Row],[SelfRating]]</f>
        <v>-1</v>
      </c>
    </row>
    <row r="5510" spans="1:18">
      <c r="A5510" s="2" t="s">
        <v>9817</v>
      </c>
      <c r="B5510" s="2" t="s">
        <v>1221</v>
      </c>
      <c r="C5510" s="1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  <c r="L5510" s="2" t="s">
        <v>11029</v>
      </c>
      <c r="M5510" s="2" t="s">
        <v>11029</v>
      </c>
      <c r="N5510" s="2" t="s">
        <v>11036</v>
      </c>
      <c r="O5510" s="2" t="s">
        <v>11035</v>
      </c>
      <c r="P5510" s="2" t="s">
        <v>11038</v>
      </c>
      <c r="Q5510" s="2">
        <f>AVERAGE(PerfRate[[#This Row],[EnvironmentSatisfaction]],PerfRate[[#This Row],[JobSatisfaction]],PerfRate[[#This Row],[RelationshipSatisfaction]])</f>
        <v>3.3333333333333335</v>
      </c>
      <c r="R5510" s="2">
        <f>PerfRate[[#This Row],[ManagerRating]] - PerfRate[[#This Row],[SelfRating]]</f>
        <v>0</v>
      </c>
    </row>
    <row r="5511" spans="1:18">
      <c r="A5511" s="2" t="s">
        <v>9818</v>
      </c>
      <c r="B5511" s="2" t="s">
        <v>693</v>
      </c>
      <c r="C5511" s="1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  <c r="L5511" s="2" t="s">
        <v>11029</v>
      </c>
      <c r="M5511" s="2" t="s">
        <v>11028</v>
      </c>
      <c r="N5511" s="2" t="s">
        <v>11038</v>
      </c>
      <c r="O5511" s="2" t="s">
        <v>11038</v>
      </c>
      <c r="P5511" s="2" t="s">
        <v>11037</v>
      </c>
      <c r="Q5511" s="2">
        <f>AVERAGE(PerfRate[[#This Row],[EnvironmentSatisfaction]],PerfRate[[#This Row],[JobSatisfaction]],PerfRate[[#This Row],[RelationshipSatisfaction]])</f>
        <v>4.666666666666667</v>
      </c>
      <c r="R5511" s="2">
        <f>PerfRate[[#This Row],[ManagerRating]] - PerfRate[[#This Row],[SelfRating]]</f>
        <v>-1</v>
      </c>
    </row>
    <row r="5512" spans="1:18">
      <c r="A5512" s="2" t="s">
        <v>9819</v>
      </c>
      <c r="B5512" s="2" t="s">
        <v>979</v>
      </c>
      <c r="C5512" s="1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  <c r="L5512" s="2" t="s">
        <v>11029</v>
      </c>
      <c r="M5512" s="2" t="s">
        <v>11029</v>
      </c>
      <c r="N5512" s="2" t="s">
        <v>11038</v>
      </c>
      <c r="O5512" s="2" t="s">
        <v>11038</v>
      </c>
      <c r="P5512" s="2" t="s">
        <v>11036</v>
      </c>
      <c r="Q5512" s="2">
        <f>AVERAGE(PerfRate[[#This Row],[EnvironmentSatisfaction]],PerfRate[[#This Row],[JobSatisfaction]],PerfRate[[#This Row],[RelationshipSatisfaction]])</f>
        <v>4.333333333333333</v>
      </c>
      <c r="R5512" s="2">
        <f>PerfRate[[#This Row],[ManagerRating]] - PerfRate[[#This Row],[SelfRating]]</f>
        <v>0</v>
      </c>
    </row>
    <row r="5513" spans="1:18">
      <c r="A5513" s="2" t="s">
        <v>9820</v>
      </c>
      <c r="B5513" s="2" t="s">
        <v>2403</v>
      </c>
      <c r="C5513" s="1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  <c r="L5513" s="2" t="s">
        <v>11031</v>
      </c>
      <c r="M5513" s="2" t="s">
        <v>11030</v>
      </c>
      <c r="N5513" s="2" t="s">
        <v>11037</v>
      </c>
      <c r="O5513" s="2" t="s">
        <v>11037</v>
      </c>
      <c r="P5513" s="2" t="s">
        <v>11036</v>
      </c>
      <c r="Q5513" s="2">
        <f>AVERAGE(PerfRate[[#This Row],[EnvironmentSatisfaction]],PerfRate[[#This Row],[JobSatisfaction]],PerfRate[[#This Row],[RelationshipSatisfaction]])</f>
        <v>3.6666666666666665</v>
      </c>
      <c r="R5513" s="2">
        <f>PerfRate[[#This Row],[ManagerRating]] - PerfRate[[#This Row],[SelfRating]]</f>
        <v>-1</v>
      </c>
    </row>
    <row r="5514" spans="1:18">
      <c r="A5514" s="2" t="s">
        <v>9821</v>
      </c>
      <c r="B5514" s="2" t="s">
        <v>2456</v>
      </c>
      <c r="C5514" s="1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  <c r="L5514" s="2" t="s">
        <v>11031</v>
      </c>
      <c r="M5514" s="2" t="s">
        <v>11031</v>
      </c>
      <c r="N5514" s="2" t="s">
        <v>11037</v>
      </c>
      <c r="O5514" s="2" t="s">
        <v>11038</v>
      </c>
      <c r="P5514" s="2" t="s">
        <v>11037</v>
      </c>
      <c r="Q5514" s="2">
        <f>AVERAGE(PerfRate[[#This Row],[EnvironmentSatisfaction]],PerfRate[[#This Row],[JobSatisfaction]],PerfRate[[#This Row],[RelationshipSatisfaction]])</f>
        <v>4.333333333333333</v>
      </c>
      <c r="R5514" s="2">
        <f>PerfRate[[#This Row],[ManagerRating]] - PerfRate[[#This Row],[SelfRating]]</f>
        <v>0</v>
      </c>
    </row>
    <row r="5515" spans="1:18">
      <c r="A5515" s="2" t="s">
        <v>9822</v>
      </c>
      <c r="B5515" s="2" t="s">
        <v>2345</v>
      </c>
      <c r="C5515" s="1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  <c r="L5515" s="2" t="s">
        <v>11029</v>
      </c>
      <c r="M5515" s="2" t="s">
        <v>11028</v>
      </c>
      <c r="N5515" s="2" t="s">
        <v>11037</v>
      </c>
      <c r="O5515" s="2" t="s">
        <v>11038</v>
      </c>
      <c r="P5515" s="2" t="s">
        <v>11037</v>
      </c>
      <c r="Q5515" s="2">
        <f>AVERAGE(PerfRate[[#This Row],[EnvironmentSatisfaction]],PerfRate[[#This Row],[JobSatisfaction]],PerfRate[[#This Row],[RelationshipSatisfaction]])</f>
        <v>4.333333333333333</v>
      </c>
      <c r="R5515" s="2">
        <f>PerfRate[[#This Row],[ManagerRating]] - PerfRate[[#This Row],[SelfRating]]</f>
        <v>-1</v>
      </c>
    </row>
    <row r="5516" spans="1:18">
      <c r="A5516" s="2" t="s">
        <v>9823</v>
      </c>
      <c r="B5516" s="2" t="s">
        <v>266</v>
      </c>
      <c r="C5516" s="1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  <c r="L5516" s="2" t="s">
        <v>11029</v>
      </c>
      <c r="M5516" s="2" t="s">
        <v>11029</v>
      </c>
      <c r="N5516" s="2" t="s">
        <v>11037</v>
      </c>
      <c r="O5516" s="2" t="s">
        <v>11036</v>
      </c>
      <c r="P5516" s="2" t="s">
        <v>11035</v>
      </c>
      <c r="Q5516" s="2">
        <f>AVERAGE(PerfRate[[#This Row],[EnvironmentSatisfaction]],PerfRate[[#This Row],[JobSatisfaction]],PerfRate[[#This Row],[RelationshipSatisfaction]])</f>
        <v>3</v>
      </c>
      <c r="R5516" s="2">
        <f>PerfRate[[#This Row],[ManagerRating]] - PerfRate[[#This Row],[SelfRating]]</f>
        <v>0</v>
      </c>
    </row>
    <row r="5517" spans="1:18">
      <c r="A5517" s="2" t="s">
        <v>9824</v>
      </c>
      <c r="B5517" s="2" t="s">
        <v>2981</v>
      </c>
      <c r="C5517" s="1">
        <v>42159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  <c r="L5517" s="2" t="s">
        <v>11031</v>
      </c>
      <c r="M5517" s="2" t="s">
        <v>11031</v>
      </c>
      <c r="N5517" s="2" t="s">
        <v>11038</v>
      </c>
      <c r="O5517" s="2" t="s">
        <v>11035</v>
      </c>
      <c r="P5517" s="2" t="s">
        <v>11036</v>
      </c>
      <c r="Q5517" s="2">
        <f>AVERAGE(PerfRate[[#This Row],[EnvironmentSatisfaction]],PerfRate[[#This Row],[JobSatisfaction]],PerfRate[[#This Row],[RelationshipSatisfaction]])</f>
        <v>3.3333333333333335</v>
      </c>
      <c r="R5517" s="2">
        <f>PerfRate[[#This Row],[ManagerRating]] - PerfRate[[#This Row],[SelfRating]]</f>
        <v>0</v>
      </c>
    </row>
    <row r="5518" spans="1:18">
      <c r="A5518" s="2" t="s">
        <v>9825</v>
      </c>
      <c r="B5518" s="2" t="s">
        <v>2923</v>
      </c>
      <c r="C5518" s="1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  <c r="L5518" s="2" t="s">
        <v>11030</v>
      </c>
      <c r="M5518" s="2" t="s">
        <v>11030</v>
      </c>
      <c r="N5518" s="2" t="s">
        <v>11036</v>
      </c>
      <c r="O5518" s="2" t="s">
        <v>11036</v>
      </c>
      <c r="P5518" s="2" t="s">
        <v>11035</v>
      </c>
      <c r="Q5518" s="2">
        <f>AVERAGE(PerfRate[[#This Row],[EnvironmentSatisfaction]],PerfRate[[#This Row],[JobSatisfaction]],PerfRate[[#This Row],[RelationshipSatisfaction]])</f>
        <v>2.6666666666666665</v>
      </c>
      <c r="R5518" s="2">
        <f>PerfRate[[#This Row],[ManagerRating]] - PerfRate[[#This Row],[SelfRating]]</f>
        <v>0</v>
      </c>
    </row>
    <row r="5519" spans="1:18">
      <c r="A5519" s="2" t="s">
        <v>9826</v>
      </c>
      <c r="B5519" s="2" t="s">
        <v>3288</v>
      </c>
      <c r="C5519" s="1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  <c r="L5519" s="2" t="s">
        <v>11029</v>
      </c>
      <c r="M5519" s="2" t="s">
        <v>11028</v>
      </c>
      <c r="N5519" s="2" t="s">
        <v>11038</v>
      </c>
      <c r="O5519" s="2" t="s">
        <v>11038</v>
      </c>
      <c r="P5519" s="2" t="s">
        <v>11037</v>
      </c>
      <c r="Q5519" s="2">
        <f>AVERAGE(PerfRate[[#This Row],[EnvironmentSatisfaction]],PerfRate[[#This Row],[JobSatisfaction]],PerfRate[[#This Row],[RelationshipSatisfaction]])</f>
        <v>4.666666666666667</v>
      </c>
      <c r="R5519" s="2">
        <f>PerfRate[[#This Row],[ManagerRating]] - PerfRate[[#This Row],[SelfRating]]</f>
        <v>-1</v>
      </c>
    </row>
    <row r="5520" spans="1:18">
      <c r="A5520" s="2" t="s">
        <v>9827</v>
      </c>
      <c r="B5520" s="2" t="s">
        <v>1915</v>
      </c>
      <c r="C5520" s="1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  <c r="L5520" s="2" t="s">
        <v>11029</v>
      </c>
      <c r="M5520" s="2" t="s">
        <v>11029</v>
      </c>
      <c r="N5520" s="2" t="s">
        <v>11036</v>
      </c>
      <c r="O5520" s="2" t="s">
        <v>11035</v>
      </c>
      <c r="P5520" s="2" t="s">
        <v>11038</v>
      </c>
      <c r="Q5520" s="2">
        <f>AVERAGE(PerfRate[[#This Row],[EnvironmentSatisfaction]],PerfRate[[#This Row],[JobSatisfaction]],PerfRate[[#This Row],[RelationshipSatisfaction]])</f>
        <v>3.3333333333333335</v>
      </c>
      <c r="R5520" s="2">
        <f>PerfRate[[#This Row],[ManagerRating]] - PerfRate[[#This Row],[SelfRating]]</f>
        <v>0</v>
      </c>
    </row>
    <row r="5521" spans="1:18">
      <c r="A5521" s="2" t="s">
        <v>9828</v>
      </c>
      <c r="B5521" s="2" t="s">
        <v>928</v>
      </c>
      <c r="C5521" s="1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  <c r="L5521" s="2" t="s">
        <v>11030</v>
      </c>
      <c r="M5521" s="2" t="s">
        <v>11029</v>
      </c>
      <c r="N5521" s="2" t="s">
        <v>11036</v>
      </c>
      <c r="O5521" s="2" t="s">
        <v>11038</v>
      </c>
      <c r="P5521" s="2" t="s">
        <v>11037</v>
      </c>
      <c r="Q5521" s="2">
        <f>AVERAGE(PerfRate[[#This Row],[EnvironmentSatisfaction]],PerfRate[[#This Row],[JobSatisfaction]],PerfRate[[#This Row],[RelationshipSatisfaction]])</f>
        <v>4</v>
      </c>
      <c r="R5521" s="2">
        <f>PerfRate[[#This Row],[ManagerRating]] - PerfRate[[#This Row],[SelfRating]]</f>
        <v>-1</v>
      </c>
    </row>
    <row r="5522" spans="1:18">
      <c r="A5522" s="2" t="s">
        <v>9829</v>
      </c>
      <c r="B5522" s="2" t="s">
        <v>1990</v>
      </c>
      <c r="C5522" s="1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  <c r="L5522" s="2" t="s">
        <v>11031</v>
      </c>
      <c r="M5522" s="2" t="s">
        <v>11030</v>
      </c>
      <c r="N5522" s="2" t="s">
        <v>11036</v>
      </c>
      <c r="O5522" s="2" t="s">
        <v>11035</v>
      </c>
      <c r="P5522" s="2" t="s">
        <v>11038</v>
      </c>
      <c r="Q5522" s="2">
        <f>AVERAGE(PerfRate[[#This Row],[EnvironmentSatisfaction]],PerfRate[[#This Row],[JobSatisfaction]],PerfRate[[#This Row],[RelationshipSatisfaction]])</f>
        <v>3.3333333333333335</v>
      </c>
      <c r="R5522" s="2">
        <f>PerfRate[[#This Row],[ManagerRating]] - PerfRate[[#This Row],[SelfRating]]</f>
        <v>-1</v>
      </c>
    </row>
    <row r="5523" spans="1:18">
      <c r="A5523" s="2" t="s">
        <v>9830</v>
      </c>
      <c r="B5523" s="2" t="s">
        <v>208</v>
      </c>
      <c r="C5523" s="1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  <c r="L5523" s="2" t="s">
        <v>11030</v>
      </c>
      <c r="M5523" s="2" t="s">
        <v>11029</v>
      </c>
      <c r="N5523" s="2" t="s">
        <v>11038</v>
      </c>
      <c r="O5523" s="2" t="s">
        <v>11038</v>
      </c>
      <c r="P5523" s="2" t="s">
        <v>11036</v>
      </c>
      <c r="Q5523" s="2">
        <f>AVERAGE(PerfRate[[#This Row],[EnvironmentSatisfaction]],PerfRate[[#This Row],[JobSatisfaction]],PerfRate[[#This Row],[RelationshipSatisfaction]])</f>
        <v>4.333333333333333</v>
      </c>
      <c r="R5523" s="2">
        <f>PerfRate[[#This Row],[ManagerRating]] - PerfRate[[#This Row],[SelfRating]]</f>
        <v>-1</v>
      </c>
    </row>
    <row r="5524" spans="1:18">
      <c r="A5524" s="2" t="s">
        <v>9831</v>
      </c>
      <c r="B5524" s="2" t="s">
        <v>1249</v>
      </c>
      <c r="C5524" s="1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  <c r="L5524" s="2" t="s">
        <v>11029</v>
      </c>
      <c r="M5524" s="2" t="s">
        <v>11028</v>
      </c>
      <c r="N5524" s="2" t="s">
        <v>11037</v>
      </c>
      <c r="O5524" s="2" t="s">
        <v>11036</v>
      </c>
      <c r="P5524" s="2" t="s">
        <v>11036</v>
      </c>
      <c r="Q5524" s="2">
        <f>AVERAGE(PerfRate[[#This Row],[EnvironmentSatisfaction]],PerfRate[[#This Row],[JobSatisfaction]],PerfRate[[#This Row],[RelationshipSatisfaction]])</f>
        <v>3.3333333333333335</v>
      </c>
      <c r="R5524" s="2">
        <f>PerfRate[[#This Row],[ManagerRating]] - PerfRate[[#This Row],[SelfRating]]</f>
        <v>-1</v>
      </c>
    </row>
    <row r="5525" spans="1:18">
      <c r="A5525" s="2" t="s">
        <v>9832</v>
      </c>
      <c r="B5525" s="2" t="s">
        <v>2372</v>
      </c>
      <c r="C5525" s="1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  <c r="L5525" s="2" t="s">
        <v>11029</v>
      </c>
      <c r="M5525" s="2" t="s">
        <v>11029</v>
      </c>
      <c r="N5525" s="2" t="s">
        <v>11038</v>
      </c>
      <c r="O5525" s="2" t="s">
        <v>11038</v>
      </c>
      <c r="P5525" s="2" t="s">
        <v>11036</v>
      </c>
      <c r="Q5525" s="2">
        <f>AVERAGE(PerfRate[[#This Row],[EnvironmentSatisfaction]],PerfRate[[#This Row],[JobSatisfaction]],PerfRate[[#This Row],[RelationshipSatisfaction]])</f>
        <v>4.333333333333333</v>
      </c>
      <c r="R5525" s="2">
        <f>PerfRate[[#This Row],[ManagerRating]] - PerfRate[[#This Row],[SelfRating]]</f>
        <v>0</v>
      </c>
    </row>
    <row r="5526" spans="1:18">
      <c r="A5526" s="2" t="s">
        <v>9833</v>
      </c>
      <c r="B5526" s="2" t="s">
        <v>508</v>
      </c>
      <c r="C5526" s="1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  <c r="L5526" s="2" t="s">
        <v>11030</v>
      </c>
      <c r="M5526" s="2" t="s">
        <v>11030</v>
      </c>
      <c r="N5526" s="2" t="s">
        <v>11037</v>
      </c>
      <c r="O5526" s="2" t="s">
        <v>11036</v>
      </c>
      <c r="P5526" s="2" t="s">
        <v>11037</v>
      </c>
      <c r="Q5526" s="2">
        <f>AVERAGE(PerfRate[[#This Row],[EnvironmentSatisfaction]],PerfRate[[#This Row],[JobSatisfaction]],PerfRate[[#This Row],[RelationshipSatisfaction]])</f>
        <v>3.6666666666666665</v>
      </c>
      <c r="R5526" s="2">
        <f>PerfRate[[#This Row],[ManagerRating]] - PerfRate[[#This Row],[SelfRating]]</f>
        <v>0</v>
      </c>
    </row>
    <row r="5527" spans="1:18">
      <c r="A5527" s="2" t="s">
        <v>9834</v>
      </c>
      <c r="B5527" s="2" t="s">
        <v>814</v>
      </c>
      <c r="C5527" s="1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  <c r="L5527" s="2" t="s">
        <v>11030</v>
      </c>
      <c r="M5527" s="2" t="s">
        <v>11029</v>
      </c>
      <c r="N5527" s="2" t="s">
        <v>11036</v>
      </c>
      <c r="O5527" s="2" t="s">
        <v>11037</v>
      </c>
      <c r="P5527" s="2" t="s">
        <v>11038</v>
      </c>
      <c r="Q5527" s="2">
        <f>AVERAGE(PerfRate[[#This Row],[EnvironmentSatisfaction]],PerfRate[[#This Row],[JobSatisfaction]],PerfRate[[#This Row],[RelationshipSatisfaction]])</f>
        <v>4</v>
      </c>
      <c r="R5527" s="2">
        <f>PerfRate[[#This Row],[ManagerRating]] - PerfRate[[#This Row],[SelfRating]]</f>
        <v>-1</v>
      </c>
    </row>
    <row r="5528" spans="1:18">
      <c r="A5528" s="2" t="s">
        <v>9835</v>
      </c>
      <c r="B5528" s="2" t="s">
        <v>296</v>
      </c>
      <c r="C5528" s="1">
        <v>42189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  <c r="L5528" s="2" t="s">
        <v>11030</v>
      </c>
      <c r="M5528" s="2" t="s">
        <v>11030</v>
      </c>
      <c r="N5528" s="2" t="s">
        <v>11037</v>
      </c>
      <c r="O5528" s="2" t="s">
        <v>11035</v>
      </c>
      <c r="P5528" s="2" t="s">
        <v>11038</v>
      </c>
      <c r="Q5528" s="2">
        <f>AVERAGE(PerfRate[[#This Row],[EnvironmentSatisfaction]],PerfRate[[#This Row],[JobSatisfaction]],PerfRate[[#This Row],[RelationshipSatisfaction]])</f>
        <v>3.6666666666666665</v>
      </c>
      <c r="R5528" s="2">
        <f>PerfRate[[#This Row],[ManagerRating]] - PerfRate[[#This Row],[SelfRating]]</f>
        <v>0</v>
      </c>
    </row>
    <row r="5529" spans="1:18">
      <c r="A5529" s="2" t="s">
        <v>9836</v>
      </c>
      <c r="B5529" s="2" t="s">
        <v>1441</v>
      </c>
      <c r="C5529" s="1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  <c r="L5529" s="2" t="s">
        <v>11029</v>
      </c>
      <c r="M5529" s="2" t="s">
        <v>11028</v>
      </c>
      <c r="N5529" s="2" t="s">
        <v>11037</v>
      </c>
      <c r="O5529" s="2" t="s">
        <v>11035</v>
      </c>
      <c r="P5529" s="2" t="s">
        <v>11035</v>
      </c>
      <c r="Q5529" s="2">
        <f>AVERAGE(PerfRate[[#This Row],[EnvironmentSatisfaction]],PerfRate[[#This Row],[JobSatisfaction]],PerfRate[[#This Row],[RelationshipSatisfaction]])</f>
        <v>2.6666666666666665</v>
      </c>
      <c r="R5529" s="2">
        <f>PerfRate[[#This Row],[ManagerRating]] - PerfRate[[#This Row],[SelfRating]]</f>
        <v>-1</v>
      </c>
    </row>
    <row r="5530" spans="1:18">
      <c r="A5530" s="2" t="s">
        <v>9837</v>
      </c>
      <c r="B5530" s="2" t="s">
        <v>1476</v>
      </c>
      <c r="C5530" s="1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  <c r="L5530" s="2" t="s">
        <v>11030</v>
      </c>
      <c r="M5530" s="2" t="s">
        <v>11030</v>
      </c>
      <c r="N5530" s="2" t="s">
        <v>11038</v>
      </c>
      <c r="O5530" s="2" t="s">
        <v>11036</v>
      </c>
      <c r="P5530" s="2" t="s">
        <v>11038</v>
      </c>
      <c r="Q5530" s="2">
        <f>AVERAGE(PerfRate[[#This Row],[EnvironmentSatisfaction]],PerfRate[[#This Row],[JobSatisfaction]],PerfRate[[#This Row],[RelationshipSatisfaction]])</f>
        <v>4.333333333333333</v>
      </c>
      <c r="R5530" s="2">
        <f>PerfRate[[#This Row],[ManagerRating]] - PerfRate[[#This Row],[SelfRating]]</f>
        <v>0</v>
      </c>
    </row>
    <row r="5531" spans="1:18">
      <c r="A5531" s="2" t="s">
        <v>9838</v>
      </c>
      <c r="B5531" s="2" t="s">
        <v>461</v>
      </c>
      <c r="C5531" s="1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  <c r="L5531" s="2" t="s">
        <v>11029</v>
      </c>
      <c r="M5531" s="2" t="s">
        <v>11029</v>
      </c>
      <c r="N5531" s="2" t="s">
        <v>11036</v>
      </c>
      <c r="O5531" s="2" t="s">
        <v>11036</v>
      </c>
      <c r="P5531" s="2" t="s">
        <v>11036</v>
      </c>
      <c r="Q5531" s="2">
        <f>AVERAGE(PerfRate[[#This Row],[EnvironmentSatisfaction]],PerfRate[[#This Row],[JobSatisfaction]],PerfRate[[#This Row],[RelationshipSatisfaction]])</f>
        <v>3</v>
      </c>
      <c r="R5531" s="2">
        <f>PerfRate[[#This Row],[ManagerRating]] - PerfRate[[#This Row],[SelfRating]]</f>
        <v>0</v>
      </c>
    </row>
    <row r="5532" spans="1:18">
      <c r="A5532" s="2" t="s">
        <v>9839</v>
      </c>
      <c r="B5532" s="2" t="s">
        <v>1421</v>
      </c>
      <c r="C5532" s="1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  <c r="L5532" s="2" t="s">
        <v>11030</v>
      </c>
      <c r="M5532" s="2" t="s">
        <v>11030</v>
      </c>
      <c r="N5532" s="2" t="s">
        <v>11037</v>
      </c>
      <c r="O5532" s="2" t="s">
        <v>11035</v>
      </c>
      <c r="P5532" s="2" t="s">
        <v>11035</v>
      </c>
      <c r="Q5532" s="2">
        <f>AVERAGE(PerfRate[[#This Row],[EnvironmentSatisfaction]],PerfRate[[#This Row],[JobSatisfaction]],PerfRate[[#This Row],[RelationshipSatisfaction]])</f>
        <v>2.6666666666666665</v>
      </c>
      <c r="R5532" s="2">
        <f>PerfRate[[#This Row],[ManagerRating]] - PerfRate[[#This Row],[SelfRating]]</f>
        <v>0</v>
      </c>
    </row>
    <row r="5533" spans="1:18">
      <c r="A5533" s="2" t="s">
        <v>9840</v>
      </c>
      <c r="B5533" s="2" t="s">
        <v>2019</v>
      </c>
      <c r="C5533" s="1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  <c r="L5533" s="2" t="s">
        <v>11029</v>
      </c>
      <c r="M5533" s="2" t="s">
        <v>11028</v>
      </c>
      <c r="N5533" s="2" t="s">
        <v>11038</v>
      </c>
      <c r="O5533" s="2" t="s">
        <v>11035</v>
      </c>
      <c r="P5533" s="2" t="s">
        <v>11036</v>
      </c>
      <c r="Q5533" s="2">
        <f>AVERAGE(PerfRate[[#This Row],[EnvironmentSatisfaction]],PerfRate[[#This Row],[JobSatisfaction]],PerfRate[[#This Row],[RelationshipSatisfaction]])</f>
        <v>3.3333333333333335</v>
      </c>
      <c r="R5533" s="2">
        <f>PerfRate[[#This Row],[ManagerRating]] - PerfRate[[#This Row],[SelfRating]]</f>
        <v>-1</v>
      </c>
    </row>
    <row r="5534" spans="1:18">
      <c r="A5534" s="2" t="s">
        <v>9841</v>
      </c>
      <c r="B5534" s="2" t="s">
        <v>3359</v>
      </c>
      <c r="C5534" s="1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  <c r="L5534" s="2" t="s">
        <v>11029</v>
      </c>
      <c r="M5534" s="2" t="s">
        <v>11028</v>
      </c>
      <c r="N5534" s="2" t="s">
        <v>11038</v>
      </c>
      <c r="O5534" s="2" t="s">
        <v>11038</v>
      </c>
      <c r="P5534" s="2" t="s">
        <v>11037</v>
      </c>
      <c r="Q5534" s="2">
        <f>AVERAGE(PerfRate[[#This Row],[EnvironmentSatisfaction]],PerfRate[[#This Row],[JobSatisfaction]],PerfRate[[#This Row],[RelationshipSatisfaction]])</f>
        <v>4.666666666666667</v>
      </c>
      <c r="R5534" s="2">
        <f>PerfRate[[#This Row],[ManagerRating]] - PerfRate[[#This Row],[SelfRating]]</f>
        <v>-1</v>
      </c>
    </row>
    <row r="5535" spans="1:18">
      <c r="A5535" s="2" t="s">
        <v>9842</v>
      </c>
      <c r="B5535" s="2" t="s">
        <v>3702</v>
      </c>
      <c r="C5535" s="1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  <c r="L5535" s="2" t="s">
        <v>11030</v>
      </c>
      <c r="M5535" s="2" t="s">
        <v>11030</v>
      </c>
      <c r="N5535" s="2" t="s">
        <v>11037</v>
      </c>
      <c r="O5535" s="2" t="s">
        <v>11035</v>
      </c>
      <c r="P5535" s="2" t="s">
        <v>11035</v>
      </c>
      <c r="Q5535" s="2">
        <f>AVERAGE(PerfRate[[#This Row],[EnvironmentSatisfaction]],PerfRate[[#This Row],[JobSatisfaction]],PerfRate[[#This Row],[RelationshipSatisfaction]])</f>
        <v>2.6666666666666665</v>
      </c>
      <c r="R5535" s="2">
        <f>PerfRate[[#This Row],[ManagerRating]] - PerfRate[[#This Row],[SelfRating]]</f>
        <v>0</v>
      </c>
    </row>
    <row r="5536" spans="1:18">
      <c r="A5536" s="2" t="s">
        <v>9843</v>
      </c>
      <c r="B5536" s="2" t="s">
        <v>446</v>
      </c>
      <c r="C5536" s="1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  <c r="L5536" s="2" t="s">
        <v>11030</v>
      </c>
      <c r="M5536" s="2" t="s">
        <v>11030</v>
      </c>
      <c r="N5536" s="2" t="s">
        <v>11037</v>
      </c>
      <c r="O5536" s="2" t="s">
        <v>11036</v>
      </c>
      <c r="P5536" s="2" t="s">
        <v>11037</v>
      </c>
      <c r="Q5536" s="2">
        <f>AVERAGE(PerfRate[[#This Row],[EnvironmentSatisfaction]],PerfRate[[#This Row],[JobSatisfaction]],PerfRate[[#This Row],[RelationshipSatisfaction]])</f>
        <v>3.6666666666666665</v>
      </c>
      <c r="R5536" s="2">
        <f>PerfRate[[#This Row],[ManagerRating]] - PerfRate[[#This Row],[SelfRating]]</f>
        <v>0</v>
      </c>
    </row>
    <row r="5537" spans="1:18">
      <c r="A5537" s="2" t="s">
        <v>9844</v>
      </c>
      <c r="B5537" s="2" t="s">
        <v>1741</v>
      </c>
      <c r="C5537" s="1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  <c r="L5537" s="2" t="s">
        <v>11031</v>
      </c>
      <c r="M5537" s="2" t="s">
        <v>11030</v>
      </c>
      <c r="N5537" s="2" t="s">
        <v>11037</v>
      </c>
      <c r="O5537" s="2" t="s">
        <v>11038</v>
      </c>
      <c r="P5537" s="2" t="s">
        <v>11038</v>
      </c>
      <c r="Q5537" s="2">
        <f>AVERAGE(PerfRate[[#This Row],[EnvironmentSatisfaction]],PerfRate[[#This Row],[JobSatisfaction]],PerfRate[[#This Row],[RelationshipSatisfaction]])</f>
        <v>4.666666666666667</v>
      </c>
      <c r="R5537" s="2">
        <f>PerfRate[[#This Row],[ManagerRating]] - PerfRate[[#This Row],[SelfRating]]</f>
        <v>-1</v>
      </c>
    </row>
    <row r="5538" spans="1:18">
      <c r="A5538" s="2" t="s">
        <v>9845</v>
      </c>
      <c r="B5538" s="2" t="s">
        <v>2024</v>
      </c>
      <c r="C5538" s="1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  <c r="L5538" s="2" t="s">
        <v>11029</v>
      </c>
      <c r="M5538" s="2" t="s">
        <v>11028</v>
      </c>
      <c r="N5538" s="2" t="s">
        <v>11037</v>
      </c>
      <c r="O5538" s="2" t="s">
        <v>11036</v>
      </c>
      <c r="P5538" s="2" t="s">
        <v>11038</v>
      </c>
      <c r="Q5538" s="2">
        <f>AVERAGE(PerfRate[[#This Row],[EnvironmentSatisfaction]],PerfRate[[#This Row],[JobSatisfaction]],PerfRate[[#This Row],[RelationshipSatisfaction]])</f>
        <v>4</v>
      </c>
      <c r="R5538" s="2">
        <f>PerfRate[[#This Row],[ManagerRating]] - PerfRate[[#This Row],[SelfRating]]</f>
        <v>-1</v>
      </c>
    </row>
    <row r="5539" spans="1:18">
      <c r="A5539" s="2" t="s">
        <v>9846</v>
      </c>
      <c r="B5539" s="2" t="s">
        <v>2584</v>
      </c>
      <c r="C5539" s="1">
        <v>42189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  <c r="L5539" s="2" t="s">
        <v>11030</v>
      </c>
      <c r="M5539" s="2" t="s">
        <v>11030</v>
      </c>
      <c r="N5539" s="2" t="s">
        <v>11036</v>
      </c>
      <c r="O5539" s="2" t="s">
        <v>11038</v>
      </c>
      <c r="P5539" s="2" t="s">
        <v>11038</v>
      </c>
      <c r="Q5539" s="2">
        <f>AVERAGE(PerfRate[[#This Row],[EnvironmentSatisfaction]],PerfRate[[#This Row],[JobSatisfaction]],PerfRate[[#This Row],[RelationshipSatisfaction]])</f>
        <v>4.333333333333333</v>
      </c>
      <c r="R5539" s="2">
        <f>PerfRate[[#This Row],[ManagerRating]] - PerfRate[[#This Row],[SelfRating]]</f>
        <v>0</v>
      </c>
    </row>
    <row r="5540" spans="1:18">
      <c r="A5540" s="2" t="s">
        <v>9847</v>
      </c>
      <c r="B5540" s="2" t="s">
        <v>985</v>
      </c>
      <c r="C5540" s="1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  <c r="L5540" s="2" t="s">
        <v>11031</v>
      </c>
      <c r="M5540" s="2" t="s">
        <v>11030</v>
      </c>
      <c r="N5540" s="2" t="s">
        <v>11036</v>
      </c>
      <c r="O5540" s="2" t="s">
        <v>11035</v>
      </c>
      <c r="P5540" s="2" t="s">
        <v>11036</v>
      </c>
      <c r="Q5540" s="2">
        <f>AVERAGE(PerfRate[[#This Row],[EnvironmentSatisfaction]],PerfRate[[#This Row],[JobSatisfaction]],PerfRate[[#This Row],[RelationshipSatisfaction]])</f>
        <v>2.6666666666666665</v>
      </c>
      <c r="R5540" s="2">
        <f>PerfRate[[#This Row],[ManagerRating]] - PerfRate[[#This Row],[SelfRating]]</f>
        <v>-1</v>
      </c>
    </row>
    <row r="5541" spans="1:18">
      <c r="A5541" s="2" t="s">
        <v>9848</v>
      </c>
      <c r="B5541" s="2" t="s">
        <v>2248</v>
      </c>
      <c r="C5541" s="1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  <c r="L5541" s="2" t="s">
        <v>11031</v>
      </c>
      <c r="M5541" s="2" t="s">
        <v>11031</v>
      </c>
      <c r="N5541" s="2" t="s">
        <v>11036</v>
      </c>
      <c r="O5541" s="2" t="s">
        <v>11038</v>
      </c>
      <c r="P5541" s="2" t="s">
        <v>11035</v>
      </c>
      <c r="Q5541" s="2">
        <f>AVERAGE(PerfRate[[#This Row],[EnvironmentSatisfaction]],PerfRate[[#This Row],[JobSatisfaction]],PerfRate[[#This Row],[RelationshipSatisfaction]])</f>
        <v>3.3333333333333335</v>
      </c>
      <c r="R5541" s="2">
        <f>PerfRate[[#This Row],[ManagerRating]] - PerfRate[[#This Row],[SelfRating]]</f>
        <v>0</v>
      </c>
    </row>
    <row r="5542" spans="1:18">
      <c r="A5542" s="2" t="s">
        <v>9849</v>
      </c>
      <c r="B5542" s="2" t="s">
        <v>2827</v>
      </c>
      <c r="C5542" s="1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  <c r="L5542" s="2" t="s">
        <v>11030</v>
      </c>
      <c r="M5542" s="2" t="s">
        <v>11029</v>
      </c>
      <c r="N5542" s="2" t="s">
        <v>11037</v>
      </c>
      <c r="O5542" s="2" t="s">
        <v>11038</v>
      </c>
      <c r="P5542" s="2" t="s">
        <v>11036</v>
      </c>
      <c r="Q5542" s="2">
        <f>AVERAGE(PerfRate[[#This Row],[EnvironmentSatisfaction]],PerfRate[[#This Row],[JobSatisfaction]],PerfRate[[#This Row],[RelationshipSatisfaction]])</f>
        <v>4</v>
      </c>
      <c r="R5542" s="2">
        <f>PerfRate[[#This Row],[ManagerRating]] - PerfRate[[#This Row],[SelfRating]]</f>
        <v>-1</v>
      </c>
    </row>
    <row r="5543" spans="1:18">
      <c r="A5543" s="2" t="s">
        <v>9850</v>
      </c>
      <c r="B5543" s="2" t="s">
        <v>3219</v>
      </c>
      <c r="C5543" s="1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  <c r="L5543" s="2" t="s">
        <v>11031</v>
      </c>
      <c r="M5543" s="2" t="s">
        <v>11031</v>
      </c>
      <c r="N5543" s="2" t="s">
        <v>11037</v>
      </c>
      <c r="O5543" s="2" t="s">
        <v>11035</v>
      </c>
      <c r="P5543" s="2" t="s">
        <v>11037</v>
      </c>
      <c r="Q5543" s="2">
        <f>AVERAGE(PerfRate[[#This Row],[EnvironmentSatisfaction]],PerfRate[[#This Row],[JobSatisfaction]],PerfRate[[#This Row],[RelationshipSatisfaction]])</f>
        <v>3.3333333333333335</v>
      </c>
      <c r="R5543" s="2">
        <f>PerfRate[[#This Row],[ManagerRating]] - PerfRate[[#This Row],[SelfRating]]</f>
        <v>0</v>
      </c>
    </row>
    <row r="5544" spans="1:18">
      <c r="A5544" s="2" t="s">
        <v>9851</v>
      </c>
      <c r="B5544" s="2" t="s">
        <v>2718</v>
      </c>
      <c r="C5544" s="1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  <c r="L5544" s="2" t="s">
        <v>11031</v>
      </c>
      <c r="M5544" s="2" t="s">
        <v>11031</v>
      </c>
      <c r="N5544" s="2" t="s">
        <v>11038</v>
      </c>
      <c r="O5544" s="2" t="s">
        <v>11035</v>
      </c>
      <c r="P5544" s="2" t="s">
        <v>11036</v>
      </c>
      <c r="Q5544" s="2">
        <f>AVERAGE(PerfRate[[#This Row],[EnvironmentSatisfaction]],PerfRate[[#This Row],[JobSatisfaction]],PerfRate[[#This Row],[RelationshipSatisfaction]])</f>
        <v>3.3333333333333335</v>
      </c>
      <c r="R5544" s="2">
        <f>PerfRate[[#This Row],[ManagerRating]] - PerfRate[[#This Row],[SelfRating]]</f>
        <v>0</v>
      </c>
    </row>
    <row r="5545" spans="1:18">
      <c r="A5545" s="2" t="s">
        <v>9852</v>
      </c>
      <c r="B5545" s="2" t="s">
        <v>3168</v>
      </c>
      <c r="C5545" s="1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  <c r="L5545" s="2" t="s">
        <v>11031</v>
      </c>
      <c r="M5545" s="2" t="s">
        <v>11030</v>
      </c>
      <c r="N5545" s="2" t="s">
        <v>11034</v>
      </c>
      <c r="O5545" s="2" t="s">
        <v>11035</v>
      </c>
      <c r="P5545" s="2" t="s">
        <v>11035</v>
      </c>
      <c r="Q5545" s="2">
        <f>AVERAGE(PerfRate[[#This Row],[EnvironmentSatisfaction]],PerfRate[[#This Row],[JobSatisfaction]],PerfRate[[#This Row],[RelationshipSatisfaction]])</f>
        <v>1.6666666666666667</v>
      </c>
      <c r="R5545" s="2">
        <f>PerfRate[[#This Row],[ManagerRating]] - PerfRate[[#This Row],[SelfRating]]</f>
        <v>-1</v>
      </c>
    </row>
    <row r="5546" spans="1:18">
      <c r="A5546" s="2" t="s">
        <v>9853</v>
      </c>
      <c r="B5546" s="2" t="s">
        <v>3147</v>
      </c>
      <c r="C5546" s="1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  <c r="L5546" s="2" t="s">
        <v>11031</v>
      </c>
      <c r="M5546" s="2" t="s">
        <v>11030</v>
      </c>
      <c r="N5546" s="2" t="s">
        <v>11034</v>
      </c>
      <c r="O5546" s="2" t="s">
        <v>11034</v>
      </c>
      <c r="P5546" s="2" t="s">
        <v>11037</v>
      </c>
      <c r="Q5546" s="2">
        <f>AVERAGE(PerfRate[[#This Row],[EnvironmentSatisfaction]],PerfRate[[#This Row],[JobSatisfaction]],PerfRate[[#This Row],[RelationshipSatisfaction]])</f>
        <v>2</v>
      </c>
      <c r="R5546" s="2">
        <f>PerfRate[[#This Row],[ManagerRating]] - PerfRate[[#This Row],[SelfRating]]</f>
        <v>-1</v>
      </c>
    </row>
    <row r="5547" spans="1:18">
      <c r="A5547" s="2" t="s">
        <v>9854</v>
      </c>
      <c r="B5547" s="2" t="s">
        <v>2039</v>
      </c>
      <c r="C5547" s="1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  <c r="L5547" s="2" t="s">
        <v>11029</v>
      </c>
      <c r="M5547" s="2" t="s">
        <v>11029</v>
      </c>
      <c r="N5547" s="2" t="s">
        <v>11034</v>
      </c>
      <c r="O5547" s="2" t="s">
        <v>11036</v>
      </c>
      <c r="P5547" s="2" t="s">
        <v>11036</v>
      </c>
      <c r="Q5547" s="2">
        <f>AVERAGE(PerfRate[[#This Row],[EnvironmentSatisfaction]],PerfRate[[#This Row],[JobSatisfaction]],PerfRate[[#This Row],[RelationshipSatisfaction]])</f>
        <v>2.3333333333333335</v>
      </c>
      <c r="R5547" s="2">
        <f>PerfRate[[#This Row],[ManagerRating]] - PerfRate[[#This Row],[SelfRating]]</f>
        <v>0</v>
      </c>
    </row>
    <row r="5548" spans="1:18">
      <c r="A5548" s="2" t="s">
        <v>9855</v>
      </c>
      <c r="B5548" s="2" t="s">
        <v>2263</v>
      </c>
      <c r="C5548" s="1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  <c r="L5548" s="2" t="s">
        <v>11030</v>
      </c>
      <c r="M5548" s="2" t="s">
        <v>11030</v>
      </c>
      <c r="N5548" s="2" t="s">
        <v>11037</v>
      </c>
      <c r="O5548" s="2" t="s">
        <v>11035</v>
      </c>
      <c r="P5548" s="2" t="s">
        <v>11035</v>
      </c>
      <c r="Q5548" s="2">
        <f>AVERAGE(PerfRate[[#This Row],[EnvironmentSatisfaction]],PerfRate[[#This Row],[JobSatisfaction]],PerfRate[[#This Row],[RelationshipSatisfaction]])</f>
        <v>2.6666666666666665</v>
      </c>
      <c r="R5548" s="2">
        <f>PerfRate[[#This Row],[ManagerRating]] - PerfRate[[#This Row],[SelfRating]]</f>
        <v>0</v>
      </c>
    </row>
    <row r="5549" spans="1:18">
      <c r="A5549" s="2" t="s">
        <v>9856</v>
      </c>
      <c r="B5549" s="2" t="s">
        <v>3436</v>
      </c>
      <c r="C5549" s="1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  <c r="L5549" s="2" t="s">
        <v>11030</v>
      </c>
      <c r="M5549" s="2" t="s">
        <v>11030</v>
      </c>
      <c r="N5549" s="2" t="s">
        <v>11037</v>
      </c>
      <c r="O5549" s="2" t="s">
        <v>11038</v>
      </c>
      <c r="P5549" s="2" t="s">
        <v>11038</v>
      </c>
      <c r="Q5549" s="2">
        <f>AVERAGE(PerfRate[[#This Row],[EnvironmentSatisfaction]],PerfRate[[#This Row],[JobSatisfaction]],PerfRate[[#This Row],[RelationshipSatisfaction]])</f>
        <v>4.666666666666667</v>
      </c>
      <c r="R5549" s="2">
        <f>PerfRate[[#This Row],[ManagerRating]] - PerfRate[[#This Row],[SelfRating]]</f>
        <v>0</v>
      </c>
    </row>
    <row r="5550" spans="1:18">
      <c r="A5550" s="2" t="s">
        <v>9857</v>
      </c>
      <c r="B5550" s="2" t="s">
        <v>42</v>
      </c>
      <c r="C5550" s="1">
        <v>42251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  <c r="L5550" s="2" t="s">
        <v>11030</v>
      </c>
      <c r="M5550" s="2" t="s">
        <v>11030</v>
      </c>
      <c r="N5550" s="2" t="s">
        <v>11036</v>
      </c>
      <c r="O5550" s="2" t="s">
        <v>11037</v>
      </c>
      <c r="P5550" s="2" t="s">
        <v>11036</v>
      </c>
      <c r="Q5550" s="2">
        <f>AVERAGE(PerfRate[[#This Row],[EnvironmentSatisfaction]],PerfRate[[#This Row],[JobSatisfaction]],PerfRate[[#This Row],[RelationshipSatisfaction]])</f>
        <v>3.3333333333333335</v>
      </c>
      <c r="R5550" s="2">
        <f>PerfRate[[#This Row],[ManagerRating]] - PerfRate[[#This Row],[SelfRating]]</f>
        <v>0</v>
      </c>
    </row>
    <row r="5551" spans="1:18">
      <c r="A5551" s="2" t="s">
        <v>9858</v>
      </c>
      <c r="B5551" s="2" t="s">
        <v>1641</v>
      </c>
      <c r="C5551" s="1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  <c r="L5551" s="2" t="s">
        <v>11031</v>
      </c>
      <c r="M5551" s="2" t="s">
        <v>11031</v>
      </c>
      <c r="N5551" s="2" t="s">
        <v>11037</v>
      </c>
      <c r="O5551" s="2" t="s">
        <v>11035</v>
      </c>
      <c r="P5551" s="2" t="s">
        <v>11037</v>
      </c>
      <c r="Q5551" s="2">
        <f>AVERAGE(PerfRate[[#This Row],[EnvironmentSatisfaction]],PerfRate[[#This Row],[JobSatisfaction]],PerfRate[[#This Row],[RelationshipSatisfaction]])</f>
        <v>3.3333333333333335</v>
      </c>
      <c r="R5551" s="2">
        <f>PerfRate[[#This Row],[ManagerRating]] - PerfRate[[#This Row],[SelfRating]]</f>
        <v>0</v>
      </c>
    </row>
    <row r="5552" spans="1:18">
      <c r="A5552" s="2" t="s">
        <v>9859</v>
      </c>
      <c r="B5552" s="2" t="s">
        <v>2366</v>
      </c>
      <c r="C5552" s="1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  <c r="L5552" s="2" t="s">
        <v>11031</v>
      </c>
      <c r="M5552" s="2" t="s">
        <v>11031</v>
      </c>
      <c r="N5552" s="2" t="s">
        <v>11037</v>
      </c>
      <c r="O5552" s="2" t="s">
        <v>11036</v>
      </c>
      <c r="P5552" s="2" t="s">
        <v>11035</v>
      </c>
      <c r="Q5552" s="2">
        <f>AVERAGE(PerfRate[[#This Row],[EnvironmentSatisfaction]],PerfRate[[#This Row],[JobSatisfaction]],PerfRate[[#This Row],[RelationshipSatisfaction]])</f>
        <v>3</v>
      </c>
      <c r="R5552" s="2">
        <f>PerfRate[[#This Row],[ManagerRating]] - PerfRate[[#This Row],[SelfRating]]</f>
        <v>0</v>
      </c>
    </row>
    <row r="5553" spans="1:18">
      <c r="A5553" s="2" t="s">
        <v>9860</v>
      </c>
      <c r="B5553" s="2" t="s">
        <v>1965</v>
      </c>
      <c r="C5553" s="1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  <c r="L5553" s="2" t="s">
        <v>11031</v>
      </c>
      <c r="M5553" s="2" t="s">
        <v>11031</v>
      </c>
      <c r="N5553" s="2" t="s">
        <v>11037</v>
      </c>
      <c r="O5553" s="2" t="s">
        <v>11037</v>
      </c>
      <c r="P5553" s="2" t="s">
        <v>11035</v>
      </c>
      <c r="Q5553" s="2">
        <f>AVERAGE(PerfRate[[#This Row],[EnvironmentSatisfaction]],PerfRate[[#This Row],[JobSatisfaction]],PerfRate[[#This Row],[RelationshipSatisfaction]])</f>
        <v>3.3333333333333335</v>
      </c>
      <c r="R5553" s="2">
        <f>PerfRate[[#This Row],[ManagerRating]] - PerfRate[[#This Row],[SelfRating]]</f>
        <v>0</v>
      </c>
    </row>
    <row r="5554" spans="1:18">
      <c r="A5554" s="2" t="s">
        <v>9861</v>
      </c>
      <c r="B5554" s="2" t="s">
        <v>1750</v>
      </c>
      <c r="C5554" s="1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  <c r="L5554" s="2" t="s">
        <v>11030</v>
      </c>
      <c r="M5554" s="2" t="s">
        <v>11030</v>
      </c>
      <c r="N5554" s="2" t="s">
        <v>11036</v>
      </c>
      <c r="O5554" s="2" t="s">
        <v>11037</v>
      </c>
      <c r="P5554" s="2" t="s">
        <v>11036</v>
      </c>
      <c r="Q5554" s="2">
        <f>AVERAGE(PerfRate[[#This Row],[EnvironmentSatisfaction]],PerfRate[[#This Row],[JobSatisfaction]],PerfRate[[#This Row],[RelationshipSatisfaction]])</f>
        <v>3.3333333333333335</v>
      </c>
      <c r="R5554" s="2">
        <f>PerfRate[[#This Row],[ManagerRating]] - PerfRate[[#This Row],[SelfRating]]</f>
        <v>0</v>
      </c>
    </row>
    <row r="5555" spans="1:18">
      <c r="A5555" s="2" t="s">
        <v>9862</v>
      </c>
      <c r="B5555" s="2" t="s">
        <v>2554</v>
      </c>
      <c r="C5555" s="1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  <c r="L5555" s="2" t="s">
        <v>11030</v>
      </c>
      <c r="M5555" s="2" t="s">
        <v>11030</v>
      </c>
      <c r="N5555" s="2" t="s">
        <v>11038</v>
      </c>
      <c r="O5555" s="2" t="s">
        <v>11036</v>
      </c>
      <c r="P5555" s="2" t="s">
        <v>11037</v>
      </c>
      <c r="Q5555" s="2">
        <f>AVERAGE(PerfRate[[#This Row],[EnvironmentSatisfaction]],PerfRate[[#This Row],[JobSatisfaction]],PerfRate[[#This Row],[RelationshipSatisfaction]])</f>
        <v>4</v>
      </c>
      <c r="R5555" s="2">
        <f>PerfRate[[#This Row],[ManagerRating]] - PerfRate[[#This Row],[SelfRating]]</f>
        <v>0</v>
      </c>
    </row>
    <row r="5556" spans="1:18">
      <c r="A5556" s="2" t="s">
        <v>9863</v>
      </c>
      <c r="B5556" s="2" t="s">
        <v>2684</v>
      </c>
      <c r="C5556" s="1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  <c r="L5556" s="2" t="s">
        <v>11029</v>
      </c>
      <c r="M5556" s="2" t="s">
        <v>11028</v>
      </c>
      <c r="N5556" s="2" t="s">
        <v>11036</v>
      </c>
      <c r="O5556" s="2" t="s">
        <v>11037</v>
      </c>
      <c r="P5556" s="2" t="s">
        <v>11038</v>
      </c>
      <c r="Q5556" s="2">
        <f>AVERAGE(PerfRate[[#This Row],[EnvironmentSatisfaction]],PerfRate[[#This Row],[JobSatisfaction]],PerfRate[[#This Row],[RelationshipSatisfaction]])</f>
        <v>4</v>
      </c>
      <c r="R5556" s="2">
        <f>PerfRate[[#This Row],[ManagerRating]] - PerfRate[[#This Row],[SelfRating]]</f>
        <v>-1</v>
      </c>
    </row>
    <row r="5557" spans="1:18">
      <c r="A5557" s="2" t="s">
        <v>9864</v>
      </c>
      <c r="B5557" s="2" t="s">
        <v>2958</v>
      </c>
      <c r="C5557" s="1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  <c r="L5557" s="2" t="s">
        <v>11030</v>
      </c>
      <c r="M5557" s="2" t="s">
        <v>11030</v>
      </c>
      <c r="N5557" s="2" t="s">
        <v>11037</v>
      </c>
      <c r="O5557" s="2" t="s">
        <v>11038</v>
      </c>
      <c r="P5557" s="2" t="s">
        <v>11035</v>
      </c>
      <c r="Q5557" s="2">
        <f>AVERAGE(PerfRate[[#This Row],[EnvironmentSatisfaction]],PerfRate[[#This Row],[JobSatisfaction]],PerfRate[[#This Row],[RelationshipSatisfaction]])</f>
        <v>3.6666666666666665</v>
      </c>
      <c r="R5557" s="2">
        <f>PerfRate[[#This Row],[ManagerRating]] - PerfRate[[#This Row],[SelfRating]]</f>
        <v>0</v>
      </c>
    </row>
    <row r="5558" spans="1:18">
      <c r="A5558" s="2" t="s">
        <v>9865</v>
      </c>
      <c r="B5558" s="2" t="s">
        <v>214</v>
      </c>
      <c r="C5558" s="1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  <c r="L5558" s="2" t="s">
        <v>11029</v>
      </c>
      <c r="M5558" s="2" t="s">
        <v>11029</v>
      </c>
      <c r="N5558" s="2" t="s">
        <v>11036</v>
      </c>
      <c r="O5558" s="2" t="s">
        <v>11036</v>
      </c>
      <c r="P5558" s="2" t="s">
        <v>11036</v>
      </c>
      <c r="Q5558" s="2">
        <f>AVERAGE(PerfRate[[#This Row],[EnvironmentSatisfaction]],PerfRate[[#This Row],[JobSatisfaction]],PerfRate[[#This Row],[RelationshipSatisfaction]])</f>
        <v>3</v>
      </c>
      <c r="R5558" s="2">
        <f>PerfRate[[#This Row],[ManagerRating]] - PerfRate[[#This Row],[SelfRating]]</f>
        <v>0</v>
      </c>
    </row>
    <row r="5559" spans="1:18">
      <c r="A5559" s="2" t="s">
        <v>9866</v>
      </c>
      <c r="B5559" s="2" t="s">
        <v>1800</v>
      </c>
      <c r="C5559" s="1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  <c r="L5559" s="2" t="s">
        <v>11031</v>
      </c>
      <c r="M5559" s="2" t="s">
        <v>11031</v>
      </c>
      <c r="N5559" s="2" t="s">
        <v>11036</v>
      </c>
      <c r="O5559" s="2" t="s">
        <v>11036</v>
      </c>
      <c r="P5559" s="2" t="s">
        <v>11035</v>
      </c>
      <c r="Q5559" s="2">
        <f>AVERAGE(PerfRate[[#This Row],[EnvironmentSatisfaction]],PerfRate[[#This Row],[JobSatisfaction]],PerfRate[[#This Row],[RelationshipSatisfaction]])</f>
        <v>2.6666666666666665</v>
      </c>
      <c r="R5559" s="2">
        <f>PerfRate[[#This Row],[ManagerRating]] - PerfRate[[#This Row],[SelfRating]]</f>
        <v>0</v>
      </c>
    </row>
    <row r="5560" spans="1:18">
      <c r="A5560" s="2" t="s">
        <v>9867</v>
      </c>
      <c r="B5560" s="2" t="s">
        <v>1868</v>
      </c>
      <c r="C5560" s="1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  <c r="L5560" s="2" t="s">
        <v>11030</v>
      </c>
      <c r="M5560" s="2" t="s">
        <v>11029</v>
      </c>
      <c r="N5560" s="2" t="s">
        <v>11038</v>
      </c>
      <c r="O5560" s="2" t="s">
        <v>11037</v>
      </c>
      <c r="P5560" s="2" t="s">
        <v>11036</v>
      </c>
      <c r="Q5560" s="2">
        <f>AVERAGE(PerfRate[[#This Row],[EnvironmentSatisfaction]],PerfRate[[#This Row],[JobSatisfaction]],PerfRate[[#This Row],[RelationshipSatisfaction]])</f>
        <v>4</v>
      </c>
      <c r="R5560" s="2">
        <f>PerfRate[[#This Row],[ManagerRating]] - PerfRate[[#This Row],[SelfRating]]</f>
        <v>-1</v>
      </c>
    </row>
    <row r="5561" spans="1:18">
      <c r="A5561" s="2" t="s">
        <v>9868</v>
      </c>
      <c r="B5561" s="2" t="s">
        <v>2669</v>
      </c>
      <c r="C5561" s="1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  <c r="L5561" s="2" t="s">
        <v>11030</v>
      </c>
      <c r="M5561" s="2" t="s">
        <v>11030</v>
      </c>
      <c r="N5561" s="2" t="s">
        <v>11036</v>
      </c>
      <c r="O5561" s="2" t="s">
        <v>11036</v>
      </c>
      <c r="P5561" s="2" t="s">
        <v>11035</v>
      </c>
      <c r="Q5561" s="2">
        <f>AVERAGE(PerfRate[[#This Row],[EnvironmentSatisfaction]],PerfRate[[#This Row],[JobSatisfaction]],PerfRate[[#This Row],[RelationshipSatisfaction]])</f>
        <v>2.6666666666666665</v>
      </c>
      <c r="R5561" s="2">
        <f>PerfRate[[#This Row],[ManagerRating]] - PerfRate[[#This Row],[SelfRating]]</f>
        <v>0</v>
      </c>
    </row>
    <row r="5562" spans="1:18">
      <c r="A5562" s="2" t="s">
        <v>9869</v>
      </c>
      <c r="B5562" s="2" t="s">
        <v>779</v>
      </c>
      <c r="C5562" s="1">
        <v>42281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  <c r="L5562" s="2" t="s">
        <v>11030</v>
      </c>
      <c r="M5562" s="2" t="s">
        <v>11030</v>
      </c>
      <c r="N5562" s="2" t="s">
        <v>11037</v>
      </c>
      <c r="O5562" s="2" t="s">
        <v>11037</v>
      </c>
      <c r="P5562" s="2" t="s">
        <v>11035</v>
      </c>
      <c r="Q5562" s="2">
        <f>AVERAGE(PerfRate[[#This Row],[EnvironmentSatisfaction]],PerfRate[[#This Row],[JobSatisfaction]],PerfRate[[#This Row],[RelationshipSatisfaction]])</f>
        <v>3.3333333333333335</v>
      </c>
      <c r="R5562" s="2">
        <f>PerfRate[[#This Row],[ManagerRating]] - PerfRate[[#This Row],[SelfRating]]</f>
        <v>0</v>
      </c>
    </row>
    <row r="5563" spans="1:18">
      <c r="A5563" s="2" t="s">
        <v>9870</v>
      </c>
      <c r="B5563" s="2" t="s">
        <v>1012</v>
      </c>
      <c r="C5563" s="1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  <c r="L5563" s="2" t="s">
        <v>11031</v>
      </c>
      <c r="M5563" s="2" t="s">
        <v>11031</v>
      </c>
      <c r="N5563" s="2" t="s">
        <v>11036</v>
      </c>
      <c r="O5563" s="2" t="s">
        <v>11036</v>
      </c>
      <c r="P5563" s="2" t="s">
        <v>11035</v>
      </c>
      <c r="Q5563" s="2">
        <f>AVERAGE(PerfRate[[#This Row],[EnvironmentSatisfaction]],PerfRate[[#This Row],[JobSatisfaction]],PerfRate[[#This Row],[RelationshipSatisfaction]])</f>
        <v>2.6666666666666665</v>
      </c>
      <c r="R5563" s="2">
        <f>PerfRate[[#This Row],[ManagerRating]] - PerfRate[[#This Row],[SelfRating]]</f>
        <v>0</v>
      </c>
    </row>
    <row r="5564" spans="1:18">
      <c r="A5564" s="2" t="s">
        <v>9871</v>
      </c>
      <c r="B5564" s="2" t="s">
        <v>2620</v>
      </c>
      <c r="C5564" s="1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  <c r="L5564" s="2" t="s">
        <v>11030</v>
      </c>
      <c r="M5564" s="2" t="s">
        <v>11030</v>
      </c>
      <c r="N5564" s="2" t="s">
        <v>11038</v>
      </c>
      <c r="O5564" s="2" t="s">
        <v>11038</v>
      </c>
      <c r="P5564" s="2" t="s">
        <v>11038</v>
      </c>
      <c r="Q5564" s="2">
        <f>AVERAGE(PerfRate[[#This Row],[EnvironmentSatisfaction]],PerfRate[[#This Row],[JobSatisfaction]],PerfRate[[#This Row],[RelationshipSatisfaction]])</f>
        <v>5</v>
      </c>
      <c r="R5564" s="2">
        <f>PerfRate[[#This Row],[ManagerRating]] - PerfRate[[#This Row],[SelfRating]]</f>
        <v>0</v>
      </c>
    </row>
    <row r="5565" spans="1:18">
      <c r="A5565" s="2" t="s">
        <v>9872</v>
      </c>
      <c r="B5565" s="2" t="s">
        <v>4118</v>
      </c>
      <c r="C5565" s="1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  <c r="L5565" s="2" t="s">
        <v>11029</v>
      </c>
      <c r="M5565" s="2" t="s">
        <v>11028</v>
      </c>
      <c r="N5565" s="2" t="s">
        <v>11038</v>
      </c>
      <c r="O5565" s="2" t="s">
        <v>11037</v>
      </c>
      <c r="P5565" s="2" t="s">
        <v>11035</v>
      </c>
      <c r="Q5565" s="2">
        <f>AVERAGE(PerfRate[[#This Row],[EnvironmentSatisfaction]],PerfRate[[#This Row],[JobSatisfaction]],PerfRate[[#This Row],[RelationshipSatisfaction]])</f>
        <v>3.6666666666666665</v>
      </c>
      <c r="R5565" s="2">
        <f>PerfRate[[#This Row],[ManagerRating]] - PerfRate[[#This Row],[SelfRating]]</f>
        <v>-1</v>
      </c>
    </row>
    <row r="5566" spans="1:18">
      <c r="A5566" s="2" t="s">
        <v>9873</v>
      </c>
      <c r="B5566" s="2" t="s">
        <v>2332</v>
      </c>
      <c r="C5566" s="1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  <c r="L5566" s="2" t="s">
        <v>11029</v>
      </c>
      <c r="M5566" s="2" t="s">
        <v>11028</v>
      </c>
      <c r="N5566" s="2" t="s">
        <v>11037</v>
      </c>
      <c r="O5566" s="2" t="s">
        <v>11036</v>
      </c>
      <c r="P5566" s="2" t="s">
        <v>11037</v>
      </c>
      <c r="Q5566" s="2">
        <f>AVERAGE(PerfRate[[#This Row],[EnvironmentSatisfaction]],PerfRate[[#This Row],[JobSatisfaction]],PerfRate[[#This Row],[RelationshipSatisfaction]])</f>
        <v>3.6666666666666665</v>
      </c>
      <c r="R5566" s="2">
        <f>PerfRate[[#This Row],[ManagerRating]] - PerfRate[[#This Row],[SelfRating]]</f>
        <v>-1</v>
      </c>
    </row>
    <row r="5567" spans="1:18">
      <c r="A5567" s="2" t="s">
        <v>9874</v>
      </c>
      <c r="B5567" s="2" t="s">
        <v>817</v>
      </c>
      <c r="C5567" s="1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  <c r="L5567" s="2" t="s">
        <v>11031</v>
      </c>
      <c r="M5567" s="2" t="s">
        <v>11030</v>
      </c>
      <c r="N5567" s="2" t="s">
        <v>11038</v>
      </c>
      <c r="O5567" s="2" t="s">
        <v>11038</v>
      </c>
      <c r="P5567" s="2" t="s">
        <v>11035</v>
      </c>
      <c r="Q5567" s="2">
        <f>AVERAGE(PerfRate[[#This Row],[EnvironmentSatisfaction]],PerfRate[[#This Row],[JobSatisfaction]],PerfRate[[#This Row],[RelationshipSatisfaction]])</f>
        <v>4</v>
      </c>
      <c r="R5567" s="2">
        <f>PerfRate[[#This Row],[ManagerRating]] - PerfRate[[#This Row],[SelfRating]]</f>
        <v>-1</v>
      </c>
    </row>
    <row r="5568" spans="1:18">
      <c r="A5568" s="2" t="s">
        <v>9875</v>
      </c>
      <c r="B5568" s="2" t="s">
        <v>2653</v>
      </c>
      <c r="C5568" s="1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  <c r="L5568" s="2" t="s">
        <v>11031</v>
      </c>
      <c r="M5568" s="2" t="s">
        <v>11031</v>
      </c>
      <c r="N5568" s="2" t="s">
        <v>11038</v>
      </c>
      <c r="O5568" s="2" t="s">
        <v>11035</v>
      </c>
      <c r="P5568" s="2" t="s">
        <v>11035</v>
      </c>
      <c r="Q5568" s="2">
        <f>AVERAGE(PerfRate[[#This Row],[EnvironmentSatisfaction]],PerfRate[[#This Row],[JobSatisfaction]],PerfRate[[#This Row],[RelationshipSatisfaction]])</f>
        <v>3</v>
      </c>
      <c r="R5568" s="2">
        <f>PerfRate[[#This Row],[ManagerRating]] - PerfRate[[#This Row],[SelfRating]]</f>
        <v>0</v>
      </c>
    </row>
    <row r="5569" spans="1:18">
      <c r="A5569" s="2" t="s">
        <v>9876</v>
      </c>
      <c r="B5569" s="2" t="s">
        <v>2914</v>
      </c>
      <c r="C5569" s="1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  <c r="L5569" s="2" t="s">
        <v>11030</v>
      </c>
      <c r="M5569" s="2" t="s">
        <v>11029</v>
      </c>
      <c r="N5569" s="2" t="s">
        <v>11037</v>
      </c>
      <c r="O5569" s="2" t="s">
        <v>11036</v>
      </c>
      <c r="P5569" s="2" t="s">
        <v>11037</v>
      </c>
      <c r="Q5569" s="2">
        <f>AVERAGE(PerfRate[[#This Row],[EnvironmentSatisfaction]],PerfRate[[#This Row],[JobSatisfaction]],PerfRate[[#This Row],[RelationshipSatisfaction]])</f>
        <v>3.6666666666666665</v>
      </c>
      <c r="R5569" s="2">
        <f>PerfRate[[#This Row],[ManagerRating]] - PerfRate[[#This Row],[SelfRating]]</f>
        <v>-1</v>
      </c>
    </row>
    <row r="5570" spans="1:18">
      <c r="A5570" s="2" t="s">
        <v>9877</v>
      </c>
      <c r="B5570" s="2" t="s">
        <v>3209</v>
      </c>
      <c r="C5570" s="1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  <c r="L5570" s="2" t="s">
        <v>11031</v>
      </c>
      <c r="M5570" s="2" t="s">
        <v>11030</v>
      </c>
      <c r="N5570" s="2" t="s">
        <v>11037</v>
      </c>
      <c r="O5570" s="2" t="s">
        <v>11036</v>
      </c>
      <c r="P5570" s="2" t="s">
        <v>11036</v>
      </c>
      <c r="Q5570" s="2">
        <f>AVERAGE(PerfRate[[#This Row],[EnvironmentSatisfaction]],PerfRate[[#This Row],[JobSatisfaction]],PerfRate[[#This Row],[RelationshipSatisfaction]])</f>
        <v>3.3333333333333335</v>
      </c>
      <c r="R5570" s="2">
        <f>PerfRate[[#This Row],[ManagerRating]] - PerfRate[[#This Row],[SelfRating]]</f>
        <v>-1</v>
      </c>
    </row>
    <row r="5571" spans="1:18">
      <c r="A5571" s="2" t="s">
        <v>9878</v>
      </c>
      <c r="B5571" s="2" t="s">
        <v>1312</v>
      </c>
      <c r="C5571" s="1">
        <v>44566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  <c r="L5571" s="2" t="s">
        <v>11031</v>
      </c>
      <c r="M5571" s="2" t="s">
        <v>11031</v>
      </c>
      <c r="N5571" s="2" t="s">
        <v>11036</v>
      </c>
      <c r="O5571" s="2" t="s">
        <v>11037</v>
      </c>
      <c r="P5571" s="2" t="s">
        <v>11036</v>
      </c>
      <c r="Q5571" s="2">
        <f>AVERAGE(PerfRate[[#This Row],[EnvironmentSatisfaction]],PerfRate[[#This Row],[JobSatisfaction]],PerfRate[[#This Row],[RelationshipSatisfaction]])</f>
        <v>3.3333333333333335</v>
      </c>
      <c r="R5571" s="2">
        <f>PerfRate[[#This Row],[ManagerRating]] - PerfRate[[#This Row],[SelfRating]]</f>
        <v>0</v>
      </c>
    </row>
    <row r="5572" spans="1:18">
      <c r="A5572" s="2" t="s">
        <v>9879</v>
      </c>
      <c r="B5572" s="2" t="s">
        <v>559</v>
      </c>
      <c r="C5572" s="1">
        <v>44566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  <c r="L5572" s="2" t="s">
        <v>11031</v>
      </c>
      <c r="M5572" s="2" t="s">
        <v>11030</v>
      </c>
      <c r="N5572" s="2" t="s">
        <v>11038</v>
      </c>
      <c r="O5572" s="2" t="s">
        <v>11038</v>
      </c>
      <c r="P5572" s="2" t="s">
        <v>11038</v>
      </c>
      <c r="Q5572" s="2">
        <f>AVERAGE(PerfRate[[#This Row],[EnvironmentSatisfaction]],PerfRate[[#This Row],[JobSatisfaction]],PerfRate[[#This Row],[RelationshipSatisfaction]])</f>
        <v>5</v>
      </c>
      <c r="R5572" s="2">
        <f>PerfRate[[#This Row],[ManagerRating]] - PerfRate[[#This Row],[SelfRating]]</f>
        <v>-1</v>
      </c>
    </row>
    <row r="5573" spans="1:18">
      <c r="A5573" s="2" t="s">
        <v>9880</v>
      </c>
      <c r="B5573" s="2" t="s">
        <v>3986</v>
      </c>
      <c r="C5573" s="1">
        <v>42281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  <c r="L5573" s="2" t="s">
        <v>11031</v>
      </c>
      <c r="M5573" s="2" t="s">
        <v>11030</v>
      </c>
      <c r="N5573" s="2" t="s">
        <v>11037</v>
      </c>
      <c r="O5573" s="2" t="s">
        <v>11035</v>
      </c>
      <c r="P5573" s="2" t="s">
        <v>11035</v>
      </c>
      <c r="Q5573" s="2">
        <f>AVERAGE(PerfRate[[#This Row],[EnvironmentSatisfaction]],PerfRate[[#This Row],[JobSatisfaction]],PerfRate[[#This Row],[RelationshipSatisfaction]])</f>
        <v>2.6666666666666665</v>
      </c>
      <c r="R5573" s="2">
        <f>PerfRate[[#This Row],[ManagerRating]] - PerfRate[[#This Row],[SelfRating]]</f>
        <v>-1</v>
      </c>
    </row>
    <row r="5574" spans="1:18">
      <c r="A5574" s="2" t="s">
        <v>9881</v>
      </c>
      <c r="B5574" s="2" t="s">
        <v>1906</v>
      </c>
      <c r="C5574" s="1">
        <v>44597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  <c r="L5574" s="2" t="s">
        <v>11030</v>
      </c>
      <c r="M5574" s="2" t="s">
        <v>11030</v>
      </c>
      <c r="N5574" s="2" t="s">
        <v>11038</v>
      </c>
      <c r="O5574" s="2" t="s">
        <v>11037</v>
      </c>
      <c r="P5574" s="2" t="s">
        <v>11038</v>
      </c>
      <c r="Q5574" s="2">
        <f>AVERAGE(PerfRate[[#This Row],[EnvironmentSatisfaction]],PerfRate[[#This Row],[JobSatisfaction]],PerfRate[[#This Row],[RelationshipSatisfaction]])</f>
        <v>4.666666666666667</v>
      </c>
      <c r="R5574" s="2">
        <f>PerfRate[[#This Row],[ManagerRating]] - PerfRate[[#This Row],[SelfRating]]</f>
        <v>0</v>
      </c>
    </row>
    <row r="5575" spans="1:18">
      <c r="A5575" s="2" t="s">
        <v>9882</v>
      </c>
      <c r="B5575" s="2" t="s">
        <v>652</v>
      </c>
      <c r="C5575" s="1">
        <v>44597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  <c r="L5575" s="2" t="s">
        <v>11031</v>
      </c>
      <c r="M5575" s="2" t="s">
        <v>11030</v>
      </c>
      <c r="N5575" s="2" t="s">
        <v>11037</v>
      </c>
      <c r="O5575" s="2" t="s">
        <v>11036</v>
      </c>
      <c r="P5575" s="2" t="s">
        <v>11038</v>
      </c>
      <c r="Q5575" s="2">
        <f>AVERAGE(PerfRate[[#This Row],[EnvironmentSatisfaction]],PerfRate[[#This Row],[JobSatisfaction]],PerfRate[[#This Row],[RelationshipSatisfaction]])</f>
        <v>4</v>
      </c>
      <c r="R5575" s="2">
        <f>PerfRate[[#This Row],[ManagerRating]] - PerfRate[[#This Row],[SelfRating]]</f>
        <v>-1</v>
      </c>
    </row>
    <row r="5576" spans="1:18">
      <c r="A5576" s="2" t="s">
        <v>9883</v>
      </c>
      <c r="B5576" s="2" t="s">
        <v>2017</v>
      </c>
      <c r="C5576" s="1">
        <v>44597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  <c r="L5576" s="2" t="s">
        <v>11030</v>
      </c>
      <c r="M5576" s="2" t="s">
        <v>11029</v>
      </c>
      <c r="N5576" s="2" t="s">
        <v>11036</v>
      </c>
      <c r="O5576" s="2" t="s">
        <v>11036</v>
      </c>
      <c r="P5576" s="2" t="s">
        <v>11038</v>
      </c>
      <c r="Q5576" s="2">
        <f>AVERAGE(PerfRate[[#This Row],[EnvironmentSatisfaction]],PerfRate[[#This Row],[JobSatisfaction]],PerfRate[[#This Row],[RelationshipSatisfaction]])</f>
        <v>3.6666666666666665</v>
      </c>
      <c r="R5576" s="2">
        <f>PerfRate[[#This Row],[ManagerRating]] - PerfRate[[#This Row],[SelfRating]]</f>
        <v>-1</v>
      </c>
    </row>
    <row r="5577" spans="1:18">
      <c r="A5577" s="2" t="s">
        <v>9884</v>
      </c>
      <c r="B5577" s="2" t="s">
        <v>1721</v>
      </c>
      <c r="C5577" s="1">
        <v>44625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  <c r="L5577" s="2" t="s">
        <v>11029</v>
      </c>
      <c r="M5577" s="2" t="s">
        <v>11028</v>
      </c>
      <c r="N5577" s="2" t="s">
        <v>11037</v>
      </c>
      <c r="O5577" s="2" t="s">
        <v>11035</v>
      </c>
      <c r="P5577" s="2" t="s">
        <v>11035</v>
      </c>
      <c r="Q5577" s="2">
        <f>AVERAGE(PerfRate[[#This Row],[EnvironmentSatisfaction]],PerfRate[[#This Row],[JobSatisfaction]],PerfRate[[#This Row],[RelationshipSatisfaction]])</f>
        <v>2.6666666666666665</v>
      </c>
      <c r="R5577" s="2">
        <f>PerfRate[[#This Row],[ManagerRating]] - PerfRate[[#This Row],[SelfRating]]</f>
        <v>-1</v>
      </c>
    </row>
    <row r="5578" spans="1:18">
      <c r="A5578" s="2" t="s">
        <v>9885</v>
      </c>
      <c r="B5578" s="2" t="s">
        <v>1895</v>
      </c>
      <c r="C5578" s="1">
        <v>44625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  <c r="L5578" s="2" t="s">
        <v>11029</v>
      </c>
      <c r="M5578" s="2" t="s">
        <v>11029</v>
      </c>
      <c r="N5578" s="2" t="s">
        <v>11038</v>
      </c>
      <c r="O5578" s="2" t="s">
        <v>11036</v>
      </c>
      <c r="P5578" s="2" t="s">
        <v>11037</v>
      </c>
      <c r="Q5578" s="2">
        <f>AVERAGE(PerfRate[[#This Row],[EnvironmentSatisfaction]],PerfRate[[#This Row],[JobSatisfaction]],PerfRate[[#This Row],[RelationshipSatisfaction]])</f>
        <v>4</v>
      </c>
      <c r="R5578" s="2">
        <f>PerfRate[[#This Row],[ManagerRating]] - PerfRate[[#This Row],[SelfRating]]</f>
        <v>0</v>
      </c>
    </row>
    <row r="5579" spans="1:18">
      <c r="A5579" s="2" t="s">
        <v>9886</v>
      </c>
      <c r="B5579" s="2" t="s">
        <v>1142</v>
      </c>
      <c r="C5579" s="1">
        <v>44625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  <c r="L5579" s="2" t="s">
        <v>11031</v>
      </c>
      <c r="M5579" s="2" t="s">
        <v>11030</v>
      </c>
      <c r="N5579" s="2" t="s">
        <v>11037</v>
      </c>
      <c r="O5579" s="2" t="s">
        <v>11036</v>
      </c>
      <c r="P5579" s="2" t="s">
        <v>11037</v>
      </c>
      <c r="Q5579" s="2">
        <f>AVERAGE(PerfRate[[#This Row],[EnvironmentSatisfaction]],PerfRate[[#This Row],[JobSatisfaction]],PerfRate[[#This Row],[RelationshipSatisfaction]])</f>
        <v>3.6666666666666665</v>
      </c>
      <c r="R5579" s="2">
        <f>PerfRate[[#This Row],[ManagerRating]] - PerfRate[[#This Row],[SelfRating]]</f>
        <v>-1</v>
      </c>
    </row>
    <row r="5580" spans="1:18">
      <c r="A5580" s="2" t="s">
        <v>9887</v>
      </c>
      <c r="B5580" s="2" t="s">
        <v>2195</v>
      </c>
      <c r="C5580" s="1">
        <v>44625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  <c r="L5580" s="2" t="s">
        <v>11029</v>
      </c>
      <c r="M5580" s="2" t="s">
        <v>11028</v>
      </c>
      <c r="N5580" s="2" t="s">
        <v>11036</v>
      </c>
      <c r="O5580" s="2" t="s">
        <v>11035</v>
      </c>
      <c r="P5580" s="2" t="s">
        <v>11035</v>
      </c>
      <c r="Q5580" s="2">
        <f>AVERAGE(PerfRate[[#This Row],[EnvironmentSatisfaction]],PerfRate[[#This Row],[JobSatisfaction]],PerfRate[[#This Row],[RelationshipSatisfaction]])</f>
        <v>2.3333333333333335</v>
      </c>
      <c r="R5580" s="2">
        <f>PerfRate[[#This Row],[ManagerRating]] - PerfRate[[#This Row],[SelfRating]]</f>
        <v>-1</v>
      </c>
    </row>
    <row r="5581" spans="1:18">
      <c r="A5581" s="2" t="s">
        <v>9888</v>
      </c>
      <c r="B5581" s="2" t="s">
        <v>449</v>
      </c>
      <c r="C5581" s="1">
        <v>44656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  <c r="L5581" s="2" t="s">
        <v>11030</v>
      </c>
      <c r="M5581" s="2" t="s">
        <v>11030</v>
      </c>
      <c r="N5581" s="2" t="s">
        <v>11036</v>
      </c>
      <c r="O5581" s="2" t="s">
        <v>11037</v>
      </c>
      <c r="P5581" s="2" t="s">
        <v>11036</v>
      </c>
      <c r="Q5581" s="2">
        <f>AVERAGE(PerfRate[[#This Row],[EnvironmentSatisfaction]],PerfRate[[#This Row],[JobSatisfaction]],PerfRate[[#This Row],[RelationshipSatisfaction]])</f>
        <v>3.3333333333333335</v>
      </c>
      <c r="R5581" s="2">
        <f>PerfRate[[#This Row],[ManagerRating]] - PerfRate[[#This Row],[SelfRating]]</f>
        <v>0</v>
      </c>
    </row>
    <row r="5582" spans="1:18">
      <c r="A5582" s="2" t="s">
        <v>9889</v>
      </c>
      <c r="B5582" s="2" t="s">
        <v>3657</v>
      </c>
      <c r="C5582" s="1">
        <v>44656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  <c r="L5582" s="2" t="s">
        <v>11029</v>
      </c>
      <c r="M5582" s="2" t="s">
        <v>11029</v>
      </c>
      <c r="N5582" s="2" t="s">
        <v>11037</v>
      </c>
      <c r="O5582" s="2" t="s">
        <v>11036</v>
      </c>
      <c r="P5582" s="2" t="s">
        <v>11037</v>
      </c>
      <c r="Q5582" s="2">
        <f>AVERAGE(PerfRate[[#This Row],[EnvironmentSatisfaction]],PerfRate[[#This Row],[JobSatisfaction]],PerfRate[[#This Row],[RelationshipSatisfaction]])</f>
        <v>3.6666666666666665</v>
      </c>
      <c r="R5582" s="2">
        <f>PerfRate[[#This Row],[ManagerRating]] - PerfRate[[#This Row],[SelfRating]]</f>
        <v>0</v>
      </c>
    </row>
    <row r="5583" spans="1:18">
      <c r="A5583" s="2" t="s">
        <v>9890</v>
      </c>
      <c r="B5583" s="2" t="s">
        <v>223</v>
      </c>
      <c r="C5583" s="1">
        <v>44656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  <c r="L5583" s="2" t="s">
        <v>11030</v>
      </c>
      <c r="M5583" s="2" t="s">
        <v>11030</v>
      </c>
      <c r="N5583" s="2" t="s">
        <v>11037</v>
      </c>
      <c r="O5583" s="2" t="s">
        <v>11036</v>
      </c>
      <c r="P5583" s="2" t="s">
        <v>11036</v>
      </c>
      <c r="Q5583" s="2">
        <f>AVERAGE(PerfRate[[#This Row],[EnvironmentSatisfaction]],PerfRate[[#This Row],[JobSatisfaction]],PerfRate[[#This Row],[RelationshipSatisfaction]])</f>
        <v>3.3333333333333335</v>
      </c>
      <c r="R5583" s="2">
        <f>PerfRate[[#This Row],[ManagerRating]] - PerfRate[[#This Row],[SelfRating]]</f>
        <v>0</v>
      </c>
    </row>
    <row r="5584" spans="1:18">
      <c r="A5584" s="2" t="s">
        <v>9891</v>
      </c>
      <c r="B5584" s="2" t="s">
        <v>323</v>
      </c>
      <c r="C5584" s="1">
        <v>42312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  <c r="L5584" s="2" t="s">
        <v>11030</v>
      </c>
      <c r="M5584" s="2" t="s">
        <v>11029</v>
      </c>
      <c r="N5584" s="2" t="s">
        <v>11036</v>
      </c>
      <c r="O5584" s="2" t="s">
        <v>11037</v>
      </c>
      <c r="P5584" s="2" t="s">
        <v>11036</v>
      </c>
      <c r="Q5584" s="2">
        <f>AVERAGE(PerfRate[[#This Row],[EnvironmentSatisfaction]],PerfRate[[#This Row],[JobSatisfaction]],PerfRate[[#This Row],[RelationshipSatisfaction]])</f>
        <v>3.3333333333333335</v>
      </c>
      <c r="R5584" s="2">
        <f>PerfRate[[#This Row],[ManagerRating]] - PerfRate[[#This Row],[SelfRating]]</f>
        <v>-1</v>
      </c>
    </row>
    <row r="5585" spans="1:18">
      <c r="A5585" s="2" t="s">
        <v>9892</v>
      </c>
      <c r="B5585" s="2" t="s">
        <v>2117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  <c r="L5585" s="2" t="s">
        <v>11029</v>
      </c>
      <c r="M5585" s="2" t="s">
        <v>11029</v>
      </c>
      <c r="N5585" s="2" t="s">
        <v>11038</v>
      </c>
      <c r="O5585" s="2" t="s">
        <v>11036</v>
      </c>
      <c r="P5585" s="2" t="s">
        <v>11038</v>
      </c>
      <c r="Q5585" s="2">
        <f>AVERAGE(PerfRate[[#This Row],[EnvironmentSatisfaction]],PerfRate[[#This Row],[JobSatisfaction]],PerfRate[[#This Row],[RelationshipSatisfaction]])</f>
        <v>4.333333333333333</v>
      </c>
      <c r="R5585" s="2">
        <f>PerfRate[[#This Row],[ManagerRating]] - PerfRate[[#This Row],[SelfRating]]</f>
        <v>0</v>
      </c>
    </row>
    <row r="5586" spans="1:18">
      <c r="A5586" s="2" t="s">
        <v>9893</v>
      </c>
      <c r="B5586" s="2" t="s">
        <v>3091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  <c r="L5586" s="2" t="s">
        <v>11031</v>
      </c>
      <c r="M5586" s="2" t="s">
        <v>11031</v>
      </c>
      <c r="N5586" s="2" t="s">
        <v>11038</v>
      </c>
      <c r="O5586" s="2" t="s">
        <v>11037</v>
      </c>
      <c r="P5586" s="2" t="s">
        <v>11037</v>
      </c>
      <c r="Q5586" s="2">
        <f>AVERAGE(PerfRate[[#This Row],[EnvironmentSatisfaction]],PerfRate[[#This Row],[JobSatisfaction]],PerfRate[[#This Row],[RelationshipSatisfaction]])</f>
        <v>4.333333333333333</v>
      </c>
      <c r="R5586" s="2">
        <f>PerfRate[[#This Row],[ManagerRating]] - PerfRate[[#This Row],[SelfRating]]</f>
        <v>0</v>
      </c>
    </row>
    <row r="5587" spans="1:18">
      <c r="A5587" s="2" t="s">
        <v>9894</v>
      </c>
      <c r="B5587" s="2" t="s">
        <v>925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  <c r="L5587" s="2" t="s">
        <v>11029</v>
      </c>
      <c r="M5587" s="2" t="s">
        <v>11028</v>
      </c>
      <c r="N5587" s="2" t="s">
        <v>11037</v>
      </c>
      <c r="O5587" s="2" t="s">
        <v>11035</v>
      </c>
      <c r="P5587" s="2" t="s">
        <v>11036</v>
      </c>
      <c r="Q5587" s="2">
        <f>AVERAGE(PerfRate[[#This Row],[EnvironmentSatisfaction]],PerfRate[[#This Row],[JobSatisfaction]],PerfRate[[#This Row],[RelationshipSatisfaction]])</f>
        <v>3</v>
      </c>
      <c r="R5587" s="2">
        <f>PerfRate[[#This Row],[ManagerRating]] - PerfRate[[#This Row],[SelfRating]]</f>
        <v>-1</v>
      </c>
    </row>
    <row r="5588" spans="1:18">
      <c r="A5588" s="2" t="s">
        <v>9895</v>
      </c>
      <c r="B5588" s="2" t="s">
        <v>3945</v>
      </c>
      <c r="C5588" s="1">
        <v>44717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  <c r="L5588" s="2" t="s">
        <v>11031</v>
      </c>
      <c r="M5588" s="2" t="s">
        <v>11030</v>
      </c>
      <c r="N5588" s="2" t="s">
        <v>11036</v>
      </c>
      <c r="O5588" s="2" t="s">
        <v>11038</v>
      </c>
      <c r="P5588" s="2" t="s">
        <v>11036</v>
      </c>
      <c r="Q5588" s="2">
        <f>AVERAGE(PerfRate[[#This Row],[EnvironmentSatisfaction]],PerfRate[[#This Row],[JobSatisfaction]],PerfRate[[#This Row],[RelationshipSatisfaction]])</f>
        <v>3.6666666666666665</v>
      </c>
      <c r="R5588" s="2">
        <f>PerfRate[[#This Row],[ManagerRating]] - PerfRate[[#This Row],[SelfRating]]</f>
        <v>-1</v>
      </c>
    </row>
    <row r="5589" spans="1:18">
      <c r="A5589" s="2" t="s">
        <v>9896</v>
      </c>
      <c r="B5589" s="2" t="s">
        <v>3467</v>
      </c>
      <c r="C5589" s="1">
        <v>44717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  <c r="L5589" s="2" t="s">
        <v>11031</v>
      </c>
      <c r="M5589" s="2" t="s">
        <v>11030</v>
      </c>
      <c r="N5589" s="2" t="s">
        <v>11037</v>
      </c>
      <c r="O5589" s="2" t="s">
        <v>11038</v>
      </c>
      <c r="P5589" s="2" t="s">
        <v>11038</v>
      </c>
      <c r="Q5589" s="2">
        <f>AVERAGE(PerfRate[[#This Row],[EnvironmentSatisfaction]],PerfRate[[#This Row],[JobSatisfaction]],PerfRate[[#This Row],[RelationshipSatisfaction]])</f>
        <v>4.666666666666667</v>
      </c>
      <c r="R5589" s="2">
        <f>PerfRate[[#This Row],[ManagerRating]] - PerfRate[[#This Row],[SelfRating]]</f>
        <v>-1</v>
      </c>
    </row>
    <row r="5590" spans="1:18">
      <c r="A5590" s="2" t="s">
        <v>9897</v>
      </c>
      <c r="B5590" s="2" t="s">
        <v>1962</v>
      </c>
      <c r="C5590" s="1">
        <v>44747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  <c r="L5590" s="2" t="s">
        <v>11029</v>
      </c>
      <c r="M5590" s="2" t="s">
        <v>11028</v>
      </c>
      <c r="N5590" s="2" t="s">
        <v>11036</v>
      </c>
      <c r="O5590" s="2" t="s">
        <v>11037</v>
      </c>
      <c r="P5590" s="2" t="s">
        <v>11038</v>
      </c>
      <c r="Q5590" s="2">
        <f>AVERAGE(PerfRate[[#This Row],[EnvironmentSatisfaction]],PerfRate[[#This Row],[JobSatisfaction]],PerfRate[[#This Row],[RelationshipSatisfaction]])</f>
        <v>4</v>
      </c>
      <c r="R5590" s="2">
        <f>PerfRate[[#This Row],[ManagerRating]] - PerfRate[[#This Row],[SelfRating]]</f>
        <v>-1</v>
      </c>
    </row>
    <row r="5591" spans="1:18">
      <c r="A5591" s="2" t="s">
        <v>9898</v>
      </c>
      <c r="B5591" s="2" t="s">
        <v>499</v>
      </c>
      <c r="C5591" s="1">
        <v>44747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  <c r="L5591" s="2" t="s">
        <v>11029</v>
      </c>
      <c r="M5591" s="2" t="s">
        <v>11029</v>
      </c>
      <c r="N5591" s="2" t="s">
        <v>11037</v>
      </c>
      <c r="O5591" s="2" t="s">
        <v>11038</v>
      </c>
      <c r="P5591" s="2" t="s">
        <v>11036</v>
      </c>
      <c r="Q5591" s="2">
        <f>AVERAGE(PerfRate[[#This Row],[EnvironmentSatisfaction]],PerfRate[[#This Row],[JobSatisfaction]],PerfRate[[#This Row],[RelationshipSatisfaction]])</f>
        <v>4</v>
      </c>
      <c r="R5591" s="2">
        <f>PerfRate[[#This Row],[ManagerRating]] - PerfRate[[#This Row],[SelfRating]]</f>
        <v>0</v>
      </c>
    </row>
    <row r="5592" spans="1:18">
      <c r="A5592" s="2" t="s">
        <v>9899</v>
      </c>
      <c r="B5592" s="2" t="s">
        <v>1148</v>
      </c>
      <c r="C5592" s="1">
        <v>44747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  <c r="L5592" s="2" t="s">
        <v>11030</v>
      </c>
      <c r="M5592" s="2" t="s">
        <v>11029</v>
      </c>
      <c r="N5592" s="2" t="s">
        <v>11036</v>
      </c>
      <c r="O5592" s="2" t="s">
        <v>11035</v>
      </c>
      <c r="P5592" s="2" t="s">
        <v>11035</v>
      </c>
      <c r="Q5592" s="2">
        <f>AVERAGE(PerfRate[[#This Row],[EnvironmentSatisfaction]],PerfRate[[#This Row],[JobSatisfaction]],PerfRate[[#This Row],[RelationshipSatisfaction]])</f>
        <v>2.3333333333333335</v>
      </c>
      <c r="R5592" s="2">
        <f>PerfRate[[#This Row],[ManagerRating]] - PerfRate[[#This Row],[SelfRating]]</f>
        <v>-1</v>
      </c>
    </row>
    <row r="5593" spans="1:18">
      <c r="A5593" s="2" t="s">
        <v>9900</v>
      </c>
      <c r="B5593" s="2" t="s">
        <v>2363</v>
      </c>
      <c r="C5593" s="1">
        <v>44778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  <c r="L5593" s="2" t="s">
        <v>11031</v>
      </c>
      <c r="M5593" s="2" t="s">
        <v>11031</v>
      </c>
      <c r="N5593" s="2" t="s">
        <v>11038</v>
      </c>
      <c r="O5593" s="2" t="s">
        <v>11038</v>
      </c>
      <c r="P5593" s="2" t="s">
        <v>11037</v>
      </c>
      <c r="Q5593" s="2">
        <f>AVERAGE(PerfRate[[#This Row],[EnvironmentSatisfaction]],PerfRate[[#This Row],[JobSatisfaction]],PerfRate[[#This Row],[RelationshipSatisfaction]])</f>
        <v>4.666666666666667</v>
      </c>
      <c r="R5593" s="2">
        <f>PerfRate[[#This Row],[ManagerRating]] - PerfRate[[#This Row],[SelfRating]]</f>
        <v>0</v>
      </c>
    </row>
    <row r="5594" spans="1:18">
      <c r="A5594" s="2" t="s">
        <v>9901</v>
      </c>
      <c r="B5594" s="2" t="s">
        <v>1918</v>
      </c>
      <c r="C5594" s="1">
        <v>44778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  <c r="L5594" s="2" t="s">
        <v>11030</v>
      </c>
      <c r="M5594" s="2" t="s">
        <v>11029</v>
      </c>
      <c r="N5594" s="2" t="s">
        <v>11037</v>
      </c>
      <c r="O5594" s="2" t="s">
        <v>11038</v>
      </c>
      <c r="P5594" s="2" t="s">
        <v>11037</v>
      </c>
      <c r="Q5594" s="2">
        <f>AVERAGE(PerfRate[[#This Row],[EnvironmentSatisfaction]],PerfRate[[#This Row],[JobSatisfaction]],PerfRate[[#This Row],[RelationshipSatisfaction]])</f>
        <v>4.333333333333333</v>
      </c>
      <c r="R5594" s="2">
        <f>PerfRate[[#This Row],[ManagerRating]] - PerfRate[[#This Row],[SelfRating]]</f>
        <v>-1</v>
      </c>
    </row>
    <row r="5595" spans="1:18">
      <c r="A5595" s="2" t="s">
        <v>9902</v>
      </c>
      <c r="B5595" s="2" t="s">
        <v>1338</v>
      </c>
      <c r="C5595" s="1">
        <v>42312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  <c r="L5595" s="2" t="s">
        <v>11030</v>
      </c>
      <c r="M5595" s="2" t="s">
        <v>11030</v>
      </c>
      <c r="N5595" s="2" t="s">
        <v>11037</v>
      </c>
      <c r="O5595" s="2" t="s">
        <v>11035</v>
      </c>
      <c r="P5595" s="2" t="s">
        <v>11036</v>
      </c>
      <c r="Q5595" s="2">
        <f>AVERAGE(PerfRate[[#This Row],[EnvironmentSatisfaction]],PerfRate[[#This Row],[JobSatisfaction]],PerfRate[[#This Row],[RelationshipSatisfaction]])</f>
        <v>3</v>
      </c>
      <c r="R5595" s="2">
        <f>PerfRate[[#This Row],[ManagerRating]] - PerfRate[[#This Row],[SelfRating]]</f>
        <v>0</v>
      </c>
    </row>
    <row r="5596" spans="1:18">
      <c r="A5596" s="2" t="s">
        <v>9903</v>
      </c>
      <c r="B5596" s="2" t="s">
        <v>3580</v>
      </c>
      <c r="C5596" s="1">
        <v>44778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  <c r="L5596" s="2" t="s">
        <v>11029</v>
      </c>
      <c r="M5596" s="2" t="s">
        <v>11029</v>
      </c>
      <c r="N5596" s="2" t="s">
        <v>11037</v>
      </c>
      <c r="O5596" s="2" t="s">
        <v>11036</v>
      </c>
      <c r="P5596" s="2" t="s">
        <v>11035</v>
      </c>
      <c r="Q5596" s="2">
        <f>AVERAGE(PerfRate[[#This Row],[EnvironmentSatisfaction]],PerfRate[[#This Row],[JobSatisfaction]],PerfRate[[#This Row],[RelationshipSatisfaction]])</f>
        <v>3</v>
      </c>
      <c r="R5596" s="2">
        <f>PerfRate[[#This Row],[ManagerRating]] - PerfRate[[#This Row],[SelfRating]]</f>
        <v>0</v>
      </c>
    </row>
    <row r="5597" spans="1:18">
      <c r="A5597" s="2" t="s">
        <v>9904</v>
      </c>
      <c r="B5597" s="2" t="s">
        <v>3149</v>
      </c>
      <c r="C5597" s="1">
        <v>44809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  <c r="L5597" s="2" t="s">
        <v>11031</v>
      </c>
      <c r="M5597" s="2" t="s">
        <v>11030</v>
      </c>
      <c r="N5597" s="2" t="s">
        <v>11038</v>
      </c>
      <c r="O5597" s="2" t="s">
        <v>11037</v>
      </c>
      <c r="P5597" s="2" t="s">
        <v>11037</v>
      </c>
      <c r="Q5597" s="2">
        <f>AVERAGE(PerfRate[[#This Row],[EnvironmentSatisfaction]],PerfRate[[#This Row],[JobSatisfaction]],PerfRate[[#This Row],[RelationshipSatisfaction]])</f>
        <v>4.333333333333333</v>
      </c>
      <c r="R5597" s="2">
        <f>PerfRate[[#This Row],[ManagerRating]] - PerfRate[[#This Row],[SelfRating]]</f>
        <v>-1</v>
      </c>
    </row>
    <row r="5598" spans="1:18">
      <c r="A5598" s="2" t="s">
        <v>9905</v>
      </c>
      <c r="B5598" s="2" t="s">
        <v>2100</v>
      </c>
      <c r="C5598" s="1">
        <v>44809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  <c r="L5598" s="2" t="s">
        <v>11029</v>
      </c>
      <c r="M5598" s="2" t="s">
        <v>11028</v>
      </c>
      <c r="N5598" s="2" t="s">
        <v>11036</v>
      </c>
      <c r="O5598" s="2" t="s">
        <v>11038</v>
      </c>
      <c r="P5598" s="2" t="s">
        <v>11035</v>
      </c>
      <c r="Q5598" s="2">
        <f>AVERAGE(PerfRate[[#This Row],[EnvironmentSatisfaction]],PerfRate[[#This Row],[JobSatisfaction]],PerfRate[[#This Row],[RelationshipSatisfaction]])</f>
        <v>3.3333333333333335</v>
      </c>
      <c r="R5598" s="2">
        <f>PerfRate[[#This Row],[ManagerRating]] - PerfRate[[#This Row],[SelfRating]]</f>
        <v>-1</v>
      </c>
    </row>
    <row r="5599" spans="1:18">
      <c r="A5599" s="2" t="s">
        <v>9906</v>
      </c>
      <c r="B5599" s="2" t="s">
        <v>2343</v>
      </c>
      <c r="C5599" s="1">
        <v>44839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  <c r="L5599" s="2" t="s">
        <v>11031</v>
      </c>
      <c r="M5599" s="2" t="s">
        <v>11031</v>
      </c>
      <c r="N5599" s="2" t="s">
        <v>11036</v>
      </c>
      <c r="O5599" s="2" t="s">
        <v>11035</v>
      </c>
      <c r="P5599" s="2" t="s">
        <v>11036</v>
      </c>
      <c r="Q5599" s="2">
        <f>AVERAGE(PerfRate[[#This Row],[EnvironmentSatisfaction]],PerfRate[[#This Row],[JobSatisfaction]],PerfRate[[#This Row],[RelationshipSatisfaction]])</f>
        <v>2.6666666666666665</v>
      </c>
      <c r="R5599" s="2">
        <f>PerfRate[[#This Row],[ManagerRating]] - PerfRate[[#This Row],[SelfRating]]</f>
        <v>0</v>
      </c>
    </row>
    <row r="5600" spans="1:18">
      <c r="A5600" s="2" t="s">
        <v>9907</v>
      </c>
      <c r="B5600" s="2" t="s">
        <v>1770</v>
      </c>
      <c r="C5600" s="1">
        <v>44839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  <c r="L5600" s="2" t="s">
        <v>11031</v>
      </c>
      <c r="M5600" s="2" t="s">
        <v>11030</v>
      </c>
      <c r="N5600" s="2" t="s">
        <v>11038</v>
      </c>
      <c r="O5600" s="2" t="s">
        <v>11035</v>
      </c>
      <c r="P5600" s="2" t="s">
        <v>11038</v>
      </c>
      <c r="Q5600" s="2">
        <f>AVERAGE(PerfRate[[#This Row],[EnvironmentSatisfaction]],PerfRate[[#This Row],[JobSatisfaction]],PerfRate[[#This Row],[RelationshipSatisfaction]])</f>
        <v>4</v>
      </c>
      <c r="R5600" s="2">
        <f>PerfRate[[#This Row],[ManagerRating]] - PerfRate[[#This Row],[SelfRating]]</f>
        <v>-1</v>
      </c>
    </row>
    <row r="5601" spans="1:18">
      <c r="A5601" s="2" t="s">
        <v>9908</v>
      </c>
      <c r="B5601" s="2" t="s">
        <v>3163</v>
      </c>
      <c r="C5601" s="1">
        <v>44839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  <c r="L5601" s="2" t="s">
        <v>11031</v>
      </c>
      <c r="M5601" s="2" t="s">
        <v>11030</v>
      </c>
      <c r="N5601" s="2" t="s">
        <v>11038</v>
      </c>
      <c r="O5601" s="2" t="s">
        <v>11037</v>
      </c>
      <c r="P5601" s="2" t="s">
        <v>11038</v>
      </c>
      <c r="Q5601" s="2">
        <f>AVERAGE(PerfRate[[#This Row],[EnvironmentSatisfaction]],PerfRate[[#This Row],[JobSatisfaction]],PerfRate[[#This Row],[RelationshipSatisfaction]])</f>
        <v>4.666666666666667</v>
      </c>
      <c r="R5601" s="2">
        <f>PerfRate[[#This Row],[ManagerRating]] - PerfRate[[#This Row],[SelfRating]]</f>
        <v>-1</v>
      </c>
    </row>
    <row r="5602" spans="1:18">
      <c r="A5602" s="2" t="s">
        <v>9909</v>
      </c>
      <c r="B5602" s="2" t="s">
        <v>305</v>
      </c>
      <c r="C5602" s="1">
        <v>44870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  <c r="L5602" s="2" t="s">
        <v>11029</v>
      </c>
      <c r="M5602" s="2" t="s">
        <v>11028</v>
      </c>
      <c r="N5602" s="2" t="s">
        <v>11038</v>
      </c>
      <c r="O5602" s="2" t="s">
        <v>11036</v>
      </c>
      <c r="P5602" s="2" t="s">
        <v>11035</v>
      </c>
      <c r="Q5602" s="2">
        <f>AVERAGE(PerfRate[[#This Row],[EnvironmentSatisfaction]],PerfRate[[#This Row],[JobSatisfaction]],PerfRate[[#This Row],[RelationshipSatisfaction]])</f>
        <v>3.3333333333333335</v>
      </c>
      <c r="R5602" s="2">
        <f>PerfRate[[#This Row],[ManagerRating]] - PerfRate[[#This Row],[SelfRating]]</f>
        <v>-1</v>
      </c>
    </row>
    <row r="5603" spans="1:18">
      <c r="A5603" s="2" t="s">
        <v>9910</v>
      </c>
      <c r="B5603" s="2" t="s">
        <v>2158</v>
      </c>
      <c r="C5603" s="1">
        <v>44870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  <c r="L5603" s="2" t="s">
        <v>11031</v>
      </c>
      <c r="M5603" s="2" t="s">
        <v>11030</v>
      </c>
      <c r="N5603" s="2" t="s">
        <v>11036</v>
      </c>
      <c r="O5603" s="2" t="s">
        <v>11038</v>
      </c>
      <c r="P5603" s="2" t="s">
        <v>11036</v>
      </c>
      <c r="Q5603" s="2">
        <f>AVERAGE(PerfRate[[#This Row],[EnvironmentSatisfaction]],PerfRate[[#This Row],[JobSatisfaction]],PerfRate[[#This Row],[RelationshipSatisfaction]])</f>
        <v>3.6666666666666665</v>
      </c>
      <c r="R5603" s="2">
        <f>PerfRate[[#This Row],[ManagerRating]] - PerfRate[[#This Row],[SelfRating]]</f>
        <v>-1</v>
      </c>
    </row>
    <row r="5604" spans="1:18">
      <c r="A5604" s="2" t="s">
        <v>9911</v>
      </c>
      <c r="B5604" s="2" t="s">
        <v>811</v>
      </c>
      <c r="C5604" s="1">
        <v>44870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  <c r="L5604" s="2" t="s">
        <v>11029</v>
      </c>
      <c r="M5604" s="2" t="s">
        <v>11028</v>
      </c>
      <c r="N5604" s="2" t="s">
        <v>11037</v>
      </c>
      <c r="O5604" s="2" t="s">
        <v>11036</v>
      </c>
      <c r="P5604" s="2" t="s">
        <v>11035</v>
      </c>
      <c r="Q5604" s="2">
        <f>AVERAGE(PerfRate[[#This Row],[EnvironmentSatisfaction]],PerfRate[[#This Row],[JobSatisfaction]],PerfRate[[#This Row],[RelationshipSatisfaction]])</f>
        <v>3</v>
      </c>
      <c r="R5604" s="2">
        <f>PerfRate[[#This Row],[ManagerRating]] - PerfRate[[#This Row],[SelfRating]]</f>
        <v>-1</v>
      </c>
    </row>
    <row r="5605" spans="1:18">
      <c r="A5605" s="2" t="s">
        <v>9912</v>
      </c>
      <c r="B5605" s="2" t="s">
        <v>1572</v>
      </c>
      <c r="C5605" s="1">
        <v>44900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  <c r="L5605" s="2" t="s">
        <v>11029</v>
      </c>
      <c r="M5605" s="2" t="s">
        <v>11028</v>
      </c>
      <c r="N5605" s="2" t="s">
        <v>11035</v>
      </c>
      <c r="O5605" s="2" t="s">
        <v>11037</v>
      </c>
      <c r="P5605" s="2" t="s">
        <v>11034</v>
      </c>
      <c r="Q5605" s="2">
        <f>AVERAGE(PerfRate[[#This Row],[EnvironmentSatisfaction]],PerfRate[[#This Row],[JobSatisfaction]],PerfRate[[#This Row],[RelationshipSatisfaction]])</f>
        <v>2.3333333333333335</v>
      </c>
      <c r="R5605" s="2">
        <f>PerfRate[[#This Row],[ManagerRating]] - PerfRate[[#This Row],[SelfRating]]</f>
        <v>-1</v>
      </c>
    </row>
    <row r="5606" spans="1:18">
      <c r="A5606" s="2" t="s">
        <v>9913</v>
      </c>
      <c r="B5606" s="2" t="s">
        <v>395</v>
      </c>
      <c r="C5606" s="1">
        <v>42342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  <c r="L5606" s="2" t="s">
        <v>11029</v>
      </c>
      <c r="M5606" s="2" t="s">
        <v>11028</v>
      </c>
      <c r="N5606" s="2" t="s">
        <v>11036</v>
      </c>
      <c r="O5606" s="2" t="s">
        <v>11035</v>
      </c>
      <c r="P5606" s="2" t="s">
        <v>11035</v>
      </c>
      <c r="Q5606" s="2">
        <f>AVERAGE(PerfRate[[#This Row],[EnvironmentSatisfaction]],PerfRate[[#This Row],[JobSatisfaction]],PerfRate[[#This Row],[RelationshipSatisfaction]])</f>
        <v>2.3333333333333335</v>
      </c>
      <c r="R5606" s="2">
        <f>PerfRate[[#This Row],[ManagerRating]] - PerfRate[[#This Row],[SelfRating]]</f>
        <v>-1</v>
      </c>
    </row>
    <row r="5607" spans="1:18">
      <c r="A5607" s="2" t="s">
        <v>9914</v>
      </c>
      <c r="B5607" s="2" t="s">
        <v>338</v>
      </c>
      <c r="C5607" s="1">
        <v>44900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  <c r="L5607" s="2" t="s">
        <v>11031</v>
      </c>
      <c r="M5607" s="2" t="s">
        <v>11031</v>
      </c>
      <c r="N5607" s="2" t="s">
        <v>11035</v>
      </c>
      <c r="O5607" s="2" t="s">
        <v>11035</v>
      </c>
      <c r="P5607" s="2" t="s">
        <v>11034</v>
      </c>
      <c r="Q5607" s="2">
        <f>AVERAGE(PerfRate[[#This Row],[EnvironmentSatisfaction]],PerfRate[[#This Row],[JobSatisfaction]],PerfRate[[#This Row],[RelationshipSatisfaction]])</f>
        <v>1.6666666666666667</v>
      </c>
      <c r="R5607" s="2">
        <f>PerfRate[[#This Row],[ManagerRating]] - PerfRate[[#This Row],[SelfRating]]</f>
        <v>0</v>
      </c>
    </row>
    <row r="5608" spans="1:18">
      <c r="A5608" s="2" t="s">
        <v>9915</v>
      </c>
      <c r="B5608" s="2" t="s">
        <v>2337</v>
      </c>
      <c r="C5608" s="1">
        <v>44900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  <c r="L5608" s="2" t="s">
        <v>11029</v>
      </c>
      <c r="M5608" s="2" t="s">
        <v>11029</v>
      </c>
      <c r="N5608" s="2" t="s">
        <v>11037</v>
      </c>
      <c r="O5608" s="2" t="s">
        <v>11036</v>
      </c>
      <c r="P5608" s="2" t="s">
        <v>11035</v>
      </c>
      <c r="Q5608" s="2">
        <f>AVERAGE(PerfRate[[#This Row],[EnvironmentSatisfaction]],PerfRate[[#This Row],[JobSatisfaction]],PerfRate[[#This Row],[RelationshipSatisfaction]])</f>
        <v>3</v>
      </c>
      <c r="R5608" s="2">
        <f>PerfRate[[#This Row],[ManagerRating]] - PerfRate[[#This Row],[SelfRating]]</f>
        <v>0</v>
      </c>
    </row>
    <row r="5609" spans="1:18">
      <c r="A5609" s="2" t="s">
        <v>9916</v>
      </c>
      <c r="B5609" s="2" t="s">
        <v>613</v>
      </c>
      <c r="C5609" s="1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  <c r="L5609" s="2" t="s">
        <v>11030</v>
      </c>
      <c r="M5609" s="2" t="s">
        <v>11030</v>
      </c>
      <c r="N5609" s="2" t="s">
        <v>11035</v>
      </c>
      <c r="O5609" s="2" t="s">
        <v>11036</v>
      </c>
      <c r="P5609" s="2" t="s">
        <v>11035</v>
      </c>
      <c r="Q5609" s="2">
        <f>AVERAGE(PerfRate[[#This Row],[EnvironmentSatisfaction]],PerfRate[[#This Row],[JobSatisfaction]],PerfRate[[#This Row],[RelationshipSatisfaction]])</f>
        <v>2.3333333333333335</v>
      </c>
      <c r="R5609" s="2">
        <f>PerfRate[[#This Row],[ManagerRating]] - PerfRate[[#This Row],[SelfRating]]</f>
        <v>0</v>
      </c>
    </row>
    <row r="5610" spans="1:18">
      <c r="A5610" s="2" t="s">
        <v>9917</v>
      </c>
      <c r="B5610" s="2" t="s">
        <v>1626</v>
      </c>
      <c r="C5610" s="1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  <c r="L5610" s="2" t="s">
        <v>11029</v>
      </c>
      <c r="M5610" s="2" t="s">
        <v>11028</v>
      </c>
      <c r="N5610" s="2" t="s">
        <v>11036</v>
      </c>
      <c r="O5610" s="2" t="s">
        <v>11037</v>
      </c>
      <c r="P5610" s="2" t="s">
        <v>11036</v>
      </c>
      <c r="Q5610" s="2">
        <f>AVERAGE(PerfRate[[#This Row],[EnvironmentSatisfaction]],PerfRate[[#This Row],[JobSatisfaction]],PerfRate[[#This Row],[RelationshipSatisfaction]])</f>
        <v>3.3333333333333335</v>
      </c>
      <c r="R5610" s="2">
        <f>PerfRate[[#This Row],[ManagerRating]] - PerfRate[[#This Row],[SelfRating]]</f>
        <v>-1</v>
      </c>
    </row>
    <row r="5611" spans="1:18">
      <c r="A5611" s="2" t="s">
        <v>9918</v>
      </c>
      <c r="B5611" s="2" t="s">
        <v>1987</v>
      </c>
      <c r="C5611" s="1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  <c r="L5611" s="2" t="s">
        <v>11031</v>
      </c>
      <c r="M5611" s="2" t="s">
        <v>11031</v>
      </c>
      <c r="N5611" s="2" t="s">
        <v>11036</v>
      </c>
      <c r="O5611" s="2" t="s">
        <v>11036</v>
      </c>
      <c r="P5611" s="2" t="s">
        <v>11037</v>
      </c>
      <c r="Q5611" s="2">
        <f>AVERAGE(PerfRate[[#This Row],[EnvironmentSatisfaction]],PerfRate[[#This Row],[JobSatisfaction]],PerfRate[[#This Row],[RelationshipSatisfaction]])</f>
        <v>3.3333333333333335</v>
      </c>
      <c r="R5611" s="2">
        <f>PerfRate[[#This Row],[ManagerRating]] - PerfRate[[#This Row],[SelfRating]]</f>
        <v>0</v>
      </c>
    </row>
    <row r="5612" spans="1:18">
      <c r="A5612" s="2" t="s">
        <v>9919</v>
      </c>
      <c r="B5612" s="2" t="s">
        <v>1856</v>
      </c>
      <c r="C5612" s="1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  <c r="L5612" s="2" t="s">
        <v>11030</v>
      </c>
      <c r="M5612" s="2" t="s">
        <v>11029</v>
      </c>
      <c r="N5612" s="2" t="s">
        <v>11038</v>
      </c>
      <c r="O5612" s="2" t="s">
        <v>11035</v>
      </c>
      <c r="P5612" s="2" t="s">
        <v>11037</v>
      </c>
      <c r="Q5612" s="2">
        <f>AVERAGE(PerfRate[[#This Row],[EnvironmentSatisfaction]],PerfRate[[#This Row],[JobSatisfaction]],PerfRate[[#This Row],[RelationshipSatisfaction]])</f>
        <v>3.6666666666666665</v>
      </c>
      <c r="R5612" s="2">
        <f>PerfRate[[#This Row],[ManagerRating]] - PerfRate[[#This Row],[SelfRating]]</f>
        <v>-1</v>
      </c>
    </row>
    <row r="5613" spans="1:18">
      <c r="A5613" s="2" t="s">
        <v>9920</v>
      </c>
      <c r="B5613" s="2" t="s">
        <v>2540</v>
      </c>
      <c r="C5613" s="1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  <c r="L5613" s="2" t="s">
        <v>11029</v>
      </c>
      <c r="M5613" s="2" t="s">
        <v>11029</v>
      </c>
      <c r="N5613" s="2" t="s">
        <v>11036</v>
      </c>
      <c r="O5613" s="2" t="s">
        <v>11037</v>
      </c>
      <c r="P5613" s="2" t="s">
        <v>11035</v>
      </c>
      <c r="Q5613" s="2">
        <f>AVERAGE(PerfRate[[#This Row],[EnvironmentSatisfaction]],PerfRate[[#This Row],[JobSatisfaction]],PerfRate[[#This Row],[RelationshipSatisfaction]])</f>
        <v>3</v>
      </c>
      <c r="R5613" s="2">
        <f>PerfRate[[#This Row],[ManagerRating]] - PerfRate[[#This Row],[SelfRating]]</f>
        <v>0</v>
      </c>
    </row>
    <row r="5614" spans="1:18">
      <c r="A5614" s="2" t="s">
        <v>9921</v>
      </c>
      <c r="B5614" s="2" t="s">
        <v>898</v>
      </c>
      <c r="C5614" s="1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  <c r="L5614" s="2" t="s">
        <v>11029</v>
      </c>
      <c r="M5614" s="2" t="s">
        <v>11028</v>
      </c>
      <c r="N5614" s="2" t="s">
        <v>11037</v>
      </c>
      <c r="O5614" s="2" t="s">
        <v>11037</v>
      </c>
      <c r="P5614" s="2" t="s">
        <v>11036</v>
      </c>
      <c r="Q5614" s="2">
        <f>AVERAGE(PerfRate[[#This Row],[EnvironmentSatisfaction]],PerfRate[[#This Row],[JobSatisfaction]],PerfRate[[#This Row],[RelationshipSatisfaction]])</f>
        <v>3.6666666666666665</v>
      </c>
      <c r="R5614" s="2">
        <f>PerfRate[[#This Row],[ManagerRating]] - PerfRate[[#This Row],[SelfRating]]</f>
        <v>-1</v>
      </c>
    </row>
    <row r="5615" spans="1:18">
      <c r="A5615" s="2" t="s">
        <v>9922</v>
      </c>
      <c r="B5615" s="2" t="s">
        <v>1432</v>
      </c>
      <c r="C5615" s="1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  <c r="L5615" s="2" t="s">
        <v>11029</v>
      </c>
      <c r="M5615" s="2" t="s">
        <v>11029</v>
      </c>
      <c r="N5615" s="2" t="s">
        <v>11036</v>
      </c>
      <c r="O5615" s="2" t="s">
        <v>11037</v>
      </c>
      <c r="P5615" s="2" t="s">
        <v>11037</v>
      </c>
      <c r="Q5615" s="2">
        <f>AVERAGE(PerfRate[[#This Row],[EnvironmentSatisfaction]],PerfRate[[#This Row],[JobSatisfaction]],PerfRate[[#This Row],[RelationshipSatisfaction]])</f>
        <v>3.6666666666666665</v>
      </c>
      <c r="R5615" s="2">
        <f>PerfRate[[#This Row],[ManagerRating]] - PerfRate[[#This Row],[SelfRating]]</f>
        <v>0</v>
      </c>
    </row>
    <row r="5616" spans="1:18">
      <c r="A5616" s="2" t="s">
        <v>9923</v>
      </c>
      <c r="B5616" s="2" t="s">
        <v>2733</v>
      </c>
      <c r="C5616" s="1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  <c r="L5616" s="2" t="s">
        <v>11029</v>
      </c>
      <c r="M5616" s="2" t="s">
        <v>11028</v>
      </c>
      <c r="N5616" s="2" t="s">
        <v>11036</v>
      </c>
      <c r="O5616" s="2" t="s">
        <v>11036</v>
      </c>
      <c r="P5616" s="2" t="s">
        <v>11037</v>
      </c>
      <c r="Q5616" s="2">
        <f>AVERAGE(PerfRate[[#This Row],[EnvironmentSatisfaction]],PerfRate[[#This Row],[JobSatisfaction]],PerfRate[[#This Row],[RelationshipSatisfaction]])</f>
        <v>3.3333333333333335</v>
      </c>
      <c r="R5616" s="2">
        <f>PerfRate[[#This Row],[ManagerRating]] - PerfRate[[#This Row],[SelfRating]]</f>
        <v>-1</v>
      </c>
    </row>
    <row r="5617" spans="1:18">
      <c r="A5617" s="2" t="s">
        <v>9924</v>
      </c>
      <c r="B5617" s="2" t="s">
        <v>3448</v>
      </c>
      <c r="C5617" s="1">
        <v>42342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  <c r="L5617" s="2" t="s">
        <v>11031</v>
      </c>
      <c r="M5617" s="2" t="s">
        <v>11031</v>
      </c>
      <c r="N5617" s="2" t="s">
        <v>11036</v>
      </c>
      <c r="O5617" s="2" t="s">
        <v>11038</v>
      </c>
      <c r="P5617" s="2" t="s">
        <v>11038</v>
      </c>
      <c r="Q5617" s="2">
        <f>AVERAGE(PerfRate[[#This Row],[EnvironmentSatisfaction]],PerfRate[[#This Row],[JobSatisfaction]],PerfRate[[#This Row],[RelationshipSatisfaction]])</f>
        <v>4.333333333333333</v>
      </c>
      <c r="R5617" s="2">
        <f>PerfRate[[#This Row],[ManagerRating]] - PerfRate[[#This Row],[SelfRating]]</f>
        <v>0</v>
      </c>
    </row>
    <row r="5618" spans="1:18">
      <c r="A5618" s="2" t="s">
        <v>9925</v>
      </c>
      <c r="B5618" s="2" t="s">
        <v>3356</v>
      </c>
      <c r="C5618" s="1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  <c r="L5618" s="2" t="s">
        <v>11031</v>
      </c>
      <c r="M5618" s="2" t="s">
        <v>11031</v>
      </c>
      <c r="N5618" s="2" t="s">
        <v>11036</v>
      </c>
      <c r="O5618" s="2" t="s">
        <v>11037</v>
      </c>
      <c r="P5618" s="2" t="s">
        <v>11035</v>
      </c>
      <c r="Q5618" s="2">
        <f>AVERAGE(PerfRate[[#This Row],[EnvironmentSatisfaction]],PerfRate[[#This Row],[JobSatisfaction]],PerfRate[[#This Row],[RelationshipSatisfaction]])</f>
        <v>3</v>
      </c>
      <c r="R5618" s="2">
        <f>PerfRate[[#This Row],[ManagerRating]] - PerfRate[[#This Row],[SelfRating]]</f>
        <v>0</v>
      </c>
    </row>
    <row r="5619" spans="1:18">
      <c r="A5619" s="2" t="s">
        <v>9926</v>
      </c>
      <c r="B5619" s="2" t="s">
        <v>1329</v>
      </c>
      <c r="C5619" s="1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  <c r="L5619" s="2" t="s">
        <v>11029</v>
      </c>
      <c r="M5619" s="2" t="s">
        <v>11028</v>
      </c>
      <c r="N5619" s="2" t="s">
        <v>11036</v>
      </c>
      <c r="O5619" s="2" t="s">
        <v>11037</v>
      </c>
      <c r="P5619" s="2" t="s">
        <v>11035</v>
      </c>
      <c r="Q5619" s="2">
        <f>AVERAGE(PerfRate[[#This Row],[EnvironmentSatisfaction]],PerfRate[[#This Row],[JobSatisfaction]],PerfRate[[#This Row],[RelationshipSatisfaction]])</f>
        <v>3</v>
      </c>
      <c r="R5619" s="2">
        <f>PerfRate[[#This Row],[ManagerRating]] - PerfRate[[#This Row],[SelfRating]]</f>
        <v>-1</v>
      </c>
    </row>
    <row r="5620" spans="1:18">
      <c r="A5620" s="2" t="s">
        <v>9927</v>
      </c>
      <c r="B5620" s="2" t="s">
        <v>392</v>
      </c>
      <c r="C5620" s="1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  <c r="L5620" s="2" t="s">
        <v>11030</v>
      </c>
      <c r="M5620" s="2" t="s">
        <v>11029</v>
      </c>
      <c r="N5620" s="2" t="s">
        <v>11036</v>
      </c>
      <c r="O5620" s="2" t="s">
        <v>11035</v>
      </c>
      <c r="P5620" s="2" t="s">
        <v>11038</v>
      </c>
      <c r="Q5620" s="2">
        <f>AVERAGE(PerfRate[[#This Row],[EnvironmentSatisfaction]],PerfRate[[#This Row],[JobSatisfaction]],PerfRate[[#This Row],[RelationshipSatisfaction]])</f>
        <v>3.3333333333333335</v>
      </c>
      <c r="R5620" s="2">
        <f>PerfRate[[#This Row],[ManagerRating]] - PerfRate[[#This Row],[SelfRating]]</f>
        <v>-1</v>
      </c>
    </row>
    <row r="5621" spans="1:18">
      <c r="A5621" s="2" t="s">
        <v>9928</v>
      </c>
      <c r="B5621" s="2" t="s">
        <v>479</v>
      </c>
      <c r="C5621" s="1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  <c r="L5621" s="2" t="s">
        <v>11030</v>
      </c>
      <c r="M5621" s="2" t="s">
        <v>11030</v>
      </c>
      <c r="N5621" s="2" t="s">
        <v>11036</v>
      </c>
      <c r="O5621" s="2" t="s">
        <v>11037</v>
      </c>
      <c r="P5621" s="2" t="s">
        <v>11036</v>
      </c>
      <c r="Q5621" s="2">
        <f>AVERAGE(PerfRate[[#This Row],[EnvironmentSatisfaction]],PerfRate[[#This Row],[JobSatisfaction]],PerfRate[[#This Row],[RelationshipSatisfaction]])</f>
        <v>3.3333333333333335</v>
      </c>
      <c r="R5621" s="2">
        <f>PerfRate[[#This Row],[ManagerRating]] - PerfRate[[#This Row],[SelfRating]]</f>
        <v>0</v>
      </c>
    </row>
    <row r="5622" spans="1:18">
      <c r="A5622" s="2" t="s">
        <v>9929</v>
      </c>
      <c r="B5622" s="2" t="s">
        <v>2360</v>
      </c>
      <c r="C5622" s="1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  <c r="L5622" s="2" t="s">
        <v>11030</v>
      </c>
      <c r="M5622" s="2" t="s">
        <v>11030</v>
      </c>
      <c r="N5622" s="2" t="s">
        <v>11036</v>
      </c>
      <c r="O5622" s="2" t="s">
        <v>11035</v>
      </c>
      <c r="P5622" s="2" t="s">
        <v>11035</v>
      </c>
      <c r="Q5622" s="2">
        <f>AVERAGE(PerfRate[[#This Row],[EnvironmentSatisfaction]],PerfRate[[#This Row],[JobSatisfaction]],PerfRate[[#This Row],[RelationshipSatisfaction]])</f>
        <v>2.3333333333333335</v>
      </c>
      <c r="R5622" s="2">
        <f>PerfRate[[#This Row],[ManagerRating]] - PerfRate[[#This Row],[SelfRating]]</f>
        <v>0</v>
      </c>
    </row>
    <row r="5623" spans="1:18">
      <c r="A5623" s="2" t="s">
        <v>9930</v>
      </c>
      <c r="B5623" s="2" t="s">
        <v>2481</v>
      </c>
      <c r="C5623" s="1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  <c r="L5623" s="2" t="s">
        <v>11031</v>
      </c>
      <c r="M5623" s="2" t="s">
        <v>11030</v>
      </c>
      <c r="N5623" s="2" t="s">
        <v>11036</v>
      </c>
      <c r="O5623" s="2" t="s">
        <v>11038</v>
      </c>
      <c r="P5623" s="2" t="s">
        <v>11037</v>
      </c>
      <c r="Q5623" s="2">
        <f>AVERAGE(PerfRate[[#This Row],[EnvironmentSatisfaction]],PerfRate[[#This Row],[JobSatisfaction]],PerfRate[[#This Row],[RelationshipSatisfaction]])</f>
        <v>4</v>
      </c>
      <c r="R5623" s="2">
        <f>PerfRate[[#This Row],[ManagerRating]] - PerfRate[[#This Row],[SelfRating]]</f>
        <v>-1</v>
      </c>
    </row>
    <row r="5624" spans="1:18">
      <c r="A5624" s="2" t="s">
        <v>9931</v>
      </c>
      <c r="B5624" s="2" t="s">
        <v>2817</v>
      </c>
      <c r="C5624" s="1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  <c r="L5624" s="2" t="s">
        <v>11029</v>
      </c>
      <c r="M5624" s="2" t="s">
        <v>11029</v>
      </c>
      <c r="N5624" s="2" t="s">
        <v>11037</v>
      </c>
      <c r="O5624" s="2" t="s">
        <v>11038</v>
      </c>
      <c r="P5624" s="2" t="s">
        <v>11036</v>
      </c>
      <c r="Q5624" s="2">
        <f>AVERAGE(PerfRate[[#This Row],[EnvironmentSatisfaction]],PerfRate[[#This Row],[JobSatisfaction]],PerfRate[[#This Row],[RelationshipSatisfaction]])</f>
        <v>4</v>
      </c>
      <c r="R5624" s="2">
        <f>PerfRate[[#This Row],[ManagerRating]] - PerfRate[[#This Row],[SelfRating]]</f>
        <v>0</v>
      </c>
    </row>
    <row r="5625" spans="1:18">
      <c r="A5625" s="2" t="s">
        <v>9932</v>
      </c>
      <c r="B5625" s="2" t="s">
        <v>3311</v>
      </c>
      <c r="C5625" s="1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  <c r="L5625" s="2" t="s">
        <v>11031</v>
      </c>
      <c r="M5625" s="2" t="s">
        <v>11031</v>
      </c>
      <c r="N5625" s="2" t="s">
        <v>11036</v>
      </c>
      <c r="O5625" s="2" t="s">
        <v>11038</v>
      </c>
      <c r="P5625" s="2" t="s">
        <v>11038</v>
      </c>
      <c r="Q5625" s="2">
        <f>AVERAGE(PerfRate[[#This Row],[EnvironmentSatisfaction]],PerfRate[[#This Row],[JobSatisfaction]],PerfRate[[#This Row],[RelationshipSatisfaction]])</f>
        <v>4.333333333333333</v>
      </c>
      <c r="R5625" s="2">
        <f>PerfRate[[#This Row],[ManagerRating]] - PerfRate[[#This Row],[SelfRating]]</f>
        <v>0</v>
      </c>
    </row>
    <row r="5626" spans="1:18">
      <c r="A5626" s="2" t="s">
        <v>9933</v>
      </c>
      <c r="B5626" s="2" t="s">
        <v>616</v>
      </c>
      <c r="C5626" s="1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  <c r="L5626" s="2" t="s">
        <v>11029</v>
      </c>
      <c r="M5626" s="2" t="s">
        <v>11029</v>
      </c>
      <c r="N5626" s="2" t="s">
        <v>11038</v>
      </c>
      <c r="O5626" s="2" t="s">
        <v>11036</v>
      </c>
      <c r="P5626" s="2" t="s">
        <v>11038</v>
      </c>
      <c r="Q5626" s="2">
        <f>AVERAGE(PerfRate[[#This Row],[EnvironmentSatisfaction]],PerfRate[[#This Row],[JobSatisfaction]],PerfRate[[#This Row],[RelationshipSatisfaction]])</f>
        <v>4.333333333333333</v>
      </c>
      <c r="R5626" s="2">
        <f>PerfRate[[#This Row],[ManagerRating]] - PerfRate[[#This Row],[SelfRating]]</f>
        <v>0</v>
      </c>
    </row>
    <row r="5627" spans="1:18">
      <c r="A5627" s="2" t="s">
        <v>9934</v>
      </c>
      <c r="B5627" s="2" t="s">
        <v>2772</v>
      </c>
      <c r="C5627" s="1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  <c r="L5627" s="2" t="s">
        <v>11029</v>
      </c>
      <c r="M5627" s="2" t="s">
        <v>11029</v>
      </c>
      <c r="N5627" s="2" t="s">
        <v>11036</v>
      </c>
      <c r="O5627" s="2" t="s">
        <v>11036</v>
      </c>
      <c r="P5627" s="2" t="s">
        <v>11036</v>
      </c>
      <c r="Q5627" s="2">
        <f>AVERAGE(PerfRate[[#This Row],[EnvironmentSatisfaction]],PerfRate[[#This Row],[JobSatisfaction]],PerfRate[[#This Row],[RelationshipSatisfaction]])</f>
        <v>3</v>
      </c>
      <c r="R5627" s="2">
        <f>PerfRate[[#This Row],[ManagerRating]] - PerfRate[[#This Row],[SelfRating]]</f>
        <v>0</v>
      </c>
    </row>
    <row r="5628" spans="1:18">
      <c r="A5628" s="2" t="s">
        <v>9935</v>
      </c>
      <c r="B5628" s="2" t="s">
        <v>3490</v>
      </c>
      <c r="C5628" s="1">
        <v>42342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  <c r="L5628" s="2" t="s">
        <v>11029</v>
      </c>
      <c r="M5628" s="2" t="s">
        <v>11028</v>
      </c>
      <c r="N5628" s="2" t="s">
        <v>11036</v>
      </c>
      <c r="O5628" s="2" t="s">
        <v>11036</v>
      </c>
      <c r="P5628" s="2" t="s">
        <v>11038</v>
      </c>
      <c r="Q5628" s="2">
        <f>AVERAGE(PerfRate[[#This Row],[EnvironmentSatisfaction]],PerfRate[[#This Row],[JobSatisfaction]],PerfRate[[#This Row],[RelationshipSatisfaction]])</f>
        <v>3.6666666666666665</v>
      </c>
      <c r="R5628" s="2">
        <f>PerfRate[[#This Row],[ManagerRating]] - PerfRate[[#This Row],[SelfRating]]</f>
        <v>-1</v>
      </c>
    </row>
    <row r="5629" spans="1:18">
      <c r="A5629" s="2" t="s">
        <v>9936</v>
      </c>
      <c r="B5629" s="2" t="s">
        <v>670</v>
      </c>
      <c r="C5629" s="1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  <c r="L5629" s="2" t="s">
        <v>11031</v>
      </c>
      <c r="M5629" s="2" t="s">
        <v>11030</v>
      </c>
      <c r="N5629" s="2" t="s">
        <v>11036</v>
      </c>
      <c r="O5629" s="2" t="s">
        <v>11036</v>
      </c>
      <c r="P5629" s="2" t="s">
        <v>11037</v>
      </c>
      <c r="Q5629" s="2">
        <f>AVERAGE(PerfRate[[#This Row],[EnvironmentSatisfaction]],PerfRate[[#This Row],[JobSatisfaction]],PerfRate[[#This Row],[RelationshipSatisfaction]])</f>
        <v>3.3333333333333335</v>
      </c>
      <c r="R5629" s="2">
        <f>PerfRate[[#This Row],[ManagerRating]] - PerfRate[[#This Row],[SelfRating]]</f>
        <v>-1</v>
      </c>
    </row>
    <row r="5630" spans="1:18">
      <c r="A5630" s="2" t="s">
        <v>9937</v>
      </c>
      <c r="B5630" s="2" t="s">
        <v>1833</v>
      </c>
      <c r="C5630" s="1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  <c r="L5630" s="2" t="s">
        <v>11031</v>
      </c>
      <c r="M5630" s="2" t="s">
        <v>11030</v>
      </c>
      <c r="N5630" s="2" t="s">
        <v>11037</v>
      </c>
      <c r="O5630" s="2" t="s">
        <v>11038</v>
      </c>
      <c r="P5630" s="2" t="s">
        <v>11035</v>
      </c>
      <c r="Q5630" s="2">
        <f>AVERAGE(PerfRate[[#This Row],[EnvironmentSatisfaction]],PerfRate[[#This Row],[JobSatisfaction]],PerfRate[[#This Row],[RelationshipSatisfaction]])</f>
        <v>3.6666666666666665</v>
      </c>
      <c r="R5630" s="2">
        <f>PerfRate[[#This Row],[ManagerRating]] - PerfRate[[#This Row],[SelfRating]]</f>
        <v>-1</v>
      </c>
    </row>
    <row r="5631" spans="1:18">
      <c r="A5631" s="2" t="s">
        <v>9938</v>
      </c>
      <c r="B5631" s="2" t="s">
        <v>2786</v>
      </c>
      <c r="C5631" s="1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  <c r="L5631" s="2" t="s">
        <v>11029</v>
      </c>
      <c r="M5631" s="2" t="s">
        <v>11028</v>
      </c>
      <c r="N5631" s="2" t="s">
        <v>11037</v>
      </c>
      <c r="O5631" s="2" t="s">
        <v>11037</v>
      </c>
      <c r="P5631" s="2" t="s">
        <v>11035</v>
      </c>
      <c r="Q5631" s="2">
        <f>AVERAGE(PerfRate[[#This Row],[EnvironmentSatisfaction]],PerfRate[[#This Row],[JobSatisfaction]],PerfRate[[#This Row],[RelationshipSatisfaction]])</f>
        <v>3.3333333333333335</v>
      </c>
      <c r="R5631" s="2">
        <f>PerfRate[[#This Row],[ManagerRating]] - PerfRate[[#This Row],[SelfRating]]</f>
        <v>-1</v>
      </c>
    </row>
    <row r="5632" spans="1:18">
      <c r="A5632" s="2" t="s">
        <v>9939</v>
      </c>
      <c r="B5632" s="2" t="s">
        <v>2500</v>
      </c>
      <c r="C5632" s="1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  <c r="L5632" s="2" t="s">
        <v>11031</v>
      </c>
      <c r="M5632" s="2" t="s">
        <v>11031</v>
      </c>
      <c r="N5632" s="2" t="s">
        <v>11037</v>
      </c>
      <c r="O5632" s="2" t="s">
        <v>11037</v>
      </c>
      <c r="P5632" s="2" t="s">
        <v>11036</v>
      </c>
      <c r="Q5632" s="2">
        <f>AVERAGE(PerfRate[[#This Row],[EnvironmentSatisfaction]],PerfRate[[#This Row],[JobSatisfaction]],PerfRate[[#This Row],[RelationshipSatisfaction]])</f>
        <v>3.6666666666666665</v>
      </c>
      <c r="R5632" s="2">
        <f>PerfRate[[#This Row],[ManagerRating]] - PerfRate[[#This Row],[SelfRating]]</f>
        <v>0</v>
      </c>
    </row>
    <row r="5633" spans="1:18">
      <c r="A5633" s="2" t="s">
        <v>9940</v>
      </c>
      <c r="B5633" s="2" t="s">
        <v>1716</v>
      </c>
      <c r="C5633" s="1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  <c r="L5633" s="2" t="s">
        <v>11029</v>
      </c>
      <c r="M5633" s="2" t="s">
        <v>11028</v>
      </c>
      <c r="N5633" s="2" t="s">
        <v>11038</v>
      </c>
      <c r="O5633" s="2" t="s">
        <v>11036</v>
      </c>
      <c r="P5633" s="2" t="s">
        <v>11036</v>
      </c>
      <c r="Q5633" s="2">
        <f>AVERAGE(PerfRate[[#This Row],[EnvironmentSatisfaction]],PerfRate[[#This Row],[JobSatisfaction]],PerfRate[[#This Row],[RelationshipSatisfaction]])</f>
        <v>3.6666666666666665</v>
      </c>
      <c r="R5633" s="2">
        <f>PerfRate[[#This Row],[ManagerRating]] - PerfRate[[#This Row],[SelfRating]]</f>
        <v>-1</v>
      </c>
    </row>
    <row r="5634" spans="1:18">
      <c r="A5634" s="2" t="s">
        <v>9941</v>
      </c>
      <c r="B5634" s="2" t="s">
        <v>1292</v>
      </c>
      <c r="C5634" s="1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  <c r="L5634" s="2" t="s">
        <v>11029</v>
      </c>
      <c r="M5634" s="2" t="s">
        <v>11028</v>
      </c>
      <c r="N5634" s="2" t="s">
        <v>11038</v>
      </c>
      <c r="O5634" s="2" t="s">
        <v>11036</v>
      </c>
      <c r="P5634" s="2" t="s">
        <v>11035</v>
      </c>
      <c r="Q5634" s="2">
        <f>AVERAGE(PerfRate[[#This Row],[EnvironmentSatisfaction]],PerfRate[[#This Row],[JobSatisfaction]],PerfRate[[#This Row],[RelationshipSatisfaction]])</f>
        <v>3.3333333333333335</v>
      </c>
      <c r="R5634" s="2">
        <f>PerfRate[[#This Row],[ManagerRating]] - PerfRate[[#This Row],[SelfRating]]</f>
        <v>-1</v>
      </c>
    </row>
    <row r="5635" spans="1:18">
      <c r="A5635" s="2" t="s">
        <v>9942</v>
      </c>
      <c r="B5635" s="2" t="s">
        <v>1647</v>
      </c>
      <c r="C5635" s="1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  <c r="L5635" s="2" t="s">
        <v>11029</v>
      </c>
      <c r="M5635" s="2" t="s">
        <v>11028</v>
      </c>
      <c r="N5635" s="2" t="s">
        <v>11036</v>
      </c>
      <c r="O5635" s="2" t="s">
        <v>11038</v>
      </c>
      <c r="P5635" s="2" t="s">
        <v>11038</v>
      </c>
      <c r="Q5635" s="2">
        <f>AVERAGE(PerfRate[[#This Row],[EnvironmentSatisfaction]],PerfRate[[#This Row],[JobSatisfaction]],PerfRate[[#This Row],[RelationshipSatisfaction]])</f>
        <v>4.333333333333333</v>
      </c>
      <c r="R5635" s="2">
        <f>PerfRate[[#This Row],[ManagerRating]] - PerfRate[[#This Row],[SelfRating]]</f>
        <v>-1</v>
      </c>
    </row>
    <row r="5636" spans="1:18">
      <c r="A5636" s="2" t="s">
        <v>9943</v>
      </c>
      <c r="B5636" s="2" t="s">
        <v>2926</v>
      </c>
      <c r="C5636" s="1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  <c r="L5636" s="2" t="s">
        <v>11030</v>
      </c>
      <c r="M5636" s="2" t="s">
        <v>11030</v>
      </c>
      <c r="N5636" s="2" t="s">
        <v>11038</v>
      </c>
      <c r="O5636" s="2" t="s">
        <v>11037</v>
      </c>
      <c r="P5636" s="2" t="s">
        <v>11035</v>
      </c>
      <c r="Q5636" s="2">
        <f>AVERAGE(PerfRate[[#This Row],[EnvironmentSatisfaction]],PerfRate[[#This Row],[JobSatisfaction]],PerfRate[[#This Row],[RelationshipSatisfaction]])</f>
        <v>3.6666666666666665</v>
      </c>
      <c r="R5636" s="2">
        <f>PerfRate[[#This Row],[ManagerRating]] - PerfRate[[#This Row],[SelfRating]]</f>
        <v>0</v>
      </c>
    </row>
    <row r="5637" spans="1:18">
      <c r="A5637" s="2" t="s">
        <v>9944</v>
      </c>
      <c r="B5637" s="2" t="s">
        <v>3434</v>
      </c>
      <c r="C5637" s="1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  <c r="L5637" s="2" t="s">
        <v>11030</v>
      </c>
      <c r="M5637" s="2" t="s">
        <v>11030</v>
      </c>
      <c r="N5637" s="2" t="s">
        <v>11038</v>
      </c>
      <c r="O5637" s="2" t="s">
        <v>11037</v>
      </c>
      <c r="P5637" s="2" t="s">
        <v>11038</v>
      </c>
      <c r="Q5637" s="2">
        <f>AVERAGE(PerfRate[[#This Row],[EnvironmentSatisfaction]],PerfRate[[#This Row],[JobSatisfaction]],PerfRate[[#This Row],[RelationshipSatisfaction]])</f>
        <v>4.666666666666667</v>
      </c>
      <c r="R5637" s="2">
        <f>PerfRate[[#This Row],[ManagerRating]] - PerfRate[[#This Row],[SelfRating]]</f>
        <v>0</v>
      </c>
    </row>
    <row r="5638" spans="1:18">
      <c r="A5638" s="2" t="s">
        <v>9945</v>
      </c>
      <c r="B5638" s="2" t="s">
        <v>3470</v>
      </c>
      <c r="C5638" s="1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  <c r="L5638" s="2" t="s">
        <v>11030</v>
      </c>
      <c r="M5638" s="2" t="s">
        <v>11030</v>
      </c>
      <c r="N5638" s="2" t="s">
        <v>11038</v>
      </c>
      <c r="O5638" s="2" t="s">
        <v>11035</v>
      </c>
      <c r="P5638" s="2" t="s">
        <v>11038</v>
      </c>
      <c r="Q5638" s="2">
        <f>AVERAGE(PerfRate[[#This Row],[EnvironmentSatisfaction]],PerfRate[[#This Row],[JobSatisfaction]],PerfRate[[#This Row],[RelationshipSatisfaction]])</f>
        <v>4</v>
      </c>
      <c r="R5638" s="2">
        <f>PerfRate[[#This Row],[ManagerRating]] - PerfRate[[#This Row],[SelfRating]]</f>
        <v>0</v>
      </c>
    </row>
    <row r="5639" spans="1:18">
      <c r="A5639" s="2" t="s">
        <v>9946</v>
      </c>
      <c r="B5639" s="2" t="s">
        <v>771</v>
      </c>
      <c r="C5639" s="1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  <c r="L5639" s="2" t="s">
        <v>11030</v>
      </c>
      <c r="M5639" s="2" t="s">
        <v>11030</v>
      </c>
      <c r="N5639" s="2" t="s">
        <v>11038</v>
      </c>
      <c r="O5639" s="2" t="s">
        <v>11038</v>
      </c>
      <c r="P5639" s="2" t="s">
        <v>11037</v>
      </c>
      <c r="Q5639" s="2">
        <f>AVERAGE(PerfRate[[#This Row],[EnvironmentSatisfaction]],PerfRate[[#This Row],[JobSatisfaction]],PerfRate[[#This Row],[RelationshipSatisfaction]])</f>
        <v>4.666666666666667</v>
      </c>
      <c r="R5639" s="2">
        <f>PerfRate[[#This Row],[ManagerRating]] - PerfRate[[#This Row],[SelfRating]]</f>
        <v>0</v>
      </c>
    </row>
    <row r="5640" spans="1:18">
      <c r="A5640" s="2" t="s">
        <v>9947</v>
      </c>
      <c r="B5640" s="2" t="s">
        <v>458</v>
      </c>
      <c r="C5640" s="1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  <c r="L5640" s="2" t="s">
        <v>11029</v>
      </c>
      <c r="M5640" s="2" t="s">
        <v>11028</v>
      </c>
      <c r="N5640" s="2" t="s">
        <v>11036</v>
      </c>
      <c r="O5640" s="2" t="s">
        <v>11038</v>
      </c>
      <c r="P5640" s="2" t="s">
        <v>11036</v>
      </c>
      <c r="Q5640" s="2">
        <f>AVERAGE(PerfRate[[#This Row],[EnvironmentSatisfaction]],PerfRate[[#This Row],[JobSatisfaction]],PerfRate[[#This Row],[RelationshipSatisfaction]])</f>
        <v>3.6666666666666665</v>
      </c>
      <c r="R5640" s="2">
        <f>PerfRate[[#This Row],[ManagerRating]] - PerfRate[[#This Row],[SelfRating]]</f>
        <v>-1</v>
      </c>
    </row>
    <row r="5641" spans="1:18">
      <c r="A5641" s="2" t="s">
        <v>9948</v>
      </c>
      <c r="B5641" s="2" t="s">
        <v>2384</v>
      </c>
      <c r="C5641" s="1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  <c r="L5641" s="2" t="s">
        <v>11031</v>
      </c>
      <c r="M5641" s="2" t="s">
        <v>11030</v>
      </c>
      <c r="N5641" s="2" t="s">
        <v>11036</v>
      </c>
      <c r="O5641" s="2" t="s">
        <v>11038</v>
      </c>
      <c r="P5641" s="2" t="s">
        <v>11036</v>
      </c>
      <c r="Q5641" s="2">
        <f>AVERAGE(PerfRate[[#This Row],[EnvironmentSatisfaction]],PerfRate[[#This Row],[JobSatisfaction]],PerfRate[[#This Row],[RelationshipSatisfaction]])</f>
        <v>3.6666666666666665</v>
      </c>
      <c r="R5641" s="2">
        <f>PerfRate[[#This Row],[ManagerRating]] - PerfRate[[#This Row],[SelfRating]]</f>
        <v>-1</v>
      </c>
    </row>
    <row r="5642" spans="1:18">
      <c r="A5642" s="2" t="s">
        <v>9949</v>
      </c>
      <c r="B5642" s="2" t="s">
        <v>2225</v>
      </c>
      <c r="C5642" s="1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  <c r="L5642" s="2" t="s">
        <v>11030</v>
      </c>
      <c r="M5642" s="2" t="s">
        <v>11030</v>
      </c>
      <c r="N5642" s="2" t="s">
        <v>11037</v>
      </c>
      <c r="O5642" s="2" t="s">
        <v>11036</v>
      </c>
      <c r="P5642" s="2" t="s">
        <v>11037</v>
      </c>
      <c r="Q5642" s="2">
        <f>AVERAGE(PerfRate[[#This Row],[EnvironmentSatisfaction]],PerfRate[[#This Row],[JobSatisfaction]],PerfRate[[#This Row],[RelationshipSatisfaction]])</f>
        <v>3.6666666666666665</v>
      </c>
      <c r="R5642" s="2">
        <f>PerfRate[[#This Row],[ManagerRating]] - PerfRate[[#This Row],[SelfRating]]</f>
        <v>0</v>
      </c>
    </row>
    <row r="5643" spans="1:18">
      <c r="A5643" s="2" t="s">
        <v>9950</v>
      </c>
      <c r="B5643" s="2" t="s">
        <v>3212</v>
      </c>
      <c r="C5643" s="1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  <c r="L5643" s="2" t="s">
        <v>11030</v>
      </c>
      <c r="M5643" s="2" t="s">
        <v>11030</v>
      </c>
      <c r="N5643" s="2" t="s">
        <v>11034</v>
      </c>
      <c r="O5643" s="2" t="s">
        <v>11036</v>
      </c>
      <c r="P5643" s="2" t="s">
        <v>11037</v>
      </c>
      <c r="Q5643" s="2">
        <f>AVERAGE(PerfRate[[#This Row],[EnvironmentSatisfaction]],PerfRate[[#This Row],[JobSatisfaction]],PerfRate[[#This Row],[RelationshipSatisfaction]])</f>
        <v>2.6666666666666665</v>
      </c>
      <c r="R5643" s="2">
        <f>PerfRate[[#This Row],[ManagerRating]] - PerfRate[[#This Row],[SelfRating]]</f>
        <v>0</v>
      </c>
    </row>
    <row r="5644" spans="1:18">
      <c r="A5644" s="2" t="s">
        <v>9951</v>
      </c>
      <c r="B5644" s="2" t="s">
        <v>1145</v>
      </c>
      <c r="C5644" s="1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  <c r="L5644" s="2" t="s">
        <v>11030</v>
      </c>
      <c r="M5644" s="2" t="s">
        <v>11029</v>
      </c>
      <c r="N5644" s="2" t="s">
        <v>11035</v>
      </c>
      <c r="O5644" s="2" t="s">
        <v>11036</v>
      </c>
      <c r="P5644" s="2" t="s">
        <v>11037</v>
      </c>
      <c r="Q5644" s="2">
        <f>AVERAGE(PerfRate[[#This Row],[EnvironmentSatisfaction]],PerfRate[[#This Row],[JobSatisfaction]],PerfRate[[#This Row],[RelationshipSatisfaction]])</f>
        <v>3</v>
      </c>
      <c r="R5644" s="2">
        <f>PerfRate[[#This Row],[ManagerRating]] - PerfRate[[#This Row],[SelfRating]]</f>
        <v>-1</v>
      </c>
    </row>
    <row r="5645" spans="1:18">
      <c r="A5645" s="2" t="s">
        <v>9952</v>
      </c>
      <c r="B5645" s="2" t="s">
        <v>3772</v>
      </c>
      <c r="C5645" s="1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  <c r="L5645" s="2" t="s">
        <v>11030</v>
      </c>
      <c r="M5645" s="2" t="s">
        <v>11029</v>
      </c>
      <c r="N5645" s="2" t="s">
        <v>11034</v>
      </c>
      <c r="O5645" s="2" t="s">
        <v>11036</v>
      </c>
      <c r="P5645" s="2" t="s">
        <v>11034</v>
      </c>
      <c r="Q5645" s="2">
        <f>AVERAGE(PerfRate[[#This Row],[EnvironmentSatisfaction]],PerfRate[[#This Row],[JobSatisfaction]],PerfRate[[#This Row],[RelationshipSatisfaction]])</f>
        <v>1.6666666666666667</v>
      </c>
      <c r="R5645" s="2">
        <f>PerfRate[[#This Row],[ManagerRating]] - PerfRate[[#This Row],[SelfRating]]</f>
        <v>-1</v>
      </c>
    </row>
    <row r="5646" spans="1:18">
      <c r="A5646" s="2" t="s">
        <v>9953</v>
      </c>
      <c r="B5646" s="2" t="s">
        <v>1927</v>
      </c>
      <c r="C5646" s="1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  <c r="L5646" s="2" t="s">
        <v>11030</v>
      </c>
      <c r="M5646" s="2" t="s">
        <v>11030</v>
      </c>
      <c r="N5646" s="2" t="s">
        <v>11036</v>
      </c>
      <c r="O5646" s="2" t="s">
        <v>11035</v>
      </c>
      <c r="P5646" s="2" t="s">
        <v>11037</v>
      </c>
      <c r="Q5646" s="2">
        <f>AVERAGE(PerfRate[[#This Row],[EnvironmentSatisfaction]],PerfRate[[#This Row],[JobSatisfaction]],PerfRate[[#This Row],[RelationshipSatisfaction]])</f>
        <v>3</v>
      </c>
      <c r="R5646" s="2">
        <f>PerfRate[[#This Row],[ManagerRating]] - PerfRate[[#This Row],[SelfRating]]</f>
        <v>0</v>
      </c>
    </row>
    <row r="5647" spans="1:18">
      <c r="A5647" s="2" t="s">
        <v>9954</v>
      </c>
      <c r="B5647" s="2" t="s">
        <v>4257</v>
      </c>
      <c r="C5647" s="1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  <c r="L5647" s="2" t="s">
        <v>11030</v>
      </c>
      <c r="M5647" s="2" t="s">
        <v>11029</v>
      </c>
      <c r="N5647" s="2" t="s">
        <v>11034</v>
      </c>
      <c r="O5647" s="2" t="s">
        <v>11037</v>
      </c>
      <c r="P5647" s="2" t="s">
        <v>11034</v>
      </c>
      <c r="Q5647" s="2">
        <f>AVERAGE(PerfRate[[#This Row],[EnvironmentSatisfaction]],PerfRate[[#This Row],[JobSatisfaction]],PerfRate[[#This Row],[RelationshipSatisfaction]])</f>
        <v>2</v>
      </c>
      <c r="R5647" s="2">
        <f>PerfRate[[#This Row],[ManagerRating]] - PerfRate[[#This Row],[SelfRating]]</f>
        <v>-1</v>
      </c>
    </row>
    <row r="5648" spans="1:18">
      <c r="A5648" s="2" t="s">
        <v>9955</v>
      </c>
      <c r="B5648" s="2" t="s">
        <v>109</v>
      </c>
      <c r="C5648" s="1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  <c r="L5648" s="2" t="s">
        <v>11031</v>
      </c>
      <c r="M5648" s="2" t="s">
        <v>11030</v>
      </c>
      <c r="N5648" s="2" t="s">
        <v>11038</v>
      </c>
      <c r="O5648" s="2" t="s">
        <v>11037</v>
      </c>
      <c r="P5648" s="2" t="s">
        <v>11035</v>
      </c>
      <c r="Q5648" s="2">
        <f>AVERAGE(PerfRate[[#This Row],[EnvironmentSatisfaction]],PerfRate[[#This Row],[JobSatisfaction]],PerfRate[[#This Row],[RelationshipSatisfaction]])</f>
        <v>3.6666666666666665</v>
      </c>
      <c r="R5648" s="2">
        <f>PerfRate[[#This Row],[ManagerRating]] - PerfRate[[#This Row],[SelfRating]]</f>
        <v>-1</v>
      </c>
    </row>
    <row r="5649" spans="1:18">
      <c r="A5649" s="2" t="s">
        <v>9956</v>
      </c>
      <c r="B5649" s="2" t="s">
        <v>910</v>
      </c>
      <c r="C5649" s="1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  <c r="L5649" s="2" t="s">
        <v>11029</v>
      </c>
      <c r="M5649" s="2" t="s">
        <v>11029</v>
      </c>
      <c r="N5649" s="2" t="s">
        <v>11036</v>
      </c>
      <c r="O5649" s="2" t="s">
        <v>11036</v>
      </c>
      <c r="P5649" s="2" t="s">
        <v>11037</v>
      </c>
      <c r="Q5649" s="2">
        <f>AVERAGE(PerfRate[[#This Row],[EnvironmentSatisfaction]],PerfRate[[#This Row],[JobSatisfaction]],PerfRate[[#This Row],[RelationshipSatisfaction]])</f>
        <v>3.3333333333333335</v>
      </c>
      <c r="R5649" s="2">
        <f>PerfRate[[#This Row],[ManagerRating]] - PerfRate[[#This Row],[SelfRating]]</f>
        <v>0</v>
      </c>
    </row>
    <row r="5650" spans="1:18">
      <c r="A5650" s="2" t="s">
        <v>9957</v>
      </c>
      <c r="B5650" s="2" t="s">
        <v>235</v>
      </c>
      <c r="C5650" s="1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  <c r="L5650" s="2" t="s">
        <v>11031</v>
      </c>
      <c r="M5650" s="2" t="s">
        <v>11031</v>
      </c>
      <c r="N5650" s="2" t="s">
        <v>11038</v>
      </c>
      <c r="O5650" s="2" t="s">
        <v>11037</v>
      </c>
      <c r="P5650" s="2" t="s">
        <v>11035</v>
      </c>
      <c r="Q5650" s="2">
        <f>AVERAGE(PerfRate[[#This Row],[EnvironmentSatisfaction]],PerfRate[[#This Row],[JobSatisfaction]],PerfRate[[#This Row],[RelationshipSatisfaction]])</f>
        <v>3.6666666666666665</v>
      </c>
      <c r="R5650" s="2">
        <f>PerfRate[[#This Row],[ManagerRating]] - PerfRate[[#This Row],[SelfRating]]</f>
        <v>0</v>
      </c>
    </row>
    <row r="5651" spans="1:18">
      <c r="A5651" s="2" t="s">
        <v>9958</v>
      </c>
      <c r="B5651" s="2" t="s">
        <v>1286</v>
      </c>
      <c r="C5651" s="1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  <c r="L5651" s="2" t="s">
        <v>11030</v>
      </c>
      <c r="M5651" s="2" t="s">
        <v>11030</v>
      </c>
      <c r="N5651" s="2" t="s">
        <v>11037</v>
      </c>
      <c r="O5651" s="2" t="s">
        <v>11037</v>
      </c>
      <c r="P5651" s="2" t="s">
        <v>11038</v>
      </c>
      <c r="Q5651" s="2">
        <f>AVERAGE(PerfRate[[#This Row],[EnvironmentSatisfaction]],PerfRate[[#This Row],[JobSatisfaction]],PerfRate[[#This Row],[RelationshipSatisfaction]])</f>
        <v>4.333333333333333</v>
      </c>
      <c r="R5651" s="2">
        <f>PerfRate[[#This Row],[ManagerRating]] - PerfRate[[#This Row],[SelfRating]]</f>
        <v>0</v>
      </c>
    </row>
    <row r="5652" spans="1:18">
      <c r="A5652" s="2" t="s">
        <v>9959</v>
      </c>
      <c r="B5652" s="2" t="s">
        <v>1215</v>
      </c>
      <c r="C5652" s="1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  <c r="L5652" s="2" t="s">
        <v>11029</v>
      </c>
      <c r="M5652" s="2" t="s">
        <v>11029</v>
      </c>
      <c r="N5652" s="2" t="s">
        <v>11037</v>
      </c>
      <c r="O5652" s="2" t="s">
        <v>11037</v>
      </c>
      <c r="P5652" s="2" t="s">
        <v>11036</v>
      </c>
      <c r="Q5652" s="2">
        <f>AVERAGE(PerfRate[[#This Row],[EnvironmentSatisfaction]],PerfRate[[#This Row],[JobSatisfaction]],PerfRate[[#This Row],[RelationshipSatisfaction]])</f>
        <v>3.6666666666666665</v>
      </c>
      <c r="R5652" s="2">
        <f>PerfRate[[#This Row],[ManagerRating]] - PerfRate[[#This Row],[SelfRating]]</f>
        <v>0</v>
      </c>
    </row>
    <row r="5653" spans="1:18">
      <c r="A5653" s="2" t="s">
        <v>9960</v>
      </c>
      <c r="B5653" s="2" t="s">
        <v>1084</v>
      </c>
      <c r="C5653" s="1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  <c r="L5653" s="2" t="s">
        <v>11031</v>
      </c>
      <c r="M5653" s="2" t="s">
        <v>11031</v>
      </c>
      <c r="N5653" s="2" t="s">
        <v>11034</v>
      </c>
      <c r="O5653" s="2" t="s">
        <v>11036</v>
      </c>
      <c r="P5653" s="2" t="s">
        <v>11037</v>
      </c>
      <c r="Q5653" s="2">
        <f>AVERAGE(PerfRate[[#This Row],[EnvironmentSatisfaction]],PerfRate[[#This Row],[JobSatisfaction]],PerfRate[[#This Row],[RelationshipSatisfaction]])</f>
        <v>2.6666666666666665</v>
      </c>
      <c r="R5653" s="2">
        <f>PerfRate[[#This Row],[ManagerRating]] - PerfRate[[#This Row],[SelfRating]]</f>
        <v>0</v>
      </c>
    </row>
    <row r="5654" spans="1:18">
      <c r="A5654" s="2" t="s">
        <v>9961</v>
      </c>
      <c r="B5654" s="2" t="s">
        <v>2128</v>
      </c>
      <c r="C5654" s="1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  <c r="L5654" s="2" t="s">
        <v>11029</v>
      </c>
      <c r="M5654" s="2" t="s">
        <v>11029</v>
      </c>
      <c r="N5654" s="2" t="s">
        <v>11036</v>
      </c>
      <c r="O5654" s="2" t="s">
        <v>11034</v>
      </c>
      <c r="P5654" s="2" t="s">
        <v>11037</v>
      </c>
      <c r="Q5654" s="2">
        <f>AVERAGE(PerfRate[[#This Row],[EnvironmentSatisfaction]],PerfRate[[#This Row],[JobSatisfaction]],PerfRate[[#This Row],[RelationshipSatisfaction]])</f>
        <v>2.6666666666666665</v>
      </c>
      <c r="R5654" s="2">
        <f>PerfRate[[#This Row],[ManagerRating]] - PerfRate[[#This Row],[SelfRating]]</f>
        <v>0</v>
      </c>
    </row>
    <row r="5655" spans="1:18">
      <c r="A5655" s="2" t="s">
        <v>9962</v>
      </c>
      <c r="B5655" s="2" t="s">
        <v>1892</v>
      </c>
      <c r="C5655" s="1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  <c r="L5655" s="2" t="s">
        <v>11029</v>
      </c>
      <c r="M5655" s="2" t="s">
        <v>11028</v>
      </c>
      <c r="N5655" s="2" t="s">
        <v>11037</v>
      </c>
      <c r="O5655" s="2" t="s">
        <v>11035</v>
      </c>
      <c r="P5655" s="2" t="s">
        <v>11036</v>
      </c>
      <c r="Q5655" s="2">
        <f>AVERAGE(PerfRate[[#This Row],[EnvironmentSatisfaction]],PerfRate[[#This Row],[JobSatisfaction]],PerfRate[[#This Row],[RelationshipSatisfaction]])</f>
        <v>3</v>
      </c>
      <c r="R5655" s="2">
        <f>PerfRate[[#This Row],[ManagerRating]] - PerfRate[[#This Row],[SelfRating]]</f>
        <v>-1</v>
      </c>
    </row>
    <row r="5656" spans="1:18">
      <c r="A5656" s="2" t="s">
        <v>9963</v>
      </c>
      <c r="B5656" s="2" t="s">
        <v>3267</v>
      </c>
      <c r="C5656" s="1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  <c r="L5656" s="2" t="s">
        <v>11030</v>
      </c>
      <c r="M5656" s="2" t="s">
        <v>11030</v>
      </c>
      <c r="N5656" s="2" t="s">
        <v>11037</v>
      </c>
      <c r="O5656" s="2" t="s">
        <v>11036</v>
      </c>
      <c r="P5656" s="2" t="s">
        <v>11036</v>
      </c>
      <c r="Q5656" s="2">
        <f>AVERAGE(PerfRate[[#This Row],[EnvironmentSatisfaction]],PerfRate[[#This Row],[JobSatisfaction]],PerfRate[[#This Row],[RelationshipSatisfaction]])</f>
        <v>3.3333333333333335</v>
      </c>
      <c r="R5656" s="2">
        <f>PerfRate[[#This Row],[ManagerRating]] - PerfRate[[#This Row],[SelfRating]]</f>
        <v>0</v>
      </c>
    </row>
    <row r="5657" spans="1:18">
      <c r="A5657" s="2" t="s">
        <v>9964</v>
      </c>
      <c r="B5657" s="2" t="s">
        <v>3365</v>
      </c>
      <c r="C5657" s="1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  <c r="L5657" s="2" t="s">
        <v>11029</v>
      </c>
      <c r="M5657" s="2" t="s">
        <v>11028</v>
      </c>
      <c r="N5657" s="2" t="s">
        <v>11036</v>
      </c>
      <c r="O5657" s="2" t="s">
        <v>11036</v>
      </c>
      <c r="P5657" s="2" t="s">
        <v>11037</v>
      </c>
      <c r="Q5657" s="2">
        <f>AVERAGE(PerfRate[[#This Row],[EnvironmentSatisfaction]],PerfRate[[#This Row],[JobSatisfaction]],PerfRate[[#This Row],[RelationshipSatisfaction]])</f>
        <v>3.3333333333333335</v>
      </c>
      <c r="R5657" s="2">
        <f>PerfRate[[#This Row],[ManagerRating]] - PerfRate[[#This Row],[SelfRating]]</f>
        <v>-1</v>
      </c>
    </row>
    <row r="5658" spans="1:18">
      <c r="A5658" s="2" t="s">
        <v>9965</v>
      </c>
      <c r="B5658" s="2" t="s">
        <v>916</v>
      </c>
      <c r="C5658" s="1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  <c r="L5658" s="2" t="s">
        <v>11030</v>
      </c>
      <c r="M5658" s="2" t="s">
        <v>11030</v>
      </c>
      <c r="N5658" s="2" t="s">
        <v>11037</v>
      </c>
      <c r="O5658" s="2" t="s">
        <v>11036</v>
      </c>
      <c r="P5658" s="2" t="s">
        <v>11038</v>
      </c>
      <c r="Q5658" s="2">
        <f>AVERAGE(PerfRate[[#This Row],[EnvironmentSatisfaction]],PerfRate[[#This Row],[JobSatisfaction]],PerfRate[[#This Row],[RelationshipSatisfaction]])</f>
        <v>4</v>
      </c>
      <c r="R5658" s="2">
        <f>PerfRate[[#This Row],[ManagerRating]] - PerfRate[[#This Row],[SelfRating]]</f>
        <v>0</v>
      </c>
    </row>
    <row r="5659" spans="1:18">
      <c r="A5659" s="2" t="s">
        <v>9966</v>
      </c>
      <c r="B5659" s="2" t="s">
        <v>777</v>
      </c>
      <c r="C5659" s="1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  <c r="L5659" s="2" t="s">
        <v>11031</v>
      </c>
      <c r="M5659" s="2" t="s">
        <v>11030</v>
      </c>
      <c r="N5659" s="2" t="s">
        <v>11038</v>
      </c>
      <c r="O5659" s="2" t="s">
        <v>11038</v>
      </c>
      <c r="P5659" s="2" t="s">
        <v>11037</v>
      </c>
      <c r="Q5659" s="2">
        <f>AVERAGE(PerfRate[[#This Row],[EnvironmentSatisfaction]],PerfRate[[#This Row],[JobSatisfaction]],PerfRate[[#This Row],[RelationshipSatisfaction]])</f>
        <v>4.666666666666667</v>
      </c>
      <c r="R5659" s="2">
        <f>PerfRate[[#This Row],[ManagerRating]] - PerfRate[[#This Row],[SelfRating]]</f>
        <v>-1</v>
      </c>
    </row>
    <row r="5660" spans="1:18">
      <c r="A5660" s="2" t="s">
        <v>9967</v>
      </c>
      <c r="B5660" s="2" t="s">
        <v>1160</v>
      </c>
      <c r="C5660" s="1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  <c r="L5660" s="2" t="s">
        <v>11031</v>
      </c>
      <c r="M5660" s="2" t="s">
        <v>11030</v>
      </c>
      <c r="N5660" s="2" t="s">
        <v>11036</v>
      </c>
      <c r="O5660" s="2" t="s">
        <v>11035</v>
      </c>
      <c r="P5660" s="2" t="s">
        <v>11035</v>
      </c>
      <c r="Q5660" s="2">
        <f>AVERAGE(PerfRate[[#This Row],[EnvironmentSatisfaction]],PerfRate[[#This Row],[JobSatisfaction]],PerfRate[[#This Row],[RelationshipSatisfaction]])</f>
        <v>2.3333333333333335</v>
      </c>
      <c r="R5660" s="2">
        <f>PerfRate[[#This Row],[ManagerRating]] - PerfRate[[#This Row],[SelfRating]]</f>
        <v>-1</v>
      </c>
    </row>
    <row r="5661" spans="1:18">
      <c r="A5661" s="2" t="s">
        <v>9968</v>
      </c>
      <c r="B5661" s="2" t="s">
        <v>1071</v>
      </c>
      <c r="C5661" s="1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  <c r="L5661" s="2" t="s">
        <v>11030</v>
      </c>
      <c r="M5661" s="2" t="s">
        <v>11030</v>
      </c>
      <c r="N5661" s="2" t="s">
        <v>11038</v>
      </c>
      <c r="O5661" s="2" t="s">
        <v>11035</v>
      </c>
      <c r="P5661" s="2" t="s">
        <v>11036</v>
      </c>
      <c r="Q5661" s="2">
        <f>AVERAGE(PerfRate[[#This Row],[EnvironmentSatisfaction]],PerfRate[[#This Row],[JobSatisfaction]],PerfRate[[#This Row],[RelationshipSatisfaction]])</f>
        <v>3.3333333333333335</v>
      </c>
      <c r="R5661" s="2">
        <f>PerfRate[[#This Row],[ManagerRating]] - PerfRate[[#This Row],[SelfRating]]</f>
        <v>0</v>
      </c>
    </row>
    <row r="5662" spans="1:18">
      <c r="A5662" s="2" t="s">
        <v>9969</v>
      </c>
      <c r="B5662" s="2" t="s">
        <v>1970</v>
      </c>
      <c r="C5662" s="1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  <c r="L5662" s="2" t="s">
        <v>11031</v>
      </c>
      <c r="M5662" s="2" t="s">
        <v>11031</v>
      </c>
      <c r="N5662" s="2" t="s">
        <v>11036</v>
      </c>
      <c r="O5662" s="2" t="s">
        <v>11036</v>
      </c>
      <c r="P5662" s="2" t="s">
        <v>11037</v>
      </c>
      <c r="Q5662" s="2">
        <f>AVERAGE(PerfRate[[#This Row],[EnvironmentSatisfaction]],PerfRate[[#This Row],[JobSatisfaction]],PerfRate[[#This Row],[RelationshipSatisfaction]])</f>
        <v>3.3333333333333335</v>
      </c>
      <c r="R5662" s="2">
        <f>PerfRate[[#This Row],[ManagerRating]] - PerfRate[[#This Row],[SelfRating]]</f>
        <v>0</v>
      </c>
    </row>
    <row r="5663" spans="1:18">
      <c r="A5663" s="2" t="s">
        <v>9970</v>
      </c>
      <c r="B5663" s="2" t="s">
        <v>1953</v>
      </c>
      <c r="C5663" s="1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  <c r="L5663" s="2" t="s">
        <v>11031</v>
      </c>
      <c r="M5663" s="2" t="s">
        <v>11030</v>
      </c>
      <c r="N5663" s="2" t="s">
        <v>11037</v>
      </c>
      <c r="O5663" s="2" t="s">
        <v>11037</v>
      </c>
      <c r="P5663" s="2" t="s">
        <v>11034</v>
      </c>
      <c r="Q5663" s="2">
        <f>AVERAGE(PerfRate[[#This Row],[EnvironmentSatisfaction]],PerfRate[[#This Row],[JobSatisfaction]],PerfRate[[#This Row],[RelationshipSatisfaction]])</f>
        <v>3</v>
      </c>
      <c r="R5663" s="2">
        <f>PerfRate[[#This Row],[ManagerRating]] - PerfRate[[#This Row],[SelfRating]]</f>
        <v>-1</v>
      </c>
    </row>
    <row r="5664" spans="1:18">
      <c r="A5664" s="2" t="s">
        <v>9971</v>
      </c>
      <c r="B5664" s="2" t="s">
        <v>3299</v>
      </c>
      <c r="C5664" s="1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  <c r="L5664" s="2" t="s">
        <v>11029</v>
      </c>
      <c r="M5664" s="2" t="s">
        <v>11028</v>
      </c>
      <c r="N5664" s="2" t="s">
        <v>11034</v>
      </c>
      <c r="O5664" s="2" t="s">
        <v>11037</v>
      </c>
      <c r="P5664" s="2" t="s">
        <v>11037</v>
      </c>
      <c r="Q5664" s="2">
        <f>AVERAGE(PerfRate[[#This Row],[EnvironmentSatisfaction]],PerfRate[[#This Row],[JobSatisfaction]],PerfRate[[#This Row],[RelationshipSatisfaction]])</f>
        <v>3</v>
      </c>
      <c r="R5664" s="2">
        <f>PerfRate[[#This Row],[ManagerRating]] - PerfRate[[#This Row],[SelfRating]]</f>
        <v>-1</v>
      </c>
    </row>
    <row r="5665" spans="1:18">
      <c r="A5665" s="2" t="s">
        <v>9972</v>
      </c>
      <c r="B5665" s="2" t="s">
        <v>2464</v>
      </c>
      <c r="C5665" s="1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  <c r="L5665" s="2" t="s">
        <v>11030</v>
      </c>
      <c r="M5665" s="2" t="s">
        <v>11029</v>
      </c>
      <c r="N5665" s="2" t="s">
        <v>11036</v>
      </c>
      <c r="O5665" s="2" t="s">
        <v>11035</v>
      </c>
      <c r="P5665" s="2" t="s">
        <v>11034</v>
      </c>
      <c r="Q5665" s="2">
        <f>AVERAGE(PerfRate[[#This Row],[EnvironmentSatisfaction]],PerfRate[[#This Row],[JobSatisfaction]],PerfRate[[#This Row],[RelationshipSatisfaction]])</f>
        <v>2</v>
      </c>
      <c r="R5665" s="2">
        <f>PerfRate[[#This Row],[ManagerRating]] - PerfRate[[#This Row],[SelfRating]]</f>
        <v>-1</v>
      </c>
    </row>
    <row r="5666" spans="1:18">
      <c r="A5666" s="2" t="s">
        <v>9973</v>
      </c>
      <c r="B5666" s="2" t="s">
        <v>3108</v>
      </c>
      <c r="C5666" s="1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  <c r="L5666" s="2" t="s">
        <v>11029</v>
      </c>
      <c r="M5666" s="2" t="s">
        <v>11029</v>
      </c>
      <c r="N5666" s="2" t="s">
        <v>11037</v>
      </c>
      <c r="O5666" s="2" t="s">
        <v>11034</v>
      </c>
      <c r="P5666" s="2" t="s">
        <v>11035</v>
      </c>
      <c r="Q5666" s="2">
        <f>AVERAGE(PerfRate[[#This Row],[EnvironmentSatisfaction]],PerfRate[[#This Row],[JobSatisfaction]],PerfRate[[#This Row],[RelationshipSatisfaction]])</f>
        <v>2.3333333333333335</v>
      </c>
      <c r="R5666" s="2">
        <f>PerfRate[[#This Row],[ManagerRating]] - PerfRate[[#This Row],[SelfRating]]</f>
        <v>0</v>
      </c>
    </row>
    <row r="5667" spans="1:18">
      <c r="A5667" s="2" t="s">
        <v>9974</v>
      </c>
      <c r="B5667" s="2" t="s">
        <v>317</v>
      </c>
      <c r="C5667" s="1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  <c r="L5667" s="2" t="s">
        <v>11029</v>
      </c>
      <c r="M5667" s="2" t="s">
        <v>11029</v>
      </c>
      <c r="N5667" s="2" t="s">
        <v>11035</v>
      </c>
      <c r="O5667" s="2" t="s">
        <v>11036</v>
      </c>
      <c r="P5667" s="2" t="s">
        <v>11036</v>
      </c>
      <c r="Q5667" s="2">
        <f>AVERAGE(PerfRate[[#This Row],[EnvironmentSatisfaction]],PerfRate[[#This Row],[JobSatisfaction]],PerfRate[[#This Row],[RelationshipSatisfaction]])</f>
        <v>2.6666666666666665</v>
      </c>
      <c r="R5667" s="2">
        <f>PerfRate[[#This Row],[ManagerRating]] - PerfRate[[#This Row],[SelfRating]]</f>
        <v>0</v>
      </c>
    </row>
    <row r="5668" spans="1:18">
      <c r="A5668" s="2" t="s">
        <v>9975</v>
      </c>
      <c r="B5668" s="2" t="s">
        <v>982</v>
      </c>
      <c r="C5668" s="1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  <c r="L5668" s="2" t="s">
        <v>11030</v>
      </c>
      <c r="M5668" s="2" t="s">
        <v>11029</v>
      </c>
      <c r="N5668" s="2" t="s">
        <v>11037</v>
      </c>
      <c r="O5668" s="2" t="s">
        <v>11035</v>
      </c>
      <c r="P5668" s="2" t="s">
        <v>11034</v>
      </c>
      <c r="Q5668" s="2">
        <f>AVERAGE(PerfRate[[#This Row],[EnvironmentSatisfaction]],PerfRate[[#This Row],[JobSatisfaction]],PerfRate[[#This Row],[RelationshipSatisfaction]])</f>
        <v>2.3333333333333335</v>
      </c>
      <c r="R5668" s="2">
        <f>PerfRate[[#This Row],[ManagerRating]] - PerfRate[[#This Row],[SelfRating]]</f>
        <v>-1</v>
      </c>
    </row>
    <row r="5669" spans="1:18">
      <c r="A5669" s="2" t="s">
        <v>9976</v>
      </c>
      <c r="B5669" s="2" t="s">
        <v>3926</v>
      </c>
      <c r="C5669" s="1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  <c r="L5669" s="2" t="s">
        <v>11029</v>
      </c>
      <c r="M5669" s="2" t="s">
        <v>11029</v>
      </c>
      <c r="N5669" s="2" t="s">
        <v>11035</v>
      </c>
      <c r="O5669" s="2" t="s">
        <v>11037</v>
      </c>
      <c r="P5669" s="2" t="s">
        <v>11037</v>
      </c>
      <c r="Q5669" s="2">
        <f>AVERAGE(PerfRate[[#This Row],[EnvironmentSatisfaction]],PerfRate[[#This Row],[JobSatisfaction]],PerfRate[[#This Row],[RelationshipSatisfaction]])</f>
        <v>3.3333333333333335</v>
      </c>
      <c r="R5669" s="2">
        <f>PerfRate[[#This Row],[ManagerRating]] - PerfRate[[#This Row],[SelfRating]]</f>
        <v>0</v>
      </c>
    </row>
    <row r="5670" spans="1:18">
      <c r="A5670" s="2" t="s">
        <v>9977</v>
      </c>
      <c r="B5670" s="2" t="s">
        <v>2517</v>
      </c>
      <c r="C5670" s="1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  <c r="L5670" s="2" t="s">
        <v>11030</v>
      </c>
      <c r="M5670" s="2" t="s">
        <v>11029</v>
      </c>
      <c r="N5670" s="2" t="s">
        <v>11036</v>
      </c>
      <c r="O5670" s="2" t="s">
        <v>11037</v>
      </c>
      <c r="P5670" s="2" t="s">
        <v>11035</v>
      </c>
      <c r="Q5670" s="2">
        <f>AVERAGE(PerfRate[[#This Row],[EnvironmentSatisfaction]],PerfRate[[#This Row],[JobSatisfaction]],PerfRate[[#This Row],[RelationshipSatisfaction]])</f>
        <v>3</v>
      </c>
      <c r="R5670" s="2">
        <f>PerfRate[[#This Row],[ManagerRating]] - PerfRate[[#This Row],[SelfRating]]</f>
        <v>-1</v>
      </c>
    </row>
    <row r="5671" spans="1:18">
      <c r="A5671" s="2" t="s">
        <v>9978</v>
      </c>
      <c r="B5671" s="2" t="s">
        <v>2846</v>
      </c>
      <c r="C5671" s="1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  <c r="L5671" s="2" t="s">
        <v>11031</v>
      </c>
      <c r="M5671" s="2" t="s">
        <v>11030</v>
      </c>
      <c r="N5671" s="2" t="s">
        <v>11036</v>
      </c>
      <c r="O5671" s="2" t="s">
        <v>11037</v>
      </c>
      <c r="P5671" s="2" t="s">
        <v>11036</v>
      </c>
      <c r="Q5671" s="2">
        <f>AVERAGE(PerfRate[[#This Row],[EnvironmentSatisfaction]],PerfRate[[#This Row],[JobSatisfaction]],PerfRate[[#This Row],[RelationshipSatisfaction]])</f>
        <v>3.3333333333333335</v>
      </c>
      <c r="R5671" s="2">
        <f>PerfRate[[#This Row],[ManagerRating]] - PerfRate[[#This Row],[SelfRating]]</f>
        <v>-1</v>
      </c>
    </row>
    <row r="5672" spans="1:18">
      <c r="A5672" s="2" t="s">
        <v>9979</v>
      </c>
      <c r="B5672" s="2" t="s">
        <v>455</v>
      </c>
      <c r="C5672" s="1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  <c r="L5672" s="2" t="s">
        <v>11030</v>
      </c>
      <c r="M5672" s="2" t="s">
        <v>11029</v>
      </c>
      <c r="N5672" s="2" t="s">
        <v>11037</v>
      </c>
      <c r="O5672" s="2" t="s">
        <v>11037</v>
      </c>
      <c r="P5672" s="2" t="s">
        <v>11036</v>
      </c>
      <c r="Q5672" s="2">
        <f>AVERAGE(PerfRate[[#This Row],[EnvironmentSatisfaction]],PerfRate[[#This Row],[JobSatisfaction]],PerfRate[[#This Row],[RelationshipSatisfaction]])</f>
        <v>3.6666666666666665</v>
      </c>
      <c r="R5672" s="2">
        <f>PerfRate[[#This Row],[ManagerRating]] - PerfRate[[#This Row],[SelfRating]]</f>
        <v>-1</v>
      </c>
    </row>
    <row r="5673" spans="1:18">
      <c r="A5673" s="2" t="s">
        <v>9980</v>
      </c>
      <c r="B5673" s="2" t="s">
        <v>1779</v>
      </c>
      <c r="C5673" s="1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  <c r="L5673" s="2" t="s">
        <v>11030</v>
      </c>
      <c r="M5673" s="2" t="s">
        <v>11029</v>
      </c>
      <c r="N5673" s="2" t="s">
        <v>11036</v>
      </c>
      <c r="O5673" s="2" t="s">
        <v>11038</v>
      </c>
      <c r="P5673" s="2" t="s">
        <v>11036</v>
      </c>
      <c r="Q5673" s="2">
        <f>AVERAGE(PerfRate[[#This Row],[EnvironmentSatisfaction]],PerfRate[[#This Row],[JobSatisfaction]],PerfRate[[#This Row],[RelationshipSatisfaction]])</f>
        <v>3.6666666666666665</v>
      </c>
      <c r="R5673" s="2">
        <f>PerfRate[[#This Row],[ManagerRating]] - PerfRate[[#This Row],[SelfRating]]</f>
        <v>-1</v>
      </c>
    </row>
    <row r="5674" spans="1:18">
      <c r="A5674" s="2" t="s">
        <v>9981</v>
      </c>
      <c r="B5674" s="2" t="s">
        <v>2940</v>
      </c>
      <c r="C5674" s="1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  <c r="L5674" s="2" t="s">
        <v>11029</v>
      </c>
      <c r="M5674" s="2" t="s">
        <v>11028</v>
      </c>
      <c r="N5674" s="2" t="s">
        <v>11038</v>
      </c>
      <c r="O5674" s="2" t="s">
        <v>11037</v>
      </c>
      <c r="P5674" s="2" t="s">
        <v>11038</v>
      </c>
      <c r="Q5674" s="2">
        <f>AVERAGE(PerfRate[[#This Row],[EnvironmentSatisfaction]],PerfRate[[#This Row],[JobSatisfaction]],PerfRate[[#This Row],[RelationshipSatisfaction]])</f>
        <v>4.666666666666667</v>
      </c>
      <c r="R5674" s="2">
        <f>PerfRate[[#This Row],[ManagerRating]] - PerfRate[[#This Row],[SelfRating]]</f>
        <v>-1</v>
      </c>
    </row>
    <row r="5675" spans="1:18">
      <c r="A5675" s="2" t="s">
        <v>9982</v>
      </c>
      <c r="B5675" s="2" t="s">
        <v>1520</v>
      </c>
      <c r="C5675" s="1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  <c r="L5675" s="2" t="s">
        <v>11029</v>
      </c>
      <c r="M5675" s="2" t="s">
        <v>11029</v>
      </c>
      <c r="N5675" s="2" t="s">
        <v>11037</v>
      </c>
      <c r="O5675" s="2" t="s">
        <v>11037</v>
      </c>
      <c r="P5675" s="2" t="s">
        <v>11035</v>
      </c>
      <c r="Q5675" s="2">
        <f>AVERAGE(PerfRate[[#This Row],[EnvironmentSatisfaction]],PerfRate[[#This Row],[JobSatisfaction]],PerfRate[[#This Row],[RelationshipSatisfaction]])</f>
        <v>3.3333333333333335</v>
      </c>
      <c r="R5675" s="2">
        <f>PerfRate[[#This Row],[ManagerRating]] - PerfRate[[#This Row],[SelfRating]]</f>
        <v>0</v>
      </c>
    </row>
    <row r="5676" spans="1:18">
      <c r="A5676" s="2" t="s">
        <v>9983</v>
      </c>
      <c r="B5676" s="2" t="s">
        <v>350</v>
      </c>
      <c r="C5676" s="1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  <c r="L5676" s="2" t="s">
        <v>11031</v>
      </c>
      <c r="M5676" s="2" t="s">
        <v>11031</v>
      </c>
      <c r="N5676" s="2" t="s">
        <v>11037</v>
      </c>
      <c r="O5676" s="2" t="s">
        <v>11037</v>
      </c>
      <c r="P5676" s="2" t="s">
        <v>11036</v>
      </c>
      <c r="Q5676" s="2">
        <f>AVERAGE(PerfRate[[#This Row],[EnvironmentSatisfaction]],PerfRate[[#This Row],[JobSatisfaction]],PerfRate[[#This Row],[RelationshipSatisfaction]])</f>
        <v>3.6666666666666665</v>
      </c>
      <c r="R5676" s="2">
        <f>PerfRate[[#This Row],[ManagerRating]] - PerfRate[[#This Row],[SelfRating]]</f>
        <v>0</v>
      </c>
    </row>
    <row r="5677" spans="1:18">
      <c r="A5677" s="2" t="s">
        <v>9984</v>
      </c>
      <c r="B5677" s="2" t="s">
        <v>631</v>
      </c>
      <c r="C5677" s="1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  <c r="L5677" s="2" t="s">
        <v>11031</v>
      </c>
      <c r="M5677" s="2" t="s">
        <v>11030</v>
      </c>
      <c r="N5677" s="2" t="s">
        <v>11036</v>
      </c>
      <c r="O5677" s="2" t="s">
        <v>11035</v>
      </c>
      <c r="P5677" s="2" t="s">
        <v>11038</v>
      </c>
      <c r="Q5677" s="2">
        <f>AVERAGE(PerfRate[[#This Row],[EnvironmentSatisfaction]],PerfRate[[#This Row],[JobSatisfaction]],PerfRate[[#This Row],[RelationshipSatisfaction]])</f>
        <v>3.3333333333333335</v>
      </c>
      <c r="R5677" s="2">
        <f>PerfRate[[#This Row],[ManagerRating]] - PerfRate[[#This Row],[SelfRating]]</f>
        <v>-1</v>
      </c>
    </row>
    <row r="5678" spans="1:18">
      <c r="A5678" s="2" t="s">
        <v>9985</v>
      </c>
      <c r="B5678" s="2" t="s">
        <v>744</v>
      </c>
      <c r="C5678" s="1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  <c r="L5678" s="2" t="s">
        <v>11030</v>
      </c>
      <c r="M5678" s="2" t="s">
        <v>11029</v>
      </c>
      <c r="N5678" s="2" t="s">
        <v>11037</v>
      </c>
      <c r="O5678" s="2" t="s">
        <v>11036</v>
      </c>
      <c r="P5678" s="2" t="s">
        <v>11035</v>
      </c>
      <c r="Q5678" s="2">
        <f>AVERAGE(PerfRate[[#This Row],[EnvironmentSatisfaction]],PerfRate[[#This Row],[JobSatisfaction]],PerfRate[[#This Row],[RelationshipSatisfaction]])</f>
        <v>3</v>
      </c>
      <c r="R5678" s="2">
        <f>PerfRate[[#This Row],[ManagerRating]] - PerfRate[[#This Row],[SelfRating]]</f>
        <v>-1</v>
      </c>
    </row>
    <row r="5679" spans="1:18">
      <c r="A5679" s="2" t="s">
        <v>9986</v>
      </c>
      <c r="B5679" s="2" t="s">
        <v>1535</v>
      </c>
      <c r="C5679" s="1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  <c r="L5679" s="2" t="s">
        <v>11030</v>
      </c>
      <c r="M5679" s="2" t="s">
        <v>11029</v>
      </c>
      <c r="N5679" s="2" t="s">
        <v>11036</v>
      </c>
      <c r="O5679" s="2" t="s">
        <v>11036</v>
      </c>
      <c r="P5679" s="2" t="s">
        <v>11036</v>
      </c>
      <c r="Q5679" s="2">
        <f>AVERAGE(PerfRate[[#This Row],[EnvironmentSatisfaction]],PerfRate[[#This Row],[JobSatisfaction]],PerfRate[[#This Row],[RelationshipSatisfaction]])</f>
        <v>3</v>
      </c>
      <c r="R5679" s="2">
        <f>PerfRate[[#This Row],[ManagerRating]] - PerfRate[[#This Row],[SelfRating]]</f>
        <v>-1</v>
      </c>
    </row>
    <row r="5680" spans="1:18">
      <c r="A5680" s="2" t="s">
        <v>9987</v>
      </c>
      <c r="B5680" s="2" t="s">
        <v>1730</v>
      </c>
      <c r="C5680" s="1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  <c r="L5680" s="2" t="s">
        <v>11030</v>
      </c>
      <c r="M5680" s="2" t="s">
        <v>11030</v>
      </c>
      <c r="N5680" s="2" t="s">
        <v>11037</v>
      </c>
      <c r="O5680" s="2" t="s">
        <v>11036</v>
      </c>
      <c r="P5680" s="2" t="s">
        <v>11035</v>
      </c>
      <c r="Q5680" s="2">
        <f>AVERAGE(PerfRate[[#This Row],[EnvironmentSatisfaction]],PerfRate[[#This Row],[JobSatisfaction]],PerfRate[[#This Row],[RelationshipSatisfaction]])</f>
        <v>3</v>
      </c>
      <c r="R5680" s="2">
        <f>PerfRate[[#This Row],[ManagerRating]] - PerfRate[[#This Row],[SelfRating]]</f>
        <v>0</v>
      </c>
    </row>
    <row r="5681" spans="1:18">
      <c r="A5681" s="2" t="s">
        <v>9988</v>
      </c>
      <c r="B5681" s="2" t="s">
        <v>3256</v>
      </c>
      <c r="C5681" s="1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  <c r="L5681" s="2" t="s">
        <v>11030</v>
      </c>
      <c r="M5681" s="2" t="s">
        <v>11029</v>
      </c>
      <c r="N5681" s="2" t="s">
        <v>11037</v>
      </c>
      <c r="O5681" s="2" t="s">
        <v>11038</v>
      </c>
      <c r="P5681" s="2" t="s">
        <v>11037</v>
      </c>
      <c r="Q5681" s="2">
        <f>AVERAGE(PerfRate[[#This Row],[EnvironmentSatisfaction]],PerfRate[[#This Row],[JobSatisfaction]],PerfRate[[#This Row],[RelationshipSatisfaction]])</f>
        <v>4.333333333333333</v>
      </c>
      <c r="R5681" s="2">
        <f>PerfRate[[#This Row],[ManagerRating]] - PerfRate[[#This Row],[SelfRating]]</f>
        <v>-1</v>
      </c>
    </row>
    <row r="5682" spans="1:18">
      <c r="A5682" s="2" t="s">
        <v>9989</v>
      </c>
      <c r="B5682" s="2" t="s">
        <v>556</v>
      </c>
      <c r="C5682" s="1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  <c r="L5682" s="2" t="s">
        <v>11030</v>
      </c>
      <c r="M5682" s="2" t="s">
        <v>11030</v>
      </c>
      <c r="N5682" s="2" t="s">
        <v>11037</v>
      </c>
      <c r="O5682" s="2" t="s">
        <v>11038</v>
      </c>
      <c r="P5682" s="2" t="s">
        <v>11038</v>
      </c>
      <c r="Q5682" s="2">
        <f>AVERAGE(PerfRate[[#This Row],[EnvironmentSatisfaction]],PerfRate[[#This Row],[JobSatisfaction]],PerfRate[[#This Row],[RelationshipSatisfaction]])</f>
        <v>4.666666666666667</v>
      </c>
      <c r="R5682" s="2">
        <f>PerfRate[[#This Row],[ManagerRating]] - PerfRate[[#This Row],[SelfRating]]</f>
        <v>0</v>
      </c>
    </row>
    <row r="5683" spans="1:18">
      <c r="A5683" s="2" t="s">
        <v>9990</v>
      </c>
      <c r="B5683" s="2" t="s">
        <v>1255</v>
      </c>
      <c r="C5683" s="1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  <c r="L5683" s="2" t="s">
        <v>11030</v>
      </c>
      <c r="M5683" s="2" t="s">
        <v>11029</v>
      </c>
      <c r="N5683" s="2" t="s">
        <v>11037</v>
      </c>
      <c r="O5683" s="2" t="s">
        <v>11036</v>
      </c>
      <c r="P5683" s="2" t="s">
        <v>11036</v>
      </c>
      <c r="Q5683" s="2">
        <f>AVERAGE(PerfRate[[#This Row],[EnvironmentSatisfaction]],PerfRate[[#This Row],[JobSatisfaction]],PerfRate[[#This Row],[RelationshipSatisfaction]])</f>
        <v>3.3333333333333335</v>
      </c>
      <c r="R5683" s="2">
        <f>PerfRate[[#This Row],[ManagerRating]] - PerfRate[[#This Row],[SelfRating]]</f>
        <v>-1</v>
      </c>
    </row>
    <row r="5684" spans="1:18">
      <c r="A5684" s="2" t="s">
        <v>9991</v>
      </c>
      <c r="B5684" s="2" t="s">
        <v>106</v>
      </c>
      <c r="C5684" s="1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  <c r="L5684" s="2" t="s">
        <v>11031</v>
      </c>
      <c r="M5684" s="2" t="s">
        <v>11030</v>
      </c>
      <c r="N5684" s="2" t="s">
        <v>11037</v>
      </c>
      <c r="O5684" s="2" t="s">
        <v>11035</v>
      </c>
      <c r="P5684" s="2" t="s">
        <v>11038</v>
      </c>
      <c r="Q5684" s="2">
        <f>AVERAGE(PerfRate[[#This Row],[EnvironmentSatisfaction]],PerfRate[[#This Row],[JobSatisfaction]],PerfRate[[#This Row],[RelationshipSatisfaction]])</f>
        <v>3.6666666666666665</v>
      </c>
      <c r="R5684" s="2">
        <f>PerfRate[[#This Row],[ManagerRating]] - PerfRate[[#This Row],[SelfRating]]</f>
        <v>-1</v>
      </c>
    </row>
    <row r="5685" spans="1:18">
      <c r="A5685" s="2" t="s">
        <v>9992</v>
      </c>
      <c r="B5685" s="2" t="s">
        <v>1791</v>
      </c>
      <c r="C5685" s="1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  <c r="L5685" s="2" t="s">
        <v>11030</v>
      </c>
      <c r="M5685" s="2" t="s">
        <v>11029</v>
      </c>
      <c r="N5685" s="2" t="s">
        <v>11038</v>
      </c>
      <c r="O5685" s="2" t="s">
        <v>11037</v>
      </c>
      <c r="P5685" s="2" t="s">
        <v>11035</v>
      </c>
      <c r="Q5685" s="2">
        <f>AVERAGE(PerfRate[[#This Row],[EnvironmentSatisfaction]],PerfRate[[#This Row],[JobSatisfaction]],PerfRate[[#This Row],[RelationshipSatisfaction]])</f>
        <v>3.6666666666666665</v>
      </c>
      <c r="R5685" s="2">
        <f>PerfRate[[#This Row],[ManagerRating]] - PerfRate[[#This Row],[SelfRating]]</f>
        <v>-1</v>
      </c>
    </row>
    <row r="5686" spans="1:18">
      <c r="A5686" s="2" t="s">
        <v>9993</v>
      </c>
      <c r="B5686" s="2" t="s">
        <v>1773</v>
      </c>
      <c r="C5686" s="1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  <c r="L5686" s="2" t="s">
        <v>11031</v>
      </c>
      <c r="M5686" s="2" t="s">
        <v>11031</v>
      </c>
      <c r="N5686" s="2" t="s">
        <v>11036</v>
      </c>
      <c r="O5686" s="2" t="s">
        <v>11037</v>
      </c>
      <c r="P5686" s="2" t="s">
        <v>11037</v>
      </c>
      <c r="Q5686" s="2">
        <f>AVERAGE(PerfRate[[#This Row],[EnvironmentSatisfaction]],PerfRate[[#This Row],[JobSatisfaction]],PerfRate[[#This Row],[RelationshipSatisfaction]])</f>
        <v>3.6666666666666665</v>
      </c>
      <c r="R5686" s="2">
        <f>PerfRate[[#This Row],[ManagerRating]] - PerfRate[[#This Row],[SelfRating]]</f>
        <v>0</v>
      </c>
    </row>
    <row r="5687" spans="1:18">
      <c r="A5687" s="2" t="s">
        <v>9994</v>
      </c>
      <c r="B5687" s="2" t="s">
        <v>2987</v>
      </c>
      <c r="C5687" s="1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  <c r="L5687" s="2" t="s">
        <v>11029</v>
      </c>
      <c r="M5687" s="2" t="s">
        <v>11028</v>
      </c>
      <c r="N5687" s="2" t="s">
        <v>11038</v>
      </c>
      <c r="O5687" s="2" t="s">
        <v>11037</v>
      </c>
      <c r="P5687" s="2" t="s">
        <v>11037</v>
      </c>
      <c r="Q5687" s="2">
        <f>AVERAGE(PerfRate[[#This Row],[EnvironmentSatisfaction]],PerfRate[[#This Row],[JobSatisfaction]],PerfRate[[#This Row],[RelationshipSatisfaction]])</f>
        <v>4.333333333333333</v>
      </c>
      <c r="R5687" s="2">
        <f>PerfRate[[#This Row],[ManagerRating]] - PerfRate[[#This Row],[SelfRating]]</f>
        <v>-1</v>
      </c>
    </row>
    <row r="5688" spans="1:18">
      <c r="A5688" s="2" t="s">
        <v>9995</v>
      </c>
      <c r="B5688" s="2" t="s">
        <v>131</v>
      </c>
      <c r="C5688" s="1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  <c r="L5688" s="2" t="s">
        <v>11029</v>
      </c>
      <c r="M5688" s="2" t="s">
        <v>11028</v>
      </c>
      <c r="N5688" s="2" t="s">
        <v>11036</v>
      </c>
      <c r="O5688" s="2" t="s">
        <v>11035</v>
      </c>
      <c r="P5688" s="2" t="s">
        <v>11035</v>
      </c>
      <c r="Q5688" s="2">
        <f>AVERAGE(PerfRate[[#This Row],[EnvironmentSatisfaction]],PerfRate[[#This Row],[JobSatisfaction]],PerfRate[[#This Row],[RelationshipSatisfaction]])</f>
        <v>2.3333333333333335</v>
      </c>
      <c r="R5688" s="2">
        <f>PerfRate[[#This Row],[ManagerRating]] - PerfRate[[#This Row],[SelfRating]]</f>
        <v>-1</v>
      </c>
    </row>
    <row r="5689" spans="1:18">
      <c r="A5689" s="2" t="s">
        <v>9996</v>
      </c>
      <c r="B5689" s="2" t="s">
        <v>835</v>
      </c>
      <c r="C5689" s="1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  <c r="L5689" s="2" t="s">
        <v>11030</v>
      </c>
      <c r="M5689" s="2" t="s">
        <v>11029</v>
      </c>
      <c r="N5689" s="2" t="s">
        <v>11037</v>
      </c>
      <c r="O5689" s="2" t="s">
        <v>11037</v>
      </c>
      <c r="P5689" s="2" t="s">
        <v>11038</v>
      </c>
      <c r="Q5689" s="2">
        <f>AVERAGE(PerfRate[[#This Row],[EnvironmentSatisfaction]],PerfRate[[#This Row],[JobSatisfaction]],PerfRate[[#This Row],[RelationshipSatisfaction]])</f>
        <v>4.333333333333333</v>
      </c>
      <c r="R5689" s="2">
        <f>PerfRate[[#This Row],[ManagerRating]] - PerfRate[[#This Row],[SelfRating]]</f>
        <v>-1</v>
      </c>
    </row>
    <row r="5690" spans="1:18">
      <c r="A5690" s="2" t="s">
        <v>9997</v>
      </c>
      <c r="B5690" s="2" t="s">
        <v>877</v>
      </c>
      <c r="C5690" s="1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  <c r="L5690" s="2" t="s">
        <v>11029</v>
      </c>
      <c r="M5690" s="2" t="s">
        <v>11028</v>
      </c>
      <c r="N5690" s="2" t="s">
        <v>11037</v>
      </c>
      <c r="O5690" s="2" t="s">
        <v>11037</v>
      </c>
      <c r="P5690" s="2" t="s">
        <v>11038</v>
      </c>
      <c r="Q5690" s="2">
        <f>AVERAGE(PerfRate[[#This Row],[EnvironmentSatisfaction]],PerfRate[[#This Row],[JobSatisfaction]],PerfRate[[#This Row],[RelationshipSatisfaction]])</f>
        <v>4.333333333333333</v>
      </c>
      <c r="R5690" s="2">
        <f>PerfRate[[#This Row],[ManagerRating]] - PerfRate[[#This Row],[SelfRating]]</f>
        <v>-1</v>
      </c>
    </row>
    <row r="5691" spans="1:18">
      <c r="A5691" s="2" t="s">
        <v>9998</v>
      </c>
      <c r="B5691" s="2" t="s">
        <v>634</v>
      </c>
      <c r="C5691" s="1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  <c r="L5691" s="2" t="s">
        <v>11029</v>
      </c>
      <c r="M5691" s="2" t="s">
        <v>11028</v>
      </c>
      <c r="N5691" s="2" t="s">
        <v>11036</v>
      </c>
      <c r="O5691" s="2" t="s">
        <v>11037</v>
      </c>
      <c r="P5691" s="2" t="s">
        <v>11038</v>
      </c>
      <c r="Q5691" s="2">
        <f>AVERAGE(PerfRate[[#This Row],[EnvironmentSatisfaction]],PerfRate[[#This Row],[JobSatisfaction]],PerfRate[[#This Row],[RelationshipSatisfaction]])</f>
        <v>4</v>
      </c>
      <c r="R5691" s="2">
        <f>PerfRate[[#This Row],[ManagerRating]] - PerfRate[[#This Row],[SelfRating]]</f>
        <v>-1</v>
      </c>
    </row>
    <row r="5692" spans="1:18">
      <c r="A5692" s="2" t="s">
        <v>9999</v>
      </c>
      <c r="B5692" s="2" t="s">
        <v>2103</v>
      </c>
      <c r="C5692" s="1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  <c r="L5692" s="2" t="s">
        <v>11029</v>
      </c>
      <c r="M5692" s="2" t="s">
        <v>11029</v>
      </c>
      <c r="N5692" s="2" t="s">
        <v>11037</v>
      </c>
      <c r="O5692" s="2" t="s">
        <v>11038</v>
      </c>
      <c r="P5692" s="2" t="s">
        <v>11037</v>
      </c>
      <c r="Q5692" s="2">
        <f>AVERAGE(PerfRate[[#This Row],[EnvironmentSatisfaction]],PerfRate[[#This Row],[JobSatisfaction]],PerfRate[[#This Row],[RelationshipSatisfaction]])</f>
        <v>4.333333333333333</v>
      </c>
      <c r="R5692" s="2">
        <f>PerfRate[[#This Row],[ManagerRating]] - PerfRate[[#This Row],[SelfRating]]</f>
        <v>0</v>
      </c>
    </row>
    <row r="5693" spans="1:18">
      <c r="A5693" s="2" t="s">
        <v>10000</v>
      </c>
      <c r="B5693" s="2" t="s">
        <v>1497</v>
      </c>
      <c r="C5693" s="1">
        <v>44567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  <c r="L5693" s="2" t="s">
        <v>11030</v>
      </c>
      <c r="M5693" s="2" t="s">
        <v>11029</v>
      </c>
      <c r="N5693" s="2" t="s">
        <v>11037</v>
      </c>
      <c r="O5693" s="2" t="s">
        <v>11037</v>
      </c>
      <c r="P5693" s="2" t="s">
        <v>11037</v>
      </c>
      <c r="Q5693" s="2">
        <f>AVERAGE(PerfRate[[#This Row],[EnvironmentSatisfaction]],PerfRate[[#This Row],[JobSatisfaction]],PerfRate[[#This Row],[RelationshipSatisfaction]])</f>
        <v>4</v>
      </c>
      <c r="R5693" s="2">
        <f>PerfRate[[#This Row],[ManagerRating]] - PerfRate[[#This Row],[SelfRating]]</f>
        <v>-1</v>
      </c>
    </row>
    <row r="5694" spans="1:18">
      <c r="A5694" s="2" t="s">
        <v>10001</v>
      </c>
      <c r="B5694" s="2" t="s">
        <v>791</v>
      </c>
      <c r="C5694" s="1">
        <v>44598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  <c r="L5694" s="2" t="s">
        <v>11030</v>
      </c>
      <c r="M5694" s="2" t="s">
        <v>11030</v>
      </c>
      <c r="N5694" s="2" t="s">
        <v>11038</v>
      </c>
      <c r="O5694" s="2" t="s">
        <v>11036</v>
      </c>
      <c r="P5694" s="2" t="s">
        <v>11035</v>
      </c>
      <c r="Q5694" s="2">
        <f>AVERAGE(PerfRate[[#This Row],[EnvironmentSatisfaction]],PerfRate[[#This Row],[JobSatisfaction]],PerfRate[[#This Row],[RelationshipSatisfaction]])</f>
        <v>3.3333333333333335</v>
      </c>
      <c r="R5694" s="2">
        <f>PerfRate[[#This Row],[ManagerRating]] - PerfRate[[#This Row],[SelfRating]]</f>
        <v>0</v>
      </c>
    </row>
    <row r="5695" spans="1:18">
      <c r="A5695" s="2" t="s">
        <v>10002</v>
      </c>
      <c r="B5695" s="2" t="s">
        <v>1968</v>
      </c>
      <c r="C5695" s="1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  <c r="L5695" s="2" t="s">
        <v>11031</v>
      </c>
      <c r="M5695" s="2" t="s">
        <v>11031</v>
      </c>
      <c r="N5695" s="2" t="s">
        <v>11038</v>
      </c>
      <c r="O5695" s="2" t="s">
        <v>11035</v>
      </c>
      <c r="P5695" s="2" t="s">
        <v>11035</v>
      </c>
      <c r="Q5695" s="2">
        <f>AVERAGE(PerfRate[[#This Row],[EnvironmentSatisfaction]],PerfRate[[#This Row],[JobSatisfaction]],PerfRate[[#This Row],[RelationshipSatisfaction]])</f>
        <v>3</v>
      </c>
      <c r="R5695" s="2">
        <f>PerfRate[[#This Row],[ManagerRating]] - PerfRate[[#This Row],[SelfRating]]</f>
        <v>0</v>
      </c>
    </row>
    <row r="5696" spans="1:18">
      <c r="A5696" s="2" t="s">
        <v>10003</v>
      </c>
      <c r="B5696" s="2" t="s">
        <v>4263</v>
      </c>
      <c r="C5696" s="1">
        <v>44626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  <c r="L5696" s="2" t="s">
        <v>11029</v>
      </c>
      <c r="M5696" s="2" t="s">
        <v>11029</v>
      </c>
      <c r="N5696" s="2" t="s">
        <v>11038</v>
      </c>
      <c r="O5696" s="2" t="s">
        <v>11036</v>
      </c>
      <c r="P5696" s="2" t="s">
        <v>11038</v>
      </c>
      <c r="Q5696" s="2">
        <f>AVERAGE(PerfRate[[#This Row],[EnvironmentSatisfaction]],PerfRate[[#This Row],[JobSatisfaction]],PerfRate[[#This Row],[RelationshipSatisfaction]])</f>
        <v>4.333333333333333</v>
      </c>
      <c r="R5696" s="2">
        <f>PerfRate[[#This Row],[ManagerRating]] - PerfRate[[#This Row],[SelfRating]]</f>
        <v>0</v>
      </c>
    </row>
    <row r="5697" spans="1:18">
      <c r="A5697" s="2" t="s">
        <v>10004</v>
      </c>
      <c r="B5697" s="2" t="s">
        <v>437</v>
      </c>
      <c r="C5697" s="1">
        <v>44657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  <c r="L5697" s="2" t="s">
        <v>11029</v>
      </c>
      <c r="M5697" s="2" t="s">
        <v>11029</v>
      </c>
      <c r="N5697" s="2" t="s">
        <v>11036</v>
      </c>
      <c r="O5697" s="2" t="s">
        <v>11035</v>
      </c>
      <c r="P5697" s="2" t="s">
        <v>11038</v>
      </c>
      <c r="Q5697" s="2">
        <f>AVERAGE(PerfRate[[#This Row],[EnvironmentSatisfaction]],PerfRate[[#This Row],[JobSatisfaction]],PerfRate[[#This Row],[RelationshipSatisfaction]])</f>
        <v>3.3333333333333335</v>
      </c>
      <c r="R5697" s="2">
        <f>PerfRate[[#This Row],[ManagerRating]] - PerfRate[[#This Row],[SelfRating]]</f>
        <v>0</v>
      </c>
    </row>
    <row r="5698" spans="1:18">
      <c r="A5698" s="2" t="s">
        <v>10005</v>
      </c>
      <c r="B5698" s="2" t="s">
        <v>2318</v>
      </c>
      <c r="C5698" s="1">
        <v>44657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  <c r="L5698" s="2" t="s">
        <v>11029</v>
      </c>
      <c r="M5698" s="2" t="s">
        <v>11029</v>
      </c>
      <c r="N5698" s="2" t="s">
        <v>11037</v>
      </c>
      <c r="O5698" s="2" t="s">
        <v>11036</v>
      </c>
      <c r="P5698" s="2" t="s">
        <v>11037</v>
      </c>
      <c r="Q5698" s="2">
        <f>AVERAGE(PerfRate[[#This Row],[EnvironmentSatisfaction]],PerfRate[[#This Row],[JobSatisfaction]],PerfRate[[#This Row],[RelationshipSatisfaction]])</f>
        <v>3.6666666666666665</v>
      </c>
      <c r="R5698" s="2">
        <f>PerfRate[[#This Row],[ManagerRating]] - PerfRate[[#This Row],[SelfRating]]</f>
        <v>0</v>
      </c>
    </row>
    <row r="5699" spans="1:18">
      <c r="A5699" s="2" t="s">
        <v>10006</v>
      </c>
      <c r="B5699" s="2" t="s">
        <v>3673</v>
      </c>
      <c r="C5699" s="1">
        <v>44687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  <c r="L5699" s="2" t="s">
        <v>11030</v>
      </c>
      <c r="M5699" s="2" t="s">
        <v>11030</v>
      </c>
      <c r="N5699" s="2" t="s">
        <v>11034</v>
      </c>
      <c r="O5699" s="2" t="s">
        <v>11035</v>
      </c>
      <c r="P5699" s="2" t="s">
        <v>11036</v>
      </c>
      <c r="Q5699" s="2">
        <f>AVERAGE(PerfRate[[#This Row],[EnvironmentSatisfaction]],PerfRate[[#This Row],[JobSatisfaction]],PerfRate[[#This Row],[RelationshipSatisfaction]])</f>
        <v>2</v>
      </c>
      <c r="R5699" s="2">
        <f>PerfRate[[#This Row],[ManagerRating]] - PerfRate[[#This Row],[SelfRating]]</f>
        <v>0</v>
      </c>
    </row>
    <row r="5700" spans="1:18">
      <c r="A5700" s="2" t="s">
        <v>10007</v>
      </c>
      <c r="B5700" s="2" t="s">
        <v>844</v>
      </c>
      <c r="C5700" s="1">
        <v>44687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  <c r="L5700" s="2" t="s">
        <v>11029</v>
      </c>
      <c r="M5700" s="2" t="s">
        <v>11028</v>
      </c>
      <c r="N5700" s="2" t="s">
        <v>11034</v>
      </c>
      <c r="O5700" s="2" t="s">
        <v>11035</v>
      </c>
      <c r="P5700" s="2" t="s">
        <v>11035</v>
      </c>
      <c r="Q5700" s="2">
        <f>AVERAGE(PerfRate[[#This Row],[EnvironmentSatisfaction]],PerfRate[[#This Row],[JobSatisfaction]],PerfRate[[#This Row],[RelationshipSatisfaction]])</f>
        <v>1.6666666666666667</v>
      </c>
      <c r="R5700" s="2">
        <f>PerfRate[[#This Row],[ManagerRating]] - PerfRate[[#This Row],[SelfRating]]</f>
        <v>-1</v>
      </c>
    </row>
    <row r="5701" spans="1:18">
      <c r="A5701" s="2" t="s">
        <v>10008</v>
      </c>
      <c r="B5701" s="2" t="s">
        <v>741</v>
      </c>
      <c r="C5701" s="1">
        <v>44687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  <c r="L5701" s="2" t="s">
        <v>11030</v>
      </c>
      <c r="M5701" s="2" t="s">
        <v>11029</v>
      </c>
      <c r="N5701" s="2" t="s">
        <v>11036</v>
      </c>
      <c r="O5701" s="2" t="s">
        <v>11034</v>
      </c>
      <c r="P5701" s="2" t="s">
        <v>11037</v>
      </c>
      <c r="Q5701" s="2">
        <f>AVERAGE(PerfRate[[#This Row],[EnvironmentSatisfaction]],PerfRate[[#This Row],[JobSatisfaction]],PerfRate[[#This Row],[RelationshipSatisfaction]])</f>
        <v>2.6666666666666665</v>
      </c>
      <c r="R5701" s="2">
        <f>PerfRate[[#This Row],[ManagerRating]] - PerfRate[[#This Row],[SelfRating]]</f>
        <v>-1</v>
      </c>
    </row>
    <row r="5702" spans="1:18">
      <c r="A5702" s="2" t="s">
        <v>10009</v>
      </c>
      <c r="B5702" s="2" t="s">
        <v>3001</v>
      </c>
      <c r="C5702" s="1">
        <v>44687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  <c r="L5702" s="2" t="s">
        <v>11031</v>
      </c>
      <c r="M5702" s="2" t="s">
        <v>11031</v>
      </c>
      <c r="N5702" s="2" t="s">
        <v>11036</v>
      </c>
      <c r="O5702" s="2" t="s">
        <v>11035</v>
      </c>
      <c r="P5702" s="2" t="s">
        <v>11038</v>
      </c>
      <c r="Q5702" s="2">
        <f>AVERAGE(PerfRate[[#This Row],[EnvironmentSatisfaction]],PerfRate[[#This Row],[JobSatisfaction]],PerfRate[[#This Row],[RelationshipSatisfaction]])</f>
        <v>3.3333333333333335</v>
      </c>
      <c r="R5702" s="2">
        <f>PerfRate[[#This Row],[ManagerRating]] - PerfRate[[#This Row],[SelfRating]]</f>
        <v>0</v>
      </c>
    </row>
    <row r="5703" spans="1:18">
      <c r="A5703" s="2" t="s">
        <v>10010</v>
      </c>
      <c r="B5703" s="2" t="s">
        <v>2789</v>
      </c>
      <c r="C5703" s="1">
        <v>44687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  <c r="L5703" s="2" t="s">
        <v>11030</v>
      </c>
      <c r="M5703" s="2" t="s">
        <v>11029</v>
      </c>
      <c r="N5703" s="2" t="s">
        <v>11036</v>
      </c>
      <c r="O5703" s="2" t="s">
        <v>11036</v>
      </c>
      <c r="P5703" s="2" t="s">
        <v>11035</v>
      </c>
      <c r="Q5703" s="2">
        <f>AVERAGE(PerfRate[[#This Row],[EnvironmentSatisfaction]],PerfRate[[#This Row],[JobSatisfaction]],PerfRate[[#This Row],[RelationshipSatisfaction]])</f>
        <v>2.6666666666666665</v>
      </c>
      <c r="R5703" s="2">
        <f>PerfRate[[#This Row],[ManagerRating]] - PerfRate[[#This Row],[SelfRating]]</f>
        <v>-1</v>
      </c>
    </row>
    <row r="5704" spans="1:18">
      <c r="A5704" s="2" t="s">
        <v>10011</v>
      </c>
      <c r="B5704" s="2" t="s">
        <v>3177</v>
      </c>
      <c r="C5704" s="1">
        <v>44687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  <c r="L5704" s="2" t="s">
        <v>11029</v>
      </c>
      <c r="M5704" s="2" t="s">
        <v>11028</v>
      </c>
      <c r="N5704" s="2" t="s">
        <v>11036</v>
      </c>
      <c r="O5704" s="2" t="s">
        <v>11038</v>
      </c>
      <c r="P5704" s="2" t="s">
        <v>11036</v>
      </c>
      <c r="Q5704" s="2">
        <f>AVERAGE(PerfRate[[#This Row],[EnvironmentSatisfaction]],PerfRate[[#This Row],[JobSatisfaction]],PerfRate[[#This Row],[RelationshipSatisfaction]])</f>
        <v>3.6666666666666665</v>
      </c>
      <c r="R5704" s="2">
        <f>PerfRate[[#This Row],[ManagerRating]] - PerfRate[[#This Row],[SelfRating]]</f>
        <v>-1</v>
      </c>
    </row>
    <row r="5705" spans="1:18">
      <c r="A5705" s="2" t="s">
        <v>10012</v>
      </c>
      <c r="B5705" s="2" t="s">
        <v>1541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  <c r="L5705" s="2" t="s">
        <v>11030</v>
      </c>
      <c r="M5705" s="2" t="s">
        <v>11030</v>
      </c>
      <c r="N5705" s="2" t="s">
        <v>11036</v>
      </c>
      <c r="O5705" s="2" t="s">
        <v>11035</v>
      </c>
      <c r="P5705" s="2" t="s">
        <v>11036</v>
      </c>
      <c r="Q5705" s="2">
        <f>AVERAGE(PerfRate[[#This Row],[EnvironmentSatisfaction]],PerfRate[[#This Row],[JobSatisfaction]],PerfRate[[#This Row],[RelationshipSatisfaction]])</f>
        <v>2.6666666666666665</v>
      </c>
      <c r="R5705" s="2">
        <f>PerfRate[[#This Row],[ManagerRating]] - PerfRate[[#This Row],[SelfRating]]</f>
        <v>0</v>
      </c>
    </row>
    <row r="5706" spans="1:18">
      <c r="A5706" s="2" t="s">
        <v>10013</v>
      </c>
      <c r="B5706" s="2" t="s">
        <v>4002</v>
      </c>
      <c r="C5706" s="1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  <c r="L5706" s="2" t="s">
        <v>11030</v>
      </c>
      <c r="M5706" s="2" t="s">
        <v>11029</v>
      </c>
      <c r="N5706" s="2" t="s">
        <v>11036</v>
      </c>
      <c r="O5706" s="2" t="s">
        <v>11038</v>
      </c>
      <c r="P5706" s="2" t="s">
        <v>11035</v>
      </c>
      <c r="Q5706" s="2">
        <f>AVERAGE(PerfRate[[#This Row],[EnvironmentSatisfaction]],PerfRate[[#This Row],[JobSatisfaction]],PerfRate[[#This Row],[RelationshipSatisfaction]])</f>
        <v>3.3333333333333335</v>
      </c>
      <c r="R5706" s="2">
        <f>PerfRate[[#This Row],[ManagerRating]] - PerfRate[[#This Row],[SelfRating]]</f>
        <v>-1</v>
      </c>
    </row>
    <row r="5707" spans="1:18">
      <c r="A5707" s="2" t="s">
        <v>10014</v>
      </c>
      <c r="B5707" s="2" t="s">
        <v>2172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  <c r="L5707" s="2" t="s">
        <v>11030</v>
      </c>
      <c r="M5707" s="2" t="s">
        <v>11029</v>
      </c>
      <c r="N5707" s="2" t="s">
        <v>11037</v>
      </c>
      <c r="O5707" s="2" t="s">
        <v>11038</v>
      </c>
      <c r="P5707" s="2" t="s">
        <v>11036</v>
      </c>
      <c r="Q5707" s="2">
        <f>AVERAGE(PerfRate[[#This Row],[EnvironmentSatisfaction]],PerfRate[[#This Row],[JobSatisfaction]],PerfRate[[#This Row],[RelationshipSatisfaction]])</f>
        <v>4</v>
      </c>
      <c r="R5707" s="2">
        <f>PerfRate[[#This Row],[ManagerRating]] - PerfRate[[#This Row],[SelfRating]]</f>
        <v>-1</v>
      </c>
    </row>
    <row r="5708" spans="1:18">
      <c r="A5708" s="2" t="s">
        <v>10015</v>
      </c>
      <c r="B5708" s="2" t="s">
        <v>3183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  <c r="L5708" s="2" t="s">
        <v>11031</v>
      </c>
      <c r="M5708" s="2" t="s">
        <v>11031</v>
      </c>
      <c r="N5708" s="2" t="s">
        <v>11036</v>
      </c>
      <c r="O5708" s="2" t="s">
        <v>11037</v>
      </c>
      <c r="P5708" s="2" t="s">
        <v>11036</v>
      </c>
      <c r="Q5708" s="2">
        <f>AVERAGE(PerfRate[[#This Row],[EnvironmentSatisfaction]],PerfRate[[#This Row],[JobSatisfaction]],PerfRate[[#This Row],[RelationshipSatisfaction]])</f>
        <v>3.3333333333333335</v>
      </c>
      <c r="R5708" s="2">
        <f>PerfRate[[#This Row],[ManagerRating]] - PerfRate[[#This Row],[SelfRating]]</f>
        <v>0</v>
      </c>
    </row>
    <row r="5709" spans="1:18">
      <c r="A5709" s="2" t="s">
        <v>10016</v>
      </c>
      <c r="B5709" s="2" t="s">
        <v>1183</v>
      </c>
      <c r="C5709" s="1">
        <v>44748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  <c r="L5709" s="2" t="s">
        <v>11030</v>
      </c>
      <c r="M5709" s="2" t="s">
        <v>11029</v>
      </c>
      <c r="N5709" s="2" t="s">
        <v>11036</v>
      </c>
      <c r="O5709" s="2" t="s">
        <v>11036</v>
      </c>
      <c r="P5709" s="2" t="s">
        <v>11037</v>
      </c>
      <c r="Q5709" s="2">
        <f>AVERAGE(PerfRate[[#This Row],[EnvironmentSatisfaction]],PerfRate[[#This Row],[JobSatisfaction]],PerfRate[[#This Row],[RelationshipSatisfaction]])</f>
        <v>3.3333333333333335</v>
      </c>
      <c r="R5709" s="2">
        <f>PerfRate[[#This Row],[ManagerRating]] - PerfRate[[#This Row],[SelfRating]]</f>
        <v>-1</v>
      </c>
    </row>
    <row r="5710" spans="1:18">
      <c r="A5710" s="2" t="s">
        <v>10017</v>
      </c>
      <c r="B5710" s="2" t="s">
        <v>2284</v>
      </c>
      <c r="C5710" s="1">
        <v>44748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  <c r="L5710" s="2" t="s">
        <v>11029</v>
      </c>
      <c r="M5710" s="2" t="s">
        <v>11028</v>
      </c>
      <c r="N5710" s="2" t="s">
        <v>11035</v>
      </c>
      <c r="O5710" s="2" t="s">
        <v>11035</v>
      </c>
      <c r="P5710" s="2" t="s">
        <v>11037</v>
      </c>
      <c r="Q5710" s="2">
        <f>AVERAGE(PerfRate[[#This Row],[EnvironmentSatisfaction]],PerfRate[[#This Row],[JobSatisfaction]],PerfRate[[#This Row],[RelationshipSatisfaction]])</f>
        <v>2.6666666666666665</v>
      </c>
      <c r="R5710" s="2">
        <f>PerfRate[[#This Row],[ManagerRating]] - PerfRate[[#This Row],[SelfRating]]</f>
        <v>-1</v>
      </c>
    </row>
    <row r="5711" spans="1:18">
      <c r="A5711" s="2" t="s">
        <v>10018</v>
      </c>
      <c r="B5711" s="2" t="s">
        <v>3528</v>
      </c>
      <c r="C5711" s="1">
        <v>44748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  <c r="L5711" s="2" t="s">
        <v>11031</v>
      </c>
      <c r="M5711" s="2" t="s">
        <v>11031</v>
      </c>
      <c r="N5711" s="2" t="s">
        <v>11037</v>
      </c>
      <c r="O5711" s="2" t="s">
        <v>11034</v>
      </c>
      <c r="P5711" s="2" t="s">
        <v>11037</v>
      </c>
      <c r="Q5711" s="2">
        <f>AVERAGE(PerfRate[[#This Row],[EnvironmentSatisfaction]],PerfRate[[#This Row],[JobSatisfaction]],PerfRate[[#This Row],[RelationshipSatisfaction]])</f>
        <v>3</v>
      </c>
      <c r="R5711" s="2">
        <f>PerfRate[[#This Row],[ManagerRating]] - PerfRate[[#This Row],[SelfRating]]</f>
        <v>0</v>
      </c>
    </row>
    <row r="5712" spans="1:18">
      <c r="A5712" s="2" t="s">
        <v>10019</v>
      </c>
      <c r="B5712" s="2" t="s">
        <v>3525</v>
      </c>
      <c r="C5712" s="1">
        <v>44748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  <c r="L5712" s="2" t="s">
        <v>11029</v>
      </c>
      <c r="M5712" s="2" t="s">
        <v>11029</v>
      </c>
      <c r="N5712" s="2" t="s">
        <v>11037</v>
      </c>
      <c r="O5712" s="2" t="s">
        <v>11037</v>
      </c>
      <c r="P5712" s="2" t="s">
        <v>11037</v>
      </c>
      <c r="Q5712" s="2">
        <f>AVERAGE(PerfRate[[#This Row],[EnvironmentSatisfaction]],PerfRate[[#This Row],[JobSatisfaction]],PerfRate[[#This Row],[RelationshipSatisfaction]])</f>
        <v>4</v>
      </c>
      <c r="R5712" s="2">
        <f>PerfRate[[#This Row],[ManagerRating]] - PerfRate[[#This Row],[SelfRating]]</f>
        <v>0</v>
      </c>
    </row>
    <row r="5713" spans="1:18">
      <c r="A5713" s="2" t="s">
        <v>10020</v>
      </c>
      <c r="B5713" s="2" t="s">
        <v>416</v>
      </c>
      <c r="C5713" s="1">
        <v>44779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  <c r="L5713" s="2" t="s">
        <v>11030</v>
      </c>
      <c r="M5713" s="2" t="s">
        <v>11029</v>
      </c>
      <c r="N5713" s="2" t="s">
        <v>11038</v>
      </c>
      <c r="O5713" s="2" t="s">
        <v>11035</v>
      </c>
      <c r="P5713" s="2" t="s">
        <v>11037</v>
      </c>
      <c r="Q5713" s="2">
        <f>AVERAGE(PerfRate[[#This Row],[EnvironmentSatisfaction]],PerfRate[[#This Row],[JobSatisfaction]],PerfRate[[#This Row],[RelationshipSatisfaction]])</f>
        <v>3.6666666666666665</v>
      </c>
      <c r="R5713" s="2">
        <f>PerfRate[[#This Row],[ManagerRating]] - PerfRate[[#This Row],[SelfRating]]</f>
        <v>-1</v>
      </c>
    </row>
    <row r="5714" spans="1:18">
      <c r="A5714" s="2" t="s">
        <v>10021</v>
      </c>
      <c r="B5714" s="2" t="s">
        <v>229</v>
      </c>
      <c r="C5714" s="1">
        <v>44779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  <c r="L5714" s="2" t="s">
        <v>11030</v>
      </c>
      <c r="M5714" s="2" t="s">
        <v>11029</v>
      </c>
      <c r="N5714" s="2" t="s">
        <v>11038</v>
      </c>
      <c r="O5714" s="2" t="s">
        <v>11037</v>
      </c>
      <c r="P5714" s="2" t="s">
        <v>11038</v>
      </c>
      <c r="Q5714" s="2">
        <f>AVERAGE(PerfRate[[#This Row],[EnvironmentSatisfaction]],PerfRate[[#This Row],[JobSatisfaction]],PerfRate[[#This Row],[RelationshipSatisfaction]])</f>
        <v>4.666666666666667</v>
      </c>
      <c r="R5714" s="2">
        <f>PerfRate[[#This Row],[ManagerRating]] - PerfRate[[#This Row],[SelfRating]]</f>
        <v>-1</v>
      </c>
    </row>
    <row r="5715" spans="1:18">
      <c r="A5715" s="2" t="s">
        <v>10022</v>
      </c>
      <c r="B5715" s="2" t="s">
        <v>3151</v>
      </c>
      <c r="C5715" s="1">
        <v>44779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  <c r="L5715" s="2" t="s">
        <v>11029</v>
      </c>
      <c r="M5715" s="2" t="s">
        <v>11028</v>
      </c>
      <c r="N5715" s="2" t="s">
        <v>11037</v>
      </c>
      <c r="O5715" s="2" t="s">
        <v>11035</v>
      </c>
      <c r="P5715" s="2" t="s">
        <v>11036</v>
      </c>
      <c r="Q5715" s="2">
        <f>AVERAGE(PerfRate[[#This Row],[EnvironmentSatisfaction]],PerfRate[[#This Row],[JobSatisfaction]],PerfRate[[#This Row],[RelationshipSatisfaction]])</f>
        <v>3</v>
      </c>
      <c r="R5715" s="2">
        <f>PerfRate[[#This Row],[ManagerRating]] - PerfRate[[#This Row],[SelfRating]]</f>
        <v>-1</v>
      </c>
    </row>
    <row r="5716" spans="1:18">
      <c r="A5716" s="2" t="s">
        <v>10023</v>
      </c>
      <c r="B5716" s="2" t="s">
        <v>247</v>
      </c>
      <c r="C5716" s="1">
        <v>44810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  <c r="L5716" s="2" t="s">
        <v>11029</v>
      </c>
      <c r="M5716" s="2" t="s">
        <v>11028</v>
      </c>
      <c r="N5716" s="2" t="s">
        <v>11037</v>
      </c>
      <c r="O5716" s="2" t="s">
        <v>11037</v>
      </c>
      <c r="P5716" s="2" t="s">
        <v>11038</v>
      </c>
      <c r="Q5716" s="2">
        <f>AVERAGE(PerfRate[[#This Row],[EnvironmentSatisfaction]],PerfRate[[#This Row],[JobSatisfaction]],PerfRate[[#This Row],[RelationshipSatisfaction]])</f>
        <v>4.333333333333333</v>
      </c>
      <c r="R5716" s="2">
        <f>PerfRate[[#This Row],[ManagerRating]] - PerfRate[[#This Row],[SelfRating]]</f>
        <v>-1</v>
      </c>
    </row>
    <row r="5717" spans="1:18">
      <c r="A5717" s="2" t="s">
        <v>10024</v>
      </c>
      <c r="B5717" s="2" t="s">
        <v>189</v>
      </c>
      <c r="C5717" s="1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  <c r="L5717" s="2" t="s">
        <v>11031</v>
      </c>
      <c r="M5717" s="2" t="s">
        <v>11031</v>
      </c>
      <c r="N5717" s="2" t="s">
        <v>11037</v>
      </c>
      <c r="O5717" s="2" t="s">
        <v>11035</v>
      </c>
      <c r="P5717" s="2" t="s">
        <v>11038</v>
      </c>
      <c r="Q5717" s="2">
        <f>AVERAGE(PerfRate[[#This Row],[EnvironmentSatisfaction]],PerfRate[[#This Row],[JobSatisfaction]],PerfRate[[#This Row],[RelationshipSatisfaction]])</f>
        <v>3.6666666666666665</v>
      </c>
      <c r="R5717" s="2">
        <f>PerfRate[[#This Row],[ManagerRating]] - PerfRate[[#This Row],[SelfRating]]</f>
        <v>0</v>
      </c>
    </row>
    <row r="5718" spans="1:18">
      <c r="A5718" s="2" t="s">
        <v>10025</v>
      </c>
      <c r="B5718" s="2" t="s">
        <v>1096</v>
      </c>
      <c r="C5718" s="1">
        <v>44810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  <c r="L5718" s="2" t="s">
        <v>11030</v>
      </c>
      <c r="M5718" s="2" t="s">
        <v>11030</v>
      </c>
      <c r="N5718" s="2" t="s">
        <v>11037</v>
      </c>
      <c r="O5718" s="2" t="s">
        <v>11036</v>
      </c>
      <c r="P5718" s="2" t="s">
        <v>11036</v>
      </c>
      <c r="Q5718" s="2">
        <f>AVERAGE(PerfRate[[#This Row],[EnvironmentSatisfaction]],PerfRate[[#This Row],[JobSatisfaction]],PerfRate[[#This Row],[RelationshipSatisfaction]])</f>
        <v>3.3333333333333335</v>
      </c>
      <c r="R5718" s="2">
        <f>PerfRate[[#This Row],[ManagerRating]] - PerfRate[[#This Row],[SelfRating]]</f>
        <v>0</v>
      </c>
    </row>
    <row r="5719" spans="1:18">
      <c r="A5719" s="2" t="s">
        <v>10026</v>
      </c>
      <c r="B5719" s="2" t="s">
        <v>3171</v>
      </c>
      <c r="C5719" s="1">
        <v>44810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  <c r="L5719" s="2" t="s">
        <v>11030</v>
      </c>
      <c r="M5719" s="2" t="s">
        <v>11030</v>
      </c>
      <c r="N5719" s="2" t="s">
        <v>11038</v>
      </c>
      <c r="O5719" s="2" t="s">
        <v>11035</v>
      </c>
      <c r="P5719" s="2" t="s">
        <v>11038</v>
      </c>
      <c r="Q5719" s="2">
        <f>AVERAGE(PerfRate[[#This Row],[EnvironmentSatisfaction]],PerfRate[[#This Row],[JobSatisfaction]],PerfRate[[#This Row],[RelationshipSatisfaction]])</f>
        <v>4</v>
      </c>
      <c r="R5719" s="2">
        <f>PerfRate[[#This Row],[ManagerRating]] - PerfRate[[#This Row],[SelfRating]]</f>
        <v>0</v>
      </c>
    </row>
    <row r="5720" spans="1:18">
      <c r="A5720" s="2" t="s">
        <v>10027</v>
      </c>
      <c r="B5720" s="2" t="s">
        <v>1747</v>
      </c>
      <c r="C5720" s="1">
        <v>44840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  <c r="L5720" s="2" t="s">
        <v>11031</v>
      </c>
      <c r="M5720" s="2" t="s">
        <v>11030</v>
      </c>
      <c r="N5720" s="2" t="s">
        <v>11037</v>
      </c>
      <c r="O5720" s="2" t="s">
        <v>11036</v>
      </c>
      <c r="P5720" s="2" t="s">
        <v>11037</v>
      </c>
      <c r="Q5720" s="2">
        <f>AVERAGE(PerfRate[[#This Row],[EnvironmentSatisfaction]],PerfRate[[#This Row],[JobSatisfaction]],PerfRate[[#This Row],[RelationshipSatisfaction]])</f>
        <v>3.6666666666666665</v>
      </c>
      <c r="R5720" s="2">
        <f>PerfRate[[#This Row],[ManagerRating]] - PerfRate[[#This Row],[SelfRating]]</f>
        <v>-1</v>
      </c>
    </row>
    <row r="5721" spans="1:18">
      <c r="A5721" s="2" t="s">
        <v>10028</v>
      </c>
      <c r="B5721" s="2" t="s">
        <v>3540</v>
      </c>
      <c r="C5721" s="1">
        <v>44840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  <c r="L5721" s="2" t="s">
        <v>11031</v>
      </c>
      <c r="M5721" s="2" t="s">
        <v>11031</v>
      </c>
      <c r="N5721" s="2" t="s">
        <v>11036</v>
      </c>
      <c r="O5721" s="2" t="s">
        <v>11038</v>
      </c>
      <c r="P5721" s="2" t="s">
        <v>11036</v>
      </c>
      <c r="Q5721" s="2">
        <f>AVERAGE(PerfRate[[#This Row],[EnvironmentSatisfaction]],PerfRate[[#This Row],[JobSatisfaction]],PerfRate[[#This Row],[RelationshipSatisfaction]])</f>
        <v>3.6666666666666665</v>
      </c>
      <c r="R5721" s="2">
        <f>PerfRate[[#This Row],[ManagerRating]] - PerfRate[[#This Row],[SelfRating]]</f>
        <v>0</v>
      </c>
    </row>
    <row r="5722" spans="1:18">
      <c r="A5722" s="2" t="s">
        <v>10029</v>
      </c>
      <c r="B5722" s="2" t="s">
        <v>1995</v>
      </c>
      <c r="C5722" s="1">
        <v>44871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  <c r="L5722" s="2" t="s">
        <v>11029</v>
      </c>
      <c r="M5722" s="2" t="s">
        <v>11029</v>
      </c>
      <c r="N5722" s="2" t="s">
        <v>11038</v>
      </c>
      <c r="O5722" s="2" t="s">
        <v>11038</v>
      </c>
      <c r="P5722" s="2" t="s">
        <v>11036</v>
      </c>
      <c r="Q5722" s="2">
        <f>AVERAGE(PerfRate[[#This Row],[EnvironmentSatisfaction]],PerfRate[[#This Row],[JobSatisfaction]],PerfRate[[#This Row],[RelationshipSatisfaction]])</f>
        <v>4.333333333333333</v>
      </c>
      <c r="R5722" s="2">
        <f>PerfRate[[#This Row],[ManagerRating]] - PerfRate[[#This Row],[SelfRating]]</f>
        <v>0</v>
      </c>
    </row>
    <row r="5723" spans="1:18">
      <c r="A5723" s="2" t="s">
        <v>10030</v>
      </c>
      <c r="B5723" s="2" t="s">
        <v>3829</v>
      </c>
      <c r="C5723" s="1">
        <v>44901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  <c r="L5723" s="2" t="s">
        <v>11029</v>
      </c>
      <c r="M5723" s="2" t="s">
        <v>11029</v>
      </c>
      <c r="N5723" s="2" t="s">
        <v>11037</v>
      </c>
      <c r="O5723" s="2" t="s">
        <v>11035</v>
      </c>
      <c r="P5723" s="2" t="s">
        <v>11035</v>
      </c>
      <c r="Q5723" s="2">
        <f>AVERAGE(PerfRate[[#This Row],[EnvironmentSatisfaction]],PerfRate[[#This Row],[JobSatisfaction]],PerfRate[[#This Row],[RelationshipSatisfaction]])</f>
        <v>2.6666666666666665</v>
      </c>
      <c r="R5723" s="2">
        <f>PerfRate[[#This Row],[ManagerRating]] - PerfRate[[#This Row],[SelfRating]]</f>
        <v>0</v>
      </c>
    </row>
    <row r="5724" spans="1:18">
      <c r="A5724" s="2" t="s">
        <v>10031</v>
      </c>
      <c r="B5724" s="2" t="s">
        <v>3254</v>
      </c>
      <c r="C5724" s="1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  <c r="L5724" s="2" t="s">
        <v>11029</v>
      </c>
      <c r="M5724" s="2" t="s">
        <v>11028</v>
      </c>
      <c r="N5724" s="2" t="s">
        <v>11036</v>
      </c>
      <c r="O5724" s="2" t="s">
        <v>11037</v>
      </c>
      <c r="P5724" s="2" t="s">
        <v>11038</v>
      </c>
      <c r="Q5724" s="2">
        <f>AVERAGE(PerfRate[[#This Row],[EnvironmentSatisfaction]],PerfRate[[#This Row],[JobSatisfaction]],PerfRate[[#This Row],[RelationshipSatisfaction]])</f>
        <v>4</v>
      </c>
      <c r="R5724" s="2">
        <f>PerfRate[[#This Row],[ManagerRating]] - PerfRate[[#This Row],[SelfRating]]</f>
        <v>-1</v>
      </c>
    </row>
    <row r="5725" spans="1:18">
      <c r="A5725" s="2" t="s">
        <v>10032</v>
      </c>
      <c r="B5725" s="2" t="s">
        <v>440</v>
      </c>
      <c r="C5725" s="1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  <c r="L5725" s="2" t="s">
        <v>11029</v>
      </c>
      <c r="M5725" s="2" t="s">
        <v>11028</v>
      </c>
      <c r="N5725" s="2" t="s">
        <v>11035</v>
      </c>
      <c r="O5725" s="2" t="s">
        <v>11035</v>
      </c>
      <c r="P5725" s="2" t="s">
        <v>11035</v>
      </c>
      <c r="Q5725" s="2">
        <f>AVERAGE(PerfRate[[#This Row],[EnvironmentSatisfaction]],PerfRate[[#This Row],[JobSatisfaction]],PerfRate[[#This Row],[RelationshipSatisfaction]])</f>
        <v>2</v>
      </c>
      <c r="R5725" s="2">
        <f>PerfRate[[#This Row],[ManagerRating]] - PerfRate[[#This Row],[SelfRating]]</f>
        <v>-1</v>
      </c>
    </row>
    <row r="5726" spans="1:18">
      <c r="A5726" s="2" t="s">
        <v>10033</v>
      </c>
      <c r="B5726" s="2" t="s">
        <v>919</v>
      </c>
      <c r="C5726" s="1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  <c r="L5726" s="2" t="s">
        <v>11029</v>
      </c>
      <c r="M5726" s="2" t="s">
        <v>11028</v>
      </c>
      <c r="N5726" s="2" t="s">
        <v>11034</v>
      </c>
      <c r="O5726" s="2" t="s">
        <v>11035</v>
      </c>
      <c r="P5726" s="2" t="s">
        <v>11035</v>
      </c>
      <c r="Q5726" s="2">
        <f>AVERAGE(PerfRate[[#This Row],[EnvironmentSatisfaction]],PerfRate[[#This Row],[JobSatisfaction]],PerfRate[[#This Row],[RelationshipSatisfaction]])</f>
        <v>1.6666666666666667</v>
      </c>
      <c r="R5726" s="2">
        <f>PerfRate[[#This Row],[ManagerRating]] - PerfRate[[#This Row],[SelfRating]]</f>
        <v>-1</v>
      </c>
    </row>
    <row r="5727" spans="1:18">
      <c r="A5727" s="2" t="s">
        <v>10034</v>
      </c>
      <c r="B5727" s="2" t="s">
        <v>1782</v>
      </c>
      <c r="C5727" s="1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  <c r="L5727" s="2" t="s">
        <v>11030</v>
      </c>
      <c r="M5727" s="2" t="s">
        <v>11029</v>
      </c>
      <c r="N5727" s="2" t="s">
        <v>11035</v>
      </c>
      <c r="O5727" s="2" t="s">
        <v>11037</v>
      </c>
      <c r="P5727" s="2" t="s">
        <v>11036</v>
      </c>
      <c r="Q5727" s="2">
        <f>AVERAGE(PerfRate[[#This Row],[EnvironmentSatisfaction]],PerfRate[[#This Row],[JobSatisfaction]],PerfRate[[#This Row],[RelationshipSatisfaction]])</f>
        <v>3</v>
      </c>
      <c r="R5727" s="2">
        <f>PerfRate[[#This Row],[ManagerRating]] - PerfRate[[#This Row],[SelfRating]]</f>
        <v>-1</v>
      </c>
    </row>
    <row r="5728" spans="1:18">
      <c r="A5728" s="2" t="s">
        <v>10035</v>
      </c>
      <c r="B5728" s="2" t="s">
        <v>3881</v>
      </c>
      <c r="C5728" s="1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  <c r="L5728" s="2" t="s">
        <v>11030</v>
      </c>
      <c r="M5728" s="2" t="s">
        <v>11029</v>
      </c>
      <c r="N5728" s="2" t="s">
        <v>11037</v>
      </c>
      <c r="O5728" s="2" t="s">
        <v>11037</v>
      </c>
      <c r="P5728" s="2" t="s">
        <v>11036</v>
      </c>
      <c r="Q5728" s="2">
        <f>AVERAGE(PerfRate[[#This Row],[EnvironmentSatisfaction]],PerfRate[[#This Row],[JobSatisfaction]],PerfRate[[#This Row],[RelationshipSatisfaction]])</f>
        <v>3.6666666666666665</v>
      </c>
      <c r="R5728" s="2">
        <f>PerfRate[[#This Row],[ManagerRating]] - PerfRate[[#This Row],[SelfRating]]</f>
        <v>-1</v>
      </c>
    </row>
    <row r="5729" spans="1:18">
      <c r="A5729" s="2" t="s">
        <v>10036</v>
      </c>
      <c r="B5729" s="2" t="s">
        <v>2526</v>
      </c>
      <c r="C5729" s="1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  <c r="L5729" s="2" t="s">
        <v>11031</v>
      </c>
      <c r="M5729" s="2" t="s">
        <v>11031</v>
      </c>
      <c r="N5729" s="2" t="s">
        <v>11037</v>
      </c>
      <c r="O5729" s="2" t="s">
        <v>11038</v>
      </c>
      <c r="P5729" s="2" t="s">
        <v>11036</v>
      </c>
      <c r="Q5729" s="2">
        <f>AVERAGE(PerfRate[[#This Row],[EnvironmentSatisfaction]],PerfRate[[#This Row],[JobSatisfaction]],PerfRate[[#This Row],[RelationshipSatisfaction]])</f>
        <v>4</v>
      </c>
      <c r="R5729" s="2">
        <f>PerfRate[[#This Row],[ManagerRating]] - PerfRate[[#This Row],[SelfRating]]</f>
        <v>0</v>
      </c>
    </row>
    <row r="5730" spans="1:18">
      <c r="A5730" s="2" t="s">
        <v>10037</v>
      </c>
      <c r="B5730" s="2" t="s">
        <v>3620</v>
      </c>
      <c r="C5730" s="1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  <c r="L5730" s="2" t="s">
        <v>11029</v>
      </c>
      <c r="M5730" s="2" t="s">
        <v>11029</v>
      </c>
      <c r="N5730" s="2" t="s">
        <v>11038</v>
      </c>
      <c r="O5730" s="2" t="s">
        <v>11035</v>
      </c>
      <c r="P5730" s="2" t="s">
        <v>11038</v>
      </c>
      <c r="Q5730" s="2">
        <f>AVERAGE(PerfRate[[#This Row],[EnvironmentSatisfaction]],PerfRate[[#This Row],[JobSatisfaction]],PerfRate[[#This Row],[RelationshipSatisfaction]])</f>
        <v>4</v>
      </c>
      <c r="R5730" s="2">
        <f>PerfRate[[#This Row],[ManagerRating]] - PerfRate[[#This Row],[SelfRating]]</f>
        <v>0</v>
      </c>
    </row>
    <row r="5731" spans="1:18">
      <c r="A5731" s="2" t="s">
        <v>10038</v>
      </c>
      <c r="B5731" s="2" t="s">
        <v>1105</v>
      </c>
      <c r="C5731" s="1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  <c r="L5731" s="2" t="s">
        <v>11031</v>
      </c>
      <c r="M5731" s="2" t="s">
        <v>11031</v>
      </c>
      <c r="N5731" s="2" t="s">
        <v>11038</v>
      </c>
      <c r="O5731" s="2" t="s">
        <v>11038</v>
      </c>
      <c r="P5731" s="2" t="s">
        <v>11038</v>
      </c>
      <c r="Q5731" s="2">
        <f>AVERAGE(PerfRate[[#This Row],[EnvironmentSatisfaction]],PerfRate[[#This Row],[JobSatisfaction]],PerfRate[[#This Row],[RelationshipSatisfaction]])</f>
        <v>5</v>
      </c>
      <c r="R5731" s="2">
        <f>PerfRate[[#This Row],[ManagerRating]] - PerfRate[[#This Row],[SelfRating]]</f>
        <v>0</v>
      </c>
    </row>
    <row r="5732" spans="1:18">
      <c r="A5732" s="2" t="s">
        <v>10039</v>
      </c>
      <c r="B5732" s="2" t="s">
        <v>1865</v>
      </c>
      <c r="C5732" s="1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  <c r="L5732" s="2" t="s">
        <v>11029</v>
      </c>
      <c r="M5732" s="2" t="s">
        <v>11028</v>
      </c>
      <c r="N5732" s="2" t="s">
        <v>11038</v>
      </c>
      <c r="O5732" s="2" t="s">
        <v>11036</v>
      </c>
      <c r="P5732" s="2" t="s">
        <v>11036</v>
      </c>
      <c r="Q5732" s="2">
        <f>AVERAGE(PerfRate[[#This Row],[EnvironmentSatisfaction]],PerfRate[[#This Row],[JobSatisfaction]],PerfRate[[#This Row],[RelationshipSatisfaction]])</f>
        <v>3.6666666666666665</v>
      </c>
      <c r="R5732" s="2">
        <f>PerfRate[[#This Row],[ManagerRating]] - PerfRate[[#This Row],[SelfRating]]</f>
        <v>-1</v>
      </c>
    </row>
    <row r="5733" spans="1:18">
      <c r="A5733" s="2" t="s">
        <v>10040</v>
      </c>
      <c r="B5733" s="2" t="s">
        <v>2254</v>
      </c>
      <c r="C5733" s="1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  <c r="L5733" s="2" t="s">
        <v>11029</v>
      </c>
      <c r="M5733" s="2" t="s">
        <v>11028</v>
      </c>
      <c r="N5733" s="2" t="s">
        <v>11038</v>
      </c>
      <c r="O5733" s="2" t="s">
        <v>11038</v>
      </c>
      <c r="P5733" s="2" t="s">
        <v>11035</v>
      </c>
      <c r="Q5733" s="2">
        <f>AVERAGE(PerfRate[[#This Row],[EnvironmentSatisfaction]],PerfRate[[#This Row],[JobSatisfaction]],PerfRate[[#This Row],[RelationshipSatisfaction]])</f>
        <v>4</v>
      </c>
      <c r="R5733" s="2">
        <f>PerfRate[[#This Row],[ManagerRating]] - PerfRate[[#This Row],[SelfRating]]</f>
        <v>-1</v>
      </c>
    </row>
    <row r="5734" spans="1:18">
      <c r="A5734" s="2" t="s">
        <v>10041</v>
      </c>
      <c r="B5734" s="2" t="s">
        <v>2483</v>
      </c>
      <c r="C5734" s="1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  <c r="L5734" s="2" t="s">
        <v>11031</v>
      </c>
      <c r="M5734" s="2" t="s">
        <v>11030</v>
      </c>
      <c r="N5734" s="2" t="s">
        <v>11037</v>
      </c>
      <c r="O5734" s="2" t="s">
        <v>11035</v>
      </c>
      <c r="P5734" s="2" t="s">
        <v>11038</v>
      </c>
      <c r="Q5734" s="2">
        <f>AVERAGE(PerfRate[[#This Row],[EnvironmentSatisfaction]],PerfRate[[#This Row],[JobSatisfaction]],PerfRate[[#This Row],[RelationshipSatisfaction]])</f>
        <v>3.6666666666666665</v>
      </c>
      <c r="R5734" s="2">
        <f>PerfRate[[#This Row],[ManagerRating]] - PerfRate[[#This Row],[SelfRating]]</f>
        <v>-1</v>
      </c>
    </row>
    <row r="5735" spans="1:18">
      <c r="A5735" s="2" t="s">
        <v>10042</v>
      </c>
      <c r="B5735" s="2" t="s">
        <v>374</v>
      </c>
      <c r="C5735" s="1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  <c r="L5735" s="2" t="s">
        <v>11029</v>
      </c>
      <c r="M5735" s="2" t="s">
        <v>11028</v>
      </c>
      <c r="N5735" s="2" t="s">
        <v>11034</v>
      </c>
      <c r="O5735" s="2" t="s">
        <v>11034</v>
      </c>
      <c r="P5735" s="2" t="s">
        <v>11036</v>
      </c>
      <c r="Q5735" s="2">
        <f>AVERAGE(PerfRate[[#This Row],[EnvironmentSatisfaction]],PerfRate[[#This Row],[JobSatisfaction]],PerfRate[[#This Row],[RelationshipSatisfaction]])</f>
        <v>1.6666666666666667</v>
      </c>
      <c r="R5735" s="2">
        <f>PerfRate[[#This Row],[ManagerRating]] - PerfRate[[#This Row],[SelfRating]]</f>
        <v>-1</v>
      </c>
    </row>
    <row r="5736" spans="1:18">
      <c r="A5736" s="2" t="s">
        <v>10043</v>
      </c>
      <c r="B5736" s="2" t="s">
        <v>1076</v>
      </c>
      <c r="C5736" s="1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  <c r="L5736" s="2" t="s">
        <v>11029</v>
      </c>
      <c r="M5736" s="2" t="s">
        <v>11028</v>
      </c>
      <c r="N5736" s="2" t="s">
        <v>11034</v>
      </c>
      <c r="O5736" s="2" t="s">
        <v>11035</v>
      </c>
      <c r="P5736" s="2" t="s">
        <v>11034</v>
      </c>
      <c r="Q5736" s="2">
        <f>AVERAGE(PerfRate[[#This Row],[EnvironmentSatisfaction]],PerfRate[[#This Row],[JobSatisfaction]],PerfRate[[#This Row],[RelationshipSatisfaction]])</f>
        <v>1.3333333333333333</v>
      </c>
      <c r="R5736" s="2">
        <f>PerfRate[[#This Row],[ManagerRating]] - PerfRate[[#This Row],[SelfRating]]</f>
        <v>-1</v>
      </c>
    </row>
    <row r="5737" spans="1:18">
      <c r="A5737" s="2" t="s">
        <v>10044</v>
      </c>
      <c r="B5737" s="2" t="s">
        <v>344</v>
      </c>
      <c r="C5737" s="1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  <c r="L5737" s="2" t="s">
        <v>11030</v>
      </c>
      <c r="M5737" s="2" t="s">
        <v>11029</v>
      </c>
      <c r="N5737" s="2" t="s">
        <v>11034</v>
      </c>
      <c r="O5737" s="2" t="s">
        <v>11036</v>
      </c>
      <c r="P5737" s="2" t="s">
        <v>11034</v>
      </c>
      <c r="Q5737" s="2">
        <f>AVERAGE(PerfRate[[#This Row],[EnvironmentSatisfaction]],PerfRate[[#This Row],[JobSatisfaction]],PerfRate[[#This Row],[RelationshipSatisfaction]])</f>
        <v>1.6666666666666667</v>
      </c>
      <c r="R5737" s="2">
        <f>PerfRate[[#This Row],[ManagerRating]] - PerfRate[[#This Row],[SelfRating]]</f>
        <v>-1</v>
      </c>
    </row>
    <row r="5738" spans="1:18">
      <c r="A5738" s="2" t="s">
        <v>10045</v>
      </c>
      <c r="B5738" s="2" t="s">
        <v>732</v>
      </c>
      <c r="C5738" s="1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  <c r="L5738" s="2" t="s">
        <v>11030</v>
      </c>
      <c r="M5738" s="2" t="s">
        <v>11029</v>
      </c>
      <c r="N5738" s="2" t="s">
        <v>11038</v>
      </c>
      <c r="O5738" s="2" t="s">
        <v>11036</v>
      </c>
      <c r="P5738" s="2" t="s">
        <v>11036</v>
      </c>
      <c r="Q5738" s="2">
        <f>AVERAGE(PerfRate[[#This Row],[EnvironmentSatisfaction]],PerfRate[[#This Row],[JobSatisfaction]],PerfRate[[#This Row],[RelationshipSatisfaction]])</f>
        <v>3.6666666666666665</v>
      </c>
      <c r="R5738" s="2">
        <f>PerfRate[[#This Row],[ManagerRating]] - PerfRate[[#This Row],[SelfRating]]</f>
        <v>-1</v>
      </c>
    </row>
    <row r="5739" spans="1:18">
      <c r="A5739" s="2" t="s">
        <v>10046</v>
      </c>
      <c r="B5739" s="2" t="s">
        <v>4023</v>
      </c>
      <c r="C5739" s="1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  <c r="L5739" s="2" t="s">
        <v>11031</v>
      </c>
      <c r="M5739" s="2" t="s">
        <v>11030</v>
      </c>
      <c r="N5739" s="2" t="s">
        <v>11038</v>
      </c>
      <c r="O5739" s="2" t="s">
        <v>11035</v>
      </c>
      <c r="P5739" s="2" t="s">
        <v>11035</v>
      </c>
      <c r="Q5739" s="2">
        <f>AVERAGE(PerfRate[[#This Row],[EnvironmentSatisfaction]],PerfRate[[#This Row],[JobSatisfaction]],PerfRate[[#This Row],[RelationshipSatisfaction]])</f>
        <v>3</v>
      </c>
      <c r="R5739" s="2">
        <f>PerfRate[[#This Row],[ManagerRating]] - PerfRate[[#This Row],[SelfRating]]</f>
        <v>-1</v>
      </c>
    </row>
    <row r="5740" spans="1:18">
      <c r="A5740" s="2" t="s">
        <v>10047</v>
      </c>
      <c r="B5740" s="2" t="s">
        <v>1033</v>
      </c>
      <c r="C5740" s="1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  <c r="L5740" s="2" t="s">
        <v>11029</v>
      </c>
      <c r="M5740" s="2" t="s">
        <v>11029</v>
      </c>
      <c r="N5740" s="2" t="s">
        <v>11036</v>
      </c>
      <c r="O5740" s="2" t="s">
        <v>11038</v>
      </c>
      <c r="P5740" s="2" t="s">
        <v>11038</v>
      </c>
      <c r="Q5740" s="2">
        <f>AVERAGE(PerfRate[[#This Row],[EnvironmentSatisfaction]],PerfRate[[#This Row],[JobSatisfaction]],PerfRate[[#This Row],[RelationshipSatisfaction]])</f>
        <v>4.333333333333333</v>
      </c>
      <c r="R5740" s="2">
        <f>PerfRate[[#This Row],[ManagerRating]] - PerfRate[[#This Row],[SelfRating]]</f>
        <v>0</v>
      </c>
    </row>
    <row r="5741" spans="1:18">
      <c r="A5741" s="2" t="s">
        <v>10048</v>
      </c>
      <c r="B5741" s="2" t="s">
        <v>1871</v>
      </c>
      <c r="C5741" s="1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  <c r="L5741" s="2" t="s">
        <v>11030</v>
      </c>
      <c r="M5741" s="2" t="s">
        <v>11029</v>
      </c>
      <c r="N5741" s="2" t="s">
        <v>11038</v>
      </c>
      <c r="O5741" s="2" t="s">
        <v>11036</v>
      </c>
      <c r="P5741" s="2" t="s">
        <v>11036</v>
      </c>
      <c r="Q5741" s="2">
        <f>AVERAGE(PerfRate[[#This Row],[EnvironmentSatisfaction]],PerfRate[[#This Row],[JobSatisfaction]],PerfRate[[#This Row],[RelationshipSatisfaction]])</f>
        <v>3.6666666666666665</v>
      </c>
      <c r="R5741" s="2">
        <f>PerfRate[[#This Row],[ManagerRating]] - PerfRate[[#This Row],[SelfRating]]</f>
        <v>-1</v>
      </c>
    </row>
    <row r="5742" spans="1:18">
      <c r="A5742" s="2" t="s">
        <v>10049</v>
      </c>
      <c r="B5742" s="2" t="s">
        <v>1788</v>
      </c>
      <c r="C5742" s="1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  <c r="L5742" s="2" t="s">
        <v>11031</v>
      </c>
      <c r="M5742" s="2" t="s">
        <v>11031</v>
      </c>
      <c r="N5742" s="2" t="s">
        <v>11038</v>
      </c>
      <c r="O5742" s="2" t="s">
        <v>11036</v>
      </c>
      <c r="P5742" s="2" t="s">
        <v>11038</v>
      </c>
      <c r="Q5742" s="2">
        <f>AVERAGE(PerfRate[[#This Row],[EnvironmentSatisfaction]],PerfRate[[#This Row],[JobSatisfaction]],PerfRate[[#This Row],[RelationshipSatisfaction]])</f>
        <v>4.333333333333333</v>
      </c>
      <c r="R5742" s="2">
        <f>PerfRate[[#This Row],[ManagerRating]] - PerfRate[[#This Row],[SelfRating]]</f>
        <v>0</v>
      </c>
    </row>
    <row r="5743" spans="1:18">
      <c r="A5743" s="2" t="s">
        <v>10050</v>
      </c>
      <c r="B5743" s="2" t="s">
        <v>2557</v>
      </c>
      <c r="C5743" s="1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  <c r="L5743" s="2" t="s">
        <v>11029</v>
      </c>
      <c r="M5743" s="2" t="s">
        <v>11029</v>
      </c>
      <c r="N5743" s="2" t="s">
        <v>11038</v>
      </c>
      <c r="O5743" s="2" t="s">
        <v>11037</v>
      </c>
      <c r="P5743" s="2" t="s">
        <v>11035</v>
      </c>
      <c r="Q5743" s="2">
        <f>AVERAGE(PerfRate[[#This Row],[EnvironmentSatisfaction]],PerfRate[[#This Row],[JobSatisfaction]],PerfRate[[#This Row],[RelationshipSatisfaction]])</f>
        <v>3.6666666666666665</v>
      </c>
      <c r="R5743" s="2">
        <f>PerfRate[[#This Row],[ManagerRating]] - PerfRate[[#This Row],[SelfRating]]</f>
        <v>0</v>
      </c>
    </row>
    <row r="5744" spans="1:18">
      <c r="A5744" s="2" t="s">
        <v>10051</v>
      </c>
      <c r="B5744" s="2" t="s">
        <v>3397</v>
      </c>
      <c r="C5744" s="1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  <c r="L5744" s="2" t="s">
        <v>11031</v>
      </c>
      <c r="M5744" s="2" t="s">
        <v>11030</v>
      </c>
      <c r="N5744" s="2" t="s">
        <v>11037</v>
      </c>
      <c r="O5744" s="2" t="s">
        <v>11035</v>
      </c>
      <c r="P5744" s="2" t="s">
        <v>11035</v>
      </c>
      <c r="Q5744" s="2">
        <f>AVERAGE(PerfRate[[#This Row],[EnvironmentSatisfaction]],PerfRate[[#This Row],[JobSatisfaction]],PerfRate[[#This Row],[RelationshipSatisfaction]])</f>
        <v>2.6666666666666665</v>
      </c>
      <c r="R5744" s="2">
        <f>PerfRate[[#This Row],[ManagerRating]] - PerfRate[[#This Row],[SelfRating]]</f>
        <v>-1</v>
      </c>
    </row>
    <row r="5745" spans="1:18">
      <c r="A5745" s="2" t="s">
        <v>10052</v>
      </c>
      <c r="B5745" s="2" t="s">
        <v>2210</v>
      </c>
      <c r="C5745" s="1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  <c r="L5745" s="2" t="s">
        <v>11030</v>
      </c>
      <c r="M5745" s="2" t="s">
        <v>11030</v>
      </c>
      <c r="N5745" s="2" t="s">
        <v>11036</v>
      </c>
      <c r="O5745" s="2" t="s">
        <v>11037</v>
      </c>
      <c r="P5745" s="2" t="s">
        <v>11038</v>
      </c>
      <c r="Q5745" s="2">
        <f>AVERAGE(PerfRate[[#This Row],[EnvironmentSatisfaction]],PerfRate[[#This Row],[JobSatisfaction]],PerfRate[[#This Row],[RelationshipSatisfaction]])</f>
        <v>4</v>
      </c>
      <c r="R5745" s="2">
        <f>PerfRate[[#This Row],[ManagerRating]] - PerfRate[[#This Row],[SelfRating]]</f>
        <v>0</v>
      </c>
    </row>
    <row r="5746" spans="1:18">
      <c r="A5746" s="2" t="s">
        <v>10053</v>
      </c>
      <c r="B5746" s="2" t="s">
        <v>3317</v>
      </c>
      <c r="C5746" s="1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  <c r="L5746" s="2" t="s">
        <v>11029</v>
      </c>
      <c r="M5746" s="2" t="s">
        <v>11028</v>
      </c>
      <c r="N5746" s="2" t="s">
        <v>11036</v>
      </c>
      <c r="O5746" s="2" t="s">
        <v>11038</v>
      </c>
      <c r="P5746" s="2" t="s">
        <v>11037</v>
      </c>
      <c r="Q5746" s="2">
        <f>AVERAGE(PerfRate[[#This Row],[EnvironmentSatisfaction]],PerfRate[[#This Row],[JobSatisfaction]],PerfRate[[#This Row],[RelationshipSatisfaction]])</f>
        <v>4</v>
      </c>
      <c r="R5746" s="2">
        <f>PerfRate[[#This Row],[ManagerRating]] - PerfRate[[#This Row],[SelfRating]]</f>
        <v>-1</v>
      </c>
    </row>
    <row r="5747" spans="1:18">
      <c r="A5747" s="2" t="s">
        <v>10054</v>
      </c>
      <c r="B5747" s="2" t="s">
        <v>293</v>
      </c>
      <c r="C5747" s="1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  <c r="L5747" s="2" t="s">
        <v>11030</v>
      </c>
      <c r="M5747" s="2" t="s">
        <v>11030</v>
      </c>
      <c r="N5747" s="2" t="s">
        <v>11037</v>
      </c>
      <c r="O5747" s="2" t="s">
        <v>11038</v>
      </c>
      <c r="P5747" s="2" t="s">
        <v>11038</v>
      </c>
      <c r="Q5747" s="2">
        <f>AVERAGE(PerfRate[[#This Row],[EnvironmentSatisfaction]],PerfRate[[#This Row],[JobSatisfaction]],PerfRate[[#This Row],[RelationshipSatisfaction]])</f>
        <v>4.666666666666667</v>
      </c>
      <c r="R5747" s="2">
        <f>PerfRate[[#This Row],[ManagerRating]] - PerfRate[[#This Row],[SelfRating]]</f>
        <v>0</v>
      </c>
    </row>
    <row r="5748" spans="1:18">
      <c r="A5748" s="2" t="s">
        <v>10055</v>
      </c>
      <c r="B5748" s="2" t="s">
        <v>2672</v>
      </c>
      <c r="C5748" s="1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  <c r="L5748" s="2" t="s">
        <v>11030</v>
      </c>
      <c r="M5748" s="2" t="s">
        <v>11029</v>
      </c>
      <c r="N5748" s="2" t="s">
        <v>11036</v>
      </c>
      <c r="O5748" s="2" t="s">
        <v>11035</v>
      </c>
      <c r="P5748" s="2" t="s">
        <v>11037</v>
      </c>
      <c r="Q5748" s="2">
        <f>AVERAGE(PerfRate[[#This Row],[EnvironmentSatisfaction]],PerfRate[[#This Row],[JobSatisfaction]],PerfRate[[#This Row],[RelationshipSatisfaction]])</f>
        <v>3</v>
      </c>
      <c r="R5748" s="2">
        <f>PerfRate[[#This Row],[ManagerRating]] - PerfRate[[#This Row],[SelfRating]]</f>
        <v>-1</v>
      </c>
    </row>
    <row r="5749" spans="1:18">
      <c r="A5749" s="2" t="s">
        <v>10056</v>
      </c>
      <c r="B5749" s="2" t="s">
        <v>217</v>
      </c>
      <c r="C5749" s="1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  <c r="L5749" s="2" t="s">
        <v>11030</v>
      </c>
      <c r="M5749" s="2" t="s">
        <v>11030</v>
      </c>
      <c r="N5749" s="2" t="s">
        <v>11036</v>
      </c>
      <c r="O5749" s="2" t="s">
        <v>11038</v>
      </c>
      <c r="P5749" s="2" t="s">
        <v>11037</v>
      </c>
      <c r="Q5749" s="2">
        <f>AVERAGE(PerfRate[[#This Row],[EnvironmentSatisfaction]],PerfRate[[#This Row],[JobSatisfaction]],PerfRate[[#This Row],[RelationshipSatisfaction]])</f>
        <v>4</v>
      </c>
      <c r="R5749" s="2">
        <f>PerfRate[[#This Row],[ManagerRating]] - PerfRate[[#This Row],[SelfRating]]</f>
        <v>0</v>
      </c>
    </row>
    <row r="5750" spans="1:18">
      <c r="A5750" s="2" t="s">
        <v>10057</v>
      </c>
      <c r="B5750" s="2" t="s">
        <v>1921</v>
      </c>
      <c r="C5750" s="1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  <c r="L5750" s="2" t="s">
        <v>11029</v>
      </c>
      <c r="M5750" s="2" t="s">
        <v>11029</v>
      </c>
      <c r="N5750" s="2" t="s">
        <v>11036</v>
      </c>
      <c r="O5750" s="2" t="s">
        <v>11035</v>
      </c>
      <c r="P5750" s="2" t="s">
        <v>11036</v>
      </c>
      <c r="Q5750" s="2">
        <f>AVERAGE(PerfRate[[#This Row],[EnvironmentSatisfaction]],PerfRate[[#This Row],[JobSatisfaction]],PerfRate[[#This Row],[RelationshipSatisfaction]])</f>
        <v>2.6666666666666665</v>
      </c>
      <c r="R5750" s="2">
        <f>PerfRate[[#This Row],[ManagerRating]] - PerfRate[[#This Row],[SelfRating]]</f>
        <v>0</v>
      </c>
    </row>
    <row r="5751" spans="1:18">
      <c r="A5751" s="2" t="s">
        <v>10058</v>
      </c>
      <c r="B5751" s="2" t="s">
        <v>2873</v>
      </c>
      <c r="C5751" s="1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  <c r="L5751" s="2" t="s">
        <v>11029</v>
      </c>
      <c r="M5751" s="2" t="s">
        <v>11029</v>
      </c>
      <c r="N5751" s="2" t="s">
        <v>11036</v>
      </c>
      <c r="O5751" s="2" t="s">
        <v>11035</v>
      </c>
      <c r="P5751" s="2" t="s">
        <v>11036</v>
      </c>
      <c r="Q5751" s="2">
        <f>AVERAGE(PerfRate[[#This Row],[EnvironmentSatisfaction]],PerfRate[[#This Row],[JobSatisfaction]],PerfRate[[#This Row],[RelationshipSatisfaction]])</f>
        <v>2.6666666666666665</v>
      </c>
      <c r="R5751" s="2">
        <f>PerfRate[[#This Row],[ManagerRating]] - PerfRate[[#This Row],[SelfRating]]</f>
        <v>0</v>
      </c>
    </row>
    <row r="5752" spans="1:18">
      <c r="A5752" s="2" t="s">
        <v>10059</v>
      </c>
      <c r="B5752" s="2" t="s">
        <v>195</v>
      </c>
      <c r="C5752" s="1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  <c r="L5752" s="2" t="s">
        <v>11029</v>
      </c>
      <c r="M5752" s="2" t="s">
        <v>11028</v>
      </c>
      <c r="N5752" s="2" t="s">
        <v>11038</v>
      </c>
      <c r="O5752" s="2" t="s">
        <v>11037</v>
      </c>
      <c r="P5752" s="2" t="s">
        <v>11038</v>
      </c>
      <c r="Q5752" s="2">
        <f>AVERAGE(PerfRate[[#This Row],[EnvironmentSatisfaction]],PerfRate[[#This Row],[JobSatisfaction]],PerfRate[[#This Row],[RelationshipSatisfaction]])</f>
        <v>4.666666666666667</v>
      </c>
      <c r="R5752" s="2">
        <f>PerfRate[[#This Row],[ManagerRating]] - PerfRate[[#This Row],[SelfRating]]</f>
        <v>-1</v>
      </c>
    </row>
    <row r="5753" spans="1:18">
      <c r="A5753" s="2" t="s">
        <v>10060</v>
      </c>
      <c r="B5753" s="2" t="s">
        <v>2578</v>
      </c>
      <c r="C5753" s="1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  <c r="L5753" s="2" t="s">
        <v>11030</v>
      </c>
      <c r="M5753" s="2" t="s">
        <v>11029</v>
      </c>
      <c r="N5753" s="2" t="s">
        <v>11037</v>
      </c>
      <c r="O5753" s="2" t="s">
        <v>11037</v>
      </c>
      <c r="P5753" s="2" t="s">
        <v>11037</v>
      </c>
      <c r="Q5753" s="2">
        <f>AVERAGE(PerfRate[[#This Row],[EnvironmentSatisfaction]],PerfRate[[#This Row],[JobSatisfaction]],PerfRate[[#This Row],[RelationshipSatisfaction]])</f>
        <v>4</v>
      </c>
      <c r="R5753" s="2">
        <f>PerfRate[[#This Row],[ManagerRating]] - PerfRate[[#This Row],[SelfRating]]</f>
        <v>-1</v>
      </c>
    </row>
    <row r="5754" spans="1:18">
      <c r="A5754" s="2" t="s">
        <v>10061</v>
      </c>
      <c r="B5754" s="2" t="s">
        <v>487</v>
      </c>
      <c r="C5754" s="1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  <c r="L5754" s="2" t="s">
        <v>11029</v>
      </c>
      <c r="M5754" s="2" t="s">
        <v>11028</v>
      </c>
      <c r="N5754" s="2" t="s">
        <v>11037</v>
      </c>
      <c r="O5754" s="2" t="s">
        <v>11035</v>
      </c>
      <c r="P5754" s="2" t="s">
        <v>11036</v>
      </c>
      <c r="Q5754" s="2">
        <f>AVERAGE(PerfRate[[#This Row],[EnvironmentSatisfaction]],PerfRate[[#This Row],[JobSatisfaction]],PerfRate[[#This Row],[RelationshipSatisfaction]])</f>
        <v>3</v>
      </c>
      <c r="R5754" s="2">
        <f>PerfRate[[#This Row],[ManagerRating]] - PerfRate[[#This Row],[SelfRating]]</f>
        <v>-1</v>
      </c>
    </row>
    <row r="5755" spans="1:18">
      <c r="A5755" s="2" t="s">
        <v>10062</v>
      </c>
      <c r="B5755" s="2" t="s">
        <v>329</v>
      </c>
      <c r="C5755" s="1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  <c r="L5755" s="2" t="s">
        <v>11030</v>
      </c>
      <c r="M5755" s="2" t="s">
        <v>11029</v>
      </c>
      <c r="N5755" s="2" t="s">
        <v>11036</v>
      </c>
      <c r="O5755" s="2" t="s">
        <v>11037</v>
      </c>
      <c r="P5755" s="2" t="s">
        <v>11035</v>
      </c>
      <c r="Q5755" s="2">
        <f>AVERAGE(PerfRate[[#This Row],[EnvironmentSatisfaction]],PerfRate[[#This Row],[JobSatisfaction]],PerfRate[[#This Row],[RelationshipSatisfaction]])</f>
        <v>3</v>
      </c>
      <c r="R5755" s="2">
        <f>PerfRate[[#This Row],[ManagerRating]] - PerfRate[[#This Row],[SelfRating]]</f>
        <v>-1</v>
      </c>
    </row>
    <row r="5756" spans="1:18">
      <c r="A5756" s="2" t="s">
        <v>10063</v>
      </c>
      <c r="B5756" s="2" t="s">
        <v>1079</v>
      </c>
      <c r="C5756" s="1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  <c r="L5756" s="2" t="s">
        <v>11029</v>
      </c>
      <c r="M5756" s="2" t="s">
        <v>11028</v>
      </c>
      <c r="N5756" s="2" t="s">
        <v>11036</v>
      </c>
      <c r="O5756" s="2" t="s">
        <v>11037</v>
      </c>
      <c r="P5756" s="2" t="s">
        <v>11035</v>
      </c>
      <c r="Q5756" s="2">
        <f>AVERAGE(PerfRate[[#This Row],[EnvironmentSatisfaction]],PerfRate[[#This Row],[JobSatisfaction]],PerfRate[[#This Row],[RelationshipSatisfaction]])</f>
        <v>3</v>
      </c>
      <c r="R5756" s="2">
        <f>PerfRate[[#This Row],[ManagerRating]] - PerfRate[[#This Row],[SelfRating]]</f>
        <v>-1</v>
      </c>
    </row>
    <row r="5757" spans="1:18">
      <c r="A5757" s="2" t="s">
        <v>10064</v>
      </c>
      <c r="B5757" s="2" t="s">
        <v>1099</v>
      </c>
      <c r="C5757" s="1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  <c r="L5757" s="2" t="s">
        <v>11030</v>
      </c>
      <c r="M5757" s="2" t="s">
        <v>11030</v>
      </c>
      <c r="N5757" s="2" t="s">
        <v>11036</v>
      </c>
      <c r="O5757" s="2" t="s">
        <v>11038</v>
      </c>
      <c r="P5757" s="2" t="s">
        <v>11037</v>
      </c>
      <c r="Q5757" s="2">
        <f>AVERAGE(PerfRate[[#This Row],[EnvironmentSatisfaction]],PerfRate[[#This Row],[JobSatisfaction]],PerfRate[[#This Row],[RelationshipSatisfaction]])</f>
        <v>4</v>
      </c>
      <c r="R5757" s="2">
        <f>PerfRate[[#This Row],[ManagerRating]] - PerfRate[[#This Row],[SelfRating]]</f>
        <v>0</v>
      </c>
    </row>
    <row r="5758" spans="1:18">
      <c r="A5758" s="2" t="s">
        <v>10065</v>
      </c>
      <c r="B5758" s="2" t="s">
        <v>3479</v>
      </c>
      <c r="C5758" s="1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  <c r="L5758" s="2" t="s">
        <v>11031</v>
      </c>
      <c r="M5758" s="2" t="s">
        <v>11030</v>
      </c>
      <c r="N5758" s="2" t="s">
        <v>11038</v>
      </c>
      <c r="O5758" s="2" t="s">
        <v>11038</v>
      </c>
      <c r="P5758" s="2" t="s">
        <v>11038</v>
      </c>
      <c r="Q5758" s="2">
        <f>AVERAGE(PerfRate[[#This Row],[EnvironmentSatisfaction]],PerfRate[[#This Row],[JobSatisfaction]],PerfRate[[#This Row],[RelationshipSatisfaction]])</f>
        <v>5</v>
      </c>
      <c r="R5758" s="2">
        <f>PerfRate[[#This Row],[ManagerRating]] - PerfRate[[#This Row],[SelfRating]]</f>
        <v>-1</v>
      </c>
    </row>
    <row r="5759" spans="1:18">
      <c r="A5759" s="2" t="s">
        <v>10066</v>
      </c>
      <c r="B5759" s="2" t="s">
        <v>3135</v>
      </c>
      <c r="C5759" s="1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  <c r="L5759" s="2" t="s">
        <v>11030</v>
      </c>
      <c r="M5759" s="2" t="s">
        <v>11030</v>
      </c>
      <c r="N5759" s="2" t="s">
        <v>11036</v>
      </c>
      <c r="O5759" s="2" t="s">
        <v>11038</v>
      </c>
      <c r="P5759" s="2" t="s">
        <v>11037</v>
      </c>
      <c r="Q5759" s="2">
        <f>AVERAGE(PerfRate[[#This Row],[EnvironmentSatisfaction]],PerfRate[[#This Row],[JobSatisfaction]],PerfRate[[#This Row],[RelationshipSatisfaction]])</f>
        <v>4</v>
      </c>
      <c r="R5759" s="2">
        <f>PerfRate[[#This Row],[ManagerRating]] - PerfRate[[#This Row],[SelfRating]]</f>
        <v>0</v>
      </c>
    </row>
    <row r="5760" spans="1:18">
      <c r="A5760" s="2" t="s">
        <v>10067</v>
      </c>
      <c r="B5760" s="2" t="s">
        <v>434</v>
      </c>
      <c r="C5760" s="1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  <c r="L5760" s="2" t="s">
        <v>11030</v>
      </c>
      <c r="M5760" s="2" t="s">
        <v>11029</v>
      </c>
      <c r="N5760" s="2" t="s">
        <v>11038</v>
      </c>
      <c r="O5760" s="2" t="s">
        <v>11038</v>
      </c>
      <c r="P5760" s="2" t="s">
        <v>11038</v>
      </c>
      <c r="Q5760" s="2">
        <f>AVERAGE(PerfRate[[#This Row],[EnvironmentSatisfaction]],PerfRate[[#This Row],[JobSatisfaction]],PerfRate[[#This Row],[RelationshipSatisfaction]])</f>
        <v>5</v>
      </c>
      <c r="R5760" s="2">
        <f>PerfRate[[#This Row],[ManagerRating]] - PerfRate[[#This Row],[SelfRating]]</f>
        <v>-1</v>
      </c>
    </row>
    <row r="5761" spans="1:18">
      <c r="A5761" s="2" t="s">
        <v>10068</v>
      </c>
      <c r="B5761" s="2" t="s">
        <v>3154</v>
      </c>
      <c r="C5761" s="1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  <c r="L5761" s="2" t="s">
        <v>11029</v>
      </c>
      <c r="M5761" s="2" t="s">
        <v>11029</v>
      </c>
      <c r="N5761" s="2" t="s">
        <v>11036</v>
      </c>
      <c r="O5761" s="2" t="s">
        <v>11036</v>
      </c>
      <c r="P5761" s="2" t="s">
        <v>11037</v>
      </c>
      <c r="Q5761" s="2">
        <f>AVERAGE(PerfRate[[#This Row],[EnvironmentSatisfaction]],PerfRate[[#This Row],[JobSatisfaction]],PerfRate[[#This Row],[RelationshipSatisfaction]])</f>
        <v>3.3333333333333335</v>
      </c>
      <c r="R5761" s="2">
        <f>PerfRate[[#This Row],[ManagerRating]] - PerfRate[[#This Row],[SelfRating]]</f>
        <v>0</v>
      </c>
    </row>
    <row r="5762" spans="1:18">
      <c r="A5762" s="2" t="s">
        <v>10069</v>
      </c>
      <c r="B5762" s="2" t="s">
        <v>1494</v>
      </c>
      <c r="C5762" s="1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  <c r="L5762" s="2" t="s">
        <v>11030</v>
      </c>
      <c r="M5762" s="2" t="s">
        <v>11030</v>
      </c>
      <c r="N5762" s="2" t="s">
        <v>11038</v>
      </c>
      <c r="O5762" s="2" t="s">
        <v>11035</v>
      </c>
      <c r="P5762" s="2" t="s">
        <v>11036</v>
      </c>
      <c r="Q5762" s="2">
        <f>AVERAGE(PerfRate[[#This Row],[EnvironmentSatisfaction]],PerfRate[[#This Row],[JobSatisfaction]],PerfRate[[#This Row],[RelationshipSatisfaction]])</f>
        <v>3.3333333333333335</v>
      </c>
      <c r="R5762" s="2">
        <f>PerfRate[[#This Row],[ManagerRating]] - PerfRate[[#This Row],[SelfRating]]</f>
        <v>0</v>
      </c>
    </row>
    <row r="5763" spans="1:18">
      <c r="A5763" s="2" t="s">
        <v>10070</v>
      </c>
      <c r="B5763" s="2" t="s">
        <v>2329</v>
      </c>
      <c r="C5763" s="1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  <c r="L5763" s="2" t="s">
        <v>11030</v>
      </c>
      <c r="M5763" s="2" t="s">
        <v>11029</v>
      </c>
      <c r="N5763" s="2" t="s">
        <v>11036</v>
      </c>
      <c r="O5763" s="2" t="s">
        <v>11035</v>
      </c>
      <c r="P5763" s="2" t="s">
        <v>11035</v>
      </c>
      <c r="Q5763" s="2">
        <f>AVERAGE(PerfRate[[#This Row],[EnvironmentSatisfaction]],PerfRate[[#This Row],[JobSatisfaction]],PerfRate[[#This Row],[RelationshipSatisfaction]])</f>
        <v>2.3333333333333335</v>
      </c>
      <c r="R5763" s="2">
        <f>PerfRate[[#This Row],[ManagerRating]] - PerfRate[[#This Row],[SelfRating]]</f>
        <v>-1</v>
      </c>
    </row>
    <row r="5764" spans="1:18">
      <c r="A5764" s="2" t="s">
        <v>10071</v>
      </c>
      <c r="B5764" s="2" t="s">
        <v>1447</v>
      </c>
      <c r="C5764" s="1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  <c r="L5764" s="2" t="s">
        <v>11030</v>
      </c>
      <c r="M5764" s="2" t="s">
        <v>11030</v>
      </c>
      <c r="N5764" s="2" t="s">
        <v>11038</v>
      </c>
      <c r="O5764" s="2" t="s">
        <v>11038</v>
      </c>
      <c r="P5764" s="2" t="s">
        <v>11036</v>
      </c>
      <c r="Q5764" s="2">
        <f>AVERAGE(PerfRate[[#This Row],[EnvironmentSatisfaction]],PerfRate[[#This Row],[JobSatisfaction]],PerfRate[[#This Row],[RelationshipSatisfaction]])</f>
        <v>4.333333333333333</v>
      </c>
      <c r="R5764" s="2">
        <f>PerfRate[[#This Row],[ManagerRating]] - PerfRate[[#This Row],[SelfRating]]</f>
        <v>0</v>
      </c>
    </row>
    <row r="5765" spans="1:18">
      <c r="A5765" s="2" t="s">
        <v>10072</v>
      </c>
      <c r="B5765" s="2" t="s">
        <v>443</v>
      </c>
      <c r="C5765" s="1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  <c r="L5765" s="2" t="s">
        <v>11030</v>
      </c>
      <c r="M5765" s="2" t="s">
        <v>11030</v>
      </c>
      <c r="N5765" s="2" t="s">
        <v>11036</v>
      </c>
      <c r="O5765" s="2" t="s">
        <v>11035</v>
      </c>
      <c r="P5765" s="2" t="s">
        <v>11035</v>
      </c>
      <c r="Q5765" s="2">
        <f>AVERAGE(PerfRate[[#This Row],[EnvironmentSatisfaction]],PerfRate[[#This Row],[JobSatisfaction]],PerfRate[[#This Row],[RelationshipSatisfaction]])</f>
        <v>2.3333333333333335</v>
      </c>
      <c r="R5765" s="2">
        <f>PerfRate[[#This Row],[ManagerRating]] - PerfRate[[#This Row],[SelfRating]]</f>
        <v>0</v>
      </c>
    </row>
    <row r="5766" spans="1:18">
      <c r="A5766" s="2" t="s">
        <v>10073</v>
      </c>
      <c r="B5766" s="2" t="s">
        <v>332</v>
      </c>
      <c r="C5766" s="1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  <c r="L5766" s="2" t="s">
        <v>11029</v>
      </c>
      <c r="M5766" s="2" t="s">
        <v>11029</v>
      </c>
      <c r="N5766" s="2" t="s">
        <v>11037</v>
      </c>
      <c r="O5766" s="2" t="s">
        <v>11035</v>
      </c>
      <c r="P5766" s="2" t="s">
        <v>11035</v>
      </c>
      <c r="Q5766" s="2">
        <f>AVERAGE(PerfRate[[#This Row],[EnvironmentSatisfaction]],PerfRate[[#This Row],[JobSatisfaction]],PerfRate[[#This Row],[RelationshipSatisfaction]])</f>
        <v>2.6666666666666665</v>
      </c>
      <c r="R5766" s="2">
        <f>PerfRate[[#This Row],[ManagerRating]] - PerfRate[[#This Row],[SelfRating]]</f>
        <v>0</v>
      </c>
    </row>
    <row r="5767" spans="1:18">
      <c r="A5767" s="2" t="s">
        <v>10074</v>
      </c>
      <c r="B5767" s="2" t="s">
        <v>565</v>
      </c>
      <c r="C5767" s="1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  <c r="L5767" s="2" t="s">
        <v>11031</v>
      </c>
      <c r="M5767" s="2" t="s">
        <v>11030</v>
      </c>
      <c r="N5767" s="2" t="s">
        <v>11038</v>
      </c>
      <c r="O5767" s="2" t="s">
        <v>11038</v>
      </c>
      <c r="P5767" s="2" t="s">
        <v>11037</v>
      </c>
      <c r="Q5767" s="2">
        <f>AVERAGE(PerfRate[[#This Row],[EnvironmentSatisfaction]],PerfRate[[#This Row],[JobSatisfaction]],PerfRate[[#This Row],[RelationshipSatisfaction]])</f>
        <v>4.666666666666667</v>
      </c>
      <c r="R5767" s="2">
        <f>PerfRate[[#This Row],[ManagerRating]] - PerfRate[[#This Row],[SelfRating]]</f>
        <v>-1</v>
      </c>
    </row>
    <row r="5768" spans="1:18">
      <c r="A5768" s="2" t="s">
        <v>10075</v>
      </c>
      <c r="B5768" s="2" t="s">
        <v>1756</v>
      </c>
      <c r="C5768" s="1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  <c r="L5768" s="2" t="s">
        <v>11031</v>
      </c>
      <c r="M5768" s="2" t="s">
        <v>11031</v>
      </c>
      <c r="N5768" s="2" t="s">
        <v>11035</v>
      </c>
      <c r="O5768" s="2" t="s">
        <v>11034</v>
      </c>
      <c r="P5768" s="2" t="s">
        <v>11035</v>
      </c>
      <c r="Q5768" s="2">
        <f>AVERAGE(PerfRate[[#This Row],[EnvironmentSatisfaction]],PerfRate[[#This Row],[JobSatisfaction]],PerfRate[[#This Row],[RelationshipSatisfaction]])</f>
        <v>1.6666666666666667</v>
      </c>
      <c r="R5768" s="2">
        <f>PerfRate[[#This Row],[ManagerRating]] - PerfRate[[#This Row],[SelfRating]]</f>
        <v>0</v>
      </c>
    </row>
    <row r="5769" spans="1:18">
      <c r="A5769" s="2" t="s">
        <v>10076</v>
      </c>
      <c r="B5769" s="2" t="s">
        <v>3555</v>
      </c>
      <c r="C5769" s="1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  <c r="L5769" s="2" t="s">
        <v>11029</v>
      </c>
      <c r="M5769" s="2" t="s">
        <v>11029</v>
      </c>
      <c r="N5769" s="2" t="s">
        <v>11037</v>
      </c>
      <c r="O5769" s="2" t="s">
        <v>11035</v>
      </c>
      <c r="P5769" s="2" t="s">
        <v>11034</v>
      </c>
      <c r="Q5769" s="2">
        <f>AVERAGE(PerfRate[[#This Row],[EnvironmentSatisfaction]],PerfRate[[#This Row],[JobSatisfaction]],PerfRate[[#This Row],[RelationshipSatisfaction]])</f>
        <v>2.3333333333333335</v>
      </c>
      <c r="R5769" s="2">
        <f>PerfRate[[#This Row],[ManagerRating]] - PerfRate[[#This Row],[SelfRating]]</f>
        <v>0</v>
      </c>
    </row>
    <row r="5770" spans="1:18">
      <c r="A5770" s="2" t="s">
        <v>10077</v>
      </c>
      <c r="B5770" s="2" t="s">
        <v>2290</v>
      </c>
      <c r="C5770" s="1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  <c r="L5770" s="2" t="s">
        <v>11031</v>
      </c>
      <c r="M5770" s="2" t="s">
        <v>11031</v>
      </c>
      <c r="N5770" s="2" t="s">
        <v>11035</v>
      </c>
      <c r="O5770" s="2" t="s">
        <v>11034</v>
      </c>
      <c r="P5770" s="2" t="s">
        <v>11034</v>
      </c>
      <c r="Q5770" s="2">
        <f>AVERAGE(PerfRate[[#This Row],[EnvironmentSatisfaction]],PerfRate[[#This Row],[JobSatisfaction]],PerfRate[[#This Row],[RelationshipSatisfaction]])</f>
        <v>1.3333333333333333</v>
      </c>
      <c r="R5770" s="2">
        <f>PerfRate[[#This Row],[ManagerRating]] - PerfRate[[#This Row],[SelfRating]]</f>
        <v>0</v>
      </c>
    </row>
    <row r="5771" spans="1:18">
      <c r="A5771" s="2" t="s">
        <v>10078</v>
      </c>
      <c r="B5771" s="2" t="s">
        <v>2783</v>
      </c>
      <c r="C5771" s="1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  <c r="L5771" s="2" t="s">
        <v>11030</v>
      </c>
      <c r="M5771" s="2" t="s">
        <v>11029</v>
      </c>
      <c r="N5771" s="2" t="s">
        <v>11036</v>
      </c>
      <c r="O5771" s="2" t="s">
        <v>11035</v>
      </c>
      <c r="P5771" s="2" t="s">
        <v>11035</v>
      </c>
      <c r="Q5771" s="2">
        <f>AVERAGE(PerfRate[[#This Row],[EnvironmentSatisfaction]],PerfRate[[#This Row],[JobSatisfaction]],PerfRate[[#This Row],[RelationshipSatisfaction]])</f>
        <v>2.3333333333333335</v>
      </c>
      <c r="R5771" s="2">
        <f>PerfRate[[#This Row],[ManagerRating]] - PerfRate[[#This Row],[SelfRating]]</f>
        <v>-1</v>
      </c>
    </row>
    <row r="5772" spans="1:18">
      <c r="A5772" s="2" t="s">
        <v>10079</v>
      </c>
      <c r="B5772" s="2" t="s">
        <v>266</v>
      </c>
      <c r="C5772" s="1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  <c r="L5772" s="2" t="s">
        <v>11031</v>
      </c>
      <c r="M5772" s="2" t="s">
        <v>11031</v>
      </c>
      <c r="N5772" s="2" t="s">
        <v>11036</v>
      </c>
      <c r="O5772" s="2" t="s">
        <v>11037</v>
      </c>
      <c r="P5772" s="2" t="s">
        <v>11038</v>
      </c>
      <c r="Q5772" s="2">
        <f>AVERAGE(PerfRate[[#This Row],[EnvironmentSatisfaction]],PerfRate[[#This Row],[JobSatisfaction]],PerfRate[[#This Row],[RelationshipSatisfaction]])</f>
        <v>4</v>
      </c>
      <c r="R5772" s="2">
        <f>PerfRate[[#This Row],[ManagerRating]] - PerfRate[[#This Row],[SelfRating]]</f>
        <v>0</v>
      </c>
    </row>
    <row r="5773" spans="1:18">
      <c r="A5773" s="2" t="s">
        <v>10080</v>
      </c>
      <c r="B5773" s="2" t="s">
        <v>3460</v>
      </c>
      <c r="C5773" s="1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  <c r="L5773" s="2" t="s">
        <v>11030</v>
      </c>
      <c r="M5773" s="2" t="s">
        <v>11029</v>
      </c>
      <c r="N5773" s="2" t="s">
        <v>11038</v>
      </c>
      <c r="O5773" s="2" t="s">
        <v>11038</v>
      </c>
      <c r="P5773" s="2" t="s">
        <v>11036</v>
      </c>
      <c r="Q5773" s="2">
        <f>AVERAGE(PerfRate[[#This Row],[EnvironmentSatisfaction]],PerfRate[[#This Row],[JobSatisfaction]],PerfRate[[#This Row],[RelationshipSatisfaction]])</f>
        <v>4.333333333333333</v>
      </c>
      <c r="R5773" s="2">
        <f>PerfRate[[#This Row],[ManagerRating]] - PerfRate[[#This Row],[SelfRating]]</f>
        <v>-1</v>
      </c>
    </row>
    <row r="5774" spans="1:18">
      <c r="A5774" s="2" t="s">
        <v>10081</v>
      </c>
      <c r="B5774" s="2" t="s">
        <v>201</v>
      </c>
      <c r="C5774" s="1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  <c r="L5774" s="2" t="s">
        <v>11031</v>
      </c>
      <c r="M5774" s="2" t="s">
        <v>11030</v>
      </c>
      <c r="N5774" s="2" t="s">
        <v>11036</v>
      </c>
      <c r="O5774" s="2" t="s">
        <v>11035</v>
      </c>
      <c r="P5774" s="2" t="s">
        <v>11036</v>
      </c>
      <c r="Q5774" s="2">
        <f>AVERAGE(PerfRate[[#This Row],[EnvironmentSatisfaction]],PerfRate[[#This Row],[JobSatisfaction]],PerfRate[[#This Row],[RelationshipSatisfaction]])</f>
        <v>2.6666666666666665</v>
      </c>
      <c r="R5774" s="2">
        <f>PerfRate[[#This Row],[ManagerRating]] - PerfRate[[#This Row],[SelfRating]]</f>
        <v>-1</v>
      </c>
    </row>
    <row r="5775" spans="1:18">
      <c r="A5775" s="2" t="s">
        <v>10082</v>
      </c>
      <c r="B5775" s="2" t="s">
        <v>476</v>
      </c>
      <c r="C5775" s="1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  <c r="L5775" s="2" t="s">
        <v>11031</v>
      </c>
      <c r="M5775" s="2" t="s">
        <v>11031</v>
      </c>
      <c r="N5775" s="2" t="s">
        <v>11036</v>
      </c>
      <c r="O5775" s="2" t="s">
        <v>11037</v>
      </c>
      <c r="P5775" s="2" t="s">
        <v>11037</v>
      </c>
      <c r="Q5775" s="2">
        <f>AVERAGE(PerfRate[[#This Row],[EnvironmentSatisfaction]],PerfRate[[#This Row],[JobSatisfaction]],PerfRate[[#This Row],[RelationshipSatisfaction]])</f>
        <v>3.6666666666666665</v>
      </c>
      <c r="R5775" s="2">
        <f>PerfRate[[#This Row],[ManagerRating]] - PerfRate[[#This Row],[SelfRating]]</f>
        <v>0</v>
      </c>
    </row>
    <row r="5776" spans="1:18">
      <c r="A5776" s="2" t="s">
        <v>10083</v>
      </c>
      <c r="B5776" s="2" t="s">
        <v>2906</v>
      </c>
      <c r="C5776" s="1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  <c r="L5776" s="2" t="s">
        <v>11029</v>
      </c>
      <c r="M5776" s="2" t="s">
        <v>11029</v>
      </c>
      <c r="N5776" s="2" t="s">
        <v>11038</v>
      </c>
      <c r="O5776" s="2" t="s">
        <v>11038</v>
      </c>
      <c r="P5776" s="2" t="s">
        <v>11038</v>
      </c>
      <c r="Q5776" s="2">
        <f>AVERAGE(PerfRate[[#This Row],[EnvironmentSatisfaction]],PerfRate[[#This Row],[JobSatisfaction]],PerfRate[[#This Row],[RelationshipSatisfaction]])</f>
        <v>5</v>
      </c>
      <c r="R5776" s="2">
        <f>PerfRate[[#This Row],[ManagerRating]] - PerfRate[[#This Row],[SelfRating]]</f>
        <v>0</v>
      </c>
    </row>
    <row r="5777" spans="1:18">
      <c r="A5777" s="2" t="s">
        <v>10084</v>
      </c>
      <c r="B5777" s="2" t="s">
        <v>640</v>
      </c>
      <c r="C5777" s="1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  <c r="L5777" s="2" t="s">
        <v>11031</v>
      </c>
      <c r="M5777" s="2" t="s">
        <v>11030</v>
      </c>
      <c r="N5777" s="2" t="s">
        <v>11038</v>
      </c>
      <c r="O5777" s="2" t="s">
        <v>11036</v>
      </c>
      <c r="P5777" s="2" t="s">
        <v>11037</v>
      </c>
      <c r="Q5777" s="2">
        <f>AVERAGE(PerfRate[[#This Row],[EnvironmentSatisfaction]],PerfRate[[#This Row],[JobSatisfaction]],PerfRate[[#This Row],[RelationshipSatisfaction]])</f>
        <v>4</v>
      </c>
      <c r="R5777" s="2">
        <f>PerfRate[[#This Row],[ManagerRating]] - PerfRate[[#This Row],[SelfRating]]</f>
        <v>-1</v>
      </c>
    </row>
    <row r="5778" spans="1:18">
      <c r="A5778" s="2" t="s">
        <v>10085</v>
      </c>
      <c r="B5778" s="2" t="s">
        <v>1632</v>
      </c>
      <c r="C5778" s="1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  <c r="L5778" s="2" t="s">
        <v>11030</v>
      </c>
      <c r="M5778" s="2" t="s">
        <v>11029</v>
      </c>
      <c r="N5778" s="2" t="s">
        <v>11036</v>
      </c>
      <c r="O5778" s="2" t="s">
        <v>11035</v>
      </c>
      <c r="P5778" s="2" t="s">
        <v>11035</v>
      </c>
      <c r="Q5778" s="2">
        <f>AVERAGE(PerfRate[[#This Row],[EnvironmentSatisfaction]],PerfRate[[#This Row],[JobSatisfaction]],PerfRate[[#This Row],[RelationshipSatisfaction]])</f>
        <v>2.3333333333333335</v>
      </c>
      <c r="R5778" s="2">
        <f>PerfRate[[#This Row],[ManagerRating]] - PerfRate[[#This Row],[SelfRating]]</f>
        <v>-1</v>
      </c>
    </row>
    <row r="5779" spans="1:18">
      <c r="A5779" s="2" t="s">
        <v>10086</v>
      </c>
      <c r="B5779" s="2" t="s">
        <v>1813</v>
      </c>
      <c r="C5779" s="1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  <c r="L5779" s="2" t="s">
        <v>11030</v>
      </c>
      <c r="M5779" s="2" t="s">
        <v>11030</v>
      </c>
      <c r="N5779" s="2" t="s">
        <v>11035</v>
      </c>
      <c r="O5779" s="2" t="s">
        <v>11034</v>
      </c>
      <c r="P5779" s="2" t="s">
        <v>11034</v>
      </c>
      <c r="Q5779" s="2">
        <f>AVERAGE(PerfRate[[#This Row],[EnvironmentSatisfaction]],PerfRate[[#This Row],[JobSatisfaction]],PerfRate[[#This Row],[RelationshipSatisfaction]])</f>
        <v>1.3333333333333333</v>
      </c>
      <c r="R5779" s="2">
        <f>PerfRate[[#This Row],[ManagerRating]] - PerfRate[[#This Row],[SelfRating]]</f>
        <v>0</v>
      </c>
    </row>
    <row r="5780" spans="1:18">
      <c r="A5780" s="2" t="s">
        <v>10087</v>
      </c>
      <c r="B5780" s="2" t="s">
        <v>994</v>
      </c>
      <c r="C5780" s="1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  <c r="L5780" s="2" t="s">
        <v>11031</v>
      </c>
      <c r="M5780" s="2" t="s">
        <v>11030</v>
      </c>
      <c r="N5780" s="2" t="s">
        <v>11034</v>
      </c>
      <c r="O5780" s="2" t="s">
        <v>11035</v>
      </c>
      <c r="P5780" s="2" t="s">
        <v>11034</v>
      </c>
      <c r="Q5780" s="2">
        <f>AVERAGE(PerfRate[[#This Row],[EnvironmentSatisfaction]],PerfRate[[#This Row],[JobSatisfaction]],PerfRate[[#This Row],[RelationshipSatisfaction]])</f>
        <v>1.3333333333333333</v>
      </c>
      <c r="R5780" s="2">
        <f>PerfRate[[#This Row],[ManagerRating]] - PerfRate[[#This Row],[SelfRating]]</f>
        <v>-1</v>
      </c>
    </row>
    <row r="5781" spans="1:18">
      <c r="A5781" s="2" t="s">
        <v>10088</v>
      </c>
      <c r="B5781" s="2" t="s">
        <v>1268</v>
      </c>
      <c r="C5781" s="1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  <c r="L5781" s="2" t="s">
        <v>11030</v>
      </c>
      <c r="M5781" s="2" t="s">
        <v>11030</v>
      </c>
      <c r="N5781" s="2" t="s">
        <v>11038</v>
      </c>
      <c r="O5781" s="2" t="s">
        <v>11036</v>
      </c>
      <c r="P5781" s="2" t="s">
        <v>11037</v>
      </c>
      <c r="Q5781" s="2">
        <f>AVERAGE(PerfRate[[#This Row],[EnvironmentSatisfaction]],PerfRate[[#This Row],[JobSatisfaction]],PerfRate[[#This Row],[RelationshipSatisfaction]])</f>
        <v>4</v>
      </c>
      <c r="R5781" s="2">
        <f>PerfRate[[#This Row],[ManagerRating]] - PerfRate[[#This Row],[SelfRating]]</f>
        <v>0</v>
      </c>
    </row>
    <row r="5782" spans="1:18">
      <c r="A5782" s="2" t="s">
        <v>10089</v>
      </c>
      <c r="B5782" s="2" t="s">
        <v>1462</v>
      </c>
      <c r="C5782" s="1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  <c r="L5782" s="2" t="s">
        <v>11030</v>
      </c>
      <c r="M5782" s="2" t="s">
        <v>11029</v>
      </c>
      <c r="N5782" s="2" t="s">
        <v>11037</v>
      </c>
      <c r="O5782" s="2" t="s">
        <v>11037</v>
      </c>
      <c r="P5782" s="2" t="s">
        <v>11038</v>
      </c>
      <c r="Q5782" s="2">
        <f>AVERAGE(PerfRate[[#This Row],[EnvironmentSatisfaction]],PerfRate[[#This Row],[JobSatisfaction]],PerfRate[[#This Row],[RelationshipSatisfaction]])</f>
        <v>4.333333333333333</v>
      </c>
      <c r="R5782" s="2">
        <f>PerfRate[[#This Row],[ManagerRating]] - PerfRate[[#This Row],[SelfRating]]</f>
        <v>-1</v>
      </c>
    </row>
    <row r="5783" spans="1:18">
      <c r="A5783" s="2" t="s">
        <v>10090</v>
      </c>
      <c r="B5783" s="2" t="s">
        <v>1909</v>
      </c>
      <c r="C5783" s="1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  <c r="L5783" s="2" t="s">
        <v>11030</v>
      </c>
      <c r="M5783" s="2" t="s">
        <v>11030</v>
      </c>
      <c r="N5783" s="2" t="s">
        <v>11036</v>
      </c>
      <c r="O5783" s="2" t="s">
        <v>11035</v>
      </c>
      <c r="P5783" s="2" t="s">
        <v>11037</v>
      </c>
      <c r="Q5783" s="2">
        <f>AVERAGE(PerfRate[[#This Row],[EnvironmentSatisfaction]],PerfRate[[#This Row],[JobSatisfaction]],PerfRate[[#This Row],[RelationshipSatisfaction]])</f>
        <v>3</v>
      </c>
      <c r="R5783" s="2">
        <f>PerfRate[[#This Row],[ManagerRating]] - PerfRate[[#This Row],[SelfRating]]</f>
        <v>0</v>
      </c>
    </row>
    <row r="5784" spans="1:18">
      <c r="A5784" s="2" t="s">
        <v>10091</v>
      </c>
      <c r="B5784" s="2" t="s">
        <v>1915</v>
      </c>
      <c r="C5784" s="1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  <c r="L5784" s="2" t="s">
        <v>11029</v>
      </c>
      <c r="M5784" s="2" t="s">
        <v>11028</v>
      </c>
      <c r="N5784" s="2" t="s">
        <v>11036</v>
      </c>
      <c r="O5784" s="2" t="s">
        <v>11035</v>
      </c>
      <c r="P5784" s="2" t="s">
        <v>11035</v>
      </c>
      <c r="Q5784" s="2">
        <f>AVERAGE(PerfRate[[#This Row],[EnvironmentSatisfaction]],PerfRate[[#This Row],[JobSatisfaction]],PerfRate[[#This Row],[RelationshipSatisfaction]])</f>
        <v>2.3333333333333335</v>
      </c>
      <c r="R5784" s="2">
        <f>PerfRate[[#This Row],[ManagerRating]] - PerfRate[[#This Row],[SelfRating]]</f>
        <v>-1</v>
      </c>
    </row>
    <row r="5785" spans="1:18">
      <c r="A5785" s="2" t="s">
        <v>10092</v>
      </c>
      <c r="B5785" s="2" t="s">
        <v>1611</v>
      </c>
      <c r="C5785" s="1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  <c r="L5785" s="2" t="s">
        <v>11031</v>
      </c>
      <c r="M5785" s="2" t="s">
        <v>11031</v>
      </c>
      <c r="N5785" s="2" t="s">
        <v>11038</v>
      </c>
      <c r="O5785" s="2" t="s">
        <v>11037</v>
      </c>
      <c r="P5785" s="2" t="s">
        <v>11038</v>
      </c>
      <c r="Q5785" s="2">
        <f>AVERAGE(PerfRate[[#This Row],[EnvironmentSatisfaction]],PerfRate[[#This Row],[JobSatisfaction]],PerfRate[[#This Row],[RelationshipSatisfaction]])</f>
        <v>4.666666666666667</v>
      </c>
      <c r="R5785" s="2">
        <f>PerfRate[[#This Row],[ManagerRating]] - PerfRate[[#This Row],[SelfRating]]</f>
        <v>0</v>
      </c>
    </row>
    <row r="5786" spans="1:18">
      <c r="A5786" s="2" t="s">
        <v>10093</v>
      </c>
      <c r="B5786" s="2" t="s">
        <v>1903</v>
      </c>
      <c r="C5786" s="1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  <c r="L5786" s="2" t="s">
        <v>11029</v>
      </c>
      <c r="M5786" s="2" t="s">
        <v>11028</v>
      </c>
      <c r="N5786" s="2" t="s">
        <v>11037</v>
      </c>
      <c r="O5786" s="2" t="s">
        <v>11037</v>
      </c>
      <c r="P5786" s="2" t="s">
        <v>11036</v>
      </c>
      <c r="Q5786" s="2">
        <f>AVERAGE(PerfRate[[#This Row],[EnvironmentSatisfaction]],PerfRate[[#This Row],[JobSatisfaction]],PerfRate[[#This Row],[RelationshipSatisfaction]])</f>
        <v>3.6666666666666665</v>
      </c>
      <c r="R5786" s="2">
        <f>PerfRate[[#This Row],[ManagerRating]] - PerfRate[[#This Row],[SelfRating]]</f>
        <v>-1</v>
      </c>
    </row>
    <row r="5787" spans="1:18">
      <c r="A5787" s="2" t="s">
        <v>10094</v>
      </c>
      <c r="B5787" s="2" t="s">
        <v>3531</v>
      </c>
      <c r="C5787" s="1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  <c r="L5787" s="2" t="s">
        <v>11030</v>
      </c>
      <c r="M5787" s="2" t="s">
        <v>11029</v>
      </c>
      <c r="N5787" s="2" t="s">
        <v>11037</v>
      </c>
      <c r="O5787" s="2" t="s">
        <v>11037</v>
      </c>
      <c r="P5787" s="2" t="s">
        <v>11036</v>
      </c>
      <c r="Q5787" s="2">
        <f>AVERAGE(PerfRate[[#This Row],[EnvironmentSatisfaction]],PerfRate[[#This Row],[JobSatisfaction]],PerfRate[[#This Row],[RelationshipSatisfaction]])</f>
        <v>3.6666666666666665</v>
      </c>
      <c r="R5787" s="2">
        <f>PerfRate[[#This Row],[ManagerRating]] - PerfRate[[#This Row],[SelfRating]]</f>
        <v>-1</v>
      </c>
    </row>
    <row r="5788" spans="1:18">
      <c r="A5788" s="2" t="s">
        <v>10095</v>
      </c>
      <c r="B5788" s="2" t="s">
        <v>263</v>
      </c>
      <c r="C5788" s="1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  <c r="L5788" s="2" t="s">
        <v>11030</v>
      </c>
      <c r="M5788" s="2" t="s">
        <v>11030</v>
      </c>
      <c r="N5788" s="2" t="s">
        <v>11038</v>
      </c>
      <c r="O5788" s="2" t="s">
        <v>11035</v>
      </c>
      <c r="P5788" s="2" t="s">
        <v>11037</v>
      </c>
      <c r="Q5788" s="2">
        <f>AVERAGE(PerfRate[[#This Row],[EnvironmentSatisfaction]],PerfRate[[#This Row],[JobSatisfaction]],PerfRate[[#This Row],[RelationshipSatisfaction]])</f>
        <v>3.6666666666666665</v>
      </c>
      <c r="R5788" s="2">
        <f>PerfRate[[#This Row],[ManagerRating]] - PerfRate[[#This Row],[SelfRating]]</f>
        <v>0</v>
      </c>
    </row>
    <row r="5789" spans="1:18">
      <c r="A5789" s="2" t="s">
        <v>10096</v>
      </c>
      <c r="B5789" s="2" t="s">
        <v>880</v>
      </c>
      <c r="C5789" s="1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  <c r="L5789" s="2" t="s">
        <v>11030</v>
      </c>
      <c r="M5789" s="2" t="s">
        <v>11030</v>
      </c>
      <c r="N5789" s="2" t="s">
        <v>11038</v>
      </c>
      <c r="O5789" s="2" t="s">
        <v>11038</v>
      </c>
      <c r="P5789" s="2" t="s">
        <v>11037</v>
      </c>
      <c r="Q5789" s="2">
        <f>AVERAGE(PerfRate[[#This Row],[EnvironmentSatisfaction]],PerfRate[[#This Row],[JobSatisfaction]],PerfRate[[#This Row],[RelationshipSatisfaction]])</f>
        <v>4.666666666666667</v>
      </c>
      <c r="R5789" s="2">
        <f>PerfRate[[#This Row],[ManagerRating]] - PerfRate[[#This Row],[SelfRating]]</f>
        <v>0</v>
      </c>
    </row>
    <row r="5790" spans="1:18">
      <c r="A5790" s="2" t="s">
        <v>10097</v>
      </c>
      <c r="B5790" s="2" t="s">
        <v>1261</v>
      </c>
      <c r="C5790" s="1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  <c r="L5790" s="2" t="s">
        <v>11029</v>
      </c>
      <c r="M5790" s="2" t="s">
        <v>11029</v>
      </c>
      <c r="N5790" s="2" t="s">
        <v>11037</v>
      </c>
      <c r="O5790" s="2" t="s">
        <v>11037</v>
      </c>
      <c r="P5790" s="2" t="s">
        <v>11036</v>
      </c>
      <c r="Q5790" s="2">
        <f>AVERAGE(PerfRate[[#This Row],[EnvironmentSatisfaction]],PerfRate[[#This Row],[JobSatisfaction]],PerfRate[[#This Row],[RelationshipSatisfaction]])</f>
        <v>3.6666666666666665</v>
      </c>
      <c r="R5790" s="2">
        <f>PerfRate[[#This Row],[ManagerRating]] - PerfRate[[#This Row],[SelfRating]]</f>
        <v>0</v>
      </c>
    </row>
    <row r="5791" spans="1:18">
      <c r="A5791" s="2" t="s">
        <v>10098</v>
      </c>
      <c r="B5791" s="2" t="s">
        <v>2630</v>
      </c>
      <c r="C5791" s="1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  <c r="L5791" s="2" t="s">
        <v>11029</v>
      </c>
      <c r="M5791" s="2" t="s">
        <v>11028</v>
      </c>
      <c r="N5791" s="2" t="s">
        <v>11037</v>
      </c>
      <c r="O5791" s="2" t="s">
        <v>11035</v>
      </c>
      <c r="P5791" s="2" t="s">
        <v>11036</v>
      </c>
      <c r="Q5791" s="2">
        <f>AVERAGE(PerfRate[[#This Row],[EnvironmentSatisfaction]],PerfRate[[#This Row],[JobSatisfaction]],PerfRate[[#This Row],[RelationshipSatisfaction]])</f>
        <v>3</v>
      </c>
      <c r="R5791" s="2">
        <f>PerfRate[[#This Row],[ManagerRating]] - PerfRate[[#This Row],[SelfRating]]</f>
        <v>-1</v>
      </c>
    </row>
    <row r="5792" spans="1:18">
      <c r="A5792" s="2" t="s">
        <v>10099</v>
      </c>
      <c r="B5792" s="2" t="s">
        <v>2803</v>
      </c>
      <c r="C5792" s="1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  <c r="L5792" s="2" t="s">
        <v>11029</v>
      </c>
      <c r="M5792" s="2" t="s">
        <v>11029</v>
      </c>
      <c r="N5792" s="2" t="s">
        <v>11038</v>
      </c>
      <c r="O5792" s="2" t="s">
        <v>11035</v>
      </c>
      <c r="P5792" s="2" t="s">
        <v>11035</v>
      </c>
      <c r="Q5792" s="2">
        <f>AVERAGE(PerfRate[[#This Row],[EnvironmentSatisfaction]],PerfRate[[#This Row],[JobSatisfaction]],PerfRate[[#This Row],[RelationshipSatisfaction]])</f>
        <v>3</v>
      </c>
      <c r="R5792" s="2">
        <f>PerfRate[[#This Row],[ManagerRating]] - PerfRate[[#This Row],[SelfRating]]</f>
        <v>0</v>
      </c>
    </row>
    <row r="5793" spans="1:18">
      <c r="A5793" s="2" t="s">
        <v>10100</v>
      </c>
      <c r="B5793" s="2" t="s">
        <v>3507</v>
      </c>
      <c r="C5793" s="1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  <c r="L5793" s="2" t="s">
        <v>11030</v>
      </c>
      <c r="M5793" s="2" t="s">
        <v>11030</v>
      </c>
      <c r="N5793" s="2" t="s">
        <v>11037</v>
      </c>
      <c r="O5793" s="2" t="s">
        <v>11037</v>
      </c>
      <c r="P5793" s="2" t="s">
        <v>11036</v>
      </c>
      <c r="Q5793" s="2">
        <f>AVERAGE(PerfRate[[#This Row],[EnvironmentSatisfaction]],PerfRate[[#This Row],[JobSatisfaction]],PerfRate[[#This Row],[RelationshipSatisfaction]])</f>
        <v>3.6666666666666665</v>
      </c>
      <c r="R5793" s="2">
        <f>PerfRate[[#This Row],[ManagerRating]] - PerfRate[[#This Row],[SelfRating]]</f>
        <v>0</v>
      </c>
    </row>
    <row r="5794" spans="1:18">
      <c r="A5794" s="2" t="s">
        <v>10101</v>
      </c>
      <c r="B5794" s="2" t="s">
        <v>2310</v>
      </c>
      <c r="C5794" s="1">
        <v>44568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  <c r="L5794" s="2" t="s">
        <v>11030</v>
      </c>
      <c r="M5794" s="2" t="s">
        <v>11030</v>
      </c>
      <c r="N5794" s="2" t="s">
        <v>11037</v>
      </c>
      <c r="O5794" s="2" t="s">
        <v>11037</v>
      </c>
      <c r="P5794" s="2" t="s">
        <v>11036</v>
      </c>
      <c r="Q5794" s="2">
        <f>AVERAGE(PerfRate[[#This Row],[EnvironmentSatisfaction]],PerfRate[[#This Row],[JobSatisfaction]],PerfRate[[#This Row],[RelationshipSatisfaction]])</f>
        <v>3.6666666666666665</v>
      </c>
      <c r="R5794" s="2">
        <f>PerfRate[[#This Row],[ManagerRating]] - PerfRate[[#This Row],[SelfRating]]</f>
        <v>0</v>
      </c>
    </row>
    <row r="5795" spans="1:18">
      <c r="A5795" s="2" t="s">
        <v>10102</v>
      </c>
      <c r="B5795" s="2" t="s">
        <v>208</v>
      </c>
      <c r="C5795" s="1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  <c r="L5795" s="2" t="s">
        <v>11030</v>
      </c>
      <c r="M5795" s="2" t="s">
        <v>11029</v>
      </c>
      <c r="N5795" s="2" t="s">
        <v>11038</v>
      </c>
      <c r="O5795" s="2" t="s">
        <v>11037</v>
      </c>
      <c r="P5795" s="2" t="s">
        <v>11035</v>
      </c>
      <c r="Q5795" s="2">
        <f>AVERAGE(PerfRate[[#This Row],[EnvironmentSatisfaction]],PerfRate[[#This Row],[JobSatisfaction]],PerfRate[[#This Row],[RelationshipSatisfaction]])</f>
        <v>3.6666666666666665</v>
      </c>
      <c r="R5795" s="2">
        <f>PerfRate[[#This Row],[ManagerRating]] - PerfRate[[#This Row],[SelfRating]]</f>
        <v>-1</v>
      </c>
    </row>
    <row r="5796" spans="1:18">
      <c r="A5796" s="2" t="s">
        <v>10103</v>
      </c>
      <c r="B5796" s="2" t="s">
        <v>467</v>
      </c>
      <c r="C5796" s="1">
        <v>44599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  <c r="L5796" s="2" t="s">
        <v>11030</v>
      </c>
      <c r="M5796" s="2" t="s">
        <v>11030</v>
      </c>
      <c r="N5796" s="2" t="s">
        <v>11037</v>
      </c>
      <c r="O5796" s="2" t="s">
        <v>11037</v>
      </c>
      <c r="P5796" s="2" t="s">
        <v>11037</v>
      </c>
      <c r="Q5796" s="2">
        <f>AVERAGE(PerfRate[[#This Row],[EnvironmentSatisfaction]],PerfRate[[#This Row],[JobSatisfaction]],PerfRate[[#This Row],[RelationshipSatisfaction]])</f>
        <v>4</v>
      </c>
      <c r="R5796" s="2">
        <f>PerfRate[[#This Row],[ManagerRating]] - PerfRate[[#This Row],[SelfRating]]</f>
        <v>0</v>
      </c>
    </row>
    <row r="5797" spans="1:18">
      <c r="A5797" s="2" t="s">
        <v>10104</v>
      </c>
      <c r="B5797" s="2" t="s">
        <v>1859</v>
      </c>
      <c r="C5797" s="1">
        <v>44627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  <c r="L5797" s="2" t="s">
        <v>11030</v>
      </c>
      <c r="M5797" s="2" t="s">
        <v>11030</v>
      </c>
      <c r="N5797" s="2" t="s">
        <v>11036</v>
      </c>
      <c r="O5797" s="2" t="s">
        <v>11035</v>
      </c>
      <c r="P5797" s="2" t="s">
        <v>11036</v>
      </c>
      <c r="Q5797" s="2">
        <f>AVERAGE(PerfRate[[#This Row],[EnvironmentSatisfaction]],PerfRate[[#This Row],[JobSatisfaction]],PerfRate[[#This Row],[RelationshipSatisfaction]])</f>
        <v>2.6666666666666665</v>
      </c>
      <c r="R5797" s="2">
        <f>PerfRate[[#This Row],[ManagerRating]] - PerfRate[[#This Row],[SelfRating]]</f>
        <v>0</v>
      </c>
    </row>
    <row r="5798" spans="1:18">
      <c r="A5798" s="2" t="s">
        <v>10105</v>
      </c>
      <c r="B5798" s="2" t="s">
        <v>2091</v>
      </c>
      <c r="C5798" s="1">
        <v>44627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  <c r="L5798" s="2" t="s">
        <v>11030</v>
      </c>
      <c r="M5798" s="2" t="s">
        <v>11030</v>
      </c>
      <c r="N5798" s="2" t="s">
        <v>11038</v>
      </c>
      <c r="O5798" s="2" t="s">
        <v>11035</v>
      </c>
      <c r="P5798" s="2" t="s">
        <v>11036</v>
      </c>
      <c r="Q5798" s="2">
        <f>AVERAGE(PerfRate[[#This Row],[EnvironmentSatisfaction]],PerfRate[[#This Row],[JobSatisfaction]],PerfRate[[#This Row],[RelationshipSatisfaction]])</f>
        <v>3.3333333333333335</v>
      </c>
      <c r="R5798" s="2">
        <f>PerfRate[[#This Row],[ManagerRating]] - PerfRate[[#This Row],[SelfRating]]</f>
        <v>0</v>
      </c>
    </row>
    <row r="5799" spans="1:18">
      <c r="A5799" s="2" t="s">
        <v>10106</v>
      </c>
      <c r="B5799" s="2" t="s">
        <v>505</v>
      </c>
      <c r="C5799" s="1">
        <v>44658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  <c r="L5799" s="2" t="s">
        <v>11031</v>
      </c>
      <c r="M5799" s="2" t="s">
        <v>11031</v>
      </c>
      <c r="N5799" s="2" t="s">
        <v>11037</v>
      </c>
      <c r="O5799" s="2" t="s">
        <v>11036</v>
      </c>
      <c r="P5799" s="2" t="s">
        <v>11038</v>
      </c>
      <c r="Q5799" s="2">
        <f>AVERAGE(PerfRate[[#This Row],[EnvironmentSatisfaction]],PerfRate[[#This Row],[JobSatisfaction]],PerfRate[[#This Row],[RelationshipSatisfaction]])</f>
        <v>4</v>
      </c>
      <c r="R5799" s="2">
        <f>PerfRate[[#This Row],[ManagerRating]] - PerfRate[[#This Row],[SelfRating]]</f>
        <v>0</v>
      </c>
    </row>
    <row r="5800" spans="1:18">
      <c r="A5800" s="2" t="s">
        <v>10107</v>
      </c>
      <c r="B5800" s="2" t="s">
        <v>1761</v>
      </c>
      <c r="C5800" s="1">
        <v>44658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  <c r="L5800" s="2" t="s">
        <v>11029</v>
      </c>
      <c r="M5800" s="2" t="s">
        <v>11029</v>
      </c>
      <c r="N5800" s="2" t="s">
        <v>11038</v>
      </c>
      <c r="O5800" s="2" t="s">
        <v>11038</v>
      </c>
      <c r="P5800" s="2" t="s">
        <v>11037</v>
      </c>
      <c r="Q5800" s="2">
        <f>AVERAGE(PerfRate[[#This Row],[EnvironmentSatisfaction]],PerfRate[[#This Row],[JobSatisfaction]],PerfRate[[#This Row],[RelationshipSatisfaction]])</f>
        <v>4.666666666666667</v>
      </c>
      <c r="R5800" s="2">
        <f>PerfRate[[#This Row],[ManagerRating]] - PerfRate[[#This Row],[SelfRating]]</f>
        <v>0</v>
      </c>
    </row>
    <row r="5801" spans="1:18">
      <c r="A5801" s="2" t="s">
        <v>10108</v>
      </c>
      <c r="B5801" s="2" t="s">
        <v>2569</v>
      </c>
      <c r="C5801" s="1">
        <v>44658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  <c r="L5801" s="2" t="s">
        <v>11029</v>
      </c>
      <c r="M5801" s="2" t="s">
        <v>11028</v>
      </c>
      <c r="N5801" s="2" t="s">
        <v>11037</v>
      </c>
      <c r="O5801" s="2" t="s">
        <v>11037</v>
      </c>
      <c r="P5801" s="2" t="s">
        <v>11038</v>
      </c>
      <c r="Q5801" s="2">
        <f>AVERAGE(PerfRate[[#This Row],[EnvironmentSatisfaction]],PerfRate[[#This Row],[JobSatisfaction]],PerfRate[[#This Row],[RelationshipSatisfaction]])</f>
        <v>4.333333333333333</v>
      </c>
      <c r="R5801" s="2">
        <f>PerfRate[[#This Row],[ManagerRating]] - PerfRate[[#This Row],[SelfRating]]</f>
        <v>-1</v>
      </c>
    </row>
    <row r="5802" spans="1:18">
      <c r="A5802" s="2" t="s">
        <v>10109</v>
      </c>
      <c r="B5802" s="2" t="s">
        <v>2938</v>
      </c>
      <c r="C5802" s="1">
        <v>44658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  <c r="L5802" s="2" t="s">
        <v>11030</v>
      </c>
      <c r="M5802" s="2" t="s">
        <v>11029</v>
      </c>
      <c r="N5802" s="2" t="s">
        <v>11036</v>
      </c>
      <c r="O5802" s="2" t="s">
        <v>11037</v>
      </c>
      <c r="P5802" s="2" t="s">
        <v>11038</v>
      </c>
      <c r="Q5802" s="2">
        <f>AVERAGE(PerfRate[[#This Row],[EnvironmentSatisfaction]],PerfRate[[#This Row],[JobSatisfaction]],PerfRate[[#This Row],[RelationshipSatisfaction]])</f>
        <v>4</v>
      </c>
      <c r="R5802" s="2">
        <f>PerfRate[[#This Row],[ManagerRating]] - PerfRate[[#This Row],[SelfRating]]</f>
        <v>-1</v>
      </c>
    </row>
    <row r="5803" spans="1:18">
      <c r="A5803" s="2" t="s">
        <v>10110</v>
      </c>
      <c r="B5803" s="2" t="s">
        <v>2742</v>
      </c>
      <c r="C5803" s="1">
        <v>44658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  <c r="L5803" s="2" t="s">
        <v>11030</v>
      </c>
      <c r="M5803" s="2" t="s">
        <v>11029</v>
      </c>
      <c r="N5803" s="2" t="s">
        <v>11038</v>
      </c>
      <c r="O5803" s="2" t="s">
        <v>11037</v>
      </c>
      <c r="P5803" s="2" t="s">
        <v>11037</v>
      </c>
      <c r="Q5803" s="2">
        <f>AVERAGE(PerfRate[[#This Row],[EnvironmentSatisfaction]],PerfRate[[#This Row],[JobSatisfaction]],PerfRate[[#This Row],[RelationshipSatisfaction]])</f>
        <v>4.333333333333333</v>
      </c>
      <c r="R5803" s="2">
        <f>PerfRate[[#This Row],[ManagerRating]] - PerfRate[[#This Row],[SelfRating]]</f>
        <v>-1</v>
      </c>
    </row>
    <row r="5804" spans="1:18">
      <c r="A5804" s="2" t="s">
        <v>10111</v>
      </c>
      <c r="B5804" s="2" t="s">
        <v>179</v>
      </c>
      <c r="C5804" s="1">
        <v>44688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  <c r="L5804" s="2" t="s">
        <v>11029</v>
      </c>
      <c r="M5804" s="2" t="s">
        <v>11028</v>
      </c>
      <c r="N5804" s="2" t="s">
        <v>11037</v>
      </c>
      <c r="O5804" s="2" t="s">
        <v>11036</v>
      </c>
      <c r="P5804" s="2" t="s">
        <v>11035</v>
      </c>
      <c r="Q5804" s="2">
        <f>AVERAGE(PerfRate[[#This Row],[EnvironmentSatisfaction]],PerfRate[[#This Row],[JobSatisfaction]],PerfRate[[#This Row],[RelationshipSatisfaction]])</f>
        <v>3</v>
      </c>
      <c r="R5804" s="2">
        <f>PerfRate[[#This Row],[ManagerRating]] - PerfRate[[#This Row],[SelfRating]]</f>
        <v>-1</v>
      </c>
    </row>
    <row r="5805" spans="1:18">
      <c r="A5805" s="2" t="s">
        <v>10112</v>
      </c>
      <c r="B5805" s="2" t="s">
        <v>1839</v>
      </c>
      <c r="C5805" s="1">
        <v>44688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  <c r="L5805" s="2" t="s">
        <v>11029</v>
      </c>
      <c r="M5805" s="2" t="s">
        <v>11028</v>
      </c>
      <c r="N5805" s="2" t="s">
        <v>11037</v>
      </c>
      <c r="O5805" s="2" t="s">
        <v>11036</v>
      </c>
      <c r="P5805" s="2" t="s">
        <v>11036</v>
      </c>
      <c r="Q5805" s="2">
        <f>AVERAGE(PerfRate[[#This Row],[EnvironmentSatisfaction]],PerfRate[[#This Row],[JobSatisfaction]],PerfRate[[#This Row],[RelationshipSatisfaction]])</f>
        <v>3.3333333333333335</v>
      </c>
      <c r="R5805" s="2">
        <f>PerfRate[[#This Row],[ManagerRating]] - PerfRate[[#This Row],[SelfRating]]</f>
        <v>-1</v>
      </c>
    </row>
    <row r="5806" spans="1:18">
      <c r="A5806" s="2" t="s">
        <v>10113</v>
      </c>
      <c r="B5806" s="2" t="s">
        <v>2372</v>
      </c>
      <c r="C5806" s="1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  <c r="L5806" s="2" t="s">
        <v>11031</v>
      </c>
      <c r="M5806" s="2" t="s">
        <v>11030</v>
      </c>
      <c r="N5806" s="2" t="s">
        <v>11036</v>
      </c>
      <c r="O5806" s="2" t="s">
        <v>11035</v>
      </c>
      <c r="P5806" s="2" t="s">
        <v>11038</v>
      </c>
      <c r="Q5806" s="2">
        <f>AVERAGE(PerfRate[[#This Row],[EnvironmentSatisfaction]],PerfRate[[#This Row],[JobSatisfaction]],PerfRate[[#This Row],[RelationshipSatisfaction]])</f>
        <v>3.3333333333333335</v>
      </c>
      <c r="R5806" s="2">
        <f>PerfRate[[#This Row],[ManagerRating]] - PerfRate[[#This Row],[SelfRating]]</f>
        <v>-1</v>
      </c>
    </row>
    <row r="5807" spans="1:18">
      <c r="A5807" s="2" t="s">
        <v>10114</v>
      </c>
      <c r="B5807" s="2" t="s">
        <v>2870</v>
      </c>
      <c r="C5807" s="1">
        <v>44688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  <c r="L5807" s="2" t="s">
        <v>11030</v>
      </c>
      <c r="M5807" s="2" t="s">
        <v>11029</v>
      </c>
      <c r="N5807" s="2" t="s">
        <v>11037</v>
      </c>
      <c r="O5807" s="2" t="s">
        <v>11037</v>
      </c>
      <c r="P5807" s="2" t="s">
        <v>11038</v>
      </c>
      <c r="Q5807" s="2">
        <f>AVERAGE(PerfRate[[#This Row],[EnvironmentSatisfaction]],PerfRate[[#This Row],[JobSatisfaction]],PerfRate[[#This Row],[RelationshipSatisfaction]])</f>
        <v>4.333333333333333</v>
      </c>
      <c r="R5807" s="2">
        <f>PerfRate[[#This Row],[ManagerRating]] - PerfRate[[#This Row],[SelfRating]]</f>
        <v>-1</v>
      </c>
    </row>
    <row r="5808" spans="1:18">
      <c r="A5808" s="2" t="s">
        <v>10115</v>
      </c>
      <c r="B5808" s="2" t="s">
        <v>3180</v>
      </c>
      <c r="C5808" s="1">
        <v>44719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  <c r="L5808" s="2" t="s">
        <v>11031</v>
      </c>
      <c r="M5808" s="2" t="s">
        <v>11030</v>
      </c>
      <c r="N5808" s="2" t="s">
        <v>11038</v>
      </c>
      <c r="O5808" s="2" t="s">
        <v>11038</v>
      </c>
      <c r="P5808" s="2" t="s">
        <v>11037</v>
      </c>
      <c r="Q5808" s="2">
        <f>AVERAGE(PerfRate[[#This Row],[EnvironmentSatisfaction]],PerfRate[[#This Row],[JobSatisfaction]],PerfRate[[#This Row],[RelationshipSatisfaction]])</f>
        <v>4.666666666666667</v>
      </c>
      <c r="R5808" s="2">
        <f>PerfRate[[#This Row],[ManagerRating]] - PerfRate[[#This Row],[SelfRating]]</f>
        <v>-1</v>
      </c>
    </row>
    <row r="5809" spans="1:18">
      <c r="A5809" s="2" t="s">
        <v>10116</v>
      </c>
      <c r="B5809" s="2" t="s">
        <v>3549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  <c r="L5809" s="2" t="s">
        <v>11031</v>
      </c>
      <c r="M5809" s="2" t="s">
        <v>11030</v>
      </c>
      <c r="N5809" s="2" t="s">
        <v>11037</v>
      </c>
      <c r="O5809" s="2" t="s">
        <v>11036</v>
      </c>
      <c r="P5809" s="2" t="s">
        <v>11038</v>
      </c>
      <c r="Q5809" s="2">
        <f>AVERAGE(PerfRate[[#This Row],[EnvironmentSatisfaction]],PerfRate[[#This Row],[JobSatisfaction]],PerfRate[[#This Row],[RelationshipSatisfaction]])</f>
        <v>4</v>
      </c>
      <c r="R5809" s="2">
        <f>PerfRate[[#This Row],[ManagerRating]] - PerfRate[[#This Row],[SelfRating]]</f>
        <v>-1</v>
      </c>
    </row>
    <row r="5810" spans="1:18">
      <c r="A5810" s="2" t="s">
        <v>10117</v>
      </c>
      <c r="B5810" s="2" t="s">
        <v>541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  <c r="L5810" s="2" t="s">
        <v>11029</v>
      </c>
      <c r="M5810" s="2" t="s">
        <v>11028</v>
      </c>
      <c r="N5810" s="2" t="s">
        <v>11036</v>
      </c>
      <c r="O5810" s="2" t="s">
        <v>11035</v>
      </c>
      <c r="P5810" s="2" t="s">
        <v>11037</v>
      </c>
      <c r="Q5810" s="2">
        <f>AVERAGE(PerfRate[[#This Row],[EnvironmentSatisfaction]],PerfRate[[#This Row],[JobSatisfaction]],PerfRate[[#This Row],[RelationshipSatisfaction]])</f>
        <v>3</v>
      </c>
      <c r="R5810" s="2">
        <f>PerfRate[[#This Row],[ManagerRating]] - PerfRate[[#This Row],[SelfRating]]</f>
        <v>-1</v>
      </c>
    </row>
    <row r="5811" spans="1:18">
      <c r="A5811" s="2" t="s">
        <v>10118</v>
      </c>
      <c r="B5811" s="2" t="s">
        <v>1794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  <c r="L5811" s="2" t="s">
        <v>11030</v>
      </c>
      <c r="M5811" s="2" t="s">
        <v>11029</v>
      </c>
      <c r="N5811" s="2" t="s">
        <v>11038</v>
      </c>
      <c r="O5811" s="2" t="s">
        <v>11036</v>
      </c>
      <c r="P5811" s="2" t="s">
        <v>11035</v>
      </c>
      <c r="Q5811" s="2">
        <f>AVERAGE(PerfRate[[#This Row],[EnvironmentSatisfaction]],PerfRate[[#This Row],[JobSatisfaction]],PerfRate[[#This Row],[RelationshipSatisfaction]])</f>
        <v>3.3333333333333335</v>
      </c>
      <c r="R5811" s="2">
        <f>PerfRate[[#This Row],[ManagerRating]] - PerfRate[[#This Row],[SelfRating]]</f>
        <v>-1</v>
      </c>
    </row>
    <row r="5812" spans="1:18">
      <c r="A5812" s="2" t="s">
        <v>10119</v>
      </c>
      <c r="B5812" s="2" t="s">
        <v>3261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  <c r="L5812" s="2" t="s">
        <v>11030</v>
      </c>
      <c r="M5812" s="2" t="s">
        <v>11029</v>
      </c>
      <c r="N5812" s="2" t="s">
        <v>11036</v>
      </c>
      <c r="O5812" s="2" t="s">
        <v>11038</v>
      </c>
      <c r="P5812" s="2" t="s">
        <v>11036</v>
      </c>
      <c r="Q5812" s="2">
        <f>AVERAGE(PerfRate[[#This Row],[EnvironmentSatisfaction]],PerfRate[[#This Row],[JobSatisfaction]],PerfRate[[#This Row],[RelationshipSatisfaction]])</f>
        <v>3.6666666666666665</v>
      </c>
      <c r="R5812" s="2">
        <f>PerfRate[[#This Row],[ManagerRating]] - PerfRate[[#This Row],[SelfRating]]</f>
        <v>-1</v>
      </c>
    </row>
    <row r="5813" spans="1:18">
      <c r="A5813" s="2" t="s">
        <v>10120</v>
      </c>
      <c r="B5813" s="2" t="s">
        <v>232</v>
      </c>
      <c r="C5813" s="1">
        <v>44780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  <c r="L5813" s="2" t="s">
        <v>11030</v>
      </c>
      <c r="M5813" s="2" t="s">
        <v>11030</v>
      </c>
      <c r="N5813" s="2" t="s">
        <v>11037</v>
      </c>
      <c r="O5813" s="2" t="s">
        <v>11038</v>
      </c>
      <c r="P5813" s="2" t="s">
        <v>11035</v>
      </c>
      <c r="Q5813" s="2">
        <f>AVERAGE(PerfRate[[#This Row],[EnvironmentSatisfaction]],PerfRate[[#This Row],[JobSatisfaction]],PerfRate[[#This Row],[RelationshipSatisfaction]])</f>
        <v>3.6666666666666665</v>
      </c>
      <c r="R5813" s="2">
        <f>PerfRate[[#This Row],[ManagerRating]] - PerfRate[[#This Row],[SelfRating]]</f>
        <v>0</v>
      </c>
    </row>
    <row r="5814" spans="1:18">
      <c r="A5814" s="2" t="s">
        <v>10121</v>
      </c>
      <c r="B5814" s="2" t="s">
        <v>473</v>
      </c>
      <c r="C5814" s="1">
        <v>44780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  <c r="L5814" s="2" t="s">
        <v>11031</v>
      </c>
      <c r="M5814" s="2" t="s">
        <v>11030</v>
      </c>
      <c r="N5814" s="2" t="s">
        <v>11036</v>
      </c>
      <c r="O5814" s="2" t="s">
        <v>11037</v>
      </c>
      <c r="P5814" s="2" t="s">
        <v>11038</v>
      </c>
      <c r="Q5814" s="2">
        <f>AVERAGE(PerfRate[[#This Row],[EnvironmentSatisfaction]],PerfRate[[#This Row],[JobSatisfaction]],PerfRate[[#This Row],[RelationshipSatisfaction]])</f>
        <v>4</v>
      </c>
      <c r="R5814" s="2">
        <f>PerfRate[[#This Row],[ManagerRating]] - PerfRate[[#This Row],[SelfRating]]</f>
        <v>-1</v>
      </c>
    </row>
    <row r="5815" spans="1:18">
      <c r="A5815" s="2" t="s">
        <v>10122</v>
      </c>
      <c r="B5815" s="2" t="s">
        <v>1258</v>
      </c>
      <c r="C5815" s="1">
        <v>44780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  <c r="L5815" s="2" t="s">
        <v>11030</v>
      </c>
      <c r="M5815" s="2" t="s">
        <v>11029</v>
      </c>
      <c r="N5815" s="2" t="s">
        <v>11036</v>
      </c>
      <c r="O5815" s="2" t="s">
        <v>11036</v>
      </c>
      <c r="P5815" s="2" t="s">
        <v>11037</v>
      </c>
      <c r="Q5815" s="2">
        <f>AVERAGE(PerfRate[[#This Row],[EnvironmentSatisfaction]],PerfRate[[#This Row],[JobSatisfaction]],PerfRate[[#This Row],[RelationshipSatisfaction]])</f>
        <v>3.3333333333333335</v>
      </c>
      <c r="R5815" s="2">
        <f>PerfRate[[#This Row],[ManagerRating]] - PerfRate[[#This Row],[SelfRating]]</f>
        <v>-1</v>
      </c>
    </row>
    <row r="5816" spans="1:18">
      <c r="A5816" s="2" t="s">
        <v>10123</v>
      </c>
      <c r="B5816" s="2" t="s">
        <v>1021</v>
      </c>
      <c r="C5816" s="1">
        <v>44780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  <c r="L5816" s="2" t="s">
        <v>11029</v>
      </c>
      <c r="M5816" s="2" t="s">
        <v>11028</v>
      </c>
      <c r="N5816" s="2" t="s">
        <v>11036</v>
      </c>
      <c r="O5816" s="2" t="s">
        <v>11035</v>
      </c>
      <c r="P5816" s="2" t="s">
        <v>11035</v>
      </c>
      <c r="Q5816" s="2">
        <f>AVERAGE(PerfRate[[#This Row],[EnvironmentSatisfaction]],PerfRate[[#This Row],[JobSatisfaction]],PerfRate[[#This Row],[RelationshipSatisfaction]])</f>
        <v>2.3333333333333335</v>
      </c>
      <c r="R5816" s="2">
        <f>PerfRate[[#This Row],[ManagerRating]] - PerfRate[[#This Row],[SelfRating]]</f>
        <v>-1</v>
      </c>
    </row>
    <row r="5817" spans="1:18">
      <c r="A5817" s="2" t="s">
        <v>10124</v>
      </c>
      <c r="B5817" s="2" t="s">
        <v>508</v>
      </c>
      <c r="C5817" s="1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  <c r="L5817" s="2" t="s">
        <v>11029</v>
      </c>
      <c r="M5817" s="2" t="s">
        <v>11028</v>
      </c>
      <c r="N5817" s="2" t="s">
        <v>11037</v>
      </c>
      <c r="O5817" s="2" t="s">
        <v>11035</v>
      </c>
      <c r="P5817" s="2" t="s">
        <v>11037</v>
      </c>
      <c r="Q5817" s="2">
        <f>AVERAGE(PerfRate[[#This Row],[EnvironmentSatisfaction]],PerfRate[[#This Row],[JobSatisfaction]],PerfRate[[#This Row],[RelationshipSatisfaction]])</f>
        <v>3.3333333333333335</v>
      </c>
      <c r="R5817" s="2">
        <f>PerfRate[[#This Row],[ManagerRating]] - PerfRate[[#This Row],[SelfRating]]</f>
        <v>-1</v>
      </c>
    </row>
    <row r="5818" spans="1:18">
      <c r="A5818" s="2" t="s">
        <v>10125</v>
      </c>
      <c r="B5818" s="2" t="s">
        <v>2231</v>
      </c>
      <c r="C5818" s="1">
        <v>44780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  <c r="L5818" s="2" t="s">
        <v>11029</v>
      </c>
      <c r="M5818" s="2" t="s">
        <v>11028</v>
      </c>
      <c r="N5818" s="2" t="s">
        <v>11036</v>
      </c>
      <c r="O5818" s="2" t="s">
        <v>11035</v>
      </c>
      <c r="P5818" s="2" t="s">
        <v>11036</v>
      </c>
      <c r="Q5818" s="2">
        <f>AVERAGE(PerfRate[[#This Row],[EnvironmentSatisfaction]],PerfRate[[#This Row],[JobSatisfaction]],PerfRate[[#This Row],[RelationshipSatisfaction]])</f>
        <v>2.6666666666666665</v>
      </c>
      <c r="R5818" s="2">
        <f>PerfRate[[#This Row],[ManagerRating]] - PerfRate[[#This Row],[SelfRating]]</f>
        <v>-1</v>
      </c>
    </row>
    <row r="5819" spans="1:18">
      <c r="A5819" s="2" t="s">
        <v>10126</v>
      </c>
      <c r="B5819" s="2" t="s">
        <v>2757</v>
      </c>
      <c r="C5819" s="1">
        <v>44811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  <c r="L5819" s="2" t="s">
        <v>11031</v>
      </c>
      <c r="M5819" s="2" t="s">
        <v>11030</v>
      </c>
      <c r="N5819" s="2" t="s">
        <v>11037</v>
      </c>
      <c r="O5819" s="2" t="s">
        <v>11035</v>
      </c>
      <c r="P5819" s="2" t="s">
        <v>11036</v>
      </c>
      <c r="Q5819" s="2">
        <f>AVERAGE(PerfRate[[#This Row],[EnvironmentSatisfaction]],PerfRate[[#This Row],[JobSatisfaction]],PerfRate[[#This Row],[RelationshipSatisfaction]])</f>
        <v>3</v>
      </c>
      <c r="R5819" s="2">
        <f>PerfRate[[#This Row],[ManagerRating]] - PerfRate[[#This Row],[SelfRating]]</f>
        <v>-1</v>
      </c>
    </row>
    <row r="5820" spans="1:18">
      <c r="A5820" s="2" t="s">
        <v>10127</v>
      </c>
      <c r="B5820" s="2" t="s">
        <v>269</v>
      </c>
      <c r="C5820" s="1">
        <v>44811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  <c r="L5820" s="2" t="s">
        <v>11029</v>
      </c>
      <c r="M5820" s="2" t="s">
        <v>11028</v>
      </c>
      <c r="N5820" s="2" t="s">
        <v>11036</v>
      </c>
      <c r="O5820" s="2" t="s">
        <v>11037</v>
      </c>
      <c r="P5820" s="2" t="s">
        <v>11038</v>
      </c>
      <c r="Q5820" s="2">
        <f>AVERAGE(PerfRate[[#This Row],[EnvironmentSatisfaction]],PerfRate[[#This Row],[JobSatisfaction]],PerfRate[[#This Row],[RelationshipSatisfaction]])</f>
        <v>4</v>
      </c>
      <c r="R5820" s="2">
        <f>PerfRate[[#This Row],[ManagerRating]] - PerfRate[[#This Row],[SelfRating]]</f>
        <v>-1</v>
      </c>
    </row>
    <row r="5821" spans="1:18">
      <c r="A5821" s="2" t="s">
        <v>10128</v>
      </c>
      <c r="B5821" s="2" t="s">
        <v>643</v>
      </c>
      <c r="C5821" s="1">
        <v>44811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  <c r="L5821" s="2" t="s">
        <v>11031</v>
      </c>
      <c r="M5821" s="2" t="s">
        <v>11031</v>
      </c>
      <c r="N5821" s="2" t="s">
        <v>11036</v>
      </c>
      <c r="O5821" s="2" t="s">
        <v>11037</v>
      </c>
      <c r="P5821" s="2" t="s">
        <v>11038</v>
      </c>
      <c r="Q5821" s="2">
        <f>AVERAGE(PerfRate[[#This Row],[EnvironmentSatisfaction]],PerfRate[[#This Row],[JobSatisfaction]],PerfRate[[#This Row],[RelationshipSatisfaction]])</f>
        <v>4</v>
      </c>
      <c r="R5821" s="2">
        <f>PerfRate[[#This Row],[ManagerRating]] - PerfRate[[#This Row],[SelfRating]]</f>
        <v>0</v>
      </c>
    </row>
    <row r="5822" spans="1:18">
      <c r="A5822" s="2" t="s">
        <v>10129</v>
      </c>
      <c r="B5822" s="2" t="s">
        <v>1403</v>
      </c>
      <c r="C5822" s="1">
        <v>44811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  <c r="L5822" s="2" t="s">
        <v>11030</v>
      </c>
      <c r="M5822" s="2" t="s">
        <v>11029</v>
      </c>
      <c r="N5822" s="2" t="s">
        <v>11037</v>
      </c>
      <c r="O5822" s="2" t="s">
        <v>11035</v>
      </c>
      <c r="P5822" s="2" t="s">
        <v>11036</v>
      </c>
      <c r="Q5822" s="2">
        <f>AVERAGE(PerfRate[[#This Row],[EnvironmentSatisfaction]],PerfRate[[#This Row],[JobSatisfaction]],PerfRate[[#This Row],[RelationshipSatisfaction]])</f>
        <v>3</v>
      </c>
      <c r="R5822" s="2">
        <f>PerfRate[[#This Row],[ManagerRating]] - PerfRate[[#This Row],[SelfRating]]</f>
        <v>-1</v>
      </c>
    </row>
    <row r="5823" spans="1:18">
      <c r="A5823" s="2" t="s">
        <v>10130</v>
      </c>
      <c r="B5823" s="2" t="s">
        <v>1555</v>
      </c>
      <c r="C5823" s="1">
        <v>44811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  <c r="L5823" s="2" t="s">
        <v>11031</v>
      </c>
      <c r="M5823" s="2" t="s">
        <v>11031</v>
      </c>
      <c r="N5823" s="2" t="s">
        <v>11035</v>
      </c>
      <c r="O5823" s="2" t="s">
        <v>11037</v>
      </c>
      <c r="P5823" s="2" t="s">
        <v>11034</v>
      </c>
      <c r="Q5823" s="2">
        <f>AVERAGE(PerfRate[[#This Row],[EnvironmentSatisfaction]],PerfRate[[#This Row],[JobSatisfaction]],PerfRate[[#This Row],[RelationshipSatisfaction]])</f>
        <v>2.3333333333333335</v>
      </c>
      <c r="R5823" s="2">
        <f>PerfRate[[#This Row],[ManagerRating]] - PerfRate[[#This Row],[SelfRating]]</f>
        <v>0</v>
      </c>
    </row>
    <row r="5824" spans="1:18">
      <c r="A5824" s="2" t="s">
        <v>10131</v>
      </c>
      <c r="B5824" s="2" t="s">
        <v>2943</v>
      </c>
      <c r="C5824" s="1">
        <v>44811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  <c r="L5824" s="2" t="s">
        <v>11031</v>
      </c>
      <c r="M5824" s="2" t="s">
        <v>11031</v>
      </c>
      <c r="N5824" s="2" t="s">
        <v>11037</v>
      </c>
      <c r="O5824" s="2" t="s">
        <v>11035</v>
      </c>
      <c r="P5824" s="2" t="s">
        <v>11036</v>
      </c>
      <c r="Q5824" s="2">
        <f>AVERAGE(PerfRate[[#This Row],[EnvironmentSatisfaction]],PerfRate[[#This Row],[JobSatisfaction]],PerfRate[[#This Row],[RelationshipSatisfaction]])</f>
        <v>3</v>
      </c>
      <c r="R5824" s="2">
        <f>PerfRate[[#This Row],[ManagerRating]] - PerfRate[[#This Row],[SelfRating]]</f>
        <v>0</v>
      </c>
    </row>
    <row r="5825" spans="1:18">
      <c r="A5825" s="2" t="s">
        <v>10132</v>
      </c>
      <c r="B5825" s="2" t="s">
        <v>3240</v>
      </c>
      <c r="C5825" s="1">
        <v>44811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  <c r="L5825" s="2" t="s">
        <v>11029</v>
      </c>
      <c r="M5825" s="2" t="s">
        <v>11028</v>
      </c>
      <c r="N5825" s="2" t="s">
        <v>11038</v>
      </c>
      <c r="O5825" s="2" t="s">
        <v>11038</v>
      </c>
      <c r="P5825" s="2" t="s">
        <v>11038</v>
      </c>
      <c r="Q5825" s="2">
        <f>AVERAGE(PerfRate[[#This Row],[EnvironmentSatisfaction]],PerfRate[[#This Row],[JobSatisfaction]],PerfRate[[#This Row],[RelationshipSatisfaction]])</f>
        <v>5</v>
      </c>
      <c r="R5825" s="2">
        <f>PerfRate[[#This Row],[ManagerRating]] - PerfRate[[#This Row],[SelfRating]]</f>
        <v>-1</v>
      </c>
    </row>
    <row r="5826" spans="1:18">
      <c r="A5826" s="2" t="s">
        <v>10133</v>
      </c>
      <c r="B5826" s="2" t="s">
        <v>308</v>
      </c>
      <c r="C5826" s="1">
        <v>44841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  <c r="L5826" s="2" t="s">
        <v>11030</v>
      </c>
      <c r="M5826" s="2" t="s">
        <v>11029</v>
      </c>
      <c r="N5826" s="2" t="s">
        <v>11038</v>
      </c>
      <c r="O5826" s="2" t="s">
        <v>11035</v>
      </c>
      <c r="P5826" s="2" t="s">
        <v>11037</v>
      </c>
      <c r="Q5826" s="2">
        <f>AVERAGE(PerfRate[[#This Row],[EnvironmentSatisfaction]],PerfRate[[#This Row],[JobSatisfaction]],PerfRate[[#This Row],[RelationshipSatisfaction]])</f>
        <v>3.6666666666666665</v>
      </c>
      <c r="R5826" s="2">
        <f>PerfRate[[#This Row],[ManagerRating]] - PerfRate[[#This Row],[SelfRating]]</f>
        <v>-1</v>
      </c>
    </row>
    <row r="5827" spans="1:18">
      <c r="A5827" s="2" t="s">
        <v>10134</v>
      </c>
      <c r="B5827" s="2" t="s">
        <v>1039</v>
      </c>
      <c r="C5827" s="1">
        <v>44841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  <c r="L5827" s="2" t="s">
        <v>11029</v>
      </c>
      <c r="M5827" s="2" t="s">
        <v>11028</v>
      </c>
      <c r="N5827" s="2" t="s">
        <v>11037</v>
      </c>
      <c r="O5827" s="2" t="s">
        <v>11035</v>
      </c>
      <c r="P5827" s="2" t="s">
        <v>11037</v>
      </c>
      <c r="Q5827" s="2">
        <f>AVERAGE(PerfRate[[#This Row],[EnvironmentSatisfaction]],PerfRate[[#This Row],[JobSatisfaction]],PerfRate[[#This Row],[RelationshipSatisfaction]])</f>
        <v>3.3333333333333335</v>
      </c>
      <c r="R5827" s="2">
        <f>PerfRate[[#This Row],[ManagerRating]] - PerfRate[[#This Row],[SelfRating]]</f>
        <v>-1</v>
      </c>
    </row>
    <row r="5828" spans="1:18">
      <c r="A5828" s="2" t="s">
        <v>10135</v>
      </c>
      <c r="B5828" s="2" t="s">
        <v>2160</v>
      </c>
      <c r="C5828" s="1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  <c r="L5828" s="2" t="s">
        <v>11029</v>
      </c>
      <c r="M5828" s="2" t="s">
        <v>11029</v>
      </c>
      <c r="N5828" s="2" t="s">
        <v>11036</v>
      </c>
      <c r="O5828" s="2" t="s">
        <v>11036</v>
      </c>
      <c r="P5828" s="2" t="s">
        <v>11036</v>
      </c>
      <c r="Q5828" s="2">
        <f>AVERAGE(PerfRate[[#This Row],[EnvironmentSatisfaction]],PerfRate[[#This Row],[JobSatisfaction]],PerfRate[[#This Row],[RelationshipSatisfaction]])</f>
        <v>3</v>
      </c>
      <c r="R5828" s="2">
        <f>PerfRate[[#This Row],[ManagerRating]] - PerfRate[[#This Row],[SelfRating]]</f>
        <v>0</v>
      </c>
    </row>
    <row r="5829" spans="1:18">
      <c r="A5829" s="2" t="s">
        <v>10136</v>
      </c>
      <c r="B5829" s="2" t="s">
        <v>1933</v>
      </c>
      <c r="C5829" s="1">
        <v>44841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  <c r="L5829" s="2" t="s">
        <v>11030</v>
      </c>
      <c r="M5829" s="2" t="s">
        <v>11029</v>
      </c>
      <c r="N5829" s="2" t="s">
        <v>11038</v>
      </c>
      <c r="O5829" s="2" t="s">
        <v>11035</v>
      </c>
      <c r="P5829" s="2" t="s">
        <v>11035</v>
      </c>
      <c r="Q5829" s="2">
        <f>AVERAGE(PerfRate[[#This Row],[EnvironmentSatisfaction]],PerfRate[[#This Row],[JobSatisfaction]],PerfRate[[#This Row],[RelationshipSatisfaction]])</f>
        <v>3</v>
      </c>
      <c r="R5829" s="2">
        <f>PerfRate[[#This Row],[ManagerRating]] - PerfRate[[#This Row],[SelfRating]]</f>
        <v>-1</v>
      </c>
    </row>
    <row r="5830" spans="1:18">
      <c r="A5830" s="2" t="s">
        <v>10137</v>
      </c>
      <c r="B5830" s="2" t="s">
        <v>2908</v>
      </c>
      <c r="C5830" s="1">
        <v>44841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  <c r="L5830" s="2" t="s">
        <v>11030</v>
      </c>
      <c r="M5830" s="2" t="s">
        <v>11030</v>
      </c>
      <c r="N5830" s="2" t="s">
        <v>11037</v>
      </c>
      <c r="O5830" s="2" t="s">
        <v>11038</v>
      </c>
      <c r="P5830" s="2" t="s">
        <v>11038</v>
      </c>
      <c r="Q5830" s="2">
        <f>AVERAGE(PerfRate[[#This Row],[EnvironmentSatisfaction]],PerfRate[[#This Row],[JobSatisfaction]],PerfRate[[#This Row],[RelationshipSatisfaction]])</f>
        <v>4.666666666666667</v>
      </c>
      <c r="R5830" s="2">
        <f>PerfRate[[#This Row],[ManagerRating]] - PerfRate[[#This Row],[SelfRating]]</f>
        <v>0</v>
      </c>
    </row>
    <row r="5831" spans="1:18">
      <c r="A5831" s="2" t="s">
        <v>10138</v>
      </c>
      <c r="B5831" s="2" t="s">
        <v>3272</v>
      </c>
      <c r="C5831" s="1">
        <v>44841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  <c r="L5831" s="2" t="s">
        <v>11030</v>
      </c>
      <c r="M5831" s="2" t="s">
        <v>11030</v>
      </c>
      <c r="N5831" s="2" t="s">
        <v>11036</v>
      </c>
      <c r="O5831" s="2" t="s">
        <v>11038</v>
      </c>
      <c r="P5831" s="2" t="s">
        <v>11038</v>
      </c>
      <c r="Q5831" s="2">
        <f>AVERAGE(PerfRate[[#This Row],[EnvironmentSatisfaction]],PerfRate[[#This Row],[JobSatisfaction]],PerfRate[[#This Row],[RelationshipSatisfaction]])</f>
        <v>4.333333333333333</v>
      </c>
      <c r="R5831" s="2">
        <f>PerfRate[[#This Row],[ManagerRating]] - PerfRate[[#This Row],[SelfRating]]</f>
        <v>0</v>
      </c>
    </row>
    <row r="5832" spans="1:18">
      <c r="A5832" s="2" t="s">
        <v>10139</v>
      </c>
      <c r="B5832" s="2" t="s">
        <v>3420</v>
      </c>
      <c r="C5832" s="1">
        <v>44841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  <c r="L5832" s="2" t="s">
        <v>11029</v>
      </c>
      <c r="M5832" s="2" t="s">
        <v>11028</v>
      </c>
      <c r="N5832" s="2" t="s">
        <v>11038</v>
      </c>
      <c r="O5832" s="2" t="s">
        <v>11036</v>
      </c>
      <c r="P5832" s="2" t="s">
        <v>11038</v>
      </c>
      <c r="Q5832" s="2">
        <f>AVERAGE(PerfRate[[#This Row],[EnvironmentSatisfaction]],PerfRate[[#This Row],[JobSatisfaction]],PerfRate[[#This Row],[RelationshipSatisfaction]])</f>
        <v>4.333333333333333</v>
      </c>
      <c r="R5832" s="2">
        <f>PerfRate[[#This Row],[ManagerRating]] - PerfRate[[#This Row],[SelfRating]]</f>
        <v>-1</v>
      </c>
    </row>
    <row r="5833" spans="1:18">
      <c r="A5833" s="2" t="s">
        <v>10140</v>
      </c>
      <c r="B5833" s="2" t="s">
        <v>1218</v>
      </c>
      <c r="C5833" s="1">
        <v>44872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  <c r="L5833" s="2" t="s">
        <v>11030</v>
      </c>
      <c r="M5833" s="2" t="s">
        <v>11029</v>
      </c>
      <c r="N5833" s="2" t="s">
        <v>11038</v>
      </c>
      <c r="O5833" s="2" t="s">
        <v>11037</v>
      </c>
      <c r="P5833" s="2" t="s">
        <v>11035</v>
      </c>
      <c r="Q5833" s="2">
        <f>AVERAGE(PerfRate[[#This Row],[EnvironmentSatisfaction]],PerfRate[[#This Row],[JobSatisfaction]],PerfRate[[#This Row],[RelationshipSatisfaction]])</f>
        <v>3.6666666666666665</v>
      </c>
      <c r="R5833" s="2">
        <f>PerfRate[[#This Row],[ManagerRating]] - PerfRate[[#This Row],[SelfRating]]</f>
        <v>-1</v>
      </c>
    </row>
    <row r="5834" spans="1:18">
      <c r="A5834" s="2" t="s">
        <v>10141</v>
      </c>
      <c r="B5834" s="2" t="s">
        <v>2398</v>
      </c>
      <c r="C5834" s="1">
        <v>44872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  <c r="L5834" s="2" t="s">
        <v>11031</v>
      </c>
      <c r="M5834" s="2" t="s">
        <v>11031</v>
      </c>
      <c r="N5834" s="2" t="s">
        <v>11037</v>
      </c>
      <c r="O5834" s="2" t="s">
        <v>11038</v>
      </c>
      <c r="P5834" s="2" t="s">
        <v>11038</v>
      </c>
      <c r="Q5834" s="2">
        <f>AVERAGE(PerfRate[[#This Row],[EnvironmentSatisfaction]],PerfRate[[#This Row],[JobSatisfaction]],PerfRate[[#This Row],[RelationshipSatisfaction]])</f>
        <v>4.666666666666667</v>
      </c>
      <c r="R5834" s="2">
        <f>PerfRate[[#This Row],[ManagerRating]] - PerfRate[[#This Row],[SelfRating]]</f>
        <v>0</v>
      </c>
    </row>
    <row r="5835" spans="1:18">
      <c r="A5835" s="2" t="s">
        <v>10142</v>
      </c>
      <c r="B5835" s="2" t="s">
        <v>3204</v>
      </c>
      <c r="C5835" s="1">
        <v>44872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  <c r="L5835" s="2" t="s">
        <v>11030</v>
      </c>
      <c r="M5835" s="2" t="s">
        <v>11029</v>
      </c>
      <c r="N5835" s="2" t="s">
        <v>11037</v>
      </c>
      <c r="O5835" s="2" t="s">
        <v>11036</v>
      </c>
      <c r="P5835" s="2" t="s">
        <v>11035</v>
      </c>
      <c r="Q5835" s="2">
        <f>AVERAGE(PerfRate[[#This Row],[EnvironmentSatisfaction]],PerfRate[[#This Row],[JobSatisfaction]],PerfRate[[#This Row],[RelationshipSatisfaction]])</f>
        <v>3</v>
      </c>
      <c r="R5835" s="2">
        <f>PerfRate[[#This Row],[ManagerRating]] - PerfRate[[#This Row],[SelfRating]]</f>
        <v>-1</v>
      </c>
    </row>
    <row r="5836" spans="1:18">
      <c r="A5836" s="2" t="s">
        <v>10143</v>
      </c>
      <c r="B5836" s="2" t="s">
        <v>535</v>
      </c>
      <c r="C5836" s="1">
        <v>44902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  <c r="L5836" s="2" t="s">
        <v>11031</v>
      </c>
      <c r="M5836" s="2" t="s">
        <v>11030</v>
      </c>
      <c r="N5836" s="2" t="s">
        <v>11038</v>
      </c>
      <c r="O5836" s="2" t="s">
        <v>11037</v>
      </c>
      <c r="P5836" s="2" t="s">
        <v>11037</v>
      </c>
      <c r="Q5836" s="2">
        <f>AVERAGE(PerfRate[[#This Row],[EnvironmentSatisfaction]],PerfRate[[#This Row],[JobSatisfaction]],PerfRate[[#This Row],[RelationshipSatisfaction]])</f>
        <v>4.333333333333333</v>
      </c>
      <c r="R5836" s="2">
        <f>PerfRate[[#This Row],[ManagerRating]] - PerfRate[[#This Row],[SelfRating]]</f>
        <v>-1</v>
      </c>
    </row>
    <row r="5837" spans="1:18">
      <c r="A5837" s="2" t="s">
        <v>10144</v>
      </c>
      <c r="B5837" s="2" t="s">
        <v>1036</v>
      </c>
      <c r="C5837" s="1">
        <v>44902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  <c r="L5837" s="2" t="s">
        <v>11031</v>
      </c>
      <c r="M5837" s="2" t="s">
        <v>11030</v>
      </c>
      <c r="N5837" s="2" t="s">
        <v>11036</v>
      </c>
      <c r="O5837" s="2" t="s">
        <v>11037</v>
      </c>
      <c r="P5837" s="2" t="s">
        <v>11035</v>
      </c>
      <c r="Q5837" s="2">
        <f>AVERAGE(PerfRate[[#This Row],[EnvironmentSatisfaction]],PerfRate[[#This Row],[JobSatisfaction]],PerfRate[[#This Row],[RelationshipSatisfaction]])</f>
        <v>3</v>
      </c>
      <c r="R5837" s="2">
        <f>PerfRate[[#This Row],[ManagerRating]] - PerfRate[[#This Row],[SelfRating]]</f>
        <v>-1</v>
      </c>
    </row>
    <row r="5838" spans="1:18">
      <c r="A5838" s="2" t="s">
        <v>10145</v>
      </c>
      <c r="B5838" s="2" t="s">
        <v>2888</v>
      </c>
      <c r="C5838" s="1">
        <v>44902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  <c r="L5838" s="2" t="s">
        <v>11031</v>
      </c>
      <c r="M5838" s="2" t="s">
        <v>11031</v>
      </c>
      <c r="N5838" s="2" t="s">
        <v>11038</v>
      </c>
      <c r="O5838" s="2" t="s">
        <v>11036</v>
      </c>
      <c r="P5838" s="2" t="s">
        <v>11035</v>
      </c>
      <c r="Q5838" s="2">
        <f>AVERAGE(PerfRate[[#This Row],[EnvironmentSatisfaction]],PerfRate[[#This Row],[JobSatisfaction]],PerfRate[[#This Row],[RelationshipSatisfaction]])</f>
        <v>3.3333333333333335</v>
      </c>
      <c r="R5838" s="2">
        <f>PerfRate[[#This Row],[ManagerRating]] - PerfRate[[#This Row],[SelfRating]]</f>
        <v>0</v>
      </c>
    </row>
    <row r="5839" spans="1:18">
      <c r="A5839" s="2" t="s">
        <v>10146</v>
      </c>
      <c r="B5839" s="2" t="s">
        <v>461</v>
      </c>
      <c r="C5839" s="1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  <c r="L5839" s="2" t="s">
        <v>11029</v>
      </c>
      <c r="M5839" s="2" t="s">
        <v>11029</v>
      </c>
      <c r="N5839" s="2" t="s">
        <v>11038</v>
      </c>
      <c r="O5839" s="2" t="s">
        <v>11038</v>
      </c>
      <c r="P5839" s="2" t="s">
        <v>11037</v>
      </c>
      <c r="Q5839" s="2">
        <f>AVERAGE(PerfRate[[#This Row],[EnvironmentSatisfaction]],PerfRate[[#This Row],[JobSatisfaction]],PerfRate[[#This Row],[RelationshipSatisfaction]])</f>
        <v>4.666666666666667</v>
      </c>
      <c r="R5839" s="2">
        <f>PerfRate[[#This Row],[ManagerRating]] - PerfRate[[#This Row],[SelfRating]]</f>
        <v>0</v>
      </c>
    </row>
    <row r="5840" spans="1:18">
      <c r="A5840" s="2" t="s">
        <v>10147</v>
      </c>
      <c r="B5840" s="2" t="s">
        <v>1009</v>
      </c>
      <c r="C5840" s="1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  <c r="L5840" s="2" t="s">
        <v>11030</v>
      </c>
      <c r="M5840" s="2" t="s">
        <v>11029</v>
      </c>
      <c r="N5840" s="2" t="s">
        <v>11038</v>
      </c>
      <c r="O5840" s="2" t="s">
        <v>11036</v>
      </c>
      <c r="P5840" s="2" t="s">
        <v>11036</v>
      </c>
      <c r="Q5840" s="2">
        <f>AVERAGE(PerfRate[[#This Row],[EnvironmentSatisfaction]],PerfRate[[#This Row],[JobSatisfaction]],PerfRate[[#This Row],[RelationshipSatisfaction]])</f>
        <v>3.6666666666666665</v>
      </c>
      <c r="R5840" s="2">
        <f>PerfRate[[#This Row],[ManagerRating]] - PerfRate[[#This Row],[SelfRating]]</f>
        <v>-1</v>
      </c>
    </row>
    <row r="5841" spans="1:18">
      <c r="A5841" s="2" t="s">
        <v>10148</v>
      </c>
      <c r="B5841" s="2" t="s">
        <v>1523</v>
      </c>
      <c r="C5841" s="1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  <c r="L5841" s="2" t="s">
        <v>11029</v>
      </c>
      <c r="M5841" s="2" t="s">
        <v>11028</v>
      </c>
      <c r="N5841" s="2" t="s">
        <v>11037</v>
      </c>
      <c r="O5841" s="2" t="s">
        <v>11037</v>
      </c>
      <c r="P5841" s="2" t="s">
        <v>11037</v>
      </c>
      <c r="Q5841" s="2">
        <f>AVERAGE(PerfRate[[#This Row],[EnvironmentSatisfaction]],PerfRate[[#This Row],[JobSatisfaction]],PerfRate[[#This Row],[RelationshipSatisfaction]])</f>
        <v>4</v>
      </c>
      <c r="R5841" s="2">
        <f>PerfRate[[#This Row],[ManagerRating]] - PerfRate[[#This Row],[SelfRating]]</f>
        <v>-1</v>
      </c>
    </row>
    <row r="5842" spans="1:18">
      <c r="A5842" s="2" t="s">
        <v>10149</v>
      </c>
      <c r="B5842" s="2" t="s">
        <v>2304</v>
      </c>
      <c r="C5842" s="1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  <c r="L5842" s="2" t="s">
        <v>11030</v>
      </c>
      <c r="M5842" s="2" t="s">
        <v>11030</v>
      </c>
      <c r="N5842" s="2" t="s">
        <v>11038</v>
      </c>
      <c r="O5842" s="2" t="s">
        <v>11036</v>
      </c>
      <c r="P5842" s="2" t="s">
        <v>11035</v>
      </c>
      <c r="Q5842" s="2">
        <f>AVERAGE(PerfRate[[#This Row],[EnvironmentSatisfaction]],PerfRate[[#This Row],[JobSatisfaction]],PerfRate[[#This Row],[RelationshipSatisfaction]])</f>
        <v>3.3333333333333335</v>
      </c>
      <c r="R5842" s="2">
        <f>PerfRate[[#This Row],[ManagerRating]] - PerfRate[[#This Row],[SelfRating]]</f>
        <v>0</v>
      </c>
    </row>
    <row r="5843" spans="1:18">
      <c r="A5843" s="2" t="s">
        <v>10150</v>
      </c>
      <c r="B5843" s="2" t="s">
        <v>907</v>
      </c>
      <c r="C5843" s="1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  <c r="L5843" s="2" t="s">
        <v>11031</v>
      </c>
      <c r="M5843" s="2" t="s">
        <v>11031</v>
      </c>
      <c r="N5843" s="2" t="s">
        <v>11038</v>
      </c>
      <c r="O5843" s="2" t="s">
        <v>11038</v>
      </c>
      <c r="P5843" s="2" t="s">
        <v>11036</v>
      </c>
      <c r="Q5843" s="2">
        <f>AVERAGE(PerfRate[[#This Row],[EnvironmentSatisfaction]],PerfRate[[#This Row],[JobSatisfaction]],PerfRate[[#This Row],[RelationshipSatisfaction]])</f>
        <v>4.333333333333333</v>
      </c>
      <c r="R5843" s="2">
        <f>PerfRate[[#This Row],[ManagerRating]] - PerfRate[[#This Row],[SelfRating]]</f>
        <v>0</v>
      </c>
    </row>
    <row r="5844" spans="1:18">
      <c r="A5844" s="2" t="s">
        <v>10151</v>
      </c>
      <c r="B5844" s="2" t="s">
        <v>1192</v>
      </c>
      <c r="C5844" s="1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  <c r="L5844" s="2" t="s">
        <v>11030</v>
      </c>
      <c r="M5844" s="2" t="s">
        <v>11029</v>
      </c>
      <c r="N5844" s="2" t="s">
        <v>11037</v>
      </c>
      <c r="O5844" s="2" t="s">
        <v>11037</v>
      </c>
      <c r="P5844" s="2" t="s">
        <v>11037</v>
      </c>
      <c r="Q5844" s="2">
        <f>AVERAGE(PerfRate[[#This Row],[EnvironmentSatisfaction]],PerfRate[[#This Row],[JobSatisfaction]],PerfRate[[#This Row],[RelationshipSatisfaction]])</f>
        <v>4</v>
      </c>
      <c r="R5844" s="2">
        <f>PerfRate[[#This Row],[ManagerRating]] - PerfRate[[#This Row],[SelfRating]]</f>
        <v>-1</v>
      </c>
    </row>
    <row r="5845" spans="1:18">
      <c r="A5845" s="2" t="s">
        <v>10152</v>
      </c>
      <c r="B5845" s="2" t="s">
        <v>67</v>
      </c>
      <c r="C5845" s="1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  <c r="L5845" s="2" t="s">
        <v>11031</v>
      </c>
      <c r="M5845" s="2" t="s">
        <v>11030</v>
      </c>
      <c r="N5845" s="2" t="s">
        <v>11036</v>
      </c>
      <c r="O5845" s="2" t="s">
        <v>11038</v>
      </c>
      <c r="P5845" s="2" t="s">
        <v>11036</v>
      </c>
      <c r="Q5845" s="2">
        <f>AVERAGE(PerfRate[[#This Row],[EnvironmentSatisfaction]],PerfRate[[#This Row],[JobSatisfaction]],PerfRate[[#This Row],[RelationshipSatisfaction]])</f>
        <v>3.6666666666666665</v>
      </c>
      <c r="R5845" s="2">
        <f>PerfRate[[#This Row],[ManagerRating]] - PerfRate[[#This Row],[SelfRating]]</f>
        <v>-1</v>
      </c>
    </row>
    <row r="5846" spans="1:18">
      <c r="A5846" s="2" t="s">
        <v>10153</v>
      </c>
      <c r="B5846" s="2" t="s">
        <v>1018</v>
      </c>
      <c r="C5846" s="1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  <c r="L5846" s="2" t="s">
        <v>11029</v>
      </c>
      <c r="M5846" s="2" t="s">
        <v>11029</v>
      </c>
      <c r="N5846" s="2" t="s">
        <v>11036</v>
      </c>
      <c r="O5846" s="2" t="s">
        <v>11037</v>
      </c>
      <c r="P5846" s="2" t="s">
        <v>11038</v>
      </c>
      <c r="Q5846" s="2">
        <f>AVERAGE(PerfRate[[#This Row],[EnvironmentSatisfaction]],PerfRate[[#This Row],[JobSatisfaction]],PerfRate[[#This Row],[RelationshipSatisfaction]])</f>
        <v>4</v>
      </c>
      <c r="R5846" s="2">
        <f>PerfRate[[#This Row],[ManagerRating]] - PerfRate[[#This Row],[SelfRating]]</f>
        <v>0</v>
      </c>
    </row>
    <row r="5847" spans="1:18">
      <c r="A5847" s="2" t="s">
        <v>10154</v>
      </c>
      <c r="B5847" s="2" t="s">
        <v>1605</v>
      </c>
      <c r="C5847" s="1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  <c r="L5847" s="2" t="s">
        <v>11031</v>
      </c>
      <c r="M5847" s="2" t="s">
        <v>11031</v>
      </c>
      <c r="N5847" s="2" t="s">
        <v>11038</v>
      </c>
      <c r="O5847" s="2" t="s">
        <v>11037</v>
      </c>
      <c r="P5847" s="2" t="s">
        <v>11036</v>
      </c>
      <c r="Q5847" s="2">
        <f>AVERAGE(PerfRate[[#This Row],[EnvironmentSatisfaction]],PerfRate[[#This Row],[JobSatisfaction]],PerfRate[[#This Row],[RelationshipSatisfaction]])</f>
        <v>4</v>
      </c>
      <c r="R5847" s="2">
        <f>PerfRate[[#This Row],[ManagerRating]] - PerfRate[[#This Row],[SelfRating]]</f>
        <v>0</v>
      </c>
    </row>
    <row r="5848" spans="1:18">
      <c r="A5848" s="2" t="s">
        <v>10155</v>
      </c>
      <c r="B5848" s="2" t="s">
        <v>2739</v>
      </c>
      <c r="C5848" s="1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  <c r="L5848" s="2" t="s">
        <v>11030</v>
      </c>
      <c r="M5848" s="2" t="s">
        <v>11030</v>
      </c>
      <c r="N5848" s="2" t="s">
        <v>11036</v>
      </c>
      <c r="O5848" s="2" t="s">
        <v>11038</v>
      </c>
      <c r="P5848" s="2" t="s">
        <v>11036</v>
      </c>
      <c r="Q5848" s="2">
        <f>AVERAGE(PerfRate[[#This Row],[EnvironmentSatisfaction]],PerfRate[[#This Row],[JobSatisfaction]],PerfRate[[#This Row],[RelationshipSatisfaction]])</f>
        <v>3.6666666666666665</v>
      </c>
      <c r="R5848" s="2">
        <f>PerfRate[[#This Row],[ManagerRating]] - PerfRate[[#This Row],[SelfRating]]</f>
        <v>0</v>
      </c>
    </row>
    <row r="5849" spans="1:18">
      <c r="A5849" s="2" t="s">
        <v>10156</v>
      </c>
      <c r="B5849" s="2" t="s">
        <v>3824</v>
      </c>
      <c r="C5849" s="1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  <c r="L5849" s="2" t="s">
        <v>11030</v>
      </c>
      <c r="M5849" s="2" t="s">
        <v>11030</v>
      </c>
      <c r="N5849" s="2" t="s">
        <v>11037</v>
      </c>
      <c r="O5849" s="2" t="s">
        <v>11035</v>
      </c>
      <c r="P5849" s="2" t="s">
        <v>11036</v>
      </c>
      <c r="Q5849" s="2">
        <f>AVERAGE(PerfRate[[#This Row],[EnvironmentSatisfaction]],PerfRate[[#This Row],[JobSatisfaction]],PerfRate[[#This Row],[RelationshipSatisfaction]])</f>
        <v>3</v>
      </c>
      <c r="R5849" s="2">
        <f>PerfRate[[#This Row],[ManagerRating]] - PerfRate[[#This Row],[SelfRating]]</f>
        <v>0</v>
      </c>
    </row>
    <row r="5850" spans="1:18">
      <c r="A5850" s="2" t="s">
        <v>10157</v>
      </c>
      <c r="B5850" s="2" t="s">
        <v>3702</v>
      </c>
      <c r="C5850" s="1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  <c r="L5850" s="2" t="s">
        <v>11029</v>
      </c>
      <c r="M5850" s="2" t="s">
        <v>11028</v>
      </c>
      <c r="N5850" s="2" t="s">
        <v>11038</v>
      </c>
      <c r="O5850" s="2" t="s">
        <v>11036</v>
      </c>
      <c r="P5850" s="2" t="s">
        <v>11035</v>
      </c>
      <c r="Q5850" s="2">
        <f>AVERAGE(PerfRate[[#This Row],[EnvironmentSatisfaction]],PerfRate[[#This Row],[JobSatisfaction]],PerfRate[[#This Row],[RelationshipSatisfaction]])</f>
        <v>3.3333333333333335</v>
      </c>
      <c r="R5850" s="2">
        <f>PerfRate[[#This Row],[ManagerRating]] - PerfRate[[#This Row],[SelfRating]]</f>
        <v>-1</v>
      </c>
    </row>
    <row r="5851" spans="1:18">
      <c r="A5851" s="2" t="s">
        <v>10158</v>
      </c>
      <c r="B5851" s="2" t="s">
        <v>3192</v>
      </c>
      <c r="C5851" s="1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  <c r="L5851" s="2" t="s">
        <v>11030</v>
      </c>
      <c r="M5851" s="2" t="s">
        <v>11029</v>
      </c>
      <c r="N5851" s="2" t="s">
        <v>11037</v>
      </c>
      <c r="O5851" s="2" t="s">
        <v>11038</v>
      </c>
      <c r="P5851" s="2" t="s">
        <v>11036</v>
      </c>
      <c r="Q5851" s="2">
        <f>AVERAGE(PerfRate[[#This Row],[EnvironmentSatisfaction]],PerfRate[[#This Row],[JobSatisfaction]],PerfRate[[#This Row],[RelationshipSatisfaction]])</f>
        <v>4</v>
      </c>
      <c r="R5851" s="2">
        <f>PerfRate[[#This Row],[ManagerRating]] - PerfRate[[#This Row],[SelfRating]]</f>
        <v>-1</v>
      </c>
    </row>
    <row r="5852" spans="1:18">
      <c r="A5852" s="2" t="s">
        <v>10159</v>
      </c>
      <c r="B5852" s="2" t="s">
        <v>2946</v>
      </c>
      <c r="C5852" s="1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  <c r="L5852" s="2" t="s">
        <v>11030</v>
      </c>
      <c r="M5852" s="2" t="s">
        <v>11030</v>
      </c>
      <c r="N5852" s="2" t="s">
        <v>11037</v>
      </c>
      <c r="O5852" s="2" t="s">
        <v>11034</v>
      </c>
      <c r="P5852" s="2" t="s">
        <v>11036</v>
      </c>
      <c r="Q5852" s="2">
        <f>AVERAGE(PerfRate[[#This Row],[EnvironmentSatisfaction]],PerfRate[[#This Row],[JobSatisfaction]],PerfRate[[#This Row],[RelationshipSatisfaction]])</f>
        <v>2.6666666666666665</v>
      </c>
      <c r="R5852" s="2">
        <f>PerfRate[[#This Row],[ManagerRating]] - PerfRate[[#This Row],[SelfRating]]</f>
        <v>0</v>
      </c>
    </row>
    <row r="5853" spans="1:18">
      <c r="A5853" s="2" t="s">
        <v>10160</v>
      </c>
      <c r="B5853" s="2" t="s">
        <v>1289</v>
      </c>
      <c r="C5853" s="1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  <c r="L5853" s="2" t="s">
        <v>11030</v>
      </c>
      <c r="M5853" s="2" t="s">
        <v>11030</v>
      </c>
      <c r="N5853" s="2" t="s">
        <v>11037</v>
      </c>
      <c r="O5853" s="2" t="s">
        <v>11037</v>
      </c>
      <c r="P5853" s="2" t="s">
        <v>11035</v>
      </c>
      <c r="Q5853" s="2">
        <f>AVERAGE(PerfRate[[#This Row],[EnvironmentSatisfaction]],PerfRate[[#This Row],[JobSatisfaction]],PerfRate[[#This Row],[RelationshipSatisfaction]])</f>
        <v>3.3333333333333335</v>
      </c>
      <c r="R5853" s="2">
        <f>PerfRate[[#This Row],[ManagerRating]] - PerfRate[[#This Row],[SelfRating]]</f>
        <v>0</v>
      </c>
    </row>
    <row r="5854" spans="1:18">
      <c r="A5854" s="2" t="s">
        <v>10161</v>
      </c>
      <c r="B5854" s="2" t="s">
        <v>1042</v>
      </c>
      <c r="C5854" s="1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  <c r="L5854" s="2" t="s">
        <v>11030</v>
      </c>
      <c r="M5854" s="2" t="s">
        <v>11030</v>
      </c>
      <c r="N5854" s="2" t="s">
        <v>11036</v>
      </c>
      <c r="O5854" s="2" t="s">
        <v>11037</v>
      </c>
      <c r="P5854" s="2" t="s">
        <v>11034</v>
      </c>
      <c r="Q5854" s="2">
        <f>AVERAGE(PerfRate[[#This Row],[EnvironmentSatisfaction]],PerfRate[[#This Row],[JobSatisfaction]],PerfRate[[#This Row],[RelationshipSatisfaction]])</f>
        <v>2.6666666666666665</v>
      </c>
      <c r="R5854" s="2">
        <f>PerfRate[[#This Row],[ManagerRating]] - PerfRate[[#This Row],[SelfRating]]</f>
        <v>0</v>
      </c>
    </row>
    <row r="5855" spans="1:18">
      <c r="A5855" s="2" t="s">
        <v>10162</v>
      </c>
      <c r="B5855" s="2" t="s">
        <v>3088</v>
      </c>
      <c r="C5855" s="1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  <c r="L5855" s="2" t="s">
        <v>11029</v>
      </c>
      <c r="M5855" s="2" t="s">
        <v>11029</v>
      </c>
      <c r="N5855" s="2" t="s">
        <v>11037</v>
      </c>
      <c r="O5855" s="2" t="s">
        <v>11037</v>
      </c>
      <c r="P5855" s="2" t="s">
        <v>11038</v>
      </c>
      <c r="Q5855" s="2">
        <f>AVERAGE(PerfRate[[#This Row],[EnvironmentSatisfaction]],PerfRate[[#This Row],[JobSatisfaction]],PerfRate[[#This Row],[RelationshipSatisfaction]])</f>
        <v>4.333333333333333</v>
      </c>
      <c r="R5855" s="2">
        <f>PerfRate[[#This Row],[ManagerRating]] - PerfRate[[#This Row],[SelfRating]]</f>
        <v>0</v>
      </c>
    </row>
    <row r="5856" spans="1:18">
      <c r="A5856" s="2" t="s">
        <v>10163</v>
      </c>
      <c r="B5856" s="2" t="s">
        <v>147</v>
      </c>
      <c r="C5856" s="1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  <c r="L5856" s="2" t="s">
        <v>11031</v>
      </c>
      <c r="M5856" s="2" t="s">
        <v>11030</v>
      </c>
      <c r="N5856" s="2" t="s">
        <v>11036</v>
      </c>
      <c r="O5856" s="2" t="s">
        <v>11035</v>
      </c>
      <c r="P5856" s="2" t="s">
        <v>11037</v>
      </c>
      <c r="Q5856" s="2">
        <f>AVERAGE(PerfRate[[#This Row],[EnvironmentSatisfaction]],PerfRate[[#This Row],[JobSatisfaction]],PerfRate[[#This Row],[RelationshipSatisfaction]])</f>
        <v>3</v>
      </c>
      <c r="R5856" s="2">
        <f>PerfRate[[#This Row],[ManagerRating]] - PerfRate[[#This Row],[SelfRating]]</f>
        <v>-1</v>
      </c>
    </row>
    <row r="5857" spans="1:18">
      <c r="A5857" s="2" t="s">
        <v>10164</v>
      </c>
      <c r="B5857" s="2" t="s">
        <v>699</v>
      </c>
      <c r="C5857" s="1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  <c r="L5857" s="2" t="s">
        <v>11029</v>
      </c>
      <c r="M5857" s="2" t="s">
        <v>11028</v>
      </c>
      <c r="N5857" s="2" t="s">
        <v>11036</v>
      </c>
      <c r="O5857" s="2" t="s">
        <v>11036</v>
      </c>
      <c r="P5857" s="2" t="s">
        <v>11037</v>
      </c>
      <c r="Q5857" s="2">
        <f>AVERAGE(PerfRate[[#This Row],[EnvironmentSatisfaction]],PerfRate[[#This Row],[JobSatisfaction]],PerfRate[[#This Row],[RelationshipSatisfaction]])</f>
        <v>3.3333333333333335</v>
      </c>
      <c r="R5857" s="2">
        <f>PerfRate[[#This Row],[ManagerRating]] - PerfRate[[#This Row],[SelfRating]]</f>
        <v>-1</v>
      </c>
    </row>
    <row r="5858" spans="1:18">
      <c r="A5858" s="2" t="s">
        <v>10165</v>
      </c>
      <c r="B5858" s="2" t="s">
        <v>2467</v>
      </c>
      <c r="C5858" s="1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  <c r="L5858" s="2" t="s">
        <v>11030</v>
      </c>
      <c r="M5858" s="2" t="s">
        <v>11030</v>
      </c>
      <c r="N5858" s="2" t="s">
        <v>11036</v>
      </c>
      <c r="O5858" s="2" t="s">
        <v>11037</v>
      </c>
      <c r="P5858" s="2" t="s">
        <v>11037</v>
      </c>
      <c r="Q5858" s="2">
        <f>AVERAGE(PerfRate[[#This Row],[EnvironmentSatisfaction]],PerfRate[[#This Row],[JobSatisfaction]],PerfRate[[#This Row],[RelationshipSatisfaction]])</f>
        <v>3.6666666666666665</v>
      </c>
      <c r="R5858" s="2">
        <f>PerfRate[[#This Row],[ManagerRating]] - PerfRate[[#This Row],[SelfRating]]</f>
        <v>0</v>
      </c>
    </row>
    <row r="5859" spans="1:18">
      <c r="A5859" s="2" t="s">
        <v>10166</v>
      </c>
      <c r="B5859" s="2" t="s">
        <v>820</v>
      </c>
      <c r="C5859" s="1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  <c r="L5859" s="2" t="s">
        <v>11031</v>
      </c>
      <c r="M5859" s="2" t="s">
        <v>11030</v>
      </c>
      <c r="N5859" s="2" t="s">
        <v>11037</v>
      </c>
      <c r="O5859" s="2" t="s">
        <v>11036</v>
      </c>
      <c r="P5859" s="2" t="s">
        <v>11036</v>
      </c>
      <c r="Q5859" s="2">
        <f>AVERAGE(PerfRate[[#This Row],[EnvironmentSatisfaction]],PerfRate[[#This Row],[JobSatisfaction]],PerfRate[[#This Row],[RelationshipSatisfaction]])</f>
        <v>3.3333333333333335</v>
      </c>
      <c r="R5859" s="2">
        <f>PerfRate[[#This Row],[ManagerRating]] - PerfRate[[#This Row],[SelfRating]]</f>
        <v>-1</v>
      </c>
    </row>
    <row r="5860" spans="1:18">
      <c r="A5860" s="2" t="s">
        <v>10167</v>
      </c>
      <c r="B5860" s="2" t="s">
        <v>1999</v>
      </c>
      <c r="C5860" s="1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  <c r="L5860" s="2" t="s">
        <v>11029</v>
      </c>
      <c r="M5860" s="2" t="s">
        <v>11028</v>
      </c>
      <c r="N5860" s="2" t="s">
        <v>11035</v>
      </c>
      <c r="O5860" s="2" t="s">
        <v>11037</v>
      </c>
      <c r="P5860" s="2" t="s">
        <v>11035</v>
      </c>
      <c r="Q5860" s="2">
        <f>AVERAGE(PerfRate[[#This Row],[EnvironmentSatisfaction]],PerfRate[[#This Row],[JobSatisfaction]],PerfRate[[#This Row],[RelationshipSatisfaction]])</f>
        <v>2.6666666666666665</v>
      </c>
      <c r="R5860" s="2">
        <f>PerfRate[[#This Row],[ManagerRating]] - PerfRate[[#This Row],[SelfRating]]</f>
        <v>-1</v>
      </c>
    </row>
    <row r="5861" spans="1:18">
      <c r="A5861" s="2" t="s">
        <v>10168</v>
      </c>
      <c r="B5861" s="2" t="s">
        <v>446</v>
      </c>
      <c r="C5861" s="1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  <c r="L5861" s="2" t="s">
        <v>11030</v>
      </c>
      <c r="M5861" s="2" t="s">
        <v>11029</v>
      </c>
      <c r="N5861" s="2" t="s">
        <v>11036</v>
      </c>
      <c r="O5861" s="2" t="s">
        <v>11037</v>
      </c>
      <c r="P5861" s="2" t="s">
        <v>11037</v>
      </c>
      <c r="Q5861" s="2">
        <f>AVERAGE(PerfRate[[#This Row],[EnvironmentSatisfaction]],PerfRate[[#This Row],[JobSatisfaction]],PerfRate[[#This Row],[RelationshipSatisfaction]])</f>
        <v>3.6666666666666665</v>
      </c>
      <c r="R5861" s="2">
        <f>PerfRate[[#This Row],[ManagerRating]] - PerfRate[[#This Row],[SelfRating]]</f>
        <v>-1</v>
      </c>
    </row>
    <row r="5862" spans="1:18">
      <c r="A5862" s="2" t="s">
        <v>10169</v>
      </c>
      <c r="B5862" s="2" t="s">
        <v>1744</v>
      </c>
      <c r="C5862" s="1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  <c r="L5862" s="2" t="s">
        <v>11030</v>
      </c>
      <c r="M5862" s="2" t="s">
        <v>11030</v>
      </c>
      <c r="N5862" s="2" t="s">
        <v>11038</v>
      </c>
      <c r="O5862" s="2" t="s">
        <v>11036</v>
      </c>
      <c r="P5862" s="2" t="s">
        <v>11035</v>
      </c>
      <c r="Q5862" s="2">
        <f>AVERAGE(PerfRate[[#This Row],[EnvironmentSatisfaction]],PerfRate[[#This Row],[JobSatisfaction]],PerfRate[[#This Row],[RelationshipSatisfaction]])</f>
        <v>3.3333333333333335</v>
      </c>
      <c r="R5862" s="2">
        <f>PerfRate[[#This Row],[ManagerRating]] - PerfRate[[#This Row],[SelfRating]]</f>
        <v>0</v>
      </c>
    </row>
    <row r="5863" spans="1:18">
      <c r="A5863" s="2" t="s">
        <v>10170</v>
      </c>
      <c r="B5863" s="2" t="s">
        <v>1830</v>
      </c>
      <c r="C5863" s="1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  <c r="L5863" s="2" t="s">
        <v>11029</v>
      </c>
      <c r="M5863" s="2" t="s">
        <v>11029</v>
      </c>
      <c r="N5863" s="2" t="s">
        <v>11036</v>
      </c>
      <c r="O5863" s="2" t="s">
        <v>11038</v>
      </c>
      <c r="P5863" s="2" t="s">
        <v>11037</v>
      </c>
      <c r="Q5863" s="2">
        <f>AVERAGE(PerfRate[[#This Row],[EnvironmentSatisfaction]],PerfRate[[#This Row],[JobSatisfaction]],PerfRate[[#This Row],[RelationshipSatisfaction]])</f>
        <v>4</v>
      </c>
      <c r="R5863" s="2">
        <f>PerfRate[[#This Row],[ManagerRating]] - PerfRate[[#This Row],[SelfRating]]</f>
        <v>0</v>
      </c>
    </row>
    <row r="5864" spans="1:18">
      <c r="A5864" s="2" t="s">
        <v>10171</v>
      </c>
      <c r="B5864" s="2" t="s">
        <v>3296</v>
      </c>
      <c r="C5864" s="1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  <c r="L5864" s="2" t="s">
        <v>11029</v>
      </c>
      <c r="M5864" s="2" t="s">
        <v>11028</v>
      </c>
      <c r="N5864" s="2" t="s">
        <v>11036</v>
      </c>
      <c r="O5864" s="2" t="s">
        <v>11036</v>
      </c>
      <c r="P5864" s="2" t="s">
        <v>11035</v>
      </c>
      <c r="Q5864" s="2">
        <f>AVERAGE(PerfRate[[#This Row],[EnvironmentSatisfaction]],PerfRate[[#This Row],[JobSatisfaction]],PerfRate[[#This Row],[RelationshipSatisfaction]])</f>
        <v>2.6666666666666665</v>
      </c>
      <c r="R5864" s="2">
        <f>PerfRate[[#This Row],[ManagerRating]] - PerfRate[[#This Row],[SelfRating]]</f>
        <v>-1</v>
      </c>
    </row>
    <row r="5865" spans="1:18">
      <c r="A5865" s="2" t="s">
        <v>10172</v>
      </c>
      <c r="B5865" s="2" t="s">
        <v>3671</v>
      </c>
      <c r="C5865" s="1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  <c r="L5865" s="2" t="s">
        <v>11029</v>
      </c>
      <c r="M5865" s="2" t="s">
        <v>11029</v>
      </c>
      <c r="N5865" s="2" t="s">
        <v>11037</v>
      </c>
      <c r="O5865" s="2" t="s">
        <v>11038</v>
      </c>
      <c r="P5865" s="2" t="s">
        <v>11035</v>
      </c>
      <c r="Q5865" s="2">
        <f>AVERAGE(PerfRate[[#This Row],[EnvironmentSatisfaction]],PerfRate[[#This Row],[JobSatisfaction]],PerfRate[[#This Row],[RelationshipSatisfaction]])</f>
        <v>3.6666666666666665</v>
      </c>
      <c r="R5865" s="2">
        <f>PerfRate[[#This Row],[ManagerRating]] - PerfRate[[#This Row],[SelfRating]]</f>
        <v>0</v>
      </c>
    </row>
    <row r="5866" spans="1:18">
      <c r="A5866" s="2" t="s">
        <v>10173</v>
      </c>
      <c r="B5866" s="2" t="s">
        <v>1151</v>
      </c>
      <c r="C5866" s="1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  <c r="L5866" s="2" t="s">
        <v>11030</v>
      </c>
      <c r="M5866" s="2" t="s">
        <v>11029</v>
      </c>
      <c r="N5866" s="2" t="s">
        <v>11037</v>
      </c>
      <c r="O5866" s="2" t="s">
        <v>11035</v>
      </c>
      <c r="P5866" s="2" t="s">
        <v>11037</v>
      </c>
      <c r="Q5866" s="2">
        <f>AVERAGE(PerfRate[[#This Row],[EnvironmentSatisfaction]],PerfRate[[#This Row],[JobSatisfaction]],PerfRate[[#This Row],[RelationshipSatisfaction]])</f>
        <v>3.3333333333333335</v>
      </c>
      <c r="R5866" s="2">
        <f>PerfRate[[#This Row],[ManagerRating]] - PerfRate[[#This Row],[SelfRating]]</f>
        <v>-1</v>
      </c>
    </row>
    <row r="5867" spans="1:18">
      <c r="A5867" s="2" t="s">
        <v>10174</v>
      </c>
      <c r="B5867" s="2" t="s">
        <v>1186</v>
      </c>
      <c r="C5867" s="1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  <c r="L5867" s="2" t="s">
        <v>11030</v>
      </c>
      <c r="M5867" s="2" t="s">
        <v>11030</v>
      </c>
      <c r="N5867" s="2" t="s">
        <v>11038</v>
      </c>
      <c r="O5867" s="2" t="s">
        <v>11037</v>
      </c>
      <c r="P5867" s="2" t="s">
        <v>11036</v>
      </c>
      <c r="Q5867" s="2">
        <f>AVERAGE(PerfRate[[#This Row],[EnvironmentSatisfaction]],PerfRate[[#This Row],[JobSatisfaction]],PerfRate[[#This Row],[RelationshipSatisfaction]])</f>
        <v>4</v>
      </c>
      <c r="R5867" s="2">
        <f>PerfRate[[#This Row],[ManagerRating]] - PerfRate[[#This Row],[SelfRating]]</f>
        <v>0</v>
      </c>
    </row>
    <row r="5868" spans="1:18">
      <c r="A5868" s="2" t="s">
        <v>10175</v>
      </c>
      <c r="B5868" s="2" t="s">
        <v>2833</v>
      </c>
      <c r="C5868" s="1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  <c r="L5868" s="2" t="s">
        <v>11029</v>
      </c>
      <c r="M5868" s="2" t="s">
        <v>11029</v>
      </c>
      <c r="N5868" s="2" t="s">
        <v>11038</v>
      </c>
      <c r="O5868" s="2" t="s">
        <v>11035</v>
      </c>
      <c r="P5868" s="2" t="s">
        <v>11035</v>
      </c>
      <c r="Q5868" s="2">
        <f>AVERAGE(PerfRate[[#This Row],[EnvironmentSatisfaction]],PerfRate[[#This Row],[JobSatisfaction]],PerfRate[[#This Row],[RelationshipSatisfaction]])</f>
        <v>3</v>
      </c>
      <c r="R5868" s="2">
        <f>PerfRate[[#This Row],[ManagerRating]] - PerfRate[[#This Row],[SelfRating]]</f>
        <v>0</v>
      </c>
    </row>
    <row r="5869" spans="1:18">
      <c r="A5869" s="2" t="s">
        <v>10176</v>
      </c>
      <c r="B5869" s="2" t="s">
        <v>747</v>
      </c>
      <c r="C5869" s="1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  <c r="L5869" s="2" t="s">
        <v>11029</v>
      </c>
      <c r="M5869" s="2" t="s">
        <v>11028</v>
      </c>
      <c r="N5869" s="2" t="s">
        <v>11038</v>
      </c>
      <c r="O5869" s="2" t="s">
        <v>11037</v>
      </c>
      <c r="P5869" s="2" t="s">
        <v>11038</v>
      </c>
      <c r="Q5869" s="2">
        <f>AVERAGE(PerfRate[[#This Row],[EnvironmentSatisfaction]],PerfRate[[#This Row],[JobSatisfaction]],PerfRate[[#This Row],[RelationshipSatisfaction]])</f>
        <v>4.666666666666667</v>
      </c>
      <c r="R5869" s="2">
        <f>PerfRate[[#This Row],[ManagerRating]] - PerfRate[[#This Row],[SelfRating]]</f>
        <v>-1</v>
      </c>
    </row>
    <row r="5870" spans="1:18">
      <c r="A5870" s="2" t="s">
        <v>10177</v>
      </c>
      <c r="B5870" s="2" t="s">
        <v>3258</v>
      </c>
      <c r="C5870" s="1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  <c r="L5870" s="2" t="s">
        <v>11029</v>
      </c>
      <c r="M5870" s="2" t="s">
        <v>11029</v>
      </c>
      <c r="N5870" s="2" t="s">
        <v>11036</v>
      </c>
      <c r="O5870" s="2" t="s">
        <v>11035</v>
      </c>
      <c r="P5870" s="2" t="s">
        <v>11037</v>
      </c>
      <c r="Q5870" s="2">
        <f>AVERAGE(PerfRate[[#This Row],[EnvironmentSatisfaction]],PerfRate[[#This Row],[JobSatisfaction]],PerfRate[[#This Row],[RelationshipSatisfaction]])</f>
        <v>3</v>
      </c>
      <c r="R5870" s="2">
        <f>PerfRate[[#This Row],[ManagerRating]] - PerfRate[[#This Row],[SelfRating]]</f>
        <v>0</v>
      </c>
    </row>
    <row r="5871" spans="1:18">
      <c r="A5871" s="2" t="s">
        <v>10178</v>
      </c>
      <c r="B5871" s="2" t="s">
        <v>1000</v>
      </c>
      <c r="C5871" s="1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  <c r="L5871" s="2" t="s">
        <v>11031</v>
      </c>
      <c r="M5871" s="2" t="s">
        <v>11031</v>
      </c>
      <c r="N5871" s="2" t="s">
        <v>11038</v>
      </c>
      <c r="O5871" s="2" t="s">
        <v>11035</v>
      </c>
      <c r="P5871" s="2" t="s">
        <v>11035</v>
      </c>
      <c r="Q5871" s="2">
        <f>AVERAGE(PerfRate[[#This Row],[EnvironmentSatisfaction]],PerfRate[[#This Row],[JobSatisfaction]],PerfRate[[#This Row],[RelationshipSatisfaction]])</f>
        <v>3</v>
      </c>
      <c r="R5871" s="2">
        <f>PerfRate[[#This Row],[ManagerRating]] - PerfRate[[#This Row],[SelfRating]]</f>
        <v>0</v>
      </c>
    </row>
    <row r="5872" spans="1:18">
      <c r="A5872" s="2" t="s">
        <v>10179</v>
      </c>
      <c r="B5872" s="2" t="s">
        <v>1306</v>
      </c>
      <c r="C5872" s="1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  <c r="L5872" s="2" t="s">
        <v>11030</v>
      </c>
      <c r="M5872" s="2" t="s">
        <v>11030</v>
      </c>
      <c r="N5872" s="2" t="s">
        <v>11037</v>
      </c>
      <c r="O5872" s="2" t="s">
        <v>11038</v>
      </c>
      <c r="P5872" s="2" t="s">
        <v>11037</v>
      </c>
      <c r="Q5872" s="2">
        <f>AVERAGE(PerfRate[[#This Row],[EnvironmentSatisfaction]],PerfRate[[#This Row],[JobSatisfaction]],PerfRate[[#This Row],[RelationshipSatisfaction]])</f>
        <v>4.333333333333333</v>
      </c>
      <c r="R5872" s="2">
        <f>PerfRate[[#This Row],[ManagerRating]] - PerfRate[[#This Row],[SelfRating]]</f>
        <v>0</v>
      </c>
    </row>
    <row r="5873" spans="1:18">
      <c r="A5873" s="2" t="s">
        <v>10180</v>
      </c>
      <c r="B5873" s="2" t="s">
        <v>1736</v>
      </c>
      <c r="C5873" s="1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  <c r="L5873" s="2" t="s">
        <v>11029</v>
      </c>
      <c r="M5873" s="2" t="s">
        <v>11029</v>
      </c>
      <c r="N5873" s="2" t="s">
        <v>11036</v>
      </c>
      <c r="O5873" s="2" t="s">
        <v>11038</v>
      </c>
      <c r="P5873" s="2" t="s">
        <v>11037</v>
      </c>
      <c r="Q5873" s="2">
        <f>AVERAGE(PerfRate[[#This Row],[EnvironmentSatisfaction]],PerfRate[[#This Row],[JobSatisfaction]],PerfRate[[#This Row],[RelationshipSatisfaction]])</f>
        <v>4</v>
      </c>
      <c r="R5873" s="2">
        <f>PerfRate[[#This Row],[ManagerRating]] - PerfRate[[#This Row],[SelfRating]]</f>
        <v>0</v>
      </c>
    </row>
    <row r="5874" spans="1:18">
      <c r="A5874" s="2" t="s">
        <v>10181</v>
      </c>
      <c r="B5874" s="2" t="s">
        <v>1238</v>
      </c>
      <c r="C5874" s="1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  <c r="L5874" s="2" t="s">
        <v>11029</v>
      </c>
      <c r="M5874" s="2" t="s">
        <v>11029</v>
      </c>
      <c r="N5874" s="2" t="s">
        <v>11038</v>
      </c>
      <c r="O5874" s="2" t="s">
        <v>11036</v>
      </c>
      <c r="P5874" s="2" t="s">
        <v>11036</v>
      </c>
      <c r="Q5874" s="2">
        <f>AVERAGE(PerfRate[[#This Row],[EnvironmentSatisfaction]],PerfRate[[#This Row],[JobSatisfaction]],PerfRate[[#This Row],[RelationshipSatisfaction]])</f>
        <v>3.6666666666666665</v>
      </c>
      <c r="R5874" s="2">
        <f>PerfRate[[#This Row],[ManagerRating]] - PerfRate[[#This Row],[SelfRating]]</f>
        <v>0</v>
      </c>
    </row>
    <row r="5875" spans="1:18">
      <c r="A5875" s="2" t="s">
        <v>10182</v>
      </c>
      <c r="B5875" s="2" t="s">
        <v>1546</v>
      </c>
      <c r="C5875" s="1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  <c r="L5875" s="2" t="s">
        <v>11031</v>
      </c>
      <c r="M5875" s="2" t="s">
        <v>11031</v>
      </c>
      <c r="N5875" s="2" t="s">
        <v>11038</v>
      </c>
      <c r="O5875" s="2" t="s">
        <v>11037</v>
      </c>
      <c r="P5875" s="2" t="s">
        <v>11037</v>
      </c>
      <c r="Q5875" s="2">
        <f>AVERAGE(PerfRate[[#This Row],[EnvironmentSatisfaction]],PerfRate[[#This Row],[JobSatisfaction]],PerfRate[[#This Row],[RelationshipSatisfaction]])</f>
        <v>4.333333333333333</v>
      </c>
      <c r="R5875" s="2">
        <f>PerfRate[[#This Row],[ManagerRating]] - PerfRate[[#This Row],[SelfRating]]</f>
        <v>0</v>
      </c>
    </row>
    <row r="5876" spans="1:18">
      <c r="A5876" s="2" t="s">
        <v>10183</v>
      </c>
      <c r="B5876" s="2" t="s">
        <v>2324</v>
      </c>
      <c r="C5876" s="1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  <c r="L5876" s="2" t="s">
        <v>11029</v>
      </c>
      <c r="M5876" s="2" t="s">
        <v>11028</v>
      </c>
      <c r="N5876" s="2" t="s">
        <v>11038</v>
      </c>
      <c r="O5876" s="2" t="s">
        <v>11036</v>
      </c>
      <c r="P5876" s="2" t="s">
        <v>11036</v>
      </c>
      <c r="Q5876" s="2">
        <f>AVERAGE(PerfRate[[#This Row],[EnvironmentSatisfaction]],PerfRate[[#This Row],[JobSatisfaction]],PerfRate[[#This Row],[RelationshipSatisfaction]])</f>
        <v>3.6666666666666665</v>
      </c>
      <c r="R5876" s="2">
        <f>PerfRate[[#This Row],[ManagerRating]] - PerfRate[[#This Row],[SelfRating]]</f>
        <v>-1</v>
      </c>
    </row>
    <row r="5877" spans="1:18">
      <c r="A5877" s="2" t="s">
        <v>10184</v>
      </c>
      <c r="B5877" s="2" t="s">
        <v>2269</v>
      </c>
      <c r="C5877" s="1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  <c r="L5877" s="2" t="s">
        <v>11030</v>
      </c>
      <c r="M5877" s="2" t="s">
        <v>11030</v>
      </c>
      <c r="N5877" s="2" t="s">
        <v>11037</v>
      </c>
      <c r="O5877" s="2" t="s">
        <v>11037</v>
      </c>
      <c r="P5877" s="2" t="s">
        <v>11038</v>
      </c>
      <c r="Q5877" s="2">
        <f>AVERAGE(PerfRate[[#This Row],[EnvironmentSatisfaction]],PerfRate[[#This Row],[JobSatisfaction]],PerfRate[[#This Row],[RelationshipSatisfaction]])</f>
        <v>4.333333333333333</v>
      </c>
      <c r="R5877" s="2">
        <f>PerfRate[[#This Row],[ManagerRating]] - PerfRate[[#This Row],[SelfRating]]</f>
        <v>0</v>
      </c>
    </row>
    <row r="5878" spans="1:18">
      <c r="A5878" s="2" t="s">
        <v>10185</v>
      </c>
      <c r="B5878" s="2" t="s">
        <v>272</v>
      </c>
      <c r="C5878" s="1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  <c r="L5878" s="2" t="s">
        <v>11029</v>
      </c>
      <c r="M5878" s="2" t="s">
        <v>11028</v>
      </c>
      <c r="N5878" s="2" t="s">
        <v>11036</v>
      </c>
      <c r="O5878" s="2" t="s">
        <v>11038</v>
      </c>
      <c r="P5878" s="2" t="s">
        <v>11036</v>
      </c>
      <c r="Q5878" s="2">
        <f>AVERAGE(PerfRate[[#This Row],[EnvironmentSatisfaction]],PerfRate[[#This Row],[JobSatisfaction]],PerfRate[[#This Row],[RelationshipSatisfaction]])</f>
        <v>3.6666666666666665</v>
      </c>
      <c r="R5878" s="2">
        <f>PerfRate[[#This Row],[ManagerRating]] - PerfRate[[#This Row],[SelfRating]]</f>
        <v>-1</v>
      </c>
    </row>
    <row r="5879" spans="1:18">
      <c r="A5879" s="2" t="s">
        <v>10186</v>
      </c>
      <c r="B5879" s="2" t="s">
        <v>151</v>
      </c>
      <c r="C5879" s="1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  <c r="L5879" s="2" t="s">
        <v>11029</v>
      </c>
      <c r="M5879" s="2" t="s">
        <v>11028</v>
      </c>
      <c r="N5879" s="2" t="s">
        <v>11036</v>
      </c>
      <c r="O5879" s="2" t="s">
        <v>11038</v>
      </c>
      <c r="P5879" s="2" t="s">
        <v>11038</v>
      </c>
      <c r="Q5879" s="2">
        <f>AVERAGE(PerfRate[[#This Row],[EnvironmentSatisfaction]],PerfRate[[#This Row],[JobSatisfaction]],PerfRate[[#This Row],[RelationshipSatisfaction]])</f>
        <v>4.333333333333333</v>
      </c>
      <c r="R5879" s="2">
        <f>PerfRate[[#This Row],[ManagerRating]] - PerfRate[[#This Row],[SelfRating]]</f>
        <v>-1</v>
      </c>
    </row>
    <row r="5880" spans="1:18">
      <c r="A5880" s="2" t="s">
        <v>10187</v>
      </c>
      <c r="B5880" s="2" t="s">
        <v>1136</v>
      </c>
      <c r="C5880" s="1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  <c r="L5880" s="2" t="s">
        <v>11031</v>
      </c>
      <c r="M5880" s="2" t="s">
        <v>11031</v>
      </c>
      <c r="N5880" s="2" t="s">
        <v>11037</v>
      </c>
      <c r="O5880" s="2" t="s">
        <v>11036</v>
      </c>
      <c r="P5880" s="2" t="s">
        <v>11036</v>
      </c>
      <c r="Q5880" s="2">
        <f>AVERAGE(PerfRate[[#This Row],[EnvironmentSatisfaction]],PerfRate[[#This Row],[JobSatisfaction]],PerfRate[[#This Row],[RelationshipSatisfaction]])</f>
        <v>3.3333333333333335</v>
      </c>
      <c r="R5880" s="2">
        <f>PerfRate[[#This Row],[ManagerRating]] - PerfRate[[#This Row],[SelfRating]]</f>
        <v>0</v>
      </c>
    </row>
    <row r="5881" spans="1:18">
      <c r="A5881" s="2" t="s">
        <v>10188</v>
      </c>
      <c r="B5881" s="2" t="s">
        <v>1517</v>
      </c>
      <c r="C5881" s="1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  <c r="L5881" s="2" t="s">
        <v>11029</v>
      </c>
      <c r="M5881" s="2" t="s">
        <v>11029</v>
      </c>
      <c r="N5881" s="2" t="s">
        <v>11037</v>
      </c>
      <c r="O5881" s="2" t="s">
        <v>11036</v>
      </c>
      <c r="P5881" s="2" t="s">
        <v>11037</v>
      </c>
      <c r="Q5881" s="2">
        <f>AVERAGE(PerfRate[[#This Row],[EnvironmentSatisfaction]],PerfRate[[#This Row],[JobSatisfaction]],PerfRate[[#This Row],[RelationshipSatisfaction]])</f>
        <v>3.6666666666666665</v>
      </c>
      <c r="R5881" s="2">
        <f>PerfRate[[#This Row],[ManagerRating]] - PerfRate[[#This Row],[SelfRating]]</f>
        <v>0</v>
      </c>
    </row>
    <row r="5882" spans="1:18">
      <c r="A5882" s="2" t="s">
        <v>10189</v>
      </c>
      <c r="B5882" s="2" t="s">
        <v>1649</v>
      </c>
      <c r="C5882" s="1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  <c r="L5882" s="2" t="s">
        <v>11029</v>
      </c>
      <c r="M5882" s="2" t="s">
        <v>11028</v>
      </c>
      <c r="N5882" s="2" t="s">
        <v>11038</v>
      </c>
      <c r="O5882" s="2" t="s">
        <v>11037</v>
      </c>
      <c r="P5882" s="2" t="s">
        <v>11038</v>
      </c>
      <c r="Q5882" s="2">
        <f>AVERAGE(PerfRate[[#This Row],[EnvironmentSatisfaction]],PerfRate[[#This Row],[JobSatisfaction]],PerfRate[[#This Row],[RelationshipSatisfaction]])</f>
        <v>4.666666666666667</v>
      </c>
      <c r="R5882" s="2">
        <f>PerfRate[[#This Row],[ManagerRating]] - PerfRate[[#This Row],[SelfRating]]</f>
        <v>-1</v>
      </c>
    </row>
    <row r="5883" spans="1:18">
      <c r="A5883" s="2" t="s">
        <v>10190</v>
      </c>
      <c r="B5883" s="2" t="s">
        <v>2532</v>
      </c>
      <c r="C5883" s="1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  <c r="L5883" s="2" t="s">
        <v>11030</v>
      </c>
      <c r="M5883" s="2" t="s">
        <v>11030</v>
      </c>
      <c r="N5883" s="2" t="s">
        <v>11038</v>
      </c>
      <c r="O5883" s="2" t="s">
        <v>11038</v>
      </c>
      <c r="P5883" s="2" t="s">
        <v>11035</v>
      </c>
      <c r="Q5883" s="2">
        <f>AVERAGE(PerfRate[[#This Row],[EnvironmentSatisfaction]],PerfRate[[#This Row],[JobSatisfaction]],PerfRate[[#This Row],[RelationshipSatisfaction]])</f>
        <v>4</v>
      </c>
      <c r="R5883" s="2">
        <f>PerfRate[[#This Row],[ManagerRating]] - PerfRate[[#This Row],[SelfRating]]</f>
        <v>0</v>
      </c>
    </row>
    <row r="5884" spans="1:18">
      <c r="A5884" s="2" t="s">
        <v>10191</v>
      </c>
      <c r="B5884" s="2" t="s">
        <v>2074</v>
      </c>
      <c r="C5884" s="1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  <c r="L5884" s="2" t="s">
        <v>11031</v>
      </c>
      <c r="M5884" s="2" t="s">
        <v>11031</v>
      </c>
      <c r="N5884" s="2" t="s">
        <v>11037</v>
      </c>
      <c r="O5884" s="2" t="s">
        <v>11038</v>
      </c>
      <c r="P5884" s="2" t="s">
        <v>11038</v>
      </c>
      <c r="Q5884" s="2">
        <f>AVERAGE(PerfRate[[#This Row],[EnvironmentSatisfaction]],PerfRate[[#This Row],[JobSatisfaction]],PerfRate[[#This Row],[RelationshipSatisfaction]])</f>
        <v>4.666666666666667</v>
      </c>
      <c r="R5884" s="2">
        <f>PerfRate[[#This Row],[ManagerRating]] - PerfRate[[#This Row],[SelfRating]]</f>
        <v>0</v>
      </c>
    </row>
    <row r="5885" spans="1:18">
      <c r="A5885" s="2" t="s">
        <v>10192</v>
      </c>
      <c r="B5885" s="2" t="s">
        <v>3857</v>
      </c>
      <c r="C5885" s="1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  <c r="L5885" s="2" t="s">
        <v>11029</v>
      </c>
      <c r="M5885" s="2" t="s">
        <v>11029</v>
      </c>
      <c r="N5885" s="2" t="s">
        <v>11038</v>
      </c>
      <c r="O5885" s="2" t="s">
        <v>11037</v>
      </c>
      <c r="P5885" s="2" t="s">
        <v>11035</v>
      </c>
      <c r="Q5885" s="2">
        <f>AVERAGE(PerfRate[[#This Row],[EnvironmentSatisfaction]],PerfRate[[#This Row],[JobSatisfaction]],PerfRate[[#This Row],[RelationshipSatisfaction]])</f>
        <v>3.6666666666666665</v>
      </c>
      <c r="R5885" s="2">
        <f>PerfRate[[#This Row],[ManagerRating]] - PerfRate[[#This Row],[SelfRating]]</f>
        <v>0</v>
      </c>
    </row>
    <row r="5886" spans="1:18">
      <c r="A5886" s="2" t="s">
        <v>10193</v>
      </c>
      <c r="B5886" s="2" t="s">
        <v>1391</v>
      </c>
      <c r="C5886" s="1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  <c r="L5886" s="2" t="s">
        <v>11031</v>
      </c>
      <c r="M5886" s="2" t="s">
        <v>11031</v>
      </c>
      <c r="N5886" s="2" t="s">
        <v>11038</v>
      </c>
      <c r="O5886" s="2" t="s">
        <v>11036</v>
      </c>
      <c r="P5886" s="2" t="s">
        <v>11035</v>
      </c>
      <c r="Q5886" s="2">
        <f>AVERAGE(PerfRate[[#This Row],[EnvironmentSatisfaction]],PerfRate[[#This Row],[JobSatisfaction]],PerfRate[[#This Row],[RelationshipSatisfaction]])</f>
        <v>3.3333333333333335</v>
      </c>
      <c r="R5886" s="2">
        <f>PerfRate[[#This Row],[ManagerRating]] - PerfRate[[#This Row],[SelfRating]]</f>
        <v>0</v>
      </c>
    </row>
    <row r="5887" spans="1:18">
      <c r="A5887" s="2" t="s">
        <v>10194</v>
      </c>
      <c r="B5887" s="2" t="s">
        <v>3394</v>
      </c>
      <c r="C5887" s="1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  <c r="L5887" s="2" t="s">
        <v>11029</v>
      </c>
      <c r="M5887" s="2" t="s">
        <v>11029</v>
      </c>
      <c r="N5887" s="2" t="s">
        <v>11036</v>
      </c>
      <c r="O5887" s="2" t="s">
        <v>11038</v>
      </c>
      <c r="P5887" s="2" t="s">
        <v>11036</v>
      </c>
      <c r="Q5887" s="2">
        <f>AVERAGE(PerfRate[[#This Row],[EnvironmentSatisfaction]],PerfRate[[#This Row],[JobSatisfaction]],PerfRate[[#This Row],[RelationshipSatisfaction]])</f>
        <v>3.6666666666666665</v>
      </c>
      <c r="R5887" s="2">
        <f>PerfRate[[#This Row],[ManagerRating]] - PerfRate[[#This Row],[SelfRating]]</f>
        <v>0</v>
      </c>
    </row>
    <row r="5888" spans="1:18">
      <c r="A5888" s="2" t="s">
        <v>10195</v>
      </c>
      <c r="B5888" s="2" t="s">
        <v>1844</v>
      </c>
      <c r="C5888" s="1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  <c r="L5888" s="2" t="s">
        <v>11030</v>
      </c>
      <c r="M5888" s="2" t="s">
        <v>11029</v>
      </c>
      <c r="N5888" s="2" t="s">
        <v>11038</v>
      </c>
      <c r="O5888" s="2" t="s">
        <v>11038</v>
      </c>
      <c r="P5888" s="2" t="s">
        <v>11036</v>
      </c>
      <c r="Q5888" s="2">
        <f>AVERAGE(PerfRate[[#This Row],[EnvironmentSatisfaction]],PerfRate[[#This Row],[JobSatisfaction]],PerfRate[[#This Row],[RelationshipSatisfaction]])</f>
        <v>4.333333333333333</v>
      </c>
      <c r="R5888" s="2">
        <f>PerfRate[[#This Row],[ManagerRating]] - PerfRate[[#This Row],[SelfRating]]</f>
        <v>-1</v>
      </c>
    </row>
    <row r="5889" spans="1:18">
      <c r="A5889" s="2" t="s">
        <v>10196</v>
      </c>
      <c r="B5889" s="2" t="s">
        <v>35</v>
      </c>
      <c r="C5889" s="1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  <c r="L5889" s="2" t="s">
        <v>11031</v>
      </c>
      <c r="M5889" s="2" t="s">
        <v>11030</v>
      </c>
      <c r="N5889" s="2" t="s">
        <v>11036</v>
      </c>
      <c r="O5889" s="2" t="s">
        <v>11037</v>
      </c>
      <c r="P5889" s="2" t="s">
        <v>11037</v>
      </c>
      <c r="Q5889" s="2">
        <f>AVERAGE(PerfRate[[#This Row],[EnvironmentSatisfaction]],PerfRate[[#This Row],[JobSatisfaction]],PerfRate[[#This Row],[RelationshipSatisfaction]])</f>
        <v>3.6666666666666665</v>
      </c>
      <c r="R5889" s="2">
        <f>PerfRate[[#This Row],[ManagerRating]] - PerfRate[[#This Row],[SelfRating]]</f>
        <v>-1</v>
      </c>
    </row>
    <row r="5890" spans="1:18">
      <c r="A5890" s="2" t="s">
        <v>10197</v>
      </c>
      <c r="B5890" s="2" t="s">
        <v>583</v>
      </c>
      <c r="C5890" s="1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  <c r="L5890" s="2" t="s">
        <v>11031</v>
      </c>
      <c r="M5890" s="2" t="s">
        <v>11030</v>
      </c>
      <c r="N5890" s="2" t="s">
        <v>11036</v>
      </c>
      <c r="O5890" s="2" t="s">
        <v>11035</v>
      </c>
      <c r="P5890" s="2" t="s">
        <v>11038</v>
      </c>
      <c r="Q5890" s="2">
        <f>AVERAGE(PerfRate[[#This Row],[EnvironmentSatisfaction]],PerfRate[[#This Row],[JobSatisfaction]],PerfRate[[#This Row],[RelationshipSatisfaction]])</f>
        <v>3.3333333333333335</v>
      </c>
      <c r="R5890" s="2">
        <f>PerfRate[[#This Row],[ManagerRating]] - PerfRate[[#This Row],[SelfRating]]</f>
        <v>-1</v>
      </c>
    </row>
    <row r="5891" spans="1:18">
      <c r="A5891" s="2" t="s">
        <v>10198</v>
      </c>
      <c r="B5891" s="2" t="s">
        <v>1062</v>
      </c>
      <c r="C5891" s="1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  <c r="L5891" s="2" t="s">
        <v>11030</v>
      </c>
      <c r="M5891" s="2" t="s">
        <v>11030</v>
      </c>
      <c r="N5891" s="2" t="s">
        <v>11037</v>
      </c>
      <c r="O5891" s="2" t="s">
        <v>11038</v>
      </c>
      <c r="P5891" s="2" t="s">
        <v>11035</v>
      </c>
      <c r="Q5891" s="2">
        <f>AVERAGE(PerfRate[[#This Row],[EnvironmentSatisfaction]],PerfRate[[#This Row],[JobSatisfaction]],PerfRate[[#This Row],[RelationshipSatisfaction]])</f>
        <v>3.6666666666666665</v>
      </c>
      <c r="R5891" s="2">
        <f>PerfRate[[#This Row],[ManagerRating]] - PerfRate[[#This Row],[SelfRating]]</f>
        <v>0</v>
      </c>
    </row>
    <row r="5892" spans="1:18">
      <c r="A5892" s="2" t="s">
        <v>10199</v>
      </c>
      <c r="B5892" s="2" t="s">
        <v>1617</v>
      </c>
      <c r="C5892" s="1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  <c r="L5892" s="2" t="s">
        <v>11030</v>
      </c>
      <c r="M5892" s="2" t="s">
        <v>11029</v>
      </c>
      <c r="N5892" s="2" t="s">
        <v>11038</v>
      </c>
      <c r="O5892" s="2" t="s">
        <v>11038</v>
      </c>
      <c r="P5892" s="2" t="s">
        <v>11037</v>
      </c>
      <c r="Q5892" s="2">
        <f>AVERAGE(PerfRate[[#This Row],[EnvironmentSatisfaction]],PerfRate[[#This Row],[JobSatisfaction]],PerfRate[[#This Row],[RelationshipSatisfaction]])</f>
        <v>4.666666666666667</v>
      </c>
      <c r="R5892" s="2">
        <f>PerfRate[[#This Row],[ManagerRating]] - PerfRate[[#This Row],[SelfRating]]</f>
        <v>-1</v>
      </c>
    </row>
    <row r="5893" spans="1:18">
      <c r="A5893" s="2" t="s">
        <v>10200</v>
      </c>
      <c r="B5893" s="2" t="s">
        <v>1450</v>
      </c>
      <c r="C5893" s="1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  <c r="L5893" s="2" t="s">
        <v>11029</v>
      </c>
      <c r="M5893" s="2" t="s">
        <v>11029</v>
      </c>
      <c r="N5893" s="2" t="s">
        <v>11036</v>
      </c>
      <c r="O5893" s="2" t="s">
        <v>11036</v>
      </c>
      <c r="P5893" s="2" t="s">
        <v>11037</v>
      </c>
      <c r="Q5893" s="2">
        <f>AVERAGE(PerfRate[[#This Row],[EnvironmentSatisfaction]],PerfRate[[#This Row],[JobSatisfaction]],PerfRate[[#This Row],[RelationshipSatisfaction]])</f>
        <v>3.3333333333333335</v>
      </c>
      <c r="R5893" s="2">
        <f>PerfRate[[#This Row],[ManagerRating]] - PerfRate[[#This Row],[SelfRating]]</f>
        <v>0</v>
      </c>
    </row>
    <row r="5894" spans="1:18">
      <c r="A5894" s="2" t="s">
        <v>10201</v>
      </c>
      <c r="B5894" s="2" t="s">
        <v>154</v>
      </c>
      <c r="C5894" s="1">
        <v>41277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  <c r="L5894" s="2" t="s">
        <v>11029</v>
      </c>
      <c r="M5894" s="2" t="s">
        <v>11028</v>
      </c>
      <c r="N5894" s="2" t="s">
        <v>11036</v>
      </c>
      <c r="O5894" s="2" t="s">
        <v>11036</v>
      </c>
      <c r="P5894" s="2" t="s">
        <v>11037</v>
      </c>
      <c r="Q5894" s="2">
        <f>AVERAGE(PerfRate[[#This Row],[EnvironmentSatisfaction]],PerfRate[[#This Row],[JobSatisfaction]],PerfRate[[#This Row],[RelationshipSatisfaction]])</f>
        <v>3.3333333333333335</v>
      </c>
      <c r="R5894" s="2">
        <f>PerfRate[[#This Row],[ManagerRating]] - PerfRate[[#This Row],[SelfRating]]</f>
        <v>-1</v>
      </c>
    </row>
    <row r="5895" spans="1:18">
      <c r="A5895" s="2" t="s">
        <v>10202</v>
      </c>
      <c r="B5895" s="2" t="s">
        <v>1344</v>
      </c>
      <c r="C5895" s="1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  <c r="L5895" s="2" t="s">
        <v>11030</v>
      </c>
      <c r="M5895" s="2" t="s">
        <v>11029</v>
      </c>
      <c r="N5895" s="2" t="s">
        <v>11036</v>
      </c>
      <c r="O5895" s="2" t="s">
        <v>11036</v>
      </c>
      <c r="P5895" s="2" t="s">
        <v>11036</v>
      </c>
      <c r="Q5895" s="2">
        <f>AVERAGE(PerfRate[[#This Row],[EnvironmentSatisfaction]],PerfRate[[#This Row],[JobSatisfaction]],PerfRate[[#This Row],[RelationshipSatisfaction]])</f>
        <v>3</v>
      </c>
      <c r="R5895" s="2">
        <f>PerfRate[[#This Row],[ManagerRating]] - PerfRate[[#This Row],[SelfRating]]</f>
        <v>-1</v>
      </c>
    </row>
    <row r="5896" spans="1:18">
      <c r="A5896" s="2" t="s">
        <v>10203</v>
      </c>
      <c r="B5896" s="2" t="s">
        <v>3314</v>
      </c>
      <c r="C5896" s="1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  <c r="L5896" s="2" t="s">
        <v>11029</v>
      </c>
      <c r="M5896" s="2" t="s">
        <v>11029</v>
      </c>
      <c r="N5896" s="2" t="s">
        <v>11038</v>
      </c>
      <c r="O5896" s="2" t="s">
        <v>11038</v>
      </c>
      <c r="P5896" s="2" t="s">
        <v>11037</v>
      </c>
      <c r="Q5896" s="2">
        <f>AVERAGE(PerfRate[[#This Row],[EnvironmentSatisfaction]],PerfRate[[#This Row],[JobSatisfaction]],PerfRate[[#This Row],[RelationshipSatisfaction]])</f>
        <v>4.666666666666667</v>
      </c>
      <c r="R5896" s="2">
        <f>PerfRate[[#This Row],[ManagerRating]] - PerfRate[[#This Row],[SelfRating]]</f>
        <v>0</v>
      </c>
    </row>
    <row r="5897" spans="1:18">
      <c r="A5897" s="2" t="s">
        <v>10204</v>
      </c>
      <c r="B5897" s="2" t="s">
        <v>829</v>
      </c>
      <c r="C5897" s="1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  <c r="L5897" s="2" t="s">
        <v>11031</v>
      </c>
      <c r="M5897" s="2" t="s">
        <v>11030</v>
      </c>
      <c r="N5897" s="2" t="s">
        <v>11037</v>
      </c>
      <c r="O5897" s="2" t="s">
        <v>11035</v>
      </c>
      <c r="P5897" s="2" t="s">
        <v>11035</v>
      </c>
      <c r="Q5897" s="2">
        <f>AVERAGE(PerfRate[[#This Row],[EnvironmentSatisfaction]],PerfRate[[#This Row],[JobSatisfaction]],PerfRate[[#This Row],[RelationshipSatisfaction]])</f>
        <v>2.6666666666666665</v>
      </c>
      <c r="R5897" s="2">
        <f>PerfRate[[#This Row],[ManagerRating]] - PerfRate[[#This Row],[SelfRating]]</f>
        <v>-1</v>
      </c>
    </row>
    <row r="5898" spans="1:18">
      <c r="A5898" s="2" t="s">
        <v>10205</v>
      </c>
      <c r="B5898" s="2" t="s">
        <v>1875</v>
      </c>
      <c r="C5898" s="1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  <c r="L5898" s="2" t="s">
        <v>11031</v>
      </c>
      <c r="M5898" s="2" t="s">
        <v>11030</v>
      </c>
      <c r="N5898" s="2" t="s">
        <v>11036</v>
      </c>
      <c r="O5898" s="2" t="s">
        <v>11035</v>
      </c>
      <c r="P5898" s="2" t="s">
        <v>11038</v>
      </c>
      <c r="Q5898" s="2">
        <f>AVERAGE(PerfRate[[#This Row],[EnvironmentSatisfaction]],PerfRate[[#This Row],[JobSatisfaction]],PerfRate[[#This Row],[RelationshipSatisfaction]])</f>
        <v>3.3333333333333335</v>
      </c>
      <c r="R5898" s="2">
        <f>PerfRate[[#This Row],[ManagerRating]] - PerfRate[[#This Row],[SelfRating]]</f>
        <v>-1</v>
      </c>
    </row>
    <row r="5899" spans="1:18">
      <c r="A5899" s="2" t="s">
        <v>10206</v>
      </c>
      <c r="B5899" s="2" t="s">
        <v>2450</v>
      </c>
      <c r="C5899" s="1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  <c r="L5899" s="2" t="s">
        <v>11030</v>
      </c>
      <c r="M5899" s="2" t="s">
        <v>11030</v>
      </c>
      <c r="N5899" s="2" t="s">
        <v>11036</v>
      </c>
      <c r="O5899" s="2" t="s">
        <v>11037</v>
      </c>
      <c r="P5899" s="2" t="s">
        <v>11036</v>
      </c>
      <c r="Q5899" s="2">
        <f>AVERAGE(PerfRate[[#This Row],[EnvironmentSatisfaction]],PerfRate[[#This Row],[JobSatisfaction]],PerfRate[[#This Row],[RelationshipSatisfaction]])</f>
        <v>3.3333333333333335</v>
      </c>
      <c r="R5899" s="2">
        <f>PerfRate[[#This Row],[ManagerRating]] - PerfRate[[#This Row],[SelfRating]]</f>
        <v>0</v>
      </c>
    </row>
    <row r="5900" spans="1:18">
      <c r="A5900" s="2" t="s">
        <v>10207</v>
      </c>
      <c r="B5900" s="2" t="s">
        <v>1505</v>
      </c>
      <c r="C5900" s="1">
        <v>44600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  <c r="L5900" s="2" t="s">
        <v>11029</v>
      </c>
      <c r="M5900" s="2" t="s">
        <v>11029</v>
      </c>
      <c r="N5900" s="2" t="s">
        <v>11037</v>
      </c>
      <c r="O5900" s="2" t="s">
        <v>11037</v>
      </c>
      <c r="P5900" s="2" t="s">
        <v>11036</v>
      </c>
      <c r="Q5900" s="2">
        <f>AVERAGE(PerfRate[[#This Row],[EnvironmentSatisfaction]],PerfRate[[#This Row],[JobSatisfaction]],PerfRate[[#This Row],[RelationshipSatisfaction]])</f>
        <v>3.6666666666666665</v>
      </c>
      <c r="R5900" s="2">
        <f>PerfRate[[#This Row],[ManagerRating]] - PerfRate[[#This Row],[SelfRating]]</f>
        <v>0</v>
      </c>
    </row>
    <row r="5901" spans="1:18">
      <c r="A5901" s="2" t="s">
        <v>10208</v>
      </c>
      <c r="B5901" s="2" t="s">
        <v>1526</v>
      </c>
      <c r="C5901" s="1">
        <v>44600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  <c r="L5901" s="2" t="s">
        <v>11029</v>
      </c>
      <c r="M5901" s="2" t="s">
        <v>11028</v>
      </c>
      <c r="N5901" s="2" t="s">
        <v>11036</v>
      </c>
      <c r="O5901" s="2" t="s">
        <v>11036</v>
      </c>
      <c r="P5901" s="2" t="s">
        <v>11037</v>
      </c>
      <c r="Q5901" s="2">
        <f>AVERAGE(PerfRate[[#This Row],[EnvironmentSatisfaction]],PerfRate[[#This Row],[JobSatisfaction]],PerfRate[[#This Row],[RelationshipSatisfaction]])</f>
        <v>3.3333333333333335</v>
      </c>
      <c r="R5901" s="2">
        <f>PerfRate[[#This Row],[ManagerRating]] - PerfRate[[#This Row],[SelfRating]]</f>
        <v>-1</v>
      </c>
    </row>
    <row r="5902" spans="1:18">
      <c r="A5902" s="2" t="s">
        <v>10209</v>
      </c>
      <c r="B5902" s="2" t="s">
        <v>3174</v>
      </c>
      <c r="C5902" s="1">
        <v>44600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  <c r="L5902" s="2" t="s">
        <v>11030</v>
      </c>
      <c r="M5902" s="2" t="s">
        <v>11030</v>
      </c>
      <c r="N5902" s="2" t="s">
        <v>11037</v>
      </c>
      <c r="O5902" s="2" t="s">
        <v>11035</v>
      </c>
      <c r="P5902" s="2" t="s">
        <v>11037</v>
      </c>
      <c r="Q5902" s="2">
        <f>AVERAGE(PerfRate[[#This Row],[EnvironmentSatisfaction]],PerfRate[[#This Row],[JobSatisfaction]],PerfRate[[#This Row],[RelationshipSatisfaction]])</f>
        <v>3.3333333333333335</v>
      </c>
      <c r="R5902" s="2">
        <f>PerfRate[[#This Row],[ManagerRating]] - PerfRate[[#This Row],[SelfRating]]</f>
        <v>0</v>
      </c>
    </row>
    <row r="5903" spans="1:18">
      <c r="A5903" s="2" t="s">
        <v>10210</v>
      </c>
      <c r="B5903" s="2" t="s">
        <v>2545</v>
      </c>
      <c r="C5903" s="1">
        <v>44628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  <c r="L5903" s="2" t="s">
        <v>11030</v>
      </c>
      <c r="M5903" s="2" t="s">
        <v>11030</v>
      </c>
      <c r="N5903" s="2" t="s">
        <v>11036</v>
      </c>
      <c r="O5903" s="2" t="s">
        <v>11036</v>
      </c>
      <c r="P5903" s="2" t="s">
        <v>11038</v>
      </c>
      <c r="Q5903" s="2">
        <f>AVERAGE(PerfRate[[#This Row],[EnvironmentSatisfaction]],PerfRate[[#This Row],[JobSatisfaction]],PerfRate[[#This Row],[RelationshipSatisfaction]])</f>
        <v>3.6666666666666665</v>
      </c>
      <c r="R5903" s="2">
        <f>PerfRate[[#This Row],[ManagerRating]] - PerfRate[[#This Row],[SelfRating]]</f>
        <v>0</v>
      </c>
    </row>
    <row r="5904" spans="1:18">
      <c r="A5904" s="2" t="s">
        <v>10211</v>
      </c>
      <c r="B5904" s="2" t="s">
        <v>377</v>
      </c>
      <c r="C5904" s="1">
        <v>44628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  <c r="L5904" s="2" t="s">
        <v>11029</v>
      </c>
      <c r="M5904" s="2" t="s">
        <v>11028</v>
      </c>
      <c r="N5904" s="2" t="s">
        <v>11038</v>
      </c>
      <c r="O5904" s="2" t="s">
        <v>11035</v>
      </c>
      <c r="P5904" s="2" t="s">
        <v>11038</v>
      </c>
      <c r="Q5904" s="2">
        <f>AVERAGE(PerfRate[[#This Row],[EnvironmentSatisfaction]],PerfRate[[#This Row],[JobSatisfaction]],PerfRate[[#This Row],[RelationshipSatisfaction]])</f>
        <v>4</v>
      </c>
      <c r="R5904" s="2">
        <f>PerfRate[[#This Row],[ManagerRating]] - PerfRate[[#This Row],[SelfRating]]</f>
        <v>-1</v>
      </c>
    </row>
    <row r="5905" spans="1:18">
      <c r="A5905" s="2" t="s">
        <v>10212</v>
      </c>
      <c r="B5905" s="2" t="s">
        <v>115</v>
      </c>
      <c r="C5905" s="1">
        <v>44628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  <c r="L5905" s="2" t="s">
        <v>11031</v>
      </c>
      <c r="M5905" s="2" t="s">
        <v>11030</v>
      </c>
      <c r="N5905" s="2" t="s">
        <v>11037</v>
      </c>
      <c r="O5905" s="2" t="s">
        <v>11038</v>
      </c>
      <c r="P5905" s="2" t="s">
        <v>11037</v>
      </c>
      <c r="Q5905" s="2">
        <f>AVERAGE(PerfRate[[#This Row],[EnvironmentSatisfaction]],PerfRate[[#This Row],[JobSatisfaction]],PerfRate[[#This Row],[RelationshipSatisfaction]])</f>
        <v>4.333333333333333</v>
      </c>
      <c r="R5905" s="2">
        <f>PerfRate[[#This Row],[ManagerRating]] - PerfRate[[#This Row],[SelfRating]]</f>
        <v>-1</v>
      </c>
    </row>
    <row r="5906" spans="1:18">
      <c r="A5906" s="2" t="s">
        <v>10213</v>
      </c>
      <c r="B5906" s="2" t="s">
        <v>2153</v>
      </c>
      <c r="C5906" s="1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  <c r="L5906" s="2" t="s">
        <v>11031</v>
      </c>
      <c r="M5906" s="2" t="s">
        <v>11030</v>
      </c>
      <c r="N5906" s="2" t="s">
        <v>11038</v>
      </c>
      <c r="O5906" s="2" t="s">
        <v>11036</v>
      </c>
      <c r="P5906" s="2" t="s">
        <v>11036</v>
      </c>
      <c r="Q5906" s="2">
        <f>AVERAGE(PerfRate[[#This Row],[EnvironmentSatisfaction]],PerfRate[[#This Row],[JobSatisfaction]],PerfRate[[#This Row],[RelationshipSatisfaction]])</f>
        <v>3.6666666666666665</v>
      </c>
      <c r="R5906" s="2">
        <f>PerfRate[[#This Row],[ManagerRating]] - PerfRate[[#This Row],[SelfRating]]</f>
        <v>-1</v>
      </c>
    </row>
    <row r="5907" spans="1:18">
      <c r="A5907" s="2" t="s">
        <v>10214</v>
      </c>
      <c r="B5907" s="2" t="s">
        <v>1054</v>
      </c>
      <c r="C5907" s="1">
        <v>44628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  <c r="L5907" s="2" t="s">
        <v>11031</v>
      </c>
      <c r="M5907" s="2" t="s">
        <v>11030</v>
      </c>
      <c r="N5907" s="2" t="s">
        <v>11038</v>
      </c>
      <c r="O5907" s="2" t="s">
        <v>11035</v>
      </c>
      <c r="P5907" s="2" t="s">
        <v>11037</v>
      </c>
      <c r="Q5907" s="2">
        <f>AVERAGE(PerfRate[[#This Row],[EnvironmentSatisfaction]],PerfRate[[#This Row],[JobSatisfaction]],PerfRate[[#This Row],[RelationshipSatisfaction]])</f>
        <v>3.6666666666666665</v>
      </c>
      <c r="R5907" s="2">
        <f>PerfRate[[#This Row],[ManagerRating]] - PerfRate[[#This Row],[SelfRating]]</f>
        <v>-1</v>
      </c>
    </row>
    <row r="5908" spans="1:18">
      <c r="A5908" s="2" t="s">
        <v>10215</v>
      </c>
      <c r="B5908" s="2" t="s">
        <v>2057</v>
      </c>
      <c r="C5908" s="1">
        <v>44628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  <c r="L5908" s="2" t="s">
        <v>11031</v>
      </c>
      <c r="M5908" s="2" t="s">
        <v>11031</v>
      </c>
      <c r="N5908" s="2" t="s">
        <v>11036</v>
      </c>
      <c r="O5908" s="2" t="s">
        <v>11035</v>
      </c>
      <c r="P5908" s="2" t="s">
        <v>11038</v>
      </c>
      <c r="Q5908" s="2">
        <f>AVERAGE(PerfRate[[#This Row],[EnvironmentSatisfaction]],PerfRate[[#This Row],[JobSatisfaction]],PerfRate[[#This Row],[RelationshipSatisfaction]])</f>
        <v>3.3333333333333335</v>
      </c>
      <c r="R5908" s="2">
        <f>PerfRate[[#This Row],[ManagerRating]] - PerfRate[[#This Row],[SelfRating]]</f>
        <v>0</v>
      </c>
    </row>
    <row r="5909" spans="1:18">
      <c r="A5909" s="2" t="s">
        <v>10216</v>
      </c>
      <c r="B5909" s="2" t="s">
        <v>2935</v>
      </c>
      <c r="C5909" s="1">
        <v>44628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  <c r="L5909" s="2" t="s">
        <v>11029</v>
      </c>
      <c r="M5909" s="2" t="s">
        <v>11029</v>
      </c>
      <c r="N5909" s="2" t="s">
        <v>11038</v>
      </c>
      <c r="O5909" s="2" t="s">
        <v>11035</v>
      </c>
      <c r="P5909" s="2" t="s">
        <v>11038</v>
      </c>
      <c r="Q5909" s="2">
        <f>AVERAGE(PerfRate[[#This Row],[EnvironmentSatisfaction]],PerfRate[[#This Row],[JobSatisfaction]],PerfRate[[#This Row],[RelationshipSatisfaction]])</f>
        <v>4</v>
      </c>
      <c r="R5909" s="2">
        <f>PerfRate[[#This Row],[ManagerRating]] - PerfRate[[#This Row],[SelfRating]]</f>
        <v>0</v>
      </c>
    </row>
    <row r="5910" spans="1:18">
      <c r="A5910" s="2" t="s">
        <v>10217</v>
      </c>
      <c r="B5910" s="2" t="s">
        <v>3403</v>
      </c>
      <c r="C5910" s="1">
        <v>44659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  <c r="L5910" s="2" t="s">
        <v>11030</v>
      </c>
      <c r="M5910" s="2" t="s">
        <v>11029</v>
      </c>
      <c r="N5910" s="2" t="s">
        <v>11036</v>
      </c>
      <c r="O5910" s="2" t="s">
        <v>11037</v>
      </c>
      <c r="P5910" s="2" t="s">
        <v>11035</v>
      </c>
      <c r="Q5910" s="2">
        <f>AVERAGE(PerfRate[[#This Row],[EnvironmentSatisfaction]],PerfRate[[#This Row],[JobSatisfaction]],PerfRate[[#This Row],[RelationshipSatisfaction]])</f>
        <v>3</v>
      </c>
      <c r="R5910" s="2">
        <f>PerfRate[[#This Row],[ManagerRating]] - PerfRate[[#This Row],[SelfRating]]</f>
        <v>-1</v>
      </c>
    </row>
    <row r="5911" spans="1:18">
      <c r="A5911" s="2" t="s">
        <v>10218</v>
      </c>
      <c r="B5911" s="2" t="s">
        <v>553</v>
      </c>
      <c r="C5911" s="1">
        <v>44689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  <c r="L5911" s="2" t="s">
        <v>11029</v>
      </c>
      <c r="M5911" s="2" t="s">
        <v>11029</v>
      </c>
      <c r="N5911" s="2" t="s">
        <v>11034</v>
      </c>
      <c r="O5911" s="2" t="s">
        <v>11036</v>
      </c>
      <c r="P5911" s="2" t="s">
        <v>11036</v>
      </c>
      <c r="Q5911" s="2">
        <f>AVERAGE(PerfRate[[#This Row],[EnvironmentSatisfaction]],PerfRate[[#This Row],[JobSatisfaction]],PerfRate[[#This Row],[RelationshipSatisfaction]])</f>
        <v>2.3333333333333335</v>
      </c>
      <c r="R5911" s="2">
        <f>PerfRate[[#This Row],[ManagerRating]] - PerfRate[[#This Row],[SelfRating]]</f>
        <v>0</v>
      </c>
    </row>
    <row r="5912" spans="1:18">
      <c r="A5912" s="2" t="s">
        <v>10219</v>
      </c>
      <c r="B5912" s="2" t="s">
        <v>729</v>
      </c>
      <c r="C5912" s="1">
        <v>44689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  <c r="L5912" s="2" t="s">
        <v>11030</v>
      </c>
      <c r="M5912" s="2" t="s">
        <v>11029</v>
      </c>
      <c r="N5912" s="2" t="s">
        <v>11036</v>
      </c>
      <c r="O5912" s="2" t="s">
        <v>11036</v>
      </c>
      <c r="P5912" s="2" t="s">
        <v>11035</v>
      </c>
      <c r="Q5912" s="2">
        <f>AVERAGE(PerfRate[[#This Row],[EnvironmentSatisfaction]],PerfRate[[#This Row],[JobSatisfaction]],PerfRate[[#This Row],[RelationshipSatisfaction]])</f>
        <v>2.6666666666666665</v>
      </c>
      <c r="R5912" s="2">
        <f>PerfRate[[#This Row],[ManagerRating]] - PerfRate[[#This Row],[SelfRating]]</f>
        <v>-1</v>
      </c>
    </row>
    <row r="5913" spans="1:18">
      <c r="A5913" s="2" t="s">
        <v>10220</v>
      </c>
      <c r="B5913" s="2" t="s">
        <v>1956</v>
      </c>
      <c r="C5913" s="1">
        <v>44689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  <c r="L5913" s="2" t="s">
        <v>11030</v>
      </c>
      <c r="M5913" s="2" t="s">
        <v>11030</v>
      </c>
      <c r="N5913" s="2" t="s">
        <v>11038</v>
      </c>
      <c r="O5913" s="2" t="s">
        <v>11036</v>
      </c>
      <c r="P5913" s="2" t="s">
        <v>11038</v>
      </c>
      <c r="Q5913" s="2">
        <f>AVERAGE(PerfRate[[#This Row],[EnvironmentSatisfaction]],PerfRate[[#This Row],[JobSatisfaction]],PerfRate[[#This Row],[RelationshipSatisfaction]])</f>
        <v>4.333333333333333</v>
      </c>
      <c r="R5913" s="2">
        <f>PerfRate[[#This Row],[ManagerRating]] - PerfRate[[#This Row],[SelfRating]]</f>
        <v>0</v>
      </c>
    </row>
    <row r="5914" spans="1:18">
      <c r="A5914" s="2" t="s">
        <v>10221</v>
      </c>
      <c r="B5914" s="2" t="s">
        <v>2867</v>
      </c>
      <c r="C5914" s="1">
        <v>44689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  <c r="L5914" s="2" t="s">
        <v>11029</v>
      </c>
      <c r="M5914" s="2" t="s">
        <v>11029</v>
      </c>
      <c r="N5914" s="2" t="s">
        <v>11038</v>
      </c>
      <c r="O5914" s="2" t="s">
        <v>11037</v>
      </c>
      <c r="P5914" s="2" t="s">
        <v>11035</v>
      </c>
      <c r="Q5914" s="2">
        <f>AVERAGE(PerfRate[[#This Row],[EnvironmentSatisfaction]],PerfRate[[#This Row],[JobSatisfaction]],PerfRate[[#This Row],[RelationshipSatisfaction]])</f>
        <v>3.6666666666666665</v>
      </c>
      <c r="R5914" s="2">
        <f>PerfRate[[#This Row],[ManagerRating]] - PerfRate[[#This Row],[SelfRating]]</f>
        <v>0</v>
      </c>
    </row>
    <row r="5915" spans="1:18">
      <c r="A5915" s="2" t="s">
        <v>10222</v>
      </c>
      <c r="B5915" s="2" t="s">
        <v>2764</v>
      </c>
      <c r="C5915" s="1">
        <v>44689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  <c r="L5915" s="2" t="s">
        <v>11029</v>
      </c>
      <c r="M5915" s="2" t="s">
        <v>11028</v>
      </c>
      <c r="N5915" s="2" t="s">
        <v>11036</v>
      </c>
      <c r="O5915" s="2" t="s">
        <v>11037</v>
      </c>
      <c r="P5915" s="2" t="s">
        <v>11035</v>
      </c>
      <c r="Q5915" s="2">
        <f>AVERAGE(PerfRate[[#This Row],[EnvironmentSatisfaction]],PerfRate[[#This Row],[JobSatisfaction]],PerfRate[[#This Row],[RelationshipSatisfaction]])</f>
        <v>3</v>
      </c>
      <c r="R5915" s="2">
        <f>PerfRate[[#This Row],[ManagerRating]] - PerfRate[[#This Row],[SelfRating]]</f>
        <v>-1</v>
      </c>
    </row>
    <row r="5916" spans="1:18">
      <c r="A5916" s="2" t="s">
        <v>10223</v>
      </c>
      <c r="B5916" s="2" t="s">
        <v>2357</v>
      </c>
      <c r="C5916" s="1">
        <v>44720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  <c r="L5916" s="2" t="s">
        <v>11030</v>
      </c>
      <c r="M5916" s="2" t="s">
        <v>11029</v>
      </c>
      <c r="N5916" s="2" t="s">
        <v>11036</v>
      </c>
      <c r="O5916" s="2" t="s">
        <v>11038</v>
      </c>
      <c r="P5916" s="2" t="s">
        <v>11037</v>
      </c>
      <c r="Q5916" s="2">
        <f>AVERAGE(PerfRate[[#This Row],[EnvironmentSatisfaction]],PerfRate[[#This Row],[JobSatisfaction]],PerfRate[[#This Row],[RelationshipSatisfaction]])</f>
        <v>4</v>
      </c>
      <c r="R5916" s="2">
        <f>PerfRate[[#This Row],[ManagerRating]] - PerfRate[[#This Row],[SelfRating]]</f>
        <v>-1</v>
      </c>
    </row>
    <row r="5917" spans="1:18">
      <c r="A5917" s="2" t="s">
        <v>10224</v>
      </c>
      <c r="B5917" s="2" t="s">
        <v>1641</v>
      </c>
      <c r="C5917" s="1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  <c r="L5917" s="2" t="s">
        <v>11031</v>
      </c>
      <c r="M5917" s="2" t="s">
        <v>11031</v>
      </c>
      <c r="N5917" s="2" t="s">
        <v>11038</v>
      </c>
      <c r="O5917" s="2" t="s">
        <v>11035</v>
      </c>
      <c r="P5917" s="2" t="s">
        <v>11035</v>
      </c>
      <c r="Q5917" s="2">
        <f>AVERAGE(PerfRate[[#This Row],[EnvironmentSatisfaction]],PerfRate[[#This Row],[JobSatisfaction]],PerfRate[[#This Row],[RelationshipSatisfaction]])</f>
        <v>3</v>
      </c>
      <c r="R5917" s="2">
        <f>PerfRate[[#This Row],[ManagerRating]] - PerfRate[[#This Row],[SelfRating]]</f>
        <v>0</v>
      </c>
    </row>
    <row r="5918" spans="1:18">
      <c r="A5918" s="2" t="s">
        <v>10225</v>
      </c>
      <c r="B5918" s="2" t="s">
        <v>2824</v>
      </c>
      <c r="C5918" s="1">
        <v>44750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  <c r="L5918" s="2" t="s">
        <v>11029</v>
      </c>
      <c r="M5918" s="2" t="s">
        <v>11028</v>
      </c>
      <c r="N5918" s="2" t="s">
        <v>11036</v>
      </c>
      <c r="O5918" s="2" t="s">
        <v>11036</v>
      </c>
      <c r="P5918" s="2" t="s">
        <v>11038</v>
      </c>
      <c r="Q5918" s="2">
        <f>AVERAGE(PerfRate[[#This Row],[EnvironmentSatisfaction]],PerfRate[[#This Row],[JobSatisfaction]],PerfRate[[#This Row],[RelationshipSatisfaction]])</f>
        <v>3.6666666666666665</v>
      </c>
      <c r="R5918" s="2">
        <f>PerfRate[[#This Row],[ManagerRating]] - PerfRate[[#This Row],[SelfRating]]</f>
        <v>-1</v>
      </c>
    </row>
    <row r="5919" spans="1:18">
      <c r="A5919" s="2" t="s">
        <v>10226</v>
      </c>
      <c r="B5919" s="2" t="s">
        <v>774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  <c r="L5919" s="2" t="s">
        <v>11029</v>
      </c>
      <c r="M5919" s="2" t="s">
        <v>11028</v>
      </c>
      <c r="N5919" s="2" t="s">
        <v>11036</v>
      </c>
      <c r="O5919" s="2" t="s">
        <v>11037</v>
      </c>
      <c r="P5919" s="2" t="s">
        <v>11035</v>
      </c>
      <c r="Q5919" s="2">
        <f>AVERAGE(PerfRate[[#This Row],[EnvironmentSatisfaction]],PerfRate[[#This Row],[JobSatisfaction]],PerfRate[[#This Row],[RelationshipSatisfaction]])</f>
        <v>3</v>
      </c>
      <c r="R5919" s="2">
        <f>PerfRate[[#This Row],[ManagerRating]] - PerfRate[[#This Row],[SelfRating]]</f>
        <v>-1</v>
      </c>
    </row>
    <row r="5920" spans="1:18">
      <c r="A5920" s="2" t="s">
        <v>10227</v>
      </c>
      <c r="B5920" s="2" t="s">
        <v>1488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  <c r="L5920" s="2" t="s">
        <v>11031</v>
      </c>
      <c r="M5920" s="2" t="s">
        <v>11031</v>
      </c>
      <c r="N5920" s="2" t="s">
        <v>11037</v>
      </c>
      <c r="O5920" s="2" t="s">
        <v>11036</v>
      </c>
      <c r="P5920" s="2" t="s">
        <v>11036</v>
      </c>
      <c r="Q5920" s="2">
        <f>AVERAGE(PerfRate[[#This Row],[EnvironmentSatisfaction]],PerfRate[[#This Row],[JobSatisfaction]],PerfRate[[#This Row],[RelationshipSatisfaction]])</f>
        <v>3.3333333333333335</v>
      </c>
      <c r="R5920" s="2">
        <f>PerfRate[[#This Row],[ManagerRating]] - PerfRate[[#This Row],[SelfRating]]</f>
        <v>0</v>
      </c>
    </row>
    <row r="5921" spans="1:18">
      <c r="A5921" s="2" t="s">
        <v>10228</v>
      </c>
      <c r="B5921" s="2" t="s">
        <v>2134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  <c r="L5921" s="2" t="s">
        <v>11031</v>
      </c>
      <c r="M5921" s="2" t="s">
        <v>11031</v>
      </c>
      <c r="N5921" s="2" t="s">
        <v>11036</v>
      </c>
      <c r="O5921" s="2" t="s">
        <v>11038</v>
      </c>
      <c r="P5921" s="2" t="s">
        <v>11037</v>
      </c>
      <c r="Q5921" s="2">
        <f>AVERAGE(PerfRate[[#This Row],[EnvironmentSatisfaction]],PerfRate[[#This Row],[JobSatisfaction]],PerfRate[[#This Row],[RelationshipSatisfaction]])</f>
        <v>4</v>
      </c>
      <c r="R5921" s="2">
        <f>PerfRate[[#This Row],[ManagerRating]] - PerfRate[[#This Row],[SelfRating]]</f>
        <v>0</v>
      </c>
    </row>
    <row r="5922" spans="1:18">
      <c r="A5922" s="2" t="s">
        <v>10229</v>
      </c>
      <c r="B5922" s="2" t="s">
        <v>250</v>
      </c>
      <c r="C5922" s="1">
        <v>44812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  <c r="L5922" s="2" t="s">
        <v>11030</v>
      </c>
      <c r="M5922" s="2" t="s">
        <v>11029</v>
      </c>
      <c r="N5922" s="2" t="s">
        <v>11037</v>
      </c>
      <c r="O5922" s="2" t="s">
        <v>11037</v>
      </c>
      <c r="P5922" s="2" t="s">
        <v>11035</v>
      </c>
      <c r="Q5922" s="2">
        <f>AVERAGE(PerfRate[[#This Row],[EnvironmentSatisfaction]],PerfRate[[#This Row],[JobSatisfaction]],PerfRate[[#This Row],[RelationshipSatisfaction]])</f>
        <v>3.3333333333333335</v>
      </c>
      <c r="R5922" s="2">
        <f>PerfRate[[#This Row],[ManagerRating]] - PerfRate[[#This Row],[SelfRating]]</f>
        <v>-1</v>
      </c>
    </row>
    <row r="5923" spans="1:18">
      <c r="A5923" s="2" t="s">
        <v>10230</v>
      </c>
      <c r="B5923" s="2" t="s">
        <v>3157</v>
      </c>
      <c r="C5923" s="1">
        <v>44812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  <c r="L5923" s="2" t="s">
        <v>11029</v>
      </c>
      <c r="M5923" s="2" t="s">
        <v>11028</v>
      </c>
      <c r="N5923" s="2" t="s">
        <v>11037</v>
      </c>
      <c r="O5923" s="2" t="s">
        <v>11038</v>
      </c>
      <c r="P5923" s="2" t="s">
        <v>11035</v>
      </c>
      <c r="Q5923" s="2">
        <f>AVERAGE(PerfRate[[#This Row],[EnvironmentSatisfaction]],PerfRate[[#This Row],[JobSatisfaction]],PerfRate[[#This Row],[RelationshipSatisfaction]])</f>
        <v>3.6666666666666665</v>
      </c>
      <c r="R5923" s="2">
        <f>PerfRate[[#This Row],[ManagerRating]] - PerfRate[[#This Row],[SelfRating]]</f>
        <v>-1</v>
      </c>
    </row>
    <row r="5924" spans="1:18">
      <c r="A5924" s="2" t="s">
        <v>10231</v>
      </c>
      <c r="B5924" s="2" t="s">
        <v>2486</v>
      </c>
      <c r="C5924" s="1">
        <v>44842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  <c r="L5924" s="2" t="s">
        <v>11029</v>
      </c>
      <c r="M5924" s="2" t="s">
        <v>11029</v>
      </c>
      <c r="N5924" s="2" t="s">
        <v>11036</v>
      </c>
      <c r="O5924" s="2" t="s">
        <v>11035</v>
      </c>
      <c r="P5924" s="2" t="s">
        <v>11036</v>
      </c>
      <c r="Q5924" s="2">
        <f>AVERAGE(PerfRate[[#This Row],[EnvironmentSatisfaction]],PerfRate[[#This Row],[JobSatisfaction]],PerfRate[[#This Row],[RelationshipSatisfaction]])</f>
        <v>2.6666666666666665</v>
      </c>
      <c r="R5924" s="2">
        <f>PerfRate[[#This Row],[ManagerRating]] - PerfRate[[#This Row],[SelfRating]]</f>
        <v>0</v>
      </c>
    </row>
    <row r="5925" spans="1:18">
      <c r="A5925" s="2" t="s">
        <v>10232</v>
      </c>
      <c r="B5925" s="2" t="s">
        <v>2207</v>
      </c>
      <c r="C5925" s="1">
        <v>44842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  <c r="L5925" s="2" t="s">
        <v>11030</v>
      </c>
      <c r="M5925" s="2" t="s">
        <v>11029</v>
      </c>
      <c r="N5925" s="2" t="s">
        <v>11037</v>
      </c>
      <c r="O5925" s="2" t="s">
        <v>11038</v>
      </c>
      <c r="P5925" s="2" t="s">
        <v>11036</v>
      </c>
      <c r="Q5925" s="2">
        <f>AVERAGE(PerfRate[[#This Row],[EnvironmentSatisfaction]],PerfRate[[#This Row],[JobSatisfaction]],PerfRate[[#This Row],[RelationshipSatisfaction]])</f>
        <v>4</v>
      </c>
      <c r="R5925" s="2">
        <f>PerfRate[[#This Row],[ManagerRating]] - PerfRate[[#This Row],[SelfRating]]</f>
        <v>-1</v>
      </c>
    </row>
    <row r="5926" spans="1:18">
      <c r="A5926" s="2" t="s">
        <v>10233</v>
      </c>
      <c r="B5926" s="2" t="s">
        <v>625</v>
      </c>
      <c r="C5926" s="1">
        <v>44873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  <c r="L5926" s="2" t="s">
        <v>11029</v>
      </c>
      <c r="M5926" s="2" t="s">
        <v>11029</v>
      </c>
      <c r="N5926" s="2" t="s">
        <v>11038</v>
      </c>
      <c r="O5926" s="2" t="s">
        <v>11035</v>
      </c>
      <c r="P5926" s="2" t="s">
        <v>11035</v>
      </c>
      <c r="Q5926" s="2">
        <f>AVERAGE(PerfRate[[#This Row],[EnvironmentSatisfaction]],PerfRate[[#This Row],[JobSatisfaction]],PerfRate[[#This Row],[RelationshipSatisfaction]])</f>
        <v>3</v>
      </c>
      <c r="R5926" s="2">
        <f>PerfRate[[#This Row],[ManagerRating]] - PerfRate[[#This Row],[SelfRating]]</f>
        <v>0</v>
      </c>
    </row>
    <row r="5927" spans="1:18">
      <c r="A5927" s="2" t="s">
        <v>10234</v>
      </c>
      <c r="B5927" s="2" t="s">
        <v>1614</v>
      </c>
      <c r="C5927" s="1">
        <v>44873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  <c r="L5927" s="2" t="s">
        <v>11029</v>
      </c>
      <c r="M5927" s="2" t="s">
        <v>11029</v>
      </c>
      <c r="N5927" s="2" t="s">
        <v>11037</v>
      </c>
      <c r="O5927" s="2" t="s">
        <v>11035</v>
      </c>
      <c r="P5927" s="2" t="s">
        <v>11037</v>
      </c>
      <c r="Q5927" s="2">
        <f>AVERAGE(PerfRate[[#This Row],[EnvironmentSatisfaction]],PerfRate[[#This Row],[JobSatisfaction]],PerfRate[[#This Row],[RelationshipSatisfaction]])</f>
        <v>3.3333333333333335</v>
      </c>
      <c r="R5927" s="2">
        <f>PerfRate[[#This Row],[ManagerRating]] - PerfRate[[#This Row],[SelfRating]]</f>
        <v>0</v>
      </c>
    </row>
    <row r="5928" spans="1:18">
      <c r="A5928" s="2" t="s">
        <v>10235</v>
      </c>
      <c r="B5928" s="2" t="s">
        <v>2366</v>
      </c>
      <c r="C5928" s="1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  <c r="L5928" s="2" t="s">
        <v>11031</v>
      </c>
      <c r="M5928" s="2" t="s">
        <v>11030</v>
      </c>
      <c r="N5928" s="2" t="s">
        <v>11038</v>
      </c>
      <c r="O5928" s="2" t="s">
        <v>11037</v>
      </c>
      <c r="P5928" s="2" t="s">
        <v>11035</v>
      </c>
      <c r="Q5928" s="2">
        <f>AVERAGE(PerfRate[[#This Row],[EnvironmentSatisfaction]],PerfRate[[#This Row],[JobSatisfaction]],PerfRate[[#This Row],[RelationshipSatisfaction]])</f>
        <v>3.6666666666666665</v>
      </c>
      <c r="R5928" s="2">
        <f>PerfRate[[#This Row],[ManagerRating]] - PerfRate[[#This Row],[SelfRating]]</f>
        <v>-1</v>
      </c>
    </row>
    <row r="5929" spans="1:18">
      <c r="A5929" s="2" t="s">
        <v>10236</v>
      </c>
      <c r="B5929" s="2" t="s">
        <v>1827</v>
      </c>
      <c r="C5929" s="1">
        <v>44873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  <c r="L5929" s="2" t="s">
        <v>11029</v>
      </c>
      <c r="M5929" s="2" t="s">
        <v>11028</v>
      </c>
      <c r="N5929" s="2" t="s">
        <v>11037</v>
      </c>
      <c r="O5929" s="2" t="s">
        <v>11037</v>
      </c>
      <c r="P5929" s="2" t="s">
        <v>11035</v>
      </c>
      <c r="Q5929" s="2">
        <f>AVERAGE(PerfRate[[#This Row],[EnvironmentSatisfaction]],PerfRate[[#This Row],[JobSatisfaction]],PerfRate[[#This Row],[RelationshipSatisfaction]])</f>
        <v>3.3333333333333335</v>
      </c>
      <c r="R5929" s="2">
        <f>PerfRate[[#This Row],[ManagerRating]] - PerfRate[[#This Row],[SelfRating]]</f>
        <v>-1</v>
      </c>
    </row>
    <row r="5930" spans="1:18">
      <c r="A5930" s="2" t="s">
        <v>10237</v>
      </c>
      <c r="B5930" s="2" t="s">
        <v>3371</v>
      </c>
      <c r="C5930" s="1">
        <v>44873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  <c r="L5930" s="2" t="s">
        <v>11030</v>
      </c>
      <c r="M5930" s="2" t="s">
        <v>11029</v>
      </c>
      <c r="N5930" s="2" t="s">
        <v>11036</v>
      </c>
      <c r="O5930" s="2" t="s">
        <v>11035</v>
      </c>
      <c r="P5930" s="2" t="s">
        <v>11037</v>
      </c>
      <c r="Q5930" s="2">
        <f>AVERAGE(PerfRate[[#This Row],[EnvironmentSatisfaction]],PerfRate[[#This Row],[JobSatisfaction]],PerfRate[[#This Row],[RelationshipSatisfaction]])</f>
        <v>3</v>
      </c>
      <c r="R5930" s="2">
        <f>PerfRate[[#This Row],[ManagerRating]] - PerfRate[[#This Row],[SelfRating]]</f>
        <v>-1</v>
      </c>
    </row>
    <row r="5931" spans="1:18">
      <c r="A5931" s="2" t="s">
        <v>10238</v>
      </c>
      <c r="B5931" s="2" t="s">
        <v>3071</v>
      </c>
      <c r="C5931" s="1">
        <v>44903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  <c r="L5931" s="2" t="s">
        <v>11029</v>
      </c>
      <c r="M5931" s="2" t="s">
        <v>11028</v>
      </c>
      <c r="N5931" s="2" t="s">
        <v>11038</v>
      </c>
      <c r="O5931" s="2" t="s">
        <v>11036</v>
      </c>
      <c r="P5931" s="2" t="s">
        <v>11036</v>
      </c>
      <c r="Q5931" s="2">
        <f>AVERAGE(PerfRate[[#This Row],[EnvironmentSatisfaction]],PerfRate[[#This Row],[JobSatisfaction]],PerfRate[[#This Row],[RelationshipSatisfaction]])</f>
        <v>3.6666666666666665</v>
      </c>
      <c r="R5931" s="2">
        <f>PerfRate[[#This Row],[ManagerRating]] - PerfRate[[#This Row],[SelfRating]]</f>
        <v>-1</v>
      </c>
    </row>
    <row r="5932" spans="1:18">
      <c r="A5932" s="2" t="s">
        <v>10239</v>
      </c>
      <c r="B5932" s="2" t="s">
        <v>803</v>
      </c>
      <c r="C5932" s="1">
        <v>44903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  <c r="L5932" s="2" t="s">
        <v>11030</v>
      </c>
      <c r="M5932" s="2" t="s">
        <v>11029</v>
      </c>
      <c r="N5932" s="2" t="s">
        <v>11038</v>
      </c>
      <c r="O5932" s="2" t="s">
        <v>11038</v>
      </c>
      <c r="P5932" s="2" t="s">
        <v>11038</v>
      </c>
      <c r="Q5932" s="2">
        <f>AVERAGE(PerfRate[[#This Row],[EnvironmentSatisfaction]],PerfRate[[#This Row],[JobSatisfaction]],PerfRate[[#This Row],[RelationshipSatisfaction]])</f>
        <v>5</v>
      </c>
      <c r="R5932" s="2">
        <f>PerfRate[[#This Row],[ManagerRating]] - PerfRate[[#This Row],[SelfRating]]</f>
        <v>-1</v>
      </c>
    </row>
    <row r="5933" spans="1:18">
      <c r="A5933" s="2" t="s">
        <v>10240</v>
      </c>
      <c r="B5933" s="2" t="s">
        <v>756</v>
      </c>
      <c r="C5933" s="1">
        <v>44903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  <c r="L5933" s="2" t="s">
        <v>11030</v>
      </c>
      <c r="M5933" s="2" t="s">
        <v>11030</v>
      </c>
      <c r="N5933" s="2" t="s">
        <v>11036</v>
      </c>
      <c r="O5933" s="2" t="s">
        <v>11035</v>
      </c>
      <c r="P5933" s="2" t="s">
        <v>11035</v>
      </c>
      <c r="Q5933" s="2">
        <f>AVERAGE(PerfRate[[#This Row],[EnvironmentSatisfaction]],PerfRate[[#This Row],[JobSatisfaction]],PerfRate[[#This Row],[RelationshipSatisfaction]])</f>
        <v>2.3333333333333335</v>
      </c>
      <c r="R5933" s="2">
        <f>PerfRate[[#This Row],[ManagerRating]] - PerfRate[[#This Row],[SelfRating]]</f>
        <v>0</v>
      </c>
    </row>
    <row r="5934" spans="1:18">
      <c r="A5934" s="2" t="s">
        <v>10241</v>
      </c>
      <c r="B5934" s="2" t="s">
        <v>2340</v>
      </c>
      <c r="C5934" s="1">
        <v>44903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  <c r="L5934" s="2" t="s">
        <v>11031</v>
      </c>
      <c r="M5934" s="2" t="s">
        <v>11031</v>
      </c>
      <c r="N5934" s="2" t="s">
        <v>11036</v>
      </c>
      <c r="O5934" s="2" t="s">
        <v>11036</v>
      </c>
      <c r="P5934" s="2" t="s">
        <v>11038</v>
      </c>
      <c r="Q5934" s="2">
        <f>AVERAGE(PerfRate[[#This Row],[EnvironmentSatisfaction]],PerfRate[[#This Row],[JobSatisfaction]],PerfRate[[#This Row],[RelationshipSatisfaction]])</f>
        <v>3.6666666666666665</v>
      </c>
      <c r="R5934" s="2">
        <f>PerfRate[[#This Row],[ManagerRating]] - PerfRate[[#This Row],[SelfRating]]</f>
        <v>0</v>
      </c>
    </row>
    <row r="5935" spans="1:18">
      <c r="A5935" s="2" t="s">
        <v>10242</v>
      </c>
      <c r="B5935" s="2" t="s">
        <v>2536</v>
      </c>
      <c r="C5935" s="1">
        <v>44903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  <c r="L5935" s="2" t="s">
        <v>11030</v>
      </c>
      <c r="M5935" s="2" t="s">
        <v>11029</v>
      </c>
      <c r="N5935" s="2" t="s">
        <v>11038</v>
      </c>
      <c r="O5935" s="2" t="s">
        <v>11036</v>
      </c>
      <c r="P5935" s="2" t="s">
        <v>11035</v>
      </c>
      <c r="Q5935" s="2">
        <f>AVERAGE(PerfRate[[#This Row],[EnvironmentSatisfaction]],PerfRate[[#This Row],[JobSatisfaction]],PerfRate[[#This Row],[RelationshipSatisfaction]])</f>
        <v>3.3333333333333335</v>
      </c>
      <c r="R5935" s="2">
        <f>PerfRate[[#This Row],[ManagerRating]] - PerfRate[[#This Row],[SelfRating]]</f>
        <v>-1</v>
      </c>
    </row>
    <row r="5936" spans="1:18">
      <c r="A5936" s="2" t="s">
        <v>10243</v>
      </c>
      <c r="B5936" s="2" t="s">
        <v>3198</v>
      </c>
      <c r="C5936" s="1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  <c r="L5936" s="2" t="s">
        <v>11029</v>
      </c>
      <c r="M5936" s="2" t="s">
        <v>11028</v>
      </c>
      <c r="N5936" s="2" t="s">
        <v>11035</v>
      </c>
      <c r="O5936" s="2" t="s">
        <v>11034</v>
      </c>
      <c r="P5936" s="2" t="s">
        <v>11037</v>
      </c>
      <c r="Q5936" s="2">
        <f>AVERAGE(PerfRate[[#This Row],[EnvironmentSatisfaction]],PerfRate[[#This Row],[JobSatisfaction]],PerfRate[[#This Row],[RelationshipSatisfaction]])</f>
        <v>2.3333333333333335</v>
      </c>
      <c r="R5936" s="2">
        <f>PerfRate[[#This Row],[ManagerRating]] - PerfRate[[#This Row],[SelfRating]]</f>
        <v>-1</v>
      </c>
    </row>
    <row r="5937" spans="1:18">
      <c r="A5937" s="2" t="s">
        <v>10244</v>
      </c>
      <c r="B5937" s="2" t="s">
        <v>1608</v>
      </c>
      <c r="C5937" s="1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  <c r="L5937" s="2" t="s">
        <v>11030</v>
      </c>
      <c r="M5937" s="2" t="s">
        <v>11030</v>
      </c>
      <c r="N5937" s="2" t="s">
        <v>11034</v>
      </c>
      <c r="O5937" s="2" t="s">
        <v>11034</v>
      </c>
      <c r="P5937" s="2" t="s">
        <v>11036</v>
      </c>
      <c r="Q5937" s="2">
        <f>AVERAGE(PerfRate[[#This Row],[EnvironmentSatisfaction]],PerfRate[[#This Row],[JobSatisfaction]],PerfRate[[#This Row],[RelationshipSatisfaction]])</f>
        <v>1.6666666666666667</v>
      </c>
      <c r="R5937" s="2">
        <f>PerfRate[[#This Row],[ManagerRating]] - PerfRate[[#This Row],[SelfRating]]</f>
        <v>0</v>
      </c>
    </row>
    <row r="5938" spans="1:18">
      <c r="A5938" s="2" t="s">
        <v>10245</v>
      </c>
      <c r="B5938" s="2" t="s">
        <v>1836</v>
      </c>
      <c r="C5938" s="1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  <c r="L5938" s="2" t="s">
        <v>11031</v>
      </c>
      <c r="M5938" s="2" t="s">
        <v>11030</v>
      </c>
      <c r="N5938" s="2" t="s">
        <v>11037</v>
      </c>
      <c r="O5938" s="2" t="s">
        <v>11036</v>
      </c>
      <c r="P5938" s="2" t="s">
        <v>11038</v>
      </c>
      <c r="Q5938" s="2">
        <f>AVERAGE(PerfRate[[#This Row],[EnvironmentSatisfaction]],PerfRate[[#This Row],[JobSatisfaction]],PerfRate[[#This Row],[RelationshipSatisfaction]])</f>
        <v>4</v>
      </c>
      <c r="R5938" s="2">
        <f>PerfRate[[#This Row],[ManagerRating]] - PerfRate[[#This Row],[SelfRating]]</f>
        <v>-1</v>
      </c>
    </row>
    <row r="5939" spans="1:18">
      <c r="A5939" s="2" t="s">
        <v>10246</v>
      </c>
      <c r="B5939" s="2" t="s">
        <v>214</v>
      </c>
      <c r="C5939" s="1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  <c r="L5939" s="2" t="s">
        <v>11029</v>
      </c>
      <c r="M5939" s="2" t="s">
        <v>11028</v>
      </c>
      <c r="N5939" s="2" t="s">
        <v>11036</v>
      </c>
      <c r="O5939" s="2" t="s">
        <v>11038</v>
      </c>
      <c r="P5939" s="2" t="s">
        <v>11038</v>
      </c>
      <c r="Q5939" s="2">
        <f>AVERAGE(PerfRate[[#This Row],[EnvironmentSatisfaction]],PerfRate[[#This Row],[JobSatisfaction]],PerfRate[[#This Row],[RelationshipSatisfaction]])</f>
        <v>4.333333333333333</v>
      </c>
      <c r="R5939" s="2">
        <f>PerfRate[[#This Row],[ManagerRating]] - PerfRate[[#This Row],[SelfRating]]</f>
        <v>-1</v>
      </c>
    </row>
    <row r="5940" spans="1:18">
      <c r="A5940" s="2" t="s">
        <v>10247</v>
      </c>
      <c r="B5940" s="2" t="s">
        <v>2381</v>
      </c>
      <c r="C5940" s="1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  <c r="L5940" s="2" t="s">
        <v>11031</v>
      </c>
      <c r="M5940" s="2" t="s">
        <v>11030</v>
      </c>
      <c r="N5940" s="2" t="s">
        <v>11038</v>
      </c>
      <c r="O5940" s="2" t="s">
        <v>11037</v>
      </c>
      <c r="P5940" s="2" t="s">
        <v>11037</v>
      </c>
      <c r="Q5940" s="2">
        <f>AVERAGE(PerfRate[[#This Row],[EnvironmentSatisfaction]],PerfRate[[#This Row],[JobSatisfaction]],PerfRate[[#This Row],[RelationshipSatisfaction]])</f>
        <v>4.333333333333333</v>
      </c>
      <c r="R5940" s="2">
        <f>PerfRate[[#This Row],[ManagerRating]] - PerfRate[[#This Row],[SelfRating]]</f>
        <v>-1</v>
      </c>
    </row>
    <row r="5941" spans="1:18">
      <c r="A5941" s="2" t="s">
        <v>10248</v>
      </c>
      <c r="B5941" s="2" t="s">
        <v>2401</v>
      </c>
      <c r="C5941" s="1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  <c r="L5941" s="2" t="s">
        <v>11031</v>
      </c>
      <c r="M5941" s="2" t="s">
        <v>11030</v>
      </c>
      <c r="N5941" s="2" t="s">
        <v>11036</v>
      </c>
      <c r="O5941" s="2" t="s">
        <v>11036</v>
      </c>
      <c r="P5941" s="2" t="s">
        <v>11037</v>
      </c>
      <c r="Q5941" s="2">
        <f>AVERAGE(PerfRate[[#This Row],[EnvironmentSatisfaction]],PerfRate[[#This Row],[JobSatisfaction]],PerfRate[[#This Row],[RelationshipSatisfaction]])</f>
        <v>3.3333333333333335</v>
      </c>
      <c r="R5941" s="2">
        <f>PerfRate[[#This Row],[ManagerRating]] - PerfRate[[#This Row],[SelfRating]]</f>
        <v>-1</v>
      </c>
    </row>
    <row r="5942" spans="1:18">
      <c r="A5942" s="2" t="s">
        <v>10249</v>
      </c>
      <c r="B5942" s="2" t="s">
        <v>2462</v>
      </c>
      <c r="C5942" s="1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  <c r="L5942" s="2" t="s">
        <v>11030</v>
      </c>
      <c r="M5942" s="2" t="s">
        <v>11030</v>
      </c>
      <c r="N5942" s="2" t="s">
        <v>11038</v>
      </c>
      <c r="O5942" s="2" t="s">
        <v>11038</v>
      </c>
      <c r="P5942" s="2" t="s">
        <v>11036</v>
      </c>
      <c r="Q5942" s="2">
        <f>AVERAGE(PerfRate[[#This Row],[EnvironmentSatisfaction]],PerfRate[[#This Row],[JobSatisfaction]],PerfRate[[#This Row],[RelationshipSatisfaction]])</f>
        <v>4.333333333333333</v>
      </c>
      <c r="R5942" s="2">
        <f>PerfRate[[#This Row],[ManagerRating]] - PerfRate[[#This Row],[SelfRating]]</f>
        <v>0</v>
      </c>
    </row>
    <row r="5943" spans="1:18">
      <c r="A5943" s="2" t="s">
        <v>10250</v>
      </c>
      <c r="B5943" s="2" t="s">
        <v>619</v>
      </c>
      <c r="C5943" s="1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  <c r="L5943" s="2" t="s">
        <v>11029</v>
      </c>
      <c r="M5943" s="2" t="s">
        <v>11028</v>
      </c>
      <c r="N5943" s="2" t="s">
        <v>11036</v>
      </c>
      <c r="O5943" s="2" t="s">
        <v>11036</v>
      </c>
      <c r="P5943" s="2" t="s">
        <v>11035</v>
      </c>
      <c r="Q5943" s="2">
        <f>AVERAGE(PerfRate[[#This Row],[EnvironmentSatisfaction]],PerfRate[[#This Row],[JobSatisfaction]],PerfRate[[#This Row],[RelationshipSatisfaction]])</f>
        <v>2.6666666666666665</v>
      </c>
      <c r="R5943" s="2">
        <f>PerfRate[[#This Row],[ManagerRating]] - PerfRate[[#This Row],[SelfRating]]</f>
        <v>-1</v>
      </c>
    </row>
    <row r="5944" spans="1:18">
      <c r="A5944" s="2" t="s">
        <v>10251</v>
      </c>
      <c r="B5944" s="2" t="s">
        <v>2581</v>
      </c>
      <c r="C5944" s="1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  <c r="L5944" s="2" t="s">
        <v>11031</v>
      </c>
      <c r="M5944" s="2" t="s">
        <v>11030</v>
      </c>
      <c r="N5944" s="2" t="s">
        <v>11036</v>
      </c>
      <c r="O5944" s="2" t="s">
        <v>11037</v>
      </c>
      <c r="P5944" s="2" t="s">
        <v>11035</v>
      </c>
      <c r="Q5944" s="2">
        <f>AVERAGE(PerfRate[[#This Row],[EnvironmentSatisfaction]],PerfRate[[#This Row],[JobSatisfaction]],PerfRate[[#This Row],[RelationshipSatisfaction]])</f>
        <v>3</v>
      </c>
      <c r="R5944" s="2">
        <f>PerfRate[[#This Row],[ManagerRating]] - PerfRate[[#This Row],[SelfRating]]</f>
        <v>-1</v>
      </c>
    </row>
    <row r="5945" spans="1:18">
      <c r="A5945" s="2" t="s">
        <v>10252</v>
      </c>
      <c r="B5945" s="2" t="s">
        <v>1280</v>
      </c>
      <c r="C5945" s="1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  <c r="L5945" s="2" t="s">
        <v>11031</v>
      </c>
      <c r="M5945" s="2" t="s">
        <v>11031</v>
      </c>
      <c r="N5945" s="2" t="s">
        <v>11037</v>
      </c>
      <c r="O5945" s="2" t="s">
        <v>11038</v>
      </c>
      <c r="P5945" s="2" t="s">
        <v>11037</v>
      </c>
      <c r="Q5945" s="2">
        <f>AVERAGE(PerfRate[[#This Row],[EnvironmentSatisfaction]],PerfRate[[#This Row],[JobSatisfaction]],PerfRate[[#This Row],[RelationshipSatisfaction]])</f>
        <v>4.333333333333333</v>
      </c>
      <c r="R5945" s="2">
        <f>PerfRate[[#This Row],[ManagerRating]] - PerfRate[[#This Row],[SelfRating]]</f>
        <v>0</v>
      </c>
    </row>
    <row r="5946" spans="1:18">
      <c r="A5946" s="2" t="s">
        <v>10253</v>
      </c>
      <c r="B5946" s="2" t="s">
        <v>1102</v>
      </c>
      <c r="C5946" s="1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  <c r="L5946" s="2" t="s">
        <v>11029</v>
      </c>
      <c r="M5946" s="2" t="s">
        <v>11029</v>
      </c>
      <c r="N5946" s="2" t="s">
        <v>11036</v>
      </c>
      <c r="O5946" s="2" t="s">
        <v>11037</v>
      </c>
      <c r="P5946" s="2" t="s">
        <v>11037</v>
      </c>
      <c r="Q5946" s="2">
        <f>AVERAGE(PerfRate[[#This Row],[EnvironmentSatisfaction]],PerfRate[[#This Row],[JobSatisfaction]],PerfRate[[#This Row],[RelationshipSatisfaction]])</f>
        <v>3.6666666666666665</v>
      </c>
      <c r="R5946" s="2">
        <f>PerfRate[[#This Row],[ManagerRating]] - PerfRate[[#This Row],[SelfRating]]</f>
        <v>0</v>
      </c>
    </row>
    <row r="5947" spans="1:18">
      <c r="A5947" s="2" t="s">
        <v>10254</v>
      </c>
      <c r="B5947" s="2" t="s">
        <v>2022</v>
      </c>
      <c r="C5947" s="1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  <c r="L5947" s="2" t="s">
        <v>11031</v>
      </c>
      <c r="M5947" s="2" t="s">
        <v>11031</v>
      </c>
      <c r="N5947" s="2" t="s">
        <v>11037</v>
      </c>
      <c r="O5947" s="2" t="s">
        <v>11035</v>
      </c>
      <c r="P5947" s="2" t="s">
        <v>11035</v>
      </c>
      <c r="Q5947" s="2">
        <f>AVERAGE(PerfRate[[#This Row],[EnvironmentSatisfaction]],PerfRate[[#This Row],[JobSatisfaction]],PerfRate[[#This Row],[RelationshipSatisfaction]])</f>
        <v>2.6666666666666665</v>
      </c>
      <c r="R5947" s="2">
        <f>PerfRate[[#This Row],[ManagerRating]] - PerfRate[[#This Row],[SelfRating]]</f>
        <v>0</v>
      </c>
    </row>
    <row r="5948" spans="1:18">
      <c r="A5948" s="2" t="s">
        <v>10255</v>
      </c>
      <c r="B5948" s="2" t="s">
        <v>2042</v>
      </c>
      <c r="C5948" s="1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  <c r="L5948" s="2" t="s">
        <v>11031</v>
      </c>
      <c r="M5948" s="2" t="s">
        <v>11030</v>
      </c>
      <c r="N5948" s="2" t="s">
        <v>11037</v>
      </c>
      <c r="O5948" s="2" t="s">
        <v>11036</v>
      </c>
      <c r="P5948" s="2" t="s">
        <v>11035</v>
      </c>
      <c r="Q5948" s="2">
        <f>AVERAGE(PerfRate[[#This Row],[EnvironmentSatisfaction]],PerfRate[[#This Row],[JobSatisfaction]],PerfRate[[#This Row],[RelationshipSatisfaction]])</f>
        <v>3</v>
      </c>
      <c r="R5948" s="2">
        <f>PerfRate[[#This Row],[ManagerRating]] - PerfRate[[#This Row],[SelfRating]]</f>
        <v>-1</v>
      </c>
    </row>
    <row r="5949" spans="1:18">
      <c r="A5949" s="2" t="s">
        <v>10256</v>
      </c>
      <c r="B5949" s="2" t="s">
        <v>2686</v>
      </c>
      <c r="C5949" s="1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  <c r="L5949" s="2" t="s">
        <v>11029</v>
      </c>
      <c r="M5949" s="2" t="s">
        <v>11029</v>
      </c>
      <c r="N5949" s="2" t="s">
        <v>11037</v>
      </c>
      <c r="O5949" s="2" t="s">
        <v>11037</v>
      </c>
      <c r="P5949" s="2" t="s">
        <v>11036</v>
      </c>
      <c r="Q5949" s="2">
        <f>AVERAGE(PerfRate[[#This Row],[EnvironmentSatisfaction]],PerfRate[[#This Row],[JobSatisfaction]],PerfRate[[#This Row],[RelationshipSatisfaction]])</f>
        <v>3.6666666666666665</v>
      </c>
      <c r="R5949" s="2">
        <f>PerfRate[[#This Row],[ManagerRating]] - PerfRate[[#This Row],[SelfRating]]</f>
        <v>0</v>
      </c>
    </row>
    <row r="5950" spans="1:18">
      <c r="A5950" s="2" t="s">
        <v>10257</v>
      </c>
      <c r="B5950" s="2" t="s">
        <v>1868</v>
      </c>
      <c r="C5950" s="1">
        <v>42009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  <c r="L5950" s="2" t="s">
        <v>11031</v>
      </c>
      <c r="M5950" s="2" t="s">
        <v>11030</v>
      </c>
      <c r="N5950" s="2" t="s">
        <v>11036</v>
      </c>
      <c r="O5950" s="2" t="s">
        <v>11036</v>
      </c>
      <c r="P5950" s="2" t="s">
        <v>11035</v>
      </c>
      <c r="Q5950" s="2">
        <f>AVERAGE(PerfRate[[#This Row],[EnvironmentSatisfaction]],PerfRate[[#This Row],[JobSatisfaction]],PerfRate[[#This Row],[RelationshipSatisfaction]])</f>
        <v>2.6666666666666665</v>
      </c>
      <c r="R5950" s="2">
        <f>PerfRate[[#This Row],[ManagerRating]] - PerfRate[[#This Row],[SelfRating]]</f>
        <v>-1</v>
      </c>
    </row>
    <row r="5951" spans="1:18">
      <c r="A5951" s="2" t="s">
        <v>10258</v>
      </c>
      <c r="B5951" s="2" t="s">
        <v>2721</v>
      </c>
      <c r="C5951" s="1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  <c r="L5951" s="2" t="s">
        <v>11031</v>
      </c>
      <c r="M5951" s="2" t="s">
        <v>11030</v>
      </c>
      <c r="N5951" s="2" t="s">
        <v>11037</v>
      </c>
      <c r="O5951" s="2" t="s">
        <v>11038</v>
      </c>
      <c r="P5951" s="2" t="s">
        <v>11035</v>
      </c>
      <c r="Q5951" s="2">
        <f>AVERAGE(PerfRate[[#This Row],[EnvironmentSatisfaction]],PerfRate[[#This Row],[JobSatisfaction]],PerfRate[[#This Row],[RelationshipSatisfaction]])</f>
        <v>3.6666666666666665</v>
      </c>
      <c r="R5951" s="2">
        <f>PerfRate[[#This Row],[ManagerRating]] - PerfRate[[#This Row],[SelfRating]]</f>
        <v>-1</v>
      </c>
    </row>
    <row r="5952" spans="1:18">
      <c r="A5952" s="2" t="s">
        <v>10259</v>
      </c>
      <c r="B5952" s="2" t="s">
        <v>514</v>
      </c>
      <c r="C5952" s="1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  <c r="L5952" s="2" t="s">
        <v>11029</v>
      </c>
      <c r="M5952" s="2" t="s">
        <v>11028</v>
      </c>
      <c r="N5952" s="2" t="s">
        <v>11037</v>
      </c>
      <c r="O5952" s="2" t="s">
        <v>11036</v>
      </c>
      <c r="P5952" s="2" t="s">
        <v>11038</v>
      </c>
      <c r="Q5952" s="2">
        <f>AVERAGE(PerfRate[[#This Row],[EnvironmentSatisfaction]],PerfRate[[#This Row],[JobSatisfaction]],PerfRate[[#This Row],[RelationshipSatisfaction]])</f>
        <v>4</v>
      </c>
      <c r="R5952" s="2">
        <f>PerfRate[[#This Row],[ManagerRating]] - PerfRate[[#This Row],[SelfRating]]</f>
        <v>-1</v>
      </c>
    </row>
    <row r="5953" spans="1:18">
      <c r="A5953" s="2" t="s">
        <v>10260</v>
      </c>
      <c r="B5953" s="2" t="s">
        <v>2429</v>
      </c>
      <c r="C5953" s="1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  <c r="L5953" s="2" t="s">
        <v>11030</v>
      </c>
      <c r="M5953" s="2" t="s">
        <v>11029</v>
      </c>
      <c r="N5953" s="2" t="s">
        <v>11038</v>
      </c>
      <c r="O5953" s="2" t="s">
        <v>11035</v>
      </c>
      <c r="P5953" s="2" t="s">
        <v>11037</v>
      </c>
      <c r="Q5953" s="2">
        <f>AVERAGE(PerfRate[[#This Row],[EnvironmentSatisfaction]],PerfRate[[#This Row],[JobSatisfaction]],PerfRate[[#This Row],[RelationshipSatisfaction]])</f>
        <v>3.6666666666666665</v>
      </c>
      <c r="R5953" s="2">
        <f>PerfRate[[#This Row],[ManagerRating]] - PerfRate[[#This Row],[SelfRating]]</f>
        <v>-1</v>
      </c>
    </row>
    <row r="5954" spans="1:18">
      <c r="A5954" s="2" t="s">
        <v>10261</v>
      </c>
      <c r="B5954" s="2" t="s">
        <v>3510</v>
      </c>
      <c r="C5954" s="1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  <c r="L5954" s="2" t="s">
        <v>11029</v>
      </c>
      <c r="M5954" s="2" t="s">
        <v>11028</v>
      </c>
      <c r="N5954" s="2" t="s">
        <v>11036</v>
      </c>
      <c r="O5954" s="2" t="s">
        <v>11035</v>
      </c>
      <c r="P5954" s="2" t="s">
        <v>11038</v>
      </c>
      <c r="Q5954" s="2">
        <f>AVERAGE(PerfRate[[#This Row],[EnvironmentSatisfaction]],PerfRate[[#This Row],[JobSatisfaction]],PerfRate[[#This Row],[RelationshipSatisfaction]])</f>
        <v>3.3333333333333335</v>
      </c>
      <c r="R5954" s="2">
        <f>PerfRate[[#This Row],[ManagerRating]] - PerfRate[[#This Row],[SelfRating]]</f>
        <v>-1</v>
      </c>
    </row>
    <row r="5955" spans="1:18">
      <c r="A5955" s="2" t="s">
        <v>10262</v>
      </c>
      <c r="B5955" s="2" t="s">
        <v>592</v>
      </c>
      <c r="C5955" s="1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  <c r="L5955" s="2" t="s">
        <v>11031</v>
      </c>
      <c r="M5955" s="2" t="s">
        <v>11030</v>
      </c>
      <c r="N5955" s="2" t="s">
        <v>11037</v>
      </c>
      <c r="O5955" s="2" t="s">
        <v>11038</v>
      </c>
      <c r="P5955" s="2" t="s">
        <v>11038</v>
      </c>
      <c r="Q5955" s="2">
        <f>AVERAGE(PerfRate[[#This Row],[EnvironmentSatisfaction]],PerfRate[[#This Row],[JobSatisfaction]],PerfRate[[#This Row],[RelationshipSatisfaction]])</f>
        <v>4.666666666666667</v>
      </c>
      <c r="R5955" s="2">
        <f>PerfRate[[#This Row],[ManagerRating]] - PerfRate[[#This Row],[SelfRating]]</f>
        <v>-1</v>
      </c>
    </row>
    <row r="5956" spans="1:18">
      <c r="A5956" s="2" t="s">
        <v>10263</v>
      </c>
      <c r="B5956" s="2" t="s">
        <v>1575</v>
      </c>
      <c r="C5956" s="1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  <c r="L5956" s="2" t="s">
        <v>11030</v>
      </c>
      <c r="M5956" s="2" t="s">
        <v>11029</v>
      </c>
      <c r="N5956" s="2" t="s">
        <v>11036</v>
      </c>
      <c r="O5956" s="2" t="s">
        <v>11036</v>
      </c>
      <c r="P5956" s="2" t="s">
        <v>11038</v>
      </c>
      <c r="Q5956" s="2">
        <f>AVERAGE(PerfRate[[#This Row],[EnvironmentSatisfaction]],PerfRate[[#This Row],[JobSatisfaction]],PerfRate[[#This Row],[RelationshipSatisfaction]])</f>
        <v>3.6666666666666665</v>
      </c>
      <c r="R5956" s="2">
        <f>PerfRate[[#This Row],[ManagerRating]] - PerfRate[[#This Row],[SelfRating]]</f>
        <v>-1</v>
      </c>
    </row>
    <row r="5957" spans="1:18">
      <c r="A5957" s="2" t="s">
        <v>10264</v>
      </c>
      <c r="B5957" s="2" t="s">
        <v>2307</v>
      </c>
      <c r="C5957" s="1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  <c r="L5957" s="2" t="s">
        <v>11029</v>
      </c>
      <c r="M5957" s="2" t="s">
        <v>11028</v>
      </c>
      <c r="N5957" s="2" t="s">
        <v>11036</v>
      </c>
      <c r="O5957" s="2" t="s">
        <v>11038</v>
      </c>
      <c r="P5957" s="2" t="s">
        <v>11038</v>
      </c>
      <c r="Q5957" s="2">
        <f>AVERAGE(PerfRate[[#This Row],[EnvironmentSatisfaction]],PerfRate[[#This Row],[JobSatisfaction]],PerfRate[[#This Row],[RelationshipSatisfaction]])</f>
        <v>4.333333333333333</v>
      </c>
      <c r="R5957" s="2">
        <f>PerfRate[[#This Row],[ManagerRating]] - PerfRate[[#This Row],[SelfRating]]</f>
        <v>-1</v>
      </c>
    </row>
    <row r="5958" spans="1:18">
      <c r="A5958" s="2" t="s">
        <v>10265</v>
      </c>
      <c r="B5958" s="2" t="s">
        <v>2751</v>
      </c>
      <c r="C5958" s="1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  <c r="L5958" s="2" t="s">
        <v>11030</v>
      </c>
      <c r="M5958" s="2" t="s">
        <v>11030</v>
      </c>
      <c r="N5958" s="2" t="s">
        <v>11037</v>
      </c>
      <c r="O5958" s="2" t="s">
        <v>11037</v>
      </c>
      <c r="P5958" s="2" t="s">
        <v>11036</v>
      </c>
      <c r="Q5958" s="2">
        <f>AVERAGE(PerfRate[[#This Row],[EnvironmentSatisfaction]],PerfRate[[#This Row],[JobSatisfaction]],PerfRate[[#This Row],[RelationshipSatisfaction]])</f>
        <v>3.6666666666666665</v>
      </c>
      <c r="R5958" s="2">
        <f>PerfRate[[#This Row],[ManagerRating]] - PerfRate[[#This Row],[SelfRating]]</f>
        <v>0</v>
      </c>
    </row>
    <row r="5959" spans="1:18">
      <c r="A5959" s="2" t="s">
        <v>10266</v>
      </c>
      <c r="B5959" s="2" t="s">
        <v>1471</v>
      </c>
      <c r="C5959" s="1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  <c r="L5959" s="2" t="s">
        <v>11031</v>
      </c>
      <c r="M5959" s="2" t="s">
        <v>11030</v>
      </c>
      <c r="N5959" s="2" t="s">
        <v>11036</v>
      </c>
      <c r="O5959" s="2" t="s">
        <v>11036</v>
      </c>
      <c r="P5959" s="2" t="s">
        <v>11035</v>
      </c>
      <c r="Q5959" s="2">
        <f>AVERAGE(PerfRate[[#This Row],[EnvironmentSatisfaction]],PerfRate[[#This Row],[JobSatisfaction]],PerfRate[[#This Row],[RelationshipSatisfaction]])</f>
        <v>2.6666666666666665</v>
      </c>
      <c r="R5959" s="2">
        <f>PerfRate[[#This Row],[ManagerRating]] - PerfRate[[#This Row],[SelfRating]]</f>
        <v>-1</v>
      </c>
    </row>
    <row r="5960" spans="1:18">
      <c r="A5960" s="2" t="s">
        <v>10267</v>
      </c>
      <c r="B5960" s="2" t="s">
        <v>1767</v>
      </c>
      <c r="C5960" s="1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  <c r="L5960" s="2" t="s">
        <v>11031</v>
      </c>
      <c r="M5960" s="2" t="s">
        <v>11031</v>
      </c>
      <c r="N5960" s="2" t="s">
        <v>11037</v>
      </c>
      <c r="O5960" s="2" t="s">
        <v>11035</v>
      </c>
      <c r="P5960" s="2" t="s">
        <v>11038</v>
      </c>
      <c r="Q5960" s="2">
        <f>AVERAGE(PerfRate[[#This Row],[EnvironmentSatisfaction]],PerfRate[[#This Row],[JobSatisfaction]],PerfRate[[#This Row],[RelationshipSatisfaction]])</f>
        <v>3.6666666666666665</v>
      </c>
      <c r="R5960" s="2">
        <f>PerfRate[[#This Row],[ManagerRating]] - PerfRate[[#This Row],[SelfRating]]</f>
        <v>0</v>
      </c>
    </row>
    <row r="5961" spans="1:18">
      <c r="A5961" s="2" t="s">
        <v>10268</v>
      </c>
      <c r="B5961" s="2" t="s">
        <v>1012</v>
      </c>
      <c r="C5961" s="1">
        <v>42009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  <c r="L5961" s="2" t="s">
        <v>11029</v>
      </c>
      <c r="M5961" s="2" t="s">
        <v>11029</v>
      </c>
      <c r="N5961" s="2" t="s">
        <v>11038</v>
      </c>
      <c r="O5961" s="2" t="s">
        <v>11038</v>
      </c>
      <c r="P5961" s="2" t="s">
        <v>11037</v>
      </c>
      <c r="Q5961" s="2">
        <f>AVERAGE(PerfRate[[#This Row],[EnvironmentSatisfaction]],PerfRate[[#This Row],[JobSatisfaction]],PerfRate[[#This Row],[RelationshipSatisfaction]])</f>
        <v>4.666666666666667</v>
      </c>
      <c r="R5961" s="2">
        <f>PerfRate[[#This Row],[ManagerRating]] - PerfRate[[#This Row],[SelfRating]]</f>
        <v>0</v>
      </c>
    </row>
    <row r="5962" spans="1:18">
      <c r="A5962" s="2" t="s">
        <v>10269</v>
      </c>
      <c r="B5962" s="2" t="s">
        <v>3341</v>
      </c>
      <c r="C5962" s="1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  <c r="L5962" s="2" t="s">
        <v>11029</v>
      </c>
      <c r="M5962" s="2" t="s">
        <v>11028</v>
      </c>
      <c r="N5962" s="2" t="s">
        <v>11036</v>
      </c>
      <c r="O5962" s="2" t="s">
        <v>11036</v>
      </c>
      <c r="P5962" s="2" t="s">
        <v>11038</v>
      </c>
      <c r="Q5962" s="2">
        <f>AVERAGE(PerfRate[[#This Row],[EnvironmentSatisfaction]],PerfRate[[#This Row],[JobSatisfaction]],PerfRate[[#This Row],[RelationshipSatisfaction]])</f>
        <v>3.6666666666666665</v>
      </c>
      <c r="R5962" s="2">
        <f>PerfRate[[#This Row],[ManagerRating]] - PerfRate[[#This Row],[SelfRating]]</f>
        <v>-1</v>
      </c>
    </row>
    <row r="5963" spans="1:18">
      <c r="A5963" s="2" t="s">
        <v>10270</v>
      </c>
      <c r="B5963" s="2" t="s">
        <v>356</v>
      </c>
      <c r="C5963" s="1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  <c r="L5963" s="2" t="s">
        <v>11031</v>
      </c>
      <c r="M5963" s="2" t="s">
        <v>11031</v>
      </c>
      <c r="N5963" s="2" t="s">
        <v>11038</v>
      </c>
      <c r="O5963" s="2" t="s">
        <v>11037</v>
      </c>
      <c r="P5963" s="2" t="s">
        <v>11037</v>
      </c>
      <c r="Q5963" s="2">
        <f>AVERAGE(PerfRate[[#This Row],[EnvironmentSatisfaction]],PerfRate[[#This Row],[JobSatisfaction]],PerfRate[[#This Row],[RelationshipSatisfaction]])</f>
        <v>4.333333333333333</v>
      </c>
      <c r="R5963" s="2">
        <f>PerfRate[[#This Row],[ManagerRating]] - PerfRate[[#This Row],[SelfRating]]</f>
        <v>0</v>
      </c>
    </row>
    <row r="5964" spans="1:18">
      <c r="A5964" s="2" t="s">
        <v>10271</v>
      </c>
      <c r="B5964" s="2" t="s">
        <v>863</v>
      </c>
      <c r="C5964" s="1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  <c r="L5964" s="2" t="s">
        <v>11030</v>
      </c>
      <c r="M5964" s="2" t="s">
        <v>11029</v>
      </c>
      <c r="N5964" s="2" t="s">
        <v>11036</v>
      </c>
      <c r="O5964" s="2" t="s">
        <v>11037</v>
      </c>
      <c r="P5964" s="2" t="s">
        <v>11036</v>
      </c>
      <c r="Q5964" s="2">
        <f>AVERAGE(PerfRate[[#This Row],[EnvironmentSatisfaction]],PerfRate[[#This Row],[JobSatisfaction]],PerfRate[[#This Row],[RelationshipSatisfaction]])</f>
        <v>3.3333333333333335</v>
      </c>
      <c r="R5964" s="2">
        <f>PerfRate[[#This Row],[ManagerRating]] - PerfRate[[#This Row],[SelfRating]]</f>
        <v>-1</v>
      </c>
    </row>
    <row r="5965" spans="1:18">
      <c r="A5965" s="2" t="s">
        <v>10272</v>
      </c>
      <c r="B5965" s="2" t="s">
        <v>3368</v>
      </c>
      <c r="C5965" s="1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  <c r="L5965" s="2" t="s">
        <v>11031</v>
      </c>
      <c r="M5965" s="2" t="s">
        <v>11030</v>
      </c>
      <c r="N5965" s="2" t="s">
        <v>11038</v>
      </c>
      <c r="O5965" s="2" t="s">
        <v>11038</v>
      </c>
      <c r="P5965" s="2" t="s">
        <v>11037</v>
      </c>
      <c r="Q5965" s="2">
        <f>AVERAGE(PerfRate[[#This Row],[EnvironmentSatisfaction]],PerfRate[[#This Row],[JobSatisfaction]],PerfRate[[#This Row],[RelationshipSatisfaction]])</f>
        <v>4.666666666666667</v>
      </c>
      <c r="R5965" s="2">
        <f>PerfRate[[#This Row],[ManagerRating]] - PerfRate[[#This Row],[SelfRating]]</f>
        <v>-1</v>
      </c>
    </row>
    <row r="5966" spans="1:18">
      <c r="A5966" s="2" t="s">
        <v>10273</v>
      </c>
      <c r="B5966" s="2" t="s">
        <v>1362</v>
      </c>
      <c r="C5966" s="1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  <c r="L5966" s="2" t="s">
        <v>11030</v>
      </c>
      <c r="M5966" s="2" t="s">
        <v>11030</v>
      </c>
      <c r="N5966" s="2" t="s">
        <v>11038</v>
      </c>
      <c r="O5966" s="2" t="s">
        <v>11035</v>
      </c>
      <c r="P5966" s="2" t="s">
        <v>11036</v>
      </c>
      <c r="Q5966" s="2">
        <f>AVERAGE(PerfRate[[#This Row],[EnvironmentSatisfaction]],PerfRate[[#This Row],[JobSatisfaction]],PerfRate[[#This Row],[RelationshipSatisfaction]])</f>
        <v>3.3333333333333335</v>
      </c>
      <c r="R5966" s="2">
        <f>PerfRate[[#This Row],[ManagerRating]] - PerfRate[[#This Row],[SelfRating]]</f>
        <v>0</v>
      </c>
    </row>
    <row r="5967" spans="1:18">
      <c r="A5967" s="2" t="s">
        <v>10274</v>
      </c>
      <c r="B5967" s="2" t="s">
        <v>544</v>
      </c>
      <c r="C5967" s="1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  <c r="L5967" s="2" t="s">
        <v>11029</v>
      </c>
      <c r="M5967" s="2" t="s">
        <v>11029</v>
      </c>
      <c r="N5967" s="2" t="s">
        <v>11036</v>
      </c>
      <c r="O5967" s="2" t="s">
        <v>11038</v>
      </c>
      <c r="P5967" s="2" t="s">
        <v>11035</v>
      </c>
      <c r="Q5967" s="2">
        <f>AVERAGE(PerfRate[[#This Row],[EnvironmentSatisfaction]],PerfRate[[#This Row],[JobSatisfaction]],PerfRate[[#This Row],[RelationshipSatisfaction]])</f>
        <v>3.3333333333333335</v>
      </c>
      <c r="R5967" s="2">
        <f>PerfRate[[#This Row],[ManagerRating]] - PerfRate[[#This Row],[SelfRating]]</f>
        <v>0</v>
      </c>
    </row>
    <row r="5968" spans="1:18">
      <c r="A5968" s="2" t="s">
        <v>10275</v>
      </c>
      <c r="B5968" s="2" t="s">
        <v>2633</v>
      </c>
      <c r="C5968" s="1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  <c r="L5968" s="2" t="s">
        <v>11029</v>
      </c>
      <c r="M5968" s="2" t="s">
        <v>11028</v>
      </c>
      <c r="N5968" s="2" t="s">
        <v>11036</v>
      </c>
      <c r="O5968" s="2" t="s">
        <v>11037</v>
      </c>
      <c r="P5968" s="2" t="s">
        <v>11037</v>
      </c>
      <c r="Q5968" s="2">
        <f>AVERAGE(PerfRate[[#This Row],[EnvironmentSatisfaction]],PerfRate[[#This Row],[JobSatisfaction]],PerfRate[[#This Row],[RelationshipSatisfaction]])</f>
        <v>3.6666666666666665</v>
      </c>
      <c r="R5968" s="2">
        <f>PerfRate[[#This Row],[ManagerRating]] - PerfRate[[#This Row],[SelfRating]]</f>
        <v>-1</v>
      </c>
    </row>
    <row r="5969" spans="1:18">
      <c r="A5969" s="2" t="s">
        <v>10276</v>
      </c>
      <c r="B5969" s="2" t="s">
        <v>2537</v>
      </c>
      <c r="C5969" s="1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  <c r="L5969" s="2" t="s">
        <v>11031</v>
      </c>
      <c r="M5969" s="2" t="s">
        <v>11031</v>
      </c>
      <c r="N5969" s="2" t="s">
        <v>11036</v>
      </c>
      <c r="O5969" s="2" t="s">
        <v>11036</v>
      </c>
      <c r="P5969" s="2" t="s">
        <v>11037</v>
      </c>
      <c r="Q5969" s="2">
        <f>AVERAGE(PerfRate[[#This Row],[EnvironmentSatisfaction]],PerfRate[[#This Row],[JobSatisfaction]],PerfRate[[#This Row],[RelationshipSatisfaction]])</f>
        <v>3.3333333333333335</v>
      </c>
      <c r="R5969" s="2">
        <f>PerfRate[[#This Row],[ManagerRating]] - PerfRate[[#This Row],[SelfRating]]</f>
        <v>0</v>
      </c>
    </row>
    <row r="5970" spans="1:18">
      <c r="A5970" s="2" t="s">
        <v>10277</v>
      </c>
      <c r="B5970" s="2" t="s">
        <v>1212</v>
      </c>
      <c r="C5970" s="1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  <c r="L5970" s="2" t="s">
        <v>11030</v>
      </c>
      <c r="M5970" s="2" t="s">
        <v>11030</v>
      </c>
      <c r="N5970" s="2" t="s">
        <v>11038</v>
      </c>
      <c r="O5970" s="2" t="s">
        <v>11038</v>
      </c>
      <c r="P5970" s="2" t="s">
        <v>11035</v>
      </c>
      <c r="Q5970" s="2">
        <f>AVERAGE(PerfRate[[#This Row],[EnvironmentSatisfaction]],PerfRate[[#This Row],[JobSatisfaction]],PerfRate[[#This Row],[RelationshipSatisfaction]])</f>
        <v>4</v>
      </c>
      <c r="R5970" s="2">
        <f>PerfRate[[#This Row],[ManagerRating]] - PerfRate[[#This Row],[SelfRating]]</f>
        <v>0</v>
      </c>
    </row>
    <row r="5971" spans="1:18">
      <c r="A5971" s="2" t="s">
        <v>10278</v>
      </c>
      <c r="B5971" s="2" t="s">
        <v>2033</v>
      </c>
      <c r="C5971" s="1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  <c r="L5971" s="2" t="s">
        <v>11029</v>
      </c>
      <c r="M5971" s="2" t="s">
        <v>11028</v>
      </c>
      <c r="N5971" s="2" t="s">
        <v>11036</v>
      </c>
      <c r="O5971" s="2" t="s">
        <v>11037</v>
      </c>
      <c r="P5971" s="2" t="s">
        <v>11038</v>
      </c>
      <c r="Q5971" s="2">
        <f>AVERAGE(PerfRate[[#This Row],[EnvironmentSatisfaction]],PerfRate[[#This Row],[JobSatisfaction]],PerfRate[[#This Row],[RelationshipSatisfaction]])</f>
        <v>4</v>
      </c>
      <c r="R5971" s="2">
        <f>PerfRate[[#This Row],[ManagerRating]] - PerfRate[[#This Row],[SelfRating]]</f>
        <v>-1</v>
      </c>
    </row>
    <row r="5972" spans="1:18">
      <c r="A5972" s="2" t="s">
        <v>10279</v>
      </c>
      <c r="B5972" s="2" t="s">
        <v>2620</v>
      </c>
      <c r="C5972" s="1">
        <v>42009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  <c r="L5972" s="2" t="s">
        <v>11029</v>
      </c>
      <c r="M5972" s="2" t="s">
        <v>11028</v>
      </c>
      <c r="N5972" s="2" t="s">
        <v>11038</v>
      </c>
      <c r="O5972" s="2" t="s">
        <v>11037</v>
      </c>
      <c r="P5972" s="2" t="s">
        <v>11037</v>
      </c>
      <c r="Q5972" s="2">
        <f>AVERAGE(PerfRate[[#This Row],[EnvironmentSatisfaction]],PerfRate[[#This Row],[JobSatisfaction]],PerfRate[[#This Row],[RelationshipSatisfaction]])</f>
        <v>4.333333333333333</v>
      </c>
      <c r="R5972" s="2">
        <f>PerfRate[[#This Row],[ManagerRating]] - PerfRate[[#This Row],[SelfRating]]</f>
        <v>-1</v>
      </c>
    </row>
    <row r="5973" spans="1:18">
      <c r="A5973" s="2" t="s">
        <v>10280</v>
      </c>
      <c r="B5973" s="2" t="s">
        <v>3186</v>
      </c>
      <c r="C5973" s="1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  <c r="L5973" s="2" t="s">
        <v>11031</v>
      </c>
      <c r="M5973" s="2" t="s">
        <v>11030</v>
      </c>
      <c r="N5973" s="2" t="s">
        <v>11036</v>
      </c>
      <c r="O5973" s="2" t="s">
        <v>11037</v>
      </c>
      <c r="P5973" s="2" t="s">
        <v>11038</v>
      </c>
      <c r="Q5973" s="2">
        <f>AVERAGE(PerfRate[[#This Row],[EnvironmentSatisfaction]],PerfRate[[#This Row],[JobSatisfaction]],PerfRate[[#This Row],[RelationshipSatisfaction]])</f>
        <v>4</v>
      </c>
      <c r="R5973" s="2">
        <f>PerfRate[[#This Row],[ManagerRating]] - PerfRate[[#This Row],[SelfRating]]</f>
        <v>-1</v>
      </c>
    </row>
    <row r="5974" spans="1:18">
      <c r="A5974" s="2" t="s">
        <v>10281</v>
      </c>
      <c r="B5974" s="2" t="s">
        <v>4032</v>
      </c>
      <c r="C5974" s="1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  <c r="L5974" s="2" t="s">
        <v>11031</v>
      </c>
      <c r="M5974" s="2" t="s">
        <v>11030</v>
      </c>
      <c r="N5974" s="2" t="s">
        <v>11036</v>
      </c>
      <c r="O5974" s="2" t="s">
        <v>11034</v>
      </c>
      <c r="P5974" s="2" t="s">
        <v>11034</v>
      </c>
      <c r="Q5974" s="2">
        <f>AVERAGE(PerfRate[[#This Row],[EnvironmentSatisfaction]],PerfRate[[#This Row],[JobSatisfaction]],PerfRate[[#This Row],[RelationshipSatisfaction]])</f>
        <v>1.6666666666666667</v>
      </c>
      <c r="R5974" s="2">
        <f>PerfRate[[#This Row],[ManagerRating]] - PerfRate[[#This Row],[SelfRating]]</f>
        <v>-1</v>
      </c>
    </row>
    <row r="5975" spans="1:18">
      <c r="A5975" s="2" t="s">
        <v>10282</v>
      </c>
      <c r="B5975" s="2" t="s">
        <v>2392</v>
      </c>
      <c r="C5975" s="1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  <c r="L5975" s="2" t="s">
        <v>11029</v>
      </c>
      <c r="M5975" s="2" t="s">
        <v>11028</v>
      </c>
      <c r="N5975" s="2" t="s">
        <v>11034</v>
      </c>
      <c r="O5975" s="2" t="s">
        <v>11036</v>
      </c>
      <c r="P5975" s="2" t="s">
        <v>11035</v>
      </c>
      <c r="Q5975" s="2">
        <f>AVERAGE(PerfRate[[#This Row],[EnvironmentSatisfaction]],PerfRate[[#This Row],[JobSatisfaction]],PerfRate[[#This Row],[RelationshipSatisfaction]])</f>
        <v>2</v>
      </c>
      <c r="R5975" s="2">
        <f>PerfRate[[#This Row],[ManagerRating]] - PerfRate[[#This Row],[SelfRating]]</f>
        <v>-1</v>
      </c>
    </row>
    <row r="5976" spans="1:18">
      <c r="A5976" s="2" t="s">
        <v>10283</v>
      </c>
      <c r="B5976" s="2" t="s">
        <v>2917</v>
      </c>
      <c r="C5976" s="1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  <c r="L5976" s="2" t="s">
        <v>11029</v>
      </c>
      <c r="M5976" s="2" t="s">
        <v>11029</v>
      </c>
      <c r="N5976" s="2" t="s">
        <v>11034</v>
      </c>
      <c r="O5976" s="2" t="s">
        <v>11037</v>
      </c>
      <c r="P5976" s="2" t="s">
        <v>11037</v>
      </c>
      <c r="Q5976" s="2">
        <f>AVERAGE(PerfRate[[#This Row],[EnvironmentSatisfaction]],PerfRate[[#This Row],[JobSatisfaction]],PerfRate[[#This Row],[RelationshipSatisfaction]])</f>
        <v>3</v>
      </c>
      <c r="R5976" s="2">
        <f>PerfRate[[#This Row],[ManagerRating]] - PerfRate[[#This Row],[SelfRating]]</f>
        <v>0</v>
      </c>
    </row>
    <row r="5977" spans="1:18">
      <c r="A5977" s="2" t="s">
        <v>10284</v>
      </c>
      <c r="B5977" s="2" t="s">
        <v>1468</v>
      </c>
      <c r="C5977" s="1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  <c r="L5977" s="2" t="s">
        <v>11031</v>
      </c>
      <c r="M5977" s="2" t="s">
        <v>11030</v>
      </c>
      <c r="N5977" s="2" t="s">
        <v>11034</v>
      </c>
      <c r="O5977" s="2" t="s">
        <v>11037</v>
      </c>
      <c r="P5977" s="2" t="s">
        <v>11035</v>
      </c>
      <c r="Q5977" s="2">
        <f>AVERAGE(PerfRate[[#This Row],[EnvironmentSatisfaction]],PerfRate[[#This Row],[JobSatisfaction]],PerfRate[[#This Row],[RelationshipSatisfaction]])</f>
        <v>2.3333333333333335</v>
      </c>
      <c r="R5977" s="2">
        <f>PerfRate[[#This Row],[ManagerRating]] - PerfRate[[#This Row],[SelfRating]]</f>
        <v>-1</v>
      </c>
    </row>
    <row r="5978" spans="1:18">
      <c r="A5978" s="2" t="s">
        <v>10285</v>
      </c>
      <c r="B5978" s="2" t="s">
        <v>2219</v>
      </c>
      <c r="C5978" s="1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  <c r="L5978" s="2" t="s">
        <v>11030</v>
      </c>
      <c r="M5978" s="2" t="s">
        <v>11029</v>
      </c>
      <c r="N5978" s="2" t="s">
        <v>11037</v>
      </c>
      <c r="O5978" s="2" t="s">
        <v>11038</v>
      </c>
      <c r="P5978" s="2" t="s">
        <v>11035</v>
      </c>
      <c r="Q5978" s="2">
        <f>AVERAGE(PerfRate[[#This Row],[EnvironmentSatisfaction]],PerfRate[[#This Row],[JobSatisfaction]],PerfRate[[#This Row],[RelationshipSatisfaction]])</f>
        <v>3.6666666666666665</v>
      </c>
      <c r="R5978" s="2">
        <f>PerfRate[[#This Row],[ManagerRating]] - PerfRate[[#This Row],[SelfRating]]</f>
        <v>-1</v>
      </c>
    </row>
    <row r="5979" spans="1:18">
      <c r="A5979" s="2" t="s">
        <v>10286</v>
      </c>
      <c r="B5979" s="2" t="s">
        <v>2767</v>
      </c>
      <c r="C5979" s="1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  <c r="L5979" s="2" t="s">
        <v>11029</v>
      </c>
      <c r="M5979" s="2" t="s">
        <v>11028</v>
      </c>
      <c r="N5979" s="2" t="s">
        <v>11038</v>
      </c>
      <c r="O5979" s="2" t="s">
        <v>11036</v>
      </c>
      <c r="P5979" s="2" t="s">
        <v>11037</v>
      </c>
      <c r="Q5979" s="2">
        <f>AVERAGE(PerfRate[[#This Row],[EnvironmentSatisfaction]],PerfRate[[#This Row],[JobSatisfaction]],PerfRate[[#This Row],[RelationshipSatisfaction]])</f>
        <v>4</v>
      </c>
      <c r="R5979" s="2">
        <f>PerfRate[[#This Row],[ManagerRating]] - PerfRate[[#This Row],[SelfRating]]</f>
        <v>-1</v>
      </c>
    </row>
    <row r="5980" spans="1:18">
      <c r="A5980" s="2" t="s">
        <v>10287</v>
      </c>
      <c r="B5980" s="2" t="s">
        <v>2511</v>
      </c>
      <c r="C5980" s="1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  <c r="L5980" s="2" t="s">
        <v>11029</v>
      </c>
      <c r="M5980" s="2" t="s">
        <v>11029</v>
      </c>
      <c r="N5980" s="2" t="s">
        <v>11037</v>
      </c>
      <c r="O5980" s="2" t="s">
        <v>11037</v>
      </c>
      <c r="P5980" s="2" t="s">
        <v>11035</v>
      </c>
      <c r="Q5980" s="2">
        <f>AVERAGE(PerfRate[[#This Row],[EnvironmentSatisfaction]],PerfRate[[#This Row],[JobSatisfaction]],PerfRate[[#This Row],[RelationshipSatisfaction]])</f>
        <v>3.3333333333333335</v>
      </c>
      <c r="R5980" s="2">
        <f>PerfRate[[#This Row],[ManagerRating]] - PerfRate[[#This Row],[SelfRating]]</f>
        <v>0</v>
      </c>
    </row>
    <row r="5981" spans="1:18">
      <c r="A5981" s="2" t="s">
        <v>10288</v>
      </c>
      <c r="B5981" s="2" t="s">
        <v>1602</v>
      </c>
      <c r="C5981" s="1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  <c r="L5981" s="2" t="s">
        <v>11030</v>
      </c>
      <c r="M5981" s="2" t="s">
        <v>11030</v>
      </c>
      <c r="N5981" s="2" t="s">
        <v>11037</v>
      </c>
      <c r="O5981" s="2" t="s">
        <v>11036</v>
      </c>
      <c r="P5981" s="2" t="s">
        <v>11038</v>
      </c>
      <c r="Q5981" s="2">
        <f>AVERAGE(PerfRate[[#This Row],[EnvironmentSatisfaction]],PerfRate[[#This Row],[JobSatisfaction]],PerfRate[[#This Row],[RelationshipSatisfaction]])</f>
        <v>4</v>
      </c>
      <c r="R5981" s="2">
        <f>PerfRate[[#This Row],[ManagerRating]] - PerfRate[[#This Row],[SelfRating]]</f>
        <v>0</v>
      </c>
    </row>
    <row r="5982" spans="1:18">
      <c r="A5982" s="2" t="s">
        <v>10289</v>
      </c>
      <c r="B5982" s="2" t="s">
        <v>976</v>
      </c>
      <c r="C5982" s="1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  <c r="L5982" s="2" t="s">
        <v>11029</v>
      </c>
      <c r="M5982" s="2" t="s">
        <v>11029</v>
      </c>
      <c r="N5982" s="2" t="s">
        <v>11034</v>
      </c>
      <c r="O5982" s="2" t="s">
        <v>11034</v>
      </c>
      <c r="P5982" s="2" t="s">
        <v>11035</v>
      </c>
      <c r="Q5982" s="2">
        <f>AVERAGE(PerfRate[[#This Row],[EnvironmentSatisfaction]],PerfRate[[#This Row],[JobSatisfaction]],PerfRate[[#This Row],[RelationshipSatisfaction]])</f>
        <v>1.3333333333333333</v>
      </c>
      <c r="R5982" s="2">
        <f>PerfRate[[#This Row],[ManagerRating]] - PerfRate[[#This Row],[SelfRating]]</f>
        <v>0</v>
      </c>
    </row>
    <row r="5983" spans="1:18">
      <c r="A5983" s="2" t="s">
        <v>10290</v>
      </c>
      <c r="B5983" s="2" t="s">
        <v>4118</v>
      </c>
      <c r="C5983" s="1">
        <v>42009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  <c r="L5983" s="2" t="s">
        <v>11030</v>
      </c>
      <c r="M5983" s="2" t="s">
        <v>11029</v>
      </c>
      <c r="N5983" s="2" t="s">
        <v>11036</v>
      </c>
      <c r="O5983" s="2" t="s">
        <v>11037</v>
      </c>
      <c r="P5983" s="2" t="s">
        <v>11035</v>
      </c>
      <c r="Q5983" s="2">
        <f>AVERAGE(PerfRate[[#This Row],[EnvironmentSatisfaction]],PerfRate[[#This Row],[JobSatisfaction]],PerfRate[[#This Row],[RelationshipSatisfaction]])</f>
        <v>3</v>
      </c>
      <c r="R5983" s="2">
        <f>PerfRate[[#This Row],[ManagerRating]] - PerfRate[[#This Row],[SelfRating]]</f>
        <v>-1</v>
      </c>
    </row>
    <row r="5984" spans="1:18">
      <c r="A5984" s="2" t="s">
        <v>10291</v>
      </c>
      <c r="B5984" s="2" t="s">
        <v>2961</v>
      </c>
      <c r="C5984" s="1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  <c r="L5984" s="2" t="s">
        <v>11030</v>
      </c>
      <c r="M5984" s="2" t="s">
        <v>11030</v>
      </c>
      <c r="N5984" s="2" t="s">
        <v>11037</v>
      </c>
      <c r="O5984" s="2" t="s">
        <v>11035</v>
      </c>
      <c r="P5984" s="2" t="s">
        <v>11035</v>
      </c>
      <c r="Q5984" s="2">
        <f>AVERAGE(PerfRate[[#This Row],[EnvironmentSatisfaction]],PerfRate[[#This Row],[JobSatisfaction]],PerfRate[[#This Row],[RelationshipSatisfaction]])</f>
        <v>2.6666666666666665</v>
      </c>
      <c r="R5984" s="2">
        <f>PerfRate[[#This Row],[ManagerRating]] - PerfRate[[#This Row],[SelfRating]]</f>
        <v>0</v>
      </c>
    </row>
    <row r="5985" spans="1:18">
      <c r="A5985" s="2" t="s">
        <v>10292</v>
      </c>
      <c r="B5985" s="2" t="s">
        <v>1578</v>
      </c>
      <c r="C5985" s="1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  <c r="L5985" s="2" t="s">
        <v>11029</v>
      </c>
      <c r="M5985" s="2" t="s">
        <v>11029</v>
      </c>
      <c r="N5985" s="2" t="s">
        <v>11037</v>
      </c>
      <c r="O5985" s="2" t="s">
        <v>11038</v>
      </c>
      <c r="P5985" s="2" t="s">
        <v>11037</v>
      </c>
      <c r="Q5985" s="2">
        <f>AVERAGE(PerfRate[[#This Row],[EnvironmentSatisfaction]],PerfRate[[#This Row],[JobSatisfaction]],PerfRate[[#This Row],[RelationshipSatisfaction]])</f>
        <v>4.333333333333333</v>
      </c>
      <c r="R5985" s="2">
        <f>PerfRate[[#This Row],[ManagerRating]] - PerfRate[[#This Row],[SelfRating]]</f>
        <v>0</v>
      </c>
    </row>
    <row r="5986" spans="1:18">
      <c r="A5986" s="2" t="s">
        <v>10293</v>
      </c>
      <c r="B5986" s="2" t="s">
        <v>2348</v>
      </c>
      <c r="C5986" s="1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  <c r="L5986" s="2" t="s">
        <v>11030</v>
      </c>
      <c r="M5986" s="2" t="s">
        <v>11030</v>
      </c>
      <c r="N5986" s="2" t="s">
        <v>11038</v>
      </c>
      <c r="O5986" s="2" t="s">
        <v>11037</v>
      </c>
      <c r="P5986" s="2" t="s">
        <v>11035</v>
      </c>
      <c r="Q5986" s="2">
        <f>AVERAGE(PerfRate[[#This Row],[EnvironmentSatisfaction]],PerfRate[[#This Row],[JobSatisfaction]],PerfRate[[#This Row],[RelationshipSatisfaction]])</f>
        <v>3.6666666666666665</v>
      </c>
      <c r="R5986" s="2">
        <f>PerfRate[[#This Row],[ManagerRating]] - PerfRate[[#This Row],[SelfRating]]</f>
        <v>0</v>
      </c>
    </row>
    <row r="5987" spans="1:18">
      <c r="A5987" s="2" t="s">
        <v>10294</v>
      </c>
      <c r="B5987" s="2" t="s">
        <v>3335</v>
      </c>
      <c r="C5987" s="1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  <c r="L5987" s="2" t="s">
        <v>11030</v>
      </c>
      <c r="M5987" s="2" t="s">
        <v>11030</v>
      </c>
      <c r="N5987" s="2" t="s">
        <v>11037</v>
      </c>
      <c r="O5987" s="2" t="s">
        <v>11036</v>
      </c>
      <c r="P5987" s="2" t="s">
        <v>11036</v>
      </c>
      <c r="Q5987" s="2">
        <f>AVERAGE(PerfRate[[#This Row],[EnvironmentSatisfaction]],PerfRate[[#This Row],[JobSatisfaction]],PerfRate[[#This Row],[RelationshipSatisfaction]])</f>
        <v>3.3333333333333335</v>
      </c>
      <c r="R5987" s="2">
        <f>PerfRate[[#This Row],[ManagerRating]] - PerfRate[[#This Row],[SelfRating]]</f>
        <v>0</v>
      </c>
    </row>
    <row r="5988" spans="1:18">
      <c r="A5988" s="2" t="s">
        <v>10295</v>
      </c>
      <c r="B5988" s="2" t="s">
        <v>782</v>
      </c>
      <c r="C5988" s="1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  <c r="L5988" s="2" t="s">
        <v>11030</v>
      </c>
      <c r="M5988" s="2" t="s">
        <v>11030</v>
      </c>
      <c r="N5988" s="2" t="s">
        <v>11036</v>
      </c>
      <c r="O5988" s="2" t="s">
        <v>11036</v>
      </c>
      <c r="P5988" s="2" t="s">
        <v>11037</v>
      </c>
      <c r="Q5988" s="2">
        <f>AVERAGE(PerfRate[[#This Row],[EnvironmentSatisfaction]],PerfRate[[#This Row],[JobSatisfaction]],PerfRate[[#This Row],[RelationshipSatisfaction]])</f>
        <v>3.3333333333333335</v>
      </c>
      <c r="R5988" s="2">
        <f>PerfRate[[#This Row],[ManagerRating]] - PerfRate[[#This Row],[SelfRating]]</f>
        <v>0</v>
      </c>
    </row>
    <row r="5989" spans="1:18">
      <c r="A5989" s="2" t="s">
        <v>10296</v>
      </c>
      <c r="B5989" s="2" t="s">
        <v>2533</v>
      </c>
      <c r="C5989" s="1">
        <v>44570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  <c r="L5989" s="2" t="s">
        <v>11030</v>
      </c>
      <c r="M5989" s="2" t="s">
        <v>11029</v>
      </c>
      <c r="N5989" s="2" t="s">
        <v>11038</v>
      </c>
      <c r="O5989" s="2" t="s">
        <v>11036</v>
      </c>
      <c r="P5989" s="2" t="s">
        <v>11036</v>
      </c>
      <c r="Q5989" s="2">
        <f>AVERAGE(PerfRate[[#This Row],[EnvironmentSatisfaction]],PerfRate[[#This Row],[JobSatisfaction]],PerfRate[[#This Row],[RelationshipSatisfaction]])</f>
        <v>3.6666666666666665</v>
      </c>
      <c r="R5989" s="2">
        <f>PerfRate[[#This Row],[ManagerRating]] - PerfRate[[#This Row],[SelfRating]]</f>
        <v>-1</v>
      </c>
    </row>
    <row r="5990" spans="1:18">
      <c r="A5990" s="2" t="s">
        <v>10297</v>
      </c>
      <c r="B5990" s="2" t="s">
        <v>847</v>
      </c>
      <c r="C5990" s="1">
        <v>44570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  <c r="L5990" s="2" t="s">
        <v>11030</v>
      </c>
      <c r="M5990" s="2" t="s">
        <v>11029</v>
      </c>
      <c r="N5990" s="2" t="s">
        <v>11038</v>
      </c>
      <c r="O5990" s="2" t="s">
        <v>11038</v>
      </c>
      <c r="P5990" s="2" t="s">
        <v>11035</v>
      </c>
      <c r="Q5990" s="2">
        <f>AVERAGE(PerfRate[[#This Row],[EnvironmentSatisfaction]],PerfRate[[#This Row],[JobSatisfaction]],PerfRate[[#This Row],[RelationshipSatisfaction]])</f>
        <v>4</v>
      </c>
      <c r="R5990" s="2">
        <f>PerfRate[[#This Row],[ManagerRating]] - PerfRate[[#This Row],[SelfRating]]</f>
        <v>-1</v>
      </c>
    </row>
    <row r="5991" spans="1:18">
      <c r="A5991" s="2" t="s">
        <v>10298</v>
      </c>
      <c r="B5991" s="2" t="s">
        <v>1984</v>
      </c>
      <c r="C5991" s="1">
        <v>44570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  <c r="L5991" s="2" t="s">
        <v>11031</v>
      </c>
      <c r="M5991" s="2" t="s">
        <v>11030</v>
      </c>
      <c r="N5991" s="2" t="s">
        <v>11038</v>
      </c>
      <c r="O5991" s="2" t="s">
        <v>11036</v>
      </c>
      <c r="P5991" s="2" t="s">
        <v>11038</v>
      </c>
      <c r="Q5991" s="2">
        <f>AVERAGE(PerfRate[[#This Row],[EnvironmentSatisfaction]],PerfRate[[#This Row],[JobSatisfaction]],PerfRate[[#This Row],[RelationshipSatisfaction]])</f>
        <v>4.333333333333333</v>
      </c>
      <c r="R5991" s="2">
        <f>PerfRate[[#This Row],[ManagerRating]] - PerfRate[[#This Row],[SelfRating]]</f>
        <v>-1</v>
      </c>
    </row>
    <row r="5992" spans="1:18">
      <c r="A5992" s="2" t="s">
        <v>10299</v>
      </c>
      <c r="B5992" s="2" t="s">
        <v>886</v>
      </c>
      <c r="C5992" s="1">
        <v>44601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  <c r="L5992" s="2" t="s">
        <v>11030</v>
      </c>
      <c r="M5992" s="2" t="s">
        <v>11030</v>
      </c>
      <c r="N5992" s="2" t="s">
        <v>11038</v>
      </c>
      <c r="O5992" s="2" t="s">
        <v>11035</v>
      </c>
      <c r="P5992" s="2" t="s">
        <v>11038</v>
      </c>
      <c r="Q5992" s="2">
        <f>AVERAGE(PerfRate[[#This Row],[EnvironmentSatisfaction]],PerfRate[[#This Row],[JobSatisfaction]],PerfRate[[#This Row],[RelationshipSatisfaction]])</f>
        <v>4</v>
      </c>
      <c r="R5992" s="2">
        <f>PerfRate[[#This Row],[ManagerRating]] - PerfRate[[#This Row],[SelfRating]]</f>
        <v>0</v>
      </c>
    </row>
    <row r="5993" spans="1:18">
      <c r="A5993" s="2" t="s">
        <v>10300</v>
      </c>
      <c r="B5993" s="2" t="s">
        <v>1232</v>
      </c>
      <c r="C5993" s="1">
        <v>44601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  <c r="L5993" s="2" t="s">
        <v>11029</v>
      </c>
      <c r="M5993" s="2" t="s">
        <v>11029</v>
      </c>
      <c r="N5993" s="2" t="s">
        <v>11036</v>
      </c>
      <c r="O5993" s="2" t="s">
        <v>11037</v>
      </c>
      <c r="P5993" s="2" t="s">
        <v>11038</v>
      </c>
      <c r="Q5993" s="2">
        <f>AVERAGE(PerfRate[[#This Row],[EnvironmentSatisfaction]],PerfRate[[#This Row],[JobSatisfaction]],PerfRate[[#This Row],[RelationshipSatisfaction]])</f>
        <v>4</v>
      </c>
      <c r="R5993" s="2">
        <f>PerfRate[[#This Row],[ManagerRating]] - PerfRate[[#This Row],[SelfRating]]</f>
        <v>0</v>
      </c>
    </row>
    <row r="5994" spans="1:18">
      <c r="A5994" s="2" t="s">
        <v>10301</v>
      </c>
      <c r="B5994" s="2" t="s">
        <v>817</v>
      </c>
      <c r="C5994" s="1">
        <v>42040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  <c r="L5994" s="2" t="s">
        <v>11031</v>
      </c>
      <c r="M5994" s="2" t="s">
        <v>11030</v>
      </c>
      <c r="N5994" s="2" t="s">
        <v>11036</v>
      </c>
      <c r="O5994" s="2" t="s">
        <v>11038</v>
      </c>
      <c r="P5994" s="2" t="s">
        <v>11037</v>
      </c>
      <c r="Q5994" s="2">
        <f>AVERAGE(PerfRate[[#This Row],[EnvironmentSatisfaction]],PerfRate[[#This Row],[JobSatisfaction]],PerfRate[[#This Row],[RelationshipSatisfaction]])</f>
        <v>4</v>
      </c>
      <c r="R5994" s="2">
        <f>PerfRate[[#This Row],[ManagerRating]] - PerfRate[[#This Row],[SelfRating]]</f>
        <v>-1</v>
      </c>
    </row>
    <row r="5995" spans="1:18">
      <c r="A5995" s="2" t="s">
        <v>10302</v>
      </c>
      <c r="B5995" s="2" t="s">
        <v>2140</v>
      </c>
      <c r="C5995" s="1">
        <v>44601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  <c r="L5995" s="2" t="s">
        <v>11030</v>
      </c>
      <c r="M5995" s="2" t="s">
        <v>11030</v>
      </c>
      <c r="N5995" s="2" t="s">
        <v>11037</v>
      </c>
      <c r="O5995" s="2" t="s">
        <v>11038</v>
      </c>
      <c r="P5995" s="2" t="s">
        <v>11036</v>
      </c>
      <c r="Q5995" s="2">
        <f>AVERAGE(PerfRate[[#This Row],[EnvironmentSatisfaction]],PerfRate[[#This Row],[JobSatisfaction]],PerfRate[[#This Row],[RelationshipSatisfaction]])</f>
        <v>4</v>
      </c>
      <c r="R5995" s="2">
        <f>PerfRate[[#This Row],[ManagerRating]] - PerfRate[[#This Row],[SelfRating]]</f>
        <v>0</v>
      </c>
    </row>
    <row r="5996" spans="1:18">
      <c r="A5996" s="2" t="s">
        <v>10303</v>
      </c>
      <c r="B5996" s="2" t="s">
        <v>1807</v>
      </c>
      <c r="C5996" s="1">
        <v>44601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  <c r="L5996" s="2" t="s">
        <v>11030</v>
      </c>
      <c r="M5996" s="2" t="s">
        <v>11029</v>
      </c>
      <c r="N5996" s="2" t="s">
        <v>11036</v>
      </c>
      <c r="O5996" s="2" t="s">
        <v>11035</v>
      </c>
      <c r="P5996" s="2" t="s">
        <v>11035</v>
      </c>
      <c r="Q5996" s="2">
        <f>AVERAGE(PerfRate[[#This Row],[EnvironmentSatisfaction]],PerfRate[[#This Row],[JobSatisfaction]],PerfRate[[#This Row],[RelationshipSatisfaction]])</f>
        <v>2.3333333333333335</v>
      </c>
      <c r="R5996" s="2">
        <f>PerfRate[[#This Row],[ManagerRating]] - PerfRate[[#This Row],[SelfRating]]</f>
        <v>-1</v>
      </c>
    </row>
    <row r="5997" spans="1:18">
      <c r="A5997" s="2" t="s">
        <v>10304</v>
      </c>
      <c r="B5997" s="2" t="s">
        <v>1797</v>
      </c>
      <c r="C5997" s="1">
        <v>44601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  <c r="L5997" s="2" t="s">
        <v>11029</v>
      </c>
      <c r="M5997" s="2" t="s">
        <v>11029</v>
      </c>
      <c r="N5997" s="2" t="s">
        <v>11037</v>
      </c>
      <c r="O5997" s="2" t="s">
        <v>11036</v>
      </c>
      <c r="P5997" s="2" t="s">
        <v>11035</v>
      </c>
      <c r="Q5997" s="2">
        <f>AVERAGE(PerfRate[[#This Row],[EnvironmentSatisfaction]],PerfRate[[#This Row],[JobSatisfaction]],PerfRate[[#This Row],[RelationshipSatisfaction]])</f>
        <v>3</v>
      </c>
      <c r="R5997" s="2">
        <f>PerfRate[[#This Row],[ManagerRating]] - PerfRate[[#This Row],[SelfRating]]</f>
        <v>0</v>
      </c>
    </row>
    <row r="5998" spans="1:18">
      <c r="A5998" s="2" t="s">
        <v>10305</v>
      </c>
      <c r="B5998" s="2" t="s">
        <v>4222</v>
      </c>
      <c r="C5998" s="1">
        <v>44629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  <c r="L5998" s="2" t="s">
        <v>11030</v>
      </c>
      <c r="M5998" s="2" t="s">
        <v>11030</v>
      </c>
      <c r="N5998" s="2" t="s">
        <v>11036</v>
      </c>
      <c r="O5998" s="2" t="s">
        <v>11037</v>
      </c>
      <c r="P5998" s="2" t="s">
        <v>11035</v>
      </c>
      <c r="Q5998" s="2">
        <f>AVERAGE(PerfRate[[#This Row],[EnvironmentSatisfaction]],PerfRate[[#This Row],[JobSatisfaction]],PerfRate[[#This Row],[RelationshipSatisfaction]])</f>
        <v>3</v>
      </c>
      <c r="R5998" s="2">
        <f>PerfRate[[#This Row],[ManagerRating]] - PerfRate[[#This Row],[SelfRating]]</f>
        <v>0</v>
      </c>
    </row>
    <row r="5999" spans="1:18">
      <c r="A5999" s="2" t="s">
        <v>10306</v>
      </c>
      <c r="B5999" s="2" t="s">
        <v>1563</v>
      </c>
      <c r="C5999" s="1">
        <v>44629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  <c r="L5999" s="2" t="s">
        <v>11030</v>
      </c>
      <c r="M5999" s="2" t="s">
        <v>11030</v>
      </c>
      <c r="N5999" s="2" t="s">
        <v>11036</v>
      </c>
      <c r="O5999" s="2" t="s">
        <v>11036</v>
      </c>
      <c r="P5999" s="2" t="s">
        <v>11037</v>
      </c>
      <c r="Q5999" s="2">
        <f>AVERAGE(PerfRate[[#This Row],[EnvironmentSatisfaction]],PerfRate[[#This Row],[JobSatisfaction]],PerfRate[[#This Row],[RelationshipSatisfaction]])</f>
        <v>3.3333333333333335</v>
      </c>
      <c r="R5999" s="2">
        <f>PerfRate[[#This Row],[ManagerRating]] - PerfRate[[#This Row],[SelfRating]]</f>
        <v>0</v>
      </c>
    </row>
    <row r="6000" spans="1:18">
      <c r="A6000" s="2" t="s">
        <v>10307</v>
      </c>
      <c r="B6000" s="2" t="s">
        <v>1924</v>
      </c>
      <c r="C6000" s="1">
        <v>44629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  <c r="L6000" s="2" t="s">
        <v>11030</v>
      </c>
      <c r="M6000" s="2" t="s">
        <v>11029</v>
      </c>
      <c r="N6000" s="2" t="s">
        <v>11037</v>
      </c>
      <c r="O6000" s="2" t="s">
        <v>11035</v>
      </c>
      <c r="P6000" s="2" t="s">
        <v>11037</v>
      </c>
      <c r="Q6000" s="2">
        <f>AVERAGE(PerfRate[[#This Row],[EnvironmentSatisfaction]],PerfRate[[#This Row],[JobSatisfaction]],PerfRate[[#This Row],[RelationshipSatisfaction]])</f>
        <v>3.3333333333333335</v>
      </c>
      <c r="R6000" s="2">
        <f>PerfRate[[#This Row],[ManagerRating]] - PerfRate[[#This Row],[SelfRating]]</f>
        <v>-1</v>
      </c>
    </row>
    <row r="6001" spans="1:18">
      <c r="A6001" s="2" t="s">
        <v>10308</v>
      </c>
      <c r="B6001" s="2" t="s">
        <v>1374</v>
      </c>
      <c r="C6001" s="1">
        <v>44660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  <c r="L6001" s="2" t="s">
        <v>11029</v>
      </c>
      <c r="M6001" s="2" t="s">
        <v>11029</v>
      </c>
      <c r="N6001" s="2" t="s">
        <v>11036</v>
      </c>
      <c r="O6001" s="2" t="s">
        <v>11036</v>
      </c>
      <c r="P6001" s="2" t="s">
        <v>11036</v>
      </c>
      <c r="Q6001" s="2">
        <f>AVERAGE(PerfRate[[#This Row],[EnvironmentSatisfaction]],PerfRate[[#This Row],[JobSatisfaction]],PerfRate[[#This Row],[RelationshipSatisfaction]])</f>
        <v>3</v>
      </c>
      <c r="R6001" s="2">
        <f>PerfRate[[#This Row],[ManagerRating]] - PerfRate[[#This Row],[SelfRating]]</f>
        <v>0</v>
      </c>
    </row>
    <row r="6002" spans="1:18">
      <c r="A6002" s="2" t="s">
        <v>10309</v>
      </c>
      <c r="B6002" s="2" t="s">
        <v>2778</v>
      </c>
      <c r="C6002" s="1">
        <v>44660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  <c r="L6002" s="2" t="s">
        <v>11030</v>
      </c>
      <c r="M6002" s="2" t="s">
        <v>11029</v>
      </c>
      <c r="N6002" s="2" t="s">
        <v>11036</v>
      </c>
      <c r="O6002" s="2" t="s">
        <v>11037</v>
      </c>
      <c r="P6002" s="2" t="s">
        <v>11037</v>
      </c>
      <c r="Q6002" s="2">
        <f>AVERAGE(PerfRate[[#This Row],[EnvironmentSatisfaction]],PerfRate[[#This Row],[JobSatisfaction]],PerfRate[[#This Row],[RelationshipSatisfaction]])</f>
        <v>3.6666666666666665</v>
      </c>
      <c r="R6002" s="2">
        <f>PerfRate[[#This Row],[ManagerRating]] - PerfRate[[#This Row],[SelfRating]]</f>
        <v>-1</v>
      </c>
    </row>
    <row r="6003" spans="1:18">
      <c r="A6003" s="2" t="s">
        <v>10310</v>
      </c>
      <c r="B6003" s="2" t="s">
        <v>604</v>
      </c>
      <c r="C6003" s="1">
        <v>44690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  <c r="L6003" s="2" t="s">
        <v>11031</v>
      </c>
      <c r="M6003" s="2" t="s">
        <v>11030</v>
      </c>
      <c r="N6003" s="2" t="s">
        <v>11038</v>
      </c>
      <c r="O6003" s="2" t="s">
        <v>11035</v>
      </c>
      <c r="P6003" s="2" t="s">
        <v>11038</v>
      </c>
      <c r="Q6003" s="2">
        <f>AVERAGE(PerfRate[[#This Row],[EnvironmentSatisfaction]],PerfRate[[#This Row],[JobSatisfaction]],PerfRate[[#This Row],[RelationshipSatisfaction]])</f>
        <v>4</v>
      </c>
      <c r="R6003" s="2">
        <f>PerfRate[[#This Row],[ManagerRating]] - PerfRate[[#This Row],[SelfRating]]</f>
        <v>-1</v>
      </c>
    </row>
    <row r="6004" spans="1:18">
      <c r="A6004" s="2" t="s">
        <v>10311</v>
      </c>
      <c r="B6004" s="2" t="s">
        <v>3492</v>
      </c>
      <c r="C6004" s="1">
        <v>44690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  <c r="L6004" s="2" t="s">
        <v>11031</v>
      </c>
      <c r="M6004" s="2" t="s">
        <v>11031</v>
      </c>
      <c r="N6004" s="2" t="s">
        <v>11036</v>
      </c>
      <c r="O6004" s="2" t="s">
        <v>11036</v>
      </c>
      <c r="P6004" s="2" t="s">
        <v>11037</v>
      </c>
      <c r="Q6004" s="2">
        <f>AVERAGE(PerfRate[[#This Row],[EnvironmentSatisfaction]],PerfRate[[#This Row],[JobSatisfaction]],PerfRate[[#This Row],[RelationshipSatisfaction]])</f>
        <v>3.3333333333333335</v>
      </c>
      <c r="R6004" s="2">
        <f>PerfRate[[#This Row],[ManagerRating]] - PerfRate[[#This Row],[SelfRating]]</f>
        <v>0</v>
      </c>
    </row>
    <row r="6005" spans="1:18">
      <c r="A6005" s="2" t="s">
        <v>10312</v>
      </c>
      <c r="B6005" s="2" t="s">
        <v>2115</v>
      </c>
      <c r="C6005" s="1">
        <v>41277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  <c r="L6005" s="2" t="s">
        <v>11031</v>
      </c>
      <c r="M6005" s="2" t="s">
        <v>11031</v>
      </c>
      <c r="N6005" s="2" t="s">
        <v>11036</v>
      </c>
      <c r="O6005" s="2" t="s">
        <v>11036</v>
      </c>
      <c r="P6005" s="2" t="s">
        <v>11037</v>
      </c>
      <c r="Q6005" s="2">
        <f>AVERAGE(PerfRate[[#This Row],[EnvironmentSatisfaction]],PerfRate[[#This Row],[JobSatisfaction]],PerfRate[[#This Row],[RelationshipSatisfaction]])</f>
        <v>3.3333333333333335</v>
      </c>
      <c r="R6005" s="2">
        <f>PerfRate[[#This Row],[ManagerRating]] - PerfRate[[#This Row],[SelfRating]]</f>
        <v>0</v>
      </c>
    </row>
    <row r="6006" spans="1:18">
      <c r="A6006" s="2" t="s">
        <v>10313</v>
      </c>
      <c r="B6006" s="2" t="s">
        <v>2653</v>
      </c>
      <c r="C6006" s="1">
        <v>42040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  <c r="L6006" s="2" t="s">
        <v>11031</v>
      </c>
      <c r="M6006" s="2" t="s">
        <v>11030</v>
      </c>
      <c r="N6006" s="2" t="s">
        <v>11038</v>
      </c>
      <c r="O6006" s="2" t="s">
        <v>11037</v>
      </c>
      <c r="P6006" s="2" t="s">
        <v>11038</v>
      </c>
      <c r="Q6006" s="2">
        <f>AVERAGE(PerfRate[[#This Row],[EnvironmentSatisfaction]],PerfRate[[#This Row],[JobSatisfaction]],PerfRate[[#This Row],[RelationshipSatisfaction]])</f>
        <v>4.666666666666667</v>
      </c>
      <c r="R6006" s="2">
        <f>PerfRate[[#This Row],[ManagerRating]] - PerfRate[[#This Row],[SelfRating]]</f>
        <v>-1</v>
      </c>
    </row>
    <row r="6007" spans="1:18">
      <c r="A6007" s="2" t="s">
        <v>10314</v>
      </c>
      <c r="B6007" s="2" t="s">
        <v>3462</v>
      </c>
      <c r="C6007" s="1">
        <v>44690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  <c r="L6007" s="2" t="s">
        <v>11031</v>
      </c>
      <c r="M6007" s="2" t="s">
        <v>11030</v>
      </c>
      <c r="N6007" s="2" t="s">
        <v>11036</v>
      </c>
      <c r="O6007" s="2" t="s">
        <v>11035</v>
      </c>
      <c r="P6007" s="2" t="s">
        <v>11038</v>
      </c>
      <c r="Q6007" s="2">
        <f>AVERAGE(PerfRate[[#This Row],[EnvironmentSatisfaction]],PerfRate[[#This Row],[JobSatisfaction]],PerfRate[[#This Row],[RelationshipSatisfaction]])</f>
        <v>3.3333333333333335</v>
      </c>
      <c r="R6007" s="2">
        <f>PerfRate[[#This Row],[ManagerRating]] - PerfRate[[#This Row],[SelfRating]]</f>
        <v>-1</v>
      </c>
    </row>
    <row r="6008" spans="1:18">
      <c r="A6008" s="2" t="s">
        <v>10315</v>
      </c>
      <c r="B6008" s="2" t="s">
        <v>3353</v>
      </c>
      <c r="C6008" s="1">
        <v>44751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  <c r="L6008" s="2" t="s">
        <v>11029</v>
      </c>
      <c r="M6008" s="2" t="s">
        <v>11028</v>
      </c>
      <c r="N6008" s="2" t="s">
        <v>11035</v>
      </c>
      <c r="O6008" s="2" t="s">
        <v>11035</v>
      </c>
      <c r="P6008" s="2" t="s">
        <v>11034</v>
      </c>
      <c r="Q6008" s="2">
        <f>AVERAGE(PerfRate[[#This Row],[EnvironmentSatisfaction]],PerfRate[[#This Row],[JobSatisfaction]],PerfRate[[#This Row],[RelationshipSatisfaction]])</f>
        <v>1.6666666666666667</v>
      </c>
      <c r="R6008" s="2">
        <f>PerfRate[[#This Row],[ManagerRating]] - PerfRate[[#This Row],[SelfRating]]</f>
        <v>-1</v>
      </c>
    </row>
    <row r="6009" spans="1:18">
      <c r="A6009" s="2" t="s">
        <v>10316</v>
      </c>
      <c r="B6009" s="2" t="s">
        <v>1377</v>
      </c>
      <c r="C6009" s="1">
        <v>44751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  <c r="L6009" s="2" t="s">
        <v>11031</v>
      </c>
      <c r="M6009" s="2" t="s">
        <v>11031</v>
      </c>
      <c r="N6009" s="2" t="s">
        <v>11036</v>
      </c>
      <c r="O6009" s="2" t="s">
        <v>11037</v>
      </c>
      <c r="P6009" s="2" t="s">
        <v>11037</v>
      </c>
      <c r="Q6009" s="2">
        <f>AVERAGE(PerfRate[[#This Row],[EnvironmentSatisfaction]],PerfRate[[#This Row],[JobSatisfaction]],PerfRate[[#This Row],[RelationshipSatisfaction]])</f>
        <v>3.6666666666666665</v>
      </c>
      <c r="R6009" s="2">
        <f>PerfRate[[#This Row],[ManagerRating]] - PerfRate[[#This Row],[SelfRating]]</f>
        <v>0</v>
      </c>
    </row>
    <row r="6010" spans="1:18">
      <c r="A6010" s="2" t="s">
        <v>10317</v>
      </c>
      <c r="B6010" s="2" t="s">
        <v>2239</v>
      </c>
      <c r="C6010" s="1">
        <v>44751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  <c r="L6010" s="2" t="s">
        <v>11029</v>
      </c>
      <c r="M6010" s="2" t="s">
        <v>11028</v>
      </c>
      <c r="N6010" s="2" t="s">
        <v>11037</v>
      </c>
      <c r="O6010" s="2" t="s">
        <v>11038</v>
      </c>
      <c r="P6010" s="2" t="s">
        <v>11038</v>
      </c>
      <c r="Q6010" s="2">
        <f>AVERAGE(PerfRate[[#This Row],[EnvironmentSatisfaction]],PerfRate[[#This Row],[JobSatisfaction]],PerfRate[[#This Row],[RelationshipSatisfaction]])</f>
        <v>4.666666666666667</v>
      </c>
      <c r="R6010" s="2">
        <f>PerfRate[[#This Row],[ManagerRating]] - PerfRate[[#This Row],[SelfRating]]</f>
        <v>-1</v>
      </c>
    </row>
    <row r="6011" spans="1:18">
      <c r="A6011" s="2" t="s">
        <v>10318</v>
      </c>
      <c r="B6011" s="2" t="s">
        <v>2412</v>
      </c>
      <c r="C6011" s="1">
        <v>44751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  <c r="L6011" s="2" t="s">
        <v>11030</v>
      </c>
      <c r="M6011" s="2" t="s">
        <v>11030</v>
      </c>
      <c r="N6011" s="2" t="s">
        <v>11037</v>
      </c>
      <c r="O6011" s="2" t="s">
        <v>11038</v>
      </c>
      <c r="P6011" s="2" t="s">
        <v>11037</v>
      </c>
      <c r="Q6011" s="2">
        <f>AVERAGE(PerfRate[[#This Row],[EnvironmentSatisfaction]],PerfRate[[#This Row],[JobSatisfaction]],PerfRate[[#This Row],[RelationshipSatisfaction]])</f>
        <v>4.333333333333333</v>
      </c>
      <c r="R6011" s="2">
        <f>PerfRate[[#This Row],[ManagerRating]] - PerfRate[[#This Row],[SelfRating]]</f>
        <v>0</v>
      </c>
    </row>
    <row r="6012" spans="1:18">
      <c r="A6012" s="2" t="s">
        <v>10319</v>
      </c>
      <c r="B6012" s="2" t="s">
        <v>1459</v>
      </c>
      <c r="C6012" s="1">
        <v>44782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  <c r="L6012" s="2" t="s">
        <v>11031</v>
      </c>
      <c r="M6012" s="2" t="s">
        <v>11030</v>
      </c>
      <c r="N6012" s="2" t="s">
        <v>11037</v>
      </c>
      <c r="O6012" s="2" t="s">
        <v>11037</v>
      </c>
      <c r="P6012" s="2" t="s">
        <v>11038</v>
      </c>
      <c r="Q6012" s="2">
        <f>AVERAGE(PerfRate[[#This Row],[EnvironmentSatisfaction]],PerfRate[[#This Row],[JobSatisfaction]],PerfRate[[#This Row],[RelationshipSatisfaction]])</f>
        <v>4.333333333333333</v>
      </c>
      <c r="R6012" s="2">
        <f>PerfRate[[#This Row],[ManagerRating]] - PerfRate[[#This Row],[SelfRating]]</f>
        <v>-1</v>
      </c>
    </row>
    <row r="6013" spans="1:18">
      <c r="A6013" s="2" t="s">
        <v>10320</v>
      </c>
      <c r="B6013" s="2" t="s">
        <v>2542</v>
      </c>
      <c r="C6013" s="1">
        <v>44782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  <c r="L6013" s="2" t="s">
        <v>11031</v>
      </c>
      <c r="M6013" s="2" t="s">
        <v>11031</v>
      </c>
      <c r="N6013" s="2" t="s">
        <v>11036</v>
      </c>
      <c r="O6013" s="2" t="s">
        <v>11036</v>
      </c>
      <c r="P6013" s="2" t="s">
        <v>11036</v>
      </c>
      <c r="Q6013" s="2">
        <f>AVERAGE(PerfRate[[#This Row],[EnvironmentSatisfaction]],PerfRate[[#This Row],[JobSatisfaction]],PerfRate[[#This Row],[RelationshipSatisfaction]])</f>
        <v>3</v>
      </c>
      <c r="R6013" s="2">
        <f>PerfRate[[#This Row],[ManagerRating]] - PerfRate[[#This Row],[SelfRating]]</f>
        <v>0</v>
      </c>
    </row>
    <row r="6014" spans="1:18">
      <c r="A6014" s="2" t="s">
        <v>10321</v>
      </c>
      <c r="B6014" s="2" t="s">
        <v>794</v>
      </c>
      <c r="C6014" s="1">
        <v>44843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  <c r="L6014" s="2" t="s">
        <v>11029</v>
      </c>
      <c r="M6014" s="2" t="s">
        <v>11028</v>
      </c>
      <c r="N6014" s="2" t="s">
        <v>11036</v>
      </c>
      <c r="O6014" s="2" t="s">
        <v>11035</v>
      </c>
      <c r="P6014" s="2" t="s">
        <v>11036</v>
      </c>
      <c r="Q6014" s="2">
        <f>AVERAGE(PerfRate[[#This Row],[EnvironmentSatisfaction]],PerfRate[[#This Row],[JobSatisfaction]],PerfRate[[#This Row],[RelationshipSatisfaction]])</f>
        <v>2.6666666666666665</v>
      </c>
      <c r="R6014" s="2">
        <f>PerfRate[[#This Row],[ManagerRating]] - PerfRate[[#This Row],[SelfRating]]</f>
        <v>-1</v>
      </c>
    </row>
    <row r="6015" spans="1:18">
      <c r="A6015" s="2" t="s">
        <v>10322</v>
      </c>
      <c r="B6015" s="2" t="s">
        <v>2071</v>
      </c>
      <c r="C6015" s="1">
        <v>44843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  <c r="L6015" s="2" t="s">
        <v>11030</v>
      </c>
      <c r="M6015" s="2" t="s">
        <v>11030</v>
      </c>
      <c r="N6015" s="2" t="s">
        <v>11038</v>
      </c>
      <c r="O6015" s="2" t="s">
        <v>11036</v>
      </c>
      <c r="P6015" s="2" t="s">
        <v>11035</v>
      </c>
      <c r="Q6015" s="2">
        <f>AVERAGE(PerfRate[[#This Row],[EnvironmentSatisfaction]],PerfRate[[#This Row],[JobSatisfaction]],PerfRate[[#This Row],[RelationshipSatisfaction]])</f>
        <v>3.3333333333333335</v>
      </c>
      <c r="R6015" s="2">
        <f>PerfRate[[#This Row],[ManagerRating]] - PerfRate[[#This Row],[SelfRating]]</f>
        <v>0</v>
      </c>
    </row>
    <row r="6016" spans="1:18">
      <c r="A6016" s="2" t="s">
        <v>10323</v>
      </c>
      <c r="B6016" s="2" t="s">
        <v>464</v>
      </c>
      <c r="C6016" s="1">
        <v>44874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  <c r="L6016" s="2" t="s">
        <v>11029</v>
      </c>
      <c r="M6016" s="2" t="s">
        <v>11028</v>
      </c>
      <c r="N6016" s="2" t="s">
        <v>11037</v>
      </c>
      <c r="O6016" s="2" t="s">
        <v>11038</v>
      </c>
      <c r="P6016" s="2" t="s">
        <v>11038</v>
      </c>
      <c r="Q6016" s="2">
        <f>AVERAGE(PerfRate[[#This Row],[EnvironmentSatisfaction]],PerfRate[[#This Row],[JobSatisfaction]],PerfRate[[#This Row],[RelationshipSatisfaction]])</f>
        <v>4.666666666666667</v>
      </c>
      <c r="R6016" s="2">
        <f>PerfRate[[#This Row],[ManagerRating]] - PerfRate[[#This Row],[SelfRating]]</f>
        <v>-1</v>
      </c>
    </row>
    <row r="6017" spans="1:18">
      <c r="A6017" s="2" t="s">
        <v>10324</v>
      </c>
      <c r="B6017" s="2" t="s">
        <v>1347</v>
      </c>
      <c r="C6017" s="1">
        <v>42040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  <c r="L6017" s="2" t="s">
        <v>11031</v>
      </c>
      <c r="M6017" s="2" t="s">
        <v>11030</v>
      </c>
      <c r="N6017" s="2" t="s">
        <v>11036</v>
      </c>
      <c r="O6017" s="2" t="s">
        <v>11038</v>
      </c>
      <c r="P6017" s="2" t="s">
        <v>11036</v>
      </c>
      <c r="Q6017" s="2">
        <f>AVERAGE(PerfRate[[#This Row],[EnvironmentSatisfaction]],PerfRate[[#This Row],[JobSatisfaction]],PerfRate[[#This Row],[RelationshipSatisfaction]])</f>
        <v>3.6666666666666665</v>
      </c>
      <c r="R6017" s="2">
        <f>PerfRate[[#This Row],[ManagerRating]] - PerfRate[[#This Row],[SelfRating]]</f>
        <v>-1</v>
      </c>
    </row>
    <row r="6018" spans="1:18">
      <c r="A6018" s="2" t="s">
        <v>10325</v>
      </c>
      <c r="B6018" s="2" t="s">
        <v>1386</v>
      </c>
      <c r="C6018" s="1">
        <v>44874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  <c r="L6018" s="2" t="s">
        <v>11029</v>
      </c>
      <c r="M6018" s="2" t="s">
        <v>11029</v>
      </c>
      <c r="N6018" s="2" t="s">
        <v>11036</v>
      </c>
      <c r="O6018" s="2" t="s">
        <v>11038</v>
      </c>
      <c r="P6018" s="2" t="s">
        <v>11038</v>
      </c>
      <c r="Q6018" s="2">
        <f>AVERAGE(PerfRate[[#This Row],[EnvironmentSatisfaction]],PerfRate[[#This Row],[JobSatisfaction]],PerfRate[[#This Row],[RelationshipSatisfaction]])</f>
        <v>4.333333333333333</v>
      </c>
      <c r="R6018" s="2">
        <f>PerfRate[[#This Row],[ManagerRating]] - PerfRate[[#This Row],[SelfRating]]</f>
        <v>0</v>
      </c>
    </row>
    <row r="6019" spans="1:18">
      <c r="A6019" s="2" t="s">
        <v>10326</v>
      </c>
      <c r="B6019" s="2" t="s">
        <v>1655</v>
      </c>
      <c r="C6019" s="1">
        <v>44874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  <c r="L6019" s="2" t="s">
        <v>11031</v>
      </c>
      <c r="M6019" s="2" t="s">
        <v>11031</v>
      </c>
      <c r="N6019" s="2" t="s">
        <v>11038</v>
      </c>
      <c r="O6019" s="2" t="s">
        <v>11037</v>
      </c>
      <c r="P6019" s="2" t="s">
        <v>11037</v>
      </c>
      <c r="Q6019" s="2">
        <f>AVERAGE(PerfRate[[#This Row],[EnvironmentSatisfaction]],PerfRate[[#This Row],[JobSatisfaction]],PerfRate[[#This Row],[RelationshipSatisfaction]])</f>
        <v>4.333333333333333</v>
      </c>
      <c r="R6019" s="2">
        <f>PerfRate[[#This Row],[ManagerRating]] - PerfRate[[#This Row],[SelfRating]]</f>
        <v>0</v>
      </c>
    </row>
    <row r="6020" spans="1:18">
      <c r="A6020" s="2" t="s">
        <v>10327</v>
      </c>
      <c r="B6020" s="2" t="s">
        <v>2548</v>
      </c>
      <c r="C6020" s="1">
        <v>44874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  <c r="L6020" s="2" t="s">
        <v>11030</v>
      </c>
      <c r="M6020" s="2" t="s">
        <v>11029</v>
      </c>
      <c r="N6020" s="2" t="s">
        <v>11038</v>
      </c>
      <c r="O6020" s="2" t="s">
        <v>11036</v>
      </c>
      <c r="P6020" s="2" t="s">
        <v>11036</v>
      </c>
      <c r="Q6020" s="2">
        <f>AVERAGE(PerfRate[[#This Row],[EnvironmentSatisfaction]],PerfRate[[#This Row],[JobSatisfaction]],PerfRate[[#This Row],[RelationshipSatisfaction]])</f>
        <v>3.6666666666666665</v>
      </c>
      <c r="R6020" s="2">
        <f>PerfRate[[#This Row],[ManagerRating]] - PerfRate[[#This Row],[SelfRating]]</f>
        <v>-1</v>
      </c>
    </row>
    <row r="6021" spans="1:18">
      <c r="A6021" s="2" t="s">
        <v>10328</v>
      </c>
      <c r="B6021" s="2" t="s">
        <v>2972</v>
      </c>
      <c r="C6021" s="1">
        <v>44874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  <c r="L6021" s="2" t="s">
        <v>11031</v>
      </c>
      <c r="M6021" s="2" t="s">
        <v>11031</v>
      </c>
      <c r="N6021" s="2" t="s">
        <v>11035</v>
      </c>
      <c r="O6021" s="2" t="s">
        <v>11036</v>
      </c>
      <c r="P6021" s="2" t="s">
        <v>11037</v>
      </c>
      <c r="Q6021" s="2">
        <f>AVERAGE(PerfRate[[#This Row],[EnvironmentSatisfaction]],PerfRate[[#This Row],[JobSatisfaction]],PerfRate[[#This Row],[RelationshipSatisfaction]])</f>
        <v>3</v>
      </c>
      <c r="R6021" s="2">
        <f>PerfRate[[#This Row],[ManagerRating]] - PerfRate[[#This Row],[SelfRating]]</f>
        <v>0</v>
      </c>
    </row>
    <row r="6022" spans="1:18">
      <c r="A6022" s="2" t="s">
        <v>10329</v>
      </c>
      <c r="B6022" s="2" t="s">
        <v>3385</v>
      </c>
      <c r="C6022" s="1">
        <v>44874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  <c r="L6022" s="2" t="s">
        <v>11030</v>
      </c>
      <c r="M6022" s="2" t="s">
        <v>11029</v>
      </c>
      <c r="N6022" s="2" t="s">
        <v>11034</v>
      </c>
      <c r="O6022" s="2" t="s">
        <v>11036</v>
      </c>
      <c r="P6022" s="2" t="s">
        <v>11035</v>
      </c>
      <c r="Q6022" s="2">
        <f>AVERAGE(PerfRate[[#This Row],[EnvironmentSatisfaction]],PerfRate[[#This Row],[JobSatisfaction]],PerfRate[[#This Row],[RelationshipSatisfaction]])</f>
        <v>2</v>
      </c>
      <c r="R6022" s="2">
        <f>PerfRate[[#This Row],[ManagerRating]] - PerfRate[[#This Row],[SelfRating]]</f>
        <v>-1</v>
      </c>
    </row>
    <row r="6023" spans="1:18">
      <c r="A6023" s="2" t="s">
        <v>10330</v>
      </c>
      <c r="B6023" s="2" t="s">
        <v>2278</v>
      </c>
      <c r="C6023" s="1">
        <v>44904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  <c r="L6023" s="2" t="s">
        <v>11031</v>
      </c>
      <c r="M6023" s="2" t="s">
        <v>11031</v>
      </c>
      <c r="N6023" s="2" t="s">
        <v>11038</v>
      </c>
      <c r="O6023" s="2" t="s">
        <v>11038</v>
      </c>
      <c r="P6023" s="2" t="s">
        <v>11038</v>
      </c>
      <c r="Q6023" s="2">
        <f>AVERAGE(PerfRate[[#This Row],[EnvironmentSatisfaction]],PerfRate[[#This Row],[JobSatisfaction]],PerfRate[[#This Row],[RelationshipSatisfaction]])</f>
        <v>5</v>
      </c>
      <c r="R6023" s="2">
        <f>PerfRate[[#This Row],[ManagerRating]] - PerfRate[[#This Row],[SelfRating]]</f>
        <v>0</v>
      </c>
    </row>
    <row r="6024" spans="1:18">
      <c r="A6024" s="2" t="s">
        <v>10331</v>
      </c>
      <c r="B6024" s="2" t="s">
        <v>4142</v>
      </c>
      <c r="C6024" s="1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  <c r="L6024" s="2" t="s">
        <v>11031</v>
      </c>
      <c r="M6024" s="2" t="s">
        <v>11030</v>
      </c>
      <c r="N6024" s="2" t="s">
        <v>11038</v>
      </c>
      <c r="O6024" s="2" t="s">
        <v>11036</v>
      </c>
      <c r="P6024" s="2" t="s">
        <v>11037</v>
      </c>
      <c r="Q6024" s="2">
        <f>AVERAGE(PerfRate[[#This Row],[EnvironmentSatisfaction]],PerfRate[[#This Row],[JobSatisfaction]],PerfRate[[#This Row],[RelationshipSatisfaction]])</f>
        <v>4</v>
      </c>
      <c r="R6024" s="2">
        <f>PerfRate[[#This Row],[ManagerRating]] - PerfRate[[#This Row],[SelfRating]]</f>
        <v>-1</v>
      </c>
    </row>
    <row r="6025" spans="1:18">
      <c r="A6025" s="2" t="s">
        <v>10332</v>
      </c>
      <c r="B6025" s="2" t="s">
        <v>1816</v>
      </c>
      <c r="C6025" s="1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  <c r="L6025" s="2" t="s">
        <v>11029</v>
      </c>
      <c r="M6025" s="2" t="s">
        <v>11028</v>
      </c>
      <c r="N6025" s="2" t="s">
        <v>11037</v>
      </c>
      <c r="O6025" s="2" t="s">
        <v>11036</v>
      </c>
      <c r="P6025" s="2" t="s">
        <v>11034</v>
      </c>
      <c r="Q6025" s="2">
        <f>AVERAGE(PerfRate[[#This Row],[EnvironmentSatisfaction]],PerfRate[[#This Row],[JobSatisfaction]],PerfRate[[#This Row],[RelationshipSatisfaction]])</f>
        <v>2.6666666666666665</v>
      </c>
      <c r="R6025" s="2">
        <f>PerfRate[[#This Row],[ManagerRating]] - PerfRate[[#This Row],[SelfRating]]</f>
        <v>-1</v>
      </c>
    </row>
    <row r="6026" spans="1:18">
      <c r="A6026" s="2" t="s">
        <v>10333</v>
      </c>
      <c r="B6026" s="2" t="s">
        <v>1758</v>
      </c>
      <c r="C6026" s="1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  <c r="L6026" s="2" t="s">
        <v>11029</v>
      </c>
      <c r="M6026" s="2" t="s">
        <v>11029</v>
      </c>
      <c r="N6026" s="2" t="s">
        <v>11035</v>
      </c>
      <c r="O6026" s="2" t="s">
        <v>11035</v>
      </c>
      <c r="P6026" s="2" t="s">
        <v>11036</v>
      </c>
      <c r="Q6026" s="2">
        <f>AVERAGE(PerfRate[[#This Row],[EnvironmentSatisfaction]],PerfRate[[#This Row],[JobSatisfaction]],PerfRate[[#This Row],[RelationshipSatisfaction]])</f>
        <v>2.3333333333333335</v>
      </c>
      <c r="R6026" s="2">
        <f>PerfRate[[#This Row],[ManagerRating]] - PerfRate[[#This Row],[SelfRating]]</f>
        <v>0</v>
      </c>
    </row>
    <row r="6027" spans="1:18">
      <c r="A6027" s="2" t="s">
        <v>10334</v>
      </c>
      <c r="B6027" s="2" t="s">
        <v>2509</v>
      </c>
      <c r="C6027" s="1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  <c r="L6027" s="2" t="s">
        <v>11030</v>
      </c>
      <c r="M6027" s="2" t="s">
        <v>11029</v>
      </c>
      <c r="N6027" s="2" t="s">
        <v>11035</v>
      </c>
      <c r="O6027" s="2" t="s">
        <v>11037</v>
      </c>
      <c r="P6027" s="2" t="s">
        <v>11037</v>
      </c>
      <c r="Q6027" s="2">
        <f>AVERAGE(PerfRate[[#This Row],[EnvironmentSatisfaction]],PerfRate[[#This Row],[JobSatisfaction]],PerfRate[[#This Row],[RelationshipSatisfaction]])</f>
        <v>3.3333333333333335</v>
      </c>
      <c r="R6027" s="2">
        <f>PerfRate[[#This Row],[ManagerRating]] - PerfRate[[#This Row],[SelfRating]]</f>
        <v>-1</v>
      </c>
    </row>
    <row r="6028" spans="1:18">
      <c r="A6028" s="2" t="s">
        <v>10335</v>
      </c>
      <c r="B6028" s="2" t="s">
        <v>1312</v>
      </c>
      <c r="C6028" s="1">
        <v>42068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  <c r="L6028" s="2" t="s">
        <v>11030</v>
      </c>
      <c r="M6028" s="2" t="s">
        <v>11029</v>
      </c>
      <c r="N6028" s="2" t="s">
        <v>11037</v>
      </c>
      <c r="O6028" s="2" t="s">
        <v>11037</v>
      </c>
      <c r="P6028" s="2" t="s">
        <v>11036</v>
      </c>
      <c r="Q6028" s="2">
        <f>AVERAGE(PerfRate[[#This Row],[EnvironmentSatisfaction]],PerfRate[[#This Row],[JobSatisfaction]],PerfRate[[#This Row],[RelationshipSatisfaction]])</f>
        <v>3.6666666666666665</v>
      </c>
      <c r="R6028" s="2">
        <f>PerfRate[[#This Row],[ManagerRating]] - PerfRate[[#This Row],[SelfRating]]</f>
        <v>-1</v>
      </c>
    </row>
    <row r="6029" spans="1:18">
      <c r="A6029" s="2" t="s">
        <v>10336</v>
      </c>
      <c r="B6029" s="2" t="s">
        <v>2216</v>
      </c>
      <c r="C6029" s="1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  <c r="L6029" s="2" t="s">
        <v>11031</v>
      </c>
      <c r="M6029" s="2" t="s">
        <v>11030</v>
      </c>
      <c r="N6029" s="2" t="s">
        <v>11034</v>
      </c>
      <c r="O6029" s="2" t="s">
        <v>11034</v>
      </c>
      <c r="P6029" s="2" t="s">
        <v>11034</v>
      </c>
      <c r="Q6029" s="2">
        <f>AVERAGE(PerfRate[[#This Row],[EnvironmentSatisfaction]],PerfRate[[#This Row],[JobSatisfaction]],PerfRate[[#This Row],[RelationshipSatisfaction]])</f>
        <v>1</v>
      </c>
      <c r="R6029" s="2">
        <f>PerfRate[[#This Row],[ManagerRating]] - PerfRate[[#This Row],[SelfRating]]</f>
        <v>-1</v>
      </c>
    </row>
    <row r="6030" spans="1:18">
      <c r="A6030" s="2" t="s">
        <v>10337</v>
      </c>
      <c r="B6030" s="2" t="s">
        <v>299</v>
      </c>
      <c r="C6030" s="1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  <c r="L6030" s="2" t="s">
        <v>11029</v>
      </c>
      <c r="M6030" s="2" t="s">
        <v>11028</v>
      </c>
      <c r="N6030" s="2" t="s">
        <v>11036</v>
      </c>
      <c r="O6030" s="2" t="s">
        <v>11035</v>
      </c>
      <c r="P6030" s="2" t="s">
        <v>11034</v>
      </c>
      <c r="Q6030" s="2">
        <f>AVERAGE(PerfRate[[#This Row],[EnvironmentSatisfaction]],PerfRate[[#This Row],[JobSatisfaction]],PerfRate[[#This Row],[RelationshipSatisfaction]])</f>
        <v>2</v>
      </c>
      <c r="R6030" s="2">
        <f>PerfRate[[#This Row],[ManagerRating]] - PerfRate[[#This Row],[SelfRating]]</f>
        <v>-1</v>
      </c>
    </row>
    <row r="6031" spans="1:18">
      <c r="A6031" s="2" t="s">
        <v>10338</v>
      </c>
      <c r="B6031" s="2" t="s">
        <v>547</v>
      </c>
      <c r="C6031" s="1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  <c r="L6031" s="2" t="s">
        <v>11030</v>
      </c>
      <c r="M6031" s="2" t="s">
        <v>11030</v>
      </c>
      <c r="N6031" s="2" t="s">
        <v>11036</v>
      </c>
      <c r="O6031" s="2" t="s">
        <v>11037</v>
      </c>
      <c r="P6031" s="2" t="s">
        <v>11034</v>
      </c>
      <c r="Q6031" s="2">
        <f>AVERAGE(PerfRate[[#This Row],[EnvironmentSatisfaction]],PerfRate[[#This Row],[JobSatisfaction]],PerfRate[[#This Row],[RelationshipSatisfaction]])</f>
        <v>2.6666666666666665</v>
      </c>
      <c r="R6031" s="2">
        <f>PerfRate[[#This Row],[ManagerRating]] - PerfRate[[#This Row],[SelfRating]]</f>
        <v>0</v>
      </c>
    </row>
    <row r="6032" spans="1:18">
      <c r="A6032" s="2" t="s">
        <v>10339</v>
      </c>
      <c r="B6032" s="2" t="s">
        <v>2876</v>
      </c>
      <c r="C6032" s="1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  <c r="L6032" s="2" t="s">
        <v>11029</v>
      </c>
      <c r="M6032" s="2" t="s">
        <v>11029</v>
      </c>
      <c r="N6032" s="2" t="s">
        <v>11036</v>
      </c>
      <c r="O6032" s="2" t="s">
        <v>11038</v>
      </c>
      <c r="P6032" s="2" t="s">
        <v>11038</v>
      </c>
      <c r="Q6032" s="2">
        <f>AVERAGE(PerfRate[[#This Row],[EnvironmentSatisfaction]],PerfRate[[#This Row],[JobSatisfaction]],PerfRate[[#This Row],[RelationshipSatisfaction]])</f>
        <v>4.333333333333333</v>
      </c>
      <c r="R6032" s="2">
        <f>PerfRate[[#This Row],[ManagerRating]] - PerfRate[[#This Row],[SelfRating]]</f>
        <v>0</v>
      </c>
    </row>
    <row r="6033" spans="1:18">
      <c r="A6033" s="2" t="s">
        <v>10340</v>
      </c>
      <c r="B6033" s="2" t="s">
        <v>2201</v>
      </c>
      <c r="C6033" s="1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  <c r="L6033" s="2" t="s">
        <v>11031</v>
      </c>
      <c r="M6033" s="2" t="s">
        <v>11031</v>
      </c>
      <c r="N6033" s="2" t="s">
        <v>11038</v>
      </c>
      <c r="O6033" s="2" t="s">
        <v>11037</v>
      </c>
      <c r="P6033" s="2" t="s">
        <v>11037</v>
      </c>
      <c r="Q6033" s="2">
        <f>AVERAGE(PerfRate[[#This Row],[EnvironmentSatisfaction]],PerfRate[[#This Row],[JobSatisfaction]],PerfRate[[#This Row],[RelationshipSatisfaction]])</f>
        <v>4.333333333333333</v>
      </c>
      <c r="R6033" s="2">
        <f>PerfRate[[#This Row],[ManagerRating]] - PerfRate[[#This Row],[SelfRating]]</f>
        <v>0</v>
      </c>
    </row>
    <row r="6034" spans="1:18">
      <c r="A6034" s="2" t="s">
        <v>10341</v>
      </c>
      <c r="B6034" s="2" t="s">
        <v>1444</v>
      </c>
      <c r="C6034" s="1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  <c r="L6034" s="2" t="s">
        <v>11029</v>
      </c>
      <c r="M6034" s="2" t="s">
        <v>11028</v>
      </c>
      <c r="N6034" s="2" t="s">
        <v>11036</v>
      </c>
      <c r="O6034" s="2" t="s">
        <v>11035</v>
      </c>
      <c r="P6034" s="2" t="s">
        <v>11037</v>
      </c>
      <c r="Q6034" s="2">
        <f>AVERAGE(PerfRate[[#This Row],[EnvironmentSatisfaction]],PerfRate[[#This Row],[JobSatisfaction]],PerfRate[[#This Row],[RelationshipSatisfaction]])</f>
        <v>3</v>
      </c>
      <c r="R6034" s="2">
        <f>PerfRate[[#This Row],[ManagerRating]] - PerfRate[[#This Row],[SelfRating]]</f>
        <v>-1</v>
      </c>
    </row>
    <row r="6035" spans="1:18">
      <c r="A6035" s="2" t="s">
        <v>10342</v>
      </c>
      <c r="B6035" s="2" t="s">
        <v>1936</v>
      </c>
      <c r="C6035" s="1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  <c r="L6035" s="2" t="s">
        <v>11029</v>
      </c>
      <c r="M6035" s="2" t="s">
        <v>11029</v>
      </c>
      <c r="N6035" s="2" t="s">
        <v>11038</v>
      </c>
      <c r="O6035" s="2" t="s">
        <v>11037</v>
      </c>
      <c r="P6035" s="2" t="s">
        <v>11036</v>
      </c>
      <c r="Q6035" s="2">
        <f>AVERAGE(PerfRate[[#This Row],[EnvironmentSatisfaction]],PerfRate[[#This Row],[JobSatisfaction]],PerfRate[[#This Row],[RelationshipSatisfaction]])</f>
        <v>4</v>
      </c>
      <c r="R6035" s="2">
        <f>PerfRate[[#This Row],[ManagerRating]] - PerfRate[[#This Row],[SelfRating]]</f>
        <v>0</v>
      </c>
    </row>
    <row r="6036" spans="1:18">
      <c r="A6036" s="2" t="s">
        <v>10343</v>
      </c>
      <c r="B6036" s="2" t="s">
        <v>1901</v>
      </c>
      <c r="C6036" s="1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  <c r="L6036" s="2" t="s">
        <v>11029</v>
      </c>
      <c r="M6036" s="2" t="s">
        <v>11028</v>
      </c>
      <c r="N6036" s="2" t="s">
        <v>11037</v>
      </c>
      <c r="O6036" s="2" t="s">
        <v>11035</v>
      </c>
      <c r="P6036" s="2" t="s">
        <v>11035</v>
      </c>
      <c r="Q6036" s="2">
        <f>AVERAGE(PerfRate[[#This Row],[EnvironmentSatisfaction]],PerfRate[[#This Row],[JobSatisfaction]],PerfRate[[#This Row],[RelationshipSatisfaction]])</f>
        <v>2.6666666666666665</v>
      </c>
      <c r="R6036" s="2">
        <f>PerfRate[[#This Row],[ManagerRating]] - PerfRate[[#This Row],[SelfRating]]</f>
        <v>-1</v>
      </c>
    </row>
    <row r="6037" spans="1:18">
      <c r="A6037" s="2" t="s">
        <v>10344</v>
      </c>
      <c r="B6037" s="2" t="s">
        <v>2885</v>
      </c>
      <c r="C6037" s="1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  <c r="L6037" s="2" t="s">
        <v>11030</v>
      </c>
      <c r="M6037" s="2" t="s">
        <v>11029</v>
      </c>
      <c r="N6037" s="2" t="s">
        <v>11037</v>
      </c>
      <c r="O6037" s="2" t="s">
        <v>11035</v>
      </c>
      <c r="P6037" s="2" t="s">
        <v>11035</v>
      </c>
      <c r="Q6037" s="2">
        <f>AVERAGE(PerfRate[[#This Row],[EnvironmentSatisfaction]],PerfRate[[#This Row],[JobSatisfaction]],PerfRate[[#This Row],[RelationshipSatisfaction]])</f>
        <v>2.6666666666666665</v>
      </c>
      <c r="R6037" s="2">
        <f>PerfRate[[#This Row],[ManagerRating]] - PerfRate[[#This Row],[SelfRating]]</f>
        <v>-1</v>
      </c>
    </row>
    <row r="6038" spans="1:18">
      <c r="A6038" s="2" t="s">
        <v>10345</v>
      </c>
      <c r="B6038" s="2" t="s">
        <v>988</v>
      </c>
      <c r="C6038" s="1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  <c r="L6038" s="2" t="s">
        <v>11031</v>
      </c>
      <c r="M6038" s="2" t="s">
        <v>11031</v>
      </c>
      <c r="N6038" s="2" t="s">
        <v>11035</v>
      </c>
      <c r="O6038" s="2" t="s">
        <v>11035</v>
      </c>
      <c r="P6038" s="2" t="s">
        <v>11037</v>
      </c>
      <c r="Q6038" s="2">
        <f>AVERAGE(PerfRate[[#This Row],[EnvironmentSatisfaction]],PerfRate[[#This Row],[JobSatisfaction]],PerfRate[[#This Row],[RelationshipSatisfaction]])</f>
        <v>2.6666666666666665</v>
      </c>
      <c r="R6038" s="2">
        <f>PerfRate[[#This Row],[ManagerRating]] - PerfRate[[#This Row],[SelfRating]]</f>
        <v>0</v>
      </c>
    </row>
    <row r="6039" spans="1:18">
      <c r="A6039" s="2" t="s">
        <v>10346</v>
      </c>
      <c r="B6039" s="2" t="s">
        <v>1906</v>
      </c>
      <c r="C6039" s="1">
        <v>42099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  <c r="L6039" s="2" t="s">
        <v>11030</v>
      </c>
      <c r="M6039" s="2" t="s">
        <v>11030</v>
      </c>
      <c r="N6039" s="2" t="s">
        <v>11036</v>
      </c>
      <c r="O6039" s="2" t="s">
        <v>11038</v>
      </c>
      <c r="P6039" s="2" t="s">
        <v>11038</v>
      </c>
      <c r="Q6039" s="2">
        <f>AVERAGE(PerfRate[[#This Row],[EnvironmentSatisfaction]],PerfRate[[#This Row],[JobSatisfaction]],PerfRate[[#This Row],[RelationshipSatisfaction]])</f>
        <v>4.333333333333333</v>
      </c>
      <c r="R6039" s="2">
        <f>PerfRate[[#This Row],[ManagerRating]] - PerfRate[[#This Row],[SelfRating]]</f>
        <v>0</v>
      </c>
    </row>
    <row r="6040" spans="1:18">
      <c r="A6040" s="2" t="s">
        <v>10347</v>
      </c>
      <c r="B6040" s="2" t="s">
        <v>2563</v>
      </c>
      <c r="C6040" s="1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  <c r="L6040" s="2" t="s">
        <v>11030</v>
      </c>
      <c r="M6040" s="2" t="s">
        <v>11029</v>
      </c>
      <c r="N6040" s="2" t="s">
        <v>11035</v>
      </c>
      <c r="O6040" s="2" t="s">
        <v>11034</v>
      </c>
      <c r="P6040" s="2" t="s">
        <v>11035</v>
      </c>
      <c r="Q6040" s="2">
        <f>AVERAGE(PerfRate[[#This Row],[EnvironmentSatisfaction]],PerfRate[[#This Row],[JobSatisfaction]],PerfRate[[#This Row],[RelationshipSatisfaction]])</f>
        <v>1.6666666666666667</v>
      </c>
      <c r="R6040" s="2">
        <f>PerfRate[[#This Row],[ManagerRating]] - PerfRate[[#This Row],[SelfRating]]</f>
        <v>-1</v>
      </c>
    </row>
    <row r="6041" spans="1:18">
      <c r="A6041" s="2" t="s">
        <v>10348</v>
      </c>
      <c r="B6041" s="2" t="s">
        <v>1456</v>
      </c>
      <c r="C6041" s="1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  <c r="L6041" s="2" t="s">
        <v>11030</v>
      </c>
      <c r="M6041" s="2" t="s">
        <v>11029</v>
      </c>
      <c r="N6041" s="2" t="s">
        <v>11038</v>
      </c>
      <c r="O6041" s="2" t="s">
        <v>11035</v>
      </c>
      <c r="P6041" s="2" t="s">
        <v>11036</v>
      </c>
      <c r="Q6041" s="2">
        <f>AVERAGE(PerfRate[[#This Row],[EnvironmentSatisfaction]],PerfRate[[#This Row],[JobSatisfaction]],PerfRate[[#This Row],[RelationshipSatisfaction]])</f>
        <v>3.3333333333333335</v>
      </c>
      <c r="R6041" s="2">
        <f>PerfRate[[#This Row],[ManagerRating]] - PerfRate[[#This Row],[SelfRating]]</f>
        <v>-1</v>
      </c>
    </row>
    <row r="6042" spans="1:18">
      <c r="A6042" s="2" t="s">
        <v>10349</v>
      </c>
      <c r="B6042" s="2" t="s">
        <v>2406</v>
      </c>
      <c r="C6042" s="1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  <c r="L6042" s="2" t="s">
        <v>11031</v>
      </c>
      <c r="M6042" s="2" t="s">
        <v>11031</v>
      </c>
      <c r="N6042" s="2" t="s">
        <v>11036</v>
      </c>
      <c r="O6042" s="2" t="s">
        <v>11036</v>
      </c>
      <c r="P6042" s="2" t="s">
        <v>11037</v>
      </c>
      <c r="Q6042" s="2">
        <f>AVERAGE(PerfRate[[#This Row],[EnvironmentSatisfaction]],PerfRate[[#This Row],[JobSatisfaction]],PerfRate[[#This Row],[RelationshipSatisfaction]])</f>
        <v>3.3333333333333335</v>
      </c>
      <c r="R6042" s="2">
        <f>PerfRate[[#This Row],[ManagerRating]] - PerfRate[[#This Row],[SelfRating]]</f>
        <v>0</v>
      </c>
    </row>
    <row r="6043" spans="1:18">
      <c r="A6043" s="2" t="s">
        <v>10350</v>
      </c>
      <c r="B6043" s="2" t="s">
        <v>2822</v>
      </c>
      <c r="C6043" s="1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  <c r="L6043" s="2" t="s">
        <v>11030</v>
      </c>
      <c r="M6043" s="2" t="s">
        <v>11029</v>
      </c>
      <c r="N6043" s="2" t="s">
        <v>11037</v>
      </c>
      <c r="O6043" s="2" t="s">
        <v>11037</v>
      </c>
      <c r="P6043" s="2" t="s">
        <v>11035</v>
      </c>
      <c r="Q6043" s="2">
        <f>AVERAGE(PerfRate[[#This Row],[EnvironmentSatisfaction]],PerfRate[[#This Row],[JobSatisfaction]],PerfRate[[#This Row],[RelationshipSatisfaction]])</f>
        <v>3.3333333333333335</v>
      </c>
      <c r="R6043" s="2">
        <f>PerfRate[[#This Row],[ManagerRating]] - PerfRate[[#This Row],[SelfRating]]</f>
        <v>-1</v>
      </c>
    </row>
    <row r="6044" spans="1:18">
      <c r="A6044" s="2" t="s">
        <v>10351</v>
      </c>
      <c r="B6044" s="2" t="s">
        <v>2421</v>
      </c>
      <c r="C6044" s="1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  <c r="L6044" s="2" t="s">
        <v>11031</v>
      </c>
      <c r="M6044" s="2" t="s">
        <v>11030</v>
      </c>
      <c r="N6044" s="2" t="s">
        <v>11036</v>
      </c>
      <c r="O6044" s="2" t="s">
        <v>11038</v>
      </c>
      <c r="P6044" s="2" t="s">
        <v>11037</v>
      </c>
      <c r="Q6044" s="2">
        <f>AVERAGE(PerfRate[[#This Row],[EnvironmentSatisfaction]],PerfRate[[#This Row],[JobSatisfaction]],PerfRate[[#This Row],[RelationshipSatisfaction]])</f>
        <v>4</v>
      </c>
      <c r="R6044" s="2">
        <f>PerfRate[[#This Row],[ManagerRating]] - PerfRate[[#This Row],[SelfRating]]</f>
        <v>-1</v>
      </c>
    </row>
    <row r="6045" spans="1:18">
      <c r="A6045" s="2" t="s">
        <v>10352</v>
      </c>
      <c r="B6045" s="2" t="s">
        <v>2415</v>
      </c>
      <c r="C6045" s="1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  <c r="L6045" s="2" t="s">
        <v>11030</v>
      </c>
      <c r="M6045" s="2" t="s">
        <v>11029</v>
      </c>
      <c r="N6045" s="2" t="s">
        <v>11038</v>
      </c>
      <c r="O6045" s="2" t="s">
        <v>11036</v>
      </c>
      <c r="P6045" s="2" t="s">
        <v>11036</v>
      </c>
      <c r="Q6045" s="2">
        <f>AVERAGE(PerfRate[[#This Row],[EnvironmentSatisfaction]],PerfRate[[#This Row],[JobSatisfaction]],PerfRate[[#This Row],[RelationshipSatisfaction]])</f>
        <v>3.6666666666666665</v>
      </c>
      <c r="R6045" s="2">
        <f>PerfRate[[#This Row],[ManagerRating]] - PerfRate[[#This Row],[SelfRating]]</f>
        <v>-1</v>
      </c>
    </row>
    <row r="6046" spans="1:18">
      <c r="A6046" s="2" t="s">
        <v>10353</v>
      </c>
      <c r="B6046" s="2" t="s">
        <v>2706</v>
      </c>
      <c r="C6046" s="1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  <c r="L6046" s="2" t="s">
        <v>11031</v>
      </c>
      <c r="M6046" s="2" t="s">
        <v>11031</v>
      </c>
      <c r="N6046" s="2" t="s">
        <v>11036</v>
      </c>
      <c r="O6046" s="2" t="s">
        <v>11037</v>
      </c>
      <c r="P6046" s="2" t="s">
        <v>11035</v>
      </c>
      <c r="Q6046" s="2">
        <f>AVERAGE(PerfRate[[#This Row],[EnvironmentSatisfaction]],PerfRate[[#This Row],[JobSatisfaction]],PerfRate[[#This Row],[RelationshipSatisfaction]])</f>
        <v>3</v>
      </c>
      <c r="R6046" s="2">
        <f>PerfRate[[#This Row],[ManagerRating]] - PerfRate[[#This Row],[SelfRating]]</f>
        <v>0</v>
      </c>
    </row>
    <row r="6047" spans="1:18">
      <c r="A6047" s="2" t="s">
        <v>10354</v>
      </c>
      <c r="B6047" s="2" t="s">
        <v>1274</v>
      </c>
      <c r="C6047" s="1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  <c r="L6047" s="2" t="s">
        <v>11029</v>
      </c>
      <c r="M6047" s="2" t="s">
        <v>11029</v>
      </c>
      <c r="N6047" s="2" t="s">
        <v>11036</v>
      </c>
      <c r="O6047" s="2" t="s">
        <v>11037</v>
      </c>
      <c r="P6047" s="2" t="s">
        <v>11037</v>
      </c>
      <c r="Q6047" s="2">
        <f>AVERAGE(PerfRate[[#This Row],[EnvironmentSatisfaction]],PerfRate[[#This Row],[JobSatisfaction]],PerfRate[[#This Row],[RelationshipSatisfaction]])</f>
        <v>3.6666666666666665</v>
      </c>
      <c r="R6047" s="2">
        <f>PerfRate[[#This Row],[ManagerRating]] - PerfRate[[#This Row],[SelfRating]]</f>
        <v>0</v>
      </c>
    </row>
    <row r="6048" spans="1:18">
      <c r="A6048" s="2" t="s">
        <v>10355</v>
      </c>
      <c r="B6048" s="2" t="s">
        <v>2447</v>
      </c>
      <c r="C6048" s="1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  <c r="L6048" s="2" t="s">
        <v>11029</v>
      </c>
      <c r="M6048" s="2" t="s">
        <v>11028</v>
      </c>
      <c r="N6048" s="2" t="s">
        <v>11036</v>
      </c>
      <c r="O6048" s="2" t="s">
        <v>11038</v>
      </c>
      <c r="P6048" s="2" t="s">
        <v>11036</v>
      </c>
      <c r="Q6048" s="2">
        <f>AVERAGE(PerfRate[[#This Row],[EnvironmentSatisfaction]],PerfRate[[#This Row],[JobSatisfaction]],PerfRate[[#This Row],[RelationshipSatisfaction]])</f>
        <v>3.6666666666666665</v>
      </c>
      <c r="R6048" s="2">
        <f>PerfRate[[#This Row],[ManagerRating]] - PerfRate[[#This Row],[SelfRating]]</f>
        <v>-1</v>
      </c>
    </row>
    <row r="6049" spans="1:18">
      <c r="A6049" s="2" t="s">
        <v>10356</v>
      </c>
      <c r="B6049" s="2" t="s">
        <v>2596</v>
      </c>
      <c r="C6049" s="1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  <c r="L6049" s="2" t="s">
        <v>11030</v>
      </c>
      <c r="M6049" s="2" t="s">
        <v>11029</v>
      </c>
      <c r="N6049" s="2" t="s">
        <v>11038</v>
      </c>
      <c r="O6049" s="2" t="s">
        <v>11038</v>
      </c>
      <c r="P6049" s="2" t="s">
        <v>11036</v>
      </c>
      <c r="Q6049" s="2">
        <f>AVERAGE(PerfRate[[#This Row],[EnvironmentSatisfaction]],PerfRate[[#This Row],[JobSatisfaction]],PerfRate[[#This Row],[RelationshipSatisfaction]])</f>
        <v>4.333333333333333</v>
      </c>
      <c r="R6049" s="2">
        <f>PerfRate[[#This Row],[ManagerRating]] - PerfRate[[#This Row],[SelfRating]]</f>
        <v>-1</v>
      </c>
    </row>
    <row r="6050" spans="1:18">
      <c r="A6050" s="2" t="s">
        <v>10357</v>
      </c>
      <c r="B6050" s="2" t="s">
        <v>1721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  <c r="L6050" s="2" t="s">
        <v>11031</v>
      </c>
      <c r="M6050" s="2" t="s">
        <v>11030</v>
      </c>
      <c r="N6050" s="2" t="s">
        <v>11037</v>
      </c>
      <c r="O6050" s="2" t="s">
        <v>11038</v>
      </c>
      <c r="P6050" s="2" t="s">
        <v>11037</v>
      </c>
      <c r="Q6050" s="2">
        <f>AVERAGE(PerfRate[[#This Row],[EnvironmentSatisfaction]],PerfRate[[#This Row],[JobSatisfaction]],PerfRate[[#This Row],[RelationshipSatisfaction]])</f>
        <v>4.333333333333333</v>
      </c>
      <c r="R6050" s="2">
        <f>PerfRate[[#This Row],[ManagerRating]] - PerfRate[[#This Row],[SelfRating]]</f>
        <v>-1</v>
      </c>
    </row>
    <row r="6051" spans="1:18">
      <c r="A6051" s="2" t="s">
        <v>10358</v>
      </c>
      <c r="B6051" s="2" t="s">
        <v>2920</v>
      </c>
      <c r="C6051" s="1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  <c r="L6051" s="2" t="s">
        <v>11030</v>
      </c>
      <c r="M6051" s="2" t="s">
        <v>11030</v>
      </c>
      <c r="N6051" s="2" t="s">
        <v>11036</v>
      </c>
      <c r="O6051" s="2" t="s">
        <v>11036</v>
      </c>
      <c r="P6051" s="2" t="s">
        <v>11036</v>
      </c>
      <c r="Q6051" s="2">
        <f>AVERAGE(PerfRate[[#This Row],[EnvironmentSatisfaction]],PerfRate[[#This Row],[JobSatisfaction]],PerfRate[[#This Row],[RelationshipSatisfaction]])</f>
        <v>3</v>
      </c>
      <c r="R6051" s="2">
        <f>PerfRate[[#This Row],[ManagerRating]] - PerfRate[[#This Row],[SelfRating]]</f>
        <v>0</v>
      </c>
    </row>
    <row r="6052" spans="1:18">
      <c r="A6052" s="2" t="s">
        <v>10359</v>
      </c>
      <c r="B6052" s="2" t="s">
        <v>1560</v>
      </c>
      <c r="C6052" s="1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  <c r="L6052" s="2" t="s">
        <v>11029</v>
      </c>
      <c r="M6052" s="2" t="s">
        <v>11029</v>
      </c>
      <c r="N6052" s="2" t="s">
        <v>11035</v>
      </c>
      <c r="O6052" s="2" t="s">
        <v>11037</v>
      </c>
      <c r="P6052" s="2" t="s">
        <v>11037</v>
      </c>
      <c r="Q6052" s="2">
        <f>AVERAGE(PerfRate[[#This Row],[EnvironmentSatisfaction]],PerfRate[[#This Row],[JobSatisfaction]],PerfRate[[#This Row],[RelationshipSatisfaction]])</f>
        <v>3.3333333333333335</v>
      </c>
      <c r="R6052" s="2">
        <f>PerfRate[[#This Row],[ManagerRating]] - PerfRate[[#This Row],[SelfRating]]</f>
        <v>0</v>
      </c>
    </row>
    <row r="6053" spans="1:18">
      <c r="A6053" s="2" t="s">
        <v>10360</v>
      </c>
      <c r="B6053" s="2" t="s">
        <v>2978</v>
      </c>
      <c r="C6053" s="1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  <c r="L6053" s="2" t="s">
        <v>11029</v>
      </c>
      <c r="M6053" s="2" t="s">
        <v>11028</v>
      </c>
      <c r="N6053" s="2" t="s">
        <v>11036</v>
      </c>
      <c r="O6053" s="2" t="s">
        <v>11034</v>
      </c>
      <c r="P6053" s="2" t="s">
        <v>11035</v>
      </c>
      <c r="Q6053" s="2">
        <f>AVERAGE(PerfRate[[#This Row],[EnvironmentSatisfaction]],PerfRate[[#This Row],[JobSatisfaction]],PerfRate[[#This Row],[RelationshipSatisfaction]])</f>
        <v>2</v>
      </c>
      <c r="R6053" s="2">
        <f>PerfRate[[#This Row],[ManagerRating]] - PerfRate[[#This Row],[SelfRating]]</f>
        <v>-1</v>
      </c>
    </row>
    <row r="6054" spans="1:18">
      <c r="A6054" s="2" t="s">
        <v>10361</v>
      </c>
      <c r="B6054" s="2" t="s">
        <v>134</v>
      </c>
      <c r="C6054" s="1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  <c r="L6054" s="2" t="s">
        <v>11031</v>
      </c>
      <c r="M6054" s="2" t="s">
        <v>11031</v>
      </c>
      <c r="N6054" s="2" t="s">
        <v>11036</v>
      </c>
      <c r="O6054" s="2" t="s">
        <v>11038</v>
      </c>
      <c r="P6054" s="2" t="s">
        <v>11037</v>
      </c>
      <c r="Q6054" s="2">
        <f>AVERAGE(PerfRate[[#This Row],[EnvironmentSatisfaction]],PerfRate[[#This Row],[JobSatisfaction]],PerfRate[[#This Row],[RelationshipSatisfaction]])</f>
        <v>4</v>
      </c>
      <c r="R6054" s="2">
        <f>PerfRate[[#This Row],[ManagerRating]] - PerfRate[[#This Row],[SelfRating]]</f>
        <v>0</v>
      </c>
    </row>
    <row r="6055" spans="1:18">
      <c r="A6055" s="2" t="s">
        <v>10362</v>
      </c>
      <c r="B6055" s="2" t="s">
        <v>2424</v>
      </c>
      <c r="C6055" s="1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  <c r="L6055" s="2" t="s">
        <v>11029</v>
      </c>
      <c r="M6055" s="2" t="s">
        <v>11028</v>
      </c>
      <c r="N6055" s="2" t="s">
        <v>11036</v>
      </c>
      <c r="O6055" s="2" t="s">
        <v>11037</v>
      </c>
      <c r="P6055" s="2" t="s">
        <v>11038</v>
      </c>
      <c r="Q6055" s="2">
        <f>AVERAGE(PerfRate[[#This Row],[EnvironmentSatisfaction]],PerfRate[[#This Row],[JobSatisfaction]],PerfRate[[#This Row],[RelationshipSatisfaction]])</f>
        <v>4</v>
      </c>
      <c r="R6055" s="2">
        <f>PerfRate[[#This Row],[ManagerRating]] - PerfRate[[#This Row],[SelfRating]]</f>
        <v>-1</v>
      </c>
    </row>
    <row r="6056" spans="1:18">
      <c r="A6056" s="2" t="s">
        <v>10363</v>
      </c>
      <c r="B6056" s="2" t="s">
        <v>2727</v>
      </c>
      <c r="C6056" s="1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  <c r="L6056" s="2" t="s">
        <v>11030</v>
      </c>
      <c r="M6056" s="2" t="s">
        <v>11029</v>
      </c>
      <c r="N6056" s="2" t="s">
        <v>11038</v>
      </c>
      <c r="O6056" s="2" t="s">
        <v>11037</v>
      </c>
      <c r="P6056" s="2" t="s">
        <v>11037</v>
      </c>
      <c r="Q6056" s="2">
        <f>AVERAGE(PerfRate[[#This Row],[EnvironmentSatisfaction]],PerfRate[[#This Row],[JobSatisfaction]],PerfRate[[#This Row],[RelationshipSatisfaction]])</f>
        <v>4.333333333333333</v>
      </c>
      <c r="R6056" s="2">
        <f>PerfRate[[#This Row],[ManagerRating]] - PerfRate[[#This Row],[SelfRating]]</f>
        <v>-1</v>
      </c>
    </row>
    <row r="6057" spans="1:18">
      <c r="A6057" s="2" t="s">
        <v>10364</v>
      </c>
      <c r="B6057" s="2" t="s">
        <v>2806</v>
      </c>
      <c r="C6057" s="1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  <c r="L6057" s="2" t="s">
        <v>11031</v>
      </c>
      <c r="M6057" s="2" t="s">
        <v>11031</v>
      </c>
      <c r="N6057" s="2" t="s">
        <v>11038</v>
      </c>
      <c r="O6057" s="2" t="s">
        <v>11037</v>
      </c>
      <c r="P6057" s="2" t="s">
        <v>11036</v>
      </c>
      <c r="Q6057" s="2">
        <f>AVERAGE(PerfRate[[#This Row],[EnvironmentSatisfaction]],PerfRate[[#This Row],[JobSatisfaction]],PerfRate[[#This Row],[RelationshipSatisfaction]])</f>
        <v>4</v>
      </c>
      <c r="R6057" s="2">
        <f>PerfRate[[#This Row],[ManagerRating]] - PerfRate[[#This Row],[SelfRating]]</f>
        <v>0</v>
      </c>
    </row>
    <row r="6058" spans="1:18">
      <c r="A6058" s="2" t="s">
        <v>10365</v>
      </c>
      <c r="B6058" s="2" t="s">
        <v>3141</v>
      </c>
      <c r="C6058" s="1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  <c r="L6058" s="2" t="s">
        <v>11030</v>
      </c>
      <c r="M6058" s="2" t="s">
        <v>11029</v>
      </c>
      <c r="N6058" s="2" t="s">
        <v>11036</v>
      </c>
      <c r="O6058" s="2" t="s">
        <v>11035</v>
      </c>
      <c r="P6058" s="2" t="s">
        <v>11037</v>
      </c>
      <c r="Q6058" s="2">
        <f>AVERAGE(PerfRate[[#This Row],[EnvironmentSatisfaction]],PerfRate[[#This Row],[JobSatisfaction]],PerfRate[[#This Row],[RelationshipSatisfaction]])</f>
        <v>3</v>
      </c>
      <c r="R6058" s="2">
        <f>PerfRate[[#This Row],[ManagerRating]] - PerfRate[[#This Row],[SelfRating]]</f>
        <v>-1</v>
      </c>
    </row>
    <row r="6059" spans="1:18">
      <c r="A6059" s="2" t="s">
        <v>10366</v>
      </c>
      <c r="B6059" s="2" t="s">
        <v>4230</v>
      </c>
      <c r="C6059" s="1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  <c r="L6059" s="2" t="s">
        <v>11030</v>
      </c>
      <c r="M6059" s="2" t="s">
        <v>11029</v>
      </c>
      <c r="N6059" s="2" t="s">
        <v>11037</v>
      </c>
      <c r="O6059" s="2" t="s">
        <v>11035</v>
      </c>
      <c r="P6059" s="2" t="s">
        <v>11035</v>
      </c>
      <c r="Q6059" s="2">
        <f>AVERAGE(PerfRate[[#This Row],[EnvironmentSatisfaction]],PerfRate[[#This Row],[JobSatisfaction]],PerfRate[[#This Row],[RelationshipSatisfaction]])</f>
        <v>2.6666666666666665</v>
      </c>
      <c r="R6059" s="2">
        <f>PerfRate[[#This Row],[ManagerRating]] - PerfRate[[#This Row],[SelfRating]]</f>
        <v>-1</v>
      </c>
    </row>
    <row r="6060" spans="1:18">
      <c r="A6060" s="2" t="s">
        <v>10367</v>
      </c>
      <c r="B6060" s="2" t="s">
        <v>482</v>
      </c>
      <c r="C6060" s="1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  <c r="L6060" s="2" t="s">
        <v>11031</v>
      </c>
      <c r="M6060" s="2" t="s">
        <v>11031</v>
      </c>
      <c r="N6060" s="2" t="s">
        <v>11035</v>
      </c>
      <c r="O6060" s="2" t="s">
        <v>11035</v>
      </c>
      <c r="P6060" s="2" t="s">
        <v>11035</v>
      </c>
      <c r="Q6060" s="2">
        <f>AVERAGE(PerfRate[[#This Row],[EnvironmentSatisfaction]],PerfRate[[#This Row],[JobSatisfaction]],PerfRate[[#This Row],[RelationshipSatisfaction]])</f>
        <v>2</v>
      </c>
      <c r="R6060" s="2">
        <f>PerfRate[[#This Row],[ManagerRating]] - PerfRate[[#This Row],[SelfRating]]</f>
        <v>0</v>
      </c>
    </row>
    <row r="6061" spans="1:18">
      <c r="A6061" s="2" t="s">
        <v>10368</v>
      </c>
      <c r="B6061" s="2" t="s">
        <v>1895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  <c r="L6061" s="2" t="s">
        <v>11031</v>
      </c>
      <c r="M6061" s="2" t="s">
        <v>11030</v>
      </c>
      <c r="N6061" s="2" t="s">
        <v>11036</v>
      </c>
      <c r="O6061" s="2" t="s">
        <v>11038</v>
      </c>
      <c r="P6061" s="2" t="s">
        <v>11037</v>
      </c>
      <c r="Q6061" s="2">
        <f>AVERAGE(PerfRate[[#This Row],[EnvironmentSatisfaction]],PerfRate[[#This Row],[JobSatisfaction]],PerfRate[[#This Row],[RelationshipSatisfaction]])</f>
        <v>4</v>
      </c>
      <c r="R6061" s="2">
        <f>PerfRate[[#This Row],[ManagerRating]] - PerfRate[[#This Row],[SelfRating]]</f>
        <v>-1</v>
      </c>
    </row>
    <row r="6062" spans="1:18">
      <c r="A6062" s="2" t="s">
        <v>10369</v>
      </c>
      <c r="B6062" s="2" t="s">
        <v>708</v>
      </c>
      <c r="C6062" s="1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  <c r="L6062" s="2" t="s">
        <v>11029</v>
      </c>
      <c r="M6062" s="2" t="s">
        <v>11028</v>
      </c>
      <c r="N6062" s="2" t="s">
        <v>11037</v>
      </c>
      <c r="O6062" s="2" t="s">
        <v>11035</v>
      </c>
      <c r="P6062" s="2" t="s">
        <v>11036</v>
      </c>
      <c r="Q6062" s="2">
        <f>AVERAGE(PerfRate[[#This Row],[EnvironmentSatisfaction]],PerfRate[[#This Row],[JobSatisfaction]],PerfRate[[#This Row],[RelationshipSatisfaction]])</f>
        <v>3</v>
      </c>
      <c r="R6062" s="2">
        <f>PerfRate[[#This Row],[ManagerRating]] - PerfRate[[#This Row],[SelfRating]]</f>
        <v>-1</v>
      </c>
    </row>
    <row r="6063" spans="1:18">
      <c r="A6063" s="2" t="s">
        <v>10370</v>
      </c>
      <c r="B6063" s="2" t="s">
        <v>3248</v>
      </c>
      <c r="C6063" s="1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  <c r="L6063" s="2" t="s">
        <v>11030</v>
      </c>
      <c r="M6063" s="2" t="s">
        <v>11029</v>
      </c>
      <c r="N6063" s="2" t="s">
        <v>11038</v>
      </c>
      <c r="O6063" s="2" t="s">
        <v>11036</v>
      </c>
      <c r="P6063" s="2" t="s">
        <v>11037</v>
      </c>
      <c r="Q6063" s="2">
        <f>AVERAGE(PerfRate[[#This Row],[EnvironmentSatisfaction]],PerfRate[[#This Row],[JobSatisfaction]],PerfRate[[#This Row],[RelationshipSatisfaction]])</f>
        <v>4</v>
      </c>
      <c r="R6063" s="2">
        <f>PerfRate[[#This Row],[ManagerRating]] - PerfRate[[#This Row],[SelfRating]]</f>
        <v>-1</v>
      </c>
    </row>
    <row r="6064" spans="1:18">
      <c r="A6064" s="2" t="s">
        <v>10371</v>
      </c>
      <c r="B6064" s="2" t="s">
        <v>841</v>
      </c>
      <c r="C6064" s="1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  <c r="L6064" s="2" t="s">
        <v>11031</v>
      </c>
      <c r="M6064" s="2" t="s">
        <v>11030</v>
      </c>
      <c r="N6064" s="2" t="s">
        <v>11036</v>
      </c>
      <c r="O6064" s="2" t="s">
        <v>11038</v>
      </c>
      <c r="P6064" s="2" t="s">
        <v>11037</v>
      </c>
      <c r="Q6064" s="2">
        <f>AVERAGE(PerfRate[[#This Row],[EnvironmentSatisfaction]],PerfRate[[#This Row],[JobSatisfaction]],PerfRate[[#This Row],[RelationshipSatisfaction]])</f>
        <v>4</v>
      </c>
      <c r="R6064" s="2">
        <f>PerfRate[[#This Row],[ManagerRating]] - PerfRate[[#This Row],[SelfRating]]</f>
        <v>-1</v>
      </c>
    </row>
    <row r="6065" spans="1:18">
      <c r="A6065" s="2" t="s">
        <v>10372</v>
      </c>
      <c r="B6065" s="2" t="s">
        <v>1368</v>
      </c>
      <c r="C6065" s="1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  <c r="L6065" s="2" t="s">
        <v>11030</v>
      </c>
      <c r="M6065" s="2" t="s">
        <v>11029</v>
      </c>
      <c r="N6065" s="2" t="s">
        <v>11038</v>
      </c>
      <c r="O6065" s="2" t="s">
        <v>11036</v>
      </c>
      <c r="P6065" s="2" t="s">
        <v>11037</v>
      </c>
      <c r="Q6065" s="2">
        <f>AVERAGE(PerfRate[[#This Row],[EnvironmentSatisfaction]],PerfRate[[#This Row],[JobSatisfaction]],PerfRate[[#This Row],[RelationshipSatisfaction]])</f>
        <v>4</v>
      </c>
      <c r="R6065" s="2">
        <f>PerfRate[[#This Row],[ManagerRating]] - PerfRate[[#This Row],[SelfRating]]</f>
        <v>-1</v>
      </c>
    </row>
    <row r="6066" spans="1:18">
      <c r="A6066" s="2" t="s">
        <v>10373</v>
      </c>
      <c r="B6066" s="2" t="s">
        <v>3485</v>
      </c>
      <c r="C6066" s="1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  <c r="L6066" s="2" t="s">
        <v>11029</v>
      </c>
      <c r="M6066" s="2" t="s">
        <v>11028</v>
      </c>
      <c r="N6066" s="2" t="s">
        <v>11038</v>
      </c>
      <c r="O6066" s="2" t="s">
        <v>11035</v>
      </c>
      <c r="P6066" s="2" t="s">
        <v>11035</v>
      </c>
      <c r="Q6066" s="2">
        <f>AVERAGE(PerfRate[[#This Row],[EnvironmentSatisfaction]],PerfRate[[#This Row],[JobSatisfaction]],PerfRate[[#This Row],[RelationshipSatisfaction]])</f>
        <v>3</v>
      </c>
      <c r="R6066" s="2">
        <f>PerfRate[[#This Row],[ManagerRating]] - PerfRate[[#This Row],[SelfRating]]</f>
        <v>-1</v>
      </c>
    </row>
    <row r="6067" spans="1:18">
      <c r="A6067" s="2" t="s">
        <v>10374</v>
      </c>
      <c r="B6067" s="2" t="s">
        <v>1171</v>
      </c>
      <c r="C6067" s="1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  <c r="L6067" s="2" t="s">
        <v>11031</v>
      </c>
      <c r="M6067" s="2" t="s">
        <v>11030</v>
      </c>
      <c r="N6067" s="2" t="s">
        <v>11037</v>
      </c>
      <c r="O6067" s="2" t="s">
        <v>11037</v>
      </c>
      <c r="P6067" s="2" t="s">
        <v>11036</v>
      </c>
      <c r="Q6067" s="2">
        <f>AVERAGE(PerfRate[[#This Row],[EnvironmentSatisfaction]],PerfRate[[#This Row],[JobSatisfaction]],PerfRate[[#This Row],[RelationshipSatisfaction]])</f>
        <v>3.6666666666666665</v>
      </c>
      <c r="R6067" s="2">
        <f>PerfRate[[#This Row],[ManagerRating]] - PerfRate[[#This Row],[SelfRating]]</f>
        <v>-1</v>
      </c>
    </row>
    <row r="6068" spans="1:18">
      <c r="A6068" s="2" t="s">
        <v>10375</v>
      </c>
      <c r="B6068" s="2" t="s">
        <v>3195</v>
      </c>
      <c r="C6068" s="1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  <c r="L6068" s="2" t="s">
        <v>11029</v>
      </c>
      <c r="M6068" s="2" t="s">
        <v>11028</v>
      </c>
      <c r="N6068" s="2" t="s">
        <v>11036</v>
      </c>
      <c r="O6068" s="2" t="s">
        <v>11038</v>
      </c>
      <c r="P6068" s="2" t="s">
        <v>11037</v>
      </c>
      <c r="Q6068" s="2">
        <f>AVERAGE(PerfRate[[#This Row],[EnvironmentSatisfaction]],PerfRate[[#This Row],[JobSatisfaction]],PerfRate[[#This Row],[RelationshipSatisfaction]])</f>
        <v>4</v>
      </c>
      <c r="R6068" s="2">
        <f>PerfRate[[#This Row],[ManagerRating]] - PerfRate[[#This Row],[SelfRating]]</f>
        <v>-1</v>
      </c>
    </row>
    <row r="6069" spans="1:18">
      <c r="A6069" s="2" t="s">
        <v>10376</v>
      </c>
      <c r="B6069" s="2" t="s">
        <v>3280</v>
      </c>
      <c r="C6069" s="1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  <c r="L6069" s="2" t="s">
        <v>11031</v>
      </c>
      <c r="M6069" s="2" t="s">
        <v>11031</v>
      </c>
      <c r="N6069" s="2" t="s">
        <v>11038</v>
      </c>
      <c r="O6069" s="2" t="s">
        <v>11036</v>
      </c>
      <c r="P6069" s="2" t="s">
        <v>11035</v>
      </c>
      <c r="Q6069" s="2">
        <f>AVERAGE(PerfRate[[#This Row],[EnvironmentSatisfaction]],PerfRate[[#This Row],[JobSatisfaction]],PerfRate[[#This Row],[RelationshipSatisfaction]])</f>
        <v>3.3333333333333335</v>
      </c>
      <c r="R6069" s="2">
        <f>PerfRate[[#This Row],[ManagerRating]] - PerfRate[[#This Row],[SelfRating]]</f>
        <v>0</v>
      </c>
    </row>
    <row r="6070" spans="1:18">
      <c r="A6070" s="2" t="s">
        <v>10377</v>
      </c>
      <c r="B6070" s="2" t="s">
        <v>3074</v>
      </c>
      <c r="C6070" s="1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  <c r="L6070" s="2" t="s">
        <v>11030</v>
      </c>
      <c r="M6070" s="2" t="s">
        <v>11030</v>
      </c>
      <c r="N6070" s="2" t="s">
        <v>11038</v>
      </c>
      <c r="O6070" s="2" t="s">
        <v>11038</v>
      </c>
      <c r="P6070" s="2" t="s">
        <v>11037</v>
      </c>
      <c r="Q6070" s="2">
        <f>AVERAGE(PerfRate[[#This Row],[EnvironmentSatisfaction]],PerfRate[[#This Row],[JobSatisfaction]],PerfRate[[#This Row],[RelationshipSatisfaction]])</f>
        <v>4.666666666666667</v>
      </c>
      <c r="R6070" s="2">
        <f>PerfRate[[#This Row],[ManagerRating]] - PerfRate[[#This Row],[SelfRating]]</f>
        <v>0</v>
      </c>
    </row>
    <row r="6071" spans="1:18">
      <c r="A6071" s="2" t="s">
        <v>10378</v>
      </c>
      <c r="B6071" s="2" t="s">
        <v>383</v>
      </c>
      <c r="C6071" s="1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  <c r="L6071" s="2" t="s">
        <v>11029</v>
      </c>
      <c r="M6071" s="2" t="s">
        <v>11029</v>
      </c>
      <c r="N6071" s="2" t="s">
        <v>11036</v>
      </c>
      <c r="O6071" s="2" t="s">
        <v>11035</v>
      </c>
      <c r="P6071" s="2" t="s">
        <v>11034</v>
      </c>
      <c r="Q6071" s="2">
        <f>AVERAGE(PerfRate[[#This Row],[EnvironmentSatisfaction]],PerfRate[[#This Row],[JobSatisfaction]],PerfRate[[#This Row],[RelationshipSatisfaction]])</f>
        <v>2</v>
      </c>
      <c r="R6071" s="2">
        <f>PerfRate[[#This Row],[ManagerRating]] - PerfRate[[#This Row],[SelfRating]]</f>
        <v>0</v>
      </c>
    </row>
    <row r="6072" spans="1:18">
      <c r="A6072" s="2" t="s">
        <v>10379</v>
      </c>
      <c r="B6072" s="2" t="s">
        <v>449</v>
      </c>
      <c r="C6072" s="1">
        <v>42160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  <c r="L6072" s="2" t="s">
        <v>11031</v>
      </c>
      <c r="M6072" s="2" t="s">
        <v>11031</v>
      </c>
      <c r="N6072" s="2" t="s">
        <v>11036</v>
      </c>
      <c r="O6072" s="2" t="s">
        <v>11038</v>
      </c>
      <c r="P6072" s="2" t="s">
        <v>11035</v>
      </c>
      <c r="Q6072" s="2">
        <f>AVERAGE(PerfRate[[#This Row],[EnvironmentSatisfaction]],PerfRate[[#This Row],[JobSatisfaction]],PerfRate[[#This Row],[RelationshipSatisfaction]])</f>
        <v>3.3333333333333335</v>
      </c>
      <c r="R6072" s="2">
        <f>PerfRate[[#This Row],[ManagerRating]] - PerfRate[[#This Row],[SelfRating]]</f>
        <v>0</v>
      </c>
    </row>
    <row r="6073" spans="1:18">
      <c r="A6073" s="2" t="s">
        <v>10380</v>
      </c>
      <c r="B6073" s="2" t="s">
        <v>913</v>
      </c>
      <c r="C6073" s="1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  <c r="L6073" s="2" t="s">
        <v>11030</v>
      </c>
      <c r="M6073" s="2" t="s">
        <v>11030</v>
      </c>
      <c r="N6073" s="2" t="s">
        <v>11035</v>
      </c>
      <c r="O6073" s="2" t="s">
        <v>11035</v>
      </c>
      <c r="P6073" s="2" t="s">
        <v>11034</v>
      </c>
      <c r="Q6073" s="2">
        <f>AVERAGE(PerfRate[[#This Row],[EnvironmentSatisfaction]],PerfRate[[#This Row],[JobSatisfaction]],PerfRate[[#This Row],[RelationshipSatisfaction]])</f>
        <v>1.6666666666666667</v>
      </c>
      <c r="R6073" s="2">
        <f>PerfRate[[#This Row],[ManagerRating]] - PerfRate[[#This Row],[SelfRating]]</f>
        <v>0</v>
      </c>
    </row>
    <row r="6074" spans="1:18">
      <c r="A6074" s="2" t="s">
        <v>10381</v>
      </c>
      <c r="B6074" s="2" t="s">
        <v>1552</v>
      </c>
      <c r="C6074" s="1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  <c r="L6074" s="2" t="s">
        <v>11029</v>
      </c>
      <c r="M6074" s="2" t="s">
        <v>11029</v>
      </c>
      <c r="N6074" s="2" t="s">
        <v>11038</v>
      </c>
      <c r="O6074" s="2" t="s">
        <v>11038</v>
      </c>
      <c r="P6074" s="2" t="s">
        <v>11035</v>
      </c>
      <c r="Q6074" s="2">
        <f>AVERAGE(PerfRate[[#This Row],[EnvironmentSatisfaction]],PerfRate[[#This Row],[JobSatisfaction]],PerfRate[[#This Row],[RelationshipSatisfaction]])</f>
        <v>4</v>
      </c>
      <c r="R6074" s="2">
        <f>PerfRate[[#This Row],[ManagerRating]] - PerfRate[[#This Row],[SelfRating]]</f>
        <v>0</v>
      </c>
    </row>
    <row r="6075" spans="1:18">
      <c r="A6075" s="2" t="s">
        <v>10382</v>
      </c>
      <c r="B6075" s="2" t="s">
        <v>3482</v>
      </c>
      <c r="C6075" s="1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  <c r="L6075" s="2" t="s">
        <v>11029</v>
      </c>
      <c r="M6075" s="2" t="s">
        <v>11029</v>
      </c>
      <c r="N6075" s="2" t="s">
        <v>11038</v>
      </c>
      <c r="O6075" s="2" t="s">
        <v>11038</v>
      </c>
      <c r="P6075" s="2" t="s">
        <v>11035</v>
      </c>
      <c r="Q6075" s="2">
        <f>AVERAGE(PerfRate[[#This Row],[EnvironmentSatisfaction]],PerfRate[[#This Row],[JobSatisfaction]],PerfRate[[#This Row],[RelationshipSatisfaction]])</f>
        <v>4</v>
      </c>
      <c r="R6075" s="2">
        <f>PerfRate[[#This Row],[ManagerRating]] - PerfRate[[#This Row],[SelfRating]]</f>
        <v>0</v>
      </c>
    </row>
    <row r="6076" spans="1:18">
      <c r="A6076" s="2" t="s">
        <v>10383</v>
      </c>
      <c r="B6076" s="2" t="s">
        <v>3431</v>
      </c>
      <c r="C6076" s="1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  <c r="L6076" s="2" t="s">
        <v>11031</v>
      </c>
      <c r="M6076" s="2" t="s">
        <v>11030</v>
      </c>
      <c r="N6076" s="2" t="s">
        <v>11035</v>
      </c>
      <c r="O6076" s="2" t="s">
        <v>11035</v>
      </c>
      <c r="P6076" s="2" t="s">
        <v>11035</v>
      </c>
      <c r="Q6076" s="2">
        <f>AVERAGE(PerfRate[[#This Row],[EnvironmentSatisfaction]],PerfRate[[#This Row],[JobSatisfaction]],PerfRate[[#This Row],[RelationshipSatisfaction]])</f>
        <v>2</v>
      </c>
      <c r="R6076" s="2">
        <f>PerfRate[[#This Row],[ManagerRating]] - PerfRate[[#This Row],[SelfRating]]</f>
        <v>-1</v>
      </c>
    </row>
    <row r="6077" spans="1:18">
      <c r="A6077" s="2" t="s">
        <v>10384</v>
      </c>
      <c r="B6077" s="2" t="s">
        <v>3422</v>
      </c>
      <c r="C6077" s="1">
        <v>44571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  <c r="L6077" s="2" t="s">
        <v>11031</v>
      </c>
      <c r="M6077" s="2" t="s">
        <v>11031</v>
      </c>
      <c r="N6077" s="2" t="s">
        <v>11034</v>
      </c>
      <c r="O6077" s="2" t="s">
        <v>11037</v>
      </c>
      <c r="P6077" s="2" t="s">
        <v>11036</v>
      </c>
      <c r="Q6077" s="2">
        <f>AVERAGE(PerfRate[[#This Row],[EnvironmentSatisfaction]],PerfRate[[#This Row],[JobSatisfaction]],PerfRate[[#This Row],[RelationshipSatisfaction]])</f>
        <v>2.6666666666666665</v>
      </c>
      <c r="R6077" s="2">
        <f>PerfRate[[#This Row],[ManagerRating]] - PerfRate[[#This Row],[SelfRating]]</f>
        <v>0</v>
      </c>
    </row>
    <row r="6078" spans="1:18">
      <c r="A6078" s="2" t="s">
        <v>10385</v>
      </c>
      <c r="B6078" s="2" t="s">
        <v>922</v>
      </c>
      <c r="C6078" s="1">
        <v>44630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  <c r="L6078" s="2" t="s">
        <v>11031</v>
      </c>
      <c r="M6078" s="2" t="s">
        <v>11031</v>
      </c>
      <c r="N6078" s="2" t="s">
        <v>11035</v>
      </c>
      <c r="O6078" s="2" t="s">
        <v>11035</v>
      </c>
      <c r="P6078" s="2" t="s">
        <v>11035</v>
      </c>
      <c r="Q6078" s="2">
        <f>AVERAGE(PerfRate[[#This Row],[EnvironmentSatisfaction]],PerfRate[[#This Row],[JobSatisfaction]],PerfRate[[#This Row],[RelationshipSatisfaction]])</f>
        <v>2</v>
      </c>
      <c r="R6078" s="2">
        <f>PerfRate[[#This Row],[ManagerRating]] - PerfRate[[#This Row],[SelfRating]]</f>
        <v>0</v>
      </c>
    </row>
    <row r="6079" spans="1:18">
      <c r="A6079" s="2" t="s">
        <v>10386</v>
      </c>
      <c r="B6079" s="2" t="s">
        <v>1204</v>
      </c>
      <c r="C6079" s="1">
        <v>44630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  <c r="L6079" s="2" t="s">
        <v>11029</v>
      </c>
      <c r="M6079" s="2" t="s">
        <v>11028</v>
      </c>
      <c r="N6079" s="2" t="s">
        <v>11035</v>
      </c>
      <c r="O6079" s="2" t="s">
        <v>11036</v>
      </c>
      <c r="P6079" s="2" t="s">
        <v>11036</v>
      </c>
      <c r="Q6079" s="2">
        <f>AVERAGE(PerfRate[[#This Row],[EnvironmentSatisfaction]],PerfRate[[#This Row],[JobSatisfaction]],PerfRate[[#This Row],[RelationshipSatisfaction]])</f>
        <v>2.6666666666666665</v>
      </c>
      <c r="R6079" s="2">
        <f>PerfRate[[#This Row],[ManagerRating]] - PerfRate[[#This Row],[SelfRating]]</f>
        <v>-1</v>
      </c>
    </row>
    <row r="6080" spans="1:18">
      <c r="A6080" s="2" t="s">
        <v>10387</v>
      </c>
      <c r="B6080" s="2" t="s">
        <v>1271</v>
      </c>
      <c r="C6080" s="1">
        <v>44630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  <c r="L6080" s="2" t="s">
        <v>11030</v>
      </c>
      <c r="M6080" s="2" t="s">
        <v>11029</v>
      </c>
      <c r="N6080" s="2" t="s">
        <v>11037</v>
      </c>
      <c r="O6080" s="2" t="s">
        <v>11036</v>
      </c>
      <c r="P6080" s="2" t="s">
        <v>11035</v>
      </c>
      <c r="Q6080" s="2">
        <f>AVERAGE(PerfRate[[#This Row],[EnvironmentSatisfaction]],PerfRate[[#This Row],[JobSatisfaction]],PerfRate[[#This Row],[RelationshipSatisfaction]])</f>
        <v>3</v>
      </c>
      <c r="R6080" s="2">
        <f>PerfRate[[#This Row],[ManagerRating]] - PerfRate[[#This Row],[SelfRating]]</f>
        <v>-1</v>
      </c>
    </row>
    <row r="6081" spans="1:18">
      <c r="A6081" s="2" t="s">
        <v>10388</v>
      </c>
      <c r="B6081" s="2" t="s">
        <v>1549</v>
      </c>
      <c r="C6081" s="1">
        <v>44630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  <c r="L6081" s="2" t="s">
        <v>11030</v>
      </c>
      <c r="M6081" s="2" t="s">
        <v>11029</v>
      </c>
      <c r="N6081" s="2" t="s">
        <v>11036</v>
      </c>
      <c r="O6081" s="2" t="s">
        <v>11038</v>
      </c>
      <c r="P6081" s="2" t="s">
        <v>11038</v>
      </c>
      <c r="Q6081" s="2">
        <f>AVERAGE(PerfRate[[#This Row],[EnvironmentSatisfaction]],PerfRate[[#This Row],[JobSatisfaction]],PerfRate[[#This Row],[RelationshipSatisfaction]])</f>
        <v>4.333333333333333</v>
      </c>
      <c r="R6081" s="2">
        <f>PerfRate[[#This Row],[ManagerRating]] - PerfRate[[#This Row],[SelfRating]]</f>
        <v>-1</v>
      </c>
    </row>
    <row r="6082" spans="1:18">
      <c r="A6082" s="2" t="s">
        <v>10389</v>
      </c>
      <c r="B6082" s="2" t="s">
        <v>2800</v>
      </c>
      <c r="C6082" s="1">
        <v>44661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  <c r="L6082" s="2" t="s">
        <v>11029</v>
      </c>
      <c r="M6082" s="2" t="s">
        <v>11028</v>
      </c>
      <c r="N6082" s="2" t="s">
        <v>11036</v>
      </c>
      <c r="O6082" s="2" t="s">
        <v>11037</v>
      </c>
      <c r="P6082" s="2" t="s">
        <v>11035</v>
      </c>
      <c r="Q6082" s="2">
        <f>AVERAGE(PerfRate[[#This Row],[EnvironmentSatisfaction]],PerfRate[[#This Row],[JobSatisfaction]],PerfRate[[#This Row],[RelationshipSatisfaction]])</f>
        <v>3</v>
      </c>
      <c r="R6082" s="2">
        <f>PerfRate[[#This Row],[ManagerRating]] - PerfRate[[#This Row],[SelfRating]]</f>
        <v>-1</v>
      </c>
    </row>
    <row r="6083" spans="1:18">
      <c r="A6083" s="2" t="s">
        <v>10390</v>
      </c>
      <c r="B6083" s="2" t="s">
        <v>3657</v>
      </c>
      <c r="C6083" s="1">
        <v>42160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  <c r="L6083" s="2" t="s">
        <v>11030</v>
      </c>
      <c r="M6083" s="2" t="s">
        <v>11029</v>
      </c>
      <c r="N6083" s="2" t="s">
        <v>11037</v>
      </c>
      <c r="O6083" s="2" t="s">
        <v>11036</v>
      </c>
      <c r="P6083" s="2" t="s">
        <v>11038</v>
      </c>
      <c r="Q6083" s="2">
        <f>AVERAGE(PerfRate[[#This Row],[EnvironmentSatisfaction]],PerfRate[[#This Row],[JobSatisfaction]],PerfRate[[#This Row],[RelationshipSatisfaction]])</f>
        <v>4</v>
      </c>
      <c r="R6083" s="2">
        <f>PerfRate[[#This Row],[ManagerRating]] - PerfRate[[#This Row],[SelfRating]]</f>
        <v>-1</v>
      </c>
    </row>
    <row r="6084" spans="1:18">
      <c r="A6084" s="2" t="s">
        <v>10391</v>
      </c>
      <c r="B6084" s="2" t="s">
        <v>3216</v>
      </c>
      <c r="C6084" s="1">
        <v>44691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  <c r="L6084" s="2" t="s">
        <v>11031</v>
      </c>
      <c r="M6084" s="2" t="s">
        <v>11031</v>
      </c>
      <c r="N6084" s="2" t="s">
        <v>11035</v>
      </c>
      <c r="O6084" s="2" t="s">
        <v>11035</v>
      </c>
      <c r="P6084" s="2" t="s">
        <v>11037</v>
      </c>
      <c r="Q6084" s="2">
        <f>AVERAGE(PerfRate[[#This Row],[EnvironmentSatisfaction]],PerfRate[[#This Row],[JobSatisfaction]],PerfRate[[#This Row],[RelationshipSatisfaction]])</f>
        <v>2.6666666666666665</v>
      </c>
      <c r="R6084" s="2">
        <f>PerfRate[[#This Row],[ManagerRating]] - PerfRate[[#This Row],[SelfRating]]</f>
        <v>0</v>
      </c>
    </row>
    <row r="6085" spans="1:18">
      <c r="A6085" s="2" t="s">
        <v>10392</v>
      </c>
      <c r="B6085" s="2" t="s">
        <v>2520</v>
      </c>
      <c r="C6085" s="1">
        <v>44722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  <c r="L6085" s="2" t="s">
        <v>11029</v>
      </c>
      <c r="M6085" s="2" t="s">
        <v>11029</v>
      </c>
      <c r="N6085" s="2" t="s">
        <v>11036</v>
      </c>
      <c r="O6085" s="2" t="s">
        <v>11036</v>
      </c>
      <c r="P6085" s="2" t="s">
        <v>11038</v>
      </c>
      <c r="Q6085" s="2">
        <f>AVERAGE(PerfRate[[#This Row],[EnvironmentSatisfaction]],PerfRate[[#This Row],[JobSatisfaction]],PerfRate[[#This Row],[RelationshipSatisfaction]])</f>
        <v>3.6666666666666665</v>
      </c>
      <c r="R6085" s="2">
        <f>PerfRate[[#This Row],[ManagerRating]] - PerfRate[[#This Row],[SelfRating]]</f>
        <v>0</v>
      </c>
    </row>
    <row r="6086" spans="1:18">
      <c r="A6086" s="2" t="s">
        <v>10393</v>
      </c>
      <c r="B6086" s="2" t="s">
        <v>502</v>
      </c>
      <c r="C6086" s="1">
        <v>44752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  <c r="L6086" s="2" t="s">
        <v>11029</v>
      </c>
      <c r="M6086" s="2" t="s">
        <v>11029</v>
      </c>
      <c r="N6086" s="2" t="s">
        <v>11038</v>
      </c>
      <c r="O6086" s="2" t="s">
        <v>11036</v>
      </c>
      <c r="P6086" s="2" t="s">
        <v>11035</v>
      </c>
      <c r="Q6086" s="2">
        <f>AVERAGE(PerfRate[[#This Row],[EnvironmentSatisfaction]],PerfRate[[#This Row],[JobSatisfaction]],PerfRate[[#This Row],[RelationshipSatisfaction]])</f>
        <v>3.3333333333333335</v>
      </c>
      <c r="R6086" s="2">
        <f>PerfRate[[#This Row],[ManagerRating]] - PerfRate[[#This Row],[SelfRating]]</f>
        <v>0</v>
      </c>
    </row>
    <row r="6087" spans="1:18">
      <c r="A6087" s="2" t="s">
        <v>10394</v>
      </c>
      <c r="B6087" s="2" t="s">
        <v>3329</v>
      </c>
      <c r="C6087" s="1">
        <v>44783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  <c r="L6087" s="2" t="s">
        <v>11029</v>
      </c>
      <c r="M6087" s="2" t="s">
        <v>11028</v>
      </c>
      <c r="N6087" s="2" t="s">
        <v>11038</v>
      </c>
      <c r="O6087" s="2" t="s">
        <v>11038</v>
      </c>
      <c r="P6087" s="2" t="s">
        <v>11037</v>
      </c>
      <c r="Q6087" s="2">
        <f>AVERAGE(PerfRate[[#This Row],[EnvironmentSatisfaction]],PerfRate[[#This Row],[JobSatisfaction]],PerfRate[[#This Row],[RelationshipSatisfaction]])</f>
        <v>4.666666666666667</v>
      </c>
      <c r="R6087" s="2">
        <f>PerfRate[[#This Row],[ManagerRating]] - PerfRate[[#This Row],[SelfRating]]</f>
        <v>-1</v>
      </c>
    </row>
    <row r="6088" spans="1:18">
      <c r="A6088" s="2" t="s">
        <v>10395</v>
      </c>
      <c r="B6088" s="2" t="s">
        <v>3739</v>
      </c>
      <c r="C6088" s="1">
        <v>44783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  <c r="L6088" s="2" t="s">
        <v>11030</v>
      </c>
      <c r="M6088" s="2" t="s">
        <v>11030</v>
      </c>
      <c r="N6088" s="2" t="s">
        <v>11036</v>
      </c>
      <c r="O6088" s="2" t="s">
        <v>11035</v>
      </c>
      <c r="P6088" s="2" t="s">
        <v>11036</v>
      </c>
      <c r="Q6088" s="2">
        <f>AVERAGE(PerfRate[[#This Row],[EnvironmentSatisfaction]],PerfRate[[#This Row],[JobSatisfaction]],PerfRate[[#This Row],[RelationshipSatisfaction]])</f>
        <v>2.6666666666666665</v>
      </c>
      <c r="R6088" s="2">
        <f>PerfRate[[#This Row],[ManagerRating]] - PerfRate[[#This Row],[SelfRating]]</f>
        <v>0</v>
      </c>
    </row>
    <row r="6089" spans="1:18">
      <c r="A6089" s="2" t="s">
        <v>10396</v>
      </c>
      <c r="B6089" s="2" t="s">
        <v>765</v>
      </c>
      <c r="C6089" s="1">
        <v>44783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  <c r="L6089" s="2" t="s">
        <v>11029</v>
      </c>
      <c r="M6089" s="2" t="s">
        <v>11029</v>
      </c>
      <c r="N6089" s="2" t="s">
        <v>11038</v>
      </c>
      <c r="O6089" s="2" t="s">
        <v>11037</v>
      </c>
      <c r="P6089" s="2" t="s">
        <v>11037</v>
      </c>
      <c r="Q6089" s="2">
        <f>AVERAGE(PerfRate[[#This Row],[EnvironmentSatisfaction]],PerfRate[[#This Row],[JobSatisfaction]],PerfRate[[#This Row],[RelationshipSatisfaction]])</f>
        <v>4.333333333333333</v>
      </c>
      <c r="R6089" s="2">
        <f>PerfRate[[#This Row],[ManagerRating]] - PerfRate[[#This Row],[SelfRating]]</f>
        <v>0</v>
      </c>
    </row>
    <row r="6090" spans="1:18">
      <c r="A6090" s="2" t="s">
        <v>10397</v>
      </c>
      <c r="B6090" s="2" t="s">
        <v>1593</v>
      </c>
      <c r="C6090" s="1">
        <v>44783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  <c r="L6090" s="2" t="s">
        <v>11029</v>
      </c>
      <c r="M6090" s="2" t="s">
        <v>11028</v>
      </c>
      <c r="N6090" s="2" t="s">
        <v>11038</v>
      </c>
      <c r="O6090" s="2" t="s">
        <v>11035</v>
      </c>
      <c r="P6090" s="2" t="s">
        <v>11037</v>
      </c>
      <c r="Q6090" s="2">
        <f>AVERAGE(PerfRate[[#This Row],[EnvironmentSatisfaction]],PerfRate[[#This Row],[JobSatisfaction]],PerfRate[[#This Row],[RelationshipSatisfaction]])</f>
        <v>3.6666666666666665</v>
      </c>
      <c r="R6090" s="2">
        <f>PerfRate[[#This Row],[ManagerRating]] - PerfRate[[#This Row],[SelfRating]]</f>
        <v>-1</v>
      </c>
    </row>
    <row r="6091" spans="1:18">
      <c r="A6091" s="2" t="s">
        <v>10398</v>
      </c>
      <c r="B6091" s="2" t="s">
        <v>2213</v>
      </c>
      <c r="C6091" s="1">
        <v>44783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  <c r="L6091" s="2" t="s">
        <v>11030</v>
      </c>
      <c r="M6091" s="2" t="s">
        <v>11029</v>
      </c>
      <c r="N6091" s="2" t="s">
        <v>11034</v>
      </c>
      <c r="O6091" s="2" t="s">
        <v>11035</v>
      </c>
      <c r="P6091" s="2" t="s">
        <v>11036</v>
      </c>
      <c r="Q6091" s="2">
        <f>AVERAGE(PerfRate[[#This Row],[EnvironmentSatisfaction]],PerfRate[[#This Row],[JobSatisfaction]],PerfRate[[#This Row],[RelationshipSatisfaction]])</f>
        <v>2</v>
      </c>
      <c r="R6091" s="2">
        <f>PerfRate[[#This Row],[ManagerRating]] - PerfRate[[#This Row],[SelfRating]]</f>
        <v>-1</v>
      </c>
    </row>
    <row r="6092" spans="1:18">
      <c r="A6092" s="2" t="s">
        <v>10399</v>
      </c>
      <c r="B6092" s="2" t="s">
        <v>3009</v>
      </c>
      <c r="C6092" s="1">
        <v>44783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  <c r="L6092" s="2" t="s">
        <v>11029</v>
      </c>
      <c r="M6092" s="2" t="s">
        <v>11028</v>
      </c>
      <c r="N6092" s="2" t="s">
        <v>11035</v>
      </c>
      <c r="O6092" s="2" t="s">
        <v>11037</v>
      </c>
      <c r="P6092" s="2" t="s">
        <v>11035</v>
      </c>
      <c r="Q6092" s="2">
        <f>AVERAGE(PerfRate[[#This Row],[EnvironmentSatisfaction]],PerfRate[[#This Row],[JobSatisfaction]],PerfRate[[#This Row],[RelationshipSatisfaction]])</f>
        <v>2.6666666666666665</v>
      </c>
      <c r="R6092" s="2">
        <f>PerfRate[[#This Row],[ManagerRating]] - PerfRate[[#This Row],[SelfRating]]</f>
        <v>-1</v>
      </c>
    </row>
    <row r="6093" spans="1:18">
      <c r="A6093" s="2" t="s">
        <v>10400</v>
      </c>
      <c r="B6093" s="2" t="s">
        <v>1230</v>
      </c>
      <c r="C6093" s="1">
        <v>44814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  <c r="L6093" s="2" t="s">
        <v>11030</v>
      </c>
      <c r="M6093" s="2" t="s">
        <v>11030</v>
      </c>
      <c r="N6093" s="2" t="s">
        <v>11038</v>
      </c>
      <c r="O6093" s="2" t="s">
        <v>11038</v>
      </c>
      <c r="P6093" s="2" t="s">
        <v>11037</v>
      </c>
      <c r="Q6093" s="2">
        <f>AVERAGE(PerfRate[[#This Row],[EnvironmentSatisfaction]],PerfRate[[#This Row],[JobSatisfaction]],PerfRate[[#This Row],[RelationshipSatisfaction]])</f>
        <v>4.666666666666667</v>
      </c>
      <c r="R6093" s="2">
        <f>PerfRate[[#This Row],[ManagerRating]] - PerfRate[[#This Row],[SelfRating]]</f>
        <v>0</v>
      </c>
    </row>
    <row r="6094" spans="1:18">
      <c r="A6094" s="2" t="s">
        <v>10401</v>
      </c>
      <c r="B6094" s="2" t="s">
        <v>223</v>
      </c>
      <c r="C6094" s="1">
        <v>42160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  <c r="L6094" s="2" t="s">
        <v>11030</v>
      </c>
      <c r="M6094" s="2" t="s">
        <v>11030</v>
      </c>
      <c r="N6094" s="2" t="s">
        <v>11036</v>
      </c>
      <c r="O6094" s="2" t="s">
        <v>11038</v>
      </c>
      <c r="P6094" s="2" t="s">
        <v>11038</v>
      </c>
      <c r="Q6094" s="2">
        <f>AVERAGE(PerfRate[[#This Row],[EnvironmentSatisfaction]],PerfRate[[#This Row],[JobSatisfaction]],PerfRate[[#This Row],[RelationshipSatisfaction]])</f>
        <v>4.333333333333333</v>
      </c>
      <c r="R6094" s="2">
        <f>PerfRate[[#This Row],[ManagerRating]] - PerfRate[[#This Row],[SelfRating]]</f>
        <v>0</v>
      </c>
    </row>
    <row r="6095" spans="1:18">
      <c r="A6095" s="2" t="s">
        <v>10402</v>
      </c>
      <c r="B6095" s="2" t="s">
        <v>3228</v>
      </c>
      <c r="C6095" s="1">
        <v>44814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  <c r="L6095" s="2" t="s">
        <v>11029</v>
      </c>
      <c r="M6095" s="2" t="s">
        <v>11028</v>
      </c>
      <c r="N6095" s="2" t="s">
        <v>11036</v>
      </c>
      <c r="O6095" s="2" t="s">
        <v>11037</v>
      </c>
      <c r="P6095" s="2" t="s">
        <v>11036</v>
      </c>
      <c r="Q6095" s="2">
        <f>AVERAGE(PerfRate[[#This Row],[EnvironmentSatisfaction]],PerfRate[[#This Row],[JobSatisfaction]],PerfRate[[#This Row],[RelationshipSatisfaction]])</f>
        <v>3.3333333333333335</v>
      </c>
      <c r="R6095" s="2">
        <f>PerfRate[[#This Row],[ManagerRating]] - PerfRate[[#This Row],[SelfRating]]</f>
        <v>-1</v>
      </c>
    </row>
    <row r="6096" spans="1:18">
      <c r="A6096" s="2" t="s">
        <v>10403</v>
      </c>
      <c r="B6096" s="2" t="s">
        <v>2697</v>
      </c>
      <c r="C6096" s="1">
        <v>44875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  <c r="L6096" s="2" t="s">
        <v>11029</v>
      </c>
      <c r="M6096" s="2" t="s">
        <v>11029</v>
      </c>
      <c r="N6096" s="2" t="s">
        <v>11038</v>
      </c>
      <c r="O6096" s="2" t="s">
        <v>11035</v>
      </c>
      <c r="P6096" s="2" t="s">
        <v>11037</v>
      </c>
      <c r="Q6096" s="2">
        <f>AVERAGE(PerfRate[[#This Row],[EnvironmentSatisfaction]],PerfRate[[#This Row],[JobSatisfaction]],PerfRate[[#This Row],[RelationshipSatisfaction]])</f>
        <v>3.6666666666666665</v>
      </c>
      <c r="R6096" s="2">
        <f>PerfRate[[#This Row],[ManagerRating]] - PerfRate[[#This Row],[SelfRating]]</f>
        <v>0</v>
      </c>
    </row>
    <row r="6097" spans="1:18">
      <c r="A6097" s="2" t="s">
        <v>10404</v>
      </c>
      <c r="B6097" s="2" t="s">
        <v>2712</v>
      </c>
      <c r="C6097" s="1">
        <v>44905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  <c r="L6097" s="2" t="s">
        <v>11029</v>
      </c>
      <c r="M6097" s="2" t="s">
        <v>11029</v>
      </c>
      <c r="N6097" s="2" t="s">
        <v>11038</v>
      </c>
      <c r="O6097" s="2" t="s">
        <v>11036</v>
      </c>
      <c r="P6097" s="2" t="s">
        <v>11036</v>
      </c>
      <c r="Q6097" s="2">
        <f>AVERAGE(PerfRate[[#This Row],[EnvironmentSatisfaction]],PerfRate[[#This Row],[JobSatisfaction]],PerfRate[[#This Row],[RelationshipSatisfaction]])</f>
        <v>3.6666666666666665</v>
      </c>
      <c r="R6097" s="2">
        <f>PerfRate[[#This Row],[ManagerRating]] - PerfRate[[#This Row],[SelfRating]]</f>
        <v>0</v>
      </c>
    </row>
    <row r="6098" spans="1:18">
      <c r="A6098" s="2" t="s">
        <v>10405</v>
      </c>
      <c r="B6098" s="2" t="s">
        <v>3428</v>
      </c>
      <c r="C6098" s="1">
        <v>44905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  <c r="L6098" s="2" t="s">
        <v>11029</v>
      </c>
      <c r="M6098" s="2" t="s">
        <v>11029</v>
      </c>
      <c r="N6098" s="2" t="s">
        <v>11038</v>
      </c>
      <c r="O6098" s="2" t="s">
        <v>11035</v>
      </c>
      <c r="P6098" s="2" t="s">
        <v>11036</v>
      </c>
      <c r="Q6098" s="2">
        <f>AVERAGE(PerfRate[[#This Row],[EnvironmentSatisfaction]],PerfRate[[#This Row],[JobSatisfaction]],PerfRate[[#This Row],[RelationshipSatisfaction]])</f>
        <v>3.3333333333333335</v>
      </c>
      <c r="R6098" s="2">
        <f>PerfRate[[#This Row],[ManagerRating]] - PerfRate[[#This Row],[SelfRating]]</f>
        <v>0</v>
      </c>
    </row>
    <row r="6099" spans="1:18">
      <c r="A6099" s="2" t="s">
        <v>10406</v>
      </c>
      <c r="B6099" s="2" t="s">
        <v>1485</v>
      </c>
      <c r="C6099" s="1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  <c r="L6099" s="2" t="s">
        <v>11030</v>
      </c>
      <c r="M6099" s="2" t="s">
        <v>11030</v>
      </c>
      <c r="N6099" s="2" t="s">
        <v>11037</v>
      </c>
      <c r="O6099" s="2" t="s">
        <v>11035</v>
      </c>
      <c r="P6099" s="2" t="s">
        <v>11038</v>
      </c>
      <c r="Q6099" s="2">
        <f>AVERAGE(PerfRate[[#This Row],[EnvironmentSatisfaction]],PerfRate[[#This Row],[JobSatisfaction]],PerfRate[[#This Row],[RelationshipSatisfaction]])</f>
        <v>3.6666666666666665</v>
      </c>
      <c r="R6099" s="2">
        <f>PerfRate[[#This Row],[ManagerRating]] - PerfRate[[#This Row],[SelfRating]]</f>
        <v>0</v>
      </c>
    </row>
    <row r="6100" spans="1:18">
      <c r="A6100" s="2" t="s">
        <v>10407</v>
      </c>
      <c r="B6100" s="2" t="s">
        <v>2242</v>
      </c>
      <c r="C6100" s="1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  <c r="L6100" s="2" t="s">
        <v>11031</v>
      </c>
      <c r="M6100" s="2" t="s">
        <v>11031</v>
      </c>
      <c r="N6100" s="2" t="s">
        <v>11036</v>
      </c>
      <c r="O6100" s="2" t="s">
        <v>11036</v>
      </c>
      <c r="P6100" s="2" t="s">
        <v>11036</v>
      </c>
      <c r="Q6100" s="2">
        <f>AVERAGE(PerfRate[[#This Row],[EnvironmentSatisfaction]],PerfRate[[#This Row],[JobSatisfaction]],PerfRate[[#This Row],[RelationshipSatisfaction]])</f>
        <v>3</v>
      </c>
      <c r="R6100" s="2">
        <f>PerfRate[[#This Row],[ManagerRating]] - PerfRate[[#This Row],[SelfRating]]</f>
        <v>0</v>
      </c>
    </row>
    <row r="6101" spans="1:18">
      <c r="A6101" s="2" t="s">
        <v>10408</v>
      </c>
      <c r="B6101" s="2" t="s">
        <v>2882</v>
      </c>
      <c r="C6101" s="1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  <c r="L6101" s="2" t="s">
        <v>11030</v>
      </c>
      <c r="M6101" s="2" t="s">
        <v>11030</v>
      </c>
      <c r="N6101" s="2" t="s">
        <v>11037</v>
      </c>
      <c r="O6101" s="2" t="s">
        <v>11036</v>
      </c>
      <c r="P6101" s="2" t="s">
        <v>11035</v>
      </c>
      <c r="Q6101" s="2">
        <f>AVERAGE(PerfRate[[#This Row],[EnvironmentSatisfaction]],PerfRate[[#This Row],[JobSatisfaction]],PerfRate[[#This Row],[RelationshipSatisfaction]])</f>
        <v>3</v>
      </c>
      <c r="R6101" s="2">
        <f>PerfRate[[#This Row],[ManagerRating]] - PerfRate[[#This Row],[SelfRating]]</f>
        <v>0</v>
      </c>
    </row>
    <row r="6102" spans="1:18">
      <c r="A6102" s="2" t="s">
        <v>10409</v>
      </c>
      <c r="B6102" s="2" t="s">
        <v>1210</v>
      </c>
      <c r="C6102" s="1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  <c r="L6102" s="2" t="s">
        <v>11029</v>
      </c>
      <c r="M6102" s="2" t="s">
        <v>11028</v>
      </c>
      <c r="N6102" s="2" t="s">
        <v>11036</v>
      </c>
      <c r="O6102" s="2" t="s">
        <v>11034</v>
      </c>
      <c r="P6102" s="2" t="s">
        <v>11035</v>
      </c>
      <c r="Q6102" s="2">
        <f>AVERAGE(PerfRate[[#This Row],[EnvironmentSatisfaction]],PerfRate[[#This Row],[JobSatisfaction]],PerfRate[[#This Row],[RelationshipSatisfaction]])</f>
        <v>2</v>
      </c>
      <c r="R6102" s="2">
        <f>PerfRate[[#This Row],[ManagerRating]] - PerfRate[[#This Row],[SelfRating]]</f>
        <v>-1</v>
      </c>
    </row>
    <row r="6103" spans="1:18">
      <c r="A6103" s="2" t="s">
        <v>10410</v>
      </c>
      <c r="B6103" s="2" t="s">
        <v>1059</v>
      </c>
      <c r="C6103" s="1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  <c r="L6103" s="2" t="s">
        <v>11029</v>
      </c>
      <c r="M6103" s="2" t="s">
        <v>11029</v>
      </c>
      <c r="N6103" s="2" t="s">
        <v>11034</v>
      </c>
      <c r="O6103" s="2" t="s">
        <v>11034</v>
      </c>
      <c r="P6103" s="2" t="s">
        <v>11034</v>
      </c>
      <c r="Q6103" s="2">
        <f>AVERAGE(PerfRate[[#This Row],[EnvironmentSatisfaction]],PerfRate[[#This Row],[JobSatisfaction]],PerfRate[[#This Row],[RelationshipSatisfaction]])</f>
        <v>1</v>
      </c>
      <c r="R6103" s="2">
        <f>PerfRate[[#This Row],[ManagerRating]] - PerfRate[[#This Row],[SelfRating]]</f>
        <v>0</v>
      </c>
    </row>
    <row r="6104" spans="1:18">
      <c r="A6104" s="2" t="s">
        <v>10411</v>
      </c>
      <c r="B6104" s="2" t="s">
        <v>1243</v>
      </c>
      <c r="C6104" s="1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  <c r="L6104" s="2" t="s">
        <v>11031</v>
      </c>
      <c r="M6104" s="2" t="s">
        <v>11031</v>
      </c>
      <c r="N6104" s="2" t="s">
        <v>11037</v>
      </c>
      <c r="O6104" s="2" t="s">
        <v>11036</v>
      </c>
      <c r="P6104" s="2" t="s">
        <v>11038</v>
      </c>
      <c r="Q6104" s="2">
        <f>AVERAGE(PerfRate[[#This Row],[EnvironmentSatisfaction]],PerfRate[[#This Row],[JobSatisfaction]],PerfRate[[#This Row],[RelationshipSatisfaction]])</f>
        <v>4</v>
      </c>
      <c r="R6104" s="2">
        <f>PerfRate[[#This Row],[ManagerRating]] - PerfRate[[#This Row],[SelfRating]]</f>
        <v>0</v>
      </c>
    </row>
    <row r="6105" spans="1:18">
      <c r="A6105" s="2" t="s">
        <v>10412</v>
      </c>
      <c r="B6105" s="2" t="s">
        <v>2117</v>
      </c>
      <c r="C6105" s="1">
        <v>42190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  <c r="L6105" s="2" t="s">
        <v>11031</v>
      </c>
      <c r="M6105" s="2" t="s">
        <v>11031</v>
      </c>
      <c r="N6105" s="2" t="s">
        <v>11037</v>
      </c>
      <c r="O6105" s="2" t="s">
        <v>11037</v>
      </c>
      <c r="P6105" s="2" t="s">
        <v>11035</v>
      </c>
      <c r="Q6105" s="2">
        <f>AVERAGE(PerfRate[[#This Row],[EnvironmentSatisfaction]],PerfRate[[#This Row],[JobSatisfaction]],PerfRate[[#This Row],[RelationshipSatisfaction]])</f>
        <v>3.3333333333333335</v>
      </c>
      <c r="R6105" s="2">
        <f>PerfRate[[#This Row],[ManagerRating]] - PerfRate[[#This Row],[SelfRating]]</f>
        <v>0</v>
      </c>
    </row>
    <row r="6106" spans="1:18">
      <c r="A6106" s="2" t="s">
        <v>10413</v>
      </c>
      <c r="B6106" s="2" t="s">
        <v>1400</v>
      </c>
      <c r="C6106" s="1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  <c r="L6106" s="2" t="s">
        <v>11030</v>
      </c>
      <c r="M6106" s="2" t="s">
        <v>11030</v>
      </c>
      <c r="N6106" s="2" t="s">
        <v>11038</v>
      </c>
      <c r="O6106" s="2" t="s">
        <v>11035</v>
      </c>
      <c r="P6106" s="2" t="s">
        <v>11036</v>
      </c>
      <c r="Q6106" s="2">
        <f>AVERAGE(PerfRate[[#This Row],[EnvironmentSatisfaction]],PerfRate[[#This Row],[JobSatisfaction]],PerfRate[[#This Row],[RelationshipSatisfaction]])</f>
        <v>3.3333333333333335</v>
      </c>
      <c r="R6106" s="2">
        <f>PerfRate[[#This Row],[ManagerRating]] - PerfRate[[#This Row],[SelfRating]]</f>
        <v>0</v>
      </c>
    </row>
    <row r="6107" spans="1:18">
      <c r="A6107" s="2" t="s">
        <v>10414</v>
      </c>
      <c r="B6107" s="2" t="s">
        <v>1130</v>
      </c>
      <c r="C6107" s="1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  <c r="L6107" s="2" t="s">
        <v>11030</v>
      </c>
      <c r="M6107" s="2" t="s">
        <v>11029</v>
      </c>
      <c r="N6107" s="2" t="s">
        <v>11037</v>
      </c>
      <c r="O6107" s="2" t="s">
        <v>11035</v>
      </c>
      <c r="P6107" s="2" t="s">
        <v>11038</v>
      </c>
      <c r="Q6107" s="2">
        <f>AVERAGE(PerfRate[[#This Row],[EnvironmentSatisfaction]],PerfRate[[#This Row],[JobSatisfaction]],PerfRate[[#This Row],[RelationshipSatisfaction]])</f>
        <v>3.6666666666666665</v>
      </c>
      <c r="R6107" s="2">
        <f>PerfRate[[#This Row],[ManagerRating]] - PerfRate[[#This Row],[SelfRating]]</f>
        <v>-1</v>
      </c>
    </row>
    <row r="6108" spans="1:18">
      <c r="A6108" s="2" t="s">
        <v>10415</v>
      </c>
      <c r="B6108" s="2" t="s">
        <v>3323</v>
      </c>
      <c r="C6108" s="1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  <c r="L6108" s="2" t="s">
        <v>11029</v>
      </c>
      <c r="M6108" s="2" t="s">
        <v>11028</v>
      </c>
      <c r="N6108" s="2" t="s">
        <v>11036</v>
      </c>
      <c r="O6108" s="2" t="s">
        <v>11037</v>
      </c>
      <c r="P6108" s="2" t="s">
        <v>11037</v>
      </c>
      <c r="Q6108" s="2">
        <f>AVERAGE(PerfRate[[#This Row],[EnvironmentSatisfaction]],PerfRate[[#This Row],[JobSatisfaction]],PerfRate[[#This Row],[RelationshipSatisfaction]])</f>
        <v>3.6666666666666665</v>
      </c>
      <c r="R6108" s="2">
        <f>PerfRate[[#This Row],[ManagerRating]] - PerfRate[[#This Row],[SelfRating]]</f>
        <v>-1</v>
      </c>
    </row>
    <row r="6109" spans="1:18">
      <c r="A6109" s="2" t="s">
        <v>10416</v>
      </c>
      <c r="B6109" s="2" t="s">
        <v>3611</v>
      </c>
      <c r="C6109" s="1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  <c r="L6109" s="2" t="s">
        <v>11031</v>
      </c>
      <c r="M6109" s="2" t="s">
        <v>11031</v>
      </c>
      <c r="N6109" s="2" t="s">
        <v>11038</v>
      </c>
      <c r="O6109" s="2" t="s">
        <v>11038</v>
      </c>
      <c r="P6109" s="2" t="s">
        <v>11036</v>
      </c>
      <c r="Q6109" s="2">
        <f>AVERAGE(PerfRate[[#This Row],[EnvironmentSatisfaction]],PerfRate[[#This Row],[JobSatisfaction]],PerfRate[[#This Row],[RelationshipSatisfaction]])</f>
        <v>4.333333333333333</v>
      </c>
      <c r="R6109" s="2">
        <f>PerfRate[[#This Row],[ManagerRating]] - PerfRate[[#This Row],[SelfRating]]</f>
        <v>0</v>
      </c>
    </row>
    <row r="6110" spans="1:18">
      <c r="A6110" s="2" t="s">
        <v>10417</v>
      </c>
      <c r="B6110" s="2" t="s">
        <v>1415</v>
      </c>
      <c r="C6110" s="1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  <c r="L6110" s="2" t="s">
        <v>11029</v>
      </c>
      <c r="M6110" s="2" t="s">
        <v>11029</v>
      </c>
      <c r="N6110" s="2" t="s">
        <v>11038</v>
      </c>
      <c r="O6110" s="2" t="s">
        <v>11037</v>
      </c>
      <c r="P6110" s="2" t="s">
        <v>11035</v>
      </c>
      <c r="Q6110" s="2">
        <f>AVERAGE(PerfRate[[#This Row],[EnvironmentSatisfaction]],PerfRate[[#This Row],[JobSatisfaction]],PerfRate[[#This Row],[RelationshipSatisfaction]])</f>
        <v>3.6666666666666665</v>
      </c>
      <c r="R6110" s="2">
        <f>PerfRate[[#This Row],[ManagerRating]] - PerfRate[[#This Row],[SelfRating]]</f>
        <v>0</v>
      </c>
    </row>
    <row r="6111" spans="1:18">
      <c r="A6111" s="2" t="s">
        <v>10418</v>
      </c>
      <c r="B6111" s="2" t="s">
        <v>1878</v>
      </c>
      <c r="C6111" s="1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  <c r="L6111" s="2" t="s">
        <v>11030</v>
      </c>
      <c r="M6111" s="2" t="s">
        <v>11029</v>
      </c>
      <c r="N6111" s="2" t="s">
        <v>11037</v>
      </c>
      <c r="O6111" s="2" t="s">
        <v>11038</v>
      </c>
      <c r="P6111" s="2" t="s">
        <v>11038</v>
      </c>
      <c r="Q6111" s="2">
        <f>AVERAGE(PerfRate[[#This Row],[EnvironmentSatisfaction]],PerfRate[[#This Row],[JobSatisfaction]],PerfRate[[#This Row],[RelationshipSatisfaction]])</f>
        <v>4.666666666666667</v>
      </c>
      <c r="R6111" s="2">
        <f>PerfRate[[#This Row],[ManagerRating]] - PerfRate[[#This Row],[SelfRating]]</f>
        <v>-1</v>
      </c>
    </row>
    <row r="6112" spans="1:18">
      <c r="A6112" s="2" t="s">
        <v>10419</v>
      </c>
      <c r="B6112" s="2" t="s">
        <v>2369</v>
      </c>
      <c r="C6112" s="1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  <c r="L6112" s="2" t="s">
        <v>11029</v>
      </c>
      <c r="M6112" s="2" t="s">
        <v>11028</v>
      </c>
      <c r="N6112" s="2" t="s">
        <v>11038</v>
      </c>
      <c r="O6112" s="2" t="s">
        <v>11037</v>
      </c>
      <c r="P6112" s="2" t="s">
        <v>11038</v>
      </c>
      <c r="Q6112" s="2">
        <f>AVERAGE(PerfRate[[#This Row],[EnvironmentSatisfaction]],PerfRate[[#This Row],[JobSatisfaction]],PerfRate[[#This Row],[RelationshipSatisfaction]])</f>
        <v>4.666666666666667</v>
      </c>
      <c r="R6112" s="2">
        <f>PerfRate[[#This Row],[ManagerRating]] - PerfRate[[#This Row],[SelfRating]]</f>
        <v>-1</v>
      </c>
    </row>
    <row r="6113" spans="1:18">
      <c r="A6113" s="2" t="s">
        <v>10420</v>
      </c>
      <c r="B6113" s="2" t="s">
        <v>3215</v>
      </c>
      <c r="C6113" s="1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  <c r="L6113" s="2" t="s">
        <v>11029</v>
      </c>
      <c r="M6113" s="2" t="s">
        <v>11029</v>
      </c>
      <c r="N6113" s="2" t="s">
        <v>11038</v>
      </c>
      <c r="O6113" s="2" t="s">
        <v>11036</v>
      </c>
      <c r="P6113" s="2" t="s">
        <v>11038</v>
      </c>
      <c r="Q6113" s="2">
        <f>AVERAGE(PerfRate[[#This Row],[EnvironmentSatisfaction]],PerfRate[[#This Row],[JobSatisfaction]],PerfRate[[#This Row],[RelationshipSatisfaction]])</f>
        <v>4.333333333333333</v>
      </c>
      <c r="R6113" s="2">
        <f>PerfRate[[#This Row],[ManagerRating]] - PerfRate[[#This Row],[SelfRating]]</f>
        <v>0</v>
      </c>
    </row>
    <row r="6114" spans="1:18">
      <c r="A6114" s="2" t="s">
        <v>10421</v>
      </c>
      <c r="B6114" s="2" t="s">
        <v>2843</v>
      </c>
      <c r="C6114" s="1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  <c r="L6114" s="2" t="s">
        <v>11030</v>
      </c>
      <c r="M6114" s="2" t="s">
        <v>11030</v>
      </c>
      <c r="N6114" s="2" t="s">
        <v>11038</v>
      </c>
      <c r="O6114" s="2" t="s">
        <v>11036</v>
      </c>
      <c r="P6114" s="2" t="s">
        <v>11035</v>
      </c>
      <c r="Q6114" s="2">
        <f>AVERAGE(PerfRate[[#This Row],[EnvironmentSatisfaction]],PerfRate[[#This Row],[JobSatisfaction]],PerfRate[[#This Row],[RelationshipSatisfaction]])</f>
        <v>3.3333333333333335</v>
      </c>
      <c r="R6114" s="2">
        <f>PerfRate[[#This Row],[ManagerRating]] - PerfRate[[#This Row],[SelfRating]]</f>
        <v>0</v>
      </c>
    </row>
    <row r="6115" spans="1:18">
      <c r="A6115" s="2" t="s">
        <v>10422</v>
      </c>
      <c r="B6115" s="2" t="s">
        <v>2354</v>
      </c>
      <c r="C6115" s="1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  <c r="L6115" s="2" t="s">
        <v>11030</v>
      </c>
      <c r="M6115" s="2" t="s">
        <v>11029</v>
      </c>
      <c r="N6115" s="2" t="s">
        <v>11036</v>
      </c>
      <c r="O6115" s="2" t="s">
        <v>11037</v>
      </c>
      <c r="P6115" s="2" t="s">
        <v>11037</v>
      </c>
      <c r="Q6115" s="2">
        <f>AVERAGE(PerfRate[[#This Row],[EnvironmentSatisfaction]],PerfRate[[#This Row],[JobSatisfaction]],PerfRate[[#This Row],[RelationshipSatisfaction]])</f>
        <v>3.6666666666666665</v>
      </c>
      <c r="R6115" s="2">
        <f>PerfRate[[#This Row],[ManagerRating]] - PerfRate[[#This Row],[SelfRating]]</f>
        <v>-1</v>
      </c>
    </row>
    <row r="6116" spans="1:18">
      <c r="A6116" s="2" t="s">
        <v>10423</v>
      </c>
      <c r="B6116" s="2" t="s">
        <v>1180</v>
      </c>
      <c r="C6116" s="1">
        <v>41308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  <c r="L6116" s="2" t="s">
        <v>11031</v>
      </c>
      <c r="M6116" s="2" t="s">
        <v>11031</v>
      </c>
      <c r="N6116" s="2" t="s">
        <v>11036</v>
      </c>
      <c r="O6116" s="2" t="s">
        <v>11035</v>
      </c>
      <c r="P6116" s="2" t="s">
        <v>11035</v>
      </c>
      <c r="Q6116" s="2">
        <f>AVERAGE(PerfRate[[#This Row],[EnvironmentSatisfaction]],PerfRate[[#This Row],[JobSatisfaction]],PerfRate[[#This Row],[RelationshipSatisfaction]])</f>
        <v>2.3333333333333335</v>
      </c>
      <c r="R6116" s="2">
        <f>PerfRate[[#This Row],[ManagerRating]] - PerfRate[[#This Row],[SelfRating]]</f>
        <v>0</v>
      </c>
    </row>
    <row r="6117" spans="1:18">
      <c r="A6117" s="2" t="s">
        <v>10424</v>
      </c>
      <c r="B6117" s="2" t="s">
        <v>3091</v>
      </c>
      <c r="C6117" s="1">
        <v>42190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  <c r="L6117" s="2" t="s">
        <v>11030</v>
      </c>
      <c r="M6117" s="2" t="s">
        <v>11029</v>
      </c>
      <c r="N6117" s="2" t="s">
        <v>11037</v>
      </c>
      <c r="O6117" s="2" t="s">
        <v>11037</v>
      </c>
      <c r="P6117" s="2" t="s">
        <v>11036</v>
      </c>
      <c r="Q6117" s="2">
        <f>AVERAGE(PerfRate[[#This Row],[EnvironmentSatisfaction]],PerfRate[[#This Row],[JobSatisfaction]],PerfRate[[#This Row],[RelationshipSatisfaction]])</f>
        <v>3.6666666666666665</v>
      </c>
      <c r="R6117" s="2">
        <f>PerfRate[[#This Row],[ManagerRating]] - PerfRate[[#This Row],[SelfRating]]</f>
        <v>-1</v>
      </c>
    </row>
    <row r="6118" spans="1:18">
      <c r="A6118" s="2" t="s">
        <v>10425</v>
      </c>
      <c r="B6118" s="2" t="s">
        <v>637</v>
      </c>
      <c r="C6118" s="1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  <c r="L6118" s="2" t="s">
        <v>11030</v>
      </c>
      <c r="M6118" s="2" t="s">
        <v>11030</v>
      </c>
      <c r="N6118" s="2" t="s">
        <v>11038</v>
      </c>
      <c r="O6118" s="2" t="s">
        <v>11037</v>
      </c>
      <c r="P6118" s="2" t="s">
        <v>11037</v>
      </c>
      <c r="Q6118" s="2">
        <f>AVERAGE(PerfRate[[#This Row],[EnvironmentSatisfaction]],PerfRate[[#This Row],[JobSatisfaction]],PerfRate[[#This Row],[RelationshipSatisfaction]])</f>
        <v>4.333333333333333</v>
      </c>
      <c r="R6118" s="2">
        <f>PerfRate[[#This Row],[ManagerRating]] - PerfRate[[#This Row],[SelfRating]]</f>
        <v>0</v>
      </c>
    </row>
    <row r="6119" spans="1:18">
      <c r="A6119" s="2" t="s">
        <v>10426</v>
      </c>
      <c r="B6119" s="2" t="s">
        <v>872</v>
      </c>
      <c r="C6119" s="1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  <c r="L6119" s="2" t="s">
        <v>11030</v>
      </c>
      <c r="M6119" s="2" t="s">
        <v>11029</v>
      </c>
      <c r="N6119" s="2" t="s">
        <v>11035</v>
      </c>
      <c r="O6119" s="2" t="s">
        <v>11037</v>
      </c>
      <c r="P6119" s="2" t="s">
        <v>11036</v>
      </c>
      <c r="Q6119" s="2">
        <f>AVERAGE(PerfRate[[#This Row],[EnvironmentSatisfaction]],PerfRate[[#This Row],[JobSatisfaction]],PerfRate[[#This Row],[RelationshipSatisfaction]])</f>
        <v>3</v>
      </c>
      <c r="R6119" s="2">
        <f>PerfRate[[#This Row],[ManagerRating]] - PerfRate[[#This Row],[SelfRating]]</f>
        <v>-1</v>
      </c>
    </row>
    <row r="6120" spans="1:18">
      <c r="A6120" s="2" t="s">
        <v>10427</v>
      </c>
      <c r="B6120" s="2" t="s">
        <v>720</v>
      </c>
      <c r="C6120" s="1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  <c r="L6120" s="2" t="s">
        <v>11030</v>
      </c>
      <c r="M6120" s="2" t="s">
        <v>11029</v>
      </c>
      <c r="N6120" s="2" t="s">
        <v>11035</v>
      </c>
      <c r="O6120" s="2" t="s">
        <v>11036</v>
      </c>
      <c r="P6120" s="2" t="s">
        <v>11035</v>
      </c>
      <c r="Q6120" s="2">
        <f>AVERAGE(PerfRate[[#This Row],[EnvironmentSatisfaction]],PerfRate[[#This Row],[JobSatisfaction]],PerfRate[[#This Row],[RelationshipSatisfaction]])</f>
        <v>2.3333333333333335</v>
      </c>
      <c r="R6120" s="2">
        <f>PerfRate[[#This Row],[ManagerRating]] - PerfRate[[#This Row],[SelfRating]]</f>
        <v>-1</v>
      </c>
    </row>
    <row r="6121" spans="1:18">
      <c r="A6121" s="2" t="s">
        <v>10428</v>
      </c>
      <c r="B6121" s="2" t="s">
        <v>1912</v>
      </c>
      <c r="C6121" s="1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  <c r="L6121" s="2" t="s">
        <v>11029</v>
      </c>
      <c r="M6121" s="2" t="s">
        <v>11029</v>
      </c>
      <c r="N6121" s="2" t="s">
        <v>11036</v>
      </c>
      <c r="O6121" s="2" t="s">
        <v>11035</v>
      </c>
      <c r="P6121" s="2" t="s">
        <v>11036</v>
      </c>
      <c r="Q6121" s="2">
        <f>AVERAGE(PerfRate[[#This Row],[EnvironmentSatisfaction]],PerfRate[[#This Row],[JobSatisfaction]],PerfRate[[#This Row],[RelationshipSatisfaction]])</f>
        <v>2.6666666666666665</v>
      </c>
      <c r="R6121" s="2">
        <f>PerfRate[[#This Row],[ManagerRating]] - PerfRate[[#This Row],[SelfRating]]</f>
        <v>0</v>
      </c>
    </row>
    <row r="6122" spans="1:18">
      <c r="A6122" s="2" t="s">
        <v>10429</v>
      </c>
      <c r="B6122" s="2" t="s">
        <v>1821</v>
      </c>
      <c r="C6122" s="1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  <c r="L6122" s="2" t="s">
        <v>11030</v>
      </c>
      <c r="M6122" s="2" t="s">
        <v>11029</v>
      </c>
      <c r="N6122" s="2" t="s">
        <v>11037</v>
      </c>
      <c r="O6122" s="2" t="s">
        <v>11037</v>
      </c>
      <c r="P6122" s="2" t="s">
        <v>11036</v>
      </c>
      <c r="Q6122" s="2">
        <f>AVERAGE(PerfRate[[#This Row],[EnvironmentSatisfaction]],PerfRate[[#This Row],[JobSatisfaction]],PerfRate[[#This Row],[RelationshipSatisfaction]])</f>
        <v>3.6666666666666665</v>
      </c>
      <c r="R6122" s="2">
        <f>PerfRate[[#This Row],[ManagerRating]] - PerfRate[[#This Row],[SelfRating]]</f>
        <v>-1</v>
      </c>
    </row>
    <row r="6123" spans="1:18">
      <c r="A6123" s="2" t="s">
        <v>10430</v>
      </c>
      <c r="B6123" s="2" t="s">
        <v>1898</v>
      </c>
      <c r="C6123" s="1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  <c r="L6123" s="2" t="s">
        <v>11031</v>
      </c>
      <c r="M6123" s="2" t="s">
        <v>11030</v>
      </c>
      <c r="N6123" s="2" t="s">
        <v>11037</v>
      </c>
      <c r="O6123" s="2" t="s">
        <v>11035</v>
      </c>
      <c r="P6123" s="2" t="s">
        <v>11036</v>
      </c>
      <c r="Q6123" s="2">
        <f>AVERAGE(PerfRate[[#This Row],[EnvironmentSatisfaction]],PerfRate[[#This Row],[JobSatisfaction]],PerfRate[[#This Row],[RelationshipSatisfaction]])</f>
        <v>3</v>
      </c>
      <c r="R6123" s="2">
        <f>PerfRate[[#This Row],[ManagerRating]] - PerfRate[[#This Row],[SelfRating]]</f>
        <v>-1</v>
      </c>
    </row>
    <row r="6124" spans="1:18">
      <c r="A6124" s="2" t="s">
        <v>10431</v>
      </c>
      <c r="B6124" s="2" t="s">
        <v>3138</v>
      </c>
      <c r="C6124" s="1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  <c r="L6124" s="2" t="s">
        <v>11029</v>
      </c>
      <c r="M6124" s="2" t="s">
        <v>11028</v>
      </c>
      <c r="N6124" s="2" t="s">
        <v>11034</v>
      </c>
      <c r="O6124" s="2" t="s">
        <v>11036</v>
      </c>
      <c r="P6124" s="2" t="s">
        <v>11037</v>
      </c>
      <c r="Q6124" s="2">
        <f>AVERAGE(PerfRate[[#This Row],[EnvironmentSatisfaction]],PerfRate[[#This Row],[JobSatisfaction]],PerfRate[[#This Row],[RelationshipSatisfaction]])</f>
        <v>2.6666666666666665</v>
      </c>
      <c r="R6124" s="2">
        <f>PerfRate[[#This Row],[ManagerRating]] - PerfRate[[#This Row],[SelfRating]]</f>
        <v>-1</v>
      </c>
    </row>
    <row r="6125" spans="1:18">
      <c r="A6125" s="2" t="s">
        <v>10432</v>
      </c>
      <c r="B6125" s="2" t="s">
        <v>1629</v>
      </c>
      <c r="C6125" s="1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  <c r="L6125" s="2" t="s">
        <v>11029</v>
      </c>
      <c r="M6125" s="2" t="s">
        <v>11029</v>
      </c>
      <c r="N6125" s="2" t="s">
        <v>11037</v>
      </c>
      <c r="O6125" s="2" t="s">
        <v>11038</v>
      </c>
      <c r="P6125" s="2" t="s">
        <v>11037</v>
      </c>
      <c r="Q6125" s="2">
        <f>AVERAGE(PerfRate[[#This Row],[EnvironmentSatisfaction]],PerfRate[[#This Row],[JobSatisfaction]],PerfRate[[#This Row],[RelationshipSatisfaction]])</f>
        <v>4.333333333333333</v>
      </c>
      <c r="R6125" s="2">
        <f>PerfRate[[#This Row],[ManagerRating]] - PerfRate[[#This Row],[SelfRating]]</f>
        <v>0</v>
      </c>
    </row>
    <row r="6126" spans="1:18">
      <c r="A6126" s="2" t="s">
        <v>10433</v>
      </c>
      <c r="B6126" s="2" t="s">
        <v>2266</v>
      </c>
      <c r="C6126" s="1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  <c r="L6126" s="2" t="s">
        <v>11031</v>
      </c>
      <c r="M6126" s="2" t="s">
        <v>11031</v>
      </c>
      <c r="N6126" s="2" t="s">
        <v>11037</v>
      </c>
      <c r="O6126" s="2" t="s">
        <v>11035</v>
      </c>
      <c r="P6126" s="2" t="s">
        <v>11035</v>
      </c>
      <c r="Q6126" s="2">
        <f>AVERAGE(PerfRate[[#This Row],[EnvironmentSatisfaction]],PerfRate[[#This Row],[JobSatisfaction]],PerfRate[[#This Row],[RelationshipSatisfaction]])</f>
        <v>2.6666666666666665</v>
      </c>
      <c r="R6126" s="2">
        <f>PerfRate[[#This Row],[ManagerRating]] - PerfRate[[#This Row],[SelfRating]]</f>
        <v>0</v>
      </c>
    </row>
    <row r="6127" spans="1:18">
      <c r="A6127" s="2" t="s">
        <v>10434</v>
      </c>
      <c r="B6127" s="2" t="s">
        <v>359</v>
      </c>
      <c r="C6127" s="1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  <c r="L6127" s="2" t="s">
        <v>11029</v>
      </c>
      <c r="M6127" s="2" t="s">
        <v>11029</v>
      </c>
      <c r="N6127" s="2" t="s">
        <v>11036</v>
      </c>
      <c r="O6127" s="2" t="s">
        <v>11036</v>
      </c>
      <c r="P6127" s="2" t="s">
        <v>11036</v>
      </c>
      <c r="Q6127" s="2">
        <f>AVERAGE(PerfRate[[#This Row],[EnvironmentSatisfaction]],PerfRate[[#This Row],[JobSatisfaction]],PerfRate[[#This Row],[RelationshipSatisfaction]])</f>
        <v>3</v>
      </c>
      <c r="R6127" s="2">
        <f>PerfRate[[#This Row],[ManagerRating]] - PerfRate[[#This Row],[SelfRating]]</f>
        <v>0</v>
      </c>
    </row>
    <row r="6128" spans="1:18">
      <c r="A6128" s="2" t="s">
        <v>10435</v>
      </c>
      <c r="B6128" s="2" t="s">
        <v>1321</v>
      </c>
      <c r="C6128" s="1">
        <v>42190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  <c r="L6128" s="2" t="s">
        <v>11031</v>
      </c>
      <c r="M6128" s="2" t="s">
        <v>11031</v>
      </c>
      <c r="N6128" s="2" t="s">
        <v>11038</v>
      </c>
      <c r="O6128" s="2" t="s">
        <v>11036</v>
      </c>
      <c r="P6128" s="2" t="s">
        <v>11036</v>
      </c>
      <c r="Q6128" s="2">
        <f>AVERAGE(PerfRate[[#This Row],[EnvironmentSatisfaction]],PerfRate[[#This Row],[JobSatisfaction]],PerfRate[[#This Row],[RelationshipSatisfaction]])</f>
        <v>3.6666666666666665</v>
      </c>
      <c r="R6128" s="2">
        <f>PerfRate[[#This Row],[ManagerRating]] - PerfRate[[#This Row],[SelfRating]]</f>
        <v>0</v>
      </c>
    </row>
    <row r="6129" spans="1:18">
      <c r="A6129" s="2" t="s">
        <v>10436</v>
      </c>
      <c r="B6129" s="2" t="s">
        <v>1412</v>
      </c>
      <c r="C6129" s="1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  <c r="L6129" s="2" t="s">
        <v>11031</v>
      </c>
      <c r="M6129" s="2" t="s">
        <v>11030</v>
      </c>
      <c r="N6129" s="2" t="s">
        <v>11038</v>
      </c>
      <c r="O6129" s="2" t="s">
        <v>11037</v>
      </c>
      <c r="P6129" s="2" t="s">
        <v>11038</v>
      </c>
      <c r="Q6129" s="2">
        <f>AVERAGE(PerfRate[[#This Row],[EnvironmentSatisfaction]],PerfRate[[#This Row],[JobSatisfaction]],PerfRate[[#This Row],[RelationshipSatisfaction]])</f>
        <v>4.666666666666667</v>
      </c>
      <c r="R6129" s="2">
        <f>PerfRate[[#This Row],[ManagerRating]] - PerfRate[[#This Row],[SelfRating]]</f>
        <v>-1</v>
      </c>
    </row>
    <row r="6130" spans="1:18">
      <c r="A6130" s="2" t="s">
        <v>10437</v>
      </c>
      <c r="B6130" s="2" t="s">
        <v>2245</v>
      </c>
      <c r="C6130" s="1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  <c r="L6130" s="2" t="s">
        <v>11029</v>
      </c>
      <c r="M6130" s="2" t="s">
        <v>11029</v>
      </c>
      <c r="N6130" s="2" t="s">
        <v>11036</v>
      </c>
      <c r="O6130" s="2" t="s">
        <v>11037</v>
      </c>
      <c r="P6130" s="2" t="s">
        <v>11034</v>
      </c>
      <c r="Q6130" s="2">
        <f>AVERAGE(PerfRate[[#This Row],[EnvironmentSatisfaction]],PerfRate[[#This Row],[JobSatisfaction]],PerfRate[[#This Row],[RelationshipSatisfaction]])</f>
        <v>2.6666666666666665</v>
      </c>
      <c r="R6130" s="2">
        <f>PerfRate[[#This Row],[ManagerRating]] - PerfRate[[#This Row],[SelfRating]]</f>
        <v>0</v>
      </c>
    </row>
    <row r="6131" spans="1:18">
      <c r="A6131" s="2" t="s">
        <v>10438</v>
      </c>
      <c r="B6131" s="2" t="s">
        <v>3245</v>
      </c>
      <c r="C6131" s="1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  <c r="L6131" s="2" t="s">
        <v>11030</v>
      </c>
      <c r="M6131" s="2" t="s">
        <v>11030</v>
      </c>
      <c r="N6131" s="2" t="s">
        <v>11035</v>
      </c>
      <c r="O6131" s="2" t="s">
        <v>11034</v>
      </c>
      <c r="P6131" s="2" t="s">
        <v>11035</v>
      </c>
      <c r="Q6131" s="2">
        <f>AVERAGE(PerfRate[[#This Row],[EnvironmentSatisfaction]],PerfRate[[#This Row],[JobSatisfaction]],PerfRate[[#This Row],[RelationshipSatisfaction]])</f>
        <v>1.6666666666666667</v>
      </c>
      <c r="R6131" s="2">
        <f>PerfRate[[#This Row],[ManagerRating]] - PerfRate[[#This Row],[SelfRating]]</f>
        <v>0</v>
      </c>
    </row>
    <row r="6132" spans="1:18">
      <c r="A6132" s="2" t="s">
        <v>10439</v>
      </c>
      <c r="B6132" s="2" t="s">
        <v>1482</v>
      </c>
      <c r="C6132" s="1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  <c r="L6132" s="2" t="s">
        <v>11029</v>
      </c>
      <c r="M6132" s="2" t="s">
        <v>11029</v>
      </c>
      <c r="N6132" s="2" t="s">
        <v>11037</v>
      </c>
      <c r="O6132" s="2" t="s">
        <v>11038</v>
      </c>
      <c r="P6132" s="2" t="s">
        <v>11036</v>
      </c>
      <c r="Q6132" s="2">
        <f>AVERAGE(PerfRate[[#This Row],[EnvironmentSatisfaction]],PerfRate[[#This Row],[JobSatisfaction]],PerfRate[[#This Row],[RelationshipSatisfaction]])</f>
        <v>4</v>
      </c>
      <c r="R6132" s="2">
        <f>PerfRate[[#This Row],[ManagerRating]] - PerfRate[[#This Row],[SelfRating]]</f>
        <v>0</v>
      </c>
    </row>
    <row r="6133" spans="1:18">
      <c r="A6133" s="2" t="s">
        <v>10440</v>
      </c>
      <c r="B6133" s="2" t="s">
        <v>1824</v>
      </c>
      <c r="C6133" s="1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  <c r="L6133" s="2" t="s">
        <v>11031</v>
      </c>
      <c r="M6133" s="2" t="s">
        <v>11030</v>
      </c>
      <c r="N6133" s="2" t="s">
        <v>11037</v>
      </c>
      <c r="O6133" s="2" t="s">
        <v>11037</v>
      </c>
      <c r="P6133" s="2" t="s">
        <v>11037</v>
      </c>
      <c r="Q6133" s="2">
        <f>AVERAGE(PerfRate[[#This Row],[EnvironmentSatisfaction]],PerfRate[[#This Row],[JobSatisfaction]],PerfRate[[#This Row],[RelationshipSatisfaction]])</f>
        <v>4</v>
      </c>
      <c r="R6133" s="2">
        <f>PerfRate[[#This Row],[ManagerRating]] - PerfRate[[#This Row],[SelfRating]]</f>
        <v>-1</v>
      </c>
    </row>
    <row r="6134" spans="1:18">
      <c r="A6134" s="2" t="s">
        <v>10441</v>
      </c>
      <c r="B6134" s="2" t="s">
        <v>806</v>
      </c>
      <c r="C6134" s="1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  <c r="L6134" s="2" t="s">
        <v>11029</v>
      </c>
      <c r="M6134" s="2" t="s">
        <v>11028</v>
      </c>
      <c r="N6134" s="2" t="s">
        <v>11037</v>
      </c>
      <c r="O6134" s="2" t="s">
        <v>11035</v>
      </c>
      <c r="P6134" s="2" t="s">
        <v>11034</v>
      </c>
      <c r="Q6134" s="2">
        <f>AVERAGE(PerfRate[[#This Row],[EnvironmentSatisfaction]],PerfRate[[#This Row],[JobSatisfaction]],PerfRate[[#This Row],[RelationshipSatisfaction]])</f>
        <v>2.3333333333333335</v>
      </c>
      <c r="R6134" s="2">
        <f>PerfRate[[#This Row],[ManagerRating]] - PerfRate[[#This Row],[SelfRating]]</f>
        <v>-1</v>
      </c>
    </row>
    <row r="6135" spans="1:18">
      <c r="A6135" s="2" t="s">
        <v>10442</v>
      </c>
      <c r="B6135" s="2" t="s">
        <v>808</v>
      </c>
      <c r="C6135" s="1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  <c r="L6135" s="2" t="s">
        <v>11030</v>
      </c>
      <c r="M6135" s="2" t="s">
        <v>11029</v>
      </c>
      <c r="N6135" s="2" t="s">
        <v>11035</v>
      </c>
      <c r="O6135" s="2" t="s">
        <v>11034</v>
      </c>
      <c r="P6135" s="2" t="s">
        <v>11034</v>
      </c>
      <c r="Q6135" s="2">
        <f>AVERAGE(PerfRate[[#This Row],[EnvironmentSatisfaction]],PerfRate[[#This Row],[JobSatisfaction]],PerfRate[[#This Row],[RelationshipSatisfaction]])</f>
        <v>1.3333333333333333</v>
      </c>
      <c r="R6135" s="2">
        <f>PerfRate[[#This Row],[ManagerRating]] - PerfRate[[#This Row],[SelfRating]]</f>
        <v>-1</v>
      </c>
    </row>
    <row r="6136" spans="1:18">
      <c r="A6136" s="2" t="s">
        <v>10443</v>
      </c>
      <c r="B6136" s="2" t="s">
        <v>2027</v>
      </c>
      <c r="C6136" s="1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  <c r="L6136" s="2" t="s">
        <v>11029</v>
      </c>
      <c r="M6136" s="2" t="s">
        <v>11028</v>
      </c>
      <c r="N6136" s="2" t="s">
        <v>11037</v>
      </c>
      <c r="O6136" s="2" t="s">
        <v>11038</v>
      </c>
      <c r="P6136" s="2" t="s">
        <v>11035</v>
      </c>
      <c r="Q6136" s="2">
        <f>AVERAGE(PerfRate[[#This Row],[EnvironmentSatisfaction]],PerfRate[[#This Row],[JobSatisfaction]],PerfRate[[#This Row],[RelationshipSatisfaction]])</f>
        <v>3.6666666666666665</v>
      </c>
      <c r="R6136" s="2">
        <f>PerfRate[[#This Row],[ManagerRating]] - PerfRate[[#This Row],[SelfRating]]</f>
        <v>-1</v>
      </c>
    </row>
    <row r="6137" spans="1:18">
      <c r="A6137" s="2" t="s">
        <v>10444</v>
      </c>
      <c r="B6137" s="2" t="s">
        <v>3054</v>
      </c>
      <c r="C6137" s="1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  <c r="L6137" s="2" t="s">
        <v>11029</v>
      </c>
      <c r="M6137" s="2" t="s">
        <v>11029</v>
      </c>
      <c r="N6137" s="2" t="s">
        <v>11036</v>
      </c>
      <c r="O6137" s="2" t="s">
        <v>11036</v>
      </c>
      <c r="P6137" s="2" t="s">
        <v>11038</v>
      </c>
      <c r="Q6137" s="2">
        <f>AVERAGE(PerfRate[[#This Row],[EnvironmentSatisfaction]],PerfRate[[#This Row],[JobSatisfaction]],PerfRate[[#This Row],[RelationshipSatisfaction]])</f>
        <v>3.6666666666666665</v>
      </c>
      <c r="R6137" s="2">
        <f>PerfRate[[#This Row],[ManagerRating]] - PerfRate[[#This Row],[SelfRating]]</f>
        <v>0</v>
      </c>
    </row>
    <row r="6138" spans="1:18">
      <c r="A6138" s="2" t="s">
        <v>10445</v>
      </c>
      <c r="B6138" s="2" t="s">
        <v>431</v>
      </c>
      <c r="C6138" s="1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  <c r="L6138" s="2" t="s">
        <v>11029</v>
      </c>
      <c r="M6138" s="2" t="s">
        <v>11029</v>
      </c>
      <c r="N6138" s="2" t="s">
        <v>11036</v>
      </c>
      <c r="O6138" s="2" t="s">
        <v>11035</v>
      </c>
      <c r="P6138" s="2" t="s">
        <v>11036</v>
      </c>
      <c r="Q6138" s="2">
        <f>AVERAGE(PerfRate[[#This Row],[EnvironmentSatisfaction]],PerfRate[[#This Row],[JobSatisfaction]],PerfRate[[#This Row],[RelationshipSatisfaction]])</f>
        <v>2.6666666666666665</v>
      </c>
      <c r="R6138" s="2">
        <f>PerfRate[[#This Row],[ManagerRating]] - PerfRate[[#This Row],[SelfRating]]</f>
        <v>0</v>
      </c>
    </row>
    <row r="6139" spans="1:18">
      <c r="A6139" s="2" t="s">
        <v>10446</v>
      </c>
      <c r="B6139" s="2" t="s">
        <v>3945</v>
      </c>
      <c r="C6139" s="1">
        <v>42221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  <c r="L6139" s="2" t="s">
        <v>11029</v>
      </c>
      <c r="M6139" s="2" t="s">
        <v>11029</v>
      </c>
      <c r="N6139" s="2" t="s">
        <v>11038</v>
      </c>
      <c r="O6139" s="2" t="s">
        <v>11038</v>
      </c>
      <c r="P6139" s="2" t="s">
        <v>11037</v>
      </c>
      <c r="Q6139" s="2">
        <f>AVERAGE(PerfRate[[#This Row],[EnvironmentSatisfaction]],PerfRate[[#This Row],[JobSatisfaction]],PerfRate[[#This Row],[RelationshipSatisfaction]])</f>
        <v>4.666666666666667</v>
      </c>
      <c r="R6139" s="2">
        <f>PerfRate[[#This Row],[ManagerRating]] - PerfRate[[#This Row],[SelfRating]]</f>
        <v>0</v>
      </c>
    </row>
    <row r="6140" spans="1:18">
      <c r="A6140" s="2" t="s">
        <v>10447</v>
      </c>
      <c r="B6140" s="2" t="s">
        <v>649</v>
      </c>
      <c r="C6140" s="1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  <c r="L6140" s="2" t="s">
        <v>11030</v>
      </c>
      <c r="M6140" s="2" t="s">
        <v>11030</v>
      </c>
      <c r="N6140" s="2" t="s">
        <v>11038</v>
      </c>
      <c r="O6140" s="2" t="s">
        <v>11038</v>
      </c>
      <c r="P6140" s="2" t="s">
        <v>11038</v>
      </c>
      <c r="Q6140" s="2">
        <f>AVERAGE(PerfRate[[#This Row],[EnvironmentSatisfaction]],PerfRate[[#This Row],[JobSatisfaction]],PerfRate[[#This Row],[RelationshipSatisfaction]])</f>
        <v>5</v>
      </c>
      <c r="R6140" s="2">
        <f>PerfRate[[#This Row],[ManagerRating]] - PerfRate[[#This Row],[SelfRating]]</f>
        <v>0</v>
      </c>
    </row>
    <row r="6141" spans="1:18">
      <c r="A6141" s="2" t="s">
        <v>10448</v>
      </c>
      <c r="B6141" s="2" t="s">
        <v>1003</v>
      </c>
      <c r="C6141" s="1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  <c r="L6141" s="2" t="s">
        <v>11029</v>
      </c>
      <c r="M6141" s="2" t="s">
        <v>11029</v>
      </c>
      <c r="N6141" s="2" t="s">
        <v>11036</v>
      </c>
      <c r="O6141" s="2" t="s">
        <v>11037</v>
      </c>
      <c r="P6141" s="2" t="s">
        <v>11038</v>
      </c>
      <c r="Q6141" s="2">
        <f>AVERAGE(PerfRate[[#This Row],[EnvironmentSatisfaction]],PerfRate[[#This Row],[JobSatisfaction]],PerfRate[[#This Row],[RelationshipSatisfaction]])</f>
        <v>4</v>
      </c>
      <c r="R6141" s="2">
        <f>PerfRate[[#This Row],[ManagerRating]] - PerfRate[[#This Row],[SelfRating]]</f>
        <v>0</v>
      </c>
    </row>
    <row r="6142" spans="1:18">
      <c r="A6142" s="2" t="s">
        <v>10449</v>
      </c>
      <c r="B6142" s="2" t="s">
        <v>1764</v>
      </c>
      <c r="C6142" s="1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  <c r="L6142" s="2" t="s">
        <v>11030</v>
      </c>
      <c r="M6142" s="2" t="s">
        <v>11029</v>
      </c>
      <c r="N6142" s="2" t="s">
        <v>11036</v>
      </c>
      <c r="O6142" s="2" t="s">
        <v>11038</v>
      </c>
      <c r="P6142" s="2" t="s">
        <v>11037</v>
      </c>
      <c r="Q6142" s="2">
        <f>AVERAGE(PerfRate[[#This Row],[EnvironmentSatisfaction]],PerfRate[[#This Row],[JobSatisfaction]],PerfRate[[#This Row],[RelationshipSatisfaction]])</f>
        <v>4</v>
      </c>
      <c r="R6142" s="2">
        <f>PerfRate[[#This Row],[ManagerRating]] - PerfRate[[#This Row],[SelfRating]]</f>
        <v>-1</v>
      </c>
    </row>
    <row r="6143" spans="1:18">
      <c r="A6143" s="2" t="s">
        <v>10450</v>
      </c>
      <c r="B6143" s="2" t="s">
        <v>3583</v>
      </c>
      <c r="C6143" s="1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  <c r="L6143" s="2" t="s">
        <v>11030</v>
      </c>
      <c r="M6143" s="2" t="s">
        <v>11029</v>
      </c>
      <c r="N6143" s="2" t="s">
        <v>11036</v>
      </c>
      <c r="O6143" s="2" t="s">
        <v>11036</v>
      </c>
      <c r="P6143" s="2" t="s">
        <v>11037</v>
      </c>
      <c r="Q6143" s="2">
        <f>AVERAGE(PerfRate[[#This Row],[EnvironmentSatisfaction]],PerfRate[[#This Row],[JobSatisfaction]],PerfRate[[#This Row],[RelationshipSatisfaction]])</f>
        <v>3.3333333333333335</v>
      </c>
      <c r="R6143" s="2">
        <f>PerfRate[[#This Row],[ManagerRating]] - PerfRate[[#This Row],[SelfRating]]</f>
        <v>-1</v>
      </c>
    </row>
    <row r="6144" spans="1:18">
      <c r="A6144" s="2" t="s">
        <v>10451</v>
      </c>
      <c r="B6144" s="2" t="s">
        <v>2444</v>
      </c>
      <c r="C6144" s="1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  <c r="L6144" s="2" t="s">
        <v>11029</v>
      </c>
      <c r="M6144" s="2" t="s">
        <v>11028</v>
      </c>
      <c r="N6144" s="2" t="s">
        <v>11037</v>
      </c>
      <c r="O6144" s="2" t="s">
        <v>11036</v>
      </c>
      <c r="P6144" s="2" t="s">
        <v>11036</v>
      </c>
      <c r="Q6144" s="2">
        <f>AVERAGE(PerfRate[[#This Row],[EnvironmentSatisfaction]],PerfRate[[#This Row],[JobSatisfaction]],PerfRate[[#This Row],[RelationshipSatisfaction]])</f>
        <v>3.3333333333333335</v>
      </c>
      <c r="R6144" s="2">
        <f>PerfRate[[#This Row],[ManagerRating]] - PerfRate[[#This Row],[SelfRating]]</f>
        <v>-1</v>
      </c>
    </row>
    <row r="6145" spans="1:18">
      <c r="A6145" s="2" t="s">
        <v>10452</v>
      </c>
      <c r="B6145" s="2" t="s">
        <v>2894</v>
      </c>
      <c r="C6145" s="1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  <c r="L6145" s="2" t="s">
        <v>11030</v>
      </c>
      <c r="M6145" s="2" t="s">
        <v>11030</v>
      </c>
      <c r="N6145" s="2" t="s">
        <v>11038</v>
      </c>
      <c r="O6145" s="2" t="s">
        <v>11036</v>
      </c>
      <c r="P6145" s="2" t="s">
        <v>11038</v>
      </c>
      <c r="Q6145" s="2">
        <f>AVERAGE(PerfRate[[#This Row],[EnvironmentSatisfaction]],PerfRate[[#This Row],[JobSatisfaction]],PerfRate[[#This Row],[RelationshipSatisfaction]])</f>
        <v>4.333333333333333</v>
      </c>
      <c r="R6145" s="2">
        <f>PerfRate[[#This Row],[ManagerRating]] - PerfRate[[#This Row],[SelfRating]]</f>
        <v>0</v>
      </c>
    </row>
    <row r="6146" spans="1:18">
      <c r="A6146" s="2" t="s">
        <v>10453</v>
      </c>
      <c r="B6146" s="2" t="s">
        <v>138</v>
      </c>
      <c r="C6146" s="1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  <c r="L6146" s="2" t="s">
        <v>11029</v>
      </c>
      <c r="M6146" s="2" t="s">
        <v>11029</v>
      </c>
      <c r="N6146" s="2" t="s">
        <v>11038</v>
      </c>
      <c r="O6146" s="2" t="s">
        <v>11035</v>
      </c>
      <c r="P6146" s="2" t="s">
        <v>11037</v>
      </c>
      <c r="Q6146" s="2">
        <f>AVERAGE(PerfRate[[#This Row],[EnvironmentSatisfaction]],PerfRate[[#This Row],[JobSatisfaction]],PerfRate[[#This Row],[RelationshipSatisfaction]])</f>
        <v>3.6666666666666665</v>
      </c>
      <c r="R6146" s="2">
        <f>PerfRate[[#This Row],[ManagerRating]] - PerfRate[[#This Row],[SelfRating]]</f>
        <v>0</v>
      </c>
    </row>
    <row r="6147" spans="1:18">
      <c r="A6147" s="2" t="s">
        <v>10454</v>
      </c>
      <c r="B6147" s="2" t="s">
        <v>1557</v>
      </c>
      <c r="C6147" s="1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  <c r="L6147" s="2" t="s">
        <v>11031</v>
      </c>
      <c r="M6147" s="2" t="s">
        <v>11030</v>
      </c>
      <c r="N6147" s="2" t="s">
        <v>11038</v>
      </c>
      <c r="O6147" s="2" t="s">
        <v>11036</v>
      </c>
      <c r="P6147" s="2" t="s">
        <v>11037</v>
      </c>
      <c r="Q6147" s="2">
        <f>AVERAGE(PerfRate[[#This Row],[EnvironmentSatisfaction]],PerfRate[[#This Row],[JobSatisfaction]],PerfRate[[#This Row],[RelationshipSatisfaction]])</f>
        <v>4</v>
      </c>
      <c r="R6147" s="2">
        <f>PerfRate[[#This Row],[ManagerRating]] - PerfRate[[#This Row],[SelfRating]]</f>
        <v>-1</v>
      </c>
    </row>
    <row r="6148" spans="1:18">
      <c r="A6148" s="2" t="s">
        <v>10455</v>
      </c>
      <c r="B6148" s="2" t="s">
        <v>2389</v>
      </c>
      <c r="C6148" s="1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  <c r="L6148" s="2" t="s">
        <v>11030</v>
      </c>
      <c r="M6148" s="2" t="s">
        <v>11030</v>
      </c>
      <c r="N6148" s="2" t="s">
        <v>11038</v>
      </c>
      <c r="O6148" s="2" t="s">
        <v>11038</v>
      </c>
      <c r="P6148" s="2" t="s">
        <v>11036</v>
      </c>
      <c r="Q6148" s="2">
        <f>AVERAGE(PerfRate[[#This Row],[EnvironmentSatisfaction]],PerfRate[[#This Row],[JobSatisfaction]],PerfRate[[#This Row],[RelationshipSatisfaction]])</f>
        <v>4.333333333333333</v>
      </c>
      <c r="R6148" s="2">
        <f>PerfRate[[#This Row],[ManagerRating]] - PerfRate[[#This Row],[SelfRating]]</f>
        <v>0</v>
      </c>
    </row>
    <row r="6149" spans="1:18">
      <c r="A6149" s="2" t="s">
        <v>10456</v>
      </c>
      <c r="B6149" s="2" t="s">
        <v>23</v>
      </c>
      <c r="C6149" s="1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  <c r="L6149" s="2" t="s">
        <v>11031</v>
      </c>
      <c r="M6149" s="2" t="s">
        <v>11030</v>
      </c>
      <c r="N6149" s="2" t="s">
        <v>11037</v>
      </c>
      <c r="O6149" s="2" t="s">
        <v>11035</v>
      </c>
      <c r="P6149" s="2" t="s">
        <v>11037</v>
      </c>
      <c r="Q6149" s="2">
        <f>AVERAGE(PerfRate[[#This Row],[EnvironmentSatisfaction]],PerfRate[[#This Row],[JobSatisfaction]],PerfRate[[#This Row],[RelationshipSatisfaction]])</f>
        <v>3.3333333333333335</v>
      </c>
      <c r="R6149" s="2">
        <f>PerfRate[[#This Row],[ManagerRating]] - PerfRate[[#This Row],[SelfRating]]</f>
        <v>-1</v>
      </c>
    </row>
    <row r="6150" spans="1:18">
      <c r="A6150" s="2" t="s">
        <v>10457</v>
      </c>
      <c r="B6150" s="2" t="s">
        <v>1962</v>
      </c>
      <c r="C6150" s="1">
        <v>42252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  <c r="L6150" s="2" t="s">
        <v>11029</v>
      </c>
      <c r="M6150" s="2" t="s">
        <v>11029</v>
      </c>
      <c r="N6150" s="2" t="s">
        <v>11038</v>
      </c>
      <c r="O6150" s="2" t="s">
        <v>11035</v>
      </c>
      <c r="P6150" s="2" t="s">
        <v>11037</v>
      </c>
      <c r="Q6150" s="2">
        <f>AVERAGE(PerfRate[[#This Row],[EnvironmentSatisfaction]],PerfRate[[#This Row],[JobSatisfaction]],PerfRate[[#This Row],[RelationshipSatisfaction]])</f>
        <v>3.6666666666666665</v>
      </c>
      <c r="R6150" s="2">
        <f>PerfRate[[#This Row],[ManagerRating]] - PerfRate[[#This Row],[SelfRating]]</f>
        <v>0</v>
      </c>
    </row>
    <row r="6151" spans="1:18">
      <c r="A6151" s="2" t="s">
        <v>10458</v>
      </c>
      <c r="B6151" s="2" t="s">
        <v>3332</v>
      </c>
      <c r="C6151" s="1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  <c r="L6151" s="2" t="s">
        <v>11031</v>
      </c>
      <c r="M6151" s="2" t="s">
        <v>11030</v>
      </c>
      <c r="N6151" s="2" t="s">
        <v>11037</v>
      </c>
      <c r="O6151" s="2" t="s">
        <v>11035</v>
      </c>
      <c r="P6151" s="2" t="s">
        <v>11038</v>
      </c>
      <c r="Q6151" s="2">
        <f>AVERAGE(PerfRate[[#This Row],[EnvironmentSatisfaction]],PerfRate[[#This Row],[JobSatisfaction]],PerfRate[[#This Row],[RelationshipSatisfaction]])</f>
        <v>3.6666666666666665</v>
      </c>
      <c r="R6151" s="2">
        <f>PerfRate[[#This Row],[ManagerRating]] - PerfRate[[#This Row],[SelfRating]]</f>
        <v>-1</v>
      </c>
    </row>
    <row r="6152" spans="1:18">
      <c r="A6152" s="2" t="s">
        <v>10459</v>
      </c>
      <c r="B6152" s="2" t="s">
        <v>4069</v>
      </c>
      <c r="C6152" s="1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  <c r="L6152" s="2" t="s">
        <v>11031</v>
      </c>
      <c r="M6152" s="2" t="s">
        <v>11030</v>
      </c>
      <c r="N6152" s="2" t="s">
        <v>11034</v>
      </c>
      <c r="O6152" s="2" t="s">
        <v>11035</v>
      </c>
      <c r="P6152" s="2" t="s">
        <v>11037</v>
      </c>
      <c r="Q6152" s="2">
        <f>AVERAGE(PerfRate[[#This Row],[EnvironmentSatisfaction]],PerfRate[[#This Row],[JobSatisfaction]],PerfRate[[#This Row],[RelationshipSatisfaction]])</f>
        <v>2.3333333333333335</v>
      </c>
      <c r="R6152" s="2">
        <f>PerfRate[[#This Row],[ManagerRating]] - PerfRate[[#This Row],[SelfRating]]</f>
        <v>-1</v>
      </c>
    </row>
    <row r="6153" spans="1:18">
      <c r="A6153" s="2" t="s">
        <v>10460</v>
      </c>
      <c r="B6153" s="2" t="s">
        <v>797</v>
      </c>
      <c r="C6153" s="1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  <c r="L6153" s="2" t="s">
        <v>11030</v>
      </c>
      <c r="M6153" s="2" t="s">
        <v>11029</v>
      </c>
      <c r="N6153" s="2" t="s">
        <v>11035</v>
      </c>
      <c r="O6153" s="2" t="s">
        <v>11034</v>
      </c>
      <c r="P6153" s="2" t="s">
        <v>11037</v>
      </c>
      <c r="Q6153" s="2">
        <f>AVERAGE(PerfRate[[#This Row],[EnvironmentSatisfaction]],PerfRate[[#This Row],[JobSatisfaction]],PerfRate[[#This Row],[RelationshipSatisfaction]])</f>
        <v>2.3333333333333335</v>
      </c>
      <c r="R6153" s="2">
        <f>PerfRate[[#This Row],[ManagerRating]] - PerfRate[[#This Row],[SelfRating]]</f>
        <v>-1</v>
      </c>
    </row>
    <row r="6154" spans="1:18">
      <c r="A6154" s="2" t="s">
        <v>10461</v>
      </c>
      <c r="B6154" s="2" t="s">
        <v>574</v>
      </c>
      <c r="C6154" s="1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  <c r="L6154" s="2" t="s">
        <v>11031</v>
      </c>
      <c r="M6154" s="2" t="s">
        <v>11030</v>
      </c>
      <c r="N6154" s="2" t="s">
        <v>11037</v>
      </c>
      <c r="O6154" s="2" t="s">
        <v>11035</v>
      </c>
      <c r="P6154" s="2" t="s">
        <v>11038</v>
      </c>
      <c r="Q6154" s="2">
        <f>AVERAGE(PerfRate[[#This Row],[EnvironmentSatisfaction]],PerfRate[[#This Row],[JobSatisfaction]],PerfRate[[#This Row],[RelationshipSatisfaction]])</f>
        <v>3.6666666666666665</v>
      </c>
      <c r="R6154" s="2">
        <f>PerfRate[[#This Row],[ManagerRating]] - PerfRate[[#This Row],[SelfRating]]</f>
        <v>-1</v>
      </c>
    </row>
    <row r="6155" spans="1:18">
      <c r="A6155" s="2" t="s">
        <v>10462</v>
      </c>
      <c r="B6155" s="2" t="s">
        <v>2048</v>
      </c>
      <c r="C6155" s="1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  <c r="L6155" s="2" t="s">
        <v>11029</v>
      </c>
      <c r="M6155" s="2" t="s">
        <v>11028</v>
      </c>
      <c r="N6155" s="2" t="s">
        <v>11038</v>
      </c>
      <c r="O6155" s="2" t="s">
        <v>11037</v>
      </c>
      <c r="P6155" s="2" t="s">
        <v>11038</v>
      </c>
      <c r="Q6155" s="2">
        <f>AVERAGE(PerfRate[[#This Row],[EnvironmentSatisfaction]],PerfRate[[#This Row],[JobSatisfaction]],PerfRate[[#This Row],[RelationshipSatisfaction]])</f>
        <v>4.666666666666667</v>
      </c>
      <c r="R6155" s="2">
        <f>PerfRate[[#This Row],[ManagerRating]] - PerfRate[[#This Row],[SelfRating]]</f>
        <v>-1</v>
      </c>
    </row>
    <row r="6156" spans="1:18">
      <c r="A6156" s="2" t="s">
        <v>10463</v>
      </c>
      <c r="B6156" s="2" t="s">
        <v>2321</v>
      </c>
      <c r="C6156" s="1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  <c r="L6156" s="2" t="s">
        <v>11031</v>
      </c>
      <c r="M6156" s="2" t="s">
        <v>11031</v>
      </c>
      <c r="N6156" s="2" t="s">
        <v>11037</v>
      </c>
      <c r="O6156" s="2" t="s">
        <v>11037</v>
      </c>
      <c r="P6156" s="2" t="s">
        <v>11038</v>
      </c>
      <c r="Q6156" s="2">
        <f>AVERAGE(PerfRate[[#This Row],[EnvironmentSatisfaction]],PerfRate[[#This Row],[JobSatisfaction]],PerfRate[[#This Row],[RelationshipSatisfaction]])</f>
        <v>4.333333333333333</v>
      </c>
      <c r="R6156" s="2">
        <f>PerfRate[[#This Row],[ManagerRating]] - PerfRate[[#This Row],[SelfRating]]</f>
        <v>0</v>
      </c>
    </row>
    <row r="6157" spans="1:18">
      <c r="A6157" s="2" t="s">
        <v>10464</v>
      </c>
      <c r="B6157" s="2" t="s">
        <v>875</v>
      </c>
      <c r="C6157" s="1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  <c r="L6157" s="2" t="s">
        <v>11031</v>
      </c>
      <c r="M6157" s="2" t="s">
        <v>11031</v>
      </c>
      <c r="N6157" s="2" t="s">
        <v>11036</v>
      </c>
      <c r="O6157" s="2" t="s">
        <v>11036</v>
      </c>
      <c r="P6157" s="2" t="s">
        <v>11038</v>
      </c>
      <c r="Q6157" s="2">
        <f>AVERAGE(PerfRate[[#This Row],[EnvironmentSatisfaction]],PerfRate[[#This Row],[JobSatisfaction]],PerfRate[[#This Row],[RelationshipSatisfaction]])</f>
        <v>3.6666666666666665</v>
      </c>
      <c r="R6157" s="2">
        <f>PerfRate[[#This Row],[ManagerRating]] - PerfRate[[#This Row],[SelfRating]]</f>
        <v>0</v>
      </c>
    </row>
    <row r="6158" spans="1:18">
      <c r="A6158" s="2" t="s">
        <v>10465</v>
      </c>
      <c r="B6158" s="2" t="s">
        <v>2315</v>
      </c>
      <c r="C6158" s="1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  <c r="L6158" s="2" t="s">
        <v>11029</v>
      </c>
      <c r="M6158" s="2" t="s">
        <v>11028</v>
      </c>
      <c r="N6158" s="2" t="s">
        <v>11036</v>
      </c>
      <c r="O6158" s="2" t="s">
        <v>11036</v>
      </c>
      <c r="P6158" s="2" t="s">
        <v>11035</v>
      </c>
      <c r="Q6158" s="2">
        <f>AVERAGE(PerfRate[[#This Row],[EnvironmentSatisfaction]],PerfRate[[#This Row],[JobSatisfaction]],PerfRate[[#This Row],[RelationshipSatisfaction]])</f>
        <v>2.6666666666666665</v>
      </c>
      <c r="R6158" s="2">
        <f>PerfRate[[#This Row],[ManagerRating]] - PerfRate[[#This Row],[SelfRating]]</f>
        <v>-1</v>
      </c>
    </row>
    <row r="6159" spans="1:18">
      <c r="A6159" s="2" t="s">
        <v>10466</v>
      </c>
      <c r="B6159" s="2" t="s">
        <v>389</v>
      </c>
      <c r="C6159" s="1">
        <v>44572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  <c r="L6159" s="2" t="s">
        <v>11029</v>
      </c>
      <c r="M6159" s="2" t="s">
        <v>11029</v>
      </c>
      <c r="N6159" s="2" t="s">
        <v>11037</v>
      </c>
      <c r="O6159" s="2" t="s">
        <v>11037</v>
      </c>
      <c r="P6159" s="2" t="s">
        <v>11036</v>
      </c>
      <c r="Q6159" s="2">
        <f>AVERAGE(PerfRate[[#This Row],[EnvironmentSatisfaction]],PerfRate[[#This Row],[JobSatisfaction]],PerfRate[[#This Row],[RelationshipSatisfaction]])</f>
        <v>3.6666666666666665</v>
      </c>
      <c r="R6159" s="2">
        <f>PerfRate[[#This Row],[ManagerRating]] - PerfRate[[#This Row],[SelfRating]]</f>
        <v>0</v>
      </c>
    </row>
    <row r="6160" spans="1:18">
      <c r="A6160" s="2" t="s">
        <v>10467</v>
      </c>
      <c r="B6160" s="2" t="s">
        <v>1207</v>
      </c>
      <c r="C6160" s="1">
        <v>44572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  <c r="L6160" s="2" t="s">
        <v>11031</v>
      </c>
      <c r="M6160" s="2" t="s">
        <v>11030</v>
      </c>
      <c r="N6160" s="2" t="s">
        <v>11037</v>
      </c>
      <c r="O6160" s="2" t="s">
        <v>11037</v>
      </c>
      <c r="P6160" s="2" t="s">
        <v>11035</v>
      </c>
      <c r="Q6160" s="2">
        <f>AVERAGE(PerfRate[[#This Row],[EnvironmentSatisfaction]],PerfRate[[#This Row],[JobSatisfaction]],PerfRate[[#This Row],[RelationshipSatisfaction]])</f>
        <v>3.3333333333333335</v>
      </c>
      <c r="R6160" s="2">
        <f>PerfRate[[#This Row],[ManagerRating]] - PerfRate[[#This Row],[SelfRating]]</f>
        <v>-1</v>
      </c>
    </row>
    <row r="6161" spans="1:18">
      <c r="A6161" s="2" t="s">
        <v>10468</v>
      </c>
      <c r="B6161" s="2" t="s">
        <v>499</v>
      </c>
      <c r="C6161" s="1">
        <v>42252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  <c r="L6161" s="2" t="s">
        <v>11030</v>
      </c>
      <c r="M6161" s="2" t="s">
        <v>11030</v>
      </c>
      <c r="N6161" s="2" t="s">
        <v>11038</v>
      </c>
      <c r="O6161" s="2" t="s">
        <v>11038</v>
      </c>
      <c r="P6161" s="2" t="s">
        <v>11038</v>
      </c>
      <c r="Q6161" s="2">
        <f>AVERAGE(PerfRate[[#This Row],[EnvironmentSatisfaction]],PerfRate[[#This Row],[JobSatisfaction]],PerfRate[[#This Row],[RelationshipSatisfaction]])</f>
        <v>5</v>
      </c>
      <c r="R6161" s="2">
        <f>PerfRate[[#This Row],[ManagerRating]] - PerfRate[[#This Row],[SelfRating]]</f>
        <v>0</v>
      </c>
    </row>
    <row r="6162" spans="1:18">
      <c r="A6162" s="2" t="s">
        <v>10469</v>
      </c>
      <c r="B6162" s="2" t="s">
        <v>3552</v>
      </c>
      <c r="C6162" s="1">
        <v>44603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  <c r="L6162" s="2" t="s">
        <v>11029</v>
      </c>
      <c r="M6162" s="2" t="s">
        <v>11028</v>
      </c>
      <c r="N6162" s="2" t="s">
        <v>11037</v>
      </c>
      <c r="O6162" s="2" t="s">
        <v>11038</v>
      </c>
      <c r="P6162" s="2" t="s">
        <v>11038</v>
      </c>
      <c r="Q6162" s="2">
        <f>AVERAGE(PerfRate[[#This Row],[EnvironmentSatisfaction]],PerfRate[[#This Row],[JobSatisfaction]],PerfRate[[#This Row],[RelationshipSatisfaction]])</f>
        <v>4.666666666666667</v>
      </c>
      <c r="R6162" s="2">
        <f>PerfRate[[#This Row],[ManagerRating]] - PerfRate[[#This Row],[SelfRating]]</f>
        <v>-1</v>
      </c>
    </row>
    <row r="6163" spans="1:18">
      <c r="A6163" s="2" t="s">
        <v>10470</v>
      </c>
      <c r="B6163" s="2" t="s">
        <v>1426</v>
      </c>
      <c r="C6163" s="1">
        <v>44603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  <c r="L6163" s="2" t="s">
        <v>11030</v>
      </c>
      <c r="M6163" s="2" t="s">
        <v>11030</v>
      </c>
      <c r="N6163" s="2" t="s">
        <v>11035</v>
      </c>
      <c r="O6163" s="2" t="s">
        <v>11035</v>
      </c>
      <c r="P6163" s="2" t="s">
        <v>11037</v>
      </c>
      <c r="Q6163" s="2">
        <f>AVERAGE(PerfRate[[#This Row],[EnvironmentSatisfaction]],PerfRate[[#This Row],[JobSatisfaction]],PerfRate[[#This Row],[RelationshipSatisfaction]])</f>
        <v>2.6666666666666665</v>
      </c>
      <c r="R6163" s="2">
        <f>PerfRate[[#This Row],[ManagerRating]] - PerfRate[[#This Row],[SelfRating]]</f>
        <v>0</v>
      </c>
    </row>
    <row r="6164" spans="1:18">
      <c r="A6164" s="2" t="s">
        <v>10471</v>
      </c>
      <c r="B6164" s="2" t="s">
        <v>681</v>
      </c>
      <c r="C6164" s="1">
        <v>44631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  <c r="L6164" s="2" t="s">
        <v>11031</v>
      </c>
      <c r="M6164" s="2" t="s">
        <v>11031</v>
      </c>
      <c r="N6164" s="2" t="s">
        <v>11038</v>
      </c>
      <c r="O6164" s="2" t="s">
        <v>11037</v>
      </c>
      <c r="P6164" s="2" t="s">
        <v>11035</v>
      </c>
      <c r="Q6164" s="2">
        <f>AVERAGE(PerfRate[[#This Row],[EnvironmentSatisfaction]],PerfRate[[#This Row],[JobSatisfaction]],PerfRate[[#This Row],[RelationshipSatisfaction]])</f>
        <v>3.6666666666666665</v>
      </c>
      <c r="R6164" s="2">
        <f>PerfRate[[#This Row],[ManagerRating]] - PerfRate[[#This Row],[SelfRating]]</f>
        <v>0</v>
      </c>
    </row>
    <row r="6165" spans="1:18">
      <c r="A6165" s="2" t="s">
        <v>10472</v>
      </c>
      <c r="B6165" s="2" t="s">
        <v>2835</v>
      </c>
      <c r="C6165" s="1">
        <v>44631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  <c r="L6165" s="2" t="s">
        <v>11029</v>
      </c>
      <c r="M6165" s="2" t="s">
        <v>11028</v>
      </c>
      <c r="N6165" s="2" t="s">
        <v>11036</v>
      </c>
      <c r="O6165" s="2" t="s">
        <v>11038</v>
      </c>
      <c r="P6165" s="2" t="s">
        <v>11037</v>
      </c>
      <c r="Q6165" s="2">
        <f>AVERAGE(PerfRate[[#This Row],[EnvironmentSatisfaction]],PerfRate[[#This Row],[JobSatisfaction]],PerfRate[[#This Row],[RelationshipSatisfaction]])</f>
        <v>4</v>
      </c>
      <c r="R6165" s="2">
        <f>PerfRate[[#This Row],[ManagerRating]] - PerfRate[[#This Row],[SelfRating]]</f>
        <v>-1</v>
      </c>
    </row>
    <row r="6166" spans="1:18">
      <c r="A6166" s="2" t="s">
        <v>10473</v>
      </c>
      <c r="B6166" s="2" t="s">
        <v>3305</v>
      </c>
      <c r="C6166" s="1">
        <v>44662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  <c r="L6166" s="2" t="s">
        <v>11030</v>
      </c>
      <c r="M6166" s="2" t="s">
        <v>11029</v>
      </c>
      <c r="N6166" s="2" t="s">
        <v>11034</v>
      </c>
      <c r="O6166" s="2" t="s">
        <v>11034</v>
      </c>
      <c r="P6166" s="2" t="s">
        <v>11036</v>
      </c>
      <c r="Q6166" s="2">
        <f>AVERAGE(PerfRate[[#This Row],[EnvironmentSatisfaction]],PerfRate[[#This Row],[JobSatisfaction]],PerfRate[[#This Row],[RelationshipSatisfaction]])</f>
        <v>1.6666666666666667</v>
      </c>
      <c r="R6166" s="2">
        <f>PerfRate[[#This Row],[ManagerRating]] - PerfRate[[#This Row],[SelfRating]]</f>
        <v>-1</v>
      </c>
    </row>
    <row r="6167" spans="1:18">
      <c r="A6167" s="2" t="s">
        <v>10474</v>
      </c>
      <c r="B6167" s="2" t="s">
        <v>1087</v>
      </c>
      <c r="C6167" s="1">
        <v>44662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  <c r="L6167" s="2" t="s">
        <v>11029</v>
      </c>
      <c r="M6167" s="2" t="s">
        <v>11029</v>
      </c>
      <c r="N6167" s="2" t="s">
        <v>11037</v>
      </c>
      <c r="O6167" s="2" t="s">
        <v>11035</v>
      </c>
      <c r="P6167" s="2" t="s">
        <v>11037</v>
      </c>
      <c r="Q6167" s="2">
        <f>AVERAGE(PerfRate[[#This Row],[EnvironmentSatisfaction]],PerfRate[[#This Row],[JobSatisfaction]],PerfRate[[#This Row],[RelationshipSatisfaction]])</f>
        <v>3.3333333333333335</v>
      </c>
      <c r="R6167" s="2">
        <f>PerfRate[[#This Row],[ManagerRating]] - PerfRate[[#This Row],[SelfRating]]</f>
        <v>0</v>
      </c>
    </row>
    <row r="6168" spans="1:18">
      <c r="A6168" s="2" t="s">
        <v>10475</v>
      </c>
      <c r="B6168" s="2" t="s">
        <v>2955</v>
      </c>
      <c r="C6168" s="1">
        <v>44662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  <c r="L6168" s="2" t="s">
        <v>11030</v>
      </c>
      <c r="M6168" s="2" t="s">
        <v>11029</v>
      </c>
      <c r="N6168" s="2" t="s">
        <v>11037</v>
      </c>
      <c r="O6168" s="2" t="s">
        <v>11037</v>
      </c>
      <c r="P6168" s="2" t="s">
        <v>11038</v>
      </c>
      <c r="Q6168" s="2">
        <f>AVERAGE(PerfRate[[#This Row],[EnvironmentSatisfaction]],PerfRate[[#This Row],[JobSatisfaction]],PerfRate[[#This Row],[RelationshipSatisfaction]])</f>
        <v>4.333333333333333</v>
      </c>
      <c r="R6168" s="2">
        <f>PerfRate[[#This Row],[ManagerRating]] - PerfRate[[#This Row],[SelfRating]]</f>
        <v>-1</v>
      </c>
    </row>
    <row r="6169" spans="1:18">
      <c r="A6169" s="2" t="s">
        <v>10476</v>
      </c>
      <c r="B6169" s="2" t="s">
        <v>2736</v>
      </c>
      <c r="C6169" s="1">
        <v>44662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  <c r="L6169" s="2" t="s">
        <v>11030</v>
      </c>
      <c r="M6169" s="2" t="s">
        <v>11029</v>
      </c>
      <c r="N6169" s="2" t="s">
        <v>11034</v>
      </c>
      <c r="O6169" s="2" t="s">
        <v>11035</v>
      </c>
      <c r="P6169" s="2" t="s">
        <v>11037</v>
      </c>
      <c r="Q6169" s="2">
        <f>AVERAGE(PerfRate[[#This Row],[EnvironmentSatisfaction]],PerfRate[[#This Row],[JobSatisfaction]],PerfRate[[#This Row],[RelationshipSatisfaction]])</f>
        <v>2.3333333333333335</v>
      </c>
      <c r="R6169" s="2">
        <f>PerfRate[[#This Row],[ManagerRating]] - PerfRate[[#This Row],[SelfRating]]</f>
        <v>-1</v>
      </c>
    </row>
    <row r="6170" spans="1:18">
      <c r="A6170" s="2" t="s">
        <v>10477</v>
      </c>
      <c r="B6170" s="2" t="s">
        <v>661</v>
      </c>
      <c r="C6170" s="1">
        <v>44692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  <c r="L6170" s="2" t="s">
        <v>11029</v>
      </c>
      <c r="M6170" s="2" t="s">
        <v>11029</v>
      </c>
      <c r="N6170" s="2" t="s">
        <v>11038</v>
      </c>
      <c r="O6170" s="2" t="s">
        <v>11038</v>
      </c>
      <c r="P6170" s="2" t="s">
        <v>11035</v>
      </c>
      <c r="Q6170" s="2">
        <f>AVERAGE(PerfRate[[#This Row],[EnvironmentSatisfaction]],PerfRate[[#This Row],[JobSatisfaction]],PerfRate[[#This Row],[RelationshipSatisfaction]])</f>
        <v>4</v>
      </c>
      <c r="R6170" s="2">
        <f>PerfRate[[#This Row],[ManagerRating]] - PerfRate[[#This Row],[SelfRating]]</f>
        <v>0</v>
      </c>
    </row>
    <row r="6171" spans="1:18">
      <c r="A6171" s="2" t="s">
        <v>10478</v>
      </c>
      <c r="B6171" s="2" t="s">
        <v>895</v>
      </c>
      <c r="C6171" s="1">
        <v>44692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  <c r="L6171" s="2" t="s">
        <v>11029</v>
      </c>
      <c r="M6171" s="2" t="s">
        <v>11029</v>
      </c>
      <c r="N6171" s="2" t="s">
        <v>11038</v>
      </c>
      <c r="O6171" s="2" t="s">
        <v>11038</v>
      </c>
      <c r="P6171" s="2" t="s">
        <v>11037</v>
      </c>
      <c r="Q6171" s="2">
        <f>AVERAGE(PerfRate[[#This Row],[EnvironmentSatisfaction]],PerfRate[[#This Row],[JobSatisfaction]],PerfRate[[#This Row],[RelationshipSatisfaction]])</f>
        <v>4.666666666666667</v>
      </c>
      <c r="R6171" s="2">
        <f>PerfRate[[#This Row],[ManagerRating]] - PerfRate[[#This Row],[SelfRating]]</f>
        <v>0</v>
      </c>
    </row>
    <row r="6172" spans="1:18">
      <c r="A6172" s="2" t="s">
        <v>10479</v>
      </c>
      <c r="B6172" s="2" t="s">
        <v>2363</v>
      </c>
      <c r="C6172" s="1">
        <v>42282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  <c r="L6172" s="2" t="s">
        <v>11030</v>
      </c>
      <c r="M6172" s="2" t="s">
        <v>11029</v>
      </c>
      <c r="N6172" s="2" t="s">
        <v>11038</v>
      </c>
      <c r="O6172" s="2" t="s">
        <v>11037</v>
      </c>
      <c r="P6172" s="2" t="s">
        <v>11035</v>
      </c>
      <c r="Q6172" s="2">
        <f>AVERAGE(PerfRate[[#This Row],[EnvironmentSatisfaction]],PerfRate[[#This Row],[JobSatisfaction]],PerfRate[[#This Row],[RelationshipSatisfaction]])</f>
        <v>3.6666666666666665</v>
      </c>
      <c r="R6172" s="2">
        <f>PerfRate[[#This Row],[ManagerRating]] - PerfRate[[#This Row],[SelfRating]]</f>
        <v>-1</v>
      </c>
    </row>
    <row r="6173" spans="1:18">
      <c r="A6173" s="2" t="s">
        <v>10480</v>
      </c>
      <c r="B6173" s="2" t="s">
        <v>1121</v>
      </c>
      <c r="C6173" s="1">
        <v>44692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  <c r="L6173" s="2" t="s">
        <v>11029</v>
      </c>
      <c r="M6173" s="2" t="s">
        <v>11028</v>
      </c>
      <c r="N6173" s="2" t="s">
        <v>11037</v>
      </c>
      <c r="O6173" s="2" t="s">
        <v>11038</v>
      </c>
      <c r="P6173" s="2" t="s">
        <v>11035</v>
      </c>
      <c r="Q6173" s="2">
        <f>AVERAGE(PerfRate[[#This Row],[EnvironmentSatisfaction]],PerfRate[[#This Row],[JobSatisfaction]],PerfRate[[#This Row],[RelationshipSatisfaction]])</f>
        <v>3.6666666666666665</v>
      </c>
      <c r="R6173" s="2">
        <f>PerfRate[[#This Row],[ManagerRating]] - PerfRate[[#This Row],[SelfRating]]</f>
        <v>-1</v>
      </c>
    </row>
    <row r="6174" spans="1:18">
      <c r="A6174" s="2" t="s">
        <v>10481</v>
      </c>
      <c r="B6174" s="2" t="s">
        <v>2409</v>
      </c>
      <c r="C6174" s="1">
        <v>44692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  <c r="L6174" s="2" t="s">
        <v>11029</v>
      </c>
      <c r="M6174" s="2" t="s">
        <v>11029</v>
      </c>
      <c r="N6174" s="2" t="s">
        <v>11036</v>
      </c>
      <c r="O6174" s="2" t="s">
        <v>11035</v>
      </c>
      <c r="P6174" s="2" t="s">
        <v>11038</v>
      </c>
      <c r="Q6174" s="2">
        <f>AVERAGE(PerfRate[[#This Row],[EnvironmentSatisfaction]],PerfRate[[#This Row],[JobSatisfaction]],PerfRate[[#This Row],[RelationshipSatisfaction]])</f>
        <v>3.3333333333333335</v>
      </c>
      <c r="R6174" s="2">
        <f>PerfRate[[#This Row],[ManagerRating]] - PerfRate[[#This Row],[SelfRating]]</f>
        <v>0</v>
      </c>
    </row>
    <row r="6175" spans="1:18">
      <c r="A6175" s="2" t="s">
        <v>10482</v>
      </c>
      <c r="B6175" s="2" t="s">
        <v>3442</v>
      </c>
      <c r="C6175" s="1">
        <v>44723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  <c r="L6175" s="2" t="s">
        <v>11030</v>
      </c>
      <c r="M6175" s="2" t="s">
        <v>11030</v>
      </c>
      <c r="N6175" s="2" t="s">
        <v>11034</v>
      </c>
      <c r="O6175" s="2" t="s">
        <v>11034</v>
      </c>
      <c r="P6175" s="2" t="s">
        <v>11037</v>
      </c>
      <c r="Q6175" s="2">
        <f>AVERAGE(PerfRate[[#This Row],[EnvironmentSatisfaction]],PerfRate[[#This Row],[JobSatisfaction]],PerfRate[[#This Row],[RelationshipSatisfaction]])</f>
        <v>2</v>
      </c>
      <c r="R6175" s="2">
        <f>PerfRate[[#This Row],[ManagerRating]] - PerfRate[[#This Row],[SelfRating]]</f>
        <v>0</v>
      </c>
    </row>
    <row r="6176" spans="1:18">
      <c r="A6176" s="2" t="s">
        <v>10483</v>
      </c>
      <c r="B6176" s="2" t="s">
        <v>667</v>
      </c>
      <c r="C6176" s="1">
        <v>44723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  <c r="L6176" s="2" t="s">
        <v>11031</v>
      </c>
      <c r="M6176" s="2" t="s">
        <v>11030</v>
      </c>
      <c r="N6176" s="2" t="s">
        <v>11037</v>
      </c>
      <c r="O6176" s="2" t="s">
        <v>11035</v>
      </c>
      <c r="P6176" s="2" t="s">
        <v>11036</v>
      </c>
      <c r="Q6176" s="2">
        <f>AVERAGE(PerfRate[[#This Row],[EnvironmentSatisfaction]],PerfRate[[#This Row],[JobSatisfaction]],PerfRate[[#This Row],[RelationshipSatisfaction]])</f>
        <v>3</v>
      </c>
      <c r="R6176" s="2">
        <f>PerfRate[[#This Row],[ManagerRating]] - PerfRate[[#This Row],[SelfRating]]</f>
        <v>-1</v>
      </c>
    </row>
    <row r="6177" spans="1:18">
      <c r="A6177" s="2" t="s">
        <v>10484</v>
      </c>
      <c r="B6177" s="2" t="s">
        <v>1689</v>
      </c>
      <c r="C6177" s="1">
        <v>44723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  <c r="L6177" s="2" t="s">
        <v>11030</v>
      </c>
      <c r="M6177" s="2" t="s">
        <v>11029</v>
      </c>
      <c r="N6177" s="2" t="s">
        <v>11036</v>
      </c>
      <c r="O6177" s="2" t="s">
        <v>11035</v>
      </c>
      <c r="P6177" s="2" t="s">
        <v>11038</v>
      </c>
      <c r="Q6177" s="2">
        <f>AVERAGE(PerfRate[[#This Row],[EnvironmentSatisfaction]],PerfRate[[#This Row],[JobSatisfaction]],PerfRate[[#This Row],[RelationshipSatisfaction]])</f>
        <v>3.3333333333333335</v>
      </c>
      <c r="R6177" s="2">
        <f>PerfRate[[#This Row],[ManagerRating]] - PerfRate[[#This Row],[SelfRating]]</f>
        <v>-1</v>
      </c>
    </row>
    <row r="6178" spans="1:18">
      <c r="A6178" s="2" t="s">
        <v>10485</v>
      </c>
      <c r="B6178" s="2" t="s">
        <v>3631</v>
      </c>
      <c r="C6178" s="1">
        <v>44753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  <c r="L6178" s="2" t="s">
        <v>11029</v>
      </c>
      <c r="M6178" s="2" t="s">
        <v>11029</v>
      </c>
      <c r="N6178" s="2" t="s">
        <v>11038</v>
      </c>
      <c r="O6178" s="2" t="s">
        <v>11036</v>
      </c>
      <c r="P6178" s="2" t="s">
        <v>11038</v>
      </c>
      <c r="Q6178" s="2">
        <f>AVERAGE(PerfRate[[#This Row],[EnvironmentSatisfaction]],PerfRate[[#This Row],[JobSatisfaction]],PerfRate[[#This Row],[RelationshipSatisfaction]])</f>
        <v>4.333333333333333</v>
      </c>
      <c r="R6178" s="2">
        <f>PerfRate[[#This Row],[ManagerRating]] - PerfRate[[#This Row],[SelfRating]]</f>
        <v>0</v>
      </c>
    </row>
    <row r="6179" spans="1:18">
      <c r="A6179" s="2" t="s">
        <v>10486</v>
      </c>
      <c r="B6179" s="2" t="s">
        <v>1133</v>
      </c>
      <c r="C6179" s="1">
        <v>44753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  <c r="L6179" s="2" t="s">
        <v>11029</v>
      </c>
      <c r="M6179" s="2" t="s">
        <v>11028</v>
      </c>
      <c r="N6179" s="2" t="s">
        <v>11037</v>
      </c>
      <c r="O6179" s="2" t="s">
        <v>11038</v>
      </c>
      <c r="P6179" s="2" t="s">
        <v>11037</v>
      </c>
      <c r="Q6179" s="2">
        <f>AVERAGE(PerfRate[[#This Row],[EnvironmentSatisfaction]],PerfRate[[#This Row],[JobSatisfaction]],PerfRate[[#This Row],[RelationshipSatisfaction]])</f>
        <v>4.333333333333333</v>
      </c>
      <c r="R6179" s="2">
        <f>PerfRate[[#This Row],[ManagerRating]] - PerfRate[[#This Row],[SelfRating]]</f>
        <v>-1</v>
      </c>
    </row>
    <row r="6180" spans="1:18">
      <c r="A6180" s="2" t="s">
        <v>10487</v>
      </c>
      <c r="B6180" s="2" t="s">
        <v>2602</v>
      </c>
      <c r="C6180" s="1">
        <v>44753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  <c r="L6180" s="2" t="s">
        <v>11030</v>
      </c>
      <c r="M6180" s="2" t="s">
        <v>11029</v>
      </c>
      <c r="N6180" s="2" t="s">
        <v>11035</v>
      </c>
      <c r="O6180" s="2" t="s">
        <v>11037</v>
      </c>
      <c r="P6180" s="2" t="s">
        <v>11036</v>
      </c>
      <c r="Q6180" s="2">
        <f>AVERAGE(PerfRate[[#This Row],[EnvironmentSatisfaction]],PerfRate[[#This Row],[JobSatisfaction]],PerfRate[[#This Row],[RelationshipSatisfaction]])</f>
        <v>3</v>
      </c>
      <c r="R6180" s="2">
        <f>PerfRate[[#This Row],[ManagerRating]] - PerfRate[[#This Row],[SelfRating]]</f>
        <v>-1</v>
      </c>
    </row>
    <row r="6181" spans="1:18">
      <c r="A6181" s="2" t="s">
        <v>10488</v>
      </c>
      <c r="B6181" s="2" t="s">
        <v>3388</v>
      </c>
      <c r="C6181" s="1">
        <v>44753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  <c r="L6181" s="2" t="s">
        <v>11031</v>
      </c>
      <c r="M6181" s="2" t="s">
        <v>11030</v>
      </c>
      <c r="N6181" s="2" t="s">
        <v>11038</v>
      </c>
      <c r="O6181" s="2" t="s">
        <v>11035</v>
      </c>
      <c r="P6181" s="2" t="s">
        <v>11035</v>
      </c>
      <c r="Q6181" s="2">
        <f>AVERAGE(PerfRate[[#This Row],[EnvironmentSatisfaction]],PerfRate[[#This Row],[JobSatisfaction]],PerfRate[[#This Row],[RelationshipSatisfaction]])</f>
        <v>3</v>
      </c>
      <c r="R6181" s="2">
        <f>PerfRate[[#This Row],[ManagerRating]] - PerfRate[[#This Row],[SelfRating]]</f>
        <v>-1</v>
      </c>
    </row>
    <row r="6182" spans="1:18">
      <c r="A6182" s="2" t="s">
        <v>10489</v>
      </c>
      <c r="B6182" s="2" t="s">
        <v>144</v>
      </c>
      <c r="C6182" s="1">
        <v>44784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  <c r="L6182" s="2" t="s">
        <v>11030</v>
      </c>
      <c r="M6182" s="2" t="s">
        <v>11030</v>
      </c>
      <c r="N6182" s="2" t="s">
        <v>11038</v>
      </c>
      <c r="O6182" s="2" t="s">
        <v>11038</v>
      </c>
      <c r="P6182" s="2" t="s">
        <v>11036</v>
      </c>
      <c r="Q6182" s="2">
        <f>AVERAGE(PerfRate[[#This Row],[EnvironmentSatisfaction]],PerfRate[[#This Row],[JobSatisfaction]],PerfRate[[#This Row],[RelationshipSatisfaction]])</f>
        <v>4.333333333333333</v>
      </c>
      <c r="R6182" s="2">
        <f>PerfRate[[#This Row],[ManagerRating]] - PerfRate[[#This Row],[SelfRating]]</f>
        <v>0</v>
      </c>
    </row>
    <row r="6183" spans="1:18">
      <c r="A6183" s="2" t="s">
        <v>10490</v>
      </c>
      <c r="B6183" s="2" t="s">
        <v>2656</v>
      </c>
      <c r="C6183" s="1">
        <v>42282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  <c r="L6183" s="2" t="s">
        <v>11030</v>
      </c>
      <c r="M6183" s="2" t="s">
        <v>11030</v>
      </c>
      <c r="N6183" s="2" t="s">
        <v>11037</v>
      </c>
      <c r="O6183" s="2" t="s">
        <v>11036</v>
      </c>
      <c r="P6183" s="2" t="s">
        <v>11035</v>
      </c>
      <c r="Q6183" s="2">
        <f>AVERAGE(PerfRate[[#This Row],[EnvironmentSatisfaction]],PerfRate[[#This Row],[JobSatisfaction]],PerfRate[[#This Row],[RelationshipSatisfaction]])</f>
        <v>3</v>
      </c>
      <c r="R6183" s="2">
        <f>PerfRate[[#This Row],[ManagerRating]] - PerfRate[[#This Row],[SelfRating]]</f>
        <v>0</v>
      </c>
    </row>
    <row r="6184" spans="1:18">
      <c r="A6184" s="2" t="s">
        <v>10491</v>
      </c>
      <c r="B6184" s="2" t="s">
        <v>785</v>
      </c>
      <c r="C6184" s="1">
        <v>44784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  <c r="L6184" s="2" t="s">
        <v>11030</v>
      </c>
      <c r="M6184" s="2" t="s">
        <v>11029</v>
      </c>
      <c r="N6184" s="2" t="s">
        <v>11034</v>
      </c>
      <c r="O6184" s="2" t="s">
        <v>11035</v>
      </c>
      <c r="P6184" s="2" t="s">
        <v>11036</v>
      </c>
      <c r="Q6184" s="2">
        <f>AVERAGE(PerfRate[[#This Row],[EnvironmentSatisfaction]],PerfRate[[#This Row],[JobSatisfaction]],PerfRate[[#This Row],[RelationshipSatisfaction]])</f>
        <v>2</v>
      </c>
      <c r="R6184" s="2">
        <f>PerfRate[[#This Row],[ManagerRating]] - PerfRate[[#This Row],[SelfRating]]</f>
        <v>-1</v>
      </c>
    </row>
    <row r="6185" spans="1:18">
      <c r="A6185" s="2" t="s">
        <v>10492</v>
      </c>
      <c r="B6185" s="2" t="s">
        <v>1114</v>
      </c>
      <c r="C6185" s="1">
        <v>44784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  <c r="L6185" s="2" t="s">
        <v>11031</v>
      </c>
      <c r="M6185" s="2" t="s">
        <v>11031</v>
      </c>
      <c r="N6185" s="2" t="s">
        <v>11036</v>
      </c>
      <c r="O6185" s="2" t="s">
        <v>11037</v>
      </c>
      <c r="P6185" s="2" t="s">
        <v>11036</v>
      </c>
      <c r="Q6185" s="2">
        <f>AVERAGE(PerfRate[[#This Row],[EnvironmentSatisfaction]],PerfRate[[#This Row],[JobSatisfaction]],PerfRate[[#This Row],[RelationshipSatisfaction]])</f>
        <v>3.3333333333333335</v>
      </c>
      <c r="R6185" s="2">
        <f>PerfRate[[#This Row],[ManagerRating]] - PerfRate[[#This Row],[SelfRating]]</f>
        <v>0</v>
      </c>
    </row>
    <row r="6186" spans="1:18">
      <c r="A6186" s="2" t="s">
        <v>10493</v>
      </c>
      <c r="B6186" s="2" t="s">
        <v>2798</v>
      </c>
      <c r="C6186" s="1">
        <v>44784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  <c r="L6186" s="2" t="s">
        <v>11029</v>
      </c>
      <c r="M6186" s="2" t="s">
        <v>11029</v>
      </c>
      <c r="N6186" s="2" t="s">
        <v>11036</v>
      </c>
      <c r="O6186" s="2" t="s">
        <v>11038</v>
      </c>
      <c r="P6186" s="2" t="s">
        <v>11038</v>
      </c>
      <c r="Q6186" s="2">
        <f>AVERAGE(PerfRate[[#This Row],[EnvironmentSatisfaction]],PerfRate[[#This Row],[JobSatisfaction]],PerfRate[[#This Row],[RelationshipSatisfaction]])</f>
        <v>4.333333333333333</v>
      </c>
      <c r="R6186" s="2">
        <f>PerfRate[[#This Row],[ManagerRating]] - PerfRate[[#This Row],[SelfRating]]</f>
        <v>0</v>
      </c>
    </row>
    <row r="6187" spans="1:18">
      <c r="A6187" s="2" t="s">
        <v>10494</v>
      </c>
      <c r="B6187" s="2" t="s">
        <v>2700</v>
      </c>
      <c r="C6187" s="1">
        <v>44784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  <c r="L6187" s="2" t="s">
        <v>11030</v>
      </c>
      <c r="M6187" s="2" t="s">
        <v>11030</v>
      </c>
      <c r="N6187" s="2" t="s">
        <v>11036</v>
      </c>
      <c r="O6187" s="2" t="s">
        <v>11038</v>
      </c>
      <c r="P6187" s="2" t="s">
        <v>11037</v>
      </c>
      <c r="Q6187" s="2">
        <f>AVERAGE(PerfRate[[#This Row],[EnvironmentSatisfaction]],PerfRate[[#This Row],[JobSatisfaction]],PerfRate[[#This Row],[RelationshipSatisfaction]])</f>
        <v>4</v>
      </c>
      <c r="R6187" s="2">
        <f>PerfRate[[#This Row],[ManagerRating]] - PerfRate[[#This Row],[SelfRating]]</f>
        <v>0</v>
      </c>
    </row>
    <row r="6188" spans="1:18">
      <c r="A6188" s="2" t="s">
        <v>10495</v>
      </c>
      <c r="B6188" s="2" t="s">
        <v>172</v>
      </c>
      <c r="C6188" s="1">
        <v>44815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  <c r="L6188" s="2" t="s">
        <v>11029</v>
      </c>
      <c r="M6188" s="2" t="s">
        <v>11028</v>
      </c>
      <c r="N6188" s="2" t="s">
        <v>11038</v>
      </c>
      <c r="O6188" s="2" t="s">
        <v>11037</v>
      </c>
      <c r="P6188" s="2" t="s">
        <v>11035</v>
      </c>
      <c r="Q6188" s="2">
        <f>AVERAGE(PerfRate[[#This Row],[EnvironmentSatisfaction]],PerfRate[[#This Row],[JobSatisfaction]],PerfRate[[#This Row],[RelationshipSatisfaction]])</f>
        <v>3.6666666666666665</v>
      </c>
      <c r="R6188" s="2">
        <f>PerfRate[[#This Row],[ManagerRating]] - PerfRate[[#This Row],[SelfRating]]</f>
        <v>-1</v>
      </c>
    </row>
    <row r="6189" spans="1:18">
      <c r="A6189" s="2" t="s">
        <v>10496</v>
      </c>
      <c r="B6189" s="2" t="s">
        <v>3409</v>
      </c>
      <c r="C6189" s="1">
        <v>44815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  <c r="L6189" s="2" t="s">
        <v>11031</v>
      </c>
      <c r="M6189" s="2" t="s">
        <v>11031</v>
      </c>
      <c r="N6189" s="2" t="s">
        <v>11036</v>
      </c>
      <c r="O6189" s="2" t="s">
        <v>11034</v>
      </c>
      <c r="P6189" s="2" t="s">
        <v>11037</v>
      </c>
      <c r="Q6189" s="2">
        <f>AVERAGE(PerfRate[[#This Row],[EnvironmentSatisfaction]],PerfRate[[#This Row],[JobSatisfaction]],PerfRate[[#This Row],[RelationshipSatisfaction]])</f>
        <v>2.6666666666666665</v>
      </c>
      <c r="R6189" s="2">
        <f>PerfRate[[#This Row],[ManagerRating]] - PerfRate[[#This Row],[SelfRating]]</f>
        <v>0</v>
      </c>
    </row>
    <row r="6190" spans="1:18">
      <c r="A6190" s="2" t="s">
        <v>10497</v>
      </c>
      <c r="B6190" s="2" t="s">
        <v>4227</v>
      </c>
      <c r="C6190" s="1">
        <v>44845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  <c r="L6190" s="2" t="s">
        <v>11030</v>
      </c>
      <c r="M6190" s="2" t="s">
        <v>11030</v>
      </c>
      <c r="N6190" s="2" t="s">
        <v>11038</v>
      </c>
      <c r="O6190" s="2" t="s">
        <v>11035</v>
      </c>
      <c r="P6190" s="2" t="s">
        <v>11037</v>
      </c>
      <c r="Q6190" s="2">
        <f>AVERAGE(PerfRate[[#This Row],[EnvironmentSatisfaction]],PerfRate[[#This Row],[JobSatisfaction]],PerfRate[[#This Row],[RelationshipSatisfaction]])</f>
        <v>3.6666666666666665</v>
      </c>
      <c r="R6190" s="2">
        <f>PerfRate[[#This Row],[ManagerRating]] - PerfRate[[#This Row],[SelfRating]]</f>
        <v>0</v>
      </c>
    </row>
    <row r="6191" spans="1:18">
      <c r="A6191" s="2" t="s">
        <v>10498</v>
      </c>
      <c r="B6191" s="2" t="s">
        <v>3411</v>
      </c>
      <c r="C6191" s="1">
        <v>44845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  <c r="L6191" s="2" t="s">
        <v>11029</v>
      </c>
      <c r="M6191" s="2" t="s">
        <v>11028</v>
      </c>
      <c r="N6191" s="2" t="s">
        <v>11037</v>
      </c>
      <c r="O6191" s="2" t="s">
        <v>11035</v>
      </c>
      <c r="P6191" s="2" t="s">
        <v>11036</v>
      </c>
      <c r="Q6191" s="2">
        <f>AVERAGE(PerfRate[[#This Row],[EnvironmentSatisfaction]],PerfRate[[#This Row],[JobSatisfaction]],PerfRate[[#This Row],[RelationshipSatisfaction]])</f>
        <v>3</v>
      </c>
      <c r="R6191" s="2">
        <f>PerfRate[[#This Row],[ManagerRating]] - PerfRate[[#This Row],[SelfRating]]</f>
        <v>-1</v>
      </c>
    </row>
    <row r="6192" spans="1:18">
      <c r="A6192" s="2" t="s">
        <v>10499</v>
      </c>
      <c r="B6192" s="2" t="s">
        <v>768</v>
      </c>
      <c r="C6192" s="1">
        <v>44845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  <c r="L6192" s="2" t="s">
        <v>11031</v>
      </c>
      <c r="M6192" s="2" t="s">
        <v>11031</v>
      </c>
      <c r="N6192" s="2" t="s">
        <v>11037</v>
      </c>
      <c r="O6192" s="2" t="s">
        <v>11037</v>
      </c>
      <c r="P6192" s="2" t="s">
        <v>11038</v>
      </c>
      <c r="Q6192" s="2">
        <f>AVERAGE(PerfRate[[#This Row],[EnvironmentSatisfaction]],PerfRate[[#This Row],[JobSatisfaction]],PerfRate[[#This Row],[RelationshipSatisfaction]])</f>
        <v>4.333333333333333</v>
      </c>
      <c r="R6192" s="2">
        <f>PerfRate[[#This Row],[ManagerRating]] - PerfRate[[#This Row],[SelfRating]]</f>
        <v>0</v>
      </c>
    </row>
    <row r="6193" spans="1:18">
      <c r="A6193" s="2" t="s">
        <v>10500</v>
      </c>
      <c r="B6193" s="2" t="s">
        <v>1051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  <c r="L6193" s="2" t="s">
        <v>11029</v>
      </c>
      <c r="M6193" s="2" t="s">
        <v>11028</v>
      </c>
      <c r="N6193" s="2" t="s">
        <v>11037</v>
      </c>
      <c r="O6193" s="2" t="s">
        <v>11038</v>
      </c>
      <c r="P6193" s="2" t="s">
        <v>11038</v>
      </c>
      <c r="Q6193" s="2">
        <f>AVERAGE(PerfRate[[#This Row],[EnvironmentSatisfaction]],PerfRate[[#This Row],[JobSatisfaction]],PerfRate[[#This Row],[RelationshipSatisfaction]])</f>
        <v>4.666666666666667</v>
      </c>
      <c r="R6193" s="2">
        <f>PerfRate[[#This Row],[ManagerRating]] - PerfRate[[#This Row],[SelfRating]]</f>
        <v>-1</v>
      </c>
    </row>
    <row r="6194" spans="1:18">
      <c r="A6194" s="2" t="s">
        <v>10501</v>
      </c>
      <c r="B6194" s="2" t="s">
        <v>3149</v>
      </c>
      <c r="C6194" s="1">
        <v>42313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  <c r="L6194" s="2" t="s">
        <v>11030</v>
      </c>
      <c r="M6194" s="2" t="s">
        <v>11029</v>
      </c>
      <c r="N6194" s="2" t="s">
        <v>11036</v>
      </c>
      <c r="O6194" s="2" t="s">
        <v>11035</v>
      </c>
      <c r="P6194" s="2" t="s">
        <v>11035</v>
      </c>
      <c r="Q6194" s="2">
        <f>AVERAGE(PerfRate[[#This Row],[EnvironmentSatisfaction]],PerfRate[[#This Row],[JobSatisfaction]],PerfRate[[#This Row],[RelationshipSatisfaction]])</f>
        <v>2.3333333333333335</v>
      </c>
      <c r="R6194" s="2">
        <f>PerfRate[[#This Row],[ManagerRating]] - PerfRate[[#This Row],[SelfRating]]</f>
        <v>-1</v>
      </c>
    </row>
    <row r="6195" spans="1:18">
      <c r="A6195" s="2" t="s">
        <v>10502</v>
      </c>
      <c r="B6195" s="2" t="s">
        <v>1872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  <c r="L6195" s="2" t="s">
        <v>11031</v>
      </c>
      <c r="M6195" s="2" t="s">
        <v>11031</v>
      </c>
      <c r="N6195" s="2" t="s">
        <v>11037</v>
      </c>
      <c r="O6195" s="2" t="s">
        <v>11037</v>
      </c>
      <c r="P6195" s="2" t="s">
        <v>11036</v>
      </c>
      <c r="Q6195" s="2">
        <f>AVERAGE(PerfRate[[#This Row],[EnvironmentSatisfaction]],PerfRate[[#This Row],[JobSatisfaction]],PerfRate[[#This Row],[RelationshipSatisfaction]])</f>
        <v>3.6666666666666665</v>
      </c>
      <c r="R6195" s="2">
        <f>PerfRate[[#This Row],[ManagerRating]] - PerfRate[[#This Row],[SelfRating]]</f>
        <v>0</v>
      </c>
    </row>
    <row r="6196" spans="1:18">
      <c r="A6196" s="2" t="s">
        <v>10503</v>
      </c>
      <c r="B6196" s="2" t="s">
        <v>1168</v>
      </c>
      <c r="C6196" s="1">
        <v>44906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  <c r="L6196" s="2" t="s">
        <v>11031</v>
      </c>
      <c r="M6196" s="2" t="s">
        <v>11030</v>
      </c>
      <c r="N6196" s="2" t="s">
        <v>11038</v>
      </c>
      <c r="O6196" s="2" t="s">
        <v>11035</v>
      </c>
      <c r="P6196" s="2" t="s">
        <v>11038</v>
      </c>
      <c r="Q6196" s="2">
        <f>AVERAGE(PerfRate[[#This Row],[EnvironmentSatisfaction]],PerfRate[[#This Row],[JobSatisfaction]],PerfRate[[#This Row],[RelationshipSatisfaction]])</f>
        <v>4</v>
      </c>
      <c r="R6196" s="2">
        <f>PerfRate[[#This Row],[ManagerRating]] - PerfRate[[#This Row],[SelfRating]]</f>
        <v>-1</v>
      </c>
    </row>
    <row r="6197" spans="1:18">
      <c r="A6197" s="2" t="s">
        <v>10504</v>
      </c>
      <c r="B6197" s="2" t="s">
        <v>2770</v>
      </c>
      <c r="C6197" s="1">
        <v>44906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  <c r="L6197" s="2" t="s">
        <v>11030</v>
      </c>
      <c r="M6197" s="2" t="s">
        <v>11030</v>
      </c>
      <c r="N6197" s="2" t="s">
        <v>11037</v>
      </c>
      <c r="O6197" s="2" t="s">
        <v>11035</v>
      </c>
      <c r="P6197" s="2" t="s">
        <v>11037</v>
      </c>
      <c r="Q6197" s="2">
        <f>AVERAGE(PerfRate[[#This Row],[EnvironmentSatisfaction]],PerfRate[[#This Row],[JobSatisfaction]],PerfRate[[#This Row],[RelationshipSatisfaction]])</f>
        <v>3.3333333333333335</v>
      </c>
      <c r="R6197" s="2">
        <f>PerfRate[[#This Row],[ManagerRating]] - PerfRate[[#This Row],[SelfRating]]</f>
        <v>0</v>
      </c>
    </row>
    <row r="6198" spans="1:18">
      <c r="A6198" s="2" t="s">
        <v>10505</v>
      </c>
      <c r="B6198" s="2" t="s">
        <v>485</v>
      </c>
      <c r="C6198" s="1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  <c r="L6198" s="2" t="s">
        <v>11030</v>
      </c>
      <c r="M6198" s="2" t="s">
        <v>11029</v>
      </c>
      <c r="N6198" s="2" t="s">
        <v>11038</v>
      </c>
      <c r="O6198" s="2" t="s">
        <v>11038</v>
      </c>
      <c r="P6198" s="2" t="s">
        <v>11036</v>
      </c>
      <c r="Q6198" s="2">
        <f>AVERAGE(PerfRate[[#This Row],[EnvironmentSatisfaction]],PerfRate[[#This Row],[JobSatisfaction]],PerfRate[[#This Row],[RelationshipSatisfaction]])</f>
        <v>4.333333333333333</v>
      </c>
      <c r="R6198" s="2">
        <f>PerfRate[[#This Row],[ManagerRating]] - PerfRate[[#This Row],[SelfRating]]</f>
        <v>-1</v>
      </c>
    </row>
    <row r="6199" spans="1:18">
      <c r="A6199" s="2" t="s">
        <v>10506</v>
      </c>
      <c r="B6199" s="2" t="s">
        <v>3534</v>
      </c>
      <c r="C6199" s="1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  <c r="L6199" s="2" t="s">
        <v>11030</v>
      </c>
      <c r="M6199" s="2" t="s">
        <v>11029</v>
      </c>
      <c r="N6199" s="2" t="s">
        <v>11038</v>
      </c>
      <c r="O6199" s="2" t="s">
        <v>11038</v>
      </c>
      <c r="P6199" s="2" t="s">
        <v>11037</v>
      </c>
      <c r="Q6199" s="2">
        <f>AVERAGE(PerfRate[[#This Row],[EnvironmentSatisfaction]],PerfRate[[#This Row],[JobSatisfaction]],PerfRate[[#This Row],[RelationshipSatisfaction]])</f>
        <v>4.666666666666667</v>
      </c>
      <c r="R6199" s="2">
        <f>PerfRate[[#This Row],[ManagerRating]] - PerfRate[[#This Row],[SelfRating]]</f>
        <v>-1</v>
      </c>
    </row>
    <row r="6200" spans="1:18">
      <c r="A6200" s="2" t="s">
        <v>10507</v>
      </c>
      <c r="B6200" s="2" t="s">
        <v>1015</v>
      </c>
      <c r="C6200" s="1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  <c r="L6200" s="2" t="s">
        <v>11029</v>
      </c>
      <c r="M6200" s="2" t="s">
        <v>11028</v>
      </c>
      <c r="N6200" s="2" t="s">
        <v>11036</v>
      </c>
      <c r="O6200" s="2" t="s">
        <v>11035</v>
      </c>
      <c r="P6200" s="2" t="s">
        <v>11036</v>
      </c>
      <c r="Q6200" s="2">
        <f>AVERAGE(PerfRate[[#This Row],[EnvironmentSatisfaction]],PerfRate[[#This Row],[JobSatisfaction]],PerfRate[[#This Row],[RelationshipSatisfaction]])</f>
        <v>2.6666666666666665</v>
      </c>
      <c r="R6200" s="2">
        <f>PerfRate[[#This Row],[ManagerRating]] - PerfRate[[#This Row],[SelfRating]]</f>
        <v>-1</v>
      </c>
    </row>
    <row r="6201" spans="1:18">
      <c r="A6201" s="2" t="s">
        <v>10508</v>
      </c>
      <c r="B6201" s="2" t="s">
        <v>2275</v>
      </c>
      <c r="C6201" s="1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  <c r="L6201" s="2" t="s">
        <v>11029</v>
      </c>
      <c r="M6201" s="2" t="s">
        <v>11029</v>
      </c>
      <c r="N6201" s="2" t="s">
        <v>11036</v>
      </c>
      <c r="O6201" s="2" t="s">
        <v>11034</v>
      </c>
      <c r="P6201" s="2" t="s">
        <v>11037</v>
      </c>
      <c r="Q6201" s="2">
        <f>AVERAGE(PerfRate[[#This Row],[EnvironmentSatisfaction]],PerfRate[[#This Row],[JobSatisfaction]],PerfRate[[#This Row],[RelationshipSatisfaction]])</f>
        <v>2.6666666666666665</v>
      </c>
      <c r="R6201" s="2">
        <f>PerfRate[[#This Row],[ManagerRating]] - PerfRate[[#This Row],[SelfRating]]</f>
        <v>0</v>
      </c>
    </row>
    <row r="6202" spans="1:18">
      <c r="A6202" s="2" t="s">
        <v>10509</v>
      </c>
      <c r="B6202" s="2" t="s">
        <v>2435</v>
      </c>
      <c r="C6202" s="1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  <c r="L6202" s="2" t="s">
        <v>11031</v>
      </c>
      <c r="M6202" s="2" t="s">
        <v>11030</v>
      </c>
      <c r="N6202" s="2" t="s">
        <v>11035</v>
      </c>
      <c r="O6202" s="2" t="s">
        <v>11036</v>
      </c>
      <c r="P6202" s="2" t="s">
        <v>11035</v>
      </c>
      <c r="Q6202" s="2">
        <f>AVERAGE(PerfRate[[#This Row],[EnvironmentSatisfaction]],PerfRate[[#This Row],[JobSatisfaction]],PerfRate[[#This Row],[RelationshipSatisfaction]])</f>
        <v>2.3333333333333335</v>
      </c>
      <c r="R6202" s="2">
        <f>PerfRate[[#This Row],[ManagerRating]] - PerfRate[[#This Row],[SelfRating]]</f>
        <v>-1</v>
      </c>
    </row>
    <row r="6203" spans="1:18">
      <c r="A6203" s="2" t="s">
        <v>10510</v>
      </c>
      <c r="B6203" s="2" t="s">
        <v>3201</v>
      </c>
      <c r="C6203" s="1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  <c r="L6203" s="2" t="s">
        <v>11031</v>
      </c>
      <c r="M6203" s="2" t="s">
        <v>11030</v>
      </c>
      <c r="N6203" s="2" t="s">
        <v>11038</v>
      </c>
      <c r="O6203" s="2" t="s">
        <v>11038</v>
      </c>
      <c r="P6203" s="2" t="s">
        <v>11035</v>
      </c>
      <c r="Q6203" s="2">
        <f>AVERAGE(PerfRate[[#This Row],[EnvironmentSatisfaction]],PerfRate[[#This Row],[JobSatisfaction]],PerfRate[[#This Row],[RelationshipSatisfaction]])</f>
        <v>4</v>
      </c>
      <c r="R6203" s="2">
        <f>PerfRate[[#This Row],[ManagerRating]] - PerfRate[[#This Row],[SelfRating]]</f>
        <v>-1</v>
      </c>
    </row>
    <row r="6204" spans="1:18">
      <c r="A6204" s="2" t="s">
        <v>10511</v>
      </c>
      <c r="B6204" s="2" t="s">
        <v>3504</v>
      </c>
      <c r="C6204" s="1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  <c r="L6204" s="2" t="s">
        <v>11030</v>
      </c>
      <c r="M6204" s="2" t="s">
        <v>11030</v>
      </c>
      <c r="N6204" s="2" t="s">
        <v>11036</v>
      </c>
      <c r="O6204" s="2" t="s">
        <v>11038</v>
      </c>
      <c r="P6204" s="2" t="s">
        <v>11037</v>
      </c>
      <c r="Q6204" s="2">
        <f>AVERAGE(PerfRate[[#This Row],[EnvironmentSatisfaction]],PerfRate[[#This Row],[JobSatisfaction]],PerfRate[[#This Row],[RelationshipSatisfaction]])</f>
        <v>4</v>
      </c>
      <c r="R6204" s="2">
        <f>PerfRate[[#This Row],[ManagerRating]] - PerfRate[[#This Row],[SelfRating]]</f>
        <v>0</v>
      </c>
    </row>
    <row r="6205" spans="1:18">
      <c r="A6205" s="2" t="s">
        <v>10512</v>
      </c>
      <c r="B6205" s="2" t="s">
        <v>2343</v>
      </c>
      <c r="C6205" s="1">
        <v>42343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  <c r="L6205" s="2" t="s">
        <v>11031</v>
      </c>
      <c r="M6205" s="2" t="s">
        <v>11031</v>
      </c>
      <c r="N6205" s="2" t="s">
        <v>11038</v>
      </c>
      <c r="O6205" s="2" t="s">
        <v>11037</v>
      </c>
      <c r="P6205" s="2" t="s">
        <v>11037</v>
      </c>
      <c r="Q6205" s="2">
        <f>AVERAGE(PerfRate[[#This Row],[EnvironmentSatisfaction]],PerfRate[[#This Row],[JobSatisfaction]],PerfRate[[#This Row],[RelationshipSatisfaction]])</f>
        <v>4.333333333333333</v>
      </c>
      <c r="R6205" s="2">
        <f>PerfRate[[#This Row],[ManagerRating]] - PerfRate[[#This Row],[SelfRating]]</f>
        <v>0</v>
      </c>
    </row>
    <row r="6206" spans="1:18">
      <c r="A6206" s="2" t="s">
        <v>10513</v>
      </c>
      <c r="B6206" s="2" t="s">
        <v>2862</v>
      </c>
      <c r="C6206" s="1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  <c r="L6206" s="2" t="s">
        <v>11029</v>
      </c>
      <c r="M6206" s="2" t="s">
        <v>11028</v>
      </c>
      <c r="N6206" s="2" t="s">
        <v>11036</v>
      </c>
      <c r="O6206" s="2" t="s">
        <v>11036</v>
      </c>
      <c r="P6206" s="2" t="s">
        <v>11035</v>
      </c>
      <c r="Q6206" s="2">
        <f>AVERAGE(PerfRate[[#This Row],[EnvironmentSatisfaction]],PerfRate[[#This Row],[JobSatisfaction]],PerfRate[[#This Row],[RelationshipSatisfaction]])</f>
        <v>2.6666666666666665</v>
      </c>
      <c r="R6206" s="2">
        <f>PerfRate[[#This Row],[ManagerRating]] - PerfRate[[#This Row],[SelfRating]]</f>
        <v>-1</v>
      </c>
    </row>
    <row r="6207" spans="1:18">
      <c r="A6207" s="2" t="s">
        <v>10514</v>
      </c>
      <c r="B6207" s="2" t="s">
        <v>125</v>
      </c>
      <c r="C6207" s="1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  <c r="L6207" s="2" t="s">
        <v>11031</v>
      </c>
      <c r="M6207" s="2" t="s">
        <v>11031</v>
      </c>
      <c r="N6207" s="2" t="s">
        <v>11036</v>
      </c>
      <c r="O6207" s="2" t="s">
        <v>11035</v>
      </c>
      <c r="P6207" s="2" t="s">
        <v>11037</v>
      </c>
      <c r="Q6207" s="2">
        <f>AVERAGE(PerfRate[[#This Row],[EnvironmentSatisfaction]],PerfRate[[#This Row],[JobSatisfaction]],PerfRate[[#This Row],[RelationshipSatisfaction]])</f>
        <v>3</v>
      </c>
      <c r="R6207" s="2">
        <f>PerfRate[[#This Row],[ManagerRating]] - PerfRate[[#This Row],[SelfRating]]</f>
        <v>0</v>
      </c>
    </row>
    <row r="6208" spans="1:18">
      <c r="A6208" s="2" t="s">
        <v>10515</v>
      </c>
      <c r="B6208" s="2" t="s">
        <v>1266</v>
      </c>
      <c r="C6208" s="1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  <c r="L6208" s="2" t="s">
        <v>11030</v>
      </c>
      <c r="M6208" s="2" t="s">
        <v>11030</v>
      </c>
      <c r="N6208" s="2" t="s">
        <v>11034</v>
      </c>
      <c r="O6208" s="2" t="s">
        <v>11036</v>
      </c>
      <c r="P6208" s="2" t="s">
        <v>11034</v>
      </c>
      <c r="Q6208" s="2">
        <f>AVERAGE(PerfRate[[#This Row],[EnvironmentSatisfaction]],PerfRate[[#This Row],[JobSatisfaction]],PerfRate[[#This Row],[RelationshipSatisfaction]])</f>
        <v>1.6666666666666667</v>
      </c>
      <c r="R6208" s="2">
        <f>PerfRate[[#This Row],[ManagerRating]] - PerfRate[[#This Row],[SelfRating]]</f>
        <v>0</v>
      </c>
    </row>
    <row r="6209" spans="1:18">
      <c r="A6209" s="2" t="s">
        <v>10516</v>
      </c>
      <c r="B6209" s="2" t="s">
        <v>3270</v>
      </c>
      <c r="C6209" s="1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  <c r="L6209" s="2" t="s">
        <v>11029</v>
      </c>
      <c r="M6209" s="2" t="s">
        <v>11029</v>
      </c>
      <c r="N6209" s="2" t="s">
        <v>11037</v>
      </c>
      <c r="O6209" s="2" t="s">
        <v>11035</v>
      </c>
      <c r="P6209" s="2" t="s">
        <v>11036</v>
      </c>
      <c r="Q6209" s="2">
        <f>AVERAGE(PerfRate[[#This Row],[EnvironmentSatisfaction]],PerfRate[[#This Row],[JobSatisfaction]],PerfRate[[#This Row],[RelationshipSatisfaction]])</f>
        <v>3</v>
      </c>
      <c r="R6209" s="2">
        <f>PerfRate[[#This Row],[ManagerRating]] - PerfRate[[#This Row],[SelfRating]]</f>
        <v>0</v>
      </c>
    </row>
    <row r="6210" spans="1:18">
      <c r="A6210" s="2" t="s">
        <v>10517</v>
      </c>
      <c r="B6210" s="2" t="s">
        <v>422</v>
      </c>
      <c r="C6210" s="1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  <c r="L6210" s="2" t="s">
        <v>11029</v>
      </c>
      <c r="M6210" s="2" t="s">
        <v>11028</v>
      </c>
      <c r="N6210" s="2" t="s">
        <v>11034</v>
      </c>
      <c r="O6210" s="2" t="s">
        <v>11037</v>
      </c>
      <c r="P6210" s="2" t="s">
        <v>11036</v>
      </c>
      <c r="Q6210" s="2">
        <f>AVERAGE(PerfRate[[#This Row],[EnvironmentSatisfaction]],PerfRate[[#This Row],[JobSatisfaction]],PerfRate[[#This Row],[RelationshipSatisfaction]])</f>
        <v>2.6666666666666665</v>
      </c>
      <c r="R6210" s="2">
        <f>PerfRate[[#This Row],[ManagerRating]] - PerfRate[[#This Row],[SelfRating]]</f>
        <v>-1</v>
      </c>
    </row>
    <row r="6211" spans="1:18">
      <c r="A6211" s="2" t="s">
        <v>10518</v>
      </c>
      <c r="B6211" s="2" t="s">
        <v>655</v>
      </c>
      <c r="C6211" s="1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  <c r="L6211" s="2" t="s">
        <v>11029</v>
      </c>
      <c r="M6211" s="2" t="s">
        <v>11029</v>
      </c>
      <c r="N6211" s="2" t="s">
        <v>11036</v>
      </c>
      <c r="O6211" s="2" t="s">
        <v>11038</v>
      </c>
      <c r="P6211" s="2" t="s">
        <v>11035</v>
      </c>
      <c r="Q6211" s="2">
        <f>AVERAGE(PerfRate[[#This Row],[EnvironmentSatisfaction]],PerfRate[[#This Row],[JobSatisfaction]],PerfRate[[#This Row],[RelationshipSatisfaction]])</f>
        <v>3.3333333333333335</v>
      </c>
      <c r="R6211" s="2">
        <f>PerfRate[[#This Row],[ManagerRating]] - PerfRate[[#This Row],[SelfRating]]</f>
        <v>0</v>
      </c>
    </row>
    <row r="6212" spans="1:18">
      <c r="A6212" s="2" t="s">
        <v>10519</v>
      </c>
      <c r="B6212" s="2" t="s">
        <v>1174</v>
      </c>
      <c r="C6212" s="1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  <c r="L6212" s="2" t="s">
        <v>11030</v>
      </c>
      <c r="M6212" s="2" t="s">
        <v>11030</v>
      </c>
      <c r="N6212" s="2" t="s">
        <v>11035</v>
      </c>
      <c r="O6212" s="2" t="s">
        <v>11035</v>
      </c>
      <c r="P6212" s="2" t="s">
        <v>11036</v>
      </c>
      <c r="Q6212" s="2">
        <f>AVERAGE(PerfRate[[#This Row],[EnvironmentSatisfaction]],PerfRate[[#This Row],[JobSatisfaction]],PerfRate[[#This Row],[RelationshipSatisfaction]])</f>
        <v>2.3333333333333335</v>
      </c>
      <c r="R6212" s="2">
        <f>PerfRate[[#This Row],[ManagerRating]] - PerfRate[[#This Row],[SelfRating]]</f>
        <v>0</v>
      </c>
    </row>
    <row r="6213" spans="1:18">
      <c r="A6213" s="2" t="s">
        <v>10520</v>
      </c>
      <c r="B6213" s="2" t="s">
        <v>3132</v>
      </c>
      <c r="C6213" s="1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  <c r="L6213" s="2" t="s">
        <v>11029</v>
      </c>
      <c r="M6213" s="2" t="s">
        <v>11029</v>
      </c>
      <c r="N6213" s="2" t="s">
        <v>11037</v>
      </c>
      <c r="O6213" s="2" t="s">
        <v>11035</v>
      </c>
      <c r="P6213" s="2" t="s">
        <v>11034</v>
      </c>
      <c r="Q6213" s="2">
        <f>AVERAGE(PerfRate[[#This Row],[EnvironmentSatisfaction]],PerfRate[[#This Row],[JobSatisfaction]],PerfRate[[#This Row],[RelationshipSatisfaction]])</f>
        <v>2.3333333333333335</v>
      </c>
      <c r="R6213" s="2">
        <f>PerfRate[[#This Row],[ManagerRating]] - PerfRate[[#This Row],[SelfRating]]</f>
        <v>0</v>
      </c>
    </row>
    <row r="6214" spans="1:18">
      <c r="A6214" s="2" t="s">
        <v>10521</v>
      </c>
      <c r="B6214" s="2" t="s">
        <v>1503</v>
      </c>
      <c r="C6214" s="1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  <c r="L6214" s="2" t="s">
        <v>11030</v>
      </c>
      <c r="M6214" s="2" t="s">
        <v>11029</v>
      </c>
      <c r="N6214" s="2" t="s">
        <v>11038</v>
      </c>
      <c r="O6214" s="2" t="s">
        <v>11037</v>
      </c>
      <c r="P6214" s="2" t="s">
        <v>11038</v>
      </c>
      <c r="Q6214" s="2">
        <f>AVERAGE(PerfRate[[#This Row],[EnvironmentSatisfaction]],PerfRate[[#This Row],[JobSatisfaction]],PerfRate[[#This Row],[RelationshipSatisfaction]])</f>
        <v>4.666666666666667</v>
      </c>
      <c r="R6214" s="2">
        <f>PerfRate[[#This Row],[ManagerRating]] - PerfRate[[#This Row],[SelfRating]]</f>
        <v>-1</v>
      </c>
    </row>
    <row r="6215" spans="1:18">
      <c r="A6215" s="2" t="s">
        <v>10522</v>
      </c>
      <c r="B6215" s="2" t="s">
        <v>2228</v>
      </c>
      <c r="C6215" s="1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  <c r="L6215" s="2" t="s">
        <v>11031</v>
      </c>
      <c r="M6215" s="2" t="s">
        <v>11030</v>
      </c>
      <c r="N6215" s="2" t="s">
        <v>11036</v>
      </c>
      <c r="O6215" s="2" t="s">
        <v>11038</v>
      </c>
      <c r="P6215" s="2" t="s">
        <v>11036</v>
      </c>
      <c r="Q6215" s="2">
        <f>AVERAGE(PerfRate[[#This Row],[EnvironmentSatisfaction]],PerfRate[[#This Row],[JobSatisfaction]],PerfRate[[#This Row],[RelationshipSatisfaction]])</f>
        <v>3.6666666666666665</v>
      </c>
      <c r="R6215" s="2">
        <f>PerfRate[[#This Row],[ManagerRating]] - PerfRate[[#This Row],[SelfRating]]</f>
        <v>-1</v>
      </c>
    </row>
    <row r="6216" spans="1:18">
      <c r="A6216" s="2" t="s">
        <v>10523</v>
      </c>
      <c r="B6216" s="2" t="s">
        <v>305</v>
      </c>
      <c r="C6216" s="1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  <c r="L6216" s="2" t="s">
        <v>11029</v>
      </c>
      <c r="M6216" s="2" t="s">
        <v>11028</v>
      </c>
      <c r="N6216" s="2" t="s">
        <v>11038</v>
      </c>
      <c r="O6216" s="2" t="s">
        <v>11037</v>
      </c>
      <c r="P6216" s="2" t="s">
        <v>11035</v>
      </c>
      <c r="Q6216" s="2">
        <f>AVERAGE(PerfRate[[#This Row],[EnvironmentSatisfaction]],PerfRate[[#This Row],[JobSatisfaction]],PerfRate[[#This Row],[RelationshipSatisfaction]])</f>
        <v>3.6666666666666665</v>
      </c>
      <c r="R6216" s="2">
        <f>PerfRate[[#This Row],[ManagerRating]] - PerfRate[[#This Row],[SelfRating]]</f>
        <v>-1</v>
      </c>
    </row>
    <row r="6217" spans="1:18">
      <c r="A6217" s="2" t="s">
        <v>10524</v>
      </c>
      <c r="B6217" s="2" t="s">
        <v>2969</v>
      </c>
      <c r="C6217" s="1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  <c r="L6217" s="2" t="s">
        <v>11031</v>
      </c>
      <c r="M6217" s="2" t="s">
        <v>11030</v>
      </c>
      <c r="N6217" s="2" t="s">
        <v>11036</v>
      </c>
      <c r="O6217" s="2" t="s">
        <v>11036</v>
      </c>
      <c r="P6217" s="2" t="s">
        <v>11037</v>
      </c>
      <c r="Q6217" s="2">
        <f>AVERAGE(PerfRate[[#This Row],[EnvironmentSatisfaction]],PerfRate[[#This Row],[JobSatisfaction]],PerfRate[[#This Row],[RelationshipSatisfaction]])</f>
        <v>3.3333333333333335</v>
      </c>
      <c r="R6217" s="2">
        <f>PerfRate[[#This Row],[ManagerRating]] - PerfRate[[#This Row],[SelfRating]]</f>
        <v>-1</v>
      </c>
    </row>
    <row r="6218" spans="1:18">
      <c r="A6218" s="2" t="s">
        <v>10525</v>
      </c>
      <c r="B6218" s="2" t="s">
        <v>371</v>
      </c>
      <c r="C6218" s="1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  <c r="L6218" s="2" t="s">
        <v>11031</v>
      </c>
      <c r="M6218" s="2" t="s">
        <v>11030</v>
      </c>
      <c r="N6218" s="2" t="s">
        <v>11038</v>
      </c>
      <c r="O6218" s="2" t="s">
        <v>11037</v>
      </c>
      <c r="P6218" s="2" t="s">
        <v>11035</v>
      </c>
      <c r="Q6218" s="2">
        <f>AVERAGE(PerfRate[[#This Row],[EnvironmentSatisfaction]],PerfRate[[#This Row],[JobSatisfaction]],PerfRate[[#This Row],[RelationshipSatisfaction]])</f>
        <v>3.6666666666666665</v>
      </c>
      <c r="R6218" s="2">
        <f>PerfRate[[#This Row],[ManagerRating]] - PerfRate[[#This Row],[SelfRating]]</f>
        <v>-1</v>
      </c>
    </row>
    <row r="6219" spans="1:18">
      <c r="A6219" s="2" t="s">
        <v>10526</v>
      </c>
      <c r="B6219" s="2" t="s">
        <v>2094</v>
      </c>
      <c r="C6219" s="1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  <c r="L6219" s="2" t="s">
        <v>11029</v>
      </c>
      <c r="M6219" s="2" t="s">
        <v>11028</v>
      </c>
      <c r="N6219" s="2" t="s">
        <v>11036</v>
      </c>
      <c r="O6219" s="2" t="s">
        <v>11037</v>
      </c>
      <c r="P6219" s="2" t="s">
        <v>11035</v>
      </c>
      <c r="Q6219" s="2">
        <f>AVERAGE(PerfRate[[#This Row],[EnvironmentSatisfaction]],PerfRate[[#This Row],[JobSatisfaction]],PerfRate[[#This Row],[RelationshipSatisfaction]])</f>
        <v>3</v>
      </c>
      <c r="R6219" s="2">
        <f>PerfRate[[#This Row],[ManagerRating]] - PerfRate[[#This Row],[SelfRating]]</f>
        <v>-1</v>
      </c>
    </row>
    <row r="6220" spans="1:18">
      <c r="A6220" s="2" t="s">
        <v>10527</v>
      </c>
      <c r="B6220" s="2" t="s">
        <v>2011</v>
      </c>
      <c r="C6220" s="1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  <c r="L6220" s="2" t="s">
        <v>11029</v>
      </c>
      <c r="M6220" s="2" t="s">
        <v>11028</v>
      </c>
      <c r="N6220" s="2" t="s">
        <v>11037</v>
      </c>
      <c r="O6220" s="2" t="s">
        <v>11035</v>
      </c>
      <c r="P6220" s="2" t="s">
        <v>11037</v>
      </c>
      <c r="Q6220" s="2">
        <f>AVERAGE(PerfRate[[#This Row],[EnvironmentSatisfaction]],PerfRate[[#This Row],[JobSatisfaction]],PerfRate[[#This Row],[RelationshipSatisfaction]])</f>
        <v>3.3333333333333335</v>
      </c>
      <c r="R6220" s="2">
        <f>PerfRate[[#This Row],[ManagerRating]] - PerfRate[[#This Row],[SelfRating]]</f>
        <v>-1</v>
      </c>
    </row>
    <row r="6221" spans="1:18">
      <c r="A6221" s="2" t="s">
        <v>10528</v>
      </c>
      <c r="B6221" s="2" t="s">
        <v>2851</v>
      </c>
      <c r="C6221" s="1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  <c r="L6221" s="2" t="s">
        <v>11030</v>
      </c>
      <c r="M6221" s="2" t="s">
        <v>11030</v>
      </c>
      <c r="N6221" s="2" t="s">
        <v>11037</v>
      </c>
      <c r="O6221" s="2" t="s">
        <v>11036</v>
      </c>
      <c r="P6221" s="2" t="s">
        <v>11037</v>
      </c>
      <c r="Q6221" s="2">
        <f>AVERAGE(PerfRate[[#This Row],[EnvironmentSatisfaction]],PerfRate[[#This Row],[JobSatisfaction]],PerfRate[[#This Row],[RelationshipSatisfaction]])</f>
        <v>3.6666666666666665</v>
      </c>
      <c r="R6221" s="2">
        <f>PerfRate[[#This Row],[ManagerRating]] - PerfRate[[#This Row],[SelfRating]]</f>
        <v>0</v>
      </c>
    </row>
    <row r="6222" spans="1:18">
      <c r="A6222" s="2" t="s">
        <v>10529</v>
      </c>
      <c r="B6222" s="2" t="s">
        <v>157</v>
      </c>
      <c r="C6222" s="1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  <c r="L6222" s="2" t="s">
        <v>11030</v>
      </c>
      <c r="M6222" s="2" t="s">
        <v>11030</v>
      </c>
      <c r="N6222" s="2" t="s">
        <v>11037</v>
      </c>
      <c r="O6222" s="2" t="s">
        <v>11036</v>
      </c>
      <c r="P6222" s="2" t="s">
        <v>11035</v>
      </c>
      <c r="Q6222" s="2">
        <f>AVERAGE(PerfRate[[#This Row],[EnvironmentSatisfaction]],PerfRate[[#This Row],[JobSatisfaction]],PerfRate[[#This Row],[RelationshipSatisfaction]])</f>
        <v>3</v>
      </c>
      <c r="R6222" s="2">
        <f>PerfRate[[#This Row],[ManagerRating]] - PerfRate[[#This Row],[SelfRating]]</f>
        <v>0</v>
      </c>
    </row>
    <row r="6223" spans="1:18">
      <c r="A6223" s="2" t="s">
        <v>10530</v>
      </c>
      <c r="B6223" s="2" t="s">
        <v>1644</v>
      </c>
      <c r="C6223" s="1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  <c r="L6223" s="2" t="s">
        <v>11031</v>
      </c>
      <c r="M6223" s="2" t="s">
        <v>11031</v>
      </c>
      <c r="N6223" s="2" t="s">
        <v>11036</v>
      </c>
      <c r="O6223" s="2" t="s">
        <v>11036</v>
      </c>
      <c r="P6223" s="2" t="s">
        <v>11036</v>
      </c>
      <c r="Q6223" s="2">
        <f>AVERAGE(PerfRate[[#This Row],[EnvironmentSatisfaction]],PerfRate[[#This Row],[JobSatisfaction]],PerfRate[[#This Row],[RelationshipSatisfaction]])</f>
        <v>3</v>
      </c>
      <c r="R6223" s="2">
        <f>PerfRate[[#This Row],[ManagerRating]] - PerfRate[[#This Row],[SelfRating]]</f>
        <v>0</v>
      </c>
    </row>
    <row r="6224" spans="1:18">
      <c r="A6224" s="2" t="s">
        <v>10531</v>
      </c>
      <c r="B6224" s="2" t="s">
        <v>1979</v>
      </c>
      <c r="C6224" s="1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  <c r="L6224" s="2" t="s">
        <v>11030</v>
      </c>
      <c r="M6224" s="2" t="s">
        <v>11030</v>
      </c>
      <c r="N6224" s="2" t="s">
        <v>11037</v>
      </c>
      <c r="O6224" s="2" t="s">
        <v>11037</v>
      </c>
      <c r="P6224" s="2" t="s">
        <v>11036</v>
      </c>
      <c r="Q6224" s="2">
        <f>AVERAGE(PerfRate[[#This Row],[EnvironmentSatisfaction]],PerfRate[[#This Row],[JobSatisfaction]],PerfRate[[#This Row],[RelationshipSatisfaction]])</f>
        <v>3.6666666666666665</v>
      </c>
      <c r="R6224" s="2">
        <f>PerfRate[[#This Row],[ManagerRating]] - PerfRate[[#This Row],[SelfRating]]</f>
        <v>0</v>
      </c>
    </row>
    <row r="6225" spans="1:18">
      <c r="A6225" s="2" t="s">
        <v>10532</v>
      </c>
      <c r="B6225" s="2" t="s">
        <v>62</v>
      </c>
      <c r="C6225" s="1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  <c r="L6225" s="2" t="s">
        <v>11031</v>
      </c>
      <c r="M6225" s="2" t="s">
        <v>11031</v>
      </c>
      <c r="N6225" s="2" t="s">
        <v>11037</v>
      </c>
      <c r="O6225" s="2" t="s">
        <v>11035</v>
      </c>
      <c r="P6225" s="2" t="s">
        <v>11037</v>
      </c>
      <c r="Q6225" s="2">
        <f>AVERAGE(PerfRate[[#This Row],[EnvironmentSatisfaction]],PerfRate[[#This Row],[JobSatisfaction]],PerfRate[[#This Row],[RelationshipSatisfaction]])</f>
        <v>3.3333333333333335</v>
      </c>
      <c r="R6225" s="2">
        <f>PerfRate[[#This Row],[ManagerRating]] - PerfRate[[#This Row],[SelfRating]]</f>
        <v>0</v>
      </c>
    </row>
    <row r="6226" spans="1:18">
      <c r="A6226" s="2" t="s">
        <v>10533</v>
      </c>
      <c r="B6226" s="2" t="s">
        <v>1785</v>
      </c>
      <c r="C6226" s="1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  <c r="L6226" s="2" t="s">
        <v>11029</v>
      </c>
      <c r="M6226" s="2" t="s">
        <v>11028</v>
      </c>
      <c r="N6226" s="2" t="s">
        <v>11036</v>
      </c>
      <c r="O6226" s="2" t="s">
        <v>11035</v>
      </c>
      <c r="P6226" s="2" t="s">
        <v>11035</v>
      </c>
      <c r="Q6226" s="2">
        <f>AVERAGE(PerfRate[[#This Row],[EnvironmentSatisfaction]],PerfRate[[#This Row],[JobSatisfaction]],PerfRate[[#This Row],[RelationshipSatisfaction]])</f>
        <v>2.3333333333333335</v>
      </c>
      <c r="R6226" s="2">
        <f>PerfRate[[#This Row],[ManagerRating]] - PerfRate[[#This Row],[SelfRating]]</f>
        <v>-1</v>
      </c>
    </row>
    <row r="6227" spans="1:18">
      <c r="A6227" s="2" t="s">
        <v>10534</v>
      </c>
      <c r="B6227" s="2" t="s">
        <v>1127</v>
      </c>
      <c r="C6227" s="1">
        <v>41308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  <c r="L6227" s="2" t="s">
        <v>11031</v>
      </c>
      <c r="M6227" s="2" t="s">
        <v>11031</v>
      </c>
      <c r="N6227" s="2" t="s">
        <v>11037</v>
      </c>
      <c r="O6227" s="2" t="s">
        <v>11036</v>
      </c>
      <c r="P6227" s="2" t="s">
        <v>11037</v>
      </c>
      <c r="Q6227" s="2">
        <f>AVERAGE(PerfRate[[#This Row],[EnvironmentSatisfaction]],PerfRate[[#This Row],[JobSatisfaction]],PerfRate[[#This Row],[RelationshipSatisfaction]])</f>
        <v>3.6666666666666665</v>
      </c>
      <c r="R6227" s="2">
        <f>PerfRate[[#This Row],[ManagerRating]] - PerfRate[[#This Row],[SelfRating]]</f>
        <v>0</v>
      </c>
    </row>
    <row r="6228" spans="1:18">
      <c r="A6228" s="2" t="s">
        <v>10535</v>
      </c>
      <c r="B6228" s="2" t="s">
        <v>2158</v>
      </c>
      <c r="C6228" s="1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  <c r="L6228" s="2" t="s">
        <v>11031</v>
      </c>
      <c r="M6228" s="2" t="s">
        <v>11030</v>
      </c>
      <c r="N6228" s="2" t="s">
        <v>11038</v>
      </c>
      <c r="O6228" s="2" t="s">
        <v>11036</v>
      </c>
      <c r="P6228" s="2" t="s">
        <v>11035</v>
      </c>
      <c r="Q6228" s="2">
        <f>AVERAGE(PerfRate[[#This Row],[EnvironmentSatisfaction]],PerfRate[[#This Row],[JobSatisfaction]],PerfRate[[#This Row],[RelationshipSatisfaction]])</f>
        <v>3.3333333333333335</v>
      </c>
      <c r="R6228" s="2">
        <f>PerfRate[[#This Row],[ManagerRating]] - PerfRate[[#This Row],[SelfRating]]</f>
        <v>-1</v>
      </c>
    </row>
    <row r="6229" spans="1:18">
      <c r="A6229" s="2" t="s">
        <v>10536</v>
      </c>
      <c r="B6229" s="2" t="s">
        <v>2703</v>
      </c>
      <c r="C6229" s="1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  <c r="L6229" s="2" t="s">
        <v>11030</v>
      </c>
      <c r="M6229" s="2" t="s">
        <v>11029</v>
      </c>
      <c r="N6229" s="2" t="s">
        <v>11035</v>
      </c>
      <c r="O6229" s="2" t="s">
        <v>11036</v>
      </c>
      <c r="P6229" s="2" t="s">
        <v>11034</v>
      </c>
      <c r="Q6229" s="2">
        <f>AVERAGE(PerfRate[[#This Row],[EnvironmentSatisfaction]],PerfRate[[#This Row],[JobSatisfaction]],PerfRate[[#This Row],[RelationshipSatisfaction]])</f>
        <v>2</v>
      </c>
      <c r="R6229" s="2">
        <f>PerfRate[[#This Row],[ManagerRating]] - PerfRate[[#This Row],[SelfRating]]</f>
        <v>-1</v>
      </c>
    </row>
    <row r="6230" spans="1:18">
      <c r="A6230" s="2" t="s">
        <v>10537</v>
      </c>
      <c r="B6230" s="2" t="s">
        <v>3379</v>
      </c>
      <c r="C6230" s="1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  <c r="L6230" s="2" t="s">
        <v>11030</v>
      </c>
      <c r="M6230" s="2" t="s">
        <v>11029</v>
      </c>
      <c r="N6230" s="2" t="s">
        <v>11037</v>
      </c>
      <c r="O6230" s="2" t="s">
        <v>11038</v>
      </c>
      <c r="P6230" s="2" t="s">
        <v>11038</v>
      </c>
      <c r="Q6230" s="2">
        <f>AVERAGE(PerfRate[[#This Row],[EnvironmentSatisfaction]],PerfRate[[#This Row],[JobSatisfaction]],PerfRate[[#This Row],[RelationshipSatisfaction]])</f>
        <v>4.666666666666667</v>
      </c>
      <c r="R6230" s="2">
        <f>PerfRate[[#This Row],[ManagerRating]] - PerfRate[[#This Row],[SelfRating]]</f>
        <v>-1</v>
      </c>
    </row>
    <row r="6231" spans="1:18">
      <c r="A6231" s="2" t="s">
        <v>10538</v>
      </c>
      <c r="B6231" s="2" t="s">
        <v>3242</v>
      </c>
      <c r="C6231" s="1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  <c r="L6231" s="2" t="s">
        <v>11029</v>
      </c>
      <c r="M6231" s="2" t="s">
        <v>11029</v>
      </c>
      <c r="N6231" s="2" t="s">
        <v>11036</v>
      </c>
      <c r="O6231" s="2" t="s">
        <v>11037</v>
      </c>
      <c r="P6231" s="2" t="s">
        <v>11037</v>
      </c>
      <c r="Q6231" s="2">
        <f>AVERAGE(PerfRate[[#This Row],[EnvironmentSatisfaction]],PerfRate[[#This Row],[JobSatisfaction]],PerfRate[[#This Row],[RelationshipSatisfaction]])</f>
        <v>3.6666666666666665</v>
      </c>
      <c r="R6231" s="2">
        <f>PerfRate[[#This Row],[ManagerRating]] - PerfRate[[#This Row],[SelfRating]]</f>
        <v>0</v>
      </c>
    </row>
    <row r="6232" spans="1:18">
      <c r="A6232" s="2" t="s">
        <v>10539</v>
      </c>
      <c r="B6232" s="2" t="s">
        <v>163</v>
      </c>
      <c r="C6232" s="1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  <c r="L6232" s="2" t="s">
        <v>11029</v>
      </c>
      <c r="M6232" s="2" t="s">
        <v>11028</v>
      </c>
      <c r="N6232" s="2" t="s">
        <v>11036</v>
      </c>
      <c r="O6232" s="2" t="s">
        <v>11036</v>
      </c>
      <c r="P6232" s="2" t="s">
        <v>11035</v>
      </c>
      <c r="Q6232" s="2">
        <f>AVERAGE(PerfRate[[#This Row],[EnvironmentSatisfaction]],PerfRate[[#This Row],[JobSatisfaction]],PerfRate[[#This Row],[RelationshipSatisfaction]])</f>
        <v>2.6666666666666665</v>
      </c>
      <c r="R6232" s="2">
        <f>PerfRate[[#This Row],[ManagerRating]] - PerfRate[[#This Row],[SelfRating]]</f>
        <v>-1</v>
      </c>
    </row>
    <row r="6233" spans="1:18">
      <c r="A6233" s="2" t="s">
        <v>10540</v>
      </c>
      <c r="B6233" s="2" t="s">
        <v>1157</v>
      </c>
      <c r="C6233" s="1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  <c r="L6233" s="2" t="s">
        <v>11031</v>
      </c>
      <c r="M6233" s="2" t="s">
        <v>11031</v>
      </c>
      <c r="N6233" s="2" t="s">
        <v>11036</v>
      </c>
      <c r="O6233" s="2" t="s">
        <v>11036</v>
      </c>
      <c r="P6233" s="2" t="s">
        <v>11035</v>
      </c>
      <c r="Q6233" s="2">
        <f>AVERAGE(PerfRate[[#This Row],[EnvironmentSatisfaction]],PerfRate[[#This Row],[JobSatisfaction]],PerfRate[[#This Row],[RelationshipSatisfaction]])</f>
        <v>2.6666666666666665</v>
      </c>
      <c r="R6233" s="2">
        <f>PerfRate[[#This Row],[ManagerRating]] - PerfRate[[#This Row],[SelfRating]]</f>
        <v>0</v>
      </c>
    </row>
    <row r="6234" spans="1:18">
      <c r="A6234" s="2" t="s">
        <v>10541</v>
      </c>
      <c r="B6234" s="2" t="s">
        <v>1380</v>
      </c>
      <c r="C6234" s="1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  <c r="L6234" s="2" t="s">
        <v>11031</v>
      </c>
      <c r="M6234" s="2" t="s">
        <v>11030</v>
      </c>
      <c r="N6234" s="2" t="s">
        <v>11037</v>
      </c>
      <c r="O6234" s="2" t="s">
        <v>11036</v>
      </c>
      <c r="P6234" s="2" t="s">
        <v>11036</v>
      </c>
      <c r="Q6234" s="2">
        <f>AVERAGE(PerfRate[[#This Row],[EnvironmentSatisfaction]],PerfRate[[#This Row],[JobSatisfaction]],PerfRate[[#This Row],[RelationshipSatisfaction]])</f>
        <v>3.3333333333333335</v>
      </c>
      <c r="R6234" s="2">
        <f>PerfRate[[#This Row],[ManagerRating]] - PerfRate[[#This Row],[SelfRating]]</f>
        <v>-1</v>
      </c>
    </row>
    <row r="6235" spans="1:18">
      <c r="A6235" s="2" t="s">
        <v>10542</v>
      </c>
      <c r="B6235" s="2" t="s">
        <v>3234</v>
      </c>
      <c r="C6235" s="1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  <c r="L6235" s="2" t="s">
        <v>11029</v>
      </c>
      <c r="M6235" s="2" t="s">
        <v>11028</v>
      </c>
      <c r="N6235" s="2" t="s">
        <v>11038</v>
      </c>
      <c r="O6235" s="2" t="s">
        <v>11037</v>
      </c>
      <c r="P6235" s="2" t="s">
        <v>11036</v>
      </c>
      <c r="Q6235" s="2">
        <f>AVERAGE(PerfRate[[#This Row],[EnvironmentSatisfaction]],PerfRate[[#This Row],[JobSatisfaction]],PerfRate[[#This Row],[RelationshipSatisfaction]])</f>
        <v>4</v>
      </c>
      <c r="R6235" s="2">
        <f>PerfRate[[#This Row],[ManagerRating]] - PerfRate[[#This Row],[SelfRating]]</f>
        <v>-1</v>
      </c>
    </row>
    <row r="6236" spans="1:18">
      <c r="A6236" s="2" t="s">
        <v>10543</v>
      </c>
      <c r="B6236" s="2" t="s">
        <v>3516</v>
      </c>
      <c r="C6236" s="1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  <c r="L6236" s="2" t="s">
        <v>11030</v>
      </c>
      <c r="M6236" s="2" t="s">
        <v>11029</v>
      </c>
      <c r="N6236" s="2" t="s">
        <v>11038</v>
      </c>
      <c r="O6236" s="2" t="s">
        <v>11038</v>
      </c>
      <c r="P6236" s="2" t="s">
        <v>11038</v>
      </c>
      <c r="Q6236" s="2">
        <f>AVERAGE(PerfRate[[#This Row],[EnvironmentSatisfaction]],PerfRate[[#This Row],[JobSatisfaction]],PerfRate[[#This Row],[RelationshipSatisfaction]])</f>
        <v>5</v>
      </c>
      <c r="R6236" s="2">
        <f>PerfRate[[#This Row],[ManagerRating]] - PerfRate[[#This Row],[SelfRating]]</f>
        <v>-1</v>
      </c>
    </row>
    <row r="6237" spans="1:18">
      <c r="A6237" s="2" t="s">
        <v>10544</v>
      </c>
      <c r="B6237" s="2" t="s">
        <v>2622</v>
      </c>
      <c r="C6237" s="1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  <c r="L6237" s="2" t="s">
        <v>11029</v>
      </c>
      <c r="M6237" s="2" t="s">
        <v>11028</v>
      </c>
      <c r="N6237" s="2" t="s">
        <v>11037</v>
      </c>
      <c r="O6237" s="2" t="s">
        <v>11035</v>
      </c>
      <c r="P6237" s="2" t="s">
        <v>11035</v>
      </c>
      <c r="Q6237" s="2">
        <f>AVERAGE(PerfRate[[#This Row],[EnvironmentSatisfaction]],PerfRate[[#This Row],[JobSatisfaction]],PerfRate[[#This Row],[RelationshipSatisfaction]])</f>
        <v>2.6666666666666665</v>
      </c>
      <c r="R6237" s="2">
        <f>PerfRate[[#This Row],[ManagerRating]] - PerfRate[[#This Row],[SelfRating]]</f>
        <v>-1</v>
      </c>
    </row>
    <row r="6238" spans="1:18">
      <c r="A6238" s="2" t="s">
        <v>10545</v>
      </c>
      <c r="B6238" s="2" t="s">
        <v>4177</v>
      </c>
      <c r="C6238" s="1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  <c r="L6238" s="2" t="s">
        <v>11029</v>
      </c>
      <c r="M6238" s="2" t="s">
        <v>11028</v>
      </c>
      <c r="N6238" s="2" t="s">
        <v>11034</v>
      </c>
      <c r="O6238" s="2" t="s">
        <v>11036</v>
      </c>
      <c r="P6238" s="2" t="s">
        <v>11034</v>
      </c>
      <c r="Q6238" s="2">
        <f>AVERAGE(PerfRate[[#This Row],[EnvironmentSatisfaction]],PerfRate[[#This Row],[JobSatisfaction]],PerfRate[[#This Row],[RelationshipSatisfaction]])</f>
        <v>1.6666666666666667</v>
      </c>
      <c r="R6238" s="2">
        <f>PerfRate[[#This Row],[ManagerRating]] - PerfRate[[#This Row],[SelfRating]]</f>
        <v>-1</v>
      </c>
    </row>
    <row r="6239" spans="1:18">
      <c r="A6239" s="2" t="s">
        <v>10546</v>
      </c>
      <c r="B6239" s="2" t="s">
        <v>57</v>
      </c>
      <c r="C6239" s="1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  <c r="L6239" s="2" t="s">
        <v>11029</v>
      </c>
      <c r="M6239" s="2" t="s">
        <v>11028</v>
      </c>
      <c r="N6239" s="2" t="s">
        <v>11038</v>
      </c>
      <c r="O6239" s="2" t="s">
        <v>11035</v>
      </c>
      <c r="P6239" s="2" t="s">
        <v>11038</v>
      </c>
      <c r="Q6239" s="2">
        <f>AVERAGE(PerfRate[[#This Row],[EnvironmentSatisfaction]],PerfRate[[#This Row],[JobSatisfaction]],PerfRate[[#This Row],[RelationshipSatisfaction]])</f>
        <v>4</v>
      </c>
      <c r="R6239" s="2">
        <f>PerfRate[[#This Row],[ManagerRating]] - PerfRate[[#This Row],[SelfRating]]</f>
        <v>-1</v>
      </c>
    </row>
    <row r="6240" spans="1:18">
      <c r="A6240" s="2" t="s">
        <v>10547</v>
      </c>
      <c r="B6240" s="2" t="s">
        <v>646</v>
      </c>
      <c r="C6240" s="1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  <c r="L6240" s="2" t="s">
        <v>11029</v>
      </c>
      <c r="M6240" s="2" t="s">
        <v>11028</v>
      </c>
      <c r="N6240" s="2" t="s">
        <v>11037</v>
      </c>
      <c r="O6240" s="2" t="s">
        <v>11036</v>
      </c>
      <c r="P6240" s="2" t="s">
        <v>11035</v>
      </c>
      <c r="Q6240" s="2">
        <f>AVERAGE(PerfRate[[#This Row],[EnvironmentSatisfaction]],PerfRate[[#This Row],[JobSatisfaction]],PerfRate[[#This Row],[RelationshipSatisfaction]])</f>
        <v>3</v>
      </c>
      <c r="R6240" s="2">
        <f>PerfRate[[#This Row],[ManagerRating]] - PerfRate[[#This Row],[SelfRating]]</f>
        <v>-1</v>
      </c>
    </row>
    <row r="6241" spans="1:18">
      <c r="A6241" s="2" t="s">
        <v>10548</v>
      </c>
      <c r="B6241" s="2" t="s">
        <v>1847</v>
      </c>
      <c r="C6241" s="1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  <c r="L6241" s="2" t="s">
        <v>11031</v>
      </c>
      <c r="M6241" s="2" t="s">
        <v>11031</v>
      </c>
      <c r="N6241" s="2" t="s">
        <v>11037</v>
      </c>
      <c r="O6241" s="2" t="s">
        <v>11035</v>
      </c>
      <c r="P6241" s="2" t="s">
        <v>11038</v>
      </c>
      <c r="Q6241" s="2">
        <f>AVERAGE(PerfRate[[#This Row],[EnvironmentSatisfaction]],PerfRate[[#This Row],[JobSatisfaction]],PerfRate[[#This Row],[RelationshipSatisfaction]])</f>
        <v>3.6666666666666665</v>
      </c>
      <c r="R6241" s="2">
        <f>PerfRate[[#This Row],[ManagerRating]] - PerfRate[[#This Row],[SelfRating]]</f>
        <v>0</v>
      </c>
    </row>
    <row r="6242" spans="1:18">
      <c r="A6242" s="2" t="s">
        <v>10549</v>
      </c>
      <c r="B6242" s="2" t="s">
        <v>398</v>
      </c>
      <c r="C6242" s="1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  <c r="L6242" s="2" t="s">
        <v>11029</v>
      </c>
      <c r="M6242" s="2" t="s">
        <v>11029</v>
      </c>
      <c r="N6242" s="2" t="s">
        <v>11037</v>
      </c>
      <c r="O6242" s="2" t="s">
        <v>11035</v>
      </c>
      <c r="P6242" s="2" t="s">
        <v>11038</v>
      </c>
      <c r="Q6242" s="2">
        <f>AVERAGE(PerfRate[[#This Row],[EnvironmentSatisfaction]],PerfRate[[#This Row],[JobSatisfaction]],PerfRate[[#This Row],[RelationshipSatisfaction]])</f>
        <v>3.6666666666666665</v>
      </c>
      <c r="R6242" s="2">
        <f>PerfRate[[#This Row],[ManagerRating]] - PerfRate[[#This Row],[SelfRating]]</f>
        <v>0</v>
      </c>
    </row>
    <row r="6243" spans="1:18">
      <c r="A6243" s="2" t="s">
        <v>10550</v>
      </c>
      <c r="B6243" s="2" t="s">
        <v>3400</v>
      </c>
      <c r="C6243" s="1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  <c r="L6243" s="2" t="s">
        <v>11029</v>
      </c>
      <c r="M6243" s="2" t="s">
        <v>11028</v>
      </c>
      <c r="N6243" s="2" t="s">
        <v>11037</v>
      </c>
      <c r="O6243" s="2" t="s">
        <v>11035</v>
      </c>
      <c r="P6243" s="2" t="s">
        <v>11037</v>
      </c>
      <c r="Q6243" s="2">
        <f>AVERAGE(PerfRate[[#This Row],[EnvironmentSatisfaction]],PerfRate[[#This Row],[JobSatisfaction]],PerfRate[[#This Row],[RelationshipSatisfaction]])</f>
        <v>3.3333333333333335</v>
      </c>
      <c r="R6243" s="2">
        <f>PerfRate[[#This Row],[ManagerRating]] - PerfRate[[#This Row],[SelfRating]]</f>
        <v>-1</v>
      </c>
    </row>
    <row r="6244" spans="1:18">
      <c r="A6244" s="2" t="s">
        <v>10551</v>
      </c>
      <c r="B6244" s="2" t="s">
        <v>290</v>
      </c>
      <c r="C6244" s="1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  <c r="L6244" s="2" t="s">
        <v>11031</v>
      </c>
      <c r="M6244" s="2" t="s">
        <v>11031</v>
      </c>
      <c r="N6244" s="2" t="s">
        <v>11037</v>
      </c>
      <c r="O6244" s="2" t="s">
        <v>11037</v>
      </c>
      <c r="P6244" s="2" t="s">
        <v>11038</v>
      </c>
      <c r="Q6244" s="2">
        <f>AVERAGE(PerfRate[[#This Row],[EnvironmentSatisfaction]],PerfRate[[#This Row],[JobSatisfaction]],PerfRate[[#This Row],[RelationshipSatisfaction]])</f>
        <v>4.333333333333333</v>
      </c>
      <c r="R6244" s="2">
        <f>PerfRate[[#This Row],[ManagerRating]] - PerfRate[[#This Row],[SelfRating]]</f>
        <v>0</v>
      </c>
    </row>
    <row r="6245" spans="1:18">
      <c r="A6245" s="2" t="s">
        <v>10552</v>
      </c>
      <c r="B6245" s="2" t="s">
        <v>275</v>
      </c>
      <c r="C6245" s="1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  <c r="L6245" s="2" t="s">
        <v>11030</v>
      </c>
      <c r="M6245" s="2" t="s">
        <v>11030</v>
      </c>
      <c r="N6245" s="2" t="s">
        <v>11034</v>
      </c>
      <c r="O6245" s="2" t="s">
        <v>11037</v>
      </c>
      <c r="P6245" s="2" t="s">
        <v>11035</v>
      </c>
      <c r="Q6245" s="2">
        <f>AVERAGE(PerfRate[[#This Row],[EnvironmentSatisfaction]],PerfRate[[#This Row],[JobSatisfaction]],PerfRate[[#This Row],[RelationshipSatisfaction]])</f>
        <v>2.3333333333333335</v>
      </c>
      <c r="R6245" s="2">
        <f>PerfRate[[#This Row],[ManagerRating]] - PerfRate[[#This Row],[SelfRating]]</f>
        <v>0</v>
      </c>
    </row>
    <row r="6246" spans="1:18">
      <c r="A6246" s="2" t="s">
        <v>10553</v>
      </c>
      <c r="B6246" s="2" t="s">
        <v>598</v>
      </c>
      <c r="C6246" s="1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  <c r="L6246" s="2" t="s">
        <v>11030</v>
      </c>
      <c r="M6246" s="2" t="s">
        <v>11030</v>
      </c>
      <c r="N6246" s="2" t="s">
        <v>11038</v>
      </c>
      <c r="O6246" s="2" t="s">
        <v>11036</v>
      </c>
      <c r="P6246" s="2" t="s">
        <v>11038</v>
      </c>
      <c r="Q6246" s="2">
        <f>AVERAGE(PerfRate[[#This Row],[EnvironmentSatisfaction]],PerfRate[[#This Row],[JobSatisfaction]],PerfRate[[#This Row],[RelationshipSatisfaction]])</f>
        <v>4.333333333333333</v>
      </c>
      <c r="R6246" s="2">
        <f>PerfRate[[#This Row],[ManagerRating]] - PerfRate[[#This Row],[SelfRating]]</f>
        <v>0</v>
      </c>
    </row>
    <row r="6247" spans="1:18">
      <c r="A6247" s="2" t="s">
        <v>10554</v>
      </c>
      <c r="B6247" s="2" t="s">
        <v>2036</v>
      </c>
      <c r="C6247" s="1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  <c r="L6247" s="2" t="s">
        <v>11030</v>
      </c>
      <c r="M6247" s="2" t="s">
        <v>11030</v>
      </c>
      <c r="N6247" s="2" t="s">
        <v>11037</v>
      </c>
      <c r="O6247" s="2" t="s">
        <v>11036</v>
      </c>
      <c r="P6247" s="2" t="s">
        <v>11036</v>
      </c>
      <c r="Q6247" s="2">
        <f>AVERAGE(PerfRate[[#This Row],[EnvironmentSatisfaction]],PerfRate[[#This Row],[JobSatisfaction]],PerfRate[[#This Row],[RelationshipSatisfaction]])</f>
        <v>3.3333333333333335</v>
      </c>
      <c r="R6247" s="2">
        <f>PerfRate[[#This Row],[ManagerRating]] - PerfRate[[#This Row],[SelfRating]]</f>
        <v>0</v>
      </c>
    </row>
    <row r="6248" spans="1:18">
      <c r="A6248" s="2" t="s">
        <v>10555</v>
      </c>
      <c r="B6248" s="2" t="s">
        <v>3302</v>
      </c>
      <c r="C6248" s="1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  <c r="L6248" s="2" t="s">
        <v>11031</v>
      </c>
      <c r="M6248" s="2" t="s">
        <v>11030</v>
      </c>
      <c r="N6248" s="2" t="s">
        <v>11038</v>
      </c>
      <c r="O6248" s="2" t="s">
        <v>11036</v>
      </c>
      <c r="P6248" s="2" t="s">
        <v>11038</v>
      </c>
      <c r="Q6248" s="2">
        <f>AVERAGE(PerfRate[[#This Row],[EnvironmentSatisfaction]],PerfRate[[#This Row],[JobSatisfaction]],PerfRate[[#This Row],[RelationshipSatisfaction]])</f>
        <v>4.333333333333333</v>
      </c>
      <c r="R6248" s="2">
        <f>PerfRate[[#This Row],[ManagerRating]] - PerfRate[[#This Row],[SelfRating]]</f>
        <v>-1</v>
      </c>
    </row>
    <row r="6249" spans="1:18">
      <c r="A6249" s="2" t="s">
        <v>10556</v>
      </c>
      <c r="B6249" s="2" t="s">
        <v>869</v>
      </c>
      <c r="C6249" s="1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  <c r="L6249" s="2" t="s">
        <v>11030</v>
      </c>
      <c r="M6249" s="2" t="s">
        <v>11029</v>
      </c>
      <c r="N6249" s="2" t="s">
        <v>11038</v>
      </c>
      <c r="O6249" s="2" t="s">
        <v>11036</v>
      </c>
      <c r="P6249" s="2" t="s">
        <v>11038</v>
      </c>
      <c r="Q6249" s="2">
        <f>AVERAGE(PerfRate[[#This Row],[EnvironmentSatisfaction]],PerfRate[[#This Row],[JobSatisfaction]],PerfRate[[#This Row],[RelationshipSatisfaction]])</f>
        <v>4.333333333333333</v>
      </c>
      <c r="R6249" s="2">
        <f>PerfRate[[#This Row],[ManagerRating]] - PerfRate[[#This Row],[SelfRating]]</f>
        <v>-1</v>
      </c>
    </row>
    <row r="6250" spans="1:18">
      <c r="A6250" s="2" t="s">
        <v>10557</v>
      </c>
      <c r="B6250" s="2" t="s">
        <v>1572</v>
      </c>
      <c r="C6250" s="1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  <c r="L6250" s="2" t="s">
        <v>11029</v>
      </c>
      <c r="M6250" s="2" t="s">
        <v>11028</v>
      </c>
      <c r="N6250" s="2" t="s">
        <v>11037</v>
      </c>
      <c r="O6250" s="2" t="s">
        <v>11035</v>
      </c>
      <c r="P6250" s="2" t="s">
        <v>11038</v>
      </c>
      <c r="Q6250" s="2">
        <f>AVERAGE(PerfRate[[#This Row],[EnvironmentSatisfaction]],PerfRate[[#This Row],[JobSatisfaction]],PerfRate[[#This Row],[RelationshipSatisfaction]])</f>
        <v>3.6666666666666665</v>
      </c>
      <c r="R6250" s="2">
        <f>PerfRate[[#This Row],[ManagerRating]] - PerfRate[[#This Row],[SelfRating]]</f>
        <v>-1</v>
      </c>
    </row>
    <row r="6251" spans="1:18">
      <c r="A6251" s="2" t="s">
        <v>10558</v>
      </c>
      <c r="B6251" s="2" t="s">
        <v>1240</v>
      </c>
      <c r="C6251" s="1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  <c r="L6251" s="2" t="s">
        <v>11031</v>
      </c>
      <c r="M6251" s="2" t="s">
        <v>11030</v>
      </c>
      <c r="N6251" s="2" t="s">
        <v>11036</v>
      </c>
      <c r="O6251" s="2" t="s">
        <v>11036</v>
      </c>
      <c r="P6251" s="2" t="s">
        <v>11037</v>
      </c>
      <c r="Q6251" s="2">
        <f>AVERAGE(PerfRate[[#This Row],[EnvironmentSatisfaction]],PerfRate[[#This Row],[JobSatisfaction]],PerfRate[[#This Row],[RelationshipSatisfaction]])</f>
        <v>3.3333333333333335</v>
      </c>
      <c r="R6251" s="2">
        <f>PerfRate[[#This Row],[ManagerRating]] - PerfRate[[#This Row],[SelfRating]]</f>
        <v>-1</v>
      </c>
    </row>
    <row r="6252" spans="1:18">
      <c r="A6252" s="2" t="s">
        <v>10559</v>
      </c>
      <c r="B6252" s="2" t="s">
        <v>1350</v>
      </c>
      <c r="C6252" s="1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  <c r="L6252" s="2" t="s">
        <v>11030</v>
      </c>
      <c r="M6252" s="2" t="s">
        <v>11030</v>
      </c>
      <c r="N6252" s="2" t="s">
        <v>11037</v>
      </c>
      <c r="O6252" s="2" t="s">
        <v>11034</v>
      </c>
      <c r="P6252" s="2" t="s">
        <v>11036</v>
      </c>
      <c r="Q6252" s="2">
        <f>AVERAGE(PerfRate[[#This Row],[EnvironmentSatisfaction]],PerfRate[[#This Row],[JobSatisfaction]],PerfRate[[#This Row],[RelationshipSatisfaction]])</f>
        <v>2.6666666666666665</v>
      </c>
      <c r="R6252" s="2">
        <f>PerfRate[[#This Row],[ManagerRating]] - PerfRate[[#This Row],[SelfRating]]</f>
        <v>0</v>
      </c>
    </row>
    <row r="6253" spans="1:18">
      <c r="A6253" s="2" t="s">
        <v>10560</v>
      </c>
      <c r="B6253" s="2" t="s">
        <v>386</v>
      </c>
      <c r="C6253" s="1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  <c r="L6253" s="2" t="s">
        <v>11031</v>
      </c>
      <c r="M6253" s="2" t="s">
        <v>11030</v>
      </c>
      <c r="N6253" s="2" t="s">
        <v>11037</v>
      </c>
      <c r="O6253" s="2" t="s">
        <v>11034</v>
      </c>
      <c r="P6253" s="2" t="s">
        <v>11037</v>
      </c>
      <c r="Q6253" s="2">
        <f>AVERAGE(PerfRate[[#This Row],[EnvironmentSatisfaction]],PerfRate[[#This Row],[JobSatisfaction]],PerfRate[[#This Row],[RelationshipSatisfaction]])</f>
        <v>3</v>
      </c>
      <c r="R6253" s="2">
        <f>PerfRate[[#This Row],[ManagerRating]] - PerfRate[[#This Row],[SelfRating]]</f>
        <v>-1</v>
      </c>
    </row>
    <row r="6254" spans="1:18">
      <c r="A6254" s="2" t="s">
        <v>10561</v>
      </c>
      <c r="B6254" s="2" t="s">
        <v>425</v>
      </c>
      <c r="C6254" s="1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  <c r="L6254" s="2" t="s">
        <v>11030</v>
      </c>
      <c r="M6254" s="2" t="s">
        <v>11030</v>
      </c>
      <c r="N6254" s="2" t="s">
        <v>11038</v>
      </c>
      <c r="O6254" s="2" t="s">
        <v>11038</v>
      </c>
      <c r="P6254" s="2" t="s">
        <v>11035</v>
      </c>
      <c r="Q6254" s="2">
        <f>AVERAGE(PerfRate[[#This Row],[EnvironmentSatisfaction]],PerfRate[[#This Row],[JobSatisfaction]],PerfRate[[#This Row],[RelationshipSatisfaction]])</f>
        <v>4</v>
      </c>
      <c r="R6254" s="2">
        <f>PerfRate[[#This Row],[ManagerRating]] - PerfRate[[#This Row],[SelfRating]]</f>
        <v>0</v>
      </c>
    </row>
    <row r="6255" spans="1:18">
      <c r="A6255" s="2" t="s">
        <v>10562</v>
      </c>
      <c r="B6255" s="2" t="s">
        <v>3285</v>
      </c>
      <c r="C6255" s="1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  <c r="L6255" s="2" t="s">
        <v>11030</v>
      </c>
      <c r="M6255" s="2" t="s">
        <v>11029</v>
      </c>
      <c r="N6255" s="2" t="s">
        <v>11036</v>
      </c>
      <c r="O6255" s="2" t="s">
        <v>11037</v>
      </c>
      <c r="P6255" s="2" t="s">
        <v>11035</v>
      </c>
      <c r="Q6255" s="2">
        <f>AVERAGE(PerfRate[[#This Row],[EnvironmentSatisfaction]],PerfRate[[#This Row],[JobSatisfaction]],PerfRate[[#This Row],[RelationshipSatisfaction]])</f>
        <v>3</v>
      </c>
      <c r="R6255" s="2">
        <f>PerfRate[[#This Row],[ManagerRating]] - PerfRate[[#This Row],[SelfRating]]</f>
        <v>-1</v>
      </c>
    </row>
    <row r="6256" spans="1:18">
      <c r="A6256" s="2" t="s">
        <v>10563</v>
      </c>
      <c r="B6256" s="2" t="s">
        <v>832</v>
      </c>
      <c r="C6256" s="1">
        <v>44573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  <c r="L6256" s="2" t="s">
        <v>11029</v>
      </c>
      <c r="M6256" s="2" t="s">
        <v>11029</v>
      </c>
      <c r="N6256" s="2" t="s">
        <v>11036</v>
      </c>
      <c r="O6256" s="2" t="s">
        <v>11035</v>
      </c>
      <c r="P6256" s="2" t="s">
        <v>11036</v>
      </c>
      <c r="Q6256" s="2">
        <f>AVERAGE(PerfRate[[#This Row],[EnvironmentSatisfaction]],PerfRate[[#This Row],[JobSatisfaction]],PerfRate[[#This Row],[RelationshipSatisfaction]])</f>
        <v>2.6666666666666665</v>
      </c>
      <c r="R6256" s="2">
        <f>PerfRate[[#This Row],[ManagerRating]] - PerfRate[[#This Row],[SelfRating]]</f>
        <v>0</v>
      </c>
    </row>
    <row r="6257" spans="1:18">
      <c r="A6257" s="2" t="s">
        <v>10564</v>
      </c>
      <c r="B6257" s="2" t="s">
        <v>1992</v>
      </c>
      <c r="C6257" s="1">
        <v>44573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  <c r="L6257" s="2" t="s">
        <v>11031</v>
      </c>
      <c r="M6257" s="2" t="s">
        <v>11031</v>
      </c>
      <c r="N6257" s="2" t="s">
        <v>11037</v>
      </c>
      <c r="O6257" s="2" t="s">
        <v>11036</v>
      </c>
      <c r="P6257" s="2" t="s">
        <v>11035</v>
      </c>
      <c r="Q6257" s="2">
        <f>AVERAGE(PerfRate[[#This Row],[EnvironmentSatisfaction]],PerfRate[[#This Row],[JobSatisfaction]],PerfRate[[#This Row],[RelationshipSatisfaction]])</f>
        <v>3</v>
      </c>
      <c r="R6257" s="2">
        <f>PerfRate[[#This Row],[ManagerRating]] - PerfRate[[#This Row],[SelfRating]]</f>
        <v>0</v>
      </c>
    </row>
    <row r="6258" spans="1:18">
      <c r="A6258" s="2" t="s">
        <v>10565</v>
      </c>
      <c r="B6258" s="2" t="s">
        <v>3406</v>
      </c>
      <c r="C6258" s="1">
        <v>44604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  <c r="L6258" s="2" t="s">
        <v>11031</v>
      </c>
      <c r="M6258" s="2" t="s">
        <v>11030</v>
      </c>
      <c r="N6258" s="2" t="s">
        <v>11038</v>
      </c>
      <c r="O6258" s="2" t="s">
        <v>11036</v>
      </c>
      <c r="P6258" s="2" t="s">
        <v>11037</v>
      </c>
      <c r="Q6258" s="2">
        <f>AVERAGE(PerfRate[[#This Row],[EnvironmentSatisfaction]],PerfRate[[#This Row],[JobSatisfaction]],PerfRate[[#This Row],[RelationshipSatisfaction]])</f>
        <v>4</v>
      </c>
      <c r="R6258" s="2">
        <f>PerfRate[[#This Row],[ManagerRating]] - PerfRate[[#This Row],[SelfRating]]</f>
        <v>-1</v>
      </c>
    </row>
    <row r="6259" spans="1:18">
      <c r="A6259" s="2" t="s">
        <v>10566</v>
      </c>
      <c r="B6259" s="2" t="s">
        <v>3665</v>
      </c>
      <c r="C6259" s="1">
        <v>44604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  <c r="L6259" s="2" t="s">
        <v>11029</v>
      </c>
      <c r="M6259" s="2" t="s">
        <v>11028</v>
      </c>
      <c r="N6259" s="2" t="s">
        <v>11037</v>
      </c>
      <c r="O6259" s="2" t="s">
        <v>11038</v>
      </c>
      <c r="P6259" s="2" t="s">
        <v>11035</v>
      </c>
      <c r="Q6259" s="2">
        <f>AVERAGE(PerfRate[[#This Row],[EnvironmentSatisfaction]],PerfRate[[#This Row],[JobSatisfaction]],PerfRate[[#This Row],[RelationshipSatisfaction]])</f>
        <v>3.6666666666666665</v>
      </c>
      <c r="R6259" s="2">
        <f>PerfRate[[#This Row],[ManagerRating]] - PerfRate[[#This Row],[SelfRating]]</f>
        <v>-1</v>
      </c>
    </row>
    <row r="6260" spans="1:18">
      <c r="A6260" s="2" t="s">
        <v>10567</v>
      </c>
      <c r="B6260" s="2" t="s">
        <v>2506</v>
      </c>
      <c r="C6260" s="1">
        <v>44604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  <c r="L6260" s="2" t="s">
        <v>11031</v>
      </c>
      <c r="M6260" s="2" t="s">
        <v>11031</v>
      </c>
      <c r="N6260" s="2" t="s">
        <v>11034</v>
      </c>
      <c r="O6260" s="2" t="s">
        <v>11035</v>
      </c>
      <c r="P6260" s="2" t="s">
        <v>11037</v>
      </c>
      <c r="Q6260" s="2">
        <f>AVERAGE(PerfRate[[#This Row],[EnvironmentSatisfaction]],PerfRate[[#This Row],[JobSatisfaction]],PerfRate[[#This Row],[RelationshipSatisfaction]])</f>
        <v>2.3333333333333335</v>
      </c>
      <c r="R6260" s="2">
        <f>PerfRate[[#This Row],[ManagerRating]] - PerfRate[[#This Row],[SelfRating]]</f>
        <v>0</v>
      </c>
    </row>
    <row r="6261" spans="1:18">
      <c r="A6261" s="2" t="s">
        <v>10568</v>
      </c>
      <c r="B6261" s="2" t="s">
        <v>338</v>
      </c>
      <c r="C6261" s="1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  <c r="L6261" s="2" t="s">
        <v>11030</v>
      </c>
      <c r="M6261" s="2" t="s">
        <v>11029</v>
      </c>
      <c r="N6261" s="2" t="s">
        <v>11038</v>
      </c>
      <c r="O6261" s="2" t="s">
        <v>11038</v>
      </c>
      <c r="P6261" s="2" t="s">
        <v>11035</v>
      </c>
      <c r="Q6261" s="2">
        <f>AVERAGE(PerfRate[[#This Row],[EnvironmentSatisfaction]],PerfRate[[#This Row],[JobSatisfaction]],PerfRate[[#This Row],[RelationshipSatisfaction]])</f>
        <v>4</v>
      </c>
      <c r="R6261" s="2">
        <f>PerfRate[[#This Row],[ManagerRating]] - PerfRate[[#This Row],[SelfRating]]</f>
        <v>-1</v>
      </c>
    </row>
    <row r="6262" spans="1:18">
      <c r="A6262" s="2" t="s">
        <v>10569</v>
      </c>
      <c r="B6262" s="2" t="s">
        <v>78</v>
      </c>
      <c r="C6262" s="1">
        <v>44663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  <c r="L6262" s="2" t="s">
        <v>11031</v>
      </c>
      <c r="M6262" s="2" t="s">
        <v>11031</v>
      </c>
      <c r="N6262" s="2" t="s">
        <v>11036</v>
      </c>
      <c r="O6262" s="2" t="s">
        <v>11036</v>
      </c>
      <c r="P6262" s="2" t="s">
        <v>11035</v>
      </c>
      <c r="Q6262" s="2">
        <f>AVERAGE(PerfRate[[#This Row],[EnvironmentSatisfaction]],PerfRate[[#This Row],[JobSatisfaction]],PerfRate[[#This Row],[RelationshipSatisfaction]])</f>
        <v>2.6666666666666665</v>
      </c>
      <c r="R6262" s="2">
        <f>PerfRate[[#This Row],[ManagerRating]] - PerfRate[[#This Row],[SelfRating]]</f>
        <v>0</v>
      </c>
    </row>
    <row r="6263" spans="1:18">
      <c r="A6263" s="2" t="s">
        <v>10570</v>
      </c>
      <c r="B6263" s="2" t="s">
        <v>183</v>
      </c>
      <c r="C6263" s="1">
        <v>44663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  <c r="L6263" s="2" t="s">
        <v>11030</v>
      </c>
      <c r="M6263" s="2" t="s">
        <v>11030</v>
      </c>
      <c r="N6263" s="2" t="s">
        <v>11036</v>
      </c>
      <c r="O6263" s="2" t="s">
        <v>11035</v>
      </c>
      <c r="P6263" s="2" t="s">
        <v>11035</v>
      </c>
      <c r="Q6263" s="2">
        <f>AVERAGE(PerfRate[[#This Row],[EnvironmentSatisfaction]],PerfRate[[#This Row],[JobSatisfaction]],PerfRate[[#This Row],[RelationshipSatisfaction]])</f>
        <v>2.3333333333333335</v>
      </c>
      <c r="R6263" s="2">
        <f>PerfRate[[#This Row],[ManagerRating]] - PerfRate[[#This Row],[SelfRating]]</f>
        <v>0</v>
      </c>
    </row>
    <row r="6264" spans="1:18">
      <c r="A6264" s="2" t="s">
        <v>10571</v>
      </c>
      <c r="B6264" s="2" t="s">
        <v>112</v>
      </c>
      <c r="C6264" s="1">
        <v>44663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  <c r="L6264" s="2" t="s">
        <v>11030</v>
      </c>
      <c r="M6264" s="2" t="s">
        <v>11030</v>
      </c>
      <c r="N6264" s="2" t="s">
        <v>11038</v>
      </c>
      <c r="O6264" s="2" t="s">
        <v>11036</v>
      </c>
      <c r="P6264" s="2" t="s">
        <v>11038</v>
      </c>
      <c r="Q6264" s="2">
        <f>AVERAGE(PerfRate[[#This Row],[EnvironmentSatisfaction]],PerfRate[[#This Row],[JobSatisfaction]],PerfRate[[#This Row],[RelationshipSatisfaction]])</f>
        <v>4.333333333333333</v>
      </c>
      <c r="R6264" s="2">
        <f>PerfRate[[#This Row],[ManagerRating]] - PerfRate[[#This Row],[SelfRating]]</f>
        <v>0</v>
      </c>
    </row>
    <row r="6265" spans="1:18">
      <c r="A6265" s="2" t="s">
        <v>10572</v>
      </c>
      <c r="B6265" s="2" t="s">
        <v>946</v>
      </c>
      <c r="C6265" s="1">
        <v>44663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  <c r="L6265" s="2" t="s">
        <v>11029</v>
      </c>
      <c r="M6265" s="2" t="s">
        <v>11029</v>
      </c>
      <c r="N6265" s="2" t="s">
        <v>11037</v>
      </c>
      <c r="O6265" s="2" t="s">
        <v>11035</v>
      </c>
      <c r="P6265" s="2" t="s">
        <v>11037</v>
      </c>
      <c r="Q6265" s="2">
        <f>AVERAGE(PerfRate[[#This Row],[EnvironmentSatisfaction]],PerfRate[[#This Row],[JobSatisfaction]],PerfRate[[#This Row],[RelationshipSatisfaction]])</f>
        <v>3.3333333333333335</v>
      </c>
      <c r="R6265" s="2">
        <f>PerfRate[[#This Row],[ManagerRating]] - PerfRate[[#This Row],[SelfRating]]</f>
        <v>0</v>
      </c>
    </row>
    <row r="6266" spans="1:18">
      <c r="A6266" s="2" t="s">
        <v>10573</v>
      </c>
      <c r="B6266" s="2" t="s">
        <v>1045</v>
      </c>
      <c r="C6266" s="1">
        <v>44663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  <c r="L6266" s="2" t="s">
        <v>11030</v>
      </c>
      <c r="M6266" s="2" t="s">
        <v>11029</v>
      </c>
      <c r="N6266" s="2" t="s">
        <v>11034</v>
      </c>
      <c r="O6266" s="2" t="s">
        <v>11034</v>
      </c>
      <c r="P6266" s="2" t="s">
        <v>11036</v>
      </c>
      <c r="Q6266" s="2">
        <f>AVERAGE(PerfRate[[#This Row],[EnvironmentSatisfaction]],PerfRate[[#This Row],[JobSatisfaction]],PerfRate[[#This Row],[RelationshipSatisfaction]])</f>
        <v>1.6666666666666667</v>
      </c>
      <c r="R6266" s="2">
        <f>PerfRate[[#This Row],[ManagerRating]] - PerfRate[[#This Row],[SelfRating]]</f>
        <v>-1</v>
      </c>
    </row>
    <row r="6267" spans="1:18">
      <c r="A6267" s="2" t="s">
        <v>10574</v>
      </c>
      <c r="B6267" s="2" t="s">
        <v>118</v>
      </c>
      <c r="C6267" s="1">
        <v>44724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  <c r="L6267" s="2" t="s">
        <v>11030</v>
      </c>
      <c r="M6267" s="2" t="s">
        <v>11030</v>
      </c>
      <c r="N6267" s="2" t="s">
        <v>11036</v>
      </c>
      <c r="O6267" s="2" t="s">
        <v>11036</v>
      </c>
      <c r="P6267" s="2" t="s">
        <v>11037</v>
      </c>
      <c r="Q6267" s="2">
        <f>AVERAGE(PerfRate[[#This Row],[EnvironmentSatisfaction]],PerfRate[[#This Row],[JobSatisfaction]],PerfRate[[#This Row],[RelationshipSatisfaction]])</f>
        <v>3.3333333333333335</v>
      </c>
      <c r="R6267" s="2">
        <f>PerfRate[[#This Row],[ManagerRating]] - PerfRate[[#This Row],[SelfRating]]</f>
        <v>0</v>
      </c>
    </row>
    <row r="6268" spans="1:18">
      <c r="A6268" s="2" t="s">
        <v>10575</v>
      </c>
      <c r="B6268" s="2" t="s">
        <v>1692</v>
      </c>
      <c r="C6268" s="1">
        <v>44724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  <c r="L6268" s="2" t="s">
        <v>11029</v>
      </c>
      <c r="M6268" s="2" t="s">
        <v>11029</v>
      </c>
      <c r="N6268" s="2" t="s">
        <v>11037</v>
      </c>
      <c r="O6268" s="2" t="s">
        <v>11038</v>
      </c>
      <c r="P6268" s="2" t="s">
        <v>11037</v>
      </c>
      <c r="Q6268" s="2">
        <f>AVERAGE(PerfRate[[#This Row],[EnvironmentSatisfaction]],PerfRate[[#This Row],[JobSatisfaction]],PerfRate[[#This Row],[RelationshipSatisfaction]])</f>
        <v>4.333333333333333</v>
      </c>
      <c r="R6268" s="2">
        <f>PerfRate[[#This Row],[ManagerRating]] - PerfRate[[#This Row],[SelfRating]]</f>
        <v>0</v>
      </c>
    </row>
    <row r="6269" spans="1:18">
      <c r="A6269" s="2" t="s">
        <v>10576</v>
      </c>
      <c r="B6269" s="2" t="s">
        <v>3963</v>
      </c>
      <c r="C6269" s="1">
        <v>44754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  <c r="L6269" s="2" t="s">
        <v>11030</v>
      </c>
      <c r="M6269" s="2" t="s">
        <v>11030</v>
      </c>
      <c r="N6269" s="2" t="s">
        <v>11038</v>
      </c>
      <c r="O6269" s="2" t="s">
        <v>11036</v>
      </c>
      <c r="P6269" s="2" t="s">
        <v>11037</v>
      </c>
      <c r="Q6269" s="2">
        <f>AVERAGE(PerfRate[[#This Row],[EnvironmentSatisfaction]],PerfRate[[#This Row],[JobSatisfaction]],PerfRate[[#This Row],[RelationshipSatisfaction]])</f>
        <v>4</v>
      </c>
      <c r="R6269" s="2">
        <f>PerfRate[[#This Row],[ManagerRating]] - PerfRate[[#This Row],[SelfRating]]</f>
        <v>0</v>
      </c>
    </row>
    <row r="6270" spans="1:18">
      <c r="A6270" s="2" t="s">
        <v>10577</v>
      </c>
      <c r="B6270" s="2" t="s">
        <v>2730</v>
      </c>
      <c r="C6270" s="1">
        <v>44754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  <c r="L6270" s="2" t="s">
        <v>11029</v>
      </c>
      <c r="M6270" s="2" t="s">
        <v>11029</v>
      </c>
      <c r="N6270" s="2" t="s">
        <v>11034</v>
      </c>
      <c r="O6270" s="2" t="s">
        <v>11036</v>
      </c>
      <c r="P6270" s="2" t="s">
        <v>11036</v>
      </c>
      <c r="Q6270" s="2">
        <f>AVERAGE(PerfRate[[#This Row],[EnvironmentSatisfaction]],PerfRate[[#This Row],[JobSatisfaction]],PerfRate[[#This Row],[RelationshipSatisfaction]])</f>
        <v>2.3333333333333335</v>
      </c>
      <c r="R6270" s="2">
        <f>PerfRate[[#This Row],[ManagerRating]] - PerfRate[[#This Row],[SelfRating]]</f>
        <v>0</v>
      </c>
    </row>
    <row r="6271" spans="1:18">
      <c r="A6271" s="2" t="s">
        <v>10578</v>
      </c>
      <c r="B6271" s="2" t="s">
        <v>1883</v>
      </c>
      <c r="C6271" s="1">
        <v>44754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  <c r="L6271" s="2" t="s">
        <v>11031</v>
      </c>
      <c r="M6271" s="2" t="s">
        <v>11031</v>
      </c>
      <c r="N6271" s="2" t="s">
        <v>11034</v>
      </c>
      <c r="O6271" s="2" t="s">
        <v>11034</v>
      </c>
      <c r="P6271" s="2" t="s">
        <v>11035</v>
      </c>
      <c r="Q6271" s="2">
        <f>AVERAGE(PerfRate[[#This Row],[EnvironmentSatisfaction]],PerfRate[[#This Row],[JobSatisfaction]],PerfRate[[#This Row],[RelationshipSatisfaction]])</f>
        <v>1.3333333333333333</v>
      </c>
      <c r="R6271" s="2">
        <f>PerfRate[[#This Row],[ManagerRating]] - PerfRate[[#This Row],[SelfRating]]</f>
        <v>0</v>
      </c>
    </row>
    <row r="6272" spans="1:18">
      <c r="A6272" s="2" t="s">
        <v>10579</v>
      </c>
      <c r="B6272" s="2" t="s">
        <v>613</v>
      </c>
      <c r="C6272" s="1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  <c r="L6272" s="2" t="s">
        <v>11030</v>
      </c>
      <c r="M6272" s="2" t="s">
        <v>11029</v>
      </c>
      <c r="N6272" s="2" t="s">
        <v>11038</v>
      </c>
      <c r="O6272" s="2" t="s">
        <v>11038</v>
      </c>
      <c r="P6272" s="2" t="s">
        <v>11036</v>
      </c>
      <c r="Q6272" s="2">
        <f>AVERAGE(PerfRate[[#This Row],[EnvironmentSatisfaction]],PerfRate[[#This Row],[JobSatisfaction]],PerfRate[[#This Row],[RelationshipSatisfaction]])</f>
        <v>4.333333333333333</v>
      </c>
      <c r="R6272" s="2">
        <f>PerfRate[[#This Row],[ManagerRating]] - PerfRate[[#This Row],[SelfRating]]</f>
        <v>-1</v>
      </c>
    </row>
    <row r="6273" spans="1:18">
      <c r="A6273" s="2" t="s">
        <v>10580</v>
      </c>
      <c r="B6273" s="2" t="s">
        <v>4202</v>
      </c>
      <c r="C6273" s="1">
        <v>44785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  <c r="L6273" s="2" t="s">
        <v>11029</v>
      </c>
      <c r="M6273" s="2" t="s">
        <v>11028</v>
      </c>
      <c r="N6273" s="2" t="s">
        <v>11038</v>
      </c>
      <c r="O6273" s="2" t="s">
        <v>11037</v>
      </c>
      <c r="P6273" s="2" t="s">
        <v>11038</v>
      </c>
      <c r="Q6273" s="2">
        <f>AVERAGE(PerfRate[[#This Row],[EnvironmentSatisfaction]],PerfRate[[#This Row],[JobSatisfaction]],PerfRate[[#This Row],[RelationshipSatisfaction]])</f>
        <v>4.666666666666667</v>
      </c>
      <c r="R6273" s="2">
        <f>PerfRate[[#This Row],[ManagerRating]] - PerfRate[[#This Row],[SelfRating]]</f>
        <v>-1</v>
      </c>
    </row>
    <row r="6274" spans="1:18">
      <c r="A6274" s="2" t="s">
        <v>10581</v>
      </c>
      <c r="B6274" s="2" t="s">
        <v>380</v>
      </c>
      <c r="C6274" s="1">
        <v>44785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  <c r="L6274" s="2" t="s">
        <v>11031</v>
      </c>
      <c r="M6274" s="2" t="s">
        <v>11030</v>
      </c>
      <c r="N6274" s="2" t="s">
        <v>11037</v>
      </c>
      <c r="O6274" s="2" t="s">
        <v>11037</v>
      </c>
      <c r="P6274" s="2" t="s">
        <v>11035</v>
      </c>
      <c r="Q6274" s="2">
        <f>AVERAGE(PerfRate[[#This Row],[EnvironmentSatisfaction]],PerfRate[[#This Row],[JobSatisfaction]],PerfRate[[#This Row],[RelationshipSatisfaction]])</f>
        <v>3.3333333333333335</v>
      </c>
      <c r="R6274" s="2">
        <f>PerfRate[[#This Row],[ManagerRating]] - PerfRate[[#This Row],[SelfRating]]</f>
        <v>-1</v>
      </c>
    </row>
    <row r="6275" spans="1:18">
      <c r="A6275" s="2" t="s">
        <v>10582</v>
      </c>
      <c r="B6275" s="2" t="s">
        <v>3275</v>
      </c>
      <c r="C6275" s="1">
        <v>44785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  <c r="L6275" s="2" t="s">
        <v>11031</v>
      </c>
      <c r="M6275" s="2" t="s">
        <v>11030</v>
      </c>
      <c r="N6275" s="2" t="s">
        <v>11038</v>
      </c>
      <c r="O6275" s="2" t="s">
        <v>11035</v>
      </c>
      <c r="P6275" s="2" t="s">
        <v>11035</v>
      </c>
      <c r="Q6275" s="2">
        <f>AVERAGE(PerfRate[[#This Row],[EnvironmentSatisfaction]],PerfRate[[#This Row],[JobSatisfaction]],PerfRate[[#This Row],[RelationshipSatisfaction]])</f>
        <v>3</v>
      </c>
      <c r="R6275" s="2">
        <f>PerfRate[[#This Row],[ManagerRating]] - PerfRate[[#This Row],[SelfRating]]</f>
        <v>-1</v>
      </c>
    </row>
    <row r="6276" spans="1:18">
      <c r="A6276" s="2" t="s">
        <v>10583</v>
      </c>
      <c r="B6276" s="2" t="s">
        <v>3537</v>
      </c>
      <c r="C6276" s="1">
        <v>44816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  <c r="L6276" s="2" t="s">
        <v>11030</v>
      </c>
      <c r="M6276" s="2" t="s">
        <v>11029</v>
      </c>
      <c r="N6276" s="2" t="s">
        <v>11035</v>
      </c>
      <c r="O6276" s="2" t="s">
        <v>11037</v>
      </c>
      <c r="P6276" s="2" t="s">
        <v>11035</v>
      </c>
      <c r="Q6276" s="2">
        <f>AVERAGE(PerfRate[[#This Row],[EnvironmentSatisfaction]],PerfRate[[#This Row],[JobSatisfaction]],PerfRate[[#This Row],[RelationshipSatisfaction]])</f>
        <v>2.6666666666666665</v>
      </c>
      <c r="R6276" s="2">
        <f>PerfRate[[#This Row],[ManagerRating]] - PerfRate[[#This Row],[SelfRating]]</f>
        <v>-1</v>
      </c>
    </row>
    <row r="6277" spans="1:18">
      <c r="A6277" s="2" t="s">
        <v>10584</v>
      </c>
      <c r="B6277" s="2" t="s">
        <v>856</v>
      </c>
      <c r="C6277" s="1">
        <v>44846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  <c r="L6277" s="2" t="s">
        <v>11030</v>
      </c>
      <c r="M6277" s="2" t="s">
        <v>11030</v>
      </c>
      <c r="N6277" s="2" t="s">
        <v>11036</v>
      </c>
      <c r="O6277" s="2" t="s">
        <v>11038</v>
      </c>
      <c r="P6277" s="2" t="s">
        <v>11038</v>
      </c>
      <c r="Q6277" s="2">
        <f>AVERAGE(PerfRate[[#This Row],[EnvironmentSatisfaction]],PerfRate[[#This Row],[JobSatisfaction]],PerfRate[[#This Row],[RelationshipSatisfaction]])</f>
        <v>4.333333333333333</v>
      </c>
      <c r="R6277" s="2">
        <f>PerfRate[[#This Row],[ManagerRating]] - PerfRate[[#This Row],[SelfRating]]</f>
        <v>0</v>
      </c>
    </row>
    <row r="6278" spans="1:18">
      <c r="A6278" s="2" t="s">
        <v>10585</v>
      </c>
      <c r="B6278" s="2" t="s">
        <v>2859</v>
      </c>
      <c r="C6278" s="1">
        <v>44846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  <c r="L6278" s="2" t="s">
        <v>11029</v>
      </c>
      <c r="M6278" s="2" t="s">
        <v>11029</v>
      </c>
      <c r="N6278" s="2" t="s">
        <v>11037</v>
      </c>
      <c r="O6278" s="2" t="s">
        <v>11037</v>
      </c>
      <c r="P6278" s="2" t="s">
        <v>11035</v>
      </c>
      <c r="Q6278" s="2">
        <f>AVERAGE(PerfRate[[#This Row],[EnvironmentSatisfaction]],PerfRate[[#This Row],[JobSatisfaction]],PerfRate[[#This Row],[RelationshipSatisfaction]])</f>
        <v>3.3333333333333335</v>
      </c>
      <c r="R6278" s="2">
        <f>PerfRate[[#This Row],[ManagerRating]] - PerfRate[[#This Row],[SelfRating]]</f>
        <v>0</v>
      </c>
    </row>
    <row r="6279" spans="1:18">
      <c r="A6279" s="2" t="s">
        <v>10586</v>
      </c>
      <c r="B6279" s="2" t="s">
        <v>2819</v>
      </c>
      <c r="C6279" s="1">
        <v>44846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  <c r="L6279" s="2" t="s">
        <v>11030</v>
      </c>
      <c r="M6279" s="2" t="s">
        <v>11029</v>
      </c>
      <c r="N6279" s="2" t="s">
        <v>11038</v>
      </c>
      <c r="O6279" s="2" t="s">
        <v>11035</v>
      </c>
      <c r="P6279" s="2" t="s">
        <v>11037</v>
      </c>
      <c r="Q6279" s="2">
        <f>AVERAGE(PerfRate[[#This Row],[EnvironmentSatisfaction]],PerfRate[[#This Row],[JobSatisfaction]],PerfRate[[#This Row],[RelationshipSatisfaction]])</f>
        <v>3.6666666666666665</v>
      </c>
      <c r="R6279" s="2">
        <f>PerfRate[[#This Row],[ManagerRating]] - PerfRate[[#This Row],[SelfRating]]</f>
        <v>-1</v>
      </c>
    </row>
    <row r="6280" spans="1:18">
      <c r="A6280" s="2" t="s">
        <v>10587</v>
      </c>
      <c r="B6280" s="2" t="s">
        <v>3498</v>
      </c>
      <c r="C6280" s="1">
        <v>44846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  <c r="L6280" s="2" t="s">
        <v>11029</v>
      </c>
      <c r="M6280" s="2" t="s">
        <v>11028</v>
      </c>
      <c r="N6280" s="2" t="s">
        <v>11038</v>
      </c>
      <c r="O6280" s="2" t="s">
        <v>11036</v>
      </c>
      <c r="P6280" s="2" t="s">
        <v>11036</v>
      </c>
      <c r="Q6280" s="2">
        <f>AVERAGE(PerfRate[[#This Row],[EnvironmentSatisfaction]],PerfRate[[#This Row],[JobSatisfaction]],PerfRate[[#This Row],[RelationshipSatisfaction]])</f>
        <v>3.6666666666666665</v>
      </c>
      <c r="R6280" s="2">
        <f>PerfRate[[#This Row],[ManagerRating]] - PerfRate[[#This Row],[SelfRating]]</f>
        <v>-1</v>
      </c>
    </row>
    <row r="6281" spans="1:18">
      <c r="A6281" s="2" t="s">
        <v>10588</v>
      </c>
      <c r="B6281" s="2" t="s">
        <v>1599</v>
      </c>
      <c r="C6281" s="1">
        <v>44877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  <c r="L6281" s="2" t="s">
        <v>11031</v>
      </c>
      <c r="M6281" s="2" t="s">
        <v>11030</v>
      </c>
      <c r="N6281" s="2" t="s">
        <v>11036</v>
      </c>
      <c r="O6281" s="2" t="s">
        <v>11036</v>
      </c>
      <c r="P6281" s="2" t="s">
        <v>11037</v>
      </c>
      <c r="Q6281" s="2">
        <f>AVERAGE(PerfRate[[#This Row],[EnvironmentSatisfaction]],PerfRate[[#This Row],[JobSatisfaction]],PerfRate[[#This Row],[RelationshipSatisfaction]])</f>
        <v>3.3333333333333335</v>
      </c>
      <c r="R6281" s="2">
        <f>PerfRate[[#This Row],[ManagerRating]] - PerfRate[[#This Row],[SelfRating]]</f>
        <v>-1</v>
      </c>
    </row>
    <row r="6282" spans="1:18">
      <c r="A6282" s="2" t="s">
        <v>10589</v>
      </c>
      <c r="B6282" s="2" t="s">
        <v>2237</v>
      </c>
      <c r="C6282" s="1">
        <v>44877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  <c r="L6282" s="2" t="s">
        <v>11030</v>
      </c>
      <c r="M6282" s="2" t="s">
        <v>11029</v>
      </c>
      <c r="N6282" s="2" t="s">
        <v>11038</v>
      </c>
      <c r="O6282" s="2" t="s">
        <v>11036</v>
      </c>
      <c r="P6282" s="2" t="s">
        <v>11037</v>
      </c>
      <c r="Q6282" s="2">
        <f>AVERAGE(PerfRate[[#This Row],[EnvironmentSatisfaction]],PerfRate[[#This Row],[JobSatisfaction]],PerfRate[[#This Row],[RelationshipSatisfaction]])</f>
        <v>4</v>
      </c>
      <c r="R6282" s="2">
        <f>PerfRate[[#This Row],[ManagerRating]] - PerfRate[[#This Row],[SelfRating]]</f>
        <v>-1</v>
      </c>
    </row>
    <row r="6283" spans="1:18">
      <c r="A6283" s="2" t="s">
        <v>10590</v>
      </c>
      <c r="B6283" s="2" t="s">
        <v>2142</v>
      </c>
      <c r="C6283" s="1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  <c r="L6283" s="2" t="s">
        <v>11029</v>
      </c>
      <c r="M6283" s="2" t="s">
        <v>11029</v>
      </c>
      <c r="N6283" s="2" t="s">
        <v>11038</v>
      </c>
      <c r="O6283" s="2" t="s">
        <v>11036</v>
      </c>
      <c r="P6283" s="2" t="s">
        <v>11036</v>
      </c>
      <c r="Q6283" s="2">
        <f>AVERAGE(PerfRate[[#This Row],[EnvironmentSatisfaction]],PerfRate[[#This Row],[JobSatisfaction]],PerfRate[[#This Row],[RelationshipSatisfaction]])</f>
        <v>3.6666666666666665</v>
      </c>
      <c r="R6283" s="2">
        <f>PerfRate[[#This Row],[ManagerRating]] - PerfRate[[#This Row],[SelfRating]]</f>
        <v>0</v>
      </c>
    </row>
    <row r="6284" spans="1:18">
      <c r="A6284" s="2" t="s">
        <v>10591</v>
      </c>
      <c r="B6284" s="2" t="s">
        <v>3362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  <c r="L6284" s="2" t="s">
        <v>11031</v>
      </c>
      <c r="M6284" s="2" t="s">
        <v>11030</v>
      </c>
      <c r="N6284" s="2" t="s">
        <v>11036</v>
      </c>
      <c r="O6284" s="2" t="s">
        <v>11035</v>
      </c>
      <c r="P6284" s="2" t="s">
        <v>11037</v>
      </c>
      <c r="Q6284" s="2">
        <f>AVERAGE(PerfRate[[#This Row],[EnvironmentSatisfaction]],PerfRate[[#This Row],[JobSatisfaction]],PerfRate[[#This Row],[RelationshipSatisfaction]])</f>
        <v>3</v>
      </c>
      <c r="R6284" s="2">
        <f>PerfRate[[#This Row],[ManagerRating]] - PerfRate[[#This Row],[SelfRating]]</f>
        <v>-1</v>
      </c>
    </row>
    <row r="6285" spans="1:18">
      <c r="A6285" s="2" t="s">
        <v>10592</v>
      </c>
      <c r="B6285" s="2" t="s">
        <v>314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  <c r="L6285" s="2" t="s">
        <v>11031</v>
      </c>
      <c r="M6285" s="2" t="s">
        <v>11031</v>
      </c>
      <c r="N6285" s="2" t="s">
        <v>11036</v>
      </c>
      <c r="O6285" s="2" t="s">
        <v>11037</v>
      </c>
      <c r="P6285" s="2" t="s">
        <v>11038</v>
      </c>
      <c r="Q6285" s="2">
        <f>AVERAGE(PerfRate[[#This Row],[EnvironmentSatisfaction]],PerfRate[[#This Row],[JobSatisfaction]],PerfRate[[#This Row],[RelationshipSatisfaction]])</f>
        <v>4</v>
      </c>
      <c r="R6285" s="2">
        <f>PerfRate[[#This Row],[ManagerRating]] - PerfRate[[#This Row],[SelfRating]]</f>
        <v>0</v>
      </c>
    </row>
    <row r="6286" spans="1:18">
      <c r="A6286" s="2" t="s">
        <v>10593</v>
      </c>
      <c r="B6286" s="2" t="s">
        <v>2809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  <c r="L6286" s="2" t="s">
        <v>11030</v>
      </c>
      <c r="M6286" s="2" t="s">
        <v>11030</v>
      </c>
      <c r="N6286" s="2" t="s">
        <v>11036</v>
      </c>
      <c r="O6286" s="2" t="s">
        <v>11037</v>
      </c>
      <c r="P6286" s="2" t="s">
        <v>11034</v>
      </c>
      <c r="Q6286" s="2">
        <f>AVERAGE(PerfRate[[#This Row],[EnvironmentSatisfaction]],PerfRate[[#This Row],[JobSatisfaction]],PerfRate[[#This Row],[RelationshipSatisfaction]])</f>
        <v>2.6666666666666665</v>
      </c>
      <c r="R6286" s="2">
        <f>PerfRate[[#This Row],[ManagerRating]] - PerfRate[[#This Row],[SelfRating]]</f>
        <v>0</v>
      </c>
    </row>
    <row r="6287" spans="1:18">
      <c r="A6287" s="2" t="s">
        <v>10594</v>
      </c>
      <c r="B6287" s="2" t="s">
        <v>3522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  <c r="L6287" s="2" t="s">
        <v>11030</v>
      </c>
      <c r="M6287" s="2" t="s">
        <v>11030</v>
      </c>
      <c r="N6287" s="2" t="s">
        <v>11036</v>
      </c>
      <c r="O6287" s="2" t="s">
        <v>11035</v>
      </c>
      <c r="P6287" s="2" t="s">
        <v>11037</v>
      </c>
      <c r="Q6287" s="2">
        <f>AVERAGE(PerfRate[[#This Row],[EnvironmentSatisfaction]],PerfRate[[#This Row],[JobSatisfaction]],PerfRate[[#This Row],[RelationshipSatisfaction]])</f>
        <v>3</v>
      </c>
      <c r="R6287" s="2">
        <f>PerfRate[[#This Row],[ManagerRating]] - PerfRate[[#This Row],[SelfRating]]</f>
        <v>0</v>
      </c>
    </row>
    <row r="6288" spans="1:18">
      <c r="A6288" s="2" t="s">
        <v>10595</v>
      </c>
      <c r="B6288" s="2" t="s">
        <v>2932</v>
      </c>
      <c r="C6288" s="1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  <c r="L6288" s="2" t="s">
        <v>11030</v>
      </c>
      <c r="M6288" s="2" t="s">
        <v>11030</v>
      </c>
      <c r="N6288" s="2" t="s">
        <v>11037</v>
      </c>
      <c r="O6288" s="2" t="s">
        <v>11034</v>
      </c>
      <c r="P6288" s="2" t="s">
        <v>11035</v>
      </c>
      <c r="Q6288" s="2">
        <f>AVERAGE(PerfRate[[#This Row],[EnvironmentSatisfaction]],PerfRate[[#This Row],[JobSatisfaction]],PerfRate[[#This Row],[RelationshipSatisfaction]])</f>
        <v>2.3333333333333335</v>
      </c>
      <c r="R6288" s="2">
        <f>PerfRate[[#This Row],[ManagerRating]] - PerfRate[[#This Row],[SelfRating]]</f>
        <v>0</v>
      </c>
    </row>
    <row r="6289" spans="1:18">
      <c r="A6289" s="2" t="s">
        <v>10596</v>
      </c>
      <c r="B6289" s="2" t="s">
        <v>3546</v>
      </c>
      <c r="C6289" s="1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  <c r="L6289" s="2" t="s">
        <v>11031</v>
      </c>
      <c r="M6289" s="2" t="s">
        <v>11031</v>
      </c>
      <c r="N6289" s="2" t="s">
        <v>11035</v>
      </c>
      <c r="O6289" s="2" t="s">
        <v>11034</v>
      </c>
      <c r="P6289" s="2" t="s">
        <v>11035</v>
      </c>
      <c r="Q6289" s="2">
        <f>AVERAGE(PerfRate[[#This Row],[EnvironmentSatisfaction]],PerfRate[[#This Row],[JobSatisfaction]],PerfRate[[#This Row],[RelationshipSatisfaction]])</f>
        <v>1.6666666666666667</v>
      </c>
      <c r="R6289" s="2">
        <f>PerfRate[[#This Row],[ManagerRating]] - PerfRate[[#This Row],[SelfRating]]</f>
        <v>0</v>
      </c>
    </row>
    <row r="6290" spans="1:18">
      <c r="A6290" s="2" t="s">
        <v>10597</v>
      </c>
      <c r="B6290" s="2" t="s">
        <v>1566</v>
      </c>
      <c r="C6290" s="1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  <c r="L6290" s="2" t="s">
        <v>11029</v>
      </c>
      <c r="M6290" s="2" t="s">
        <v>11028</v>
      </c>
      <c r="N6290" s="2" t="s">
        <v>11036</v>
      </c>
      <c r="O6290" s="2" t="s">
        <v>11037</v>
      </c>
      <c r="P6290" s="2" t="s">
        <v>11035</v>
      </c>
      <c r="Q6290" s="2">
        <f>AVERAGE(PerfRate[[#This Row],[EnvironmentSatisfaction]],PerfRate[[#This Row],[JobSatisfaction]],PerfRate[[#This Row],[RelationshipSatisfaction]])</f>
        <v>3</v>
      </c>
      <c r="R6290" s="2">
        <f>PerfRate[[#This Row],[ManagerRating]] - PerfRate[[#This Row],[SelfRating]]</f>
        <v>-1</v>
      </c>
    </row>
    <row r="6291" spans="1:18">
      <c r="A6291" s="2" t="s">
        <v>10598</v>
      </c>
      <c r="B6291" s="2" t="s">
        <v>3160</v>
      </c>
      <c r="C6291" s="1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  <c r="L6291" s="2" t="s">
        <v>11031</v>
      </c>
      <c r="M6291" s="2" t="s">
        <v>11030</v>
      </c>
      <c r="N6291" s="2" t="s">
        <v>11037</v>
      </c>
      <c r="O6291" s="2" t="s">
        <v>11036</v>
      </c>
      <c r="P6291" s="2" t="s">
        <v>11036</v>
      </c>
      <c r="Q6291" s="2">
        <f>AVERAGE(PerfRate[[#This Row],[EnvironmentSatisfaction]],PerfRate[[#This Row],[JobSatisfaction]],PerfRate[[#This Row],[RelationshipSatisfaction]])</f>
        <v>3.3333333333333335</v>
      </c>
      <c r="R6291" s="2">
        <f>PerfRate[[#This Row],[ManagerRating]] - PerfRate[[#This Row],[SelfRating]]</f>
        <v>-1</v>
      </c>
    </row>
    <row r="6292" spans="1:18">
      <c r="A6292" s="2" t="s">
        <v>10599</v>
      </c>
      <c r="B6292" s="2" t="s">
        <v>2051</v>
      </c>
      <c r="C6292" s="1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  <c r="L6292" s="2" t="s">
        <v>11031</v>
      </c>
      <c r="M6292" s="2" t="s">
        <v>11031</v>
      </c>
      <c r="N6292" s="2" t="s">
        <v>11037</v>
      </c>
      <c r="O6292" s="2" t="s">
        <v>11034</v>
      </c>
      <c r="P6292" s="2" t="s">
        <v>11034</v>
      </c>
      <c r="Q6292" s="2">
        <f>AVERAGE(PerfRate[[#This Row],[EnvironmentSatisfaction]],PerfRate[[#This Row],[JobSatisfaction]],PerfRate[[#This Row],[RelationshipSatisfaction]])</f>
        <v>2</v>
      </c>
      <c r="R6292" s="2">
        <f>PerfRate[[#This Row],[ManagerRating]] - PerfRate[[#This Row],[SelfRating]]</f>
        <v>0</v>
      </c>
    </row>
    <row r="6293" spans="1:18">
      <c r="A6293" s="2" t="s">
        <v>10600</v>
      </c>
      <c r="B6293" s="2" t="s">
        <v>2257</v>
      </c>
      <c r="C6293" s="1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  <c r="L6293" s="2" t="s">
        <v>11029</v>
      </c>
      <c r="M6293" s="2" t="s">
        <v>11028</v>
      </c>
      <c r="N6293" s="2" t="s">
        <v>11038</v>
      </c>
      <c r="O6293" s="2" t="s">
        <v>11037</v>
      </c>
      <c r="P6293" s="2" t="s">
        <v>11036</v>
      </c>
      <c r="Q6293" s="2">
        <f>AVERAGE(PerfRate[[#This Row],[EnvironmentSatisfaction]],PerfRate[[#This Row],[JobSatisfaction]],PerfRate[[#This Row],[RelationshipSatisfaction]])</f>
        <v>4</v>
      </c>
      <c r="R6293" s="2">
        <f>PerfRate[[#This Row],[ManagerRating]] - PerfRate[[#This Row],[SelfRating]]</f>
        <v>-1</v>
      </c>
    </row>
    <row r="6294" spans="1:18">
      <c r="A6294" s="2" t="s">
        <v>10601</v>
      </c>
      <c r="B6294" s="2" t="s">
        <v>1329</v>
      </c>
      <c r="C6294" s="1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  <c r="L6294" s="2" t="s">
        <v>11029</v>
      </c>
      <c r="M6294" s="2" t="s">
        <v>11029</v>
      </c>
      <c r="N6294" s="2" t="s">
        <v>11036</v>
      </c>
      <c r="O6294" s="2" t="s">
        <v>11038</v>
      </c>
      <c r="P6294" s="2" t="s">
        <v>11038</v>
      </c>
      <c r="Q6294" s="2">
        <f>AVERAGE(PerfRate[[#This Row],[EnvironmentSatisfaction]],PerfRate[[#This Row],[JobSatisfaction]],PerfRate[[#This Row],[RelationshipSatisfaction]])</f>
        <v>4.333333333333333</v>
      </c>
      <c r="R6294" s="2">
        <f>PerfRate[[#This Row],[ManagerRating]] - PerfRate[[#This Row],[SelfRating]]</f>
        <v>0</v>
      </c>
    </row>
    <row r="6295" spans="1:18">
      <c r="A6295" s="2" t="s">
        <v>10602</v>
      </c>
      <c r="B6295" s="2" t="s">
        <v>2514</v>
      </c>
      <c r="C6295" s="1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  <c r="L6295" s="2" t="s">
        <v>11029</v>
      </c>
      <c r="M6295" s="2" t="s">
        <v>11029</v>
      </c>
      <c r="N6295" s="2" t="s">
        <v>11038</v>
      </c>
      <c r="O6295" s="2" t="s">
        <v>11036</v>
      </c>
      <c r="P6295" s="2" t="s">
        <v>11036</v>
      </c>
      <c r="Q6295" s="2">
        <f>AVERAGE(PerfRate[[#This Row],[EnvironmentSatisfaction]],PerfRate[[#This Row],[JobSatisfaction]],PerfRate[[#This Row],[RelationshipSatisfaction]])</f>
        <v>3.6666666666666665</v>
      </c>
      <c r="R6295" s="2">
        <f>PerfRate[[#This Row],[ManagerRating]] - PerfRate[[#This Row],[SelfRating]]</f>
        <v>0</v>
      </c>
    </row>
    <row r="6296" spans="1:18">
      <c r="A6296" s="2" t="s">
        <v>10603</v>
      </c>
      <c r="B6296" s="2" t="s">
        <v>3476</v>
      </c>
      <c r="C6296" s="1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  <c r="L6296" s="2" t="s">
        <v>11030</v>
      </c>
      <c r="M6296" s="2" t="s">
        <v>11029</v>
      </c>
      <c r="N6296" s="2" t="s">
        <v>11035</v>
      </c>
      <c r="O6296" s="2" t="s">
        <v>11037</v>
      </c>
      <c r="P6296" s="2" t="s">
        <v>11034</v>
      </c>
      <c r="Q6296" s="2">
        <f>AVERAGE(PerfRate[[#This Row],[EnvironmentSatisfaction]],PerfRate[[#This Row],[JobSatisfaction]],PerfRate[[#This Row],[RelationshipSatisfaction]])</f>
        <v>2.3333333333333335</v>
      </c>
      <c r="R6296" s="2">
        <f>PerfRate[[#This Row],[ManagerRating]] - PerfRate[[#This Row],[SelfRating]]</f>
        <v>-1</v>
      </c>
    </row>
    <row r="6297" spans="1:18">
      <c r="A6297" s="2" t="s">
        <v>10604</v>
      </c>
      <c r="B6297" s="2" t="s">
        <v>2900</v>
      </c>
      <c r="C6297" s="1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  <c r="L6297" s="2" t="s">
        <v>11030</v>
      </c>
      <c r="M6297" s="2" t="s">
        <v>11030</v>
      </c>
      <c r="N6297" s="2" t="s">
        <v>11035</v>
      </c>
      <c r="O6297" s="2" t="s">
        <v>11034</v>
      </c>
      <c r="P6297" s="2" t="s">
        <v>11034</v>
      </c>
      <c r="Q6297" s="2">
        <f>AVERAGE(PerfRate[[#This Row],[EnvironmentSatisfaction]],PerfRate[[#This Row],[JobSatisfaction]],PerfRate[[#This Row],[RelationshipSatisfaction]])</f>
        <v>1.3333333333333333</v>
      </c>
      <c r="R6297" s="2">
        <f>PerfRate[[#This Row],[ManagerRating]] - PerfRate[[#This Row],[SelfRating]]</f>
        <v>0</v>
      </c>
    </row>
    <row r="6298" spans="1:18">
      <c r="A6298" s="2" t="s">
        <v>10605</v>
      </c>
      <c r="B6298" s="2" t="s">
        <v>211</v>
      </c>
      <c r="C6298" s="1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  <c r="L6298" s="2" t="s">
        <v>11029</v>
      </c>
      <c r="M6298" s="2" t="s">
        <v>11029</v>
      </c>
      <c r="N6298" s="2" t="s">
        <v>11037</v>
      </c>
      <c r="O6298" s="2" t="s">
        <v>11035</v>
      </c>
      <c r="P6298" s="2" t="s">
        <v>11035</v>
      </c>
      <c r="Q6298" s="2">
        <f>AVERAGE(PerfRate[[#This Row],[EnvironmentSatisfaction]],PerfRate[[#This Row],[JobSatisfaction]],PerfRate[[#This Row],[RelationshipSatisfaction]])</f>
        <v>2.6666666666666665</v>
      </c>
      <c r="R6298" s="2">
        <f>PerfRate[[#This Row],[ManagerRating]] - PerfRate[[#This Row],[SelfRating]]</f>
        <v>0</v>
      </c>
    </row>
    <row r="6299" spans="1:18">
      <c r="A6299" s="2" t="s">
        <v>10606</v>
      </c>
      <c r="B6299" s="2" t="s">
        <v>1397</v>
      </c>
      <c r="C6299" s="1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  <c r="L6299" s="2" t="s">
        <v>11030</v>
      </c>
      <c r="M6299" s="2" t="s">
        <v>11030</v>
      </c>
      <c r="N6299" s="2" t="s">
        <v>11037</v>
      </c>
      <c r="O6299" s="2" t="s">
        <v>11036</v>
      </c>
      <c r="P6299" s="2" t="s">
        <v>11035</v>
      </c>
      <c r="Q6299" s="2">
        <f>AVERAGE(PerfRate[[#This Row],[EnvironmentSatisfaction]],PerfRate[[#This Row],[JobSatisfaction]],PerfRate[[#This Row],[RelationshipSatisfaction]])</f>
        <v>3</v>
      </c>
      <c r="R6299" s="2">
        <f>PerfRate[[#This Row],[ManagerRating]] - PerfRate[[#This Row],[SelfRating]]</f>
        <v>0</v>
      </c>
    </row>
    <row r="6300" spans="1:18">
      <c r="A6300" s="2" t="s">
        <v>10607</v>
      </c>
      <c r="B6300" s="2" t="s">
        <v>2251</v>
      </c>
      <c r="C6300" s="1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  <c r="L6300" s="2" t="s">
        <v>11029</v>
      </c>
      <c r="M6300" s="2" t="s">
        <v>11028</v>
      </c>
      <c r="N6300" s="2" t="s">
        <v>11034</v>
      </c>
      <c r="O6300" s="2" t="s">
        <v>11037</v>
      </c>
      <c r="P6300" s="2" t="s">
        <v>11036</v>
      </c>
      <c r="Q6300" s="2">
        <f>AVERAGE(PerfRate[[#This Row],[EnvironmentSatisfaction]],PerfRate[[#This Row],[JobSatisfaction]],PerfRate[[#This Row],[RelationshipSatisfaction]])</f>
        <v>2.6666666666666665</v>
      </c>
      <c r="R6300" s="2">
        <f>PerfRate[[#This Row],[ManagerRating]] - PerfRate[[#This Row],[SelfRating]]</f>
        <v>-1</v>
      </c>
    </row>
    <row r="6301" spans="1:18">
      <c r="A6301" s="2" t="s">
        <v>10608</v>
      </c>
      <c r="B6301" s="2" t="s">
        <v>3606</v>
      </c>
      <c r="C6301" s="1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  <c r="L6301" s="2" t="s">
        <v>11029</v>
      </c>
      <c r="M6301" s="2" t="s">
        <v>11029</v>
      </c>
      <c r="N6301" s="2" t="s">
        <v>11037</v>
      </c>
      <c r="O6301" s="2" t="s">
        <v>11034</v>
      </c>
      <c r="P6301" s="2" t="s">
        <v>11037</v>
      </c>
      <c r="Q6301" s="2">
        <f>AVERAGE(PerfRate[[#This Row],[EnvironmentSatisfaction]],PerfRate[[#This Row],[JobSatisfaction]],PerfRate[[#This Row],[RelationshipSatisfaction]])</f>
        <v>3</v>
      </c>
      <c r="R6301" s="2">
        <f>PerfRate[[#This Row],[ManagerRating]] - PerfRate[[#This Row],[SelfRating]]</f>
        <v>0</v>
      </c>
    </row>
    <row r="6302" spans="1:18">
      <c r="A6302" s="2" t="s">
        <v>10609</v>
      </c>
      <c r="B6302" s="2" t="s">
        <v>679</v>
      </c>
      <c r="C6302" s="1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  <c r="L6302" s="2" t="s">
        <v>11031</v>
      </c>
      <c r="M6302" s="2" t="s">
        <v>11030</v>
      </c>
      <c r="N6302" s="2" t="s">
        <v>11038</v>
      </c>
      <c r="O6302" s="2" t="s">
        <v>11037</v>
      </c>
      <c r="P6302" s="2" t="s">
        <v>11037</v>
      </c>
      <c r="Q6302" s="2">
        <f>AVERAGE(PerfRate[[#This Row],[EnvironmentSatisfaction]],PerfRate[[#This Row],[JobSatisfaction]],PerfRate[[#This Row],[RelationshipSatisfaction]])</f>
        <v>4.333333333333333</v>
      </c>
      <c r="R6302" s="2">
        <f>PerfRate[[#This Row],[ManagerRating]] - PerfRate[[#This Row],[SelfRating]]</f>
        <v>-1</v>
      </c>
    </row>
    <row r="6303" spans="1:18">
      <c r="A6303" s="2" t="s">
        <v>10610</v>
      </c>
      <c r="B6303" s="2" t="s">
        <v>2005</v>
      </c>
      <c r="C6303" s="1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  <c r="L6303" s="2" t="s">
        <v>11029</v>
      </c>
      <c r="M6303" s="2" t="s">
        <v>11028</v>
      </c>
      <c r="N6303" s="2" t="s">
        <v>11036</v>
      </c>
      <c r="O6303" s="2" t="s">
        <v>11034</v>
      </c>
      <c r="P6303" s="2" t="s">
        <v>11037</v>
      </c>
      <c r="Q6303" s="2">
        <f>AVERAGE(PerfRate[[#This Row],[EnvironmentSatisfaction]],PerfRate[[#This Row],[JobSatisfaction]],PerfRate[[#This Row],[RelationshipSatisfaction]])</f>
        <v>2.6666666666666665</v>
      </c>
      <c r="R6303" s="2">
        <f>PerfRate[[#This Row],[ManagerRating]] - PerfRate[[#This Row],[SelfRating]]</f>
        <v>-1</v>
      </c>
    </row>
    <row r="6304" spans="1:18">
      <c r="A6304" s="2" t="s">
        <v>10611</v>
      </c>
      <c r="B6304" s="2" t="s">
        <v>2754</v>
      </c>
      <c r="C6304" s="1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  <c r="L6304" s="2" t="s">
        <v>11031</v>
      </c>
      <c r="M6304" s="2" t="s">
        <v>11031</v>
      </c>
      <c r="N6304" s="2" t="s">
        <v>11034</v>
      </c>
      <c r="O6304" s="2" t="s">
        <v>11037</v>
      </c>
      <c r="P6304" s="2" t="s">
        <v>11036</v>
      </c>
      <c r="Q6304" s="2">
        <f>AVERAGE(PerfRate[[#This Row],[EnvironmentSatisfaction]],PerfRate[[#This Row],[JobSatisfaction]],PerfRate[[#This Row],[RelationshipSatisfaction]])</f>
        <v>2.6666666666666665</v>
      </c>
      <c r="R6304" s="2">
        <f>PerfRate[[#This Row],[ManagerRating]] - PerfRate[[#This Row],[SelfRating]]</f>
        <v>0</v>
      </c>
    </row>
    <row r="6305" spans="1:18">
      <c r="A6305" s="2" t="s">
        <v>10612</v>
      </c>
      <c r="B6305" s="2" t="s">
        <v>392</v>
      </c>
      <c r="C6305" s="1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  <c r="L6305" s="2" t="s">
        <v>11029</v>
      </c>
      <c r="M6305" s="2" t="s">
        <v>11029</v>
      </c>
      <c r="N6305" s="2" t="s">
        <v>11036</v>
      </c>
      <c r="O6305" s="2" t="s">
        <v>11037</v>
      </c>
      <c r="P6305" s="2" t="s">
        <v>11036</v>
      </c>
      <c r="Q6305" s="2">
        <f>AVERAGE(PerfRate[[#This Row],[EnvironmentSatisfaction]],PerfRate[[#This Row],[JobSatisfaction]],PerfRate[[#This Row],[RelationshipSatisfaction]])</f>
        <v>3.3333333333333335</v>
      </c>
      <c r="R6305" s="2">
        <f>PerfRate[[#This Row],[ManagerRating]] - PerfRate[[#This Row],[SelfRating]]</f>
        <v>0</v>
      </c>
    </row>
    <row r="6306" spans="1:18">
      <c r="A6306" s="2" t="s">
        <v>10613</v>
      </c>
      <c r="B6306" s="2" t="s">
        <v>278</v>
      </c>
      <c r="C6306" s="1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  <c r="L6306" s="2" t="s">
        <v>11031</v>
      </c>
      <c r="M6306" s="2" t="s">
        <v>11030</v>
      </c>
      <c r="N6306" s="2" t="s">
        <v>11038</v>
      </c>
      <c r="O6306" s="2" t="s">
        <v>11036</v>
      </c>
      <c r="P6306" s="2" t="s">
        <v>11036</v>
      </c>
      <c r="Q6306" s="2">
        <f>AVERAGE(PerfRate[[#This Row],[EnvironmentSatisfaction]],PerfRate[[#This Row],[JobSatisfaction]],PerfRate[[#This Row],[RelationshipSatisfaction]])</f>
        <v>3.6666666666666665</v>
      </c>
      <c r="R6306" s="2">
        <f>PerfRate[[#This Row],[ManagerRating]] - PerfRate[[#This Row],[SelfRating]]</f>
        <v>-1</v>
      </c>
    </row>
    <row r="6307" spans="1:18">
      <c r="A6307" s="2" t="s">
        <v>10614</v>
      </c>
      <c r="B6307" s="2" t="s">
        <v>186</v>
      </c>
      <c r="C6307" s="1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  <c r="L6307" s="2" t="s">
        <v>11029</v>
      </c>
      <c r="M6307" s="2" t="s">
        <v>11028</v>
      </c>
      <c r="N6307" s="2" t="s">
        <v>11036</v>
      </c>
      <c r="O6307" s="2" t="s">
        <v>11036</v>
      </c>
      <c r="P6307" s="2" t="s">
        <v>11035</v>
      </c>
      <c r="Q6307" s="2">
        <f>AVERAGE(PerfRate[[#This Row],[EnvironmentSatisfaction]],PerfRate[[#This Row],[JobSatisfaction]],PerfRate[[#This Row],[RelationshipSatisfaction]])</f>
        <v>2.6666666666666665</v>
      </c>
      <c r="R6307" s="2">
        <f>PerfRate[[#This Row],[ManagerRating]] - PerfRate[[#This Row],[SelfRating]]</f>
        <v>-1</v>
      </c>
    </row>
    <row r="6308" spans="1:18">
      <c r="A6308" s="2" t="s">
        <v>10615</v>
      </c>
      <c r="B6308" s="2" t="s">
        <v>1277</v>
      </c>
      <c r="C6308" s="1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  <c r="L6308" s="2" t="s">
        <v>11030</v>
      </c>
      <c r="M6308" s="2" t="s">
        <v>11030</v>
      </c>
      <c r="N6308" s="2" t="s">
        <v>11035</v>
      </c>
      <c r="O6308" s="2" t="s">
        <v>11036</v>
      </c>
      <c r="P6308" s="2" t="s">
        <v>11037</v>
      </c>
      <c r="Q6308" s="2">
        <f>AVERAGE(PerfRate[[#This Row],[EnvironmentSatisfaction]],PerfRate[[#This Row],[JobSatisfaction]],PerfRate[[#This Row],[RelationshipSatisfaction]])</f>
        <v>3</v>
      </c>
      <c r="R6308" s="2">
        <f>PerfRate[[#This Row],[ManagerRating]] - PerfRate[[#This Row],[SelfRating]]</f>
        <v>0</v>
      </c>
    </row>
    <row r="6309" spans="1:18">
      <c r="A6309" s="2" t="s">
        <v>10616</v>
      </c>
      <c r="B6309" s="2" t="s">
        <v>1635</v>
      </c>
      <c r="C6309" s="1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  <c r="L6309" s="2" t="s">
        <v>11030</v>
      </c>
      <c r="M6309" s="2" t="s">
        <v>11030</v>
      </c>
      <c r="N6309" s="2" t="s">
        <v>11037</v>
      </c>
      <c r="O6309" s="2" t="s">
        <v>11037</v>
      </c>
      <c r="P6309" s="2" t="s">
        <v>11038</v>
      </c>
      <c r="Q6309" s="2">
        <f>AVERAGE(PerfRate[[#This Row],[EnvironmentSatisfaction]],PerfRate[[#This Row],[JobSatisfaction]],PerfRate[[#This Row],[RelationshipSatisfaction]])</f>
        <v>4.333333333333333</v>
      </c>
      <c r="R6309" s="2">
        <f>PerfRate[[#This Row],[ManagerRating]] - PerfRate[[#This Row],[SelfRating]]</f>
        <v>0</v>
      </c>
    </row>
    <row r="6310" spans="1:18">
      <c r="A6310" s="2" t="s">
        <v>10617</v>
      </c>
      <c r="B6310" s="2" t="s">
        <v>311</v>
      </c>
      <c r="C6310" s="1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  <c r="L6310" s="2" t="s">
        <v>11030</v>
      </c>
      <c r="M6310" s="2" t="s">
        <v>11029</v>
      </c>
      <c r="N6310" s="2" t="s">
        <v>11037</v>
      </c>
      <c r="O6310" s="2" t="s">
        <v>11037</v>
      </c>
      <c r="P6310" s="2" t="s">
        <v>11034</v>
      </c>
      <c r="Q6310" s="2">
        <f>AVERAGE(PerfRate[[#This Row],[EnvironmentSatisfaction]],PerfRate[[#This Row],[JobSatisfaction]],PerfRate[[#This Row],[RelationshipSatisfaction]])</f>
        <v>3</v>
      </c>
      <c r="R6310" s="2">
        <f>PerfRate[[#This Row],[ManagerRating]] - PerfRate[[#This Row],[SelfRating]]</f>
        <v>-1</v>
      </c>
    </row>
    <row r="6311" spans="1:18">
      <c r="A6311" s="2" t="s">
        <v>10618</v>
      </c>
      <c r="B6311" s="2" t="s">
        <v>413</v>
      </c>
      <c r="C6311" s="1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  <c r="L6311" s="2" t="s">
        <v>11031</v>
      </c>
      <c r="M6311" s="2" t="s">
        <v>11030</v>
      </c>
      <c r="N6311" s="2" t="s">
        <v>11036</v>
      </c>
      <c r="O6311" s="2" t="s">
        <v>11035</v>
      </c>
      <c r="P6311" s="2" t="s">
        <v>11037</v>
      </c>
      <c r="Q6311" s="2">
        <f>AVERAGE(PerfRate[[#This Row],[EnvironmentSatisfaction]],PerfRate[[#This Row],[JobSatisfaction]],PerfRate[[#This Row],[RelationshipSatisfaction]])</f>
        <v>3</v>
      </c>
      <c r="R6311" s="2">
        <f>PerfRate[[#This Row],[ManagerRating]] - PerfRate[[#This Row],[SelfRating]]</f>
        <v>-1</v>
      </c>
    </row>
    <row r="6312" spans="1:18">
      <c r="A6312" s="2" t="s">
        <v>10619</v>
      </c>
      <c r="B6312" s="2" t="s">
        <v>949</v>
      </c>
      <c r="C6312" s="1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  <c r="L6312" s="2" t="s">
        <v>11031</v>
      </c>
      <c r="M6312" s="2" t="s">
        <v>11031</v>
      </c>
      <c r="N6312" s="2" t="s">
        <v>11037</v>
      </c>
      <c r="O6312" s="2" t="s">
        <v>11038</v>
      </c>
      <c r="P6312" s="2" t="s">
        <v>11035</v>
      </c>
      <c r="Q6312" s="2">
        <f>AVERAGE(PerfRate[[#This Row],[EnvironmentSatisfaction]],PerfRate[[#This Row],[JobSatisfaction]],PerfRate[[#This Row],[RelationshipSatisfaction]])</f>
        <v>3.6666666666666665</v>
      </c>
      <c r="R6312" s="2">
        <f>PerfRate[[#This Row],[ManagerRating]] - PerfRate[[#This Row],[SelfRating]]</f>
        <v>0</v>
      </c>
    </row>
    <row r="6313" spans="1:18">
      <c r="A6313" s="2" t="s">
        <v>10620</v>
      </c>
      <c r="B6313" s="2" t="s">
        <v>1438</v>
      </c>
      <c r="C6313" s="1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  <c r="L6313" s="2" t="s">
        <v>11029</v>
      </c>
      <c r="M6313" s="2" t="s">
        <v>11029</v>
      </c>
      <c r="N6313" s="2" t="s">
        <v>11037</v>
      </c>
      <c r="O6313" s="2" t="s">
        <v>11037</v>
      </c>
      <c r="P6313" s="2" t="s">
        <v>11037</v>
      </c>
      <c r="Q6313" s="2">
        <f>AVERAGE(PerfRate[[#This Row],[EnvironmentSatisfaction]],PerfRate[[#This Row],[JobSatisfaction]],PerfRate[[#This Row],[RelationshipSatisfaction]])</f>
        <v>4</v>
      </c>
      <c r="R6313" s="2">
        <f>PerfRate[[#This Row],[ManagerRating]] - PerfRate[[#This Row],[SelfRating]]</f>
        <v>0</v>
      </c>
    </row>
    <row r="6314" spans="1:18">
      <c r="A6314" s="2" t="s">
        <v>10621</v>
      </c>
      <c r="B6314" s="2" t="s">
        <v>2065</v>
      </c>
      <c r="C6314" s="1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  <c r="L6314" s="2" t="s">
        <v>11030</v>
      </c>
      <c r="M6314" s="2" t="s">
        <v>11029</v>
      </c>
      <c r="N6314" s="2" t="s">
        <v>11038</v>
      </c>
      <c r="O6314" s="2" t="s">
        <v>11036</v>
      </c>
      <c r="P6314" s="2" t="s">
        <v>11035</v>
      </c>
      <c r="Q6314" s="2">
        <f>AVERAGE(PerfRate[[#This Row],[EnvironmentSatisfaction]],PerfRate[[#This Row],[JobSatisfaction]],PerfRate[[#This Row],[RelationshipSatisfaction]])</f>
        <v>3.3333333333333335</v>
      </c>
      <c r="R6314" s="2">
        <f>PerfRate[[#This Row],[ManagerRating]] - PerfRate[[#This Row],[SelfRating]]</f>
        <v>-1</v>
      </c>
    </row>
    <row r="6315" spans="1:18">
      <c r="A6315" s="2" t="s">
        <v>10622</v>
      </c>
      <c r="B6315" s="2" t="s">
        <v>3417</v>
      </c>
      <c r="C6315" s="1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  <c r="L6315" s="2" t="s">
        <v>11029</v>
      </c>
      <c r="M6315" s="2" t="s">
        <v>11029</v>
      </c>
      <c r="N6315" s="2" t="s">
        <v>11036</v>
      </c>
      <c r="O6315" s="2" t="s">
        <v>11037</v>
      </c>
      <c r="P6315" s="2" t="s">
        <v>11037</v>
      </c>
      <c r="Q6315" s="2">
        <f>AVERAGE(PerfRate[[#This Row],[EnvironmentSatisfaction]],PerfRate[[#This Row],[JobSatisfaction]],PerfRate[[#This Row],[RelationshipSatisfaction]])</f>
        <v>3.6666666666666665</v>
      </c>
      <c r="R6315" s="2">
        <f>PerfRate[[#This Row],[ManagerRating]] - PerfRate[[#This Row],[SelfRating]]</f>
        <v>0</v>
      </c>
    </row>
    <row r="6316" spans="1:18">
      <c r="A6316" s="2" t="s">
        <v>10623</v>
      </c>
      <c r="B6316" s="2" t="s">
        <v>479</v>
      </c>
      <c r="C6316" s="1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  <c r="L6316" s="2" t="s">
        <v>11030</v>
      </c>
      <c r="M6316" s="2" t="s">
        <v>11029</v>
      </c>
      <c r="N6316" s="2" t="s">
        <v>11038</v>
      </c>
      <c r="O6316" s="2" t="s">
        <v>11035</v>
      </c>
      <c r="P6316" s="2" t="s">
        <v>11035</v>
      </c>
      <c r="Q6316" s="2">
        <f>AVERAGE(PerfRate[[#This Row],[EnvironmentSatisfaction]],PerfRate[[#This Row],[JobSatisfaction]],PerfRate[[#This Row],[RelationshipSatisfaction]])</f>
        <v>3</v>
      </c>
      <c r="R6316" s="2">
        <f>PerfRate[[#This Row],[ManagerRating]] - PerfRate[[#This Row],[SelfRating]]</f>
        <v>-1</v>
      </c>
    </row>
    <row r="6317" spans="1:18">
      <c r="A6317" s="2" t="s">
        <v>10624</v>
      </c>
      <c r="B6317" s="2" t="s">
        <v>3308</v>
      </c>
      <c r="C6317" s="1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  <c r="L6317" s="2" t="s">
        <v>11031</v>
      </c>
      <c r="M6317" s="2" t="s">
        <v>11031</v>
      </c>
      <c r="N6317" s="2" t="s">
        <v>11036</v>
      </c>
      <c r="O6317" s="2" t="s">
        <v>11038</v>
      </c>
      <c r="P6317" s="2" t="s">
        <v>11035</v>
      </c>
      <c r="Q6317" s="2">
        <f>AVERAGE(PerfRate[[#This Row],[EnvironmentSatisfaction]],PerfRate[[#This Row],[JobSatisfaction]],PerfRate[[#This Row],[RelationshipSatisfaction]])</f>
        <v>3.3333333333333335</v>
      </c>
      <c r="R6317" s="2">
        <f>PerfRate[[#This Row],[ManagerRating]] - PerfRate[[#This Row],[SelfRating]]</f>
        <v>0</v>
      </c>
    </row>
    <row r="6318" spans="1:18">
      <c r="A6318" s="2" t="s">
        <v>10625</v>
      </c>
      <c r="B6318" s="2" t="s">
        <v>4035</v>
      </c>
      <c r="C6318" s="1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  <c r="L6318" s="2" t="s">
        <v>11031</v>
      </c>
      <c r="M6318" s="2" t="s">
        <v>11030</v>
      </c>
      <c r="N6318" s="2" t="s">
        <v>11036</v>
      </c>
      <c r="O6318" s="2" t="s">
        <v>11038</v>
      </c>
      <c r="P6318" s="2" t="s">
        <v>11035</v>
      </c>
      <c r="Q6318" s="2">
        <f>AVERAGE(PerfRate[[#This Row],[EnvironmentSatisfaction]],PerfRate[[#This Row],[JobSatisfaction]],PerfRate[[#This Row],[RelationshipSatisfaction]])</f>
        <v>3.3333333333333335</v>
      </c>
      <c r="R6318" s="2">
        <f>PerfRate[[#This Row],[ManagerRating]] - PerfRate[[#This Row],[SelfRating]]</f>
        <v>-1</v>
      </c>
    </row>
    <row r="6319" spans="1:18">
      <c r="A6319" s="2" t="s">
        <v>10626</v>
      </c>
      <c r="B6319" s="2" t="s">
        <v>901</v>
      </c>
      <c r="C6319" s="1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  <c r="L6319" s="2" t="s">
        <v>11029</v>
      </c>
      <c r="M6319" s="2" t="s">
        <v>11029</v>
      </c>
      <c r="N6319" s="2" t="s">
        <v>11037</v>
      </c>
      <c r="O6319" s="2" t="s">
        <v>11037</v>
      </c>
      <c r="P6319" s="2" t="s">
        <v>11038</v>
      </c>
      <c r="Q6319" s="2">
        <f>AVERAGE(PerfRate[[#This Row],[EnvironmentSatisfaction]],PerfRate[[#This Row],[JobSatisfaction]],PerfRate[[#This Row],[RelationshipSatisfaction]])</f>
        <v>4.333333333333333</v>
      </c>
      <c r="R6319" s="2">
        <f>PerfRate[[#This Row],[ManagerRating]] - PerfRate[[#This Row],[SelfRating]]</f>
        <v>0</v>
      </c>
    </row>
    <row r="6320" spans="1:18">
      <c r="A6320" s="2" t="s">
        <v>10627</v>
      </c>
      <c r="B6320" s="2" t="s">
        <v>860</v>
      </c>
      <c r="C6320" s="1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  <c r="L6320" s="2" t="s">
        <v>11031</v>
      </c>
      <c r="M6320" s="2" t="s">
        <v>11031</v>
      </c>
      <c r="N6320" s="2" t="s">
        <v>11038</v>
      </c>
      <c r="O6320" s="2" t="s">
        <v>11037</v>
      </c>
      <c r="P6320" s="2" t="s">
        <v>11037</v>
      </c>
      <c r="Q6320" s="2">
        <f>AVERAGE(PerfRate[[#This Row],[EnvironmentSatisfaction]],PerfRate[[#This Row],[JobSatisfaction]],PerfRate[[#This Row],[RelationshipSatisfaction]])</f>
        <v>4.333333333333333</v>
      </c>
      <c r="R6320" s="2">
        <f>PerfRate[[#This Row],[ManagerRating]] - PerfRate[[#This Row],[SelfRating]]</f>
        <v>0</v>
      </c>
    </row>
    <row r="6321" spans="1:18">
      <c r="A6321" s="2" t="s">
        <v>10628</v>
      </c>
      <c r="B6321" s="2" t="s">
        <v>1623</v>
      </c>
      <c r="C6321" s="1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  <c r="L6321" s="2" t="s">
        <v>11029</v>
      </c>
      <c r="M6321" s="2" t="s">
        <v>11029</v>
      </c>
      <c r="N6321" s="2" t="s">
        <v>11038</v>
      </c>
      <c r="O6321" s="2" t="s">
        <v>11037</v>
      </c>
      <c r="P6321" s="2" t="s">
        <v>11037</v>
      </c>
      <c r="Q6321" s="2">
        <f>AVERAGE(PerfRate[[#This Row],[EnvironmentSatisfaction]],PerfRate[[#This Row],[JobSatisfaction]],PerfRate[[#This Row],[RelationshipSatisfaction]])</f>
        <v>4.333333333333333</v>
      </c>
      <c r="R6321" s="2">
        <f>PerfRate[[#This Row],[ManagerRating]] - PerfRate[[#This Row],[SelfRating]]</f>
        <v>0</v>
      </c>
    </row>
    <row r="6322" spans="1:18">
      <c r="A6322" s="2" t="s">
        <v>10629</v>
      </c>
      <c r="B6322" s="2" t="s">
        <v>1514</v>
      </c>
      <c r="C6322" s="1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  <c r="L6322" s="2" t="s">
        <v>11031</v>
      </c>
      <c r="M6322" s="2" t="s">
        <v>11031</v>
      </c>
      <c r="N6322" s="2" t="s">
        <v>11038</v>
      </c>
      <c r="O6322" s="2" t="s">
        <v>11037</v>
      </c>
      <c r="P6322" s="2" t="s">
        <v>11037</v>
      </c>
      <c r="Q6322" s="2">
        <f>AVERAGE(PerfRate[[#This Row],[EnvironmentSatisfaction]],PerfRate[[#This Row],[JobSatisfaction]],PerfRate[[#This Row],[RelationshipSatisfaction]])</f>
        <v>4.333333333333333</v>
      </c>
      <c r="R6322" s="2">
        <f>PerfRate[[#This Row],[ManagerRating]] - PerfRate[[#This Row],[SelfRating]]</f>
        <v>0</v>
      </c>
    </row>
    <row r="6323" spans="1:18">
      <c r="A6323" s="2" t="s">
        <v>10630</v>
      </c>
      <c r="B6323" s="2" t="s">
        <v>2054</v>
      </c>
      <c r="C6323" s="1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  <c r="L6323" s="2" t="s">
        <v>11029</v>
      </c>
      <c r="M6323" s="2" t="s">
        <v>11029</v>
      </c>
      <c r="N6323" s="2" t="s">
        <v>11037</v>
      </c>
      <c r="O6323" s="2" t="s">
        <v>11037</v>
      </c>
      <c r="P6323" s="2" t="s">
        <v>11035</v>
      </c>
      <c r="Q6323" s="2">
        <f>AVERAGE(PerfRate[[#This Row],[EnvironmentSatisfaction]],PerfRate[[#This Row],[JobSatisfaction]],PerfRate[[#This Row],[RelationshipSatisfaction]])</f>
        <v>3.3333333333333335</v>
      </c>
      <c r="R6323" s="2">
        <f>PerfRate[[#This Row],[ManagerRating]] - PerfRate[[#This Row],[SelfRating]]</f>
        <v>0</v>
      </c>
    </row>
    <row r="6324" spans="1:18">
      <c r="A6324" s="2" t="s">
        <v>10631</v>
      </c>
      <c r="B6324" s="2" t="s">
        <v>1776</v>
      </c>
      <c r="C6324" s="1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  <c r="L6324" s="2" t="s">
        <v>11030</v>
      </c>
      <c r="M6324" s="2" t="s">
        <v>11029</v>
      </c>
      <c r="N6324" s="2" t="s">
        <v>11036</v>
      </c>
      <c r="O6324" s="2" t="s">
        <v>11038</v>
      </c>
      <c r="P6324" s="2" t="s">
        <v>11035</v>
      </c>
      <c r="Q6324" s="2">
        <f>AVERAGE(PerfRate[[#This Row],[EnvironmentSatisfaction]],PerfRate[[#This Row],[JobSatisfaction]],PerfRate[[#This Row],[RelationshipSatisfaction]])</f>
        <v>3.3333333333333335</v>
      </c>
      <c r="R6324" s="2">
        <f>PerfRate[[#This Row],[ManagerRating]] - PerfRate[[#This Row],[SelfRating]]</f>
        <v>-1</v>
      </c>
    </row>
    <row r="6325" spans="1:18">
      <c r="A6325" s="2" t="s">
        <v>10632</v>
      </c>
      <c r="B6325" s="2" t="s">
        <v>2849</v>
      </c>
      <c r="C6325" s="1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  <c r="L6325" s="2" t="s">
        <v>11029</v>
      </c>
      <c r="M6325" s="2" t="s">
        <v>11028</v>
      </c>
      <c r="N6325" s="2" t="s">
        <v>11035</v>
      </c>
      <c r="O6325" s="2" t="s">
        <v>11036</v>
      </c>
      <c r="P6325" s="2" t="s">
        <v>11034</v>
      </c>
      <c r="Q6325" s="2">
        <f>AVERAGE(PerfRate[[#This Row],[EnvironmentSatisfaction]],PerfRate[[#This Row],[JobSatisfaction]],PerfRate[[#This Row],[RelationshipSatisfaction]])</f>
        <v>2</v>
      </c>
      <c r="R6325" s="2">
        <f>PerfRate[[#This Row],[ManagerRating]] - PerfRate[[#This Row],[SelfRating]]</f>
        <v>-1</v>
      </c>
    </row>
    <row r="6326" spans="1:18">
      <c r="A6326" s="2" t="s">
        <v>10633</v>
      </c>
      <c r="B6326" s="2" t="s">
        <v>3207</v>
      </c>
      <c r="C6326" s="1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  <c r="L6326" s="2" t="s">
        <v>11029</v>
      </c>
      <c r="M6326" s="2" t="s">
        <v>11028</v>
      </c>
      <c r="N6326" s="2" t="s">
        <v>11037</v>
      </c>
      <c r="O6326" s="2" t="s">
        <v>11036</v>
      </c>
      <c r="P6326" s="2" t="s">
        <v>11036</v>
      </c>
      <c r="Q6326" s="2">
        <f>AVERAGE(PerfRate[[#This Row],[EnvironmentSatisfaction]],PerfRate[[#This Row],[JobSatisfaction]],PerfRate[[#This Row],[RelationshipSatisfaction]])</f>
        <v>3.3333333333333335</v>
      </c>
      <c r="R6326" s="2">
        <f>PerfRate[[#This Row],[ManagerRating]] - PerfRate[[#This Row],[SelfRating]]</f>
        <v>-1</v>
      </c>
    </row>
    <row r="6327" spans="1:18">
      <c r="A6327" s="2" t="s">
        <v>10634</v>
      </c>
      <c r="B6327" s="2" t="s">
        <v>2500</v>
      </c>
      <c r="C6327" s="1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  <c r="L6327" s="2" t="s">
        <v>11031</v>
      </c>
      <c r="M6327" s="2" t="s">
        <v>11031</v>
      </c>
      <c r="N6327" s="2" t="s">
        <v>11036</v>
      </c>
      <c r="O6327" s="2" t="s">
        <v>11037</v>
      </c>
      <c r="P6327" s="2" t="s">
        <v>11037</v>
      </c>
      <c r="Q6327" s="2">
        <f>AVERAGE(PerfRate[[#This Row],[EnvironmentSatisfaction]],PerfRate[[#This Row],[JobSatisfaction]],PerfRate[[#This Row],[RelationshipSatisfaction]])</f>
        <v>3.6666666666666665</v>
      </c>
      <c r="R6327" s="2">
        <f>PerfRate[[#This Row],[ManagerRating]] - PerfRate[[#This Row],[SelfRating]]</f>
        <v>0</v>
      </c>
    </row>
    <row r="6328" spans="1:18">
      <c r="A6328" s="2" t="s">
        <v>10635</v>
      </c>
      <c r="B6328" s="2" t="s">
        <v>419</v>
      </c>
      <c r="C6328" s="1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  <c r="L6328" s="2" t="s">
        <v>11030</v>
      </c>
      <c r="M6328" s="2" t="s">
        <v>11029</v>
      </c>
      <c r="N6328" s="2" t="s">
        <v>11036</v>
      </c>
      <c r="O6328" s="2" t="s">
        <v>11038</v>
      </c>
      <c r="P6328" s="2" t="s">
        <v>11037</v>
      </c>
      <c r="Q6328" s="2">
        <f>AVERAGE(PerfRate[[#This Row],[EnvironmentSatisfaction]],PerfRate[[#This Row],[JobSatisfaction]],PerfRate[[#This Row],[RelationshipSatisfaction]])</f>
        <v>4</v>
      </c>
      <c r="R6328" s="2">
        <f>PerfRate[[#This Row],[ManagerRating]] - PerfRate[[#This Row],[SelfRating]]</f>
        <v>-1</v>
      </c>
    </row>
    <row r="6329" spans="1:18">
      <c r="A6329" s="2" t="s">
        <v>10636</v>
      </c>
      <c r="B6329" s="2" t="s">
        <v>2975</v>
      </c>
      <c r="C6329" s="1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  <c r="L6329" s="2" t="s">
        <v>11029</v>
      </c>
      <c r="M6329" s="2" t="s">
        <v>11029</v>
      </c>
      <c r="N6329" s="2" t="s">
        <v>11037</v>
      </c>
      <c r="O6329" s="2" t="s">
        <v>11034</v>
      </c>
      <c r="P6329" s="2" t="s">
        <v>11035</v>
      </c>
      <c r="Q6329" s="2">
        <f>AVERAGE(PerfRate[[#This Row],[EnvironmentSatisfaction]],PerfRate[[#This Row],[JobSatisfaction]],PerfRate[[#This Row],[RelationshipSatisfaction]])</f>
        <v>2.3333333333333335</v>
      </c>
      <c r="R6329" s="2">
        <f>PerfRate[[#This Row],[ManagerRating]] - PerfRate[[#This Row],[SelfRating]]</f>
        <v>0</v>
      </c>
    </row>
    <row r="6330" spans="1:18">
      <c r="A6330" s="2" t="s">
        <v>10637</v>
      </c>
      <c r="B6330" s="2" t="s">
        <v>2856</v>
      </c>
      <c r="C6330" s="1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  <c r="L6330" s="2" t="s">
        <v>11029</v>
      </c>
      <c r="M6330" s="2" t="s">
        <v>11029</v>
      </c>
      <c r="N6330" s="2" t="s">
        <v>11036</v>
      </c>
      <c r="O6330" s="2" t="s">
        <v>11036</v>
      </c>
      <c r="P6330" s="2" t="s">
        <v>11037</v>
      </c>
      <c r="Q6330" s="2">
        <f>AVERAGE(PerfRate[[#This Row],[EnvironmentSatisfaction]],PerfRate[[#This Row],[JobSatisfaction]],PerfRate[[#This Row],[RelationshipSatisfaction]])</f>
        <v>3.3333333333333335</v>
      </c>
      <c r="R6330" s="2">
        <f>PerfRate[[#This Row],[ManagerRating]] - PerfRate[[#This Row],[SelfRating]]</f>
        <v>0</v>
      </c>
    </row>
    <row r="6331" spans="1:18">
      <c r="A6331" s="2" t="s">
        <v>10638</v>
      </c>
      <c r="B6331" s="2" t="s">
        <v>3278</v>
      </c>
      <c r="C6331" s="1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  <c r="L6331" s="2" t="s">
        <v>11031</v>
      </c>
      <c r="M6331" s="2" t="s">
        <v>11031</v>
      </c>
      <c r="N6331" s="2" t="s">
        <v>11035</v>
      </c>
      <c r="O6331" s="2" t="s">
        <v>11037</v>
      </c>
      <c r="P6331" s="2" t="s">
        <v>11036</v>
      </c>
      <c r="Q6331" s="2">
        <f>AVERAGE(PerfRate[[#This Row],[EnvironmentSatisfaction]],PerfRate[[#This Row],[JobSatisfaction]],PerfRate[[#This Row],[RelationshipSatisfaction]])</f>
        <v>3</v>
      </c>
      <c r="R6331" s="2">
        <f>PerfRate[[#This Row],[ManagerRating]] - PerfRate[[#This Row],[SelfRating]]</f>
        <v>0</v>
      </c>
    </row>
    <row r="6332" spans="1:18">
      <c r="A6332" s="2" t="s">
        <v>10639</v>
      </c>
      <c r="B6332" s="2" t="s">
        <v>2560</v>
      </c>
      <c r="C6332" s="1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  <c r="L6332" s="2" t="s">
        <v>11030</v>
      </c>
      <c r="M6332" s="2" t="s">
        <v>11030</v>
      </c>
      <c r="N6332" s="2" t="s">
        <v>11036</v>
      </c>
      <c r="O6332" s="2" t="s">
        <v>11038</v>
      </c>
      <c r="P6332" s="2" t="s">
        <v>11037</v>
      </c>
      <c r="Q6332" s="2">
        <f>AVERAGE(PerfRate[[#This Row],[EnvironmentSatisfaction]],PerfRate[[#This Row],[JobSatisfaction]],PerfRate[[#This Row],[RelationshipSatisfaction]])</f>
        <v>4</v>
      </c>
      <c r="R6332" s="2">
        <f>PerfRate[[#This Row],[ManagerRating]] - PerfRate[[#This Row],[SelfRating]]</f>
        <v>0</v>
      </c>
    </row>
    <row r="6333" spans="1:18">
      <c r="A6333" s="2" t="s">
        <v>10640</v>
      </c>
      <c r="B6333" s="2" t="s">
        <v>3326</v>
      </c>
      <c r="C6333" s="1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  <c r="L6333" s="2" t="s">
        <v>11031</v>
      </c>
      <c r="M6333" s="2" t="s">
        <v>11030</v>
      </c>
      <c r="N6333" s="2" t="s">
        <v>11038</v>
      </c>
      <c r="O6333" s="2" t="s">
        <v>11035</v>
      </c>
      <c r="P6333" s="2" t="s">
        <v>11035</v>
      </c>
      <c r="Q6333" s="2">
        <f>AVERAGE(PerfRate[[#This Row],[EnvironmentSatisfaction]],PerfRate[[#This Row],[JobSatisfaction]],PerfRate[[#This Row],[RelationshipSatisfaction]])</f>
        <v>3</v>
      </c>
      <c r="R6333" s="2">
        <f>PerfRate[[#This Row],[ManagerRating]] - PerfRate[[#This Row],[SelfRating]]</f>
        <v>-1</v>
      </c>
    </row>
    <row r="6334" spans="1:18">
      <c r="A6334" s="2" t="s">
        <v>10641</v>
      </c>
      <c r="B6334" s="2" t="s">
        <v>628</v>
      </c>
      <c r="C6334" s="1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  <c r="L6334" s="2" t="s">
        <v>11030</v>
      </c>
      <c r="M6334" s="2" t="s">
        <v>11029</v>
      </c>
      <c r="N6334" s="2" t="s">
        <v>11038</v>
      </c>
      <c r="O6334" s="2" t="s">
        <v>11035</v>
      </c>
      <c r="P6334" s="2" t="s">
        <v>11036</v>
      </c>
      <c r="Q6334" s="2">
        <f>AVERAGE(PerfRate[[#This Row],[EnvironmentSatisfaction]],PerfRate[[#This Row],[JobSatisfaction]],PerfRate[[#This Row],[RelationshipSatisfaction]])</f>
        <v>3.3333333333333335</v>
      </c>
      <c r="R6334" s="2">
        <f>PerfRate[[#This Row],[ManagerRating]] - PerfRate[[#This Row],[SelfRating]]</f>
        <v>-1</v>
      </c>
    </row>
    <row r="6335" spans="1:18">
      <c r="A6335" s="2" t="s">
        <v>10642</v>
      </c>
      <c r="B6335" s="2" t="s">
        <v>997</v>
      </c>
      <c r="C6335" s="1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  <c r="L6335" s="2" t="s">
        <v>11029</v>
      </c>
      <c r="M6335" s="2" t="s">
        <v>11029</v>
      </c>
      <c r="N6335" s="2" t="s">
        <v>11036</v>
      </c>
      <c r="O6335" s="2" t="s">
        <v>11035</v>
      </c>
      <c r="P6335" s="2" t="s">
        <v>11037</v>
      </c>
      <c r="Q6335" s="2">
        <f>AVERAGE(PerfRate[[#This Row],[EnvironmentSatisfaction]],PerfRate[[#This Row],[JobSatisfaction]],PerfRate[[#This Row],[RelationshipSatisfaction]])</f>
        <v>3</v>
      </c>
      <c r="R6335" s="2">
        <f>PerfRate[[#This Row],[ManagerRating]] - PerfRate[[#This Row],[SelfRating]]</f>
        <v>0</v>
      </c>
    </row>
    <row r="6336" spans="1:18">
      <c r="A6336" s="2" t="s">
        <v>10643</v>
      </c>
      <c r="B6336" s="2" t="s">
        <v>2062</v>
      </c>
      <c r="C6336" s="1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  <c r="L6336" s="2" t="s">
        <v>11031</v>
      </c>
      <c r="M6336" s="2" t="s">
        <v>11031</v>
      </c>
      <c r="N6336" s="2" t="s">
        <v>11037</v>
      </c>
      <c r="O6336" s="2" t="s">
        <v>11037</v>
      </c>
      <c r="P6336" s="2" t="s">
        <v>11036</v>
      </c>
      <c r="Q6336" s="2">
        <f>AVERAGE(PerfRate[[#This Row],[EnvironmentSatisfaction]],PerfRate[[#This Row],[JobSatisfaction]],PerfRate[[#This Row],[RelationshipSatisfaction]])</f>
        <v>3.6666666666666665</v>
      </c>
      <c r="R6336" s="2">
        <f>PerfRate[[#This Row],[ManagerRating]] - PerfRate[[#This Row],[SelfRating]]</f>
        <v>0</v>
      </c>
    </row>
    <row r="6337" spans="1:18">
      <c r="A6337" s="2" t="s">
        <v>10644</v>
      </c>
      <c r="B6337" s="2" t="s">
        <v>3451</v>
      </c>
      <c r="C6337" s="1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  <c r="L6337" s="2" t="s">
        <v>11031</v>
      </c>
      <c r="M6337" s="2" t="s">
        <v>11031</v>
      </c>
      <c r="N6337" s="2" t="s">
        <v>11036</v>
      </c>
      <c r="O6337" s="2" t="s">
        <v>11036</v>
      </c>
      <c r="P6337" s="2" t="s">
        <v>11035</v>
      </c>
      <c r="Q6337" s="2">
        <f>AVERAGE(PerfRate[[#This Row],[EnvironmentSatisfaction]],PerfRate[[#This Row],[JobSatisfaction]],PerfRate[[#This Row],[RelationshipSatisfaction]])</f>
        <v>2.6666666666666665</v>
      </c>
      <c r="R6337" s="2">
        <f>PerfRate[[#This Row],[ManagerRating]] - PerfRate[[#This Row],[SelfRating]]</f>
        <v>0</v>
      </c>
    </row>
    <row r="6338" spans="1:18">
      <c r="A6338" s="2" t="s">
        <v>10645</v>
      </c>
      <c r="B6338" s="2" t="s">
        <v>2119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  <c r="L6338" s="2" t="s">
        <v>11031</v>
      </c>
      <c r="M6338" s="2" t="s">
        <v>11031</v>
      </c>
      <c r="N6338" s="2" t="s">
        <v>11036</v>
      </c>
      <c r="O6338" s="2" t="s">
        <v>11035</v>
      </c>
      <c r="P6338" s="2" t="s">
        <v>11037</v>
      </c>
      <c r="Q6338" s="2">
        <f>AVERAGE(PerfRate[[#This Row],[EnvironmentSatisfaction]],PerfRate[[#This Row],[JobSatisfaction]],PerfRate[[#This Row],[RelationshipSatisfaction]])</f>
        <v>3</v>
      </c>
      <c r="R6338" s="2">
        <f>PerfRate[[#This Row],[ManagerRating]] - PerfRate[[#This Row],[SelfRating]]</f>
        <v>0</v>
      </c>
    </row>
    <row r="6339" spans="1:18">
      <c r="A6339" s="2" t="s">
        <v>10646</v>
      </c>
      <c r="B6339" s="2" t="s">
        <v>1716</v>
      </c>
      <c r="C6339" s="1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  <c r="L6339" s="2" t="s">
        <v>11030</v>
      </c>
      <c r="M6339" s="2" t="s">
        <v>11029</v>
      </c>
      <c r="N6339" s="2" t="s">
        <v>11038</v>
      </c>
      <c r="O6339" s="2" t="s">
        <v>11037</v>
      </c>
      <c r="P6339" s="2" t="s">
        <v>11037</v>
      </c>
      <c r="Q6339" s="2">
        <f>AVERAGE(PerfRate[[#This Row],[EnvironmentSatisfaction]],PerfRate[[#This Row],[JobSatisfaction]],PerfRate[[#This Row],[RelationshipSatisfaction]])</f>
        <v>4.333333333333333</v>
      </c>
      <c r="R6339" s="2">
        <f>PerfRate[[#This Row],[ManagerRating]] - PerfRate[[#This Row],[SelfRating]]</f>
        <v>-1</v>
      </c>
    </row>
    <row r="6340" spans="1:18">
      <c r="A6340" s="2" t="s">
        <v>10647</v>
      </c>
      <c r="B6340" s="2" t="s">
        <v>788</v>
      </c>
      <c r="C6340" s="1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  <c r="L6340" s="2" t="s">
        <v>11030</v>
      </c>
      <c r="M6340" s="2" t="s">
        <v>11030</v>
      </c>
      <c r="N6340" s="2" t="s">
        <v>11037</v>
      </c>
      <c r="O6340" s="2" t="s">
        <v>11038</v>
      </c>
      <c r="P6340" s="2" t="s">
        <v>11038</v>
      </c>
      <c r="Q6340" s="2">
        <f>AVERAGE(PerfRate[[#This Row],[EnvironmentSatisfaction]],PerfRate[[#This Row],[JobSatisfaction]],PerfRate[[#This Row],[RelationshipSatisfaction]])</f>
        <v>4.666666666666667</v>
      </c>
      <c r="R6340" s="2">
        <f>PerfRate[[#This Row],[ManagerRating]] - PerfRate[[#This Row],[SelfRating]]</f>
        <v>0</v>
      </c>
    </row>
    <row r="6341" spans="1:18">
      <c r="A6341" s="2" t="s">
        <v>10648</v>
      </c>
      <c r="B6341" s="2" t="s">
        <v>3338</v>
      </c>
      <c r="C6341" s="1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  <c r="L6341" s="2" t="s">
        <v>11031</v>
      </c>
      <c r="M6341" s="2" t="s">
        <v>11030</v>
      </c>
      <c r="N6341" s="2" t="s">
        <v>11037</v>
      </c>
      <c r="O6341" s="2" t="s">
        <v>11036</v>
      </c>
      <c r="P6341" s="2" t="s">
        <v>11035</v>
      </c>
      <c r="Q6341" s="2">
        <f>AVERAGE(PerfRate[[#This Row],[EnvironmentSatisfaction]],PerfRate[[#This Row],[JobSatisfaction]],PerfRate[[#This Row],[RelationshipSatisfaction]])</f>
        <v>3</v>
      </c>
      <c r="R6341" s="2">
        <f>PerfRate[[#This Row],[ManagerRating]] - PerfRate[[#This Row],[SelfRating]]</f>
        <v>-1</v>
      </c>
    </row>
    <row r="6342" spans="1:18">
      <c r="A6342" s="2" t="s">
        <v>10649</v>
      </c>
      <c r="B6342" s="2" t="s">
        <v>368</v>
      </c>
      <c r="C6342" s="1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  <c r="L6342" s="2" t="s">
        <v>11029</v>
      </c>
      <c r="M6342" s="2" t="s">
        <v>11029</v>
      </c>
      <c r="N6342" s="2" t="s">
        <v>11037</v>
      </c>
      <c r="O6342" s="2" t="s">
        <v>11035</v>
      </c>
      <c r="P6342" s="2" t="s">
        <v>11037</v>
      </c>
      <c r="Q6342" s="2">
        <f>AVERAGE(PerfRate[[#This Row],[EnvironmentSatisfaction]],PerfRate[[#This Row],[JobSatisfaction]],PerfRate[[#This Row],[RelationshipSatisfaction]])</f>
        <v>3.3333333333333335</v>
      </c>
      <c r="R6342" s="2">
        <f>PerfRate[[#This Row],[ManagerRating]] - PerfRate[[#This Row],[SelfRating]]</f>
        <v>0</v>
      </c>
    </row>
    <row r="6343" spans="1:18">
      <c r="A6343" s="2" t="s">
        <v>10650</v>
      </c>
      <c r="B6343" s="2" t="s">
        <v>287</v>
      </c>
      <c r="C6343" s="1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  <c r="L6343" s="2" t="s">
        <v>11031</v>
      </c>
      <c r="M6343" s="2" t="s">
        <v>11030</v>
      </c>
      <c r="N6343" s="2" t="s">
        <v>11035</v>
      </c>
      <c r="O6343" s="2" t="s">
        <v>11036</v>
      </c>
      <c r="P6343" s="2" t="s">
        <v>11034</v>
      </c>
      <c r="Q6343" s="2">
        <f>AVERAGE(PerfRate[[#This Row],[EnvironmentSatisfaction]],PerfRate[[#This Row],[JobSatisfaction]],PerfRate[[#This Row],[RelationshipSatisfaction]])</f>
        <v>2</v>
      </c>
      <c r="R6343" s="2">
        <f>PerfRate[[#This Row],[ManagerRating]] - PerfRate[[#This Row],[SelfRating]]</f>
        <v>-1</v>
      </c>
    </row>
    <row r="6344" spans="1:18">
      <c r="A6344" s="2" t="s">
        <v>10651</v>
      </c>
      <c r="B6344" s="2" t="s">
        <v>866</v>
      </c>
      <c r="C6344" s="1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  <c r="L6344" s="2" t="s">
        <v>11030</v>
      </c>
      <c r="M6344" s="2" t="s">
        <v>11029</v>
      </c>
      <c r="N6344" s="2" t="s">
        <v>11036</v>
      </c>
      <c r="O6344" s="2" t="s">
        <v>11036</v>
      </c>
      <c r="P6344" s="2" t="s">
        <v>11036</v>
      </c>
      <c r="Q6344" s="2">
        <f>AVERAGE(PerfRate[[#This Row],[EnvironmentSatisfaction]],PerfRate[[#This Row],[JobSatisfaction]],PerfRate[[#This Row],[RelationshipSatisfaction]])</f>
        <v>3</v>
      </c>
      <c r="R6344" s="2">
        <f>PerfRate[[#This Row],[ManagerRating]] - PerfRate[[#This Row],[SelfRating]]</f>
        <v>-1</v>
      </c>
    </row>
    <row r="6345" spans="1:18">
      <c r="A6345" s="2" t="s">
        <v>10652</v>
      </c>
      <c r="B6345" s="2" t="s">
        <v>1638</v>
      </c>
      <c r="C6345" s="1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  <c r="L6345" s="2" t="s">
        <v>11031</v>
      </c>
      <c r="M6345" s="2" t="s">
        <v>11030</v>
      </c>
      <c r="N6345" s="2" t="s">
        <v>11037</v>
      </c>
      <c r="O6345" s="2" t="s">
        <v>11037</v>
      </c>
      <c r="P6345" s="2" t="s">
        <v>11037</v>
      </c>
      <c r="Q6345" s="2">
        <f>AVERAGE(PerfRate[[#This Row],[EnvironmentSatisfaction]],PerfRate[[#This Row],[JobSatisfaction]],PerfRate[[#This Row],[RelationshipSatisfaction]])</f>
        <v>4</v>
      </c>
      <c r="R6345" s="2">
        <f>PerfRate[[#This Row],[ManagerRating]] - PerfRate[[#This Row],[SelfRating]]</f>
        <v>-1</v>
      </c>
    </row>
    <row r="6346" spans="1:18">
      <c r="A6346" s="2" t="s">
        <v>10653</v>
      </c>
      <c r="B6346" s="2" t="s">
        <v>2089</v>
      </c>
      <c r="C6346" s="1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  <c r="L6346" s="2" t="s">
        <v>11031</v>
      </c>
      <c r="M6346" s="2" t="s">
        <v>11031</v>
      </c>
      <c r="N6346" s="2" t="s">
        <v>11037</v>
      </c>
      <c r="O6346" s="2" t="s">
        <v>11036</v>
      </c>
      <c r="P6346" s="2" t="s">
        <v>11037</v>
      </c>
      <c r="Q6346" s="2">
        <f>AVERAGE(PerfRate[[#This Row],[EnvironmentSatisfaction]],PerfRate[[#This Row],[JobSatisfaction]],PerfRate[[#This Row],[RelationshipSatisfaction]])</f>
        <v>3.6666666666666665</v>
      </c>
      <c r="R6346" s="2">
        <f>PerfRate[[#This Row],[ManagerRating]] - PerfRate[[#This Row],[SelfRating]]</f>
        <v>0</v>
      </c>
    </row>
    <row r="6347" spans="1:18">
      <c r="A6347" s="2" t="s">
        <v>10654</v>
      </c>
      <c r="B6347" s="2" t="s">
        <v>1862</v>
      </c>
      <c r="C6347" s="1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  <c r="L6347" s="2" t="s">
        <v>11030</v>
      </c>
      <c r="M6347" s="2" t="s">
        <v>11030</v>
      </c>
      <c r="N6347" s="2" t="s">
        <v>11035</v>
      </c>
      <c r="O6347" s="2" t="s">
        <v>11036</v>
      </c>
      <c r="P6347" s="2" t="s">
        <v>11034</v>
      </c>
      <c r="Q6347" s="2">
        <f>AVERAGE(PerfRate[[#This Row],[EnvironmentSatisfaction]],PerfRate[[#This Row],[JobSatisfaction]],PerfRate[[#This Row],[RelationshipSatisfaction]])</f>
        <v>2</v>
      </c>
      <c r="R6347" s="2">
        <f>PerfRate[[#This Row],[ManagerRating]] - PerfRate[[#This Row],[SelfRating]]</f>
        <v>0</v>
      </c>
    </row>
    <row r="6348" spans="1:18">
      <c r="A6348" s="2" t="s">
        <v>10655</v>
      </c>
      <c r="B6348" s="2" t="s">
        <v>2378</v>
      </c>
      <c r="C6348" s="1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  <c r="L6348" s="2" t="s">
        <v>11030</v>
      </c>
      <c r="M6348" s="2" t="s">
        <v>11029</v>
      </c>
      <c r="N6348" s="2" t="s">
        <v>11036</v>
      </c>
      <c r="O6348" s="2" t="s">
        <v>11035</v>
      </c>
      <c r="P6348" s="2" t="s">
        <v>11038</v>
      </c>
      <c r="Q6348" s="2">
        <f>AVERAGE(PerfRate[[#This Row],[EnvironmentSatisfaction]],PerfRate[[#This Row],[JobSatisfaction]],PerfRate[[#This Row],[RelationshipSatisfaction]])</f>
        <v>3.3333333333333335</v>
      </c>
      <c r="R6348" s="2">
        <f>PerfRate[[#This Row],[ManagerRating]] - PerfRate[[#This Row],[SelfRating]]</f>
        <v>-1</v>
      </c>
    </row>
    <row r="6349" spans="1:18">
      <c r="A6349" s="2" t="s">
        <v>10656</v>
      </c>
      <c r="B6349" s="2" t="s">
        <v>3347</v>
      </c>
      <c r="C6349" s="1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  <c r="L6349" s="2" t="s">
        <v>11030</v>
      </c>
      <c r="M6349" s="2" t="s">
        <v>11030</v>
      </c>
      <c r="N6349" s="2" t="s">
        <v>11037</v>
      </c>
      <c r="O6349" s="2" t="s">
        <v>11038</v>
      </c>
      <c r="P6349" s="2" t="s">
        <v>11035</v>
      </c>
      <c r="Q6349" s="2">
        <f>AVERAGE(PerfRate[[#This Row],[EnvironmentSatisfaction]],PerfRate[[#This Row],[JobSatisfaction]],PerfRate[[#This Row],[RelationshipSatisfaction]])</f>
        <v>3.6666666666666665</v>
      </c>
      <c r="R6349" s="2">
        <f>PerfRate[[#This Row],[ManagerRating]] - PerfRate[[#This Row],[SelfRating]]</f>
        <v>0</v>
      </c>
    </row>
    <row r="6350" spans="1:18">
      <c r="A6350" s="2" t="s">
        <v>10657</v>
      </c>
      <c r="B6350" s="2" t="s">
        <v>1292</v>
      </c>
      <c r="C6350" s="1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  <c r="L6350" s="2" t="s">
        <v>11029</v>
      </c>
      <c r="M6350" s="2" t="s">
        <v>11029</v>
      </c>
      <c r="N6350" s="2" t="s">
        <v>11038</v>
      </c>
      <c r="O6350" s="2" t="s">
        <v>11035</v>
      </c>
      <c r="P6350" s="2" t="s">
        <v>11035</v>
      </c>
      <c r="Q6350" s="2">
        <f>AVERAGE(PerfRate[[#This Row],[EnvironmentSatisfaction]],PerfRate[[#This Row],[JobSatisfaction]],PerfRate[[#This Row],[RelationshipSatisfaction]])</f>
        <v>3</v>
      </c>
      <c r="R6350" s="2">
        <f>PerfRate[[#This Row],[ManagerRating]] - PerfRate[[#This Row],[SelfRating]]</f>
        <v>0</v>
      </c>
    </row>
    <row r="6351" spans="1:18">
      <c r="A6351" s="2" t="s">
        <v>10658</v>
      </c>
      <c r="B6351" s="2" t="s">
        <v>1647</v>
      </c>
      <c r="C6351" s="1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  <c r="L6351" s="2" t="s">
        <v>11031</v>
      </c>
      <c r="M6351" s="2" t="s">
        <v>11030</v>
      </c>
      <c r="N6351" s="2" t="s">
        <v>11038</v>
      </c>
      <c r="O6351" s="2" t="s">
        <v>11037</v>
      </c>
      <c r="P6351" s="2" t="s">
        <v>11037</v>
      </c>
      <c r="Q6351" s="2">
        <f>AVERAGE(PerfRate[[#This Row],[EnvironmentSatisfaction]],PerfRate[[#This Row],[JobSatisfaction]],PerfRate[[#This Row],[RelationshipSatisfaction]])</f>
        <v>4.333333333333333</v>
      </c>
      <c r="R6351" s="2">
        <f>PerfRate[[#This Row],[ManagerRating]] - PerfRate[[#This Row],[SelfRating]]</f>
        <v>-1</v>
      </c>
    </row>
    <row r="6352" spans="1:18">
      <c r="A6352" s="2" t="s">
        <v>10659</v>
      </c>
      <c r="B6352" s="2" t="s">
        <v>458</v>
      </c>
      <c r="C6352" s="1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  <c r="L6352" s="2" t="s">
        <v>11029</v>
      </c>
      <c r="M6352" s="2" t="s">
        <v>11028</v>
      </c>
      <c r="N6352" s="2" t="s">
        <v>11037</v>
      </c>
      <c r="O6352" s="2" t="s">
        <v>11037</v>
      </c>
      <c r="P6352" s="2" t="s">
        <v>11035</v>
      </c>
      <c r="Q6352" s="2">
        <f>AVERAGE(PerfRate[[#This Row],[EnvironmentSatisfaction]],PerfRate[[#This Row],[JobSatisfaction]],PerfRate[[#This Row],[RelationshipSatisfaction]])</f>
        <v>3.3333333333333335</v>
      </c>
      <c r="R6352" s="2">
        <f>PerfRate[[#This Row],[ManagerRating]] - PerfRate[[#This Row],[SelfRating]]</f>
        <v>-1</v>
      </c>
    </row>
    <row r="6353" spans="1:18">
      <c r="A6353" s="2" t="s">
        <v>10660</v>
      </c>
      <c r="B6353" s="2" t="s">
        <v>3212</v>
      </c>
      <c r="C6353" s="1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  <c r="L6353" s="2" t="s">
        <v>11031</v>
      </c>
      <c r="M6353" s="2" t="s">
        <v>11030</v>
      </c>
      <c r="N6353" s="2" t="s">
        <v>11038</v>
      </c>
      <c r="O6353" s="2" t="s">
        <v>11035</v>
      </c>
      <c r="P6353" s="2" t="s">
        <v>11036</v>
      </c>
      <c r="Q6353" s="2">
        <f>AVERAGE(PerfRate[[#This Row],[EnvironmentSatisfaction]],PerfRate[[#This Row],[JobSatisfaction]],PerfRate[[#This Row],[RelationshipSatisfaction]])</f>
        <v>3.3333333333333335</v>
      </c>
      <c r="R6353" s="2">
        <f>PerfRate[[#This Row],[ManagerRating]] - PerfRate[[#This Row],[SelfRating]]</f>
        <v>-1</v>
      </c>
    </row>
    <row r="6354" spans="1:18">
      <c r="A6354" s="2" t="s">
        <v>10661</v>
      </c>
      <c r="B6354" s="2" t="s">
        <v>3772</v>
      </c>
      <c r="C6354" s="1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  <c r="L6354" s="2" t="s">
        <v>11029</v>
      </c>
      <c r="M6354" s="2" t="s">
        <v>11028</v>
      </c>
      <c r="N6354" s="2" t="s">
        <v>11037</v>
      </c>
      <c r="O6354" s="2" t="s">
        <v>11035</v>
      </c>
      <c r="P6354" s="2" t="s">
        <v>11037</v>
      </c>
      <c r="Q6354" s="2">
        <f>AVERAGE(PerfRate[[#This Row],[EnvironmentSatisfaction]],PerfRate[[#This Row],[JobSatisfaction]],PerfRate[[#This Row],[RelationshipSatisfaction]])</f>
        <v>3.3333333333333335</v>
      </c>
      <c r="R6354" s="2">
        <f>PerfRate[[#This Row],[ManagerRating]] - PerfRate[[#This Row],[SelfRating]]</f>
        <v>-1</v>
      </c>
    </row>
    <row r="6355" spans="1:18">
      <c r="A6355" s="2" t="s">
        <v>10662</v>
      </c>
      <c r="B6355" s="2" t="s">
        <v>1927</v>
      </c>
      <c r="C6355" s="1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  <c r="L6355" s="2" t="s">
        <v>11029</v>
      </c>
      <c r="M6355" s="2" t="s">
        <v>11028</v>
      </c>
      <c r="N6355" s="2" t="s">
        <v>11037</v>
      </c>
      <c r="O6355" s="2" t="s">
        <v>11036</v>
      </c>
      <c r="P6355" s="2" t="s">
        <v>11035</v>
      </c>
      <c r="Q6355" s="2">
        <f>AVERAGE(PerfRate[[#This Row],[EnvironmentSatisfaction]],PerfRate[[#This Row],[JobSatisfaction]],PerfRate[[#This Row],[RelationshipSatisfaction]])</f>
        <v>3</v>
      </c>
      <c r="R6355" s="2">
        <f>PerfRate[[#This Row],[ManagerRating]] - PerfRate[[#This Row],[SelfRating]]</f>
        <v>-1</v>
      </c>
    </row>
    <row r="6356" spans="1:18">
      <c r="A6356" s="2" t="s">
        <v>10663</v>
      </c>
      <c r="B6356" s="2" t="s">
        <v>4257</v>
      </c>
      <c r="C6356" s="1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  <c r="L6356" s="2" t="s">
        <v>11029</v>
      </c>
      <c r="M6356" s="2" t="s">
        <v>11029</v>
      </c>
      <c r="N6356" s="2" t="s">
        <v>11038</v>
      </c>
      <c r="O6356" s="2" t="s">
        <v>11036</v>
      </c>
      <c r="P6356" s="2" t="s">
        <v>11037</v>
      </c>
      <c r="Q6356" s="2">
        <f>AVERAGE(PerfRate[[#This Row],[EnvironmentSatisfaction]],PerfRate[[#This Row],[JobSatisfaction]],PerfRate[[#This Row],[RelationshipSatisfaction]])</f>
        <v>4</v>
      </c>
      <c r="R6356" s="2">
        <f>PerfRate[[#This Row],[ManagerRating]] - PerfRate[[#This Row],[SelfRating]]</f>
        <v>0</v>
      </c>
    </row>
    <row r="6357" spans="1:18">
      <c r="A6357" s="2" t="s">
        <v>10664</v>
      </c>
      <c r="B6357" s="2" t="s">
        <v>109</v>
      </c>
      <c r="C6357" s="1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  <c r="L6357" s="2" t="s">
        <v>11031</v>
      </c>
      <c r="M6357" s="2" t="s">
        <v>11030</v>
      </c>
      <c r="N6357" s="2" t="s">
        <v>11038</v>
      </c>
      <c r="O6357" s="2" t="s">
        <v>11037</v>
      </c>
      <c r="P6357" s="2" t="s">
        <v>11036</v>
      </c>
      <c r="Q6357" s="2">
        <f>AVERAGE(PerfRate[[#This Row],[EnvironmentSatisfaction]],PerfRate[[#This Row],[JobSatisfaction]],PerfRate[[#This Row],[RelationshipSatisfaction]])</f>
        <v>4</v>
      </c>
      <c r="R6357" s="2">
        <f>PerfRate[[#This Row],[ManagerRating]] - PerfRate[[#This Row],[SelfRating]]</f>
        <v>-1</v>
      </c>
    </row>
    <row r="6358" spans="1:18">
      <c r="A6358" s="2" t="s">
        <v>10665</v>
      </c>
      <c r="B6358" s="2" t="s">
        <v>3365</v>
      </c>
      <c r="C6358" s="1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  <c r="L6358" s="2" t="s">
        <v>11029</v>
      </c>
      <c r="M6358" s="2" t="s">
        <v>11028</v>
      </c>
      <c r="N6358" s="2" t="s">
        <v>11036</v>
      </c>
      <c r="O6358" s="2" t="s">
        <v>11037</v>
      </c>
      <c r="P6358" s="2" t="s">
        <v>11038</v>
      </c>
      <c r="Q6358" s="2">
        <f>AVERAGE(PerfRate[[#This Row],[EnvironmentSatisfaction]],PerfRate[[#This Row],[JobSatisfaction]],PerfRate[[#This Row],[RelationshipSatisfaction]])</f>
        <v>4</v>
      </c>
      <c r="R6358" s="2">
        <f>PerfRate[[#This Row],[ManagerRating]] - PerfRate[[#This Row],[SelfRating]]</f>
        <v>-1</v>
      </c>
    </row>
    <row r="6359" spans="1:18">
      <c r="A6359" s="2" t="s">
        <v>10666</v>
      </c>
      <c r="B6359" s="2" t="s">
        <v>2351</v>
      </c>
      <c r="C6359" s="1">
        <v>41367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  <c r="L6359" s="2" t="s">
        <v>11031</v>
      </c>
      <c r="M6359" s="2" t="s">
        <v>11031</v>
      </c>
      <c r="N6359" s="2" t="s">
        <v>11036</v>
      </c>
      <c r="O6359" s="2" t="s">
        <v>11036</v>
      </c>
      <c r="P6359" s="2" t="s">
        <v>11036</v>
      </c>
      <c r="Q6359" s="2">
        <f>AVERAGE(PerfRate[[#This Row],[EnvironmentSatisfaction]],PerfRate[[#This Row],[JobSatisfaction]],PerfRate[[#This Row],[RelationshipSatisfaction]])</f>
        <v>3</v>
      </c>
      <c r="R6359" s="2">
        <f>PerfRate[[#This Row],[ManagerRating]] - PerfRate[[#This Row],[SelfRating]]</f>
        <v>0</v>
      </c>
    </row>
    <row r="6360" spans="1:18">
      <c r="A6360" s="2" t="s">
        <v>10667</v>
      </c>
      <c r="B6360" s="2" t="s">
        <v>2464</v>
      </c>
      <c r="C6360" s="1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  <c r="L6360" s="2" t="s">
        <v>11031</v>
      </c>
      <c r="M6360" s="2" t="s">
        <v>11030</v>
      </c>
      <c r="N6360" s="2" t="s">
        <v>11037</v>
      </c>
      <c r="O6360" s="2" t="s">
        <v>11036</v>
      </c>
      <c r="P6360" s="2" t="s">
        <v>11037</v>
      </c>
      <c r="Q6360" s="2">
        <f>AVERAGE(PerfRate[[#This Row],[EnvironmentSatisfaction]],PerfRate[[#This Row],[JobSatisfaction]],PerfRate[[#This Row],[RelationshipSatisfaction]])</f>
        <v>3.6666666666666665</v>
      </c>
      <c r="R6360" s="2">
        <f>PerfRate[[#This Row],[ManagerRating]] - PerfRate[[#This Row],[SelfRating]]</f>
        <v>-1</v>
      </c>
    </row>
    <row r="6361" spans="1:18">
      <c r="A6361" s="2" t="s">
        <v>10668</v>
      </c>
      <c r="B6361" s="2" t="s">
        <v>3108</v>
      </c>
      <c r="C6361" s="1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  <c r="L6361" s="2" t="s">
        <v>11029</v>
      </c>
      <c r="M6361" s="2" t="s">
        <v>11029</v>
      </c>
      <c r="N6361" s="2" t="s">
        <v>11036</v>
      </c>
      <c r="O6361" s="2" t="s">
        <v>11035</v>
      </c>
      <c r="P6361" s="2" t="s">
        <v>11038</v>
      </c>
      <c r="Q6361" s="2">
        <f>AVERAGE(PerfRate[[#This Row],[EnvironmentSatisfaction]],PerfRate[[#This Row],[JobSatisfaction]],PerfRate[[#This Row],[RelationshipSatisfaction]])</f>
        <v>3.3333333333333335</v>
      </c>
      <c r="R6361" s="2">
        <f>PerfRate[[#This Row],[ManagerRating]] - PerfRate[[#This Row],[SelfRating]]</f>
        <v>0</v>
      </c>
    </row>
    <row r="6362" spans="1:18">
      <c r="A6362" s="2" t="s">
        <v>10669</v>
      </c>
      <c r="B6362" s="2" t="s">
        <v>317</v>
      </c>
      <c r="C6362" s="1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  <c r="L6362" s="2" t="s">
        <v>11030</v>
      </c>
      <c r="M6362" s="2" t="s">
        <v>11030</v>
      </c>
      <c r="N6362" s="2" t="s">
        <v>11037</v>
      </c>
      <c r="O6362" s="2" t="s">
        <v>11038</v>
      </c>
      <c r="P6362" s="2" t="s">
        <v>11038</v>
      </c>
      <c r="Q6362" s="2">
        <f>AVERAGE(PerfRate[[#This Row],[EnvironmentSatisfaction]],PerfRate[[#This Row],[JobSatisfaction]],PerfRate[[#This Row],[RelationshipSatisfaction]])</f>
        <v>4.666666666666667</v>
      </c>
      <c r="R6362" s="2">
        <f>PerfRate[[#This Row],[ManagerRating]] - PerfRate[[#This Row],[SelfRating]]</f>
        <v>0</v>
      </c>
    </row>
    <row r="6363" spans="1:18">
      <c r="A6363" s="2" t="s">
        <v>10670</v>
      </c>
      <c r="B6363" s="2" t="s">
        <v>982</v>
      </c>
      <c r="C6363" s="1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  <c r="L6363" s="2" t="s">
        <v>11030</v>
      </c>
      <c r="M6363" s="2" t="s">
        <v>11029</v>
      </c>
      <c r="N6363" s="2" t="s">
        <v>11038</v>
      </c>
      <c r="O6363" s="2" t="s">
        <v>11037</v>
      </c>
      <c r="P6363" s="2" t="s">
        <v>11037</v>
      </c>
      <c r="Q6363" s="2">
        <f>AVERAGE(PerfRate[[#This Row],[EnvironmentSatisfaction]],PerfRate[[#This Row],[JobSatisfaction]],PerfRate[[#This Row],[RelationshipSatisfaction]])</f>
        <v>4.333333333333333</v>
      </c>
      <c r="R6363" s="2">
        <f>PerfRate[[#This Row],[ManagerRating]] - PerfRate[[#This Row],[SelfRating]]</f>
        <v>-1</v>
      </c>
    </row>
    <row r="6364" spans="1:18">
      <c r="A6364" s="2" t="s">
        <v>10671</v>
      </c>
      <c r="B6364" s="2" t="s">
        <v>3926</v>
      </c>
      <c r="C6364" s="1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  <c r="L6364" s="2" t="s">
        <v>11029</v>
      </c>
      <c r="M6364" s="2" t="s">
        <v>11028</v>
      </c>
      <c r="N6364" s="2" t="s">
        <v>11037</v>
      </c>
      <c r="O6364" s="2" t="s">
        <v>11037</v>
      </c>
      <c r="P6364" s="2" t="s">
        <v>11035</v>
      </c>
      <c r="Q6364" s="2">
        <f>AVERAGE(PerfRate[[#This Row],[EnvironmentSatisfaction]],PerfRate[[#This Row],[JobSatisfaction]],PerfRate[[#This Row],[RelationshipSatisfaction]])</f>
        <v>3.3333333333333335</v>
      </c>
      <c r="R6364" s="2">
        <f>PerfRate[[#This Row],[ManagerRating]] - PerfRate[[#This Row],[SelfRating]]</f>
        <v>-1</v>
      </c>
    </row>
    <row r="6365" spans="1:18">
      <c r="A6365" s="2" t="s">
        <v>10672</v>
      </c>
      <c r="B6365" s="2" t="s">
        <v>961</v>
      </c>
      <c r="C6365" s="1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  <c r="L6365" s="2" t="s">
        <v>11030</v>
      </c>
      <c r="M6365" s="2" t="s">
        <v>11030</v>
      </c>
      <c r="N6365" s="2" t="s">
        <v>11037</v>
      </c>
      <c r="O6365" s="2" t="s">
        <v>11038</v>
      </c>
      <c r="P6365" s="2" t="s">
        <v>11038</v>
      </c>
      <c r="Q6365" s="2">
        <f>AVERAGE(PerfRate[[#This Row],[EnvironmentSatisfaction]],PerfRate[[#This Row],[JobSatisfaction]],PerfRate[[#This Row],[RelationshipSatisfaction]])</f>
        <v>4.666666666666667</v>
      </c>
      <c r="R6365" s="2">
        <f>PerfRate[[#This Row],[ManagerRating]] - PerfRate[[#This Row],[SelfRating]]</f>
        <v>0</v>
      </c>
    </row>
    <row r="6366" spans="1:18">
      <c r="A6366" s="2" t="s">
        <v>10673</v>
      </c>
      <c r="B6366" s="2" t="s">
        <v>1520</v>
      </c>
      <c r="C6366" s="1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  <c r="L6366" s="2" t="s">
        <v>11030</v>
      </c>
      <c r="M6366" s="2" t="s">
        <v>11029</v>
      </c>
      <c r="N6366" s="2" t="s">
        <v>11038</v>
      </c>
      <c r="O6366" s="2" t="s">
        <v>11038</v>
      </c>
      <c r="P6366" s="2" t="s">
        <v>11036</v>
      </c>
      <c r="Q6366" s="2">
        <f>AVERAGE(PerfRate[[#This Row],[EnvironmentSatisfaction]],PerfRate[[#This Row],[JobSatisfaction]],PerfRate[[#This Row],[RelationshipSatisfaction]])</f>
        <v>4.333333333333333</v>
      </c>
      <c r="R6366" s="2">
        <f>PerfRate[[#This Row],[ManagerRating]] - PerfRate[[#This Row],[SelfRating]]</f>
        <v>-1</v>
      </c>
    </row>
    <row r="6367" spans="1:18">
      <c r="A6367" s="2" t="s">
        <v>10674</v>
      </c>
      <c r="B6367" s="2" t="s">
        <v>350</v>
      </c>
      <c r="C6367" s="1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  <c r="L6367" s="2" t="s">
        <v>11030</v>
      </c>
      <c r="M6367" s="2" t="s">
        <v>11030</v>
      </c>
      <c r="N6367" s="2" t="s">
        <v>11037</v>
      </c>
      <c r="O6367" s="2" t="s">
        <v>11035</v>
      </c>
      <c r="P6367" s="2" t="s">
        <v>11035</v>
      </c>
      <c r="Q6367" s="2">
        <f>AVERAGE(PerfRate[[#This Row],[EnvironmentSatisfaction]],PerfRate[[#This Row],[JobSatisfaction]],PerfRate[[#This Row],[RelationshipSatisfaction]])</f>
        <v>2.6666666666666665</v>
      </c>
      <c r="R6367" s="2">
        <f>PerfRate[[#This Row],[ManagerRating]] - PerfRate[[#This Row],[SelfRating]]</f>
        <v>0</v>
      </c>
    </row>
    <row r="6368" spans="1:18">
      <c r="A6368" s="2" t="s">
        <v>10675</v>
      </c>
      <c r="B6368" s="2" t="s">
        <v>3023</v>
      </c>
      <c r="C6368" s="1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  <c r="L6368" s="2" t="s">
        <v>11031</v>
      </c>
      <c r="M6368" s="2" t="s">
        <v>11031</v>
      </c>
      <c r="N6368" s="2" t="s">
        <v>11036</v>
      </c>
      <c r="O6368" s="2" t="s">
        <v>11038</v>
      </c>
      <c r="P6368" s="2" t="s">
        <v>11035</v>
      </c>
      <c r="Q6368" s="2">
        <f>AVERAGE(PerfRate[[#This Row],[EnvironmentSatisfaction]],PerfRate[[#This Row],[JobSatisfaction]],PerfRate[[#This Row],[RelationshipSatisfaction]])</f>
        <v>3.3333333333333335</v>
      </c>
      <c r="R6368" s="2">
        <f>PerfRate[[#This Row],[ManagerRating]] - PerfRate[[#This Row],[SelfRating]]</f>
        <v>0</v>
      </c>
    </row>
    <row r="6369" spans="1:18">
      <c r="A6369" s="2" t="s">
        <v>10676</v>
      </c>
      <c r="B6369" s="2" t="s">
        <v>3256</v>
      </c>
      <c r="C6369" s="1">
        <v>42010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  <c r="L6369" s="2" t="s">
        <v>11029</v>
      </c>
      <c r="M6369" s="2" t="s">
        <v>11029</v>
      </c>
      <c r="N6369" s="2" t="s">
        <v>11038</v>
      </c>
      <c r="O6369" s="2" t="s">
        <v>11037</v>
      </c>
      <c r="P6369" s="2" t="s">
        <v>11036</v>
      </c>
      <c r="Q6369" s="2">
        <f>AVERAGE(PerfRate[[#This Row],[EnvironmentSatisfaction]],PerfRate[[#This Row],[JobSatisfaction]],PerfRate[[#This Row],[RelationshipSatisfaction]])</f>
        <v>4</v>
      </c>
      <c r="R6369" s="2">
        <f>PerfRate[[#This Row],[ManagerRating]] - PerfRate[[#This Row],[SelfRating]]</f>
        <v>0</v>
      </c>
    </row>
    <row r="6370" spans="1:18">
      <c r="A6370" s="2" t="s">
        <v>10677</v>
      </c>
      <c r="B6370" s="2" t="s">
        <v>550</v>
      </c>
      <c r="C6370" s="1">
        <v>41367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  <c r="L6370" s="2" t="s">
        <v>11031</v>
      </c>
      <c r="M6370" s="2" t="s">
        <v>11031</v>
      </c>
      <c r="N6370" s="2" t="s">
        <v>11036</v>
      </c>
      <c r="O6370" s="2" t="s">
        <v>11038</v>
      </c>
      <c r="P6370" s="2" t="s">
        <v>11035</v>
      </c>
      <c r="Q6370" s="2">
        <f>AVERAGE(PerfRate[[#This Row],[EnvironmentSatisfaction]],PerfRate[[#This Row],[JobSatisfaction]],PerfRate[[#This Row],[RelationshipSatisfaction]])</f>
        <v>3.3333333333333335</v>
      </c>
      <c r="R6370" s="2">
        <f>PerfRate[[#This Row],[ManagerRating]] - PerfRate[[#This Row],[SelfRating]]</f>
        <v>0</v>
      </c>
    </row>
    <row r="6371" spans="1:18">
      <c r="A6371" s="2" t="s">
        <v>10678</v>
      </c>
      <c r="B6371" s="2" t="s">
        <v>131</v>
      </c>
      <c r="C6371" s="1">
        <v>42041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  <c r="L6371" s="2" t="s">
        <v>11029</v>
      </c>
      <c r="M6371" s="2" t="s">
        <v>11029</v>
      </c>
      <c r="N6371" s="2" t="s">
        <v>11037</v>
      </c>
      <c r="O6371" s="2" t="s">
        <v>11036</v>
      </c>
      <c r="P6371" s="2" t="s">
        <v>11037</v>
      </c>
      <c r="Q6371" s="2">
        <f>AVERAGE(PerfRate[[#This Row],[EnvironmentSatisfaction]],PerfRate[[#This Row],[JobSatisfaction]],PerfRate[[#This Row],[RelationshipSatisfaction]])</f>
        <v>3.6666666666666665</v>
      </c>
      <c r="R6371" s="2">
        <f>PerfRate[[#This Row],[ManagerRating]] - PerfRate[[#This Row],[SelfRating]]</f>
        <v>0</v>
      </c>
    </row>
    <row r="6372" spans="1:18">
      <c r="A6372" s="2" t="s">
        <v>10679</v>
      </c>
      <c r="B6372" s="2" t="s">
        <v>4263</v>
      </c>
      <c r="C6372" s="1">
        <v>42130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  <c r="L6372" s="2" t="s">
        <v>11031</v>
      </c>
      <c r="M6372" s="2" t="s">
        <v>11031</v>
      </c>
      <c r="N6372" s="2" t="s">
        <v>11037</v>
      </c>
      <c r="O6372" s="2" t="s">
        <v>11036</v>
      </c>
      <c r="P6372" s="2" t="s">
        <v>11038</v>
      </c>
      <c r="Q6372" s="2">
        <f>AVERAGE(PerfRate[[#This Row],[EnvironmentSatisfaction]],PerfRate[[#This Row],[JobSatisfaction]],PerfRate[[#This Row],[RelationshipSatisfaction]])</f>
        <v>4</v>
      </c>
      <c r="R6372" s="2">
        <f>PerfRate[[#This Row],[ManagerRating]] - PerfRate[[#This Row],[SelfRating]]</f>
        <v>0</v>
      </c>
    </row>
    <row r="6373" spans="1:18">
      <c r="A6373" s="2" t="s">
        <v>10680</v>
      </c>
      <c r="B6373" s="2" t="s">
        <v>437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  <c r="L6373" s="2" t="s">
        <v>11030</v>
      </c>
      <c r="M6373" s="2" t="s">
        <v>11029</v>
      </c>
      <c r="N6373" s="2" t="s">
        <v>11037</v>
      </c>
      <c r="O6373" s="2" t="s">
        <v>11038</v>
      </c>
      <c r="P6373" s="2" t="s">
        <v>11038</v>
      </c>
      <c r="Q6373" s="2">
        <f>AVERAGE(PerfRate[[#This Row],[EnvironmentSatisfaction]],PerfRate[[#This Row],[JobSatisfaction]],PerfRate[[#This Row],[RelationshipSatisfaction]])</f>
        <v>4.666666666666667</v>
      </c>
      <c r="R6373" s="2">
        <f>PerfRate[[#This Row],[ManagerRating]] - PerfRate[[#This Row],[SelfRating]]</f>
        <v>-1</v>
      </c>
    </row>
    <row r="6374" spans="1:18">
      <c r="A6374" s="2" t="s">
        <v>10681</v>
      </c>
      <c r="B6374" s="2" t="s">
        <v>3673</v>
      </c>
      <c r="C6374" s="1">
        <v>42191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  <c r="L6374" s="2" t="s">
        <v>11030</v>
      </c>
      <c r="M6374" s="2" t="s">
        <v>11030</v>
      </c>
      <c r="N6374" s="2" t="s">
        <v>11038</v>
      </c>
      <c r="O6374" s="2" t="s">
        <v>11037</v>
      </c>
      <c r="P6374" s="2" t="s">
        <v>11038</v>
      </c>
      <c r="Q6374" s="2">
        <f>AVERAGE(PerfRate[[#This Row],[EnvironmentSatisfaction]],PerfRate[[#This Row],[JobSatisfaction]],PerfRate[[#This Row],[RelationshipSatisfaction]])</f>
        <v>4.666666666666667</v>
      </c>
      <c r="R6374" s="2">
        <f>PerfRate[[#This Row],[ManagerRating]] - PerfRate[[#This Row],[SelfRating]]</f>
        <v>0</v>
      </c>
    </row>
    <row r="6375" spans="1:18">
      <c r="A6375" s="2" t="s">
        <v>10682</v>
      </c>
      <c r="B6375" s="2" t="s">
        <v>416</v>
      </c>
      <c r="C6375" s="1">
        <v>42283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  <c r="L6375" s="2" t="s">
        <v>11030</v>
      </c>
      <c r="M6375" s="2" t="s">
        <v>11030</v>
      </c>
      <c r="N6375" s="2" t="s">
        <v>11038</v>
      </c>
      <c r="O6375" s="2" t="s">
        <v>11038</v>
      </c>
      <c r="P6375" s="2" t="s">
        <v>11037</v>
      </c>
      <c r="Q6375" s="2">
        <f>AVERAGE(PerfRate[[#This Row],[EnvironmentSatisfaction]],PerfRate[[#This Row],[JobSatisfaction]],PerfRate[[#This Row],[RelationshipSatisfaction]])</f>
        <v>4.666666666666667</v>
      </c>
      <c r="R6375" s="2">
        <f>PerfRate[[#This Row],[ManagerRating]] - PerfRate[[#This Row],[SelfRating]]</f>
        <v>0</v>
      </c>
    </row>
    <row r="6376" spans="1:18">
      <c r="A6376" s="2" t="s">
        <v>10683</v>
      </c>
      <c r="B6376" s="2" t="s">
        <v>229</v>
      </c>
      <c r="C6376" s="1">
        <v>42283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  <c r="L6376" s="2" t="s">
        <v>11031</v>
      </c>
      <c r="M6376" s="2" t="s">
        <v>11031</v>
      </c>
      <c r="N6376" s="2" t="s">
        <v>11037</v>
      </c>
      <c r="O6376" s="2" t="s">
        <v>11038</v>
      </c>
      <c r="P6376" s="2" t="s">
        <v>11037</v>
      </c>
      <c r="Q6376" s="2">
        <f>AVERAGE(PerfRate[[#This Row],[EnvironmentSatisfaction]],PerfRate[[#This Row],[JobSatisfaction]],PerfRate[[#This Row],[RelationshipSatisfaction]])</f>
        <v>4.333333333333333</v>
      </c>
      <c r="R6376" s="2">
        <f>PerfRate[[#This Row],[ManagerRating]] - PerfRate[[#This Row],[SelfRating]]</f>
        <v>0</v>
      </c>
    </row>
    <row r="6377" spans="1:18">
      <c r="A6377" s="2" t="s">
        <v>10684</v>
      </c>
      <c r="B6377" s="2" t="s">
        <v>247</v>
      </c>
      <c r="C6377" s="1">
        <v>42314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  <c r="L6377" s="2" t="s">
        <v>11031</v>
      </c>
      <c r="M6377" s="2" t="s">
        <v>11031</v>
      </c>
      <c r="N6377" s="2" t="s">
        <v>11036</v>
      </c>
      <c r="O6377" s="2" t="s">
        <v>11036</v>
      </c>
      <c r="P6377" s="2" t="s">
        <v>11038</v>
      </c>
      <c r="Q6377" s="2">
        <f>AVERAGE(PerfRate[[#This Row],[EnvironmentSatisfaction]],PerfRate[[#This Row],[JobSatisfaction]],PerfRate[[#This Row],[RelationshipSatisfaction]])</f>
        <v>3.6666666666666665</v>
      </c>
      <c r="R6377" s="2">
        <f>PerfRate[[#This Row],[ManagerRating]] - PerfRate[[#This Row],[SelfRating]]</f>
        <v>0</v>
      </c>
    </row>
    <row r="6378" spans="1:18">
      <c r="A6378" s="2" t="s">
        <v>10685</v>
      </c>
      <c r="B6378" s="2" t="s">
        <v>1724</v>
      </c>
      <c r="C6378" s="1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  <c r="L6378" s="2" t="s">
        <v>11031</v>
      </c>
      <c r="M6378" s="2" t="s">
        <v>11031</v>
      </c>
      <c r="N6378" s="2" t="s">
        <v>11036</v>
      </c>
      <c r="O6378" s="2" t="s">
        <v>11036</v>
      </c>
      <c r="P6378" s="2" t="s">
        <v>11035</v>
      </c>
      <c r="Q6378" s="2">
        <f>AVERAGE(PerfRate[[#This Row],[EnvironmentSatisfaction]],PerfRate[[#This Row],[JobSatisfaction]],PerfRate[[#This Row],[RelationshipSatisfaction]])</f>
        <v>2.6666666666666665</v>
      </c>
      <c r="R6378" s="2">
        <f>PerfRate[[#This Row],[ManagerRating]] - PerfRate[[#This Row],[SelfRating]]</f>
        <v>0</v>
      </c>
    </row>
    <row r="6379" spans="1:18">
      <c r="A6379" s="2" t="s">
        <v>10686</v>
      </c>
      <c r="B6379" s="2" t="s">
        <v>3829</v>
      </c>
      <c r="C6379" s="1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  <c r="L6379" s="2" t="s">
        <v>11031</v>
      </c>
      <c r="M6379" s="2" t="s">
        <v>11031</v>
      </c>
      <c r="N6379" s="2" t="s">
        <v>11036</v>
      </c>
      <c r="O6379" s="2" t="s">
        <v>11035</v>
      </c>
      <c r="P6379" s="2" t="s">
        <v>11038</v>
      </c>
      <c r="Q6379" s="2">
        <f>AVERAGE(PerfRate[[#This Row],[EnvironmentSatisfaction]],PerfRate[[#This Row],[JobSatisfaction]],PerfRate[[#This Row],[RelationshipSatisfaction]])</f>
        <v>3.3333333333333335</v>
      </c>
      <c r="R6379" s="2">
        <f>PerfRate[[#This Row],[ManagerRating]] - PerfRate[[#This Row],[SelfRating]]</f>
        <v>0</v>
      </c>
    </row>
    <row r="6380" spans="1:18">
      <c r="A6380" s="2" t="s">
        <v>10687</v>
      </c>
      <c r="B6380" s="2" t="s">
        <v>3254</v>
      </c>
      <c r="C6380" s="1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  <c r="L6380" s="2" t="s">
        <v>11031</v>
      </c>
      <c r="M6380" s="2" t="s">
        <v>11031</v>
      </c>
      <c r="N6380" s="2" t="s">
        <v>11036</v>
      </c>
      <c r="O6380" s="2" t="s">
        <v>11035</v>
      </c>
      <c r="P6380" s="2" t="s">
        <v>11036</v>
      </c>
      <c r="Q6380" s="2">
        <f>AVERAGE(PerfRate[[#This Row],[EnvironmentSatisfaction]],PerfRate[[#This Row],[JobSatisfaction]],PerfRate[[#This Row],[RelationshipSatisfaction]])</f>
        <v>2.6666666666666665</v>
      </c>
      <c r="R6380" s="2">
        <f>PerfRate[[#This Row],[ManagerRating]] - PerfRate[[#This Row],[SelfRating]]</f>
        <v>0</v>
      </c>
    </row>
    <row r="6381" spans="1:18">
      <c r="A6381" s="2" t="s">
        <v>10688</v>
      </c>
      <c r="B6381" s="2" t="s">
        <v>1704</v>
      </c>
      <c r="C6381" s="1">
        <v>41367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  <c r="L6381" s="2" t="s">
        <v>11031</v>
      </c>
      <c r="M6381" s="2" t="s">
        <v>11031</v>
      </c>
      <c r="N6381" s="2" t="s">
        <v>11038</v>
      </c>
      <c r="O6381" s="2" t="s">
        <v>11036</v>
      </c>
      <c r="P6381" s="2" t="s">
        <v>11035</v>
      </c>
      <c r="Q6381" s="2">
        <f>AVERAGE(PerfRate[[#This Row],[EnvironmentSatisfaction]],PerfRate[[#This Row],[JobSatisfaction]],PerfRate[[#This Row],[RelationshipSatisfaction]])</f>
        <v>3.3333333333333335</v>
      </c>
      <c r="R6381" s="2">
        <f>PerfRate[[#This Row],[ManagerRating]] - PerfRate[[#This Row],[SelfRating]]</f>
        <v>0</v>
      </c>
    </row>
    <row r="6382" spans="1:18">
      <c r="A6382" s="2" t="s">
        <v>10689</v>
      </c>
      <c r="B6382" s="2" t="s">
        <v>440</v>
      </c>
      <c r="C6382" s="1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  <c r="L6382" s="2" t="s">
        <v>11030</v>
      </c>
      <c r="M6382" s="2" t="s">
        <v>11030</v>
      </c>
      <c r="N6382" s="2" t="s">
        <v>11038</v>
      </c>
      <c r="O6382" s="2" t="s">
        <v>11035</v>
      </c>
      <c r="P6382" s="2" t="s">
        <v>11038</v>
      </c>
      <c r="Q6382" s="2">
        <f>AVERAGE(PerfRate[[#This Row],[EnvironmentSatisfaction]],PerfRate[[#This Row],[JobSatisfaction]],PerfRate[[#This Row],[RelationshipSatisfaction]])</f>
        <v>4</v>
      </c>
      <c r="R6382" s="2">
        <f>PerfRate[[#This Row],[ManagerRating]] - PerfRate[[#This Row],[SelfRating]]</f>
        <v>0</v>
      </c>
    </row>
    <row r="6383" spans="1:18">
      <c r="A6383" s="2" t="s">
        <v>10690</v>
      </c>
      <c r="B6383" s="2" t="s">
        <v>374</v>
      </c>
      <c r="C6383" s="1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  <c r="L6383" s="2" t="s">
        <v>11029</v>
      </c>
      <c r="M6383" s="2" t="s">
        <v>11028</v>
      </c>
      <c r="N6383" s="2" t="s">
        <v>11037</v>
      </c>
      <c r="O6383" s="2" t="s">
        <v>11037</v>
      </c>
      <c r="P6383" s="2" t="s">
        <v>11035</v>
      </c>
      <c r="Q6383" s="2">
        <f>AVERAGE(PerfRate[[#This Row],[EnvironmentSatisfaction]],PerfRate[[#This Row],[JobSatisfaction]],PerfRate[[#This Row],[RelationshipSatisfaction]])</f>
        <v>3.3333333333333335</v>
      </c>
      <c r="R6383" s="2">
        <f>PerfRate[[#This Row],[ManagerRating]] - PerfRate[[#This Row],[SelfRating]]</f>
        <v>-1</v>
      </c>
    </row>
    <row r="6384" spans="1:18">
      <c r="A6384" s="2" t="s">
        <v>10691</v>
      </c>
      <c r="B6384" s="2" t="s">
        <v>344</v>
      </c>
      <c r="C6384" s="1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  <c r="L6384" s="2" t="s">
        <v>11029</v>
      </c>
      <c r="M6384" s="2" t="s">
        <v>11028</v>
      </c>
      <c r="N6384" s="2" t="s">
        <v>11037</v>
      </c>
      <c r="O6384" s="2" t="s">
        <v>11037</v>
      </c>
      <c r="P6384" s="2" t="s">
        <v>11036</v>
      </c>
      <c r="Q6384" s="2">
        <f>AVERAGE(PerfRate[[#This Row],[EnvironmentSatisfaction]],PerfRate[[#This Row],[JobSatisfaction]],PerfRate[[#This Row],[RelationshipSatisfaction]])</f>
        <v>3.6666666666666665</v>
      </c>
      <c r="R6384" s="2">
        <f>PerfRate[[#This Row],[ManagerRating]] - PerfRate[[#This Row],[SelfRating]]</f>
        <v>-1</v>
      </c>
    </row>
    <row r="6385" spans="1:18">
      <c r="A6385" s="2" t="s">
        <v>10692</v>
      </c>
      <c r="B6385" s="2" t="s">
        <v>293</v>
      </c>
      <c r="C6385" s="1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  <c r="L6385" s="2" t="s">
        <v>11029</v>
      </c>
      <c r="M6385" s="2" t="s">
        <v>11029</v>
      </c>
      <c r="N6385" s="2" t="s">
        <v>11036</v>
      </c>
      <c r="O6385" s="2" t="s">
        <v>11036</v>
      </c>
      <c r="P6385" s="2" t="s">
        <v>11037</v>
      </c>
      <c r="Q6385" s="2">
        <f>AVERAGE(PerfRate[[#This Row],[EnvironmentSatisfaction]],PerfRate[[#This Row],[JobSatisfaction]],PerfRate[[#This Row],[RelationshipSatisfaction]])</f>
        <v>3.3333333333333335</v>
      </c>
      <c r="R6385" s="2">
        <f>PerfRate[[#This Row],[ManagerRating]] - PerfRate[[#This Row],[SelfRating]]</f>
        <v>0</v>
      </c>
    </row>
    <row r="6386" spans="1:18">
      <c r="A6386" s="2" t="s">
        <v>10693</v>
      </c>
      <c r="B6386" s="2" t="s">
        <v>931</v>
      </c>
      <c r="C6386" s="1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  <c r="L6386" s="2" t="s">
        <v>11030</v>
      </c>
      <c r="M6386" s="2" t="s">
        <v>11029</v>
      </c>
      <c r="N6386" s="2" t="s">
        <v>11037</v>
      </c>
      <c r="O6386" s="2" t="s">
        <v>11036</v>
      </c>
      <c r="P6386" s="2" t="s">
        <v>11038</v>
      </c>
      <c r="Q6386" s="2">
        <f>AVERAGE(PerfRate[[#This Row],[EnvironmentSatisfaction]],PerfRate[[#This Row],[JobSatisfaction]],PerfRate[[#This Row],[RelationshipSatisfaction]])</f>
        <v>4</v>
      </c>
      <c r="R6386" s="2">
        <f>PerfRate[[#This Row],[ManagerRating]] - PerfRate[[#This Row],[SelfRating]]</f>
        <v>-1</v>
      </c>
    </row>
    <row r="6387" spans="1:18">
      <c r="A6387" s="2" t="s">
        <v>10694</v>
      </c>
      <c r="B6387" s="2" t="s">
        <v>2672</v>
      </c>
      <c r="C6387" s="1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  <c r="L6387" s="2" t="s">
        <v>11031</v>
      </c>
      <c r="M6387" s="2" t="s">
        <v>11030</v>
      </c>
      <c r="N6387" s="2" t="s">
        <v>11037</v>
      </c>
      <c r="O6387" s="2" t="s">
        <v>11037</v>
      </c>
      <c r="P6387" s="2" t="s">
        <v>11036</v>
      </c>
      <c r="Q6387" s="2">
        <f>AVERAGE(PerfRate[[#This Row],[EnvironmentSatisfaction]],PerfRate[[#This Row],[JobSatisfaction]],PerfRate[[#This Row],[RelationshipSatisfaction]])</f>
        <v>3.6666666666666665</v>
      </c>
      <c r="R6387" s="2">
        <f>PerfRate[[#This Row],[ManagerRating]] - PerfRate[[#This Row],[SelfRating]]</f>
        <v>-1</v>
      </c>
    </row>
    <row r="6388" spans="1:18">
      <c r="A6388" s="2" t="s">
        <v>10695</v>
      </c>
      <c r="B6388" s="2" t="s">
        <v>217</v>
      </c>
      <c r="C6388" s="1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  <c r="L6388" s="2" t="s">
        <v>11029</v>
      </c>
      <c r="M6388" s="2" t="s">
        <v>11029</v>
      </c>
      <c r="N6388" s="2" t="s">
        <v>11036</v>
      </c>
      <c r="O6388" s="2" t="s">
        <v>11036</v>
      </c>
      <c r="P6388" s="2" t="s">
        <v>11035</v>
      </c>
      <c r="Q6388" s="2">
        <f>AVERAGE(PerfRate[[#This Row],[EnvironmentSatisfaction]],PerfRate[[#This Row],[JobSatisfaction]],PerfRate[[#This Row],[RelationshipSatisfaction]])</f>
        <v>2.6666666666666665</v>
      </c>
      <c r="R6388" s="2">
        <f>PerfRate[[#This Row],[ManagerRating]] - PerfRate[[#This Row],[SelfRating]]</f>
        <v>0</v>
      </c>
    </row>
    <row r="6389" spans="1:18">
      <c r="A6389" s="2" t="s">
        <v>10696</v>
      </c>
      <c r="B6389" s="2" t="s">
        <v>195</v>
      </c>
      <c r="C6389" s="1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  <c r="L6389" s="2" t="s">
        <v>11029</v>
      </c>
      <c r="M6389" s="2" t="s">
        <v>11028</v>
      </c>
      <c r="N6389" s="2" t="s">
        <v>11036</v>
      </c>
      <c r="O6389" s="2" t="s">
        <v>11035</v>
      </c>
      <c r="P6389" s="2" t="s">
        <v>11035</v>
      </c>
      <c r="Q6389" s="2">
        <f>AVERAGE(PerfRate[[#This Row],[EnvironmentSatisfaction]],PerfRate[[#This Row],[JobSatisfaction]],PerfRate[[#This Row],[RelationshipSatisfaction]])</f>
        <v>2.3333333333333335</v>
      </c>
      <c r="R6389" s="2">
        <f>PerfRate[[#This Row],[ManagerRating]] - PerfRate[[#This Row],[SelfRating]]</f>
        <v>-1</v>
      </c>
    </row>
    <row r="6390" spans="1:18">
      <c r="A6390" s="2" t="s">
        <v>10697</v>
      </c>
      <c r="B6390" s="2" t="s">
        <v>487</v>
      </c>
      <c r="C6390" s="1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  <c r="L6390" s="2" t="s">
        <v>11030</v>
      </c>
      <c r="M6390" s="2" t="s">
        <v>11029</v>
      </c>
      <c r="N6390" s="2" t="s">
        <v>11037</v>
      </c>
      <c r="O6390" s="2" t="s">
        <v>11038</v>
      </c>
      <c r="P6390" s="2" t="s">
        <v>11036</v>
      </c>
      <c r="Q6390" s="2">
        <f>AVERAGE(PerfRate[[#This Row],[EnvironmentSatisfaction]],PerfRate[[#This Row],[JobSatisfaction]],PerfRate[[#This Row],[RelationshipSatisfaction]])</f>
        <v>4</v>
      </c>
      <c r="R6390" s="2">
        <f>PerfRate[[#This Row],[ManagerRating]] - PerfRate[[#This Row],[SelfRating]]</f>
        <v>-1</v>
      </c>
    </row>
    <row r="6391" spans="1:18">
      <c r="A6391" s="2" t="s">
        <v>10698</v>
      </c>
      <c r="B6391" s="2" t="s">
        <v>329</v>
      </c>
      <c r="C6391" s="1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  <c r="L6391" s="2" t="s">
        <v>11029</v>
      </c>
      <c r="M6391" s="2" t="s">
        <v>11029</v>
      </c>
      <c r="N6391" s="2" t="s">
        <v>11037</v>
      </c>
      <c r="O6391" s="2" t="s">
        <v>11036</v>
      </c>
      <c r="P6391" s="2" t="s">
        <v>11037</v>
      </c>
      <c r="Q6391" s="2">
        <f>AVERAGE(PerfRate[[#This Row],[EnvironmentSatisfaction]],PerfRate[[#This Row],[JobSatisfaction]],PerfRate[[#This Row],[RelationshipSatisfaction]])</f>
        <v>3.6666666666666665</v>
      </c>
      <c r="R6391" s="2">
        <f>PerfRate[[#This Row],[ManagerRating]] - PerfRate[[#This Row],[SelfRating]]</f>
        <v>0</v>
      </c>
    </row>
    <row r="6392" spans="1:18">
      <c r="A6392" s="2" t="s">
        <v>10699</v>
      </c>
      <c r="B6392" s="2" t="s">
        <v>580</v>
      </c>
      <c r="C6392" s="1">
        <v>41428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  <c r="L6392" s="2" t="s">
        <v>11031</v>
      </c>
      <c r="M6392" s="2" t="s">
        <v>11031</v>
      </c>
      <c r="N6392" s="2" t="s">
        <v>11037</v>
      </c>
      <c r="O6392" s="2" t="s">
        <v>11036</v>
      </c>
      <c r="P6392" s="2" t="s">
        <v>11035</v>
      </c>
      <c r="Q6392" s="2">
        <f>AVERAGE(PerfRate[[#This Row],[EnvironmentSatisfaction]],PerfRate[[#This Row],[JobSatisfaction]],PerfRate[[#This Row],[RelationshipSatisfaction]])</f>
        <v>3</v>
      </c>
      <c r="R6392" s="2">
        <f>PerfRate[[#This Row],[ManagerRating]] - PerfRate[[#This Row],[SelfRating]]</f>
        <v>0</v>
      </c>
    </row>
    <row r="6393" spans="1:18">
      <c r="A6393" s="2" t="s">
        <v>10700</v>
      </c>
      <c r="B6393" s="2" t="s">
        <v>434</v>
      </c>
      <c r="C6393" s="1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  <c r="L6393" s="2" t="s">
        <v>11029</v>
      </c>
      <c r="M6393" s="2" t="s">
        <v>11029</v>
      </c>
      <c r="N6393" s="2" t="s">
        <v>11037</v>
      </c>
      <c r="O6393" s="2" t="s">
        <v>11035</v>
      </c>
      <c r="P6393" s="2" t="s">
        <v>11036</v>
      </c>
      <c r="Q6393" s="2">
        <f>AVERAGE(PerfRate[[#This Row],[EnvironmentSatisfaction]],PerfRate[[#This Row],[JobSatisfaction]],PerfRate[[#This Row],[RelationshipSatisfaction]])</f>
        <v>3</v>
      </c>
      <c r="R6393" s="2">
        <f>PerfRate[[#This Row],[ManagerRating]] - PerfRate[[#This Row],[SelfRating]]</f>
        <v>0</v>
      </c>
    </row>
    <row r="6394" spans="1:18">
      <c r="A6394" s="2" t="s">
        <v>10701</v>
      </c>
      <c r="B6394" s="2" t="s">
        <v>443</v>
      </c>
      <c r="C6394" s="1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  <c r="L6394" s="2" t="s">
        <v>11030</v>
      </c>
      <c r="M6394" s="2" t="s">
        <v>11029</v>
      </c>
      <c r="N6394" s="2" t="s">
        <v>11036</v>
      </c>
      <c r="O6394" s="2" t="s">
        <v>11037</v>
      </c>
      <c r="P6394" s="2" t="s">
        <v>11035</v>
      </c>
      <c r="Q6394" s="2">
        <f>AVERAGE(PerfRate[[#This Row],[EnvironmentSatisfaction]],PerfRate[[#This Row],[JobSatisfaction]],PerfRate[[#This Row],[RelationshipSatisfaction]])</f>
        <v>3</v>
      </c>
      <c r="R6394" s="2">
        <f>PerfRate[[#This Row],[ManagerRating]] - PerfRate[[#This Row],[SelfRating]]</f>
        <v>-1</v>
      </c>
    </row>
    <row r="6395" spans="1:18">
      <c r="A6395" s="2" t="s">
        <v>10702</v>
      </c>
      <c r="B6395" s="2" t="s">
        <v>332</v>
      </c>
      <c r="C6395" s="1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  <c r="L6395" s="2" t="s">
        <v>11031</v>
      </c>
      <c r="M6395" s="2" t="s">
        <v>11031</v>
      </c>
      <c r="N6395" s="2" t="s">
        <v>11036</v>
      </c>
      <c r="O6395" s="2" t="s">
        <v>11036</v>
      </c>
      <c r="P6395" s="2" t="s">
        <v>11038</v>
      </c>
      <c r="Q6395" s="2">
        <f>AVERAGE(PerfRate[[#This Row],[EnvironmentSatisfaction]],PerfRate[[#This Row],[JobSatisfaction]],PerfRate[[#This Row],[RelationshipSatisfaction]])</f>
        <v>3.6666666666666665</v>
      </c>
      <c r="R6395" s="2">
        <f>PerfRate[[#This Row],[ManagerRating]] - PerfRate[[#This Row],[SelfRating]]</f>
        <v>0</v>
      </c>
    </row>
    <row r="6396" spans="1:18">
      <c r="A6396" s="2" t="s">
        <v>10703</v>
      </c>
      <c r="B6396" s="2" t="s">
        <v>1657</v>
      </c>
      <c r="C6396" s="1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  <c r="L6396" s="2" t="s">
        <v>11031</v>
      </c>
      <c r="M6396" s="2" t="s">
        <v>11031</v>
      </c>
      <c r="N6396" s="2" t="s">
        <v>11038</v>
      </c>
      <c r="O6396" s="2" t="s">
        <v>11038</v>
      </c>
      <c r="P6396" s="2" t="s">
        <v>11035</v>
      </c>
      <c r="Q6396" s="2">
        <f>AVERAGE(PerfRate[[#This Row],[EnvironmentSatisfaction]],PerfRate[[#This Row],[JobSatisfaction]],PerfRate[[#This Row],[RelationshipSatisfaction]])</f>
        <v>4</v>
      </c>
      <c r="R6396" s="2">
        <f>PerfRate[[#This Row],[ManagerRating]] - PerfRate[[#This Row],[SelfRating]]</f>
        <v>0</v>
      </c>
    </row>
    <row r="6397" spans="1:18">
      <c r="A6397" s="2" t="s">
        <v>10704</v>
      </c>
      <c r="B6397" s="2" t="s">
        <v>201</v>
      </c>
      <c r="C6397" s="1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  <c r="L6397" s="2" t="s">
        <v>11030</v>
      </c>
      <c r="M6397" s="2" t="s">
        <v>11029</v>
      </c>
      <c r="N6397" s="2" t="s">
        <v>11037</v>
      </c>
      <c r="O6397" s="2" t="s">
        <v>11036</v>
      </c>
      <c r="P6397" s="2" t="s">
        <v>11036</v>
      </c>
      <c r="Q6397" s="2">
        <f>AVERAGE(PerfRate[[#This Row],[EnvironmentSatisfaction]],PerfRate[[#This Row],[JobSatisfaction]],PerfRate[[#This Row],[RelationshipSatisfaction]])</f>
        <v>3.3333333333333335</v>
      </c>
      <c r="R6397" s="2">
        <f>PerfRate[[#This Row],[ManagerRating]] - PerfRate[[#This Row],[SelfRating]]</f>
        <v>-1</v>
      </c>
    </row>
    <row r="6398" spans="1:18">
      <c r="A6398" s="2" t="s">
        <v>10705</v>
      </c>
      <c r="B6398" s="2" t="s">
        <v>476</v>
      </c>
      <c r="C6398" s="1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  <c r="L6398" s="2" t="s">
        <v>11031</v>
      </c>
      <c r="M6398" s="2" t="s">
        <v>11031</v>
      </c>
      <c r="N6398" s="2" t="s">
        <v>11038</v>
      </c>
      <c r="O6398" s="2" t="s">
        <v>11037</v>
      </c>
      <c r="P6398" s="2" t="s">
        <v>11037</v>
      </c>
      <c r="Q6398" s="2">
        <f>AVERAGE(PerfRate[[#This Row],[EnvironmentSatisfaction]],PerfRate[[#This Row],[JobSatisfaction]],PerfRate[[#This Row],[RelationshipSatisfaction]])</f>
        <v>4.333333333333333</v>
      </c>
      <c r="R6398" s="2">
        <f>PerfRate[[#This Row],[ManagerRating]] - PerfRate[[#This Row],[SelfRating]]</f>
        <v>0</v>
      </c>
    </row>
    <row r="6399" spans="1:18">
      <c r="A6399" s="2" t="s">
        <v>10706</v>
      </c>
      <c r="B6399" s="2" t="s">
        <v>3531</v>
      </c>
      <c r="C6399" s="1">
        <v>42042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  <c r="L6399" s="2" t="s">
        <v>11030</v>
      </c>
      <c r="M6399" s="2" t="s">
        <v>11029</v>
      </c>
      <c r="N6399" s="2" t="s">
        <v>11037</v>
      </c>
      <c r="O6399" s="2" t="s">
        <v>11038</v>
      </c>
      <c r="P6399" s="2" t="s">
        <v>11035</v>
      </c>
      <c r="Q6399" s="2">
        <f>AVERAGE(PerfRate[[#This Row],[EnvironmentSatisfaction]],PerfRate[[#This Row],[JobSatisfaction]],PerfRate[[#This Row],[RelationshipSatisfaction]])</f>
        <v>3.6666666666666665</v>
      </c>
      <c r="R6399" s="2">
        <f>PerfRate[[#This Row],[ManagerRating]] - PerfRate[[#This Row],[SelfRating]]</f>
        <v>-1</v>
      </c>
    </row>
    <row r="6400" spans="1:18">
      <c r="A6400" s="2" t="s">
        <v>10707</v>
      </c>
      <c r="B6400" s="2" t="s">
        <v>263</v>
      </c>
      <c r="C6400" s="1">
        <v>42042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  <c r="L6400" s="2" t="s">
        <v>11030</v>
      </c>
      <c r="M6400" s="2" t="s">
        <v>11030</v>
      </c>
      <c r="N6400" s="2" t="s">
        <v>11038</v>
      </c>
      <c r="O6400" s="2" t="s">
        <v>11036</v>
      </c>
      <c r="P6400" s="2" t="s">
        <v>11038</v>
      </c>
      <c r="Q6400" s="2">
        <f>AVERAGE(PerfRate[[#This Row],[EnvironmentSatisfaction]],PerfRate[[#This Row],[JobSatisfaction]],PerfRate[[#This Row],[RelationshipSatisfaction]])</f>
        <v>4.333333333333333</v>
      </c>
      <c r="R6400" s="2">
        <f>PerfRate[[#This Row],[ManagerRating]] - PerfRate[[#This Row],[SelfRating]]</f>
        <v>0</v>
      </c>
    </row>
    <row r="6401" spans="1:18">
      <c r="A6401" s="2" t="s">
        <v>10708</v>
      </c>
      <c r="B6401" s="2" t="s">
        <v>2572</v>
      </c>
      <c r="C6401" s="1">
        <v>42042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  <c r="L6401" s="2" t="s">
        <v>11029</v>
      </c>
      <c r="M6401" s="2" t="s">
        <v>11028</v>
      </c>
      <c r="N6401" s="2" t="s">
        <v>11038</v>
      </c>
      <c r="O6401" s="2" t="s">
        <v>11038</v>
      </c>
      <c r="P6401" s="2" t="s">
        <v>11037</v>
      </c>
      <c r="Q6401" s="2">
        <f>AVERAGE(PerfRate[[#This Row],[EnvironmentSatisfaction]],PerfRate[[#This Row],[JobSatisfaction]],PerfRate[[#This Row],[RelationshipSatisfaction]])</f>
        <v>4.666666666666667</v>
      </c>
      <c r="R6401" s="2">
        <f>PerfRate[[#This Row],[ManagerRating]] - PerfRate[[#This Row],[SelfRating]]</f>
        <v>-1</v>
      </c>
    </row>
    <row r="6402" spans="1:18">
      <c r="A6402" s="2" t="s">
        <v>10709</v>
      </c>
      <c r="B6402" s="2" t="s">
        <v>467</v>
      </c>
      <c r="C6402" s="1">
        <v>42101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  <c r="L6402" s="2" t="s">
        <v>11029</v>
      </c>
      <c r="M6402" s="2" t="s">
        <v>11028</v>
      </c>
      <c r="N6402" s="2" t="s">
        <v>11036</v>
      </c>
      <c r="O6402" s="2" t="s">
        <v>11035</v>
      </c>
      <c r="P6402" s="2" t="s">
        <v>11036</v>
      </c>
      <c r="Q6402" s="2">
        <f>AVERAGE(PerfRate[[#This Row],[EnvironmentSatisfaction]],PerfRate[[#This Row],[JobSatisfaction]],PerfRate[[#This Row],[RelationshipSatisfaction]])</f>
        <v>2.6666666666666665</v>
      </c>
      <c r="R6402" s="2">
        <f>PerfRate[[#This Row],[ManagerRating]] - PerfRate[[#This Row],[SelfRating]]</f>
        <v>-1</v>
      </c>
    </row>
    <row r="6403" spans="1:18">
      <c r="A6403" s="2" t="s">
        <v>10710</v>
      </c>
      <c r="B6403" s="2" t="s">
        <v>1365</v>
      </c>
      <c r="C6403" s="1">
        <v>41428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  <c r="L6403" s="2" t="s">
        <v>11029</v>
      </c>
      <c r="M6403" s="2" t="s">
        <v>11029</v>
      </c>
      <c r="N6403" s="2" t="s">
        <v>11037</v>
      </c>
      <c r="O6403" s="2" t="s">
        <v>11038</v>
      </c>
      <c r="P6403" s="2" t="s">
        <v>11038</v>
      </c>
      <c r="Q6403" s="2">
        <f>AVERAGE(PerfRate[[#This Row],[EnvironmentSatisfaction]],PerfRate[[#This Row],[JobSatisfaction]],PerfRate[[#This Row],[RelationshipSatisfaction]])</f>
        <v>4.666666666666667</v>
      </c>
      <c r="R6403" s="2">
        <f>PerfRate[[#This Row],[ManagerRating]] - PerfRate[[#This Row],[SelfRating]]</f>
        <v>0</v>
      </c>
    </row>
    <row r="6404" spans="1:18">
      <c r="A6404" s="2" t="s">
        <v>10711</v>
      </c>
      <c r="B6404" s="2" t="s">
        <v>505</v>
      </c>
      <c r="C6404" s="1">
        <v>42162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  <c r="L6404" s="2" t="s">
        <v>11031</v>
      </c>
      <c r="M6404" s="2" t="s">
        <v>11031</v>
      </c>
      <c r="N6404" s="2" t="s">
        <v>11037</v>
      </c>
      <c r="O6404" s="2" t="s">
        <v>11035</v>
      </c>
      <c r="P6404" s="2" t="s">
        <v>11036</v>
      </c>
      <c r="Q6404" s="2">
        <f>AVERAGE(PerfRate[[#This Row],[EnvironmentSatisfaction]],PerfRate[[#This Row],[JobSatisfaction]],PerfRate[[#This Row],[RelationshipSatisfaction]])</f>
        <v>3</v>
      </c>
      <c r="R6404" s="2">
        <f>PerfRate[[#This Row],[ManagerRating]] - PerfRate[[#This Row],[SelfRating]]</f>
        <v>0</v>
      </c>
    </row>
    <row r="6405" spans="1:18">
      <c r="A6405" s="2" t="s">
        <v>10712</v>
      </c>
      <c r="B6405" s="2" t="s">
        <v>179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  <c r="L6405" s="2" t="s">
        <v>11031</v>
      </c>
      <c r="M6405" s="2" t="s">
        <v>11031</v>
      </c>
      <c r="N6405" s="2" t="s">
        <v>11036</v>
      </c>
      <c r="O6405" s="2" t="s">
        <v>11037</v>
      </c>
      <c r="P6405" s="2" t="s">
        <v>11036</v>
      </c>
      <c r="Q6405" s="2">
        <f>AVERAGE(PerfRate[[#This Row],[EnvironmentSatisfaction]],PerfRate[[#This Row],[JobSatisfaction]],PerfRate[[#This Row],[RelationshipSatisfaction]])</f>
        <v>3.3333333333333335</v>
      </c>
      <c r="R6405" s="2">
        <f>PerfRate[[#This Row],[ManagerRating]] - PerfRate[[#This Row],[SelfRating]]</f>
        <v>0</v>
      </c>
    </row>
    <row r="6406" spans="1:18">
      <c r="A6406" s="2" t="s">
        <v>10713</v>
      </c>
      <c r="B6406" s="2" t="s">
        <v>3549</v>
      </c>
      <c r="C6406" s="1">
        <v>42254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  <c r="L6406" s="2" t="s">
        <v>11030</v>
      </c>
      <c r="M6406" s="2" t="s">
        <v>11030</v>
      </c>
      <c r="N6406" s="2" t="s">
        <v>11038</v>
      </c>
      <c r="O6406" s="2" t="s">
        <v>11036</v>
      </c>
      <c r="P6406" s="2" t="s">
        <v>11038</v>
      </c>
      <c r="Q6406" s="2">
        <f>AVERAGE(PerfRate[[#This Row],[EnvironmentSatisfaction]],PerfRate[[#This Row],[JobSatisfaction]],PerfRate[[#This Row],[RelationshipSatisfaction]])</f>
        <v>4.333333333333333</v>
      </c>
      <c r="R6406" s="2">
        <f>PerfRate[[#This Row],[ManagerRating]] - PerfRate[[#This Row],[SelfRating]]</f>
        <v>0</v>
      </c>
    </row>
    <row r="6407" spans="1:18">
      <c r="A6407" s="2" t="s">
        <v>10714</v>
      </c>
      <c r="B6407" s="2" t="s">
        <v>232</v>
      </c>
      <c r="C6407" s="1">
        <v>42284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  <c r="L6407" s="2" t="s">
        <v>11031</v>
      </c>
      <c r="M6407" s="2" t="s">
        <v>11031</v>
      </c>
      <c r="N6407" s="2" t="s">
        <v>11036</v>
      </c>
      <c r="O6407" s="2" t="s">
        <v>11036</v>
      </c>
      <c r="P6407" s="2" t="s">
        <v>11035</v>
      </c>
      <c r="Q6407" s="2">
        <f>AVERAGE(PerfRate[[#This Row],[EnvironmentSatisfaction]],PerfRate[[#This Row],[JobSatisfaction]],PerfRate[[#This Row],[RelationshipSatisfaction]])</f>
        <v>2.6666666666666665</v>
      </c>
      <c r="R6407" s="2">
        <f>PerfRate[[#This Row],[ManagerRating]] - PerfRate[[#This Row],[SelfRating]]</f>
        <v>0</v>
      </c>
    </row>
    <row r="6408" spans="1:18">
      <c r="A6408" s="2" t="s">
        <v>10715</v>
      </c>
      <c r="B6408" s="2" t="s">
        <v>473</v>
      </c>
      <c r="C6408" s="1">
        <v>42284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  <c r="L6408" s="2" t="s">
        <v>11029</v>
      </c>
      <c r="M6408" s="2" t="s">
        <v>11028</v>
      </c>
      <c r="N6408" s="2" t="s">
        <v>11036</v>
      </c>
      <c r="O6408" s="2" t="s">
        <v>11036</v>
      </c>
      <c r="P6408" s="2" t="s">
        <v>11038</v>
      </c>
      <c r="Q6408" s="2">
        <f>AVERAGE(PerfRate[[#This Row],[EnvironmentSatisfaction]],PerfRate[[#This Row],[JobSatisfaction]],PerfRate[[#This Row],[RelationshipSatisfaction]])</f>
        <v>3.6666666666666665</v>
      </c>
      <c r="R6408" s="2">
        <f>PerfRate[[#This Row],[ManagerRating]] - PerfRate[[#This Row],[SelfRating]]</f>
        <v>-1</v>
      </c>
    </row>
    <row r="6409" spans="1:18">
      <c r="A6409" s="2" t="s">
        <v>10716</v>
      </c>
      <c r="B6409" s="2" t="s">
        <v>1298</v>
      </c>
      <c r="C6409" s="1">
        <v>42284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  <c r="L6409" s="2" t="s">
        <v>11029</v>
      </c>
      <c r="M6409" s="2" t="s">
        <v>11028</v>
      </c>
      <c r="N6409" s="2" t="s">
        <v>11037</v>
      </c>
      <c r="O6409" s="2" t="s">
        <v>11038</v>
      </c>
      <c r="P6409" s="2" t="s">
        <v>11037</v>
      </c>
      <c r="Q6409" s="2">
        <f>AVERAGE(PerfRate[[#This Row],[EnvironmentSatisfaction]],PerfRate[[#This Row],[JobSatisfaction]],PerfRate[[#This Row],[RelationshipSatisfaction]])</f>
        <v>4.333333333333333</v>
      </c>
      <c r="R6409" s="2">
        <f>PerfRate[[#This Row],[ManagerRating]] - PerfRate[[#This Row],[SelfRating]]</f>
        <v>-1</v>
      </c>
    </row>
    <row r="6410" spans="1:18">
      <c r="A6410" s="2" t="s">
        <v>10717</v>
      </c>
      <c r="B6410" s="2" t="s">
        <v>2757</v>
      </c>
      <c r="C6410" s="1">
        <v>42315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  <c r="L6410" s="2" t="s">
        <v>11029</v>
      </c>
      <c r="M6410" s="2" t="s">
        <v>11029</v>
      </c>
      <c r="N6410" s="2" t="s">
        <v>11037</v>
      </c>
      <c r="O6410" s="2" t="s">
        <v>11035</v>
      </c>
      <c r="P6410" s="2" t="s">
        <v>11036</v>
      </c>
      <c r="Q6410" s="2">
        <f>AVERAGE(PerfRate[[#This Row],[EnvironmentSatisfaction]],PerfRate[[#This Row],[JobSatisfaction]],PerfRate[[#This Row],[RelationshipSatisfaction]])</f>
        <v>3</v>
      </c>
      <c r="R6410" s="2">
        <f>PerfRate[[#This Row],[ManagerRating]] - PerfRate[[#This Row],[SelfRating]]</f>
        <v>0</v>
      </c>
    </row>
    <row r="6411" spans="1:18">
      <c r="A6411" s="2" t="s">
        <v>10718</v>
      </c>
      <c r="B6411" s="2" t="s">
        <v>269</v>
      </c>
      <c r="C6411" s="1">
        <v>42315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  <c r="L6411" s="2" t="s">
        <v>11029</v>
      </c>
      <c r="M6411" s="2" t="s">
        <v>11028</v>
      </c>
      <c r="N6411" s="2" t="s">
        <v>11037</v>
      </c>
      <c r="O6411" s="2" t="s">
        <v>11037</v>
      </c>
      <c r="P6411" s="2" t="s">
        <v>11038</v>
      </c>
      <c r="Q6411" s="2">
        <f>AVERAGE(PerfRate[[#This Row],[EnvironmentSatisfaction]],PerfRate[[#This Row],[JobSatisfaction]],PerfRate[[#This Row],[RelationshipSatisfaction]])</f>
        <v>4.333333333333333</v>
      </c>
      <c r="R6411" s="2">
        <f>PerfRate[[#This Row],[ManagerRating]] - PerfRate[[#This Row],[SelfRating]]</f>
        <v>-1</v>
      </c>
    </row>
    <row r="6412" spans="1:18">
      <c r="A6412" s="2" t="s">
        <v>10719</v>
      </c>
      <c r="B6412" s="2" t="s">
        <v>308</v>
      </c>
      <c r="C6412" s="1">
        <v>42345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  <c r="L6412" s="2" t="s">
        <v>11031</v>
      </c>
      <c r="M6412" s="2" t="s">
        <v>11030</v>
      </c>
      <c r="N6412" s="2" t="s">
        <v>11036</v>
      </c>
      <c r="O6412" s="2" t="s">
        <v>11036</v>
      </c>
      <c r="P6412" s="2" t="s">
        <v>11035</v>
      </c>
      <c r="Q6412" s="2">
        <f>AVERAGE(PerfRate[[#This Row],[EnvironmentSatisfaction]],PerfRate[[#This Row],[JobSatisfaction]],PerfRate[[#This Row],[RelationshipSatisfaction]])</f>
        <v>2.6666666666666665</v>
      </c>
      <c r="R6412" s="2">
        <f>PerfRate[[#This Row],[ManagerRating]] - PerfRate[[#This Row],[SelfRating]]</f>
        <v>-1</v>
      </c>
    </row>
    <row r="6413" spans="1:18">
      <c r="A6413" s="2" t="s">
        <v>10720</v>
      </c>
      <c r="B6413" s="2" t="s">
        <v>1677</v>
      </c>
      <c r="C6413" s="1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  <c r="L6413" s="2" t="s">
        <v>11029</v>
      </c>
      <c r="M6413" s="2" t="s">
        <v>11029</v>
      </c>
      <c r="N6413" s="2" t="s">
        <v>11038</v>
      </c>
      <c r="O6413" s="2" t="s">
        <v>11036</v>
      </c>
      <c r="P6413" s="2" t="s">
        <v>11036</v>
      </c>
      <c r="Q6413" s="2">
        <f>AVERAGE(PerfRate[[#This Row],[EnvironmentSatisfaction]],PerfRate[[#This Row],[JobSatisfaction]],PerfRate[[#This Row],[RelationshipSatisfaction]])</f>
        <v>3.6666666666666665</v>
      </c>
      <c r="R6413" s="2">
        <f>PerfRate[[#This Row],[ManagerRating]] - PerfRate[[#This Row],[SelfRating]]</f>
        <v>0</v>
      </c>
    </row>
    <row r="6414" spans="1:18">
      <c r="A6414" s="2" t="s">
        <v>10721</v>
      </c>
      <c r="B6414" s="2" t="s">
        <v>407</v>
      </c>
      <c r="C6414" s="1">
        <v>41458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  <c r="L6414" s="2" t="s">
        <v>11030</v>
      </c>
      <c r="M6414" s="2" t="s">
        <v>11030</v>
      </c>
      <c r="N6414" s="2" t="s">
        <v>11036</v>
      </c>
      <c r="O6414" s="2" t="s">
        <v>11038</v>
      </c>
      <c r="P6414" s="2" t="s">
        <v>11038</v>
      </c>
      <c r="Q6414" s="2">
        <f>AVERAGE(PerfRate[[#This Row],[EnvironmentSatisfaction]],PerfRate[[#This Row],[JobSatisfaction]],PerfRate[[#This Row],[RelationshipSatisfaction]])</f>
        <v>4.333333333333333</v>
      </c>
      <c r="R6414" s="2">
        <f>PerfRate[[#This Row],[ManagerRating]] - PerfRate[[#This Row],[SelfRating]]</f>
        <v>0</v>
      </c>
    </row>
    <row r="6415" spans="1:18">
      <c r="A6415" s="2" t="s">
        <v>10722</v>
      </c>
      <c r="B6415" s="2" t="s">
        <v>67</v>
      </c>
      <c r="C6415" s="1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  <c r="L6415" s="2" t="s">
        <v>11030</v>
      </c>
      <c r="M6415" s="2" t="s">
        <v>11030</v>
      </c>
      <c r="N6415" s="2" t="s">
        <v>11036</v>
      </c>
      <c r="O6415" s="2" t="s">
        <v>11038</v>
      </c>
      <c r="P6415" s="2" t="s">
        <v>11035</v>
      </c>
      <c r="Q6415" s="2">
        <f>AVERAGE(PerfRate[[#This Row],[EnvironmentSatisfaction]],PerfRate[[#This Row],[JobSatisfaction]],PerfRate[[#This Row],[RelationshipSatisfaction]])</f>
        <v>3.3333333333333335</v>
      </c>
      <c r="R6415" s="2">
        <f>PerfRate[[#This Row],[ManagerRating]] - PerfRate[[#This Row],[SelfRating]]</f>
        <v>0</v>
      </c>
    </row>
    <row r="6416" spans="1:18">
      <c r="A6416" s="2" t="s">
        <v>10723</v>
      </c>
      <c r="B6416" s="2" t="s">
        <v>3824</v>
      </c>
      <c r="C6416" s="1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  <c r="L6416" s="2" t="s">
        <v>11029</v>
      </c>
      <c r="M6416" s="2" t="s">
        <v>11029</v>
      </c>
      <c r="N6416" s="2" t="s">
        <v>11038</v>
      </c>
      <c r="O6416" s="2" t="s">
        <v>11038</v>
      </c>
      <c r="P6416" s="2" t="s">
        <v>11038</v>
      </c>
      <c r="Q6416" s="2">
        <f>AVERAGE(PerfRate[[#This Row],[EnvironmentSatisfaction]],PerfRate[[#This Row],[JobSatisfaction]],PerfRate[[#This Row],[RelationshipSatisfaction]])</f>
        <v>5</v>
      </c>
      <c r="R6416" s="2">
        <f>PerfRate[[#This Row],[ManagerRating]] - PerfRate[[#This Row],[SelfRating]]</f>
        <v>0</v>
      </c>
    </row>
    <row r="6417" spans="1:18">
      <c r="A6417" s="2" t="s">
        <v>10724</v>
      </c>
      <c r="B6417" s="2" t="s">
        <v>3192</v>
      </c>
      <c r="C6417" s="1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  <c r="L6417" s="2" t="s">
        <v>11031</v>
      </c>
      <c r="M6417" s="2" t="s">
        <v>11031</v>
      </c>
      <c r="N6417" s="2" t="s">
        <v>11036</v>
      </c>
      <c r="O6417" s="2" t="s">
        <v>11036</v>
      </c>
      <c r="P6417" s="2" t="s">
        <v>11038</v>
      </c>
      <c r="Q6417" s="2">
        <f>AVERAGE(PerfRate[[#This Row],[EnvironmentSatisfaction]],PerfRate[[#This Row],[JobSatisfaction]],PerfRate[[#This Row],[RelationshipSatisfaction]])</f>
        <v>3.6666666666666665</v>
      </c>
      <c r="R6417" s="2">
        <f>PerfRate[[#This Row],[ManagerRating]] - PerfRate[[#This Row],[SelfRating]]</f>
        <v>0</v>
      </c>
    </row>
    <row r="6418" spans="1:18">
      <c r="A6418" s="2" t="s">
        <v>10725</v>
      </c>
      <c r="B6418" s="2" t="s">
        <v>2946</v>
      </c>
      <c r="C6418" s="1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  <c r="L6418" s="2" t="s">
        <v>11029</v>
      </c>
      <c r="M6418" s="2" t="s">
        <v>11028</v>
      </c>
      <c r="N6418" s="2" t="s">
        <v>11038</v>
      </c>
      <c r="O6418" s="2" t="s">
        <v>11037</v>
      </c>
      <c r="P6418" s="2" t="s">
        <v>11037</v>
      </c>
      <c r="Q6418" s="2">
        <f>AVERAGE(PerfRate[[#This Row],[EnvironmentSatisfaction]],PerfRate[[#This Row],[JobSatisfaction]],PerfRate[[#This Row],[RelationshipSatisfaction]])</f>
        <v>4.333333333333333</v>
      </c>
      <c r="R6418" s="2">
        <f>PerfRate[[#This Row],[ManagerRating]] - PerfRate[[#This Row],[SelfRating]]</f>
        <v>-1</v>
      </c>
    </row>
    <row r="6419" spans="1:18">
      <c r="A6419" s="2" t="s">
        <v>10726</v>
      </c>
      <c r="B6419" s="2" t="s">
        <v>3088</v>
      </c>
      <c r="C6419" s="1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  <c r="L6419" s="2" t="s">
        <v>11031</v>
      </c>
      <c r="M6419" s="2" t="s">
        <v>11030</v>
      </c>
      <c r="N6419" s="2" t="s">
        <v>11036</v>
      </c>
      <c r="O6419" s="2" t="s">
        <v>11035</v>
      </c>
      <c r="P6419" s="2" t="s">
        <v>11036</v>
      </c>
      <c r="Q6419" s="2">
        <f>AVERAGE(PerfRate[[#This Row],[EnvironmentSatisfaction]],PerfRate[[#This Row],[JobSatisfaction]],PerfRate[[#This Row],[RelationshipSatisfaction]])</f>
        <v>2.6666666666666665</v>
      </c>
      <c r="R6419" s="2">
        <f>PerfRate[[#This Row],[ManagerRating]] - PerfRate[[#This Row],[SelfRating]]</f>
        <v>-1</v>
      </c>
    </row>
    <row r="6420" spans="1:18">
      <c r="A6420" s="2" t="s">
        <v>10727</v>
      </c>
      <c r="B6420" s="2" t="s">
        <v>147</v>
      </c>
      <c r="C6420" s="1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  <c r="L6420" s="2" t="s">
        <v>11030</v>
      </c>
      <c r="M6420" s="2" t="s">
        <v>11029</v>
      </c>
      <c r="N6420" s="2" t="s">
        <v>11038</v>
      </c>
      <c r="O6420" s="2" t="s">
        <v>11037</v>
      </c>
      <c r="P6420" s="2" t="s">
        <v>11037</v>
      </c>
      <c r="Q6420" s="2">
        <f>AVERAGE(PerfRate[[#This Row],[EnvironmentSatisfaction]],PerfRate[[#This Row],[JobSatisfaction]],PerfRate[[#This Row],[RelationshipSatisfaction]])</f>
        <v>4.333333333333333</v>
      </c>
      <c r="R6420" s="2">
        <f>PerfRate[[#This Row],[ManagerRating]] - PerfRate[[#This Row],[SelfRating]]</f>
        <v>-1</v>
      </c>
    </row>
    <row r="6421" spans="1:18">
      <c r="A6421" s="2" t="s">
        <v>10728</v>
      </c>
      <c r="B6421" s="2" t="s">
        <v>272</v>
      </c>
      <c r="C6421" s="1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  <c r="L6421" s="2" t="s">
        <v>11031</v>
      </c>
      <c r="M6421" s="2" t="s">
        <v>11030</v>
      </c>
      <c r="N6421" s="2" t="s">
        <v>11036</v>
      </c>
      <c r="O6421" s="2" t="s">
        <v>11037</v>
      </c>
      <c r="P6421" s="2" t="s">
        <v>11035</v>
      </c>
      <c r="Q6421" s="2">
        <f>AVERAGE(PerfRate[[#This Row],[EnvironmentSatisfaction]],PerfRate[[#This Row],[JobSatisfaction]],PerfRate[[#This Row],[RelationshipSatisfaction]])</f>
        <v>3</v>
      </c>
      <c r="R6421" s="2">
        <f>PerfRate[[#This Row],[ManagerRating]] - PerfRate[[#This Row],[SelfRating]]</f>
        <v>-1</v>
      </c>
    </row>
    <row r="6422" spans="1:18">
      <c r="A6422" s="2" t="s">
        <v>10729</v>
      </c>
      <c r="B6422" s="2" t="s">
        <v>151</v>
      </c>
      <c r="C6422" s="1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  <c r="L6422" s="2" t="s">
        <v>11031</v>
      </c>
      <c r="M6422" s="2" t="s">
        <v>11030</v>
      </c>
      <c r="N6422" s="2" t="s">
        <v>11036</v>
      </c>
      <c r="O6422" s="2" t="s">
        <v>11037</v>
      </c>
      <c r="P6422" s="2" t="s">
        <v>11038</v>
      </c>
      <c r="Q6422" s="2">
        <f>AVERAGE(PerfRate[[#This Row],[EnvironmentSatisfaction]],PerfRate[[#This Row],[JobSatisfaction]],PerfRate[[#This Row],[RelationshipSatisfaction]])</f>
        <v>4</v>
      </c>
      <c r="R6422" s="2">
        <f>PerfRate[[#This Row],[ManagerRating]] - PerfRate[[#This Row],[SelfRating]]</f>
        <v>-1</v>
      </c>
    </row>
    <row r="6423" spans="1:18">
      <c r="A6423" s="2" t="s">
        <v>10730</v>
      </c>
      <c r="B6423" s="2" t="s">
        <v>3857</v>
      </c>
      <c r="C6423" s="1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  <c r="L6423" s="2" t="s">
        <v>11029</v>
      </c>
      <c r="M6423" s="2" t="s">
        <v>11029</v>
      </c>
      <c r="N6423" s="2" t="s">
        <v>11036</v>
      </c>
      <c r="O6423" s="2" t="s">
        <v>11038</v>
      </c>
      <c r="P6423" s="2" t="s">
        <v>11035</v>
      </c>
      <c r="Q6423" s="2">
        <f>AVERAGE(PerfRate[[#This Row],[EnvironmentSatisfaction]],PerfRate[[#This Row],[JobSatisfaction]],PerfRate[[#This Row],[RelationshipSatisfaction]])</f>
        <v>3.3333333333333335</v>
      </c>
      <c r="R6423" s="2">
        <f>PerfRate[[#This Row],[ManagerRating]] - PerfRate[[#This Row],[SelfRating]]</f>
        <v>0</v>
      </c>
    </row>
    <row r="6424" spans="1:18">
      <c r="A6424" s="2" t="s">
        <v>10731</v>
      </c>
      <c r="B6424" s="2" t="s">
        <v>3394</v>
      </c>
      <c r="C6424" s="1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  <c r="L6424" s="2" t="s">
        <v>11030</v>
      </c>
      <c r="M6424" s="2" t="s">
        <v>11029</v>
      </c>
      <c r="N6424" s="2" t="s">
        <v>11038</v>
      </c>
      <c r="O6424" s="2" t="s">
        <v>11037</v>
      </c>
      <c r="P6424" s="2" t="s">
        <v>11038</v>
      </c>
      <c r="Q6424" s="2">
        <f>AVERAGE(PerfRate[[#This Row],[EnvironmentSatisfaction]],PerfRate[[#This Row],[JobSatisfaction]],PerfRate[[#This Row],[RelationshipSatisfaction]])</f>
        <v>4.666666666666667</v>
      </c>
      <c r="R6424" s="2">
        <f>PerfRate[[#This Row],[ManagerRating]] - PerfRate[[#This Row],[SelfRating]]</f>
        <v>-1</v>
      </c>
    </row>
    <row r="6425" spans="1:18">
      <c r="A6425" s="2" t="s">
        <v>10732</v>
      </c>
      <c r="B6425" s="2" t="s">
        <v>1082</v>
      </c>
      <c r="C6425" s="1">
        <v>41458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  <c r="L6425" s="2" t="s">
        <v>11029</v>
      </c>
      <c r="M6425" s="2" t="s">
        <v>11029</v>
      </c>
      <c r="N6425" s="2" t="s">
        <v>11037</v>
      </c>
      <c r="O6425" s="2" t="s">
        <v>11036</v>
      </c>
      <c r="P6425" s="2" t="s">
        <v>11037</v>
      </c>
      <c r="Q6425" s="2">
        <f>AVERAGE(PerfRate[[#This Row],[EnvironmentSatisfaction]],PerfRate[[#This Row],[JobSatisfaction]],PerfRate[[#This Row],[RelationshipSatisfaction]])</f>
        <v>3.6666666666666665</v>
      </c>
      <c r="R6425" s="2">
        <f>PerfRate[[#This Row],[ManagerRating]] - PerfRate[[#This Row],[SelfRating]]</f>
        <v>0</v>
      </c>
    </row>
    <row r="6426" spans="1:18">
      <c r="A6426" s="2" t="s">
        <v>10733</v>
      </c>
      <c r="B6426" s="2" t="s">
        <v>958</v>
      </c>
      <c r="C6426" s="1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  <c r="L6426" s="2" t="s">
        <v>11031</v>
      </c>
      <c r="M6426" s="2" t="s">
        <v>11031</v>
      </c>
      <c r="N6426" s="2" t="s">
        <v>11036</v>
      </c>
      <c r="O6426" s="2" t="s">
        <v>11038</v>
      </c>
      <c r="P6426" s="2" t="s">
        <v>11037</v>
      </c>
      <c r="Q6426" s="2">
        <f>AVERAGE(PerfRate[[#This Row],[EnvironmentSatisfaction]],PerfRate[[#This Row],[JobSatisfaction]],PerfRate[[#This Row],[RelationshipSatisfaction]])</f>
        <v>4</v>
      </c>
      <c r="R6426" s="2">
        <f>PerfRate[[#This Row],[ManagerRating]] - PerfRate[[#This Row],[SelfRating]]</f>
        <v>0</v>
      </c>
    </row>
    <row r="6427" spans="1:18">
      <c r="A6427" s="2" t="s">
        <v>10734</v>
      </c>
      <c r="B6427" s="2" t="s">
        <v>35</v>
      </c>
      <c r="C6427" s="1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  <c r="L6427" s="2" t="s">
        <v>11031</v>
      </c>
      <c r="M6427" s="2" t="s">
        <v>11031</v>
      </c>
      <c r="N6427" s="2" t="s">
        <v>11037</v>
      </c>
      <c r="O6427" s="2" t="s">
        <v>11036</v>
      </c>
      <c r="P6427" s="2" t="s">
        <v>11037</v>
      </c>
      <c r="Q6427" s="2">
        <f>AVERAGE(PerfRate[[#This Row],[EnvironmentSatisfaction]],PerfRate[[#This Row],[JobSatisfaction]],PerfRate[[#This Row],[RelationshipSatisfaction]])</f>
        <v>3.6666666666666665</v>
      </c>
      <c r="R6427" s="2">
        <f>PerfRate[[#This Row],[ManagerRating]] - PerfRate[[#This Row],[SelfRating]]</f>
        <v>0</v>
      </c>
    </row>
    <row r="6428" spans="1:18">
      <c r="A6428" s="2" t="s">
        <v>10735</v>
      </c>
      <c r="B6428" s="2" t="s">
        <v>1666</v>
      </c>
      <c r="C6428" s="1">
        <v>42012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  <c r="L6428" s="2" t="s">
        <v>11030</v>
      </c>
      <c r="M6428" s="2" t="s">
        <v>11029</v>
      </c>
      <c r="N6428" s="2" t="s">
        <v>11038</v>
      </c>
      <c r="O6428" s="2" t="s">
        <v>11037</v>
      </c>
      <c r="P6428" s="2" t="s">
        <v>11036</v>
      </c>
      <c r="Q6428" s="2">
        <f>AVERAGE(PerfRate[[#This Row],[EnvironmentSatisfaction]],PerfRate[[#This Row],[JobSatisfaction]],PerfRate[[#This Row],[RelationshipSatisfaction]])</f>
        <v>4</v>
      </c>
      <c r="R6428" s="2">
        <f>PerfRate[[#This Row],[ManagerRating]] - PerfRate[[#This Row],[SelfRating]]</f>
        <v>-1</v>
      </c>
    </row>
    <row r="6429" spans="1:18">
      <c r="A6429" s="2" t="s">
        <v>10736</v>
      </c>
      <c r="B6429" s="2" t="s">
        <v>2545</v>
      </c>
      <c r="C6429" s="1">
        <v>42132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  <c r="L6429" s="2" t="s">
        <v>11031</v>
      </c>
      <c r="M6429" s="2" t="s">
        <v>11031</v>
      </c>
      <c r="N6429" s="2" t="s">
        <v>11036</v>
      </c>
      <c r="O6429" s="2" t="s">
        <v>11037</v>
      </c>
      <c r="P6429" s="2" t="s">
        <v>11037</v>
      </c>
      <c r="Q6429" s="2">
        <f>AVERAGE(PerfRate[[#This Row],[EnvironmentSatisfaction]],PerfRate[[#This Row],[JobSatisfaction]],PerfRate[[#This Row],[RelationshipSatisfaction]])</f>
        <v>3.6666666666666665</v>
      </c>
      <c r="R6429" s="2">
        <f>PerfRate[[#This Row],[ManagerRating]] - PerfRate[[#This Row],[SelfRating]]</f>
        <v>0</v>
      </c>
    </row>
    <row r="6430" spans="1:18">
      <c r="A6430" s="2" t="s">
        <v>10737</v>
      </c>
      <c r="B6430" s="2" t="s">
        <v>377</v>
      </c>
      <c r="C6430" s="1">
        <v>42132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  <c r="L6430" s="2" t="s">
        <v>11029</v>
      </c>
      <c r="M6430" s="2" t="s">
        <v>11029</v>
      </c>
      <c r="N6430" s="2" t="s">
        <v>11036</v>
      </c>
      <c r="O6430" s="2" t="s">
        <v>11036</v>
      </c>
      <c r="P6430" s="2" t="s">
        <v>11037</v>
      </c>
      <c r="Q6430" s="2">
        <f>AVERAGE(PerfRate[[#This Row],[EnvironmentSatisfaction]],PerfRate[[#This Row],[JobSatisfaction]],PerfRate[[#This Row],[RelationshipSatisfaction]])</f>
        <v>3.3333333333333335</v>
      </c>
      <c r="R6430" s="2">
        <f>PerfRate[[#This Row],[ManagerRating]] - PerfRate[[#This Row],[SelfRating]]</f>
        <v>0</v>
      </c>
    </row>
    <row r="6431" spans="1:18">
      <c r="A6431" s="2" t="s">
        <v>10738</v>
      </c>
      <c r="B6431" s="2" t="s">
        <v>115</v>
      </c>
      <c r="C6431" s="1">
        <v>42132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  <c r="L6431" s="2" t="s">
        <v>11030</v>
      </c>
      <c r="M6431" s="2" t="s">
        <v>11030</v>
      </c>
      <c r="N6431" s="2" t="s">
        <v>11038</v>
      </c>
      <c r="O6431" s="2" t="s">
        <v>11038</v>
      </c>
      <c r="P6431" s="2" t="s">
        <v>11036</v>
      </c>
      <c r="Q6431" s="2">
        <f>AVERAGE(PerfRate[[#This Row],[EnvironmentSatisfaction]],PerfRate[[#This Row],[JobSatisfaction]],PerfRate[[#This Row],[RelationshipSatisfaction]])</f>
        <v>4.333333333333333</v>
      </c>
      <c r="R6431" s="2">
        <f>PerfRate[[#This Row],[ManagerRating]] - PerfRate[[#This Row],[SelfRating]]</f>
        <v>0</v>
      </c>
    </row>
    <row r="6432" spans="1:18">
      <c r="A6432" s="2" t="s">
        <v>10739</v>
      </c>
      <c r="B6432" s="2" t="s">
        <v>2599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  <c r="L6432" s="2" t="s">
        <v>11029</v>
      </c>
      <c r="M6432" s="2" t="s">
        <v>11029</v>
      </c>
      <c r="N6432" s="2" t="s">
        <v>11038</v>
      </c>
      <c r="O6432" s="2" t="s">
        <v>11038</v>
      </c>
      <c r="P6432" s="2" t="s">
        <v>11036</v>
      </c>
      <c r="Q6432" s="2">
        <f>AVERAGE(PerfRate[[#This Row],[EnvironmentSatisfaction]],PerfRate[[#This Row],[JobSatisfaction]],PerfRate[[#This Row],[RelationshipSatisfaction]])</f>
        <v>4.333333333333333</v>
      </c>
      <c r="R6432" s="2">
        <f>PerfRate[[#This Row],[ManagerRating]] - PerfRate[[#This Row],[SelfRating]]</f>
        <v>0</v>
      </c>
    </row>
    <row r="6433" spans="1:18">
      <c r="A6433" s="2" t="s">
        <v>10740</v>
      </c>
      <c r="B6433" s="2" t="s">
        <v>250</v>
      </c>
      <c r="C6433" s="1">
        <v>42316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  <c r="L6433" s="2" t="s">
        <v>11030</v>
      </c>
      <c r="M6433" s="2" t="s">
        <v>11030</v>
      </c>
      <c r="N6433" s="2" t="s">
        <v>11036</v>
      </c>
      <c r="O6433" s="2" t="s">
        <v>11037</v>
      </c>
      <c r="P6433" s="2" t="s">
        <v>11038</v>
      </c>
      <c r="Q6433" s="2">
        <f>AVERAGE(PerfRate[[#This Row],[EnvironmentSatisfaction]],PerfRate[[#This Row],[JobSatisfaction]],PerfRate[[#This Row],[RelationshipSatisfaction]])</f>
        <v>4</v>
      </c>
      <c r="R6433" s="2">
        <f>PerfRate[[#This Row],[ManagerRating]] - PerfRate[[#This Row],[SelfRating]]</f>
        <v>0</v>
      </c>
    </row>
    <row r="6434" spans="1:18">
      <c r="A6434" s="2" t="s">
        <v>10741</v>
      </c>
      <c r="B6434" s="2" t="s">
        <v>3071</v>
      </c>
      <c r="C6434" s="1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  <c r="L6434" s="2" t="s">
        <v>11030</v>
      </c>
      <c r="M6434" s="2" t="s">
        <v>11030</v>
      </c>
      <c r="N6434" s="2" t="s">
        <v>11038</v>
      </c>
      <c r="O6434" s="2" t="s">
        <v>11036</v>
      </c>
      <c r="P6434" s="2" t="s">
        <v>11037</v>
      </c>
      <c r="Q6434" s="2">
        <f>AVERAGE(PerfRate[[#This Row],[EnvironmentSatisfaction]],PerfRate[[#This Row],[JobSatisfaction]],PerfRate[[#This Row],[RelationshipSatisfaction]])</f>
        <v>4</v>
      </c>
      <c r="R6434" s="2">
        <f>PerfRate[[#This Row],[ManagerRating]] - PerfRate[[#This Row],[SelfRating]]</f>
        <v>0</v>
      </c>
    </row>
    <row r="6435" spans="1:18">
      <c r="A6435" s="2" t="s">
        <v>10742</v>
      </c>
      <c r="B6435" s="2" t="s">
        <v>3198</v>
      </c>
      <c r="C6435" s="1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  <c r="L6435" s="2" t="s">
        <v>11029</v>
      </c>
      <c r="M6435" s="2" t="s">
        <v>11029</v>
      </c>
      <c r="N6435" s="2" t="s">
        <v>11038</v>
      </c>
      <c r="O6435" s="2" t="s">
        <v>11035</v>
      </c>
      <c r="P6435" s="2" t="s">
        <v>11036</v>
      </c>
      <c r="Q6435" s="2">
        <f>AVERAGE(PerfRate[[#This Row],[EnvironmentSatisfaction]],PerfRate[[#This Row],[JobSatisfaction]],PerfRate[[#This Row],[RelationshipSatisfaction]])</f>
        <v>3.3333333333333335</v>
      </c>
      <c r="R6435" s="2">
        <f>PerfRate[[#This Row],[ManagerRating]] - PerfRate[[#This Row],[SelfRating]]</f>
        <v>0</v>
      </c>
    </row>
    <row r="6436" spans="1:18">
      <c r="A6436" s="2" t="s">
        <v>10743</v>
      </c>
      <c r="B6436" s="2" t="s">
        <v>838</v>
      </c>
      <c r="C6436" s="1">
        <v>41489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  <c r="L6436" s="2" t="s">
        <v>11029</v>
      </c>
      <c r="M6436" s="2" t="s">
        <v>11029</v>
      </c>
      <c r="N6436" s="2" t="s">
        <v>11036</v>
      </c>
      <c r="O6436" s="2" t="s">
        <v>11036</v>
      </c>
      <c r="P6436" s="2" t="s">
        <v>11038</v>
      </c>
      <c r="Q6436" s="2">
        <f>AVERAGE(PerfRate[[#This Row],[EnvironmentSatisfaction]],PerfRate[[#This Row],[JobSatisfaction]],PerfRate[[#This Row],[RelationshipSatisfaction]])</f>
        <v>3.6666666666666665</v>
      </c>
      <c r="R6436" s="2">
        <f>PerfRate[[#This Row],[ManagerRating]] - PerfRate[[#This Row],[SelfRating]]</f>
        <v>0</v>
      </c>
    </row>
    <row r="6437" spans="1:18">
      <c r="A6437" s="2" t="s">
        <v>10744</v>
      </c>
      <c r="B6437" s="2" t="s">
        <v>952</v>
      </c>
      <c r="C6437" s="1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  <c r="L6437" s="2" t="s">
        <v>11029</v>
      </c>
      <c r="M6437" s="2" t="s">
        <v>11028</v>
      </c>
      <c r="N6437" s="2" t="s">
        <v>11036</v>
      </c>
      <c r="O6437" s="2" t="s">
        <v>11036</v>
      </c>
      <c r="P6437" s="2" t="s">
        <v>11035</v>
      </c>
      <c r="Q6437" s="2">
        <f>AVERAGE(PerfRate[[#This Row],[EnvironmentSatisfaction]],PerfRate[[#This Row],[JobSatisfaction]],PerfRate[[#This Row],[RelationshipSatisfaction]])</f>
        <v>2.6666666666666665</v>
      </c>
      <c r="R6437" s="2">
        <f>PerfRate[[#This Row],[ManagerRating]] - PerfRate[[#This Row],[SelfRating]]</f>
        <v>-1</v>
      </c>
    </row>
    <row r="6438" spans="1:18">
      <c r="A6438" s="2" t="s">
        <v>10745</v>
      </c>
      <c r="B6438" s="2" t="s">
        <v>2581</v>
      </c>
      <c r="C6438" s="1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  <c r="L6438" s="2" t="s">
        <v>11029</v>
      </c>
      <c r="M6438" s="2" t="s">
        <v>11029</v>
      </c>
      <c r="N6438" s="2" t="s">
        <v>11038</v>
      </c>
      <c r="O6438" s="2" t="s">
        <v>11037</v>
      </c>
      <c r="P6438" s="2" t="s">
        <v>11037</v>
      </c>
      <c r="Q6438" s="2">
        <f>AVERAGE(PerfRate[[#This Row],[EnvironmentSatisfaction]],PerfRate[[#This Row],[JobSatisfaction]],PerfRate[[#This Row],[RelationshipSatisfaction]])</f>
        <v>4.333333333333333</v>
      </c>
      <c r="R6438" s="2">
        <f>PerfRate[[#This Row],[ManagerRating]] - PerfRate[[#This Row],[SelfRating]]</f>
        <v>0</v>
      </c>
    </row>
    <row r="6439" spans="1:18">
      <c r="A6439" s="2" t="s">
        <v>10746</v>
      </c>
      <c r="B6439" s="2" t="s">
        <v>2721</v>
      </c>
      <c r="C6439" s="1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  <c r="L6439" s="2" t="s">
        <v>11031</v>
      </c>
      <c r="M6439" s="2" t="s">
        <v>11030</v>
      </c>
      <c r="N6439" s="2" t="s">
        <v>11037</v>
      </c>
      <c r="O6439" s="2" t="s">
        <v>11035</v>
      </c>
      <c r="P6439" s="2" t="s">
        <v>11036</v>
      </c>
      <c r="Q6439" s="2">
        <f>AVERAGE(PerfRate[[#This Row],[EnvironmentSatisfaction]],PerfRate[[#This Row],[JobSatisfaction]],PerfRate[[#This Row],[RelationshipSatisfaction]])</f>
        <v>3</v>
      </c>
      <c r="R6439" s="2">
        <f>PerfRate[[#This Row],[ManagerRating]] - PerfRate[[#This Row],[SelfRating]]</f>
        <v>-1</v>
      </c>
    </row>
    <row r="6440" spans="1:18">
      <c r="A6440" s="2" t="s">
        <v>10747</v>
      </c>
      <c r="B6440" s="2" t="s">
        <v>514</v>
      </c>
      <c r="C6440" s="1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  <c r="L6440" s="2" t="s">
        <v>11030</v>
      </c>
      <c r="M6440" s="2" t="s">
        <v>11029</v>
      </c>
      <c r="N6440" s="2" t="s">
        <v>11037</v>
      </c>
      <c r="O6440" s="2" t="s">
        <v>11036</v>
      </c>
      <c r="P6440" s="2" t="s">
        <v>11038</v>
      </c>
      <c r="Q6440" s="2">
        <f>AVERAGE(PerfRate[[#This Row],[EnvironmentSatisfaction]],PerfRate[[#This Row],[JobSatisfaction]],PerfRate[[#This Row],[RelationshipSatisfaction]])</f>
        <v>4</v>
      </c>
      <c r="R6440" s="2">
        <f>PerfRate[[#This Row],[ManagerRating]] - PerfRate[[#This Row],[SelfRating]]</f>
        <v>-1</v>
      </c>
    </row>
    <row r="6441" spans="1:18">
      <c r="A6441" s="2" t="s">
        <v>10748</v>
      </c>
      <c r="B6441" s="2" t="s">
        <v>3510</v>
      </c>
      <c r="C6441" s="1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  <c r="L6441" s="2" t="s">
        <v>11029</v>
      </c>
      <c r="M6441" s="2" t="s">
        <v>11029</v>
      </c>
      <c r="N6441" s="2" t="s">
        <v>11036</v>
      </c>
      <c r="O6441" s="2" t="s">
        <v>11038</v>
      </c>
      <c r="P6441" s="2" t="s">
        <v>11035</v>
      </c>
      <c r="Q6441" s="2">
        <f>AVERAGE(PerfRate[[#This Row],[EnvironmentSatisfaction]],PerfRate[[#This Row],[JobSatisfaction]],PerfRate[[#This Row],[RelationshipSatisfaction]])</f>
        <v>3.3333333333333335</v>
      </c>
      <c r="R6441" s="2">
        <f>PerfRate[[#This Row],[ManagerRating]] - PerfRate[[#This Row],[SelfRating]]</f>
        <v>0</v>
      </c>
    </row>
    <row r="6442" spans="1:18">
      <c r="A6442" s="2" t="s">
        <v>10749</v>
      </c>
      <c r="B6442" s="2" t="s">
        <v>3341</v>
      </c>
      <c r="C6442" s="1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  <c r="L6442" s="2" t="s">
        <v>11031</v>
      </c>
      <c r="M6442" s="2" t="s">
        <v>11030</v>
      </c>
      <c r="N6442" s="2" t="s">
        <v>11036</v>
      </c>
      <c r="O6442" s="2" t="s">
        <v>11036</v>
      </c>
      <c r="P6442" s="2" t="s">
        <v>11037</v>
      </c>
      <c r="Q6442" s="2">
        <f>AVERAGE(PerfRate[[#This Row],[EnvironmentSatisfaction]],PerfRate[[#This Row],[JobSatisfaction]],PerfRate[[#This Row],[RelationshipSatisfaction]])</f>
        <v>3.3333333333333335</v>
      </c>
      <c r="R6442" s="2">
        <f>PerfRate[[#This Row],[ManagerRating]] - PerfRate[[#This Row],[SelfRating]]</f>
        <v>-1</v>
      </c>
    </row>
    <row r="6443" spans="1:18">
      <c r="A6443" s="2" t="s">
        <v>10750</v>
      </c>
      <c r="B6443" s="2" t="s">
        <v>356</v>
      </c>
      <c r="C6443" s="1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  <c r="L6443" s="2" t="s">
        <v>11031</v>
      </c>
      <c r="M6443" s="2" t="s">
        <v>11031</v>
      </c>
      <c r="N6443" s="2" t="s">
        <v>11037</v>
      </c>
      <c r="O6443" s="2" t="s">
        <v>11035</v>
      </c>
      <c r="P6443" s="2" t="s">
        <v>11038</v>
      </c>
      <c r="Q6443" s="2">
        <f>AVERAGE(PerfRate[[#This Row],[EnvironmentSatisfaction]],PerfRate[[#This Row],[JobSatisfaction]],PerfRate[[#This Row],[RelationshipSatisfaction]])</f>
        <v>3.6666666666666665</v>
      </c>
      <c r="R6443" s="2">
        <f>PerfRate[[#This Row],[ManagerRating]] - PerfRate[[#This Row],[SelfRating]]</f>
        <v>0</v>
      </c>
    </row>
    <row r="6444" spans="1:18">
      <c r="A6444" s="2" t="s">
        <v>10751</v>
      </c>
      <c r="B6444" s="2" t="s">
        <v>4032</v>
      </c>
      <c r="C6444" s="1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  <c r="L6444" s="2" t="s">
        <v>11029</v>
      </c>
      <c r="M6444" s="2" t="s">
        <v>11029</v>
      </c>
      <c r="N6444" s="2" t="s">
        <v>11037</v>
      </c>
      <c r="O6444" s="2" t="s">
        <v>11037</v>
      </c>
      <c r="P6444" s="2" t="s">
        <v>11038</v>
      </c>
      <c r="Q6444" s="2">
        <f>AVERAGE(PerfRate[[#This Row],[EnvironmentSatisfaction]],PerfRate[[#This Row],[JobSatisfaction]],PerfRate[[#This Row],[RelationshipSatisfaction]])</f>
        <v>4.333333333333333</v>
      </c>
      <c r="R6444" s="2">
        <f>PerfRate[[#This Row],[ManagerRating]] - PerfRate[[#This Row],[SelfRating]]</f>
        <v>0</v>
      </c>
    </row>
    <row r="6445" spans="1:18">
      <c r="A6445" s="2" t="s">
        <v>10752</v>
      </c>
      <c r="B6445" s="2" t="s">
        <v>1660</v>
      </c>
      <c r="C6445" s="1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  <c r="L6445" s="2" t="s">
        <v>11030</v>
      </c>
      <c r="M6445" s="2" t="s">
        <v>11030</v>
      </c>
      <c r="N6445" s="2" t="s">
        <v>11036</v>
      </c>
      <c r="O6445" s="2" t="s">
        <v>11036</v>
      </c>
      <c r="P6445" s="2" t="s">
        <v>11036</v>
      </c>
      <c r="Q6445" s="2">
        <f>AVERAGE(PerfRate[[#This Row],[EnvironmentSatisfaction]],PerfRate[[#This Row],[JobSatisfaction]],PerfRate[[#This Row],[RelationshipSatisfaction]])</f>
        <v>3</v>
      </c>
      <c r="R6445" s="2">
        <f>PerfRate[[#This Row],[ManagerRating]] - PerfRate[[#This Row],[SelfRating]]</f>
        <v>0</v>
      </c>
    </row>
    <row r="6446" spans="1:18">
      <c r="A6446" s="2" t="s">
        <v>10753</v>
      </c>
      <c r="B6446" s="2" t="s">
        <v>2767</v>
      </c>
      <c r="C6446" s="1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  <c r="L6446" s="2" t="s">
        <v>11030</v>
      </c>
      <c r="M6446" s="2" t="s">
        <v>11029</v>
      </c>
      <c r="N6446" s="2" t="s">
        <v>11037</v>
      </c>
      <c r="O6446" s="2" t="s">
        <v>11036</v>
      </c>
      <c r="P6446" s="2" t="s">
        <v>11037</v>
      </c>
      <c r="Q6446" s="2">
        <f>AVERAGE(PerfRate[[#This Row],[EnvironmentSatisfaction]],PerfRate[[#This Row],[JobSatisfaction]],PerfRate[[#This Row],[RelationshipSatisfaction]])</f>
        <v>3.6666666666666665</v>
      </c>
      <c r="R6446" s="2">
        <f>PerfRate[[#This Row],[ManagerRating]] - PerfRate[[#This Row],[SelfRating]]</f>
        <v>-1</v>
      </c>
    </row>
    <row r="6447" spans="1:18">
      <c r="A6447" s="2" t="s">
        <v>10754</v>
      </c>
      <c r="B6447" s="2" t="s">
        <v>1674</v>
      </c>
      <c r="C6447" s="1">
        <v>41489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  <c r="L6447" s="2" t="s">
        <v>11031</v>
      </c>
      <c r="M6447" s="2" t="s">
        <v>11030</v>
      </c>
      <c r="N6447" s="2" t="s">
        <v>11036</v>
      </c>
      <c r="O6447" s="2" t="s">
        <v>11038</v>
      </c>
      <c r="P6447" s="2" t="s">
        <v>11038</v>
      </c>
      <c r="Q6447" s="2">
        <f>AVERAGE(PerfRate[[#This Row],[EnvironmentSatisfaction]],PerfRate[[#This Row],[JobSatisfaction]],PerfRate[[#This Row],[RelationshipSatisfaction]])</f>
        <v>4.333333333333333</v>
      </c>
      <c r="R6447" s="2">
        <f>PerfRate[[#This Row],[ManagerRating]] - PerfRate[[#This Row],[SelfRating]]</f>
        <v>-1</v>
      </c>
    </row>
    <row r="6448" spans="1:18">
      <c r="A6448" s="2" t="s">
        <v>10755</v>
      </c>
      <c r="B6448" s="2" t="s">
        <v>2533</v>
      </c>
      <c r="C6448" s="1">
        <v>42072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  <c r="L6448" s="2" t="s">
        <v>11030</v>
      </c>
      <c r="M6448" s="2" t="s">
        <v>11030</v>
      </c>
      <c r="N6448" s="2" t="s">
        <v>11038</v>
      </c>
      <c r="O6448" s="2" t="s">
        <v>11038</v>
      </c>
      <c r="P6448" s="2" t="s">
        <v>11035</v>
      </c>
      <c r="Q6448" s="2">
        <f>AVERAGE(PerfRate[[#This Row],[EnvironmentSatisfaction]],PerfRate[[#This Row],[JobSatisfaction]],PerfRate[[#This Row],[RelationshipSatisfaction]])</f>
        <v>4</v>
      </c>
      <c r="R6448" s="2">
        <f>PerfRate[[#This Row],[ManagerRating]] - PerfRate[[#This Row],[SelfRating]]</f>
        <v>0</v>
      </c>
    </row>
    <row r="6449" spans="1:18">
      <c r="A6449" s="2" t="s">
        <v>10756</v>
      </c>
      <c r="B6449" s="2" t="s">
        <v>4222</v>
      </c>
      <c r="C6449" s="1">
        <v>42133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  <c r="L6449" s="2" t="s">
        <v>11030</v>
      </c>
      <c r="M6449" s="2" t="s">
        <v>11030</v>
      </c>
      <c r="N6449" s="2" t="s">
        <v>11036</v>
      </c>
      <c r="O6449" s="2" t="s">
        <v>11036</v>
      </c>
      <c r="P6449" s="2" t="s">
        <v>11037</v>
      </c>
      <c r="Q6449" s="2">
        <f>AVERAGE(PerfRate[[#This Row],[EnvironmentSatisfaction]],PerfRate[[#This Row],[JobSatisfaction]],PerfRate[[#This Row],[RelationshipSatisfaction]])</f>
        <v>3.3333333333333335</v>
      </c>
      <c r="R6449" s="2">
        <f>PerfRate[[#This Row],[ManagerRating]] - PerfRate[[#This Row],[SelfRating]]</f>
        <v>0</v>
      </c>
    </row>
    <row r="6450" spans="1:18">
      <c r="A6450" s="2" t="s">
        <v>10757</v>
      </c>
      <c r="B6450" s="2" t="s">
        <v>3353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  <c r="L6450" s="2" t="s">
        <v>11030</v>
      </c>
      <c r="M6450" s="2" t="s">
        <v>11030</v>
      </c>
      <c r="N6450" s="2" t="s">
        <v>11036</v>
      </c>
      <c r="O6450" s="2" t="s">
        <v>11035</v>
      </c>
      <c r="P6450" s="2" t="s">
        <v>11036</v>
      </c>
      <c r="Q6450" s="2">
        <f>AVERAGE(PerfRate[[#This Row],[EnvironmentSatisfaction]],PerfRate[[#This Row],[JobSatisfaction]],PerfRate[[#This Row],[RelationshipSatisfaction]])</f>
        <v>2.6666666666666665</v>
      </c>
      <c r="R6450" s="2">
        <f>PerfRate[[#This Row],[ManagerRating]] - PerfRate[[#This Row],[SelfRating]]</f>
        <v>0</v>
      </c>
    </row>
    <row r="6451" spans="1:18">
      <c r="A6451" s="2" t="s">
        <v>10758</v>
      </c>
      <c r="B6451" s="2" t="s">
        <v>464</v>
      </c>
      <c r="C6451" s="1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  <c r="L6451" s="2" t="s">
        <v>11031</v>
      </c>
      <c r="M6451" s="2" t="s">
        <v>11031</v>
      </c>
      <c r="N6451" s="2" t="s">
        <v>11037</v>
      </c>
      <c r="O6451" s="2" t="s">
        <v>11036</v>
      </c>
      <c r="P6451" s="2" t="s">
        <v>11035</v>
      </c>
      <c r="Q6451" s="2">
        <f>AVERAGE(PerfRate[[#This Row],[EnvironmentSatisfaction]],PerfRate[[#This Row],[JobSatisfaction]],PerfRate[[#This Row],[RelationshipSatisfaction]])</f>
        <v>3</v>
      </c>
      <c r="R6451" s="2">
        <f>PerfRate[[#This Row],[ManagerRating]] - PerfRate[[#This Row],[SelfRating]]</f>
        <v>0</v>
      </c>
    </row>
    <row r="6452" spans="1:18">
      <c r="A6452" s="2" t="s">
        <v>10759</v>
      </c>
      <c r="B6452" s="2" t="s">
        <v>4142</v>
      </c>
      <c r="C6452" s="1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  <c r="L6452" s="2" t="s">
        <v>11030</v>
      </c>
      <c r="M6452" s="2" t="s">
        <v>11030</v>
      </c>
      <c r="N6452" s="2" t="s">
        <v>11038</v>
      </c>
      <c r="O6452" s="2" t="s">
        <v>11035</v>
      </c>
      <c r="P6452" s="2" t="s">
        <v>11037</v>
      </c>
      <c r="Q6452" s="2">
        <f>AVERAGE(PerfRate[[#This Row],[EnvironmentSatisfaction]],PerfRate[[#This Row],[JobSatisfaction]],PerfRate[[#This Row],[RelationshipSatisfaction]])</f>
        <v>3.6666666666666665</v>
      </c>
      <c r="R6452" s="2">
        <f>PerfRate[[#This Row],[ManagerRating]] - PerfRate[[#This Row],[SelfRating]]</f>
        <v>0</v>
      </c>
    </row>
    <row r="6453" spans="1:18">
      <c r="A6453" s="2" t="s">
        <v>10760</v>
      </c>
      <c r="B6453" s="2" t="s">
        <v>299</v>
      </c>
      <c r="C6453" s="1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  <c r="L6453" s="2" t="s">
        <v>11031</v>
      </c>
      <c r="M6453" s="2" t="s">
        <v>11031</v>
      </c>
      <c r="N6453" s="2" t="s">
        <v>11036</v>
      </c>
      <c r="O6453" s="2" t="s">
        <v>11035</v>
      </c>
      <c r="P6453" s="2" t="s">
        <v>11038</v>
      </c>
      <c r="Q6453" s="2">
        <f>AVERAGE(PerfRate[[#This Row],[EnvironmentSatisfaction]],PerfRate[[#This Row],[JobSatisfaction]],PerfRate[[#This Row],[RelationshipSatisfaction]])</f>
        <v>3.3333333333333335</v>
      </c>
      <c r="R6453" s="2">
        <f>PerfRate[[#This Row],[ManagerRating]] - PerfRate[[#This Row],[SelfRating]]</f>
        <v>0</v>
      </c>
    </row>
    <row r="6454" spans="1:18">
      <c r="A6454" s="2" t="s">
        <v>10761</v>
      </c>
      <c r="B6454" s="2" t="s">
        <v>2885</v>
      </c>
      <c r="C6454" s="1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  <c r="L6454" s="2" t="s">
        <v>11031</v>
      </c>
      <c r="M6454" s="2" t="s">
        <v>11031</v>
      </c>
      <c r="N6454" s="2" t="s">
        <v>11036</v>
      </c>
      <c r="O6454" s="2" t="s">
        <v>11038</v>
      </c>
      <c r="P6454" s="2" t="s">
        <v>11038</v>
      </c>
      <c r="Q6454" s="2">
        <f>AVERAGE(PerfRate[[#This Row],[EnvironmentSatisfaction]],PerfRate[[#This Row],[JobSatisfaction]],PerfRate[[#This Row],[RelationshipSatisfaction]])</f>
        <v>4.333333333333333</v>
      </c>
      <c r="R6454" s="2">
        <f>PerfRate[[#This Row],[ManagerRating]] - PerfRate[[#This Row],[SelfRating]]</f>
        <v>0</v>
      </c>
    </row>
    <row r="6455" spans="1:18">
      <c r="A6455" s="2" t="s">
        <v>10762</v>
      </c>
      <c r="B6455" s="2" t="s">
        <v>2563</v>
      </c>
      <c r="C6455" s="1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  <c r="L6455" s="2" t="s">
        <v>11030</v>
      </c>
      <c r="M6455" s="2" t="s">
        <v>11030</v>
      </c>
      <c r="N6455" s="2" t="s">
        <v>11037</v>
      </c>
      <c r="O6455" s="2" t="s">
        <v>11035</v>
      </c>
      <c r="P6455" s="2" t="s">
        <v>11036</v>
      </c>
      <c r="Q6455" s="2">
        <f>AVERAGE(PerfRate[[#This Row],[EnvironmentSatisfaction]],PerfRate[[#This Row],[JobSatisfaction]],PerfRate[[#This Row],[RelationshipSatisfaction]])</f>
        <v>3</v>
      </c>
      <c r="R6455" s="2">
        <f>PerfRate[[#This Row],[ManagerRating]] - PerfRate[[#This Row],[SelfRating]]</f>
        <v>0</v>
      </c>
    </row>
    <row r="6456" spans="1:18">
      <c r="A6456" s="2" t="s">
        <v>10763</v>
      </c>
      <c r="B6456" s="2" t="s">
        <v>517</v>
      </c>
      <c r="C6456" s="1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  <c r="L6456" s="2" t="s">
        <v>11030</v>
      </c>
      <c r="M6456" s="2" t="s">
        <v>11030</v>
      </c>
      <c r="N6456" s="2" t="s">
        <v>11037</v>
      </c>
      <c r="O6456" s="2" t="s">
        <v>11036</v>
      </c>
      <c r="P6456" s="2" t="s">
        <v>11036</v>
      </c>
      <c r="Q6456" s="2">
        <f>AVERAGE(PerfRate[[#This Row],[EnvironmentSatisfaction]],PerfRate[[#This Row],[JobSatisfaction]],PerfRate[[#This Row],[RelationshipSatisfaction]])</f>
        <v>3.3333333333333335</v>
      </c>
      <c r="R6456" s="2">
        <f>PerfRate[[#This Row],[ManagerRating]] - PerfRate[[#This Row],[SelfRating]]</f>
        <v>0</v>
      </c>
    </row>
    <row r="6457" spans="1:18">
      <c r="A6457" s="2" t="s">
        <v>10764</v>
      </c>
      <c r="B6457" s="2" t="s">
        <v>2596</v>
      </c>
      <c r="C6457" s="1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  <c r="L6457" s="2" t="s">
        <v>11031</v>
      </c>
      <c r="M6457" s="2" t="s">
        <v>11031</v>
      </c>
      <c r="N6457" s="2" t="s">
        <v>11036</v>
      </c>
      <c r="O6457" s="2" t="s">
        <v>11035</v>
      </c>
      <c r="P6457" s="2" t="s">
        <v>11038</v>
      </c>
      <c r="Q6457" s="2">
        <f>AVERAGE(PerfRate[[#This Row],[EnvironmentSatisfaction]],PerfRate[[#This Row],[JobSatisfaction]],PerfRate[[#This Row],[RelationshipSatisfaction]])</f>
        <v>3.3333333333333335</v>
      </c>
      <c r="R6457" s="2">
        <f>PerfRate[[#This Row],[ManagerRating]] - PerfRate[[#This Row],[SelfRating]]</f>
        <v>0</v>
      </c>
    </row>
    <row r="6458" spans="1:18">
      <c r="A6458" s="2" t="s">
        <v>10765</v>
      </c>
      <c r="B6458" s="2" t="s">
        <v>86</v>
      </c>
      <c r="C6458" s="1">
        <v>41489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  <c r="L6458" s="2" t="s">
        <v>11031</v>
      </c>
      <c r="M6458" s="2" t="s">
        <v>11031</v>
      </c>
      <c r="N6458" s="2" t="s">
        <v>11037</v>
      </c>
      <c r="O6458" s="2" t="s">
        <v>11037</v>
      </c>
      <c r="P6458" s="2" t="s">
        <v>11038</v>
      </c>
      <c r="Q6458" s="2">
        <f>AVERAGE(PerfRate[[#This Row],[EnvironmentSatisfaction]],PerfRate[[#This Row],[JobSatisfaction]],PerfRate[[#This Row],[RelationshipSatisfaction]])</f>
        <v>4.333333333333333</v>
      </c>
      <c r="R6458" s="2">
        <f>PerfRate[[#This Row],[ManagerRating]] - PerfRate[[#This Row],[SelfRating]]</f>
        <v>0</v>
      </c>
    </row>
    <row r="6459" spans="1:18">
      <c r="A6459" s="2" t="s">
        <v>10766</v>
      </c>
      <c r="B6459" s="2" t="s">
        <v>2920</v>
      </c>
      <c r="C6459" s="1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  <c r="L6459" s="2" t="s">
        <v>11031</v>
      </c>
      <c r="M6459" s="2" t="s">
        <v>11031</v>
      </c>
      <c r="N6459" s="2" t="s">
        <v>11036</v>
      </c>
      <c r="O6459" s="2" t="s">
        <v>11038</v>
      </c>
      <c r="P6459" s="2" t="s">
        <v>11038</v>
      </c>
      <c r="Q6459" s="2">
        <f>AVERAGE(PerfRate[[#This Row],[EnvironmentSatisfaction]],PerfRate[[#This Row],[JobSatisfaction]],PerfRate[[#This Row],[RelationshipSatisfaction]])</f>
        <v>4.333333333333333</v>
      </c>
      <c r="R6459" s="2">
        <f>PerfRate[[#This Row],[ManagerRating]] - PerfRate[[#This Row],[SelfRating]]</f>
        <v>0</v>
      </c>
    </row>
    <row r="6460" spans="1:18">
      <c r="A6460" s="2" t="s">
        <v>10767</v>
      </c>
      <c r="B6460" s="2" t="s">
        <v>134</v>
      </c>
      <c r="C6460" s="1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  <c r="L6460" s="2" t="s">
        <v>11031</v>
      </c>
      <c r="M6460" s="2" t="s">
        <v>11031</v>
      </c>
      <c r="N6460" s="2" t="s">
        <v>11036</v>
      </c>
      <c r="O6460" s="2" t="s">
        <v>11035</v>
      </c>
      <c r="P6460" s="2" t="s">
        <v>11035</v>
      </c>
      <c r="Q6460" s="2">
        <f>AVERAGE(PerfRate[[#This Row],[EnvironmentSatisfaction]],PerfRate[[#This Row],[JobSatisfaction]],PerfRate[[#This Row],[RelationshipSatisfaction]])</f>
        <v>2.3333333333333335</v>
      </c>
      <c r="R6460" s="2">
        <f>PerfRate[[#This Row],[ManagerRating]] - PerfRate[[#This Row],[SelfRating]]</f>
        <v>0</v>
      </c>
    </row>
    <row r="6461" spans="1:18">
      <c r="A6461" s="2" t="s">
        <v>10768</v>
      </c>
      <c r="B6461" s="2" t="s">
        <v>4230</v>
      </c>
      <c r="C6461" s="1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  <c r="L6461" s="2" t="s">
        <v>11030</v>
      </c>
      <c r="M6461" s="2" t="s">
        <v>11030</v>
      </c>
      <c r="N6461" s="2" t="s">
        <v>11037</v>
      </c>
      <c r="O6461" s="2" t="s">
        <v>11036</v>
      </c>
      <c r="P6461" s="2" t="s">
        <v>11036</v>
      </c>
      <c r="Q6461" s="2">
        <f>AVERAGE(PerfRate[[#This Row],[EnvironmentSatisfaction]],PerfRate[[#This Row],[JobSatisfaction]],PerfRate[[#This Row],[RelationshipSatisfaction]])</f>
        <v>3.3333333333333335</v>
      </c>
      <c r="R6461" s="2">
        <f>PerfRate[[#This Row],[ManagerRating]] - PerfRate[[#This Row],[SelfRating]]</f>
        <v>0</v>
      </c>
    </row>
    <row r="6462" spans="1:18">
      <c r="A6462" s="2" t="s">
        <v>10769</v>
      </c>
      <c r="B6462" s="2" t="s">
        <v>482</v>
      </c>
      <c r="C6462" s="1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  <c r="L6462" s="2" t="s">
        <v>11029</v>
      </c>
      <c r="M6462" s="2" t="s">
        <v>11029</v>
      </c>
      <c r="N6462" s="2" t="s">
        <v>11037</v>
      </c>
      <c r="O6462" s="2" t="s">
        <v>11037</v>
      </c>
      <c r="P6462" s="2" t="s">
        <v>11035</v>
      </c>
      <c r="Q6462" s="2">
        <f>AVERAGE(PerfRate[[#This Row],[EnvironmentSatisfaction]],PerfRate[[#This Row],[JobSatisfaction]],PerfRate[[#This Row],[RelationshipSatisfaction]])</f>
        <v>3.3333333333333335</v>
      </c>
      <c r="R6462" s="2">
        <f>PerfRate[[#This Row],[ManagerRating]] - PerfRate[[#This Row],[SelfRating]]</f>
        <v>0</v>
      </c>
    </row>
    <row r="6463" spans="1:18">
      <c r="A6463" s="2" t="s">
        <v>10770</v>
      </c>
      <c r="B6463" s="2" t="s">
        <v>3280</v>
      </c>
      <c r="C6463" s="1">
        <v>42045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  <c r="L6463" s="2" t="s">
        <v>11031</v>
      </c>
      <c r="M6463" s="2" t="s">
        <v>11031</v>
      </c>
      <c r="N6463" s="2" t="s">
        <v>11037</v>
      </c>
      <c r="O6463" s="2" t="s">
        <v>11038</v>
      </c>
      <c r="P6463" s="2" t="s">
        <v>11036</v>
      </c>
      <c r="Q6463" s="2">
        <f>AVERAGE(PerfRate[[#This Row],[EnvironmentSatisfaction]],PerfRate[[#This Row],[JobSatisfaction]],PerfRate[[#This Row],[RelationshipSatisfaction]])</f>
        <v>4</v>
      </c>
      <c r="R6463" s="2">
        <f>PerfRate[[#This Row],[ManagerRating]] - PerfRate[[#This Row],[SelfRating]]</f>
        <v>0</v>
      </c>
    </row>
    <row r="6464" spans="1:18">
      <c r="A6464" s="2" t="s">
        <v>10771</v>
      </c>
      <c r="B6464" s="2" t="s">
        <v>3074</v>
      </c>
      <c r="C6464" s="1">
        <v>42045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  <c r="L6464" s="2" t="s">
        <v>11030</v>
      </c>
      <c r="M6464" s="2" t="s">
        <v>11030</v>
      </c>
      <c r="N6464" s="2" t="s">
        <v>11037</v>
      </c>
      <c r="O6464" s="2" t="s">
        <v>11035</v>
      </c>
      <c r="P6464" s="2" t="s">
        <v>11036</v>
      </c>
      <c r="Q6464" s="2">
        <f>AVERAGE(PerfRate[[#This Row],[EnvironmentSatisfaction]],PerfRate[[#This Row],[JobSatisfaction]],PerfRate[[#This Row],[RelationshipSatisfaction]])</f>
        <v>3</v>
      </c>
      <c r="R6464" s="2">
        <f>PerfRate[[#This Row],[ManagerRating]] - PerfRate[[#This Row],[SelfRating]]</f>
        <v>0</v>
      </c>
    </row>
    <row r="6465" spans="1:18">
      <c r="A6465" s="2" t="s">
        <v>10772</v>
      </c>
      <c r="B6465" s="2" t="s">
        <v>383</v>
      </c>
      <c r="C6465" s="1">
        <v>42045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  <c r="L6465" s="2" t="s">
        <v>11030</v>
      </c>
      <c r="M6465" s="2" t="s">
        <v>11029</v>
      </c>
      <c r="N6465" s="2" t="s">
        <v>11037</v>
      </c>
      <c r="O6465" s="2" t="s">
        <v>11038</v>
      </c>
      <c r="P6465" s="2" t="s">
        <v>11037</v>
      </c>
      <c r="Q6465" s="2">
        <f>AVERAGE(PerfRate[[#This Row],[EnvironmentSatisfaction]],PerfRate[[#This Row],[JobSatisfaction]],PerfRate[[#This Row],[RelationshipSatisfaction]])</f>
        <v>4.333333333333333</v>
      </c>
      <c r="R6465" s="2">
        <f>PerfRate[[#This Row],[ManagerRating]] - PerfRate[[#This Row],[SelfRating]]</f>
        <v>-1</v>
      </c>
    </row>
    <row r="6466" spans="1:18">
      <c r="A6466" s="2" t="s">
        <v>10773</v>
      </c>
      <c r="B6466" s="2" t="s">
        <v>89</v>
      </c>
      <c r="C6466" s="1">
        <v>42104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  <c r="L6466" s="2" t="s">
        <v>11029</v>
      </c>
      <c r="M6466" s="2" t="s">
        <v>11028</v>
      </c>
      <c r="N6466" s="2" t="s">
        <v>11037</v>
      </c>
      <c r="O6466" s="2" t="s">
        <v>11036</v>
      </c>
      <c r="P6466" s="2" t="s">
        <v>11038</v>
      </c>
      <c r="Q6466" s="2">
        <f>AVERAGE(PerfRate[[#This Row],[EnvironmentSatisfaction]],PerfRate[[#This Row],[JobSatisfaction]],PerfRate[[#This Row],[RelationshipSatisfaction]])</f>
        <v>4</v>
      </c>
      <c r="R6466" s="2">
        <f>PerfRate[[#This Row],[ManagerRating]] - PerfRate[[#This Row],[SelfRating]]</f>
        <v>-1</v>
      </c>
    </row>
    <row r="6467" spans="1:18">
      <c r="A6467" s="2" t="s">
        <v>10774</v>
      </c>
      <c r="B6467" s="2" t="s">
        <v>502</v>
      </c>
      <c r="C6467" s="1">
        <v>42257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  <c r="L6467" s="2" t="s">
        <v>11031</v>
      </c>
      <c r="M6467" s="2" t="s">
        <v>11031</v>
      </c>
      <c r="N6467" s="2" t="s">
        <v>11036</v>
      </c>
      <c r="O6467" s="2" t="s">
        <v>11037</v>
      </c>
      <c r="P6467" s="2" t="s">
        <v>11038</v>
      </c>
      <c r="Q6467" s="2">
        <f>AVERAGE(PerfRate[[#This Row],[EnvironmentSatisfaction]],PerfRate[[#This Row],[JobSatisfaction]],PerfRate[[#This Row],[RelationshipSatisfaction]])</f>
        <v>4</v>
      </c>
      <c r="R6467" s="2">
        <f>PerfRate[[#This Row],[ManagerRating]] - PerfRate[[#This Row],[SelfRating]]</f>
        <v>0</v>
      </c>
    </row>
    <row r="6468" spans="1:18">
      <c r="A6468" s="2" t="s">
        <v>10775</v>
      </c>
      <c r="B6468" s="2" t="s">
        <v>3329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  <c r="L6468" s="2" t="s">
        <v>11031</v>
      </c>
      <c r="M6468" s="2" t="s">
        <v>11031</v>
      </c>
      <c r="N6468" s="2" t="s">
        <v>11036</v>
      </c>
      <c r="O6468" s="2" t="s">
        <v>11037</v>
      </c>
      <c r="P6468" s="2" t="s">
        <v>11035</v>
      </c>
      <c r="Q6468" s="2">
        <f>AVERAGE(PerfRate[[#This Row],[EnvironmentSatisfaction]],PerfRate[[#This Row],[JobSatisfaction]],PerfRate[[#This Row],[RelationshipSatisfaction]])</f>
        <v>3</v>
      </c>
      <c r="R6468" s="2">
        <f>PerfRate[[#This Row],[ManagerRating]] - PerfRate[[#This Row],[SelfRating]]</f>
        <v>0</v>
      </c>
    </row>
    <row r="6469" spans="1:18">
      <c r="A6469" s="2" t="s">
        <v>10776</v>
      </c>
      <c r="B6469" s="2" t="s">
        <v>800</v>
      </c>
      <c r="C6469" s="1">
        <v>41550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  <c r="L6469" s="2" t="s">
        <v>11029</v>
      </c>
      <c r="M6469" s="2" t="s">
        <v>11029</v>
      </c>
      <c r="N6469" s="2" t="s">
        <v>11036</v>
      </c>
      <c r="O6469" s="2" t="s">
        <v>11038</v>
      </c>
      <c r="P6469" s="2" t="s">
        <v>11037</v>
      </c>
      <c r="Q6469" s="2">
        <f>AVERAGE(PerfRate[[#This Row],[EnvironmentSatisfaction]],PerfRate[[#This Row],[JobSatisfaction]],PerfRate[[#This Row],[RelationshipSatisfaction]])</f>
        <v>4</v>
      </c>
      <c r="R6469" s="2">
        <f>PerfRate[[#This Row],[ManagerRating]] - PerfRate[[#This Row],[SelfRating]]</f>
        <v>0</v>
      </c>
    </row>
    <row r="6470" spans="1:18">
      <c r="A6470" s="2" t="s">
        <v>10777</v>
      </c>
      <c r="B6470" s="2" t="s">
        <v>3739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  <c r="L6470" s="2" t="s">
        <v>11029</v>
      </c>
      <c r="M6470" s="2" t="s">
        <v>11029</v>
      </c>
      <c r="N6470" s="2" t="s">
        <v>11037</v>
      </c>
      <c r="O6470" s="2" t="s">
        <v>11038</v>
      </c>
      <c r="P6470" s="2" t="s">
        <v>11036</v>
      </c>
      <c r="Q6470" s="2">
        <f>AVERAGE(PerfRate[[#This Row],[EnvironmentSatisfaction]],PerfRate[[#This Row],[JobSatisfaction]],PerfRate[[#This Row],[RelationshipSatisfaction]])</f>
        <v>4</v>
      </c>
      <c r="R6470" s="2">
        <f>PerfRate[[#This Row],[ManagerRating]] - PerfRate[[#This Row],[SelfRating]]</f>
        <v>0</v>
      </c>
    </row>
    <row r="6471" spans="1:18">
      <c r="A6471" s="2" t="s">
        <v>10778</v>
      </c>
      <c r="B6471" s="2" t="s">
        <v>1301</v>
      </c>
      <c r="C6471" s="1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  <c r="L6471" s="2" t="s">
        <v>11031</v>
      </c>
      <c r="M6471" s="2" t="s">
        <v>11031</v>
      </c>
      <c r="N6471" s="2" t="s">
        <v>11037</v>
      </c>
      <c r="O6471" s="2" t="s">
        <v>11035</v>
      </c>
      <c r="P6471" s="2" t="s">
        <v>11035</v>
      </c>
      <c r="Q6471" s="2">
        <f>AVERAGE(PerfRate[[#This Row],[EnvironmentSatisfaction]],PerfRate[[#This Row],[JobSatisfaction]],PerfRate[[#This Row],[RelationshipSatisfaction]])</f>
        <v>2.6666666666666665</v>
      </c>
      <c r="R6471" s="2">
        <f>PerfRate[[#This Row],[ManagerRating]] - PerfRate[[#This Row],[SelfRating]]</f>
        <v>0</v>
      </c>
    </row>
    <row r="6472" spans="1:18">
      <c r="A6472" s="2" t="s">
        <v>10779</v>
      </c>
      <c r="B6472" s="2" t="s">
        <v>3323</v>
      </c>
      <c r="C6472" s="1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  <c r="L6472" s="2" t="s">
        <v>11030</v>
      </c>
      <c r="M6472" s="2" t="s">
        <v>11030</v>
      </c>
      <c r="N6472" s="2" t="s">
        <v>11038</v>
      </c>
      <c r="O6472" s="2" t="s">
        <v>11037</v>
      </c>
      <c r="P6472" s="2" t="s">
        <v>11036</v>
      </c>
      <c r="Q6472" s="2">
        <f>AVERAGE(PerfRate[[#This Row],[EnvironmentSatisfaction]],PerfRate[[#This Row],[JobSatisfaction]],PerfRate[[#This Row],[RelationshipSatisfaction]])</f>
        <v>4</v>
      </c>
      <c r="R6472" s="2">
        <f>PerfRate[[#This Row],[ManagerRating]] - PerfRate[[#This Row],[SelfRating]]</f>
        <v>0</v>
      </c>
    </row>
    <row r="6473" spans="1:18">
      <c r="A6473" s="2" t="s">
        <v>10780</v>
      </c>
      <c r="B6473" s="2" t="s">
        <v>3611</v>
      </c>
      <c r="C6473" s="1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  <c r="L6473" s="2" t="s">
        <v>11030</v>
      </c>
      <c r="M6473" s="2" t="s">
        <v>11030</v>
      </c>
      <c r="N6473" s="2" t="s">
        <v>11037</v>
      </c>
      <c r="O6473" s="2" t="s">
        <v>11038</v>
      </c>
      <c r="P6473" s="2" t="s">
        <v>11036</v>
      </c>
      <c r="Q6473" s="2">
        <f>AVERAGE(PerfRate[[#This Row],[EnvironmentSatisfaction]],PerfRate[[#This Row],[JobSatisfaction]],PerfRate[[#This Row],[RelationshipSatisfaction]])</f>
        <v>4</v>
      </c>
      <c r="R6473" s="2">
        <f>PerfRate[[#This Row],[ManagerRating]] - PerfRate[[#This Row],[SelfRating]]</f>
        <v>0</v>
      </c>
    </row>
    <row r="6474" spans="1:18">
      <c r="A6474" s="2" t="s">
        <v>10781</v>
      </c>
      <c r="B6474" s="2" t="s">
        <v>2843</v>
      </c>
      <c r="C6474" s="1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  <c r="L6474" s="2" t="s">
        <v>11030</v>
      </c>
      <c r="M6474" s="2" t="s">
        <v>11029</v>
      </c>
      <c r="N6474" s="2" t="s">
        <v>11038</v>
      </c>
      <c r="O6474" s="2" t="s">
        <v>11035</v>
      </c>
      <c r="P6474" s="2" t="s">
        <v>11036</v>
      </c>
      <c r="Q6474" s="2">
        <f>AVERAGE(PerfRate[[#This Row],[EnvironmentSatisfaction]],PerfRate[[#This Row],[JobSatisfaction]],PerfRate[[#This Row],[RelationshipSatisfaction]])</f>
        <v>3.3333333333333335</v>
      </c>
      <c r="R6474" s="2">
        <f>PerfRate[[#This Row],[ManagerRating]] - PerfRate[[#This Row],[SelfRating]]</f>
        <v>-1</v>
      </c>
    </row>
    <row r="6475" spans="1:18">
      <c r="A6475" s="2" t="s">
        <v>10782</v>
      </c>
      <c r="B6475" s="2" t="s">
        <v>359</v>
      </c>
      <c r="C6475" s="1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  <c r="L6475" s="2" t="s">
        <v>11029</v>
      </c>
      <c r="M6475" s="2" t="s">
        <v>11028</v>
      </c>
      <c r="N6475" s="2" t="s">
        <v>11038</v>
      </c>
      <c r="O6475" s="2" t="s">
        <v>11037</v>
      </c>
      <c r="P6475" s="2" t="s">
        <v>11037</v>
      </c>
      <c r="Q6475" s="2">
        <f>AVERAGE(PerfRate[[#This Row],[EnvironmentSatisfaction]],PerfRate[[#This Row],[JobSatisfaction]],PerfRate[[#This Row],[RelationshipSatisfaction]])</f>
        <v>4.333333333333333</v>
      </c>
      <c r="R6475" s="2">
        <f>PerfRate[[#This Row],[ManagerRating]] - PerfRate[[#This Row],[SelfRating]]</f>
        <v>-1</v>
      </c>
    </row>
    <row r="6476" spans="1:18">
      <c r="A6476" s="2" t="s">
        <v>10783</v>
      </c>
      <c r="B6476" s="2" t="s">
        <v>955</v>
      </c>
      <c r="C6476" s="1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  <c r="L6476" s="2" t="s">
        <v>11030</v>
      </c>
      <c r="M6476" s="2" t="s">
        <v>11030</v>
      </c>
      <c r="N6476" s="2" t="s">
        <v>11037</v>
      </c>
      <c r="O6476" s="2" t="s">
        <v>11035</v>
      </c>
      <c r="P6476" s="2" t="s">
        <v>11038</v>
      </c>
      <c r="Q6476" s="2">
        <f>AVERAGE(PerfRate[[#This Row],[EnvironmentSatisfaction]],PerfRate[[#This Row],[JobSatisfaction]],PerfRate[[#This Row],[RelationshipSatisfaction]])</f>
        <v>3.6666666666666665</v>
      </c>
      <c r="R6476" s="2">
        <f>PerfRate[[#This Row],[ManagerRating]] - PerfRate[[#This Row],[SelfRating]]</f>
        <v>0</v>
      </c>
    </row>
    <row r="6477" spans="1:18">
      <c r="A6477" s="2" t="s">
        <v>10784</v>
      </c>
      <c r="B6477" s="2" t="s">
        <v>3054</v>
      </c>
      <c r="C6477" s="1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  <c r="L6477" s="2" t="s">
        <v>11031</v>
      </c>
      <c r="M6477" s="2" t="s">
        <v>11031</v>
      </c>
      <c r="N6477" s="2" t="s">
        <v>11037</v>
      </c>
      <c r="O6477" s="2" t="s">
        <v>11037</v>
      </c>
      <c r="P6477" s="2" t="s">
        <v>11036</v>
      </c>
      <c r="Q6477" s="2">
        <f>AVERAGE(PerfRate[[#This Row],[EnvironmentSatisfaction]],PerfRate[[#This Row],[JobSatisfaction]],PerfRate[[#This Row],[RelationshipSatisfaction]])</f>
        <v>3.6666666666666665</v>
      </c>
      <c r="R6477" s="2">
        <f>PerfRate[[#This Row],[ManagerRating]] - PerfRate[[#This Row],[SelfRating]]</f>
        <v>0</v>
      </c>
    </row>
    <row r="6478" spans="1:18">
      <c r="A6478" s="2" t="s">
        <v>10785</v>
      </c>
      <c r="B6478" s="2" t="s">
        <v>431</v>
      </c>
      <c r="C6478" s="1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  <c r="L6478" s="2" t="s">
        <v>11031</v>
      </c>
      <c r="M6478" s="2" t="s">
        <v>11031</v>
      </c>
      <c r="N6478" s="2" t="s">
        <v>11037</v>
      </c>
      <c r="O6478" s="2" t="s">
        <v>11037</v>
      </c>
      <c r="P6478" s="2" t="s">
        <v>11037</v>
      </c>
      <c r="Q6478" s="2">
        <f>AVERAGE(PerfRate[[#This Row],[EnvironmentSatisfaction]],PerfRate[[#This Row],[JobSatisfaction]],PerfRate[[#This Row],[RelationshipSatisfaction]])</f>
        <v>4</v>
      </c>
      <c r="R6478" s="2">
        <f>PerfRate[[#This Row],[ManagerRating]] - PerfRate[[#This Row],[SelfRating]]</f>
        <v>0</v>
      </c>
    </row>
    <row r="6479" spans="1:18">
      <c r="A6479" s="2" t="s">
        <v>10786</v>
      </c>
      <c r="B6479" s="2" t="s">
        <v>3583</v>
      </c>
      <c r="C6479" s="1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  <c r="L6479" s="2" t="s">
        <v>11030</v>
      </c>
      <c r="M6479" s="2" t="s">
        <v>11030</v>
      </c>
      <c r="N6479" s="2" t="s">
        <v>11038</v>
      </c>
      <c r="O6479" s="2" t="s">
        <v>11038</v>
      </c>
      <c r="P6479" s="2" t="s">
        <v>11036</v>
      </c>
      <c r="Q6479" s="2">
        <f>AVERAGE(PerfRate[[#This Row],[EnvironmentSatisfaction]],PerfRate[[#This Row],[JobSatisfaction]],PerfRate[[#This Row],[RelationshipSatisfaction]])</f>
        <v>4.333333333333333</v>
      </c>
      <c r="R6479" s="2">
        <f>PerfRate[[#This Row],[ManagerRating]] - PerfRate[[#This Row],[SelfRating]]</f>
        <v>0</v>
      </c>
    </row>
    <row r="6480" spans="1:18">
      <c r="A6480" s="2" t="s">
        <v>10787</v>
      </c>
      <c r="B6480" s="2" t="s">
        <v>1939</v>
      </c>
      <c r="C6480" s="1">
        <v>41611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  <c r="L6480" s="2" t="s">
        <v>11031</v>
      </c>
      <c r="M6480" s="2" t="s">
        <v>11030</v>
      </c>
      <c r="N6480" s="2" t="s">
        <v>11036</v>
      </c>
      <c r="O6480" s="2" t="s">
        <v>11035</v>
      </c>
      <c r="P6480" s="2" t="s">
        <v>11036</v>
      </c>
      <c r="Q6480" s="2">
        <f>AVERAGE(PerfRate[[#This Row],[EnvironmentSatisfaction]],PerfRate[[#This Row],[JobSatisfaction]],PerfRate[[#This Row],[RelationshipSatisfaction]])</f>
        <v>2.6666666666666665</v>
      </c>
      <c r="R6480" s="2">
        <f>PerfRate[[#This Row],[ManagerRating]] - PerfRate[[#This Row],[SelfRating]]</f>
        <v>-1</v>
      </c>
    </row>
    <row r="6481" spans="1:18">
      <c r="A6481" s="2" t="s">
        <v>10788</v>
      </c>
      <c r="B6481" s="2" t="s">
        <v>138</v>
      </c>
      <c r="C6481" s="1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  <c r="L6481" s="2" t="s">
        <v>11029</v>
      </c>
      <c r="M6481" s="2" t="s">
        <v>11029</v>
      </c>
      <c r="N6481" s="2" t="s">
        <v>11038</v>
      </c>
      <c r="O6481" s="2" t="s">
        <v>11038</v>
      </c>
      <c r="P6481" s="2" t="s">
        <v>11036</v>
      </c>
      <c r="Q6481" s="2">
        <f>AVERAGE(PerfRate[[#This Row],[EnvironmentSatisfaction]],PerfRate[[#This Row],[JobSatisfaction]],PerfRate[[#This Row],[RelationshipSatisfaction]])</f>
        <v>4.333333333333333</v>
      </c>
      <c r="R6481" s="2">
        <f>PerfRate[[#This Row],[ManagerRating]] - PerfRate[[#This Row],[SelfRating]]</f>
        <v>0</v>
      </c>
    </row>
    <row r="6482" spans="1:18">
      <c r="A6482" s="2" t="s">
        <v>10789</v>
      </c>
      <c r="B6482" s="2" t="s">
        <v>23</v>
      </c>
      <c r="C6482" s="1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  <c r="L6482" s="2" t="s">
        <v>11030</v>
      </c>
      <c r="M6482" s="2" t="s">
        <v>11030</v>
      </c>
      <c r="N6482" s="2" t="s">
        <v>11038</v>
      </c>
      <c r="O6482" s="2" t="s">
        <v>11038</v>
      </c>
      <c r="P6482" s="2" t="s">
        <v>11035</v>
      </c>
      <c r="Q6482" s="2">
        <f>AVERAGE(PerfRate[[#This Row],[EnvironmentSatisfaction]],PerfRate[[#This Row],[JobSatisfaction]],PerfRate[[#This Row],[RelationshipSatisfaction]])</f>
        <v>4</v>
      </c>
      <c r="R6482" s="2">
        <f>PerfRate[[#This Row],[ManagerRating]] - PerfRate[[#This Row],[SelfRating]]</f>
        <v>0</v>
      </c>
    </row>
    <row r="6483" spans="1:18">
      <c r="A6483" s="2" t="s">
        <v>10790</v>
      </c>
      <c r="B6483" s="2" t="s">
        <v>4069</v>
      </c>
      <c r="C6483" s="1">
        <v>42015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  <c r="L6483" s="2" t="s">
        <v>11030</v>
      </c>
      <c r="M6483" s="2" t="s">
        <v>11030</v>
      </c>
      <c r="N6483" s="2" t="s">
        <v>11036</v>
      </c>
      <c r="O6483" s="2" t="s">
        <v>11037</v>
      </c>
      <c r="P6483" s="2" t="s">
        <v>11038</v>
      </c>
      <c r="Q6483" s="2">
        <f>AVERAGE(PerfRate[[#This Row],[EnvironmentSatisfaction]],PerfRate[[#This Row],[JobSatisfaction]],PerfRate[[#This Row],[RelationshipSatisfaction]])</f>
        <v>4</v>
      </c>
      <c r="R6483" s="2">
        <f>PerfRate[[#This Row],[ManagerRating]] - PerfRate[[#This Row],[SelfRating]]</f>
        <v>0</v>
      </c>
    </row>
    <row r="6484" spans="1:18">
      <c r="A6484" s="2" t="s">
        <v>10791</v>
      </c>
      <c r="B6484" s="2" t="s">
        <v>389</v>
      </c>
      <c r="C6484" s="1">
        <v>42074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  <c r="L6484" s="2" t="s">
        <v>11029</v>
      </c>
      <c r="M6484" s="2" t="s">
        <v>11028</v>
      </c>
      <c r="N6484" s="2" t="s">
        <v>11037</v>
      </c>
      <c r="O6484" s="2" t="s">
        <v>11037</v>
      </c>
      <c r="P6484" s="2" t="s">
        <v>11038</v>
      </c>
      <c r="Q6484" s="2">
        <f>AVERAGE(PerfRate[[#This Row],[EnvironmentSatisfaction]],PerfRate[[#This Row],[JobSatisfaction]],PerfRate[[#This Row],[RelationshipSatisfaction]])</f>
        <v>4.333333333333333</v>
      </c>
      <c r="R6484" s="2">
        <f>PerfRate[[#This Row],[ManagerRating]] - PerfRate[[#This Row],[SelfRating]]</f>
        <v>-1</v>
      </c>
    </row>
    <row r="6485" spans="1:18">
      <c r="A6485" s="2" t="s">
        <v>10792</v>
      </c>
      <c r="B6485" s="2" t="s">
        <v>3020</v>
      </c>
      <c r="C6485" s="1">
        <v>42074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  <c r="L6485" s="2" t="s">
        <v>11030</v>
      </c>
      <c r="M6485" s="2" t="s">
        <v>11030</v>
      </c>
      <c r="N6485" s="2" t="s">
        <v>11037</v>
      </c>
      <c r="O6485" s="2" t="s">
        <v>11038</v>
      </c>
      <c r="P6485" s="2" t="s">
        <v>11036</v>
      </c>
      <c r="Q6485" s="2">
        <f>AVERAGE(PerfRate[[#This Row],[EnvironmentSatisfaction]],PerfRate[[#This Row],[JobSatisfaction]],PerfRate[[#This Row],[RelationshipSatisfaction]])</f>
        <v>4</v>
      </c>
      <c r="R6485" s="2">
        <f>PerfRate[[#This Row],[ManagerRating]] - PerfRate[[#This Row],[SelfRating]]</f>
        <v>0</v>
      </c>
    </row>
    <row r="6486" spans="1:18">
      <c r="A6486" s="2" t="s">
        <v>10793</v>
      </c>
      <c r="B6486" s="2" t="s">
        <v>3552</v>
      </c>
      <c r="C6486" s="1">
        <v>42105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  <c r="L6486" s="2" t="s">
        <v>11030</v>
      </c>
      <c r="M6486" s="2" t="s">
        <v>11029</v>
      </c>
      <c r="N6486" s="2" t="s">
        <v>11038</v>
      </c>
      <c r="O6486" s="2" t="s">
        <v>11035</v>
      </c>
      <c r="P6486" s="2" t="s">
        <v>11035</v>
      </c>
      <c r="Q6486" s="2">
        <f>AVERAGE(PerfRate[[#This Row],[EnvironmentSatisfaction]],PerfRate[[#This Row],[JobSatisfaction]],PerfRate[[#This Row],[RelationshipSatisfaction]])</f>
        <v>3</v>
      </c>
      <c r="R6486" s="2">
        <f>PerfRate[[#This Row],[ManagerRating]] - PerfRate[[#This Row],[SelfRating]]</f>
        <v>-1</v>
      </c>
    </row>
    <row r="6487" spans="1:18">
      <c r="A6487" s="2" t="s">
        <v>10794</v>
      </c>
      <c r="B6487" s="2" t="s">
        <v>3305</v>
      </c>
      <c r="C6487" s="1">
        <v>42166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  <c r="L6487" s="2" t="s">
        <v>11029</v>
      </c>
      <c r="M6487" s="2" t="s">
        <v>11028</v>
      </c>
      <c r="N6487" s="2" t="s">
        <v>11037</v>
      </c>
      <c r="O6487" s="2" t="s">
        <v>11037</v>
      </c>
      <c r="P6487" s="2" t="s">
        <v>11038</v>
      </c>
      <c r="Q6487" s="2">
        <f>AVERAGE(PerfRate[[#This Row],[EnvironmentSatisfaction]],PerfRate[[#This Row],[JobSatisfaction]],PerfRate[[#This Row],[RelationshipSatisfaction]])</f>
        <v>4.333333333333333</v>
      </c>
      <c r="R6487" s="2">
        <f>PerfRate[[#This Row],[ManagerRating]] - PerfRate[[#This Row],[SelfRating]]</f>
        <v>-1</v>
      </c>
    </row>
    <row r="6488" spans="1:18">
      <c r="A6488" s="2" t="s">
        <v>10795</v>
      </c>
      <c r="B6488" s="2" t="s">
        <v>526</v>
      </c>
      <c r="C6488" s="1">
        <v>42196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  <c r="L6488" s="2" t="s">
        <v>11031</v>
      </c>
      <c r="M6488" s="2" t="s">
        <v>11030</v>
      </c>
      <c r="N6488" s="2" t="s">
        <v>11036</v>
      </c>
      <c r="O6488" s="2" t="s">
        <v>11036</v>
      </c>
      <c r="P6488" s="2" t="s">
        <v>11038</v>
      </c>
      <c r="Q6488" s="2">
        <f>AVERAGE(PerfRate[[#This Row],[EnvironmentSatisfaction]],PerfRate[[#This Row],[JobSatisfaction]],PerfRate[[#This Row],[RelationshipSatisfaction]])</f>
        <v>3.6666666666666665</v>
      </c>
      <c r="R6488" s="2">
        <f>PerfRate[[#This Row],[ManagerRating]] - PerfRate[[#This Row],[SelfRating]]</f>
        <v>-1</v>
      </c>
    </row>
    <row r="6489" spans="1:18">
      <c r="A6489" s="2" t="s">
        <v>10796</v>
      </c>
      <c r="B6489" s="2" t="s">
        <v>3442</v>
      </c>
      <c r="C6489" s="1">
        <v>42227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  <c r="L6489" s="2" t="s">
        <v>11030</v>
      </c>
      <c r="M6489" s="2" t="s">
        <v>11030</v>
      </c>
      <c r="N6489" s="2" t="s">
        <v>11036</v>
      </c>
      <c r="O6489" s="2" t="s">
        <v>11035</v>
      </c>
      <c r="P6489" s="2" t="s">
        <v>11037</v>
      </c>
      <c r="Q6489" s="2">
        <f>AVERAGE(PerfRate[[#This Row],[EnvironmentSatisfaction]],PerfRate[[#This Row],[JobSatisfaction]],PerfRate[[#This Row],[RelationshipSatisfaction]])</f>
        <v>3</v>
      </c>
      <c r="R6489" s="2">
        <f>PerfRate[[#This Row],[ManagerRating]] - PerfRate[[#This Row],[SelfRating]]</f>
        <v>0</v>
      </c>
    </row>
    <row r="6490" spans="1:18">
      <c r="A6490" s="2" t="s">
        <v>10797</v>
      </c>
      <c r="B6490" s="2" t="s">
        <v>3631</v>
      </c>
      <c r="C6490" s="1">
        <v>42258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  <c r="L6490" s="2" t="s">
        <v>11030</v>
      </c>
      <c r="M6490" s="2" t="s">
        <v>11029</v>
      </c>
      <c r="N6490" s="2" t="s">
        <v>11038</v>
      </c>
      <c r="O6490" s="2" t="s">
        <v>11036</v>
      </c>
      <c r="P6490" s="2" t="s">
        <v>11035</v>
      </c>
      <c r="Q6490" s="2">
        <f>AVERAGE(PerfRate[[#This Row],[EnvironmentSatisfaction]],PerfRate[[#This Row],[JobSatisfaction]],PerfRate[[#This Row],[RelationshipSatisfaction]])</f>
        <v>3.3333333333333335</v>
      </c>
      <c r="R6490" s="2">
        <f>PerfRate[[#This Row],[ManagerRating]] - PerfRate[[#This Row],[SelfRating]]</f>
        <v>-1</v>
      </c>
    </row>
    <row r="6491" spans="1:18">
      <c r="A6491" s="2" t="s">
        <v>10798</v>
      </c>
      <c r="B6491" s="2" t="s">
        <v>943</v>
      </c>
      <c r="C6491" s="1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  <c r="L6491" s="2" t="s">
        <v>11030</v>
      </c>
      <c r="M6491" s="2" t="s">
        <v>11030</v>
      </c>
      <c r="N6491" s="2" t="s">
        <v>11036</v>
      </c>
      <c r="O6491" s="2" t="s">
        <v>11036</v>
      </c>
      <c r="P6491" s="2" t="s">
        <v>11036</v>
      </c>
      <c r="Q6491" s="2">
        <f>AVERAGE(PerfRate[[#This Row],[EnvironmentSatisfaction]],PerfRate[[#This Row],[JobSatisfaction]],PerfRate[[#This Row],[RelationshipSatisfaction]])</f>
        <v>3</v>
      </c>
      <c r="R6491" s="2">
        <f>PerfRate[[#This Row],[ManagerRating]] - PerfRate[[#This Row],[SelfRating]]</f>
        <v>0</v>
      </c>
    </row>
    <row r="6492" spans="1:18">
      <c r="A6492" s="2" t="s">
        <v>10799</v>
      </c>
      <c r="B6492" s="2" t="s">
        <v>144</v>
      </c>
      <c r="C6492" s="1">
        <v>42288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  <c r="L6492" s="2" t="s">
        <v>11031</v>
      </c>
      <c r="M6492" s="2" t="s">
        <v>11030</v>
      </c>
      <c r="N6492" s="2" t="s">
        <v>11036</v>
      </c>
      <c r="O6492" s="2" t="s">
        <v>11037</v>
      </c>
      <c r="P6492" s="2" t="s">
        <v>11035</v>
      </c>
      <c r="Q6492" s="2">
        <f>AVERAGE(PerfRate[[#This Row],[EnvironmentSatisfaction]],PerfRate[[#This Row],[JobSatisfaction]],PerfRate[[#This Row],[RelationshipSatisfaction]])</f>
        <v>3</v>
      </c>
      <c r="R6492" s="2">
        <f>PerfRate[[#This Row],[ManagerRating]] - PerfRate[[#This Row],[SelfRating]]</f>
        <v>-1</v>
      </c>
    </row>
    <row r="6493" spans="1:18">
      <c r="A6493" s="2" t="s">
        <v>10800</v>
      </c>
      <c r="B6493" s="2" t="s">
        <v>172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  <c r="L6493" s="2" t="s">
        <v>11030</v>
      </c>
      <c r="M6493" s="2" t="s">
        <v>11029</v>
      </c>
      <c r="N6493" s="2" t="s">
        <v>11037</v>
      </c>
      <c r="O6493" s="2" t="s">
        <v>11038</v>
      </c>
      <c r="P6493" s="2" t="s">
        <v>11036</v>
      </c>
      <c r="Q6493" s="2">
        <f>AVERAGE(PerfRate[[#This Row],[EnvironmentSatisfaction]],PerfRate[[#This Row],[JobSatisfaction]],PerfRate[[#This Row],[RelationshipSatisfaction]])</f>
        <v>4</v>
      </c>
      <c r="R6493" s="2">
        <f>PerfRate[[#This Row],[ManagerRating]] - PerfRate[[#This Row],[SelfRating]]</f>
        <v>-1</v>
      </c>
    </row>
    <row r="6494" spans="1:18">
      <c r="A6494" s="2" t="s">
        <v>10801</v>
      </c>
      <c r="B6494" s="2" t="s">
        <v>4227</v>
      </c>
      <c r="C6494" s="1">
        <v>42349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  <c r="L6494" s="2" t="s">
        <v>11030</v>
      </c>
      <c r="M6494" s="2" t="s">
        <v>11029</v>
      </c>
      <c r="N6494" s="2" t="s">
        <v>11037</v>
      </c>
      <c r="O6494" s="2" t="s">
        <v>11037</v>
      </c>
      <c r="P6494" s="2" t="s">
        <v>11038</v>
      </c>
      <c r="Q6494" s="2">
        <f>AVERAGE(PerfRate[[#This Row],[EnvironmentSatisfaction]],PerfRate[[#This Row],[JobSatisfaction]],PerfRate[[#This Row],[RelationshipSatisfaction]])</f>
        <v>4.333333333333333</v>
      </c>
      <c r="R6494" s="2">
        <f>PerfRate[[#This Row],[ManagerRating]] - PerfRate[[#This Row],[SelfRating]]</f>
        <v>-1</v>
      </c>
    </row>
    <row r="6495" spans="1:18">
      <c r="A6495" s="2" t="s">
        <v>10802</v>
      </c>
      <c r="B6495" s="2" t="s">
        <v>3411</v>
      </c>
      <c r="C6495" s="1">
        <v>42349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  <c r="L6495" s="2" t="s">
        <v>11030</v>
      </c>
      <c r="M6495" s="2" t="s">
        <v>11029</v>
      </c>
      <c r="N6495" s="2" t="s">
        <v>11038</v>
      </c>
      <c r="O6495" s="2" t="s">
        <v>11036</v>
      </c>
      <c r="P6495" s="2" t="s">
        <v>11035</v>
      </c>
      <c r="Q6495" s="2">
        <f>AVERAGE(PerfRate[[#This Row],[EnvironmentSatisfaction]],PerfRate[[#This Row],[JobSatisfaction]],PerfRate[[#This Row],[RelationshipSatisfaction]])</f>
        <v>3.3333333333333335</v>
      </c>
      <c r="R6495" s="2">
        <f>PerfRate[[#This Row],[ManagerRating]] - PerfRate[[#This Row],[SelfRating]]</f>
        <v>-1</v>
      </c>
    </row>
    <row r="6496" spans="1:18">
      <c r="A6496" s="2" t="s">
        <v>10803</v>
      </c>
      <c r="B6496" s="2" t="s">
        <v>485</v>
      </c>
      <c r="C6496" s="1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  <c r="L6496" s="2" t="s">
        <v>11031</v>
      </c>
      <c r="M6496" s="2" t="s">
        <v>11030</v>
      </c>
      <c r="N6496" s="2" t="s">
        <v>11038</v>
      </c>
      <c r="O6496" s="2" t="s">
        <v>11037</v>
      </c>
      <c r="P6496" s="2" t="s">
        <v>11036</v>
      </c>
      <c r="Q6496" s="2">
        <f>AVERAGE(PerfRate[[#This Row],[EnvironmentSatisfaction]],PerfRate[[#This Row],[JobSatisfaction]],PerfRate[[#This Row],[RelationshipSatisfaction]])</f>
        <v>4</v>
      </c>
      <c r="R6496" s="2">
        <f>PerfRate[[#This Row],[ManagerRating]] - PerfRate[[#This Row],[SelfRating]]</f>
        <v>-1</v>
      </c>
    </row>
    <row r="6497" spans="1:18">
      <c r="A6497" s="2" t="s">
        <v>10804</v>
      </c>
      <c r="B6497" s="2" t="s">
        <v>125</v>
      </c>
      <c r="C6497" s="1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  <c r="L6497" s="2" t="s">
        <v>11031</v>
      </c>
      <c r="M6497" s="2" t="s">
        <v>11031</v>
      </c>
      <c r="N6497" s="2" t="s">
        <v>11038</v>
      </c>
      <c r="O6497" s="2" t="s">
        <v>11036</v>
      </c>
      <c r="P6497" s="2" t="s">
        <v>11035</v>
      </c>
      <c r="Q6497" s="2">
        <f>AVERAGE(PerfRate[[#This Row],[EnvironmentSatisfaction]],PerfRate[[#This Row],[JobSatisfaction]],PerfRate[[#This Row],[RelationshipSatisfaction]])</f>
        <v>3.3333333333333335</v>
      </c>
      <c r="R6497" s="2">
        <f>PerfRate[[#This Row],[ManagerRating]] - PerfRate[[#This Row],[SelfRating]]</f>
        <v>0</v>
      </c>
    </row>
    <row r="6498" spans="1:18">
      <c r="A6498" s="2" t="s">
        <v>10805</v>
      </c>
      <c r="B6498" s="2" t="s">
        <v>422</v>
      </c>
      <c r="C6498" s="1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  <c r="L6498" s="2" t="s">
        <v>11029</v>
      </c>
      <c r="M6498" s="2" t="s">
        <v>11028</v>
      </c>
      <c r="N6498" s="2" t="s">
        <v>11038</v>
      </c>
      <c r="O6498" s="2" t="s">
        <v>11038</v>
      </c>
      <c r="P6498" s="2" t="s">
        <v>11037</v>
      </c>
      <c r="Q6498" s="2">
        <f>AVERAGE(PerfRate[[#This Row],[EnvironmentSatisfaction]],PerfRate[[#This Row],[JobSatisfaction]],PerfRate[[#This Row],[RelationshipSatisfaction]])</f>
        <v>4.666666666666667</v>
      </c>
      <c r="R6498" s="2">
        <f>PerfRate[[#This Row],[ManagerRating]] - PerfRate[[#This Row],[SelfRating]]</f>
        <v>-1</v>
      </c>
    </row>
    <row r="6499" spans="1:18">
      <c r="A6499" s="2" t="s">
        <v>10806</v>
      </c>
      <c r="B6499" s="2" t="s">
        <v>967</v>
      </c>
      <c r="C6499" s="1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  <c r="L6499" s="2" t="s">
        <v>11031</v>
      </c>
      <c r="M6499" s="2" t="s">
        <v>11030</v>
      </c>
      <c r="N6499" s="2" t="s">
        <v>11038</v>
      </c>
      <c r="O6499" s="2" t="s">
        <v>11037</v>
      </c>
      <c r="P6499" s="2" t="s">
        <v>11036</v>
      </c>
      <c r="Q6499" s="2">
        <f>AVERAGE(PerfRate[[#This Row],[EnvironmentSatisfaction]],PerfRate[[#This Row],[JobSatisfaction]],PerfRate[[#This Row],[RelationshipSatisfaction]])</f>
        <v>4</v>
      </c>
      <c r="R6499" s="2">
        <f>PerfRate[[#This Row],[ManagerRating]] - PerfRate[[#This Row],[SelfRating]]</f>
        <v>-1</v>
      </c>
    </row>
    <row r="6500" spans="1:18">
      <c r="A6500" s="2" t="s">
        <v>10807</v>
      </c>
      <c r="B6500" s="2" t="s">
        <v>371</v>
      </c>
      <c r="C6500" s="1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  <c r="L6500" s="2" t="s">
        <v>11029</v>
      </c>
      <c r="M6500" s="2" t="s">
        <v>11028</v>
      </c>
      <c r="N6500" s="2" t="s">
        <v>11038</v>
      </c>
      <c r="O6500" s="2" t="s">
        <v>11037</v>
      </c>
      <c r="P6500" s="2" t="s">
        <v>11038</v>
      </c>
      <c r="Q6500" s="2">
        <f>AVERAGE(PerfRate[[#This Row],[EnvironmentSatisfaction]],PerfRate[[#This Row],[JobSatisfaction]],PerfRate[[#This Row],[RelationshipSatisfaction]])</f>
        <v>4.666666666666667</v>
      </c>
      <c r="R6500" s="2">
        <f>PerfRate[[#This Row],[ManagerRating]] - PerfRate[[#This Row],[SelfRating]]</f>
        <v>-1</v>
      </c>
    </row>
    <row r="6501" spans="1:18">
      <c r="A6501" s="2" t="s">
        <v>10808</v>
      </c>
      <c r="B6501" s="2" t="s">
        <v>157</v>
      </c>
      <c r="C6501" s="1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  <c r="L6501" s="2" t="s">
        <v>11031</v>
      </c>
      <c r="M6501" s="2" t="s">
        <v>11031</v>
      </c>
      <c r="N6501" s="2" t="s">
        <v>11038</v>
      </c>
      <c r="O6501" s="2" t="s">
        <v>11038</v>
      </c>
      <c r="P6501" s="2" t="s">
        <v>11037</v>
      </c>
      <c r="Q6501" s="2">
        <f>AVERAGE(PerfRate[[#This Row],[EnvironmentSatisfaction]],PerfRate[[#This Row],[JobSatisfaction]],PerfRate[[#This Row],[RelationshipSatisfaction]])</f>
        <v>4.666666666666667</v>
      </c>
      <c r="R6501" s="2">
        <f>PerfRate[[#This Row],[ManagerRating]] - PerfRate[[#This Row],[SelfRating]]</f>
        <v>0</v>
      </c>
    </row>
    <row r="6502" spans="1:18">
      <c r="A6502" s="2" t="s">
        <v>10809</v>
      </c>
      <c r="B6502" s="2" t="s">
        <v>586</v>
      </c>
      <c r="C6502" s="1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  <c r="L6502" s="2" t="s">
        <v>11031</v>
      </c>
      <c r="M6502" s="2" t="s">
        <v>11031</v>
      </c>
      <c r="N6502" s="2" t="s">
        <v>11036</v>
      </c>
      <c r="O6502" s="2" t="s">
        <v>11037</v>
      </c>
      <c r="P6502" s="2" t="s">
        <v>11038</v>
      </c>
      <c r="Q6502" s="2">
        <f>AVERAGE(PerfRate[[#This Row],[EnvironmentSatisfaction]],PerfRate[[#This Row],[JobSatisfaction]],PerfRate[[#This Row],[RelationshipSatisfaction]])</f>
        <v>4</v>
      </c>
      <c r="R6502" s="2">
        <f>PerfRate[[#This Row],[ManagerRating]] - PerfRate[[#This Row],[SelfRating]]</f>
        <v>0</v>
      </c>
    </row>
    <row r="6503" spans="1:18">
      <c r="A6503" s="2" t="s">
        <v>10810</v>
      </c>
      <c r="B6503" s="2" t="s">
        <v>62</v>
      </c>
      <c r="C6503" s="1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  <c r="L6503" s="2" t="s">
        <v>11029</v>
      </c>
      <c r="M6503" s="2" t="s">
        <v>11028</v>
      </c>
      <c r="N6503" s="2" t="s">
        <v>11037</v>
      </c>
      <c r="O6503" s="2" t="s">
        <v>11036</v>
      </c>
      <c r="P6503" s="2" t="s">
        <v>11036</v>
      </c>
      <c r="Q6503" s="2">
        <f>AVERAGE(PerfRate[[#This Row],[EnvironmentSatisfaction]],PerfRate[[#This Row],[JobSatisfaction]],PerfRate[[#This Row],[RelationshipSatisfaction]])</f>
        <v>3.3333333333333335</v>
      </c>
      <c r="R6503" s="2">
        <f>PerfRate[[#This Row],[ManagerRating]] - PerfRate[[#This Row],[SelfRating]]</f>
        <v>-1</v>
      </c>
    </row>
    <row r="6504" spans="1:18">
      <c r="A6504" s="2" t="s">
        <v>10811</v>
      </c>
      <c r="B6504" s="2" t="s">
        <v>163</v>
      </c>
      <c r="C6504" s="1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  <c r="L6504" s="2" t="s">
        <v>11031</v>
      </c>
      <c r="M6504" s="2" t="s">
        <v>11030</v>
      </c>
      <c r="N6504" s="2" t="s">
        <v>11036</v>
      </c>
      <c r="O6504" s="2" t="s">
        <v>11035</v>
      </c>
      <c r="P6504" s="2" t="s">
        <v>11036</v>
      </c>
      <c r="Q6504" s="2">
        <f>AVERAGE(PerfRate[[#This Row],[EnvironmentSatisfaction]],PerfRate[[#This Row],[JobSatisfaction]],PerfRate[[#This Row],[RelationshipSatisfaction]])</f>
        <v>2.6666666666666665</v>
      </c>
      <c r="R6504" s="2">
        <f>PerfRate[[#This Row],[ManagerRating]] - PerfRate[[#This Row],[SelfRating]]</f>
        <v>-1</v>
      </c>
    </row>
    <row r="6505" spans="1:18">
      <c r="A6505" s="2" t="s">
        <v>10812</v>
      </c>
      <c r="B6505" s="2" t="s">
        <v>2622</v>
      </c>
      <c r="C6505" s="1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  <c r="L6505" s="2" t="s">
        <v>11031</v>
      </c>
      <c r="M6505" s="2" t="s">
        <v>11030</v>
      </c>
      <c r="N6505" s="2" t="s">
        <v>11036</v>
      </c>
      <c r="O6505" s="2" t="s">
        <v>11035</v>
      </c>
      <c r="P6505" s="2" t="s">
        <v>11036</v>
      </c>
      <c r="Q6505" s="2">
        <f>AVERAGE(PerfRate[[#This Row],[EnvironmentSatisfaction]],PerfRate[[#This Row],[JobSatisfaction]],PerfRate[[#This Row],[RelationshipSatisfaction]])</f>
        <v>2.6666666666666665</v>
      </c>
      <c r="R6505" s="2">
        <f>PerfRate[[#This Row],[ManagerRating]] - PerfRate[[#This Row],[SelfRating]]</f>
        <v>-1</v>
      </c>
    </row>
    <row r="6506" spans="1:18">
      <c r="A6506" s="2" t="s">
        <v>10813</v>
      </c>
      <c r="B6506" s="2" t="s">
        <v>4177</v>
      </c>
      <c r="C6506" s="1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  <c r="L6506" s="2" t="s">
        <v>11031</v>
      </c>
      <c r="M6506" s="2" t="s">
        <v>11031</v>
      </c>
      <c r="N6506" s="2" t="s">
        <v>11036</v>
      </c>
      <c r="O6506" s="2" t="s">
        <v>11038</v>
      </c>
      <c r="P6506" s="2" t="s">
        <v>11036</v>
      </c>
      <c r="Q6506" s="2">
        <f>AVERAGE(PerfRate[[#This Row],[EnvironmentSatisfaction]],PerfRate[[#This Row],[JobSatisfaction]],PerfRate[[#This Row],[RelationshipSatisfaction]])</f>
        <v>3.6666666666666665</v>
      </c>
      <c r="R6506" s="2">
        <f>PerfRate[[#This Row],[ManagerRating]] - PerfRate[[#This Row],[SelfRating]]</f>
        <v>0</v>
      </c>
    </row>
    <row r="6507" spans="1:18">
      <c r="A6507" s="2" t="s">
        <v>10814</v>
      </c>
      <c r="B6507" s="2" t="s">
        <v>398</v>
      </c>
      <c r="C6507" s="1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  <c r="L6507" s="2" t="s">
        <v>11030</v>
      </c>
      <c r="M6507" s="2" t="s">
        <v>11030</v>
      </c>
      <c r="N6507" s="2" t="s">
        <v>11037</v>
      </c>
      <c r="O6507" s="2" t="s">
        <v>11035</v>
      </c>
      <c r="P6507" s="2" t="s">
        <v>11037</v>
      </c>
      <c r="Q6507" s="2">
        <f>AVERAGE(PerfRate[[#This Row],[EnvironmentSatisfaction]],PerfRate[[#This Row],[JobSatisfaction]],PerfRate[[#This Row],[RelationshipSatisfaction]])</f>
        <v>3.3333333333333335</v>
      </c>
      <c r="R6507" s="2">
        <f>PerfRate[[#This Row],[ManagerRating]] - PerfRate[[#This Row],[SelfRating]]</f>
        <v>0</v>
      </c>
    </row>
    <row r="6508" spans="1:18">
      <c r="A6508" s="2" t="s">
        <v>10815</v>
      </c>
      <c r="B6508" s="2" t="s">
        <v>290</v>
      </c>
      <c r="C6508" s="1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  <c r="L6508" s="2" t="s">
        <v>11030</v>
      </c>
      <c r="M6508" s="2" t="s">
        <v>11029</v>
      </c>
      <c r="N6508" s="2" t="s">
        <v>11038</v>
      </c>
      <c r="O6508" s="2" t="s">
        <v>11037</v>
      </c>
      <c r="P6508" s="2" t="s">
        <v>11037</v>
      </c>
      <c r="Q6508" s="2">
        <f>AVERAGE(PerfRate[[#This Row],[EnvironmentSatisfaction]],PerfRate[[#This Row],[JobSatisfaction]],PerfRate[[#This Row],[RelationshipSatisfaction]])</f>
        <v>4.333333333333333</v>
      </c>
      <c r="R6508" s="2">
        <f>PerfRate[[#This Row],[ManagerRating]] - PerfRate[[#This Row],[SelfRating]]</f>
        <v>-1</v>
      </c>
    </row>
    <row r="6509" spans="1:18">
      <c r="A6509" s="2" t="s">
        <v>10816</v>
      </c>
      <c r="B6509" s="2" t="s">
        <v>275</v>
      </c>
      <c r="C6509" s="1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  <c r="L6509" s="2" t="s">
        <v>11030</v>
      </c>
      <c r="M6509" s="2" t="s">
        <v>11030</v>
      </c>
      <c r="N6509" s="2" t="s">
        <v>11036</v>
      </c>
      <c r="O6509" s="2" t="s">
        <v>11036</v>
      </c>
      <c r="P6509" s="2" t="s">
        <v>11038</v>
      </c>
      <c r="Q6509" s="2">
        <f>AVERAGE(PerfRate[[#This Row],[EnvironmentSatisfaction]],PerfRate[[#This Row],[JobSatisfaction]],PerfRate[[#This Row],[RelationshipSatisfaction]])</f>
        <v>3.6666666666666665</v>
      </c>
      <c r="R6509" s="2">
        <f>PerfRate[[#This Row],[ManagerRating]] - PerfRate[[#This Row],[SelfRating]]</f>
        <v>0</v>
      </c>
    </row>
    <row r="6510" spans="1:18">
      <c r="A6510" s="2" t="s">
        <v>10817</v>
      </c>
      <c r="B6510" s="2" t="s">
        <v>386</v>
      </c>
      <c r="C6510" s="1">
        <v>42047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  <c r="L6510" s="2" t="s">
        <v>11030</v>
      </c>
      <c r="M6510" s="2" t="s">
        <v>11029</v>
      </c>
      <c r="N6510" s="2" t="s">
        <v>11038</v>
      </c>
      <c r="O6510" s="2" t="s">
        <v>11038</v>
      </c>
      <c r="P6510" s="2" t="s">
        <v>11036</v>
      </c>
      <c r="Q6510" s="2">
        <f>AVERAGE(PerfRate[[#This Row],[EnvironmentSatisfaction]],PerfRate[[#This Row],[JobSatisfaction]],PerfRate[[#This Row],[RelationshipSatisfaction]])</f>
        <v>4.333333333333333</v>
      </c>
      <c r="R6510" s="2">
        <f>PerfRate[[#This Row],[ManagerRating]] - PerfRate[[#This Row],[SelfRating]]</f>
        <v>-1</v>
      </c>
    </row>
    <row r="6511" spans="1:18">
      <c r="A6511" s="2" t="s">
        <v>10818</v>
      </c>
      <c r="B6511" s="2" t="s">
        <v>425</v>
      </c>
      <c r="C6511" s="1">
        <v>42047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  <c r="L6511" s="2" t="s">
        <v>11030</v>
      </c>
      <c r="M6511" s="2" t="s">
        <v>11029</v>
      </c>
      <c r="N6511" s="2" t="s">
        <v>11037</v>
      </c>
      <c r="O6511" s="2" t="s">
        <v>11038</v>
      </c>
      <c r="P6511" s="2" t="s">
        <v>11037</v>
      </c>
      <c r="Q6511" s="2">
        <f>AVERAGE(PerfRate[[#This Row],[EnvironmentSatisfaction]],PerfRate[[#This Row],[JobSatisfaction]],PerfRate[[#This Row],[RelationshipSatisfaction]])</f>
        <v>4.333333333333333</v>
      </c>
      <c r="R6511" s="2">
        <f>PerfRate[[#This Row],[ManagerRating]] - PerfRate[[#This Row],[SelfRating]]</f>
        <v>-1</v>
      </c>
    </row>
    <row r="6512" spans="1:18">
      <c r="A6512" s="2" t="s">
        <v>10819</v>
      </c>
      <c r="B6512" s="2" t="s">
        <v>3406</v>
      </c>
      <c r="C6512" s="1">
        <v>42106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  <c r="L6512" s="2" t="s">
        <v>11029</v>
      </c>
      <c r="M6512" s="2" t="s">
        <v>11028</v>
      </c>
      <c r="N6512" s="2" t="s">
        <v>11037</v>
      </c>
      <c r="O6512" s="2" t="s">
        <v>11038</v>
      </c>
      <c r="P6512" s="2" t="s">
        <v>11036</v>
      </c>
      <c r="Q6512" s="2">
        <f>AVERAGE(PerfRate[[#This Row],[EnvironmentSatisfaction]],PerfRate[[#This Row],[JobSatisfaction]],PerfRate[[#This Row],[RelationshipSatisfaction]])</f>
        <v>4</v>
      </c>
      <c r="R6512" s="2">
        <f>PerfRate[[#This Row],[ManagerRating]] - PerfRate[[#This Row],[SelfRating]]</f>
        <v>-1</v>
      </c>
    </row>
    <row r="6513" spans="1:18">
      <c r="A6513" s="2" t="s">
        <v>10820</v>
      </c>
      <c r="B6513" s="2" t="s">
        <v>826</v>
      </c>
      <c r="C6513" s="1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  <c r="L6513" s="2" t="s">
        <v>11029</v>
      </c>
      <c r="M6513" s="2" t="s">
        <v>11028</v>
      </c>
      <c r="N6513" s="2" t="s">
        <v>11037</v>
      </c>
      <c r="O6513" s="2" t="s">
        <v>11035</v>
      </c>
      <c r="P6513" s="2" t="s">
        <v>11038</v>
      </c>
      <c r="Q6513" s="2">
        <f>AVERAGE(PerfRate[[#This Row],[EnvironmentSatisfaction]],PerfRate[[#This Row],[JobSatisfaction]],PerfRate[[#This Row],[RelationshipSatisfaction]])</f>
        <v>3.6666666666666665</v>
      </c>
      <c r="R6513" s="2">
        <f>PerfRate[[#This Row],[ManagerRating]] - PerfRate[[#This Row],[SelfRating]]</f>
        <v>-1</v>
      </c>
    </row>
    <row r="6514" spans="1:18">
      <c r="A6514" s="2" t="s">
        <v>10821</v>
      </c>
      <c r="B6514" s="2" t="s">
        <v>3665</v>
      </c>
      <c r="C6514" s="1">
        <v>42106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  <c r="L6514" s="2" t="s">
        <v>11031</v>
      </c>
      <c r="M6514" s="2" t="s">
        <v>11031</v>
      </c>
      <c r="N6514" s="2" t="s">
        <v>11037</v>
      </c>
      <c r="O6514" s="2" t="s">
        <v>11037</v>
      </c>
      <c r="P6514" s="2" t="s">
        <v>11036</v>
      </c>
      <c r="Q6514" s="2">
        <f>AVERAGE(PerfRate[[#This Row],[EnvironmentSatisfaction]],PerfRate[[#This Row],[JobSatisfaction]],PerfRate[[#This Row],[RelationshipSatisfaction]])</f>
        <v>3.6666666666666665</v>
      </c>
      <c r="R6514" s="2">
        <f>PerfRate[[#This Row],[ManagerRating]] - PerfRate[[#This Row],[SelfRating]]</f>
        <v>0</v>
      </c>
    </row>
    <row r="6515" spans="1:18">
      <c r="A6515" s="2" t="s">
        <v>10822</v>
      </c>
      <c r="B6515" s="2" t="s">
        <v>78</v>
      </c>
      <c r="C6515" s="1">
        <v>42167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  <c r="L6515" s="2" t="s">
        <v>11029</v>
      </c>
      <c r="M6515" s="2" t="s">
        <v>11029</v>
      </c>
      <c r="N6515" s="2" t="s">
        <v>11037</v>
      </c>
      <c r="O6515" s="2" t="s">
        <v>11037</v>
      </c>
      <c r="P6515" s="2" t="s">
        <v>11037</v>
      </c>
      <c r="Q6515" s="2">
        <f>AVERAGE(PerfRate[[#This Row],[EnvironmentSatisfaction]],PerfRate[[#This Row],[JobSatisfaction]],PerfRate[[#This Row],[RelationshipSatisfaction]])</f>
        <v>4</v>
      </c>
      <c r="R6515" s="2">
        <f>PerfRate[[#This Row],[ManagerRating]] - PerfRate[[#This Row],[SelfRating]]</f>
        <v>0</v>
      </c>
    </row>
    <row r="6516" spans="1:18">
      <c r="A6516" s="2" t="s">
        <v>10823</v>
      </c>
      <c r="B6516" s="2" t="s">
        <v>183</v>
      </c>
      <c r="C6516" s="1">
        <v>42167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  <c r="L6516" s="2" t="s">
        <v>11029</v>
      </c>
      <c r="M6516" s="2" t="s">
        <v>11029</v>
      </c>
      <c r="N6516" s="2" t="s">
        <v>11037</v>
      </c>
      <c r="O6516" s="2" t="s">
        <v>11038</v>
      </c>
      <c r="P6516" s="2" t="s">
        <v>11036</v>
      </c>
      <c r="Q6516" s="2">
        <f>AVERAGE(PerfRate[[#This Row],[EnvironmentSatisfaction]],PerfRate[[#This Row],[JobSatisfaction]],PerfRate[[#This Row],[RelationshipSatisfaction]])</f>
        <v>4</v>
      </c>
      <c r="R6516" s="2">
        <f>PerfRate[[#This Row],[ManagerRating]] - PerfRate[[#This Row],[SelfRating]]</f>
        <v>0</v>
      </c>
    </row>
    <row r="6517" spans="1:18">
      <c r="A6517" s="2" t="s">
        <v>10824</v>
      </c>
      <c r="B6517" s="2" t="s">
        <v>112</v>
      </c>
      <c r="C6517" s="1">
        <v>42167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  <c r="L6517" s="2" t="s">
        <v>11031</v>
      </c>
      <c r="M6517" s="2" t="s">
        <v>11030</v>
      </c>
      <c r="N6517" s="2" t="s">
        <v>11038</v>
      </c>
      <c r="O6517" s="2" t="s">
        <v>11038</v>
      </c>
      <c r="P6517" s="2" t="s">
        <v>11038</v>
      </c>
      <c r="Q6517" s="2">
        <f>AVERAGE(PerfRate[[#This Row],[EnvironmentSatisfaction]],PerfRate[[#This Row],[JobSatisfaction]],PerfRate[[#This Row],[RelationshipSatisfaction]])</f>
        <v>5</v>
      </c>
      <c r="R6517" s="2">
        <f>PerfRate[[#This Row],[ManagerRating]] - PerfRate[[#This Row],[SelfRating]]</f>
        <v>-1</v>
      </c>
    </row>
    <row r="6518" spans="1:18">
      <c r="A6518" s="2" t="s">
        <v>10825</v>
      </c>
      <c r="B6518" s="2" t="s">
        <v>118</v>
      </c>
      <c r="C6518" s="1">
        <v>42228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  <c r="L6518" s="2" t="s">
        <v>11031</v>
      </c>
      <c r="M6518" s="2" t="s">
        <v>11030</v>
      </c>
      <c r="N6518" s="2" t="s">
        <v>11036</v>
      </c>
      <c r="O6518" s="2" t="s">
        <v>11035</v>
      </c>
      <c r="P6518" s="2" t="s">
        <v>11038</v>
      </c>
      <c r="Q6518" s="2">
        <f>AVERAGE(PerfRate[[#This Row],[EnvironmentSatisfaction]],PerfRate[[#This Row],[JobSatisfaction]],PerfRate[[#This Row],[RelationshipSatisfaction]])</f>
        <v>3.3333333333333335</v>
      </c>
      <c r="R6518" s="2">
        <f>PerfRate[[#This Row],[ManagerRating]] - PerfRate[[#This Row],[SelfRating]]</f>
        <v>-1</v>
      </c>
    </row>
    <row r="6519" spans="1:18">
      <c r="A6519" s="2" t="s">
        <v>10826</v>
      </c>
      <c r="B6519" s="2" t="s">
        <v>3963</v>
      </c>
      <c r="C6519" s="1">
        <v>42259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  <c r="L6519" s="2" t="s">
        <v>11030</v>
      </c>
      <c r="M6519" s="2" t="s">
        <v>11030</v>
      </c>
      <c r="N6519" s="2" t="s">
        <v>11038</v>
      </c>
      <c r="O6519" s="2" t="s">
        <v>11035</v>
      </c>
      <c r="P6519" s="2" t="s">
        <v>11036</v>
      </c>
      <c r="Q6519" s="2">
        <f>AVERAGE(PerfRate[[#This Row],[EnvironmentSatisfaction]],PerfRate[[#This Row],[JobSatisfaction]],PerfRate[[#This Row],[RelationshipSatisfaction]])</f>
        <v>3.3333333333333335</v>
      </c>
      <c r="R6519" s="2">
        <f>PerfRate[[#This Row],[ManagerRating]] - PerfRate[[#This Row],[SelfRating]]</f>
        <v>0</v>
      </c>
    </row>
    <row r="6520" spans="1:18">
      <c r="A6520" s="2" t="s">
        <v>10827</v>
      </c>
      <c r="B6520" s="2" t="s">
        <v>2730</v>
      </c>
      <c r="C6520" s="1">
        <v>42259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  <c r="L6520" s="2" t="s">
        <v>11031</v>
      </c>
      <c r="M6520" s="2" t="s">
        <v>11031</v>
      </c>
      <c r="N6520" s="2" t="s">
        <v>11037</v>
      </c>
      <c r="O6520" s="2" t="s">
        <v>11038</v>
      </c>
      <c r="P6520" s="2" t="s">
        <v>11036</v>
      </c>
      <c r="Q6520" s="2">
        <f>AVERAGE(PerfRate[[#This Row],[EnvironmentSatisfaction]],PerfRate[[#This Row],[JobSatisfaction]],PerfRate[[#This Row],[RelationshipSatisfaction]])</f>
        <v>4</v>
      </c>
      <c r="R6520" s="2">
        <f>PerfRate[[#This Row],[ManagerRating]] - PerfRate[[#This Row],[SelfRating]]</f>
        <v>0</v>
      </c>
    </row>
    <row r="6521" spans="1:18">
      <c r="A6521" s="2" t="s">
        <v>10828</v>
      </c>
      <c r="B6521" s="2" t="s">
        <v>4202</v>
      </c>
      <c r="C6521" s="1">
        <v>42289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  <c r="L6521" s="2" t="s">
        <v>11029</v>
      </c>
      <c r="M6521" s="2" t="s">
        <v>11028</v>
      </c>
      <c r="N6521" s="2" t="s">
        <v>11036</v>
      </c>
      <c r="O6521" s="2" t="s">
        <v>11038</v>
      </c>
      <c r="P6521" s="2" t="s">
        <v>11038</v>
      </c>
      <c r="Q6521" s="2">
        <f>AVERAGE(PerfRate[[#This Row],[EnvironmentSatisfaction]],PerfRate[[#This Row],[JobSatisfaction]],PerfRate[[#This Row],[RelationshipSatisfaction]])</f>
        <v>4.333333333333333</v>
      </c>
      <c r="R6521" s="2">
        <f>PerfRate[[#This Row],[ManagerRating]] - PerfRate[[#This Row],[SelfRating]]</f>
        <v>-1</v>
      </c>
    </row>
    <row r="6522" spans="1:18">
      <c r="A6522" s="2" t="s">
        <v>10829</v>
      </c>
      <c r="B6522" s="2" t="s">
        <v>380</v>
      </c>
      <c r="C6522" s="1">
        <v>42289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  <c r="L6522" s="2" t="s">
        <v>11030</v>
      </c>
      <c r="M6522" s="2" t="s">
        <v>11029</v>
      </c>
      <c r="N6522" s="2" t="s">
        <v>11037</v>
      </c>
      <c r="O6522" s="2" t="s">
        <v>11035</v>
      </c>
      <c r="P6522" s="2" t="s">
        <v>11037</v>
      </c>
      <c r="Q6522" s="2">
        <f>AVERAGE(PerfRate[[#This Row],[EnvironmentSatisfaction]],PerfRate[[#This Row],[JobSatisfaction]],PerfRate[[#This Row],[RelationshipSatisfaction]])</f>
        <v>3.3333333333333335</v>
      </c>
      <c r="R6522" s="2">
        <f>PerfRate[[#This Row],[ManagerRating]] - PerfRate[[#This Row],[SelfRating]]</f>
        <v>-1</v>
      </c>
    </row>
    <row r="6523" spans="1:18">
      <c r="A6523" s="2" t="s">
        <v>10830</v>
      </c>
      <c r="B6523" s="2" t="s">
        <v>3362</v>
      </c>
      <c r="C6523" s="1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  <c r="L6523" s="2" t="s">
        <v>11030</v>
      </c>
      <c r="M6523" s="2" t="s">
        <v>11029</v>
      </c>
      <c r="N6523" s="2" t="s">
        <v>11038</v>
      </c>
      <c r="O6523" s="2" t="s">
        <v>11037</v>
      </c>
      <c r="P6523" s="2" t="s">
        <v>11036</v>
      </c>
      <c r="Q6523" s="2">
        <f>AVERAGE(PerfRate[[#This Row],[EnvironmentSatisfaction]],PerfRate[[#This Row],[JobSatisfaction]],PerfRate[[#This Row],[RelationshipSatisfaction]])</f>
        <v>4</v>
      </c>
      <c r="R6523" s="2">
        <f>PerfRate[[#This Row],[ManagerRating]] - PerfRate[[#This Row],[SelfRating]]</f>
        <v>-1</v>
      </c>
    </row>
    <row r="6524" spans="1:18">
      <c r="A6524" s="2" t="s">
        <v>10831</v>
      </c>
      <c r="B6524" s="2" t="s">
        <v>362</v>
      </c>
      <c r="C6524" s="1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  <c r="L6524" s="2" t="s">
        <v>11029</v>
      </c>
      <c r="M6524" s="2" t="s">
        <v>11028</v>
      </c>
      <c r="N6524" s="2" t="s">
        <v>11036</v>
      </c>
      <c r="O6524" s="2" t="s">
        <v>11038</v>
      </c>
      <c r="P6524" s="2" t="s">
        <v>11036</v>
      </c>
      <c r="Q6524" s="2">
        <f>AVERAGE(PerfRate[[#This Row],[EnvironmentSatisfaction]],PerfRate[[#This Row],[JobSatisfaction]],PerfRate[[#This Row],[RelationshipSatisfaction]])</f>
        <v>3.6666666666666665</v>
      </c>
      <c r="R6524" s="2">
        <f>PerfRate[[#This Row],[ManagerRating]] - PerfRate[[#This Row],[SelfRating]]</f>
        <v>-1</v>
      </c>
    </row>
    <row r="6525" spans="1:18">
      <c r="A6525" s="2" t="s">
        <v>10832</v>
      </c>
      <c r="B6525" s="2" t="s">
        <v>314</v>
      </c>
      <c r="C6525" s="1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  <c r="L6525" s="2" t="s">
        <v>11030</v>
      </c>
      <c r="M6525" s="2" t="s">
        <v>11030</v>
      </c>
      <c r="N6525" s="2" t="s">
        <v>11038</v>
      </c>
      <c r="O6525" s="2" t="s">
        <v>11035</v>
      </c>
      <c r="P6525" s="2" t="s">
        <v>11035</v>
      </c>
      <c r="Q6525" s="2">
        <f>AVERAGE(PerfRate[[#This Row],[EnvironmentSatisfaction]],PerfRate[[#This Row],[JobSatisfaction]],PerfRate[[#This Row],[RelationshipSatisfaction]])</f>
        <v>3</v>
      </c>
      <c r="R6525" s="2">
        <f>PerfRate[[#This Row],[ManagerRating]] - PerfRate[[#This Row],[SelfRating]]</f>
        <v>0</v>
      </c>
    </row>
    <row r="6526" spans="1:18">
      <c r="A6526" s="2" t="s">
        <v>10833</v>
      </c>
      <c r="B6526" s="2" t="s">
        <v>1324</v>
      </c>
      <c r="C6526" s="1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  <c r="L6526" s="2" t="s">
        <v>11030</v>
      </c>
      <c r="M6526" s="2" t="s">
        <v>11030</v>
      </c>
      <c r="N6526" s="2" t="s">
        <v>11036</v>
      </c>
      <c r="O6526" s="2" t="s">
        <v>11037</v>
      </c>
      <c r="P6526" s="2" t="s">
        <v>11036</v>
      </c>
      <c r="Q6526" s="2">
        <f>AVERAGE(PerfRate[[#This Row],[EnvironmentSatisfaction]],PerfRate[[#This Row],[JobSatisfaction]],PerfRate[[#This Row],[RelationshipSatisfaction]])</f>
        <v>3.3333333333333335</v>
      </c>
      <c r="R6526" s="2">
        <f>PerfRate[[#This Row],[ManagerRating]] - PerfRate[[#This Row],[SelfRating]]</f>
        <v>0</v>
      </c>
    </row>
    <row r="6527" spans="1:18">
      <c r="A6527" s="2" t="s">
        <v>10834</v>
      </c>
      <c r="B6527" s="2" t="s">
        <v>3626</v>
      </c>
      <c r="C6527" s="1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  <c r="L6527" s="2" t="s">
        <v>11030</v>
      </c>
      <c r="M6527" s="2" t="s">
        <v>11030</v>
      </c>
      <c r="N6527" s="2" t="s">
        <v>11036</v>
      </c>
      <c r="O6527" s="2" t="s">
        <v>11038</v>
      </c>
      <c r="P6527" s="2" t="s">
        <v>11036</v>
      </c>
      <c r="Q6527" s="2">
        <f>AVERAGE(PerfRate[[#This Row],[EnvironmentSatisfaction]],PerfRate[[#This Row],[JobSatisfaction]],PerfRate[[#This Row],[RelationshipSatisfaction]])</f>
        <v>3.6666666666666665</v>
      </c>
      <c r="R6527" s="2">
        <f>PerfRate[[#This Row],[ManagerRating]] - PerfRate[[#This Row],[SelfRating]]</f>
        <v>0</v>
      </c>
    </row>
    <row r="6528" spans="1:18">
      <c r="A6528" s="2" t="s">
        <v>10835</v>
      </c>
      <c r="B6528" s="2" t="s">
        <v>3160</v>
      </c>
      <c r="C6528" s="1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  <c r="L6528" s="2" t="s">
        <v>11030</v>
      </c>
      <c r="M6528" s="2" t="s">
        <v>11030</v>
      </c>
      <c r="N6528" s="2" t="s">
        <v>11036</v>
      </c>
      <c r="O6528" s="2" t="s">
        <v>11038</v>
      </c>
      <c r="P6528" s="2" t="s">
        <v>11035</v>
      </c>
      <c r="Q6528" s="2">
        <f>AVERAGE(PerfRate[[#This Row],[EnvironmentSatisfaction]],PerfRate[[#This Row],[JobSatisfaction]],PerfRate[[#This Row],[RelationshipSatisfaction]])</f>
        <v>3.3333333333333335</v>
      </c>
      <c r="R6528" s="2">
        <f>PerfRate[[#This Row],[ManagerRating]] - PerfRate[[#This Row],[SelfRating]]</f>
        <v>0</v>
      </c>
    </row>
    <row r="6529" spans="1:18">
      <c r="A6529" s="2" t="s">
        <v>10836</v>
      </c>
      <c r="B6529" s="2" t="s">
        <v>3476</v>
      </c>
      <c r="C6529" s="1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  <c r="L6529" s="2" t="s">
        <v>11030</v>
      </c>
      <c r="M6529" s="2" t="s">
        <v>11030</v>
      </c>
      <c r="N6529" s="2" t="s">
        <v>11036</v>
      </c>
      <c r="O6529" s="2" t="s">
        <v>11035</v>
      </c>
      <c r="P6529" s="2" t="s">
        <v>11035</v>
      </c>
      <c r="Q6529" s="2">
        <f>AVERAGE(PerfRate[[#This Row],[EnvironmentSatisfaction]],PerfRate[[#This Row],[JobSatisfaction]],PerfRate[[#This Row],[RelationshipSatisfaction]])</f>
        <v>2.3333333333333335</v>
      </c>
      <c r="R6529" s="2">
        <f>PerfRate[[#This Row],[ManagerRating]] - PerfRate[[#This Row],[SelfRating]]</f>
        <v>0</v>
      </c>
    </row>
    <row r="6530" spans="1:18">
      <c r="A6530" s="2" t="s">
        <v>10837</v>
      </c>
      <c r="B6530" s="2" t="s">
        <v>211</v>
      </c>
      <c r="C6530" s="1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  <c r="L6530" s="2" t="s">
        <v>11030</v>
      </c>
      <c r="M6530" s="2" t="s">
        <v>11029</v>
      </c>
      <c r="N6530" s="2" t="s">
        <v>11037</v>
      </c>
      <c r="O6530" s="2" t="s">
        <v>11036</v>
      </c>
      <c r="P6530" s="2" t="s">
        <v>11038</v>
      </c>
      <c r="Q6530" s="2">
        <f>AVERAGE(PerfRate[[#This Row],[EnvironmentSatisfaction]],PerfRate[[#This Row],[JobSatisfaction]],PerfRate[[#This Row],[RelationshipSatisfaction]])</f>
        <v>4</v>
      </c>
      <c r="R6530" s="2">
        <f>PerfRate[[#This Row],[ManagerRating]] - PerfRate[[#This Row],[SelfRating]]</f>
        <v>-1</v>
      </c>
    </row>
    <row r="6531" spans="1:18">
      <c r="A6531" s="2" t="s">
        <v>10838</v>
      </c>
      <c r="B6531" s="2" t="s">
        <v>3606</v>
      </c>
      <c r="C6531" s="1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  <c r="L6531" s="2" t="s">
        <v>11031</v>
      </c>
      <c r="M6531" s="2" t="s">
        <v>11031</v>
      </c>
      <c r="N6531" s="2" t="s">
        <v>11036</v>
      </c>
      <c r="O6531" s="2" t="s">
        <v>11037</v>
      </c>
      <c r="P6531" s="2" t="s">
        <v>11038</v>
      </c>
      <c r="Q6531" s="2">
        <f>AVERAGE(PerfRate[[#This Row],[EnvironmentSatisfaction]],PerfRate[[#This Row],[JobSatisfaction]],PerfRate[[#This Row],[RelationshipSatisfaction]])</f>
        <v>4</v>
      </c>
      <c r="R6531" s="2">
        <f>PerfRate[[#This Row],[ManagerRating]] - PerfRate[[#This Row],[SelfRating]]</f>
        <v>0</v>
      </c>
    </row>
    <row r="6532" spans="1:18">
      <c r="A6532" s="2" t="s">
        <v>10839</v>
      </c>
      <c r="B6532" s="2" t="s">
        <v>278</v>
      </c>
      <c r="C6532" s="1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  <c r="L6532" s="2" t="s">
        <v>11030</v>
      </c>
      <c r="M6532" s="2" t="s">
        <v>11029</v>
      </c>
      <c r="N6532" s="2" t="s">
        <v>11036</v>
      </c>
      <c r="O6532" s="2" t="s">
        <v>11038</v>
      </c>
      <c r="P6532" s="2" t="s">
        <v>11036</v>
      </c>
      <c r="Q6532" s="2">
        <f>AVERAGE(PerfRate[[#This Row],[EnvironmentSatisfaction]],PerfRate[[#This Row],[JobSatisfaction]],PerfRate[[#This Row],[RelationshipSatisfaction]])</f>
        <v>3.6666666666666665</v>
      </c>
      <c r="R6532" s="2">
        <f>PerfRate[[#This Row],[ManagerRating]] - PerfRate[[#This Row],[SelfRating]]</f>
        <v>-1</v>
      </c>
    </row>
    <row r="6533" spans="1:18">
      <c r="A6533" s="2" t="s">
        <v>10840</v>
      </c>
      <c r="B6533" s="2" t="s">
        <v>186</v>
      </c>
      <c r="C6533" s="1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  <c r="L6533" s="2" t="s">
        <v>11030</v>
      </c>
      <c r="M6533" s="2" t="s">
        <v>11030</v>
      </c>
      <c r="N6533" s="2" t="s">
        <v>11037</v>
      </c>
      <c r="O6533" s="2" t="s">
        <v>11035</v>
      </c>
      <c r="P6533" s="2" t="s">
        <v>11038</v>
      </c>
      <c r="Q6533" s="2">
        <f>AVERAGE(PerfRate[[#This Row],[EnvironmentSatisfaction]],PerfRate[[#This Row],[JobSatisfaction]],PerfRate[[#This Row],[RelationshipSatisfaction]])</f>
        <v>3.6666666666666665</v>
      </c>
      <c r="R6533" s="2">
        <f>PerfRate[[#This Row],[ManagerRating]] - PerfRate[[#This Row],[SelfRating]]</f>
        <v>0</v>
      </c>
    </row>
    <row r="6534" spans="1:18">
      <c r="A6534" s="2" t="s">
        <v>10841</v>
      </c>
      <c r="B6534" s="2" t="s">
        <v>311</v>
      </c>
      <c r="C6534" s="1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  <c r="L6534" s="2" t="s">
        <v>11030</v>
      </c>
      <c r="M6534" s="2" t="s">
        <v>11030</v>
      </c>
      <c r="N6534" s="2" t="s">
        <v>11036</v>
      </c>
      <c r="O6534" s="2" t="s">
        <v>11035</v>
      </c>
      <c r="P6534" s="2" t="s">
        <v>11037</v>
      </c>
      <c r="Q6534" s="2">
        <f>AVERAGE(PerfRate[[#This Row],[EnvironmentSatisfaction]],PerfRate[[#This Row],[JobSatisfaction]],PerfRate[[#This Row],[RelationshipSatisfaction]])</f>
        <v>3</v>
      </c>
      <c r="R6534" s="2">
        <f>PerfRate[[#This Row],[ManagerRating]] - PerfRate[[#This Row],[SelfRating]]</f>
        <v>0</v>
      </c>
    </row>
    <row r="6535" spans="1:18">
      <c r="A6535" s="2" t="s">
        <v>10842</v>
      </c>
      <c r="B6535" s="2" t="s">
        <v>1942</v>
      </c>
      <c r="C6535" s="1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  <c r="L6535" s="2" t="s">
        <v>11029</v>
      </c>
      <c r="M6535" s="2" t="s">
        <v>11028</v>
      </c>
      <c r="N6535" s="2" t="s">
        <v>11038</v>
      </c>
      <c r="O6535" s="2" t="s">
        <v>11035</v>
      </c>
      <c r="P6535" s="2" t="s">
        <v>11038</v>
      </c>
      <c r="Q6535" s="2">
        <f>AVERAGE(PerfRate[[#This Row],[EnvironmentSatisfaction]],PerfRate[[#This Row],[JobSatisfaction]],PerfRate[[#This Row],[RelationshipSatisfaction]])</f>
        <v>4</v>
      </c>
      <c r="R6535" s="2">
        <f>PerfRate[[#This Row],[ManagerRating]] - PerfRate[[#This Row],[SelfRating]]</f>
        <v>-1</v>
      </c>
    </row>
    <row r="6536" spans="1:18">
      <c r="A6536" s="2" t="s">
        <v>10843</v>
      </c>
      <c r="B6536" s="2" t="s">
        <v>413</v>
      </c>
      <c r="C6536" s="1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  <c r="L6536" s="2" t="s">
        <v>11031</v>
      </c>
      <c r="M6536" s="2" t="s">
        <v>11030</v>
      </c>
      <c r="N6536" s="2" t="s">
        <v>11037</v>
      </c>
      <c r="O6536" s="2" t="s">
        <v>11036</v>
      </c>
      <c r="P6536" s="2" t="s">
        <v>11038</v>
      </c>
      <c r="Q6536" s="2">
        <f>AVERAGE(PerfRate[[#This Row],[EnvironmentSatisfaction]],PerfRate[[#This Row],[JobSatisfaction]],PerfRate[[#This Row],[RelationshipSatisfaction]])</f>
        <v>4</v>
      </c>
      <c r="R6536" s="2">
        <f>PerfRate[[#This Row],[ManagerRating]] - PerfRate[[#This Row],[SelfRating]]</f>
        <v>-1</v>
      </c>
    </row>
    <row r="6537" spans="1:18">
      <c r="A6537" s="2" t="s">
        <v>10844</v>
      </c>
      <c r="B6537" s="2" t="s">
        <v>4035</v>
      </c>
      <c r="C6537" s="1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  <c r="L6537" s="2" t="s">
        <v>11029</v>
      </c>
      <c r="M6537" s="2" t="s">
        <v>11028</v>
      </c>
      <c r="N6537" s="2" t="s">
        <v>11037</v>
      </c>
      <c r="O6537" s="2" t="s">
        <v>11036</v>
      </c>
      <c r="P6537" s="2" t="s">
        <v>11038</v>
      </c>
      <c r="Q6537" s="2">
        <f>AVERAGE(PerfRate[[#This Row],[EnvironmentSatisfaction]],PerfRate[[#This Row],[JobSatisfaction]],PerfRate[[#This Row],[RelationshipSatisfaction]])</f>
        <v>4</v>
      </c>
      <c r="R6537" s="2">
        <f>PerfRate[[#This Row],[ManagerRating]] - PerfRate[[#This Row],[SelfRating]]</f>
        <v>-1</v>
      </c>
    </row>
    <row r="6538" spans="1:18">
      <c r="A6538" s="2" t="s">
        <v>10845</v>
      </c>
      <c r="B6538" s="2" t="s">
        <v>3207</v>
      </c>
      <c r="C6538" s="1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  <c r="L6538" s="2" t="s">
        <v>11029</v>
      </c>
      <c r="M6538" s="2" t="s">
        <v>11029</v>
      </c>
      <c r="N6538" s="2" t="s">
        <v>11038</v>
      </c>
      <c r="O6538" s="2" t="s">
        <v>11035</v>
      </c>
      <c r="P6538" s="2" t="s">
        <v>11037</v>
      </c>
      <c r="Q6538" s="2">
        <f>AVERAGE(PerfRate[[#This Row],[EnvironmentSatisfaction]],PerfRate[[#This Row],[JobSatisfaction]],PerfRate[[#This Row],[RelationshipSatisfaction]])</f>
        <v>3.6666666666666665</v>
      </c>
      <c r="R6538" s="2">
        <f>PerfRate[[#This Row],[ManagerRating]] - PerfRate[[#This Row],[SelfRating]]</f>
        <v>0</v>
      </c>
    </row>
    <row r="6539" spans="1:18">
      <c r="A6539" s="2" t="s">
        <v>10846</v>
      </c>
      <c r="B6539" s="2" t="s">
        <v>419</v>
      </c>
      <c r="C6539" s="1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  <c r="L6539" s="2" t="s">
        <v>11030</v>
      </c>
      <c r="M6539" s="2" t="s">
        <v>11030</v>
      </c>
      <c r="N6539" s="2" t="s">
        <v>11036</v>
      </c>
      <c r="O6539" s="2" t="s">
        <v>11036</v>
      </c>
      <c r="P6539" s="2" t="s">
        <v>11035</v>
      </c>
      <c r="Q6539" s="2">
        <f>AVERAGE(PerfRate[[#This Row],[EnvironmentSatisfaction]],PerfRate[[#This Row],[JobSatisfaction]],PerfRate[[#This Row],[RelationshipSatisfaction]])</f>
        <v>2.6666666666666665</v>
      </c>
      <c r="R6539" s="2">
        <f>PerfRate[[#This Row],[ManagerRating]] - PerfRate[[#This Row],[SelfRating]]</f>
        <v>0</v>
      </c>
    </row>
    <row r="6540" spans="1:18">
      <c r="A6540" s="2" t="s">
        <v>10847</v>
      </c>
      <c r="B6540" s="2" t="s">
        <v>2856</v>
      </c>
      <c r="C6540" s="1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  <c r="L6540" s="2" t="s">
        <v>11029</v>
      </c>
      <c r="M6540" s="2" t="s">
        <v>11029</v>
      </c>
      <c r="N6540" s="2" t="s">
        <v>11036</v>
      </c>
      <c r="O6540" s="2" t="s">
        <v>11036</v>
      </c>
      <c r="P6540" s="2" t="s">
        <v>11036</v>
      </c>
      <c r="Q6540" s="2">
        <f>AVERAGE(PerfRate[[#This Row],[EnvironmentSatisfaction]],PerfRate[[#This Row],[JobSatisfaction]],PerfRate[[#This Row],[RelationshipSatisfaction]])</f>
        <v>3</v>
      </c>
      <c r="R6540" s="2">
        <f>PerfRate[[#This Row],[ManagerRating]] - PerfRate[[#This Row],[SelfRating]]</f>
        <v>0</v>
      </c>
    </row>
    <row r="6541" spans="1:18">
      <c r="A6541" s="2" t="s">
        <v>10848</v>
      </c>
      <c r="B6541" s="2" t="s">
        <v>2156</v>
      </c>
      <c r="C6541" s="1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  <c r="L6541" s="2" t="s">
        <v>11031</v>
      </c>
      <c r="M6541" s="2" t="s">
        <v>11031</v>
      </c>
      <c r="N6541" s="2" t="s">
        <v>11038</v>
      </c>
      <c r="O6541" s="2" t="s">
        <v>11035</v>
      </c>
      <c r="P6541" s="2" t="s">
        <v>11037</v>
      </c>
      <c r="Q6541" s="2">
        <f>AVERAGE(PerfRate[[#This Row],[EnvironmentSatisfaction]],PerfRate[[#This Row],[JobSatisfaction]],PerfRate[[#This Row],[RelationshipSatisfaction]])</f>
        <v>3.6666666666666665</v>
      </c>
      <c r="R6541" s="2">
        <f>PerfRate[[#This Row],[ManagerRating]] - PerfRate[[#This Row],[SelfRating]]</f>
        <v>0</v>
      </c>
    </row>
    <row r="6542" spans="1:18">
      <c r="A6542" s="2" t="s">
        <v>10849</v>
      </c>
      <c r="B6542" s="2" t="s">
        <v>368</v>
      </c>
      <c r="C6542" s="1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  <c r="L6542" s="2" t="s">
        <v>11029</v>
      </c>
      <c r="M6542" s="2" t="s">
        <v>11028</v>
      </c>
      <c r="N6542" s="2" t="s">
        <v>11037</v>
      </c>
      <c r="O6542" s="2" t="s">
        <v>11038</v>
      </c>
      <c r="P6542" s="2" t="s">
        <v>11038</v>
      </c>
      <c r="Q6542" s="2">
        <f>AVERAGE(PerfRate[[#This Row],[EnvironmentSatisfaction]],PerfRate[[#This Row],[JobSatisfaction]],PerfRate[[#This Row],[RelationshipSatisfaction]])</f>
        <v>4.666666666666667</v>
      </c>
      <c r="R6542" s="2">
        <f>PerfRate[[#This Row],[ManagerRating]] - PerfRate[[#This Row],[SelfRating]]</f>
        <v>-1</v>
      </c>
    </row>
    <row r="6543" spans="1:18">
      <c r="A6543" s="2" t="s">
        <v>10850</v>
      </c>
      <c r="B6543" s="2" t="s">
        <v>287</v>
      </c>
      <c r="C6543" s="1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  <c r="L6543" s="2" t="s">
        <v>11029</v>
      </c>
      <c r="M6543" s="2" t="s">
        <v>11028</v>
      </c>
      <c r="N6543" s="2" t="s">
        <v>11036</v>
      </c>
      <c r="O6543" s="2" t="s">
        <v>11038</v>
      </c>
      <c r="P6543" s="2" t="s">
        <v>11037</v>
      </c>
      <c r="Q6543" s="2">
        <f>AVERAGE(PerfRate[[#This Row],[EnvironmentSatisfaction]],PerfRate[[#This Row],[JobSatisfaction]],PerfRate[[#This Row],[RelationshipSatisfaction]])</f>
        <v>4</v>
      </c>
      <c r="R6543" s="2">
        <f>PerfRate[[#This Row],[ManagerRating]] - PerfRate[[#This Row],[SelfRating]]</f>
        <v>-1</v>
      </c>
    </row>
    <row r="6544" spans="1:18">
      <c r="A6544" s="2" t="s">
        <v>10851</v>
      </c>
      <c r="B6544" s="2" t="s">
        <v>3572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  <c r="L6544" s="2" t="s">
        <v>11031</v>
      </c>
      <c r="M6544" s="2" t="s">
        <v>11031</v>
      </c>
      <c r="N6544" s="2" t="s">
        <v>11038</v>
      </c>
      <c r="O6544" s="2" t="s">
        <v>11038</v>
      </c>
      <c r="P6544" s="2" t="s">
        <v>11035</v>
      </c>
      <c r="Q6544" s="2">
        <f>AVERAGE(PerfRate[[#This Row],[EnvironmentSatisfaction]],PerfRate[[#This Row],[JobSatisfaction]],PerfRate[[#This Row],[RelationshipSatisfaction]])</f>
        <v>4</v>
      </c>
      <c r="R6544" s="2">
        <f>PerfRate[[#This Row],[ManagerRating]] - PerfRate[[#This Row],[SelfRating]]</f>
        <v>0</v>
      </c>
    </row>
    <row r="6545" spans="1:18">
      <c r="A6545" s="2" t="s">
        <v>10852</v>
      </c>
      <c r="B6545" s="2" t="s">
        <v>204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  <c r="L6545" s="2" t="s">
        <v>11031</v>
      </c>
      <c r="M6545" s="2" t="s">
        <v>11030</v>
      </c>
      <c r="N6545" s="2" t="s">
        <v>11038</v>
      </c>
      <c r="O6545" s="2" t="s">
        <v>11037</v>
      </c>
      <c r="P6545" s="2" t="s">
        <v>11038</v>
      </c>
      <c r="Q6545" s="2">
        <f>AVERAGE(PerfRate[[#This Row],[EnvironmentSatisfaction]],PerfRate[[#This Row],[JobSatisfaction]],PerfRate[[#This Row],[RelationshipSatisfaction]])</f>
        <v>4.666666666666667</v>
      </c>
      <c r="R6545" s="2">
        <f>PerfRate[[#This Row],[ManagerRating]] - PerfRate[[#This Row],[SelfRating]]</f>
        <v>-1</v>
      </c>
    </row>
    <row r="6546" spans="1:18">
      <c r="A6546" s="2" t="s">
        <v>10853</v>
      </c>
      <c r="B6546" s="2" t="s">
        <v>2097</v>
      </c>
      <c r="C6546" s="1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  <c r="L6546" s="2" t="s">
        <v>11030</v>
      </c>
      <c r="M6546" s="2" t="s">
        <v>11029</v>
      </c>
      <c r="N6546" s="2" t="s">
        <v>11036</v>
      </c>
      <c r="O6546" s="2" t="s">
        <v>11037</v>
      </c>
      <c r="P6546" s="2" t="s">
        <v>11036</v>
      </c>
      <c r="Q6546" s="2">
        <f>AVERAGE(PerfRate[[#This Row],[EnvironmentSatisfaction]],PerfRate[[#This Row],[JobSatisfaction]],PerfRate[[#This Row],[RelationshipSatisfaction]])</f>
        <v>3.3333333333333335</v>
      </c>
      <c r="R6546" s="2">
        <f>PerfRate[[#This Row],[ManagerRating]] - PerfRate[[#This Row],[SelfRating]]</f>
        <v>-1</v>
      </c>
    </row>
    <row r="6547" spans="1:18">
      <c r="A6547" s="2" t="s">
        <v>10854</v>
      </c>
      <c r="B6547" s="2" t="s">
        <v>904</v>
      </c>
      <c r="C6547" s="1">
        <v>42401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  <c r="L6547" s="2" t="s">
        <v>11029</v>
      </c>
      <c r="M6547" s="2" t="s">
        <v>11029</v>
      </c>
      <c r="N6547" s="2" t="s">
        <v>11036</v>
      </c>
      <c r="O6547" s="2" t="s">
        <v>11037</v>
      </c>
      <c r="P6547" s="2" t="s">
        <v>11038</v>
      </c>
      <c r="Q6547" s="2">
        <f>AVERAGE(PerfRate[[#This Row],[EnvironmentSatisfaction]],PerfRate[[#This Row],[JobSatisfaction]],PerfRate[[#This Row],[RelationshipSatisfaction]])</f>
        <v>4</v>
      </c>
      <c r="R6547" s="2">
        <f>PerfRate[[#This Row],[ManagerRating]] - PerfRate[[#This Row],[SelfRating]]</f>
        <v>0</v>
      </c>
    </row>
    <row r="6548" spans="1:18">
      <c r="A6548" s="2" t="s">
        <v>10855</v>
      </c>
      <c r="B6548" s="2" t="s">
        <v>1235</v>
      </c>
      <c r="C6548" s="1">
        <v>42430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  <c r="L6548" s="2" t="s">
        <v>11029</v>
      </c>
      <c r="M6548" s="2" t="s">
        <v>11028</v>
      </c>
      <c r="N6548" s="2" t="s">
        <v>11038</v>
      </c>
      <c r="O6548" s="2" t="s">
        <v>11036</v>
      </c>
      <c r="P6548" s="2" t="s">
        <v>11037</v>
      </c>
      <c r="Q6548" s="2">
        <f>AVERAGE(PerfRate[[#This Row],[EnvironmentSatisfaction]],PerfRate[[#This Row],[JobSatisfaction]],PerfRate[[#This Row],[RelationshipSatisfaction]])</f>
        <v>4</v>
      </c>
      <c r="R6548" s="2">
        <f>PerfRate[[#This Row],[ManagerRating]] - PerfRate[[#This Row],[SelfRating]]</f>
        <v>-1</v>
      </c>
    </row>
    <row r="6549" spans="1:18">
      <c r="A6549" s="2" t="s">
        <v>10856</v>
      </c>
      <c r="B6549" s="2" t="s">
        <v>1326</v>
      </c>
      <c r="C6549" s="1">
        <v>42430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  <c r="L6549" s="2" t="s">
        <v>11029</v>
      </c>
      <c r="M6549" s="2" t="s">
        <v>11029</v>
      </c>
      <c r="N6549" s="2" t="s">
        <v>11036</v>
      </c>
      <c r="O6549" s="2" t="s">
        <v>11035</v>
      </c>
      <c r="P6549" s="2" t="s">
        <v>11035</v>
      </c>
      <c r="Q6549" s="2">
        <f>AVERAGE(PerfRate[[#This Row],[EnvironmentSatisfaction]],PerfRate[[#This Row],[JobSatisfaction]],PerfRate[[#This Row],[RelationshipSatisfaction]])</f>
        <v>2.3333333333333335</v>
      </c>
      <c r="R6549" s="2">
        <f>PerfRate[[#This Row],[ManagerRating]] - PerfRate[[#This Row],[SelfRating]]</f>
        <v>0</v>
      </c>
    </row>
    <row r="6550" spans="1:18">
      <c r="A6550" s="2" t="s">
        <v>10857</v>
      </c>
      <c r="B6550" s="2" t="s">
        <v>320</v>
      </c>
      <c r="C6550" s="1">
        <v>42430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  <c r="L6550" s="2" t="s">
        <v>11030</v>
      </c>
      <c r="M6550" s="2" t="s">
        <v>11029</v>
      </c>
      <c r="N6550" s="2" t="s">
        <v>11038</v>
      </c>
      <c r="O6550" s="2" t="s">
        <v>11036</v>
      </c>
      <c r="P6550" s="2" t="s">
        <v>11035</v>
      </c>
      <c r="Q6550" s="2">
        <f>AVERAGE(PerfRate[[#This Row],[EnvironmentSatisfaction]],PerfRate[[#This Row],[JobSatisfaction]],PerfRate[[#This Row],[RelationshipSatisfaction]])</f>
        <v>3.3333333333333335</v>
      </c>
      <c r="R6550" s="2">
        <f>PerfRate[[#This Row],[ManagerRating]] - PerfRate[[#This Row],[SelfRating]]</f>
        <v>-1</v>
      </c>
    </row>
    <row r="6551" spans="1:18">
      <c r="A6551" s="2" t="s">
        <v>10858</v>
      </c>
      <c r="B6551" s="2" t="s">
        <v>1435</v>
      </c>
      <c r="C6551" s="1">
        <v>42461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  <c r="L6551" s="2" t="s">
        <v>11031</v>
      </c>
      <c r="M6551" s="2" t="s">
        <v>11030</v>
      </c>
      <c r="N6551" s="2" t="s">
        <v>11038</v>
      </c>
      <c r="O6551" s="2" t="s">
        <v>11036</v>
      </c>
      <c r="P6551" s="2" t="s">
        <v>11037</v>
      </c>
      <c r="Q6551" s="2">
        <f>AVERAGE(PerfRate[[#This Row],[EnvironmentSatisfaction]],PerfRate[[#This Row],[JobSatisfaction]],PerfRate[[#This Row],[RelationshipSatisfaction]])</f>
        <v>4</v>
      </c>
      <c r="R6551" s="2">
        <f>PerfRate[[#This Row],[ManagerRating]] - PerfRate[[#This Row],[SelfRating]]</f>
        <v>-1</v>
      </c>
    </row>
    <row r="6552" spans="1:18">
      <c r="A6552" s="2" t="s">
        <v>10859</v>
      </c>
      <c r="B6552" s="2" t="s">
        <v>1030</v>
      </c>
      <c r="C6552" s="1">
        <v>42461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  <c r="L6552" s="2" t="s">
        <v>11029</v>
      </c>
      <c r="M6552" s="2" t="s">
        <v>11028</v>
      </c>
      <c r="N6552" s="2" t="s">
        <v>11038</v>
      </c>
      <c r="O6552" s="2" t="s">
        <v>11035</v>
      </c>
      <c r="P6552" s="2" t="s">
        <v>11038</v>
      </c>
      <c r="Q6552" s="2">
        <f>AVERAGE(PerfRate[[#This Row],[EnvironmentSatisfaction]],PerfRate[[#This Row],[JobSatisfaction]],PerfRate[[#This Row],[RelationshipSatisfaction]])</f>
        <v>4</v>
      </c>
      <c r="R6552" s="2">
        <f>PerfRate[[#This Row],[ManagerRating]] - PerfRate[[#This Row],[SelfRating]]</f>
        <v>-1</v>
      </c>
    </row>
    <row r="6553" spans="1:18">
      <c r="A6553" s="2" t="s">
        <v>10860</v>
      </c>
      <c r="B6553" s="2" t="s">
        <v>964</v>
      </c>
      <c r="C6553" s="1">
        <v>42461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  <c r="L6553" s="2" t="s">
        <v>11029</v>
      </c>
      <c r="M6553" s="2" t="s">
        <v>11029</v>
      </c>
      <c r="N6553" s="2" t="s">
        <v>11036</v>
      </c>
      <c r="O6553" s="2" t="s">
        <v>11035</v>
      </c>
      <c r="P6553" s="2" t="s">
        <v>11037</v>
      </c>
      <c r="Q6553" s="2">
        <f>AVERAGE(PerfRate[[#This Row],[EnvironmentSatisfaction]],PerfRate[[#This Row],[JobSatisfaction]],PerfRate[[#This Row],[RelationshipSatisfaction]])</f>
        <v>3</v>
      </c>
      <c r="R6553" s="2">
        <f>PerfRate[[#This Row],[ManagerRating]] - PerfRate[[#This Row],[SelfRating]]</f>
        <v>0</v>
      </c>
    </row>
    <row r="6554" spans="1:18">
      <c r="A6554" s="2" t="s">
        <v>10861</v>
      </c>
      <c r="B6554" s="2" t="s">
        <v>260</v>
      </c>
      <c r="C6554" s="1">
        <v>42491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  <c r="L6554" s="2" t="s">
        <v>11030</v>
      </c>
      <c r="M6554" s="2" t="s">
        <v>11030</v>
      </c>
      <c r="N6554" s="2" t="s">
        <v>11037</v>
      </c>
      <c r="O6554" s="2" t="s">
        <v>11037</v>
      </c>
      <c r="P6554" s="2" t="s">
        <v>11037</v>
      </c>
      <c r="Q6554" s="2">
        <f>AVERAGE(PerfRate[[#This Row],[EnvironmentSatisfaction]],PerfRate[[#This Row],[JobSatisfaction]],PerfRate[[#This Row],[RelationshipSatisfaction]])</f>
        <v>4</v>
      </c>
      <c r="R6554" s="2">
        <f>PerfRate[[#This Row],[ManagerRating]] - PerfRate[[#This Row],[SelfRating]]</f>
        <v>0</v>
      </c>
    </row>
    <row r="6555" spans="1:18">
      <c r="A6555" s="2" t="s">
        <v>10862</v>
      </c>
      <c r="B6555" s="2" t="s">
        <v>892</v>
      </c>
      <c r="C6555" s="1">
        <v>42522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  <c r="L6555" s="2" t="s">
        <v>11029</v>
      </c>
      <c r="M6555" s="2" t="s">
        <v>11029</v>
      </c>
      <c r="N6555" s="2" t="s">
        <v>11037</v>
      </c>
      <c r="O6555" s="2" t="s">
        <v>11037</v>
      </c>
      <c r="P6555" s="2" t="s">
        <v>11035</v>
      </c>
      <c r="Q6555" s="2">
        <f>AVERAGE(PerfRate[[#This Row],[EnvironmentSatisfaction]],PerfRate[[#This Row],[JobSatisfaction]],PerfRate[[#This Row],[RelationshipSatisfaction]])</f>
        <v>3.3333333333333335</v>
      </c>
      <c r="R6555" s="2">
        <f>PerfRate[[#This Row],[ManagerRating]] - PerfRate[[#This Row],[SelfRating]]</f>
        <v>0</v>
      </c>
    </row>
    <row r="6556" spans="1:18">
      <c r="A6556" s="2" t="s">
        <v>10863</v>
      </c>
      <c r="B6556" s="2" t="s">
        <v>141</v>
      </c>
      <c r="C6556" s="1">
        <v>42552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  <c r="L6556" s="2" t="s">
        <v>11029</v>
      </c>
      <c r="M6556" s="2" t="s">
        <v>11028</v>
      </c>
      <c r="N6556" s="2" t="s">
        <v>11038</v>
      </c>
      <c r="O6556" s="2" t="s">
        <v>11038</v>
      </c>
      <c r="P6556" s="2" t="s">
        <v>11035</v>
      </c>
      <c r="Q6556" s="2">
        <f>AVERAGE(PerfRate[[#This Row],[EnvironmentSatisfaction]],PerfRate[[#This Row],[JobSatisfaction]],PerfRate[[#This Row],[RelationshipSatisfaction]])</f>
        <v>4</v>
      </c>
      <c r="R6556" s="2">
        <f>PerfRate[[#This Row],[ManagerRating]] - PerfRate[[#This Row],[SelfRating]]</f>
        <v>-1</v>
      </c>
    </row>
    <row r="6557" spans="1:18">
      <c r="A6557" s="2" t="s">
        <v>10864</v>
      </c>
      <c r="B6557" s="2" t="s">
        <v>404</v>
      </c>
      <c r="C6557" s="1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  <c r="L6557" s="2" t="s">
        <v>11030</v>
      </c>
      <c r="M6557" s="2" t="s">
        <v>11029</v>
      </c>
      <c r="N6557" s="2" t="s">
        <v>11037</v>
      </c>
      <c r="O6557" s="2" t="s">
        <v>11038</v>
      </c>
      <c r="P6557" s="2" t="s">
        <v>11036</v>
      </c>
      <c r="Q6557" s="2">
        <f>AVERAGE(PerfRate[[#This Row],[EnvironmentSatisfaction]],PerfRate[[#This Row],[JobSatisfaction]],PerfRate[[#This Row],[RelationshipSatisfaction]])</f>
        <v>4</v>
      </c>
      <c r="R6557" s="2">
        <f>PerfRate[[#This Row],[ManagerRating]] - PerfRate[[#This Row],[SelfRating]]</f>
        <v>-1</v>
      </c>
    </row>
    <row r="6558" spans="1:18">
      <c r="A6558" s="2" t="s">
        <v>10865</v>
      </c>
      <c r="B6558" s="2" t="s">
        <v>428</v>
      </c>
      <c r="C6558" s="1">
        <v>42583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  <c r="L6558" s="2" t="s">
        <v>11029</v>
      </c>
      <c r="M6558" s="2" t="s">
        <v>11028</v>
      </c>
      <c r="N6558" s="2" t="s">
        <v>11037</v>
      </c>
      <c r="O6558" s="2" t="s">
        <v>11035</v>
      </c>
      <c r="P6558" s="2" t="s">
        <v>11038</v>
      </c>
      <c r="Q6558" s="2">
        <f>AVERAGE(PerfRate[[#This Row],[EnvironmentSatisfaction]],PerfRate[[#This Row],[JobSatisfaction]],PerfRate[[#This Row],[RelationshipSatisfaction]])</f>
        <v>3.6666666666666665</v>
      </c>
      <c r="R6558" s="2">
        <f>PerfRate[[#This Row],[ManagerRating]] - PerfRate[[#This Row],[SelfRating]]</f>
        <v>-1</v>
      </c>
    </row>
    <row r="6559" spans="1:18">
      <c r="A6559" s="2" t="s">
        <v>10866</v>
      </c>
      <c r="B6559" s="2" t="s">
        <v>1945</v>
      </c>
      <c r="C6559" s="1">
        <v>42644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  <c r="L6559" s="2" t="s">
        <v>11031</v>
      </c>
      <c r="M6559" s="2" t="s">
        <v>11030</v>
      </c>
      <c r="N6559" s="2" t="s">
        <v>11037</v>
      </c>
      <c r="O6559" s="2" t="s">
        <v>11037</v>
      </c>
      <c r="P6559" s="2" t="s">
        <v>11036</v>
      </c>
      <c r="Q6559" s="2">
        <f>AVERAGE(PerfRate[[#This Row],[EnvironmentSatisfaction]],PerfRate[[#This Row],[JobSatisfaction]],PerfRate[[#This Row],[RelationshipSatisfaction]])</f>
        <v>3.6666666666666665</v>
      </c>
      <c r="R6559" s="2">
        <f>PerfRate[[#This Row],[ManagerRating]] - PerfRate[[#This Row],[SelfRating]]</f>
        <v>-1</v>
      </c>
    </row>
    <row r="6560" spans="1:18">
      <c r="A6560" s="2" t="s">
        <v>10867</v>
      </c>
      <c r="B6560" s="2" t="s">
        <v>934</v>
      </c>
      <c r="C6560" s="1">
        <v>42644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  <c r="L6560" s="2" t="s">
        <v>11031</v>
      </c>
      <c r="M6560" s="2" t="s">
        <v>11030</v>
      </c>
      <c r="N6560" s="2" t="s">
        <v>11037</v>
      </c>
      <c r="O6560" s="2" t="s">
        <v>11038</v>
      </c>
      <c r="P6560" s="2" t="s">
        <v>11035</v>
      </c>
      <c r="Q6560" s="2">
        <f>AVERAGE(PerfRate[[#This Row],[EnvironmentSatisfaction]],PerfRate[[#This Row],[JobSatisfaction]],PerfRate[[#This Row],[RelationshipSatisfaction]])</f>
        <v>3.6666666666666665</v>
      </c>
      <c r="R6560" s="2">
        <f>PerfRate[[#This Row],[ManagerRating]] - PerfRate[[#This Row],[SelfRating]]</f>
        <v>-1</v>
      </c>
    </row>
    <row r="6561" spans="1:18">
      <c r="A6561" s="2" t="s">
        <v>10868</v>
      </c>
      <c r="B6561" s="2" t="s">
        <v>850</v>
      </c>
      <c r="C6561" s="1">
        <v>42644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  <c r="L6561" s="2" t="s">
        <v>11029</v>
      </c>
      <c r="M6561" s="2" t="s">
        <v>11029</v>
      </c>
      <c r="N6561" s="2" t="s">
        <v>11037</v>
      </c>
      <c r="O6561" s="2" t="s">
        <v>11038</v>
      </c>
      <c r="P6561" s="2" t="s">
        <v>11037</v>
      </c>
      <c r="Q6561" s="2">
        <f>AVERAGE(PerfRate[[#This Row],[EnvironmentSatisfaction]],PerfRate[[#This Row],[JobSatisfaction]],PerfRate[[#This Row],[RelationshipSatisfaction]])</f>
        <v>4.333333333333333</v>
      </c>
      <c r="R6561" s="2">
        <f>PerfRate[[#This Row],[ManagerRating]] - PerfRate[[#This Row],[SelfRating]]</f>
        <v>0</v>
      </c>
    </row>
    <row r="6562" spans="1:18">
      <c r="A6562" s="2" t="s">
        <v>10869</v>
      </c>
      <c r="B6562" s="2" t="s">
        <v>853</v>
      </c>
      <c r="C6562" s="1">
        <v>42675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  <c r="L6562" s="2" t="s">
        <v>11031</v>
      </c>
      <c r="M6562" s="2" t="s">
        <v>11031</v>
      </c>
      <c r="N6562" s="2" t="s">
        <v>11038</v>
      </c>
      <c r="O6562" s="2" t="s">
        <v>11036</v>
      </c>
      <c r="P6562" s="2" t="s">
        <v>11037</v>
      </c>
      <c r="Q6562" s="2">
        <f>AVERAGE(PerfRate[[#This Row],[EnvironmentSatisfaction]],PerfRate[[#This Row],[JobSatisfaction]],PerfRate[[#This Row],[RelationshipSatisfaction]])</f>
        <v>4</v>
      </c>
      <c r="R6562" s="2">
        <f>PerfRate[[#This Row],[ManagerRating]] - PerfRate[[#This Row],[SelfRating]]</f>
        <v>0</v>
      </c>
    </row>
    <row r="6563" spans="1:18">
      <c r="A6563" s="2" t="s">
        <v>10870</v>
      </c>
      <c r="B6563" s="2" t="s">
        <v>595</v>
      </c>
      <c r="C6563" s="1">
        <v>42675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  <c r="L6563" s="2" t="s">
        <v>11030</v>
      </c>
      <c r="M6563" s="2" t="s">
        <v>11030</v>
      </c>
      <c r="N6563" s="2" t="s">
        <v>11037</v>
      </c>
      <c r="O6563" s="2" t="s">
        <v>11036</v>
      </c>
      <c r="P6563" s="2" t="s">
        <v>11037</v>
      </c>
      <c r="Q6563" s="2">
        <f>AVERAGE(PerfRate[[#This Row],[EnvironmentSatisfaction]],PerfRate[[#This Row],[JobSatisfaction]],PerfRate[[#This Row],[RelationshipSatisfaction]])</f>
        <v>3.6666666666666665</v>
      </c>
      <c r="R6563" s="2">
        <f>PerfRate[[#This Row],[ManagerRating]] - PerfRate[[#This Row],[SelfRating]]</f>
        <v>0</v>
      </c>
    </row>
    <row r="6564" spans="1:18">
      <c r="A6564" s="2" t="s">
        <v>10871</v>
      </c>
      <c r="B6564" s="2" t="s">
        <v>970</v>
      </c>
      <c r="C6564" s="1">
        <v>42675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  <c r="L6564" s="2" t="s">
        <v>11030</v>
      </c>
      <c r="M6564" s="2" t="s">
        <v>11030</v>
      </c>
      <c r="N6564" s="2" t="s">
        <v>11036</v>
      </c>
      <c r="O6564" s="2" t="s">
        <v>11036</v>
      </c>
      <c r="P6564" s="2" t="s">
        <v>11037</v>
      </c>
      <c r="Q6564" s="2">
        <f>AVERAGE(PerfRate[[#This Row],[EnvironmentSatisfaction]],PerfRate[[#This Row],[JobSatisfaction]],PerfRate[[#This Row],[RelationshipSatisfaction]])</f>
        <v>3.3333333333333335</v>
      </c>
      <c r="R6564" s="2">
        <f>PerfRate[[#This Row],[ManagerRating]] - PerfRate[[#This Row],[SelfRating]]</f>
        <v>0</v>
      </c>
    </row>
    <row r="6565" spans="1:18">
      <c r="A6565" s="2" t="s">
        <v>10872</v>
      </c>
      <c r="B6565" s="2" t="s">
        <v>2664</v>
      </c>
      <c r="C6565" s="1">
        <v>42675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  <c r="L6565" s="2" t="s">
        <v>11029</v>
      </c>
      <c r="M6565" s="2" t="s">
        <v>11028</v>
      </c>
      <c r="N6565" s="2" t="s">
        <v>11036</v>
      </c>
      <c r="O6565" s="2" t="s">
        <v>11035</v>
      </c>
      <c r="P6565" s="2" t="s">
        <v>11036</v>
      </c>
      <c r="Q6565" s="2">
        <f>AVERAGE(PerfRate[[#This Row],[EnvironmentSatisfaction]],PerfRate[[#This Row],[JobSatisfaction]],PerfRate[[#This Row],[RelationshipSatisfaction]])</f>
        <v>2.6666666666666665</v>
      </c>
      <c r="R6565" s="2">
        <f>PerfRate[[#This Row],[ManagerRating]] - PerfRate[[#This Row],[SelfRating]]</f>
        <v>-1</v>
      </c>
    </row>
    <row r="6566" spans="1:18">
      <c r="A6566" s="2" t="s">
        <v>10873</v>
      </c>
      <c r="B6566" s="2" t="s">
        <v>2080</v>
      </c>
      <c r="C6566" s="1">
        <v>42705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  <c r="L6566" s="2" t="s">
        <v>11031</v>
      </c>
      <c r="M6566" s="2" t="s">
        <v>11030</v>
      </c>
      <c r="N6566" s="2" t="s">
        <v>11037</v>
      </c>
      <c r="O6566" s="2" t="s">
        <v>11038</v>
      </c>
      <c r="P6566" s="2" t="s">
        <v>11036</v>
      </c>
      <c r="Q6566" s="2">
        <f>AVERAGE(PerfRate[[#This Row],[EnvironmentSatisfaction]],PerfRate[[#This Row],[JobSatisfaction]],PerfRate[[#This Row],[RelationshipSatisfaction]])</f>
        <v>4</v>
      </c>
      <c r="R6566" s="2">
        <f>PerfRate[[#This Row],[ManagerRating]] - PerfRate[[#This Row],[SelfRating]]</f>
        <v>-1</v>
      </c>
    </row>
    <row r="6567" spans="1:18">
      <c r="A6567" s="2" t="s">
        <v>10874</v>
      </c>
      <c r="B6567" s="2" t="s">
        <v>3868</v>
      </c>
      <c r="C6567" s="1">
        <v>42705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  <c r="L6567" s="2" t="s">
        <v>11029</v>
      </c>
      <c r="M6567" s="2" t="s">
        <v>11028</v>
      </c>
      <c r="N6567" s="2" t="s">
        <v>11038</v>
      </c>
      <c r="O6567" s="2" t="s">
        <v>11036</v>
      </c>
      <c r="P6567" s="2" t="s">
        <v>11035</v>
      </c>
      <c r="Q6567" s="2">
        <f>AVERAGE(PerfRate[[#This Row],[EnvironmentSatisfaction]],PerfRate[[#This Row],[JobSatisfaction]],PerfRate[[#This Row],[RelationshipSatisfaction]])</f>
        <v>3.3333333333333335</v>
      </c>
      <c r="R6567" s="2">
        <f>PerfRate[[#This Row],[ManagerRating]] - PerfRate[[#This Row],[SelfRating]]</f>
        <v>-1</v>
      </c>
    </row>
    <row r="6568" spans="1:18">
      <c r="A6568" s="2" t="s">
        <v>10875</v>
      </c>
      <c r="B6568" s="2" t="s">
        <v>169</v>
      </c>
      <c r="C6568" s="1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  <c r="L6568" s="2" t="s">
        <v>11030</v>
      </c>
      <c r="M6568" s="2" t="s">
        <v>11029</v>
      </c>
      <c r="N6568" s="2" t="s">
        <v>11037</v>
      </c>
      <c r="O6568" s="2" t="s">
        <v>11035</v>
      </c>
      <c r="P6568" s="2" t="s">
        <v>11036</v>
      </c>
      <c r="Q6568" s="2">
        <f>AVERAGE(PerfRate[[#This Row],[EnvironmentSatisfaction]],PerfRate[[#This Row],[JobSatisfaction]],PerfRate[[#This Row],[RelationshipSatisfaction]])</f>
        <v>3</v>
      </c>
      <c r="R6568" s="2">
        <f>PerfRate[[#This Row],[ManagerRating]] - PerfRate[[#This Row],[SelfRating]]</f>
        <v>-1</v>
      </c>
    </row>
    <row r="6569" spans="1:18">
      <c r="A6569" s="2" t="s">
        <v>10876</v>
      </c>
      <c r="B6569" s="2" t="s">
        <v>2150</v>
      </c>
      <c r="C6569" s="1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  <c r="L6569" s="2" t="s">
        <v>11029</v>
      </c>
      <c r="M6569" s="2" t="s">
        <v>11028</v>
      </c>
      <c r="N6569" s="2" t="s">
        <v>11037</v>
      </c>
      <c r="O6569" s="2" t="s">
        <v>11035</v>
      </c>
      <c r="P6569" s="2" t="s">
        <v>11037</v>
      </c>
      <c r="Q6569" s="2">
        <f>AVERAGE(PerfRate[[#This Row],[EnvironmentSatisfaction]],PerfRate[[#This Row],[JobSatisfaction]],PerfRate[[#This Row],[RelationshipSatisfaction]])</f>
        <v>3.3333333333333335</v>
      </c>
      <c r="R6569" s="2">
        <f>PerfRate[[#This Row],[ManagerRating]] - PerfRate[[#This Row],[SelfRating]]</f>
        <v>-1</v>
      </c>
    </row>
    <row r="6570" spans="1:18">
      <c r="A6570" s="2" t="s">
        <v>10877</v>
      </c>
      <c r="B6570" s="2" t="s">
        <v>889</v>
      </c>
      <c r="C6570" s="1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  <c r="L6570" s="2" t="s">
        <v>11030</v>
      </c>
      <c r="M6570" s="2" t="s">
        <v>11029</v>
      </c>
      <c r="N6570" s="2" t="s">
        <v>11038</v>
      </c>
      <c r="O6570" s="2" t="s">
        <v>11037</v>
      </c>
      <c r="P6570" s="2" t="s">
        <v>11038</v>
      </c>
      <c r="Q6570" s="2">
        <f>AVERAGE(PerfRate[[#This Row],[EnvironmentSatisfaction]],PerfRate[[#This Row],[JobSatisfaction]],PerfRate[[#This Row],[RelationshipSatisfaction]])</f>
        <v>4.666666666666667</v>
      </c>
      <c r="R6570" s="2">
        <f>PerfRate[[#This Row],[ManagerRating]] - PerfRate[[#This Row],[SelfRating]]</f>
        <v>-1</v>
      </c>
    </row>
    <row r="6571" spans="1:18">
      <c r="A6571" s="2" t="s">
        <v>10878</v>
      </c>
      <c r="B6571" s="2" t="s">
        <v>2281</v>
      </c>
      <c r="C6571" s="1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  <c r="L6571" s="2" t="s">
        <v>11029</v>
      </c>
      <c r="M6571" s="2" t="s">
        <v>11028</v>
      </c>
      <c r="N6571" s="2" t="s">
        <v>11036</v>
      </c>
      <c r="O6571" s="2" t="s">
        <v>11035</v>
      </c>
      <c r="P6571" s="2" t="s">
        <v>11037</v>
      </c>
      <c r="Q6571" s="2">
        <f>AVERAGE(PerfRate[[#This Row],[EnvironmentSatisfaction]],PerfRate[[#This Row],[JobSatisfaction]],PerfRate[[#This Row],[RelationshipSatisfaction]])</f>
        <v>3</v>
      </c>
      <c r="R6571" s="2">
        <f>PerfRate[[#This Row],[ManagerRating]] - PerfRate[[#This Row],[SelfRating]]</f>
        <v>-1</v>
      </c>
    </row>
    <row r="6572" spans="1:18">
      <c r="A6572" s="2" t="s">
        <v>10879</v>
      </c>
      <c r="B6572" s="2" t="s">
        <v>166</v>
      </c>
      <c r="C6572" s="1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  <c r="L6572" s="2" t="s">
        <v>11030</v>
      </c>
      <c r="M6572" s="2" t="s">
        <v>11030</v>
      </c>
      <c r="N6572" s="2" t="s">
        <v>11036</v>
      </c>
      <c r="O6572" s="2" t="s">
        <v>11038</v>
      </c>
      <c r="P6572" s="2" t="s">
        <v>11037</v>
      </c>
      <c r="Q6572" s="2">
        <f>AVERAGE(PerfRate[[#This Row],[EnvironmentSatisfaction]],PerfRate[[#This Row],[JobSatisfaction]],PerfRate[[#This Row],[RelationshipSatisfaction]])</f>
        <v>4</v>
      </c>
      <c r="R6572" s="2">
        <f>PerfRate[[#This Row],[ManagerRating]] - PerfRate[[#This Row],[SelfRating]]</f>
        <v>0</v>
      </c>
    </row>
    <row r="6573" spans="1:18">
      <c r="A6573" s="2" t="s">
        <v>10880</v>
      </c>
      <c r="B6573" s="2" t="s">
        <v>401</v>
      </c>
      <c r="C6573" s="1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  <c r="L6573" s="2" t="s">
        <v>11030</v>
      </c>
      <c r="M6573" s="2" t="s">
        <v>11030</v>
      </c>
      <c r="N6573" s="2" t="s">
        <v>11036</v>
      </c>
      <c r="O6573" s="2" t="s">
        <v>11035</v>
      </c>
      <c r="P6573" s="2" t="s">
        <v>11037</v>
      </c>
      <c r="Q6573" s="2">
        <f>AVERAGE(PerfRate[[#This Row],[EnvironmentSatisfaction]],PerfRate[[#This Row],[JobSatisfaction]],PerfRate[[#This Row],[RelationshipSatisfaction]])</f>
        <v>3</v>
      </c>
      <c r="R6573" s="2">
        <f>PerfRate[[#This Row],[ManagerRating]] - PerfRate[[#This Row],[SelfRating]]</f>
        <v>0</v>
      </c>
    </row>
    <row r="6574" spans="1:18">
      <c r="A6574" s="2" t="s">
        <v>10881</v>
      </c>
      <c r="B6574" s="2" t="s">
        <v>1889</v>
      </c>
      <c r="C6574" s="1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  <c r="L6574" s="2" t="s">
        <v>11030</v>
      </c>
      <c r="M6574" s="2" t="s">
        <v>11029</v>
      </c>
      <c r="N6574" s="2" t="s">
        <v>11036</v>
      </c>
      <c r="O6574" s="2" t="s">
        <v>11036</v>
      </c>
      <c r="P6574" s="2" t="s">
        <v>11037</v>
      </c>
      <c r="Q6574" s="2">
        <f>AVERAGE(PerfRate[[#This Row],[EnvironmentSatisfaction]],PerfRate[[#This Row],[JobSatisfaction]],PerfRate[[#This Row],[RelationshipSatisfaction]])</f>
        <v>3.3333333333333335</v>
      </c>
      <c r="R6574" s="2">
        <f>PerfRate[[#This Row],[ManagerRating]] - PerfRate[[#This Row],[SelfRating]]</f>
        <v>-1</v>
      </c>
    </row>
    <row r="6575" spans="1:18">
      <c r="A6575" s="2" t="s">
        <v>10882</v>
      </c>
      <c r="B6575" s="2" t="s">
        <v>940</v>
      </c>
      <c r="C6575" s="1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  <c r="L6575" s="2" t="s">
        <v>11030</v>
      </c>
      <c r="M6575" s="2" t="s">
        <v>11029</v>
      </c>
      <c r="N6575" s="2" t="s">
        <v>11038</v>
      </c>
      <c r="O6575" s="2" t="s">
        <v>11035</v>
      </c>
      <c r="P6575" s="2" t="s">
        <v>11036</v>
      </c>
      <c r="Q6575" s="2">
        <f>AVERAGE(PerfRate[[#This Row],[EnvironmentSatisfaction]],PerfRate[[#This Row],[JobSatisfaction]],PerfRate[[#This Row],[RelationshipSatisfaction]])</f>
        <v>3.3333333333333335</v>
      </c>
      <c r="R6575" s="2">
        <f>PerfRate[[#This Row],[ManagerRating]] - PerfRate[[#This Row],[SelfRating]]</f>
        <v>-1</v>
      </c>
    </row>
    <row r="6576" spans="1:18">
      <c r="A6576" s="2" t="s">
        <v>10883</v>
      </c>
      <c r="B6576" s="2" t="s">
        <v>490</v>
      </c>
      <c r="C6576" s="1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  <c r="L6576" s="2" t="s">
        <v>11031</v>
      </c>
      <c r="M6576" s="2" t="s">
        <v>11031</v>
      </c>
      <c r="N6576" s="2" t="s">
        <v>11036</v>
      </c>
      <c r="O6576" s="2" t="s">
        <v>11037</v>
      </c>
      <c r="P6576" s="2" t="s">
        <v>11038</v>
      </c>
      <c r="Q6576" s="2">
        <f>AVERAGE(PerfRate[[#This Row],[EnvironmentSatisfaction]],PerfRate[[#This Row],[JobSatisfaction]],PerfRate[[#This Row],[RelationshipSatisfaction]])</f>
        <v>4</v>
      </c>
      <c r="R6576" s="2">
        <f>PerfRate[[#This Row],[ManagerRating]] - PerfRate[[#This Row],[SelfRating]]</f>
        <v>0</v>
      </c>
    </row>
    <row r="6577" spans="1:18">
      <c r="A6577" s="2" t="s">
        <v>10884</v>
      </c>
      <c r="B6577" s="2" t="s">
        <v>738</v>
      </c>
      <c r="C6577" s="1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  <c r="L6577" s="2" t="s">
        <v>11029</v>
      </c>
      <c r="M6577" s="2" t="s">
        <v>11028</v>
      </c>
      <c r="N6577" s="2" t="s">
        <v>11036</v>
      </c>
      <c r="O6577" s="2" t="s">
        <v>11038</v>
      </c>
      <c r="P6577" s="2" t="s">
        <v>11035</v>
      </c>
      <c r="Q6577" s="2">
        <f>AVERAGE(PerfRate[[#This Row],[EnvironmentSatisfaction]],PerfRate[[#This Row],[JobSatisfaction]],PerfRate[[#This Row],[RelationshipSatisfaction]])</f>
        <v>3.3333333333333335</v>
      </c>
      <c r="R6577" s="2">
        <f>PerfRate[[#This Row],[ManagerRating]] - PerfRate[[#This Row],[SelfRating]]</f>
        <v>-1</v>
      </c>
    </row>
    <row r="6578" spans="1:18">
      <c r="A6578" s="2" t="s">
        <v>10885</v>
      </c>
      <c r="B6578" s="2" t="s">
        <v>2911</v>
      </c>
      <c r="C6578" s="1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  <c r="L6578" s="2" t="s">
        <v>11030</v>
      </c>
      <c r="M6578" s="2" t="s">
        <v>11030</v>
      </c>
      <c r="N6578" s="2" t="s">
        <v>11036</v>
      </c>
      <c r="O6578" s="2" t="s">
        <v>11038</v>
      </c>
      <c r="P6578" s="2" t="s">
        <v>11035</v>
      </c>
      <c r="Q6578" s="2">
        <f>AVERAGE(PerfRate[[#This Row],[EnvironmentSatisfaction]],PerfRate[[#This Row],[JobSatisfaction]],PerfRate[[#This Row],[RelationshipSatisfaction]])</f>
        <v>3.3333333333333335</v>
      </c>
      <c r="R6578" s="2">
        <f>PerfRate[[#This Row],[ManagerRating]] - PerfRate[[#This Row],[SelfRating]]</f>
        <v>0</v>
      </c>
    </row>
    <row r="6579" spans="1:18">
      <c r="A6579" s="2" t="s">
        <v>10886</v>
      </c>
      <c r="B6579" s="2" t="s">
        <v>2184</v>
      </c>
      <c r="C6579" s="1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  <c r="L6579" s="2" t="s">
        <v>11030</v>
      </c>
      <c r="M6579" s="2" t="s">
        <v>11030</v>
      </c>
      <c r="N6579" s="2" t="s">
        <v>11038</v>
      </c>
      <c r="O6579" s="2" t="s">
        <v>11038</v>
      </c>
      <c r="P6579" s="2" t="s">
        <v>11035</v>
      </c>
      <c r="Q6579" s="2">
        <f>AVERAGE(PerfRate[[#This Row],[EnvironmentSatisfaction]],PerfRate[[#This Row],[JobSatisfaction]],PerfRate[[#This Row],[RelationshipSatisfaction]])</f>
        <v>4</v>
      </c>
      <c r="R6579" s="2">
        <f>PerfRate[[#This Row],[ManagerRating]] - PerfRate[[#This Row],[SelfRating]]</f>
        <v>0</v>
      </c>
    </row>
    <row r="6580" spans="1:18">
      <c r="A6580" s="2" t="s">
        <v>10887</v>
      </c>
      <c r="B6580" s="2" t="s">
        <v>1818</v>
      </c>
      <c r="C6580" s="1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  <c r="L6580" s="2" t="s">
        <v>11030</v>
      </c>
      <c r="M6580" s="2" t="s">
        <v>11030</v>
      </c>
      <c r="N6580" s="2" t="s">
        <v>11036</v>
      </c>
      <c r="O6580" s="2" t="s">
        <v>11035</v>
      </c>
      <c r="P6580" s="2" t="s">
        <v>11036</v>
      </c>
      <c r="Q6580" s="2">
        <f>AVERAGE(PerfRate[[#This Row],[EnvironmentSatisfaction]],PerfRate[[#This Row],[JobSatisfaction]],PerfRate[[#This Row],[RelationshipSatisfaction]])</f>
        <v>2.6666666666666665</v>
      </c>
      <c r="R6580" s="2">
        <f>PerfRate[[#This Row],[ManagerRating]] - PerfRate[[#This Row],[SelfRating]]</f>
        <v>0</v>
      </c>
    </row>
    <row r="6581" spans="1:18">
      <c r="A6581" s="2" t="s">
        <v>10888</v>
      </c>
      <c r="B6581" s="2" t="s">
        <v>1881</v>
      </c>
      <c r="C6581" s="1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  <c r="L6581" s="2" t="s">
        <v>11031</v>
      </c>
      <c r="M6581" s="2" t="s">
        <v>11030</v>
      </c>
      <c r="N6581" s="2" t="s">
        <v>11037</v>
      </c>
      <c r="O6581" s="2" t="s">
        <v>11038</v>
      </c>
      <c r="P6581" s="2" t="s">
        <v>11035</v>
      </c>
      <c r="Q6581" s="2">
        <f>AVERAGE(PerfRate[[#This Row],[EnvironmentSatisfaction]],PerfRate[[#This Row],[JobSatisfaction]],PerfRate[[#This Row],[RelationshipSatisfaction]])</f>
        <v>3.6666666666666665</v>
      </c>
      <c r="R6581" s="2">
        <f>PerfRate[[#This Row],[ManagerRating]] - PerfRate[[#This Row],[SelfRating]]</f>
        <v>-1</v>
      </c>
    </row>
    <row r="6582" spans="1:18">
      <c r="A6582" s="2" t="s">
        <v>10889</v>
      </c>
      <c r="B6582" s="2" t="s">
        <v>1177</v>
      </c>
      <c r="C6582" s="1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  <c r="L6582" s="2" t="s">
        <v>11031</v>
      </c>
      <c r="M6582" s="2" t="s">
        <v>11030</v>
      </c>
      <c r="N6582" s="2" t="s">
        <v>11037</v>
      </c>
      <c r="O6582" s="2" t="s">
        <v>11038</v>
      </c>
      <c r="P6582" s="2" t="s">
        <v>11037</v>
      </c>
      <c r="Q6582" s="2">
        <f>AVERAGE(PerfRate[[#This Row],[EnvironmentSatisfaction]],PerfRate[[#This Row],[JobSatisfaction]],PerfRate[[#This Row],[RelationshipSatisfaction]])</f>
        <v>4.333333333333333</v>
      </c>
      <c r="R6582" s="2">
        <f>PerfRate[[#This Row],[ManagerRating]] - PerfRate[[#This Row],[SelfRating]]</f>
        <v>-1</v>
      </c>
    </row>
    <row r="6583" spans="1:18">
      <c r="A6583" s="2" t="s">
        <v>10890</v>
      </c>
      <c r="B6583" s="2" t="s">
        <v>94</v>
      </c>
      <c r="C6583" s="1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  <c r="L6583" s="2" t="s">
        <v>11029</v>
      </c>
      <c r="M6583" s="2" t="s">
        <v>11028</v>
      </c>
      <c r="N6583" s="2" t="s">
        <v>11038</v>
      </c>
      <c r="O6583" s="2" t="s">
        <v>11038</v>
      </c>
      <c r="P6583" s="2" t="s">
        <v>11035</v>
      </c>
      <c r="Q6583" s="2">
        <f>AVERAGE(PerfRate[[#This Row],[EnvironmentSatisfaction]],PerfRate[[#This Row],[JobSatisfaction]],PerfRate[[#This Row],[RelationshipSatisfaction]])</f>
        <v>4</v>
      </c>
      <c r="R6583" s="2">
        <f>PerfRate[[#This Row],[ManagerRating]] - PerfRate[[#This Row],[SelfRating]]</f>
        <v>-1</v>
      </c>
    </row>
    <row r="6584" spans="1:18">
      <c r="A6584" s="2" t="s">
        <v>10891</v>
      </c>
      <c r="B6584" s="2" t="s">
        <v>690</v>
      </c>
      <c r="C6584" s="1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  <c r="L6584" s="2" t="s">
        <v>11031</v>
      </c>
      <c r="M6584" s="2" t="s">
        <v>11030</v>
      </c>
      <c r="N6584" s="2" t="s">
        <v>11036</v>
      </c>
      <c r="O6584" s="2" t="s">
        <v>11037</v>
      </c>
      <c r="P6584" s="2" t="s">
        <v>11036</v>
      </c>
      <c r="Q6584" s="2">
        <f>AVERAGE(PerfRate[[#This Row],[EnvironmentSatisfaction]],PerfRate[[#This Row],[JobSatisfaction]],PerfRate[[#This Row],[RelationshipSatisfaction]])</f>
        <v>3.3333333333333335</v>
      </c>
      <c r="R6584" s="2">
        <f>PerfRate[[#This Row],[ManagerRating]] - PerfRate[[#This Row],[SelfRating]]</f>
        <v>-1</v>
      </c>
    </row>
    <row r="6585" spans="1:18">
      <c r="A6585" s="2" t="s">
        <v>10892</v>
      </c>
      <c r="B6585" s="2" t="s">
        <v>1707</v>
      </c>
      <c r="C6585" s="1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  <c r="L6585" s="2" t="s">
        <v>11031</v>
      </c>
      <c r="M6585" s="2" t="s">
        <v>11031</v>
      </c>
      <c r="N6585" s="2" t="s">
        <v>11037</v>
      </c>
      <c r="O6585" s="2" t="s">
        <v>11037</v>
      </c>
      <c r="P6585" s="2" t="s">
        <v>11038</v>
      </c>
      <c r="Q6585" s="2">
        <f>AVERAGE(PerfRate[[#This Row],[EnvironmentSatisfaction]],PerfRate[[#This Row],[JobSatisfaction]],PerfRate[[#This Row],[RelationshipSatisfaction]])</f>
        <v>4.333333333333333</v>
      </c>
      <c r="R6585" s="2">
        <f>PerfRate[[#This Row],[ManagerRating]] - PerfRate[[#This Row],[SelfRating]]</f>
        <v>0</v>
      </c>
    </row>
    <row r="6586" spans="1:18">
      <c r="A6586" s="2" t="s">
        <v>10893</v>
      </c>
      <c r="B6586" s="2" t="s">
        <v>705</v>
      </c>
      <c r="C6586" s="1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  <c r="L6586" s="2" t="s">
        <v>11029</v>
      </c>
      <c r="M6586" s="2" t="s">
        <v>11028</v>
      </c>
      <c r="N6586" s="2" t="s">
        <v>11038</v>
      </c>
      <c r="O6586" s="2" t="s">
        <v>11038</v>
      </c>
      <c r="P6586" s="2" t="s">
        <v>11035</v>
      </c>
      <c r="Q6586" s="2">
        <f>AVERAGE(PerfRate[[#This Row],[EnvironmentSatisfaction]],PerfRate[[#This Row],[JobSatisfaction]],PerfRate[[#This Row],[RelationshipSatisfaction]])</f>
        <v>4</v>
      </c>
      <c r="R6586" s="2">
        <f>PerfRate[[#This Row],[ManagerRating]] - PerfRate[[#This Row],[SelfRating]]</f>
        <v>-1</v>
      </c>
    </row>
    <row r="6587" spans="1:18">
      <c r="A6587" s="2" t="s">
        <v>10894</v>
      </c>
      <c r="B6587" s="2" t="s">
        <v>2659</v>
      </c>
      <c r="C6587" s="1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  <c r="L6587" s="2" t="s">
        <v>11030</v>
      </c>
      <c r="M6587" s="2" t="s">
        <v>11029</v>
      </c>
      <c r="N6587" s="2" t="s">
        <v>11038</v>
      </c>
      <c r="O6587" s="2" t="s">
        <v>11038</v>
      </c>
      <c r="P6587" s="2" t="s">
        <v>11035</v>
      </c>
      <c r="Q6587" s="2">
        <f>AVERAGE(PerfRate[[#This Row],[EnvironmentSatisfaction]],PerfRate[[#This Row],[JobSatisfaction]],PerfRate[[#This Row],[RelationshipSatisfaction]])</f>
        <v>4</v>
      </c>
      <c r="R6587" s="2">
        <f>PerfRate[[#This Row],[ManagerRating]] - PerfRate[[#This Row],[SelfRating]]</f>
        <v>-1</v>
      </c>
    </row>
    <row r="6588" spans="1:18">
      <c r="A6588" s="2" t="s">
        <v>10895</v>
      </c>
      <c r="B6588" s="2" t="s">
        <v>664</v>
      </c>
      <c r="C6588" s="1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  <c r="L6588" s="2" t="s">
        <v>11030</v>
      </c>
      <c r="M6588" s="2" t="s">
        <v>11029</v>
      </c>
      <c r="N6588" s="2" t="s">
        <v>11036</v>
      </c>
      <c r="O6588" s="2" t="s">
        <v>11037</v>
      </c>
      <c r="P6588" s="2" t="s">
        <v>11035</v>
      </c>
      <c r="Q6588" s="2">
        <f>AVERAGE(PerfRate[[#This Row],[EnvironmentSatisfaction]],PerfRate[[#This Row],[JobSatisfaction]],PerfRate[[#This Row],[RelationshipSatisfaction]])</f>
        <v>3</v>
      </c>
      <c r="R6588" s="2">
        <f>PerfRate[[#This Row],[ManagerRating]] - PerfRate[[#This Row],[SelfRating]]</f>
        <v>-1</v>
      </c>
    </row>
    <row r="6589" spans="1:18">
      <c r="A6589" s="2" t="s">
        <v>10896</v>
      </c>
      <c r="B6589" s="2" t="s">
        <v>684</v>
      </c>
      <c r="C6589" s="1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  <c r="L6589" s="2" t="s">
        <v>11031</v>
      </c>
      <c r="M6589" s="2" t="s">
        <v>11031</v>
      </c>
      <c r="N6589" s="2" t="s">
        <v>11036</v>
      </c>
      <c r="O6589" s="2" t="s">
        <v>11038</v>
      </c>
      <c r="P6589" s="2" t="s">
        <v>11036</v>
      </c>
      <c r="Q6589" s="2">
        <f>AVERAGE(PerfRate[[#This Row],[EnvironmentSatisfaction]],PerfRate[[#This Row],[JobSatisfaction]],PerfRate[[#This Row],[RelationshipSatisfaction]])</f>
        <v>3.6666666666666665</v>
      </c>
      <c r="R6589" s="2">
        <f>PerfRate[[#This Row],[ManagerRating]] - PerfRate[[#This Row],[SelfRating]]</f>
        <v>0</v>
      </c>
    </row>
    <row r="6590" spans="1:18">
      <c r="A6590" s="2" t="s">
        <v>10897</v>
      </c>
      <c r="B6590" s="2" t="s">
        <v>1201</v>
      </c>
      <c r="C6590" s="1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  <c r="L6590" s="2" t="s">
        <v>11029</v>
      </c>
      <c r="M6590" s="2" t="s">
        <v>11028</v>
      </c>
      <c r="N6590" s="2" t="s">
        <v>11037</v>
      </c>
      <c r="O6590" s="2" t="s">
        <v>11035</v>
      </c>
      <c r="P6590" s="2" t="s">
        <v>11036</v>
      </c>
      <c r="Q6590" s="2">
        <f>AVERAGE(PerfRate[[#This Row],[EnvironmentSatisfaction]],PerfRate[[#This Row],[JobSatisfaction]],PerfRate[[#This Row],[RelationshipSatisfaction]])</f>
        <v>3</v>
      </c>
      <c r="R6590" s="2">
        <f>PerfRate[[#This Row],[ManagerRating]] - PerfRate[[#This Row],[SelfRating]]</f>
        <v>-1</v>
      </c>
    </row>
    <row r="6591" spans="1:18">
      <c r="A6591" s="2" t="s">
        <v>10898</v>
      </c>
      <c r="B6591" s="2" t="s">
        <v>702</v>
      </c>
      <c r="C6591" s="1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  <c r="L6591" s="2" t="s">
        <v>11029</v>
      </c>
      <c r="M6591" s="2" t="s">
        <v>11028</v>
      </c>
      <c r="N6591" s="2" t="s">
        <v>11038</v>
      </c>
      <c r="O6591" s="2" t="s">
        <v>11038</v>
      </c>
      <c r="P6591" s="2" t="s">
        <v>11037</v>
      </c>
      <c r="Q6591" s="2">
        <f>AVERAGE(PerfRate[[#This Row],[EnvironmentSatisfaction]],PerfRate[[#This Row],[JobSatisfaction]],PerfRate[[#This Row],[RelationshipSatisfaction]])</f>
        <v>4.666666666666667</v>
      </c>
      <c r="R6591" s="2">
        <f>PerfRate[[#This Row],[ManagerRating]] - PerfRate[[#This Row],[SelfRating]]</f>
        <v>-1</v>
      </c>
    </row>
    <row r="6592" spans="1:18">
      <c r="A6592" s="2" t="s">
        <v>10899</v>
      </c>
      <c r="B6592" s="2" t="s">
        <v>1252</v>
      </c>
      <c r="C6592" s="1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  <c r="L6592" s="2" t="s">
        <v>11031</v>
      </c>
      <c r="M6592" s="2" t="s">
        <v>11031</v>
      </c>
      <c r="N6592" s="2" t="s">
        <v>11037</v>
      </c>
      <c r="O6592" s="2" t="s">
        <v>11035</v>
      </c>
      <c r="P6592" s="2" t="s">
        <v>11038</v>
      </c>
      <c r="Q6592" s="2">
        <f>AVERAGE(PerfRate[[#This Row],[EnvironmentSatisfaction]],PerfRate[[#This Row],[JobSatisfaction]],PerfRate[[#This Row],[RelationshipSatisfaction]])</f>
        <v>3.6666666666666665</v>
      </c>
      <c r="R6592" s="2">
        <f>PerfRate[[#This Row],[ManagerRating]] - PerfRate[[#This Row],[SelfRating]]</f>
        <v>0</v>
      </c>
    </row>
    <row r="6593" spans="1:18">
      <c r="A6593" s="2" t="s">
        <v>10900</v>
      </c>
      <c r="B6593" s="2" t="s">
        <v>3995</v>
      </c>
      <c r="C6593" s="1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  <c r="L6593" s="2" t="s">
        <v>11031</v>
      </c>
      <c r="M6593" s="2" t="s">
        <v>11030</v>
      </c>
      <c r="N6593" s="2" t="s">
        <v>11037</v>
      </c>
      <c r="O6593" s="2" t="s">
        <v>11038</v>
      </c>
      <c r="P6593" s="2" t="s">
        <v>11038</v>
      </c>
      <c r="Q6593" s="2">
        <f>AVERAGE(PerfRate[[#This Row],[EnvironmentSatisfaction]],PerfRate[[#This Row],[JobSatisfaction]],PerfRate[[#This Row],[RelationshipSatisfaction]])</f>
        <v>4.666666666666667</v>
      </c>
      <c r="R6593" s="2">
        <f>PerfRate[[#This Row],[ManagerRating]] - PerfRate[[#This Row],[SelfRating]]</f>
        <v>-1</v>
      </c>
    </row>
    <row r="6594" spans="1:18">
      <c r="A6594" s="2" t="s">
        <v>10901</v>
      </c>
      <c r="B6594" s="2" t="s">
        <v>1886</v>
      </c>
      <c r="C6594" s="1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  <c r="L6594" s="2" t="s">
        <v>11031</v>
      </c>
      <c r="M6594" s="2" t="s">
        <v>11031</v>
      </c>
      <c r="N6594" s="2" t="s">
        <v>11037</v>
      </c>
      <c r="O6594" s="2" t="s">
        <v>11037</v>
      </c>
      <c r="P6594" s="2" t="s">
        <v>11035</v>
      </c>
      <c r="Q6594" s="2">
        <f>AVERAGE(PerfRate[[#This Row],[EnvironmentSatisfaction]],PerfRate[[#This Row],[JobSatisfaction]],PerfRate[[#This Row],[RelationshipSatisfaction]])</f>
        <v>3.3333333333333335</v>
      </c>
      <c r="R6594" s="2">
        <f>PerfRate[[#This Row],[ManagerRating]] - PerfRate[[#This Row],[SelfRating]]</f>
        <v>0</v>
      </c>
    </row>
    <row r="6595" spans="1:18">
      <c r="A6595" s="2" t="s">
        <v>10902</v>
      </c>
      <c r="B6595" s="2" t="s">
        <v>3566</v>
      </c>
      <c r="C6595" s="1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  <c r="L6595" s="2" t="s">
        <v>11030</v>
      </c>
      <c r="M6595" s="2" t="s">
        <v>11030</v>
      </c>
      <c r="N6595" s="2" t="s">
        <v>11036</v>
      </c>
      <c r="O6595" s="2" t="s">
        <v>11035</v>
      </c>
      <c r="P6595" s="2" t="s">
        <v>11036</v>
      </c>
      <c r="Q6595" s="2">
        <f>AVERAGE(PerfRate[[#This Row],[EnvironmentSatisfaction]],PerfRate[[#This Row],[JobSatisfaction]],PerfRate[[#This Row],[RelationshipSatisfaction]])</f>
        <v>2.6666666666666665</v>
      </c>
      <c r="R6595" s="2">
        <f>PerfRate[[#This Row],[ManagerRating]] - PerfRate[[#This Row],[SelfRating]]</f>
        <v>0</v>
      </c>
    </row>
    <row r="6596" spans="1:18">
      <c r="A6596" s="2" t="s">
        <v>10903</v>
      </c>
      <c r="B6596" s="2" t="s">
        <v>1065</v>
      </c>
      <c r="C6596" s="1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  <c r="L6596" s="2" t="s">
        <v>11029</v>
      </c>
      <c r="M6596" s="2" t="s">
        <v>11028</v>
      </c>
      <c r="N6596" s="2" t="s">
        <v>11038</v>
      </c>
      <c r="O6596" s="2" t="s">
        <v>11038</v>
      </c>
      <c r="P6596" s="2" t="s">
        <v>11038</v>
      </c>
      <c r="Q6596" s="2">
        <f>AVERAGE(PerfRate[[#This Row],[EnvironmentSatisfaction]],PerfRate[[#This Row],[JobSatisfaction]],PerfRate[[#This Row],[RelationshipSatisfaction]])</f>
        <v>5</v>
      </c>
      <c r="R6596" s="2">
        <f>PerfRate[[#This Row],[ManagerRating]] - PerfRate[[#This Row],[SelfRating]]</f>
        <v>-1</v>
      </c>
    </row>
    <row r="6597" spans="1:18">
      <c r="A6597" s="2" t="s">
        <v>10904</v>
      </c>
      <c r="B6597" s="2" t="s">
        <v>589</v>
      </c>
      <c r="C6597" s="1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  <c r="L6597" s="2" t="s">
        <v>11029</v>
      </c>
      <c r="M6597" s="2" t="s">
        <v>11029</v>
      </c>
      <c r="N6597" s="2" t="s">
        <v>11036</v>
      </c>
      <c r="O6597" s="2" t="s">
        <v>11038</v>
      </c>
      <c r="P6597" s="2" t="s">
        <v>11035</v>
      </c>
      <c r="Q6597" s="2">
        <f>AVERAGE(PerfRate[[#This Row],[EnvironmentSatisfaction]],PerfRate[[#This Row],[JobSatisfaction]],PerfRate[[#This Row],[RelationshipSatisfaction]])</f>
        <v>3.3333333333333335</v>
      </c>
      <c r="R6597" s="2">
        <f>PerfRate[[#This Row],[ManagerRating]] - PerfRate[[#This Row],[SelfRating]]</f>
        <v>0</v>
      </c>
    </row>
    <row r="6598" spans="1:18">
      <c r="A6598" s="2" t="s">
        <v>10905</v>
      </c>
      <c r="B6598" s="2" t="s">
        <v>1027</v>
      </c>
      <c r="C6598" s="1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  <c r="L6598" s="2" t="s">
        <v>11030</v>
      </c>
      <c r="M6598" s="2" t="s">
        <v>11029</v>
      </c>
      <c r="N6598" s="2" t="s">
        <v>11036</v>
      </c>
      <c r="O6598" s="2" t="s">
        <v>11037</v>
      </c>
      <c r="P6598" s="2" t="s">
        <v>11038</v>
      </c>
      <c r="Q6598" s="2">
        <f>AVERAGE(PerfRate[[#This Row],[EnvironmentSatisfaction]],PerfRate[[#This Row],[JobSatisfaction]],PerfRate[[#This Row],[RelationshipSatisfaction]])</f>
        <v>4</v>
      </c>
      <c r="R6598" s="2">
        <f>PerfRate[[#This Row],[ManagerRating]] - PerfRate[[#This Row],[SelfRating]]</f>
        <v>-1</v>
      </c>
    </row>
    <row r="6599" spans="1:18">
      <c r="A6599" s="2" t="s">
        <v>10906</v>
      </c>
      <c r="B6599" s="2" t="s">
        <v>622</v>
      </c>
      <c r="C6599" s="1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  <c r="L6599" s="2" t="s">
        <v>11031</v>
      </c>
      <c r="M6599" s="2" t="s">
        <v>11030</v>
      </c>
      <c r="N6599" s="2" t="s">
        <v>11037</v>
      </c>
      <c r="O6599" s="2" t="s">
        <v>11035</v>
      </c>
      <c r="P6599" s="2" t="s">
        <v>11035</v>
      </c>
      <c r="Q6599" s="2">
        <f>AVERAGE(PerfRate[[#This Row],[EnvironmentSatisfaction]],PerfRate[[#This Row],[JobSatisfaction]],PerfRate[[#This Row],[RelationshipSatisfaction]])</f>
        <v>2.6666666666666665</v>
      </c>
      <c r="R6599" s="2">
        <f>PerfRate[[#This Row],[ManagerRating]] - PerfRate[[#This Row],[SelfRating]]</f>
        <v>-1</v>
      </c>
    </row>
    <row r="6600" spans="1:18">
      <c r="A6600" s="2" t="s">
        <v>10907</v>
      </c>
      <c r="B6600" s="2" t="s">
        <v>1672</v>
      </c>
      <c r="C6600" s="1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  <c r="L6600" s="2" t="s">
        <v>11031</v>
      </c>
      <c r="M6600" s="2" t="s">
        <v>11030</v>
      </c>
      <c r="N6600" s="2" t="s">
        <v>11038</v>
      </c>
      <c r="O6600" s="2" t="s">
        <v>11036</v>
      </c>
      <c r="P6600" s="2" t="s">
        <v>11035</v>
      </c>
      <c r="Q6600" s="2">
        <f>AVERAGE(PerfRate[[#This Row],[EnvironmentSatisfaction]],PerfRate[[#This Row],[JobSatisfaction]],PerfRate[[#This Row],[RelationshipSatisfaction]])</f>
        <v>3.3333333333333335</v>
      </c>
      <c r="R6600" s="2">
        <f>PerfRate[[#This Row],[ManagerRating]] - PerfRate[[#This Row],[SelfRating]]</f>
        <v>-1</v>
      </c>
    </row>
    <row r="6601" spans="1:18">
      <c r="A6601" s="2" t="s">
        <v>10908</v>
      </c>
      <c r="B6601" s="2" t="s">
        <v>2427</v>
      </c>
      <c r="C6601" s="1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  <c r="L6601" s="2" t="s">
        <v>11031</v>
      </c>
      <c r="M6601" s="2" t="s">
        <v>11030</v>
      </c>
      <c r="N6601" s="2" t="s">
        <v>11037</v>
      </c>
      <c r="O6601" s="2" t="s">
        <v>11036</v>
      </c>
      <c r="P6601" s="2" t="s">
        <v>11038</v>
      </c>
      <c r="Q6601" s="2">
        <f>AVERAGE(PerfRate[[#This Row],[EnvironmentSatisfaction]],PerfRate[[#This Row],[JobSatisfaction]],PerfRate[[#This Row],[RelationshipSatisfaction]])</f>
        <v>4</v>
      </c>
      <c r="R6601" s="2">
        <f>PerfRate[[#This Row],[ManagerRating]] - PerfRate[[#This Row],[SelfRating]]</f>
        <v>-1</v>
      </c>
    </row>
    <row r="6602" spans="1:18">
      <c r="A6602" s="2" t="s">
        <v>10909</v>
      </c>
      <c r="B6602" s="2" t="s">
        <v>1383</v>
      </c>
      <c r="C6602" s="1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  <c r="L6602" s="2" t="s">
        <v>11029</v>
      </c>
      <c r="M6602" s="2" t="s">
        <v>11028</v>
      </c>
      <c r="N6602" s="2" t="s">
        <v>11036</v>
      </c>
      <c r="O6602" s="2" t="s">
        <v>11035</v>
      </c>
      <c r="P6602" s="2" t="s">
        <v>11038</v>
      </c>
      <c r="Q6602" s="2">
        <f>AVERAGE(PerfRate[[#This Row],[EnvironmentSatisfaction]],PerfRate[[#This Row],[JobSatisfaction]],PerfRate[[#This Row],[RelationshipSatisfaction]])</f>
        <v>3.3333333333333335</v>
      </c>
      <c r="R6602" s="2">
        <f>PerfRate[[#This Row],[ManagerRating]] - PerfRate[[#This Row],[SelfRating]]</f>
        <v>-1</v>
      </c>
    </row>
    <row r="6603" spans="1:18">
      <c r="A6603" s="2" t="s">
        <v>10910</v>
      </c>
      <c r="B6603" s="2" t="s">
        <v>241</v>
      </c>
      <c r="C6603" s="1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  <c r="L6603" s="2" t="s">
        <v>11030</v>
      </c>
      <c r="M6603" s="2" t="s">
        <v>11030</v>
      </c>
      <c r="N6603" s="2" t="s">
        <v>11036</v>
      </c>
      <c r="O6603" s="2" t="s">
        <v>11038</v>
      </c>
      <c r="P6603" s="2" t="s">
        <v>11036</v>
      </c>
      <c r="Q6603" s="2">
        <f>AVERAGE(PerfRate[[#This Row],[EnvironmentSatisfaction]],PerfRate[[#This Row],[JobSatisfaction]],PerfRate[[#This Row],[RelationshipSatisfaction]])</f>
        <v>3.6666666666666665</v>
      </c>
      <c r="R6603" s="2">
        <f>PerfRate[[#This Row],[ManagerRating]] - PerfRate[[#This Row],[SelfRating]]</f>
        <v>0</v>
      </c>
    </row>
    <row r="6604" spans="1:18">
      <c r="A6604" s="2" t="s">
        <v>10911</v>
      </c>
      <c r="B6604" s="2" t="s">
        <v>735</v>
      </c>
      <c r="C6604" s="1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  <c r="L6604" s="2" t="s">
        <v>11031</v>
      </c>
      <c r="M6604" s="2" t="s">
        <v>11030</v>
      </c>
      <c r="N6604" s="2" t="s">
        <v>11036</v>
      </c>
      <c r="O6604" s="2" t="s">
        <v>11035</v>
      </c>
      <c r="P6604" s="2" t="s">
        <v>11036</v>
      </c>
      <c r="Q6604" s="2">
        <f>AVERAGE(PerfRate[[#This Row],[EnvironmentSatisfaction]],PerfRate[[#This Row],[JobSatisfaction]],PerfRate[[#This Row],[RelationshipSatisfaction]])</f>
        <v>2.6666666666666665</v>
      </c>
      <c r="R6604" s="2">
        <f>PerfRate[[#This Row],[ManagerRating]] - PerfRate[[#This Row],[SelfRating]]</f>
        <v>-1</v>
      </c>
    </row>
    <row r="6605" spans="1:18">
      <c r="A6605" s="2" t="s">
        <v>10912</v>
      </c>
      <c r="B6605" s="2" t="s">
        <v>3126</v>
      </c>
      <c r="C6605" s="1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  <c r="L6605" s="2" t="s">
        <v>11031</v>
      </c>
      <c r="M6605" s="2" t="s">
        <v>11030</v>
      </c>
      <c r="N6605" s="2" t="s">
        <v>11036</v>
      </c>
      <c r="O6605" s="2" t="s">
        <v>11036</v>
      </c>
      <c r="P6605" s="2" t="s">
        <v>11038</v>
      </c>
      <c r="Q6605" s="2">
        <f>AVERAGE(PerfRate[[#This Row],[EnvironmentSatisfaction]],PerfRate[[#This Row],[JobSatisfaction]],PerfRate[[#This Row],[RelationshipSatisfaction]])</f>
        <v>3.6666666666666665</v>
      </c>
      <c r="R6605" s="2">
        <f>PerfRate[[#This Row],[ManagerRating]] - PerfRate[[#This Row],[SelfRating]]</f>
        <v>-1</v>
      </c>
    </row>
    <row r="6606" spans="1:18">
      <c r="A6606" s="2" t="s">
        <v>10913</v>
      </c>
      <c r="B6606" s="2" t="s">
        <v>493</v>
      </c>
      <c r="C6606" s="1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  <c r="L6606" s="2" t="s">
        <v>11031</v>
      </c>
      <c r="M6606" s="2" t="s">
        <v>11031</v>
      </c>
      <c r="N6606" s="2" t="s">
        <v>11036</v>
      </c>
      <c r="O6606" s="2" t="s">
        <v>11037</v>
      </c>
      <c r="P6606" s="2" t="s">
        <v>11035</v>
      </c>
      <c r="Q6606" s="2">
        <f>AVERAGE(PerfRate[[#This Row],[EnvironmentSatisfaction]],PerfRate[[#This Row],[JobSatisfaction]],PerfRate[[#This Row],[RelationshipSatisfaction]])</f>
        <v>3</v>
      </c>
      <c r="R6606" s="2">
        <f>PerfRate[[#This Row],[ManagerRating]] - PerfRate[[#This Row],[SelfRating]]</f>
        <v>0</v>
      </c>
    </row>
    <row r="6607" spans="1:18">
      <c r="A6607" s="2" t="s">
        <v>10914</v>
      </c>
      <c r="B6607" s="2" t="s">
        <v>2131</v>
      </c>
      <c r="C6607" s="1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  <c r="L6607" s="2" t="s">
        <v>11029</v>
      </c>
      <c r="M6607" s="2" t="s">
        <v>11029</v>
      </c>
      <c r="N6607" s="2" t="s">
        <v>11036</v>
      </c>
      <c r="O6607" s="2" t="s">
        <v>11037</v>
      </c>
      <c r="P6607" s="2" t="s">
        <v>11037</v>
      </c>
      <c r="Q6607" s="2">
        <f>AVERAGE(PerfRate[[#This Row],[EnvironmentSatisfaction]],PerfRate[[#This Row],[JobSatisfaction]],PerfRate[[#This Row],[RelationshipSatisfaction]])</f>
        <v>3.6666666666666665</v>
      </c>
      <c r="R6607" s="2">
        <f>PerfRate[[#This Row],[ManagerRating]] - PerfRate[[#This Row],[SelfRating]]</f>
        <v>0</v>
      </c>
    </row>
    <row r="6608" spans="1:18">
      <c r="A6608" s="2" t="s">
        <v>10915</v>
      </c>
      <c r="B6608" s="2" t="s">
        <v>1198</v>
      </c>
      <c r="C6608" s="1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  <c r="L6608" s="2" t="s">
        <v>11030</v>
      </c>
      <c r="M6608" s="2" t="s">
        <v>11030</v>
      </c>
      <c r="N6608" s="2" t="s">
        <v>11037</v>
      </c>
      <c r="O6608" s="2" t="s">
        <v>11036</v>
      </c>
      <c r="P6608" s="2" t="s">
        <v>11035</v>
      </c>
      <c r="Q6608" s="2">
        <f>AVERAGE(PerfRate[[#This Row],[EnvironmentSatisfaction]],PerfRate[[#This Row],[JobSatisfaction]],PerfRate[[#This Row],[RelationshipSatisfaction]])</f>
        <v>3</v>
      </c>
      <c r="R6608" s="2">
        <f>PerfRate[[#This Row],[ManagerRating]] - PerfRate[[#This Row],[SelfRating]]</f>
        <v>0</v>
      </c>
    </row>
    <row r="6609" spans="1:18">
      <c r="A6609" s="2" t="s">
        <v>10916</v>
      </c>
      <c r="B6609" s="2" t="s">
        <v>1006</v>
      </c>
      <c r="C6609" s="1">
        <v>42371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  <c r="L6609" s="2" t="s">
        <v>11031</v>
      </c>
      <c r="M6609" s="2" t="s">
        <v>11031</v>
      </c>
      <c r="N6609" s="2" t="s">
        <v>11037</v>
      </c>
      <c r="O6609" s="2" t="s">
        <v>11035</v>
      </c>
      <c r="P6609" s="2" t="s">
        <v>11037</v>
      </c>
      <c r="Q6609" s="2">
        <f>AVERAGE(PerfRate[[#This Row],[EnvironmentSatisfaction]],PerfRate[[#This Row],[JobSatisfaction]],PerfRate[[#This Row],[RelationshipSatisfaction]])</f>
        <v>3.3333333333333335</v>
      </c>
      <c r="R6609" s="2">
        <f>PerfRate[[#This Row],[ManagerRating]] - PerfRate[[#This Row],[SelfRating]]</f>
        <v>0</v>
      </c>
    </row>
    <row r="6610" spans="1:18">
      <c r="A6610" s="2" t="s">
        <v>10917</v>
      </c>
      <c r="B6610" s="2" t="s">
        <v>523</v>
      </c>
      <c r="C6610" s="1">
        <v>42371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  <c r="L6610" s="2" t="s">
        <v>11030</v>
      </c>
      <c r="M6610" s="2" t="s">
        <v>11029</v>
      </c>
      <c r="N6610" s="2" t="s">
        <v>11038</v>
      </c>
      <c r="O6610" s="2" t="s">
        <v>11037</v>
      </c>
      <c r="P6610" s="2" t="s">
        <v>11036</v>
      </c>
      <c r="Q6610" s="2">
        <f>AVERAGE(PerfRate[[#This Row],[EnvironmentSatisfaction]],PerfRate[[#This Row],[JobSatisfaction]],PerfRate[[#This Row],[RelationshipSatisfaction]])</f>
        <v>4</v>
      </c>
      <c r="R6610" s="2">
        <f>PerfRate[[#This Row],[ManagerRating]] - PerfRate[[#This Row],[SelfRating]]</f>
        <v>-1</v>
      </c>
    </row>
    <row r="6611" spans="1:18">
      <c r="A6611" s="2" t="s">
        <v>10918</v>
      </c>
      <c r="B6611" s="2" t="s">
        <v>220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  <c r="L6611" s="2" t="s">
        <v>11030</v>
      </c>
      <c r="M6611" s="2" t="s">
        <v>11029</v>
      </c>
      <c r="N6611" s="2" t="s">
        <v>11036</v>
      </c>
      <c r="O6611" s="2" t="s">
        <v>11037</v>
      </c>
      <c r="P6611" s="2" t="s">
        <v>11038</v>
      </c>
      <c r="Q6611" s="2">
        <f>AVERAGE(PerfRate[[#This Row],[EnvironmentSatisfaction]],PerfRate[[#This Row],[JobSatisfaction]],PerfRate[[#This Row],[RelationshipSatisfaction]])</f>
        <v>4</v>
      </c>
      <c r="R6611" s="2">
        <f>PerfRate[[#This Row],[ManagerRating]] - PerfRate[[#This Row],[SelfRating]]</f>
        <v>-1</v>
      </c>
    </row>
    <row r="6612" spans="1:18">
      <c r="A6612" s="2" t="s">
        <v>10919</v>
      </c>
      <c r="B6612" s="2" t="s">
        <v>2296</v>
      </c>
      <c r="C6612" s="1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  <c r="L6612" s="2" t="s">
        <v>11031</v>
      </c>
      <c r="M6612" s="2" t="s">
        <v>11030</v>
      </c>
      <c r="N6612" s="2" t="s">
        <v>11037</v>
      </c>
      <c r="O6612" s="2" t="s">
        <v>11036</v>
      </c>
      <c r="P6612" s="2" t="s">
        <v>11038</v>
      </c>
      <c r="Q6612" s="2">
        <f>AVERAGE(PerfRate[[#This Row],[EnvironmentSatisfaction]],PerfRate[[#This Row],[JobSatisfaction]],PerfRate[[#This Row],[RelationshipSatisfaction]])</f>
        <v>4</v>
      </c>
      <c r="R6612" s="2">
        <f>PerfRate[[#This Row],[ManagerRating]] - PerfRate[[#This Row],[SelfRating]]</f>
        <v>-1</v>
      </c>
    </row>
    <row r="6613" spans="1:18">
      <c r="A6613" s="2" t="s">
        <v>10920</v>
      </c>
      <c r="B6613" s="2" t="s">
        <v>714</v>
      </c>
      <c r="C6613" s="1">
        <v>42431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  <c r="L6613" s="2" t="s">
        <v>11029</v>
      </c>
      <c r="M6613" s="2" t="s">
        <v>11029</v>
      </c>
      <c r="N6613" s="2" t="s">
        <v>11036</v>
      </c>
      <c r="O6613" s="2" t="s">
        <v>11037</v>
      </c>
      <c r="P6613" s="2" t="s">
        <v>11038</v>
      </c>
      <c r="Q6613" s="2">
        <f>AVERAGE(PerfRate[[#This Row],[EnvironmentSatisfaction]],PerfRate[[#This Row],[JobSatisfaction]],PerfRate[[#This Row],[RelationshipSatisfaction]])</f>
        <v>4</v>
      </c>
      <c r="R6613" s="2">
        <f>PerfRate[[#This Row],[ManagerRating]] - PerfRate[[#This Row],[SelfRating]]</f>
        <v>0</v>
      </c>
    </row>
    <row r="6614" spans="1:18">
      <c r="A6614" s="2" t="s">
        <v>10921</v>
      </c>
      <c r="B6614" s="2" t="s">
        <v>122</v>
      </c>
      <c r="C6614" s="1">
        <v>42431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  <c r="L6614" s="2" t="s">
        <v>11031</v>
      </c>
      <c r="M6614" s="2" t="s">
        <v>11031</v>
      </c>
      <c r="N6614" s="2" t="s">
        <v>11037</v>
      </c>
      <c r="O6614" s="2" t="s">
        <v>11036</v>
      </c>
      <c r="P6614" s="2" t="s">
        <v>11035</v>
      </c>
      <c r="Q6614" s="2">
        <f>AVERAGE(PerfRate[[#This Row],[EnvironmentSatisfaction]],PerfRate[[#This Row],[JobSatisfaction]],PerfRate[[#This Row],[RelationshipSatisfaction]])</f>
        <v>3</v>
      </c>
      <c r="R6614" s="2">
        <f>PerfRate[[#This Row],[ManagerRating]] - PerfRate[[#This Row],[SelfRating]]</f>
        <v>0</v>
      </c>
    </row>
    <row r="6615" spans="1:18">
      <c r="A6615" s="2" t="s">
        <v>10922</v>
      </c>
      <c r="B6615" s="2" t="s">
        <v>726</v>
      </c>
      <c r="C6615" s="1">
        <v>42431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  <c r="L6615" s="2" t="s">
        <v>11031</v>
      </c>
      <c r="M6615" s="2" t="s">
        <v>11030</v>
      </c>
      <c r="N6615" s="2" t="s">
        <v>11038</v>
      </c>
      <c r="O6615" s="2" t="s">
        <v>11035</v>
      </c>
      <c r="P6615" s="2" t="s">
        <v>11035</v>
      </c>
      <c r="Q6615" s="2">
        <f>AVERAGE(PerfRate[[#This Row],[EnvironmentSatisfaction]],PerfRate[[#This Row],[JobSatisfaction]],PerfRate[[#This Row],[RelationshipSatisfaction]])</f>
        <v>3</v>
      </c>
      <c r="R6615" s="2">
        <f>PerfRate[[#This Row],[ManagerRating]] - PerfRate[[#This Row],[SelfRating]]</f>
        <v>-1</v>
      </c>
    </row>
    <row r="6616" spans="1:18">
      <c r="A6616" s="2" t="s">
        <v>10923</v>
      </c>
      <c r="B6616" s="2" t="s">
        <v>1538</v>
      </c>
      <c r="C6616" s="1">
        <v>42462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  <c r="L6616" s="2" t="s">
        <v>11030</v>
      </c>
      <c r="M6616" s="2" t="s">
        <v>11029</v>
      </c>
      <c r="N6616" s="2" t="s">
        <v>11038</v>
      </c>
      <c r="O6616" s="2" t="s">
        <v>11036</v>
      </c>
      <c r="P6616" s="2" t="s">
        <v>11036</v>
      </c>
      <c r="Q6616" s="2">
        <f>AVERAGE(PerfRate[[#This Row],[EnvironmentSatisfaction]],PerfRate[[#This Row],[JobSatisfaction]],PerfRate[[#This Row],[RelationshipSatisfaction]])</f>
        <v>3.6666666666666665</v>
      </c>
      <c r="R6616" s="2">
        <f>PerfRate[[#This Row],[ManagerRating]] - PerfRate[[#This Row],[SelfRating]]</f>
        <v>-1</v>
      </c>
    </row>
    <row r="6617" spans="1:18">
      <c r="A6617" s="2" t="s">
        <v>10924</v>
      </c>
      <c r="B6617" s="2" t="s">
        <v>244</v>
      </c>
      <c r="C6617" s="1">
        <v>42462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  <c r="L6617" s="2" t="s">
        <v>11029</v>
      </c>
      <c r="M6617" s="2" t="s">
        <v>11028</v>
      </c>
      <c r="N6617" s="2" t="s">
        <v>11038</v>
      </c>
      <c r="O6617" s="2" t="s">
        <v>11035</v>
      </c>
      <c r="P6617" s="2" t="s">
        <v>11035</v>
      </c>
      <c r="Q6617" s="2">
        <f>AVERAGE(PerfRate[[#This Row],[EnvironmentSatisfaction]],PerfRate[[#This Row],[JobSatisfaction]],PerfRate[[#This Row],[RelationshipSatisfaction]])</f>
        <v>3</v>
      </c>
      <c r="R6617" s="2">
        <f>PerfRate[[#This Row],[ManagerRating]] - PerfRate[[#This Row],[SelfRating]]</f>
        <v>-1</v>
      </c>
    </row>
    <row r="6618" spans="1:18">
      <c r="A6618" s="2" t="s">
        <v>10925</v>
      </c>
      <c r="B6618" s="2" t="s">
        <v>496</v>
      </c>
      <c r="C6618" s="1">
        <v>42492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  <c r="L6618" s="2" t="s">
        <v>11031</v>
      </c>
      <c r="M6618" s="2" t="s">
        <v>11031</v>
      </c>
      <c r="N6618" s="2" t="s">
        <v>11037</v>
      </c>
      <c r="O6618" s="2" t="s">
        <v>11037</v>
      </c>
      <c r="P6618" s="2" t="s">
        <v>11037</v>
      </c>
      <c r="Q6618" s="2">
        <f>AVERAGE(PerfRate[[#This Row],[EnvironmentSatisfaction]],PerfRate[[#This Row],[JobSatisfaction]],PerfRate[[#This Row],[RelationshipSatisfaction]])</f>
        <v>4</v>
      </c>
      <c r="R6618" s="2">
        <f>PerfRate[[#This Row],[ManagerRating]] - PerfRate[[#This Row],[SelfRating]]</f>
        <v>0</v>
      </c>
    </row>
    <row r="6619" spans="1:18">
      <c r="A6619" s="2" t="s">
        <v>10926</v>
      </c>
      <c r="B6619" s="2" t="s">
        <v>676</v>
      </c>
      <c r="C6619" s="1">
        <v>42492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  <c r="L6619" s="2" t="s">
        <v>11031</v>
      </c>
      <c r="M6619" s="2" t="s">
        <v>11030</v>
      </c>
      <c r="N6619" s="2" t="s">
        <v>11038</v>
      </c>
      <c r="O6619" s="2" t="s">
        <v>11038</v>
      </c>
      <c r="P6619" s="2" t="s">
        <v>11037</v>
      </c>
      <c r="Q6619" s="2">
        <f>AVERAGE(PerfRate[[#This Row],[EnvironmentSatisfaction]],PerfRate[[#This Row],[JobSatisfaction]],PerfRate[[#This Row],[RelationshipSatisfaction]])</f>
        <v>4.666666666666667</v>
      </c>
      <c r="R6619" s="2">
        <f>PerfRate[[#This Row],[ManagerRating]] - PerfRate[[#This Row],[SelfRating]]</f>
        <v>-1</v>
      </c>
    </row>
    <row r="6620" spans="1:18">
      <c r="A6620" s="2" t="s">
        <v>10927</v>
      </c>
      <c r="B6620" s="2" t="s">
        <v>3818</v>
      </c>
      <c r="C6620" s="1">
        <v>42492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  <c r="L6620" s="2" t="s">
        <v>11030</v>
      </c>
      <c r="M6620" s="2" t="s">
        <v>11030</v>
      </c>
      <c r="N6620" s="2" t="s">
        <v>11038</v>
      </c>
      <c r="O6620" s="2" t="s">
        <v>11035</v>
      </c>
      <c r="P6620" s="2" t="s">
        <v>11037</v>
      </c>
      <c r="Q6620" s="2">
        <f>AVERAGE(PerfRate[[#This Row],[EnvironmentSatisfaction]],PerfRate[[#This Row],[JobSatisfaction]],PerfRate[[#This Row],[RelationshipSatisfaction]])</f>
        <v>3.6666666666666665</v>
      </c>
      <c r="R6620" s="2">
        <f>PerfRate[[#This Row],[ManagerRating]] - PerfRate[[#This Row],[SelfRating]]</f>
        <v>0</v>
      </c>
    </row>
    <row r="6621" spans="1:18">
      <c r="A6621" s="2" t="s">
        <v>10928</v>
      </c>
      <c r="B6621" s="2" t="s">
        <v>3105</v>
      </c>
      <c r="C6621" s="1">
        <v>42492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  <c r="L6621" s="2" t="s">
        <v>11030</v>
      </c>
      <c r="M6621" s="2" t="s">
        <v>11029</v>
      </c>
      <c r="N6621" s="2" t="s">
        <v>11038</v>
      </c>
      <c r="O6621" s="2" t="s">
        <v>11037</v>
      </c>
      <c r="P6621" s="2" t="s">
        <v>11037</v>
      </c>
      <c r="Q6621" s="2">
        <f>AVERAGE(PerfRate[[#This Row],[EnvironmentSatisfaction]],PerfRate[[#This Row],[JobSatisfaction]],PerfRate[[#This Row],[RelationshipSatisfaction]])</f>
        <v>4.333333333333333</v>
      </c>
      <c r="R6621" s="2">
        <f>PerfRate[[#This Row],[ManagerRating]] - PerfRate[[#This Row],[SelfRating]]</f>
        <v>-1</v>
      </c>
    </row>
    <row r="6622" spans="1:18">
      <c r="A6622" s="2" t="s">
        <v>10929</v>
      </c>
      <c r="B6622" s="2" t="s">
        <v>226</v>
      </c>
      <c r="C6622" s="1">
        <v>42523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  <c r="L6622" s="2" t="s">
        <v>11029</v>
      </c>
      <c r="M6622" s="2" t="s">
        <v>11028</v>
      </c>
      <c r="N6622" s="2" t="s">
        <v>11038</v>
      </c>
      <c r="O6622" s="2" t="s">
        <v>11037</v>
      </c>
      <c r="P6622" s="2" t="s">
        <v>11036</v>
      </c>
      <c r="Q6622" s="2">
        <f>AVERAGE(PerfRate[[#This Row],[EnvironmentSatisfaction]],PerfRate[[#This Row],[JobSatisfaction]],PerfRate[[#This Row],[RelationshipSatisfaction]])</f>
        <v>4</v>
      </c>
      <c r="R6622" s="2">
        <f>PerfRate[[#This Row],[ManagerRating]] - PerfRate[[#This Row],[SelfRating]]</f>
        <v>-1</v>
      </c>
    </row>
    <row r="6623" spans="1:18">
      <c r="A6623" s="2" t="s">
        <v>10930</v>
      </c>
      <c r="B6623" s="2" t="s">
        <v>538</v>
      </c>
      <c r="C6623" s="1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  <c r="L6623" s="2" t="s">
        <v>11029</v>
      </c>
      <c r="M6623" s="2" t="s">
        <v>11028</v>
      </c>
      <c r="N6623" s="2" t="s">
        <v>11038</v>
      </c>
      <c r="O6623" s="2" t="s">
        <v>11037</v>
      </c>
      <c r="P6623" s="2" t="s">
        <v>11036</v>
      </c>
      <c r="Q6623" s="2">
        <f>AVERAGE(PerfRate[[#This Row],[EnvironmentSatisfaction]],PerfRate[[#This Row],[JobSatisfaction]],PerfRate[[#This Row],[RelationshipSatisfaction]])</f>
        <v>4</v>
      </c>
      <c r="R6623" s="2">
        <f>PerfRate[[#This Row],[ManagerRating]] - PerfRate[[#This Row],[SelfRating]]</f>
        <v>-1</v>
      </c>
    </row>
    <row r="6624" spans="1:18">
      <c r="A6624" s="2" t="s">
        <v>10931</v>
      </c>
      <c r="B6624" s="2" t="s">
        <v>81</v>
      </c>
      <c r="C6624" s="1">
        <v>42523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  <c r="L6624" s="2" t="s">
        <v>11031</v>
      </c>
      <c r="M6624" s="2" t="s">
        <v>11030</v>
      </c>
      <c r="N6624" s="2" t="s">
        <v>11036</v>
      </c>
      <c r="O6624" s="2" t="s">
        <v>11037</v>
      </c>
      <c r="P6624" s="2" t="s">
        <v>11037</v>
      </c>
      <c r="Q6624" s="2">
        <f>AVERAGE(PerfRate[[#This Row],[EnvironmentSatisfaction]],PerfRate[[#This Row],[JobSatisfaction]],PerfRate[[#This Row],[RelationshipSatisfaction]])</f>
        <v>3.6666666666666665</v>
      </c>
      <c r="R6624" s="2">
        <f>PerfRate[[#This Row],[ManagerRating]] - PerfRate[[#This Row],[SelfRating]]</f>
        <v>-1</v>
      </c>
    </row>
    <row r="6625" spans="1:18">
      <c r="A6625" s="2" t="s">
        <v>10932</v>
      </c>
      <c r="B6625" s="2" t="s">
        <v>335</v>
      </c>
      <c r="C6625" s="1">
        <v>42523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  <c r="L6625" s="2" t="s">
        <v>11029</v>
      </c>
      <c r="M6625" s="2" t="s">
        <v>11028</v>
      </c>
      <c r="N6625" s="2" t="s">
        <v>11036</v>
      </c>
      <c r="O6625" s="2" t="s">
        <v>11038</v>
      </c>
      <c r="P6625" s="2" t="s">
        <v>11036</v>
      </c>
      <c r="Q6625" s="2">
        <f>AVERAGE(PerfRate[[#This Row],[EnvironmentSatisfaction]],PerfRate[[#This Row],[JobSatisfaction]],PerfRate[[#This Row],[RelationshipSatisfaction]])</f>
        <v>3.6666666666666665</v>
      </c>
      <c r="R6625" s="2">
        <f>PerfRate[[#This Row],[ManagerRating]] - PerfRate[[#This Row],[SelfRating]]</f>
        <v>-1</v>
      </c>
    </row>
    <row r="6626" spans="1:18">
      <c r="A6626" s="2" t="s">
        <v>10933</v>
      </c>
      <c r="B6626" s="2" t="s">
        <v>253</v>
      </c>
      <c r="C6626" s="1">
        <v>42615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  <c r="L6626" s="2" t="s">
        <v>11031</v>
      </c>
      <c r="M6626" s="2" t="s">
        <v>11030</v>
      </c>
      <c r="N6626" s="2" t="s">
        <v>11036</v>
      </c>
      <c r="O6626" s="2" t="s">
        <v>11035</v>
      </c>
      <c r="P6626" s="2" t="s">
        <v>11038</v>
      </c>
      <c r="Q6626" s="2">
        <f>AVERAGE(PerfRate[[#This Row],[EnvironmentSatisfaction]],PerfRate[[#This Row],[JobSatisfaction]],PerfRate[[#This Row],[RelationshipSatisfaction]])</f>
        <v>3.3333333333333335</v>
      </c>
      <c r="R6626" s="2">
        <f>PerfRate[[#This Row],[ManagerRating]] - PerfRate[[#This Row],[SelfRating]]</f>
        <v>-1</v>
      </c>
    </row>
    <row r="6627" spans="1:18">
      <c r="A6627" s="2" t="s">
        <v>10934</v>
      </c>
      <c r="B6627" s="2" t="s">
        <v>198</v>
      </c>
      <c r="C6627" s="1">
        <v>42615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  <c r="L6627" s="2" t="s">
        <v>11031</v>
      </c>
      <c r="M6627" s="2" t="s">
        <v>11030</v>
      </c>
      <c r="N6627" s="2" t="s">
        <v>11038</v>
      </c>
      <c r="O6627" s="2" t="s">
        <v>11038</v>
      </c>
      <c r="P6627" s="2" t="s">
        <v>11038</v>
      </c>
      <c r="Q6627" s="2">
        <f>AVERAGE(PerfRate[[#This Row],[EnvironmentSatisfaction]],PerfRate[[#This Row],[JobSatisfaction]],PerfRate[[#This Row],[RelationshipSatisfaction]])</f>
        <v>5</v>
      </c>
      <c r="R6627" s="2">
        <f>PerfRate[[#This Row],[ManagerRating]] - PerfRate[[#This Row],[SelfRating]]</f>
        <v>-1</v>
      </c>
    </row>
    <row r="6628" spans="1:18">
      <c r="A6628" s="2" t="s">
        <v>10935</v>
      </c>
      <c r="B6628" s="2" t="s">
        <v>256</v>
      </c>
      <c r="C6628" s="1">
        <v>42645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  <c r="L6628" s="2" t="s">
        <v>11031</v>
      </c>
      <c r="M6628" s="2" t="s">
        <v>11030</v>
      </c>
      <c r="N6628" s="2" t="s">
        <v>11038</v>
      </c>
      <c r="O6628" s="2" t="s">
        <v>11038</v>
      </c>
      <c r="P6628" s="2" t="s">
        <v>11035</v>
      </c>
      <c r="Q6628" s="2">
        <f>AVERAGE(PerfRate[[#This Row],[EnvironmentSatisfaction]],PerfRate[[#This Row],[JobSatisfaction]],PerfRate[[#This Row],[RelationshipSatisfaction]])</f>
        <v>4</v>
      </c>
      <c r="R6628" s="2">
        <f>PerfRate[[#This Row],[ManagerRating]] - PerfRate[[#This Row],[SelfRating]]</f>
        <v>-1</v>
      </c>
    </row>
    <row r="6629" spans="1:18">
      <c r="A6629" s="2" t="s">
        <v>10936</v>
      </c>
      <c r="B6629" s="2" t="s">
        <v>2109</v>
      </c>
      <c r="C6629" s="1">
        <v>42676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  <c r="L6629" s="2" t="s">
        <v>11029</v>
      </c>
      <c r="M6629" s="2" t="s">
        <v>11029</v>
      </c>
      <c r="N6629" s="2" t="s">
        <v>11037</v>
      </c>
      <c r="O6629" s="2" t="s">
        <v>11037</v>
      </c>
      <c r="P6629" s="2" t="s">
        <v>11038</v>
      </c>
      <c r="Q6629" s="2">
        <f>AVERAGE(PerfRate[[#This Row],[EnvironmentSatisfaction]],PerfRate[[#This Row],[JobSatisfaction]],PerfRate[[#This Row],[RelationshipSatisfaction]])</f>
        <v>4.333333333333333</v>
      </c>
      <c r="R6629" s="2">
        <f>PerfRate[[#This Row],[ManagerRating]] - PerfRate[[#This Row],[SelfRating]]</f>
        <v>0</v>
      </c>
    </row>
    <row r="6630" spans="1:18">
      <c r="A6630" s="2" t="s">
        <v>10937</v>
      </c>
      <c r="B6630" s="2" t="s">
        <v>1981</v>
      </c>
      <c r="C6630" s="1">
        <v>42676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  <c r="L6630" s="2" t="s">
        <v>11031</v>
      </c>
      <c r="M6630" s="2" t="s">
        <v>11030</v>
      </c>
      <c r="N6630" s="2" t="s">
        <v>11036</v>
      </c>
      <c r="O6630" s="2" t="s">
        <v>11036</v>
      </c>
      <c r="P6630" s="2" t="s">
        <v>11037</v>
      </c>
      <c r="Q6630" s="2">
        <f>AVERAGE(PerfRate[[#This Row],[EnvironmentSatisfaction]],PerfRate[[#This Row],[JobSatisfaction]],PerfRate[[#This Row],[RelationshipSatisfaction]])</f>
        <v>3.3333333333333335</v>
      </c>
      <c r="R6630" s="2">
        <f>PerfRate[[#This Row],[ManagerRating]] - PerfRate[[#This Row],[SelfRating]]</f>
        <v>-1</v>
      </c>
    </row>
    <row r="6631" spans="1:18">
      <c r="A6631" s="2" t="s">
        <v>10938</v>
      </c>
      <c r="B6631" s="2" t="s">
        <v>658</v>
      </c>
      <c r="C6631" s="1">
        <v>42676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  <c r="L6631" s="2" t="s">
        <v>11030</v>
      </c>
      <c r="M6631" s="2" t="s">
        <v>11029</v>
      </c>
      <c r="N6631" s="2" t="s">
        <v>11038</v>
      </c>
      <c r="O6631" s="2" t="s">
        <v>11035</v>
      </c>
      <c r="P6631" s="2" t="s">
        <v>11038</v>
      </c>
      <c r="Q6631" s="2">
        <f>AVERAGE(PerfRate[[#This Row],[EnvironmentSatisfaction]],PerfRate[[#This Row],[JobSatisfaction]],PerfRate[[#This Row],[RelationshipSatisfaction]])</f>
        <v>4</v>
      </c>
      <c r="R6631" s="2">
        <f>PerfRate[[#This Row],[ManagerRating]] - PerfRate[[#This Row],[SelfRating]]</f>
        <v>-1</v>
      </c>
    </row>
    <row r="6632" spans="1:18">
      <c r="A6632" s="2" t="s">
        <v>10939</v>
      </c>
      <c r="B6632" s="2" t="s">
        <v>4104</v>
      </c>
      <c r="C6632" s="1">
        <v>42706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  <c r="L6632" s="2" t="s">
        <v>11030</v>
      </c>
      <c r="M6632" s="2" t="s">
        <v>11029</v>
      </c>
      <c r="N6632" s="2" t="s">
        <v>11037</v>
      </c>
      <c r="O6632" s="2" t="s">
        <v>11038</v>
      </c>
      <c r="P6632" s="2" t="s">
        <v>11036</v>
      </c>
      <c r="Q6632" s="2">
        <f>AVERAGE(PerfRate[[#This Row],[EnvironmentSatisfaction]],PerfRate[[#This Row],[JobSatisfaction]],PerfRate[[#This Row],[RelationshipSatisfaction]])</f>
        <v>4</v>
      </c>
      <c r="R6632" s="2">
        <f>PerfRate[[#This Row],[ManagerRating]] - PerfRate[[#This Row],[SelfRating]]</f>
        <v>-1</v>
      </c>
    </row>
    <row r="6633" spans="1:18">
      <c r="A6633" s="2" t="s">
        <v>10940</v>
      </c>
      <c r="B6633" s="2" t="s">
        <v>607</v>
      </c>
      <c r="C6633" s="1">
        <v>42706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  <c r="L6633" s="2" t="s">
        <v>11030</v>
      </c>
      <c r="M6633" s="2" t="s">
        <v>11030</v>
      </c>
      <c r="N6633" s="2" t="s">
        <v>11037</v>
      </c>
      <c r="O6633" s="2" t="s">
        <v>11038</v>
      </c>
      <c r="P6633" s="2" t="s">
        <v>11035</v>
      </c>
      <c r="Q6633" s="2">
        <f>AVERAGE(PerfRate[[#This Row],[EnvironmentSatisfaction]],PerfRate[[#This Row],[JobSatisfaction]],PerfRate[[#This Row],[RelationshipSatisfaction]])</f>
        <v>3.6666666666666665</v>
      </c>
      <c r="R6633" s="2">
        <f>PerfRate[[#This Row],[ManagerRating]] - PerfRate[[#This Row],[SelfRating]]</f>
        <v>0</v>
      </c>
    </row>
    <row r="6634" spans="1:18">
      <c r="A6634" s="2" t="s">
        <v>10941</v>
      </c>
      <c r="B6634" s="2" t="s">
        <v>1663</v>
      </c>
      <c r="C6634" s="1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  <c r="L6634" s="2" t="s">
        <v>11029</v>
      </c>
      <c r="M6634" s="2" t="s">
        <v>11029</v>
      </c>
      <c r="N6634" s="2" t="s">
        <v>11037</v>
      </c>
      <c r="O6634" s="2" t="s">
        <v>11035</v>
      </c>
      <c r="P6634" s="2" t="s">
        <v>11035</v>
      </c>
      <c r="Q6634" s="2">
        <f>AVERAGE(PerfRate[[#This Row],[EnvironmentSatisfaction]],PerfRate[[#This Row],[JobSatisfaction]],PerfRate[[#This Row],[RelationshipSatisfaction]])</f>
        <v>2.6666666666666665</v>
      </c>
      <c r="R6634" s="2">
        <f>PerfRate[[#This Row],[ManagerRating]] - PerfRate[[#This Row],[SelfRating]]</f>
        <v>0</v>
      </c>
    </row>
    <row r="6635" spans="1:18">
      <c r="A6635" s="2" t="s">
        <v>10942</v>
      </c>
      <c r="B6635" s="2" t="s">
        <v>750</v>
      </c>
      <c r="C6635" s="1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  <c r="L6635" s="2" t="s">
        <v>11029</v>
      </c>
      <c r="M6635" s="2" t="s">
        <v>11028</v>
      </c>
      <c r="N6635" s="2" t="s">
        <v>11036</v>
      </c>
      <c r="O6635" s="2" t="s">
        <v>11038</v>
      </c>
      <c r="P6635" s="2" t="s">
        <v>11035</v>
      </c>
      <c r="Q6635" s="2">
        <f>AVERAGE(PerfRate[[#This Row],[EnvironmentSatisfaction]],PerfRate[[#This Row],[JobSatisfaction]],PerfRate[[#This Row],[RelationshipSatisfaction]])</f>
        <v>3.3333333333333335</v>
      </c>
      <c r="R6635" s="2">
        <f>PerfRate[[#This Row],[ManagerRating]] - PerfRate[[#This Row],[SelfRating]]</f>
        <v>-1</v>
      </c>
    </row>
    <row r="6636" spans="1:18">
      <c r="A6636" s="2" t="s">
        <v>10943</v>
      </c>
      <c r="B6636" s="2" t="s">
        <v>1698</v>
      </c>
      <c r="C6636" s="1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  <c r="L6636" s="2" t="s">
        <v>11030</v>
      </c>
      <c r="M6636" s="2" t="s">
        <v>11030</v>
      </c>
      <c r="N6636" s="2" t="s">
        <v>11038</v>
      </c>
      <c r="O6636" s="2" t="s">
        <v>11036</v>
      </c>
      <c r="P6636" s="2" t="s">
        <v>11035</v>
      </c>
      <c r="Q6636" s="2">
        <f>AVERAGE(PerfRate[[#This Row],[EnvironmentSatisfaction]],PerfRate[[#This Row],[JobSatisfaction]],PerfRate[[#This Row],[RelationshipSatisfaction]])</f>
        <v>3.3333333333333335</v>
      </c>
      <c r="R6636" s="2">
        <f>PerfRate[[#This Row],[ManagerRating]] - PerfRate[[#This Row],[SelfRating]]</f>
        <v>0</v>
      </c>
    </row>
    <row r="6637" spans="1:18">
      <c r="A6637" s="2" t="s">
        <v>10944</v>
      </c>
      <c r="B6637" s="2" t="s">
        <v>1669</v>
      </c>
      <c r="C6637" s="1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  <c r="L6637" s="2" t="s">
        <v>11030</v>
      </c>
      <c r="M6637" s="2" t="s">
        <v>11029</v>
      </c>
      <c r="N6637" s="2" t="s">
        <v>11037</v>
      </c>
      <c r="O6637" s="2" t="s">
        <v>11035</v>
      </c>
      <c r="P6637" s="2" t="s">
        <v>11037</v>
      </c>
      <c r="Q6637" s="2">
        <f>AVERAGE(PerfRate[[#This Row],[EnvironmentSatisfaction]],PerfRate[[#This Row],[JobSatisfaction]],PerfRate[[#This Row],[RelationshipSatisfaction]])</f>
        <v>3.3333333333333335</v>
      </c>
      <c r="R6637" s="2">
        <f>PerfRate[[#This Row],[ManagerRating]] - PerfRate[[#This Row],[SelfRating]]</f>
        <v>-1</v>
      </c>
    </row>
    <row r="6638" spans="1:18">
      <c r="A6638" s="2" t="s">
        <v>10945</v>
      </c>
      <c r="B6638" s="2" t="s">
        <v>601</v>
      </c>
      <c r="C6638" s="1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  <c r="L6638" s="2" t="s">
        <v>11029</v>
      </c>
      <c r="M6638" s="2" t="s">
        <v>11028</v>
      </c>
      <c r="N6638" s="2" t="s">
        <v>11037</v>
      </c>
      <c r="O6638" s="2" t="s">
        <v>11038</v>
      </c>
      <c r="P6638" s="2" t="s">
        <v>11038</v>
      </c>
      <c r="Q6638" s="2">
        <f>AVERAGE(PerfRate[[#This Row],[EnvironmentSatisfaction]],PerfRate[[#This Row],[JobSatisfaction]],PerfRate[[#This Row],[RelationshipSatisfaction]])</f>
        <v>4.666666666666667</v>
      </c>
      <c r="R6638" s="2">
        <f>PerfRate[[#This Row],[ManagerRating]] - PerfRate[[#This Row],[SelfRating]]</f>
        <v>-1</v>
      </c>
    </row>
    <row r="6639" spans="1:18">
      <c r="A6639" s="2" t="s">
        <v>10946</v>
      </c>
      <c r="B6639" s="2" t="s">
        <v>1195</v>
      </c>
      <c r="C6639" s="1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  <c r="L6639" s="2" t="s">
        <v>11030</v>
      </c>
      <c r="M6639" s="2" t="s">
        <v>11030</v>
      </c>
      <c r="N6639" s="2" t="s">
        <v>11038</v>
      </c>
      <c r="O6639" s="2" t="s">
        <v>11036</v>
      </c>
      <c r="P6639" s="2" t="s">
        <v>11036</v>
      </c>
      <c r="Q6639" s="2">
        <f>AVERAGE(PerfRate[[#This Row],[EnvironmentSatisfaction]],PerfRate[[#This Row],[JobSatisfaction]],PerfRate[[#This Row],[RelationshipSatisfaction]])</f>
        <v>3.6666666666666665</v>
      </c>
      <c r="R6639" s="2">
        <f>PerfRate[[#This Row],[ManagerRating]] - PerfRate[[#This Row],[SelfRating]]</f>
        <v>0</v>
      </c>
    </row>
    <row r="6640" spans="1:18">
      <c r="A6640" s="2" t="s">
        <v>10947</v>
      </c>
      <c r="B6640" s="2" t="s">
        <v>98</v>
      </c>
      <c r="C6640" s="1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  <c r="L6640" s="2" t="s">
        <v>11029</v>
      </c>
      <c r="M6640" s="2" t="s">
        <v>11029</v>
      </c>
      <c r="N6640" s="2" t="s">
        <v>11038</v>
      </c>
      <c r="O6640" s="2" t="s">
        <v>11036</v>
      </c>
      <c r="P6640" s="2" t="s">
        <v>11038</v>
      </c>
      <c r="Q6640" s="2">
        <f>AVERAGE(PerfRate[[#This Row],[EnvironmentSatisfaction]],PerfRate[[#This Row],[JobSatisfaction]],PerfRate[[#This Row],[RelationshipSatisfaction]])</f>
        <v>4.333333333333333</v>
      </c>
      <c r="R6640" s="2">
        <f>PerfRate[[#This Row],[ManagerRating]] - PerfRate[[#This Row],[SelfRating]]</f>
        <v>0</v>
      </c>
    </row>
    <row r="6641" spans="1:18">
      <c r="A6641" s="2" t="s">
        <v>10948</v>
      </c>
      <c r="B6641" s="2" t="s">
        <v>102</v>
      </c>
      <c r="C6641" s="1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  <c r="L6641" s="2" t="s">
        <v>11029</v>
      </c>
      <c r="M6641" s="2" t="s">
        <v>11028</v>
      </c>
      <c r="N6641" s="2" t="s">
        <v>11036</v>
      </c>
      <c r="O6641" s="2" t="s">
        <v>11035</v>
      </c>
      <c r="P6641" s="2" t="s">
        <v>11038</v>
      </c>
      <c r="Q6641" s="2">
        <f>AVERAGE(PerfRate[[#This Row],[EnvironmentSatisfaction]],PerfRate[[#This Row],[JobSatisfaction]],PerfRate[[#This Row],[RelationshipSatisfaction]])</f>
        <v>3.3333333333333335</v>
      </c>
      <c r="R6641" s="2">
        <f>PerfRate[[#This Row],[ManagerRating]] - PerfRate[[#This Row],[SelfRating]]</f>
        <v>-1</v>
      </c>
    </row>
    <row r="6642" spans="1:18">
      <c r="A6642" s="2" t="s">
        <v>10949</v>
      </c>
      <c r="B6642" s="2" t="s">
        <v>717</v>
      </c>
      <c r="C6642" s="1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  <c r="L6642" s="2" t="s">
        <v>11029</v>
      </c>
      <c r="M6642" s="2" t="s">
        <v>11028</v>
      </c>
      <c r="N6642" s="2" t="s">
        <v>11036</v>
      </c>
      <c r="O6642" s="2" t="s">
        <v>11036</v>
      </c>
      <c r="P6642" s="2" t="s">
        <v>11038</v>
      </c>
      <c r="Q6642" s="2">
        <f>AVERAGE(PerfRate[[#This Row],[EnvironmentSatisfaction]],PerfRate[[#This Row],[JobSatisfaction]],PerfRate[[#This Row],[RelationshipSatisfaction]])</f>
        <v>3.6666666666666665</v>
      </c>
      <c r="R6642" s="2">
        <f>PerfRate[[#This Row],[ManagerRating]] - PerfRate[[#This Row],[SelfRating]]</f>
        <v>-1</v>
      </c>
    </row>
    <row r="6643" spans="1:18">
      <c r="A6643" s="2" t="s">
        <v>10950</v>
      </c>
      <c r="B6643" s="2" t="s">
        <v>1154</v>
      </c>
      <c r="C6643" s="1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  <c r="L6643" s="2" t="s">
        <v>11030</v>
      </c>
      <c r="M6643" s="2" t="s">
        <v>11029</v>
      </c>
      <c r="N6643" s="2" t="s">
        <v>11037</v>
      </c>
      <c r="O6643" s="2" t="s">
        <v>11037</v>
      </c>
      <c r="P6643" s="2" t="s">
        <v>11037</v>
      </c>
      <c r="Q6643" s="2">
        <f>AVERAGE(PerfRate[[#This Row],[EnvironmentSatisfaction]],PerfRate[[#This Row],[JobSatisfaction]],PerfRate[[#This Row],[RelationshipSatisfaction]])</f>
        <v>4</v>
      </c>
      <c r="R6643" s="2">
        <f>PerfRate[[#This Row],[ManagerRating]] - PerfRate[[#This Row],[SelfRating]]</f>
        <v>-1</v>
      </c>
    </row>
    <row r="6644" spans="1:18">
      <c r="A6644" s="2" t="s">
        <v>10951</v>
      </c>
      <c r="B6644" s="2" t="s">
        <v>529</v>
      </c>
      <c r="C6644" s="1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  <c r="L6644" s="2" t="s">
        <v>11030</v>
      </c>
      <c r="M6644" s="2" t="s">
        <v>11029</v>
      </c>
      <c r="N6644" s="2" t="s">
        <v>11036</v>
      </c>
      <c r="O6644" s="2" t="s">
        <v>11036</v>
      </c>
      <c r="P6644" s="2" t="s">
        <v>11035</v>
      </c>
      <c r="Q6644" s="2">
        <f>AVERAGE(PerfRate[[#This Row],[EnvironmentSatisfaction]],PerfRate[[#This Row],[JobSatisfaction]],PerfRate[[#This Row],[RelationshipSatisfaction]])</f>
        <v>2.6666666666666665</v>
      </c>
      <c r="R6644" s="2">
        <f>PerfRate[[#This Row],[ManagerRating]] - PerfRate[[#This Row],[SelfRating]]</f>
        <v>-1</v>
      </c>
    </row>
    <row r="6645" spans="1:18">
      <c r="A6645" s="2" t="s">
        <v>10952</v>
      </c>
      <c r="B6645" s="2" t="s">
        <v>1111</v>
      </c>
      <c r="C6645" s="1">
        <v>41278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  <c r="L6645" s="2" t="s">
        <v>11029</v>
      </c>
      <c r="M6645" s="2" t="s">
        <v>11028</v>
      </c>
      <c r="N6645" s="2" t="s">
        <v>11037</v>
      </c>
      <c r="O6645" s="2" t="s">
        <v>11035</v>
      </c>
      <c r="P6645" s="2" t="s">
        <v>11037</v>
      </c>
      <c r="Q6645" s="2">
        <f>AVERAGE(PerfRate[[#This Row],[EnvironmentSatisfaction]],PerfRate[[#This Row],[JobSatisfaction]],PerfRate[[#This Row],[RelationshipSatisfaction]])</f>
        <v>3.3333333333333335</v>
      </c>
      <c r="R6645" s="2">
        <f>PerfRate[[#This Row],[ManagerRating]] - PerfRate[[#This Row],[SelfRating]]</f>
        <v>-1</v>
      </c>
    </row>
    <row r="6646" spans="1:18">
      <c r="A6646" s="2" t="s">
        <v>10953</v>
      </c>
      <c r="B6646" s="2" t="s">
        <v>73</v>
      </c>
      <c r="C6646" s="1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  <c r="L6646" s="2" t="s">
        <v>11030</v>
      </c>
      <c r="M6646" s="2" t="s">
        <v>11030</v>
      </c>
      <c r="N6646" s="2" t="s">
        <v>11038</v>
      </c>
      <c r="O6646" s="2" t="s">
        <v>11035</v>
      </c>
      <c r="P6646" s="2" t="s">
        <v>11035</v>
      </c>
      <c r="Q6646" s="2">
        <f>AVERAGE(PerfRate[[#This Row],[EnvironmentSatisfaction]],PerfRate[[#This Row],[JobSatisfaction]],PerfRate[[#This Row],[RelationshipSatisfaction]])</f>
        <v>3</v>
      </c>
      <c r="R6646" s="2">
        <f>PerfRate[[#This Row],[ManagerRating]] - PerfRate[[#This Row],[SelfRating]]</f>
        <v>0</v>
      </c>
    </row>
    <row r="6647" spans="1:18">
      <c r="A6647" s="2" t="s">
        <v>10954</v>
      </c>
      <c r="B6647" s="2" t="s">
        <v>1581</v>
      </c>
      <c r="C6647" s="1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  <c r="L6647" s="2" t="s">
        <v>11031</v>
      </c>
      <c r="M6647" s="2" t="s">
        <v>11030</v>
      </c>
      <c r="N6647" s="2" t="s">
        <v>11037</v>
      </c>
      <c r="O6647" s="2" t="s">
        <v>11035</v>
      </c>
      <c r="P6647" s="2" t="s">
        <v>11037</v>
      </c>
      <c r="Q6647" s="2">
        <f>AVERAGE(PerfRate[[#This Row],[EnvironmentSatisfaction]],PerfRate[[#This Row],[JobSatisfaction]],PerfRate[[#This Row],[RelationshipSatisfaction]])</f>
        <v>3.3333333333333335</v>
      </c>
      <c r="R6647" s="2">
        <f>PerfRate[[#This Row],[ManagerRating]] - PerfRate[[#This Row],[SelfRating]]</f>
        <v>-1</v>
      </c>
    </row>
    <row r="6648" spans="1:18">
      <c r="A6648" s="2" t="s">
        <v>10955</v>
      </c>
      <c r="B6648" s="2" t="s">
        <v>2008</v>
      </c>
      <c r="C6648" s="1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  <c r="L6648" s="2" t="s">
        <v>11031</v>
      </c>
      <c r="M6648" s="2" t="s">
        <v>11031</v>
      </c>
      <c r="N6648" s="2" t="s">
        <v>11037</v>
      </c>
      <c r="O6648" s="2" t="s">
        <v>11038</v>
      </c>
      <c r="P6648" s="2" t="s">
        <v>11035</v>
      </c>
      <c r="Q6648" s="2">
        <f>AVERAGE(PerfRate[[#This Row],[EnvironmentSatisfaction]],PerfRate[[#This Row],[JobSatisfaction]],PerfRate[[#This Row],[RelationshipSatisfaction]])</f>
        <v>3.6666666666666665</v>
      </c>
      <c r="R6648" s="2">
        <f>PerfRate[[#This Row],[ManagerRating]] - PerfRate[[#This Row],[SelfRating]]</f>
        <v>0</v>
      </c>
    </row>
    <row r="6649" spans="1:18">
      <c r="A6649" s="2" t="s">
        <v>10956</v>
      </c>
      <c r="B6649" s="2" t="s">
        <v>3654</v>
      </c>
      <c r="C6649" s="1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  <c r="L6649" s="2" t="s">
        <v>11031</v>
      </c>
      <c r="M6649" s="2" t="s">
        <v>11031</v>
      </c>
      <c r="N6649" s="2" t="s">
        <v>11036</v>
      </c>
      <c r="O6649" s="2" t="s">
        <v>11038</v>
      </c>
      <c r="P6649" s="2" t="s">
        <v>11035</v>
      </c>
      <c r="Q6649" s="2">
        <f>AVERAGE(PerfRate[[#This Row],[EnvironmentSatisfaction]],PerfRate[[#This Row],[JobSatisfaction]],PerfRate[[#This Row],[RelationshipSatisfaction]])</f>
        <v>3.3333333333333335</v>
      </c>
      <c r="R6649" s="2">
        <f>PerfRate[[#This Row],[ManagerRating]] - PerfRate[[#This Row],[SelfRating]]</f>
        <v>0</v>
      </c>
    </row>
    <row r="6650" spans="1:18">
      <c r="A6650" s="2" t="s">
        <v>10957</v>
      </c>
      <c r="B6650" s="2" t="s">
        <v>410</v>
      </c>
      <c r="C6650" s="1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  <c r="L6650" s="2" t="s">
        <v>11031</v>
      </c>
      <c r="M6650" s="2" t="s">
        <v>11031</v>
      </c>
      <c r="N6650" s="2" t="s">
        <v>11037</v>
      </c>
      <c r="O6650" s="2" t="s">
        <v>11038</v>
      </c>
      <c r="P6650" s="2" t="s">
        <v>11036</v>
      </c>
      <c r="Q6650" s="2">
        <f>AVERAGE(PerfRate[[#This Row],[EnvironmentSatisfaction]],PerfRate[[#This Row],[JobSatisfaction]],PerfRate[[#This Row],[RelationshipSatisfaction]])</f>
        <v>4</v>
      </c>
      <c r="R6650" s="2">
        <f>PerfRate[[#This Row],[ManagerRating]] - PerfRate[[#This Row],[SelfRating]]</f>
        <v>0</v>
      </c>
    </row>
    <row r="6651" spans="1:18">
      <c r="A6651" s="2" t="s">
        <v>10958</v>
      </c>
      <c r="B6651" s="2" t="s">
        <v>1409</v>
      </c>
      <c r="C6651" s="1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  <c r="L6651" s="2" t="s">
        <v>11029</v>
      </c>
      <c r="M6651" s="2" t="s">
        <v>11029</v>
      </c>
      <c r="N6651" s="2" t="s">
        <v>11038</v>
      </c>
      <c r="O6651" s="2" t="s">
        <v>11037</v>
      </c>
      <c r="P6651" s="2" t="s">
        <v>11036</v>
      </c>
      <c r="Q6651" s="2">
        <f>AVERAGE(PerfRate[[#This Row],[EnvironmentSatisfaction]],PerfRate[[#This Row],[JobSatisfaction]],PerfRate[[#This Row],[RelationshipSatisfaction]])</f>
        <v>4</v>
      </c>
      <c r="R6651" s="2">
        <f>PerfRate[[#This Row],[ManagerRating]] - PerfRate[[#This Row],[SelfRating]]</f>
        <v>0</v>
      </c>
    </row>
    <row r="6652" spans="1:18">
      <c r="A6652" s="2" t="s">
        <v>10959</v>
      </c>
      <c r="B6652" s="2" t="s">
        <v>568</v>
      </c>
      <c r="C6652" s="1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  <c r="L6652" s="2" t="s">
        <v>11030</v>
      </c>
      <c r="M6652" s="2" t="s">
        <v>11030</v>
      </c>
      <c r="N6652" s="2" t="s">
        <v>11037</v>
      </c>
      <c r="O6652" s="2" t="s">
        <v>11037</v>
      </c>
      <c r="P6652" s="2" t="s">
        <v>11035</v>
      </c>
      <c r="Q6652" s="2">
        <f>AVERAGE(PerfRate[[#This Row],[EnvironmentSatisfaction]],PerfRate[[#This Row],[JobSatisfaction]],PerfRate[[#This Row],[RelationshipSatisfaction]])</f>
        <v>3.3333333333333335</v>
      </c>
      <c r="R6652" s="2">
        <f>PerfRate[[#This Row],[ManagerRating]] - PerfRate[[#This Row],[SelfRating]]</f>
        <v>0</v>
      </c>
    </row>
    <row r="6653" spans="1:18">
      <c r="A6653" s="2" t="s">
        <v>10960</v>
      </c>
      <c r="B6653" s="2" t="s">
        <v>511</v>
      </c>
      <c r="C6653" s="1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  <c r="L6653" s="2" t="s">
        <v>11030</v>
      </c>
      <c r="M6653" s="2" t="s">
        <v>11029</v>
      </c>
      <c r="N6653" s="2" t="s">
        <v>11037</v>
      </c>
      <c r="O6653" s="2" t="s">
        <v>11035</v>
      </c>
      <c r="P6653" s="2" t="s">
        <v>11035</v>
      </c>
      <c r="Q6653" s="2">
        <f>AVERAGE(PerfRate[[#This Row],[EnvironmentSatisfaction]],PerfRate[[#This Row],[JobSatisfaction]],PerfRate[[#This Row],[RelationshipSatisfaction]])</f>
        <v>2.6666666666666665</v>
      </c>
      <c r="R6653" s="2">
        <f>PerfRate[[#This Row],[ManagerRating]] - PerfRate[[#This Row],[SelfRating]]</f>
        <v>-1</v>
      </c>
    </row>
    <row r="6654" spans="1:18">
      <c r="A6654" s="2" t="s">
        <v>10961</v>
      </c>
      <c r="B6654" s="2" t="s">
        <v>128</v>
      </c>
      <c r="C6654" s="1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  <c r="L6654" s="2" t="s">
        <v>11031</v>
      </c>
      <c r="M6654" s="2" t="s">
        <v>11030</v>
      </c>
      <c r="N6654" s="2" t="s">
        <v>11038</v>
      </c>
      <c r="O6654" s="2" t="s">
        <v>11038</v>
      </c>
      <c r="P6654" s="2" t="s">
        <v>11036</v>
      </c>
      <c r="Q6654" s="2">
        <f>AVERAGE(PerfRate[[#This Row],[EnvironmentSatisfaction]],PerfRate[[#This Row],[JobSatisfaction]],PerfRate[[#This Row],[RelationshipSatisfaction]])</f>
        <v>4.333333333333333</v>
      </c>
      <c r="R6654" s="2">
        <f>PerfRate[[#This Row],[ManagerRating]] - PerfRate[[#This Row],[SelfRating]]</f>
        <v>-1</v>
      </c>
    </row>
    <row r="6655" spans="1:18">
      <c r="A6655" s="2" t="s">
        <v>10962</v>
      </c>
      <c r="B6655" s="2" t="s">
        <v>762</v>
      </c>
      <c r="C6655" s="1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  <c r="L6655" s="2" t="s">
        <v>11031</v>
      </c>
      <c r="M6655" s="2" t="s">
        <v>11031</v>
      </c>
      <c r="N6655" s="2" t="s">
        <v>11036</v>
      </c>
      <c r="O6655" s="2" t="s">
        <v>11036</v>
      </c>
      <c r="P6655" s="2" t="s">
        <v>11038</v>
      </c>
      <c r="Q6655" s="2">
        <f>AVERAGE(PerfRate[[#This Row],[EnvironmentSatisfaction]],PerfRate[[#This Row],[JobSatisfaction]],PerfRate[[#This Row],[RelationshipSatisfaction]])</f>
        <v>3.6666666666666665</v>
      </c>
      <c r="R6655" s="2">
        <f>PerfRate[[#This Row],[ManagerRating]] - PerfRate[[#This Row],[SelfRating]]</f>
        <v>0</v>
      </c>
    </row>
    <row r="6656" spans="1:18">
      <c r="A6656" s="2" t="s">
        <v>10963</v>
      </c>
      <c r="B6656" s="2" t="s">
        <v>2125</v>
      </c>
      <c r="C6656" s="1">
        <v>41309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  <c r="L6656" s="2" t="s">
        <v>11031</v>
      </c>
      <c r="M6656" s="2" t="s">
        <v>11031</v>
      </c>
      <c r="N6656" s="2" t="s">
        <v>11038</v>
      </c>
      <c r="O6656" s="2" t="s">
        <v>11038</v>
      </c>
      <c r="P6656" s="2" t="s">
        <v>11035</v>
      </c>
      <c r="Q6656" s="2">
        <f>AVERAGE(PerfRate[[#This Row],[EnvironmentSatisfaction]],PerfRate[[#This Row],[JobSatisfaction]],PerfRate[[#This Row],[RelationshipSatisfaction]])</f>
        <v>4</v>
      </c>
      <c r="R6656" s="2">
        <f>PerfRate[[#This Row],[ManagerRating]] - PerfRate[[#This Row],[SelfRating]]</f>
        <v>0</v>
      </c>
    </row>
    <row r="6657" spans="1:18">
      <c r="A6657" s="2" t="s">
        <v>10964</v>
      </c>
      <c r="B6657" s="2" t="s">
        <v>1309</v>
      </c>
      <c r="C6657" s="1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  <c r="L6657" s="2" t="s">
        <v>11031</v>
      </c>
      <c r="M6657" s="2" t="s">
        <v>11031</v>
      </c>
      <c r="N6657" s="2" t="s">
        <v>11037</v>
      </c>
      <c r="O6657" s="2" t="s">
        <v>11036</v>
      </c>
      <c r="P6657" s="2" t="s">
        <v>11037</v>
      </c>
      <c r="Q6657" s="2">
        <f>AVERAGE(PerfRate[[#This Row],[EnvironmentSatisfaction]],PerfRate[[#This Row],[JobSatisfaction]],PerfRate[[#This Row],[RelationshipSatisfaction]])</f>
        <v>3.6666666666666665</v>
      </c>
      <c r="R6657" s="2">
        <f>PerfRate[[#This Row],[ManagerRating]] - PerfRate[[#This Row],[SelfRating]]</f>
        <v>0</v>
      </c>
    </row>
    <row r="6658" spans="1:18">
      <c r="A6658" s="2" t="s">
        <v>10965</v>
      </c>
      <c r="B6658" s="2" t="s">
        <v>284</v>
      </c>
      <c r="C6658" s="1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  <c r="L6658" s="2" t="s">
        <v>11031</v>
      </c>
      <c r="M6658" s="2" t="s">
        <v>11031</v>
      </c>
      <c r="N6658" s="2" t="s">
        <v>11036</v>
      </c>
      <c r="O6658" s="2" t="s">
        <v>11035</v>
      </c>
      <c r="P6658" s="2" t="s">
        <v>11036</v>
      </c>
      <c r="Q6658" s="2">
        <f>AVERAGE(PerfRate[[#This Row],[EnvironmentSatisfaction]],PerfRate[[#This Row],[JobSatisfaction]],PerfRate[[#This Row],[RelationshipSatisfaction]])</f>
        <v>2.6666666666666665</v>
      </c>
      <c r="R6658" s="2">
        <f>PerfRate[[#This Row],[ManagerRating]] - PerfRate[[#This Row],[SelfRating]]</f>
        <v>0</v>
      </c>
    </row>
    <row r="6659" spans="1:18">
      <c r="A6659" s="2" t="s">
        <v>10966</v>
      </c>
      <c r="B6659" s="2" t="s">
        <v>1332</v>
      </c>
      <c r="C6659" s="1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  <c r="L6659" s="2" t="s">
        <v>11030</v>
      </c>
      <c r="M6659" s="2" t="s">
        <v>11030</v>
      </c>
      <c r="N6659" s="2" t="s">
        <v>11037</v>
      </c>
      <c r="O6659" s="2" t="s">
        <v>11037</v>
      </c>
      <c r="P6659" s="2" t="s">
        <v>11037</v>
      </c>
      <c r="Q6659" s="2">
        <f>AVERAGE(PerfRate[[#This Row],[EnvironmentSatisfaction]],PerfRate[[#This Row],[JobSatisfaction]],PerfRate[[#This Row],[RelationshipSatisfaction]])</f>
        <v>4</v>
      </c>
      <c r="R6659" s="2">
        <f>PerfRate[[#This Row],[ManagerRating]] - PerfRate[[#This Row],[SelfRating]]</f>
        <v>0</v>
      </c>
    </row>
    <row r="6660" spans="1:18">
      <c r="A6660" s="2" t="s">
        <v>10967</v>
      </c>
      <c r="B6660" s="2" t="s">
        <v>2453</v>
      </c>
      <c r="C6660" s="1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  <c r="L6660" s="2" t="s">
        <v>11030</v>
      </c>
      <c r="M6660" s="2" t="s">
        <v>11029</v>
      </c>
      <c r="N6660" s="2" t="s">
        <v>11037</v>
      </c>
      <c r="O6660" s="2" t="s">
        <v>11037</v>
      </c>
      <c r="P6660" s="2" t="s">
        <v>11037</v>
      </c>
      <c r="Q6660" s="2">
        <f>AVERAGE(PerfRate[[#This Row],[EnvironmentSatisfaction]],PerfRate[[#This Row],[JobSatisfaction]],PerfRate[[#This Row],[RelationshipSatisfaction]])</f>
        <v>4</v>
      </c>
      <c r="R6660" s="2">
        <f>PerfRate[[#This Row],[ManagerRating]] - PerfRate[[#This Row],[SelfRating]]</f>
        <v>-1</v>
      </c>
    </row>
    <row r="6661" spans="1:18">
      <c r="A6661" s="2" t="s">
        <v>10968</v>
      </c>
      <c r="B6661" s="2" t="s">
        <v>455</v>
      </c>
      <c r="C6661" s="1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  <c r="L6661" s="2" t="s">
        <v>11029</v>
      </c>
      <c r="M6661" s="2" t="s">
        <v>11029</v>
      </c>
      <c r="N6661" s="2" t="s">
        <v>11037</v>
      </c>
      <c r="O6661" s="2" t="s">
        <v>11036</v>
      </c>
      <c r="P6661" s="2" t="s">
        <v>11037</v>
      </c>
      <c r="Q6661" s="2">
        <f>AVERAGE(PerfRate[[#This Row],[EnvironmentSatisfaction]],PerfRate[[#This Row],[JobSatisfaction]],PerfRate[[#This Row],[RelationshipSatisfaction]])</f>
        <v>3.6666666666666665</v>
      </c>
      <c r="R6661" s="2">
        <f>PerfRate[[#This Row],[ManagerRating]] - PerfRate[[#This Row],[SelfRating]]</f>
        <v>0</v>
      </c>
    </row>
    <row r="6662" spans="1:18">
      <c r="A6662" s="2" t="s">
        <v>10969</v>
      </c>
      <c r="B6662" s="2" t="s">
        <v>2641</v>
      </c>
      <c r="C6662" s="1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  <c r="L6662" s="2" t="s">
        <v>11029</v>
      </c>
      <c r="M6662" s="2" t="s">
        <v>11029</v>
      </c>
      <c r="N6662" s="2" t="s">
        <v>11038</v>
      </c>
      <c r="O6662" s="2" t="s">
        <v>11037</v>
      </c>
      <c r="P6662" s="2" t="s">
        <v>11037</v>
      </c>
      <c r="Q6662" s="2">
        <f>AVERAGE(PerfRate[[#This Row],[EnvironmentSatisfaction]],PerfRate[[#This Row],[JobSatisfaction]],PerfRate[[#This Row],[RelationshipSatisfaction]])</f>
        <v>4.333333333333333</v>
      </c>
      <c r="R6662" s="2">
        <f>PerfRate[[#This Row],[ManagerRating]] - PerfRate[[#This Row],[SelfRating]]</f>
        <v>0</v>
      </c>
    </row>
    <row r="6663" spans="1:18">
      <c r="A6663" s="2" t="s">
        <v>10970</v>
      </c>
      <c r="B6663" s="2" t="s">
        <v>1909</v>
      </c>
      <c r="C6663" s="1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  <c r="L6663" s="2" t="s">
        <v>11031</v>
      </c>
      <c r="M6663" s="2" t="s">
        <v>11031</v>
      </c>
      <c r="N6663" s="2" t="s">
        <v>11036</v>
      </c>
      <c r="O6663" s="2" t="s">
        <v>11037</v>
      </c>
      <c r="P6663" s="2" t="s">
        <v>11038</v>
      </c>
      <c r="Q6663" s="2">
        <f>AVERAGE(PerfRate[[#This Row],[EnvironmentSatisfaction]],PerfRate[[#This Row],[JobSatisfaction]],PerfRate[[#This Row],[RelationshipSatisfaction]])</f>
        <v>4</v>
      </c>
      <c r="R6663" s="2">
        <f>PerfRate[[#This Row],[ManagerRating]] - PerfRate[[#This Row],[SelfRating]]</f>
        <v>0</v>
      </c>
    </row>
    <row r="6664" spans="1:18">
      <c r="A6664" s="2" t="s">
        <v>10971</v>
      </c>
      <c r="B6664" s="2" t="s">
        <v>238</v>
      </c>
      <c r="C6664" s="1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  <c r="L6664" s="2" t="s">
        <v>11029</v>
      </c>
      <c r="M6664" s="2" t="s">
        <v>11029</v>
      </c>
      <c r="N6664" s="2" t="s">
        <v>11036</v>
      </c>
      <c r="O6664" s="2" t="s">
        <v>11038</v>
      </c>
      <c r="P6664" s="2" t="s">
        <v>11037</v>
      </c>
      <c r="Q6664" s="2">
        <f>AVERAGE(PerfRate[[#This Row],[EnvironmentSatisfaction]],PerfRate[[#This Row],[JobSatisfaction]],PerfRate[[#This Row],[RelationshipSatisfaction]])</f>
        <v>4</v>
      </c>
      <c r="R6664" s="2">
        <f>PerfRate[[#This Row],[ManagerRating]] - PerfRate[[#This Row],[SelfRating]]</f>
        <v>0</v>
      </c>
    </row>
    <row r="6665" spans="1:18">
      <c r="A6665" s="2" t="s">
        <v>10972</v>
      </c>
      <c r="B6665" s="2" t="s">
        <v>154</v>
      </c>
      <c r="C6665" s="1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  <c r="L6665" s="2" t="s">
        <v>11030</v>
      </c>
      <c r="M6665" s="2" t="s">
        <v>11030</v>
      </c>
      <c r="N6665" s="2" t="s">
        <v>11038</v>
      </c>
      <c r="O6665" s="2" t="s">
        <v>11037</v>
      </c>
      <c r="P6665" s="2" t="s">
        <v>11038</v>
      </c>
      <c r="Q6665" s="2">
        <f>AVERAGE(PerfRate[[#This Row],[EnvironmentSatisfaction]],PerfRate[[#This Row],[JobSatisfaction]],PerfRate[[#This Row],[RelationshipSatisfaction]])</f>
        <v>4.666666666666667</v>
      </c>
      <c r="R6665" s="2">
        <f>PerfRate[[#This Row],[ManagerRating]] - PerfRate[[#This Row],[SelfRating]]</f>
        <v>0</v>
      </c>
    </row>
    <row r="6666" spans="1:18">
      <c r="A6666" s="2" t="s">
        <v>10973</v>
      </c>
      <c r="B6666" s="2" t="s">
        <v>2115</v>
      </c>
      <c r="C6666" s="1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  <c r="L6666" s="2" t="s">
        <v>11030</v>
      </c>
      <c r="M6666" s="2" t="s">
        <v>11029</v>
      </c>
      <c r="N6666" s="2" t="s">
        <v>11037</v>
      </c>
      <c r="O6666" s="2" t="s">
        <v>11037</v>
      </c>
      <c r="P6666" s="2" t="s">
        <v>11036</v>
      </c>
      <c r="Q6666" s="2">
        <f>AVERAGE(PerfRate[[#This Row],[EnvironmentSatisfaction]],PerfRate[[#This Row],[JobSatisfaction]],PerfRate[[#This Row],[RelationshipSatisfaction]])</f>
        <v>3.6666666666666665</v>
      </c>
      <c r="R6666" s="2">
        <f>PerfRate[[#This Row],[ManagerRating]] - PerfRate[[#This Row],[SelfRating]]</f>
        <v>-1</v>
      </c>
    </row>
    <row r="6667" spans="1:18">
      <c r="A6667" s="2" t="s">
        <v>10974</v>
      </c>
      <c r="B6667" s="2" t="s">
        <v>1189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  <c r="L6667" s="2" t="s">
        <v>11030</v>
      </c>
      <c r="M6667" s="2" t="s">
        <v>11029</v>
      </c>
      <c r="N6667" s="2" t="s">
        <v>11036</v>
      </c>
      <c r="O6667" s="2" t="s">
        <v>11038</v>
      </c>
      <c r="P6667" s="2" t="s">
        <v>11038</v>
      </c>
      <c r="Q6667" s="2">
        <f>AVERAGE(PerfRate[[#This Row],[EnvironmentSatisfaction]],PerfRate[[#This Row],[JobSatisfaction]],PerfRate[[#This Row],[RelationshipSatisfaction]])</f>
        <v>4.333333333333333</v>
      </c>
      <c r="R6667" s="2">
        <f>PerfRate[[#This Row],[ManagerRating]] - PerfRate[[#This Row],[SelfRating]]</f>
        <v>-1</v>
      </c>
    </row>
    <row r="6668" spans="1:18">
      <c r="A6668" s="2" t="s">
        <v>10975</v>
      </c>
      <c r="B6668" s="2" t="s">
        <v>2650</v>
      </c>
      <c r="C6668" s="1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  <c r="L6668" s="2" t="s">
        <v>11031</v>
      </c>
      <c r="M6668" s="2" t="s">
        <v>11031</v>
      </c>
      <c r="N6668" s="2" t="s">
        <v>11036</v>
      </c>
      <c r="O6668" s="2" t="s">
        <v>11035</v>
      </c>
      <c r="P6668" s="2" t="s">
        <v>11037</v>
      </c>
      <c r="Q6668" s="2">
        <f>AVERAGE(PerfRate[[#This Row],[EnvironmentSatisfaction]],PerfRate[[#This Row],[JobSatisfaction]],PerfRate[[#This Row],[RelationshipSatisfaction]])</f>
        <v>3</v>
      </c>
      <c r="R6668" s="2">
        <f>PerfRate[[#This Row],[ManagerRating]] - PerfRate[[#This Row],[SelfRating]]</f>
        <v>0</v>
      </c>
    </row>
    <row r="6669" spans="1:18">
      <c r="A6669" s="2" t="s">
        <v>10976</v>
      </c>
      <c r="B6669" s="2" t="s">
        <v>696</v>
      </c>
      <c r="C6669" s="1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  <c r="L6669" s="2" t="s">
        <v>11029</v>
      </c>
      <c r="M6669" s="2" t="s">
        <v>11028</v>
      </c>
      <c r="N6669" s="2" t="s">
        <v>11037</v>
      </c>
      <c r="O6669" s="2" t="s">
        <v>11035</v>
      </c>
      <c r="P6669" s="2" t="s">
        <v>11035</v>
      </c>
      <c r="Q6669" s="2">
        <f>AVERAGE(PerfRate[[#This Row],[EnvironmentSatisfaction]],PerfRate[[#This Row],[JobSatisfaction]],PerfRate[[#This Row],[RelationshipSatisfaction]])</f>
        <v>2.6666666666666665</v>
      </c>
      <c r="R6669" s="2">
        <f>PerfRate[[#This Row],[ManagerRating]] - PerfRate[[#This Row],[SelfRating]]</f>
        <v>-1</v>
      </c>
    </row>
    <row r="6670" spans="1:18">
      <c r="A6670" s="2" t="s">
        <v>10977</v>
      </c>
      <c r="B6670" s="2" t="s">
        <v>1180</v>
      </c>
      <c r="C6670" s="1">
        <v>42372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  <c r="L6670" s="2" t="s">
        <v>11030</v>
      </c>
      <c r="M6670" s="2" t="s">
        <v>11029</v>
      </c>
      <c r="N6670" s="2" t="s">
        <v>11036</v>
      </c>
      <c r="O6670" s="2" t="s">
        <v>11037</v>
      </c>
      <c r="P6670" s="2" t="s">
        <v>11037</v>
      </c>
      <c r="Q6670" s="2">
        <f>AVERAGE(PerfRate[[#This Row],[EnvironmentSatisfaction]],PerfRate[[#This Row],[JobSatisfaction]],PerfRate[[#This Row],[RelationshipSatisfaction]])</f>
        <v>3.6666666666666665</v>
      </c>
      <c r="R6670" s="2">
        <f>PerfRate[[#This Row],[ManagerRating]] - PerfRate[[#This Row],[SelfRating]]</f>
        <v>-1</v>
      </c>
    </row>
    <row r="6671" spans="1:18">
      <c r="A6671" s="2" t="s">
        <v>10978</v>
      </c>
      <c r="B6671" s="2" t="s">
        <v>1127</v>
      </c>
      <c r="C6671" s="1">
        <v>42372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  <c r="L6671" s="2" t="s">
        <v>11030</v>
      </c>
      <c r="M6671" s="2" t="s">
        <v>11029</v>
      </c>
      <c r="N6671" s="2" t="s">
        <v>11038</v>
      </c>
      <c r="O6671" s="2" t="s">
        <v>11037</v>
      </c>
      <c r="P6671" s="2" t="s">
        <v>11038</v>
      </c>
      <c r="Q6671" s="2">
        <f>AVERAGE(PerfRate[[#This Row],[EnvironmentSatisfaction]],PerfRate[[#This Row],[JobSatisfaction]],PerfRate[[#This Row],[RelationshipSatisfaction]])</f>
        <v>4.666666666666667</v>
      </c>
      <c r="R6671" s="2">
        <f>PerfRate[[#This Row],[ManagerRating]] - PerfRate[[#This Row],[SelfRating]]</f>
        <v>-1</v>
      </c>
    </row>
    <row r="6672" spans="1:18">
      <c r="A6672" s="2" t="s">
        <v>10979</v>
      </c>
      <c r="B6672" s="2" t="s">
        <v>2759</v>
      </c>
      <c r="C6672" s="1">
        <v>42372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  <c r="L6672" s="2" t="s">
        <v>11031</v>
      </c>
      <c r="M6672" s="2" t="s">
        <v>11030</v>
      </c>
      <c r="N6672" s="2" t="s">
        <v>11038</v>
      </c>
      <c r="O6672" s="2" t="s">
        <v>11035</v>
      </c>
      <c r="P6672" s="2" t="s">
        <v>11037</v>
      </c>
      <c r="Q6672" s="2">
        <f>AVERAGE(PerfRate[[#This Row],[EnvironmentSatisfaction]],PerfRate[[#This Row],[JobSatisfaction]],PerfRate[[#This Row],[RelationshipSatisfaction]])</f>
        <v>3.6666666666666665</v>
      </c>
      <c r="R6672" s="2">
        <f>PerfRate[[#This Row],[ManagerRating]] - PerfRate[[#This Row],[SelfRating]]</f>
        <v>-1</v>
      </c>
    </row>
    <row r="6673" spans="1:18">
      <c r="A6673" s="2" t="s">
        <v>10980</v>
      </c>
      <c r="B6673" s="2" t="s">
        <v>353</v>
      </c>
      <c r="C6673" s="1">
        <v>42372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  <c r="L6673" s="2" t="s">
        <v>11029</v>
      </c>
      <c r="M6673" s="2" t="s">
        <v>11029</v>
      </c>
      <c r="N6673" s="2" t="s">
        <v>11036</v>
      </c>
      <c r="O6673" s="2" t="s">
        <v>11037</v>
      </c>
      <c r="P6673" s="2" t="s">
        <v>11037</v>
      </c>
      <c r="Q6673" s="2">
        <f>AVERAGE(PerfRate[[#This Row],[EnvironmentSatisfaction]],PerfRate[[#This Row],[JobSatisfaction]],PerfRate[[#This Row],[RelationshipSatisfaction]])</f>
        <v>3.6666666666666665</v>
      </c>
      <c r="R6673" s="2">
        <f>PerfRate[[#This Row],[ManagerRating]] - PerfRate[[#This Row],[SelfRating]]</f>
        <v>0</v>
      </c>
    </row>
    <row r="6674" spans="1:18">
      <c r="A6674" s="2" t="s">
        <v>10981</v>
      </c>
      <c r="B6674" s="2" t="s">
        <v>2119</v>
      </c>
      <c r="C6674" s="1">
        <v>42403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  <c r="L6674" s="2" t="s">
        <v>11031</v>
      </c>
      <c r="M6674" s="2" t="s">
        <v>11031</v>
      </c>
      <c r="N6674" s="2" t="s">
        <v>11036</v>
      </c>
      <c r="O6674" s="2" t="s">
        <v>11035</v>
      </c>
      <c r="P6674" s="2" t="s">
        <v>11037</v>
      </c>
      <c r="Q6674" s="2">
        <f>AVERAGE(PerfRate[[#This Row],[EnvironmentSatisfaction]],PerfRate[[#This Row],[JobSatisfaction]],PerfRate[[#This Row],[RelationshipSatisfaction]])</f>
        <v>3</v>
      </c>
      <c r="R6674" s="2">
        <f>PerfRate[[#This Row],[ManagerRating]] - PerfRate[[#This Row],[SelfRating]]</f>
        <v>0</v>
      </c>
    </row>
    <row r="6675" spans="1:18">
      <c r="A6675" s="2" t="s">
        <v>10982</v>
      </c>
      <c r="B6675" s="2" t="s">
        <v>673</v>
      </c>
      <c r="C6675" s="1">
        <v>42403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  <c r="L6675" s="2" t="s">
        <v>11030</v>
      </c>
      <c r="M6675" s="2" t="s">
        <v>11029</v>
      </c>
      <c r="N6675" s="2" t="s">
        <v>11037</v>
      </c>
      <c r="O6675" s="2" t="s">
        <v>11037</v>
      </c>
      <c r="P6675" s="2" t="s">
        <v>11035</v>
      </c>
      <c r="Q6675" s="2">
        <f>AVERAGE(PerfRate[[#This Row],[EnvironmentSatisfaction]],PerfRate[[#This Row],[JobSatisfaction]],PerfRate[[#This Row],[RelationshipSatisfaction]])</f>
        <v>3.3333333333333335</v>
      </c>
      <c r="R6675" s="2">
        <f>PerfRate[[#This Row],[ManagerRating]] - PerfRate[[#This Row],[SelfRating]]</f>
        <v>-1</v>
      </c>
    </row>
    <row r="6676" spans="1:18">
      <c r="A6676" s="2" t="s">
        <v>10983</v>
      </c>
      <c r="B6676" s="2" t="s">
        <v>2351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  <c r="L6676" s="2" t="s">
        <v>11031</v>
      </c>
      <c r="M6676" s="2" t="s">
        <v>11031</v>
      </c>
      <c r="N6676" s="2" t="s">
        <v>11037</v>
      </c>
      <c r="O6676" s="2" t="s">
        <v>11036</v>
      </c>
      <c r="P6676" s="2" t="s">
        <v>11038</v>
      </c>
      <c r="Q6676" s="2">
        <f>AVERAGE(PerfRate[[#This Row],[EnvironmentSatisfaction]],PerfRate[[#This Row],[JobSatisfaction]],PerfRate[[#This Row],[RelationshipSatisfaction]])</f>
        <v>4</v>
      </c>
      <c r="R6676" s="2">
        <f>PerfRate[[#This Row],[ManagerRating]] - PerfRate[[#This Row],[SelfRating]]</f>
        <v>0</v>
      </c>
    </row>
    <row r="6677" spans="1:18">
      <c r="A6677" s="2" t="s">
        <v>10984</v>
      </c>
      <c r="B6677" s="2" t="s">
        <v>550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  <c r="L6677" s="2" t="s">
        <v>11030</v>
      </c>
      <c r="M6677" s="2" t="s">
        <v>11029</v>
      </c>
      <c r="N6677" s="2" t="s">
        <v>11036</v>
      </c>
      <c r="O6677" s="2" t="s">
        <v>11035</v>
      </c>
      <c r="P6677" s="2" t="s">
        <v>11038</v>
      </c>
      <c r="Q6677" s="2">
        <f>AVERAGE(PerfRate[[#This Row],[EnvironmentSatisfaction]],PerfRate[[#This Row],[JobSatisfaction]],PerfRate[[#This Row],[RelationshipSatisfaction]])</f>
        <v>3.3333333333333335</v>
      </c>
      <c r="R6677" s="2">
        <f>PerfRate[[#This Row],[ManagerRating]] - PerfRate[[#This Row],[SelfRating]]</f>
        <v>-1</v>
      </c>
    </row>
    <row r="6678" spans="1:18">
      <c r="A6678" s="2" t="s">
        <v>10985</v>
      </c>
      <c r="B6678" s="2" t="s">
        <v>687</v>
      </c>
      <c r="C6678" s="1">
        <v>41429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  <c r="L6678" s="2" t="s">
        <v>11030</v>
      </c>
      <c r="M6678" s="2" t="s">
        <v>11029</v>
      </c>
      <c r="N6678" s="2" t="s">
        <v>11038</v>
      </c>
      <c r="O6678" s="2" t="s">
        <v>11038</v>
      </c>
      <c r="P6678" s="2" t="s">
        <v>11036</v>
      </c>
      <c r="Q6678" s="2">
        <f>AVERAGE(PerfRate[[#This Row],[EnvironmentSatisfaction]],PerfRate[[#This Row],[JobSatisfaction]],PerfRate[[#This Row],[RelationshipSatisfaction]])</f>
        <v>4.333333333333333</v>
      </c>
      <c r="R6678" s="2">
        <f>PerfRate[[#This Row],[ManagerRating]] - PerfRate[[#This Row],[SelfRating]]</f>
        <v>-1</v>
      </c>
    </row>
    <row r="6679" spans="1:18">
      <c r="A6679" s="2" t="s">
        <v>10986</v>
      </c>
      <c r="B6679" s="2" t="s">
        <v>1704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  <c r="L6679" s="2" t="s">
        <v>11030</v>
      </c>
      <c r="M6679" s="2" t="s">
        <v>11029</v>
      </c>
      <c r="N6679" s="2" t="s">
        <v>11036</v>
      </c>
      <c r="O6679" s="2" t="s">
        <v>11037</v>
      </c>
      <c r="P6679" s="2" t="s">
        <v>11036</v>
      </c>
      <c r="Q6679" s="2">
        <f>AVERAGE(PerfRate[[#This Row],[EnvironmentSatisfaction]],PerfRate[[#This Row],[JobSatisfaction]],PerfRate[[#This Row],[RelationshipSatisfaction]])</f>
        <v>3.3333333333333335</v>
      </c>
      <c r="R6679" s="2">
        <f>PerfRate[[#This Row],[ManagerRating]] - PerfRate[[#This Row],[SelfRating]]</f>
        <v>-1</v>
      </c>
    </row>
    <row r="6680" spans="1:18">
      <c r="A6680" s="2" t="s">
        <v>10987</v>
      </c>
      <c r="B6680" s="2" t="s">
        <v>341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  <c r="L6680" s="2" t="s">
        <v>11030</v>
      </c>
      <c r="M6680" s="2" t="s">
        <v>11029</v>
      </c>
      <c r="N6680" s="2" t="s">
        <v>11038</v>
      </c>
      <c r="O6680" s="2" t="s">
        <v>11038</v>
      </c>
      <c r="P6680" s="2" t="s">
        <v>11035</v>
      </c>
      <c r="Q6680" s="2">
        <f>AVERAGE(PerfRate[[#This Row],[EnvironmentSatisfaction]],PerfRate[[#This Row],[JobSatisfaction]],PerfRate[[#This Row],[RelationshipSatisfaction]])</f>
        <v>4</v>
      </c>
      <c r="R6680" s="2">
        <f>PerfRate[[#This Row],[ManagerRating]] - PerfRate[[#This Row],[SelfRating]]</f>
        <v>-1</v>
      </c>
    </row>
    <row r="6681" spans="1:18">
      <c r="A6681" s="2" t="s">
        <v>10988</v>
      </c>
      <c r="B6681" s="2" t="s">
        <v>3457</v>
      </c>
      <c r="C6681" s="1">
        <v>42463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  <c r="L6681" s="2" t="s">
        <v>11031</v>
      </c>
      <c r="M6681" s="2" t="s">
        <v>11030</v>
      </c>
      <c r="N6681" s="2" t="s">
        <v>11038</v>
      </c>
      <c r="O6681" s="2" t="s">
        <v>11037</v>
      </c>
      <c r="P6681" s="2" t="s">
        <v>11037</v>
      </c>
      <c r="Q6681" s="2">
        <f>AVERAGE(PerfRate[[#This Row],[EnvironmentSatisfaction]],PerfRate[[#This Row],[JobSatisfaction]],PerfRate[[#This Row],[RelationshipSatisfaction]])</f>
        <v>4.333333333333333</v>
      </c>
      <c r="R6681" s="2">
        <f>PerfRate[[#This Row],[ManagerRating]] - PerfRate[[#This Row],[SelfRating]]</f>
        <v>-1</v>
      </c>
    </row>
    <row r="6682" spans="1:18">
      <c r="A6682" s="2" t="s">
        <v>10989</v>
      </c>
      <c r="B6682" s="2" t="s">
        <v>580</v>
      </c>
      <c r="C6682" s="1">
        <v>42493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  <c r="L6682" s="2" t="s">
        <v>11031</v>
      </c>
      <c r="M6682" s="2" t="s">
        <v>11031</v>
      </c>
      <c r="N6682" s="2" t="s">
        <v>11037</v>
      </c>
      <c r="O6682" s="2" t="s">
        <v>11035</v>
      </c>
      <c r="P6682" s="2" t="s">
        <v>11038</v>
      </c>
      <c r="Q6682" s="2">
        <f>AVERAGE(PerfRate[[#This Row],[EnvironmentSatisfaction]],PerfRate[[#This Row],[JobSatisfaction]],PerfRate[[#This Row],[RelationshipSatisfaction]])</f>
        <v>3.6666666666666665</v>
      </c>
      <c r="R6682" s="2">
        <f>PerfRate[[#This Row],[ManagerRating]] - PerfRate[[#This Row],[SelfRating]]</f>
        <v>0</v>
      </c>
    </row>
    <row r="6683" spans="1:18">
      <c r="A6683" s="2" t="s">
        <v>10990</v>
      </c>
      <c r="B6683" s="2" t="s">
        <v>1365</v>
      </c>
      <c r="C6683" s="1">
        <v>42493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  <c r="L6683" s="2" t="s">
        <v>11031</v>
      </c>
      <c r="M6683" s="2" t="s">
        <v>11031</v>
      </c>
      <c r="N6683" s="2" t="s">
        <v>11037</v>
      </c>
      <c r="O6683" s="2" t="s">
        <v>11038</v>
      </c>
      <c r="P6683" s="2" t="s">
        <v>11036</v>
      </c>
      <c r="Q6683" s="2">
        <f>AVERAGE(PerfRate[[#This Row],[EnvironmentSatisfaction]],PerfRate[[#This Row],[JobSatisfaction]],PerfRate[[#This Row],[RelationshipSatisfaction]])</f>
        <v>4</v>
      </c>
      <c r="R6683" s="2">
        <f>PerfRate[[#This Row],[ManagerRating]] - PerfRate[[#This Row],[SelfRating]]</f>
        <v>0</v>
      </c>
    </row>
    <row r="6684" spans="1:18">
      <c r="A6684" s="2" t="s">
        <v>10991</v>
      </c>
      <c r="B6684" s="2" t="s">
        <v>347</v>
      </c>
      <c r="C6684" s="1">
        <v>42493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  <c r="L6684" s="2" t="s">
        <v>11029</v>
      </c>
      <c r="M6684" s="2" t="s">
        <v>11029</v>
      </c>
      <c r="N6684" s="2" t="s">
        <v>11037</v>
      </c>
      <c r="O6684" s="2" t="s">
        <v>11038</v>
      </c>
      <c r="P6684" s="2" t="s">
        <v>11036</v>
      </c>
      <c r="Q6684" s="2">
        <f>AVERAGE(PerfRate[[#This Row],[EnvironmentSatisfaction]],PerfRate[[#This Row],[JobSatisfaction]],PerfRate[[#This Row],[RelationshipSatisfaction]])</f>
        <v>4</v>
      </c>
      <c r="R6684" s="2">
        <f>PerfRate[[#This Row],[ManagerRating]] - PerfRate[[#This Row],[SelfRating]]</f>
        <v>0</v>
      </c>
    </row>
    <row r="6685" spans="1:18">
      <c r="A6685" s="2" t="s">
        <v>10992</v>
      </c>
      <c r="B6685" s="2" t="s">
        <v>470</v>
      </c>
      <c r="C6685" s="1">
        <v>42493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  <c r="L6685" s="2" t="s">
        <v>11030</v>
      </c>
      <c r="M6685" s="2" t="s">
        <v>11030</v>
      </c>
      <c r="N6685" s="2" t="s">
        <v>11036</v>
      </c>
      <c r="O6685" s="2" t="s">
        <v>11036</v>
      </c>
      <c r="P6685" s="2" t="s">
        <v>11037</v>
      </c>
      <c r="Q6685" s="2">
        <f>AVERAGE(PerfRate[[#This Row],[EnvironmentSatisfaction]],PerfRate[[#This Row],[JobSatisfaction]],PerfRate[[#This Row],[RelationshipSatisfaction]])</f>
        <v>3.3333333333333335</v>
      </c>
      <c r="R6685" s="2">
        <f>PerfRate[[#This Row],[ManagerRating]] - PerfRate[[#This Row],[SelfRating]]</f>
        <v>0</v>
      </c>
    </row>
    <row r="6686" spans="1:18">
      <c r="A6686" s="2" t="s">
        <v>10993</v>
      </c>
      <c r="B6686" s="2" t="s">
        <v>407</v>
      </c>
      <c r="C6686" s="1">
        <v>42524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  <c r="L6686" s="2" t="s">
        <v>11029</v>
      </c>
      <c r="M6686" s="2" t="s">
        <v>11028</v>
      </c>
      <c r="N6686" s="2" t="s">
        <v>11038</v>
      </c>
      <c r="O6686" s="2" t="s">
        <v>11036</v>
      </c>
      <c r="P6686" s="2" t="s">
        <v>11037</v>
      </c>
      <c r="Q6686" s="2">
        <f>AVERAGE(PerfRate[[#This Row],[EnvironmentSatisfaction]],PerfRate[[#This Row],[JobSatisfaction]],PerfRate[[#This Row],[RelationshipSatisfaction]])</f>
        <v>4</v>
      </c>
      <c r="R6686" s="2">
        <f>PerfRate[[#This Row],[ManagerRating]] - PerfRate[[#This Row],[SelfRating]]</f>
        <v>-1</v>
      </c>
    </row>
    <row r="6687" spans="1:18">
      <c r="A6687" s="2" t="s">
        <v>10994</v>
      </c>
      <c r="B6687" s="2" t="s">
        <v>1082</v>
      </c>
      <c r="C6687" s="1">
        <v>42524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  <c r="L6687" s="2" t="s">
        <v>11030</v>
      </c>
      <c r="M6687" s="2" t="s">
        <v>11030</v>
      </c>
      <c r="N6687" s="2" t="s">
        <v>11037</v>
      </c>
      <c r="O6687" s="2" t="s">
        <v>11036</v>
      </c>
      <c r="P6687" s="2" t="s">
        <v>11037</v>
      </c>
      <c r="Q6687" s="2">
        <f>AVERAGE(PerfRate[[#This Row],[EnvironmentSatisfaction]],PerfRate[[#This Row],[JobSatisfaction]],PerfRate[[#This Row],[RelationshipSatisfaction]])</f>
        <v>3.6666666666666665</v>
      </c>
      <c r="R6687" s="2">
        <f>PerfRate[[#This Row],[ManagerRating]] - PerfRate[[#This Row],[SelfRating]]</f>
        <v>0</v>
      </c>
    </row>
    <row r="6688" spans="1:18">
      <c r="A6688" s="2" t="s">
        <v>10995</v>
      </c>
      <c r="B6688" s="2" t="s">
        <v>2879</v>
      </c>
      <c r="C6688" s="1">
        <v>42524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  <c r="L6688" s="2" t="s">
        <v>11029</v>
      </c>
      <c r="M6688" s="2" t="s">
        <v>11029</v>
      </c>
      <c r="N6688" s="2" t="s">
        <v>11036</v>
      </c>
      <c r="O6688" s="2" t="s">
        <v>11035</v>
      </c>
      <c r="P6688" s="2" t="s">
        <v>11038</v>
      </c>
      <c r="Q6688" s="2">
        <f>AVERAGE(PerfRate[[#This Row],[EnvironmentSatisfaction]],PerfRate[[#This Row],[JobSatisfaction]],PerfRate[[#This Row],[RelationshipSatisfaction]])</f>
        <v>3.3333333333333335</v>
      </c>
      <c r="R6688" s="2">
        <f>PerfRate[[#This Row],[ManagerRating]] - PerfRate[[#This Row],[SelfRating]]</f>
        <v>0</v>
      </c>
    </row>
    <row r="6689" spans="1:18">
      <c r="A6689" s="2" t="s">
        <v>10996</v>
      </c>
      <c r="B6689" s="2" t="s">
        <v>296</v>
      </c>
      <c r="C6689" s="1">
        <v>41459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  <c r="L6689" s="2" t="s">
        <v>11029</v>
      </c>
      <c r="M6689" s="2" t="s">
        <v>11029</v>
      </c>
      <c r="N6689" s="2" t="s">
        <v>11037</v>
      </c>
      <c r="O6689" s="2" t="s">
        <v>11035</v>
      </c>
      <c r="P6689" s="2" t="s">
        <v>11036</v>
      </c>
      <c r="Q6689" s="2">
        <f>AVERAGE(PerfRate[[#This Row],[EnvironmentSatisfaction]],PerfRate[[#This Row],[JobSatisfaction]],PerfRate[[#This Row],[RelationshipSatisfaction]])</f>
        <v>3</v>
      </c>
      <c r="R6689" s="2">
        <f>PerfRate[[#This Row],[ManagerRating]] - PerfRate[[#This Row],[SelfRating]]</f>
        <v>0</v>
      </c>
    </row>
    <row r="6690" spans="1:18">
      <c r="A6690" s="2" t="s">
        <v>10997</v>
      </c>
      <c r="B6690" s="2" t="s">
        <v>838</v>
      </c>
      <c r="C6690" s="1">
        <v>42554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  <c r="L6690" s="2" t="s">
        <v>11029</v>
      </c>
      <c r="M6690" s="2" t="s">
        <v>11029</v>
      </c>
      <c r="N6690" s="2" t="s">
        <v>11038</v>
      </c>
      <c r="O6690" s="2" t="s">
        <v>11036</v>
      </c>
      <c r="P6690" s="2" t="s">
        <v>11035</v>
      </c>
      <c r="Q6690" s="2">
        <f>AVERAGE(PerfRate[[#This Row],[EnvironmentSatisfaction]],PerfRate[[#This Row],[JobSatisfaction]],PerfRate[[#This Row],[RelationshipSatisfaction]])</f>
        <v>3.3333333333333335</v>
      </c>
      <c r="R6690" s="2">
        <f>PerfRate[[#This Row],[ManagerRating]] - PerfRate[[#This Row],[SelfRating]]</f>
        <v>0</v>
      </c>
    </row>
    <row r="6691" spans="1:18">
      <c r="A6691" s="2" t="s">
        <v>10998</v>
      </c>
      <c r="B6691" s="2" t="s">
        <v>1674</v>
      </c>
      <c r="C6691" s="1">
        <v>42554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  <c r="L6691" s="2" t="s">
        <v>11031</v>
      </c>
      <c r="M6691" s="2" t="s">
        <v>11031</v>
      </c>
      <c r="N6691" s="2" t="s">
        <v>11036</v>
      </c>
      <c r="O6691" s="2" t="s">
        <v>11036</v>
      </c>
      <c r="P6691" s="2" t="s">
        <v>11038</v>
      </c>
      <c r="Q6691" s="2">
        <f>AVERAGE(PerfRate[[#This Row],[EnvironmentSatisfaction]],PerfRate[[#This Row],[JobSatisfaction]],PerfRate[[#This Row],[RelationshipSatisfaction]])</f>
        <v>3.6666666666666665</v>
      </c>
      <c r="R6691" s="2">
        <f>PerfRate[[#This Row],[ManagerRating]] - PerfRate[[#This Row],[SelfRating]]</f>
        <v>0</v>
      </c>
    </row>
    <row r="6692" spans="1:18">
      <c r="A6692" s="2" t="s">
        <v>10999</v>
      </c>
      <c r="B6692" s="2" t="s">
        <v>86</v>
      </c>
      <c r="C6692" s="1">
        <v>42554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  <c r="L6692" s="2" t="s">
        <v>11029</v>
      </c>
      <c r="M6692" s="2" t="s">
        <v>11029</v>
      </c>
      <c r="N6692" s="2" t="s">
        <v>11038</v>
      </c>
      <c r="O6692" s="2" t="s">
        <v>11037</v>
      </c>
      <c r="P6692" s="2" t="s">
        <v>11038</v>
      </c>
      <c r="Q6692" s="2">
        <f>AVERAGE(PerfRate[[#This Row],[EnvironmentSatisfaction]],PerfRate[[#This Row],[JobSatisfaction]],PerfRate[[#This Row],[RelationshipSatisfaction]])</f>
        <v>4.666666666666667</v>
      </c>
      <c r="R6692" s="2">
        <f>PerfRate[[#This Row],[ManagerRating]] - PerfRate[[#This Row],[SelfRating]]</f>
        <v>0</v>
      </c>
    </row>
    <row r="6693" spans="1:18">
      <c r="A6693" s="2" t="s">
        <v>11000</v>
      </c>
      <c r="B6693" s="2" t="s">
        <v>4183</v>
      </c>
      <c r="C6693" s="1">
        <v>42554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  <c r="L6693" s="2" t="s">
        <v>11029</v>
      </c>
      <c r="M6693" s="2" t="s">
        <v>11028</v>
      </c>
      <c r="N6693" s="2" t="s">
        <v>11036</v>
      </c>
      <c r="O6693" s="2" t="s">
        <v>11038</v>
      </c>
      <c r="P6693" s="2" t="s">
        <v>11038</v>
      </c>
      <c r="Q6693" s="2">
        <f>AVERAGE(PerfRate[[#This Row],[EnvironmentSatisfaction]],PerfRate[[#This Row],[JobSatisfaction]],PerfRate[[#This Row],[RelationshipSatisfaction]])</f>
        <v>4.333333333333333</v>
      </c>
      <c r="R6693" s="2">
        <f>PerfRate[[#This Row],[ManagerRating]] - PerfRate[[#This Row],[SelfRating]]</f>
        <v>-1</v>
      </c>
    </row>
    <row r="6694" spans="1:18">
      <c r="A6694" s="2" t="s">
        <v>11001</v>
      </c>
      <c r="B6694" s="2" t="s">
        <v>800</v>
      </c>
      <c r="C6694" s="1">
        <v>42616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  <c r="L6694" s="2" t="s">
        <v>11029</v>
      </c>
      <c r="M6694" s="2" t="s">
        <v>11028</v>
      </c>
      <c r="N6694" s="2" t="s">
        <v>11036</v>
      </c>
      <c r="O6694" s="2" t="s">
        <v>11037</v>
      </c>
      <c r="P6694" s="2" t="s">
        <v>11036</v>
      </c>
      <c r="Q6694" s="2">
        <f>AVERAGE(PerfRate[[#This Row],[EnvironmentSatisfaction]],PerfRate[[#This Row],[JobSatisfaction]],PerfRate[[#This Row],[RelationshipSatisfaction]])</f>
        <v>3.3333333333333335</v>
      </c>
      <c r="R6694" s="2">
        <f>PerfRate[[#This Row],[ManagerRating]] - PerfRate[[#This Row],[SelfRating]]</f>
        <v>-1</v>
      </c>
    </row>
    <row r="6695" spans="1:18">
      <c r="A6695" s="2" t="s">
        <v>11002</v>
      </c>
      <c r="B6695" s="2" t="s">
        <v>192</v>
      </c>
      <c r="C6695" s="1">
        <v>42616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  <c r="L6695" s="2" t="s">
        <v>11029</v>
      </c>
      <c r="M6695" s="2" t="s">
        <v>11029</v>
      </c>
      <c r="N6695" s="2" t="s">
        <v>11037</v>
      </c>
      <c r="O6695" s="2" t="s">
        <v>11037</v>
      </c>
      <c r="P6695" s="2" t="s">
        <v>11036</v>
      </c>
      <c r="Q6695" s="2">
        <f>AVERAGE(PerfRate[[#This Row],[EnvironmentSatisfaction]],PerfRate[[#This Row],[JobSatisfaction]],PerfRate[[#This Row],[RelationshipSatisfaction]])</f>
        <v>3.6666666666666665</v>
      </c>
      <c r="R6695" s="2">
        <f>PerfRate[[#This Row],[ManagerRating]] - PerfRate[[#This Row],[SelfRating]]</f>
        <v>0</v>
      </c>
    </row>
    <row r="6696" spans="1:18">
      <c r="A6696" s="2" t="s">
        <v>11003</v>
      </c>
      <c r="B6696" s="2" t="s">
        <v>571</v>
      </c>
      <c r="C6696" s="1">
        <v>42616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  <c r="L6696" s="2" t="s">
        <v>11030</v>
      </c>
      <c r="M6696" s="2" t="s">
        <v>11030</v>
      </c>
      <c r="N6696" s="2" t="s">
        <v>11037</v>
      </c>
      <c r="O6696" s="2" t="s">
        <v>11038</v>
      </c>
      <c r="P6696" s="2" t="s">
        <v>11036</v>
      </c>
      <c r="Q6696" s="2">
        <f>AVERAGE(PerfRate[[#This Row],[EnvironmentSatisfaction]],PerfRate[[#This Row],[JobSatisfaction]],PerfRate[[#This Row],[RelationshipSatisfaction]])</f>
        <v>4</v>
      </c>
      <c r="R6696" s="2">
        <f>PerfRate[[#This Row],[ManagerRating]] - PerfRate[[#This Row],[SelfRating]]</f>
        <v>0</v>
      </c>
    </row>
    <row r="6697" spans="1:18">
      <c r="A6697" s="2" t="s">
        <v>11004</v>
      </c>
      <c r="B6697" s="2" t="s">
        <v>4236</v>
      </c>
      <c r="C6697" s="1">
        <v>42646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  <c r="L6697" s="2" t="s">
        <v>11031</v>
      </c>
      <c r="M6697" s="2" t="s">
        <v>11030</v>
      </c>
      <c r="N6697" s="2" t="s">
        <v>11038</v>
      </c>
      <c r="O6697" s="2" t="s">
        <v>11036</v>
      </c>
      <c r="P6697" s="2" t="s">
        <v>11035</v>
      </c>
      <c r="Q6697" s="2">
        <f>AVERAGE(PerfRate[[#This Row],[EnvironmentSatisfaction]],PerfRate[[#This Row],[JobSatisfaction]],PerfRate[[#This Row],[RelationshipSatisfaction]])</f>
        <v>3.3333333333333335</v>
      </c>
      <c r="R6697" s="2">
        <f>PerfRate[[#This Row],[ManagerRating]] - PerfRate[[#This Row],[SelfRating]]</f>
        <v>-1</v>
      </c>
    </row>
    <row r="6698" spans="1:18">
      <c r="A6698" s="2" t="s">
        <v>11005</v>
      </c>
      <c r="B6698" s="2" t="s">
        <v>1939</v>
      </c>
      <c r="C6698" s="1">
        <v>42677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  <c r="L6698" s="2" t="s">
        <v>11029</v>
      </c>
      <c r="M6698" s="2" t="s">
        <v>11028</v>
      </c>
      <c r="N6698" s="2" t="s">
        <v>11037</v>
      </c>
      <c r="O6698" s="2" t="s">
        <v>11037</v>
      </c>
      <c r="P6698" s="2" t="s">
        <v>11035</v>
      </c>
      <c r="Q6698" s="2">
        <f>AVERAGE(PerfRate[[#This Row],[EnvironmentSatisfaction]],PerfRate[[#This Row],[JobSatisfaction]],PerfRate[[#This Row],[RelationshipSatisfaction]])</f>
        <v>3.3333333333333335</v>
      </c>
      <c r="R6698" s="2">
        <f>PerfRate[[#This Row],[ManagerRating]] - PerfRate[[#This Row],[SelfRating]]</f>
        <v>-1</v>
      </c>
    </row>
    <row r="6699" spans="1:18">
      <c r="A6699" s="2" t="s">
        <v>11006</v>
      </c>
      <c r="B6699" s="2" t="s">
        <v>3425</v>
      </c>
      <c r="C6699" s="1">
        <v>42677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  <c r="L6699" s="2" t="s">
        <v>11031</v>
      </c>
      <c r="M6699" s="2" t="s">
        <v>11031</v>
      </c>
      <c r="N6699" s="2" t="s">
        <v>11038</v>
      </c>
      <c r="O6699" s="2" t="s">
        <v>11037</v>
      </c>
      <c r="P6699" s="2" t="s">
        <v>11036</v>
      </c>
      <c r="Q6699" s="2">
        <f>AVERAGE(PerfRate[[#This Row],[EnvironmentSatisfaction]],PerfRate[[#This Row],[JobSatisfaction]],PerfRate[[#This Row],[RelationshipSatisfaction]])</f>
        <v>4</v>
      </c>
      <c r="R6699" s="2">
        <f>PerfRate[[#This Row],[ManagerRating]] - PerfRate[[#This Row],[SelfRating]]</f>
        <v>0</v>
      </c>
    </row>
    <row r="6700" spans="1:18">
      <c r="A6700" s="2" t="s">
        <v>11007</v>
      </c>
      <c r="B6700" s="2" t="s">
        <v>2584</v>
      </c>
      <c r="C6700" s="1">
        <v>41459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  <c r="L6700" s="2" t="s">
        <v>11031</v>
      </c>
      <c r="M6700" s="2" t="s">
        <v>11030</v>
      </c>
      <c r="N6700" s="2" t="s">
        <v>11037</v>
      </c>
      <c r="O6700" s="2" t="s">
        <v>11035</v>
      </c>
      <c r="P6700" s="2" t="s">
        <v>11037</v>
      </c>
      <c r="Q6700" s="2">
        <f>AVERAGE(PerfRate[[#This Row],[EnvironmentSatisfaction]],PerfRate[[#This Row],[JobSatisfaction]],PerfRate[[#This Row],[RelationshipSatisfaction]])</f>
        <v>3.3333333333333335</v>
      </c>
      <c r="R6700" s="2">
        <f>PerfRate[[#This Row],[ManagerRating]] - PerfRate[[#This Row],[SelfRating]]</f>
        <v>-1</v>
      </c>
    </row>
    <row r="6701" spans="1:18">
      <c r="A6701" s="2" t="s">
        <v>11008</v>
      </c>
      <c r="B6701" s="2" t="s">
        <v>1686</v>
      </c>
      <c r="C6701" s="1">
        <v>42707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  <c r="L6701" s="2" t="s">
        <v>11030</v>
      </c>
      <c r="M6701" s="2" t="s">
        <v>11029</v>
      </c>
      <c r="N6701" s="2" t="s">
        <v>11038</v>
      </c>
      <c r="O6701" s="2" t="s">
        <v>11038</v>
      </c>
      <c r="P6701" s="2" t="s">
        <v>11037</v>
      </c>
      <c r="Q6701" s="2">
        <f>AVERAGE(PerfRate[[#This Row],[EnvironmentSatisfaction]],PerfRate[[#This Row],[JobSatisfaction]],PerfRate[[#This Row],[RelationshipSatisfaction]])</f>
        <v>4.666666666666667</v>
      </c>
      <c r="R6701" s="2">
        <f>PerfRate[[#This Row],[ManagerRating]] - PerfRate[[#This Row],[SelfRating]]</f>
        <v>-1</v>
      </c>
    </row>
    <row r="6702" spans="1:18">
      <c r="A6702" s="2" t="s">
        <v>11009</v>
      </c>
      <c r="B6702" s="2" t="s">
        <v>365</v>
      </c>
      <c r="C6702" s="1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  <c r="L6702" s="2" t="s">
        <v>11029</v>
      </c>
      <c r="M6702" s="2" t="s">
        <v>11029</v>
      </c>
      <c r="N6702" s="2" t="s">
        <v>11038</v>
      </c>
      <c r="O6702" s="2" t="s">
        <v>11036</v>
      </c>
      <c r="P6702" s="2" t="s">
        <v>11038</v>
      </c>
      <c r="Q6702" s="2">
        <f>AVERAGE(PerfRate[[#This Row],[EnvironmentSatisfaction]],PerfRate[[#This Row],[JobSatisfaction]],PerfRate[[#This Row],[RelationshipSatisfaction]])</f>
        <v>4.333333333333333</v>
      </c>
      <c r="R6702" s="2">
        <f>PerfRate[[#This Row],[ManagerRating]] - PerfRate[[#This Row],[SelfRating]]</f>
        <v>0</v>
      </c>
    </row>
    <row r="6703" spans="1:18">
      <c r="A6703" s="2" t="s">
        <v>11010</v>
      </c>
      <c r="B6703" s="2" t="s">
        <v>943</v>
      </c>
      <c r="C6703" s="1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  <c r="L6703" s="2" t="s">
        <v>11030</v>
      </c>
      <c r="M6703" s="2" t="s">
        <v>11030</v>
      </c>
      <c r="N6703" s="2" t="s">
        <v>11037</v>
      </c>
      <c r="O6703" s="2" t="s">
        <v>11037</v>
      </c>
      <c r="P6703" s="2" t="s">
        <v>11037</v>
      </c>
      <c r="Q6703" s="2">
        <f>AVERAGE(PerfRate[[#This Row],[EnvironmentSatisfaction]],PerfRate[[#This Row],[JobSatisfaction]],PerfRate[[#This Row],[RelationshipSatisfaction]])</f>
        <v>4</v>
      </c>
      <c r="R6703" s="2">
        <f>PerfRate[[#This Row],[ManagerRating]] - PerfRate[[#This Row],[SelfRating]]</f>
        <v>0</v>
      </c>
    </row>
    <row r="6704" spans="1:18">
      <c r="A6704" s="2" t="s">
        <v>11011</v>
      </c>
      <c r="B6704" s="2" t="s">
        <v>823</v>
      </c>
      <c r="C6704" s="1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  <c r="L6704" s="2" t="s">
        <v>11030</v>
      </c>
      <c r="M6704" s="2" t="s">
        <v>11029</v>
      </c>
      <c r="N6704" s="2" t="s">
        <v>11037</v>
      </c>
      <c r="O6704" s="2" t="s">
        <v>11035</v>
      </c>
      <c r="P6704" s="2" t="s">
        <v>11035</v>
      </c>
      <c r="Q6704" s="2">
        <f>AVERAGE(PerfRate[[#This Row],[EnvironmentSatisfaction]],PerfRate[[#This Row],[JobSatisfaction]],PerfRate[[#This Row],[RelationshipSatisfaction]])</f>
        <v>2.6666666666666665</v>
      </c>
      <c r="R6704" s="2">
        <f>PerfRate[[#This Row],[ManagerRating]] - PerfRate[[#This Row],[SelfRating]]</f>
        <v>-1</v>
      </c>
    </row>
    <row r="6705" spans="1:18">
      <c r="A6705" s="2" t="s">
        <v>11012</v>
      </c>
      <c r="B6705" s="2" t="s">
        <v>577</v>
      </c>
      <c r="C6705" s="1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  <c r="L6705" s="2" t="s">
        <v>11030</v>
      </c>
      <c r="M6705" s="2" t="s">
        <v>11029</v>
      </c>
      <c r="N6705" s="2" t="s">
        <v>11037</v>
      </c>
      <c r="O6705" s="2" t="s">
        <v>11037</v>
      </c>
      <c r="P6705" s="2" t="s">
        <v>11036</v>
      </c>
      <c r="Q6705" s="2">
        <f>AVERAGE(PerfRate[[#This Row],[EnvironmentSatisfaction]],PerfRate[[#This Row],[JobSatisfaction]],PerfRate[[#This Row],[RelationshipSatisfaction]])</f>
        <v>3.6666666666666665</v>
      </c>
      <c r="R6705" s="2">
        <f>PerfRate[[#This Row],[ManagerRating]] - PerfRate[[#This Row],[SelfRating]]</f>
        <v>-1</v>
      </c>
    </row>
    <row r="6706" spans="1:18">
      <c r="A6706" s="2" t="s">
        <v>11013</v>
      </c>
      <c r="B6706" s="2" t="s">
        <v>2605</v>
      </c>
      <c r="C6706" s="1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  <c r="L6706" s="2" t="s">
        <v>11031</v>
      </c>
      <c r="M6706" s="2" t="s">
        <v>11030</v>
      </c>
      <c r="N6706" s="2" t="s">
        <v>11038</v>
      </c>
      <c r="O6706" s="2" t="s">
        <v>11036</v>
      </c>
      <c r="P6706" s="2" t="s">
        <v>11036</v>
      </c>
      <c r="Q6706" s="2">
        <f>AVERAGE(PerfRate[[#This Row],[EnvironmentSatisfaction]],PerfRate[[#This Row],[JobSatisfaction]],PerfRate[[#This Row],[RelationshipSatisfaction]])</f>
        <v>3.6666666666666665</v>
      </c>
      <c r="R6706" s="2">
        <f>PerfRate[[#This Row],[ManagerRating]] - PerfRate[[#This Row],[SelfRating]]</f>
        <v>-1</v>
      </c>
    </row>
    <row r="6707" spans="1:18">
      <c r="A6707" s="2" t="s">
        <v>11014</v>
      </c>
      <c r="B6707" s="2" t="s">
        <v>520</v>
      </c>
      <c r="C6707" s="1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  <c r="L6707" s="2" t="s">
        <v>11030</v>
      </c>
      <c r="M6707" s="2" t="s">
        <v>11030</v>
      </c>
      <c r="N6707" s="2" t="s">
        <v>11036</v>
      </c>
      <c r="O6707" s="2" t="s">
        <v>11038</v>
      </c>
      <c r="P6707" s="2" t="s">
        <v>11037</v>
      </c>
      <c r="Q6707" s="2">
        <f>AVERAGE(PerfRate[[#This Row],[EnvironmentSatisfaction]],PerfRate[[#This Row],[JobSatisfaction]],PerfRate[[#This Row],[RelationshipSatisfaction]])</f>
        <v>4</v>
      </c>
      <c r="R6707" s="2">
        <f>PerfRate[[#This Row],[ManagerRating]] - PerfRate[[#This Row],[SelfRating]]</f>
        <v>0</v>
      </c>
    </row>
    <row r="6708" spans="1:18">
      <c r="A6708" s="2" t="s">
        <v>11015</v>
      </c>
      <c r="B6708" s="2" t="s">
        <v>302</v>
      </c>
      <c r="C6708" s="1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  <c r="L6708" s="2" t="s">
        <v>11029</v>
      </c>
      <c r="M6708" s="2" t="s">
        <v>11028</v>
      </c>
      <c r="N6708" s="2" t="s">
        <v>11036</v>
      </c>
      <c r="O6708" s="2" t="s">
        <v>11037</v>
      </c>
      <c r="P6708" s="2" t="s">
        <v>11035</v>
      </c>
      <c r="Q6708" s="2">
        <f>AVERAGE(PerfRate[[#This Row],[EnvironmentSatisfaction]],PerfRate[[#This Row],[JobSatisfaction]],PerfRate[[#This Row],[RelationshipSatisfaction]])</f>
        <v>3</v>
      </c>
      <c r="R6708" s="2">
        <f>PerfRate[[#This Row],[ManagerRating]] - PerfRate[[#This Row],[SelfRating]]</f>
        <v>-1</v>
      </c>
    </row>
    <row r="6709" spans="1:18">
      <c r="A6709" s="2" t="s">
        <v>11016</v>
      </c>
      <c r="B6709" s="2" t="s">
        <v>1710</v>
      </c>
      <c r="C6709" s="1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  <c r="L6709" s="2" t="s">
        <v>11029</v>
      </c>
      <c r="M6709" s="2" t="s">
        <v>11029</v>
      </c>
      <c r="N6709" s="2" t="s">
        <v>11038</v>
      </c>
      <c r="O6709" s="2" t="s">
        <v>11035</v>
      </c>
      <c r="P6709" s="2" t="s">
        <v>11038</v>
      </c>
      <c r="Q6709" s="2">
        <f>AVERAGE(PerfRate[[#This Row],[EnvironmentSatisfaction]],PerfRate[[#This Row],[JobSatisfaction]],PerfRate[[#This Row],[RelationshipSatisfaction]])</f>
        <v>4</v>
      </c>
      <c r="R6709" s="2">
        <f>PerfRate[[#This Row],[ManagerRating]] - PerfRate[[#This Row],[SelfRating]]</f>
        <v>0</v>
      </c>
    </row>
    <row r="6710" spans="1:18">
      <c r="A6710" s="2" t="s">
        <v>11017</v>
      </c>
      <c r="B6710" s="2" t="s">
        <v>586</v>
      </c>
      <c r="C6710" s="1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  <c r="L6710" s="2" t="s">
        <v>11029</v>
      </c>
      <c r="M6710" s="2" t="s">
        <v>11029</v>
      </c>
      <c r="N6710" s="2" t="s">
        <v>11037</v>
      </c>
      <c r="O6710" s="2" t="s">
        <v>11038</v>
      </c>
      <c r="P6710" s="2" t="s">
        <v>11038</v>
      </c>
      <c r="Q6710" s="2">
        <f>AVERAGE(PerfRate[[#This Row],[EnvironmentSatisfaction]],PerfRate[[#This Row],[JobSatisfaction]],PerfRate[[#This Row],[RelationshipSatisfaction]])</f>
        <v>4.666666666666667</v>
      </c>
      <c r="R6710" s="2">
        <f>PerfRate[[#This Row],[ManagerRating]] - PerfRate[[#This Row],[SelfRating]]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1264-E382-490B-81FA-5254B2C72A0C}">
  <sheetPr codeName="Sheet3"/>
  <dimension ref="A1:B6"/>
  <sheetViews>
    <sheetView workbookViewId="0">
      <selection activeCell="B2" sqref="B2"/>
    </sheetView>
  </sheetViews>
  <sheetFormatPr defaultRowHeight="14.25"/>
  <cols>
    <col min="1" max="1" width="16.9296875" bestFit="1" customWidth="1"/>
    <col min="2" max="2" width="20.19921875" bestFit="1" customWidth="1"/>
  </cols>
  <sheetData>
    <row r="1" spans="1:2">
      <c r="A1" t="s">
        <v>11018</v>
      </c>
      <c r="B1" t="s">
        <v>11019</v>
      </c>
    </row>
    <row r="2" spans="1:2">
      <c r="A2">
        <v>1</v>
      </c>
      <c r="B2" t="s">
        <v>11020</v>
      </c>
    </row>
    <row r="3" spans="1:2">
      <c r="A3">
        <v>2</v>
      </c>
      <c r="B3" t="s">
        <v>11021</v>
      </c>
    </row>
    <row r="4" spans="1:2">
      <c r="A4">
        <v>3</v>
      </c>
      <c r="B4" t="s">
        <v>11022</v>
      </c>
    </row>
    <row r="5" spans="1:2">
      <c r="A5">
        <v>4</v>
      </c>
      <c r="B5" t="s">
        <v>11023</v>
      </c>
    </row>
    <row r="6" spans="1:2">
      <c r="A6">
        <v>5</v>
      </c>
      <c r="B6" t="s">
        <v>11024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3DE6-5BFE-484C-BAE4-E99736BBEDF5}">
  <sheetPr codeName="Sheet4"/>
  <dimension ref="A1:B6"/>
  <sheetViews>
    <sheetView workbookViewId="0">
      <selection activeCell="I30" sqref="I30"/>
    </sheetView>
  </sheetViews>
  <sheetFormatPr defaultRowHeight="14.25"/>
  <cols>
    <col min="1" max="1" width="9.6640625" bestFit="1" customWidth="1"/>
    <col min="2" max="2" width="16.53125" bestFit="1" customWidth="1"/>
  </cols>
  <sheetData>
    <row r="1" spans="1:2">
      <c r="A1" t="s">
        <v>11025</v>
      </c>
      <c r="B1" t="s">
        <v>11026</v>
      </c>
    </row>
    <row r="2" spans="1:2">
      <c r="A2">
        <v>1</v>
      </c>
      <c r="B2" t="s">
        <v>11027</v>
      </c>
    </row>
    <row r="3" spans="1:2">
      <c r="A3">
        <v>2</v>
      </c>
      <c r="B3" t="s">
        <v>11028</v>
      </c>
    </row>
    <row r="4" spans="1:2">
      <c r="A4">
        <v>3</v>
      </c>
      <c r="B4" t="s">
        <v>11029</v>
      </c>
    </row>
    <row r="5" spans="1:2">
      <c r="A5">
        <v>4</v>
      </c>
      <c r="B5" t="s">
        <v>11030</v>
      </c>
    </row>
    <row r="6" spans="1:2">
      <c r="A6">
        <v>5</v>
      </c>
      <c r="B6" t="s">
        <v>11031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EE19-A949-4C70-835A-810905F156EA}">
  <sheetPr codeName="Sheet5"/>
  <dimension ref="A1:B6"/>
  <sheetViews>
    <sheetView workbookViewId="0">
      <selection activeCell="B3" sqref="B3"/>
    </sheetView>
  </sheetViews>
  <sheetFormatPr defaultRowHeight="14.25"/>
  <cols>
    <col min="1" max="1" width="14.1328125" bestFit="1" customWidth="1"/>
    <col min="2" max="2" width="17.6640625" customWidth="1"/>
  </cols>
  <sheetData>
    <row r="1" spans="1:2">
      <c r="A1" t="s">
        <v>11032</v>
      </c>
      <c r="B1" t="s">
        <v>11033</v>
      </c>
    </row>
    <row r="2" spans="1:2">
      <c r="A2">
        <v>1</v>
      </c>
      <c r="B2" t="s">
        <v>11034</v>
      </c>
    </row>
    <row r="3" spans="1:2">
      <c r="A3">
        <v>2</v>
      </c>
      <c r="B3" t="s">
        <v>11035</v>
      </c>
    </row>
    <row r="4" spans="1:2">
      <c r="A4">
        <v>3</v>
      </c>
      <c r="B4" t="s">
        <v>11036</v>
      </c>
    </row>
    <row r="5" spans="1:2">
      <c r="A5">
        <v>4</v>
      </c>
      <c r="B5" t="s">
        <v>11037</v>
      </c>
    </row>
    <row r="6" spans="1:2">
      <c r="A6">
        <v>5</v>
      </c>
      <c r="B6" t="s">
        <v>11038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65BE4-0D28-47ED-A7A8-AEE0F3871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PivotTable</vt:lpstr>
      <vt:lpstr>Employees</vt:lpstr>
      <vt:lpstr>PerfRate</vt:lpstr>
      <vt:lpstr>EducationLevel</vt:lpstr>
      <vt:lpstr>RatingLevel</vt:lpstr>
      <vt:lpstr>SatisfiedLevel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Yussuf Ali</cp:lastModifiedBy>
  <dcterms:created xsi:type="dcterms:W3CDTF">2026-07-17T20:34:02Z</dcterms:created>
  <dcterms:modified xsi:type="dcterms:W3CDTF">2026-07-19T16:09:52Z</dcterms:modified>
</cp:coreProperties>
</file>